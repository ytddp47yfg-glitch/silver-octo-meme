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comments/comment8.xml" ContentType="application/vnd.openxmlformats-officedocument.spreadsheetml.comments+xml"/>
  <Override PartName="/xl/worksheets/sheet20.xml" ContentType="application/vnd.openxmlformats-officedocument.spreadsheetml.worksheet+xml"/>
  <Override PartName="/xl/comments/comment9.xml" ContentType="application/vnd.openxmlformats-officedocument.spreadsheetml.comments+xml"/>
  <Override PartName="/xl/worksheets/sheet21.xml" ContentType="application/vnd.openxmlformats-officedocument.spreadsheetml.worksheet+xml"/>
  <Override PartName="/xl/comments/comment10.xml" ContentType="application/vnd.openxmlformats-officedocument.spreadsheetml.comments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comments/comment12.xml" ContentType="application/vnd.openxmlformats-officedocument.spreadsheetml.comments+xml"/>
  <Override PartName="/xl/worksheets/sheet24.xml" ContentType="application/vnd.openxmlformats-officedocument.spreadsheetml.worksheet+xml"/>
  <Override PartName="/xl/comments/comment13.xml" ContentType="application/vnd.openxmlformats-officedocument.spreadsheetml.comments+xml"/>
  <Override PartName="/xl/worksheets/sheet25.xml" ContentType="application/vnd.openxmlformats-officedocument.spreadsheetml.worksheet+xml"/>
  <Override PartName="/xl/comments/comment14.xml" ContentType="application/vnd.openxmlformats-officedocument.spreadsheetml.comments+xml"/>
  <Override PartName="/xl/worksheets/sheet26.xml" ContentType="application/vnd.openxmlformats-officedocument.spreadsheetml.worksheet+xml"/>
  <Override PartName="/xl/comments/comment15.xml" ContentType="application/vnd.openxmlformats-officedocument.spreadsheetml.comments+xml"/>
  <Override PartName="/xl/worksheets/sheet27.xml" ContentType="application/vnd.openxmlformats-officedocument.spreadsheetml.worksheet+xml"/>
  <Override PartName="/xl/comments/comment16.xml" ContentType="application/vnd.openxmlformats-officedocument.spreadsheetml.comments+xml"/>
  <Override PartName="/xl/worksheets/sheet28.xml" ContentType="application/vnd.openxmlformats-officedocument.spreadsheetml.worksheet+xml"/>
  <Override PartName="/xl/comments/comment17.xml" ContentType="application/vnd.openxmlformats-officedocument.spreadsheetml.comments+xml"/>
  <Override PartName="/xl/worksheets/sheet29.xml" ContentType="application/vnd.openxmlformats-officedocument.spreadsheetml.worksheet+xml"/>
  <Override PartName="/xl/comments/comment18.xml" ContentType="application/vnd.openxmlformats-officedocument.spreadsheetml.comments+xml"/>
  <Override PartName="/xl/worksheets/sheet30.xml" ContentType="application/vnd.openxmlformats-officedocument.spreadsheetml.worksheet+xml"/>
  <Override PartName="/xl/comments/comment19.xml" ContentType="application/vnd.openxmlformats-officedocument.spreadsheetml.comments+xml"/>
  <Override PartName="/xl/worksheets/sheet31.xml" ContentType="application/vnd.openxmlformats-officedocument.spreadsheetml.worksheet+xml"/>
  <Override PartName="/xl/comments/comment20.xml" ContentType="application/vnd.openxmlformats-officedocument.spreadsheetml.comments+xml"/>
  <Override PartName="/xl/worksheets/sheet32.xml" ContentType="application/vnd.openxmlformats-officedocument.spreadsheetml.worksheet+xml"/>
  <Override PartName="/xl/comments/comment21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2.xml" ContentType="application/vnd.openxmlformats-officedocument.spreadsheetml.comments+xml"/>
  <Override PartName="/xl/worksheets/sheet35.xml" ContentType="application/vnd.openxmlformats-officedocument.spreadsheetml.worksheet+xml"/>
  <Override PartName="/xl/comments/comment23.xml" ContentType="application/vnd.openxmlformats-officedocument.spreadsheetml.comments+xml"/>
  <Override PartName="/xl/worksheets/sheet36.xml" ContentType="application/vnd.openxmlformats-officedocument.spreadsheetml.worksheet+xml"/>
  <Override PartName="/xl/comments/comment24.xml" ContentType="application/vnd.openxmlformats-officedocument.spreadsheetml.comments+xml"/>
  <Override PartName="/xl/worksheets/sheet37.xml" ContentType="application/vnd.openxmlformats-officedocument.spreadsheetml.worksheet+xml"/>
  <Override PartName="/xl/comments/comment25.xml" ContentType="application/vnd.openxmlformats-officedocument.spreadsheetml.comments+xml"/>
  <Override PartName="/xl/worksheets/sheet38.xml" ContentType="application/vnd.openxmlformats-officedocument.spreadsheetml.worksheet+xml"/>
  <Override PartName="/xl/comments/comment26.xml" ContentType="application/vnd.openxmlformats-officedocument.spreadsheetml.comments+xml"/>
  <Override PartName="/xl/worksheets/sheet39.xml" ContentType="application/vnd.openxmlformats-officedocument.spreadsheetml.worksheet+xml"/>
  <Override PartName="/xl/comments/comment27.xml" ContentType="application/vnd.openxmlformats-officedocument.spreadsheetml.comments+xml"/>
  <Override PartName="/xl/worksheets/sheet40.xml" ContentType="application/vnd.openxmlformats-officedocument.spreadsheetml.worksheet+xml"/>
  <Override PartName="/xl/comments/comment28.xml" ContentType="application/vnd.openxmlformats-officedocument.spreadsheetml.comments+xml"/>
  <Override PartName="/xl/worksheets/sheet41.xml" ContentType="application/vnd.openxmlformats-officedocument.spreadsheetml.worksheet+xml"/>
  <Override PartName="/xl/comments/comment29.xml" ContentType="application/vnd.openxmlformats-officedocument.spreadsheetml.comments+xml"/>
  <Override PartName="/xl/worksheets/sheet42.xml" ContentType="application/vnd.openxmlformats-officedocument.spreadsheetml.worksheet+xml"/>
  <Override PartName="/xl/comments/comment30.xml" ContentType="application/vnd.openxmlformats-officedocument.spreadsheetml.comments+xml"/>
  <Override PartName="/xl/worksheets/sheet43.xml" ContentType="application/vnd.openxmlformats-officedocument.spreadsheetml.worksheet+xml"/>
  <Override PartName="/xl/comments/comment31.xml" ContentType="application/vnd.openxmlformats-officedocument.spreadsheetml.comments+xml"/>
  <Override PartName="/xl/worksheets/sheet44.xml" ContentType="application/vnd.openxmlformats-officedocument.spreadsheetml.worksheet+xml"/>
  <Override PartName="/xl/comments/comment32.xml" ContentType="application/vnd.openxmlformats-officedocument.spreadsheetml.comments+xml"/>
  <Override PartName="/xl/worksheets/sheet45.xml" ContentType="application/vnd.openxmlformats-officedocument.spreadsheetml.worksheet+xml"/>
  <Override PartName="/xl/comments/comment33.xml" ContentType="application/vnd.openxmlformats-officedocument.spreadsheetml.comments+xml"/>
  <Override PartName="/xl/worksheets/sheet46.xml" ContentType="application/vnd.openxmlformats-officedocument.spreadsheetml.worksheet+xml"/>
  <Override PartName="/xl/comments/comment34.xml" ContentType="application/vnd.openxmlformats-officedocument.spreadsheetml.comments+xml"/>
  <Override PartName="/xl/worksheets/sheet47.xml" ContentType="application/vnd.openxmlformats-officedocument.spreadsheetml.worksheet+xml"/>
  <Override PartName="/xl/comments/comment35.xml" ContentType="application/vnd.openxmlformats-officedocument.spreadsheetml.comments+xml"/>
  <Override PartName="/xl/worksheets/sheet48.xml" ContentType="application/vnd.openxmlformats-officedocument.spreadsheetml.worksheet+xml"/>
  <Override PartName="/xl/comments/comment36.xml" ContentType="application/vnd.openxmlformats-officedocument.spreadsheetml.comments+xml"/>
  <Override PartName="/xl/worksheets/sheet49.xml" ContentType="application/vnd.openxmlformats-officedocument.spreadsheetml.worksheet+xml"/>
  <Override PartName="/xl/comments/comment37.xml" ContentType="application/vnd.openxmlformats-officedocument.spreadsheetml.comments+xml"/>
  <Override PartName="/xl/worksheets/sheet50.xml" ContentType="application/vnd.openxmlformats-officedocument.spreadsheetml.worksheet+xml"/>
  <Override PartName="/xl/comments/comment38.xml" ContentType="application/vnd.openxmlformats-officedocument.spreadsheetml.comments+xml"/>
  <Override PartName="/xl/worksheets/sheet51.xml" ContentType="application/vnd.openxmlformats-officedocument.spreadsheetml.worksheet+xml"/>
  <Override PartName="/xl/comments/comment39.xml" ContentType="application/vnd.openxmlformats-officedocument.spreadsheetml.comments+xml"/>
  <Override PartName="/xl/worksheets/sheet52.xml" ContentType="application/vnd.openxmlformats-officedocument.spreadsheetml.worksheet+xml"/>
  <Override PartName="/xl/comments/comment40.xml" ContentType="application/vnd.openxmlformats-officedocument.spreadsheetml.comments+xml"/>
  <Override PartName="/xl/worksheets/sheet53.xml" ContentType="application/vnd.openxmlformats-officedocument.spreadsheetml.worksheet+xml"/>
  <Override PartName="/xl/comments/comment4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PAVIMENTAÇÃO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2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0.0"/>
    <numFmt numFmtId="174" formatCode="&quot;R$&quot; #,##0;[Red]-&quot;R$&quot; #,##0;&quot;-&quot;"/>
    <numFmt numFmtId="175" formatCode="&quot;R$&quot; #,##0.00;[Red]-&quot;R$&quot; #,##0.00;&quot;-&quot;"/>
  </numFmts>
  <fonts count="2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i val="1"/>
      <color rgb="00595959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9" fillId="4" borderId="0" applyAlignment="1" pivotButton="0" quotePrefix="0" xfId="0">
      <alignment vertical="center"/>
    </xf>
    <xf numFmtId="0" fontId="0" fillId="4" borderId="0" pivotButton="0" quotePrefix="0" xfId="0"/>
    <xf numFmtId="0" fontId="10" fillId="4" borderId="0" applyAlignment="1" pivotButton="0" quotePrefix="0" xfId="0">
      <alignment vertical="top"/>
    </xf>
    <xf numFmtId="0" fontId="15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4" fontId="16" fillId="6" borderId="7" applyAlignment="1" pivotButton="0" quotePrefix="0" xfId="0">
      <alignment horizontal="left" vertical="center" indent="1"/>
    </xf>
    <xf numFmtId="168" fontId="16" fillId="6" borderId="7" applyAlignment="1" pivotButton="0" quotePrefix="0" xfId="0">
      <alignment horizontal="left" vertical="center" indent="1"/>
    </xf>
    <xf numFmtId="0" fontId="16" fillId="6" borderId="7" applyAlignment="1" pivotButton="0" quotePrefix="0" xfId="0">
      <alignment horizontal="left" vertical="center" indent="1"/>
    </xf>
    <xf numFmtId="0" fontId="17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4" fillId="12" borderId="0" applyAlignment="1" pivotButton="0" quotePrefix="0" xfId="0">
      <alignment horizontal="center" vertical="center"/>
    </xf>
    <xf numFmtId="0" fontId="25" fillId="12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bottom"/>
    </xf>
    <xf numFmtId="0" fontId="8" fillId="4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right" vertical="center" wrapText="1"/>
    </xf>
    <xf numFmtId="0" fontId="8" fillId="13" borderId="0" applyAlignment="1" pivotButton="0" quotePrefix="0" xfId="0">
      <alignment horizontal="right" vertical="center" wrapText="1"/>
    </xf>
    <xf numFmtId="0" fontId="8" fillId="14" borderId="0" applyAlignment="1" pivotButton="0" quotePrefix="0" xfId="0">
      <alignment horizontal="right" vertical="center" wrapText="1"/>
    </xf>
    <xf numFmtId="1" fontId="26" fillId="7" borderId="11" applyAlignment="1" pivotButton="0" quotePrefix="0" xfId="0">
      <alignment horizontal="center"/>
    </xf>
    <xf numFmtId="175" fontId="2" fillId="7" borderId="11" pivotButton="0" quotePrefix="0" xfId="0"/>
    <xf numFmtId="10" fontId="2" fillId="7" borderId="11" pivotButton="0" quotePrefix="0" xfId="0"/>
    <xf numFmtId="1" fontId="26" fillId="8" borderId="11" applyAlignment="1" pivotButton="0" quotePrefix="0" xfId="0">
      <alignment horizontal="center"/>
    </xf>
    <xf numFmtId="175" fontId="2" fillId="8" borderId="11" pivotButton="0" quotePrefix="0" xfId="0"/>
    <xf numFmtId="10" fontId="2" fillId="8" borderId="11" pivotButton="0" quotePrefix="0" xfId="0"/>
    <xf numFmtId="0" fontId="8" fillId="4" borderId="0" applyAlignment="1" pivotButton="0" quotePrefix="0" xfId="0">
      <alignment horizontal="center"/>
    </xf>
    <xf numFmtId="175" fontId="8" fillId="4" borderId="0" pivotButton="0" quotePrefix="0" xfId="0"/>
    <xf numFmtId="0" fontId="8" fillId="4" borderId="0" pivotButton="0" quotePrefix="0" xfId="0"/>
    <xf numFmtId="10" fontId="8" fillId="4" borderId="0" pivotButton="0" quotePrefix="0" xfId="0"/>
    <xf numFmtId="0" fontId="21" fillId="0" borderId="0" pivotButton="0" quotePrefix="0" xfId="0"/>
    <xf numFmtId="0" fontId="24" fillId="0" borderId="0" pivotButton="0" quotePrefix="0" xfId="0"/>
    <xf numFmtId="0" fontId="8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8" fillId="4" borderId="0" applyAlignment="1" pivotButton="0" quotePrefix="0" xfId="0">
      <alignment indent="1"/>
    </xf>
    <xf numFmtId="168" fontId="8" fillId="4" borderId="0" pivotButton="0" quotePrefix="0" xfId="0"/>
    <xf numFmtId="0" fontId="7" fillId="0" borderId="0" pivotButton="0" quotePrefix="0" xfId="0"/>
    <xf numFmtId="0" fontId="3" fillId="0" borderId="1" pivotButton="0" quotePrefix="0" xfId="0"/>
    <xf numFmtId="4" fontId="5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5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5" fillId="0" borderId="1" pivotButton="0" quotePrefix="0" xfId="0"/>
    <xf numFmtId="165" fontId="2" fillId="0" borderId="1" pivotButton="0" quotePrefix="0" xfId="0"/>
    <xf numFmtId="9" fontId="5" fillId="2" borderId="1" pivotButton="0" quotePrefix="0" xfId="0"/>
    <xf numFmtId="4" fontId="6" fillId="0" borderId="1" pivotButton="0" quotePrefix="0" xfId="0"/>
    <xf numFmtId="0" fontId="5" fillId="2" borderId="1" pivotButton="0" quotePrefix="0" xfId="0"/>
    <xf numFmtId="0" fontId="8" fillId="4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6" fillId="0" borderId="1" pivotButton="0" quotePrefix="0" xfId="0"/>
    <xf numFmtId="168" fontId="6" fillId="0" borderId="1" pivotButton="0" quotePrefix="0" xfId="0"/>
    <xf numFmtId="164" fontId="6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8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6" fillId="0" borderId="1" pivotButton="0" quotePrefix="0" xfId="0"/>
    <xf numFmtId="165" fontId="6" fillId="0" borderId="1" pivotButton="0" quotePrefix="0" xfId="0"/>
    <xf numFmtId="4" fontId="2" fillId="0" borderId="1" pivotButton="0" quotePrefix="0" xfId="0"/>
    <xf numFmtId="0" fontId="10" fillId="4" borderId="0" pivotButton="0" quotePrefix="0" xfId="0"/>
    <xf numFmtId="0" fontId="11" fillId="0" borderId="0" applyAlignment="1" pivotButton="0" quotePrefix="0" xfId="0">
      <alignment horizontal="right"/>
    </xf>
    <xf numFmtId="1" fontId="12" fillId="2" borderId="1" pivotButton="0" quotePrefix="0" xfId="0"/>
    <xf numFmtId="171" fontId="13" fillId="2" borderId="1" pivotButton="0" quotePrefix="0" xfId="0"/>
    <xf numFmtId="167" fontId="14" fillId="0" borderId="0" applyAlignment="1" pivotButton="0" quotePrefix="0" xfId="0">
      <alignment horizontal="left"/>
    </xf>
    <xf numFmtId="172" fontId="16" fillId="6" borderId="7" applyAlignment="1" pivotButton="0" quotePrefix="0" xfId="0">
      <alignment horizontal="left" vertical="center" indent="1"/>
    </xf>
    <xf numFmtId="4" fontId="16" fillId="6" borderId="7" applyAlignment="1" pivotButton="0" quotePrefix="0" xfId="0">
      <alignment horizontal="left" vertical="center" indent="1"/>
    </xf>
    <xf numFmtId="0" fontId="18" fillId="6" borderId="7" applyAlignment="1" pivotButton="0" quotePrefix="0" xfId="0">
      <alignment horizontal="left" vertical="center" indent="1"/>
    </xf>
    <xf numFmtId="0" fontId="19" fillId="4" borderId="0" applyAlignment="1" pivotButton="0" quotePrefix="0" xfId="0">
      <alignment horizontal="left" vertical="center" wrapText="1"/>
    </xf>
    <xf numFmtId="0" fontId="19" fillId="4" borderId="0" applyAlignment="1" pivotButton="0" quotePrefix="0" xfId="0">
      <alignment horizontal="right" vertical="center" wrapText="1"/>
    </xf>
    <xf numFmtId="0" fontId="6" fillId="7" borderId="11" applyAlignment="1" pivotButton="0" quotePrefix="0" xfId="0">
      <alignment horizontal="left" vertical="top"/>
    </xf>
    <xf numFmtId="0" fontId="6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6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20" fillId="7" borderId="11" applyAlignment="1" pivotButton="0" quotePrefix="0" xfId="0">
      <alignment vertical="top" wrapText="1"/>
    </xf>
    <xf numFmtId="164" fontId="6" fillId="0" borderId="0" pivotButton="0" quotePrefix="0" xfId="0"/>
    <xf numFmtId="0" fontId="6" fillId="8" borderId="11" applyAlignment="1" pivotButton="0" quotePrefix="0" xfId="0">
      <alignment horizontal="left" vertical="top"/>
    </xf>
    <xf numFmtId="0" fontId="6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6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20" fillId="8" borderId="11" applyAlignment="1" pivotButton="0" quotePrefix="0" xfId="0">
      <alignment vertical="top" wrapText="1"/>
    </xf>
    <xf numFmtId="0" fontId="14" fillId="9" borderId="11" applyAlignment="1" pivotButton="0" quotePrefix="0" xfId="0">
      <alignment horizontal="left" vertical="top"/>
    </xf>
    <xf numFmtId="0" fontId="14" fillId="9" borderId="11" applyAlignment="1" pivotButton="0" quotePrefix="0" xfId="0">
      <alignment vertical="top" wrapText="1"/>
    </xf>
    <xf numFmtId="168" fontId="14" fillId="9" borderId="11" applyAlignment="1" pivotButton="0" quotePrefix="0" xfId="0">
      <alignment horizontal="right" vertical="top"/>
    </xf>
    <xf numFmtId="164" fontId="14" fillId="9" borderId="11" applyAlignment="1" pivotButton="0" quotePrefix="0" xfId="0">
      <alignment horizontal="right" vertical="top"/>
    </xf>
    <xf numFmtId="0" fontId="14" fillId="9" borderId="11" pivotButton="0" quotePrefix="0" xfId="0"/>
    <xf numFmtId="164" fontId="8" fillId="4" borderId="0" applyAlignment="1" pivotButton="0" quotePrefix="0" xfId="0">
      <alignment horizontal="right"/>
    </xf>
    <xf numFmtId="168" fontId="8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8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0" fontId="2" fillId="0" borderId="1" pivotButton="0" quotePrefix="0" xfId="0"/>
    <xf numFmtId="0" fontId="22" fillId="0" borderId="0" pivotButton="0" quotePrefix="0" xfId="0"/>
    <xf numFmtId="169" fontId="6" fillId="0" borderId="1" pivotButton="0" quotePrefix="0" xfId="0"/>
    <xf numFmtId="10" fontId="5" fillId="0" borderId="1" pivotButton="0" quotePrefix="0" xfId="0"/>
    <xf numFmtId="171" fontId="5" fillId="0" borderId="1" pivotButton="0" quotePrefix="0" xfId="0"/>
    <xf numFmtId="10" fontId="2" fillId="0" borderId="0" pivotButton="0" quotePrefix="0" xfId="0"/>
    <xf numFmtId="0" fontId="23" fillId="0" borderId="0" pivotButton="0" quotePrefix="0" xfId="0"/>
    <xf numFmtId="171" fontId="5" fillId="0" borderId="0" pivotButton="0" quotePrefix="0" xfId="0"/>
    <xf numFmtId="4" fontId="5" fillId="0" borderId="0" pivotButton="0" quotePrefix="0" xfId="0"/>
    <xf numFmtId="171" fontId="6" fillId="0" borderId="1" pivotButton="0" quotePrefix="0" xfId="0"/>
    <xf numFmtId="1" fontId="23" fillId="0" borderId="0" pivotButton="0" quotePrefix="0" xfId="0"/>
    <xf numFmtId="169" fontId="8" fillId="4" borderId="1" pivotButton="0" quotePrefix="0" xfId="0"/>
    <xf numFmtId="173" fontId="2" fillId="0" borderId="1" pivotButton="0" quotePrefix="0" xfId="0"/>
    <xf numFmtId="165" fontId="2" fillId="0" borderId="0" pivotButton="0" quotePrefix="0" xfId="0"/>
    <xf numFmtId="165" fontId="3" fillId="5" borderId="1" pivotButton="0" quotePrefix="0" xfId="0"/>
    <xf numFmtId="0" fontId="8" fillId="10" borderId="1" applyAlignment="1" pivotButton="0" quotePrefix="0" xfId="0">
      <alignment horizontal="center" vertical="center" wrapText="1"/>
    </xf>
    <xf numFmtId="164" fontId="5" fillId="11" borderId="1" pivotButton="0" quotePrefix="0" xfId="0"/>
    <xf numFmtId="2" fontId="6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5" fillId="2" borderId="1" pivotButton="0" quotePrefix="0" xfId="0"/>
    <xf numFmtId="168" fontId="2" fillId="0" borderId="1" pivotButton="0" quotePrefix="0" xfId="0"/>
    <xf numFmtId="164" fontId="6" fillId="0" borderId="1" applyAlignment="1" pivotButton="0" quotePrefix="0" xfId="0">
      <alignment vertical="top" wrapText="1"/>
    </xf>
    <xf numFmtId="0" fontId="0" fillId="0" borderId="14" pivotButton="0" quotePrefix="0" xfId="0"/>
    <xf numFmtId="0" fontId="5" fillId="0" borderId="0" applyAlignment="1" pivotButton="0" quotePrefix="0" xfId="0">
      <alignment vertical="top" wrapText="1"/>
    </xf>
    <xf numFmtId="170" fontId="3" fillId="5" borderId="1" pivotButton="0" quotePrefix="0" xfId="0"/>
    <xf numFmtId="164" fontId="3" fillId="0" borderId="1" pivotButton="0" quotePrefix="0" xfId="0"/>
    <xf numFmtId="9" fontId="2" fillId="0" borderId="1" pivotButton="0" quotePrefix="0" xfId="0"/>
    <xf numFmtId="1" fontId="5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L10" authorId="0" shapeId="0">
      <text>
        <t>Projeção IEC. Arquivo original: VALOR POR PL!L (taxa de adm.: TAX. ADM!J9).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L48" authorId="0" shapeId="0">
      <text>
        <t>Taxa de administração = somente o incorrido no ERP (sem previsão futura).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8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PLANILHA EM BRANCO — como começar uma obra nova</t>
        </is>
      </c>
    </row>
    <row r="2">
      <c r="A2" s="2" t="inlineStr">
        <is>
          <t>Preencha só as células/abas de ENTRADA (texto azul, fundo amarelo nos parâmetros). O resto é fórmula e se calcula sozinho.</t>
        </is>
      </c>
    </row>
    <row r="3">
      <c r="A3" s="2" t="inlineStr">
        <is>
          <t>Os exemplos em cinza mostram o formato esperado (valores do Botânico, só como referência).</t>
        </is>
      </c>
    </row>
    <row r="4">
      <c r="A4" s="2" t="inlineStr"/>
    </row>
    <row r="5">
      <c r="A5" s="3" t="inlineStr">
        <is>
          <t>1. VALOR POR PL — parâmetros e orçamento</t>
        </is>
      </c>
    </row>
    <row r="6">
      <c r="A6" s="2" t="inlineStr">
        <is>
          <t xml:space="preserve">   P9 = nome da obra · K6 = início do fluxo (1º mês; o realizado anterior entra acumulado nele) · K5 = data de corte (último mês fechado)</t>
        </is>
      </c>
    </row>
    <row r="7">
      <c r="A7" s="2" t="inlineStr">
        <is>
          <t xml:space="preserve">   H6 = INCC base do orçamento · K7 = limite de avanço físico para usar o Prevision (padrão 10%)</t>
        </is>
      </c>
    </row>
    <row r="8">
      <c r="A8" s="2" t="inlineStr">
        <is>
          <t xml:space="preserve">   Por PL (linhas 11 a 48): F = orçamento base (R$) · L = projeção atual (R$) · I = DIRETO/INDIRETO</t>
        </is>
      </c>
    </row>
    <row r="9">
      <c r="A9" s="4" t="inlineStr">
        <is>
          <t xml:space="preserve">   Exemplo: 01 PROJETOS | F: 2.400.000,00 | L: 2.640.655,00 | I: INDIRETO</t>
        </is>
      </c>
    </row>
    <row r="10">
      <c r="A10" s="3" t="inlineStr">
        <is>
          <t>2. "INCC-FGV" — índices mensais (já preenchidos até ago/2026; acrescente os meses seguintes)</t>
        </is>
      </c>
    </row>
    <row r="11">
      <c r="A11" s="4" t="inlineStr">
        <is>
          <t xml:space="preserve">   Exemplo: A = 01/09/2026 | B = 1.305,42 (número-índice do INCC-DI, não a variação %)</t>
        </is>
      </c>
    </row>
    <row r="12">
      <c r="A12" s="3" t="inlineStr">
        <is>
          <t>3. DADOS BRUTOS — cole a tabela dinâmica do ERP a partir de A1 (Colar especial → Valores)</t>
        </is>
      </c>
    </row>
    <row r="13">
      <c r="A13" s="2" t="inlineStr">
        <is>
          <t xml:space="preserve">   Linha 2 = meses (datas) a partir de B2 · coluna A = grupos a partir da linha 3</t>
        </is>
      </c>
    </row>
    <row r="14">
      <c r="A14" s="4" t="inlineStr">
        <is>
          <t xml:space="preserve">   Exemplo: A2 'Rótulos de Linha' | B2 01/05/2023 | C2 01/06/2023 …   ·   A8 'ALVENARIA' | B8 12.345,67 | C8 8.910,11 …</t>
        </is>
      </c>
    </row>
    <row r="15">
      <c r="A15" s="2" t="inlineStr">
        <is>
          <t xml:space="preserve">   Se o ERP da obra usar outros nomes de grupo, ajuste as colunas B/C da aba DADOS HISTORICOS.</t>
        </is>
      </c>
    </row>
    <row r="16">
      <c r="A16" s="3" t="inlineStr">
        <is>
          <t>4. CURVA PREVISION — cole o export 'Cronograma físico financeiro' do Prevision a partir de A1</t>
        </is>
      </c>
    </row>
    <row r="17">
      <c r="A17" s="4" t="inlineStr">
        <is>
          <t xml:space="preserve">   Exemplo: J2 '30/06/2025' (mês, sobre a coluna Previsto) · linha 3: Nível | Código EAP | Descrição | … | Base | Previsto | Realizado</t>
        </is>
      </c>
    </row>
    <row r="18">
      <c r="A18" s="2" t="inlineStr">
        <is>
          <t xml:space="preserve">   Os códigos de 1º nível (coluna B: 01, 02 … 37) precisam ser iguais aos da coluna C de VALOR POR PL.</t>
        </is>
      </c>
    </row>
    <row r="19">
      <c r="A19" s="3" t="inlineStr">
        <is>
          <t>5. CRONOGRAMA ATIVIDADES — cole o export de atividades do Prevision a partir de A1</t>
        </is>
      </c>
    </row>
    <row r="20">
      <c r="A20" s="4" t="inlineStr">
        <is>
          <t xml:space="preserve">   Exemplo: linha 4: ID | Pacote de trabalho/tarefas | Serviço | Lote | Data de Início | Data de Término | … | Base | Previsto | Realizado</t>
        </is>
      </c>
    </row>
    <row r="21">
      <c r="A21" s="2" t="inlineStr">
        <is>
          <t xml:space="preserve">   Revise o de-para pacote → PL (colunas R a U). Pacotes sem de-para aparecem em vermelho.</t>
        </is>
      </c>
    </row>
    <row r="22">
      <c r="A22" s="3" t="inlineStr">
        <is>
          <t>6. Abas de disciplina (opcional) — coluna H = previsão informada por mês; K15 = forçar a fonte da curva</t>
        </is>
      </c>
    </row>
    <row r="23">
      <c r="A23" s="2" t="inlineStr">
        <is>
          <t xml:space="preserve">   Padrões herdados das premissas: ELEVADORES e ESQUADRIAS com previsão informada; LOUÇAS com MDO pelo Prevision e material pela premissa.</t>
        </is>
      </c>
    </row>
    <row r="24">
      <c r="A24" s="3" t="inlineStr">
        <is>
          <t>7. Confira — VALOR POR PL, coluna N e bloco CONFERÊNCIA GERAL (tudo 'OK'); depois DASHBOARD e RETRATO 2027.</t>
        </is>
      </c>
    </row>
    <row r="25">
      <c r="A25" s="2" t="inlineStr"/>
    </row>
    <row r="26">
      <c r="A26" s="1" t="inlineStr">
        <is>
          <t>Fluxo de caixa da obra — mesmas abas do MODELO 05, agora com cálculo automático</t>
        </is>
      </c>
    </row>
    <row r="27">
      <c r="A27" s="2" t="inlineStr"/>
    </row>
    <row r="28">
      <c r="A28" s="3" t="inlineStr">
        <is>
          <t>O que mudou em relação ao modelo original</t>
        </is>
      </c>
    </row>
    <row r="29">
      <c r="A29" s="2" t="inlineStr">
        <is>
          <t>• As abas são as mesmas. A diferença é que nada precisa de ajuste manual: em cada aba de disciplina, o saldo</t>
        </is>
      </c>
    </row>
    <row r="30">
      <c r="A30" s="2" t="inlineStr">
        <is>
          <t xml:space="preserve">  (PROJEÇÃO − INCORRIDO) é distribuído automaticamente nos meses futuros, então a linha DIFERENÇA fica zerada sozinha.</t>
        </is>
      </c>
    </row>
    <row r="31">
      <c r="A31" s="2" t="inlineStr">
        <is>
          <t>• A coluna PREVISÃO (R$) agora é calculada. O que você digitava nela vai na coluna H 'PREVISÃO INFORMADA' e vira o peso</t>
        </is>
      </c>
    </row>
    <row r="32">
      <c r="A32" s="2" t="inlineStr">
        <is>
          <t xml:space="preserve">  de cada mês. Se a soma do que você digitou não fechar com o saldo, a ferramenta reescala (mostra o % de ajuste em K15).</t>
        </is>
      </c>
    </row>
    <row r="33">
      <c r="A33" s="2" t="inlineStr">
        <is>
          <t>• Regra da curva (célula K16 de cada aba): itens DIRETOS com avanço físico realizado no Prevision abaixo do limite</t>
        </is>
      </c>
    </row>
    <row r="34">
      <c r="A34" s="2" t="inlineStr">
        <is>
          <t xml:space="preserve">  (VALOR POR PL!K7, hoje 10%) seguem a CURVA DO PREVISION (colunas M a O da aba). Os demais usam a coluna H;</t>
        </is>
      </c>
    </row>
    <row r="35">
      <c r="A35" s="2" t="inlineStr">
        <is>
          <t xml:space="preserve">  sem coluna H, também usam o Prevision. Para forçar uma fonte numa aba, use a célula K15.</t>
        </is>
      </c>
    </row>
    <row r="36">
      <c r="A36" s="2" t="inlineStr">
        <is>
          <t>• DADOS HISTORICOS localiza cada grupo do ERP pelo NOME e cada mês pela DATA do cabeçalho (antes era por posição).</t>
        </is>
      </c>
    </row>
    <row r="37">
      <c r="A37" s="2" t="inlineStr"/>
    </row>
    <row r="38">
      <c r="A38" s="3" t="inlineStr">
        <is>
          <t>Atualização mensal</t>
        </is>
      </c>
    </row>
    <row r="39">
      <c r="A39" s="2" t="inlineStr">
        <is>
          <t>1. "INCC-FGV": acrescente o índice do mês (mês no formato 01/mm/aaaa).</t>
        </is>
      </c>
    </row>
    <row r="40">
      <c r="A40" s="2" t="inlineStr">
        <is>
          <t>2. VALOR POR PL: mude a DATA DE CORTE (K5) para o último mês com realizado fechado; atualize a PROJEÇÃO (coluna L).</t>
        </is>
      </c>
    </row>
    <row r="41">
      <c r="A41" s="2" t="inlineStr">
        <is>
          <t>3. DADOS BRUTOS: cole a tabela dinâmica do ERP a partir da célula A1 (mesmo formato de sempre: grupos nas linhas, meses nas colunas).</t>
        </is>
      </c>
    </row>
    <row r="42">
      <c r="A42" s="2" t="inlineStr">
        <is>
          <t xml:space="preserve">   Grupo destacado em vermelho = nome que não existe em DADOS HISTORICOS (colunas B/C). Cadastre-o ou coloque na lista de ignorados.</t>
        </is>
      </c>
    </row>
    <row r="43">
      <c r="A43" s="2" t="inlineStr">
        <is>
          <t>4. CURVA PREVISION: cole o export do Prevision a partir da célula A1 (opcional — só é usado quando a coluna H da disciplina está vazia).</t>
        </is>
      </c>
    </row>
    <row r="44">
      <c r="A44" s="2" t="inlineStr">
        <is>
          <t>5. Abas de disciplina: se quiser, digite a previsão por mês na coluna H (meses futuros).</t>
        </is>
      </c>
    </row>
    <row r="45">
      <c r="A45" s="2" t="inlineStr">
        <is>
          <t>6. VALOR POR PL, coluna N e bloco CONFERÊNCIA GERAL: tudo deve estar 'OK'.</t>
        </is>
      </c>
    </row>
    <row r="46">
      <c r="A46" s="2" t="inlineStr">
        <is>
          <t>7. RETRATO 2027: escolha o ano em D5 e o INCC em F5. As observações vêm da aba CRONOGRAMA ATIVIDADES (cole ali o export de atividades do Prevision).</t>
        </is>
      </c>
    </row>
    <row r="47">
      <c r="A47" s="2" t="inlineStr"/>
    </row>
    <row r="48">
      <c r="A48" s="3" t="inlineStr">
        <is>
          <t>Convenção de cores</t>
        </is>
      </c>
    </row>
    <row r="49">
      <c r="A49" s="5" t="inlineStr">
        <is>
          <t>Texto azul = entrada (editar)</t>
        </is>
      </c>
    </row>
    <row r="50">
      <c r="A50" s="2" t="inlineStr">
        <is>
          <t>Texto preto = fórmula (não editar)</t>
        </is>
      </c>
    </row>
    <row r="51">
      <c r="A51" s="6" t="inlineStr">
        <is>
          <t>Texto verde = puxa de outra aba (não editar)</t>
        </is>
      </c>
    </row>
    <row r="52">
      <c r="A52" s="7" t="inlineStr">
        <is>
          <t>Fundo amarelo = parâmetro principal</t>
        </is>
      </c>
    </row>
    <row r="53">
      <c r="A53" s="8" t="inlineStr">
        <is>
          <t>Linhas cinza nas abas de disciplina = meses já realizados (até a data de corte)</t>
        </is>
      </c>
    </row>
    <row r="54">
      <c r="A54" s="2" t="inlineStr"/>
    </row>
    <row r="55">
      <c r="A55" s="3" t="inlineStr">
        <is>
          <t>Diferenças de abas em relação ao original</t>
        </is>
      </c>
    </row>
    <row r="56">
      <c r="A56" s="2" t="inlineStr">
        <is>
          <t>• Novas: LEIA-ME, SEGUROS e LIG. PROVISÓRIAS (essas duas disciplinas tinham projeção e realizado no ERP, mas nenhuma aba de distribuição).</t>
        </is>
      </c>
    </row>
    <row r="57">
      <c r="A57" s="2" t="inlineStr">
        <is>
          <t>• Removida: Planilha1 (era uma cópia com valores fixos do MODELO PARA BI).</t>
        </is>
      </c>
    </row>
    <row r="58">
      <c r="A58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9">
        <f>'VALOR POR PL'!$P$9&amp;"  ·  FLUXO DE CAIXA DA OBRA"</f>
        <v/>
      </c>
      <c r="C2" s="10" t="n"/>
      <c r="D2" s="10" t="n"/>
      <c r="E2" s="10" t="n"/>
      <c r="F2" s="10" t="n"/>
      <c r="G2" s="10" t="n"/>
      <c r="H2" s="10" t="n"/>
      <c r="I2" s="10" t="n"/>
    </row>
    <row r="3" ht="20" customHeight="1">
      <c r="B3" s="11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10" t="n"/>
      <c r="D3" s="10" t="n"/>
      <c r="E3" s="10" t="n"/>
      <c r="F3" s="10" t="n"/>
      <c r="G3" s="10" t="n"/>
      <c r="H3" s="10" t="n"/>
      <c r="I3" s="10" t="n"/>
    </row>
    <row r="5" ht="22" customHeight="1">
      <c r="B5" s="12" t="inlineStr">
        <is>
          <t>PROJEÇÃO TOTAL</t>
        </is>
      </c>
      <c r="C5" s="13" t="n"/>
      <c r="D5" s="12" t="inlineStr">
        <is>
          <t>REALIZADO ATÉ O CORTE</t>
        </is>
      </c>
      <c r="E5" s="12" t="inlineStr">
        <is>
          <t>% REALIZADO</t>
        </is>
      </c>
      <c r="F5" s="12">
        <f>"DESEMBOLSO EM "&amp;'RETRATO 2027'!$D$5</f>
        <v/>
      </c>
      <c r="H5" s="12" t="inlineStr">
        <is>
          <t>SALDO A REALIZAR</t>
        </is>
      </c>
      <c r="I5" s="12" t="inlineStr">
        <is>
          <t>CONFERÊNCIA</t>
        </is>
      </c>
    </row>
    <row r="6" ht="30" customHeight="1">
      <c r="B6" s="14">
        <f>'VALOR POR PL'!L50</f>
        <v/>
      </c>
      <c r="D6" s="14">
        <f>SUMPRODUCT(('MODELO PARA BI'!$H$1:$CA$1&lt;='VALOR POR PL'!$P$5)*'MODELO PARA BI'!$H$63:$CA$63)</f>
        <v/>
      </c>
      <c r="E6" s="15">
        <f>IF(B6=0,0,D6/B6)</f>
        <v/>
      </c>
      <c r="F6" s="14">
        <f>SUMPRODUCT((YEAR('MODELO PARA BI'!$H$1:$CA$1)='RETRATO 2027'!$D$5)*'MODELO PARA BI'!$H$63:$CA$63)</f>
        <v/>
      </c>
      <c r="H6" s="14">
        <f>SUM('MODELO PARA BI'!$H$63:$CA$63)-D6</f>
        <v/>
      </c>
      <c r="I6" s="16">
        <f>IF(COUNTIF('VALOR POR PL'!$F$54:$F$59,"⚠*")=0,"✓ Tudo OK","⚠ "&amp;COUNTIF('VALOR POR PL'!$F$54:$F$59,"⚠*")&amp;" pendência(s)")</f>
        <v/>
      </c>
    </row>
    <row r="7" ht="18" customHeight="1">
      <c r="B7" s="17" t="inlineStr">
        <is>
          <t>orçamento projetado (IEC)</t>
        </is>
      </c>
      <c r="C7" s="18" t="n"/>
      <c r="D7" s="17" t="inlineStr">
        <is>
          <t>incorrido no ERP</t>
        </is>
      </c>
      <c r="E7" s="17" t="inlineStr">
        <is>
          <t>da projeção</t>
        </is>
      </c>
      <c r="F7" s="17" t="inlineStr">
        <is>
          <t>realizado + previsto</t>
        </is>
      </c>
      <c r="H7" s="17" t="inlineStr">
        <is>
          <t>após a data de corte</t>
        </is>
      </c>
      <c r="I7" s="17" t="inlineStr">
        <is>
          <t>detalhes em VALOR POR PL</t>
        </is>
      </c>
    </row>
    <row r="10" ht="22" customHeight="1">
      <c r="B10" s="19" t="inlineStr">
        <is>
          <t>REALIZADO (ATUAL)</t>
        </is>
      </c>
    </row>
    <row r="11">
      <c r="B11" s="20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1" t="inlineStr">
        <is>
          <t>COMPOSIÇÃO DO ANO</t>
        </is>
      </c>
    </row>
    <row r="12" ht="32" customHeight="1">
      <c r="B12" s="22" t="inlineStr">
        <is>
          <t>Ano</t>
        </is>
      </c>
      <c r="C12" s="23" t="inlineStr">
        <is>
          <t>Anual
R$</t>
        </is>
      </c>
      <c r="D12" s="23" t="inlineStr">
        <is>
          <t>Acumulado
R$</t>
        </is>
      </c>
      <c r="E12" s="23" t="inlineStr">
        <is>
          <t>Anual
%</t>
        </is>
      </c>
      <c r="F12" s="23" t="inlineStr">
        <is>
          <t>Acumulado
%</t>
        </is>
      </c>
      <c r="H12" s="24" t="inlineStr">
        <is>
          <t>Realizado
R$</t>
        </is>
      </c>
      <c r="I12" s="25" t="inlineStr">
        <is>
          <t>A realizar
R$</t>
        </is>
      </c>
    </row>
    <row r="13" ht="19" customHeight="1">
      <c r="B13" s="26">
        <f>YEAR('VALOR POR PL'!$P$6)+0</f>
        <v/>
      </c>
      <c r="C13" s="27">
        <f>SUMPRODUCT((YEAR('MODELO PARA BI'!$H$1:$CA$1)=B13)*'MODELO PARA BI'!$H$63:$CA$63)</f>
        <v/>
      </c>
      <c r="D13" s="27">
        <f>C13</f>
        <v/>
      </c>
      <c r="E13" s="28">
        <f>IF($C$20=0,0,C13/$C$20)</f>
        <v/>
      </c>
      <c r="F13" s="28">
        <f>IF($C$20=0,0,D13/$C$20)</f>
        <v/>
      </c>
      <c r="H13" s="27">
        <f>SUMPRODUCT((YEAR('MODELO PARA BI'!$H$1:$CA$1)=B13)*('MODELO PARA BI'!$H$1:$CA$1&lt;='VALOR POR PL'!$P$5)*'MODELO PARA BI'!$H$63:$CA$63)</f>
        <v/>
      </c>
      <c r="I13" s="27">
        <f>C13-H13</f>
        <v/>
      </c>
    </row>
    <row r="14" ht="19" customHeight="1">
      <c r="B14" s="29">
        <f>YEAR('VALOR POR PL'!$P$6)+1</f>
        <v/>
      </c>
      <c r="C14" s="30">
        <f>SUMPRODUCT((YEAR('MODELO PARA BI'!$H$1:$CA$1)=B14)*'MODELO PARA BI'!$H$63:$CA$63)</f>
        <v/>
      </c>
      <c r="D14" s="30">
        <f>D13+C14</f>
        <v/>
      </c>
      <c r="E14" s="31">
        <f>IF($C$20=0,0,C14/$C$20)</f>
        <v/>
      </c>
      <c r="F14" s="31">
        <f>IF($C$20=0,0,D14/$C$20)</f>
        <v/>
      </c>
      <c r="H14" s="30">
        <f>SUMPRODUCT((YEAR('MODELO PARA BI'!$H$1:$CA$1)=B14)*('MODELO PARA BI'!$H$1:$CA$1&lt;='VALOR POR PL'!$P$5)*'MODELO PARA BI'!$H$63:$CA$63)</f>
        <v/>
      </c>
      <c r="I14" s="30">
        <f>C14-H14</f>
        <v/>
      </c>
    </row>
    <row r="15" ht="19" customHeight="1">
      <c r="B15" s="26">
        <f>YEAR('VALOR POR PL'!$P$6)+2</f>
        <v/>
      </c>
      <c r="C15" s="27">
        <f>SUMPRODUCT((YEAR('MODELO PARA BI'!$H$1:$CA$1)=B15)*'MODELO PARA BI'!$H$63:$CA$63)</f>
        <v/>
      </c>
      <c r="D15" s="27">
        <f>D14+C15</f>
        <v/>
      </c>
      <c r="E15" s="28">
        <f>IF($C$20=0,0,C15/$C$20)</f>
        <v/>
      </c>
      <c r="F15" s="28">
        <f>IF($C$20=0,0,D15/$C$20)</f>
        <v/>
      </c>
      <c r="H15" s="27">
        <f>SUMPRODUCT((YEAR('MODELO PARA BI'!$H$1:$CA$1)=B15)*('MODELO PARA BI'!$H$1:$CA$1&lt;='VALOR POR PL'!$P$5)*'MODELO PARA BI'!$H$63:$CA$63)</f>
        <v/>
      </c>
      <c r="I15" s="27">
        <f>C15-H15</f>
        <v/>
      </c>
    </row>
    <row r="16" ht="19" customHeight="1">
      <c r="B16" s="29">
        <f>YEAR('VALOR POR PL'!$P$6)+3</f>
        <v/>
      </c>
      <c r="C16" s="30">
        <f>SUMPRODUCT((YEAR('MODELO PARA BI'!$H$1:$CA$1)=B16)*'MODELO PARA BI'!$H$63:$CA$63)</f>
        <v/>
      </c>
      <c r="D16" s="30">
        <f>D15+C16</f>
        <v/>
      </c>
      <c r="E16" s="31">
        <f>IF($C$20=0,0,C16/$C$20)</f>
        <v/>
      </c>
      <c r="F16" s="31">
        <f>IF($C$20=0,0,D16/$C$20)</f>
        <v/>
      </c>
      <c r="H16" s="30">
        <f>SUMPRODUCT((YEAR('MODELO PARA BI'!$H$1:$CA$1)=B16)*('MODELO PARA BI'!$H$1:$CA$1&lt;='VALOR POR PL'!$P$5)*'MODELO PARA BI'!$H$63:$CA$63)</f>
        <v/>
      </c>
      <c r="I16" s="30">
        <f>C16-H16</f>
        <v/>
      </c>
    </row>
    <row r="17" ht="19" customHeight="1">
      <c r="B17" s="26">
        <f>YEAR('VALOR POR PL'!$P$6)+4</f>
        <v/>
      </c>
      <c r="C17" s="27">
        <f>SUMPRODUCT((YEAR('MODELO PARA BI'!$H$1:$CA$1)=B17)*'MODELO PARA BI'!$H$63:$CA$63)</f>
        <v/>
      </c>
      <c r="D17" s="27">
        <f>D16+C17</f>
        <v/>
      </c>
      <c r="E17" s="28">
        <f>IF($C$20=0,0,C17/$C$20)</f>
        <v/>
      </c>
      <c r="F17" s="28">
        <f>IF($C$20=0,0,D17/$C$20)</f>
        <v/>
      </c>
      <c r="H17" s="27">
        <f>SUMPRODUCT((YEAR('MODELO PARA BI'!$H$1:$CA$1)=B17)*('MODELO PARA BI'!$H$1:$CA$1&lt;='VALOR POR PL'!$P$5)*'MODELO PARA BI'!$H$63:$CA$63)</f>
        <v/>
      </c>
      <c r="I17" s="27">
        <f>C17-H17</f>
        <v/>
      </c>
    </row>
    <row r="18" ht="19" customHeight="1">
      <c r="B18" s="29">
        <f>YEAR('VALOR POR PL'!$P$6)+5</f>
        <v/>
      </c>
      <c r="C18" s="30">
        <f>SUMPRODUCT((YEAR('MODELO PARA BI'!$H$1:$CA$1)=B18)*'MODELO PARA BI'!$H$63:$CA$63)</f>
        <v/>
      </c>
      <c r="D18" s="30">
        <f>D17+C18</f>
        <v/>
      </c>
      <c r="E18" s="31">
        <f>IF($C$20=0,0,C18/$C$20)</f>
        <v/>
      </c>
      <c r="F18" s="31">
        <f>IF($C$20=0,0,D18/$C$20)</f>
        <v/>
      </c>
      <c r="H18" s="30">
        <f>SUMPRODUCT((YEAR('MODELO PARA BI'!$H$1:$CA$1)=B18)*('MODELO PARA BI'!$H$1:$CA$1&lt;='VALOR POR PL'!$P$5)*'MODELO PARA BI'!$H$63:$CA$63)</f>
        <v/>
      </c>
      <c r="I18" s="30">
        <f>C18-H18</f>
        <v/>
      </c>
    </row>
    <row r="19" ht="19" customHeight="1">
      <c r="B19" s="26">
        <f>YEAR('VALOR POR PL'!$P$6)+6</f>
        <v/>
      </c>
      <c r="C19" s="27">
        <f>SUMPRODUCT((YEAR('MODELO PARA BI'!$H$1:$CA$1)=B19)*'MODELO PARA BI'!$H$63:$CA$63)</f>
        <v/>
      </c>
      <c r="D19" s="27">
        <f>D18+C19</f>
        <v/>
      </c>
      <c r="E19" s="28">
        <f>IF($C$20=0,0,C19/$C$20)</f>
        <v/>
      </c>
      <c r="F19" s="28">
        <f>IF($C$20=0,0,D19/$C$20)</f>
        <v/>
      </c>
      <c r="H19" s="27">
        <f>SUMPRODUCT((YEAR('MODELO PARA BI'!$H$1:$CA$1)=B19)*('MODELO PARA BI'!$H$1:$CA$1&lt;='VALOR POR PL'!$P$5)*'MODELO PARA BI'!$H$63:$CA$63)</f>
        <v/>
      </c>
      <c r="I19" s="27">
        <f>C19-H19</f>
        <v/>
      </c>
    </row>
    <row r="20" ht="22" customHeight="1">
      <c r="B20" s="32" t="inlineStr">
        <is>
          <t>TOTAL</t>
        </is>
      </c>
      <c r="C20" s="33">
        <f>SUM(C13:C19)</f>
        <v/>
      </c>
      <c r="D20" s="34" t="n"/>
      <c r="E20" s="35">
        <f>SUM(E13:E19)</f>
        <v/>
      </c>
      <c r="F20" s="34" t="n"/>
      <c r="H20" s="33">
        <f>SUM(H13:H19)</f>
        <v/>
      </c>
      <c r="I20" s="33">
        <f>SUM(I13:I19)</f>
        <v/>
      </c>
    </row>
    <row r="21">
      <c r="B21" s="36" t="inlineStr">
        <is>
          <t>Linha destacada = ano do retrato (RETRATO 2027!D5).  Realizado = até a data de corte; a realizar = previsto depois dela.</t>
        </is>
      </c>
    </row>
    <row r="24">
      <c r="B24" s="37">
        <f>"DESEMBOLSO EM "&amp;'RETRATO 2027'!$D$5&amp;" POR GRUPO"</f>
        <v/>
      </c>
    </row>
    <row r="25" ht="30" customHeight="1">
      <c r="B25" s="38" t="inlineStr">
        <is>
          <t>Grupo</t>
        </is>
      </c>
      <c r="D25" s="23" t="inlineStr">
        <is>
          <t>R$</t>
        </is>
      </c>
      <c r="E25" s="23" t="inlineStr">
        <is>
          <t>% do ano</t>
        </is>
      </c>
      <c r="F25" s="23" t="inlineStr">
        <is>
          <t>Avanço
financeiro</t>
        </is>
      </c>
    </row>
    <row r="26" ht="19" customHeight="1">
      <c r="B26" s="39" t="inlineStr">
        <is>
          <t>Indiretos (01 a 11)</t>
        </is>
      </c>
      <c r="C26" s="40" t="n"/>
      <c r="D26" s="27">
        <f>SUM('RETRATO 2027'!F12:F22)</f>
        <v/>
      </c>
      <c r="E26" s="41">
        <f>IF($D$32=0,0,D26/$D$32)</f>
        <v/>
      </c>
      <c r="F26" s="41">
        <f>IFERROR(SUMPRODUCT('RETRATO 2027'!J12:J22,'RETRATO 2027'!M12:M22)/SUM('RETRATO 2027'!M12:M22),0)</f>
        <v/>
      </c>
    </row>
    <row r="27" ht="19" customHeight="1">
      <c r="B27" s="42" t="inlineStr">
        <is>
          <t>Infraestrutura (12 a 16)</t>
        </is>
      </c>
      <c r="C27" s="40" t="n"/>
      <c r="D27" s="30">
        <f>SUM('RETRATO 2027'!F24:F28)</f>
        <v/>
      </c>
      <c r="E27" s="43">
        <f>IF($D$32=0,0,D27/$D$32)</f>
        <v/>
      </c>
      <c r="F27" s="43">
        <f>IFERROR(SUMPRODUCT('RETRATO 2027'!J24:J28,'RETRATO 2027'!M24:M28)/SUM('RETRATO 2027'!M24:M28),0)</f>
        <v/>
      </c>
    </row>
    <row r="28" ht="19" customHeight="1">
      <c r="B28" s="39" t="inlineStr">
        <is>
          <t>Estrutura (17)</t>
        </is>
      </c>
      <c r="C28" s="40" t="n"/>
      <c r="D28" s="27">
        <f>SUM('RETRATO 2027'!F30:F30)</f>
        <v/>
      </c>
      <c r="E28" s="41">
        <f>IF($D$32=0,0,D28/$D$32)</f>
        <v/>
      </c>
      <c r="F28" s="41">
        <f>IFERROR(SUMPRODUCT('RETRATO 2027'!J30:J30,'RETRATO 2027'!M30:M30)/SUM('RETRATO 2027'!M30:M30),0)</f>
        <v/>
      </c>
    </row>
    <row r="29" ht="19" customHeight="1">
      <c r="B29" s="42" t="inlineStr">
        <is>
          <t>Vedações, instalações e elevadores (18 a 24)</t>
        </is>
      </c>
      <c r="C29" s="40" t="n"/>
      <c r="D29" s="30">
        <f>SUM('RETRATO 2027'!F31:F37)</f>
        <v/>
      </c>
      <c r="E29" s="43">
        <f>IF($D$32=0,0,D29/$D$32)</f>
        <v/>
      </c>
      <c r="F29" s="43">
        <f>IFERROR(SUMPRODUCT('RETRATO 2027'!J31:J37,'RETRATO 2027'!M31:M37)/SUM('RETRATO 2027'!M31:M37),0)</f>
        <v/>
      </c>
    </row>
    <row r="30" ht="19" customHeight="1">
      <c r="B30" s="39" t="inlineStr">
        <is>
          <t>Acabamentos (25 a 37)</t>
        </is>
      </c>
      <c r="C30" s="40" t="n"/>
      <c r="D30" s="27">
        <f>SUM('RETRATO 2027'!F38:F50)</f>
        <v/>
      </c>
      <c r="E30" s="41">
        <f>IF($D$32=0,0,D30/$D$32)</f>
        <v/>
      </c>
      <c r="F30" s="41">
        <f>IFERROR(SUMPRODUCT('RETRATO 2027'!J38:J50,'RETRATO 2027'!M38:M50)/SUM('RETRATO 2027'!M38:M50),0)</f>
        <v/>
      </c>
    </row>
    <row r="31" ht="19" customHeight="1">
      <c r="B31" s="42" t="inlineStr">
        <is>
          <t>Taxa de administração</t>
        </is>
      </c>
      <c r="C31" s="40" t="n"/>
      <c r="D31" s="30">
        <f>SUM('RETRATO 2027'!F52:F52)</f>
        <v/>
      </c>
      <c r="E31" s="43">
        <f>IF($D$32=0,0,D31/$D$32)</f>
        <v/>
      </c>
      <c r="F31" s="43" t="n"/>
    </row>
    <row r="32" ht="22" customHeight="1">
      <c r="B32" s="44" t="inlineStr">
        <is>
          <t>TOTAL</t>
        </is>
      </c>
      <c r="D32" s="33">
        <f>SUM(D26:D31)</f>
        <v/>
      </c>
      <c r="E32" s="45">
        <f>SUM(E26:E31)</f>
        <v/>
      </c>
      <c r="F32" s="34" t="n"/>
    </row>
    <row r="33">
      <c r="B33" s="36" t="inlineStr">
        <is>
          <t>Avanço financeiro = acumulado até dezembro do ano ÷ projeção.</t>
        </is>
      </c>
      <c r="F33" s="36">
        <f>IF(ABS(D32-F6)&lt;1,"✓ confere com o cartão","⚠ diferente do cartão")</f>
        <v/>
      </c>
    </row>
    <row r="36">
      <c r="B36" s="37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Q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</cols>
  <sheetData>
    <row r="3">
      <c r="B3" s="46" t="inlineStr">
        <is>
          <t>ORÇAMENTO - NOVA OBRA</t>
        </is>
      </c>
      <c r="J3" s="3" t="inlineStr">
        <is>
          <t>ACOMPANHAMENTO IEC</t>
        </is>
      </c>
    </row>
    <row r="5">
      <c r="B5" s="47" t="inlineStr">
        <is>
          <t>INCC 10-25</t>
        </is>
      </c>
      <c r="C5" s="48" t="n"/>
      <c r="D5" s="47" t="inlineStr">
        <is>
          <t>TOTAL</t>
        </is>
      </c>
      <c r="E5" s="49">
        <f>E50</f>
        <v/>
      </c>
      <c r="F5" s="50">
        <f>F50</f>
        <v/>
      </c>
      <c r="G5" s="50">
        <f>G50</f>
        <v/>
      </c>
      <c r="H5" s="47" t="inlineStr">
        <is>
          <t>INCC BASE DO ORÇAMENTO</t>
        </is>
      </c>
      <c r="J5" s="47" t="inlineStr">
        <is>
          <t>DATA DE CORTE -&gt;</t>
        </is>
      </c>
      <c r="K5" s="51" t="n">
        <v>46235</v>
      </c>
      <c r="O5" s="52" t="inlineStr">
        <is>
          <t>Corte (1º dia do mês)</t>
        </is>
      </c>
      <c r="P5" s="53">
        <f>DATE(YEAR(K5),MONTH(K5),1)</f>
        <v/>
      </c>
    </row>
    <row r="6">
      <c r="B6" s="47" t="inlineStr">
        <is>
          <t>ORÇ EM INCC</t>
        </is>
      </c>
      <c r="C6" s="54" t="n"/>
      <c r="H6" s="48" t="n"/>
      <c r="J6" s="47" t="inlineStr">
        <is>
          <t>INÍCIO DO FLUXO -&gt;</t>
        </is>
      </c>
      <c r="K6" s="51" t="n">
        <v>45627</v>
      </c>
      <c r="O6" s="52" t="inlineStr">
        <is>
          <t>Início (1º dia do mês)</t>
        </is>
      </c>
      <c r="P6" s="53">
        <f>DATE(YEAR(K6),MONTH(K6),1)</f>
        <v/>
      </c>
    </row>
    <row r="7">
      <c r="B7" s="47" t="inlineStr">
        <is>
          <t>ORÇ 10-25</t>
        </is>
      </c>
      <c r="C7" s="55">
        <f>C6*C5</f>
        <v/>
      </c>
      <c r="D7" s="47" t="inlineStr">
        <is>
          <t>TAXA DE ADMINISTRAÇÃO</t>
        </is>
      </c>
      <c r="E7" s="49">
        <f>IF(F49=0,0,F48/F49)</f>
        <v/>
      </c>
      <c r="F7" s="50">
        <f>F48</f>
        <v/>
      </c>
      <c r="G7" s="50">
        <f>G48</f>
        <v/>
      </c>
      <c r="J7" s="47" t="inlineStr">
        <is>
          <t>LIMITE DE AVANÇO FÍSICO P/ USAR PREVISION -&gt;</t>
        </is>
      </c>
      <c r="K7" s="56" t="n">
        <v>1</v>
      </c>
      <c r="O7" s="52" t="inlineStr">
        <is>
          <t>INCC no mês de corte</t>
        </is>
      </c>
      <c r="P7" s="57">
        <f>IFERROR(INDEX('"INCC-FGV"'!$B$2:$B$400,MATCH(P5,'"INCC-FGV"'!$A$2:$A$400,0)),IFERROR(INDEX('"INCC-FGV"'!$B$2:$B$400,MATCH(P5,'"INCC-FGV"'!$A$2:$A$400,1)),"FALTA INCC"))</f>
        <v/>
      </c>
    </row>
    <row r="8">
      <c r="D8" s="47" t="inlineStr">
        <is>
          <t>SUBTOTAL</t>
        </is>
      </c>
      <c r="E8" s="49">
        <f>IF(F50=0,0,F49/F50)</f>
        <v/>
      </c>
      <c r="F8" s="50">
        <f>F49</f>
        <v/>
      </c>
      <c r="G8" s="50">
        <f>G49</f>
        <v/>
      </c>
      <c r="J8" s="47" t="inlineStr">
        <is>
          <t>CENÁRIO DAS CURVAS -&gt;</t>
        </is>
      </c>
      <c r="K8" s="58" t="inlineStr">
        <is>
          <t>PREVISION</t>
        </is>
      </c>
      <c r="O8" s="52" t="inlineStr">
        <is>
          <t>Último mês do horizonte</t>
        </is>
      </c>
      <c r="P8" s="53">
        <f>DATE(YEAR(P6),MONTH(P6)+71,1)</f>
        <v/>
      </c>
    </row>
    <row r="9">
      <c r="O9" s="52" t="inlineStr">
        <is>
          <t>Obra</t>
        </is>
      </c>
      <c r="P9" s="58" t="inlineStr">
        <is>
          <t>NOVA OBRA</t>
        </is>
      </c>
    </row>
    <row r="10" ht="45" customHeight="1">
      <c r="B10" s="59" t="inlineStr">
        <is>
          <t>CPU</t>
        </is>
      </c>
      <c r="C10" s="59" t="inlineStr">
        <is>
          <t>CÓDIGO</t>
        </is>
      </c>
      <c r="D10" s="59" t="inlineStr">
        <is>
          <t>DESCRIÇÃO / SERVIÇO</t>
        </is>
      </c>
      <c r="E10" s="59" t="inlineStr">
        <is>
          <t>PESO DO ORÇAMENTO</t>
        </is>
      </c>
      <c r="F10" s="59" t="inlineStr">
        <is>
          <t>VALOR EM R$
(orçamento base)</t>
        </is>
      </c>
      <c r="G10" s="59" t="inlineStr">
        <is>
          <t>VALOR EM INCC
(F ÷ INCC base)</t>
        </is>
      </c>
      <c r="H10" s="59" t="inlineStr">
        <is>
          <t>VALOR EM INCC</t>
        </is>
      </c>
      <c r="I10" s="59" t="inlineStr">
        <is>
          <t>TIPO</t>
        </is>
      </c>
      <c r="J10" s="59" t="inlineStr">
        <is>
          <t>PL</t>
        </is>
      </c>
      <c r="K10" s="59" t="inlineStr">
        <is>
          <t>ORÇAMENTO REAJUSTADO
(INCC do corte)</t>
        </is>
      </c>
      <c r="L10" s="59" t="inlineStr">
        <is>
          <t>PROJEÇÃO (R$)</t>
        </is>
      </c>
      <c r="M10" s="59" t="inlineStr">
        <is>
          <t>VARIAÇÃO</t>
        </is>
      </c>
      <c r="N10" s="59" t="inlineStr">
        <is>
          <t>CONFERÊNCIA</t>
        </is>
      </c>
      <c r="O10" s="59" t="inlineStr">
        <is>
          <t>FONTE DA CURVA</t>
        </is>
      </c>
      <c r="P10" s="59" t="inlineStr">
        <is>
          <t>AVANÇO FÍSICO
(Prevision, corte)</t>
        </is>
      </c>
      <c r="Q10" s="59" t="inlineStr">
        <is>
          <t>CÓD. NO
PREVISION</t>
        </is>
      </c>
    </row>
    <row r="11">
      <c r="B11" s="60" t="inlineStr">
        <is>
          <t>PL001.001</t>
        </is>
      </c>
      <c r="C11" s="60" t="inlineStr">
        <is>
          <t>01</t>
        </is>
      </c>
      <c r="D11" s="60" t="inlineStr">
        <is>
          <t>PROJETOS</t>
        </is>
      </c>
      <c r="E11" s="49">
        <f>IF($F$50=0,0,F11/$F$50)</f>
        <v/>
      </c>
      <c r="F11" s="54" t="n"/>
      <c r="G11" s="50">
        <f>IF($H$6=0,0,F11/$H$6)</f>
        <v/>
      </c>
      <c r="H11" s="50">
        <f>G11</f>
        <v/>
      </c>
      <c r="I11" s="60" t="inlineStr">
        <is>
          <t>INDIRETO</t>
        </is>
      </c>
      <c r="J11" s="60" t="inlineStr">
        <is>
          <t>PROJETOS</t>
        </is>
      </c>
      <c r="K11" s="50">
        <f>IF(ISNUMBER($P$7),G11*$P$7,0)</f>
        <v/>
      </c>
      <c r="L11" s="54" t="n"/>
      <c r="M11" s="50">
        <f>L11-K11</f>
        <v/>
      </c>
      <c r="N11" s="52">
        <f>IF(D11="","",IF('PROJETO'!$C$78&gt;L11+1,"⚠ Incorrido acima da projeção",IF(AND('PROJETO'!$K$18&gt;1,'PROJETO'!$K$17=0),"⚠ Saldo sem curva (preencha a coluna H da aba)",IF(ABS('PROJETO'!$D$80)&gt;1,"⚠ Verificar","OK"))))</f>
        <v/>
      </c>
      <c r="O11" s="61">
        <f>'PROJETO'!$K$16</f>
        <v/>
      </c>
      <c r="P11" s="62">
        <f>'PROJETO'!$K$14</f>
        <v/>
      </c>
      <c r="Q11" s="60" t="inlineStr">
        <is>
          <t>01</t>
        </is>
      </c>
    </row>
    <row r="12">
      <c r="B12" s="60" t="inlineStr">
        <is>
          <t>PL350.001</t>
        </is>
      </c>
      <c r="C12" s="60" t="inlineStr">
        <is>
          <t>02</t>
        </is>
      </c>
      <c r="D12" s="60" t="inlineStr">
        <is>
          <t>SEGUROS</t>
        </is>
      </c>
      <c r="E12" s="49">
        <f>IF($F$50=0,0,F12/$F$50)</f>
        <v/>
      </c>
      <c r="F12" s="54" t="n"/>
      <c r="G12" s="50">
        <f>IF($H$6=0,0,F12/$H$6)</f>
        <v/>
      </c>
      <c r="H12" s="50">
        <f>G12</f>
        <v/>
      </c>
      <c r="I12" s="60" t="inlineStr">
        <is>
          <t>INDIRETO</t>
        </is>
      </c>
      <c r="J12" s="60" t="inlineStr">
        <is>
          <t xml:space="preserve">SEGURO DE OBRA </t>
        </is>
      </c>
      <c r="K12" s="50">
        <f>IF(ISNUMBER($P$7),G12*$P$7,0)</f>
        <v/>
      </c>
      <c r="L12" s="54" t="n"/>
      <c r="M12" s="50">
        <f>L12-K12</f>
        <v/>
      </c>
      <c r="N12" s="52">
        <f>IF(D12="","",IF('SEGUROS'!$C$78&gt;L12+1,"⚠ Incorrido acima da projeção",IF(AND('SEGUROS'!$K$18&gt;1,'SEGUROS'!$K$17=0),"⚠ Saldo sem curva (preencha a coluna H da aba)",IF(ABS('SEGUROS'!$D$80)&gt;1,"⚠ Verificar","OK"))))</f>
        <v/>
      </c>
      <c r="O12" s="61">
        <f>'SEGUROS'!$K$16</f>
        <v/>
      </c>
      <c r="P12" s="62">
        <f>'SEGUROS'!$K$14</f>
        <v/>
      </c>
      <c r="Q12" s="60" t="inlineStr">
        <is>
          <t>02</t>
        </is>
      </c>
    </row>
    <row r="13">
      <c r="B13" s="60" t="inlineStr">
        <is>
          <t>PL001.016</t>
        </is>
      </c>
      <c r="C13" s="60" t="inlineStr">
        <is>
          <t>03</t>
        </is>
      </c>
      <c r="D13" s="60" t="inlineStr">
        <is>
          <t>TAXAS DIVERSAS</t>
        </is>
      </c>
      <c r="E13" s="49">
        <f>IF($F$50=0,0,F13/$F$50)</f>
        <v/>
      </c>
      <c r="F13" s="54" t="n"/>
      <c r="G13" s="50">
        <f>IF($H$6=0,0,F13/$H$6)</f>
        <v/>
      </c>
      <c r="H13" s="50">
        <f>G13</f>
        <v/>
      </c>
      <c r="I13" s="60" t="inlineStr">
        <is>
          <t>INDIRETO</t>
        </is>
      </c>
      <c r="J13" s="60" t="inlineStr">
        <is>
          <t>TAXAS DIVERSAS</t>
        </is>
      </c>
      <c r="K13" s="50">
        <f>IF(ISNUMBER($P$7),G13*$P$7,0)</f>
        <v/>
      </c>
      <c r="L13" s="54" t="n"/>
      <c r="M13" s="50">
        <f>L13-K13</f>
        <v/>
      </c>
      <c r="N13" s="52">
        <f>IF(D13="","",IF('TAX. DIVERSAS'!$C$78&gt;L13+1,"⚠ Incorrido acima da projeção",IF(AND('TAX. DIVERSAS'!$K$18&gt;1,'TAX. DIVERSAS'!$K$17=0),"⚠ Saldo sem curva (preencha a coluna H da aba)",IF(ABS('TAX. DIVERSAS'!$D$80)&gt;1,"⚠ Verificar","OK"))))</f>
        <v/>
      </c>
      <c r="O13" s="61">
        <f>'TAX. DIVERSAS'!$K$16</f>
        <v/>
      </c>
      <c r="P13" s="62">
        <f>'TAX. DIVERSAS'!$K$14</f>
        <v/>
      </c>
      <c r="Q13" s="60" t="inlineStr">
        <is>
          <t>03</t>
        </is>
      </c>
    </row>
    <row r="14">
      <c r="B14" s="60" t="inlineStr">
        <is>
          <t>PL010.005</t>
        </is>
      </c>
      <c r="C14" s="60" t="inlineStr">
        <is>
          <t>04</t>
        </is>
      </c>
      <c r="D14" s="60" t="inlineStr">
        <is>
          <t>BARRACAO DE OBRA</t>
        </is>
      </c>
      <c r="E14" s="49">
        <f>IF($F$50=0,0,F14/$F$50)</f>
        <v/>
      </c>
      <c r="F14" s="54" t="n"/>
      <c r="G14" s="50">
        <f>IF($H$6=0,0,F14/$H$6)</f>
        <v/>
      </c>
      <c r="H14" s="50">
        <f>G14</f>
        <v/>
      </c>
      <c r="I14" s="60" t="inlineStr">
        <is>
          <t>INDIRETO</t>
        </is>
      </c>
      <c r="J14" s="60" t="inlineStr">
        <is>
          <t>BARRACAO DE OBRA</t>
        </is>
      </c>
      <c r="K14" s="50">
        <f>IF(ISNUMBER($P$7),G14*$P$7,0)</f>
        <v/>
      </c>
      <c r="L14" s="54" t="n"/>
      <c r="M14" s="50">
        <f>L14-K14</f>
        <v/>
      </c>
      <c r="N14" s="52">
        <f>IF(D14="","",IF('BARRACÃO DE OBRA'!$C$78&gt;L14+1,"⚠ Incorrido acima da projeção",IF(AND('BARRACÃO DE OBRA'!$K$18&gt;1,'BARRACÃO DE OBRA'!$K$17=0),"⚠ Saldo sem curva (preencha a coluna H da aba)",IF(ABS('BARRACÃO DE OBRA'!$D$80)&gt;1,"⚠ Verificar","OK"))))</f>
        <v/>
      </c>
      <c r="O14" s="61">
        <f>'BARRACÃO DE OBRA'!$K$16</f>
        <v/>
      </c>
      <c r="P14" s="62">
        <f>'BARRACÃO DE OBRA'!$K$14</f>
        <v/>
      </c>
      <c r="Q14" s="60" t="inlineStr">
        <is>
          <t>04</t>
        </is>
      </c>
    </row>
    <row r="15">
      <c r="B15" s="60" t="inlineStr">
        <is>
          <t>PL020.004</t>
        </is>
      </c>
      <c r="C15" s="60" t="inlineStr">
        <is>
          <t>05</t>
        </is>
      </c>
      <c r="D15" s="60" t="inlineStr">
        <is>
          <t>LIGAÇÕES PROVISÓRIAS AGUA, ENERGIA,TELEFONIA, ESGOTO</t>
        </is>
      </c>
      <c r="E15" s="49">
        <f>IF($F$50=0,0,F15/$F$50)</f>
        <v/>
      </c>
      <c r="F15" s="54" t="n"/>
      <c r="G15" s="50">
        <f>IF($H$6=0,0,F15/$H$6)</f>
        <v/>
      </c>
      <c r="H15" s="50">
        <f>G15</f>
        <v/>
      </c>
      <c r="I15" s="60" t="inlineStr">
        <is>
          <t>INDIRETO</t>
        </is>
      </c>
      <c r="J15" s="60" t="inlineStr">
        <is>
          <t>LIGAÇÕES PROVISÓRIAS AGUA, ESGOTO, ENERGIA,TELEFONE, INTERNET</t>
        </is>
      </c>
      <c r="K15" s="50">
        <f>IF(ISNUMBER($P$7),G15*$P$7,0)</f>
        <v/>
      </c>
      <c r="L15" s="54" t="n"/>
      <c r="M15" s="50">
        <f>L15-K15</f>
        <v/>
      </c>
      <c r="N15" s="52">
        <f>IF(D15="","",IF('LIG. PROVISÓRIAS'!$C$78&gt;L15+1,"⚠ Incorrido acima da projeção",IF(AND('LIG. PROVISÓRIAS'!$K$18&gt;1,'LIG. PROVISÓRIAS'!$K$17=0),"⚠ Saldo sem curva (preencha a coluna H da aba)",IF(ABS('LIG. PROVISÓRIAS'!$D$80)&gt;1,"⚠ Verificar","OK"))))</f>
        <v/>
      </c>
      <c r="O15" s="61">
        <f>'LIG. PROVISÓRIAS'!$K$16</f>
        <v/>
      </c>
      <c r="P15" s="62">
        <f>'LIG. PROVISÓRIAS'!$K$14</f>
        <v/>
      </c>
      <c r="Q15" s="60" t="inlineStr">
        <is>
          <t>05</t>
        </is>
      </c>
    </row>
    <row r="16">
      <c r="B16" s="60" t="inlineStr">
        <is>
          <t>PL020.005</t>
        </is>
      </c>
      <c r="C16" s="60" t="inlineStr">
        <is>
          <t>06</t>
        </is>
      </c>
      <c r="D16" s="60" t="inlineStr">
        <is>
          <t>CONSUMO DE ÁGUA, ENERGIA, ETC.</t>
        </is>
      </c>
      <c r="E16" s="49">
        <f>IF($F$50=0,0,F16/$F$50)</f>
        <v/>
      </c>
      <c r="F16" s="54" t="n"/>
      <c r="G16" s="50">
        <f>IF($H$6=0,0,F16/$H$6)</f>
        <v/>
      </c>
      <c r="H16" s="50">
        <f>G16</f>
        <v/>
      </c>
      <c r="I16" s="60" t="inlineStr">
        <is>
          <t>INDIRETO</t>
        </is>
      </c>
      <c r="J16" s="60" t="inlineStr">
        <is>
          <t>CONSUMO DE ÁGUA, ENERGIA, TELEFONE, INTERNET</t>
        </is>
      </c>
      <c r="K16" s="50">
        <f>IF(ISNUMBER($P$7),G16*$P$7,0)</f>
        <v/>
      </c>
      <c r="L16" s="54" t="n"/>
      <c r="M16" s="50">
        <f>L16-K16</f>
        <v/>
      </c>
      <c r="N16" s="52">
        <f>IF(D16="","",IF('CONSUMOS'!$C$78&gt;L16+1,"⚠ Incorrido acima da projeção",IF(AND('CONSUMOS'!$K$18&gt;1,'CONSUMOS'!$K$17=0),"⚠ Saldo sem curva (preencha a coluna H da aba)",IF(ABS('CONSUMOS'!$D$80)&gt;1,"⚠ Verificar","OK"))))</f>
        <v/>
      </c>
      <c r="O16" s="61">
        <f>'CONSUMOS'!$K$16</f>
        <v/>
      </c>
      <c r="P16" s="62">
        <f>'CONSUMOS'!$K$14</f>
        <v/>
      </c>
      <c r="Q16" s="60" t="inlineStr">
        <is>
          <t>06</t>
        </is>
      </c>
    </row>
    <row r="17">
      <c r="B17" s="60" t="inlineStr">
        <is>
          <t>PL310.007</t>
        </is>
      </c>
      <c r="C17" s="60" t="inlineStr">
        <is>
          <t>07</t>
        </is>
      </c>
      <c r="D17" s="60" t="inlineStr">
        <is>
          <t>DIVERSOS</t>
        </is>
      </c>
      <c r="E17" s="49">
        <f>IF($F$50=0,0,F17/$F$50)</f>
        <v/>
      </c>
      <c r="F17" s="54" t="n"/>
      <c r="G17" s="50">
        <f>IF($H$6=0,0,F17/$H$6)</f>
        <v/>
      </c>
      <c r="H17" s="50">
        <f>G17</f>
        <v/>
      </c>
      <c r="I17" s="60" t="inlineStr">
        <is>
          <t>INDIRETO</t>
        </is>
      </c>
      <c r="J17" s="60" t="inlineStr">
        <is>
          <t>DIVERSOS</t>
        </is>
      </c>
      <c r="K17" s="50">
        <f>IF(ISNUMBER($P$7),G17*$P$7,0)</f>
        <v/>
      </c>
      <c r="L17" s="54" t="n"/>
      <c r="M17" s="50">
        <f>L17-K17</f>
        <v/>
      </c>
      <c r="N17" s="52">
        <f>IF(D17="","",IF('DIVERSOS'!$C$78&gt;L17+1,"⚠ Incorrido acima da projeção",IF(AND('DIVERSOS'!$K$18&gt;1,'DIVERSOS'!$K$17=0),"⚠ Saldo sem curva (preencha a coluna H da aba)",IF(ABS('DIVERSOS'!$D$80)&gt;1,"⚠ Verificar","OK"))))</f>
        <v/>
      </c>
      <c r="O17" s="61">
        <f>'DIVERSOS'!$K$16</f>
        <v/>
      </c>
      <c r="P17" s="62">
        <f>'DIVERSOS'!$K$14</f>
        <v/>
      </c>
      <c r="Q17" s="60" t="inlineStr">
        <is>
          <t>07</t>
        </is>
      </c>
    </row>
    <row r="18">
      <c r="B18" s="60" t="inlineStr">
        <is>
          <t>PL570.001</t>
        </is>
      </c>
      <c r="C18" s="60" t="inlineStr">
        <is>
          <t>08</t>
        </is>
      </c>
      <c r="D18" s="60" t="inlineStr">
        <is>
          <t>TRANSPORTES</t>
        </is>
      </c>
      <c r="E18" s="49">
        <f>IF($F$50=0,0,F18/$F$50)</f>
        <v/>
      </c>
      <c r="F18" s="54" t="n"/>
      <c r="G18" s="50">
        <f>IF($H$6=0,0,F18/$H$6)</f>
        <v/>
      </c>
      <c r="H18" s="50">
        <f>G18</f>
        <v/>
      </c>
      <c r="I18" s="60" t="inlineStr">
        <is>
          <t>INDIRETO</t>
        </is>
      </c>
      <c r="J18" s="60" t="inlineStr">
        <is>
          <t>FRETES E TRANSPORTES</t>
        </is>
      </c>
      <c r="K18" s="50">
        <f>IF(ISNUMBER($P$7),G18*$P$7,0)</f>
        <v/>
      </c>
      <c r="L18" s="54" t="n"/>
      <c r="M18" s="50">
        <f>L18-K18</f>
        <v/>
      </c>
      <c r="N18" s="52">
        <f>IF(D18="","",IF('TRANSPORTES'!$C$78&gt;L18+1,"⚠ Incorrido acima da projeção",IF(AND('TRANSPORTES'!$K$18&gt;1,'TRANSPORTES'!$K$17=0),"⚠ Saldo sem curva (preencha a coluna H da aba)",IF(ABS('TRANSPORTES'!$D$80)&gt;1,"⚠ Verificar","OK"))))</f>
        <v/>
      </c>
      <c r="O18" s="61">
        <f>'TRANSPORTES'!$K$16</f>
        <v/>
      </c>
      <c r="P18" s="62">
        <f>'TRANSPORTES'!$K$14</f>
        <v/>
      </c>
      <c r="Q18" s="60" t="inlineStr">
        <is>
          <t>08</t>
        </is>
      </c>
    </row>
    <row r="19">
      <c r="B19" s="60" t="inlineStr">
        <is>
          <t>PL001.051</t>
        </is>
      </c>
      <c r="C19" s="60" t="inlineStr">
        <is>
          <t>09</t>
        </is>
      </c>
      <c r="D19" s="60" t="inlineStr">
        <is>
          <t>CONSULTORIAS (OBRAS)</t>
        </is>
      </c>
      <c r="E19" s="49">
        <f>IF($F$50=0,0,F19/$F$50)</f>
        <v/>
      </c>
      <c r="F19" s="54" t="n"/>
      <c r="G19" s="50">
        <f>IF($H$6=0,0,F19/$H$6)</f>
        <v/>
      </c>
      <c r="H19" s="50">
        <f>G19</f>
        <v/>
      </c>
      <c r="I19" s="60" t="inlineStr">
        <is>
          <t>INDIRETO</t>
        </is>
      </c>
      <c r="J19" s="60" t="inlineStr">
        <is>
          <t>CONSULTORIAS (OBRAS)</t>
        </is>
      </c>
      <c r="K19" s="50">
        <f>IF(ISNUMBER($P$7),G19*$P$7,0)</f>
        <v/>
      </c>
      <c r="L19" s="54" t="n"/>
      <c r="M19" s="50">
        <f>L19-K19</f>
        <v/>
      </c>
      <c r="N19" s="52">
        <f>IF(D19="","",IF('CONSULTORIAS'!$C$78&gt;L19+1,"⚠ Incorrido acima da projeção",IF(AND('CONSULTORIAS'!$K$18&gt;1,'CONSULTORIAS'!$K$17=0),"⚠ Saldo sem curva (preencha a coluna H da aba)",IF(ABS('CONSULTORIAS'!$D$80)&gt;1,"⚠ Verificar","OK"))))</f>
        <v/>
      </c>
      <c r="O19" s="61">
        <f>'CONSULTORIAS'!$K$16</f>
        <v/>
      </c>
      <c r="P19" s="62">
        <f>'CONSULTORIAS'!$K$14</f>
        <v/>
      </c>
      <c r="Q19" s="60" t="inlineStr">
        <is>
          <t>09</t>
        </is>
      </c>
    </row>
    <row r="20">
      <c r="B20" s="60" t="inlineStr">
        <is>
          <t>PL700.001</t>
        </is>
      </c>
      <c r="C20" s="60" t="inlineStr">
        <is>
          <t>10</t>
        </is>
      </c>
      <c r="D20" s="60" t="inlineStr">
        <is>
          <t>MÃO DE OBRA PRÓPRIA</t>
        </is>
      </c>
      <c r="E20" s="49">
        <f>IF($F$50=0,0,F20/$F$50)</f>
        <v/>
      </c>
      <c r="F20" s="54" t="n"/>
      <c r="G20" s="50">
        <f>IF($H$6=0,0,F20/$H$6)</f>
        <v/>
      </c>
      <c r="H20" s="50">
        <f>G20</f>
        <v/>
      </c>
      <c r="I20" s="60" t="inlineStr">
        <is>
          <t>INDIRETO</t>
        </is>
      </c>
      <c r="J20" s="60" t="inlineStr">
        <is>
          <t>MÃO DE OBRA PRÓPRIA</t>
        </is>
      </c>
      <c r="K20" s="50">
        <f>IF(ISNUMBER($P$7),G20*$P$7,0)</f>
        <v/>
      </c>
      <c r="L20" s="54" t="n"/>
      <c r="M20" s="50">
        <f>L20-K20</f>
        <v/>
      </c>
      <c r="N20" s="52">
        <f>IF(D20="","",IF('MDO'!$C$78&gt;L20+1,"⚠ Incorrido acima da projeção",IF(AND('MDO'!$K$18&gt;1,'MDO'!$K$17=0),"⚠ Saldo sem curva (preencha a coluna H da aba)",IF(ABS('MDO'!$D$80)&gt;1,"⚠ Verificar","OK"))))</f>
        <v/>
      </c>
      <c r="O20" s="61">
        <f>'MDO'!$K$16</f>
        <v/>
      </c>
      <c r="P20" s="62">
        <f>'MDO'!$K$14</f>
        <v/>
      </c>
      <c r="Q20" s="60" t="inlineStr">
        <is>
          <t>10</t>
        </is>
      </c>
    </row>
    <row r="21">
      <c r="B21" s="60" t="inlineStr">
        <is>
          <t>PL530.001</t>
        </is>
      </c>
      <c r="C21" s="60" t="inlineStr">
        <is>
          <t>11</t>
        </is>
      </c>
      <c r="D21" s="60" t="inlineStr">
        <is>
          <t>EQUIPAMENTOS E FERRAMENTAS</t>
        </is>
      </c>
      <c r="E21" s="49">
        <f>IF($F$50=0,0,F21/$F$50)</f>
        <v/>
      </c>
      <c r="F21" s="54" t="n"/>
      <c r="G21" s="50">
        <f>IF($H$6=0,0,F21/$H$6)</f>
        <v/>
      </c>
      <c r="H21" s="50">
        <f>G21</f>
        <v/>
      </c>
      <c r="I21" s="60" t="inlineStr">
        <is>
          <t>INDIRETO</t>
        </is>
      </c>
      <c r="J21" s="60" t="inlineStr">
        <is>
          <t>EQUIPAMENTOS E FERRAMENTAS</t>
        </is>
      </c>
      <c r="K21" s="50">
        <f>IF(ISNUMBER($P$7),G21*$P$7,0)</f>
        <v/>
      </c>
      <c r="L21" s="54" t="n"/>
      <c r="M21" s="50">
        <f>L21-K21</f>
        <v/>
      </c>
      <c r="N21" s="52">
        <f>IF(D21="","",IF('EQUIP E FER'!$C$78&gt;L21+1,"⚠ Incorrido acima da projeção",IF(AND('EQUIP E FER'!$K$18&gt;1,'EQUIP E FER'!$K$17=0),"⚠ Saldo sem curva (preencha a coluna H da aba)",IF(ABS('EQUIP E FER'!$D$80)&gt;1,"⚠ Verificar","OK"))))</f>
        <v/>
      </c>
      <c r="O21" s="61">
        <f>'EQUIP E FER'!$K$16</f>
        <v/>
      </c>
      <c r="P21" s="62">
        <f>'EQUIP E FER'!$K$14</f>
        <v/>
      </c>
      <c r="Q21" s="60" t="inlineStr">
        <is>
          <t>11</t>
        </is>
      </c>
    </row>
    <row r="22">
      <c r="B22" s="60" t="inlineStr">
        <is>
          <t>PL010.022</t>
        </is>
      </c>
      <c r="C22" s="60" t="inlineStr">
        <is>
          <t>12</t>
        </is>
      </c>
      <c r="D22" s="60" t="inlineStr">
        <is>
          <t>SERVIÇOS INICIAIS</t>
        </is>
      </c>
      <c r="E22" s="49">
        <f>IF($F$50=0,0,F22/$F$50)</f>
        <v/>
      </c>
      <c r="F22" s="54" t="n"/>
      <c r="G22" s="50">
        <f>IF($H$6=0,0,F22/$H$6)</f>
        <v/>
      </c>
      <c r="H22" s="50">
        <f>G22</f>
        <v/>
      </c>
      <c r="I22" s="60" t="inlineStr">
        <is>
          <t>DIRETO</t>
        </is>
      </c>
      <c r="J22" s="60" t="inlineStr">
        <is>
          <t>SERVIÇOS INICIAIS</t>
        </is>
      </c>
      <c r="K22" s="50">
        <f>IF(ISNUMBER($P$7),G22*$P$7,0)</f>
        <v/>
      </c>
      <c r="L22" s="54" t="n"/>
      <c r="M22" s="50">
        <f>L22-K22</f>
        <v/>
      </c>
      <c r="N22" s="52">
        <f>IF(D22="","",IF('SERV. INICIAIS'!$C$78&gt;L22+1,"⚠ Incorrido acima da projeção",IF(AND('SERV. INICIAIS'!$K$18&gt;1,'SERV. INICIAIS'!$K$17=0),"⚠ Saldo sem curva (preencha a coluna H da aba)",IF(ABS('SERV. INICIAIS'!$D$80)&gt;1,"⚠ Verificar","OK"))))</f>
        <v/>
      </c>
      <c r="O22" s="61">
        <f>'SERV. INICIAIS'!$K$16</f>
        <v/>
      </c>
      <c r="P22" s="62">
        <f>'SERV. INICIAIS'!$K$14</f>
        <v/>
      </c>
      <c r="Q22" s="60" t="inlineStr">
        <is>
          <t>12</t>
        </is>
      </c>
    </row>
    <row r="23">
      <c r="B23" s="60" t="inlineStr">
        <is>
          <t>PL001.023</t>
        </is>
      </c>
      <c r="C23" s="60" t="inlineStr">
        <is>
          <t>13</t>
        </is>
      </c>
      <c r="D23" s="60" t="inlineStr">
        <is>
          <t>CONTENÇÃO</t>
        </is>
      </c>
      <c r="E23" s="49">
        <f>IF($F$50=0,0,F23/$F$50)</f>
        <v/>
      </c>
      <c r="F23" s="54" t="n"/>
      <c r="G23" s="50">
        <f>IF($H$6=0,0,F23/$H$6)</f>
        <v/>
      </c>
      <c r="H23" s="50">
        <f>G23</f>
        <v/>
      </c>
      <c r="I23" s="60" t="inlineStr">
        <is>
          <t>DIRETO</t>
        </is>
      </c>
      <c r="J23" s="60" t="inlineStr">
        <is>
          <t xml:space="preserve">CONTENÇÕES </t>
        </is>
      </c>
      <c r="K23" s="50">
        <f>IF(ISNUMBER($P$7),G23*$P$7,0)</f>
        <v/>
      </c>
      <c r="L23" s="54" t="n"/>
      <c r="M23" s="50">
        <f>L23-K23</f>
        <v/>
      </c>
      <c r="N23" s="52">
        <f>IF(D23="","",IF('CONTENÇÃO'!$C$78&gt;L23+1,"⚠ Incorrido acima da projeção",IF(AND('CONTENÇÃO'!$K$18&gt;1,'CONTENÇÃO'!$K$17=0),"⚠ Saldo sem curva (preencha a coluna H da aba)",IF(ABS('CONTENÇÃO'!$D$80)&gt;1,"⚠ Verificar","OK"))))</f>
        <v/>
      </c>
      <c r="O23" s="61">
        <f>'CONTENÇÃO'!$K$16</f>
        <v/>
      </c>
      <c r="P23" s="62">
        <f>'CONTENÇÃO'!$K$14</f>
        <v/>
      </c>
      <c r="Q23" s="60" t="inlineStr">
        <is>
          <t>13</t>
        </is>
      </c>
    </row>
    <row r="24">
      <c r="B24" s="60" t="inlineStr">
        <is>
          <t>PL040.001</t>
        </is>
      </c>
      <c r="C24" s="60" t="inlineStr">
        <is>
          <t>14</t>
        </is>
      </c>
      <c r="D24" s="60" t="inlineStr">
        <is>
          <t>TERRAPLENAGEM</t>
        </is>
      </c>
      <c r="E24" s="49">
        <f>IF($F$50=0,0,F24/$F$50)</f>
        <v/>
      </c>
      <c r="F24" s="54" t="n"/>
      <c r="G24" s="50">
        <f>IF($H$6=0,0,F24/$H$6)</f>
        <v/>
      </c>
      <c r="H24" s="50">
        <f>G24</f>
        <v/>
      </c>
      <c r="I24" s="60" t="inlineStr">
        <is>
          <t>DIRETO</t>
        </is>
      </c>
      <c r="J24" s="60" t="inlineStr">
        <is>
          <t>TERRAPLENAGEM</t>
        </is>
      </c>
      <c r="K24" s="50">
        <f>IF(ISNUMBER($P$7),G24*$P$7,0)</f>
        <v/>
      </c>
      <c r="L24" s="54" t="n"/>
      <c r="M24" s="50">
        <f>L24-K24</f>
        <v/>
      </c>
      <c r="N24" s="52">
        <f>IF(D24="","",IF('TERRAPLENAGEM'!$C$78&gt;L24+1,"⚠ Incorrido acima da projeção",IF(AND('TERRAPLENAGEM'!$K$18&gt;1,'TERRAPLENAGEM'!$K$17=0),"⚠ Saldo sem curva (preencha a coluna H da aba)",IF(ABS('TERRAPLENAGEM'!$D$80)&gt;1,"⚠ Verificar","OK"))))</f>
        <v/>
      </c>
      <c r="O24" s="61">
        <f>'TERRAPLENAGEM'!$K$16</f>
        <v/>
      </c>
      <c r="P24" s="62">
        <f>'TERRAPLENAGEM'!$K$14</f>
        <v/>
      </c>
      <c r="Q24" s="60" t="inlineStr">
        <is>
          <t>14</t>
        </is>
      </c>
    </row>
    <row r="25">
      <c r="B25" s="60" t="inlineStr">
        <is>
          <t>PL050.004</t>
        </is>
      </c>
      <c r="C25" s="60" t="inlineStr">
        <is>
          <t>15</t>
        </is>
      </c>
      <c r="D25" s="60" t="inlineStr">
        <is>
          <t>FUNDAÇÃO PROFUNDA</t>
        </is>
      </c>
      <c r="E25" s="49">
        <f>IF($F$50=0,0,F25/$F$50)</f>
        <v/>
      </c>
      <c r="F25" s="54" t="n"/>
      <c r="G25" s="50">
        <f>IF($H$6=0,0,F25/$H$6)</f>
        <v/>
      </c>
      <c r="H25" s="50">
        <f>G25</f>
        <v/>
      </c>
      <c r="I25" s="60" t="inlineStr">
        <is>
          <t>DIRETO</t>
        </is>
      </c>
      <c r="J25" s="60" t="inlineStr">
        <is>
          <t>FUNDAÇÃO PROFUNDA</t>
        </is>
      </c>
      <c r="K25" s="50">
        <f>IF(ISNUMBER($P$7),G25*$P$7,0)</f>
        <v/>
      </c>
      <c r="L25" s="54" t="n"/>
      <c r="M25" s="50">
        <f>L25-K25</f>
        <v/>
      </c>
      <c r="N25" s="52">
        <f>IF(D25="","",IF('FUND. PROF'!$C$78&gt;L25+1,"⚠ Incorrido acima da projeção",IF(AND('FUND. PROF'!$K$18&gt;1,'FUND. PROF'!$K$17=0),"⚠ Saldo sem curva (preencha a coluna H da aba)",IF(ABS('FUND. PROF'!$D$80)&gt;1,"⚠ Verificar","OK"))))</f>
        <v/>
      </c>
      <c r="O25" s="61">
        <f>'FUND. PROF'!$K$16</f>
        <v/>
      </c>
      <c r="P25" s="62">
        <f>'FUND. PROF'!$K$14</f>
        <v/>
      </c>
      <c r="Q25" s="60" t="inlineStr">
        <is>
          <t>15</t>
        </is>
      </c>
    </row>
    <row r="26">
      <c r="B26" s="60" t="inlineStr">
        <is>
          <t>PL060.004</t>
        </is>
      </c>
      <c r="C26" s="60" t="inlineStr">
        <is>
          <t>16</t>
        </is>
      </c>
      <c r="D26" s="60" t="inlineStr">
        <is>
          <t>FUNDAÇÃO SUPERFICIAL</t>
        </is>
      </c>
      <c r="E26" s="49">
        <f>IF($F$50=0,0,F26/$F$50)</f>
        <v/>
      </c>
      <c r="F26" s="54" t="n"/>
      <c r="G26" s="50">
        <f>IF($H$6=0,0,F26/$H$6)</f>
        <v/>
      </c>
      <c r="H26" s="50">
        <f>G26</f>
        <v/>
      </c>
      <c r="I26" s="60" t="inlineStr">
        <is>
          <t>DIRETO</t>
        </is>
      </c>
      <c r="J26" s="60" t="inlineStr">
        <is>
          <t>FUNDAÇÃO SUPERFICIAL</t>
        </is>
      </c>
      <c r="K26" s="50">
        <f>IF(ISNUMBER($P$7),G26*$P$7,0)</f>
        <v/>
      </c>
      <c r="L26" s="54" t="n"/>
      <c r="M26" s="50">
        <f>L26-K26</f>
        <v/>
      </c>
      <c r="N26" s="52">
        <f>IF(D26="","",IF('FUND. SUP'!$C$78&gt;L26+1,"⚠ Incorrido acima da projeção",IF(AND('FUND. SUP'!$K$18&gt;1,'FUND. SUP'!$K$17=0),"⚠ Saldo sem curva (preencha a coluna H da aba)",IF(ABS('FUND. SUP'!$D$80)&gt;1,"⚠ Verificar","OK"))))</f>
        <v/>
      </c>
      <c r="O26" s="61">
        <f>'FUND. SUP'!$K$16</f>
        <v/>
      </c>
      <c r="P26" s="62">
        <f>'FUND. SUP'!$K$14</f>
        <v/>
      </c>
      <c r="Q26" s="60" t="inlineStr">
        <is>
          <t>16</t>
        </is>
      </c>
    </row>
    <row r="27">
      <c r="B27" s="60" t="inlineStr">
        <is>
          <t>PL100.011</t>
        </is>
      </c>
      <c r="C27" s="60" t="inlineStr">
        <is>
          <t>17</t>
        </is>
      </c>
      <c r="D27" s="60" t="inlineStr">
        <is>
          <t>ESTRUTURA EM CONCRETO ARMADO</t>
        </is>
      </c>
      <c r="E27" s="49">
        <f>IF($F$50=0,0,F27/$F$50)</f>
        <v/>
      </c>
      <c r="F27" s="54" t="n"/>
      <c r="G27" s="50">
        <f>IF($H$6=0,0,F27/$H$6)</f>
        <v/>
      </c>
      <c r="H27" s="50">
        <f>G27</f>
        <v/>
      </c>
      <c r="I27" s="60" t="inlineStr">
        <is>
          <t>DIRETO</t>
        </is>
      </c>
      <c r="J27" s="60" t="inlineStr">
        <is>
          <t>ESTRUTURA EM CONCRETO ARMADO</t>
        </is>
      </c>
      <c r="K27" s="50">
        <f>IF(ISNUMBER($P$7),G27*$P$7,0)</f>
        <v/>
      </c>
      <c r="L27" s="54" t="n"/>
      <c r="M27" s="50">
        <f>L27-K27</f>
        <v/>
      </c>
      <c r="N27" s="52">
        <f>IF(D27="","",IF('ESTRUTURA'!$C$78&gt;L27+1,"⚠ Incorrido acima da projeção",IF(AND('ESTRUTURA'!$K$18&gt;1,'ESTRUTURA'!$K$17=0),"⚠ Saldo sem curva (preencha a coluna H da aba)",IF(ABS('ESTRUTURA'!$D$80)&gt;1,"⚠ Verificar","OK"))))</f>
        <v/>
      </c>
      <c r="O27" s="61">
        <f>'ESTRUTURA'!$K$16</f>
        <v/>
      </c>
      <c r="P27" s="62">
        <f>'ESTRUTURA'!$K$14</f>
        <v/>
      </c>
      <c r="Q27" s="60" t="inlineStr">
        <is>
          <t>17</t>
        </is>
      </c>
    </row>
    <row r="28">
      <c r="B28" s="60" t="inlineStr">
        <is>
          <t>PL120.001</t>
        </is>
      </c>
      <c r="C28" s="60" t="inlineStr">
        <is>
          <t>18</t>
        </is>
      </c>
      <c r="D28" s="60" t="inlineStr">
        <is>
          <t>ALVENARIA</t>
        </is>
      </c>
      <c r="E28" s="49">
        <f>IF($F$50=0,0,F28/$F$50)</f>
        <v/>
      </c>
      <c r="F28" s="54" t="n"/>
      <c r="G28" s="50">
        <f>IF($H$6=0,0,F28/$H$6)</f>
        <v/>
      </c>
      <c r="H28" s="50">
        <f>G28</f>
        <v/>
      </c>
      <c r="I28" s="60" t="inlineStr">
        <is>
          <t>DIRETO</t>
        </is>
      </c>
      <c r="J28" s="60" t="inlineStr">
        <is>
          <t>ALVENARIA</t>
        </is>
      </c>
      <c r="K28" s="50">
        <f>IF(ISNUMBER($P$7),G28*$P$7,0)</f>
        <v/>
      </c>
      <c r="L28" s="54" t="n"/>
      <c r="M28" s="50">
        <f>L28-K28</f>
        <v/>
      </c>
      <c r="N28" s="52">
        <f>IF(D28="","",IF('ALVENARIA'!$C$78&gt;L28+1,"⚠ Incorrido acima da projeção",IF(AND('ALVENARIA'!$K$18&gt;1,'ALVENARIA'!$K$17=0),"⚠ Saldo sem curva (preencha a coluna H da aba)",IF(ABS('ALVENARIA'!$D$80)&gt;1,"⚠ Verificar","OK"))))</f>
        <v/>
      </c>
      <c r="O28" s="61">
        <f>'ALVENARIA'!$K$16</f>
        <v/>
      </c>
      <c r="P28" s="62">
        <f>'ALVENARIA'!$K$14</f>
        <v/>
      </c>
      <c r="Q28" s="60" t="inlineStr">
        <is>
          <t>18</t>
        </is>
      </c>
    </row>
    <row r="29">
      <c r="B29" s="60" t="inlineStr">
        <is>
          <t>PL140.004</t>
        </is>
      </c>
      <c r="C29" s="60" t="inlineStr">
        <is>
          <t>19</t>
        </is>
      </c>
      <c r="D29" s="60" t="inlineStr">
        <is>
          <t>IMPERMEABILIZAÇÃO</t>
        </is>
      </c>
      <c r="E29" s="49">
        <f>IF($F$50=0,0,F29/$F$50)</f>
        <v/>
      </c>
      <c r="F29" s="54" t="n"/>
      <c r="G29" s="50">
        <f>IF($H$6=0,0,F29/$H$6)</f>
        <v/>
      </c>
      <c r="H29" s="50">
        <f>G29</f>
        <v/>
      </c>
      <c r="I29" s="60" t="inlineStr">
        <is>
          <t>DIRETO</t>
        </is>
      </c>
      <c r="J29" s="60" t="inlineStr">
        <is>
          <t>IMPERMEABILIZAÇÃO</t>
        </is>
      </c>
      <c r="K29" s="50">
        <f>IF(ISNUMBER($P$7),G29*$P$7,0)</f>
        <v/>
      </c>
      <c r="L29" s="54" t="n"/>
      <c r="M29" s="50">
        <f>L29-K29</f>
        <v/>
      </c>
      <c r="N29" s="52">
        <f>IF(D29="","",IF('IMPERMEABILIZAÇÃO'!$C$78&gt;L29+1,"⚠ Incorrido acima da projeção",IF(AND('IMPERMEABILIZAÇÃO'!$K$18&gt;1,'IMPERMEABILIZAÇÃO'!$K$17=0),"⚠ Saldo sem curva (preencha a coluna H da aba)",IF(ABS('IMPERMEABILIZAÇÃO'!$D$80)&gt;1,"⚠ Verificar","OK"))))</f>
        <v/>
      </c>
      <c r="O29" s="61">
        <f>'IMPERMEABILIZAÇÃO'!$K$16</f>
        <v/>
      </c>
      <c r="P29" s="62">
        <f>'IMPERMEABILIZAÇÃO'!$K$14</f>
        <v/>
      </c>
      <c r="Q29" s="60" t="inlineStr">
        <is>
          <t>19</t>
        </is>
      </c>
    </row>
    <row r="30">
      <c r="B30" s="60" t="inlineStr">
        <is>
          <t>PL110.018</t>
        </is>
      </c>
      <c r="C30" s="60" t="inlineStr">
        <is>
          <t>20</t>
        </is>
      </c>
      <c r="D30" s="60" t="inlineStr">
        <is>
          <t>INSTALAÇÕES ELÉTRICAS</t>
        </is>
      </c>
      <c r="E30" s="49">
        <f>IF($F$50=0,0,F30/$F$50)</f>
        <v/>
      </c>
      <c r="F30" s="54" t="n"/>
      <c r="G30" s="50">
        <f>IF($H$6=0,0,F30/$H$6)</f>
        <v/>
      </c>
      <c r="H30" s="50">
        <f>G30</f>
        <v/>
      </c>
      <c r="I30" s="60" t="inlineStr">
        <is>
          <t>DIRETO</t>
        </is>
      </c>
      <c r="J30" s="60" t="inlineStr">
        <is>
          <t xml:space="preserve">INSTALAÇÕES ELÉTRICAS </t>
        </is>
      </c>
      <c r="K30" s="50">
        <f>IF(ISNUMBER($P$7),G30*$P$7,0)</f>
        <v/>
      </c>
      <c r="L30" s="54" t="n"/>
      <c r="M30" s="50">
        <f>L30-K30</f>
        <v/>
      </c>
      <c r="N30" s="52">
        <f>IF(D30="","",IF('INST. ELÉTRICA'!$C$78&gt;L30+1,"⚠ Incorrido acima da projeção",IF(AND('INST. ELÉTRICA'!$K$18&gt;1,'INST. ELÉTRICA'!$K$17=0),"⚠ Saldo sem curva (preencha a coluna H da aba)",IF(ABS('INST. ELÉTRICA'!$D$80)&gt;1,"⚠ Verificar","OK"))))</f>
        <v/>
      </c>
      <c r="O30" s="61">
        <f>'INST. ELÉTRICA'!$K$16</f>
        <v/>
      </c>
      <c r="P30" s="62">
        <f>'INST. ELÉTRICA'!$K$14</f>
        <v/>
      </c>
      <c r="Q30" s="60" t="inlineStr">
        <is>
          <t>20</t>
        </is>
      </c>
    </row>
    <row r="31">
      <c r="B31" s="60" t="inlineStr">
        <is>
          <t>PL110.007</t>
        </is>
      </c>
      <c r="C31" s="60" t="inlineStr">
        <is>
          <t>21</t>
        </is>
      </c>
      <c r="D31" s="60" t="inlineStr">
        <is>
          <t>INSTALAÇÕES HIDROSANITÁRIAS</t>
        </is>
      </c>
      <c r="E31" s="49">
        <f>IF($F$50=0,0,F31/$F$50)</f>
        <v/>
      </c>
      <c r="F31" s="54" t="n"/>
      <c r="G31" s="50">
        <f>IF($H$6=0,0,F31/$H$6)</f>
        <v/>
      </c>
      <c r="H31" s="50">
        <f>G31</f>
        <v/>
      </c>
      <c r="I31" s="60" t="inlineStr">
        <is>
          <t>DIRETO</t>
        </is>
      </c>
      <c r="J31" s="60" t="inlineStr">
        <is>
          <t>INSTALAÇÕES HIDROSANITÁRIAS</t>
        </is>
      </c>
      <c r="K31" s="50">
        <f>IF(ISNUMBER($P$7),G31*$P$7,0)</f>
        <v/>
      </c>
      <c r="L31" s="54" t="n"/>
      <c r="M31" s="50">
        <f>L31-K31</f>
        <v/>
      </c>
      <c r="N31" s="52">
        <f>IF(D31="","",IF('INST. HIDRO'!$C$78&gt;L31+1,"⚠ Incorrido acima da projeção",IF(AND('INST. HIDRO'!$K$18&gt;1,'INST. HIDRO'!$K$17=0),"⚠ Saldo sem curva (preencha a coluna H da aba)",IF(ABS('INST. HIDRO'!$D$80)&gt;1,"⚠ Verificar","OK"))))</f>
        <v/>
      </c>
      <c r="O31" s="61">
        <f>'INST. HIDRO'!$K$16</f>
        <v/>
      </c>
      <c r="P31" s="62">
        <f>'INST. HIDRO'!$K$14</f>
        <v/>
      </c>
      <c r="Q31" s="60" t="inlineStr">
        <is>
          <t>21</t>
        </is>
      </c>
    </row>
    <row r="32">
      <c r="B32" s="60" t="inlineStr">
        <is>
          <t>PL110.017</t>
        </is>
      </c>
      <c r="C32" s="60" t="inlineStr">
        <is>
          <t>22</t>
        </is>
      </c>
      <c r="D32" s="60" t="inlineStr">
        <is>
          <t>INSTALAÇÕES COMBATE INCÊNDIO</t>
        </is>
      </c>
      <c r="E32" s="49">
        <f>IF($F$50=0,0,F32/$F$50)</f>
        <v/>
      </c>
      <c r="F32" s="54" t="n"/>
      <c r="G32" s="50">
        <f>IF($H$6=0,0,F32/$H$6)</f>
        <v/>
      </c>
      <c r="H32" s="50">
        <f>G32</f>
        <v/>
      </c>
      <c r="I32" s="60" t="inlineStr">
        <is>
          <t>DIRETO</t>
        </is>
      </c>
      <c r="J32" s="60" t="inlineStr">
        <is>
          <t>INSTALAÇÕES COMBATE INCÊNDIO</t>
        </is>
      </c>
      <c r="K32" s="50">
        <f>IF(ISNUMBER($P$7),G32*$P$7,0)</f>
        <v/>
      </c>
      <c r="L32" s="54" t="n"/>
      <c r="M32" s="50">
        <f>L32-K32</f>
        <v/>
      </c>
      <c r="N32" s="52">
        <f>IF(D32="","",IF('INST. INC'!$C$78&gt;L32+1,"⚠ Incorrido acima da projeção",IF(AND('INST. INC'!$K$18&gt;1,'INST. INC'!$K$17=0),"⚠ Saldo sem curva (preencha a coluna H da aba)",IF(ABS('INST. INC'!$D$80)&gt;1,"⚠ Verificar","OK"))))</f>
        <v/>
      </c>
      <c r="O32" s="61">
        <f>'INST. INC'!$K$16</f>
        <v/>
      </c>
      <c r="P32" s="62">
        <f>'INST. INC'!$K$14</f>
        <v/>
      </c>
      <c r="Q32" s="60" t="inlineStr">
        <is>
          <t>22</t>
        </is>
      </c>
    </row>
    <row r="33">
      <c r="B33" s="60" t="inlineStr">
        <is>
          <t>PL110.027</t>
        </is>
      </c>
      <c r="C33" s="60" t="inlineStr">
        <is>
          <t>23</t>
        </is>
      </c>
      <c r="D33" s="60" t="inlineStr">
        <is>
          <t>INSTALAÇÕES ESPECIAIS</t>
        </is>
      </c>
      <c r="E33" s="49">
        <f>IF($F$50=0,0,F33/$F$50)</f>
        <v/>
      </c>
      <c r="F33" s="54" t="n"/>
      <c r="G33" s="50">
        <f>IF($H$6=0,0,F33/$H$6)</f>
        <v/>
      </c>
      <c r="H33" s="50">
        <f>G33</f>
        <v/>
      </c>
      <c r="I33" s="60" t="inlineStr">
        <is>
          <t>DIRETO</t>
        </is>
      </c>
      <c r="J33" s="60" t="inlineStr">
        <is>
          <t>INSTALAÇÕES ESPECIAIS</t>
        </is>
      </c>
      <c r="K33" s="50">
        <f>IF(ISNUMBER($P$7),G33*$P$7,0)</f>
        <v/>
      </c>
      <c r="L33" s="54" t="n"/>
      <c r="M33" s="50">
        <f>L33-K33</f>
        <v/>
      </c>
      <c r="N33" s="52">
        <f>IF(D33="","",IF('INST. ESP'!$C$78&gt;L33+1,"⚠ Incorrido acima da projeção",IF(AND('INST. ESP'!$K$18&gt;1,'INST. ESP'!$K$17=0),"⚠ Saldo sem curva (preencha a coluna H da aba)",IF(ABS('INST. ESP'!$D$80)&gt;1,"⚠ Verificar","OK"))))</f>
        <v/>
      </c>
      <c r="O33" s="61">
        <f>'INST. ESP'!$K$16</f>
        <v/>
      </c>
      <c r="P33" s="62">
        <f>'INST. ESP'!$K$14</f>
        <v/>
      </c>
      <c r="Q33" s="60" t="inlineStr">
        <is>
          <t>23</t>
        </is>
      </c>
    </row>
    <row r="34">
      <c r="B34" s="60" t="inlineStr">
        <is>
          <t>PL220.002</t>
        </is>
      </c>
      <c r="C34" s="60" t="inlineStr">
        <is>
          <t>24</t>
        </is>
      </c>
      <c r="D34" s="60" t="inlineStr">
        <is>
          <t>ELEVADORES</t>
        </is>
      </c>
      <c r="E34" s="49">
        <f>IF($F$50=0,0,F34/$F$50)</f>
        <v/>
      </c>
      <c r="F34" s="54" t="n"/>
      <c r="G34" s="50">
        <f>IF($H$6=0,0,F34/$H$6)</f>
        <v/>
      </c>
      <c r="H34" s="50">
        <f>G34</f>
        <v/>
      </c>
      <c r="I34" s="60" t="inlineStr">
        <is>
          <t>DIRETO</t>
        </is>
      </c>
      <c r="J34" s="60" t="inlineStr">
        <is>
          <t xml:space="preserve">ELEVADORES </t>
        </is>
      </c>
      <c r="K34" s="50">
        <f>IF(ISNUMBER($P$7),G34*$P$7,0)</f>
        <v/>
      </c>
      <c r="L34" s="54" t="n"/>
      <c r="M34" s="50">
        <f>L34-K34</f>
        <v/>
      </c>
      <c r="N34" s="52">
        <f>IF(D34="","",IF('ELEVADORES '!$C$78&gt;L34+1,"⚠ Incorrido acima da projeção",IF(AND('ELEVADORES '!$K$18&gt;1,'ELEVADORES '!$K$17=0),"⚠ Saldo sem curva (preencha a coluna H da aba)",IF(ABS('ELEVADORES '!$D$80)&gt;1,"⚠ Verificar","OK"))))</f>
        <v/>
      </c>
      <c r="O34" s="61">
        <f>'ELEVADORES '!$K$16</f>
        <v/>
      </c>
      <c r="P34" s="62">
        <f>'ELEVADORES '!$K$14</f>
        <v/>
      </c>
      <c r="Q34" s="60" t="inlineStr">
        <is>
          <t>24</t>
        </is>
      </c>
    </row>
    <row r="35">
      <c r="B35" s="60" t="inlineStr">
        <is>
          <t>PL250.001</t>
        </is>
      </c>
      <c r="C35" s="60" t="inlineStr">
        <is>
          <t>25</t>
        </is>
      </c>
      <c r="D35" s="60" t="inlineStr">
        <is>
          <t>ESQUADRIAS</t>
        </is>
      </c>
      <c r="E35" s="49">
        <f>IF($F$50=0,0,F35/$F$50)</f>
        <v/>
      </c>
      <c r="F35" s="54" t="n"/>
      <c r="G35" s="50">
        <f>IF($H$6=0,0,F35/$H$6)</f>
        <v/>
      </c>
      <c r="H35" s="50">
        <f>G35</f>
        <v/>
      </c>
      <c r="I35" s="60" t="inlineStr">
        <is>
          <t>DIRETO</t>
        </is>
      </c>
      <c r="J35" s="60" t="inlineStr">
        <is>
          <t xml:space="preserve">ESQUADRIAS </t>
        </is>
      </c>
      <c r="K35" s="50">
        <f>IF(ISNUMBER($P$7),G35*$P$7,0)</f>
        <v/>
      </c>
      <c r="L35" s="54" t="n"/>
      <c r="M35" s="50">
        <f>L35-K35</f>
        <v/>
      </c>
      <c r="N35" s="52">
        <f>IF(D35="","",IF('ESQUADRIAS'!$C$78&gt;L35+1,"⚠ Incorrido acima da projeção",IF(AND('ESQUADRIAS'!$K$18&gt;1,'ESQUADRIAS'!$K$17=0),"⚠ Saldo sem curva (preencha a coluna H da aba)",IF(ABS('ESQUADRIAS'!$D$80)&gt;1,"⚠ Verificar","OK"))))</f>
        <v/>
      </c>
      <c r="O35" s="61">
        <f>'ESQUADRIAS'!$K$16</f>
        <v/>
      </c>
      <c r="P35" s="62">
        <f>'ESQUADRIAS'!$K$14</f>
        <v/>
      </c>
      <c r="Q35" s="60" t="inlineStr">
        <is>
          <t>25</t>
        </is>
      </c>
    </row>
    <row r="36">
      <c r="B36" s="60" t="inlineStr">
        <is>
          <t>PL240.000</t>
        </is>
      </c>
      <c r="C36" s="60" t="inlineStr">
        <is>
          <t>26</t>
        </is>
      </c>
      <c r="D36" s="60" t="inlineStr">
        <is>
          <t>SERRALHERIA</t>
        </is>
      </c>
      <c r="E36" s="49">
        <f>IF($F$50=0,0,F36/$F$50)</f>
        <v/>
      </c>
      <c r="F36" s="54" t="n"/>
      <c r="G36" s="50">
        <f>IF($H$6=0,0,F36/$H$6)</f>
        <v/>
      </c>
      <c r="H36" s="50">
        <f>G36</f>
        <v/>
      </c>
      <c r="I36" s="60" t="inlineStr">
        <is>
          <t>DIRETO</t>
        </is>
      </c>
      <c r="J36" s="60" t="inlineStr">
        <is>
          <t>SERRALHERIA</t>
        </is>
      </c>
      <c r="K36" s="50">
        <f>IF(ISNUMBER($P$7),G36*$P$7,0)</f>
        <v/>
      </c>
      <c r="L36" s="54" t="n"/>
      <c r="M36" s="50">
        <f>L36-K36</f>
        <v/>
      </c>
      <c r="N36" s="52">
        <f>IF(D36="","",IF('SERRALHERIA'!$C$78&gt;L36+1,"⚠ Incorrido acima da projeção",IF(AND('SERRALHERIA'!$K$18&gt;1,'SERRALHERIA'!$K$17=0),"⚠ Saldo sem curva (preencha a coluna H da aba)",IF(ABS('SERRALHERIA'!$D$80)&gt;1,"⚠ Verificar","OK"))))</f>
        <v/>
      </c>
      <c r="O36" s="61">
        <f>'SERRALHERIA'!$K$16</f>
        <v/>
      </c>
      <c r="P36" s="62">
        <f>'SERRALHERIA'!$K$14</f>
        <v/>
      </c>
      <c r="Q36" s="60" t="inlineStr">
        <is>
          <t>26</t>
        </is>
      </c>
    </row>
    <row r="37">
      <c r="B37" s="60" t="inlineStr">
        <is>
          <t>PL240.020</t>
        </is>
      </c>
      <c r="C37" s="60" t="inlineStr">
        <is>
          <t>27</t>
        </is>
      </c>
      <c r="D37" s="60" t="inlineStr">
        <is>
          <t>MARCENARIA</t>
        </is>
      </c>
      <c r="E37" s="49">
        <f>IF($F$50=0,0,F37/$F$50)</f>
        <v/>
      </c>
      <c r="F37" s="54" t="n"/>
      <c r="G37" s="50">
        <f>IF($H$6=0,0,F37/$H$6)</f>
        <v/>
      </c>
      <c r="H37" s="50">
        <f>G37</f>
        <v/>
      </c>
      <c r="I37" s="60" t="inlineStr">
        <is>
          <t>DIRETO</t>
        </is>
      </c>
      <c r="J37" s="60" t="inlineStr">
        <is>
          <t>MARCENARIA</t>
        </is>
      </c>
      <c r="K37" s="50">
        <f>IF(ISNUMBER($P$7),G37*$P$7,0)</f>
        <v/>
      </c>
      <c r="L37" s="54" t="n"/>
      <c r="M37" s="50">
        <f>L37-K37</f>
        <v/>
      </c>
      <c r="N37" s="52">
        <f>IF(D37="","",IF('MARCENARIA'!$C$78&gt;L37+1,"⚠ Incorrido acima da projeção",IF(AND('MARCENARIA'!$K$18&gt;1,'MARCENARIA'!$K$17=0),"⚠ Saldo sem curva (preencha a coluna H da aba)",IF(ABS('MARCENARIA'!$D$80)&gt;1,"⚠ Verificar","OK"))))</f>
        <v/>
      </c>
      <c r="O37" s="61">
        <f>'MARCENARIA'!$K$16</f>
        <v/>
      </c>
      <c r="P37" s="62">
        <f>'MARCENARIA'!$K$14</f>
        <v/>
      </c>
      <c r="Q37" s="60" t="inlineStr">
        <is>
          <t>27</t>
        </is>
      </c>
    </row>
    <row r="38">
      <c r="B38" s="60" t="inlineStr">
        <is>
          <t>PL160.001</t>
        </is>
      </c>
      <c r="C38" s="60" t="inlineStr">
        <is>
          <t>28</t>
        </is>
      </c>
      <c r="D38" s="60" t="inlineStr">
        <is>
          <t>REVESTIMENTOS DE MASSA EM PISOS</t>
        </is>
      </c>
      <c r="E38" s="49">
        <f>IF($F$50=0,0,F38/$F$50)</f>
        <v/>
      </c>
      <c r="F38" s="54" t="n"/>
      <c r="G38" s="50">
        <f>IF($H$6=0,0,F38/$H$6)</f>
        <v/>
      </c>
      <c r="H38" s="50">
        <f>G38</f>
        <v/>
      </c>
      <c r="I38" s="60" t="inlineStr">
        <is>
          <t>DIRETO</t>
        </is>
      </c>
      <c r="J38" s="60" t="inlineStr">
        <is>
          <t>REVESTIMENTOS DE MASSA EM PISOS</t>
        </is>
      </c>
      <c r="K38" s="50">
        <f>IF(ISNUMBER($P$7),G38*$P$7,0)</f>
        <v/>
      </c>
      <c r="L38" s="54" t="n"/>
      <c r="M38" s="50">
        <f>L38-K38</f>
        <v/>
      </c>
      <c r="N38" s="52">
        <f>IF(D38="","",IF('REV. PISOS'!$C$78&gt;L38+1,"⚠ Incorrido acima da projeção",IF(AND('REV. PISOS'!$K$18&gt;1,'REV. PISOS'!$K$17=0),"⚠ Saldo sem curva (preencha a coluna H da aba)",IF(ABS('REV. PISOS'!$D$80)&gt;1,"⚠ Verificar","OK"))))</f>
        <v/>
      </c>
      <c r="O38" s="61">
        <f>'REV. PISOS'!$K$16</f>
        <v/>
      </c>
      <c r="P38" s="62">
        <f>'REV. PISOS'!$K$14</f>
        <v/>
      </c>
      <c r="Q38" s="60" t="inlineStr">
        <is>
          <t>28</t>
        </is>
      </c>
    </row>
    <row r="39">
      <c r="B39" s="60" t="inlineStr">
        <is>
          <t>PL150.001</t>
        </is>
      </c>
      <c r="C39" s="60" t="inlineStr">
        <is>
          <t>29</t>
        </is>
      </c>
      <c r="D39" s="60" t="inlineStr">
        <is>
          <t>REVESTIMENTOS DE MASSA EM PAREDES</t>
        </is>
      </c>
      <c r="E39" s="49">
        <f>IF($F$50=0,0,F39/$F$50)</f>
        <v/>
      </c>
      <c r="F39" s="54" t="n"/>
      <c r="G39" s="50">
        <f>IF($H$6=0,0,F39/$H$6)</f>
        <v/>
      </c>
      <c r="H39" s="50">
        <f>G39</f>
        <v/>
      </c>
      <c r="I39" s="60" t="inlineStr">
        <is>
          <t>DIRETO</t>
        </is>
      </c>
      <c r="J39" s="60" t="inlineStr">
        <is>
          <t>REVESTIMENTOS DE MASSA EM PAREDES</t>
        </is>
      </c>
      <c r="K39" s="50">
        <f>IF(ISNUMBER($P$7),G39*$P$7,0)</f>
        <v/>
      </c>
      <c r="L39" s="54" t="n"/>
      <c r="M39" s="50">
        <f>L39-K39</f>
        <v/>
      </c>
      <c r="N39" s="52">
        <f>IF(D39="","",IF('REV. PAREDE'!$C$78&gt;L39+1,"⚠ Incorrido acima da projeção",IF(AND('REV. PAREDE'!$K$18&gt;1,'REV. PAREDE'!$K$17=0),"⚠ Saldo sem curva (preencha a coluna H da aba)",IF(ABS('REV. PAREDE'!$D$80)&gt;1,"⚠ Verificar","OK"))))</f>
        <v/>
      </c>
      <c r="O39" s="61">
        <f>'REV. PAREDE'!$K$16</f>
        <v/>
      </c>
      <c r="P39" s="62">
        <f>'REV. PAREDE'!$K$14</f>
        <v/>
      </c>
      <c r="Q39" s="60" t="inlineStr">
        <is>
          <t>29</t>
        </is>
      </c>
    </row>
    <row r="40">
      <c r="B40" s="60" t="inlineStr">
        <is>
          <t>PL170.004</t>
        </is>
      </c>
      <c r="C40" s="60" t="inlineStr">
        <is>
          <t>30</t>
        </is>
      </c>
      <c r="D40" s="60" t="inlineStr">
        <is>
          <t>REVESTIMENTOS DE ACABAMENTO</t>
        </is>
      </c>
      <c r="E40" s="49">
        <f>IF($F$50=0,0,F40/$F$50)</f>
        <v/>
      </c>
      <c r="F40" s="54" t="n"/>
      <c r="G40" s="50">
        <f>IF($H$6=0,0,F40/$H$6)</f>
        <v/>
      </c>
      <c r="H40" s="50">
        <f>G40</f>
        <v/>
      </c>
      <c r="I40" s="60" t="inlineStr">
        <is>
          <t>DIRETO</t>
        </is>
      </c>
      <c r="J40" s="60" t="inlineStr">
        <is>
          <t>REVESTIMENTOS DE ACABAMENTO</t>
        </is>
      </c>
      <c r="K40" s="50">
        <f>IF(ISNUMBER($P$7),G40*$P$7,0)</f>
        <v/>
      </c>
      <c r="L40" s="54" t="n"/>
      <c r="M40" s="50">
        <f>L40-K40</f>
        <v/>
      </c>
      <c r="N40" s="52">
        <f>IF(D40="","",IF('REV. ACAB'!$C$78&gt;L40+1,"⚠ Incorrido acima da projeção",IF(AND('REV. ACAB'!$K$18&gt;1,'REV. ACAB'!$K$17=0),"⚠ Saldo sem curva (preencha a coluna H da aba)",IF(ABS('REV. ACAB'!$D$80)&gt;1,"⚠ Verificar","OK"))))</f>
        <v/>
      </c>
      <c r="O40" s="61">
        <f>'REV. ACAB'!$K$16</f>
        <v/>
      </c>
      <c r="P40" s="62">
        <f>'REV. ACAB'!$K$14</f>
        <v/>
      </c>
      <c r="Q40" s="60" t="inlineStr">
        <is>
          <t>30</t>
        </is>
      </c>
    </row>
    <row r="41">
      <c r="B41" s="60" t="inlineStr">
        <is>
          <t>PL320.001</t>
        </is>
      </c>
      <c r="C41" s="60" t="inlineStr">
        <is>
          <t>31</t>
        </is>
      </c>
      <c r="D41" s="60" t="inlineStr">
        <is>
          <t>PAVIMENTAÇÃO</t>
        </is>
      </c>
      <c r="E41" s="49">
        <f>IF($F$50=0,0,F41/$F$50)</f>
        <v/>
      </c>
      <c r="F41" s="54" t="n"/>
      <c r="G41" s="50">
        <f>IF($H$6=0,0,F41/$H$6)</f>
        <v/>
      </c>
      <c r="H41" s="50">
        <f>G41</f>
        <v/>
      </c>
      <c r="I41" s="60" t="inlineStr">
        <is>
          <t>DIRETO</t>
        </is>
      </c>
      <c r="J41" s="60" t="inlineStr">
        <is>
          <t>PAVIMENTÇÃO</t>
        </is>
      </c>
      <c r="K41" s="50">
        <f>IF(ISNUMBER($P$7),G41*$P$7,0)</f>
        <v/>
      </c>
      <c r="L41" s="54" t="n"/>
      <c r="M41" s="50">
        <f>L41-K41</f>
        <v/>
      </c>
      <c r="N41" s="52">
        <f>IF(D41="","",IF('PAVIMENTAÇÃO'!$C$78&gt;L41+1,"⚠ Incorrido acima da projeção",IF(AND('PAVIMENTAÇÃO'!$K$18&gt;1,'PAVIMENTAÇÃO'!$K$17=0),"⚠ Saldo sem curva (preencha a coluna H da aba)",IF(ABS('PAVIMENTAÇÃO'!$D$80)&gt;1,"⚠ Verificar","OK"))))</f>
        <v/>
      </c>
      <c r="O41" s="61">
        <f>'PAVIMENTAÇÃO'!$K$16</f>
        <v/>
      </c>
      <c r="P41" s="62">
        <f>'PAVIMENTAÇÃO'!$K$14</f>
        <v/>
      </c>
      <c r="Q41" s="60" t="inlineStr">
        <is>
          <t>31</t>
        </is>
      </c>
    </row>
    <row r="42">
      <c r="B42" s="60" t="inlineStr">
        <is>
          <t>PL190.003</t>
        </is>
      </c>
      <c r="C42" s="60" t="inlineStr">
        <is>
          <t>32</t>
        </is>
      </c>
      <c r="D42" s="60" t="inlineStr">
        <is>
          <t>REVESTIMENTO DIVERSOS - FACHADA</t>
        </is>
      </c>
      <c r="E42" s="49">
        <f>IF($F$50=0,0,F42/$F$50)</f>
        <v/>
      </c>
      <c r="F42" s="54" t="n"/>
      <c r="G42" s="50">
        <f>IF($H$6=0,0,F42/$H$6)</f>
        <v/>
      </c>
      <c r="H42" s="50">
        <f>G42</f>
        <v/>
      </c>
      <c r="I42" s="60" t="inlineStr">
        <is>
          <t>DIRETO</t>
        </is>
      </c>
      <c r="J42" s="60" t="inlineStr">
        <is>
          <t>REVESTIMENTO DIVERSOS - FACHADA</t>
        </is>
      </c>
      <c r="K42" s="50">
        <f>IF(ISNUMBER($P$7),G42*$P$7,0)</f>
        <v/>
      </c>
      <c r="L42" s="54" t="n"/>
      <c r="M42" s="50">
        <f>L42-K42</f>
        <v/>
      </c>
      <c r="N42" s="52">
        <f>IF(D42="","",IF('REV. FACHADA'!$C$78&gt;L42+1,"⚠ Incorrido acima da projeção",IF(AND('REV. FACHADA'!$K$18&gt;1,'REV. FACHADA'!$K$17=0),"⚠ Saldo sem curva (preencha a coluna H da aba)",IF(ABS('REV. FACHADA'!$D$80)&gt;1,"⚠ Verificar","OK"))))</f>
        <v/>
      </c>
      <c r="O42" s="61">
        <f>'REV. FACHADA'!$K$16</f>
        <v/>
      </c>
      <c r="P42" s="62">
        <f>'REV. FACHADA'!$K$14</f>
        <v/>
      </c>
      <c r="Q42" s="60" t="inlineStr">
        <is>
          <t>32</t>
        </is>
      </c>
    </row>
    <row r="43">
      <c r="B43" s="60" t="inlineStr">
        <is>
          <t>PL180.001</t>
        </is>
      </c>
      <c r="C43" s="60" t="inlineStr">
        <is>
          <t>33</t>
        </is>
      </c>
      <c r="D43" s="60" t="inlineStr">
        <is>
          <t>FORRO</t>
        </is>
      </c>
      <c r="E43" s="49">
        <f>IF($F$50=0,0,F43/$F$50)</f>
        <v/>
      </c>
      <c r="F43" s="54" t="n"/>
      <c r="G43" s="50">
        <f>IF($H$6=0,0,F43/$H$6)</f>
        <v/>
      </c>
      <c r="H43" s="50">
        <f>G43</f>
        <v/>
      </c>
      <c r="I43" s="60" t="inlineStr">
        <is>
          <t>DIRETO</t>
        </is>
      </c>
      <c r="J43" s="60" t="inlineStr">
        <is>
          <t>FORROS DIVERSOS</t>
        </is>
      </c>
      <c r="K43" s="50">
        <f>IF(ISNUMBER($P$7),G43*$P$7,0)</f>
        <v/>
      </c>
      <c r="L43" s="54" t="n"/>
      <c r="M43" s="50">
        <f>L43-K43</f>
        <v/>
      </c>
      <c r="N43" s="52">
        <f>IF(D43="","",IF('FORRO'!$C$78&gt;L43+1,"⚠ Incorrido acima da projeção",IF(AND('FORRO'!$K$18&gt;1,'FORRO'!$K$17=0),"⚠ Saldo sem curva (preencha a coluna H da aba)",IF(ABS('FORRO'!$D$80)&gt;1,"⚠ Verificar","OK"))))</f>
        <v/>
      </c>
      <c r="O43" s="61">
        <f>'FORRO'!$K$16</f>
        <v/>
      </c>
      <c r="P43" s="62">
        <f>'FORRO'!$K$14</f>
        <v/>
      </c>
      <c r="Q43" s="60" t="inlineStr">
        <is>
          <t>33</t>
        </is>
      </c>
    </row>
    <row r="44">
      <c r="B44" s="60" t="inlineStr">
        <is>
          <t>PL290.002</t>
        </is>
      </c>
      <c r="C44" s="60" t="inlineStr">
        <is>
          <t>34</t>
        </is>
      </c>
      <c r="D44" s="60" t="inlineStr">
        <is>
          <t>LOUÇAS SANITÁRIAS</t>
        </is>
      </c>
      <c r="E44" s="49">
        <f>IF($F$50=0,0,F44/$F$50)</f>
        <v/>
      </c>
      <c r="F44" s="54" t="n"/>
      <c r="G44" s="50">
        <f>IF($H$6=0,0,F44/$H$6)</f>
        <v/>
      </c>
      <c r="H44" s="50">
        <f>G44</f>
        <v/>
      </c>
      <c r="I44" s="60" t="inlineStr">
        <is>
          <t>DIRETO</t>
        </is>
      </c>
      <c r="J44" s="60" t="inlineStr">
        <is>
          <t>LOUÇAS E METAIS</t>
        </is>
      </c>
      <c r="K44" s="50">
        <f>IF(ISNUMBER($P$7),G44*$P$7,0)</f>
        <v/>
      </c>
      <c r="L44" s="54" t="n"/>
      <c r="M44" s="50">
        <f>L44-K44</f>
        <v/>
      </c>
      <c r="N44" s="52">
        <f>IF(D44="","",IF('LOUÇAS'!$C$78&gt;L44+1,"⚠ Incorrido acima da projeção",IF(AND('LOUÇAS'!$K$18&gt;1,'LOUÇAS'!$K$17=0),"⚠ Saldo sem curva (preencha a coluna H da aba)",IF(ABS('LOUÇAS'!$D$80)&gt;1,"⚠ Verificar","OK"))))</f>
        <v/>
      </c>
      <c r="O44" s="61">
        <f>'LOUÇAS'!$K$16</f>
        <v/>
      </c>
      <c r="P44" s="62">
        <f>'LOUÇAS'!$K$14</f>
        <v/>
      </c>
      <c r="Q44" s="60" t="inlineStr">
        <is>
          <t>34</t>
        </is>
      </c>
    </row>
    <row r="45">
      <c r="B45" s="60" t="inlineStr">
        <is>
          <t>PL280.003</t>
        </is>
      </c>
      <c r="C45" s="60" t="inlineStr">
        <is>
          <t>35</t>
        </is>
      </c>
      <c r="D45" s="60" t="inlineStr">
        <is>
          <t>PINTURA</t>
        </is>
      </c>
      <c r="E45" s="49">
        <f>IF($F$50=0,0,F45/$F$50)</f>
        <v/>
      </c>
      <c r="F45" s="54" t="n"/>
      <c r="G45" s="50">
        <f>IF($H$6=0,0,F45/$H$6)</f>
        <v/>
      </c>
      <c r="H45" s="50">
        <f>G45</f>
        <v/>
      </c>
      <c r="I45" s="60" t="inlineStr">
        <is>
          <t>DIRETO</t>
        </is>
      </c>
      <c r="J45" s="60" t="inlineStr">
        <is>
          <t>PINTURAS</t>
        </is>
      </c>
      <c r="K45" s="50">
        <f>IF(ISNUMBER($P$7),G45*$P$7,0)</f>
        <v/>
      </c>
      <c r="L45" s="54" t="n"/>
      <c r="M45" s="50">
        <f>L45-K45</f>
        <v/>
      </c>
      <c r="N45" s="52">
        <f>IF(D45="","",IF('PINTURA'!$C$78&gt;L45+1,"⚠ Incorrido acima da projeção",IF(AND('PINTURA'!$K$18&gt;1,'PINTURA'!$K$17=0),"⚠ Saldo sem curva (preencha a coluna H da aba)",IF(ABS('PINTURA'!$D$80)&gt;1,"⚠ Verificar","OK"))))</f>
        <v/>
      </c>
      <c r="O45" s="61">
        <f>'PINTURA'!$K$16</f>
        <v/>
      </c>
      <c r="P45" s="62">
        <f>'PINTURA'!$K$14</f>
        <v/>
      </c>
      <c r="Q45" s="60" t="inlineStr">
        <is>
          <t>35</t>
        </is>
      </c>
    </row>
    <row r="46">
      <c r="B46" s="60" t="inlineStr">
        <is>
          <t>PL330.002</t>
        </is>
      </c>
      <c r="C46" s="60" t="inlineStr">
        <is>
          <t>36</t>
        </is>
      </c>
      <c r="D46" s="60" t="inlineStr">
        <is>
          <t>PAISAGISMO</t>
        </is>
      </c>
      <c r="E46" s="49">
        <f>IF($F$50=0,0,F46/$F$50)</f>
        <v/>
      </c>
      <c r="F46" s="54" t="n"/>
      <c r="G46" s="50">
        <f>IF($H$6=0,0,F46/$H$6)</f>
        <v/>
      </c>
      <c r="H46" s="50">
        <f>G46</f>
        <v/>
      </c>
      <c r="I46" s="60" t="inlineStr">
        <is>
          <t>DIRETO</t>
        </is>
      </c>
      <c r="J46" s="60" t="inlineStr">
        <is>
          <t>PAISAGISMO</t>
        </is>
      </c>
      <c r="K46" s="50">
        <f>IF(ISNUMBER($P$7),G46*$P$7,0)</f>
        <v/>
      </c>
      <c r="L46" s="54" t="n"/>
      <c r="M46" s="50">
        <f>L46-K46</f>
        <v/>
      </c>
      <c r="N46" s="52">
        <f>IF(D46="","",IF('PAISAGISMO'!$C$78&gt;L46+1,"⚠ Incorrido acima da projeção",IF(AND('PAISAGISMO'!$K$18&gt;1,'PAISAGISMO'!$K$17=0),"⚠ Saldo sem curva (preencha a coluna H da aba)",IF(ABS('PAISAGISMO'!$D$80)&gt;1,"⚠ Verificar","OK"))))</f>
        <v/>
      </c>
      <c r="O46" s="61">
        <f>'PAISAGISMO'!$K$16</f>
        <v/>
      </c>
      <c r="P46" s="62">
        <f>'PAISAGISMO'!$K$14</f>
        <v/>
      </c>
      <c r="Q46" s="60" t="inlineStr">
        <is>
          <t>36</t>
        </is>
      </c>
    </row>
    <row r="47">
      <c r="B47" s="60" t="inlineStr">
        <is>
          <t>PL360.001</t>
        </is>
      </c>
      <c r="C47" s="60" t="inlineStr">
        <is>
          <t>37</t>
        </is>
      </c>
      <c r="D47" s="60" t="inlineStr">
        <is>
          <t>LIMPEZA FINAL DE OBRA</t>
        </is>
      </c>
      <c r="E47" s="49">
        <f>IF($F$50=0,0,F47/$F$50)</f>
        <v/>
      </c>
      <c r="F47" s="54" t="n"/>
      <c r="G47" s="50">
        <f>IF($H$6=0,0,F47/$H$6)</f>
        <v/>
      </c>
      <c r="H47" s="50">
        <f>G47</f>
        <v/>
      </c>
      <c r="I47" s="60" t="inlineStr">
        <is>
          <t>DIRETO</t>
        </is>
      </c>
      <c r="J47" s="60" t="inlineStr">
        <is>
          <t>LIMPEZA FINAL DE OBRA</t>
        </is>
      </c>
      <c r="K47" s="50">
        <f>IF(ISNUMBER($P$7),G47*$P$7,0)</f>
        <v/>
      </c>
      <c r="L47" s="54" t="n"/>
      <c r="M47" s="50">
        <f>L47-K47</f>
        <v/>
      </c>
      <c r="N47" s="52">
        <f>IF(D47="","",IF('LIMPEZA'!$C$78&gt;L47+1,"⚠ Incorrido acima da projeção",IF(AND('LIMPEZA'!$K$18&gt;1,'LIMPEZA'!$K$17=0),"⚠ Saldo sem curva (preencha a coluna H da aba)",IF(ABS('LIMPEZA'!$D$80)&gt;1,"⚠ Verificar","OK"))))</f>
        <v/>
      </c>
      <c r="O47" s="61">
        <f>'LIMPEZA'!$K$16</f>
        <v/>
      </c>
      <c r="P47" s="62">
        <f>'LIMPEZA'!$K$14</f>
        <v/>
      </c>
      <c r="Q47" s="60" t="inlineStr">
        <is>
          <t>37</t>
        </is>
      </c>
    </row>
    <row r="48">
      <c r="B48" s="60" t="n"/>
      <c r="C48" s="60" t="inlineStr">
        <is>
          <t>38</t>
        </is>
      </c>
      <c r="D48" s="60" t="inlineStr">
        <is>
          <t>TAXA DE ADMINISTRAÇÃO</t>
        </is>
      </c>
      <c r="E48" s="49">
        <f>IF($F$50=0,0,F48/$F$50)</f>
        <v/>
      </c>
      <c r="F48" s="54" t="n"/>
      <c r="G48" s="50">
        <f>IF($H$6=0,0,F48/$H$6)</f>
        <v/>
      </c>
      <c r="H48" s="50">
        <f>G48</f>
        <v/>
      </c>
      <c r="I48" s="60" t="inlineStr">
        <is>
          <t>INDIRETO</t>
        </is>
      </c>
      <c r="J48" s="60" t="inlineStr">
        <is>
          <t>TAXA DE ADMINISTRAÇÃO</t>
        </is>
      </c>
      <c r="K48" s="50">
        <f>IF(ISNUMBER($P$7),G48*$P$7,0)</f>
        <v/>
      </c>
      <c r="L48" s="63">
        <f>'TAX. ADM'!$C$78</f>
        <v/>
      </c>
      <c r="M48" s="50">
        <f>L48-K48</f>
        <v/>
      </c>
      <c r="N48" s="52">
        <f>IF(D48="","",IF('TAX. ADM'!$C$78&gt;L48+1,"⚠ Incorrido acima da projeção",IF(AND('TAX. ADM'!$K$18&gt;1,'TAX. ADM'!$K$17=0),"⚠ Saldo sem curva (preencha a coluna H da aba)",IF(ABS('TAX. ADM'!$D$80)&gt;1,"⚠ Verificar","OK"))))</f>
        <v/>
      </c>
      <c r="O48" s="61">
        <f>'TAX. ADM'!$K$16</f>
        <v/>
      </c>
      <c r="P48" s="62">
        <f>'TAX. ADM'!$K$14</f>
        <v/>
      </c>
      <c r="Q48" s="60" t="inlineStr">
        <is>
          <t>00</t>
        </is>
      </c>
    </row>
    <row r="49">
      <c r="D49" s="47" t="inlineStr">
        <is>
          <t>TOTAIS (sem taxa de adm.)</t>
        </is>
      </c>
      <c r="E49" s="64">
        <f>SUM(E11:E47)</f>
        <v/>
      </c>
      <c r="F49" s="65">
        <f>SUM(F11:F47)</f>
        <v/>
      </c>
      <c r="G49" s="65">
        <f>SUM(G11:G47)</f>
        <v/>
      </c>
      <c r="H49" s="65">
        <f>SUM(H11:H47)</f>
        <v/>
      </c>
      <c r="K49" s="65">
        <f>SUM(K11:K47)</f>
        <v/>
      </c>
      <c r="L49" s="65">
        <f>SUM(L11:L47)</f>
        <v/>
      </c>
      <c r="M49" s="65">
        <f>SUM(M11:M47)</f>
        <v/>
      </c>
    </row>
    <row r="50">
      <c r="D50" s="47" t="inlineStr">
        <is>
          <t>TOTAL COM TAXA DE ADMINISTRAÇÃO</t>
        </is>
      </c>
      <c r="E50" s="64">
        <f>SUM(E11:E48)</f>
        <v/>
      </c>
      <c r="F50" s="65">
        <f>SUM(F11:F48)</f>
        <v/>
      </c>
      <c r="G50" s="65">
        <f>SUM(G11:G48)</f>
        <v/>
      </c>
      <c r="H50" s="65">
        <f>SUM(H11:H48)</f>
        <v/>
      </c>
      <c r="K50" s="65">
        <f>SUM(K11:K48)</f>
        <v/>
      </c>
      <c r="L50" s="65">
        <f>SUM(L11:L48)</f>
        <v/>
      </c>
      <c r="M50" s="65">
        <f>SUM(M11:M48)</f>
        <v/>
      </c>
    </row>
    <row r="53">
      <c r="D53" s="66" t="inlineStr">
        <is>
          <t>CONFERÊNCIA GERAL</t>
        </is>
      </c>
      <c r="E53" s="66" t="inlineStr">
        <is>
          <t>RESULTADO</t>
        </is>
      </c>
      <c r="F53" s="66" t="inlineStr">
        <is>
          <t>STATUS</t>
        </is>
      </c>
      <c r="G53" s="67" t="n"/>
      <c r="H53" s="68" t="n"/>
    </row>
    <row r="54">
      <c r="D54" s="52" t="inlineStr">
        <is>
          <t>Disciplinas com pendência (coluna N)</t>
        </is>
      </c>
      <c r="E54" s="69">
        <f>COUNTIF(N11:N48,"⚠*")</f>
        <v/>
      </c>
      <c r="F54" s="52">
        <f>IF(E54=0,"OK","⚠ Veja a coluna N")</f>
        <v/>
      </c>
      <c r="G54" s="67" t="n"/>
      <c r="H54" s="68" t="n"/>
    </row>
    <row r="55">
      <c r="D55" s="52" t="inlineStr">
        <is>
          <t>Grupos do ERP sem correspondência</t>
        </is>
      </c>
      <c r="E55" s="70">
        <f>'DADOS HISTORICOS'!C2</f>
        <v/>
      </c>
      <c r="F55" s="52">
        <f>IF(E55=0,"OK","⚠ Veja nomes em vermelho em DADOS BRUTOS")</f>
        <v/>
      </c>
      <c r="G55" s="67" t="n"/>
      <c r="H55" s="68" t="n"/>
    </row>
    <row r="56">
      <c r="D56" s="52" t="inlineStr">
        <is>
          <t>Valores do ERP fora do horizonte (R$)</t>
        </is>
      </c>
      <c r="E56" s="71">
        <f>'DADOS HISTORICOS'!BX44</f>
        <v/>
      </c>
      <c r="F56" s="52">
        <f>IF(ABS(E56)&lt;1,"OK","⚠ Aumente o horizonte ou revise datas")</f>
        <v/>
      </c>
      <c r="G56" s="67" t="n"/>
      <c r="H56" s="68" t="n"/>
    </row>
    <row r="57">
      <c r="D57" s="52" t="inlineStr">
        <is>
          <t>INCC do mês de corte</t>
        </is>
      </c>
      <c r="E57" s="72">
        <f>IF(ISNUMBER(P7),P7,0)</f>
        <v/>
      </c>
      <c r="F57" s="52">
        <f>IF(COUNTIF('"INCC-FGV"'!$A$2:$A$400,P5)&gt;0,"OK",IF(E57&gt;0,"⚠ INCC do mês de corte não cadastrado: usando o último índice disponível","⚠ Inclua o índice na aba INCC-FGV"))</f>
        <v/>
      </c>
      <c r="G57" s="67" t="n"/>
      <c r="H57" s="68" t="n"/>
    </row>
    <row r="58">
      <c r="D58" s="52" t="inlineStr">
        <is>
          <t>Meses realizados sem INCC</t>
        </is>
      </c>
      <c r="E58" s="70">
        <f>SUMPRODUCT(('MODELO PARA BI'!$H$1:$CA$1&lt;=P5)*(COUNTIF('"INCC-FGV"'!$A$2:$A$400,'MODELO PARA BI'!$H$1:$CA$1)=0))</f>
        <v/>
      </c>
      <c r="F58" s="52">
        <f>IF(E58=0,"OK","⚠ Complete a aba INCC-FGV")</f>
        <v/>
      </c>
      <c r="G58" s="67" t="n"/>
      <c r="H58" s="68" t="n"/>
    </row>
    <row r="59">
      <c r="D59" s="52" t="inlineStr">
        <is>
          <t>Fluxo total − projeção total (R$)</t>
        </is>
      </c>
      <c r="E59" s="71">
        <f>'MODELO PARA BI'!E64-L50</f>
        <v/>
      </c>
      <c r="F59" s="52">
        <f>IF(L50=0,"⚠ Preencha o orçamento e a projeção (colunas F e L)",IF(ABS(E59)&lt;1,"OK","⚠ Há saldo sem distribuição"))</f>
        <v/>
      </c>
      <c r="G59" s="67" t="n"/>
      <c r="H59" s="68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9">
        <f>'VALOR POR PL'!$P$9&amp;"  ·  RETRATO DE "&amp;D5</f>
        <v/>
      </c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</row>
    <row r="3" ht="20" customHeight="1">
      <c r="B3" s="73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</row>
    <row r="5">
      <c r="B5" s="74" t="inlineStr">
        <is>
          <t>ANO DO RETRATO →</t>
        </is>
      </c>
      <c r="D5" s="75" t="n">
        <v>2027</v>
      </c>
      <c r="E5" s="74" t="inlineStr">
        <is>
          <t>INCC →</t>
        </is>
      </c>
      <c r="F5" s="76">
        <f>'VALOR POR PL'!$P$5</f>
        <v/>
      </c>
      <c r="G5" s="57">
        <f>IFERROR(INDEX('"INCC-FGV"'!$B$2:$B$400,MATCH(DATE(YEAR(F5),MONTH(F5),1),'"INCC-FGV"'!$A$2:$A$400,0)),IFERROR(INDEX('"INCC-FGV"'!$B$2:$B$400,MATCH(DATE(YEAR(F5),MONTH(F5),1),'"INCC-FGV"'!$A$2:$A$400,1)),"FALTA INCC"))</f>
        <v/>
      </c>
      <c r="J5" s="74" t="inlineStr">
        <is>
          <t>SITUAÇÃO EM →</t>
        </is>
      </c>
      <c r="K5" s="77">
        <f>DATE(D5,12,31)</f>
        <v/>
      </c>
    </row>
    <row r="7" ht="22" customHeight="1">
      <c r="B7" s="12" t="inlineStr">
        <is>
          <t>DESEMBOLSO NO ANO (R$ NOMINAL)</t>
        </is>
      </c>
      <c r="C7" s="13" t="n"/>
      <c r="D7" s="12" t="inlineStr">
        <is>
          <t>DESEMBOLSO NO ANO (INCC)</t>
        </is>
      </c>
      <c r="E7" s="13" t="n"/>
      <c r="F7" s="12" t="inlineStr">
        <is>
          <t>EM R$ DO INCC SELECIONADO</t>
        </is>
      </c>
      <c r="G7" s="13" t="n"/>
      <c r="H7" s="12" t="inlineStr">
        <is>
          <t>EXECUÇÃO FÍSICA NO FIM DO ANO</t>
        </is>
      </c>
      <c r="I7" s="13" t="n"/>
      <c r="J7" s="12" t="inlineStr">
        <is>
          <t>AVANÇO FINANCEIRO</t>
        </is>
      </c>
      <c r="K7" s="12" t="inlineStr">
        <is>
          <t>MAIOR DESEMBOLSO DO ANO</t>
        </is>
      </c>
    </row>
    <row r="8" ht="28" customHeight="1">
      <c r="B8" s="78">
        <f>F53</f>
        <v/>
      </c>
      <c r="D8" s="79">
        <f>G53</f>
        <v/>
      </c>
      <c r="F8" s="78">
        <f>H53</f>
        <v/>
      </c>
      <c r="H8" s="15">
        <f>IFERROR(SUMPRODUCT(D12:D50,N12:N50)/SUMPRODUCT(ISNUMBER(D12:D50)*N12:N50),0)</f>
        <v/>
      </c>
      <c r="J8" s="15">
        <f>IFERROR(SUMPRODUCT(J12:J50,M12:M50)/SUM(M12:M50),0)</f>
        <v/>
      </c>
      <c r="K8" s="80">
        <f>INDEX(C12:C50,MATCH(MAX(F12:F50),F12:F50,0))</f>
        <v/>
      </c>
    </row>
    <row r="9" ht="18" customHeight="1">
      <c r="B9" s="17" t="inlineStr">
        <is>
          <t>com taxa de administração</t>
        </is>
      </c>
      <c r="C9" s="18" t="n"/>
      <c r="D9" s="17" t="inlineStr">
        <is>
          <t>pontos de índice</t>
        </is>
      </c>
      <c r="E9" s="18" t="n"/>
      <c r="F9" s="17" t="inlineStr">
        <is>
          <t>INCC × índice do mês escolhido</t>
        </is>
      </c>
      <c r="G9" s="18" t="n"/>
      <c r="H9" s="17" t="inlineStr">
        <is>
          <t>itens diretos, ponderado pela projeção</t>
        </is>
      </c>
      <c r="I9" s="18" t="n"/>
      <c r="J9" s="17" t="inlineStr">
        <is>
          <t>acumulado no fim do ano</t>
        </is>
      </c>
      <c r="K9" s="17">
        <f>"R$ "&amp;TEXT(MAX(F12:F50)/1000000,"0.0")&amp;" mi no ano"</f>
        <v/>
      </c>
    </row>
    <row r="11" ht="44" customHeight="1">
      <c r="B11" s="81" t="inlineStr">
        <is>
          <t>Cód.</t>
        </is>
      </c>
      <c r="C11" s="81" t="inlineStr">
        <is>
          <t>PL / serviço</t>
        </is>
      </c>
      <c r="D11" s="82" t="inlineStr">
        <is>
          <t>Execução física
fim do ano
(Prevision)</t>
        </is>
      </c>
      <c r="E11" s="82" t="inlineStr">
        <is>
          <t>Execução física
no corte
(Prevision)</t>
        </is>
      </c>
      <c r="F11" s="82" t="inlineStr">
        <is>
          <t>Desembolso
no ano
R$ nominal</t>
        </is>
      </c>
      <c r="G11" s="82" t="inlineStr">
        <is>
          <t>Desembolso
no ano
INCC</t>
        </is>
      </c>
      <c r="H11" s="82" t="inlineStr">
        <is>
          <t>Desembolso no ano
R$ do INCC
selecionado</t>
        </is>
      </c>
      <c r="I11" s="82" t="inlineStr">
        <is>
          <t>% do
ano</t>
        </is>
      </c>
      <c r="J11" s="82" t="inlineStr">
        <is>
          <t>Avanço
financeiro
fim do ano</t>
        </is>
      </c>
      <c r="K11" s="81">
        <f>"Situação em 31/12/"&amp;D5&amp;" (cronograma de atividades do Prevision)"</f>
        <v/>
      </c>
      <c r="L11" s="81" t="inlineStr">
        <is>
          <t>Anotação do modelo anterior / justificativa</t>
        </is>
      </c>
    </row>
    <row r="12" ht="29.4" customHeight="1">
      <c r="B12" s="83">
        <f>'VALOR POR PL'!C11</f>
        <v/>
      </c>
      <c r="C12" s="84">
        <f>'VALOR POR PL'!D11</f>
        <v/>
      </c>
      <c r="D12" s="85">
        <f>IF(OR('VALOR POR PL'!I11&lt;&gt;"DIRETO",'CP RESUMO'!$C$5=""),"",IFERROR(INDEX('CP RESUMO'!$D$5:$BW$5,MATCH(DATE($D$5,12,1),'CP RESUMO'!$D$4:$BW$4,0))/100,""))</f>
        <v/>
      </c>
      <c r="E12" s="86">
        <f>IF('VALOR POR PL'!I11&lt;&gt;"DIRETO","",'PROJETO'!$K$14)</f>
        <v/>
      </c>
      <c r="F12" s="87">
        <f>SUMPRODUCT((YEAR('PROJETO'!$B$5:$B$76)=$D$5)*('PROJETO'!$C$5:$C$76+'PROJETO'!$D$5:$D$76))</f>
        <v/>
      </c>
      <c r="G12" s="87">
        <f>SUMPRODUCT((YEAR('MODELO PARA BI'!$H$1:$CA$1)=$D$5)*'MODELO PARA BI'!$H$29:$CA$29)</f>
        <v/>
      </c>
      <c r="H12" s="87">
        <f>IF(ISNUMBER($G$5),G12*$G$5,0)</f>
        <v/>
      </c>
      <c r="I12" s="85">
        <f>IF($F$53=0,0,F12/$F$53)</f>
        <v/>
      </c>
      <c r="J12" s="85">
        <f>IF('VALOR POR PL'!L11=0,0,SUMPRODUCT(('PROJETO'!$B$5:$B$76&lt;=DATE($D$5,12,1))*('PROJETO'!$C$5:$C$76+'PROJETO'!$D$5:$D$76))/'VALOR POR PL'!L11)</f>
        <v/>
      </c>
      <c r="K12" s="88">
        <f t="array" ref="K12">IF(COUNTIF('CRONOGRAMA ATIVIDADES'!$M$5:$M$3004,B12)=0,"",IF(COUNTIFS('CRONOGRAMA ATIVIDADES'!$M$5:$M$3004,B12,'CRONOGRAMA ATIVIDADES'!$O$5:$O$3004,"CONCLUÍDA")=COUNTIF('CRONOGRAMA ATIVIDADES'!$M$5:$M$3004,B12),"Concluído (todas as "&amp;COUNTIF('CRONOGRAMA ATIVIDADES'!$M$5:$M$3004,B12)&amp;" atividades)",IF(COUNTIFS('CRONOGRAMA ATIVIDADES'!$M$5:$M$3004,B12,'CRONOGRAMA ATIVIDADES'!$O$5:$O$3004,"A INICIAR")=COUNTIF('CRONOGRAMA ATIVIDADES'!$M$5:$M$3004,B12),"Não iniciado · início previsto em "&amp;CHOOSE(MONTH(_xlfn.MINIFS('CRONOGRAMA ATIVIDADES'!$F$5:$F$3004,'CRONOGRAMA ATIVIDADES'!$M$5:$M$3004,B12)),"jan","fev","mar","abr","mai","jun","jul","ago","set","out","nov","dez")&amp;"/"&amp;YEAR(_xlfn.MINIFS('CRONOGRAMA ATIVIDADES'!$F$5:$F$3004,'CRONOGRAMA ATIVIDADES'!$M$5:$M$3004,B12)),_xlfn.TEXTJOIN(" / ",TRUE,IF(('CRONOGRAMA ATIVIDADES'!$S$5:$S$304=B12)*('CRONOGRAMA ATIVIDADES'!$AA$5:$AA$304&lt;&gt;""),'CRONOGRAMA ATIVIDADES'!$AA$5:$AA$304,"")))))</f>
        <v/>
      </c>
      <c r="L12" s="89" t="n"/>
      <c r="M12" s="90">
        <f>'VALOR POR PL'!L11</f>
        <v/>
      </c>
      <c r="N12" s="90">
        <f>IF('VALOR POR PL'!I11="DIRETO",'VALOR POR PL'!L11,0)</f>
        <v/>
      </c>
    </row>
    <row r="13" ht="29.4" customHeight="1">
      <c r="B13" s="91">
        <f>'VALOR POR PL'!C12</f>
        <v/>
      </c>
      <c r="C13" s="92">
        <f>'VALOR POR PL'!D12</f>
        <v/>
      </c>
      <c r="D13" s="93">
        <f>IF(OR('VALOR POR PL'!I12&lt;&gt;"DIRETO",'CP RESUMO'!$C$6=""),"",IFERROR(INDEX('CP RESUMO'!$D$6:$BW$6,MATCH(DATE($D$5,12,1),'CP RESUMO'!$D$4:$BW$4,0))/100,""))</f>
        <v/>
      </c>
      <c r="E13" s="94">
        <f>IF('VALOR POR PL'!I12&lt;&gt;"DIRETO","",'SEGUROS'!$K$14)</f>
        <v/>
      </c>
      <c r="F13" s="95">
        <f>SUMPRODUCT((YEAR('SEGUROS'!$B$5:$B$76)=$D$5)*('SEGUROS'!$C$5:$C$76+'SEGUROS'!$D$5:$D$76))</f>
        <v/>
      </c>
      <c r="G13" s="95">
        <f>SUMPRODUCT((YEAR('MODELO PARA BI'!$H$1:$CA$1)=$D$5)*'MODELO PARA BI'!$H$40:$CA$40)</f>
        <v/>
      </c>
      <c r="H13" s="95">
        <f>IF(ISNUMBER($G$5),G13*$G$5,0)</f>
        <v/>
      </c>
      <c r="I13" s="93">
        <f>IF($F$53=0,0,F13/$F$53)</f>
        <v/>
      </c>
      <c r="J13" s="93">
        <f>IF('VALOR POR PL'!L12=0,0,SUMPRODUCT(('SEGUROS'!$B$5:$B$76&lt;=DATE($D$5,12,1))*('SEGUROS'!$C$5:$C$76+'SEGUROS'!$D$5:$D$76))/'VALOR POR PL'!L12)</f>
        <v/>
      </c>
      <c r="K13" s="96">
        <f t="array" ref="K13">IF(COUNTIF('CRONOGRAMA ATIVIDADES'!$M$5:$M$3004,B13)=0,"",IF(COUNTIFS('CRONOGRAMA ATIVIDADES'!$M$5:$M$3004,B13,'CRONOGRAMA ATIVIDADES'!$O$5:$O$3004,"CONCLUÍDA")=COUNTIF('CRONOGRAMA ATIVIDADES'!$M$5:$M$3004,B13),"Concluído (todas as "&amp;COUNTIF('CRONOGRAMA ATIVIDADES'!$M$5:$M$3004,B13)&amp;" atividades)",IF(COUNTIFS('CRONOGRAMA ATIVIDADES'!$M$5:$M$3004,B13,'CRONOGRAMA ATIVIDADES'!$O$5:$O$3004,"A INICIAR")=COUNTIF('CRONOGRAMA ATIVIDADES'!$M$5:$M$3004,B13),"Não iniciado · início previsto em "&amp;CHOOSE(MONTH(_xlfn.MINIFS('CRONOGRAMA ATIVIDADES'!$F$5:$F$3004,'CRONOGRAMA ATIVIDADES'!$M$5:$M$3004,B13)),"jan","fev","mar","abr","mai","jun","jul","ago","set","out","nov","dez")&amp;"/"&amp;YEAR(_xlfn.MINIFS('CRONOGRAMA ATIVIDADES'!$F$5:$F$3004,'CRONOGRAMA ATIVIDADES'!$M$5:$M$3004,B13)),_xlfn.TEXTJOIN(" / ",TRUE,IF(('CRONOGRAMA ATIVIDADES'!$S$5:$S$304=B13)*('CRONOGRAMA ATIVIDADES'!$AA$5:$AA$304&lt;&gt;""),'CRONOGRAMA ATIVIDADES'!$AA$5:$AA$304,"")))))</f>
        <v/>
      </c>
      <c r="L13" s="97" t="n"/>
      <c r="M13" s="90">
        <f>'VALOR POR PL'!L12</f>
        <v/>
      </c>
      <c r="N13" s="90">
        <f>IF('VALOR POR PL'!I12="DIRETO",'VALOR POR PL'!L12,0)</f>
        <v/>
      </c>
    </row>
    <row r="14" ht="29.4" customHeight="1">
      <c r="B14" s="83">
        <f>'VALOR POR PL'!C13</f>
        <v/>
      </c>
      <c r="C14" s="84">
        <f>'VALOR POR PL'!D13</f>
        <v/>
      </c>
      <c r="D14" s="85">
        <f>IF(OR('VALOR POR PL'!I13&lt;&gt;"DIRETO",'CP RESUMO'!$C$7=""),"",IFERROR(INDEX('CP RESUMO'!$D$7:$BW$7,MATCH(DATE($D$5,12,1),'CP RESUMO'!$D$4:$BW$4,0))/100,""))</f>
        <v/>
      </c>
      <c r="E14" s="86">
        <f>IF('VALOR POR PL'!I13&lt;&gt;"DIRETO","",'TAX. DIVERSAS'!$K$14)</f>
        <v/>
      </c>
      <c r="F14" s="87">
        <f>SUMPRODUCT((YEAR('TAX. DIVERSAS'!$B$5:$B$76)=$D$5)*('TAX. DIVERSAS'!$C$5:$C$76+'TAX. DIVERSAS'!$D$5:$D$76))</f>
        <v/>
      </c>
      <c r="G14" s="87">
        <f>SUMPRODUCT((YEAR('MODELO PARA BI'!$H$1:$CA$1)=$D$5)*'MODELO PARA BI'!$H$50:$CA$50)</f>
        <v/>
      </c>
      <c r="H14" s="87">
        <f>IF(ISNUMBER($G$5),G14*$G$5,0)</f>
        <v/>
      </c>
      <c r="I14" s="85">
        <f>IF($F$53=0,0,F14/$F$53)</f>
        <v/>
      </c>
      <c r="J14" s="85">
        <f>IF('VALOR POR PL'!L13=0,0,SUMPRODUCT(('TAX. DIVERSAS'!$B$5:$B$76&lt;=DATE($D$5,12,1))*('TAX. DIVERSAS'!$C$5:$C$76+'TAX. DIVERSAS'!$D$5:$D$76))/'VALOR POR PL'!L13)</f>
        <v/>
      </c>
      <c r="K14" s="88">
        <f t="array" ref="K14">IF(COUNTIF('CRONOGRAMA ATIVIDADES'!$M$5:$M$3004,B14)=0,"",IF(COUNTIFS('CRONOGRAMA ATIVIDADES'!$M$5:$M$3004,B14,'CRONOGRAMA ATIVIDADES'!$O$5:$O$3004,"CONCLUÍDA")=COUNTIF('CRONOGRAMA ATIVIDADES'!$M$5:$M$3004,B14),"Concluído (todas as "&amp;COUNTIF('CRONOGRAMA ATIVIDADES'!$M$5:$M$3004,B14)&amp;" atividades)",IF(COUNTIFS('CRONOGRAMA ATIVIDADES'!$M$5:$M$3004,B14,'CRONOGRAMA ATIVIDADES'!$O$5:$O$3004,"A INICIAR")=COUNTIF('CRONOGRAMA ATIVIDADES'!$M$5:$M$3004,B14),"Não iniciado · início previsto em "&amp;CHOOSE(MONTH(_xlfn.MINIFS('CRONOGRAMA ATIVIDADES'!$F$5:$F$3004,'CRONOGRAMA ATIVIDADES'!$M$5:$M$3004,B14)),"jan","fev","mar","abr","mai","jun","jul","ago","set","out","nov","dez")&amp;"/"&amp;YEAR(_xlfn.MINIFS('CRONOGRAMA ATIVIDADES'!$F$5:$F$3004,'CRONOGRAMA ATIVIDADES'!$M$5:$M$3004,B14)),_xlfn.TEXTJOIN(" / ",TRUE,IF(('CRONOGRAMA ATIVIDADES'!$S$5:$S$304=B14)*('CRONOGRAMA ATIVIDADES'!$AA$5:$AA$304&lt;&gt;""),'CRONOGRAMA ATIVIDADES'!$AA$5:$AA$304,"")))))</f>
        <v/>
      </c>
      <c r="L14" s="89" t="n"/>
      <c r="M14" s="90">
        <f>'VALOR POR PL'!L13</f>
        <v/>
      </c>
      <c r="N14" s="90">
        <f>IF('VALOR POR PL'!I13="DIRETO",'VALOR POR PL'!L13,0)</f>
        <v/>
      </c>
    </row>
    <row r="15" ht="29.4" customHeight="1">
      <c r="B15" s="91">
        <f>'VALOR POR PL'!C14</f>
        <v/>
      </c>
      <c r="C15" s="92">
        <f>'VALOR POR PL'!D14</f>
        <v/>
      </c>
      <c r="D15" s="93">
        <f>IF(OR('VALOR POR PL'!I14&lt;&gt;"DIRETO",'CP RESUMO'!$C$8=""),"",IFERROR(INDEX('CP RESUMO'!$D$8:$BW$8,MATCH(DATE($D$5,12,1),'CP RESUMO'!$D$4:$BW$4,0))/100,""))</f>
        <v/>
      </c>
      <c r="E15" s="94">
        <f>IF('VALOR POR PL'!I14&lt;&gt;"DIRETO","",'BARRACÃO DE OBRA'!$K$14)</f>
        <v/>
      </c>
      <c r="F15" s="95">
        <f>SUMPRODUCT((YEAR('BARRACÃO DE OBRA'!$B$5:$B$76)=$D$5)*('BARRACÃO DE OBRA'!$C$5:$C$76+'BARRACÃO DE OBRA'!$D$5:$D$76))</f>
        <v/>
      </c>
      <c r="G15" s="95">
        <f>SUMPRODUCT((YEAR('MODELO PARA BI'!$H$1:$CA$1)=$D$5)*'MODELO PARA BI'!$H$3:$CA$3)</f>
        <v/>
      </c>
      <c r="H15" s="95">
        <f>IF(ISNUMBER($G$5),G15*$G$5,0)</f>
        <v/>
      </c>
      <c r="I15" s="93">
        <f>IF($F$53=0,0,F15/$F$53)</f>
        <v/>
      </c>
      <c r="J15" s="93">
        <f>IF('VALOR POR PL'!L14=0,0,SUMPRODUCT(('BARRACÃO DE OBRA'!$B$5:$B$76&lt;=DATE($D$5,12,1))*('BARRACÃO DE OBRA'!$C$5:$C$76+'BARRACÃO DE OBRA'!$D$5:$D$76))/'VALOR POR PL'!L14)</f>
        <v/>
      </c>
      <c r="K15" s="96">
        <f t="array" ref="K15">IF(COUNTIF('CRONOGRAMA ATIVIDADES'!$M$5:$M$3004,B15)=0,"",IF(COUNTIFS('CRONOGRAMA ATIVIDADES'!$M$5:$M$3004,B15,'CRONOGRAMA ATIVIDADES'!$O$5:$O$3004,"CONCLUÍDA")=COUNTIF('CRONOGRAMA ATIVIDADES'!$M$5:$M$3004,B15),"Concluído (todas as "&amp;COUNTIF('CRONOGRAMA ATIVIDADES'!$M$5:$M$3004,B15)&amp;" atividades)",IF(COUNTIFS('CRONOGRAMA ATIVIDADES'!$M$5:$M$3004,B15,'CRONOGRAMA ATIVIDADES'!$O$5:$O$3004,"A INICIAR")=COUNTIF('CRONOGRAMA ATIVIDADES'!$M$5:$M$3004,B15),"Não iniciado · início previsto em "&amp;CHOOSE(MONTH(_xlfn.MINIFS('CRONOGRAMA ATIVIDADES'!$F$5:$F$3004,'CRONOGRAMA ATIVIDADES'!$M$5:$M$3004,B15)),"jan","fev","mar","abr","mai","jun","jul","ago","set","out","nov","dez")&amp;"/"&amp;YEAR(_xlfn.MINIFS('CRONOGRAMA ATIVIDADES'!$F$5:$F$3004,'CRONOGRAMA ATIVIDADES'!$M$5:$M$3004,B15)),_xlfn.TEXTJOIN(" / ",TRUE,IF(('CRONOGRAMA ATIVIDADES'!$S$5:$S$304=B15)*('CRONOGRAMA ATIVIDADES'!$AA$5:$AA$304&lt;&gt;""),'CRONOGRAMA ATIVIDADES'!$AA$5:$AA$304,"")))))</f>
        <v/>
      </c>
      <c r="L15" s="97" t="n"/>
      <c r="M15" s="90">
        <f>'VALOR POR PL'!L14</f>
        <v/>
      </c>
      <c r="N15" s="90">
        <f>IF('VALOR POR PL'!I14="DIRETO",'VALOR POR PL'!L14,0)</f>
        <v/>
      </c>
    </row>
    <row r="16" ht="29.4" customHeight="1">
      <c r="B16" s="83">
        <f>'VALOR POR PL'!C15</f>
        <v/>
      </c>
      <c r="C16" s="84">
        <f>'VALOR POR PL'!D15</f>
        <v/>
      </c>
      <c r="D16" s="85">
        <f>IF(OR('VALOR POR PL'!I15&lt;&gt;"DIRETO",'CP RESUMO'!$C$9=""),"",IFERROR(INDEX('CP RESUMO'!$D$9:$BW$9,MATCH(DATE($D$5,12,1),'CP RESUMO'!$D$4:$BW$4,0))/100,""))</f>
        <v/>
      </c>
      <c r="E16" s="86">
        <f>IF('VALOR POR PL'!I15&lt;&gt;"DIRETO","",'LIG. PROVISÓRIAS'!$K$14)</f>
        <v/>
      </c>
      <c r="F16" s="87">
        <f>SUMPRODUCT((YEAR('LIG. PROVISÓRIAS'!$B$5:$B$76)=$D$5)*('LIG. PROVISÓRIAS'!$C$5:$C$76+'LIG. PROVISÓRIAS'!$D$5:$D$76))</f>
        <v/>
      </c>
      <c r="G16" s="87">
        <f>SUMPRODUCT((YEAR('MODELO PARA BI'!$H$1:$CA$1)=$D$5)*'MODELO PARA BI'!$H$42:$CA$42)</f>
        <v/>
      </c>
      <c r="H16" s="87">
        <f>IF(ISNUMBER($G$5),G16*$G$5,0)</f>
        <v/>
      </c>
      <c r="I16" s="85">
        <f>IF($F$53=0,0,F16/$F$53)</f>
        <v/>
      </c>
      <c r="J16" s="85">
        <f>IF('VALOR POR PL'!L15=0,0,SUMPRODUCT(('LIG. PROVISÓRIAS'!$B$5:$B$76&lt;=DATE($D$5,12,1))*('LIG. PROVISÓRIAS'!$C$5:$C$76+'LIG. PROVISÓRIAS'!$D$5:$D$76))/'VALOR POR PL'!L15)</f>
        <v/>
      </c>
      <c r="K16" s="88">
        <f t="array" ref="K16">IF(COUNTIF('CRONOGRAMA ATIVIDADES'!$M$5:$M$3004,B16)=0,"",IF(COUNTIFS('CRONOGRAMA ATIVIDADES'!$M$5:$M$3004,B16,'CRONOGRAMA ATIVIDADES'!$O$5:$O$3004,"CONCLUÍDA")=COUNTIF('CRONOGRAMA ATIVIDADES'!$M$5:$M$3004,B16),"Concluído (todas as "&amp;COUNTIF('CRONOGRAMA ATIVIDADES'!$M$5:$M$3004,B16)&amp;" atividades)",IF(COUNTIFS('CRONOGRAMA ATIVIDADES'!$M$5:$M$3004,B16,'CRONOGRAMA ATIVIDADES'!$O$5:$O$3004,"A INICIAR")=COUNTIF('CRONOGRAMA ATIVIDADES'!$M$5:$M$3004,B16),"Não iniciado · início previsto em "&amp;CHOOSE(MONTH(_xlfn.MINIFS('CRONOGRAMA ATIVIDADES'!$F$5:$F$3004,'CRONOGRAMA ATIVIDADES'!$M$5:$M$3004,B16)),"jan","fev","mar","abr","mai","jun","jul","ago","set","out","nov","dez")&amp;"/"&amp;YEAR(_xlfn.MINIFS('CRONOGRAMA ATIVIDADES'!$F$5:$F$3004,'CRONOGRAMA ATIVIDADES'!$M$5:$M$3004,B16)),_xlfn.TEXTJOIN(" / ",TRUE,IF(('CRONOGRAMA ATIVIDADES'!$S$5:$S$304=B16)*('CRONOGRAMA ATIVIDADES'!$AA$5:$AA$304&lt;&gt;""),'CRONOGRAMA ATIVIDADES'!$AA$5:$AA$304,"")))))</f>
        <v/>
      </c>
      <c r="L16" s="89" t="n"/>
      <c r="M16" s="90">
        <f>'VALOR POR PL'!L15</f>
        <v/>
      </c>
      <c r="N16" s="90">
        <f>IF('VALOR POR PL'!I15="DIRETO",'VALOR POR PL'!L15,0)</f>
        <v/>
      </c>
    </row>
    <row r="17" ht="29.4" customHeight="1">
      <c r="B17" s="91">
        <f>'VALOR POR PL'!C16</f>
        <v/>
      </c>
      <c r="C17" s="92">
        <f>'VALOR POR PL'!D16</f>
        <v/>
      </c>
      <c r="D17" s="93">
        <f>IF(OR('VALOR POR PL'!I16&lt;&gt;"DIRETO",'CP RESUMO'!$C$10=""),"",IFERROR(INDEX('CP RESUMO'!$D$10:$BW$10,MATCH(DATE($D$5,12,1),'CP RESUMO'!$D$4:$BW$4,0))/100,""))</f>
        <v/>
      </c>
      <c r="E17" s="94">
        <f>IF('VALOR POR PL'!I16&lt;&gt;"DIRETO","",'CONSUMOS'!$K$14)</f>
        <v/>
      </c>
      <c r="F17" s="95">
        <f>SUMPRODUCT((YEAR('CONSUMOS'!$B$5:$B$76)=$D$5)*('CONSUMOS'!$C$5:$C$76+'CONSUMOS'!$D$5:$D$76))</f>
        <v/>
      </c>
      <c r="G17" s="95">
        <f>SUMPRODUCT((YEAR('MODELO PARA BI'!$H$1:$CA$1)=$D$5)*'MODELO PARA BI'!$H$5:$CA$5)</f>
        <v/>
      </c>
      <c r="H17" s="95">
        <f>IF(ISNUMBER($G$5),G17*$G$5,0)</f>
        <v/>
      </c>
      <c r="I17" s="93">
        <f>IF($F$53=0,0,F17/$F$53)</f>
        <v/>
      </c>
      <c r="J17" s="93">
        <f>IF('VALOR POR PL'!L16=0,0,SUMPRODUCT(('CONSUMOS'!$B$5:$B$76&lt;=DATE($D$5,12,1))*('CONSUMOS'!$C$5:$C$76+'CONSUMOS'!$D$5:$D$76))/'VALOR POR PL'!L16)</f>
        <v/>
      </c>
      <c r="K17" s="96">
        <f t="array" ref="K17">IF(COUNTIF('CRONOGRAMA ATIVIDADES'!$M$5:$M$3004,B17)=0,"",IF(COUNTIFS('CRONOGRAMA ATIVIDADES'!$M$5:$M$3004,B17,'CRONOGRAMA ATIVIDADES'!$O$5:$O$3004,"CONCLUÍDA")=COUNTIF('CRONOGRAMA ATIVIDADES'!$M$5:$M$3004,B17),"Concluído (todas as "&amp;COUNTIF('CRONOGRAMA ATIVIDADES'!$M$5:$M$3004,B17)&amp;" atividades)",IF(COUNTIFS('CRONOGRAMA ATIVIDADES'!$M$5:$M$3004,B17,'CRONOGRAMA ATIVIDADES'!$O$5:$O$3004,"A INICIAR")=COUNTIF('CRONOGRAMA ATIVIDADES'!$M$5:$M$3004,B17),"Não iniciado · início previsto em "&amp;CHOOSE(MONTH(_xlfn.MINIFS('CRONOGRAMA ATIVIDADES'!$F$5:$F$3004,'CRONOGRAMA ATIVIDADES'!$M$5:$M$3004,B17)),"jan","fev","mar","abr","mai","jun","jul","ago","set","out","nov","dez")&amp;"/"&amp;YEAR(_xlfn.MINIFS('CRONOGRAMA ATIVIDADES'!$F$5:$F$3004,'CRONOGRAMA ATIVIDADES'!$M$5:$M$3004,B17)),_xlfn.TEXTJOIN(" / ",TRUE,IF(('CRONOGRAMA ATIVIDADES'!$S$5:$S$304=B17)*('CRONOGRAMA ATIVIDADES'!$AA$5:$AA$304&lt;&gt;""),'CRONOGRAMA ATIVIDADES'!$AA$5:$AA$304,"")))))</f>
        <v/>
      </c>
      <c r="L17" s="97" t="n"/>
      <c r="M17" s="90">
        <f>'VALOR POR PL'!L16</f>
        <v/>
      </c>
      <c r="N17" s="90">
        <f>IF('VALOR POR PL'!I16="DIRETO",'VALOR POR PL'!L16,0)</f>
        <v/>
      </c>
    </row>
    <row r="18" ht="29.4" customHeight="1">
      <c r="B18" s="83">
        <f>'VALOR POR PL'!C17</f>
        <v/>
      </c>
      <c r="C18" s="84">
        <f>'VALOR POR PL'!D17</f>
        <v/>
      </c>
      <c r="D18" s="85">
        <f>IF(OR('VALOR POR PL'!I17&lt;&gt;"DIRETO",'CP RESUMO'!$C$11=""),"",IFERROR(INDEX('CP RESUMO'!$D$11:$BW$11,MATCH(DATE($D$5,12,1),'CP RESUMO'!$D$4:$BW$4,0))/100,""))</f>
        <v/>
      </c>
      <c r="E18" s="86">
        <f>IF('VALOR POR PL'!I17&lt;&gt;"DIRETO","",'DIVERSOS'!$K$14)</f>
        <v/>
      </c>
      <c r="F18" s="87">
        <f>SUMPRODUCT((YEAR('DIVERSOS'!$B$5:$B$76)=$D$5)*('DIVERSOS'!$C$5:$C$76+'DIVERSOS'!$D$5:$D$76))</f>
        <v/>
      </c>
      <c r="G18" s="87">
        <f>SUMPRODUCT((YEAR('MODELO PARA BI'!$H$1:$CA$1)=$D$5)*'MODELO PARA BI'!$H$9:$CA$9)</f>
        <v/>
      </c>
      <c r="H18" s="87">
        <f>IF(ISNUMBER($G$5),G18*$G$5,0)</f>
        <v/>
      </c>
      <c r="I18" s="85">
        <f>IF($F$53=0,0,F18/$F$53)</f>
        <v/>
      </c>
      <c r="J18" s="85">
        <f>IF('VALOR POR PL'!L17=0,0,SUMPRODUCT(('DIVERSOS'!$B$5:$B$76&lt;=DATE($D$5,12,1))*('DIVERSOS'!$C$5:$C$76+'DIVERSOS'!$D$5:$D$76))/'VALOR POR PL'!L17)</f>
        <v/>
      </c>
      <c r="K18" s="88">
        <f t="array" ref="K18">IF(COUNTIF('CRONOGRAMA ATIVIDADES'!$M$5:$M$3004,B18)=0,"",IF(COUNTIFS('CRONOGRAMA ATIVIDADES'!$M$5:$M$3004,B18,'CRONOGRAMA ATIVIDADES'!$O$5:$O$3004,"CONCLUÍDA")=COUNTIF('CRONOGRAMA ATIVIDADES'!$M$5:$M$3004,B18),"Concluído (todas as "&amp;COUNTIF('CRONOGRAMA ATIVIDADES'!$M$5:$M$3004,B18)&amp;" atividades)",IF(COUNTIFS('CRONOGRAMA ATIVIDADES'!$M$5:$M$3004,B18,'CRONOGRAMA ATIVIDADES'!$O$5:$O$3004,"A INICIAR")=COUNTIF('CRONOGRAMA ATIVIDADES'!$M$5:$M$3004,B18),"Não iniciado · início previsto em "&amp;CHOOSE(MONTH(_xlfn.MINIFS('CRONOGRAMA ATIVIDADES'!$F$5:$F$3004,'CRONOGRAMA ATIVIDADES'!$M$5:$M$3004,B18)),"jan","fev","mar","abr","mai","jun","jul","ago","set","out","nov","dez")&amp;"/"&amp;YEAR(_xlfn.MINIFS('CRONOGRAMA ATIVIDADES'!$F$5:$F$3004,'CRONOGRAMA ATIVIDADES'!$M$5:$M$3004,B18)),_xlfn.TEXTJOIN(" / ",TRUE,IF(('CRONOGRAMA ATIVIDADES'!$S$5:$S$304=B18)*('CRONOGRAMA ATIVIDADES'!$AA$5:$AA$304&lt;&gt;""),'CRONOGRAMA ATIVIDADES'!$AA$5:$AA$304,"")))))</f>
        <v/>
      </c>
      <c r="L18" s="89" t="n"/>
      <c r="M18" s="90">
        <f>'VALOR POR PL'!L17</f>
        <v/>
      </c>
      <c r="N18" s="90">
        <f>IF('VALOR POR PL'!I17="DIRETO",'VALOR POR PL'!L17,0)</f>
        <v/>
      </c>
    </row>
    <row r="19" ht="29.4" customHeight="1">
      <c r="B19" s="91">
        <f>'VALOR POR PL'!C18</f>
        <v/>
      </c>
      <c r="C19" s="92">
        <f>'VALOR POR PL'!D18</f>
        <v/>
      </c>
      <c r="D19" s="93">
        <f>IF(OR('VALOR POR PL'!I18&lt;&gt;"DIRETO",'CP RESUMO'!$C$12=""),"",IFERROR(INDEX('CP RESUMO'!$D$12:$BW$12,MATCH(DATE($D$5,12,1),'CP RESUMO'!$D$4:$BW$4,0))/100,""))</f>
        <v/>
      </c>
      <c r="E19" s="94">
        <f>IF('VALOR POR PL'!I18&lt;&gt;"DIRETO","",'TRANSPORTES'!$K$14)</f>
        <v/>
      </c>
      <c r="F19" s="95">
        <f>SUMPRODUCT((YEAR('TRANSPORTES'!$B$5:$B$76)=$D$5)*('TRANSPORTES'!$C$5:$C$76+'TRANSPORTES'!$D$5:$D$76))</f>
        <v/>
      </c>
      <c r="G19" s="95">
        <f>SUMPRODUCT((YEAR('MODELO PARA BI'!$H$1:$CA$1)=$D$5)*'MODELO PARA BI'!$H$46:$CA$46)</f>
        <v/>
      </c>
      <c r="H19" s="95">
        <f>IF(ISNUMBER($G$5),G19*$G$5,0)</f>
        <v/>
      </c>
      <c r="I19" s="93">
        <f>IF($F$53=0,0,F19/$F$53)</f>
        <v/>
      </c>
      <c r="J19" s="93">
        <f>IF('VALOR POR PL'!L18=0,0,SUMPRODUCT(('TRANSPORTES'!$B$5:$B$76&lt;=DATE($D$5,12,1))*('TRANSPORTES'!$C$5:$C$76+'TRANSPORTES'!$D$5:$D$76))/'VALOR POR PL'!L18)</f>
        <v/>
      </c>
      <c r="K19" s="96">
        <f t="array" ref="K19">IF(COUNTIF('CRONOGRAMA ATIVIDADES'!$M$5:$M$3004,B19)=0,"",IF(COUNTIFS('CRONOGRAMA ATIVIDADES'!$M$5:$M$3004,B19,'CRONOGRAMA ATIVIDADES'!$O$5:$O$3004,"CONCLUÍDA")=COUNTIF('CRONOGRAMA ATIVIDADES'!$M$5:$M$3004,B19),"Concluído (todas as "&amp;COUNTIF('CRONOGRAMA ATIVIDADES'!$M$5:$M$3004,B19)&amp;" atividades)",IF(COUNTIFS('CRONOGRAMA ATIVIDADES'!$M$5:$M$3004,B19,'CRONOGRAMA ATIVIDADES'!$O$5:$O$3004,"A INICIAR")=COUNTIF('CRONOGRAMA ATIVIDADES'!$M$5:$M$3004,B19),"Não iniciado · início previsto em "&amp;CHOOSE(MONTH(_xlfn.MINIFS('CRONOGRAMA ATIVIDADES'!$F$5:$F$3004,'CRONOGRAMA ATIVIDADES'!$M$5:$M$3004,B19)),"jan","fev","mar","abr","mai","jun","jul","ago","set","out","nov","dez")&amp;"/"&amp;YEAR(_xlfn.MINIFS('CRONOGRAMA ATIVIDADES'!$F$5:$F$3004,'CRONOGRAMA ATIVIDADES'!$M$5:$M$3004,B19)),_xlfn.TEXTJOIN(" / ",TRUE,IF(('CRONOGRAMA ATIVIDADES'!$S$5:$S$304=B19)*('CRONOGRAMA ATIVIDADES'!$AA$5:$AA$304&lt;&gt;""),'CRONOGRAMA ATIVIDADES'!$AA$5:$AA$304,"")))))</f>
        <v/>
      </c>
      <c r="L19" s="97" t="n"/>
      <c r="M19" s="90">
        <f>'VALOR POR PL'!L18</f>
        <v/>
      </c>
      <c r="N19" s="90">
        <f>IF('VALOR POR PL'!I18="DIRETO",'VALOR POR PL'!L18,0)</f>
        <v/>
      </c>
    </row>
    <row r="20" ht="29.4" customHeight="1">
      <c r="B20" s="83">
        <f>'VALOR POR PL'!C19</f>
        <v/>
      </c>
      <c r="C20" s="84">
        <f>'VALOR POR PL'!D19</f>
        <v/>
      </c>
      <c r="D20" s="85">
        <f>IF(OR('VALOR POR PL'!I19&lt;&gt;"DIRETO",'CP RESUMO'!$C$13=""),"",IFERROR(INDEX('CP RESUMO'!$D$13:$BW$13,MATCH(DATE($D$5,12,1),'CP RESUMO'!$D$4:$BW$4,0))/100,""))</f>
        <v/>
      </c>
      <c r="E20" s="86">
        <f>IF('VALOR POR PL'!I19&lt;&gt;"DIRETO","",'CONSULTORIAS'!$K$14)</f>
        <v/>
      </c>
      <c r="F20" s="87">
        <f>SUMPRODUCT((YEAR('CONSULTORIAS'!$B$5:$B$76)=$D$5)*('CONSULTORIAS'!$C$5:$C$76+'CONSULTORIAS'!$D$5:$D$76))</f>
        <v/>
      </c>
      <c r="G20" s="87">
        <f>SUMPRODUCT((YEAR('MODELO PARA BI'!$H$1:$CA$1)=$D$5)*'MODELO PARA BI'!$H$4:$CA$4)</f>
        <v/>
      </c>
      <c r="H20" s="87">
        <f>IF(ISNUMBER($G$5),G20*$G$5,0)</f>
        <v/>
      </c>
      <c r="I20" s="85">
        <f>IF($F$53=0,0,F20/$F$53)</f>
        <v/>
      </c>
      <c r="J20" s="85">
        <f>IF('VALOR POR PL'!L19=0,0,SUMPRODUCT(('CONSULTORIAS'!$B$5:$B$76&lt;=DATE($D$5,12,1))*('CONSULTORIAS'!$C$5:$C$76+'CONSULTORIAS'!$D$5:$D$76))/'VALOR POR PL'!L19)</f>
        <v/>
      </c>
      <c r="K20" s="88">
        <f t="array" ref="K20">IF(COUNTIF('CRONOGRAMA ATIVIDADES'!$M$5:$M$3004,B20)=0,"",IF(COUNTIFS('CRONOGRAMA ATIVIDADES'!$M$5:$M$3004,B20,'CRONOGRAMA ATIVIDADES'!$O$5:$O$3004,"CONCLUÍDA")=COUNTIF('CRONOGRAMA ATIVIDADES'!$M$5:$M$3004,B20),"Concluído (todas as "&amp;COUNTIF('CRONOGRAMA ATIVIDADES'!$M$5:$M$3004,B20)&amp;" atividades)",IF(COUNTIFS('CRONOGRAMA ATIVIDADES'!$M$5:$M$3004,B20,'CRONOGRAMA ATIVIDADES'!$O$5:$O$3004,"A INICIAR")=COUNTIF('CRONOGRAMA ATIVIDADES'!$M$5:$M$3004,B20),"Não iniciado · início previsto em "&amp;CHOOSE(MONTH(_xlfn.MINIFS('CRONOGRAMA ATIVIDADES'!$F$5:$F$3004,'CRONOGRAMA ATIVIDADES'!$M$5:$M$3004,B20)),"jan","fev","mar","abr","mai","jun","jul","ago","set","out","nov","dez")&amp;"/"&amp;YEAR(_xlfn.MINIFS('CRONOGRAMA ATIVIDADES'!$F$5:$F$3004,'CRONOGRAMA ATIVIDADES'!$M$5:$M$3004,B20)),_xlfn.TEXTJOIN(" / ",TRUE,IF(('CRONOGRAMA ATIVIDADES'!$S$5:$S$304=B20)*('CRONOGRAMA ATIVIDADES'!$AA$5:$AA$304&lt;&gt;""),'CRONOGRAMA ATIVIDADES'!$AA$5:$AA$304,"")))))</f>
        <v/>
      </c>
      <c r="L20" s="89" t="n"/>
      <c r="M20" s="90">
        <f>'VALOR POR PL'!L19</f>
        <v/>
      </c>
      <c r="N20" s="90">
        <f>IF('VALOR POR PL'!I19="DIRETO",'VALOR POR PL'!L19,0)</f>
        <v/>
      </c>
    </row>
    <row r="21" ht="29.4" customHeight="1">
      <c r="B21" s="91">
        <f>'VALOR POR PL'!C20</f>
        <v/>
      </c>
      <c r="C21" s="92">
        <f>'VALOR POR PL'!D20</f>
        <v/>
      </c>
      <c r="D21" s="93">
        <f>IF(OR('VALOR POR PL'!I20&lt;&gt;"DIRETO",'CP RESUMO'!$C$14=""),"",IFERROR(INDEX('CP RESUMO'!$D$14:$BW$14,MATCH(DATE($D$5,12,1),'CP RESUMO'!$D$4:$BW$4,0))/100,""))</f>
        <v/>
      </c>
      <c r="E21" s="94">
        <f>IF('VALOR POR PL'!I20&lt;&gt;"DIRETO","",'MDO'!$K$14)</f>
        <v/>
      </c>
      <c r="F21" s="95">
        <f>SUMPRODUCT((YEAR('MDO'!$B$5:$B$76)=$D$5)*('MDO'!$C$5:$C$76+'MDO'!$D$5:$D$76))</f>
        <v/>
      </c>
      <c r="G21" s="95">
        <f>SUMPRODUCT((YEAR('MODELO PARA BI'!$H$1:$CA$1)=$D$5)*'MODELO PARA BI'!$H$49:$CA$49)</f>
        <v/>
      </c>
      <c r="H21" s="95">
        <f>IF(ISNUMBER($G$5),G21*$G$5,0)</f>
        <v/>
      </c>
      <c r="I21" s="93">
        <f>IF($F$53=0,0,F21/$F$53)</f>
        <v/>
      </c>
      <c r="J21" s="93">
        <f>IF('VALOR POR PL'!L20=0,0,SUMPRODUCT(('MDO'!$B$5:$B$76&lt;=DATE($D$5,12,1))*('MDO'!$C$5:$C$76+'MDO'!$D$5:$D$76))/'VALOR POR PL'!L20)</f>
        <v/>
      </c>
      <c r="K21" s="96">
        <f t="array" ref="K21">IF(COUNTIF('CRONOGRAMA ATIVIDADES'!$M$5:$M$3004,B21)=0,"",IF(COUNTIFS('CRONOGRAMA ATIVIDADES'!$M$5:$M$3004,B21,'CRONOGRAMA ATIVIDADES'!$O$5:$O$3004,"CONCLUÍDA")=COUNTIF('CRONOGRAMA ATIVIDADES'!$M$5:$M$3004,B21),"Concluído (todas as "&amp;COUNTIF('CRONOGRAMA ATIVIDADES'!$M$5:$M$3004,B21)&amp;" atividades)",IF(COUNTIFS('CRONOGRAMA ATIVIDADES'!$M$5:$M$3004,B21,'CRONOGRAMA ATIVIDADES'!$O$5:$O$3004,"A INICIAR")=COUNTIF('CRONOGRAMA ATIVIDADES'!$M$5:$M$3004,B21),"Não iniciado · início previsto em "&amp;CHOOSE(MONTH(_xlfn.MINIFS('CRONOGRAMA ATIVIDADES'!$F$5:$F$3004,'CRONOGRAMA ATIVIDADES'!$M$5:$M$3004,B21)),"jan","fev","mar","abr","mai","jun","jul","ago","set","out","nov","dez")&amp;"/"&amp;YEAR(_xlfn.MINIFS('CRONOGRAMA ATIVIDADES'!$F$5:$F$3004,'CRONOGRAMA ATIVIDADES'!$M$5:$M$3004,B21)),_xlfn.TEXTJOIN(" / ",TRUE,IF(('CRONOGRAMA ATIVIDADES'!$S$5:$S$304=B21)*('CRONOGRAMA ATIVIDADES'!$AA$5:$AA$304&lt;&gt;""),'CRONOGRAMA ATIVIDADES'!$AA$5:$AA$304,"")))))</f>
        <v/>
      </c>
      <c r="L21" s="97" t="n"/>
      <c r="M21" s="90">
        <f>'VALOR POR PL'!L20</f>
        <v/>
      </c>
      <c r="N21" s="90">
        <f>IF('VALOR POR PL'!I20="DIRETO",'VALOR POR PL'!L20,0)</f>
        <v/>
      </c>
    </row>
    <row r="22" ht="29.4" customHeight="1">
      <c r="B22" s="83">
        <f>'VALOR POR PL'!C21</f>
        <v/>
      </c>
      <c r="C22" s="84">
        <f>'VALOR POR PL'!D21</f>
        <v/>
      </c>
      <c r="D22" s="85">
        <f>IF(OR('VALOR POR PL'!I21&lt;&gt;"DIRETO",'CP RESUMO'!$C$15=""),"",IFERROR(INDEX('CP RESUMO'!$D$15:$BW$15,MATCH(DATE($D$5,12,1),'CP RESUMO'!$D$4:$BW$4,0))/100,""))</f>
        <v/>
      </c>
      <c r="E22" s="86">
        <f>IF('VALOR POR PL'!I21&lt;&gt;"DIRETO","",'EQUIP E FER'!$K$14)</f>
        <v/>
      </c>
      <c r="F22" s="87">
        <f>SUMPRODUCT((YEAR('EQUIP E FER'!$B$5:$B$76)=$D$5)*('EQUIP E FER'!$C$5:$C$76+'EQUIP E FER'!$D$5:$D$76))</f>
        <v/>
      </c>
      <c r="G22" s="87">
        <f>SUMPRODUCT((YEAR('MODELO PARA BI'!$H$1:$CA$1)=$D$5)*'MODELO PARA BI'!$H$11:$CA$11)</f>
        <v/>
      </c>
      <c r="H22" s="87">
        <f>IF(ISNUMBER($G$5),G22*$G$5,0)</f>
        <v/>
      </c>
      <c r="I22" s="85">
        <f>IF($F$53=0,0,F22/$F$53)</f>
        <v/>
      </c>
      <c r="J22" s="85">
        <f>IF('VALOR POR PL'!L21=0,0,SUMPRODUCT(('EQUIP E FER'!$B$5:$B$76&lt;=DATE($D$5,12,1))*('EQUIP E FER'!$C$5:$C$76+'EQUIP E FER'!$D$5:$D$76))/'VALOR POR PL'!L21)</f>
        <v/>
      </c>
      <c r="K22" s="88">
        <f t="array" ref="K22">IF(COUNTIF('CRONOGRAMA ATIVIDADES'!$M$5:$M$3004,B22)=0,"",IF(COUNTIFS('CRONOGRAMA ATIVIDADES'!$M$5:$M$3004,B22,'CRONOGRAMA ATIVIDADES'!$O$5:$O$3004,"CONCLUÍDA")=COUNTIF('CRONOGRAMA ATIVIDADES'!$M$5:$M$3004,B22),"Concluído (todas as "&amp;COUNTIF('CRONOGRAMA ATIVIDADES'!$M$5:$M$3004,B22)&amp;" atividades)",IF(COUNTIFS('CRONOGRAMA ATIVIDADES'!$M$5:$M$3004,B22,'CRONOGRAMA ATIVIDADES'!$O$5:$O$3004,"A INICIAR")=COUNTIF('CRONOGRAMA ATIVIDADES'!$M$5:$M$3004,B22),"Não iniciado · início previsto em "&amp;CHOOSE(MONTH(_xlfn.MINIFS('CRONOGRAMA ATIVIDADES'!$F$5:$F$3004,'CRONOGRAMA ATIVIDADES'!$M$5:$M$3004,B22)),"jan","fev","mar","abr","mai","jun","jul","ago","set","out","nov","dez")&amp;"/"&amp;YEAR(_xlfn.MINIFS('CRONOGRAMA ATIVIDADES'!$F$5:$F$3004,'CRONOGRAMA ATIVIDADES'!$M$5:$M$3004,B22)),_xlfn.TEXTJOIN(" / ",TRUE,IF(('CRONOGRAMA ATIVIDADES'!$S$5:$S$304=B22)*('CRONOGRAMA ATIVIDADES'!$AA$5:$AA$304&lt;&gt;""),'CRONOGRAMA ATIVIDADES'!$AA$5:$AA$304,"")))))</f>
        <v/>
      </c>
      <c r="L22" s="89" t="n"/>
      <c r="M22" s="90">
        <f>'VALOR POR PL'!L21</f>
        <v/>
      </c>
      <c r="N22" s="90">
        <f>IF('VALOR POR PL'!I21="DIRETO",'VALOR POR PL'!L21,0)</f>
        <v/>
      </c>
    </row>
    <row r="23" ht="29.4" customHeight="1">
      <c r="B23" s="98" t="inlineStr">
        <is>
          <t>01 a 11</t>
        </is>
      </c>
      <c r="C23" s="99" t="inlineStr">
        <is>
          <t>INDIRETOS</t>
        </is>
      </c>
      <c r="D23" s="100">
        <f>IFERROR(SUMPRODUCT(D12:D22,N12:N22)/SUMPRODUCT(ISNUMBER(D12:D22)*N12:N22),"")</f>
        <v/>
      </c>
      <c r="E23" s="100">
        <f>IFERROR(SUMPRODUCT(E12:E22,N12:N22)/SUMPRODUCT(ISNUMBER(E12:E22)*N12:N22),"")</f>
        <v/>
      </c>
      <c r="F23" s="101">
        <f>SUM(F12:F22)</f>
        <v/>
      </c>
      <c r="G23" s="101">
        <f>SUM(G12:G22)</f>
        <v/>
      </c>
      <c r="H23" s="101">
        <f>SUM(H12:H22)</f>
        <v/>
      </c>
      <c r="I23" s="100">
        <f>IF($F$53=0,0,F23/$F$53)</f>
        <v/>
      </c>
      <c r="J23" s="100">
        <f>IFERROR(SUMPRODUCT(J12:J22,M12:M22)/SUM(M12:M22),0)</f>
        <v/>
      </c>
      <c r="K23" s="102" t="n"/>
      <c r="L23" s="102" t="n"/>
      <c r="M23">
        <f>SUM(M12:M22)</f>
        <v/>
      </c>
      <c r="N23">
        <f>SUM(N12:N22)</f>
        <v/>
      </c>
    </row>
    <row r="24" ht="29.4" customHeight="1">
      <c r="B24" s="83">
        <f>'VALOR POR PL'!C22</f>
        <v/>
      </c>
      <c r="C24" s="84">
        <f>'VALOR POR PL'!D22</f>
        <v/>
      </c>
      <c r="D24" s="85">
        <f>IF(OR('VALOR POR PL'!I22&lt;&gt;"DIRETO",'CP RESUMO'!$C$16=""),"",IFERROR(INDEX('CP RESUMO'!$D$16:$BW$16,MATCH(DATE($D$5,12,1),'CP RESUMO'!$D$4:$BW$4,0))/100,""))</f>
        <v/>
      </c>
      <c r="E24" s="86">
        <f>IF('VALOR POR PL'!I22&lt;&gt;"DIRETO","",'SERV. INICIAIS'!$K$14)</f>
        <v/>
      </c>
      <c r="F24" s="87">
        <f>SUMPRODUCT((YEAR('SERV. INICIAIS'!$B$5:$B$76)=$D$5)*('SERV. INICIAIS'!$C$5:$C$76+'SERV. INICIAIS'!$D$5:$D$76))</f>
        <v/>
      </c>
      <c r="G24" s="87">
        <f>SUMPRODUCT((YEAR('MODELO PARA BI'!$H$1:$CA$1)=$D$5)*'MODELO PARA BI'!$H$52:$CA$52)</f>
        <v/>
      </c>
      <c r="H24" s="87">
        <f>IF(ISNUMBER($G$5),G24*$G$5,0)</f>
        <v/>
      </c>
      <c r="I24" s="85">
        <f>IF($F$53=0,0,F24/$F$53)</f>
        <v/>
      </c>
      <c r="J24" s="85">
        <f>IF('VALOR POR PL'!L22=0,0,SUMPRODUCT(('SERV. INICIAIS'!$B$5:$B$76&lt;=DATE($D$5,12,1))*('SERV. INICIAIS'!$C$5:$C$76+'SERV. INICIAIS'!$D$5:$D$76))/'VALOR POR PL'!L22)</f>
        <v/>
      </c>
      <c r="K24" s="88">
        <f t="array" ref="K24">IF(COUNTIF('CRONOGRAMA ATIVIDADES'!$M$5:$M$3004,B24)=0,"",IF(COUNTIFS('CRONOGRAMA ATIVIDADES'!$M$5:$M$3004,B24,'CRONOGRAMA ATIVIDADES'!$O$5:$O$3004,"CONCLUÍDA")=COUNTIF('CRONOGRAMA ATIVIDADES'!$M$5:$M$3004,B24),"Concluído (todas as "&amp;COUNTIF('CRONOGRAMA ATIVIDADES'!$M$5:$M$3004,B24)&amp;" atividades)",IF(COUNTIFS('CRONOGRAMA ATIVIDADES'!$M$5:$M$3004,B24,'CRONOGRAMA ATIVIDADES'!$O$5:$O$3004,"A INICIAR")=COUNTIF('CRONOGRAMA ATIVIDADES'!$M$5:$M$3004,B24),"Não iniciado · início previsto em "&amp;CHOOSE(MONTH(_xlfn.MINIFS('CRONOGRAMA ATIVIDADES'!$F$5:$F$3004,'CRONOGRAMA ATIVIDADES'!$M$5:$M$3004,B24)),"jan","fev","mar","abr","mai","jun","jul","ago","set","out","nov","dez")&amp;"/"&amp;YEAR(_xlfn.MINIFS('CRONOGRAMA ATIVIDADES'!$F$5:$F$3004,'CRONOGRAMA ATIVIDADES'!$M$5:$M$3004,B24)),_xlfn.TEXTJOIN(" / ",TRUE,IF(('CRONOGRAMA ATIVIDADES'!$S$5:$S$304=B24)*('CRONOGRAMA ATIVIDADES'!$AA$5:$AA$304&lt;&gt;""),'CRONOGRAMA ATIVIDADES'!$AA$5:$AA$304,"")))))</f>
        <v/>
      </c>
      <c r="L24" s="89" t="n"/>
      <c r="M24" s="90">
        <f>'VALOR POR PL'!L22</f>
        <v/>
      </c>
      <c r="N24" s="90">
        <f>IF('VALOR POR PL'!I22="DIRETO",'VALOR POR PL'!L22,0)</f>
        <v/>
      </c>
    </row>
    <row r="25" ht="29.4" customHeight="1">
      <c r="B25" s="91">
        <f>'VALOR POR PL'!C23</f>
        <v/>
      </c>
      <c r="C25" s="92">
        <f>'VALOR POR PL'!D23</f>
        <v/>
      </c>
      <c r="D25" s="93">
        <f>IF(OR('VALOR POR PL'!I23&lt;&gt;"DIRETO",'CP RESUMO'!$C$17=""),"",IFERROR(INDEX('CP RESUMO'!$D$17:$BW$17,MATCH(DATE($D$5,12,1),'CP RESUMO'!$D$4:$BW$4,0))/100,""))</f>
        <v/>
      </c>
      <c r="E25" s="94">
        <f>IF('VALOR POR PL'!I23&lt;&gt;"DIRETO","",'CONTENÇÃO'!$K$14)</f>
        <v/>
      </c>
      <c r="F25" s="95">
        <f>SUMPRODUCT((YEAR('CONTENÇÃO'!$B$5:$B$76)=$D$5)*('CONTENÇÃO'!$C$5:$C$76+'CONTENÇÃO'!$D$5:$D$76))</f>
        <v/>
      </c>
      <c r="G25" s="95">
        <f>SUMPRODUCT((YEAR('MODELO PARA BI'!$H$1:$CA$1)=$D$5)*'MODELO PARA BI'!$H$6:$CA$6)</f>
        <v/>
      </c>
      <c r="H25" s="95">
        <f>IF(ISNUMBER($G$5),G25*$G$5,0)</f>
        <v/>
      </c>
      <c r="I25" s="93">
        <f>IF($F$53=0,0,F25/$F$53)</f>
        <v/>
      </c>
      <c r="J25" s="93">
        <f>IF('VALOR POR PL'!L23=0,0,SUMPRODUCT(('CONTENÇÃO'!$B$5:$B$76&lt;=DATE($D$5,12,1))*('CONTENÇÃO'!$C$5:$C$76+'CONTENÇÃO'!$D$5:$D$76))/'VALOR POR PL'!L23)</f>
        <v/>
      </c>
      <c r="K25" s="96">
        <f t="array" ref="K25">IF(COUNTIF('CRONOGRAMA ATIVIDADES'!$M$5:$M$3004,B25)=0,"",IF(COUNTIFS('CRONOGRAMA ATIVIDADES'!$M$5:$M$3004,B25,'CRONOGRAMA ATIVIDADES'!$O$5:$O$3004,"CONCLUÍDA")=COUNTIF('CRONOGRAMA ATIVIDADES'!$M$5:$M$3004,B25),"Concluído (todas as "&amp;COUNTIF('CRONOGRAMA ATIVIDADES'!$M$5:$M$3004,B25)&amp;" atividades)",IF(COUNTIFS('CRONOGRAMA ATIVIDADES'!$M$5:$M$3004,B25,'CRONOGRAMA ATIVIDADES'!$O$5:$O$3004,"A INICIAR")=COUNTIF('CRONOGRAMA ATIVIDADES'!$M$5:$M$3004,B25),"Não iniciado · início previsto em "&amp;CHOOSE(MONTH(_xlfn.MINIFS('CRONOGRAMA ATIVIDADES'!$F$5:$F$3004,'CRONOGRAMA ATIVIDADES'!$M$5:$M$3004,B25)),"jan","fev","mar","abr","mai","jun","jul","ago","set","out","nov","dez")&amp;"/"&amp;YEAR(_xlfn.MINIFS('CRONOGRAMA ATIVIDADES'!$F$5:$F$3004,'CRONOGRAMA ATIVIDADES'!$M$5:$M$3004,B25)),_xlfn.TEXTJOIN(" / ",TRUE,IF(('CRONOGRAMA ATIVIDADES'!$S$5:$S$304=B25)*('CRONOGRAMA ATIVIDADES'!$AA$5:$AA$304&lt;&gt;""),'CRONOGRAMA ATIVIDADES'!$AA$5:$AA$304,"")))))</f>
        <v/>
      </c>
      <c r="L25" s="97" t="n"/>
      <c r="M25" s="90">
        <f>'VALOR POR PL'!L23</f>
        <v/>
      </c>
      <c r="N25" s="90">
        <f>IF('VALOR POR PL'!I23="DIRETO",'VALOR POR PL'!L23,0)</f>
        <v/>
      </c>
    </row>
    <row r="26" ht="29.4" customHeight="1">
      <c r="B26" s="83">
        <f>'VALOR POR PL'!C24</f>
        <v/>
      </c>
      <c r="C26" s="84">
        <f>'VALOR POR PL'!D24</f>
        <v/>
      </c>
      <c r="D26" s="85">
        <f>IF(OR('VALOR POR PL'!I24&lt;&gt;"DIRETO",'CP RESUMO'!$C$18=""),"",IFERROR(INDEX('CP RESUMO'!$D$18:$BW$18,MATCH(DATE($D$5,12,1),'CP RESUMO'!$D$4:$BW$4,0))/100,""))</f>
        <v/>
      </c>
      <c r="E26" s="86">
        <f>IF('VALOR POR PL'!I24&lt;&gt;"DIRETO","",'TERRAPLENAGEM'!$K$14)</f>
        <v/>
      </c>
      <c r="F26" s="87">
        <f>SUMPRODUCT((YEAR('TERRAPLENAGEM'!$B$5:$B$76)=$D$5)*('TERRAPLENAGEM'!$C$5:$C$76+'TERRAPLENAGEM'!$D$5:$D$76))</f>
        <v/>
      </c>
      <c r="G26" s="87">
        <f>SUMPRODUCT((YEAR('MODELO PARA BI'!$H$1:$CA$1)=$D$5)*'MODELO PARA BI'!$H$44:$CA$44)</f>
        <v/>
      </c>
      <c r="H26" s="87">
        <f>IF(ISNUMBER($G$5),G26*$G$5,0)</f>
        <v/>
      </c>
      <c r="I26" s="85">
        <f>IF($F$53=0,0,F26/$F$53)</f>
        <v/>
      </c>
      <c r="J26" s="85">
        <f>IF('VALOR POR PL'!L24=0,0,SUMPRODUCT(('TERRAPLENAGEM'!$B$5:$B$76&lt;=DATE($D$5,12,1))*('TERRAPLENAGEM'!$C$5:$C$76+'TERRAPLENAGEM'!$D$5:$D$76))/'VALOR POR PL'!L24)</f>
        <v/>
      </c>
      <c r="K26" s="88">
        <f t="array" ref="K26">IF(COUNTIF('CRONOGRAMA ATIVIDADES'!$M$5:$M$3004,B26)=0,"",IF(COUNTIFS('CRONOGRAMA ATIVIDADES'!$M$5:$M$3004,B26,'CRONOGRAMA ATIVIDADES'!$O$5:$O$3004,"CONCLUÍDA")=COUNTIF('CRONOGRAMA ATIVIDADES'!$M$5:$M$3004,B26),"Concluído (todas as "&amp;COUNTIF('CRONOGRAMA ATIVIDADES'!$M$5:$M$3004,B26)&amp;" atividades)",IF(COUNTIFS('CRONOGRAMA ATIVIDADES'!$M$5:$M$3004,B26,'CRONOGRAMA ATIVIDADES'!$O$5:$O$3004,"A INICIAR")=COUNTIF('CRONOGRAMA ATIVIDADES'!$M$5:$M$3004,B26),"Não iniciado · início previsto em "&amp;CHOOSE(MONTH(_xlfn.MINIFS('CRONOGRAMA ATIVIDADES'!$F$5:$F$3004,'CRONOGRAMA ATIVIDADES'!$M$5:$M$3004,B26)),"jan","fev","mar","abr","mai","jun","jul","ago","set","out","nov","dez")&amp;"/"&amp;YEAR(_xlfn.MINIFS('CRONOGRAMA ATIVIDADES'!$F$5:$F$3004,'CRONOGRAMA ATIVIDADES'!$M$5:$M$3004,B26)),_xlfn.TEXTJOIN(" / ",TRUE,IF(('CRONOGRAMA ATIVIDADES'!$S$5:$S$304=B26)*('CRONOGRAMA ATIVIDADES'!$AA$5:$AA$304&lt;&gt;""),'CRONOGRAMA ATIVIDADES'!$AA$5:$AA$304,"")))))</f>
        <v/>
      </c>
      <c r="L26" s="89" t="n"/>
      <c r="M26" s="90">
        <f>'VALOR POR PL'!L24</f>
        <v/>
      </c>
      <c r="N26" s="90">
        <f>IF('VALOR POR PL'!I24="DIRETO",'VALOR POR PL'!L24,0)</f>
        <v/>
      </c>
    </row>
    <row r="27" ht="29.4" customHeight="1">
      <c r="B27" s="91">
        <f>'VALOR POR PL'!C25</f>
        <v/>
      </c>
      <c r="C27" s="92">
        <f>'VALOR POR PL'!D25</f>
        <v/>
      </c>
      <c r="D27" s="93">
        <f>IF(OR('VALOR POR PL'!I25&lt;&gt;"DIRETO",'CP RESUMO'!$C$19=""),"",IFERROR(INDEX('CP RESUMO'!$D$19:$BW$19,MATCH(DATE($D$5,12,1),'CP RESUMO'!$D$4:$BW$4,0))/100,""))</f>
        <v/>
      </c>
      <c r="E27" s="94">
        <f>IF('VALOR POR PL'!I25&lt;&gt;"DIRETO","",'FUND. PROF'!$K$14)</f>
        <v/>
      </c>
      <c r="F27" s="95">
        <f>SUMPRODUCT((YEAR('FUND. PROF'!$B$5:$B$76)=$D$5)*('FUND. PROF'!$C$5:$C$76+'FUND. PROF'!$D$5:$D$76))</f>
        <v/>
      </c>
      <c r="G27" s="95">
        <f>SUMPRODUCT((YEAR('MODELO PARA BI'!$H$1:$CA$1)=$D$5)*'MODELO PARA BI'!$H$15:$CA$15)</f>
        <v/>
      </c>
      <c r="H27" s="95">
        <f>IF(ISNUMBER($G$5),G27*$G$5,0)</f>
        <v/>
      </c>
      <c r="I27" s="93">
        <f>IF($F$53=0,0,F27/$F$53)</f>
        <v/>
      </c>
      <c r="J27" s="93">
        <f>IF('VALOR POR PL'!L25=0,0,SUMPRODUCT(('FUND. PROF'!$B$5:$B$76&lt;=DATE($D$5,12,1))*('FUND. PROF'!$C$5:$C$76+'FUND. PROF'!$D$5:$D$76))/'VALOR POR PL'!L25)</f>
        <v/>
      </c>
      <c r="K27" s="96">
        <f t="array" ref="K27">IF(COUNTIF('CRONOGRAMA ATIVIDADES'!$M$5:$M$3004,B27)=0,"",IF(COUNTIFS('CRONOGRAMA ATIVIDADES'!$M$5:$M$3004,B27,'CRONOGRAMA ATIVIDADES'!$O$5:$O$3004,"CONCLUÍDA")=COUNTIF('CRONOGRAMA ATIVIDADES'!$M$5:$M$3004,B27),"Concluído (todas as "&amp;COUNTIF('CRONOGRAMA ATIVIDADES'!$M$5:$M$3004,B27)&amp;" atividades)",IF(COUNTIFS('CRONOGRAMA ATIVIDADES'!$M$5:$M$3004,B27,'CRONOGRAMA ATIVIDADES'!$O$5:$O$3004,"A INICIAR")=COUNTIF('CRONOGRAMA ATIVIDADES'!$M$5:$M$3004,B27),"Não iniciado · início previsto em "&amp;CHOOSE(MONTH(_xlfn.MINIFS('CRONOGRAMA ATIVIDADES'!$F$5:$F$3004,'CRONOGRAMA ATIVIDADES'!$M$5:$M$3004,B27)),"jan","fev","mar","abr","mai","jun","jul","ago","set","out","nov","dez")&amp;"/"&amp;YEAR(_xlfn.MINIFS('CRONOGRAMA ATIVIDADES'!$F$5:$F$3004,'CRONOGRAMA ATIVIDADES'!$M$5:$M$3004,B27)),_xlfn.TEXTJOIN(" / ",TRUE,IF(('CRONOGRAMA ATIVIDADES'!$S$5:$S$304=B27)*('CRONOGRAMA ATIVIDADES'!$AA$5:$AA$304&lt;&gt;""),'CRONOGRAMA ATIVIDADES'!$AA$5:$AA$304,"")))))</f>
        <v/>
      </c>
      <c r="L27" s="97" t="n"/>
      <c r="M27" s="90">
        <f>'VALOR POR PL'!L25</f>
        <v/>
      </c>
      <c r="N27" s="90">
        <f>IF('VALOR POR PL'!I25="DIRETO",'VALOR POR PL'!L25,0)</f>
        <v/>
      </c>
    </row>
    <row r="28" ht="29.4" customHeight="1">
      <c r="B28" s="83">
        <f>'VALOR POR PL'!C26</f>
        <v/>
      </c>
      <c r="C28" s="84">
        <f>'VALOR POR PL'!D26</f>
        <v/>
      </c>
      <c r="D28" s="85">
        <f>IF(OR('VALOR POR PL'!I26&lt;&gt;"DIRETO",'CP RESUMO'!$C$20=""),"",IFERROR(INDEX('CP RESUMO'!$D$20:$BW$20,MATCH(DATE($D$5,12,1),'CP RESUMO'!$D$4:$BW$4,0))/100,""))</f>
        <v/>
      </c>
      <c r="E28" s="86">
        <f>IF('VALOR POR PL'!I26&lt;&gt;"DIRETO","",'FUND. SUP'!$K$14)</f>
        <v/>
      </c>
      <c r="F28" s="87">
        <f>SUMPRODUCT((YEAR('FUND. SUP'!$B$5:$B$76)=$D$5)*('FUND. SUP'!$C$5:$C$76+'FUND. SUP'!$D$5:$D$76))</f>
        <v/>
      </c>
      <c r="G28" s="87">
        <f>SUMPRODUCT((YEAR('MODELO PARA BI'!$H$1:$CA$1)=$D$5)*'MODELO PARA BI'!$H$16:$CA$16)</f>
        <v/>
      </c>
      <c r="H28" s="87">
        <f>IF(ISNUMBER($G$5),G28*$G$5,0)</f>
        <v/>
      </c>
      <c r="I28" s="85">
        <f>IF($F$53=0,0,F28/$F$53)</f>
        <v/>
      </c>
      <c r="J28" s="85">
        <f>IF('VALOR POR PL'!L26=0,0,SUMPRODUCT(('FUND. SUP'!$B$5:$B$76&lt;=DATE($D$5,12,1))*('FUND. SUP'!$C$5:$C$76+'FUND. SUP'!$D$5:$D$76))/'VALOR POR PL'!L26)</f>
        <v/>
      </c>
      <c r="K28" s="88">
        <f t="array" ref="K28">IF(COUNTIF('CRONOGRAMA ATIVIDADES'!$M$5:$M$3004,B28)=0,"",IF(COUNTIFS('CRONOGRAMA ATIVIDADES'!$M$5:$M$3004,B28,'CRONOGRAMA ATIVIDADES'!$O$5:$O$3004,"CONCLUÍDA")=COUNTIF('CRONOGRAMA ATIVIDADES'!$M$5:$M$3004,B28),"Concluído (todas as "&amp;COUNTIF('CRONOGRAMA ATIVIDADES'!$M$5:$M$3004,B28)&amp;" atividades)",IF(COUNTIFS('CRONOGRAMA ATIVIDADES'!$M$5:$M$3004,B28,'CRONOGRAMA ATIVIDADES'!$O$5:$O$3004,"A INICIAR")=COUNTIF('CRONOGRAMA ATIVIDADES'!$M$5:$M$3004,B28),"Não iniciado · início previsto em "&amp;CHOOSE(MONTH(_xlfn.MINIFS('CRONOGRAMA ATIVIDADES'!$F$5:$F$3004,'CRONOGRAMA ATIVIDADES'!$M$5:$M$3004,B28)),"jan","fev","mar","abr","mai","jun","jul","ago","set","out","nov","dez")&amp;"/"&amp;YEAR(_xlfn.MINIFS('CRONOGRAMA ATIVIDADES'!$F$5:$F$3004,'CRONOGRAMA ATIVIDADES'!$M$5:$M$3004,B28)),_xlfn.TEXTJOIN(" / ",TRUE,IF(('CRONOGRAMA ATIVIDADES'!$S$5:$S$304=B28)*('CRONOGRAMA ATIVIDADES'!$AA$5:$AA$304&lt;&gt;""),'CRONOGRAMA ATIVIDADES'!$AA$5:$AA$304,"")))))</f>
        <v/>
      </c>
      <c r="L28" s="89" t="n"/>
      <c r="M28" s="90">
        <f>'VALOR POR PL'!L26</f>
        <v/>
      </c>
      <c r="N28" s="90">
        <f>IF('VALOR POR PL'!I26="DIRETO",'VALOR POR PL'!L26,0)</f>
        <v/>
      </c>
    </row>
    <row r="29" ht="29.4" customHeight="1">
      <c r="B29" s="98" t="inlineStr">
        <is>
          <t>12 a 16</t>
        </is>
      </c>
      <c r="C29" s="99" t="inlineStr">
        <is>
          <t>SERVIÇOS INICIAIS, CONTENÇÃO, TERRAPLENAGEM E FUNDAÇÕES</t>
        </is>
      </c>
      <c r="D29" s="100">
        <f>IFERROR(SUMPRODUCT(D24:D28,N24:N28)/SUMPRODUCT(ISNUMBER(D24:D28)*N24:N28),"")</f>
        <v/>
      </c>
      <c r="E29" s="100">
        <f>IFERROR(SUMPRODUCT(E24:E28,N24:N28)/SUMPRODUCT(ISNUMBER(E24:E28)*N24:N28),"")</f>
        <v/>
      </c>
      <c r="F29" s="101">
        <f>SUM(F24:F28)</f>
        <v/>
      </c>
      <c r="G29" s="101">
        <f>SUM(G24:G28)</f>
        <v/>
      </c>
      <c r="H29" s="101">
        <f>SUM(H24:H28)</f>
        <v/>
      </c>
      <c r="I29" s="100">
        <f>IF($F$53=0,0,F29/$F$53)</f>
        <v/>
      </c>
      <c r="J29" s="100">
        <f>IFERROR(SUMPRODUCT(J24:J28,M24:M28)/SUM(M24:M28),0)</f>
        <v/>
      </c>
      <c r="K29" s="102" t="n"/>
      <c r="L29" s="102" t="n"/>
      <c r="M29">
        <f>SUM(M24:M28)</f>
        <v/>
      </c>
      <c r="N29">
        <f>SUM(N24:N28)</f>
        <v/>
      </c>
    </row>
    <row r="30" ht="29.4" customHeight="1">
      <c r="B30" s="83">
        <f>'VALOR POR PL'!C27</f>
        <v/>
      </c>
      <c r="C30" s="84">
        <f>'VALOR POR PL'!D27</f>
        <v/>
      </c>
      <c r="D30" s="85">
        <f>IF(OR('VALOR POR PL'!I27&lt;&gt;"DIRETO",'CP RESUMO'!$C$21=""),"",IFERROR(INDEX('CP RESUMO'!$D$21:$BW$21,MATCH(DATE($D$5,12,1),'CP RESUMO'!$D$4:$BW$4,0))/100,""))</f>
        <v/>
      </c>
      <c r="E30" s="86">
        <f>IF('VALOR POR PL'!I27&lt;&gt;"DIRETO","",'ESTRUTURA'!$K$14)</f>
        <v/>
      </c>
      <c r="F30" s="87">
        <f>SUMPRODUCT((YEAR('ESTRUTURA'!$B$5:$B$76)=$D$5)*('ESTRUTURA'!$C$5:$C$76+'ESTRUTURA'!$D$5:$D$76))</f>
        <v/>
      </c>
      <c r="G30" s="87">
        <f>SUMPRODUCT((YEAR('MODELO PARA BI'!$H$1:$CA$1)=$D$5)*'MODELO PARA BI'!$H$13:$CA$13)</f>
        <v/>
      </c>
      <c r="H30" s="87">
        <f>IF(ISNUMBER($G$5),G30*$G$5,0)</f>
        <v/>
      </c>
      <c r="I30" s="85">
        <f>IF($F$53=0,0,F30/$F$53)</f>
        <v/>
      </c>
      <c r="J30" s="85">
        <f>IF('VALOR POR PL'!L27=0,0,SUMPRODUCT(('ESTRUTURA'!$B$5:$B$76&lt;=DATE($D$5,12,1))*('ESTRUTURA'!$C$5:$C$76+'ESTRUTURA'!$D$5:$D$76))/'VALOR POR PL'!L27)</f>
        <v/>
      </c>
      <c r="K30" s="88">
        <f t="array" ref="K30">IF(COUNTIF('CRONOGRAMA ATIVIDADES'!$M$5:$M$3004,B30)=0,"",IF(COUNTIFS('CRONOGRAMA ATIVIDADES'!$M$5:$M$3004,B30,'CRONOGRAMA ATIVIDADES'!$O$5:$O$3004,"CONCLUÍDA")=COUNTIF('CRONOGRAMA ATIVIDADES'!$M$5:$M$3004,B30),"Concluído (todas as "&amp;COUNTIF('CRONOGRAMA ATIVIDADES'!$M$5:$M$3004,B30)&amp;" atividades)",IF(COUNTIFS('CRONOGRAMA ATIVIDADES'!$M$5:$M$3004,B30,'CRONOGRAMA ATIVIDADES'!$O$5:$O$3004,"A INICIAR")=COUNTIF('CRONOGRAMA ATIVIDADES'!$M$5:$M$3004,B30),"Não iniciado · início previsto em "&amp;CHOOSE(MONTH(_xlfn.MINIFS('CRONOGRAMA ATIVIDADES'!$F$5:$F$3004,'CRONOGRAMA ATIVIDADES'!$M$5:$M$3004,B30)),"jan","fev","mar","abr","mai","jun","jul","ago","set","out","nov","dez")&amp;"/"&amp;YEAR(_xlfn.MINIFS('CRONOGRAMA ATIVIDADES'!$F$5:$F$3004,'CRONOGRAMA ATIVIDADES'!$M$5:$M$3004,B30)),_xlfn.TEXTJOIN(" / ",TRUE,IF(('CRONOGRAMA ATIVIDADES'!$S$5:$S$304=B30)*('CRONOGRAMA ATIVIDADES'!$AA$5:$AA$304&lt;&gt;""),'CRONOGRAMA ATIVIDADES'!$AA$5:$AA$304,"")))))</f>
        <v/>
      </c>
      <c r="L30" s="89" t="n"/>
      <c r="M30" s="90">
        <f>'VALOR POR PL'!L27</f>
        <v/>
      </c>
      <c r="N30" s="90">
        <f>IF('VALOR POR PL'!I27="DIRETO",'VALOR POR PL'!L27,0)</f>
        <v/>
      </c>
    </row>
    <row r="31" ht="29.4" customHeight="1">
      <c r="B31" s="91">
        <f>'VALOR POR PL'!C28</f>
        <v/>
      </c>
      <c r="C31" s="92">
        <f>'VALOR POR PL'!D28</f>
        <v/>
      </c>
      <c r="D31" s="93">
        <f>IF(OR('VALOR POR PL'!I28&lt;&gt;"DIRETO",'CP RESUMO'!$C$22=""),"",IFERROR(INDEX('CP RESUMO'!$D$22:$BW$22,MATCH(DATE($D$5,12,1),'CP RESUMO'!$D$4:$BW$4,0))/100,""))</f>
        <v/>
      </c>
      <c r="E31" s="94">
        <f>IF('VALOR POR PL'!I28&lt;&gt;"DIRETO","",'ALVENARIA'!$K$14)</f>
        <v/>
      </c>
      <c r="F31" s="95">
        <f>SUMPRODUCT((YEAR('ALVENARIA'!$B$5:$B$76)=$D$5)*('ALVENARIA'!$C$5:$C$76+'ALVENARIA'!$D$5:$D$76))</f>
        <v/>
      </c>
      <c r="G31" s="95">
        <f>SUMPRODUCT((YEAR('MODELO PARA BI'!$H$1:$CA$1)=$D$5)*'MODELO PARA BI'!$H$2:$CA$2)</f>
        <v/>
      </c>
      <c r="H31" s="95">
        <f>IF(ISNUMBER($G$5),G31*$G$5,0)</f>
        <v/>
      </c>
      <c r="I31" s="93">
        <f>IF($F$53=0,0,F31/$F$53)</f>
        <v/>
      </c>
      <c r="J31" s="93">
        <f>IF('VALOR POR PL'!L28=0,0,SUMPRODUCT(('ALVENARIA'!$B$5:$B$76&lt;=DATE($D$5,12,1))*('ALVENARIA'!$C$5:$C$76+'ALVENARIA'!$D$5:$D$76))/'VALOR POR PL'!L28)</f>
        <v/>
      </c>
      <c r="K31" s="96">
        <f t="array" ref="K31">IF(COUNTIF('CRONOGRAMA ATIVIDADES'!$M$5:$M$3004,B31)=0,"",IF(COUNTIFS('CRONOGRAMA ATIVIDADES'!$M$5:$M$3004,B31,'CRONOGRAMA ATIVIDADES'!$O$5:$O$3004,"CONCLUÍDA")=COUNTIF('CRONOGRAMA ATIVIDADES'!$M$5:$M$3004,B31),"Concluído (todas as "&amp;COUNTIF('CRONOGRAMA ATIVIDADES'!$M$5:$M$3004,B31)&amp;" atividades)",IF(COUNTIFS('CRONOGRAMA ATIVIDADES'!$M$5:$M$3004,B31,'CRONOGRAMA ATIVIDADES'!$O$5:$O$3004,"A INICIAR")=COUNTIF('CRONOGRAMA ATIVIDADES'!$M$5:$M$3004,B31),"Não iniciado · início previsto em "&amp;CHOOSE(MONTH(_xlfn.MINIFS('CRONOGRAMA ATIVIDADES'!$F$5:$F$3004,'CRONOGRAMA ATIVIDADES'!$M$5:$M$3004,B31)),"jan","fev","mar","abr","mai","jun","jul","ago","set","out","nov","dez")&amp;"/"&amp;YEAR(_xlfn.MINIFS('CRONOGRAMA ATIVIDADES'!$F$5:$F$3004,'CRONOGRAMA ATIVIDADES'!$M$5:$M$3004,B31)),_xlfn.TEXTJOIN(" / ",TRUE,IF(('CRONOGRAMA ATIVIDADES'!$S$5:$S$304=B31)*('CRONOGRAMA ATIVIDADES'!$AA$5:$AA$304&lt;&gt;""),'CRONOGRAMA ATIVIDADES'!$AA$5:$AA$304,"")))))</f>
        <v/>
      </c>
      <c r="L31" s="97" t="n"/>
      <c r="M31" s="90">
        <f>'VALOR POR PL'!L28</f>
        <v/>
      </c>
      <c r="N31" s="90">
        <f>IF('VALOR POR PL'!I28="DIRETO",'VALOR POR PL'!L28,0)</f>
        <v/>
      </c>
    </row>
    <row r="32" ht="29.4" customHeight="1">
      <c r="B32" s="83">
        <f>'VALOR POR PL'!C29</f>
        <v/>
      </c>
      <c r="C32" s="84">
        <f>'VALOR POR PL'!D29</f>
        <v/>
      </c>
      <c r="D32" s="85">
        <f>IF(OR('VALOR POR PL'!I29&lt;&gt;"DIRETO",'CP RESUMO'!$C$23=""),"",IFERROR(INDEX('CP RESUMO'!$D$23:$BW$23,MATCH(DATE($D$5,12,1),'CP RESUMO'!$D$4:$BW$4,0))/100,""))</f>
        <v/>
      </c>
      <c r="E32" s="86">
        <f>IF('VALOR POR PL'!I29&lt;&gt;"DIRETO","",'IMPERMEABILIZAÇÃO'!$K$14)</f>
        <v/>
      </c>
      <c r="F32" s="87">
        <f>SUMPRODUCT((YEAR('IMPERMEABILIZAÇÃO'!$B$5:$B$76)=$D$5)*('IMPERMEABILIZAÇÃO'!$C$5:$C$76+'IMPERMEABILIZAÇÃO'!$D$5:$D$76))</f>
        <v/>
      </c>
      <c r="G32" s="87">
        <f>SUMPRODUCT((YEAR('MODELO PARA BI'!$H$1:$CA$1)=$D$5)*'MODELO PARA BI'!$H$17:$CA$17)</f>
        <v/>
      </c>
      <c r="H32" s="87">
        <f>IF(ISNUMBER($G$5),G32*$G$5,0)</f>
        <v/>
      </c>
      <c r="I32" s="85">
        <f>IF($F$53=0,0,F32/$F$53)</f>
        <v/>
      </c>
      <c r="J32" s="85">
        <f>IF('VALOR POR PL'!L29=0,0,SUMPRODUCT(('IMPERMEABILIZAÇÃO'!$B$5:$B$76&lt;=DATE($D$5,12,1))*('IMPERMEABILIZAÇÃO'!$C$5:$C$76+'IMPERMEABILIZAÇÃO'!$D$5:$D$76))/'VALOR POR PL'!L29)</f>
        <v/>
      </c>
      <c r="K32" s="88">
        <f t="array" ref="K32">IF(COUNTIF('CRONOGRAMA ATIVIDADES'!$M$5:$M$3004,B32)=0,"",IF(COUNTIFS('CRONOGRAMA ATIVIDADES'!$M$5:$M$3004,B32,'CRONOGRAMA ATIVIDADES'!$O$5:$O$3004,"CONCLUÍDA")=COUNTIF('CRONOGRAMA ATIVIDADES'!$M$5:$M$3004,B32),"Concluído (todas as "&amp;COUNTIF('CRONOGRAMA ATIVIDADES'!$M$5:$M$3004,B32)&amp;" atividades)",IF(COUNTIFS('CRONOGRAMA ATIVIDADES'!$M$5:$M$3004,B32,'CRONOGRAMA ATIVIDADES'!$O$5:$O$3004,"A INICIAR")=COUNTIF('CRONOGRAMA ATIVIDADES'!$M$5:$M$3004,B32),"Não iniciado · início previsto em "&amp;CHOOSE(MONTH(_xlfn.MINIFS('CRONOGRAMA ATIVIDADES'!$F$5:$F$3004,'CRONOGRAMA ATIVIDADES'!$M$5:$M$3004,B32)),"jan","fev","mar","abr","mai","jun","jul","ago","set","out","nov","dez")&amp;"/"&amp;YEAR(_xlfn.MINIFS('CRONOGRAMA ATIVIDADES'!$F$5:$F$3004,'CRONOGRAMA ATIVIDADES'!$M$5:$M$3004,B32)),_xlfn.TEXTJOIN(" / ",TRUE,IF(('CRONOGRAMA ATIVIDADES'!$S$5:$S$304=B32)*('CRONOGRAMA ATIVIDADES'!$AA$5:$AA$304&lt;&gt;""),'CRONOGRAMA ATIVIDADES'!$AA$5:$AA$304,"")))))</f>
        <v/>
      </c>
      <c r="L32" s="89" t="n"/>
      <c r="M32" s="90">
        <f>'VALOR POR PL'!L29</f>
        <v/>
      </c>
      <c r="N32" s="90">
        <f>IF('VALOR POR PL'!I29="DIRETO",'VALOR POR PL'!L29,0)</f>
        <v/>
      </c>
    </row>
    <row r="33" ht="29.4" customHeight="1">
      <c r="B33" s="91">
        <f>'VALOR POR PL'!C30</f>
        <v/>
      </c>
      <c r="C33" s="92">
        <f>'VALOR POR PL'!D30</f>
        <v/>
      </c>
      <c r="D33" s="93">
        <f>IF(OR('VALOR POR PL'!I30&lt;&gt;"DIRETO",'CP RESUMO'!$C$24=""),"",IFERROR(INDEX('CP RESUMO'!$D$24:$BW$24,MATCH(DATE($D$5,12,1),'CP RESUMO'!$D$4:$BW$4,0))/100,""))</f>
        <v/>
      </c>
      <c r="E33" s="94">
        <f>IF('VALOR POR PL'!I30&lt;&gt;"DIRETO","",'INST. ELÉTRICA'!$K$14)</f>
        <v/>
      </c>
      <c r="F33" s="95">
        <f>SUMPRODUCT((YEAR('INST. ELÉTRICA'!$B$5:$B$76)=$D$5)*('INST. ELÉTRICA'!$C$5:$C$76+'INST. ELÉTRICA'!$D$5:$D$76))</f>
        <v/>
      </c>
      <c r="G33" s="95">
        <f>SUMPRODUCT((YEAR('MODELO PARA BI'!$H$1:$CA$1)=$D$5)*'MODELO PARA BI'!$H$19:$CA$19)</f>
        <v/>
      </c>
      <c r="H33" s="95">
        <f>IF(ISNUMBER($G$5),G33*$G$5,0)</f>
        <v/>
      </c>
      <c r="I33" s="93">
        <f>IF($F$53=0,0,F33/$F$53)</f>
        <v/>
      </c>
      <c r="J33" s="93">
        <f>IF('VALOR POR PL'!L30=0,0,SUMPRODUCT(('INST. ELÉTRICA'!$B$5:$B$76&lt;=DATE($D$5,12,1))*('INST. ELÉTRICA'!$C$5:$C$76+'INST. ELÉTRICA'!$D$5:$D$76))/'VALOR POR PL'!L30)</f>
        <v/>
      </c>
      <c r="K33" s="96">
        <f t="array" ref="K33">IF(COUNTIF('CRONOGRAMA ATIVIDADES'!$M$5:$M$3004,B33)=0,"",IF(COUNTIFS('CRONOGRAMA ATIVIDADES'!$M$5:$M$3004,B33,'CRONOGRAMA ATIVIDADES'!$O$5:$O$3004,"CONCLUÍDA")=COUNTIF('CRONOGRAMA ATIVIDADES'!$M$5:$M$3004,B33),"Concluído (todas as "&amp;COUNTIF('CRONOGRAMA ATIVIDADES'!$M$5:$M$3004,B33)&amp;" atividades)",IF(COUNTIFS('CRONOGRAMA ATIVIDADES'!$M$5:$M$3004,B33,'CRONOGRAMA ATIVIDADES'!$O$5:$O$3004,"A INICIAR")=COUNTIF('CRONOGRAMA ATIVIDADES'!$M$5:$M$3004,B33),"Não iniciado · início previsto em "&amp;CHOOSE(MONTH(_xlfn.MINIFS('CRONOGRAMA ATIVIDADES'!$F$5:$F$3004,'CRONOGRAMA ATIVIDADES'!$M$5:$M$3004,B33)),"jan","fev","mar","abr","mai","jun","jul","ago","set","out","nov","dez")&amp;"/"&amp;YEAR(_xlfn.MINIFS('CRONOGRAMA ATIVIDADES'!$F$5:$F$3004,'CRONOGRAMA ATIVIDADES'!$M$5:$M$3004,B33)),_xlfn.TEXTJOIN(" / ",TRUE,IF(('CRONOGRAMA ATIVIDADES'!$S$5:$S$304=B33)*('CRONOGRAMA ATIVIDADES'!$AA$5:$AA$304&lt;&gt;""),'CRONOGRAMA ATIVIDADES'!$AA$5:$AA$304,"")))))</f>
        <v/>
      </c>
      <c r="L33" s="97" t="n"/>
      <c r="M33" s="90">
        <f>'VALOR POR PL'!L30</f>
        <v/>
      </c>
      <c r="N33" s="90">
        <f>IF('VALOR POR PL'!I30="DIRETO",'VALOR POR PL'!L30,0)</f>
        <v/>
      </c>
    </row>
    <row r="34" ht="29.4" customHeight="1">
      <c r="B34" s="83">
        <f>'VALOR POR PL'!C31</f>
        <v/>
      </c>
      <c r="C34" s="84">
        <f>'VALOR POR PL'!D31</f>
        <v/>
      </c>
      <c r="D34" s="85">
        <f>IF(OR('VALOR POR PL'!I31&lt;&gt;"DIRETO",'CP RESUMO'!$C$25=""),"",IFERROR(INDEX('CP RESUMO'!$D$25:$BW$25,MATCH(DATE($D$5,12,1),'CP RESUMO'!$D$4:$BW$4,0))/100,""))</f>
        <v/>
      </c>
      <c r="E34" s="86">
        <f>IF('VALOR POR PL'!I31&lt;&gt;"DIRETO","",'INST. HIDRO'!$K$14)</f>
        <v/>
      </c>
      <c r="F34" s="87">
        <f>SUMPRODUCT((YEAR('INST. HIDRO'!$B$5:$B$76)=$D$5)*('INST. HIDRO'!$C$5:$C$76+'INST. HIDRO'!$D$5:$D$76))</f>
        <v/>
      </c>
      <c r="G34" s="87">
        <f>SUMPRODUCT((YEAR('MODELO PARA BI'!$H$1:$CA$1)=$D$5)*'MODELO PARA BI'!$H$21:$CA$21)</f>
        <v/>
      </c>
      <c r="H34" s="87">
        <f>IF(ISNUMBER($G$5),G34*$G$5,0)</f>
        <v/>
      </c>
      <c r="I34" s="85">
        <f>IF($F$53=0,0,F34/$F$53)</f>
        <v/>
      </c>
      <c r="J34" s="85">
        <f>IF('VALOR POR PL'!L31=0,0,SUMPRODUCT(('INST. HIDRO'!$B$5:$B$76&lt;=DATE($D$5,12,1))*('INST. HIDRO'!$C$5:$C$76+'INST. HIDRO'!$D$5:$D$76))/'VALOR POR PL'!L31)</f>
        <v/>
      </c>
      <c r="K34" s="88">
        <f t="array" ref="K34">IF(COUNTIF('CRONOGRAMA ATIVIDADES'!$M$5:$M$3004,B34)=0,"",IF(COUNTIFS('CRONOGRAMA ATIVIDADES'!$M$5:$M$3004,B34,'CRONOGRAMA ATIVIDADES'!$O$5:$O$3004,"CONCLUÍDA")=COUNTIF('CRONOGRAMA ATIVIDADES'!$M$5:$M$3004,B34),"Concluído (todas as "&amp;COUNTIF('CRONOGRAMA ATIVIDADES'!$M$5:$M$3004,B34)&amp;" atividades)",IF(COUNTIFS('CRONOGRAMA ATIVIDADES'!$M$5:$M$3004,B34,'CRONOGRAMA ATIVIDADES'!$O$5:$O$3004,"A INICIAR")=COUNTIF('CRONOGRAMA ATIVIDADES'!$M$5:$M$3004,B34),"Não iniciado · início previsto em "&amp;CHOOSE(MONTH(_xlfn.MINIFS('CRONOGRAMA ATIVIDADES'!$F$5:$F$3004,'CRONOGRAMA ATIVIDADES'!$M$5:$M$3004,B34)),"jan","fev","mar","abr","mai","jun","jul","ago","set","out","nov","dez")&amp;"/"&amp;YEAR(_xlfn.MINIFS('CRONOGRAMA ATIVIDADES'!$F$5:$F$3004,'CRONOGRAMA ATIVIDADES'!$M$5:$M$3004,B34)),_xlfn.TEXTJOIN(" / ",TRUE,IF(('CRONOGRAMA ATIVIDADES'!$S$5:$S$304=B34)*('CRONOGRAMA ATIVIDADES'!$AA$5:$AA$304&lt;&gt;""),'CRONOGRAMA ATIVIDADES'!$AA$5:$AA$304,"")))))</f>
        <v/>
      </c>
      <c r="L34" s="89" t="n"/>
      <c r="M34" s="90">
        <f>'VALOR POR PL'!L31</f>
        <v/>
      </c>
      <c r="N34" s="90">
        <f>IF('VALOR POR PL'!I31="DIRETO",'VALOR POR PL'!L31,0)</f>
        <v/>
      </c>
    </row>
    <row r="35" ht="29.4" customHeight="1">
      <c r="B35" s="91">
        <f>'VALOR POR PL'!C32</f>
        <v/>
      </c>
      <c r="C35" s="92">
        <f>'VALOR POR PL'!D32</f>
        <v/>
      </c>
      <c r="D35" s="93">
        <f>IF(OR('VALOR POR PL'!I32&lt;&gt;"DIRETO",'CP RESUMO'!$C$26=""),"",IFERROR(INDEX('CP RESUMO'!$D$26:$BW$26,MATCH(DATE($D$5,12,1),'CP RESUMO'!$D$4:$BW$4,0))/100,""))</f>
        <v/>
      </c>
      <c r="E35" s="94">
        <f>IF('VALOR POR PL'!I32&lt;&gt;"DIRETO","",'INST. INC'!$K$14)</f>
        <v/>
      </c>
      <c r="F35" s="95">
        <f>SUMPRODUCT((YEAR('INST. INC'!$B$5:$B$76)=$D$5)*('INST. INC'!$C$5:$C$76+'INST. INC'!$D$5:$D$76))</f>
        <v/>
      </c>
      <c r="G35" s="95">
        <f>SUMPRODUCT((YEAR('MODELO PARA BI'!$H$1:$CA$1)=$D$5)*'MODELO PARA BI'!$H$18:$CA$18)</f>
        <v/>
      </c>
      <c r="H35" s="95">
        <f>IF(ISNUMBER($G$5),G35*$G$5,0)</f>
        <v/>
      </c>
      <c r="I35" s="93">
        <f>IF($F$53=0,0,F35/$F$53)</f>
        <v/>
      </c>
      <c r="J35" s="93">
        <f>IF('VALOR POR PL'!L32=0,0,SUMPRODUCT(('INST. INC'!$B$5:$B$76&lt;=DATE($D$5,12,1))*('INST. INC'!$C$5:$C$76+'INST. INC'!$D$5:$D$76))/'VALOR POR PL'!L32)</f>
        <v/>
      </c>
      <c r="K35" s="96">
        <f t="array" ref="K35">IF(COUNTIF('CRONOGRAMA ATIVIDADES'!$M$5:$M$3004,B35)=0,"",IF(COUNTIFS('CRONOGRAMA ATIVIDADES'!$M$5:$M$3004,B35,'CRONOGRAMA ATIVIDADES'!$O$5:$O$3004,"CONCLUÍDA")=COUNTIF('CRONOGRAMA ATIVIDADES'!$M$5:$M$3004,B35),"Concluído (todas as "&amp;COUNTIF('CRONOGRAMA ATIVIDADES'!$M$5:$M$3004,B35)&amp;" atividades)",IF(COUNTIFS('CRONOGRAMA ATIVIDADES'!$M$5:$M$3004,B35,'CRONOGRAMA ATIVIDADES'!$O$5:$O$3004,"A INICIAR")=COUNTIF('CRONOGRAMA ATIVIDADES'!$M$5:$M$3004,B35),"Não iniciado · início previsto em "&amp;CHOOSE(MONTH(_xlfn.MINIFS('CRONOGRAMA ATIVIDADES'!$F$5:$F$3004,'CRONOGRAMA ATIVIDADES'!$M$5:$M$3004,B35)),"jan","fev","mar","abr","mai","jun","jul","ago","set","out","nov","dez")&amp;"/"&amp;YEAR(_xlfn.MINIFS('CRONOGRAMA ATIVIDADES'!$F$5:$F$3004,'CRONOGRAMA ATIVIDADES'!$M$5:$M$3004,B35)),_xlfn.TEXTJOIN(" / ",TRUE,IF(('CRONOGRAMA ATIVIDADES'!$S$5:$S$304=B35)*('CRONOGRAMA ATIVIDADES'!$AA$5:$AA$304&lt;&gt;""),'CRONOGRAMA ATIVIDADES'!$AA$5:$AA$304,"")))))</f>
        <v/>
      </c>
      <c r="L35" s="97" t="n"/>
      <c r="M35" s="90">
        <f>'VALOR POR PL'!L32</f>
        <v/>
      </c>
      <c r="N35" s="90">
        <f>IF('VALOR POR PL'!I32="DIRETO",'VALOR POR PL'!L32,0)</f>
        <v/>
      </c>
    </row>
    <row r="36" ht="29.4" customHeight="1">
      <c r="B36" s="83">
        <f>'VALOR POR PL'!C33</f>
        <v/>
      </c>
      <c r="C36" s="84">
        <f>'VALOR POR PL'!D33</f>
        <v/>
      </c>
      <c r="D36" s="85">
        <f>IF(OR('VALOR POR PL'!I33&lt;&gt;"DIRETO",'CP RESUMO'!$C$27=""),"",IFERROR(INDEX('CP RESUMO'!$D$27:$BW$27,MATCH(DATE($D$5,12,1),'CP RESUMO'!$D$4:$BW$4,0))/100,""))</f>
        <v/>
      </c>
      <c r="E36" s="86">
        <f>IF('VALOR POR PL'!I33&lt;&gt;"DIRETO","",'INST. ESP'!$K$14)</f>
        <v/>
      </c>
      <c r="F36" s="87">
        <f>SUMPRODUCT((YEAR('INST. ESP'!$B$5:$B$76)=$D$5)*('INST. ESP'!$C$5:$C$76+'INST. ESP'!$D$5:$D$76))</f>
        <v/>
      </c>
      <c r="G36" s="87">
        <f>SUMPRODUCT((YEAR('MODELO PARA BI'!$H$1:$CA$1)=$D$5)*'MODELO PARA BI'!$H$20:$CA$20)</f>
        <v/>
      </c>
      <c r="H36" s="87">
        <f>IF(ISNUMBER($G$5),G36*$G$5,0)</f>
        <v/>
      </c>
      <c r="I36" s="85">
        <f>IF($F$53=0,0,F36/$F$53)</f>
        <v/>
      </c>
      <c r="J36" s="85">
        <f>IF('VALOR POR PL'!L33=0,0,SUMPRODUCT(('INST. ESP'!$B$5:$B$76&lt;=DATE($D$5,12,1))*('INST. ESP'!$C$5:$C$76+'INST. ESP'!$D$5:$D$76))/'VALOR POR PL'!L33)</f>
        <v/>
      </c>
      <c r="K36" s="88">
        <f t="array" ref="K36">IF(COUNTIF('CRONOGRAMA ATIVIDADES'!$M$5:$M$3004,B36)=0,"",IF(COUNTIFS('CRONOGRAMA ATIVIDADES'!$M$5:$M$3004,B36,'CRONOGRAMA ATIVIDADES'!$O$5:$O$3004,"CONCLUÍDA")=COUNTIF('CRONOGRAMA ATIVIDADES'!$M$5:$M$3004,B36),"Concluído (todas as "&amp;COUNTIF('CRONOGRAMA ATIVIDADES'!$M$5:$M$3004,B36)&amp;" atividades)",IF(COUNTIFS('CRONOGRAMA ATIVIDADES'!$M$5:$M$3004,B36,'CRONOGRAMA ATIVIDADES'!$O$5:$O$3004,"A INICIAR")=COUNTIF('CRONOGRAMA ATIVIDADES'!$M$5:$M$3004,B36),"Não iniciado · início previsto em "&amp;CHOOSE(MONTH(_xlfn.MINIFS('CRONOGRAMA ATIVIDADES'!$F$5:$F$3004,'CRONOGRAMA ATIVIDADES'!$M$5:$M$3004,B36)),"jan","fev","mar","abr","mai","jun","jul","ago","set","out","nov","dez")&amp;"/"&amp;YEAR(_xlfn.MINIFS('CRONOGRAMA ATIVIDADES'!$F$5:$F$3004,'CRONOGRAMA ATIVIDADES'!$M$5:$M$3004,B36)),_xlfn.TEXTJOIN(" / ",TRUE,IF(('CRONOGRAMA ATIVIDADES'!$S$5:$S$304=B36)*('CRONOGRAMA ATIVIDADES'!$AA$5:$AA$304&lt;&gt;""),'CRONOGRAMA ATIVIDADES'!$AA$5:$AA$304,"")))))</f>
        <v/>
      </c>
      <c r="L36" s="89" t="n"/>
      <c r="M36" s="90">
        <f>'VALOR POR PL'!L33</f>
        <v/>
      </c>
      <c r="N36" s="90">
        <f>IF('VALOR POR PL'!I33="DIRETO",'VALOR POR PL'!L33,0)</f>
        <v/>
      </c>
    </row>
    <row r="37" ht="29.4" customHeight="1">
      <c r="B37" s="91">
        <f>'VALOR POR PL'!C34</f>
        <v/>
      </c>
      <c r="C37" s="92">
        <f>'VALOR POR PL'!D34</f>
        <v/>
      </c>
      <c r="D37" s="93">
        <f>IF(OR('VALOR POR PL'!I34&lt;&gt;"DIRETO",'CP RESUMO'!$C$28=""),"",IFERROR(INDEX('CP RESUMO'!$D$28:$BW$28,MATCH(DATE($D$5,12,1),'CP RESUMO'!$D$4:$BW$4,0))/100,""))</f>
        <v/>
      </c>
      <c r="E37" s="94">
        <f>IF('VALOR POR PL'!I34&lt;&gt;"DIRETO","",'ELEVADORES '!$K$14)</f>
        <v/>
      </c>
      <c r="F37" s="95">
        <f>SUMPRODUCT((YEAR('ELEVADORES '!$B$5:$B$76)=$D$5)*('ELEVADORES '!$C$5:$C$76+'ELEVADORES '!$D$5:$D$76))</f>
        <v/>
      </c>
      <c r="G37" s="95">
        <f>SUMPRODUCT((YEAR('MODELO PARA BI'!$H$1:$CA$1)=$D$5)*'MODELO PARA BI'!$H$10:$CA$10)</f>
        <v/>
      </c>
      <c r="H37" s="95">
        <f>IF(ISNUMBER($G$5),G37*$G$5,0)</f>
        <v/>
      </c>
      <c r="I37" s="93">
        <f>IF($F$53=0,0,F37/$F$53)</f>
        <v/>
      </c>
      <c r="J37" s="93">
        <f>IF('VALOR POR PL'!L34=0,0,SUMPRODUCT(('ELEVADORES '!$B$5:$B$76&lt;=DATE($D$5,12,1))*('ELEVADORES '!$C$5:$C$76+'ELEVADORES '!$D$5:$D$76))/'VALOR POR PL'!L34)</f>
        <v/>
      </c>
      <c r="K37" s="96">
        <f t="array" ref="K37">IF(COUNTIF('CRONOGRAMA ATIVIDADES'!$M$5:$M$3004,B37)=0,"",IF(COUNTIFS('CRONOGRAMA ATIVIDADES'!$M$5:$M$3004,B37,'CRONOGRAMA ATIVIDADES'!$O$5:$O$3004,"CONCLUÍDA")=COUNTIF('CRONOGRAMA ATIVIDADES'!$M$5:$M$3004,B37),"Concluído (todas as "&amp;COUNTIF('CRONOGRAMA ATIVIDADES'!$M$5:$M$3004,B37)&amp;" atividades)",IF(COUNTIFS('CRONOGRAMA ATIVIDADES'!$M$5:$M$3004,B37,'CRONOGRAMA ATIVIDADES'!$O$5:$O$3004,"A INICIAR")=COUNTIF('CRONOGRAMA ATIVIDADES'!$M$5:$M$3004,B37),"Não iniciado · início previsto em "&amp;CHOOSE(MONTH(_xlfn.MINIFS('CRONOGRAMA ATIVIDADES'!$F$5:$F$3004,'CRONOGRAMA ATIVIDADES'!$M$5:$M$3004,B37)),"jan","fev","mar","abr","mai","jun","jul","ago","set","out","nov","dez")&amp;"/"&amp;YEAR(_xlfn.MINIFS('CRONOGRAMA ATIVIDADES'!$F$5:$F$3004,'CRONOGRAMA ATIVIDADES'!$M$5:$M$3004,B37)),_xlfn.TEXTJOIN(" / ",TRUE,IF(('CRONOGRAMA ATIVIDADES'!$S$5:$S$304=B37)*('CRONOGRAMA ATIVIDADES'!$AA$5:$AA$304&lt;&gt;""),'CRONOGRAMA ATIVIDADES'!$AA$5:$AA$304,"")))))</f>
        <v/>
      </c>
      <c r="L37" s="97" t="n"/>
      <c r="M37" s="90">
        <f>'VALOR POR PL'!L34</f>
        <v/>
      </c>
      <c r="N37" s="90">
        <f>IF('VALOR POR PL'!I34="DIRETO",'VALOR POR PL'!L34,0)</f>
        <v/>
      </c>
    </row>
    <row r="38" ht="29.4" customHeight="1">
      <c r="B38" s="83">
        <f>'VALOR POR PL'!C35</f>
        <v/>
      </c>
      <c r="C38" s="84">
        <f>'VALOR POR PL'!D35</f>
        <v/>
      </c>
      <c r="D38" s="85">
        <f>IF(OR('VALOR POR PL'!I35&lt;&gt;"DIRETO",'CP RESUMO'!$C$29=""),"",IFERROR(INDEX('CP RESUMO'!$D$29:$BW$29,MATCH(DATE($D$5,12,1),'CP RESUMO'!$D$4:$BW$4,0))/100,""))</f>
        <v/>
      </c>
      <c r="E38" s="86">
        <f>IF('VALOR POR PL'!I35&lt;&gt;"DIRETO","",'ESQUADRIAS'!$K$14)</f>
        <v/>
      </c>
      <c r="F38" s="87">
        <f>SUMPRODUCT((YEAR('ESQUADRIAS'!$B$5:$B$76)=$D$5)*('ESQUADRIAS'!$C$5:$C$76+'ESQUADRIAS'!$D$5:$D$76))</f>
        <v/>
      </c>
      <c r="G38" s="87">
        <f>SUMPRODUCT((YEAR('MODELO PARA BI'!$H$1:$CA$1)=$D$5)*'MODELO PARA BI'!$H$12:$CA$12)</f>
        <v/>
      </c>
      <c r="H38" s="87">
        <f>IF(ISNUMBER($G$5),G38*$G$5,0)</f>
        <v/>
      </c>
      <c r="I38" s="85">
        <f>IF($F$53=0,0,F38/$F$53)</f>
        <v/>
      </c>
      <c r="J38" s="85">
        <f>IF('VALOR POR PL'!L35=0,0,SUMPRODUCT(('ESQUADRIAS'!$B$5:$B$76&lt;=DATE($D$5,12,1))*('ESQUADRIAS'!$C$5:$C$76+'ESQUADRIAS'!$D$5:$D$76))/'VALOR POR PL'!L35)</f>
        <v/>
      </c>
      <c r="K38" s="88">
        <f t="array" ref="K38">IF(COUNTIF('CRONOGRAMA ATIVIDADES'!$M$5:$M$3004,B38)=0,"",IF(COUNTIFS('CRONOGRAMA ATIVIDADES'!$M$5:$M$3004,B38,'CRONOGRAMA ATIVIDADES'!$O$5:$O$3004,"CONCLUÍDA")=COUNTIF('CRONOGRAMA ATIVIDADES'!$M$5:$M$3004,B38),"Concluído (todas as "&amp;COUNTIF('CRONOGRAMA ATIVIDADES'!$M$5:$M$3004,B38)&amp;" atividades)",IF(COUNTIFS('CRONOGRAMA ATIVIDADES'!$M$5:$M$3004,B38,'CRONOGRAMA ATIVIDADES'!$O$5:$O$3004,"A INICIAR")=COUNTIF('CRONOGRAMA ATIVIDADES'!$M$5:$M$3004,B38),"Não iniciado · início previsto em "&amp;CHOOSE(MONTH(_xlfn.MINIFS('CRONOGRAMA ATIVIDADES'!$F$5:$F$3004,'CRONOGRAMA ATIVIDADES'!$M$5:$M$3004,B38)),"jan","fev","mar","abr","mai","jun","jul","ago","set","out","nov","dez")&amp;"/"&amp;YEAR(_xlfn.MINIFS('CRONOGRAMA ATIVIDADES'!$F$5:$F$3004,'CRONOGRAMA ATIVIDADES'!$M$5:$M$3004,B38)),_xlfn.TEXTJOIN(" / ",TRUE,IF(('CRONOGRAMA ATIVIDADES'!$S$5:$S$304=B38)*('CRONOGRAMA ATIVIDADES'!$AA$5:$AA$304&lt;&gt;""),'CRONOGRAMA ATIVIDADES'!$AA$5:$AA$304,"")))))</f>
        <v/>
      </c>
      <c r="L38" s="89" t="n"/>
      <c r="M38" s="90">
        <f>'VALOR POR PL'!L35</f>
        <v/>
      </c>
      <c r="N38" s="90">
        <f>IF('VALOR POR PL'!I35="DIRETO",'VALOR POR PL'!L35,0)</f>
        <v/>
      </c>
    </row>
    <row r="39" ht="29.4" customHeight="1">
      <c r="B39" s="91">
        <f>'VALOR POR PL'!C36</f>
        <v/>
      </c>
      <c r="C39" s="92">
        <f>'VALOR POR PL'!D36</f>
        <v/>
      </c>
      <c r="D39" s="93">
        <f>IF(OR('VALOR POR PL'!I36&lt;&gt;"DIRETO",'CP RESUMO'!$C$30=""),"",IFERROR(INDEX('CP RESUMO'!$D$30:$BW$30,MATCH(DATE($D$5,12,1),'CP RESUMO'!$D$4:$BW$4,0))/100,""))</f>
        <v/>
      </c>
      <c r="E39" s="94">
        <f>IF('VALOR POR PL'!I36&lt;&gt;"DIRETO","",'SERRALHERIA'!$K$14)</f>
        <v/>
      </c>
      <c r="F39" s="95">
        <f>SUMPRODUCT((YEAR('SERRALHERIA'!$B$5:$B$76)=$D$5)*('SERRALHERIA'!$C$5:$C$76+'SERRALHERIA'!$D$5:$D$76))</f>
        <v/>
      </c>
      <c r="G39" s="95">
        <f>SUMPRODUCT((YEAR('MODELO PARA BI'!$H$1:$CA$1)=$D$5)*'MODELO PARA BI'!$H$41:$CA$41)</f>
        <v/>
      </c>
      <c r="H39" s="95">
        <f>IF(ISNUMBER($G$5),G39*$G$5,0)</f>
        <v/>
      </c>
      <c r="I39" s="93">
        <f>IF($F$53=0,0,F39/$F$53)</f>
        <v/>
      </c>
      <c r="J39" s="93">
        <f>IF('VALOR POR PL'!L36=0,0,SUMPRODUCT(('SERRALHERIA'!$B$5:$B$76&lt;=DATE($D$5,12,1))*('SERRALHERIA'!$C$5:$C$76+'SERRALHERIA'!$D$5:$D$76))/'VALOR POR PL'!L36)</f>
        <v/>
      </c>
      <c r="K39" s="96">
        <f t="array" ref="K39">IF(COUNTIF('CRONOGRAMA ATIVIDADES'!$M$5:$M$3004,B39)=0,"",IF(COUNTIFS('CRONOGRAMA ATIVIDADES'!$M$5:$M$3004,B39,'CRONOGRAMA ATIVIDADES'!$O$5:$O$3004,"CONCLUÍDA")=COUNTIF('CRONOGRAMA ATIVIDADES'!$M$5:$M$3004,B39),"Concluído (todas as "&amp;COUNTIF('CRONOGRAMA ATIVIDADES'!$M$5:$M$3004,B39)&amp;" atividades)",IF(COUNTIFS('CRONOGRAMA ATIVIDADES'!$M$5:$M$3004,B39,'CRONOGRAMA ATIVIDADES'!$O$5:$O$3004,"A INICIAR")=COUNTIF('CRONOGRAMA ATIVIDADES'!$M$5:$M$3004,B39),"Não iniciado · início previsto em "&amp;CHOOSE(MONTH(_xlfn.MINIFS('CRONOGRAMA ATIVIDADES'!$F$5:$F$3004,'CRONOGRAMA ATIVIDADES'!$M$5:$M$3004,B39)),"jan","fev","mar","abr","mai","jun","jul","ago","set","out","nov","dez")&amp;"/"&amp;YEAR(_xlfn.MINIFS('CRONOGRAMA ATIVIDADES'!$F$5:$F$3004,'CRONOGRAMA ATIVIDADES'!$M$5:$M$3004,B39)),_xlfn.TEXTJOIN(" / ",TRUE,IF(('CRONOGRAMA ATIVIDADES'!$S$5:$S$304=B39)*('CRONOGRAMA ATIVIDADES'!$AA$5:$AA$304&lt;&gt;""),'CRONOGRAMA ATIVIDADES'!$AA$5:$AA$304,"")))))</f>
        <v/>
      </c>
      <c r="L39" s="97" t="n"/>
      <c r="M39" s="90">
        <f>'VALOR POR PL'!L36</f>
        <v/>
      </c>
      <c r="N39" s="90">
        <f>IF('VALOR POR PL'!I36="DIRETO",'VALOR POR PL'!L36,0)</f>
        <v/>
      </c>
    </row>
    <row r="40" ht="29.4" customHeight="1">
      <c r="B40" s="83">
        <f>'VALOR POR PL'!C37</f>
        <v/>
      </c>
      <c r="C40" s="84">
        <f>'VALOR POR PL'!D37</f>
        <v/>
      </c>
      <c r="D40" s="85">
        <f>IF(OR('VALOR POR PL'!I37&lt;&gt;"DIRETO",'CP RESUMO'!$C$31=""),"",IFERROR(INDEX('CP RESUMO'!$D$31:$BW$31,MATCH(DATE($D$5,12,1),'CP RESUMO'!$D$4:$BW$4,0))/100,""))</f>
        <v/>
      </c>
      <c r="E40" s="86">
        <f>IF('VALOR POR PL'!I37&lt;&gt;"DIRETO","",'MARCENARIA'!$K$14)</f>
        <v/>
      </c>
      <c r="F40" s="87">
        <f>SUMPRODUCT((YEAR('MARCENARIA'!$B$5:$B$76)=$D$5)*('MARCENARIA'!$C$5:$C$76+'MARCENARIA'!$D$5:$D$76))</f>
        <v/>
      </c>
      <c r="G40" s="87">
        <f>SUMPRODUCT((YEAR('MODELO PARA BI'!$H$1:$CA$1)=$D$5)*'MODELO PARA BI'!$H$25:$CA$25)</f>
        <v/>
      </c>
      <c r="H40" s="87">
        <f>IF(ISNUMBER($G$5),G40*$G$5,0)</f>
        <v/>
      </c>
      <c r="I40" s="85">
        <f>IF($F$53=0,0,F40/$F$53)</f>
        <v/>
      </c>
      <c r="J40" s="85">
        <f>IF('VALOR POR PL'!L37=0,0,SUMPRODUCT(('MARCENARIA'!$B$5:$B$76&lt;=DATE($D$5,12,1))*('MARCENARIA'!$C$5:$C$76+'MARCENARIA'!$D$5:$D$76))/'VALOR POR PL'!L37)</f>
        <v/>
      </c>
      <c r="K40" s="88">
        <f t="array" ref="K40">IF(COUNTIF('CRONOGRAMA ATIVIDADES'!$M$5:$M$3004,B40)=0,"",IF(COUNTIFS('CRONOGRAMA ATIVIDADES'!$M$5:$M$3004,B40,'CRONOGRAMA ATIVIDADES'!$O$5:$O$3004,"CONCLUÍDA")=COUNTIF('CRONOGRAMA ATIVIDADES'!$M$5:$M$3004,B40),"Concluído (todas as "&amp;COUNTIF('CRONOGRAMA ATIVIDADES'!$M$5:$M$3004,B40)&amp;" atividades)",IF(COUNTIFS('CRONOGRAMA ATIVIDADES'!$M$5:$M$3004,B40,'CRONOGRAMA ATIVIDADES'!$O$5:$O$3004,"A INICIAR")=COUNTIF('CRONOGRAMA ATIVIDADES'!$M$5:$M$3004,B40),"Não iniciado · início previsto em "&amp;CHOOSE(MONTH(_xlfn.MINIFS('CRONOGRAMA ATIVIDADES'!$F$5:$F$3004,'CRONOGRAMA ATIVIDADES'!$M$5:$M$3004,B40)),"jan","fev","mar","abr","mai","jun","jul","ago","set","out","nov","dez")&amp;"/"&amp;YEAR(_xlfn.MINIFS('CRONOGRAMA ATIVIDADES'!$F$5:$F$3004,'CRONOGRAMA ATIVIDADES'!$M$5:$M$3004,B40)),_xlfn.TEXTJOIN(" / ",TRUE,IF(('CRONOGRAMA ATIVIDADES'!$S$5:$S$304=B40)*('CRONOGRAMA ATIVIDADES'!$AA$5:$AA$304&lt;&gt;""),'CRONOGRAMA ATIVIDADES'!$AA$5:$AA$304,"")))))</f>
        <v/>
      </c>
      <c r="L40" s="89" t="n"/>
      <c r="M40" s="90">
        <f>'VALOR POR PL'!L37</f>
        <v/>
      </c>
      <c r="N40" s="90">
        <f>IF('VALOR POR PL'!I37="DIRETO",'VALOR POR PL'!L37,0)</f>
        <v/>
      </c>
    </row>
    <row r="41" ht="29.4" customHeight="1">
      <c r="B41" s="91">
        <f>'VALOR POR PL'!C38</f>
        <v/>
      </c>
      <c r="C41" s="92">
        <f>'VALOR POR PL'!D38</f>
        <v/>
      </c>
      <c r="D41" s="93">
        <f>IF(OR('VALOR POR PL'!I38&lt;&gt;"DIRETO",'CP RESUMO'!$C$32=""),"",IFERROR(INDEX('CP RESUMO'!$D$32:$BW$32,MATCH(DATE($D$5,12,1),'CP RESUMO'!$D$4:$BW$4,0))/100,""))</f>
        <v/>
      </c>
      <c r="E41" s="94">
        <f>IF('VALOR POR PL'!I38&lt;&gt;"DIRETO","",'REV. PISOS'!$K$14)</f>
        <v/>
      </c>
      <c r="F41" s="95">
        <f>SUMPRODUCT((YEAR('REV. PISOS'!$B$5:$B$76)=$D$5)*('REV. PISOS'!$C$5:$C$76+'REV. PISOS'!$D$5:$D$76))</f>
        <v/>
      </c>
      <c r="G41" s="95">
        <f>SUMPRODUCT((YEAR('MODELO PARA BI'!$H$1:$CA$1)=$D$5)*'MODELO PARA BI'!$H$33:$CA$33)</f>
        <v/>
      </c>
      <c r="H41" s="95">
        <f>IF(ISNUMBER($G$5),G41*$G$5,0)</f>
        <v/>
      </c>
      <c r="I41" s="93">
        <f>IF($F$53=0,0,F41/$F$53)</f>
        <v/>
      </c>
      <c r="J41" s="93">
        <f>IF('VALOR POR PL'!L38=0,0,SUMPRODUCT(('REV. PISOS'!$B$5:$B$76&lt;=DATE($D$5,12,1))*('REV. PISOS'!$C$5:$C$76+'REV. PISOS'!$D$5:$D$76))/'VALOR POR PL'!L38)</f>
        <v/>
      </c>
      <c r="K41" s="96">
        <f t="array" ref="K41">IF(COUNTIF('CRONOGRAMA ATIVIDADES'!$M$5:$M$3004,B41)=0,"",IF(COUNTIFS('CRONOGRAMA ATIVIDADES'!$M$5:$M$3004,B41,'CRONOGRAMA ATIVIDADES'!$O$5:$O$3004,"CONCLUÍDA")=COUNTIF('CRONOGRAMA ATIVIDADES'!$M$5:$M$3004,B41),"Concluído (todas as "&amp;COUNTIF('CRONOGRAMA ATIVIDADES'!$M$5:$M$3004,B41)&amp;" atividades)",IF(COUNTIFS('CRONOGRAMA ATIVIDADES'!$M$5:$M$3004,B41,'CRONOGRAMA ATIVIDADES'!$O$5:$O$3004,"A INICIAR")=COUNTIF('CRONOGRAMA ATIVIDADES'!$M$5:$M$3004,B41),"Não iniciado · início previsto em "&amp;CHOOSE(MONTH(_xlfn.MINIFS('CRONOGRAMA ATIVIDADES'!$F$5:$F$3004,'CRONOGRAMA ATIVIDADES'!$M$5:$M$3004,B41)),"jan","fev","mar","abr","mai","jun","jul","ago","set","out","nov","dez")&amp;"/"&amp;YEAR(_xlfn.MINIFS('CRONOGRAMA ATIVIDADES'!$F$5:$F$3004,'CRONOGRAMA ATIVIDADES'!$M$5:$M$3004,B41)),_xlfn.TEXTJOIN(" / ",TRUE,IF(('CRONOGRAMA ATIVIDADES'!$S$5:$S$304=B41)*('CRONOGRAMA ATIVIDADES'!$AA$5:$AA$304&lt;&gt;""),'CRONOGRAMA ATIVIDADES'!$AA$5:$AA$304,"")))))</f>
        <v/>
      </c>
      <c r="L41" s="97" t="n"/>
      <c r="M41" s="90">
        <f>'VALOR POR PL'!L38</f>
        <v/>
      </c>
      <c r="N41" s="90">
        <f>IF('VALOR POR PL'!I38="DIRETO",'VALOR POR PL'!L38,0)</f>
        <v/>
      </c>
    </row>
    <row r="42" ht="29.4" customHeight="1">
      <c r="B42" s="83">
        <f>'VALOR POR PL'!C39</f>
        <v/>
      </c>
      <c r="C42" s="84">
        <f>'VALOR POR PL'!D39</f>
        <v/>
      </c>
      <c r="D42" s="85">
        <f>IF(OR('VALOR POR PL'!I39&lt;&gt;"DIRETO",'CP RESUMO'!$C$33=""),"",IFERROR(INDEX('CP RESUMO'!$D$33:$BW$33,MATCH(DATE($D$5,12,1),'CP RESUMO'!$D$4:$BW$4,0))/100,""))</f>
        <v/>
      </c>
      <c r="E42" s="86">
        <f>IF('VALOR POR PL'!I39&lt;&gt;"DIRETO","",'REV. PAREDE'!$K$14)</f>
        <v/>
      </c>
      <c r="F42" s="87">
        <f>SUMPRODUCT((YEAR('REV. PAREDE'!$B$5:$B$76)=$D$5)*('REV. PAREDE'!$C$5:$C$76+'REV. PAREDE'!$D$5:$D$76))</f>
        <v/>
      </c>
      <c r="G42" s="87">
        <f>SUMPRODUCT((YEAR('MODELO PARA BI'!$H$1:$CA$1)=$D$5)*'MODELO PARA BI'!$H$34:$CA$34)</f>
        <v/>
      </c>
      <c r="H42" s="87">
        <f>IF(ISNUMBER($G$5),G42*$G$5,0)</f>
        <v/>
      </c>
      <c r="I42" s="85">
        <f>IF($F$53=0,0,F42/$F$53)</f>
        <v/>
      </c>
      <c r="J42" s="85">
        <f>IF('VALOR POR PL'!L39=0,0,SUMPRODUCT(('REV. PAREDE'!$B$5:$B$76&lt;=DATE($D$5,12,1))*('REV. PAREDE'!$C$5:$C$76+'REV. PAREDE'!$D$5:$D$76))/'VALOR POR PL'!L39)</f>
        <v/>
      </c>
      <c r="K42" s="88">
        <f t="array" ref="K42">IF(COUNTIF('CRONOGRAMA ATIVIDADES'!$M$5:$M$3004,B42)=0,"",IF(COUNTIFS('CRONOGRAMA ATIVIDADES'!$M$5:$M$3004,B42,'CRONOGRAMA ATIVIDADES'!$O$5:$O$3004,"CONCLUÍDA")=COUNTIF('CRONOGRAMA ATIVIDADES'!$M$5:$M$3004,B42),"Concluído (todas as "&amp;COUNTIF('CRONOGRAMA ATIVIDADES'!$M$5:$M$3004,B42)&amp;" atividades)",IF(COUNTIFS('CRONOGRAMA ATIVIDADES'!$M$5:$M$3004,B42,'CRONOGRAMA ATIVIDADES'!$O$5:$O$3004,"A INICIAR")=COUNTIF('CRONOGRAMA ATIVIDADES'!$M$5:$M$3004,B42),"Não iniciado · início previsto em "&amp;CHOOSE(MONTH(_xlfn.MINIFS('CRONOGRAMA ATIVIDADES'!$F$5:$F$3004,'CRONOGRAMA ATIVIDADES'!$M$5:$M$3004,B42)),"jan","fev","mar","abr","mai","jun","jul","ago","set","out","nov","dez")&amp;"/"&amp;YEAR(_xlfn.MINIFS('CRONOGRAMA ATIVIDADES'!$F$5:$F$3004,'CRONOGRAMA ATIVIDADES'!$M$5:$M$3004,B42)),_xlfn.TEXTJOIN(" / ",TRUE,IF(('CRONOGRAMA ATIVIDADES'!$S$5:$S$304=B42)*('CRONOGRAMA ATIVIDADES'!$AA$5:$AA$304&lt;&gt;""),'CRONOGRAMA ATIVIDADES'!$AA$5:$AA$304,"")))))</f>
        <v/>
      </c>
      <c r="L42" s="89" t="n"/>
      <c r="M42" s="90">
        <f>'VALOR POR PL'!L39</f>
        <v/>
      </c>
      <c r="N42" s="90">
        <f>IF('VALOR POR PL'!I39="DIRETO",'VALOR POR PL'!L39,0)</f>
        <v/>
      </c>
    </row>
    <row r="43" ht="29.4" customHeight="1">
      <c r="B43" s="91">
        <f>'VALOR POR PL'!C40</f>
        <v/>
      </c>
      <c r="C43" s="92">
        <f>'VALOR POR PL'!D40</f>
        <v/>
      </c>
      <c r="D43" s="93">
        <f>IF(OR('VALOR POR PL'!I40&lt;&gt;"DIRETO",'CP RESUMO'!$C$34=""),"",IFERROR(INDEX('CP RESUMO'!$D$34:$BW$34,MATCH(DATE($D$5,12,1),'CP RESUMO'!$D$4:$BW$4,0))/100,""))</f>
        <v/>
      </c>
      <c r="E43" s="94">
        <f>IF('VALOR POR PL'!I40&lt;&gt;"DIRETO","",'REV. ACAB'!$K$14)</f>
        <v/>
      </c>
      <c r="F43" s="95">
        <f>SUMPRODUCT((YEAR('REV. ACAB'!$B$5:$B$76)=$D$5)*('REV. ACAB'!$C$5:$C$76+'REV. ACAB'!$D$5:$D$76))</f>
        <v/>
      </c>
      <c r="G43" s="95">
        <f>SUMPRODUCT((YEAR('MODELO PARA BI'!$H$1:$CA$1)=$D$5)*'MODELO PARA BI'!$H$32:$CA$32)</f>
        <v/>
      </c>
      <c r="H43" s="95">
        <f>IF(ISNUMBER($G$5),G43*$G$5,0)</f>
        <v/>
      </c>
      <c r="I43" s="93">
        <f>IF($F$53=0,0,F43/$F$53)</f>
        <v/>
      </c>
      <c r="J43" s="93">
        <f>IF('VALOR POR PL'!L40=0,0,SUMPRODUCT(('REV. ACAB'!$B$5:$B$76&lt;=DATE($D$5,12,1))*('REV. ACAB'!$C$5:$C$76+'REV. ACAB'!$D$5:$D$76))/'VALOR POR PL'!L40)</f>
        <v/>
      </c>
      <c r="K43" s="96">
        <f t="array" ref="K43">IF(COUNTIF('CRONOGRAMA ATIVIDADES'!$M$5:$M$3004,B43)=0,"",IF(COUNTIFS('CRONOGRAMA ATIVIDADES'!$M$5:$M$3004,B43,'CRONOGRAMA ATIVIDADES'!$O$5:$O$3004,"CONCLUÍDA")=COUNTIF('CRONOGRAMA ATIVIDADES'!$M$5:$M$3004,B43),"Concluído (todas as "&amp;COUNTIF('CRONOGRAMA ATIVIDADES'!$M$5:$M$3004,B43)&amp;" atividades)",IF(COUNTIFS('CRONOGRAMA ATIVIDADES'!$M$5:$M$3004,B43,'CRONOGRAMA ATIVIDADES'!$O$5:$O$3004,"A INICIAR")=COUNTIF('CRONOGRAMA ATIVIDADES'!$M$5:$M$3004,B43),"Não iniciado · início previsto em "&amp;CHOOSE(MONTH(_xlfn.MINIFS('CRONOGRAMA ATIVIDADES'!$F$5:$F$3004,'CRONOGRAMA ATIVIDADES'!$M$5:$M$3004,B43)),"jan","fev","mar","abr","mai","jun","jul","ago","set","out","nov","dez")&amp;"/"&amp;YEAR(_xlfn.MINIFS('CRONOGRAMA ATIVIDADES'!$F$5:$F$3004,'CRONOGRAMA ATIVIDADES'!$M$5:$M$3004,B43)),_xlfn.TEXTJOIN(" / ",TRUE,IF(('CRONOGRAMA ATIVIDADES'!$S$5:$S$304=B43)*('CRONOGRAMA ATIVIDADES'!$AA$5:$AA$304&lt;&gt;""),'CRONOGRAMA ATIVIDADES'!$AA$5:$AA$304,"")))))</f>
        <v/>
      </c>
      <c r="L43" s="97" t="n"/>
      <c r="M43" s="90">
        <f>'VALOR POR PL'!L40</f>
        <v/>
      </c>
      <c r="N43" s="90">
        <f>IF('VALOR POR PL'!I40="DIRETO",'VALOR POR PL'!L40,0)</f>
        <v/>
      </c>
    </row>
    <row r="44" ht="29.4" customHeight="1">
      <c r="B44" s="83">
        <f>'VALOR POR PL'!C41</f>
        <v/>
      </c>
      <c r="C44" s="84">
        <f>'VALOR POR PL'!D41</f>
        <v/>
      </c>
      <c r="D44" s="85">
        <f>IF(OR('VALOR POR PL'!I41&lt;&gt;"DIRETO",'CP RESUMO'!$C$35=""),"",IFERROR(INDEX('CP RESUMO'!$D$35:$BW$35,MATCH(DATE($D$5,12,1),'CP RESUMO'!$D$4:$BW$4,0))/100,""))</f>
        <v/>
      </c>
      <c r="E44" s="86">
        <f>IF('VALOR POR PL'!I41&lt;&gt;"DIRETO","",'PAVIMENTAÇÃO'!$K$14)</f>
        <v/>
      </c>
      <c r="F44" s="87">
        <f>SUMPRODUCT((YEAR('PAVIMENTAÇÃO'!$B$5:$B$76)=$D$5)*('PAVIMENTAÇÃO'!$C$5:$C$76+'PAVIMENTAÇÃO'!$D$5:$D$76))</f>
        <v/>
      </c>
      <c r="G44" s="87">
        <f>SUMPRODUCT((YEAR('MODELO PARA BI'!$H$1:$CA$1)=$D$5)*'MODELO PARA BI'!$H$27:$CA$27)</f>
        <v/>
      </c>
      <c r="H44" s="87">
        <f>IF(ISNUMBER($G$5),G44*$G$5,0)</f>
        <v/>
      </c>
      <c r="I44" s="85">
        <f>IF($F$53=0,0,F44/$F$53)</f>
        <v/>
      </c>
      <c r="J44" s="85">
        <f>IF('VALOR POR PL'!L41=0,0,SUMPRODUCT(('PAVIMENTAÇÃO'!$B$5:$B$76&lt;=DATE($D$5,12,1))*('PAVIMENTAÇÃO'!$C$5:$C$76+'PAVIMENTAÇÃO'!$D$5:$D$76))/'VALOR POR PL'!L41)</f>
        <v/>
      </c>
      <c r="K44" s="88">
        <f t="array" ref="K44">IF(COUNTIF('CRONOGRAMA ATIVIDADES'!$M$5:$M$3004,B44)=0,"",IF(COUNTIFS('CRONOGRAMA ATIVIDADES'!$M$5:$M$3004,B44,'CRONOGRAMA ATIVIDADES'!$O$5:$O$3004,"CONCLUÍDA")=COUNTIF('CRONOGRAMA ATIVIDADES'!$M$5:$M$3004,B44),"Concluído (todas as "&amp;COUNTIF('CRONOGRAMA ATIVIDADES'!$M$5:$M$3004,B44)&amp;" atividades)",IF(COUNTIFS('CRONOGRAMA ATIVIDADES'!$M$5:$M$3004,B44,'CRONOGRAMA ATIVIDADES'!$O$5:$O$3004,"A INICIAR")=COUNTIF('CRONOGRAMA ATIVIDADES'!$M$5:$M$3004,B44),"Não iniciado · início previsto em "&amp;CHOOSE(MONTH(_xlfn.MINIFS('CRONOGRAMA ATIVIDADES'!$F$5:$F$3004,'CRONOGRAMA ATIVIDADES'!$M$5:$M$3004,B44)),"jan","fev","mar","abr","mai","jun","jul","ago","set","out","nov","dez")&amp;"/"&amp;YEAR(_xlfn.MINIFS('CRONOGRAMA ATIVIDADES'!$F$5:$F$3004,'CRONOGRAMA ATIVIDADES'!$M$5:$M$3004,B44)),_xlfn.TEXTJOIN(" / ",TRUE,IF(('CRONOGRAMA ATIVIDADES'!$S$5:$S$304=B44)*('CRONOGRAMA ATIVIDADES'!$AA$5:$AA$304&lt;&gt;""),'CRONOGRAMA ATIVIDADES'!$AA$5:$AA$304,"")))))</f>
        <v/>
      </c>
      <c r="L44" s="89" t="n"/>
      <c r="M44" s="90">
        <f>'VALOR POR PL'!L41</f>
        <v/>
      </c>
      <c r="N44" s="90">
        <f>IF('VALOR POR PL'!I41="DIRETO",'VALOR POR PL'!L41,0)</f>
        <v/>
      </c>
    </row>
    <row r="45" ht="29.4" customHeight="1">
      <c r="B45" s="91">
        <f>'VALOR POR PL'!C42</f>
        <v/>
      </c>
      <c r="C45" s="92">
        <f>'VALOR POR PL'!D42</f>
        <v/>
      </c>
      <c r="D45" s="93">
        <f>IF(OR('VALOR POR PL'!I42&lt;&gt;"DIRETO",'CP RESUMO'!$C$36=""),"",IFERROR(INDEX('CP RESUMO'!$D$36:$BW$36,MATCH(DATE($D$5,12,1),'CP RESUMO'!$D$4:$BW$4,0))/100,""))</f>
        <v/>
      </c>
      <c r="E45" s="94">
        <f>IF('VALOR POR PL'!I42&lt;&gt;"DIRETO","",'REV. FACHADA'!$K$14)</f>
        <v/>
      </c>
      <c r="F45" s="95">
        <f>SUMPRODUCT((YEAR('REV. FACHADA'!$B$5:$B$76)=$D$5)*('REV. FACHADA'!$C$5:$C$76+'REV. FACHADA'!$D$5:$D$76))</f>
        <v/>
      </c>
      <c r="G45" s="95">
        <f>SUMPRODUCT((YEAR('MODELO PARA BI'!$H$1:$CA$1)=$D$5)*'MODELO PARA BI'!$H$31:$CA$31)</f>
        <v/>
      </c>
      <c r="H45" s="95">
        <f>IF(ISNUMBER($G$5),G45*$G$5,0)</f>
        <v/>
      </c>
      <c r="I45" s="93">
        <f>IF($F$53=0,0,F45/$F$53)</f>
        <v/>
      </c>
      <c r="J45" s="93">
        <f>IF('VALOR POR PL'!L42=0,0,SUMPRODUCT(('REV. FACHADA'!$B$5:$B$76&lt;=DATE($D$5,12,1))*('REV. FACHADA'!$C$5:$C$76+'REV. FACHADA'!$D$5:$D$76))/'VALOR POR PL'!L42)</f>
        <v/>
      </c>
      <c r="K45" s="96">
        <f t="array" ref="K45">IF(COUNTIF('CRONOGRAMA ATIVIDADES'!$M$5:$M$3004,B45)=0,"",IF(COUNTIFS('CRONOGRAMA ATIVIDADES'!$M$5:$M$3004,B45,'CRONOGRAMA ATIVIDADES'!$O$5:$O$3004,"CONCLUÍDA")=COUNTIF('CRONOGRAMA ATIVIDADES'!$M$5:$M$3004,B45),"Concluído (todas as "&amp;COUNTIF('CRONOGRAMA ATIVIDADES'!$M$5:$M$3004,B45)&amp;" atividades)",IF(COUNTIFS('CRONOGRAMA ATIVIDADES'!$M$5:$M$3004,B45,'CRONOGRAMA ATIVIDADES'!$O$5:$O$3004,"A INICIAR")=COUNTIF('CRONOGRAMA ATIVIDADES'!$M$5:$M$3004,B45),"Não iniciado · início previsto em "&amp;CHOOSE(MONTH(_xlfn.MINIFS('CRONOGRAMA ATIVIDADES'!$F$5:$F$3004,'CRONOGRAMA ATIVIDADES'!$M$5:$M$3004,B45)),"jan","fev","mar","abr","mai","jun","jul","ago","set","out","nov","dez")&amp;"/"&amp;YEAR(_xlfn.MINIFS('CRONOGRAMA ATIVIDADES'!$F$5:$F$3004,'CRONOGRAMA ATIVIDADES'!$M$5:$M$3004,B45)),_xlfn.TEXTJOIN(" / ",TRUE,IF(('CRONOGRAMA ATIVIDADES'!$S$5:$S$304=B45)*('CRONOGRAMA ATIVIDADES'!$AA$5:$AA$304&lt;&gt;""),'CRONOGRAMA ATIVIDADES'!$AA$5:$AA$304,"")))))</f>
        <v/>
      </c>
      <c r="L45" s="97" t="n"/>
      <c r="M45" s="90">
        <f>'VALOR POR PL'!L42</f>
        <v/>
      </c>
      <c r="N45" s="90">
        <f>IF('VALOR POR PL'!I42="DIRETO",'VALOR POR PL'!L42,0)</f>
        <v/>
      </c>
    </row>
    <row r="46" ht="29.4" customHeight="1">
      <c r="B46" s="83">
        <f>'VALOR POR PL'!C43</f>
        <v/>
      </c>
      <c r="C46" s="84">
        <f>'VALOR POR PL'!D43</f>
        <v/>
      </c>
      <c r="D46" s="85">
        <f>IF(OR('VALOR POR PL'!I43&lt;&gt;"DIRETO",'CP RESUMO'!$C$37=""),"",IFERROR(INDEX('CP RESUMO'!$D$37:$BW$37,MATCH(DATE($D$5,12,1),'CP RESUMO'!$D$4:$BW$4,0))/100,""))</f>
        <v/>
      </c>
      <c r="E46" s="86">
        <f>IF('VALOR POR PL'!I43&lt;&gt;"DIRETO","",'FORRO'!$K$14)</f>
        <v/>
      </c>
      <c r="F46" s="87">
        <f>SUMPRODUCT((YEAR('FORRO'!$B$5:$B$76)=$D$5)*('FORRO'!$C$5:$C$76+'FORRO'!$D$5:$D$76))</f>
        <v/>
      </c>
      <c r="G46" s="87">
        <f>SUMPRODUCT((YEAR('MODELO PARA BI'!$H$1:$CA$1)=$D$5)*'MODELO PARA BI'!$H$14:$CA$14)</f>
        <v/>
      </c>
      <c r="H46" s="87">
        <f>IF(ISNUMBER($G$5),G46*$G$5,0)</f>
        <v/>
      </c>
      <c r="I46" s="85">
        <f>IF($F$53=0,0,F46/$F$53)</f>
        <v/>
      </c>
      <c r="J46" s="85">
        <f>IF('VALOR POR PL'!L43=0,0,SUMPRODUCT(('FORRO'!$B$5:$B$76&lt;=DATE($D$5,12,1))*('FORRO'!$C$5:$C$76+'FORRO'!$D$5:$D$76))/'VALOR POR PL'!L43)</f>
        <v/>
      </c>
      <c r="K46" s="88">
        <f t="array" ref="K46">IF(COUNTIF('CRONOGRAMA ATIVIDADES'!$M$5:$M$3004,B46)=0,"",IF(COUNTIFS('CRONOGRAMA ATIVIDADES'!$M$5:$M$3004,B46,'CRONOGRAMA ATIVIDADES'!$O$5:$O$3004,"CONCLUÍDA")=COUNTIF('CRONOGRAMA ATIVIDADES'!$M$5:$M$3004,B46),"Concluído (todas as "&amp;COUNTIF('CRONOGRAMA ATIVIDADES'!$M$5:$M$3004,B46)&amp;" atividades)",IF(COUNTIFS('CRONOGRAMA ATIVIDADES'!$M$5:$M$3004,B46,'CRONOGRAMA ATIVIDADES'!$O$5:$O$3004,"A INICIAR")=COUNTIF('CRONOGRAMA ATIVIDADES'!$M$5:$M$3004,B46),"Não iniciado · início previsto em "&amp;CHOOSE(MONTH(_xlfn.MINIFS('CRONOGRAMA ATIVIDADES'!$F$5:$F$3004,'CRONOGRAMA ATIVIDADES'!$M$5:$M$3004,B46)),"jan","fev","mar","abr","mai","jun","jul","ago","set","out","nov","dez")&amp;"/"&amp;YEAR(_xlfn.MINIFS('CRONOGRAMA ATIVIDADES'!$F$5:$F$3004,'CRONOGRAMA ATIVIDADES'!$M$5:$M$3004,B46)),_xlfn.TEXTJOIN(" / ",TRUE,IF(('CRONOGRAMA ATIVIDADES'!$S$5:$S$304=B46)*('CRONOGRAMA ATIVIDADES'!$AA$5:$AA$304&lt;&gt;""),'CRONOGRAMA ATIVIDADES'!$AA$5:$AA$304,"")))))</f>
        <v/>
      </c>
      <c r="L46" s="89" t="n"/>
      <c r="M46" s="90">
        <f>'VALOR POR PL'!L43</f>
        <v/>
      </c>
      <c r="N46" s="90">
        <f>IF('VALOR POR PL'!I43="DIRETO",'VALOR POR PL'!L43,0)</f>
        <v/>
      </c>
    </row>
    <row r="47" ht="29.4" customHeight="1">
      <c r="B47" s="91">
        <f>'VALOR POR PL'!C44</f>
        <v/>
      </c>
      <c r="C47" s="92">
        <f>'VALOR POR PL'!D44</f>
        <v/>
      </c>
      <c r="D47" s="93">
        <f>IF(OR('VALOR POR PL'!I44&lt;&gt;"DIRETO",'CP RESUMO'!$C$38=""),"",IFERROR(INDEX('CP RESUMO'!$D$38:$BW$38,MATCH(DATE($D$5,12,1),'CP RESUMO'!$D$4:$BW$4,0))/100,""))</f>
        <v/>
      </c>
      <c r="E47" s="94">
        <f>IF('VALOR POR PL'!I44&lt;&gt;"DIRETO","",'LOUÇAS'!$K$14)</f>
        <v/>
      </c>
      <c r="F47" s="95">
        <f>SUMPRODUCT((YEAR('LOUÇAS'!$B$5:$B$76)=$D$5)*('LOUÇAS'!$C$5:$C$76+'LOUÇAS'!$D$5:$D$76))</f>
        <v/>
      </c>
      <c r="G47" s="95">
        <f>SUMPRODUCT((YEAR('MODELO PARA BI'!$H$1:$CA$1)=$D$5)*'MODELO PARA BI'!$H$23:$CA$23)</f>
        <v/>
      </c>
      <c r="H47" s="95">
        <f>IF(ISNUMBER($G$5),G47*$G$5,0)</f>
        <v/>
      </c>
      <c r="I47" s="93">
        <f>IF($F$53=0,0,F47/$F$53)</f>
        <v/>
      </c>
      <c r="J47" s="93">
        <f>IF('VALOR POR PL'!L44=0,0,SUMPRODUCT(('LOUÇAS'!$B$5:$B$76&lt;=DATE($D$5,12,1))*('LOUÇAS'!$C$5:$C$76+'LOUÇAS'!$D$5:$D$76))/'VALOR POR PL'!L44)</f>
        <v/>
      </c>
      <c r="K47" s="96">
        <f t="array" ref="K47">IF(COUNTIF('CRONOGRAMA ATIVIDADES'!$M$5:$M$3004,B47)=0,"",IF(COUNTIFS('CRONOGRAMA ATIVIDADES'!$M$5:$M$3004,B47,'CRONOGRAMA ATIVIDADES'!$O$5:$O$3004,"CONCLUÍDA")=COUNTIF('CRONOGRAMA ATIVIDADES'!$M$5:$M$3004,B47),"Concluído (todas as "&amp;COUNTIF('CRONOGRAMA ATIVIDADES'!$M$5:$M$3004,B47)&amp;" atividades)",IF(COUNTIFS('CRONOGRAMA ATIVIDADES'!$M$5:$M$3004,B47,'CRONOGRAMA ATIVIDADES'!$O$5:$O$3004,"A INICIAR")=COUNTIF('CRONOGRAMA ATIVIDADES'!$M$5:$M$3004,B47),"Não iniciado · início previsto em "&amp;CHOOSE(MONTH(_xlfn.MINIFS('CRONOGRAMA ATIVIDADES'!$F$5:$F$3004,'CRONOGRAMA ATIVIDADES'!$M$5:$M$3004,B47)),"jan","fev","mar","abr","mai","jun","jul","ago","set","out","nov","dez")&amp;"/"&amp;YEAR(_xlfn.MINIFS('CRONOGRAMA ATIVIDADES'!$F$5:$F$3004,'CRONOGRAMA ATIVIDADES'!$M$5:$M$3004,B47)),_xlfn.TEXTJOIN(" / ",TRUE,IF(('CRONOGRAMA ATIVIDADES'!$S$5:$S$304=B47)*('CRONOGRAMA ATIVIDADES'!$AA$5:$AA$304&lt;&gt;""),'CRONOGRAMA ATIVIDADES'!$AA$5:$AA$304,"")))))</f>
        <v/>
      </c>
      <c r="L47" s="97" t="n"/>
      <c r="M47" s="90">
        <f>'VALOR POR PL'!L44</f>
        <v/>
      </c>
      <c r="N47" s="90">
        <f>IF('VALOR POR PL'!I44="DIRETO",'VALOR POR PL'!L44,0)</f>
        <v/>
      </c>
    </row>
    <row r="48" ht="29.4" customHeight="1">
      <c r="B48" s="83">
        <f>'VALOR POR PL'!C45</f>
        <v/>
      </c>
      <c r="C48" s="84">
        <f>'VALOR POR PL'!D45</f>
        <v/>
      </c>
      <c r="D48" s="85">
        <f>IF(OR('VALOR POR PL'!I45&lt;&gt;"DIRETO",'CP RESUMO'!$C$39=""),"",IFERROR(INDEX('CP RESUMO'!$D$39:$BW$39,MATCH(DATE($D$5,12,1),'CP RESUMO'!$D$4:$BW$4,0))/100,""))</f>
        <v/>
      </c>
      <c r="E48" s="86">
        <f>IF('VALOR POR PL'!I45&lt;&gt;"DIRETO","",'PINTURA'!$K$14)</f>
        <v/>
      </c>
      <c r="F48" s="87">
        <f>SUMPRODUCT((YEAR('PINTURA'!$B$5:$B$76)=$D$5)*('PINTURA'!$C$5:$C$76+'PINTURA'!$D$5:$D$76))</f>
        <v/>
      </c>
      <c r="G48" s="87">
        <f>SUMPRODUCT((YEAR('MODELO PARA BI'!$H$1:$CA$1)=$D$5)*'MODELO PARA BI'!$H$28:$CA$28)</f>
        <v/>
      </c>
      <c r="H48" s="87">
        <f>IF(ISNUMBER($G$5),G48*$G$5,0)</f>
        <v/>
      </c>
      <c r="I48" s="85">
        <f>IF($F$53=0,0,F48/$F$53)</f>
        <v/>
      </c>
      <c r="J48" s="85">
        <f>IF('VALOR POR PL'!L45=0,0,SUMPRODUCT(('PINTURA'!$B$5:$B$76&lt;=DATE($D$5,12,1))*('PINTURA'!$C$5:$C$76+'PINTURA'!$D$5:$D$76))/'VALOR POR PL'!L45)</f>
        <v/>
      </c>
      <c r="K48" s="88">
        <f t="array" ref="K48">IF(COUNTIF('CRONOGRAMA ATIVIDADES'!$M$5:$M$3004,B48)=0,"",IF(COUNTIFS('CRONOGRAMA ATIVIDADES'!$M$5:$M$3004,B48,'CRONOGRAMA ATIVIDADES'!$O$5:$O$3004,"CONCLUÍDA")=COUNTIF('CRONOGRAMA ATIVIDADES'!$M$5:$M$3004,B48),"Concluído (todas as "&amp;COUNTIF('CRONOGRAMA ATIVIDADES'!$M$5:$M$3004,B48)&amp;" atividades)",IF(COUNTIFS('CRONOGRAMA ATIVIDADES'!$M$5:$M$3004,B48,'CRONOGRAMA ATIVIDADES'!$O$5:$O$3004,"A INICIAR")=COUNTIF('CRONOGRAMA ATIVIDADES'!$M$5:$M$3004,B48),"Não iniciado · início previsto em "&amp;CHOOSE(MONTH(_xlfn.MINIFS('CRONOGRAMA ATIVIDADES'!$F$5:$F$3004,'CRONOGRAMA ATIVIDADES'!$M$5:$M$3004,B48)),"jan","fev","mar","abr","mai","jun","jul","ago","set","out","nov","dez")&amp;"/"&amp;YEAR(_xlfn.MINIFS('CRONOGRAMA ATIVIDADES'!$F$5:$F$3004,'CRONOGRAMA ATIVIDADES'!$M$5:$M$3004,B48)),_xlfn.TEXTJOIN(" / ",TRUE,IF(('CRONOGRAMA ATIVIDADES'!$S$5:$S$304=B48)*('CRONOGRAMA ATIVIDADES'!$AA$5:$AA$304&lt;&gt;""),'CRONOGRAMA ATIVIDADES'!$AA$5:$AA$304,"")))))</f>
        <v/>
      </c>
      <c r="L48" s="89" t="n"/>
      <c r="M48" s="90">
        <f>'VALOR POR PL'!L45</f>
        <v/>
      </c>
      <c r="N48" s="90">
        <f>IF('VALOR POR PL'!I45="DIRETO",'VALOR POR PL'!L45,0)</f>
        <v/>
      </c>
    </row>
    <row r="49" ht="29.4" customHeight="1">
      <c r="B49" s="91">
        <f>'VALOR POR PL'!C46</f>
        <v/>
      </c>
      <c r="C49" s="92">
        <f>'VALOR POR PL'!D46</f>
        <v/>
      </c>
      <c r="D49" s="93">
        <f>IF(OR('VALOR POR PL'!I46&lt;&gt;"DIRETO",'CP RESUMO'!$C$40=""),"",IFERROR(INDEX('CP RESUMO'!$D$40:$BW$40,MATCH(DATE($D$5,12,1),'CP RESUMO'!$D$4:$BW$4,0))/100,""))</f>
        <v/>
      </c>
      <c r="E49" s="94">
        <f>IF('VALOR POR PL'!I46&lt;&gt;"DIRETO","",'PAISAGISMO'!$K$14)</f>
        <v/>
      </c>
      <c r="F49" s="95">
        <f>SUMPRODUCT((YEAR('PAISAGISMO'!$B$5:$B$76)=$D$5)*('PAISAGISMO'!$C$5:$C$76+'PAISAGISMO'!$D$5:$D$76))</f>
        <v/>
      </c>
      <c r="G49" s="95">
        <f>SUMPRODUCT((YEAR('MODELO PARA BI'!$H$1:$CA$1)=$D$5)*'MODELO PARA BI'!$H$26:$CA$26)</f>
        <v/>
      </c>
      <c r="H49" s="95">
        <f>IF(ISNUMBER($G$5),G49*$G$5,0)</f>
        <v/>
      </c>
      <c r="I49" s="93">
        <f>IF($F$53=0,0,F49/$F$53)</f>
        <v/>
      </c>
      <c r="J49" s="93">
        <f>IF('VALOR POR PL'!L46=0,0,SUMPRODUCT(('PAISAGISMO'!$B$5:$B$76&lt;=DATE($D$5,12,1))*('PAISAGISMO'!$C$5:$C$76+'PAISAGISMO'!$D$5:$D$76))/'VALOR POR PL'!L46)</f>
        <v/>
      </c>
      <c r="K49" s="96">
        <f t="array" ref="K49">IF(COUNTIF('CRONOGRAMA ATIVIDADES'!$M$5:$M$3004,B49)=0,"",IF(COUNTIFS('CRONOGRAMA ATIVIDADES'!$M$5:$M$3004,B49,'CRONOGRAMA ATIVIDADES'!$O$5:$O$3004,"CONCLUÍDA")=COUNTIF('CRONOGRAMA ATIVIDADES'!$M$5:$M$3004,B49),"Concluído (todas as "&amp;COUNTIF('CRONOGRAMA ATIVIDADES'!$M$5:$M$3004,B49)&amp;" atividades)",IF(COUNTIFS('CRONOGRAMA ATIVIDADES'!$M$5:$M$3004,B49,'CRONOGRAMA ATIVIDADES'!$O$5:$O$3004,"A INICIAR")=COUNTIF('CRONOGRAMA ATIVIDADES'!$M$5:$M$3004,B49),"Não iniciado · início previsto em "&amp;CHOOSE(MONTH(_xlfn.MINIFS('CRONOGRAMA ATIVIDADES'!$F$5:$F$3004,'CRONOGRAMA ATIVIDADES'!$M$5:$M$3004,B49)),"jan","fev","mar","abr","mai","jun","jul","ago","set","out","nov","dez")&amp;"/"&amp;YEAR(_xlfn.MINIFS('CRONOGRAMA ATIVIDADES'!$F$5:$F$3004,'CRONOGRAMA ATIVIDADES'!$M$5:$M$3004,B49)),_xlfn.TEXTJOIN(" / ",TRUE,IF(('CRONOGRAMA ATIVIDADES'!$S$5:$S$304=B49)*('CRONOGRAMA ATIVIDADES'!$AA$5:$AA$304&lt;&gt;""),'CRONOGRAMA ATIVIDADES'!$AA$5:$AA$304,"")))))</f>
        <v/>
      </c>
      <c r="L49" s="97" t="n"/>
      <c r="M49" s="90">
        <f>'VALOR POR PL'!L46</f>
        <v/>
      </c>
      <c r="N49" s="90">
        <f>IF('VALOR POR PL'!I46="DIRETO",'VALOR POR PL'!L46,0)</f>
        <v/>
      </c>
    </row>
    <row r="50" ht="29.4" customHeight="1">
      <c r="B50" s="83">
        <f>'VALOR POR PL'!C47</f>
        <v/>
      </c>
      <c r="C50" s="84">
        <f>'VALOR POR PL'!D47</f>
        <v/>
      </c>
      <c r="D50" s="85">
        <f>IF(OR('VALOR POR PL'!I47&lt;&gt;"DIRETO",'CP RESUMO'!$C$41=""),"",IFERROR(INDEX('CP RESUMO'!$D$41:$BW$41,MATCH(DATE($D$5,12,1),'CP RESUMO'!$D$4:$BW$4,0))/100,""))</f>
        <v/>
      </c>
      <c r="E50" s="86">
        <f>IF('VALOR POR PL'!I47&lt;&gt;"DIRETO","",'LIMPEZA'!$K$14)</f>
        <v/>
      </c>
      <c r="F50" s="87">
        <f>SUMPRODUCT((YEAR('LIMPEZA'!$B$5:$B$76)=$D$5)*('LIMPEZA'!$C$5:$C$76+'LIMPEZA'!$D$5:$D$76))</f>
        <v/>
      </c>
      <c r="G50" s="87">
        <f>SUMPRODUCT((YEAR('MODELO PARA BI'!$H$1:$CA$1)=$D$5)*'MODELO PARA BI'!$H$24:$CA$24)</f>
        <v/>
      </c>
      <c r="H50" s="87">
        <f>IF(ISNUMBER($G$5),G50*$G$5,0)</f>
        <v/>
      </c>
      <c r="I50" s="85">
        <f>IF($F$53=0,0,F50/$F$53)</f>
        <v/>
      </c>
      <c r="J50" s="85">
        <f>IF('VALOR POR PL'!L47=0,0,SUMPRODUCT(('LIMPEZA'!$B$5:$B$76&lt;=DATE($D$5,12,1))*('LIMPEZA'!$C$5:$C$76+'LIMPEZA'!$D$5:$D$76))/'VALOR POR PL'!L47)</f>
        <v/>
      </c>
      <c r="K50" s="88">
        <f t="array" ref="K50">IF(COUNTIF('CRONOGRAMA ATIVIDADES'!$M$5:$M$3004,B50)=0,"",IF(COUNTIFS('CRONOGRAMA ATIVIDADES'!$M$5:$M$3004,B50,'CRONOGRAMA ATIVIDADES'!$O$5:$O$3004,"CONCLUÍDA")=COUNTIF('CRONOGRAMA ATIVIDADES'!$M$5:$M$3004,B50),"Concluído (todas as "&amp;COUNTIF('CRONOGRAMA ATIVIDADES'!$M$5:$M$3004,B50)&amp;" atividades)",IF(COUNTIFS('CRONOGRAMA ATIVIDADES'!$M$5:$M$3004,B50,'CRONOGRAMA ATIVIDADES'!$O$5:$O$3004,"A INICIAR")=COUNTIF('CRONOGRAMA ATIVIDADES'!$M$5:$M$3004,B50),"Não iniciado · início previsto em "&amp;CHOOSE(MONTH(_xlfn.MINIFS('CRONOGRAMA ATIVIDADES'!$F$5:$F$3004,'CRONOGRAMA ATIVIDADES'!$M$5:$M$3004,B50)),"jan","fev","mar","abr","mai","jun","jul","ago","set","out","nov","dez")&amp;"/"&amp;YEAR(_xlfn.MINIFS('CRONOGRAMA ATIVIDADES'!$F$5:$F$3004,'CRONOGRAMA ATIVIDADES'!$M$5:$M$3004,B50)),_xlfn.TEXTJOIN(" / ",TRUE,IF(('CRONOGRAMA ATIVIDADES'!$S$5:$S$304=B50)*('CRONOGRAMA ATIVIDADES'!$AA$5:$AA$304&lt;&gt;""),'CRONOGRAMA ATIVIDADES'!$AA$5:$AA$304,"")))))</f>
        <v/>
      </c>
      <c r="L50" s="89" t="n"/>
      <c r="M50" s="90">
        <f>'VALOR POR PL'!L47</f>
        <v/>
      </c>
      <c r="N50" s="90">
        <f>IF('VALOR POR PL'!I47="DIRETO",'VALOR POR PL'!L47,0)</f>
        <v/>
      </c>
    </row>
    <row r="51" ht="20" customHeight="1">
      <c r="B51" s="34" t="n"/>
      <c r="C51" s="34" t="inlineStr">
        <is>
          <t>DESEMBOLSO DO ANO (sem taxa de administração)</t>
        </is>
      </c>
      <c r="D51" s="34" t="n"/>
      <c r="E51" s="34" t="n"/>
      <c r="F51" s="103">
        <f>F23+F29+SUM(F30:F50)</f>
        <v/>
      </c>
      <c r="G51" s="103">
        <f>G23+G29+SUM(G30:G50)</f>
        <v/>
      </c>
      <c r="H51" s="103">
        <f>H23+H29+SUM(H30:H50)</f>
        <v/>
      </c>
      <c r="I51" s="104">
        <f>IF($F$53=0,0,F51/$F$53)</f>
        <v/>
      </c>
      <c r="J51" s="34" t="n"/>
      <c r="K51" s="34" t="n"/>
      <c r="L51" s="34" t="n"/>
    </row>
    <row r="52" ht="20" customHeight="1">
      <c r="B52" s="105">
        <f>'VALOR POR PL'!C48</f>
        <v/>
      </c>
      <c r="C52" s="105">
        <f>'VALOR POR PL'!D48</f>
        <v/>
      </c>
      <c r="D52" s="105" t="n"/>
      <c r="E52" s="105" t="n"/>
      <c r="F52" s="106">
        <f>SUMPRODUCT((YEAR('TAX. ADM'!$B$5:$B$76)=$D$5)*('TAX. ADM'!$C$5:$C$76+'TAX. ADM'!$D$5:$D$76))</f>
        <v/>
      </c>
      <c r="G52" s="106">
        <f>SUMPRODUCT((YEAR('MODELO PARA BI'!$H$1:$CA$1)=$D$5)*'MODELO PARA BI'!$H$43:$CA$43)</f>
        <v/>
      </c>
      <c r="H52" s="106">
        <f>IF(ISNUMBER($G$5),G52*$G$5,0)</f>
        <v/>
      </c>
      <c r="I52" s="107">
        <f>IF($F$53=0,0,F52/$F$53)</f>
        <v/>
      </c>
      <c r="J52" s="105" t="n"/>
      <c r="K52" s="105" t="n"/>
      <c r="L52" s="105" t="n"/>
      <c r="M52">
        <f>'VALOR POR PL'!L48</f>
        <v/>
      </c>
    </row>
    <row r="53" ht="20" customHeight="1">
      <c r="B53" s="34" t="n"/>
      <c r="C53" s="34" t="inlineStr">
        <is>
          <t>DESEMBOLSO DO ANO COM TAXA DE ADMINISTRAÇÃO</t>
        </is>
      </c>
      <c r="D53" s="34" t="n"/>
      <c r="E53" s="34" t="n"/>
      <c r="F53" s="103">
        <f>F51+F52</f>
        <v/>
      </c>
      <c r="G53" s="103">
        <f>G51+G52</f>
        <v/>
      </c>
      <c r="H53" s="103">
        <f>H51+H52</f>
        <v/>
      </c>
      <c r="I53" s="104">
        <f>IF($F$53=0,0,F53/$F$53)</f>
        <v/>
      </c>
      <c r="J53" s="34" t="n"/>
      <c r="K53" s="34" t="n"/>
      <c r="L53" s="34" t="n"/>
    </row>
    <row r="54">
      <c r="B54" s="36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9" t="inlineStr">
        <is>
          <t>COD EMPREENDIMENTO</t>
        </is>
      </c>
      <c r="B1" s="59" t="inlineStr">
        <is>
          <t>COD GRUPO 1</t>
        </is>
      </c>
      <c r="C1" s="59" t="inlineStr">
        <is>
          <t>GRUPO 1</t>
        </is>
      </c>
      <c r="D1" s="59" t="inlineStr">
        <is>
          <t>VALOR ORÇADO
(INCC)</t>
        </is>
      </c>
      <c r="E1" s="59" t="inlineStr">
        <is>
          <t>SOMA DA DISTRIBUIÇÃO
(INCC)</t>
        </is>
      </c>
      <c r="F1" s="59" t="inlineStr">
        <is>
          <t>VARIAÇÃO
(ORÇADO − DISTRIBUÍDO)</t>
        </is>
      </c>
      <c r="H1" s="108">
        <f>'VALOR POR PL'!$P$6</f>
        <v/>
      </c>
      <c r="I1" s="108">
        <f>DATE(YEAR(H1),MONTH(H1)+1,1)</f>
        <v/>
      </c>
      <c r="J1" s="108">
        <f>DATE(YEAR(I1),MONTH(I1)+1,1)</f>
        <v/>
      </c>
      <c r="K1" s="108">
        <f>DATE(YEAR(J1),MONTH(J1)+1,1)</f>
        <v/>
      </c>
      <c r="L1" s="108">
        <f>DATE(YEAR(K1),MONTH(K1)+1,1)</f>
        <v/>
      </c>
      <c r="M1" s="108">
        <f>DATE(YEAR(L1),MONTH(L1)+1,1)</f>
        <v/>
      </c>
      <c r="N1" s="108">
        <f>DATE(YEAR(M1),MONTH(M1)+1,1)</f>
        <v/>
      </c>
      <c r="O1" s="108">
        <f>DATE(YEAR(N1),MONTH(N1)+1,1)</f>
        <v/>
      </c>
      <c r="P1" s="108">
        <f>DATE(YEAR(O1),MONTH(O1)+1,1)</f>
        <v/>
      </c>
      <c r="Q1" s="108">
        <f>DATE(YEAR(P1),MONTH(P1)+1,1)</f>
        <v/>
      </c>
      <c r="R1" s="108">
        <f>DATE(YEAR(Q1),MONTH(Q1)+1,1)</f>
        <v/>
      </c>
      <c r="S1" s="108">
        <f>DATE(YEAR(R1),MONTH(R1)+1,1)</f>
        <v/>
      </c>
      <c r="T1" s="108">
        <f>DATE(YEAR(S1),MONTH(S1)+1,1)</f>
        <v/>
      </c>
      <c r="U1" s="108">
        <f>DATE(YEAR(T1),MONTH(T1)+1,1)</f>
        <v/>
      </c>
      <c r="V1" s="108">
        <f>DATE(YEAR(U1),MONTH(U1)+1,1)</f>
        <v/>
      </c>
      <c r="W1" s="108">
        <f>DATE(YEAR(V1),MONTH(V1)+1,1)</f>
        <v/>
      </c>
      <c r="X1" s="108">
        <f>DATE(YEAR(W1),MONTH(W1)+1,1)</f>
        <v/>
      </c>
      <c r="Y1" s="108">
        <f>DATE(YEAR(X1),MONTH(X1)+1,1)</f>
        <v/>
      </c>
      <c r="Z1" s="108">
        <f>DATE(YEAR(Y1),MONTH(Y1)+1,1)</f>
        <v/>
      </c>
      <c r="AA1" s="108">
        <f>DATE(YEAR(Z1),MONTH(Z1)+1,1)</f>
        <v/>
      </c>
      <c r="AB1" s="108">
        <f>DATE(YEAR(AA1),MONTH(AA1)+1,1)</f>
        <v/>
      </c>
      <c r="AC1" s="108">
        <f>DATE(YEAR(AB1),MONTH(AB1)+1,1)</f>
        <v/>
      </c>
      <c r="AD1" s="108">
        <f>DATE(YEAR(AC1),MONTH(AC1)+1,1)</f>
        <v/>
      </c>
      <c r="AE1" s="108">
        <f>DATE(YEAR(AD1),MONTH(AD1)+1,1)</f>
        <v/>
      </c>
      <c r="AF1" s="108">
        <f>DATE(YEAR(AE1),MONTH(AE1)+1,1)</f>
        <v/>
      </c>
      <c r="AG1" s="108">
        <f>DATE(YEAR(AF1),MONTH(AF1)+1,1)</f>
        <v/>
      </c>
      <c r="AH1" s="108">
        <f>DATE(YEAR(AG1),MONTH(AG1)+1,1)</f>
        <v/>
      </c>
      <c r="AI1" s="108">
        <f>DATE(YEAR(AH1),MONTH(AH1)+1,1)</f>
        <v/>
      </c>
      <c r="AJ1" s="108">
        <f>DATE(YEAR(AI1),MONTH(AI1)+1,1)</f>
        <v/>
      </c>
      <c r="AK1" s="108">
        <f>DATE(YEAR(AJ1),MONTH(AJ1)+1,1)</f>
        <v/>
      </c>
      <c r="AL1" s="108">
        <f>DATE(YEAR(AK1),MONTH(AK1)+1,1)</f>
        <v/>
      </c>
      <c r="AM1" s="108">
        <f>DATE(YEAR(AL1),MONTH(AL1)+1,1)</f>
        <v/>
      </c>
      <c r="AN1" s="108">
        <f>DATE(YEAR(AM1),MONTH(AM1)+1,1)</f>
        <v/>
      </c>
      <c r="AO1" s="108">
        <f>DATE(YEAR(AN1),MONTH(AN1)+1,1)</f>
        <v/>
      </c>
      <c r="AP1" s="108">
        <f>DATE(YEAR(AO1),MONTH(AO1)+1,1)</f>
        <v/>
      </c>
      <c r="AQ1" s="108">
        <f>DATE(YEAR(AP1),MONTH(AP1)+1,1)</f>
        <v/>
      </c>
      <c r="AR1" s="108">
        <f>DATE(YEAR(AQ1),MONTH(AQ1)+1,1)</f>
        <v/>
      </c>
      <c r="AS1" s="108">
        <f>DATE(YEAR(AR1),MONTH(AR1)+1,1)</f>
        <v/>
      </c>
      <c r="AT1" s="108">
        <f>DATE(YEAR(AS1),MONTH(AS1)+1,1)</f>
        <v/>
      </c>
      <c r="AU1" s="108">
        <f>DATE(YEAR(AT1),MONTH(AT1)+1,1)</f>
        <v/>
      </c>
      <c r="AV1" s="108">
        <f>DATE(YEAR(AU1),MONTH(AU1)+1,1)</f>
        <v/>
      </c>
      <c r="AW1" s="108">
        <f>DATE(YEAR(AV1),MONTH(AV1)+1,1)</f>
        <v/>
      </c>
      <c r="AX1" s="108">
        <f>DATE(YEAR(AW1),MONTH(AW1)+1,1)</f>
        <v/>
      </c>
      <c r="AY1" s="108">
        <f>DATE(YEAR(AX1),MONTH(AX1)+1,1)</f>
        <v/>
      </c>
      <c r="AZ1" s="108">
        <f>DATE(YEAR(AY1),MONTH(AY1)+1,1)</f>
        <v/>
      </c>
      <c r="BA1" s="108">
        <f>DATE(YEAR(AZ1),MONTH(AZ1)+1,1)</f>
        <v/>
      </c>
      <c r="BB1" s="108">
        <f>DATE(YEAR(BA1),MONTH(BA1)+1,1)</f>
        <v/>
      </c>
      <c r="BC1" s="108">
        <f>DATE(YEAR(BB1),MONTH(BB1)+1,1)</f>
        <v/>
      </c>
      <c r="BD1" s="108">
        <f>DATE(YEAR(BC1),MONTH(BC1)+1,1)</f>
        <v/>
      </c>
      <c r="BE1" s="108">
        <f>DATE(YEAR(BD1),MONTH(BD1)+1,1)</f>
        <v/>
      </c>
      <c r="BF1" s="108">
        <f>DATE(YEAR(BE1),MONTH(BE1)+1,1)</f>
        <v/>
      </c>
      <c r="BG1" s="108">
        <f>DATE(YEAR(BF1),MONTH(BF1)+1,1)</f>
        <v/>
      </c>
      <c r="BH1" s="108">
        <f>DATE(YEAR(BG1),MONTH(BG1)+1,1)</f>
        <v/>
      </c>
      <c r="BI1" s="108">
        <f>DATE(YEAR(BH1),MONTH(BH1)+1,1)</f>
        <v/>
      </c>
      <c r="BJ1" s="108">
        <f>DATE(YEAR(BI1),MONTH(BI1)+1,1)</f>
        <v/>
      </c>
      <c r="BK1" s="108">
        <f>DATE(YEAR(BJ1),MONTH(BJ1)+1,1)</f>
        <v/>
      </c>
      <c r="BL1" s="108">
        <f>DATE(YEAR(BK1),MONTH(BK1)+1,1)</f>
        <v/>
      </c>
      <c r="BM1" s="108">
        <f>DATE(YEAR(BL1),MONTH(BL1)+1,1)</f>
        <v/>
      </c>
      <c r="BN1" s="108">
        <f>DATE(YEAR(BM1),MONTH(BM1)+1,1)</f>
        <v/>
      </c>
      <c r="BO1" s="108">
        <f>DATE(YEAR(BN1),MONTH(BN1)+1,1)</f>
        <v/>
      </c>
      <c r="BP1" s="108">
        <f>DATE(YEAR(BO1),MONTH(BO1)+1,1)</f>
        <v/>
      </c>
      <c r="BQ1" s="108">
        <f>DATE(YEAR(BP1),MONTH(BP1)+1,1)</f>
        <v/>
      </c>
      <c r="BR1" s="108">
        <f>DATE(YEAR(BQ1),MONTH(BQ1)+1,1)</f>
        <v/>
      </c>
      <c r="BS1" s="108">
        <f>DATE(YEAR(BR1),MONTH(BR1)+1,1)</f>
        <v/>
      </c>
      <c r="BT1" s="108">
        <f>DATE(YEAR(BS1),MONTH(BS1)+1,1)</f>
        <v/>
      </c>
      <c r="BU1" s="108">
        <f>DATE(YEAR(BT1),MONTH(BT1)+1,1)</f>
        <v/>
      </c>
      <c r="BV1" s="108">
        <f>DATE(YEAR(BU1),MONTH(BU1)+1,1)</f>
        <v/>
      </c>
      <c r="BW1" s="108">
        <f>DATE(YEAR(BV1),MONTH(BV1)+1,1)</f>
        <v/>
      </c>
      <c r="BX1" s="108">
        <f>DATE(YEAR(BW1),MONTH(BW1)+1,1)</f>
        <v/>
      </c>
      <c r="BY1" s="108">
        <f>DATE(YEAR(BX1),MONTH(BX1)+1,1)</f>
        <v/>
      </c>
      <c r="BZ1" s="108">
        <f>DATE(YEAR(BY1),MONTH(BY1)+1,1)</f>
        <v/>
      </c>
      <c r="CA1" s="108">
        <f>DATE(YEAR(BZ1),MONTH(BZ1)+1,1)</f>
        <v/>
      </c>
    </row>
    <row r="2">
      <c r="A2" s="60" t="n"/>
      <c r="B2" s="60" t="inlineStr">
        <is>
          <t>1030-1070-280</t>
        </is>
      </c>
      <c r="C2" s="60" t="inlineStr">
        <is>
          <t>ALVENARIA</t>
        </is>
      </c>
      <c r="D2" s="63">
        <f>'ALVENARIA'!$K$5</f>
        <v/>
      </c>
      <c r="E2" s="50">
        <f>SUM(H2:CA2)</f>
        <v/>
      </c>
      <c r="F2" s="50">
        <f>IF(D2="","",D2-E2)</f>
        <v/>
      </c>
      <c r="H2" s="90">
        <f>'ALVENARIA'!E5</f>
        <v/>
      </c>
      <c r="I2" s="90">
        <f>'ALVENARIA'!E6</f>
        <v/>
      </c>
      <c r="J2" s="90">
        <f>'ALVENARIA'!E7</f>
        <v/>
      </c>
      <c r="K2" s="90">
        <f>'ALVENARIA'!E8</f>
        <v/>
      </c>
      <c r="L2" s="90">
        <f>'ALVENARIA'!E9</f>
        <v/>
      </c>
      <c r="M2" s="90">
        <f>'ALVENARIA'!E10</f>
        <v/>
      </c>
      <c r="N2" s="90">
        <f>'ALVENARIA'!E11</f>
        <v/>
      </c>
      <c r="O2" s="90">
        <f>'ALVENARIA'!E12</f>
        <v/>
      </c>
      <c r="P2" s="90">
        <f>'ALVENARIA'!E13</f>
        <v/>
      </c>
      <c r="Q2" s="90">
        <f>'ALVENARIA'!E14</f>
        <v/>
      </c>
      <c r="R2" s="90">
        <f>'ALVENARIA'!E15</f>
        <v/>
      </c>
      <c r="S2" s="90">
        <f>'ALVENARIA'!E16</f>
        <v/>
      </c>
      <c r="T2" s="90">
        <f>'ALVENARIA'!E17</f>
        <v/>
      </c>
      <c r="U2" s="90">
        <f>'ALVENARIA'!E18</f>
        <v/>
      </c>
      <c r="V2" s="90">
        <f>'ALVENARIA'!E19</f>
        <v/>
      </c>
      <c r="W2" s="90">
        <f>'ALVENARIA'!E20</f>
        <v/>
      </c>
      <c r="X2" s="90">
        <f>'ALVENARIA'!E21</f>
        <v/>
      </c>
      <c r="Y2" s="90">
        <f>'ALVENARIA'!E22</f>
        <v/>
      </c>
      <c r="Z2" s="90">
        <f>'ALVENARIA'!E23</f>
        <v/>
      </c>
      <c r="AA2" s="90">
        <f>'ALVENARIA'!E24</f>
        <v/>
      </c>
      <c r="AB2" s="90">
        <f>'ALVENARIA'!E25</f>
        <v/>
      </c>
      <c r="AC2" s="90">
        <f>'ALVENARIA'!E26</f>
        <v/>
      </c>
      <c r="AD2" s="90">
        <f>'ALVENARIA'!E27</f>
        <v/>
      </c>
      <c r="AE2" s="90">
        <f>'ALVENARIA'!E28</f>
        <v/>
      </c>
      <c r="AF2" s="90">
        <f>'ALVENARIA'!E29</f>
        <v/>
      </c>
      <c r="AG2" s="90">
        <f>'ALVENARIA'!E30</f>
        <v/>
      </c>
      <c r="AH2" s="90">
        <f>'ALVENARIA'!E31</f>
        <v/>
      </c>
      <c r="AI2" s="90">
        <f>'ALVENARIA'!E32</f>
        <v/>
      </c>
      <c r="AJ2" s="90">
        <f>'ALVENARIA'!E33</f>
        <v/>
      </c>
      <c r="AK2" s="90">
        <f>'ALVENARIA'!E34</f>
        <v/>
      </c>
      <c r="AL2" s="90">
        <f>'ALVENARIA'!E35</f>
        <v/>
      </c>
      <c r="AM2" s="90">
        <f>'ALVENARIA'!E36</f>
        <v/>
      </c>
      <c r="AN2" s="90">
        <f>'ALVENARIA'!E37</f>
        <v/>
      </c>
      <c r="AO2" s="90">
        <f>'ALVENARIA'!E38</f>
        <v/>
      </c>
      <c r="AP2" s="90">
        <f>'ALVENARIA'!E39</f>
        <v/>
      </c>
      <c r="AQ2" s="90">
        <f>'ALVENARIA'!E40</f>
        <v/>
      </c>
      <c r="AR2" s="90">
        <f>'ALVENARIA'!E41</f>
        <v/>
      </c>
      <c r="AS2" s="90">
        <f>'ALVENARIA'!E42</f>
        <v/>
      </c>
      <c r="AT2" s="90">
        <f>'ALVENARIA'!E43</f>
        <v/>
      </c>
      <c r="AU2" s="90">
        <f>'ALVENARIA'!E44</f>
        <v/>
      </c>
      <c r="AV2" s="90">
        <f>'ALVENARIA'!E45</f>
        <v/>
      </c>
      <c r="AW2" s="90">
        <f>'ALVENARIA'!E46</f>
        <v/>
      </c>
      <c r="AX2" s="90">
        <f>'ALVENARIA'!E47</f>
        <v/>
      </c>
      <c r="AY2" s="90">
        <f>'ALVENARIA'!E48</f>
        <v/>
      </c>
      <c r="AZ2" s="90">
        <f>'ALVENARIA'!E49</f>
        <v/>
      </c>
      <c r="BA2" s="90">
        <f>'ALVENARIA'!E50</f>
        <v/>
      </c>
      <c r="BB2" s="90">
        <f>'ALVENARIA'!E51</f>
        <v/>
      </c>
      <c r="BC2" s="90">
        <f>'ALVENARIA'!E52</f>
        <v/>
      </c>
      <c r="BD2" s="90">
        <f>'ALVENARIA'!E53</f>
        <v/>
      </c>
      <c r="BE2" s="90">
        <f>'ALVENARIA'!E54</f>
        <v/>
      </c>
      <c r="BF2" s="90">
        <f>'ALVENARIA'!E55</f>
        <v/>
      </c>
      <c r="BG2" s="90">
        <f>'ALVENARIA'!E56</f>
        <v/>
      </c>
      <c r="BH2" s="90">
        <f>'ALVENARIA'!E57</f>
        <v/>
      </c>
      <c r="BI2" s="90">
        <f>'ALVENARIA'!E58</f>
        <v/>
      </c>
      <c r="BJ2" s="90">
        <f>'ALVENARIA'!E59</f>
        <v/>
      </c>
      <c r="BK2" s="90">
        <f>'ALVENARIA'!E60</f>
        <v/>
      </c>
      <c r="BL2" s="90">
        <f>'ALVENARIA'!E61</f>
        <v/>
      </c>
      <c r="BM2" s="90">
        <f>'ALVENARIA'!E62</f>
        <v/>
      </c>
      <c r="BN2" s="90">
        <f>'ALVENARIA'!E63</f>
        <v/>
      </c>
      <c r="BO2" s="90">
        <f>'ALVENARIA'!E64</f>
        <v/>
      </c>
      <c r="BP2" s="90">
        <f>'ALVENARIA'!E65</f>
        <v/>
      </c>
      <c r="BQ2" s="90">
        <f>'ALVENARIA'!E66</f>
        <v/>
      </c>
      <c r="BR2" s="90">
        <f>'ALVENARIA'!E67</f>
        <v/>
      </c>
      <c r="BS2" s="90">
        <f>'ALVENARIA'!E68</f>
        <v/>
      </c>
      <c r="BT2" s="90">
        <f>'ALVENARIA'!E69</f>
        <v/>
      </c>
      <c r="BU2" s="90">
        <f>'ALVENARIA'!E70</f>
        <v/>
      </c>
      <c r="BV2" s="90">
        <f>'ALVENARIA'!E71</f>
        <v/>
      </c>
      <c r="BW2" s="90">
        <f>'ALVENARIA'!E72</f>
        <v/>
      </c>
      <c r="BX2" s="90">
        <f>'ALVENARIA'!E73</f>
        <v/>
      </c>
      <c r="BY2" s="90">
        <f>'ALVENARIA'!E74</f>
        <v/>
      </c>
      <c r="BZ2" s="90">
        <f>'ALVENARIA'!E75</f>
        <v/>
      </c>
      <c r="CA2" s="90">
        <f>'ALVENARIA'!E76</f>
        <v/>
      </c>
    </row>
    <row r="3">
      <c r="A3" s="60" t="n"/>
      <c r="B3" s="60" t="inlineStr">
        <is>
          <t>1030-1070-140</t>
        </is>
      </c>
      <c r="C3" s="60" t="inlineStr">
        <is>
          <t>BARRACAO DE OBRA</t>
        </is>
      </c>
      <c r="D3" s="63">
        <f>'BARRACÃO DE OBRA'!$K$5</f>
        <v/>
      </c>
      <c r="E3" s="50">
        <f>SUM(H3:CA3)</f>
        <v/>
      </c>
      <c r="F3" s="50">
        <f>IF(D3="","",D3-E3)</f>
        <v/>
      </c>
      <c r="H3" s="90">
        <f>'BARRACÃO DE OBRA'!E5</f>
        <v/>
      </c>
      <c r="I3" s="90">
        <f>'BARRACÃO DE OBRA'!E6</f>
        <v/>
      </c>
      <c r="J3" s="90">
        <f>'BARRACÃO DE OBRA'!E7</f>
        <v/>
      </c>
      <c r="K3" s="90">
        <f>'BARRACÃO DE OBRA'!E8</f>
        <v/>
      </c>
      <c r="L3" s="90">
        <f>'BARRACÃO DE OBRA'!E9</f>
        <v/>
      </c>
      <c r="M3" s="90">
        <f>'BARRACÃO DE OBRA'!E10</f>
        <v/>
      </c>
      <c r="N3" s="90">
        <f>'BARRACÃO DE OBRA'!E11</f>
        <v/>
      </c>
      <c r="O3" s="90">
        <f>'BARRACÃO DE OBRA'!E12</f>
        <v/>
      </c>
      <c r="P3" s="90">
        <f>'BARRACÃO DE OBRA'!E13</f>
        <v/>
      </c>
      <c r="Q3" s="90">
        <f>'BARRACÃO DE OBRA'!E14</f>
        <v/>
      </c>
      <c r="R3" s="90">
        <f>'BARRACÃO DE OBRA'!E15</f>
        <v/>
      </c>
      <c r="S3" s="90">
        <f>'BARRACÃO DE OBRA'!E16</f>
        <v/>
      </c>
      <c r="T3" s="90">
        <f>'BARRACÃO DE OBRA'!E17</f>
        <v/>
      </c>
      <c r="U3" s="90">
        <f>'BARRACÃO DE OBRA'!E18</f>
        <v/>
      </c>
      <c r="V3" s="90">
        <f>'BARRACÃO DE OBRA'!E19</f>
        <v/>
      </c>
      <c r="W3" s="90">
        <f>'BARRACÃO DE OBRA'!E20</f>
        <v/>
      </c>
      <c r="X3" s="90">
        <f>'BARRACÃO DE OBRA'!E21</f>
        <v/>
      </c>
      <c r="Y3" s="90">
        <f>'BARRACÃO DE OBRA'!E22</f>
        <v/>
      </c>
      <c r="Z3" s="90">
        <f>'BARRACÃO DE OBRA'!E23</f>
        <v/>
      </c>
      <c r="AA3" s="90">
        <f>'BARRACÃO DE OBRA'!E24</f>
        <v/>
      </c>
      <c r="AB3" s="90">
        <f>'BARRACÃO DE OBRA'!E25</f>
        <v/>
      </c>
      <c r="AC3" s="90">
        <f>'BARRACÃO DE OBRA'!E26</f>
        <v/>
      </c>
      <c r="AD3" s="90">
        <f>'BARRACÃO DE OBRA'!E27</f>
        <v/>
      </c>
      <c r="AE3" s="90">
        <f>'BARRACÃO DE OBRA'!E28</f>
        <v/>
      </c>
      <c r="AF3" s="90">
        <f>'BARRACÃO DE OBRA'!E29</f>
        <v/>
      </c>
      <c r="AG3" s="90">
        <f>'BARRACÃO DE OBRA'!E30</f>
        <v/>
      </c>
      <c r="AH3" s="90">
        <f>'BARRACÃO DE OBRA'!E31</f>
        <v/>
      </c>
      <c r="AI3" s="90">
        <f>'BARRACÃO DE OBRA'!E32</f>
        <v/>
      </c>
      <c r="AJ3" s="90">
        <f>'BARRACÃO DE OBRA'!E33</f>
        <v/>
      </c>
      <c r="AK3" s="90">
        <f>'BARRACÃO DE OBRA'!E34</f>
        <v/>
      </c>
      <c r="AL3" s="90">
        <f>'BARRACÃO DE OBRA'!E35</f>
        <v/>
      </c>
      <c r="AM3" s="90">
        <f>'BARRACÃO DE OBRA'!E36</f>
        <v/>
      </c>
      <c r="AN3" s="90">
        <f>'BARRACÃO DE OBRA'!E37</f>
        <v/>
      </c>
      <c r="AO3" s="90">
        <f>'BARRACÃO DE OBRA'!E38</f>
        <v/>
      </c>
      <c r="AP3" s="90">
        <f>'BARRACÃO DE OBRA'!E39</f>
        <v/>
      </c>
      <c r="AQ3" s="90">
        <f>'BARRACÃO DE OBRA'!E40</f>
        <v/>
      </c>
      <c r="AR3" s="90">
        <f>'BARRACÃO DE OBRA'!E41</f>
        <v/>
      </c>
      <c r="AS3" s="90">
        <f>'BARRACÃO DE OBRA'!E42</f>
        <v/>
      </c>
      <c r="AT3" s="90">
        <f>'BARRACÃO DE OBRA'!E43</f>
        <v/>
      </c>
      <c r="AU3" s="90">
        <f>'BARRACÃO DE OBRA'!E44</f>
        <v/>
      </c>
      <c r="AV3" s="90">
        <f>'BARRACÃO DE OBRA'!E45</f>
        <v/>
      </c>
      <c r="AW3" s="90">
        <f>'BARRACÃO DE OBRA'!E46</f>
        <v/>
      </c>
      <c r="AX3" s="90">
        <f>'BARRACÃO DE OBRA'!E47</f>
        <v/>
      </c>
      <c r="AY3" s="90">
        <f>'BARRACÃO DE OBRA'!E48</f>
        <v/>
      </c>
      <c r="AZ3" s="90">
        <f>'BARRACÃO DE OBRA'!E49</f>
        <v/>
      </c>
      <c r="BA3" s="90">
        <f>'BARRACÃO DE OBRA'!E50</f>
        <v/>
      </c>
      <c r="BB3" s="90">
        <f>'BARRACÃO DE OBRA'!E51</f>
        <v/>
      </c>
      <c r="BC3" s="90">
        <f>'BARRACÃO DE OBRA'!E52</f>
        <v/>
      </c>
      <c r="BD3" s="90">
        <f>'BARRACÃO DE OBRA'!E53</f>
        <v/>
      </c>
      <c r="BE3" s="90">
        <f>'BARRACÃO DE OBRA'!E54</f>
        <v/>
      </c>
      <c r="BF3" s="90">
        <f>'BARRACÃO DE OBRA'!E55</f>
        <v/>
      </c>
      <c r="BG3" s="90">
        <f>'BARRACÃO DE OBRA'!E56</f>
        <v/>
      </c>
      <c r="BH3" s="90">
        <f>'BARRACÃO DE OBRA'!E57</f>
        <v/>
      </c>
      <c r="BI3" s="90">
        <f>'BARRACÃO DE OBRA'!E58</f>
        <v/>
      </c>
      <c r="BJ3" s="90">
        <f>'BARRACÃO DE OBRA'!E59</f>
        <v/>
      </c>
      <c r="BK3" s="90">
        <f>'BARRACÃO DE OBRA'!E60</f>
        <v/>
      </c>
      <c r="BL3" s="90">
        <f>'BARRACÃO DE OBRA'!E61</f>
        <v/>
      </c>
      <c r="BM3" s="90">
        <f>'BARRACÃO DE OBRA'!E62</f>
        <v/>
      </c>
      <c r="BN3" s="90">
        <f>'BARRACÃO DE OBRA'!E63</f>
        <v/>
      </c>
      <c r="BO3" s="90">
        <f>'BARRACÃO DE OBRA'!E64</f>
        <v/>
      </c>
      <c r="BP3" s="90">
        <f>'BARRACÃO DE OBRA'!E65</f>
        <v/>
      </c>
      <c r="BQ3" s="90">
        <f>'BARRACÃO DE OBRA'!E66</f>
        <v/>
      </c>
      <c r="BR3" s="90">
        <f>'BARRACÃO DE OBRA'!E67</f>
        <v/>
      </c>
      <c r="BS3" s="90">
        <f>'BARRACÃO DE OBRA'!E68</f>
        <v/>
      </c>
      <c r="BT3" s="90">
        <f>'BARRACÃO DE OBRA'!E69</f>
        <v/>
      </c>
      <c r="BU3" s="90">
        <f>'BARRACÃO DE OBRA'!E70</f>
        <v/>
      </c>
      <c r="BV3" s="90">
        <f>'BARRACÃO DE OBRA'!E71</f>
        <v/>
      </c>
      <c r="BW3" s="90">
        <f>'BARRACÃO DE OBRA'!E72</f>
        <v/>
      </c>
      <c r="BX3" s="90">
        <f>'BARRACÃO DE OBRA'!E73</f>
        <v/>
      </c>
      <c r="BY3" s="90">
        <f>'BARRACÃO DE OBRA'!E74</f>
        <v/>
      </c>
      <c r="BZ3" s="90">
        <f>'BARRACÃO DE OBRA'!E75</f>
        <v/>
      </c>
      <c r="CA3" s="90">
        <f>'BARRACÃO DE OBRA'!E76</f>
        <v/>
      </c>
    </row>
    <row r="4">
      <c r="A4" s="60" t="n"/>
      <c r="B4" s="60" t="inlineStr">
        <is>
          <t>1030-1070-160</t>
        </is>
      </c>
      <c r="C4" s="60" t="inlineStr">
        <is>
          <t>CONSULTORIAS (OBRAS)</t>
        </is>
      </c>
      <c r="D4" s="63">
        <f>'CONSULTORIAS'!$K$5</f>
        <v/>
      </c>
      <c r="E4" s="50">
        <f>SUM(H4:CA4)</f>
        <v/>
      </c>
      <c r="F4" s="50">
        <f>IF(D4="","",D4-E4)</f>
        <v/>
      </c>
      <c r="H4" s="90">
        <f>'CONSULTORIAS'!E5</f>
        <v/>
      </c>
      <c r="I4" s="90">
        <f>'CONSULTORIAS'!E6</f>
        <v/>
      </c>
      <c r="J4" s="90">
        <f>'CONSULTORIAS'!E7</f>
        <v/>
      </c>
      <c r="K4" s="90">
        <f>'CONSULTORIAS'!E8</f>
        <v/>
      </c>
      <c r="L4" s="90">
        <f>'CONSULTORIAS'!E9</f>
        <v/>
      </c>
      <c r="M4" s="90">
        <f>'CONSULTORIAS'!E10</f>
        <v/>
      </c>
      <c r="N4" s="90">
        <f>'CONSULTORIAS'!E11</f>
        <v/>
      </c>
      <c r="O4" s="90">
        <f>'CONSULTORIAS'!E12</f>
        <v/>
      </c>
      <c r="P4" s="90">
        <f>'CONSULTORIAS'!E13</f>
        <v/>
      </c>
      <c r="Q4" s="90">
        <f>'CONSULTORIAS'!E14</f>
        <v/>
      </c>
      <c r="R4" s="90">
        <f>'CONSULTORIAS'!E15</f>
        <v/>
      </c>
      <c r="S4" s="90">
        <f>'CONSULTORIAS'!E16</f>
        <v/>
      </c>
      <c r="T4" s="90">
        <f>'CONSULTORIAS'!E17</f>
        <v/>
      </c>
      <c r="U4" s="90">
        <f>'CONSULTORIAS'!E18</f>
        <v/>
      </c>
      <c r="V4" s="90">
        <f>'CONSULTORIAS'!E19</f>
        <v/>
      </c>
      <c r="W4" s="90">
        <f>'CONSULTORIAS'!E20</f>
        <v/>
      </c>
      <c r="X4" s="90">
        <f>'CONSULTORIAS'!E21</f>
        <v/>
      </c>
      <c r="Y4" s="90">
        <f>'CONSULTORIAS'!E22</f>
        <v/>
      </c>
      <c r="Z4" s="90">
        <f>'CONSULTORIAS'!E23</f>
        <v/>
      </c>
      <c r="AA4" s="90">
        <f>'CONSULTORIAS'!E24</f>
        <v/>
      </c>
      <c r="AB4" s="90">
        <f>'CONSULTORIAS'!E25</f>
        <v/>
      </c>
      <c r="AC4" s="90">
        <f>'CONSULTORIAS'!E26</f>
        <v/>
      </c>
      <c r="AD4" s="90">
        <f>'CONSULTORIAS'!E27</f>
        <v/>
      </c>
      <c r="AE4" s="90">
        <f>'CONSULTORIAS'!E28</f>
        <v/>
      </c>
      <c r="AF4" s="90">
        <f>'CONSULTORIAS'!E29</f>
        <v/>
      </c>
      <c r="AG4" s="90">
        <f>'CONSULTORIAS'!E30</f>
        <v/>
      </c>
      <c r="AH4" s="90">
        <f>'CONSULTORIAS'!E31</f>
        <v/>
      </c>
      <c r="AI4" s="90">
        <f>'CONSULTORIAS'!E32</f>
        <v/>
      </c>
      <c r="AJ4" s="90">
        <f>'CONSULTORIAS'!E33</f>
        <v/>
      </c>
      <c r="AK4" s="90">
        <f>'CONSULTORIAS'!E34</f>
        <v/>
      </c>
      <c r="AL4" s="90">
        <f>'CONSULTORIAS'!E35</f>
        <v/>
      </c>
      <c r="AM4" s="90">
        <f>'CONSULTORIAS'!E36</f>
        <v/>
      </c>
      <c r="AN4" s="90">
        <f>'CONSULTORIAS'!E37</f>
        <v/>
      </c>
      <c r="AO4" s="90">
        <f>'CONSULTORIAS'!E38</f>
        <v/>
      </c>
      <c r="AP4" s="90">
        <f>'CONSULTORIAS'!E39</f>
        <v/>
      </c>
      <c r="AQ4" s="90">
        <f>'CONSULTORIAS'!E40</f>
        <v/>
      </c>
      <c r="AR4" s="90">
        <f>'CONSULTORIAS'!E41</f>
        <v/>
      </c>
      <c r="AS4" s="90">
        <f>'CONSULTORIAS'!E42</f>
        <v/>
      </c>
      <c r="AT4" s="90">
        <f>'CONSULTORIAS'!E43</f>
        <v/>
      </c>
      <c r="AU4" s="90">
        <f>'CONSULTORIAS'!E44</f>
        <v/>
      </c>
      <c r="AV4" s="90">
        <f>'CONSULTORIAS'!E45</f>
        <v/>
      </c>
      <c r="AW4" s="90">
        <f>'CONSULTORIAS'!E46</f>
        <v/>
      </c>
      <c r="AX4" s="90">
        <f>'CONSULTORIAS'!E47</f>
        <v/>
      </c>
      <c r="AY4" s="90">
        <f>'CONSULTORIAS'!E48</f>
        <v/>
      </c>
      <c r="AZ4" s="90">
        <f>'CONSULTORIAS'!E49</f>
        <v/>
      </c>
      <c r="BA4" s="90">
        <f>'CONSULTORIAS'!E50</f>
        <v/>
      </c>
      <c r="BB4" s="90">
        <f>'CONSULTORIAS'!E51</f>
        <v/>
      </c>
      <c r="BC4" s="90">
        <f>'CONSULTORIAS'!E52</f>
        <v/>
      </c>
      <c r="BD4" s="90">
        <f>'CONSULTORIAS'!E53</f>
        <v/>
      </c>
      <c r="BE4" s="90">
        <f>'CONSULTORIAS'!E54</f>
        <v/>
      </c>
      <c r="BF4" s="90">
        <f>'CONSULTORIAS'!E55</f>
        <v/>
      </c>
      <c r="BG4" s="90">
        <f>'CONSULTORIAS'!E56</f>
        <v/>
      </c>
      <c r="BH4" s="90">
        <f>'CONSULTORIAS'!E57</f>
        <v/>
      </c>
      <c r="BI4" s="90">
        <f>'CONSULTORIAS'!E58</f>
        <v/>
      </c>
      <c r="BJ4" s="90">
        <f>'CONSULTORIAS'!E59</f>
        <v/>
      </c>
      <c r="BK4" s="90">
        <f>'CONSULTORIAS'!E60</f>
        <v/>
      </c>
      <c r="BL4" s="90">
        <f>'CONSULTORIAS'!E61</f>
        <v/>
      </c>
      <c r="BM4" s="90">
        <f>'CONSULTORIAS'!E62</f>
        <v/>
      </c>
      <c r="BN4" s="90">
        <f>'CONSULTORIAS'!E63</f>
        <v/>
      </c>
      <c r="BO4" s="90">
        <f>'CONSULTORIAS'!E64</f>
        <v/>
      </c>
      <c r="BP4" s="90">
        <f>'CONSULTORIAS'!E65</f>
        <v/>
      </c>
      <c r="BQ4" s="90">
        <f>'CONSULTORIAS'!E66</f>
        <v/>
      </c>
      <c r="BR4" s="90">
        <f>'CONSULTORIAS'!E67</f>
        <v/>
      </c>
      <c r="BS4" s="90">
        <f>'CONSULTORIAS'!E68</f>
        <v/>
      </c>
      <c r="BT4" s="90">
        <f>'CONSULTORIAS'!E69</f>
        <v/>
      </c>
      <c r="BU4" s="90">
        <f>'CONSULTORIAS'!E70</f>
        <v/>
      </c>
      <c r="BV4" s="90">
        <f>'CONSULTORIAS'!E71</f>
        <v/>
      </c>
      <c r="BW4" s="90">
        <f>'CONSULTORIAS'!E72</f>
        <v/>
      </c>
      <c r="BX4" s="90">
        <f>'CONSULTORIAS'!E73</f>
        <v/>
      </c>
      <c r="BY4" s="90">
        <f>'CONSULTORIAS'!E74</f>
        <v/>
      </c>
      <c r="BZ4" s="90">
        <f>'CONSULTORIAS'!E75</f>
        <v/>
      </c>
      <c r="CA4" s="90">
        <f>'CONSULTORIAS'!E76</f>
        <v/>
      </c>
    </row>
    <row r="5">
      <c r="A5" s="60" t="n"/>
      <c r="B5" s="60" t="inlineStr">
        <is>
          <t>1030-1070-170</t>
        </is>
      </c>
      <c r="C5" s="60" t="inlineStr">
        <is>
          <t>CONSUMO DE ÁGUA, ENERGIA, ETC.</t>
        </is>
      </c>
      <c r="D5" s="63">
        <f>'CONSUMOS'!$K$5</f>
        <v/>
      </c>
      <c r="E5" s="50">
        <f>SUM(H5:CA5)</f>
        <v/>
      </c>
      <c r="F5" s="50">
        <f>IF(D5="","",D5-E5)</f>
        <v/>
      </c>
      <c r="H5" s="90">
        <f>'CONSUMOS'!E5</f>
        <v/>
      </c>
      <c r="I5" s="90">
        <f>'CONSUMOS'!E6</f>
        <v/>
      </c>
      <c r="J5" s="90">
        <f>'CONSUMOS'!E7</f>
        <v/>
      </c>
      <c r="K5" s="90">
        <f>'CONSUMOS'!E8</f>
        <v/>
      </c>
      <c r="L5" s="90">
        <f>'CONSUMOS'!E9</f>
        <v/>
      </c>
      <c r="M5" s="90">
        <f>'CONSUMOS'!E10</f>
        <v/>
      </c>
      <c r="N5" s="90">
        <f>'CONSUMOS'!E11</f>
        <v/>
      </c>
      <c r="O5" s="90">
        <f>'CONSUMOS'!E12</f>
        <v/>
      </c>
      <c r="P5" s="90">
        <f>'CONSUMOS'!E13</f>
        <v/>
      </c>
      <c r="Q5" s="90">
        <f>'CONSUMOS'!E14</f>
        <v/>
      </c>
      <c r="R5" s="90">
        <f>'CONSUMOS'!E15</f>
        <v/>
      </c>
      <c r="S5" s="90">
        <f>'CONSUMOS'!E16</f>
        <v/>
      </c>
      <c r="T5" s="90">
        <f>'CONSUMOS'!E17</f>
        <v/>
      </c>
      <c r="U5" s="90">
        <f>'CONSUMOS'!E18</f>
        <v/>
      </c>
      <c r="V5" s="90">
        <f>'CONSUMOS'!E19</f>
        <v/>
      </c>
      <c r="W5" s="90">
        <f>'CONSUMOS'!E20</f>
        <v/>
      </c>
      <c r="X5" s="90">
        <f>'CONSUMOS'!E21</f>
        <v/>
      </c>
      <c r="Y5" s="90">
        <f>'CONSUMOS'!E22</f>
        <v/>
      </c>
      <c r="Z5" s="90">
        <f>'CONSUMOS'!E23</f>
        <v/>
      </c>
      <c r="AA5" s="90">
        <f>'CONSUMOS'!E24</f>
        <v/>
      </c>
      <c r="AB5" s="90">
        <f>'CONSUMOS'!E25</f>
        <v/>
      </c>
      <c r="AC5" s="90">
        <f>'CONSUMOS'!E26</f>
        <v/>
      </c>
      <c r="AD5" s="90">
        <f>'CONSUMOS'!E27</f>
        <v/>
      </c>
      <c r="AE5" s="90">
        <f>'CONSUMOS'!E28</f>
        <v/>
      </c>
      <c r="AF5" s="90">
        <f>'CONSUMOS'!E29</f>
        <v/>
      </c>
      <c r="AG5" s="90">
        <f>'CONSUMOS'!E30</f>
        <v/>
      </c>
      <c r="AH5" s="90">
        <f>'CONSUMOS'!E31</f>
        <v/>
      </c>
      <c r="AI5" s="90">
        <f>'CONSUMOS'!E32</f>
        <v/>
      </c>
      <c r="AJ5" s="90">
        <f>'CONSUMOS'!E33</f>
        <v/>
      </c>
      <c r="AK5" s="90">
        <f>'CONSUMOS'!E34</f>
        <v/>
      </c>
      <c r="AL5" s="90">
        <f>'CONSUMOS'!E35</f>
        <v/>
      </c>
      <c r="AM5" s="90">
        <f>'CONSUMOS'!E36</f>
        <v/>
      </c>
      <c r="AN5" s="90">
        <f>'CONSUMOS'!E37</f>
        <v/>
      </c>
      <c r="AO5" s="90">
        <f>'CONSUMOS'!E38</f>
        <v/>
      </c>
      <c r="AP5" s="90">
        <f>'CONSUMOS'!E39</f>
        <v/>
      </c>
      <c r="AQ5" s="90">
        <f>'CONSUMOS'!E40</f>
        <v/>
      </c>
      <c r="AR5" s="90">
        <f>'CONSUMOS'!E41</f>
        <v/>
      </c>
      <c r="AS5" s="90">
        <f>'CONSUMOS'!E42</f>
        <v/>
      </c>
      <c r="AT5" s="90">
        <f>'CONSUMOS'!E43</f>
        <v/>
      </c>
      <c r="AU5" s="90">
        <f>'CONSUMOS'!E44</f>
        <v/>
      </c>
      <c r="AV5" s="90">
        <f>'CONSUMOS'!E45</f>
        <v/>
      </c>
      <c r="AW5" s="90">
        <f>'CONSUMOS'!E46</f>
        <v/>
      </c>
      <c r="AX5" s="90">
        <f>'CONSUMOS'!E47</f>
        <v/>
      </c>
      <c r="AY5" s="90">
        <f>'CONSUMOS'!E48</f>
        <v/>
      </c>
      <c r="AZ5" s="90">
        <f>'CONSUMOS'!E49</f>
        <v/>
      </c>
      <c r="BA5" s="90">
        <f>'CONSUMOS'!E50</f>
        <v/>
      </c>
      <c r="BB5" s="90">
        <f>'CONSUMOS'!E51</f>
        <v/>
      </c>
      <c r="BC5" s="90">
        <f>'CONSUMOS'!E52</f>
        <v/>
      </c>
      <c r="BD5" s="90">
        <f>'CONSUMOS'!E53</f>
        <v/>
      </c>
      <c r="BE5" s="90">
        <f>'CONSUMOS'!E54</f>
        <v/>
      </c>
      <c r="BF5" s="90">
        <f>'CONSUMOS'!E55</f>
        <v/>
      </c>
      <c r="BG5" s="90">
        <f>'CONSUMOS'!E56</f>
        <v/>
      </c>
      <c r="BH5" s="90">
        <f>'CONSUMOS'!E57</f>
        <v/>
      </c>
      <c r="BI5" s="90">
        <f>'CONSUMOS'!E58</f>
        <v/>
      </c>
      <c r="BJ5" s="90">
        <f>'CONSUMOS'!E59</f>
        <v/>
      </c>
      <c r="BK5" s="90">
        <f>'CONSUMOS'!E60</f>
        <v/>
      </c>
      <c r="BL5" s="90">
        <f>'CONSUMOS'!E61</f>
        <v/>
      </c>
      <c r="BM5" s="90">
        <f>'CONSUMOS'!E62</f>
        <v/>
      </c>
      <c r="BN5" s="90">
        <f>'CONSUMOS'!E63</f>
        <v/>
      </c>
      <c r="BO5" s="90">
        <f>'CONSUMOS'!E64</f>
        <v/>
      </c>
      <c r="BP5" s="90">
        <f>'CONSUMOS'!E65</f>
        <v/>
      </c>
      <c r="BQ5" s="90">
        <f>'CONSUMOS'!E66</f>
        <v/>
      </c>
      <c r="BR5" s="90">
        <f>'CONSUMOS'!E67</f>
        <v/>
      </c>
      <c r="BS5" s="90">
        <f>'CONSUMOS'!E68</f>
        <v/>
      </c>
      <c r="BT5" s="90">
        <f>'CONSUMOS'!E69</f>
        <v/>
      </c>
      <c r="BU5" s="90">
        <f>'CONSUMOS'!E70</f>
        <v/>
      </c>
      <c r="BV5" s="90">
        <f>'CONSUMOS'!E71</f>
        <v/>
      </c>
      <c r="BW5" s="90">
        <f>'CONSUMOS'!E72</f>
        <v/>
      </c>
      <c r="BX5" s="90">
        <f>'CONSUMOS'!E73</f>
        <v/>
      </c>
      <c r="BY5" s="90">
        <f>'CONSUMOS'!E74</f>
        <v/>
      </c>
      <c r="BZ5" s="90">
        <f>'CONSUMOS'!E75</f>
        <v/>
      </c>
      <c r="CA5" s="90">
        <f>'CONSUMOS'!E76</f>
        <v/>
      </c>
    </row>
    <row r="6">
      <c r="A6" s="60" t="n"/>
      <c r="B6" s="60" t="inlineStr">
        <is>
          <t>1030-1070-190</t>
        </is>
      </c>
      <c r="C6" s="60" t="inlineStr">
        <is>
          <t>CONTENÇÃO</t>
        </is>
      </c>
      <c r="D6" s="63">
        <f>'CONTENÇÃO'!$K$5</f>
        <v/>
      </c>
      <c r="E6" s="50">
        <f>SUM(H6:CA6)</f>
        <v/>
      </c>
      <c r="F6" s="50">
        <f>IF(D6="","",D6-E6)</f>
        <v/>
      </c>
      <c r="H6" s="90">
        <f>'CONTENÇÃO'!E5</f>
        <v/>
      </c>
      <c r="I6" s="90">
        <f>'CONTENÇÃO'!E6</f>
        <v/>
      </c>
      <c r="J6" s="90">
        <f>'CONTENÇÃO'!E7</f>
        <v/>
      </c>
      <c r="K6" s="90">
        <f>'CONTENÇÃO'!E8</f>
        <v/>
      </c>
      <c r="L6" s="90">
        <f>'CONTENÇÃO'!E9</f>
        <v/>
      </c>
      <c r="M6" s="90">
        <f>'CONTENÇÃO'!E10</f>
        <v/>
      </c>
      <c r="N6" s="90">
        <f>'CONTENÇÃO'!E11</f>
        <v/>
      </c>
      <c r="O6" s="90">
        <f>'CONTENÇÃO'!E12</f>
        <v/>
      </c>
      <c r="P6" s="90">
        <f>'CONTENÇÃO'!E13</f>
        <v/>
      </c>
      <c r="Q6" s="90">
        <f>'CONTENÇÃO'!E14</f>
        <v/>
      </c>
      <c r="R6" s="90">
        <f>'CONTENÇÃO'!E15</f>
        <v/>
      </c>
      <c r="S6" s="90">
        <f>'CONTENÇÃO'!E16</f>
        <v/>
      </c>
      <c r="T6" s="90">
        <f>'CONTENÇÃO'!E17</f>
        <v/>
      </c>
      <c r="U6" s="90">
        <f>'CONTENÇÃO'!E18</f>
        <v/>
      </c>
      <c r="V6" s="90">
        <f>'CONTENÇÃO'!E19</f>
        <v/>
      </c>
      <c r="W6" s="90">
        <f>'CONTENÇÃO'!E20</f>
        <v/>
      </c>
      <c r="X6" s="90">
        <f>'CONTENÇÃO'!E21</f>
        <v/>
      </c>
      <c r="Y6" s="90">
        <f>'CONTENÇÃO'!E22</f>
        <v/>
      </c>
      <c r="Z6" s="90">
        <f>'CONTENÇÃO'!E23</f>
        <v/>
      </c>
      <c r="AA6" s="90">
        <f>'CONTENÇÃO'!E24</f>
        <v/>
      </c>
      <c r="AB6" s="90">
        <f>'CONTENÇÃO'!E25</f>
        <v/>
      </c>
      <c r="AC6" s="90">
        <f>'CONTENÇÃO'!E26</f>
        <v/>
      </c>
      <c r="AD6" s="90">
        <f>'CONTENÇÃO'!E27</f>
        <v/>
      </c>
      <c r="AE6" s="90">
        <f>'CONTENÇÃO'!E28</f>
        <v/>
      </c>
      <c r="AF6" s="90">
        <f>'CONTENÇÃO'!E29</f>
        <v/>
      </c>
      <c r="AG6" s="90">
        <f>'CONTENÇÃO'!E30</f>
        <v/>
      </c>
      <c r="AH6" s="90">
        <f>'CONTENÇÃO'!E31</f>
        <v/>
      </c>
      <c r="AI6" s="90">
        <f>'CONTENÇÃO'!E32</f>
        <v/>
      </c>
      <c r="AJ6" s="90">
        <f>'CONTENÇÃO'!E33</f>
        <v/>
      </c>
      <c r="AK6" s="90">
        <f>'CONTENÇÃO'!E34</f>
        <v/>
      </c>
      <c r="AL6" s="90">
        <f>'CONTENÇÃO'!E35</f>
        <v/>
      </c>
      <c r="AM6" s="90">
        <f>'CONTENÇÃO'!E36</f>
        <v/>
      </c>
      <c r="AN6" s="90">
        <f>'CONTENÇÃO'!E37</f>
        <v/>
      </c>
      <c r="AO6" s="90">
        <f>'CONTENÇÃO'!E38</f>
        <v/>
      </c>
      <c r="AP6" s="90">
        <f>'CONTENÇÃO'!E39</f>
        <v/>
      </c>
      <c r="AQ6" s="90">
        <f>'CONTENÇÃO'!E40</f>
        <v/>
      </c>
      <c r="AR6" s="90">
        <f>'CONTENÇÃO'!E41</f>
        <v/>
      </c>
      <c r="AS6" s="90">
        <f>'CONTENÇÃO'!E42</f>
        <v/>
      </c>
      <c r="AT6" s="90">
        <f>'CONTENÇÃO'!E43</f>
        <v/>
      </c>
      <c r="AU6" s="90">
        <f>'CONTENÇÃO'!E44</f>
        <v/>
      </c>
      <c r="AV6" s="90">
        <f>'CONTENÇÃO'!E45</f>
        <v/>
      </c>
      <c r="AW6" s="90">
        <f>'CONTENÇÃO'!E46</f>
        <v/>
      </c>
      <c r="AX6" s="90">
        <f>'CONTENÇÃO'!E47</f>
        <v/>
      </c>
      <c r="AY6" s="90">
        <f>'CONTENÇÃO'!E48</f>
        <v/>
      </c>
      <c r="AZ6" s="90">
        <f>'CONTENÇÃO'!E49</f>
        <v/>
      </c>
      <c r="BA6" s="90">
        <f>'CONTENÇÃO'!E50</f>
        <v/>
      </c>
      <c r="BB6" s="90">
        <f>'CONTENÇÃO'!E51</f>
        <v/>
      </c>
      <c r="BC6" s="90">
        <f>'CONTENÇÃO'!E52</f>
        <v/>
      </c>
      <c r="BD6" s="90">
        <f>'CONTENÇÃO'!E53</f>
        <v/>
      </c>
      <c r="BE6" s="90">
        <f>'CONTENÇÃO'!E54</f>
        <v/>
      </c>
      <c r="BF6" s="90">
        <f>'CONTENÇÃO'!E55</f>
        <v/>
      </c>
      <c r="BG6" s="90">
        <f>'CONTENÇÃO'!E56</f>
        <v/>
      </c>
      <c r="BH6" s="90">
        <f>'CONTENÇÃO'!E57</f>
        <v/>
      </c>
      <c r="BI6" s="90">
        <f>'CONTENÇÃO'!E58</f>
        <v/>
      </c>
      <c r="BJ6" s="90">
        <f>'CONTENÇÃO'!E59</f>
        <v/>
      </c>
      <c r="BK6" s="90">
        <f>'CONTENÇÃO'!E60</f>
        <v/>
      </c>
      <c r="BL6" s="90">
        <f>'CONTENÇÃO'!E61</f>
        <v/>
      </c>
      <c r="BM6" s="90">
        <f>'CONTENÇÃO'!E62</f>
        <v/>
      </c>
      <c r="BN6" s="90">
        <f>'CONTENÇÃO'!E63</f>
        <v/>
      </c>
      <c r="BO6" s="90">
        <f>'CONTENÇÃO'!E64</f>
        <v/>
      </c>
      <c r="BP6" s="90">
        <f>'CONTENÇÃO'!E65</f>
        <v/>
      </c>
      <c r="BQ6" s="90">
        <f>'CONTENÇÃO'!E66</f>
        <v/>
      </c>
      <c r="BR6" s="90">
        <f>'CONTENÇÃO'!E67</f>
        <v/>
      </c>
      <c r="BS6" s="90">
        <f>'CONTENÇÃO'!E68</f>
        <v/>
      </c>
      <c r="BT6" s="90">
        <f>'CONTENÇÃO'!E69</f>
        <v/>
      </c>
      <c r="BU6" s="90">
        <f>'CONTENÇÃO'!E70</f>
        <v/>
      </c>
      <c r="BV6" s="90">
        <f>'CONTENÇÃO'!E71</f>
        <v/>
      </c>
      <c r="BW6" s="90">
        <f>'CONTENÇÃO'!E72</f>
        <v/>
      </c>
      <c r="BX6" s="90">
        <f>'CONTENÇÃO'!E73</f>
        <v/>
      </c>
      <c r="BY6" s="90">
        <f>'CONTENÇÃO'!E74</f>
        <v/>
      </c>
      <c r="BZ6" s="90">
        <f>'CONTENÇÃO'!E75</f>
        <v/>
      </c>
      <c r="CA6" s="90">
        <f>'CONTENÇÃO'!E76</f>
        <v/>
      </c>
    </row>
    <row r="7">
      <c r="A7" s="60" t="n"/>
      <c r="B7" s="60" t="inlineStr">
        <is>
          <t>1030-1070-510</t>
        </is>
      </c>
      <c r="C7" s="60" t="inlineStr">
        <is>
          <t>DEMOLIÇÃO</t>
        </is>
      </c>
      <c r="E7" s="50">
        <f>SUM(H7:CA7)</f>
        <v/>
      </c>
      <c r="F7" s="50">
        <f>IF(D7="","",D7-E7)</f>
        <v/>
      </c>
    </row>
    <row r="8">
      <c r="A8" s="60" t="n"/>
      <c r="B8" s="60" t="inlineStr">
        <is>
          <t>1030-1070-550</t>
        </is>
      </c>
      <c r="C8" s="60" t="inlineStr">
        <is>
          <t>DEVOLUÇÃO DE CAIXA DE OBRA</t>
        </is>
      </c>
      <c r="E8" s="50">
        <f>SUM(H8:CA8)</f>
        <v/>
      </c>
      <c r="F8" s="50">
        <f>IF(D8="","",D8-E8)</f>
        <v/>
      </c>
    </row>
    <row r="9">
      <c r="A9" s="60" t="n"/>
      <c r="B9" s="60" t="inlineStr">
        <is>
          <t>1030-1070-560</t>
        </is>
      </c>
      <c r="C9" s="60" t="inlineStr">
        <is>
          <t>DIVERSOS</t>
        </is>
      </c>
      <c r="D9" s="63">
        <f>'DIVERSOS'!$K$5</f>
        <v/>
      </c>
      <c r="E9" s="50">
        <f>SUM(H9:CA9)</f>
        <v/>
      </c>
      <c r="F9" s="50">
        <f>IF(D9="","",D9-E9)</f>
        <v/>
      </c>
      <c r="H9" s="90">
        <f>'DIVERSOS'!E5</f>
        <v/>
      </c>
      <c r="I9" s="90">
        <f>'DIVERSOS'!E6</f>
        <v/>
      </c>
      <c r="J9" s="90">
        <f>'DIVERSOS'!E7</f>
        <v/>
      </c>
      <c r="K9" s="90">
        <f>'DIVERSOS'!E8</f>
        <v/>
      </c>
      <c r="L9" s="90">
        <f>'DIVERSOS'!E9</f>
        <v/>
      </c>
      <c r="M9" s="90">
        <f>'DIVERSOS'!E10</f>
        <v/>
      </c>
      <c r="N9" s="90">
        <f>'DIVERSOS'!E11</f>
        <v/>
      </c>
      <c r="O9" s="90">
        <f>'DIVERSOS'!E12</f>
        <v/>
      </c>
      <c r="P9" s="90">
        <f>'DIVERSOS'!E13</f>
        <v/>
      </c>
      <c r="Q9" s="90">
        <f>'DIVERSOS'!E14</f>
        <v/>
      </c>
      <c r="R9" s="90">
        <f>'DIVERSOS'!E15</f>
        <v/>
      </c>
      <c r="S9" s="90">
        <f>'DIVERSOS'!E16</f>
        <v/>
      </c>
      <c r="T9" s="90">
        <f>'DIVERSOS'!E17</f>
        <v/>
      </c>
      <c r="U9" s="90">
        <f>'DIVERSOS'!E18</f>
        <v/>
      </c>
      <c r="V9" s="90">
        <f>'DIVERSOS'!E19</f>
        <v/>
      </c>
      <c r="W9" s="90">
        <f>'DIVERSOS'!E20</f>
        <v/>
      </c>
      <c r="X9" s="90">
        <f>'DIVERSOS'!E21</f>
        <v/>
      </c>
      <c r="Y9" s="90">
        <f>'DIVERSOS'!E22</f>
        <v/>
      </c>
      <c r="Z9" s="90">
        <f>'DIVERSOS'!E23</f>
        <v/>
      </c>
      <c r="AA9" s="90">
        <f>'DIVERSOS'!E24</f>
        <v/>
      </c>
      <c r="AB9" s="90">
        <f>'DIVERSOS'!E25</f>
        <v/>
      </c>
      <c r="AC9" s="90">
        <f>'DIVERSOS'!E26</f>
        <v/>
      </c>
      <c r="AD9" s="90">
        <f>'DIVERSOS'!E27</f>
        <v/>
      </c>
      <c r="AE9" s="90">
        <f>'DIVERSOS'!E28</f>
        <v/>
      </c>
      <c r="AF9" s="90">
        <f>'DIVERSOS'!E29</f>
        <v/>
      </c>
      <c r="AG9" s="90">
        <f>'DIVERSOS'!E30</f>
        <v/>
      </c>
      <c r="AH9" s="90">
        <f>'DIVERSOS'!E31</f>
        <v/>
      </c>
      <c r="AI9" s="90">
        <f>'DIVERSOS'!E32</f>
        <v/>
      </c>
      <c r="AJ9" s="90">
        <f>'DIVERSOS'!E33</f>
        <v/>
      </c>
      <c r="AK9" s="90">
        <f>'DIVERSOS'!E34</f>
        <v/>
      </c>
      <c r="AL9" s="90">
        <f>'DIVERSOS'!E35</f>
        <v/>
      </c>
      <c r="AM9" s="90">
        <f>'DIVERSOS'!E36</f>
        <v/>
      </c>
      <c r="AN9" s="90">
        <f>'DIVERSOS'!E37</f>
        <v/>
      </c>
      <c r="AO9" s="90">
        <f>'DIVERSOS'!E38</f>
        <v/>
      </c>
      <c r="AP9" s="90">
        <f>'DIVERSOS'!E39</f>
        <v/>
      </c>
      <c r="AQ9" s="90">
        <f>'DIVERSOS'!E40</f>
        <v/>
      </c>
      <c r="AR9" s="90">
        <f>'DIVERSOS'!E41</f>
        <v/>
      </c>
      <c r="AS9" s="90">
        <f>'DIVERSOS'!E42</f>
        <v/>
      </c>
      <c r="AT9" s="90">
        <f>'DIVERSOS'!E43</f>
        <v/>
      </c>
      <c r="AU9" s="90">
        <f>'DIVERSOS'!E44</f>
        <v/>
      </c>
      <c r="AV9" s="90">
        <f>'DIVERSOS'!E45</f>
        <v/>
      </c>
      <c r="AW9" s="90">
        <f>'DIVERSOS'!E46</f>
        <v/>
      </c>
      <c r="AX9" s="90">
        <f>'DIVERSOS'!E47</f>
        <v/>
      </c>
      <c r="AY9" s="90">
        <f>'DIVERSOS'!E48</f>
        <v/>
      </c>
      <c r="AZ9" s="90">
        <f>'DIVERSOS'!E49</f>
        <v/>
      </c>
      <c r="BA9" s="90">
        <f>'DIVERSOS'!E50</f>
        <v/>
      </c>
      <c r="BB9" s="90">
        <f>'DIVERSOS'!E51</f>
        <v/>
      </c>
      <c r="BC9" s="90">
        <f>'DIVERSOS'!E52</f>
        <v/>
      </c>
      <c r="BD9" s="90">
        <f>'DIVERSOS'!E53</f>
        <v/>
      </c>
      <c r="BE9" s="90">
        <f>'DIVERSOS'!E54</f>
        <v/>
      </c>
      <c r="BF9" s="90">
        <f>'DIVERSOS'!E55</f>
        <v/>
      </c>
      <c r="BG9" s="90">
        <f>'DIVERSOS'!E56</f>
        <v/>
      </c>
      <c r="BH9" s="90">
        <f>'DIVERSOS'!E57</f>
        <v/>
      </c>
      <c r="BI9" s="90">
        <f>'DIVERSOS'!E58</f>
        <v/>
      </c>
      <c r="BJ9" s="90">
        <f>'DIVERSOS'!E59</f>
        <v/>
      </c>
      <c r="BK9" s="90">
        <f>'DIVERSOS'!E60</f>
        <v/>
      </c>
      <c r="BL9" s="90">
        <f>'DIVERSOS'!E61</f>
        <v/>
      </c>
      <c r="BM9" s="90">
        <f>'DIVERSOS'!E62</f>
        <v/>
      </c>
      <c r="BN9" s="90">
        <f>'DIVERSOS'!E63</f>
        <v/>
      </c>
      <c r="BO9" s="90">
        <f>'DIVERSOS'!E64</f>
        <v/>
      </c>
      <c r="BP9" s="90">
        <f>'DIVERSOS'!E65</f>
        <v/>
      </c>
      <c r="BQ9" s="90">
        <f>'DIVERSOS'!E66</f>
        <v/>
      </c>
      <c r="BR9" s="90">
        <f>'DIVERSOS'!E67</f>
        <v/>
      </c>
      <c r="BS9" s="90">
        <f>'DIVERSOS'!E68</f>
        <v/>
      </c>
      <c r="BT9" s="90">
        <f>'DIVERSOS'!E69</f>
        <v/>
      </c>
      <c r="BU9" s="90">
        <f>'DIVERSOS'!E70</f>
        <v/>
      </c>
      <c r="BV9" s="90">
        <f>'DIVERSOS'!E71</f>
        <v/>
      </c>
      <c r="BW9" s="90">
        <f>'DIVERSOS'!E72</f>
        <v/>
      </c>
      <c r="BX9" s="90">
        <f>'DIVERSOS'!E73</f>
        <v/>
      </c>
      <c r="BY9" s="90">
        <f>'DIVERSOS'!E74</f>
        <v/>
      </c>
      <c r="BZ9" s="90">
        <f>'DIVERSOS'!E75</f>
        <v/>
      </c>
      <c r="CA9" s="90">
        <f>'DIVERSOS'!E76</f>
        <v/>
      </c>
    </row>
    <row r="10">
      <c r="A10" s="60" t="n"/>
      <c r="B10" s="60" t="inlineStr">
        <is>
          <t>1030-1070-400</t>
        </is>
      </c>
      <c r="C10" s="60" t="inlineStr">
        <is>
          <t xml:space="preserve">ELEVADORES </t>
        </is>
      </c>
      <c r="D10" s="63">
        <f>'ELEVADORES '!$K$5</f>
        <v/>
      </c>
      <c r="E10" s="50">
        <f>SUM(H10:CA10)</f>
        <v/>
      </c>
      <c r="F10" s="50">
        <f>IF(D10="","",D10-E10)</f>
        <v/>
      </c>
      <c r="H10" s="90">
        <f>'ELEVADORES '!E5</f>
        <v/>
      </c>
      <c r="I10" s="90">
        <f>'ELEVADORES '!E6</f>
        <v/>
      </c>
      <c r="J10" s="90">
        <f>'ELEVADORES '!E7</f>
        <v/>
      </c>
      <c r="K10" s="90">
        <f>'ELEVADORES '!E8</f>
        <v/>
      </c>
      <c r="L10" s="90">
        <f>'ELEVADORES '!E9</f>
        <v/>
      </c>
      <c r="M10" s="90">
        <f>'ELEVADORES '!E10</f>
        <v/>
      </c>
      <c r="N10" s="90">
        <f>'ELEVADORES '!E11</f>
        <v/>
      </c>
      <c r="O10" s="90">
        <f>'ELEVADORES '!E12</f>
        <v/>
      </c>
      <c r="P10" s="90">
        <f>'ELEVADORES '!E13</f>
        <v/>
      </c>
      <c r="Q10" s="90">
        <f>'ELEVADORES '!E14</f>
        <v/>
      </c>
      <c r="R10" s="90">
        <f>'ELEVADORES '!E15</f>
        <v/>
      </c>
      <c r="S10" s="90">
        <f>'ELEVADORES '!E16</f>
        <v/>
      </c>
      <c r="T10" s="90">
        <f>'ELEVADORES '!E17</f>
        <v/>
      </c>
      <c r="U10" s="90">
        <f>'ELEVADORES '!E18</f>
        <v/>
      </c>
      <c r="V10" s="90">
        <f>'ELEVADORES '!E19</f>
        <v/>
      </c>
      <c r="W10" s="90">
        <f>'ELEVADORES '!E20</f>
        <v/>
      </c>
      <c r="X10" s="90">
        <f>'ELEVADORES '!E21</f>
        <v/>
      </c>
      <c r="Y10" s="90">
        <f>'ELEVADORES '!E22</f>
        <v/>
      </c>
      <c r="Z10" s="90">
        <f>'ELEVADORES '!E23</f>
        <v/>
      </c>
      <c r="AA10" s="90">
        <f>'ELEVADORES '!E24</f>
        <v/>
      </c>
      <c r="AB10" s="90">
        <f>'ELEVADORES '!E25</f>
        <v/>
      </c>
      <c r="AC10" s="90">
        <f>'ELEVADORES '!E26</f>
        <v/>
      </c>
      <c r="AD10" s="90">
        <f>'ELEVADORES '!E27</f>
        <v/>
      </c>
      <c r="AE10" s="90">
        <f>'ELEVADORES '!E28</f>
        <v/>
      </c>
      <c r="AF10" s="90">
        <f>'ELEVADORES '!E29</f>
        <v/>
      </c>
      <c r="AG10" s="90">
        <f>'ELEVADORES '!E30</f>
        <v/>
      </c>
      <c r="AH10" s="90">
        <f>'ELEVADORES '!E31</f>
        <v/>
      </c>
      <c r="AI10" s="90">
        <f>'ELEVADORES '!E32</f>
        <v/>
      </c>
      <c r="AJ10" s="90">
        <f>'ELEVADORES '!E33</f>
        <v/>
      </c>
      <c r="AK10" s="90">
        <f>'ELEVADORES '!E34</f>
        <v/>
      </c>
      <c r="AL10" s="90">
        <f>'ELEVADORES '!E35</f>
        <v/>
      </c>
      <c r="AM10" s="90">
        <f>'ELEVADORES '!E36</f>
        <v/>
      </c>
      <c r="AN10" s="90">
        <f>'ELEVADORES '!E37</f>
        <v/>
      </c>
      <c r="AO10" s="90">
        <f>'ELEVADORES '!E38</f>
        <v/>
      </c>
      <c r="AP10" s="90">
        <f>'ELEVADORES '!E39</f>
        <v/>
      </c>
      <c r="AQ10" s="90">
        <f>'ELEVADORES '!E40</f>
        <v/>
      </c>
      <c r="AR10" s="90">
        <f>'ELEVADORES '!E41</f>
        <v/>
      </c>
      <c r="AS10" s="90">
        <f>'ELEVADORES '!E42</f>
        <v/>
      </c>
      <c r="AT10" s="90">
        <f>'ELEVADORES '!E43</f>
        <v/>
      </c>
      <c r="AU10" s="90">
        <f>'ELEVADORES '!E44</f>
        <v/>
      </c>
      <c r="AV10" s="90">
        <f>'ELEVADORES '!E45</f>
        <v/>
      </c>
      <c r="AW10" s="90">
        <f>'ELEVADORES '!E46</f>
        <v/>
      </c>
      <c r="AX10" s="90">
        <f>'ELEVADORES '!E47</f>
        <v/>
      </c>
      <c r="AY10" s="90">
        <f>'ELEVADORES '!E48</f>
        <v/>
      </c>
      <c r="AZ10" s="90">
        <f>'ELEVADORES '!E49</f>
        <v/>
      </c>
      <c r="BA10" s="90">
        <f>'ELEVADORES '!E50</f>
        <v/>
      </c>
      <c r="BB10" s="90">
        <f>'ELEVADORES '!E51</f>
        <v/>
      </c>
      <c r="BC10" s="90">
        <f>'ELEVADORES '!E52</f>
        <v/>
      </c>
      <c r="BD10" s="90">
        <f>'ELEVADORES '!E53</f>
        <v/>
      </c>
      <c r="BE10" s="90">
        <f>'ELEVADORES '!E54</f>
        <v/>
      </c>
      <c r="BF10" s="90">
        <f>'ELEVADORES '!E55</f>
        <v/>
      </c>
      <c r="BG10" s="90">
        <f>'ELEVADORES '!E56</f>
        <v/>
      </c>
      <c r="BH10" s="90">
        <f>'ELEVADORES '!E57</f>
        <v/>
      </c>
      <c r="BI10" s="90">
        <f>'ELEVADORES '!E58</f>
        <v/>
      </c>
      <c r="BJ10" s="90">
        <f>'ELEVADORES '!E59</f>
        <v/>
      </c>
      <c r="BK10" s="90">
        <f>'ELEVADORES '!E60</f>
        <v/>
      </c>
      <c r="BL10" s="90">
        <f>'ELEVADORES '!E61</f>
        <v/>
      </c>
      <c r="BM10" s="90">
        <f>'ELEVADORES '!E62</f>
        <v/>
      </c>
      <c r="BN10" s="90">
        <f>'ELEVADORES '!E63</f>
        <v/>
      </c>
      <c r="BO10" s="90">
        <f>'ELEVADORES '!E64</f>
        <v/>
      </c>
      <c r="BP10" s="90">
        <f>'ELEVADORES '!E65</f>
        <v/>
      </c>
      <c r="BQ10" s="90">
        <f>'ELEVADORES '!E66</f>
        <v/>
      </c>
      <c r="BR10" s="90">
        <f>'ELEVADORES '!E67</f>
        <v/>
      </c>
      <c r="BS10" s="90">
        <f>'ELEVADORES '!E68</f>
        <v/>
      </c>
      <c r="BT10" s="90">
        <f>'ELEVADORES '!E69</f>
        <v/>
      </c>
      <c r="BU10" s="90">
        <f>'ELEVADORES '!E70</f>
        <v/>
      </c>
      <c r="BV10" s="90">
        <f>'ELEVADORES '!E71</f>
        <v/>
      </c>
      <c r="BW10" s="90">
        <f>'ELEVADORES '!E72</f>
        <v/>
      </c>
      <c r="BX10" s="90">
        <f>'ELEVADORES '!E73</f>
        <v/>
      </c>
      <c r="BY10" s="90">
        <f>'ELEVADORES '!E74</f>
        <v/>
      </c>
      <c r="BZ10" s="90">
        <f>'ELEVADORES '!E75</f>
        <v/>
      </c>
      <c r="CA10" s="90">
        <f>'ELEVADORES '!E76</f>
        <v/>
      </c>
    </row>
    <row r="11">
      <c r="A11" s="60" t="n"/>
      <c r="B11" s="60" t="inlineStr">
        <is>
          <t>1030-1070-450</t>
        </is>
      </c>
      <c r="C11" s="60" t="inlineStr">
        <is>
          <t>EQUIPAMENTOS E FERRAMENTAS</t>
        </is>
      </c>
      <c r="D11" s="63">
        <f>'EQUIP E FER'!$K$5</f>
        <v/>
      </c>
      <c r="E11" s="50">
        <f>SUM(H11:CA11)</f>
        <v/>
      </c>
      <c r="F11" s="50">
        <f>IF(D11="","",D11-E11)</f>
        <v/>
      </c>
      <c r="H11" s="90">
        <f>'EQUIP E FER'!E5</f>
        <v/>
      </c>
      <c r="I11" s="90">
        <f>'EQUIP E FER'!E6</f>
        <v/>
      </c>
      <c r="J11" s="90">
        <f>'EQUIP E FER'!E7</f>
        <v/>
      </c>
      <c r="K11" s="90">
        <f>'EQUIP E FER'!E8</f>
        <v/>
      </c>
      <c r="L11" s="90">
        <f>'EQUIP E FER'!E9</f>
        <v/>
      </c>
      <c r="M11" s="90">
        <f>'EQUIP E FER'!E10</f>
        <v/>
      </c>
      <c r="N11" s="90">
        <f>'EQUIP E FER'!E11</f>
        <v/>
      </c>
      <c r="O11" s="90">
        <f>'EQUIP E FER'!E12</f>
        <v/>
      </c>
      <c r="P11" s="90">
        <f>'EQUIP E FER'!E13</f>
        <v/>
      </c>
      <c r="Q11" s="90">
        <f>'EQUIP E FER'!E14</f>
        <v/>
      </c>
      <c r="R11" s="90">
        <f>'EQUIP E FER'!E15</f>
        <v/>
      </c>
      <c r="S11" s="90">
        <f>'EQUIP E FER'!E16</f>
        <v/>
      </c>
      <c r="T11" s="90">
        <f>'EQUIP E FER'!E17</f>
        <v/>
      </c>
      <c r="U11" s="90">
        <f>'EQUIP E FER'!E18</f>
        <v/>
      </c>
      <c r="V11" s="90">
        <f>'EQUIP E FER'!E19</f>
        <v/>
      </c>
      <c r="W11" s="90">
        <f>'EQUIP E FER'!E20</f>
        <v/>
      </c>
      <c r="X11" s="90">
        <f>'EQUIP E FER'!E21</f>
        <v/>
      </c>
      <c r="Y11" s="90">
        <f>'EQUIP E FER'!E22</f>
        <v/>
      </c>
      <c r="Z11" s="90">
        <f>'EQUIP E FER'!E23</f>
        <v/>
      </c>
      <c r="AA11" s="90">
        <f>'EQUIP E FER'!E24</f>
        <v/>
      </c>
      <c r="AB11" s="90">
        <f>'EQUIP E FER'!E25</f>
        <v/>
      </c>
      <c r="AC11" s="90">
        <f>'EQUIP E FER'!E26</f>
        <v/>
      </c>
      <c r="AD11" s="90">
        <f>'EQUIP E FER'!E27</f>
        <v/>
      </c>
      <c r="AE11" s="90">
        <f>'EQUIP E FER'!E28</f>
        <v/>
      </c>
      <c r="AF11" s="90">
        <f>'EQUIP E FER'!E29</f>
        <v/>
      </c>
      <c r="AG11" s="90">
        <f>'EQUIP E FER'!E30</f>
        <v/>
      </c>
      <c r="AH11" s="90">
        <f>'EQUIP E FER'!E31</f>
        <v/>
      </c>
      <c r="AI11" s="90">
        <f>'EQUIP E FER'!E32</f>
        <v/>
      </c>
      <c r="AJ11" s="90">
        <f>'EQUIP E FER'!E33</f>
        <v/>
      </c>
      <c r="AK11" s="90">
        <f>'EQUIP E FER'!E34</f>
        <v/>
      </c>
      <c r="AL11" s="90">
        <f>'EQUIP E FER'!E35</f>
        <v/>
      </c>
      <c r="AM11" s="90">
        <f>'EQUIP E FER'!E36</f>
        <v/>
      </c>
      <c r="AN11" s="90">
        <f>'EQUIP E FER'!E37</f>
        <v/>
      </c>
      <c r="AO11" s="90">
        <f>'EQUIP E FER'!E38</f>
        <v/>
      </c>
      <c r="AP11" s="90">
        <f>'EQUIP E FER'!E39</f>
        <v/>
      </c>
      <c r="AQ11" s="90">
        <f>'EQUIP E FER'!E40</f>
        <v/>
      </c>
      <c r="AR11" s="90">
        <f>'EQUIP E FER'!E41</f>
        <v/>
      </c>
      <c r="AS11" s="90">
        <f>'EQUIP E FER'!E42</f>
        <v/>
      </c>
      <c r="AT11" s="90">
        <f>'EQUIP E FER'!E43</f>
        <v/>
      </c>
      <c r="AU11" s="90">
        <f>'EQUIP E FER'!E44</f>
        <v/>
      </c>
      <c r="AV11" s="90">
        <f>'EQUIP E FER'!E45</f>
        <v/>
      </c>
      <c r="AW11" s="90">
        <f>'EQUIP E FER'!E46</f>
        <v/>
      </c>
      <c r="AX11" s="90">
        <f>'EQUIP E FER'!E47</f>
        <v/>
      </c>
      <c r="AY11" s="90">
        <f>'EQUIP E FER'!E48</f>
        <v/>
      </c>
      <c r="AZ11" s="90">
        <f>'EQUIP E FER'!E49</f>
        <v/>
      </c>
      <c r="BA11" s="90">
        <f>'EQUIP E FER'!E50</f>
        <v/>
      </c>
      <c r="BB11" s="90">
        <f>'EQUIP E FER'!E51</f>
        <v/>
      </c>
      <c r="BC11" s="90">
        <f>'EQUIP E FER'!E52</f>
        <v/>
      </c>
      <c r="BD11" s="90">
        <f>'EQUIP E FER'!E53</f>
        <v/>
      </c>
      <c r="BE11" s="90">
        <f>'EQUIP E FER'!E54</f>
        <v/>
      </c>
      <c r="BF11" s="90">
        <f>'EQUIP E FER'!E55</f>
        <v/>
      </c>
      <c r="BG11" s="90">
        <f>'EQUIP E FER'!E56</f>
        <v/>
      </c>
      <c r="BH11" s="90">
        <f>'EQUIP E FER'!E57</f>
        <v/>
      </c>
      <c r="BI11" s="90">
        <f>'EQUIP E FER'!E58</f>
        <v/>
      </c>
      <c r="BJ11" s="90">
        <f>'EQUIP E FER'!E59</f>
        <v/>
      </c>
      <c r="BK11" s="90">
        <f>'EQUIP E FER'!E60</f>
        <v/>
      </c>
      <c r="BL11" s="90">
        <f>'EQUIP E FER'!E61</f>
        <v/>
      </c>
      <c r="BM11" s="90">
        <f>'EQUIP E FER'!E62</f>
        <v/>
      </c>
      <c r="BN11" s="90">
        <f>'EQUIP E FER'!E63</f>
        <v/>
      </c>
      <c r="BO11" s="90">
        <f>'EQUIP E FER'!E64</f>
        <v/>
      </c>
      <c r="BP11" s="90">
        <f>'EQUIP E FER'!E65</f>
        <v/>
      </c>
      <c r="BQ11" s="90">
        <f>'EQUIP E FER'!E66</f>
        <v/>
      </c>
      <c r="BR11" s="90">
        <f>'EQUIP E FER'!E67</f>
        <v/>
      </c>
      <c r="BS11" s="90">
        <f>'EQUIP E FER'!E68</f>
        <v/>
      </c>
      <c r="BT11" s="90">
        <f>'EQUIP E FER'!E69</f>
        <v/>
      </c>
      <c r="BU11" s="90">
        <f>'EQUIP E FER'!E70</f>
        <v/>
      </c>
      <c r="BV11" s="90">
        <f>'EQUIP E FER'!E71</f>
        <v/>
      </c>
      <c r="BW11" s="90">
        <f>'EQUIP E FER'!E72</f>
        <v/>
      </c>
      <c r="BX11" s="90">
        <f>'EQUIP E FER'!E73</f>
        <v/>
      </c>
      <c r="BY11" s="90">
        <f>'EQUIP E FER'!E74</f>
        <v/>
      </c>
      <c r="BZ11" s="90">
        <f>'EQUIP E FER'!E75</f>
        <v/>
      </c>
      <c r="CA11" s="90">
        <f>'EQUIP E FER'!E76</f>
        <v/>
      </c>
    </row>
    <row r="12">
      <c r="A12" s="60" t="n"/>
      <c r="B12" s="60" t="inlineStr">
        <is>
          <t>1030-1070-370</t>
        </is>
      </c>
      <c r="C12" s="60" t="inlineStr">
        <is>
          <t>ESQUADRIAS</t>
        </is>
      </c>
      <c r="D12" s="63">
        <f>'ESQUADRIAS'!$K$5</f>
        <v/>
      </c>
      <c r="E12" s="50">
        <f>SUM(H12:CA12)</f>
        <v/>
      </c>
      <c r="F12" s="50">
        <f>IF(D12="","",D12-E12)</f>
        <v/>
      </c>
      <c r="H12" s="90">
        <f>'ESQUADRIAS'!E5</f>
        <v/>
      </c>
      <c r="I12" s="90">
        <f>'ESQUADRIAS'!E6</f>
        <v/>
      </c>
      <c r="J12" s="90">
        <f>'ESQUADRIAS'!E7</f>
        <v/>
      </c>
      <c r="K12" s="90">
        <f>'ESQUADRIAS'!E8</f>
        <v/>
      </c>
      <c r="L12" s="90">
        <f>'ESQUADRIAS'!E9</f>
        <v/>
      </c>
      <c r="M12" s="90">
        <f>'ESQUADRIAS'!E10</f>
        <v/>
      </c>
      <c r="N12" s="90">
        <f>'ESQUADRIAS'!E11</f>
        <v/>
      </c>
      <c r="O12" s="90">
        <f>'ESQUADRIAS'!E12</f>
        <v/>
      </c>
      <c r="P12" s="90">
        <f>'ESQUADRIAS'!E13</f>
        <v/>
      </c>
      <c r="Q12" s="90">
        <f>'ESQUADRIAS'!E14</f>
        <v/>
      </c>
      <c r="R12" s="90">
        <f>'ESQUADRIAS'!E15</f>
        <v/>
      </c>
      <c r="S12" s="90">
        <f>'ESQUADRIAS'!E16</f>
        <v/>
      </c>
      <c r="T12" s="90">
        <f>'ESQUADRIAS'!E17</f>
        <v/>
      </c>
      <c r="U12" s="90">
        <f>'ESQUADRIAS'!E18</f>
        <v/>
      </c>
      <c r="V12" s="90">
        <f>'ESQUADRIAS'!E19</f>
        <v/>
      </c>
      <c r="W12" s="90">
        <f>'ESQUADRIAS'!E20</f>
        <v/>
      </c>
      <c r="X12" s="90">
        <f>'ESQUADRIAS'!E21</f>
        <v/>
      </c>
      <c r="Y12" s="90">
        <f>'ESQUADRIAS'!E22</f>
        <v/>
      </c>
      <c r="Z12" s="90">
        <f>'ESQUADRIAS'!E23</f>
        <v/>
      </c>
      <c r="AA12" s="90">
        <f>'ESQUADRIAS'!E24</f>
        <v/>
      </c>
      <c r="AB12" s="90">
        <f>'ESQUADRIAS'!E25</f>
        <v/>
      </c>
      <c r="AC12" s="90">
        <f>'ESQUADRIAS'!E26</f>
        <v/>
      </c>
      <c r="AD12" s="90">
        <f>'ESQUADRIAS'!E27</f>
        <v/>
      </c>
      <c r="AE12" s="90">
        <f>'ESQUADRIAS'!E28</f>
        <v/>
      </c>
      <c r="AF12" s="90">
        <f>'ESQUADRIAS'!E29</f>
        <v/>
      </c>
      <c r="AG12" s="90">
        <f>'ESQUADRIAS'!E30</f>
        <v/>
      </c>
      <c r="AH12" s="90">
        <f>'ESQUADRIAS'!E31</f>
        <v/>
      </c>
      <c r="AI12" s="90">
        <f>'ESQUADRIAS'!E32</f>
        <v/>
      </c>
      <c r="AJ12" s="90">
        <f>'ESQUADRIAS'!E33</f>
        <v/>
      </c>
      <c r="AK12" s="90">
        <f>'ESQUADRIAS'!E34</f>
        <v/>
      </c>
      <c r="AL12" s="90">
        <f>'ESQUADRIAS'!E35</f>
        <v/>
      </c>
      <c r="AM12" s="90">
        <f>'ESQUADRIAS'!E36</f>
        <v/>
      </c>
      <c r="AN12" s="90">
        <f>'ESQUADRIAS'!E37</f>
        <v/>
      </c>
      <c r="AO12" s="90">
        <f>'ESQUADRIAS'!E38</f>
        <v/>
      </c>
      <c r="AP12" s="90">
        <f>'ESQUADRIAS'!E39</f>
        <v/>
      </c>
      <c r="AQ12" s="90">
        <f>'ESQUADRIAS'!E40</f>
        <v/>
      </c>
      <c r="AR12" s="90">
        <f>'ESQUADRIAS'!E41</f>
        <v/>
      </c>
      <c r="AS12" s="90">
        <f>'ESQUADRIAS'!E42</f>
        <v/>
      </c>
      <c r="AT12" s="90">
        <f>'ESQUADRIAS'!E43</f>
        <v/>
      </c>
      <c r="AU12" s="90">
        <f>'ESQUADRIAS'!E44</f>
        <v/>
      </c>
      <c r="AV12" s="90">
        <f>'ESQUADRIAS'!E45</f>
        <v/>
      </c>
      <c r="AW12" s="90">
        <f>'ESQUADRIAS'!E46</f>
        <v/>
      </c>
      <c r="AX12" s="90">
        <f>'ESQUADRIAS'!E47</f>
        <v/>
      </c>
      <c r="AY12" s="90">
        <f>'ESQUADRIAS'!E48</f>
        <v/>
      </c>
      <c r="AZ12" s="90">
        <f>'ESQUADRIAS'!E49</f>
        <v/>
      </c>
      <c r="BA12" s="90">
        <f>'ESQUADRIAS'!E50</f>
        <v/>
      </c>
      <c r="BB12" s="90">
        <f>'ESQUADRIAS'!E51</f>
        <v/>
      </c>
      <c r="BC12" s="90">
        <f>'ESQUADRIAS'!E52</f>
        <v/>
      </c>
      <c r="BD12" s="90">
        <f>'ESQUADRIAS'!E53</f>
        <v/>
      </c>
      <c r="BE12" s="90">
        <f>'ESQUADRIAS'!E54</f>
        <v/>
      </c>
      <c r="BF12" s="90">
        <f>'ESQUADRIAS'!E55</f>
        <v/>
      </c>
      <c r="BG12" s="90">
        <f>'ESQUADRIAS'!E56</f>
        <v/>
      </c>
      <c r="BH12" s="90">
        <f>'ESQUADRIAS'!E57</f>
        <v/>
      </c>
      <c r="BI12" s="90">
        <f>'ESQUADRIAS'!E58</f>
        <v/>
      </c>
      <c r="BJ12" s="90">
        <f>'ESQUADRIAS'!E59</f>
        <v/>
      </c>
      <c r="BK12" s="90">
        <f>'ESQUADRIAS'!E60</f>
        <v/>
      </c>
      <c r="BL12" s="90">
        <f>'ESQUADRIAS'!E61</f>
        <v/>
      </c>
      <c r="BM12" s="90">
        <f>'ESQUADRIAS'!E62</f>
        <v/>
      </c>
      <c r="BN12" s="90">
        <f>'ESQUADRIAS'!E63</f>
        <v/>
      </c>
      <c r="BO12" s="90">
        <f>'ESQUADRIAS'!E64</f>
        <v/>
      </c>
      <c r="BP12" s="90">
        <f>'ESQUADRIAS'!E65</f>
        <v/>
      </c>
      <c r="BQ12" s="90">
        <f>'ESQUADRIAS'!E66</f>
        <v/>
      </c>
      <c r="BR12" s="90">
        <f>'ESQUADRIAS'!E67</f>
        <v/>
      </c>
      <c r="BS12" s="90">
        <f>'ESQUADRIAS'!E68</f>
        <v/>
      </c>
      <c r="BT12" s="90">
        <f>'ESQUADRIAS'!E69</f>
        <v/>
      </c>
      <c r="BU12" s="90">
        <f>'ESQUADRIAS'!E70</f>
        <v/>
      </c>
      <c r="BV12" s="90">
        <f>'ESQUADRIAS'!E71</f>
        <v/>
      </c>
      <c r="BW12" s="90">
        <f>'ESQUADRIAS'!E72</f>
        <v/>
      </c>
      <c r="BX12" s="90">
        <f>'ESQUADRIAS'!E73</f>
        <v/>
      </c>
      <c r="BY12" s="90">
        <f>'ESQUADRIAS'!E74</f>
        <v/>
      </c>
      <c r="BZ12" s="90">
        <f>'ESQUADRIAS'!E75</f>
        <v/>
      </c>
      <c r="CA12" s="90">
        <f>'ESQUADRIAS'!E76</f>
        <v/>
      </c>
    </row>
    <row r="13">
      <c r="A13" s="60" t="n"/>
      <c r="B13" s="60" t="inlineStr">
        <is>
          <t>1030-1070-230</t>
        </is>
      </c>
      <c r="C13" s="60" t="inlineStr">
        <is>
          <t>ESTRUTURA EM CONCRETO ARMADO</t>
        </is>
      </c>
      <c r="D13" s="63">
        <f>'ESTRUTURA'!$K$5</f>
        <v/>
      </c>
      <c r="E13" s="50">
        <f>SUM(H13:CA13)</f>
        <v/>
      </c>
      <c r="F13" s="50">
        <f>IF(D13="","",D13-E13)</f>
        <v/>
      </c>
      <c r="H13" s="90">
        <f>'ESTRUTURA'!E5</f>
        <v/>
      </c>
      <c r="I13" s="90">
        <f>'ESTRUTURA'!E6</f>
        <v/>
      </c>
      <c r="J13" s="90">
        <f>'ESTRUTURA'!E7</f>
        <v/>
      </c>
      <c r="K13" s="90">
        <f>'ESTRUTURA'!E8</f>
        <v/>
      </c>
      <c r="L13" s="90">
        <f>'ESTRUTURA'!E9</f>
        <v/>
      </c>
      <c r="M13" s="90">
        <f>'ESTRUTURA'!E10</f>
        <v/>
      </c>
      <c r="N13" s="90">
        <f>'ESTRUTURA'!E11</f>
        <v/>
      </c>
      <c r="O13" s="90">
        <f>'ESTRUTURA'!E12</f>
        <v/>
      </c>
      <c r="P13" s="90">
        <f>'ESTRUTURA'!E13</f>
        <v/>
      </c>
      <c r="Q13" s="90">
        <f>'ESTRUTURA'!E14</f>
        <v/>
      </c>
      <c r="R13" s="90">
        <f>'ESTRUTURA'!E15</f>
        <v/>
      </c>
      <c r="S13" s="90">
        <f>'ESTRUTURA'!E16</f>
        <v/>
      </c>
      <c r="T13" s="90">
        <f>'ESTRUTURA'!E17</f>
        <v/>
      </c>
      <c r="U13" s="90">
        <f>'ESTRUTURA'!E18</f>
        <v/>
      </c>
      <c r="V13" s="90">
        <f>'ESTRUTURA'!E19</f>
        <v/>
      </c>
      <c r="W13" s="90">
        <f>'ESTRUTURA'!E20</f>
        <v/>
      </c>
      <c r="X13" s="90">
        <f>'ESTRUTURA'!E21</f>
        <v/>
      </c>
      <c r="Y13" s="90">
        <f>'ESTRUTURA'!E22</f>
        <v/>
      </c>
      <c r="Z13" s="90">
        <f>'ESTRUTURA'!E23</f>
        <v/>
      </c>
      <c r="AA13" s="90">
        <f>'ESTRUTURA'!E24</f>
        <v/>
      </c>
      <c r="AB13" s="90">
        <f>'ESTRUTURA'!E25</f>
        <v/>
      </c>
      <c r="AC13" s="90">
        <f>'ESTRUTURA'!E26</f>
        <v/>
      </c>
      <c r="AD13" s="90">
        <f>'ESTRUTURA'!E27</f>
        <v/>
      </c>
      <c r="AE13" s="90">
        <f>'ESTRUTURA'!E28</f>
        <v/>
      </c>
      <c r="AF13" s="90">
        <f>'ESTRUTURA'!E29</f>
        <v/>
      </c>
      <c r="AG13" s="90">
        <f>'ESTRUTURA'!E30</f>
        <v/>
      </c>
      <c r="AH13" s="90">
        <f>'ESTRUTURA'!E31</f>
        <v/>
      </c>
      <c r="AI13" s="90">
        <f>'ESTRUTURA'!E32</f>
        <v/>
      </c>
      <c r="AJ13" s="90">
        <f>'ESTRUTURA'!E33</f>
        <v/>
      </c>
      <c r="AK13" s="90">
        <f>'ESTRUTURA'!E34</f>
        <v/>
      </c>
      <c r="AL13" s="90">
        <f>'ESTRUTURA'!E35</f>
        <v/>
      </c>
      <c r="AM13" s="90">
        <f>'ESTRUTURA'!E36</f>
        <v/>
      </c>
      <c r="AN13" s="90">
        <f>'ESTRUTURA'!E37</f>
        <v/>
      </c>
      <c r="AO13" s="90">
        <f>'ESTRUTURA'!E38</f>
        <v/>
      </c>
      <c r="AP13" s="90">
        <f>'ESTRUTURA'!E39</f>
        <v/>
      </c>
      <c r="AQ13" s="90">
        <f>'ESTRUTURA'!E40</f>
        <v/>
      </c>
      <c r="AR13" s="90">
        <f>'ESTRUTURA'!E41</f>
        <v/>
      </c>
      <c r="AS13" s="90">
        <f>'ESTRUTURA'!E42</f>
        <v/>
      </c>
      <c r="AT13" s="90">
        <f>'ESTRUTURA'!E43</f>
        <v/>
      </c>
      <c r="AU13" s="90">
        <f>'ESTRUTURA'!E44</f>
        <v/>
      </c>
      <c r="AV13" s="90">
        <f>'ESTRUTURA'!E45</f>
        <v/>
      </c>
      <c r="AW13" s="90">
        <f>'ESTRUTURA'!E46</f>
        <v/>
      </c>
      <c r="AX13" s="90">
        <f>'ESTRUTURA'!E47</f>
        <v/>
      </c>
      <c r="AY13" s="90">
        <f>'ESTRUTURA'!E48</f>
        <v/>
      </c>
      <c r="AZ13" s="90">
        <f>'ESTRUTURA'!E49</f>
        <v/>
      </c>
      <c r="BA13" s="90">
        <f>'ESTRUTURA'!E50</f>
        <v/>
      </c>
      <c r="BB13" s="90">
        <f>'ESTRUTURA'!E51</f>
        <v/>
      </c>
      <c r="BC13" s="90">
        <f>'ESTRUTURA'!E52</f>
        <v/>
      </c>
      <c r="BD13" s="90">
        <f>'ESTRUTURA'!E53</f>
        <v/>
      </c>
      <c r="BE13" s="90">
        <f>'ESTRUTURA'!E54</f>
        <v/>
      </c>
      <c r="BF13" s="90">
        <f>'ESTRUTURA'!E55</f>
        <v/>
      </c>
      <c r="BG13" s="90">
        <f>'ESTRUTURA'!E56</f>
        <v/>
      </c>
      <c r="BH13" s="90">
        <f>'ESTRUTURA'!E57</f>
        <v/>
      </c>
      <c r="BI13" s="90">
        <f>'ESTRUTURA'!E58</f>
        <v/>
      </c>
      <c r="BJ13" s="90">
        <f>'ESTRUTURA'!E59</f>
        <v/>
      </c>
      <c r="BK13" s="90">
        <f>'ESTRUTURA'!E60</f>
        <v/>
      </c>
      <c r="BL13" s="90">
        <f>'ESTRUTURA'!E61</f>
        <v/>
      </c>
      <c r="BM13" s="90">
        <f>'ESTRUTURA'!E62</f>
        <v/>
      </c>
      <c r="BN13" s="90">
        <f>'ESTRUTURA'!E63</f>
        <v/>
      </c>
      <c r="BO13" s="90">
        <f>'ESTRUTURA'!E64</f>
        <v/>
      </c>
      <c r="BP13" s="90">
        <f>'ESTRUTURA'!E65</f>
        <v/>
      </c>
      <c r="BQ13" s="90">
        <f>'ESTRUTURA'!E66</f>
        <v/>
      </c>
      <c r="BR13" s="90">
        <f>'ESTRUTURA'!E67</f>
        <v/>
      </c>
      <c r="BS13" s="90">
        <f>'ESTRUTURA'!E68</f>
        <v/>
      </c>
      <c r="BT13" s="90">
        <f>'ESTRUTURA'!E69</f>
        <v/>
      </c>
      <c r="BU13" s="90">
        <f>'ESTRUTURA'!E70</f>
        <v/>
      </c>
      <c r="BV13" s="90">
        <f>'ESTRUTURA'!E71</f>
        <v/>
      </c>
      <c r="BW13" s="90">
        <f>'ESTRUTURA'!E72</f>
        <v/>
      </c>
      <c r="BX13" s="90">
        <f>'ESTRUTURA'!E73</f>
        <v/>
      </c>
      <c r="BY13" s="90">
        <f>'ESTRUTURA'!E74</f>
        <v/>
      </c>
      <c r="BZ13" s="90">
        <f>'ESTRUTURA'!E75</f>
        <v/>
      </c>
      <c r="CA13" s="90">
        <f>'ESTRUTURA'!E76</f>
        <v/>
      </c>
    </row>
    <row r="14">
      <c r="A14" s="60" t="n"/>
      <c r="B14" s="60" t="inlineStr">
        <is>
          <t>1030-1070-350</t>
        </is>
      </c>
      <c r="C14" s="60" t="inlineStr">
        <is>
          <t>FORRO</t>
        </is>
      </c>
      <c r="D14" s="63">
        <f>'FORRO'!$K$5</f>
        <v/>
      </c>
      <c r="E14" s="50">
        <f>SUM(H14:CA14)</f>
        <v/>
      </c>
      <c r="F14" s="50">
        <f>IF(D14="","",D14-E14)</f>
        <v/>
      </c>
      <c r="H14" s="90">
        <f>'FORRO'!E5</f>
        <v/>
      </c>
      <c r="I14" s="90">
        <f>'FORRO'!E6</f>
        <v/>
      </c>
      <c r="J14" s="90">
        <f>'FORRO'!E7</f>
        <v/>
      </c>
      <c r="K14" s="90">
        <f>'FORRO'!E8</f>
        <v/>
      </c>
      <c r="L14" s="90">
        <f>'FORRO'!E9</f>
        <v/>
      </c>
      <c r="M14" s="90">
        <f>'FORRO'!E10</f>
        <v/>
      </c>
      <c r="N14" s="90">
        <f>'FORRO'!E11</f>
        <v/>
      </c>
      <c r="O14" s="90">
        <f>'FORRO'!E12</f>
        <v/>
      </c>
      <c r="P14" s="90">
        <f>'FORRO'!E13</f>
        <v/>
      </c>
      <c r="Q14" s="90">
        <f>'FORRO'!E14</f>
        <v/>
      </c>
      <c r="R14" s="90">
        <f>'FORRO'!E15</f>
        <v/>
      </c>
      <c r="S14" s="90">
        <f>'FORRO'!E16</f>
        <v/>
      </c>
      <c r="T14" s="90">
        <f>'FORRO'!E17</f>
        <v/>
      </c>
      <c r="U14" s="90">
        <f>'FORRO'!E18</f>
        <v/>
      </c>
      <c r="V14" s="90">
        <f>'FORRO'!E19</f>
        <v/>
      </c>
      <c r="W14" s="90">
        <f>'FORRO'!E20</f>
        <v/>
      </c>
      <c r="X14" s="90">
        <f>'FORRO'!E21</f>
        <v/>
      </c>
      <c r="Y14" s="90">
        <f>'FORRO'!E22</f>
        <v/>
      </c>
      <c r="Z14" s="90">
        <f>'FORRO'!E23</f>
        <v/>
      </c>
      <c r="AA14" s="90">
        <f>'FORRO'!E24</f>
        <v/>
      </c>
      <c r="AB14" s="90">
        <f>'FORRO'!E25</f>
        <v/>
      </c>
      <c r="AC14" s="90">
        <f>'FORRO'!E26</f>
        <v/>
      </c>
      <c r="AD14" s="90">
        <f>'FORRO'!E27</f>
        <v/>
      </c>
      <c r="AE14" s="90">
        <f>'FORRO'!E28</f>
        <v/>
      </c>
      <c r="AF14" s="90">
        <f>'FORRO'!E29</f>
        <v/>
      </c>
      <c r="AG14" s="90">
        <f>'FORRO'!E30</f>
        <v/>
      </c>
      <c r="AH14" s="90">
        <f>'FORRO'!E31</f>
        <v/>
      </c>
      <c r="AI14" s="90">
        <f>'FORRO'!E32</f>
        <v/>
      </c>
      <c r="AJ14" s="90">
        <f>'FORRO'!E33</f>
        <v/>
      </c>
      <c r="AK14" s="90">
        <f>'FORRO'!E34</f>
        <v/>
      </c>
      <c r="AL14" s="90">
        <f>'FORRO'!E35</f>
        <v/>
      </c>
      <c r="AM14" s="90">
        <f>'FORRO'!E36</f>
        <v/>
      </c>
      <c r="AN14" s="90">
        <f>'FORRO'!E37</f>
        <v/>
      </c>
      <c r="AO14" s="90">
        <f>'FORRO'!E38</f>
        <v/>
      </c>
      <c r="AP14" s="90">
        <f>'FORRO'!E39</f>
        <v/>
      </c>
      <c r="AQ14" s="90">
        <f>'FORRO'!E40</f>
        <v/>
      </c>
      <c r="AR14" s="90">
        <f>'FORRO'!E41</f>
        <v/>
      </c>
      <c r="AS14" s="90">
        <f>'FORRO'!E42</f>
        <v/>
      </c>
      <c r="AT14" s="90">
        <f>'FORRO'!E43</f>
        <v/>
      </c>
      <c r="AU14" s="90">
        <f>'FORRO'!E44</f>
        <v/>
      </c>
      <c r="AV14" s="90">
        <f>'FORRO'!E45</f>
        <v/>
      </c>
      <c r="AW14" s="90">
        <f>'FORRO'!E46</f>
        <v/>
      </c>
      <c r="AX14" s="90">
        <f>'FORRO'!E47</f>
        <v/>
      </c>
      <c r="AY14" s="90">
        <f>'FORRO'!E48</f>
        <v/>
      </c>
      <c r="AZ14" s="90">
        <f>'FORRO'!E49</f>
        <v/>
      </c>
      <c r="BA14" s="90">
        <f>'FORRO'!E50</f>
        <v/>
      </c>
      <c r="BB14" s="90">
        <f>'FORRO'!E51</f>
        <v/>
      </c>
      <c r="BC14" s="90">
        <f>'FORRO'!E52</f>
        <v/>
      </c>
      <c r="BD14" s="90">
        <f>'FORRO'!E53</f>
        <v/>
      </c>
      <c r="BE14" s="90">
        <f>'FORRO'!E54</f>
        <v/>
      </c>
      <c r="BF14" s="90">
        <f>'FORRO'!E55</f>
        <v/>
      </c>
      <c r="BG14" s="90">
        <f>'FORRO'!E56</f>
        <v/>
      </c>
      <c r="BH14" s="90">
        <f>'FORRO'!E57</f>
        <v/>
      </c>
      <c r="BI14" s="90">
        <f>'FORRO'!E58</f>
        <v/>
      </c>
      <c r="BJ14" s="90">
        <f>'FORRO'!E59</f>
        <v/>
      </c>
      <c r="BK14" s="90">
        <f>'FORRO'!E60</f>
        <v/>
      </c>
      <c r="BL14" s="90">
        <f>'FORRO'!E61</f>
        <v/>
      </c>
      <c r="BM14" s="90">
        <f>'FORRO'!E62</f>
        <v/>
      </c>
      <c r="BN14" s="90">
        <f>'FORRO'!E63</f>
        <v/>
      </c>
      <c r="BO14" s="90">
        <f>'FORRO'!E64</f>
        <v/>
      </c>
      <c r="BP14" s="90">
        <f>'FORRO'!E65</f>
        <v/>
      </c>
      <c r="BQ14" s="90">
        <f>'FORRO'!E66</f>
        <v/>
      </c>
      <c r="BR14" s="90">
        <f>'FORRO'!E67</f>
        <v/>
      </c>
      <c r="BS14" s="90">
        <f>'FORRO'!E68</f>
        <v/>
      </c>
      <c r="BT14" s="90">
        <f>'FORRO'!E69</f>
        <v/>
      </c>
      <c r="BU14" s="90">
        <f>'FORRO'!E70</f>
        <v/>
      </c>
      <c r="BV14" s="90">
        <f>'FORRO'!E71</f>
        <v/>
      </c>
      <c r="BW14" s="90">
        <f>'FORRO'!E72</f>
        <v/>
      </c>
      <c r="BX14" s="90">
        <f>'FORRO'!E73</f>
        <v/>
      </c>
      <c r="BY14" s="90">
        <f>'FORRO'!E74</f>
        <v/>
      </c>
      <c r="BZ14" s="90">
        <f>'FORRO'!E75</f>
        <v/>
      </c>
      <c r="CA14" s="90">
        <f>'FORRO'!E76</f>
        <v/>
      </c>
    </row>
    <row r="15">
      <c r="A15" s="60" t="n"/>
      <c r="B15" s="60" t="inlineStr">
        <is>
          <t>1030-1070-200</t>
        </is>
      </c>
      <c r="C15" s="60" t="inlineStr">
        <is>
          <t>FUNDAÇÃO PROFUNDA</t>
        </is>
      </c>
      <c r="D15" s="63">
        <f>'FUND. PROF'!$K$5</f>
        <v/>
      </c>
      <c r="E15" s="50">
        <f>SUM(H15:CA15)</f>
        <v/>
      </c>
      <c r="F15" s="50">
        <f>IF(D15="","",D15-E15)</f>
        <v/>
      </c>
      <c r="H15" s="90">
        <f>'FUND. PROF'!E5</f>
        <v/>
      </c>
      <c r="I15" s="90">
        <f>'FUND. PROF'!E6</f>
        <v/>
      </c>
      <c r="J15" s="90">
        <f>'FUND. PROF'!E7</f>
        <v/>
      </c>
      <c r="K15" s="90">
        <f>'FUND. PROF'!E8</f>
        <v/>
      </c>
      <c r="L15" s="90">
        <f>'FUND. PROF'!E9</f>
        <v/>
      </c>
      <c r="M15" s="90">
        <f>'FUND. PROF'!E10</f>
        <v/>
      </c>
      <c r="N15" s="90">
        <f>'FUND. PROF'!E11</f>
        <v/>
      </c>
      <c r="O15" s="90">
        <f>'FUND. PROF'!E12</f>
        <v/>
      </c>
      <c r="P15" s="90">
        <f>'FUND. PROF'!E13</f>
        <v/>
      </c>
      <c r="Q15" s="90">
        <f>'FUND. PROF'!E14</f>
        <v/>
      </c>
      <c r="R15" s="90">
        <f>'FUND. PROF'!E15</f>
        <v/>
      </c>
      <c r="S15" s="90">
        <f>'FUND. PROF'!E16</f>
        <v/>
      </c>
      <c r="T15" s="90">
        <f>'FUND. PROF'!E17</f>
        <v/>
      </c>
      <c r="U15" s="90">
        <f>'FUND. PROF'!E18</f>
        <v/>
      </c>
      <c r="V15" s="90">
        <f>'FUND. PROF'!E19</f>
        <v/>
      </c>
      <c r="W15" s="90">
        <f>'FUND. PROF'!E20</f>
        <v/>
      </c>
      <c r="X15" s="90">
        <f>'FUND. PROF'!E21</f>
        <v/>
      </c>
      <c r="Y15" s="90">
        <f>'FUND. PROF'!E22</f>
        <v/>
      </c>
      <c r="Z15" s="90">
        <f>'FUND. PROF'!E23</f>
        <v/>
      </c>
      <c r="AA15" s="90">
        <f>'FUND. PROF'!E24</f>
        <v/>
      </c>
      <c r="AB15" s="90">
        <f>'FUND. PROF'!E25</f>
        <v/>
      </c>
      <c r="AC15" s="90">
        <f>'FUND. PROF'!E26</f>
        <v/>
      </c>
      <c r="AD15" s="90">
        <f>'FUND. PROF'!E27</f>
        <v/>
      </c>
      <c r="AE15" s="90">
        <f>'FUND. PROF'!E28</f>
        <v/>
      </c>
      <c r="AF15" s="90">
        <f>'FUND. PROF'!E29</f>
        <v/>
      </c>
      <c r="AG15" s="90">
        <f>'FUND. PROF'!E30</f>
        <v/>
      </c>
      <c r="AH15" s="90">
        <f>'FUND. PROF'!E31</f>
        <v/>
      </c>
      <c r="AI15" s="90">
        <f>'FUND. PROF'!E32</f>
        <v/>
      </c>
      <c r="AJ15" s="90">
        <f>'FUND. PROF'!E33</f>
        <v/>
      </c>
      <c r="AK15" s="90">
        <f>'FUND. PROF'!E34</f>
        <v/>
      </c>
      <c r="AL15" s="90">
        <f>'FUND. PROF'!E35</f>
        <v/>
      </c>
      <c r="AM15" s="90">
        <f>'FUND. PROF'!E36</f>
        <v/>
      </c>
      <c r="AN15" s="90">
        <f>'FUND. PROF'!E37</f>
        <v/>
      </c>
      <c r="AO15" s="90">
        <f>'FUND. PROF'!E38</f>
        <v/>
      </c>
      <c r="AP15" s="90">
        <f>'FUND. PROF'!E39</f>
        <v/>
      </c>
      <c r="AQ15" s="90">
        <f>'FUND. PROF'!E40</f>
        <v/>
      </c>
      <c r="AR15" s="90">
        <f>'FUND. PROF'!E41</f>
        <v/>
      </c>
      <c r="AS15" s="90">
        <f>'FUND. PROF'!E42</f>
        <v/>
      </c>
      <c r="AT15" s="90">
        <f>'FUND. PROF'!E43</f>
        <v/>
      </c>
      <c r="AU15" s="90">
        <f>'FUND. PROF'!E44</f>
        <v/>
      </c>
      <c r="AV15" s="90">
        <f>'FUND. PROF'!E45</f>
        <v/>
      </c>
      <c r="AW15" s="90">
        <f>'FUND. PROF'!E46</f>
        <v/>
      </c>
      <c r="AX15" s="90">
        <f>'FUND. PROF'!E47</f>
        <v/>
      </c>
      <c r="AY15" s="90">
        <f>'FUND. PROF'!E48</f>
        <v/>
      </c>
      <c r="AZ15" s="90">
        <f>'FUND. PROF'!E49</f>
        <v/>
      </c>
      <c r="BA15" s="90">
        <f>'FUND. PROF'!E50</f>
        <v/>
      </c>
      <c r="BB15" s="90">
        <f>'FUND. PROF'!E51</f>
        <v/>
      </c>
      <c r="BC15" s="90">
        <f>'FUND. PROF'!E52</f>
        <v/>
      </c>
      <c r="BD15" s="90">
        <f>'FUND. PROF'!E53</f>
        <v/>
      </c>
      <c r="BE15" s="90">
        <f>'FUND. PROF'!E54</f>
        <v/>
      </c>
      <c r="BF15" s="90">
        <f>'FUND. PROF'!E55</f>
        <v/>
      </c>
      <c r="BG15" s="90">
        <f>'FUND. PROF'!E56</f>
        <v/>
      </c>
      <c r="BH15" s="90">
        <f>'FUND. PROF'!E57</f>
        <v/>
      </c>
      <c r="BI15" s="90">
        <f>'FUND. PROF'!E58</f>
        <v/>
      </c>
      <c r="BJ15" s="90">
        <f>'FUND. PROF'!E59</f>
        <v/>
      </c>
      <c r="BK15" s="90">
        <f>'FUND. PROF'!E60</f>
        <v/>
      </c>
      <c r="BL15" s="90">
        <f>'FUND. PROF'!E61</f>
        <v/>
      </c>
      <c r="BM15" s="90">
        <f>'FUND. PROF'!E62</f>
        <v/>
      </c>
      <c r="BN15" s="90">
        <f>'FUND. PROF'!E63</f>
        <v/>
      </c>
      <c r="BO15" s="90">
        <f>'FUND. PROF'!E64</f>
        <v/>
      </c>
      <c r="BP15" s="90">
        <f>'FUND. PROF'!E65</f>
        <v/>
      </c>
      <c r="BQ15" s="90">
        <f>'FUND. PROF'!E66</f>
        <v/>
      </c>
      <c r="BR15" s="90">
        <f>'FUND. PROF'!E67</f>
        <v/>
      </c>
      <c r="BS15" s="90">
        <f>'FUND. PROF'!E68</f>
        <v/>
      </c>
      <c r="BT15" s="90">
        <f>'FUND. PROF'!E69</f>
        <v/>
      </c>
      <c r="BU15" s="90">
        <f>'FUND. PROF'!E70</f>
        <v/>
      </c>
      <c r="BV15" s="90">
        <f>'FUND. PROF'!E71</f>
        <v/>
      </c>
      <c r="BW15" s="90">
        <f>'FUND. PROF'!E72</f>
        <v/>
      </c>
      <c r="BX15" s="90">
        <f>'FUND. PROF'!E73</f>
        <v/>
      </c>
      <c r="BY15" s="90">
        <f>'FUND. PROF'!E74</f>
        <v/>
      </c>
      <c r="BZ15" s="90">
        <f>'FUND. PROF'!E75</f>
        <v/>
      </c>
      <c r="CA15" s="90">
        <f>'FUND. PROF'!E76</f>
        <v/>
      </c>
    </row>
    <row r="16">
      <c r="A16" s="60" t="n"/>
      <c r="B16" s="60" t="inlineStr">
        <is>
          <t>1030-1070-210</t>
        </is>
      </c>
      <c r="C16" s="60" t="inlineStr">
        <is>
          <t>FUNDAÇÃO SUPERFICIAL</t>
        </is>
      </c>
      <c r="D16" s="63">
        <f>'FUND. SUP'!$K$5</f>
        <v/>
      </c>
      <c r="E16" s="50">
        <f>SUM(H16:CA16)</f>
        <v/>
      </c>
      <c r="F16" s="50">
        <f>IF(D16="","",D16-E16)</f>
        <v/>
      </c>
      <c r="H16" s="90">
        <f>'FUND. SUP'!E5</f>
        <v/>
      </c>
      <c r="I16" s="90">
        <f>'FUND. SUP'!E6</f>
        <v/>
      </c>
      <c r="J16" s="90">
        <f>'FUND. SUP'!E7</f>
        <v/>
      </c>
      <c r="K16" s="90">
        <f>'FUND. SUP'!E8</f>
        <v/>
      </c>
      <c r="L16" s="90">
        <f>'FUND. SUP'!E9</f>
        <v/>
      </c>
      <c r="M16" s="90">
        <f>'FUND. SUP'!E10</f>
        <v/>
      </c>
      <c r="N16" s="90">
        <f>'FUND. SUP'!E11</f>
        <v/>
      </c>
      <c r="O16" s="90">
        <f>'FUND. SUP'!E12</f>
        <v/>
      </c>
      <c r="P16" s="90">
        <f>'FUND. SUP'!E13</f>
        <v/>
      </c>
      <c r="Q16" s="90">
        <f>'FUND. SUP'!E14</f>
        <v/>
      </c>
      <c r="R16" s="90">
        <f>'FUND. SUP'!E15</f>
        <v/>
      </c>
      <c r="S16" s="90">
        <f>'FUND. SUP'!E16</f>
        <v/>
      </c>
      <c r="T16" s="90">
        <f>'FUND. SUP'!E17</f>
        <v/>
      </c>
      <c r="U16" s="90">
        <f>'FUND. SUP'!E18</f>
        <v/>
      </c>
      <c r="V16" s="90">
        <f>'FUND. SUP'!E19</f>
        <v/>
      </c>
      <c r="W16" s="90">
        <f>'FUND. SUP'!E20</f>
        <v/>
      </c>
      <c r="X16" s="90">
        <f>'FUND. SUP'!E21</f>
        <v/>
      </c>
      <c r="Y16" s="90">
        <f>'FUND. SUP'!E22</f>
        <v/>
      </c>
      <c r="Z16" s="90">
        <f>'FUND. SUP'!E23</f>
        <v/>
      </c>
      <c r="AA16" s="90">
        <f>'FUND. SUP'!E24</f>
        <v/>
      </c>
      <c r="AB16" s="90">
        <f>'FUND. SUP'!E25</f>
        <v/>
      </c>
      <c r="AC16" s="90">
        <f>'FUND. SUP'!E26</f>
        <v/>
      </c>
      <c r="AD16" s="90">
        <f>'FUND. SUP'!E27</f>
        <v/>
      </c>
      <c r="AE16" s="90">
        <f>'FUND. SUP'!E28</f>
        <v/>
      </c>
      <c r="AF16" s="90">
        <f>'FUND. SUP'!E29</f>
        <v/>
      </c>
      <c r="AG16" s="90">
        <f>'FUND. SUP'!E30</f>
        <v/>
      </c>
      <c r="AH16" s="90">
        <f>'FUND. SUP'!E31</f>
        <v/>
      </c>
      <c r="AI16" s="90">
        <f>'FUND. SUP'!E32</f>
        <v/>
      </c>
      <c r="AJ16" s="90">
        <f>'FUND. SUP'!E33</f>
        <v/>
      </c>
      <c r="AK16" s="90">
        <f>'FUND. SUP'!E34</f>
        <v/>
      </c>
      <c r="AL16" s="90">
        <f>'FUND. SUP'!E35</f>
        <v/>
      </c>
      <c r="AM16" s="90">
        <f>'FUND. SUP'!E36</f>
        <v/>
      </c>
      <c r="AN16" s="90">
        <f>'FUND. SUP'!E37</f>
        <v/>
      </c>
      <c r="AO16" s="90">
        <f>'FUND. SUP'!E38</f>
        <v/>
      </c>
      <c r="AP16" s="90">
        <f>'FUND. SUP'!E39</f>
        <v/>
      </c>
      <c r="AQ16" s="90">
        <f>'FUND. SUP'!E40</f>
        <v/>
      </c>
      <c r="AR16" s="90">
        <f>'FUND. SUP'!E41</f>
        <v/>
      </c>
      <c r="AS16" s="90">
        <f>'FUND. SUP'!E42</f>
        <v/>
      </c>
      <c r="AT16" s="90">
        <f>'FUND. SUP'!E43</f>
        <v/>
      </c>
      <c r="AU16" s="90">
        <f>'FUND. SUP'!E44</f>
        <v/>
      </c>
      <c r="AV16" s="90">
        <f>'FUND. SUP'!E45</f>
        <v/>
      </c>
      <c r="AW16" s="90">
        <f>'FUND. SUP'!E46</f>
        <v/>
      </c>
      <c r="AX16" s="90">
        <f>'FUND. SUP'!E47</f>
        <v/>
      </c>
      <c r="AY16" s="90">
        <f>'FUND. SUP'!E48</f>
        <v/>
      </c>
      <c r="AZ16" s="90">
        <f>'FUND. SUP'!E49</f>
        <v/>
      </c>
      <c r="BA16" s="90">
        <f>'FUND. SUP'!E50</f>
        <v/>
      </c>
      <c r="BB16" s="90">
        <f>'FUND. SUP'!E51</f>
        <v/>
      </c>
      <c r="BC16" s="90">
        <f>'FUND. SUP'!E52</f>
        <v/>
      </c>
      <c r="BD16" s="90">
        <f>'FUND. SUP'!E53</f>
        <v/>
      </c>
      <c r="BE16" s="90">
        <f>'FUND. SUP'!E54</f>
        <v/>
      </c>
      <c r="BF16" s="90">
        <f>'FUND. SUP'!E55</f>
        <v/>
      </c>
      <c r="BG16" s="90">
        <f>'FUND. SUP'!E56</f>
        <v/>
      </c>
      <c r="BH16" s="90">
        <f>'FUND. SUP'!E57</f>
        <v/>
      </c>
      <c r="BI16" s="90">
        <f>'FUND. SUP'!E58</f>
        <v/>
      </c>
      <c r="BJ16" s="90">
        <f>'FUND. SUP'!E59</f>
        <v/>
      </c>
      <c r="BK16" s="90">
        <f>'FUND. SUP'!E60</f>
        <v/>
      </c>
      <c r="BL16" s="90">
        <f>'FUND. SUP'!E61</f>
        <v/>
      </c>
      <c r="BM16" s="90">
        <f>'FUND. SUP'!E62</f>
        <v/>
      </c>
      <c r="BN16" s="90">
        <f>'FUND. SUP'!E63</f>
        <v/>
      </c>
      <c r="BO16" s="90">
        <f>'FUND. SUP'!E64</f>
        <v/>
      </c>
      <c r="BP16" s="90">
        <f>'FUND. SUP'!E65</f>
        <v/>
      </c>
      <c r="BQ16" s="90">
        <f>'FUND. SUP'!E66</f>
        <v/>
      </c>
      <c r="BR16" s="90">
        <f>'FUND. SUP'!E67</f>
        <v/>
      </c>
      <c r="BS16" s="90">
        <f>'FUND. SUP'!E68</f>
        <v/>
      </c>
      <c r="BT16" s="90">
        <f>'FUND. SUP'!E69</f>
        <v/>
      </c>
      <c r="BU16" s="90">
        <f>'FUND. SUP'!E70</f>
        <v/>
      </c>
      <c r="BV16" s="90">
        <f>'FUND. SUP'!E71</f>
        <v/>
      </c>
      <c r="BW16" s="90">
        <f>'FUND. SUP'!E72</f>
        <v/>
      </c>
      <c r="BX16" s="90">
        <f>'FUND. SUP'!E73</f>
        <v/>
      </c>
      <c r="BY16" s="90">
        <f>'FUND. SUP'!E74</f>
        <v/>
      </c>
      <c r="BZ16" s="90">
        <f>'FUND. SUP'!E75</f>
        <v/>
      </c>
      <c r="CA16" s="90">
        <f>'FUND. SUP'!E76</f>
        <v/>
      </c>
    </row>
    <row r="17">
      <c r="A17" s="60" t="n"/>
      <c r="B17" s="60" t="inlineStr">
        <is>
          <t>1030-1070-290</t>
        </is>
      </c>
      <c r="C17" s="60" t="inlineStr">
        <is>
          <t>IMPERMEABILIZAÇÃO</t>
        </is>
      </c>
      <c r="D17" s="63">
        <f>'IMPERMEABILIZAÇÃO'!$K$5</f>
        <v/>
      </c>
      <c r="E17" s="50">
        <f>SUM(H17:CA17)</f>
        <v/>
      </c>
      <c r="F17" s="50">
        <f>IF(D17="","",D17-E17)</f>
        <v/>
      </c>
      <c r="H17" s="90">
        <f>'IMPERMEABILIZAÇÃO'!E5</f>
        <v/>
      </c>
      <c r="I17" s="90">
        <f>'IMPERMEABILIZAÇÃO'!E6</f>
        <v/>
      </c>
      <c r="J17" s="90">
        <f>'IMPERMEABILIZAÇÃO'!E7</f>
        <v/>
      </c>
      <c r="K17" s="90">
        <f>'IMPERMEABILIZAÇÃO'!E8</f>
        <v/>
      </c>
      <c r="L17" s="90">
        <f>'IMPERMEABILIZAÇÃO'!E9</f>
        <v/>
      </c>
      <c r="M17" s="90">
        <f>'IMPERMEABILIZAÇÃO'!E10</f>
        <v/>
      </c>
      <c r="N17" s="90">
        <f>'IMPERMEABILIZAÇÃO'!E11</f>
        <v/>
      </c>
      <c r="O17" s="90">
        <f>'IMPERMEABILIZAÇÃO'!E12</f>
        <v/>
      </c>
      <c r="P17" s="90">
        <f>'IMPERMEABILIZAÇÃO'!E13</f>
        <v/>
      </c>
      <c r="Q17" s="90">
        <f>'IMPERMEABILIZAÇÃO'!E14</f>
        <v/>
      </c>
      <c r="R17" s="90">
        <f>'IMPERMEABILIZAÇÃO'!E15</f>
        <v/>
      </c>
      <c r="S17" s="90">
        <f>'IMPERMEABILIZAÇÃO'!E16</f>
        <v/>
      </c>
      <c r="T17" s="90">
        <f>'IMPERMEABILIZAÇÃO'!E17</f>
        <v/>
      </c>
      <c r="U17" s="90">
        <f>'IMPERMEABILIZAÇÃO'!E18</f>
        <v/>
      </c>
      <c r="V17" s="90">
        <f>'IMPERMEABILIZAÇÃO'!E19</f>
        <v/>
      </c>
      <c r="W17" s="90">
        <f>'IMPERMEABILIZAÇÃO'!E20</f>
        <v/>
      </c>
      <c r="X17" s="90">
        <f>'IMPERMEABILIZAÇÃO'!E21</f>
        <v/>
      </c>
      <c r="Y17" s="90">
        <f>'IMPERMEABILIZAÇÃO'!E22</f>
        <v/>
      </c>
      <c r="Z17" s="90">
        <f>'IMPERMEABILIZAÇÃO'!E23</f>
        <v/>
      </c>
      <c r="AA17" s="90">
        <f>'IMPERMEABILIZAÇÃO'!E24</f>
        <v/>
      </c>
      <c r="AB17" s="90">
        <f>'IMPERMEABILIZAÇÃO'!E25</f>
        <v/>
      </c>
      <c r="AC17" s="90">
        <f>'IMPERMEABILIZAÇÃO'!E26</f>
        <v/>
      </c>
      <c r="AD17" s="90">
        <f>'IMPERMEABILIZAÇÃO'!E27</f>
        <v/>
      </c>
      <c r="AE17" s="90">
        <f>'IMPERMEABILIZAÇÃO'!E28</f>
        <v/>
      </c>
      <c r="AF17" s="90">
        <f>'IMPERMEABILIZAÇÃO'!E29</f>
        <v/>
      </c>
      <c r="AG17" s="90">
        <f>'IMPERMEABILIZAÇÃO'!E30</f>
        <v/>
      </c>
      <c r="AH17" s="90">
        <f>'IMPERMEABILIZAÇÃO'!E31</f>
        <v/>
      </c>
      <c r="AI17" s="90">
        <f>'IMPERMEABILIZAÇÃO'!E32</f>
        <v/>
      </c>
      <c r="AJ17" s="90">
        <f>'IMPERMEABILIZAÇÃO'!E33</f>
        <v/>
      </c>
      <c r="AK17" s="90">
        <f>'IMPERMEABILIZAÇÃO'!E34</f>
        <v/>
      </c>
      <c r="AL17" s="90">
        <f>'IMPERMEABILIZAÇÃO'!E35</f>
        <v/>
      </c>
      <c r="AM17" s="90">
        <f>'IMPERMEABILIZAÇÃO'!E36</f>
        <v/>
      </c>
      <c r="AN17" s="90">
        <f>'IMPERMEABILIZAÇÃO'!E37</f>
        <v/>
      </c>
      <c r="AO17" s="90">
        <f>'IMPERMEABILIZAÇÃO'!E38</f>
        <v/>
      </c>
      <c r="AP17" s="90">
        <f>'IMPERMEABILIZAÇÃO'!E39</f>
        <v/>
      </c>
      <c r="AQ17" s="90">
        <f>'IMPERMEABILIZAÇÃO'!E40</f>
        <v/>
      </c>
      <c r="AR17" s="90">
        <f>'IMPERMEABILIZAÇÃO'!E41</f>
        <v/>
      </c>
      <c r="AS17" s="90">
        <f>'IMPERMEABILIZAÇÃO'!E42</f>
        <v/>
      </c>
      <c r="AT17" s="90">
        <f>'IMPERMEABILIZAÇÃO'!E43</f>
        <v/>
      </c>
      <c r="AU17" s="90">
        <f>'IMPERMEABILIZAÇÃO'!E44</f>
        <v/>
      </c>
      <c r="AV17" s="90">
        <f>'IMPERMEABILIZAÇÃO'!E45</f>
        <v/>
      </c>
      <c r="AW17" s="90">
        <f>'IMPERMEABILIZAÇÃO'!E46</f>
        <v/>
      </c>
      <c r="AX17" s="90">
        <f>'IMPERMEABILIZAÇÃO'!E47</f>
        <v/>
      </c>
      <c r="AY17" s="90">
        <f>'IMPERMEABILIZAÇÃO'!E48</f>
        <v/>
      </c>
      <c r="AZ17" s="90">
        <f>'IMPERMEABILIZAÇÃO'!E49</f>
        <v/>
      </c>
      <c r="BA17" s="90">
        <f>'IMPERMEABILIZAÇÃO'!E50</f>
        <v/>
      </c>
      <c r="BB17" s="90">
        <f>'IMPERMEABILIZAÇÃO'!E51</f>
        <v/>
      </c>
      <c r="BC17" s="90">
        <f>'IMPERMEABILIZAÇÃO'!E52</f>
        <v/>
      </c>
      <c r="BD17" s="90">
        <f>'IMPERMEABILIZAÇÃO'!E53</f>
        <v/>
      </c>
      <c r="BE17" s="90">
        <f>'IMPERMEABILIZAÇÃO'!E54</f>
        <v/>
      </c>
      <c r="BF17" s="90">
        <f>'IMPERMEABILIZAÇÃO'!E55</f>
        <v/>
      </c>
      <c r="BG17" s="90">
        <f>'IMPERMEABILIZAÇÃO'!E56</f>
        <v/>
      </c>
      <c r="BH17" s="90">
        <f>'IMPERMEABILIZAÇÃO'!E57</f>
        <v/>
      </c>
      <c r="BI17" s="90">
        <f>'IMPERMEABILIZAÇÃO'!E58</f>
        <v/>
      </c>
      <c r="BJ17" s="90">
        <f>'IMPERMEABILIZAÇÃO'!E59</f>
        <v/>
      </c>
      <c r="BK17" s="90">
        <f>'IMPERMEABILIZAÇÃO'!E60</f>
        <v/>
      </c>
      <c r="BL17" s="90">
        <f>'IMPERMEABILIZAÇÃO'!E61</f>
        <v/>
      </c>
      <c r="BM17" s="90">
        <f>'IMPERMEABILIZAÇÃO'!E62</f>
        <v/>
      </c>
      <c r="BN17" s="90">
        <f>'IMPERMEABILIZAÇÃO'!E63</f>
        <v/>
      </c>
      <c r="BO17" s="90">
        <f>'IMPERMEABILIZAÇÃO'!E64</f>
        <v/>
      </c>
      <c r="BP17" s="90">
        <f>'IMPERMEABILIZAÇÃO'!E65</f>
        <v/>
      </c>
      <c r="BQ17" s="90">
        <f>'IMPERMEABILIZAÇÃO'!E66</f>
        <v/>
      </c>
      <c r="BR17" s="90">
        <f>'IMPERMEABILIZAÇÃO'!E67</f>
        <v/>
      </c>
      <c r="BS17" s="90">
        <f>'IMPERMEABILIZAÇÃO'!E68</f>
        <v/>
      </c>
      <c r="BT17" s="90">
        <f>'IMPERMEABILIZAÇÃO'!E69</f>
        <v/>
      </c>
      <c r="BU17" s="90">
        <f>'IMPERMEABILIZAÇÃO'!E70</f>
        <v/>
      </c>
      <c r="BV17" s="90">
        <f>'IMPERMEABILIZAÇÃO'!E71</f>
        <v/>
      </c>
      <c r="BW17" s="90">
        <f>'IMPERMEABILIZAÇÃO'!E72</f>
        <v/>
      </c>
      <c r="BX17" s="90">
        <f>'IMPERMEABILIZAÇÃO'!E73</f>
        <v/>
      </c>
      <c r="BY17" s="90">
        <f>'IMPERMEABILIZAÇÃO'!E74</f>
        <v/>
      </c>
      <c r="BZ17" s="90">
        <f>'IMPERMEABILIZAÇÃO'!E75</f>
        <v/>
      </c>
      <c r="CA17" s="90">
        <f>'IMPERMEABILIZAÇÃO'!E76</f>
        <v/>
      </c>
    </row>
    <row r="18">
      <c r="A18" s="60" t="n"/>
      <c r="B18" s="60" t="inlineStr">
        <is>
          <t>1030-1070-260</t>
        </is>
      </c>
      <c r="C18" s="60" t="inlineStr">
        <is>
          <t>INSTALAÇÕES COMBATE INCÊNDIO</t>
        </is>
      </c>
      <c r="D18" s="63">
        <f>'INST. INC'!$K$5</f>
        <v/>
      </c>
      <c r="E18" s="50">
        <f>SUM(H18:CA18)</f>
        <v/>
      </c>
      <c r="F18" s="50">
        <f>IF(D18="","",D18-E18)</f>
        <v/>
      </c>
      <c r="H18" s="90">
        <f>'INST. INC'!E5</f>
        <v/>
      </c>
      <c r="I18" s="90">
        <f>'INST. INC'!E6</f>
        <v/>
      </c>
      <c r="J18" s="90">
        <f>'INST. INC'!E7</f>
        <v/>
      </c>
      <c r="K18" s="90">
        <f>'INST. INC'!E8</f>
        <v/>
      </c>
      <c r="L18" s="90">
        <f>'INST. INC'!E9</f>
        <v/>
      </c>
      <c r="M18" s="90">
        <f>'INST. INC'!E10</f>
        <v/>
      </c>
      <c r="N18" s="90">
        <f>'INST. INC'!E11</f>
        <v/>
      </c>
      <c r="O18" s="90">
        <f>'INST. INC'!E12</f>
        <v/>
      </c>
      <c r="P18" s="90">
        <f>'INST. INC'!E13</f>
        <v/>
      </c>
      <c r="Q18" s="90">
        <f>'INST. INC'!E14</f>
        <v/>
      </c>
      <c r="R18" s="90">
        <f>'INST. INC'!E15</f>
        <v/>
      </c>
      <c r="S18" s="90">
        <f>'INST. INC'!E16</f>
        <v/>
      </c>
      <c r="T18" s="90">
        <f>'INST. INC'!E17</f>
        <v/>
      </c>
      <c r="U18" s="90">
        <f>'INST. INC'!E18</f>
        <v/>
      </c>
      <c r="V18" s="90">
        <f>'INST. INC'!E19</f>
        <v/>
      </c>
      <c r="W18" s="90">
        <f>'INST. INC'!E20</f>
        <v/>
      </c>
      <c r="X18" s="90">
        <f>'INST. INC'!E21</f>
        <v/>
      </c>
      <c r="Y18" s="90">
        <f>'INST. INC'!E22</f>
        <v/>
      </c>
      <c r="Z18" s="90">
        <f>'INST. INC'!E23</f>
        <v/>
      </c>
      <c r="AA18" s="90">
        <f>'INST. INC'!E24</f>
        <v/>
      </c>
      <c r="AB18" s="90">
        <f>'INST. INC'!E25</f>
        <v/>
      </c>
      <c r="AC18" s="90">
        <f>'INST. INC'!E26</f>
        <v/>
      </c>
      <c r="AD18" s="90">
        <f>'INST. INC'!E27</f>
        <v/>
      </c>
      <c r="AE18" s="90">
        <f>'INST. INC'!E28</f>
        <v/>
      </c>
      <c r="AF18" s="90">
        <f>'INST. INC'!E29</f>
        <v/>
      </c>
      <c r="AG18" s="90">
        <f>'INST. INC'!E30</f>
        <v/>
      </c>
      <c r="AH18" s="90">
        <f>'INST. INC'!E31</f>
        <v/>
      </c>
      <c r="AI18" s="90">
        <f>'INST. INC'!E32</f>
        <v/>
      </c>
      <c r="AJ18" s="90">
        <f>'INST. INC'!E33</f>
        <v/>
      </c>
      <c r="AK18" s="90">
        <f>'INST. INC'!E34</f>
        <v/>
      </c>
      <c r="AL18" s="90">
        <f>'INST. INC'!E35</f>
        <v/>
      </c>
      <c r="AM18" s="90">
        <f>'INST. INC'!E36</f>
        <v/>
      </c>
      <c r="AN18" s="90">
        <f>'INST. INC'!E37</f>
        <v/>
      </c>
      <c r="AO18" s="90">
        <f>'INST. INC'!E38</f>
        <v/>
      </c>
      <c r="AP18" s="90">
        <f>'INST. INC'!E39</f>
        <v/>
      </c>
      <c r="AQ18" s="90">
        <f>'INST. INC'!E40</f>
        <v/>
      </c>
      <c r="AR18" s="90">
        <f>'INST. INC'!E41</f>
        <v/>
      </c>
      <c r="AS18" s="90">
        <f>'INST. INC'!E42</f>
        <v/>
      </c>
      <c r="AT18" s="90">
        <f>'INST. INC'!E43</f>
        <v/>
      </c>
      <c r="AU18" s="90">
        <f>'INST. INC'!E44</f>
        <v/>
      </c>
      <c r="AV18" s="90">
        <f>'INST. INC'!E45</f>
        <v/>
      </c>
      <c r="AW18" s="90">
        <f>'INST. INC'!E46</f>
        <v/>
      </c>
      <c r="AX18" s="90">
        <f>'INST. INC'!E47</f>
        <v/>
      </c>
      <c r="AY18" s="90">
        <f>'INST. INC'!E48</f>
        <v/>
      </c>
      <c r="AZ18" s="90">
        <f>'INST. INC'!E49</f>
        <v/>
      </c>
      <c r="BA18" s="90">
        <f>'INST. INC'!E50</f>
        <v/>
      </c>
      <c r="BB18" s="90">
        <f>'INST. INC'!E51</f>
        <v/>
      </c>
      <c r="BC18" s="90">
        <f>'INST. INC'!E52</f>
        <v/>
      </c>
      <c r="BD18" s="90">
        <f>'INST. INC'!E53</f>
        <v/>
      </c>
      <c r="BE18" s="90">
        <f>'INST. INC'!E54</f>
        <v/>
      </c>
      <c r="BF18" s="90">
        <f>'INST. INC'!E55</f>
        <v/>
      </c>
      <c r="BG18" s="90">
        <f>'INST. INC'!E56</f>
        <v/>
      </c>
      <c r="BH18" s="90">
        <f>'INST. INC'!E57</f>
        <v/>
      </c>
      <c r="BI18" s="90">
        <f>'INST. INC'!E58</f>
        <v/>
      </c>
      <c r="BJ18" s="90">
        <f>'INST. INC'!E59</f>
        <v/>
      </c>
      <c r="BK18" s="90">
        <f>'INST. INC'!E60</f>
        <v/>
      </c>
      <c r="BL18" s="90">
        <f>'INST. INC'!E61</f>
        <v/>
      </c>
      <c r="BM18" s="90">
        <f>'INST. INC'!E62</f>
        <v/>
      </c>
      <c r="BN18" s="90">
        <f>'INST. INC'!E63</f>
        <v/>
      </c>
      <c r="BO18" s="90">
        <f>'INST. INC'!E64</f>
        <v/>
      </c>
      <c r="BP18" s="90">
        <f>'INST. INC'!E65</f>
        <v/>
      </c>
      <c r="BQ18" s="90">
        <f>'INST. INC'!E66</f>
        <v/>
      </c>
      <c r="BR18" s="90">
        <f>'INST. INC'!E67</f>
        <v/>
      </c>
      <c r="BS18" s="90">
        <f>'INST. INC'!E68</f>
        <v/>
      </c>
      <c r="BT18" s="90">
        <f>'INST. INC'!E69</f>
        <v/>
      </c>
      <c r="BU18" s="90">
        <f>'INST. INC'!E70</f>
        <v/>
      </c>
      <c r="BV18" s="90">
        <f>'INST. INC'!E71</f>
        <v/>
      </c>
      <c r="BW18" s="90">
        <f>'INST. INC'!E72</f>
        <v/>
      </c>
      <c r="BX18" s="90">
        <f>'INST. INC'!E73</f>
        <v/>
      </c>
      <c r="BY18" s="90">
        <f>'INST. INC'!E74</f>
        <v/>
      </c>
      <c r="BZ18" s="90">
        <f>'INST. INC'!E75</f>
        <v/>
      </c>
      <c r="CA18" s="90">
        <f>'INST. INC'!E76</f>
        <v/>
      </c>
    </row>
    <row r="19">
      <c r="A19" s="60" t="n"/>
      <c r="B19" s="60" t="inlineStr">
        <is>
          <t>1030-1070-240</t>
        </is>
      </c>
      <c r="C19" s="60" t="inlineStr">
        <is>
          <t>INSTALAÇÕES ELÉTRICAS</t>
        </is>
      </c>
      <c r="D19" s="63">
        <f>'INST. ELÉTRICA'!$K$5</f>
        <v/>
      </c>
      <c r="E19" s="50">
        <f>SUM(H19:CA19)</f>
        <v/>
      </c>
      <c r="F19" s="50">
        <f>IF(D19="","",D19-E19)</f>
        <v/>
      </c>
      <c r="H19" s="90">
        <f>'INST. ELÉTRICA'!E5</f>
        <v/>
      </c>
      <c r="I19" s="90">
        <f>'INST. ELÉTRICA'!E6</f>
        <v/>
      </c>
      <c r="J19" s="90">
        <f>'INST. ELÉTRICA'!E7</f>
        <v/>
      </c>
      <c r="K19" s="90">
        <f>'INST. ELÉTRICA'!E8</f>
        <v/>
      </c>
      <c r="L19" s="90">
        <f>'INST. ELÉTRICA'!E9</f>
        <v/>
      </c>
      <c r="M19" s="90">
        <f>'INST. ELÉTRICA'!E10</f>
        <v/>
      </c>
      <c r="N19" s="90">
        <f>'INST. ELÉTRICA'!E11</f>
        <v/>
      </c>
      <c r="O19" s="90">
        <f>'INST. ELÉTRICA'!E12</f>
        <v/>
      </c>
      <c r="P19" s="90">
        <f>'INST. ELÉTRICA'!E13</f>
        <v/>
      </c>
      <c r="Q19" s="90">
        <f>'INST. ELÉTRICA'!E14</f>
        <v/>
      </c>
      <c r="R19" s="90">
        <f>'INST. ELÉTRICA'!E15</f>
        <v/>
      </c>
      <c r="S19" s="90">
        <f>'INST. ELÉTRICA'!E16</f>
        <v/>
      </c>
      <c r="T19" s="90">
        <f>'INST. ELÉTRICA'!E17</f>
        <v/>
      </c>
      <c r="U19" s="90">
        <f>'INST. ELÉTRICA'!E18</f>
        <v/>
      </c>
      <c r="V19" s="90">
        <f>'INST. ELÉTRICA'!E19</f>
        <v/>
      </c>
      <c r="W19" s="90">
        <f>'INST. ELÉTRICA'!E20</f>
        <v/>
      </c>
      <c r="X19" s="90">
        <f>'INST. ELÉTRICA'!E21</f>
        <v/>
      </c>
      <c r="Y19" s="90">
        <f>'INST. ELÉTRICA'!E22</f>
        <v/>
      </c>
      <c r="Z19" s="90">
        <f>'INST. ELÉTRICA'!E23</f>
        <v/>
      </c>
      <c r="AA19" s="90">
        <f>'INST. ELÉTRICA'!E24</f>
        <v/>
      </c>
      <c r="AB19" s="90">
        <f>'INST. ELÉTRICA'!E25</f>
        <v/>
      </c>
      <c r="AC19" s="90">
        <f>'INST. ELÉTRICA'!E26</f>
        <v/>
      </c>
      <c r="AD19" s="90">
        <f>'INST. ELÉTRICA'!E27</f>
        <v/>
      </c>
      <c r="AE19" s="90">
        <f>'INST. ELÉTRICA'!E28</f>
        <v/>
      </c>
      <c r="AF19" s="90">
        <f>'INST. ELÉTRICA'!E29</f>
        <v/>
      </c>
      <c r="AG19" s="90">
        <f>'INST. ELÉTRICA'!E30</f>
        <v/>
      </c>
      <c r="AH19" s="90">
        <f>'INST. ELÉTRICA'!E31</f>
        <v/>
      </c>
      <c r="AI19" s="90">
        <f>'INST. ELÉTRICA'!E32</f>
        <v/>
      </c>
      <c r="AJ19" s="90">
        <f>'INST. ELÉTRICA'!E33</f>
        <v/>
      </c>
      <c r="AK19" s="90">
        <f>'INST. ELÉTRICA'!E34</f>
        <v/>
      </c>
      <c r="AL19" s="90">
        <f>'INST. ELÉTRICA'!E35</f>
        <v/>
      </c>
      <c r="AM19" s="90">
        <f>'INST. ELÉTRICA'!E36</f>
        <v/>
      </c>
      <c r="AN19" s="90">
        <f>'INST. ELÉTRICA'!E37</f>
        <v/>
      </c>
      <c r="AO19" s="90">
        <f>'INST. ELÉTRICA'!E38</f>
        <v/>
      </c>
      <c r="AP19" s="90">
        <f>'INST. ELÉTRICA'!E39</f>
        <v/>
      </c>
      <c r="AQ19" s="90">
        <f>'INST. ELÉTRICA'!E40</f>
        <v/>
      </c>
      <c r="AR19" s="90">
        <f>'INST. ELÉTRICA'!E41</f>
        <v/>
      </c>
      <c r="AS19" s="90">
        <f>'INST. ELÉTRICA'!E42</f>
        <v/>
      </c>
      <c r="AT19" s="90">
        <f>'INST. ELÉTRICA'!E43</f>
        <v/>
      </c>
      <c r="AU19" s="90">
        <f>'INST. ELÉTRICA'!E44</f>
        <v/>
      </c>
      <c r="AV19" s="90">
        <f>'INST. ELÉTRICA'!E45</f>
        <v/>
      </c>
      <c r="AW19" s="90">
        <f>'INST. ELÉTRICA'!E46</f>
        <v/>
      </c>
      <c r="AX19" s="90">
        <f>'INST. ELÉTRICA'!E47</f>
        <v/>
      </c>
      <c r="AY19" s="90">
        <f>'INST. ELÉTRICA'!E48</f>
        <v/>
      </c>
      <c r="AZ19" s="90">
        <f>'INST. ELÉTRICA'!E49</f>
        <v/>
      </c>
      <c r="BA19" s="90">
        <f>'INST. ELÉTRICA'!E50</f>
        <v/>
      </c>
      <c r="BB19" s="90">
        <f>'INST. ELÉTRICA'!E51</f>
        <v/>
      </c>
      <c r="BC19" s="90">
        <f>'INST. ELÉTRICA'!E52</f>
        <v/>
      </c>
      <c r="BD19" s="90">
        <f>'INST. ELÉTRICA'!E53</f>
        <v/>
      </c>
      <c r="BE19" s="90">
        <f>'INST. ELÉTRICA'!E54</f>
        <v/>
      </c>
      <c r="BF19" s="90">
        <f>'INST. ELÉTRICA'!E55</f>
        <v/>
      </c>
      <c r="BG19" s="90">
        <f>'INST. ELÉTRICA'!E56</f>
        <v/>
      </c>
      <c r="BH19" s="90">
        <f>'INST. ELÉTRICA'!E57</f>
        <v/>
      </c>
      <c r="BI19" s="90">
        <f>'INST. ELÉTRICA'!E58</f>
        <v/>
      </c>
      <c r="BJ19" s="90">
        <f>'INST. ELÉTRICA'!E59</f>
        <v/>
      </c>
      <c r="BK19" s="90">
        <f>'INST. ELÉTRICA'!E60</f>
        <v/>
      </c>
      <c r="BL19" s="90">
        <f>'INST. ELÉTRICA'!E61</f>
        <v/>
      </c>
      <c r="BM19" s="90">
        <f>'INST. ELÉTRICA'!E62</f>
        <v/>
      </c>
      <c r="BN19" s="90">
        <f>'INST. ELÉTRICA'!E63</f>
        <v/>
      </c>
      <c r="BO19" s="90">
        <f>'INST. ELÉTRICA'!E64</f>
        <v/>
      </c>
      <c r="BP19" s="90">
        <f>'INST. ELÉTRICA'!E65</f>
        <v/>
      </c>
      <c r="BQ19" s="90">
        <f>'INST. ELÉTRICA'!E66</f>
        <v/>
      </c>
      <c r="BR19" s="90">
        <f>'INST. ELÉTRICA'!E67</f>
        <v/>
      </c>
      <c r="BS19" s="90">
        <f>'INST. ELÉTRICA'!E68</f>
        <v/>
      </c>
      <c r="BT19" s="90">
        <f>'INST. ELÉTRICA'!E69</f>
        <v/>
      </c>
      <c r="BU19" s="90">
        <f>'INST. ELÉTRICA'!E70</f>
        <v/>
      </c>
      <c r="BV19" s="90">
        <f>'INST. ELÉTRICA'!E71</f>
        <v/>
      </c>
      <c r="BW19" s="90">
        <f>'INST. ELÉTRICA'!E72</f>
        <v/>
      </c>
      <c r="BX19" s="90">
        <f>'INST. ELÉTRICA'!E73</f>
        <v/>
      </c>
      <c r="BY19" s="90">
        <f>'INST. ELÉTRICA'!E74</f>
        <v/>
      </c>
      <c r="BZ19" s="90">
        <f>'INST. ELÉTRICA'!E75</f>
        <v/>
      </c>
      <c r="CA19" s="90">
        <f>'INST. ELÉTRICA'!E76</f>
        <v/>
      </c>
    </row>
    <row r="20">
      <c r="A20" s="60" t="n"/>
      <c r="B20" s="60" t="inlineStr">
        <is>
          <t>1030-1070-270</t>
        </is>
      </c>
      <c r="C20" s="60" t="inlineStr">
        <is>
          <t>INSTALAÇÕES ESPECIAIS</t>
        </is>
      </c>
      <c r="D20" s="63">
        <f>'INST. ESP'!$K$5</f>
        <v/>
      </c>
      <c r="E20" s="50">
        <f>SUM(H20:CA20)</f>
        <v/>
      </c>
      <c r="F20" s="50">
        <f>IF(D20="","",D20-E20)</f>
        <v/>
      </c>
      <c r="H20" s="90">
        <f>'INST. ESP'!E5</f>
        <v/>
      </c>
      <c r="I20" s="90">
        <f>'INST. ESP'!E6</f>
        <v/>
      </c>
      <c r="J20" s="90">
        <f>'INST. ESP'!E7</f>
        <v/>
      </c>
      <c r="K20" s="90">
        <f>'INST. ESP'!E8</f>
        <v/>
      </c>
      <c r="L20" s="90">
        <f>'INST. ESP'!E9</f>
        <v/>
      </c>
      <c r="M20" s="90">
        <f>'INST. ESP'!E10</f>
        <v/>
      </c>
      <c r="N20" s="90">
        <f>'INST. ESP'!E11</f>
        <v/>
      </c>
      <c r="O20" s="90">
        <f>'INST. ESP'!E12</f>
        <v/>
      </c>
      <c r="P20" s="90">
        <f>'INST. ESP'!E13</f>
        <v/>
      </c>
      <c r="Q20" s="90">
        <f>'INST. ESP'!E14</f>
        <v/>
      </c>
      <c r="R20" s="90">
        <f>'INST. ESP'!E15</f>
        <v/>
      </c>
      <c r="S20" s="90">
        <f>'INST. ESP'!E16</f>
        <v/>
      </c>
      <c r="T20" s="90">
        <f>'INST. ESP'!E17</f>
        <v/>
      </c>
      <c r="U20" s="90">
        <f>'INST. ESP'!E18</f>
        <v/>
      </c>
      <c r="V20" s="90">
        <f>'INST. ESP'!E19</f>
        <v/>
      </c>
      <c r="W20" s="90">
        <f>'INST. ESP'!E20</f>
        <v/>
      </c>
      <c r="X20" s="90">
        <f>'INST. ESP'!E21</f>
        <v/>
      </c>
      <c r="Y20" s="90">
        <f>'INST. ESP'!E22</f>
        <v/>
      </c>
      <c r="Z20" s="90">
        <f>'INST. ESP'!E23</f>
        <v/>
      </c>
      <c r="AA20" s="90">
        <f>'INST. ESP'!E24</f>
        <v/>
      </c>
      <c r="AB20" s="90">
        <f>'INST. ESP'!E25</f>
        <v/>
      </c>
      <c r="AC20" s="90">
        <f>'INST. ESP'!E26</f>
        <v/>
      </c>
      <c r="AD20" s="90">
        <f>'INST. ESP'!E27</f>
        <v/>
      </c>
      <c r="AE20" s="90">
        <f>'INST. ESP'!E28</f>
        <v/>
      </c>
      <c r="AF20" s="90">
        <f>'INST. ESP'!E29</f>
        <v/>
      </c>
      <c r="AG20" s="90">
        <f>'INST. ESP'!E30</f>
        <v/>
      </c>
      <c r="AH20" s="90">
        <f>'INST. ESP'!E31</f>
        <v/>
      </c>
      <c r="AI20" s="90">
        <f>'INST. ESP'!E32</f>
        <v/>
      </c>
      <c r="AJ20" s="90">
        <f>'INST. ESP'!E33</f>
        <v/>
      </c>
      <c r="AK20" s="90">
        <f>'INST. ESP'!E34</f>
        <v/>
      </c>
      <c r="AL20" s="90">
        <f>'INST. ESP'!E35</f>
        <v/>
      </c>
      <c r="AM20" s="90">
        <f>'INST. ESP'!E36</f>
        <v/>
      </c>
      <c r="AN20" s="90">
        <f>'INST. ESP'!E37</f>
        <v/>
      </c>
      <c r="AO20" s="90">
        <f>'INST. ESP'!E38</f>
        <v/>
      </c>
      <c r="AP20" s="90">
        <f>'INST. ESP'!E39</f>
        <v/>
      </c>
      <c r="AQ20" s="90">
        <f>'INST. ESP'!E40</f>
        <v/>
      </c>
      <c r="AR20" s="90">
        <f>'INST. ESP'!E41</f>
        <v/>
      </c>
      <c r="AS20" s="90">
        <f>'INST. ESP'!E42</f>
        <v/>
      </c>
      <c r="AT20" s="90">
        <f>'INST. ESP'!E43</f>
        <v/>
      </c>
      <c r="AU20" s="90">
        <f>'INST. ESP'!E44</f>
        <v/>
      </c>
      <c r="AV20" s="90">
        <f>'INST. ESP'!E45</f>
        <v/>
      </c>
      <c r="AW20" s="90">
        <f>'INST. ESP'!E46</f>
        <v/>
      </c>
      <c r="AX20" s="90">
        <f>'INST. ESP'!E47</f>
        <v/>
      </c>
      <c r="AY20" s="90">
        <f>'INST. ESP'!E48</f>
        <v/>
      </c>
      <c r="AZ20" s="90">
        <f>'INST. ESP'!E49</f>
        <v/>
      </c>
      <c r="BA20" s="90">
        <f>'INST. ESP'!E50</f>
        <v/>
      </c>
      <c r="BB20" s="90">
        <f>'INST. ESP'!E51</f>
        <v/>
      </c>
      <c r="BC20" s="90">
        <f>'INST. ESP'!E52</f>
        <v/>
      </c>
      <c r="BD20" s="90">
        <f>'INST. ESP'!E53</f>
        <v/>
      </c>
      <c r="BE20" s="90">
        <f>'INST. ESP'!E54</f>
        <v/>
      </c>
      <c r="BF20" s="90">
        <f>'INST. ESP'!E55</f>
        <v/>
      </c>
      <c r="BG20" s="90">
        <f>'INST. ESP'!E56</f>
        <v/>
      </c>
      <c r="BH20" s="90">
        <f>'INST. ESP'!E57</f>
        <v/>
      </c>
      <c r="BI20" s="90">
        <f>'INST. ESP'!E58</f>
        <v/>
      </c>
      <c r="BJ20" s="90">
        <f>'INST. ESP'!E59</f>
        <v/>
      </c>
      <c r="BK20" s="90">
        <f>'INST. ESP'!E60</f>
        <v/>
      </c>
      <c r="BL20" s="90">
        <f>'INST. ESP'!E61</f>
        <v/>
      </c>
      <c r="BM20" s="90">
        <f>'INST. ESP'!E62</f>
        <v/>
      </c>
      <c r="BN20" s="90">
        <f>'INST. ESP'!E63</f>
        <v/>
      </c>
      <c r="BO20" s="90">
        <f>'INST. ESP'!E64</f>
        <v/>
      </c>
      <c r="BP20" s="90">
        <f>'INST. ESP'!E65</f>
        <v/>
      </c>
      <c r="BQ20" s="90">
        <f>'INST. ESP'!E66</f>
        <v/>
      </c>
      <c r="BR20" s="90">
        <f>'INST. ESP'!E67</f>
        <v/>
      </c>
      <c r="BS20" s="90">
        <f>'INST. ESP'!E68</f>
        <v/>
      </c>
      <c r="BT20" s="90">
        <f>'INST. ESP'!E69</f>
        <v/>
      </c>
      <c r="BU20" s="90">
        <f>'INST. ESP'!E70</f>
        <v/>
      </c>
      <c r="BV20" s="90">
        <f>'INST. ESP'!E71</f>
        <v/>
      </c>
      <c r="BW20" s="90">
        <f>'INST. ESP'!E72</f>
        <v/>
      </c>
      <c r="BX20" s="90">
        <f>'INST. ESP'!E73</f>
        <v/>
      </c>
      <c r="BY20" s="90">
        <f>'INST. ESP'!E74</f>
        <v/>
      </c>
      <c r="BZ20" s="90">
        <f>'INST. ESP'!E75</f>
        <v/>
      </c>
      <c r="CA20" s="90">
        <f>'INST. ESP'!E76</f>
        <v/>
      </c>
    </row>
    <row r="21">
      <c r="A21" s="60" t="n"/>
      <c r="B21" s="60" t="inlineStr">
        <is>
          <t>1030-1070-250</t>
        </is>
      </c>
      <c r="C21" s="60" t="inlineStr">
        <is>
          <t>INSTALAÇÕES HIDROSANITÁRIAS</t>
        </is>
      </c>
      <c r="D21" s="63">
        <f>'INST. HIDRO'!$K$5</f>
        <v/>
      </c>
      <c r="E21" s="50">
        <f>SUM(H21:CA21)</f>
        <v/>
      </c>
      <c r="F21" s="50">
        <f>IF(D21="","",D21-E21)</f>
        <v/>
      </c>
      <c r="H21" s="90">
        <f>'INST. HIDRO'!E5</f>
        <v/>
      </c>
      <c r="I21" s="90">
        <f>'INST. HIDRO'!E6</f>
        <v/>
      </c>
      <c r="J21" s="90">
        <f>'INST. HIDRO'!E7</f>
        <v/>
      </c>
      <c r="K21" s="90">
        <f>'INST. HIDRO'!E8</f>
        <v/>
      </c>
      <c r="L21" s="90">
        <f>'INST. HIDRO'!E9</f>
        <v/>
      </c>
      <c r="M21" s="90">
        <f>'INST. HIDRO'!E10</f>
        <v/>
      </c>
      <c r="N21" s="90">
        <f>'INST. HIDRO'!E11</f>
        <v/>
      </c>
      <c r="O21" s="90">
        <f>'INST. HIDRO'!E12</f>
        <v/>
      </c>
      <c r="P21" s="90">
        <f>'INST. HIDRO'!E13</f>
        <v/>
      </c>
      <c r="Q21" s="90">
        <f>'INST. HIDRO'!E14</f>
        <v/>
      </c>
      <c r="R21" s="90">
        <f>'INST. HIDRO'!E15</f>
        <v/>
      </c>
      <c r="S21" s="90">
        <f>'INST. HIDRO'!E16</f>
        <v/>
      </c>
      <c r="T21" s="90">
        <f>'INST. HIDRO'!E17</f>
        <v/>
      </c>
      <c r="U21" s="90">
        <f>'INST. HIDRO'!E18</f>
        <v/>
      </c>
      <c r="V21" s="90">
        <f>'INST. HIDRO'!E19</f>
        <v/>
      </c>
      <c r="W21" s="90">
        <f>'INST. HIDRO'!E20</f>
        <v/>
      </c>
      <c r="X21" s="90">
        <f>'INST. HIDRO'!E21</f>
        <v/>
      </c>
      <c r="Y21" s="90">
        <f>'INST. HIDRO'!E22</f>
        <v/>
      </c>
      <c r="Z21" s="90">
        <f>'INST. HIDRO'!E23</f>
        <v/>
      </c>
      <c r="AA21" s="90">
        <f>'INST. HIDRO'!E24</f>
        <v/>
      </c>
      <c r="AB21" s="90">
        <f>'INST. HIDRO'!E25</f>
        <v/>
      </c>
      <c r="AC21" s="90">
        <f>'INST. HIDRO'!E26</f>
        <v/>
      </c>
      <c r="AD21" s="90">
        <f>'INST. HIDRO'!E27</f>
        <v/>
      </c>
      <c r="AE21" s="90">
        <f>'INST. HIDRO'!E28</f>
        <v/>
      </c>
      <c r="AF21" s="90">
        <f>'INST. HIDRO'!E29</f>
        <v/>
      </c>
      <c r="AG21" s="90">
        <f>'INST. HIDRO'!E30</f>
        <v/>
      </c>
      <c r="AH21" s="90">
        <f>'INST. HIDRO'!E31</f>
        <v/>
      </c>
      <c r="AI21" s="90">
        <f>'INST. HIDRO'!E32</f>
        <v/>
      </c>
      <c r="AJ21" s="90">
        <f>'INST. HIDRO'!E33</f>
        <v/>
      </c>
      <c r="AK21" s="90">
        <f>'INST. HIDRO'!E34</f>
        <v/>
      </c>
      <c r="AL21" s="90">
        <f>'INST. HIDRO'!E35</f>
        <v/>
      </c>
      <c r="AM21" s="90">
        <f>'INST. HIDRO'!E36</f>
        <v/>
      </c>
      <c r="AN21" s="90">
        <f>'INST. HIDRO'!E37</f>
        <v/>
      </c>
      <c r="AO21" s="90">
        <f>'INST. HIDRO'!E38</f>
        <v/>
      </c>
      <c r="AP21" s="90">
        <f>'INST. HIDRO'!E39</f>
        <v/>
      </c>
      <c r="AQ21" s="90">
        <f>'INST. HIDRO'!E40</f>
        <v/>
      </c>
      <c r="AR21" s="90">
        <f>'INST. HIDRO'!E41</f>
        <v/>
      </c>
      <c r="AS21" s="90">
        <f>'INST. HIDRO'!E42</f>
        <v/>
      </c>
      <c r="AT21" s="90">
        <f>'INST. HIDRO'!E43</f>
        <v/>
      </c>
      <c r="AU21" s="90">
        <f>'INST. HIDRO'!E44</f>
        <v/>
      </c>
      <c r="AV21" s="90">
        <f>'INST. HIDRO'!E45</f>
        <v/>
      </c>
      <c r="AW21" s="90">
        <f>'INST. HIDRO'!E46</f>
        <v/>
      </c>
      <c r="AX21" s="90">
        <f>'INST. HIDRO'!E47</f>
        <v/>
      </c>
      <c r="AY21" s="90">
        <f>'INST. HIDRO'!E48</f>
        <v/>
      </c>
      <c r="AZ21" s="90">
        <f>'INST. HIDRO'!E49</f>
        <v/>
      </c>
      <c r="BA21" s="90">
        <f>'INST. HIDRO'!E50</f>
        <v/>
      </c>
      <c r="BB21" s="90">
        <f>'INST. HIDRO'!E51</f>
        <v/>
      </c>
      <c r="BC21" s="90">
        <f>'INST. HIDRO'!E52</f>
        <v/>
      </c>
      <c r="BD21" s="90">
        <f>'INST. HIDRO'!E53</f>
        <v/>
      </c>
      <c r="BE21" s="90">
        <f>'INST. HIDRO'!E54</f>
        <v/>
      </c>
      <c r="BF21" s="90">
        <f>'INST. HIDRO'!E55</f>
        <v/>
      </c>
      <c r="BG21" s="90">
        <f>'INST. HIDRO'!E56</f>
        <v/>
      </c>
      <c r="BH21" s="90">
        <f>'INST. HIDRO'!E57</f>
        <v/>
      </c>
      <c r="BI21" s="90">
        <f>'INST. HIDRO'!E58</f>
        <v/>
      </c>
      <c r="BJ21" s="90">
        <f>'INST. HIDRO'!E59</f>
        <v/>
      </c>
      <c r="BK21" s="90">
        <f>'INST. HIDRO'!E60</f>
        <v/>
      </c>
      <c r="BL21" s="90">
        <f>'INST. HIDRO'!E61</f>
        <v/>
      </c>
      <c r="BM21" s="90">
        <f>'INST. HIDRO'!E62</f>
        <v/>
      </c>
      <c r="BN21" s="90">
        <f>'INST. HIDRO'!E63</f>
        <v/>
      </c>
      <c r="BO21" s="90">
        <f>'INST. HIDRO'!E64</f>
        <v/>
      </c>
      <c r="BP21" s="90">
        <f>'INST. HIDRO'!E65</f>
        <v/>
      </c>
      <c r="BQ21" s="90">
        <f>'INST. HIDRO'!E66</f>
        <v/>
      </c>
      <c r="BR21" s="90">
        <f>'INST. HIDRO'!E67</f>
        <v/>
      </c>
      <c r="BS21" s="90">
        <f>'INST. HIDRO'!E68</f>
        <v/>
      </c>
      <c r="BT21" s="90">
        <f>'INST. HIDRO'!E69</f>
        <v/>
      </c>
      <c r="BU21" s="90">
        <f>'INST. HIDRO'!E70</f>
        <v/>
      </c>
      <c r="BV21" s="90">
        <f>'INST. HIDRO'!E71</f>
        <v/>
      </c>
      <c r="BW21" s="90">
        <f>'INST. HIDRO'!E72</f>
        <v/>
      </c>
      <c r="BX21" s="90">
        <f>'INST. HIDRO'!E73</f>
        <v/>
      </c>
      <c r="BY21" s="90">
        <f>'INST. HIDRO'!E74</f>
        <v/>
      </c>
      <c r="BZ21" s="90">
        <f>'INST. HIDRO'!E75</f>
        <v/>
      </c>
      <c r="CA21" s="90">
        <f>'INST. HIDRO'!E76</f>
        <v/>
      </c>
    </row>
    <row r="22">
      <c r="A22" s="60" t="n"/>
      <c r="B22" s="60" t="inlineStr">
        <is>
          <t>1030-1070-130</t>
        </is>
      </c>
      <c r="C22" s="60" t="inlineStr">
        <is>
          <t>LEVANTAMENTO TOPOGRÁFICO</t>
        </is>
      </c>
      <c r="E22" s="50">
        <f>SUM(H22:CA22)</f>
        <v/>
      </c>
      <c r="F22" s="50">
        <f>IF(D22="","",D22-E22)</f>
        <v/>
      </c>
    </row>
    <row r="23">
      <c r="A23" s="60" t="n"/>
      <c r="B23" s="60" t="inlineStr">
        <is>
          <t>1030-1070-410</t>
        </is>
      </c>
      <c r="C23" s="60" t="inlineStr">
        <is>
          <t>LOUÇAS SANITÁRIAS</t>
        </is>
      </c>
      <c r="D23" s="63">
        <f>'LOUÇAS'!$K$5</f>
        <v/>
      </c>
      <c r="E23" s="50">
        <f>SUM(H23:CA23)</f>
        <v/>
      </c>
      <c r="F23" s="50">
        <f>IF(D23="","",D23-E23)</f>
        <v/>
      </c>
      <c r="H23" s="90">
        <f>'LOUÇAS'!E5</f>
        <v/>
      </c>
      <c r="I23" s="90">
        <f>'LOUÇAS'!E6</f>
        <v/>
      </c>
      <c r="J23" s="90">
        <f>'LOUÇAS'!E7</f>
        <v/>
      </c>
      <c r="K23" s="90">
        <f>'LOUÇAS'!E8</f>
        <v/>
      </c>
      <c r="L23" s="90">
        <f>'LOUÇAS'!E9</f>
        <v/>
      </c>
      <c r="M23" s="90">
        <f>'LOUÇAS'!E10</f>
        <v/>
      </c>
      <c r="N23" s="90">
        <f>'LOUÇAS'!E11</f>
        <v/>
      </c>
      <c r="O23" s="90">
        <f>'LOUÇAS'!E12</f>
        <v/>
      </c>
      <c r="P23" s="90">
        <f>'LOUÇAS'!E13</f>
        <v/>
      </c>
      <c r="Q23" s="90">
        <f>'LOUÇAS'!E14</f>
        <v/>
      </c>
      <c r="R23" s="90">
        <f>'LOUÇAS'!E15</f>
        <v/>
      </c>
      <c r="S23" s="90">
        <f>'LOUÇAS'!E16</f>
        <v/>
      </c>
      <c r="T23" s="90">
        <f>'LOUÇAS'!E17</f>
        <v/>
      </c>
      <c r="U23" s="90">
        <f>'LOUÇAS'!E18</f>
        <v/>
      </c>
      <c r="V23" s="90">
        <f>'LOUÇAS'!E19</f>
        <v/>
      </c>
      <c r="W23" s="90">
        <f>'LOUÇAS'!E20</f>
        <v/>
      </c>
      <c r="X23" s="90">
        <f>'LOUÇAS'!E21</f>
        <v/>
      </c>
      <c r="Y23" s="90">
        <f>'LOUÇAS'!E22</f>
        <v/>
      </c>
      <c r="Z23" s="90">
        <f>'LOUÇAS'!E23</f>
        <v/>
      </c>
      <c r="AA23" s="90">
        <f>'LOUÇAS'!E24</f>
        <v/>
      </c>
      <c r="AB23" s="90">
        <f>'LOUÇAS'!E25</f>
        <v/>
      </c>
      <c r="AC23" s="90">
        <f>'LOUÇAS'!E26</f>
        <v/>
      </c>
      <c r="AD23" s="90">
        <f>'LOUÇAS'!E27</f>
        <v/>
      </c>
      <c r="AE23" s="90">
        <f>'LOUÇAS'!E28</f>
        <v/>
      </c>
      <c r="AF23" s="90">
        <f>'LOUÇAS'!E29</f>
        <v/>
      </c>
      <c r="AG23" s="90">
        <f>'LOUÇAS'!E30</f>
        <v/>
      </c>
      <c r="AH23" s="90">
        <f>'LOUÇAS'!E31</f>
        <v/>
      </c>
      <c r="AI23" s="90">
        <f>'LOUÇAS'!E32</f>
        <v/>
      </c>
      <c r="AJ23" s="90">
        <f>'LOUÇAS'!E33</f>
        <v/>
      </c>
      <c r="AK23" s="90">
        <f>'LOUÇAS'!E34</f>
        <v/>
      </c>
      <c r="AL23" s="90">
        <f>'LOUÇAS'!E35</f>
        <v/>
      </c>
      <c r="AM23" s="90">
        <f>'LOUÇAS'!E36</f>
        <v/>
      </c>
      <c r="AN23" s="90">
        <f>'LOUÇAS'!E37</f>
        <v/>
      </c>
      <c r="AO23" s="90">
        <f>'LOUÇAS'!E38</f>
        <v/>
      </c>
      <c r="AP23" s="90">
        <f>'LOUÇAS'!E39</f>
        <v/>
      </c>
      <c r="AQ23" s="90">
        <f>'LOUÇAS'!E40</f>
        <v/>
      </c>
      <c r="AR23" s="90">
        <f>'LOUÇAS'!E41</f>
        <v/>
      </c>
      <c r="AS23" s="90">
        <f>'LOUÇAS'!E42</f>
        <v/>
      </c>
      <c r="AT23" s="90">
        <f>'LOUÇAS'!E43</f>
        <v/>
      </c>
      <c r="AU23" s="90">
        <f>'LOUÇAS'!E44</f>
        <v/>
      </c>
      <c r="AV23" s="90">
        <f>'LOUÇAS'!E45</f>
        <v/>
      </c>
      <c r="AW23" s="90">
        <f>'LOUÇAS'!E46</f>
        <v/>
      </c>
      <c r="AX23" s="90">
        <f>'LOUÇAS'!E47</f>
        <v/>
      </c>
      <c r="AY23" s="90">
        <f>'LOUÇAS'!E48</f>
        <v/>
      </c>
      <c r="AZ23" s="90">
        <f>'LOUÇAS'!E49</f>
        <v/>
      </c>
      <c r="BA23" s="90">
        <f>'LOUÇAS'!E50</f>
        <v/>
      </c>
      <c r="BB23" s="90">
        <f>'LOUÇAS'!E51</f>
        <v/>
      </c>
      <c r="BC23" s="90">
        <f>'LOUÇAS'!E52</f>
        <v/>
      </c>
      <c r="BD23" s="90">
        <f>'LOUÇAS'!E53</f>
        <v/>
      </c>
      <c r="BE23" s="90">
        <f>'LOUÇAS'!E54</f>
        <v/>
      </c>
      <c r="BF23" s="90">
        <f>'LOUÇAS'!E55</f>
        <v/>
      </c>
      <c r="BG23" s="90">
        <f>'LOUÇAS'!E56</f>
        <v/>
      </c>
      <c r="BH23" s="90">
        <f>'LOUÇAS'!E57</f>
        <v/>
      </c>
      <c r="BI23" s="90">
        <f>'LOUÇAS'!E58</f>
        <v/>
      </c>
      <c r="BJ23" s="90">
        <f>'LOUÇAS'!E59</f>
        <v/>
      </c>
      <c r="BK23" s="90">
        <f>'LOUÇAS'!E60</f>
        <v/>
      </c>
      <c r="BL23" s="90">
        <f>'LOUÇAS'!E61</f>
        <v/>
      </c>
      <c r="BM23" s="90">
        <f>'LOUÇAS'!E62</f>
        <v/>
      </c>
      <c r="BN23" s="90">
        <f>'LOUÇAS'!E63</f>
        <v/>
      </c>
      <c r="BO23" s="90">
        <f>'LOUÇAS'!E64</f>
        <v/>
      </c>
      <c r="BP23" s="90">
        <f>'LOUÇAS'!E65</f>
        <v/>
      </c>
      <c r="BQ23" s="90">
        <f>'LOUÇAS'!E66</f>
        <v/>
      </c>
      <c r="BR23" s="90">
        <f>'LOUÇAS'!E67</f>
        <v/>
      </c>
      <c r="BS23" s="90">
        <f>'LOUÇAS'!E68</f>
        <v/>
      </c>
      <c r="BT23" s="90">
        <f>'LOUÇAS'!E69</f>
        <v/>
      </c>
      <c r="BU23" s="90">
        <f>'LOUÇAS'!E70</f>
        <v/>
      </c>
      <c r="BV23" s="90">
        <f>'LOUÇAS'!E71</f>
        <v/>
      </c>
      <c r="BW23" s="90">
        <f>'LOUÇAS'!E72</f>
        <v/>
      </c>
      <c r="BX23" s="90">
        <f>'LOUÇAS'!E73</f>
        <v/>
      </c>
      <c r="BY23" s="90">
        <f>'LOUÇAS'!E74</f>
        <v/>
      </c>
      <c r="BZ23" s="90">
        <f>'LOUÇAS'!E75</f>
        <v/>
      </c>
      <c r="CA23" s="90">
        <f>'LOUÇAS'!E76</f>
        <v/>
      </c>
    </row>
    <row r="24">
      <c r="A24" s="60" t="n"/>
      <c r="B24" s="60" t="inlineStr">
        <is>
          <t>1030-1070-440</t>
        </is>
      </c>
      <c r="C24" s="60" t="inlineStr">
        <is>
          <t>LIMPEZA FINAL DE OBRA</t>
        </is>
      </c>
      <c r="D24" s="63">
        <f>'LIMPEZA'!$K$5</f>
        <v/>
      </c>
      <c r="E24" s="50">
        <f>SUM(H24:CA24)</f>
        <v/>
      </c>
      <c r="F24" s="50">
        <f>IF(D24="","",D24-E24)</f>
        <v/>
      </c>
      <c r="H24" s="90">
        <f>'LIMPEZA'!E5</f>
        <v/>
      </c>
      <c r="I24" s="90">
        <f>'LIMPEZA'!E6</f>
        <v/>
      </c>
      <c r="J24" s="90">
        <f>'LIMPEZA'!E7</f>
        <v/>
      </c>
      <c r="K24" s="90">
        <f>'LIMPEZA'!E8</f>
        <v/>
      </c>
      <c r="L24" s="90">
        <f>'LIMPEZA'!E9</f>
        <v/>
      </c>
      <c r="M24" s="90">
        <f>'LIMPEZA'!E10</f>
        <v/>
      </c>
      <c r="N24" s="90">
        <f>'LIMPEZA'!E11</f>
        <v/>
      </c>
      <c r="O24" s="90">
        <f>'LIMPEZA'!E12</f>
        <v/>
      </c>
      <c r="P24" s="90">
        <f>'LIMPEZA'!E13</f>
        <v/>
      </c>
      <c r="Q24" s="90">
        <f>'LIMPEZA'!E14</f>
        <v/>
      </c>
      <c r="R24" s="90">
        <f>'LIMPEZA'!E15</f>
        <v/>
      </c>
      <c r="S24" s="90">
        <f>'LIMPEZA'!E16</f>
        <v/>
      </c>
      <c r="T24" s="90">
        <f>'LIMPEZA'!E17</f>
        <v/>
      </c>
      <c r="U24" s="90">
        <f>'LIMPEZA'!E18</f>
        <v/>
      </c>
      <c r="V24" s="90">
        <f>'LIMPEZA'!E19</f>
        <v/>
      </c>
      <c r="W24" s="90">
        <f>'LIMPEZA'!E20</f>
        <v/>
      </c>
      <c r="X24" s="90">
        <f>'LIMPEZA'!E21</f>
        <v/>
      </c>
      <c r="Y24" s="90">
        <f>'LIMPEZA'!E22</f>
        <v/>
      </c>
      <c r="Z24" s="90">
        <f>'LIMPEZA'!E23</f>
        <v/>
      </c>
      <c r="AA24" s="90">
        <f>'LIMPEZA'!E24</f>
        <v/>
      </c>
      <c r="AB24" s="90">
        <f>'LIMPEZA'!E25</f>
        <v/>
      </c>
      <c r="AC24" s="90">
        <f>'LIMPEZA'!E26</f>
        <v/>
      </c>
      <c r="AD24" s="90">
        <f>'LIMPEZA'!E27</f>
        <v/>
      </c>
      <c r="AE24" s="90">
        <f>'LIMPEZA'!E28</f>
        <v/>
      </c>
      <c r="AF24" s="90">
        <f>'LIMPEZA'!E29</f>
        <v/>
      </c>
      <c r="AG24" s="90">
        <f>'LIMPEZA'!E30</f>
        <v/>
      </c>
      <c r="AH24" s="90">
        <f>'LIMPEZA'!E31</f>
        <v/>
      </c>
      <c r="AI24" s="90">
        <f>'LIMPEZA'!E32</f>
        <v/>
      </c>
      <c r="AJ24" s="90">
        <f>'LIMPEZA'!E33</f>
        <v/>
      </c>
      <c r="AK24" s="90">
        <f>'LIMPEZA'!E34</f>
        <v/>
      </c>
      <c r="AL24" s="90">
        <f>'LIMPEZA'!E35</f>
        <v/>
      </c>
      <c r="AM24" s="90">
        <f>'LIMPEZA'!E36</f>
        <v/>
      </c>
      <c r="AN24" s="90">
        <f>'LIMPEZA'!E37</f>
        <v/>
      </c>
      <c r="AO24" s="90">
        <f>'LIMPEZA'!E38</f>
        <v/>
      </c>
      <c r="AP24" s="90">
        <f>'LIMPEZA'!E39</f>
        <v/>
      </c>
      <c r="AQ24" s="90">
        <f>'LIMPEZA'!E40</f>
        <v/>
      </c>
      <c r="AR24" s="90">
        <f>'LIMPEZA'!E41</f>
        <v/>
      </c>
      <c r="AS24" s="90">
        <f>'LIMPEZA'!E42</f>
        <v/>
      </c>
      <c r="AT24" s="90">
        <f>'LIMPEZA'!E43</f>
        <v/>
      </c>
      <c r="AU24" s="90">
        <f>'LIMPEZA'!E44</f>
        <v/>
      </c>
      <c r="AV24" s="90">
        <f>'LIMPEZA'!E45</f>
        <v/>
      </c>
      <c r="AW24" s="90">
        <f>'LIMPEZA'!E46</f>
        <v/>
      </c>
      <c r="AX24" s="90">
        <f>'LIMPEZA'!E47</f>
        <v/>
      </c>
      <c r="AY24" s="90">
        <f>'LIMPEZA'!E48</f>
        <v/>
      </c>
      <c r="AZ24" s="90">
        <f>'LIMPEZA'!E49</f>
        <v/>
      </c>
      <c r="BA24" s="90">
        <f>'LIMPEZA'!E50</f>
        <v/>
      </c>
      <c r="BB24" s="90">
        <f>'LIMPEZA'!E51</f>
        <v/>
      </c>
      <c r="BC24" s="90">
        <f>'LIMPEZA'!E52</f>
        <v/>
      </c>
      <c r="BD24" s="90">
        <f>'LIMPEZA'!E53</f>
        <v/>
      </c>
      <c r="BE24" s="90">
        <f>'LIMPEZA'!E54</f>
        <v/>
      </c>
      <c r="BF24" s="90">
        <f>'LIMPEZA'!E55</f>
        <v/>
      </c>
      <c r="BG24" s="90">
        <f>'LIMPEZA'!E56</f>
        <v/>
      </c>
      <c r="BH24" s="90">
        <f>'LIMPEZA'!E57</f>
        <v/>
      </c>
      <c r="BI24" s="90">
        <f>'LIMPEZA'!E58</f>
        <v/>
      </c>
      <c r="BJ24" s="90">
        <f>'LIMPEZA'!E59</f>
        <v/>
      </c>
      <c r="BK24" s="90">
        <f>'LIMPEZA'!E60</f>
        <v/>
      </c>
      <c r="BL24" s="90">
        <f>'LIMPEZA'!E61</f>
        <v/>
      </c>
      <c r="BM24" s="90">
        <f>'LIMPEZA'!E62</f>
        <v/>
      </c>
      <c r="BN24" s="90">
        <f>'LIMPEZA'!E63</f>
        <v/>
      </c>
      <c r="BO24" s="90">
        <f>'LIMPEZA'!E64</f>
        <v/>
      </c>
      <c r="BP24" s="90">
        <f>'LIMPEZA'!E65</f>
        <v/>
      </c>
      <c r="BQ24" s="90">
        <f>'LIMPEZA'!E66</f>
        <v/>
      </c>
      <c r="BR24" s="90">
        <f>'LIMPEZA'!E67</f>
        <v/>
      </c>
      <c r="BS24" s="90">
        <f>'LIMPEZA'!E68</f>
        <v/>
      </c>
      <c r="BT24" s="90">
        <f>'LIMPEZA'!E69</f>
        <v/>
      </c>
      <c r="BU24" s="90">
        <f>'LIMPEZA'!E70</f>
        <v/>
      </c>
      <c r="BV24" s="90">
        <f>'LIMPEZA'!E71</f>
        <v/>
      </c>
      <c r="BW24" s="90">
        <f>'LIMPEZA'!E72</f>
        <v/>
      </c>
      <c r="BX24" s="90">
        <f>'LIMPEZA'!E73</f>
        <v/>
      </c>
      <c r="BY24" s="90">
        <f>'LIMPEZA'!E74</f>
        <v/>
      </c>
      <c r="BZ24" s="90">
        <f>'LIMPEZA'!E75</f>
        <v/>
      </c>
      <c r="CA24" s="90">
        <f>'LIMPEZA'!E76</f>
        <v/>
      </c>
    </row>
    <row r="25">
      <c r="A25" s="60" t="n"/>
      <c r="B25" s="60" t="inlineStr">
        <is>
          <t>1030-1070-540</t>
        </is>
      </c>
      <c r="C25" s="60" t="inlineStr">
        <is>
          <t>MARCENARIA</t>
        </is>
      </c>
      <c r="D25" s="63">
        <f>'MARCENARIA'!$K$5</f>
        <v/>
      </c>
      <c r="E25" s="50">
        <f>SUM(H25:CA25)</f>
        <v/>
      </c>
      <c r="F25" s="50">
        <f>IF(D25="","",D25-E25)</f>
        <v/>
      </c>
      <c r="H25" s="90">
        <f>'MARCENARIA'!E5</f>
        <v/>
      </c>
      <c r="I25" s="90">
        <f>'MARCENARIA'!E6</f>
        <v/>
      </c>
      <c r="J25" s="90">
        <f>'MARCENARIA'!E7</f>
        <v/>
      </c>
      <c r="K25" s="90">
        <f>'MARCENARIA'!E8</f>
        <v/>
      </c>
      <c r="L25" s="90">
        <f>'MARCENARIA'!E9</f>
        <v/>
      </c>
      <c r="M25" s="90">
        <f>'MARCENARIA'!E10</f>
        <v/>
      </c>
      <c r="N25" s="90">
        <f>'MARCENARIA'!E11</f>
        <v/>
      </c>
      <c r="O25" s="90">
        <f>'MARCENARIA'!E12</f>
        <v/>
      </c>
      <c r="P25" s="90">
        <f>'MARCENARIA'!E13</f>
        <v/>
      </c>
      <c r="Q25" s="90">
        <f>'MARCENARIA'!E14</f>
        <v/>
      </c>
      <c r="R25" s="90">
        <f>'MARCENARIA'!E15</f>
        <v/>
      </c>
      <c r="S25" s="90">
        <f>'MARCENARIA'!E16</f>
        <v/>
      </c>
      <c r="T25" s="90">
        <f>'MARCENARIA'!E17</f>
        <v/>
      </c>
      <c r="U25" s="90">
        <f>'MARCENARIA'!E18</f>
        <v/>
      </c>
      <c r="V25" s="90">
        <f>'MARCENARIA'!E19</f>
        <v/>
      </c>
      <c r="W25" s="90">
        <f>'MARCENARIA'!E20</f>
        <v/>
      </c>
      <c r="X25" s="90">
        <f>'MARCENARIA'!E21</f>
        <v/>
      </c>
      <c r="Y25" s="90">
        <f>'MARCENARIA'!E22</f>
        <v/>
      </c>
      <c r="Z25" s="90">
        <f>'MARCENARIA'!E23</f>
        <v/>
      </c>
      <c r="AA25" s="90">
        <f>'MARCENARIA'!E24</f>
        <v/>
      </c>
      <c r="AB25" s="90">
        <f>'MARCENARIA'!E25</f>
        <v/>
      </c>
      <c r="AC25" s="90">
        <f>'MARCENARIA'!E26</f>
        <v/>
      </c>
      <c r="AD25" s="90">
        <f>'MARCENARIA'!E27</f>
        <v/>
      </c>
      <c r="AE25" s="90">
        <f>'MARCENARIA'!E28</f>
        <v/>
      </c>
      <c r="AF25" s="90">
        <f>'MARCENARIA'!E29</f>
        <v/>
      </c>
      <c r="AG25" s="90">
        <f>'MARCENARIA'!E30</f>
        <v/>
      </c>
      <c r="AH25" s="90">
        <f>'MARCENARIA'!E31</f>
        <v/>
      </c>
      <c r="AI25" s="90">
        <f>'MARCENARIA'!E32</f>
        <v/>
      </c>
      <c r="AJ25" s="90">
        <f>'MARCENARIA'!E33</f>
        <v/>
      </c>
      <c r="AK25" s="90">
        <f>'MARCENARIA'!E34</f>
        <v/>
      </c>
      <c r="AL25" s="90">
        <f>'MARCENARIA'!E35</f>
        <v/>
      </c>
      <c r="AM25" s="90">
        <f>'MARCENARIA'!E36</f>
        <v/>
      </c>
      <c r="AN25" s="90">
        <f>'MARCENARIA'!E37</f>
        <v/>
      </c>
      <c r="AO25" s="90">
        <f>'MARCENARIA'!E38</f>
        <v/>
      </c>
      <c r="AP25" s="90">
        <f>'MARCENARIA'!E39</f>
        <v/>
      </c>
      <c r="AQ25" s="90">
        <f>'MARCENARIA'!E40</f>
        <v/>
      </c>
      <c r="AR25" s="90">
        <f>'MARCENARIA'!E41</f>
        <v/>
      </c>
      <c r="AS25" s="90">
        <f>'MARCENARIA'!E42</f>
        <v/>
      </c>
      <c r="AT25" s="90">
        <f>'MARCENARIA'!E43</f>
        <v/>
      </c>
      <c r="AU25" s="90">
        <f>'MARCENARIA'!E44</f>
        <v/>
      </c>
      <c r="AV25" s="90">
        <f>'MARCENARIA'!E45</f>
        <v/>
      </c>
      <c r="AW25" s="90">
        <f>'MARCENARIA'!E46</f>
        <v/>
      </c>
      <c r="AX25" s="90">
        <f>'MARCENARIA'!E47</f>
        <v/>
      </c>
      <c r="AY25" s="90">
        <f>'MARCENARIA'!E48</f>
        <v/>
      </c>
      <c r="AZ25" s="90">
        <f>'MARCENARIA'!E49</f>
        <v/>
      </c>
      <c r="BA25" s="90">
        <f>'MARCENARIA'!E50</f>
        <v/>
      </c>
      <c r="BB25" s="90">
        <f>'MARCENARIA'!E51</f>
        <v/>
      </c>
      <c r="BC25" s="90">
        <f>'MARCENARIA'!E52</f>
        <v/>
      </c>
      <c r="BD25" s="90">
        <f>'MARCENARIA'!E53</f>
        <v/>
      </c>
      <c r="BE25" s="90">
        <f>'MARCENARIA'!E54</f>
        <v/>
      </c>
      <c r="BF25" s="90">
        <f>'MARCENARIA'!E55</f>
        <v/>
      </c>
      <c r="BG25" s="90">
        <f>'MARCENARIA'!E56</f>
        <v/>
      </c>
      <c r="BH25" s="90">
        <f>'MARCENARIA'!E57</f>
        <v/>
      </c>
      <c r="BI25" s="90">
        <f>'MARCENARIA'!E58</f>
        <v/>
      </c>
      <c r="BJ25" s="90">
        <f>'MARCENARIA'!E59</f>
        <v/>
      </c>
      <c r="BK25" s="90">
        <f>'MARCENARIA'!E60</f>
        <v/>
      </c>
      <c r="BL25" s="90">
        <f>'MARCENARIA'!E61</f>
        <v/>
      </c>
      <c r="BM25" s="90">
        <f>'MARCENARIA'!E62</f>
        <v/>
      </c>
      <c r="BN25" s="90">
        <f>'MARCENARIA'!E63</f>
        <v/>
      </c>
      <c r="BO25" s="90">
        <f>'MARCENARIA'!E64</f>
        <v/>
      </c>
      <c r="BP25" s="90">
        <f>'MARCENARIA'!E65</f>
        <v/>
      </c>
      <c r="BQ25" s="90">
        <f>'MARCENARIA'!E66</f>
        <v/>
      </c>
      <c r="BR25" s="90">
        <f>'MARCENARIA'!E67</f>
        <v/>
      </c>
      <c r="BS25" s="90">
        <f>'MARCENARIA'!E68</f>
        <v/>
      </c>
      <c r="BT25" s="90">
        <f>'MARCENARIA'!E69</f>
        <v/>
      </c>
      <c r="BU25" s="90">
        <f>'MARCENARIA'!E70</f>
        <v/>
      </c>
      <c r="BV25" s="90">
        <f>'MARCENARIA'!E71</f>
        <v/>
      </c>
      <c r="BW25" s="90">
        <f>'MARCENARIA'!E72</f>
        <v/>
      </c>
      <c r="BX25" s="90">
        <f>'MARCENARIA'!E73</f>
        <v/>
      </c>
      <c r="BY25" s="90">
        <f>'MARCENARIA'!E74</f>
        <v/>
      </c>
      <c r="BZ25" s="90">
        <f>'MARCENARIA'!E75</f>
        <v/>
      </c>
      <c r="CA25" s="90">
        <f>'MARCENARIA'!E76</f>
        <v/>
      </c>
    </row>
    <row r="26">
      <c r="A26" s="60" t="n"/>
      <c r="B26" s="60" t="inlineStr">
        <is>
          <t>1030-1070-430</t>
        </is>
      </c>
      <c r="C26" s="60" t="inlineStr">
        <is>
          <t>PAISAGISMO</t>
        </is>
      </c>
      <c r="D26" s="63">
        <f>'PAISAGISMO'!$K$5</f>
        <v/>
      </c>
      <c r="E26" s="50">
        <f>SUM(H26:CA26)</f>
        <v/>
      </c>
      <c r="F26" s="50">
        <f>IF(D26="","",D26-E26)</f>
        <v/>
      </c>
      <c r="H26" s="90">
        <f>'PAISAGISMO'!E5</f>
        <v/>
      </c>
      <c r="I26" s="90">
        <f>'PAISAGISMO'!E6</f>
        <v/>
      </c>
      <c r="J26" s="90">
        <f>'PAISAGISMO'!E7</f>
        <v/>
      </c>
      <c r="K26" s="90">
        <f>'PAISAGISMO'!E8</f>
        <v/>
      </c>
      <c r="L26" s="90">
        <f>'PAISAGISMO'!E9</f>
        <v/>
      </c>
      <c r="M26" s="90">
        <f>'PAISAGISMO'!E10</f>
        <v/>
      </c>
      <c r="N26" s="90">
        <f>'PAISAGISMO'!E11</f>
        <v/>
      </c>
      <c r="O26" s="90">
        <f>'PAISAGISMO'!E12</f>
        <v/>
      </c>
      <c r="P26" s="90">
        <f>'PAISAGISMO'!E13</f>
        <v/>
      </c>
      <c r="Q26" s="90">
        <f>'PAISAGISMO'!E14</f>
        <v/>
      </c>
      <c r="R26" s="90">
        <f>'PAISAGISMO'!E15</f>
        <v/>
      </c>
      <c r="S26" s="90">
        <f>'PAISAGISMO'!E16</f>
        <v/>
      </c>
      <c r="T26" s="90">
        <f>'PAISAGISMO'!E17</f>
        <v/>
      </c>
      <c r="U26" s="90">
        <f>'PAISAGISMO'!E18</f>
        <v/>
      </c>
      <c r="V26" s="90">
        <f>'PAISAGISMO'!E19</f>
        <v/>
      </c>
      <c r="W26" s="90">
        <f>'PAISAGISMO'!E20</f>
        <v/>
      </c>
      <c r="X26" s="90">
        <f>'PAISAGISMO'!E21</f>
        <v/>
      </c>
      <c r="Y26" s="90">
        <f>'PAISAGISMO'!E22</f>
        <v/>
      </c>
      <c r="Z26" s="90">
        <f>'PAISAGISMO'!E23</f>
        <v/>
      </c>
      <c r="AA26" s="90">
        <f>'PAISAGISMO'!E24</f>
        <v/>
      </c>
      <c r="AB26" s="90">
        <f>'PAISAGISMO'!E25</f>
        <v/>
      </c>
      <c r="AC26" s="90">
        <f>'PAISAGISMO'!E26</f>
        <v/>
      </c>
      <c r="AD26" s="90">
        <f>'PAISAGISMO'!E27</f>
        <v/>
      </c>
      <c r="AE26" s="90">
        <f>'PAISAGISMO'!E28</f>
        <v/>
      </c>
      <c r="AF26" s="90">
        <f>'PAISAGISMO'!E29</f>
        <v/>
      </c>
      <c r="AG26" s="90">
        <f>'PAISAGISMO'!E30</f>
        <v/>
      </c>
      <c r="AH26" s="90">
        <f>'PAISAGISMO'!E31</f>
        <v/>
      </c>
      <c r="AI26" s="90">
        <f>'PAISAGISMO'!E32</f>
        <v/>
      </c>
      <c r="AJ26" s="90">
        <f>'PAISAGISMO'!E33</f>
        <v/>
      </c>
      <c r="AK26" s="90">
        <f>'PAISAGISMO'!E34</f>
        <v/>
      </c>
      <c r="AL26" s="90">
        <f>'PAISAGISMO'!E35</f>
        <v/>
      </c>
      <c r="AM26" s="90">
        <f>'PAISAGISMO'!E36</f>
        <v/>
      </c>
      <c r="AN26" s="90">
        <f>'PAISAGISMO'!E37</f>
        <v/>
      </c>
      <c r="AO26" s="90">
        <f>'PAISAGISMO'!E38</f>
        <v/>
      </c>
      <c r="AP26" s="90">
        <f>'PAISAGISMO'!E39</f>
        <v/>
      </c>
      <c r="AQ26" s="90">
        <f>'PAISAGISMO'!E40</f>
        <v/>
      </c>
      <c r="AR26" s="90">
        <f>'PAISAGISMO'!E41</f>
        <v/>
      </c>
      <c r="AS26" s="90">
        <f>'PAISAGISMO'!E42</f>
        <v/>
      </c>
      <c r="AT26" s="90">
        <f>'PAISAGISMO'!E43</f>
        <v/>
      </c>
      <c r="AU26" s="90">
        <f>'PAISAGISMO'!E44</f>
        <v/>
      </c>
      <c r="AV26" s="90">
        <f>'PAISAGISMO'!E45</f>
        <v/>
      </c>
      <c r="AW26" s="90">
        <f>'PAISAGISMO'!E46</f>
        <v/>
      </c>
      <c r="AX26" s="90">
        <f>'PAISAGISMO'!E47</f>
        <v/>
      </c>
      <c r="AY26" s="90">
        <f>'PAISAGISMO'!E48</f>
        <v/>
      </c>
      <c r="AZ26" s="90">
        <f>'PAISAGISMO'!E49</f>
        <v/>
      </c>
      <c r="BA26" s="90">
        <f>'PAISAGISMO'!E50</f>
        <v/>
      </c>
      <c r="BB26" s="90">
        <f>'PAISAGISMO'!E51</f>
        <v/>
      </c>
      <c r="BC26" s="90">
        <f>'PAISAGISMO'!E52</f>
        <v/>
      </c>
      <c r="BD26" s="90">
        <f>'PAISAGISMO'!E53</f>
        <v/>
      </c>
      <c r="BE26" s="90">
        <f>'PAISAGISMO'!E54</f>
        <v/>
      </c>
      <c r="BF26" s="90">
        <f>'PAISAGISMO'!E55</f>
        <v/>
      </c>
      <c r="BG26" s="90">
        <f>'PAISAGISMO'!E56</f>
        <v/>
      </c>
      <c r="BH26" s="90">
        <f>'PAISAGISMO'!E57</f>
        <v/>
      </c>
      <c r="BI26" s="90">
        <f>'PAISAGISMO'!E58</f>
        <v/>
      </c>
      <c r="BJ26" s="90">
        <f>'PAISAGISMO'!E59</f>
        <v/>
      </c>
      <c r="BK26" s="90">
        <f>'PAISAGISMO'!E60</f>
        <v/>
      </c>
      <c r="BL26" s="90">
        <f>'PAISAGISMO'!E61</f>
        <v/>
      </c>
      <c r="BM26" s="90">
        <f>'PAISAGISMO'!E62</f>
        <v/>
      </c>
      <c r="BN26" s="90">
        <f>'PAISAGISMO'!E63</f>
        <v/>
      </c>
      <c r="BO26" s="90">
        <f>'PAISAGISMO'!E64</f>
        <v/>
      </c>
      <c r="BP26" s="90">
        <f>'PAISAGISMO'!E65</f>
        <v/>
      </c>
      <c r="BQ26" s="90">
        <f>'PAISAGISMO'!E66</f>
        <v/>
      </c>
      <c r="BR26" s="90">
        <f>'PAISAGISMO'!E67</f>
        <v/>
      </c>
      <c r="BS26" s="90">
        <f>'PAISAGISMO'!E68</f>
        <v/>
      </c>
      <c r="BT26" s="90">
        <f>'PAISAGISMO'!E69</f>
        <v/>
      </c>
      <c r="BU26" s="90">
        <f>'PAISAGISMO'!E70</f>
        <v/>
      </c>
      <c r="BV26" s="90">
        <f>'PAISAGISMO'!E71</f>
        <v/>
      </c>
      <c r="BW26" s="90">
        <f>'PAISAGISMO'!E72</f>
        <v/>
      </c>
      <c r="BX26" s="90">
        <f>'PAISAGISMO'!E73</f>
        <v/>
      </c>
      <c r="BY26" s="90">
        <f>'PAISAGISMO'!E74</f>
        <v/>
      </c>
      <c r="BZ26" s="90">
        <f>'PAISAGISMO'!E75</f>
        <v/>
      </c>
      <c r="CA26" s="90">
        <f>'PAISAGISMO'!E76</f>
        <v/>
      </c>
    </row>
    <row r="27">
      <c r="A27" s="60" t="n"/>
      <c r="B27" s="60" t="inlineStr">
        <is>
          <t>1030-1070-420</t>
        </is>
      </c>
      <c r="C27" s="60" t="inlineStr">
        <is>
          <t>PAVIMENTAÇÃO</t>
        </is>
      </c>
      <c r="D27" s="63">
        <f>'PAVIMENTAÇÃO'!$K$5</f>
        <v/>
      </c>
      <c r="E27" s="50">
        <f>SUM(H27:CA27)</f>
        <v/>
      </c>
      <c r="F27" s="50">
        <f>IF(D27="","",D27-E27)</f>
        <v/>
      </c>
      <c r="H27" s="90">
        <f>'PAVIMENTAÇÃO'!E5</f>
        <v/>
      </c>
      <c r="I27" s="90">
        <f>'PAVIMENTAÇÃO'!E6</f>
        <v/>
      </c>
      <c r="J27" s="90">
        <f>'PAVIMENTAÇÃO'!E7</f>
        <v/>
      </c>
      <c r="K27" s="90">
        <f>'PAVIMENTAÇÃO'!E8</f>
        <v/>
      </c>
      <c r="L27" s="90">
        <f>'PAVIMENTAÇÃO'!E9</f>
        <v/>
      </c>
      <c r="M27" s="90">
        <f>'PAVIMENTAÇÃO'!E10</f>
        <v/>
      </c>
      <c r="N27" s="90">
        <f>'PAVIMENTAÇÃO'!E11</f>
        <v/>
      </c>
      <c r="O27" s="90">
        <f>'PAVIMENTAÇÃO'!E12</f>
        <v/>
      </c>
      <c r="P27" s="90">
        <f>'PAVIMENTAÇÃO'!E13</f>
        <v/>
      </c>
      <c r="Q27" s="90">
        <f>'PAVIMENTAÇÃO'!E14</f>
        <v/>
      </c>
      <c r="R27" s="90">
        <f>'PAVIMENTAÇÃO'!E15</f>
        <v/>
      </c>
      <c r="S27" s="90">
        <f>'PAVIMENTAÇÃO'!E16</f>
        <v/>
      </c>
      <c r="T27" s="90">
        <f>'PAVIMENTAÇÃO'!E17</f>
        <v/>
      </c>
      <c r="U27" s="90">
        <f>'PAVIMENTAÇÃO'!E18</f>
        <v/>
      </c>
      <c r="V27" s="90">
        <f>'PAVIMENTAÇÃO'!E19</f>
        <v/>
      </c>
      <c r="W27" s="90">
        <f>'PAVIMENTAÇÃO'!E20</f>
        <v/>
      </c>
      <c r="X27" s="90">
        <f>'PAVIMENTAÇÃO'!E21</f>
        <v/>
      </c>
      <c r="Y27" s="90">
        <f>'PAVIMENTAÇÃO'!E22</f>
        <v/>
      </c>
      <c r="Z27" s="90">
        <f>'PAVIMENTAÇÃO'!E23</f>
        <v/>
      </c>
      <c r="AA27" s="90">
        <f>'PAVIMENTAÇÃO'!E24</f>
        <v/>
      </c>
      <c r="AB27" s="90">
        <f>'PAVIMENTAÇÃO'!E25</f>
        <v/>
      </c>
      <c r="AC27" s="90">
        <f>'PAVIMENTAÇÃO'!E26</f>
        <v/>
      </c>
      <c r="AD27" s="90">
        <f>'PAVIMENTAÇÃO'!E27</f>
        <v/>
      </c>
      <c r="AE27" s="90">
        <f>'PAVIMENTAÇÃO'!E28</f>
        <v/>
      </c>
      <c r="AF27" s="90">
        <f>'PAVIMENTAÇÃO'!E29</f>
        <v/>
      </c>
      <c r="AG27" s="90">
        <f>'PAVIMENTAÇÃO'!E30</f>
        <v/>
      </c>
      <c r="AH27" s="90">
        <f>'PAVIMENTAÇÃO'!E31</f>
        <v/>
      </c>
      <c r="AI27" s="90">
        <f>'PAVIMENTAÇÃO'!E32</f>
        <v/>
      </c>
      <c r="AJ27" s="90">
        <f>'PAVIMENTAÇÃO'!E33</f>
        <v/>
      </c>
      <c r="AK27" s="90">
        <f>'PAVIMENTAÇÃO'!E34</f>
        <v/>
      </c>
      <c r="AL27" s="90">
        <f>'PAVIMENTAÇÃO'!E35</f>
        <v/>
      </c>
      <c r="AM27" s="90">
        <f>'PAVIMENTAÇÃO'!E36</f>
        <v/>
      </c>
      <c r="AN27" s="90">
        <f>'PAVIMENTAÇÃO'!E37</f>
        <v/>
      </c>
      <c r="AO27" s="90">
        <f>'PAVIMENTAÇÃO'!E38</f>
        <v/>
      </c>
      <c r="AP27" s="90">
        <f>'PAVIMENTAÇÃO'!E39</f>
        <v/>
      </c>
      <c r="AQ27" s="90">
        <f>'PAVIMENTAÇÃO'!E40</f>
        <v/>
      </c>
      <c r="AR27" s="90">
        <f>'PAVIMENTAÇÃO'!E41</f>
        <v/>
      </c>
      <c r="AS27" s="90">
        <f>'PAVIMENTAÇÃO'!E42</f>
        <v/>
      </c>
      <c r="AT27" s="90">
        <f>'PAVIMENTAÇÃO'!E43</f>
        <v/>
      </c>
      <c r="AU27" s="90">
        <f>'PAVIMENTAÇÃO'!E44</f>
        <v/>
      </c>
      <c r="AV27" s="90">
        <f>'PAVIMENTAÇÃO'!E45</f>
        <v/>
      </c>
      <c r="AW27" s="90">
        <f>'PAVIMENTAÇÃO'!E46</f>
        <v/>
      </c>
      <c r="AX27" s="90">
        <f>'PAVIMENTAÇÃO'!E47</f>
        <v/>
      </c>
      <c r="AY27" s="90">
        <f>'PAVIMENTAÇÃO'!E48</f>
        <v/>
      </c>
      <c r="AZ27" s="90">
        <f>'PAVIMENTAÇÃO'!E49</f>
        <v/>
      </c>
      <c r="BA27" s="90">
        <f>'PAVIMENTAÇÃO'!E50</f>
        <v/>
      </c>
      <c r="BB27" s="90">
        <f>'PAVIMENTAÇÃO'!E51</f>
        <v/>
      </c>
      <c r="BC27" s="90">
        <f>'PAVIMENTAÇÃO'!E52</f>
        <v/>
      </c>
      <c r="BD27" s="90">
        <f>'PAVIMENTAÇÃO'!E53</f>
        <v/>
      </c>
      <c r="BE27" s="90">
        <f>'PAVIMENTAÇÃO'!E54</f>
        <v/>
      </c>
      <c r="BF27" s="90">
        <f>'PAVIMENTAÇÃO'!E55</f>
        <v/>
      </c>
      <c r="BG27" s="90">
        <f>'PAVIMENTAÇÃO'!E56</f>
        <v/>
      </c>
      <c r="BH27" s="90">
        <f>'PAVIMENTAÇÃO'!E57</f>
        <v/>
      </c>
      <c r="BI27" s="90">
        <f>'PAVIMENTAÇÃO'!E58</f>
        <v/>
      </c>
      <c r="BJ27" s="90">
        <f>'PAVIMENTAÇÃO'!E59</f>
        <v/>
      </c>
      <c r="BK27" s="90">
        <f>'PAVIMENTAÇÃO'!E60</f>
        <v/>
      </c>
      <c r="BL27" s="90">
        <f>'PAVIMENTAÇÃO'!E61</f>
        <v/>
      </c>
      <c r="BM27" s="90">
        <f>'PAVIMENTAÇÃO'!E62</f>
        <v/>
      </c>
      <c r="BN27" s="90">
        <f>'PAVIMENTAÇÃO'!E63</f>
        <v/>
      </c>
      <c r="BO27" s="90">
        <f>'PAVIMENTAÇÃO'!E64</f>
        <v/>
      </c>
      <c r="BP27" s="90">
        <f>'PAVIMENTAÇÃO'!E65</f>
        <v/>
      </c>
      <c r="BQ27" s="90">
        <f>'PAVIMENTAÇÃO'!E66</f>
        <v/>
      </c>
      <c r="BR27" s="90">
        <f>'PAVIMENTAÇÃO'!E67</f>
        <v/>
      </c>
      <c r="BS27" s="90">
        <f>'PAVIMENTAÇÃO'!E68</f>
        <v/>
      </c>
      <c r="BT27" s="90">
        <f>'PAVIMENTAÇÃO'!E69</f>
        <v/>
      </c>
      <c r="BU27" s="90">
        <f>'PAVIMENTAÇÃO'!E70</f>
        <v/>
      </c>
      <c r="BV27" s="90">
        <f>'PAVIMENTAÇÃO'!E71</f>
        <v/>
      </c>
      <c r="BW27" s="90">
        <f>'PAVIMENTAÇÃO'!E72</f>
        <v/>
      </c>
      <c r="BX27" s="90">
        <f>'PAVIMENTAÇÃO'!E73</f>
        <v/>
      </c>
      <c r="BY27" s="90">
        <f>'PAVIMENTAÇÃO'!E74</f>
        <v/>
      </c>
      <c r="BZ27" s="90">
        <f>'PAVIMENTAÇÃO'!E75</f>
        <v/>
      </c>
      <c r="CA27" s="90">
        <f>'PAVIMENTAÇÃO'!E76</f>
        <v/>
      </c>
    </row>
    <row r="28">
      <c r="A28" s="60" t="n"/>
      <c r="B28" s="60" t="inlineStr">
        <is>
          <t>1030-1070-390</t>
        </is>
      </c>
      <c r="C28" s="60" t="inlineStr">
        <is>
          <t>PINTURA</t>
        </is>
      </c>
      <c r="D28" s="63">
        <f>'PINTURA'!$K$5</f>
        <v/>
      </c>
      <c r="E28" s="50">
        <f>SUM(H28:CA28)</f>
        <v/>
      </c>
      <c r="F28" s="50">
        <f>IF(D28="","",D28-E28)</f>
        <v/>
      </c>
      <c r="H28" s="90">
        <f>'PINTURA'!E5</f>
        <v/>
      </c>
      <c r="I28" s="90">
        <f>'PINTURA'!E6</f>
        <v/>
      </c>
      <c r="J28" s="90">
        <f>'PINTURA'!E7</f>
        <v/>
      </c>
      <c r="K28" s="90">
        <f>'PINTURA'!E8</f>
        <v/>
      </c>
      <c r="L28" s="90">
        <f>'PINTURA'!E9</f>
        <v/>
      </c>
      <c r="M28" s="90">
        <f>'PINTURA'!E10</f>
        <v/>
      </c>
      <c r="N28" s="90">
        <f>'PINTURA'!E11</f>
        <v/>
      </c>
      <c r="O28" s="90">
        <f>'PINTURA'!E12</f>
        <v/>
      </c>
      <c r="P28" s="90">
        <f>'PINTURA'!E13</f>
        <v/>
      </c>
      <c r="Q28" s="90">
        <f>'PINTURA'!E14</f>
        <v/>
      </c>
      <c r="R28" s="90">
        <f>'PINTURA'!E15</f>
        <v/>
      </c>
      <c r="S28" s="90">
        <f>'PINTURA'!E16</f>
        <v/>
      </c>
      <c r="T28" s="90">
        <f>'PINTURA'!E17</f>
        <v/>
      </c>
      <c r="U28" s="90">
        <f>'PINTURA'!E18</f>
        <v/>
      </c>
      <c r="V28" s="90">
        <f>'PINTURA'!E19</f>
        <v/>
      </c>
      <c r="W28" s="90">
        <f>'PINTURA'!E20</f>
        <v/>
      </c>
      <c r="X28" s="90">
        <f>'PINTURA'!E21</f>
        <v/>
      </c>
      <c r="Y28" s="90">
        <f>'PINTURA'!E22</f>
        <v/>
      </c>
      <c r="Z28" s="90">
        <f>'PINTURA'!E23</f>
        <v/>
      </c>
      <c r="AA28" s="90">
        <f>'PINTURA'!E24</f>
        <v/>
      </c>
      <c r="AB28" s="90">
        <f>'PINTURA'!E25</f>
        <v/>
      </c>
      <c r="AC28" s="90">
        <f>'PINTURA'!E26</f>
        <v/>
      </c>
      <c r="AD28" s="90">
        <f>'PINTURA'!E27</f>
        <v/>
      </c>
      <c r="AE28" s="90">
        <f>'PINTURA'!E28</f>
        <v/>
      </c>
      <c r="AF28" s="90">
        <f>'PINTURA'!E29</f>
        <v/>
      </c>
      <c r="AG28" s="90">
        <f>'PINTURA'!E30</f>
        <v/>
      </c>
      <c r="AH28" s="90">
        <f>'PINTURA'!E31</f>
        <v/>
      </c>
      <c r="AI28" s="90">
        <f>'PINTURA'!E32</f>
        <v/>
      </c>
      <c r="AJ28" s="90">
        <f>'PINTURA'!E33</f>
        <v/>
      </c>
      <c r="AK28" s="90">
        <f>'PINTURA'!E34</f>
        <v/>
      </c>
      <c r="AL28" s="90">
        <f>'PINTURA'!E35</f>
        <v/>
      </c>
      <c r="AM28" s="90">
        <f>'PINTURA'!E36</f>
        <v/>
      </c>
      <c r="AN28" s="90">
        <f>'PINTURA'!E37</f>
        <v/>
      </c>
      <c r="AO28" s="90">
        <f>'PINTURA'!E38</f>
        <v/>
      </c>
      <c r="AP28" s="90">
        <f>'PINTURA'!E39</f>
        <v/>
      </c>
      <c r="AQ28" s="90">
        <f>'PINTURA'!E40</f>
        <v/>
      </c>
      <c r="AR28" s="90">
        <f>'PINTURA'!E41</f>
        <v/>
      </c>
      <c r="AS28" s="90">
        <f>'PINTURA'!E42</f>
        <v/>
      </c>
      <c r="AT28" s="90">
        <f>'PINTURA'!E43</f>
        <v/>
      </c>
      <c r="AU28" s="90">
        <f>'PINTURA'!E44</f>
        <v/>
      </c>
      <c r="AV28" s="90">
        <f>'PINTURA'!E45</f>
        <v/>
      </c>
      <c r="AW28" s="90">
        <f>'PINTURA'!E46</f>
        <v/>
      </c>
      <c r="AX28" s="90">
        <f>'PINTURA'!E47</f>
        <v/>
      </c>
      <c r="AY28" s="90">
        <f>'PINTURA'!E48</f>
        <v/>
      </c>
      <c r="AZ28" s="90">
        <f>'PINTURA'!E49</f>
        <v/>
      </c>
      <c r="BA28" s="90">
        <f>'PINTURA'!E50</f>
        <v/>
      </c>
      <c r="BB28" s="90">
        <f>'PINTURA'!E51</f>
        <v/>
      </c>
      <c r="BC28" s="90">
        <f>'PINTURA'!E52</f>
        <v/>
      </c>
      <c r="BD28" s="90">
        <f>'PINTURA'!E53</f>
        <v/>
      </c>
      <c r="BE28" s="90">
        <f>'PINTURA'!E54</f>
        <v/>
      </c>
      <c r="BF28" s="90">
        <f>'PINTURA'!E55</f>
        <v/>
      </c>
      <c r="BG28" s="90">
        <f>'PINTURA'!E56</f>
        <v/>
      </c>
      <c r="BH28" s="90">
        <f>'PINTURA'!E57</f>
        <v/>
      </c>
      <c r="BI28" s="90">
        <f>'PINTURA'!E58</f>
        <v/>
      </c>
      <c r="BJ28" s="90">
        <f>'PINTURA'!E59</f>
        <v/>
      </c>
      <c r="BK28" s="90">
        <f>'PINTURA'!E60</f>
        <v/>
      </c>
      <c r="BL28" s="90">
        <f>'PINTURA'!E61</f>
        <v/>
      </c>
      <c r="BM28" s="90">
        <f>'PINTURA'!E62</f>
        <v/>
      </c>
      <c r="BN28" s="90">
        <f>'PINTURA'!E63</f>
        <v/>
      </c>
      <c r="BO28" s="90">
        <f>'PINTURA'!E64</f>
        <v/>
      </c>
      <c r="BP28" s="90">
        <f>'PINTURA'!E65</f>
        <v/>
      </c>
      <c r="BQ28" s="90">
        <f>'PINTURA'!E66</f>
        <v/>
      </c>
      <c r="BR28" s="90">
        <f>'PINTURA'!E67</f>
        <v/>
      </c>
      <c r="BS28" s="90">
        <f>'PINTURA'!E68</f>
        <v/>
      </c>
      <c r="BT28" s="90">
        <f>'PINTURA'!E69</f>
        <v/>
      </c>
      <c r="BU28" s="90">
        <f>'PINTURA'!E70</f>
        <v/>
      </c>
      <c r="BV28" s="90">
        <f>'PINTURA'!E71</f>
        <v/>
      </c>
      <c r="BW28" s="90">
        <f>'PINTURA'!E72</f>
        <v/>
      </c>
      <c r="BX28" s="90">
        <f>'PINTURA'!E73</f>
        <v/>
      </c>
      <c r="BY28" s="90">
        <f>'PINTURA'!E74</f>
        <v/>
      </c>
      <c r="BZ28" s="90">
        <f>'PINTURA'!E75</f>
        <v/>
      </c>
      <c r="CA28" s="90">
        <f>'PINTURA'!E76</f>
        <v/>
      </c>
    </row>
    <row r="29">
      <c r="A29" s="60" t="n"/>
      <c r="B29" s="60" t="inlineStr">
        <is>
          <t>1030-1070-100</t>
        </is>
      </c>
      <c r="C29" s="60" t="inlineStr">
        <is>
          <t>PROJETOS</t>
        </is>
      </c>
      <c r="D29" s="63">
        <f>'PROJETO'!$K$5</f>
        <v/>
      </c>
      <c r="E29" s="50">
        <f>SUM(H29:CA29)</f>
        <v/>
      </c>
      <c r="F29" s="50">
        <f>IF(D29="","",D29-E29)</f>
        <v/>
      </c>
      <c r="H29" s="90">
        <f>'PROJETO'!E5</f>
        <v/>
      </c>
      <c r="I29" s="90">
        <f>'PROJETO'!E6</f>
        <v/>
      </c>
      <c r="J29" s="90">
        <f>'PROJETO'!E7</f>
        <v/>
      </c>
      <c r="K29" s="90">
        <f>'PROJETO'!E8</f>
        <v/>
      </c>
      <c r="L29" s="90">
        <f>'PROJETO'!E9</f>
        <v/>
      </c>
      <c r="M29" s="90">
        <f>'PROJETO'!E10</f>
        <v/>
      </c>
      <c r="N29" s="90">
        <f>'PROJETO'!E11</f>
        <v/>
      </c>
      <c r="O29" s="90">
        <f>'PROJETO'!E12</f>
        <v/>
      </c>
      <c r="P29" s="90">
        <f>'PROJETO'!E13</f>
        <v/>
      </c>
      <c r="Q29" s="90">
        <f>'PROJETO'!E14</f>
        <v/>
      </c>
      <c r="R29" s="90">
        <f>'PROJETO'!E15</f>
        <v/>
      </c>
      <c r="S29" s="90">
        <f>'PROJETO'!E16</f>
        <v/>
      </c>
      <c r="T29" s="90">
        <f>'PROJETO'!E17</f>
        <v/>
      </c>
      <c r="U29" s="90">
        <f>'PROJETO'!E18</f>
        <v/>
      </c>
      <c r="V29" s="90">
        <f>'PROJETO'!E19</f>
        <v/>
      </c>
      <c r="W29" s="90">
        <f>'PROJETO'!E20</f>
        <v/>
      </c>
      <c r="X29" s="90">
        <f>'PROJETO'!E21</f>
        <v/>
      </c>
      <c r="Y29" s="90">
        <f>'PROJETO'!E22</f>
        <v/>
      </c>
      <c r="Z29" s="90">
        <f>'PROJETO'!E23</f>
        <v/>
      </c>
      <c r="AA29" s="90">
        <f>'PROJETO'!E24</f>
        <v/>
      </c>
      <c r="AB29" s="90">
        <f>'PROJETO'!E25</f>
        <v/>
      </c>
      <c r="AC29" s="90">
        <f>'PROJETO'!E26</f>
        <v/>
      </c>
      <c r="AD29" s="90">
        <f>'PROJETO'!E27</f>
        <v/>
      </c>
      <c r="AE29" s="90">
        <f>'PROJETO'!E28</f>
        <v/>
      </c>
      <c r="AF29" s="90">
        <f>'PROJETO'!E29</f>
        <v/>
      </c>
      <c r="AG29" s="90">
        <f>'PROJETO'!E30</f>
        <v/>
      </c>
      <c r="AH29" s="90">
        <f>'PROJETO'!E31</f>
        <v/>
      </c>
      <c r="AI29" s="90">
        <f>'PROJETO'!E32</f>
        <v/>
      </c>
      <c r="AJ29" s="90">
        <f>'PROJETO'!E33</f>
        <v/>
      </c>
      <c r="AK29" s="90">
        <f>'PROJETO'!E34</f>
        <v/>
      </c>
      <c r="AL29" s="90">
        <f>'PROJETO'!E35</f>
        <v/>
      </c>
      <c r="AM29" s="90">
        <f>'PROJETO'!E36</f>
        <v/>
      </c>
      <c r="AN29" s="90">
        <f>'PROJETO'!E37</f>
        <v/>
      </c>
      <c r="AO29" s="90">
        <f>'PROJETO'!E38</f>
        <v/>
      </c>
      <c r="AP29" s="90">
        <f>'PROJETO'!E39</f>
        <v/>
      </c>
      <c r="AQ29" s="90">
        <f>'PROJETO'!E40</f>
        <v/>
      </c>
      <c r="AR29" s="90">
        <f>'PROJETO'!E41</f>
        <v/>
      </c>
      <c r="AS29" s="90">
        <f>'PROJETO'!E42</f>
        <v/>
      </c>
      <c r="AT29" s="90">
        <f>'PROJETO'!E43</f>
        <v/>
      </c>
      <c r="AU29" s="90">
        <f>'PROJETO'!E44</f>
        <v/>
      </c>
      <c r="AV29" s="90">
        <f>'PROJETO'!E45</f>
        <v/>
      </c>
      <c r="AW29" s="90">
        <f>'PROJETO'!E46</f>
        <v/>
      </c>
      <c r="AX29" s="90">
        <f>'PROJETO'!E47</f>
        <v/>
      </c>
      <c r="AY29" s="90">
        <f>'PROJETO'!E48</f>
        <v/>
      </c>
      <c r="AZ29" s="90">
        <f>'PROJETO'!E49</f>
        <v/>
      </c>
      <c r="BA29" s="90">
        <f>'PROJETO'!E50</f>
        <v/>
      </c>
      <c r="BB29" s="90">
        <f>'PROJETO'!E51</f>
        <v/>
      </c>
      <c r="BC29" s="90">
        <f>'PROJETO'!E52</f>
        <v/>
      </c>
      <c r="BD29" s="90">
        <f>'PROJETO'!E53</f>
        <v/>
      </c>
      <c r="BE29" s="90">
        <f>'PROJETO'!E54</f>
        <v/>
      </c>
      <c r="BF29" s="90">
        <f>'PROJETO'!E55</f>
        <v/>
      </c>
      <c r="BG29" s="90">
        <f>'PROJETO'!E56</f>
        <v/>
      </c>
      <c r="BH29" s="90">
        <f>'PROJETO'!E57</f>
        <v/>
      </c>
      <c r="BI29" s="90">
        <f>'PROJETO'!E58</f>
        <v/>
      </c>
      <c r="BJ29" s="90">
        <f>'PROJETO'!E59</f>
        <v/>
      </c>
      <c r="BK29" s="90">
        <f>'PROJETO'!E60</f>
        <v/>
      </c>
      <c r="BL29" s="90">
        <f>'PROJETO'!E61</f>
        <v/>
      </c>
      <c r="BM29" s="90">
        <f>'PROJETO'!E62</f>
        <v/>
      </c>
      <c r="BN29" s="90">
        <f>'PROJETO'!E63</f>
        <v/>
      </c>
      <c r="BO29" s="90">
        <f>'PROJETO'!E64</f>
        <v/>
      </c>
      <c r="BP29" s="90">
        <f>'PROJETO'!E65</f>
        <v/>
      </c>
      <c r="BQ29" s="90">
        <f>'PROJETO'!E66</f>
        <v/>
      </c>
      <c r="BR29" s="90">
        <f>'PROJETO'!E67</f>
        <v/>
      </c>
      <c r="BS29" s="90">
        <f>'PROJETO'!E68</f>
        <v/>
      </c>
      <c r="BT29" s="90">
        <f>'PROJETO'!E69</f>
        <v/>
      </c>
      <c r="BU29" s="90">
        <f>'PROJETO'!E70</f>
        <v/>
      </c>
      <c r="BV29" s="90">
        <f>'PROJETO'!E71</f>
        <v/>
      </c>
      <c r="BW29" s="90">
        <f>'PROJETO'!E72</f>
        <v/>
      </c>
      <c r="BX29" s="90">
        <f>'PROJETO'!E73</f>
        <v/>
      </c>
      <c r="BY29" s="90">
        <f>'PROJETO'!E74</f>
        <v/>
      </c>
      <c r="BZ29" s="90">
        <f>'PROJETO'!E75</f>
        <v/>
      </c>
      <c r="CA29" s="90">
        <f>'PROJETO'!E76</f>
        <v/>
      </c>
    </row>
    <row r="30">
      <c r="A30" s="60" t="n"/>
      <c r="B30" s="60" t="inlineStr">
        <is>
          <t>1030-1070-570</t>
        </is>
      </c>
      <c r="C30" s="60" t="inlineStr">
        <is>
          <t>REEMBOLSO MATERIAIS E SERVIÇOS</t>
        </is>
      </c>
      <c r="E30" s="50">
        <f>SUM(H30:CA30)</f>
        <v/>
      </c>
      <c r="F30" s="50">
        <f>IF(D30="","",D30-E30)</f>
        <v/>
      </c>
    </row>
    <row r="31">
      <c r="A31" s="60" t="n"/>
      <c r="B31" s="60" t="inlineStr">
        <is>
          <t>1030-1070-360</t>
        </is>
      </c>
      <c r="C31" s="60" t="inlineStr">
        <is>
          <t>REVESTIMENTO DIVERSOS - FACHADA</t>
        </is>
      </c>
      <c r="D31" s="63">
        <f>'REV. FACHADA'!$K$5</f>
        <v/>
      </c>
      <c r="E31" s="50">
        <f>SUM(H31:CA31)</f>
        <v/>
      </c>
      <c r="F31" s="50">
        <f>IF(D31="","",D31-E31)</f>
        <v/>
      </c>
      <c r="H31" s="90">
        <f>'REV. FACHADA'!E5</f>
        <v/>
      </c>
      <c r="I31" s="90">
        <f>'REV. FACHADA'!E6</f>
        <v/>
      </c>
      <c r="J31" s="90">
        <f>'REV. FACHADA'!E7</f>
        <v/>
      </c>
      <c r="K31" s="90">
        <f>'REV. FACHADA'!E8</f>
        <v/>
      </c>
      <c r="L31" s="90">
        <f>'REV. FACHADA'!E9</f>
        <v/>
      </c>
      <c r="M31" s="90">
        <f>'REV. FACHADA'!E10</f>
        <v/>
      </c>
      <c r="N31" s="90">
        <f>'REV. FACHADA'!E11</f>
        <v/>
      </c>
      <c r="O31" s="90">
        <f>'REV. FACHADA'!E12</f>
        <v/>
      </c>
      <c r="P31" s="90">
        <f>'REV. FACHADA'!E13</f>
        <v/>
      </c>
      <c r="Q31" s="90">
        <f>'REV. FACHADA'!E14</f>
        <v/>
      </c>
      <c r="R31" s="90">
        <f>'REV. FACHADA'!E15</f>
        <v/>
      </c>
      <c r="S31" s="90">
        <f>'REV. FACHADA'!E16</f>
        <v/>
      </c>
      <c r="T31" s="90">
        <f>'REV. FACHADA'!E17</f>
        <v/>
      </c>
      <c r="U31" s="90">
        <f>'REV. FACHADA'!E18</f>
        <v/>
      </c>
      <c r="V31" s="90">
        <f>'REV. FACHADA'!E19</f>
        <v/>
      </c>
      <c r="W31" s="90">
        <f>'REV. FACHADA'!E20</f>
        <v/>
      </c>
      <c r="X31" s="90">
        <f>'REV. FACHADA'!E21</f>
        <v/>
      </c>
      <c r="Y31" s="90">
        <f>'REV. FACHADA'!E22</f>
        <v/>
      </c>
      <c r="Z31" s="90">
        <f>'REV. FACHADA'!E23</f>
        <v/>
      </c>
      <c r="AA31" s="90">
        <f>'REV. FACHADA'!E24</f>
        <v/>
      </c>
      <c r="AB31" s="90">
        <f>'REV. FACHADA'!E25</f>
        <v/>
      </c>
      <c r="AC31" s="90">
        <f>'REV. FACHADA'!E26</f>
        <v/>
      </c>
      <c r="AD31" s="90">
        <f>'REV. FACHADA'!E27</f>
        <v/>
      </c>
      <c r="AE31" s="90">
        <f>'REV. FACHADA'!E28</f>
        <v/>
      </c>
      <c r="AF31" s="90">
        <f>'REV. FACHADA'!E29</f>
        <v/>
      </c>
      <c r="AG31" s="90">
        <f>'REV. FACHADA'!E30</f>
        <v/>
      </c>
      <c r="AH31" s="90">
        <f>'REV. FACHADA'!E31</f>
        <v/>
      </c>
      <c r="AI31" s="90">
        <f>'REV. FACHADA'!E32</f>
        <v/>
      </c>
      <c r="AJ31" s="90">
        <f>'REV. FACHADA'!E33</f>
        <v/>
      </c>
      <c r="AK31" s="90">
        <f>'REV. FACHADA'!E34</f>
        <v/>
      </c>
      <c r="AL31" s="90">
        <f>'REV. FACHADA'!E35</f>
        <v/>
      </c>
      <c r="AM31" s="90">
        <f>'REV. FACHADA'!E36</f>
        <v/>
      </c>
      <c r="AN31" s="90">
        <f>'REV. FACHADA'!E37</f>
        <v/>
      </c>
      <c r="AO31" s="90">
        <f>'REV. FACHADA'!E38</f>
        <v/>
      </c>
      <c r="AP31" s="90">
        <f>'REV. FACHADA'!E39</f>
        <v/>
      </c>
      <c r="AQ31" s="90">
        <f>'REV. FACHADA'!E40</f>
        <v/>
      </c>
      <c r="AR31" s="90">
        <f>'REV. FACHADA'!E41</f>
        <v/>
      </c>
      <c r="AS31" s="90">
        <f>'REV. FACHADA'!E42</f>
        <v/>
      </c>
      <c r="AT31" s="90">
        <f>'REV. FACHADA'!E43</f>
        <v/>
      </c>
      <c r="AU31" s="90">
        <f>'REV. FACHADA'!E44</f>
        <v/>
      </c>
      <c r="AV31" s="90">
        <f>'REV. FACHADA'!E45</f>
        <v/>
      </c>
      <c r="AW31" s="90">
        <f>'REV. FACHADA'!E46</f>
        <v/>
      </c>
      <c r="AX31" s="90">
        <f>'REV. FACHADA'!E47</f>
        <v/>
      </c>
      <c r="AY31" s="90">
        <f>'REV. FACHADA'!E48</f>
        <v/>
      </c>
      <c r="AZ31" s="90">
        <f>'REV. FACHADA'!E49</f>
        <v/>
      </c>
      <c r="BA31" s="90">
        <f>'REV. FACHADA'!E50</f>
        <v/>
      </c>
      <c r="BB31" s="90">
        <f>'REV. FACHADA'!E51</f>
        <v/>
      </c>
      <c r="BC31" s="90">
        <f>'REV. FACHADA'!E52</f>
        <v/>
      </c>
      <c r="BD31" s="90">
        <f>'REV. FACHADA'!E53</f>
        <v/>
      </c>
      <c r="BE31" s="90">
        <f>'REV. FACHADA'!E54</f>
        <v/>
      </c>
      <c r="BF31" s="90">
        <f>'REV. FACHADA'!E55</f>
        <v/>
      </c>
      <c r="BG31" s="90">
        <f>'REV. FACHADA'!E56</f>
        <v/>
      </c>
      <c r="BH31" s="90">
        <f>'REV. FACHADA'!E57</f>
        <v/>
      </c>
      <c r="BI31" s="90">
        <f>'REV. FACHADA'!E58</f>
        <v/>
      </c>
      <c r="BJ31" s="90">
        <f>'REV. FACHADA'!E59</f>
        <v/>
      </c>
      <c r="BK31" s="90">
        <f>'REV. FACHADA'!E60</f>
        <v/>
      </c>
      <c r="BL31" s="90">
        <f>'REV. FACHADA'!E61</f>
        <v/>
      </c>
      <c r="BM31" s="90">
        <f>'REV. FACHADA'!E62</f>
        <v/>
      </c>
      <c r="BN31" s="90">
        <f>'REV. FACHADA'!E63</f>
        <v/>
      </c>
      <c r="BO31" s="90">
        <f>'REV. FACHADA'!E64</f>
        <v/>
      </c>
      <c r="BP31" s="90">
        <f>'REV. FACHADA'!E65</f>
        <v/>
      </c>
      <c r="BQ31" s="90">
        <f>'REV. FACHADA'!E66</f>
        <v/>
      </c>
      <c r="BR31" s="90">
        <f>'REV. FACHADA'!E67</f>
        <v/>
      </c>
      <c r="BS31" s="90">
        <f>'REV. FACHADA'!E68</f>
        <v/>
      </c>
      <c r="BT31" s="90">
        <f>'REV. FACHADA'!E69</f>
        <v/>
      </c>
      <c r="BU31" s="90">
        <f>'REV. FACHADA'!E70</f>
        <v/>
      </c>
      <c r="BV31" s="90">
        <f>'REV. FACHADA'!E71</f>
        <v/>
      </c>
      <c r="BW31" s="90">
        <f>'REV. FACHADA'!E72</f>
        <v/>
      </c>
      <c r="BX31" s="90">
        <f>'REV. FACHADA'!E73</f>
        <v/>
      </c>
      <c r="BY31" s="90">
        <f>'REV. FACHADA'!E74</f>
        <v/>
      </c>
      <c r="BZ31" s="90">
        <f>'REV. FACHADA'!E75</f>
        <v/>
      </c>
      <c r="CA31" s="90">
        <f>'REV. FACHADA'!E76</f>
        <v/>
      </c>
    </row>
    <row r="32">
      <c r="A32" s="60" t="n"/>
      <c r="B32" s="60" t="inlineStr">
        <is>
          <t>1030-1070-490</t>
        </is>
      </c>
      <c r="C32" s="60" t="inlineStr">
        <is>
          <t>REVESTIMENTOS DE ACABAMENTO</t>
        </is>
      </c>
      <c r="D32" s="63">
        <f>'REV. ACAB'!$K$5</f>
        <v/>
      </c>
      <c r="E32" s="50">
        <f>SUM(H32:CA32)</f>
        <v/>
      </c>
      <c r="F32" s="50">
        <f>IF(D32="","",D32-E32)</f>
        <v/>
      </c>
      <c r="H32" s="90">
        <f>'REV. ACAB'!E5</f>
        <v/>
      </c>
      <c r="I32" s="90">
        <f>'REV. ACAB'!E6</f>
        <v/>
      </c>
      <c r="J32" s="90">
        <f>'REV. ACAB'!E7</f>
        <v/>
      </c>
      <c r="K32" s="90">
        <f>'REV. ACAB'!E8</f>
        <v/>
      </c>
      <c r="L32" s="90">
        <f>'REV. ACAB'!E9</f>
        <v/>
      </c>
      <c r="M32" s="90">
        <f>'REV. ACAB'!E10</f>
        <v/>
      </c>
      <c r="N32" s="90">
        <f>'REV. ACAB'!E11</f>
        <v/>
      </c>
      <c r="O32" s="90">
        <f>'REV. ACAB'!E12</f>
        <v/>
      </c>
      <c r="P32" s="90">
        <f>'REV. ACAB'!E13</f>
        <v/>
      </c>
      <c r="Q32" s="90">
        <f>'REV. ACAB'!E14</f>
        <v/>
      </c>
      <c r="R32" s="90">
        <f>'REV. ACAB'!E15</f>
        <v/>
      </c>
      <c r="S32" s="90">
        <f>'REV. ACAB'!E16</f>
        <v/>
      </c>
      <c r="T32" s="90">
        <f>'REV. ACAB'!E17</f>
        <v/>
      </c>
      <c r="U32" s="90">
        <f>'REV. ACAB'!E18</f>
        <v/>
      </c>
      <c r="V32" s="90">
        <f>'REV. ACAB'!E19</f>
        <v/>
      </c>
      <c r="W32" s="90">
        <f>'REV. ACAB'!E20</f>
        <v/>
      </c>
      <c r="X32" s="90">
        <f>'REV. ACAB'!E21</f>
        <v/>
      </c>
      <c r="Y32" s="90">
        <f>'REV. ACAB'!E22</f>
        <v/>
      </c>
      <c r="Z32" s="90">
        <f>'REV. ACAB'!E23</f>
        <v/>
      </c>
      <c r="AA32" s="90">
        <f>'REV. ACAB'!E24</f>
        <v/>
      </c>
      <c r="AB32" s="90">
        <f>'REV. ACAB'!E25</f>
        <v/>
      </c>
      <c r="AC32" s="90">
        <f>'REV. ACAB'!E26</f>
        <v/>
      </c>
      <c r="AD32" s="90">
        <f>'REV. ACAB'!E27</f>
        <v/>
      </c>
      <c r="AE32" s="90">
        <f>'REV. ACAB'!E28</f>
        <v/>
      </c>
      <c r="AF32" s="90">
        <f>'REV. ACAB'!E29</f>
        <v/>
      </c>
      <c r="AG32" s="90">
        <f>'REV. ACAB'!E30</f>
        <v/>
      </c>
      <c r="AH32" s="90">
        <f>'REV. ACAB'!E31</f>
        <v/>
      </c>
      <c r="AI32" s="90">
        <f>'REV. ACAB'!E32</f>
        <v/>
      </c>
      <c r="AJ32" s="90">
        <f>'REV. ACAB'!E33</f>
        <v/>
      </c>
      <c r="AK32" s="90">
        <f>'REV. ACAB'!E34</f>
        <v/>
      </c>
      <c r="AL32" s="90">
        <f>'REV. ACAB'!E35</f>
        <v/>
      </c>
      <c r="AM32" s="90">
        <f>'REV. ACAB'!E36</f>
        <v/>
      </c>
      <c r="AN32" s="90">
        <f>'REV. ACAB'!E37</f>
        <v/>
      </c>
      <c r="AO32" s="90">
        <f>'REV. ACAB'!E38</f>
        <v/>
      </c>
      <c r="AP32" s="90">
        <f>'REV. ACAB'!E39</f>
        <v/>
      </c>
      <c r="AQ32" s="90">
        <f>'REV. ACAB'!E40</f>
        <v/>
      </c>
      <c r="AR32" s="90">
        <f>'REV. ACAB'!E41</f>
        <v/>
      </c>
      <c r="AS32" s="90">
        <f>'REV. ACAB'!E42</f>
        <v/>
      </c>
      <c r="AT32" s="90">
        <f>'REV. ACAB'!E43</f>
        <v/>
      </c>
      <c r="AU32" s="90">
        <f>'REV. ACAB'!E44</f>
        <v/>
      </c>
      <c r="AV32" s="90">
        <f>'REV. ACAB'!E45</f>
        <v/>
      </c>
      <c r="AW32" s="90">
        <f>'REV. ACAB'!E46</f>
        <v/>
      </c>
      <c r="AX32" s="90">
        <f>'REV. ACAB'!E47</f>
        <v/>
      </c>
      <c r="AY32" s="90">
        <f>'REV. ACAB'!E48</f>
        <v/>
      </c>
      <c r="AZ32" s="90">
        <f>'REV. ACAB'!E49</f>
        <v/>
      </c>
      <c r="BA32" s="90">
        <f>'REV. ACAB'!E50</f>
        <v/>
      </c>
      <c r="BB32" s="90">
        <f>'REV. ACAB'!E51</f>
        <v/>
      </c>
      <c r="BC32" s="90">
        <f>'REV. ACAB'!E52</f>
        <v/>
      </c>
      <c r="BD32" s="90">
        <f>'REV. ACAB'!E53</f>
        <v/>
      </c>
      <c r="BE32" s="90">
        <f>'REV. ACAB'!E54</f>
        <v/>
      </c>
      <c r="BF32" s="90">
        <f>'REV. ACAB'!E55</f>
        <v/>
      </c>
      <c r="BG32" s="90">
        <f>'REV. ACAB'!E56</f>
        <v/>
      </c>
      <c r="BH32" s="90">
        <f>'REV. ACAB'!E57</f>
        <v/>
      </c>
      <c r="BI32" s="90">
        <f>'REV. ACAB'!E58</f>
        <v/>
      </c>
      <c r="BJ32" s="90">
        <f>'REV. ACAB'!E59</f>
        <v/>
      </c>
      <c r="BK32" s="90">
        <f>'REV. ACAB'!E60</f>
        <v/>
      </c>
      <c r="BL32" s="90">
        <f>'REV. ACAB'!E61</f>
        <v/>
      </c>
      <c r="BM32" s="90">
        <f>'REV. ACAB'!E62</f>
        <v/>
      </c>
      <c r="BN32" s="90">
        <f>'REV. ACAB'!E63</f>
        <v/>
      </c>
      <c r="BO32" s="90">
        <f>'REV. ACAB'!E64</f>
        <v/>
      </c>
      <c r="BP32" s="90">
        <f>'REV. ACAB'!E65</f>
        <v/>
      </c>
      <c r="BQ32" s="90">
        <f>'REV. ACAB'!E66</f>
        <v/>
      </c>
      <c r="BR32" s="90">
        <f>'REV. ACAB'!E67</f>
        <v/>
      </c>
      <c r="BS32" s="90">
        <f>'REV. ACAB'!E68</f>
        <v/>
      </c>
      <c r="BT32" s="90">
        <f>'REV. ACAB'!E69</f>
        <v/>
      </c>
      <c r="BU32" s="90">
        <f>'REV. ACAB'!E70</f>
        <v/>
      </c>
      <c r="BV32" s="90">
        <f>'REV. ACAB'!E71</f>
        <v/>
      </c>
      <c r="BW32" s="90">
        <f>'REV. ACAB'!E72</f>
        <v/>
      </c>
      <c r="BX32" s="90">
        <f>'REV. ACAB'!E73</f>
        <v/>
      </c>
      <c r="BY32" s="90">
        <f>'REV. ACAB'!E74</f>
        <v/>
      </c>
      <c r="BZ32" s="90">
        <f>'REV. ACAB'!E75</f>
        <v/>
      </c>
      <c r="CA32" s="90">
        <f>'REV. ACAB'!E76</f>
        <v/>
      </c>
    </row>
    <row r="33">
      <c r="A33" s="60" t="n"/>
      <c r="B33" s="60" t="inlineStr">
        <is>
          <t>1030-1070-320</t>
        </is>
      </c>
      <c r="C33" s="60" t="inlineStr">
        <is>
          <t>REVESTIMENTOS DE MASSA EM PISOS</t>
        </is>
      </c>
      <c r="D33" s="63">
        <f>'REV. PISOS'!$K$5</f>
        <v/>
      </c>
      <c r="E33" s="50">
        <f>SUM(H33:CA33)</f>
        <v/>
      </c>
      <c r="F33" s="50">
        <f>IF(D33="","",D33-E33)</f>
        <v/>
      </c>
      <c r="H33" s="90">
        <f>'REV. PISOS'!E5</f>
        <v/>
      </c>
      <c r="I33" s="90">
        <f>'REV. PISOS'!E6</f>
        <v/>
      </c>
      <c r="J33" s="90">
        <f>'REV. PISOS'!E7</f>
        <v/>
      </c>
      <c r="K33" s="90">
        <f>'REV. PISOS'!E8</f>
        <v/>
      </c>
      <c r="L33" s="90">
        <f>'REV. PISOS'!E9</f>
        <v/>
      </c>
      <c r="M33" s="90">
        <f>'REV. PISOS'!E10</f>
        <v/>
      </c>
      <c r="N33" s="90">
        <f>'REV. PISOS'!E11</f>
        <v/>
      </c>
      <c r="O33" s="90">
        <f>'REV. PISOS'!E12</f>
        <v/>
      </c>
      <c r="P33" s="90">
        <f>'REV. PISOS'!E13</f>
        <v/>
      </c>
      <c r="Q33" s="90">
        <f>'REV. PISOS'!E14</f>
        <v/>
      </c>
      <c r="R33" s="90">
        <f>'REV. PISOS'!E15</f>
        <v/>
      </c>
      <c r="S33" s="90">
        <f>'REV. PISOS'!E16</f>
        <v/>
      </c>
      <c r="T33" s="90">
        <f>'REV. PISOS'!E17</f>
        <v/>
      </c>
      <c r="U33" s="90">
        <f>'REV. PISOS'!E18</f>
        <v/>
      </c>
      <c r="V33" s="90">
        <f>'REV. PISOS'!E19</f>
        <v/>
      </c>
      <c r="W33" s="90">
        <f>'REV. PISOS'!E20</f>
        <v/>
      </c>
      <c r="X33" s="90">
        <f>'REV. PISOS'!E21</f>
        <v/>
      </c>
      <c r="Y33" s="90">
        <f>'REV. PISOS'!E22</f>
        <v/>
      </c>
      <c r="Z33" s="90">
        <f>'REV. PISOS'!E23</f>
        <v/>
      </c>
      <c r="AA33" s="90">
        <f>'REV. PISOS'!E24</f>
        <v/>
      </c>
      <c r="AB33" s="90">
        <f>'REV. PISOS'!E25</f>
        <v/>
      </c>
      <c r="AC33" s="90">
        <f>'REV. PISOS'!E26</f>
        <v/>
      </c>
      <c r="AD33" s="90">
        <f>'REV. PISOS'!E27</f>
        <v/>
      </c>
      <c r="AE33" s="90">
        <f>'REV. PISOS'!E28</f>
        <v/>
      </c>
      <c r="AF33" s="90">
        <f>'REV. PISOS'!E29</f>
        <v/>
      </c>
      <c r="AG33" s="90">
        <f>'REV. PISOS'!E30</f>
        <v/>
      </c>
      <c r="AH33" s="90">
        <f>'REV. PISOS'!E31</f>
        <v/>
      </c>
      <c r="AI33" s="90">
        <f>'REV. PISOS'!E32</f>
        <v/>
      </c>
      <c r="AJ33" s="90">
        <f>'REV. PISOS'!E33</f>
        <v/>
      </c>
      <c r="AK33" s="90">
        <f>'REV. PISOS'!E34</f>
        <v/>
      </c>
      <c r="AL33" s="90">
        <f>'REV. PISOS'!E35</f>
        <v/>
      </c>
      <c r="AM33" s="90">
        <f>'REV. PISOS'!E36</f>
        <v/>
      </c>
      <c r="AN33" s="90">
        <f>'REV. PISOS'!E37</f>
        <v/>
      </c>
      <c r="AO33" s="90">
        <f>'REV. PISOS'!E38</f>
        <v/>
      </c>
      <c r="AP33" s="90">
        <f>'REV. PISOS'!E39</f>
        <v/>
      </c>
      <c r="AQ33" s="90">
        <f>'REV. PISOS'!E40</f>
        <v/>
      </c>
      <c r="AR33" s="90">
        <f>'REV. PISOS'!E41</f>
        <v/>
      </c>
      <c r="AS33" s="90">
        <f>'REV. PISOS'!E42</f>
        <v/>
      </c>
      <c r="AT33" s="90">
        <f>'REV. PISOS'!E43</f>
        <v/>
      </c>
      <c r="AU33" s="90">
        <f>'REV. PISOS'!E44</f>
        <v/>
      </c>
      <c r="AV33" s="90">
        <f>'REV. PISOS'!E45</f>
        <v/>
      </c>
      <c r="AW33" s="90">
        <f>'REV. PISOS'!E46</f>
        <v/>
      </c>
      <c r="AX33" s="90">
        <f>'REV. PISOS'!E47</f>
        <v/>
      </c>
      <c r="AY33" s="90">
        <f>'REV. PISOS'!E48</f>
        <v/>
      </c>
      <c r="AZ33" s="90">
        <f>'REV. PISOS'!E49</f>
        <v/>
      </c>
      <c r="BA33" s="90">
        <f>'REV. PISOS'!E50</f>
        <v/>
      </c>
      <c r="BB33" s="90">
        <f>'REV. PISOS'!E51</f>
        <v/>
      </c>
      <c r="BC33" s="90">
        <f>'REV. PISOS'!E52</f>
        <v/>
      </c>
      <c r="BD33" s="90">
        <f>'REV. PISOS'!E53</f>
        <v/>
      </c>
      <c r="BE33" s="90">
        <f>'REV. PISOS'!E54</f>
        <v/>
      </c>
      <c r="BF33" s="90">
        <f>'REV. PISOS'!E55</f>
        <v/>
      </c>
      <c r="BG33" s="90">
        <f>'REV. PISOS'!E56</f>
        <v/>
      </c>
      <c r="BH33" s="90">
        <f>'REV. PISOS'!E57</f>
        <v/>
      </c>
      <c r="BI33" s="90">
        <f>'REV. PISOS'!E58</f>
        <v/>
      </c>
      <c r="BJ33" s="90">
        <f>'REV. PISOS'!E59</f>
        <v/>
      </c>
      <c r="BK33" s="90">
        <f>'REV. PISOS'!E60</f>
        <v/>
      </c>
      <c r="BL33" s="90">
        <f>'REV. PISOS'!E61</f>
        <v/>
      </c>
      <c r="BM33" s="90">
        <f>'REV. PISOS'!E62</f>
        <v/>
      </c>
      <c r="BN33" s="90">
        <f>'REV. PISOS'!E63</f>
        <v/>
      </c>
      <c r="BO33" s="90">
        <f>'REV. PISOS'!E64</f>
        <v/>
      </c>
      <c r="BP33" s="90">
        <f>'REV. PISOS'!E65</f>
        <v/>
      </c>
      <c r="BQ33" s="90">
        <f>'REV. PISOS'!E66</f>
        <v/>
      </c>
      <c r="BR33" s="90">
        <f>'REV. PISOS'!E67</f>
        <v/>
      </c>
      <c r="BS33" s="90">
        <f>'REV. PISOS'!E68</f>
        <v/>
      </c>
      <c r="BT33" s="90">
        <f>'REV. PISOS'!E69</f>
        <v/>
      </c>
      <c r="BU33" s="90">
        <f>'REV. PISOS'!E70</f>
        <v/>
      </c>
      <c r="BV33" s="90">
        <f>'REV. PISOS'!E71</f>
        <v/>
      </c>
      <c r="BW33" s="90">
        <f>'REV. PISOS'!E72</f>
        <v/>
      </c>
      <c r="BX33" s="90">
        <f>'REV. PISOS'!E73</f>
        <v/>
      </c>
      <c r="BY33" s="90">
        <f>'REV. PISOS'!E74</f>
        <v/>
      </c>
      <c r="BZ33" s="90">
        <f>'REV. PISOS'!E75</f>
        <v/>
      </c>
      <c r="CA33" s="90">
        <f>'REV. PISOS'!E76</f>
        <v/>
      </c>
    </row>
    <row r="34">
      <c r="A34" s="60" t="n"/>
      <c r="B34" s="60" t="inlineStr">
        <is>
          <t>1030-1070-300</t>
        </is>
      </c>
      <c r="C34" s="60" t="inlineStr">
        <is>
          <t>REVESTIMENTOS DE MASSA EM PAREDES</t>
        </is>
      </c>
      <c r="D34" s="63">
        <f>'REV. PAREDE'!$K$5</f>
        <v/>
      </c>
      <c r="E34" s="50">
        <f>SUM(H34:CA34)</f>
        <v/>
      </c>
      <c r="F34" s="50">
        <f>IF(D34="","",D34-E34)</f>
        <v/>
      </c>
      <c r="H34" s="90">
        <f>'REV. PAREDE'!E5</f>
        <v/>
      </c>
      <c r="I34" s="90">
        <f>'REV. PAREDE'!E6</f>
        <v/>
      </c>
      <c r="J34" s="90">
        <f>'REV. PAREDE'!E7</f>
        <v/>
      </c>
      <c r="K34" s="90">
        <f>'REV. PAREDE'!E8</f>
        <v/>
      </c>
      <c r="L34" s="90">
        <f>'REV. PAREDE'!E9</f>
        <v/>
      </c>
      <c r="M34" s="90">
        <f>'REV. PAREDE'!E10</f>
        <v/>
      </c>
      <c r="N34" s="90">
        <f>'REV. PAREDE'!E11</f>
        <v/>
      </c>
      <c r="O34" s="90">
        <f>'REV. PAREDE'!E12</f>
        <v/>
      </c>
      <c r="P34" s="90">
        <f>'REV. PAREDE'!E13</f>
        <v/>
      </c>
      <c r="Q34" s="90">
        <f>'REV. PAREDE'!E14</f>
        <v/>
      </c>
      <c r="R34" s="90">
        <f>'REV. PAREDE'!E15</f>
        <v/>
      </c>
      <c r="S34" s="90">
        <f>'REV. PAREDE'!E16</f>
        <v/>
      </c>
      <c r="T34" s="90">
        <f>'REV. PAREDE'!E17</f>
        <v/>
      </c>
      <c r="U34" s="90">
        <f>'REV. PAREDE'!E18</f>
        <v/>
      </c>
      <c r="V34" s="90">
        <f>'REV. PAREDE'!E19</f>
        <v/>
      </c>
      <c r="W34" s="90">
        <f>'REV. PAREDE'!E20</f>
        <v/>
      </c>
      <c r="X34" s="90">
        <f>'REV. PAREDE'!E21</f>
        <v/>
      </c>
      <c r="Y34" s="90">
        <f>'REV. PAREDE'!E22</f>
        <v/>
      </c>
      <c r="Z34" s="90">
        <f>'REV. PAREDE'!E23</f>
        <v/>
      </c>
      <c r="AA34" s="90">
        <f>'REV. PAREDE'!E24</f>
        <v/>
      </c>
      <c r="AB34" s="90">
        <f>'REV. PAREDE'!E25</f>
        <v/>
      </c>
      <c r="AC34" s="90">
        <f>'REV. PAREDE'!E26</f>
        <v/>
      </c>
      <c r="AD34" s="90">
        <f>'REV. PAREDE'!E27</f>
        <v/>
      </c>
      <c r="AE34" s="90">
        <f>'REV. PAREDE'!E28</f>
        <v/>
      </c>
      <c r="AF34" s="90">
        <f>'REV. PAREDE'!E29</f>
        <v/>
      </c>
      <c r="AG34" s="90">
        <f>'REV. PAREDE'!E30</f>
        <v/>
      </c>
      <c r="AH34" s="90">
        <f>'REV. PAREDE'!E31</f>
        <v/>
      </c>
      <c r="AI34" s="90">
        <f>'REV. PAREDE'!E32</f>
        <v/>
      </c>
      <c r="AJ34" s="90">
        <f>'REV. PAREDE'!E33</f>
        <v/>
      </c>
      <c r="AK34" s="90">
        <f>'REV. PAREDE'!E34</f>
        <v/>
      </c>
      <c r="AL34" s="90">
        <f>'REV. PAREDE'!E35</f>
        <v/>
      </c>
      <c r="AM34" s="90">
        <f>'REV. PAREDE'!E36</f>
        <v/>
      </c>
      <c r="AN34" s="90">
        <f>'REV. PAREDE'!E37</f>
        <v/>
      </c>
      <c r="AO34" s="90">
        <f>'REV. PAREDE'!E38</f>
        <v/>
      </c>
      <c r="AP34" s="90">
        <f>'REV. PAREDE'!E39</f>
        <v/>
      </c>
      <c r="AQ34" s="90">
        <f>'REV. PAREDE'!E40</f>
        <v/>
      </c>
      <c r="AR34" s="90">
        <f>'REV. PAREDE'!E41</f>
        <v/>
      </c>
      <c r="AS34" s="90">
        <f>'REV. PAREDE'!E42</f>
        <v/>
      </c>
      <c r="AT34" s="90">
        <f>'REV. PAREDE'!E43</f>
        <v/>
      </c>
      <c r="AU34" s="90">
        <f>'REV. PAREDE'!E44</f>
        <v/>
      </c>
      <c r="AV34" s="90">
        <f>'REV. PAREDE'!E45</f>
        <v/>
      </c>
      <c r="AW34" s="90">
        <f>'REV. PAREDE'!E46</f>
        <v/>
      </c>
      <c r="AX34" s="90">
        <f>'REV. PAREDE'!E47</f>
        <v/>
      </c>
      <c r="AY34" s="90">
        <f>'REV. PAREDE'!E48</f>
        <v/>
      </c>
      <c r="AZ34" s="90">
        <f>'REV. PAREDE'!E49</f>
        <v/>
      </c>
      <c r="BA34" s="90">
        <f>'REV. PAREDE'!E50</f>
        <v/>
      </c>
      <c r="BB34" s="90">
        <f>'REV. PAREDE'!E51</f>
        <v/>
      </c>
      <c r="BC34" s="90">
        <f>'REV. PAREDE'!E52</f>
        <v/>
      </c>
      <c r="BD34" s="90">
        <f>'REV. PAREDE'!E53</f>
        <v/>
      </c>
      <c r="BE34" s="90">
        <f>'REV. PAREDE'!E54</f>
        <v/>
      </c>
      <c r="BF34" s="90">
        <f>'REV. PAREDE'!E55</f>
        <v/>
      </c>
      <c r="BG34" s="90">
        <f>'REV. PAREDE'!E56</f>
        <v/>
      </c>
      <c r="BH34" s="90">
        <f>'REV. PAREDE'!E57</f>
        <v/>
      </c>
      <c r="BI34" s="90">
        <f>'REV. PAREDE'!E58</f>
        <v/>
      </c>
      <c r="BJ34" s="90">
        <f>'REV. PAREDE'!E59</f>
        <v/>
      </c>
      <c r="BK34" s="90">
        <f>'REV. PAREDE'!E60</f>
        <v/>
      </c>
      <c r="BL34" s="90">
        <f>'REV. PAREDE'!E61</f>
        <v/>
      </c>
      <c r="BM34" s="90">
        <f>'REV. PAREDE'!E62</f>
        <v/>
      </c>
      <c r="BN34" s="90">
        <f>'REV. PAREDE'!E63</f>
        <v/>
      </c>
      <c r="BO34" s="90">
        <f>'REV. PAREDE'!E64</f>
        <v/>
      </c>
      <c r="BP34" s="90">
        <f>'REV. PAREDE'!E65</f>
        <v/>
      </c>
      <c r="BQ34" s="90">
        <f>'REV. PAREDE'!E66</f>
        <v/>
      </c>
      <c r="BR34" s="90">
        <f>'REV. PAREDE'!E67</f>
        <v/>
      </c>
      <c r="BS34" s="90">
        <f>'REV. PAREDE'!E68</f>
        <v/>
      </c>
      <c r="BT34" s="90">
        <f>'REV. PAREDE'!E69</f>
        <v/>
      </c>
      <c r="BU34" s="90">
        <f>'REV. PAREDE'!E70</f>
        <v/>
      </c>
      <c r="BV34" s="90">
        <f>'REV. PAREDE'!E71</f>
        <v/>
      </c>
      <c r="BW34" s="90">
        <f>'REV. PAREDE'!E72</f>
        <v/>
      </c>
      <c r="BX34" s="90">
        <f>'REV. PAREDE'!E73</f>
        <v/>
      </c>
      <c r="BY34" s="90">
        <f>'REV. PAREDE'!E74</f>
        <v/>
      </c>
      <c r="BZ34" s="90">
        <f>'REV. PAREDE'!E75</f>
        <v/>
      </c>
      <c r="CA34" s="90">
        <f>'REV. PAREDE'!E76</f>
        <v/>
      </c>
    </row>
    <row r="35">
      <c r="A35" s="60" t="n"/>
      <c r="B35" s="60" t="inlineStr">
        <is>
          <t>1030-1070-580</t>
        </is>
      </c>
      <c r="C35" s="60" t="inlineStr">
        <is>
          <t>REVESTIMENTOS DIVERSOS-FACHADA</t>
        </is>
      </c>
      <c r="E35" s="50">
        <f>SUM(H35:CA35)</f>
        <v/>
      </c>
      <c r="F35" s="50">
        <f>IF(D35="","",D35-E35)</f>
        <v/>
      </c>
    </row>
    <row r="36">
      <c r="A36" s="60" t="n"/>
      <c r="B36" s="60" t="inlineStr">
        <is>
          <t>1030-1070-310</t>
        </is>
      </c>
      <c r="C36" s="60" t="inlineStr">
        <is>
          <t>REVESTIMENTOS DIVERSOS-PAREDE</t>
        </is>
      </c>
      <c r="E36" s="50">
        <f>SUM(H36:CA36)</f>
        <v/>
      </c>
      <c r="F36" s="50">
        <f>IF(D36="","",D36-E36)</f>
        <v/>
      </c>
    </row>
    <row r="37">
      <c r="A37" s="60" t="n"/>
      <c r="B37" s="60" t="inlineStr">
        <is>
          <t>1030-1070-330</t>
        </is>
      </c>
      <c r="C37" s="60" t="inlineStr">
        <is>
          <t>REVESTIMENTOS DIVERSOS-PISOS</t>
        </is>
      </c>
      <c r="E37" s="50">
        <f>SUM(H37:CA37)</f>
        <v/>
      </c>
      <c r="F37" s="50">
        <f>IF(D37="","",D37-E37)</f>
        <v/>
      </c>
    </row>
    <row r="38">
      <c r="A38" s="60" t="n"/>
      <c r="B38" s="60" t="inlineStr">
        <is>
          <t>1030-1070-340</t>
        </is>
      </c>
      <c r="C38" s="60" t="inlineStr">
        <is>
          <t>RODAPÉS/SOLEIRAS/PEITORIL/ADUELAS</t>
        </is>
      </c>
      <c r="E38" s="50">
        <f>SUM(H38:CA38)</f>
        <v/>
      </c>
      <c r="F38" s="50">
        <f>IF(D38="","",D38-E38)</f>
        <v/>
      </c>
    </row>
    <row r="39">
      <c r="A39" s="60" t="n"/>
      <c r="B39" s="60" t="inlineStr">
        <is>
          <t>1030-1070-220</t>
        </is>
      </c>
      <c r="C39" s="60" t="inlineStr">
        <is>
          <t>EQUIPAMENTOS DE PROTEÇÃO COLETIVA</t>
        </is>
      </c>
      <c r="E39" s="50">
        <f>SUM(H39:CA39)</f>
        <v/>
      </c>
      <c r="F39" s="50">
        <f>IF(D39="","",D39-E39)</f>
        <v/>
      </c>
    </row>
    <row r="40">
      <c r="A40" s="60" t="n"/>
      <c r="B40" s="60" t="inlineStr">
        <is>
          <t>1030-1070-110</t>
        </is>
      </c>
      <c r="C40" s="60" t="inlineStr">
        <is>
          <t>SEGUROS</t>
        </is>
      </c>
      <c r="D40" s="63">
        <f>'SEGUROS'!$K$5</f>
        <v/>
      </c>
      <c r="E40" s="50">
        <f>SUM(H40:CA40)</f>
        <v/>
      </c>
      <c r="F40" s="50">
        <f>IF(D40="","",D40-E40)</f>
        <v/>
      </c>
      <c r="H40" s="90">
        <f>'SEGUROS'!E5</f>
        <v/>
      </c>
      <c r="I40" s="90">
        <f>'SEGUROS'!E6</f>
        <v/>
      </c>
      <c r="J40" s="90">
        <f>'SEGUROS'!E7</f>
        <v/>
      </c>
      <c r="K40" s="90">
        <f>'SEGUROS'!E8</f>
        <v/>
      </c>
      <c r="L40" s="90">
        <f>'SEGUROS'!E9</f>
        <v/>
      </c>
      <c r="M40" s="90">
        <f>'SEGUROS'!E10</f>
        <v/>
      </c>
      <c r="N40" s="90">
        <f>'SEGUROS'!E11</f>
        <v/>
      </c>
      <c r="O40" s="90">
        <f>'SEGUROS'!E12</f>
        <v/>
      </c>
      <c r="P40" s="90">
        <f>'SEGUROS'!E13</f>
        <v/>
      </c>
      <c r="Q40" s="90">
        <f>'SEGUROS'!E14</f>
        <v/>
      </c>
      <c r="R40" s="90">
        <f>'SEGUROS'!E15</f>
        <v/>
      </c>
      <c r="S40" s="90">
        <f>'SEGUROS'!E16</f>
        <v/>
      </c>
      <c r="T40" s="90">
        <f>'SEGUROS'!E17</f>
        <v/>
      </c>
      <c r="U40" s="90">
        <f>'SEGUROS'!E18</f>
        <v/>
      </c>
      <c r="V40" s="90">
        <f>'SEGUROS'!E19</f>
        <v/>
      </c>
      <c r="W40" s="90">
        <f>'SEGUROS'!E20</f>
        <v/>
      </c>
      <c r="X40" s="90">
        <f>'SEGUROS'!E21</f>
        <v/>
      </c>
      <c r="Y40" s="90">
        <f>'SEGUROS'!E22</f>
        <v/>
      </c>
      <c r="Z40" s="90">
        <f>'SEGUROS'!E23</f>
        <v/>
      </c>
      <c r="AA40" s="90">
        <f>'SEGUROS'!E24</f>
        <v/>
      </c>
      <c r="AB40" s="90">
        <f>'SEGUROS'!E25</f>
        <v/>
      </c>
      <c r="AC40" s="90">
        <f>'SEGUROS'!E26</f>
        <v/>
      </c>
      <c r="AD40" s="90">
        <f>'SEGUROS'!E27</f>
        <v/>
      </c>
      <c r="AE40" s="90">
        <f>'SEGUROS'!E28</f>
        <v/>
      </c>
      <c r="AF40" s="90">
        <f>'SEGUROS'!E29</f>
        <v/>
      </c>
      <c r="AG40" s="90">
        <f>'SEGUROS'!E30</f>
        <v/>
      </c>
      <c r="AH40" s="90">
        <f>'SEGUROS'!E31</f>
        <v/>
      </c>
      <c r="AI40" s="90">
        <f>'SEGUROS'!E32</f>
        <v/>
      </c>
      <c r="AJ40" s="90">
        <f>'SEGUROS'!E33</f>
        <v/>
      </c>
      <c r="AK40" s="90">
        <f>'SEGUROS'!E34</f>
        <v/>
      </c>
      <c r="AL40" s="90">
        <f>'SEGUROS'!E35</f>
        <v/>
      </c>
      <c r="AM40" s="90">
        <f>'SEGUROS'!E36</f>
        <v/>
      </c>
      <c r="AN40" s="90">
        <f>'SEGUROS'!E37</f>
        <v/>
      </c>
      <c r="AO40" s="90">
        <f>'SEGUROS'!E38</f>
        <v/>
      </c>
      <c r="AP40" s="90">
        <f>'SEGUROS'!E39</f>
        <v/>
      </c>
      <c r="AQ40" s="90">
        <f>'SEGUROS'!E40</f>
        <v/>
      </c>
      <c r="AR40" s="90">
        <f>'SEGUROS'!E41</f>
        <v/>
      </c>
      <c r="AS40" s="90">
        <f>'SEGUROS'!E42</f>
        <v/>
      </c>
      <c r="AT40" s="90">
        <f>'SEGUROS'!E43</f>
        <v/>
      </c>
      <c r="AU40" s="90">
        <f>'SEGUROS'!E44</f>
        <v/>
      </c>
      <c r="AV40" s="90">
        <f>'SEGUROS'!E45</f>
        <v/>
      </c>
      <c r="AW40" s="90">
        <f>'SEGUROS'!E46</f>
        <v/>
      </c>
      <c r="AX40" s="90">
        <f>'SEGUROS'!E47</f>
        <v/>
      </c>
      <c r="AY40" s="90">
        <f>'SEGUROS'!E48</f>
        <v/>
      </c>
      <c r="AZ40" s="90">
        <f>'SEGUROS'!E49</f>
        <v/>
      </c>
      <c r="BA40" s="90">
        <f>'SEGUROS'!E50</f>
        <v/>
      </c>
      <c r="BB40" s="90">
        <f>'SEGUROS'!E51</f>
        <v/>
      </c>
      <c r="BC40" s="90">
        <f>'SEGUROS'!E52</f>
        <v/>
      </c>
      <c r="BD40" s="90">
        <f>'SEGUROS'!E53</f>
        <v/>
      </c>
      <c r="BE40" s="90">
        <f>'SEGUROS'!E54</f>
        <v/>
      </c>
      <c r="BF40" s="90">
        <f>'SEGUROS'!E55</f>
        <v/>
      </c>
      <c r="BG40" s="90">
        <f>'SEGUROS'!E56</f>
        <v/>
      </c>
      <c r="BH40" s="90">
        <f>'SEGUROS'!E57</f>
        <v/>
      </c>
      <c r="BI40" s="90">
        <f>'SEGUROS'!E58</f>
        <v/>
      </c>
      <c r="BJ40" s="90">
        <f>'SEGUROS'!E59</f>
        <v/>
      </c>
      <c r="BK40" s="90">
        <f>'SEGUROS'!E60</f>
        <v/>
      </c>
      <c r="BL40" s="90">
        <f>'SEGUROS'!E61</f>
        <v/>
      </c>
      <c r="BM40" s="90">
        <f>'SEGUROS'!E62</f>
        <v/>
      </c>
      <c r="BN40" s="90">
        <f>'SEGUROS'!E63</f>
        <v/>
      </c>
      <c r="BO40" s="90">
        <f>'SEGUROS'!E64</f>
        <v/>
      </c>
      <c r="BP40" s="90">
        <f>'SEGUROS'!E65</f>
        <v/>
      </c>
      <c r="BQ40" s="90">
        <f>'SEGUROS'!E66</f>
        <v/>
      </c>
      <c r="BR40" s="90">
        <f>'SEGUROS'!E67</f>
        <v/>
      </c>
      <c r="BS40" s="90">
        <f>'SEGUROS'!E68</f>
        <v/>
      </c>
      <c r="BT40" s="90">
        <f>'SEGUROS'!E69</f>
        <v/>
      </c>
      <c r="BU40" s="90">
        <f>'SEGUROS'!E70</f>
        <v/>
      </c>
      <c r="BV40" s="90">
        <f>'SEGUROS'!E71</f>
        <v/>
      </c>
      <c r="BW40" s="90">
        <f>'SEGUROS'!E72</f>
        <v/>
      </c>
      <c r="BX40" s="90">
        <f>'SEGUROS'!E73</f>
        <v/>
      </c>
      <c r="BY40" s="90">
        <f>'SEGUROS'!E74</f>
        <v/>
      </c>
      <c r="BZ40" s="90">
        <f>'SEGUROS'!E75</f>
        <v/>
      </c>
      <c r="CA40" s="90">
        <f>'SEGUROS'!E76</f>
        <v/>
      </c>
    </row>
    <row r="41">
      <c r="A41" s="60" t="n"/>
      <c r="B41" s="60" t="inlineStr">
        <is>
          <t>1030-1070-380</t>
        </is>
      </c>
      <c r="C41" s="60" t="inlineStr">
        <is>
          <t>SERRALHERIA</t>
        </is>
      </c>
      <c r="D41" s="63">
        <f>'SERRALHERIA'!$K$5</f>
        <v/>
      </c>
      <c r="E41" s="50">
        <f>SUM(H41:CA41)</f>
        <v/>
      </c>
      <c r="F41" s="50">
        <f>IF(D41="","",D41-E41)</f>
        <v/>
      </c>
      <c r="H41" s="90">
        <f>'SERRALHERIA'!E5</f>
        <v/>
      </c>
      <c r="I41" s="90">
        <f>'SERRALHERIA'!E6</f>
        <v/>
      </c>
      <c r="J41" s="90">
        <f>'SERRALHERIA'!E7</f>
        <v/>
      </c>
      <c r="K41" s="90">
        <f>'SERRALHERIA'!E8</f>
        <v/>
      </c>
      <c r="L41" s="90">
        <f>'SERRALHERIA'!E9</f>
        <v/>
      </c>
      <c r="M41" s="90">
        <f>'SERRALHERIA'!E10</f>
        <v/>
      </c>
      <c r="N41" s="90">
        <f>'SERRALHERIA'!E11</f>
        <v/>
      </c>
      <c r="O41" s="90">
        <f>'SERRALHERIA'!E12</f>
        <v/>
      </c>
      <c r="P41" s="90">
        <f>'SERRALHERIA'!E13</f>
        <v/>
      </c>
      <c r="Q41" s="90">
        <f>'SERRALHERIA'!E14</f>
        <v/>
      </c>
      <c r="R41" s="90">
        <f>'SERRALHERIA'!E15</f>
        <v/>
      </c>
      <c r="S41" s="90">
        <f>'SERRALHERIA'!E16</f>
        <v/>
      </c>
      <c r="T41" s="90">
        <f>'SERRALHERIA'!E17</f>
        <v/>
      </c>
      <c r="U41" s="90">
        <f>'SERRALHERIA'!E18</f>
        <v/>
      </c>
      <c r="V41" s="90">
        <f>'SERRALHERIA'!E19</f>
        <v/>
      </c>
      <c r="W41" s="90">
        <f>'SERRALHERIA'!E20</f>
        <v/>
      </c>
      <c r="X41" s="90">
        <f>'SERRALHERIA'!E21</f>
        <v/>
      </c>
      <c r="Y41" s="90">
        <f>'SERRALHERIA'!E22</f>
        <v/>
      </c>
      <c r="Z41" s="90">
        <f>'SERRALHERIA'!E23</f>
        <v/>
      </c>
      <c r="AA41" s="90">
        <f>'SERRALHERIA'!E24</f>
        <v/>
      </c>
      <c r="AB41" s="90">
        <f>'SERRALHERIA'!E25</f>
        <v/>
      </c>
      <c r="AC41" s="90">
        <f>'SERRALHERIA'!E26</f>
        <v/>
      </c>
      <c r="AD41" s="90">
        <f>'SERRALHERIA'!E27</f>
        <v/>
      </c>
      <c r="AE41" s="90">
        <f>'SERRALHERIA'!E28</f>
        <v/>
      </c>
      <c r="AF41" s="90">
        <f>'SERRALHERIA'!E29</f>
        <v/>
      </c>
      <c r="AG41" s="90">
        <f>'SERRALHERIA'!E30</f>
        <v/>
      </c>
      <c r="AH41" s="90">
        <f>'SERRALHERIA'!E31</f>
        <v/>
      </c>
      <c r="AI41" s="90">
        <f>'SERRALHERIA'!E32</f>
        <v/>
      </c>
      <c r="AJ41" s="90">
        <f>'SERRALHERIA'!E33</f>
        <v/>
      </c>
      <c r="AK41" s="90">
        <f>'SERRALHERIA'!E34</f>
        <v/>
      </c>
      <c r="AL41" s="90">
        <f>'SERRALHERIA'!E35</f>
        <v/>
      </c>
      <c r="AM41" s="90">
        <f>'SERRALHERIA'!E36</f>
        <v/>
      </c>
      <c r="AN41" s="90">
        <f>'SERRALHERIA'!E37</f>
        <v/>
      </c>
      <c r="AO41" s="90">
        <f>'SERRALHERIA'!E38</f>
        <v/>
      </c>
      <c r="AP41" s="90">
        <f>'SERRALHERIA'!E39</f>
        <v/>
      </c>
      <c r="AQ41" s="90">
        <f>'SERRALHERIA'!E40</f>
        <v/>
      </c>
      <c r="AR41" s="90">
        <f>'SERRALHERIA'!E41</f>
        <v/>
      </c>
      <c r="AS41" s="90">
        <f>'SERRALHERIA'!E42</f>
        <v/>
      </c>
      <c r="AT41" s="90">
        <f>'SERRALHERIA'!E43</f>
        <v/>
      </c>
      <c r="AU41" s="90">
        <f>'SERRALHERIA'!E44</f>
        <v/>
      </c>
      <c r="AV41" s="90">
        <f>'SERRALHERIA'!E45</f>
        <v/>
      </c>
      <c r="AW41" s="90">
        <f>'SERRALHERIA'!E46</f>
        <v/>
      </c>
      <c r="AX41" s="90">
        <f>'SERRALHERIA'!E47</f>
        <v/>
      </c>
      <c r="AY41" s="90">
        <f>'SERRALHERIA'!E48</f>
        <v/>
      </c>
      <c r="AZ41" s="90">
        <f>'SERRALHERIA'!E49</f>
        <v/>
      </c>
      <c r="BA41" s="90">
        <f>'SERRALHERIA'!E50</f>
        <v/>
      </c>
      <c r="BB41" s="90">
        <f>'SERRALHERIA'!E51</f>
        <v/>
      </c>
      <c r="BC41" s="90">
        <f>'SERRALHERIA'!E52</f>
        <v/>
      </c>
      <c r="BD41" s="90">
        <f>'SERRALHERIA'!E53</f>
        <v/>
      </c>
      <c r="BE41" s="90">
        <f>'SERRALHERIA'!E54</f>
        <v/>
      </c>
      <c r="BF41" s="90">
        <f>'SERRALHERIA'!E55</f>
        <v/>
      </c>
      <c r="BG41" s="90">
        <f>'SERRALHERIA'!E56</f>
        <v/>
      </c>
      <c r="BH41" s="90">
        <f>'SERRALHERIA'!E57</f>
        <v/>
      </c>
      <c r="BI41" s="90">
        <f>'SERRALHERIA'!E58</f>
        <v/>
      </c>
      <c r="BJ41" s="90">
        <f>'SERRALHERIA'!E59</f>
        <v/>
      </c>
      <c r="BK41" s="90">
        <f>'SERRALHERIA'!E60</f>
        <v/>
      </c>
      <c r="BL41" s="90">
        <f>'SERRALHERIA'!E61</f>
        <v/>
      </c>
      <c r="BM41" s="90">
        <f>'SERRALHERIA'!E62</f>
        <v/>
      </c>
      <c r="BN41" s="90">
        <f>'SERRALHERIA'!E63</f>
        <v/>
      </c>
      <c r="BO41" s="90">
        <f>'SERRALHERIA'!E64</f>
        <v/>
      </c>
      <c r="BP41" s="90">
        <f>'SERRALHERIA'!E65</f>
        <v/>
      </c>
      <c r="BQ41" s="90">
        <f>'SERRALHERIA'!E66</f>
        <v/>
      </c>
      <c r="BR41" s="90">
        <f>'SERRALHERIA'!E67</f>
        <v/>
      </c>
      <c r="BS41" s="90">
        <f>'SERRALHERIA'!E68</f>
        <v/>
      </c>
      <c r="BT41" s="90">
        <f>'SERRALHERIA'!E69</f>
        <v/>
      </c>
      <c r="BU41" s="90">
        <f>'SERRALHERIA'!E70</f>
        <v/>
      </c>
      <c r="BV41" s="90">
        <f>'SERRALHERIA'!E71</f>
        <v/>
      </c>
      <c r="BW41" s="90">
        <f>'SERRALHERIA'!E72</f>
        <v/>
      </c>
      <c r="BX41" s="90">
        <f>'SERRALHERIA'!E73</f>
        <v/>
      </c>
      <c r="BY41" s="90">
        <f>'SERRALHERIA'!E74</f>
        <v/>
      </c>
      <c r="BZ41" s="90">
        <f>'SERRALHERIA'!E75</f>
        <v/>
      </c>
      <c r="CA41" s="90">
        <f>'SERRALHERIA'!E76</f>
        <v/>
      </c>
    </row>
    <row r="42">
      <c r="A42" s="60" t="n"/>
      <c r="B42" s="60" t="inlineStr">
        <is>
          <t>1030-1070-150</t>
        </is>
      </c>
      <c r="C42" s="60" t="inlineStr">
        <is>
          <t>LIGAÇÕES PROVISÓRIAS AGUA, ENERGIA,TELEFONIA, ESGOTO</t>
        </is>
      </c>
      <c r="D42" s="63">
        <f>'LIG. PROVISÓRIAS'!$K$5</f>
        <v/>
      </c>
      <c r="E42" s="50">
        <f>SUM(H42:CA42)</f>
        <v/>
      </c>
      <c r="F42" s="50">
        <f>IF(D42="","",D42-E42)</f>
        <v/>
      </c>
      <c r="H42" s="90">
        <f>'LIG. PROVISÓRIAS'!E5</f>
        <v/>
      </c>
      <c r="I42" s="90">
        <f>'LIG. PROVISÓRIAS'!E6</f>
        <v/>
      </c>
      <c r="J42" s="90">
        <f>'LIG. PROVISÓRIAS'!E7</f>
        <v/>
      </c>
      <c r="K42" s="90">
        <f>'LIG. PROVISÓRIAS'!E8</f>
        <v/>
      </c>
      <c r="L42" s="90">
        <f>'LIG. PROVISÓRIAS'!E9</f>
        <v/>
      </c>
      <c r="M42" s="90">
        <f>'LIG. PROVISÓRIAS'!E10</f>
        <v/>
      </c>
      <c r="N42" s="90">
        <f>'LIG. PROVISÓRIAS'!E11</f>
        <v/>
      </c>
      <c r="O42" s="90">
        <f>'LIG. PROVISÓRIAS'!E12</f>
        <v/>
      </c>
      <c r="P42" s="90">
        <f>'LIG. PROVISÓRIAS'!E13</f>
        <v/>
      </c>
      <c r="Q42" s="90">
        <f>'LIG. PROVISÓRIAS'!E14</f>
        <v/>
      </c>
      <c r="R42" s="90">
        <f>'LIG. PROVISÓRIAS'!E15</f>
        <v/>
      </c>
      <c r="S42" s="90">
        <f>'LIG. PROVISÓRIAS'!E16</f>
        <v/>
      </c>
      <c r="T42" s="90">
        <f>'LIG. PROVISÓRIAS'!E17</f>
        <v/>
      </c>
      <c r="U42" s="90">
        <f>'LIG. PROVISÓRIAS'!E18</f>
        <v/>
      </c>
      <c r="V42" s="90">
        <f>'LIG. PROVISÓRIAS'!E19</f>
        <v/>
      </c>
      <c r="W42" s="90">
        <f>'LIG. PROVISÓRIAS'!E20</f>
        <v/>
      </c>
      <c r="X42" s="90">
        <f>'LIG. PROVISÓRIAS'!E21</f>
        <v/>
      </c>
      <c r="Y42" s="90">
        <f>'LIG. PROVISÓRIAS'!E22</f>
        <v/>
      </c>
      <c r="Z42" s="90">
        <f>'LIG. PROVISÓRIAS'!E23</f>
        <v/>
      </c>
      <c r="AA42" s="90">
        <f>'LIG. PROVISÓRIAS'!E24</f>
        <v/>
      </c>
      <c r="AB42" s="90">
        <f>'LIG. PROVISÓRIAS'!E25</f>
        <v/>
      </c>
      <c r="AC42" s="90">
        <f>'LIG. PROVISÓRIAS'!E26</f>
        <v/>
      </c>
      <c r="AD42" s="90">
        <f>'LIG. PROVISÓRIAS'!E27</f>
        <v/>
      </c>
      <c r="AE42" s="90">
        <f>'LIG. PROVISÓRIAS'!E28</f>
        <v/>
      </c>
      <c r="AF42" s="90">
        <f>'LIG. PROVISÓRIAS'!E29</f>
        <v/>
      </c>
      <c r="AG42" s="90">
        <f>'LIG. PROVISÓRIAS'!E30</f>
        <v/>
      </c>
      <c r="AH42" s="90">
        <f>'LIG. PROVISÓRIAS'!E31</f>
        <v/>
      </c>
      <c r="AI42" s="90">
        <f>'LIG. PROVISÓRIAS'!E32</f>
        <v/>
      </c>
      <c r="AJ42" s="90">
        <f>'LIG. PROVISÓRIAS'!E33</f>
        <v/>
      </c>
      <c r="AK42" s="90">
        <f>'LIG. PROVISÓRIAS'!E34</f>
        <v/>
      </c>
      <c r="AL42" s="90">
        <f>'LIG. PROVISÓRIAS'!E35</f>
        <v/>
      </c>
      <c r="AM42" s="90">
        <f>'LIG. PROVISÓRIAS'!E36</f>
        <v/>
      </c>
      <c r="AN42" s="90">
        <f>'LIG. PROVISÓRIAS'!E37</f>
        <v/>
      </c>
      <c r="AO42" s="90">
        <f>'LIG. PROVISÓRIAS'!E38</f>
        <v/>
      </c>
      <c r="AP42" s="90">
        <f>'LIG. PROVISÓRIAS'!E39</f>
        <v/>
      </c>
      <c r="AQ42" s="90">
        <f>'LIG. PROVISÓRIAS'!E40</f>
        <v/>
      </c>
      <c r="AR42" s="90">
        <f>'LIG. PROVISÓRIAS'!E41</f>
        <v/>
      </c>
      <c r="AS42" s="90">
        <f>'LIG. PROVISÓRIAS'!E42</f>
        <v/>
      </c>
      <c r="AT42" s="90">
        <f>'LIG. PROVISÓRIAS'!E43</f>
        <v/>
      </c>
      <c r="AU42" s="90">
        <f>'LIG. PROVISÓRIAS'!E44</f>
        <v/>
      </c>
      <c r="AV42" s="90">
        <f>'LIG. PROVISÓRIAS'!E45</f>
        <v/>
      </c>
      <c r="AW42" s="90">
        <f>'LIG. PROVISÓRIAS'!E46</f>
        <v/>
      </c>
      <c r="AX42" s="90">
        <f>'LIG. PROVISÓRIAS'!E47</f>
        <v/>
      </c>
      <c r="AY42" s="90">
        <f>'LIG. PROVISÓRIAS'!E48</f>
        <v/>
      </c>
      <c r="AZ42" s="90">
        <f>'LIG. PROVISÓRIAS'!E49</f>
        <v/>
      </c>
      <c r="BA42" s="90">
        <f>'LIG. PROVISÓRIAS'!E50</f>
        <v/>
      </c>
      <c r="BB42" s="90">
        <f>'LIG. PROVISÓRIAS'!E51</f>
        <v/>
      </c>
      <c r="BC42" s="90">
        <f>'LIG. PROVISÓRIAS'!E52</f>
        <v/>
      </c>
      <c r="BD42" s="90">
        <f>'LIG. PROVISÓRIAS'!E53</f>
        <v/>
      </c>
      <c r="BE42" s="90">
        <f>'LIG. PROVISÓRIAS'!E54</f>
        <v/>
      </c>
      <c r="BF42" s="90">
        <f>'LIG. PROVISÓRIAS'!E55</f>
        <v/>
      </c>
      <c r="BG42" s="90">
        <f>'LIG. PROVISÓRIAS'!E56</f>
        <v/>
      </c>
      <c r="BH42" s="90">
        <f>'LIG. PROVISÓRIAS'!E57</f>
        <v/>
      </c>
      <c r="BI42" s="90">
        <f>'LIG. PROVISÓRIAS'!E58</f>
        <v/>
      </c>
      <c r="BJ42" s="90">
        <f>'LIG. PROVISÓRIAS'!E59</f>
        <v/>
      </c>
      <c r="BK42" s="90">
        <f>'LIG. PROVISÓRIAS'!E60</f>
        <v/>
      </c>
      <c r="BL42" s="90">
        <f>'LIG. PROVISÓRIAS'!E61</f>
        <v/>
      </c>
      <c r="BM42" s="90">
        <f>'LIG. PROVISÓRIAS'!E62</f>
        <v/>
      </c>
      <c r="BN42" s="90">
        <f>'LIG. PROVISÓRIAS'!E63</f>
        <v/>
      </c>
      <c r="BO42" s="90">
        <f>'LIG. PROVISÓRIAS'!E64</f>
        <v/>
      </c>
      <c r="BP42" s="90">
        <f>'LIG. PROVISÓRIAS'!E65</f>
        <v/>
      </c>
      <c r="BQ42" s="90">
        <f>'LIG. PROVISÓRIAS'!E66</f>
        <v/>
      </c>
      <c r="BR42" s="90">
        <f>'LIG. PROVISÓRIAS'!E67</f>
        <v/>
      </c>
      <c r="BS42" s="90">
        <f>'LIG. PROVISÓRIAS'!E68</f>
        <v/>
      </c>
      <c r="BT42" s="90">
        <f>'LIG. PROVISÓRIAS'!E69</f>
        <v/>
      </c>
      <c r="BU42" s="90">
        <f>'LIG. PROVISÓRIAS'!E70</f>
        <v/>
      </c>
      <c r="BV42" s="90">
        <f>'LIG. PROVISÓRIAS'!E71</f>
        <v/>
      </c>
      <c r="BW42" s="90">
        <f>'LIG. PROVISÓRIAS'!E72</f>
        <v/>
      </c>
      <c r="BX42" s="90">
        <f>'LIG. PROVISÓRIAS'!E73</f>
        <v/>
      </c>
      <c r="BY42" s="90">
        <f>'LIG. PROVISÓRIAS'!E74</f>
        <v/>
      </c>
      <c r="BZ42" s="90">
        <f>'LIG. PROVISÓRIAS'!E75</f>
        <v/>
      </c>
      <c r="CA42" s="90">
        <f>'LIG. PROVISÓRIAS'!E76</f>
        <v/>
      </c>
    </row>
    <row r="43">
      <c r="A43" s="60" t="n"/>
      <c r="B43" s="60" t="inlineStr">
        <is>
          <t>1030-1070-470</t>
        </is>
      </c>
      <c r="C43" s="60" t="inlineStr">
        <is>
          <t>TAXA DE ADMINISTRAÇÃO</t>
        </is>
      </c>
      <c r="D43" s="63">
        <f>'TAX. ADM'!$K$5</f>
        <v/>
      </c>
      <c r="E43" s="50">
        <f>SUM(H43:CA43)</f>
        <v/>
      </c>
      <c r="F43" s="50">
        <f>IF(D43="","",D43-E43)</f>
        <v/>
      </c>
      <c r="H43" s="90">
        <f>'TAX. ADM'!E5</f>
        <v/>
      </c>
      <c r="I43" s="90">
        <f>'TAX. ADM'!E6</f>
        <v/>
      </c>
      <c r="J43" s="90">
        <f>'TAX. ADM'!E7</f>
        <v/>
      </c>
      <c r="K43" s="90">
        <f>'TAX. ADM'!E8</f>
        <v/>
      </c>
      <c r="L43" s="90">
        <f>'TAX. ADM'!E9</f>
        <v/>
      </c>
      <c r="M43" s="90">
        <f>'TAX. ADM'!E10</f>
        <v/>
      </c>
      <c r="N43" s="90">
        <f>'TAX. ADM'!E11</f>
        <v/>
      </c>
      <c r="O43" s="90">
        <f>'TAX. ADM'!E12</f>
        <v/>
      </c>
      <c r="P43" s="90">
        <f>'TAX. ADM'!E13</f>
        <v/>
      </c>
      <c r="Q43" s="90">
        <f>'TAX. ADM'!E14</f>
        <v/>
      </c>
      <c r="R43" s="90">
        <f>'TAX. ADM'!E15</f>
        <v/>
      </c>
      <c r="S43" s="90">
        <f>'TAX. ADM'!E16</f>
        <v/>
      </c>
      <c r="T43" s="90">
        <f>'TAX. ADM'!E17</f>
        <v/>
      </c>
      <c r="U43" s="90">
        <f>'TAX. ADM'!E18</f>
        <v/>
      </c>
      <c r="V43" s="90">
        <f>'TAX. ADM'!E19</f>
        <v/>
      </c>
      <c r="W43" s="90">
        <f>'TAX. ADM'!E20</f>
        <v/>
      </c>
      <c r="X43" s="90">
        <f>'TAX. ADM'!E21</f>
        <v/>
      </c>
      <c r="Y43" s="90">
        <f>'TAX. ADM'!E22</f>
        <v/>
      </c>
      <c r="Z43" s="90">
        <f>'TAX. ADM'!E23</f>
        <v/>
      </c>
      <c r="AA43" s="90">
        <f>'TAX. ADM'!E24</f>
        <v/>
      </c>
      <c r="AB43" s="90">
        <f>'TAX. ADM'!E25</f>
        <v/>
      </c>
      <c r="AC43" s="90">
        <f>'TAX. ADM'!E26</f>
        <v/>
      </c>
      <c r="AD43" s="90">
        <f>'TAX. ADM'!E27</f>
        <v/>
      </c>
      <c r="AE43" s="90">
        <f>'TAX. ADM'!E28</f>
        <v/>
      </c>
      <c r="AF43" s="90">
        <f>'TAX. ADM'!E29</f>
        <v/>
      </c>
      <c r="AG43" s="90">
        <f>'TAX. ADM'!E30</f>
        <v/>
      </c>
      <c r="AH43" s="90">
        <f>'TAX. ADM'!E31</f>
        <v/>
      </c>
      <c r="AI43" s="90">
        <f>'TAX. ADM'!E32</f>
        <v/>
      </c>
      <c r="AJ43" s="90">
        <f>'TAX. ADM'!E33</f>
        <v/>
      </c>
      <c r="AK43" s="90">
        <f>'TAX. ADM'!E34</f>
        <v/>
      </c>
      <c r="AL43" s="90">
        <f>'TAX. ADM'!E35</f>
        <v/>
      </c>
      <c r="AM43" s="90">
        <f>'TAX. ADM'!E36</f>
        <v/>
      </c>
      <c r="AN43" s="90">
        <f>'TAX. ADM'!E37</f>
        <v/>
      </c>
      <c r="AO43" s="90">
        <f>'TAX. ADM'!E38</f>
        <v/>
      </c>
      <c r="AP43" s="90">
        <f>'TAX. ADM'!E39</f>
        <v/>
      </c>
      <c r="AQ43" s="90">
        <f>'TAX. ADM'!E40</f>
        <v/>
      </c>
      <c r="AR43" s="90">
        <f>'TAX. ADM'!E41</f>
        <v/>
      </c>
      <c r="AS43" s="90">
        <f>'TAX. ADM'!E42</f>
        <v/>
      </c>
      <c r="AT43" s="90">
        <f>'TAX. ADM'!E43</f>
        <v/>
      </c>
      <c r="AU43" s="90">
        <f>'TAX. ADM'!E44</f>
        <v/>
      </c>
      <c r="AV43" s="90">
        <f>'TAX. ADM'!E45</f>
        <v/>
      </c>
      <c r="AW43" s="90">
        <f>'TAX. ADM'!E46</f>
        <v/>
      </c>
      <c r="AX43" s="90">
        <f>'TAX. ADM'!E47</f>
        <v/>
      </c>
      <c r="AY43" s="90">
        <f>'TAX. ADM'!E48</f>
        <v/>
      </c>
      <c r="AZ43" s="90">
        <f>'TAX. ADM'!E49</f>
        <v/>
      </c>
      <c r="BA43" s="90">
        <f>'TAX. ADM'!E50</f>
        <v/>
      </c>
      <c r="BB43" s="90">
        <f>'TAX. ADM'!E51</f>
        <v/>
      </c>
      <c r="BC43" s="90">
        <f>'TAX. ADM'!E52</f>
        <v/>
      </c>
      <c r="BD43" s="90">
        <f>'TAX. ADM'!E53</f>
        <v/>
      </c>
      <c r="BE43" s="90">
        <f>'TAX. ADM'!E54</f>
        <v/>
      </c>
      <c r="BF43" s="90">
        <f>'TAX. ADM'!E55</f>
        <v/>
      </c>
      <c r="BG43" s="90">
        <f>'TAX. ADM'!E56</f>
        <v/>
      </c>
      <c r="BH43" s="90">
        <f>'TAX. ADM'!E57</f>
        <v/>
      </c>
      <c r="BI43" s="90">
        <f>'TAX. ADM'!E58</f>
        <v/>
      </c>
      <c r="BJ43" s="90">
        <f>'TAX. ADM'!E59</f>
        <v/>
      </c>
      <c r="BK43" s="90">
        <f>'TAX. ADM'!E60</f>
        <v/>
      </c>
      <c r="BL43" s="90">
        <f>'TAX. ADM'!E61</f>
        <v/>
      </c>
      <c r="BM43" s="90">
        <f>'TAX. ADM'!E62</f>
        <v/>
      </c>
      <c r="BN43" s="90">
        <f>'TAX. ADM'!E63</f>
        <v/>
      </c>
      <c r="BO43" s="90">
        <f>'TAX. ADM'!E64</f>
        <v/>
      </c>
      <c r="BP43" s="90">
        <f>'TAX. ADM'!E65</f>
        <v/>
      </c>
      <c r="BQ43" s="90">
        <f>'TAX. ADM'!E66</f>
        <v/>
      </c>
      <c r="BR43" s="90">
        <f>'TAX. ADM'!E67</f>
        <v/>
      </c>
      <c r="BS43" s="90">
        <f>'TAX. ADM'!E68</f>
        <v/>
      </c>
      <c r="BT43" s="90">
        <f>'TAX. ADM'!E69</f>
        <v/>
      </c>
      <c r="BU43" s="90">
        <f>'TAX. ADM'!E70</f>
        <v/>
      </c>
      <c r="BV43" s="90">
        <f>'TAX. ADM'!E71</f>
        <v/>
      </c>
      <c r="BW43" s="90">
        <f>'TAX. ADM'!E72</f>
        <v/>
      </c>
      <c r="BX43" s="90">
        <f>'TAX. ADM'!E73</f>
        <v/>
      </c>
      <c r="BY43" s="90">
        <f>'TAX. ADM'!E74</f>
        <v/>
      </c>
      <c r="BZ43" s="90">
        <f>'TAX. ADM'!E75</f>
        <v/>
      </c>
      <c r="CA43" s="90">
        <f>'TAX. ADM'!E76</f>
        <v/>
      </c>
    </row>
    <row r="44">
      <c r="A44" s="60" t="n"/>
      <c r="B44" s="60" t="inlineStr">
        <is>
          <t>1030-1070-180</t>
        </is>
      </c>
      <c r="C44" s="60" t="inlineStr">
        <is>
          <t>TERRAPLENAGEM</t>
        </is>
      </c>
      <c r="D44" s="63">
        <f>'TERRAPLENAGEM'!$K$5</f>
        <v/>
      </c>
      <c r="E44" s="50">
        <f>SUM(H44:CA44)</f>
        <v/>
      </c>
      <c r="F44" s="50">
        <f>IF(D44="","",D44-E44)</f>
        <v/>
      </c>
      <c r="H44" s="90">
        <f>'TERRAPLENAGEM'!E5</f>
        <v/>
      </c>
      <c r="I44" s="90">
        <f>'TERRAPLENAGEM'!E6</f>
        <v/>
      </c>
      <c r="J44" s="90">
        <f>'TERRAPLENAGEM'!E7</f>
        <v/>
      </c>
      <c r="K44" s="90">
        <f>'TERRAPLENAGEM'!E8</f>
        <v/>
      </c>
      <c r="L44" s="90">
        <f>'TERRAPLENAGEM'!E9</f>
        <v/>
      </c>
      <c r="M44" s="90">
        <f>'TERRAPLENAGEM'!E10</f>
        <v/>
      </c>
      <c r="N44" s="90">
        <f>'TERRAPLENAGEM'!E11</f>
        <v/>
      </c>
      <c r="O44" s="90">
        <f>'TERRAPLENAGEM'!E12</f>
        <v/>
      </c>
      <c r="P44" s="90">
        <f>'TERRAPLENAGEM'!E13</f>
        <v/>
      </c>
      <c r="Q44" s="90">
        <f>'TERRAPLENAGEM'!E14</f>
        <v/>
      </c>
      <c r="R44" s="90">
        <f>'TERRAPLENAGEM'!E15</f>
        <v/>
      </c>
      <c r="S44" s="90">
        <f>'TERRAPLENAGEM'!E16</f>
        <v/>
      </c>
      <c r="T44" s="90">
        <f>'TERRAPLENAGEM'!E17</f>
        <v/>
      </c>
      <c r="U44" s="90">
        <f>'TERRAPLENAGEM'!E18</f>
        <v/>
      </c>
      <c r="V44" s="90">
        <f>'TERRAPLENAGEM'!E19</f>
        <v/>
      </c>
      <c r="W44" s="90">
        <f>'TERRAPLENAGEM'!E20</f>
        <v/>
      </c>
      <c r="X44" s="90">
        <f>'TERRAPLENAGEM'!E21</f>
        <v/>
      </c>
      <c r="Y44" s="90">
        <f>'TERRAPLENAGEM'!E22</f>
        <v/>
      </c>
      <c r="Z44" s="90">
        <f>'TERRAPLENAGEM'!E23</f>
        <v/>
      </c>
      <c r="AA44" s="90">
        <f>'TERRAPLENAGEM'!E24</f>
        <v/>
      </c>
      <c r="AB44" s="90">
        <f>'TERRAPLENAGEM'!E25</f>
        <v/>
      </c>
      <c r="AC44" s="90">
        <f>'TERRAPLENAGEM'!E26</f>
        <v/>
      </c>
      <c r="AD44" s="90">
        <f>'TERRAPLENAGEM'!E27</f>
        <v/>
      </c>
      <c r="AE44" s="90">
        <f>'TERRAPLENAGEM'!E28</f>
        <v/>
      </c>
      <c r="AF44" s="90">
        <f>'TERRAPLENAGEM'!E29</f>
        <v/>
      </c>
      <c r="AG44" s="90">
        <f>'TERRAPLENAGEM'!E30</f>
        <v/>
      </c>
      <c r="AH44" s="90">
        <f>'TERRAPLENAGEM'!E31</f>
        <v/>
      </c>
      <c r="AI44" s="90">
        <f>'TERRAPLENAGEM'!E32</f>
        <v/>
      </c>
      <c r="AJ44" s="90">
        <f>'TERRAPLENAGEM'!E33</f>
        <v/>
      </c>
      <c r="AK44" s="90">
        <f>'TERRAPLENAGEM'!E34</f>
        <v/>
      </c>
      <c r="AL44" s="90">
        <f>'TERRAPLENAGEM'!E35</f>
        <v/>
      </c>
      <c r="AM44" s="90">
        <f>'TERRAPLENAGEM'!E36</f>
        <v/>
      </c>
      <c r="AN44" s="90">
        <f>'TERRAPLENAGEM'!E37</f>
        <v/>
      </c>
      <c r="AO44" s="90">
        <f>'TERRAPLENAGEM'!E38</f>
        <v/>
      </c>
      <c r="AP44" s="90">
        <f>'TERRAPLENAGEM'!E39</f>
        <v/>
      </c>
      <c r="AQ44" s="90">
        <f>'TERRAPLENAGEM'!E40</f>
        <v/>
      </c>
      <c r="AR44" s="90">
        <f>'TERRAPLENAGEM'!E41</f>
        <v/>
      </c>
      <c r="AS44" s="90">
        <f>'TERRAPLENAGEM'!E42</f>
        <v/>
      </c>
      <c r="AT44" s="90">
        <f>'TERRAPLENAGEM'!E43</f>
        <v/>
      </c>
      <c r="AU44" s="90">
        <f>'TERRAPLENAGEM'!E44</f>
        <v/>
      </c>
      <c r="AV44" s="90">
        <f>'TERRAPLENAGEM'!E45</f>
        <v/>
      </c>
      <c r="AW44" s="90">
        <f>'TERRAPLENAGEM'!E46</f>
        <v/>
      </c>
      <c r="AX44" s="90">
        <f>'TERRAPLENAGEM'!E47</f>
        <v/>
      </c>
      <c r="AY44" s="90">
        <f>'TERRAPLENAGEM'!E48</f>
        <v/>
      </c>
      <c r="AZ44" s="90">
        <f>'TERRAPLENAGEM'!E49</f>
        <v/>
      </c>
      <c r="BA44" s="90">
        <f>'TERRAPLENAGEM'!E50</f>
        <v/>
      </c>
      <c r="BB44" s="90">
        <f>'TERRAPLENAGEM'!E51</f>
        <v/>
      </c>
      <c r="BC44" s="90">
        <f>'TERRAPLENAGEM'!E52</f>
        <v/>
      </c>
      <c r="BD44" s="90">
        <f>'TERRAPLENAGEM'!E53</f>
        <v/>
      </c>
      <c r="BE44" s="90">
        <f>'TERRAPLENAGEM'!E54</f>
        <v/>
      </c>
      <c r="BF44" s="90">
        <f>'TERRAPLENAGEM'!E55</f>
        <v/>
      </c>
      <c r="BG44" s="90">
        <f>'TERRAPLENAGEM'!E56</f>
        <v/>
      </c>
      <c r="BH44" s="90">
        <f>'TERRAPLENAGEM'!E57</f>
        <v/>
      </c>
      <c r="BI44" s="90">
        <f>'TERRAPLENAGEM'!E58</f>
        <v/>
      </c>
      <c r="BJ44" s="90">
        <f>'TERRAPLENAGEM'!E59</f>
        <v/>
      </c>
      <c r="BK44" s="90">
        <f>'TERRAPLENAGEM'!E60</f>
        <v/>
      </c>
      <c r="BL44" s="90">
        <f>'TERRAPLENAGEM'!E61</f>
        <v/>
      </c>
      <c r="BM44" s="90">
        <f>'TERRAPLENAGEM'!E62</f>
        <v/>
      </c>
      <c r="BN44" s="90">
        <f>'TERRAPLENAGEM'!E63</f>
        <v/>
      </c>
      <c r="BO44" s="90">
        <f>'TERRAPLENAGEM'!E64</f>
        <v/>
      </c>
      <c r="BP44" s="90">
        <f>'TERRAPLENAGEM'!E65</f>
        <v/>
      </c>
      <c r="BQ44" s="90">
        <f>'TERRAPLENAGEM'!E66</f>
        <v/>
      </c>
      <c r="BR44" s="90">
        <f>'TERRAPLENAGEM'!E67</f>
        <v/>
      </c>
      <c r="BS44" s="90">
        <f>'TERRAPLENAGEM'!E68</f>
        <v/>
      </c>
      <c r="BT44" s="90">
        <f>'TERRAPLENAGEM'!E69</f>
        <v/>
      </c>
      <c r="BU44" s="90">
        <f>'TERRAPLENAGEM'!E70</f>
        <v/>
      </c>
      <c r="BV44" s="90">
        <f>'TERRAPLENAGEM'!E71</f>
        <v/>
      </c>
      <c r="BW44" s="90">
        <f>'TERRAPLENAGEM'!E72</f>
        <v/>
      </c>
      <c r="BX44" s="90">
        <f>'TERRAPLENAGEM'!E73</f>
        <v/>
      </c>
      <c r="BY44" s="90">
        <f>'TERRAPLENAGEM'!E74</f>
        <v/>
      </c>
      <c r="BZ44" s="90">
        <f>'TERRAPLENAGEM'!E75</f>
        <v/>
      </c>
      <c r="CA44" s="90">
        <f>'TERRAPLENAGEM'!E76</f>
        <v/>
      </c>
    </row>
    <row r="45">
      <c r="A45" s="60" t="n"/>
      <c r="B45" s="60" t="inlineStr">
        <is>
          <t>1030-1070-600</t>
        </is>
      </c>
      <c r="C45" s="60" t="inlineStr">
        <is>
          <t>TOPOGRAFIA</t>
        </is>
      </c>
      <c r="E45" s="50">
        <f>SUM(H45:CA45)</f>
        <v/>
      </c>
      <c r="F45" s="50">
        <f>IF(D45="","",D45-E45)</f>
        <v/>
      </c>
    </row>
    <row r="46">
      <c r="A46" s="60" t="n"/>
      <c r="B46" s="60" t="inlineStr">
        <is>
          <t>1030-1070-460</t>
        </is>
      </c>
      <c r="C46" s="60" t="inlineStr">
        <is>
          <t>TRANSPORTES</t>
        </is>
      </c>
      <c r="D46" s="63">
        <f>'TRANSPORTES'!$K$5</f>
        <v/>
      </c>
      <c r="E46" s="50">
        <f>SUM(H46:CA46)</f>
        <v/>
      </c>
      <c r="F46" s="50">
        <f>IF(D46="","",D46-E46)</f>
        <v/>
      </c>
      <c r="H46" s="90">
        <f>'TRANSPORTES'!E5</f>
        <v/>
      </c>
      <c r="I46" s="90">
        <f>'TRANSPORTES'!E6</f>
        <v/>
      </c>
      <c r="J46" s="90">
        <f>'TRANSPORTES'!E7</f>
        <v/>
      </c>
      <c r="K46" s="90">
        <f>'TRANSPORTES'!E8</f>
        <v/>
      </c>
      <c r="L46" s="90">
        <f>'TRANSPORTES'!E9</f>
        <v/>
      </c>
      <c r="M46" s="90">
        <f>'TRANSPORTES'!E10</f>
        <v/>
      </c>
      <c r="N46" s="90">
        <f>'TRANSPORTES'!E11</f>
        <v/>
      </c>
      <c r="O46" s="90">
        <f>'TRANSPORTES'!E12</f>
        <v/>
      </c>
      <c r="P46" s="90">
        <f>'TRANSPORTES'!E13</f>
        <v/>
      </c>
      <c r="Q46" s="90">
        <f>'TRANSPORTES'!E14</f>
        <v/>
      </c>
      <c r="R46" s="90">
        <f>'TRANSPORTES'!E15</f>
        <v/>
      </c>
      <c r="S46" s="90">
        <f>'TRANSPORTES'!E16</f>
        <v/>
      </c>
      <c r="T46" s="90">
        <f>'TRANSPORTES'!E17</f>
        <v/>
      </c>
      <c r="U46" s="90">
        <f>'TRANSPORTES'!E18</f>
        <v/>
      </c>
      <c r="V46" s="90">
        <f>'TRANSPORTES'!E19</f>
        <v/>
      </c>
      <c r="W46" s="90">
        <f>'TRANSPORTES'!E20</f>
        <v/>
      </c>
      <c r="X46" s="90">
        <f>'TRANSPORTES'!E21</f>
        <v/>
      </c>
      <c r="Y46" s="90">
        <f>'TRANSPORTES'!E22</f>
        <v/>
      </c>
      <c r="Z46" s="90">
        <f>'TRANSPORTES'!E23</f>
        <v/>
      </c>
      <c r="AA46" s="90">
        <f>'TRANSPORTES'!E24</f>
        <v/>
      </c>
      <c r="AB46" s="90">
        <f>'TRANSPORTES'!E25</f>
        <v/>
      </c>
      <c r="AC46" s="90">
        <f>'TRANSPORTES'!E26</f>
        <v/>
      </c>
      <c r="AD46" s="90">
        <f>'TRANSPORTES'!E27</f>
        <v/>
      </c>
      <c r="AE46" s="90">
        <f>'TRANSPORTES'!E28</f>
        <v/>
      </c>
      <c r="AF46" s="90">
        <f>'TRANSPORTES'!E29</f>
        <v/>
      </c>
      <c r="AG46" s="90">
        <f>'TRANSPORTES'!E30</f>
        <v/>
      </c>
      <c r="AH46" s="90">
        <f>'TRANSPORTES'!E31</f>
        <v/>
      </c>
      <c r="AI46" s="90">
        <f>'TRANSPORTES'!E32</f>
        <v/>
      </c>
      <c r="AJ46" s="90">
        <f>'TRANSPORTES'!E33</f>
        <v/>
      </c>
      <c r="AK46" s="90">
        <f>'TRANSPORTES'!E34</f>
        <v/>
      </c>
      <c r="AL46" s="90">
        <f>'TRANSPORTES'!E35</f>
        <v/>
      </c>
      <c r="AM46" s="90">
        <f>'TRANSPORTES'!E36</f>
        <v/>
      </c>
      <c r="AN46" s="90">
        <f>'TRANSPORTES'!E37</f>
        <v/>
      </c>
      <c r="AO46" s="90">
        <f>'TRANSPORTES'!E38</f>
        <v/>
      </c>
      <c r="AP46" s="90">
        <f>'TRANSPORTES'!E39</f>
        <v/>
      </c>
      <c r="AQ46" s="90">
        <f>'TRANSPORTES'!E40</f>
        <v/>
      </c>
      <c r="AR46" s="90">
        <f>'TRANSPORTES'!E41</f>
        <v/>
      </c>
      <c r="AS46" s="90">
        <f>'TRANSPORTES'!E42</f>
        <v/>
      </c>
      <c r="AT46" s="90">
        <f>'TRANSPORTES'!E43</f>
        <v/>
      </c>
      <c r="AU46" s="90">
        <f>'TRANSPORTES'!E44</f>
        <v/>
      </c>
      <c r="AV46" s="90">
        <f>'TRANSPORTES'!E45</f>
        <v/>
      </c>
      <c r="AW46" s="90">
        <f>'TRANSPORTES'!E46</f>
        <v/>
      </c>
      <c r="AX46" s="90">
        <f>'TRANSPORTES'!E47</f>
        <v/>
      </c>
      <c r="AY46" s="90">
        <f>'TRANSPORTES'!E48</f>
        <v/>
      </c>
      <c r="AZ46" s="90">
        <f>'TRANSPORTES'!E49</f>
        <v/>
      </c>
      <c r="BA46" s="90">
        <f>'TRANSPORTES'!E50</f>
        <v/>
      </c>
      <c r="BB46" s="90">
        <f>'TRANSPORTES'!E51</f>
        <v/>
      </c>
      <c r="BC46" s="90">
        <f>'TRANSPORTES'!E52</f>
        <v/>
      </c>
      <c r="BD46" s="90">
        <f>'TRANSPORTES'!E53</f>
        <v/>
      </c>
      <c r="BE46" s="90">
        <f>'TRANSPORTES'!E54</f>
        <v/>
      </c>
      <c r="BF46" s="90">
        <f>'TRANSPORTES'!E55</f>
        <v/>
      </c>
      <c r="BG46" s="90">
        <f>'TRANSPORTES'!E56</f>
        <v/>
      </c>
      <c r="BH46" s="90">
        <f>'TRANSPORTES'!E57</f>
        <v/>
      </c>
      <c r="BI46" s="90">
        <f>'TRANSPORTES'!E58</f>
        <v/>
      </c>
      <c r="BJ46" s="90">
        <f>'TRANSPORTES'!E59</f>
        <v/>
      </c>
      <c r="BK46" s="90">
        <f>'TRANSPORTES'!E60</f>
        <v/>
      </c>
      <c r="BL46" s="90">
        <f>'TRANSPORTES'!E61</f>
        <v/>
      </c>
      <c r="BM46" s="90">
        <f>'TRANSPORTES'!E62</f>
        <v/>
      </c>
      <c r="BN46" s="90">
        <f>'TRANSPORTES'!E63</f>
        <v/>
      </c>
      <c r="BO46" s="90">
        <f>'TRANSPORTES'!E64</f>
        <v/>
      </c>
      <c r="BP46" s="90">
        <f>'TRANSPORTES'!E65</f>
        <v/>
      </c>
      <c r="BQ46" s="90">
        <f>'TRANSPORTES'!E66</f>
        <v/>
      </c>
      <c r="BR46" s="90">
        <f>'TRANSPORTES'!E67</f>
        <v/>
      </c>
      <c r="BS46" s="90">
        <f>'TRANSPORTES'!E68</f>
        <v/>
      </c>
      <c r="BT46" s="90">
        <f>'TRANSPORTES'!E69</f>
        <v/>
      </c>
      <c r="BU46" s="90">
        <f>'TRANSPORTES'!E70</f>
        <v/>
      </c>
      <c r="BV46" s="90">
        <f>'TRANSPORTES'!E71</f>
        <v/>
      </c>
      <c r="BW46" s="90">
        <f>'TRANSPORTES'!E72</f>
        <v/>
      </c>
      <c r="BX46" s="90">
        <f>'TRANSPORTES'!E73</f>
        <v/>
      </c>
      <c r="BY46" s="90">
        <f>'TRANSPORTES'!E74</f>
        <v/>
      </c>
      <c r="BZ46" s="90">
        <f>'TRANSPORTES'!E75</f>
        <v/>
      </c>
      <c r="CA46" s="90">
        <f>'TRANSPORTES'!E76</f>
        <v/>
      </c>
    </row>
    <row r="47">
      <c r="A47" s="60" t="n"/>
      <c r="B47" s="60" t="inlineStr">
        <is>
          <t>1030-1070-480</t>
        </is>
      </c>
      <c r="C47" s="60" t="inlineStr">
        <is>
          <t>ESTRUTURA EM COBERTURA METÁLICA</t>
        </is>
      </c>
      <c r="E47" s="50">
        <f>SUM(H47:CA47)</f>
        <v/>
      </c>
      <c r="F47" s="50">
        <f>IF(D47="","",D47-E47)</f>
        <v/>
      </c>
    </row>
    <row r="48">
      <c r="A48" s="60" t="n"/>
      <c r="B48" s="60" t="inlineStr">
        <is>
          <t>1030-1070-500</t>
        </is>
      </c>
      <c r="C48" s="60" t="inlineStr">
        <is>
          <t>REFORÇO ESTRUTURAL</t>
        </is>
      </c>
      <c r="E48" s="50">
        <f>SUM(H48:CA48)</f>
        <v/>
      </c>
      <c r="F48" s="50">
        <f>IF(D48="","",D48-E48)</f>
        <v/>
      </c>
    </row>
    <row r="49">
      <c r="A49" s="60" t="n"/>
      <c r="B49" s="60" t="inlineStr">
        <is>
          <t>1030-1070-530</t>
        </is>
      </c>
      <c r="C49" s="60" t="inlineStr">
        <is>
          <t>MÃO DE OBRA PRÓPRIA</t>
        </is>
      </c>
      <c r="D49" s="63">
        <f>'MDO'!$K$5</f>
        <v/>
      </c>
      <c r="E49" s="50">
        <f>SUM(H49:CA49)</f>
        <v/>
      </c>
      <c r="F49" s="50">
        <f>IF(D49="","",D49-E49)</f>
        <v/>
      </c>
      <c r="H49" s="90">
        <f>'MDO'!E5</f>
        <v/>
      </c>
      <c r="I49" s="90">
        <f>'MDO'!E6</f>
        <v/>
      </c>
      <c r="J49" s="90">
        <f>'MDO'!E7</f>
        <v/>
      </c>
      <c r="K49" s="90">
        <f>'MDO'!E8</f>
        <v/>
      </c>
      <c r="L49" s="90">
        <f>'MDO'!E9</f>
        <v/>
      </c>
      <c r="M49" s="90">
        <f>'MDO'!E10</f>
        <v/>
      </c>
      <c r="N49" s="90">
        <f>'MDO'!E11</f>
        <v/>
      </c>
      <c r="O49" s="90">
        <f>'MDO'!E12</f>
        <v/>
      </c>
      <c r="P49" s="90">
        <f>'MDO'!E13</f>
        <v/>
      </c>
      <c r="Q49" s="90">
        <f>'MDO'!E14</f>
        <v/>
      </c>
      <c r="R49" s="90">
        <f>'MDO'!E15</f>
        <v/>
      </c>
      <c r="S49" s="90">
        <f>'MDO'!E16</f>
        <v/>
      </c>
      <c r="T49" s="90">
        <f>'MDO'!E17</f>
        <v/>
      </c>
      <c r="U49" s="90">
        <f>'MDO'!E18</f>
        <v/>
      </c>
      <c r="V49" s="90">
        <f>'MDO'!E19</f>
        <v/>
      </c>
      <c r="W49" s="90">
        <f>'MDO'!E20</f>
        <v/>
      </c>
      <c r="X49" s="90">
        <f>'MDO'!E21</f>
        <v/>
      </c>
      <c r="Y49" s="90">
        <f>'MDO'!E22</f>
        <v/>
      </c>
      <c r="Z49" s="90">
        <f>'MDO'!E23</f>
        <v/>
      </c>
      <c r="AA49" s="90">
        <f>'MDO'!E24</f>
        <v/>
      </c>
      <c r="AB49" s="90">
        <f>'MDO'!E25</f>
        <v/>
      </c>
      <c r="AC49" s="90">
        <f>'MDO'!E26</f>
        <v/>
      </c>
      <c r="AD49" s="90">
        <f>'MDO'!E27</f>
        <v/>
      </c>
      <c r="AE49" s="90">
        <f>'MDO'!E28</f>
        <v/>
      </c>
      <c r="AF49" s="90">
        <f>'MDO'!E29</f>
        <v/>
      </c>
      <c r="AG49" s="90">
        <f>'MDO'!E30</f>
        <v/>
      </c>
      <c r="AH49" s="90">
        <f>'MDO'!E31</f>
        <v/>
      </c>
      <c r="AI49" s="90">
        <f>'MDO'!E32</f>
        <v/>
      </c>
      <c r="AJ49" s="90">
        <f>'MDO'!E33</f>
        <v/>
      </c>
      <c r="AK49" s="90">
        <f>'MDO'!E34</f>
        <v/>
      </c>
      <c r="AL49" s="90">
        <f>'MDO'!E35</f>
        <v/>
      </c>
      <c r="AM49" s="90">
        <f>'MDO'!E36</f>
        <v/>
      </c>
      <c r="AN49" s="90">
        <f>'MDO'!E37</f>
        <v/>
      </c>
      <c r="AO49" s="90">
        <f>'MDO'!E38</f>
        <v/>
      </c>
      <c r="AP49" s="90">
        <f>'MDO'!E39</f>
        <v/>
      </c>
      <c r="AQ49" s="90">
        <f>'MDO'!E40</f>
        <v/>
      </c>
      <c r="AR49" s="90">
        <f>'MDO'!E41</f>
        <v/>
      </c>
      <c r="AS49" s="90">
        <f>'MDO'!E42</f>
        <v/>
      </c>
      <c r="AT49" s="90">
        <f>'MDO'!E43</f>
        <v/>
      </c>
      <c r="AU49" s="90">
        <f>'MDO'!E44</f>
        <v/>
      </c>
      <c r="AV49" s="90">
        <f>'MDO'!E45</f>
        <v/>
      </c>
      <c r="AW49" s="90">
        <f>'MDO'!E46</f>
        <v/>
      </c>
      <c r="AX49" s="90">
        <f>'MDO'!E47</f>
        <v/>
      </c>
      <c r="AY49" s="90">
        <f>'MDO'!E48</f>
        <v/>
      </c>
      <c r="AZ49" s="90">
        <f>'MDO'!E49</f>
        <v/>
      </c>
      <c r="BA49" s="90">
        <f>'MDO'!E50</f>
        <v/>
      </c>
      <c r="BB49" s="90">
        <f>'MDO'!E51</f>
        <v/>
      </c>
      <c r="BC49" s="90">
        <f>'MDO'!E52</f>
        <v/>
      </c>
      <c r="BD49" s="90">
        <f>'MDO'!E53</f>
        <v/>
      </c>
      <c r="BE49" s="90">
        <f>'MDO'!E54</f>
        <v/>
      </c>
      <c r="BF49" s="90">
        <f>'MDO'!E55</f>
        <v/>
      </c>
      <c r="BG49" s="90">
        <f>'MDO'!E56</f>
        <v/>
      </c>
      <c r="BH49" s="90">
        <f>'MDO'!E57</f>
        <v/>
      </c>
      <c r="BI49" s="90">
        <f>'MDO'!E58</f>
        <v/>
      </c>
      <c r="BJ49" s="90">
        <f>'MDO'!E59</f>
        <v/>
      </c>
      <c r="BK49" s="90">
        <f>'MDO'!E60</f>
        <v/>
      </c>
      <c r="BL49" s="90">
        <f>'MDO'!E61</f>
        <v/>
      </c>
      <c r="BM49" s="90">
        <f>'MDO'!E62</f>
        <v/>
      </c>
      <c r="BN49" s="90">
        <f>'MDO'!E63</f>
        <v/>
      </c>
      <c r="BO49" s="90">
        <f>'MDO'!E64</f>
        <v/>
      </c>
      <c r="BP49" s="90">
        <f>'MDO'!E65</f>
        <v/>
      </c>
      <c r="BQ49" s="90">
        <f>'MDO'!E66</f>
        <v/>
      </c>
      <c r="BR49" s="90">
        <f>'MDO'!E67</f>
        <v/>
      </c>
      <c r="BS49" s="90">
        <f>'MDO'!E68</f>
        <v/>
      </c>
      <c r="BT49" s="90">
        <f>'MDO'!E69</f>
        <v/>
      </c>
      <c r="BU49" s="90">
        <f>'MDO'!E70</f>
        <v/>
      </c>
      <c r="BV49" s="90">
        <f>'MDO'!E71</f>
        <v/>
      </c>
      <c r="BW49" s="90">
        <f>'MDO'!E72</f>
        <v/>
      </c>
      <c r="BX49" s="90">
        <f>'MDO'!E73</f>
        <v/>
      </c>
      <c r="BY49" s="90">
        <f>'MDO'!E74</f>
        <v/>
      </c>
      <c r="BZ49" s="90">
        <f>'MDO'!E75</f>
        <v/>
      </c>
      <c r="CA49" s="90">
        <f>'MDO'!E76</f>
        <v/>
      </c>
    </row>
    <row r="50">
      <c r="A50" s="60" t="n"/>
      <c r="B50" s="60" t="inlineStr">
        <is>
          <t>1030-1070-120</t>
        </is>
      </c>
      <c r="C50" s="60" t="inlineStr">
        <is>
          <t>TAXAS DIVERSAS</t>
        </is>
      </c>
      <c r="D50" s="63">
        <f>'TAX. DIVERSAS'!$K$5</f>
        <v/>
      </c>
      <c r="E50" s="50">
        <f>SUM(H50:CA50)</f>
        <v/>
      </c>
      <c r="F50" s="50">
        <f>IF(D50="","",D50-E50)</f>
        <v/>
      </c>
      <c r="H50" s="90">
        <f>'TAX. DIVERSAS'!E5</f>
        <v/>
      </c>
      <c r="I50" s="90">
        <f>'TAX. DIVERSAS'!E6</f>
        <v/>
      </c>
      <c r="J50" s="90">
        <f>'TAX. DIVERSAS'!E7</f>
        <v/>
      </c>
      <c r="K50" s="90">
        <f>'TAX. DIVERSAS'!E8</f>
        <v/>
      </c>
      <c r="L50" s="90">
        <f>'TAX. DIVERSAS'!E9</f>
        <v/>
      </c>
      <c r="M50" s="90">
        <f>'TAX. DIVERSAS'!E10</f>
        <v/>
      </c>
      <c r="N50" s="90">
        <f>'TAX. DIVERSAS'!E11</f>
        <v/>
      </c>
      <c r="O50" s="90">
        <f>'TAX. DIVERSAS'!E12</f>
        <v/>
      </c>
      <c r="P50" s="90">
        <f>'TAX. DIVERSAS'!E13</f>
        <v/>
      </c>
      <c r="Q50" s="90">
        <f>'TAX. DIVERSAS'!E14</f>
        <v/>
      </c>
      <c r="R50" s="90">
        <f>'TAX. DIVERSAS'!E15</f>
        <v/>
      </c>
      <c r="S50" s="90">
        <f>'TAX. DIVERSAS'!E16</f>
        <v/>
      </c>
      <c r="T50" s="90">
        <f>'TAX. DIVERSAS'!E17</f>
        <v/>
      </c>
      <c r="U50" s="90">
        <f>'TAX. DIVERSAS'!E18</f>
        <v/>
      </c>
      <c r="V50" s="90">
        <f>'TAX. DIVERSAS'!E19</f>
        <v/>
      </c>
      <c r="W50" s="90">
        <f>'TAX. DIVERSAS'!E20</f>
        <v/>
      </c>
      <c r="X50" s="90">
        <f>'TAX. DIVERSAS'!E21</f>
        <v/>
      </c>
      <c r="Y50" s="90">
        <f>'TAX. DIVERSAS'!E22</f>
        <v/>
      </c>
      <c r="Z50" s="90">
        <f>'TAX. DIVERSAS'!E23</f>
        <v/>
      </c>
      <c r="AA50" s="90">
        <f>'TAX. DIVERSAS'!E24</f>
        <v/>
      </c>
      <c r="AB50" s="90">
        <f>'TAX. DIVERSAS'!E25</f>
        <v/>
      </c>
      <c r="AC50" s="90">
        <f>'TAX. DIVERSAS'!E26</f>
        <v/>
      </c>
      <c r="AD50" s="90">
        <f>'TAX. DIVERSAS'!E27</f>
        <v/>
      </c>
      <c r="AE50" s="90">
        <f>'TAX. DIVERSAS'!E28</f>
        <v/>
      </c>
      <c r="AF50" s="90">
        <f>'TAX. DIVERSAS'!E29</f>
        <v/>
      </c>
      <c r="AG50" s="90">
        <f>'TAX. DIVERSAS'!E30</f>
        <v/>
      </c>
      <c r="AH50" s="90">
        <f>'TAX. DIVERSAS'!E31</f>
        <v/>
      </c>
      <c r="AI50" s="90">
        <f>'TAX. DIVERSAS'!E32</f>
        <v/>
      </c>
      <c r="AJ50" s="90">
        <f>'TAX. DIVERSAS'!E33</f>
        <v/>
      </c>
      <c r="AK50" s="90">
        <f>'TAX. DIVERSAS'!E34</f>
        <v/>
      </c>
      <c r="AL50" s="90">
        <f>'TAX. DIVERSAS'!E35</f>
        <v/>
      </c>
      <c r="AM50" s="90">
        <f>'TAX. DIVERSAS'!E36</f>
        <v/>
      </c>
      <c r="AN50" s="90">
        <f>'TAX. DIVERSAS'!E37</f>
        <v/>
      </c>
      <c r="AO50" s="90">
        <f>'TAX. DIVERSAS'!E38</f>
        <v/>
      </c>
      <c r="AP50" s="90">
        <f>'TAX. DIVERSAS'!E39</f>
        <v/>
      </c>
      <c r="AQ50" s="90">
        <f>'TAX. DIVERSAS'!E40</f>
        <v/>
      </c>
      <c r="AR50" s="90">
        <f>'TAX. DIVERSAS'!E41</f>
        <v/>
      </c>
      <c r="AS50" s="90">
        <f>'TAX. DIVERSAS'!E42</f>
        <v/>
      </c>
      <c r="AT50" s="90">
        <f>'TAX. DIVERSAS'!E43</f>
        <v/>
      </c>
      <c r="AU50" s="90">
        <f>'TAX. DIVERSAS'!E44</f>
        <v/>
      </c>
      <c r="AV50" s="90">
        <f>'TAX. DIVERSAS'!E45</f>
        <v/>
      </c>
      <c r="AW50" s="90">
        <f>'TAX. DIVERSAS'!E46</f>
        <v/>
      </c>
      <c r="AX50" s="90">
        <f>'TAX. DIVERSAS'!E47</f>
        <v/>
      </c>
      <c r="AY50" s="90">
        <f>'TAX. DIVERSAS'!E48</f>
        <v/>
      </c>
      <c r="AZ50" s="90">
        <f>'TAX. DIVERSAS'!E49</f>
        <v/>
      </c>
      <c r="BA50" s="90">
        <f>'TAX. DIVERSAS'!E50</f>
        <v/>
      </c>
      <c r="BB50" s="90">
        <f>'TAX. DIVERSAS'!E51</f>
        <v/>
      </c>
      <c r="BC50" s="90">
        <f>'TAX. DIVERSAS'!E52</f>
        <v/>
      </c>
      <c r="BD50" s="90">
        <f>'TAX. DIVERSAS'!E53</f>
        <v/>
      </c>
      <c r="BE50" s="90">
        <f>'TAX. DIVERSAS'!E54</f>
        <v/>
      </c>
      <c r="BF50" s="90">
        <f>'TAX. DIVERSAS'!E55</f>
        <v/>
      </c>
      <c r="BG50" s="90">
        <f>'TAX. DIVERSAS'!E56</f>
        <v/>
      </c>
      <c r="BH50" s="90">
        <f>'TAX. DIVERSAS'!E57</f>
        <v/>
      </c>
      <c r="BI50" s="90">
        <f>'TAX. DIVERSAS'!E58</f>
        <v/>
      </c>
      <c r="BJ50" s="90">
        <f>'TAX. DIVERSAS'!E59</f>
        <v/>
      </c>
      <c r="BK50" s="90">
        <f>'TAX. DIVERSAS'!E60</f>
        <v/>
      </c>
      <c r="BL50" s="90">
        <f>'TAX. DIVERSAS'!E61</f>
        <v/>
      </c>
      <c r="BM50" s="90">
        <f>'TAX. DIVERSAS'!E62</f>
        <v/>
      </c>
      <c r="BN50" s="90">
        <f>'TAX. DIVERSAS'!E63</f>
        <v/>
      </c>
      <c r="BO50" s="90">
        <f>'TAX. DIVERSAS'!E64</f>
        <v/>
      </c>
      <c r="BP50" s="90">
        <f>'TAX. DIVERSAS'!E65</f>
        <v/>
      </c>
      <c r="BQ50" s="90">
        <f>'TAX. DIVERSAS'!E66</f>
        <v/>
      </c>
      <c r="BR50" s="90">
        <f>'TAX. DIVERSAS'!E67</f>
        <v/>
      </c>
      <c r="BS50" s="90">
        <f>'TAX. DIVERSAS'!E68</f>
        <v/>
      </c>
      <c r="BT50" s="90">
        <f>'TAX. DIVERSAS'!E69</f>
        <v/>
      </c>
      <c r="BU50" s="90">
        <f>'TAX. DIVERSAS'!E70</f>
        <v/>
      </c>
      <c r="BV50" s="90">
        <f>'TAX. DIVERSAS'!E71</f>
        <v/>
      </c>
      <c r="BW50" s="90">
        <f>'TAX. DIVERSAS'!E72</f>
        <v/>
      </c>
      <c r="BX50" s="90">
        <f>'TAX. DIVERSAS'!E73</f>
        <v/>
      </c>
      <c r="BY50" s="90">
        <f>'TAX. DIVERSAS'!E74</f>
        <v/>
      </c>
      <c r="BZ50" s="90">
        <f>'TAX. DIVERSAS'!E75</f>
        <v/>
      </c>
      <c r="CA50" s="90">
        <f>'TAX. DIVERSAS'!E76</f>
        <v/>
      </c>
    </row>
    <row r="51">
      <c r="A51" s="60" t="n"/>
      <c r="B51" s="60" t="inlineStr">
        <is>
          <t>1030-1070-590</t>
        </is>
      </c>
      <c r="C51" s="60" t="inlineStr">
        <is>
          <t>SEGURANÇA DO TRABALHO</t>
        </is>
      </c>
      <c r="E51" s="50">
        <f>SUM(H51:CA51)</f>
        <v/>
      </c>
      <c r="F51" s="50">
        <f>IF(D51="","",D51-E51)</f>
        <v/>
      </c>
    </row>
    <row r="52">
      <c r="A52" s="60" t="n"/>
      <c r="B52" s="60" t="inlineStr">
        <is>
          <t>1030-1070-520</t>
        </is>
      </c>
      <c r="C52" s="60" t="inlineStr">
        <is>
          <t>SERVIÇOS INICIAIS</t>
        </is>
      </c>
      <c r="D52" s="63">
        <f>'SERV. INICIAIS'!$K$5</f>
        <v/>
      </c>
      <c r="E52" s="50">
        <f>SUM(H52:CA52)</f>
        <v/>
      </c>
      <c r="F52" s="50">
        <f>IF(D52="","",D52-E52)</f>
        <v/>
      </c>
      <c r="H52" s="90">
        <f>'SERV. INICIAIS'!E5</f>
        <v/>
      </c>
      <c r="I52" s="90">
        <f>'SERV. INICIAIS'!E6</f>
        <v/>
      </c>
      <c r="J52" s="90">
        <f>'SERV. INICIAIS'!E7</f>
        <v/>
      </c>
      <c r="K52" s="90">
        <f>'SERV. INICIAIS'!E8</f>
        <v/>
      </c>
      <c r="L52" s="90">
        <f>'SERV. INICIAIS'!E9</f>
        <v/>
      </c>
      <c r="M52" s="90">
        <f>'SERV. INICIAIS'!E10</f>
        <v/>
      </c>
      <c r="N52" s="90">
        <f>'SERV. INICIAIS'!E11</f>
        <v/>
      </c>
      <c r="O52" s="90">
        <f>'SERV. INICIAIS'!E12</f>
        <v/>
      </c>
      <c r="P52" s="90">
        <f>'SERV. INICIAIS'!E13</f>
        <v/>
      </c>
      <c r="Q52" s="90">
        <f>'SERV. INICIAIS'!E14</f>
        <v/>
      </c>
      <c r="R52" s="90">
        <f>'SERV. INICIAIS'!E15</f>
        <v/>
      </c>
      <c r="S52" s="90">
        <f>'SERV. INICIAIS'!E16</f>
        <v/>
      </c>
      <c r="T52" s="90">
        <f>'SERV. INICIAIS'!E17</f>
        <v/>
      </c>
      <c r="U52" s="90">
        <f>'SERV. INICIAIS'!E18</f>
        <v/>
      </c>
      <c r="V52" s="90">
        <f>'SERV. INICIAIS'!E19</f>
        <v/>
      </c>
      <c r="W52" s="90">
        <f>'SERV. INICIAIS'!E20</f>
        <v/>
      </c>
      <c r="X52" s="90">
        <f>'SERV. INICIAIS'!E21</f>
        <v/>
      </c>
      <c r="Y52" s="90">
        <f>'SERV. INICIAIS'!E22</f>
        <v/>
      </c>
      <c r="Z52" s="90">
        <f>'SERV. INICIAIS'!E23</f>
        <v/>
      </c>
      <c r="AA52" s="90">
        <f>'SERV. INICIAIS'!E24</f>
        <v/>
      </c>
      <c r="AB52" s="90">
        <f>'SERV. INICIAIS'!E25</f>
        <v/>
      </c>
      <c r="AC52" s="90">
        <f>'SERV. INICIAIS'!E26</f>
        <v/>
      </c>
      <c r="AD52" s="90">
        <f>'SERV. INICIAIS'!E27</f>
        <v/>
      </c>
      <c r="AE52" s="90">
        <f>'SERV. INICIAIS'!E28</f>
        <v/>
      </c>
      <c r="AF52" s="90">
        <f>'SERV. INICIAIS'!E29</f>
        <v/>
      </c>
      <c r="AG52" s="90">
        <f>'SERV. INICIAIS'!E30</f>
        <v/>
      </c>
      <c r="AH52" s="90">
        <f>'SERV. INICIAIS'!E31</f>
        <v/>
      </c>
      <c r="AI52" s="90">
        <f>'SERV. INICIAIS'!E32</f>
        <v/>
      </c>
      <c r="AJ52" s="90">
        <f>'SERV. INICIAIS'!E33</f>
        <v/>
      </c>
      <c r="AK52" s="90">
        <f>'SERV. INICIAIS'!E34</f>
        <v/>
      </c>
      <c r="AL52" s="90">
        <f>'SERV. INICIAIS'!E35</f>
        <v/>
      </c>
      <c r="AM52" s="90">
        <f>'SERV. INICIAIS'!E36</f>
        <v/>
      </c>
      <c r="AN52" s="90">
        <f>'SERV. INICIAIS'!E37</f>
        <v/>
      </c>
      <c r="AO52" s="90">
        <f>'SERV. INICIAIS'!E38</f>
        <v/>
      </c>
      <c r="AP52" s="90">
        <f>'SERV. INICIAIS'!E39</f>
        <v/>
      </c>
      <c r="AQ52" s="90">
        <f>'SERV. INICIAIS'!E40</f>
        <v/>
      </c>
      <c r="AR52" s="90">
        <f>'SERV. INICIAIS'!E41</f>
        <v/>
      </c>
      <c r="AS52" s="90">
        <f>'SERV. INICIAIS'!E42</f>
        <v/>
      </c>
      <c r="AT52" s="90">
        <f>'SERV. INICIAIS'!E43</f>
        <v/>
      </c>
      <c r="AU52" s="90">
        <f>'SERV. INICIAIS'!E44</f>
        <v/>
      </c>
      <c r="AV52" s="90">
        <f>'SERV. INICIAIS'!E45</f>
        <v/>
      </c>
      <c r="AW52" s="90">
        <f>'SERV. INICIAIS'!E46</f>
        <v/>
      </c>
      <c r="AX52" s="90">
        <f>'SERV. INICIAIS'!E47</f>
        <v/>
      </c>
      <c r="AY52" s="90">
        <f>'SERV. INICIAIS'!E48</f>
        <v/>
      </c>
      <c r="AZ52" s="90">
        <f>'SERV. INICIAIS'!E49</f>
        <v/>
      </c>
      <c r="BA52" s="90">
        <f>'SERV. INICIAIS'!E50</f>
        <v/>
      </c>
      <c r="BB52" s="90">
        <f>'SERV. INICIAIS'!E51</f>
        <v/>
      </c>
      <c r="BC52" s="90">
        <f>'SERV. INICIAIS'!E52</f>
        <v/>
      </c>
      <c r="BD52" s="90">
        <f>'SERV. INICIAIS'!E53</f>
        <v/>
      </c>
      <c r="BE52" s="90">
        <f>'SERV. INICIAIS'!E54</f>
        <v/>
      </c>
      <c r="BF52" s="90">
        <f>'SERV. INICIAIS'!E55</f>
        <v/>
      </c>
      <c r="BG52" s="90">
        <f>'SERV. INICIAIS'!E56</f>
        <v/>
      </c>
      <c r="BH52" s="90">
        <f>'SERV. INICIAIS'!E57</f>
        <v/>
      </c>
      <c r="BI52" s="90">
        <f>'SERV. INICIAIS'!E58</f>
        <v/>
      </c>
      <c r="BJ52" s="90">
        <f>'SERV. INICIAIS'!E59</f>
        <v/>
      </c>
      <c r="BK52" s="90">
        <f>'SERV. INICIAIS'!E60</f>
        <v/>
      </c>
      <c r="BL52" s="90">
        <f>'SERV. INICIAIS'!E61</f>
        <v/>
      </c>
      <c r="BM52" s="90">
        <f>'SERV. INICIAIS'!E62</f>
        <v/>
      </c>
      <c r="BN52" s="90">
        <f>'SERV. INICIAIS'!E63</f>
        <v/>
      </c>
      <c r="BO52" s="90">
        <f>'SERV. INICIAIS'!E64</f>
        <v/>
      </c>
      <c r="BP52" s="90">
        <f>'SERV. INICIAIS'!E65</f>
        <v/>
      </c>
      <c r="BQ52" s="90">
        <f>'SERV. INICIAIS'!E66</f>
        <v/>
      </c>
      <c r="BR52" s="90">
        <f>'SERV. INICIAIS'!E67</f>
        <v/>
      </c>
      <c r="BS52" s="90">
        <f>'SERV. INICIAIS'!E68</f>
        <v/>
      </c>
      <c r="BT52" s="90">
        <f>'SERV. INICIAIS'!E69</f>
        <v/>
      </c>
      <c r="BU52" s="90">
        <f>'SERV. INICIAIS'!E70</f>
        <v/>
      </c>
      <c r="BV52" s="90">
        <f>'SERV. INICIAIS'!E71</f>
        <v/>
      </c>
      <c r="BW52" s="90">
        <f>'SERV. INICIAIS'!E72</f>
        <v/>
      </c>
      <c r="BX52" s="90">
        <f>'SERV. INICIAIS'!E73</f>
        <v/>
      </c>
      <c r="BY52" s="90">
        <f>'SERV. INICIAIS'!E74</f>
        <v/>
      </c>
      <c r="BZ52" s="90">
        <f>'SERV. INICIAIS'!E75</f>
        <v/>
      </c>
      <c r="CA52" s="90">
        <f>'SERV. INICIAIS'!E76</f>
        <v/>
      </c>
    </row>
    <row r="53">
      <c r="A53" s="60" t="n"/>
      <c r="B53" s="60" t="inlineStr">
        <is>
          <t>1040-1110-115</t>
        </is>
      </c>
      <c r="C53" s="60" t="inlineStr">
        <is>
          <t>COMERCIAIS</t>
        </is>
      </c>
      <c r="E53" s="50">
        <f>SUM(H53:CA53)</f>
        <v/>
      </c>
      <c r="F53" s="50">
        <f>IF(D53="","",D53-E53)</f>
        <v/>
      </c>
    </row>
    <row r="54">
      <c r="A54" s="60" t="n"/>
      <c r="B54" s="60" t="inlineStr">
        <is>
          <t>1040-1130-110</t>
        </is>
      </c>
      <c r="C54" s="60" t="inlineStr">
        <is>
          <t>INCORPORAÇÃO / LEGALIZAÇÃO</t>
        </is>
      </c>
      <c r="E54" s="50">
        <f>SUM(H54:CA54)</f>
        <v/>
      </c>
      <c r="F54" s="50">
        <f>IF(D54="","",D54-E54)</f>
        <v/>
      </c>
    </row>
    <row r="55">
      <c r="A55" s="60" t="n"/>
      <c r="B55" s="60" t="inlineStr">
        <is>
          <t>1040-1130-110</t>
        </is>
      </c>
      <c r="C55" s="60" t="inlineStr">
        <is>
          <t>INCORPORAÇÃO / LEGALIZAÇÃO</t>
        </is>
      </c>
      <c r="E55" s="50">
        <f>SUM(H55:CA55)</f>
        <v/>
      </c>
      <c r="F55" s="50">
        <f>IF(D55="","",D55-E55)</f>
        <v/>
      </c>
    </row>
    <row r="56">
      <c r="A56" s="60" t="n"/>
      <c r="B56" s="60" t="inlineStr">
        <is>
          <t>1030-1090-100</t>
        </is>
      </c>
      <c r="C56" s="60" t="inlineStr">
        <is>
          <t>MEDIDAS COMPENSATÓRIAS</t>
        </is>
      </c>
      <c r="E56" s="50">
        <f>SUM(H56:CA56)</f>
        <v/>
      </c>
      <c r="F56" s="50">
        <f>IF(D56="","",D56-E56)</f>
        <v/>
      </c>
    </row>
    <row r="57">
      <c r="A57" s="60" t="n"/>
      <c r="B57" s="60" t="inlineStr">
        <is>
          <t>1040-1110-130</t>
        </is>
      </c>
      <c r="C57" s="60" t="n"/>
      <c r="E57" s="50">
        <f>SUM(H57:CA57)</f>
        <v/>
      </c>
      <c r="F57" s="50">
        <f>IF(D57="","",D57-E57)</f>
        <v/>
      </c>
    </row>
    <row r="59">
      <c r="C59" s="47" t="inlineStr">
        <is>
          <t>SOMA SEM TAXA DE ADM. (INCC)</t>
        </is>
      </c>
      <c r="D59" s="65">
        <f>SUM(D2:D57)-D43</f>
        <v/>
      </c>
      <c r="E59" s="65">
        <f>SUM(E2:E57)-E43</f>
        <v/>
      </c>
      <c r="H59" s="65">
        <f>SUM(H2:H57)-H43</f>
        <v/>
      </c>
      <c r="I59" s="65">
        <f>SUM(I2:I57)-I43</f>
        <v/>
      </c>
      <c r="J59" s="65">
        <f>SUM(J2:J57)-J43</f>
        <v/>
      </c>
      <c r="K59" s="65">
        <f>SUM(K2:K57)-K43</f>
        <v/>
      </c>
      <c r="L59" s="65">
        <f>SUM(L2:L57)-L43</f>
        <v/>
      </c>
      <c r="M59" s="65">
        <f>SUM(M2:M57)-M43</f>
        <v/>
      </c>
      <c r="N59" s="65">
        <f>SUM(N2:N57)-N43</f>
        <v/>
      </c>
      <c r="O59" s="65">
        <f>SUM(O2:O57)-O43</f>
        <v/>
      </c>
      <c r="P59" s="65">
        <f>SUM(P2:P57)-P43</f>
        <v/>
      </c>
      <c r="Q59" s="65">
        <f>SUM(Q2:Q57)-Q43</f>
        <v/>
      </c>
      <c r="R59" s="65">
        <f>SUM(R2:R57)-R43</f>
        <v/>
      </c>
      <c r="S59" s="65">
        <f>SUM(S2:S57)-S43</f>
        <v/>
      </c>
      <c r="T59" s="65">
        <f>SUM(T2:T57)-T43</f>
        <v/>
      </c>
      <c r="U59" s="65">
        <f>SUM(U2:U57)-U43</f>
        <v/>
      </c>
      <c r="V59" s="65">
        <f>SUM(V2:V57)-V43</f>
        <v/>
      </c>
      <c r="W59" s="65">
        <f>SUM(W2:W57)-W43</f>
        <v/>
      </c>
      <c r="X59" s="65">
        <f>SUM(X2:X57)-X43</f>
        <v/>
      </c>
      <c r="Y59" s="65">
        <f>SUM(Y2:Y57)-Y43</f>
        <v/>
      </c>
      <c r="Z59" s="65">
        <f>SUM(Z2:Z57)-Z43</f>
        <v/>
      </c>
      <c r="AA59" s="65">
        <f>SUM(AA2:AA57)-AA43</f>
        <v/>
      </c>
      <c r="AB59" s="65">
        <f>SUM(AB2:AB57)-AB43</f>
        <v/>
      </c>
      <c r="AC59" s="65">
        <f>SUM(AC2:AC57)-AC43</f>
        <v/>
      </c>
      <c r="AD59" s="65">
        <f>SUM(AD2:AD57)-AD43</f>
        <v/>
      </c>
      <c r="AE59" s="65">
        <f>SUM(AE2:AE57)-AE43</f>
        <v/>
      </c>
      <c r="AF59" s="65">
        <f>SUM(AF2:AF57)-AF43</f>
        <v/>
      </c>
      <c r="AG59" s="65">
        <f>SUM(AG2:AG57)-AG43</f>
        <v/>
      </c>
      <c r="AH59" s="65">
        <f>SUM(AH2:AH57)-AH43</f>
        <v/>
      </c>
      <c r="AI59" s="65">
        <f>SUM(AI2:AI57)-AI43</f>
        <v/>
      </c>
      <c r="AJ59" s="65">
        <f>SUM(AJ2:AJ57)-AJ43</f>
        <v/>
      </c>
      <c r="AK59" s="65">
        <f>SUM(AK2:AK57)-AK43</f>
        <v/>
      </c>
      <c r="AL59" s="65">
        <f>SUM(AL2:AL57)-AL43</f>
        <v/>
      </c>
      <c r="AM59" s="65">
        <f>SUM(AM2:AM57)-AM43</f>
        <v/>
      </c>
      <c r="AN59" s="65">
        <f>SUM(AN2:AN57)-AN43</f>
        <v/>
      </c>
      <c r="AO59" s="65">
        <f>SUM(AO2:AO57)-AO43</f>
        <v/>
      </c>
      <c r="AP59" s="65">
        <f>SUM(AP2:AP57)-AP43</f>
        <v/>
      </c>
      <c r="AQ59" s="65">
        <f>SUM(AQ2:AQ57)-AQ43</f>
        <v/>
      </c>
      <c r="AR59" s="65">
        <f>SUM(AR2:AR57)-AR43</f>
        <v/>
      </c>
      <c r="AS59" s="65">
        <f>SUM(AS2:AS57)-AS43</f>
        <v/>
      </c>
      <c r="AT59" s="65">
        <f>SUM(AT2:AT57)-AT43</f>
        <v/>
      </c>
      <c r="AU59" s="65">
        <f>SUM(AU2:AU57)-AU43</f>
        <v/>
      </c>
      <c r="AV59" s="65">
        <f>SUM(AV2:AV57)-AV43</f>
        <v/>
      </c>
      <c r="AW59" s="65">
        <f>SUM(AW2:AW57)-AW43</f>
        <v/>
      </c>
      <c r="AX59" s="65">
        <f>SUM(AX2:AX57)-AX43</f>
        <v/>
      </c>
      <c r="AY59" s="65">
        <f>SUM(AY2:AY57)-AY43</f>
        <v/>
      </c>
      <c r="AZ59" s="65">
        <f>SUM(AZ2:AZ57)-AZ43</f>
        <v/>
      </c>
      <c r="BA59" s="65">
        <f>SUM(BA2:BA57)-BA43</f>
        <v/>
      </c>
      <c r="BB59" s="65">
        <f>SUM(BB2:BB57)-BB43</f>
        <v/>
      </c>
      <c r="BC59" s="65">
        <f>SUM(BC2:BC57)-BC43</f>
        <v/>
      </c>
      <c r="BD59" s="65">
        <f>SUM(BD2:BD57)-BD43</f>
        <v/>
      </c>
      <c r="BE59" s="65">
        <f>SUM(BE2:BE57)-BE43</f>
        <v/>
      </c>
      <c r="BF59" s="65">
        <f>SUM(BF2:BF57)-BF43</f>
        <v/>
      </c>
      <c r="BG59" s="65">
        <f>SUM(BG2:BG57)-BG43</f>
        <v/>
      </c>
      <c r="BH59" s="65">
        <f>SUM(BH2:BH57)-BH43</f>
        <v/>
      </c>
      <c r="BI59" s="65">
        <f>SUM(BI2:BI57)-BI43</f>
        <v/>
      </c>
      <c r="BJ59" s="65">
        <f>SUM(BJ2:BJ57)-BJ43</f>
        <v/>
      </c>
      <c r="BK59" s="65">
        <f>SUM(BK2:BK57)-BK43</f>
        <v/>
      </c>
      <c r="BL59" s="65">
        <f>SUM(BL2:BL57)-BL43</f>
        <v/>
      </c>
      <c r="BM59" s="65">
        <f>SUM(BM2:BM57)-BM43</f>
        <v/>
      </c>
      <c r="BN59" s="65">
        <f>SUM(BN2:BN57)-BN43</f>
        <v/>
      </c>
      <c r="BO59" s="65">
        <f>SUM(BO2:BO57)-BO43</f>
        <v/>
      </c>
      <c r="BP59" s="65">
        <f>SUM(BP2:BP57)-BP43</f>
        <v/>
      </c>
      <c r="BQ59" s="65">
        <f>SUM(BQ2:BQ57)-BQ43</f>
        <v/>
      </c>
      <c r="BR59" s="65">
        <f>SUM(BR2:BR57)-BR43</f>
        <v/>
      </c>
      <c r="BS59" s="65">
        <f>SUM(BS2:BS57)-BS43</f>
        <v/>
      </c>
      <c r="BT59" s="65">
        <f>SUM(BT2:BT57)-BT43</f>
        <v/>
      </c>
      <c r="BU59" s="65">
        <f>SUM(BU2:BU57)-BU43</f>
        <v/>
      </c>
      <c r="BV59" s="65">
        <f>SUM(BV2:BV57)-BV43</f>
        <v/>
      </c>
      <c r="BW59" s="65">
        <f>SUM(BW2:BW57)-BW43</f>
        <v/>
      </c>
      <c r="BX59" s="65">
        <f>SUM(BX2:BX57)-BX43</f>
        <v/>
      </c>
      <c r="BY59" s="65">
        <f>SUM(BY2:BY57)-BY43</f>
        <v/>
      </c>
      <c r="BZ59" s="65">
        <f>SUM(BZ2:BZ57)-BZ43</f>
        <v/>
      </c>
      <c r="CA59" s="65">
        <f>SUM(CA2:CA57)-CA43</f>
        <v/>
      </c>
    </row>
    <row r="60">
      <c r="C60" s="47" t="inlineStr">
        <is>
          <t>TAXA DE ADMINISTRAÇÃO (INCC)</t>
        </is>
      </c>
      <c r="D60" s="65">
        <f>D43</f>
        <v/>
      </c>
      <c r="E60" s="65">
        <f>E43</f>
        <v/>
      </c>
      <c r="H60" s="65">
        <f>H43</f>
        <v/>
      </c>
      <c r="I60" s="65">
        <f>I43</f>
        <v/>
      </c>
      <c r="J60" s="65">
        <f>J43</f>
        <v/>
      </c>
      <c r="K60" s="65">
        <f>K43</f>
        <v/>
      </c>
      <c r="L60" s="65">
        <f>L43</f>
        <v/>
      </c>
      <c r="M60" s="65">
        <f>M43</f>
        <v/>
      </c>
      <c r="N60" s="65">
        <f>N43</f>
        <v/>
      </c>
      <c r="O60" s="65">
        <f>O43</f>
        <v/>
      </c>
      <c r="P60" s="65">
        <f>P43</f>
        <v/>
      </c>
      <c r="Q60" s="65">
        <f>Q43</f>
        <v/>
      </c>
      <c r="R60" s="65">
        <f>R43</f>
        <v/>
      </c>
      <c r="S60" s="65">
        <f>S43</f>
        <v/>
      </c>
      <c r="T60" s="65">
        <f>T43</f>
        <v/>
      </c>
      <c r="U60" s="65">
        <f>U43</f>
        <v/>
      </c>
      <c r="V60" s="65">
        <f>V43</f>
        <v/>
      </c>
      <c r="W60" s="65">
        <f>W43</f>
        <v/>
      </c>
      <c r="X60" s="65">
        <f>X43</f>
        <v/>
      </c>
      <c r="Y60" s="65">
        <f>Y43</f>
        <v/>
      </c>
      <c r="Z60" s="65">
        <f>Z43</f>
        <v/>
      </c>
      <c r="AA60" s="65">
        <f>AA43</f>
        <v/>
      </c>
      <c r="AB60" s="65">
        <f>AB43</f>
        <v/>
      </c>
      <c r="AC60" s="65">
        <f>AC43</f>
        <v/>
      </c>
      <c r="AD60" s="65">
        <f>AD43</f>
        <v/>
      </c>
      <c r="AE60" s="65">
        <f>AE43</f>
        <v/>
      </c>
      <c r="AF60" s="65">
        <f>AF43</f>
        <v/>
      </c>
      <c r="AG60" s="65">
        <f>AG43</f>
        <v/>
      </c>
      <c r="AH60" s="65">
        <f>AH43</f>
        <v/>
      </c>
      <c r="AI60" s="65">
        <f>AI43</f>
        <v/>
      </c>
      <c r="AJ60" s="65">
        <f>AJ43</f>
        <v/>
      </c>
      <c r="AK60" s="65">
        <f>AK43</f>
        <v/>
      </c>
      <c r="AL60" s="65">
        <f>AL43</f>
        <v/>
      </c>
      <c r="AM60" s="65">
        <f>AM43</f>
        <v/>
      </c>
      <c r="AN60" s="65">
        <f>AN43</f>
        <v/>
      </c>
      <c r="AO60" s="65">
        <f>AO43</f>
        <v/>
      </c>
      <c r="AP60" s="65">
        <f>AP43</f>
        <v/>
      </c>
      <c r="AQ60" s="65">
        <f>AQ43</f>
        <v/>
      </c>
      <c r="AR60" s="65">
        <f>AR43</f>
        <v/>
      </c>
      <c r="AS60" s="65">
        <f>AS43</f>
        <v/>
      </c>
      <c r="AT60" s="65">
        <f>AT43</f>
        <v/>
      </c>
      <c r="AU60" s="65">
        <f>AU43</f>
        <v/>
      </c>
      <c r="AV60" s="65">
        <f>AV43</f>
        <v/>
      </c>
      <c r="AW60" s="65">
        <f>AW43</f>
        <v/>
      </c>
      <c r="AX60" s="65">
        <f>AX43</f>
        <v/>
      </c>
      <c r="AY60" s="65">
        <f>AY43</f>
        <v/>
      </c>
      <c r="AZ60" s="65">
        <f>AZ43</f>
        <v/>
      </c>
      <c r="BA60" s="65">
        <f>BA43</f>
        <v/>
      </c>
      <c r="BB60" s="65">
        <f>BB43</f>
        <v/>
      </c>
      <c r="BC60" s="65">
        <f>BC43</f>
        <v/>
      </c>
      <c r="BD60" s="65">
        <f>BD43</f>
        <v/>
      </c>
      <c r="BE60" s="65">
        <f>BE43</f>
        <v/>
      </c>
      <c r="BF60" s="65">
        <f>BF43</f>
        <v/>
      </c>
      <c r="BG60" s="65">
        <f>BG43</f>
        <v/>
      </c>
      <c r="BH60" s="65">
        <f>BH43</f>
        <v/>
      </c>
      <c r="BI60" s="65">
        <f>BI43</f>
        <v/>
      </c>
      <c r="BJ60" s="65">
        <f>BJ43</f>
        <v/>
      </c>
      <c r="BK60" s="65">
        <f>BK43</f>
        <v/>
      </c>
      <c r="BL60" s="65">
        <f>BL43</f>
        <v/>
      </c>
      <c r="BM60" s="65">
        <f>BM43</f>
        <v/>
      </c>
      <c r="BN60" s="65">
        <f>BN43</f>
        <v/>
      </c>
      <c r="BO60" s="65">
        <f>BO43</f>
        <v/>
      </c>
      <c r="BP60" s="65">
        <f>BP43</f>
        <v/>
      </c>
      <c r="BQ60" s="65">
        <f>BQ43</f>
        <v/>
      </c>
      <c r="BR60" s="65">
        <f>BR43</f>
        <v/>
      </c>
      <c r="BS60" s="65">
        <f>BS43</f>
        <v/>
      </c>
      <c r="BT60" s="65">
        <f>BT43</f>
        <v/>
      </c>
      <c r="BU60" s="65">
        <f>BU43</f>
        <v/>
      </c>
      <c r="BV60" s="65">
        <f>BV43</f>
        <v/>
      </c>
      <c r="BW60" s="65">
        <f>BW43</f>
        <v/>
      </c>
      <c r="BX60" s="65">
        <f>BX43</f>
        <v/>
      </c>
      <c r="BY60" s="65">
        <f>BY43</f>
        <v/>
      </c>
      <c r="BZ60" s="65">
        <f>BZ43</f>
        <v/>
      </c>
      <c r="CA60" s="65">
        <f>CA43</f>
        <v/>
      </c>
    </row>
    <row r="61">
      <c r="C61" s="47" t="inlineStr">
        <is>
          <t>TOTAL (INCC)</t>
        </is>
      </c>
      <c r="D61" s="65">
        <f>D59+D60</f>
        <v/>
      </c>
      <c r="E61" s="65">
        <f>E59+E60</f>
        <v/>
      </c>
      <c r="H61" s="65">
        <f>H59+H60</f>
        <v/>
      </c>
      <c r="I61" s="65">
        <f>I59+I60</f>
        <v/>
      </c>
      <c r="J61" s="65">
        <f>J59+J60</f>
        <v/>
      </c>
      <c r="K61" s="65">
        <f>K59+K60</f>
        <v/>
      </c>
      <c r="L61" s="65">
        <f>L59+L60</f>
        <v/>
      </c>
      <c r="M61" s="65">
        <f>M59+M60</f>
        <v/>
      </c>
      <c r="N61" s="65">
        <f>N59+N60</f>
        <v/>
      </c>
      <c r="O61" s="65">
        <f>O59+O60</f>
        <v/>
      </c>
      <c r="P61" s="65">
        <f>P59+P60</f>
        <v/>
      </c>
      <c r="Q61" s="65">
        <f>Q59+Q60</f>
        <v/>
      </c>
      <c r="R61" s="65">
        <f>R59+R60</f>
        <v/>
      </c>
      <c r="S61" s="65">
        <f>S59+S60</f>
        <v/>
      </c>
      <c r="T61" s="65">
        <f>T59+T60</f>
        <v/>
      </c>
      <c r="U61" s="65">
        <f>U59+U60</f>
        <v/>
      </c>
      <c r="V61" s="65">
        <f>V59+V60</f>
        <v/>
      </c>
      <c r="W61" s="65">
        <f>W59+W60</f>
        <v/>
      </c>
      <c r="X61" s="65">
        <f>X59+X60</f>
        <v/>
      </c>
      <c r="Y61" s="65">
        <f>Y59+Y60</f>
        <v/>
      </c>
      <c r="Z61" s="65">
        <f>Z59+Z60</f>
        <v/>
      </c>
      <c r="AA61" s="65">
        <f>AA59+AA60</f>
        <v/>
      </c>
      <c r="AB61" s="65">
        <f>AB59+AB60</f>
        <v/>
      </c>
      <c r="AC61" s="65">
        <f>AC59+AC60</f>
        <v/>
      </c>
      <c r="AD61" s="65">
        <f>AD59+AD60</f>
        <v/>
      </c>
      <c r="AE61" s="65">
        <f>AE59+AE60</f>
        <v/>
      </c>
      <c r="AF61" s="65">
        <f>AF59+AF60</f>
        <v/>
      </c>
      <c r="AG61" s="65">
        <f>AG59+AG60</f>
        <v/>
      </c>
      <c r="AH61" s="65">
        <f>AH59+AH60</f>
        <v/>
      </c>
      <c r="AI61" s="65">
        <f>AI59+AI60</f>
        <v/>
      </c>
      <c r="AJ61" s="65">
        <f>AJ59+AJ60</f>
        <v/>
      </c>
      <c r="AK61" s="65">
        <f>AK59+AK60</f>
        <v/>
      </c>
      <c r="AL61" s="65">
        <f>AL59+AL60</f>
        <v/>
      </c>
      <c r="AM61" s="65">
        <f>AM59+AM60</f>
        <v/>
      </c>
      <c r="AN61" s="65">
        <f>AN59+AN60</f>
        <v/>
      </c>
      <c r="AO61" s="65">
        <f>AO59+AO60</f>
        <v/>
      </c>
      <c r="AP61" s="65">
        <f>AP59+AP60</f>
        <v/>
      </c>
      <c r="AQ61" s="65">
        <f>AQ59+AQ60</f>
        <v/>
      </c>
      <c r="AR61" s="65">
        <f>AR59+AR60</f>
        <v/>
      </c>
      <c r="AS61" s="65">
        <f>AS59+AS60</f>
        <v/>
      </c>
      <c r="AT61" s="65">
        <f>AT59+AT60</f>
        <v/>
      </c>
      <c r="AU61" s="65">
        <f>AU59+AU60</f>
        <v/>
      </c>
      <c r="AV61" s="65">
        <f>AV59+AV60</f>
        <v/>
      </c>
      <c r="AW61" s="65">
        <f>AW59+AW60</f>
        <v/>
      </c>
      <c r="AX61" s="65">
        <f>AX59+AX60</f>
        <v/>
      </c>
      <c r="AY61" s="65">
        <f>AY59+AY60</f>
        <v/>
      </c>
      <c r="AZ61" s="65">
        <f>AZ59+AZ60</f>
        <v/>
      </c>
      <c r="BA61" s="65">
        <f>BA59+BA60</f>
        <v/>
      </c>
      <c r="BB61" s="65">
        <f>BB59+BB60</f>
        <v/>
      </c>
      <c r="BC61" s="65">
        <f>BC59+BC60</f>
        <v/>
      </c>
      <c r="BD61" s="65">
        <f>BD59+BD60</f>
        <v/>
      </c>
      <c r="BE61" s="65">
        <f>BE59+BE60</f>
        <v/>
      </c>
      <c r="BF61" s="65">
        <f>BF59+BF60</f>
        <v/>
      </c>
      <c r="BG61" s="65">
        <f>BG59+BG60</f>
        <v/>
      </c>
      <c r="BH61" s="65">
        <f>BH59+BH60</f>
        <v/>
      </c>
      <c r="BI61" s="65">
        <f>BI59+BI60</f>
        <v/>
      </c>
      <c r="BJ61" s="65">
        <f>BJ59+BJ60</f>
        <v/>
      </c>
      <c r="BK61" s="65">
        <f>BK59+BK60</f>
        <v/>
      </c>
      <c r="BL61" s="65">
        <f>BL59+BL60</f>
        <v/>
      </c>
      <c r="BM61" s="65">
        <f>BM59+BM60</f>
        <v/>
      </c>
      <c r="BN61" s="65">
        <f>BN59+BN60</f>
        <v/>
      </c>
      <c r="BO61" s="65">
        <f>BO59+BO60</f>
        <v/>
      </c>
      <c r="BP61" s="65">
        <f>BP59+BP60</f>
        <v/>
      </c>
      <c r="BQ61" s="65">
        <f>BQ59+BQ60</f>
        <v/>
      </c>
      <c r="BR61" s="65">
        <f>BR59+BR60</f>
        <v/>
      </c>
      <c r="BS61" s="65">
        <f>BS59+BS60</f>
        <v/>
      </c>
      <c r="BT61" s="65">
        <f>BT59+BT60</f>
        <v/>
      </c>
      <c r="BU61" s="65">
        <f>BU59+BU60</f>
        <v/>
      </c>
      <c r="BV61" s="65">
        <f>BV59+BV60</f>
        <v/>
      </c>
      <c r="BW61" s="65">
        <f>BW59+BW60</f>
        <v/>
      </c>
      <c r="BX61" s="65">
        <f>BX59+BX60</f>
        <v/>
      </c>
      <c r="BY61" s="65">
        <f>BY59+BY60</f>
        <v/>
      </c>
      <c r="BZ61" s="65">
        <f>BZ59+BZ60</f>
        <v/>
      </c>
      <c r="CA61" s="65">
        <f>CA59+CA60</f>
        <v/>
      </c>
    </row>
    <row r="62">
      <c r="C62" s="61">
        <f>"INCORRIDO ATÉ -&gt; "&amp;TEXT('VALOR POR PL'!$P$5,"mm/aaaa")</f>
        <v/>
      </c>
    </row>
    <row r="63">
      <c r="C63" s="47" t="inlineStr">
        <is>
          <t>CURVA MENSAL (R$ nominal)</t>
        </is>
      </c>
      <c r="E63" s="109">
        <f>SUM(H63:CA63)</f>
        <v/>
      </c>
      <c r="H63" s="55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</f>
        <v/>
      </c>
      <c r="I63" s="55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</f>
        <v/>
      </c>
      <c r="J63" s="55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</f>
        <v/>
      </c>
      <c r="K63" s="55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</f>
        <v/>
      </c>
      <c r="L63" s="55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</f>
        <v/>
      </c>
      <c r="M63" s="55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</f>
        <v/>
      </c>
      <c r="N63" s="55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</f>
        <v/>
      </c>
      <c r="O63" s="55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</f>
        <v/>
      </c>
      <c r="P63" s="55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</f>
        <v/>
      </c>
      <c r="Q63" s="55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</f>
        <v/>
      </c>
      <c r="R63" s="55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</f>
        <v/>
      </c>
      <c r="S63" s="55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</f>
        <v/>
      </c>
      <c r="T63" s="55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</f>
        <v/>
      </c>
      <c r="U63" s="55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</f>
        <v/>
      </c>
      <c r="V63" s="55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</f>
        <v/>
      </c>
      <c r="W63" s="55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</f>
        <v/>
      </c>
      <c r="X63" s="55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</f>
        <v/>
      </c>
      <c r="Y63" s="55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</f>
        <v/>
      </c>
      <c r="Z63" s="55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</f>
        <v/>
      </c>
      <c r="AA63" s="55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</f>
        <v/>
      </c>
      <c r="AB63" s="55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</f>
        <v/>
      </c>
      <c r="AC63" s="55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</f>
        <v/>
      </c>
      <c r="AD63" s="55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</f>
        <v/>
      </c>
      <c r="AE63" s="55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</f>
        <v/>
      </c>
      <c r="AF63" s="55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</f>
        <v/>
      </c>
      <c r="AG63" s="55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</f>
        <v/>
      </c>
      <c r="AH63" s="55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</f>
        <v/>
      </c>
      <c r="AI63" s="55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</f>
        <v/>
      </c>
      <c r="AJ63" s="55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</f>
        <v/>
      </c>
      <c r="AK63" s="55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</f>
        <v/>
      </c>
      <c r="AL63" s="55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</f>
        <v/>
      </c>
      <c r="AM63" s="55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</f>
        <v/>
      </c>
      <c r="AN63" s="55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</f>
        <v/>
      </c>
      <c r="AO63" s="55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</f>
        <v/>
      </c>
      <c r="AP63" s="55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</f>
        <v/>
      </c>
      <c r="AQ63" s="55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</f>
        <v/>
      </c>
      <c r="AR63" s="55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</f>
        <v/>
      </c>
      <c r="AS63" s="55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</f>
        <v/>
      </c>
      <c r="AT63" s="55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</f>
        <v/>
      </c>
      <c r="AU63" s="55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</f>
        <v/>
      </c>
      <c r="AV63" s="55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</f>
        <v/>
      </c>
      <c r="AW63" s="55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</f>
        <v/>
      </c>
      <c r="AX63" s="55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</f>
        <v/>
      </c>
      <c r="AY63" s="55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</f>
        <v/>
      </c>
      <c r="AZ63" s="55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</f>
        <v/>
      </c>
      <c r="BA63" s="55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</f>
        <v/>
      </c>
      <c r="BB63" s="55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</f>
        <v/>
      </c>
      <c r="BC63" s="55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</f>
        <v/>
      </c>
      <c r="BD63" s="55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</f>
        <v/>
      </c>
      <c r="BE63" s="55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</f>
        <v/>
      </c>
      <c r="BF63" s="55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</f>
        <v/>
      </c>
      <c r="BG63" s="55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</f>
        <v/>
      </c>
      <c r="BH63" s="55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</f>
        <v/>
      </c>
      <c r="BI63" s="55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</f>
        <v/>
      </c>
      <c r="BJ63" s="55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</f>
        <v/>
      </c>
      <c r="BK63" s="55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</f>
        <v/>
      </c>
      <c r="BL63" s="55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</f>
        <v/>
      </c>
      <c r="BM63" s="55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</f>
        <v/>
      </c>
      <c r="BN63" s="55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</f>
        <v/>
      </c>
      <c r="BO63" s="55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</f>
        <v/>
      </c>
      <c r="BP63" s="55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</f>
        <v/>
      </c>
      <c r="BQ63" s="55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</f>
        <v/>
      </c>
      <c r="BR63" s="55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</f>
        <v/>
      </c>
      <c r="BS63" s="55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</f>
        <v/>
      </c>
      <c r="BT63" s="55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</f>
        <v/>
      </c>
      <c r="BU63" s="55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</f>
        <v/>
      </c>
      <c r="BV63" s="55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</f>
        <v/>
      </c>
      <c r="BW63" s="55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</f>
        <v/>
      </c>
      <c r="BX63" s="55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</f>
        <v/>
      </c>
      <c r="BY63" s="55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</f>
        <v/>
      </c>
      <c r="BZ63" s="55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</f>
        <v/>
      </c>
      <c r="CA63" s="55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7" t="inlineStr">
        <is>
          <t>CURVA ACUMULADA (R$ nominal)</t>
        </is>
      </c>
      <c r="E64" s="109">
        <f>CA64</f>
        <v/>
      </c>
      <c r="H64" s="55">
        <f>H63</f>
        <v/>
      </c>
      <c r="I64" s="55">
        <f>H64+I63</f>
        <v/>
      </c>
      <c r="J64" s="55">
        <f>I64+J63</f>
        <v/>
      </c>
      <c r="K64" s="55">
        <f>J64+K63</f>
        <v/>
      </c>
      <c r="L64" s="55">
        <f>K64+L63</f>
        <v/>
      </c>
      <c r="M64" s="55">
        <f>L64+M63</f>
        <v/>
      </c>
      <c r="N64" s="55">
        <f>M64+N63</f>
        <v/>
      </c>
      <c r="O64" s="55">
        <f>N64+O63</f>
        <v/>
      </c>
      <c r="P64" s="55">
        <f>O64+P63</f>
        <v/>
      </c>
      <c r="Q64" s="55">
        <f>P64+Q63</f>
        <v/>
      </c>
      <c r="R64" s="55">
        <f>Q64+R63</f>
        <v/>
      </c>
      <c r="S64" s="55">
        <f>R64+S63</f>
        <v/>
      </c>
      <c r="T64" s="55">
        <f>S64+T63</f>
        <v/>
      </c>
      <c r="U64" s="55">
        <f>T64+U63</f>
        <v/>
      </c>
      <c r="V64" s="55">
        <f>U64+V63</f>
        <v/>
      </c>
      <c r="W64" s="55">
        <f>V64+W63</f>
        <v/>
      </c>
      <c r="X64" s="55">
        <f>W64+X63</f>
        <v/>
      </c>
      <c r="Y64" s="55">
        <f>X64+Y63</f>
        <v/>
      </c>
      <c r="Z64" s="55">
        <f>Y64+Z63</f>
        <v/>
      </c>
      <c r="AA64" s="55">
        <f>Z64+AA63</f>
        <v/>
      </c>
      <c r="AB64" s="55">
        <f>AA64+AB63</f>
        <v/>
      </c>
      <c r="AC64" s="55">
        <f>AB64+AC63</f>
        <v/>
      </c>
      <c r="AD64" s="55">
        <f>AC64+AD63</f>
        <v/>
      </c>
      <c r="AE64" s="55">
        <f>AD64+AE63</f>
        <v/>
      </c>
      <c r="AF64" s="55">
        <f>AE64+AF63</f>
        <v/>
      </c>
      <c r="AG64" s="55">
        <f>AF64+AG63</f>
        <v/>
      </c>
      <c r="AH64" s="55">
        <f>AG64+AH63</f>
        <v/>
      </c>
      <c r="AI64" s="55">
        <f>AH64+AI63</f>
        <v/>
      </c>
      <c r="AJ64" s="55">
        <f>AI64+AJ63</f>
        <v/>
      </c>
      <c r="AK64" s="55">
        <f>AJ64+AK63</f>
        <v/>
      </c>
      <c r="AL64" s="55">
        <f>AK64+AL63</f>
        <v/>
      </c>
      <c r="AM64" s="55">
        <f>AL64+AM63</f>
        <v/>
      </c>
      <c r="AN64" s="55">
        <f>AM64+AN63</f>
        <v/>
      </c>
      <c r="AO64" s="55">
        <f>AN64+AO63</f>
        <v/>
      </c>
      <c r="AP64" s="55">
        <f>AO64+AP63</f>
        <v/>
      </c>
      <c r="AQ64" s="55">
        <f>AP64+AQ63</f>
        <v/>
      </c>
      <c r="AR64" s="55">
        <f>AQ64+AR63</f>
        <v/>
      </c>
      <c r="AS64" s="55">
        <f>AR64+AS63</f>
        <v/>
      </c>
      <c r="AT64" s="55">
        <f>AS64+AT63</f>
        <v/>
      </c>
      <c r="AU64" s="55">
        <f>AT64+AU63</f>
        <v/>
      </c>
      <c r="AV64" s="55">
        <f>AU64+AV63</f>
        <v/>
      </c>
      <c r="AW64" s="55">
        <f>AV64+AW63</f>
        <v/>
      </c>
      <c r="AX64" s="55">
        <f>AW64+AX63</f>
        <v/>
      </c>
      <c r="AY64" s="55">
        <f>AX64+AY63</f>
        <v/>
      </c>
      <c r="AZ64" s="55">
        <f>AY64+AZ63</f>
        <v/>
      </c>
      <c r="BA64" s="55">
        <f>AZ64+BA63</f>
        <v/>
      </c>
      <c r="BB64" s="55">
        <f>BA64+BB63</f>
        <v/>
      </c>
      <c r="BC64" s="55">
        <f>BB64+BC63</f>
        <v/>
      </c>
      <c r="BD64" s="55">
        <f>BC64+BD63</f>
        <v/>
      </c>
      <c r="BE64" s="55">
        <f>BD64+BE63</f>
        <v/>
      </c>
      <c r="BF64" s="55">
        <f>BE64+BF63</f>
        <v/>
      </c>
      <c r="BG64" s="55">
        <f>BF64+BG63</f>
        <v/>
      </c>
      <c r="BH64" s="55">
        <f>BG64+BH63</f>
        <v/>
      </c>
      <c r="BI64" s="55">
        <f>BH64+BI63</f>
        <v/>
      </c>
      <c r="BJ64" s="55">
        <f>BI64+BJ63</f>
        <v/>
      </c>
      <c r="BK64" s="55">
        <f>BJ64+BK63</f>
        <v/>
      </c>
      <c r="BL64" s="55">
        <f>BK64+BL63</f>
        <v/>
      </c>
      <c r="BM64" s="55">
        <f>BL64+BM63</f>
        <v/>
      </c>
      <c r="BN64" s="55">
        <f>BM64+BN63</f>
        <v/>
      </c>
      <c r="BO64" s="55">
        <f>BN64+BO63</f>
        <v/>
      </c>
      <c r="BP64" s="55">
        <f>BO64+BP63</f>
        <v/>
      </c>
      <c r="BQ64" s="55">
        <f>BP64+BQ63</f>
        <v/>
      </c>
      <c r="BR64" s="55">
        <f>BQ64+BR63</f>
        <v/>
      </c>
      <c r="BS64" s="55">
        <f>BR64+BS63</f>
        <v/>
      </c>
      <c r="BT64" s="55">
        <f>BS64+BT63</f>
        <v/>
      </c>
      <c r="BU64" s="55">
        <f>BT64+BU63</f>
        <v/>
      </c>
      <c r="BV64" s="55">
        <f>BU64+BV63</f>
        <v/>
      </c>
      <c r="BW64" s="55">
        <f>BV64+BW63</f>
        <v/>
      </c>
      <c r="BX64" s="55">
        <f>BW64+BX63</f>
        <v/>
      </c>
      <c r="BY64" s="55">
        <f>BX64+BY63</f>
        <v/>
      </c>
      <c r="BZ64" s="55">
        <f>BY64+BZ63</f>
        <v/>
      </c>
      <c r="CA64" s="55">
        <f>BZ64+CA63</f>
        <v/>
      </c>
    </row>
    <row r="65">
      <c r="C65" s="47" t="inlineStr">
        <is>
          <t>% ACUMULADO DA PROJEÇÃO</t>
        </is>
      </c>
      <c r="H65" s="110">
        <f>IF('VALOR POR PL'!$L$50=0,0,H64/'VALOR POR PL'!$L$50)</f>
        <v/>
      </c>
      <c r="I65" s="110">
        <f>IF('VALOR POR PL'!$L$50=0,0,I64/'VALOR POR PL'!$L$50)</f>
        <v/>
      </c>
      <c r="J65" s="110">
        <f>IF('VALOR POR PL'!$L$50=0,0,J64/'VALOR POR PL'!$L$50)</f>
        <v/>
      </c>
      <c r="K65" s="110">
        <f>IF('VALOR POR PL'!$L$50=0,0,K64/'VALOR POR PL'!$L$50)</f>
        <v/>
      </c>
      <c r="L65" s="110">
        <f>IF('VALOR POR PL'!$L$50=0,0,L64/'VALOR POR PL'!$L$50)</f>
        <v/>
      </c>
      <c r="M65" s="110">
        <f>IF('VALOR POR PL'!$L$50=0,0,M64/'VALOR POR PL'!$L$50)</f>
        <v/>
      </c>
      <c r="N65" s="110">
        <f>IF('VALOR POR PL'!$L$50=0,0,N64/'VALOR POR PL'!$L$50)</f>
        <v/>
      </c>
      <c r="O65" s="110">
        <f>IF('VALOR POR PL'!$L$50=0,0,O64/'VALOR POR PL'!$L$50)</f>
        <v/>
      </c>
      <c r="P65" s="110">
        <f>IF('VALOR POR PL'!$L$50=0,0,P64/'VALOR POR PL'!$L$50)</f>
        <v/>
      </c>
      <c r="Q65" s="110">
        <f>IF('VALOR POR PL'!$L$50=0,0,Q64/'VALOR POR PL'!$L$50)</f>
        <v/>
      </c>
      <c r="R65" s="110">
        <f>IF('VALOR POR PL'!$L$50=0,0,R64/'VALOR POR PL'!$L$50)</f>
        <v/>
      </c>
      <c r="S65" s="110">
        <f>IF('VALOR POR PL'!$L$50=0,0,S64/'VALOR POR PL'!$L$50)</f>
        <v/>
      </c>
      <c r="T65" s="110">
        <f>IF('VALOR POR PL'!$L$50=0,0,T64/'VALOR POR PL'!$L$50)</f>
        <v/>
      </c>
      <c r="U65" s="110">
        <f>IF('VALOR POR PL'!$L$50=0,0,U64/'VALOR POR PL'!$L$50)</f>
        <v/>
      </c>
      <c r="V65" s="110">
        <f>IF('VALOR POR PL'!$L$50=0,0,V64/'VALOR POR PL'!$L$50)</f>
        <v/>
      </c>
      <c r="W65" s="110">
        <f>IF('VALOR POR PL'!$L$50=0,0,W64/'VALOR POR PL'!$L$50)</f>
        <v/>
      </c>
      <c r="X65" s="110">
        <f>IF('VALOR POR PL'!$L$50=0,0,X64/'VALOR POR PL'!$L$50)</f>
        <v/>
      </c>
      <c r="Y65" s="110">
        <f>IF('VALOR POR PL'!$L$50=0,0,Y64/'VALOR POR PL'!$L$50)</f>
        <v/>
      </c>
      <c r="Z65" s="110">
        <f>IF('VALOR POR PL'!$L$50=0,0,Z64/'VALOR POR PL'!$L$50)</f>
        <v/>
      </c>
      <c r="AA65" s="110">
        <f>IF('VALOR POR PL'!$L$50=0,0,AA64/'VALOR POR PL'!$L$50)</f>
        <v/>
      </c>
      <c r="AB65" s="110">
        <f>IF('VALOR POR PL'!$L$50=0,0,AB64/'VALOR POR PL'!$L$50)</f>
        <v/>
      </c>
      <c r="AC65" s="110">
        <f>IF('VALOR POR PL'!$L$50=0,0,AC64/'VALOR POR PL'!$L$50)</f>
        <v/>
      </c>
      <c r="AD65" s="110">
        <f>IF('VALOR POR PL'!$L$50=0,0,AD64/'VALOR POR PL'!$L$50)</f>
        <v/>
      </c>
      <c r="AE65" s="110">
        <f>IF('VALOR POR PL'!$L$50=0,0,AE64/'VALOR POR PL'!$L$50)</f>
        <v/>
      </c>
      <c r="AF65" s="110">
        <f>IF('VALOR POR PL'!$L$50=0,0,AF64/'VALOR POR PL'!$L$50)</f>
        <v/>
      </c>
      <c r="AG65" s="110">
        <f>IF('VALOR POR PL'!$L$50=0,0,AG64/'VALOR POR PL'!$L$50)</f>
        <v/>
      </c>
      <c r="AH65" s="110">
        <f>IF('VALOR POR PL'!$L$50=0,0,AH64/'VALOR POR PL'!$L$50)</f>
        <v/>
      </c>
      <c r="AI65" s="110">
        <f>IF('VALOR POR PL'!$L$50=0,0,AI64/'VALOR POR PL'!$L$50)</f>
        <v/>
      </c>
      <c r="AJ65" s="110">
        <f>IF('VALOR POR PL'!$L$50=0,0,AJ64/'VALOR POR PL'!$L$50)</f>
        <v/>
      </c>
      <c r="AK65" s="110">
        <f>IF('VALOR POR PL'!$L$50=0,0,AK64/'VALOR POR PL'!$L$50)</f>
        <v/>
      </c>
      <c r="AL65" s="110">
        <f>IF('VALOR POR PL'!$L$50=0,0,AL64/'VALOR POR PL'!$L$50)</f>
        <v/>
      </c>
      <c r="AM65" s="110">
        <f>IF('VALOR POR PL'!$L$50=0,0,AM64/'VALOR POR PL'!$L$50)</f>
        <v/>
      </c>
      <c r="AN65" s="110">
        <f>IF('VALOR POR PL'!$L$50=0,0,AN64/'VALOR POR PL'!$L$50)</f>
        <v/>
      </c>
      <c r="AO65" s="110">
        <f>IF('VALOR POR PL'!$L$50=0,0,AO64/'VALOR POR PL'!$L$50)</f>
        <v/>
      </c>
      <c r="AP65" s="110">
        <f>IF('VALOR POR PL'!$L$50=0,0,AP64/'VALOR POR PL'!$L$50)</f>
        <v/>
      </c>
      <c r="AQ65" s="110">
        <f>IF('VALOR POR PL'!$L$50=0,0,AQ64/'VALOR POR PL'!$L$50)</f>
        <v/>
      </c>
      <c r="AR65" s="110">
        <f>IF('VALOR POR PL'!$L$50=0,0,AR64/'VALOR POR PL'!$L$50)</f>
        <v/>
      </c>
      <c r="AS65" s="110">
        <f>IF('VALOR POR PL'!$L$50=0,0,AS64/'VALOR POR PL'!$L$50)</f>
        <v/>
      </c>
      <c r="AT65" s="110">
        <f>IF('VALOR POR PL'!$L$50=0,0,AT64/'VALOR POR PL'!$L$50)</f>
        <v/>
      </c>
      <c r="AU65" s="110">
        <f>IF('VALOR POR PL'!$L$50=0,0,AU64/'VALOR POR PL'!$L$50)</f>
        <v/>
      </c>
      <c r="AV65" s="110">
        <f>IF('VALOR POR PL'!$L$50=0,0,AV64/'VALOR POR PL'!$L$50)</f>
        <v/>
      </c>
      <c r="AW65" s="110">
        <f>IF('VALOR POR PL'!$L$50=0,0,AW64/'VALOR POR PL'!$L$50)</f>
        <v/>
      </c>
      <c r="AX65" s="110">
        <f>IF('VALOR POR PL'!$L$50=0,0,AX64/'VALOR POR PL'!$L$50)</f>
        <v/>
      </c>
      <c r="AY65" s="110">
        <f>IF('VALOR POR PL'!$L$50=0,0,AY64/'VALOR POR PL'!$L$50)</f>
        <v/>
      </c>
      <c r="AZ65" s="110">
        <f>IF('VALOR POR PL'!$L$50=0,0,AZ64/'VALOR POR PL'!$L$50)</f>
        <v/>
      </c>
      <c r="BA65" s="110">
        <f>IF('VALOR POR PL'!$L$50=0,0,BA64/'VALOR POR PL'!$L$50)</f>
        <v/>
      </c>
      <c r="BB65" s="110">
        <f>IF('VALOR POR PL'!$L$50=0,0,BB64/'VALOR POR PL'!$L$50)</f>
        <v/>
      </c>
      <c r="BC65" s="110">
        <f>IF('VALOR POR PL'!$L$50=0,0,BC64/'VALOR POR PL'!$L$50)</f>
        <v/>
      </c>
      <c r="BD65" s="110">
        <f>IF('VALOR POR PL'!$L$50=0,0,BD64/'VALOR POR PL'!$L$50)</f>
        <v/>
      </c>
      <c r="BE65" s="110">
        <f>IF('VALOR POR PL'!$L$50=0,0,BE64/'VALOR POR PL'!$L$50)</f>
        <v/>
      </c>
      <c r="BF65" s="110">
        <f>IF('VALOR POR PL'!$L$50=0,0,BF64/'VALOR POR PL'!$L$50)</f>
        <v/>
      </c>
      <c r="BG65" s="110">
        <f>IF('VALOR POR PL'!$L$50=0,0,BG64/'VALOR POR PL'!$L$50)</f>
        <v/>
      </c>
      <c r="BH65" s="110">
        <f>IF('VALOR POR PL'!$L$50=0,0,BH64/'VALOR POR PL'!$L$50)</f>
        <v/>
      </c>
      <c r="BI65" s="110">
        <f>IF('VALOR POR PL'!$L$50=0,0,BI64/'VALOR POR PL'!$L$50)</f>
        <v/>
      </c>
      <c r="BJ65" s="110">
        <f>IF('VALOR POR PL'!$L$50=0,0,BJ64/'VALOR POR PL'!$L$50)</f>
        <v/>
      </c>
      <c r="BK65" s="110">
        <f>IF('VALOR POR PL'!$L$50=0,0,BK64/'VALOR POR PL'!$L$50)</f>
        <v/>
      </c>
      <c r="BL65" s="110">
        <f>IF('VALOR POR PL'!$L$50=0,0,BL64/'VALOR POR PL'!$L$50)</f>
        <v/>
      </c>
      <c r="BM65" s="110">
        <f>IF('VALOR POR PL'!$L$50=0,0,BM64/'VALOR POR PL'!$L$50)</f>
        <v/>
      </c>
      <c r="BN65" s="110">
        <f>IF('VALOR POR PL'!$L$50=0,0,BN64/'VALOR POR PL'!$L$50)</f>
        <v/>
      </c>
      <c r="BO65" s="110">
        <f>IF('VALOR POR PL'!$L$50=0,0,BO64/'VALOR POR PL'!$L$50)</f>
        <v/>
      </c>
      <c r="BP65" s="110">
        <f>IF('VALOR POR PL'!$L$50=0,0,BP64/'VALOR POR PL'!$L$50)</f>
        <v/>
      </c>
      <c r="BQ65" s="110">
        <f>IF('VALOR POR PL'!$L$50=0,0,BQ64/'VALOR POR PL'!$L$50)</f>
        <v/>
      </c>
      <c r="BR65" s="110">
        <f>IF('VALOR POR PL'!$L$50=0,0,BR64/'VALOR POR PL'!$L$50)</f>
        <v/>
      </c>
      <c r="BS65" s="110">
        <f>IF('VALOR POR PL'!$L$50=0,0,BS64/'VALOR POR PL'!$L$50)</f>
        <v/>
      </c>
      <c r="BT65" s="110">
        <f>IF('VALOR POR PL'!$L$50=0,0,BT64/'VALOR POR PL'!$L$50)</f>
        <v/>
      </c>
      <c r="BU65" s="110">
        <f>IF('VALOR POR PL'!$L$50=0,0,BU64/'VALOR POR PL'!$L$50)</f>
        <v/>
      </c>
      <c r="BV65" s="110">
        <f>IF('VALOR POR PL'!$L$50=0,0,BV64/'VALOR POR PL'!$L$50)</f>
        <v/>
      </c>
      <c r="BW65" s="110">
        <f>IF('VALOR POR PL'!$L$50=0,0,BW64/'VALOR POR PL'!$L$50)</f>
        <v/>
      </c>
      <c r="BX65" s="110">
        <f>IF('VALOR POR PL'!$L$50=0,0,BX64/'VALOR POR PL'!$L$50)</f>
        <v/>
      </c>
      <c r="BY65" s="110">
        <f>IF('VALOR POR PL'!$L$50=0,0,BY64/'VALOR POR PL'!$L$50)</f>
        <v/>
      </c>
      <c r="BZ65" s="110">
        <f>IF('VALOR POR PL'!$L$50=0,0,BZ64/'VALOR POR PL'!$L$50)</f>
        <v/>
      </c>
      <c r="CA65" s="110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1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9" t="inlineStr">
        <is>
          <t>Mês</t>
        </is>
      </c>
      <c r="B3" s="59" t="inlineStr">
        <is>
          <t>Curva inicial
% mensal (informar)</t>
        </is>
      </c>
      <c r="C3" s="59" t="inlineStr">
        <is>
          <t>Curva inicial
% acumulado</t>
        </is>
      </c>
      <c r="D3" s="59" t="inlineStr">
        <is>
          <t>Realizado
(INCC)</t>
        </is>
      </c>
      <c r="E3" s="59" t="inlineStr">
        <is>
          <t>Previsto
(INCC)</t>
        </is>
      </c>
      <c r="F3" s="59" t="inlineStr">
        <is>
          <t>Atual
% mensal</t>
        </is>
      </c>
      <c r="G3" s="59" t="inlineStr">
        <is>
          <t>Atual
% acumulado</t>
        </is>
      </c>
      <c r="I3" s="59" t="inlineStr">
        <is>
          <t>Curva inicial
(INCC)</t>
        </is>
      </c>
      <c r="J3" s="59" t="inlineStr">
        <is>
          <t>Curva inicial
(R$)</t>
        </is>
      </c>
      <c r="K3" s="59" t="inlineStr">
        <is>
          <t>Atual
(R$ nominal)</t>
        </is>
      </c>
      <c r="L3" s="59" t="inlineStr">
        <is>
          <t>Atual acumulado
(R$ nominal)</t>
        </is>
      </c>
      <c r="M3" s="59" t="inlineStr">
        <is>
          <t>Inicial acumulado
(R$)</t>
        </is>
      </c>
      <c r="O3" s="66" t="inlineStr">
        <is>
          <t>Anotações (do arquivo original)</t>
        </is>
      </c>
    </row>
    <row r="4">
      <c r="A4" s="112">
        <f>'MODELO PARA BI'!H1</f>
        <v/>
      </c>
      <c r="B4" s="113" t="n"/>
      <c r="C4" s="110">
        <f>B4</f>
        <v/>
      </c>
      <c r="D4" s="63">
        <f>IF(A4&lt;='VALOR POR PL'!$P$5,'MODELO PARA BI'!H61,0)</f>
        <v/>
      </c>
      <c r="E4" s="63">
        <f>IF(A4&gt;'VALOR POR PL'!$P$5,'MODELO PARA BI'!H61,0)</f>
        <v/>
      </c>
      <c r="F4" s="110">
        <f>IF('MODELO PARA BI'!$E$61=0,0,(D4+E4)/'MODELO PARA BI'!$E$61)</f>
        <v/>
      </c>
      <c r="G4" s="110">
        <f>F4</f>
        <v/>
      </c>
      <c r="I4" s="50">
        <f>B4*'VALOR POR PL'!$G$50</f>
        <v/>
      </c>
      <c r="J4" s="55">
        <f>I4*IF(A4&lt;='VALOR POR PL'!$P$5,IFERROR(INDEX('"INCC-FGV"'!$B$2:$B$400,MATCH(A4,'"INCC-FGV"'!$A$2:$A$400,0)),'VALOR POR PL'!$P$7),'VALOR POR PL'!$P$7)</f>
        <v/>
      </c>
      <c r="K4" s="71">
        <f>'MODELO PARA BI'!H63</f>
        <v/>
      </c>
      <c r="L4" s="71">
        <f>'MODELO PARA BI'!H64</f>
        <v/>
      </c>
      <c r="M4" s="55">
        <f>J4</f>
        <v/>
      </c>
    </row>
    <row r="5">
      <c r="A5" s="112">
        <f>'MODELO PARA BI'!I1</f>
        <v/>
      </c>
      <c r="B5" s="113" t="n"/>
      <c r="C5" s="110">
        <f>C4+B5</f>
        <v/>
      </c>
      <c r="D5" s="63">
        <f>IF(A5&lt;='VALOR POR PL'!$P$5,'MODELO PARA BI'!I61,0)</f>
        <v/>
      </c>
      <c r="E5" s="63">
        <f>IF(A5&gt;'VALOR POR PL'!$P$5,'MODELO PARA BI'!I61,0)</f>
        <v/>
      </c>
      <c r="F5" s="110">
        <f>IF('MODELO PARA BI'!$E$61=0,0,(D5+E5)/'MODELO PARA BI'!$E$61)</f>
        <v/>
      </c>
      <c r="G5" s="110">
        <f>G4+F5</f>
        <v/>
      </c>
      <c r="I5" s="50">
        <f>B5*'VALOR POR PL'!$G$50</f>
        <v/>
      </c>
      <c r="J5" s="55">
        <f>I5*IF(A5&lt;='VALOR POR PL'!$P$5,IFERROR(INDEX('"INCC-FGV"'!$B$2:$B$400,MATCH(A5,'"INCC-FGV"'!$A$2:$A$400,0)),'VALOR POR PL'!$P$7),'VALOR POR PL'!$P$7)</f>
        <v/>
      </c>
      <c r="K5" s="71">
        <f>'MODELO PARA BI'!I63</f>
        <v/>
      </c>
      <c r="L5" s="71">
        <f>'MODELO PARA BI'!I64</f>
        <v/>
      </c>
      <c r="M5" s="55">
        <f>M4+J5</f>
        <v/>
      </c>
    </row>
    <row r="6">
      <c r="A6" s="112">
        <f>'MODELO PARA BI'!J1</f>
        <v/>
      </c>
      <c r="B6" s="113" t="n"/>
      <c r="C6" s="110">
        <f>C5+B6</f>
        <v/>
      </c>
      <c r="D6" s="63">
        <f>IF(A6&lt;='VALOR POR PL'!$P$5,'MODELO PARA BI'!J61,0)</f>
        <v/>
      </c>
      <c r="E6" s="63">
        <f>IF(A6&gt;'VALOR POR PL'!$P$5,'MODELO PARA BI'!J61,0)</f>
        <v/>
      </c>
      <c r="F6" s="110">
        <f>IF('MODELO PARA BI'!$E$61=0,0,(D6+E6)/'MODELO PARA BI'!$E$61)</f>
        <v/>
      </c>
      <c r="G6" s="110">
        <f>G5+F6</f>
        <v/>
      </c>
      <c r="I6" s="50">
        <f>B6*'VALOR POR PL'!$G$50</f>
        <v/>
      </c>
      <c r="J6" s="55">
        <f>I6*IF(A6&lt;='VALOR POR PL'!$P$5,IFERROR(INDEX('"INCC-FGV"'!$B$2:$B$400,MATCH(A6,'"INCC-FGV"'!$A$2:$A$400,0)),'VALOR POR PL'!$P$7),'VALOR POR PL'!$P$7)</f>
        <v/>
      </c>
      <c r="K6" s="71">
        <f>'MODELO PARA BI'!J63</f>
        <v/>
      </c>
      <c r="L6" s="71">
        <f>'MODELO PARA BI'!J64</f>
        <v/>
      </c>
      <c r="M6" s="55">
        <f>M5+J6</f>
        <v/>
      </c>
    </row>
    <row r="7">
      <c r="A7" s="112">
        <f>'MODELO PARA BI'!K1</f>
        <v/>
      </c>
      <c r="B7" s="113" t="n"/>
      <c r="C7" s="110">
        <f>C6+B7</f>
        <v/>
      </c>
      <c r="D7" s="63">
        <f>IF(A7&lt;='VALOR POR PL'!$P$5,'MODELO PARA BI'!K61,0)</f>
        <v/>
      </c>
      <c r="E7" s="63">
        <f>IF(A7&gt;'VALOR POR PL'!$P$5,'MODELO PARA BI'!K61,0)</f>
        <v/>
      </c>
      <c r="F7" s="110">
        <f>IF('MODELO PARA BI'!$E$61=0,0,(D7+E7)/'MODELO PARA BI'!$E$61)</f>
        <v/>
      </c>
      <c r="G7" s="110">
        <f>G6+F7</f>
        <v/>
      </c>
      <c r="I7" s="50">
        <f>B7*'VALOR POR PL'!$G$50</f>
        <v/>
      </c>
      <c r="J7" s="55">
        <f>I7*IF(A7&lt;='VALOR POR PL'!$P$5,IFERROR(INDEX('"INCC-FGV"'!$B$2:$B$400,MATCH(A7,'"INCC-FGV"'!$A$2:$A$400,0)),'VALOR POR PL'!$P$7),'VALOR POR PL'!$P$7)</f>
        <v/>
      </c>
      <c r="K7" s="71">
        <f>'MODELO PARA BI'!K63</f>
        <v/>
      </c>
      <c r="L7" s="71">
        <f>'MODELO PARA BI'!K64</f>
        <v/>
      </c>
      <c r="M7" s="55">
        <f>M6+J7</f>
        <v/>
      </c>
    </row>
    <row r="8">
      <c r="A8" s="112">
        <f>'MODELO PARA BI'!L1</f>
        <v/>
      </c>
      <c r="B8" s="113" t="n"/>
      <c r="C8" s="110">
        <f>C7+B8</f>
        <v/>
      </c>
      <c r="D8" s="63">
        <f>IF(A8&lt;='VALOR POR PL'!$P$5,'MODELO PARA BI'!L61,0)</f>
        <v/>
      </c>
      <c r="E8" s="63">
        <f>IF(A8&gt;'VALOR POR PL'!$P$5,'MODELO PARA BI'!L61,0)</f>
        <v/>
      </c>
      <c r="F8" s="110">
        <f>IF('MODELO PARA BI'!$E$61=0,0,(D8+E8)/'MODELO PARA BI'!$E$61)</f>
        <v/>
      </c>
      <c r="G8" s="110">
        <f>G7+F8</f>
        <v/>
      </c>
      <c r="I8" s="50">
        <f>B8*'VALOR POR PL'!$G$50</f>
        <v/>
      </c>
      <c r="J8" s="55">
        <f>I8*IF(A8&lt;='VALOR POR PL'!$P$5,IFERROR(INDEX('"INCC-FGV"'!$B$2:$B$400,MATCH(A8,'"INCC-FGV"'!$A$2:$A$400,0)),'VALOR POR PL'!$P$7),'VALOR POR PL'!$P$7)</f>
        <v/>
      </c>
      <c r="K8" s="71">
        <f>'MODELO PARA BI'!L63</f>
        <v/>
      </c>
      <c r="L8" s="71">
        <f>'MODELO PARA BI'!L64</f>
        <v/>
      </c>
      <c r="M8" s="55">
        <f>M7+J8</f>
        <v/>
      </c>
    </row>
    <row r="9">
      <c r="A9" s="112">
        <f>'MODELO PARA BI'!M1</f>
        <v/>
      </c>
      <c r="B9" s="113" t="n"/>
      <c r="C9" s="110">
        <f>C8+B9</f>
        <v/>
      </c>
      <c r="D9" s="63">
        <f>IF(A9&lt;='VALOR POR PL'!$P$5,'MODELO PARA BI'!M61,0)</f>
        <v/>
      </c>
      <c r="E9" s="63">
        <f>IF(A9&gt;'VALOR POR PL'!$P$5,'MODELO PARA BI'!M61,0)</f>
        <v/>
      </c>
      <c r="F9" s="110">
        <f>IF('MODELO PARA BI'!$E$61=0,0,(D9+E9)/'MODELO PARA BI'!$E$61)</f>
        <v/>
      </c>
      <c r="G9" s="110">
        <f>G8+F9</f>
        <v/>
      </c>
      <c r="I9" s="50">
        <f>B9*'VALOR POR PL'!$G$50</f>
        <v/>
      </c>
      <c r="J9" s="55">
        <f>I9*IF(A9&lt;='VALOR POR PL'!$P$5,IFERROR(INDEX('"INCC-FGV"'!$B$2:$B$400,MATCH(A9,'"INCC-FGV"'!$A$2:$A$400,0)),'VALOR POR PL'!$P$7),'VALOR POR PL'!$P$7)</f>
        <v/>
      </c>
      <c r="K9" s="71">
        <f>'MODELO PARA BI'!M63</f>
        <v/>
      </c>
      <c r="L9" s="71">
        <f>'MODELO PARA BI'!M64</f>
        <v/>
      </c>
      <c r="M9" s="55">
        <f>M8+J9</f>
        <v/>
      </c>
    </row>
    <row r="10">
      <c r="A10" s="112">
        <f>'MODELO PARA BI'!N1</f>
        <v/>
      </c>
      <c r="B10" s="113" t="n"/>
      <c r="C10" s="110">
        <f>C9+B10</f>
        <v/>
      </c>
      <c r="D10" s="63">
        <f>IF(A10&lt;='VALOR POR PL'!$P$5,'MODELO PARA BI'!N61,0)</f>
        <v/>
      </c>
      <c r="E10" s="63">
        <f>IF(A10&gt;'VALOR POR PL'!$P$5,'MODELO PARA BI'!N61,0)</f>
        <v/>
      </c>
      <c r="F10" s="110">
        <f>IF('MODELO PARA BI'!$E$61=0,0,(D10+E10)/'MODELO PARA BI'!$E$61)</f>
        <v/>
      </c>
      <c r="G10" s="110">
        <f>G9+F10</f>
        <v/>
      </c>
      <c r="I10" s="50">
        <f>B10*'VALOR POR PL'!$G$50</f>
        <v/>
      </c>
      <c r="J10" s="55">
        <f>I10*IF(A10&lt;='VALOR POR PL'!$P$5,IFERROR(INDEX('"INCC-FGV"'!$B$2:$B$400,MATCH(A10,'"INCC-FGV"'!$A$2:$A$400,0)),'VALOR POR PL'!$P$7),'VALOR POR PL'!$P$7)</f>
        <v/>
      </c>
      <c r="K10" s="71">
        <f>'MODELO PARA BI'!N63</f>
        <v/>
      </c>
      <c r="L10" s="71">
        <f>'MODELO PARA BI'!N64</f>
        <v/>
      </c>
      <c r="M10" s="55">
        <f>M9+J10</f>
        <v/>
      </c>
    </row>
    <row r="11">
      <c r="A11" s="112">
        <f>'MODELO PARA BI'!O1</f>
        <v/>
      </c>
      <c r="B11" s="113" t="n"/>
      <c r="C11" s="110">
        <f>C10+B11</f>
        <v/>
      </c>
      <c r="D11" s="63">
        <f>IF(A11&lt;='VALOR POR PL'!$P$5,'MODELO PARA BI'!O61,0)</f>
        <v/>
      </c>
      <c r="E11" s="63">
        <f>IF(A11&gt;'VALOR POR PL'!$P$5,'MODELO PARA BI'!O61,0)</f>
        <v/>
      </c>
      <c r="F11" s="110">
        <f>IF('MODELO PARA BI'!$E$61=0,0,(D11+E11)/'MODELO PARA BI'!$E$61)</f>
        <v/>
      </c>
      <c r="G11" s="110">
        <f>G10+F11</f>
        <v/>
      </c>
      <c r="I11" s="50">
        <f>B11*'VALOR POR PL'!$G$50</f>
        <v/>
      </c>
      <c r="J11" s="55">
        <f>I11*IF(A11&lt;='VALOR POR PL'!$P$5,IFERROR(INDEX('"INCC-FGV"'!$B$2:$B$400,MATCH(A11,'"INCC-FGV"'!$A$2:$A$400,0)),'VALOR POR PL'!$P$7),'VALOR POR PL'!$P$7)</f>
        <v/>
      </c>
      <c r="K11" s="71">
        <f>'MODELO PARA BI'!O63</f>
        <v/>
      </c>
      <c r="L11" s="71">
        <f>'MODELO PARA BI'!O64</f>
        <v/>
      </c>
      <c r="M11" s="55">
        <f>M10+J11</f>
        <v/>
      </c>
    </row>
    <row r="12">
      <c r="A12" s="112">
        <f>'MODELO PARA BI'!P1</f>
        <v/>
      </c>
      <c r="B12" s="113" t="n"/>
      <c r="C12" s="110">
        <f>C11+B12</f>
        <v/>
      </c>
      <c r="D12" s="63">
        <f>IF(A12&lt;='VALOR POR PL'!$P$5,'MODELO PARA BI'!P61,0)</f>
        <v/>
      </c>
      <c r="E12" s="63">
        <f>IF(A12&gt;'VALOR POR PL'!$P$5,'MODELO PARA BI'!P61,0)</f>
        <v/>
      </c>
      <c r="F12" s="110">
        <f>IF('MODELO PARA BI'!$E$61=0,0,(D12+E12)/'MODELO PARA BI'!$E$61)</f>
        <v/>
      </c>
      <c r="G12" s="110">
        <f>G11+F12</f>
        <v/>
      </c>
      <c r="I12" s="50">
        <f>B12*'VALOR POR PL'!$G$50</f>
        <v/>
      </c>
      <c r="J12" s="55">
        <f>I12*IF(A12&lt;='VALOR POR PL'!$P$5,IFERROR(INDEX('"INCC-FGV"'!$B$2:$B$400,MATCH(A12,'"INCC-FGV"'!$A$2:$A$400,0)),'VALOR POR PL'!$P$7),'VALOR POR PL'!$P$7)</f>
        <v/>
      </c>
      <c r="K12" s="71">
        <f>'MODELO PARA BI'!P63</f>
        <v/>
      </c>
      <c r="L12" s="71">
        <f>'MODELO PARA BI'!P64</f>
        <v/>
      </c>
      <c r="M12" s="55">
        <f>M11+J12</f>
        <v/>
      </c>
    </row>
    <row r="13">
      <c r="A13" s="112">
        <f>'MODELO PARA BI'!Q1</f>
        <v/>
      </c>
      <c r="B13" s="113" t="n"/>
      <c r="C13" s="110">
        <f>C12+B13</f>
        <v/>
      </c>
      <c r="D13" s="63">
        <f>IF(A13&lt;='VALOR POR PL'!$P$5,'MODELO PARA BI'!Q61,0)</f>
        <v/>
      </c>
      <c r="E13" s="63">
        <f>IF(A13&gt;'VALOR POR PL'!$P$5,'MODELO PARA BI'!Q61,0)</f>
        <v/>
      </c>
      <c r="F13" s="110">
        <f>IF('MODELO PARA BI'!$E$61=0,0,(D13+E13)/'MODELO PARA BI'!$E$61)</f>
        <v/>
      </c>
      <c r="G13" s="110">
        <f>G12+F13</f>
        <v/>
      </c>
      <c r="I13" s="50">
        <f>B13*'VALOR POR PL'!$G$50</f>
        <v/>
      </c>
      <c r="J13" s="55">
        <f>I13*IF(A13&lt;='VALOR POR PL'!$P$5,IFERROR(INDEX('"INCC-FGV"'!$B$2:$B$400,MATCH(A13,'"INCC-FGV"'!$A$2:$A$400,0)),'VALOR POR PL'!$P$7),'VALOR POR PL'!$P$7)</f>
        <v/>
      </c>
      <c r="K13" s="71">
        <f>'MODELO PARA BI'!Q63</f>
        <v/>
      </c>
      <c r="L13" s="71">
        <f>'MODELO PARA BI'!Q64</f>
        <v/>
      </c>
      <c r="M13" s="55">
        <f>M12+J13</f>
        <v/>
      </c>
    </row>
    <row r="14">
      <c r="A14" s="112">
        <f>'MODELO PARA BI'!R1</f>
        <v/>
      </c>
      <c r="B14" s="113" t="n"/>
      <c r="C14" s="110">
        <f>C13+B14</f>
        <v/>
      </c>
      <c r="D14" s="63">
        <f>IF(A14&lt;='VALOR POR PL'!$P$5,'MODELO PARA BI'!R61,0)</f>
        <v/>
      </c>
      <c r="E14" s="63">
        <f>IF(A14&gt;'VALOR POR PL'!$P$5,'MODELO PARA BI'!R61,0)</f>
        <v/>
      </c>
      <c r="F14" s="110">
        <f>IF('MODELO PARA BI'!$E$61=0,0,(D14+E14)/'MODELO PARA BI'!$E$61)</f>
        <v/>
      </c>
      <c r="G14" s="110">
        <f>G13+F14</f>
        <v/>
      </c>
      <c r="I14" s="50">
        <f>B14*'VALOR POR PL'!$G$50</f>
        <v/>
      </c>
      <c r="J14" s="55">
        <f>I14*IF(A14&lt;='VALOR POR PL'!$P$5,IFERROR(INDEX('"INCC-FGV"'!$B$2:$B$400,MATCH(A14,'"INCC-FGV"'!$A$2:$A$400,0)),'VALOR POR PL'!$P$7),'VALOR POR PL'!$P$7)</f>
        <v/>
      </c>
      <c r="K14" s="71">
        <f>'MODELO PARA BI'!R63</f>
        <v/>
      </c>
      <c r="L14" s="71">
        <f>'MODELO PARA BI'!R64</f>
        <v/>
      </c>
      <c r="M14" s="55">
        <f>M13+J14</f>
        <v/>
      </c>
    </row>
    <row r="15">
      <c r="A15" s="112">
        <f>'MODELO PARA BI'!S1</f>
        <v/>
      </c>
      <c r="B15" s="113" t="n"/>
      <c r="C15" s="110">
        <f>C14+B15</f>
        <v/>
      </c>
      <c r="D15" s="63">
        <f>IF(A15&lt;='VALOR POR PL'!$P$5,'MODELO PARA BI'!S61,0)</f>
        <v/>
      </c>
      <c r="E15" s="63">
        <f>IF(A15&gt;'VALOR POR PL'!$P$5,'MODELO PARA BI'!S61,0)</f>
        <v/>
      </c>
      <c r="F15" s="110">
        <f>IF('MODELO PARA BI'!$E$61=0,0,(D15+E15)/'MODELO PARA BI'!$E$61)</f>
        <v/>
      </c>
      <c r="G15" s="110">
        <f>G14+F15</f>
        <v/>
      </c>
      <c r="I15" s="50">
        <f>B15*'VALOR POR PL'!$G$50</f>
        <v/>
      </c>
      <c r="J15" s="55">
        <f>I15*IF(A15&lt;='VALOR POR PL'!$P$5,IFERROR(INDEX('"INCC-FGV"'!$B$2:$B$400,MATCH(A15,'"INCC-FGV"'!$A$2:$A$400,0)),'VALOR POR PL'!$P$7),'VALOR POR PL'!$P$7)</f>
        <v/>
      </c>
      <c r="K15" s="71">
        <f>'MODELO PARA BI'!S63</f>
        <v/>
      </c>
      <c r="L15" s="71">
        <f>'MODELO PARA BI'!S64</f>
        <v/>
      </c>
      <c r="M15" s="55">
        <f>M14+J15</f>
        <v/>
      </c>
    </row>
    <row r="16">
      <c r="A16" s="112">
        <f>'MODELO PARA BI'!T1</f>
        <v/>
      </c>
      <c r="B16" s="113" t="n"/>
      <c r="C16" s="110">
        <f>C15+B16</f>
        <v/>
      </c>
      <c r="D16" s="63">
        <f>IF(A16&lt;='VALOR POR PL'!$P$5,'MODELO PARA BI'!T61,0)</f>
        <v/>
      </c>
      <c r="E16" s="63">
        <f>IF(A16&gt;'VALOR POR PL'!$P$5,'MODELO PARA BI'!T61,0)</f>
        <v/>
      </c>
      <c r="F16" s="110">
        <f>IF('MODELO PARA BI'!$E$61=0,0,(D16+E16)/'MODELO PARA BI'!$E$61)</f>
        <v/>
      </c>
      <c r="G16" s="110">
        <f>G15+F16</f>
        <v/>
      </c>
      <c r="I16" s="50">
        <f>B16*'VALOR POR PL'!$G$50</f>
        <v/>
      </c>
      <c r="J16" s="55">
        <f>I16*IF(A16&lt;='VALOR POR PL'!$P$5,IFERROR(INDEX('"INCC-FGV"'!$B$2:$B$400,MATCH(A16,'"INCC-FGV"'!$A$2:$A$400,0)),'VALOR POR PL'!$P$7),'VALOR POR PL'!$P$7)</f>
        <v/>
      </c>
      <c r="K16" s="71">
        <f>'MODELO PARA BI'!T63</f>
        <v/>
      </c>
      <c r="L16" s="71">
        <f>'MODELO PARA BI'!T64</f>
        <v/>
      </c>
      <c r="M16" s="55">
        <f>M15+J16</f>
        <v/>
      </c>
    </row>
    <row r="17">
      <c r="A17" s="112">
        <f>'MODELO PARA BI'!U1</f>
        <v/>
      </c>
      <c r="B17" s="113" t="n"/>
      <c r="C17" s="110">
        <f>C16+B17</f>
        <v/>
      </c>
      <c r="D17" s="63">
        <f>IF(A17&lt;='VALOR POR PL'!$P$5,'MODELO PARA BI'!U61,0)</f>
        <v/>
      </c>
      <c r="E17" s="63">
        <f>IF(A17&gt;'VALOR POR PL'!$P$5,'MODELO PARA BI'!U61,0)</f>
        <v/>
      </c>
      <c r="F17" s="110">
        <f>IF('MODELO PARA BI'!$E$61=0,0,(D17+E17)/'MODELO PARA BI'!$E$61)</f>
        <v/>
      </c>
      <c r="G17" s="110">
        <f>G16+F17</f>
        <v/>
      </c>
      <c r="I17" s="50">
        <f>B17*'VALOR POR PL'!$G$50</f>
        <v/>
      </c>
      <c r="J17" s="55">
        <f>I17*IF(A17&lt;='VALOR POR PL'!$P$5,IFERROR(INDEX('"INCC-FGV"'!$B$2:$B$400,MATCH(A17,'"INCC-FGV"'!$A$2:$A$400,0)),'VALOR POR PL'!$P$7),'VALOR POR PL'!$P$7)</f>
        <v/>
      </c>
      <c r="K17" s="71">
        <f>'MODELO PARA BI'!U63</f>
        <v/>
      </c>
      <c r="L17" s="71">
        <f>'MODELO PARA BI'!U64</f>
        <v/>
      </c>
      <c r="M17" s="55">
        <f>M16+J17</f>
        <v/>
      </c>
    </row>
    <row r="18">
      <c r="A18" s="112">
        <f>'MODELO PARA BI'!V1</f>
        <v/>
      </c>
      <c r="B18" s="113" t="n"/>
      <c r="C18" s="110">
        <f>C17+B18</f>
        <v/>
      </c>
      <c r="D18" s="63">
        <f>IF(A18&lt;='VALOR POR PL'!$P$5,'MODELO PARA BI'!V61,0)</f>
        <v/>
      </c>
      <c r="E18" s="63">
        <f>IF(A18&gt;'VALOR POR PL'!$P$5,'MODELO PARA BI'!V61,0)</f>
        <v/>
      </c>
      <c r="F18" s="110">
        <f>IF('MODELO PARA BI'!$E$61=0,0,(D18+E18)/'MODELO PARA BI'!$E$61)</f>
        <v/>
      </c>
      <c r="G18" s="110">
        <f>G17+F18</f>
        <v/>
      </c>
      <c r="I18" s="50">
        <f>B18*'VALOR POR PL'!$G$50</f>
        <v/>
      </c>
      <c r="J18" s="55">
        <f>I18*IF(A18&lt;='VALOR POR PL'!$P$5,IFERROR(INDEX('"INCC-FGV"'!$B$2:$B$400,MATCH(A18,'"INCC-FGV"'!$A$2:$A$400,0)),'VALOR POR PL'!$P$7),'VALOR POR PL'!$P$7)</f>
        <v/>
      </c>
      <c r="K18" s="71">
        <f>'MODELO PARA BI'!V63</f>
        <v/>
      </c>
      <c r="L18" s="71">
        <f>'MODELO PARA BI'!V64</f>
        <v/>
      </c>
      <c r="M18" s="55">
        <f>M17+J18</f>
        <v/>
      </c>
    </row>
    <row r="19">
      <c r="A19" s="112">
        <f>'MODELO PARA BI'!W1</f>
        <v/>
      </c>
      <c r="B19" s="113" t="n"/>
      <c r="C19" s="110">
        <f>C18+B19</f>
        <v/>
      </c>
      <c r="D19" s="63">
        <f>IF(A19&lt;='VALOR POR PL'!$P$5,'MODELO PARA BI'!W61,0)</f>
        <v/>
      </c>
      <c r="E19" s="63">
        <f>IF(A19&gt;'VALOR POR PL'!$P$5,'MODELO PARA BI'!W61,0)</f>
        <v/>
      </c>
      <c r="F19" s="110">
        <f>IF('MODELO PARA BI'!$E$61=0,0,(D19+E19)/'MODELO PARA BI'!$E$61)</f>
        <v/>
      </c>
      <c r="G19" s="110">
        <f>G18+F19</f>
        <v/>
      </c>
      <c r="I19" s="50">
        <f>B19*'VALOR POR PL'!$G$50</f>
        <v/>
      </c>
      <c r="J19" s="55">
        <f>I19*IF(A19&lt;='VALOR POR PL'!$P$5,IFERROR(INDEX('"INCC-FGV"'!$B$2:$B$400,MATCH(A19,'"INCC-FGV"'!$A$2:$A$400,0)),'VALOR POR PL'!$P$7),'VALOR POR PL'!$P$7)</f>
        <v/>
      </c>
      <c r="K19" s="71">
        <f>'MODELO PARA BI'!W63</f>
        <v/>
      </c>
      <c r="L19" s="71">
        <f>'MODELO PARA BI'!W64</f>
        <v/>
      </c>
      <c r="M19" s="55">
        <f>M18+J19</f>
        <v/>
      </c>
    </row>
    <row r="20">
      <c r="A20" s="112">
        <f>'MODELO PARA BI'!X1</f>
        <v/>
      </c>
      <c r="B20" s="113" t="n"/>
      <c r="C20" s="110">
        <f>C19+B20</f>
        <v/>
      </c>
      <c r="D20" s="63">
        <f>IF(A20&lt;='VALOR POR PL'!$P$5,'MODELO PARA BI'!X61,0)</f>
        <v/>
      </c>
      <c r="E20" s="63">
        <f>IF(A20&gt;'VALOR POR PL'!$P$5,'MODELO PARA BI'!X61,0)</f>
        <v/>
      </c>
      <c r="F20" s="110">
        <f>IF('MODELO PARA BI'!$E$61=0,0,(D20+E20)/'MODELO PARA BI'!$E$61)</f>
        <v/>
      </c>
      <c r="G20" s="110">
        <f>G19+F20</f>
        <v/>
      </c>
      <c r="I20" s="50">
        <f>B20*'VALOR POR PL'!$G$50</f>
        <v/>
      </c>
      <c r="J20" s="55">
        <f>I20*IF(A20&lt;='VALOR POR PL'!$P$5,IFERROR(INDEX('"INCC-FGV"'!$B$2:$B$400,MATCH(A20,'"INCC-FGV"'!$A$2:$A$400,0)),'VALOR POR PL'!$P$7),'VALOR POR PL'!$P$7)</f>
        <v/>
      </c>
      <c r="K20" s="71">
        <f>'MODELO PARA BI'!X63</f>
        <v/>
      </c>
      <c r="L20" s="71">
        <f>'MODELO PARA BI'!X64</f>
        <v/>
      </c>
      <c r="M20" s="55">
        <f>M19+J20</f>
        <v/>
      </c>
    </row>
    <row r="21">
      <c r="A21" s="112">
        <f>'MODELO PARA BI'!Y1</f>
        <v/>
      </c>
      <c r="B21" s="113" t="n"/>
      <c r="C21" s="110">
        <f>C20+B21</f>
        <v/>
      </c>
      <c r="D21" s="63">
        <f>IF(A21&lt;='VALOR POR PL'!$P$5,'MODELO PARA BI'!Y61,0)</f>
        <v/>
      </c>
      <c r="E21" s="63">
        <f>IF(A21&gt;'VALOR POR PL'!$P$5,'MODELO PARA BI'!Y61,0)</f>
        <v/>
      </c>
      <c r="F21" s="110">
        <f>IF('MODELO PARA BI'!$E$61=0,0,(D21+E21)/'MODELO PARA BI'!$E$61)</f>
        <v/>
      </c>
      <c r="G21" s="110">
        <f>G20+F21</f>
        <v/>
      </c>
      <c r="I21" s="50">
        <f>B21*'VALOR POR PL'!$G$50</f>
        <v/>
      </c>
      <c r="J21" s="55">
        <f>I21*IF(A21&lt;='VALOR POR PL'!$P$5,IFERROR(INDEX('"INCC-FGV"'!$B$2:$B$400,MATCH(A21,'"INCC-FGV"'!$A$2:$A$400,0)),'VALOR POR PL'!$P$7),'VALOR POR PL'!$P$7)</f>
        <v/>
      </c>
      <c r="K21" s="71">
        <f>'MODELO PARA BI'!Y63</f>
        <v/>
      </c>
      <c r="L21" s="71">
        <f>'MODELO PARA BI'!Y64</f>
        <v/>
      </c>
      <c r="M21" s="55">
        <f>M20+J21</f>
        <v/>
      </c>
    </row>
    <row r="22">
      <c r="A22" s="112">
        <f>'MODELO PARA BI'!Z1</f>
        <v/>
      </c>
      <c r="B22" s="113" t="n"/>
      <c r="C22" s="110">
        <f>C21+B22</f>
        <v/>
      </c>
      <c r="D22" s="63">
        <f>IF(A22&lt;='VALOR POR PL'!$P$5,'MODELO PARA BI'!Z61,0)</f>
        <v/>
      </c>
      <c r="E22" s="63">
        <f>IF(A22&gt;'VALOR POR PL'!$P$5,'MODELO PARA BI'!Z61,0)</f>
        <v/>
      </c>
      <c r="F22" s="110">
        <f>IF('MODELO PARA BI'!$E$61=0,0,(D22+E22)/'MODELO PARA BI'!$E$61)</f>
        <v/>
      </c>
      <c r="G22" s="110">
        <f>G21+F22</f>
        <v/>
      </c>
      <c r="I22" s="50">
        <f>B22*'VALOR POR PL'!$G$50</f>
        <v/>
      </c>
      <c r="J22" s="55">
        <f>I22*IF(A22&lt;='VALOR POR PL'!$P$5,IFERROR(INDEX('"INCC-FGV"'!$B$2:$B$400,MATCH(A22,'"INCC-FGV"'!$A$2:$A$400,0)),'VALOR POR PL'!$P$7),'VALOR POR PL'!$P$7)</f>
        <v/>
      </c>
      <c r="K22" s="71">
        <f>'MODELO PARA BI'!Z63</f>
        <v/>
      </c>
      <c r="L22" s="71">
        <f>'MODELO PARA BI'!Z64</f>
        <v/>
      </c>
      <c r="M22" s="55">
        <f>M21+J22</f>
        <v/>
      </c>
    </row>
    <row r="23">
      <c r="A23" s="112">
        <f>'MODELO PARA BI'!AA1</f>
        <v/>
      </c>
      <c r="B23" s="113" t="n"/>
      <c r="C23" s="110">
        <f>C22+B23</f>
        <v/>
      </c>
      <c r="D23" s="63">
        <f>IF(A23&lt;='VALOR POR PL'!$P$5,'MODELO PARA BI'!AA61,0)</f>
        <v/>
      </c>
      <c r="E23" s="63">
        <f>IF(A23&gt;'VALOR POR PL'!$P$5,'MODELO PARA BI'!AA61,0)</f>
        <v/>
      </c>
      <c r="F23" s="110">
        <f>IF('MODELO PARA BI'!$E$61=0,0,(D23+E23)/'MODELO PARA BI'!$E$61)</f>
        <v/>
      </c>
      <c r="G23" s="110">
        <f>G22+F23</f>
        <v/>
      </c>
      <c r="I23" s="50">
        <f>B23*'VALOR POR PL'!$G$50</f>
        <v/>
      </c>
      <c r="J23" s="55">
        <f>I23*IF(A23&lt;='VALOR POR PL'!$P$5,IFERROR(INDEX('"INCC-FGV"'!$B$2:$B$400,MATCH(A23,'"INCC-FGV"'!$A$2:$A$400,0)),'VALOR POR PL'!$P$7),'VALOR POR PL'!$P$7)</f>
        <v/>
      </c>
      <c r="K23" s="71">
        <f>'MODELO PARA BI'!AA63</f>
        <v/>
      </c>
      <c r="L23" s="71">
        <f>'MODELO PARA BI'!AA64</f>
        <v/>
      </c>
      <c r="M23" s="55">
        <f>M22+J23</f>
        <v/>
      </c>
    </row>
    <row r="24">
      <c r="A24" s="112">
        <f>'MODELO PARA BI'!AB1</f>
        <v/>
      </c>
      <c r="B24" s="113" t="n"/>
      <c r="C24" s="110">
        <f>C23+B24</f>
        <v/>
      </c>
      <c r="D24" s="63">
        <f>IF(A24&lt;='VALOR POR PL'!$P$5,'MODELO PARA BI'!AB61,0)</f>
        <v/>
      </c>
      <c r="E24" s="63">
        <f>IF(A24&gt;'VALOR POR PL'!$P$5,'MODELO PARA BI'!AB61,0)</f>
        <v/>
      </c>
      <c r="F24" s="110">
        <f>IF('MODELO PARA BI'!$E$61=0,0,(D24+E24)/'MODELO PARA BI'!$E$61)</f>
        <v/>
      </c>
      <c r="G24" s="110">
        <f>G23+F24</f>
        <v/>
      </c>
      <c r="I24" s="50">
        <f>B24*'VALOR POR PL'!$G$50</f>
        <v/>
      </c>
      <c r="J24" s="55">
        <f>I24*IF(A24&lt;='VALOR POR PL'!$P$5,IFERROR(INDEX('"INCC-FGV"'!$B$2:$B$400,MATCH(A24,'"INCC-FGV"'!$A$2:$A$400,0)),'VALOR POR PL'!$P$7),'VALOR POR PL'!$P$7)</f>
        <v/>
      </c>
      <c r="K24" s="71">
        <f>'MODELO PARA BI'!AB63</f>
        <v/>
      </c>
      <c r="L24" s="71">
        <f>'MODELO PARA BI'!AB64</f>
        <v/>
      </c>
      <c r="M24" s="55">
        <f>M23+J24</f>
        <v/>
      </c>
    </row>
    <row r="25">
      <c r="A25" s="112">
        <f>'MODELO PARA BI'!AC1</f>
        <v/>
      </c>
      <c r="B25" s="113" t="n"/>
      <c r="C25" s="110">
        <f>C24+B25</f>
        <v/>
      </c>
      <c r="D25" s="63">
        <f>IF(A25&lt;='VALOR POR PL'!$P$5,'MODELO PARA BI'!AC61,0)</f>
        <v/>
      </c>
      <c r="E25" s="63">
        <f>IF(A25&gt;'VALOR POR PL'!$P$5,'MODELO PARA BI'!AC61,0)</f>
        <v/>
      </c>
      <c r="F25" s="110">
        <f>IF('MODELO PARA BI'!$E$61=0,0,(D25+E25)/'MODELO PARA BI'!$E$61)</f>
        <v/>
      </c>
      <c r="G25" s="110">
        <f>G24+F25</f>
        <v/>
      </c>
      <c r="I25" s="50">
        <f>B25*'VALOR POR PL'!$G$50</f>
        <v/>
      </c>
      <c r="J25" s="55">
        <f>I25*IF(A25&lt;='VALOR POR PL'!$P$5,IFERROR(INDEX('"INCC-FGV"'!$B$2:$B$400,MATCH(A25,'"INCC-FGV"'!$A$2:$A$400,0)),'VALOR POR PL'!$P$7),'VALOR POR PL'!$P$7)</f>
        <v/>
      </c>
      <c r="K25" s="71">
        <f>'MODELO PARA BI'!AC63</f>
        <v/>
      </c>
      <c r="L25" s="71">
        <f>'MODELO PARA BI'!AC64</f>
        <v/>
      </c>
      <c r="M25" s="55">
        <f>M24+J25</f>
        <v/>
      </c>
    </row>
    <row r="26">
      <c r="A26" s="112">
        <f>'MODELO PARA BI'!AD1</f>
        <v/>
      </c>
      <c r="B26" s="113" t="n"/>
      <c r="C26" s="110">
        <f>C25+B26</f>
        <v/>
      </c>
      <c r="D26" s="63">
        <f>IF(A26&lt;='VALOR POR PL'!$P$5,'MODELO PARA BI'!AD61,0)</f>
        <v/>
      </c>
      <c r="E26" s="63">
        <f>IF(A26&gt;'VALOR POR PL'!$P$5,'MODELO PARA BI'!AD61,0)</f>
        <v/>
      </c>
      <c r="F26" s="110">
        <f>IF('MODELO PARA BI'!$E$61=0,0,(D26+E26)/'MODELO PARA BI'!$E$61)</f>
        <v/>
      </c>
      <c r="G26" s="110">
        <f>G25+F26</f>
        <v/>
      </c>
      <c r="I26" s="50">
        <f>B26*'VALOR POR PL'!$G$50</f>
        <v/>
      </c>
      <c r="J26" s="55">
        <f>I26*IF(A26&lt;='VALOR POR PL'!$P$5,IFERROR(INDEX('"INCC-FGV"'!$B$2:$B$400,MATCH(A26,'"INCC-FGV"'!$A$2:$A$400,0)),'VALOR POR PL'!$P$7),'VALOR POR PL'!$P$7)</f>
        <v/>
      </c>
      <c r="K26" s="71">
        <f>'MODELO PARA BI'!AD63</f>
        <v/>
      </c>
      <c r="L26" s="71">
        <f>'MODELO PARA BI'!AD64</f>
        <v/>
      </c>
      <c r="M26" s="55">
        <f>M25+J26</f>
        <v/>
      </c>
    </row>
    <row r="27">
      <c r="A27" s="112">
        <f>'MODELO PARA BI'!AE1</f>
        <v/>
      </c>
      <c r="B27" s="113" t="n"/>
      <c r="C27" s="110">
        <f>C26+B27</f>
        <v/>
      </c>
      <c r="D27" s="63">
        <f>IF(A27&lt;='VALOR POR PL'!$P$5,'MODELO PARA BI'!AE61,0)</f>
        <v/>
      </c>
      <c r="E27" s="63">
        <f>IF(A27&gt;'VALOR POR PL'!$P$5,'MODELO PARA BI'!AE61,0)</f>
        <v/>
      </c>
      <c r="F27" s="110">
        <f>IF('MODELO PARA BI'!$E$61=0,0,(D27+E27)/'MODELO PARA BI'!$E$61)</f>
        <v/>
      </c>
      <c r="G27" s="110">
        <f>G26+F27</f>
        <v/>
      </c>
      <c r="I27" s="50">
        <f>B27*'VALOR POR PL'!$G$50</f>
        <v/>
      </c>
      <c r="J27" s="55">
        <f>I27*IF(A27&lt;='VALOR POR PL'!$P$5,IFERROR(INDEX('"INCC-FGV"'!$B$2:$B$400,MATCH(A27,'"INCC-FGV"'!$A$2:$A$400,0)),'VALOR POR PL'!$P$7),'VALOR POR PL'!$P$7)</f>
        <v/>
      </c>
      <c r="K27" s="71">
        <f>'MODELO PARA BI'!AE63</f>
        <v/>
      </c>
      <c r="L27" s="71">
        <f>'MODELO PARA BI'!AE64</f>
        <v/>
      </c>
      <c r="M27" s="55">
        <f>M26+J27</f>
        <v/>
      </c>
    </row>
    <row r="28">
      <c r="A28" s="112">
        <f>'MODELO PARA BI'!AF1</f>
        <v/>
      </c>
      <c r="B28" s="113" t="n"/>
      <c r="C28" s="110">
        <f>C27+B28</f>
        <v/>
      </c>
      <c r="D28" s="63">
        <f>IF(A28&lt;='VALOR POR PL'!$P$5,'MODELO PARA BI'!AF61,0)</f>
        <v/>
      </c>
      <c r="E28" s="63">
        <f>IF(A28&gt;'VALOR POR PL'!$P$5,'MODELO PARA BI'!AF61,0)</f>
        <v/>
      </c>
      <c r="F28" s="110">
        <f>IF('MODELO PARA BI'!$E$61=0,0,(D28+E28)/'MODELO PARA BI'!$E$61)</f>
        <v/>
      </c>
      <c r="G28" s="110">
        <f>G27+F28</f>
        <v/>
      </c>
      <c r="I28" s="50">
        <f>B28*'VALOR POR PL'!$G$50</f>
        <v/>
      </c>
      <c r="J28" s="55">
        <f>I28*IF(A28&lt;='VALOR POR PL'!$P$5,IFERROR(INDEX('"INCC-FGV"'!$B$2:$B$400,MATCH(A28,'"INCC-FGV"'!$A$2:$A$400,0)),'VALOR POR PL'!$P$7),'VALOR POR PL'!$P$7)</f>
        <v/>
      </c>
      <c r="K28" s="71">
        <f>'MODELO PARA BI'!AF63</f>
        <v/>
      </c>
      <c r="L28" s="71">
        <f>'MODELO PARA BI'!AF64</f>
        <v/>
      </c>
      <c r="M28" s="55">
        <f>M27+J28</f>
        <v/>
      </c>
    </row>
    <row r="29">
      <c r="A29" s="112">
        <f>'MODELO PARA BI'!AG1</f>
        <v/>
      </c>
      <c r="B29" s="113" t="n"/>
      <c r="C29" s="110">
        <f>C28+B29</f>
        <v/>
      </c>
      <c r="D29" s="63">
        <f>IF(A29&lt;='VALOR POR PL'!$P$5,'MODELO PARA BI'!AG61,0)</f>
        <v/>
      </c>
      <c r="E29" s="63">
        <f>IF(A29&gt;'VALOR POR PL'!$P$5,'MODELO PARA BI'!AG61,0)</f>
        <v/>
      </c>
      <c r="F29" s="110">
        <f>IF('MODELO PARA BI'!$E$61=0,0,(D29+E29)/'MODELO PARA BI'!$E$61)</f>
        <v/>
      </c>
      <c r="G29" s="110">
        <f>G28+F29</f>
        <v/>
      </c>
      <c r="I29" s="50">
        <f>B29*'VALOR POR PL'!$G$50</f>
        <v/>
      </c>
      <c r="J29" s="55">
        <f>I29*IF(A29&lt;='VALOR POR PL'!$P$5,IFERROR(INDEX('"INCC-FGV"'!$B$2:$B$400,MATCH(A29,'"INCC-FGV"'!$A$2:$A$400,0)),'VALOR POR PL'!$P$7),'VALOR POR PL'!$P$7)</f>
        <v/>
      </c>
      <c r="K29" s="71">
        <f>'MODELO PARA BI'!AG63</f>
        <v/>
      </c>
      <c r="L29" s="71">
        <f>'MODELO PARA BI'!AG64</f>
        <v/>
      </c>
      <c r="M29" s="55">
        <f>M28+J29</f>
        <v/>
      </c>
    </row>
    <row r="30">
      <c r="A30" s="112">
        <f>'MODELO PARA BI'!AH1</f>
        <v/>
      </c>
      <c r="B30" s="113" t="n"/>
      <c r="C30" s="110">
        <f>C29+B30</f>
        <v/>
      </c>
      <c r="D30" s="63">
        <f>IF(A30&lt;='VALOR POR PL'!$P$5,'MODELO PARA BI'!AH61,0)</f>
        <v/>
      </c>
      <c r="E30" s="63">
        <f>IF(A30&gt;'VALOR POR PL'!$P$5,'MODELO PARA BI'!AH61,0)</f>
        <v/>
      </c>
      <c r="F30" s="110">
        <f>IF('MODELO PARA BI'!$E$61=0,0,(D30+E30)/'MODELO PARA BI'!$E$61)</f>
        <v/>
      </c>
      <c r="G30" s="110">
        <f>G29+F30</f>
        <v/>
      </c>
      <c r="I30" s="50">
        <f>B30*'VALOR POR PL'!$G$50</f>
        <v/>
      </c>
      <c r="J30" s="55">
        <f>I30*IF(A30&lt;='VALOR POR PL'!$P$5,IFERROR(INDEX('"INCC-FGV"'!$B$2:$B$400,MATCH(A30,'"INCC-FGV"'!$A$2:$A$400,0)),'VALOR POR PL'!$P$7),'VALOR POR PL'!$P$7)</f>
        <v/>
      </c>
      <c r="K30" s="71">
        <f>'MODELO PARA BI'!AH63</f>
        <v/>
      </c>
      <c r="L30" s="71">
        <f>'MODELO PARA BI'!AH64</f>
        <v/>
      </c>
      <c r="M30" s="55">
        <f>M29+J30</f>
        <v/>
      </c>
    </row>
    <row r="31">
      <c r="A31" s="112">
        <f>'MODELO PARA BI'!AI1</f>
        <v/>
      </c>
      <c r="B31" s="113" t="n"/>
      <c r="C31" s="110">
        <f>C30+B31</f>
        <v/>
      </c>
      <c r="D31" s="63">
        <f>IF(A31&lt;='VALOR POR PL'!$P$5,'MODELO PARA BI'!AI61,0)</f>
        <v/>
      </c>
      <c r="E31" s="63">
        <f>IF(A31&gt;'VALOR POR PL'!$P$5,'MODELO PARA BI'!AI61,0)</f>
        <v/>
      </c>
      <c r="F31" s="110">
        <f>IF('MODELO PARA BI'!$E$61=0,0,(D31+E31)/'MODELO PARA BI'!$E$61)</f>
        <v/>
      </c>
      <c r="G31" s="110">
        <f>G30+F31</f>
        <v/>
      </c>
      <c r="I31" s="50">
        <f>B31*'VALOR POR PL'!$G$50</f>
        <v/>
      </c>
      <c r="J31" s="55">
        <f>I31*IF(A31&lt;='VALOR POR PL'!$P$5,IFERROR(INDEX('"INCC-FGV"'!$B$2:$B$400,MATCH(A31,'"INCC-FGV"'!$A$2:$A$400,0)),'VALOR POR PL'!$P$7),'VALOR POR PL'!$P$7)</f>
        <v/>
      </c>
      <c r="K31" s="71">
        <f>'MODELO PARA BI'!AI63</f>
        <v/>
      </c>
      <c r="L31" s="71">
        <f>'MODELO PARA BI'!AI64</f>
        <v/>
      </c>
      <c r="M31" s="55">
        <f>M30+J31</f>
        <v/>
      </c>
    </row>
    <row r="32">
      <c r="A32" s="112">
        <f>'MODELO PARA BI'!AJ1</f>
        <v/>
      </c>
      <c r="B32" s="113" t="n"/>
      <c r="C32" s="110">
        <f>C31+B32</f>
        <v/>
      </c>
      <c r="D32" s="63">
        <f>IF(A32&lt;='VALOR POR PL'!$P$5,'MODELO PARA BI'!AJ61,0)</f>
        <v/>
      </c>
      <c r="E32" s="63">
        <f>IF(A32&gt;'VALOR POR PL'!$P$5,'MODELO PARA BI'!AJ61,0)</f>
        <v/>
      </c>
      <c r="F32" s="110">
        <f>IF('MODELO PARA BI'!$E$61=0,0,(D32+E32)/'MODELO PARA BI'!$E$61)</f>
        <v/>
      </c>
      <c r="G32" s="110">
        <f>G31+F32</f>
        <v/>
      </c>
      <c r="I32" s="50">
        <f>B32*'VALOR POR PL'!$G$50</f>
        <v/>
      </c>
      <c r="J32" s="55">
        <f>I32*IF(A32&lt;='VALOR POR PL'!$P$5,IFERROR(INDEX('"INCC-FGV"'!$B$2:$B$400,MATCH(A32,'"INCC-FGV"'!$A$2:$A$400,0)),'VALOR POR PL'!$P$7),'VALOR POR PL'!$P$7)</f>
        <v/>
      </c>
      <c r="K32" s="71">
        <f>'MODELO PARA BI'!AJ63</f>
        <v/>
      </c>
      <c r="L32" s="71">
        <f>'MODELO PARA BI'!AJ64</f>
        <v/>
      </c>
      <c r="M32" s="55">
        <f>M31+J32</f>
        <v/>
      </c>
    </row>
    <row r="33">
      <c r="A33" s="112">
        <f>'MODELO PARA BI'!AK1</f>
        <v/>
      </c>
      <c r="B33" s="113" t="n"/>
      <c r="C33" s="110">
        <f>C32+B33</f>
        <v/>
      </c>
      <c r="D33" s="63">
        <f>IF(A33&lt;='VALOR POR PL'!$P$5,'MODELO PARA BI'!AK61,0)</f>
        <v/>
      </c>
      <c r="E33" s="63">
        <f>IF(A33&gt;'VALOR POR PL'!$P$5,'MODELO PARA BI'!AK61,0)</f>
        <v/>
      </c>
      <c r="F33" s="110">
        <f>IF('MODELO PARA BI'!$E$61=0,0,(D33+E33)/'MODELO PARA BI'!$E$61)</f>
        <v/>
      </c>
      <c r="G33" s="110">
        <f>G32+F33</f>
        <v/>
      </c>
      <c r="I33" s="50">
        <f>B33*'VALOR POR PL'!$G$50</f>
        <v/>
      </c>
      <c r="J33" s="55">
        <f>I33*IF(A33&lt;='VALOR POR PL'!$P$5,IFERROR(INDEX('"INCC-FGV"'!$B$2:$B$400,MATCH(A33,'"INCC-FGV"'!$A$2:$A$400,0)),'VALOR POR PL'!$P$7),'VALOR POR PL'!$P$7)</f>
        <v/>
      </c>
      <c r="K33" s="71">
        <f>'MODELO PARA BI'!AK63</f>
        <v/>
      </c>
      <c r="L33" s="71">
        <f>'MODELO PARA BI'!AK64</f>
        <v/>
      </c>
      <c r="M33" s="55">
        <f>M32+J33</f>
        <v/>
      </c>
    </row>
    <row r="34">
      <c r="A34" s="112">
        <f>'MODELO PARA BI'!AL1</f>
        <v/>
      </c>
      <c r="B34" s="113" t="n"/>
      <c r="C34" s="110">
        <f>C33+B34</f>
        <v/>
      </c>
      <c r="D34" s="63">
        <f>IF(A34&lt;='VALOR POR PL'!$P$5,'MODELO PARA BI'!AL61,0)</f>
        <v/>
      </c>
      <c r="E34" s="63">
        <f>IF(A34&gt;'VALOR POR PL'!$P$5,'MODELO PARA BI'!AL61,0)</f>
        <v/>
      </c>
      <c r="F34" s="110">
        <f>IF('MODELO PARA BI'!$E$61=0,0,(D34+E34)/'MODELO PARA BI'!$E$61)</f>
        <v/>
      </c>
      <c r="G34" s="110">
        <f>G33+F34</f>
        <v/>
      </c>
      <c r="I34" s="50">
        <f>B34*'VALOR POR PL'!$G$50</f>
        <v/>
      </c>
      <c r="J34" s="55">
        <f>I34*IF(A34&lt;='VALOR POR PL'!$P$5,IFERROR(INDEX('"INCC-FGV"'!$B$2:$B$400,MATCH(A34,'"INCC-FGV"'!$A$2:$A$400,0)),'VALOR POR PL'!$P$7),'VALOR POR PL'!$P$7)</f>
        <v/>
      </c>
      <c r="K34" s="71">
        <f>'MODELO PARA BI'!AL63</f>
        <v/>
      </c>
      <c r="L34" s="71">
        <f>'MODELO PARA BI'!AL64</f>
        <v/>
      </c>
      <c r="M34" s="55">
        <f>M33+J34</f>
        <v/>
      </c>
    </row>
    <row r="35">
      <c r="A35" s="112">
        <f>'MODELO PARA BI'!AM1</f>
        <v/>
      </c>
      <c r="B35" s="113" t="n"/>
      <c r="C35" s="110">
        <f>C34+B35</f>
        <v/>
      </c>
      <c r="D35" s="63">
        <f>IF(A35&lt;='VALOR POR PL'!$P$5,'MODELO PARA BI'!AM61,0)</f>
        <v/>
      </c>
      <c r="E35" s="63">
        <f>IF(A35&gt;'VALOR POR PL'!$P$5,'MODELO PARA BI'!AM61,0)</f>
        <v/>
      </c>
      <c r="F35" s="110">
        <f>IF('MODELO PARA BI'!$E$61=0,0,(D35+E35)/'MODELO PARA BI'!$E$61)</f>
        <v/>
      </c>
      <c r="G35" s="110">
        <f>G34+F35</f>
        <v/>
      </c>
      <c r="I35" s="50">
        <f>B35*'VALOR POR PL'!$G$50</f>
        <v/>
      </c>
      <c r="J35" s="55">
        <f>I35*IF(A35&lt;='VALOR POR PL'!$P$5,IFERROR(INDEX('"INCC-FGV"'!$B$2:$B$400,MATCH(A35,'"INCC-FGV"'!$A$2:$A$400,0)),'VALOR POR PL'!$P$7),'VALOR POR PL'!$P$7)</f>
        <v/>
      </c>
      <c r="K35" s="71">
        <f>'MODELO PARA BI'!AM63</f>
        <v/>
      </c>
      <c r="L35" s="71">
        <f>'MODELO PARA BI'!AM64</f>
        <v/>
      </c>
      <c r="M35" s="55">
        <f>M34+J35</f>
        <v/>
      </c>
    </row>
    <row r="36">
      <c r="A36" s="112">
        <f>'MODELO PARA BI'!AN1</f>
        <v/>
      </c>
      <c r="B36" s="113" t="n"/>
      <c r="C36" s="110">
        <f>C35+B36</f>
        <v/>
      </c>
      <c r="D36" s="63">
        <f>IF(A36&lt;='VALOR POR PL'!$P$5,'MODELO PARA BI'!AN61,0)</f>
        <v/>
      </c>
      <c r="E36" s="63">
        <f>IF(A36&gt;'VALOR POR PL'!$P$5,'MODELO PARA BI'!AN61,0)</f>
        <v/>
      </c>
      <c r="F36" s="110">
        <f>IF('MODELO PARA BI'!$E$61=0,0,(D36+E36)/'MODELO PARA BI'!$E$61)</f>
        <v/>
      </c>
      <c r="G36" s="110">
        <f>G35+F36</f>
        <v/>
      </c>
      <c r="I36" s="50">
        <f>B36*'VALOR POR PL'!$G$50</f>
        <v/>
      </c>
      <c r="J36" s="55">
        <f>I36*IF(A36&lt;='VALOR POR PL'!$P$5,IFERROR(INDEX('"INCC-FGV"'!$B$2:$B$400,MATCH(A36,'"INCC-FGV"'!$A$2:$A$400,0)),'VALOR POR PL'!$P$7),'VALOR POR PL'!$P$7)</f>
        <v/>
      </c>
      <c r="K36" s="71">
        <f>'MODELO PARA BI'!AN63</f>
        <v/>
      </c>
      <c r="L36" s="71">
        <f>'MODELO PARA BI'!AN64</f>
        <v/>
      </c>
      <c r="M36" s="55">
        <f>M35+J36</f>
        <v/>
      </c>
    </row>
    <row r="37">
      <c r="A37" s="112">
        <f>'MODELO PARA BI'!AO1</f>
        <v/>
      </c>
      <c r="B37" s="113" t="n"/>
      <c r="C37" s="110">
        <f>C36+B37</f>
        <v/>
      </c>
      <c r="D37" s="63">
        <f>IF(A37&lt;='VALOR POR PL'!$P$5,'MODELO PARA BI'!AO61,0)</f>
        <v/>
      </c>
      <c r="E37" s="63">
        <f>IF(A37&gt;'VALOR POR PL'!$P$5,'MODELO PARA BI'!AO61,0)</f>
        <v/>
      </c>
      <c r="F37" s="110">
        <f>IF('MODELO PARA BI'!$E$61=0,0,(D37+E37)/'MODELO PARA BI'!$E$61)</f>
        <v/>
      </c>
      <c r="G37" s="110">
        <f>G36+F37</f>
        <v/>
      </c>
      <c r="I37" s="50">
        <f>B37*'VALOR POR PL'!$G$50</f>
        <v/>
      </c>
      <c r="J37" s="55">
        <f>I37*IF(A37&lt;='VALOR POR PL'!$P$5,IFERROR(INDEX('"INCC-FGV"'!$B$2:$B$400,MATCH(A37,'"INCC-FGV"'!$A$2:$A$400,0)),'VALOR POR PL'!$P$7),'VALOR POR PL'!$P$7)</f>
        <v/>
      </c>
      <c r="K37" s="71">
        <f>'MODELO PARA BI'!AO63</f>
        <v/>
      </c>
      <c r="L37" s="71">
        <f>'MODELO PARA BI'!AO64</f>
        <v/>
      </c>
      <c r="M37" s="55">
        <f>M36+J37</f>
        <v/>
      </c>
    </row>
    <row r="38">
      <c r="A38" s="112">
        <f>'MODELO PARA BI'!AP1</f>
        <v/>
      </c>
      <c r="B38" s="113" t="n"/>
      <c r="C38" s="110">
        <f>C37+B38</f>
        <v/>
      </c>
      <c r="D38" s="63">
        <f>IF(A38&lt;='VALOR POR PL'!$P$5,'MODELO PARA BI'!AP61,0)</f>
        <v/>
      </c>
      <c r="E38" s="63">
        <f>IF(A38&gt;'VALOR POR PL'!$P$5,'MODELO PARA BI'!AP61,0)</f>
        <v/>
      </c>
      <c r="F38" s="110">
        <f>IF('MODELO PARA BI'!$E$61=0,0,(D38+E38)/'MODELO PARA BI'!$E$61)</f>
        <v/>
      </c>
      <c r="G38" s="110">
        <f>G37+F38</f>
        <v/>
      </c>
      <c r="I38" s="50">
        <f>B38*'VALOR POR PL'!$G$50</f>
        <v/>
      </c>
      <c r="J38" s="55">
        <f>I38*IF(A38&lt;='VALOR POR PL'!$P$5,IFERROR(INDEX('"INCC-FGV"'!$B$2:$B$400,MATCH(A38,'"INCC-FGV"'!$A$2:$A$400,0)),'VALOR POR PL'!$P$7),'VALOR POR PL'!$P$7)</f>
        <v/>
      </c>
      <c r="K38" s="71">
        <f>'MODELO PARA BI'!AP63</f>
        <v/>
      </c>
      <c r="L38" s="71">
        <f>'MODELO PARA BI'!AP64</f>
        <v/>
      </c>
      <c r="M38" s="55">
        <f>M37+J38</f>
        <v/>
      </c>
    </row>
    <row r="39">
      <c r="A39" s="112">
        <f>'MODELO PARA BI'!AQ1</f>
        <v/>
      </c>
      <c r="B39" s="113" t="n"/>
      <c r="C39" s="110">
        <f>C38+B39</f>
        <v/>
      </c>
      <c r="D39" s="63">
        <f>IF(A39&lt;='VALOR POR PL'!$P$5,'MODELO PARA BI'!AQ61,0)</f>
        <v/>
      </c>
      <c r="E39" s="63">
        <f>IF(A39&gt;'VALOR POR PL'!$P$5,'MODELO PARA BI'!AQ61,0)</f>
        <v/>
      </c>
      <c r="F39" s="110">
        <f>IF('MODELO PARA BI'!$E$61=0,0,(D39+E39)/'MODELO PARA BI'!$E$61)</f>
        <v/>
      </c>
      <c r="G39" s="110">
        <f>G38+F39</f>
        <v/>
      </c>
      <c r="I39" s="50">
        <f>B39*'VALOR POR PL'!$G$50</f>
        <v/>
      </c>
      <c r="J39" s="55">
        <f>I39*IF(A39&lt;='VALOR POR PL'!$P$5,IFERROR(INDEX('"INCC-FGV"'!$B$2:$B$400,MATCH(A39,'"INCC-FGV"'!$A$2:$A$400,0)),'VALOR POR PL'!$P$7),'VALOR POR PL'!$P$7)</f>
        <v/>
      </c>
      <c r="K39" s="71">
        <f>'MODELO PARA BI'!AQ63</f>
        <v/>
      </c>
      <c r="L39" s="71">
        <f>'MODELO PARA BI'!AQ64</f>
        <v/>
      </c>
      <c r="M39" s="55">
        <f>M38+J39</f>
        <v/>
      </c>
    </row>
    <row r="40">
      <c r="A40" s="112">
        <f>'MODELO PARA BI'!AR1</f>
        <v/>
      </c>
      <c r="B40" s="113" t="n"/>
      <c r="C40" s="110">
        <f>C39+B40</f>
        <v/>
      </c>
      <c r="D40" s="63">
        <f>IF(A40&lt;='VALOR POR PL'!$P$5,'MODELO PARA BI'!AR61,0)</f>
        <v/>
      </c>
      <c r="E40" s="63">
        <f>IF(A40&gt;'VALOR POR PL'!$P$5,'MODELO PARA BI'!AR61,0)</f>
        <v/>
      </c>
      <c r="F40" s="110">
        <f>IF('MODELO PARA BI'!$E$61=0,0,(D40+E40)/'MODELO PARA BI'!$E$61)</f>
        <v/>
      </c>
      <c r="G40" s="110">
        <f>G39+F40</f>
        <v/>
      </c>
      <c r="I40" s="50">
        <f>B40*'VALOR POR PL'!$G$50</f>
        <v/>
      </c>
      <c r="J40" s="55">
        <f>I40*IF(A40&lt;='VALOR POR PL'!$P$5,IFERROR(INDEX('"INCC-FGV"'!$B$2:$B$400,MATCH(A40,'"INCC-FGV"'!$A$2:$A$400,0)),'VALOR POR PL'!$P$7),'VALOR POR PL'!$P$7)</f>
        <v/>
      </c>
      <c r="K40" s="71">
        <f>'MODELO PARA BI'!AR63</f>
        <v/>
      </c>
      <c r="L40" s="71">
        <f>'MODELO PARA BI'!AR64</f>
        <v/>
      </c>
      <c r="M40" s="55">
        <f>M39+J40</f>
        <v/>
      </c>
    </row>
    <row r="41">
      <c r="A41" s="112">
        <f>'MODELO PARA BI'!AS1</f>
        <v/>
      </c>
      <c r="B41" s="113" t="n"/>
      <c r="C41" s="110">
        <f>C40+B41</f>
        <v/>
      </c>
      <c r="D41" s="63">
        <f>IF(A41&lt;='VALOR POR PL'!$P$5,'MODELO PARA BI'!AS61,0)</f>
        <v/>
      </c>
      <c r="E41" s="63">
        <f>IF(A41&gt;'VALOR POR PL'!$P$5,'MODELO PARA BI'!AS61,0)</f>
        <v/>
      </c>
      <c r="F41" s="110">
        <f>IF('MODELO PARA BI'!$E$61=0,0,(D41+E41)/'MODELO PARA BI'!$E$61)</f>
        <v/>
      </c>
      <c r="G41" s="110">
        <f>G40+F41</f>
        <v/>
      </c>
      <c r="I41" s="50">
        <f>B41*'VALOR POR PL'!$G$50</f>
        <v/>
      </c>
      <c r="J41" s="55">
        <f>I41*IF(A41&lt;='VALOR POR PL'!$P$5,IFERROR(INDEX('"INCC-FGV"'!$B$2:$B$400,MATCH(A41,'"INCC-FGV"'!$A$2:$A$400,0)),'VALOR POR PL'!$P$7),'VALOR POR PL'!$P$7)</f>
        <v/>
      </c>
      <c r="K41" s="71">
        <f>'MODELO PARA BI'!AS63</f>
        <v/>
      </c>
      <c r="L41" s="71">
        <f>'MODELO PARA BI'!AS64</f>
        <v/>
      </c>
      <c r="M41" s="55">
        <f>M40+J41</f>
        <v/>
      </c>
    </row>
    <row r="42">
      <c r="A42" s="112">
        <f>'MODELO PARA BI'!AT1</f>
        <v/>
      </c>
      <c r="B42" s="113" t="n"/>
      <c r="C42" s="110">
        <f>C41+B42</f>
        <v/>
      </c>
      <c r="D42" s="63">
        <f>IF(A42&lt;='VALOR POR PL'!$P$5,'MODELO PARA BI'!AT61,0)</f>
        <v/>
      </c>
      <c r="E42" s="63">
        <f>IF(A42&gt;'VALOR POR PL'!$P$5,'MODELO PARA BI'!AT61,0)</f>
        <v/>
      </c>
      <c r="F42" s="110">
        <f>IF('MODELO PARA BI'!$E$61=0,0,(D42+E42)/'MODELO PARA BI'!$E$61)</f>
        <v/>
      </c>
      <c r="G42" s="110">
        <f>G41+F42</f>
        <v/>
      </c>
      <c r="I42" s="50">
        <f>B42*'VALOR POR PL'!$G$50</f>
        <v/>
      </c>
      <c r="J42" s="55">
        <f>I42*IF(A42&lt;='VALOR POR PL'!$P$5,IFERROR(INDEX('"INCC-FGV"'!$B$2:$B$400,MATCH(A42,'"INCC-FGV"'!$A$2:$A$400,0)),'VALOR POR PL'!$P$7),'VALOR POR PL'!$P$7)</f>
        <v/>
      </c>
      <c r="K42" s="71">
        <f>'MODELO PARA BI'!AT63</f>
        <v/>
      </c>
      <c r="L42" s="71">
        <f>'MODELO PARA BI'!AT64</f>
        <v/>
      </c>
      <c r="M42" s="55">
        <f>M41+J42</f>
        <v/>
      </c>
    </row>
    <row r="43">
      <c r="A43" s="112">
        <f>'MODELO PARA BI'!AU1</f>
        <v/>
      </c>
      <c r="B43" s="113" t="n"/>
      <c r="C43" s="110">
        <f>C42+B43</f>
        <v/>
      </c>
      <c r="D43" s="63">
        <f>IF(A43&lt;='VALOR POR PL'!$P$5,'MODELO PARA BI'!AU61,0)</f>
        <v/>
      </c>
      <c r="E43" s="63">
        <f>IF(A43&gt;'VALOR POR PL'!$P$5,'MODELO PARA BI'!AU61,0)</f>
        <v/>
      </c>
      <c r="F43" s="110">
        <f>IF('MODELO PARA BI'!$E$61=0,0,(D43+E43)/'MODELO PARA BI'!$E$61)</f>
        <v/>
      </c>
      <c r="G43" s="110">
        <f>G42+F43</f>
        <v/>
      </c>
      <c r="I43" s="50">
        <f>B43*'VALOR POR PL'!$G$50</f>
        <v/>
      </c>
      <c r="J43" s="55">
        <f>I43*IF(A43&lt;='VALOR POR PL'!$P$5,IFERROR(INDEX('"INCC-FGV"'!$B$2:$B$400,MATCH(A43,'"INCC-FGV"'!$A$2:$A$400,0)),'VALOR POR PL'!$P$7),'VALOR POR PL'!$P$7)</f>
        <v/>
      </c>
      <c r="K43" s="71">
        <f>'MODELO PARA BI'!AU63</f>
        <v/>
      </c>
      <c r="L43" s="71">
        <f>'MODELO PARA BI'!AU64</f>
        <v/>
      </c>
      <c r="M43" s="55">
        <f>M42+J43</f>
        <v/>
      </c>
    </row>
    <row r="44">
      <c r="A44" s="112">
        <f>'MODELO PARA BI'!AV1</f>
        <v/>
      </c>
      <c r="B44" s="113" t="n"/>
      <c r="C44" s="110">
        <f>C43+B44</f>
        <v/>
      </c>
      <c r="D44" s="63">
        <f>IF(A44&lt;='VALOR POR PL'!$P$5,'MODELO PARA BI'!AV61,0)</f>
        <v/>
      </c>
      <c r="E44" s="63">
        <f>IF(A44&gt;'VALOR POR PL'!$P$5,'MODELO PARA BI'!AV61,0)</f>
        <v/>
      </c>
      <c r="F44" s="110">
        <f>IF('MODELO PARA BI'!$E$61=0,0,(D44+E44)/'MODELO PARA BI'!$E$61)</f>
        <v/>
      </c>
      <c r="G44" s="110">
        <f>G43+F44</f>
        <v/>
      </c>
      <c r="I44" s="50">
        <f>B44*'VALOR POR PL'!$G$50</f>
        <v/>
      </c>
      <c r="J44" s="55">
        <f>I44*IF(A44&lt;='VALOR POR PL'!$P$5,IFERROR(INDEX('"INCC-FGV"'!$B$2:$B$400,MATCH(A44,'"INCC-FGV"'!$A$2:$A$400,0)),'VALOR POR PL'!$P$7),'VALOR POR PL'!$P$7)</f>
        <v/>
      </c>
      <c r="K44" s="71">
        <f>'MODELO PARA BI'!AV63</f>
        <v/>
      </c>
      <c r="L44" s="71">
        <f>'MODELO PARA BI'!AV64</f>
        <v/>
      </c>
      <c r="M44" s="55">
        <f>M43+J44</f>
        <v/>
      </c>
    </row>
    <row r="45">
      <c r="A45" s="112">
        <f>'MODELO PARA BI'!AW1</f>
        <v/>
      </c>
      <c r="B45" s="113" t="n"/>
      <c r="C45" s="110">
        <f>C44+B45</f>
        <v/>
      </c>
      <c r="D45" s="63">
        <f>IF(A45&lt;='VALOR POR PL'!$P$5,'MODELO PARA BI'!AW61,0)</f>
        <v/>
      </c>
      <c r="E45" s="63">
        <f>IF(A45&gt;'VALOR POR PL'!$P$5,'MODELO PARA BI'!AW61,0)</f>
        <v/>
      </c>
      <c r="F45" s="110">
        <f>IF('MODELO PARA BI'!$E$61=0,0,(D45+E45)/'MODELO PARA BI'!$E$61)</f>
        <v/>
      </c>
      <c r="G45" s="110">
        <f>G44+F45</f>
        <v/>
      </c>
      <c r="I45" s="50">
        <f>B45*'VALOR POR PL'!$G$50</f>
        <v/>
      </c>
      <c r="J45" s="55">
        <f>I45*IF(A45&lt;='VALOR POR PL'!$P$5,IFERROR(INDEX('"INCC-FGV"'!$B$2:$B$400,MATCH(A45,'"INCC-FGV"'!$A$2:$A$400,0)),'VALOR POR PL'!$P$7),'VALOR POR PL'!$P$7)</f>
        <v/>
      </c>
      <c r="K45" s="71">
        <f>'MODELO PARA BI'!AW63</f>
        <v/>
      </c>
      <c r="L45" s="71">
        <f>'MODELO PARA BI'!AW64</f>
        <v/>
      </c>
      <c r="M45" s="55">
        <f>M44+J45</f>
        <v/>
      </c>
    </row>
    <row r="46">
      <c r="A46" s="112">
        <f>'MODELO PARA BI'!AX1</f>
        <v/>
      </c>
      <c r="B46" s="113" t="n"/>
      <c r="C46" s="110">
        <f>C45+B46</f>
        <v/>
      </c>
      <c r="D46" s="63">
        <f>IF(A46&lt;='VALOR POR PL'!$P$5,'MODELO PARA BI'!AX61,0)</f>
        <v/>
      </c>
      <c r="E46" s="63">
        <f>IF(A46&gt;'VALOR POR PL'!$P$5,'MODELO PARA BI'!AX61,0)</f>
        <v/>
      </c>
      <c r="F46" s="110">
        <f>IF('MODELO PARA BI'!$E$61=0,0,(D46+E46)/'MODELO PARA BI'!$E$61)</f>
        <v/>
      </c>
      <c r="G46" s="110">
        <f>G45+F46</f>
        <v/>
      </c>
      <c r="I46" s="50">
        <f>B46*'VALOR POR PL'!$G$50</f>
        <v/>
      </c>
      <c r="J46" s="55">
        <f>I46*IF(A46&lt;='VALOR POR PL'!$P$5,IFERROR(INDEX('"INCC-FGV"'!$B$2:$B$400,MATCH(A46,'"INCC-FGV"'!$A$2:$A$400,0)),'VALOR POR PL'!$P$7),'VALOR POR PL'!$P$7)</f>
        <v/>
      </c>
      <c r="K46" s="71">
        <f>'MODELO PARA BI'!AX63</f>
        <v/>
      </c>
      <c r="L46" s="71">
        <f>'MODELO PARA BI'!AX64</f>
        <v/>
      </c>
      <c r="M46" s="55">
        <f>M45+J46</f>
        <v/>
      </c>
    </row>
    <row r="47">
      <c r="A47" s="112">
        <f>'MODELO PARA BI'!AY1</f>
        <v/>
      </c>
      <c r="B47" s="113" t="n"/>
      <c r="C47" s="110">
        <f>C46+B47</f>
        <v/>
      </c>
      <c r="D47" s="63">
        <f>IF(A47&lt;='VALOR POR PL'!$P$5,'MODELO PARA BI'!AY61,0)</f>
        <v/>
      </c>
      <c r="E47" s="63">
        <f>IF(A47&gt;'VALOR POR PL'!$P$5,'MODELO PARA BI'!AY61,0)</f>
        <v/>
      </c>
      <c r="F47" s="110">
        <f>IF('MODELO PARA BI'!$E$61=0,0,(D47+E47)/'MODELO PARA BI'!$E$61)</f>
        <v/>
      </c>
      <c r="G47" s="110">
        <f>G46+F47</f>
        <v/>
      </c>
      <c r="I47" s="50">
        <f>B47*'VALOR POR PL'!$G$50</f>
        <v/>
      </c>
      <c r="J47" s="55">
        <f>I47*IF(A47&lt;='VALOR POR PL'!$P$5,IFERROR(INDEX('"INCC-FGV"'!$B$2:$B$400,MATCH(A47,'"INCC-FGV"'!$A$2:$A$400,0)),'VALOR POR PL'!$P$7),'VALOR POR PL'!$P$7)</f>
        <v/>
      </c>
      <c r="K47" s="71">
        <f>'MODELO PARA BI'!AY63</f>
        <v/>
      </c>
      <c r="L47" s="71">
        <f>'MODELO PARA BI'!AY64</f>
        <v/>
      </c>
      <c r="M47" s="55">
        <f>M46+J47</f>
        <v/>
      </c>
    </row>
    <row r="48">
      <c r="A48" s="112">
        <f>'MODELO PARA BI'!AZ1</f>
        <v/>
      </c>
      <c r="B48" s="113" t="n"/>
      <c r="C48" s="110">
        <f>C47+B48</f>
        <v/>
      </c>
      <c r="D48" s="63">
        <f>IF(A48&lt;='VALOR POR PL'!$P$5,'MODELO PARA BI'!AZ61,0)</f>
        <v/>
      </c>
      <c r="E48" s="63">
        <f>IF(A48&gt;'VALOR POR PL'!$P$5,'MODELO PARA BI'!AZ61,0)</f>
        <v/>
      </c>
      <c r="F48" s="110">
        <f>IF('MODELO PARA BI'!$E$61=0,0,(D48+E48)/'MODELO PARA BI'!$E$61)</f>
        <v/>
      </c>
      <c r="G48" s="110">
        <f>G47+F48</f>
        <v/>
      </c>
      <c r="I48" s="50">
        <f>B48*'VALOR POR PL'!$G$50</f>
        <v/>
      </c>
      <c r="J48" s="55">
        <f>I48*IF(A48&lt;='VALOR POR PL'!$P$5,IFERROR(INDEX('"INCC-FGV"'!$B$2:$B$400,MATCH(A48,'"INCC-FGV"'!$A$2:$A$400,0)),'VALOR POR PL'!$P$7),'VALOR POR PL'!$P$7)</f>
        <v/>
      </c>
      <c r="K48" s="71">
        <f>'MODELO PARA BI'!AZ63</f>
        <v/>
      </c>
      <c r="L48" s="71">
        <f>'MODELO PARA BI'!AZ64</f>
        <v/>
      </c>
      <c r="M48" s="55">
        <f>M47+J48</f>
        <v/>
      </c>
    </row>
    <row r="49">
      <c r="A49" s="112">
        <f>'MODELO PARA BI'!BA1</f>
        <v/>
      </c>
      <c r="B49" s="113" t="n"/>
      <c r="C49" s="110">
        <f>C48+B49</f>
        <v/>
      </c>
      <c r="D49" s="63">
        <f>IF(A49&lt;='VALOR POR PL'!$P$5,'MODELO PARA BI'!BA61,0)</f>
        <v/>
      </c>
      <c r="E49" s="63">
        <f>IF(A49&gt;'VALOR POR PL'!$P$5,'MODELO PARA BI'!BA61,0)</f>
        <v/>
      </c>
      <c r="F49" s="110">
        <f>IF('MODELO PARA BI'!$E$61=0,0,(D49+E49)/'MODELO PARA BI'!$E$61)</f>
        <v/>
      </c>
      <c r="G49" s="110">
        <f>G48+F49</f>
        <v/>
      </c>
      <c r="I49" s="50">
        <f>B49*'VALOR POR PL'!$G$50</f>
        <v/>
      </c>
      <c r="J49" s="55">
        <f>I49*IF(A49&lt;='VALOR POR PL'!$P$5,IFERROR(INDEX('"INCC-FGV"'!$B$2:$B$400,MATCH(A49,'"INCC-FGV"'!$A$2:$A$400,0)),'VALOR POR PL'!$P$7),'VALOR POR PL'!$P$7)</f>
        <v/>
      </c>
      <c r="K49" s="71">
        <f>'MODELO PARA BI'!BA63</f>
        <v/>
      </c>
      <c r="L49" s="71">
        <f>'MODELO PARA BI'!BA64</f>
        <v/>
      </c>
      <c r="M49" s="55">
        <f>M48+J49</f>
        <v/>
      </c>
    </row>
    <row r="50">
      <c r="A50" s="112">
        <f>'MODELO PARA BI'!BB1</f>
        <v/>
      </c>
      <c r="B50" s="113" t="n"/>
      <c r="C50" s="110">
        <f>C49+B50</f>
        <v/>
      </c>
      <c r="D50" s="63">
        <f>IF(A50&lt;='VALOR POR PL'!$P$5,'MODELO PARA BI'!BB61,0)</f>
        <v/>
      </c>
      <c r="E50" s="63">
        <f>IF(A50&gt;'VALOR POR PL'!$P$5,'MODELO PARA BI'!BB61,0)</f>
        <v/>
      </c>
      <c r="F50" s="110">
        <f>IF('MODELO PARA BI'!$E$61=0,0,(D50+E50)/'MODELO PARA BI'!$E$61)</f>
        <v/>
      </c>
      <c r="G50" s="110">
        <f>G49+F50</f>
        <v/>
      </c>
      <c r="I50" s="50">
        <f>B50*'VALOR POR PL'!$G$50</f>
        <v/>
      </c>
      <c r="J50" s="55">
        <f>I50*IF(A50&lt;='VALOR POR PL'!$P$5,IFERROR(INDEX('"INCC-FGV"'!$B$2:$B$400,MATCH(A50,'"INCC-FGV"'!$A$2:$A$400,0)),'VALOR POR PL'!$P$7),'VALOR POR PL'!$P$7)</f>
        <v/>
      </c>
      <c r="K50" s="71">
        <f>'MODELO PARA BI'!BB63</f>
        <v/>
      </c>
      <c r="L50" s="71">
        <f>'MODELO PARA BI'!BB64</f>
        <v/>
      </c>
      <c r="M50" s="55">
        <f>M49+J50</f>
        <v/>
      </c>
    </row>
    <row r="51">
      <c r="A51" s="112">
        <f>'MODELO PARA BI'!BC1</f>
        <v/>
      </c>
      <c r="B51" s="113" t="n"/>
      <c r="C51" s="110">
        <f>C50+B51</f>
        <v/>
      </c>
      <c r="D51" s="63">
        <f>IF(A51&lt;='VALOR POR PL'!$P$5,'MODELO PARA BI'!BC61,0)</f>
        <v/>
      </c>
      <c r="E51" s="63">
        <f>IF(A51&gt;'VALOR POR PL'!$P$5,'MODELO PARA BI'!BC61,0)</f>
        <v/>
      </c>
      <c r="F51" s="110">
        <f>IF('MODELO PARA BI'!$E$61=0,0,(D51+E51)/'MODELO PARA BI'!$E$61)</f>
        <v/>
      </c>
      <c r="G51" s="110">
        <f>G50+F51</f>
        <v/>
      </c>
      <c r="I51" s="50">
        <f>B51*'VALOR POR PL'!$G$50</f>
        <v/>
      </c>
      <c r="J51" s="55">
        <f>I51*IF(A51&lt;='VALOR POR PL'!$P$5,IFERROR(INDEX('"INCC-FGV"'!$B$2:$B$400,MATCH(A51,'"INCC-FGV"'!$A$2:$A$400,0)),'VALOR POR PL'!$P$7),'VALOR POR PL'!$P$7)</f>
        <v/>
      </c>
      <c r="K51" s="71">
        <f>'MODELO PARA BI'!BC63</f>
        <v/>
      </c>
      <c r="L51" s="71">
        <f>'MODELO PARA BI'!BC64</f>
        <v/>
      </c>
      <c r="M51" s="55">
        <f>M50+J51</f>
        <v/>
      </c>
    </row>
    <row r="52">
      <c r="A52" s="112">
        <f>'MODELO PARA BI'!BD1</f>
        <v/>
      </c>
      <c r="B52" s="113" t="n"/>
      <c r="C52" s="110">
        <f>C51+B52</f>
        <v/>
      </c>
      <c r="D52" s="63">
        <f>IF(A52&lt;='VALOR POR PL'!$P$5,'MODELO PARA BI'!BD61,0)</f>
        <v/>
      </c>
      <c r="E52" s="63">
        <f>IF(A52&gt;'VALOR POR PL'!$P$5,'MODELO PARA BI'!BD61,0)</f>
        <v/>
      </c>
      <c r="F52" s="110">
        <f>IF('MODELO PARA BI'!$E$61=0,0,(D52+E52)/'MODELO PARA BI'!$E$61)</f>
        <v/>
      </c>
      <c r="G52" s="110">
        <f>G51+F52</f>
        <v/>
      </c>
      <c r="I52" s="50">
        <f>B52*'VALOR POR PL'!$G$50</f>
        <v/>
      </c>
      <c r="J52" s="55">
        <f>I52*IF(A52&lt;='VALOR POR PL'!$P$5,IFERROR(INDEX('"INCC-FGV"'!$B$2:$B$400,MATCH(A52,'"INCC-FGV"'!$A$2:$A$400,0)),'VALOR POR PL'!$P$7),'VALOR POR PL'!$P$7)</f>
        <v/>
      </c>
      <c r="K52" s="71">
        <f>'MODELO PARA BI'!BD63</f>
        <v/>
      </c>
      <c r="L52" s="71">
        <f>'MODELO PARA BI'!BD64</f>
        <v/>
      </c>
      <c r="M52" s="55">
        <f>M51+J52</f>
        <v/>
      </c>
    </row>
    <row r="53">
      <c r="A53" s="112">
        <f>'MODELO PARA BI'!BE1</f>
        <v/>
      </c>
      <c r="B53" s="113" t="n"/>
      <c r="C53" s="110">
        <f>C52+B53</f>
        <v/>
      </c>
      <c r="D53" s="63">
        <f>IF(A53&lt;='VALOR POR PL'!$P$5,'MODELO PARA BI'!BE61,0)</f>
        <v/>
      </c>
      <c r="E53" s="63">
        <f>IF(A53&gt;'VALOR POR PL'!$P$5,'MODELO PARA BI'!BE61,0)</f>
        <v/>
      </c>
      <c r="F53" s="110">
        <f>IF('MODELO PARA BI'!$E$61=0,0,(D53+E53)/'MODELO PARA BI'!$E$61)</f>
        <v/>
      </c>
      <c r="G53" s="110">
        <f>G52+F53</f>
        <v/>
      </c>
      <c r="I53" s="50">
        <f>B53*'VALOR POR PL'!$G$50</f>
        <v/>
      </c>
      <c r="J53" s="55">
        <f>I53*IF(A53&lt;='VALOR POR PL'!$P$5,IFERROR(INDEX('"INCC-FGV"'!$B$2:$B$400,MATCH(A53,'"INCC-FGV"'!$A$2:$A$400,0)),'VALOR POR PL'!$P$7),'VALOR POR PL'!$P$7)</f>
        <v/>
      </c>
      <c r="K53" s="71">
        <f>'MODELO PARA BI'!BE63</f>
        <v/>
      </c>
      <c r="L53" s="71">
        <f>'MODELO PARA BI'!BE64</f>
        <v/>
      </c>
      <c r="M53" s="55">
        <f>M52+J53</f>
        <v/>
      </c>
    </row>
    <row r="54">
      <c r="A54" s="112">
        <f>'MODELO PARA BI'!BF1</f>
        <v/>
      </c>
      <c r="B54" s="113" t="n"/>
      <c r="C54" s="110">
        <f>C53+B54</f>
        <v/>
      </c>
      <c r="D54" s="63">
        <f>IF(A54&lt;='VALOR POR PL'!$P$5,'MODELO PARA BI'!BF61,0)</f>
        <v/>
      </c>
      <c r="E54" s="63">
        <f>IF(A54&gt;'VALOR POR PL'!$P$5,'MODELO PARA BI'!BF61,0)</f>
        <v/>
      </c>
      <c r="F54" s="110">
        <f>IF('MODELO PARA BI'!$E$61=0,0,(D54+E54)/'MODELO PARA BI'!$E$61)</f>
        <v/>
      </c>
      <c r="G54" s="110">
        <f>G53+F54</f>
        <v/>
      </c>
      <c r="I54" s="50">
        <f>B54*'VALOR POR PL'!$G$50</f>
        <v/>
      </c>
      <c r="J54" s="55">
        <f>I54*IF(A54&lt;='VALOR POR PL'!$P$5,IFERROR(INDEX('"INCC-FGV"'!$B$2:$B$400,MATCH(A54,'"INCC-FGV"'!$A$2:$A$400,0)),'VALOR POR PL'!$P$7),'VALOR POR PL'!$P$7)</f>
        <v/>
      </c>
      <c r="K54" s="71">
        <f>'MODELO PARA BI'!BF63</f>
        <v/>
      </c>
      <c r="L54" s="71">
        <f>'MODELO PARA BI'!BF64</f>
        <v/>
      </c>
      <c r="M54" s="55">
        <f>M53+J54</f>
        <v/>
      </c>
    </row>
    <row r="55">
      <c r="A55" s="112">
        <f>'MODELO PARA BI'!BG1</f>
        <v/>
      </c>
      <c r="B55" s="113" t="n"/>
      <c r="C55" s="110">
        <f>C54+B55</f>
        <v/>
      </c>
      <c r="D55" s="63">
        <f>IF(A55&lt;='VALOR POR PL'!$P$5,'MODELO PARA BI'!BG61,0)</f>
        <v/>
      </c>
      <c r="E55" s="63">
        <f>IF(A55&gt;'VALOR POR PL'!$P$5,'MODELO PARA BI'!BG61,0)</f>
        <v/>
      </c>
      <c r="F55" s="110">
        <f>IF('MODELO PARA BI'!$E$61=0,0,(D55+E55)/'MODELO PARA BI'!$E$61)</f>
        <v/>
      </c>
      <c r="G55" s="110">
        <f>G54+F55</f>
        <v/>
      </c>
      <c r="I55" s="50">
        <f>B55*'VALOR POR PL'!$G$50</f>
        <v/>
      </c>
      <c r="J55" s="55">
        <f>I55*IF(A55&lt;='VALOR POR PL'!$P$5,IFERROR(INDEX('"INCC-FGV"'!$B$2:$B$400,MATCH(A55,'"INCC-FGV"'!$A$2:$A$400,0)),'VALOR POR PL'!$P$7),'VALOR POR PL'!$P$7)</f>
        <v/>
      </c>
      <c r="K55" s="71">
        <f>'MODELO PARA BI'!BG63</f>
        <v/>
      </c>
      <c r="L55" s="71">
        <f>'MODELO PARA BI'!BG64</f>
        <v/>
      </c>
      <c r="M55" s="55">
        <f>M54+J55</f>
        <v/>
      </c>
    </row>
    <row r="56">
      <c r="A56" s="112">
        <f>'MODELO PARA BI'!BH1</f>
        <v/>
      </c>
      <c r="B56" s="113" t="n"/>
      <c r="C56" s="110">
        <f>C55+B56</f>
        <v/>
      </c>
      <c r="D56" s="63">
        <f>IF(A56&lt;='VALOR POR PL'!$P$5,'MODELO PARA BI'!BH61,0)</f>
        <v/>
      </c>
      <c r="E56" s="63">
        <f>IF(A56&gt;'VALOR POR PL'!$P$5,'MODELO PARA BI'!BH61,0)</f>
        <v/>
      </c>
      <c r="F56" s="110">
        <f>IF('MODELO PARA BI'!$E$61=0,0,(D56+E56)/'MODELO PARA BI'!$E$61)</f>
        <v/>
      </c>
      <c r="G56" s="110">
        <f>G55+F56</f>
        <v/>
      </c>
      <c r="I56" s="50">
        <f>B56*'VALOR POR PL'!$G$50</f>
        <v/>
      </c>
      <c r="J56" s="55">
        <f>I56*IF(A56&lt;='VALOR POR PL'!$P$5,IFERROR(INDEX('"INCC-FGV"'!$B$2:$B$400,MATCH(A56,'"INCC-FGV"'!$A$2:$A$400,0)),'VALOR POR PL'!$P$7),'VALOR POR PL'!$P$7)</f>
        <v/>
      </c>
      <c r="K56" s="71">
        <f>'MODELO PARA BI'!BH63</f>
        <v/>
      </c>
      <c r="L56" s="71">
        <f>'MODELO PARA BI'!BH64</f>
        <v/>
      </c>
      <c r="M56" s="55">
        <f>M55+J56</f>
        <v/>
      </c>
    </row>
    <row r="57">
      <c r="A57" s="112">
        <f>'MODELO PARA BI'!BI1</f>
        <v/>
      </c>
      <c r="B57" s="113" t="n"/>
      <c r="C57" s="110">
        <f>C56+B57</f>
        <v/>
      </c>
      <c r="D57" s="63">
        <f>IF(A57&lt;='VALOR POR PL'!$P$5,'MODELO PARA BI'!BI61,0)</f>
        <v/>
      </c>
      <c r="E57" s="63">
        <f>IF(A57&gt;'VALOR POR PL'!$P$5,'MODELO PARA BI'!BI61,0)</f>
        <v/>
      </c>
      <c r="F57" s="110">
        <f>IF('MODELO PARA BI'!$E$61=0,0,(D57+E57)/'MODELO PARA BI'!$E$61)</f>
        <v/>
      </c>
      <c r="G57" s="110">
        <f>G56+F57</f>
        <v/>
      </c>
      <c r="I57" s="50">
        <f>B57*'VALOR POR PL'!$G$50</f>
        <v/>
      </c>
      <c r="J57" s="55">
        <f>I57*IF(A57&lt;='VALOR POR PL'!$P$5,IFERROR(INDEX('"INCC-FGV"'!$B$2:$B$400,MATCH(A57,'"INCC-FGV"'!$A$2:$A$400,0)),'VALOR POR PL'!$P$7),'VALOR POR PL'!$P$7)</f>
        <v/>
      </c>
      <c r="K57" s="71">
        <f>'MODELO PARA BI'!BI63</f>
        <v/>
      </c>
      <c r="L57" s="71">
        <f>'MODELO PARA BI'!BI64</f>
        <v/>
      </c>
      <c r="M57" s="55">
        <f>M56+J57</f>
        <v/>
      </c>
    </row>
    <row r="58">
      <c r="A58" s="112">
        <f>'MODELO PARA BI'!BJ1</f>
        <v/>
      </c>
      <c r="B58" s="113" t="n"/>
      <c r="C58" s="110">
        <f>C57+B58</f>
        <v/>
      </c>
      <c r="D58" s="63">
        <f>IF(A58&lt;='VALOR POR PL'!$P$5,'MODELO PARA BI'!BJ61,0)</f>
        <v/>
      </c>
      <c r="E58" s="63">
        <f>IF(A58&gt;'VALOR POR PL'!$P$5,'MODELO PARA BI'!BJ61,0)</f>
        <v/>
      </c>
      <c r="F58" s="110">
        <f>IF('MODELO PARA BI'!$E$61=0,0,(D58+E58)/'MODELO PARA BI'!$E$61)</f>
        <v/>
      </c>
      <c r="G58" s="110">
        <f>G57+F58</f>
        <v/>
      </c>
      <c r="I58" s="50">
        <f>B58*'VALOR POR PL'!$G$50</f>
        <v/>
      </c>
      <c r="J58" s="55">
        <f>I58*IF(A58&lt;='VALOR POR PL'!$P$5,IFERROR(INDEX('"INCC-FGV"'!$B$2:$B$400,MATCH(A58,'"INCC-FGV"'!$A$2:$A$400,0)),'VALOR POR PL'!$P$7),'VALOR POR PL'!$P$7)</f>
        <v/>
      </c>
      <c r="K58" s="71">
        <f>'MODELO PARA BI'!BJ63</f>
        <v/>
      </c>
      <c r="L58" s="71">
        <f>'MODELO PARA BI'!BJ64</f>
        <v/>
      </c>
      <c r="M58" s="55">
        <f>M57+J58</f>
        <v/>
      </c>
    </row>
    <row r="59">
      <c r="A59" s="112">
        <f>'MODELO PARA BI'!BK1</f>
        <v/>
      </c>
      <c r="B59" s="113" t="n"/>
      <c r="C59" s="110">
        <f>C58+B59</f>
        <v/>
      </c>
      <c r="D59" s="63">
        <f>IF(A59&lt;='VALOR POR PL'!$P$5,'MODELO PARA BI'!BK61,0)</f>
        <v/>
      </c>
      <c r="E59" s="63">
        <f>IF(A59&gt;'VALOR POR PL'!$P$5,'MODELO PARA BI'!BK61,0)</f>
        <v/>
      </c>
      <c r="F59" s="110">
        <f>IF('MODELO PARA BI'!$E$61=0,0,(D59+E59)/'MODELO PARA BI'!$E$61)</f>
        <v/>
      </c>
      <c r="G59" s="110">
        <f>G58+F59</f>
        <v/>
      </c>
      <c r="I59" s="50">
        <f>B59*'VALOR POR PL'!$G$50</f>
        <v/>
      </c>
      <c r="J59" s="55">
        <f>I59*IF(A59&lt;='VALOR POR PL'!$P$5,IFERROR(INDEX('"INCC-FGV"'!$B$2:$B$400,MATCH(A59,'"INCC-FGV"'!$A$2:$A$400,0)),'VALOR POR PL'!$P$7),'VALOR POR PL'!$P$7)</f>
        <v/>
      </c>
      <c r="K59" s="71">
        <f>'MODELO PARA BI'!BK63</f>
        <v/>
      </c>
      <c r="L59" s="71">
        <f>'MODELO PARA BI'!BK64</f>
        <v/>
      </c>
      <c r="M59" s="55">
        <f>M58+J59</f>
        <v/>
      </c>
    </row>
    <row r="60">
      <c r="A60" s="112">
        <f>'MODELO PARA BI'!BL1</f>
        <v/>
      </c>
      <c r="B60" s="113" t="n"/>
      <c r="C60" s="110">
        <f>C59+B60</f>
        <v/>
      </c>
      <c r="D60" s="63">
        <f>IF(A60&lt;='VALOR POR PL'!$P$5,'MODELO PARA BI'!BL61,0)</f>
        <v/>
      </c>
      <c r="E60" s="63">
        <f>IF(A60&gt;'VALOR POR PL'!$P$5,'MODELO PARA BI'!BL61,0)</f>
        <v/>
      </c>
      <c r="F60" s="110">
        <f>IF('MODELO PARA BI'!$E$61=0,0,(D60+E60)/'MODELO PARA BI'!$E$61)</f>
        <v/>
      </c>
      <c r="G60" s="110">
        <f>G59+F60</f>
        <v/>
      </c>
      <c r="I60" s="50">
        <f>B60*'VALOR POR PL'!$G$50</f>
        <v/>
      </c>
      <c r="J60" s="55">
        <f>I60*IF(A60&lt;='VALOR POR PL'!$P$5,IFERROR(INDEX('"INCC-FGV"'!$B$2:$B$400,MATCH(A60,'"INCC-FGV"'!$A$2:$A$400,0)),'VALOR POR PL'!$P$7),'VALOR POR PL'!$P$7)</f>
        <v/>
      </c>
      <c r="K60" s="71">
        <f>'MODELO PARA BI'!BL63</f>
        <v/>
      </c>
      <c r="L60" s="71">
        <f>'MODELO PARA BI'!BL64</f>
        <v/>
      </c>
      <c r="M60" s="55">
        <f>M59+J60</f>
        <v/>
      </c>
    </row>
    <row r="61">
      <c r="A61" s="112">
        <f>'MODELO PARA BI'!BM1</f>
        <v/>
      </c>
      <c r="B61" s="113" t="n"/>
      <c r="C61" s="110">
        <f>C60+B61</f>
        <v/>
      </c>
      <c r="D61" s="63">
        <f>IF(A61&lt;='VALOR POR PL'!$P$5,'MODELO PARA BI'!BM61,0)</f>
        <v/>
      </c>
      <c r="E61" s="63">
        <f>IF(A61&gt;'VALOR POR PL'!$P$5,'MODELO PARA BI'!BM61,0)</f>
        <v/>
      </c>
      <c r="F61" s="110">
        <f>IF('MODELO PARA BI'!$E$61=0,0,(D61+E61)/'MODELO PARA BI'!$E$61)</f>
        <v/>
      </c>
      <c r="G61" s="110">
        <f>G60+F61</f>
        <v/>
      </c>
      <c r="I61" s="50">
        <f>B61*'VALOR POR PL'!$G$50</f>
        <v/>
      </c>
      <c r="J61" s="55">
        <f>I61*IF(A61&lt;='VALOR POR PL'!$P$5,IFERROR(INDEX('"INCC-FGV"'!$B$2:$B$400,MATCH(A61,'"INCC-FGV"'!$A$2:$A$400,0)),'VALOR POR PL'!$P$7),'VALOR POR PL'!$P$7)</f>
        <v/>
      </c>
      <c r="K61" s="71">
        <f>'MODELO PARA BI'!BM63</f>
        <v/>
      </c>
      <c r="L61" s="71">
        <f>'MODELO PARA BI'!BM64</f>
        <v/>
      </c>
      <c r="M61" s="55">
        <f>M60+J61</f>
        <v/>
      </c>
    </row>
    <row r="62">
      <c r="A62" s="112">
        <f>'MODELO PARA BI'!BN1</f>
        <v/>
      </c>
      <c r="B62" s="113" t="n"/>
      <c r="C62" s="110">
        <f>C61+B62</f>
        <v/>
      </c>
      <c r="D62" s="63">
        <f>IF(A62&lt;='VALOR POR PL'!$P$5,'MODELO PARA BI'!BN61,0)</f>
        <v/>
      </c>
      <c r="E62" s="63">
        <f>IF(A62&gt;'VALOR POR PL'!$P$5,'MODELO PARA BI'!BN61,0)</f>
        <v/>
      </c>
      <c r="F62" s="110">
        <f>IF('MODELO PARA BI'!$E$61=0,0,(D62+E62)/'MODELO PARA BI'!$E$61)</f>
        <v/>
      </c>
      <c r="G62" s="110">
        <f>G61+F62</f>
        <v/>
      </c>
      <c r="I62" s="50">
        <f>B62*'VALOR POR PL'!$G$50</f>
        <v/>
      </c>
      <c r="J62" s="55">
        <f>I62*IF(A62&lt;='VALOR POR PL'!$P$5,IFERROR(INDEX('"INCC-FGV"'!$B$2:$B$400,MATCH(A62,'"INCC-FGV"'!$A$2:$A$400,0)),'VALOR POR PL'!$P$7),'VALOR POR PL'!$P$7)</f>
        <v/>
      </c>
      <c r="K62" s="71">
        <f>'MODELO PARA BI'!BN63</f>
        <v/>
      </c>
      <c r="L62" s="71">
        <f>'MODELO PARA BI'!BN64</f>
        <v/>
      </c>
      <c r="M62" s="55">
        <f>M61+J62</f>
        <v/>
      </c>
    </row>
    <row r="63">
      <c r="A63" s="112">
        <f>'MODELO PARA BI'!BO1</f>
        <v/>
      </c>
      <c r="B63" s="113" t="n"/>
      <c r="C63" s="110">
        <f>C62+B63</f>
        <v/>
      </c>
      <c r="D63" s="63">
        <f>IF(A63&lt;='VALOR POR PL'!$P$5,'MODELO PARA BI'!BO61,0)</f>
        <v/>
      </c>
      <c r="E63" s="63">
        <f>IF(A63&gt;'VALOR POR PL'!$P$5,'MODELO PARA BI'!BO61,0)</f>
        <v/>
      </c>
      <c r="F63" s="110">
        <f>IF('MODELO PARA BI'!$E$61=0,0,(D63+E63)/'MODELO PARA BI'!$E$61)</f>
        <v/>
      </c>
      <c r="G63" s="110">
        <f>G62+F63</f>
        <v/>
      </c>
      <c r="I63" s="50">
        <f>B63*'VALOR POR PL'!$G$50</f>
        <v/>
      </c>
      <c r="J63" s="55">
        <f>I63*IF(A63&lt;='VALOR POR PL'!$P$5,IFERROR(INDEX('"INCC-FGV"'!$B$2:$B$400,MATCH(A63,'"INCC-FGV"'!$A$2:$A$400,0)),'VALOR POR PL'!$P$7),'VALOR POR PL'!$P$7)</f>
        <v/>
      </c>
      <c r="K63" s="71">
        <f>'MODELO PARA BI'!BO63</f>
        <v/>
      </c>
      <c r="L63" s="71">
        <f>'MODELO PARA BI'!BO64</f>
        <v/>
      </c>
      <c r="M63" s="55">
        <f>M62+J63</f>
        <v/>
      </c>
    </row>
    <row r="64">
      <c r="A64" s="112">
        <f>'MODELO PARA BI'!BP1</f>
        <v/>
      </c>
      <c r="B64" s="113" t="n"/>
      <c r="C64" s="110">
        <f>C63+B64</f>
        <v/>
      </c>
      <c r="D64" s="63">
        <f>IF(A64&lt;='VALOR POR PL'!$P$5,'MODELO PARA BI'!BP61,0)</f>
        <v/>
      </c>
      <c r="E64" s="63">
        <f>IF(A64&gt;'VALOR POR PL'!$P$5,'MODELO PARA BI'!BP61,0)</f>
        <v/>
      </c>
      <c r="F64" s="110">
        <f>IF('MODELO PARA BI'!$E$61=0,0,(D64+E64)/'MODELO PARA BI'!$E$61)</f>
        <v/>
      </c>
      <c r="G64" s="110">
        <f>G63+F64</f>
        <v/>
      </c>
      <c r="I64" s="50">
        <f>B64*'VALOR POR PL'!$G$50</f>
        <v/>
      </c>
      <c r="J64" s="55">
        <f>I64*IF(A64&lt;='VALOR POR PL'!$P$5,IFERROR(INDEX('"INCC-FGV"'!$B$2:$B$400,MATCH(A64,'"INCC-FGV"'!$A$2:$A$400,0)),'VALOR POR PL'!$P$7),'VALOR POR PL'!$P$7)</f>
        <v/>
      </c>
      <c r="K64" s="71">
        <f>'MODELO PARA BI'!BP63</f>
        <v/>
      </c>
      <c r="L64" s="71">
        <f>'MODELO PARA BI'!BP64</f>
        <v/>
      </c>
      <c r="M64" s="55">
        <f>M63+J64</f>
        <v/>
      </c>
    </row>
    <row r="65">
      <c r="A65" s="112">
        <f>'MODELO PARA BI'!BQ1</f>
        <v/>
      </c>
      <c r="B65" s="113" t="n"/>
      <c r="C65" s="110">
        <f>C64+B65</f>
        <v/>
      </c>
      <c r="D65" s="63">
        <f>IF(A65&lt;='VALOR POR PL'!$P$5,'MODELO PARA BI'!BQ61,0)</f>
        <v/>
      </c>
      <c r="E65" s="63">
        <f>IF(A65&gt;'VALOR POR PL'!$P$5,'MODELO PARA BI'!BQ61,0)</f>
        <v/>
      </c>
      <c r="F65" s="110">
        <f>IF('MODELO PARA BI'!$E$61=0,0,(D65+E65)/'MODELO PARA BI'!$E$61)</f>
        <v/>
      </c>
      <c r="G65" s="110">
        <f>G64+F65</f>
        <v/>
      </c>
      <c r="I65" s="50">
        <f>B65*'VALOR POR PL'!$G$50</f>
        <v/>
      </c>
      <c r="J65" s="55">
        <f>I65*IF(A65&lt;='VALOR POR PL'!$P$5,IFERROR(INDEX('"INCC-FGV"'!$B$2:$B$400,MATCH(A65,'"INCC-FGV"'!$A$2:$A$400,0)),'VALOR POR PL'!$P$7),'VALOR POR PL'!$P$7)</f>
        <v/>
      </c>
      <c r="K65" s="71">
        <f>'MODELO PARA BI'!BQ63</f>
        <v/>
      </c>
      <c r="L65" s="71">
        <f>'MODELO PARA BI'!BQ64</f>
        <v/>
      </c>
      <c r="M65" s="55">
        <f>M64+J65</f>
        <v/>
      </c>
    </row>
    <row r="66">
      <c r="A66" s="112">
        <f>'MODELO PARA BI'!BR1</f>
        <v/>
      </c>
      <c r="B66" s="113" t="n"/>
      <c r="C66" s="110">
        <f>C65+B66</f>
        <v/>
      </c>
      <c r="D66" s="63">
        <f>IF(A66&lt;='VALOR POR PL'!$P$5,'MODELO PARA BI'!BR61,0)</f>
        <v/>
      </c>
      <c r="E66" s="63">
        <f>IF(A66&gt;'VALOR POR PL'!$P$5,'MODELO PARA BI'!BR61,0)</f>
        <v/>
      </c>
      <c r="F66" s="110">
        <f>IF('MODELO PARA BI'!$E$61=0,0,(D66+E66)/'MODELO PARA BI'!$E$61)</f>
        <v/>
      </c>
      <c r="G66" s="110">
        <f>G65+F66</f>
        <v/>
      </c>
      <c r="I66" s="50">
        <f>B66*'VALOR POR PL'!$G$50</f>
        <v/>
      </c>
      <c r="J66" s="55">
        <f>I66*IF(A66&lt;='VALOR POR PL'!$P$5,IFERROR(INDEX('"INCC-FGV"'!$B$2:$B$400,MATCH(A66,'"INCC-FGV"'!$A$2:$A$400,0)),'VALOR POR PL'!$P$7),'VALOR POR PL'!$P$7)</f>
        <v/>
      </c>
      <c r="K66" s="71">
        <f>'MODELO PARA BI'!BR63</f>
        <v/>
      </c>
      <c r="L66" s="71">
        <f>'MODELO PARA BI'!BR64</f>
        <v/>
      </c>
      <c r="M66" s="55">
        <f>M65+J66</f>
        <v/>
      </c>
    </row>
    <row r="67">
      <c r="A67" s="112">
        <f>'MODELO PARA BI'!BS1</f>
        <v/>
      </c>
      <c r="B67" s="113" t="n"/>
      <c r="C67" s="110">
        <f>C66+B67</f>
        <v/>
      </c>
      <c r="D67" s="63">
        <f>IF(A67&lt;='VALOR POR PL'!$P$5,'MODELO PARA BI'!BS61,0)</f>
        <v/>
      </c>
      <c r="E67" s="63">
        <f>IF(A67&gt;'VALOR POR PL'!$P$5,'MODELO PARA BI'!BS61,0)</f>
        <v/>
      </c>
      <c r="F67" s="110">
        <f>IF('MODELO PARA BI'!$E$61=0,0,(D67+E67)/'MODELO PARA BI'!$E$61)</f>
        <v/>
      </c>
      <c r="G67" s="110">
        <f>G66+F67</f>
        <v/>
      </c>
      <c r="I67" s="50">
        <f>B67*'VALOR POR PL'!$G$50</f>
        <v/>
      </c>
      <c r="J67" s="55">
        <f>I67*IF(A67&lt;='VALOR POR PL'!$P$5,IFERROR(INDEX('"INCC-FGV"'!$B$2:$B$400,MATCH(A67,'"INCC-FGV"'!$A$2:$A$400,0)),'VALOR POR PL'!$P$7),'VALOR POR PL'!$P$7)</f>
        <v/>
      </c>
      <c r="K67" s="71">
        <f>'MODELO PARA BI'!BS63</f>
        <v/>
      </c>
      <c r="L67" s="71">
        <f>'MODELO PARA BI'!BS64</f>
        <v/>
      </c>
      <c r="M67" s="55">
        <f>M66+J67</f>
        <v/>
      </c>
    </row>
    <row r="68">
      <c r="A68" s="112">
        <f>'MODELO PARA BI'!BT1</f>
        <v/>
      </c>
      <c r="B68" s="113" t="n"/>
      <c r="C68" s="110">
        <f>C67+B68</f>
        <v/>
      </c>
      <c r="D68" s="63">
        <f>IF(A68&lt;='VALOR POR PL'!$P$5,'MODELO PARA BI'!BT61,0)</f>
        <v/>
      </c>
      <c r="E68" s="63">
        <f>IF(A68&gt;'VALOR POR PL'!$P$5,'MODELO PARA BI'!BT61,0)</f>
        <v/>
      </c>
      <c r="F68" s="110">
        <f>IF('MODELO PARA BI'!$E$61=0,0,(D68+E68)/'MODELO PARA BI'!$E$61)</f>
        <v/>
      </c>
      <c r="G68" s="110">
        <f>G67+F68</f>
        <v/>
      </c>
      <c r="I68" s="50">
        <f>B68*'VALOR POR PL'!$G$50</f>
        <v/>
      </c>
      <c r="J68" s="55">
        <f>I68*IF(A68&lt;='VALOR POR PL'!$P$5,IFERROR(INDEX('"INCC-FGV"'!$B$2:$B$400,MATCH(A68,'"INCC-FGV"'!$A$2:$A$400,0)),'VALOR POR PL'!$P$7),'VALOR POR PL'!$P$7)</f>
        <v/>
      </c>
      <c r="K68" s="71">
        <f>'MODELO PARA BI'!BT63</f>
        <v/>
      </c>
      <c r="L68" s="71">
        <f>'MODELO PARA BI'!BT64</f>
        <v/>
      </c>
      <c r="M68" s="55">
        <f>M67+J68</f>
        <v/>
      </c>
    </row>
    <row r="69">
      <c r="A69" s="112">
        <f>'MODELO PARA BI'!BU1</f>
        <v/>
      </c>
      <c r="B69" s="113" t="n"/>
      <c r="C69" s="110">
        <f>C68+B69</f>
        <v/>
      </c>
      <c r="D69" s="63">
        <f>IF(A69&lt;='VALOR POR PL'!$P$5,'MODELO PARA BI'!BU61,0)</f>
        <v/>
      </c>
      <c r="E69" s="63">
        <f>IF(A69&gt;'VALOR POR PL'!$P$5,'MODELO PARA BI'!BU61,0)</f>
        <v/>
      </c>
      <c r="F69" s="110">
        <f>IF('MODELO PARA BI'!$E$61=0,0,(D69+E69)/'MODELO PARA BI'!$E$61)</f>
        <v/>
      </c>
      <c r="G69" s="110">
        <f>G68+F69</f>
        <v/>
      </c>
      <c r="I69" s="50">
        <f>B69*'VALOR POR PL'!$G$50</f>
        <v/>
      </c>
      <c r="J69" s="55">
        <f>I69*IF(A69&lt;='VALOR POR PL'!$P$5,IFERROR(INDEX('"INCC-FGV"'!$B$2:$B$400,MATCH(A69,'"INCC-FGV"'!$A$2:$A$400,0)),'VALOR POR PL'!$P$7),'VALOR POR PL'!$P$7)</f>
        <v/>
      </c>
      <c r="K69" s="71">
        <f>'MODELO PARA BI'!BU63</f>
        <v/>
      </c>
      <c r="L69" s="71">
        <f>'MODELO PARA BI'!BU64</f>
        <v/>
      </c>
      <c r="M69" s="55">
        <f>M68+J69</f>
        <v/>
      </c>
    </row>
    <row r="70">
      <c r="A70" s="112">
        <f>'MODELO PARA BI'!BV1</f>
        <v/>
      </c>
      <c r="B70" s="113" t="n"/>
      <c r="C70" s="110">
        <f>C69+B70</f>
        <v/>
      </c>
      <c r="D70" s="63">
        <f>IF(A70&lt;='VALOR POR PL'!$P$5,'MODELO PARA BI'!BV61,0)</f>
        <v/>
      </c>
      <c r="E70" s="63">
        <f>IF(A70&gt;'VALOR POR PL'!$P$5,'MODELO PARA BI'!BV61,0)</f>
        <v/>
      </c>
      <c r="F70" s="110">
        <f>IF('MODELO PARA BI'!$E$61=0,0,(D70+E70)/'MODELO PARA BI'!$E$61)</f>
        <v/>
      </c>
      <c r="G70" s="110">
        <f>G69+F70</f>
        <v/>
      </c>
      <c r="I70" s="50">
        <f>B70*'VALOR POR PL'!$G$50</f>
        <v/>
      </c>
      <c r="J70" s="55">
        <f>I70*IF(A70&lt;='VALOR POR PL'!$P$5,IFERROR(INDEX('"INCC-FGV"'!$B$2:$B$400,MATCH(A70,'"INCC-FGV"'!$A$2:$A$400,0)),'VALOR POR PL'!$P$7),'VALOR POR PL'!$P$7)</f>
        <v/>
      </c>
      <c r="K70" s="71">
        <f>'MODELO PARA BI'!BV63</f>
        <v/>
      </c>
      <c r="L70" s="71">
        <f>'MODELO PARA BI'!BV64</f>
        <v/>
      </c>
      <c r="M70" s="55">
        <f>M69+J70</f>
        <v/>
      </c>
    </row>
    <row r="71">
      <c r="A71" s="112">
        <f>'MODELO PARA BI'!BW1</f>
        <v/>
      </c>
      <c r="B71" s="113" t="n"/>
      <c r="C71" s="110">
        <f>C70+B71</f>
        <v/>
      </c>
      <c r="D71" s="63">
        <f>IF(A71&lt;='VALOR POR PL'!$P$5,'MODELO PARA BI'!BW61,0)</f>
        <v/>
      </c>
      <c r="E71" s="63">
        <f>IF(A71&gt;'VALOR POR PL'!$P$5,'MODELO PARA BI'!BW61,0)</f>
        <v/>
      </c>
      <c r="F71" s="110">
        <f>IF('MODELO PARA BI'!$E$61=0,0,(D71+E71)/'MODELO PARA BI'!$E$61)</f>
        <v/>
      </c>
      <c r="G71" s="110">
        <f>G70+F71</f>
        <v/>
      </c>
      <c r="I71" s="50">
        <f>B71*'VALOR POR PL'!$G$50</f>
        <v/>
      </c>
      <c r="J71" s="55">
        <f>I71*IF(A71&lt;='VALOR POR PL'!$P$5,IFERROR(INDEX('"INCC-FGV"'!$B$2:$B$400,MATCH(A71,'"INCC-FGV"'!$A$2:$A$400,0)),'VALOR POR PL'!$P$7),'VALOR POR PL'!$P$7)</f>
        <v/>
      </c>
      <c r="K71" s="71">
        <f>'MODELO PARA BI'!BW63</f>
        <v/>
      </c>
      <c r="L71" s="71">
        <f>'MODELO PARA BI'!BW64</f>
        <v/>
      </c>
      <c r="M71" s="55">
        <f>M70+J71</f>
        <v/>
      </c>
    </row>
    <row r="72">
      <c r="A72" s="112">
        <f>'MODELO PARA BI'!BX1</f>
        <v/>
      </c>
      <c r="B72" s="113" t="n"/>
      <c r="C72" s="110">
        <f>C71+B72</f>
        <v/>
      </c>
      <c r="D72" s="63">
        <f>IF(A72&lt;='VALOR POR PL'!$P$5,'MODELO PARA BI'!BX61,0)</f>
        <v/>
      </c>
      <c r="E72" s="63">
        <f>IF(A72&gt;'VALOR POR PL'!$P$5,'MODELO PARA BI'!BX61,0)</f>
        <v/>
      </c>
      <c r="F72" s="110">
        <f>IF('MODELO PARA BI'!$E$61=0,0,(D72+E72)/'MODELO PARA BI'!$E$61)</f>
        <v/>
      </c>
      <c r="G72" s="110">
        <f>G71+F72</f>
        <v/>
      </c>
      <c r="I72" s="50">
        <f>B72*'VALOR POR PL'!$G$50</f>
        <v/>
      </c>
      <c r="J72" s="55">
        <f>I72*IF(A72&lt;='VALOR POR PL'!$P$5,IFERROR(INDEX('"INCC-FGV"'!$B$2:$B$400,MATCH(A72,'"INCC-FGV"'!$A$2:$A$400,0)),'VALOR POR PL'!$P$7),'VALOR POR PL'!$P$7)</f>
        <v/>
      </c>
      <c r="K72" s="71">
        <f>'MODELO PARA BI'!BX63</f>
        <v/>
      </c>
      <c r="L72" s="71">
        <f>'MODELO PARA BI'!BX64</f>
        <v/>
      </c>
      <c r="M72" s="55">
        <f>M71+J72</f>
        <v/>
      </c>
    </row>
    <row r="73">
      <c r="A73" s="112">
        <f>'MODELO PARA BI'!BY1</f>
        <v/>
      </c>
      <c r="B73" s="113" t="n"/>
      <c r="C73" s="110">
        <f>C72+B73</f>
        <v/>
      </c>
      <c r="D73" s="63">
        <f>IF(A73&lt;='VALOR POR PL'!$P$5,'MODELO PARA BI'!BY61,0)</f>
        <v/>
      </c>
      <c r="E73" s="63">
        <f>IF(A73&gt;'VALOR POR PL'!$P$5,'MODELO PARA BI'!BY61,0)</f>
        <v/>
      </c>
      <c r="F73" s="110">
        <f>IF('MODELO PARA BI'!$E$61=0,0,(D73+E73)/'MODELO PARA BI'!$E$61)</f>
        <v/>
      </c>
      <c r="G73" s="110">
        <f>G72+F73</f>
        <v/>
      </c>
      <c r="I73" s="50">
        <f>B73*'VALOR POR PL'!$G$50</f>
        <v/>
      </c>
      <c r="J73" s="55">
        <f>I73*IF(A73&lt;='VALOR POR PL'!$P$5,IFERROR(INDEX('"INCC-FGV"'!$B$2:$B$400,MATCH(A73,'"INCC-FGV"'!$A$2:$A$400,0)),'VALOR POR PL'!$P$7),'VALOR POR PL'!$P$7)</f>
        <v/>
      </c>
      <c r="K73" s="71">
        <f>'MODELO PARA BI'!BY63</f>
        <v/>
      </c>
      <c r="L73" s="71">
        <f>'MODELO PARA BI'!BY64</f>
        <v/>
      </c>
      <c r="M73" s="55">
        <f>M72+J73</f>
        <v/>
      </c>
    </row>
    <row r="74">
      <c r="A74" s="112">
        <f>'MODELO PARA BI'!BZ1</f>
        <v/>
      </c>
      <c r="B74" s="113" t="n"/>
      <c r="C74" s="110">
        <f>C73+B74</f>
        <v/>
      </c>
      <c r="D74" s="63">
        <f>IF(A74&lt;='VALOR POR PL'!$P$5,'MODELO PARA BI'!BZ61,0)</f>
        <v/>
      </c>
      <c r="E74" s="63">
        <f>IF(A74&gt;'VALOR POR PL'!$P$5,'MODELO PARA BI'!BZ61,0)</f>
        <v/>
      </c>
      <c r="F74" s="110">
        <f>IF('MODELO PARA BI'!$E$61=0,0,(D74+E74)/'MODELO PARA BI'!$E$61)</f>
        <v/>
      </c>
      <c r="G74" s="110">
        <f>G73+F74</f>
        <v/>
      </c>
      <c r="I74" s="50">
        <f>B74*'VALOR POR PL'!$G$50</f>
        <v/>
      </c>
      <c r="J74" s="55">
        <f>I74*IF(A74&lt;='VALOR POR PL'!$P$5,IFERROR(INDEX('"INCC-FGV"'!$B$2:$B$400,MATCH(A74,'"INCC-FGV"'!$A$2:$A$400,0)),'VALOR POR PL'!$P$7),'VALOR POR PL'!$P$7)</f>
        <v/>
      </c>
      <c r="K74" s="71">
        <f>'MODELO PARA BI'!BZ63</f>
        <v/>
      </c>
      <c r="L74" s="71">
        <f>'MODELO PARA BI'!BZ64</f>
        <v/>
      </c>
      <c r="M74" s="55">
        <f>M73+J74</f>
        <v/>
      </c>
    </row>
    <row r="75">
      <c r="A75" s="112">
        <f>'MODELO PARA BI'!CA1</f>
        <v/>
      </c>
      <c r="B75" s="113" t="n"/>
      <c r="C75" s="110">
        <f>C74+B75</f>
        <v/>
      </c>
      <c r="D75" s="63">
        <f>IF(A75&lt;='VALOR POR PL'!$P$5,'MODELO PARA BI'!CA61,0)</f>
        <v/>
      </c>
      <c r="E75" s="63">
        <f>IF(A75&gt;'VALOR POR PL'!$P$5,'MODELO PARA BI'!CA61,0)</f>
        <v/>
      </c>
      <c r="F75" s="110">
        <f>IF('MODELO PARA BI'!$E$61=0,0,(D75+E75)/'MODELO PARA BI'!$E$61)</f>
        <v/>
      </c>
      <c r="G75" s="110">
        <f>G74+F75</f>
        <v/>
      </c>
      <c r="I75" s="50">
        <f>B75*'VALOR POR PL'!$G$50</f>
        <v/>
      </c>
      <c r="J75" s="55">
        <f>I75*IF(A75&lt;='VALOR POR PL'!$P$5,IFERROR(INDEX('"INCC-FGV"'!$B$2:$B$400,MATCH(A75,'"INCC-FGV"'!$A$2:$A$400,0)),'VALOR POR PL'!$P$7),'VALOR POR PL'!$P$7)</f>
        <v/>
      </c>
      <c r="K75" s="71">
        <f>'MODELO PARA BI'!CA63</f>
        <v/>
      </c>
      <c r="L75" s="71">
        <f>'MODELO PARA BI'!CA64</f>
        <v/>
      </c>
      <c r="M75" s="55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4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9" t="inlineStr">
        <is>
          <t>Mês</t>
        </is>
      </c>
      <c r="B1" s="59" t="inlineStr">
        <is>
          <t>Índice</t>
        </is>
      </c>
      <c r="C1" s="59" t="inlineStr">
        <is>
          <t>(%) mês</t>
        </is>
      </c>
      <c r="D1" s="59" t="inlineStr">
        <is>
          <t>(%) no ano</t>
        </is>
      </c>
      <c r="E1" s="59" t="inlineStr">
        <is>
          <t>(%) 12 meses</t>
        </is>
      </c>
    </row>
    <row r="2">
      <c r="A2" s="114" t="n">
        <v>45536</v>
      </c>
      <c r="B2" s="48" t="n">
        <v>1136.521</v>
      </c>
      <c r="D2" s="115">
        <f>IF(B2="","",IFERROR(B2/INDEX($B$2:$B$400,MATCH(DATE(YEAR(A2)-1,12,1),$A$2:$A$400,0))-1,""))</f>
        <v/>
      </c>
      <c r="E2" s="115">
        <f>IF(B2="","",IFERROR(B2/INDEX($B$2:$B$400,MATCH(DATE(YEAR(A2)-1,MONTH(A2),1),$A$2:$A$400,0))-1,""))</f>
        <v/>
      </c>
      <c r="G2" s="116" t="inlineStr">
        <is>
          <t>Fonte: FGV (INCC-DI). Acrescente uma linha por mês.</t>
        </is>
      </c>
    </row>
    <row r="3">
      <c r="A3" s="114" t="n">
        <v>45566</v>
      </c>
      <c r="B3" s="48" t="n">
        <v>1144.136</v>
      </c>
      <c r="C3" s="115">
        <f>IF(OR(B3="",B2=""),"",B3/B2-1)</f>
        <v/>
      </c>
      <c r="D3" s="115">
        <f>IF(B3="","",IFERROR(B3/INDEX($B$2:$B$400,MATCH(DATE(YEAR(A3)-1,12,1),$A$2:$A$400,0))-1,""))</f>
        <v/>
      </c>
      <c r="E3" s="115">
        <f>IF(B3="","",IFERROR(B3/INDEX($B$2:$B$400,MATCH(DATE(YEAR(A3)-1,MONTH(A3),1),$A$2:$A$400,0))-1,""))</f>
        <v/>
      </c>
    </row>
    <row r="4">
      <c r="A4" s="114" t="n">
        <v>45597</v>
      </c>
      <c r="B4" s="48" t="n">
        <v>1149.158</v>
      </c>
      <c r="C4" s="115">
        <f>IF(OR(B4="",B3=""),"",B4/B3-1)</f>
        <v/>
      </c>
      <c r="D4" s="115">
        <f>IF(B4="","",IFERROR(B4/INDEX($B$2:$B$400,MATCH(DATE(YEAR(A4)-1,12,1),$A$2:$A$400,0))-1,""))</f>
        <v/>
      </c>
      <c r="E4" s="115">
        <f>IF(B4="","",IFERROR(B4/INDEX($B$2:$B$400,MATCH(DATE(YEAR(A4)-1,MONTH(A4),1),$A$2:$A$400,0))-1,""))</f>
        <v/>
      </c>
    </row>
    <row r="5">
      <c r="A5" s="114" t="n">
        <v>45627</v>
      </c>
      <c r="B5" s="48" t="n">
        <v>1154.99</v>
      </c>
      <c r="C5" s="115">
        <f>IF(OR(B5="",B4=""),"",B5/B4-1)</f>
        <v/>
      </c>
      <c r="D5" s="115">
        <f>IF(B5="","",IFERROR(B5/INDEX($B$2:$B$400,MATCH(DATE(YEAR(A5)-1,12,1),$A$2:$A$400,0))-1,""))</f>
        <v/>
      </c>
      <c r="E5" s="115">
        <f>IF(B5="","",IFERROR(B5/INDEX($B$2:$B$400,MATCH(DATE(YEAR(A5)-1,MONTH(A5),1),$A$2:$A$400,0))-1,""))</f>
        <v/>
      </c>
    </row>
    <row r="6">
      <c r="A6" s="114" t="n">
        <v>45658</v>
      </c>
      <c r="B6" s="48" t="n">
        <v>1163.221</v>
      </c>
      <c r="C6" s="115">
        <f>IF(OR(B6="",B5=""),"",B6/B5-1)</f>
        <v/>
      </c>
      <c r="D6" s="115">
        <f>IF(B6="","",IFERROR(B6/INDEX($B$2:$B$400,MATCH(DATE(YEAR(A6)-1,12,1),$A$2:$A$400,0))-1,""))</f>
        <v/>
      </c>
      <c r="E6" s="115">
        <f>IF(B6="","",IFERROR(B6/INDEX($B$2:$B$400,MATCH(DATE(YEAR(A6)-1,MONTH(A6),1),$A$2:$A$400,0))-1,""))</f>
        <v/>
      </c>
    </row>
    <row r="7">
      <c r="A7" s="114" t="n">
        <v>45689</v>
      </c>
      <c r="B7" s="48" t="n">
        <v>1169.156</v>
      </c>
      <c r="C7" s="115">
        <f>IF(OR(B7="",B6=""),"",B7/B6-1)</f>
        <v/>
      </c>
      <c r="D7" s="115">
        <f>IF(B7="","",IFERROR(B7/INDEX($B$2:$B$400,MATCH(DATE(YEAR(A7)-1,12,1),$A$2:$A$400,0))-1,""))</f>
        <v/>
      </c>
      <c r="E7" s="115">
        <f>IF(B7="","",IFERROR(B7/INDEX($B$2:$B$400,MATCH(DATE(YEAR(A7)-1,MONTH(A7),1),$A$2:$A$400,0))-1,""))</f>
        <v/>
      </c>
    </row>
    <row r="8">
      <c r="A8" s="114" t="n">
        <v>45717</v>
      </c>
      <c r="B8" s="48" t="n">
        <v>1173.586</v>
      </c>
      <c r="C8" s="115">
        <f>IF(OR(B8="",B7=""),"",B8/B7-1)</f>
        <v/>
      </c>
      <c r="D8" s="115">
        <f>IF(B8="","",IFERROR(B8/INDEX($B$2:$B$400,MATCH(DATE(YEAR(A8)-1,12,1),$A$2:$A$400,0))-1,""))</f>
        <v/>
      </c>
      <c r="E8" s="115">
        <f>IF(B8="","",IFERROR(B8/INDEX($B$2:$B$400,MATCH(DATE(YEAR(A8)-1,MONTH(A8),1),$A$2:$A$400,0))-1,""))</f>
        <v/>
      </c>
    </row>
    <row r="9">
      <c r="A9" s="114" t="n">
        <v>45748</v>
      </c>
      <c r="B9" s="48" t="n">
        <v>1180.564</v>
      </c>
      <c r="C9" s="115">
        <f>IF(OR(B9="",B8=""),"",B9/B8-1)</f>
        <v/>
      </c>
      <c r="D9" s="115">
        <f>IF(B9="","",IFERROR(B9/INDEX($B$2:$B$400,MATCH(DATE(YEAR(A9)-1,12,1),$A$2:$A$400,0))-1,""))</f>
        <v/>
      </c>
      <c r="E9" s="115">
        <f>IF(B9="","",IFERROR(B9/INDEX($B$2:$B$400,MATCH(DATE(YEAR(A9)-1,MONTH(A9),1),$A$2:$A$400,0))-1,""))</f>
        <v/>
      </c>
    </row>
    <row r="10">
      <c r="A10" s="114" t="n">
        <v>45778</v>
      </c>
      <c r="B10" s="48" t="n">
        <v>1183.606</v>
      </c>
      <c r="C10" s="115">
        <f>IF(OR(B10="",B9=""),"",B10/B9-1)</f>
        <v/>
      </c>
      <c r="D10" s="115">
        <f>IF(B10="","",IFERROR(B10/INDEX($B$2:$B$400,MATCH(DATE(YEAR(A10)-1,12,1),$A$2:$A$400,0))-1,""))</f>
        <v/>
      </c>
      <c r="E10" s="115">
        <f>IF(B10="","",IFERROR(B10/INDEX($B$2:$B$400,MATCH(DATE(YEAR(A10)-1,MONTH(A10),1),$A$2:$A$400,0))-1,""))</f>
        <v/>
      </c>
    </row>
    <row r="11">
      <c r="A11" s="114" t="n">
        <v>45809</v>
      </c>
      <c r="B11" s="48" t="n">
        <v>1194.912</v>
      </c>
      <c r="C11" s="115">
        <f>IF(OR(B11="",B10=""),"",B11/B10-1)</f>
        <v/>
      </c>
      <c r="D11" s="115">
        <f>IF(B11="","",IFERROR(B11/INDEX($B$2:$B$400,MATCH(DATE(YEAR(A11)-1,12,1),$A$2:$A$400,0))-1,""))</f>
        <v/>
      </c>
      <c r="E11" s="115">
        <f>IF(B11="","",IFERROR(B11/INDEX($B$2:$B$400,MATCH(DATE(YEAR(A11)-1,MONTH(A11),1),$A$2:$A$400,0))-1,""))</f>
        <v/>
      </c>
    </row>
    <row r="12">
      <c r="A12" s="114" t="n">
        <v>45839</v>
      </c>
      <c r="B12" s="48" t="n">
        <v>1205.838</v>
      </c>
      <c r="C12" s="115">
        <f>IF(OR(B12="",B11=""),"",B12/B11-1)</f>
        <v/>
      </c>
      <c r="D12" s="115">
        <f>IF(B12="","",IFERROR(B12/INDEX($B$2:$B$400,MATCH(DATE(YEAR(A12)-1,12,1),$A$2:$A$400,0))-1,""))</f>
        <v/>
      </c>
      <c r="E12" s="115">
        <f>IF(B12="","",IFERROR(B12/INDEX($B$2:$B$400,MATCH(DATE(YEAR(A12)-1,MONTH(A12),1),$A$2:$A$400,0))-1,""))</f>
        <v/>
      </c>
    </row>
    <row r="13">
      <c r="A13" s="114" t="n">
        <v>45870</v>
      </c>
      <c r="B13" s="48" t="n">
        <v>1214.239</v>
      </c>
      <c r="C13" s="115">
        <f>IF(OR(B13="",B12=""),"",B13/B12-1)</f>
        <v/>
      </c>
      <c r="D13" s="115">
        <f>IF(B13="","",IFERROR(B13/INDEX($B$2:$B$400,MATCH(DATE(YEAR(A13)-1,12,1),$A$2:$A$400,0))-1,""))</f>
        <v/>
      </c>
      <c r="E13" s="115">
        <f>IF(B13="","",IFERROR(B13/INDEX($B$2:$B$400,MATCH(DATE(YEAR(A13)-1,MONTH(A13),1),$A$2:$A$400,0))-1,""))</f>
        <v/>
      </c>
    </row>
    <row r="14">
      <c r="A14" s="114" t="n">
        <v>45901</v>
      </c>
      <c r="B14" s="48" t="n">
        <v>1216.825</v>
      </c>
      <c r="C14" s="115">
        <f>IF(OR(B14="",B13=""),"",B14/B13-1)</f>
        <v/>
      </c>
      <c r="D14" s="115">
        <f>IF(B14="","",IFERROR(B14/INDEX($B$2:$B$400,MATCH(DATE(YEAR(A14)-1,12,1),$A$2:$A$400,0))-1,""))</f>
        <v/>
      </c>
      <c r="E14" s="115">
        <f>IF(B14="","",IFERROR(B14/INDEX($B$2:$B$400,MATCH(DATE(YEAR(A14)-1,MONTH(A14),1),$A$2:$A$400,0))-1,""))</f>
        <v/>
      </c>
    </row>
    <row r="15">
      <c r="A15" s="114" t="n">
        <v>45931</v>
      </c>
      <c r="B15" s="48" t="n">
        <v>1219.407</v>
      </c>
      <c r="C15" s="115">
        <f>IF(OR(B15="",B14=""),"",B15/B14-1)</f>
        <v/>
      </c>
      <c r="D15" s="115">
        <f>IF(B15="","",IFERROR(B15/INDEX($B$2:$B$400,MATCH(DATE(YEAR(A15)-1,12,1),$A$2:$A$400,0))-1,""))</f>
        <v/>
      </c>
      <c r="E15" s="115">
        <f>IF(B15="","",IFERROR(B15/INDEX($B$2:$B$400,MATCH(DATE(YEAR(A15)-1,MONTH(A15),1),$A$2:$A$400,0))-1,""))</f>
        <v/>
      </c>
    </row>
    <row r="16">
      <c r="A16" s="114" t="n">
        <v>45962</v>
      </c>
      <c r="B16" s="48" t="n">
        <v>1222.865</v>
      </c>
      <c r="C16" s="115">
        <f>IF(OR(B16="",B15=""),"",B16/B15-1)</f>
        <v/>
      </c>
      <c r="D16" s="115">
        <f>IF(B16="","",IFERROR(B16/INDEX($B$2:$B$400,MATCH(DATE(YEAR(A16)-1,12,1),$A$2:$A$400,0))-1,""))</f>
        <v/>
      </c>
      <c r="E16" s="115">
        <f>IF(B16="","",IFERROR(B16/INDEX($B$2:$B$400,MATCH(DATE(YEAR(A16)-1,MONTH(A16),1),$A$2:$A$400,0))-1,""))</f>
        <v/>
      </c>
    </row>
    <row r="17">
      <c r="A17" s="114" t="n">
        <v>45992</v>
      </c>
      <c r="B17" s="48" t="n">
        <v>1225.398</v>
      </c>
      <c r="C17" s="115">
        <f>IF(OR(B17="",B16=""),"",B17/B16-1)</f>
        <v/>
      </c>
      <c r="D17" s="115">
        <f>IF(B17="","",IFERROR(B17/INDEX($B$2:$B$400,MATCH(DATE(YEAR(A17)-1,12,1),$A$2:$A$400,0))-1,""))</f>
        <v/>
      </c>
      <c r="E17" s="115">
        <f>IF(B17="","",IFERROR(B17/INDEX($B$2:$B$400,MATCH(DATE(YEAR(A17)-1,MONTH(A17),1),$A$2:$A$400,0))-1,""))</f>
        <v/>
      </c>
    </row>
    <row r="18">
      <c r="A18" s="114" t="n">
        <v>46023</v>
      </c>
      <c r="B18" s="48" t="n">
        <v>1233.096</v>
      </c>
      <c r="C18" s="115">
        <f>IF(OR(B18="",B17=""),"",B18/B17-1)</f>
        <v/>
      </c>
      <c r="D18" s="115">
        <f>IF(B18="","",IFERROR(B18/INDEX($B$2:$B$400,MATCH(DATE(YEAR(A18)-1,12,1),$A$2:$A$400,0))-1,""))</f>
        <v/>
      </c>
      <c r="E18" s="115">
        <f>IF(B18="","",IFERROR(B18/INDEX($B$2:$B$400,MATCH(DATE(YEAR(A18)-1,MONTH(A18),1),$A$2:$A$400,0))-1,""))</f>
        <v/>
      </c>
    </row>
    <row r="19">
      <c r="A19" s="114" t="n">
        <v>46054</v>
      </c>
      <c r="B19" s="48" t="n">
        <v>1237.312</v>
      </c>
      <c r="C19" s="115">
        <f>IF(OR(B19="",B18=""),"",B19/B18-1)</f>
        <v/>
      </c>
      <c r="D19" s="115">
        <f>IF(B19="","",IFERROR(B19/INDEX($B$2:$B$400,MATCH(DATE(YEAR(A19)-1,12,1),$A$2:$A$400,0))-1,""))</f>
        <v/>
      </c>
      <c r="E19" s="115">
        <f>IF(B19="","",IFERROR(B19/INDEX($B$2:$B$400,MATCH(DATE(YEAR(A19)-1,MONTH(A19),1),$A$2:$A$400,0))-1,""))</f>
        <v/>
      </c>
    </row>
    <row r="20">
      <c r="A20" s="114" t="n">
        <v>46082</v>
      </c>
      <c r="B20" s="48" t="n">
        <v>1247.181</v>
      </c>
      <c r="C20" s="115">
        <f>IF(OR(B20="",B19=""),"",B20/B19-1)</f>
        <v/>
      </c>
      <c r="D20" s="115">
        <f>IF(B20="","",IFERROR(B20/INDEX($B$2:$B$400,MATCH(DATE(YEAR(A20)-1,12,1),$A$2:$A$400,0))-1,""))</f>
        <v/>
      </c>
      <c r="E20" s="115">
        <f>IF(B20="","",IFERROR(B20/INDEX($B$2:$B$400,MATCH(DATE(YEAR(A20)-1,MONTH(A20),1),$A$2:$A$400,0))-1,""))</f>
        <v/>
      </c>
    </row>
    <row r="21">
      <c r="A21" s="114" t="n">
        <v>46113</v>
      </c>
      <c r="B21" s="48" t="n">
        <v>1259.652</v>
      </c>
      <c r="C21" s="115">
        <f>IF(OR(B21="",B20=""),"",B21/B20-1)</f>
        <v/>
      </c>
      <c r="D21" s="115">
        <f>IF(B21="","",IFERROR(B21/INDEX($B$2:$B$400,MATCH(DATE(YEAR(A21)-1,12,1),$A$2:$A$400,0))-1,""))</f>
        <v/>
      </c>
      <c r="E21" s="115">
        <f>IF(B21="","",IFERROR(B21/INDEX($B$2:$B$400,MATCH(DATE(YEAR(A21)-1,MONTH(A21),1),$A$2:$A$400,0))-1,""))</f>
        <v/>
      </c>
    </row>
    <row r="22">
      <c r="A22" s="114" t="n">
        <v>46143</v>
      </c>
      <c r="B22" s="48" t="n">
        <v>1270.695</v>
      </c>
      <c r="C22" s="115">
        <f>IF(OR(B22="",B21=""),"",B22/B21-1)</f>
        <v/>
      </c>
      <c r="D22" s="115">
        <f>IF(B22="","",IFERROR(B22/INDEX($B$2:$B$400,MATCH(DATE(YEAR(A22)-1,12,1),$A$2:$A$400,0))-1,""))</f>
        <v/>
      </c>
      <c r="E22" s="115">
        <f>IF(B22="","",IFERROR(B22/INDEX($B$2:$B$400,MATCH(DATE(YEAR(A22)-1,MONTH(A22),1),$A$2:$A$400,0))-1,""))</f>
        <v/>
      </c>
    </row>
    <row r="23">
      <c r="A23" s="114" t="n">
        <v>46174</v>
      </c>
      <c r="B23" s="48" t="n">
        <v>1280.641</v>
      </c>
      <c r="C23" s="115">
        <f>IF(OR(B23="",B22=""),"",B23/B22-1)</f>
        <v/>
      </c>
      <c r="D23" s="115">
        <f>IF(B23="","",IFERROR(B23/INDEX($B$2:$B$400,MATCH(DATE(YEAR(A23)-1,12,1),$A$2:$A$400,0))-1,""))</f>
        <v/>
      </c>
      <c r="E23" s="115">
        <f>IF(B23="","",IFERROR(B23/INDEX($B$2:$B$400,MATCH(DATE(YEAR(A23)-1,MONTH(A23),1),$A$2:$A$400,0))-1,""))</f>
        <v/>
      </c>
    </row>
    <row r="24">
      <c r="A24" s="114" t="n">
        <v>46204</v>
      </c>
      <c r="B24" s="48" t="n">
        <v>1288.431</v>
      </c>
      <c r="C24" s="115">
        <f>IF(OR(B24="",B23=""),"",B24/B23-1)</f>
        <v/>
      </c>
      <c r="D24" s="115">
        <f>IF(B24="","",IFERROR(B24/INDEX($B$2:$B$400,MATCH(DATE(YEAR(A24)-1,12,1),$A$2:$A$400,0))-1,""))</f>
        <v/>
      </c>
      <c r="E24" s="115">
        <f>IF(B24="","",IFERROR(B24/INDEX($B$2:$B$400,MATCH(DATE(YEAR(A24)-1,MONTH(A24),1),$A$2:$A$400,0))-1,""))</f>
        <v/>
      </c>
    </row>
    <row r="25">
      <c r="A25" s="114" t="n">
        <v>46235</v>
      </c>
      <c r="B25" s="48" t="n">
        <v>1296.889</v>
      </c>
      <c r="C25" s="115">
        <f>IF(OR(B25="",B24=""),"",B25/B24-1)</f>
        <v/>
      </c>
      <c r="D25" s="115">
        <f>IF(B25="","",IFERROR(B25/INDEX($B$2:$B$400,MATCH(DATE(YEAR(A25)-1,12,1),$A$2:$A$400,0))-1,""))</f>
        <v/>
      </c>
      <c r="E25" s="115">
        <f>IF(B25="","",IFERROR(B25/INDEX($B$2:$B$400,MATCH(DATE(YEAR(A25)-1,MONTH(A25),1),$A$2:$A$400,0))-1,""))</f>
        <v/>
      </c>
    </row>
    <row r="26">
      <c r="A26" s="117" t="n"/>
      <c r="B26" s="118" t="n"/>
      <c r="C26" s="115">
        <f>IF(OR(B26="",B25=""),"",B26/B25-1)</f>
        <v/>
      </c>
      <c r="D26" s="115">
        <f>IF(B26="","",IFERROR(B26/INDEX($B$2:$B$400,MATCH(DATE(YEAR(A26)-1,12,1),$A$2:$A$400,0))-1,""))</f>
        <v/>
      </c>
      <c r="E26" s="115">
        <f>IF(B26="","",IFERROR(B26/INDEX($B$2:$B$400,MATCH(DATE(YEAR(A26)-1,MONTH(A26),1),$A$2:$A$400,0))-1,""))</f>
        <v/>
      </c>
    </row>
    <row r="27">
      <c r="A27" s="117" t="n"/>
      <c r="B27" s="118" t="n"/>
      <c r="C27" s="115">
        <f>IF(OR(B27="",B26=""),"",B27/B26-1)</f>
        <v/>
      </c>
      <c r="D27" s="115">
        <f>IF(B27="","",IFERROR(B27/INDEX($B$2:$B$400,MATCH(DATE(YEAR(A27)-1,12,1),$A$2:$A$400,0))-1,""))</f>
        <v/>
      </c>
      <c r="E27" s="115">
        <f>IF(B27="","",IFERROR(B27/INDEX($B$2:$B$400,MATCH(DATE(YEAR(A27)-1,MONTH(A27),1),$A$2:$A$400,0))-1,""))</f>
        <v/>
      </c>
    </row>
    <row r="28">
      <c r="A28" s="117" t="n"/>
      <c r="B28" s="118" t="n"/>
      <c r="C28" s="115">
        <f>IF(OR(B28="",B27=""),"",B28/B27-1)</f>
        <v/>
      </c>
      <c r="D28" s="115">
        <f>IF(B28="","",IFERROR(B28/INDEX($B$2:$B$400,MATCH(DATE(YEAR(A28)-1,12,1),$A$2:$A$400,0))-1,""))</f>
        <v/>
      </c>
      <c r="E28" s="115">
        <f>IF(B28="","",IFERROR(B28/INDEX($B$2:$B$400,MATCH(DATE(YEAR(A28)-1,MONTH(A28),1),$A$2:$A$400,0))-1,""))</f>
        <v/>
      </c>
    </row>
    <row r="29">
      <c r="A29" s="117" t="n"/>
      <c r="B29" s="118" t="n"/>
      <c r="C29" s="115">
        <f>IF(OR(B29="",B28=""),"",B29/B28-1)</f>
        <v/>
      </c>
      <c r="D29" s="115">
        <f>IF(B29="","",IFERROR(B29/INDEX($B$2:$B$400,MATCH(DATE(YEAR(A29)-1,12,1),$A$2:$A$400,0))-1,""))</f>
        <v/>
      </c>
      <c r="E29" s="115">
        <f>IF(B29="","",IFERROR(B29/INDEX($B$2:$B$400,MATCH(DATE(YEAR(A29)-1,MONTH(A29),1),$A$2:$A$400,0))-1,""))</f>
        <v/>
      </c>
    </row>
    <row r="30">
      <c r="A30" s="117" t="n"/>
      <c r="B30" s="118" t="n"/>
      <c r="C30" s="115">
        <f>IF(OR(B30="",B29=""),"",B30/B29-1)</f>
        <v/>
      </c>
      <c r="D30" s="115">
        <f>IF(B30="","",IFERROR(B30/INDEX($B$2:$B$400,MATCH(DATE(YEAR(A30)-1,12,1),$A$2:$A$400,0))-1,""))</f>
        <v/>
      </c>
      <c r="E30" s="115">
        <f>IF(B30="","",IFERROR(B30/INDEX($B$2:$B$400,MATCH(DATE(YEAR(A30)-1,MONTH(A30),1),$A$2:$A$400,0))-1,""))</f>
        <v/>
      </c>
    </row>
    <row r="31">
      <c r="A31" s="117" t="n"/>
      <c r="B31" s="118" t="n"/>
      <c r="C31" s="115">
        <f>IF(OR(B31="",B30=""),"",B31/B30-1)</f>
        <v/>
      </c>
      <c r="D31" s="115">
        <f>IF(B31="","",IFERROR(B31/INDEX($B$2:$B$400,MATCH(DATE(YEAR(A31)-1,12,1),$A$2:$A$400,0))-1,""))</f>
        <v/>
      </c>
      <c r="E31" s="115">
        <f>IF(B31="","",IFERROR(B31/INDEX($B$2:$B$400,MATCH(DATE(YEAR(A31)-1,MONTH(A31),1),$A$2:$A$400,0))-1,""))</f>
        <v/>
      </c>
    </row>
    <row r="32">
      <c r="A32" s="117" t="n"/>
      <c r="B32" s="118" t="n"/>
      <c r="C32" s="115">
        <f>IF(OR(B32="",B31=""),"",B32/B31-1)</f>
        <v/>
      </c>
      <c r="D32" s="115">
        <f>IF(B32="","",IFERROR(B32/INDEX($B$2:$B$400,MATCH(DATE(YEAR(A32)-1,12,1),$A$2:$A$400,0))-1,""))</f>
        <v/>
      </c>
      <c r="E32" s="115">
        <f>IF(B32="","",IFERROR(B32/INDEX($B$2:$B$400,MATCH(DATE(YEAR(A32)-1,MONTH(A32),1),$A$2:$A$400,0))-1,""))</f>
        <v/>
      </c>
    </row>
    <row r="33">
      <c r="A33" s="117" t="n"/>
      <c r="B33" s="118" t="n"/>
      <c r="C33" s="115">
        <f>IF(OR(B33="",B32=""),"",B33/B32-1)</f>
        <v/>
      </c>
      <c r="D33" s="115">
        <f>IF(B33="","",IFERROR(B33/INDEX($B$2:$B$400,MATCH(DATE(YEAR(A33)-1,12,1),$A$2:$A$400,0))-1,""))</f>
        <v/>
      </c>
      <c r="E33" s="115">
        <f>IF(B33="","",IFERROR(B33/INDEX($B$2:$B$400,MATCH(DATE(YEAR(A33)-1,MONTH(A33),1),$A$2:$A$400,0))-1,""))</f>
        <v/>
      </c>
    </row>
    <row r="34">
      <c r="A34" s="117" t="n"/>
      <c r="B34" s="118" t="n"/>
      <c r="C34" s="115">
        <f>IF(OR(B34="",B33=""),"",B34/B33-1)</f>
        <v/>
      </c>
      <c r="D34" s="115">
        <f>IF(B34="","",IFERROR(B34/INDEX($B$2:$B$400,MATCH(DATE(YEAR(A34)-1,12,1),$A$2:$A$400,0))-1,""))</f>
        <v/>
      </c>
      <c r="E34" s="115">
        <f>IF(B34="","",IFERROR(B34/INDEX($B$2:$B$400,MATCH(DATE(YEAR(A34)-1,MONTH(A34),1),$A$2:$A$400,0))-1,""))</f>
        <v/>
      </c>
    </row>
    <row r="35">
      <c r="A35" s="117" t="n"/>
      <c r="B35" s="118" t="n"/>
      <c r="C35" s="115">
        <f>IF(OR(B35="",B34=""),"",B35/B34-1)</f>
        <v/>
      </c>
      <c r="D35" s="115">
        <f>IF(B35="","",IFERROR(B35/INDEX($B$2:$B$400,MATCH(DATE(YEAR(A35)-1,12,1),$A$2:$A$400,0))-1,""))</f>
        <v/>
      </c>
      <c r="E35" s="115">
        <f>IF(B35="","",IFERROR(B35/INDEX($B$2:$B$400,MATCH(DATE(YEAR(A35)-1,MONTH(A35),1),$A$2:$A$400,0))-1,""))</f>
        <v/>
      </c>
    </row>
    <row r="36">
      <c r="A36" s="117" t="n"/>
      <c r="B36" s="118" t="n"/>
      <c r="C36" s="115">
        <f>IF(OR(B36="",B35=""),"",B36/B35-1)</f>
        <v/>
      </c>
      <c r="D36" s="115">
        <f>IF(B36="","",IFERROR(B36/INDEX($B$2:$B$400,MATCH(DATE(YEAR(A36)-1,12,1),$A$2:$A$400,0))-1,""))</f>
        <v/>
      </c>
      <c r="E36" s="115">
        <f>IF(B36="","",IFERROR(B36/INDEX($B$2:$B$400,MATCH(DATE(YEAR(A36)-1,MONTH(A36),1),$A$2:$A$400,0))-1,""))</f>
        <v/>
      </c>
    </row>
    <row r="37">
      <c r="A37" s="117" t="n"/>
      <c r="B37" s="118" t="n"/>
      <c r="C37" s="115">
        <f>IF(OR(B37="",B36=""),"",B37/B36-1)</f>
        <v/>
      </c>
      <c r="D37" s="115">
        <f>IF(B37="","",IFERROR(B37/INDEX($B$2:$B$400,MATCH(DATE(YEAR(A37)-1,12,1),$A$2:$A$400,0))-1,""))</f>
        <v/>
      </c>
      <c r="E37" s="115">
        <f>IF(B37="","",IFERROR(B37/INDEX($B$2:$B$400,MATCH(DATE(YEAR(A37)-1,MONTH(A37),1),$A$2:$A$400,0))-1,""))</f>
        <v/>
      </c>
    </row>
    <row r="38">
      <c r="A38" s="117" t="n"/>
      <c r="B38" s="118" t="n"/>
      <c r="C38" s="115">
        <f>IF(OR(B38="",B37=""),"",B38/B37-1)</f>
        <v/>
      </c>
      <c r="D38" s="115">
        <f>IF(B38="","",IFERROR(B38/INDEX($B$2:$B$400,MATCH(DATE(YEAR(A38)-1,12,1),$A$2:$A$400,0))-1,""))</f>
        <v/>
      </c>
      <c r="E38" s="115">
        <f>IF(B38="","",IFERROR(B38/INDEX($B$2:$B$400,MATCH(DATE(YEAR(A38)-1,MONTH(A38),1),$A$2:$A$400,0))-1,""))</f>
        <v/>
      </c>
    </row>
    <row r="39">
      <c r="A39" s="117" t="n"/>
      <c r="B39" s="118" t="n"/>
      <c r="C39" s="115">
        <f>IF(OR(B39="",B38=""),"",B39/B38-1)</f>
        <v/>
      </c>
      <c r="D39" s="115">
        <f>IF(B39="","",IFERROR(B39/INDEX($B$2:$B$400,MATCH(DATE(YEAR(A39)-1,12,1),$A$2:$A$400,0))-1,""))</f>
        <v/>
      </c>
      <c r="E39" s="115">
        <f>IF(B39="","",IFERROR(B39/INDEX($B$2:$B$400,MATCH(DATE(YEAR(A39)-1,MONTH(A39),1),$A$2:$A$400,0))-1,""))</f>
        <v/>
      </c>
    </row>
    <row r="40">
      <c r="A40" s="117" t="n"/>
      <c r="B40" s="118" t="n"/>
      <c r="C40" s="115">
        <f>IF(OR(B40="",B39=""),"",B40/B39-1)</f>
        <v/>
      </c>
      <c r="D40" s="115">
        <f>IF(B40="","",IFERROR(B40/INDEX($B$2:$B$400,MATCH(DATE(YEAR(A40)-1,12,1),$A$2:$A$400,0))-1,""))</f>
        <v/>
      </c>
      <c r="E40" s="115">
        <f>IF(B40="","",IFERROR(B40/INDEX($B$2:$B$400,MATCH(DATE(YEAR(A40)-1,MONTH(A40),1),$A$2:$A$400,0))-1,""))</f>
        <v/>
      </c>
    </row>
    <row r="41">
      <c r="A41" s="117" t="n"/>
      <c r="B41" s="118" t="n"/>
      <c r="C41" s="115">
        <f>IF(OR(B41="",B40=""),"",B41/B40-1)</f>
        <v/>
      </c>
      <c r="D41" s="115">
        <f>IF(B41="","",IFERROR(B41/INDEX($B$2:$B$400,MATCH(DATE(YEAR(A41)-1,12,1),$A$2:$A$400,0))-1,""))</f>
        <v/>
      </c>
      <c r="E41" s="115">
        <f>IF(B41="","",IFERROR(B41/INDEX($B$2:$B$400,MATCH(DATE(YEAR(A41)-1,MONTH(A41),1),$A$2:$A$400,0))-1,""))</f>
        <v/>
      </c>
    </row>
    <row r="42">
      <c r="A42" s="117" t="n"/>
      <c r="B42" s="118" t="n"/>
      <c r="C42" s="115">
        <f>IF(OR(B42="",B41=""),"",B42/B41-1)</f>
        <v/>
      </c>
      <c r="D42" s="115">
        <f>IF(B42="","",IFERROR(B42/INDEX($B$2:$B$400,MATCH(DATE(YEAR(A42)-1,12,1),$A$2:$A$400,0))-1,""))</f>
        <v/>
      </c>
      <c r="E42" s="115">
        <f>IF(B42="","",IFERROR(B42/INDEX($B$2:$B$400,MATCH(DATE(YEAR(A42)-1,MONTH(A42),1),$A$2:$A$400,0))-1,""))</f>
        <v/>
      </c>
    </row>
    <row r="43">
      <c r="A43" s="117" t="n"/>
      <c r="B43" s="118" t="n"/>
      <c r="C43" s="115">
        <f>IF(OR(B43="",B42=""),"",B43/B42-1)</f>
        <v/>
      </c>
      <c r="D43" s="115">
        <f>IF(B43="","",IFERROR(B43/INDEX($B$2:$B$400,MATCH(DATE(YEAR(A43)-1,12,1),$A$2:$A$400,0))-1,""))</f>
        <v/>
      </c>
      <c r="E43" s="115">
        <f>IF(B43="","",IFERROR(B43/INDEX($B$2:$B$400,MATCH(DATE(YEAR(A43)-1,MONTH(A43),1),$A$2:$A$400,0))-1,""))</f>
        <v/>
      </c>
    </row>
    <row r="44">
      <c r="A44" s="117" t="n"/>
      <c r="B44" s="118" t="n"/>
      <c r="C44" s="115">
        <f>IF(OR(B44="",B43=""),"",B44/B43-1)</f>
        <v/>
      </c>
      <c r="D44" s="115">
        <f>IF(B44="","",IFERROR(B44/INDEX($B$2:$B$400,MATCH(DATE(YEAR(A44)-1,12,1),$A$2:$A$400,0))-1,""))</f>
        <v/>
      </c>
      <c r="E44" s="115">
        <f>IF(B44="","",IFERROR(B44/INDEX($B$2:$B$400,MATCH(DATE(YEAR(A44)-1,MONTH(A44),1),$A$2:$A$400,0))-1,""))</f>
        <v/>
      </c>
    </row>
    <row r="45">
      <c r="A45" s="117" t="n"/>
      <c r="B45" s="118" t="n"/>
      <c r="C45" s="115">
        <f>IF(OR(B45="",B44=""),"",B45/B44-1)</f>
        <v/>
      </c>
      <c r="D45" s="115">
        <f>IF(B45="","",IFERROR(B45/INDEX($B$2:$B$400,MATCH(DATE(YEAR(A45)-1,12,1),$A$2:$A$400,0))-1,""))</f>
        <v/>
      </c>
      <c r="E45" s="115">
        <f>IF(B45="","",IFERROR(B45/INDEX($B$2:$B$400,MATCH(DATE(YEAR(A45)-1,MONTH(A45),1),$A$2:$A$400,0))-1,""))</f>
        <v/>
      </c>
    </row>
    <row r="46">
      <c r="A46" s="117" t="n"/>
      <c r="B46" s="118" t="n"/>
      <c r="C46" s="115">
        <f>IF(OR(B46="",B45=""),"",B46/B45-1)</f>
        <v/>
      </c>
      <c r="D46" s="115">
        <f>IF(B46="","",IFERROR(B46/INDEX($B$2:$B$400,MATCH(DATE(YEAR(A46)-1,12,1),$A$2:$A$400,0))-1,""))</f>
        <v/>
      </c>
      <c r="E46" s="115">
        <f>IF(B46="","",IFERROR(B46/INDEX($B$2:$B$400,MATCH(DATE(YEAR(A46)-1,MONTH(A46),1),$A$2:$A$400,0))-1,""))</f>
        <v/>
      </c>
    </row>
    <row r="47">
      <c r="A47" s="117" t="n"/>
      <c r="B47" s="118" t="n"/>
      <c r="C47" s="115">
        <f>IF(OR(B47="",B46=""),"",B47/B46-1)</f>
        <v/>
      </c>
      <c r="D47" s="115">
        <f>IF(B47="","",IFERROR(B47/INDEX($B$2:$B$400,MATCH(DATE(YEAR(A47)-1,12,1),$A$2:$A$400,0))-1,""))</f>
        <v/>
      </c>
      <c r="E47" s="115">
        <f>IF(B47="","",IFERROR(B47/INDEX($B$2:$B$400,MATCH(DATE(YEAR(A47)-1,MONTH(A47),1),$A$2:$A$400,0))-1,""))</f>
        <v/>
      </c>
    </row>
    <row r="48">
      <c r="A48" s="117" t="n"/>
      <c r="B48" s="118" t="n"/>
      <c r="C48" s="115">
        <f>IF(OR(B48="",B47=""),"",B48/B47-1)</f>
        <v/>
      </c>
      <c r="D48" s="115">
        <f>IF(B48="","",IFERROR(B48/INDEX($B$2:$B$400,MATCH(DATE(YEAR(A48)-1,12,1),$A$2:$A$400,0))-1,""))</f>
        <v/>
      </c>
      <c r="E48" s="115">
        <f>IF(B48="","",IFERROR(B48/INDEX($B$2:$B$400,MATCH(DATE(YEAR(A48)-1,MONTH(A48),1),$A$2:$A$400,0))-1,""))</f>
        <v/>
      </c>
    </row>
    <row r="49">
      <c r="A49" s="117" t="n"/>
      <c r="B49" s="118" t="n"/>
      <c r="C49" s="115">
        <f>IF(OR(B49="",B48=""),"",B49/B48-1)</f>
        <v/>
      </c>
      <c r="D49" s="115">
        <f>IF(B49="","",IFERROR(B49/INDEX($B$2:$B$400,MATCH(DATE(YEAR(A49)-1,12,1),$A$2:$A$400,0))-1,""))</f>
        <v/>
      </c>
      <c r="E49" s="115">
        <f>IF(B49="","",IFERROR(B49/INDEX($B$2:$B$400,MATCH(DATE(YEAR(A49)-1,MONTH(A49),1),$A$2:$A$400,0))-1,""))</f>
        <v/>
      </c>
    </row>
    <row r="50">
      <c r="A50" s="117" t="n"/>
      <c r="B50" s="118" t="n"/>
      <c r="C50" s="115">
        <f>IF(OR(B50="",B49=""),"",B50/B49-1)</f>
        <v/>
      </c>
      <c r="D50" s="115">
        <f>IF(B50="","",IFERROR(B50/INDEX($B$2:$B$400,MATCH(DATE(YEAR(A50)-1,12,1),$A$2:$A$400,0))-1,""))</f>
        <v/>
      </c>
      <c r="E50" s="115">
        <f>IF(B50="","",IFERROR(B50/INDEX($B$2:$B$400,MATCH(DATE(YEAR(A50)-1,MONTH(A50),1),$A$2:$A$400,0))-1,""))</f>
        <v/>
      </c>
    </row>
    <row r="51">
      <c r="A51" s="117" t="n"/>
      <c r="B51" s="118" t="n"/>
      <c r="C51" s="115">
        <f>IF(OR(B51="",B50=""),"",B51/B50-1)</f>
        <v/>
      </c>
      <c r="D51" s="115">
        <f>IF(B51="","",IFERROR(B51/INDEX($B$2:$B$400,MATCH(DATE(YEAR(A51)-1,12,1),$A$2:$A$400,0))-1,""))</f>
        <v/>
      </c>
      <c r="E51" s="115">
        <f>IF(B51="","",IFERROR(B51/INDEX($B$2:$B$400,MATCH(DATE(YEAR(A51)-1,MONTH(A51),1),$A$2:$A$400,0))-1,""))</f>
        <v/>
      </c>
    </row>
    <row r="52">
      <c r="A52" s="117" t="n"/>
      <c r="B52" s="118" t="n"/>
      <c r="C52" s="115">
        <f>IF(OR(B52="",B51=""),"",B52/B51-1)</f>
        <v/>
      </c>
      <c r="D52" s="115">
        <f>IF(B52="","",IFERROR(B52/INDEX($B$2:$B$400,MATCH(DATE(YEAR(A52)-1,12,1),$A$2:$A$400,0))-1,""))</f>
        <v/>
      </c>
      <c r="E52" s="115">
        <f>IF(B52="","",IFERROR(B52/INDEX($B$2:$B$400,MATCH(DATE(YEAR(A52)-1,MONTH(A52),1),$A$2:$A$400,0))-1,""))</f>
        <v/>
      </c>
    </row>
    <row r="53">
      <c r="A53" s="117" t="n"/>
      <c r="B53" s="118" t="n"/>
      <c r="C53" s="115">
        <f>IF(OR(B53="",B52=""),"",B53/B52-1)</f>
        <v/>
      </c>
      <c r="D53" s="115">
        <f>IF(B53="","",IFERROR(B53/INDEX($B$2:$B$400,MATCH(DATE(YEAR(A53)-1,12,1),$A$2:$A$400,0))-1,""))</f>
        <v/>
      </c>
      <c r="E53" s="115">
        <f>IF(B53="","",IFERROR(B53/INDEX($B$2:$B$400,MATCH(DATE(YEAR(A53)-1,MONTH(A53),1),$A$2:$A$400,0))-1,""))</f>
        <v/>
      </c>
    </row>
    <row r="54">
      <c r="A54" s="117" t="n"/>
      <c r="B54" s="118" t="n"/>
      <c r="C54" s="115">
        <f>IF(OR(B54="",B53=""),"",B54/B53-1)</f>
        <v/>
      </c>
      <c r="D54" s="115">
        <f>IF(B54="","",IFERROR(B54/INDEX($B$2:$B$400,MATCH(DATE(YEAR(A54)-1,12,1),$A$2:$A$400,0))-1,""))</f>
        <v/>
      </c>
      <c r="E54" s="115">
        <f>IF(B54="","",IFERROR(B54/INDEX($B$2:$B$400,MATCH(DATE(YEAR(A54)-1,MONTH(A54),1),$A$2:$A$400,0))-1,""))</f>
        <v/>
      </c>
    </row>
    <row r="55">
      <c r="A55" s="117" t="n"/>
      <c r="B55" s="118" t="n"/>
      <c r="C55" s="115">
        <f>IF(OR(B55="",B54=""),"",B55/B54-1)</f>
        <v/>
      </c>
      <c r="D55" s="115">
        <f>IF(B55="","",IFERROR(B55/INDEX($B$2:$B$400,MATCH(DATE(YEAR(A55)-1,12,1),$A$2:$A$400,0))-1,""))</f>
        <v/>
      </c>
      <c r="E55" s="115">
        <f>IF(B55="","",IFERROR(B55/INDEX($B$2:$B$400,MATCH(DATE(YEAR(A55)-1,MONTH(A55),1),$A$2:$A$400,0))-1,""))</f>
        <v/>
      </c>
    </row>
    <row r="56">
      <c r="A56" s="117" t="n"/>
      <c r="B56" s="118" t="n"/>
      <c r="C56" s="115">
        <f>IF(OR(B56="",B55=""),"",B56/B55-1)</f>
        <v/>
      </c>
      <c r="D56" s="115">
        <f>IF(B56="","",IFERROR(B56/INDEX($B$2:$B$400,MATCH(DATE(YEAR(A56)-1,12,1),$A$2:$A$400,0))-1,""))</f>
        <v/>
      </c>
      <c r="E56" s="115">
        <f>IF(B56="","",IFERROR(B56/INDEX($B$2:$B$400,MATCH(DATE(YEAR(A56)-1,MONTH(A56),1),$A$2:$A$400,0))-1,""))</f>
        <v/>
      </c>
    </row>
    <row r="57">
      <c r="A57" s="117" t="n"/>
      <c r="B57" s="118" t="n"/>
      <c r="C57" s="115">
        <f>IF(OR(B57="",B56=""),"",B57/B56-1)</f>
        <v/>
      </c>
      <c r="D57" s="115">
        <f>IF(B57="","",IFERROR(B57/INDEX($B$2:$B$400,MATCH(DATE(YEAR(A57)-1,12,1),$A$2:$A$400,0))-1,""))</f>
        <v/>
      </c>
      <c r="E57" s="115">
        <f>IF(B57="","",IFERROR(B57/INDEX($B$2:$B$400,MATCH(DATE(YEAR(A57)-1,MONTH(A57),1),$A$2:$A$400,0))-1,""))</f>
        <v/>
      </c>
    </row>
    <row r="58">
      <c r="A58" s="117" t="n"/>
      <c r="B58" s="118" t="n"/>
      <c r="C58" s="115">
        <f>IF(OR(B58="",B57=""),"",B58/B57-1)</f>
        <v/>
      </c>
      <c r="D58" s="115">
        <f>IF(B58="","",IFERROR(B58/INDEX($B$2:$B$400,MATCH(DATE(YEAR(A58)-1,12,1),$A$2:$A$400,0))-1,""))</f>
        <v/>
      </c>
      <c r="E58" s="115">
        <f>IF(B58="","",IFERROR(B58/INDEX($B$2:$B$400,MATCH(DATE(YEAR(A58)-1,MONTH(A58),1),$A$2:$A$400,0))-1,""))</f>
        <v/>
      </c>
    </row>
    <row r="59">
      <c r="A59" s="117" t="n"/>
      <c r="B59" s="118" t="n"/>
      <c r="C59" s="115">
        <f>IF(OR(B59="",B58=""),"",B59/B58-1)</f>
        <v/>
      </c>
      <c r="D59" s="115">
        <f>IF(B59="","",IFERROR(B59/INDEX($B$2:$B$400,MATCH(DATE(YEAR(A59)-1,12,1),$A$2:$A$400,0))-1,""))</f>
        <v/>
      </c>
      <c r="E59" s="115">
        <f>IF(B59="","",IFERROR(B59/INDEX($B$2:$B$400,MATCH(DATE(YEAR(A59)-1,MONTH(A59),1),$A$2:$A$400,0))-1,""))</f>
        <v/>
      </c>
    </row>
    <row r="60">
      <c r="A60" s="117" t="n"/>
      <c r="B60" s="118" t="n"/>
      <c r="C60" s="115">
        <f>IF(OR(B60="",B59=""),"",B60/B59-1)</f>
        <v/>
      </c>
      <c r="D60" s="115">
        <f>IF(B60="","",IFERROR(B60/INDEX($B$2:$B$400,MATCH(DATE(YEAR(A60)-1,12,1),$A$2:$A$400,0))-1,""))</f>
        <v/>
      </c>
      <c r="E60" s="115">
        <f>IF(B60="","",IFERROR(B60/INDEX($B$2:$B$400,MATCH(DATE(YEAR(A60)-1,MONTH(A60),1),$A$2:$A$400,0))-1,""))</f>
        <v/>
      </c>
    </row>
    <row r="61">
      <c r="A61" s="117" t="n"/>
      <c r="B61" s="118" t="n"/>
      <c r="C61" s="115">
        <f>IF(OR(B61="",B60=""),"",B61/B60-1)</f>
        <v/>
      </c>
      <c r="D61" s="115">
        <f>IF(B61="","",IFERROR(B61/INDEX($B$2:$B$400,MATCH(DATE(YEAR(A61)-1,12,1),$A$2:$A$400,0))-1,""))</f>
        <v/>
      </c>
      <c r="E61" s="115">
        <f>IF(B61="","",IFERROR(B61/INDEX($B$2:$B$400,MATCH(DATE(YEAR(A61)-1,MONTH(A61),1),$A$2:$A$400,0))-1,""))</f>
        <v/>
      </c>
    </row>
    <row r="62">
      <c r="A62" s="117" t="n"/>
      <c r="B62" s="118" t="n"/>
      <c r="C62" s="115">
        <f>IF(OR(B62="",B61=""),"",B62/B61-1)</f>
        <v/>
      </c>
      <c r="D62" s="115">
        <f>IF(B62="","",IFERROR(B62/INDEX($B$2:$B$400,MATCH(DATE(YEAR(A62)-1,12,1),$A$2:$A$400,0))-1,""))</f>
        <v/>
      </c>
      <c r="E62" s="115">
        <f>IF(B62="","",IFERROR(B62/INDEX($B$2:$B$400,MATCH(DATE(YEAR(A62)-1,MONTH(A62),1),$A$2:$A$400,0))-1,""))</f>
        <v/>
      </c>
    </row>
    <row r="63">
      <c r="A63" s="117" t="n"/>
      <c r="B63" s="118" t="n"/>
      <c r="C63" s="115">
        <f>IF(OR(B63="",B62=""),"",B63/B62-1)</f>
        <v/>
      </c>
      <c r="D63" s="115">
        <f>IF(B63="","",IFERROR(B63/INDEX($B$2:$B$400,MATCH(DATE(YEAR(A63)-1,12,1),$A$2:$A$400,0))-1,""))</f>
        <v/>
      </c>
      <c r="E63" s="115">
        <f>IF(B63="","",IFERROR(B63/INDEX($B$2:$B$400,MATCH(DATE(YEAR(A63)-1,MONTH(A63),1),$A$2:$A$400,0))-1,""))</f>
        <v/>
      </c>
    </row>
    <row r="64">
      <c r="A64" s="117" t="n"/>
      <c r="B64" s="118" t="n"/>
      <c r="C64" s="115">
        <f>IF(OR(B64="",B63=""),"",B64/B63-1)</f>
        <v/>
      </c>
      <c r="D64" s="115">
        <f>IF(B64="","",IFERROR(B64/INDEX($B$2:$B$400,MATCH(DATE(YEAR(A64)-1,12,1),$A$2:$A$400,0))-1,""))</f>
        <v/>
      </c>
      <c r="E64" s="115">
        <f>IF(B64="","",IFERROR(B64/INDEX($B$2:$B$400,MATCH(DATE(YEAR(A64)-1,MONTH(A64),1),$A$2:$A$400,0))-1,""))</f>
        <v/>
      </c>
    </row>
    <row r="65">
      <c r="A65" s="117" t="n"/>
      <c r="B65" s="118" t="n"/>
      <c r="C65" s="115">
        <f>IF(OR(B65="",B64=""),"",B65/B64-1)</f>
        <v/>
      </c>
      <c r="D65" s="115">
        <f>IF(B65="","",IFERROR(B65/INDEX($B$2:$B$400,MATCH(DATE(YEAR(A65)-1,12,1),$A$2:$A$400,0))-1,""))</f>
        <v/>
      </c>
      <c r="E65" s="115">
        <f>IF(B65="","",IFERROR(B65/INDEX($B$2:$B$400,MATCH(DATE(YEAR(A65)-1,MONTH(A65),1),$A$2:$A$400,0))-1,""))</f>
        <v/>
      </c>
    </row>
    <row r="66">
      <c r="A66" s="117" t="n"/>
      <c r="B66" s="118" t="n"/>
      <c r="C66" s="115">
        <f>IF(OR(B66="",B65=""),"",B66/B65-1)</f>
        <v/>
      </c>
      <c r="D66" s="115">
        <f>IF(B66="","",IFERROR(B66/INDEX($B$2:$B$400,MATCH(DATE(YEAR(A66)-1,12,1),$A$2:$A$400,0))-1,""))</f>
        <v/>
      </c>
      <c r="E66" s="115">
        <f>IF(B66="","",IFERROR(B66/INDEX($B$2:$B$400,MATCH(DATE(YEAR(A66)-1,MONTH(A66),1),$A$2:$A$400,0))-1,""))</f>
        <v/>
      </c>
    </row>
    <row r="67">
      <c r="A67" s="117" t="n"/>
      <c r="B67" s="118" t="n"/>
      <c r="C67" s="115">
        <f>IF(OR(B67="",B66=""),"",B67/B66-1)</f>
        <v/>
      </c>
      <c r="D67" s="115">
        <f>IF(B67="","",IFERROR(B67/INDEX($B$2:$B$400,MATCH(DATE(YEAR(A67)-1,12,1),$A$2:$A$400,0))-1,""))</f>
        <v/>
      </c>
      <c r="E67" s="115">
        <f>IF(B67="","",IFERROR(B67/INDEX($B$2:$B$400,MATCH(DATE(YEAR(A67)-1,MONTH(A67),1),$A$2:$A$400,0))-1,""))</f>
        <v/>
      </c>
    </row>
    <row r="68">
      <c r="A68" s="117" t="n"/>
      <c r="B68" s="118" t="n"/>
      <c r="C68" s="115">
        <f>IF(OR(B68="",B67=""),"",B68/B67-1)</f>
        <v/>
      </c>
      <c r="D68" s="115">
        <f>IF(B68="","",IFERROR(B68/INDEX($B$2:$B$400,MATCH(DATE(YEAR(A68)-1,12,1),$A$2:$A$400,0))-1,""))</f>
        <v/>
      </c>
      <c r="E68" s="115">
        <f>IF(B68="","",IFERROR(B68/INDEX($B$2:$B$400,MATCH(DATE(YEAR(A68)-1,MONTH(A68),1),$A$2:$A$400,0))-1,""))</f>
        <v/>
      </c>
    </row>
    <row r="69">
      <c r="A69" s="117" t="n"/>
      <c r="B69" s="118" t="n"/>
      <c r="C69" s="115">
        <f>IF(OR(B69="",B68=""),"",B69/B68-1)</f>
        <v/>
      </c>
      <c r="D69" s="115">
        <f>IF(B69="","",IFERROR(B69/INDEX($B$2:$B$400,MATCH(DATE(YEAR(A69)-1,12,1),$A$2:$A$400,0))-1,""))</f>
        <v/>
      </c>
      <c r="E69" s="115">
        <f>IF(B69="","",IFERROR(B69/INDEX($B$2:$B$400,MATCH(DATE(YEAR(A69)-1,MONTH(A69),1),$A$2:$A$400,0))-1,""))</f>
        <v/>
      </c>
    </row>
    <row r="70">
      <c r="A70" s="117" t="n"/>
      <c r="B70" s="118" t="n"/>
      <c r="C70" s="115">
        <f>IF(OR(B70="",B69=""),"",B70/B69-1)</f>
        <v/>
      </c>
      <c r="D70" s="115">
        <f>IF(B70="","",IFERROR(B70/INDEX($B$2:$B$400,MATCH(DATE(YEAR(A70)-1,12,1),$A$2:$A$400,0))-1,""))</f>
        <v/>
      </c>
      <c r="E70" s="115">
        <f>IF(B70="","",IFERROR(B70/INDEX($B$2:$B$400,MATCH(DATE(YEAR(A70)-1,MONTH(A70),1),$A$2:$A$400,0))-1,""))</f>
        <v/>
      </c>
    </row>
    <row r="71">
      <c r="A71" s="117" t="n"/>
      <c r="B71" s="118" t="n"/>
      <c r="C71" s="115">
        <f>IF(OR(B71="",B70=""),"",B71/B70-1)</f>
        <v/>
      </c>
      <c r="D71" s="115">
        <f>IF(B71="","",IFERROR(B71/INDEX($B$2:$B$400,MATCH(DATE(YEAR(A71)-1,12,1),$A$2:$A$400,0))-1,""))</f>
        <v/>
      </c>
      <c r="E71" s="115">
        <f>IF(B71="","",IFERROR(B71/INDEX($B$2:$B$400,MATCH(DATE(YEAR(A71)-1,MONTH(A71),1),$A$2:$A$400,0))-1,""))</f>
        <v/>
      </c>
    </row>
    <row r="72">
      <c r="A72" s="117" t="n"/>
      <c r="B72" s="118" t="n"/>
      <c r="C72" s="115">
        <f>IF(OR(B72="",B71=""),"",B72/B71-1)</f>
        <v/>
      </c>
      <c r="D72" s="115">
        <f>IF(B72="","",IFERROR(B72/INDEX($B$2:$B$400,MATCH(DATE(YEAR(A72)-1,12,1),$A$2:$A$400,0))-1,""))</f>
        <v/>
      </c>
      <c r="E72" s="115">
        <f>IF(B72="","",IFERROR(B72/INDEX($B$2:$B$400,MATCH(DATE(YEAR(A72)-1,MONTH(A72),1),$A$2:$A$400,0))-1,""))</f>
        <v/>
      </c>
    </row>
    <row r="73">
      <c r="A73" s="117" t="n"/>
      <c r="B73" s="118" t="n"/>
      <c r="C73" s="115">
        <f>IF(OR(B73="",B72=""),"",B73/B72-1)</f>
        <v/>
      </c>
      <c r="D73" s="115">
        <f>IF(B73="","",IFERROR(B73/INDEX($B$2:$B$400,MATCH(DATE(YEAR(A73)-1,12,1),$A$2:$A$400,0))-1,""))</f>
        <v/>
      </c>
      <c r="E73" s="115">
        <f>IF(B73="","",IFERROR(B73/INDEX($B$2:$B$400,MATCH(DATE(YEAR(A73)-1,MONTH(A73),1),$A$2:$A$400,0))-1,""))</f>
        <v/>
      </c>
    </row>
    <row r="74">
      <c r="A74" s="117" t="n"/>
      <c r="B74" s="118" t="n"/>
      <c r="C74" s="115">
        <f>IF(OR(B74="",B73=""),"",B74/B73-1)</f>
        <v/>
      </c>
      <c r="D74" s="115">
        <f>IF(B74="","",IFERROR(B74/INDEX($B$2:$B$400,MATCH(DATE(YEAR(A74)-1,12,1),$A$2:$A$400,0))-1,""))</f>
        <v/>
      </c>
      <c r="E74" s="115">
        <f>IF(B74="","",IFERROR(B74/INDEX($B$2:$B$400,MATCH(DATE(YEAR(A74)-1,MONTH(A74),1),$A$2:$A$400,0))-1,""))</f>
        <v/>
      </c>
    </row>
    <row r="75">
      <c r="A75" s="117" t="n"/>
      <c r="B75" s="118" t="n"/>
      <c r="C75" s="115">
        <f>IF(OR(B75="",B74=""),"",B75/B74-1)</f>
        <v/>
      </c>
      <c r="D75" s="115">
        <f>IF(B75="","",IFERROR(B75/INDEX($B$2:$B$400,MATCH(DATE(YEAR(A75)-1,12,1),$A$2:$A$400,0))-1,""))</f>
        <v/>
      </c>
      <c r="E75" s="115">
        <f>IF(B75="","",IFERROR(B75/INDEX($B$2:$B$400,MATCH(DATE(YEAR(A75)-1,MONTH(A75),1),$A$2:$A$400,0))-1,""))</f>
        <v/>
      </c>
    </row>
    <row r="76">
      <c r="A76" s="117" t="n"/>
      <c r="B76" s="118" t="n"/>
      <c r="C76" s="115">
        <f>IF(OR(B76="",B75=""),"",B76/B75-1)</f>
        <v/>
      </c>
      <c r="D76" s="115">
        <f>IF(B76="","",IFERROR(B76/INDEX($B$2:$B$400,MATCH(DATE(YEAR(A76)-1,12,1),$A$2:$A$400,0))-1,""))</f>
        <v/>
      </c>
      <c r="E76" s="115">
        <f>IF(B76="","",IFERROR(B76/INDEX($B$2:$B$400,MATCH(DATE(YEAR(A76)-1,MONTH(A76),1),$A$2:$A$400,0))-1,""))</f>
        <v/>
      </c>
    </row>
    <row r="77">
      <c r="A77" s="117" t="n"/>
      <c r="B77" s="118" t="n"/>
      <c r="C77" s="115">
        <f>IF(OR(B77="",B76=""),"",B77/B76-1)</f>
        <v/>
      </c>
      <c r="D77" s="115">
        <f>IF(B77="","",IFERROR(B77/INDEX($B$2:$B$400,MATCH(DATE(YEAR(A77)-1,12,1),$A$2:$A$400,0))-1,""))</f>
        <v/>
      </c>
      <c r="E77" s="115">
        <f>IF(B77="","",IFERROR(B77/INDEX($B$2:$B$400,MATCH(DATE(YEAR(A77)-1,MONTH(A77),1),$A$2:$A$400,0))-1,""))</f>
        <v/>
      </c>
    </row>
    <row r="78">
      <c r="A78" s="117" t="n"/>
      <c r="B78" s="118" t="n"/>
      <c r="C78" s="115">
        <f>IF(OR(B78="",B77=""),"",B78/B77-1)</f>
        <v/>
      </c>
      <c r="D78" s="115">
        <f>IF(B78="","",IFERROR(B78/INDEX($B$2:$B$400,MATCH(DATE(YEAR(A78)-1,12,1),$A$2:$A$400,0))-1,""))</f>
        <v/>
      </c>
      <c r="E78" s="115">
        <f>IF(B78="","",IFERROR(B78/INDEX($B$2:$B$400,MATCH(DATE(YEAR(A78)-1,MONTH(A78),1),$A$2:$A$400,0))-1,""))</f>
        <v/>
      </c>
    </row>
    <row r="79">
      <c r="A79" s="117" t="n"/>
      <c r="B79" s="118" t="n"/>
      <c r="C79" s="115">
        <f>IF(OR(B79="",B78=""),"",B79/B78-1)</f>
        <v/>
      </c>
      <c r="D79" s="115">
        <f>IF(B79="","",IFERROR(B79/INDEX($B$2:$B$400,MATCH(DATE(YEAR(A79)-1,12,1),$A$2:$A$400,0))-1,""))</f>
        <v/>
      </c>
      <c r="E79" s="115">
        <f>IF(B79="","",IFERROR(B79/INDEX($B$2:$B$400,MATCH(DATE(YEAR(A79)-1,MONTH(A79),1),$A$2:$A$400,0))-1,""))</f>
        <v/>
      </c>
    </row>
    <row r="80">
      <c r="A80" s="117" t="n"/>
      <c r="B80" s="118" t="n"/>
      <c r="C80" s="115">
        <f>IF(OR(B80="",B79=""),"",B80/B79-1)</f>
        <v/>
      </c>
      <c r="D80" s="115">
        <f>IF(B80="","",IFERROR(B80/INDEX($B$2:$B$400,MATCH(DATE(YEAR(A80)-1,12,1),$A$2:$A$400,0))-1,""))</f>
        <v/>
      </c>
      <c r="E80" s="115">
        <f>IF(B80="","",IFERROR(B80/INDEX($B$2:$B$400,MATCH(DATE(YEAR(A80)-1,MONTH(A80),1),$A$2:$A$400,0))-1,""))</f>
        <v/>
      </c>
    </row>
    <row r="81">
      <c r="A81" s="117" t="n"/>
      <c r="B81" s="118" t="n"/>
      <c r="C81" s="115">
        <f>IF(OR(B81="",B80=""),"",B81/B80-1)</f>
        <v/>
      </c>
      <c r="D81" s="115">
        <f>IF(B81="","",IFERROR(B81/INDEX($B$2:$B$400,MATCH(DATE(YEAR(A81)-1,12,1),$A$2:$A$400,0))-1,""))</f>
        <v/>
      </c>
      <c r="E81" s="115">
        <f>IF(B81="","",IFERROR(B81/INDEX($B$2:$B$400,MATCH(DATE(YEAR(A81)-1,MONTH(A81),1),$A$2:$A$400,0))-1,""))</f>
        <v/>
      </c>
    </row>
    <row r="82">
      <c r="A82" s="117" t="n"/>
      <c r="B82" s="118" t="n"/>
      <c r="C82" s="115">
        <f>IF(OR(B82="",B81=""),"",B82/B81-1)</f>
        <v/>
      </c>
      <c r="D82" s="115">
        <f>IF(B82="","",IFERROR(B82/INDEX($B$2:$B$400,MATCH(DATE(YEAR(A82)-1,12,1),$A$2:$A$400,0))-1,""))</f>
        <v/>
      </c>
      <c r="E82" s="115">
        <f>IF(B82="","",IFERROR(B82/INDEX($B$2:$B$400,MATCH(DATE(YEAR(A82)-1,MONTH(A82),1),$A$2:$A$400,0))-1,""))</f>
        <v/>
      </c>
    </row>
    <row r="83">
      <c r="A83" s="117" t="n"/>
      <c r="B83" s="118" t="n"/>
      <c r="C83" s="115">
        <f>IF(OR(B83="",B82=""),"",B83/B82-1)</f>
        <v/>
      </c>
      <c r="D83" s="115">
        <f>IF(B83="","",IFERROR(B83/INDEX($B$2:$B$400,MATCH(DATE(YEAR(A83)-1,12,1),$A$2:$A$400,0))-1,""))</f>
        <v/>
      </c>
      <c r="E83" s="115">
        <f>IF(B83="","",IFERROR(B83/INDEX($B$2:$B$400,MATCH(DATE(YEAR(A83)-1,MONTH(A83),1),$A$2:$A$400,0))-1,""))</f>
        <v/>
      </c>
    </row>
    <row r="84">
      <c r="A84" s="117" t="n"/>
      <c r="B84" s="118" t="n"/>
      <c r="C84" s="115">
        <f>IF(OR(B84="",B83=""),"",B84/B83-1)</f>
        <v/>
      </c>
      <c r="D84" s="115">
        <f>IF(B84="","",IFERROR(B84/INDEX($B$2:$B$400,MATCH(DATE(YEAR(A84)-1,12,1),$A$2:$A$400,0))-1,""))</f>
        <v/>
      </c>
      <c r="E84" s="115">
        <f>IF(B84="","",IFERROR(B84/INDEX($B$2:$B$400,MATCH(DATE(YEAR(A84)-1,MONTH(A84),1),$A$2:$A$400,0))-1,""))</f>
        <v/>
      </c>
    </row>
    <row r="85">
      <c r="A85" s="117" t="n"/>
      <c r="B85" s="118" t="n"/>
      <c r="C85" s="115">
        <f>IF(OR(B85="",B84=""),"",B85/B84-1)</f>
        <v/>
      </c>
      <c r="D85" s="115">
        <f>IF(B85="","",IFERROR(B85/INDEX($B$2:$B$400,MATCH(DATE(YEAR(A85)-1,12,1),$A$2:$A$400,0))-1,""))</f>
        <v/>
      </c>
      <c r="E85" s="115">
        <f>IF(B85="","",IFERROR(B85/INDEX($B$2:$B$400,MATCH(DATE(YEAR(A85)-1,MONTH(A85),1),$A$2:$A$400,0))-1,""))</f>
        <v/>
      </c>
    </row>
    <row r="86">
      <c r="A86" s="117" t="n"/>
      <c r="B86" s="118" t="n"/>
      <c r="C86" s="115">
        <f>IF(OR(B86="",B85=""),"",B86/B85-1)</f>
        <v/>
      </c>
      <c r="D86" s="115">
        <f>IF(B86="","",IFERROR(B86/INDEX($B$2:$B$400,MATCH(DATE(YEAR(A86)-1,12,1),$A$2:$A$400,0))-1,""))</f>
        <v/>
      </c>
      <c r="E86" s="115">
        <f>IF(B86="","",IFERROR(B86/INDEX($B$2:$B$400,MATCH(DATE(YEAR(A86)-1,MONTH(A86),1),$A$2:$A$400,0))-1,""))</f>
        <v/>
      </c>
    </row>
    <row r="87">
      <c r="A87" s="117" t="n"/>
      <c r="B87" s="118" t="n"/>
      <c r="C87" s="115">
        <f>IF(OR(B87="",B86=""),"",B87/B86-1)</f>
        <v/>
      </c>
      <c r="D87" s="115">
        <f>IF(B87="","",IFERROR(B87/INDEX($B$2:$B$400,MATCH(DATE(YEAR(A87)-1,12,1),$A$2:$A$400,0))-1,""))</f>
        <v/>
      </c>
      <c r="E87" s="115">
        <f>IF(B87="","",IFERROR(B87/INDEX($B$2:$B$400,MATCH(DATE(YEAR(A87)-1,MONTH(A87),1),$A$2:$A$400,0))-1,""))</f>
        <v/>
      </c>
    </row>
    <row r="88">
      <c r="A88" s="117" t="n"/>
      <c r="B88" s="118" t="n"/>
      <c r="C88" s="115">
        <f>IF(OR(B88="",B87=""),"",B88/B87-1)</f>
        <v/>
      </c>
      <c r="D88" s="115">
        <f>IF(B88="","",IFERROR(B88/INDEX($B$2:$B$400,MATCH(DATE(YEAR(A88)-1,12,1),$A$2:$A$400,0))-1,""))</f>
        <v/>
      </c>
      <c r="E88" s="115">
        <f>IF(B88="","",IFERROR(B88/INDEX($B$2:$B$400,MATCH(DATE(YEAR(A88)-1,MONTH(A88),1),$A$2:$A$400,0))-1,""))</f>
        <v/>
      </c>
    </row>
    <row r="89">
      <c r="A89" s="117" t="n"/>
      <c r="B89" s="118" t="n"/>
      <c r="C89" s="115">
        <f>IF(OR(B89="",B88=""),"",B89/B88-1)</f>
        <v/>
      </c>
      <c r="D89" s="115">
        <f>IF(B89="","",IFERROR(B89/INDEX($B$2:$B$400,MATCH(DATE(YEAR(A89)-1,12,1),$A$2:$A$400,0))-1,""))</f>
        <v/>
      </c>
      <c r="E89" s="115">
        <f>IF(B89="","",IFERROR(B89/INDEX($B$2:$B$400,MATCH(DATE(YEAR(A89)-1,MONTH(A89),1),$A$2:$A$400,0))-1,""))</f>
        <v/>
      </c>
    </row>
    <row r="90">
      <c r="A90" s="117" t="n"/>
      <c r="B90" s="118" t="n"/>
      <c r="C90" s="115">
        <f>IF(OR(B90="",B89=""),"",B90/B89-1)</f>
        <v/>
      </c>
      <c r="D90" s="115">
        <f>IF(B90="","",IFERROR(B90/INDEX($B$2:$B$400,MATCH(DATE(YEAR(A90)-1,12,1),$A$2:$A$400,0))-1,""))</f>
        <v/>
      </c>
      <c r="E90" s="115">
        <f>IF(B90="","",IFERROR(B90/INDEX($B$2:$B$400,MATCH(DATE(YEAR(A90)-1,MONTH(A90),1),$A$2:$A$400,0))-1,""))</f>
        <v/>
      </c>
    </row>
    <row r="91">
      <c r="A91" s="117" t="n"/>
      <c r="B91" s="118" t="n"/>
      <c r="C91" s="115">
        <f>IF(OR(B91="",B90=""),"",B91/B90-1)</f>
        <v/>
      </c>
      <c r="D91" s="115">
        <f>IF(B91="","",IFERROR(B91/INDEX($B$2:$B$400,MATCH(DATE(YEAR(A91)-1,12,1),$A$2:$A$400,0))-1,""))</f>
        <v/>
      </c>
      <c r="E91" s="115">
        <f>IF(B91="","",IFERROR(B91/INDEX($B$2:$B$400,MATCH(DATE(YEAR(A91)-1,MONTH(A91),1),$A$2:$A$400,0))-1,""))</f>
        <v/>
      </c>
    </row>
    <row r="92">
      <c r="A92" s="117" t="n"/>
      <c r="B92" s="118" t="n"/>
      <c r="C92" s="115">
        <f>IF(OR(B92="",B91=""),"",B92/B91-1)</f>
        <v/>
      </c>
      <c r="D92" s="115">
        <f>IF(B92="","",IFERROR(B92/INDEX($B$2:$B$400,MATCH(DATE(YEAR(A92)-1,12,1),$A$2:$A$400,0))-1,""))</f>
        <v/>
      </c>
      <c r="E92" s="115">
        <f>IF(B92="","",IFERROR(B92/INDEX($B$2:$B$400,MATCH(DATE(YEAR(A92)-1,MONTH(A92),1),$A$2:$A$400,0))-1,""))</f>
        <v/>
      </c>
    </row>
    <row r="93">
      <c r="A93" s="117" t="n"/>
      <c r="B93" s="118" t="n"/>
      <c r="C93" s="115">
        <f>IF(OR(B93="",B92=""),"",B93/B92-1)</f>
        <v/>
      </c>
      <c r="D93" s="115">
        <f>IF(B93="","",IFERROR(B93/INDEX($B$2:$B$400,MATCH(DATE(YEAR(A93)-1,12,1),$A$2:$A$400,0))-1,""))</f>
        <v/>
      </c>
      <c r="E93" s="115">
        <f>IF(B93="","",IFERROR(B93/INDEX($B$2:$B$400,MATCH(DATE(YEAR(A93)-1,MONTH(A93),1),$A$2:$A$400,0))-1,""))</f>
        <v/>
      </c>
    </row>
    <row r="94">
      <c r="A94" s="117" t="n"/>
      <c r="B94" s="118" t="n"/>
      <c r="C94" s="115">
        <f>IF(OR(B94="",B93=""),"",B94/B93-1)</f>
        <v/>
      </c>
      <c r="D94" s="115">
        <f>IF(B94="","",IFERROR(B94/INDEX($B$2:$B$400,MATCH(DATE(YEAR(A94)-1,12,1),$A$2:$A$400,0))-1,""))</f>
        <v/>
      </c>
      <c r="E94" s="115">
        <f>IF(B94="","",IFERROR(B94/INDEX($B$2:$B$400,MATCH(DATE(YEAR(A94)-1,MONTH(A94),1),$A$2:$A$400,0))-1,""))</f>
        <v/>
      </c>
    </row>
    <row r="95">
      <c r="A95" s="117" t="n"/>
      <c r="B95" s="118" t="n"/>
      <c r="C95" s="115">
        <f>IF(OR(B95="",B94=""),"",B95/B94-1)</f>
        <v/>
      </c>
      <c r="D95" s="115">
        <f>IF(B95="","",IFERROR(B95/INDEX($B$2:$B$400,MATCH(DATE(YEAR(A95)-1,12,1),$A$2:$A$400,0))-1,""))</f>
        <v/>
      </c>
      <c r="E95" s="115">
        <f>IF(B95="","",IFERROR(B95/INDEX($B$2:$B$400,MATCH(DATE(YEAR(A95)-1,MONTH(A95),1),$A$2:$A$400,0))-1,""))</f>
        <v/>
      </c>
    </row>
    <row r="96">
      <c r="A96" s="117" t="n"/>
      <c r="B96" s="118" t="n"/>
      <c r="C96" s="115">
        <f>IF(OR(B96="",B95=""),"",B96/B95-1)</f>
        <v/>
      </c>
      <c r="D96" s="115">
        <f>IF(B96="","",IFERROR(B96/INDEX($B$2:$B$400,MATCH(DATE(YEAR(A96)-1,12,1),$A$2:$A$400,0))-1,""))</f>
        <v/>
      </c>
      <c r="E96" s="115">
        <f>IF(B96="","",IFERROR(B96/INDEX($B$2:$B$400,MATCH(DATE(YEAR(A96)-1,MONTH(A96),1),$A$2:$A$400,0))-1,""))</f>
        <v/>
      </c>
    </row>
    <row r="97">
      <c r="A97" s="117" t="n"/>
      <c r="B97" s="118" t="n"/>
      <c r="C97" s="115">
        <f>IF(OR(B97="",B96=""),"",B97/B96-1)</f>
        <v/>
      </c>
      <c r="D97" s="115">
        <f>IF(B97="","",IFERROR(B97/INDEX($B$2:$B$400,MATCH(DATE(YEAR(A97)-1,12,1),$A$2:$A$400,0))-1,""))</f>
        <v/>
      </c>
      <c r="E97" s="115">
        <f>IF(B97="","",IFERROR(B97/INDEX($B$2:$B$400,MATCH(DATE(YEAR(A97)-1,MONTH(A97),1),$A$2:$A$400,0))-1,""))</f>
        <v/>
      </c>
    </row>
    <row r="98">
      <c r="A98" s="117" t="n"/>
      <c r="B98" s="118" t="n"/>
      <c r="C98" s="115">
        <f>IF(OR(B98="",B97=""),"",B98/B97-1)</f>
        <v/>
      </c>
      <c r="D98" s="115">
        <f>IF(B98="","",IFERROR(B98/INDEX($B$2:$B$400,MATCH(DATE(YEAR(A98)-1,12,1),$A$2:$A$400,0))-1,""))</f>
        <v/>
      </c>
      <c r="E98" s="115">
        <f>IF(B98="","",IFERROR(B98/INDEX($B$2:$B$400,MATCH(DATE(YEAR(A98)-1,MONTH(A98),1),$A$2:$A$400,0))-1,""))</f>
        <v/>
      </c>
    </row>
    <row r="99">
      <c r="A99" s="117" t="n"/>
      <c r="B99" s="118" t="n"/>
      <c r="C99" s="115">
        <f>IF(OR(B99="",B98=""),"",B99/B98-1)</f>
        <v/>
      </c>
      <c r="D99" s="115">
        <f>IF(B99="","",IFERROR(B99/INDEX($B$2:$B$400,MATCH(DATE(YEAR(A99)-1,12,1),$A$2:$A$400,0))-1,""))</f>
        <v/>
      </c>
      <c r="E99" s="115">
        <f>IF(B99="","",IFERROR(B99/INDEX($B$2:$B$400,MATCH(DATE(YEAR(A99)-1,MONTH(A99),1),$A$2:$A$400,0))-1,""))</f>
        <v/>
      </c>
    </row>
    <row r="100">
      <c r="A100" s="117" t="n"/>
      <c r="B100" s="118" t="n"/>
      <c r="C100" s="115">
        <f>IF(OR(B100="",B99=""),"",B100/B99-1)</f>
        <v/>
      </c>
      <c r="D100" s="115">
        <f>IF(B100="","",IFERROR(B100/INDEX($B$2:$B$400,MATCH(DATE(YEAR(A100)-1,12,1),$A$2:$A$400,0))-1,""))</f>
        <v/>
      </c>
      <c r="E100" s="115">
        <f>IF(B100="","",IFERROR(B100/INDEX($B$2:$B$400,MATCH(DATE(YEAR(A100)-1,MONTH(A100),1),$A$2:$A$400,0))-1,""))</f>
        <v/>
      </c>
    </row>
    <row r="101">
      <c r="A101" s="117" t="n"/>
      <c r="B101" s="118" t="n"/>
      <c r="C101" s="115">
        <f>IF(OR(B101="",B100=""),"",B101/B100-1)</f>
        <v/>
      </c>
      <c r="D101" s="115">
        <f>IF(B101="","",IFERROR(B101/INDEX($B$2:$B$400,MATCH(DATE(YEAR(A101)-1,12,1),$A$2:$A$400,0))-1,""))</f>
        <v/>
      </c>
      <c r="E101" s="115">
        <f>IF(B101="","",IFERROR(B101/INDEX($B$2:$B$400,MATCH(DATE(YEAR(A101)-1,MONTH(A101),1),$A$2:$A$400,0))-1,""))</f>
        <v/>
      </c>
    </row>
    <row r="102">
      <c r="A102" s="117" t="n"/>
      <c r="B102" s="118" t="n"/>
      <c r="C102" s="115">
        <f>IF(OR(B102="",B101=""),"",B102/B101-1)</f>
        <v/>
      </c>
      <c r="D102" s="115">
        <f>IF(B102="","",IFERROR(B102/INDEX($B$2:$B$400,MATCH(DATE(YEAR(A102)-1,12,1),$A$2:$A$400,0))-1,""))</f>
        <v/>
      </c>
      <c r="E102" s="115">
        <f>IF(B102="","",IFERROR(B102/INDEX($B$2:$B$400,MATCH(DATE(YEAR(A102)-1,MONTH(A102),1),$A$2:$A$400,0))-1,""))</f>
        <v/>
      </c>
    </row>
    <row r="103">
      <c r="A103" s="117" t="n"/>
      <c r="B103" s="118" t="n"/>
      <c r="C103" s="115">
        <f>IF(OR(B103="",B102=""),"",B103/B102-1)</f>
        <v/>
      </c>
      <c r="D103" s="115">
        <f>IF(B103="","",IFERROR(B103/INDEX($B$2:$B$400,MATCH(DATE(YEAR(A103)-1,12,1),$A$2:$A$400,0))-1,""))</f>
        <v/>
      </c>
      <c r="E103" s="115">
        <f>IF(B103="","",IFERROR(B103/INDEX($B$2:$B$400,MATCH(DATE(YEAR(A103)-1,MONTH(A103),1),$A$2:$A$400,0))-1,""))</f>
        <v/>
      </c>
    </row>
    <row r="104">
      <c r="A104" s="117" t="n"/>
      <c r="B104" s="118" t="n"/>
      <c r="C104" s="115">
        <f>IF(OR(B104="",B103=""),"",B104/B103-1)</f>
        <v/>
      </c>
      <c r="D104" s="115">
        <f>IF(B104="","",IFERROR(B104/INDEX($B$2:$B$400,MATCH(DATE(YEAR(A104)-1,12,1),$A$2:$A$400,0))-1,""))</f>
        <v/>
      </c>
      <c r="E104" s="115">
        <f>IF(B104="","",IFERROR(B104/INDEX($B$2:$B$400,MATCH(DATE(YEAR(A104)-1,MONTH(A104),1),$A$2:$A$400,0))-1,""))</f>
        <v/>
      </c>
    </row>
    <row r="105">
      <c r="A105" s="117" t="n"/>
      <c r="B105" s="118" t="n"/>
      <c r="C105" s="115">
        <f>IF(OR(B105="",B104=""),"",B105/B104-1)</f>
        <v/>
      </c>
      <c r="D105" s="115">
        <f>IF(B105="","",IFERROR(B105/INDEX($B$2:$B$400,MATCH(DATE(YEAR(A105)-1,12,1),$A$2:$A$400,0))-1,""))</f>
        <v/>
      </c>
      <c r="E105" s="115">
        <f>IF(B105="","",IFERROR(B105/INDEX($B$2:$B$400,MATCH(DATE(YEAR(A105)-1,MONTH(A105),1),$A$2:$A$400,0))-1,""))</f>
        <v/>
      </c>
    </row>
    <row r="106">
      <c r="A106" s="117" t="n"/>
      <c r="B106" s="118" t="n"/>
      <c r="C106" s="115">
        <f>IF(OR(B106="",B105=""),"",B106/B105-1)</f>
        <v/>
      </c>
      <c r="D106" s="115">
        <f>IF(B106="","",IFERROR(B106/INDEX($B$2:$B$400,MATCH(DATE(YEAR(A106)-1,12,1),$A$2:$A$400,0))-1,""))</f>
        <v/>
      </c>
      <c r="E106" s="115">
        <f>IF(B106="","",IFERROR(B106/INDEX($B$2:$B$400,MATCH(DATE(YEAR(A106)-1,MONTH(A106),1),$A$2:$A$400,0))-1,""))</f>
        <v/>
      </c>
    </row>
    <row r="107">
      <c r="A107" s="117" t="n"/>
      <c r="B107" s="118" t="n"/>
      <c r="C107" s="115">
        <f>IF(OR(B107="",B106=""),"",B107/B106-1)</f>
        <v/>
      </c>
      <c r="D107" s="115">
        <f>IF(B107="","",IFERROR(B107/INDEX($B$2:$B$400,MATCH(DATE(YEAR(A107)-1,12,1),$A$2:$A$400,0))-1,""))</f>
        <v/>
      </c>
      <c r="E107" s="115">
        <f>IF(B107="","",IFERROR(B107/INDEX($B$2:$B$400,MATCH(DATE(YEAR(A107)-1,MONTH(A107),1),$A$2:$A$400,0))-1,""))</f>
        <v/>
      </c>
    </row>
    <row r="108">
      <c r="A108" s="117" t="n"/>
      <c r="B108" s="118" t="n"/>
      <c r="C108" s="115">
        <f>IF(OR(B108="",B107=""),"",B108/B107-1)</f>
        <v/>
      </c>
      <c r="D108" s="115">
        <f>IF(B108="","",IFERROR(B108/INDEX($B$2:$B$400,MATCH(DATE(YEAR(A108)-1,12,1),$A$2:$A$400,0))-1,""))</f>
        <v/>
      </c>
      <c r="E108" s="115">
        <f>IF(B108="","",IFERROR(B108/INDEX($B$2:$B$400,MATCH(DATE(YEAR(A108)-1,MONTH(A108),1),$A$2:$A$400,0))-1,""))</f>
        <v/>
      </c>
    </row>
    <row r="109">
      <c r="A109" s="117" t="n"/>
      <c r="B109" s="118" t="n"/>
      <c r="C109" s="115">
        <f>IF(OR(B109="",B108=""),"",B109/B108-1)</f>
        <v/>
      </c>
      <c r="D109" s="115">
        <f>IF(B109="","",IFERROR(B109/INDEX($B$2:$B$400,MATCH(DATE(YEAR(A109)-1,12,1),$A$2:$A$400,0))-1,""))</f>
        <v/>
      </c>
      <c r="E109" s="115">
        <f>IF(B109="","",IFERROR(B109/INDEX($B$2:$B$400,MATCH(DATE(YEAR(A109)-1,MONTH(A109),1),$A$2:$A$400,0))-1,""))</f>
        <v/>
      </c>
    </row>
    <row r="110">
      <c r="A110" s="117" t="n"/>
      <c r="B110" s="118" t="n"/>
      <c r="C110" s="115">
        <f>IF(OR(B110="",B109=""),"",B110/B109-1)</f>
        <v/>
      </c>
      <c r="D110" s="115">
        <f>IF(B110="","",IFERROR(B110/INDEX($B$2:$B$400,MATCH(DATE(YEAR(A110)-1,12,1),$A$2:$A$400,0))-1,""))</f>
        <v/>
      </c>
      <c r="E110" s="115">
        <f>IF(B110="","",IFERROR(B110/INDEX($B$2:$B$400,MATCH(DATE(YEAR(A110)-1,MONTH(A110),1),$A$2:$A$400,0))-1,""))</f>
        <v/>
      </c>
    </row>
    <row r="111">
      <c r="A111" s="117" t="n"/>
      <c r="B111" s="118" t="n"/>
      <c r="C111" s="115">
        <f>IF(OR(B111="",B110=""),"",B111/B110-1)</f>
        <v/>
      </c>
      <c r="D111" s="115">
        <f>IF(B111="","",IFERROR(B111/INDEX($B$2:$B$400,MATCH(DATE(YEAR(A111)-1,12,1),$A$2:$A$400,0))-1,""))</f>
        <v/>
      </c>
      <c r="E111" s="115">
        <f>IF(B111="","",IFERROR(B111/INDEX($B$2:$B$400,MATCH(DATE(YEAR(A111)-1,MONTH(A111),1),$A$2:$A$400,0))-1,""))</f>
        <v/>
      </c>
    </row>
    <row r="112">
      <c r="A112" s="117" t="n"/>
      <c r="B112" s="118" t="n"/>
      <c r="C112" s="115">
        <f>IF(OR(B112="",B111=""),"",B112/B111-1)</f>
        <v/>
      </c>
      <c r="D112" s="115">
        <f>IF(B112="","",IFERROR(B112/INDEX($B$2:$B$400,MATCH(DATE(YEAR(A112)-1,12,1),$A$2:$A$400,0))-1,""))</f>
        <v/>
      </c>
      <c r="E112" s="115">
        <f>IF(B112="","",IFERROR(B112/INDEX($B$2:$B$400,MATCH(DATE(YEAR(A112)-1,MONTH(A112),1),$A$2:$A$400,0))-1,""))</f>
        <v/>
      </c>
    </row>
    <row r="113">
      <c r="A113" s="117" t="n"/>
      <c r="B113" s="118" t="n"/>
      <c r="C113" s="115">
        <f>IF(OR(B113="",B112=""),"",B113/B112-1)</f>
        <v/>
      </c>
      <c r="D113" s="115">
        <f>IF(B113="","",IFERROR(B113/INDEX($B$2:$B$400,MATCH(DATE(YEAR(A113)-1,12,1),$A$2:$A$400,0))-1,""))</f>
        <v/>
      </c>
      <c r="E113" s="115">
        <f>IF(B113="","",IFERROR(B113/INDEX($B$2:$B$400,MATCH(DATE(YEAR(A113)-1,MONTH(A113),1),$A$2:$A$400,0))-1,""))</f>
        <v/>
      </c>
    </row>
    <row r="114">
      <c r="A114" s="117" t="n"/>
      <c r="B114" s="118" t="n"/>
      <c r="C114" s="115">
        <f>IF(OR(B114="",B113=""),"",B114/B113-1)</f>
        <v/>
      </c>
      <c r="D114" s="115">
        <f>IF(B114="","",IFERROR(B114/INDEX($B$2:$B$400,MATCH(DATE(YEAR(A114)-1,12,1),$A$2:$A$400,0))-1,""))</f>
        <v/>
      </c>
      <c r="E114" s="115">
        <f>IF(B114="","",IFERROR(B114/INDEX($B$2:$B$400,MATCH(DATE(YEAR(A114)-1,MONTH(A114),1),$A$2:$A$400,0))-1,""))</f>
        <v/>
      </c>
    </row>
    <row r="115">
      <c r="A115" s="117" t="n"/>
      <c r="B115" s="118" t="n"/>
      <c r="C115" s="115">
        <f>IF(OR(B115="",B114=""),"",B115/B114-1)</f>
        <v/>
      </c>
      <c r="D115" s="115">
        <f>IF(B115="","",IFERROR(B115/INDEX($B$2:$B$400,MATCH(DATE(YEAR(A115)-1,12,1),$A$2:$A$400,0))-1,""))</f>
        <v/>
      </c>
      <c r="E115" s="115">
        <f>IF(B115="","",IFERROR(B115/INDEX($B$2:$B$400,MATCH(DATE(YEAR(A115)-1,MONTH(A115),1),$A$2:$A$400,0))-1,""))</f>
        <v/>
      </c>
    </row>
    <row r="116">
      <c r="A116" s="117" t="n"/>
      <c r="B116" s="118" t="n"/>
      <c r="C116" s="115">
        <f>IF(OR(B116="",B115=""),"",B116/B115-1)</f>
        <v/>
      </c>
      <c r="D116" s="115">
        <f>IF(B116="","",IFERROR(B116/INDEX($B$2:$B$400,MATCH(DATE(YEAR(A116)-1,12,1),$A$2:$A$400,0))-1,""))</f>
        <v/>
      </c>
      <c r="E116" s="115">
        <f>IF(B116="","",IFERROR(B116/INDEX($B$2:$B$400,MATCH(DATE(YEAR(A116)-1,MONTH(A116),1),$A$2:$A$400,0))-1,""))</f>
        <v/>
      </c>
    </row>
    <row r="117">
      <c r="A117" s="117" t="n"/>
      <c r="B117" s="118" t="n"/>
      <c r="C117" s="115">
        <f>IF(OR(B117="",B116=""),"",B117/B116-1)</f>
        <v/>
      </c>
      <c r="D117" s="115">
        <f>IF(B117="","",IFERROR(B117/INDEX($B$2:$B$400,MATCH(DATE(YEAR(A117)-1,12,1),$A$2:$A$400,0))-1,""))</f>
        <v/>
      </c>
      <c r="E117" s="115">
        <f>IF(B117="","",IFERROR(B117/INDEX($B$2:$B$400,MATCH(DATE(YEAR(A117)-1,MONTH(A117),1),$A$2:$A$400,0))-1,""))</f>
        <v/>
      </c>
    </row>
    <row r="118">
      <c r="A118" s="117" t="n"/>
      <c r="B118" s="118" t="n"/>
      <c r="C118" s="115">
        <f>IF(OR(B118="",B117=""),"",B118/B117-1)</f>
        <v/>
      </c>
      <c r="D118" s="115">
        <f>IF(B118="","",IFERROR(B118/INDEX($B$2:$B$400,MATCH(DATE(YEAR(A118)-1,12,1),$A$2:$A$400,0))-1,""))</f>
        <v/>
      </c>
      <c r="E118" s="115">
        <f>IF(B118="","",IFERROR(B118/INDEX($B$2:$B$400,MATCH(DATE(YEAR(A118)-1,MONTH(A118),1),$A$2:$A$400,0))-1,""))</f>
        <v/>
      </c>
    </row>
    <row r="119">
      <c r="A119" s="117" t="n"/>
      <c r="B119" s="118" t="n"/>
      <c r="C119" s="115">
        <f>IF(OR(B119="",B118=""),"",B119/B118-1)</f>
        <v/>
      </c>
      <c r="D119" s="115">
        <f>IF(B119="","",IFERROR(B119/INDEX($B$2:$B$400,MATCH(DATE(YEAR(A119)-1,12,1),$A$2:$A$400,0))-1,""))</f>
        <v/>
      </c>
      <c r="E119" s="115">
        <f>IF(B119="","",IFERROR(B119/INDEX($B$2:$B$400,MATCH(DATE(YEAR(A119)-1,MONTH(A119),1),$A$2:$A$400,0))-1,""))</f>
        <v/>
      </c>
    </row>
    <row r="120">
      <c r="A120" s="117" t="n"/>
      <c r="B120" s="118" t="n"/>
      <c r="C120" s="115">
        <f>IF(OR(B120="",B119=""),"",B120/B119-1)</f>
        <v/>
      </c>
      <c r="D120" s="115">
        <f>IF(B120="","",IFERROR(B120/INDEX($B$2:$B$400,MATCH(DATE(YEAR(A120)-1,12,1),$A$2:$A$400,0))-1,""))</f>
        <v/>
      </c>
      <c r="E120" s="115">
        <f>IF(B120="","",IFERROR(B120/INDEX($B$2:$B$400,MATCH(DATE(YEAR(A120)-1,MONTH(A120),1),$A$2:$A$400,0))-1,""))</f>
        <v/>
      </c>
    </row>
    <row r="121">
      <c r="A121" s="117" t="n"/>
      <c r="B121" s="118" t="n"/>
      <c r="C121" s="115">
        <f>IF(OR(B121="",B120=""),"",B121/B120-1)</f>
        <v/>
      </c>
      <c r="D121" s="115">
        <f>IF(B121="","",IFERROR(B121/INDEX($B$2:$B$400,MATCH(DATE(YEAR(A121)-1,12,1),$A$2:$A$400,0))-1,""))</f>
        <v/>
      </c>
      <c r="E121" s="115">
        <f>IF(B121="","",IFERROR(B121/INDEX($B$2:$B$400,MATCH(DATE(YEAR(A121)-1,MONTH(A121),1),$A$2:$A$400,0))-1,""))</f>
        <v/>
      </c>
    </row>
    <row r="122">
      <c r="A122" s="117" t="n"/>
      <c r="B122" s="118" t="n"/>
      <c r="C122" s="115">
        <f>IF(OR(B122="",B121=""),"",B122/B121-1)</f>
        <v/>
      </c>
      <c r="D122" s="115">
        <f>IF(B122="","",IFERROR(B122/INDEX($B$2:$B$400,MATCH(DATE(YEAR(A122)-1,12,1),$A$2:$A$400,0))-1,""))</f>
        <v/>
      </c>
      <c r="E122" s="115">
        <f>IF(B122="","",IFERROR(B122/INDEX($B$2:$B$400,MATCH(DATE(YEAR(A122)-1,MONTH(A122),1),$A$2:$A$400,0))-1,""))</f>
        <v/>
      </c>
    </row>
    <row r="123">
      <c r="A123" s="117" t="n"/>
      <c r="B123" s="118" t="n"/>
      <c r="C123" s="115">
        <f>IF(OR(B123="",B122=""),"",B123/B122-1)</f>
        <v/>
      </c>
      <c r="D123" s="115">
        <f>IF(B123="","",IFERROR(B123/INDEX($B$2:$B$400,MATCH(DATE(YEAR(A123)-1,12,1),$A$2:$A$400,0))-1,""))</f>
        <v/>
      </c>
      <c r="E123" s="115">
        <f>IF(B123="","",IFERROR(B123/INDEX($B$2:$B$400,MATCH(DATE(YEAR(A123)-1,MONTH(A123),1),$A$2:$A$400,0))-1,""))</f>
        <v/>
      </c>
    </row>
    <row r="124">
      <c r="A124" s="117" t="n"/>
      <c r="B124" s="118" t="n"/>
      <c r="C124" s="115">
        <f>IF(OR(B124="",B123=""),"",B124/B123-1)</f>
        <v/>
      </c>
      <c r="D124" s="115">
        <f>IF(B124="","",IFERROR(B124/INDEX($B$2:$B$400,MATCH(DATE(YEAR(A124)-1,12,1),$A$2:$A$400,0))-1,""))</f>
        <v/>
      </c>
      <c r="E124" s="115">
        <f>IF(B124="","",IFERROR(B124/INDEX($B$2:$B$400,MATCH(DATE(YEAR(A124)-1,MONTH(A124),1),$A$2:$A$400,0))-1,""))</f>
        <v/>
      </c>
    </row>
    <row r="125">
      <c r="A125" s="117" t="n"/>
      <c r="B125" s="118" t="n"/>
      <c r="C125" s="115">
        <f>IF(OR(B125="",B124=""),"",B125/B124-1)</f>
        <v/>
      </c>
      <c r="D125" s="115">
        <f>IF(B125="","",IFERROR(B125/INDEX($B$2:$B$400,MATCH(DATE(YEAR(A125)-1,12,1),$A$2:$A$400,0))-1,""))</f>
        <v/>
      </c>
      <c r="E125" s="115">
        <f>IF(B125="","",IFERROR(B125/INDEX($B$2:$B$400,MATCH(DATE(YEAR(A125)-1,MONTH(A125),1),$A$2:$A$400,0))-1,""))</f>
        <v/>
      </c>
    </row>
    <row r="126">
      <c r="A126" s="117" t="n"/>
      <c r="B126" s="118" t="n"/>
      <c r="C126" s="115">
        <f>IF(OR(B126="",B125=""),"",B126/B125-1)</f>
        <v/>
      </c>
      <c r="D126" s="115">
        <f>IF(B126="","",IFERROR(B126/INDEX($B$2:$B$400,MATCH(DATE(YEAR(A126)-1,12,1),$A$2:$A$400,0))-1,""))</f>
        <v/>
      </c>
      <c r="E126" s="115">
        <f>IF(B126="","",IFERROR(B126/INDEX($B$2:$B$400,MATCH(DATE(YEAR(A126)-1,MONTH(A126),1),$A$2:$A$400,0))-1,""))</f>
        <v/>
      </c>
    </row>
    <row r="127">
      <c r="A127" s="117" t="n"/>
      <c r="B127" s="118" t="n"/>
      <c r="C127" s="115">
        <f>IF(OR(B127="",B126=""),"",B127/B126-1)</f>
        <v/>
      </c>
      <c r="D127" s="115">
        <f>IF(B127="","",IFERROR(B127/INDEX($B$2:$B$400,MATCH(DATE(YEAR(A127)-1,12,1),$A$2:$A$400,0))-1,""))</f>
        <v/>
      </c>
      <c r="E127" s="115">
        <f>IF(B127="","",IFERROR(B127/INDEX($B$2:$B$400,MATCH(DATE(YEAR(A127)-1,MONTH(A127),1),$A$2:$A$400,0))-1,""))</f>
        <v/>
      </c>
    </row>
    <row r="128">
      <c r="A128" s="117" t="n"/>
      <c r="B128" s="118" t="n"/>
      <c r="C128" s="115">
        <f>IF(OR(B128="",B127=""),"",B128/B127-1)</f>
        <v/>
      </c>
      <c r="D128" s="115">
        <f>IF(B128="","",IFERROR(B128/INDEX($B$2:$B$400,MATCH(DATE(YEAR(A128)-1,12,1),$A$2:$A$400,0))-1,""))</f>
        <v/>
      </c>
      <c r="E128" s="115">
        <f>IF(B128="","",IFERROR(B128/INDEX($B$2:$B$400,MATCH(DATE(YEAR(A128)-1,MONTH(A128),1),$A$2:$A$400,0))-1,""))</f>
        <v/>
      </c>
    </row>
    <row r="129">
      <c r="A129" s="117" t="n"/>
      <c r="B129" s="118" t="n"/>
      <c r="C129" s="115">
        <f>IF(OR(B129="",B128=""),"",B129/B128-1)</f>
        <v/>
      </c>
      <c r="D129" s="115">
        <f>IF(B129="","",IFERROR(B129/INDEX($B$2:$B$400,MATCH(DATE(YEAR(A129)-1,12,1),$A$2:$A$400,0))-1,""))</f>
        <v/>
      </c>
      <c r="E129" s="115">
        <f>IF(B129="","",IFERROR(B129/INDEX($B$2:$B$400,MATCH(DATE(YEAR(A129)-1,MONTH(A129),1),$A$2:$A$400,0))-1,""))</f>
        <v/>
      </c>
    </row>
    <row r="130">
      <c r="A130" s="117" t="n"/>
      <c r="B130" s="118" t="n"/>
      <c r="C130" s="115">
        <f>IF(OR(B130="",B129=""),"",B130/B129-1)</f>
        <v/>
      </c>
      <c r="D130" s="115">
        <f>IF(B130="","",IFERROR(B130/INDEX($B$2:$B$400,MATCH(DATE(YEAR(A130)-1,12,1),$A$2:$A$400,0))-1,""))</f>
        <v/>
      </c>
      <c r="E130" s="115">
        <f>IF(B130="","",IFERROR(B130/INDEX($B$2:$B$400,MATCH(DATE(YEAR(A130)-1,MONTH(A130),1),$A$2:$A$400,0))-1,""))</f>
        <v/>
      </c>
    </row>
    <row r="131">
      <c r="A131" s="117" t="n"/>
      <c r="B131" s="118" t="n"/>
      <c r="C131" s="115">
        <f>IF(OR(B131="",B130=""),"",B131/B130-1)</f>
        <v/>
      </c>
      <c r="D131" s="115">
        <f>IF(B131="","",IFERROR(B131/INDEX($B$2:$B$400,MATCH(DATE(YEAR(A131)-1,12,1),$A$2:$A$400,0))-1,""))</f>
        <v/>
      </c>
      <c r="E131" s="115">
        <f>IF(B131="","",IFERROR(B131/INDEX($B$2:$B$400,MATCH(DATE(YEAR(A131)-1,MONTH(A131),1),$A$2:$A$400,0))-1,""))</f>
        <v/>
      </c>
    </row>
    <row r="132">
      <c r="A132" s="117" t="n"/>
      <c r="B132" s="118" t="n"/>
      <c r="C132" s="115">
        <f>IF(OR(B132="",B131=""),"",B132/B131-1)</f>
        <v/>
      </c>
      <c r="D132" s="115">
        <f>IF(B132="","",IFERROR(B132/INDEX($B$2:$B$400,MATCH(DATE(YEAR(A132)-1,12,1),$A$2:$A$400,0))-1,""))</f>
        <v/>
      </c>
      <c r="E132" s="115">
        <f>IF(B132="","",IFERROR(B132/INDEX($B$2:$B$400,MATCH(DATE(YEAR(A132)-1,MONTH(A132),1),$A$2:$A$400,0))-1,""))</f>
        <v/>
      </c>
    </row>
    <row r="133">
      <c r="A133" s="117" t="n"/>
      <c r="B133" s="118" t="n"/>
      <c r="C133" s="115">
        <f>IF(OR(B133="",B132=""),"",B133/B132-1)</f>
        <v/>
      </c>
      <c r="D133" s="115">
        <f>IF(B133="","",IFERROR(B133/INDEX($B$2:$B$400,MATCH(DATE(YEAR(A133)-1,12,1),$A$2:$A$400,0))-1,""))</f>
        <v/>
      </c>
      <c r="E133" s="115">
        <f>IF(B133="","",IFERROR(B133/INDEX($B$2:$B$400,MATCH(DATE(YEAR(A133)-1,MONTH(A133),1),$A$2:$A$400,0))-1,""))</f>
        <v/>
      </c>
    </row>
    <row r="134">
      <c r="A134" s="117" t="n"/>
      <c r="B134" s="118" t="n"/>
      <c r="C134" s="115">
        <f>IF(OR(B134="",B133=""),"",B134/B133-1)</f>
        <v/>
      </c>
      <c r="D134" s="115">
        <f>IF(B134="","",IFERROR(B134/INDEX($B$2:$B$400,MATCH(DATE(YEAR(A134)-1,12,1),$A$2:$A$400,0))-1,""))</f>
        <v/>
      </c>
      <c r="E134" s="115">
        <f>IF(B134="","",IFERROR(B134/INDEX($B$2:$B$400,MATCH(DATE(YEAR(A134)-1,MONTH(A134),1),$A$2:$A$400,0))-1,""))</f>
        <v/>
      </c>
    </row>
    <row r="135">
      <c r="A135" s="117" t="n"/>
      <c r="B135" s="118" t="n"/>
      <c r="C135" s="115">
        <f>IF(OR(B135="",B134=""),"",B135/B134-1)</f>
        <v/>
      </c>
      <c r="D135" s="115">
        <f>IF(B135="","",IFERROR(B135/INDEX($B$2:$B$400,MATCH(DATE(YEAR(A135)-1,12,1),$A$2:$A$400,0))-1,""))</f>
        <v/>
      </c>
      <c r="E135" s="115">
        <f>IF(B135="","",IFERROR(B135/INDEX($B$2:$B$400,MATCH(DATE(YEAR(A135)-1,MONTH(A135),1),$A$2:$A$400,0))-1,""))</f>
        <v/>
      </c>
    </row>
    <row r="136">
      <c r="A136" s="117" t="n"/>
      <c r="B136" s="118" t="n"/>
      <c r="C136" s="115">
        <f>IF(OR(B136="",B135=""),"",B136/B135-1)</f>
        <v/>
      </c>
      <c r="D136" s="115">
        <f>IF(B136="","",IFERROR(B136/INDEX($B$2:$B$400,MATCH(DATE(YEAR(A136)-1,12,1),$A$2:$A$400,0))-1,""))</f>
        <v/>
      </c>
      <c r="E136" s="115">
        <f>IF(B136="","",IFERROR(B136/INDEX($B$2:$B$400,MATCH(DATE(YEAR(A136)-1,MONTH(A136),1),$A$2:$A$400,0))-1,""))</f>
        <v/>
      </c>
    </row>
    <row r="137">
      <c r="A137" s="117" t="n"/>
      <c r="B137" s="118" t="n"/>
      <c r="C137" s="115">
        <f>IF(OR(B137="",B136=""),"",B137/B136-1)</f>
        <v/>
      </c>
      <c r="D137" s="115">
        <f>IF(B137="","",IFERROR(B137/INDEX($B$2:$B$400,MATCH(DATE(YEAR(A137)-1,12,1),$A$2:$A$400,0))-1,""))</f>
        <v/>
      </c>
      <c r="E137" s="115">
        <f>IF(B137="","",IFERROR(B137/INDEX($B$2:$B$400,MATCH(DATE(YEAR(A137)-1,MONTH(A137),1),$A$2:$A$400,0))-1,""))</f>
        <v/>
      </c>
    </row>
    <row r="138">
      <c r="A138" s="117" t="n"/>
      <c r="B138" s="118" t="n"/>
      <c r="C138" s="115">
        <f>IF(OR(B138="",B137=""),"",B138/B137-1)</f>
        <v/>
      </c>
      <c r="D138" s="115">
        <f>IF(B138="","",IFERROR(B138/INDEX($B$2:$B$400,MATCH(DATE(YEAR(A138)-1,12,1),$A$2:$A$400,0))-1,""))</f>
        <v/>
      </c>
      <c r="E138" s="115">
        <f>IF(B138="","",IFERROR(B138/INDEX($B$2:$B$400,MATCH(DATE(YEAR(A138)-1,MONTH(A138),1),$A$2:$A$400,0))-1,""))</f>
        <v/>
      </c>
    </row>
    <row r="139">
      <c r="A139" s="117" t="n"/>
      <c r="B139" s="118" t="n"/>
      <c r="C139" s="115">
        <f>IF(OR(B139="",B138=""),"",B139/B138-1)</f>
        <v/>
      </c>
      <c r="D139" s="115">
        <f>IF(B139="","",IFERROR(B139/INDEX($B$2:$B$400,MATCH(DATE(YEAR(A139)-1,12,1),$A$2:$A$400,0))-1,""))</f>
        <v/>
      </c>
      <c r="E139" s="115">
        <f>IF(B139="","",IFERROR(B139/INDEX($B$2:$B$400,MATCH(DATE(YEAR(A139)-1,MONTH(A139),1),$A$2:$A$400,0))-1,""))</f>
        <v/>
      </c>
    </row>
    <row r="140">
      <c r="A140" s="117" t="n"/>
      <c r="B140" s="118" t="n"/>
      <c r="C140" s="115">
        <f>IF(OR(B140="",B139=""),"",B140/B139-1)</f>
        <v/>
      </c>
      <c r="D140" s="115">
        <f>IF(B140="","",IFERROR(B140/INDEX($B$2:$B$400,MATCH(DATE(YEAR(A140)-1,12,1),$A$2:$A$400,0))-1,""))</f>
        <v/>
      </c>
      <c r="E140" s="115">
        <f>IF(B140="","",IFERROR(B140/INDEX($B$2:$B$400,MATCH(DATE(YEAR(A140)-1,MONTH(A140),1),$A$2:$A$400,0))-1,""))</f>
        <v/>
      </c>
    </row>
    <row r="141">
      <c r="A141" s="117" t="n"/>
      <c r="B141" s="118" t="n"/>
      <c r="C141" s="115">
        <f>IF(OR(B141="",B140=""),"",B141/B140-1)</f>
        <v/>
      </c>
      <c r="D141" s="115">
        <f>IF(B141="","",IFERROR(B141/INDEX($B$2:$B$400,MATCH(DATE(YEAR(A141)-1,12,1),$A$2:$A$400,0))-1,""))</f>
        <v/>
      </c>
      <c r="E141" s="115">
        <f>IF(B141="","",IFERROR(B141/INDEX($B$2:$B$400,MATCH(DATE(YEAR(A141)-1,MONTH(A141),1),$A$2:$A$400,0))-1,""))</f>
        <v/>
      </c>
    </row>
    <row r="142">
      <c r="A142" s="117" t="n"/>
      <c r="B142" s="118" t="n"/>
      <c r="C142" s="115">
        <f>IF(OR(B142="",B141=""),"",B142/B141-1)</f>
        <v/>
      </c>
      <c r="D142" s="115">
        <f>IF(B142="","",IFERROR(B142/INDEX($B$2:$B$400,MATCH(DATE(YEAR(A142)-1,12,1),$A$2:$A$400,0))-1,""))</f>
        <v/>
      </c>
      <c r="E142" s="115">
        <f>IF(B142="","",IFERROR(B142/INDEX($B$2:$B$400,MATCH(DATE(YEAR(A142)-1,MONTH(A142),1),$A$2:$A$400,0))-1,""))</f>
        <v/>
      </c>
    </row>
    <row r="143">
      <c r="A143" s="117" t="n"/>
      <c r="B143" s="118" t="n"/>
      <c r="C143" s="115">
        <f>IF(OR(B143="",B142=""),"",B143/B142-1)</f>
        <v/>
      </c>
      <c r="D143" s="115">
        <f>IF(B143="","",IFERROR(B143/INDEX($B$2:$B$400,MATCH(DATE(YEAR(A143)-1,12,1),$A$2:$A$400,0))-1,""))</f>
        <v/>
      </c>
      <c r="E143" s="115">
        <f>IF(B143="","",IFERROR(B143/INDEX($B$2:$B$400,MATCH(DATE(YEAR(A143)-1,MONTH(A143),1),$A$2:$A$400,0))-1,""))</f>
        <v/>
      </c>
    </row>
    <row r="144">
      <c r="A144" s="117" t="n"/>
      <c r="B144" s="118" t="n"/>
      <c r="C144" s="115">
        <f>IF(OR(B144="",B143=""),"",B144/B143-1)</f>
        <v/>
      </c>
      <c r="D144" s="115">
        <f>IF(B144="","",IFERROR(B144/INDEX($B$2:$B$400,MATCH(DATE(YEAR(A144)-1,12,1),$A$2:$A$400,0))-1,""))</f>
        <v/>
      </c>
      <c r="E144" s="115">
        <f>IF(B144="","",IFERROR(B144/INDEX($B$2:$B$400,MATCH(DATE(YEAR(A144)-1,MONTH(A144),1),$A$2:$A$400,0))-1,""))</f>
        <v/>
      </c>
    </row>
    <row r="145">
      <c r="A145" s="117" t="n"/>
      <c r="B145" s="118" t="n"/>
      <c r="C145" s="115">
        <f>IF(OR(B145="",B144=""),"",B145/B144-1)</f>
        <v/>
      </c>
      <c r="D145" s="115">
        <f>IF(B145="","",IFERROR(B145/INDEX($B$2:$B$400,MATCH(DATE(YEAR(A145)-1,12,1),$A$2:$A$400,0))-1,""))</f>
        <v/>
      </c>
      <c r="E145" s="115">
        <f>IF(B145="","",IFERROR(B145/INDEX($B$2:$B$400,MATCH(DATE(YEAR(A145)-1,MONTH(A145),1),$A$2:$A$400,0))-1,""))</f>
        <v/>
      </c>
    </row>
    <row r="146">
      <c r="A146" s="117" t="n"/>
      <c r="B146" s="118" t="n"/>
      <c r="C146" s="115">
        <f>IF(OR(B146="",B145=""),"",B146/B145-1)</f>
        <v/>
      </c>
      <c r="D146" s="115">
        <f>IF(B146="","",IFERROR(B146/INDEX($B$2:$B$400,MATCH(DATE(YEAR(A146)-1,12,1),$A$2:$A$400,0))-1,""))</f>
        <v/>
      </c>
      <c r="E146" s="115">
        <f>IF(B146="","",IFERROR(B146/INDEX($B$2:$B$400,MATCH(DATE(YEAR(A146)-1,MONTH(A146),1),$A$2:$A$400,0))-1,""))</f>
        <v/>
      </c>
    </row>
    <row r="147">
      <c r="A147" s="117" t="n"/>
      <c r="B147" s="118" t="n"/>
      <c r="C147" s="115">
        <f>IF(OR(B147="",B146=""),"",B147/B146-1)</f>
        <v/>
      </c>
      <c r="D147" s="115">
        <f>IF(B147="","",IFERROR(B147/INDEX($B$2:$B$400,MATCH(DATE(YEAR(A147)-1,12,1),$A$2:$A$400,0))-1,""))</f>
        <v/>
      </c>
      <c r="E147" s="115">
        <f>IF(B147="","",IFERROR(B147/INDEX($B$2:$B$400,MATCH(DATE(YEAR(A147)-1,MONTH(A147),1),$A$2:$A$400,0))-1,""))</f>
        <v/>
      </c>
    </row>
    <row r="148">
      <c r="A148" s="117" t="n"/>
      <c r="B148" s="118" t="n"/>
      <c r="C148" s="115">
        <f>IF(OR(B148="",B147=""),"",B148/B147-1)</f>
        <v/>
      </c>
      <c r="D148" s="115">
        <f>IF(B148="","",IFERROR(B148/INDEX($B$2:$B$400,MATCH(DATE(YEAR(A148)-1,12,1),$A$2:$A$400,0))-1,""))</f>
        <v/>
      </c>
      <c r="E148" s="115">
        <f>IF(B148="","",IFERROR(B148/INDEX($B$2:$B$400,MATCH(DATE(YEAR(A148)-1,MONTH(A148),1),$A$2:$A$400,0))-1,""))</f>
        <v/>
      </c>
    </row>
    <row r="149">
      <c r="A149" s="117" t="n"/>
      <c r="B149" s="118" t="n"/>
      <c r="C149" s="115">
        <f>IF(OR(B149="",B148=""),"",B149/B148-1)</f>
        <v/>
      </c>
      <c r="D149" s="115">
        <f>IF(B149="","",IFERROR(B149/INDEX($B$2:$B$400,MATCH(DATE(YEAR(A149)-1,12,1),$A$2:$A$400,0))-1,""))</f>
        <v/>
      </c>
      <c r="E149" s="115">
        <f>IF(B149="","",IFERROR(B149/INDEX($B$2:$B$400,MATCH(DATE(YEAR(A149)-1,MONTH(A149),1),$A$2:$A$400,0))-1,""))</f>
        <v/>
      </c>
    </row>
    <row r="150">
      <c r="A150" s="117" t="n"/>
      <c r="B150" s="118" t="n"/>
      <c r="C150" s="115">
        <f>IF(OR(B150="",B149=""),"",B150/B149-1)</f>
        <v/>
      </c>
      <c r="D150" s="115">
        <f>IF(B150="","",IFERROR(B150/INDEX($B$2:$B$400,MATCH(DATE(YEAR(A150)-1,12,1),$A$2:$A$400,0))-1,""))</f>
        <v/>
      </c>
      <c r="E150" s="115">
        <f>IF(B150="","",IFERROR(B150/INDEX($B$2:$B$400,MATCH(DATE(YEAR(A150)-1,MONTH(A150),1),$A$2:$A$400,0))-1,""))</f>
        <v/>
      </c>
    </row>
    <row r="151">
      <c r="A151" s="117" t="n"/>
      <c r="B151" s="118" t="n"/>
      <c r="C151" s="115">
        <f>IF(OR(B151="",B150=""),"",B151/B150-1)</f>
        <v/>
      </c>
      <c r="D151" s="115">
        <f>IF(B151="","",IFERROR(B151/INDEX($B$2:$B$400,MATCH(DATE(YEAR(A151)-1,12,1),$A$2:$A$400,0))-1,""))</f>
        <v/>
      </c>
      <c r="E151" s="115">
        <f>IF(B151="","",IFERROR(B151/INDEX($B$2:$B$400,MATCH(DATE(YEAR(A151)-1,MONTH(A151),1),$A$2:$A$400,0))-1,""))</f>
        <v/>
      </c>
    </row>
    <row r="152">
      <c r="A152" s="117" t="n"/>
      <c r="B152" s="118" t="n"/>
      <c r="C152" s="115">
        <f>IF(OR(B152="",B151=""),"",B152/B151-1)</f>
        <v/>
      </c>
      <c r="D152" s="115">
        <f>IF(B152="","",IFERROR(B152/INDEX($B$2:$B$400,MATCH(DATE(YEAR(A152)-1,12,1),$A$2:$A$400,0))-1,""))</f>
        <v/>
      </c>
      <c r="E152" s="115">
        <f>IF(B152="","",IFERROR(B152/INDEX($B$2:$B$400,MATCH(DATE(YEAR(A152)-1,MONTH(A152),1),$A$2:$A$400,0))-1,""))</f>
        <v/>
      </c>
    </row>
    <row r="153">
      <c r="A153" s="117" t="n"/>
      <c r="B153" s="118" t="n"/>
      <c r="C153" s="115">
        <f>IF(OR(B153="",B152=""),"",B153/B152-1)</f>
        <v/>
      </c>
      <c r="D153" s="115">
        <f>IF(B153="","",IFERROR(B153/INDEX($B$2:$B$400,MATCH(DATE(YEAR(A153)-1,12,1),$A$2:$A$400,0))-1,""))</f>
        <v/>
      </c>
      <c r="E153" s="115">
        <f>IF(B153="","",IFERROR(B153/INDEX($B$2:$B$400,MATCH(DATE(YEAR(A153)-1,MONTH(A153),1),$A$2:$A$400,0))-1,""))</f>
        <v/>
      </c>
    </row>
    <row r="154">
      <c r="A154" s="117" t="n"/>
      <c r="B154" s="118" t="n"/>
      <c r="C154" s="115">
        <f>IF(OR(B154="",B153=""),"",B154/B153-1)</f>
        <v/>
      </c>
      <c r="D154" s="115">
        <f>IF(B154="","",IFERROR(B154/INDEX($B$2:$B$400,MATCH(DATE(YEAR(A154)-1,12,1),$A$2:$A$400,0))-1,""))</f>
        <v/>
      </c>
      <c r="E154" s="115">
        <f>IF(B154="","",IFERROR(B154/INDEX($B$2:$B$400,MATCH(DATE(YEAR(A154)-1,MONTH(A154),1),$A$2:$A$400,0))-1,""))</f>
        <v/>
      </c>
    </row>
    <row r="155">
      <c r="A155" s="117" t="n"/>
      <c r="B155" s="118" t="n"/>
      <c r="C155" s="115">
        <f>IF(OR(B155="",B154=""),"",B155/B154-1)</f>
        <v/>
      </c>
      <c r="D155" s="115">
        <f>IF(B155="","",IFERROR(B155/INDEX($B$2:$B$400,MATCH(DATE(YEAR(A155)-1,12,1),$A$2:$A$400,0))-1,""))</f>
        <v/>
      </c>
      <c r="E155" s="115">
        <f>IF(B155="","",IFERROR(B155/INDEX($B$2:$B$400,MATCH(DATE(YEAR(A155)-1,MONTH(A155),1),$A$2:$A$400,0))-1,""))</f>
        <v/>
      </c>
    </row>
    <row r="156">
      <c r="A156" s="117" t="n"/>
      <c r="B156" s="118" t="n"/>
      <c r="C156" s="115">
        <f>IF(OR(B156="",B155=""),"",B156/B155-1)</f>
        <v/>
      </c>
      <c r="D156" s="115">
        <f>IF(B156="","",IFERROR(B156/INDEX($B$2:$B$400,MATCH(DATE(YEAR(A156)-1,12,1),$A$2:$A$400,0))-1,""))</f>
        <v/>
      </c>
      <c r="E156" s="115">
        <f>IF(B156="","",IFERROR(B156/INDEX($B$2:$B$400,MATCH(DATE(YEAR(A156)-1,MONTH(A156),1),$A$2:$A$400,0))-1,""))</f>
        <v/>
      </c>
    </row>
    <row r="157">
      <c r="A157" s="117" t="n"/>
      <c r="B157" s="118" t="n"/>
      <c r="C157" s="115">
        <f>IF(OR(B157="",B156=""),"",B157/B156-1)</f>
        <v/>
      </c>
      <c r="D157" s="115">
        <f>IF(B157="","",IFERROR(B157/INDEX($B$2:$B$400,MATCH(DATE(YEAR(A157)-1,12,1),$A$2:$A$400,0))-1,""))</f>
        <v/>
      </c>
      <c r="E157" s="115">
        <f>IF(B157="","",IFERROR(B157/INDEX($B$2:$B$400,MATCH(DATE(YEAR(A157)-1,MONTH(A157),1),$A$2:$A$400,0))-1,""))</f>
        <v/>
      </c>
    </row>
    <row r="158">
      <c r="A158" s="117" t="n"/>
      <c r="B158" s="118" t="n"/>
      <c r="C158" s="115">
        <f>IF(OR(B158="",B157=""),"",B158/B157-1)</f>
        <v/>
      </c>
      <c r="D158" s="115">
        <f>IF(B158="","",IFERROR(B158/INDEX($B$2:$B$400,MATCH(DATE(YEAR(A158)-1,12,1),$A$2:$A$400,0))-1,""))</f>
        <v/>
      </c>
      <c r="E158" s="115">
        <f>IF(B158="","",IFERROR(B158/INDEX($B$2:$B$400,MATCH(DATE(YEAR(A158)-1,MONTH(A158),1),$A$2:$A$400,0))-1,""))</f>
        <v/>
      </c>
    </row>
    <row r="159">
      <c r="A159" s="117" t="n"/>
      <c r="B159" s="118" t="n"/>
      <c r="C159" s="115">
        <f>IF(OR(B159="",B158=""),"",B159/B158-1)</f>
        <v/>
      </c>
      <c r="D159" s="115">
        <f>IF(B159="","",IFERROR(B159/INDEX($B$2:$B$400,MATCH(DATE(YEAR(A159)-1,12,1),$A$2:$A$400,0))-1,""))</f>
        <v/>
      </c>
      <c r="E159" s="115">
        <f>IF(B159="","",IFERROR(B159/INDEX($B$2:$B$400,MATCH(DATE(YEAR(A159)-1,MONTH(A159),1),$A$2:$A$400,0))-1,""))</f>
        <v/>
      </c>
    </row>
    <row r="160">
      <c r="A160" s="117" t="n"/>
      <c r="B160" s="118" t="n"/>
      <c r="C160" s="115">
        <f>IF(OR(B160="",B159=""),"",B160/B159-1)</f>
        <v/>
      </c>
      <c r="D160" s="115">
        <f>IF(B160="","",IFERROR(B160/INDEX($B$2:$B$400,MATCH(DATE(YEAR(A160)-1,12,1),$A$2:$A$400,0))-1,""))</f>
        <v/>
      </c>
      <c r="E160" s="115">
        <f>IF(B160="","",IFERROR(B160/INDEX($B$2:$B$400,MATCH(DATE(YEAR(A160)-1,MONTH(A160),1),$A$2:$A$400,0))-1,""))</f>
        <v/>
      </c>
    </row>
    <row r="161">
      <c r="A161" s="117" t="n"/>
      <c r="B161" s="118" t="n"/>
      <c r="C161" s="115">
        <f>IF(OR(B161="",B160=""),"",B161/B160-1)</f>
        <v/>
      </c>
      <c r="D161" s="115">
        <f>IF(B161="","",IFERROR(B161/INDEX($B$2:$B$400,MATCH(DATE(YEAR(A161)-1,12,1),$A$2:$A$400,0))-1,""))</f>
        <v/>
      </c>
      <c r="E161" s="115">
        <f>IF(B161="","",IFERROR(B161/INDEX($B$2:$B$400,MATCH(DATE(YEAR(A161)-1,MONTH(A161),1),$A$2:$A$400,0))-1,""))</f>
        <v/>
      </c>
    </row>
    <row r="162">
      <c r="A162" s="117" t="n"/>
      <c r="B162" s="118" t="n"/>
      <c r="C162" s="115">
        <f>IF(OR(B162="",B161=""),"",B162/B161-1)</f>
        <v/>
      </c>
      <c r="D162" s="115">
        <f>IF(B162="","",IFERROR(B162/INDEX($B$2:$B$400,MATCH(DATE(YEAR(A162)-1,12,1),$A$2:$A$400,0))-1,""))</f>
        <v/>
      </c>
      <c r="E162" s="115">
        <f>IF(B162="","",IFERROR(B162/INDEX($B$2:$B$400,MATCH(DATE(YEAR(A162)-1,MONTH(A162),1),$A$2:$A$400,0))-1,""))</f>
        <v/>
      </c>
    </row>
    <row r="163">
      <c r="A163" s="117" t="n"/>
      <c r="B163" s="118" t="n"/>
      <c r="C163" s="115">
        <f>IF(OR(B163="",B162=""),"",B163/B162-1)</f>
        <v/>
      </c>
      <c r="D163" s="115">
        <f>IF(B163="","",IFERROR(B163/INDEX($B$2:$B$400,MATCH(DATE(YEAR(A163)-1,12,1),$A$2:$A$400,0))-1,""))</f>
        <v/>
      </c>
      <c r="E163" s="115">
        <f>IF(B163="","",IFERROR(B163/INDEX($B$2:$B$400,MATCH(DATE(YEAR(A163)-1,MONTH(A163),1),$A$2:$A$400,0))-1,""))</f>
        <v/>
      </c>
    </row>
    <row r="164">
      <c r="A164" s="117" t="n"/>
      <c r="B164" s="118" t="n"/>
      <c r="C164" s="115">
        <f>IF(OR(B164="",B163=""),"",B164/B163-1)</f>
        <v/>
      </c>
      <c r="D164" s="115">
        <f>IF(B164="","",IFERROR(B164/INDEX($B$2:$B$400,MATCH(DATE(YEAR(A164)-1,12,1),$A$2:$A$400,0))-1,""))</f>
        <v/>
      </c>
      <c r="E164" s="115">
        <f>IF(B164="","",IFERROR(B164/INDEX($B$2:$B$400,MATCH(DATE(YEAR(A164)-1,MONTH(A164),1),$A$2:$A$400,0))-1,""))</f>
        <v/>
      </c>
    </row>
    <row r="165">
      <c r="A165" s="117" t="n"/>
      <c r="B165" s="118" t="n"/>
      <c r="C165" s="115">
        <f>IF(OR(B165="",B164=""),"",B165/B164-1)</f>
        <v/>
      </c>
      <c r="D165" s="115">
        <f>IF(B165="","",IFERROR(B165/INDEX($B$2:$B$400,MATCH(DATE(YEAR(A165)-1,12,1),$A$2:$A$400,0))-1,""))</f>
        <v/>
      </c>
      <c r="E165" s="115">
        <f>IF(B165="","",IFERROR(B165/INDEX($B$2:$B$400,MATCH(DATE(YEAR(A165)-1,MONTH(A165),1),$A$2:$A$400,0))-1,""))</f>
        <v/>
      </c>
    </row>
    <row r="166">
      <c r="A166" s="117" t="n"/>
      <c r="B166" s="118" t="n"/>
      <c r="C166" s="115">
        <f>IF(OR(B166="",B165=""),"",B166/B165-1)</f>
        <v/>
      </c>
      <c r="D166" s="115">
        <f>IF(B166="","",IFERROR(B166/INDEX($B$2:$B$400,MATCH(DATE(YEAR(A166)-1,12,1),$A$2:$A$400,0))-1,""))</f>
        <v/>
      </c>
      <c r="E166" s="115">
        <f>IF(B166="","",IFERROR(B166/INDEX($B$2:$B$400,MATCH(DATE(YEAR(A166)-1,MONTH(A166),1),$A$2:$A$400,0))-1,""))</f>
        <v/>
      </c>
    </row>
    <row r="167">
      <c r="A167" s="117" t="n"/>
      <c r="B167" s="118" t="n"/>
      <c r="C167" s="115">
        <f>IF(OR(B167="",B166=""),"",B167/B166-1)</f>
        <v/>
      </c>
      <c r="D167" s="115">
        <f>IF(B167="","",IFERROR(B167/INDEX($B$2:$B$400,MATCH(DATE(YEAR(A167)-1,12,1),$A$2:$A$400,0))-1,""))</f>
        <v/>
      </c>
      <c r="E167" s="115">
        <f>IF(B167="","",IFERROR(B167/INDEX($B$2:$B$400,MATCH(DATE(YEAR(A167)-1,MONTH(A167),1),$A$2:$A$400,0))-1,""))</f>
        <v/>
      </c>
    </row>
    <row r="168">
      <c r="A168" s="117" t="n"/>
      <c r="B168" s="118" t="n"/>
      <c r="C168" s="115">
        <f>IF(OR(B168="",B167=""),"",B168/B167-1)</f>
        <v/>
      </c>
      <c r="D168" s="115">
        <f>IF(B168="","",IFERROR(B168/INDEX($B$2:$B$400,MATCH(DATE(YEAR(A168)-1,12,1),$A$2:$A$400,0))-1,""))</f>
        <v/>
      </c>
      <c r="E168" s="115">
        <f>IF(B168="","",IFERROR(B168/INDEX($B$2:$B$400,MATCH(DATE(YEAR(A168)-1,MONTH(A168),1),$A$2:$A$400,0))-1,""))</f>
        <v/>
      </c>
    </row>
    <row r="169">
      <c r="A169" s="117" t="n"/>
      <c r="B169" s="118" t="n"/>
      <c r="C169" s="115">
        <f>IF(OR(B169="",B168=""),"",B169/B168-1)</f>
        <v/>
      </c>
      <c r="D169" s="115">
        <f>IF(B169="","",IFERROR(B169/INDEX($B$2:$B$400,MATCH(DATE(YEAR(A169)-1,12,1),$A$2:$A$400,0))-1,""))</f>
        <v/>
      </c>
      <c r="E169" s="115">
        <f>IF(B169="","",IFERROR(B169/INDEX($B$2:$B$400,MATCH(DATE(YEAR(A169)-1,MONTH(A169),1),$A$2:$A$400,0))-1,""))</f>
        <v/>
      </c>
    </row>
    <row r="170">
      <c r="A170" s="117" t="n"/>
      <c r="B170" s="118" t="n"/>
      <c r="C170" s="115">
        <f>IF(OR(B170="",B169=""),"",B170/B169-1)</f>
        <v/>
      </c>
      <c r="D170" s="115">
        <f>IF(B170="","",IFERROR(B170/INDEX($B$2:$B$400,MATCH(DATE(YEAR(A170)-1,12,1),$A$2:$A$400,0))-1,""))</f>
        <v/>
      </c>
      <c r="E170" s="115">
        <f>IF(B170="","",IFERROR(B170/INDEX($B$2:$B$400,MATCH(DATE(YEAR(A170)-1,MONTH(A170),1),$A$2:$A$400,0))-1,""))</f>
        <v/>
      </c>
    </row>
    <row r="171">
      <c r="A171" s="117" t="n"/>
      <c r="B171" s="118" t="n"/>
      <c r="C171" s="115">
        <f>IF(OR(B171="",B170=""),"",B171/B170-1)</f>
        <v/>
      </c>
      <c r="D171" s="115">
        <f>IF(B171="","",IFERROR(B171/INDEX($B$2:$B$400,MATCH(DATE(YEAR(A171)-1,12,1),$A$2:$A$400,0))-1,""))</f>
        <v/>
      </c>
      <c r="E171" s="115">
        <f>IF(B171="","",IFERROR(B171/INDEX($B$2:$B$400,MATCH(DATE(YEAR(A171)-1,MONTH(A171),1),$A$2:$A$400,0))-1,""))</f>
        <v/>
      </c>
    </row>
    <row r="172">
      <c r="A172" s="117" t="n"/>
      <c r="B172" s="118" t="n"/>
      <c r="C172" s="115">
        <f>IF(OR(B172="",B171=""),"",B172/B171-1)</f>
        <v/>
      </c>
      <c r="D172" s="115">
        <f>IF(B172="","",IFERROR(B172/INDEX($B$2:$B$400,MATCH(DATE(YEAR(A172)-1,12,1),$A$2:$A$400,0))-1,""))</f>
        <v/>
      </c>
      <c r="E172" s="115">
        <f>IF(B172="","",IFERROR(B172/INDEX($B$2:$B$400,MATCH(DATE(YEAR(A172)-1,MONTH(A172),1),$A$2:$A$400,0))-1,""))</f>
        <v/>
      </c>
    </row>
    <row r="173">
      <c r="A173" s="117" t="n"/>
      <c r="B173" s="118" t="n"/>
      <c r="C173" s="115">
        <f>IF(OR(B173="",B172=""),"",B173/B172-1)</f>
        <v/>
      </c>
      <c r="D173" s="115">
        <f>IF(B173="","",IFERROR(B173/INDEX($B$2:$B$400,MATCH(DATE(YEAR(A173)-1,12,1),$A$2:$A$400,0))-1,""))</f>
        <v/>
      </c>
      <c r="E173" s="115">
        <f>IF(B173="","",IFERROR(B173/INDEX($B$2:$B$400,MATCH(DATE(YEAR(A173)-1,MONTH(A173),1),$A$2:$A$400,0))-1,""))</f>
        <v/>
      </c>
    </row>
    <row r="174">
      <c r="A174" s="117" t="n"/>
      <c r="B174" s="118" t="n"/>
      <c r="C174" s="115">
        <f>IF(OR(B174="",B173=""),"",B174/B173-1)</f>
        <v/>
      </c>
      <c r="D174" s="115">
        <f>IF(B174="","",IFERROR(B174/INDEX($B$2:$B$400,MATCH(DATE(YEAR(A174)-1,12,1),$A$2:$A$400,0))-1,""))</f>
        <v/>
      </c>
      <c r="E174" s="115">
        <f>IF(B174="","",IFERROR(B174/INDEX($B$2:$B$400,MATCH(DATE(YEAR(A174)-1,MONTH(A174),1),$A$2:$A$400,0))-1,""))</f>
        <v/>
      </c>
    </row>
    <row r="175">
      <c r="A175" s="117" t="n"/>
      <c r="B175" s="118" t="n"/>
      <c r="C175" s="115">
        <f>IF(OR(B175="",B174=""),"",B175/B174-1)</f>
        <v/>
      </c>
      <c r="D175" s="115">
        <f>IF(B175="","",IFERROR(B175/INDEX($B$2:$B$400,MATCH(DATE(YEAR(A175)-1,12,1),$A$2:$A$400,0))-1,""))</f>
        <v/>
      </c>
      <c r="E175" s="115">
        <f>IF(B175="","",IFERROR(B175/INDEX($B$2:$B$400,MATCH(DATE(YEAR(A175)-1,MONTH(A175),1),$A$2:$A$400,0))-1,""))</f>
        <v/>
      </c>
    </row>
    <row r="176">
      <c r="A176" s="117" t="n"/>
      <c r="B176" s="118" t="n"/>
      <c r="C176" s="115">
        <f>IF(OR(B176="",B175=""),"",B176/B175-1)</f>
        <v/>
      </c>
      <c r="D176" s="115">
        <f>IF(B176="","",IFERROR(B176/INDEX($B$2:$B$400,MATCH(DATE(YEAR(A176)-1,12,1),$A$2:$A$400,0))-1,""))</f>
        <v/>
      </c>
      <c r="E176" s="115">
        <f>IF(B176="","",IFERROR(B176/INDEX($B$2:$B$400,MATCH(DATE(YEAR(A176)-1,MONTH(A176),1),$A$2:$A$400,0))-1,""))</f>
        <v/>
      </c>
    </row>
    <row r="177">
      <c r="A177" s="117" t="n"/>
      <c r="B177" s="118" t="n"/>
      <c r="C177" s="115">
        <f>IF(OR(B177="",B176=""),"",B177/B176-1)</f>
        <v/>
      </c>
      <c r="D177" s="115">
        <f>IF(B177="","",IFERROR(B177/INDEX($B$2:$B$400,MATCH(DATE(YEAR(A177)-1,12,1),$A$2:$A$400,0))-1,""))</f>
        <v/>
      </c>
      <c r="E177" s="115">
        <f>IF(B177="","",IFERROR(B177/INDEX($B$2:$B$400,MATCH(DATE(YEAR(A177)-1,MONTH(A177),1),$A$2:$A$400,0))-1,""))</f>
        <v/>
      </c>
    </row>
    <row r="178">
      <c r="A178" s="117" t="n"/>
      <c r="B178" s="118" t="n"/>
      <c r="C178" s="115">
        <f>IF(OR(B178="",B177=""),"",B178/B177-1)</f>
        <v/>
      </c>
      <c r="D178" s="115">
        <f>IF(B178="","",IFERROR(B178/INDEX($B$2:$B$400,MATCH(DATE(YEAR(A178)-1,12,1),$A$2:$A$400,0))-1,""))</f>
        <v/>
      </c>
      <c r="E178" s="115">
        <f>IF(B178="","",IFERROR(B178/INDEX($B$2:$B$400,MATCH(DATE(YEAR(A178)-1,MONTH(A178),1),$A$2:$A$400,0))-1,""))</f>
        <v/>
      </c>
    </row>
    <row r="179">
      <c r="A179" s="117" t="n"/>
      <c r="B179" s="118" t="n"/>
      <c r="C179" s="115">
        <f>IF(OR(B179="",B178=""),"",B179/B178-1)</f>
        <v/>
      </c>
      <c r="D179" s="115">
        <f>IF(B179="","",IFERROR(B179/INDEX($B$2:$B$400,MATCH(DATE(YEAR(A179)-1,12,1),$A$2:$A$400,0))-1,""))</f>
        <v/>
      </c>
      <c r="E179" s="115">
        <f>IF(B179="","",IFERROR(B179/INDEX($B$2:$B$400,MATCH(DATE(YEAR(A179)-1,MONTH(A179),1),$A$2:$A$400,0))-1,""))</f>
        <v/>
      </c>
    </row>
    <row r="180">
      <c r="A180" s="117" t="n"/>
      <c r="B180" s="118" t="n"/>
      <c r="C180" s="115">
        <f>IF(OR(B180="",B179=""),"",B180/B179-1)</f>
        <v/>
      </c>
      <c r="D180" s="115">
        <f>IF(B180="","",IFERROR(B180/INDEX($B$2:$B$400,MATCH(DATE(YEAR(A180)-1,12,1),$A$2:$A$400,0))-1,""))</f>
        <v/>
      </c>
      <c r="E180" s="115">
        <f>IF(B180="","",IFERROR(B180/INDEX($B$2:$B$400,MATCH(DATE(YEAR(A180)-1,MONTH(A180),1),$A$2:$A$400,0))-1,""))</f>
        <v/>
      </c>
    </row>
    <row r="181">
      <c r="A181" s="117" t="n"/>
      <c r="B181" s="118" t="n"/>
      <c r="C181" s="115">
        <f>IF(OR(B181="",B180=""),"",B181/B180-1)</f>
        <v/>
      </c>
      <c r="D181" s="115">
        <f>IF(B181="","",IFERROR(B181/INDEX($B$2:$B$400,MATCH(DATE(YEAR(A181)-1,12,1),$A$2:$A$400,0))-1,""))</f>
        <v/>
      </c>
      <c r="E181" s="115">
        <f>IF(B181="","",IFERROR(B181/INDEX($B$2:$B$400,MATCH(DATE(YEAR(A181)-1,MONTH(A181),1),$A$2:$A$400,0))-1,""))</f>
        <v/>
      </c>
    </row>
    <row r="182">
      <c r="A182" s="117" t="n"/>
      <c r="B182" s="118" t="n"/>
      <c r="C182" s="115">
        <f>IF(OR(B182="",B181=""),"",B182/B181-1)</f>
        <v/>
      </c>
      <c r="D182" s="115">
        <f>IF(B182="","",IFERROR(B182/INDEX($B$2:$B$400,MATCH(DATE(YEAR(A182)-1,12,1),$A$2:$A$400,0))-1,""))</f>
        <v/>
      </c>
      <c r="E182" s="115">
        <f>IF(B182="","",IFERROR(B182/INDEX($B$2:$B$400,MATCH(DATE(YEAR(A182)-1,MONTH(A182),1),$A$2:$A$400,0))-1,""))</f>
        <v/>
      </c>
    </row>
    <row r="183">
      <c r="A183" s="117" t="n"/>
      <c r="B183" s="118" t="n"/>
      <c r="C183" s="115">
        <f>IF(OR(B183="",B182=""),"",B183/B182-1)</f>
        <v/>
      </c>
      <c r="D183" s="115">
        <f>IF(B183="","",IFERROR(B183/INDEX($B$2:$B$400,MATCH(DATE(YEAR(A183)-1,12,1),$A$2:$A$400,0))-1,""))</f>
        <v/>
      </c>
      <c r="E183" s="115">
        <f>IF(B183="","",IFERROR(B183/INDEX($B$2:$B$400,MATCH(DATE(YEAR(A183)-1,MONTH(A183),1),$A$2:$A$400,0))-1,""))</f>
        <v/>
      </c>
    </row>
    <row r="184">
      <c r="A184" s="117" t="n"/>
      <c r="B184" s="118" t="n"/>
      <c r="C184" s="115">
        <f>IF(OR(B184="",B183=""),"",B184/B183-1)</f>
        <v/>
      </c>
      <c r="D184" s="115">
        <f>IF(B184="","",IFERROR(B184/INDEX($B$2:$B$400,MATCH(DATE(YEAR(A184)-1,12,1),$A$2:$A$400,0))-1,""))</f>
        <v/>
      </c>
      <c r="E184" s="115">
        <f>IF(B184="","",IFERROR(B184/INDEX($B$2:$B$400,MATCH(DATE(YEAR(A184)-1,MONTH(A184),1),$A$2:$A$400,0))-1,""))</f>
        <v/>
      </c>
    </row>
    <row r="185">
      <c r="A185" s="117" t="n"/>
      <c r="B185" s="118" t="n"/>
      <c r="C185" s="115">
        <f>IF(OR(B185="",B184=""),"",B185/B184-1)</f>
        <v/>
      </c>
      <c r="D185" s="115">
        <f>IF(B185="","",IFERROR(B185/INDEX($B$2:$B$400,MATCH(DATE(YEAR(A185)-1,12,1),$A$2:$A$400,0))-1,""))</f>
        <v/>
      </c>
      <c r="E185" s="115">
        <f>IF(B185="","",IFERROR(B185/INDEX($B$2:$B$400,MATCH(DATE(YEAR(A185)-1,MONTH(A185),1),$A$2:$A$400,0))-1,""))</f>
        <v/>
      </c>
    </row>
    <row r="186">
      <c r="A186" s="117" t="n"/>
      <c r="B186" s="118" t="n"/>
      <c r="C186" s="115">
        <f>IF(OR(B186="",B185=""),"",B186/B185-1)</f>
        <v/>
      </c>
      <c r="D186" s="115">
        <f>IF(B186="","",IFERROR(B186/INDEX($B$2:$B$400,MATCH(DATE(YEAR(A186)-1,12,1),$A$2:$A$400,0))-1,""))</f>
        <v/>
      </c>
      <c r="E186" s="115">
        <f>IF(B186="","",IFERROR(B186/INDEX($B$2:$B$400,MATCH(DATE(YEAR(A186)-1,MONTH(A186),1),$A$2:$A$400,0))-1,""))</f>
        <v/>
      </c>
    </row>
    <row r="187">
      <c r="A187" s="117" t="n"/>
      <c r="B187" s="118" t="n"/>
      <c r="C187" s="115">
        <f>IF(OR(B187="",B186=""),"",B187/B186-1)</f>
        <v/>
      </c>
      <c r="D187" s="115">
        <f>IF(B187="","",IFERROR(B187/INDEX($B$2:$B$400,MATCH(DATE(YEAR(A187)-1,12,1),$A$2:$A$400,0))-1,""))</f>
        <v/>
      </c>
      <c r="E187" s="115">
        <f>IF(B187="","",IFERROR(B187/INDEX($B$2:$B$400,MATCH(DATE(YEAR(A187)-1,MONTH(A187),1),$A$2:$A$400,0))-1,""))</f>
        <v/>
      </c>
    </row>
    <row r="188">
      <c r="A188" s="117" t="n"/>
      <c r="B188" s="118" t="n"/>
      <c r="C188" s="115">
        <f>IF(OR(B188="",B187=""),"",B188/B187-1)</f>
        <v/>
      </c>
      <c r="D188" s="115">
        <f>IF(B188="","",IFERROR(B188/INDEX($B$2:$B$400,MATCH(DATE(YEAR(A188)-1,12,1),$A$2:$A$400,0))-1,""))</f>
        <v/>
      </c>
      <c r="E188" s="115">
        <f>IF(B188="","",IFERROR(B188/INDEX($B$2:$B$400,MATCH(DATE(YEAR(A188)-1,MONTH(A188),1),$A$2:$A$400,0))-1,""))</f>
        <v/>
      </c>
    </row>
    <row r="189">
      <c r="A189" s="117" t="n"/>
      <c r="B189" s="118" t="n"/>
      <c r="C189" s="115">
        <f>IF(OR(B189="",B188=""),"",B189/B188-1)</f>
        <v/>
      </c>
      <c r="D189" s="115">
        <f>IF(B189="","",IFERROR(B189/INDEX($B$2:$B$400,MATCH(DATE(YEAR(A189)-1,12,1),$A$2:$A$400,0))-1,""))</f>
        <v/>
      </c>
      <c r="E189" s="115">
        <f>IF(B189="","",IFERROR(B189/INDEX($B$2:$B$400,MATCH(DATE(YEAR(A189)-1,MONTH(A189),1),$A$2:$A$400,0))-1,""))</f>
        <v/>
      </c>
    </row>
    <row r="190">
      <c r="A190" s="117" t="n"/>
      <c r="B190" s="118" t="n"/>
      <c r="C190" s="115">
        <f>IF(OR(B190="",B189=""),"",B190/B189-1)</f>
        <v/>
      </c>
      <c r="D190" s="115">
        <f>IF(B190="","",IFERROR(B190/INDEX($B$2:$B$400,MATCH(DATE(YEAR(A190)-1,12,1),$A$2:$A$400,0))-1,""))</f>
        <v/>
      </c>
      <c r="E190" s="115">
        <f>IF(B190="","",IFERROR(B190/INDEX($B$2:$B$400,MATCH(DATE(YEAR(A190)-1,MONTH(A190),1),$A$2:$A$400,0))-1,""))</f>
        <v/>
      </c>
    </row>
    <row r="191">
      <c r="A191" s="117" t="n"/>
      <c r="B191" s="118" t="n"/>
      <c r="C191" s="115">
        <f>IF(OR(B191="",B190=""),"",B191/B190-1)</f>
        <v/>
      </c>
      <c r="D191" s="115">
        <f>IF(B191="","",IFERROR(B191/INDEX($B$2:$B$400,MATCH(DATE(YEAR(A191)-1,12,1),$A$2:$A$400,0))-1,""))</f>
        <v/>
      </c>
      <c r="E191" s="115">
        <f>IF(B191="","",IFERROR(B191/INDEX($B$2:$B$400,MATCH(DATE(YEAR(A191)-1,MONTH(A191),1),$A$2:$A$400,0))-1,""))</f>
        <v/>
      </c>
    </row>
    <row r="192">
      <c r="A192" s="117" t="n"/>
      <c r="B192" s="118" t="n"/>
      <c r="C192" s="115">
        <f>IF(OR(B192="",B191=""),"",B192/B191-1)</f>
        <v/>
      </c>
      <c r="D192" s="115">
        <f>IF(B192="","",IFERROR(B192/INDEX($B$2:$B$400,MATCH(DATE(YEAR(A192)-1,12,1),$A$2:$A$400,0))-1,""))</f>
        <v/>
      </c>
      <c r="E192" s="115">
        <f>IF(B192="","",IFERROR(B192/INDEX($B$2:$B$400,MATCH(DATE(YEAR(A192)-1,MONTH(A192),1),$A$2:$A$400,0))-1,""))</f>
        <v/>
      </c>
    </row>
    <row r="193">
      <c r="A193" s="117" t="n"/>
      <c r="B193" s="118" t="n"/>
      <c r="C193" s="115">
        <f>IF(OR(B193="",B192=""),"",B193/B192-1)</f>
        <v/>
      </c>
      <c r="D193" s="115">
        <f>IF(B193="","",IFERROR(B193/INDEX($B$2:$B$400,MATCH(DATE(YEAR(A193)-1,12,1),$A$2:$A$400,0))-1,""))</f>
        <v/>
      </c>
      <c r="E193" s="115">
        <f>IF(B193="","",IFERROR(B193/INDEX($B$2:$B$400,MATCH(DATE(YEAR(A193)-1,MONTH(A193),1),$A$2:$A$400,0))-1,""))</f>
        <v/>
      </c>
    </row>
    <row r="194">
      <c r="A194" s="117" t="n"/>
      <c r="B194" s="118" t="n"/>
      <c r="C194" s="115">
        <f>IF(OR(B194="",B193=""),"",B194/B193-1)</f>
        <v/>
      </c>
      <c r="D194" s="115">
        <f>IF(B194="","",IFERROR(B194/INDEX($B$2:$B$400,MATCH(DATE(YEAR(A194)-1,12,1),$A$2:$A$400,0))-1,""))</f>
        <v/>
      </c>
      <c r="E194" s="115">
        <f>IF(B194="","",IFERROR(B194/INDEX($B$2:$B$400,MATCH(DATE(YEAR(A194)-1,MONTH(A194),1),$A$2:$A$400,0))-1,""))</f>
        <v/>
      </c>
    </row>
    <row r="195">
      <c r="A195" s="117" t="n"/>
      <c r="B195" s="118" t="n"/>
      <c r="C195" s="115">
        <f>IF(OR(B195="",B194=""),"",B195/B194-1)</f>
        <v/>
      </c>
      <c r="D195" s="115">
        <f>IF(B195="","",IFERROR(B195/INDEX($B$2:$B$400,MATCH(DATE(YEAR(A195)-1,12,1),$A$2:$A$400,0))-1,""))</f>
        <v/>
      </c>
      <c r="E195" s="115">
        <f>IF(B195="","",IFERROR(B195/INDEX($B$2:$B$400,MATCH(DATE(YEAR(A195)-1,MONTH(A195),1),$A$2:$A$400,0))-1,""))</f>
        <v/>
      </c>
    </row>
    <row r="196">
      <c r="A196" s="117" t="n"/>
      <c r="B196" s="118" t="n"/>
      <c r="C196" s="115">
        <f>IF(OR(B196="",B195=""),"",B196/B195-1)</f>
        <v/>
      </c>
      <c r="D196" s="115">
        <f>IF(B196="","",IFERROR(B196/INDEX($B$2:$B$400,MATCH(DATE(YEAR(A196)-1,12,1),$A$2:$A$400,0))-1,""))</f>
        <v/>
      </c>
      <c r="E196" s="115">
        <f>IF(B196="","",IFERROR(B196/INDEX($B$2:$B$400,MATCH(DATE(YEAR(A196)-1,MONTH(A196),1),$A$2:$A$400,0))-1,""))</f>
        <v/>
      </c>
    </row>
    <row r="197">
      <c r="A197" s="117" t="n"/>
      <c r="B197" s="118" t="n"/>
      <c r="C197" s="115">
        <f>IF(OR(B197="",B196=""),"",B197/B196-1)</f>
        <v/>
      </c>
      <c r="D197" s="115">
        <f>IF(B197="","",IFERROR(B197/INDEX($B$2:$B$400,MATCH(DATE(YEAR(A197)-1,12,1),$A$2:$A$400,0))-1,""))</f>
        <v/>
      </c>
      <c r="E197" s="115">
        <f>IF(B197="","",IFERROR(B197/INDEX($B$2:$B$400,MATCH(DATE(YEAR(A197)-1,MONTH(A197),1),$A$2:$A$400,0))-1,""))</f>
        <v/>
      </c>
    </row>
    <row r="198">
      <c r="A198" s="117" t="n"/>
      <c r="B198" s="118" t="n"/>
      <c r="C198" s="115">
        <f>IF(OR(B198="",B197=""),"",B198/B197-1)</f>
        <v/>
      </c>
      <c r="D198" s="115">
        <f>IF(B198="","",IFERROR(B198/INDEX($B$2:$B$400,MATCH(DATE(YEAR(A198)-1,12,1),$A$2:$A$400,0))-1,""))</f>
        <v/>
      </c>
      <c r="E198" s="115">
        <f>IF(B198="","",IFERROR(B198/INDEX($B$2:$B$400,MATCH(DATE(YEAR(A198)-1,MONTH(A198),1),$A$2:$A$400,0))-1,""))</f>
        <v/>
      </c>
    </row>
    <row r="199">
      <c r="A199" s="117" t="n"/>
      <c r="B199" s="118" t="n"/>
      <c r="C199" s="115">
        <f>IF(OR(B199="",B198=""),"",B199/B198-1)</f>
        <v/>
      </c>
      <c r="D199" s="115">
        <f>IF(B199="","",IFERROR(B199/INDEX($B$2:$B$400,MATCH(DATE(YEAR(A199)-1,12,1),$A$2:$A$400,0))-1,""))</f>
        <v/>
      </c>
      <c r="E199" s="115">
        <f>IF(B199="","",IFERROR(B199/INDEX($B$2:$B$400,MATCH(DATE(YEAR(A199)-1,MONTH(A199),1),$A$2:$A$400,0))-1,""))</f>
        <v/>
      </c>
    </row>
    <row r="200">
      <c r="A200" s="117" t="n"/>
      <c r="B200" s="118" t="n"/>
      <c r="C200" s="115">
        <f>IF(OR(B200="",B199=""),"",B200/B199-1)</f>
        <v/>
      </c>
      <c r="D200" s="115">
        <f>IF(B200="","",IFERROR(B200/INDEX($B$2:$B$400,MATCH(DATE(YEAR(A200)-1,12,1),$A$2:$A$400,0))-1,""))</f>
        <v/>
      </c>
      <c r="E200" s="115">
        <f>IF(B200="","",IFERROR(B200/INDEX($B$2:$B$400,MATCH(DATE(YEAR(A200)-1,MONTH(A200),1),$A$2:$A$400,0))-1,""))</f>
        <v/>
      </c>
    </row>
    <row r="201">
      <c r="A201" s="117" t="n"/>
      <c r="B201" s="118" t="n"/>
      <c r="C201" s="115">
        <f>IF(OR(B201="",B200=""),"",B201/B200-1)</f>
        <v/>
      </c>
      <c r="D201" s="115">
        <f>IF(B201="","",IFERROR(B201/INDEX($B$2:$B$400,MATCH(DATE(YEAR(A201)-1,12,1),$A$2:$A$400,0))-1,""))</f>
        <v/>
      </c>
      <c r="E201" s="115">
        <f>IF(B201="","",IFERROR(B201/INDEX($B$2:$B$400,MATCH(DATE(YEAR(A201)-1,MONTH(A201),1),$A$2:$A$400,0))-1,""))</f>
        <v/>
      </c>
    </row>
    <row r="202">
      <c r="A202" s="117" t="n"/>
      <c r="B202" s="118" t="n"/>
      <c r="C202" s="115">
        <f>IF(OR(B202="",B201=""),"",B202/B201-1)</f>
        <v/>
      </c>
      <c r="D202" s="115">
        <f>IF(B202="","",IFERROR(B202/INDEX($B$2:$B$400,MATCH(DATE(YEAR(A202)-1,12,1),$A$2:$A$400,0))-1,""))</f>
        <v/>
      </c>
      <c r="E202" s="115">
        <f>IF(B202="","",IFERROR(B202/INDEX($B$2:$B$400,MATCH(DATE(YEAR(A202)-1,MONTH(A202),1),$A$2:$A$400,0))-1,""))</f>
        <v/>
      </c>
    </row>
    <row r="203">
      <c r="A203" s="117" t="n"/>
      <c r="B203" s="118" t="n"/>
      <c r="C203" s="115">
        <f>IF(OR(B203="",B202=""),"",B203/B202-1)</f>
        <v/>
      </c>
      <c r="D203" s="115">
        <f>IF(B203="","",IFERROR(B203/INDEX($B$2:$B$400,MATCH(DATE(YEAR(A203)-1,12,1),$A$2:$A$400,0))-1,""))</f>
        <v/>
      </c>
      <c r="E203" s="115">
        <f>IF(B203="","",IFERROR(B203/INDEX($B$2:$B$400,MATCH(DATE(YEAR(A203)-1,MONTH(A203),1),$A$2:$A$400,0))-1,""))</f>
        <v/>
      </c>
    </row>
    <row r="204">
      <c r="A204" s="117" t="n"/>
      <c r="B204" s="118" t="n"/>
      <c r="C204" s="115">
        <f>IF(OR(B204="",B203=""),"",B204/B203-1)</f>
        <v/>
      </c>
      <c r="D204" s="115">
        <f>IF(B204="","",IFERROR(B204/INDEX($B$2:$B$400,MATCH(DATE(YEAR(A204)-1,12,1),$A$2:$A$400,0))-1,""))</f>
        <v/>
      </c>
      <c r="E204" s="115">
        <f>IF(B204="","",IFERROR(B204/INDEX($B$2:$B$400,MATCH(DATE(YEAR(A204)-1,MONTH(A204),1),$A$2:$A$400,0))-1,""))</f>
        <v/>
      </c>
    </row>
    <row r="205">
      <c r="A205" s="117" t="n"/>
      <c r="B205" s="118" t="n"/>
      <c r="C205" s="115">
        <f>IF(OR(B205="",B204=""),"",B205/B204-1)</f>
        <v/>
      </c>
      <c r="D205" s="115">
        <f>IF(B205="","",IFERROR(B205/INDEX($B$2:$B$400,MATCH(DATE(YEAR(A205)-1,12,1),$A$2:$A$400,0))-1,""))</f>
        <v/>
      </c>
      <c r="E205" s="115">
        <f>IF(B205="","",IFERROR(B205/INDEX($B$2:$B$400,MATCH(DATE(YEAR(A205)-1,MONTH(A205),1),$A$2:$A$400,0))-1,""))</f>
        <v/>
      </c>
    </row>
    <row r="206">
      <c r="A206" s="117" t="n"/>
      <c r="B206" s="118" t="n"/>
      <c r="C206" s="115">
        <f>IF(OR(B206="",B205=""),"",B206/B205-1)</f>
        <v/>
      </c>
      <c r="D206" s="115">
        <f>IF(B206="","",IFERROR(B206/INDEX($B$2:$B$400,MATCH(DATE(YEAR(A206)-1,12,1),$A$2:$A$400,0))-1,""))</f>
        <v/>
      </c>
      <c r="E206" s="115">
        <f>IF(B206="","",IFERROR(B206/INDEX($B$2:$B$400,MATCH(DATE(YEAR(A206)-1,MONTH(A206),1),$A$2:$A$400,0))-1,""))</f>
        <v/>
      </c>
    </row>
    <row r="207">
      <c r="A207" s="117" t="n"/>
      <c r="B207" s="118" t="n"/>
      <c r="C207" s="115">
        <f>IF(OR(B207="",B206=""),"",B207/B206-1)</f>
        <v/>
      </c>
      <c r="D207" s="115">
        <f>IF(B207="","",IFERROR(B207/INDEX($B$2:$B$400,MATCH(DATE(YEAR(A207)-1,12,1),$A$2:$A$400,0))-1,""))</f>
        <v/>
      </c>
      <c r="E207" s="115">
        <f>IF(B207="","",IFERROR(B207/INDEX($B$2:$B$400,MATCH(DATE(YEAR(A207)-1,MONTH(A207),1),$A$2:$A$400,0))-1,""))</f>
        <v/>
      </c>
    </row>
    <row r="208">
      <c r="A208" s="117" t="n"/>
      <c r="B208" s="118" t="n"/>
      <c r="C208" s="115">
        <f>IF(OR(B208="",B207=""),"",B208/B207-1)</f>
        <v/>
      </c>
      <c r="D208" s="115">
        <f>IF(B208="","",IFERROR(B208/INDEX($B$2:$B$400,MATCH(DATE(YEAR(A208)-1,12,1),$A$2:$A$400,0))-1,""))</f>
        <v/>
      </c>
      <c r="E208" s="115">
        <f>IF(B208="","",IFERROR(B208/INDEX($B$2:$B$400,MATCH(DATE(YEAR(A208)-1,MONTH(A208),1),$A$2:$A$400,0))-1,""))</f>
        <v/>
      </c>
    </row>
    <row r="209">
      <c r="A209" s="117" t="n"/>
      <c r="B209" s="118" t="n"/>
      <c r="C209" s="115">
        <f>IF(OR(B209="",B208=""),"",B209/B208-1)</f>
        <v/>
      </c>
      <c r="D209" s="115">
        <f>IF(B209="","",IFERROR(B209/INDEX($B$2:$B$400,MATCH(DATE(YEAR(A209)-1,12,1),$A$2:$A$400,0))-1,""))</f>
        <v/>
      </c>
      <c r="E209" s="115">
        <f>IF(B209="","",IFERROR(B209/INDEX($B$2:$B$400,MATCH(DATE(YEAR(A209)-1,MONTH(A209),1),$A$2:$A$400,0))-1,""))</f>
        <v/>
      </c>
    </row>
    <row r="210">
      <c r="A210" s="117" t="n"/>
      <c r="B210" s="118" t="n"/>
      <c r="C210" s="115">
        <f>IF(OR(B210="",B209=""),"",B210/B209-1)</f>
        <v/>
      </c>
      <c r="D210" s="115">
        <f>IF(B210="","",IFERROR(B210/INDEX($B$2:$B$400,MATCH(DATE(YEAR(A210)-1,12,1),$A$2:$A$400,0))-1,""))</f>
        <v/>
      </c>
      <c r="E210" s="115">
        <f>IF(B210="","",IFERROR(B210/INDEX($B$2:$B$400,MATCH(DATE(YEAR(A210)-1,MONTH(A210),1),$A$2:$A$400,0))-1,""))</f>
        <v/>
      </c>
    </row>
    <row r="211">
      <c r="A211" s="117" t="n"/>
      <c r="B211" s="118" t="n"/>
      <c r="C211" s="115">
        <f>IF(OR(B211="",B210=""),"",B211/B210-1)</f>
        <v/>
      </c>
      <c r="D211" s="115">
        <f>IF(B211="","",IFERROR(B211/INDEX($B$2:$B$400,MATCH(DATE(YEAR(A211)-1,12,1),$A$2:$A$400,0))-1,""))</f>
        <v/>
      </c>
      <c r="E211" s="115">
        <f>IF(B211="","",IFERROR(B211/INDEX($B$2:$B$400,MATCH(DATE(YEAR(A211)-1,MONTH(A211),1),$A$2:$A$400,0))-1,""))</f>
        <v/>
      </c>
    </row>
    <row r="212">
      <c r="A212" s="117" t="n"/>
      <c r="B212" s="118" t="n"/>
      <c r="C212" s="115">
        <f>IF(OR(B212="",B211=""),"",B212/B211-1)</f>
        <v/>
      </c>
      <c r="D212" s="115">
        <f>IF(B212="","",IFERROR(B212/INDEX($B$2:$B$400,MATCH(DATE(YEAR(A212)-1,12,1),$A$2:$A$400,0))-1,""))</f>
        <v/>
      </c>
      <c r="E212" s="115">
        <f>IF(B212="","",IFERROR(B212/INDEX($B$2:$B$400,MATCH(DATE(YEAR(A212)-1,MONTH(A212),1),$A$2:$A$400,0))-1,""))</f>
        <v/>
      </c>
    </row>
    <row r="213">
      <c r="A213" s="117" t="n"/>
      <c r="B213" s="118" t="n"/>
      <c r="C213" s="115">
        <f>IF(OR(B213="",B212=""),"",B213/B212-1)</f>
        <v/>
      </c>
      <c r="D213" s="115">
        <f>IF(B213="","",IFERROR(B213/INDEX($B$2:$B$400,MATCH(DATE(YEAR(A213)-1,12,1),$A$2:$A$400,0))-1,""))</f>
        <v/>
      </c>
      <c r="E213" s="115">
        <f>IF(B213="","",IFERROR(B213/INDEX($B$2:$B$400,MATCH(DATE(YEAR(A213)-1,MONTH(A213),1),$A$2:$A$400,0))-1,""))</f>
        <v/>
      </c>
    </row>
    <row r="214">
      <c r="A214" s="117" t="n"/>
      <c r="B214" s="118" t="n"/>
      <c r="C214" s="115">
        <f>IF(OR(B214="",B213=""),"",B214/B213-1)</f>
        <v/>
      </c>
      <c r="D214" s="115">
        <f>IF(B214="","",IFERROR(B214/INDEX($B$2:$B$400,MATCH(DATE(YEAR(A214)-1,12,1),$A$2:$A$400,0))-1,""))</f>
        <v/>
      </c>
      <c r="E214" s="115">
        <f>IF(B214="","",IFERROR(B214/INDEX($B$2:$B$400,MATCH(DATE(YEAR(A214)-1,MONTH(A214),1),$A$2:$A$400,0))-1,""))</f>
        <v/>
      </c>
    </row>
    <row r="215">
      <c r="A215" s="117" t="n"/>
      <c r="B215" s="118" t="n"/>
      <c r="C215" s="115">
        <f>IF(OR(B215="",B214=""),"",B215/B214-1)</f>
        <v/>
      </c>
      <c r="D215" s="115">
        <f>IF(B215="","",IFERROR(B215/INDEX($B$2:$B$400,MATCH(DATE(YEAR(A215)-1,12,1),$A$2:$A$400,0))-1,""))</f>
        <v/>
      </c>
      <c r="E215" s="115">
        <f>IF(B215="","",IFERROR(B215/INDEX($B$2:$B$400,MATCH(DATE(YEAR(A215)-1,MONTH(A215),1),$A$2:$A$400,0))-1,""))</f>
        <v/>
      </c>
    </row>
    <row r="216">
      <c r="A216" s="117" t="n"/>
      <c r="B216" s="118" t="n"/>
      <c r="C216" s="115">
        <f>IF(OR(B216="",B215=""),"",B216/B215-1)</f>
        <v/>
      </c>
      <c r="D216" s="115">
        <f>IF(B216="","",IFERROR(B216/INDEX($B$2:$B$400,MATCH(DATE(YEAR(A216)-1,12,1),$A$2:$A$400,0))-1,""))</f>
        <v/>
      </c>
      <c r="E216" s="115">
        <f>IF(B216="","",IFERROR(B216/INDEX($B$2:$B$400,MATCH(DATE(YEAR(A216)-1,MONTH(A216),1),$A$2:$A$400,0))-1,""))</f>
        <v/>
      </c>
    </row>
    <row r="217">
      <c r="A217" s="117" t="n"/>
      <c r="B217" s="118" t="n"/>
      <c r="C217" s="115">
        <f>IF(OR(B217="",B216=""),"",B217/B216-1)</f>
        <v/>
      </c>
      <c r="D217" s="115">
        <f>IF(B217="","",IFERROR(B217/INDEX($B$2:$B$400,MATCH(DATE(YEAR(A217)-1,12,1),$A$2:$A$400,0))-1,""))</f>
        <v/>
      </c>
      <c r="E217" s="115">
        <f>IF(B217="","",IFERROR(B217/INDEX($B$2:$B$400,MATCH(DATE(YEAR(A217)-1,MONTH(A217),1),$A$2:$A$400,0))-1,""))</f>
        <v/>
      </c>
    </row>
    <row r="218">
      <c r="A218" s="117" t="n"/>
      <c r="B218" s="118" t="n"/>
      <c r="C218" s="115">
        <f>IF(OR(B218="",B217=""),"",B218/B217-1)</f>
        <v/>
      </c>
      <c r="D218" s="115">
        <f>IF(B218="","",IFERROR(B218/INDEX($B$2:$B$400,MATCH(DATE(YEAR(A218)-1,12,1),$A$2:$A$400,0))-1,""))</f>
        <v/>
      </c>
      <c r="E218" s="115">
        <f>IF(B218="","",IFERROR(B218/INDEX($B$2:$B$400,MATCH(DATE(YEAR(A218)-1,MONTH(A218),1),$A$2:$A$400,0))-1,""))</f>
        <v/>
      </c>
    </row>
    <row r="219">
      <c r="A219" s="117" t="n"/>
      <c r="B219" s="118" t="n"/>
      <c r="C219" s="115">
        <f>IF(OR(B219="",B218=""),"",B219/B218-1)</f>
        <v/>
      </c>
      <c r="D219" s="115">
        <f>IF(B219="","",IFERROR(B219/INDEX($B$2:$B$400,MATCH(DATE(YEAR(A219)-1,12,1),$A$2:$A$400,0))-1,""))</f>
        <v/>
      </c>
      <c r="E219" s="115">
        <f>IF(B219="","",IFERROR(B219/INDEX($B$2:$B$400,MATCH(DATE(YEAR(A219)-1,MONTH(A219),1),$A$2:$A$400,0))-1,""))</f>
        <v/>
      </c>
    </row>
    <row r="220">
      <c r="A220" s="117" t="n"/>
      <c r="B220" s="118" t="n"/>
      <c r="C220" s="115">
        <f>IF(OR(B220="",B219=""),"",B220/B219-1)</f>
        <v/>
      </c>
      <c r="D220" s="115">
        <f>IF(B220="","",IFERROR(B220/INDEX($B$2:$B$400,MATCH(DATE(YEAR(A220)-1,12,1),$A$2:$A$400,0))-1,""))</f>
        <v/>
      </c>
      <c r="E220" s="115">
        <f>IF(B220="","",IFERROR(B220/INDEX($B$2:$B$400,MATCH(DATE(YEAR(A220)-1,MONTH(A220),1),$A$2:$A$400,0))-1,""))</f>
        <v/>
      </c>
    </row>
    <row r="221">
      <c r="A221" s="117" t="n"/>
      <c r="B221" s="118" t="n"/>
      <c r="C221" s="115">
        <f>IF(OR(B221="",B220=""),"",B221/B220-1)</f>
        <v/>
      </c>
      <c r="D221" s="115">
        <f>IF(B221="","",IFERROR(B221/INDEX($B$2:$B$400,MATCH(DATE(YEAR(A221)-1,12,1),$A$2:$A$400,0))-1,""))</f>
        <v/>
      </c>
      <c r="E221" s="115">
        <f>IF(B221="","",IFERROR(B221/INDEX($B$2:$B$400,MATCH(DATE(YEAR(A221)-1,MONTH(A221),1),$A$2:$A$400,0))-1,""))</f>
        <v/>
      </c>
    </row>
    <row r="222">
      <c r="A222" s="117" t="n"/>
      <c r="B222" s="118" t="n"/>
      <c r="C222" s="115">
        <f>IF(OR(B222="",B221=""),"",B222/B221-1)</f>
        <v/>
      </c>
      <c r="D222" s="115">
        <f>IF(B222="","",IFERROR(B222/INDEX($B$2:$B$400,MATCH(DATE(YEAR(A222)-1,12,1),$A$2:$A$400,0))-1,""))</f>
        <v/>
      </c>
      <c r="E222" s="115">
        <f>IF(B222="","",IFERROR(B222/INDEX($B$2:$B$400,MATCH(DATE(YEAR(A222)-1,MONTH(A222),1),$A$2:$A$400,0))-1,""))</f>
        <v/>
      </c>
    </row>
    <row r="223">
      <c r="A223" s="117" t="n"/>
      <c r="B223" s="118" t="n"/>
      <c r="C223" s="115">
        <f>IF(OR(B223="",B222=""),"",B223/B222-1)</f>
        <v/>
      </c>
      <c r="D223" s="115">
        <f>IF(B223="","",IFERROR(B223/INDEX($B$2:$B$400,MATCH(DATE(YEAR(A223)-1,12,1),$A$2:$A$400,0))-1,""))</f>
        <v/>
      </c>
      <c r="E223" s="115">
        <f>IF(B223="","",IFERROR(B223/INDEX($B$2:$B$400,MATCH(DATE(YEAR(A223)-1,MONTH(A223),1),$A$2:$A$400,0))-1,""))</f>
        <v/>
      </c>
    </row>
    <row r="224">
      <c r="A224" s="117" t="n"/>
      <c r="B224" s="118" t="n"/>
      <c r="C224" s="115">
        <f>IF(OR(B224="",B223=""),"",B224/B223-1)</f>
        <v/>
      </c>
      <c r="D224" s="115">
        <f>IF(B224="","",IFERROR(B224/INDEX($B$2:$B$400,MATCH(DATE(YEAR(A224)-1,12,1),$A$2:$A$400,0))-1,""))</f>
        <v/>
      </c>
      <c r="E224" s="115">
        <f>IF(B224="","",IFERROR(B224/INDEX($B$2:$B$400,MATCH(DATE(YEAR(A224)-1,MONTH(A224),1),$A$2:$A$400,0))-1,""))</f>
        <v/>
      </c>
    </row>
    <row r="225">
      <c r="A225" s="117" t="n"/>
      <c r="B225" s="118" t="n"/>
      <c r="C225" s="115">
        <f>IF(OR(B225="",B224=""),"",B225/B224-1)</f>
        <v/>
      </c>
      <c r="D225" s="115">
        <f>IF(B225="","",IFERROR(B225/INDEX($B$2:$B$400,MATCH(DATE(YEAR(A225)-1,12,1),$A$2:$A$400,0))-1,""))</f>
        <v/>
      </c>
      <c r="E225" s="115">
        <f>IF(B225="","",IFERROR(B225/INDEX($B$2:$B$400,MATCH(DATE(YEAR(A225)-1,MONTH(A225),1),$A$2:$A$400,0))-1,""))</f>
        <v/>
      </c>
    </row>
    <row r="226">
      <c r="A226" s="117" t="n"/>
      <c r="B226" s="118" t="n"/>
      <c r="C226" s="115">
        <f>IF(OR(B226="",B225=""),"",B226/B225-1)</f>
        <v/>
      </c>
      <c r="D226" s="115">
        <f>IF(B226="","",IFERROR(B226/INDEX($B$2:$B$400,MATCH(DATE(YEAR(A226)-1,12,1),$A$2:$A$400,0))-1,""))</f>
        <v/>
      </c>
      <c r="E226" s="115">
        <f>IF(B226="","",IFERROR(B226/INDEX($B$2:$B$400,MATCH(DATE(YEAR(A226)-1,MONTH(A226),1),$A$2:$A$400,0))-1,""))</f>
        <v/>
      </c>
    </row>
    <row r="227">
      <c r="A227" s="117" t="n"/>
      <c r="B227" s="118" t="n"/>
      <c r="C227" s="115">
        <f>IF(OR(B227="",B226=""),"",B227/B226-1)</f>
        <v/>
      </c>
      <c r="D227" s="115">
        <f>IF(B227="","",IFERROR(B227/INDEX($B$2:$B$400,MATCH(DATE(YEAR(A227)-1,12,1),$A$2:$A$400,0))-1,""))</f>
        <v/>
      </c>
      <c r="E227" s="115">
        <f>IF(B227="","",IFERROR(B227/INDEX($B$2:$B$400,MATCH(DATE(YEAR(A227)-1,MONTH(A227),1),$A$2:$A$400,0))-1,""))</f>
        <v/>
      </c>
    </row>
    <row r="228">
      <c r="A228" s="117" t="n"/>
      <c r="B228" s="118" t="n"/>
      <c r="C228" s="115">
        <f>IF(OR(B228="",B227=""),"",B228/B227-1)</f>
        <v/>
      </c>
      <c r="D228" s="115">
        <f>IF(B228="","",IFERROR(B228/INDEX($B$2:$B$400,MATCH(DATE(YEAR(A228)-1,12,1),$A$2:$A$400,0))-1,""))</f>
        <v/>
      </c>
      <c r="E228" s="115">
        <f>IF(B228="","",IFERROR(B228/INDEX($B$2:$B$400,MATCH(DATE(YEAR(A228)-1,MONTH(A228),1),$A$2:$A$400,0))-1,""))</f>
        <v/>
      </c>
    </row>
    <row r="229">
      <c r="A229" s="117" t="n"/>
      <c r="B229" s="118" t="n"/>
      <c r="C229" s="115">
        <f>IF(OR(B229="",B228=""),"",B229/B228-1)</f>
        <v/>
      </c>
      <c r="D229" s="115">
        <f>IF(B229="","",IFERROR(B229/INDEX($B$2:$B$400,MATCH(DATE(YEAR(A229)-1,12,1),$A$2:$A$400,0))-1,""))</f>
        <v/>
      </c>
      <c r="E229" s="115">
        <f>IF(B229="","",IFERROR(B229/INDEX($B$2:$B$400,MATCH(DATE(YEAR(A229)-1,MONTH(A229),1),$A$2:$A$400,0))-1,""))</f>
        <v/>
      </c>
    </row>
    <row r="230">
      <c r="A230" s="117" t="n"/>
      <c r="B230" s="118" t="n"/>
      <c r="C230" s="115">
        <f>IF(OR(B230="",B229=""),"",B230/B229-1)</f>
        <v/>
      </c>
      <c r="D230" s="115">
        <f>IF(B230="","",IFERROR(B230/INDEX($B$2:$B$400,MATCH(DATE(YEAR(A230)-1,12,1),$A$2:$A$400,0))-1,""))</f>
        <v/>
      </c>
      <c r="E230" s="115">
        <f>IF(B230="","",IFERROR(B230/INDEX($B$2:$B$400,MATCH(DATE(YEAR(A230)-1,MONTH(A230),1),$A$2:$A$400,0))-1,""))</f>
        <v/>
      </c>
    </row>
    <row r="231">
      <c r="A231" s="117" t="n"/>
      <c r="B231" s="118" t="n"/>
      <c r="C231" s="115">
        <f>IF(OR(B231="",B230=""),"",B231/B230-1)</f>
        <v/>
      </c>
      <c r="D231" s="115">
        <f>IF(B231="","",IFERROR(B231/INDEX($B$2:$B$400,MATCH(DATE(YEAR(A231)-1,12,1),$A$2:$A$400,0))-1,""))</f>
        <v/>
      </c>
      <c r="E231" s="115">
        <f>IF(B231="","",IFERROR(B231/INDEX($B$2:$B$400,MATCH(DATE(YEAR(A231)-1,MONTH(A231),1),$A$2:$A$400,0))-1,""))</f>
        <v/>
      </c>
    </row>
    <row r="232">
      <c r="A232" s="117" t="n"/>
      <c r="B232" s="118" t="n"/>
      <c r="C232" s="115">
        <f>IF(OR(B232="",B231=""),"",B232/B231-1)</f>
        <v/>
      </c>
      <c r="D232" s="115">
        <f>IF(B232="","",IFERROR(B232/INDEX($B$2:$B$400,MATCH(DATE(YEAR(A232)-1,12,1),$A$2:$A$400,0))-1,""))</f>
        <v/>
      </c>
      <c r="E232" s="115">
        <f>IF(B232="","",IFERROR(B232/INDEX($B$2:$B$400,MATCH(DATE(YEAR(A232)-1,MONTH(A232),1),$A$2:$A$400,0))-1,""))</f>
        <v/>
      </c>
    </row>
    <row r="233">
      <c r="A233" s="117" t="n"/>
      <c r="B233" s="118" t="n"/>
      <c r="C233" s="115">
        <f>IF(OR(B233="",B232=""),"",B233/B232-1)</f>
        <v/>
      </c>
      <c r="D233" s="115">
        <f>IF(B233="","",IFERROR(B233/INDEX($B$2:$B$400,MATCH(DATE(YEAR(A233)-1,12,1),$A$2:$A$400,0))-1,""))</f>
        <v/>
      </c>
      <c r="E233" s="115">
        <f>IF(B233="","",IFERROR(B233/INDEX($B$2:$B$400,MATCH(DATE(YEAR(A233)-1,MONTH(A233),1),$A$2:$A$400,0))-1,""))</f>
        <v/>
      </c>
    </row>
    <row r="234">
      <c r="A234" s="117" t="n"/>
      <c r="B234" s="118" t="n"/>
      <c r="C234" s="115">
        <f>IF(OR(B234="",B233=""),"",B234/B233-1)</f>
        <v/>
      </c>
      <c r="D234" s="115">
        <f>IF(B234="","",IFERROR(B234/INDEX($B$2:$B$400,MATCH(DATE(YEAR(A234)-1,12,1),$A$2:$A$400,0))-1,""))</f>
        <v/>
      </c>
      <c r="E234" s="115">
        <f>IF(B234="","",IFERROR(B234/INDEX($B$2:$B$400,MATCH(DATE(YEAR(A234)-1,MONTH(A234),1),$A$2:$A$400,0))-1,""))</f>
        <v/>
      </c>
    </row>
    <row r="235">
      <c r="A235" s="117" t="n"/>
      <c r="B235" s="118" t="n"/>
      <c r="C235" s="115">
        <f>IF(OR(B235="",B234=""),"",B235/B234-1)</f>
        <v/>
      </c>
      <c r="D235" s="115">
        <f>IF(B235="","",IFERROR(B235/INDEX($B$2:$B$400,MATCH(DATE(YEAR(A235)-1,12,1),$A$2:$A$400,0))-1,""))</f>
        <v/>
      </c>
      <c r="E235" s="115">
        <f>IF(B235="","",IFERROR(B235/INDEX($B$2:$B$400,MATCH(DATE(YEAR(A235)-1,MONTH(A235),1),$A$2:$A$400,0))-1,""))</f>
        <v/>
      </c>
    </row>
    <row r="236">
      <c r="A236" s="117" t="n"/>
      <c r="B236" s="118" t="n"/>
      <c r="C236" s="115">
        <f>IF(OR(B236="",B235=""),"",B236/B235-1)</f>
        <v/>
      </c>
      <c r="D236" s="115">
        <f>IF(B236="","",IFERROR(B236/INDEX($B$2:$B$400,MATCH(DATE(YEAR(A236)-1,12,1),$A$2:$A$400,0))-1,""))</f>
        <v/>
      </c>
      <c r="E236" s="115">
        <f>IF(B236="","",IFERROR(B236/INDEX($B$2:$B$400,MATCH(DATE(YEAR(A236)-1,MONTH(A236),1),$A$2:$A$400,0))-1,""))</f>
        <v/>
      </c>
    </row>
    <row r="237">
      <c r="A237" s="117" t="n"/>
      <c r="B237" s="118" t="n"/>
      <c r="C237" s="115">
        <f>IF(OR(B237="",B236=""),"",B237/B236-1)</f>
        <v/>
      </c>
      <c r="D237" s="115">
        <f>IF(B237="","",IFERROR(B237/INDEX($B$2:$B$400,MATCH(DATE(YEAR(A237)-1,12,1),$A$2:$A$400,0))-1,""))</f>
        <v/>
      </c>
      <c r="E237" s="115">
        <f>IF(B237="","",IFERROR(B237/INDEX($B$2:$B$400,MATCH(DATE(YEAR(A237)-1,MONTH(A237),1),$A$2:$A$400,0))-1,""))</f>
        <v/>
      </c>
    </row>
    <row r="238">
      <c r="A238" s="117" t="n"/>
      <c r="B238" s="118" t="n"/>
      <c r="C238" s="115">
        <f>IF(OR(B238="",B237=""),"",B238/B237-1)</f>
        <v/>
      </c>
      <c r="D238" s="115">
        <f>IF(B238="","",IFERROR(B238/INDEX($B$2:$B$400,MATCH(DATE(YEAR(A238)-1,12,1),$A$2:$A$400,0))-1,""))</f>
        <v/>
      </c>
      <c r="E238" s="115">
        <f>IF(B238="","",IFERROR(B238/INDEX($B$2:$B$400,MATCH(DATE(YEAR(A238)-1,MONTH(A238),1),$A$2:$A$400,0))-1,""))</f>
        <v/>
      </c>
    </row>
    <row r="239">
      <c r="A239" s="117" t="n"/>
      <c r="B239" s="118" t="n"/>
      <c r="C239" s="115">
        <f>IF(OR(B239="",B238=""),"",B239/B238-1)</f>
        <v/>
      </c>
      <c r="D239" s="115">
        <f>IF(B239="","",IFERROR(B239/INDEX($B$2:$B$400,MATCH(DATE(YEAR(A239)-1,12,1),$A$2:$A$400,0))-1,""))</f>
        <v/>
      </c>
      <c r="E239" s="115">
        <f>IF(B239="","",IFERROR(B239/INDEX($B$2:$B$400,MATCH(DATE(YEAR(A239)-1,MONTH(A239),1),$A$2:$A$400,0))-1,""))</f>
        <v/>
      </c>
    </row>
    <row r="240">
      <c r="A240" s="117" t="n"/>
      <c r="B240" s="118" t="n"/>
      <c r="C240" s="115">
        <f>IF(OR(B240="",B239=""),"",B240/B239-1)</f>
        <v/>
      </c>
      <c r="D240" s="115">
        <f>IF(B240="","",IFERROR(B240/INDEX($B$2:$B$400,MATCH(DATE(YEAR(A240)-1,12,1),$A$2:$A$400,0))-1,""))</f>
        <v/>
      </c>
      <c r="E240" s="115">
        <f>IF(B240="","",IFERROR(B240/INDEX($B$2:$B$400,MATCH(DATE(YEAR(A240)-1,MONTH(A240),1),$A$2:$A$400,0))-1,""))</f>
        <v/>
      </c>
    </row>
    <row r="241">
      <c r="A241" s="117" t="n"/>
      <c r="B241" s="118" t="n"/>
      <c r="C241" s="115">
        <f>IF(OR(B241="",B240=""),"",B241/B240-1)</f>
        <v/>
      </c>
      <c r="D241" s="115">
        <f>IF(B241="","",IFERROR(B241/INDEX($B$2:$B$400,MATCH(DATE(YEAR(A241)-1,12,1),$A$2:$A$400,0))-1,""))</f>
        <v/>
      </c>
      <c r="E241" s="115">
        <f>IF(B241="","",IFERROR(B241/INDEX($B$2:$B$400,MATCH(DATE(YEAR(A241)-1,MONTH(A241),1),$A$2:$A$400,0))-1,""))</f>
        <v/>
      </c>
    </row>
    <row r="242">
      <c r="A242" s="117" t="n"/>
      <c r="B242" s="118" t="n"/>
      <c r="C242" s="115">
        <f>IF(OR(B242="",B241=""),"",B242/B241-1)</f>
        <v/>
      </c>
      <c r="D242" s="115">
        <f>IF(B242="","",IFERROR(B242/INDEX($B$2:$B$400,MATCH(DATE(YEAR(A242)-1,12,1),$A$2:$A$400,0))-1,""))</f>
        <v/>
      </c>
      <c r="E242" s="115">
        <f>IF(B242="","",IFERROR(B242/INDEX($B$2:$B$400,MATCH(DATE(YEAR(A242)-1,MONTH(A242),1),$A$2:$A$400,0))-1,""))</f>
        <v/>
      </c>
    </row>
    <row r="243">
      <c r="A243" s="117" t="n"/>
      <c r="B243" s="118" t="n"/>
      <c r="C243" s="115">
        <f>IF(OR(B243="",B242=""),"",B243/B242-1)</f>
        <v/>
      </c>
      <c r="D243" s="115">
        <f>IF(B243="","",IFERROR(B243/INDEX($B$2:$B$400,MATCH(DATE(YEAR(A243)-1,12,1),$A$2:$A$400,0))-1,""))</f>
        <v/>
      </c>
      <c r="E243" s="115">
        <f>IF(B243="","",IFERROR(B243/INDEX($B$2:$B$400,MATCH(DATE(YEAR(A243)-1,MONTH(A243),1),$A$2:$A$400,0))-1,""))</f>
        <v/>
      </c>
    </row>
    <row r="244">
      <c r="A244" s="117" t="n"/>
      <c r="B244" s="118" t="n"/>
      <c r="C244" s="115">
        <f>IF(OR(B244="",B243=""),"",B244/B243-1)</f>
        <v/>
      </c>
      <c r="D244" s="115">
        <f>IF(B244="","",IFERROR(B244/INDEX($B$2:$B$400,MATCH(DATE(YEAR(A244)-1,12,1),$A$2:$A$400,0))-1,""))</f>
        <v/>
      </c>
      <c r="E244" s="115">
        <f>IF(B244="","",IFERROR(B244/INDEX($B$2:$B$400,MATCH(DATE(YEAR(A244)-1,MONTH(A244),1),$A$2:$A$400,0))-1,""))</f>
        <v/>
      </c>
    </row>
    <row r="245">
      <c r="A245" s="117" t="n"/>
      <c r="B245" s="118" t="n"/>
      <c r="C245" s="115">
        <f>IF(OR(B245="",B244=""),"",B245/B244-1)</f>
        <v/>
      </c>
      <c r="D245" s="115">
        <f>IF(B245="","",IFERROR(B245/INDEX($B$2:$B$400,MATCH(DATE(YEAR(A245)-1,12,1),$A$2:$A$400,0))-1,""))</f>
        <v/>
      </c>
      <c r="E245" s="115">
        <f>IF(B245="","",IFERROR(B245/INDEX($B$2:$B$400,MATCH(DATE(YEAR(A245)-1,MONTH(A245),1),$A$2:$A$400,0))-1,""))</f>
        <v/>
      </c>
    </row>
    <row r="246">
      <c r="A246" s="117" t="n"/>
      <c r="B246" s="118" t="n"/>
      <c r="C246" s="115">
        <f>IF(OR(B246="",B245=""),"",B246/B245-1)</f>
        <v/>
      </c>
      <c r="D246" s="115">
        <f>IF(B246="","",IFERROR(B246/INDEX($B$2:$B$400,MATCH(DATE(YEAR(A246)-1,12,1),$A$2:$A$400,0))-1,""))</f>
        <v/>
      </c>
      <c r="E246" s="115">
        <f>IF(B246="","",IFERROR(B246/INDEX($B$2:$B$400,MATCH(DATE(YEAR(A246)-1,MONTH(A246),1),$A$2:$A$400,0))-1,""))</f>
        <v/>
      </c>
    </row>
    <row r="247">
      <c r="A247" s="117" t="n"/>
      <c r="B247" s="118" t="n"/>
      <c r="C247" s="115">
        <f>IF(OR(B247="",B246=""),"",B247/B246-1)</f>
        <v/>
      </c>
      <c r="D247" s="115">
        <f>IF(B247="","",IFERROR(B247/INDEX($B$2:$B$400,MATCH(DATE(YEAR(A247)-1,12,1),$A$2:$A$400,0))-1,""))</f>
        <v/>
      </c>
      <c r="E247" s="115">
        <f>IF(B247="","",IFERROR(B247/INDEX($B$2:$B$400,MATCH(DATE(YEAR(A247)-1,MONTH(A247),1),$A$2:$A$400,0))-1,""))</f>
        <v/>
      </c>
    </row>
    <row r="248">
      <c r="A248" s="117" t="n"/>
      <c r="B248" s="118" t="n"/>
      <c r="C248" s="115">
        <f>IF(OR(B248="",B247=""),"",B248/B247-1)</f>
        <v/>
      </c>
      <c r="D248" s="115">
        <f>IF(B248="","",IFERROR(B248/INDEX($B$2:$B$400,MATCH(DATE(YEAR(A248)-1,12,1),$A$2:$A$400,0))-1,""))</f>
        <v/>
      </c>
      <c r="E248" s="115">
        <f>IF(B248="","",IFERROR(B248/INDEX($B$2:$B$400,MATCH(DATE(YEAR(A248)-1,MONTH(A248),1),$A$2:$A$400,0))-1,""))</f>
        <v/>
      </c>
    </row>
    <row r="249">
      <c r="A249" s="117" t="n"/>
      <c r="B249" s="118" t="n"/>
      <c r="C249" s="115">
        <f>IF(OR(B249="",B248=""),"",B249/B248-1)</f>
        <v/>
      </c>
      <c r="D249" s="115">
        <f>IF(B249="","",IFERROR(B249/INDEX($B$2:$B$400,MATCH(DATE(YEAR(A249)-1,12,1),$A$2:$A$400,0))-1,""))</f>
        <v/>
      </c>
      <c r="E249" s="115">
        <f>IF(B249="","",IFERROR(B249/INDEX($B$2:$B$400,MATCH(DATE(YEAR(A249)-1,MONTH(A249),1),$A$2:$A$400,0))-1,""))</f>
        <v/>
      </c>
    </row>
    <row r="250">
      <c r="A250" s="117" t="n"/>
      <c r="B250" s="118" t="n"/>
      <c r="C250" s="115">
        <f>IF(OR(B250="",B249=""),"",B250/B249-1)</f>
        <v/>
      </c>
      <c r="D250" s="115">
        <f>IF(B250="","",IFERROR(B250/INDEX($B$2:$B$400,MATCH(DATE(YEAR(A250)-1,12,1),$A$2:$A$400,0))-1,""))</f>
        <v/>
      </c>
      <c r="E250" s="115">
        <f>IF(B250="","",IFERROR(B250/INDEX($B$2:$B$400,MATCH(DATE(YEAR(A250)-1,MONTH(A250),1),$A$2:$A$400,0))-1,""))</f>
        <v/>
      </c>
    </row>
    <row r="251">
      <c r="A251" s="117" t="n"/>
      <c r="B251" s="118" t="n"/>
      <c r="C251" s="115">
        <f>IF(OR(B251="",B250=""),"",B251/B250-1)</f>
        <v/>
      </c>
      <c r="D251" s="115">
        <f>IF(B251="","",IFERROR(B251/INDEX($B$2:$B$400,MATCH(DATE(YEAR(A251)-1,12,1),$A$2:$A$400,0))-1,""))</f>
        <v/>
      </c>
      <c r="E251" s="115">
        <f>IF(B251="","",IFERROR(B251/INDEX($B$2:$B$400,MATCH(DATE(YEAR(A251)-1,MONTH(A251),1),$A$2:$A$400,0))-1,""))</f>
        <v/>
      </c>
    </row>
    <row r="252">
      <c r="A252" s="117" t="n"/>
      <c r="B252" s="118" t="n"/>
      <c r="C252" s="115">
        <f>IF(OR(B252="",B251=""),"",B252/B251-1)</f>
        <v/>
      </c>
      <c r="D252" s="115">
        <f>IF(B252="","",IFERROR(B252/INDEX($B$2:$B$400,MATCH(DATE(YEAR(A252)-1,12,1),$A$2:$A$400,0))-1,""))</f>
        <v/>
      </c>
      <c r="E252" s="115">
        <f>IF(B252="","",IFERROR(B252/INDEX($B$2:$B$400,MATCH(DATE(YEAR(A252)-1,MONTH(A252),1),$A$2:$A$400,0))-1,""))</f>
        <v/>
      </c>
    </row>
    <row r="253">
      <c r="A253" s="117" t="n"/>
      <c r="B253" s="118" t="n"/>
      <c r="C253" s="115">
        <f>IF(OR(B253="",B252=""),"",B253/B252-1)</f>
        <v/>
      </c>
      <c r="D253" s="115">
        <f>IF(B253="","",IFERROR(B253/INDEX($B$2:$B$400,MATCH(DATE(YEAR(A253)-1,12,1),$A$2:$A$400,0))-1,""))</f>
        <v/>
      </c>
      <c r="E253" s="115">
        <f>IF(B253="","",IFERROR(B253/INDEX($B$2:$B$400,MATCH(DATE(YEAR(A253)-1,MONTH(A253),1),$A$2:$A$400,0))-1,""))</f>
        <v/>
      </c>
    </row>
    <row r="254">
      <c r="A254" s="117" t="n"/>
      <c r="B254" s="118" t="n"/>
      <c r="C254" s="115">
        <f>IF(OR(B254="",B253=""),"",B254/B253-1)</f>
        <v/>
      </c>
      <c r="D254" s="115">
        <f>IF(B254="","",IFERROR(B254/INDEX($B$2:$B$400,MATCH(DATE(YEAR(A254)-1,12,1),$A$2:$A$400,0))-1,""))</f>
        <v/>
      </c>
      <c r="E254" s="115">
        <f>IF(B254="","",IFERROR(B254/INDEX($B$2:$B$400,MATCH(DATE(YEAR(A254)-1,MONTH(A254),1),$A$2:$A$400,0))-1,""))</f>
        <v/>
      </c>
    </row>
    <row r="255">
      <c r="A255" s="117" t="n"/>
      <c r="B255" s="118" t="n"/>
      <c r="C255" s="115">
        <f>IF(OR(B255="",B254=""),"",B255/B254-1)</f>
        <v/>
      </c>
      <c r="D255" s="115">
        <f>IF(B255="","",IFERROR(B255/INDEX($B$2:$B$400,MATCH(DATE(YEAR(A255)-1,12,1),$A$2:$A$400,0))-1,""))</f>
        <v/>
      </c>
      <c r="E255" s="115">
        <f>IF(B255="","",IFERROR(B255/INDEX($B$2:$B$400,MATCH(DATE(YEAR(A255)-1,MONTH(A255),1),$A$2:$A$400,0))-1,""))</f>
        <v/>
      </c>
    </row>
    <row r="256">
      <c r="A256" s="117" t="n"/>
      <c r="B256" s="118" t="n"/>
      <c r="C256" s="115">
        <f>IF(OR(B256="",B255=""),"",B256/B255-1)</f>
        <v/>
      </c>
      <c r="D256" s="115">
        <f>IF(B256="","",IFERROR(B256/INDEX($B$2:$B$400,MATCH(DATE(YEAR(A256)-1,12,1),$A$2:$A$400,0))-1,""))</f>
        <v/>
      </c>
      <c r="E256" s="115">
        <f>IF(B256="","",IFERROR(B256/INDEX($B$2:$B$400,MATCH(DATE(YEAR(A256)-1,MONTH(A256),1),$A$2:$A$400,0))-1,""))</f>
        <v/>
      </c>
    </row>
    <row r="257">
      <c r="A257" s="117" t="n"/>
      <c r="B257" s="118" t="n"/>
      <c r="C257" s="115">
        <f>IF(OR(B257="",B256=""),"",B257/B256-1)</f>
        <v/>
      </c>
      <c r="D257" s="115">
        <f>IF(B257="","",IFERROR(B257/INDEX($B$2:$B$400,MATCH(DATE(YEAR(A257)-1,12,1),$A$2:$A$400,0))-1,""))</f>
        <v/>
      </c>
      <c r="E257" s="115">
        <f>IF(B257="","",IFERROR(B257/INDEX($B$2:$B$400,MATCH(DATE(YEAR(A257)-1,MONTH(A257),1),$A$2:$A$400,0))-1,""))</f>
        <v/>
      </c>
    </row>
    <row r="258">
      <c r="A258" s="117" t="n"/>
      <c r="B258" s="118" t="n"/>
      <c r="C258" s="115">
        <f>IF(OR(B258="",B257=""),"",B258/B257-1)</f>
        <v/>
      </c>
      <c r="D258" s="115">
        <f>IF(B258="","",IFERROR(B258/INDEX($B$2:$B$400,MATCH(DATE(YEAR(A258)-1,12,1),$A$2:$A$400,0))-1,""))</f>
        <v/>
      </c>
      <c r="E258" s="115">
        <f>IF(B258="","",IFERROR(B258/INDEX($B$2:$B$400,MATCH(DATE(YEAR(A258)-1,MONTH(A258),1),$A$2:$A$400,0))-1,""))</f>
        <v/>
      </c>
    </row>
    <row r="259">
      <c r="A259" s="117" t="n"/>
      <c r="B259" s="118" t="n"/>
      <c r="C259" s="115">
        <f>IF(OR(B259="",B258=""),"",B259/B258-1)</f>
        <v/>
      </c>
      <c r="D259" s="115">
        <f>IF(B259="","",IFERROR(B259/INDEX($B$2:$B$400,MATCH(DATE(YEAR(A259)-1,12,1),$A$2:$A$400,0))-1,""))</f>
        <v/>
      </c>
      <c r="E259" s="115">
        <f>IF(B259="","",IFERROR(B259/INDEX($B$2:$B$400,MATCH(DATE(YEAR(A259)-1,MONTH(A259),1),$A$2:$A$400,0))-1,""))</f>
        <v/>
      </c>
    </row>
    <row r="260">
      <c r="A260" s="117" t="n"/>
      <c r="B260" s="118" t="n"/>
      <c r="C260" s="115">
        <f>IF(OR(B260="",B259=""),"",B260/B259-1)</f>
        <v/>
      </c>
      <c r="D260" s="115">
        <f>IF(B260="","",IFERROR(B260/INDEX($B$2:$B$400,MATCH(DATE(YEAR(A260)-1,12,1),$A$2:$A$400,0))-1,""))</f>
        <v/>
      </c>
      <c r="E260" s="115">
        <f>IF(B260="","",IFERROR(B260/INDEX($B$2:$B$400,MATCH(DATE(YEAR(A260)-1,MONTH(A260),1),$A$2:$A$400,0))-1,""))</f>
        <v/>
      </c>
    </row>
    <row r="261">
      <c r="A261" s="117" t="n"/>
      <c r="B261" s="118" t="n"/>
      <c r="C261" s="115">
        <f>IF(OR(B261="",B260=""),"",B261/B260-1)</f>
        <v/>
      </c>
      <c r="D261" s="115">
        <f>IF(B261="","",IFERROR(B261/INDEX($B$2:$B$400,MATCH(DATE(YEAR(A261)-1,12,1),$A$2:$A$400,0))-1,""))</f>
        <v/>
      </c>
      <c r="E261" s="115">
        <f>IF(B261="","",IFERROR(B261/INDEX($B$2:$B$400,MATCH(DATE(YEAR(A261)-1,MONTH(A261),1),$A$2:$A$400,0))-1,""))</f>
        <v/>
      </c>
    </row>
    <row r="262">
      <c r="A262" s="117" t="n"/>
      <c r="B262" s="118" t="n"/>
      <c r="C262" s="115">
        <f>IF(OR(B262="",B261=""),"",B262/B261-1)</f>
        <v/>
      </c>
      <c r="D262" s="115">
        <f>IF(B262="","",IFERROR(B262/INDEX($B$2:$B$400,MATCH(DATE(YEAR(A262)-1,12,1),$A$2:$A$400,0))-1,""))</f>
        <v/>
      </c>
      <c r="E262" s="115">
        <f>IF(B262="","",IFERROR(B262/INDEX($B$2:$B$400,MATCH(DATE(YEAR(A262)-1,MONTH(A262),1),$A$2:$A$400,0))-1,""))</f>
        <v/>
      </c>
    </row>
    <row r="263">
      <c r="A263" s="117" t="n"/>
      <c r="B263" s="118" t="n"/>
      <c r="C263" s="115">
        <f>IF(OR(B263="",B262=""),"",B263/B262-1)</f>
        <v/>
      </c>
      <c r="D263" s="115">
        <f>IF(B263="","",IFERROR(B263/INDEX($B$2:$B$400,MATCH(DATE(YEAR(A263)-1,12,1),$A$2:$A$400,0))-1,""))</f>
        <v/>
      </c>
      <c r="E263" s="115">
        <f>IF(B263="","",IFERROR(B263/INDEX($B$2:$B$400,MATCH(DATE(YEAR(A263)-1,MONTH(A263),1),$A$2:$A$400,0))-1,""))</f>
        <v/>
      </c>
    </row>
    <row r="264">
      <c r="A264" s="117" t="n"/>
      <c r="B264" s="118" t="n"/>
      <c r="C264" s="115">
        <f>IF(OR(B264="",B263=""),"",B264/B263-1)</f>
        <v/>
      </c>
      <c r="D264" s="115">
        <f>IF(B264="","",IFERROR(B264/INDEX($B$2:$B$400,MATCH(DATE(YEAR(A264)-1,12,1),$A$2:$A$400,0))-1,""))</f>
        <v/>
      </c>
      <c r="E264" s="115">
        <f>IF(B264="","",IFERROR(B264/INDEX($B$2:$B$400,MATCH(DATE(YEAR(A264)-1,MONTH(A264),1),$A$2:$A$400,0))-1,""))</f>
        <v/>
      </c>
    </row>
    <row r="265">
      <c r="A265" s="117" t="n"/>
      <c r="B265" s="118" t="n"/>
      <c r="C265" s="115">
        <f>IF(OR(B265="",B264=""),"",B265/B264-1)</f>
        <v/>
      </c>
      <c r="D265" s="115">
        <f>IF(B265="","",IFERROR(B265/INDEX($B$2:$B$400,MATCH(DATE(YEAR(A265)-1,12,1),$A$2:$A$400,0))-1,""))</f>
        <v/>
      </c>
      <c r="E265" s="115">
        <f>IF(B265="","",IFERROR(B265/INDEX($B$2:$B$400,MATCH(DATE(YEAR(A265)-1,MONTH(A265),1),$A$2:$A$400,0))-1,""))</f>
        <v/>
      </c>
    </row>
    <row r="266">
      <c r="A266" s="117" t="n"/>
      <c r="B266" s="118" t="n"/>
      <c r="C266" s="115">
        <f>IF(OR(B266="",B265=""),"",B266/B265-1)</f>
        <v/>
      </c>
      <c r="D266" s="115">
        <f>IF(B266="","",IFERROR(B266/INDEX($B$2:$B$400,MATCH(DATE(YEAR(A266)-1,12,1),$A$2:$A$400,0))-1,""))</f>
        <v/>
      </c>
      <c r="E266" s="115">
        <f>IF(B266="","",IFERROR(B266/INDEX($B$2:$B$400,MATCH(DATE(YEAR(A266)-1,MONTH(A266),1),$A$2:$A$400,0))-1,""))</f>
        <v/>
      </c>
    </row>
    <row r="267">
      <c r="A267" s="117" t="n"/>
      <c r="B267" s="118" t="n"/>
      <c r="C267" s="115">
        <f>IF(OR(B267="",B266=""),"",B267/B266-1)</f>
        <v/>
      </c>
      <c r="D267" s="115">
        <f>IF(B267="","",IFERROR(B267/INDEX($B$2:$B$400,MATCH(DATE(YEAR(A267)-1,12,1),$A$2:$A$400,0))-1,""))</f>
        <v/>
      </c>
      <c r="E267" s="115">
        <f>IF(B267="","",IFERROR(B267/INDEX($B$2:$B$400,MATCH(DATE(YEAR(A267)-1,MONTH(A267),1),$A$2:$A$400,0))-1,""))</f>
        <v/>
      </c>
    </row>
    <row r="268">
      <c r="A268" s="117" t="n"/>
      <c r="B268" s="118" t="n"/>
      <c r="C268" s="115">
        <f>IF(OR(B268="",B267=""),"",B268/B267-1)</f>
        <v/>
      </c>
      <c r="D268" s="115">
        <f>IF(B268="","",IFERROR(B268/INDEX($B$2:$B$400,MATCH(DATE(YEAR(A268)-1,12,1),$A$2:$A$400,0))-1,""))</f>
        <v/>
      </c>
      <c r="E268" s="115">
        <f>IF(B268="","",IFERROR(B268/INDEX($B$2:$B$400,MATCH(DATE(YEAR(A268)-1,MONTH(A268),1),$A$2:$A$400,0))-1,""))</f>
        <v/>
      </c>
    </row>
    <row r="269">
      <c r="A269" s="117" t="n"/>
      <c r="B269" s="118" t="n"/>
      <c r="C269" s="115">
        <f>IF(OR(B269="",B268=""),"",B269/B268-1)</f>
        <v/>
      </c>
      <c r="D269" s="115">
        <f>IF(B269="","",IFERROR(B269/INDEX($B$2:$B$400,MATCH(DATE(YEAR(A269)-1,12,1),$A$2:$A$400,0))-1,""))</f>
        <v/>
      </c>
      <c r="E269" s="115">
        <f>IF(B269="","",IFERROR(B269/INDEX($B$2:$B$400,MATCH(DATE(YEAR(A269)-1,MONTH(A269),1),$A$2:$A$400,0))-1,""))</f>
        <v/>
      </c>
    </row>
    <row r="270">
      <c r="A270" s="117" t="n"/>
      <c r="B270" s="118" t="n"/>
      <c r="C270" s="115">
        <f>IF(OR(B270="",B269=""),"",B270/B269-1)</f>
        <v/>
      </c>
      <c r="D270" s="115">
        <f>IF(B270="","",IFERROR(B270/INDEX($B$2:$B$400,MATCH(DATE(YEAR(A270)-1,12,1),$A$2:$A$400,0))-1,""))</f>
        <v/>
      </c>
      <c r="E270" s="115">
        <f>IF(B270="","",IFERROR(B270/INDEX($B$2:$B$400,MATCH(DATE(YEAR(A270)-1,MONTH(A270),1),$A$2:$A$400,0))-1,""))</f>
        <v/>
      </c>
    </row>
    <row r="271">
      <c r="A271" s="117" t="n"/>
      <c r="B271" s="118" t="n"/>
      <c r="C271" s="115">
        <f>IF(OR(B271="",B270=""),"",B271/B270-1)</f>
        <v/>
      </c>
      <c r="D271" s="115">
        <f>IF(B271="","",IFERROR(B271/INDEX($B$2:$B$400,MATCH(DATE(YEAR(A271)-1,12,1),$A$2:$A$400,0))-1,""))</f>
        <v/>
      </c>
      <c r="E271" s="115">
        <f>IF(B271="","",IFERROR(B271/INDEX($B$2:$B$400,MATCH(DATE(YEAR(A271)-1,MONTH(A271),1),$A$2:$A$400,0))-1,""))</f>
        <v/>
      </c>
    </row>
    <row r="272">
      <c r="A272" s="117" t="n"/>
      <c r="B272" s="118" t="n"/>
      <c r="C272" s="115">
        <f>IF(OR(B272="",B271=""),"",B272/B271-1)</f>
        <v/>
      </c>
      <c r="D272" s="115">
        <f>IF(B272="","",IFERROR(B272/INDEX($B$2:$B$400,MATCH(DATE(YEAR(A272)-1,12,1),$A$2:$A$400,0))-1,""))</f>
        <v/>
      </c>
      <c r="E272" s="115">
        <f>IF(B272="","",IFERROR(B272/INDEX($B$2:$B$400,MATCH(DATE(YEAR(A272)-1,MONTH(A272),1),$A$2:$A$400,0))-1,""))</f>
        <v/>
      </c>
    </row>
    <row r="273">
      <c r="A273" s="117" t="n"/>
      <c r="B273" s="118" t="n"/>
      <c r="C273" s="115">
        <f>IF(OR(B273="",B272=""),"",B273/B272-1)</f>
        <v/>
      </c>
      <c r="D273" s="115">
        <f>IF(B273="","",IFERROR(B273/INDEX($B$2:$B$400,MATCH(DATE(YEAR(A273)-1,12,1),$A$2:$A$400,0))-1,""))</f>
        <v/>
      </c>
      <c r="E273" s="115">
        <f>IF(B273="","",IFERROR(B273/INDEX($B$2:$B$400,MATCH(DATE(YEAR(A273)-1,MONTH(A273),1),$A$2:$A$400,0))-1,""))</f>
        <v/>
      </c>
    </row>
    <row r="274">
      <c r="A274" s="117" t="n"/>
      <c r="B274" s="118" t="n"/>
      <c r="C274" s="115">
        <f>IF(OR(B274="",B273=""),"",B274/B273-1)</f>
        <v/>
      </c>
      <c r="D274" s="115">
        <f>IF(B274="","",IFERROR(B274/INDEX($B$2:$B$400,MATCH(DATE(YEAR(A274)-1,12,1),$A$2:$A$400,0))-1,""))</f>
        <v/>
      </c>
      <c r="E274" s="115">
        <f>IF(B274="","",IFERROR(B274/INDEX($B$2:$B$400,MATCH(DATE(YEAR(A274)-1,MONTH(A274),1),$A$2:$A$400,0))-1,""))</f>
        <v/>
      </c>
    </row>
    <row r="275">
      <c r="A275" s="117" t="n"/>
      <c r="B275" s="118" t="n"/>
      <c r="C275" s="115">
        <f>IF(OR(B275="",B274=""),"",B275/B274-1)</f>
        <v/>
      </c>
      <c r="D275" s="115">
        <f>IF(B275="","",IFERROR(B275/INDEX($B$2:$B$400,MATCH(DATE(YEAR(A275)-1,12,1),$A$2:$A$400,0))-1,""))</f>
        <v/>
      </c>
      <c r="E275" s="115">
        <f>IF(B275="","",IFERROR(B275/INDEX($B$2:$B$400,MATCH(DATE(YEAR(A275)-1,MONTH(A275),1),$A$2:$A$400,0))-1,""))</f>
        <v/>
      </c>
    </row>
    <row r="276">
      <c r="A276" s="117" t="n"/>
      <c r="B276" s="118" t="n"/>
      <c r="C276" s="115">
        <f>IF(OR(B276="",B275=""),"",B276/B275-1)</f>
        <v/>
      </c>
      <c r="D276" s="115">
        <f>IF(B276="","",IFERROR(B276/INDEX($B$2:$B$400,MATCH(DATE(YEAR(A276)-1,12,1),$A$2:$A$400,0))-1,""))</f>
        <v/>
      </c>
      <c r="E276" s="115">
        <f>IF(B276="","",IFERROR(B276/INDEX($B$2:$B$400,MATCH(DATE(YEAR(A276)-1,MONTH(A276),1),$A$2:$A$400,0))-1,""))</f>
        <v/>
      </c>
    </row>
    <row r="277">
      <c r="A277" s="117" t="n"/>
      <c r="B277" s="118" t="n"/>
      <c r="C277" s="115">
        <f>IF(OR(B277="",B276=""),"",B277/B276-1)</f>
        <v/>
      </c>
      <c r="D277" s="115">
        <f>IF(B277="","",IFERROR(B277/INDEX($B$2:$B$400,MATCH(DATE(YEAR(A277)-1,12,1),$A$2:$A$400,0))-1,""))</f>
        <v/>
      </c>
      <c r="E277" s="115">
        <f>IF(B277="","",IFERROR(B277/INDEX($B$2:$B$400,MATCH(DATE(YEAR(A277)-1,MONTH(A277),1),$A$2:$A$400,0))-1,""))</f>
        <v/>
      </c>
    </row>
    <row r="278">
      <c r="A278" s="117" t="n"/>
      <c r="B278" s="118" t="n"/>
      <c r="C278" s="115">
        <f>IF(OR(B278="",B277=""),"",B278/B277-1)</f>
        <v/>
      </c>
      <c r="D278" s="115">
        <f>IF(B278="","",IFERROR(B278/INDEX($B$2:$B$400,MATCH(DATE(YEAR(A278)-1,12,1),$A$2:$A$400,0))-1,""))</f>
        <v/>
      </c>
      <c r="E278" s="115">
        <f>IF(B278="","",IFERROR(B278/INDEX($B$2:$B$400,MATCH(DATE(YEAR(A278)-1,MONTH(A278),1),$A$2:$A$400,0))-1,""))</f>
        <v/>
      </c>
    </row>
    <row r="279">
      <c r="A279" s="117" t="n"/>
      <c r="B279" s="118" t="n"/>
      <c r="C279" s="115">
        <f>IF(OR(B279="",B278=""),"",B279/B278-1)</f>
        <v/>
      </c>
      <c r="D279" s="115">
        <f>IF(B279="","",IFERROR(B279/INDEX($B$2:$B$400,MATCH(DATE(YEAR(A279)-1,12,1),$A$2:$A$400,0))-1,""))</f>
        <v/>
      </c>
      <c r="E279" s="115">
        <f>IF(B279="","",IFERROR(B279/INDEX($B$2:$B$400,MATCH(DATE(YEAR(A279)-1,MONTH(A279),1),$A$2:$A$400,0))-1,""))</f>
        <v/>
      </c>
    </row>
    <row r="280">
      <c r="A280" s="117" t="n"/>
      <c r="B280" s="118" t="n"/>
      <c r="C280" s="115">
        <f>IF(OR(B280="",B279=""),"",B280/B279-1)</f>
        <v/>
      </c>
      <c r="D280" s="115">
        <f>IF(B280="","",IFERROR(B280/INDEX($B$2:$B$400,MATCH(DATE(YEAR(A280)-1,12,1),$A$2:$A$400,0))-1,""))</f>
        <v/>
      </c>
      <c r="E280" s="115">
        <f>IF(B280="","",IFERROR(B280/INDEX($B$2:$B$400,MATCH(DATE(YEAR(A280)-1,MONTH(A280),1),$A$2:$A$400,0))-1,""))</f>
        <v/>
      </c>
    </row>
    <row r="281">
      <c r="A281" s="117" t="n"/>
      <c r="B281" s="118" t="n"/>
      <c r="C281" s="115">
        <f>IF(OR(B281="",B280=""),"",B281/B280-1)</f>
        <v/>
      </c>
      <c r="D281" s="115">
        <f>IF(B281="","",IFERROR(B281/INDEX($B$2:$B$400,MATCH(DATE(YEAR(A281)-1,12,1),$A$2:$A$400,0))-1,""))</f>
        <v/>
      </c>
      <c r="E281" s="115">
        <f>IF(B281="","",IFERROR(B281/INDEX($B$2:$B$400,MATCH(DATE(YEAR(A281)-1,MONTH(A281),1),$A$2:$A$400,0))-1,""))</f>
        <v/>
      </c>
    </row>
    <row r="282">
      <c r="A282" s="117" t="n"/>
      <c r="B282" s="118" t="n"/>
      <c r="C282" s="115">
        <f>IF(OR(B282="",B281=""),"",B282/B281-1)</f>
        <v/>
      </c>
      <c r="D282" s="115">
        <f>IF(B282="","",IFERROR(B282/INDEX($B$2:$B$400,MATCH(DATE(YEAR(A282)-1,12,1),$A$2:$A$400,0))-1,""))</f>
        <v/>
      </c>
      <c r="E282" s="115">
        <f>IF(B282="","",IFERROR(B282/INDEX($B$2:$B$400,MATCH(DATE(YEAR(A282)-1,MONTH(A282),1),$A$2:$A$400,0))-1,""))</f>
        <v/>
      </c>
    </row>
    <row r="283">
      <c r="A283" s="117" t="n"/>
      <c r="B283" s="118" t="n"/>
      <c r="C283" s="115">
        <f>IF(OR(B283="",B282=""),"",B283/B282-1)</f>
        <v/>
      </c>
      <c r="D283" s="115">
        <f>IF(B283="","",IFERROR(B283/INDEX($B$2:$B$400,MATCH(DATE(YEAR(A283)-1,12,1),$A$2:$A$400,0))-1,""))</f>
        <v/>
      </c>
      <c r="E283" s="115">
        <f>IF(B283="","",IFERROR(B283/INDEX($B$2:$B$400,MATCH(DATE(YEAR(A283)-1,MONTH(A283),1),$A$2:$A$400,0))-1,""))</f>
        <v/>
      </c>
    </row>
    <row r="284">
      <c r="A284" s="117" t="n"/>
      <c r="B284" s="118" t="n"/>
      <c r="C284" s="115">
        <f>IF(OR(B284="",B283=""),"",B284/B283-1)</f>
        <v/>
      </c>
      <c r="D284" s="115">
        <f>IF(B284="","",IFERROR(B284/INDEX($B$2:$B$400,MATCH(DATE(YEAR(A284)-1,12,1),$A$2:$A$400,0))-1,""))</f>
        <v/>
      </c>
      <c r="E284" s="115">
        <f>IF(B284="","",IFERROR(B284/INDEX($B$2:$B$400,MATCH(DATE(YEAR(A284)-1,MONTH(A284),1),$A$2:$A$400,0))-1,""))</f>
        <v/>
      </c>
    </row>
    <row r="285">
      <c r="A285" s="117" t="n"/>
      <c r="B285" s="118" t="n"/>
      <c r="C285" s="115">
        <f>IF(OR(B285="",B284=""),"",B285/B284-1)</f>
        <v/>
      </c>
      <c r="D285" s="115">
        <f>IF(B285="","",IFERROR(B285/INDEX($B$2:$B$400,MATCH(DATE(YEAR(A285)-1,12,1),$A$2:$A$400,0))-1,""))</f>
        <v/>
      </c>
      <c r="E285" s="115">
        <f>IF(B285="","",IFERROR(B285/INDEX($B$2:$B$400,MATCH(DATE(YEAR(A285)-1,MONTH(A285),1),$A$2:$A$400,0))-1,""))</f>
        <v/>
      </c>
    </row>
    <row r="286">
      <c r="A286" s="117" t="n"/>
      <c r="B286" s="118" t="n"/>
      <c r="C286" s="115">
        <f>IF(OR(B286="",B285=""),"",B286/B285-1)</f>
        <v/>
      </c>
      <c r="D286" s="115">
        <f>IF(B286="","",IFERROR(B286/INDEX($B$2:$B$400,MATCH(DATE(YEAR(A286)-1,12,1),$A$2:$A$400,0))-1,""))</f>
        <v/>
      </c>
      <c r="E286" s="115">
        <f>IF(B286="","",IFERROR(B286/INDEX($B$2:$B$400,MATCH(DATE(YEAR(A286)-1,MONTH(A286),1),$A$2:$A$400,0))-1,""))</f>
        <v/>
      </c>
    </row>
    <row r="287">
      <c r="A287" s="117" t="n"/>
      <c r="B287" s="118" t="n"/>
      <c r="C287" s="115">
        <f>IF(OR(B287="",B286=""),"",B287/B286-1)</f>
        <v/>
      </c>
      <c r="D287" s="115">
        <f>IF(B287="","",IFERROR(B287/INDEX($B$2:$B$400,MATCH(DATE(YEAR(A287)-1,12,1),$A$2:$A$400,0))-1,""))</f>
        <v/>
      </c>
      <c r="E287" s="115">
        <f>IF(B287="","",IFERROR(B287/INDEX($B$2:$B$400,MATCH(DATE(YEAR(A287)-1,MONTH(A287),1),$A$2:$A$400,0))-1,""))</f>
        <v/>
      </c>
    </row>
    <row r="288">
      <c r="A288" s="117" t="n"/>
      <c r="B288" s="118" t="n"/>
      <c r="C288" s="115">
        <f>IF(OR(B288="",B287=""),"",B288/B287-1)</f>
        <v/>
      </c>
      <c r="D288" s="115">
        <f>IF(B288="","",IFERROR(B288/INDEX($B$2:$B$400,MATCH(DATE(YEAR(A288)-1,12,1),$A$2:$A$400,0))-1,""))</f>
        <v/>
      </c>
      <c r="E288" s="115">
        <f>IF(B288="","",IFERROR(B288/INDEX($B$2:$B$400,MATCH(DATE(YEAR(A288)-1,MONTH(A288),1),$A$2:$A$400,0))-1,""))</f>
        <v/>
      </c>
    </row>
    <row r="289">
      <c r="A289" s="117" t="n"/>
      <c r="B289" s="118" t="n"/>
      <c r="C289" s="115">
        <f>IF(OR(B289="",B288=""),"",B289/B288-1)</f>
        <v/>
      </c>
      <c r="D289" s="115">
        <f>IF(B289="","",IFERROR(B289/INDEX($B$2:$B$400,MATCH(DATE(YEAR(A289)-1,12,1),$A$2:$A$400,0))-1,""))</f>
        <v/>
      </c>
      <c r="E289" s="115">
        <f>IF(B289="","",IFERROR(B289/INDEX($B$2:$B$400,MATCH(DATE(YEAR(A289)-1,MONTH(A289),1),$A$2:$A$400,0))-1,""))</f>
        <v/>
      </c>
    </row>
    <row r="290">
      <c r="A290" s="117" t="n"/>
      <c r="B290" s="118" t="n"/>
      <c r="C290" s="115">
        <f>IF(OR(B290="",B289=""),"",B290/B289-1)</f>
        <v/>
      </c>
      <c r="D290" s="115">
        <f>IF(B290="","",IFERROR(B290/INDEX($B$2:$B$400,MATCH(DATE(YEAR(A290)-1,12,1),$A$2:$A$400,0))-1,""))</f>
        <v/>
      </c>
      <c r="E290" s="115">
        <f>IF(B290="","",IFERROR(B290/INDEX($B$2:$B$400,MATCH(DATE(YEAR(A290)-1,MONTH(A290),1),$A$2:$A$400,0))-1,""))</f>
        <v/>
      </c>
    </row>
    <row r="291">
      <c r="A291" s="117" t="n"/>
      <c r="B291" s="118" t="n"/>
      <c r="C291" s="115">
        <f>IF(OR(B291="",B290=""),"",B291/B290-1)</f>
        <v/>
      </c>
      <c r="D291" s="115">
        <f>IF(B291="","",IFERROR(B291/INDEX($B$2:$B$400,MATCH(DATE(YEAR(A291)-1,12,1),$A$2:$A$400,0))-1,""))</f>
        <v/>
      </c>
      <c r="E291" s="115">
        <f>IF(B291="","",IFERROR(B291/INDEX($B$2:$B$400,MATCH(DATE(YEAR(A291)-1,MONTH(A291),1),$A$2:$A$400,0))-1,""))</f>
        <v/>
      </c>
    </row>
    <row r="292">
      <c r="A292" s="117" t="n"/>
      <c r="B292" s="118" t="n"/>
      <c r="C292" s="115">
        <f>IF(OR(B292="",B291=""),"",B292/B291-1)</f>
        <v/>
      </c>
      <c r="D292" s="115">
        <f>IF(B292="","",IFERROR(B292/INDEX($B$2:$B$400,MATCH(DATE(YEAR(A292)-1,12,1),$A$2:$A$400,0))-1,""))</f>
        <v/>
      </c>
      <c r="E292" s="115">
        <f>IF(B292="","",IFERROR(B292/INDEX($B$2:$B$400,MATCH(DATE(YEAR(A292)-1,MONTH(A292),1),$A$2:$A$400,0))-1,""))</f>
        <v/>
      </c>
    </row>
    <row r="293">
      <c r="A293" s="117" t="n"/>
      <c r="B293" s="118" t="n"/>
      <c r="C293" s="115">
        <f>IF(OR(B293="",B292=""),"",B293/B292-1)</f>
        <v/>
      </c>
      <c r="D293" s="115">
        <f>IF(B293="","",IFERROR(B293/INDEX($B$2:$B$400,MATCH(DATE(YEAR(A293)-1,12,1),$A$2:$A$400,0))-1,""))</f>
        <v/>
      </c>
      <c r="E293" s="115">
        <f>IF(B293="","",IFERROR(B293/INDEX($B$2:$B$400,MATCH(DATE(YEAR(A293)-1,MONTH(A293),1),$A$2:$A$400,0))-1,""))</f>
        <v/>
      </c>
    </row>
    <row r="294">
      <c r="A294" s="117" t="n"/>
      <c r="B294" s="118" t="n"/>
      <c r="C294" s="115">
        <f>IF(OR(B294="",B293=""),"",B294/B293-1)</f>
        <v/>
      </c>
      <c r="D294" s="115">
        <f>IF(B294="","",IFERROR(B294/INDEX($B$2:$B$400,MATCH(DATE(YEAR(A294)-1,12,1),$A$2:$A$400,0))-1,""))</f>
        <v/>
      </c>
      <c r="E294" s="115">
        <f>IF(B294="","",IFERROR(B294/INDEX($B$2:$B$400,MATCH(DATE(YEAR(A294)-1,MONTH(A294),1),$A$2:$A$400,0))-1,""))</f>
        <v/>
      </c>
    </row>
    <row r="295">
      <c r="A295" s="117" t="n"/>
      <c r="B295" s="118" t="n"/>
      <c r="C295" s="115">
        <f>IF(OR(B295="",B294=""),"",B295/B294-1)</f>
        <v/>
      </c>
      <c r="D295" s="115">
        <f>IF(B295="","",IFERROR(B295/INDEX($B$2:$B$400,MATCH(DATE(YEAR(A295)-1,12,1),$A$2:$A$400,0))-1,""))</f>
        <v/>
      </c>
      <c r="E295" s="115">
        <f>IF(B295="","",IFERROR(B295/INDEX($B$2:$B$400,MATCH(DATE(YEAR(A295)-1,MONTH(A295),1),$A$2:$A$400,0))-1,""))</f>
        <v/>
      </c>
    </row>
    <row r="296">
      <c r="A296" s="117" t="n"/>
      <c r="B296" s="118" t="n"/>
      <c r="C296" s="115">
        <f>IF(OR(B296="",B295=""),"",B296/B295-1)</f>
        <v/>
      </c>
      <c r="D296" s="115">
        <f>IF(B296="","",IFERROR(B296/INDEX($B$2:$B$400,MATCH(DATE(YEAR(A296)-1,12,1),$A$2:$A$400,0))-1,""))</f>
        <v/>
      </c>
      <c r="E296" s="115">
        <f>IF(B296="","",IFERROR(B296/INDEX($B$2:$B$400,MATCH(DATE(YEAR(A296)-1,MONTH(A296),1),$A$2:$A$400,0))-1,""))</f>
        <v/>
      </c>
    </row>
    <row r="297">
      <c r="A297" s="117" t="n"/>
      <c r="B297" s="118" t="n"/>
      <c r="C297" s="115">
        <f>IF(OR(B297="",B296=""),"",B297/B296-1)</f>
        <v/>
      </c>
      <c r="D297" s="115">
        <f>IF(B297="","",IFERROR(B297/INDEX($B$2:$B$400,MATCH(DATE(YEAR(A297)-1,12,1),$A$2:$A$400,0))-1,""))</f>
        <v/>
      </c>
      <c r="E297" s="115">
        <f>IF(B297="","",IFERROR(B297/INDEX($B$2:$B$400,MATCH(DATE(YEAR(A297)-1,MONTH(A297),1),$A$2:$A$400,0))-1,""))</f>
        <v/>
      </c>
    </row>
    <row r="298">
      <c r="A298" s="117" t="n"/>
      <c r="B298" s="118" t="n"/>
      <c r="C298" s="115">
        <f>IF(OR(B298="",B297=""),"",B298/B297-1)</f>
        <v/>
      </c>
      <c r="D298" s="115">
        <f>IF(B298="","",IFERROR(B298/INDEX($B$2:$B$400,MATCH(DATE(YEAR(A298)-1,12,1),$A$2:$A$400,0))-1,""))</f>
        <v/>
      </c>
      <c r="E298" s="115">
        <f>IF(B298="","",IFERROR(B298/INDEX($B$2:$B$400,MATCH(DATE(YEAR(A298)-1,MONTH(A298),1),$A$2:$A$400,0))-1,""))</f>
        <v/>
      </c>
    </row>
    <row r="299">
      <c r="A299" s="117" t="n"/>
      <c r="B299" s="118" t="n"/>
      <c r="C299" s="115">
        <f>IF(OR(B299="",B298=""),"",B299/B298-1)</f>
        <v/>
      </c>
      <c r="D299" s="115">
        <f>IF(B299="","",IFERROR(B299/INDEX($B$2:$B$400,MATCH(DATE(YEAR(A299)-1,12,1),$A$2:$A$400,0))-1,""))</f>
        <v/>
      </c>
      <c r="E299" s="115">
        <f>IF(B299="","",IFERROR(B299/INDEX($B$2:$B$400,MATCH(DATE(YEAR(A299)-1,MONTH(A299),1),$A$2:$A$400,0))-1,""))</f>
        <v/>
      </c>
    </row>
    <row r="300">
      <c r="A300" s="117" t="n"/>
      <c r="B300" s="118" t="n"/>
      <c r="C300" s="115">
        <f>IF(OR(B300="",B299=""),"",B300/B299-1)</f>
        <v/>
      </c>
      <c r="D300" s="115">
        <f>IF(B300="","",IFERROR(B300/INDEX($B$2:$B$400,MATCH(DATE(YEAR(A300)-1,12,1),$A$2:$A$400,0))-1,""))</f>
        <v/>
      </c>
      <c r="E300" s="115">
        <f>IF(B300="","",IFERROR(B300/INDEX($B$2:$B$400,MATCH(DATE(YEAR(A300)-1,MONTH(A300),1),$A$2:$A$400,0))-1,""))</f>
        <v/>
      </c>
    </row>
    <row r="301">
      <c r="A301" s="117" t="n"/>
      <c r="B301" s="118" t="n"/>
      <c r="C301" s="115">
        <f>IF(OR(B301="",B300=""),"",B301/B300-1)</f>
        <v/>
      </c>
      <c r="D301" s="115">
        <f>IF(B301="","",IFERROR(B301/INDEX($B$2:$B$400,MATCH(DATE(YEAR(A301)-1,12,1),$A$2:$A$400,0))-1,""))</f>
        <v/>
      </c>
      <c r="E301" s="115">
        <f>IF(B301="","",IFERROR(B301/INDEX($B$2:$B$400,MATCH(DATE(YEAR(A301)-1,MONTH(A301),1),$A$2:$A$400,0))-1,""))</f>
        <v/>
      </c>
    </row>
    <row r="302">
      <c r="A302" s="117" t="n"/>
      <c r="B302" s="118" t="n"/>
      <c r="C302" s="115">
        <f>IF(OR(B302="",B301=""),"",B302/B301-1)</f>
        <v/>
      </c>
      <c r="D302" s="115">
        <f>IF(B302="","",IFERROR(B302/INDEX($B$2:$B$400,MATCH(DATE(YEAR(A302)-1,12,1),$A$2:$A$400,0))-1,""))</f>
        <v/>
      </c>
      <c r="E302" s="115">
        <f>IF(B302="","",IFERROR(B302/INDEX($B$2:$B$400,MATCH(DATE(YEAR(A302)-1,MONTH(A302),1),$A$2:$A$400,0))-1,""))</f>
        <v/>
      </c>
    </row>
    <row r="303">
      <c r="A303" s="117" t="n"/>
      <c r="B303" s="118" t="n"/>
      <c r="C303" s="115">
        <f>IF(OR(B303="",B302=""),"",B303/B302-1)</f>
        <v/>
      </c>
      <c r="D303" s="115">
        <f>IF(B303="","",IFERROR(B303/INDEX($B$2:$B$400,MATCH(DATE(YEAR(A303)-1,12,1),$A$2:$A$400,0))-1,""))</f>
        <v/>
      </c>
      <c r="E303" s="115">
        <f>IF(B303="","",IFERROR(B303/INDEX($B$2:$B$400,MATCH(DATE(YEAR(A303)-1,MONTH(A303),1),$A$2:$A$400,0))-1,""))</f>
        <v/>
      </c>
    </row>
    <row r="304">
      <c r="A304" s="117" t="n"/>
      <c r="B304" s="118" t="n"/>
      <c r="C304" s="115">
        <f>IF(OR(B304="",B303=""),"",B304/B303-1)</f>
        <v/>
      </c>
      <c r="D304" s="115">
        <f>IF(B304="","",IFERROR(B304/INDEX($B$2:$B$400,MATCH(DATE(YEAR(A304)-1,12,1),$A$2:$A$400,0))-1,""))</f>
        <v/>
      </c>
      <c r="E304" s="115">
        <f>IF(B304="","",IFERROR(B304/INDEX($B$2:$B$400,MATCH(DATE(YEAR(A304)-1,MONTH(A304),1),$A$2:$A$400,0))-1,""))</f>
        <v/>
      </c>
    </row>
    <row r="305">
      <c r="A305" s="117" t="n"/>
      <c r="B305" s="118" t="n"/>
      <c r="C305" s="115">
        <f>IF(OR(B305="",B304=""),"",B305/B304-1)</f>
        <v/>
      </c>
      <c r="D305" s="115">
        <f>IF(B305="","",IFERROR(B305/INDEX($B$2:$B$400,MATCH(DATE(YEAR(A305)-1,12,1),$A$2:$A$400,0))-1,""))</f>
        <v/>
      </c>
      <c r="E305" s="115">
        <f>IF(B305="","",IFERROR(B305/INDEX($B$2:$B$400,MATCH(DATE(YEAR(A305)-1,MONTH(A305),1),$A$2:$A$400,0))-1,""))</f>
        <v/>
      </c>
    </row>
    <row r="306">
      <c r="A306" s="117" t="n"/>
      <c r="B306" s="118" t="n"/>
      <c r="C306" s="115">
        <f>IF(OR(B306="",B305=""),"",B306/B305-1)</f>
        <v/>
      </c>
      <c r="D306" s="115">
        <f>IF(B306="","",IFERROR(B306/INDEX($B$2:$B$400,MATCH(DATE(YEAR(A306)-1,12,1),$A$2:$A$400,0))-1,""))</f>
        <v/>
      </c>
      <c r="E306" s="115">
        <f>IF(B306="","",IFERROR(B306/INDEX($B$2:$B$400,MATCH(DATE(YEAR(A306)-1,MONTH(A306),1),$A$2:$A$400,0))-1,""))</f>
        <v/>
      </c>
    </row>
    <row r="307">
      <c r="A307" s="117" t="n"/>
      <c r="B307" s="118" t="n"/>
      <c r="C307" s="115">
        <f>IF(OR(B307="",B306=""),"",B307/B306-1)</f>
        <v/>
      </c>
      <c r="D307" s="115">
        <f>IF(B307="","",IFERROR(B307/INDEX($B$2:$B$400,MATCH(DATE(YEAR(A307)-1,12,1),$A$2:$A$400,0))-1,""))</f>
        <v/>
      </c>
      <c r="E307" s="115">
        <f>IF(B307="","",IFERROR(B307/INDEX($B$2:$B$400,MATCH(DATE(YEAR(A307)-1,MONTH(A307),1),$A$2:$A$400,0))-1,""))</f>
        <v/>
      </c>
    </row>
    <row r="308">
      <c r="A308" s="117" t="n"/>
      <c r="B308" s="118" t="n"/>
      <c r="C308" s="115">
        <f>IF(OR(B308="",B307=""),"",B308/B307-1)</f>
        <v/>
      </c>
      <c r="D308" s="115">
        <f>IF(B308="","",IFERROR(B308/INDEX($B$2:$B$400,MATCH(DATE(YEAR(A308)-1,12,1),$A$2:$A$400,0))-1,""))</f>
        <v/>
      </c>
      <c r="E308" s="115">
        <f>IF(B308="","",IFERROR(B308/INDEX($B$2:$B$400,MATCH(DATE(YEAR(A308)-1,MONTH(A308),1),$A$2:$A$400,0))-1,""))</f>
        <v/>
      </c>
    </row>
    <row r="309">
      <c r="A309" s="117" t="n"/>
      <c r="B309" s="118" t="n"/>
      <c r="C309" s="115">
        <f>IF(OR(B309="",B308=""),"",B309/B308-1)</f>
        <v/>
      </c>
      <c r="D309" s="115">
        <f>IF(B309="","",IFERROR(B309/INDEX($B$2:$B$400,MATCH(DATE(YEAR(A309)-1,12,1),$A$2:$A$400,0))-1,""))</f>
        <v/>
      </c>
      <c r="E309" s="115">
        <f>IF(B309="","",IFERROR(B309/INDEX($B$2:$B$400,MATCH(DATE(YEAR(A309)-1,MONTH(A309),1),$A$2:$A$400,0))-1,""))</f>
        <v/>
      </c>
    </row>
    <row r="310">
      <c r="A310" s="117" t="n"/>
      <c r="B310" s="118" t="n"/>
      <c r="C310" s="115">
        <f>IF(OR(B310="",B309=""),"",B310/B309-1)</f>
        <v/>
      </c>
      <c r="D310" s="115">
        <f>IF(B310="","",IFERROR(B310/INDEX($B$2:$B$400,MATCH(DATE(YEAR(A310)-1,12,1),$A$2:$A$400,0))-1,""))</f>
        <v/>
      </c>
      <c r="E310" s="115">
        <f>IF(B310="","",IFERROR(B310/INDEX($B$2:$B$400,MATCH(DATE(YEAR(A310)-1,MONTH(A310),1),$A$2:$A$400,0))-1,""))</f>
        <v/>
      </c>
    </row>
    <row r="311">
      <c r="A311" s="117" t="n"/>
      <c r="B311" s="118" t="n"/>
      <c r="C311" s="115">
        <f>IF(OR(B311="",B310=""),"",B311/B310-1)</f>
        <v/>
      </c>
      <c r="D311" s="115">
        <f>IF(B311="","",IFERROR(B311/INDEX($B$2:$B$400,MATCH(DATE(YEAR(A311)-1,12,1),$A$2:$A$400,0))-1,""))</f>
        <v/>
      </c>
      <c r="E311" s="115">
        <f>IF(B311="","",IFERROR(B311/INDEX($B$2:$B$400,MATCH(DATE(YEAR(A311)-1,MONTH(A311),1),$A$2:$A$400,0))-1,""))</f>
        <v/>
      </c>
    </row>
    <row r="312">
      <c r="A312" s="117" t="n"/>
      <c r="B312" s="118" t="n"/>
      <c r="C312" s="115">
        <f>IF(OR(B312="",B311=""),"",B312/B311-1)</f>
        <v/>
      </c>
      <c r="D312" s="115">
        <f>IF(B312="","",IFERROR(B312/INDEX($B$2:$B$400,MATCH(DATE(YEAR(A312)-1,12,1),$A$2:$A$400,0))-1,""))</f>
        <v/>
      </c>
      <c r="E312" s="115">
        <f>IF(B312="","",IFERROR(B312/INDEX($B$2:$B$400,MATCH(DATE(YEAR(A312)-1,MONTH(A312),1),$A$2:$A$400,0))-1,""))</f>
        <v/>
      </c>
    </row>
    <row r="313">
      <c r="A313" s="117" t="n"/>
      <c r="B313" s="118" t="n"/>
      <c r="C313" s="115">
        <f>IF(OR(B313="",B312=""),"",B313/B312-1)</f>
        <v/>
      </c>
      <c r="D313" s="115">
        <f>IF(B313="","",IFERROR(B313/INDEX($B$2:$B$400,MATCH(DATE(YEAR(A313)-1,12,1),$A$2:$A$400,0))-1,""))</f>
        <v/>
      </c>
      <c r="E313" s="115">
        <f>IF(B313="","",IFERROR(B313/INDEX($B$2:$B$400,MATCH(DATE(YEAR(A313)-1,MONTH(A313),1),$A$2:$A$400,0))-1,""))</f>
        <v/>
      </c>
    </row>
    <row r="314">
      <c r="A314" s="117" t="n"/>
      <c r="B314" s="118" t="n"/>
      <c r="C314" s="115">
        <f>IF(OR(B314="",B313=""),"",B314/B313-1)</f>
        <v/>
      </c>
      <c r="D314" s="115">
        <f>IF(B314="","",IFERROR(B314/INDEX($B$2:$B$400,MATCH(DATE(YEAR(A314)-1,12,1),$A$2:$A$400,0))-1,""))</f>
        <v/>
      </c>
      <c r="E314" s="115">
        <f>IF(B314="","",IFERROR(B314/INDEX($B$2:$B$400,MATCH(DATE(YEAR(A314)-1,MONTH(A314),1),$A$2:$A$400,0))-1,""))</f>
        <v/>
      </c>
    </row>
    <row r="315">
      <c r="A315" s="117" t="n"/>
      <c r="B315" s="118" t="n"/>
      <c r="C315" s="115">
        <f>IF(OR(B315="",B314=""),"",B315/B314-1)</f>
        <v/>
      </c>
      <c r="D315" s="115">
        <f>IF(B315="","",IFERROR(B315/INDEX($B$2:$B$400,MATCH(DATE(YEAR(A315)-1,12,1),$A$2:$A$400,0))-1,""))</f>
        <v/>
      </c>
      <c r="E315" s="115">
        <f>IF(B315="","",IFERROR(B315/INDEX($B$2:$B$400,MATCH(DATE(YEAR(A315)-1,MONTH(A315),1),$A$2:$A$400,0))-1,""))</f>
        <v/>
      </c>
    </row>
    <row r="316">
      <c r="A316" s="117" t="n"/>
      <c r="B316" s="118" t="n"/>
      <c r="C316" s="115">
        <f>IF(OR(B316="",B315=""),"",B316/B315-1)</f>
        <v/>
      </c>
      <c r="D316" s="115">
        <f>IF(B316="","",IFERROR(B316/INDEX($B$2:$B$400,MATCH(DATE(YEAR(A316)-1,12,1),$A$2:$A$400,0))-1,""))</f>
        <v/>
      </c>
      <c r="E316" s="115">
        <f>IF(B316="","",IFERROR(B316/INDEX($B$2:$B$400,MATCH(DATE(YEAR(A316)-1,MONTH(A316),1),$A$2:$A$400,0))-1,""))</f>
        <v/>
      </c>
    </row>
    <row r="317">
      <c r="A317" s="117" t="n"/>
      <c r="B317" s="118" t="n"/>
      <c r="C317" s="115">
        <f>IF(OR(B317="",B316=""),"",B317/B316-1)</f>
        <v/>
      </c>
      <c r="D317" s="115">
        <f>IF(B317="","",IFERROR(B317/INDEX($B$2:$B$400,MATCH(DATE(YEAR(A317)-1,12,1),$A$2:$A$400,0))-1,""))</f>
        <v/>
      </c>
      <c r="E317" s="115">
        <f>IF(B317="","",IFERROR(B317/INDEX($B$2:$B$400,MATCH(DATE(YEAR(A317)-1,MONTH(A317),1),$A$2:$A$400,0))-1,""))</f>
        <v/>
      </c>
    </row>
    <row r="318">
      <c r="A318" s="117" t="n"/>
      <c r="B318" s="118" t="n"/>
      <c r="C318" s="115">
        <f>IF(OR(B318="",B317=""),"",B318/B317-1)</f>
        <v/>
      </c>
      <c r="D318" s="115">
        <f>IF(B318="","",IFERROR(B318/INDEX($B$2:$B$400,MATCH(DATE(YEAR(A318)-1,12,1),$A$2:$A$400,0))-1,""))</f>
        <v/>
      </c>
      <c r="E318" s="115">
        <f>IF(B318="","",IFERROR(B318/INDEX($B$2:$B$400,MATCH(DATE(YEAR(A318)-1,MONTH(A318),1),$A$2:$A$400,0))-1,""))</f>
        <v/>
      </c>
    </row>
    <row r="319">
      <c r="A319" s="117" t="n"/>
      <c r="B319" s="118" t="n"/>
      <c r="C319" s="115">
        <f>IF(OR(B319="",B318=""),"",B319/B318-1)</f>
        <v/>
      </c>
      <c r="D319" s="115">
        <f>IF(B319="","",IFERROR(B319/INDEX($B$2:$B$400,MATCH(DATE(YEAR(A319)-1,12,1),$A$2:$A$400,0))-1,""))</f>
        <v/>
      </c>
      <c r="E319" s="115">
        <f>IF(B319="","",IFERROR(B319/INDEX($B$2:$B$400,MATCH(DATE(YEAR(A319)-1,MONTH(A319),1),$A$2:$A$400,0))-1,""))</f>
        <v/>
      </c>
    </row>
    <row r="320">
      <c r="A320" s="117" t="n"/>
      <c r="B320" s="118" t="n"/>
      <c r="C320" s="115">
        <f>IF(OR(B320="",B319=""),"",B320/B319-1)</f>
        <v/>
      </c>
      <c r="D320" s="115">
        <f>IF(B320="","",IFERROR(B320/INDEX($B$2:$B$400,MATCH(DATE(YEAR(A320)-1,12,1),$A$2:$A$400,0))-1,""))</f>
        <v/>
      </c>
      <c r="E320" s="115">
        <f>IF(B320="","",IFERROR(B320/INDEX($B$2:$B$400,MATCH(DATE(YEAR(A320)-1,MONTH(A320),1),$A$2:$A$400,0))-1,""))</f>
        <v/>
      </c>
    </row>
    <row r="321">
      <c r="A321" s="117" t="n"/>
      <c r="B321" s="118" t="n"/>
      <c r="C321" s="115">
        <f>IF(OR(B321="",B320=""),"",B321/B320-1)</f>
        <v/>
      </c>
      <c r="D321" s="115">
        <f>IF(B321="","",IFERROR(B321/INDEX($B$2:$B$400,MATCH(DATE(YEAR(A321)-1,12,1),$A$2:$A$400,0))-1,""))</f>
        <v/>
      </c>
      <c r="E321" s="115">
        <f>IF(B321="","",IFERROR(B321/INDEX($B$2:$B$400,MATCH(DATE(YEAR(A321)-1,MONTH(A321),1),$A$2:$A$400,0))-1,""))</f>
        <v/>
      </c>
    </row>
    <row r="322">
      <c r="A322" s="117" t="n"/>
      <c r="B322" s="118" t="n"/>
      <c r="C322" s="115">
        <f>IF(OR(B322="",B321=""),"",B322/B321-1)</f>
        <v/>
      </c>
      <c r="D322" s="115">
        <f>IF(B322="","",IFERROR(B322/INDEX($B$2:$B$400,MATCH(DATE(YEAR(A322)-1,12,1),$A$2:$A$400,0))-1,""))</f>
        <v/>
      </c>
      <c r="E322" s="115">
        <f>IF(B322="","",IFERROR(B322/INDEX($B$2:$B$400,MATCH(DATE(YEAR(A322)-1,MONTH(A322),1),$A$2:$A$400,0))-1,""))</f>
        <v/>
      </c>
    </row>
    <row r="323">
      <c r="A323" s="117" t="n"/>
      <c r="B323" s="118" t="n"/>
      <c r="C323" s="115">
        <f>IF(OR(B323="",B322=""),"",B323/B322-1)</f>
        <v/>
      </c>
      <c r="D323" s="115">
        <f>IF(B323="","",IFERROR(B323/INDEX($B$2:$B$400,MATCH(DATE(YEAR(A323)-1,12,1),$A$2:$A$400,0))-1,""))</f>
        <v/>
      </c>
      <c r="E323" s="115">
        <f>IF(B323="","",IFERROR(B323/INDEX($B$2:$B$400,MATCH(DATE(YEAR(A323)-1,MONTH(A323),1),$A$2:$A$400,0))-1,""))</f>
        <v/>
      </c>
    </row>
    <row r="324">
      <c r="A324" s="117" t="n"/>
      <c r="B324" s="118" t="n"/>
      <c r="C324" s="115">
        <f>IF(OR(B324="",B323=""),"",B324/B323-1)</f>
        <v/>
      </c>
      <c r="D324" s="115">
        <f>IF(B324="","",IFERROR(B324/INDEX($B$2:$B$400,MATCH(DATE(YEAR(A324)-1,12,1),$A$2:$A$400,0))-1,""))</f>
        <v/>
      </c>
      <c r="E324" s="115">
        <f>IF(B324="","",IFERROR(B324/INDEX($B$2:$B$400,MATCH(DATE(YEAR(A324)-1,MONTH(A324),1),$A$2:$A$400,0))-1,""))</f>
        <v/>
      </c>
    </row>
    <row r="325">
      <c r="A325" s="117" t="n"/>
      <c r="B325" s="118" t="n"/>
      <c r="C325" s="115">
        <f>IF(OR(B325="",B324=""),"",B325/B324-1)</f>
        <v/>
      </c>
      <c r="D325" s="115">
        <f>IF(B325="","",IFERROR(B325/INDEX($B$2:$B$400,MATCH(DATE(YEAR(A325)-1,12,1),$A$2:$A$400,0))-1,""))</f>
        <v/>
      </c>
      <c r="E325" s="115">
        <f>IF(B325="","",IFERROR(B325/INDEX($B$2:$B$400,MATCH(DATE(YEAR(A325)-1,MONTH(A325),1),$A$2:$A$400,0))-1,""))</f>
        <v/>
      </c>
    </row>
    <row r="326">
      <c r="A326" s="117" t="n"/>
      <c r="B326" s="118" t="n"/>
      <c r="C326" s="115">
        <f>IF(OR(B326="",B325=""),"",B326/B325-1)</f>
        <v/>
      </c>
      <c r="D326" s="115">
        <f>IF(B326="","",IFERROR(B326/INDEX($B$2:$B$400,MATCH(DATE(YEAR(A326)-1,12,1),$A$2:$A$400,0))-1,""))</f>
        <v/>
      </c>
      <c r="E326" s="115">
        <f>IF(B326="","",IFERROR(B326/INDEX($B$2:$B$400,MATCH(DATE(YEAR(A326)-1,MONTH(A326),1),$A$2:$A$400,0))-1,""))</f>
        <v/>
      </c>
    </row>
    <row r="327">
      <c r="A327" s="117" t="n"/>
      <c r="B327" s="118" t="n"/>
      <c r="C327" s="115">
        <f>IF(OR(B327="",B326=""),"",B327/B326-1)</f>
        <v/>
      </c>
      <c r="D327" s="115">
        <f>IF(B327="","",IFERROR(B327/INDEX($B$2:$B$400,MATCH(DATE(YEAR(A327)-1,12,1),$A$2:$A$400,0))-1,""))</f>
        <v/>
      </c>
      <c r="E327" s="115">
        <f>IF(B327="","",IFERROR(B327/INDEX($B$2:$B$400,MATCH(DATE(YEAR(A327)-1,MONTH(A327),1),$A$2:$A$400,0))-1,""))</f>
        <v/>
      </c>
    </row>
    <row r="328">
      <c r="A328" s="117" t="n"/>
      <c r="B328" s="118" t="n"/>
      <c r="C328" s="115">
        <f>IF(OR(B328="",B327=""),"",B328/B327-1)</f>
        <v/>
      </c>
      <c r="D328" s="115">
        <f>IF(B328="","",IFERROR(B328/INDEX($B$2:$B$400,MATCH(DATE(YEAR(A328)-1,12,1),$A$2:$A$400,0))-1,""))</f>
        <v/>
      </c>
      <c r="E328" s="115">
        <f>IF(B328="","",IFERROR(B328/INDEX($B$2:$B$400,MATCH(DATE(YEAR(A328)-1,MONTH(A328),1),$A$2:$A$400,0))-1,""))</f>
        <v/>
      </c>
    </row>
    <row r="329">
      <c r="A329" s="117" t="n"/>
      <c r="B329" s="118" t="n"/>
      <c r="C329" s="115">
        <f>IF(OR(B329="",B328=""),"",B329/B328-1)</f>
        <v/>
      </c>
      <c r="D329" s="115">
        <f>IF(B329="","",IFERROR(B329/INDEX($B$2:$B$400,MATCH(DATE(YEAR(A329)-1,12,1),$A$2:$A$400,0))-1,""))</f>
        <v/>
      </c>
      <c r="E329" s="115">
        <f>IF(B329="","",IFERROR(B329/INDEX($B$2:$B$400,MATCH(DATE(YEAR(A329)-1,MONTH(A329),1),$A$2:$A$400,0))-1,""))</f>
        <v/>
      </c>
    </row>
    <row r="330">
      <c r="A330" s="117" t="n"/>
      <c r="B330" s="118" t="n"/>
      <c r="C330" s="115">
        <f>IF(OR(B330="",B329=""),"",B330/B329-1)</f>
        <v/>
      </c>
      <c r="D330" s="115">
        <f>IF(B330="","",IFERROR(B330/INDEX($B$2:$B$400,MATCH(DATE(YEAR(A330)-1,12,1),$A$2:$A$400,0))-1,""))</f>
        <v/>
      </c>
      <c r="E330" s="115">
        <f>IF(B330="","",IFERROR(B330/INDEX($B$2:$B$400,MATCH(DATE(YEAR(A330)-1,MONTH(A330),1),$A$2:$A$400,0))-1,""))</f>
        <v/>
      </c>
    </row>
    <row r="331">
      <c r="A331" s="117" t="n"/>
      <c r="B331" s="118" t="n"/>
      <c r="C331" s="115">
        <f>IF(OR(B331="",B330=""),"",B331/B330-1)</f>
        <v/>
      </c>
      <c r="D331" s="115">
        <f>IF(B331="","",IFERROR(B331/INDEX($B$2:$B$400,MATCH(DATE(YEAR(A331)-1,12,1),$A$2:$A$400,0))-1,""))</f>
        <v/>
      </c>
      <c r="E331" s="115">
        <f>IF(B331="","",IFERROR(B331/INDEX($B$2:$B$400,MATCH(DATE(YEAR(A331)-1,MONTH(A331),1),$A$2:$A$400,0))-1,""))</f>
        <v/>
      </c>
    </row>
    <row r="332">
      <c r="A332" s="117" t="n"/>
      <c r="B332" s="118" t="n"/>
      <c r="C332" s="115">
        <f>IF(OR(B332="",B331=""),"",B332/B331-1)</f>
        <v/>
      </c>
      <c r="D332" s="115">
        <f>IF(B332="","",IFERROR(B332/INDEX($B$2:$B$400,MATCH(DATE(YEAR(A332)-1,12,1),$A$2:$A$400,0))-1,""))</f>
        <v/>
      </c>
      <c r="E332" s="115">
        <f>IF(B332="","",IFERROR(B332/INDEX($B$2:$B$400,MATCH(DATE(YEAR(A332)-1,MONTH(A332),1),$A$2:$A$400,0))-1,""))</f>
        <v/>
      </c>
    </row>
    <row r="333">
      <c r="A333" s="117" t="n"/>
      <c r="B333" s="118" t="n"/>
      <c r="C333" s="115">
        <f>IF(OR(B333="",B332=""),"",B333/B332-1)</f>
        <v/>
      </c>
      <c r="D333" s="115">
        <f>IF(B333="","",IFERROR(B333/INDEX($B$2:$B$400,MATCH(DATE(YEAR(A333)-1,12,1),$A$2:$A$400,0))-1,""))</f>
        <v/>
      </c>
      <c r="E333" s="115">
        <f>IF(B333="","",IFERROR(B333/INDEX($B$2:$B$400,MATCH(DATE(YEAR(A333)-1,MONTH(A333),1),$A$2:$A$400,0))-1,""))</f>
        <v/>
      </c>
    </row>
    <row r="334">
      <c r="A334" s="117" t="n"/>
      <c r="B334" s="118" t="n"/>
      <c r="C334" s="115">
        <f>IF(OR(B334="",B333=""),"",B334/B333-1)</f>
        <v/>
      </c>
      <c r="D334" s="115">
        <f>IF(B334="","",IFERROR(B334/INDEX($B$2:$B$400,MATCH(DATE(YEAR(A334)-1,12,1),$A$2:$A$400,0))-1,""))</f>
        <v/>
      </c>
      <c r="E334" s="115">
        <f>IF(B334="","",IFERROR(B334/INDEX($B$2:$B$400,MATCH(DATE(YEAR(A334)-1,MONTH(A334),1),$A$2:$A$400,0))-1,""))</f>
        <v/>
      </c>
    </row>
    <row r="335">
      <c r="A335" s="117" t="n"/>
      <c r="B335" s="118" t="n"/>
      <c r="C335" s="115">
        <f>IF(OR(B335="",B334=""),"",B335/B334-1)</f>
        <v/>
      </c>
      <c r="D335" s="115">
        <f>IF(B335="","",IFERROR(B335/INDEX($B$2:$B$400,MATCH(DATE(YEAR(A335)-1,12,1),$A$2:$A$400,0))-1,""))</f>
        <v/>
      </c>
      <c r="E335" s="115">
        <f>IF(B335="","",IFERROR(B335/INDEX($B$2:$B$400,MATCH(DATE(YEAR(A335)-1,MONTH(A335),1),$A$2:$A$400,0))-1,""))</f>
        <v/>
      </c>
    </row>
    <row r="336">
      <c r="A336" s="117" t="n"/>
      <c r="B336" s="118" t="n"/>
      <c r="C336" s="115">
        <f>IF(OR(B336="",B335=""),"",B336/B335-1)</f>
        <v/>
      </c>
      <c r="D336" s="115">
        <f>IF(B336="","",IFERROR(B336/INDEX($B$2:$B$400,MATCH(DATE(YEAR(A336)-1,12,1),$A$2:$A$400,0))-1,""))</f>
        <v/>
      </c>
      <c r="E336" s="115">
        <f>IF(B336="","",IFERROR(B336/INDEX($B$2:$B$400,MATCH(DATE(YEAR(A336)-1,MONTH(A336),1),$A$2:$A$400,0))-1,""))</f>
        <v/>
      </c>
    </row>
    <row r="337">
      <c r="A337" s="117" t="n"/>
      <c r="B337" s="118" t="n"/>
      <c r="C337" s="115">
        <f>IF(OR(B337="",B336=""),"",B337/B336-1)</f>
        <v/>
      </c>
      <c r="D337" s="115">
        <f>IF(B337="","",IFERROR(B337/INDEX($B$2:$B$400,MATCH(DATE(YEAR(A337)-1,12,1),$A$2:$A$400,0))-1,""))</f>
        <v/>
      </c>
      <c r="E337" s="115">
        <f>IF(B337="","",IFERROR(B337/INDEX($B$2:$B$400,MATCH(DATE(YEAR(A337)-1,MONTH(A337),1),$A$2:$A$400,0))-1,""))</f>
        <v/>
      </c>
    </row>
    <row r="338">
      <c r="A338" s="117" t="n"/>
      <c r="B338" s="118" t="n"/>
      <c r="C338" s="115">
        <f>IF(OR(B338="",B337=""),"",B338/B337-1)</f>
        <v/>
      </c>
      <c r="D338" s="115">
        <f>IF(B338="","",IFERROR(B338/INDEX($B$2:$B$400,MATCH(DATE(YEAR(A338)-1,12,1),$A$2:$A$400,0))-1,""))</f>
        <v/>
      </c>
      <c r="E338" s="115">
        <f>IF(B338="","",IFERROR(B338/INDEX($B$2:$B$400,MATCH(DATE(YEAR(A338)-1,MONTH(A338),1),$A$2:$A$400,0))-1,""))</f>
        <v/>
      </c>
    </row>
    <row r="339">
      <c r="A339" s="117" t="n"/>
      <c r="B339" s="118" t="n"/>
      <c r="C339" s="115">
        <f>IF(OR(B339="",B338=""),"",B339/B338-1)</f>
        <v/>
      </c>
      <c r="D339" s="115">
        <f>IF(B339="","",IFERROR(B339/INDEX($B$2:$B$400,MATCH(DATE(YEAR(A339)-1,12,1),$A$2:$A$400,0))-1,""))</f>
        <v/>
      </c>
      <c r="E339" s="115">
        <f>IF(B339="","",IFERROR(B339/INDEX($B$2:$B$400,MATCH(DATE(YEAR(A339)-1,MONTH(A339),1),$A$2:$A$400,0))-1,""))</f>
        <v/>
      </c>
    </row>
    <row r="340">
      <c r="A340" s="117" t="n"/>
      <c r="B340" s="118" t="n"/>
      <c r="C340" s="115">
        <f>IF(OR(B340="",B339=""),"",B340/B339-1)</f>
        <v/>
      </c>
      <c r="D340" s="115">
        <f>IF(B340="","",IFERROR(B340/INDEX($B$2:$B$400,MATCH(DATE(YEAR(A340)-1,12,1),$A$2:$A$400,0))-1,""))</f>
        <v/>
      </c>
      <c r="E340" s="115">
        <f>IF(B340="","",IFERROR(B340/INDEX($B$2:$B$400,MATCH(DATE(YEAR(A340)-1,MONTH(A340),1),$A$2:$A$400,0))-1,""))</f>
        <v/>
      </c>
    </row>
    <row r="341">
      <c r="A341" s="117" t="n"/>
      <c r="B341" s="118" t="n"/>
      <c r="C341" s="115">
        <f>IF(OR(B341="",B340=""),"",B341/B340-1)</f>
        <v/>
      </c>
      <c r="D341" s="115">
        <f>IF(B341="","",IFERROR(B341/INDEX($B$2:$B$400,MATCH(DATE(YEAR(A341)-1,12,1),$A$2:$A$400,0))-1,""))</f>
        <v/>
      </c>
      <c r="E341" s="115">
        <f>IF(B341="","",IFERROR(B341/INDEX($B$2:$B$400,MATCH(DATE(YEAR(A341)-1,MONTH(A341),1),$A$2:$A$400,0))-1,""))</f>
        <v/>
      </c>
    </row>
    <row r="342">
      <c r="A342" s="117" t="n"/>
      <c r="B342" s="118" t="n"/>
      <c r="C342" s="115">
        <f>IF(OR(B342="",B341=""),"",B342/B341-1)</f>
        <v/>
      </c>
      <c r="D342" s="115">
        <f>IF(B342="","",IFERROR(B342/INDEX($B$2:$B$400,MATCH(DATE(YEAR(A342)-1,12,1),$A$2:$A$400,0))-1,""))</f>
        <v/>
      </c>
      <c r="E342" s="115">
        <f>IF(B342="","",IFERROR(B342/INDEX($B$2:$B$400,MATCH(DATE(YEAR(A342)-1,MONTH(A342),1),$A$2:$A$400,0))-1,""))</f>
        <v/>
      </c>
    </row>
    <row r="343">
      <c r="A343" s="117" t="n"/>
      <c r="B343" s="118" t="n"/>
      <c r="C343" s="115">
        <f>IF(OR(B343="",B342=""),"",B343/B342-1)</f>
        <v/>
      </c>
      <c r="D343" s="115">
        <f>IF(B343="","",IFERROR(B343/INDEX($B$2:$B$400,MATCH(DATE(YEAR(A343)-1,12,1),$A$2:$A$400,0))-1,""))</f>
        <v/>
      </c>
      <c r="E343" s="115">
        <f>IF(B343="","",IFERROR(B343/INDEX($B$2:$B$400,MATCH(DATE(YEAR(A343)-1,MONTH(A343),1),$A$2:$A$400,0))-1,""))</f>
        <v/>
      </c>
    </row>
    <row r="344">
      <c r="A344" s="117" t="n"/>
      <c r="B344" s="118" t="n"/>
      <c r="C344" s="115">
        <f>IF(OR(B344="",B343=""),"",B344/B343-1)</f>
        <v/>
      </c>
      <c r="D344" s="115">
        <f>IF(B344="","",IFERROR(B344/INDEX($B$2:$B$400,MATCH(DATE(YEAR(A344)-1,12,1),$A$2:$A$400,0))-1,""))</f>
        <v/>
      </c>
      <c r="E344" s="115">
        <f>IF(B344="","",IFERROR(B344/INDEX($B$2:$B$400,MATCH(DATE(YEAR(A344)-1,MONTH(A344),1),$A$2:$A$400,0))-1,""))</f>
        <v/>
      </c>
    </row>
    <row r="345">
      <c r="A345" s="117" t="n"/>
      <c r="B345" s="118" t="n"/>
      <c r="C345" s="115">
        <f>IF(OR(B345="",B344=""),"",B345/B344-1)</f>
        <v/>
      </c>
      <c r="D345" s="115">
        <f>IF(B345="","",IFERROR(B345/INDEX($B$2:$B$400,MATCH(DATE(YEAR(A345)-1,12,1),$A$2:$A$400,0))-1,""))</f>
        <v/>
      </c>
      <c r="E345" s="115">
        <f>IF(B345="","",IFERROR(B345/INDEX($B$2:$B$400,MATCH(DATE(YEAR(A345)-1,MONTH(A345),1),$A$2:$A$400,0))-1,""))</f>
        <v/>
      </c>
    </row>
    <row r="346">
      <c r="A346" s="117" t="n"/>
      <c r="B346" s="118" t="n"/>
      <c r="C346" s="115">
        <f>IF(OR(B346="",B345=""),"",B346/B345-1)</f>
        <v/>
      </c>
      <c r="D346" s="115">
        <f>IF(B346="","",IFERROR(B346/INDEX($B$2:$B$400,MATCH(DATE(YEAR(A346)-1,12,1),$A$2:$A$400,0))-1,""))</f>
        <v/>
      </c>
      <c r="E346" s="115">
        <f>IF(B346="","",IFERROR(B346/INDEX($B$2:$B$400,MATCH(DATE(YEAR(A346)-1,MONTH(A346),1),$A$2:$A$400,0))-1,""))</f>
        <v/>
      </c>
    </row>
    <row r="347">
      <c r="A347" s="117" t="n"/>
      <c r="B347" s="118" t="n"/>
      <c r="C347" s="115">
        <f>IF(OR(B347="",B346=""),"",B347/B346-1)</f>
        <v/>
      </c>
      <c r="D347" s="115">
        <f>IF(B347="","",IFERROR(B347/INDEX($B$2:$B$400,MATCH(DATE(YEAR(A347)-1,12,1),$A$2:$A$400,0))-1,""))</f>
        <v/>
      </c>
      <c r="E347" s="115">
        <f>IF(B347="","",IFERROR(B347/INDEX($B$2:$B$400,MATCH(DATE(YEAR(A347)-1,MONTH(A347),1),$A$2:$A$400,0))-1,""))</f>
        <v/>
      </c>
    </row>
    <row r="348">
      <c r="A348" s="117" t="n"/>
      <c r="B348" s="118" t="n"/>
      <c r="C348" s="115">
        <f>IF(OR(B348="",B347=""),"",B348/B347-1)</f>
        <v/>
      </c>
      <c r="D348" s="115">
        <f>IF(B348="","",IFERROR(B348/INDEX($B$2:$B$400,MATCH(DATE(YEAR(A348)-1,12,1),$A$2:$A$400,0))-1,""))</f>
        <v/>
      </c>
      <c r="E348" s="115">
        <f>IF(B348="","",IFERROR(B348/INDEX($B$2:$B$400,MATCH(DATE(YEAR(A348)-1,MONTH(A348),1),$A$2:$A$400,0))-1,""))</f>
        <v/>
      </c>
    </row>
    <row r="349">
      <c r="A349" s="117" t="n"/>
      <c r="B349" s="118" t="n"/>
      <c r="C349" s="115">
        <f>IF(OR(B349="",B348=""),"",B349/B348-1)</f>
        <v/>
      </c>
      <c r="D349" s="115">
        <f>IF(B349="","",IFERROR(B349/INDEX($B$2:$B$400,MATCH(DATE(YEAR(A349)-1,12,1),$A$2:$A$400,0))-1,""))</f>
        <v/>
      </c>
      <c r="E349" s="115">
        <f>IF(B349="","",IFERROR(B349/INDEX($B$2:$B$400,MATCH(DATE(YEAR(A349)-1,MONTH(A349),1),$A$2:$A$400,0))-1,""))</f>
        <v/>
      </c>
    </row>
    <row r="350">
      <c r="A350" s="117" t="n"/>
      <c r="B350" s="118" t="n"/>
      <c r="C350" s="115">
        <f>IF(OR(B350="",B349=""),"",B350/B349-1)</f>
        <v/>
      </c>
      <c r="D350" s="115">
        <f>IF(B350="","",IFERROR(B350/INDEX($B$2:$B$400,MATCH(DATE(YEAR(A350)-1,12,1),$A$2:$A$400,0))-1,""))</f>
        <v/>
      </c>
      <c r="E350" s="115">
        <f>IF(B350="","",IFERROR(B350/INDEX($B$2:$B$400,MATCH(DATE(YEAR(A350)-1,MONTH(A350),1),$A$2:$A$400,0))-1,""))</f>
        <v/>
      </c>
    </row>
    <row r="351">
      <c r="A351" s="117" t="n"/>
      <c r="B351" s="118" t="n"/>
      <c r="C351" s="115">
        <f>IF(OR(B351="",B350=""),"",B351/B350-1)</f>
        <v/>
      </c>
      <c r="D351" s="115">
        <f>IF(B351="","",IFERROR(B351/INDEX($B$2:$B$400,MATCH(DATE(YEAR(A351)-1,12,1),$A$2:$A$400,0))-1,""))</f>
        <v/>
      </c>
      <c r="E351" s="115">
        <f>IF(B351="","",IFERROR(B351/INDEX($B$2:$B$400,MATCH(DATE(YEAR(A351)-1,MONTH(A351),1),$A$2:$A$400,0))-1,""))</f>
        <v/>
      </c>
    </row>
    <row r="352">
      <c r="A352" s="117" t="n"/>
      <c r="B352" s="118" t="n"/>
      <c r="C352" s="115">
        <f>IF(OR(B352="",B351=""),"",B352/B351-1)</f>
        <v/>
      </c>
      <c r="D352" s="115">
        <f>IF(B352="","",IFERROR(B352/INDEX($B$2:$B$400,MATCH(DATE(YEAR(A352)-1,12,1),$A$2:$A$400,0))-1,""))</f>
        <v/>
      </c>
      <c r="E352" s="115">
        <f>IF(B352="","",IFERROR(B352/INDEX($B$2:$B$400,MATCH(DATE(YEAR(A352)-1,MONTH(A352),1),$A$2:$A$400,0))-1,""))</f>
        <v/>
      </c>
    </row>
    <row r="353">
      <c r="A353" s="117" t="n"/>
      <c r="B353" s="118" t="n"/>
      <c r="C353" s="115">
        <f>IF(OR(B353="",B352=""),"",B353/B352-1)</f>
        <v/>
      </c>
      <c r="D353" s="115">
        <f>IF(B353="","",IFERROR(B353/INDEX($B$2:$B$400,MATCH(DATE(YEAR(A353)-1,12,1),$A$2:$A$400,0))-1,""))</f>
        <v/>
      </c>
      <c r="E353" s="115">
        <f>IF(B353="","",IFERROR(B353/INDEX($B$2:$B$400,MATCH(DATE(YEAR(A353)-1,MONTH(A353),1),$A$2:$A$400,0))-1,""))</f>
        <v/>
      </c>
    </row>
    <row r="354">
      <c r="A354" s="117" t="n"/>
      <c r="B354" s="118" t="n"/>
      <c r="C354" s="115">
        <f>IF(OR(B354="",B353=""),"",B354/B353-1)</f>
        <v/>
      </c>
      <c r="D354" s="115">
        <f>IF(B354="","",IFERROR(B354/INDEX($B$2:$B$400,MATCH(DATE(YEAR(A354)-1,12,1),$A$2:$A$400,0))-1,""))</f>
        <v/>
      </c>
      <c r="E354" s="115">
        <f>IF(B354="","",IFERROR(B354/INDEX($B$2:$B$400,MATCH(DATE(YEAR(A354)-1,MONTH(A354),1),$A$2:$A$400,0))-1,""))</f>
        <v/>
      </c>
    </row>
    <row r="355">
      <c r="A355" s="117" t="n"/>
      <c r="B355" s="118" t="n"/>
      <c r="C355" s="115">
        <f>IF(OR(B355="",B354=""),"",B355/B354-1)</f>
        <v/>
      </c>
      <c r="D355" s="115">
        <f>IF(B355="","",IFERROR(B355/INDEX($B$2:$B$400,MATCH(DATE(YEAR(A355)-1,12,1),$A$2:$A$400,0))-1,""))</f>
        <v/>
      </c>
      <c r="E355" s="115">
        <f>IF(B355="","",IFERROR(B355/INDEX($B$2:$B$400,MATCH(DATE(YEAR(A355)-1,MONTH(A355),1),$A$2:$A$400,0))-1,""))</f>
        <v/>
      </c>
    </row>
    <row r="356">
      <c r="A356" s="117" t="n"/>
      <c r="B356" s="118" t="n"/>
      <c r="C356" s="115">
        <f>IF(OR(B356="",B355=""),"",B356/B355-1)</f>
        <v/>
      </c>
      <c r="D356" s="115">
        <f>IF(B356="","",IFERROR(B356/INDEX($B$2:$B$400,MATCH(DATE(YEAR(A356)-1,12,1),$A$2:$A$400,0))-1,""))</f>
        <v/>
      </c>
      <c r="E356" s="115">
        <f>IF(B356="","",IFERROR(B356/INDEX($B$2:$B$400,MATCH(DATE(YEAR(A356)-1,MONTH(A356),1),$A$2:$A$400,0))-1,""))</f>
        <v/>
      </c>
    </row>
    <row r="357">
      <c r="A357" s="117" t="n"/>
      <c r="B357" s="118" t="n"/>
      <c r="C357" s="115">
        <f>IF(OR(B357="",B356=""),"",B357/B356-1)</f>
        <v/>
      </c>
      <c r="D357" s="115">
        <f>IF(B357="","",IFERROR(B357/INDEX($B$2:$B$400,MATCH(DATE(YEAR(A357)-1,12,1),$A$2:$A$400,0))-1,""))</f>
        <v/>
      </c>
      <c r="E357" s="115">
        <f>IF(B357="","",IFERROR(B357/INDEX($B$2:$B$400,MATCH(DATE(YEAR(A357)-1,MONTH(A357),1),$A$2:$A$400,0))-1,""))</f>
        <v/>
      </c>
    </row>
    <row r="358">
      <c r="A358" s="117" t="n"/>
      <c r="B358" s="118" t="n"/>
      <c r="C358" s="115">
        <f>IF(OR(B358="",B357=""),"",B358/B357-1)</f>
        <v/>
      </c>
      <c r="D358" s="115">
        <f>IF(B358="","",IFERROR(B358/INDEX($B$2:$B$400,MATCH(DATE(YEAR(A358)-1,12,1),$A$2:$A$400,0))-1,""))</f>
        <v/>
      </c>
      <c r="E358" s="115">
        <f>IF(B358="","",IFERROR(B358/INDEX($B$2:$B$400,MATCH(DATE(YEAR(A358)-1,MONTH(A358),1),$A$2:$A$400,0))-1,""))</f>
        <v/>
      </c>
    </row>
    <row r="359">
      <c r="A359" s="117" t="n"/>
      <c r="B359" s="118" t="n"/>
      <c r="C359" s="115">
        <f>IF(OR(B359="",B358=""),"",B359/B358-1)</f>
        <v/>
      </c>
      <c r="D359" s="115">
        <f>IF(B359="","",IFERROR(B359/INDEX($B$2:$B$400,MATCH(DATE(YEAR(A359)-1,12,1),$A$2:$A$400,0))-1,""))</f>
        <v/>
      </c>
      <c r="E359" s="115">
        <f>IF(B359="","",IFERROR(B359/INDEX($B$2:$B$400,MATCH(DATE(YEAR(A359)-1,MONTH(A359),1),$A$2:$A$400,0))-1,""))</f>
        <v/>
      </c>
    </row>
    <row r="360">
      <c r="A360" s="117" t="n"/>
      <c r="B360" s="118" t="n"/>
      <c r="C360" s="115">
        <f>IF(OR(B360="",B359=""),"",B360/B359-1)</f>
        <v/>
      </c>
      <c r="D360" s="115">
        <f>IF(B360="","",IFERROR(B360/INDEX($B$2:$B$400,MATCH(DATE(YEAR(A360)-1,12,1),$A$2:$A$400,0))-1,""))</f>
        <v/>
      </c>
      <c r="E360" s="115">
        <f>IF(B360="","",IFERROR(B360/INDEX($B$2:$B$400,MATCH(DATE(YEAR(A360)-1,MONTH(A360),1),$A$2:$A$400,0))-1,""))</f>
        <v/>
      </c>
    </row>
    <row r="361">
      <c r="A361" s="117" t="n"/>
      <c r="B361" s="118" t="n"/>
      <c r="C361" s="115">
        <f>IF(OR(B361="",B360=""),"",B361/B360-1)</f>
        <v/>
      </c>
      <c r="D361" s="115">
        <f>IF(B361="","",IFERROR(B361/INDEX($B$2:$B$400,MATCH(DATE(YEAR(A361)-1,12,1),$A$2:$A$400,0))-1,""))</f>
        <v/>
      </c>
      <c r="E361" s="115">
        <f>IF(B361="","",IFERROR(B361/INDEX($B$2:$B$400,MATCH(DATE(YEAR(A361)-1,MONTH(A361),1),$A$2:$A$400,0))-1,""))</f>
        <v/>
      </c>
    </row>
    <row r="362">
      <c r="A362" s="117" t="n"/>
      <c r="B362" s="118" t="n"/>
      <c r="C362" s="115">
        <f>IF(OR(B362="",B361=""),"",B362/B361-1)</f>
        <v/>
      </c>
      <c r="D362" s="115">
        <f>IF(B362="","",IFERROR(B362/INDEX($B$2:$B$400,MATCH(DATE(YEAR(A362)-1,12,1),$A$2:$A$400,0))-1,""))</f>
        <v/>
      </c>
      <c r="E362" s="115">
        <f>IF(B362="","",IFERROR(B362/INDEX($B$2:$B$400,MATCH(DATE(YEAR(A362)-1,MONTH(A362),1),$A$2:$A$400,0))-1,""))</f>
        <v/>
      </c>
    </row>
    <row r="363">
      <c r="A363" s="117" t="n"/>
      <c r="B363" s="118" t="n"/>
      <c r="C363" s="115">
        <f>IF(OR(B363="",B362=""),"",B363/B362-1)</f>
        <v/>
      </c>
      <c r="D363" s="115">
        <f>IF(B363="","",IFERROR(B363/INDEX($B$2:$B$400,MATCH(DATE(YEAR(A363)-1,12,1),$A$2:$A$400,0))-1,""))</f>
        <v/>
      </c>
      <c r="E363" s="115">
        <f>IF(B363="","",IFERROR(B363/INDEX($B$2:$B$400,MATCH(DATE(YEAR(A363)-1,MONTH(A363),1),$A$2:$A$400,0))-1,""))</f>
        <v/>
      </c>
    </row>
    <row r="364">
      <c r="A364" s="117" t="n"/>
      <c r="B364" s="118" t="n"/>
      <c r="C364" s="115">
        <f>IF(OR(B364="",B363=""),"",B364/B363-1)</f>
        <v/>
      </c>
      <c r="D364" s="115">
        <f>IF(B364="","",IFERROR(B364/INDEX($B$2:$B$400,MATCH(DATE(YEAR(A364)-1,12,1),$A$2:$A$400,0))-1,""))</f>
        <v/>
      </c>
      <c r="E364" s="115">
        <f>IF(B364="","",IFERROR(B364/INDEX($B$2:$B$400,MATCH(DATE(YEAR(A364)-1,MONTH(A364),1),$A$2:$A$400,0))-1,""))</f>
        <v/>
      </c>
    </row>
    <row r="365">
      <c r="A365" s="117" t="n"/>
      <c r="B365" s="118" t="n"/>
      <c r="C365" s="115">
        <f>IF(OR(B365="",B364=""),"",B365/B364-1)</f>
        <v/>
      </c>
      <c r="D365" s="115">
        <f>IF(B365="","",IFERROR(B365/INDEX($B$2:$B$400,MATCH(DATE(YEAR(A365)-1,12,1),$A$2:$A$400,0))-1,""))</f>
        <v/>
      </c>
      <c r="E365" s="115">
        <f>IF(B365="","",IFERROR(B365/INDEX($B$2:$B$400,MATCH(DATE(YEAR(A365)-1,MONTH(A365),1),$A$2:$A$400,0))-1,""))</f>
        <v/>
      </c>
    </row>
    <row r="366">
      <c r="A366" s="117" t="n"/>
      <c r="B366" s="118" t="n"/>
      <c r="C366" s="115">
        <f>IF(OR(B366="",B365=""),"",B366/B365-1)</f>
        <v/>
      </c>
      <c r="D366" s="115">
        <f>IF(B366="","",IFERROR(B366/INDEX($B$2:$B$400,MATCH(DATE(YEAR(A366)-1,12,1),$A$2:$A$400,0))-1,""))</f>
        <v/>
      </c>
      <c r="E366" s="115">
        <f>IF(B366="","",IFERROR(B366/INDEX($B$2:$B$400,MATCH(DATE(YEAR(A366)-1,MONTH(A366),1),$A$2:$A$400,0))-1,""))</f>
        <v/>
      </c>
    </row>
    <row r="367">
      <c r="A367" s="117" t="n"/>
      <c r="B367" s="118" t="n"/>
      <c r="C367" s="115">
        <f>IF(OR(B367="",B366=""),"",B367/B366-1)</f>
        <v/>
      </c>
      <c r="D367" s="115">
        <f>IF(B367="","",IFERROR(B367/INDEX($B$2:$B$400,MATCH(DATE(YEAR(A367)-1,12,1),$A$2:$A$400,0))-1,""))</f>
        <v/>
      </c>
      <c r="E367" s="115">
        <f>IF(B367="","",IFERROR(B367/INDEX($B$2:$B$400,MATCH(DATE(YEAR(A367)-1,MONTH(A367),1),$A$2:$A$400,0))-1,""))</f>
        <v/>
      </c>
    </row>
    <row r="368">
      <c r="A368" s="117" t="n"/>
      <c r="B368" s="118" t="n"/>
      <c r="C368" s="115">
        <f>IF(OR(B368="",B367=""),"",B368/B367-1)</f>
        <v/>
      </c>
      <c r="D368" s="115">
        <f>IF(B368="","",IFERROR(B368/INDEX($B$2:$B$400,MATCH(DATE(YEAR(A368)-1,12,1),$A$2:$A$400,0))-1,""))</f>
        <v/>
      </c>
      <c r="E368" s="115">
        <f>IF(B368="","",IFERROR(B368/INDEX($B$2:$B$400,MATCH(DATE(YEAR(A368)-1,MONTH(A368),1),$A$2:$A$400,0))-1,""))</f>
        <v/>
      </c>
    </row>
    <row r="369">
      <c r="A369" s="117" t="n"/>
      <c r="B369" s="118" t="n"/>
      <c r="C369" s="115">
        <f>IF(OR(B369="",B368=""),"",B369/B368-1)</f>
        <v/>
      </c>
      <c r="D369" s="115">
        <f>IF(B369="","",IFERROR(B369/INDEX($B$2:$B$400,MATCH(DATE(YEAR(A369)-1,12,1),$A$2:$A$400,0))-1,""))</f>
        <v/>
      </c>
      <c r="E369" s="115">
        <f>IF(B369="","",IFERROR(B369/INDEX($B$2:$B$400,MATCH(DATE(YEAR(A369)-1,MONTH(A369),1),$A$2:$A$400,0))-1,""))</f>
        <v/>
      </c>
    </row>
    <row r="370">
      <c r="A370" s="117" t="n"/>
      <c r="B370" s="118" t="n"/>
      <c r="C370" s="115">
        <f>IF(OR(B370="",B369=""),"",B370/B369-1)</f>
        <v/>
      </c>
      <c r="D370" s="115">
        <f>IF(B370="","",IFERROR(B370/INDEX($B$2:$B$400,MATCH(DATE(YEAR(A370)-1,12,1),$A$2:$A$400,0))-1,""))</f>
        <v/>
      </c>
      <c r="E370" s="115">
        <f>IF(B370="","",IFERROR(B370/INDEX($B$2:$B$400,MATCH(DATE(YEAR(A370)-1,MONTH(A370),1),$A$2:$A$400,0))-1,""))</f>
        <v/>
      </c>
    </row>
    <row r="371">
      <c r="A371" s="117" t="n"/>
      <c r="B371" s="118" t="n"/>
      <c r="C371" s="115">
        <f>IF(OR(B371="",B370=""),"",B371/B370-1)</f>
        <v/>
      </c>
      <c r="D371" s="115">
        <f>IF(B371="","",IFERROR(B371/INDEX($B$2:$B$400,MATCH(DATE(YEAR(A371)-1,12,1),$A$2:$A$400,0))-1,""))</f>
        <v/>
      </c>
      <c r="E371" s="115">
        <f>IF(B371="","",IFERROR(B371/INDEX($B$2:$B$400,MATCH(DATE(YEAR(A371)-1,MONTH(A371),1),$A$2:$A$400,0))-1,""))</f>
        <v/>
      </c>
    </row>
    <row r="372">
      <c r="A372" s="117" t="n"/>
      <c r="B372" s="118" t="n"/>
      <c r="C372" s="115">
        <f>IF(OR(B372="",B371=""),"",B372/B371-1)</f>
        <v/>
      </c>
      <c r="D372" s="115">
        <f>IF(B372="","",IFERROR(B372/INDEX($B$2:$B$400,MATCH(DATE(YEAR(A372)-1,12,1),$A$2:$A$400,0))-1,""))</f>
        <v/>
      </c>
      <c r="E372" s="115">
        <f>IF(B372="","",IFERROR(B372/INDEX($B$2:$B$400,MATCH(DATE(YEAR(A372)-1,MONTH(A372),1),$A$2:$A$400,0))-1,""))</f>
        <v/>
      </c>
    </row>
    <row r="373">
      <c r="A373" s="117" t="n"/>
      <c r="B373" s="118" t="n"/>
      <c r="C373" s="115">
        <f>IF(OR(B373="",B372=""),"",B373/B372-1)</f>
        <v/>
      </c>
      <c r="D373" s="115">
        <f>IF(B373="","",IFERROR(B373/INDEX($B$2:$B$400,MATCH(DATE(YEAR(A373)-1,12,1),$A$2:$A$400,0))-1,""))</f>
        <v/>
      </c>
      <c r="E373" s="115">
        <f>IF(B373="","",IFERROR(B373/INDEX($B$2:$B$400,MATCH(DATE(YEAR(A373)-1,MONTH(A373),1),$A$2:$A$400,0))-1,""))</f>
        <v/>
      </c>
    </row>
    <row r="374">
      <c r="A374" s="117" t="n"/>
      <c r="B374" s="118" t="n"/>
      <c r="C374" s="115">
        <f>IF(OR(B374="",B373=""),"",B374/B373-1)</f>
        <v/>
      </c>
      <c r="D374" s="115">
        <f>IF(B374="","",IFERROR(B374/INDEX($B$2:$B$400,MATCH(DATE(YEAR(A374)-1,12,1),$A$2:$A$400,0))-1,""))</f>
        <v/>
      </c>
      <c r="E374" s="115">
        <f>IF(B374="","",IFERROR(B374/INDEX($B$2:$B$400,MATCH(DATE(YEAR(A374)-1,MONTH(A374),1),$A$2:$A$400,0))-1,""))</f>
        <v/>
      </c>
    </row>
    <row r="375">
      <c r="A375" s="117" t="n"/>
      <c r="B375" s="118" t="n"/>
      <c r="C375" s="115">
        <f>IF(OR(B375="",B374=""),"",B375/B374-1)</f>
        <v/>
      </c>
      <c r="D375" s="115">
        <f>IF(B375="","",IFERROR(B375/INDEX($B$2:$B$400,MATCH(DATE(YEAR(A375)-1,12,1),$A$2:$A$400,0))-1,""))</f>
        <v/>
      </c>
      <c r="E375" s="115">
        <f>IF(B375="","",IFERROR(B375/INDEX($B$2:$B$400,MATCH(DATE(YEAR(A375)-1,MONTH(A375),1),$A$2:$A$400,0))-1,""))</f>
        <v/>
      </c>
    </row>
    <row r="376">
      <c r="A376" s="117" t="n"/>
      <c r="B376" s="118" t="n"/>
      <c r="C376" s="115">
        <f>IF(OR(B376="",B375=""),"",B376/B375-1)</f>
        <v/>
      </c>
      <c r="D376" s="115">
        <f>IF(B376="","",IFERROR(B376/INDEX($B$2:$B$400,MATCH(DATE(YEAR(A376)-1,12,1),$A$2:$A$400,0))-1,""))</f>
        <v/>
      </c>
      <c r="E376" s="115">
        <f>IF(B376="","",IFERROR(B376/INDEX($B$2:$B$400,MATCH(DATE(YEAR(A376)-1,MONTH(A376),1),$A$2:$A$400,0))-1,""))</f>
        <v/>
      </c>
    </row>
    <row r="377">
      <c r="A377" s="117" t="n"/>
      <c r="B377" s="118" t="n"/>
      <c r="C377" s="115">
        <f>IF(OR(B377="",B376=""),"",B377/B376-1)</f>
        <v/>
      </c>
      <c r="D377" s="115">
        <f>IF(B377="","",IFERROR(B377/INDEX($B$2:$B$400,MATCH(DATE(YEAR(A377)-1,12,1),$A$2:$A$400,0))-1,""))</f>
        <v/>
      </c>
      <c r="E377" s="115">
        <f>IF(B377="","",IFERROR(B377/INDEX($B$2:$B$400,MATCH(DATE(YEAR(A377)-1,MONTH(A377),1),$A$2:$A$400,0))-1,""))</f>
        <v/>
      </c>
    </row>
    <row r="378">
      <c r="A378" s="117" t="n"/>
      <c r="B378" s="118" t="n"/>
      <c r="C378" s="115">
        <f>IF(OR(B378="",B377=""),"",B378/B377-1)</f>
        <v/>
      </c>
      <c r="D378" s="115">
        <f>IF(B378="","",IFERROR(B378/INDEX($B$2:$B$400,MATCH(DATE(YEAR(A378)-1,12,1),$A$2:$A$400,0))-1,""))</f>
        <v/>
      </c>
      <c r="E378" s="115">
        <f>IF(B378="","",IFERROR(B378/INDEX($B$2:$B$400,MATCH(DATE(YEAR(A378)-1,MONTH(A378),1),$A$2:$A$400,0))-1,""))</f>
        <v/>
      </c>
    </row>
    <row r="379">
      <c r="A379" s="117" t="n"/>
      <c r="B379" s="118" t="n"/>
      <c r="C379" s="115">
        <f>IF(OR(B379="",B378=""),"",B379/B378-1)</f>
        <v/>
      </c>
      <c r="D379" s="115">
        <f>IF(B379="","",IFERROR(B379/INDEX($B$2:$B$400,MATCH(DATE(YEAR(A379)-1,12,1),$A$2:$A$400,0))-1,""))</f>
        <v/>
      </c>
      <c r="E379" s="115">
        <f>IF(B379="","",IFERROR(B379/INDEX($B$2:$B$400,MATCH(DATE(YEAR(A379)-1,MONTH(A379),1),$A$2:$A$400,0))-1,""))</f>
        <v/>
      </c>
    </row>
    <row r="380">
      <c r="A380" s="117" t="n"/>
      <c r="B380" s="118" t="n"/>
      <c r="C380" s="115">
        <f>IF(OR(B380="",B379=""),"",B380/B379-1)</f>
        <v/>
      </c>
      <c r="D380" s="115">
        <f>IF(B380="","",IFERROR(B380/INDEX($B$2:$B$400,MATCH(DATE(YEAR(A380)-1,12,1),$A$2:$A$400,0))-1,""))</f>
        <v/>
      </c>
      <c r="E380" s="115">
        <f>IF(B380="","",IFERROR(B380/INDEX($B$2:$B$400,MATCH(DATE(YEAR(A380)-1,MONTH(A380),1),$A$2:$A$400,0))-1,""))</f>
        <v/>
      </c>
    </row>
    <row r="381">
      <c r="A381" s="117" t="n"/>
      <c r="B381" s="118" t="n"/>
      <c r="C381" s="115">
        <f>IF(OR(B381="",B380=""),"",B381/B380-1)</f>
        <v/>
      </c>
      <c r="D381" s="115">
        <f>IF(B381="","",IFERROR(B381/INDEX($B$2:$B$400,MATCH(DATE(YEAR(A381)-1,12,1),$A$2:$A$400,0))-1,""))</f>
        <v/>
      </c>
      <c r="E381" s="115">
        <f>IF(B381="","",IFERROR(B381/INDEX($B$2:$B$400,MATCH(DATE(YEAR(A381)-1,MONTH(A381),1),$A$2:$A$400,0))-1,""))</f>
        <v/>
      </c>
    </row>
    <row r="382">
      <c r="A382" s="117" t="n"/>
      <c r="B382" s="118" t="n"/>
      <c r="C382" s="115">
        <f>IF(OR(B382="",B381=""),"",B382/B381-1)</f>
        <v/>
      </c>
      <c r="D382" s="115">
        <f>IF(B382="","",IFERROR(B382/INDEX($B$2:$B$400,MATCH(DATE(YEAR(A382)-1,12,1),$A$2:$A$400,0))-1,""))</f>
        <v/>
      </c>
      <c r="E382" s="115">
        <f>IF(B382="","",IFERROR(B382/INDEX($B$2:$B$400,MATCH(DATE(YEAR(A382)-1,MONTH(A382),1),$A$2:$A$400,0))-1,""))</f>
        <v/>
      </c>
    </row>
    <row r="383">
      <c r="A383" s="117" t="n"/>
      <c r="B383" s="118" t="n"/>
      <c r="C383" s="115">
        <f>IF(OR(B383="",B382=""),"",B383/B382-1)</f>
        <v/>
      </c>
      <c r="D383" s="115">
        <f>IF(B383="","",IFERROR(B383/INDEX($B$2:$B$400,MATCH(DATE(YEAR(A383)-1,12,1),$A$2:$A$400,0))-1,""))</f>
        <v/>
      </c>
      <c r="E383" s="115">
        <f>IF(B383="","",IFERROR(B383/INDEX($B$2:$B$400,MATCH(DATE(YEAR(A383)-1,MONTH(A383),1),$A$2:$A$400,0))-1,""))</f>
        <v/>
      </c>
    </row>
    <row r="384">
      <c r="A384" s="117" t="n"/>
      <c r="B384" s="118" t="n"/>
      <c r="C384" s="115">
        <f>IF(OR(B384="",B383=""),"",B384/B383-1)</f>
        <v/>
      </c>
      <c r="D384" s="115">
        <f>IF(B384="","",IFERROR(B384/INDEX($B$2:$B$400,MATCH(DATE(YEAR(A384)-1,12,1),$A$2:$A$400,0))-1,""))</f>
        <v/>
      </c>
      <c r="E384" s="115">
        <f>IF(B384="","",IFERROR(B384/INDEX($B$2:$B$400,MATCH(DATE(YEAR(A384)-1,MONTH(A384),1),$A$2:$A$400,0))-1,""))</f>
        <v/>
      </c>
    </row>
    <row r="385">
      <c r="A385" s="117" t="n"/>
      <c r="B385" s="118" t="n"/>
      <c r="C385" s="115">
        <f>IF(OR(B385="",B384=""),"",B385/B384-1)</f>
        <v/>
      </c>
      <c r="D385" s="115">
        <f>IF(B385="","",IFERROR(B385/INDEX($B$2:$B$400,MATCH(DATE(YEAR(A385)-1,12,1),$A$2:$A$400,0))-1,""))</f>
        <v/>
      </c>
      <c r="E385" s="115">
        <f>IF(B385="","",IFERROR(B385/INDEX($B$2:$B$400,MATCH(DATE(YEAR(A385)-1,MONTH(A385),1),$A$2:$A$400,0))-1,""))</f>
        <v/>
      </c>
    </row>
    <row r="386">
      <c r="A386" s="117" t="n"/>
      <c r="B386" s="118" t="n"/>
      <c r="C386" s="115">
        <f>IF(OR(B386="",B385=""),"",B386/B385-1)</f>
        <v/>
      </c>
      <c r="D386" s="115">
        <f>IF(B386="","",IFERROR(B386/INDEX($B$2:$B$400,MATCH(DATE(YEAR(A386)-1,12,1),$A$2:$A$400,0))-1,""))</f>
        <v/>
      </c>
      <c r="E386" s="115">
        <f>IF(B386="","",IFERROR(B386/INDEX($B$2:$B$400,MATCH(DATE(YEAR(A386)-1,MONTH(A386),1),$A$2:$A$400,0))-1,""))</f>
        <v/>
      </c>
    </row>
    <row r="387">
      <c r="A387" s="117" t="n"/>
      <c r="B387" s="118" t="n"/>
      <c r="C387" s="115">
        <f>IF(OR(B387="",B386=""),"",B387/B386-1)</f>
        <v/>
      </c>
      <c r="D387" s="115">
        <f>IF(B387="","",IFERROR(B387/INDEX($B$2:$B$400,MATCH(DATE(YEAR(A387)-1,12,1),$A$2:$A$400,0))-1,""))</f>
        <v/>
      </c>
      <c r="E387" s="115">
        <f>IF(B387="","",IFERROR(B387/INDEX($B$2:$B$400,MATCH(DATE(YEAR(A387)-1,MONTH(A387),1),$A$2:$A$400,0))-1,""))</f>
        <v/>
      </c>
    </row>
    <row r="388">
      <c r="A388" s="117" t="n"/>
      <c r="B388" s="118" t="n"/>
      <c r="C388" s="115">
        <f>IF(OR(B388="",B387=""),"",B388/B387-1)</f>
        <v/>
      </c>
      <c r="D388" s="115">
        <f>IF(B388="","",IFERROR(B388/INDEX($B$2:$B$400,MATCH(DATE(YEAR(A388)-1,12,1),$A$2:$A$400,0))-1,""))</f>
        <v/>
      </c>
      <c r="E388" s="115">
        <f>IF(B388="","",IFERROR(B388/INDEX($B$2:$B$400,MATCH(DATE(YEAR(A388)-1,MONTH(A388),1),$A$2:$A$400,0))-1,""))</f>
        <v/>
      </c>
    </row>
    <row r="389">
      <c r="A389" s="117" t="n"/>
      <c r="B389" s="118" t="n"/>
      <c r="C389" s="115">
        <f>IF(OR(B389="",B388=""),"",B389/B388-1)</f>
        <v/>
      </c>
      <c r="D389" s="115">
        <f>IF(B389="","",IFERROR(B389/INDEX($B$2:$B$400,MATCH(DATE(YEAR(A389)-1,12,1),$A$2:$A$400,0))-1,""))</f>
        <v/>
      </c>
      <c r="E389" s="115">
        <f>IF(B389="","",IFERROR(B389/INDEX($B$2:$B$400,MATCH(DATE(YEAR(A389)-1,MONTH(A389),1),$A$2:$A$400,0))-1,""))</f>
        <v/>
      </c>
    </row>
    <row r="390">
      <c r="A390" s="117" t="n"/>
      <c r="B390" s="118" t="n"/>
      <c r="C390" s="115">
        <f>IF(OR(B390="",B389=""),"",B390/B389-1)</f>
        <v/>
      </c>
      <c r="D390" s="115">
        <f>IF(B390="","",IFERROR(B390/INDEX($B$2:$B$400,MATCH(DATE(YEAR(A390)-1,12,1),$A$2:$A$400,0))-1,""))</f>
        <v/>
      </c>
      <c r="E390" s="115">
        <f>IF(B390="","",IFERROR(B390/INDEX($B$2:$B$400,MATCH(DATE(YEAR(A390)-1,MONTH(A390),1),$A$2:$A$400,0))-1,""))</f>
        <v/>
      </c>
    </row>
    <row r="391">
      <c r="A391" s="117" t="n"/>
      <c r="B391" s="118" t="n"/>
      <c r="C391" s="115">
        <f>IF(OR(B391="",B390=""),"",B391/B390-1)</f>
        <v/>
      </c>
      <c r="D391" s="115">
        <f>IF(B391="","",IFERROR(B391/INDEX($B$2:$B$400,MATCH(DATE(YEAR(A391)-1,12,1),$A$2:$A$400,0))-1,""))</f>
        <v/>
      </c>
      <c r="E391" s="115">
        <f>IF(B391="","",IFERROR(B391/INDEX($B$2:$B$400,MATCH(DATE(YEAR(A391)-1,MONTH(A391),1),$A$2:$A$400,0))-1,""))</f>
        <v/>
      </c>
    </row>
    <row r="392">
      <c r="A392" s="117" t="n"/>
      <c r="B392" s="118" t="n"/>
      <c r="C392" s="115">
        <f>IF(OR(B392="",B391=""),"",B392/B391-1)</f>
        <v/>
      </c>
      <c r="D392" s="115">
        <f>IF(B392="","",IFERROR(B392/INDEX($B$2:$B$400,MATCH(DATE(YEAR(A392)-1,12,1),$A$2:$A$400,0))-1,""))</f>
        <v/>
      </c>
      <c r="E392" s="115">
        <f>IF(B392="","",IFERROR(B392/INDEX($B$2:$B$400,MATCH(DATE(YEAR(A392)-1,MONTH(A392),1),$A$2:$A$400,0))-1,""))</f>
        <v/>
      </c>
    </row>
    <row r="393">
      <c r="A393" s="117" t="n"/>
      <c r="B393" s="118" t="n"/>
      <c r="C393" s="115">
        <f>IF(OR(B393="",B392=""),"",B393/B392-1)</f>
        <v/>
      </c>
      <c r="D393" s="115">
        <f>IF(B393="","",IFERROR(B393/INDEX($B$2:$B$400,MATCH(DATE(YEAR(A393)-1,12,1),$A$2:$A$400,0))-1,""))</f>
        <v/>
      </c>
      <c r="E393" s="115">
        <f>IF(B393="","",IFERROR(B393/INDEX($B$2:$B$400,MATCH(DATE(YEAR(A393)-1,MONTH(A393),1),$A$2:$A$400,0))-1,""))</f>
        <v/>
      </c>
    </row>
    <row r="394">
      <c r="A394" s="117" t="n"/>
      <c r="B394" s="118" t="n"/>
      <c r="C394" s="115">
        <f>IF(OR(B394="",B393=""),"",B394/B393-1)</f>
        <v/>
      </c>
      <c r="D394" s="115">
        <f>IF(B394="","",IFERROR(B394/INDEX($B$2:$B$400,MATCH(DATE(YEAR(A394)-1,12,1),$A$2:$A$400,0))-1,""))</f>
        <v/>
      </c>
      <c r="E394" s="115">
        <f>IF(B394="","",IFERROR(B394/INDEX($B$2:$B$400,MATCH(DATE(YEAR(A394)-1,MONTH(A394),1),$A$2:$A$400,0))-1,""))</f>
        <v/>
      </c>
    </row>
    <row r="395">
      <c r="A395" s="117" t="n"/>
      <c r="B395" s="118" t="n"/>
      <c r="C395" s="115">
        <f>IF(OR(B395="",B394=""),"",B395/B394-1)</f>
        <v/>
      </c>
      <c r="D395" s="115">
        <f>IF(B395="","",IFERROR(B395/INDEX($B$2:$B$400,MATCH(DATE(YEAR(A395)-1,12,1),$A$2:$A$400,0))-1,""))</f>
        <v/>
      </c>
      <c r="E395" s="115">
        <f>IF(B395="","",IFERROR(B395/INDEX($B$2:$B$400,MATCH(DATE(YEAR(A395)-1,MONTH(A395),1),$A$2:$A$400,0))-1,""))</f>
        <v/>
      </c>
    </row>
    <row r="396">
      <c r="A396" s="117" t="n"/>
      <c r="B396" s="118" t="n"/>
      <c r="C396" s="115">
        <f>IF(OR(B396="",B395=""),"",B396/B395-1)</f>
        <v/>
      </c>
      <c r="D396" s="115">
        <f>IF(B396="","",IFERROR(B396/INDEX($B$2:$B$400,MATCH(DATE(YEAR(A396)-1,12,1),$A$2:$A$400,0))-1,""))</f>
        <v/>
      </c>
      <c r="E396" s="115">
        <f>IF(B396="","",IFERROR(B396/INDEX($B$2:$B$400,MATCH(DATE(YEAR(A396)-1,MONTH(A396),1),$A$2:$A$400,0))-1,""))</f>
        <v/>
      </c>
    </row>
    <row r="397">
      <c r="A397" s="117" t="n"/>
      <c r="B397" s="118" t="n"/>
      <c r="C397" s="115">
        <f>IF(OR(B397="",B396=""),"",B397/B396-1)</f>
        <v/>
      </c>
      <c r="D397" s="115">
        <f>IF(B397="","",IFERROR(B397/INDEX($B$2:$B$400,MATCH(DATE(YEAR(A397)-1,12,1),$A$2:$A$400,0))-1,""))</f>
        <v/>
      </c>
      <c r="E397" s="115">
        <f>IF(B397="","",IFERROR(B397/INDEX($B$2:$B$400,MATCH(DATE(YEAR(A397)-1,MONTH(A397),1),$A$2:$A$400,0))-1,""))</f>
        <v/>
      </c>
    </row>
    <row r="398">
      <c r="A398" s="117" t="n"/>
      <c r="B398" s="118" t="n"/>
      <c r="C398" s="115">
        <f>IF(OR(B398="",B397=""),"",B398/B397-1)</f>
        <v/>
      </c>
      <c r="D398" s="115">
        <f>IF(B398="","",IFERROR(B398/INDEX($B$2:$B$400,MATCH(DATE(YEAR(A398)-1,12,1),$A$2:$A$400,0))-1,""))</f>
        <v/>
      </c>
      <c r="E398" s="115">
        <f>IF(B398="","",IFERROR(B398/INDEX($B$2:$B$400,MATCH(DATE(YEAR(A398)-1,MONTH(A398),1),$A$2:$A$400,0))-1,""))</f>
        <v/>
      </c>
    </row>
    <row r="399">
      <c r="A399" s="117" t="n"/>
      <c r="B399" s="118" t="n"/>
      <c r="C399" s="115">
        <f>IF(OR(B399="",B398=""),"",B399/B398-1)</f>
        <v/>
      </c>
      <c r="D399" s="115">
        <f>IF(B399="","",IFERROR(B399/INDEX($B$2:$B$400,MATCH(DATE(YEAR(A399)-1,12,1),$A$2:$A$400,0))-1,""))</f>
        <v/>
      </c>
      <c r="E399" s="115">
        <f>IF(B399="","",IFERROR(B399/INDEX($B$2:$B$400,MATCH(DATE(YEAR(A399)-1,MONTH(A399),1),$A$2:$A$400,0))-1,""))</f>
        <v/>
      </c>
    </row>
    <row r="400">
      <c r="A400" s="117" t="n"/>
      <c r="B400" s="118" t="n"/>
      <c r="C400" s="115">
        <f>IF(OR(B400="",B399=""),"",B400/B399-1)</f>
        <v/>
      </c>
      <c r="D400" s="115">
        <f>IF(B400="","",IFERROR(B400/INDEX($B$2:$B$400,MATCH(DATE(YEAR(A400)-1,12,1),$A$2:$A$400,0))-1,""))</f>
        <v/>
      </c>
      <c r="E400" s="115">
        <f>IF(B400="","",IFERROR(B400/INDEX($B$2:$B$400,MATCH(DATE(YEAR(A400)-1,MONTH(A400),1),$A$2:$A$400,0))-1,""))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M1:AA3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M1" s="116" t="inlineStr">
        <is>
          <t>CÁLCULO (não editar) — situação de cada atividade na data do retrato</t>
        </is>
      </c>
    </row>
    <row r="2">
      <c r="M2" s="2" t="inlineStr">
        <is>
          <t>Pacotes sem de-para →</t>
        </is>
      </c>
      <c r="O2" s="69">
        <f>COUNTIF(M5:M3004,"?")</f>
        <v/>
      </c>
    </row>
    <row r="3">
      <c r="M3" s="6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M4" s="59" t="inlineStr">
        <is>
          <t>PL</t>
        </is>
      </c>
      <c r="N4" s="59" t="inlineStr">
        <is>
          <t>Nº pav.</t>
        </is>
      </c>
      <c r="O4" s="59" t="inlineStr">
        <is>
          <t>Situação na data</t>
        </is>
      </c>
      <c r="R4" s="59" t="inlineStr">
        <is>
          <t>Pacote de trabalho (Prevision)</t>
        </is>
      </c>
      <c r="S4" s="59" t="inlineStr">
        <is>
          <t>PL</t>
        </is>
      </c>
      <c r="T4" s="59" t="inlineStr">
        <is>
          <t>Rótulo nas observações</t>
        </is>
      </c>
      <c r="U4" s="59" t="inlineStr">
        <is>
          <t>Exibir?</t>
        </is>
      </c>
      <c r="V4" s="59" t="inlineStr">
        <is>
          <t>Nº ativ.</t>
        </is>
      </c>
      <c r="W4" s="59" t="inlineStr">
        <is>
          <t>Concluídas</t>
        </is>
      </c>
      <c r="X4" s="59" t="inlineStr">
        <is>
          <t>Em execução</t>
        </is>
      </c>
      <c r="Y4" s="59" t="inlineStr">
        <is>
          <t>Maior pav.
concluído</t>
        </is>
      </c>
      <c r="Z4" s="59" t="inlineStr">
        <is>
          <t>Maior pav.
em execução</t>
        </is>
      </c>
      <c r="AA4" s="59" t="inlineStr">
        <is>
          <t>Texto (observação)</t>
        </is>
      </c>
    </row>
    <row r="5">
      <c r="M5" s="2">
        <f>IF(C5="","",IFERROR(INDEX($S$5:$S$304,MATCH(C5,$R$5:$R$304,0))&amp;"","?"))</f>
        <v/>
      </c>
      <c r="N5" s="2">
        <f>IF(E5="","",IF(LEFT(E5,7)="SUBSOLO",-1,IF(LEFT(E5,6)="TÉRREO",0,IFERROR(VALUE(LEFT(E5,FIND("º",SUBSTITUTE(E5,"°","º"))-1)),""))))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5" t="inlineStr">
        <is>
          <t>LOCAÇÃO DE OBRA</t>
        </is>
      </c>
      <c r="S5" s="5" t="inlineStr">
        <is>
          <t>12</t>
        </is>
      </c>
      <c r="T5" s="5" t="inlineStr">
        <is>
          <t>Locação de obra</t>
        </is>
      </c>
      <c r="U5" s="5" t="inlineStr">
        <is>
          <t>SIM</t>
        </is>
      </c>
      <c r="V5" s="2">
        <f>IF(R5="","",COUNTIF($C$5:$C$3004,R5))</f>
        <v/>
      </c>
      <c r="W5" s="2">
        <f>IF(R5="","",COUNTIFS($C$5:$C$3004,R5,$O$5:$O$3004,"CONCLUÍDA"))</f>
        <v/>
      </c>
      <c r="X5" s="2">
        <f>IF(R5="","",COUNTIFS($C$5:$C$3004,R5,$O$5:$O$3004,"EM ANDAMENTO"))</f>
        <v/>
      </c>
      <c r="Y5" s="2">
        <f>IF(R5="","",IF(COUNTIFS($C$5:$C$3004,R5,$O$5:$O$3004,"CONCLUÍDA",$N$5:$N$3004,"&gt;=-1")=0,"",_xlfn.MAXIFS($N$5:$N$3004,$C$5:$C$3004,R5,$O$5:$O$3004,"CONCLUÍDA")))</f>
        <v/>
      </c>
      <c r="Z5" s="2">
        <f>IF(R5="","",IF(COUNTIFS($C$5:$C$3004,R5,$O$5:$O$3004,"EM ANDAMENTO",$N$5:$N$3004,"&gt;=-1")=0,"",_xlfn.MAXIFS($N$5:$N$3004,$C$5:$C$3004,R5,$O$5:$O$3004,"EM ANDAMENTO")))</f>
        <v/>
      </c>
      <c r="AA5" s="2">
        <f>IF(OR(R5="",S5="",U5&lt;&gt;"SIM",V5=0),"",IF(W5+X5=0,"",T5&amp;": "&amp;IF(W5=V5,"concluído",IF(W5=0,"em execução"&amp;IF(Z5&lt;&gt;""," ("&amp;IF(Z5=-1,"subsolo",IF(Z5=0,"térreo",Z5&amp;"º pav."))&amp;")",""),IF(Y5&lt;&gt;"","até "&amp;IF(Y5=-1,"subsolo",IF(Y5=0,"térreo",Y5&amp;"º pav.")),W5&amp;" de "&amp;V5&amp;" concluídas")&amp;IF(Z5="","",IF(OR(Y5="",Z5&gt;Y5),", executando "&amp;IF(Z5=-1,"subsolo",IF(Z5=0,"térreo",Z5&amp;"º pav."))," (restam serviços no "&amp;IF(Z5=-1,"subsolo",IF(Z5=0,"térreo",Z5&amp;"º pav."))&amp;")"))))))</f>
        <v/>
      </c>
    </row>
    <row r="6">
      <c r="M6" s="2">
        <f>IF(C6="","",IFERROR(INDEX($S$5:$S$304,MATCH(C6,$R$5:$R$304,0))&amp;"","?"))</f>
        <v/>
      </c>
      <c r="N6" s="2">
        <f>IF(E6="","",IF(LEFT(E6,7)="SUBSOLO",-1,IF(LEFT(E6,6)="TÉRREO",0,IFERROR(VALUE(LEFT(E6,FIND("º",SUBSTITUTE(E6,"°","º"))-1)),""))))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5" t="inlineStr">
        <is>
          <t>DEMOLIÇÃO</t>
        </is>
      </c>
      <c r="S6" s="5" t="inlineStr">
        <is>
          <t>12</t>
        </is>
      </c>
      <c r="T6" s="5" t="inlineStr">
        <is>
          <t>Demolição</t>
        </is>
      </c>
      <c r="U6" s="5" t="inlineStr">
        <is>
          <t>SIM</t>
        </is>
      </c>
      <c r="V6" s="2">
        <f>IF(R6="","",COUNTIF($C$5:$C$3004,R6))</f>
        <v/>
      </c>
      <c r="W6" s="2">
        <f>IF(R6="","",COUNTIFS($C$5:$C$3004,R6,$O$5:$O$3004,"CONCLUÍDA"))</f>
        <v/>
      </c>
      <c r="X6" s="2">
        <f>IF(R6="","",COUNTIFS($C$5:$C$3004,R6,$O$5:$O$3004,"EM ANDAMENTO"))</f>
        <v/>
      </c>
      <c r="Y6" s="2">
        <f>IF(R6="","",IF(COUNTIFS($C$5:$C$3004,R6,$O$5:$O$3004,"CONCLUÍDA",$N$5:$N$3004,"&gt;=-1")=0,"",_xlfn.MAXIFS($N$5:$N$3004,$C$5:$C$3004,R6,$O$5:$O$3004,"CONCLUÍDA")))</f>
        <v/>
      </c>
      <c r="Z6" s="2">
        <f>IF(R6="","",IF(COUNTIFS($C$5:$C$3004,R6,$O$5:$O$3004,"EM ANDAMENTO",$N$5:$N$3004,"&gt;=-1")=0,"",_xlfn.MAXIFS($N$5:$N$3004,$C$5:$C$3004,R6,$O$5:$O$3004,"EM ANDAMENTO")))</f>
        <v/>
      </c>
      <c r="AA6" s="2">
        <f>IF(OR(R6="",S6="",U6&lt;&gt;"SIM",V6=0),"",IF(W6+X6=0,"",T6&amp;": "&amp;IF(W6=V6,"concluído",IF(W6=0,"em execução"&amp;IF(Z6&lt;&gt;""," ("&amp;IF(Z6=-1,"subsolo",IF(Z6=0,"térreo",Z6&amp;"º pav."))&amp;")",""),IF(Y6&lt;&gt;"","até "&amp;IF(Y6=-1,"subsolo",IF(Y6=0,"térreo",Y6&amp;"º pav.")),W6&amp;" de "&amp;V6&amp;" concluídas")&amp;IF(Z6="","",IF(OR(Y6="",Z6&gt;Y6),", executando "&amp;IF(Z6=-1,"subsolo",IF(Z6=0,"térreo",Z6&amp;"º pav."))," (restam serviços no "&amp;IF(Z6=-1,"subsolo",IF(Z6=0,"térreo",Z6&amp;"º pav."))&amp;")"))))))</f>
        <v/>
      </c>
    </row>
    <row r="7">
      <c r="M7" s="2">
        <f>IF(C7="","",IFERROR(INDEX($S$5:$S$304,MATCH(C7,$R$5:$R$304,0))&amp;"","?"))</f>
        <v/>
      </c>
      <c r="N7" s="2">
        <f>IF(E7="","",IF(LEFT(E7,7)="SUBSOLO",-1,IF(LEFT(E7,6)="TÉRREO",0,IFERROR(VALUE(LEFT(E7,FIND("º",SUBSTITUTE(E7,"°","º"))-1)),""))))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5" t="inlineStr">
        <is>
          <t>CONTENÇÕES EM ESTACAS</t>
        </is>
      </c>
      <c r="S7" s="5" t="inlineStr">
        <is>
          <t>13</t>
        </is>
      </c>
      <c r="T7" s="5" t="inlineStr">
        <is>
          <t>Contenções em estacas</t>
        </is>
      </c>
      <c r="U7" s="5" t="inlineStr">
        <is>
          <t>SIM</t>
        </is>
      </c>
      <c r="V7" s="2">
        <f>IF(R7="","",COUNTIF($C$5:$C$3004,R7))</f>
        <v/>
      </c>
      <c r="W7" s="2">
        <f>IF(R7="","",COUNTIFS($C$5:$C$3004,R7,$O$5:$O$3004,"CONCLUÍDA"))</f>
        <v/>
      </c>
      <c r="X7" s="2">
        <f>IF(R7="","",COUNTIFS($C$5:$C$3004,R7,$O$5:$O$3004,"EM ANDAMENTO"))</f>
        <v/>
      </c>
      <c r="Y7" s="2">
        <f>IF(R7="","",IF(COUNTIFS($C$5:$C$3004,R7,$O$5:$O$3004,"CONCLUÍDA",$N$5:$N$3004,"&gt;=-1")=0,"",_xlfn.MAXIFS($N$5:$N$3004,$C$5:$C$3004,R7,$O$5:$O$3004,"CONCLUÍDA")))</f>
        <v/>
      </c>
      <c r="Z7" s="2">
        <f>IF(R7="","",IF(COUNTIFS($C$5:$C$3004,R7,$O$5:$O$3004,"EM ANDAMENTO",$N$5:$N$3004,"&gt;=-1")=0,"",_xlfn.MAXIFS($N$5:$N$3004,$C$5:$C$3004,R7,$O$5:$O$3004,"EM ANDAMENTO")))</f>
        <v/>
      </c>
      <c r="AA7" s="2">
        <f>IF(OR(R7="",S7="",U7&lt;&gt;"SIM",V7=0),"",IF(W7+X7=0,"",T7&amp;": "&amp;IF(W7=V7,"concluído",IF(W7=0,"em execução"&amp;IF(Z7&lt;&gt;""," ("&amp;IF(Z7=-1,"subsolo",IF(Z7=0,"térreo",Z7&amp;"º pav."))&amp;")",""),IF(Y7&lt;&gt;"","até "&amp;IF(Y7=-1,"subsolo",IF(Y7=0,"térreo",Y7&amp;"º pav.")),W7&amp;" de "&amp;V7&amp;" concluídas")&amp;IF(Z7="","",IF(OR(Y7="",Z7&gt;Y7),", executando "&amp;IF(Z7=-1,"subsolo",IF(Z7=0,"térreo",Z7&amp;"º pav."))," (restam serviços no "&amp;IF(Z7=-1,"subsolo",IF(Z7=0,"térreo",Z7&amp;"º pav."))&amp;")"))))))</f>
        <v/>
      </c>
    </row>
    <row r="8">
      <c r="M8" s="2">
        <f>IF(C8="","",IFERROR(INDEX($S$5:$S$304,MATCH(C8,$R$5:$R$304,0))&amp;"","?"))</f>
        <v/>
      </c>
      <c r="N8" s="2">
        <f>IF(E8="","",IF(LEFT(E8,7)="SUBSOLO",-1,IF(LEFT(E8,6)="TÉRREO",0,IFERROR(VALUE(LEFT(E8,FIND("º",SUBSTITUTE(E8,"°","º"))-1)),""))))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5" t="inlineStr">
        <is>
          <t>VIGA DE COROAMENTO (TRECHO - CENTRAL DE POLÍMEROS)</t>
        </is>
      </c>
      <c r="S8" s="5" t="inlineStr">
        <is>
          <t>15</t>
        </is>
      </c>
      <c r="T8" s="5" t="inlineStr">
        <is>
          <t>Viga de coroamento (trecho - central de polímeros)</t>
        </is>
      </c>
      <c r="U8" s="5" t="inlineStr">
        <is>
          <t>NÃO</t>
        </is>
      </c>
      <c r="V8" s="2">
        <f>IF(R8="","",COUNTIF($C$5:$C$3004,R8))</f>
        <v/>
      </c>
      <c r="W8" s="2">
        <f>IF(R8="","",COUNTIFS($C$5:$C$3004,R8,$O$5:$O$3004,"CONCLUÍDA"))</f>
        <v/>
      </c>
      <c r="X8" s="2">
        <f>IF(R8="","",COUNTIFS($C$5:$C$3004,R8,$O$5:$O$3004,"EM ANDAMENTO"))</f>
        <v/>
      </c>
      <c r="Y8" s="2">
        <f>IF(R8="","",IF(COUNTIFS($C$5:$C$3004,R8,$O$5:$O$3004,"CONCLUÍDA",$N$5:$N$3004,"&gt;=-1")=0,"",_xlfn.MAXIFS($N$5:$N$3004,$C$5:$C$3004,R8,$O$5:$O$3004,"CONCLUÍDA")))</f>
        <v/>
      </c>
      <c r="Z8" s="2">
        <f>IF(R8="","",IF(COUNTIFS($C$5:$C$3004,R8,$O$5:$O$3004,"EM ANDAMENTO",$N$5:$N$3004,"&gt;=-1")=0,"",_xlfn.MAXIFS($N$5:$N$3004,$C$5:$C$3004,R8,$O$5:$O$3004,"EM ANDAMENTO")))</f>
        <v/>
      </c>
      <c r="AA8" s="2">
        <f>IF(OR(R8="",S8="",U8&lt;&gt;"SIM",V8=0),"",IF(W8+X8=0,"",T8&amp;": "&amp;IF(W8=V8,"concluído",IF(W8=0,"em execução"&amp;IF(Z8&lt;&gt;""," ("&amp;IF(Z8=-1,"subsolo",IF(Z8=0,"térreo",Z8&amp;"º pav."))&amp;")",""),IF(Y8&lt;&gt;"","até "&amp;IF(Y8=-1,"subsolo",IF(Y8=0,"térreo",Y8&amp;"º pav.")),W8&amp;" de "&amp;V8&amp;" concluídas")&amp;IF(Z8="","",IF(OR(Y8="",Z8&gt;Y8),", executando "&amp;IF(Z8=-1,"subsolo",IF(Z8=0,"térreo",Z8&amp;"º pav."))," (restam serviços no "&amp;IF(Z8=-1,"subsolo",IF(Z8=0,"térreo",Z8&amp;"º pav."))&amp;")"))))))</f>
        <v/>
      </c>
    </row>
    <row r="9">
      <c r="M9" s="2">
        <f>IF(C9="","",IFERROR(INDEX($S$5:$S$304,MATCH(C9,$R$5:$R$304,0))&amp;"","?"))</f>
        <v/>
      </c>
      <c r="N9" s="2">
        <f>IF(E9="","",IF(LEFT(E9,7)="SUBSOLO",-1,IF(LEFT(E9,6)="TÉRREO",0,IFERROR(VALUE(LEFT(E9,FIND("º",SUBSTITUTE(E9,"°","º"))-1)),""))))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5" t="inlineStr">
        <is>
          <t>VIGA DE COROAMENTO (TRECHO - RUA MANACA 1º ETAPA)</t>
        </is>
      </c>
      <c r="S9" s="5" t="inlineStr">
        <is>
          <t>15</t>
        </is>
      </c>
      <c r="T9" s="5" t="inlineStr">
        <is>
          <t>Viga de coroamento (trecho - rua manaca 1º etapa)</t>
        </is>
      </c>
      <c r="U9" s="5" t="inlineStr">
        <is>
          <t>NÃO</t>
        </is>
      </c>
      <c r="V9" s="2">
        <f>IF(R9="","",COUNTIF($C$5:$C$3004,R9))</f>
        <v/>
      </c>
      <c r="W9" s="2">
        <f>IF(R9="","",COUNTIFS($C$5:$C$3004,R9,$O$5:$O$3004,"CONCLUÍDA"))</f>
        <v/>
      </c>
      <c r="X9" s="2">
        <f>IF(R9="","",COUNTIFS($C$5:$C$3004,R9,$O$5:$O$3004,"EM ANDAMENTO"))</f>
        <v/>
      </c>
      <c r="Y9" s="2">
        <f>IF(R9="","",IF(COUNTIFS($C$5:$C$3004,R9,$O$5:$O$3004,"CONCLUÍDA",$N$5:$N$3004,"&gt;=-1")=0,"",_xlfn.MAXIFS($N$5:$N$3004,$C$5:$C$3004,R9,$O$5:$O$3004,"CONCLUÍDA")))</f>
        <v/>
      </c>
      <c r="Z9" s="2">
        <f>IF(R9="","",IF(COUNTIFS($C$5:$C$3004,R9,$O$5:$O$3004,"EM ANDAMENTO",$N$5:$N$3004,"&gt;=-1")=0,"",_xlfn.MAXIFS($N$5:$N$3004,$C$5:$C$3004,R9,$O$5:$O$3004,"EM ANDAMENTO")))</f>
        <v/>
      </c>
      <c r="AA9" s="2">
        <f>IF(OR(R9="",S9="",U9&lt;&gt;"SIM",V9=0),"",IF(W9+X9=0,"",T9&amp;": "&amp;IF(W9=V9,"concluído",IF(W9=0,"em execução"&amp;IF(Z9&lt;&gt;""," ("&amp;IF(Z9=-1,"subsolo",IF(Z9=0,"térreo",Z9&amp;"º pav."))&amp;")",""),IF(Y9&lt;&gt;"","até "&amp;IF(Y9=-1,"subsolo",IF(Y9=0,"térreo",Y9&amp;"º pav.")),W9&amp;" de "&amp;V9&amp;" concluídas")&amp;IF(Z9="","",IF(OR(Y9="",Z9&gt;Y9),", executando "&amp;IF(Z9=-1,"subsolo",IF(Z9=0,"térreo",Z9&amp;"º pav."))," (restam serviços no "&amp;IF(Z9=-1,"subsolo",IF(Z9=0,"térreo",Z9&amp;"º pav."))&amp;")"))))))</f>
        <v/>
      </c>
    </row>
    <row r="10">
      <c r="M10" s="2">
        <f>IF(C10="","",IFERROR(INDEX($S$5:$S$304,MATCH(C10,$R$5:$R$304,0))&amp;"","?"))</f>
        <v/>
      </c>
      <c r="N10" s="2">
        <f>IF(E10="","",IF(LEFT(E10,7)="SUBSOLO",-1,IF(LEFT(E10,6)="TÉRREO",0,IFERROR(VALUE(LEFT(E10,FIND("º",SUBSTITUTE(E10,"°","º"))-1)),""))))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5" t="inlineStr">
        <is>
          <t>VIGA DE COROAMENTO (TRECHO - RUA MANACA 2º ETAPA)</t>
        </is>
      </c>
      <c r="S10" s="5" t="inlineStr">
        <is>
          <t>15</t>
        </is>
      </c>
      <c r="T10" s="5" t="inlineStr">
        <is>
          <t>Viga de coroamento (trecho - rua manaca 2º etapa)</t>
        </is>
      </c>
      <c r="U10" s="5" t="inlineStr">
        <is>
          <t>NÃO</t>
        </is>
      </c>
      <c r="V10" s="2">
        <f>IF(R10="","",COUNTIF($C$5:$C$3004,R10))</f>
        <v/>
      </c>
      <c r="W10" s="2">
        <f>IF(R10="","",COUNTIFS($C$5:$C$3004,R10,$O$5:$O$3004,"CONCLUÍDA"))</f>
        <v/>
      </c>
      <c r="X10" s="2">
        <f>IF(R10="","",COUNTIFS($C$5:$C$3004,R10,$O$5:$O$3004,"EM ANDAMENTO"))</f>
        <v/>
      </c>
      <c r="Y10" s="2">
        <f>IF(R10="","",IF(COUNTIFS($C$5:$C$3004,R10,$O$5:$O$3004,"CONCLUÍDA",$N$5:$N$3004,"&gt;=-1")=0,"",_xlfn.MAXIFS($N$5:$N$3004,$C$5:$C$3004,R10,$O$5:$O$3004,"CONCLUÍDA")))</f>
        <v/>
      </c>
      <c r="Z10" s="2">
        <f>IF(R10="","",IF(COUNTIFS($C$5:$C$3004,R10,$O$5:$O$3004,"EM ANDAMENTO",$N$5:$N$3004,"&gt;=-1")=0,"",_xlfn.MAXIFS($N$5:$N$3004,$C$5:$C$3004,R10,$O$5:$O$3004,"EM ANDAMENTO")))</f>
        <v/>
      </c>
      <c r="AA10" s="2">
        <f>IF(OR(R10="",S10="",U10&lt;&gt;"SIM",V10=0),"",IF(W10+X10=0,"",T10&amp;": "&amp;IF(W10=V10,"concluído",IF(W10=0,"em execução"&amp;IF(Z10&lt;&gt;""," ("&amp;IF(Z10=-1,"subsolo",IF(Z10=0,"térreo",Z10&amp;"º pav."))&amp;")",""),IF(Y10&lt;&gt;"","até "&amp;IF(Y10=-1,"subsolo",IF(Y10=0,"térreo",Y10&amp;"º pav.")),W10&amp;" de "&amp;V10&amp;" concluídas")&amp;IF(Z10="","",IF(OR(Y10="",Z10&gt;Y10),", executando "&amp;IF(Z10=-1,"subsolo",IF(Z10=0,"térreo",Z10&amp;"º pav."))," (restam serviços no "&amp;IF(Z10=-1,"subsolo",IF(Z10=0,"térreo",Z10&amp;"º pav."))&amp;")"))))))</f>
        <v/>
      </c>
    </row>
    <row r="11">
      <c r="M11" s="2">
        <f>IF(C11="","",IFERROR(INDEX($S$5:$S$304,MATCH(C11,$R$5:$R$304,0))&amp;"","?"))</f>
        <v/>
      </c>
      <c r="N11" s="2">
        <f>IF(E11="","",IF(LEFT(E11,7)="SUBSOLO",-1,IF(LEFT(E11,6)="TÉRREO",0,IFERROR(VALUE(LEFT(E11,FIND("º",SUBSTITUTE(E11,"°","º"))-1)),""))))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5" t="inlineStr">
        <is>
          <t>FUNDAÇÃO PROFUNDA</t>
        </is>
      </c>
      <c r="S11" s="5" t="inlineStr">
        <is>
          <t>15</t>
        </is>
      </c>
      <c r="T11" s="5" t="inlineStr">
        <is>
          <t>Fundação profunda</t>
        </is>
      </c>
      <c r="U11" s="5" t="inlineStr">
        <is>
          <t>SIM</t>
        </is>
      </c>
      <c r="V11" s="2">
        <f>IF(R11="","",COUNTIF($C$5:$C$3004,R11))</f>
        <v/>
      </c>
      <c r="W11" s="2">
        <f>IF(R11="","",COUNTIFS($C$5:$C$3004,R11,$O$5:$O$3004,"CONCLUÍDA"))</f>
        <v/>
      </c>
      <c r="X11" s="2">
        <f>IF(R11="","",COUNTIFS($C$5:$C$3004,R11,$O$5:$O$3004,"EM ANDAMENTO"))</f>
        <v/>
      </c>
      <c r="Y11" s="2">
        <f>IF(R11="","",IF(COUNTIFS($C$5:$C$3004,R11,$O$5:$O$3004,"CONCLUÍDA",$N$5:$N$3004,"&gt;=-1")=0,"",_xlfn.MAXIFS($N$5:$N$3004,$C$5:$C$3004,R11,$O$5:$O$3004,"CONCLUÍDA")))</f>
        <v/>
      </c>
      <c r="Z11" s="2">
        <f>IF(R11="","",IF(COUNTIFS($C$5:$C$3004,R11,$O$5:$O$3004,"EM ANDAMENTO",$N$5:$N$3004,"&gt;=-1")=0,"",_xlfn.MAXIFS($N$5:$N$3004,$C$5:$C$3004,R11,$O$5:$O$3004,"EM ANDAMENTO")))</f>
        <v/>
      </c>
      <c r="AA11" s="2">
        <f>IF(OR(R11="",S11="",U11&lt;&gt;"SIM",V11=0),"",IF(W11+X11=0,"",T11&amp;": "&amp;IF(W11=V11,"concluído",IF(W11=0,"em execução"&amp;IF(Z11&lt;&gt;""," ("&amp;IF(Z11=-1,"subsolo",IF(Z11=0,"térreo",Z11&amp;"º pav."))&amp;")",""),IF(Y11&lt;&gt;"","até "&amp;IF(Y11=-1,"subsolo",IF(Y11=0,"térreo",Y11&amp;"º pav.")),W11&amp;" de "&amp;V11&amp;" concluídas")&amp;IF(Z11="","",IF(OR(Y11="",Z11&gt;Y11),", executando "&amp;IF(Z11=-1,"subsolo",IF(Z11=0,"térreo",Z11&amp;"º pav."))," (restam serviços no "&amp;IF(Z11=-1,"subsolo",IF(Z11=0,"térreo",Z11&amp;"º pav."))&amp;")"))))))</f>
        <v/>
      </c>
    </row>
    <row r="12">
      <c r="M12" s="2">
        <f>IF(C12="","",IFERROR(INDEX($S$5:$S$304,MATCH(C12,$R$5:$R$304,0))&amp;"","?"))</f>
        <v/>
      </c>
      <c r="N12" s="2">
        <f>IF(E12="","",IF(LEFT(E12,7)="SUBSOLO",-1,IF(LEFT(E12,6)="TÉRREO",0,IFERROR(VALUE(LEFT(E12,FIND("º",SUBSTITUTE(E12,"°","º"))-1)),""))))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5" t="inlineStr">
        <is>
          <t>VIGA DE COROAMENTO (TRECHO - RUA IPÊ 1º ETAPA)</t>
        </is>
      </c>
      <c r="S12" s="5" t="inlineStr">
        <is>
          <t>15</t>
        </is>
      </c>
      <c r="T12" s="5" t="inlineStr">
        <is>
          <t>Viga de coroamento (trecho - rua ipê 1º etapa)</t>
        </is>
      </c>
      <c r="U12" s="5" t="inlineStr">
        <is>
          <t>NÃO</t>
        </is>
      </c>
      <c r="V12" s="2">
        <f>IF(R12="","",COUNTIF($C$5:$C$3004,R12))</f>
        <v/>
      </c>
      <c r="W12" s="2">
        <f>IF(R12="","",COUNTIFS($C$5:$C$3004,R12,$O$5:$O$3004,"CONCLUÍDA"))</f>
        <v/>
      </c>
      <c r="X12" s="2">
        <f>IF(R12="","",COUNTIFS($C$5:$C$3004,R12,$O$5:$O$3004,"EM ANDAMENTO"))</f>
        <v/>
      </c>
      <c r="Y12" s="2">
        <f>IF(R12="","",IF(COUNTIFS($C$5:$C$3004,R12,$O$5:$O$3004,"CONCLUÍDA",$N$5:$N$3004,"&gt;=-1")=0,"",_xlfn.MAXIFS($N$5:$N$3004,$C$5:$C$3004,R12,$O$5:$O$3004,"CONCLUÍDA")))</f>
        <v/>
      </c>
      <c r="Z12" s="2">
        <f>IF(R12="","",IF(COUNTIFS($C$5:$C$3004,R12,$O$5:$O$3004,"EM ANDAMENTO",$N$5:$N$3004,"&gt;=-1")=0,"",_xlfn.MAXIFS($N$5:$N$3004,$C$5:$C$3004,R12,$O$5:$O$3004,"EM ANDAMENTO")))</f>
        <v/>
      </c>
      <c r="AA12" s="2">
        <f>IF(OR(R12="",S12="",U12&lt;&gt;"SIM",V12=0),"",IF(W12+X12=0,"",T12&amp;": "&amp;IF(W12=V12,"concluído",IF(W12=0,"em execução"&amp;IF(Z12&lt;&gt;""," ("&amp;IF(Z12=-1,"subsolo",IF(Z12=0,"térreo",Z12&amp;"º pav."))&amp;")",""),IF(Y12&lt;&gt;"","até "&amp;IF(Y12=-1,"subsolo",IF(Y12=0,"térreo",Y12&amp;"º pav.")),W12&amp;" de "&amp;V12&amp;" concluídas")&amp;IF(Z12="","",IF(OR(Y12="",Z12&gt;Y12),", executando "&amp;IF(Z12=-1,"subsolo",IF(Z12=0,"térreo",Z12&amp;"º pav."))," (restam serviços no "&amp;IF(Z12=-1,"subsolo",IF(Z12=0,"térreo",Z12&amp;"º pav."))&amp;")"))))))</f>
        <v/>
      </c>
    </row>
    <row r="13">
      <c r="M13" s="2">
        <f>IF(C13="","",IFERROR(INDEX($S$5:$S$304,MATCH(C13,$R$5:$R$304,0))&amp;"","?"))</f>
        <v/>
      </c>
      <c r="N13" s="2">
        <f>IF(E13="","",IF(LEFT(E13,7)="SUBSOLO",-1,IF(LEFT(E13,6)="TÉRREO",0,IFERROR(VALUE(LEFT(E13,FIND("º",SUBSTITUTE(E13,"°","º"))-1)),""))))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5" t="inlineStr">
        <is>
          <t>VIGA DE COROAMENTO (TRECHO - RUA IPÊ 2º ETAPA)</t>
        </is>
      </c>
      <c r="S13" s="5" t="inlineStr">
        <is>
          <t>15</t>
        </is>
      </c>
      <c r="T13" s="5" t="inlineStr">
        <is>
          <t>Viga de coroamento (trecho - rua ipê 2º etapa)</t>
        </is>
      </c>
      <c r="U13" s="5" t="inlineStr">
        <is>
          <t>NÃO</t>
        </is>
      </c>
      <c r="V13" s="2">
        <f>IF(R13="","",COUNTIF($C$5:$C$3004,R13))</f>
        <v/>
      </c>
      <c r="W13" s="2">
        <f>IF(R13="","",COUNTIFS($C$5:$C$3004,R13,$O$5:$O$3004,"CONCLUÍDA"))</f>
        <v/>
      </c>
      <c r="X13" s="2">
        <f>IF(R13="","",COUNTIFS($C$5:$C$3004,R13,$O$5:$O$3004,"EM ANDAMENTO"))</f>
        <v/>
      </c>
      <c r="Y13" s="2">
        <f>IF(R13="","",IF(COUNTIFS($C$5:$C$3004,R13,$O$5:$O$3004,"CONCLUÍDA",$N$5:$N$3004,"&gt;=-1")=0,"",_xlfn.MAXIFS($N$5:$N$3004,$C$5:$C$3004,R13,$O$5:$O$3004,"CONCLUÍDA")))</f>
        <v/>
      </c>
      <c r="Z13" s="2">
        <f>IF(R13="","",IF(COUNTIFS($C$5:$C$3004,R13,$O$5:$O$3004,"EM ANDAMENTO",$N$5:$N$3004,"&gt;=-1")=0,"",_xlfn.MAXIFS($N$5:$N$3004,$C$5:$C$3004,R13,$O$5:$O$3004,"EM ANDAMENTO")))</f>
        <v/>
      </c>
      <c r="AA13" s="2">
        <f>IF(OR(R13="",S13="",U13&lt;&gt;"SIM",V13=0),"",IF(W13+X13=0,"",T13&amp;": "&amp;IF(W13=V13,"concluído",IF(W13=0,"em execução"&amp;IF(Z13&lt;&gt;""," ("&amp;IF(Z13=-1,"subsolo",IF(Z13=0,"térreo",Z13&amp;"º pav."))&amp;")",""),IF(Y13&lt;&gt;"","até "&amp;IF(Y13=-1,"subsolo",IF(Y13=0,"térreo",Y13&amp;"º pav.")),W13&amp;" de "&amp;V13&amp;" concluídas")&amp;IF(Z13="","",IF(OR(Y13="",Z13&gt;Y13),", executando "&amp;IF(Z13=-1,"subsolo",IF(Z13=0,"térreo",Z13&amp;"º pav."))," (restam serviços no "&amp;IF(Z13=-1,"subsolo",IF(Z13=0,"térreo",Z13&amp;"º pav."))&amp;")"))))))</f>
        <v/>
      </c>
    </row>
    <row r="14">
      <c r="M14" s="2">
        <f>IF(C14="","",IFERROR(INDEX($S$5:$S$304,MATCH(C14,$R$5:$R$304,0))&amp;"","?"))</f>
        <v/>
      </c>
      <c r="N14" s="2">
        <f>IF(E14="","",IF(LEFT(E14,7)="SUBSOLO",-1,IF(LEFT(E14,6)="TÉRREO",0,IFERROR(VALUE(LEFT(E14,FIND("º",SUBSTITUTE(E14,"°","º"))-1)),""))))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5" t="inlineStr">
        <is>
          <t>VIGA DE COROAMENTO (TRECHO - RUA BOM JESUS)</t>
        </is>
      </c>
      <c r="S14" s="5" t="inlineStr">
        <is>
          <t>15</t>
        </is>
      </c>
      <c r="T14" s="5" t="inlineStr">
        <is>
          <t>Viga de coroamento (trecho - rua bom jesus)</t>
        </is>
      </c>
      <c r="U14" s="5" t="inlineStr">
        <is>
          <t>NÃO</t>
        </is>
      </c>
      <c r="V14" s="2">
        <f>IF(R14="","",COUNTIF($C$5:$C$3004,R14))</f>
        <v/>
      </c>
      <c r="W14" s="2">
        <f>IF(R14="","",COUNTIFS($C$5:$C$3004,R14,$O$5:$O$3004,"CONCLUÍDA"))</f>
        <v/>
      </c>
      <c r="X14" s="2">
        <f>IF(R14="","",COUNTIFS($C$5:$C$3004,R14,$O$5:$O$3004,"EM ANDAMENTO"))</f>
        <v/>
      </c>
      <c r="Y14" s="2">
        <f>IF(R14="","",IF(COUNTIFS($C$5:$C$3004,R14,$O$5:$O$3004,"CONCLUÍDA",$N$5:$N$3004,"&gt;=-1")=0,"",_xlfn.MAXIFS($N$5:$N$3004,$C$5:$C$3004,R14,$O$5:$O$3004,"CONCLUÍDA")))</f>
        <v/>
      </c>
      <c r="Z14" s="2">
        <f>IF(R14="","",IF(COUNTIFS($C$5:$C$3004,R14,$O$5:$O$3004,"EM ANDAMENTO",$N$5:$N$3004,"&gt;=-1")=0,"",_xlfn.MAXIFS($N$5:$N$3004,$C$5:$C$3004,R14,$O$5:$O$3004,"EM ANDAMENTO")))</f>
        <v/>
      </c>
      <c r="AA14" s="2">
        <f>IF(OR(R14="",S14="",U14&lt;&gt;"SIM",V14=0),"",IF(W14+X14=0,"",T14&amp;": "&amp;IF(W14=V14,"concluído",IF(W14=0,"em execução"&amp;IF(Z14&lt;&gt;""," ("&amp;IF(Z14=-1,"subsolo",IF(Z14=0,"térreo",Z14&amp;"º pav."))&amp;")",""),IF(Y14&lt;&gt;"","até "&amp;IF(Y14=-1,"subsolo",IF(Y14=0,"térreo",Y14&amp;"º pav.")),W14&amp;" de "&amp;V14&amp;" concluídas")&amp;IF(Z14="","",IF(OR(Y14="",Z14&gt;Y14),", executando "&amp;IF(Z14=-1,"subsolo",IF(Z14=0,"térreo",Z14&amp;"º pav."))," (restam serviços no "&amp;IF(Z14=-1,"subsolo",IF(Z14=0,"térreo",Z14&amp;"º pav."))&amp;")"))))))</f>
        <v/>
      </c>
    </row>
    <row r="15">
      <c r="M15" s="2">
        <f>IF(C15="","",IFERROR(INDEX($S$5:$S$304,MATCH(C15,$R$5:$R$304,0))&amp;"","?"))</f>
        <v/>
      </c>
      <c r="N15" s="2">
        <f>IF(E15="","",IF(LEFT(E15,7)="SUBSOLO",-1,IF(LEFT(E15,6)="TÉRREO",0,IFERROR(VALUE(LEFT(E15,FIND("º",SUBSTITUTE(E15,"°","º"))-1)),""))))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5" t="inlineStr">
        <is>
          <t>FUNDAÇÃO PROFUNDA - MEDIÇÃO</t>
        </is>
      </c>
      <c r="S15" s="5" t="inlineStr">
        <is>
          <t>15</t>
        </is>
      </c>
      <c r="T15" s="5" t="inlineStr">
        <is>
          <t>Fundação profunda - medição</t>
        </is>
      </c>
      <c r="U15" s="5" t="inlineStr">
        <is>
          <t>NÃO</t>
        </is>
      </c>
      <c r="V15" s="2">
        <f>IF(R15="","",COUNTIF($C$5:$C$3004,R15))</f>
        <v/>
      </c>
      <c r="W15" s="2">
        <f>IF(R15="","",COUNTIFS($C$5:$C$3004,R15,$O$5:$O$3004,"CONCLUÍDA"))</f>
        <v/>
      </c>
      <c r="X15" s="2">
        <f>IF(R15="","",COUNTIFS($C$5:$C$3004,R15,$O$5:$O$3004,"EM ANDAMENTO"))</f>
        <v/>
      </c>
      <c r="Y15" s="2">
        <f>IF(R15="","",IF(COUNTIFS($C$5:$C$3004,R15,$O$5:$O$3004,"CONCLUÍDA",$N$5:$N$3004,"&gt;=-1")=0,"",_xlfn.MAXIFS($N$5:$N$3004,$C$5:$C$3004,R15,$O$5:$O$3004,"CONCLUÍDA")))</f>
        <v/>
      </c>
      <c r="Z15" s="2">
        <f>IF(R15="","",IF(COUNTIFS($C$5:$C$3004,R15,$O$5:$O$3004,"EM ANDAMENTO",$N$5:$N$3004,"&gt;=-1")=0,"",_xlfn.MAXIFS($N$5:$N$3004,$C$5:$C$3004,R15,$O$5:$O$3004,"EM ANDAMENTO")))</f>
        <v/>
      </c>
      <c r="AA15" s="2">
        <f>IF(OR(R15="",S15="",U15&lt;&gt;"SIM",V15=0),"",IF(W15+X15=0,"",T15&amp;": "&amp;IF(W15=V15,"concluído",IF(W15=0,"em execução"&amp;IF(Z15&lt;&gt;""," ("&amp;IF(Z15=-1,"subsolo",IF(Z15=0,"térreo",Z15&amp;"º pav."))&amp;")",""),IF(Y15&lt;&gt;"","até "&amp;IF(Y15=-1,"subsolo",IF(Y15=0,"térreo",Y15&amp;"º pav.")),W15&amp;" de "&amp;V15&amp;" concluídas")&amp;IF(Z15="","",IF(OR(Y15="",Z15&gt;Y15),", executando "&amp;IF(Z15=-1,"subsolo",IF(Z15=0,"térreo",Z15&amp;"º pav."))," (restam serviços no "&amp;IF(Z15=-1,"subsolo",IF(Z15=0,"térreo",Z15&amp;"º pav."))&amp;")"))))))</f>
        <v/>
      </c>
    </row>
    <row r="16">
      <c r="M16" s="2">
        <f>IF(C16="","",IFERROR(INDEX($S$5:$S$304,MATCH(C16,$R$5:$R$304,0))&amp;"","?"))</f>
        <v/>
      </c>
      <c r="N16" s="2">
        <f>IF(E16="","",IF(LEFT(E16,7)="SUBSOLO",-1,IF(LEFT(E16,6)="TÉRREO",0,IFERROR(VALUE(LEFT(E16,FIND("º",SUBSTITUTE(E16,"°","º"))-1)),""))))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5" t="inlineStr">
        <is>
          <t>VIGA DE COROAMENTO (TRECHO - RUA IPÊ 3º ETAPA)</t>
        </is>
      </c>
      <c r="S16" s="5" t="inlineStr">
        <is>
          <t>15</t>
        </is>
      </c>
      <c r="T16" s="5" t="inlineStr">
        <is>
          <t>Viga de coroamento (trecho - rua ipê 3º etapa)</t>
        </is>
      </c>
      <c r="U16" s="5" t="inlineStr">
        <is>
          <t>NÃO</t>
        </is>
      </c>
      <c r="V16" s="2">
        <f>IF(R16="","",COUNTIF($C$5:$C$3004,R16))</f>
        <v/>
      </c>
      <c r="W16" s="2">
        <f>IF(R16="","",COUNTIFS($C$5:$C$3004,R16,$O$5:$O$3004,"CONCLUÍDA"))</f>
        <v/>
      </c>
      <c r="X16" s="2">
        <f>IF(R16="","",COUNTIFS($C$5:$C$3004,R16,$O$5:$O$3004,"EM ANDAMENTO"))</f>
        <v/>
      </c>
      <c r="Y16" s="2">
        <f>IF(R16="","",IF(COUNTIFS($C$5:$C$3004,R16,$O$5:$O$3004,"CONCLUÍDA",$N$5:$N$3004,"&gt;=-1")=0,"",_xlfn.MAXIFS($N$5:$N$3004,$C$5:$C$3004,R16,$O$5:$O$3004,"CONCLUÍDA")))</f>
        <v/>
      </c>
      <c r="Z16" s="2">
        <f>IF(R16="","",IF(COUNTIFS($C$5:$C$3004,R16,$O$5:$O$3004,"EM ANDAMENTO",$N$5:$N$3004,"&gt;=-1")=0,"",_xlfn.MAXIFS($N$5:$N$3004,$C$5:$C$3004,R16,$O$5:$O$3004,"EM ANDAMENTO")))</f>
        <v/>
      </c>
      <c r="AA16" s="2">
        <f>IF(OR(R16="",S16="",U16&lt;&gt;"SIM",V16=0),"",IF(W16+X16=0,"",T16&amp;": "&amp;IF(W16=V16,"concluído",IF(W16=0,"em execução"&amp;IF(Z16&lt;&gt;""," ("&amp;IF(Z16=-1,"subsolo",IF(Z16=0,"térreo",Z16&amp;"º pav."))&amp;")",""),IF(Y16&lt;&gt;"","até "&amp;IF(Y16=-1,"subsolo",IF(Y16=0,"térreo",Y16&amp;"º pav.")),W16&amp;" de "&amp;V16&amp;" concluídas")&amp;IF(Z16="","",IF(OR(Y16="",Z16&gt;Y16),", executando "&amp;IF(Z16=-1,"subsolo",IF(Z16=0,"térreo",Z16&amp;"º pav."))," (restam serviços no "&amp;IF(Z16=-1,"subsolo",IF(Z16=0,"térreo",Z16&amp;"º pav."))&amp;")"))))))</f>
        <v/>
      </c>
    </row>
    <row r="17">
      <c r="M17" s="2">
        <f>IF(C17="","",IFERROR(INDEX($S$5:$S$304,MATCH(C17,$R$5:$R$304,0))&amp;"","?"))</f>
        <v/>
      </c>
      <c r="N17" s="2">
        <f>IF(E17="","",IF(LEFT(E17,7)="SUBSOLO",-1,IF(LEFT(E17,6)="TÉRREO",0,IFERROR(VALUE(LEFT(E17,FIND("º",SUBSTITUTE(E17,"°","º"))-1)),""))))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5" t="inlineStr">
        <is>
          <t>TERRAPLENAGEM (FASE 1)</t>
        </is>
      </c>
      <c r="S17" s="5" t="inlineStr">
        <is>
          <t>14</t>
        </is>
      </c>
      <c r="T17" s="5" t="inlineStr">
        <is>
          <t>Terraplenagem (fase 1)</t>
        </is>
      </c>
      <c r="U17" s="5" t="inlineStr">
        <is>
          <t>SIM</t>
        </is>
      </c>
      <c r="V17" s="2">
        <f>IF(R17="","",COUNTIF($C$5:$C$3004,R17))</f>
        <v/>
      </c>
      <c r="W17" s="2">
        <f>IF(R17="","",COUNTIFS($C$5:$C$3004,R17,$O$5:$O$3004,"CONCLUÍDA"))</f>
        <v/>
      </c>
      <c r="X17" s="2">
        <f>IF(R17="","",COUNTIFS($C$5:$C$3004,R17,$O$5:$O$3004,"EM ANDAMENTO"))</f>
        <v/>
      </c>
      <c r="Y17" s="2">
        <f>IF(R17="","",IF(COUNTIFS($C$5:$C$3004,R17,$O$5:$O$3004,"CONCLUÍDA",$N$5:$N$3004,"&gt;=-1")=0,"",_xlfn.MAXIFS($N$5:$N$3004,$C$5:$C$3004,R17,$O$5:$O$3004,"CONCLUÍDA")))</f>
        <v/>
      </c>
      <c r="Z17" s="2">
        <f>IF(R17="","",IF(COUNTIFS($C$5:$C$3004,R17,$O$5:$O$3004,"EM ANDAMENTO",$N$5:$N$3004,"&gt;=-1")=0,"",_xlfn.MAXIFS($N$5:$N$3004,$C$5:$C$3004,R17,$O$5:$O$3004,"EM ANDAMENTO")))</f>
        <v/>
      </c>
      <c r="AA17" s="2">
        <f>IF(OR(R17="",S17="",U17&lt;&gt;"SIM",V17=0),"",IF(W17+X17=0,"",T17&amp;": "&amp;IF(W17=V17,"concluído",IF(W17=0,"em execução"&amp;IF(Z17&lt;&gt;""," ("&amp;IF(Z17=-1,"subsolo",IF(Z17=0,"térreo",Z17&amp;"º pav."))&amp;")",""),IF(Y17&lt;&gt;"","até "&amp;IF(Y17=-1,"subsolo",IF(Y17=0,"térreo",Y17&amp;"º pav.")),W17&amp;" de "&amp;V17&amp;" concluídas")&amp;IF(Z17="","",IF(OR(Y17="",Z17&gt;Y17),", executando "&amp;IF(Z17=-1,"subsolo",IF(Z17=0,"térreo",Z17&amp;"º pav."))," (restam serviços no "&amp;IF(Z17=-1,"subsolo",IF(Z17=0,"térreo",Z17&amp;"º pav."))&amp;")"))))))</f>
        <v/>
      </c>
    </row>
    <row r="18">
      <c r="M18" s="2">
        <f>IF(C18="","",IFERROR(INDEX($S$5:$S$304,MATCH(C18,$R$5:$R$304,0))&amp;"","?"))</f>
        <v/>
      </c>
      <c r="N18" s="2">
        <f>IF(E18="","",IF(LEFT(E18,7)="SUBSOLO",-1,IF(LEFT(E18,6)="TÉRREO",0,IFERROR(VALUE(LEFT(E18,FIND("º",SUBSTITUTE(E18,"°","º"))-1)),""))))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5" t="inlineStr">
        <is>
          <t>FUNDAÇÃO SUPERFICIAL</t>
        </is>
      </c>
      <c r="S18" s="5" t="inlineStr">
        <is>
          <t>16</t>
        </is>
      </c>
      <c r="T18" s="5" t="inlineStr">
        <is>
          <t>Fundação superficial</t>
        </is>
      </c>
      <c r="U18" s="5" t="inlineStr">
        <is>
          <t>NÃO</t>
        </is>
      </c>
      <c r="V18" s="2">
        <f>IF(R18="","",COUNTIF($C$5:$C$3004,R18))</f>
        <v/>
      </c>
      <c r="W18" s="2">
        <f>IF(R18="","",COUNTIFS($C$5:$C$3004,R18,$O$5:$O$3004,"CONCLUÍDA"))</f>
        <v/>
      </c>
      <c r="X18" s="2">
        <f>IF(R18="","",COUNTIFS($C$5:$C$3004,R18,$O$5:$O$3004,"EM ANDAMENTO"))</f>
        <v/>
      </c>
      <c r="Y18" s="2">
        <f>IF(R18="","",IF(COUNTIFS($C$5:$C$3004,R18,$O$5:$O$3004,"CONCLUÍDA",$N$5:$N$3004,"&gt;=-1")=0,"",_xlfn.MAXIFS($N$5:$N$3004,$C$5:$C$3004,R18,$O$5:$O$3004,"CONCLUÍDA")))</f>
        <v/>
      </c>
      <c r="Z18" s="2">
        <f>IF(R18="","",IF(COUNTIFS($C$5:$C$3004,R18,$O$5:$O$3004,"EM ANDAMENTO",$N$5:$N$3004,"&gt;=-1")=0,"",_xlfn.MAXIFS($N$5:$N$3004,$C$5:$C$3004,R18,$O$5:$O$3004,"EM ANDAMENTO")))</f>
        <v/>
      </c>
      <c r="AA18" s="2">
        <f>IF(OR(R18="",S18="",U18&lt;&gt;"SIM",V18=0),"",IF(W18+X18=0,"",T18&amp;": "&amp;IF(W18=V18,"concluído",IF(W18=0,"em execução"&amp;IF(Z18&lt;&gt;""," ("&amp;IF(Z18=-1,"subsolo",IF(Z18=0,"térreo",Z18&amp;"º pav."))&amp;")",""),IF(Y18&lt;&gt;"","até "&amp;IF(Y18=-1,"subsolo",IF(Y18=0,"térreo",Y18&amp;"º pav.")),W18&amp;" de "&amp;V18&amp;" concluídas")&amp;IF(Z18="","",IF(OR(Y18="",Z18&gt;Y18),", executando "&amp;IF(Z18=-1,"subsolo",IF(Z18=0,"térreo",Z18&amp;"º pav."))," (restam serviços no "&amp;IF(Z18=-1,"subsolo",IF(Z18=0,"térreo",Z18&amp;"º pav."))&amp;")"))))))</f>
        <v/>
      </c>
    </row>
    <row r="19">
      <c r="M19" s="2">
        <f>IF(C19="","",IFERROR(INDEX($S$5:$S$304,MATCH(C19,$R$5:$R$304,0))&amp;"","?"))</f>
        <v/>
      </c>
      <c r="N19" s="2">
        <f>IF(E19="","",IF(LEFT(E19,7)="SUBSOLO",-1,IF(LEFT(E19,6)="TÉRREO",0,IFERROR(VALUE(LEFT(E19,FIND("º",SUBSTITUTE(E19,"°","º"))-1)),""))))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5" t="inlineStr">
        <is>
          <t>FUNDAÇÃO SUPERFICIAL - FASE 1</t>
        </is>
      </c>
      <c r="S19" s="5" t="inlineStr">
        <is>
          <t>16</t>
        </is>
      </c>
      <c r="T19" s="5" t="inlineStr">
        <is>
          <t>Fundação superficial - fase 1</t>
        </is>
      </c>
      <c r="U19" s="5" t="inlineStr">
        <is>
          <t>NÃO</t>
        </is>
      </c>
      <c r="V19" s="2">
        <f>IF(R19="","",COUNTIF($C$5:$C$3004,R19))</f>
        <v/>
      </c>
      <c r="W19" s="2">
        <f>IF(R19="","",COUNTIFS($C$5:$C$3004,R19,$O$5:$O$3004,"CONCLUÍDA"))</f>
        <v/>
      </c>
      <c r="X19" s="2">
        <f>IF(R19="","",COUNTIFS($C$5:$C$3004,R19,$O$5:$O$3004,"EM ANDAMENTO"))</f>
        <v/>
      </c>
      <c r="Y19" s="2">
        <f>IF(R19="","",IF(COUNTIFS($C$5:$C$3004,R19,$O$5:$O$3004,"CONCLUÍDA",$N$5:$N$3004,"&gt;=-1")=0,"",_xlfn.MAXIFS($N$5:$N$3004,$C$5:$C$3004,R19,$O$5:$O$3004,"CONCLUÍDA")))</f>
        <v/>
      </c>
      <c r="Z19" s="2">
        <f>IF(R19="","",IF(COUNTIFS($C$5:$C$3004,R19,$O$5:$O$3004,"EM ANDAMENTO",$N$5:$N$3004,"&gt;=-1")=0,"",_xlfn.MAXIFS($N$5:$N$3004,$C$5:$C$3004,R19,$O$5:$O$3004,"EM ANDAMENTO")))</f>
        <v/>
      </c>
      <c r="AA19" s="2">
        <f>IF(OR(R19="",S19="",U19&lt;&gt;"SIM",V19=0),"",IF(W19+X19=0,"",T19&amp;": "&amp;IF(W19=V19,"concluído",IF(W19=0,"em execução"&amp;IF(Z19&lt;&gt;""," ("&amp;IF(Z19=-1,"subsolo",IF(Z19=0,"térreo",Z19&amp;"º pav."))&amp;")",""),IF(Y19&lt;&gt;"","até "&amp;IF(Y19=-1,"subsolo",IF(Y19=0,"térreo",Y19&amp;"º pav.")),W19&amp;" de "&amp;V19&amp;" concluídas")&amp;IF(Z19="","",IF(OR(Y19="",Z19&gt;Y19),", executando "&amp;IF(Z19=-1,"subsolo",IF(Z19=0,"térreo",Z19&amp;"º pav."))," (restam serviços no "&amp;IF(Z19=-1,"subsolo",IF(Z19=0,"térreo",Z19&amp;"º pav."))&amp;")"))))))</f>
        <v/>
      </c>
    </row>
    <row r="20">
      <c r="M20" s="2">
        <f>IF(C20="","",IFERROR(INDEX($S$5:$S$304,MATCH(C20,$R$5:$R$304,0))&amp;"","?"))</f>
        <v/>
      </c>
      <c r="N20" s="2">
        <f>IF(E20="","",IF(LEFT(E20,7)="SUBSOLO",-1,IF(LEFT(E20,6)="TÉRREO",0,IFERROR(VALUE(LEFT(E20,FIND("º",SUBSTITUTE(E20,"°","º"))-1)),""))))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5" t="inlineStr">
        <is>
          <t>FUNDAÇÃO SUPERFICIAL - FASE 2</t>
        </is>
      </c>
      <c r="S20" s="5" t="inlineStr">
        <is>
          <t>16</t>
        </is>
      </c>
      <c r="T20" s="5" t="inlineStr">
        <is>
          <t>Fundação superficial - fase 2</t>
        </is>
      </c>
      <c r="U20" s="5" t="inlineStr">
        <is>
          <t>SIM</t>
        </is>
      </c>
      <c r="V20" s="2">
        <f>IF(R20="","",COUNTIF($C$5:$C$3004,R20))</f>
        <v/>
      </c>
      <c r="W20" s="2">
        <f>IF(R20="","",COUNTIFS($C$5:$C$3004,R20,$O$5:$O$3004,"CONCLUÍDA"))</f>
        <v/>
      </c>
      <c r="X20" s="2">
        <f>IF(R20="","",COUNTIFS($C$5:$C$3004,R20,$O$5:$O$3004,"EM ANDAMENTO"))</f>
        <v/>
      </c>
      <c r="Y20" s="2">
        <f>IF(R20="","",IF(COUNTIFS($C$5:$C$3004,R20,$O$5:$O$3004,"CONCLUÍDA",$N$5:$N$3004,"&gt;=-1")=0,"",_xlfn.MAXIFS($N$5:$N$3004,$C$5:$C$3004,R20,$O$5:$O$3004,"CONCLUÍDA")))</f>
        <v/>
      </c>
      <c r="Z20" s="2">
        <f>IF(R20="","",IF(COUNTIFS($C$5:$C$3004,R20,$O$5:$O$3004,"EM ANDAMENTO",$N$5:$N$3004,"&gt;=-1")=0,"",_xlfn.MAXIFS($N$5:$N$3004,$C$5:$C$3004,R20,$O$5:$O$3004,"EM ANDAMENTO")))</f>
        <v/>
      </c>
      <c r="AA20" s="2">
        <f>IF(OR(R20="",S20="",U20&lt;&gt;"SIM",V20=0),"",IF(W20+X20=0,"",T20&amp;": "&amp;IF(W20=V20,"concluído",IF(W20=0,"em execução"&amp;IF(Z20&lt;&gt;""," ("&amp;IF(Z20=-1,"subsolo",IF(Z20=0,"térreo",Z20&amp;"º pav."))&amp;")",""),IF(Y20&lt;&gt;"","até "&amp;IF(Y20=-1,"subsolo",IF(Y20=0,"térreo",Y20&amp;"º pav.")),W20&amp;" de "&amp;V20&amp;" concluídas")&amp;IF(Z20="","",IF(OR(Y20="",Z20&gt;Y20),", executando "&amp;IF(Z20=-1,"subsolo",IF(Z20=0,"térreo",Z20&amp;"º pav."))," (restam serviços no "&amp;IF(Z20=-1,"subsolo",IF(Z20=0,"térreo",Z20&amp;"º pav."))&amp;")"))))))</f>
        <v/>
      </c>
    </row>
    <row r="21">
      <c r="M21" s="2">
        <f>IF(C21="","",IFERROR(INDEX($S$5:$S$304,MATCH(C21,$R$5:$R$304,0))&amp;"","?"))</f>
        <v/>
      </c>
      <c r="N21" s="2">
        <f>IF(E21="","",IF(LEFT(E21,7)="SUBSOLO",-1,IF(LEFT(E21,6)="TÉRREO",0,IFERROR(VALUE(LEFT(E21,FIND("º",SUBSTITUTE(E21,"°","º"))-1)),""))))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5" t="inlineStr">
        <is>
          <t>CONTENÇÃO - BLOCO DO ELEVADOR</t>
        </is>
      </c>
      <c r="S21" s="5" t="inlineStr">
        <is>
          <t>13</t>
        </is>
      </c>
      <c r="T21" s="5" t="inlineStr">
        <is>
          <t>Contenção - bloco do elevador</t>
        </is>
      </c>
      <c r="U21" s="5" t="inlineStr">
        <is>
          <t>SIM</t>
        </is>
      </c>
      <c r="V21" s="2">
        <f>IF(R21="","",COUNTIF($C$5:$C$3004,R21))</f>
        <v/>
      </c>
      <c r="W21" s="2">
        <f>IF(R21="","",COUNTIFS($C$5:$C$3004,R21,$O$5:$O$3004,"CONCLUÍDA"))</f>
        <v/>
      </c>
      <c r="X21" s="2">
        <f>IF(R21="","",COUNTIFS($C$5:$C$3004,R21,$O$5:$O$3004,"EM ANDAMENTO"))</f>
        <v/>
      </c>
      <c r="Y21" s="2">
        <f>IF(R21="","",IF(COUNTIFS($C$5:$C$3004,R21,$O$5:$O$3004,"CONCLUÍDA",$N$5:$N$3004,"&gt;=-1")=0,"",_xlfn.MAXIFS($N$5:$N$3004,$C$5:$C$3004,R21,$O$5:$O$3004,"CONCLUÍDA")))</f>
        <v/>
      </c>
      <c r="Z21" s="2">
        <f>IF(R21="","",IF(COUNTIFS($C$5:$C$3004,R21,$O$5:$O$3004,"EM ANDAMENTO",$N$5:$N$3004,"&gt;=-1")=0,"",_xlfn.MAXIFS($N$5:$N$3004,$C$5:$C$3004,R21,$O$5:$O$3004,"EM ANDAMENTO")))</f>
        <v/>
      </c>
      <c r="AA21" s="2">
        <f>IF(OR(R21="",S21="",U21&lt;&gt;"SIM",V21=0),"",IF(W21+X21=0,"",T21&amp;": "&amp;IF(W21=V21,"concluído",IF(W21=0,"em execução"&amp;IF(Z21&lt;&gt;""," ("&amp;IF(Z21=-1,"subsolo",IF(Z21=0,"térreo",Z21&amp;"º pav."))&amp;")",""),IF(Y21&lt;&gt;"","até "&amp;IF(Y21=-1,"subsolo",IF(Y21=0,"térreo",Y21&amp;"º pav.")),W21&amp;" de "&amp;V21&amp;" concluídas")&amp;IF(Z21="","",IF(OR(Y21="",Z21&gt;Y21),", executando "&amp;IF(Z21=-1,"subsolo",IF(Z21=0,"térreo",Z21&amp;"º pav."))," (restam serviços no "&amp;IF(Z21=-1,"subsolo",IF(Z21=0,"térreo",Z21&amp;"º pav."))&amp;")"))))))</f>
        <v/>
      </c>
    </row>
    <row r="22">
      <c r="M22" s="2">
        <f>IF(C22="","",IFERROR(INDEX($S$5:$S$304,MATCH(C22,$R$5:$R$304,0))&amp;"","?"))</f>
        <v/>
      </c>
      <c r="N22" s="2">
        <f>IF(E22="","",IF(LEFT(E22,7)="SUBSOLO",-1,IF(LEFT(E22,6)="TÉRREO",0,IFERROR(VALUE(LEFT(E22,FIND("º",SUBSTITUTE(E22,"°","º"))-1)),""))))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5" t="inlineStr">
        <is>
          <t>FUNDAÇÃO SUPERFICIAL - FASE 3</t>
        </is>
      </c>
      <c r="S22" s="5" t="inlineStr">
        <is>
          <t>16</t>
        </is>
      </c>
      <c r="T22" s="5" t="inlineStr">
        <is>
          <t>Fundação superficial - fase 3</t>
        </is>
      </c>
      <c r="U22" s="5" t="inlineStr">
        <is>
          <t>SIM</t>
        </is>
      </c>
      <c r="V22" s="2">
        <f>IF(R22="","",COUNTIF($C$5:$C$3004,R22))</f>
        <v/>
      </c>
      <c r="W22" s="2">
        <f>IF(R22="","",COUNTIFS($C$5:$C$3004,R22,$O$5:$O$3004,"CONCLUÍDA"))</f>
        <v/>
      </c>
      <c r="X22" s="2">
        <f>IF(R22="","",COUNTIFS($C$5:$C$3004,R22,$O$5:$O$3004,"EM ANDAMENTO"))</f>
        <v/>
      </c>
      <c r="Y22" s="2">
        <f>IF(R22="","",IF(COUNTIFS($C$5:$C$3004,R22,$O$5:$O$3004,"CONCLUÍDA",$N$5:$N$3004,"&gt;=-1")=0,"",_xlfn.MAXIFS($N$5:$N$3004,$C$5:$C$3004,R22,$O$5:$O$3004,"CONCLUÍDA")))</f>
        <v/>
      </c>
      <c r="Z22" s="2">
        <f>IF(R22="","",IF(COUNTIFS($C$5:$C$3004,R22,$O$5:$O$3004,"EM ANDAMENTO",$N$5:$N$3004,"&gt;=-1")=0,"",_xlfn.MAXIFS($N$5:$N$3004,$C$5:$C$3004,R22,$O$5:$O$3004,"EM ANDAMENTO")))</f>
        <v/>
      </c>
      <c r="AA22" s="2">
        <f>IF(OR(R22="",S22="",U22&lt;&gt;"SIM",V22=0),"",IF(W22+X22=0,"",T22&amp;": "&amp;IF(W22=V22,"concluído",IF(W22=0,"em execução"&amp;IF(Z22&lt;&gt;""," ("&amp;IF(Z22=-1,"subsolo",IF(Z22=0,"térreo",Z22&amp;"º pav."))&amp;")",""),IF(Y22&lt;&gt;"","até "&amp;IF(Y22=-1,"subsolo",IF(Y22=0,"térreo",Y22&amp;"º pav.")),W22&amp;" de "&amp;V22&amp;" concluídas")&amp;IF(Z22="","",IF(OR(Y22="",Z22&gt;Y22),", executando "&amp;IF(Z22=-1,"subsolo",IF(Z22=0,"térreo",Z22&amp;"º pav."))," (restam serviços no "&amp;IF(Z22=-1,"subsolo",IF(Z22=0,"térreo",Z22&amp;"º pav."))&amp;")"))))))</f>
        <v/>
      </c>
    </row>
    <row r="23">
      <c r="M23" s="2">
        <f>IF(C23="","",IFERROR(INDEX($S$5:$S$304,MATCH(C23,$R$5:$R$304,0))&amp;"","?"))</f>
        <v/>
      </c>
      <c r="N23" s="2">
        <f>IF(E23="","",IF(LEFT(E23,7)="SUBSOLO",-1,IF(LEFT(E23,6)="TÉRREO",0,IFERROR(VALUE(LEFT(E23,FIND("º",SUBSTITUTE(E23,"°","º"))-1)),""))))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5" t="inlineStr">
        <is>
          <t>FUNDAÇÃO SUPERFICIAL - NUCLEO</t>
        </is>
      </c>
      <c r="S23" s="5" t="inlineStr">
        <is>
          <t>16</t>
        </is>
      </c>
      <c r="T23" s="5" t="inlineStr">
        <is>
          <t>Fundação superficial - nucleo</t>
        </is>
      </c>
      <c r="U23" s="5" t="inlineStr">
        <is>
          <t>NÃO</t>
        </is>
      </c>
      <c r="V23" s="2">
        <f>IF(R23="","",COUNTIF($C$5:$C$3004,R23))</f>
        <v/>
      </c>
      <c r="W23" s="2">
        <f>IF(R23="","",COUNTIFS($C$5:$C$3004,R23,$O$5:$O$3004,"CONCLUÍDA"))</f>
        <v/>
      </c>
      <c r="X23" s="2">
        <f>IF(R23="","",COUNTIFS($C$5:$C$3004,R23,$O$5:$O$3004,"EM ANDAMENTO"))</f>
        <v/>
      </c>
      <c r="Y23" s="2">
        <f>IF(R23="","",IF(COUNTIFS($C$5:$C$3004,R23,$O$5:$O$3004,"CONCLUÍDA",$N$5:$N$3004,"&gt;=-1")=0,"",_xlfn.MAXIFS($N$5:$N$3004,$C$5:$C$3004,R23,$O$5:$O$3004,"CONCLUÍDA")))</f>
        <v/>
      </c>
      <c r="Z23" s="2">
        <f>IF(R23="","",IF(COUNTIFS($C$5:$C$3004,R23,$O$5:$O$3004,"EM ANDAMENTO",$N$5:$N$3004,"&gt;=-1")=0,"",_xlfn.MAXIFS($N$5:$N$3004,$C$5:$C$3004,R23,$O$5:$O$3004,"EM ANDAMENTO")))</f>
        <v/>
      </c>
      <c r="AA23" s="2">
        <f>IF(OR(R23="",S23="",U23&lt;&gt;"SIM",V23=0),"",IF(W23+X23=0,"",T23&amp;": "&amp;IF(W23=V23,"concluído",IF(W23=0,"em execução"&amp;IF(Z23&lt;&gt;""," ("&amp;IF(Z23=-1,"subsolo",IF(Z23=0,"térreo",Z23&amp;"º pav."))&amp;")",""),IF(Y23&lt;&gt;"","até "&amp;IF(Y23=-1,"subsolo",IF(Y23=0,"térreo",Y23&amp;"º pav.")),W23&amp;" de "&amp;V23&amp;" concluídas")&amp;IF(Z23="","",IF(OR(Y23="",Z23&gt;Y23),", executando "&amp;IF(Z23=-1,"subsolo",IF(Z23=0,"térreo",Z23&amp;"º pav."))," (restam serviços no "&amp;IF(Z23=-1,"subsolo",IF(Z23=0,"térreo",Z23&amp;"º pav."))&amp;")"))))))</f>
        <v/>
      </c>
    </row>
    <row r="24">
      <c r="M24" s="2">
        <f>IF(C24="","",IFERROR(INDEX($S$5:$S$304,MATCH(C24,$R$5:$R$304,0))&amp;"","?"))</f>
        <v/>
      </c>
      <c r="N24" s="2">
        <f>IF(E24="","",IF(LEFT(E24,7)="SUBSOLO",-1,IF(LEFT(E24,6)="TÉRREO",0,IFERROR(VALUE(LEFT(E24,FIND("º",SUBSTITUTE(E24,"°","º"))-1)),""))))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5" t="inlineStr">
        <is>
          <t>FUNDAÇÃO SUPERFICIAL - FASE 4</t>
        </is>
      </c>
      <c r="S24" s="5" t="inlineStr">
        <is>
          <t>16</t>
        </is>
      </c>
      <c r="T24" s="5" t="inlineStr">
        <is>
          <t>Fundação superficial - fase 4</t>
        </is>
      </c>
      <c r="U24" s="5" t="inlineStr">
        <is>
          <t>NÃO</t>
        </is>
      </c>
      <c r="V24" s="2">
        <f>IF(R24="","",COUNTIF($C$5:$C$3004,R24))</f>
        <v/>
      </c>
      <c r="W24" s="2">
        <f>IF(R24="","",COUNTIFS($C$5:$C$3004,R24,$O$5:$O$3004,"CONCLUÍDA"))</f>
        <v/>
      </c>
      <c r="X24" s="2">
        <f>IF(R24="","",COUNTIFS($C$5:$C$3004,R24,$O$5:$O$3004,"EM ANDAMENTO"))</f>
        <v/>
      </c>
      <c r="Y24" s="2">
        <f>IF(R24="","",IF(COUNTIFS($C$5:$C$3004,R24,$O$5:$O$3004,"CONCLUÍDA",$N$5:$N$3004,"&gt;=-1")=0,"",_xlfn.MAXIFS($N$5:$N$3004,$C$5:$C$3004,R24,$O$5:$O$3004,"CONCLUÍDA")))</f>
        <v/>
      </c>
      <c r="Z24" s="2">
        <f>IF(R24="","",IF(COUNTIFS($C$5:$C$3004,R24,$O$5:$O$3004,"EM ANDAMENTO",$N$5:$N$3004,"&gt;=-1")=0,"",_xlfn.MAXIFS($N$5:$N$3004,$C$5:$C$3004,R24,$O$5:$O$3004,"EM ANDAMENTO")))</f>
        <v/>
      </c>
      <c r="AA24" s="2">
        <f>IF(OR(R24="",S24="",U24&lt;&gt;"SIM",V24=0),"",IF(W24+X24=0,"",T24&amp;": "&amp;IF(W24=V24,"concluído",IF(W24=0,"em execução"&amp;IF(Z24&lt;&gt;""," ("&amp;IF(Z24=-1,"subsolo",IF(Z24=0,"térreo",Z24&amp;"º pav."))&amp;")",""),IF(Y24&lt;&gt;"","até "&amp;IF(Y24=-1,"subsolo",IF(Y24=0,"térreo",Y24&amp;"º pav.")),W24&amp;" de "&amp;V24&amp;" concluídas")&amp;IF(Z24="","",IF(OR(Y24="",Z24&gt;Y24),", executando "&amp;IF(Z24=-1,"subsolo",IF(Z24=0,"térreo",Z24&amp;"º pav."))," (restam serviços no "&amp;IF(Z24=-1,"subsolo",IF(Z24=0,"térreo",Z24&amp;"º pav."))&amp;")"))))))</f>
        <v/>
      </c>
    </row>
    <row r="25">
      <c r="M25" s="2">
        <f>IF(C25="","",IFERROR(INDEX($S$5:$S$304,MATCH(C25,$R$5:$R$304,0))&amp;"","?"))</f>
        <v/>
      </c>
      <c r="N25" s="2">
        <f>IF(E25="","",IF(LEFT(E25,7)="SUBSOLO",-1,IF(LEFT(E25,6)="TÉRREO",0,IFERROR(VALUE(LEFT(E25,FIND("º",SUBSTITUTE(E25,"°","º"))-1)),""))))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5" t="inlineStr">
        <is>
          <t>ESTRUTURA</t>
        </is>
      </c>
      <c r="S25" s="5" t="inlineStr">
        <is>
          <t>17</t>
        </is>
      </c>
      <c r="T25" s="5" t="inlineStr">
        <is>
          <t>Estrutura</t>
        </is>
      </c>
      <c r="U25" s="5" t="inlineStr">
        <is>
          <t>SIM</t>
        </is>
      </c>
      <c r="V25" s="2">
        <f>IF(R25="","",COUNTIF($C$5:$C$3004,R25))</f>
        <v/>
      </c>
      <c r="W25" s="2">
        <f>IF(R25="","",COUNTIFS($C$5:$C$3004,R25,$O$5:$O$3004,"CONCLUÍDA"))</f>
        <v/>
      </c>
      <c r="X25" s="2">
        <f>IF(R25="","",COUNTIFS($C$5:$C$3004,R25,$O$5:$O$3004,"EM ANDAMENTO"))</f>
        <v/>
      </c>
      <c r="Y25" s="2">
        <f>IF(R25="","",IF(COUNTIFS($C$5:$C$3004,R25,$O$5:$O$3004,"CONCLUÍDA",$N$5:$N$3004,"&gt;=-1")=0,"",_xlfn.MAXIFS($N$5:$N$3004,$C$5:$C$3004,R25,$O$5:$O$3004,"CONCLUÍDA")))</f>
        <v/>
      </c>
      <c r="Z25" s="2">
        <f>IF(R25="","",IF(COUNTIFS($C$5:$C$3004,R25,$O$5:$O$3004,"EM ANDAMENTO",$N$5:$N$3004,"&gt;=-1")=0,"",_xlfn.MAXIFS($N$5:$N$3004,$C$5:$C$3004,R25,$O$5:$O$3004,"EM ANDAMENTO")))</f>
        <v/>
      </c>
      <c r="AA25" s="2">
        <f>IF(OR(R25="",S25="",U25&lt;&gt;"SIM",V25=0),"",IF(W25+X25=0,"",T25&amp;": "&amp;IF(W25=V25,"concluído",IF(W25=0,"em execução"&amp;IF(Z25&lt;&gt;""," ("&amp;IF(Z25=-1,"subsolo",IF(Z25=0,"térreo",Z25&amp;"º pav."))&amp;")",""),IF(Y25&lt;&gt;"","até "&amp;IF(Y25=-1,"subsolo",IF(Y25=0,"térreo",Y25&amp;"º pav.")),W25&amp;" de "&amp;V25&amp;" concluídas")&amp;IF(Z25="","",IF(OR(Y25="",Z25&gt;Y25),", executando "&amp;IF(Z25=-1,"subsolo",IF(Z25=0,"térreo",Z25&amp;"º pav."))," (restam serviços no "&amp;IF(Z25=-1,"subsolo",IF(Z25=0,"térreo",Z25&amp;"º pav."))&amp;")"))))))</f>
        <v/>
      </c>
    </row>
    <row r="26">
      <c r="M26" s="2">
        <f>IF(C26="","",IFERROR(INDEX($S$5:$S$304,MATCH(C26,$R$5:$R$304,0))&amp;"","?"))</f>
        <v/>
      </c>
      <c r="N26" s="2">
        <f>IF(E26="","",IF(LEFT(E26,7)="SUBSOLO",-1,IF(LEFT(E26,6)="TÉRREO",0,IFERROR(VALUE(LEFT(E26,FIND("º",SUBSTITUTE(E26,"°","º"))-1)),""))))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5" t="inlineStr">
        <is>
          <t>FUNDAÇÃO SUPERFICIAL - FASE 5</t>
        </is>
      </c>
      <c r="S26" s="5" t="inlineStr">
        <is>
          <t>16</t>
        </is>
      </c>
      <c r="T26" s="5" t="inlineStr">
        <is>
          <t>Fundação superficial - fase 5</t>
        </is>
      </c>
      <c r="U26" s="5" t="inlineStr">
        <is>
          <t>SIM</t>
        </is>
      </c>
      <c r="V26" s="2">
        <f>IF(R26="","",COUNTIF($C$5:$C$3004,R26))</f>
        <v/>
      </c>
      <c r="W26" s="2">
        <f>IF(R26="","",COUNTIFS($C$5:$C$3004,R26,$O$5:$O$3004,"CONCLUÍDA"))</f>
        <v/>
      </c>
      <c r="X26" s="2">
        <f>IF(R26="","",COUNTIFS($C$5:$C$3004,R26,$O$5:$O$3004,"EM ANDAMENTO"))</f>
        <v/>
      </c>
      <c r="Y26" s="2">
        <f>IF(R26="","",IF(COUNTIFS($C$5:$C$3004,R26,$O$5:$O$3004,"CONCLUÍDA",$N$5:$N$3004,"&gt;=-1")=0,"",_xlfn.MAXIFS($N$5:$N$3004,$C$5:$C$3004,R26,$O$5:$O$3004,"CONCLUÍDA")))</f>
        <v/>
      </c>
      <c r="Z26" s="2">
        <f>IF(R26="","",IF(COUNTIFS($C$5:$C$3004,R26,$O$5:$O$3004,"EM ANDAMENTO",$N$5:$N$3004,"&gt;=-1")=0,"",_xlfn.MAXIFS($N$5:$N$3004,$C$5:$C$3004,R26,$O$5:$O$3004,"EM ANDAMENTO")))</f>
        <v/>
      </c>
      <c r="AA26" s="2">
        <f>IF(OR(R26="",S26="",U26&lt;&gt;"SIM",V26=0),"",IF(W26+X26=0,"",T26&amp;": "&amp;IF(W26=V26,"concluído",IF(W26=0,"em execução"&amp;IF(Z26&lt;&gt;""," ("&amp;IF(Z26=-1,"subsolo",IF(Z26=0,"térreo",Z26&amp;"º pav."))&amp;")",""),IF(Y26&lt;&gt;"","até "&amp;IF(Y26=-1,"subsolo",IF(Y26=0,"térreo",Y26&amp;"º pav.")),W26&amp;" de "&amp;V26&amp;" concluídas")&amp;IF(Z26="","",IF(OR(Y26="",Z26&gt;Y26),", executando "&amp;IF(Z26=-1,"subsolo",IF(Z26=0,"térreo",Z26&amp;"º pav."))," (restam serviços no "&amp;IF(Z26=-1,"subsolo",IF(Z26=0,"térreo",Z26&amp;"º pav."))&amp;")"))))))</f>
        <v/>
      </c>
    </row>
    <row r="27">
      <c r="M27" s="2">
        <f>IF(C27="","",IFERROR(INDEX($S$5:$S$304,MATCH(C27,$R$5:$R$304,0))&amp;"","?"))</f>
        <v/>
      </c>
      <c r="N27" s="2">
        <f>IF(E27="","",IF(LEFT(E27,7)="SUBSOLO",-1,IF(LEFT(E27,6)="TÉRREO",0,IFERROR(VALUE(LEFT(E27,FIND("º",SUBSTITUTE(E27,"°","º"))-1)),""))))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5" t="inlineStr">
        <is>
          <t>FUNDAÇÃO SUPERFICIAL - FASE 6</t>
        </is>
      </c>
      <c r="S27" s="5" t="inlineStr">
        <is>
          <t>16</t>
        </is>
      </c>
      <c r="T27" s="5" t="inlineStr">
        <is>
          <t>Fundação superficial - fase 6</t>
        </is>
      </c>
      <c r="U27" s="5" t="inlineStr">
        <is>
          <t>NÃO</t>
        </is>
      </c>
      <c r="V27" s="2">
        <f>IF(R27="","",COUNTIF($C$5:$C$3004,R27))</f>
        <v/>
      </c>
      <c r="W27" s="2">
        <f>IF(R27="","",COUNTIFS($C$5:$C$3004,R27,$O$5:$O$3004,"CONCLUÍDA"))</f>
        <v/>
      </c>
      <c r="X27" s="2">
        <f>IF(R27="","",COUNTIFS($C$5:$C$3004,R27,$O$5:$O$3004,"EM ANDAMENTO"))</f>
        <v/>
      </c>
      <c r="Y27" s="2">
        <f>IF(R27="","",IF(COUNTIFS($C$5:$C$3004,R27,$O$5:$O$3004,"CONCLUÍDA",$N$5:$N$3004,"&gt;=-1")=0,"",_xlfn.MAXIFS($N$5:$N$3004,$C$5:$C$3004,R27,$O$5:$O$3004,"CONCLUÍDA")))</f>
        <v/>
      </c>
      <c r="Z27" s="2">
        <f>IF(R27="","",IF(COUNTIFS($C$5:$C$3004,R27,$O$5:$O$3004,"EM ANDAMENTO",$N$5:$N$3004,"&gt;=-1")=0,"",_xlfn.MAXIFS($N$5:$N$3004,$C$5:$C$3004,R27,$O$5:$O$3004,"EM ANDAMENTO")))</f>
        <v/>
      </c>
      <c r="AA27" s="2">
        <f>IF(OR(R27="",S27="",U27&lt;&gt;"SIM",V27=0),"",IF(W27+X27=0,"",T27&amp;": "&amp;IF(W27=V27,"concluído",IF(W27=0,"em execução"&amp;IF(Z27&lt;&gt;""," ("&amp;IF(Z27=-1,"subsolo",IF(Z27=0,"térreo",Z27&amp;"º pav."))&amp;")",""),IF(Y27&lt;&gt;"","até "&amp;IF(Y27=-1,"subsolo",IF(Y27=0,"térreo",Y27&amp;"º pav.")),W27&amp;" de "&amp;V27&amp;" concluídas")&amp;IF(Z27="","",IF(OR(Y27="",Z27&gt;Y27),", executando "&amp;IF(Z27=-1,"subsolo",IF(Z27=0,"térreo",Z27&amp;"º pav."))," (restam serviços no "&amp;IF(Z27=-1,"subsolo",IF(Z27=0,"térreo",Z27&amp;"º pav."))&amp;")"))))))</f>
        <v/>
      </c>
    </row>
    <row r="28">
      <c r="M28" s="2">
        <f>IF(C28="","",IFERROR(INDEX($S$5:$S$304,MATCH(C28,$R$5:$R$304,0))&amp;"","?"))</f>
        <v/>
      </c>
      <c r="N28" s="2">
        <f>IF(E28="","",IF(LEFT(E28,7)="SUBSOLO",-1,IF(LEFT(E28,6)="TÉRREO",0,IFERROR(VALUE(LEFT(E28,FIND("º",SUBSTITUTE(E28,"°","º"))-1)),""))))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5" t="inlineStr">
        <is>
          <t>Estrutura Térreo - Fase 2</t>
        </is>
      </c>
      <c r="S28" s="5" t="inlineStr">
        <is>
          <t>17</t>
        </is>
      </c>
      <c r="T28" s="5" t="inlineStr">
        <is>
          <t>Estrutura térreo - fase 2</t>
        </is>
      </c>
      <c r="U28" s="5" t="inlineStr">
        <is>
          <t>NÃO</t>
        </is>
      </c>
      <c r="V28" s="2">
        <f>IF(R28="","",COUNTIF($C$5:$C$3004,R28))</f>
        <v/>
      </c>
      <c r="W28" s="2">
        <f>IF(R28="","",COUNTIFS($C$5:$C$3004,R28,$O$5:$O$3004,"CONCLUÍDA"))</f>
        <v/>
      </c>
      <c r="X28" s="2">
        <f>IF(R28="","",COUNTIFS($C$5:$C$3004,R28,$O$5:$O$3004,"EM ANDAMENTO"))</f>
        <v/>
      </c>
      <c r="Y28" s="2">
        <f>IF(R28="","",IF(COUNTIFS($C$5:$C$3004,R28,$O$5:$O$3004,"CONCLUÍDA",$N$5:$N$3004,"&gt;=-1")=0,"",_xlfn.MAXIFS($N$5:$N$3004,$C$5:$C$3004,R28,$O$5:$O$3004,"CONCLUÍDA")))</f>
        <v/>
      </c>
      <c r="Z28" s="2">
        <f>IF(R28="","",IF(COUNTIFS($C$5:$C$3004,R28,$O$5:$O$3004,"EM ANDAMENTO",$N$5:$N$3004,"&gt;=-1")=0,"",_xlfn.MAXIFS($N$5:$N$3004,$C$5:$C$3004,R28,$O$5:$O$3004,"EM ANDAMENTO")))</f>
        <v/>
      </c>
      <c r="AA28" s="2">
        <f>IF(OR(R28="",S28="",U28&lt;&gt;"SIM",V28=0),"",IF(W28+X28=0,"",T28&amp;": "&amp;IF(W28=V28,"concluído",IF(W28=0,"em execução"&amp;IF(Z28&lt;&gt;""," ("&amp;IF(Z28=-1,"subsolo",IF(Z28=0,"térreo",Z28&amp;"º pav."))&amp;")",""),IF(Y28&lt;&gt;"","até "&amp;IF(Y28=-1,"subsolo",IF(Y28=0,"térreo",Y28&amp;"º pav.")),W28&amp;" de "&amp;V28&amp;" concluídas")&amp;IF(Z28="","",IF(OR(Y28="",Z28&gt;Y28),", executando "&amp;IF(Z28=-1,"subsolo",IF(Z28=0,"térreo",Z28&amp;"º pav."))," (restam serviços no "&amp;IF(Z28=-1,"subsolo",IF(Z28=0,"térreo",Z28&amp;"º pav."))&amp;")"))))))</f>
        <v/>
      </c>
    </row>
    <row r="29">
      <c r="M29" s="2">
        <f>IF(C29="","",IFERROR(INDEX($S$5:$S$304,MATCH(C29,$R$5:$R$304,0))&amp;"","?"))</f>
        <v/>
      </c>
      <c r="N29" s="2">
        <f>IF(E29="","",IF(LEFT(E29,7)="SUBSOLO",-1,IF(LEFT(E29,6)="TÉRREO",0,IFERROR(VALUE(LEFT(E29,FIND("º",SUBSTITUTE(E29,"°","º"))-1)),""))))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5" t="inlineStr">
        <is>
          <t>Estrutura Térreo - Fase 3</t>
        </is>
      </c>
      <c r="S29" s="5" t="inlineStr">
        <is>
          <t>17</t>
        </is>
      </c>
      <c r="T29" s="5" t="inlineStr">
        <is>
          <t>Estrutura térreo - fase 3</t>
        </is>
      </c>
      <c r="U29" s="5" t="inlineStr">
        <is>
          <t>NÃO</t>
        </is>
      </c>
      <c r="V29" s="2">
        <f>IF(R29="","",COUNTIF($C$5:$C$3004,R29))</f>
        <v/>
      </c>
      <c r="W29" s="2">
        <f>IF(R29="","",COUNTIFS($C$5:$C$3004,R29,$O$5:$O$3004,"CONCLUÍDA"))</f>
        <v/>
      </c>
      <c r="X29" s="2">
        <f>IF(R29="","",COUNTIFS($C$5:$C$3004,R29,$O$5:$O$3004,"EM ANDAMENTO"))</f>
        <v/>
      </c>
      <c r="Y29" s="2">
        <f>IF(R29="","",IF(COUNTIFS($C$5:$C$3004,R29,$O$5:$O$3004,"CONCLUÍDA",$N$5:$N$3004,"&gt;=-1")=0,"",_xlfn.MAXIFS($N$5:$N$3004,$C$5:$C$3004,R29,$O$5:$O$3004,"CONCLUÍDA")))</f>
        <v/>
      </c>
      <c r="Z29" s="2">
        <f>IF(R29="","",IF(COUNTIFS($C$5:$C$3004,R29,$O$5:$O$3004,"EM ANDAMENTO",$N$5:$N$3004,"&gt;=-1")=0,"",_xlfn.MAXIFS($N$5:$N$3004,$C$5:$C$3004,R29,$O$5:$O$3004,"EM ANDAMENTO")))</f>
        <v/>
      </c>
      <c r="AA29" s="2">
        <f>IF(OR(R29="",S29="",U29&lt;&gt;"SIM",V29=0),"",IF(W29+X29=0,"",T29&amp;": "&amp;IF(W29=V29,"concluído",IF(W29=0,"em execução"&amp;IF(Z29&lt;&gt;""," ("&amp;IF(Z29=-1,"subsolo",IF(Z29=0,"térreo",Z29&amp;"º pav."))&amp;")",""),IF(Y29&lt;&gt;"","até "&amp;IF(Y29=-1,"subsolo",IF(Y29=0,"térreo",Y29&amp;"º pav.")),W29&amp;" de "&amp;V29&amp;" concluídas")&amp;IF(Z29="","",IF(OR(Y29="",Z29&gt;Y29),", executando "&amp;IF(Z29=-1,"subsolo",IF(Z29=0,"térreo",Z29&amp;"º pav."))," (restam serviços no "&amp;IF(Z29=-1,"subsolo",IF(Z29=0,"térreo",Z29&amp;"º pav."))&amp;")"))))))</f>
        <v/>
      </c>
    </row>
    <row r="30">
      <c r="M30" s="2">
        <f>IF(C30="","",IFERROR(INDEX($S$5:$S$304,MATCH(C30,$R$5:$R$304,0))&amp;"","?"))</f>
        <v/>
      </c>
      <c r="N30" s="2">
        <f>IF(E30="","",IF(LEFT(E30,7)="SUBSOLO",-1,IF(LEFT(E30,6)="TÉRREO",0,IFERROR(VALUE(LEFT(E30,FIND("º",SUBSTITUTE(E30,"°","º"))-1)),""))))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5" t="inlineStr">
        <is>
          <t>Estrutura Térreo - Fase 4</t>
        </is>
      </c>
      <c r="S30" s="5" t="inlineStr">
        <is>
          <t>17</t>
        </is>
      </c>
      <c r="T30" s="5" t="inlineStr">
        <is>
          <t>Estrutura térreo - fase 4</t>
        </is>
      </c>
      <c r="U30" s="5" t="inlineStr">
        <is>
          <t>NÃO</t>
        </is>
      </c>
      <c r="V30" s="2">
        <f>IF(R30="","",COUNTIF($C$5:$C$3004,R30))</f>
        <v/>
      </c>
      <c r="W30" s="2">
        <f>IF(R30="","",COUNTIFS($C$5:$C$3004,R30,$O$5:$O$3004,"CONCLUÍDA"))</f>
        <v/>
      </c>
      <c r="X30" s="2">
        <f>IF(R30="","",COUNTIFS($C$5:$C$3004,R30,$O$5:$O$3004,"EM ANDAMENTO"))</f>
        <v/>
      </c>
      <c r="Y30" s="2">
        <f>IF(R30="","",IF(COUNTIFS($C$5:$C$3004,R30,$O$5:$O$3004,"CONCLUÍDA",$N$5:$N$3004,"&gt;=-1")=0,"",_xlfn.MAXIFS($N$5:$N$3004,$C$5:$C$3004,R30,$O$5:$O$3004,"CONCLUÍDA")))</f>
        <v/>
      </c>
      <c r="Z30" s="2">
        <f>IF(R30="","",IF(COUNTIFS($C$5:$C$3004,R30,$O$5:$O$3004,"EM ANDAMENTO",$N$5:$N$3004,"&gt;=-1")=0,"",_xlfn.MAXIFS($N$5:$N$3004,$C$5:$C$3004,R30,$O$5:$O$3004,"EM ANDAMENTO")))</f>
        <v/>
      </c>
      <c r="AA30" s="2">
        <f>IF(OR(R30="",S30="",U30&lt;&gt;"SIM",V30=0),"",IF(W30+X30=0,"",T30&amp;": "&amp;IF(W30=V30,"concluído",IF(W30=0,"em execução"&amp;IF(Z30&lt;&gt;""," ("&amp;IF(Z30=-1,"subsolo",IF(Z30=0,"térreo",Z30&amp;"º pav."))&amp;")",""),IF(Y30&lt;&gt;"","até "&amp;IF(Y30=-1,"subsolo",IF(Y30=0,"térreo",Y30&amp;"º pav.")),W30&amp;" de "&amp;V30&amp;" concluídas")&amp;IF(Z30="","",IF(OR(Y30="",Z30&gt;Y30),", executando "&amp;IF(Z30=-1,"subsolo",IF(Z30=0,"térreo",Z30&amp;"º pav."))," (restam serviços no "&amp;IF(Z30=-1,"subsolo",IF(Z30=0,"térreo",Z30&amp;"º pav."))&amp;")"))))))</f>
        <v/>
      </c>
    </row>
    <row r="31">
      <c r="M31" s="2">
        <f>IF(C31="","",IFERROR(INDEX($S$5:$S$304,MATCH(C31,$R$5:$R$304,0))&amp;"","?"))</f>
        <v/>
      </c>
      <c r="N31" s="2">
        <f>IF(E31="","",IF(LEFT(E31,7)="SUBSOLO",-1,IF(LEFT(E31,6)="TÉRREO",0,IFERROR(VALUE(LEFT(E31,FIND("º",SUBSTITUTE(E31,"°","º"))-1)),""))))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5" t="inlineStr">
        <is>
          <t>Estrutura Mezanino</t>
        </is>
      </c>
      <c r="S31" s="5" t="inlineStr">
        <is>
          <t>17</t>
        </is>
      </c>
      <c r="T31" s="5" t="inlineStr">
        <is>
          <t>Estrutura mezanino</t>
        </is>
      </c>
      <c r="U31" s="5" t="inlineStr">
        <is>
          <t>NÃO</t>
        </is>
      </c>
      <c r="V31" s="2">
        <f>IF(R31="","",COUNTIF($C$5:$C$3004,R31))</f>
        <v/>
      </c>
      <c r="W31" s="2">
        <f>IF(R31="","",COUNTIFS($C$5:$C$3004,R31,$O$5:$O$3004,"CONCLUÍDA"))</f>
        <v/>
      </c>
      <c r="X31" s="2">
        <f>IF(R31="","",COUNTIFS($C$5:$C$3004,R31,$O$5:$O$3004,"EM ANDAMENTO"))</f>
        <v/>
      </c>
      <c r="Y31" s="2">
        <f>IF(R31="","",IF(COUNTIFS($C$5:$C$3004,R31,$O$5:$O$3004,"CONCLUÍDA",$N$5:$N$3004,"&gt;=-1")=0,"",_xlfn.MAXIFS($N$5:$N$3004,$C$5:$C$3004,R31,$O$5:$O$3004,"CONCLUÍDA")))</f>
        <v/>
      </c>
      <c r="Z31" s="2">
        <f>IF(R31="","",IF(COUNTIFS($C$5:$C$3004,R31,$O$5:$O$3004,"EM ANDAMENTO",$N$5:$N$3004,"&gt;=-1")=0,"",_xlfn.MAXIFS($N$5:$N$3004,$C$5:$C$3004,R31,$O$5:$O$3004,"EM ANDAMENTO")))</f>
        <v/>
      </c>
      <c r="AA31" s="2">
        <f>IF(OR(R31="",S31="",U31&lt;&gt;"SIM",V31=0),"",IF(W31+X31=0,"",T31&amp;": "&amp;IF(W31=V31,"concluído",IF(W31=0,"em execução"&amp;IF(Z31&lt;&gt;""," ("&amp;IF(Z31=-1,"subsolo",IF(Z31=0,"térreo",Z31&amp;"º pav."))&amp;")",""),IF(Y31&lt;&gt;"","até "&amp;IF(Y31=-1,"subsolo",IF(Y31=0,"térreo",Y31&amp;"º pav.")),W31&amp;" de "&amp;V31&amp;" concluídas")&amp;IF(Z31="","",IF(OR(Y31="",Z31&gt;Y31),", executando "&amp;IF(Z31=-1,"subsolo",IF(Z31=0,"térreo",Z31&amp;"º pav."))," (restam serviços no "&amp;IF(Z31=-1,"subsolo",IF(Z31=0,"térreo",Z31&amp;"º pav."))&amp;")"))))))</f>
        <v/>
      </c>
    </row>
    <row r="32">
      <c r="M32" s="2">
        <f>IF(C32="","",IFERROR(INDEX($S$5:$S$304,MATCH(C32,$R$5:$R$304,0))&amp;"","?"))</f>
        <v/>
      </c>
      <c r="N32" s="2">
        <f>IF(E32="","",IF(LEFT(E32,7)="SUBSOLO",-1,IF(LEFT(E32,6)="TÉRREO",0,IFERROR(VALUE(LEFT(E32,FIND("º",SUBSTITUTE(E32,"°","º"))-1)),""))))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5" t="inlineStr">
        <is>
          <t>Estrutura 2º Pav - Fase 1</t>
        </is>
      </c>
      <c r="S32" s="5" t="inlineStr">
        <is>
          <t>17</t>
        </is>
      </c>
      <c r="T32" s="5" t="inlineStr">
        <is>
          <t>Estrutura 2º pav - fase 1</t>
        </is>
      </c>
      <c r="U32" s="5" t="inlineStr">
        <is>
          <t>NÃO</t>
        </is>
      </c>
      <c r="V32" s="2">
        <f>IF(R32="","",COUNTIF($C$5:$C$3004,R32))</f>
        <v/>
      </c>
      <c r="W32" s="2">
        <f>IF(R32="","",COUNTIFS($C$5:$C$3004,R32,$O$5:$O$3004,"CONCLUÍDA"))</f>
        <v/>
      </c>
      <c r="X32" s="2">
        <f>IF(R32="","",COUNTIFS($C$5:$C$3004,R32,$O$5:$O$3004,"EM ANDAMENTO"))</f>
        <v/>
      </c>
      <c r="Y32" s="2">
        <f>IF(R32="","",IF(COUNTIFS($C$5:$C$3004,R32,$O$5:$O$3004,"CONCLUÍDA",$N$5:$N$3004,"&gt;=-1")=0,"",_xlfn.MAXIFS($N$5:$N$3004,$C$5:$C$3004,R32,$O$5:$O$3004,"CONCLUÍDA")))</f>
        <v/>
      </c>
      <c r="Z32" s="2">
        <f>IF(R32="","",IF(COUNTIFS($C$5:$C$3004,R32,$O$5:$O$3004,"EM ANDAMENTO",$N$5:$N$3004,"&gt;=-1")=0,"",_xlfn.MAXIFS($N$5:$N$3004,$C$5:$C$3004,R32,$O$5:$O$3004,"EM ANDAMENTO")))</f>
        <v/>
      </c>
      <c r="AA32" s="2">
        <f>IF(OR(R32="",S32="",U32&lt;&gt;"SIM",V32=0),"",IF(W32+X32=0,"",T32&amp;": "&amp;IF(W32=V32,"concluído",IF(W32=0,"em execução"&amp;IF(Z32&lt;&gt;""," ("&amp;IF(Z32=-1,"subsolo",IF(Z32=0,"térreo",Z32&amp;"º pav."))&amp;")",""),IF(Y32&lt;&gt;"","até "&amp;IF(Y32=-1,"subsolo",IF(Y32=0,"térreo",Y32&amp;"º pav.")),W32&amp;" de "&amp;V32&amp;" concluídas")&amp;IF(Z32="","",IF(OR(Y32="",Z32&gt;Y32),", executando "&amp;IF(Z32=-1,"subsolo",IF(Z32=0,"térreo",Z32&amp;"º pav."))," (restam serviços no "&amp;IF(Z32=-1,"subsolo",IF(Z32=0,"térreo",Z32&amp;"º pav."))&amp;")"))))))</f>
        <v/>
      </c>
    </row>
    <row r="33">
      <c r="M33" s="2">
        <f>IF(C33="","",IFERROR(INDEX($S$5:$S$304,MATCH(C33,$R$5:$R$304,0))&amp;"","?"))</f>
        <v/>
      </c>
      <c r="N33" s="2">
        <f>IF(E33="","",IF(LEFT(E33,7)="SUBSOLO",-1,IF(LEFT(E33,6)="TÉRREO",0,IFERROR(VALUE(LEFT(E33,FIND("º",SUBSTITUTE(E33,"°","º"))-1)),""))))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5" t="inlineStr">
        <is>
          <t>TERRAPLENAGEM (FASE 2)</t>
        </is>
      </c>
      <c r="S33" s="5" t="inlineStr">
        <is>
          <t>14</t>
        </is>
      </c>
      <c r="T33" s="5" t="inlineStr">
        <is>
          <t>Terraplenagem (fase 2)</t>
        </is>
      </c>
      <c r="U33" s="5" t="inlineStr">
        <is>
          <t>SIM</t>
        </is>
      </c>
      <c r="V33" s="2">
        <f>IF(R33="","",COUNTIF($C$5:$C$3004,R33))</f>
        <v/>
      </c>
      <c r="W33" s="2">
        <f>IF(R33="","",COUNTIFS($C$5:$C$3004,R33,$O$5:$O$3004,"CONCLUÍDA"))</f>
        <v/>
      </c>
      <c r="X33" s="2">
        <f>IF(R33="","",COUNTIFS($C$5:$C$3004,R33,$O$5:$O$3004,"EM ANDAMENTO"))</f>
        <v/>
      </c>
      <c r="Y33" s="2">
        <f>IF(R33="","",IF(COUNTIFS($C$5:$C$3004,R33,$O$5:$O$3004,"CONCLUÍDA",$N$5:$N$3004,"&gt;=-1")=0,"",_xlfn.MAXIFS($N$5:$N$3004,$C$5:$C$3004,R33,$O$5:$O$3004,"CONCLUÍDA")))</f>
        <v/>
      </c>
      <c r="Z33" s="2">
        <f>IF(R33="","",IF(COUNTIFS($C$5:$C$3004,R33,$O$5:$O$3004,"EM ANDAMENTO",$N$5:$N$3004,"&gt;=-1")=0,"",_xlfn.MAXIFS($N$5:$N$3004,$C$5:$C$3004,R33,$O$5:$O$3004,"EM ANDAMENTO")))</f>
        <v/>
      </c>
      <c r="AA33" s="2">
        <f>IF(OR(R33="",S33="",U33&lt;&gt;"SIM",V33=0),"",IF(W33+X33=0,"",T33&amp;": "&amp;IF(W33=V33,"concluído",IF(W33=0,"em execução"&amp;IF(Z33&lt;&gt;""," ("&amp;IF(Z33=-1,"subsolo",IF(Z33=0,"térreo",Z33&amp;"º pav."))&amp;")",""),IF(Y33&lt;&gt;"","até "&amp;IF(Y33=-1,"subsolo",IF(Y33=0,"térreo",Y33&amp;"º pav.")),W33&amp;" de "&amp;V33&amp;" concluídas")&amp;IF(Z33="","",IF(OR(Y33="",Z33&gt;Y33),", executando "&amp;IF(Z33=-1,"subsolo",IF(Z33=0,"térreo",Z33&amp;"º pav."))," (restam serviços no "&amp;IF(Z33=-1,"subsolo",IF(Z33=0,"térreo",Z33&amp;"º pav."))&amp;")"))))))</f>
        <v/>
      </c>
    </row>
    <row r="34">
      <c r="M34" s="2">
        <f>IF(C34="","",IFERROR(INDEX($S$5:$S$304,MATCH(C34,$R$5:$R$304,0))&amp;"","?"))</f>
        <v/>
      </c>
      <c r="N34" s="2">
        <f>IF(E34="","",IF(LEFT(E34,7)="SUBSOLO",-1,IF(LEFT(E34,6)="TÉRREO",0,IFERROR(VALUE(LEFT(E34,FIND("º",SUBSTITUTE(E34,"°","º"))-1)),""))))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5" t="inlineStr">
        <is>
          <t>CINTAS FASE 1</t>
        </is>
      </c>
      <c r="S34" s="5" t="inlineStr">
        <is>
          <t>16</t>
        </is>
      </c>
      <c r="T34" s="5" t="inlineStr">
        <is>
          <t>Cintas fase 1</t>
        </is>
      </c>
      <c r="U34" s="5" t="inlineStr">
        <is>
          <t>NÃO</t>
        </is>
      </c>
      <c r="V34" s="2">
        <f>IF(R34="","",COUNTIF($C$5:$C$3004,R34))</f>
        <v/>
      </c>
      <c r="W34" s="2">
        <f>IF(R34="","",COUNTIFS($C$5:$C$3004,R34,$O$5:$O$3004,"CONCLUÍDA"))</f>
        <v/>
      </c>
      <c r="X34" s="2">
        <f>IF(R34="","",COUNTIFS($C$5:$C$3004,R34,$O$5:$O$3004,"EM ANDAMENTO"))</f>
        <v/>
      </c>
      <c r="Y34" s="2">
        <f>IF(R34="","",IF(COUNTIFS($C$5:$C$3004,R34,$O$5:$O$3004,"CONCLUÍDA",$N$5:$N$3004,"&gt;=-1")=0,"",_xlfn.MAXIFS($N$5:$N$3004,$C$5:$C$3004,R34,$O$5:$O$3004,"CONCLUÍDA")))</f>
        <v/>
      </c>
      <c r="Z34" s="2">
        <f>IF(R34="","",IF(COUNTIFS($C$5:$C$3004,R34,$O$5:$O$3004,"EM ANDAMENTO",$N$5:$N$3004,"&gt;=-1")=0,"",_xlfn.MAXIFS($N$5:$N$3004,$C$5:$C$3004,R34,$O$5:$O$3004,"EM ANDAMENTO")))</f>
        <v/>
      </c>
      <c r="AA34" s="2">
        <f>IF(OR(R34="",S34="",U34&lt;&gt;"SIM",V34=0),"",IF(W34+X34=0,"",T34&amp;": "&amp;IF(W34=V34,"concluído",IF(W34=0,"em execução"&amp;IF(Z34&lt;&gt;""," ("&amp;IF(Z34=-1,"subsolo",IF(Z34=0,"térreo",Z34&amp;"º pav."))&amp;")",""),IF(Y34&lt;&gt;"","até "&amp;IF(Y34=-1,"subsolo",IF(Y34=0,"térreo",Y34&amp;"º pav.")),W34&amp;" de "&amp;V34&amp;" concluídas")&amp;IF(Z34="","",IF(OR(Y34="",Z34&gt;Y34),", executando "&amp;IF(Z34=-1,"subsolo",IF(Z34=0,"térreo",Z34&amp;"º pav."))," (restam serviços no "&amp;IF(Z34=-1,"subsolo",IF(Z34=0,"térreo",Z34&amp;"º pav."))&amp;")"))))))</f>
        <v/>
      </c>
    </row>
    <row r="35">
      <c r="M35" s="2">
        <f>IF(C35="","",IFERROR(INDEX($S$5:$S$304,MATCH(C35,$R$5:$R$304,0))&amp;"","?"))</f>
        <v/>
      </c>
      <c r="N35" s="2">
        <f>IF(E35="","",IF(LEFT(E35,7)="SUBSOLO",-1,IF(LEFT(E35,6)="TÉRREO",0,IFERROR(VALUE(LEFT(E35,FIND("º",SUBSTITUTE(E35,"°","º"))-1)),""))))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5" t="inlineStr">
        <is>
          <t>CINTAS FASE 2</t>
        </is>
      </c>
      <c r="S35" s="5" t="inlineStr">
        <is>
          <t>16</t>
        </is>
      </c>
      <c r="T35" s="5" t="inlineStr">
        <is>
          <t>Cintas fase 2</t>
        </is>
      </c>
      <c r="U35" s="5" t="inlineStr">
        <is>
          <t>NÃO</t>
        </is>
      </c>
      <c r="V35" s="2">
        <f>IF(R35="","",COUNTIF($C$5:$C$3004,R35))</f>
        <v/>
      </c>
      <c r="W35" s="2">
        <f>IF(R35="","",COUNTIFS($C$5:$C$3004,R35,$O$5:$O$3004,"CONCLUÍDA"))</f>
        <v/>
      </c>
      <c r="X35" s="2">
        <f>IF(R35="","",COUNTIFS($C$5:$C$3004,R35,$O$5:$O$3004,"EM ANDAMENTO"))</f>
        <v/>
      </c>
      <c r="Y35" s="2">
        <f>IF(R35="","",IF(COUNTIFS($C$5:$C$3004,R35,$O$5:$O$3004,"CONCLUÍDA",$N$5:$N$3004,"&gt;=-1")=0,"",_xlfn.MAXIFS($N$5:$N$3004,$C$5:$C$3004,R35,$O$5:$O$3004,"CONCLUÍDA")))</f>
        <v/>
      </c>
      <c r="Z35" s="2">
        <f>IF(R35="","",IF(COUNTIFS($C$5:$C$3004,R35,$O$5:$O$3004,"EM ANDAMENTO",$N$5:$N$3004,"&gt;=-1")=0,"",_xlfn.MAXIFS($N$5:$N$3004,$C$5:$C$3004,R35,$O$5:$O$3004,"EM ANDAMENTO")))</f>
        <v/>
      </c>
      <c r="AA35" s="2">
        <f>IF(OR(R35="",S35="",U35&lt;&gt;"SIM",V35=0),"",IF(W35+X35=0,"",T35&amp;": "&amp;IF(W35=V35,"concluído",IF(W35=0,"em execução"&amp;IF(Z35&lt;&gt;""," ("&amp;IF(Z35=-1,"subsolo",IF(Z35=0,"térreo",Z35&amp;"º pav."))&amp;")",""),IF(Y35&lt;&gt;"","até "&amp;IF(Y35=-1,"subsolo",IF(Y35=0,"térreo",Y35&amp;"º pav.")),W35&amp;" de "&amp;V35&amp;" concluídas")&amp;IF(Z35="","",IF(OR(Y35="",Z35&gt;Y35),", executando "&amp;IF(Z35=-1,"subsolo",IF(Z35=0,"térreo",Z35&amp;"º pav."))," (restam serviços no "&amp;IF(Z35=-1,"subsolo",IF(Z35=0,"térreo",Z35&amp;"º pav."))&amp;")"))))))</f>
        <v/>
      </c>
    </row>
    <row r="36">
      <c r="M36" s="2">
        <f>IF(C36="","",IFERROR(INDEX($S$5:$S$304,MATCH(C36,$R$5:$R$304,0))&amp;"","?"))</f>
        <v/>
      </c>
      <c r="N36" s="2">
        <f>IF(E36="","",IF(LEFT(E36,7)="SUBSOLO",-1,IF(LEFT(E36,6)="TÉRREO",0,IFERROR(VALUE(LEFT(E36,FIND("º",SUBSTITUTE(E36,"°","º"))-1)),""))))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5" t="inlineStr">
        <is>
          <t>FECHAMENTO DE CORTINA - CONTENÇÕES</t>
        </is>
      </c>
      <c r="S36" s="5" t="inlineStr">
        <is>
          <t>13</t>
        </is>
      </c>
      <c r="T36" s="5" t="inlineStr">
        <is>
          <t>Fechamento de cortina - contenções</t>
        </is>
      </c>
      <c r="U36" s="5" t="inlineStr">
        <is>
          <t>SIM</t>
        </is>
      </c>
      <c r="V36" s="2">
        <f>IF(R36="","",COUNTIF($C$5:$C$3004,R36))</f>
        <v/>
      </c>
      <c r="W36" s="2">
        <f>IF(R36="","",COUNTIFS($C$5:$C$3004,R36,$O$5:$O$3004,"CONCLUÍDA"))</f>
        <v/>
      </c>
      <c r="X36" s="2">
        <f>IF(R36="","",COUNTIFS($C$5:$C$3004,R36,$O$5:$O$3004,"EM ANDAMENTO"))</f>
        <v/>
      </c>
      <c r="Y36" s="2">
        <f>IF(R36="","",IF(COUNTIFS($C$5:$C$3004,R36,$O$5:$O$3004,"CONCLUÍDA",$N$5:$N$3004,"&gt;=-1")=0,"",_xlfn.MAXIFS($N$5:$N$3004,$C$5:$C$3004,R36,$O$5:$O$3004,"CONCLUÍDA")))</f>
        <v/>
      </c>
      <c r="Z36" s="2">
        <f>IF(R36="","",IF(COUNTIFS($C$5:$C$3004,R36,$O$5:$O$3004,"EM ANDAMENTO",$N$5:$N$3004,"&gt;=-1")=0,"",_xlfn.MAXIFS($N$5:$N$3004,$C$5:$C$3004,R36,$O$5:$O$3004,"EM ANDAMENTO")))</f>
        <v/>
      </c>
      <c r="AA36" s="2">
        <f>IF(OR(R36="",S36="",U36&lt;&gt;"SIM",V36=0),"",IF(W36+X36=0,"",T36&amp;": "&amp;IF(W36=V36,"concluído",IF(W36=0,"em execução"&amp;IF(Z36&lt;&gt;""," ("&amp;IF(Z36=-1,"subsolo",IF(Z36=0,"térreo",Z36&amp;"º pav."))&amp;")",""),IF(Y36&lt;&gt;"","até "&amp;IF(Y36=-1,"subsolo",IF(Y36=0,"térreo",Y36&amp;"º pav.")),W36&amp;" de "&amp;V36&amp;" concluídas")&amp;IF(Z36="","",IF(OR(Y36="",Z36&gt;Y36),", executando "&amp;IF(Z36=-1,"subsolo",IF(Z36=0,"térreo",Z36&amp;"º pav."))," (restam serviços no "&amp;IF(Z36=-1,"subsolo",IF(Z36=0,"térreo",Z36&amp;"º pav."))&amp;")"))))))</f>
        <v/>
      </c>
    </row>
    <row r="37">
      <c r="M37" s="2">
        <f>IF(C37="","",IFERROR(INDEX($S$5:$S$304,MATCH(C37,$R$5:$R$304,0))&amp;"","?"))</f>
        <v/>
      </c>
      <c r="N37" s="2">
        <f>IF(E37="","",IF(LEFT(E37,7)="SUBSOLO",-1,IF(LEFT(E37,6)="TÉRREO",0,IFERROR(VALUE(LEFT(E37,FIND("º",SUBSTITUTE(E37,"°","º"))-1)),""))))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5" t="inlineStr">
        <is>
          <t>CINTAS FASE 3</t>
        </is>
      </c>
      <c r="S37" s="5" t="inlineStr">
        <is>
          <t>16</t>
        </is>
      </c>
      <c r="T37" s="5" t="inlineStr">
        <is>
          <t>Cintas fase 3</t>
        </is>
      </c>
      <c r="U37" s="5" t="inlineStr">
        <is>
          <t>NÃO</t>
        </is>
      </c>
      <c r="V37" s="2">
        <f>IF(R37="","",COUNTIF($C$5:$C$3004,R37))</f>
        <v/>
      </c>
      <c r="W37" s="2">
        <f>IF(R37="","",COUNTIFS($C$5:$C$3004,R37,$O$5:$O$3004,"CONCLUÍDA"))</f>
        <v/>
      </c>
      <c r="X37" s="2">
        <f>IF(R37="","",COUNTIFS($C$5:$C$3004,R37,$O$5:$O$3004,"EM ANDAMENTO"))</f>
        <v/>
      </c>
      <c r="Y37" s="2">
        <f>IF(R37="","",IF(COUNTIFS($C$5:$C$3004,R37,$O$5:$O$3004,"CONCLUÍDA",$N$5:$N$3004,"&gt;=-1")=0,"",_xlfn.MAXIFS($N$5:$N$3004,$C$5:$C$3004,R37,$O$5:$O$3004,"CONCLUÍDA")))</f>
        <v/>
      </c>
      <c r="Z37" s="2">
        <f>IF(R37="","",IF(COUNTIFS($C$5:$C$3004,R37,$O$5:$O$3004,"EM ANDAMENTO",$N$5:$N$3004,"&gt;=-1")=0,"",_xlfn.MAXIFS($N$5:$N$3004,$C$5:$C$3004,R37,$O$5:$O$3004,"EM ANDAMENTO")))</f>
        <v/>
      </c>
      <c r="AA37" s="2">
        <f>IF(OR(R37="",S37="",U37&lt;&gt;"SIM",V37=0),"",IF(W37+X37=0,"",T37&amp;": "&amp;IF(W37=V37,"concluído",IF(W37=0,"em execução"&amp;IF(Z37&lt;&gt;""," ("&amp;IF(Z37=-1,"subsolo",IF(Z37=0,"térreo",Z37&amp;"º pav."))&amp;")",""),IF(Y37&lt;&gt;"","até "&amp;IF(Y37=-1,"subsolo",IF(Y37=0,"térreo",Y37&amp;"º pav.")),W37&amp;" de "&amp;V37&amp;" concluídas")&amp;IF(Z37="","",IF(OR(Y37="",Z37&gt;Y37),", executando "&amp;IF(Z37=-1,"subsolo",IF(Z37=0,"térreo",Z37&amp;"º pav."))," (restam serviços no "&amp;IF(Z37=-1,"subsolo",IF(Z37=0,"térreo",Z37&amp;"º pav."))&amp;")"))))))</f>
        <v/>
      </c>
    </row>
    <row r="38">
      <c r="M38" s="2">
        <f>IF(C38="","",IFERROR(INDEX($S$5:$S$304,MATCH(C38,$R$5:$R$304,0))&amp;"","?"))</f>
        <v/>
      </c>
      <c r="N38" s="2">
        <f>IF(E38="","",IF(LEFT(E38,7)="SUBSOLO",-1,IF(LEFT(E38,6)="TÉRREO",0,IFERROR(VALUE(LEFT(E38,FIND("º",SUBSTITUTE(E38,"°","º"))-1)),""))))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5" t="inlineStr">
        <is>
          <t>CINTAS FASE 4</t>
        </is>
      </c>
      <c r="S38" s="5" t="inlineStr">
        <is>
          <t>16</t>
        </is>
      </c>
      <c r="T38" s="5" t="inlineStr">
        <is>
          <t>Cintas fase 4</t>
        </is>
      </c>
      <c r="U38" s="5" t="inlineStr">
        <is>
          <t>NÃO</t>
        </is>
      </c>
      <c r="V38" s="2">
        <f>IF(R38="","",COUNTIF($C$5:$C$3004,R38))</f>
        <v/>
      </c>
      <c r="W38" s="2">
        <f>IF(R38="","",COUNTIFS($C$5:$C$3004,R38,$O$5:$O$3004,"CONCLUÍDA"))</f>
        <v/>
      </c>
      <c r="X38" s="2">
        <f>IF(R38="","",COUNTIFS($C$5:$C$3004,R38,$O$5:$O$3004,"EM ANDAMENTO"))</f>
        <v/>
      </c>
      <c r="Y38" s="2">
        <f>IF(R38="","",IF(COUNTIFS($C$5:$C$3004,R38,$O$5:$O$3004,"CONCLUÍDA",$N$5:$N$3004,"&gt;=-1")=0,"",_xlfn.MAXIFS($N$5:$N$3004,$C$5:$C$3004,R38,$O$5:$O$3004,"CONCLUÍDA")))</f>
        <v/>
      </c>
      <c r="Z38" s="2">
        <f>IF(R38="","",IF(COUNTIFS($C$5:$C$3004,R38,$O$5:$O$3004,"EM ANDAMENTO",$N$5:$N$3004,"&gt;=-1")=0,"",_xlfn.MAXIFS($N$5:$N$3004,$C$5:$C$3004,R38,$O$5:$O$3004,"EM ANDAMENTO")))</f>
        <v/>
      </c>
      <c r="AA38" s="2">
        <f>IF(OR(R38="",S38="",U38&lt;&gt;"SIM",V38=0),"",IF(W38+X38=0,"",T38&amp;": "&amp;IF(W38=V38,"concluído",IF(W38=0,"em execução"&amp;IF(Z38&lt;&gt;""," ("&amp;IF(Z38=-1,"subsolo",IF(Z38=0,"térreo",Z38&amp;"º pav."))&amp;")",""),IF(Y38&lt;&gt;"","até "&amp;IF(Y38=-1,"subsolo",IF(Y38=0,"térreo",Y38&amp;"º pav.")),W38&amp;" de "&amp;V38&amp;" concluídas")&amp;IF(Z38="","",IF(OR(Y38="",Z38&gt;Y38),", executando "&amp;IF(Z38=-1,"subsolo",IF(Z38=0,"térreo",Z38&amp;"º pav."))," (restam serviços no "&amp;IF(Z38=-1,"subsolo",IF(Z38=0,"térreo",Z38&amp;"º pav."))&amp;")"))))))</f>
        <v/>
      </c>
    </row>
    <row r="39">
      <c r="M39" s="2">
        <f>IF(C39="","",IFERROR(INDEX($S$5:$S$304,MATCH(C39,$R$5:$R$304,0))&amp;"","?"))</f>
        <v/>
      </c>
      <c r="N39" s="2">
        <f>IF(E39="","",IF(LEFT(E39,7)="SUBSOLO",-1,IF(LEFT(E39,6)="TÉRREO",0,IFERROR(VALUE(LEFT(E39,FIND("º",SUBSTITUTE(E39,"°","º"))-1)),""))))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5" t="inlineStr">
        <is>
          <t>TRATAMENTO DE CONCRETO - TETO</t>
        </is>
      </c>
      <c r="S39" s="5" t="inlineStr">
        <is>
          <t>35</t>
        </is>
      </c>
      <c r="T39" s="5" t="inlineStr">
        <is>
          <t>Tratamento de concreto - teto</t>
        </is>
      </c>
      <c r="U39" s="5" t="inlineStr">
        <is>
          <t>NÃO</t>
        </is>
      </c>
      <c r="V39" s="2">
        <f>IF(R39="","",COUNTIF($C$5:$C$3004,R39))</f>
        <v/>
      </c>
      <c r="W39" s="2">
        <f>IF(R39="","",COUNTIFS($C$5:$C$3004,R39,$O$5:$O$3004,"CONCLUÍDA"))</f>
        <v/>
      </c>
      <c r="X39" s="2">
        <f>IF(R39="","",COUNTIFS($C$5:$C$3004,R39,$O$5:$O$3004,"EM ANDAMENTO"))</f>
        <v/>
      </c>
      <c r="Y39" s="2">
        <f>IF(R39="","",IF(COUNTIFS($C$5:$C$3004,R39,$O$5:$O$3004,"CONCLUÍDA",$N$5:$N$3004,"&gt;=-1")=0,"",_xlfn.MAXIFS($N$5:$N$3004,$C$5:$C$3004,R39,$O$5:$O$3004,"CONCLUÍDA")))</f>
        <v/>
      </c>
      <c r="Z39" s="2">
        <f>IF(R39="","",IF(COUNTIFS($C$5:$C$3004,R39,$O$5:$O$3004,"EM ANDAMENTO",$N$5:$N$3004,"&gt;=-1")=0,"",_xlfn.MAXIFS($N$5:$N$3004,$C$5:$C$3004,R39,$O$5:$O$3004,"EM ANDAMENTO")))</f>
        <v/>
      </c>
      <c r="AA39" s="2">
        <f>IF(OR(R39="",S39="",U39&lt;&gt;"SIM",V39=0),"",IF(W39+X39=0,"",T39&amp;": "&amp;IF(W39=V39,"concluído",IF(W39=0,"em execução"&amp;IF(Z39&lt;&gt;""," ("&amp;IF(Z39=-1,"subsolo",IF(Z39=0,"térreo",Z39&amp;"º pav."))&amp;")",""),IF(Y39&lt;&gt;"","até "&amp;IF(Y39=-1,"subsolo",IF(Y39=0,"térreo",Y39&amp;"º pav.")),W39&amp;" de "&amp;V39&amp;" concluídas")&amp;IF(Z39="","",IF(OR(Y39="",Z39&gt;Y39),", executando "&amp;IF(Z39=-1,"subsolo",IF(Z39=0,"térreo",Z39&amp;"º pav."))," (restam serviços no "&amp;IF(Z39=-1,"subsolo",IF(Z39=0,"térreo",Z39&amp;"º pav."))&amp;")"))))))</f>
        <v/>
      </c>
    </row>
    <row r="40">
      <c r="M40" s="2">
        <f>IF(C40="","",IFERROR(INDEX($S$5:$S$304,MATCH(C40,$R$5:$R$304,0))&amp;"","?"))</f>
        <v/>
      </c>
      <c r="N40" s="2">
        <f>IF(E40="","",IF(LEFT(E40,7)="SUBSOLO",-1,IF(LEFT(E40,6)="TÉRREO",0,IFERROR(VALUE(LEFT(E40,FIND("º",SUBSTITUTE(E40,"°","º"))-1)),""))))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5" t="inlineStr">
        <is>
          <t>TRATAMENTO DE CONTENÇÕES</t>
        </is>
      </c>
      <c r="S40" s="5" t="inlineStr">
        <is>
          <t>13</t>
        </is>
      </c>
      <c r="T40" s="5" t="inlineStr">
        <is>
          <t>Tratamento de contenções</t>
        </is>
      </c>
      <c r="U40" s="5" t="inlineStr">
        <is>
          <t>SIM</t>
        </is>
      </c>
      <c r="V40" s="2">
        <f>IF(R40="","",COUNTIF($C$5:$C$3004,R40))</f>
        <v/>
      </c>
      <c r="W40" s="2">
        <f>IF(R40="","",COUNTIFS($C$5:$C$3004,R40,$O$5:$O$3004,"CONCLUÍDA"))</f>
        <v/>
      </c>
      <c r="X40" s="2">
        <f>IF(R40="","",COUNTIFS($C$5:$C$3004,R40,$O$5:$O$3004,"EM ANDAMENTO"))</f>
        <v/>
      </c>
      <c r="Y40" s="2">
        <f>IF(R40="","",IF(COUNTIFS($C$5:$C$3004,R40,$O$5:$O$3004,"CONCLUÍDA",$N$5:$N$3004,"&gt;=-1")=0,"",_xlfn.MAXIFS($N$5:$N$3004,$C$5:$C$3004,R40,$O$5:$O$3004,"CONCLUÍDA")))</f>
        <v/>
      </c>
      <c r="Z40" s="2">
        <f>IF(R40="","",IF(COUNTIFS($C$5:$C$3004,R40,$O$5:$O$3004,"EM ANDAMENTO",$N$5:$N$3004,"&gt;=-1")=0,"",_xlfn.MAXIFS($N$5:$N$3004,$C$5:$C$3004,R40,$O$5:$O$3004,"EM ANDAMENTO")))</f>
        <v/>
      </c>
      <c r="AA40" s="2">
        <f>IF(OR(R40="",S40="",U40&lt;&gt;"SIM",V40=0),"",IF(W40+X40=0,"",T40&amp;": "&amp;IF(W40=V40,"concluído",IF(W40=0,"em execução"&amp;IF(Z40&lt;&gt;""," ("&amp;IF(Z40=-1,"subsolo",IF(Z40=0,"térreo",Z40&amp;"º pav."))&amp;")",""),IF(Y40&lt;&gt;"","até "&amp;IF(Y40=-1,"subsolo",IF(Y40=0,"térreo",Y40&amp;"º pav.")),W40&amp;" de "&amp;V40&amp;" concluídas")&amp;IF(Z40="","",IF(OR(Y40="",Z40&gt;Y40),", executando "&amp;IF(Z40=-1,"subsolo",IF(Z40=0,"térreo",Z40&amp;"º pav."))," (restam serviços no "&amp;IF(Z40=-1,"subsolo",IF(Z40=0,"térreo",Z40&amp;"º pav."))&amp;")"))))))</f>
        <v/>
      </c>
    </row>
    <row r="41">
      <c r="M41" s="2">
        <f>IF(C41="","",IFERROR(INDEX($S$5:$S$304,MATCH(C41,$R$5:$R$304,0))&amp;"","?"))</f>
        <v/>
      </c>
      <c r="N41" s="2">
        <f>IF(E41="","",IF(LEFT(E41,7)="SUBSOLO",-1,IF(LEFT(E41,6)="TÉRREO",0,IFERROR(VALUE(LEFT(E41,FIND("º",SUBSTITUTE(E41,"°","º"))-1)),""))))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5" t="inlineStr">
        <is>
          <t>DISTRIBUIÇÃO HIDRÁULICA - INFRAS ENTERRADAS</t>
        </is>
      </c>
      <c r="S41" s="5" t="inlineStr">
        <is>
          <t>21</t>
        </is>
      </c>
      <c r="T41" s="5" t="inlineStr">
        <is>
          <t>Distribuição hidráulica - infras enterradas</t>
        </is>
      </c>
      <c r="U41" s="5" t="inlineStr">
        <is>
          <t>NÃO</t>
        </is>
      </c>
      <c r="V41" s="2">
        <f>IF(R41="","",COUNTIF($C$5:$C$3004,R41))</f>
        <v/>
      </c>
      <c r="W41" s="2">
        <f>IF(R41="","",COUNTIFS($C$5:$C$3004,R41,$O$5:$O$3004,"CONCLUÍDA"))</f>
        <v/>
      </c>
      <c r="X41" s="2">
        <f>IF(R41="","",COUNTIFS($C$5:$C$3004,R41,$O$5:$O$3004,"EM ANDAMENTO"))</f>
        <v/>
      </c>
      <c r="Y41" s="2">
        <f>IF(R41="","",IF(COUNTIFS($C$5:$C$3004,R41,$O$5:$O$3004,"CONCLUÍDA",$N$5:$N$3004,"&gt;=-1")=0,"",_xlfn.MAXIFS($N$5:$N$3004,$C$5:$C$3004,R41,$O$5:$O$3004,"CONCLUÍDA")))</f>
        <v/>
      </c>
      <c r="Z41" s="2">
        <f>IF(R41="","",IF(COUNTIFS($C$5:$C$3004,R41,$O$5:$O$3004,"EM ANDAMENTO",$N$5:$N$3004,"&gt;=-1")=0,"",_xlfn.MAXIFS($N$5:$N$3004,$C$5:$C$3004,R41,$O$5:$O$3004,"EM ANDAMENTO")))</f>
        <v/>
      </c>
      <c r="AA41" s="2">
        <f>IF(OR(R41="",S41="",U41&lt;&gt;"SIM",V41=0),"",IF(W41+X41=0,"",T41&amp;": "&amp;IF(W41=V41,"concluído",IF(W41=0,"em execução"&amp;IF(Z41&lt;&gt;""," ("&amp;IF(Z41=-1,"subsolo",IF(Z41=0,"térreo",Z41&amp;"º pav."))&amp;")",""),IF(Y41&lt;&gt;"","até "&amp;IF(Y41=-1,"subsolo",IF(Y41=0,"térreo",Y41&amp;"º pav.")),W41&amp;" de "&amp;V41&amp;" concluídas")&amp;IF(Z41="","",IF(OR(Y41="",Z41&gt;Y41),", executando "&amp;IF(Z41=-1,"subsolo",IF(Z41=0,"térreo",Z41&amp;"º pav."))," (restam serviços no "&amp;IF(Z41=-1,"subsolo",IF(Z41=0,"térreo",Z41&amp;"º pav."))&amp;")"))))))</f>
        <v/>
      </c>
    </row>
    <row r="42">
      <c r="M42" s="2">
        <f>IF(C42="","",IFERROR(INDEX($S$5:$S$304,MATCH(C42,$R$5:$R$304,0))&amp;"","?"))</f>
        <v/>
      </c>
      <c r="N42" s="2">
        <f>IF(E42="","",IF(LEFT(E42,7)="SUBSOLO",-1,IF(LEFT(E42,6)="TÉRREO",0,IFERROR(VALUE(LEFT(E42,FIND("º",SUBSTITUTE(E42,"°","º"))-1)),""))))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5" t="inlineStr">
        <is>
          <t>ENTRADA DE ENERGIA</t>
        </is>
      </c>
      <c r="S42" s="5" t="inlineStr">
        <is>
          <t>20</t>
        </is>
      </c>
      <c r="T42" s="5" t="inlineStr">
        <is>
          <t>Entrada de energia</t>
        </is>
      </c>
      <c r="U42" s="5" t="inlineStr">
        <is>
          <t>NÃO</t>
        </is>
      </c>
      <c r="V42" s="2">
        <f>IF(R42="","",COUNTIF($C$5:$C$3004,R42))</f>
        <v/>
      </c>
      <c r="W42" s="2">
        <f>IF(R42="","",COUNTIFS($C$5:$C$3004,R42,$O$5:$O$3004,"CONCLUÍDA"))</f>
        <v/>
      </c>
      <c r="X42" s="2">
        <f>IF(R42="","",COUNTIFS($C$5:$C$3004,R42,$O$5:$O$3004,"EM ANDAMENTO"))</f>
        <v/>
      </c>
      <c r="Y42" s="2">
        <f>IF(R42="","",IF(COUNTIFS($C$5:$C$3004,R42,$O$5:$O$3004,"CONCLUÍDA",$N$5:$N$3004,"&gt;=-1")=0,"",_xlfn.MAXIFS($N$5:$N$3004,$C$5:$C$3004,R42,$O$5:$O$3004,"CONCLUÍDA")))</f>
        <v/>
      </c>
      <c r="Z42" s="2">
        <f>IF(R42="","",IF(COUNTIFS($C$5:$C$3004,R42,$O$5:$O$3004,"EM ANDAMENTO",$N$5:$N$3004,"&gt;=-1")=0,"",_xlfn.MAXIFS($N$5:$N$3004,$C$5:$C$3004,R42,$O$5:$O$3004,"EM ANDAMENTO")))</f>
        <v/>
      </c>
      <c r="AA42" s="2">
        <f>IF(OR(R42="",S42="",U42&lt;&gt;"SIM",V42=0),"",IF(W42+X42=0,"",T42&amp;": "&amp;IF(W42=V42,"concluído",IF(W42=0,"em execução"&amp;IF(Z42&lt;&gt;""," ("&amp;IF(Z42=-1,"subsolo",IF(Z42=0,"térreo",Z42&amp;"º pav."))&amp;")",""),IF(Y42&lt;&gt;"","até "&amp;IF(Y42=-1,"subsolo",IF(Y42=0,"térreo",Y42&amp;"º pav.")),W42&amp;" de "&amp;V42&amp;" concluídas")&amp;IF(Z42="","",IF(OR(Y42="",Z42&gt;Y42),", executando "&amp;IF(Z42=-1,"subsolo",IF(Z42=0,"térreo",Z42&amp;"º pav."))," (restam serviços no "&amp;IF(Z42=-1,"subsolo",IF(Z42=0,"térreo",Z42&amp;"º pav."))&amp;")"))))))</f>
        <v/>
      </c>
    </row>
    <row r="43">
      <c r="M43" s="2">
        <f>IF(C43="","",IFERROR(INDEX($S$5:$S$304,MATCH(C43,$R$5:$R$304,0))&amp;"","?"))</f>
        <v/>
      </c>
      <c r="N43" s="2">
        <f>IF(E43="","",IF(LEFT(E43,7)="SUBSOLO",-1,IF(LEFT(E43,6)="TÉRREO",0,IFERROR(VALUE(LEFT(E43,FIND("º",SUBSTITUTE(E43,"°","º"))-1)),""))))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5" t="inlineStr">
        <is>
          <t>ESTRUTURA IGREJA</t>
        </is>
      </c>
      <c r="S43" s="5" t="inlineStr">
        <is>
          <t>17</t>
        </is>
      </c>
      <c r="T43" s="5" t="inlineStr">
        <is>
          <t>Estrutura igreja</t>
        </is>
      </c>
      <c r="U43" s="5" t="inlineStr">
        <is>
          <t>NÃO</t>
        </is>
      </c>
      <c r="V43" s="2">
        <f>IF(R43="","",COUNTIF($C$5:$C$3004,R43))</f>
        <v/>
      </c>
      <c r="W43" s="2">
        <f>IF(R43="","",COUNTIFS($C$5:$C$3004,R43,$O$5:$O$3004,"CONCLUÍDA"))</f>
        <v/>
      </c>
      <c r="X43" s="2">
        <f>IF(R43="","",COUNTIFS($C$5:$C$3004,R43,$O$5:$O$3004,"EM ANDAMENTO"))</f>
        <v/>
      </c>
      <c r="Y43" s="2">
        <f>IF(R43="","",IF(COUNTIFS($C$5:$C$3004,R43,$O$5:$O$3004,"CONCLUÍDA",$N$5:$N$3004,"&gt;=-1")=0,"",_xlfn.MAXIFS($N$5:$N$3004,$C$5:$C$3004,R43,$O$5:$O$3004,"CONCLUÍDA")))</f>
        <v/>
      </c>
      <c r="Z43" s="2">
        <f>IF(R43="","",IF(COUNTIFS($C$5:$C$3004,R43,$O$5:$O$3004,"EM ANDAMENTO",$N$5:$N$3004,"&gt;=-1")=0,"",_xlfn.MAXIFS($N$5:$N$3004,$C$5:$C$3004,R43,$O$5:$O$3004,"EM ANDAMENTO")))</f>
        <v/>
      </c>
      <c r="AA43" s="2">
        <f>IF(OR(R43="",S43="",U43&lt;&gt;"SIM",V43=0),"",IF(W43+X43=0,"",T43&amp;": "&amp;IF(W43=V43,"concluído",IF(W43=0,"em execução"&amp;IF(Z43&lt;&gt;""," ("&amp;IF(Z43=-1,"subsolo",IF(Z43=0,"térreo",Z43&amp;"º pav."))&amp;")",""),IF(Y43&lt;&gt;"","até "&amp;IF(Y43=-1,"subsolo",IF(Y43=0,"térreo",Y43&amp;"º pav.")),W43&amp;" de "&amp;V43&amp;" concluídas")&amp;IF(Z43="","",IF(OR(Y43="",Z43&gt;Y43),", executando "&amp;IF(Z43=-1,"subsolo",IF(Z43=0,"térreo",Z43&amp;"º pav."))," (restam serviços no "&amp;IF(Z43=-1,"subsolo",IF(Z43=0,"térreo",Z43&amp;"º pav."))&amp;")"))))))</f>
        <v/>
      </c>
    </row>
    <row r="44">
      <c r="M44" s="2">
        <f>IF(C44="","",IFERROR(INDEX($S$5:$S$304,MATCH(C44,$R$5:$R$304,0))&amp;"","?"))</f>
        <v/>
      </c>
      <c r="N44" s="2">
        <f>IF(E44="","",IF(LEFT(E44,7)="SUBSOLO",-1,IF(LEFT(E44,6)="TÉRREO",0,IFERROR(VALUE(LEFT(E44,FIND("º",SUBSTITUTE(E44,"°","º"))-1)),""))))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5" t="inlineStr">
        <is>
          <t>INFRA ELÉTRICA - TETO</t>
        </is>
      </c>
      <c r="S44" s="5" t="inlineStr">
        <is>
          <t>20</t>
        </is>
      </c>
      <c r="T44" s="5" t="inlineStr">
        <is>
          <t>Infra elétrica - teto</t>
        </is>
      </c>
      <c r="U44" s="5" t="inlineStr">
        <is>
          <t>NÃO</t>
        </is>
      </c>
      <c r="V44" s="2">
        <f>IF(R44="","",COUNTIF($C$5:$C$3004,R44))</f>
        <v/>
      </c>
      <c r="W44" s="2">
        <f>IF(R44="","",COUNTIFS($C$5:$C$3004,R44,$O$5:$O$3004,"CONCLUÍDA"))</f>
        <v/>
      </c>
      <c r="X44" s="2">
        <f>IF(R44="","",COUNTIFS($C$5:$C$3004,R44,$O$5:$O$3004,"EM ANDAMENTO"))</f>
        <v/>
      </c>
      <c r="Y44" s="2">
        <f>IF(R44="","",IF(COUNTIFS($C$5:$C$3004,R44,$O$5:$O$3004,"CONCLUÍDA",$N$5:$N$3004,"&gt;=-1")=0,"",_xlfn.MAXIFS($N$5:$N$3004,$C$5:$C$3004,R44,$O$5:$O$3004,"CONCLUÍDA")))</f>
        <v/>
      </c>
      <c r="Z44" s="2">
        <f>IF(R44="","",IF(COUNTIFS($C$5:$C$3004,R44,$O$5:$O$3004,"EM ANDAMENTO",$N$5:$N$3004,"&gt;=-1")=0,"",_xlfn.MAXIFS($N$5:$N$3004,$C$5:$C$3004,R44,$O$5:$O$3004,"EM ANDAMENTO")))</f>
        <v/>
      </c>
      <c r="AA44" s="2">
        <f>IF(OR(R44="",S44="",U44&lt;&gt;"SIM",V44=0),"",IF(W44+X44=0,"",T44&amp;": "&amp;IF(W44=V44,"concluído",IF(W44=0,"em execução"&amp;IF(Z44&lt;&gt;""," ("&amp;IF(Z44=-1,"subsolo",IF(Z44=0,"térreo",Z44&amp;"º pav."))&amp;")",""),IF(Y44&lt;&gt;"","até "&amp;IF(Y44=-1,"subsolo",IF(Y44=0,"térreo",Y44&amp;"º pav.")),W44&amp;" de "&amp;V44&amp;" concluídas")&amp;IF(Z44="","",IF(OR(Y44="",Z44&gt;Y44),", executando "&amp;IF(Z44=-1,"subsolo",IF(Z44=0,"térreo",Z44&amp;"º pav."))," (restam serviços no "&amp;IF(Z44=-1,"subsolo",IF(Z44=0,"térreo",Z44&amp;"º pav."))&amp;")"))))))</f>
        <v/>
      </c>
    </row>
    <row r="45">
      <c r="M45" s="2">
        <f>IF(C45="","",IFERROR(INDEX($S$5:$S$304,MATCH(C45,$R$5:$R$304,0))&amp;"","?"))</f>
        <v/>
      </c>
      <c r="N45" s="2">
        <f>IF(E45="","",IF(LEFT(E45,7)="SUBSOLO",-1,IF(LEFT(E45,6)="TÉRREO",0,IFERROR(VALUE(LEFT(E45,FIND("º",SUBSTITUTE(E45,"°","º"))-1)),""))))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5" t="inlineStr">
        <is>
          <t>ESTRUTURA - PISO ARMADO</t>
        </is>
      </c>
      <c r="S45" s="5" t="inlineStr">
        <is>
          <t>17</t>
        </is>
      </c>
      <c r="T45" s="5" t="inlineStr">
        <is>
          <t>Estrutura - piso armado</t>
        </is>
      </c>
      <c r="U45" s="5" t="inlineStr">
        <is>
          <t>NÃO</t>
        </is>
      </c>
      <c r="V45" s="2">
        <f>IF(R45="","",COUNTIF($C$5:$C$3004,R45))</f>
        <v/>
      </c>
      <c r="W45" s="2">
        <f>IF(R45="","",COUNTIFS($C$5:$C$3004,R45,$O$5:$O$3004,"CONCLUÍDA"))</f>
        <v/>
      </c>
      <c r="X45" s="2">
        <f>IF(R45="","",COUNTIFS($C$5:$C$3004,R45,$O$5:$O$3004,"EM ANDAMENTO"))</f>
        <v/>
      </c>
      <c r="Y45" s="2">
        <f>IF(R45="","",IF(COUNTIFS($C$5:$C$3004,R45,$O$5:$O$3004,"CONCLUÍDA",$N$5:$N$3004,"&gt;=-1")=0,"",_xlfn.MAXIFS($N$5:$N$3004,$C$5:$C$3004,R45,$O$5:$O$3004,"CONCLUÍDA")))</f>
        <v/>
      </c>
      <c r="Z45" s="2">
        <f>IF(R45="","",IF(COUNTIFS($C$5:$C$3004,R45,$O$5:$O$3004,"EM ANDAMENTO",$N$5:$N$3004,"&gt;=-1")=0,"",_xlfn.MAXIFS($N$5:$N$3004,$C$5:$C$3004,R45,$O$5:$O$3004,"EM ANDAMENTO")))</f>
        <v/>
      </c>
      <c r="AA45" s="2">
        <f>IF(OR(R45="",S45="",U45&lt;&gt;"SIM",V45=0),"",IF(W45+X45=0,"",T45&amp;": "&amp;IF(W45=V45,"concluído",IF(W45=0,"em execução"&amp;IF(Z45&lt;&gt;""," ("&amp;IF(Z45=-1,"subsolo",IF(Z45=0,"térreo",Z45&amp;"º pav."))&amp;")",""),IF(Y45&lt;&gt;"","até "&amp;IF(Y45=-1,"subsolo",IF(Y45=0,"térreo",Y45&amp;"º pav.")),W45&amp;" de "&amp;V45&amp;" concluídas")&amp;IF(Z45="","",IF(OR(Y45="",Z45&gt;Y45),", executando "&amp;IF(Z45=-1,"subsolo",IF(Z45=0,"térreo",Z45&amp;"º pav."))," (restam serviços no "&amp;IF(Z45=-1,"subsolo",IF(Z45=0,"térreo",Z45&amp;"º pav."))&amp;")"))))))</f>
        <v/>
      </c>
    </row>
    <row r="46">
      <c r="M46" s="2">
        <f>IF(C46="","",IFERROR(INDEX($S$5:$S$304,MATCH(C46,$R$5:$R$304,0))&amp;"","?"))</f>
        <v/>
      </c>
      <c r="N46" s="2">
        <f>IF(E46="","",IF(LEFT(E46,7)="SUBSOLO",-1,IF(LEFT(E46,6)="TÉRREO",0,IFERROR(VALUE(LEFT(E46,FIND("º",SUBSTITUTE(E46,"°","º"))-1)),""))))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5" t="inlineStr">
        <is>
          <t>FUNDAÇÃO - PROJEÇÃO IGREJA</t>
        </is>
      </c>
      <c r="S46" s="5" t="inlineStr">
        <is>
          <t>16</t>
        </is>
      </c>
      <c r="T46" s="5" t="inlineStr">
        <is>
          <t>Fundação - projeção igreja</t>
        </is>
      </c>
      <c r="U46" s="5" t="inlineStr">
        <is>
          <t>NÃO</t>
        </is>
      </c>
      <c r="V46" s="2">
        <f>IF(R46="","",COUNTIF($C$5:$C$3004,R46))</f>
        <v/>
      </c>
      <c r="W46" s="2">
        <f>IF(R46="","",COUNTIFS($C$5:$C$3004,R46,$O$5:$O$3004,"CONCLUÍDA"))</f>
        <v/>
      </c>
      <c r="X46" s="2">
        <f>IF(R46="","",COUNTIFS($C$5:$C$3004,R46,$O$5:$O$3004,"EM ANDAMENTO"))</f>
        <v/>
      </c>
      <c r="Y46" s="2">
        <f>IF(R46="","",IF(COUNTIFS($C$5:$C$3004,R46,$O$5:$O$3004,"CONCLUÍDA",$N$5:$N$3004,"&gt;=-1")=0,"",_xlfn.MAXIFS($N$5:$N$3004,$C$5:$C$3004,R46,$O$5:$O$3004,"CONCLUÍDA")))</f>
        <v/>
      </c>
      <c r="Z46" s="2">
        <f>IF(R46="","",IF(COUNTIFS($C$5:$C$3004,R46,$O$5:$O$3004,"EM ANDAMENTO",$N$5:$N$3004,"&gt;=-1")=0,"",_xlfn.MAXIFS($N$5:$N$3004,$C$5:$C$3004,R46,$O$5:$O$3004,"EM ANDAMENTO")))</f>
        <v/>
      </c>
      <c r="AA46" s="2">
        <f>IF(OR(R46="",S46="",U46&lt;&gt;"SIM",V46=0),"",IF(W46+X46=0,"",T46&amp;": "&amp;IF(W46=V46,"concluído",IF(W46=0,"em execução"&amp;IF(Z46&lt;&gt;""," ("&amp;IF(Z46=-1,"subsolo",IF(Z46=0,"térreo",Z46&amp;"º pav."))&amp;")",""),IF(Y46&lt;&gt;"","até "&amp;IF(Y46=-1,"subsolo",IF(Y46=0,"térreo",Y46&amp;"º pav.")),W46&amp;" de "&amp;V46&amp;" concluídas")&amp;IF(Z46="","",IF(OR(Y46="",Z46&gt;Y46),", executando "&amp;IF(Z46=-1,"subsolo",IF(Z46=0,"térreo",Z46&amp;"º pav."))," (restam serviços no "&amp;IF(Z46=-1,"subsolo",IF(Z46=0,"térreo",Z46&amp;"º pav."))&amp;")"))))))</f>
        <v/>
      </c>
    </row>
    <row r="47">
      <c r="M47" s="2">
        <f>IF(C47="","",IFERROR(INDEX($S$5:$S$304,MATCH(C47,$R$5:$R$304,0))&amp;"","?"))</f>
        <v/>
      </c>
      <c r="N47" s="2">
        <f>IF(E47="","",IF(LEFT(E47,7)="SUBSOLO",-1,IF(LEFT(E47,6)="TÉRREO",0,IFERROR(VALUE(LEFT(E47,FIND("º",SUBSTITUTE(E47,"°","º"))-1)),""))))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5" t="inlineStr">
        <is>
          <t>ALVENARIA</t>
        </is>
      </c>
      <c r="S47" s="5" t="inlineStr">
        <is>
          <t>18</t>
        </is>
      </c>
      <c r="T47" s="5" t="inlineStr">
        <is>
          <t>Alvenaria</t>
        </is>
      </c>
      <c r="U47" s="5" t="inlineStr">
        <is>
          <t>SIM</t>
        </is>
      </c>
      <c r="V47" s="2">
        <f>IF(R47="","",COUNTIF($C$5:$C$3004,R47))</f>
        <v/>
      </c>
      <c r="W47" s="2">
        <f>IF(R47="","",COUNTIFS($C$5:$C$3004,R47,$O$5:$O$3004,"CONCLUÍDA"))</f>
        <v/>
      </c>
      <c r="X47" s="2">
        <f>IF(R47="","",COUNTIFS($C$5:$C$3004,R47,$O$5:$O$3004,"EM ANDAMENTO"))</f>
        <v/>
      </c>
      <c r="Y47" s="2">
        <f>IF(R47="","",IF(COUNTIFS($C$5:$C$3004,R47,$O$5:$O$3004,"CONCLUÍDA",$N$5:$N$3004,"&gt;=-1")=0,"",_xlfn.MAXIFS($N$5:$N$3004,$C$5:$C$3004,R47,$O$5:$O$3004,"CONCLUÍDA")))</f>
        <v/>
      </c>
      <c r="Z47" s="2">
        <f>IF(R47="","",IF(COUNTIFS($C$5:$C$3004,R47,$O$5:$O$3004,"EM ANDAMENTO",$N$5:$N$3004,"&gt;=-1")=0,"",_xlfn.MAXIFS($N$5:$N$3004,$C$5:$C$3004,R47,$O$5:$O$3004,"EM ANDAMENTO")))</f>
        <v/>
      </c>
      <c r="AA47" s="2">
        <f>IF(OR(R47="",S47="",U47&lt;&gt;"SIM",V47=0),"",IF(W47+X47=0,"",T47&amp;": "&amp;IF(W47=V47,"concluído",IF(W47=0,"em execução"&amp;IF(Z47&lt;&gt;""," ("&amp;IF(Z47=-1,"subsolo",IF(Z47=0,"térreo",Z47&amp;"º pav."))&amp;")",""),IF(Y47&lt;&gt;"","até "&amp;IF(Y47=-1,"subsolo",IF(Y47=0,"térreo",Y47&amp;"º pav.")),W47&amp;" de "&amp;V47&amp;" concluídas")&amp;IF(Z47="","",IF(OR(Y47="",Z47&gt;Y47),", executando "&amp;IF(Z47=-1,"subsolo",IF(Z47=0,"térreo",Z47&amp;"º pav."))," (restam serviços no "&amp;IF(Z47=-1,"subsolo",IF(Z47=0,"térreo",Z47&amp;"º pav."))&amp;")"))))))</f>
        <v/>
      </c>
    </row>
    <row r="48">
      <c r="M48" s="2">
        <f>IF(C48="","",IFERROR(INDEX($S$5:$S$304,MATCH(C48,$R$5:$R$304,0))&amp;"","?"))</f>
        <v/>
      </c>
      <c r="N48" s="2">
        <f>IF(E48="","",IF(LEFT(E48,7)="SUBSOLO",-1,IF(LEFT(E48,6)="TÉRREO",0,IFERROR(VALUE(LEFT(E48,FIND("º",SUBSTITUTE(E48,"°","º"))-1)),""))))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5" t="inlineStr">
        <is>
          <t>BLOCOS E CINTAS - IGREJA</t>
        </is>
      </c>
      <c r="S48" s="5" t="inlineStr">
        <is>
          <t>16</t>
        </is>
      </c>
      <c r="T48" s="5" t="inlineStr">
        <is>
          <t>Blocos e cintas - igreja</t>
        </is>
      </c>
      <c r="U48" s="5" t="inlineStr">
        <is>
          <t>NÃO</t>
        </is>
      </c>
      <c r="V48" s="2">
        <f>IF(R48="","",COUNTIF($C$5:$C$3004,R48))</f>
        <v/>
      </c>
      <c r="W48" s="2">
        <f>IF(R48="","",COUNTIFS($C$5:$C$3004,R48,$O$5:$O$3004,"CONCLUÍDA"))</f>
        <v/>
      </c>
      <c r="X48" s="2">
        <f>IF(R48="","",COUNTIFS($C$5:$C$3004,R48,$O$5:$O$3004,"EM ANDAMENTO"))</f>
        <v/>
      </c>
      <c r="Y48" s="2">
        <f>IF(R48="","",IF(COUNTIFS($C$5:$C$3004,R48,$O$5:$O$3004,"CONCLUÍDA",$N$5:$N$3004,"&gt;=-1")=0,"",_xlfn.MAXIFS($N$5:$N$3004,$C$5:$C$3004,R48,$O$5:$O$3004,"CONCLUÍDA")))</f>
        <v/>
      </c>
      <c r="Z48" s="2">
        <f>IF(R48="","",IF(COUNTIFS($C$5:$C$3004,R48,$O$5:$O$3004,"EM ANDAMENTO",$N$5:$N$3004,"&gt;=-1")=0,"",_xlfn.MAXIFS($N$5:$N$3004,$C$5:$C$3004,R48,$O$5:$O$3004,"EM ANDAMENTO")))</f>
        <v/>
      </c>
      <c r="AA48" s="2">
        <f>IF(OR(R48="",S48="",U48&lt;&gt;"SIM",V48=0),"",IF(W48+X48=0,"",T48&amp;": "&amp;IF(W48=V48,"concluído",IF(W48=0,"em execução"&amp;IF(Z48&lt;&gt;""," ("&amp;IF(Z48=-1,"subsolo",IF(Z48=0,"térreo",Z48&amp;"º pav."))&amp;")",""),IF(Y48&lt;&gt;"","até "&amp;IF(Y48=-1,"subsolo",IF(Y48=0,"térreo",Y48&amp;"º pav.")),W48&amp;" de "&amp;V48&amp;" concluídas")&amp;IF(Z48="","",IF(OR(Y48="",Z48&gt;Y48),", executando "&amp;IF(Z48=-1,"subsolo",IF(Z48=0,"térreo",Z48&amp;"º pav."))," (restam serviços no "&amp;IF(Z48=-1,"subsolo",IF(Z48=0,"térreo",Z48&amp;"º pav."))&amp;")"))))))</f>
        <v/>
      </c>
    </row>
    <row r="49">
      <c r="M49" s="2">
        <f>IF(C49="","",IFERROR(INDEX($S$5:$S$304,MATCH(C49,$R$5:$R$304,0))&amp;"","?"))</f>
        <v/>
      </c>
      <c r="N49" s="2">
        <f>IF(E49="","",IF(LEFT(E49,7)="SUBSOLO",-1,IF(LEFT(E49,6)="TÉRREO",0,IFERROR(VALUE(LEFT(E49,FIND("º",SUBSTITUTE(E49,"°","º"))-1)),""))))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5" t="inlineStr">
        <is>
          <t>PRUMADA DE INCÊNDIO</t>
        </is>
      </c>
      <c r="S49" s="5" t="inlineStr">
        <is>
          <t>22</t>
        </is>
      </c>
      <c r="T49" s="5" t="inlineStr">
        <is>
          <t>Prumada de incêndio</t>
        </is>
      </c>
      <c r="U49" s="5" t="inlineStr">
        <is>
          <t>SIM</t>
        </is>
      </c>
      <c r="V49" s="2">
        <f>IF(R49="","",COUNTIF($C$5:$C$3004,R49))</f>
        <v/>
      </c>
      <c r="W49" s="2">
        <f>IF(R49="","",COUNTIFS($C$5:$C$3004,R49,$O$5:$O$3004,"CONCLUÍDA"))</f>
        <v/>
      </c>
      <c r="X49" s="2">
        <f>IF(R49="","",COUNTIFS($C$5:$C$3004,R49,$O$5:$O$3004,"EM ANDAMENTO"))</f>
        <v/>
      </c>
      <c r="Y49" s="2">
        <f>IF(R49="","",IF(COUNTIFS($C$5:$C$3004,R49,$O$5:$O$3004,"CONCLUÍDA",$N$5:$N$3004,"&gt;=-1")=0,"",_xlfn.MAXIFS($N$5:$N$3004,$C$5:$C$3004,R49,$O$5:$O$3004,"CONCLUÍDA")))</f>
        <v/>
      </c>
      <c r="Z49" s="2">
        <f>IF(R49="","",IF(COUNTIFS($C$5:$C$3004,R49,$O$5:$O$3004,"EM ANDAMENTO",$N$5:$N$3004,"&gt;=-1")=0,"",_xlfn.MAXIFS($N$5:$N$3004,$C$5:$C$3004,R49,$O$5:$O$3004,"EM ANDAMENTO")))</f>
        <v/>
      </c>
      <c r="AA49" s="2">
        <f>IF(OR(R49="",S49="",U49&lt;&gt;"SIM",V49=0),"",IF(W49+X49=0,"",T49&amp;": "&amp;IF(W49=V49,"concluído",IF(W49=0,"em execução"&amp;IF(Z49&lt;&gt;""," ("&amp;IF(Z49=-1,"subsolo",IF(Z49=0,"térreo",Z49&amp;"º pav."))&amp;")",""),IF(Y49&lt;&gt;"","até "&amp;IF(Y49=-1,"subsolo",IF(Y49=0,"térreo",Y49&amp;"º pav.")),W49&amp;" de "&amp;V49&amp;" concluídas")&amp;IF(Z49="","",IF(OR(Y49="",Z49&gt;Y49),", executando "&amp;IF(Z49=-1,"subsolo",IF(Z49=0,"térreo",Z49&amp;"º pav."))," (restam serviços no "&amp;IF(Z49=-1,"subsolo",IF(Z49=0,"térreo",Z49&amp;"º pav."))&amp;")"))))))</f>
        <v/>
      </c>
    </row>
    <row r="50">
      <c r="M50" s="2">
        <f>IF(C50="","",IFERROR(INDEX($S$5:$S$304,MATCH(C50,$R$5:$R$304,0))&amp;"","?"))</f>
        <v/>
      </c>
      <c r="N50" s="2">
        <f>IF(E50="","",IF(LEFT(E50,7)="SUBSOLO",-1,IF(LEFT(E50,6)="TÉRREO",0,IFERROR(VALUE(LEFT(E50,FIND("º",SUBSTITUTE(E50,"°","º"))-1)),""))))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5" t="inlineStr">
        <is>
          <t>PRUMADA HIDROSSANITÁRIA</t>
        </is>
      </c>
      <c r="S50" s="5" t="inlineStr">
        <is>
          <t>21</t>
        </is>
      </c>
      <c r="T50" s="5" t="inlineStr">
        <is>
          <t>Prumada hidrossanitária</t>
        </is>
      </c>
      <c r="U50" s="5" t="inlineStr">
        <is>
          <t>SIM</t>
        </is>
      </c>
      <c r="V50" s="2">
        <f>IF(R50="","",COUNTIF($C$5:$C$3004,R50))</f>
        <v/>
      </c>
      <c r="W50" s="2">
        <f>IF(R50="","",COUNTIFS($C$5:$C$3004,R50,$O$5:$O$3004,"CONCLUÍDA"))</f>
        <v/>
      </c>
      <c r="X50" s="2">
        <f>IF(R50="","",COUNTIFS($C$5:$C$3004,R50,$O$5:$O$3004,"EM ANDAMENTO"))</f>
        <v/>
      </c>
      <c r="Y50" s="2">
        <f>IF(R50="","",IF(COUNTIFS($C$5:$C$3004,R50,$O$5:$O$3004,"CONCLUÍDA",$N$5:$N$3004,"&gt;=-1")=0,"",_xlfn.MAXIFS($N$5:$N$3004,$C$5:$C$3004,R50,$O$5:$O$3004,"CONCLUÍDA")))</f>
        <v/>
      </c>
      <c r="Z50" s="2">
        <f>IF(R50="","",IF(COUNTIFS($C$5:$C$3004,R50,$O$5:$O$3004,"EM ANDAMENTO",$N$5:$N$3004,"&gt;=-1")=0,"",_xlfn.MAXIFS($N$5:$N$3004,$C$5:$C$3004,R50,$O$5:$O$3004,"EM ANDAMENTO")))</f>
        <v/>
      </c>
      <c r="AA50" s="2">
        <f>IF(OR(R50="",S50="",U50&lt;&gt;"SIM",V50=0),"",IF(W50+X50=0,"",T50&amp;": "&amp;IF(W50=V50,"concluído",IF(W50=0,"em execução"&amp;IF(Z50&lt;&gt;""," ("&amp;IF(Z50=-1,"subsolo",IF(Z50=0,"térreo",Z50&amp;"º pav."))&amp;")",""),IF(Y50&lt;&gt;"","até "&amp;IF(Y50=-1,"subsolo",IF(Y50=0,"térreo",Y50&amp;"º pav.")),W50&amp;" de "&amp;V50&amp;" concluídas")&amp;IF(Z50="","",IF(OR(Y50="",Z50&gt;Y50),", executando "&amp;IF(Z50=-1,"subsolo",IF(Z50=0,"térreo",Z50&amp;"º pav."))," (restam serviços no "&amp;IF(Z50=-1,"subsolo",IF(Z50=0,"térreo",Z50&amp;"º pav."))&amp;")"))))))</f>
        <v/>
      </c>
    </row>
    <row r="51">
      <c r="M51" s="2">
        <f>IF(C51="","",IFERROR(INDEX($S$5:$S$304,MATCH(C51,$R$5:$R$304,0))&amp;"","?"))</f>
        <v/>
      </c>
      <c r="N51" s="2">
        <f>IF(E51="","",IF(LEFT(E51,7)="SUBSOLO",-1,IF(LEFT(E51,6)="TÉRREO",0,IFERROR(VALUE(LEFT(E51,FIND("º",SUBSTITUTE(E51,"°","º"))-1)),""))))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5" t="inlineStr">
        <is>
          <t>ENCUNHAMENTO</t>
        </is>
      </c>
      <c r="S51" s="5" t="inlineStr">
        <is>
          <t>18</t>
        </is>
      </c>
      <c r="T51" s="5" t="inlineStr">
        <is>
          <t>Encunhamento</t>
        </is>
      </c>
      <c r="U51" s="5" t="inlineStr">
        <is>
          <t>SIM</t>
        </is>
      </c>
      <c r="V51" s="2">
        <f>IF(R51="","",COUNTIF($C$5:$C$3004,R51))</f>
        <v/>
      </c>
      <c r="W51" s="2">
        <f>IF(R51="","",COUNTIFS($C$5:$C$3004,R51,$O$5:$O$3004,"CONCLUÍDA"))</f>
        <v/>
      </c>
      <c r="X51" s="2">
        <f>IF(R51="","",COUNTIFS($C$5:$C$3004,R51,$O$5:$O$3004,"EM ANDAMENTO"))</f>
        <v/>
      </c>
      <c r="Y51" s="2">
        <f>IF(R51="","",IF(COUNTIFS($C$5:$C$3004,R51,$O$5:$O$3004,"CONCLUÍDA",$N$5:$N$3004,"&gt;=-1")=0,"",_xlfn.MAXIFS($N$5:$N$3004,$C$5:$C$3004,R51,$O$5:$O$3004,"CONCLUÍDA")))</f>
        <v/>
      </c>
      <c r="Z51" s="2">
        <f>IF(R51="","",IF(COUNTIFS($C$5:$C$3004,R51,$O$5:$O$3004,"EM ANDAMENTO",$N$5:$N$3004,"&gt;=-1")=0,"",_xlfn.MAXIFS($N$5:$N$3004,$C$5:$C$3004,R51,$O$5:$O$3004,"EM ANDAMENTO")))</f>
        <v/>
      </c>
      <c r="AA51" s="2">
        <f>IF(OR(R51="",S51="",U51&lt;&gt;"SIM",V51=0),"",IF(W51+X51=0,"",T51&amp;": "&amp;IF(W51=V51,"concluído",IF(W51=0,"em execução"&amp;IF(Z51&lt;&gt;""," ("&amp;IF(Z51=-1,"subsolo",IF(Z51=0,"térreo",Z51&amp;"º pav."))&amp;")",""),IF(Y51&lt;&gt;"","até "&amp;IF(Y51=-1,"subsolo",IF(Y51=0,"térreo",Y51&amp;"º pav.")),W51&amp;" de "&amp;V51&amp;" concluídas")&amp;IF(Z51="","",IF(OR(Y51="",Z51&gt;Y51),", executando "&amp;IF(Z51=-1,"subsolo",IF(Z51=0,"térreo",Z51&amp;"º pav."))," (restam serviços no "&amp;IF(Z51=-1,"subsolo",IF(Z51=0,"térreo",Z51&amp;"º pav."))&amp;")"))))))</f>
        <v/>
      </c>
    </row>
    <row r="52">
      <c r="M52" s="2">
        <f>IF(C52="","",IFERROR(INDEX($S$5:$S$304,MATCH(C52,$R$5:$R$304,0))&amp;"","?"))</f>
        <v/>
      </c>
      <c r="N52" s="2">
        <f>IF(E52="","",IF(LEFT(E52,7)="SUBSOLO",-1,IF(LEFT(E52,6)="TÉRREO",0,IFERROR(VALUE(LEFT(E52,FIND("º",SUBSTITUTE(E52,"°","º"))-1)),""))))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5" t="inlineStr">
        <is>
          <t>ALVENARIA - ISOLAMENTO DE CONTENÇÕES</t>
        </is>
      </c>
      <c r="S52" s="5" t="inlineStr">
        <is>
          <t>18</t>
        </is>
      </c>
      <c r="T52" s="5" t="inlineStr">
        <is>
          <t>Alvenaria - isolamento de contenções</t>
        </is>
      </c>
      <c r="U52" s="5" t="inlineStr">
        <is>
          <t>NÃO</t>
        </is>
      </c>
      <c r="V52" s="2">
        <f>IF(R52="","",COUNTIF($C$5:$C$3004,R52))</f>
        <v/>
      </c>
      <c r="W52" s="2">
        <f>IF(R52="","",COUNTIFS($C$5:$C$3004,R52,$O$5:$O$3004,"CONCLUÍDA"))</f>
        <v/>
      </c>
      <c r="X52" s="2">
        <f>IF(R52="","",COUNTIFS($C$5:$C$3004,R52,$O$5:$O$3004,"EM ANDAMENTO"))</f>
        <v/>
      </c>
      <c r="Y52" s="2">
        <f>IF(R52="","",IF(COUNTIFS($C$5:$C$3004,R52,$O$5:$O$3004,"CONCLUÍDA",$N$5:$N$3004,"&gt;=-1")=0,"",_xlfn.MAXIFS($N$5:$N$3004,$C$5:$C$3004,R52,$O$5:$O$3004,"CONCLUÍDA")))</f>
        <v/>
      </c>
      <c r="Z52" s="2">
        <f>IF(R52="","",IF(COUNTIFS($C$5:$C$3004,R52,$O$5:$O$3004,"EM ANDAMENTO",$N$5:$N$3004,"&gt;=-1")=0,"",_xlfn.MAXIFS($N$5:$N$3004,$C$5:$C$3004,R52,$O$5:$O$3004,"EM ANDAMENTO")))</f>
        <v/>
      </c>
      <c r="AA52" s="2">
        <f>IF(OR(R52="",S52="",U52&lt;&gt;"SIM",V52=0),"",IF(W52+X52=0,"",T52&amp;": "&amp;IF(W52=V52,"concluído",IF(W52=0,"em execução"&amp;IF(Z52&lt;&gt;""," ("&amp;IF(Z52=-1,"subsolo",IF(Z52=0,"térreo",Z52&amp;"º pav."))&amp;")",""),IF(Y52&lt;&gt;"","até "&amp;IF(Y52=-1,"subsolo",IF(Y52=0,"térreo",Y52&amp;"º pav.")),W52&amp;" de "&amp;V52&amp;" concluídas")&amp;IF(Z52="","",IF(OR(Y52="",Z52&gt;Y52),", executando "&amp;IF(Z52=-1,"subsolo",IF(Z52=0,"térreo",Z52&amp;"º pav."))," (restam serviços no "&amp;IF(Z52=-1,"subsolo",IF(Z52=0,"térreo",Z52&amp;"º pav."))&amp;")"))))))</f>
        <v/>
      </c>
    </row>
    <row r="53">
      <c r="M53" s="2">
        <f>IF(C53="","",IFERROR(INDEX($S$5:$S$304,MATCH(C53,$R$5:$R$304,0))&amp;"","?"))</f>
        <v/>
      </c>
      <c r="N53" s="2">
        <f>IF(E53="","",IF(LEFT(E53,7)="SUBSOLO",-1,IF(LEFT(E53,6)="TÉRREO",0,IFERROR(VALUE(LEFT(E53,FIND("º",SUBSTITUTE(E53,"°","º"))-1)),""))))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5" t="inlineStr">
        <is>
          <t>TALISCAMENTO</t>
        </is>
      </c>
      <c r="S53" s="5" t="inlineStr">
        <is>
          <t>29</t>
        </is>
      </c>
      <c r="T53" s="5" t="inlineStr">
        <is>
          <t>Taliscamento</t>
        </is>
      </c>
      <c r="U53" s="5" t="inlineStr">
        <is>
          <t>SIM</t>
        </is>
      </c>
      <c r="V53" s="2">
        <f>IF(R53="","",COUNTIF($C$5:$C$3004,R53))</f>
        <v/>
      </c>
      <c r="W53" s="2">
        <f>IF(R53="","",COUNTIFS($C$5:$C$3004,R53,$O$5:$O$3004,"CONCLUÍDA"))</f>
        <v/>
      </c>
      <c r="X53" s="2">
        <f>IF(R53="","",COUNTIFS($C$5:$C$3004,R53,$O$5:$O$3004,"EM ANDAMENTO"))</f>
        <v/>
      </c>
      <c r="Y53" s="2">
        <f>IF(R53="","",IF(COUNTIFS($C$5:$C$3004,R53,$O$5:$O$3004,"CONCLUÍDA",$N$5:$N$3004,"&gt;=-1")=0,"",_xlfn.MAXIFS($N$5:$N$3004,$C$5:$C$3004,R53,$O$5:$O$3004,"CONCLUÍDA")))</f>
        <v/>
      </c>
      <c r="Z53" s="2">
        <f>IF(R53="","",IF(COUNTIFS($C$5:$C$3004,R53,$O$5:$O$3004,"EM ANDAMENTO",$N$5:$N$3004,"&gt;=-1")=0,"",_xlfn.MAXIFS($N$5:$N$3004,$C$5:$C$3004,R53,$O$5:$O$3004,"EM ANDAMENTO")))</f>
        <v/>
      </c>
      <c r="AA53" s="2">
        <f>IF(OR(R53="",S53="",U53&lt;&gt;"SIM",V53=0),"",IF(W53+X53=0,"",T53&amp;": "&amp;IF(W53=V53,"concluído",IF(W53=0,"em execução"&amp;IF(Z53&lt;&gt;""," ("&amp;IF(Z53=-1,"subsolo",IF(Z53=0,"térreo",Z53&amp;"º pav."))&amp;")",""),IF(Y53&lt;&gt;"","até "&amp;IF(Y53=-1,"subsolo",IF(Y53=0,"térreo",Y53&amp;"º pav.")),W53&amp;" de "&amp;V53&amp;" concluídas")&amp;IF(Z53="","",IF(OR(Y53="",Z53&gt;Y53),", executando "&amp;IF(Z53=-1,"subsolo",IF(Z53=0,"térreo",Z53&amp;"º pav."))," (restam serviços no "&amp;IF(Z53=-1,"subsolo",IF(Z53=0,"térreo",Z53&amp;"º pav."))&amp;")"))))))</f>
        <v/>
      </c>
    </row>
    <row r="54">
      <c r="M54" s="2">
        <f>IF(C54="","",IFERROR(INDEX($S$5:$S$304,MATCH(C54,$R$5:$R$304,0))&amp;"","?"))</f>
        <v/>
      </c>
      <c r="N54" s="2">
        <f>IF(E54="","",IF(LEFT(E54,7)="SUBSOLO",-1,IF(LEFT(E54,6)="TÉRREO",0,IFERROR(VALUE(LEFT(E54,FIND("º",SUBSTITUTE(E54,"°","º"))-1)),""))))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5" t="inlineStr">
        <is>
          <t>DISTRIBUIÇÃO HIDROSSANITÁRIA</t>
        </is>
      </c>
      <c r="S54" s="5" t="inlineStr">
        <is>
          <t>21</t>
        </is>
      </c>
      <c r="T54" s="5" t="inlineStr">
        <is>
          <t>Distribuição hidrossanitária</t>
        </is>
      </c>
      <c r="U54" s="5" t="inlineStr">
        <is>
          <t>SIM</t>
        </is>
      </c>
      <c r="V54" s="2">
        <f>IF(R54="","",COUNTIF($C$5:$C$3004,R54))</f>
        <v/>
      </c>
      <c r="W54" s="2">
        <f>IF(R54="","",COUNTIFS($C$5:$C$3004,R54,$O$5:$O$3004,"CONCLUÍDA"))</f>
        <v/>
      </c>
      <c r="X54" s="2">
        <f>IF(R54="","",COUNTIFS($C$5:$C$3004,R54,$O$5:$O$3004,"EM ANDAMENTO"))</f>
        <v/>
      </c>
      <c r="Y54" s="2">
        <f>IF(R54="","",IF(COUNTIFS($C$5:$C$3004,R54,$O$5:$O$3004,"CONCLUÍDA",$N$5:$N$3004,"&gt;=-1")=0,"",_xlfn.MAXIFS($N$5:$N$3004,$C$5:$C$3004,R54,$O$5:$O$3004,"CONCLUÍDA")))</f>
        <v/>
      </c>
      <c r="Z54" s="2">
        <f>IF(R54="","",IF(COUNTIFS($C$5:$C$3004,R54,$O$5:$O$3004,"EM ANDAMENTO",$N$5:$N$3004,"&gt;=-1")=0,"",_xlfn.MAXIFS($N$5:$N$3004,$C$5:$C$3004,R54,$O$5:$O$3004,"EM ANDAMENTO")))</f>
        <v/>
      </c>
      <c r="AA54" s="2">
        <f>IF(OR(R54="",S54="",U54&lt;&gt;"SIM",V54=0),"",IF(W54+X54=0,"",T54&amp;": "&amp;IF(W54=V54,"concluído",IF(W54=0,"em execução"&amp;IF(Z54&lt;&gt;""," ("&amp;IF(Z54=-1,"subsolo",IF(Z54=0,"térreo",Z54&amp;"º pav."))&amp;")",""),IF(Y54&lt;&gt;"","até "&amp;IF(Y54=-1,"subsolo",IF(Y54=0,"térreo",Y54&amp;"º pav.")),W54&amp;" de "&amp;V54&amp;" concluídas")&amp;IF(Z54="","",IF(OR(Y54="",Z54&gt;Y54),", executando "&amp;IF(Z54=-1,"subsolo",IF(Z54=0,"térreo",Z54&amp;"º pav."))," (restam serviços no "&amp;IF(Z54=-1,"subsolo",IF(Z54=0,"térreo",Z54&amp;"º pav."))&amp;")"))))))</f>
        <v/>
      </c>
    </row>
    <row r="55">
      <c r="M55" s="2">
        <f>IF(C55="","",IFERROR(INDEX($S$5:$S$304,MATCH(C55,$R$5:$R$304,0))&amp;"","?"))</f>
        <v/>
      </c>
      <c r="N55" s="2">
        <f>IF(E55="","",IF(LEFT(E55,7)="SUBSOLO",-1,IF(LEFT(E55,6)="TÉRREO",0,IFERROR(VALUE(LEFT(E55,FIND("º",SUBSTITUTE(E55,"°","º"))-1)),""))))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5" t="inlineStr">
        <is>
          <t>DISTRIBUIÇÃO ELÉTRICA / QUADRO</t>
        </is>
      </c>
      <c r="S55" s="5" t="inlineStr">
        <is>
          <t>20</t>
        </is>
      </c>
      <c r="T55" s="5" t="inlineStr">
        <is>
          <t>Distribuição elétrica / quadro</t>
        </is>
      </c>
      <c r="U55" s="5" t="inlineStr">
        <is>
          <t>SIM</t>
        </is>
      </c>
      <c r="V55" s="2">
        <f>IF(R55="","",COUNTIF($C$5:$C$3004,R55))</f>
        <v/>
      </c>
      <c r="W55" s="2">
        <f>IF(R55="","",COUNTIFS($C$5:$C$3004,R55,$O$5:$O$3004,"CONCLUÍDA"))</f>
        <v/>
      </c>
      <c r="X55" s="2">
        <f>IF(R55="","",COUNTIFS($C$5:$C$3004,R55,$O$5:$O$3004,"EM ANDAMENTO"))</f>
        <v/>
      </c>
      <c r="Y55" s="2">
        <f>IF(R55="","",IF(COUNTIFS($C$5:$C$3004,R55,$O$5:$O$3004,"CONCLUÍDA",$N$5:$N$3004,"&gt;=-1")=0,"",_xlfn.MAXIFS($N$5:$N$3004,$C$5:$C$3004,R55,$O$5:$O$3004,"CONCLUÍDA")))</f>
        <v/>
      </c>
      <c r="Z55" s="2">
        <f>IF(R55="","",IF(COUNTIFS($C$5:$C$3004,R55,$O$5:$O$3004,"EM ANDAMENTO",$N$5:$N$3004,"&gt;=-1")=0,"",_xlfn.MAXIFS($N$5:$N$3004,$C$5:$C$3004,R55,$O$5:$O$3004,"EM ANDAMENTO")))</f>
        <v/>
      </c>
      <c r="AA55" s="2">
        <f>IF(OR(R55="",S55="",U55&lt;&gt;"SIM",V55=0),"",IF(W55+X55=0,"",T55&amp;": "&amp;IF(W55=V55,"concluído",IF(W55=0,"em execução"&amp;IF(Z55&lt;&gt;""," ("&amp;IF(Z55=-1,"subsolo",IF(Z55=0,"térreo",Z55&amp;"º pav."))&amp;")",""),IF(Y55&lt;&gt;"","até "&amp;IF(Y55=-1,"subsolo",IF(Y55=0,"térreo",Y55&amp;"º pav.")),W55&amp;" de "&amp;V55&amp;" concluídas")&amp;IF(Z55="","",IF(OR(Y55="",Z55&gt;Y55),", executando "&amp;IF(Z55=-1,"subsolo",IF(Z55=0,"térreo",Z55&amp;"º pav."))," (restam serviços no "&amp;IF(Z55=-1,"subsolo",IF(Z55=0,"térreo",Z55&amp;"º pav."))&amp;")"))))))</f>
        <v/>
      </c>
    </row>
    <row r="56">
      <c r="M56" s="2">
        <f>IF(C56="","",IFERROR(INDEX($S$5:$S$304,MATCH(C56,$R$5:$R$304,0))&amp;"","?"))</f>
        <v/>
      </c>
      <c r="N56" s="2">
        <f>IF(E56="","",IF(LEFT(E56,7)="SUBSOLO",-1,IF(LEFT(E56,6)="TÉRREO",0,IFERROR(VALUE(LEFT(E56,FIND("º",SUBSTITUTE(E56,"°","º"))-1)),""))))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5" t="inlineStr">
        <is>
          <t>DISTRIBUIÇÃO DE GÁS</t>
        </is>
      </c>
      <c r="S56" s="5" t="inlineStr">
        <is>
          <t>21</t>
        </is>
      </c>
      <c r="T56" s="5" t="inlineStr">
        <is>
          <t>Distribuição de gás</t>
        </is>
      </c>
      <c r="U56" s="5" t="inlineStr">
        <is>
          <t>SIM</t>
        </is>
      </c>
      <c r="V56" s="2">
        <f>IF(R56="","",COUNTIF($C$5:$C$3004,R56))</f>
        <v/>
      </c>
      <c r="W56" s="2">
        <f>IF(R56="","",COUNTIFS($C$5:$C$3004,R56,$O$5:$O$3004,"CONCLUÍDA"))</f>
        <v/>
      </c>
      <c r="X56" s="2">
        <f>IF(R56="","",COUNTIFS($C$5:$C$3004,R56,$O$5:$O$3004,"EM ANDAMENTO"))</f>
        <v/>
      </c>
      <c r="Y56" s="2">
        <f>IF(R56="","",IF(COUNTIFS($C$5:$C$3004,R56,$O$5:$O$3004,"CONCLUÍDA",$N$5:$N$3004,"&gt;=-1")=0,"",_xlfn.MAXIFS($N$5:$N$3004,$C$5:$C$3004,R56,$O$5:$O$3004,"CONCLUÍDA")))</f>
        <v/>
      </c>
      <c r="Z56" s="2">
        <f>IF(R56="","",IF(COUNTIFS($C$5:$C$3004,R56,$O$5:$O$3004,"EM ANDAMENTO",$N$5:$N$3004,"&gt;=-1")=0,"",_xlfn.MAXIFS($N$5:$N$3004,$C$5:$C$3004,R56,$O$5:$O$3004,"EM ANDAMENTO")))</f>
        <v/>
      </c>
      <c r="AA56" s="2">
        <f>IF(OR(R56="",S56="",U56&lt;&gt;"SIM",V56=0),"",IF(W56+X56=0,"",T56&amp;": "&amp;IF(W56=V56,"concluído",IF(W56=0,"em execução"&amp;IF(Z56&lt;&gt;""," ("&amp;IF(Z56=-1,"subsolo",IF(Z56=0,"térreo",Z56&amp;"º pav."))&amp;")",""),IF(Y56&lt;&gt;"","até "&amp;IF(Y56=-1,"subsolo",IF(Y56=0,"térreo",Y56&amp;"º pav.")),W56&amp;" de "&amp;V56&amp;" concluídas")&amp;IF(Z56="","",IF(OR(Y56="",Z56&gt;Y56),", executando "&amp;IF(Z56=-1,"subsolo",IF(Z56=0,"térreo",Z56&amp;"º pav."))," (restam serviços no "&amp;IF(Z56=-1,"subsolo",IF(Z56=0,"térreo",Z56&amp;"º pav."))&amp;")"))))))</f>
        <v/>
      </c>
    </row>
    <row r="57">
      <c r="M57" s="2">
        <f>IF(C57="","",IFERROR(INDEX($S$5:$S$304,MATCH(C57,$R$5:$R$304,0))&amp;"","?"))</f>
        <v/>
      </c>
      <c r="N57" s="2">
        <f>IF(E57="","",IF(LEFT(E57,7)="SUBSOLO",-1,IF(LEFT(E57,6)="TÉRREO",0,IFERROR(VALUE(LEFT(E57,FIND("º",SUBSTITUTE(E57,"°","º"))-1)),""))))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5" t="inlineStr">
        <is>
          <t>CONTRAMARCO</t>
        </is>
      </c>
      <c r="S57" s="5" t="inlineStr">
        <is>
          <t>25</t>
        </is>
      </c>
      <c r="T57" s="5" t="inlineStr">
        <is>
          <t>Contramarco</t>
        </is>
      </c>
      <c r="U57" s="5" t="inlineStr">
        <is>
          <t>SIM</t>
        </is>
      </c>
      <c r="V57" s="2">
        <f>IF(R57="","",COUNTIF($C$5:$C$3004,R57))</f>
        <v/>
      </c>
      <c r="W57" s="2">
        <f>IF(R57="","",COUNTIFS($C$5:$C$3004,R57,$O$5:$O$3004,"CONCLUÍDA"))</f>
        <v/>
      </c>
      <c r="X57" s="2">
        <f>IF(R57="","",COUNTIFS($C$5:$C$3004,R57,$O$5:$O$3004,"EM ANDAMENTO"))</f>
        <v/>
      </c>
      <c r="Y57" s="2">
        <f>IF(R57="","",IF(COUNTIFS($C$5:$C$3004,R57,$O$5:$O$3004,"CONCLUÍDA",$N$5:$N$3004,"&gt;=-1")=0,"",_xlfn.MAXIFS($N$5:$N$3004,$C$5:$C$3004,R57,$O$5:$O$3004,"CONCLUÍDA")))</f>
        <v/>
      </c>
      <c r="Z57" s="2">
        <f>IF(R57="","",IF(COUNTIFS($C$5:$C$3004,R57,$O$5:$O$3004,"EM ANDAMENTO",$N$5:$N$3004,"&gt;=-1")=0,"",_xlfn.MAXIFS($N$5:$N$3004,$C$5:$C$3004,R57,$O$5:$O$3004,"EM ANDAMENTO")))</f>
        <v/>
      </c>
      <c r="AA57" s="2">
        <f>IF(OR(R57="",S57="",U57&lt;&gt;"SIM",V57=0),"",IF(W57+X57=0,"",T57&amp;": "&amp;IF(W57=V57,"concluído",IF(W57=0,"em execução"&amp;IF(Z57&lt;&gt;""," ("&amp;IF(Z57=-1,"subsolo",IF(Z57=0,"térreo",Z57&amp;"º pav."))&amp;")",""),IF(Y57&lt;&gt;"","até "&amp;IF(Y57=-1,"subsolo",IF(Y57=0,"térreo",Y57&amp;"º pav.")),W57&amp;" de "&amp;V57&amp;" concluídas")&amp;IF(Z57="","",IF(OR(Y57="",Z57&gt;Y57),", executando "&amp;IF(Z57=-1,"subsolo",IF(Z57=0,"térreo",Z57&amp;"º pav."))," (restam serviços no "&amp;IF(Z57=-1,"subsolo",IF(Z57=0,"térreo",Z57&amp;"º pav."))&amp;")"))))))</f>
        <v/>
      </c>
    </row>
    <row r="58">
      <c r="M58" s="2">
        <f>IF(C58="","",IFERROR(INDEX($S$5:$S$304,MATCH(C58,$R$5:$R$304,0))&amp;"","?"))</f>
        <v/>
      </c>
      <c r="N58" s="2">
        <f>IF(E58="","",IF(LEFT(E58,7)="SUBSOLO",-1,IF(LEFT(E58,6)="TÉRREO",0,IFERROR(VALUE(LEFT(E58,FIND("º",SUBSTITUTE(E58,"°","º"))-1)),""))))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5" t="inlineStr">
        <is>
          <t>REBOCO INTERNO</t>
        </is>
      </c>
      <c r="S58" s="5" t="inlineStr">
        <is>
          <t>29</t>
        </is>
      </c>
      <c r="T58" s="5" t="inlineStr">
        <is>
          <t>Reboco interno</t>
        </is>
      </c>
      <c r="U58" s="5" t="inlineStr">
        <is>
          <t>SIM</t>
        </is>
      </c>
      <c r="V58" s="2">
        <f>IF(R58="","",COUNTIF($C$5:$C$3004,R58))</f>
        <v/>
      </c>
      <c r="W58" s="2">
        <f>IF(R58="","",COUNTIFS($C$5:$C$3004,R58,$O$5:$O$3004,"CONCLUÍDA"))</f>
        <v/>
      </c>
      <c r="X58" s="2">
        <f>IF(R58="","",COUNTIFS($C$5:$C$3004,R58,$O$5:$O$3004,"EM ANDAMENTO"))</f>
        <v/>
      </c>
      <c r="Y58" s="2">
        <f>IF(R58="","",IF(COUNTIFS($C$5:$C$3004,R58,$O$5:$O$3004,"CONCLUÍDA",$N$5:$N$3004,"&gt;=-1")=0,"",_xlfn.MAXIFS($N$5:$N$3004,$C$5:$C$3004,R58,$O$5:$O$3004,"CONCLUÍDA")))</f>
        <v/>
      </c>
      <c r="Z58" s="2">
        <f>IF(R58="","",IF(COUNTIFS($C$5:$C$3004,R58,$O$5:$O$3004,"EM ANDAMENTO",$N$5:$N$3004,"&gt;=-1")=0,"",_xlfn.MAXIFS($N$5:$N$3004,$C$5:$C$3004,R58,$O$5:$O$3004,"EM ANDAMENTO")))</f>
        <v/>
      </c>
      <c r="AA58" s="2">
        <f>IF(OR(R58="",S58="",U58&lt;&gt;"SIM",V58=0),"",IF(W58+X58=0,"",T58&amp;": "&amp;IF(W58=V58,"concluído",IF(W58=0,"em execução"&amp;IF(Z58&lt;&gt;""," ("&amp;IF(Z58=-1,"subsolo",IF(Z58=0,"térreo",Z58&amp;"º pav."))&amp;")",""),IF(Y58&lt;&gt;"","até "&amp;IF(Y58=-1,"subsolo",IF(Y58=0,"térreo",Y58&amp;"º pav.")),W58&amp;" de "&amp;V58&amp;" concluídas")&amp;IF(Z58="","",IF(OR(Y58="",Z58&gt;Y58),", executando "&amp;IF(Z58=-1,"subsolo",IF(Z58=0,"térreo",Z58&amp;"º pav."))," (restam serviços no "&amp;IF(Z58=-1,"subsolo",IF(Z58=0,"térreo",Z58&amp;"º pav."))&amp;")"))))))</f>
        <v/>
      </c>
    </row>
    <row r="59">
      <c r="M59" s="2">
        <f>IF(C59="","",IFERROR(INDEX($S$5:$S$304,MATCH(C59,$R$5:$R$304,0))&amp;"","?"))</f>
        <v/>
      </c>
      <c r="N59" s="2">
        <f>IF(E59="","",IF(LEFT(E59,7)="SUBSOLO",-1,IF(LEFT(E59,6)="TÉRREO",0,IFERROR(VALUE(LEFT(E59,FIND("º",SUBSTITUTE(E59,"°","º"))-1)),""))))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5" t="inlineStr">
        <is>
          <t>SHAFT INTERNO INST. HIDRAÚLICAS</t>
        </is>
      </c>
      <c r="S59" s="5" t="inlineStr">
        <is>
          <t>21</t>
        </is>
      </c>
      <c r="T59" s="5" t="inlineStr">
        <is>
          <t>Shaft interno inst. hidraúlicas</t>
        </is>
      </c>
      <c r="U59" s="5" t="inlineStr">
        <is>
          <t>SIM</t>
        </is>
      </c>
      <c r="V59" s="2">
        <f>IF(R59="","",COUNTIF($C$5:$C$3004,R59))</f>
        <v/>
      </c>
      <c r="W59" s="2">
        <f>IF(R59="","",COUNTIFS($C$5:$C$3004,R59,$O$5:$O$3004,"CONCLUÍDA"))</f>
        <v/>
      </c>
      <c r="X59" s="2">
        <f>IF(R59="","",COUNTIFS($C$5:$C$3004,R59,$O$5:$O$3004,"EM ANDAMENTO"))</f>
        <v/>
      </c>
      <c r="Y59" s="2">
        <f>IF(R59="","",IF(COUNTIFS($C$5:$C$3004,R59,$O$5:$O$3004,"CONCLUÍDA",$N$5:$N$3004,"&gt;=-1")=0,"",_xlfn.MAXIFS($N$5:$N$3004,$C$5:$C$3004,R59,$O$5:$O$3004,"CONCLUÍDA")))</f>
        <v/>
      </c>
      <c r="Z59" s="2">
        <f>IF(R59="","",IF(COUNTIFS($C$5:$C$3004,R59,$O$5:$O$3004,"EM ANDAMENTO",$N$5:$N$3004,"&gt;=-1")=0,"",_xlfn.MAXIFS($N$5:$N$3004,$C$5:$C$3004,R59,$O$5:$O$3004,"EM ANDAMENTO")))</f>
        <v/>
      </c>
      <c r="AA59" s="2">
        <f>IF(OR(R59="",S59="",U59&lt;&gt;"SIM",V59=0),"",IF(W59+X59=0,"",T59&amp;": "&amp;IF(W59=V59,"concluído",IF(W59=0,"em execução"&amp;IF(Z59&lt;&gt;""," ("&amp;IF(Z59=-1,"subsolo",IF(Z59=0,"térreo",Z59&amp;"º pav."))&amp;")",""),IF(Y59&lt;&gt;"","até "&amp;IF(Y59=-1,"subsolo",IF(Y59=0,"térreo",Y59&amp;"º pav.")),W59&amp;" de "&amp;V59&amp;" concluídas")&amp;IF(Z59="","",IF(OR(Y59="",Z59&gt;Y59),", executando "&amp;IF(Z59=-1,"subsolo",IF(Z59=0,"térreo",Z59&amp;"º pav."))," (restam serviços no "&amp;IF(Z59=-1,"subsolo",IF(Z59=0,"térreo",Z59&amp;"º pav."))&amp;")"))))))</f>
        <v/>
      </c>
    </row>
    <row r="60">
      <c r="M60" s="2">
        <f>IF(C60="","",IFERROR(INDEX($S$5:$S$304,MATCH(C60,$R$5:$R$304,0))&amp;"","?"))</f>
        <v/>
      </c>
      <c r="N60" s="2">
        <f>IF(E60="","",IF(LEFT(E60,7)="SUBSOLO",-1,IF(LEFT(E60,6)="TÉRREO",0,IFERROR(VALUE(LEFT(E60,FIND("º",SUBSTITUTE(E60,"°","º"))-1)),""))))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5" t="inlineStr">
        <is>
          <t>PRUMADA ELÉTRICA - INFRA</t>
        </is>
      </c>
      <c r="S60" s="5" t="inlineStr">
        <is>
          <t>20</t>
        </is>
      </c>
      <c r="T60" s="5" t="inlineStr">
        <is>
          <t>Prumada elétrica - infra</t>
        </is>
      </c>
      <c r="U60" s="5" t="inlineStr">
        <is>
          <t>SIM</t>
        </is>
      </c>
      <c r="V60" s="2">
        <f>IF(R60="","",COUNTIF($C$5:$C$3004,R60))</f>
        <v/>
      </c>
      <c r="W60" s="2">
        <f>IF(R60="","",COUNTIFS($C$5:$C$3004,R60,$O$5:$O$3004,"CONCLUÍDA"))</f>
        <v/>
      </c>
      <c r="X60" s="2">
        <f>IF(R60="","",COUNTIFS($C$5:$C$3004,R60,$O$5:$O$3004,"EM ANDAMENTO"))</f>
        <v/>
      </c>
      <c r="Y60" s="2">
        <f>IF(R60="","",IF(COUNTIFS($C$5:$C$3004,R60,$O$5:$O$3004,"CONCLUÍDA",$N$5:$N$3004,"&gt;=-1")=0,"",_xlfn.MAXIFS($N$5:$N$3004,$C$5:$C$3004,R60,$O$5:$O$3004,"CONCLUÍDA")))</f>
        <v/>
      </c>
      <c r="Z60" s="2">
        <f>IF(R60="","",IF(COUNTIFS($C$5:$C$3004,R60,$O$5:$O$3004,"EM ANDAMENTO",$N$5:$N$3004,"&gt;=-1")=0,"",_xlfn.MAXIFS($N$5:$N$3004,$C$5:$C$3004,R60,$O$5:$O$3004,"EM ANDAMENTO")))</f>
        <v/>
      </c>
      <c r="AA60" s="2">
        <f>IF(OR(R60="",S60="",U60&lt;&gt;"SIM",V60=0),"",IF(W60+X60=0,"",T60&amp;": "&amp;IF(W60=V60,"concluído",IF(W60=0,"em execução"&amp;IF(Z60&lt;&gt;""," ("&amp;IF(Z60=-1,"subsolo",IF(Z60=0,"térreo",Z60&amp;"º pav."))&amp;")",""),IF(Y60&lt;&gt;"","até "&amp;IF(Y60=-1,"subsolo",IF(Y60=0,"térreo",Y60&amp;"º pav.")),W60&amp;" de "&amp;V60&amp;" concluídas")&amp;IF(Z60="","",IF(OR(Y60="",Z60&gt;Y60),", executando "&amp;IF(Z60=-1,"subsolo",IF(Z60=0,"térreo",Z60&amp;"º pav."))," (restam serviços no "&amp;IF(Z60=-1,"subsolo",IF(Z60=0,"térreo",Z60&amp;"º pav."))&amp;")"))))))</f>
        <v/>
      </c>
    </row>
    <row r="61">
      <c r="M61" s="2">
        <f>IF(C61="","",IFERROR(INDEX($S$5:$S$304,MATCH(C61,$R$5:$R$304,0))&amp;"","?"))</f>
        <v/>
      </c>
      <c r="N61" s="2">
        <f>IF(E61="","",IF(LEFT(E61,7)="SUBSOLO",-1,IF(LEFT(E61,6)="TÉRREO",0,IFERROR(VALUE(LEFT(E61,FIND("º",SUBSTITUTE(E61,"°","º"))-1)),""))))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5" t="inlineStr">
        <is>
          <t>CHUMBAMENTO DE PCF</t>
        </is>
      </c>
      <c r="S61" s="5" t="inlineStr">
        <is>
          <t>26</t>
        </is>
      </c>
      <c r="T61" s="5" t="inlineStr">
        <is>
          <t>Chumbamento de PCF</t>
        </is>
      </c>
      <c r="U61" s="5" t="inlineStr">
        <is>
          <t>SIM</t>
        </is>
      </c>
      <c r="V61" s="2">
        <f>IF(R61="","",COUNTIF($C$5:$C$3004,R61))</f>
        <v/>
      </c>
      <c r="W61" s="2">
        <f>IF(R61="","",COUNTIFS($C$5:$C$3004,R61,$O$5:$O$3004,"CONCLUÍDA"))</f>
        <v/>
      </c>
      <c r="X61" s="2">
        <f>IF(R61="","",COUNTIFS($C$5:$C$3004,R61,$O$5:$O$3004,"EM ANDAMENTO"))</f>
        <v/>
      </c>
      <c r="Y61" s="2">
        <f>IF(R61="","",IF(COUNTIFS($C$5:$C$3004,R61,$O$5:$O$3004,"CONCLUÍDA",$N$5:$N$3004,"&gt;=-1")=0,"",_xlfn.MAXIFS($N$5:$N$3004,$C$5:$C$3004,R61,$O$5:$O$3004,"CONCLUÍDA")))</f>
        <v/>
      </c>
      <c r="Z61" s="2">
        <f>IF(R61="","",IF(COUNTIFS($C$5:$C$3004,R61,$O$5:$O$3004,"EM ANDAMENTO",$N$5:$N$3004,"&gt;=-1")=0,"",_xlfn.MAXIFS($N$5:$N$3004,$C$5:$C$3004,R61,$O$5:$O$3004,"EM ANDAMENTO")))</f>
        <v/>
      </c>
      <c r="AA61" s="2">
        <f>IF(OR(R61="",S61="",U61&lt;&gt;"SIM",V61=0),"",IF(W61+X61=0,"",T61&amp;": "&amp;IF(W61=V61,"concluído",IF(W61=0,"em execução"&amp;IF(Z61&lt;&gt;""," ("&amp;IF(Z61=-1,"subsolo",IF(Z61=0,"térreo",Z61&amp;"º pav."))&amp;")",""),IF(Y61&lt;&gt;"","até "&amp;IF(Y61=-1,"subsolo",IF(Y61=0,"térreo",Y61&amp;"º pav.")),W61&amp;" de "&amp;V61&amp;" concluídas")&amp;IF(Z61="","",IF(OR(Y61="",Z61&gt;Y61),", executando "&amp;IF(Z61=-1,"subsolo",IF(Z61=0,"térreo",Z61&amp;"º pav."))," (restam serviços no "&amp;IF(Z61=-1,"subsolo",IF(Z61=0,"térreo",Z61&amp;"º pav."))&amp;")"))))))</f>
        <v/>
      </c>
    </row>
    <row r="62">
      <c r="M62" s="2">
        <f>IF(C62="","",IFERROR(INDEX($S$5:$S$304,MATCH(C62,$R$5:$R$304,0))&amp;"","?"))</f>
        <v/>
      </c>
      <c r="N62" s="2">
        <f>IF(E62="","",IF(LEFT(E62,7)="SUBSOLO",-1,IF(LEFT(E62,6)="TÉRREO",0,IFERROR(VALUE(LEFT(E62,FIND("º",SUBSTITUTE(E62,"°","º"))-1)),""))))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5" t="inlineStr">
        <is>
          <t>CONTRAPISO</t>
        </is>
      </c>
      <c r="S62" s="5" t="inlineStr">
        <is>
          <t>28</t>
        </is>
      </c>
      <c r="T62" s="5" t="inlineStr">
        <is>
          <t>Contrapiso</t>
        </is>
      </c>
      <c r="U62" s="5" t="inlineStr">
        <is>
          <t>SIM</t>
        </is>
      </c>
      <c r="V62" s="2">
        <f>IF(R62="","",COUNTIF($C$5:$C$3004,R62))</f>
        <v/>
      </c>
      <c r="W62" s="2">
        <f>IF(R62="","",COUNTIFS($C$5:$C$3004,R62,$O$5:$O$3004,"CONCLUÍDA"))</f>
        <v/>
      </c>
      <c r="X62" s="2">
        <f>IF(R62="","",COUNTIFS($C$5:$C$3004,R62,$O$5:$O$3004,"EM ANDAMENTO"))</f>
        <v/>
      </c>
      <c r="Y62" s="2">
        <f>IF(R62="","",IF(COUNTIFS($C$5:$C$3004,R62,$O$5:$O$3004,"CONCLUÍDA",$N$5:$N$3004,"&gt;=-1")=0,"",_xlfn.MAXIFS($N$5:$N$3004,$C$5:$C$3004,R62,$O$5:$O$3004,"CONCLUÍDA")))</f>
        <v/>
      </c>
      <c r="Z62" s="2">
        <f>IF(R62="","",IF(COUNTIFS($C$5:$C$3004,R62,$O$5:$O$3004,"EM ANDAMENTO",$N$5:$N$3004,"&gt;=-1")=0,"",_xlfn.MAXIFS($N$5:$N$3004,$C$5:$C$3004,R62,$O$5:$O$3004,"EM ANDAMENTO")))</f>
        <v/>
      </c>
      <c r="AA62" s="2">
        <f>IF(OR(R62="",S62="",U62&lt;&gt;"SIM",V62=0),"",IF(W62+X62=0,"",T62&amp;": "&amp;IF(W62=V62,"concluído",IF(W62=0,"em execução"&amp;IF(Z62&lt;&gt;""," ("&amp;IF(Z62=-1,"subsolo",IF(Z62=0,"térreo",Z62&amp;"º pav."))&amp;")",""),IF(Y62&lt;&gt;"","até "&amp;IF(Y62=-1,"subsolo",IF(Y62=0,"térreo",Y62&amp;"º pav.")),W62&amp;" de "&amp;V62&amp;" concluídas")&amp;IF(Z62="","",IF(OR(Y62="",Z62&gt;Y62),", executando "&amp;IF(Z62=-1,"subsolo",IF(Z62=0,"térreo",Z62&amp;"º pav."))," (restam serviços no "&amp;IF(Z62=-1,"subsolo",IF(Z62=0,"térreo",Z62&amp;"º pav."))&amp;")"))))))</f>
        <v/>
      </c>
    </row>
    <row r="63">
      <c r="M63" s="2">
        <f>IF(C63="","",IFERROR(INDEX($S$5:$S$304,MATCH(C63,$R$5:$R$304,0))&amp;"","?"))</f>
        <v/>
      </c>
      <c r="N63" s="2">
        <f>IF(E63="","",IF(LEFT(E63,7)="SUBSOLO",-1,IF(LEFT(E63,6)="TÉRREO",0,IFERROR(VALUE(LEFT(E63,FIND("º",SUBSTITUTE(E63,"°","º"))-1)),""))))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5" t="inlineStr">
        <is>
          <t>DISTRIBUIÇÃO HIDRÁULICA</t>
        </is>
      </c>
      <c r="S63" s="5" t="inlineStr">
        <is>
          <t>21</t>
        </is>
      </c>
      <c r="T63" s="5" t="inlineStr">
        <is>
          <t>Distribuição hidráulica</t>
        </is>
      </c>
      <c r="U63" s="5" t="inlineStr">
        <is>
          <t>SIM</t>
        </is>
      </c>
      <c r="V63" s="2">
        <f>IF(R63="","",COUNTIF($C$5:$C$3004,R63))</f>
        <v/>
      </c>
      <c r="W63" s="2">
        <f>IF(R63="","",COUNTIFS($C$5:$C$3004,R63,$O$5:$O$3004,"CONCLUÍDA"))</f>
        <v/>
      </c>
      <c r="X63" s="2">
        <f>IF(R63="","",COUNTIFS($C$5:$C$3004,R63,$O$5:$O$3004,"EM ANDAMENTO"))</f>
        <v/>
      </c>
      <c r="Y63" s="2">
        <f>IF(R63="","",IF(COUNTIFS($C$5:$C$3004,R63,$O$5:$O$3004,"CONCLUÍDA",$N$5:$N$3004,"&gt;=-1")=0,"",_xlfn.MAXIFS($N$5:$N$3004,$C$5:$C$3004,R63,$O$5:$O$3004,"CONCLUÍDA")))</f>
        <v/>
      </c>
      <c r="Z63" s="2">
        <f>IF(R63="","",IF(COUNTIFS($C$5:$C$3004,R63,$O$5:$O$3004,"EM ANDAMENTO",$N$5:$N$3004,"&gt;=-1")=0,"",_xlfn.MAXIFS($N$5:$N$3004,$C$5:$C$3004,R63,$O$5:$O$3004,"EM ANDAMENTO")))</f>
        <v/>
      </c>
      <c r="AA63" s="2">
        <f>IF(OR(R63="",S63="",U63&lt;&gt;"SIM",V63=0),"",IF(W63+X63=0,"",T63&amp;": "&amp;IF(W63=V63,"concluído",IF(W63=0,"em execução"&amp;IF(Z63&lt;&gt;""," ("&amp;IF(Z63=-1,"subsolo",IF(Z63=0,"térreo",Z63&amp;"º pav."))&amp;")",""),IF(Y63&lt;&gt;"","até "&amp;IF(Y63=-1,"subsolo",IF(Y63=0,"térreo",Y63&amp;"º pav.")),W63&amp;" de "&amp;V63&amp;" concluídas")&amp;IF(Z63="","",IF(OR(Y63="",Z63&gt;Y63),", executando "&amp;IF(Z63=-1,"subsolo",IF(Z63=0,"térreo",Z63&amp;"º pav."))," (restam serviços no "&amp;IF(Z63=-1,"subsolo",IF(Z63=0,"térreo",Z63&amp;"º pav."))&amp;")"))))))</f>
        <v/>
      </c>
    </row>
    <row r="64">
      <c r="M64" s="2">
        <f>IF(C64="","",IFERROR(INDEX($S$5:$S$304,MATCH(C64,$R$5:$R$304,0))&amp;"","?"))</f>
        <v/>
      </c>
      <c r="N64" s="2">
        <f>IF(E64="","",IF(LEFT(E64,7)="SUBSOLO",-1,IF(LEFT(E64,6)="TÉRREO",0,IFERROR(VALUE(LEFT(E64,FIND("º",SUBSTITUTE(E64,"°","º"))-1)),""))))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5" t="inlineStr">
        <is>
          <t>DRYWALL 1º FACE</t>
        </is>
      </c>
      <c r="S64" s="5" t="inlineStr">
        <is>
          <t>18</t>
        </is>
      </c>
      <c r="T64" s="5" t="inlineStr">
        <is>
          <t>Drywall 1ª face</t>
        </is>
      </c>
      <c r="U64" s="5" t="inlineStr">
        <is>
          <t>SIM</t>
        </is>
      </c>
      <c r="V64" s="2">
        <f>IF(R64="","",COUNTIF($C$5:$C$3004,R64))</f>
        <v/>
      </c>
      <c r="W64" s="2">
        <f>IF(R64="","",COUNTIFS($C$5:$C$3004,R64,$O$5:$O$3004,"CONCLUÍDA"))</f>
        <v/>
      </c>
      <c r="X64" s="2">
        <f>IF(R64="","",COUNTIFS($C$5:$C$3004,R64,$O$5:$O$3004,"EM ANDAMENTO"))</f>
        <v/>
      </c>
      <c r="Y64" s="2">
        <f>IF(R64="","",IF(COUNTIFS($C$5:$C$3004,R64,$O$5:$O$3004,"CONCLUÍDA",$N$5:$N$3004,"&gt;=-1")=0,"",_xlfn.MAXIFS($N$5:$N$3004,$C$5:$C$3004,R64,$O$5:$O$3004,"CONCLUÍDA")))</f>
        <v/>
      </c>
      <c r="Z64" s="2">
        <f>IF(R64="","",IF(COUNTIFS($C$5:$C$3004,R64,$O$5:$O$3004,"EM ANDAMENTO",$N$5:$N$3004,"&gt;=-1")=0,"",_xlfn.MAXIFS($N$5:$N$3004,$C$5:$C$3004,R64,$O$5:$O$3004,"EM ANDAMENTO")))</f>
        <v/>
      </c>
      <c r="AA64" s="2">
        <f>IF(OR(R64="",S64="",U64&lt;&gt;"SIM",V64=0),"",IF(W64+X64=0,"",T64&amp;": "&amp;IF(W64=V64,"concluído",IF(W64=0,"em execução"&amp;IF(Z64&lt;&gt;""," ("&amp;IF(Z64=-1,"subsolo",IF(Z64=0,"térreo",Z64&amp;"º pav."))&amp;")",""),IF(Y64&lt;&gt;"","até "&amp;IF(Y64=-1,"subsolo",IF(Y64=0,"térreo",Y64&amp;"º pav.")),W64&amp;" de "&amp;V64&amp;" concluídas")&amp;IF(Z64="","",IF(OR(Y64="",Z64&gt;Y64),", executando "&amp;IF(Z64=-1,"subsolo",IF(Z64=0,"térreo",Z64&amp;"º pav."))," (restam serviços no "&amp;IF(Z64=-1,"subsolo",IF(Z64=0,"térreo",Z64&amp;"º pav."))&amp;")"))))))</f>
        <v/>
      </c>
    </row>
    <row r="65">
      <c r="M65" s="2">
        <f>IF(C65="","",IFERROR(INDEX($S$5:$S$304,MATCH(C65,$R$5:$R$304,0))&amp;"","?"))</f>
        <v/>
      </c>
      <c r="N65" s="2">
        <f>IF(E65="","",IF(LEFT(E65,7)="SUBSOLO",-1,IF(LEFT(E65,6)="TÉRREO",0,IFERROR(VALUE(LEFT(E65,FIND("º",SUBSTITUTE(E65,"°","º"))-1)),""))))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5" t="inlineStr">
        <is>
          <t>DISTRIBUIÇÃO DE GÁS - DRYWALL</t>
        </is>
      </c>
      <c r="S65" s="5" t="inlineStr">
        <is>
          <t>21</t>
        </is>
      </c>
      <c r="T65" s="5" t="inlineStr">
        <is>
          <t>Distribuição de gás - drywall</t>
        </is>
      </c>
      <c r="U65" s="5" t="inlineStr">
        <is>
          <t>SIM</t>
        </is>
      </c>
      <c r="V65" s="2">
        <f>IF(R65="","",COUNTIF($C$5:$C$3004,R65))</f>
        <v/>
      </c>
      <c r="W65" s="2">
        <f>IF(R65="","",COUNTIFS($C$5:$C$3004,R65,$O$5:$O$3004,"CONCLUÍDA"))</f>
        <v/>
      </c>
      <c r="X65" s="2">
        <f>IF(R65="","",COUNTIFS($C$5:$C$3004,R65,$O$5:$O$3004,"EM ANDAMENTO"))</f>
        <v/>
      </c>
      <c r="Y65" s="2">
        <f>IF(R65="","",IF(COUNTIFS($C$5:$C$3004,R65,$O$5:$O$3004,"CONCLUÍDA",$N$5:$N$3004,"&gt;=-1")=0,"",_xlfn.MAXIFS($N$5:$N$3004,$C$5:$C$3004,R65,$O$5:$O$3004,"CONCLUÍDA")))</f>
        <v/>
      </c>
      <c r="Z65" s="2">
        <f>IF(R65="","",IF(COUNTIFS($C$5:$C$3004,R65,$O$5:$O$3004,"EM ANDAMENTO",$N$5:$N$3004,"&gt;=-1")=0,"",_xlfn.MAXIFS($N$5:$N$3004,$C$5:$C$3004,R65,$O$5:$O$3004,"EM ANDAMENTO")))</f>
        <v/>
      </c>
      <c r="AA65" s="2">
        <f>IF(OR(R65="",S65="",U65&lt;&gt;"SIM",V65=0),"",IF(W65+X65=0,"",T65&amp;": "&amp;IF(W65=V65,"concluído",IF(W65=0,"em execução"&amp;IF(Z65&lt;&gt;""," ("&amp;IF(Z65=-1,"subsolo",IF(Z65=0,"térreo",Z65&amp;"º pav."))&amp;")",""),IF(Y65&lt;&gt;"","até "&amp;IF(Y65=-1,"subsolo",IF(Y65=0,"térreo",Y65&amp;"º pav.")),W65&amp;" de "&amp;V65&amp;" concluídas")&amp;IF(Z65="","",IF(OR(Y65="",Z65&gt;Y65),", executando "&amp;IF(Z65=-1,"subsolo",IF(Z65=0,"térreo",Z65&amp;"º pav."))," (restam serviços no "&amp;IF(Z65=-1,"subsolo",IF(Z65=0,"térreo",Z65&amp;"º pav."))&amp;")"))))))</f>
        <v/>
      </c>
    </row>
    <row r="66">
      <c r="M66" s="2">
        <f>IF(C66="","",IFERROR(INDEX($S$5:$S$304,MATCH(C66,$R$5:$R$304,0))&amp;"","?"))</f>
        <v/>
      </c>
      <c r="N66" s="2">
        <f>IF(E66="","",IF(LEFT(E66,7)="SUBSOLO",-1,IF(LEFT(E66,6)="TÉRREO",0,IFERROR(VALUE(LEFT(E66,FIND("º",SUBSTITUTE(E66,"°","º"))-1)),""))))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5" t="inlineStr">
        <is>
          <t>DISTRIBUIÇÃO ELÉTRICA/QUADRO - DRYWALL</t>
        </is>
      </c>
      <c r="S66" s="5" t="inlineStr">
        <is>
          <t>20</t>
        </is>
      </c>
      <c r="T66" s="5" t="inlineStr">
        <is>
          <t>Distribuição elétrica/quadro - drywall</t>
        </is>
      </c>
      <c r="U66" s="5" t="inlineStr">
        <is>
          <t>SIM</t>
        </is>
      </c>
      <c r="V66" s="2">
        <f>IF(R66="","",COUNTIF($C$5:$C$3004,R66))</f>
        <v/>
      </c>
      <c r="W66" s="2">
        <f>IF(R66="","",COUNTIFS($C$5:$C$3004,R66,$O$5:$O$3004,"CONCLUÍDA"))</f>
        <v/>
      </c>
      <c r="X66" s="2">
        <f>IF(R66="","",COUNTIFS($C$5:$C$3004,R66,$O$5:$O$3004,"EM ANDAMENTO"))</f>
        <v/>
      </c>
      <c r="Y66" s="2">
        <f>IF(R66="","",IF(COUNTIFS($C$5:$C$3004,R66,$O$5:$O$3004,"CONCLUÍDA",$N$5:$N$3004,"&gt;=-1")=0,"",_xlfn.MAXIFS($N$5:$N$3004,$C$5:$C$3004,R66,$O$5:$O$3004,"CONCLUÍDA")))</f>
        <v/>
      </c>
      <c r="Z66" s="2">
        <f>IF(R66="","",IF(COUNTIFS($C$5:$C$3004,R66,$O$5:$O$3004,"EM ANDAMENTO",$N$5:$N$3004,"&gt;=-1")=0,"",_xlfn.MAXIFS($N$5:$N$3004,$C$5:$C$3004,R66,$O$5:$O$3004,"EM ANDAMENTO")))</f>
        <v/>
      </c>
      <c r="AA66" s="2">
        <f>IF(OR(R66="",S66="",U66&lt;&gt;"SIM",V66=0),"",IF(W66+X66=0,"",T66&amp;": "&amp;IF(W66=V66,"concluído",IF(W66=0,"em execução"&amp;IF(Z66&lt;&gt;""," ("&amp;IF(Z66=-1,"subsolo",IF(Z66=0,"térreo",Z66&amp;"º pav."))&amp;")",""),IF(Y66&lt;&gt;"","até "&amp;IF(Y66=-1,"subsolo",IF(Y66=0,"térreo",Y66&amp;"º pav.")),W66&amp;" de "&amp;V66&amp;" concluídas")&amp;IF(Z66="","",IF(OR(Y66="",Z66&gt;Y66),", executando "&amp;IF(Z66=-1,"subsolo",IF(Z66=0,"térreo",Z66&amp;"º pav."))," (restam serviços no "&amp;IF(Z66=-1,"subsolo",IF(Z66=0,"térreo",Z66&amp;"º pav."))&amp;")"))))))</f>
        <v/>
      </c>
    </row>
    <row r="67">
      <c r="M67" s="2">
        <f>IF(C67="","",IFERROR(INDEX($S$5:$S$304,MATCH(C67,$R$5:$R$304,0))&amp;"","?"))</f>
        <v/>
      </c>
      <c r="N67" s="2">
        <f>IF(E67="","",IF(LEFT(E67,7)="SUBSOLO",-1,IF(LEFT(E67,6)="TÉRREO",0,IFERROR(VALUE(LEFT(E67,FIND("º",SUBSTITUTE(E67,"°","º"))-1)),""))))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5" t="inlineStr">
        <is>
          <t>DISTRIBUIÇÃO HIDRÁULICA - DRYWALL</t>
        </is>
      </c>
      <c r="S67" s="5" t="inlineStr">
        <is>
          <t>21</t>
        </is>
      </c>
      <c r="T67" s="5" t="inlineStr">
        <is>
          <t>Distribuição hidráulica - drywall</t>
        </is>
      </c>
      <c r="U67" s="5" t="inlineStr">
        <is>
          <t>SIM</t>
        </is>
      </c>
      <c r="V67" s="2">
        <f>IF(R67="","",COUNTIF($C$5:$C$3004,R67))</f>
        <v/>
      </c>
      <c r="W67" s="2">
        <f>IF(R67="","",COUNTIFS($C$5:$C$3004,R67,$O$5:$O$3004,"CONCLUÍDA"))</f>
        <v/>
      </c>
      <c r="X67" s="2">
        <f>IF(R67="","",COUNTIFS($C$5:$C$3004,R67,$O$5:$O$3004,"EM ANDAMENTO"))</f>
        <v/>
      </c>
      <c r="Y67" s="2">
        <f>IF(R67="","",IF(COUNTIFS($C$5:$C$3004,R67,$O$5:$O$3004,"CONCLUÍDA",$N$5:$N$3004,"&gt;=-1")=0,"",_xlfn.MAXIFS($N$5:$N$3004,$C$5:$C$3004,R67,$O$5:$O$3004,"CONCLUÍDA")))</f>
        <v/>
      </c>
      <c r="Z67" s="2">
        <f>IF(R67="","",IF(COUNTIFS($C$5:$C$3004,R67,$O$5:$O$3004,"EM ANDAMENTO",$N$5:$N$3004,"&gt;=-1")=0,"",_xlfn.MAXIFS($N$5:$N$3004,$C$5:$C$3004,R67,$O$5:$O$3004,"EM ANDAMENTO")))</f>
        <v/>
      </c>
      <c r="AA67" s="2">
        <f>IF(OR(R67="",S67="",U67&lt;&gt;"SIM",V67=0),"",IF(W67+X67=0,"",T67&amp;": "&amp;IF(W67=V67,"concluído",IF(W67=0,"em execução"&amp;IF(Z67&lt;&gt;""," ("&amp;IF(Z67=-1,"subsolo",IF(Z67=0,"térreo",Z67&amp;"º pav."))&amp;")",""),IF(Y67&lt;&gt;"","até "&amp;IF(Y67=-1,"subsolo",IF(Y67=0,"térreo",Y67&amp;"º pav.")),W67&amp;" de "&amp;V67&amp;" concluídas")&amp;IF(Z67="","",IF(OR(Y67="",Z67&gt;Y67),", executando "&amp;IF(Z67=-1,"subsolo",IF(Z67=0,"térreo",Z67&amp;"º pav."))," (restam serviços no "&amp;IF(Z67=-1,"subsolo",IF(Z67=0,"térreo",Z67&amp;"º pav."))&amp;")"))))))</f>
        <v/>
      </c>
    </row>
    <row r="68">
      <c r="M68" s="2">
        <f>IF(C68="","",IFERROR(INDEX($S$5:$S$304,MATCH(C68,$R$5:$R$304,0))&amp;"","?"))</f>
        <v/>
      </c>
      <c r="N68" s="2">
        <f>IF(E68="","",IF(LEFT(E68,7)="SUBSOLO",-1,IF(LEFT(E68,6)="TÉRREO",0,IFERROR(VALUE(LEFT(E68,FIND("º",SUBSTITUTE(E68,"°","º"))-1)),""))))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5" t="inlineStr">
        <is>
          <t>INFRAESTRUTURA - AR CONDICIONADO</t>
        </is>
      </c>
      <c r="S68" s="5" t="inlineStr">
        <is>
          <t>23</t>
        </is>
      </c>
      <c r="T68" s="5" t="inlineStr">
        <is>
          <t>Infraestrutura - ar condicionado</t>
        </is>
      </c>
      <c r="U68" s="5" t="inlineStr">
        <is>
          <t>SIM</t>
        </is>
      </c>
      <c r="V68" s="2">
        <f>IF(R68="","",COUNTIF($C$5:$C$3004,R68))</f>
        <v/>
      </c>
      <c r="W68" s="2">
        <f>IF(R68="","",COUNTIFS($C$5:$C$3004,R68,$O$5:$O$3004,"CONCLUÍDA"))</f>
        <v/>
      </c>
      <c r="X68" s="2">
        <f>IF(R68="","",COUNTIFS($C$5:$C$3004,R68,$O$5:$O$3004,"EM ANDAMENTO"))</f>
        <v/>
      </c>
      <c r="Y68" s="2">
        <f>IF(R68="","",IF(COUNTIFS($C$5:$C$3004,R68,$O$5:$O$3004,"CONCLUÍDA",$N$5:$N$3004,"&gt;=-1")=0,"",_xlfn.MAXIFS($N$5:$N$3004,$C$5:$C$3004,R68,$O$5:$O$3004,"CONCLUÍDA")))</f>
        <v/>
      </c>
      <c r="Z68" s="2">
        <f>IF(R68="","",IF(COUNTIFS($C$5:$C$3004,R68,$O$5:$O$3004,"EM ANDAMENTO",$N$5:$N$3004,"&gt;=-1")=0,"",_xlfn.MAXIFS($N$5:$N$3004,$C$5:$C$3004,R68,$O$5:$O$3004,"EM ANDAMENTO")))</f>
        <v/>
      </c>
      <c r="AA68" s="2">
        <f>IF(OR(R68="",S68="",U68&lt;&gt;"SIM",V68=0),"",IF(W68+X68=0,"",T68&amp;": "&amp;IF(W68=V68,"concluído",IF(W68=0,"em execução"&amp;IF(Z68&lt;&gt;""," ("&amp;IF(Z68=-1,"subsolo",IF(Z68=0,"térreo",Z68&amp;"º pav."))&amp;")",""),IF(Y68&lt;&gt;"","até "&amp;IF(Y68=-1,"subsolo",IF(Y68=0,"térreo",Y68&amp;"º pav.")),W68&amp;" de "&amp;V68&amp;" concluídas")&amp;IF(Z68="","",IF(OR(Y68="",Z68&gt;Y68),", executando "&amp;IF(Z68=-1,"subsolo",IF(Z68=0,"térreo",Z68&amp;"º pav."))," (restam serviços no "&amp;IF(Z68=-1,"subsolo",IF(Z68=0,"térreo",Z68&amp;"º pav."))&amp;")"))))))</f>
        <v/>
      </c>
    </row>
    <row r="69">
      <c r="M69" s="2">
        <f>IF(C69="","",IFERROR(INDEX($S$5:$S$304,MATCH(C69,$R$5:$R$304,0))&amp;"","?"))</f>
        <v/>
      </c>
      <c r="N69" s="2">
        <f>IF(E69="","",IF(LEFT(E69,7)="SUBSOLO",-1,IF(LEFT(E69,6)="TÉRREO",0,IFERROR(VALUE(LEFT(E69,FIND("º",SUBSTITUTE(E69,"°","º"))-1)),""))))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5" t="inlineStr">
        <is>
          <t>DRYWALL 2º FACE</t>
        </is>
      </c>
      <c r="S69" s="5" t="inlineStr">
        <is>
          <t>18</t>
        </is>
      </c>
      <c r="T69" s="5" t="inlineStr">
        <is>
          <t>Drywall 2ª face</t>
        </is>
      </c>
      <c r="U69" s="5" t="inlineStr">
        <is>
          <t>SIM</t>
        </is>
      </c>
      <c r="V69" s="2">
        <f>IF(R69="","",COUNTIF($C$5:$C$3004,R69))</f>
        <v/>
      </c>
      <c r="W69" s="2">
        <f>IF(R69="","",COUNTIFS($C$5:$C$3004,R69,$O$5:$O$3004,"CONCLUÍDA"))</f>
        <v/>
      </c>
      <c r="X69" s="2">
        <f>IF(R69="","",COUNTIFS($C$5:$C$3004,R69,$O$5:$O$3004,"EM ANDAMENTO"))</f>
        <v/>
      </c>
      <c r="Y69" s="2">
        <f>IF(R69="","",IF(COUNTIFS($C$5:$C$3004,R69,$O$5:$O$3004,"CONCLUÍDA",$N$5:$N$3004,"&gt;=-1")=0,"",_xlfn.MAXIFS($N$5:$N$3004,$C$5:$C$3004,R69,$O$5:$O$3004,"CONCLUÍDA")))</f>
        <v/>
      </c>
      <c r="Z69" s="2">
        <f>IF(R69="","",IF(COUNTIFS($C$5:$C$3004,R69,$O$5:$O$3004,"EM ANDAMENTO",$N$5:$N$3004,"&gt;=-1")=0,"",_xlfn.MAXIFS($N$5:$N$3004,$C$5:$C$3004,R69,$O$5:$O$3004,"EM ANDAMENTO")))</f>
        <v/>
      </c>
      <c r="AA69" s="2">
        <f>IF(OR(R69="",S69="",U69&lt;&gt;"SIM",V69=0),"",IF(W69+X69=0,"",T69&amp;": "&amp;IF(W69=V69,"concluído",IF(W69=0,"em execução"&amp;IF(Z69&lt;&gt;""," ("&amp;IF(Z69=-1,"subsolo",IF(Z69=0,"térreo",Z69&amp;"º pav."))&amp;")",""),IF(Y69&lt;&gt;"","até "&amp;IF(Y69=-1,"subsolo",IF(Y69=0,"térreo",Y69&amp;"º pav.")),W69&amp;" de "&amp;V69&amp;" concluídas")&amp;IF(Z69="","",IF(OR(Y69="",Z69&gt;Y69),", executando "&amp;IF(Z69=-1,"subsolo",IF(Z69=0,"térreo",Z69&amp;"º pav."))," (restam serviços no "&amp;IF(Z69=-1,"subsolo",IF(Z69=0,"térreo",Z69&amp;"º pav."))&amp;")"))))))</f>
        <v/>
      </c>
    </row>
    <row r="70">
      <c r="M70" s="2">
        <f>IF(C70="","",IFERROR(INDEX($S$5:$S$304,MATCH(C70,$R$5:$R$304,0))&amp;"","?"))</f>
        <v/>
      </c>
      <c r="N70" s="2">
        <f>IF(E70="","",IF(LEFT(E70,7)="SUBSOLO",-1,IF(LEFT(E70,6)="TÉRREO",0,IFERROR(VALUE(LEFT(E70,FIND("º",SUBSTITUTE(E70,"°","º"))-1)),""))))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5" t="inlineStr">
        <is>
          <t>SERRALHERIA</t>
        </is>
      </c>
      <c r="S70" s="5" t="inlineStr">
        <is>
          <t>26</t>
        </is>
      </c>
      <c r="T70" s="5" t="inlineStr">
        <is>
          <t>Serralheria</t>
        </is>
      </c>
      <c r="U70" s="5" t="inlineStr">
        <is>
          <t>SIM</t>
        </is>
      </c>
      <c r="V70" s="2">
        <f>IF(R70="","",COUNTIF($C$5:$C$3004,R70))</f>
        <v/>
      </c>
      <c r="W70" s="2">
        <f>IF(R70="","",COUNTIFS($C$5:$C$3004,R70,$O$5:$O$3004,"CONCLUÍDA"))</f>
        <v/>
      </c>
      <c r="X70" s="2">
        <f>IF(R70="","",COUNTIFS($C$5:$C$3004,R70,$O$5:$O$3004,"EM ANDAMENTO"))</f>
        <v/>
      </c>
      <c r="Y70" s="2">
        <f>IF(R70="","",IF(COUNTIFS($C$5:$C$3004,R70,$O$5:$O$3004,"CONCLUÍDA",$N$5:$N$3004,"&gt;=-1")=0,"",_xlfn.MAXIFS($N$5:$N$3004,$C$5:$C$3004,R70,$O$5:$O$3004,"CONCLUÍDA")))</f>
        <v/>
      </c>
      <c r="Z70" s="2">
        <f>IF(R70="","",IF(COUNTIFS($C$5:$C$3004,R70,$O$5:$O$3004,"EM ANDAMENTO",$N$5:$N$3004,"&gt;=-1")=0,"",_xlfn.MAXIFS($N$5:$N$3004,$C$5:$C$3004,R70,$O$5:$O$3004,"EM ANDAMENTO")))</f>
        <v/>
      </c>
      <c r="AA70" s="2">
        <f>IF(OR(R70="",S70="",U70&lt;&gt;"SIM",V70=0),"",IF(W70+X70=0,"",T70&amp;": "&amp;IF(W70=V70,"concluído",IF(W70=0,"em execução"&amp;IF(Z70&lt;&gt;""," ("&amp;IF(Z70=-1,"subsolo",IF(Z70=0,"térreo",Z70&amp;"º pav."))&amp;")",""),IF(Y70&lt;&gt;"","até "&amp;IF(Y70=-1,"subsolo",IF(Y70=0,"térreo",Y70&amp;"º pav.")),W70&amp;" de "&amp;V70&amp;" concluídas")&amp;IF(Z70="","",IF(OR(Y70="",Z70&gt;Y70),", executando "&amp;IF(Z70=-1,"subsolo",IF(Z70=0,"térreo",Z70&amp;"º pav."))," (restam serviços no "&amp;IF(Z70=-1,"subsolo",IF(Z70=0,"térreo",Z70&amp;"º pav."))&amp;")"))))))</f>
        <v/>
      </c>
    </row>
    <row r="71">
      <c r="M71" s="2">
        <f>IF(C71="","",IFERROR(INDEX($S$5:$S$304,MATCH(C71,$R$5:$R$304,0))&amp;"","?"))</f>
        <v/>
      </c>
      <c r="N71" s="2">
        <f>IF(E71="","",IF(LEFT(E71,7)="SUBSOLO",-1,IF(LEFT(E71,6)="TÉRREO",0,IFERROR(VALUE(LEFT(E71,FIND("º",SUBSTITUTE(E71,"°","º"))-1)),""))))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5" t="inlineStr">
        <is>
          <t>IMPERMEABILIZAÇÃO</t>
        </is>
      </c>
      <c r="S71" s="5" t="inlineStr">
        <is>
          <t>19</t>
        </is>
      </c>
      <c r="T71" s="5" t="inlineStr">
        <is>
          <t>Impermeabilização</t>
        </is>
      </c>
      <c r="U71" s="5" t="inlineStr">
        <is>
          <t>SIM</t>
        </is>
      </c>
      <c r="V71" s="2">
        <f>IF(R71="","",COUNTIF($C$5:$C$3004,R71))</f>
        <v/>
      </c>
      <c r="W71" s="2">
        <f>IF(R71="","",COUNTIFS($C$5:$C$3004,R71,$O$5:$O$3004,"CONCLUÍDA"))</f>
        <v/>
      </c>
      <c r="X71" s="2">
        <f>IF(R71="","",COUNTIFS($C$5:$C$3004,R71,$O$5:$O$3004,"EM ANDAMENTO"))</f>
        <v/>
      </c>
      <c r="Y71" s="2">
        <f>IF(R71="","",IF(COUNTIFS($C$5:$C$3004,R71,$O$5:$O$3004,"CONCLUÍDA",$N$5:$N$3004,"&gt;=-1")=0,"",_xlfn.MAXIFS($N$5:$N$3004,$C$5:$C$3004,R71,$O$5:$O$3004,"CONCLUÍDA")))</f>
        <v/>
      </c>
      <c r="Z71" s="2">
        <f>IF(R71="","",IF(COUNTIFS($C$5:$C$3004,R71,$O$5:$O$3004,"EM ANDAMENTO",$N$5:$N$3004,"&gt;=-1")=0,"",_xlfn.MAXIFS($N$5:$N$3004,$C$5:$C$3004,R71,$O$5:$O$3004,"EM ANDAMENTO")))</f>
        <v/>
      </c>
      <c r="AA71" s="2">
        <f>IF(OR(R71="",S71="",U71&lt;&gt;"SIM",V71=0),"",IF(W71+X71=0,"",T71&amp;": "&amp;IF(W71=V71,"concluído",IF(W71=0,"em execução"&amp;IF(Z71&lt;&gt;""," ("&amp;IF(Z71=-1,"subsolo",IF(Z71=0,"térreo",Z71&amp;"º pav."))&amp;")",""),IF(Y71&lt;&gt;"","até "&amp;IF(Y71=-1,"subsolo",IF(Y71=0,"térreo",Y71&amp;"º pav.")),W71&amp;" de "&amp;V71&amp;" concluídas")&amp;IF(Z71="","",IF(OR(Y71="",Z71&gt;Y71),", executando "&amp;IF(Z71=-1,"subsolo",IF(Z71=0,"térreo",Z71&amp;"º pav."))," (restam serviços no "&amp;IF(Z71=-1,"subsolo",IF(Z71=0,"térreo",Z71&amp;"º pav."))&amp;")"))))))</f>
        <v/>
      </c>
    </row>
    <row r="72">
      <c r="M72" s="2">
        <f>IF(C72="","",IFERROR(INDEX($S$5:$S$304,MATCH(C72,$R$5:$R$304,0))&amp;"","?"))</f>
        <v/>
      </c>
      <c r="N72" s="2">
        <f>IF(E72="","",IF(LEFT(E72,7)="SUBSOLO",-1,IF(LEFT(E72,6)="TÉRREO",0,IFERROR(VALUE(LEFT(E72,FIND("º",SUBSTITUTE(E72,"°","º"))-1)),""))))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5" t="inlineStr">
        <is>
          <t>PREPARAÇÃO PARA FACHADA AERADA - F1 + F2 (1º ETAPA)</t>
        </is>
      </c>
      <c r="S72" s="5" t="inlineStr">
        <is>
          <t>32</t>
        </is>
      </c>
      <c r="T72" s="5" t="inlineStr">
        <is>
          <t>Preparação para fachada aerada - F1 + F2 (1º etapa)</t>
        </is>
      </c>
      <c r="U72" s="5" t="inlineStr">
        <is>
          <t>SIM</t>
        </is>
      </c>
      <c r="V72" s="2">
        <f>IF(R72="","",COUNTIF($C$5:$C$3004,R72))</f>
        <v/>
      </c>
      <c r="W72" s="2">
        <f>IF(R72="","",COUNTIFS($C$5:$C$3004,R72,$O$5:$O$3004,"CONCLUÍDA"))</f>
        <v/>
      </c>
      <c r="X72" s="2">
        <f>IF(R72="","",COUNTIFS($C$5:$C$3004,R72,$O$5:$O$3004,"EM ANDAMENTO"))</f>
        <v/>
      </c>
      <c r="Y72" s="2">
        <f>IF(R72="","",IF(COUNTIFS($C$5:$C$3004,R72,$O$5:$O$3004,"CONCLUÍDA",$N$5:$N$3004,"&gt;=-1")=0,"",_xlfn.MAXIFS($N$5:$N$3004,$C$5:$C$3004,R72,$O$5:$O$3004,"CONCLUÍDA")))</f>
        <v/>
      </c>
      <c r="Z72" s="2">
        <f>IF(R72="","",IF(COUNTIFS($C$5:$C$3004,R72,$O$5:$O$3004,"EM ANDAMENTO",$N$5:$N$3004,"&gt;=-1")=0,"",_xlfn.MAXIFS($N$5:$N$3004,$C$5:$C$3004,R72,$O$5:$O$3004,"EM ANDAMENTO")))</f>
        <v/>
      </c>
      <c r="AA72" s="2">
        <f>IF(OR(R72="",S72="",U72&lt;&gt;"SIM",V72=0),"",IF(W72+X72=0,"",T72&amp;": "&amp;IF(W72=V72,"concluído",IF(W72=0,"em execução"&amp;IF(Z72&lt;&gt;""," ("&amp;IF(Z72=-1,"subsolo",IF(Z72=0,"térreo",Z72&amp;"º pav."))&amp;")",""),IF(Y72&lt;&gt;"","até "&amp;IF(Y72=-1,"subsolo",IF(Y72=0,"térreo",Y72&amp;"º pav.")),W72&amp;" de "&amp;V72&amp;" concluídas")&amp;IF(Z72="","",IF(OR(Y72="",Z72&gt;Y72),", executando "&amp;IF(Z72=-1,"subsolo",IF(Z72=0,"térreo",Z72&amp;"º pav."))," (restam serviços no "&amp;IF(Z72=-1,"subsolo",IF(Z72=0,"térreo",Z72&amp;"º pav."))&amp;")"))))))</f>
        <v/>
      </c>
    </row>
    <row r="73">
      <c r="M73" s="2">
        <f>IF(C73="","",IFERROR(INDEX($S$5:$S$304,MATCH(C73,$R$5:$R$304,0))&amp;"","?"))</f>
        <v/>
      </c>
      <c r="N73" s="2">
        <f>IF(E73="","",IF(LEFT(E73,7)="SUBSOLO",-1,IF(LEFT(E73,6)="TÉRREO",0,IFERROR(VALUE(LEFT(E73,FIND("º",SUBSTITUTE(E73,"°","º"))-1)),""))))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5" t="inlineStr">
        <is>
          <t>REVESTIMENTO PORCELANATO PAREDE</t>
        </is>
      </c>
      <c r="S73" s="5" t="inlineStr">
        <is>
          <t>30</t>
        </is>
      </c>
      <c r="T73" s="5" t="inlineStr">
        <is>
          <t>Revestimento porcelanato parede</t>
        </is>
      </c>
      <c r="U73" s="5" t="inlineStr">
        <is>
          <t>SIM</t>
        </is>
      </c>
      <c r="V73" s="2">
        <f>IF(R73="","",COUNTIF($C$5:$C$3004,R73))</f>
        <v/>
      </c>
      <c r="W73" s="2">
        <f>IF(R73="","",COUNTIFS($C$5:$C$3004,R73,$O$5:$O$3004,"CONCLUÍDA"))</f>
        <v/>
      </c>
      <c r="X73" s="2">
        <f>IF(R73="","",COUNTIFS($C$5:$C$3004,R73,$O$5:$O$3004,"EM ANDAMENTO"))</f>
        <v/>
      </c>
      <c r="Y73" s="2">
        <f>IF(R73="","",IF(COUNTIFS($C$5:$C$3004,R73,$O$5:$O$3004,"CONCLUÍDA",$N$5:$N$3004,"&gt;=-1")=0,"",_xlfn.MAXIFS($N$5:$N$3004,$C$5:$C$3004,R73,$O$5:$O$3004,"CONCLUÍDA")))</f>
        <v/>
      </c>
      <c r="Z73" s="2">
        <f>IF(R73="","",IF(COUNTIFS($C$5:$C$3004,R73,$O$5:$O$3004,"EM ANDAMENTO",$N$5:$N$3004,"&gt;=-1")=0,"",_xlfn.MAXIFS($N$5:$N$3004,$C$5:$C$3004,R73,$O$5:$O$3004,"EM ANDAMENTO")))</f>
        <v/>
      </c>
      <c r="AA73" s="2">
        <f>IF(OR(R73="",S73="",U73&lt;&gt;"SIM",V73=0),"",IF(W73+X73=0,"",T73&amp;": "&amp;IF(W73=V73,"concluído",IF(W73=0,"em execução"&amp;IF(Z73&lt;&gt;""," ("&amp;IF(Z73=-1,"subsolo",IF(Z73=0,"térreo",Z73&amp;"º pav."))&amp;")",""),IF(Y73&lt;&gt;"","até "&amp;IF(Y73=-1,"subsolo",IF(Y73=0,"térreo",Y73&amp;"º pav.")),W73&amp;" de "&amp;V73&amp;" concluídas")&amp;IF(Z73="","",IF(OR(Y73="",Z73&gt;Y73),", executando "&amp;IF(Z73=-1,"subsolo",IF(Z73=0,"térreo",Z73&amp;"º pav."))," (restam serviços no "&amp;IF(Z73=-1,"subsolo",IF(Z73=0,"térreo",Z73&amp;"º pav."))&amp;")"))))))</f>
        <v/>
      </c>
    </row>
    <row r="74">
      <c r="M74" s="2">
        <f>IF(C74="","",IFERROR(INDEX($S$5:$S$304,MATCH(C74,$R$5:$R$304,0))&amp;"","?"))</f>
        <v/>
      </c>
      <c r="N74" s="2">
        <f>IF(E74="","",IF(LEFT(E74,7)="SUBSOLO",-1,IF(LEFT(E74,6)="TÉRREO",0,IFERROR(VALUE(LEFT(E74,FIND("º",SUBSTITUTE(E74,"°","º"))-1)),""))))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5" t="inlineStr">
        <is>
          <t>FACHADA LOJA</t>
        </is>
      </c>
      <c r="S74" s="5" t="inlineStr">
        <is>
          <t>32</t>
        </is>
      </c>
      <c r="T74" s="5" t="inlineStr">
        <is>
          <t>Fachada loja</t>
        </is>
      </c>
      <c r="U74" s="5" t="inlineStr">
        <is>
          <t>SIM</t>
        </is>
      </c>
      <c r="V74" s="2">
        <f>IF(R74="","",COUNTIF($C$5:$C$3004,R74))</f>
        <v/>
      </c>
      <c r="W74" s="2">
        <f>IF(R74="","",COUNTIFS($C$5:$C$3004,R74,$O$5:$O$3004,"CONCLUÍDA"))</f>
        <v/>
      </c>
      <c r="X74" s="2">
        <f>IF(R74="","",COUNTIFS($C$5:$C$3004,R74,$O$5:$O$3004,"EM ANDAMENTO"))</f>
        <v/>
      </c>
      <c r="Y74" s="2">
        <f>IF(R74="","",IF(COUNTIFS($C$5:$C$3004,R74,$O$5:$O$3004,"CONCLUÍDA",$N$5:$N$3004,"&gt;=-1")=0,"",_xlfn.MAXIFS($N$5:$N$3004,$C$5:$C$3004,R74,$O$5:$O$3004,"CONCLUÍDA")))</f>
        <v/>
      </c>
      <c r="Z74" s="2">
        <f>IF(R74="","",IF(COUNTIFS($C$5:$C$3004,R74,$O$5:$O$3004,"EM ANDAMENTO",$N$5:$N$3004,"&gt;=-1")=0,"",_xlfn.MAXIFS($N$5:$N$3004,$C$5:$C$3004,R74,$O$5:$O$3004,"EM ANDAMENTO")))</f>
        <v/>
      </c>
      <c r="AA74" s="2">
        <f>IF(OR(R74="",S74="",U74&lt;&gt;"SIM",V74=0),"",IF(W74+X74=0,"",T74&amp;": "&amp;IF(W74=V74,"concluído",IF(W74=0,"em execução"&amp;IF(Z74&lt;&gt;""," ("&amp;IF(Z74=-1,"subsolo",IF(Z74=0,"térreo",Z74&amp;"º pav."))&amp;")",""),IF(Y74&lt;&gt;"","até "&amp;IF(Y74=-1,"subsolo",IF(Y74=0,"térreo",Y74&amp;"º pav.")),W74&amp;" de "&amp;V74&amp;" concluídas")&amp;IF(Z74="","",IF(OR(Y74="",Z74&gt;Y74),", executando "&amp;IF(Z74=-1,"subsolo",IF(Z74=0,"térreo",Z74&amp;"º pav."))," (restam serviços no "&amp;IF(Z74=-1,"subsolo",IF(Z74=0,"térreo",Z74&amp;"º pav."))&amp;")"))))))</f>
        <v/>
      </c>
    </row>
    <row r="75">
      <c r="M75" s="2">
        <f>IF(C75="","",IFERROR(INDEX($S$5:$S$304,MATCH(C75,$R$5:$R$304,0))&amp;"","?"))</f>
        <v/>
      </c>
      <c r="N75" s="2">
        <f>IF(E75="","",IF(LEFT(E75,7)="SUBSOLO",-1,IF(LEFT(E75,6)="TÉRREO",0,IFERROR(VALUE(LEFT(E75,FIND("º",SUBSTITUTE(E75,"°","º"))-1)),""))))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5" t="inlineStr">
        <is>
          <t>REVESTIMENTOS PORCELANATO PISO</t>
        </is>
      </c>
      <c r="S75" s="5" t="inlineStr">
        <is>
          <t>30</t>
        </is>
      </c>
      <c r="T75" s="5" t="inlineStr">
        <is>
          <t>Revestimentos porcelanato piso</t>
        </is>
      </c>
      <c r="U75" s="5" t="inlineStr">
        <is>
          <t>SIM</t>
        </is>
      </c>
      <c r="V75" s="2">
        <f>IF(R75="","",COUNTIF($C$5:$C$3004,R75))</f>
        <v/>
      </c>
      <c r="W75" s="2">
        <f>IF(R75="","",COUNTIFS($C$5:$C$3004,R75,$O$5:$O$3004,"CONCLUÍDA"))</f>
        <v/>
      </c>
      <c r="X75" s="2">
        <f>IF(R75="","",COUNTIFS($C$5:$C$3004,R75,$O$5:$O$3004,"EM ANDAMENTO"))</f>
        <v/>
      </c>
      <c r="Y75" s="2">
        <f>IF(R75="","",IF(COUNTIFS($C$5:$C$3004,R75,$O$5:$O$3004,"CONCLUÍDA",$N$5:$N$3004,"&gt;=-1")=0,"",_xlfn.MAXIFS($N$5:$N$3004,$C$5:$C$3004,R75,$O$5:$O$3004,"CONCLUÍDA")))</f>
        <v/>
      </c>
      <c r="Z75" s="2">
        <f>IF(R75="","",IF(COUNTIFS($C$5:$C$3004,R75,$O$5:$O$3004,"EM ANDAMENTO",$N$5:$N$3004,"&gt;=-1")=0,"",_xlfn.MAXIFS($N$5:$N$3004,$C$5:$C$3004,R75,$O$5:$O$3004,"EM ANDAMENTO")))</f>
        <v/>
      </c>
      <c r="AA75" s="2">
        <f>IF(OR(R75="",S75="",U75&lt;&gt;"SIM",V75=0),"",IF(W75+X75=0,"",T75&amp;": "&amp;IF(W75=V75,"concluído",IF(W75=0,"em execução"&amp;IF(Z75&lt;&gt;""," ("&amp;IF(Z75=-1,"subsolo",IF(Z75=0,"térreo",Z75&amp;"º pav."))&amp;")",""),IF(Y75&lt;&gt;"","até "&amp;IF(Y75=-1,"subsolo",IF(Y75=0,"térreo",Y75&amp;"º pav.")),W75&amp;" de "&amp;V75&amp;" concluídas")&amp;IF(Z75="","",IF(OR(Y75="",Z75&gt;Y75),", executando "&amp;IF(Z75=-1,"subsolo",IF(Z75=0,"térreo",Z75&amp;"º pav."))," (restam serviços no "&amp;IF(Z75=-1,"subsolo",IF(Z75=0,"térreo",Z75&amp;"º pav."))&amp;")"))))))</f>
        <v/>
      </c>
    </row>
    <row r="76">
      <c r="M76" s="2">
        <f>IF(C76="","",IFERROR(INDEX($S$5:$S$304,MATCH(C76,$R$5:$R$304,0))&amp;"","?"))</f>
        <v/>
      </c>
      <c r="N76" s="2">
        <f>IF(E76="","",IF(LEFT(E76,7)="SUBSOLO",-1,IF(LEFT(E76,6)="TÉRREO",0,IFERROR(VALUE(LEFT(E76,FIND("º",SUBSTITUTE(E76,"°","º"))-1)),""))))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5" t="inlineStr">
        <is>
          <t>FACHADA AERADA - F1 + F2 (1º ETAPA)</t>
        </is>
      </c>
      <c r="S76" s="5" t="inlineStr">
        <is>
          <t>32</t>
        </is>
      </c>
      <c r="T76" s="5" t="inlineStr">
        <is>
          <t>Fachada aerada - F1 + F2 (1º etapa)</t>
        </is>
      </c>
      <c r="U76" s="5" t="inlineStr">
        <is>
          <t>SIM</t>
        </is>
      </c>
      <c r="V76" s="2">
        <f>IF(R76="","",COUNTIF($C$5:$C$3004,R76))</f>
        <v/>
      </c>
      <c r="W76" s="2">
        <f>IF(R76="","",COUNTIFS($C$5:$C$3004,R76,$O$5:$O$3004,"CONCLUÍDA"))</f>
        <v/>
      </c>
      <c r="X76" s="2">
        <f>IF(R76="","",COUNTIFS($C$5:$C$3004,R76,$O$5:$O$3004,"EM ANDAMENTO"))</f>
        <v/>
      </c>
      <c r="Y76" s="2">
        <f>IF(R76="","",IF(COUNTIFS($C$5:$C$3004,R76,$O$5:$O$3004,"CONCLUÍDA",$N$5:$N$3004,"&gt;=-1")=0,"",_xlfn.MAXIFS($N$5:$N$3004,$C$5:$C$3004,R76,$O$5:$O$3004,"CONCLUÍDA")))</f>
        <v/>
      </c>
      <c r="Z76" s="2">
        <f>IF(R76="","",IF(COUNTIFS($C$5:$C$3004,R76,$O$5:$O$3004,"EM ANDAMENTO",$N$5:$N$3004,"&gt;=-1")=0,"",_xlfn.MAXIFS($N$5:$N$3004,$C$5:$C$3004,R76,$O$5:$O$3004,"EM ANDAMENTO")))</f>
        <v/>
      </c>
      <c r="AA76" s="2">
        <f>IF(OR(R76="",S76="",U76&lt;&gt;"SIM",V76=0),"",IF(W76+X76=0,"",T76&amp;": "&amp;IF(W76=V76,"concluído",IF(W76=0,"em execução"&amp;IF(Z76&lt;&gt;""," ("&amp;IF(Z76=-1,"subsolo",IF(Z76=0,"térreo",Z76&amp;"º pav."))&amp;")",""),IF(Y76&lt;&gt;"","até "&amp;IF(Y76=-1,"subsolo",IF(Y76=0,"térreo",Y76&amp;"º pav.")),W76&amp;" de "&amp;V76&amp;" concluídas")&amp;IF(Z76="","",IF(OR(Y76="",Z76&gt;Y76),", executando "&amp;IF(Z76=-1,"subsolo",IF(Z76=0,"térreo",Z76&amp;"º pav."))," (restam serviços no "&amp;IF(Z76=-1,"subsolo",IF(Z76=0,"térreo",Z76&amp;"º pav."))&amp;")"))))))</f>
        <v/>
      </c>
    </row>
    <row r="77">
      <c r="M77" s="2">
        <f>IF(C77="","",IFERROR(INDEX($S$5:$S$304,MATCH(C77,$R$5:$R$304,0))&amp;"","?"))</f>
        <v/>
      </c>
      <c r="N77" s="2">
        <f>IF(E77="","",IF(LEFT(E77,7)="SUBSOLO",-1,IF(LEFT(E77,6)="TÉRREO",0,IFERROR(VALUE(LEFT(E77,FIND("º",SUBSTITUTE(E77,"°","º"))-1)),""))))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5" t="inlineStr">
        <is>
          <t>DRYWALL</t>
        </is>
      </c>
      <c r="S77" s="5" t="inlineStr">
        <is>
          <t>18</t>
        </is>
      </c>
      <c r="T77" s="5" t="inlineStr">
        <is>
          <t>Drywall</t>
        </is>
      </c>
      <c r="U77" s="5" t="inlineStr">
        <is>
          <t>SIM</t>
        </is>
      </c>
      <c r="V77" s="2">
        <f>IF(R77="","",COUNTIF($C$5:$C$3004,R77))</f>
        <v/>
      </c>
      <c r="W77" s="2">
        <f>IF(R77="","",COUNTIFS($C$5:$C$3004,R77,$O$5:$O$3004,"CONCLUÍDA"))</f>
        <v/>
      </c>
      <c r="X77" s="2">
        <f>IF(R77="","",COUNTIFS($C$5:$C$3004,R77,$O$5:$O$3004,"EM ANDAMENTO"))</f>
        <v/>
      </c>
      <c r="Y77" s="2">
        <f>IF(R77="","",IF(COUNTIFS($C$5:$C$3004,R77,$O$5:$O$3004,"CONCLUÍDA",$N$5:$N$3004,"&gt;=-1")=0,"",_xlfn.MAXIFS($N$5:$N$3004,$C$5:$C$3004,R77,$O$5:$O$3004,"CONCLUÍDA")))</f>
        <v/>
      </c>
      <c r="Z77" s="2">
        <f>IF(R77="","",IF(COUNTIFS($C$5:$C$3004,R77,$O$5:$O$3004,"EM ANDAMENTO",$N$5:$N$3004,"&gt;=-1")=0,"",_xlfn.MAXIFS($N$5:$N$3004,$C$5:$C$3004,R77,$O$5:$O$3004,"EM ANDAMENTO")))</f>
        <v/>
      </c>
      <c r="AA77" s="2">
        <f>IF(OR(R77="",S77="",U77&lt;&gt;"SIM",V77=0),"",IF(W77+X77=0,"",T77&amp;": "&amp;IF(W77=V77,"concluído",IF(W77=0,"em execução"&amp;IF(Z77&lt;&gt;""," ("&amp;IF(Z77=-1,"subsolo",IF(Z77=0,"térreo",Z77&amp;"º pav."))&amp;")",""),IF(Y77&lt;&gt;"","até "&amp;IF(Y77=-1,"subsolo",IF(Y77=0,"térreo",Y77&amp;"º pav.")),W77&amp;" de "&amp;V77&amp;" concluídas")&amp;IF(Z77="","",IF(OR(Y77="",Z77&gt;Y77),", executando "&amp;IF(Z77=-1,"subsolo",IF(Z77=0,"térreo",Z77&amp;"º pav."))," (restam serviços no "&amp;IF(Z77=-1,"subsolo",IF(Z77=0,"térreo",Z77&amp;"º pav."))&amp;")"))))))</f>
        <v/>
      </c>
    </row>
    <row r="78">
      <c r="M78" s="2">
        <f>IF(C78="","",IFERROR(INDEX($S$5:$S$304,MATCH(C78,$R$5:$R$304,0))&amp;"","?"))</f>
        <v/>
      </c>
      <c r="N78" s="2">
        <f>IF(E78="","",IF(LEFT(E78,7)="SUBSOLO",-1,IF(LEFT(E78,6)="TÉRREO",0,IFERROR(VALUE(LEFT(E78,FIND("º",SUBSTITUTE(E78,"°","º"))-1)),""))))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5" t="inlineStr">
        <is>
          <t>INSTALAÇÃO DE ADUELAS (ELEVADORES)</t>
        </is>
      </c>
      <c r="S78" s="5" t="inlineStr">
        <is>
          <t>24</t>
        </is>
      </c>
      <c r="T78" s="5" t="inlineStr">
        <is>
          <t>Aduelas (elevadores)</t>
        </is>
      </c>
      <c r="U78" s="5" t="inlineStr">
        <is>
          <t>SIM</t>
        </is>
      </c>
      <c r="V78" s="2">
        <f>IF(R78="","",COUNTIF($C$5:$C$3004,R78))</f>
        <v/>
      </c>
      <c r="W78" s="2">
        <f>IF(R78="","",COUNTIFS($C$5:$C$3004,R78,$O$5:$O$3004,"CONCLUÍDA"))</f>
        <v/>
      </c>
      <c r="X78" s="2">
        <f>IF(R78="","",COUNTIFS($C$5:$C$3004,R78,$O$5:$O$3004,"EM ANDAMENTO"))</f>
        <v/>
      </c>
      <c r="Y78" s="2">
        <f>IF(R78="","",IF(COUNTIFS($C$5:$C$3004,R78,$O$5:$O$3004,"CONCLUÍDA",$N$5:$N$3004,"&gt;=-1")=0,"",_xlfn.MAXIFS($N$5:$N$3004,$C$5:$C$3004,R78,$O$5:$O$3004,"CONCLUÍDA")))</f>
        <v/>
      </c>
      <c r="Z78" s="2">
        <f>IF(R78="","",IF(COUNTIFS($C$5:$C$3004,R78,$O$5:$O$3004,"EM ANDAMENTO",$N$5:$N$3004,"&gt;=-1")=0,"",_xlfn.MAXIFS($N$5:$N$3004,$C$5:$C$3004,R78,$O$5:$O$3004,"EM ANDAMENTO")))</f>
        <v/>
      </c>
      <c r="AA78" s="2">
        <f>IF(OR(R78="",S78="",U78&lt;&gt;"SIM",V78=0),"",IF(W78+X78=0,"",T78&amp;": "&amp;IF(W78=V78,"concluído",IF(W78=0,"em execução"&amp;IF(Z78&lt;&gt;""," ("&amp;IF(Z78=-1,"subsolo",IF(Z78=0,"térreo",Z78&amp;"º pav."))&amp;")",""),IF(Y78&lt;&gt;"","até "&amp;IF(Y78=-1,"subsolo",IF(Y78=0,"térreo",Y78&amp;"º pav.")),W78&amp;" de "&amp;V78&amp;" concluídas")&amp;IF(Z78="","",IF(OR(Y78="",Z78&gt;Y78),", executando "&amp;IF(Z78=-1,"subsolo",IF(Z78=0,"térreo",Z78&amp;"º pav."))," (restam serviços no "&amp;IF(Z78=-1,"subsolo",IF(Z78=0,"térreo",Z78&amp;"º pav."))&amp;")"))))))</f>
        <v/>
      </c>
    </row>
    <row r="79">
      <c r="M79" s="2">
        <f>IF(C79="","",IFERROR(INDEX($S$5:$S$304,MATCH(C79,$R$5:$R$304,0))&amp;"","?"))</f>
        <v/>
      </c>
      <c r="N79" s="2">
        <f>IF(E79="","",IF(LEFT(E79,7)="SUBSOLO",-1,IF(LEFT(E79,6)="TÉRREO",0,IFERROR(VALUE(LEFT(E79,FIND("º",SUBSTITUTE(E79,"°","º"))-1)),""))))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5" t="inlineStr">
        <is>
          <t>REVESTIMENTO DE GRANITO PISO</t>
        </is>
      </c>
      <c r="S79" s="5" t="inlineStr">
        <is>
          <t>30</t>
        </is>
      </c>
      <c r="T79" s="5" t="inlineStr">
        <is>
          <t>Revestimento de granito piso</t>
        </is>
      </c>
      <c r="U79" s="5" t="inlineStr">
        <is>
          <t>NÃO</t>
        </is>
      </c>
      <c r="V79" s="2">
        <f>IF(R79="","",COUNTIF($C$5:$C$3004,R79))</f>
        <v/>
      </c>
      <c r="W79" s="2">
        <f>IF(R79="","",COUNTIFS($C$5:$C$3004,R79,$O$5:$O$3004,"CONCLUÍDA"))</f>
        <v/>
      </c>
      <c r="X79" s="2">
        <f>IF(R79="","",COUNTIFS($C$5:$C$3004,R79,$O$5:$O$3004,"EM ANDAMENTO"))</f>
        <v/>
      </c>
      <c r="Y79" s="2">
        <f>IF(R79="","",IF(COUNTIFS($C$5:$C$3004,R79,$O$5:$O$3004,"CONCLUÍDA",$N$5:$N$3004,"&gt;=-1")=0,"",_xlfn.MAXIFS($N$5:$N$3004,$C$5:$C$3004,R79,$O$5:$O$3004,"CONCLUÍDA")))</f>
        <v/>
      </c>
      <c r="Z79" s="2">
        <f>IF(R79="","",IF(COUNTIFS($C$5:$C$3004,R79,$O$5:$O$3004,"EM ANDAMENTO",$N$5:$N$3004,"&gt;=-1")=0,"",_xlfn.MAXIFS($N$5:$N$3004,$C$5:$C$3004,R79,$O$5:$O$3004,"EM ANDAMENTO")))</f>
        <v/>
      </c>
      <c r="AA79" s="2">
        <f>IF(OR(R79="",S79="",U79&lt;&gt;"SIM",V79=0),"",IF(W79+X79=0,"",T79&amp;": "&amp;IF(W79=V79,"concluído",IF(W79=0,"em execução"&amp;IF(Z79&lt;&gt;""," ("&amp;IF(Z79=-1,"subsolo",IF(Z79=0,"térreo",Z79&amp;"º pav."))&amp;")",""),IF(Y79&lt;&gt;"","até "&amp;IF(Y79=-1,"subsolo",IF(Y79=0,"térreo",Y79&amp;"º pav.")),W79&amp;" de "&amp;V79&amp;" concluídas")&amp;IF(Z79="","",IF(OR(Y79="",Z79&gt;Y79),", executando "&amp;IF(Z79=-1,"subsolo",IF(Z79=0,"térreo",Z79&amp;"º pav."))," (restam serviços no "&amp;IF(Z79=-1,"subsolo",IF(Z79=0,"térreo",Z79&amp;"º pav."))&amp;")"))))))</f>
        <v/>
      </c>
    </row>
    <row r="80">
      <c r="M80" s="2">
        <f>IF(C80="","",IFERROR(INDEX($S$5:$S$304,MATCH(C80,$R$5:$R$304,0))&amp;"","?"))</f>
        <v/>
      </c>
      <c r="N80" s="2">
        <f>IF(E80="","",IF(LEFT(E80,7)="SUBSOLO",-1,IF(LEFT(E80,6)="TÉRREO",0,IFERROR(VALUE(LEFT(E80,FIND("º",SUBSTITUTE(E80,"°","º"))-1)),""))))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5" t="inlineStr">
        <is>
          <t>BANCADAS</t>
        </is>
      </c>
      <c r="S80" s="5" t="inlineStr">
        <is>
          <t>30</t>
        </is>
      </c>
      <c r="T80" s="5" t="inlineStr">
        <is>
          <t>Bancadas</t>
        </is>
      </c>
      <c r="U80" s="5" t="inlineStr">
        <is>
          <t>SIM</t>
        </is>
      </c>
      <c r="V80" s="2">
        <f>IF(R80="","",COUNTIF($C$5:$C$3004,R80))</f>
        <v/>
      </c>
      <c r="W80" s="2">
        <f>IF(R80="","",COUNTIFS($C$5:$C$3004,R80,$O$5:$O$3004,"CONCLUÍDA"))</f>
        <v/>
      </c>
      <c r="X80" s="2">
        <f>IF(R80="","",COUNTIFS($C$5:$C$3004,R80,$O$5:$O$3004,"EM ANDAMENTO"))</f>
        <v/>
      </c>
      <c r="Y80" s="2">
        <f>IF(R80="","",IF(COUNTIFS($C$5:$C$3004,R80,$O$5:$O$3004,"CONCLUÍDA",$N$5:$N$3004,"&gt;=-1")=0,"",_xlfn.MAXIFS($N$5:$N$3004,$C$5:$C$3004,R80,$O$5:$O$3004,"CONCLUÍDA")))</f>
        <v/>
      </c>
      <c r="Z80" s="2">
        <f>IF(R80="","",IF(COUNTIFS($C$5:$C$3004,R80,$O$5:$O$3004,"EM ANDAMENTO",$N$5:$N$3004,"&gt;=-1")=0,"",_xlfn.MAXIFS($N$5:$N$3004,$C$5:$C$3004,R80,$O$5:$O$3004,"EM ANDAMENTO")))</f>
        <v/>
      </c>
      <c r="AA80" s="2">
        <f>IF(OR(R80="",S80="",U80&lt;&gt;"SIM",V80=0),"",IF(W80+X80=0,"",T80&amp;": "&amp;IF(W80=V80,"concluído",IF(W80=0,"em execução"&amp;IF(Z80&lt;&gt;""," ("&amp;IF(Z80=-1,"subsolo",IF(Z80=0,"térreo",Z80&amp;"º pav."))&amp;")",""),IF(Y80&lt;&gt;"","até "&amp;IF(Y80=-1,"subsolo",IF(Y80=0,"térreo",Y80&amp;"º pav.")),W80&amp;" de "&amp;V80&amp;" concluídas")&amp;IF(Z80="","",IF(OR(Y80="",Z80&gt;Y80),", executando "&amp;IF(Z80=-1,"subsolo",IF(Z80=0,"térreo",Z80&amp;"º pav."))," (restam serviços no "&amp;IF(Z80=-1,"subsolo",IF(Z80=0,"térreo",Z80&amp;"º pav."))&amp;")"))))))</f>
        <v/>
      </c>
    </row>
    <row r="81">
      <c r="M81" s="2">
        <f>IF(C81="","",IFERROR(INDEX($S$5:$S$304,MATCH(C81,$R$5:$R$304,0))&amp;"","?"))</f>
        <v/>
      </c>
      <c r="N81" s="2">
        <f>IF(E81="","",IF(LEFT(E81,7)="SUBSOLO",-1,IF(LEFT(E81,6)="TÉRREO",0,IFERROR(VALUE(LEFT(E81,FIND("º",SUBSTITUTE(E81,"°","º"))-1)),""))))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5" t="inlineStr">
        <is>
          <t>INSTALAÇÕES ELÉTRICAS</t>
        </is>
      </c>
      <c r="S81" s="5" t="inlineStr">
        <is>
          <t>20</t>
        </is>
      </c>
      <c r="T81" s="5" t="inlineStr">
        <is>
          <t>Inst. elétricas</t>
        </is>
      </c>
      <c r="U81" s="5" t="inlineStr">
        <is>
          <t>NÃO</t>
        </is>
      </c>
      <c r="V81" s="2">
        <f>IF(R81="","",COUNTIF($C$5:$C$3004,R81))</f>
        <v/>
      </c>
      <c r="W81" s="2">
        <f>IF(R81="","",COUNTIFS($C$5:$C$3004,R81,$O$5:$O$3004,"CONCLUÍDA"))</f>
        <v/>
      </c>
      <c r="X81" s="2">
        <f>IF(R81="","",COUNTIFS($C$5:$C$3004,R81,$O$5:$O$3004,"EM ANDAMENTO"))</f>
        <v/>
      </c>
      <c r="Y81" s="2">
        <f>IF(R81="","",IF(COUNTIFS($C$5:$C$3004,R81,$O$5:$O$3004,"CONCLUÍDA",$N$5:$N$3004,"&gt;=-1")=0,"",_xlfn.MAXIFS($N$5:$N$3004,$C$5:$C$3004,R81,$O$5:$O$3004,"CONCLUÍDA")))</f>
        <v/>
      </c>
      <c r="Z81" s="2">
        <f>IF(R81="","",IF(COUNTIFS($C$5:$C$3004,R81,$O$5:$O$3004,"EM ANDAMENTO",$N$5:$N$3004,"&gt;=-1")=0,"",_xlfn.MAXIFS($N$5:$N$3004,$C$5:$C$3004,R81,$O$5:$O$3004,"EM ANDAMENTO")))</f>
        <v/>
      </c>
      <c r="AA81" s="2">
        <f>IF(OR(R81="",S81="",U81&lt;&gt;"SIM",V81=0),"",IF(W81+X81=0,"",T81&amp;": "&amp;IF(W81=V81,"concluído",IF(W81=0,"em execução"&amp;IF(Z81&lt;&gt;""," ("&amp;IF(Z81=-1,"subsolo",IF(Z81=0,"térreo",Z81&amp;"º pav."))&amp;")",""),IF(Y81&lt;&gt;"","até "&amp;IF(Y81=-1,"subsolo",IF(Y81=0,"térreo",Y81&amp;"º pav.")),W81&amp;" de "&amp;V81&amp;" concluídas")&amp;IF(Z81="","",IF(OR(Y81="",Z81&gt;Y81),", executando "&amp;IF(Z81=-1,"subsolo",IF(Z81=0,"térreo",Z81&amp;"º pav."))," (restam serviços no "&amp;IF(Z81=-1,"subsolo",IF(Z81=0,"térreo",Z81&amp;"º pav."))&amp;")"))))))</f>
        <v/>
      </c>
    </row>
    <row r="82">
      <c r="M82" s="2">
        <f>IF(C82="","",IFERROR(INDEX($S$5:$S$304,MATCH(C82,$R$5:$R$304,0))&amp;"","?"))</f>
        <v/>
      </c>
      <c r="N82" s="2">
        <f>IF(E82="","",IF(LEFT(E82,7)="SUBSOLO",-1,IF(LEFT(E82,6)="TÉRREO",0,IFERROR(VALUE(LEFT(E82,FIND("º",SUBSTITUTE(E82,"°","º"))-1)),""))))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5" t="inlineStr">
        <is>
          <t>INSTALAÇÕES HIDRÁULICAS</t>
        </is>
      </c>
      <c r="S82" s="5" t="inlineStr">
        <is>
          <t>21</t>
        </is>
      </c>
      <c r="T82" s="5" t="inlineStr">
        <is>
          <t>Inst. hidráulicas</t>
        </is>
      </c>
      <c r="U82" s="5" t="inlineStr">
        <is>
          <t>NÃO</t>
        </is>
      </c>
      <c r="V82" s="2">
        <f>IF(R82="","",COUNTIF($C$5:$C$3004,R82))</f>
        <v/>
      </c>
      <c r="W82" s="2">
        <f>IF(R82="","",COUNTIFS($C$5:$C$3004,R82,$O$5:$O$3004,"CONCLUÍDA"))</f>
        <v/>
      </c>
      <c r="X82" s="2">
        <f>IF(R82="","",COUNTIFS($C$5:$C$3004,R82,$O$5:$O$3004,"EM ANDAMENTO"))</f>
        <v/>
      </c>
      <c r="Y82" s="2">
        <f>IF(R82="","",IF(COUNTIFS($C$5:$C$3004,R82,$O$5:$O$3004,"CONCLUÍDA",$N$5:$N$3004,"&gt;=-1")=0,"",_xlfn.MAXIFS($N$5:$N$3004,$C$5:$C$3004,R82,$O$5:$O$3004,"CONCLUÍDA")))</f>
        <v/>
      </c>
      <c r="Z82" s="2">
        <f>IF(R82="","",IF(COUNTIFS($C$5:$C$3004,R82,$O$5:$O$3004,"EM ANDAMENTO",$N$5:$N$3004,"&gt;=-1")=0,"",_xlfn.MAXIFS($N$5:$N$3004,$C$5:$C$3004,R82,$O$5:$O$3004,"EM ANDAMENTO")))</f>
        <v/>
      </c>
      <c r="AA82" s="2">
        <f>IF(OR(R82="",S82="",U82&lt;&gt;"SIM",V82=0),"",IF(W82+X82=0,"",T82&amp;": "&amp;IF(W82=V82,"concluído",IF(W82=0,"em execução"&amp;IF(Z82&lt;&gt;""," ("&amp;IF(Z82=-1,"subsolo",IF(Z82=0,"térreo",Z82&amp;"º pav."))&amp;")",""),IF(Y82&lt;&gt;"","até "&amp;IF(Y82=-1,"subsolo",IF(Y82=0,"térreo",Y82&amp;"º pav.")),W82&amp;" de "&amp;V82&amp;" concluídas")&amp;IF(Z82="","",IF(OR(Y82="",Z82&gt;Y82),", executando "&amp;IF(Z82=-1,"subsolo",IF(Z82=0,"térreo",Z82&amp;"º pav."))," (restam serviços no "&amp;IF(Z82=-1,"subsolo",IF(Z82=0,"térreo",Z82&amp;"º pav."))&amp;")"))))))</f>
        <v/>
      </c>
    </row>
    <row r="83">
      <c r="M83" s="2">
        <f>IF(C83="","",IFERROR(INDEX($S$5:$S$304,MATCH(C83,$R$5:$R$304,0))&amp;"","?"))</f>
        <v/>
      </c>
      <c r="N83" s="2">
        <f>IF(E83="","",IF(LEFT(E83,7)="SUBSOLO",-1,IF(LEFT(E83,6)="TÉRREO",0,IFERROR(VALUE(LEFT(E83,FIND("º",SUBSTITUTE(E83,"°","º"))-1)),""))))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5" t="inlineStr">
        <is>
          <t>FIAÇÃO ELÉTRICA</t>
        </is>
      </c>
      <c r="S83" s="5" t="inlineStr">
        <is>
          <t>20</t>
        </is>
      </c>
      <c r="T83" s="5" t="inlineStr">
        <is>
          <t>Fiação elétrica</t>
        </is>
      </c>
      <c r="U83" s="5" t="inlineStr">
        <is>
          <t>SIM</t>
        </is>
      </c>
      <c r="V83" s="2">
        <f>IF(R83="","",COUNTIF($C$5:$C$3004,R83))</f>
        <v/>
      </c>
      <c r="W83" s="2">
        <f>IF(R83="","",COUNTIFS($C$5:$C$3004,R83,$O$5:$O$3004,"CONCLUÍDA"))</f>
        <v/>
      </c>
      <c r="X83" s="2">
        <f>IF(R83="","",COUNTIFS($C$5:$C$3004,R83,$O$5:$O$3004,"EM ANDAMENTO"))</f>
        <v/>
      </c>
      <c r="Y83" s="2">
        <f>IF(R83="","",IF(COUNTIFS($C$5:$C$3004,R83,$O$5:$O$3004,"CONCLUÍDA",$N$5:$N$3004,"&gt;=-1")=0,"",_xlfn.MAXIFS($N$5:$N$3004,$C$5:$C$3004,R83,$O$5:$O$3004,"CONCLUÍDA")))</f>
        <v/>
      </c>
      <c r="Z83" s="2">
        <f>IF(R83="","",IF(COUNTIFS($C$5:$C$3004,R83,$O$5:$O$3004,"EM ANDAMENTO",$N$5:$N$3004,"&gt;=-1")=0,"",_xlfn.MAXIFS($N$5:$N$3004,$C$5:$C$3004,R83,$O$5:$O$3004,"EM ANDAMENTO")))</f>
        <v/>
      </c>
      <c r="AA83" s="2">
        <f>IF(OR(R83="",S83="",U83&lt;&gt;"SIM",V83=0),"",IF(W83+X83=0,"",T83&amp;": "&amp;IF(W83=V83,"concluído",IF(W83=0,"em execução"&amp;IF(Z83&lt;&gt;""," ("&amp;IF(Z83=-1,"subsolo",IF(Z83=0,"térreo",Z83&amp;"º pav."))&amp;")",""),IF(Y83&lt;&gt;"","até "&amp;IF(Y83=-1,"subsolo",IF(Y83=0,"térreo",Y83&amp;"º pav.")),W83&amp;" de "&amp;V83&amp;" concluídas")&amp;IF(Z83="","",IF(OR(Y83="",Z83&gt;Y83),", executando "&amp;IF(Z83=-1,"subsolo",IF(Z83=0,"térreo",Z83&amp;"º pav."))," (restam serviços no "&amp;IF(Z83=-1,"subsolo",IF(Z83=0,"térreo",Z83&amp;"º pav."))&amp;")"))))))</f>
        <v/>
      </c>
    </row>
    <row r="84">
      <c r="M84" s="2">
        <f>IF(C84="","",IFERROR(INDEX($S$5:$S$304,MATCH(C84,$R$5:$R$304,0))&amp;"","?"))</f>
        <v/>
      </c>
      <c r="N84" s="2">
        <f>IF(E84="","",IF(LEFT(E84,7)="SUBSOLO",-1,IF(LEFT(E84,6)="TÉRREO",0,IFERROR(VALUE(LEFT(E84,FIND("º",SUBSTITUTE(E84,"°","º"))-1)),""))))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5" t="inlineStr">
        <is>
          <t>PRUMADA ELÉTRICA - CABOS</t>
        </is>
      </c>
      <c r="S84" s="5" t="inlineStr">
        <is>
          <t>20</t>
        </is>
      </c>
      <c r="T84" s="5" t="inlineStr">
        <is>
          <t>Prumada elétrica - cabos</t>
        </is>
      </c>
      <c r="U84" s="5" t="inlineStr">
        <is>
          <t>SIM</t>
        </is>
      </c>
      <c r="V84" s="2">
        <f>IF(R84="","",COUNTIF($C$5:$C$3004,R84))</f>
        <v/>
      </c>
      <c r="W84" s="2">
        <f>IF(R84="","",COUNTIFS($C$5:$C$3004,R84,$O$5:$O$3004,"CONCLUÍDA"))</f>
        <v/>
      </c>
      <c r="X84" s="2">
        <f>IF(R84="","",COUNTIFS($C$5:$C$3004,R84,$O$5:$O$3004,"EM ANDAMENTO"))</f>
        <v/>
      </c>
      <c r="Y84" s="2">
        <f>IF(R84="","",IF(COUNTIFS($C$5:$C$3004,R84,$O$5:$O$3004,"CONCLUÍDA",$N$5:$N$3004,"&gt;=-1")=0,"",_xlfn.MAXIFS($N$5:$N$3004,$C$5:$C$3004,R84,$O$5:$O$3004,"CONCLUÍDA")))</f>
        <v/>
      </c>
      <c r="Z84" s="2">
        <f>IF(R84="","",IF(COUNTIFS($C$5:$C$3004,R84,$O$5:$O$3004,"EM ANDAMENTO",$N$5:$N$3004,"&gt;=-1")=0,"",_xlfn.MAXIFS($N$5:$N$3004,$C$5:$C$3004,R84,$O$5:$O$3004,"EM ANDAMENTO")))</f>
        <v/>
      </c>
      <c r="AA84" s="2">
        <f>IF(OR(R84="",S84="",U84&lt;&gt;"SIM",V84=0),"",IF(W84+X84=0,"",T84&amp;": "&amp;IF(W84=V84,"concluído",IF(W84=0,"em execução"&amp;IF(Z84&lt;&gt;""," ("&amp;IF(Z84=-1,"subsolo",IF(Z84=0,"térreo",Z84&amp;"º pav."))&amp;")",""),IF(Y84&lt;&gt;"","até "&amp;IF(Y84=-1,"subsolo",IF(Y84=0,"térreo",Y84&amp;"º pav.")),W84&amp;" de "&amp;V84&amp;" concluídas")&amp;IF(Z84="","",IF(OR(Y84="",Z84&gt;Y84),", executando "&amp;IF(Z84=-1,"subsolo",IF(Z84=0,"térreo",Z84&amp;"º pav."))," (restam serviços no "&amp;IF(Z84=-1,"subsolo",IF(Z84=0,"térreo",Z84&amp;"º pav."))&amp;")"))))))</f>
        <v/>
      </c>
    </row>
    <row r="85">
      <c r="M85" s="2">
        <f>IF(C85="","",IFERROR(INDEX($S$5:$S$304,MATCH(C85,$R$5:$R$304,0))&amp;"","?"))</f>
        <v/>
      </c>
      <c r="N85" s="2">
        <f>IF(E85="","",IF(LEFT(E85,7)="SUBSOLO",-1,IF(LEFT(E85,6)="TÉRREO",0,IFERROR(VALUE(LEFT(E85,FIND("º",SUBSTITUTE(E85,"°","º"))-1)),""))))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5" t="inlineStr">
        <is>
          <t>FIAÇÃO TELECOM/DADOS</t>
        </is>
      </c>
      <c r="S85" s="5" t="inlineStr">
        <is>
          <t>20</t>
        </is>
      </c>
      <c r="T85" s="5" t="inlineStr">
        <is>
          <t>Fiação telecom/dados</t>
        </is>
      </c>
      <c r="U85" s="5" t="inlineStr">
        <is>
          <t>SIM</t>
        </is>
      </c>
      <c r="V85" s="2">
        <f>IF(R85="","",COUNTIF($C$5:$C$3004,R85))</f>
        <v/>
      </c>
      <c r="W85" s="2">
        <f>IF(R85="","",COUNTIFS($C$5:$C$3004,R85,$O$5:$O$3004,"CONCLUÍDA"))</f>
        <v/>
      </c>
      <c r="X85" s="2">
        <f>IF(R85="","",COUNTIFS($C$5:$C$3004,R85,$O$5:$O$3004,"EM ANDAMENTO"))</f>
        <v/>
      </c>
      <c r="Y85" s="2">
        <f>IF(R85="","",IF(COUNTIFS($C$5:$C$3004,R85,$O$5:$O$3004,"CONCLUÍDA",$N$5:$N$3004,"&gt;=-1")=0,"",_xlfn.MAXIFS($N$5:$N$3004,$C$5:$C$3004,R85,$O$5:$O$3004,"CONCLUÍDA")))</f>
        <v/>
      </c>
      <c r="Z85" s="2">
        <f>IF(R85="","",IF(COUNTIFS($C$5:$C$3004,R85,$O$5:$O$3004,"EM ANDAMENTO",$N$5:$N$3004,"&gt;=-1")=0,"",_xlfn.MAXIFS($N$5:$N$3004,$C$5:$C$3004,R85,$O$5:$O$3004,"EM ANDAMENTO")))</f>
        <v/>
      </c>
      <c r="AA85" s="2">
        <f>IF(OR(R85="",S85="",U85&lt;&gt;"SIM",V85=0),"",IF(W85+X85=0,"",T85&amp;": "&amp;IF(W85=V85,"concluído",IF(W85=0,"em execução"&amp;IF(Z85&lt;&gt;""," ("&amp;IF(Z85=-1,"subsolo",IF(Z85=0,"térreo",Z85&amp;"º pav."))&amp;")",""),IF(Y85&lt;&gt;"","até "&amp;IF(Y85=-1,"subsolo",IF(Y85=0,"térreo",Y85&amp;"º pav.")),W85&amp;" de "&amp;V85&amp;" concluídas")&amp;IF(Z85="","",IF(OR(Y85="",Z85&gt;Y85),", executando "&amp;IF(Z85=-1,"subsolo",IF(Z85=0,"térreo",Z85&amp;"º pav."))," (restam serviços no "&amp;IF(Z85=-1,"subsolo",IF(Z85=0,"térreo",Z85&amp;"º pav."))&amp;")"))))))</f>
        <v/>
      </c>
    </row>
    <row r="86">
      <c r="M86" s="2">
        <f>IF(C86="","",IFERROR(INDEX($S$5:$S$304,MATCH(C86,$R$5:$R$304,0))&amp;"","?"))</f>
        <v/>
      </c>
      <c r="N86" s="2">
        <f>IF(E86="","",IF(LEFT(E86,7)="SUBSOLO",-1,IF(LEFT(E86,6)="TÉRREO",0,IFERROR(VALUE(LEFT(E86,FIND("º",SUBSTITUTE(E86,"°","º"))-1)),""))))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5" t="inlineStr">
        <is>
          <t>INSTALAÇÕES DE INCÊNDIO</t>
        </is>
      </c>
      <c r="S86" s="5" t="inlineStr">
        <is>
          <t>22</t>
        </is>
      </c>
      <c r="T86" s="5" t="inlineStr">
        <is>
          <t>Inst. de incêndio</t>
        </is>
      </c>
      <c r="U86" s="5" t="inlineStr">
        <is>
          <t>NÃO</t>
        </is>
      </c>
      <c r="V86" s="2">
        <f>IF(R86="","",COUNTIF($C$5:$C$3004,R86))</f>
        <v/>
      </c>
      <c r="W86" s="2">
        <f>IF(R86="","",COUNTIFS($C$5:$C$3004,R86,$O$5:$O$3004,"CONCLUÍDA"))</f>
        <v/>
      </c>
      <c r="X86" s="2">
        <f>IF(R86="","",COUNTIFS($C$5:$C$3004,R86,$O$5:$O$3004,"EM ANDAMENTO"))</f>
        <v/>
      </c>
      <c r="Y86" s="2">
        <f>IF(R86="","",IF(COUNTIFS($C$5:$C$3004,R86,$O$5:$O$3004,"CONCLUÍDA",$N$5:$N$3004,"&gt;=-1")=0,"",_xlfn.MAXIFS($N$5:$N$3004,$C$5:$C$3004,R86,$O$5:$O$3004,"CONCLUÍDA")))</f>
        <v/>
      </c>
      <c r="Z86" s="2">
        <f>IF(R86="","",IF(COUNTIFS($C$5:$C$3004,R86,$O$5:$O$3004,"EM ANDAMENTO",$N$5:$N$3004,"&gt;=-1")=0,"",_xlfn.MAXIFS($N$5:$N$3004,$C$5:$C$3004,R86,$O$5:$O$3004,"EM ANDAMENTO")))</f>
        <v/>
      </c>
      <c r="AA86" s="2">
        <f>IF(OR(R86="",S86="",U86&lt;&gt;"SIM",V86=0),"",IF(W86+X86=0,"",T86&amp;": "&amp;IF(W86=V86,"concluído",IF(W86=0,"em execução"&amp;IF(Z86&lt;&gt;""," ("&amp;IF(Z86=-1,"subsolo",IF(Z86=0,"térreo",Z86&amp;"º pav."))&amp;")",""),IF(Y86&lt;&gt;"","até "&amp;IF(Y86=-1,"subsolo",IF(Y86=0,"térreo",Y86&amp;"º pav.")),W86&amp;" de "&amp;V86&amp;" concluídas")&amp;IF(Z86="","",IF(OR(Y86="",Z86&gt;Y86),", executando "&amp;IF(Z86=-1,"subsolo",IF(Z86=0,"térreo",Z86&amp;"º pav."))," (restam serviços no "&amp;IF(Z86=-1,"subsolo",IF(Z86=0,"térreo",Z86&amp;"º pav."))&amp;")"))))))</f>
        <v/>
      </c>
    </row>
    <row r="87">
      <c r="M87" s="2">
        <f>IF(C87="","",IFERROR(INDEX($S$5:$S$304,MATCH(C87,$R$5:$R$304,0))&amp;"","?"))</f>
        <v/>
      </c>
      <c r="N87" s="2">
        <f>IF(E87="","",IF(LEFT(E87,7)="SUBSOLO",-1,IF(LEFT(E87,6)="TÉRREO",0,IFERROR(VALUE(LEFT(E87,FIND("º",SUBSTITUTE(E87,"°","º"))-1)),""))))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5" t="inlineStr">
        <is>
          <t>PREPARAÇÃO PARA FACHADA AERADA - F3 + F4 (1º ETAPA)</t>
        </is>
      </c>
      <c r="S87" s="5" t="inlineStr">
        <is>
          <t>32</t>
        </is>
      </c>
      <c r="T87" s="5" t="inlineStr">
        <is>
          <t>Preparação para fachada aerada - F3 + F4 (1º etapa)</t>
        </is>
      </c>
      <c r="U87" s="5" t="inlineStr">
        <is>
          <t>SIM</t>
        </is>
      </c>
      <c r="V87" s="2">
        <f>IF(R87="","",COUNTIF($C$5:$C$3004,R87))</f>
        <v/>
      </c>
      <c r="W87" s="2">
        <f>IF(R87="","",COUNTIFS($C$5:$C$3004,R87,$O$5:$O$3004,"CONCLUÍDA"))</f>
        <v/>
      </c>
      <c r="X87" s="2">
        <f>IF(R87="","",COUNTIFS($C$5:$C$3004,R87,$O$5:$O$3004,"EM ANDAMENTO"))</f>
        <v/>
      </c>
      <c r="Y87" s="2">
        <f>IF(R87="","",IF(COUNTIFS($C$5:$C$3004,R87,$O$5:$O$3004,"CONCLUÍDA",$N$5:$N$3004,"&gt;=-1")=0,"",_xlfn.MAXIFS($N$5:$N$3004,$C$5:$C$3004,R87,$O$5:$O$3004,"CONCLUÍDA")))</f>
        <v/>
      </c>
      <c r="Z87" s="2">
        <f>IF(R87="","",IF(COUNTIFS($C$5:$C$3004,R87,$O$5:$O$3004,"EM ANDAMENTO",$N$5:$N$3004,"&gt;=-1")=0,"",_xlfn.MAXIFS($N$5:$N$3004,$C$5:$C$3004,R87,$O$5:$O$3004,"EM ANDAMENTO")))</f>
        <v/>
      </c>
      <c r="AA87" s="2">
        <f>IF(OR(R87="",S87="",U87&lt;&gt;"SIM",V87=0),"",IF(W87+X87=0,"",T87&amp;": "&amp;IF(W87=V87,"concluído",IF(W87=0,"em execução"&amp;IF(Z87&lt;&gt;""," ("&amp;IF(Z87=-1,"subsolo",IF(Z87=0,"térreo",Z87&amp;"º pav."))&amp;")",""),IF(Y87&lt;&gt;"","até "&amp;IF(Y87=-1,"subsolo",IF(Y87=0,"térreo",Y87&amp;"º pav.")),W87&amp;" de "&amp;V87&amp;" concluídas")&amp;IF(Z87="","",IF(OR(Y87="",Z87&gt;Y87),", executando "&amp;IF(Z87=-1,"subsolo",IF(Z87=0,"térreo",Z87&amp;"º pav."))," (restam serviços no "&amp;IF(Z87=-1,"subsolo",IF(Z87=0,"térreo",Z87&amp;"º pav."))&amp;")"))))))</f>
        <v/>
      </c>
    </row>
    <row r="88">
      <c r="M88" s="2">
        <f>IF(C88="","",IFERROR(INDEX($S$5:$S$304,MATCH(C88,$R$5:$R$304,0))&amp;"","?"))</f>
        <v/>
      </c>
      <c r="N88" s="2">
        <f>IF(E88="","",IF(LEFT(E88,7)="SUBSOLO",-1,IF(LEFT(E88,6)="TÉRREO",0,IFERROR(VALUE(LEFT(E88,FIND("º",SUBSTITUTE(E88,"°","º"))-1)),""))))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5" t="inlineStr">
        <is>
          <t>FORRO</t>
        </is>
      </c>
      <c r="S88" s="5" t="inlineStr">
        <is>
          <t>33</t>
        </is>
      </c>
      <c r="T88" s="5" t="inlineStr">
        <is>
          <t>Forro</t>
        </is>
      </c>
      <c r="U88" s="5" t="inlineStr">
        <is>
          <t>SIM</t>
        </is>
      </c>
      <c r="V88" s="2">
        <f>IF(R88="","",COUNTIF($C$5:$C$3004,R88))</f>
        <v/>
      </c>
      <c r="W88" s="2">
        <f>IF(R88="","",COUNTIFS($C$5:$C$3004,R88,$O$5:$O$3004,"CONCLUÍDA"))</f>
        <v/>
      </c>
      <c r="X88" s="2">
        <f>IF(R88="","",COUNTIFS($C$5:$C$3004,R88,$O$5:$O$3004,"EM ANDAMENTO"))</f>
        <v/>
      </c>
      <c r="Y88" s="2">
        <f>IF(R88="","",IF(COUNTIFS($C$5:$C$3004,R88,$O$5:$O$3004,"CONCLUÍDA",$N$5:$N$3004,"&gt;=-1")=0,"",_xlfn.MAXIFS($N$5:$N$3004,$C$5:$C$3004,R88,$O$5:$O$3004,"CONCLUÍDA")))</f>
        <v/>
      </c>
      <c r="Z88" s="2">
        <f>IF(R88="","",IF(COUNTIFS($C$5:$C$3004,R88,$O$5:$O$3004,"EM ANDAMENTO",$N$5:$N$3004,"&gt;=-1")=0,"",_xlfn.MAXIFS($N$5:$N$3004,$C$5:$C$3004,R88,$O$5:$O$3004,"EM ANDAMENTO")))</f>
        <v/>
      </c>
      <c r="AA88" s="2">
        <f>IF(OR(R88="",S88="",U88&lt;&gt;"SIM",V88=0),"",IF(W88+X88=0,"",T88&amp;": "&amp;IF(W88=V88,"concluído",IF(W88=0,"em execução"&amp;IF(Z88&lt;&gt;""," ("&amp;IF(Z88=-1,"subsolo",IF(Z88=0,"térreo",Z88&amp;"º pav."))&amp;")",""),IF(Y88&lt;&gt;"","até "&amp;IF(Y88=-1,"subsolo",IF(Y88=0,"térreo",Y88&amp;"º pav.")),W88&amp;" de "&amp;V88&amp;" concluídas")&amp;IF(Z88="","",IF(OR(Y88="",Z88&gt;Y88),", executando "&amp;IF(Z88=-1,"subsolo",IF(Z88=0,"térreo",Z88&amp;"º pav."))," (restam serviços no "&amp;IF(Z88=-1,"subsolo",IF(Z88=0,"térreo",Z88&amp;"º pav."))&amp;")"))))))</f>
        <v/>
      </c>
    </row>
    <row r="89">
      <c r="M89" s="2">
        <f>IF(C89="","",IFERROR(INDEX($S$5:$S$304,MATCH(C89,$R$5:$R$304,0))&amp;"","?"))</f>
        <v/>
      </c>
      <c r="N89" s="2">
        <f>IF(E89="","",IF(LEFT(E89,7)="SUBSOLO",-1,IF(LEFT(E89,6)="TÉRREO",0,IFERROR(VALUE(LEFT(E89,FIND("º",SUBSTITUTE(E89,"°","º"))-1)),""))))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5" t="inlineStr">
        <is>
          <t>SHAFT</t>
        </is>
      </c>
      <c r="S89" s="5" t="inlineStr">
        <is>
          <t>18</t>
        </is>
      </c>
      <c r="T89" s="5" t="inlineStr">
        <is>
          <t>Shaft</t>
        </is>
      </c>
      <c r="U89" s="5" t="inlineStr">
        <is>
          <t>NÃO</t>
        </is>
      </c>
      <c r="V89" s="2">
        <f>IF(R89="","",COUNTIF($C$5:$C$3004,R89))</f>
        <v/>
      </c>
      <c r="W89" s="2">
        <f>IF(R89="","",COUNTIFS($C$5:$C$3004,R89,$O$5:$O$3004,"CONCLUÍDA"))</f>
        <v/>
      </c>
      <c r="X89" s="2">
        <f>IF(R89="","",COUNTIFS($C$5:$C$3004,R89,$O$5:$O$3004,"EM ANDAMENTO"))</f>
        <v/>
      </c>
      <c r="Y89" s="2">
        <f>IF(R89="","",IF(COUNTIFS($C$5:$C$3004,R89,$O$5:$O$3004,"CONCLUÍDA",$N$5:$N$3004,"&gt;=-1")=0,"",_xlfn.MAXIFS($N$5:$N$3004,$C$5:$C$3004,R89,$O$5:$O$3004,"CONCLUÍDA")))</f>
        <v/>
      </c>
      <c r="Z89" s="2">
        <f>IF(R89="","",IF(COUNTIFS($C$5:$C$3004,R89,$O$5:$O$3004,"EM ANDAMENTO",$N$5:$N$3004,"&gt;=-1")=0,"",_xlfn.MAXIFS($N$5:$N$3004,$C$5:$C$3004,R89,$O$5:$O$3004,"EM ANDAMENTO")))</f>
        <v/>
      </c>
      <c r="AA89" s="2">
        <f>IF(OR(R89="",S89="",U89&lt;&gt;"SIM",V89=0),"",IF(W89+X89=0,"",T89&amp;": "&amp;IF(W89=V89,"concluído",IF(W89=0,"em execução"&amp;IF(Z89&lt;&gt;""," ("&amp;IF(Z89=-1,"subsolo",IF(Z89=0,"térreo",Z89&amp;"º pav."))&amp;")",""),IF(Y89&lt;&gt;"","até "&amp;IF(Y89=-1,"subsolo",IF(Y89=0,"térreo",Y89&amp;"º pav.")),W89&amp;" de "&amp;V89&amp;" concluídas")&amp;IF(Z89="","",IF(OR(Y89="",Z89&gt;Y89),", executando "&amp;IF(Z89=-1,"subsolo",IF(Z89=0,"térreo",Z89&amp;"º pav."))," (restam serviços no "&amp;IF(Z89=-1,"subsolo",IF(Z89=0,"térreo",Z89&amp;"º pav."))&amp;")"))))))</f>
        <v/>
      </c>
    </row>
    <row r="90">
      <c r="M90" s="2">
        <f>IF(C90="","",IFERROR(INDEX($S$5:$S$304,MATCH(C90,$R$5:$R$304,0))&amp;"","?"))</f>
        <v/>
      </c>
      <c r="N90" s="2">
        <f>IF(E90="","",IF(LEFT(E90,7)="SUBSOLO",-1,IF(LEFT(E90,6)="TÉRREO",0,IFERROR(VALUE(LEFT(E90,FIND("º",SUBSTITUTE(E90,"°","º"))-1)),""))))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5" t="inlineStr">
        <is>
          <t>PRESSURIZAÇÃO (VENTILAÇÃO)</t>
        </is>
      </c>
      <c r="S90" s="5" t="inlineStr">
        <is>
          <t>23</t>
        </is>
      </c>
      <c r="T90" s="5" t="inlineStr">
        <is>
          <t>Pressurização (ventilação)</t>
        </is>
      </c>
      <c r="U90" s="5" t="inlineStr">
        <is>
          <t>NÃO</t>
        </is>
      </c>
      <c r="V90" s="2">
        <f>IF(R90="","",COUNTIF($C$5:$C$3004,R90))</f>
        <v/>
      </c>
      <c r="W90" s="2">
        <f>IF(R90="","",COUNTIFS($C$5:$C$3004,R90,$O$5:$O$3004,"CONCLUÍDA"))</f>
        <v/>
      </c>
      <c r="X90" s="2">
        <f>IF(R90="","",COUNTIFS($C$5:$C$3004,R90,$O$5:$O$3004,"EM ANDAMENTO"))</f>
        <v/>
      </c>
      <c r="Y90" s="2">
        <f>IF(R90="","",IF(COUNTIFS($C$5:$C$3004,R90,$O$5:$O$3004,"CONCLUÍDA",$N$5:$N$3004,"&gt;=-1")=0,"",_xlfn.MAXIFS($N$5:$N$3004,$C$5:$C$3004,R90,$O$5:$O$3004,"CONCLUÍDA")))</f>
        <v/>
      </c>
      <c r="Z90" s="2">
        <f>IF(R90="","",IF(COUNTIFS($C$5:$C$3004,R90,$O$5:$O$3004,"EM ANDAMENTO",$N$5:$N$3004,"&gt;=-1")=0,"",_xlfn.MAXIFS($N$5:$N$3004,$C$5:$C$3004,R90,$O$5:$O$3004,"EM ANDAMENTO")))</f>
        <v/>
      </c>
      <c r="AA90" s="2">
        <f>IF(OR(R90="",S90="",U90&lt;&gt;"SIM",V90=0),"",IF(W90+X90=0,"",T90&amp;": "&amp;IF(W90=V90,"concluído",IF(W90=0,"em execução"&amp;IF(Z90&lt;&gt;""," ("&amp;IF(Z90=-1,"subsolo",IF(Z90=0,"térreo",Z90&amp;"º pav."))&amp;")",""),IF(Y90&lt;&gt;"","até "&amp;IF(Y90=-1,"subsolo",IF(Y90=0,"térreo",Y90&amp;"º pav.")),W90&amp;" de "&amp;V90&amp;" concluídas")&amp;IF(Z90="","",IF(OR(Y90="",Z90&gt;Y90),", executando "&amp;IF(Z90=-1,"subsolo",IF(Z90=0,"térreo",Z90&amp;"º pav."))," (restam serviços no "&amp;IF(Z90=-1,"subsolo",IF(Z90=0,"térreo",Z90&amp;"º pav."))&amp;")"))))))</f>
        <v/>
      </c>
    </row>
    <row r="91">
      <c r="M91" s="2">
        <f>IF(C91="","",IFERROR(INDEX($S$5:$S$304,MATCH(C91,$R$5:$R$304,0))&amp;"","?"))</f>
        <v/>
      </c>
      <c r="N91" s="2">
        <f>IF(E91="","",IF(LEFT(E91,7)="SUBSOLO",-1,IF(LEFT(E91,6)="TÉRREO",0,IFERROR(VALUE(LEFT(E91,FIND("º",SUBSTITUTE(E91,"°","º"))-1)),""))))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5" t="inlineStr">
        <is>
          <t>RESERVATÓRIO</t>
        </is>
      </c>
      <c r="S91" s="5" t="inlineStr">
        <is>
          <t>21</t>
        </is>
      </c>
      <c r="T91" s="5" t="inlineStr">
        <is>
          <t>Reservatório</t>
        </is>
      </c>
      <c r="U91" s="5" t="inlineStr">
        <is>
          <t>NÃO</t>
        </is>
      </c>
      <c r="V91" s="2">
        <f>IF(R91="","",COUNTIF($C$5:$C$3004,R91))</f>
        <v/>
      </c>
      <c r="W91" s="2">
        <f>IF(R91="","",COUNTIFS($C$5:$C$3004,R91,$O$5:$O$3004,"CONCLUÍDA"))</f>
        <v/>
      </c>
      <c r="X91" s="2">
        <f>IF(R91="","",COUNTIFS($C$5:$C$3004,R91,$O$5:$O$3004,"EM ANDAMENTO"))</f>
        <v/>
      </c>
      <c r="Y91" s="2">
        <f>IF(R91="","",IF(COUNTIFS($C$5:$C$3004,R91,$O$5:$O$3004,"CONCLUÍDA",$N$5:$N$3004,"&gt;=-1")=0,"",_xlfn.MAXIFS($N$5:$N$3004,$C$5:$C$3004,R91,$O$5:$O$3004,"CONCLUÍDA")))</f>
        <v/>
      </c>
      <c r="Z91" s="2">
        <f>IF(R91="","",IF(COUNTIFS($C$5:$C$3004,R91,$O$5:$O$3004,"EM ANDAMENTO",$N$5:$N$3004,"&gt;=-1")=0,"",_xlfn.MAXIFS($N$5:$N$3004,$C$5:$C$3004,R91,$O$5:$O$3004,"EM ANDAMENTO")))</f>
        <v/>
      </c>
      <c r="AA91" s="2">
        <f>IF(OR(R91="",S91="",U91&lt;&gt;"SIM",V91=0),"",IF(W91+X91=0,"",T91&amp;": "&amp;IF(W91=V91,"concluído",IF(W91=0,"em execução"&amp;IF(Z91&lt;&gt;""," ("&amp;IF(Z91=-1,"subsolo",IF(Z91=0,"térreo",Z91&amp;"º pav."))&amp;")",""),IF(Y91&lt;&gt;"","até "&amp;IF(Y91=-1,"subsolo",IF(Y91=0,"térreo",Y91&amp;"º pav.")),W91&amp;" de "&amp;V91&amp;" concluídas")&amp;IF(Z91="","",IF(OR(Y91="",Z91&gt;Y91),", executando "&amp;IF(Z91=-1,"subsolo",IF(Z91=0,"térreo",Z91&amp;"º pav."))," (restam serviços no "&amp;IF(Z91=-1,"subsolo",IF(Z91=0,"térreo",Z91&amp;"º pav."))&amp;")"))))))</f>
        <v/>
      </c>
    </row>
    <row r="92">
      <c r="M92" s="2">
        <f>IF(C92="","",IFERROR(INDEX($S$5:$S$304,MATCH(C92,$R$5:$R$304,0))&amp;"","?"))</f>
        <v/>
      </c>
      <c r="N92" s="2">
        <f>IF(E92="","",IF(LEFT(E92,7)="SUBSOLO",-1,IF(LEFT(E92,6)="TÉRREO",0,IFERROR(VALUE(LEFT(E92,FIND("º",SUBSTITUTE(E92,"°","º"))-1)),""))))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5" t="inlineStr">
        <is>
          <t>FACHADA AERADA - F3 + F4 (1º ETAPA)</t>
        </is>
      </c>
      <c r="S92" s="5" t="inlineStr">
        <is>
          <t>32</t>
        </is>
      </c>
      <c r="T92" s="5" t="inlineStr">
        <is>
          <t>Fachada aerada - F3 + F4 (1º etapa)</t>
        </is>
      </c>
      <c r="U92" s="5" t="inlineStr">
        <is>
          <t>SIM</t>
        </is>
      </c>
      <c r="V92" s="2">
        <f>IF(R92="","",COUNTIF($C$5:$C$3004,R92))</f>
        <v/>
      </c>
      <c r="W92" s="2">
        <f>IF(R92="","",COUNTIFS($C$5:$C$3004,R92,$O$5:$O$3004,"CONCLUÍDA"))</f>
        <v/>
      </c>
      <c r="X92" s="2">
        <f>IF(R92="","",COUNTIFS($C$5:$C$3004,R92,$O$5:$O$3004,"EM ANDAMENTO"))</f>
        <v/>
      </c>
      <c r="Y92" s="2">
        <f>IF(R92="","",IF(COUNTIFS($C$5:$C$3004,R92,$O$5:$O$3004,"CONCLUÍDA",$N$5:$N$3004,"&gt;=-1")=0,"",_xlfn.MAXIFS($N$5:$N$3004,$C$5:$C$3004,R92,$O$5:$O$3004,"CONCLUÍDA")))</f>
        <v/>
      </c>
      <c r="Z92" s="2">
        <f>IF(R92="","",IF(COUNTIFS($C$5:$C$3004,R92,$O$5:$O$3004,"EM ANDAMENTO",$N$5:$N$3004,"&gt;=-1")=0,"",_xlfn.MAXIFS($N$5:$N$3004,$C$5:$C$3004,R92,$O$5:$O$3004,"EM ANDAMENTO")))</f>
        <v/>
      </c>
      <c r="AA92" s="2">
        <f>IF(OR(R92="",S92="",U92&lt;&gt;"SIM",V92=0),"",IF(W92+X92=0,"",T92&amp;": "&amp;IF(W92=V92,"concluído",IF(W92=0,"em execução"&amp;IF(Z92&lt;&gt;""," ("&amp;IF(Z92=-1,"subsolo",IF(Z92=0,"térreo",Z92&amp;"º pav."))&amp;")",""),IF(Y92&lt;&gt;"","até "&amp;IF(Y92=-1,"subsolo",IF(Y92=0,"térreo",Y92&amp;"º pav.")),W92&amp;" de "&amp;V92&amp;" concluídas")&amp;IF(Z92="","",IF(OR(Y92="",Z92&gt;Y92),", executando "&amp;IF(Z92=-1,"subsolo",IF(Z92=0,"térreo",Z92&amp;"º pav."))," (restam serviços no "&amp;IF(Z92=-1,"subsolo",IF(Z92=0,"térreo",Z92&amp;"º pav."))&amp;")"))))))</f>
        <v/>
      </c>
    </row>
    <row r="93">
      <c r="M93" s="2">
        <f>IF(C93="","",IFERROR(INDEX($S$5:$S$304,MATCH(C93,$R$5:$R$304,0))&amp;"","?"))</f>
        <v/>
      </c>
      <c r="N93" s="2">
        <f>IF(E93="","",IF(LEFT(E93,7)="SUBSOLO",-1,IF(LEFT(E93,6)="TÉRREO",0,IFERROR(VALUE(LEFT(E93,FIND("º",SUBSTITUTE(E93,"°","º"))-1)),""))))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5" t="inlineStr">
        <is>
          <t>PEITORIS E REQUADROS DE FACHADA - F1 + F2 (1º ETAPA)</t>
        </is>
      </c>
      <c r="S93" s="5" t="inlineStr">
        <is>
          <t>32</t>
        </is>
      </c>
      <c r="T93" s="5" t="inlineStr">
        <is>
          <t>Peitoris e requadros de fachada - F1 + F2 (1º etapa)</t>
        </is>
      </c>
      <c r="U93" s="5" t="inlineStr">
        <is>
          <t>SIM</t>
        </is>
      </c>
      <c r="V93" s="2">
        <f>IF(R93="","",COUNTIF($C$5:$C$3004,R93))</f>
        <v/>
      </c>
      <c r="W93" s="2">
        <f>IF(R93="","",COUNTIFS($C$5:$C$3004,R93,$O$5:$O$3004,"CONCLUÍDA"))</f>
        <v/>
      </c>
      <c r="X93" s="2">
        <f>IF(R93="","",COUNTIFS($C$5:$C$3004,R93,$O$5:$O$3004,"EM ANDAMENTO"))</f>
        <v/>
      </c>
      <c r="Y93" s="2">
        <f>IF(R93="","",IF(COUNTIFS($C$5:$C$3004,R93,$O$5:$O$3004,"CONCLUÍDA",$N$5:$N$3004,"&gt;=-1")=0,"",_xlfn.MAXIFS($N$5:$N$3004,$C$5:$C$3004,R93,$O$5:$O$3004,"CONCLUÍDA")))</f>
        <v/>
      </c>
      <c r="Z93" s="2">
        <f>IF(R93="","",IF(COUNTIFS($C$5:$C$3004,R93,$O$5:$O$3004,"EM ANDAMENTO",$N$5:$N$3004,"&gt;=-1")=0,"",_xlfn.MAXIFS($N$5:$N$3004,$C$5:$C$3004,R93,$O$5:$O$3004,"EM ANDAMENTO")))</f>
        <v/>
      </c>
      <c r="AA93" s="2">
        <f>IF(OR(R93="",S93="",U93&lt;&gt;"SIM",V93=0),"",IF(W93+X93=0,"",T93&amp;": "&amp;IF(W93=V93,"concluído",IF(W93=0,"em execução"&amp;IF(Z93&lt;&gt;""," ("&amp;IF(Z93=-1,"subsolo",IF(Z93=0,"térreo",Z93&amp;"º pav."))&amp;")",""),IF(Y93&lt;&gt;"","até "&amp;IF(Y93=-1,"subsolo",IF(Y93=0,"térreo",Y93&amp;"º pav.")),W93&amp;" de "&amp;V93&amp;" concluídas")&amp;IF(Z93="","",IF(OR(Y93="",Z93&gt;Y93),", executando "&amp;IF(Z93=-1,"subsolo",IF(Z93=0,"térreo",Z93&amp;"º pav."))," (restam serviços no "&amp;IF(Z93=-1,"subsolo",IF(Z93=0,"térreo",Z93&amp;"º pav."))&amp;")"))))))</f>
        <v/>
      </c>
    </row>
    <row r="94">
      <c r="M94" s="2">
        <f>IF(C94="","",IFERROR(INDEX($S$5:$S$304,MATCH(C94,$R$5:$R$304,0))&amp;"","?"))</f>
        <v/>
      </c>
      <c r="N94" s="2">
        <f>IF(E94="","",IF(LEFT(E94,7)="SUBSOLO",-1,IF(LEFT(E94,6)="TÉRREO",0,IFERROR(VALUE(LEFT(E94,FIND("º",SUBSTITUTE(E94,"°","º"))-1)),""))))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5" t="inlineStr">
        <is>
          <t>MASSA CORRIDA</t>
        </is>
      </c>
      <c r="S94" s="5" t="inlineStr">
        <is>
          <t>35</t>
        </is>
      </c>
      <c r="T94" s="5" t="inlineStr">
        <is>
          <t>Massa corrida</t>
        </is>
      </c>
      <c r="U94" s="5" t="inlineStr">
        <is>
          <t>SIM</t>
        </is>
      </c>
      <c r="V94" s="2">
        <f>IF(R94="","",COUNTIF($C$5:$C$3004,R94))</f>
        <v/>
      </c>
      <c r="W94" s="2">
        <f>IF(R94="","",COUNTIFS($C$5:$C$3004,R94,$O$5:$O$3004,"CONCLUÍDA"))</f>
        <v/>
      </c>
      <c r="X94" s="2">
        <f>IF(R94="","",COUNTIFS($C$5:$C$3004,R94,$O$5:$O$3004,"EM ANDAMENTO"))</f>
        <v/>
      </c>
      <c r="Y94" s="2">
        <f>IF(R94="","",IF(COUNTIFS($C$5:$C$3004,R94,$O$5:$O$3004,"CONCLUÍDA",$N$5:$N$3004,"&gt;=-1")=0,"",_xlfn.MAXIFS($N$5:$N$3004,$C$5:$C$3004,R94,$O$5:$O$3004,"CONCLUÍDA")))</f>
        <v/>
      </c>
      <c r="Z94" s="2">
        <f>IF(R94="","",IF(COUNTIFS($C$5:$C$3004,R94,$O$5:$O$3004,"EM ANDAMENTO",$N$5:$N$3004,"&gt;=-1")=0,"",_xlfn.MAXIFS($N$5:$N$3004,$C$5:$C$3004,R94,$O$5:$O$3004,"EM ANDAMENTO")))</f>
        <v/>
      </c>
      <c r="AA94" s="2">
        <f>IF(OR(R94="",S94="",U94&lt;&gt;"SIM",V94=0),"",IF(W94+X94=0,"",T94&amp;": "&amp;IF(W94=V94,"concluído",IF(W94=0,"em execução"&amp;IF(Z94&lt;&gt;""," ("&amp;IF(Z94=-1,"subsolo",IF(Z94=0,"térreo",Z94&amp;"º pav."))&amp;")",""),IF(Y94&lt;&gt;"","até "&amp;IF(Y94=-1,"subsolo",IF(Y94=0,"térreo",Y94&amp;"º pav.")),W94&amp;" de "&amp;V94&amp;" concluídas")&amp;IF(Z94="","",IF(OR(Y94="",Z94&gt;Y94),", executando "&amp;IF(Z94=-1,"subsolo",IF(Z94=0,"térreo",Z94&amp;"º pav."))," (restam serviços no "&amp;IF(Z94=-1,"subsolo",IF(Z94=0,"térreo",Z94&amp;"º pav."))&amp;")"))))))</f>
        <v/>
      </c>
    </row>
    <row r="95">
      <c r="M95" s="2">
        <f>IF(C95="","",IFERROR(INDEX($S$5:$S$304,MATCH(C95,$R$5:$R$304,0))&amp;"","?"))</f>
        <v/>
      </c>
      <c r="N95" s="2">
        <f>IF(E95="","",IF(LEFT(E95,7)="SUBSOLO",-1,IF(LEFT(E95,6)="TÉRREO",0,IFERROR(VALUE(LEFT(E95,FIND("º",SUBSTITUTE(E95,"°","º"))-1)),""))))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5" t="inlineStr">
        <is>
          <t>PASSEIOS, MURETAS E RAMPAS</t>
        </is>
      </c>
      <c r="S95" s="5" t="inlineStr">
        <is>
          <t>31</t>
        </is>
      </c>
      <c r="T95" s="5" t="inlineStr">
        <is>
          <t>Passeios, muretas e rampas</t>
        </is>
      </c>
      <c r="U95" s="5" t="inlineStr">
        <is>
          <t>SIM</t>
        </is>
      </c>
      <c r="V95" s="2">
        <f>IF(R95="","",COUNTIF($C$5:$C$3004,R95))</f>
        <v/>
      </c>
      <c r="W95" s="2">
        <f>IF(R95="","",COUNTIFS($C$5:$C$3004,R95,$O$5:$O$3004,"CONCLUÍDA"))</f>
        <v/>
      </c>
      <c r="X95" s="2">
        <f>IF(R95="","",COUNTIFS($C$5:$C$3004,R95,$O$5:$O$3004,"EM ANDAMENTO"))</f>
        <v/>
      </c>
      <c r="Y95" s="2">
        <f>IF(R95="","",IF(COUNTIFS($C$5:$C$3004,R95,$O$5:$O$3004,"CONCLUÍDA",$N$5:$N$3004,"&gt;=-1")=0,"",_xlfn.MAXIFS($N$5:$N$3004,$C$5:$C$3004,R95,$O$5:$O$3004,"CONCLUÍDA")))</f>
        <v/>
      </c>
      <c r="Z95" s="2">
        <f>IF(R95="","",IF(COUNTIFS($C$5:$C$3004,R95,$O$5:$O$3004,"EM ANDAMENTO",$N$5:$N$3004,"&gt;=-1")=0,"",_xlfn.MAXIFS($N$5:$N$3004,$C$5:$C$3004,R95,$O$5:$O$3004,"EM ANDAMENTO")))</f>
        <v/>
      </c>
      <c r="AA95" s="2">
        <f>IF(OR(R95="",S95="",U95&lt;&gt;"SIM",V95=0),"",IF(W95+X95=0,"",T95&amp;": "&amp;IF(W95=V95,"concluído",IF(W95=0,"em execução"&amp;IF(Z95&lt;&gt;""," ("&amp;IF(Z95=-1,"subsolo",IF(Z95=0,"térreo",Z95&amp;"º pav."))&amp;")",""),IF(Y95&lt;&gt;"","até "&amp;IF(Y95=-1,"subsolo",IF(Y95=0,"térreo",Y95&amp;"º pav.")),W95&amp;" de "&amp;V95&amp;" concluídas")&amp;IF(Z95="","",IF(OR(Y95="",Z95&gt;Y95),", executando "&amp;IF(Z95=-1,"subsolo",IF(Z95=0,"térreo",Z95&amp;"º pav."))," (restam serviços no "&amp;IF(Z95=-1,"subsolo",IF(Z95=0,"térreo",Z95&amp;"º pav."))&amp;")"))))))</f>
        <v/>
      </c>
    </row>
    <row r="96">
      <c r="M96" s="2">
        <f>IF(C96="","",IFERROR(INDEX($S$5:$S$304,MATCH(C96,$R$5:$R$304,0))&amp;"","?"))</f>
        <v/>
      </c>
      <c r="N96" s="2">
        <f>IF(E96="","",IF(LEFT(E96,7)="SUBSOLO",-1,IF(LEFT(E96,6)="TÉRREO",0,IFERROR(VALUE(LEFT(E96,FIND("º",SUBSTITUTE(E96,"°","º"))-1)),""))))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5" t="inlineStr">
        <is>
          <t>ESQUADRIA DE ALUMÍNIO</t>
        </is>
      </c>
      <c r="S96" s="5" t="inlineStr">
        <is>
          <t>25</t>
        </is>
      </c>
      <c r="T96" s="5" t="inlineStr">
        <is>
          <t>Esquadria de alumínio</t>
        </is>
      </c>
      <c r="U96" s="5" t="inlineStr">
        <is>
          <t>SIM</t>
        </is>
      </c>
      <c r="V96" s="2">
        <f>IF(R96="","",COUNTIF($C$5:$C$3004,R96))</f>
        <v/>
      </c>
      <c r="W96" s="2">
        <f>IF(R96="","",COUNTIFS($C$5:$C$3004,R96,$O$5:$O$3004,"CONCLUÍDA"))</f>
        <v/>
      </c>
      <c r="X96" s="2">
        <f>IF(R96="","",COUNTIFS($C$5:$C$3004,R96,$O$5:$O$3004,"EM ANDAMENTO"))</f>
        <v/>
      </c>
      <c r="Y96" s="2">
        <f>IF(R96="","",IF(COUNTIFS($C$5:$C$3004,R96,$O$5:$O$3004,"CONCLUÍDA",$N$5:$N$3004,"&gt;=-1")=0,"",_xlfn.MAXIFS($N$5:$N$3004,$C$5:$C$3004,R96,$O$5:$O$3004,"CONCLUÍDA")))</f>
        <v/>
      </c>
      <c r="Z96" s="2">
        <f>IF(R96="","",IF(COUNTIFS($C$5:$C$3004,R96,$O$5:$O$3004,"EM ANDAMENTO",$N$5:$N$3004,"&gt;=-1")=0,"",_xlfn.MAXIFS($N$5:$N$3004,$C$5:$C$3004,R96,$O$5:$O$3004,"EM ANDAMENTO")))</f>
        <v/>
      </c>
      <c r="AA96" s="2">
        <f>IF(OR(R96="",S96="",U96&lt;&gt;"SIM",V96=0),"",IF(W96+X96=0,"",T96&amp;": "&amp;IF(W96=V96,"concluído",IF(W96=0,"em execução"&amp;IF(Z96&lt;&gt;""," ("&amp;IF(Z96=-1,"subsolo",IF(Z96=0,"térreo",Z96&amp;"º pav."))&amp;")",""),IF(Y96&lt;&gt;"","até "&amp;IF(Y96=-1,"subsolo",IF(Y96=0,"térreo",Y96&amp;"º pav.")),W96&amp;" de "&amp;V96&amp;" concluídas")&amp;IF(Z96="","",IF(OR(Y96="",Z96&gt;Y96),", executando "&amp;IF(Z96=-1,"subsolo",IF(Z96=0,"térreo",Z96&amp;"º pav."))," (restam serviços no "&amp;IF(Z96=-1,"subsolo",IF(Z96=0,"térreo",Z96&amp;"º pav."))&amp;")"))))))</f>
        <v/>
      </c>
    </row>
    <row r="97">
      <c r="M97" s="2">
        <f>IF(C97="","",IFERROR(INDEX($S$5:$S$304,MATCH(C97,$R$5:$R$304,0))&amp;"","?"))</f>
        <v/>
      </c>
      <c r="N97" s="2">
        <f>IF(E97="","",IF(LEFT(E97,7)="SUBSOLO",-1,IF(LEFT(E97,6)="TÉRREO",0,IFERROR(VALUE(LEFT(E97,FIND("º",SUBSTITUTE(E97,"°","º"))-1)),""))))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5" t="inlineStr">
        <is>
          <t>PREPARAÇÃO PARA FACHADA AERADA - F5 (1º ETAPA)</t>
        </is>
      </c>
      <c r="S97" s="5" t="inlineStr">
        <is>
          <t>32</t>
        </is>
      </c>
      <c r="T97" s="5" t="inlineStr">
        <is>
          <t>Preparação para fachada aerada - F5 (1º etapa)</t>
        </is>
      </c>
      <c r="U97" s="5" t="inlineStr">
        <is>
          <t>SIM</t>
        </is>
      </c>
      <c r="V97" s="2">
        <f>IF(R97="","",COUNTIF($C$5:$C$3004,R97))</f>
        <v/>
      </c>
      <c r="W97" s="2">
        <f>IF(R97="","",COUNTIFS($C$5:$C$3004,R97,$O$5:$O$3004,"CONCLUÍDA"))</f>
        <v/>
      </c>
      <c r="X97" s="2">
        <f>IF(R97="","",COUNTIFS($C$5:$C$3004,R97,$O$5:$O$3004,"EM ANDAMENTO"))</f>
        <v/>
      </c>
      <c r="Y97" s="2">
        <f>IF(R97="","",IF(COUNTIFS($C$5:$C$3004,R97,$O$5:$O$3004,"CONCLUÍDA",$N$5:$N$3004,"&gt;=-1")=0,"",_xlfn.MAXIFS($N$5:$N$3004,$C$5:$C$3004,R97,$O$5:$O$3004,"CONCLUÍDA")))</f>
        <v/>
      </c>
      <c r="Z97" s="2">
        <f>IF(R97="","",IF(COUNTIFS($C$5:$C$3004,R97,$O$5:$O$3004,"EM ANDAMENTO",$N$5:$N$3004,"&gt;=-1")=0,"",_xlfn.MAXIFS($N$5:$N$3004,$C$5:$C$3004,R97,$O$5:$O$3004,"EM ANDAMENTO")))</f>
        <v/>
      </c>
      <c r="AA97" s="2">
        <f>IF(OR(R97="",S97="",U97&lt;&gt;"SIM",V97=0),"",IF(W97+X97=0,"",T97&amp;": "&amp;IF(W97=V97,"concluído",IF(W97=0,"em execução"&amp;IF(Z97&lt;&gt;""," ("&amp;IF(Z97=-1,"subsolo",IF(Z97=0,"térreo",Z97&amp;"º pav."))&amp;")",""),IF(Y97&lt;&gt;"","até "&amp;IF(Y97=-1,"subsolo",IF(Y97=0,"térreo",Y97&amp;"º pav.")),W97&amp;" de "&amp;V97&amp;" concluídas")&amp;IF(Z97="","",IF(OR(Y97="",Z97&gt;Y97),", executando "&amp;IF(Z97=-1,"subsolo",IF(Z97=0,"térreo",Z97&amp;"º pav."))," (restam serviços no "&amp;IF(Z97=-1,"subsolo",IF(Z97=0,"térreo",Z97&amp;"º pav."))&amp;")"))))))</f>
        <v/>
      </c>
    </row>
    <row r="98">
      <c r="M98" s="2">
        <f>IF(C98="","",IFERROR(INDEX($S$5:$S$304,MATCH(C98,$R$5:$R$304,0))&amp;"","?"))</f>
        <v/>
      </c>
      <c r="N98" s="2">
        <f>IF(E98="","",IF(LEFT(E98,7)="SUBSOLO",-1,IF(LEFT(E98,6)="TÉRREO",0,IFERROR(VALUE(LEFT(E98,FIND("º",SUBSTITUTE(E98,"°","º"))-1)),""))))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5" t="inlineStr">
        <is>
          <t>PEITORIS E REQUADROS DE FACHADA - F3 + F4 (1º ETAPA)</t>
        </is>
      </c>
      <c r="S98" s="5" t="inlineStr">
        <is>
          <t>32</t>
        </is>
      </c>
      <c r="T98" s="5" t="inlineStr">
        <is>
          <t>Peitoris e requadros de fachada - F3 + F4 (1º etapa)</t>
        </is>
      </c>
      <c r="U98" s="5" t="inlineStr">
        <is>
          <t>SIM</t>
        </is>
      </c>
      <c r="V98" s="2">
        <f>IF(R98="","",COUNTIF($C$5:$C$3004,R98))</f>
        <v/>
      </c>
      <c r="W98" s="2">
        <f>IF(R98="","",COUNTIFS($C$5:$C$3004,R98,$O$5:$O$3004,"CONCLUÍDA"))</f>
        <v/>
      </c>
      <c r="X98" s="2">
        <f>IF(R98="","",COUNTIFS($C$5:$C$3004,R98,$O$5:$O$3004,"EM ANDAMENTO"))</f>
        <v/>
      </c>
      <c r="Y98" s="2">
        <f>IF(R98="","",IF(COUNTIFS($C$5:$C$3004,R98,$O$5:$O$3004,"CONCLUÍDA",$N$5:$N$3004,"&gt;=-1")=0,"",_xlfn.MAXIFS($N$5:$N$3004,$C$5:$C$3004,R98,$O$5:$O$3004,"CONCLUÍDA")))</f>
        <v/>
      </c>
      <c r="Z98" s="2">
        <f>IF(R98="","",IF(COUNTIFS($C$5:$C$3004,R98,$O$5:$O$3004,"EM ANDAMENTO",$N$5:$N$3004,"&gt;=-1")=0,"",_xlfn.MAXIFS($N$5:$N$3004,$C$5:$C$3004,R98,$O$5:$O$3004,"EM ANDAMENTO")))</f>
        <v/>
      </c>
      <c r="AA98" s="2">
        <f>IF(OR(R98="",S98="",U98&lt;&gt;"SIM",V98=0),"",IF(W98+X98=0,"",T98&amp;": "&amp;IF(W98=V98,"concluído",IF(W98=0,"em execução"&amp;IF(Z98&lt;&gt;""," ("&amp;IF(Z98=-1,"subsolo",IF(Z98=0,"térreo",Z98&amp;"º pav."))&amp;")",""),IF(Y98&lt;&gt;"","até "&amp;IF(Y98=-1,"subsolo",IF(Y98=0,"térreo",Y98&amp;"º pav.")),W98&amp;" de "&amp;V98&amp;" concluídas")&amp;IF(Z98="","",IF(OR(Y98="",Z98&gt;Y98),", executando "&amp;IF(Z98=-1,"subsolo",IF(Z98=0,"térreo",Z98&amp;"º pav."))," (restam serviços no "&amp;IF(Z98=-1,"subsolo",IF(Z98=0,"térreo",Z98&amp;"º pav."))&amp;")"))))))</f>
        <v/>
      </c>
    </row>
    <row r="99">
      <c r="M99" s="2">
        <f>IF(C99="","",IFERROR(INDEX($S$5:$S$304,MATCH(C99,$R$5:$R$304,0))&amp;"","?"))</f>
        <v/>
      </c>
      <c r="N99" s="2">
        <f>IF(E99="","",IF(LEFT(E99,7)="SUBSOLO",-1,IF(LEFT(E99,6)="TÉRREO",0,IFERROR(VALUE(LEFT(E99,FIND("º",SUBSTITUTE(E99,"°","º"))-1)),""))))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5" t="inlineStr">
        <is>
          <t>PINTURA 1º DEMÃO</t>
        </is>
      </c>
      <c r="S99" s="5" t="inlineStr">
        <is>
          <t>35</t>
        </is>
      </c>
      <c r="T99" s="5" t="inlineStr">
        <is>
          <t>Pintura 1ª demão</t>
        </is>
      </c>
      <c r="U99" s="5" t="inlineStr">
        <is>
          <t>SIM</t>
        </is>
      </c>
      <c r="V99" s="2">
        <f>IF(R99="","",COUNTIF($C$5:$C$3004,R99))</f>
        <v/>
      </c>
      <c r="W99" s="2">
        <f>IF(R99="","",COUNTIFS($C$5:$C$3004,R99,$O$5:$O$3004,"CONCLUÍDA"))</f>
        <v/>
      </c>
      <c r="X99" s="2">
        <f>IF(R99="","",COUNTIFS($C$5:$C$3004,R99,$O$5:$O$3004,"EM ANDAMENTO"))</f>
        <v/>
      </c>
      <c r="Y99" s="2">
        <f>IF(R99="","",IF(COUNTIFS($C$5:$C$3004,R99,$O$5:$O$3004,"CONCLUÍDA",$N$5:$N$3004,"&gt;=-1")=0,"",_xlfn.MAXIFS($N$5:$N$3004,$C$5:$C$3004,R99,$O$5:$O$3004,"CONCLUÍDA")))</f>
        <v/>
      </c>
      <c r="Z99" s="2">
        <f>IF(R99="","",IF(COUNTIFS($C$5:$C$3004,R99,$O$5:$O$3004,"EM ANDAMENTO",$N$5:$N$3004,"&gt;=-1")=0,"",_xlfn.MAXIFS($N$5:$N$3004,$C$5:$C$3004,R99,$O$5:$O$3004,"EM ANDAMENTO")))</f>
        <v/>
      </c>
      <c r="AA99" s="2">
        <f>IF(OR(R99="",S99="",U99&lt;&gt;"SIM",V99=0),"",IF(W99+X99=0,"",T99&amp;": "&amp;IF(W99=V99,"concluído",IF(W99=0,"em execução"&amp;IF(Z99&lt;&gt;""," ("&amp;IF(Z99=-1,"subsolo",IF(Z99=0,"térreo",Z99&amp;"º pav."))&amp;")",""),IF(Y99&lt;&gt;"","até "&amp;IF(Y99=-1,"subsolo",IF(Y99=0,"térreo",Y99&amp;"º pav.")),W99&amp;" de "&amp;V99&amp;" concluídas")&amp;IF(Z99="","",IF(OR(Y99="",Z99&gt;Y99),", executando "&amp;IF(Z99=-1,"subsolo",IF(Z99=0,"térreo",Z99&amp;"º pav."))," (restam serviços no "&amp;IF(Z99=-1,"subsolo",IF(Z99=0,"térreo",Z99&amp;"º pav."))&amp;")"))))))</f>
        <v/>
      </c>
    </row>
    <row r="100">
      <c r="M100" s="2">
        <f>IF(C100="","",IFERROR(INDEX($S$5:$S$304,MATCH(C100,$R$5:$R$304,0))&amp;"","?"))</f>
        <v/>
      </c>
      <c r="N100" s="2">
        <f>IF(E100="","",IF(LEFT(E100,7)="SUBSOLO",-1,IF(LEFT(E100,6)="TÉRREO",0,IFERROR(VALUE(LEFT(E100,FIND("º",SUBSTITUTE(E100,"°","º"))-1)),""))))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5" t="inlineStr">
        <is>
          <t>FACHADA AERADA - F5 (1º ETAPA)</t>
        </is>
      </c>
      <c r="S100" s="5" t="inlineStr">
        <is>
          <t>32</t>
        </is>
      </c>
      <c r="T100" s="5" t="inlineStr">
        <is>
          <t>Fachada aerada - F5 (1º etapa)</t>
        </is>
      </c>
      <c r="U100" s="5" t="inlineStr">
        <is>
          <t>SIM</t>
        </is>
      </c>
      <c r="V100" s="2">
        <f>IF(R100="","",COUNTIF($C$5:$C$3004,R100))</f>
        <v/>
      </c>
      <c r="W100" s="2">
        <f>IF(R100="","",COUNTIFS($C$5:$C$3004,R100,$O$5:$O$3004,"CONCLUÍDA"))</f>
        <v/>
      </c>
      <c r="X100" s="2">
        <f>IF(R100="","",COUNTIFS($C$5:$C$3004,R100,$O$5:$O$3004,"EM ANDAMENTO"))</f>
        <v/>
      </c>
      <c r="Y100" s="2">
        <f>IF(R100="","",IF(COUNTIFS($C$5:$C$3004,R100,$O$5:$O$3004,"CONCLUÍDA",$N$5:$N$3004,"&gt;=-1")=0,"",_xlfn.MAXIFS($N$5:$N$3004,$C$5:$C$3004,R100,$O$5:$O$3004,"CONCLUÍDA")))</f>
        <v/>
      </c>
      <c r="Z100" s="2">
        <f>IF(R100="","",IF(COUNTIFS($C$5:$C$3004,R100,$O$5:$O$3004,"EM ANDAMENTO",$N$5:$N$3004,"&gt;=-1")=0,"",_xlfn.MAXIFS($N$5:$N$3004,$C$5:$C$3004,R100,$O$5:$O$3004,"EM ANDAMENTO")))</f>
        <v/>
      </c>
      <c r="AA100" s="2">
        <f>IF(OR(R100="",S100="",U100&lt;&gt;"SIM",V100=0),"",IF(W100+X100=0,"",T100&amp;": "&amp;IF(W100=V100,"concluído",IF(W100=0,"em execução"&amp;IF(Z100&lt;&gt;""," ("&amp;IF(Z100=-1,"subsolo",IF(Z100=0,"térreo",Z100&amp;"º pav."))&amp;")",""),IF(Y100&lt;&gt;"","até "&amp;IF(Y100=-1,"subsolo",IF(Y100=0,"térreo",Y100&amp;"º pav.")),W100&amp;" de "&amp;V100&amp;" concluídas")&amp;IF(Z100="","",IF(OR(Y100="",Z100&gt;Y100),", executando "&amp;IF(Z100=-1,"subsolo",IF(Z100=0,"térreo",Z100&amp;"º pav."))," (restam serviços no "&amp;IF(Z100=-1,"subsolo",IF(Z100=0,"térreo",Z100&amp;"º pav."))&amp;")"))))))</f>
        <v/>
      </c>
    </row>
    <row r="101">
      <c r="M101" s="2">
        <f>IF(C101="","",IFERROR(INDEX($S$5:$S$304,MATCH(C101,$R$5:$R$304,0))&amp;"","?"))</f>
        <v/>
      </c>
      <c r="N101" s="2">
        <f>IF(E101="","",IF(LEFT(E101,7)="SUBSOLO",-1,IF(LEFT(E101,6)="TÉRREO",0,IFERROR(VALUE(LEFT(E101,FIND("º",SUBSTITUTE(E101,"°","º"))-1)),""))))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5" t="inlineStr">
        <is>
          <t>GERADOR/TRANSFORMADOR</t>
        </is>
      </c>
      <c r="S101" s="5" t="inlineStr">
        <is>
          <t>20</t>
        </is>
      </c>
      <c r="T101" s="5" t="inlineStr">
        <is>
          <t>Gerador/transformador</t>
        </is>
      </c>
      <c r="U101" s="5" t="inlineStr">
        <is>
          <t>NÃO</t>
        </is>
      </c>
      <c r="V101" s="2">
        <f>IF(R101="","",COUNTIF($C$5:$C$3004,R101))</f>
        <v/>
      </c>
      <c r="W101" s="2">
        <f>IF(R101="","",COUNTIFS($C$5:$C$3004,R101,$O$5:$O$3004,"CONCLUÍDA"))</f>
        <v/>
      </c>
      <c r="X101" s="2">
        <f>IF(R101="","",COUNTIFS($C$5:$C$3004,R101,$O$5:$O$3004,"EM ANDAMENTO"))</f>
        <v/>
      </c>
      <c r="Y101" s="2">
        <f>IF(R101="","",IF(COUNTIFS($C$5:$C$3004,R101,$O$5:$O$3004,"CONCLUÍDA",$N$5:$N$3004,"&gt;=-1")=0,"",_xlfn.MAXIFS($N$5:$N$3004,$C$5:$C$3004,R101,$O$5:$O$3004,"CONCLUÍDA")))</f>
        <v/>
      </c>
      <c r="Z101" s="2">
        <f>IF(R101="","",IF(COUNTIFS($C$5:$C$3004,R101,$O$5:$O$3004,"EM ANDAMENTO",$N$5:$N$3004,"&gt;=-1")=0,"",_xlfn.MAXIFS($N$5:$N$3004,$C$5:$C$3004,R101,$O$5:$O$3004,"EM ANDAMENTO")))</f>
        <v/>
      </c>
      <c r="AA101" s="2">
        <f>IF(OR(R101="",S101="",U101&lt;&gt;"SIM",V101=0),"",IF(W101+X101=0,"",T101&amp;": "&amp;IF(W101=V101,"concluído",IF(W101=0,"em execução"&amp;IF(Z101&lt;&gt;""," ("&amp;IF(Z101=-1,"subsolo",IF(Z101=0,"térreo",Z101&amp;"º pav."))&amp;")",""),IF(Y101&lt;&gt;"","até "&amp;IF(Y101=-1,"subsolo",IF(Y101=0,"térreo",Y101&amp;"º pav.")),W101&amp;" de "&amp;V101&amp;" concluídas")&amp;IF(Z101="","",IF(OR(Y101="",Z101&gt;Y101),", executando "&amp;IF(Z101=-1,"subsolo",IF(Z101=0,"térreo",Z101&amp;"º pav."))," (restam serviços no "&amp;IF(Z101=-1,"subsolo",IF(Z101=0,"térreo",Z101&amp;"º pav."))&amp;")"))))))</f>
        <v/>
      </c>
    </row>
    <row r="102">
      <c r="M102" s="2">
        <f>IF(C102="","",IFERROR(INDEX($S$5:$S$304,MATCH(C102,$R$5:$R$304,0))&amp;"","?"))</f>
        <v/>
      </c>
      <c r="N102" s="2">
        <f>IF(E102="","",IF(LEFT(E102,7)="SUBSOLO",-1,IF(LEFT(E102,6)="TÉRREO",0,IFERROR(VALUE(LEFT(E102,FIND("º",SUBSTITUTE(E102,"°","º"))-1)),""))))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5" t="inlineStr">
        <is>
          <t>DISJUNTORES / MIOLOS</t>
        </is>
      </c>
      <c r="S102" s="5" t="inlineStr">
        <is>
          <t>20</t>
        </is>
      </c>
      <c r="T102" s="5" t="inlineStr">
        <is>
          <t>Disjuntores / miolos</t>
        </is>
      </c>
      <c r="U102" s="5" t="inlineStr">
        <is>
          <t>SIM</t>
        </is>
      </c>
      <c r="V102" s="2">
        <f>IF(R102="","",COUNTIF($C$5:$C$3004,R102))</f>
        <v/>
      </c>
      <c r="W102" s="2">
        <f>IF(R102="","",COUNTIFS($C$5:$C$3004,R102,$O$5:$O$3004,"CONCLUÍDA"))</f>
        <v/>
      </c>
      <c r="X102" s="2">
        <f>IF(R102="","",COUNTIFS($C$5:$C$3004,R102,$O$5:$O$3004,"EM ANDAMENTO"))</f>
        <v/>
      </c>
      <c r="Y102" s="2">
        <f>IF(R102="","",IF(COUNTIFS($C$5:$C$3004,R102,$O$5:$O$3004,"CONCLUÍDA",$N$5:$N$3004,"&gt;=-1")=0,"",_xlfn.MAXIFS($N$5:$N$3004,$C$5:$C$3004,R102,$O$5:$O$3004,"CONCLUÍDA")))</f>
        <v/>
      </c>
      <c r="Z102" s="2">
        <f>IF(R102="","",IF(COUNTIFS($C$5:$C$3004,R102,$O$5:$O$3004,"EM ANDAMENTO",$N$5:$N$3004,"&gt;=-1")=0,"",_xlfn.MAXIFS($N$5:$N$3004,$C$5:$C$3004,R102,$O$5:$O$3004,"EM ANDAMENTO")))</f>
        <v/>
      </c>
      <c r="AA102" s="2">
        <f>IF(OR(R102="",S102="",U102&lt;&gt;"SIM",V102=0),"",IF(W102+X102=0,"",T102&amp;": "&amp;IF(W102=V102,"concluído",IF(W102=0,"em execução"&amp;IF(Z102&lt;&gt;""," ("&amp;IF(Z102=-1,"subsolo",IF(Z102=0,"térreo",Z102&amp;"º pav."))&amp;")",""),IF(Y102&lt;&gt;"","até "&amp;IF(Y102=-1,"subsolo",IF(Y102=0,"térreo",Y102&amp;"º pav.")),W102&amp;" de "&amp;V102&amp;" concluídas")&amp;IF(Z102="","",IF(OR(Y102="",Z102&gt;Y102),", executando "&amp;IF(Z102=-1,"subsolo",IF(Z102=0,"térreo",Z102&amp;"º pav."))," (restam serviços no "&amp;IF(Z102=-1,"subsolo",IF(Z102=0,"térreo",Z102&amp;"º pav."))&amp;")"))))))</f>
        <v/>
      </c>
    </row>
    <row r="103">
      <c r="M103" s="2">
        <f>IF(C103="","",IFERROR(INDEX($S$5:$S$304,MATCH(C103,$R$5:$R$304,0))&amp;"","?"))</f>
        <v/>
      </c>
      <c r="N103" s="2">
        <f>IF(E103="","",IF(LEFT(E103,7)="SUBSOLO",-1,IF(LEFT(E103,6)="TÉRREO",0,IFERROR(VALUE(LEFT(E103,FIND("º",SUBSTITUTE(E103,"°","º"))-1)),""))))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5" t="inlineStr">
        <is>
          <t>INSTALAÇÃO DE LUMINÁRIAS E SENSORES</t>
        </is>
      </c>
      <c r="S103" s="5" t="inlineStr">
        <is>
          <t>20</t>
        </is>
      </c>
      <c r="T103" s="5" t="inlineStr">
        <is>
          <t>Luminárias e sensores</t>
        </is>
      </c>
      <c r="U103" s="5" t="inlineStr">
        <is>
          <t>NÃO</t>
        </is>
      </c>
      <c r="V103" s="2">
        <f>IF(R103="","",COUNTIF($C$5:$C$3004,R103))</f>
        <v/>
      </c>
      <c r="W103" s="2">
        <f>IF(R103="","",COUNTIFS($C$5:$C$3004,R103,$O$5:$O$3004,"CONCLUÍDA"))</f>
        <v/>
      </c>
      <c r="X103" s="2">
        <f>IF(R103="","",COUNTIFS($C$5:$C$3004,R103,$O$5:$O$3004,"EM ANDAMENTO"))</f>
        <v/>
      </c>
      <c r="Y103" s="2">
        <f>IF(R103="","",IF(COUNTIFS($C$5:$C$3004,R103,$O$5:$O$3004,"CONCLUÍDA",$N$5:$N$3004,"&gt;=-1")=0,"",_xlfn.MAXIFS($N$5:$N$3004,$C$5:$C$3004,R103,$O$5:$O$3004,"CONCLUÍDA")))</f>
        <v/>
      </c>
      <c r="Z103" s="2">
        <f>IF(R103="","",IF(COUNTIFS($C$5:$C$3004,R103,$O$5:$O$3004,"EM ANDAMENTO",$N$5:$N$3004,"&gt;=-1")=0,"",_xlfn.MAXIFS($N$5:$N$3004,$C$5:$C$3004,R103,$O$5:$O$3004,"EM ANDAMENTO")))</f>
        <v/>
      </c>
      <c r="AA103" s="2">
        <f>IF(OR(R103="",S103="",U103&lt;&gt;"SIM",V103=0),"",IF(W103+X103=0,"",T103&amp;": "&amp;IF(W103=V103,"concluído",IF(W103=0,"em execução"&amp;IF(Z103&lt;&gt;""," ("&amp;IF(Z103=-1,"subsolo",IF(Z103=0,"térreo",Z103&amp;"º pav."))&amp;")",""),IF(Y103&lt;&gt;"","até "&amp;IF(Y103=-1,"subsolo",IF(Y103=0,"térreo",Y103&amp;"º pav.")),W103&amp;" de "&amp;V103&amp;" concluídas")&amp;IF(Z103="","",IF(OR(Y103="",Z103&gt;Y103),", executando "&amp;IF(Z103=-1,"subsolo",IF(Z103=0,"térreo",Z103&amp;"º pav."))," (restam serviços no "&amp;IF(Z103=-1,"subsolo",IF(Z103=0,"térreo",Z103&amp;"º pav."))&amp;")"))))))</f>
        <v/>
      </c>
    </row>
    <row r="104">
      <c r="M104" s="2">
        <f>IF(C104="","",IFERROR(INDEX($S$5:$S$304,MATCH(C104,$R$5:$R$304,0))&amp;"","?"))</f>
        <v/>
      </c>
      <c r="N104" s="2">
        <f>IF(E104="","",IF(LEFT(E104,7)="SUBSOLO",-1,IF(LEFT(E104,6)="TÉRREO",0,IFERROR(VALUE(LEFT(E104,FIND("º",SUBSTITUTE(E104,"°","º"))-1)),""))))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5" t="inlineStr">
        <is>
          <t>PISO VINÍLICO / LAMINADO</t>
        </is>
      </c>
      <c r="S104" s="5" t="inlineStr">
        <is>
          <t>30</t>
        </is>
      </c>
      <c r="T104" s="5" t="inlineStr">
        <is>
          <t>Piso vinílico / laminado</t>
        </is>
      </c>
      <c r="U104" s="5" t="inlineStr">
        <is>
          <t>SIM</t>
        </is>
      </c>
      <c r="V104" s="2">
        <f>IF(R104="","",COUNTIF($C$5:$C$3004,R104))</f>
        <v/>
      </c>
      <c r="W104" s="2">
        <f>IF(R104="","",COUNTIFS($C$5:$C$3004,R104,$O$5:$O$3004,"CONCLUÍDA"))</f>
        <v/>
      </c>
      <c r="X104" s="2">
        <f>IF(R104="","",COUNTIFS($C$5:$C$3004,R104,$O$5:$O$3004,"EM ANDAMENTO"))</f>
        <v/>
      </c>
      <c r="Y104" s="2">
        <f>IF(R104="","",IF(COUNTIFS($C$5:$C$3004,R104,$O$5:$O$3004,"CONCLUÍDA",$N$5:$N$3004,"&gt;=-1")=0,"",_xlfn.MAXIFS($N$5:$N$3004,$C$5:$C$3004,R104,$O$5:$O$3004,"CONCLUÍDA")))</f>
        <v/>
      </c>
      <c r="Z104" s="2">
        <f>IF(R104="","",IF(COUNTIFS($C$5:$C$3004,R104,$O$5:$O$3004,"EM ANDAMENTO",$N$5:$N$3004,"&gt;=-1")=0,"",_xlfn.MAXIFS($N$5:$N$3004,$C$5:$C$3004,R104,$O$5:$O$3004,"EM ANDAMENTO")))</f>
        <v/>
      </c>
      <c r="AA104" s="2">
        <f>IF(OR(R104="",S104="",U104&lt;&gt;"SIM",V104=0),"",IF(W104+X104=0,"",T104&amp;": "&amp;IF(W104=V104,"concluído",IF(W104=0,"em execução"&amp;IF(Z104&lt;&gt;""," ("&amp;IF(Z104=-1,"subsolo",IF(Z104=0,"térreo",Z104&amp;"º pav."))&amp;")",""),IF(Y104&lt;&gt;"","até "&amp;IF(Y104=-1,"subsolo",IF(Y104=0,"térreo",Y104&amp;"º pav.")),W104&amp;" de "&amp;V104&amp;" concluídas")&amp;IF(Z104="","",IF(OR(Y104="",Z104&gt;Y104),", executando "&amp;IF(Z104=-1,"subsolo",IF(Z104=0,"térreo",Z104&amp;"º pav."))," (restam serviços no "&amp;IF(Z104=-1,"subsolo",IF(Z104=0,"térreo",Z104&amp;"º pav."))&amp;")"))))))</f>
        <v/>
      </c>
    </row>
    <row r="105">
      <c r="M105" s="2">
        <f>IF(C105="","",IFERROR(INDEX($S$5:$S$304,MATCH(C105,$R$5:$R$304,0))&amp;"","?"))</f>
        <v/>
      </c>
      <c r="N105" s="2">
        <f>IF(E105="","",IF(LEFT(E105,7)="SUBSOLO",-1,IF(LEFT(E105,6)="TÉRREO",0,IFERROR(VALUE(LEFT(E105,FIND("º",SUBSTITUTE(E105,"°","º"))-1)),""))))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5" t="inlineStr">
        <is>
          <t>INSTALAÇÕES INCÊNDIO</t>
        </is>
      </c>
      <c r="S105" s="5" t="inlineStr">
        <is>
          <t>22</t>
        </is>
      </c>
      <c r="T105" s="5" t="inlineStr">
        <is>
          <t>Inst. incêndio</t>
        </is>
      </c>
      <c r="U105" s="5" t="inlineStr">
        <is>
          <t>NÃO</t>
        </is>
      </c>
      <c r="V105" s="2">
        <f>IF(R105="","",COUNTIF($C$5:$C$3004,R105))</f>
        <v/>
      </c>
      <c r="W105" s="2">
        <f>IF(R105="","",COUNTIFS($C$5:$C$3004,R105,$O$5:$O$3004,"CONCLUÍDA"))</f>
        <v/>
      </c>
      <c r="X105" s="2">
        <f>IF(R105="","",COUNTIFS($C$5:$C$3004,R105,$O$5:$O$3004,"EM ANDAMENTO"))</f>
        <v/>
      </c>
      <c r="Y105" s="2">
        <f>IF(R105="","",IF(COUNTIFS($C$5:$C$3004,R105,$O$5:$O$3004,"CONCLUÍDA",$N$5:$N$3004,"&gt;=-1")=0,"",_xlfn.MAXIFS($N$5:$N$3004,$C$5:$C$3004,R105,$O$5:$O$3004,"CONCLUÍDA")))</f>
        <v/>
      </c>
      <c r="Z105" s="2">
        <f>IF(R105="","",IF(COUNTIFS($C$5:$C$3004,R105,$O$5:$O$3004,"EM ANDAMENTO",$N$5:$N$3004,"&gt;=-1")=0,"",_xlfn.MAXIFS($N$5:$N$3004,$C$5:$C$3004,R105,$O$5:$O$3004,"EM ANDAMENTO")))</f>
        <v/>
      </c>
      <c r="AA105" s="2">
        <f>IF(OR(R105="",S105="",U105&lt;&gt;"SIM",V105=0),"",IF(W105+X105=0,"",T105&amp;": "&amp;IF(W105=V105,"concluído",IF(W105=0,"em execução"&amp;IF(Z105&lt;&gt;""," ("&amp;IF(Z105=-1,"subsolo",IF(Z105=0,"térreo",Z105&amp;"º pav."))&amp;")",""),IF(Y105&lt;&gt;"","até "&amp;IF(Y105=-1,"subsolo",IF(Y105=0,"térreo",Y105&amp;"º pav.")),W105&amp;" de "&amp;V105&amp;" concluídas")&amp;IF(Z105="","",IF(OR(Y105="",Z105&gt;Y105),", executando "&amp;IF(Z105=-1,"subsolo",IF(Z105=0,"térreo",Z105&amp;"º pav."))," (restam serviços no "&amp;IF(Z105=-1,"subsolo",IF(Z105=0,"térreo",Z105&amp;"º pav."))&amp;")"))))))</f>
        <v/>
      </c>
    </row>
    <row r="106">
      <c r="M106" s="2">
        <f>IF(C106="","",IFERROR(INDEX($S$5:$S$304,MATCH(C106,$R$5:$R$304,0))&amp;"","?"))</f>
        <v/>
      </c>
      <c r="N106" s="2">
        <f>IF(E106="","",IF(LEFT(E106,7)="SUBSOLO",-1,IF(LEFT(E106,6)="TÉRREO",0,IFERROR(VALUE(LEFT(E106,FIND("º",SUBSTITUTE(E106,"°","º"))-1)),""))))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5" t="inlineStr">
        <is>
          <t>INST. MÓDULOS CHURRASQUEIRA</t>
        </is>
      </c>
      <c r="S106" s="5" t="inlineStr">
        <is>
          <t>23</t>
        </is>
      </c>
      <c r="T106" s="5" t="inlineStr">
        <is>
          <t>Inst. módulos churrasqueira</t>
        </is>
      </c>
      <c r="U106" s="5" t="inlineStr">
        <is>
          <t>NÃO</t>
        </is>
      </c>
      <c r="V106" s="2">
        <f>IF(R106="","",COUNTIF($C$5:$C$3004,R106))</f>
        <v/>
      </c>
      <c r="W106" s="2">
        <f>IF(R106="","",COUNTIFS($C$5:$C$3004,R106,$O$5:$O$3004,"CONCLUÍDA"))</f>
        <v/>
      </c>
      <c r="X106" s="2">
        <f>IF(R106="","",COUNTIFS($C$5:$C$3004,R106,$O$5:$O$3004,"EM ANDAMENTO"))</f>
        <v/>
      </c>
      <c r="Y106" s="2">
        <f>IF(R106="","",IF(COUNTIFS($C$5:$C$3004,R106,$O$5:$O$3004,"CONCLUÍDA",$N$5:$N$3004,"&gt;=-1")=0,"",_xlfn.MAXIFS($N$5:$N$3004,$C$5:$C$3004,R106,$O$5:$O$3004,"CONCLUÍDA")))</f>
        <v/>
      </c>
      <c r="Z106" s="2">
        <f>IF(R106="","",IF(COUNTIFS($C$5:$C$3004,R106,$O$5:$O$3004,"EM ANDAMENTO",$N$5:$N$3004,"&gt;=-1")=0,"",_xlfn.MAXIFS($N$5:$N$3004,$C$5:$C$3004,R106,$O$5:$O$3004,"EM ANDAMENTO")))</f>
        <v/>
      </c>
      <c r="AA106" s="2">
        <f>IF(OR(R106="",S106="",U106&lt;&gt;"SIM",V106=0),"",IF(W106+X106=0,"",T106&amp;": "&amp;IF(W106=V106,"concluído",IF(W106=0,"em execução"&amp;IF(Z106&lt;&gt;""," ("&amp;IF(Z106=-1,"subsolo",IF(Z106=0,"térreo",Z106&amp;"º pav."))&amp;")",""),IF(Y106&lt;&gt;"","até "&amp;IF(Y106=-1,"subsolo",IF(Y106=0,"térreo",Y106&amp;"º pav.")),W106&amp;" de "&amp;V106&amp;" concluídas")&amp;IF(Z106="","",IF(OR(Y106="",Z106&gt;Y106),", executando "&amp;IF(Z106=-1,"subsolo",IF(Z106=0,"térreo",Z106&amp;"º pav."))," (restam serviços no "&amp;IF(Z106=-1,"subsolo",IF(Z106=0,"térreo",Z106&amp;"º pav."))&amp;")"))))))</f>
        <v/>
      </c>
    </row>
    <row r="107">
      <c r="M107" s="2">
        <f>IF(C107="","",IFERROR(INDEX($S$5:$S$304,MATCH(C107,$R$5:$R$304,0))&amp;"","?"))</f>
        <v/>
      </c>
      <c r="N107" s="2">
        <f>IF(E107="","",IF(LEFT(E107,7)="SUBSOLO",-1,IF(LEFT(E107,6)="TÉRREO",0,IFERROR(VALUE(LEFT(E107,FIND("º",SUBSTITUTE(E107,"°","º"))-1)),""))))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5" t="inlineStr">
        <is>
          <t>ESQUADRIA MADEIRA</t>
        </is>
      </c>
      <c r="S107" s="5" t="inlineStr">
        <is>
          <t>25</t>
        </is>
      </c>
      <c r="T107" s="5" t="inlineStr">
        <is>
          <t>Esquadria madeira</t>
        </is>
      </c>
      <c r="U107" s="5" t="inlineStr">
        <is>
          <t>SIM</t>
        </is>
      </c>
      <c r="V107" s="2">
        <f>IF(R107="","",COUNTIF($C$5:$C$3004,R107))</f>
        <v/>
      </c>
      <c r="W107" s="2">
        <f>IF(R107="","",COUNTIFS($C$5:$C$3004,R107,$O$5:$O$3004,"CONCLUÍDA"))</f>
        <v/>
      </c>
      <c r="X107" s="2">
        <f>IF(R107="","",COUNTIFS($C$5:$C$3004,R107,$O$5:$O$3004,"EM ANDAMENTO"))</f>
        <v/>
      </c>
      <c r="Y107" s="2">
        <f>IF(R107="","",IF(COUNTIFS($C$5:$C$3004,R107,$O$5:$O$3004,"CONCLUÍDA",$N$5:$N$3004,"&gt;=-1")=0,"",_xlfn.MAXIFS($N$5:$N$3004,$C$5:$C$3004,R107,$O$5:$O$3004,"CONCLUÍDA")))</f>
        <v/>
      </c>
      <c r="Z107" s="2">
        <f>IF(R107="","",IF(COUNTIFS($C$5:$C$3004,R107,$O$5:$O$3004,"EM ANDAMENTO",$N$5:$N$3004,"&gt;=-1")=0,"",_xlfn.MAXIFS($N$5:$N$3004,$C$5:$C$3004,R107,$O$5:$O$3004,"EM ANDAMENTO")))</f>
        <v/>
      </c>
      <c r="AA107" s="2">
        <f>IF(OR(R107="",S107="",U107&lt;&gt;"SIM",V107=0),"",IF(W107+X107=0,"",T107&amp;": "&amp;IF(W107=V107,"concluído",IF(W107=0,"em execução"&amp;IF(Z107&lt;&gt;""," ("&amp;IF(Z107=-1,"subsolo",IF(Z107=0,"térreo",Z107&amp;"º pav."))&amp;")",""),IF(Y107&lt;&gt;"","até "&amp;IF(Y107=-1,"subsolo",IF(Y107=0,"térreo",Y107&amp;"º pav.")),W107&amp;" de "&amp;V107&amp;" concluídas")&amp;IF(Z107="","",IF(OR(Y107="",Z107&gt;Y107),", executando "&amp;IF(Z107=-1,"subsolo",IF(Z107=0,"térreo",Z107&amp;"º pav."))," (restam serviços no "&amp;IF(Z107=-1,"subsolo",IF(Z107=0,"térreo",Z107&amp;"º pav."))&amp;")"))))))</f>
        <v/>
      </c>
    </row>
    <row r="108">
      <c r="M108" s="2">
        <f>IF(C108="","",IFERROR(INDEX($S$5:$S$304,MATCH(C108,$R$5:$R$304,0))&amp;"","?"))</f>
        <v/>
      </c>
      <c r="N108" s="2">
        <f>IF(E108="","",IF(LEFT(E108,7)="SUBSOLO",-1,IF(LEFT(E108,6)="TÉRREO",0,IFERROR(VALUE(LEFT(E108,FIND("º",SUBSTITUTE(E108,"°","º"))-1)),""))))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5" t="inlineStr">
        <is>
          <t>PLACAS E IDEINTIFIC. VISUAIS</t>
        </is>
      </c>
      <c r="S108" s="5" t="n"/>
      <c r="T108" s="5" t="inlineStr">
        <is>
          <t>Placas e ideintific. visuais</t>
        </is>
      </c>
      <c r="U108" s="5" t="inlineStr">
        <is>
          <t>NÃO</t>
        </is>
      </c>
      <c r="V108" s="2">
        <f>IF(R108="","",COUNTIF($C$5:$C$3004,R108))</f>
        <v/>
      </c>
      <c r="W108" s="2">
        <f>IF(R108="","",COUNTIFS($C$5:$C$3004,R108,$O$5:$O$3004,"CONCLUÍDA"))</f>
        <v/>
      </c>
      <c r="X108" s="2">
        <f>IF(R108="","",COUNTIFS($C$5:$C$3004,R108,$O$5:$O$3004,"EM ANDAMENTO"))</f>
        <v/>
      </c>
      <c r="Y108" s="2">
        <f>IF(R108="","",IF(COUNTIFS($C$5:$C$3004,R108,$O$5:$O$3004,"CONCLUÍDA",$N$5:$N$3004,"&gt;=-1")=0,"",_xlfn.MAXIFS($N$5:$N$3004,$C$5:$C$3004,R108,$O$5:$O$3004,"CONCLUÍDA")))</f>
        <v/>
      </c>
      <c r="Z108" s="2">
        <f>IF(R108="","",IF(COUNTIFS($C$5:$C$3004,R108,$O$5:$O$3004,"EM ANDAMENTO",$N$5:$N$3004,"&gt;=-1")=0,"",_xlfn.MAXIFS($N$5:$N$3004,$C$5:$C$3004,R108,$O$5:$O$3004,"EM ANDAMENTO")))</f>
        <v/>
      </c>
      <c r="AA108" s="2">
        <f>IF(OR(R108="",S108="",U108&lt;&gt;"SIM",V108=0),"",IF(W108+X108=0,"",T108&amp;": "&amp;IF(W108=V108,"concluído",IF(W108=0,"em execução"&amp;IF(Z108&lt;&gt;""," ("&amp;IF(Z108=-1,"subsolo",IF(Z108=0,"térreo",Z108&amp;"º pav."))&amp;")",""),IF(Y108&lt;&gt;"","até "&amp;IF(Y108=-1,"subsolo",IF(Y108=0,"térreo",Y108&amp;"º pav.")),W108&amp;" de "&amp;V108&amp;" concluídas")&amp;IF(Z108="","",IF(OR(Y108="",Z108&gt;Y108),", executando "&amp;IF(Z108=-1,"subsolo",IF(Z108=0,"térreo",Z108&amp;"º pav."))," (restam serviços no "&amp;IF(Z108=-1,"subsolo",IF(Z108=0,"térreo",Z108&amp;"º pav."))&amp;")"))))))</f>
        <v/>
      </c>
    </row>
    <row r="109">
      <c r="M109" s="2">
        <f>IF(C109="","",IFERROR(INDEX($S$5:$S$304,MATCH(C109,$R$5:$R$304,0))&amp;"","?"))</f>
        <v/>
      </c>
      <c r="N109" s="2">
        <f>IF(E109="","",IF(LEFT(E109,7)="SUBSOLO",-1,IF(LEFT(E109,6)="TÉRREO",0,IFERROR(VALUE(LEFT(E109,FIND("º",SUBSTITUTE(E109,"°","º"))-1)),""))))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5" t="inlineStr">
        <is>
          <t>INSTALAÇÃO DE LUMINÁRIAS</t>
        </is>
      </c>
      <c r="S109" s="5" t="inlineStr">
        <is>
          <t>20</t>
        </is>
      </c>
      <c r="T109" s="5" t="inlineStr">
        <is>
          <t>Luminárias</t>
        </is>
      </c>
      <c r="U109" s="5" t="inlineStr">
        <is>
          <t>SIM</t>
        </is>
      </c>
      <c r="V109" s="2">
        <f>IF(R109="","",COUNTIF($C$5:$C$3004,R109))</f>
        <v/>
      </c>
      <c r="W109" s="2">
        <f>IF(R109="","",COUNTIFS($C$5:$C$3004,R109,$O$5:$O$3004,"CONCLUÍDA"))</f>
        <v/>
      </c>
      <c r="X109" s="2">
        <f>IF(R109="","",COUNTIFS($C$5:$C$3004,R109,$O$5:$O$3004,"EM ANDAMENTO"))</f>
        <v/>
      </c>
      <c r="Y109" s="2">
        <f>IF(R109="","",IF(COUNTIFS($C$5:$C$3004,R109,$O$5:$O$3004,"CONCLUÍDA",$N$5:$N$3004,"&gt;=-1")=0,"",_xlfn.MAXIFS($N$5:$N$3004,$C$5:$C$3004,R109,$O$5:$O$3004,"CONCLUÍDA")))</f>
        <v/>
      </c>
      <c r="Z109" s="2">
        <f>IF(R109="","",IF(COUNTIFS($C$5:$C$3004,R109,$O$5:$O$3004,"EM ANDAMENTO",$N$5:$N$3004,"&gt;=-1")=0,"",_xlfn.MAXIFS($N$5:$N$3004,$C$5:$C$3004,R109,$O$5:$O$3004,"EM ANDAMENTO")))</f>
        <v/>
      </c>
      <c r="AA109" s="2">
        <f>IF(OR(R109="",S109="",U109&lt;&gt;"SIM",V109=0),"",IF(W109+X109=0,"",T109&amp;": "&amp;IF(W109=V109,"concluído",IF(W109=0,"em execução"&amp;IF(Z109&lt;&gt;""," ("&amp;IF(Z109=-1,"subsolo",IF(Z109=0,"térreo",Z109&amp;"º pav."))&amp;")",""),IF(Y109&lt;&gt;"","até "&amp;IF(Y109=-1,"subsolo",IF(Y109=0,"térreo",Y109&amp;"º pav.")),W109&amp;" de "&amp;V109&amp;" concluídas")&amp;IF(Z109="","",IF(OR(Y109="",Z109&gt;Y109),", executando "&amp;IF(Z109=-1,"subsolo",IF(Z109=0,"térreo",Z109&amp;"º pav."))," (restam serviços no "&amp;IF(Z109=-1,"subsolo",IF(Z109=0,"térreo",Z109&amp;"º pav."))&amp;")"))))))</f>
        <v/>
      </c>
    </row>
    <row r="110">
      <c r="M110" s="2">
        <f>IF(C110="","",IFERROR(INDEX($S$5:$S$304,MATCH(C110,$R$5:$R$304,0))&amp;"","?"))</f>
        <v/>
      </c>
      <c r="N110" s="2">
        <f>IF(E110="","",IF(LEFT(E110,7)="SUBSOLO",-1,IF(LEFT(E110,6)="TÉRREO",0,IFERROR(VALUE(LEFT(E110,FIND("º",SUBSTITUTE(E110,"°","º"))-1)),""))))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5" t="inlineStr">
        <is>
          <t>INSTALAÇÃO DE PCF (FOLHA)</t>
        </is>
      </c>
      <c r="S110" s="5" t="inlineStr">
        <is>
          <t>26</t>
        </is>
      </c>
      <c r="T110" s="5" t="inlineStr">
        <is>
          <t>PCF (folha)</t>
        </is>
      </c>
      <c r="U110" s="5" t="inlineStr">
        <is>
          <t>SIM</t>
        </is>
      </c>
      <c r="V110" s="2">
        <f>IF(R110="","",COUNTIF($C$5:$C$3004,R110))</f>
        <v/>
      </c>
      <c r="W110" s="2">
        <f>IF(R110="","",COUNTIFS($C$5:$C$3004,R110,$O$5:$O$3004,"CONCLUÍDA"))</f>
        <v/>
      </c>
      <c r="X110" s="2">
        <f>IF(R110="","",COUNTIFS($C$5:$C$3004,R110,$O$5:$O$3004,"EM ANDAMENTO"))</f>
        <v/>
      </c>
      <c r="Y110" s="2">
        <f>IF(R110="","",IF(COUNTIFS($C$5:$C$3004,R110,$O$5:$O$3004,"CONCLUÍDA",$N$5:$N$3004,"&gt;=-1")=0,"",_xlfn.MAXIFS($N$5:$N$3004,$C$5:$C$3004,R110,$O$5:$O$3004,"CONCLUÍDA")))</f>
        <v/>
      </c>
      <c r="Z110" s="2">
        <f>IF(R110="","",IF(COUNTIFS($C$5:$C$3004,R110,$O$5:$O$3004,"EM ANDAMENTO",$N$5:$N$3004,"&gt;=-1")=0,"",_xlfn.MAXIFS($N$5:$N$3004,$C$5:$C$3004,R110,$O$5:$O$3004,"EM ANDAMENTO")))</f>
        <v/>
      </c>
      <c r="AA110" s="2">
        <f>IF(OR(R110="",S110="",U110&lt;&gt;"SIM",V110=0),"",IF(W110+X110=0,"",T110&amp;": "&amp;IF(W110=V110,"concluído",IF(W110=0,"em execução"&amp;IF(Z110&lt;&gt;""," ("&amp;IF(Z110=-1,"subsolo",IF(Z110=0,"térreo",Z110&amp;"º pav."))&amp;")",""),IF(Y110&lt;&gt;"","até "&amp;IF(Y110=-1,"subsolo",IF(Y110=0,"térreo",Y110&amp;"º pav.")),W110&amp;" de "&amp;V110&amp;" concluídas")&amp;IF(Z110="","",IF(OR(Y110="",Z110&gt;Y110),", executando "&amp;IF(Z110=-1,"subsolo",IF(Z110=0,"térreo",Z110&amp;"º pav."))," (restam serviços no "&amp;IF(Z110=-1,"subsolo",IF(Z110=0,"térreo",Z110&amp;"º pav."))&amp;")"))))))</f>
        <v/>
      </c>
    </row>
    <row r="111">
      <c r="M111" s="2">
        <f>IF(C111="","",IFERROR(INDEX($S$5:$S$304,MATCH(C111,$R$5:$R$304,0))&amp;"","?"))</f>
        <v/>
      </c>
      <c r="N111" s="2">
        <f>IF(E111="","",IF(LEFT(E111,7)="SUBSOLO",-1,IF(LEFT(E111,6)="TÉRREO",0,IFERROR(VALUE(LEFT(E111,FIND("º",SUBSTITUTE(E111,"°","º"))-1)),""))))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5" t="inlineStr">
        <is>
          <t>MARCENARIA - SHAFTS</t>
        </is>
      </c>
      <c r="S111" s="5" t="inlineStr">
        <is>
          <t>27</t>
        </is>
      </c>
      <c r="T111" s="5" t="inlineStr">
        <is>
          <t>Marcenaria - shafts</t>
        </is>
      </c>
      <c r="U111" s="5" t="inlineStr">
        <is>
          <t>SIM</t>
        </is>
      </c>
      <c r="V111" s="2">
        <f>IF(R111="","",COUNTIF($C$5:$C$3004,R111))</f>
        <v/>
      </c>
      <c r="W111" s="2">
        <f>IF(R111="","",COUNTIFS($C$5:$C$3004,R111,$O$5:$O$3004,"CONCLUÍDA"))</f>
        <v/>
      </c>
      <c r="X111" s="2">
        <f>IF(R111="","",COUNTIFS($C$5:$C$3004,R111,$O$5:$O$3004,"EM ANDAMENTO"))</f>
        <v/>
      </c>
      <c r="Y111" s="2">
        <f>IF(R111="","",IF(COUNTIFS($C$5:$C$3004,R111,$O$5:$O$3004,"CONCLUÍDA",$N$5:$N$3004,"&gt;=-1")=0,"",_xlfn.MAXIFS($N$5:$N$3004,$C$5:$C$3004,R111,$O$5:$O$3004,"CONCLUÍDA")))</f>
        <v/>
      </c>
      <c r="Z111" s="2">
        <f>IF(R111="","",IF(COUNTIFS($C$5:$C$3004,R111,$O$5:$O$3004,"EM ANDAMENTO",$N$5:$N$3004,"&gt;=-1")=0,"",_xlfn.MAXIFS($N$5:$N$3004,$C$5:$C$3004,R111,$O$5:$O$3004,"EM ANDAMENTO")))</f>
        <v/>
      </c>
      <c r="AA111" s="2">
        <f>IF(OR(R111="",S111="",U111&lt;&gt;"SIM",V111=0),"",IF(W111+X111=0,"",T111&amp;": "&amp;IF(W111=V111,"concluído",IF(W111=0,"em execução"&amp;IF(Z111&lt;&gt;""," ("&amp;IF(Z111=-1,"subsolo",IF(Z111=0,"térreo",Z111&amp;"º pav."))&amp;")",""),IF(Y111&lt;&gt;"","até "&amp;IF(Y111=-1,"subsolo",IF(Y111=0,"térreo",Y111&amp;"º pav.")),W111&amp;" de "&amp;V111&amp;" concluídas")&amp;IF(Z111="","",IF(OR(Y111="",Z111&gt;Y111),", executando "&amp;IF(Z111=-1,"subsolo",IF(Z111=0,"térreo",Z111&amp;"º pav."))," (restam serviços no "&amp;IF(Z111=-1,"subsolo",IF(Z111=0,"térreo",Z111&amp;"º pav."))&amp;")"))))))</f>
        <v/>
      </c>
    </row>
    <row r="112">
      <c r="M112" s="2">
        <f>IF(C112="","",IFERROR(INDEX($S$5:$S$304,MATCH(C112,$R$5:$R$304,0))&amp;"","?"))</f>
        <v/>
      </c>
      <c r="N112" s="2">
        <f>IF(E112="","",IF(LEFT(E112,7)="SUBSOLO",-1,IF(LEFT(E112,6)="TÉRREO",0,IFERROR(VALUE(LEFT(E112,FIND("º",SUBSTITUTE(E112,"°","º"))-1)),""))))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5" t="inlineStr">
        <is>
          <t>PREPARAÇÃO - POÇO DE ELEVADOR</t>
        </is>
      </c>
      <c r="S112" s="5" t="inlineStr">
        <is>
          <t>24</t>
        </is>
      </c>
      <c r="T112" s="5" t="inlineStr">
        <is>
          <t>Preparação - poço de elevador</t>
        </is>
      </c>
      <c r="U112" s="5" t="inlineStr">
        <is>
          <t>SIM</t>
        </is>
      </c>
      <c r="V112" s="2">
        <f>IF(R112="","",COUNTIF($C$5:$C$3004,R112))</f>
        <v/>
      </c>
      <c r="W112" s="2">
        <f>IF(R112="","",COUNTIFS($C$5:$C$3004,R112,$O$5:$O$3004,"CONCLUÍDA"))</f>
        <v/>
      </c>
      <c r="X112" s="2">
        <f>IF(R112="","",COUNTIFS($C$5:$C$3004,R112,$O$5:$O$3004,"EM ANDAMENTO"))</f>
        <v/>
      </c>
      <c r="Y112" s="2">
        <f>IF(R112="","",IF(COUNTIFS($C$5:$C$3004,R112,$O$5:$O$3004,"CONCLUÍDA",$N$5:$N$3004,"&gt;=-1")=0,"",_xlfn.MAXIFS($N$5:$N$3004,$C$5:$C$3004,R112,$O$5:$O$3004,"CONCLUÍDA")))</f>
        <v/>
      </c>
      <c r="Z112" s="2">
        <f>IF(R112="","",IF(COUNTIFS($C$5:$C$3004,R112,$O$5:$O$3004,"EM ANDAMENTO",$N$5:$N$3004,"&gt;=-1")=0,"",_xlfn.MAXIFS($N$5:$N$3004,$C$5:$C$3004,R112,$O$5:$O$3004,"EM ANDAMENTO")))</f>
        <v/>
      </c>
      <c r="AA112" s="2">
        <f>IF(OR(R112="",S112="",U112&lt;&gt;"SIM",V112=0),"",IF(W112+X112=0,"",T112&amp;": "&amp;IF(W112=V112,"concluído",IF(W112=0,"em execução"&amp;IF(Z112&lt;&gt;""," ("&amp;IF(Z112=-1,"subsolo",IF(Z112=0,"térreo",Z112&amp;"º pav."))&amp;")",""),IF(Y112&lt;&gt;"","até "&amp;IF(Y112=-1,"subsolo",IF(Y112=0,"térreo",Y112&amp;"º pav.")),W112&amp;" de "&amp;V112&amp;" concluídas")&amp;IF(Z112="","",IF(OR(Y112="",Z112&gt;Y112),", executando "&amp;IF(Z112=-1,"subsolo",IF(Z112=0,"térreo",Z112&amp;"º pav."))," (restam serviços no "&amp;IF(Z112=-1,"subsolo",IF(Z112=0,"térreo",Z112&amp;"º pav."))&amp;")"))))))</f>
        <v/>
      </c>
    </row>
    <row r="113">
      <c r="M113" s="2">
        <f>IF(C113="","",IFERROR(INDEX($S$5:$S$304,MATCH(C113,$R$5:$R$304,0))&amp;"","?"))</f>
        <v/>
      </c>
      <c r="N113" s="2">
        <f>IF(E113="","",IF(LEFT(E113,7)="SUBSOLO",-1,IF(LEFT(E113,6)="TÉRREO",0,IFERROR(VALUE(LEFT(E113,FIND("º",SUBSTITUTE(E113,"°","º"))-1)),""))))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5" t="inlineStr">
        <is>
          <t>PREPARAÇÃO PARA FACHADA AERADA - F1 + F2 (2º ETAPA)</t>
        </is>
      </c>
      <c r="S113" s="5" t="inlineStr">
        <is>
          <t>32</t>
        </is>
      </c>
      <c r="T113" s="5" t="inlineStr">
        <is>
          <t>Preparação para fachada aerada - F1 + F2 (2º etapa)</t>
        </is>
      </c>
      <c r="U113" s="5" t="inlineStr">
        <is>
          <t>SIM</t>
        </is>
      </c>
      <c r="V113" s="2">
        <f>IF(R113="","",COUNTIF($C$5:$C$3004,R113))</f>
        <v/>
      </c>
      <c r="W113" s="2">
        <f>IF(R113="","",COUNTIFS($C$5:$C$3004,R113,$O$5:$O$3004,"CONCLUÍDA"))</f>
        <v/>
      </c>
      <c r="X113" s="2">
        <f>IF(R113="","",COUNTIFS($C$5:$C$3004,R113,$O$5:$O$3004,"EM ANDAMENTO"))</f>
        <v/>
      </c>
      <c r="Y113" s="2">
        <f>IF(R113="","",IF(COUNTIFS($C$5:$C$3004,R113,$O$5:$O$3004,"CONCLUÍDA",$N$5:$N$3004,"&gt;=-1")=0,"",_xlfn.MAXIFS($N$5:$N$3004,$C$5:$C$3004,R113,$O$5:$O$3004,"CONCLUÍDA")))</f>
        <v/>
      </c>
      <c r="Z113" s="2">
        <f>IF(R113="","",IF(COUNTIFS($C$5:$C$3004,R113,$O$5:$O$3004,"EM ANDAMENTO",$N$5:$N$3004,"&gt;=-1")=0,"",_xlfn.MAXIFS($N$5:$N$3004,$C$5:$C$3004,R113,$O$5:$O$3004,"EM ANDAMENTO")))</f>
        <v/>
      </c>
      <c r="AA113" s="2">
        <f>IF(OR(R113="",S113="",U113&lt;&gt;"SIM",V113=0),"",IF(W113+X113=0,"",T113&amp;": "&amp;IF(W113=V113,"concluído",IF(W113=0,"em execução"&amp;IF(Z113&lt;&gt;""," ("&amp;IF(Z113=-1,"subsolo",IF(Z113=0,"térreo",Z113&amp;"º pav."))&amp;")",""),IF(Y113&lt;&gt;"","até "&amp;IF(Y113=-1,"subsolo",IF(Y113=0,"térreo",Y113&amp;"º pav.")),W113&amp;" de "&amp;V113&amp;" concluídas")&amp;IF(Z113="","",IF(OR(Y113="",Z113&gt;Y113),", executando "&amp;IF(Z113=-1,"subsolo",IF(Z113=0,"térreo",Z113&amp;"º pav."))," (restam serviços no "&amp;IF(Z113=-1,"subsolo",IF(Z113=0,"térreo",Z113&amp;"º pav."))&amp;")"))))))</f>
        <v/>
      </c>
    </row>
    <row r="114">
      <c r="M114" s="2">
        <f>IF(C114="","",IFERROR(INDEX($S$5:$S$304,MATCH(C114,$R$5:$R$304,0))&amp;"","?"))</f>
        <v/>
      </c>
      <c r="N114" s="2">
        <f>IF(E114="","",IF(LEFT(E114,7)="SUBSOLO",-1,IF(LEFT(E114,6)="TÉRREO",0,IFERROR(VALUE(LEFT(E114,FIND("º",SUBSTITUTE(E114,"°","º"))-1)),""))))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5" t="inlineStr">
        <is>
          <t>RODAPÉ MADEIRA / PVC</t>
        </is>
      </c>
      <c r="S114" s="5" t="inlineStr">
        <is>
          <t>30</t>
        </is>
      </c>
      <c r="T114" s="5" t="inlineStr">
        <is>
          <t>Rodapé madeira / pvc</t>
        </is>
      </c>
      <c r="U114" s="5" t="inlineStr">
        <is>
          <t>SIM</t>
        </is>
      </c>
      <c r="V114" s="2">
        <f>IF(R114="","",COUNTIF($C$5:$C$3004,R114))</f>
        <v/>
      </c>
      <c r="W114" s="2">
        <f>IF(R114="","",COUNTIFS($C$5:$C$3004,R114,$O$5:$O$3004,"CONCLUÍDA"))</f>
        <v/>
      </c>
      <c r="X114" s="2">
        <f>IF(R114="","",COUNTIFS($C$5:$C$3004,R114,$O$5:$O$3004,"EM ANDAMENTO"))</f>
        <v/>
      </c>
      <c r="Y114" s="2">
        <f>IF(R114="","",IF(COUNTIFS($C$5:$C$3004,R114,$O$5:$O$3004,"CONCLUÍDA",$N$5:$N$3004,"&gt;=-1")=0,"",_xlfn.MAXIFS($N$5:$N$3004,$C$5:$C$3004,R114,$O$5:$O$3004,"CONCLUÍDA")))</f>
        <v/>
      </c>
      <c r="Z114" s="2">
        <f>IF(R114="","",IF(COUNTIFS($C$5:$C$3004,R114,$O$5:$O$3004,"EM ANDAMENTO",$N$5:$N$3004,"&gt;=-1")=0,"",_xlfn.MAXIFS($N$5:$N$3004,$C$5:$C$3004,R114,$O$5:$O$3004,"EM ANDAMENTO")))</f>
        <v/>
      </c>
      <c r="AA114" s="2">
        <f>IF(OR(R114="",S114="",U114&lt;&gt;"SIM",V114=0),"",IF(W114+X114=0,"",T114&amp;": "&amp;IF(W114=V114,"concluído",IF(W114=0,"em execução"&amp;IF(Z114&lt;&gt;""," ("&amp;IF(Z114=-1,"subsolo",IF(Z114=0,"térreo",Z114&amp;"º pav."))&amp;")",""),IF(Y114&lt;&gt;"","até "&amp;IF(Y114=-1,"subsolo",IF(Y114=0,"térreo",Y114&amp;"º pav.")),W114&amp;" de "&amp;V114&amp;" concluídas")&amp;IF(Z114="","",IF(OR(Y114="",Z114&gt;Y114),", executando "&amp;IF(Z114=-1,"subsolo",IF(Z114=0,"térreo",Z114&amp;"º pav."))," (restam serviços no "&amp;IF(Z114=-1,"subsolo",IF(Z114=0,"térreo",Z114&amp;"º pav."))&amp;")"))))))</f>
        <v/>
      </c>
    </row>
    <row r="115">
      <c r="M115" s="2">
        <f>IF(C115="","",IFERROR(INDEX($S$5:$S$304,MATCH(C115,$R$5:$R$304,0))&amp;"","?"))</f>
        <v/>
      </c>
      <c r="N115" s="2">
        <f>IF(E115="","",IF(LEFT(E115,7)="SUBSOLO",-1,IF(LEFT(E115,6)="TÉRREO",0,IFERROR(VALUE(LEFT(E115,FIND("º",SUBSTITUTE(E115,"°","º"))-1)),""))))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5" t="inlineStr">
        <is>
          <t>INSTALAÇÃO DE CORRIMÃO (SERRALHERIA)</t>
        </is>
      </c>
      <c r="S115" s="5" t="inlineStr">
        <is>
          <t>26</t>
        </is>
      </c>
      <c r="T115" s="5" t="inlineStr">
        <is>
          <t>Corrimão (serralheria)</t>
        </is>
      </c>
      <c r="U115" s="5" t="inlineStr">
        <is>
          <t>SIM</t>
        </is>
      </c>
      <c r="V115" s="2">
        <f>IF(R115="","",COUNTIF($C$5:$C$3004,R115))</f>
        <v/>
      </c>
      <c r="W115" s="2">
        <f>IF(R115="","",COUNTIFS($C$5:$C$3004,R115,$O$5:$O$3004,"CONCLUÍDA"))</f>
        <v/>
      </c>
      <c r="X115" s="2">
        <f>IF(R115="","",COUNTIFS($C$5:$C$3004,R115,$O$5:$O$3004,"EM ANDAMENTO"))</f>
        <v/>
      </c>
      <c r="Y115" s="2">
        <f>IF(R115="","",IF(COUNTIFS($C$5:$C$3004,R115,$O$5:$O$3004,"CONCLUÍDA",$N$5:$N$3004,"&gt;=-1")=0,"",_xlfn.MAXIFS($N$5:$N$3004,$C$5:$C$3004,R115,$O$5:$O$3004,"CONCLUÍDA")))</f>
        <v/>
      </c>
      <c r="Z115" s="2">
        <f>IF(R115="","",IF(COUNTIFS($C$5:$C$3004,R115,$O$5:$O$3004,"EM ANDAMENTO",$N$5:$N$3004,"&gt;=-1")=0,"",_xlfn.MAXIFS($N$5:$N$3004,$C$5:$C$3004,R115,$O$5:$O$3004,"EM ANDAMENTO")))</f>
        <v/>
      </c>
      <c r="AA115" s="2">
        <f>IF(OR(R115="",S115="",U115&lt;&gt;"SIM",V115=0),"",IF(W115+X115=0,"",T115&amp;": "&amp;IF(W115=V115,"concluído",IF(W115=0,"em execução"&amp;IF(Z115&lt;&gt;""," ("&amp;IF(Z115=-1,"subsolo",IF(Z115=0,"térreo",Z115&amp;"º pav."))&amp;")",""),IF(Y115&lt;&gt;"","até "&amp;IF(Y115=-1,"subsolo",IF(Y115=0,"térreo",Y115&amp;"º pav.")),W115&amp;" de "&amp;V115&amp;" concluídas")&amp;IF(Z115="","",IF(OR(Y115="",Z115&gt;Y115),", executando "&amp;IF(Z115=-1,"subsolo",IF(Z115=0,"térreo",Z115&amp;"º pav."))," (restam serviços no "&amp;IF(Z115=-1,"subsolo",IF(Z115=0,"térreo",Z115&amp;"º pav."))&amp;")"))))))</f>
        <v/>
      </c>
    </row>
    <row r="116">
      <c r="M116" s="2">
        <f>IF(C116="","",IFERROR(INDEX($S$5:$S$304,MATCH(C116,$R$5:$R$304,0))&amp;"","?"))</f>
        <v/>
      </c>
      <c r="N116" s="2">
        <f>IF(E116="","",IF(LEFT(E116,7)="SUBSOLO",-1,IF(LEFT(E116,6)="TÉRREO",0,IFERROR(VALUE(LEFT(E116,FIND("º",SUBSTITUTE(E116,"°","º"))-1)),""))))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5" t="inlineStr">
        <is>
          <t>LOUÇAS</t>
        </is>
      </c>
      <c r="S116" s="5" t="inlineStr">
        <is>
          <t>34</t>
        </is>
      </c>
      <c r="T116" s="5" t="inlineStr">
        <is>
          <t>Louças</t>
        </is>
      </c>
      <c r="U116" s="5" t="inlineStr">
        <is>
          <t>SIM</t>
        </is>
      </c>
      <c r="V116" s="2">
        <f>IF(R116="","",COUNTIF($C$5:$C$3004,R116))</f>
        <v/>
      </c>
      <c r="W116" s="2">
        <f>IF(R116="","",COUNTIFS($C$5:$C$3004,R116,$O$5:$O$3004,"CONCLUÍDA"))</f>
        <v/>
      </c>
      <c r="X116" s="2">
        <f>IF(R116="","",COUNTIFS($C$5:$C$3004,R116,$O$5:$O$3004,"EM ANDAMENTO"))</f>
        <v/>
      </c>
      <c r="Y116" s="2">
        <f>IF(R116="","",IF(COUNTIFS($C$5:$C$3004,R116,$O$5:$O$3004,"CONCLUÍDA",$N$5:$N$3004,"&gt;=-1")=0,"",_xlfn.MAXIFS($N$5:$N$3004,$C$5:$C$3004,R116,$O$5:$O$3004,"CONCLUÍDA")))</f>
        <v/>
      </c>
      <c r="Z116" s="2">
        <f>IF(R116="","",IF(COUNTIFS($C$5:$C$3004,R116,$O$5:$O$3004,"EM ANDAMENTO",$N$5:$N$3004,"&gt;=-1")=0,"",_xlfn.MAXIFS($N$5:$N$3004,$C$5:$C$3004,R116,$O$5:$O$3004,"EM ANDAMENTO")))</f>
        <v/>
      </c>
      <c r="AA116" s="2">
        <f>IF(OR(R116="",S116="",U116&lt;&gt;"SIM",V116=0),"",IF(W116+X116=0,"",T116&amp;": "&amp;IF(W116=V116,"concluído",IF(W116=0,"em execução"&amp;IF(Z116&lt;&gt;""," ("&amp;IF(Z116=-1,"subsolo",IF(Z116=0,"térreo",Z116&amp;"º pav."))&amp;")",""),IF(Y116&lt;&gt;"","até "&amp;IF(Y116=-1,"subsolo",IF(Y116=0,"térreo",Y116&amp;"º pav.")),W116&amp;" de "&amp;V116&amp;" concluídas")&amp;IF(Z116="","",IF(OR(Y116="",Z116&gt;Y116),", executando "&amp;IF(Z116=-1,"subsolo",IF(Z116=0,"térreo",Z116&amp;"º pav."))," (restam serviços no "&amp;IF(Z116=-1,"subsolo",IF(Z116=0,"térreo",Z116&amp;"º pav."))&amp;")"))))))</f>
        <v/>
      </c>
    </row>
    <row r="117">
      <c r="M117" s="2">
        <f>IF(C117="","",IFERROR(INDEX($S$5:$S$304,MATCH(C117,$R$5:$R$304,0))&amp;"","?"))</f>
        <v/>
      </c>
      <c r="N117" s="2">
        <f>IF(E117="","",IF(LEFT(E117,7)="SUBSOLO",-1,IF(LEFT(E117,6)="TÉRREO",0,IFERROR(VALUE(LEFT(E117,FIND("º",SUBSTITUTE(E117,"°","º"))-1)),""))))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5" t="inlineStr">
        <is>
          <t>METAIS</t>
        </is>
      </c>
      <c r="S117" s="5" t="inlineStr">
        <is>
          <t>34</t>
        </is>
      </c>
      <c r="T117" s="5" t="inlineStr">
        <is>
          <t>Metais</t>
        </is>
      </c>
      <c r="U117" s="5" t="inlineStr">
        <is>
          <t>SIM</t>
        </is>
      </c>
      <c r="V117" s="2">
        <f>IF(R117="","",COUNTIF($C$5:$C$3004,R117))</f>
        <v/>
      </c>
      <c r="W117" s="2">
        <f>IF(R117="","",COUNTIFS($C$5:$C$3004,R117,$O$5:$O$3004,"CONCLUÍDA"))</f>
        <v/>
      </c>
      <c r="X117" s="2">
        <f>IF(R117="","",COUNTIFS($C$5:$C$3004,R117,$O$5:$O$3004,"EM ANDAMENTO"))</f>
        <v/>
      </c>
      <c r="Y117" s="2">
        <f>IF(R117="","",IF(COUNTIFS($C$5:$C$3004,R117,$O$5:$O$3004,"CONCLUÍDA",$N$5:$N$3004,"&gt;=-1")=0,"",_xlfn.MAXIFS($N$5:$N$3004,$C$5:$C$3004,R117,$O$5:$O$3004,"CONCLUÍDA")))</f>
        <v/>
      </c>
      <c r="Z117" s="2">
        <f>IF(R117="","",IF(COUNTIFS($C$5:$C$3004,R117,$O$5:$O$3004,"EM ANDAMENTO",$N$5:$N$3004,"&gt;=-1")=0,"",_xlfn.MAXIFS($N$5:$N$3004,$C$5:$C$3004,R117,$O$5:$O$3004,"EM ANDAMENTO")))</f>
        <v/>
      </c>
      <c r="AA117" s="2">
        <f>IF(OR(R117="",S117="",U117&lt;&gt;"SIM",V117=0),"",IF(W117+X117=0,"",T117&amp;": "&amp;IF(W117=V117,"concluído",IF(W117=0,"em execução"&amp;IF(Z117&lt;&gt;""," ("&amp;IF(Z117=-1,"subsolo",IF(Z117=0,"térreo",Z117&amp;"º pav."))&amp;")",""),IF(Y117&lt;&gt;"","até "&amp;IF(Y117=-1,"subsolo",IF(Y117=0,"térreo",Y117&amp;"º pav.")),W117&amp;" de "&amp;V117&amp;" concluídas")&amp;IF(Z117="","",IF(OR(Y117="",Z117&gt;Y117),", executando "&amp;IF(Z117=-1,"subsolo",IF(Z117=0,"térreo",Z117&amp;"º pav."))," (restam serviços no "&amp;IF(Z117=-1,"subsolo",IF(Z117=0,"térreo",Z117&amp;"º pav."))&amp;")"))))))</f>
        <v/>
      </c>
    </row>
    <row r="118">
      <c r="M118" s="2">
        <f>IF(C118="","",IFERROR(INDEX($S$5:$S$304,MATCH(C118,$R$5:$R$304,0))&amp;"","?"))</f>
        <v/>
      </c>
      <c r="N118" s="2">
        <f>IF(E118="","",IF(LEFT(E118,7)="SUBSOLO",-1,IF(LEFT(E118,6)="TÉRREO",0,IFERROR(VALUE(LEFT(E118,FIND("º",SUBSTITUTE(E118,"°","º"))-1)),""))))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5" t="inlineStr">
        <is>
          <t>COMUNICAÇÃO E ALARME</t>
        </is>
      </c>
      <c r="S118" s="5" t="inlineStr">
        <is>
          <t>23</t>
        </is>
      </c>
      <c r="T118" s="5" t="inlineStr">
        <is>
          <t>Comunicação e alarme</t>
        </is>
      </c>
      <c r="U118" s="5" t="inlineStr">
        <is>
          <t>SIM</t>
        </is>
      </c>
      <c r="V118" s="2">
        <f>IF(R118="","",COUNTIF($C$5:$C$3004,R118))</f>
        <v/>
      </c>
      <c r="W118" s="2">
        <f>IF(R118="","",COUNTIFS($C$5:$C$3004,R118,$O$5:$O$3004,"CONCLUÍDA"))</f>
        <v/>
      </c>
      <c r="X118" s="2">
        <f>IF(R118="","",COUNTIFS($C$5:$C$3004,R118,$O$5:$O$3004,"EM ANDAMENTO"))</f>
        <v/>
      </c>
      <c r="Y118" s="2">
        <f>IF(R118="","",IF(COUNTIFS($C$5:$C$3004,R118,$O$5:$O$3004,"CONCLUÍDA",$N$5:$N$3004,"&gt;=-1")=0,"",_xlfn.MAXIFS($N$5:$N$3004,$C$5:$C$3004,R118,$O$5:$O$3004,"CONCLUÍDA")))</f>
        <v/>
      </c>
      <c r="Z118" s="2">
        <f>IF(R118="","",IF(COUNTIFS($C$5:$C$3004,R118,$O$5:$O$3004,"EM ANDAMENTO",$N$5:$N$3004,"&gt;=-1")=0,"",_xlfn.MAXIFS($N$5:$N$3004,$C$5:$C$3004,R118,$O$5:$O$3004,"EM ANDAMENTO")))</f>
        <v/>
      </c>
      <c r="AA118" s="2">
        <f>IF(OR(R118="",S118="",U118&lt;&gt;"SIM",V118=0),"",IF(W118+X118=0,"",T118&amp;": "&amp;IF(W118=V118,"concluído",IF(W118=0,"em execução"&amp;IF(Z118&lt;&gt;""," ("&amp;IF(Z118=-1,"subsolo",IF(Z118=0,"térreo",Z118&amp;"º pav."))&amp;")",""),IF(Y118&lt;&gt;"","até "&amp;IF(Y118=-1,"subsolo",IF(Y118=0,"térreo",Y118&amp;"º pav.")),W118&amp;" de "&amp;V118&amp;" concluídas")&amp;IF(Z118="","",IF(OR(Y118="",Z118&gt;Y118),", executando "&amp;IF(Z118=-1,"subsolo",IF(Z118=0,"térreo",Z118&amp;"º pav."))," (restam serviços no "&amp;IF(Z118=-1,"subsolo",IF(Z118=0,"térreo",Z118&amp;"º pav."))&amp;")"))))))</f>
        <v/>
      </c>
    </row>
    <row r="119">
      <c r="M119" s="2">
        <f>IF(C119="","",IFERROR(INDEX($S$5:$S$304,MATCH(C119,$R$5:$R$304,0))&amp;"","?"))</f>
        <v/>
      </c>
      <c r="N119" s="2">
        <f>IF(E119="","",IF(LEFT(E119,7)="SUBSOLO",-1,IF(LEFT(E119,6)="TÉRREO",0,IFERROR(VALUE(LEFT(E119,FIND("º",SUBSTITUTE(E119,"°","º"))-1)),""))))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5" t="inlineStr">
        <is>
          <t>REBOCO EXTERNO</t>
        </is>
      </c>
      <c r="S119" s="5" t="inlineStr">
        <is>
          <t>32</t>
        </is>
      </c>
      <c r="T119" s="5" t="inlineStr">
        <is>
          <t>Reboco externo</t>
        </is>
      </c>
      <c r="U119" s="5" t="inlineStr">
        <is>
          <t>SIM</t>
        </is>
      </c>
      <c r="V119" s="2">
        <f>IF(R119="","",COUNTIF($C$5:$C$3004,R119))</f>
        <v/>
      </c>
      <c r="W119" s="2">
        <f>IF(R119="","",COUNTIFS($C$5:$C$3004,R119,$O$5:$O$3004,"CONCLUÍDA"))</f>
        <v/>
      </c>
      <c r="X119" s="2">
        <f>IF(R119="","",COUNTIFS($C$5:$C$3004,R119,$O$5:$O$3004,"EM ANDAMENTO"))</f>
        <v/>
      </c>
      <c r="Y119" s="2">
        <f>IF(R119="","",IF(COUNTIFS($C$5:$C$3004,R119,$O$5:$O$3004,"CONCLUÍDA",$N$5:$N$3004,"&gt;=-1")=0,"",_xlfn.MAXIFS($N$5:$N$3004,$C$5:$C$3004,R119,$O$5:$O$3004,"CONCLUÍDA")))</f>
        <v/>
      </c>
      <c r="Z119" s="2">
        <f>IF(R119="","",IF(COUNTIFS($C$5:$C$3004,R119,$O$5:$O$3004,"EM ANDAMENTO",$N$5:$N$3004,"&gt;=-1")=0,"",_xlfn.MAXIFS($N$5:$N$3004,$C$5:$C$3004,R119,$O$5:$O$3004,"EM ANDAMENTO")))</f>
        <v/>
      </c>
      <c r="AA119" s="2">
        <f>IF(OR(R119="",S119="",U119&lt;&gt;"SIM",V119=0),"",IF(W119+X119=0,"",T119&amp;": "&amp;IF(W119=V119,"concluído",IF(W119=0,"em execução"&amp;IF(Z119&lt;&gt;""," ("&amp;IF(Z119=-1,"subsolo",IF(Z119=0,"térreo",Z119&amp;"º pav."))&amp;")",""),IF(Y119&lt;&gt;"","até "&amp;IF(Y119=-1,"subsolo",IF(Y119=0,"térreo",Y119&amp;"º pav.")),W119&amp;" de "&amp;V119&amp;" concluídas")&amp;IF(Z119="","",IF(OR(Y119="",Z119&gt;Y119),", executando "&amp;IF(Z119=-1,"subsolo",IF(Z119=0,"térreo",Z119&amp;"º pav."))," (restam serviços no "&amp;IF(Z119=-1,"subsolo",IF(Z119=0,"térreo",Z119&amp;"º pav."))&amp;")"))))))</f>
        <v/>
      </c>
    </row>
    <row r="120">
      <c r="M120" s="2">
        <f>IF(C120="","",IFERROR(INDEX($S$5:$S$304,MATCH(C120,$R$5:$R$304,0))&amp;"","?"))</f>
        <v/>
      </c>
      <c r="N120" s="2">
        <f>IF(E120="","",IF(LEFT(E120,7)="SUBSOLO",-1,IF(LEFT(E120,6)="TÉRREO",0,IFERROR(VALUE(LEFT(E120,FIND("º",SUBSTITUTE(E120,"°","º"))-1)),""))))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5" t="inlineStr">
        <is>
          <t>FACHADA AERADA - F1 + F2 (2º ETAPA)</t>
        </is>
      </c>
      <c r="S120" s="5" t="inlineStr">
        <is>
          <t>32</t>
        </is>
      </c>
      <c r="T120" s="5" t="inlineStr">
        <is>
          <t>Fachada aerada - F1 + F2 (2º etapa)</t>
        </is>
      </c>
      <c r="U120" s="5" t="inlineStr">
        <is>
          <t>SIM</t>
        </is>
      </c>
      <c r="V120" s="2">
        <f>IF(R120="","",COUNTIF($C$5:$C$3004,R120))</f>
        <v/>
      </c>
      <c r="W120" s="2">
        <f>IF(R120="","",COUNTIFS($C$5:$C$3004,R120,$O$5:$O$3004,"CONCLUÍDA"))</f>
        <v/>
      </c>
      <c r="X120" s="2">
        <f>IF(R120="","",COUNTIFS($C$5:$C$3004,R120,$O$5:$O$3004,"EM ANDAMENTO"))</f>
        <v/>
      </c>
      <c r="Y120" s="2">
        <f>IF(R120="","",IF(COUNTIFS($C$5:$C$3004,R120,$O$5:$O$3004,"CONCLUÍDA",$N$5:$N$3004,"&gt;=-1")=0,"",_xlfn.MAXIFS($N$5:$N$3004,$C$5:$C$3004,R120,$O$5:$O$3004,"CONCLUÍDA")))</f>
        <v/>
      </c>
      <c r="Z120" s="2">
        <f>IF(R120="","",IF(COUNTIFS($C$5:$C$3004,R120,$O$5:$O$3004,"EM ANDAMENTO",$N$5:$N$3004,"&gt;=-1")=0,"",_xlfn.MAXIFS($N$5:$N$3004,$C$5:$C$3004,R120,$O$5:$O$3004,"EM ANDAMENTO")))</f>
        <v/>
      </c>
      <c r="AA120" s="2">
        <f>IF(OR(R120="",S120="",U120&lt;&gt;"SIM",V120=0),"",IF(W120+X120=0,"",T120&amp;": "&amp;IF(W120=V120,"concluído",IF(W120=0,"em execução"&amp;IF(Z120&lt;&gt;""," ("&amp;IF(Z120=-1,"subsolo",IF(Z120=0,"térreo",Z120&amp;"º pav."))&amp;")",""),IF(Y120&lt;&gt;"","até "&amp;IF(Y120=-1,"subsolo",IF(Y120=0,"térreo",Y120&amp;"º pav.")),W120&amp;" de "&amp;V120&amp;" concluídas")&amp;IF(Z120="","",IF(OR(Y120="",Z120&gt;Y120),", executando "&amp;IF(Z120=-1,"subsolo",IF(Z120=0,"térreo",Z120&amp;"º pav."))," (restam serviços no "&amp;IF(Z120=-1,"subsolo",IF(Z120=0,"térreo",Z120&amp;"º pav."))&amp;")"))))))</f>
        <v/>
      </c>
    </row>
    <row r="121">
      <c r="M121" s="2">
        <f>IF(C121="","",IFERROR(INDEX($S$5:$S$304,MATCH(C121,$R$5:$R$304,0))&amp;"","?"))</f>
        <v/>
      </c>
      <c r="N121" s="2">
        <f>IF(E121="","",IF(LEFT(E121,7)="SUBSOLO",-1,IF(LEFT(E121,6)="TÉRREO",0,IFERROR(VALUE(LEFT(E121,FIND("º",SUBSTITUTE(E121,"°","º"))-1)),""))))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5" t="inlineStr">
        <is>
          <t>LIMPEZA GROSSA</t>
        </is>
      </c>
      <c r="S121" s="5" t="inlineStr">
        <is>
          <t>37</t>
        </is>
      </c>
      <c r="T121" s="5" t="inlineStr">
        <is>
          <t>Limpeza grossa</t>
        </is>
      </c>
      <c r="U121" s="5" t="inlineStr">
        <is>
          <t>SIM</t>
        </is>
      </c>
      <c r="V121" s="2">
        <f>IF(R121="","",COUNTIF($C$5:$C$3004,R121))</f>
        <v/>
      </c>
      <c r="W121" s="2">
        <f>IF(R121="","",COUNTIFS($C$5:$C$3004,R121,$O$5:$O$3004,"CONCLUÍDA"))</f>
        <v/>
      </c>
      <c r="X121" s="2">
        <f>IF(R121="","",COUNTIFS($C$5:$C$3004,R121,$O$5:$O$3004,"EM ANDAMENTO"))</f>
        <v/>
      </c>
      <c r="Y121" s="2">
        <f>IF(R121="","",IF(COUNTIFS($C$5:$C$3004,R121,$O$5:$O$3004,"CONCLUÍDA",$N$5:$N$3004,"&gt;=-1")=0,"",_xlfn.MAXIFS($N$5:$N$3004,$C$5:$C$3004,R121,$O$5:$O$3004,"CONCLUÍDA")))</f>
        <v/>
      </c>
      <c r="Z121" s="2">
        <f>IF(R121="","",IF(COUNTIFS($C$5:$C$3004,R121,$O$5:$O$3004,"EM ANDAMENTO",$N$5:$N$3004,"&gt;=-1")=0,"",_xlfn.MAXIFS($N$5:$N$3004,$C$5:$C$3004,R121,$O$5:$O$3004,"EM ANDAMENTO")))</f>
        <v/>
      </c>
      <c r="AA121" s="2">
        <f>IF(OR(R121="",S121="",U121&lt;&gt;"SIM",V121=0),"",IF(W121+X121=0,"",T121&amp;": "&amp;IF(W121=V121,"concluído",IF(W121=0,"em execução"&amp;IF(Z121&lt;&gt;""," ("&amp;IF(Z121=-1,"subsolo",IF(Z121=0,"térreo",Z121&amp;"º pav."))&amp;")",""),IF(Y121&lt;&gt;"","até "&amp;IF(Y121=-1,"subsolo",IF(Y121=0,"térreo",Y121&amp;"º pav.")),W121&amp;" de "&amp;V121&amp;" concluídas")&amp;IF(Z121="","",IF(OR(Y121="",Z121&gt;Y121),", executando "&amp;IF(Z121=-1,"subsolo",IF(Z121=0,"térreo",Z121&amp;"º pav."))," (restam serviços no "&amp;IF(Z121=-1,"subsolo",IF(Z121=0,"térreo",Z121&amp;"º pav."))&amp;")"))))))</f>
        <v/>
      </c>
    </row>
    <row r="122">
      <c r="M122" s="2">
        <f>IF(C122="","",IFERROR(INDEX($S$5:$S$304,MATCH(C122,$R$5:$R$304,0))&amp;"","?"))</f>
        <v/>
      </c>
      <c r="N122" s="2">
        <f>IF(E122="","",IF(LEFT(E122,7)="SUBSOLO",-1,IF(LEFT(E122,6)="TÉRREO",0,IFERROR(VALUE(LEFT(E122,FIND("º",SUBSTITUTE(E122,"°","º"))-1)),""))))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5" t="inlineStr">
        <is>
          <t>PEITORIS E REQUADROS DE FACHADA - F5 (1º ETAPA)</t>
        </is>
      </c>
      <c r="S122" s="5" t="inlineStr">
        <is>
          <t>32</t>
        </is>
      </c>
      <c r="T122" s="5" t="inlineStr">
        <is>
          <t>Peitoris e requadros de fachada - F5 (1º etapa)</t>
        </is>
      </c>
      <c r="U122" s="5" t="inlineStr">
        <is>
          <t>SIM</t>
        </is>
      </c>
      <c r="V122" s="2">
        <f>IF(R122="","",COUNTIF($C$5:$C$3004,R122))</f>
        <v/>
      </c>
      <c r="W122" s="2">
        <f>IF(R122="","",COUNTIFS($C$5:$C$3004,R122,$O$5:$O$3004,"CONCLUÍDA"))</f>
        <v/>
      </c>
      <c r="X122" s="2">
        <f>IF(R122="","",COUNTIFS($C$5:$C$3004,R122,$O$5:$O$3004,"EM ANDAMENTO"))</f>
        <v/>
      </c>
      <c r="Y122" s="2">
        <f>IF(R122="","",IF(COUNTIFS($C$5:$C$3004,R122,$O$5:$O$3004,"CONCLUÍDA",$N$5:$N$3004,"&gt;=-1")=0,"",_xlfn.MAXIFS($N$5:$N$3004,$C$5:$C$3004,R122,$O$5:$O$3004,"CONCLUÍDA")))</f>
        <v/>
      </c>
      <c r="Z122" s="2">
        <f>IF(R122="","",IF(COUNTIFS($C$5:$C$3004,R122,$O$5:$O$3004,"EM ANDAMENTO",$N$5:$N$3004,"&gt;=-1")=0,"",_xlfn.MAXIFS($N$5:$N$3004,$C$5:$C$3004,R122,$O$5:$O$3004,"EM ANDAMENTO")))</f>
        <v/>
      </c>
      <c r="AA122" s="2">
        <f>IF(OR(R122="",S122="",U122&lt;&gt;"SIM",V122=0),"",IF(W122+X122=0,"",T122&amp;": "&amp;IF(W122=V122,"concluído",IF(W122=0,"em execução"&amp;IF(Z122&lt;&gt;""," ("&amp;IF(Z122=-1,"subsolo",IF(Z122=0,"térreo",Z122&amp;"º pav."))&amp;")",""),IF(Y122&lt;&gt;"","até "&amp;IF(Y122=-1,"subsolo",IF(Y122=0,"térreo",Y122&amp;"º pav.")),W122&amp;" de "&amp;V122&amp;" concluídas")&amp;IF(Z122="","",IF(OR(Y122="",Z122&gt;Y122),", executando "&amp;IF(Z122=-1,"subsolo",IF(Z122=0,"térreo",Z122&amp;"º pav."))," (restam serviços no "&amp;IF(Z122=-1,"subsolo",IF(Z122=0,"térreo",Z122&amp;"º pav."))&amp;")"))))))</f>
        <v/>
      </c>
    </row>
    <row r="123">
      <c r="M123" s="2">
        <f>IF(C123="","",IFERROR(INDEX($S$5:$S$304,MATCH(C123,$R$5:$R$304,0))&amp;"","?"))</f>
        <v/>
      </c>
      <c r="N123" s="2">
        <f>IF(E123="","",IF(LEFT(E123,7)="SUBSOLO",-1,IF(LEFT(E123,6)="TÉRREO",0,IFERROR(VALUE(LEFT(E123,FIND("º",SUBSTITUTE(E123,"°","º"))-1)),""))))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5" t="inlineStr">
        <is>
          <t>POLIMENTO DE PISO</t>
        </is>
      </c>
      <c r="S123" s="5" t="inlineStr">
        <is>
          <t>30</t>
        </is>
      </c>
      <c r="T123" s="5" t="inlineStr">
        <is>
          <t>Polimento de piso</t>
        </is>
      </c>
      <c r="U123" s="5" t="inlineStr">
        <is>
          <t>NÃO</t>
        </is>
      </c>
      <c r="V123" s="2">
        <f>IF(R123="","",COUNTIF($C$5:$C$3004,R123))</f>
        <v/>
      </c>
      <c r="W123" s="2">
        <f>IF(R123="","",COUNTIFS($C$5:$C$3004,R123,$O$5:$O$3004,"CONCLUÍDA"))</f>
        <v/>
      </c>
      <c r="X123" s="2">
        <f>IF(R123="","",COUNTIFS($C$5:$C$3004,R123,$O$5:$O$3004,"EM ANDAMENTO"))</f>
        <v/>
      </c>
      <c r="Y123" s="2">
        <f>IF(R123="","",IF(COUNTIFS($C$5:$C$3004,R123,$O$5:$O$3004,"CONCLUÍDA",$N$5:$N$3004,"&gt;=-1")=0,"",_xlfn.MAXIFS($N$5:$N$3004,$C$5:$C$3004,R123,$O$5:$O$3004,"CONCLUÍDA")))</f>
        <v/>
      </c>
      <c r="Z123" s="2">
        <f>IF(R123="","",IF(COUNTIFS($C$5:$C$3004,R123,$O$5:$O$3004,"EM ANDAMENTO",$N$5:$N$3004,"&gt;=-1")=0,"",_xlfn.MAXIFS($N$5:$N$3004,$C$5:$C$3004,R123,$O$5:$O$3004,"EM ANDAMENTO")))</f>
        <v/>
      </c>
      <c r="AA123" s="2">
        <f>IF(OR(R123="",S123="",U123&lt;&gt;"SIM",V123=0),"",IF(W123+X123=0,"",T123&amp;": "&amp;IF(W123=V123,"concluído",IF(W123=0,"em execução"&amp;IF(Z123&lt;&gt;""," ("&amp;IF(Z123=-1,"subsolo",IF(Z123=0,"térreo",Z123&amp;"º pav."))&amp;")",""),IF(Y123&lt;&gt;"","até "&amp;IF(Y123=-1,"subsolo",IF(Y123=0,"térreo",Y123&amp;"º pav.")),W123&amp;" de "&amp;V123&amp;" concluídas")&amp;IF(Z123="","",IF(OR(Y123="",Z123&gt;Y123),", executando "&amp;IF(Z123=-1,"subsolo",IF(Z123=0,"térreo",Z123&amp;"º pav."))," (restam serviços no "&amp;IF(Z123=-1,"subsolo",IF(Z123=0,"térreo",Z123&amp;"º pav."))&amp;")"))))))</f>
        <v/>
      </c>
    </row>
    <row r="124">
      <c r="M124" s="2">
        <f>IF(C124="","",IFERROR(INDEX($S$5:$S$304,MATCH(C124,$R$5:$R$304,0))&amp;"","?"))</f>
        <v/>
      </c>
      <c r="N124" s="2">
        <f>IF(E124="","",IF(LEFT(E124,7)="SUBSOLO",-1,IF(LEFT(E124,6)="TÉRREO",0,IFERROR(VALUE(LEFT(E124,FIND("º",SUBSTITUTE(E124,"°","º"))-1)),""))))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5" t="inlineStr">
        <is>
          <t>PREPARAÇÃO PARA FACHADA AERADA - F3 + F4 (2º ETAPA)</t>
        </is>
      </c>
      <c r="S124" s="5" t="inlineStr">
        <is>
          <t>32</t>
        </is>
      </c>
      <c r="T124" s="5" t="inlineStr">
        <is>
          <t>Preparação para fachada aerada - F3 + F4 (2º etapa)</t>
        </is>
      </c>
      <c r="U124" s="5" t="inlineStr">
        <is>
          <t>SIM</t>
        </is>
      </c>
      <c r="V124" s="2">
        <f>IF(R124="","",COUNTIF($C$5:$C$3004,R124))</f>
        <v/>
      </c>
      <c r="W124" s="2">
        <f>IF(R124="","",COUNTIFS($C$5:$C$3004,R124,$O$5:$O$3004,"CONCLUÍDA"))</f>
        <v/>
      </c>
      <c r="X124" s="2">
        <f>IF(R124="","",COUNTIFS($C$5:$C$3004,R124,$O$5:$O$3004,"EM ANDAMENTO"))</f>
        <v/>
      </c>
      <c r="Y124" s="2">
        <f>IF(R124="","",IF(COUNTIFS($C$5:$C$3004,R124,$O$5:$O$3004,"CONCLUÍDA",$N$5:$N$3004,"&gt;=-1")=0,"",_xlfn.MAXIFS($N$5:$N$3004,$C$5:$C$3004,R124,$O$5:$O$3004,"CONCLUÍDA")))</f>
        <v/>
      </c>
      <c r="Z124" s="2">
        <f>IF(R124="","",IF(COUNTIFS($C$5:$C$3004,R124,$O$5:$O$3004,"EM ANDAMENTO",$N$5:$N$3004,"&gt;=-1")=0,"",_xlfn.MAXIFS($N$5:$N$3004,$C$5:$C$3004,R124,$O$5:$O$3004,"EM ANDAMENTO")))</f>
        <v/>
      </c>
      <c r="AA124" s="2">
        <f>IF(OR(R124="",S124="",U124&lt;&gt;"SIM",V124=0),"",IF(W124+X124=0,"",T124&amp;": "&amp;IF(W124=V124,"concluído",IF(W124=0,"em execução"&amp;IF(Z124&lt;&gt;""," ("&amp;IF(Z124=-1,"subsolo",IF(Z124=0,"térreo",Z124&amp;"º pav."))&amp;")",""),IF(Y124&lt;&gt;"","até "&amp;IF(Y124=-1,"subsolo",IF(Y124=0,"térreo",Y124&amp;"º pav.")),W124&amp;" de "&amp;V124&amp;" concluídas")&amp;IF(Z124="","",IF(OR(Y124="",Z124&gt;Y124),", executando "&amp;IF(Z124=-1,"subsolo",IF(Z124=0,"térreo",Z124&amp;"º pav."))," (restam serviços no "&amp;IF(Z124=-1,"subsolo",IF(Z124=0,"térreo",Z124&amp;"º pav."))&amp;")"))))))</f>
        <v/>
      </c>
    </row>
    <row r="125">
      <c r="M125" s="2">
        <f>IF(C125="","",IFERROR(INDEX($S$5:$S$304,MATCH(C125,$R$5:$R$304,0))&amp;"","?"))</f>
        <v/>
      </c>
      <c r="N125" s="2">
        <f>IF(E125="","",IF(LEFT(E125,7)="SUBSOLO",-1,IF(LEFT(E125,6)="TÉRREO",0,IFERROR(VALUE(LEFT(E125,FIND("º",SUBSTITUTE(E125,"°","º"))-1)),""))))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5" t="inlineStr">
        <is>
          <t>PINTURA 2º DEMÃO</t>
        </is>
      </c>
      <c r="S125" s="5" t="inlineStr">
        <is>
          <t>35</t>
        </is>
      </c>
      <c r="T125" s="5" t="inlineStr">
        <is>
          <t>Pintura 2ª demão</t>
        </is>
      </c>
      <c r="U125" s="5" t="inlineStr">
        <is>
          <t>SIM</t>
        </is>
      </c>
      <c r="V125" s="2">
        <f>IF(R125="","",COUNTIF($C$5:$C$3004,R125))</f>
        <v/>
      </c>
      <c r="W125" s="2">
        <f>IF(R125="","",COUNTIFS($C$5:$C$3004,R125,$O$5:$O$3004,"CONCLUÍDA"))</f>
        <v/>
      </c>
      <c r="X125" s="2">
        <f>IF(R125="","",COUNTIFS($C$5:$C$3004,R125,$O$5:$O$3004,"EM ANDAMENTO"))</f>
        <v/>
      </c>
      <c r="Y125" s="2">
        <f>IF(R125="","",IF(COUNTIFS($C$5:$C$3004,R125,$O$5:$O$3004,"CONCLUÍDA",$N$5:$N$3004,"&gt;=-1")=0,"",_xlfn.MAXIFS($N$5:$N$3004,$C$5:$C$3004,R125,$O$5:$O$3004,"CONCLUÍDA")))</f>
        <v/>
      </c>
      <c r="Z125" s="2">
        <f>IF(R125="","",IF(COUNTIFS($C$5:$C$3004,R125,$O$5:$O$3004,"EM ANDAMENTO",$N$5:$N$3004,"&gt;=-1")=0,"",_xlfn.MAXIFS($N$5:$N$3004,$C$5:$C$3004,R125,$O$5:$O$3004,"EM ANDAMENTO")))</f>
        <v/>
      </c>
      <c r="AA125" s="2">
        <f>IF(OR(R125="",S125="",U125&lt;&gt;"SIM",V125=0),"",IF(W125+X125=0,"",T125&amp;": "&amp;IF(W125=V125,"concluído",IF(W125=0,"em execução"&amp;IF(Z125&lt;&gt;""," ("&amp;IF(Z125=-1,"subsolo",IF(Z125=0,"térreo",Z125&amp;"º pav."))&amp;")",""),IF(Y125&lt;&gt;"","até "&amp;IF(Y125=-1,"subsolo",IF(Y125=0,"térreo",Y125&amp;"º pav.")),W125&amp;" de "&amp;V125&amp;" concluídas")&amp;IF(Z125="","",IF(OR(Y125="",Z125&gt;Y125),", executando "&amp;IF(Z125=-1,"subsolo",IF(Z125=0,"térreo",Z125&amp;"º pav."))," (restam serviços no "&amp;IF(Z125=-1,"subsolo",IF(Z125=0,"térreo",Z125&amp;"º pav."))&amp;")"))))))</f>
        <v/>
      </c>
    </row>
    <row r="126">
      <c r="M126" s="2">
        <f>IF(C126="","",IFERROR(INDEX($S$5:$S$304,MATCH(C126,$R$5:$R$304,0))&amp;"","?"))</f>
        <v/>
      </c>
      <c r="N126" s="2">
        <f>IF(E126="","",IF(LEFT(E126,7)="SUBSOLO",-1,IF(LEFT(E126,6)="TÉRREO",0,IFERROR(VALUE(LEFT(E126,FIND("º",SUBSTITUTE(E126,"°","º"))-1)),""))))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5" t="inlineStr">
        <is>
          <t>TEXTURA - EXTERNA</t>
        </is>
      </c>
      <c r="S126" s="5" t="inlineStr">
        <is>
          <t>32</t>
        </is>
      </c>
      <c r="T126" s="5" t="inlineStr">
        <is>
          <t>Textura - externa</t>
        </is>
      </c>
      <c r="U126" s="5" t="inlineStr">
        <is>
          <t>SIM</t>
        </is>
      </c>
      <c r="V126" s="2">
        <f>IF(R126="","",COUNTIF($C$5:$C$3004,R126))</f>
        <v/>
      </c>
      <c r="W126" s="2">
        <f>IF(R126="","",COUNTIFS($C$5:$C$3004,R126,$O$5:$O$3004,"CONCLUÍDA"))</f>
        <v/>
      </c>
      <c r="X126" s="2">
        <f>IF(R126="","",COUNTIFS($C$5:$C$3004,R126,$O$5:$O$3004,"EM ANDAMENTO"))</f>
        <v/>
      </c>
      <c r="Y126" s="2">
        <f>IF(R126="","",IF(COUNTIFS($C$5:$C$3004,R126,$O$5:$O$3004,"CONCLUÍDA",$N$5:$N$3004,"&gt;=-1")=0,"",_xlfn.MAXIFS($N$5:$N$3004,$C$5:$C$3004,R126,$O$5:$O$3004,"CONCLUÍDA")))</f>
        <v/>
      </c>
      <c r="Z126" s="2">
        <f>IF(R126="","",IF(COUNTIFS($C$5:$C$3004,R126,$O$5:$O$3004,"EM ANDAMENTO",$N$5:$N$3004,"&gt;=-1")=0,"",_xlfn.MAXIFS($N$5:$N$3004,$C$5:$C$3004,R126,$O$5:$O$3004,"EM ANDAMENTO")))</f>
        <v/>
      </c>
      <c r="AA126" s="2">
        <f>IF(OR(R126="",S126="",U126&lt;&gt;"SIM",V126=0),"",IF(W126+X126=0,"",T126&amp;": "&amp;IF(W126=V126,"concluído",IF(W126=0,"em execução"&amp;IF(Z126&lt;&gt;""," ("&amp;IF(Z126=-1,"subsolo",IF(Z126=0,"térreo",Z126&amp;"º pav."))&amp;")",""),IF(Y126&lt;&gt;"","até "&amp;IF(Y126=-1,"subsolo",IF(Y126=0,"térreo",Y126&amp;"º pav.")),W126&amp;" de "&amp;V126&amp;" concluídas")&amp;IF(Z126="","",IF(OR(Y126="",Z126&gt;Y126),", executando "&amp;IF(Z126=-1,"subsolo",IF(Z126=0,"térreo",Z126&amp;"º pav."))," (restam serviços no "&amp;IF(Z126=-1,"subsolo",IF(Z126=0,"térreo",Z126&amp;"º pav."))&amp;")"))))))</f>
        <v/>
      </c>
    </row>
    <row r="127">
      <c r="M127" s="2">
        <f>IF(C127="","",IFERROR(INDEX($S$5:$S$304,MATCH(C127,$R$5:$R$304,0))&amp;"","?"))</f>
        <v/>
      </c>
      <c r="N127" s="2">
        <f>IF(E127="","",IF(LEFT(E127,7)="SUBSOLO",-1,IF(LEFT(E127,6)="TÉRREO",0,IFERROR(VALUE(LEFT(E127,FIND("º",SUBSTITUTE(E127,"°","º"))-1)),""))))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5" t="inlineStr">
        <is>
          <t>PONTOS DE ANCORAGEM INOX</t>
        </is>
      </c>
      <c r="S127" s="5" t="inlineStr">
        <is>
          <t>26</t>
        </is>
      </c>
      <c r="T127" s="5" t="inlineStr">
        <is>
          <t>Pontos de ancoragem inox</t>
        </is>
      </c>
      <c r="U127" s="5" t="inlineStr">
        <is>
          <t>SIM</t>
        </is>
      </c>
      <c r="V127" s="2">
        <f>IF(R127="","",COUNTIF($C$5:$C$3004,R127))</f>
        <v/>
      </c>
      <c r="W127" s="2">
        <f>IF(R127="","",COUNTIFS($C$5:$C$3004,R127,$O$5:$O$3004,"CONCLUÍDA"))</f>
        <v/>
      </c>
      <c r="X127" s="2">
        <f>IF(R127="","",COUNTIFS($C$5:$C$3004,R127,$O$5:$O$3004,"EM ANDAMENTO"))</f>
        <v/>
      </c>
      <c r="Y127" s="2">
        <f>IF(R127="","",IF(COUNTIFS($C$5:$C$3004,R127,$O$5:$O$3004,"CONCLUÍDA",$N$5:$N$3004,"&gt;=-1")=0,"",_xlfn.MAXIFS($N$5:$N$3004,$C$5:$C$3004,R127,$O$5:$O$3004,"CONCLUÍDA")))</f>
        <v/>
      </c>
      <c r="Z127" s="2">
        <f>IF(R127="","",IF(COUNTIFS($C$5:$C$3004,R127,$O$5:$O$3004,"EM ANDAMENTO",$N$5:$N$3004,"&gt;=-1")=0,"",_xlfn.MAXIFS($N$5:$N$3004,$C$5:$C$3004,R127,$O$5:$O$3004,"EM ANDAMENTO")))</f>
        <v/>
      </c>
      <c r="AA127" s="2">
        <f>IF(OR(R127="",S127="",U127&lt;&gt;"SIM",V127=0),"",IF(W127+X127=0,"",T127&amp;": "&amp;IF(W127=V127,"concluído",IF(W127=0,"em execução"&amp;IF(Z127&lt;&gt;""," ("&amp;IF(Z127=-1,"subsolo",IF(Z127=0,"térreo",Z127&amp;"º pav."))&amp;")",""),IF(Y127&lt;&gt;"","até "&amp;IF(Y127=-1,"subsolo",IF(Y127=0,"térreo",Y127&amp;"º pav.")),W127&amp;" de "&amp;V127&amp;" concluídas")&amp;IF(Z127="","",IF(OR(Y127="",Z127&gt;Y127),", executando "&amp;IF(Z127=-1,"subsolo",IF(Z127=0,"térreo",Z127&amp;"º pav."))," (restam serviços no "&amp;IF(Z127=-1,"subsolo",IF(Z127=0,"térreo",Z127&amp;"º pav."))&amp;")"))))))</f>
        <v/>
      </c>
    </row>
    <row r="128">
      <c r="M128" s="2">
        <f>IF(C128="","",IFERROR(INDEX($S$5:$S$304,MATCH(C128,$R$5:$R$304,0))&amp;"","?"))</f>
        <v/>
      </c>
      <c r="N128" s="2">
        <f>IF(E128="","",IF(LEFT(E128,7)="SUBSOLO",-1,IF(LEFT(E128,6)="TÉRREO",0,IFERROR(VALUE(LEFT(E128,FIND("º",SUBSTITUTE(E128,"°","º"))-1)),""))))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5" t="inlineStr">
        <is>
          <t>ACABAMENTOS ELÉTRICOS</t>
        </is>
      </c>
      <c r="S128" s="5" t="inlineStr">
        <is>
          <t>20</t>
        </is>
      </c>
      <c r="T128" s="5" t="inlineStr">
        <is>
          <t>Acabamentos elétricos</t>
        </is>
      </c>
      <c r="U128" s="5" t="inlineStr">
        <is>
          <t>SIM</t>
        </is>
      </c>
      <c r="V128" s="2">
        <f>IF(R128="","",COUNTIF($C$5:$C$3004,R128))</f>
        <v/>
      </c>
      <c r="W128" s="2">
        <f>IF(R128="","",COUNTIFS($C$5:$C$3004,R128,$O$5:$O$3004,"CONCLUÍDA"))</f>
        <v/>
      </c>
      <c r="X128" s="2">
        <f>IF(R128="","",COUNTIFS($C$5:$C$3004,R128,$O$5:$O$3004,"EM ANDAMENTO"))</f>
        <v/>
      </c>
      <c r="Y128" s="2">
        <f>IF(R128="","",IF(COUNTIFS($C$5:$C$3004,R128,$O$5:$O$3004,"CONCLUÍDA",$N$5:$N$3004,"&gt;=-1")=0,"",_xlfn.MAXIFS($N$5:$N$3004,$C$5:$C$3004,R128,$O$5:$O$3004,"CONCLUÍDA")))</f>
        <v/>
      </c>
      <c r="Z128" s="2">
        <f>IF(R128="","",IF(COUNTIFS($C$5:$C$3004,R128,$O$5:$O$3004,"EM ANDAMENTO",$N$5:$N$3004,"&gt;=-1")=0,"",_xlfn.MAXIFS($N$5:$N$3004,$C$5:$C$3004,R128,$O$5:$O$3004,"EM ANDAMENTO")))</f>
        <v/>
      </c>
      <c r="AA128" s="2">
        <f>IF(OR(R128="",S128="",U128&lt;&gt;"SIM",V128=0),"",IF(W128+X128=0,"",T128&amp;": "&amp;IF(W128=V128,"concluído",IF(W128=0,"em execução"&amp;IF(Z128&lt;&gt;""," ("&amp;IF(Z128=-1,"subsolo",IF(Z128=0,"térreo",Z128&amp;"º pav."))&amp;")",""),IF(Y128&lt;&gt;"","até "&amp;IF(Y128=-1,"subsolo",IF(Y128=0,"térreo",Y128&amp;"º pav.")),W128&amp;" de "&amp;V128&amp;" concluídas")&amp;IF(Z128="","",IF(OR(Y128="",Z128&gt;Y128),", executando "&amp;IF(Z128=-1,"subsolo",IF(Z128=0,"térreo",Z128&amp;"º pav."))," (restam serviços no "&amp;IF(Z128=-1,"subsolo",IF(Z128=0,"térreo",Z128&amp;"º pav."))&amp;")"))))))</f>
        <v/>
      </c>
    </row>
    <row r="129">
      <c r="M129" s="2">
        <f>IF(C129="","",IFERROR(INDEX($S$5:$S$304,MATCH(C129,$R$5:$R$304,0))&amp;"","?"))</f>
        <v/>
      </c>
      <c r="N129" s="2">
        <f>IF(E129="","",IF(LEFT(E129,7)="SUBSOLO",-1,IF(LEFT(E129,6)="TÉRREO",0,IFERROR(VALUE(LEFT(E129,FIND("º",SUBSTITUTE(E129,"°","º"))-1)),""))))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5" t="inlineStr">
        <is>
          <t>TEXTURA - 1º DEMÃO</t>
        </is>
      </c>
      <c r="S129" s="5" t="inlineStr">
        <is>
          <t>35</t>
        </is>
      </c>
      <c r="T129" s="5" t="inlineStr">
        <is>
          <t>Textura - 1ª demão</t>
        </is>
      </c>
      <c r="U129" s="5" t="inlineStr">
        <is>
          <t>NÃO</t>
        </is>
      </c>
      <c r="V129" s="2">
        <f>IF(R129="","",COUNTIF($C$5:$C$3004,R129))</f>
        <v/>
      </c>
      <c r="W129" s="2">
        <f>IF(R129="","",COUNTIFS($C$5:$C$3004,R129,$O$5:$O$3004,"CONCLUÍDA"))</f>
        <v/>
      </c>
      <c r="X129" s="2">
        <f>IF(R129="","",COUNTIFS($C$5:$C$3004,R129,$O$5:$O$3004,"EM ANDAMENTO"))</f>
        <v/>
      </c>
      <c r="Y129" s="2">
        <f>IF(R129="","",IF(COUNTIFS($C$5:$C$3004,R129,$O$5:$O$3004,"CONCLUÍDA",$N$5:$N$3004,"&gt;=-1")=0,"",_xlfn.MAXIFS($N$5:$N$3004,$C$5:$C$3004,R129,$O$5:$O$3004,"CONCLUÍDA")))</f>
        <v/>
      </c>
      <c r="Z129" s="2">
        <f>IF(R129="","",IF(COUNTIFS($C$5:$C$3004,R129,$O$5:$O$3004,"EM ANDAMENTO",$N$5:$N$3004,"&gt;=-1")=0,"",_xlfn.MAXIFS($N$5:$N$3004,$C$5:$C$3004,R129,$O$5:$O$3004,"EM ANDAMENTO")))</f>
        <v/>
      </c>
      <c r="AA129" s="2">
        <f>IF(OR(R129="",S129="",U129&lt;&gt;"SIM",V129=0),"",IF(W129+X129=0,"",T129&amp;": "&amp;IF(W129=V129,"concluído",IF(W129=0,"em execução"&amp;IF(Z129&lt;&gt;""," ("&amp;IF(Z129=-1,"subsolo",IF(Z129=0,"térreo",Z129&amp;"º pav."))&amp;")",""),IF(Y129&lt;&gt;"","até "&amp;IF(Y129=-1,"subsolo",IF(Y129=0,"térreo",Y129&amp;"º pav.")),W129&amp;" de "&amp;V129&amp;" concluídas")&amp;IF(Z129="","",IF(OR(Y129="",Z129&gt;Y129),", executando "&amp;IF(Z129=-1,"subsolo",IF(Z129=0,"térreo",Z129&amp;"º pav."))," (restam serviços no "&amp;IF(Z129=-1,"subsolo",IF(Z129=0,"térreo",Z129&amp;"º pav."))&amp;")"))))))</f>
        <v/>
      </c>
    </row>
    <row r="130">
      <c r="M130" s="2">
        <f>IF(C130="","",IFERROR(INDEX($S$5:$S$304,MATCH(C130,$R$5:$R$304,0))&amp;"","?"))</f>
        <v/>
      </c>
      <c r="N130" s="2">
        <f>IF(E130="","",IF(LEFT(E130,7)="SUBSOLO",-1,IF(LEFT(E130,6)="TÉRREO",0,IFERROR(VALUE(LEFT(E130,FIND("º",SUBSTITUTE(E130,"°","º"))-1)),""))))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5" t="inlineStr">
        <is>
          <t>PINTURA DE TUBULAÇÕES (PAREDE E TETO)</t>
        </is>
      </c>
      <c r="S130" s="5" t="inlineStr">
        <is>
          <t>35</t>
        </is>
      </c>
      <c r="T130" s="5" t="inlineStr">
        <is>
          <t>Pintura de tubulações (parede e teto)</t>
        </is>
      </c>
      <c r="U130" s="5" t="inlineStr">
        <is>
          <t>NÃO</t>
        </is>
      </c>
      <c r="V130" s="2">
        <f>IF(R130="","",COUNTIF($C$5:$C$3004,R130))</f>
        <v/>
      </c>
      <c r="W130" s="2">
        <f>IF(R130="","",COUNTIFS($C$5:$C$3004,R130,$O$5:$O$3004,"CONCLUÍDA"))</f>
        <v/>
      </c>
      <c r="X130" s="2">
        <f>IF(R130="","",COUNTIFS($C$5:$C$3004,R130,$O$5:$O$3004,"EM ANDAMENTO"))</f>
        <v/>
      </c>
      <c r="Y130" s="2">
        <f>IF(R130="","",IF(COUNTIFS($C$5:$C$3004,R130,$O$5:$O$3004,"CONCLUÍDA",$N$5:$N$3004,"&gt;=-1")=0,"",_xlfn.MAXIFS($N$5:$N$3004,$C$5:$C$3004,R130,$O$5:$O$3004,"CONCLUÍDA")))</f>
        <v/>
      </c>
      <c r="Z130" s="2">
        <f>IF(R130="","",IF(COUNTIFS($C$5:$C$3004,R130,$O$5:$O$3004,"EM ANDAMENTO",$N$5:$N$3004,"&gt;=-1")=0,"",_xlfn.MAXIFS($N$5:$N$3004,$C$5:$C$3004,R130,$O$5:$O$3004,"EM ANDAMENTO")))</f>
        <v/>
      </c>
      <c r="AA130" s="2">
        <f>IF(OR(R130="",S130="",U130&lt;&gt;"SIM",V130=0),"",IF(W130+X130=0,"",T130&amp;": "&amp;IF(W130=V130,"concluído",IF(W130=0,"em execução"&amp;IF(Z130&lt;&gt;""," ("&amp;IF(Z130=-1,"subsolo",IF(Z130=0,"térreo",Z130&amp;"º pav."))&amp;")",""),IF(Y130&lt;&gt;"","até "&amp;IF(Y130=-1,"subsolo",IF(Y130=0,"térreo",Y130&amp;"º pav.")),W130&amp;" de "&amp;V130&amp;" concluídas")&amp;IF(Z130="","",IF(OR(Y130="",Z130&gt;Y130),", executando "&amp;IF(Z130=-1,"subsolo",IF(Z130=0,"térreo",Z130&amp;"º pav."))," (restam serviços no "&amp;IF(Z130=-1,"subsolo",IF(Z130=0,"térreo",Z130&amp;"º pav."))&amp;")"))))))</f>
        <v/>
      </c>
    </row>
    <row r="131">
      <c r="M131" s="2">
        <f>IF(C131="","",IFERROR(INDEX($S$5:$S$304,MATCH(C131,$R$5:$R$304,0))&amp;"","?"))</f>
        <v/>
      </c>
      <c r="N131" s="2">
        <f>IF(E131="","",IF(LEFT(E131,7)="SUBSOLO",-1,IF(LEFT(E131,6)="TÉRREO",0,IFERROR(VALUE(LEFT(E131,FIND("º",SUBSTITUTE(E131,"°","º"))-1)),""))))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5" t="inlineStr">
        <is>
          <t>PEITORIS E REQUADROS DE FACHADA - F1 + F2 (2º ETAPA)</t>
        </is>
      </c>
      <c r="S131" s="5" t="inlineStr">
        <is>
          <t>32</t>
        </is>
      </c>
      <c r="T131" s="5" t="inlineStr">
        <is>
          <t>Peitoris e requadros de fachada - F1 + F2 (2º etapa)</t>
        </is>
      </c>
      <c r="U131" s="5" t="inlineStr">
        <is>
          <t>SIM</t>
        </is>
      </c>
      <c r="V131" s="2">
        <f>IF(R131="","",COUNTIF($C$5:$C$3004,R131))</f>
        <v/>
      </c>
      <c r="W131" s="2">
        <f>IF(R131="","",COUNTIFS($C$5:$C$3004,R131,$O$5:$O$3004,"CONCLUÍDA"))</f>
        <v/>
      </c>
      <c r="X131" s="2">
        <f>IF(R131="","",COUNTIFS($C$5:$C$3004,R131,$O$5:$O$3004,"EM ANDAMENTO"))</f>
        <v/>
      </c>
      <c r="Y131" s="2">
        <f>IF(R131="","",IF(COUNTIFS($C$5:$C$3004,R131,$O$5:$O$3004,"CONCLUÍDA",$N$5:$N$3004,"&gt;=-1")=0,"",_xlfn.MAXIFS($N$5:$N$3004,$C$5:$C$3004,R131,$O$5:$O$3004,"CONCLUÍDA")))</f>
        <v/>
      </c>
      <c r="Z131" s="2">
        <f>IF(R131="","",IF(COUNTIFS($C$5:$C$3004,R131,$O$5:$O$3004,"EM ANDAMENTO",$N$5:$N$3004,"&gt;=-1")=0,"",_xlfn.MAXIFS($N$5:$N$3004,$C$5:$C$3004,R131,$O$5:$O$3004,"EM ANDAMENTO")))</f>
        <v/>
      </c>
      <c r="AA131" s="2">
        <f>IF(OR(R131="",S131="",U131&lt;&gt;"SIM",V131=0),"",IF(W131+X131=0,"",T131&amp;": "&amp;IF(W131=V131,"concluído",IF(W131=0,"em execução"&amp;IF(Z131&lt;&gt;""," ("&amp;IF(Z131=-1,"subsolo",IF(Z131=0,"térreo",Z131&amp;"º pav."))&amp;")",""),IF(Y131&lt;&gt;"","até "&amp;IF(Y131=-1,"subsolo",IF(Y131=0,"térreo",Y131&amp;"º pav.")),W131&amp;" de "&amp;V131&amp;" concluídas")&amp;IF(Z131="","",IF(OR(Y131="",Z131&gt;Y131),", executando "&amp;IF(Z131=-1,"subsolo",IF(Z131=0,"térreo",Z131&amp;"º pav."))," (restam serviços no "&amp;IF(Z131=-1,"subsolo",IF(Z131=0,"térreo",Z131&amp;"º pav."))&amp;")"))))))</f>
        <v/>
      </c>
    </row>
    <row r="132">
      <c r="M132" s="2">
        <f>IF(C132="","",IFERROR(INDEX($S$5:$S$304,MATCH(C132,$R$5:$R$304,0))&amp;"","?"))</f>
        <v/>
      </c>
      <c r="N132" s="2">
        <f>IF(E132="","",IF(LEFT(E132,7)="SUBSOLO",-1,IF(LEFT(E132,6)="TÉRREO",0,IFERROR(VALUE(LEFT(E132,FIND("º",SUBSTITUTE(E132,"°","º"))-1)),""))))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5" t="inlineStr">
        <is>
          <t>CHECKLIST</t>
        </is>
      </c>
      <c r="S132" s="5" t="n"/>
      <c r="T132" s="5" t="inlineStr">
        <is>
          <t>Checklist</t>
        </is>
      </c>
      <c r="U132" s="5" t="inlineStr">
        <is>
          <t>SIM</t>
        </is>
      </c>
      <c r="V132" s="2">
        <f>IF(R132="","",COUNTIF($C$5:$C$3004,R132))</f>
        <v/>
      </c>
      <c r="W132" s="2">
        <f>IF(R132="","",COUNTIFS($C$5:$C$3004,R132,$O$5:$O$3004,"CONCLUÍDA"))</f>
        <v/>
      </c>
      <c r="X132" s="2">
        <f>IF(R132="","",COUNTIFS($C$5:$C$3004,R132,$O$5:$O$3004,"EM ANDAMENTO"))</f>
        <v/>
      </c>
      <c r="Y132" s="2">
        <f>IF(R132="","",IF(COUNTIFS($C$5:$C$3004,R132,$O$5:$O$3004,"CONCLUÍDA",$N$5:$N$3004,"&gt;=-1")=0,"",_xlfn.MAXIFS($N$5:$N$3004,$C$5:$C$3004,R132,$O$5:$O$3004,"CONCLUÍDA")))</f>
        <v/>
      </c>
      <c r="Z132" s="2">
        <f>IF(R132="","",IF(COUNTIFS($C$5:$C$3004,R132,$O$5:$O$3004,"EM ANDAMENTO",$N$5:$N$3004,"&gt;=-1")=0,"",_xlfn.MAXIFS($N$5:$N$3004,$C$5:$C$3004,R132,$O$5:$O$3004,"EM ANDAMENTO")))</f>
        <v/>
      </c>
      <c r="AA132" s="2">
        <f>IF(OR(R132="",S132="",U132&lt;&gt;"SIM",V132=0),"",IF(W132+X132=0,"",T132&amp;": "&amp;IF(W132=V132,"concluído",IF(W132=0,"em execução"&amp;IF(Z132&lt;&gt;""," ("&amp;IF(Z132=-1,"subsolo",IF(Z132=0,"térreo",Z132&amp;"º pav."))&amp;")",""),IF(Y132&lt;&gt;"","até "&amp;IF(Y132=-1,"subsolo",IF(Y132=0,"térreo",Y132&amp;"º pav.")),W132&amp;" de "&amp;V132&amp;" concluídas")&amp;IF(Z132="","",IF(OR(Y132="",Z132&gt;Y132),", executando "&amp;IF(Z132=-1,"subsolo",IF(Z132=0,"térreo",Z132&amp;"º pav."))," (restam serviços no "&amp;IF(Z132=-1,"subsolo",IF(Z132=0,"térreo",Z132&amp;"º pav."))&amp;")"))))))</f>
        <v/>
      </c>
    </row>
    <row r="133">
      <c r="M133" s="2">
        <f>IF(C133="","",IFERROR(INDEX($S$5:$S$304,MATCH(C133,$R$5:$R$304,0))&amp;"","?"))</f>
        <v/>
      </c>
      <c r="N133" s="2">
        <f>IF(E133="","",IF(LEFT(E133,7)="SUBSOLO",-1,IF(LEFT(E133,6)="TÉRREO",0,IFERROR(VALUE(LEFT(E133,FIND("º",SUBSTITUTE(E133,"°","º"))-1)),""))))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5" t="inlineStr">
        <is>
          <t>FACHADA AERADA - F3 + F4 (2º ETAPA)</t>
        </is>
      </c>
      <c r="S133" s="5" t="inlineStr">
        <is>
          <t>32</t>
        </is>
      </c>
      <c r="T133" s="5" t="inlineStr">
        <is>
          <t>Fachada aerada - F3 + F4 (2º etapa)</t>
        </is>
      </c>
      <c r="U133" s="5" t="inlineStr">
        <is>
          <t>SIM</t>
        </is>
      </c>
      <c r="V133" s="2">
        <f>IF(R133="","",COUNTIF($C$5:$C$3004,R133))</f>
        <v/>
      </c>
      <c r="W133" s="2">
        <f>IF(R133="","",COUNTIFS($C$5:$C$3004,R133,$O$5:$O$3004,"CONCLUÍDA"))</f>
        <v/>
      </c>
      <c r="X133" s="2">
        <f>IF(R133="","",COUNTIFS($C$5:$C$3004,R133,$O$5:$O$3004,"EM ANDAMENTO"))</f>
        <v/>
      </c>
      <c r="Y133" s="2">
        <f>IF(R133="","",IF(COUNTIFS($C$5:$C$3004,R133,$O$5:$O$3004,"CONCLUÍDA",$N$5:$N$3004,"&gt;=-1")=0,"",_xlfn.MAXIFS($N$5:$N$3004,$C$5:$C$3004,R133,$O$5:$O$3004,"CONCLUÍDA")))</f>
        <v/>
      </c>
      <c r="Z133" s="2">
        <f>IF(R133="","",IF(COUNTIFS($C$5:$C$3004,R133,$O$5:$O$3004,"EM ANDAMENTO",$N$5:$N$3004,"&gt;=-1")=0,"",_xlfn.MAXIFS($N$5:$N$3004,$C$5:$C$3004,R133,$O$5:$O$3004,"EM ANDAMENTO")))</f>
        <v/>
      </c>
      <c r="AA133" s="2">
        <f>IF(OR(R133="",S133="",U133&lt;&gt;"SIM",V133=0),"",IF(W133+X133=0,"",T133&amp;": "&amp;IF(W133=V133,"concluído",IF(W133=0,"em execução"&amp;IF(Z133&lt;&gt;""," ("&amp;IF(Z133=-1,"subsolo",IF(Z133=0,"térreo",Z133&amp;"º pav."))&amp;")",""),IF(Y133&lt;&gt;"","até "&amp;IF(Y133=-1,"subsolo",IF(Y133=0,"térreo",Y133&amp;"º pav.")),W133&amp;" de "&amp;V133&amp;" concluídas")&amp;IF(Z133="","",IF(OR(Y133="",Z133&gt;Y133),", executando "&amp;IF(Z133=-1,"subsolo",IF(Z133=0,"térreo",Z133&amp;"º pav."))," (restam serviços no "&amp;IF(Z133=-1,"subsolo",IF(Z133=0,"térreo",Z133&amp;"º pav."))&amp;")"))))))</f>
        <v/>
      </c>
    </row>
    <row r="134">
      <c r="M134" s="2">
        <f>IF(C134="","",IFERROR(INDEX($S$5:$S$304,MATCH(C134,$R$5:$R$304,0))&amp;"","?"))</f>
        <v/>
      </c>
      <c r="N134" s="2">
        <f>IF(E134="","",IF(LEFT(E134,7)="SUBSOLO",-1,IF(LEFT(E134,6)="TÉRREO",0,IFERROR(VALUE(LEFT(E134,FIND("º",SUBSTITUTE(E134,"°","º"))-1)),""))))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5" t="inlineStr">
        <is>
          <t>PINTURA 3º DEMÃO</t>
        </is>
      </c>
      <c r="S134" s="5" t="inlineStr">
        <is>
          <t>35</t>
        </is>
      </c>
      <c r="T134" s="5" t="inlineStr">
        <is>
          <t>Pintura 3ª demão</t>
        </is>
      </c>
      <c r="U134" s="5" t="inlineStr">
        <is>
          <t>SIM</t>
        </is>
      </c>
      <c r="V134" s="2">
        <f>IF(R134="","",COUNTIF($C$5:$C$3004,R134))</f>
        <v/>
      </c>
      <c r="W134" s="2">
        <f>IF(R134="","",COUNTIFS($C$5:$C$3004,R134,$O$5:$O$3004,"CONCLUÍDA"))</f>
        <v/>
      </c>
      <c r="X134" s="2">
        <f>IF(R134="","",COUNTIFS($C$5:$C$3004,R134,$O$5:$O$3004,"EM ANDAMENTO"))</f>
        <v/>
      </c>
      <c r="Y134" s="2">
        <f>IF(R134="","",IF(COUNTIFS($C$5:$C$3004,R134,$O$5:$O$3004,"CONCLUÍDA",$N$5:$N$3004,"&gt;=-1")=0,"",_xlfn.MAXIFS($N$5:$N$3004,$C$5:$C$3004,R134,$O$5:$O$3004,"CONCLUÍDA")))</f>
        <v/>
      </c>
      <c r="Z134" s="2">
        <f>IF(R134="","",IF(COUNTIFS($C$5:$C$3004,R134,$O$5:$O$3004,"EM ANDAMENTO",$N$5:$N$3004,"&gt;=-1")=0,"",_xlfn.MAXIFS($N$5:$N$3004,$C$5:$C$3004,R134,$O$5:$O$3004,"EM ANDAMENTO")))</f>
        <v/>
      </c>
      <c r="AA134" s="2">
        <f>IF(OR(R134="",S134="",U134&lt;&gt;"SIM",V134=0),"",IF(W134+X134=0,"",T134&amp;": "&amp;IF(W134=V134,"concluído",IF(W134=0,"em execução"&amp;IF(Z134&lt;&gt;""," ("&amp;IF(Z134=-1,"subsolo",IF(Z134=0,"térreo",Z134&amp;"º pav."))&amp;")",""),IF(Y134&lt;&gt;"","até "&amp;IF(Y134=-1,"subsolo",IF(Y134=0,"térreo",Y134&amp;"º pav.")),W134&amp;" de "&amp;V134&amp;" concluídas")&amp;IF(Z134="","",IF(OR(Y134="",Z134&gt;Y134),", executando "&amp;IF(Z134=-1,"subsolo",IF(Z134=0,"térreo",Z134&amp;"º pav."))," (restam serviços no "&amp;IF(Z134=-1,"subsolo",IF(Z134=0,"térreo",Z134&amp;"º pav."))&amp;")"))))))</f>
        <v/>
      </c>
    </row>
    <row r="135">
      <c r="M135" s="2">
        <f>IF(C135="","",IFERROR(INDEX($S$5:$S$304,MATCH(C135,$R$5:$R$304,0))&amp;"","?"))</f>
        <v/>
      </c>
      <c r="N135" s="2">
        <f>IF(E135="","",IF(LEFT(E135,7)="SUBSOLO",-1,IF(LEFT(E135,6)="TÉRREO",0,IFERROR(VALUE(LEFT(E135,FIND("º",SUBSTITUTE(E135,"°","º"))-1)),""))))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5" t="inlineStr">
        <is>
          <t>PINTURA - CORRIMÃO</t>
        </is>
      </c>
      <c r="S135" s="5" t="inlineStr">
        <is>
          <t>35</t>
        </is>
      </c>
      <c r="T135" s="5" t="inlineStr">
        <is>
          <t>Pintura - corrimão</t>
        </is>
      </c>
      <c r="U135" s="5" t="inlineStr">
        <is>
          <t>NÃO</t>
        </is>
      </c>
      <c r="V135" s="2">
        <f>IF(R135="","",COUNTIF($C$5:$C$3004,R135))</f>
        <v/>
      </c>
      <c r="W135" s="2">
        <f>IF(R135="","",COUNTIFS($C$5:$C$3004,R135,$O$5:$O$3004,"CONCLUÍDA"))</f>
        <v/>
      </c>
      <c r="X135" s="2">
        <f>IF(R135="","",COUNTIFS($C$5:$C$3004,R135,$O$5:$O$3004,"EM ANDAMENTO"))</f>
        <v/>
      </c>
      <c r="Y135" s="2">
        <f>IF(R135="","",IF(COUNTIFS($C$5:$C$3004,R135,$O$5:$O$3004,"CONCLUÍDA",$N$5:$N$3004,"&gt;=-1")=0,"",_xlfn.MAXIFS($N$5:$N$3004,$C$5:$C$3004,R135,$O$5:$O$3004,"CONCLUÍDA")))</f>
        <v/>
      </c>
      <c r="Z135" s="2">
        <f>IF(R135="","",IF(COUNTIFS($C$5:$C$3004,R135,$O$5:$O$3004,"EM ANDAMENTO",$N$5:$N$3004,"&gt;=-1")=0,"",_xlfn.MAXIFS($N$5:$N$3004,$C$5:$C$3004,R135,$O$5:$O$3004,"EM ANDAMENTO")))</f>
        <v/>
      </c>
      <c r="AA135" s="2">
        <f>IF(OR(R135="",S135="",U135&lt;&gt;"SIM",V135=0),"",IF(W135+X135=0,"",T135&amp;": "&amp;IF(W135=V135,"concluído",IF(W135=0,"em execução"&amp;IF(Z135&lt;&gt;""," ("&amp;IF(Z135=-1,"subsolo",IF(Z135=0,"térreo",Z135&amp;"º pav."))&amp;")",""),IF(Y135&lt;&gt;"","até "&amp;IF(Y135=-1,"subsolo",IF(Y135=0,"térreo",Y135&amp;"º pav.")),W135&amp;" de "&amp;V135&amp;" concluídas")&amp;IF(Z135="","",IF(OR(Y135="",Z135&gt;Y135),", executando "&amp;IF(Z135=-1,"subsolo",IF(Z135=0,"térreo",Z135&amp;"º pav."))," (restam serviços no "&amp;IF(Z135=-1,"subsolo",IF(Z135=0,"térreo",Z135&amp;"º pav."))&amp;")"))))))</f>
        <v/>
      </c>
    </row>
    <row r="136">
      <c r="M136" s="2">
        <f>IF(C136="","",IFERROR(INDEX($S$5:$S$304,MATCH(C136,$R$5:$R$304,0))&amp;"","?"))</f>
        <v/>
      </c>
      <c r="N136" s="2">
        <f>IF(E136="","",IF(LEFT(E136,7)="SUBSOLO",-1,IF(LEFT(E136,6)="TÉRREO",0,IFERROR(VALUE(LEFT(E136,FIND("º",SUBSTITUTE(E136,"°","º"))-1)),""))))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5" t="inlineStr">
        <is>
          <t>PREPARAÇÃO PARA FACHADA AERADA - F5 (2º ETAPA)</t>
        </is>
      </c>
      <c r="S136" s="5" t="inlineStr">
        <is>
          <t>32</t>
        </is>
      </c>
      <c r="T136" s="5" t="inlineStr">
        <is>
          <t>Preparação para fachada aerada - F5 (2º etapa)</t>
        </is>
      </c>
      <c r="U136" s="5" t="inlineStr">
        <is>
          <t>SIM</t>
        </is>
      </c>
      <c r="V136" s="2">
        <f>IF(R136="","",COUNTIF($C$5:$C$3004,R136))</f>
        <v/>
      </c>
      <c r="W136" s="2">
        <f>IF(R136="","",COUNTIFS($C$5:$C$3004,R136,$O$5:$O$3004,"CONCLUÍDA"))</f>
        <v/>
      </c>
      <c r="X136" s="2">
        <f>IF(R136="","",COUNTIFS($C$5:$C$3004,R136,$O$5:$O$3004,"EM ANDAMENTO"))</f>
        <v/>
      </c>
      <c r="Y136" s="2">
        <f>IF(R136="","",IF(COUNTIFS($C$5:$C$3004,R136,$O$5:$O$3004,"CONCLUÍDA",$N$5:$N$3004,"&gt;=-1")=0,"",_xlfn.MAXIFS($N$5:$N$3004,$C$5:$C$3004,R136,$O$5:$O$3004,"CONCLUÍDA")))</f>
        <v/>
      </c>
      <c r="Z136" s="2">
        <f>IF(R136="","",IF(COUNTIFS($C$5:$C$3004,R136,$O$5:$O$3004,"EM ANDAMENTO",$N$5:$N$3004,"&gt;=-1")=0,"",_xlfn.MAXIFS($N$5:$N$3004,$C$5:$C$3004,R136,$O$5:$O$3004,"EM ANDAMENTO")))</f>
        <v/>
      </c>
      <c r="AA136" s="2">
        <f>IF(OR(R136="",S136="",U136&lt;&gt;"SIM",V136=0),"",IF(W136+X136=0,"",T136&amp;": "&amp;IF(W136=V136,"concluído",IF(W136=0,"em execução"&amp;IF(Z136&lt;&gt;""," ("&amp;IF(Z136=-1,"subsolo",IF(Z136=0,"térreo",Z136&amp;"º pav."))&amp;")",""),IF(Y136&lt;&gt;"","até "&amp;IF(Y136=-1,"subsolo",IF(Y136=0,"térreo",Y136&amp;"º pav.")),W136&amp;" de "&amp;V136&amp;" concluídas")&amp;IF(Z136="","",IF(OR(Y136="",Z136&gt;Y136),", executando "&amp;IF(Z136=-1,"subsolo",IF(Z136=0,"térreo",Z136&amp;"º pav."))," (restam serviços no "&amp;IF(Z136=-1,"subsolo",IF(Z136=0,"térreo",Z136&amp;"º pav."))&amp;")"))))))</f>
        <v/>
      </c>
    </row>
    <row r="137">
      <c r="M137" s="2">
        <f>IF(C137="","",IFERROR(INDEX($S$5:$S$304,MATCH(C137,$R$5:$R$304,0))&amp;"","?"))</f>
        <v/>
      </c>
      <c r="N137" s="2">
        <f>IF(E137="","",IF(LEFT(E137,7)="SUBSOLO",-1,IF(LEFT(E137,6)="TÉRREO",0,IFERROR(VALUE(LEFT(E137,FIND("º",SUBSTITUTE(E137,"°","º"))-1)),""))))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5" t="inlineStr">
        <is>
          <t>INSTALAÇÃO DE SHADOWBOX E BRISE - F1 + F2</t>
        </is>
      </c>
      <c r="S137" s="5" t="inlineStr">
        <is>
          <t>25</t>
        </is>
      </c>
      <c r="T137" s="5" t="inlineStr">
        <is>
          <t>Shadowbox e brise - F1 + F2</t>
        </is>
      </c>
      <c r="U137" s="5" t="inlineStr">
        <is>
          <t>NÃO</t>
        </is>
      </c>
      <c r="V137" s="2">
        <f>IF(R137="","",COUNTIF($C$5:$C$3004,R137))</f>
        <v/>
      </c>
      <c r="W137" s="2">
        <f>IF(R137="","",COUNTIFS($C$5:$C$3004,R137,$O$5:$O$3004,"CONCLUÍDA"))</f>
        <v/>
      </c>
      <c r="X137" s="2">
        <f>IF(R137="","",COUNTIFS($C$5:$C$3004,R137,$O$5:$O$3004,"EM ANDAMENTO"))</f>
        <v/>
      </c>
      <c r="Y137" s="2">
        <f>IF(R137="","",IF(COUNTIFS($C$5:$C$3004,R137,$O$5:$O$3004,"CONCLUÍDA",$N$5:$N$3004,"&gt;=-1")=0,"",_xlfn.MAXIFS($N$5:$N$3004,$C$5:$C$3004,R137,$O$5:$O$3004,"CONCLUÍDA")))</f>
        <v/>
      </c>
      <c r="Z137" s="2">
        <f>IF(R137="","",IF(COUNTIFS($C$5:$C$3004,R137,$O$5:$O$3004,"EM ANDAMENTO",$N$5:$N$3004,"&gt;=-1")=0,"",_xlfn.MAXIFS($N$5:$N$3004,$C$5:$C$3004,R137,$O$5:$O$3004,"EM ANDAMENTO")))</f>
        <v/>
      </c>
      <c r="AA137" s="2">
        <f>IF(OR(R137="",S137="",U137&lt;&gt;"SIM",V137=0),"",IF(W137+X137=0,"",T137&amp;": "&amp;IF(W137=V137,"concluído",IF(W137=0,"em execução"&amp;IF(Z137&lt;&gt;""," ("&amp;IF(Z137=-1,"subsolo",IF(Z137=0,"térreo",Z137&amp;"º pav."))&amp;")",""),IF(Y137&lt;&gt;"","até "&amp;IF(Y137=-1,"subsolo",IF(Y137=0,"térreo",Y137&amp;"º pav.")),W137&amp;" de "&amp;V137&amp;" concluídas")&amp;IF(Z137="","",IF(OR(Y137="",Z137&gt;Y137),", executando "&amp;IF(Z137=-1,"subsolo",IF(Z137=0,"térreo",Z137&amp;"º pav."))," (restam serviços no "&amp;IF(Z137=-1,"subsolo",IF(Z137=0,"térreo",Z137&amp;"º pav."))&amp;")"))))))</f>
        <v/>
      </c>
    </row>
    <row r="138">
      <c r="M138" s="2">
        <f>IF(C138="","",IFERROR(INDEX($S$5:$S$304,MATCH(C138,$R$5:$R$304,0))&amp;"","?"))</f>
        <v/>
      </c>
      <c r="N138" s="2">
        <f>IF(E138="","",IF(LEFT(E138,7)="SUBSOLO",-1,IF(LEFT(E138,6)="TÉRREO",0,IFERROR(VALUE(LEFT(E138,FIND("º",SUBSTITUTE(E138,"°","º"))-1)),""))))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5" t="inlineStr">
        <is>
          <t>LIMPEZA FINA</t>
        </is>
      </c>
      <c r="S138" s="5" t="inlineStr">
        <is>
          <t>37</t>
        </is>
      </c>
      <c r="T138" s="5" t="inlineStr">
        <is>
          <t>Limpeza fina</t>
        </is>
      </c>
      <c r="U138" s="5" t="inlineStr">
        <is>
          <t>SIM</t>
        </is>
      </c>
      <c r="V138" s="2">
        <f>IF(R138="","",COUNTIF($C$5:$C$3004,R138))</f>
        <v/>
      </c>
      <c r="W138" s="2">
        <f>IF(R138="","",COUNTIFS($C$5:$C$3004,R138,$O$5:$O$3004,"CONCLUÍDA"))</f>
        <v/>
      </c>
      <c r="X138" s="2">
        <f>IF(R138="","",COUNTIFS($C$5:$C$3004,R138,$O$5:$O$3004,"EM ANDAMENTO"))</f>
        <v/>
      </c>
      <c r="Y138" s="2">
        <f>IF(R138="","",IF(COUNTIFS($C$5:$C$3004,R138,$O$5:$O$3004,"CONCLUÍDA",$N$5:$N$3004,"&gt;=-1")=0,"",_xlfn.MAXIFS($N$5:$N$3004,$C$5:$C$3004,R138,$O$5:$O$3004,"CONCLUÍDA")))</f>
        <v/>
      </c>
      <c r="Z138" s="2">
        <f>IF(R138="","",IF(COUNTIFS($C$5:$C$3004,R138,$O$5:$O$3004,"EM ANDAMENTO",$N$5:$N$3004,"&gt;=-1")=0,"",_xlfn.MAXIFS($N$5:$N$3004,$C$5:$C$3004,R138,$O$5:$O$3004,"EM ANDAMENTO")))</f>
        <v/>
      </c>
      <c r="AA138" s="2">
        <f>IF(OR(R138="",S138="",U138&lt;&gt;"SIM",V138=0),"",IF(W138+X138=0,"",T138&amp;": "&amp;IF(W138=V138,"concluído",IF(W138=0,"em execução"&amp;IF(Z138&lt;&gt;""," ("&amp;IF(Z138=-1,"subsolo",IF(Z138=0,"térreo",Z138&amp;"º pav."))&amp;")",""),IF(Y138&lt;&gt;"","até "&amp;IF(Y138=-1,"subsolo",IF(Y138=0,"térreo",Y138&amp;"º pav.")),W138&amp;" de "&amp;V138&amp;" concluídas")&amp;IF(Z138="","",IF(OR(Y138="",Z138&gt;Y138),", executando "&amp;IF(Z138=-1,"subsolo",IF(Z138=0,"térreo",Z138&amp;"º pav."))," (restam serviços no "&amp;IF(Z138=-1,"subsolo",IF(Z138=0,"térreo",Z138&amp;"º pav."))&amp;")"))))))</f>
        <v/>
      </c>
    </row>
    <row r="139">
      <c r="M139" s="2">
        <f>IF(C139="","",IFERROR(INDEX($S$5:$S$304,MATCH(C139,$R$5:$R$304,0))&amp;"","?"))</f>
        <v/>
      </c>
      <c r="N139" s="2">
        <f>IF(E139="","",IF(LEFT(E139,7)="SUBSOLO",-1,IF(LEFT(E139,6)="TÉRREO",0,IFERROR(VALUE(LEFT(E139,FIND("º",SUBSTITUTE(E139,"°","º"))-1)),""))))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5" t="inlineStr">
        <is>
          <t>PISO EMBORRACHADO</t>
        </is>
      </c>
      <c r="S139" s="5" t="inlineStr">
        <is>
          <t>30</t>
        </is>
      </c>
      <c r="T139" s="5" t="inlineStr">
        <is>
          <t>Piso emborrachado</t>
        </is>
      </c>
      <c r="U139" s="5" t="inlineStr">
        <is>
          <t>NÃO</t>
        </is>
      </c>
      <c r="V139" s="2">
        <f>IF(R139="","",COUNTIF($C$5:$C$3004,R139))</f>
        <v/>
      </c>
      <c r="W139" s="2">
        <f>IF(R139="","",COUNTIFS($C$5:$C$3004,R139,$O$5:$O$3004,"CONCLUÍDA"))</f>
        <v/>
      </c>
      <c r="X139" s="2">
        <f>IF(R139="","",COUNTIFS($C$5:$C$3004,R139,$O$5:$O$3004,"EM ANDAMENTO"))</f>
        <v/>
      </c>
      <c r="Y139" s="2">
        <f>IF(R139="","",IF(COUNTIFS($C$5:$C$3004,R139,$O$5:$O$3004,"CONCLUÍDA",$N$5:$N$3004,"&gt;=-1")=0,"",_xlfn.MAXIFS($N$5:$N$3004,$C$5:$C$3004,R139,$O$5:$O$3004,"CONCLUÍDA")))</f>
        <v/>
      </c>
      <c r="Z139" s="2">
        <f>IF(R139="","",IF(COUNTIFS($C$5:$C$3004,R139,$O$5:$O$3004,"EM ANDAMENTO",$N$5:$N$3004,"&gt;=-1")=0,"",_xlfn.MAXIFS($N$5:$N$3004,$C$5:$C$3004,R139,$O$5:$O$3004,"EM ANDAMENTO")))</f>
        <v/>
      </c>
      <c r="AA139" s="2">
        <f>IF(OR(R139="",S139="",U139&lt;&gt;"SIM",V139=0),"",IF(W139+X139=0,"",T139&amp;": "&amp;IF(W139=V139,"concluído",IF(W139=0,"em execução"&amp;IF(Z139&lt;&gt;""," ("&amp;IF(Z139=-1,"subsolo",IF(Z139=0,"térreo",Z139&amp;"º pav."))&amp;")",""),IF(Y139&lt;&gt;"","até "&amp;IF(Y139=-1,"subsolo",IF(Y139=0,"térreo",Y139&amp;"º pav.")),W139&amp;" de "&amp;V139&amp;" concluídas")&amp;IF(Z139="","",IF(OR(Y139="",Z139&gt;Y139),", executando "&amp;IF(Z139=-1,"subsolo",IF(Z139=0,"térreo",Z139&amp;"º pav."))," (restam serviços no "&amp;IF(Z139=-1,"subsolo",IF(Z139=0,"térreo",Z139&amp;"º pav."))&amp;")"))))))</f>
        <v/>
      </c>
    </row>
    <row r="140">
      <c r="M140" s="2">
        <f>IF(C140="","",IFERROR(INDEX($S$5:$S$304,MATCH(C140,$R$5:$R$304,0))&amp;"","?"))</f>
        <v/>
      </c>
      <c r="N140" s="2">
        <f>IF(E140="","",IF(LEFT(E140,7)="SUBSOLO",-1,IF(LEFT(E140,6)="TÉRREO",0,IFERROR(VALUE(LEFT(E140,FIND("º",SUBSTITUTE(E140,"°","º"))-1)),""))))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5" t="inlineStr">
        <is>
          <t>DEMARCAÇÃO DE VAGAS</t>
        </is>
      </c>
      <c r="S140" s="5" t="inlineStr">
        <is>
          <t>31</t>
        </is>
      </c>
      <c r="T140" s="5" t="inlineStr">
        <is>
          <t>Demarcação de vagas</t>
        </is>
      </c>
      <c r="U140" s="5" t="inlineStr">
        <is>
          <t>SIM</t>
        </is>
      </c>
      <c r="V140" s="2">
        <f>IF(R140="","",COUNTIF($C$5:$C$3004,R140))</f>
        <v/>
      </c>
      <c r="W140" s="2">
        <f>IF(R140="","",COUNTIFS($C$5:$C$3004,R140,$O$5:$O$3004,"CONCLUÍDA"))</f>
        <v/>
      </c>
      <c r="X140" s="2">
        <f>IF(R140="","",COUNTIFS($C$5:$C$3004,R140,$O$5:$O$3004,"EM ANDAMENTO"))</f>
        <v/>
      </c>
      <c r="Y140" s="2">
        <f>IF(R140="","",IF(COUNTIFS($C$5:$C$3004,R140,$O$5:$O$3004,"CONCLUÍDA",$N$5:$N$3004,"&gt;=-1")=0,"",_xlfn.MAXIFS($N$5:$N$3004,$C$5:$C$3004,R140,$O$5:$O$3004,"CONCLUÍDA")))</f>
        <v/>
      </c>
      <c r="Z140" s="2">
        <f>IF(R140="","",IF(COUNTIFS($C$5:$C$3004,R140,$O$5:$O$3004,"EM ANDAMENTO",$N$5:$N$3004,"&gt;=-1")=0,"",_xlfn.MAXIFS($N$5:$N$3004,$C$5:$C$3004,R140,$O$5:$O$3004,"EM ANDAMENTO")))</f>
        <v/>
      </c>
      <c r="AA140" s="2">
        <f>IF(OR(R140="",S140="",U140&lt;&gt;"SIM",V140=0),"",IF(W140+X140=0,"",T140&amp;": "&amp;IF(W140=V140,"concluído",IF(W140=0,"em execução"&amp;IF(Z140&lt;&gt;""," ("&amp;IF(Z140=-1,"subsolo",IF(Z140=0,"térreo",Z140&amp;"º pav."))&amp;")",""),IF(Y140&lt;&gt;"","até "&amp;IF(Y140=-1,"subsolo",IF(Y140=0,"térreo",Y140&amp;"º pav.")),W140&amp;" de "&amp;V140&amp;" concluídas")&amp;IF(Z140="","",IF(OR(Y140="",Z140&gt;Y140),", executando "&amp;IF(Z140=-1,"subsolo",IF(Z140=0,"térreo",Z140&amp;"º pav."))," (restam serviços no "&amp;IF(Z140=-1,"subsolo",IF(Z140=0,"térreo",Z140&amp;"º pav."))&amp;")"))))))</f>
        <v/>
      </c>
    </row>
    <row r="141">
      <c r="M141" s="2">
        <f>IF(C141="","",IFERROR(INDEX($S$5:$S$304,MATCH(C141,$R$5:$R$304,0))&amp;"","?"))</f>
        <v/>
      </c>
      <c r="N141" s="2">
        <f>IF(E141="","",IF(LEFT(E141,7)="SUBSOLO",-1,IF(LEFT(E141,6)="TÉRREO",0,IFERROR(VALUE(LEFT(E141,FIND("º",SUBSTITUTE(E141,"°","º"))-1)),""))))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5" t="inlineStr">
        <is>
          <t>INSTALAÇÃO DE METAIS</t>
        </is>
      </c>
      <c r="S141" s="5" t="inlineStr">
        <is>
          <t>34</t>
        </is>
      </c>
      <c r="T141" s="5" t="inlineStr">
        <is>
          <t>Metais</t>
        </is>
      </c>
      <c r="U141" s="5" t="inlineStr">
        <is>
          <t>NÃO</t>
        </is>
      </c>
      <c r="V141" s="2">
        <f>IF(R141="","",COUNTIF($C$5:$C$3004,R141))</f>
        <v/>
      </c>
      <c r="W141" s="2">
        <f>IF(R141="","",COUNTIFS($C$5:$C$3004,R141,$O$5:$O$3004,"CONCLUÍDA"))</f>
        <v/>
      </c>
      <c r="X141" s="2">
        <f>IF(R141="","",COUNTIFS($C$5:$C$3004,R141,$O$5:$O$3004,"EM ANDAMENTO"))</f>
        <v/>
      </c>
      <c r="Y141" s="2">
        <f>IF(R141="","",IF(COUNTIFS($C$5:$C$3004,R141,$O$5:$O$3004,"CONCLUÍDA",$N$5:$N$3004,"&gt;=-1")=0,"",_xlfn.MAXIFS($N$5:$N$3004,$C$5:$C$3004,R141,$O$5:$O$3004,"CONCLUÍDA")))</f>
        <v/>
      </c>
      <c r="Z141" s="2">
        <f>IF(R141="","",IF(COUNTIFS($C$5:$C$3004,R141,$O$5:$O$3004,"EM ANDAMENTO",$N$5:$N$3004,"&gt;=-1")=0,"",_xlfn.MAXIFS($N$5:$N$3004,$C$5:$C$3004,R141,$O$5:$O$3004,"EM ANDAMENTO")))</f>
        <v/>
      </c>
      <c r="AA141" s="2">
        <f>IF(OR(R141="",S141="",U141&lt;&gt;"SIM",V141=0),"",IF(W141+X141=0,"",T141&amp;": "&amp;IF(W141=V141,"concluído",IF(W141=0,"em execução"&amp;IF(Z141&lt;&gt;""," ("&amp;IF(Z141=-1,"subsolo",IF(Z141=0,"térreo",Z141&amp;"º pav."))&amp;")",""),IF(Y141&lt;&gt;"","até "&amp;IF(Y141=-1,"subsolo",IF(Y141=0,"térreo",Y141&amp;"º pav.")),W141&amp;" de "&amp;V141&amp;" concluídas")&amp;IF(Z141="","",IF(OR(Y141="",Z141&gt;Y141),", executando "&amp;IF(Z141=-1,"subsolo",IF(Z141=0,"térreo",Z141&amp;"º pav."))," (restam serviços no "&amp;IF(Z141=-1,"subsolo",IF(Z141=0,"térreo",Z141&amp;"º pav."))&amp;")"))))))</f>
        <v/>
      </c>
    </row>
    <row r="142">
      <c r="M142" s="2">
        <f>IF(C142="","",IFERROR(INDEX($S$5:$S$304,MATCH(C142,$R$5:$R$304,0))&amp;"","?"))</f>
        <v/>
      </c>
      <c r="N142" s="2">
        <f>IF(E142="","",IF(LEFT(E142,7)="SUBSOLO",-1,IF(LEFT(E142,6)="TÉRREO",0,IFERROR(VALUE(LEFT(E142,FIND("º",SUBSTITUTE(E142,"°","º"))-1)),""))))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5" t="inlineStr">
        <is>
          <t>INST. CARREGADOR DE VEÍCULOS</t>
        </is>
      </c>
      <c r="S142" s="5" t="inlineStr">
        <is>
          <t>20</t>
        </is>
      </c>
      <c r="T142" s="5" t="inlineStr">
        <is>
          <t>Inst. carregador de veículos</t>
        </is>
      </c>
      <c r="U142" s="5" t="inlineStr">
        <is>
          <t>NÃO</t>
        </is>
      </c>
      <c r="V142" s="2">
        <f>IF(R142="","",COUNTIF($C$5:$C$3004,R142))</f>
        <v/>
      </c>
      <c r="W142" s="2">
        <f>IF(R142="","",COUNTIFS($C$5:$C$3004,R142,$O$5:$O$3004,"CONCLUÍDA"))</f>
        <v/>
      </c>
      <c r="X142" s="2">
        <f>IF(R142="","",COUNTIFS($C$5:$C$3004,R142,$O$5:$O$3004,"EM ANDAMENTO"))</f>
        <v/>
      </c>
      <c r="Y142" s="2">
        <f>IF(R142="","",IF(COUNTIFS($C$5:$C$3004,R142,$O$5:$O$3004,"CONCLUÍDA",$N$5:$N$3004,"&gt;=-1")=0,"",_xlfn.MAXIFS($N$5:$N$3004,$C$5:$C$3004,R142,$O$5:$O$3004,"CONCLUÍDA")))</f>
        <v/>
      </c>
      <c r="Z142" s="2">
        <f>IF(R142="","",IF(COUNTIFS($C$5:$C$3004,R142,$O$5:$O$3004,"EM ANDAMENTO",$N$5:$N$3004,"&gt;=-1")=0,"",_xlfn.MAXIFS($N$5:$N$3004,$C$5:$C$3004,R142,$O$5:$O$3004,"EM ANDAMENTO")))</f>
        <v/>
      </c>
      <c r="AA142" s="2">
        <f>IF(OR(R142="",S142="",U142&lt;&gt;"SIM",V142=0),"",IF(W142+X142=0,"",T142&amp;": "&amp;IF(W142=V142,"concluído",IF(W142=0,"em execução"&amp;IF(Z142&lt;&gt;""," ("&amp;IF(Z142=-1,"subsolo",IF(Z142=0,"térreo",Z142&amp;"º pav."))&amp;")",""),IF(Y142&lt;&gt;"","até "&amp;IF(Y142=-1,"subsolo",IF(Y142=0,"térreo",Y142&amp;"º pav.")),W142&amp;" de "&amp;V142&amp;" concluídas")&amp;IF(Z142="","",IF(OR(Y142="",Z142&gt;Y142),", executando "&amp;IF(Z142=-1,"subsolo",IF(Z142=0,"térreo",Z142&amp;"º pav."))," (restam serviços no "&amp;IF(Z142=-1,"subsolo",IF(Z142=0,"térreo",Z142&amp;"º pav."))&amp;")"))))))</f>
        <v/>
      </c>
    </row>
    <row r="143">
      <c r="M143" s="2">
        <f>IF(C143="","",IFERROR(INDEX($S$5:$S$304,MATCH(C143,$R$5:$R$304,0))&amp;"","?"))</f>
        <v/>
      </c>
      <c r="N143" s="2">
        <f>IF(E143="","",IF(LEFT(E143,7)="SUBSOLO",-1,IF(LEFT(E143,6)="TÉRREO",0,IFERROR(VALUE(LEFT(E143,FIND("º",SUBSTITUTE(E143,"°","º"))-1)),""))))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5" t="inlineStr">
        <is>
          <t>MONTAGEM - ELEVADOR 1</t>
        </is>
      </c>
      <c r="S143" s="5" t="inlineStr">
        <is>
          <t>24</t>
        </is>
      </c>
      <c r="T143" s="5" t="inlineStr">
        <is>
          <t>Montagem - elevador 1</t>
        </is>
      </c>
      <c r="U143" s="5" t="inlineStr">
        <is>
          <t>SIM</t>
        </is>
      </c>
      <c r="V143" s="2">
        <f>IF(R143="","",COUNTIF($C$5:$C$3004,R143))</f>
        <v/>
      </c>
      <c r="W143" s="2">
        <f>IF(R143="","",COUNTIFS($C$5:$C$3004,R143,$O$5:$O$3004,"CONCLUÍDA"))</f>
        <v/>
      </c>
      <c r="X143" s="2">
        <f>IF(R143="","",COUNTIFS($C$5:$C$3004,R143,$O$5:$O$3004,"EM ANDAMENTO"))</f>
        <v/>
      </c>
      <c r="Y143" s="2">
        <f>IF(R143="","",IF(COUNTIFS($C$5:$C$3004,R143,$O$5:$O$3004,"CONCLUÍDA",$N$5:$N$3004,"&gt;=-1")=0,"",_xlfn.MAXIFS($N$5:$N$3004,$C$5:$C$3004,R143,$O$5:$O$3004,"CONCLUÍDA")))</f>
        <v/>
      </c>
      <c r="Z143" s="2">
        <f>IF(R143="","",IF(COUNTIFS($C$5:$C$3004,R143,$O$5:$O$3004,"EM ANDAMENTO",$N$5:$N$3004,"&gt;=-1")=0,"",_xlfn.MAXIFS($N$5:$N$3004,$C$5:$C$3004,R143,$O$5:$O$3004,"EM ANDAMENTO")))</f>
        <v/>
      </c>
      <c r="AA143" s="2">
        <f>IF(OR(R143="",S143="",U143&lt;&gt;"SIM",V143=0),"",IF(W143+X143=0,"",T143&amp;": "&amp;IF(W143=V143,"concluído",IF(W143=0,"em execução"&amp;IF(Z143&lt;&gt;""," ("&amp;IF(Z143=-1,"subsolo",IF(Z143=0,"térreo",Z143&amp;"º pav."))&amp;")",""),IF(Y143&lt;&gt;"","até "&amp;IF(Y143=-1,"subsolo",IF(Y143=0,"térreo",Y143&amp;"º pav.")),W143&amp;" de "&amp;V143&amp;" concluídas")&amp;IF(Z143="","",IF(OR(Y143="",Z143&gt;Y143),", executando "&amp;IF(Z143=-1,"subsolo",IF(Z143=0,"térreo",Z143&amp;"º pav."))," (restam serviços no "&amp;IF(Z143=-1,"subsolo",IF(Z143=0,"térreo",Z143&amp;"º pav."))&amp;")"))))))</f>
        <v/>
      </c>
    </row>
    <row r="144">
      <c r="M144" s="2">
        <f>IF(C144="","",IFERROR(INDEX($S$5:$S$304,MATCH(C144,$R$5:$R$304,0))&amp;"","?"))</f>
        <v/>
      </c>
      <c r="N144" s="2">
        <f>IF(E144="","",IF(LEFT(E144,7)="SUBSOLO",-1,IF(LEFT(E144,6)="TÉRREO",0,IFERROR(VALUE(LEFT(E144,FIND("º",SUBSTITUTE(E144,"°","º"))-1)),""))))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5" t="inlineStr">
        <is>
          <t>REVESTIMENTO ACABAMENTO</t>
        </is>
      </c>
      <c r="S144" s="5" t="inlineStr">
        <is>
          <t>30</t>
        </is>
      </c>
      <c r="T144" s="5" t="inlineStr">
        <is>
          <t>Revestimento acabamento</t>
        </is>
      </c>
      <c r="U144" s="5" t="inlineStr">
        <is>
          <t>NÃO</t>
        </is>
      </c>
      <c r="V144" s="2">
        <f>IF(R144="","",COUNTIF($C$5:$C$3004,R144))</f>
        <v/>
      </c>
      <c r="W144" s="2">
        <f>IF(R144="","",COUNTIFS($C$5:$C$3004,R144,$O$5:$O$3004,"CONCLUÍDA"))</f>
        <v/>
      </c>
      <c r="X144" s="2">
        <f>IF(R144="","",COUNTIFS($C$5:$C$3004,R144,$O$5:$O$3004,"EM ANDAMENTO"))</f>
        <v/>
      </c>
      <c r="Y144" s="2">
        <f>IF(R144="","",IF(COUNTIFS($C$5:$C$3004,R144,$O$5:$O$3004,"CONCLUÍDA",$N$5:$N$3004,"&gt;=-1")=0,"",_xlfn.MAXIFS($N$5:$N$3004,$C$5:$C$3004,R144,$O$5:$O$3004,"CONCLUÍDA")))</f>
        <v/>
      </c>
      <c r="Z144" s="2">
        <f>IF(R144="","",IF(COUNTIFS($C$5:$C$3004,R144,$O$5:$O$3004,"EM ANDAMENTO",$N$5:$N$3004,"&gt;=-1")=0,"",_xlfn.MAXIFS($N$5:$N$3004,$C$5:$C$3004,R144,$O$5:$O$3004,"EM ANDAMENTO")))</f>
        <v/>
      </c>
      <c r="AA144" s="2">
        <f>IF(OR(R144="",S144="",U144&lt;&gt;"SIM",V144=0),"",IF(W144+X144=0,"",T144&amp;": "&amp;IF(W144=V144,"concluído",IF(W144=0,"em execução"&amp;IF(Z144&lt;&gt;""," ("&amp;IF(Z144=-1,"subsolo",IF(Z144=0,"térreo",Z144&amp;"º pav."))&amp;")",""),IF(Y144&lt;&gt;"","até "&amp;IF(Y144=-1,"subsolo",IF(Y144=0,"térreo",Y144&amp;"º pav.")),W144&amp;" de "&amp;V144&amp;" concluídas")&amp;IF(Z144="","",IF(OR(Y144="",Z144&gt;Y144),", executando "&amp;IF(Z144=-1,"subsolo",IF(Z144=0,"térreo",Z144&amp;"º pav."))," (restam serviços no "&amp;IF(Z144=-1,"subsolo",IF(Z144=0,"térreo",Z144&amp;"º pav."))&amp;")"))))))</f>
        <v/>
      </c>
    </row>
    <row r="145">
      <c r="M145" s="2">
        <f>IF(C145="","",IFERROR(INDEX($S$5:$S$304,MATCH(C145,$R$5:$R$304,0))&amp;"","?"))</f>
        <v/>
      </c>
      <c r="N145" s="2">
        <f>IF(E145="","",IF(LEFT(E145,7)="SUBSOLO",-1,IF(LEFT(E145,6)="TÉRREO",0,IFERROR(VALUE(LEFT(E145,FIND("º",SUBSTITUTE(E145,"°","º"))-1)),""))))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5" t="inlineStr">
        <is>
          <t>PEITORIS E REQUADROS DE FACHADA - F3 + F4 (2º ETAPA)</t>
        </is>
      </c>
      <c r="S145" s="5" t="inlineStr">
        <is>
          <t>32</t>
        </is>
      </c>
      <c r="T145" s="5" t="inlineStr">
        <is>
          <t>Peitoris e requadros de fachada - F3 + F4 (2º etapa)</t>
        </is>
      </c>
      <c r="U145" s="5" t="inlineStr">
        <is>
          <t>SIM</t>
        </is>
      </c>
      <c r="V145" s="2">
        <f>IF(R145="","",COUNTIF($C$5:$C$3004,R145))</f>
        <v/>
      </c>
      <c r="W145" s="2">
        <f>IF(R145="","",COUNTIFS($C$5:$C$3004,R145,$O$5:$O$3004,"CONCLUÍDA"))</f>
        <v/>
      </c>
      <c r="X145" s="2">
        <f>IF(R145="","",COUNTIFS($C$5:$C$3004,R145,$O$5:$O$3004,"EM ANDAMENTO"))</f>
        <v/>
      </c>
      <c r="Y145" s="2">
        <f>IF(R145="","",IF(COUNTIFS($C$5:$C$3004,R145,$O$5:$O$3004,"CONCLUÍDA",$N$5:$N$3004,"&gt;=-1")=0,"",_xlfn.MAXIFS($N$5:$N$3004,$C$5:$C$3004,R145,$O$5:$O$3004,"CONCLUÍDA")))</f>
        <v/>
      </c>
      <c r="Z145" s="2">
        <f>IF(R145="","",IF(COUNTIFS($C$5:$C$3004,R145,$O$5:$O$3004,"EM ANDAMENTO",$N$5:$N$3004,"&gt;=-1")=0,"",_xlfn.MAXIFS($N$5:$N$3004,$C$5:$C$3004,R145,$O$5:$O$3004,"EM ANDAMENTO")))</f>
        <v/>
      </c>
      <c r="AA145" s="2">
        <f>IF(OR(R145="",S145="",U145&lt;&gt;"SIM",V145=0),"",IF(W145+X145=0,"",T145&amp;": "&amp;IF(W145=V145,"concluído",IF(W145=0,"em execução"&amp;IF(Z145&lt;&gt;""," ("&amp;IF(Z145=-1,"subsolo",IF(Z145=0,"térreo",Z145&amp;"º pav."))&amp;")",""),IF(Y145&lt;&gt;"","até "&amp;IF(Y145=-1,"subsolo",IF(Y145=0,"térreo",Y145&amp;"º pav.")),W145&amp;" de "&amp;V145&amp;" concluídas")&amp;IF(Z145="","",IF(OR(Y145="",Z145&gt;Y145),", executando "&amp;IF(Z145=-1,"subsolo",IF(Z145=0,"térreo",Z145&amp;"º pav."))," (restam serviços no "&amp;IF(Z145=-1,"subsolo",IF(Z145=0,"térreo",Z145&amp;"º pav."))&amp;")"))))))</f>
        <v/>
      </c>
    </row>
    <row r="146">
      <c r="M146" s="2">
        <f>IF(C146="","",IFERROR(INDEX($S$5:$S$304,MATCH(C146,$R$5:$R$304,0))&amp;"","?"))</f>
        <v/>
      </c>
      <c r="N146" s="2">
        <f>IF(E146="","",IF(LEFT(E146,7)="SUBSOLO",-1,IF(LEFT(E146,6)="TÉRREO",0,IFERROR(VALUE(LEFT(E146,FIND("º",SUBSTITUTE(E146,"°","º"))-1)),""))))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5" t="inlineStr">
        <is>
          <t>AQUECEDOR (SAUNA)</t>
        </is>
      </c>
      <c r="S146" s="5" t="inlineStr">
        <is>
          <t>23</t>
        </is>
      </c>
      <c r="T146" s="5" t="inlineStr">
        <is>
          <t>Aquecedor (sauna)</t>
        </is>
      </c>
      <c r="U146" s="5" t="inlineStr">
        <is>
          <t>NÃO</t>
        </is>
      </c>
      <c r="V146" s="2">
        <f>IF(R146="","",COUNTIF($C$5:$C$3004,R146))</f>
        <v/>
      </c>
      <c r="W146" s="2">
        <f>IF(R146="","",COUNTIFS($C$5:$C$3004,R146,$O$5:$O$3004,"CONCLUÍDA"))</f>
        <v/>
      </c>
      <c r="X146" s="2">
        <f>IF(R146="","",COUNTIFS($C$5:$C$3004,R146,$O$5:$O$3004,"EM ANDAMENTO"))</f>
        <v/>
      </c>
      <c r="Y146" s="2">
        <f>IF(R146="","",IF(COUNTIFS($C$5:$C$3004,R146,$O$5:$O$3004,"CONCLUÍDA",$N$5:$N$3004,"&gt;=-1")=0,"",_xlfn.MAXIFS($N$5:$N$3004,$C$5:$C$3004,R146,$O$5:$O$3004,"CONCLUÍDA")))</f>
        <v/>
      </c>
      <c r="Z146" s="2">
        <f>IF(R146="","",IF(COUNTIFS($C$5:$C$3004,R146,$O$5:$O$3004,"EM ANDAMENTO",$N$5:$N$3004,"&gt;=-1")=0,"",_xlfn.MAXIFS($N$5:$N$3004,$C$5:$C$3004,R146,$O$5:$O$3004,"EM ANDAMENTO")))</f>
        <v/>
      </c>
      <c r="AA146" s="2">
        <f>IF(OR(R146="",S146="",U146&lt;&gt;"SIM",V146=0),"",IF(W146+X146=0,"",T146&amp;": "&amp;IF(W146=V146,"concluído",IF(W146=0,"em execução"&amp;IF(Z146&lt;&gt;""," ("&amp;IF(Z146=-1,"subsolo",IF(Z146=0,"térreo",Z146&amp;"º pav."))&amp;")",""),IF(Y146&lt;&gt;"","até "&amp;IF(Y146=-1,"subsolo",IF(Y146=0,"térreo",Y146&amp;"º pav.")),W146&amp;" de "&amp;V146&amp;" concluídas")&amp;IF(Z146="","",IF(OR(Y146="",Z146&gt;Y146),", executando "&amp;IF(Z146=-1,"subsolo",IF(Z146=0,"térreo",Z146&amp;"º pav."))," (restam serviços no "&amp;IF(Z146=-1,"subsolo",IF(Z146=0,"térreo",Z146&amp;"º pav."))&amp;")"))))))</f>
        <v/>
      </c>
    </row>
    <row r="147">
      <c r="M147" s="2">
        <f>IF(C147="","",IFERROR(INDEX($S$5:$S$304,MATCH(C147,$R$5:$R$304,0))&amp;"","?"))</f>
        <v/>
      </c>
      <c r="N147" s="2">
        <f>IF(E147="","",IF(LEFT(E147,7)="SUBSOLO",-1,IF(LEFT(E147,6)="TÉRREO",0,IFERROR(VALUE(LEFT(E147,FIND("º",SUBSTITUTE(E147,"°","º"))-1)),""))))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5" t="inlineStr">
        <is>
          <t>IRRIGAÇÃO</t>
        </is>
      </c>
      <c r="S147" s="5" t="inlineStr">
        <is>
          <t>36</t>
        </is>
      </c>
      <c r="T147" s="5" t="inlineStr">
        <is>
          <t>Irrigação</t>
        </is>
      </c>
      <c r="U147" s="5" t="inlineStr">
        <is>
          <t>SIM</t>
        </is>
      </c>
      <c r="V147" s="2">
        <f>IF(R147="","",COUNTIF($C$5:$C$3004,R147))</f>
        <v/>
      </c>
      <c r="W147" s="2">
        <f>IF(R147="","",COUNTIFS($C$5:$C$3004,R147,$O$5:$O$3004,"CONCLUÍDA"))</f>
        <v/>
      </c>
      <c r="X147" s="2">
        <f>IF(R147="","",COUNTIFS($C$5:$C$3004,R147,$O$5:$O$3004,"EM ANDAMENTO"))</f>
        <v/>
      </c>
      <c r="Y147" s="2">
        <f>IF(R147="","",IF(COUNTIFS($C$5:$C$3004,R147,$O$5:$O$3004,"CONCLUÍDA",$N$5:$N$3004,"&gt;=-1")=0,"",_xlfn.MAXIFS($N$5:$N$3004,$C$5:$C$3004,R147,$O$5:$O$3004,"CONCLUÍDA")))</f>
        <v/>
      </c>
      <c r="Z147" s="2">
        <f>IF(R147="","",IF(COUNTIFS($C$5:$C$3004,R147,$O$5:$O$3004,"EM ANDAMENTO",$N$5:$N$3004,"&gt;=-1")=0,"",_xlfn.MAXIFS($N$5:$N$3004,$C$5:$C$3004,R147,$O$5:$O$3004,"EM ANDAMENTO")))</f>
        <v/>
      </c>
      <c r="AA147" s="2">
        <f>IF(OR(R147="",S147="",U147&lt;&gt;"SIM",V147=0),"",IF(W147+X147=0,"",T147&amp;": "&amp;IF(W147=V147,"concluído",IF(W147=0,"em execução"&amp;IF(Z147&lt;&gt;""," ("&amp;IF(Z147=-1,"subsolo",IF(Z147=0,"térreo",Z147&amp;"º pav."))&amp;")",""),IF(Y147&lt;&gt;"","até "&amp;IF(Y147=-1,"subsolo",IF(Y147=0,"térreo",Y147&amp;"º pav.")),W147&amp;" de "&amp;V147&amp;" concluídas")&amp;IF(Z147="","",IF(OR(Y147="",Z147&gt;Y147),", executando "&amp;IF(Z147=-1,"subsolo",IF(Z147=0,"térreo",Z147&amp;"º pav."))," (restam serviços no "&amp;IF(Z147=-1,"subsolo",IF(Z147=0,"térreo",Z147&amp;"º pav."))&amp;")"))))))</f>
        <v/>
      </c>
    </row>
    <row r="148">
      <c r="M148" s="2">
        <f>IF(C148="","",IFERROR(INDEX($S$5:$S$304,MATCH(C148,$R$5:$R$304,0))&amp;"","?"))</f>
        <v/>
      </c>
      <c r="N148" s="2">
        <f>IF(E148="","",IF(LEFT(E148,7)="SUBSOLO",-1,IF(LEFT(E148,6)="TÉRREO",0,IFERROR(VALUE(LEFT(E148,FIND("º",SUBSTITUTE(E148,"°","º"))-1)),""))))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5" t="inlineStr">
        <is>
          <t>FACHADA AERADA - F5 (2º ETAPA)</t>
        </is>
      </c>
      <c r="S148" s="5" t="inlineStr">
        <is>
          <t>32</t>
        </is>
      </c>
      <c r="T148" s="5" t="inlineStr">
        <is>
          <t>Fachada aerada - F5 (2º etapa)</t>
        </is>
      </c>
      <c r="U148" s="5" t="inlineStr">
        <is>
          <t>SIM</t>
        </is>
      </c>
      <c r="V148" s="2">
        <f>IF(R148="","",COUNTIF($C$5:$C$3004,R148))</f>
        <v/>
      </c>
      <c r="W148" s="2">
        <f>IF(R148="","",COUNTIFS($C$5:$C$3004,R148,$O$5:$O$3004,"CONCLUÍDA"))</f>
        <v/>
      </c>
      <c r="X148" s="2">
        <f>IF(R148="","",COUNTIFS($C$5:$C$3004,R148,$O$5:$O$3004,"EM ANDAMENTO"))</f>
        <v/>
      </c>
      <c r="Y148" s="2">
        <f>IF(R148="","",IF(COUNTIFS($C$5:$C$3004,R148,$O$5:$O$3004,"CONCLUÍDA",$N$5:$N$3004,"&gt;=-1")=0,"",_xlfn.MAXIFS($N$5:$N$3004,$C$5:$C$3004,R148,$O$5:$O$3004,"CONCLUÍDA")))</f>
        <v/>
      </c>
      <c r="Z148" s="2">
        <f>IF(R148="","",IF(COUNTIFS($C$5:$C$3004,R148,$O$5:$O$3004,"EM ANDAMENTO",$N$5:$N$3004,"&gt;=-1")=0,"",_xlfn.MAXIFS($N$5:$N$3004,$C$5:$C$3004,R148,$O$5:$O$3004,"EM ANDAMENTO")))</f>
        <v/>
      </c>
      <c r="AA148" s="2">
        <f>IF(OR(R148="",S148="",U148&lt;&gt;"SIM",V148=0),"",IF(W148+X148=0,"",T148&amp;": "&amp;IF(W148=V148,"concluído",IF(W148=0,"em execução"&amp;IF(Z148&lt;&gt;""," ("&amp;IF(Z148=-1,"subsolo",IF(Z148=0,"térreo",Z148&amp;"º pav."))&amp;")",""),IF(Y148&lt;&gt;"","até "&amp;IF(Y148=-1,"subsolo",IF(Y148=0,"térreo",Y148&amp;"º pav.")),W148&amp;" de "&amp;V148&amp;" concluídas")&amp;IF(Z148="","",IF(OR(Y148="",Z148&gt;Y148),", executando "&amp;IF(Z148=-1,"subsolo",IF(Z148=0,"térreo",Z148&amp;"º pav."))," (restam serviços no "&amp;IF(Z148=-1,"subsolo",IF(Z148=0,"térreo",Z148&amp;"º pav."))&amp;")"))))))</f>
        <v/>
      </c>
    </row>
    <row r="149">
      <c r="M149" s="2">
        <f>IF(C149="","",IFERROR(INDEX($S$5:$S$304,MATCH(C149,$R$5:$R$304,0))&amp;"","?"))</f>
        <v/>
      </c>
      <c r="N149" s="2">
        <f>IF(E149="","",IF(LEFT(E149,7)="SUBSOLO",-1,IF(LEFT(E149,6)="TÉRREO",0,IFERROR(VALUE(LEFT(E149,FIND("º",SUBSTITUTE(E149,"°","º"))-1)),""))))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5" t="inlineStr">
        <is>
          <t>TEXTURA - 2º E 3º DEMÃO</t>
        </is>
      </c>
      <c r="S149" s="5" t="inlineStr">
        <is>
          <t>35</t>
        </is>
      </c>
      <c r="T149" s="5" t="inlineStr">
        <is>
          <t>Textura - 2ª e 3ª demão</t>
        </is>
      </c>
      <c r="U149" s="5" t="inlineStr">
        <is>
          <t>NÃO</t>
        </is>
      </c>
      <c r="V149" s="2">
        <f>IF(R149="","",COUNTIF($C$5:$C$3004,R149))</f>
        <v/>
      </c>
      <c r="W149" s="2">
        <f>IF(R149="","",COUNTIFS($C$5:$C$3004,R149,$O$5:$O$3004,"CONCLUÍDA"))</f>
        <v/>
      </c>
      <c r="X149" s="2">
        <f>IF(R149="","",COUNTIFS($C$5:$C$3004,R149,$O$5:$O$3004,"EM ANDAMENTO"))</f>
        <v/>
      </c>
      <c r="Y149" s="2">
        <f>IF(R149="","",IF(COUNTIFS($C$5:$C$3004,R149,$O$5:$O$3004,"CONCLUÍDA",$N$5:$N$3004,"&gt;=-1")=0,"",_xlfn.MAXIFS($N$5:$N$3004,$C$5:$C$3004,R149,$O$5:$O$3004,"CONCLUÍDA")))</f>
        <v/>
      </c>
      <c r="Z149" s="2">
        <f>IF(R149="","",IF(COUNTIFS($C$5:$C$3004,R149,$O$5:$O$3004,"EM ANDAMENTO",$N$5:$N$3004,"&gt;=-1")=0,"",_xlfn.MAXIFS($N$5:$N$3004,$C$5:$C$3004,R149,$O$5:$O$3004,"EM ANDAMENTO")))</f>
        <v/>
      </c>
      <c r="AA149" s="2">
        <f>IF(OR(R149="",S149="",U149&lt;&gt;"SIM",V149=0),"",IF(W149+X149=0,"",T149&amp;": "&amp;IF(W149=V149,"concluído",IF(W149=0,"em execução"&amp;IF(Z149&lt;&gt;""," ("&amp;IF(Z149=-1,"subsolo",IF(Z149=0,"térreo",Z149&amp;"º pav."))&amp;")",""),IF(Y149&lt;&gt;"","até "&amp;IF(Y149=-1,"subsolo",IF(Y149=0,"térreo",Y149&amp;"º pav.")),W149&amp;" de "&amp;V149&amp;" concluídas")&amp;IF(Z149="","",IF(OR(Y149="",Z149&gt;Y149),", executando "&amp;IF(Z149=-1,"subsolo",IF(Z149=0,"térreo",Z149&amp;"º pav."))," (restam serviços no "&amp;IF(Z149=-1,"subsolo",IF(Z149=0,"térreo",Z149&amp;"º pav."))&amp;")"))))))</f>
        <v/>
      </c>
    </row>
    <row r="150">
      <c r="M150" s="2">
        <f>IF(C150="","",IFERROR(INDEX($S$5:$S$304,MATCH(C150,$R$5:$R$304,0))&amp;"","?"))</f>
        <v/>
      </c>
      <c r="N150" s="2">
        <f>IF(E150="","",IF(LEFT(E150,7)="SUBSOLO",-1,IF(LEFT(E150,6)="TÉRREO",0,IFERROR(VALUE(LEFT(E150,FIND("º",SUBSTITUTE(E150,"°","º"))-1)),""))))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5" t="inlineStr">
        <is>
          <t>PAISAGISMO</t>
        </is>
      </c>
      <c r="S150" s="5" t="inlineStr">
        <is>
          <t>36</t>
        </is>
      </c>
      <c r="T150" s="5" t="inlineStr">
        <is>
          <t>Paisagismo</t>
        </is>
      </c>
      <c r="U150" s="5" t="inlineStr">
        <is>
          <t>SIM</t>
        </is>
      </c>
      <c r="V150" s="2">
        <f>IF(R150="","",COUNTIF($C$5:$C$3004,R150))</f>
        <v/>
      </c>
      <c r="W150" s="2">
        <f>IF(R150="","",COUNTIFS($C$5:$C$3004,R150,$O$5:$O$3004,"CONCLUÍDA"))</f>
        <v/>
      </c>
      <c r="X150" s="2">
        <f>IF(R150="","",COUNTIFS($C$5:$C$3004,R150,$O$5:$O$3004,"EM ANDAMENTO"))</f>
        <v/>
      </c>
      <c r="Y150" s="2">
        <f>IF(R150="","",IF(COUNTIFS($C$5:$C$3004,R150,$O$5:$O$3004,"CONCLUÍDA",$N$5:$N$3004,"&gt;=-1")=0,"",_xlfn.MAXIFS($N$5:$N$3004,$C$5:$C$3004,R150,$O$5:$O$3004,"CONCLUÍDA")))</f>
        <v/>
      </c>
      <c r="Z150" s="2">
        <f>IF(R150="","",IF(COUNTIFS($C$5:$C$3004,R150,$O$5:$O$3004,"EM ANDAMENTO",$N$5:$N$3004,"&gt;=-1")=0,"",_xlfn.MAXIFS($N$5:$N$3004,$C$5:$C$3004,R150,$O$5:$O$3004,"EM ANDAMENTO")))</f>
        <v/>
      </c>
      <c r="AA150" s="2">
        <f>IF(OR(R150="",S150="",U150&lt;&gt;"SIM",V150=0),"",IF(W150+X150=0,"",T150&amp;": "&amp;IF(W150=V150,"concluído",IF(W150=0,"em execução"&amp;IF(Z150&lt;&gt;""," ("&amp;IF(Z150=-1,"subsolo",IF(Z150=0,"térreo",Z150&amp;"º pav."))&amp;")",""),IF(Y150&lt;&gt;"","até "&amp;IF(Y150=-1,"subsolo",IF(Y150=0,"térreo",Y150&amp;"º pav.")),W150&amp;" de "&amp;V150&amp;" concluídas")&amp;IF(Z150="","",IF(OR(Y150="",Z150&gt;Y150),", executando "&amp;IF(Z150=-1,"subsolo",IF(Z150=0,"térreo",Z150&amp;"º pav."))," (restam serviços no "&amp;IF(Z150=-1,"subsolo",IF(Z150=0,"térreo",Z150&amp;"º pav."))&amp;")"))))))</f>
        <v/>
      </c>
    </row>
    <row r="151">
      <c r="M151" s="2">
        <f>IF(C151="","",IFERROR(INDEX($S$5:$S$304,MATCH(C151,$R$5:$R$304,0))&amp;"","?"))</f>
        <v/>
      </c>
      <c r="N151" s="2">
        <f>IF(E151="","",IF(LEFT(E151,7)="SUBSOLO",-1,IF(LEFT(E151,6)="TÉRREO",0,IFERROR(VALUE(LEFT(E151,FIND("º",SUBSTITUTE(E151,"°","º"))-1)),""))))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5" t="inlineStr">
        <is>
          <t>FACHADA</t>
        </is>
      </c>
      <c r="S151" s="5" t="inlineStr">
        <is>
          <t>32</t>
        </is>
      </c>
      <c r="T151" s="5" t="inlineStr">
        <is>
          <t>Fachada</t>
        </is>
      </c>
      <c r="U151" s="5" t="inlineStr">
        <is>
          <t>SIM</t>
        </is>
      </c>
      <c r="V151" s="2">
        <f>IF(R151="","",COUNTIF($C$5:$C$3004,R151))</f>
        <v/>
      </c>
      <c r="W151" s="2">
        <f>IF(R151="","",COUNTIFS($C$5:$C$3004,R151,$O$5:$O$3004,"CONCLUÍDA"))</f>
        <v/>
      </c>
      <c r="X151" s="2">
        <f>IF(R151="","",COUNTIFS($C$5:$C$3004,R151,$O$5:$O$3004,"EM ANDAMENTO"))</f>
        <v/>
      </c>
      <c r="Y151" s="2">
        <f>IF(R151="","",IF(COUNTIFS($C$5:$C$3004,R151,$O$5:$O$3004,"CONCLUÍDA",$N$5:$N$3004,"&gt;=-1")=0,"",_xlfn.MAXIFS($N$5:$N$3004,$C$5:$C$3004,R151,$O$5:$O$3004,"CONCLUÍDA")))</f>
        <v/>
      </c>
      <c r="Z151" s="2">
        <f>IF(R151="","",IF(COUNTIFS($C$5:$C$3004,R151,$O$5:$O$3004,"EM ANDAMENTO",$N$5:$N$3004,"&gt;=-1")=0,"",_xlfn.MAXIFS($N$5:$N$3004,$C$5:$C$3004,R151,$O$5:$O$3004,"EM ANDAMENTO")))</f>
        <v/>
      </c>
      <c r="AA151" s="2">
        <f>IF(OR(R151="",S151="",U151&lt;&gt;"SIM",V151=0),"",IF(W151+X151=0,"",T151&amp;": "&amp;IF(W151=V151,"concluído",IF(W151=0,"em execução"&amp;IF(Z151&lt;&gt;""," ("&amp;IF(Z151=-1,"subsolo",IF(Z151=0,"térreo",Z151&amp;"º pav."))&amp;")",""),IF(Y151&lt;&gt;"","até "&amp;IF(Y151=-1,"subsolo",IF(Y151=0,"térreo",Y151&amp;"º pav.")),W151&amp;" de "&amp;V151&amp;" concluídas")&amp;IF(Z151="","",IF(OR(Y151="",Z151&gt;Y151),", executando "&amp;IF(Z151=-1,"subsolo",IF(Z151=0,"térreo",Z151&amp;"º pav."))," (restam serviços no "&amp;IF(Z151=-1,"subsolo",IF(Z151=0,"térreo",Z151&amp;"º pav."))&amp;")"))))))</f>
        <v/>
      </c>
    </row>
    <row r="152">
      <c r="M152" s="2">
        <f>IF(C152="","",IFERROR(INDEX($S$5:$S$304,MATCH(C152,$R$5:$R$304,0))&amp;"","?"))</f>
        <v/>
      </c>
      <c r="N152" s="2">
        <f>IF(E152="","",IF(LEFT(E152,7)="SUBSOLO",-1,IF(LEFT(E152,6)="TÉRREO",0,IFERROR(VALUE(LEFT(E152,FIND("º",SUBSTITUTE(E152,"°","º"))-1)),""))))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5" t="inlineStr">
        <is>
          <t>PRESSURIZAÇÃO (HIDRÁULICA)</t>
        </is>
      </c>
      <c r="S152" s="5" t="inlineStr">
        <is>
          <t>21</t>
        </is>
      </c>
      <c r="T152" s="5" t="inlineStr">
        <is>
          <t>Pressurização (hidráulica)</t>
        </is>
      </c>
      <c r="U152" s="5" t="inlineStr">
        <is>
          <t>NÃO</t>
        </is>
      </c>
      <c r="V152" s="2">
        <f>IF(R152="","",COUNTIF($C$5:$C$3004,R152))</f>
        <v/>
      </c>
      <c r="W152" s="2">
        <f>IF(R152="","",COUNTIFS($C$5:$C$3004,R152,$O$5:$O$3004,"CONCLUÍDA"))</f>
        <v/>
      </c>
      <c r="X152" s="2">
        <f>IF(R152="","",COUNTIFS($C$5:$C$3004,R152,$O$5:$O$3004,"EM ANDAMENTO"))</f>
        <v/>
      </c>
      <c r="Y152" s="2">
        <f>IF(R152="","",IF(COUNTIFS($C$5:$C$3004,R152,$O$5:$O$3004,"CONCLUÍDA",$N$5:$N$3004,"&gt;=-1")=0,"",_xlfn.MAXIFS($N$5:$N$3004,$C$5:$C$3004,R152,$O$5:$O$3004,"CONCLUÍDA")))</f>
        <v/>
      </c>
      <c r="Z152" s="2">
        <f>IF(R152="","",IF(COUNTIFS($C$5:$C$3004,R152,$O$5:$O$3004,"EM ANDAMENTO",$N$5:$N$3004,"&gt;=-1")=0,"",_xlfn.MAXIFS($N$5:$N$3004,$C$5:$C$3004,R152,$O$5:$O$3004,"EM ANDAMENTO")))</f>
        <v/>
      </c>
      <c r="AA152" s="2">
        <f>IF(OR(R152="",S152="",U152&lt;&gt;"SIM",V152=0),"",IF(W152+X152=0,"",T152&amp;": "&amp;IF(W152=V152,"concluído",IF(W152=0,"em execução"&amp;IF(Z152&lt;&gt;""," ("&amp;IF(Z152=-1,"subsolo",IF(Z152=0,"térreo",Z152&amp;"º pav."))&amp;")",""),IF(Y152&lt;&gt;"","até "&amp;IF(Y152=-1,"subsolo",IF(Y152=0,"térreo",Y152&amp;"º pav.")),W152&amp;" de "&amp;V152&amp;" concluídas")&amp;IF(Z152="","",IF(OR(Y152="",Z152&gt;Y152),", executando "&amp;IF(Z152=-1,"subsolo",IF(Z152=0,"térreo",Z152&amp;"º pav."))," (restam serviços no "&amp;IF(Z152=-1,"subsolo",IF(Z152=0,"térreo",Z152&amp;"º pav."))&amp;")"))))))</f>
        <v/>
      </c>
    </row>
    <row r="153">
      <c r="M153" s="2">
        <f>IF(C153="","",IFERROR(INDEX($S$5:$S$304,MATCH(C153,$R$5:$R$304,0))&amp;"","?"))</f>
        <v/>
      </c>
      <c r="N153" s="2">
        <f>IF(E153="","",IF(LEFT(E153,7)="SUBSOLO",-1,IF(LEFT(E153,6)="TÉRREO",0,IFERROR(VALUE(LEFT(E153,FIND("º",SUBSTITUTE(E153,"°","º"))-1)),""))))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5" t="inlineStr">
        <is>
          <t>INSTALAÇÃO DE SHADOWBOX E BRISES - F3 + F4</t>
        </is>
      </c>
      <c r="S153" s="5" t="inlineStr">
        <is>
          <t>25</t>
        </is>
      </c>
      <c r="T153" s="5" t="inlineStr">
        <is>
          <t>Shadowbox e brises - F3 + F4</t>
        </is>
      </c>
      <c r="U153" s="5" t="inlineStr">
        <is>
          <t>NÃO</t>
        </is>
      </c>
      <c r="V153" s="2">
        <f>IF(R153="","",COUNTIF($C$5:$C$3004,R153))</f>
        <v/>
      </c>
      <c r="W153" s="2">
        <f>IF(R153="","",COUNTIFS($C$5:$C$3004,R153,$O$5:$O$3004,"CONCLUÍDA"))</f>
        <v/>
      </c>
      <c r="X153" s="2">
        <f>IF(R153="","",COUNTIFS($C$5:$C$3004,R153,$O$5:$O$3004,"EM ANDAMENTO"))</f>
        <v/>
      </c>
      <c r="Y153" s="2">
        <f>IF(R153="","",IF(COUNTIFS($C$5:$C$3004,R153,$O$5:$O$3004,"CONCLUÍDA",$N$5:$N$3004,"&gt;=-1")=0,"",_xlfn.MAXIFS($N$5:$N$3004,$C$5:$C$3004,R153,$O$5:$O$3004,"CONCLUÍDA")))</f>
        <v/>
      </c>
      <c r="Z153" s="2">
        <f>IF(R153="","",IF(COUNTIFS($C$5:$C$3004,R153,$O$5:$O$3004,"EM ANDAMENTO",$N$5:$N$3004,"&gt;=-1")=0,"",_xlfn.MAXIFS($N$5:$N$3004,$C$5:$C$3004,R153,$O$5:$O$3004,"EM ANDAMENTO")))</f>
        <v/>
      </c>
      <c r="AA153" s="2">
        <f>IF(OR(R153="",S153="",U153&lt;&gt;"SIM",V153=0),"",IF(W153+X153=0,"",T153&amp;": "&amp;IF(W153=V153,"concluído",IF(W153=0,"em execução"&amp;IF(Z153&lt;&gt;""," ("&amp;IF(Z153=-1,"subsolo",IF(Z153=0,"térreo",Z153&amp;"º pav."))&amp;")",""),IF(Y153&lt;&gt;"","até "&amp;IF(Y153=-1,"subsolo",IF(Y153=0,"térreo",Y153&amp;"º pav.")),W153&amp;" de "&amp;V153&amp;" concluídas")&amp;IF(Z153="","",IF(OR(Y153="",Z153&gt;Y153),", executando "&amp;IF(Z153=-1,"subsolo",IF(Z153=0,"térreo",Z153&amp;"º pav."))," (restam serviços no "&amp;IF(Z153=-1,"subsolo",IF(Z153=0,"térreo",Z153&amp;"º pav."))&amp;")"))))))</f>
        <v/>
      </c>
    </row>
    <row r="154">
      <c r="M154" s="2">
        <f>IF(C154="","",IFERROR(INDEX($S$5:$S$304,MATCH(C154,$R$5:$R$304,0))&amp;"","?"))</f>
        <v/>
      </c>
      <c r="N154" s="2">
        <f>IF(E154="","",IF(LEFT(E154,7)="SUBSOLO",-1,IF(LEFT(E154,6)="TÉRREO",0,IFERROR(VALUE(LEFT(E154,FIND("º",SUBSTITUTE(E154,"°","º"))-1)),""))))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5" t="inlineStr">
        <is>
          <t>TRATAMENTO DE CONCRETO APARENTE - F1 + F2</t>
        </is>
      </c>
      <c r="S154" s="5" t="inlineStr">
        <is>
          <t>35</t>
        </is>
      </c>
      <c r="T154" s="5" t="inlineStr">
        <is>
          <t>Tratamento de concreto aparente - F1 + F2</t>
        </is>
      </c>
      <c r="U154" s="5" t="inlineStr">
        <is>
          <t>NÃO</t>
        </is>
      </c>
      <c r="V154" s="2">
        <f>IF(R154="","",COUNTIF($C$5:$C$3004,R154))</f>
        <v/>
      </c>
      <c r="W154" s="2">
        <f>IF(R154="","",COUNTIFS($C$5:$C$3004,R154,$O$5:$O$3004,"CONCLUÍDA"))</f>
        <v/>
      </c>
      <c r="X154" s="2">
        <f>IF(R154="","",COUNTIFS($C$5:$C$3004,R154,$O$5:$O$3004,"EM ANDAMENTO"))</f>
        <v/>
      </c>
      <c r="Y154" s="2">
        <f>IF(R154="","",IF(COUNTIFS($C$5:$C$3004,R154,$O$5:$O$3004,"CONCLUÍDA",$N$5:$N$3004,"&gt;=-1")=0,"",_xlfn.MAXIFS($N$5:$N$3004,$C$5:$C$3004,R154,$O$5:$O$3004,"CONCLUÍDA")))</f>
        <v/>
      </c>
      <c r="Z154" s="2">
        <f>IF(R154="","",IF(COUNTIFS($C$5:$C$3004,R154,$O$5:$O$3004,"EM ANDAMENTO",$N$5:$N$3004,"&gt;=-1")=0,"",_xlfn.MAXIFS($N$5:$N$3004,$C$5:$C$3004,R154,$O$5:$O$3004,"EM ANDAMENTO")))</f>
        <v/>
      </c>
      <c r="AA154" s="2">
        <f>IF(OR(R154="",S154="",U154&lt;&gt;"SIM",V154=0),"",IF(W154+X154=0,"",T154&amp;": "&amp;IF(W154=V154,"concluído",IF(W154=0,"em execução"&amp;IF(Z154&lt;&gt;""," ("&amp;IF(Z154=-1,"subsolo",IF(Z154=0,"térreo",Z154&amp;"º pav."))&amp;")",""),IF(Y154&lt;&gt;"","até "&amp;IF(Y154=-1,"subsolo",IF(Y154=0,"térreo",Y154&amp;"º pav.")),W154&amp;" de "&amp;V154&amp;" concluídas")&amp;IF(Z154="","",IF(OR(Y154="",Z154&gt;Y154),", executando "&amp;IF(Z154=-1,"subsolo",IF(Z154=0,"térreo",Z154&amp;"º pav."))," (restam serviços no "&amp;IF(Z154=-1,"subsolo",IF(Z154=0,"térreo",Z154&amp;"º pav."))&amp;")"))))))</f>
        <v/>
      </c>
    </row>
    <row r="155">
      <c r="M155" s="2">
        <f>IF(C155="","",IFERROR(INDEX($S$5:$S$304,MATCH(C155,$R$5:$R$304,0))&amp;"","?"))</f>
        <v/>
      </c>
      <c r="N155" s="2">
        <f>IF(E155="","",IF(LEFT(E155,7)="SUBSOLO",-1,IF(LEFT(E155,6)="TÉRREO",0,IFERROR(VALUE(LEFT(E155,FIND("º",SUBSTITUTE(E155,"°","º"))-1)),""))))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5" t="inlineStr">
        <is>
          <t>LIMPEZA</t>
        </is>
      </c>
      <c r="S155" s="5" t="inlineStr">
        <is>
          <t>37</t>
        </is>
      </c>
      <c r="T155" s="5" t="inlineStr">
        <is>
          <t>Limpeza</t>
        </is>
      </c>
      <c r="U155" s="5" t="inlineStr">
        <is>
          <t>SIM</t>
        </is>
      </c>
      <c r="V155" s="2">
        <f>IF(R155="","",COUNTIF($C$5:$C$3004,R155))</f>
        <v/>
      </c>
      <c r="W155" s="2">
        <f>IF(R155="","",COUNTIFS($C$5:$C$3004,R155,$O$5:$O$3004,"CONCLUÍDA"))</f>
        <v/>
      </c>
      <c r="X155" s="2">
        <f>IF(R155="","",COUNTIFS($C$5:$C$3004,R155,$O$5:$O$3004,"EM ANDAMENTO"))</f>
        <v/>
      </c>
      <c r="Y155" s="2">
        <f>IF(R155="","",IF(COUNTIFS($C$5:$C$3004,R155,$O$5:$O$3004,"CONCLUÍDA",$N$5:$N$3004,"&gt;=-1")=0,"",_xlfn.MAXIFS($N$5:$N$3004,$C$5:$C$3004,R155,$O$5:$O$3004,"CONCLUÍDA")))</f>
        <v/>
      </c>
      <c r="Z155" s="2">
        <f>IF(R155="","",IF(COUNTIFS($C$5:$C$3004,R155,$O$5:$O$3004,"EM ANDAMENTO",$N$5:$N$3004,"&gt;=-1")=0,"",_xlfn.MAXIFS($N$5:$N$3004,$C$5:$C$3004,R155,$O$5:$O$3004,"EM ANDAMENTO")))</f>
        <v/>
      </c>
      <c r="AA155" s="2">
        <f>IF(OR(R155="",S155="",U155&lt;&gt;"SIM",V155=0),"",IF(W155+X155=0,"",T155&amp;": "&amp;IF(W155=V155,"concluído",IF(W155=0,"em execução"&amp;IF(Z155&lt;&gt;""," ("&amp;IF(Z155=-1,"subsolo",IF(Z155=0,"térreo",Z155&amp;"º pav."))&amp;")",""),IF(Y155&lt;&gt;"","até "&amp;IF(Y155=-1,"subsolo",IF(Y155=0,"térreo",Y155&amp;"º pav.")),W155&amp;" de "&amp;V155&amp;" concluídas")&amp;IF(Z155="","",IF(OR(Y155="",Z155&gt;Y155),", executando "&amp;IF(Z155=-1,"subsolo",IF(Z155=0,"térreo",Z155&amp;"º pav."))," (restam serviços no "&amp;IF(Z155=-1,"subsolo",IF(Z155=0,"térreo",Z155&amp;"º pav."))&amp;")"))))))</f>
        <v/>
      </c>
    </row>
    <row r="156">
      <c r="M156" s="2">
        <f>IF(C156="","",IFERROR(INDEX($S$5:$S$304,MATCH(C156,$R$5:$R$304,0))&amp;"","?"))</f>
        <v/>
      </c>
      <c r="N156" s="2">
        <f>IF(E156="","",IF(LEFT(E156,7)="SUBSOLO",-1,IF(LEFT(E156,6)="TÉRREO",0,IFERROR(VALUE(LEFT(E156,FIND("º",SUBSTITUTE(E156,"°","º"))-1)),""))))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5" t="inlineStr">
        <is>
          <t>MONTAGEM - ELEVADOR 2</t>
        </is>
      </c>
      <c r="S156" s="5" t="inlineStr">
        <is>
          <t>24</t>
        </is>
      </c>
      <c r="T156" s="5" t="inlineStr">
        <is>
          <t>Montagem - elevador 2</t>
        </is>
      </c>
      <c r="U156" s="5" t="inlineStr">
        <is>
          <t>SIM</t>
        </is>
      </c>
      <c r="V156" s="2">
        <f>IF(R156="","",COUNTIF($C$5:$C$3004,R156))</f>
        <v/>
      </c>
      <c r="W156" s="2">
        <f>IF(R156="","",COUNTIFS($C$5:$C$3004,R156,$O$5:$O$3004,"CONCLUÍDA"))</f>
        <v/>
      </c>
      <c r="X156" s="2">
        <f>IF(R156="","",COUNTIFS($C$5:$C$3004,R156,$O$5:$O$3004,"EM ANDAMENTO"))</f>
        <v/>
      </c>
      <c r="Y156" s="2">
        <f>IF(R156="","",IF(COUNTIFS($C$5:$C$3004,R156,$O$5:$O$3004,"CONCLUÍDA",$N$5:$N$3004,"&gt;=-1")=0,"",_xlfn.MAXIFS($N$5:$N$3004,$C$5:$C$3004,R156,$O$5:$O$3004,"CONCLUÍDA")))</f>
        <v/>
      </c>
      <c r="Z156" s="2">
        <f>IF(R156="","",IF(COUNTIFS($C$5:$C$3004,R156,$O$5:$O$3004,"EM ANDAMENTO",$N$5:$N$3004,"&gt;=-1")=0,"",_xlfn.MAXIFS($N$5:$N$3004,$C$5:$C$3004,R156,$O$5:$O$3004,"EM ANDAMENTO")))</f>
        <v/>
      </c>
      <c r="AA156" s="2">
        <f>IF(OR(R156="",S156="",U156&lt;&gt;"SIM",V156=0),"",IF(W156+X156=0,"",T156&amp;": "&amp;IF(W156=V156,"concluído",IF(W156=0,"em execução"&amp;IF(Z156&lt;&gt;""," ("&amp;IF(Z156=-1,"subsolo",IF(Z156=0,"térreo",Z156&amp;"º pav."))&amp;")",""),IF(Y156&lt;&gt;"","até "&amp;IF(Y156=-1,"subsolo",IF(Y156=0,"térreo",Y156&amp;"º pav.")),W156&amp;" de "&amp;V156&amp;" concluídas")&amp;IF(Z156="","",IF(OR(Y156="",Z156&gt;Y156),", executando "&amp;IF(Z156=-1,"subsolo",IF(Z156=0,"térreo",Z156&amp;"º pav."))," (restam serviços no "&amp;IF(Z156=-1,"subsolo",IF(Z156=0,"térreo",Z156&amp;"º pav."))&amp;")"))))))</f>
        <v/>
      </c>
    </row>
    <row r="157">
      <c r="M157" s="2">
        <f>IF(C157="","",IFERROR(INDEX($S$5:$S$304,MATCH(C157,$R$5:$R$304,0))&amp;"","?"))</f>
        <v/>
      </c>
      <c r="N157" s="2">
        <f>IF(E157="","",IF(LEFT(E157,7)="SUBSOLO",-1,IF(LEFT(E157,6)="TÉRREO",0,IFERROR(VALUE(LEFT(E157,FIND("º",SUBSTITUTE(E157,"°","º"))-1)),""))))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5" t="inlineStr">
        <is>
          <t>PEITORIS E REQUADROS DE FACHADA - F5 (2º ETAPA)</t>
        </is>
      </c>
      <c r="S157" s="5" t="inlineStr">
        <is>
          <t>32</t>
        </is>
      </c>
      <c r="T157" s="5" t="inlineStr">
        <is>
          <t>Peitoris e requadros de fachada - F5 (2º etapa)</t>
        </is>
      </c>
      <c r="U157" s="5" t="inlineStr">
        <is>
          <t>SIM</t>
        </is>
      </c>
      <c r="V157" s="2">
        <f>IF(R157="","",COUNTIF($C$5:$C$3004,R157))</f>
        <v/>
      </c>
      <c r="W157" s="2">
        <f>IF(R157="","",COUNTIFS($C$5:$C$3004,R157,$O$5:$O$3004,"CONCLUÍDA"))</f>
        <v/>
      </c>
      <c r="X157" s="2">
        <f>IF(R157="","",COUNTIFS($C$5:$C$3004,R157,$O$5:$O$3004,"EM ANDAMENTO"))</f>
        <v/>
      </c>
      <c r="Y157" s="2">
        <f>IF(R157="","",IF(COUNTIFS($C$5:$C$3004,R157,$O$5:$O$3004,"CONCLUÍDA",$N$5:$N$3004,"&gt;=-1")=0,"",_xlfn.MAXIFS($N$5:$N$3004,$C$5:$C$3004,R157,$O$5:$O$3004,"CONCLUÍDA")))</f>
        <v/>
      </c>
      <c r="Z157" s="2">
        <f>IF(R157="","",IF(COUNTIFS($C$5:$C$3004,R157,$O$5:$O$3004,"EM ANDAMENTO",$N$5:$N$3004,"&gt;=-1")=0,"",_xlfn.MAXIFS($N$5:$N$3004,$C$5:$C$3004,R157,$O$5:$O$3004,"EM ANDAMENTO")))</f>
        <v/>
      </c>
      <c r="AA157" s="2">
        <f>IF(OR(R157="",S157="",U157&lt;&gt;"SIM",V157=0),"",IF(W157+X157=0,"",T157&amp;": "&amp;IF(W157=V157,"concluído",IF(W157=0,"em execução"&amp;IF(Z157&lt;&gt;""," ("&amp;IF(Z157=-1,"subsolo",IF(Z157=0,"térreo",Z157&amp;"º pav."))&amp;")",""),IF(Y157&lt;&gt;"","até "&amp;IF(Y157=-1,"subsolo",IF(Y157=0,"térreo",Y157&amp;"º pav.")),W157&amp;" de "&amp;V157&amp;" concluídas")&amp;IF(Z157="","",IF(OR(Y157="",Z157&gt;Y157),", executando "&amp;IF(Z157=-1,"subsolo",IF(Z157=0,"térreo",Z157&amp;"º pav."))," (restam serviços no "&amp;IF(Z157=-1,"subsolo",IF(Z157=0,"térreo",Z157&amp;"º pav."))&amp;")"))))))</f>
        <v/>
      </c>
    </row>
    <row r="158">
      <c r="M158" s="2">
        <f>IF(C158="","",IFERROR(INDEX($S$5:$S$304,MATCH(C158,$R$5:$R$304,0))&amp;"","?"))</f>
        <v/>
      </c>
      <c r="N158" s="2">
        <f>IF(E158="","",IF(LEFT(E158,7)="SUBSOLO",-1,IF(LEFT(E158,6)="TÉRREO",0,IFERROR(VALUE(LEFT(E158,FIND("º",SUBSTITUTE(E158,"°","º"))-1)),""))))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5" t="inlineStr">
        <is>
          <t>MONTAGEM - BOILERS E AQUECEDORES</t>
        </is>
      </c>
      <c r="S158" s="5" t="inlineStr">
        <is>
          <t>21</t>
        </is>
      </c>
      <c r="T158" s="5" t="inlineStr">
        <is>
          <t>Montagem - boilers e aquecedores</t>
        </is>
      </c>
      <c r="U158" s="5" t="inlineStr">
        <is>
          <t>NÃO</t>
        </is>
      </c>
      <c r="V158" s="2">
        <f>IF(R158="","",COUNTIF($C$5:$C$3004,R158))</f>
        <v/>
      </c>
      <c r="W158" s="2">
        <f>IF(R158="","",COUNTIFS($C$5:$C$3004,R158,$O$5:$O$3004,"CONCLUÍDA"))</f>
        <v/>
      </c>
      <c r="X158" s="2">
        <f>IF(R158="","",COUNTIFS($C$5:$C$3004,R158,$O$5:$O$3004,"EM ANDAMENTO"))</f>
        <v/>
      </c>
      <c r="Y158" s="2">
        <f>IF(R158="","",IF(COUNTIFS($C$5:$C$3004,R158,$O$5:$O$3004,"CONCLUÍDA",$N$5:$N$3004,"&gt;=-1")=0,"",_xlfn.MAXIFS($N$5:$N$3004,$C$5:$C$3004,R158,$O$5:$O$3004,"CONCLUÍDA")))</f>
        <v/>
      </c>
      <c r="Z158" s="2">
        <f>IF(R158="","",IF(COUNTIFS($C$5:$C$3004,R158,$O$5:$O$3004,"EM ANDAMENTO",$N$5:$N$3004,"&gt;=-1")=0,"",_xlfn.MAXIFS($N$5:$N$3004,$C$5:$C$3004,R158,$O$5:$O$3004,"EM ANDAMENTO")))</f>
        <v/>
      </c>
      <c r="AA158" s="2">
        <f>IF(OR(R158="",S158="",U158&lt;&gt;"SIM",V158=0),"",IF(W158+X158=0,"",T158&amp;": "&amp;IF(W158=V158,"concluído",IF(W158=0,"em execução"&amp;IF(Z158&lt;&gt;""," ("&amp;IF(Z158=-1,"subsolo",IF(Z158=0,"térreo",Z158&amp;"º pav."))&amp;")",""),IF(Y158&lt;&gt;"","até "&amp;IF(Y158=-1,"subsolo",IF(Y158=0,"térreo",Y158&amp;"º pav.")),W158&amp;" de "&amp;V158&amp;" concluídas")&amp;IF(Z158="","",IF(OR(Y158="",Z158&gt;Y158),", executando "&amp;IF(Z158=-1,"subsolo",IF(Z158=0,"térreo",Z158&amp;"º pav."))," (restam serviços no "&amp;IF(Z158=-1,"subsolo",IF(Z158=0,"térreo",Z158&amp;"º pav."))&amp;")"))))))</f>
        <v/>
      </c>
    </row>
    <row r="159">
      <c r="M159" s="2">
        <f>IF(C159="","",IFERROR(INDEX($S$5:$S$304,MATCH(C159,$R$5:$R$304,0))&amp;"","?"))</f>
        <v/>
      </c>
      <c r="N159" s="2">
        <f>IF(E159="","",IF(LEFT(E159,7)="SUBSOLO",-1,IF(LEFT(E159,6)="TÉRREO",0,IFERROR(VALUE(LEFT(E159,FIND("º",SUBSTITUTE(E159,"°","º"))-1)),""))))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5" t="inlineStr">
        <is>
          <t>BRISE</t>
        </is>
      </c>
      <c r="S159" s="5" t="inlineStr">
        <is>
          <t>25</t>
        </is>
      </c>
      <c r="T159" s="5" t="inlineStr">
        <is>
          <t>Brise</t>
        </is>
      </c>
      <c r="U159" s="5" t="inlineStr">
        <is>
          <t>NÃO</t>
        </is>
      </c>
      <c r="V159" s="2">
        <f>IF(R159="","",COUNTIF($C$5:$C$3004,R159))</f>
        <v/>
      </c>
      <c r="W159" s="2">
        <f>IF(R159="","",COUNTIFS($C$5:$C$3004,R159,$O$5:$O$3004,"CONCLUÍDA"))</f>
        <v/>
      </c>
      <c r="X159" s="2">
        <f>IF(R159="","",COUNTIFS($C$5:$C$3004,R159,$O$5:$O$3004,"EM ANDAMENTO"))</f>
        <v/>
      </c>
      <c r="Y159" s="2">
        <f>IF(R159="","",IF(COUNTIFS($C$5:$C$3004,R159,$O$5:$O$3004,"CONCLUÍDA",$N$5:$N$3004,"&gt;=-1")=0,"",_xlfn.MAXIFS($N$5:$N$3004,$C$5:$C$3004,R159,$O$5:$O$3004,"CONCLUÍDA")))</f>
        <v/>
      </c>
      <c r="Z159" s="2">
        <f>IF(R159="","",IF(COUNTIFS($C$5:$C$3004,R159,$O$5:$O$3004,"EM ANDAMENTO",$N$5:$N$3004,"&gt;=-1")=0,"",_xlfn.MAXIFS($N$5:$N$3004,$C$5:$C$3004,R159,$O$5:$O$3004,"EM ANDAMENTO")))</f>
        <v/>
      </c>
      <c r="AA159" s="2">
        <f>IF(OR(R159="",S159="",U159&lt;&gt;"SIM",V159=0),"",IF(W159+X159=0,"",T159&amp;": "&amp;IF(W159=V159,"concluído",IF(W159=0,"em execução"&amp;IF(Z159&lt;&gt;""," ("&amp;IF(Z159=-1,"subsolo",IF(Z159=0,"térreo",Z159&amp;"º pav."))&amp;")",""),IF(Y159&lt;&gt;"","até "&amp;IF(Y159=-1,"subsolo",IF(Y159=0,"térreo",Y159&amp;"º pav.")),W159&amp;" de "&amp;V159&amp;" concluídas")&amp;IF(Z159="","",IF(OR(Y159="",Z159&gt;Y159),", executando "&amp;IF(Z159=-1,"subsolo",IF(Z159=0,"térreo",Z159&amp;"º pav."))," (restam serviços no "&amp;IF(Z159=-1,"subsolo",IF(Z159=0,"térreo",Z159&amp;"º pav."))&amp;")"))))))</f>
        <v/>
      </c>
    </row>
    <row r="160">
      <c r="M160" s="2">
        <f>IF(C160="","",IFERROR(INDEX($S$5:$S$304,MATCH(C160,$R$5:$R$304,0))&amp;"","?"))</f>
        <v/>
      </c>
      <c r="N160" s="2">
        <f>IF(E160="","",IF(LEFT(E160,7)="SUBSOLO",-1,IF(LEFT(E160,6)="TÉRREO",0,IFERROR(VALUE(LEFT(E160,FIND("º",SUBSTITUTE(E160,"°","º"))-1)),""))))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5" t="inlineStr">
        <is>
          <t>EQUIPAMENTOS - PISCINA</t>
        </is>
      </c>
      <c r="S160" s="5" t="inlineStr">
        <is>
          <t>23</t>
        </is>
      </c>
      <c r="T160" s="5" t="inlineStr">
        <is>
          <t>Equipamentos - piscina</t>
        </is>
      </c>
      <c r="U160" s="5" t="inlineStr">
        <is>
          <t>NÃO</t>
        </is>
      </c>
      <c r="V160" s="2">
        <f>IF(R160="","",COUNTIF($C$5:$C$3004,R160))</f>
        <v/>
      </c>
      <c r="W160" s="2">
        <f>IF(R160="","",COUNTIFS($C$5:$C$3004,R160,$O$5:$O$3004,"CONCLUÍDA"))</f>
        <v/>
      </c>
      <c r="X160" s="2">
        <f>IF(R160="","",COUNTIFS($C$5:$C$3004,R160,$O$5:$O$3004,"EM ANDAMENTO"))</f>
        <v/>
      </c>
      <c r="Y160" s="2">
        <f>IF(R160="","",IF(COUNTIFS($C$5:$C$3004,R160,$O$5:$O$3004,"CONCLUÍDA",$N$5:$N$3004,"&gt;=-1")=0,"",_xlfn.MAXIFS($N$5:$N$3004,$C$5:$C$3004,R160,$O$5:$O$3004,"CONCLUÍDA")))</f>
        <v/>
      </c>
      <c r="Z160" s="2">
        <f>IF(R160="","",IF(COUNTIFS($C$5:$C$3004,R160,$O$5:$O$3004,"EM ANDAMENTO",$N$5:$N$3004,"&gt;=-1")=0,"",_xlfn.MAXIFS($N$5:$N$3004,$C$5:$C$3004,R160,$O$5:$O$3004,"EM ANDAMENTO")))</f>
        <v/>
      </c>
      <c r="AA160" s="2">
        <f>IF(OR(R160="",S160="",U160&lt;&gt;"SIM",V160=0),"",IF(W160+X160=0,"",T160&amp;": "&amp;IF(W160=V160,"concluído",IF(W160=0,"em execução"&amp;IF(Z160&lt;&gt;""," ("&amp;IF(Z160=-1,"subsolo",IF(Z160=0,"térreo",Z160&amp;"º pav."))&amp;")",""),IF(Y160&lt;&gt;"","até "&amp;IF(Y160=-1,"subsolo",IF(Y160=0,"térreo",Y160&amp;"º pav.")),W160&amp;" de "&amp;V160&amp;" concluídas")&amp;IF(Z160="","",IF(OR(Y160="",Z160&gt;Y160),", executando "&amp;IF(Z160=-1,"subsolo",IF(Z160=0,"térreo",Z160&amp;"º pav."))," (restam serviços no "&amp;IF(Z160=-1,"subsolo",IF(Z160=0,"térreo",Z160&amp;"º pav."))&amp;")"))))))</f>
        <v/>
      </c>
    </row>
    <row r="161">
      <c r="M161" s="2">
        <f>IF(C161="","",IFERROR(INDEX($S$5:$S$304,MATCH(C161,$R$5:$R$304,0))&amp;"","?"))</f>
        <v/>
      </c>
      <c r="N161" s="2">
        <f>IF(E161="","",IF(LEFT(E161,7)="SUBSOLO",-1,IF(LEFT(E161,6)="TÉRREO",0,IFERROR(VALUE(LEFT(E161,FIND("º",SUBSTITUTE(E161,"°","º"))-1)),""))))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5" t="inlineStr">
        <is>
          <t>SPDA</t>
        </is>
      </c>
      <c r="S161" s="5" t="inlineStr">
        <is>
          <t>20</t>
        </is>
      </c>
      <c r="T161" s="5" t="inlineStr">
        <is>
          <t>Spda</t>
        </is>
      </c>
      <c r="U161" s="5" t="inlineStr">
        <is>
          <t>NÃO</t>
        </is>
      </c>
      <c r="V161" s="2">
        <f>IF(R161="","",COUNTIF($C$5:$C$3004,R161))</f>
        <v/>
      </c>
      <c r="W161" s="2">
        <f>IF(R161="","",COUNTIFS($C$5:$C$3004,R161,$O$5:$O$3004,"CONCLUÍDA"))</f>
        <v/>
      </c>
      <c r="X161" s="2">
        <f>IF(R161="","",COUNTIFS($C$5:$C$3004,R161,$O$5:$O$3004,"EM ANDAMENTO"))</f>
        <v/>
      </c>
      <c r="Y161" s="2">
        <f>IF(R161="","",IF(COUNTIFS($C$5:$C$3004,R161,$O$5:$O$3004,"CONCLUÍDA",$N$5:$N$3004,"&gt;=-1")=0,"",_xlfn.MAXIFS($N$5:$N$3004,$C$5:$C$3004,R161,$O$5:$O$3004,"CONCLUÍDA")))</f>
        <v/>
      </c>
      <c r="Z161" s="2">
        <f>IF(R161="","",IF(COUNTIFS($C$5:$C$3004,R161,$O$5:$O$3004,"EM ANDAMENTO",$N$5:$N$3004,"&gt;=-1")=0,"",_xlfn.MAXIFS($N$5:$N$3004,$C$5:$C$3004,R161,$O$5:$O$3004,"EM ANDAMENTO")))</f>
        <v/>
      </c>
      <c r="AA161" s="2">
        <f>IF(OR(R161="",S161="",U161&lt;&gt;"SIM",V161=0),"",IF(W161+X161=0,"",T161&amp;": "&amp;IF(W161=V161,"concluído",IF(W161=0,"em execução"&amp;IF(Z161&lt;&gt;""," ("&amp;IF(Z161=-1,"subsolo",IF(Z161=0,"térreo",Z161&amp;"º pav."))&amp;")",""),IF(Y161&lt;&gt;"","até "&amp;IF(Y161=-1,"subsolo",IF(Y161=0,"térreo",Y161&amp;"º pav.")),W161&amp;" de "&amp;V161&amp;" concluídas")&amp;IF(Z161="","",IF(OR(Y161="",Z161&gt;Y161),", executando "&amp;IF(Z161=-1,"subsolo",IF(Z161=0,"térreo",Z161&amp;"º pav."))," (restam serviços no "&amp;IF(Z161=-1,"subsolo",IF(Z161=0,"térreo",Z161&amp;"º pav."))&amp;")"))))))</f>
        <v/>
      </c>
    </row>
    <row r="162">
      <c r="M162" s="2">
        <f>IF(C162="","",IFERROR(INDEX($S$5:$S$304,MATCH(C162,$R$5:$R$304,0))&amp;"","?"))</f>
        <v/>
      </c>
      <c r="N162" s="2">
        <f>IF(E162="","",IF(LEFT(E162,7)="SUBSOLO",-1,IF(LEFT(E162,6)="TÉRREO",0,IFERROR(VALUE(LEFT(E162,FIND("º",SUBSTITUTE(E162,"°","º"))-1)),""))))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5" t="inlineStr">
        <is>
          <t>TRATAMENTO DE CONCRETO APARENTE - F3 + F4</t>
        </is>
      </c>
      <c r="S162" s="5" t="inlineStr">
        <is>
          <t>35</t>
        </is>
      </c>
      <c r="T162" s="5" t="inlineStr">
        <is>
          <t>Tratamento de concreto aparente - F3 + F4</t>
        </is>
      </c>
      <c r="U162" s="5" t="inlineStr">
        <is>
          <t>NÃO</t>
        </is>
      </c>
      <c r="V162" s="2">
        <f>IF(R162="","",COUNTIF($C$5:$C$3004,R162))</f>
        <v/>
      </c>
      <c r="W162" s="2">
        <f>IF(R162="","",COUNTIFS($C$5:$C$3004,R162,$O$5:$O$3004,"CONCLUÍDA"))</f>
        <v/>
      </c>
      <c r="X162" s="2">
        <f>IF(R162="","",COUNTIFS($C$5:$C$3004,R162,$O$5:$O$3004,"EM ANDAMENTO"))</f>
        <v/>
      </c>
      <c r="Y162" s="2">
        <f>IF(R162="","",IF(COUNTIFS($C$5:$C$3004,R162,$O$5:$O$3004,"CONCLUÍDA",$N$5:$N$3004,"&gt;=-1")=0,"",_xlfn.MAXIFS($N$5:$N$3004,$C$5:$C$3004,R162,$O$5:$O$3004,"CONCLUÍDA")))</f>
        <v/>
      </c>
      <c r="Z162" s="2">
        <f>IF(R162="","",IF(COUNTIFS($C$5:$C$3004,R162,$O$5:$O$3004,"EM ANDAMENTO",$N$5:$N$3004,"&gt;=-1")=0,"",_xlfn.MAXIFS($N$5:$N$3004,$C$5:$C$3004,R162,$O$5:$O$3004,"EM ANDAMENTO")))</f>
        <v/>
      </c>
      <c r="AA162" s="2">
        <f>IF(OR(R162="",S162="",U162&lt;&gt;"SIM",V162=0),"",IF(W162+X162=0,"",T162&amp;": "&amp;IF(W162=V162,"concluído",IF(W162=0,"em execução"&amp;IF(Z162&lt;&gt;""," ("&amp;IF(Z162=-1,"subsolo",IF(Z162=0,"térreo",Z162&amp;"º pav."))&amp;")",""),IF(Y162&lt;&gt;"","até "&amp;IF(Y162=-1,"subsolo",IF(Y162=0,"térreo",Y162&amp;"º pav.")),W162&amp;" de "&amp;V162&amp;" concluídas")&amp;IF(Z162="","",IF(OR(Y162="",Z162&gt;Y162),", executando "&amp;IF(Z162=-1,"subsolo",IF(Z162=0,"térreo",Z162&amp;"º pav."))," (restam serviços no "&amp;IF(Z162=-1,"subsolo",IF(Z162=0,"térreo",Z162&amp;"º pav."))&amp;")"))))))</f>
        <v/>
      </c>
    </row>
    <row r="163">
      <c r="M163" s="2">
        <f>IF(C163="","",IFERROR(INDEX($S$5:$S$304,MATCH(C163,$R$5:$R$304,0))&amp;"","?"))</f>
        <v/>
      </c>
      <c r="N163" s="2">
        <f>IF(E163="","",IF(LEFT(E163,7)="SUBSOLO",-1,IF(LEFT(E163,6)="TÉRREO",0,IFERROR(VALUE(LEFT(E163,FIND("º",SUBSTITUTE(E163,"°","º"))-1)),""))))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5" t="inlineStr">
        <is>
          <t>QUADRA DE RECREAÇÃO</t>
        </is>
      </c>
      <c r="S163" s="5" t="inlineStr">
        <is>
          <t>31</t>
        </is>
      </c>
      <c r="T163" s="5" t="inlineStr">
        <is>
          <t>Quadra de recreação</t>
        </is>
      </c>
      <c r="U163" s="5" t="inlineStr">
        <is>
          <t>SIM</t>
        </is>
      </c>
      <c r="V163" s="2">
        <f>IF(R163="","",COUNTIF($C$5:$C$3004,R163))</f>
        <v/>
      </c>
      <c r="W163" s="2">
        <f>IF(R163="","",COUNTIFS($C$5:$C$3004,R163,$O$5:$O$3004,"CONCLUÍDA"))</f>
        <v/>
      </c>
      <c r="X163" s="2">
        <f>IF(R163="","",COUNTIFS($C$5:$C$3004,R163,$O$5:$O$3004,"EM ANDAMENTO"))</f>
        <v/>
      </c>
      <c r="Y163" s="2">
        <f>IF(R163="","",IF(COUNTIFS($C$5:$C$3004,R163,$O$5:$O$3004,"CONCLUÍDA",$N$5:$N$3004,"&gt;=-1")=0,"",_xlfn.MAXIFS($N$5:$N$3004,$C$5:$C$3004,R163,$O$5:$O$3004,"CONCLUÍDA")))</f>
        <v/>
      </c>
      <c r="Z163" s="2">
        <f>IF(R163="","",IF(COUNTIFS($C$5:$C$3004,R163,$O$5:$O$3004,"EM ANDAMENTO",$N$5:$N$3004,"&gt;=-1")=0,"",_xlfn.MAXIFS($N$5:$N$3004,$C$5:$C$3004,R163,$O$5:$O$3004,"EM ANDAMENTO")))</f>
        <v/>
      </c>
      <c r="AA163" s="2">
        <f>IF(OR(R163="",S163="",U163&lt;&gt;"SIM",V163=0),"",IF(W163+X163=0,"",T163&amp;": "&amp;IF(W163=V163,"concluído",IF(W163=0,"em execução"&amp;IF(Z163&lt;&gt;""," ("&amp;IF(Z163=-1,"subsolo",IF(Z163=0,"térreo",Z163&amp;"º pav."))&amp;")",""),IF(Y163&lt;&gt;"","até "&amp;IF(Y163=-1,"subsolo",IF(Y163=0,"térreo",Y163&amp;"º pav.")),W163&amp;" de "&amp;V163&amp;" concluídas")&amp;IF(Z163="","",IF(OR(Y163="",Z163&gt;Y163),", executando "&amp;IF(Z163=-1,"subsolo",IF(Z163=0,"térreo",Z163&amp;"º pav."))," (restam serviços no "&amp;IF(Z163=-1,"subsolo",IF(Z163=0,"térreo",Z163&amp;"º pav."))&amp;")"))))))</f>
        <v/>
      </c>
    </row>
    <row r="164">
      <c r="M164" s="2">
        <f>IF(C164="","",IFERROR(INDEX($S$5:$S$304,MATCH(C164,$R$5:$R$304,0))&amp;"","?"))</f>
        <v/>
      </c>
      <c r="N164" s="2">
        <f>IF(E164="","",IF(LEFT(E164,7)="SUBSOLO",-1,IF(LEFT(E164,6)="TÉRREO",0,IFERROR(VALUE(LEFT(E164,FIND("º",SUBSTITUTE(E164,"°","º"))-1)),""))))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5" t="inlineStr">
        <is>
          <t>INSTALAÇÃO DE SHADOWBOX E BRISES - F5</t>
        </is>
      </c>
      <c r="S164" s="5" t="inlineStr">
        <is>
          <t>25</t>
        </is>
      </c>
      <c r="T164" s="5" t="inlineStr">
        <is>
          <t>Shadowbox e brises - F5</t>
        </is>
      </c>
      <c r="U164" s="5" t="inlineStr">
        <is>
          <t>NÃO</t>
        </is>
      </c>
      <c r="V164" s="2">
        <f>IF(R164="","",COUNTIF($C$5:$C$3004,R164))</f>
        <v/>
      </c>
      <c r="W164" s="2">
        <f>IF(R164="","",COUNTIFS($C$5:$C$3004,R164,$O$5:$O$3004,"CONCLUÍDA"))</f>
        <v/>
      </c>
      <c r="X164" s="2">
        <f>IF(R164="","",COUNTIFS($C$5:$C$3004,R164,$O$5:$O$3004,"EM ANDAMENTO"))</f>
        <v/>
      </c>
      <c r="Y164" s="2">
        <f>IF(R164="","",IF(COUNTIFS($C$5:$C$3004,R164,$O$5:$O$3004,"CONCLUÍDA",$N$5:$N$3004,"&gt;=-1")=0,"",_xlfn.MAXIFS($N$5:$N$3004,$C$5:$C$3004,R164,$O$5:$O$3004,"CONCLUÍDA")))</f>
        <v/>
      </c>
      <c r="Z164" s="2">
        <f>IF(R164="","",IF(COUNTIFS($C$5:$C$3004,R164,$O$5:$O$3004,"EM ANDAMENTO",$N$5:$N$3004,"&gt;=-1")=0,"",_xlfn.MAXIFS($N$5:$N$3004,$C$5:$C$3004,R164,$O$5:$O$3004,"EM ANDAMENTO")))</f>
        <v/>
      </c>
      <c r="AA164" s="2">
        <f>IF(OR(R164="",S164="",U164&lt;&gt;"SIM",V164=0),"",IF(W164+X164=0,"",T164&amp;": "&amp;IF(W164=V164,"concluído",IF(W164=0,"em execução"&amp;IF(Z164&lt;&gt;""," ("&amp;IF(Z164=-1,"subsolo",IF(Z164=0,"térreo",Z164&amp;"º pav."))&amp;")",""),IF(Y164&lt;&gt;"","até "&amp;IF(Y164=-1,"subsolo",IF(Y164=0,"térreo",Y164&amp;"º pav.")),W164&amp;" de "&amp;V164&amp;" concluídas")&amp;IF(Z164="","",IF(OR(Y164="",Z164&gt;Y164),", executando "&amp;IF(Z164=-1,"subsolo",IF(Z164=0,"térreo",Z164&amp;"º pav."))," (restam serviços no "&amp;IF(Z164=-1,"subsolo",IF(Z164=0,"térreo",Z164&amp;"º pav."))&amp;")"))))))</f>
        <v/>
      </c>
    </row>
    <row r="165">
      <c r="M165" s="2">
        <f>IF(C165="","",IFERROR(INDEX($S$5:$S$304,MATCH(C165,$R$5:$R$304,0))&amp;"","?"))</f>
        <v/>
      </c>
      <c r="N165" s="2">
        <f>IF(E165="","",IF(LEFT(E165,7)="SUBSOLO",-1,IF(LEFT(E165,6)="TÉRREO",0,IFERROR(VALUE(LEFT(E165,FIND("º",SUBSTITUTE(E165,"°","º"))-1)),""))))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5" t="inlineStr">
        <is>
          <t>FACHADA EMBASAMENTO</t>
        </is>
      </c>
      <c r="S165" s="5" t="inlineStr">
        <is>
          <t>32</t>
        </is>
      </c>
      <c r="T165" s="5" t="inlineStr">
        <is>
          <t>Fachada embasamento</t>
        </is>
      </c>
      <c r="U165" s="5" t="inlineStr">
        <is>
          <t>SIM</t>
        </is>
      </c>
      <c r="V165" s="2">
        <f>IF(R165="","",COUNTIF($C$5:$C$3004,R165))</f>
        <v/>
      </c>
      <c r="W165" s="2">
        <f>IF(R165="","",COUNTIFS($C$5:$C$3004,R165,$O$5:$O$3004,"CONCLUÍDA"))</f>
        <v/>
      </c>
      <c r="X165" s="2">
        <f>IF(R165="","",COUNTIFS($C$5:$C$3004,R165,$O$5:$O$3004,"EM ANDAMENTO"))</f>
        <v/>
      </c>
      <c r="Y165" s="2">
        <f>IF(R165="","",IF(COUNTIFS($C$5:$C$3004,R165,$O$5:$O$3004,"CONCLUÍDA",$N$5:$N$3004,"&gt;=-1")=0,"",_xlfn.MAXIFS($N$5:$N$3004,$C$5:$C$3004,R165,$O$5:$O$3004,"CONCLUÍDA")))</f>
        <v/>
      </c>
      <c r="Z165" s="2">
        <f>IF(R165="","",IF(COUNTIFS($C$5:$C$3004,R165,$O$5:$O$3004,"EM ANDAMENTO",$N$5:$N$3004,"&gt;=-1")=0,"",_xlfn.MAXIFS($N$5:$N$3004,$C$5:$C$3004,R165,$O$5:$O$3004,"EM ANDAMENTO")))</f>
        <v/>
      </c>
      <c r="AA165" s="2">
        <f>IF(OR(R165="",S165="",U165&lt;&gt;"SIM",V165=0),"",IF(W165+X165=0,"",T165&amp;": "&amp;IF(W165=V165,"concluído",IF(W165=0,"em execução"&amp;IF(Z165&lt;&gt;""," ("&amp;IF(Z165=-1,"subsolo",IF(Z165=0,"térreo",Z165&amp;"º pav."))&amp;")",""),IF(Y165&lt;&gt;"","até "&amp;IF(Y165=-1,"subsolo",IF(Y165=0,"térreo",Y165&amp;"º pav.")),W165&amp;" de "&amp;V165&amp;" concluídas")&amp;IF(Z165="","",IF(OR(Y165="",Z165&gt;Y165),", executando "&amp;IF(Z165=-1,"subsolo",IF(Z165=0,"térreo",Z165&amp;"º pav."))," (restam serviços no "&amp;IF(Z165=-1,"subsolo",IF(Z165=0,"térreo",Z165&amp;"º pav."))&amp;")"))))))</f>
        <v/>
      </c>
    </row>
    <row r="166">
      <c r="M166" s="2">
        <f>IF(C166="","",IFERROR(INDEX($S$5:$S$304,MATCH(C166,$R$5:$R$304,0))&amp;"","?"))</f>
        <v/>
      </c>
      <c r="N166" s="2">
        <f>IF(E166="","",IF(LEFT(E166,7)="SUBSOLO",-1,IF(LEFT(E166,6)="TÉRREO",0,IFERROR(VALUE(LEFT(E166,FIND("º",SUBSTITUTE(E166,"°","º"))-1)),""))))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5" t="inlineStr">
        <is>
          <t>MONTAGEM - ELEVADOR 3</t>
        </is>
      </c>
      <c r="S166" s="5" t="inlineStr">
        <is>
          <t>24</t>
        </is>
      </c>
      <c r="T166" s="5" t="inlineStr">
        <is>
          <t>Montagem - elevador 3</t>
        </is>
      </c>
      <c r="U166" s="5" t="inlineStr">
        <is>
          <t>SIM</t>
        </is>
      </c>
      <c r="V166" s="2">
        <f>IF(R166="","",COUNTIF($C$5:$C$3004,R166))</f>
        <v/>
      </c>
      <c r="W166" s="2">
        <f>IF(R166="","",COUNTIFS($C$5:$C$3004,R166,$O$5:$O$3004,"CONCLUÍDA"))</f>
        <v/>
      </c>
      <c r="X166" s="2">
        <f>IF(R166="","",COUNTIFS($C$5:$C$3004,R166,$O$5:$O$3004,"EM ANDAMENTO"))</f>
        <v/>
      </c>
      <c r="Y166" s="2">
        <f>IF(R166="","",IF(COUNTIFS($C$5:$C$3004,R166,$O$5:$O$3004,"CONCLUÍDA",$N$5:$N$3004,"&gt;=-1")=0,"",_xlfn.MAXIFS($N$5:$N$3004,$C$5:$C$3004,R166,$O$5:$O$3004,"CONCLUÍDA")))</f>
        <v/>
      </c>
      <c r="Z166" s="2">
        <f>IF(R166="","",IF(COUNTIFS($C$5:$C$3004,R166,$O$5:$O$3004,"EM ANDAMENTO",$N$5:$N$3004,"&gt;=-1")=0,"",_xlfn.MAXIFS($N$5:$N$3004,$C$5:$C$3004,R166,$O$5:$O$3004,"EM ANDAMENTO")))</f>
        <v/>
      </c>
      <c r="AA166" s="2">
        <f>IF(OR(R166="",S166="",U166&lt;&gt;"SIM",V166=0),"",IF(W166+X166=0,"",T166&amp;": "&amp;IF(W166=V166,"concluído",IF(W166=0,"em execução"&amp;IF(Z166&lt;&gt;""," ("&amp;IF(Z166=-1,"subsolo",IF(Z166=0,"térreo",Z166&amp;"º pav."))&amp;")",""),IF(Y166&lt;&gt;"","até "&amp;IF(Y166=-1,"subsolo",IF(Y166=0,"térreo",Y166&amp;"º pav.")),W166&amp;" de "&amp;V166&amp;" concluídas")&amp;IF(Z166="","",IF(OR(Y166="",Z166&gt;Y166),", executando "&amp;IF(Z166=-1,"subsolo",IF(Z166=0,"térreo",Z166&amp;"º pav."))," (restam serviços no "&amp;IF(Z166=-1,"subsolo",IF(Z166=0,"térreo",Z166&amp;"º pav."))&amp;")"))))))</f>
        <v/>
      </c>
    </row>
    <row r="167">
      <c r="M167" s="2">
        <f>IF(C167="","",IFERROR(INDEX($S$5:$S$304,MATCH(C167,$R$5:$R$304,0))&amp;"","?"))</f>
        <v/>
      </c>
      <c r="N167" s="2">
        <f>IF(E167="","",IF(LEFT(E167,7)="SUBSOLO",-1,IF(LEFT(E167,6)="TÉRREO",0,IFERROR(VALUE(LEFT(E167,FIND("º",SUBSTITUTE(E167,"°","º"))-1)),""))))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5" t="inlineStr">
        <is>
          <t>PRESSURIZAÇÃO (INCÊNDIO)</t>
        </is>
      </c>
      <c r="S167" s="5" t="inlineStr">
        <is>
          <t>22</t>
        </is>
      </c>
      <c r="T167" s="5" t="inlineStr">
        <is>
          <t>Pressurização (incêndio)</t>
        </is>
      </c>
      <c r="U167" s="5" t="inlineStr">
        <is>
          <t>NÃO</t>
        </is>
      </c>
      <c r="V167" s="2">
        <f>IF(R167="","",COUNTIF($C$5:$C$3004,R167))</f>
        <v/>
      </c>
      <c r="W167" s="2">
        <f>IF(R167="","",COUNTIFS($C$5:$C$3004,R167,$O$5:$O$3004,"CONCLUÍDA"))</f>
        <v/>
      </c>
      <c r="X167" s="2">
        <f>IF(R167="","",COUNTIFS($C$5:$C$3004,R167,$O$5:$O$3004,"EM ANDAMENTO"))</f>
        <v/>
      </c>
      <c r="Y167" s="2">
        <f>IF(R167="","",IF(COUNTIFS($C$5:$C$3004,R167,$O$5:$O$3004,"CONCLUÍDA",$N$5:$N$3004,"&gt;=-1")=0,"",_xlfn.MAXIFS($N$5:$N$3004,$C$5:$C$3004,R167,$O$5:$O$3004,"CONCLUÍDA")))</f>
        <v/>
      </c>
      <c r="Z167" s="2">
        <f>IF(R167="","",IF(COUNTIFS($C$5:$C$3004,R167,$O$5:$O$3004,"EM ANDAMENTO",$N$5:$N$3004,"&gt;=-1")=0,"",_xlfn.MAXIFS($N$5:$N$3004,$C$5:$C$3004,R167,$O$5:$O$3004,"EM ANDAMENTO")))</f>
        <v/>
      </c>
      <c r="AA167" s="2">
        <f>IF(OR(R167="",S167="",U167&lt;&gt;"SIM",V167=0),"",IF(W167+X167=0,"",T167&amp;": "&amp;IF(W167=V167,"concluído",IF(W167=0,"em execução"&amp;IF(Z167&lt;&gt;""," ("&amp;IF(Z167=-1,"subsolo",IF(Z167=0,"térreo",Z167&amp;"º pav."))&amp;")",""),IF(Y167&lt;&gt;"","até "&amp;IF(Y167=-1,"subsolo",IF(Y167=0,"térreo",Y167&amp;"º pav.")),W167&amp;" de "&amp;V167&amp;" concluídas")&amp;IF(Z167="","",IF(OR(Y167="",Z167&gt;Y167),", executando "&amp;IF(Z167=-1,"subsolo",IF(Z167=0,"térreo",Z167&amp;"º pav."))," (restam serviços no "&amp;IF(Z167=-1,"subsolo",IF(Z167=0,"térreo",Z167&amp;"º pav."))&amp;")"))))))</f>
        <v/>
      </c>
    </row>
    <row r="168">
      <c r="M168" s="2">
        <f>IF(C168="","",IFERROR(INDEX($S$5:$S$304,MATCH(C168,$R$5:$R$304,0))&amp;"","?"))</f>
        <v/>
      </c>
      <c r="N168" s="2">
        <f>IF(E168="","",IF(LEFT(E168,7)="SUBSOLO",-1,IF(LEFT(E168,6)="TÉRREO",0,IFERROR(VALUE(LEFT(E168,FIND("º",SUBSTITUTE(E168,"°","º"))-1)),""))))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5" t="inlineStr">
        <is>
          <t>PISO ELEVADO</t>
        </is>
      </c>
      <c r="S168" s="5" t="inlineStr">
        <is>
          <t>30</t>
        </is>
      </c>
      <c r="T168" s="5" t="inlineStr">
        <is>
          <t>Piso elevado</t>
        </is>
      </c>
      <c r="U168" s="5" t="inlineStr">
        <is>
          <t>NÃO</t>
        </is>
      </c>
      <c r="V168" s="2">
        <f>IF(R168="","",COUNTIF($C$5:$C$3004,R168))</f>
        <v/>
      </c>
      <c r="W168" s="2">
        <f>IF(R168="","",COUNTIFS($C$5:$C$3004,R168,$O$5:$O$3004,"CONCLUÍDA"))</f>
        <v/>
      </c>
      <c r="X168" s="2">
        <f>IF(R168="","",COUNTIFS($C$5:$C$3004,R168,$O$5:$O$3004,"EM ANDAMENTO"))</f>
        <v/>
      </c>
      <c r="Y168" s="2">
        <f>IF(R168="","",IF(COUNTIFS($C$5:$C$3004,R168,$O$5:$O$3004,"CONCLUÍDA",$N$5:$N$3004,"&gt;=-1")=0,"",_xlfn.MAXIFS($N$5:$N$3004,$C$5:$C$3004,R168,$O$5:$O$3004,"CONCLUÍDA")))</f>
        <v/>
      </c>
      <c r="Z168" s="2">
        <f>IF(R168="","",IF(COUNTIFS($C$5:$C$3004,R168,$O$5:$O$3004,"EM ANDAMENTO",$N$5:$N$3004,"&gt;=-1")=0,"",_xlfn.MAXIFS($N$5:$N$3004,$C$5:$C$3004,R168,$O$5:$O$3004,"EM ANDAMENTO")))</f>
        <v/>
      </c>
      <c r="AA168" s="2">
        <f>IF(OR(R168="",S168="",U168&lt;&gt;"SIM",V168=0),"",IF(W168+X168=0,"",T168&amp;": "&amp;IF(W168=V168,"concluído",IF(W168=0,"em execução"&amp;IF(Z168&lt;&gt;""," ("&amp;IF(Z168=-1,"subsolo",IF(Z168=0,"térreo",Z168&amp;"º pav."))&amp;")",""),IF(Y168&lt;&gt;"","até "&amp;IF(Y168=-1,"subsolo",IF(Y168=0,"térreo",Y168&amp;"º pav.")),W168&amp;" de "&amp;V168&amp;" concluídas")&amp;IF(Z168="","",IF(OR(Y168="",Z168&gt;Y168),", executando "&amp;IF(Z168=-1,"subsolo",IF(Z168=0,"térreo",Z168&amp;"º pav."))," (restam serviços no "&amp;IF(Z168=-1,"subsolo",IF(Z168=0,"térreo",Z168&amp;"º pav."))&amp;")"))))))</f>
        <v/>
      </c>
    </row>
    <row r="169">
      <c r="M169" s="2">
        <f>IF(C169="","",IFERROR(INDEX($S$5:$S$304,MATCH(C169,$R$5:$R$304,0))&amp;"","?"))</f>
        <v/>
      </c>
      <c r="N169" s="2">
        <f>IF(E169="","",IF(LEFT(E169,7)="SUBSOLO",-1,IF(LEFT(E169,6)="TÉRREO",0,IFERROR(VALUE(LEFT(E169,FIND("º",SUBSTITUTE(E169,"°","º"))-1)),""))))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5" t="inlineStr">
        <is>
          <t>TRATAMENTO DE CONCRETO APARENTE - F5</t>
        </is>
      </c>
      <c r="S169" s="5" t="inlineStr">
        <is>
          <t>35</t>
        </is>
      </c>
      <c r="T169" s="5" t="inlineStr">
        <is>
          <t>Tratamento de concreto aparente - F5</t>
        </is>
      </c>
      <c r="U169" s="5" t="inlineStr">
        <is>
          <t>NÃO</t>
        </is>
      </c>
      <c r="V169" s="2">
        <f>IF(R169="","",COUNTIF($C$5:$C$3004,R169))</f>
        <v/>
      </c>
      <c r="W169" s="2">
        <f>IF(R169="","",COUNTIFS($C$5:$C$3004,R169,$O$5:$O$3004,"CONCLUÍDA"))</f>
        <v/>
      </c>
      <c r="X169" s="2">
        <f>IF(R169="","",COUNTIFS($C$5:$C$3004,R169,$O$5:$O$3004,"EM ANDAMENTO"))</f>
        <v/>
      </c>
      <c r="Y169" s="2">
        <f>IF(R169="","",IF(COUNTIFS($C$5:$C$3004,R169,$O$5:$O$3004,"CONCLUÍDA",$N$5:$N$3004,"&gt;=-1")=0,"",_xlfn.MAXIFS($N$5:$N$3004,$C$5:$C$3004,R169,$O$5:$O$3004,"CONCLUÍDA")))</f>
        <v/>
      </c>
      <c r="Z169" s="2">
        <f>IF(R169="","",IF(COUNTIFS($C$5:$C$3004,R169,$O$5:$O$3004,"EM ANDAMENTO",$N$5:$N$3004,"&gt;=-1")=0,"",_xlfn.MAXIFS($N$5:$N$3004,$C$5:$C$3004,R169,$O$5:$O$3004,"EM ANDAMENTO")))</f>
        <v/>
      </c>
      <c r="AA169" s="2">
        <f>IF(OR(R169="",S169="",U169&lt;&gt;"SIM",V169=0),"",IF(W169+X169=0,"",T169&amp;": "&amp;IF(W169=V169,"concluído",IF(W169=0,"em execução"&amp;IF(Z169&lt;&gt;""," ("&amp;IF(Z169=-1,"subsolo",IF(Z169=0,"térreo",Z169&amp;"º pav."))&amp;")",""),IF(Y169&lt;&gt;"","até "&amp;IF(Y169=-1,"subsolo",IF(Y169=0,"térreo",Y169&amp;"º pav.")),W169&amp;" de "&amp;V169&amp;" concluídas")&amp;IF(Z169="","",IF(OR(Y169="",Z169&gt;Y169),", executando "&amp;IF(Z169=-1,"subsolo",IF(Z169=0,"térreo",Z169&amp;"º pav."))," (restam serviços no "&amp;IF(Z169=-1,"subsolo",IF(Z169=0,"térreo",Z169&amp;"º pav."))&amp;")"))))))</f>
        <v/>
      </c>
    </row>
    <row r="170">
      <c r="M170" s="2">
        <f>IF(C170="","",IFERROR(INDEX($S$5:$S$304,MATCH(C170,$R$5:$R$304,0))&amp;"","?"))</f>
        <v/>
      </c>
      <c r="N170" s="2">
        <f>IF(E170="","",IF(LEFT(E170,7)="SUBSOLO",-1,IF(LEFT(E170,6)="TÉRREO",0,IFERROR(VALUE(LEFT(E170,FIND("º",SUBSTITUTE(E170,"°","º"))-1)),""))))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5" t="inlineStr">
        <is>
          <t>CHECKLIST FINAL</t>
        </is>
      </c>
      <c r="S170" s="5" t="n"/>
      <c r="T170" s="5" t="inlineStr">
        <is>
          <t>Checklist final</t>
        </is>
      </c>
      <c r="U170" s="5" t="inlineStr">
        <is>
          <t>SIM</t>
        </is>
      </c>
      <c r="V170" s="2">
        <f>IF(R170="","",COUNTIF($C$5:$C$3004,R170))</f>
        <v/>
      </c>
      <c r="W170" s="2">
        <f>IF(R170="","",COUNTIFS($C$5:$C$3004,R170,$O$5:$O$3004,"CONCLUÍDA"))</f>
        <v/>
      </c>
      <c r="X170" s="2">
        <f>IF(R170="","",COUNTIFS($C$5:$C$3004,R170,$O$5:$O$3004,"EM ANDAMENTO"))</f>
        <v/>
      </c>
      <c r="Y170" s="2">
        <f>IF(R170="","",IF(COUNTIFS($C$5:$C$3004,R170,$O$5:$O$3004,"CONCLUÍDA",$N$5:$N$3004,"&gt;=-1")=0,"",_xlfn.MAXIFS($N$5:$N$3004,$C$5:$C$3004,R170,$O$5:$O$3004,"CONCLUÍDA")))</f>
        <v/>
      </c>
      <c r="Z170" s="2">
        <f>IF(R170="","",IF(COUNTIFS($C$5:$C$3004,R170,$O$5:$O$3004,"EM ANDAMENTO",$N$5:$N$3004,"&gt;=-1")=0,"",_xlfn.MAXIFS($N$5:$N$3004,$C$5:$C$3004,R170,$O$5:$O$3004,"EM ANDAMENTO")))</f>
        <v/>
      </c>
      <c r="AA170" s="2">
        <f>IF(OR(R170="",S170="",U170&lt;&gt;"SIM",V170=0),"",IF(W170+X170=0,"",T170&amp;": "&amp;IF(W170=V170,"concluído",IF(W170=0,"em execução"&amp;IF(Z170&lt;&gt;""," ("&amp;IF(Z170=-1,"subsolo",IF(Z170=0,"térreo",Z170&amp;"º pav."))&amp;")",""),IF(Y170&lt;&gt;"","até "&amp;IF(Y170=-1,"subsolo",IF(Y170=0,"térreo",Y170&amp;"º pav.")),W170&amp;" de "&amp;V170&amp;" concluídas")&amp;IF(Z170="","",IF(OR(Y170="",Z170&gt;Y170),", executando "&amp;IF(Z170=-1,"subsolo",IF(Z170=0,"térreo",Z170&amp;"º pav."))," (restam serviços no "&amp;IF(Z170=-1,"subsolo",IF(Z170=0,"térreo",Z170&amp;"º pav."))&amp;")"))))))</f>
        <v/>
      </c>
    </row>
    <row r="171">
      <c r="M171" s="2">
        <f>IF(C171="","",IFERROR(INDEX($S$5:$S$304,MATCH(C171,$R$5:$R$304,0))&amp;"","?"))</f>
        <v/>
      </c>
      <c r="N171" s="2">
        <f>IF(E171="","",IF(LEFT(E171,7)="SUBSOLO",-1,IF(LEFT(E171,6)="TÉRREO",0,IFERROR(VALUE(LEFT(E171,FIND("º",SUBSTITUTE(E171,"°","º"))-1)),""))))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5" t="inlineStr">
        <is>
          <t>ENXOVAL</t>
        </is>
      </c>
      <c r="S171" s="5" t="n"/>
      <c r="T171" s="5" t="inlineStr">
        <is>
          <t>Enxoval</t>
        </is>
      </c>
      <c r="U171" s="5" t="inlineStr">
        <is>
          <t>NÃO</t>
        </is>
      </c>
      <c r="V171" s="2">
        <f>IF(R171="","",COUNTIF($C$5:$C$3004,R171))</f>
        <v/>
      </c>
      <c r="W171" s="2">
        <f>IF(R171="","",COUNTIFS($C$5:$C$3004,R171,$O$5:$O$3004,"CONCLUÍDA"))</f>
        <v/>
      </c>
      <c r="X171" s="2">
        <f>IF(R171="","",COUNTIFS($C$5:$C$3004,R171,$O$5:$O$3004,"EM ANDAMENTO"))</f>
        <v/>
      </c>
      <c r="Y171" s="2">
        <f>IF(R171="","",IF(COUNTIFS($C$5:$C$3004,R171,$O$5:$O$3004,"CONCLUÍDA",$N$5:$N$3004,"&gt;=-1")=0,"",_xlfn.MAXIFS($N$5:$N$3004,$C$5:$C$3004,R171,$O$5:$O$3004,"CONCLUÍDA")))</f>
        <v/>
      </c>
      <c r="Z171" s="2">
        <f>IF(R171="","",IF(COUNTIFS($C$5:$C$3004,R171,$O$5:$O$3004,"EM ANDAMENTO",$N$5:$N$3004,"&gt;=-1")=0,"",_xlfn.MAXIFS($N$5:$N$3004,$C$5:$C$3004,R171,$O$5:$O$3004,"EM ANDAMENTO")))</f>
        <v/>
      </c>
      <c r="AA171" s="2">
        <f>IF(OR(R171="",S171="",U171&lt;&gt;"SIM",V171=0),"",IF(W171+X171=0,"",T171&amp;": "&amp;IF(W171=V171,"concluído",IF(W171=0,"em execução"&amp;IF(Z171&lt;&gt;""," ("&amp;IF(Z171=-1,"subsolo",IF(Z171=0,"térreo",Z171&amp;"º pav."))&amp;")",""),IF(Y171&lt;&gt;"","até "&amp;IF(Y171=-1,"subsolo",IF(Y171=0,"térreo",Y171&amp;"º pav.")),W171&amp;" de "&amp;V171&amp;" concluídas")&amp;IF(Z171="","",IF(OR(Y171="",Z171&gt;Y171),", executando "&amp;IF(Z171=-1,"subsolo",IF(Z171=0,"térreo",Z171&amp;"º pav."))," (restam serviços no "&amp;IF(Z171=-1,"subsolo",IF(Z171=0,"térreo",Z171&amp;"º pav."))&amp;")"))))))</f>
        <v/>
      </c>
    </row>
    <row r="172">
      <c r="M172" s="2">
        <f>IF(C172="","",IFERROR(INDEX($S$5:$S$304,MATCH(C172,$R$5:$R$304,0))&amp;"","?"))</f>
        <v/>
      </c>
      <c r="N172" s="2">
        <f>IF(E172="","",IF(LEFT(E172,7)="SUBSOLO",-1,IF(LEFT(E172,6)="TÉRREO",0,IFERROR(VALUE(LEFT(E172,FIND("º",SUBSTITUTE(E172,"°","º"))-1)),""))))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5" t="inlineStr">
        <is>
          <t>VISTORIA APTOS</t>
        </is>
      </c>
      <c r="S172" s="5" t="n"/>
      <c r="T172" s="5" t="inlineStr">
        <is>
          <t>Vistoria aptos</t>
        </is>
      </c>
      <c r="U172" s="5" t="inlineStr">
        <is>
          <t>SIM</t>
        </is>
      </c>
      <c r="V172" s="2">
        <f>IF(R172="","",COUNTIF($C$5:$C$3004,R172))</f>
        <v/>
      </c>
      <c r="W172" s="2">
        <f>IF(R172="","",COUNTIFS($C$5:$C$3004,R172,$O$5:$O$3004,"CONCLUÍDA"))</f>
        <v/>
      </c>
      <c r="X172" s="2">
        <f>IF(R172="","",COUNTIFS($C$5:$C$3004,R172,$O$5:$O$3004,"EM ANDAMENTO"))</f>
        <v/>
      </c>
      <c r="Y172" s="2">
        <f>IF(R172="","",IF(COUNTIFS($C$5:$C$3004,R172,$O$5:$O$3004,"CONCLUÍDA",$N$5:$N$3004,"&gt;=-1")=0,"",_xlfn.MAXIFS($N$5:$N$3004,$C$5:$C$3004,R172,$O$5:$O$3004,"CONCLUÍDA")))</f>
        <v/>
      </c>
      <c r="Z172" s="2">
        <f>IF(R172="","",IF(COUNTIFS($C$5:$C$3004,R172,$O$5:$O$3004,"EM ANDAMENTO",$N$5:$N$3004,"&gt;=-1")=0,"",_xlfn.MAXIFS($N$5:$N$3004,$C$5:$C$3004,R172,$O$5:$O$3004,"EM ANDAMENTO")))</f>
        <v/>
      </c>
      <c r="AA172" s="2">
        <f>IF(OR(R172="",S172="",U172&lt;&gt;"SIM",V172=0),"",IF(W172+X172=0,"",T172&amp;": "&amp;IF(W172=V172,"concluído",IF(W172=0,"em execução"&amp;IF(Z172&lt;&gt;""," ("&amp;IF(Z172=-1,"subsolo",IF(Z172=0,"térreo",Z172&amp;"º pav."))&amp;")",""),IF(Y172&lt;&gt;"","até "&amp;IF(Y172=-1,"subsolo",IF(Y172=0,"térreo",Y172&amp;"º pav.")),W172&amp;" de "&amp;V172&amp;" concluídas")&amp;IF(Z172="","",IF(OR(Y172="",Z172&gt;Y172),", executando "&amp;IF(Z172=-1,"subsolo",IF(Z172=0,"térreo",Z172&amp;"º pav."))," (restam serviços no "&amp;IF(Z172=-1,"subsolo",IF(Z172=0,"térreo",Z172&amp;"º pav."))&amp;")"))))))</f>
        <v/>
      </c>
    </row>
    <row r="173">
      <c r="M173" s="2">
        <f>IF(C173="","",IFERROR(INDEX($S$5:$S$304,MATCH(C173,$R$5:$R$304,0))&amp;"","?"))</f>
        <v/>
      </c>
      <c r="N173" s="2">
        <f>IF(E173="","",IF(LEFT(E173,7)="SUBSOLO",-1,IF(LEFT(E173,6)="TÉRREO",0,IFERROR(VALUE(LEFT(E173,FIND("º",SUBSTITUTE(E173,"°","º"))-1)),""))))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5" t="inlineStr">
        <is>
          <t>HABITE-SE</t>
        </is>
      </c>
      <c r="S173" s="5" t="n"/>
      <c r="T173" s="5" t="inlineStr">
        <is>
          <t>Habite-se</t>
        </is>
      </c>
      <c r="U173" s="5" t="inlineStr">
        <is>
          <t>NÃO</t>
        </is>
      </c>
      <c r="V173" s="2">
        <f>IF(R173="","",COUNTIF($C$5:$C$3004,R173))</f>
        <v/>
      </c>
      <c r="W173" s="2">
        <f>IF(R173="","",COUNTIFS($C$5:$C$3004,R173,$O$5:$O$3004,"CONCLUÍDA"))</f>
        <v/>
      </c>
      <c r="X173" s="2">
        <f>IF(R173="","",COUNTIFS($C$5:$C$3004,R173,$O$5:$O$3004,"EM ANDAMENTO"))</f>
        <v/>
      </c>
      <c r="Y173" s="2">
        <f>IF(R173="","",IF(COUNTIFS($C$5:$C$3004,R173,$O$5:$O$3004,"CONCLUÍDA",$N$5:$N$3004,"&gt;=-1")=0,"",_xlfn.MAXIFS($N$5:$N$3004,$C$5:$C$3004,R173,$O$5:$O$3004,"CONCLUÍDA")))</f>
        <v/>
      </c>
      <c r="Z173" s="2">
        <f>IF(R173="","",IF(COUNTIFS($C$5:$C$3004,R173,$O$5:$O$3004,"EM ANDAMENTO",$N$5:$N$3004,"&gt;=-1")=0,"",_xlfn.MAXIFS($N$5:$N$3004,$C$5:$C$3004,R173,$O$5:$O$3004,"EM ANDAMENTO")))</f>
        <v/>
      </c>
      <c r="AA173" s="2">
        <f>IF(OR(R173="",S173="",U173&lt;&gt;"SIM",V173=0),"",IF(W173+X173=0,"",T173&amp;": "&amp;IF(W173=V173,"concluído",IF(W173=0,"em execução"&amp;IF(Z173&lt;&gt;""," ("&amp;IF(Z173=-1,"subsolo",IF(Z173=0,"térreo",Z173&amp;"º pav."))&amp;")",""),IF(Y173&lt;&gt;"","até "&amp;IF(Y173=-1,"subsolo",IF(Y173=0,"térreo",Y173&amp;"º pav.")),W173&amp;" de "&amp;V173&amp;" concluídas")&amp;IF(Z173="","",IF(OR(Y173="",Z173&gt;Y173),", executando "&amp;IF(Z173=-1,"subsolo",IF(Z173=0,"térreo",Z173&amp;"º pav."))," (restam serviços no "&amp;IF(Z173=-1,"subsolo",IF(Z173=0,"térreo",Z173&amp;"º pav."))&amp;")"))))))</f>
        <v/>
      </c>
    </row>
    <row r="174">
      <c r="M174" s="2">
        <f>IF(C174="","",IFERROR(INDEX($S$5:$S$304,MATCH(C174,$R$5:$R$304,0))&amp;"","?"))</f>
        <v/>
      </c>
      <c r="N174" s="2">
        <f>IF(E174="","",IF(LEFT(E174,7)="SUBSOLO",-1,IF(LEFT(E174,6)="TÉRREO",0,IFERROR(VALUE(LEFT(E174,FIND("º",SUBSTITUTE(E174,"°","º"))-1)),""))))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5" t="inlineStr">
        <is>
          <t>ENTREGA SÍNDICO</t>
        </is>
      </c>
      <c r="S174" s="5" t="n"/>
      <c r="T174" s="5" t="inlineStr">
        <is>
          <t>Entrega síndico</t>
        </is>
      </c>
      <c r="U174" s="5" t="inlineStr">
        <is>
          <t>NÃO</t>
        </is>
      </c>
      <c r="V174" s="2">
        <f>IF(R174="","",COUNTIF($C$5:$C$3004,R174))</f>
        <v/>
      </c>
      <c r="W174" s="2">
        <f>IF(R174="","",COUNTIFS($C$5:$C$3004,R174,$O$5:$O$3004,"CONCLUÍDA"))</f>
        <v/>
      </c>
      <c r="X174" s="2">
        <f>IF(R174="","",COUNTIFS($C$5:$C$3004,R174,$O$5:$O$3004,"EM ANDAMENTO"))</f>
        <v/>
      </c>
      <c r="Y174" s="2">
        <f>IF(R174="","",IF(COUNTIFS($C$5:$C$3004,R174,$O$5:$O$3004,"CONCLUÍDA",$N$5:$N$3004,"&gt;=-1")=0,"",_xlfn.MAXIFS($N$5:$N$3004,$C$5:$C$3004,R174,$O$5:$O$3004,"CONCLUÍDA")))</f>
        <v/>
      </c>
      <c r="Z174" s="2">
        <f>IF(R174="","",IF(COUNTIFS($C$5:$C$3004,R174,$O$5:$O$3004,"EM ANDAMENTO",$N$5:$N$3004,"&gt;=-1")=0,"",_xlfn.MAXIFS($N$5:$N$3004,$C$5:$C$3004,R174,$O$5:$O$3004,"EM ANDAMENTO")))</f>
        <v/>
      </c>
      <c r="AA174" s="2">
        <f>IF(OR(R174="",S174="",U174&lt;&gt;"SIM",V174=0),"",IF(W174+X174=0,"",T174&amp;": "&amp;IF(W174=V174,"concluído",IF(W174=0,"em execução"&amp;IF(Z174&lt;&gt;""," ("&amp;IF(Z174=-1,"subsolo",IF(Z174=0,"térreo",Z174&amp;"º pav."))&amp;")",""),IF(Y174&lt;&gt;"","até "&amp;IF(Y174=-1,"subsolo",IF(Y174=0,"térreo",Y174&amp;"º pav.")),W174&amp;" de "&amp;V174&amp;" concluídas")&amp;IF(Z174="","",IF(OR(Y174="",Z174&gt;Y174),", executando "&amp;IF(Z174=-1,"subsolo",IF(Z174=0,"térreo",Z174&amp;"º pav."))," (restam serviços no "&amp;IF(Z174=-1,"subsolo",IF(Z174=0,"térreo",Z174&amp;"º pav."))&amp;")"))))))</f>
        <v/>
      </c>
    </row>
    <row r="175">
      <c r="M175" s="2">
        <f>IF(C175="","",IFERROR(INDEX($S$5:$S$304,MATCH(C175,$R$5:$R$304,0))&amp;"","?"))</f>
        <v/>
      </c>
      <c r="N175" s="2">
        <f>IF(E175="","",IF(LEFT(E175,7)="SUBSOLO",-1,IF(LEFT(E175,6)="TÉRREO",0,IFERROR(VALUE(LEFT(E175,FIND("º",SUBSTITUTE(E175,"°","º"))-1)),""))))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5" t="n"/>
      <c r="S175" s="5" t="n"/>
      <c r="T175" s="5" t="n"/>
      <c r="U175" s="5" t="n"/>
      <c r="V175" s="2">
        <f>IF(R175="","",COUNTIF($C$5:$C$3004,R175))</f>
        <v/>
      </c>
      <c r="W175" s="2">
        <f>IF(R175="","",COUNTIFS($C$5:$C$3004,R175,$O$5:$O$3004,"CONCLUÍDA"))</f>
        <v/>
      </c>
      <c r="X175" s="2">
        <f>IF(R175="","",COUNTIFS($C$5:$C$3004,R175,$O$5:$O$3004,"EM ANDAMENTO"))</f>
        <v/>
      </c>
      <c r="Y175" s="2">
        <f>IF(R175="","",IF(COUNTIFS($C$5:$C$3004,R175,$O$5:$O$3004,"CONCLUÍDA",$N$5:$N$3004,"&gt;=-1")=0,"",_xlfn.MAXIFS($N$5:$N$3004,$C$5:$C$3004,R175,$O$5:$O$3004,"CONCLUÍDA")))</f>
        <v/>
      </c>
      <c r="Z175" s="2">
        <f>IF(R175="","",IF(COUNTIFS($C$5:$C$3004,R175,$O$5:$O$3004,"EM ANDAMENTO",$N$5:$N$3004,"&gt;=-1")=0,"",_xlfn.MAXIFS($N$5:$N$3004,$C$5:$C$3004,R175,$O$5:$O$3004,"EM ANDAMENTO")))</f>
        <v/>
      </c>
      <c r="AA175" s="2">
        <f>IF(OR(R175="",S175="",U175&lt;&gt;"SIM",V175=0),"",IF(W175+X175=0,"",T175&amp;": "&amp;IF(W175=V175,"concluído",IF(W175=0,"em execução"&amp;IF(Z175&lt;&gt;""," ("&amp;IF(Z175=-1,"subsolo",IF(Z175=0,"térreo",Z175&amp;"º pav."))&amp;")",""),IF(Y175&lt;&gt;"","até "&amp;IF(Y175=-1,"subsolo",IF(Y175=0,"térreo",Y175&amp;"º pav.")),W175&amp;" de "&amp;V175&amp;" concluídas")&amp;IF(Z175="","",IF(OR(Y175="",Z175&gt;Y175),", executando "&amp;IF(Z175=-1,"subsolo",IF(Z175=0,"térreo",Z175&amp;"º pav."))," (restam serviços no "&amp;IF(Z175=-1,"subsolo",IF(Z175=0,"térreo",Z175&amp;"º pav."))&amp;")"))))))</f>
        <v/>
      </c>
    </row>
    <row r="176">
      <c r="M176" s="2">
        <f>IF(C176="","",IFERROR(INDEX($S$5:$S$304,MATCH(C176,$R$5:$R$304,0))&amp;"","?"))</f>
        <v/>
      </c>
      <c r="N176" s="2">
        <f>IF(E176="","",IF(LEFT(E176,7)="SUBSOLO",-1,IF(LEFT(E176,6)="TÉRREO",0,IFERROR(VALUE(LEFT(E176,FIND("º",SUBSTITUTE(E176,"°","º"))-1)),""))))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5" t="n"/>
      <c r="S176" s="5" t="n"/>
      <c r="T176" s="5" t="n"/>
      <c r="U176" s="5" t="n"/>
      <c r="V176" s="2">
        <f>IF(R176="","",COUNTIF($C$5:$C$3004,R176))</f>
        <v/>
      </c>
      <c r="W176" s="2">
        <f>IF(R176="","",COUNTIFS($C$5:$C$3004,R176,$O$5:$O$3004,"CONCLUÍDA"))</f>
        <v/>
      </c>
      <c r="X176" s="2">
        <f>IF(R176="","",COUNTIFS($C$5:$C$3004,R176,$O$5:$O$3004,"EM ANDAMENTO"))</f>
        <v/>
      </c>
      <c r="Y176" s="2">
        <f>IF(R176="","",IF(COUNTIFS($C$5:$C$3004,R176,$O$5:$O$3004,"CONCLUÍDA",$N$5:$N$3004,"&gt;=-1")=0,"",_xlfn.MAXIFS($N$5:$N$3004,$C$5:$C$3004,R176,$O$5:$O$3004,"CONCLUÍDA")))</f>
        <v/>
      </c>
      <c r="Z176" s="2">
        <f>IF(R176="","",IF(COUNTIFS($C$5:$C$3004,R176,$O$5:$O$3004,"EM ANDAMENTO",$N$5:$N$3004,"&gt;=-1")=0,"",_xlfn.MAXIFS($N$5:$N$3004,$C$5:$C$3004,R176,$O$5:$O$3004,"EM ANDAMENTO")))</f>
        <v/>
      </c>
      <c r="AA176" s="2">
        <f>IF(OR(R176="",S176="",U176&lt;&gt;"SIM",V176=0),"",IF(W176+X176=0,"",T176&amp;": "&amp;IF(W176=V176,"concluído",IF(W176=0,"em execução"&amp;IF(Z176&lt;&gt;""," ("&amp;IF(Z176=-1,"subsolo",IF(Z176=0,"térreo",Z176&amp;"º pav."))&amp;")",""),IF(Y176&lt;&gt;"","até "&amp;IF(Y176=-1,"subsolo",IF(Y176=0,"térreo",Y176&amp;"º pav.")),W176&amp;" de "&amp;V176&amp;" concluídas")&amp;IF(Z176="","",IF(OR(Y176="",Z176&gt;Y176),", executando "&amp;IF(Z176=-1,"subsolo",IF(Z176=0,"térreo",Z176&amp;"º pav."))," (restam serviços no "&amp;IF(Z176=-1,"subsolo",IF(Z176=0,"térreo",Z176&amp;"º pav."))&amp;")"))))))</f>
        <v/>
      </c>
    </row>
    <row r="177">
      <c r="M177" s="2">
        <f>IF(C177="","",IFERROR(INDEX($S$5:$S$304,MATCH(C177,$R$5:$R$304,0))&amp;"","?"))</f>
        <v/>
      </c>
      <c r="N177" s="2">
        <f>IF(E177="","",IF(LEFT(E177,7)="SUBSOLO",-1,IF(LEFT(E177,6)="TÉRREO",0,IFERROR(VALUE(LEFT(E177,FIND("º",SUBSTITUTE(E177,"°","º"))-1)),""))))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5" t="n"/>
      <c r="S177" s="5" t="n"/>
      <c r="T177" s="5" t="n"/>
      <c r="U177" s="5" t="n"/>
      <c r="V177" s="2">
        <f>IF(R177="","",COUNTIF($C$5:$C$3004,R177))</f>
        <v/>
      </c>
      <c r="W177" s="2">
        <f>IF(R177="","",COUNTIFS($C$5:$C$3004,R177,$O$5:$O$3004,"CONCLUÍDA"))</f>
        <v/>
      </c>
      <c r="X177" s="2">
        <f>IF(R177="","",COUNTIFS($C$5:$C$3004,R177,$O$5:$O$3004,"EM ANDAMENTO"))</f>
        <v/>
      </c>
      <c r="Y177" s="2">
        <f>IF(R177="","",IF(COUNTIFS($C$5:$C$3004,R177,$O$5:$O$3004,"CONCLUÍDA",$N$5:$N$3004,"&gt;=-1")=0,"",_xlfn.MAXIFS($N$5:$N$3004,$C$5:$C$3004,R177,$O$5:$O$3004,"CONCLUÍDA")))</f>
        <v/>
      </c>
      <c r="Z177" s="2">
        <f>IF(R177="","",IF(COUNTIFS($C$5:$C$3004,R177,$O$5:$O$3004,"EM ANDAMENTO",$N$5:$N$3004,"&gt;=-1")=0,"",_xlfn.MAXIFS($N$5:$N$3004,$C$5:$C$3004,R177,$O$5:$O$3004,"EM ANDAMENTO")))</f>
        <v/>
      </c>
      <c r="AA177" s="2">
        <f>IF(OR(R177="",S177="",U177&lt;&gt;"SIM",V177=0),"",IF(W177+X177=0,"",T177&amp;": "&amp;IF(W177=V177,"concluído",IF(W177=0,"em execução"&amp;IF(Z177&lt;&gt;""," ("&amp;IF(Z177=-1,"subsolo",IF(Z177=0,"térreo",Z177&amp;"º pav."))&amp;")",""),IF(Y177&lt;&gt;"","até "&amp;IF(Y177=-1,"subsolo",IF(Y177=0,"térreo",Y177&amp;"º pav.")),W177&amp;" de "&amp;V177&amp;" concluídas")&amp;IF(Z177="","",IF(OR(Y177="",Z177&gt;Y177),", executando "&amp;IF(Z177=-1,"subsolo",IF(Z177=0,"térreo",Z177&amp;"º pav."))," (restam serviços no "&amp;IF(Z177=-1,"subsolo",IF(Z177=0,"térreo",Z177&amp;"º pav."))&amp;")"))))))</f>
        <v/>
      </c>
    </row>
    <row r="178">
      <c r="M178" s="2">
        <f>IF(C178="","",IFERROR(INDEX($S$5:$S$304,MATCH(C178,$R$5:$R$304,0))&amp;"","?"))</f>
        <v/>
      </c>
      <c r="N178" s="2">
        <f>IF(E178="","",IF(LEFT(E178,7)="SUBSOLO",-1,IF(LEFT(E178,6)="TÉRREO",0,IFERROR(VALUE(LEFT(E178,FIND("º",SUBSTITUTE(E178,"°","º"))-1)),""))))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5" t="n"/>
      <c r="S178" s="5" t="n"/>
      <c r="T178" s="5" t="n"/>
      <c r="U178" s="5" t="n"/>
      <c r="V178" s="2">
        <f>IF(R178="","",COUNTIF($C$5:$C$3004,R178))</f>
        <v/>
      </c>
      <c r="W178" s="2">
        <f>IF(R178="","",COUNTIFS($C$5:$C$3004,R178,$O$5:$O$3004,"CONCLUÍDA"))</f>
        <v/>
      </c>
      <c r="X178" s="2">
        <f>IF(R178="","",COUNTIFS($C$5:$C$3004,R178,$O$5:$O$3004,"EM ANDAMENTO"))</f>
        <v/>
      </c>
      <c r="Y178" s="2">
        <f>IF(R178="","",IF(COUNTIFS($C$5:$C$3004,R178,$O$5:$O$3004,"CONCLUÍDA",$N$5:$N$3004,"&gt;=-1")=0,"",_xlfn.MAXIFS($N$5:$N$3004,$C$5:$C$3004,R178,$O$5:$O$3004,"CONCLUÍDA")))</f>
        <v/>
      </c>
      <c r="Z178" s="2">
        <f>IF(R178="","",IF(COUNTIFS($C$5:$C$3004,R178,$O$5:$O$3004,"EM ANDAMENTO",$N$5:$N$3004,"&gt;=-1")=0,"",_xlfn.MAXIFS($N$5:$N$3004,$C$5:$C$3004,R178,$O$5:$O$3004,"EM ANDAMENTO")))</f>
        <v/>
      </c>
      <c r="AA178" s="2">
        <f>IF(OR(R178="",S178="",U178&lt;&gt;"SIM",V178=0),"",IF(W178+X178=0,"",T178&amp;": "&amp;IF(W178=V178,"concluído",IF(W178=0,"em execução"&amp;IF(Z178&lt;&gt;""," ("&amp;IF(Z178=-1,"subsolo",IF(Z178=0,"térreo",Z178&amp;"º pav."))&amp;")",""),IF(Y178&lt;&gt;"","até "&amp;IF(Y178=-1,"subsolo",IF(Y178=0,"térreo",Y178&amp;"º pav.")),W178&amp;" de "&amp;V178&amp;" concluídas")&amp;IF(Z178="","",IF(OR(Y178="",Z178&gt;Y178),", executando "&amp;IF(Z178=-1,"subsolo",IF(Z178=0,"térreo",Z178&amp;"º pav."))," (restam serviços no "&amp;IF(Z178=-1,"subsolo",IF(Z178=0,"térreo",Z178&amp;"º pav."))&amp;")"))))))</f>
        <v/>
      </c>
    </row>
    <row r="179">
      <c r="M179" s="2">
        <f>IF(C179="","",IFERROR(INDEX($S$5:$S$304,MATCH(C179,$R$5:$R$304,0))&amp;"","?"))</f>
        <v/>
      </c>
      <c r="N179" s="2">
        <f>IF(E179="","",IF(LEFT(E179,7)="SUBSOLO",-1,IF(LEFT(E179,6)="TÉRREO",0,IFERROR(VALUE(LEFT(E179,FIND("º",SUBSTITUTE(E179,"°","º"))-1)),""))))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5" t="n"/>
      <c r="S179" s="5" t="n"/>
      <c r="T179" s="5" t="n"/>
      <c r="U179" s="5" t="n"/>
      <c r="V179" s="2">
        <f>IF(R179="","",COUNTIF($C$5:$C$3004,R179))</f>
        <v/>
      </c>
      <c r="W179" s="2">
        <f>IF(R179="","",COUNTIFS($C$5:$C$3004,R179,$O$5:$O$3004,"CONCLUÍDA"))</f>
        <v/>
      </c>
      <c r="X179" s="2">
        <f>IF(R179="","",COUNTIFS($C$5:$C$3004,R179,$O$5:$O$3004,"EM ANDAMENTO"))</f>
        <v/>
      </c>
      <c r="Y179" s="2">
        <f>IF(R179="","",IF(COUNTIFS($C$5:$C$3004,R179,$O$5:$O$3004,"CONCLUÍDA",$N$5:$N$3004,"&gt;=-1")=0,"",_xlfn.MAXIFS($N$5:$N$3004,$C$5:$C$3004,R179,$O$5:$O$3004,"CONCLUÍDA")))</f>
        <v/>
      </c>
      <c r="Z179" s="2">
        <f>IF(R179="","",IF(COUNTIFS($C$5:$C$3004,R179,$O$5:$O$3004,"EM ANDAMENTO",$N$5:$N$3004,"&gt;=-1")=0,"",_xlfn.MAXIFS($N$5:$N$3004,$C$5:$C$3004,R179,$O$5:$O$3004,"EM ANDAMENTO")))</f>
        <v/>
      </c>
      <c r="AA179" s="2">
        <f>IF(OR(R179="",S179="",U179&lt;&gt;"SIM",V179=0),"",IF(W179+X179=0,"",T179&amp;": "&amp;IF(W179=V179,"concluído",IF(W179=0,"em execução"&amp;IF(Z179&lt;&gt;""," ("&amp;IF(Z179=-1,"subsolo",IF(Z179=0,"térreo",Z179&amp;"º pav."))&amp;")",""),IF(Y179&lt;&gt;"","até "&amp;IF(Y179=-1,"subsolo",IF(Y179=0,"térreo",Y179&amp;"º pav.")),W179&amp;" de "&amp;V179&amp;" concluídas")&amp;IF(Z179="","",IF(OR(Y179="",Z179&gt;Y179),", executando "&amp;IF(Z179=-1,"subsolo",IF(Z179=0,"térreo",Z179&amp;"º pav."))," (restam serviços no "&amp;IF(Z179=-1,"subsolo",IF(Z179=0,"térreo",Z179&amp;"º pav."))&amp;")"))))))</f>
        <v/>
      </c>
    </row>
    <row r="180">
      <c r="M180" s="2">
        <f>IF(C180="","",IFERROR(INDEX($S$5:$S$304,MATCH(C180,$R$5:$R$304,0))&amp;"","?"))</f>
        <v/>
      </c>
      <c r="N180" s="2">
        <f>IF(E180="","",IF(LEFT(E180,7)="SUBSOLO",-1,IF(LEFT(E180,6)="TÉRREO",0,IFERROR(VALUE(LEFT(E180,FIND("º",SUBSTITUTE(E180,"°","º"))-1)),""))))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5" t="n"/>
      <c r="S180" s="5" t="n"/>
      <c r="T180" s="5" t="n"/>
      <c r="U180" s="5" t="n"/>
      <c r="V180" s="2">
        <f>IF(R180="","",COUNTIF($C$5:$C$3004,R180))</f>
        <v/>
      </c>
      <c r="W180" s="2">
        <f>IF(R180="","",COUNTIFS($C$5:$C$3004,R180,$O$5:$O$3004,"CONCLUÍDA"))</f>
        <v/>
      </c>
      <c r="X180" s="2">
        <f>IF(R180="","",COUNTIFS($C$5:$C$3004,R180,$O$5:$O$3004,"EM ANDAMENTO"))</f>
        <v/>
      </c>
      <c r="Y180" s="2">
        <f>IF(R180="","",IF(COUNTIFS($C$5:$C$3004,R180,$O$5:$O$3004,"CONCLUÍDA",$N$5:$N$3004,"&gt;=-1")=0,"",_xlfn.MAXIFS($N$5:$N$3004,$C$5:$C$3004,R180,$O$5:$O$3004,"CONCLUÍDA")))</f>
        <v/>
      </c>
      <c r="Z180" s="2">
        <f>IF(R180="","",IF(COUNTIFS($C$5:$C$3004,R180,$O$5:$O$3004,"EM ANDAMENTO",$N$5:$N$3004,"&gt;=-1")=0,"",_xlfn.MAXIFS($N$5:$N$3004,$C$5:$C$3004,R180,$O$5:$O$3004,"EM ANDAMENTO")))</f>
        <v/>
      </c>
      <c r="AA180" s="2">
        <f>IF(OR(R180="",S180="",U180&lt;&gt;"SIM",V180=0),"",IF(W180+X180=0,"",T180&amp;": "&amp;IF(W180=V180,"concluído",IF(W180=0,"em execução"&amp;IF(Z180&lt;&gt;""," ("&amp;IF(Z180=-1,"subsolo",IF(Z180=0,"térreo",Z180&amp;"º pav."))&amp;")",""),IF(Y180&lt;&gt;"","até "&amp;IF(Y180=-1,"subsolo",IF(Y180=0,"térreo",Y180&amp;"º pav.")),W180&amp;" de "&amp;V180&amp;" concluídas")&amp;IF(Z180="","",IF(OR(Y180="",Z180&gt;Y180),", executando "&amp;IF(Z180=-1,"subsolo",IF(Z180=0,"térreo",Z180&amp;"º pav."))," (restam serviços no "&amp;IF(Z180=-1,"subsolo",IF(Z180=0,"térreo",Z180&amp;"º pav."))&amp;")"))))))</f>
        <v/>
      </c>
    </row>
    <row r="181">
      <c r="M181" s="2">
        <f>IF(C181="","",IFERROR(INDEX($S$5:$S$304,MATCH(C181,$R$5:$R$304,0))&amp;"","?"))</f>
        <v/>
      </c>
      <c r="N181" s="2">
        <f>IF(E181="","",IF(LEFT(E181,7)="SUBSOLO",-1,IF(LEFT(E181,6)="TÉRREO",0,IFERROR(VALUE(LEFT(E181,FIND("º",SUBSTITUTE(E181,"°","º"))-1)),""))))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5" t="n"/>
      <c r="S181" s="5" t="n"/>
      <c r="T181" s="5" t="n"/>
      <c r="U181" s="5" t="n"/>
      <c r="V181" s="2">
        <f>IF(R181="","",COUNTIF($C$5:$C$3004,R181))</f>
        <v/>
      </c>
      <c r="W181" s="2">
        <f>IF(R181="","",COUNTIFS($C$5:$C$3004,R181,$O$5:$O$3004,"CONCLUÍDA"))</f>
        <v/>
      </c>
      <c r="X181" s="2">
        <f>IF(R181="","",COUNTIFS($C$5:$C$3004,R181,$O$5:$O$3004,"EM ANDAMENTO"))</f>
        <v/>
      </c>
      <c r="Y181" s="2">
        <f>IF(R181="","",IF(COUNTIFS($C$5:$C$3004,R181,$O$5:$O$3004,"CONCLUÍDA",$N$5:$N$3004,"&gt;=-1")=0,"",_xlfn.MAXIFS($N$5:$N$3004,$C$5:$C$3004,R181,$O$5:$O$3004,"CONCLUÍDA")))</f>
        <v/>
      </c>
      <c r="Z181" s="2">
        <f>IF(R181="","",IF(COUNTIFS($C$5:$C$3004,R181,$O$5:$O$3004,"EM ANDAMENTO",$N$5:$N$3004,"&gt;=-1")=0,"",_xlfn.MAXIFS($N$5:$N$3004,$C$5:$C$3004,R181,$O$5:$O$3004,"EM ANDAMENTO")))</f>
        <v/>
      </c>
      <c r="AA181" s="2">
        <f>IF(OR(R181="",S181="",U181&lt;&gt;"SIM",V181=0),"",IF(W181+X181=0,"",T181&amp;": "&amp;IF(W181=V181,"concluído",IF(W181=0,"em execução"&amp;IF(Z181&lt;&gt;""," ("&amp;IF(Z181=-1,"subsolo",IF(Z181=0,"térreo",Z181&amp;"º pav."))&amp;")",""),IF(Y181&lt;&gt;"","até "&amp;IF(Y181=-1,"subsolo",IF(Y181=0,"térreo",Y181&amp;"º pav.")),W181&amp;" de "&amp;V181&amp;" concluídas")&amp;IF(Z181="","",IF(OR(Y181="",Z181&gt;Y181),", executando "&amp;IF(Z181=-1,"subsolo",IF(Z181=0,"térreo",Z181&amp;"º pav."))," (restam serviços no "&amp;IF(Z181=-1,"subsolo",IF(Z181=0,"térreo",Z181&amp;"º pav."))&amp;")"))))))</f>
        <v/>
      </c>
    </row>
    <row r="182">
      <c r="M182" s="2">
        <f>IF(C182="","",IFERROR(INDEX($S$5:$S$304,MATCH(C182,$R$5:$R$304,0))&amp;"","?"))</f>
        <v/>
      </c>
      <c r="N182" s="2">
        <f>IF(E182="","",IF(LEFT(E182,7)="SUBSOLO",-1,IF(LEFT(E182,6)="TÉRREO",0,IFERROR(VALUE(LEFT(E182,FIND("º",SUBSTITUTE(E182,"°","º"))-1)),""))))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5" t="n"/>
      <c r="S182" s="5" t="n"/>
      <c r="T182" s="5" t="n"/>
      <c r="U182" s="5" t="n"/>
      <c r="V182" s="2">
        <f>IF(R182="","",COUNTIF($C$5:$C$3004,R182))</f>
        <v/>
      </c>
      <c r="W182" s="2">
        <f>IF(R182="","",COUNTIFS($C$5:$C$3004,R182,$O$5:$O$3004,"CONCLUÍDA"))</f>
        <v/>
      </c>
      <c r="X182" s="2">
        <f>IF(R182="","",COUNTIFS($C$5:$C$3004,R182,$O$5:$O$3004,"EM ANDAMENTO"))</f>
        <v/>
      </c>
      <c r="Y182" s="2">
        <f>IF(R182="","",IF(COUNTIFS($C$5:$C$3004,R182,$O$5:$O$3004,"CONCLUÍDA",$N$5:$N$3004,"&gt;=-1")=0,"",_xlfn.MAXIFS($N$5:$N$3004,$C$5:$C$3004,R182,$O$5:$O$3004,"CONCLUÍDA")))</f>
        <v/>
      </c>
      <c r="Z182" s="2">
        <f>IF(R182="","",IF(COUNTIFS($C$5:$C$3004,R182,$O$5:$O$3004,"EM ANDAMENTO",$N$5:$N$3004,"&gt;=-1")=0,"",_xlfn.MAXIFS($N$5:$N$3004,$C$5:$C$3004,R182,$O$5:$O$3004,"EM ANDAMENTO")))</f>
        <v/>
      </c>
      <c r="AA182" s="2">
        <f>IF(OR(R182="",S182="",U182&lt;&gt;"SIM",V182=0),"",IF(W182+X182=0,"",T182&amp;": "&amp;IF(W182=V182,"concluído",IF(W182=0,"em execução"&amp;IF(Z182&lt;&gt;""," ("&amp;IF(Z182=-1,"subsolo",IF(Z182=0,"térreo",Z182&amp;"º pav."))&amp;")",""),IF(Y182&lt;&gt;"","até "&amp;IF(Y182=-1,"subsolo",IF(Y182=0,"térreo",Y182&amp;"º pav.")),W182&amp;" de "&amp;V182&amp;" concluídas")&amp;IF(Z182="","",IF(OR(Y182="",Z182&gt;Y182),", executando "&amp;IF(Z182=-1,"subsolo",IF(Z182=0,"térreo",Z182&amp;"º pav."))," (restam serviços no "&amp;IF(Z182=-1,"subsolo",IF(Z182=0,"térreo",Z182&amp;"º pav."))&amp;")"))))))</f>
        <v/>
      </c>
    </row>
    <row r="183">
      <c r="M183" s="2">
        <f>IF(C183="","",IFERROR(INDEX($S$5:$S$304,MATCH(C183,$R$5:$R$304,0))&amp;"","?"))</f>
        <v/>
      </c>
      <c r="N183" s="2">
        <f>IF(E183="","",IF(LEFT(E183,7)="SUBSOLO",-1,IF(LEFT(E183,6)="TÉRREO",0,IFERROR(VALUE(LEFT(E183,FIND("º",SUBSTITUTE(E183,"°","º"))-1)),""))))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5" t="n"/>
      <c r="S183" s="5" t="n"/>
      <c r="T183" s="5" t="n"/>
      <c r="U183" s="5" t="n"/>
      <c r="V183" s="2">
        <f>IF(R183="","",COUNTIF($C$5:$C$3004,R183))</f>
        <v/>
      </c>
      <c r="W183" s="2">
        <f>IF(R183="","",COUNTIFS($C$5:$C$3004,R183,$O$5:$O$3004,"CONCLUÍDA"))</f>
        <v/>
      </c>
      <c r="X183" s="2">
        <f>IF(R183="","",COUNTIFS($C$5:$C$3004,R183,$O$5:$O$3004,"EM ANDAMENTO"))</f>
        <v/>
      </c>
      <c r="Y183" s="2">
        <f>IF(R183="","",IF(COUNTIFS($C$5:$C$3004,R183,$O$5:$O$3004,"CONCLUÍDA",$N$5:$N$3004,"&gt;=-1")=0,"",_xlfn.MAXIFS($N$5:$N$3004,$C$5:$C$3004,R183,$O$5:$O$3004,"CONCLUÍDA")))</f>
        <v/>
      </c>
      <c r="Z183" s="2">
        <f>IF(R183="","",IF(COUNTIFS($C$5:$C$3004,R183,$O$5:$O$3004,"EM ANDAMENTO",$N$5:$N$3004,"&gt;=-1")=0,"",_xlfn.MAXIFS($N$5:$N$3004,$C$5:$C$3004,R183,$O$5:$O$3004,"EM ANDAMENTO")))</f>
        <v/>
      </c>
      <c r="AA183" s="2">
        <f>IF(OR(R183="",S183="",U183&lt;&gt;"SIM",V183=0),"",IF(W183+X183=0,"",T183&amp;": "&amp;IF(W183=V183,"concluído",IF(W183=0,"em execução"&amp;IF(Z183&lt;&gt;""," ("&amp;IF(Z183=-1,"subsolo",IF(Z183=0,"térreo",Z183&amp;"º pav."))&amp;")",""),IF(Y183&lt;&gt;"","até "&amp;IF(Y183=-1,"subsolo",IF(Y183=0,"térreo",Y183&amp;"º pav.")),W183&amp;" de "&amp;V183&amp;" concluídas")&amp;IF(Z183="","",IF(OR(Y183="",Z183&gt;Y183),", executando "&amp;IF(Z183=-1,"subsolo",IF(Z183=0,"térreo",Z183&amp;"º pav."))," (restam serviços no "&amp;IF(Z183=-1,"subsolo",IF(Z183=0,"térreo",Z183&amp;"º pav."))&amp;")"))))))</f>
        <v/>
      </c>
    </row>
    <row r="184">
      <c r="M184" s="2">
        <f>IF(C184="","",IFERROR(INDEX($S$5:$S$304,MATCH(C184,$R$5:$R$304,0))&amp;"","?"))</f>
        <v/>
      </c>
      <c r="N184" s="2">
        <f>IF(E184="","",IF(LEFT(E184,7)="SUBSOLO",-1,IF(LEFT(E184,6)="TÉRREO",0,IFERROR(VALUE(LEFT(E184,FIND("º",SUBSTITUTE(E184,"°","º"))-1)),""))))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5" t="n"/>
      <c r="S184" s="5" t="n"/>
      <c r="T184" s="5" t="n"/>
      <c r="U184" s="5" t="n"/>
      <c r="V184" s="2">
        <f>IF(R184="","",COUNTIF($C$5:$C$3004,R184))</f>
        <v/>
      </c>
      <c r="W184" s="2">
        <f>IF(R184="","",COUNTIFS($C$5:$C$3004,R184,$O$5:$O$3004,"CONCLUÍDA"))</f>
        <v/>
      </c>
      <c r="X184" s="2">
        <f>IF(R184="","",COUNTIFS($C$5:$C$3004,R184,$O$5:$O$3004,"EM ANDAMENTO"))</f>
        <v/>
      </c>
      <c r="Y184" s="2">
        <f>IF(R184="","",IF(COUNTIFS($C$5:$C$3004,R184,$O$5:$O$3004,"CONCLUÍDA",$N$5:$N$3004,"&gt;=-1")=0,"",_xlfn.MAXIFS($N$5:$N$3004,$C$5:$C$3004,R184,$O$5:$O$3004,"CONCLUÍDA")))</f>
        <v/>
      </c>
      <c r="Z184" s="2">
        <f>IF(R184="","",IF(COUNTIFS($C$5:$C$3004,R184,$O$5:$O$3004,"EM ANDAMENTO",$N$5:$N$3004,"&gt;=-1")=0,"",_xlfn.MAXIFS($N$5:$N$3004,$C$5:$C$3004,R184,$O$5:$O$3004,"EM ANDAMENTO")))</f>
        <v/>
      </c>
      <c r="AA184" s="2">
        <f>IF(OR(R184="",S184="",U184&lt;&gt;"SIM",V184=0),"",IF(W184+X184=0,"",T184&amp;": "&amp;IF(W184=V184,"concluído",IF(W184=0,"em execução"&amp;IF(Z184&lt;&gt;""," ("&amp;IF(Z184=-1,"subsolo",IF(Z184=0,"térreo",Z184&amp;"º pav."))&amp;")",""),IF(Y184&lt;&gt;"","até "&amp;IF(Y184=-1,"subsolo",IF(Y184=0,"térreo",Y184&amp;"º pav.")),W184&amp;" de "&amp;V184&amp;" concluídas")&amp;IF(Z184="","",IF(OR(Y184="",Z184&gt;Y184),", executando "&amp;IF(Z184=-1,"subsolo",IF(Z184=0,"térreo",Z184&amp;"º pav."))," (restam serviços no "&amp;IF(Z184=-1,"subsolo",IF(Z184=0,"térreo",Z184&amp;"º pav."))&amp;")"))))))</f>
        <v/>
      </c>
    </row>
    <row r="185">
      <c r="M185" s="2">
        <f>IF(C185="","",IFERROR(INDEX($S$5:$S$304,MATCH(C185,$R$5:$R$304,0))&amp;"","?"))</f>
        <v/>
      </c>
      <c r="N185" s="2">
        <f>IF(E185="","",IF(LEFT(E185,7)="SUBSOLO",-1,IF(LEFT(E185,6)="TÉRREO",0,IFERROR(VALUE(LEFT(E185,FIND("º",SUBSTITUTE(E185,"°","º"))-1)),""))))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5" t="n"/>
      <c r="S185" s="5" t="n"/>
      <c r="T185" s="5" t="n"/>
      <c r="U185" s="5" t="n"/>
      <c r="V185" s="2">
        <f>IF(R185="","",COUNTIF($C$5:$C$3004,R185))</f>
        <v/>
      </c>
      <c r="W185" s="2">
        <f>IF(R185="","",COUNTIFS($C$5:$C$3004,R185,$O$5:$O$3004,"CONCLUÍDA"))</f>
        <v/>
      </c>
      <c r="X185" s="2">
        <f>IF(R185="","",COUNTIFS($C$5:$C$3004,R185,$O$5:$O$3004,"EM ANDAMENTO"))</f>
        <v/>
      </c>
      <c r="Y185" s="2">
        <f>IF(R185="","",IF(COUNTIFS($C$5:$C$3004,R185,$O$5:$O$3004,"CONCLUÍDA",$N$5:$N$3004,"&gt;=-1")=0,"",_xlfn.MAXIFS($N$5:$N$3004,$C$5:$C$3004,R185,$O$5:$O$3004,"CONCLUÍDA")))</f>
        <v/>
      </c>
      <c r="Z185" s="2">
        <f>IF(R185="","",IF(COUNTIFS($C$5:$C$3004,R185,$O$5:$O$3004,"EM ANDAMENTO",$N$5:$N$3004,"&gt;=-1")=0,"",_xlfn.MAXIFS($N$5:$N$3004,$C$5:$C$3004,R185,$O$5:$O$3004,"EM ANDAMENTO")))</f>
        <v/>
      </c>
      <c r="AA185" s="2">
        <f>IF(OR(R185="",S185="",U185&lt;&gt;"SIM",V185=0),"",IF(W185+X185=0,"",T185&amp;": "&amp;IF(W185=V185,"concluído",IF(W185=0,"em execução"&amp;IF(Z185&lt;&gt;""," ("&amp;IF(Z185=-1,"subsolo",IF(Z185=0,"térreo",Z185&amp;"º pav."))&amp;")",""),IF(Y185&lt;&gt;"","até "&amp;IF(Y185=-1,"subsolo",IF(Y185=0,"térreo",Y185&amp;"º pav.")),W185&amp;" de "&amp;V185&amp;" concluídas")&amp;IF(Z185="","",IF(OR(Y185="",Z185&gt;Y185),", executando "&amp;IF(Z185=-1,"subsolo",IF(Z185=0,"térreo",Z185&amp;"º pav."))," (restam serviços no "&amp;IF(Z185=-1,"subsolo",IF(Z185=0,"térreo",Z185&amp;"º pav."))&amp;")"))))))</f>
        <v/>
      </c>
    </row>
    <row r="186">
      <c r="M186" s="2">
        <f>IF(C186="","",IFERROR(INDEX($S$5:$S$304,MATCH(C186,$R$5:$R$304,0))&amp;"","?"))</f>
        <v/>
      </c>
      <c r="N186" s="2">
        <f>IF(E186="","",IF(LEFT(E186,7)="SUBSOLO",-1,IF(LEFT(E186,6)="TÉRREO",0,IFERROR(VALUE(LEFT(E186,FIND("º",SUBSTITUTE(E186,"°","º"))-1)),""))))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5" t="n"/>
      <c r="S186" s="5" t="n"/>
      <c r="T186" s="5" t="n"/>
      <c r="U186" s="5" t="n"/>
      <c r="V186" s="2">
        <f>IF(R186="","",COUNTIF($C$5:$C$3004,R186))</f>
        <v/>
      </c>
      <c r="W186" s="2">
        <f>IF(R186="","",COUNTIFS($C$5:$C$3004,R186,$O$5:$O$3004,"CONCLUÍDA"))</f>
        <v/>
      </c>
      <c r="X186" s="2">
        <f>IF(R186="","",COUNTIFS($C$5:$C$3004,R186,$O$5:$O$3004,"EM ANDAMENTO"))</f>
        <v/>
      </c>
      <c r="Y186" s="2">
        <f>IF(R186="","",IF(COUNTIFS($C$5:$C$3004,R186,$O$5:$O$3004,"CONCLUÍDA",$N$5:$N$3004,"&gt;=-1")=0,"",_xlfn.MAXIFS($N$5:$N$3004,$C$5:$C$3004,R186,$O$5:$O$3004,"CONCLUÍDA")))</f>
        <v/>
      </c>
      <c r="Z186" s="2">
        <f>IF(R186="","",IF(COUNTIFS($C$5:$C$3004,R186,$O$5:$O$3004,"EM ANDAMENTO",$N$5:$N$3004,"&gt;=-1")=0,"",_xlfn.MAXIFS($N$5:$N$3004,$C$5:$C$3004,R186,$O$5:$O$3004,"EM ANDAMENTO")))</f>
        <v/>
      </c>
      <c r="AA186" s="2">
        <f>IF(OR(R186="",S186="",U186&lt;&gt;"SIM",V186=0),"",IF(W186+X186=0,"",T186&amp;": "&amp;IF(W186=V186,"concluído",IF(W186=0,"em execução"&amp;IF(Z186&lt;&gt;""," ("&amp;IF(Z186=-1,"subsolo",IF(Z186=0,"térreo",Z186&amp;"º pav."))&amp;")",""),IF(Y186&lt;&gt;"","até "&amp;IF(Y186=-1,"subsolo",IF(Y186=0,"térreo",Y186&amp;"º pav.")),W186&amp;" de "&amp;V186&amp;" concluídas")&amp;IF(Z186="","",IF(OR(Y186="",Z186&gt;Y186),", executando "&amp;IF(Z186=-1,"subsolo",IF(Z186=0,"térreo",Z186&amp;"º pav."))," (restam serviços no "&amp;IF(Z186=-1,"subsolo",IF(Z186=0,"térreo",Z186&amp;"º pav."))&amp;")"))))))</f>
        <v/>
      </c>
    </row>
    <row r="187">
      <c r="M187" s="2">
        <f>IF(C187="","",IFERROR(INDEX($S$5:$S$304,MATCH(C187,$R$5:$R$304,0))&amp;"","?"))</f>
        <v/>
      </c>
      <c r="N187" s="2">
        <f>IF(E187="","",IF(LEFT(E187,7)="SUBSOLO",-1,IF(LEFT(E187,6)="TÉRREO",0,IFERROR(VALUE(LEFT(E187,FIND("º",SUBSTITUTE(E187,"°","º"))-1)),""))))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5" t="n"/>
      <c r="S187" s="5" t="n"/>
      <c r="T187" s="5" t="n"/>
      <c r="U187" s="5" t="n"/>
      <c r="V187" s="2">
        <f>IF(R187="","",COUNTIF($C$5:$C$3004,R187))</f>
        <v/>
      </c>
      <c r="W187" s="2">
        <f>IF(R187="","",COUNTIFS($C$5:$C$3004,R187,$O$5:$O$3004,"CONCLUÍDA"))</f>
        <v/>
      </c>
      <c r="X187" s="2">
        <f>IF(R187="","",COUNTIFS($C$5:$C$3004,R187,$O$5:$O$3004,"EM ANDAMENTO"))</f>
        <v/>
      </c>
      <c r="Y187" s="2">
        <f>IF(R187="","",IF(COUNTIFS($C$5:$C$3004,R187,$O$5:$O$3004,"CONCLUÍDA",$N$5:$N$3004,"&gt;=-1")=0,"",_xlfn.MAXIFS($N$5:$N$3004,$C$5:$C$3004,R187,$O$5:$O$3004,"CONCLUÍDA")))</f>
        <v/>
      </c>
      <c r="Z187" s="2">
        <f>IF(R187="","",IF(COUNTIFS($C$5:$C$3004,R187,$O$5:$O$3004,"EM ANDAMENTO",$N$5:$N$3004,"&gt;=-1")=0,"",_xlfn.MAXIFS($N$5:$N$3004,$C$5:$C$3004,R187,$O$5:$O$3004,"EM ANDAMENTO")))</f>
        <v/>
      </c>
      <c r="AA187" s="2">
        <f>IF(OR(R187="",S187="",U187&lt;&gt;"SIM",V187=0),"",IF(W187+X187=0,"",T187&amp;": "&amp;IF(W187=V187,"concluído",IF(W187=0,"em execução"&amp;IF(Z187&lt;&gt;""," ("&amp;IF(Z187=-1,"subsolo",IF(Z187=0,"térreo",Z187&amp;"º pav."))&amp;")",""),IF(Y187&lt;&gt;"","até "&amp;IF(Y187=-1,"subsolo",IF(Y187=0,"térreo",Y187&amp;"º pav.")),W187&amp;" de "&amp;V187&amp;" concluídas")&amp;IF(Z187="","",IF(OR(Y187="",Z187&gt;Y187),", executando "&amp;IF(Z187=-1,"subsolo",IF(Z187=0,"térreo",Z187&amp;"º pav."))," (restam serviços no "&amp;IF(Z187=-1,"subsolo",IF(Z187=0,"térreo",Z187&amp;"º pav."))&amp;")"))))))</f>
        <v/>
      </c>
    </row>
    <row r="188">
      <c r="M188" s="2">
        <f>IF(C188="","",IFERROR(INDEX($S$5:$S$304,MATCH(C188,$R$5:$R$304,0))&amp;"","?"))</f>
        <v/>
      </c>
      <c r="N188" s="2">
        <f>IF(E188="","",IF(LEFT(E188,7)="SUBSOLO",-1,IF(LEFT(E188,6)="TÉRREO",0,IFERROR(VALUE(LEFT(E188,FIND("º",SUBSTITUTE(E188,"°","º"))-1)),""))))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5" t="n"/>
      <c r="S188" s="5" t="n"/>
      <c r="T188" s="5" t="n"/>
      <c r="U188" s="5" t="n"/>
      <c r="V188" s="2">
        <f>IF(R188="","",COUNTIF($C$5:$C$3004,R188))</f>
        <v/>
      </c>
      <c r="W188" s="2">
        <f>IF(R188="","",COUNTIFS($C$5:$C$3004,R188,$O$5:$O$3004,"CONCLUÍDA"))</f>
        <v/>
      </c>
      <c r="X188" s="2">
        <f>IF(R188="","",COUNTIFS($C$5:$C$3004,R188,$O$5:$O$3004,"EM ANDAMENTO"))</f>
        <v/>
      </c>
      <c r="Y188" s="2">
        <f>IF(R188="","",IF(COUNTIFS($C$5:$C$3004,R188,$O$5:$O$3004,"CONCLUÍDA",$N$5:$N$3004,"&gt;=-1")=0,"",_xlfn.MAXIFS($N$5:$N$3004,$C$5:$C$3004,R188,$O$5:$O$3004,"CONCLUÍDA")))</f>
        <v/>
      </c>
      <c r="Z188" s="2">
        <f>IF(R188="","",IF(COUNTIFS($C$5:$C$3004,R188,$O$5:$O$3004,"EM ANDAMENTO",$N$5:$N$3004,"&gt;=-1")=0,"",_xlfn.MAXIFS($N$5:$N$3004,$C$5:$C$3004,R188,$O$5:$O$3004,"EM ANDAMENTO")))</f>
        <v/>
      </c>
      <c r="AA188" s="2">
        <f>IF(OR(R188="",S188="",U188&lt;&gt;"SIM",V188=0),"",IF(W188+X188=0,"",T188&amp;": "&amp;IF(W188=V188,"concluído",IF(W188=0,"em execução"&amp;IF(Z188&lt;&gt;""," ("&amp;IF(Z188=-1,"subsolo",IF(Z188=0,"térreo",Z188&amp;"º pav."))&amp;")",""),IF(Y188&lt;&gt;"","até "&amp;IF(Y188=-1,"subsolo",IF(Y188=0,"térreo",Y188&amp;"º pav.")),W188&amp;" de "&amp;V188&amp;" concluídas")&amp;IF(Z188="","",IF(OR(Y188="",Z188&gt;Y188),", executando "&amp;IF(Z188=-1,"subsolo",IF(Z188=0,"térreo",Z188&amp;"º pav."))," (restam serviços no "&amp;IF(Z188=-1,"subsolo",IF(Z188=0,"térreo",Z188&amp;"º pav."))&amp;")"))))))</f>
        <v/>
      </c>
    </row>
    <row r="189">
      <c r="M189" s="2">
        <f>IF(C189="","",IFERROR(INDEX($S$5:$S$304,MATCH(C189,$R$5:$R$304,0))&amp;"","?"))</f>
        <v/>
      </c>
      <c r="N189" s="2">
        <f>IF(E189="","",IF(LEFT(E189,7)="SUBSOLO",-1,IF(LEFT(E189,6)="TÉRREO",0,IFERROR(VALUE(LEFT(E189,FIND("º",SUBSTITUTE(E189,"°","º"))-1)),""))))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5" t="n"/>
      <c r="S189" s="5" t="n"/>
      <c r="T189" s="5" t="n"/>
      <c r="U189" s="5" t="n"/>
      <c r="V189" s="2">
        <f>IF(R189="","",COUNTIF($C$5:$C$3004,R189))</f>
        <v/>
      </c>
      <c r="W189" s="2">
        <f>IF(R189="","",COUNTIFS($C$5:$C$3004,R189,$O$5:$O$3004,"CONCLUÍDA"))</f>
        <v/>
      </c>
      <c r="X189" s="2">
        <f>IF(R189="","",COUNTIFS($C$5:$C$3004,R189,$O$5:$O$3004,"EM ANDAMENTO"))</f>
        <v/>
      </c>
      <c r="Y189" s="2">
        <f>IF(R189="","",IF(COUNTIFS($C$5:$C$3004,R189,$O$5:$O$3004,"CONCLUÍDA",$N$5:$N$3004,"&gt;=-1")=0,"",_xlfn.MAXIFS($N$5:$N$3004,$C$5:$C$3004,R189,$O$5:$O$3004,"CONCLUÍDA")))</f>
        <v/>
      </c>
      <c r="Z189" s="2">
        <f>IF(R189="","",IF(COUNTIFS($C$5:$C$3004,R189,$O$5:$O$3004,"EM ANDAMENTO",$N$5:$N$3004,"&gt;=-1")=0,"",_xlfn.MAXIFS($N$5:$N$3004,$C$5:$C$3004,R189,$O$5:$O$3004,"EM ANDAMENTO")))</f>
        <v/>
      </c>
      <c r="AA189" s="2">
        <f>IF(OR(R189="",S189="",U189&lt;&gt;"SIM",V189=0),"",IF(W189+X189=0,"",T189&amp;": "&amp;IF(W189=V189,"concluído",IF(W189=0,"em execução"&amp;IF(Z189&lt;&gt;""," ("&amp;IF(Z189=-1,"subsolo",IF(Z189=0,"térreo",Z189&amp;"º pav."))&amp;")",""),IF(Y189&lt;&gt;"","até "&amp;IF(Y189=-1,"subsolo",IF(Y189=0,"térreo",Y189&amp;"º pav.")),W189&amp;" de "&amp;V189&amp;" concluídas")&amp;IF(Z189="","",IF(OR(Y189="",Z189&gt;Y189),", executando "&amp;IF(Z189=-1,"subsolo",IF(Z189=0,"térreo",Z189&amp;"º pav."))," (restam serviços no "&amp;IF(Z189=-1,"subsolo",IF(Z189=0,"térreo",Z189&amp;"º pav."))&amp;")"))))))</f>
        <v/>
      </c>
    </row>
    <row r="190">
      <c r="M190" s="2">
        <f>IF(C190="","",IFERROR(INDEX($S$5:$S$304,MATCH(C190,$R$5:$R$304,0))&amp;"","?"))</f>
        <v/>
      </c>
      <c r="N190" s="2">
        <f>IF(E190="","",IF(LEFT(E190,7)="SUBSOLO",-1,IF(LEFT(E190,6)="TÉRREO",0,IFERROR(VALUE(LEFT(E190,FIND("º",SUBSTITUTE(E190,"°","º"))-1)),""))))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5" t="n"/>
      <c r="S190" s="5" t="n"/>
      <c r="T190" s="5" t="n"/>
      <c r="U190" s="5" t="n"/>
      <c r="V190" s="2">
        <f>IF(R190="","",COUNTIF($C$5:$C$3004,R190))</f>
        <v/>
      </c>
      <c r="W190" s="2">
        <f>IF(R190="","",COUNTIFS($C$5:$C$3004,R190,$O$5:$O$3004,"CONCLUÍDA"))</f>
        <v/>
      </c>
      <c r="X190" s="2">
        <f>IF(R190="","",COUNTIFS($C$5:$C$3004,R190,$O$5:$O$3004,"EM ANDAMENTO"))</f>
        <v/>
      </c>
      <c r="Y190" s="2">
        <f>IF(R190="","",IF(COUNTIFS($C$5:$C$3004,R190,$O$5:$O$3004,"CONCLUÍDA",$N$5:$N$3004,"&gt;=-1")=0,"",_xlfn.MAXIFS($N$5:$N$3004,$C$5:$C$3004,R190,$O$5:$O$3004,"CONCLUÍDA")))</f>
        <v/>
      </c>
      <c r="Z190" s="2">
        <f>IF(R190="","",IF(COUNTIFS($C$5:$C$3004,R190,$O$5:$O$3004,"EM ANDAMENTO",$N$5:$N$3004,"&gt;=-1")=0,"",_xlfn.MAXIFS($N$5:$N$3004,$C$5:$C$3004,R190,$O$5:$O$3004,"EM ANDAMENTO")))</f>
        <v/>
      </c>
      <c r="AA190" s="2">
        <f>IF(OR(R190="",S190="",U190&lt;&gt;"SIM",V190=0),"",IF(W190+X190=0,"",T190&amp;": "&amp;IF(W190=V190,"concluído",IF(W190=0,"em execução"&amp;IF(Z190&lt;&gt;""," ("&amp;IF(Z190=-1,"subsolo",IF(Z190=0,"térreo",Z190&amp;"º pav."))&amp;")",""),IF(Y190&lt;&gt;"","até "&amp;IF(Y190=-1,"subsolo",IF(Y190=0,"térreo",Y190&amp;"º pav.")),W190&amp;" de "&amp;V190&amp;" concluídas")&amp;IF(Z190="","",IF(OR(Y190="",Z190&gt;Y190),", executando "&amp;IF(Z190=-1,"subsolo",IF(Z190=0,"térreo",Z190&amp;"º pav."))," (restam serviços no "&amp;IF(Z190=-1,"subsolo",IF(Z190=0,"térreo",Z190&amp;"º pav."))&amp;")"))))))</f>
        <v/>
      </c>
    </row>
    <row r="191">
      <c r="M191" s="2">
        <f>IF(C191="","",IFERROR(INDEX($S$5:$S$304,MATCH(C191,$R$5:$R$304,0))&amp;"","?"))</f>
        <v/>
      </c>
      <c r="N191" s="2">
        <f>IF(E191="","",IF(LEFT(E191,7)="SUBSOLO",-1,IF(LEFT(E191,6)="TÉRREO",0,IFERROR(VALUE(LEFT(E191,FIND("º",SUBSTITUTE(E191,"°","º"))-1)),""))))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5" t="n"/>
      <c r="S191" s="5" t="n"/>
      <c r="T191" s="5" t="n"/>
      <c r="U191" s="5" t="n"/>
      <c r="V191" s="2">
        <f>IF(R191="","",COUNTIF($C$5:$C$3004,R191))</f>
        <v/>
      </c>
      <c r="W191" s="2">
        <f>IF(R191="","",COUNTIFS($C$5:$C$3004,R191,$O$5:$O$3004,"CONCLUÍDA"))</f>
        <v/>
      </c>
      <c r="X191" s="2">
        <f>IF(R191="","",COUNTIFS($C$5:$C$3004,R191,$O$5:$O$3004,"EM ANDAMENTO"))</f>
        <v/>
      </c>
      <c r="Y191" s="2">
        <f>IF(R191="","",IF(COUNTIFS($C$5:$C$3004,R191,$O$5:$O$3004,"CONCLUÍDA",$N$5:$N$3004,"&gt;=-1")=0,"",_xlfn.MAXIFS($N$5:$N$3004,$C$5:$C$3004,R191,$O$5:$O$3004,"CONCLUÍDA")))</f>
        <v/>
      </c>
      <c r="Z191" s="2">
        <f>IF(R191="","",IF(COUNTIFS($C$5:$C$3004,R191,$O$5:$O$3004,"EM ANDAMENTO",$N$5:$N$3004,"&gt;=-1")=0,"",_xlfn.MAXIFS($N$5:$N$3004,$C$5:$C$3004,R191,$O$5:$O$3004,"EM ANDAMENTO")))</f>
        <v/>
      </c>
      <c r="AA191" s="2">
        <f>IF(OR(R191="",S191="",U191&lt;&gt;"SIM",V191=0),"",IF(W191+X191=0,"",T191&amp;": "&amp;IF(W191=V191,"concluído",IF(W191=0,"em execução"&amp;IF(Z191&lt;&gt;""," ("&amp;IF(Z191=-1,"subsolo",IF(Z191=0,"térreo",Z191&amp;"º pav."))&amp;")",""),IF(Y191&lt;&gt;"","até "&amp;IF(Y191=-1,"subsolo",IF(Y191=0,"térreo",Y191&amp;"º pav.")),W191&amp;" de "&amp;V191&amp;" concluídas")&amp;IF(Z191="","",IF(OR(Y191="",Z191&gt;Y191),", executando "&amp;IF(Z191=-1,"subsolo",IF(Z191=0,"térreo",Z191&amp;"º pav."))," (restam serviços no "&amp;IF(Z191=-1,"subsolo",IF(Z191=0,"térreo",Z191&amp;"º pav."))&amp;")"))))))</f>
        <v/>
      </c>
    </row>
    <row r="192">
      <c r="M192" s="2">
        <f>IF(C192="","",IFERROR(INDEX($S$5:$S$304,MATCH(C192,$R$5:$R$304,0))&amp;"","?"))</f>
        <v/>
      </c>
      <c r="N192" s="2">
        <f>IF(E192="","",IF(LEFT(E192,7)="SUBSOLO",-1,IF(LEFT(E192,6)="TÉRREO",0,IFERROR(VALUE(LEFT(E192,FIND("º",SUBSTITUTE(E192,"°","º"))-1)),""))))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5" t="n"/>
      <c r="S192" s="5" t="n"/>
      <c r="T192" s="5" t="n"/>
      <c r="U192" s="5" t="n"/>
      <c r="V192" s="2">
        <f>IF(R192="","",COUNTIF($C$5:$C$3004,R192))</f>
        <v/>
      </c>
      <c r="W192" s="2">
        <f>IF(R192="","",COUNTIFS($C$5:$C$3004,R192,$O$5:$O$3004,"CONCLUÍDA"))</f>
        <v/>
      </c>
      <c r="X192" s="2">
        <f>IF(R192="","",COUNTIFS($C$5:$C$3004,R192,$O$5:$O$3004,"EM ANDAMENTO"))</f>
        <v/>
      </c>
      <c r="Y192" s="2">
        <f>IF(R192="","",IF(COUNTIFS($C$5:$C$3004,R192,$O$5:$O$3004,"CONCLUÍDA",$N$5:$N$3004,"&gt;=-1")=0,"",_xlfn.MAXIFS($N$5:$N$3004,$C$5:$C$3004,R192,$O$5:$O$3004,"CONCLUÍDA")))</f>
        <v/>
      </c>
      <c r="Z192" s="2">
        <f>IF(R192="","",IF(COUNTIFS($C$5:$C$3004,R192,$O$5:$O$3004,"EM ANDAMENTO",$N$5:$N$3004,"&gt;=-1")=0,"",_xlfn.MAXIFS($N$5:$N$3004,$C$5:$C$3004,R192,$O$5:$O$3004,"EM ANDAMENTO")))</f>
        <v/>
      </c>
      <c r="AA192" s="2">
        <f>IF(OR(R192="",S192="",U192&lt;&gt;"SIM",V192=0),"",IF(W192+X192=0,"",T192&amp;": "&amp;IF(W192=V192,"concluído",IF(W192=0,"em execução"&amp;IF(Z192&lt;&gt;""," ("&amp;IF(Z192=-1,"subsolo",IF(Z192=0,"térreo",Z192&amp;"º pav."))&amp;")",""),IF(Y192&lt;&gt;"","até "&amp;IF(Y192=-1,"subsolo",IF(Y192=0,"térreo",Y192&amp;"º pav.")),W192&amp;" de "&amp;V192&amp;" concluídas")&amp;IF(Z192="","",IF(OR(Y192="",Z192&gt;Y192),", executando "&amp;IF(Z192=-1,"subsolo",IF(Z192=0,"térreo",Z192&amp;"º pav."))," (restam serviços no "&amp;IF(Z192=-1,"subsolo",IF(Z192=0,"térreo",Z192&amp;"º pav."))&amp;")"))))))</f>
        <v/>
      </c>
    </row>
    <row r="193">
      <c r="M193" s="2">
        <f>IF(C193="","",IFERROR(INDEX($S$5:$S$304,MATCH(C193,$R$5:$R$304,0))&amp;"","?"))</f>
        <v/>
      </c>
      <c r="N193" s="2">
        <f>IF(E193="","",IF(LEFT(E193,7)="SUBSOLO",-1,IF(LEFT(E193,6)="TÉRREO",0,IFERROR(VALUE(LEFT(E193,FIND("º",SUBSTITUTE(E193,"°","º"))-1)),""))))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5" t="n"/>
      <c r="S193" s="5" t="n"/>
      <c r="T193" s="5" t="n"/>
      <c r="U193" s="5" t="n"/>
      <c r="V193" s="2">
        <f>IF(R193="","",COUNTIF($C$5:$C$3004,R193))</f>
        <v/>
      </c>
      <c r="W193" s="2">
        <f>IF(R193="","",COUNTIFS($C$5:$C$3004,R193,$O$5:$O$3004,"CONCLUÍDA"))</f>
        <v/>
      </c>
      <c r="X193" s="2">
        <f>IF(R193="","",COUNTIFS($C$5:$C$3004,R193,$O$5:$O$3004,"EM ANDAMENTO"))</f>
        <v/>
      </c>
      <c r="Y193" s="2">
        <f>IF(R193="","",IF(COUNTIFS($C$5:$C$3004,R193,$O$5:$O$3004,"CONCLUÍDA",$N$5:$N$3004,"&gt;=-1")=0,"",_xlfn.MAXIFS($N$5:$N$3004,$C$5:$C$3004,R193,$O$5:$O$3004,"CONCLUÍDA")))</f>
        <v/>
      </c>
      <c r="Z193" s="2">
        <f>IF(R193="","",IF(COUNTIFS($C$5:$C$3004,R193,$O$5:$O$3004,"EM ANDAMENTO",$N$5:$N$3004,"&gt;=-1")=0,"",_xlfn.MAXIFS($N$5:$N$3004,$C$5:$C$3004,R193,$O$5:$O$3004,"EM ANDAMENTO")))</f>
        <v/>
      </c>
      <c r="AA193" s="2">
        <f>IF(OR(R193="",S193="",U193&lt;&gt;"SIM",V193=0),"",IF(W193+X193=0,"",T193&amp;": "&amp;IF(W193=V193,"concluído",IF(W193=0,"em execução"&amp;IF(Z193&lt;&gt;""," ("&amp;IF(Z193=-1,"subsolo",IF(Z193=0,"térreo",Z193&amp;"º pav."))&amp;")",""),IF(Y193&lt;&gt;"","até "&amp;IF(Y193=-1,"subsolo",IF(Y193=0,"térreo",Y193&amp;"º pav.")),W193&amp;" de "&amp;V193&amp;" concluídas")&amp;IF(Z193="","",IF(OR(Y193="",Z193&gt;Y193),", executando "&amp;IF(Z193=-1,"subsolo",IF(Z193=0,"térreo",Z193&amp;"º pav."))," (restam serviços no "&amp;IF(Z193=-1,"subsolo",IF(Z193=0,"térreo",Z193&amp;"º pav."))&amp;")"))))))</f>
        <v/>
      </c>
    </row>
    <row r="194">
      <c r="M194" s="2">
        <f>IF(C194="","",IFERROR(INDEX($S$5:$S$304,MATCH(C194,$R$5:$R$304,0))&amp;"","?"))</f>
        <v/>
      </c>
      <c r="N194" s="2">
        <f>IF(E194="","",IF(LEFT(E194,7)="SUBSOLO",-1,IF(LEFT(E194,6)="TÉRREO",0,IFERROR(VALUE(LEFT(E194,FIND("º",SUBSTITUTE(E194,"°","º"))-1)),""))))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5" t="n"/>
      <c r="S194" s="5" t="n"/>
      <c r="T194" s="5" t="n"/>
      <c r="U194" s="5" t="n"/>
      <c r="V194" s="2">
        <f>IF(R194="","",COUNTIF($C$5:$C$3004,R194))</f>
        <v/>
      </c>
      <c r="W194" s="2">
        <f>IF(R194="","",COUNTIFS($C$5:$C$3004,R194,$O$5:$O$3004,"CONCLUÍDA"))</f>
        <v/>
      </c>
      <c r="X194" s="2">
        <f>IF(R194="","",COUNTIFS($C$5:$C$3004,R194,$O$5:$O$3004,"EM ANDAMENTO"))</f>
        <v/>
      </c>
      <c r="Y194" s="2">
        <f>IF(R194="","",IF(COUNTIFS($C$5:$C$3004,R194,$O$5:$O$3004,"CONCLUÍDA",$N$5:$N$3004,"&gt;=-1")=0,"",_xlfn.MAXIFS($N$5:$N$3004,$C$5:$C$3004,R194,$O$5:$O$3004,"CONCLUÍDA")))</f>
        <v/>
      </c>
      <c r="Z194" s="2">
        <f>IF(R194="","",IF(COUNTIFS($C$5:$C$3004,R194,$O$5:$O$3004,"EM ANDAMENTO",$N$5:$N$3004,"&gt;=-1")=0,"",_xlfn.MAXIFS($N$5:$N$3004,$C$5:$C$3004,R194,$O$5:$O$3004,"EM ANDAMENTO")))</f>
        <v/>
      </c>
      <c r="AA194" s="2">
        <f>IF(OR(R194="",S194="",U194&lt;&gt;"SIM",V194=0),"",IF(W194+X194=0,"",T194&amp;": "&amp;IF(W194=V194,"concluído",IF(W194=0,"em execução"&amp;IF(Z194&lt;&gt;""," ("&amp;IF(Z194=-1,"subsolo",IF(Z194=0,"térreo",Z194&amp;"º pav."))&amp;")",""),IF(Y194&lt;&gt;"","até "&amp;IF(Y194=-1,"subsolo",IF(Y194=0,"térreo",Y194&amp;"º pav.")),W194&amp;" de "&amp;V194&amp;" concluídas")&amp;IF(Z194="","",IF(OR(Y194="",Z194&gt;Y194),", executando "&amp;IF(Z194=-1,"subsolo",IF(Z194=0,"térreo",Z194&amp;"º pav."))," (restam serviços no "&amp;IF(Z194=-1,"subsolo",IF(Z194=0,"térreo",Z194&amp;"º pav."))&amp;")"))))))</f>
        <v/>
      </c>
    </row>
    <row r="195">
      <c r="M195" s="2">
        <f>IF(C195="","",IFERROR(INDEX($S$5:$S$304,MATCH(C195,$R$5:$R$304,0))&amp;"","?"))</f>
        <v/>
      </c>
      <c r="N195" s="2">
        <f>IF(E195="","",IF(LEFT(E195,7)="SUBSOLO",-1,IF(LEFT(E195,6)="TÉRREO",0,IFERROR(VALUE(LEFT(E195,FIND("º",SUBSTITUTE(E195,"°","º"))-1)),""))))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5" t="n"/>
      <c r="S195" s="5" t="n"/>
      <c r="T195" s="5" t="n"/>
      <c r="U195" s="5" t="n"/>
      <c r="V195" s="2">
        <f>IF(R195="","",COUNTIF($C$5:$C$3004,R195))</f>
        <v/>
      </c>
      <c r="W195" s="2">
        <f>IF(R195="","",COUNTIFS($C$5:$C$3004,R195,$O$5:$O$3004,"CONCLUÍDA"))</f>
        <v/>
      </c>
      <c r="X195" s="2">
        <f>IF(R195="","",COUNTIFS($C$5:$C$3004,R195,$O$5:$O$3004,"EM ANDAMENTO"))</f>
        <v/>
      </c>
      <c r="Y195" s="2">
        <f>IF(R195="","",IF(COUNTIFS($C$5:$C$3004,R195,$O$5:$O$3004,"CONCLUÍDA",$N$5:$N$3004,"&gt;=-1")=0,"",_xlfn.MAXIFS($N$5:$N$3004,$C$5:$C$3004,R195,$O$5:$O$3004,"CONCLUÍDA")))</f>
        <v/>
      </c>
      <c r="Z195" s="2">
        <f>IF(R195="","",IF(COUNTIFS($C$5:$C$3004,R195,$O$5:$O$3004,"EM ANDAMENTO",$N$5:$N$3004,"&gt;=-1")=0,"",_xlfn.MAXIFS($N$5:$N$3004,$C$5:$C$3004,R195,$O$5:$O$3004,"EM ANDAMENTO")))</f>
        <v/>
      </c>
      <c r="AA195" s="2">
        <f>IF(OR(R195="",S195="",U195&lt;&gt;"SIM",V195=0),"",IF(W195+X195=0,"",T195&amp;": "&amp;IF(W195=V195,"concluído",IF(W195=0,"em execução"&amp;IF(Z195&lt;&gt;""," ("&amp;IF(Z195=-1,"subsolo",IF(Z195=0,"térreo",Z195&amp;"º pav."))&amp;")",""),IF(Y195&lt;&gt;"","até "&amp;IF(Y195=-1,"subsolo",IF(Y195=0,"térreo",Y195&amp;"º pav.")),W195&amp;" de "&amp;V195&amp;" concluídas")&amp;IF(Z195="","",IF(OR(Y195="",Z195&gt;Y195),", executando "&amp;IF(Z195=-1,"subsolo",IF(Z195=0,"térreo",Z195&amp;"º pav."))," (restam serviços no "&amp;IF(Z195=-1,"subsolo",IF(Z195=0,"térreo",Z195&amp;"º pav."))&amp;")"))))))</f>
        <v/>
      </c>
    </row>
    <row r="196">
      <c r="M196" s="2">
        <f>IF(C196="","",IFERROR(INDEX($S$5:$S$304,MATCH(C196,$R$5:$R$304,0))&amp;"","?"))</f>
        <v/>
      </c>
      <c r="N196" s="2">
        <f>IF(E196="","",IF(LEFT(E196,7)="SUBSOLO",-1,IF(LEFT(E196,6)="TÉRREO",0,IFERROR(VALUE(LEFT(E196,FIND("º",SUBSTITUTE(E196,"°","º"))-1)),""))))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5" t="n"/>
      <c r="S196" s="5" t="n"/>
      <c r="T196" s="5" t="n"/>
      <c r="U196" s="5" t="n"/>
      <c r="V196" s="2">
        <f>IF(R196="","",COUNTIF($C$5:$C$3004,R196))</f>
        <v/>
      </c>
      <c r="W196" s="2">
        <f>IF(R196="","",COUNTIFS($C$5:$C$3004,R196,$O$5:$O$3004,"CONCLUÍDA"))</f>
        <v/>
      </c>
      <c r="X196" s="2">
        <f>IF(R196="","",COUNTIFS($C$5:$C$3004,R196,$O$5:$O$3004,"EM ANDAMENTO"))</f>
        <v/>
      </c>
      <c r="Y196" s="2">
        <f>IF(R196="","",IF(COUNTIFS($C$5:$C$3004,R196,$O$5:$O$3004,"CONCLUÍDA",$N$5:$N$3004,"&gt;=-1")=0,"",_xlfn.MAXIFS($N$5:$N$3004,$C$5:$C$3004,R196,$O$5:$O$3004,"CONCLUÍDA")))</f>
        <v/>
      </c>
      <c r="Z196" s="2">
        <f>IF(R196="","",IF(COUNTIFS($C$5:$C$3004,R196,$O$5:$O$3004,"EM ANDAMENTO",$N$5:$N$3004,"&gt;=-1")=0,"",_xlfn.MAXIFS($N$5:$N$3004,$C$5:$C$3004,R196,$O$5:$O$3004,"EM ANDAMENTO")))</f>
        <v/>
      </c>
      <c r="AA196" s="2">
        <f>IF(OR(R196="",S196="",U196&lt;&gt;"SIM",V196=0),"",IF(W196+X196=0,"",T196&amp;": "&amp;IF(W196=V196,"concluído",IF(W196=0,"em execução"&amp;IF(Z196&lt;&gt;""," ("&amp;IF(Z196=-1,"subsolo",IF(Z196=0,"térreo",Z196&amp;"º pav."))&amp;")",""),IF(Y196&lt;&gt;"","até "&amp;IF(Y196=-1,"subsolo",IF(Y196=0,"térreo",Y196&amp;"º pav.")),W196&amp;" de "&amp;V196&amp;" concluídas")&amp;IF(Z196="","",IF(OR(Y196="",Z196&gt;Y196),", executando "&amp;IF(Z196=-1,"subsolo",IF(Z196=0,"térreo",Z196&amp;"º pav."))," (restam serviços no "&amp;IF(Z196=-1,"subsolo",IF(Z196=0,"térreo",Z196&amp;"º pav."))&amp;")"))))))</f>
        <v/>
      </c>
    </row>
    <row r="197">
      <c r="M197" s="2">
        <f>IF(C197="","",IFERROR(INDEX($S$5:$S$304,MATCH(C197,$R$5:$R$304,0))&amp;"","?"))</f>
        <v/>
      </c>
      <c r="N197" s="2">
        <f>IF(E197="","",IF(LEFT(E197,7)="SUBSOLO",-1,IF(LEFT(E197,6)="TÉRREO",0,IFERROR(VALUE(LEFT(E197,FIND("º",SUBSTITUTE(E197,"°","º"))-1)),""))))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5" t="n"/>
      <c r="S197" s="5" t="n"/>
      <c r="T197" s="5" t="n"/>
      <c r="U197" s="5" t="n"/>
      <c r="V197" s="2">
        <f>IF(R197="","",COUNTIF($C$5:$C$3004,R197))</f>
        <v/>
      </c>
      <c r="W197" s="2">
        <f>IF(R197="","",COUNTIFS($C$5:$C$3004,R197,$O$5:$O$3004,"CONCLUÍDA"))</f>
        <v/>
      </c>
      <c r="X197" s="2">
        <f>IF(R197="","",COUNTIFS($C$5:$C$3004,R197,$O$5:$O$3004,"EM ANDAMENTO"))</f>
        <v/>
      </c>
      <c r="Y197" s="2">
        <f>IF(R197="","",IF(COUNTIFS($C$5:$C$3004,R197,$O$5:$O$3004,"CONCLUÍDA",$N$5:$N$3004,"&gt;=-1")=0,"",_xlfn.MAXIFS($N$5:$N$3004,$C$5:$C$3004,R197,$O$5:$O$3004,"CONCLUÍDA")))</f>
        <v/>
      </c>
      <c r="Z197" s="2">
        <f>IF(R197="","",IF(COUNTIFS($C$5:$C$3004,R197,$O$5:$O$3004,"EM ANDAMENTO",$N$5:$N$3004,"&gt;=-1")=0,"",_xlfn.MAXIFS($N$5:$N$3004,$C$5:$C$3004,R197,$O$5:$O$3004,"EM ANDAMENTO")))</f>
        <v/>
      </c>
      <c r="AA197" s="2">
        <f>IF(OR(R197="",S197="",U197&lt;&gt;"SIM",V197=0),"",IF(W197+X197=0,"",T197&amp;": "&amp;IF(W197=V197,"concluído",IF(W197=0,"em execução"&amp;IF(Z197&lt;&gt;""," ("&amp;IF(Z197=-1,"subsolo",IF(Z197=0,"térreo",Z197&amp;"º pav."))&amp;")",""),IF(Y197&lt;&gt;"","até "&amp;IF(Y197=-1,"subsolo",IF(Y197=0,"térreo",Y197&amp;"º pav.")),W197&amp;" de "&amp;V197&amp;" concluídas")&amp;IF(Z197="","",IF(OR(Y197="",Z197&gt;Y197),", executando "&amp;IF(Z197=-1,"subsolo",IF(Z197=0,"térreo",Z197&amp;"º pav."))," (restam serviços no "&amp;IF(Z197=-1,"subsolo",IF(Z197=0,"térreo",Z197&amp;"º pav."))&amp;")"))))))</f>
        <v/>
      </c>
    </row>
    <row r="198">
      <c r="M198" s="2">
        <f>IF(C198="","",IFERROR(INDEX($S$5:$S$304,MATCH(C198,$R$5:$R$304,0))&amp;"","?"))</f>
        <v/>
      </c>
      <c r="N198" s="2">
        <f>IF(E198="","",IF(LEFT(E198,7)="SUBSOLO",-1,IF(LEFT(E198,6)="TÉRREO",0,IFERROR(VALUE(LEFT(E198,FIND("º",SUBSTITUTE(E198,"°","º"))-1)),""))))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5" t="n"/>
      <c r="S198" s="5" t="n"/>
      <c r="T198" s="5" t="n"/>
      <c r="U198" s="5" t="n"/>
      <c r="V198" s="2">
        <f>IF(R198="","",COUNTIF($C$5:$C$3004,R198))</f>
        <v/>
      </c>
      <c r="W198" s="2">
        <f>IF(R198="","",COUNTIFS($C$5:$C$3004,R198,$O$5:$O$3004,"CONCLUÍDA"))</f>
        <v/>
      </c>
      <c r="X198" s="2">
        <f>IF(R198="","",COUNTIFS($C$5:$C$3004,R198,$O$5:$O$3004,"EM ANDAMENTO"))</f>
        <v/>
      </c>
      <c r="Y198" s="2">
        <f>IF(R198="","",IF(COUNTIFS($C$5:$C$3004,R198,$O$5:$O$3004,"CONCLUÍDA",$N$5:$N$3004,"&gt;=-1")=0,"",_xlfn.MAXIFS($N$5:$N$3004,$C$5:$C$3004,R198,$O$5:$O$3004,"CONCLUÍDA")))</f>
        <v/>
      </c>
      <c r="Z198" s="2">
        <f>IF(R198="","",IF(COUNTIFS($C$5:$C$3004,R198,$O$5:$O$3004,"EM ANDAMENTO",$N$5:$N$3004,"&gt;=-1")=0,"",_xlfn.MAXIFS($N$5:$N$3004,$C$5:$C$3004,R198,$O$5:$O$3004,"EM ANDAMENTO")))</f>
        <v/>
      </c>
      <c r="AA198" s="2">
        <f>IF(OR(R198="",S198="",U198&lt;&gt;"SIM",V198=0),"",IF(W198+X198=0,"",T198&amp;": "&amp;IF(W198=V198,"concluído",IF(W198=0,"em execução"&amp;IF(Z198&lt;&gt;""," ("&amp;IF(Z198=-1,"subsolo",IF(Z198=0,"térreo",Z198&amp;"º pav."))&amp;")",""),IF(Y198&lt;&gt;"","até "&amp;IF(Y198=-1,"subsolo",IF(Y198=0,"térreo",Y198&amp;"º pav.")),W198&amp;" de "&amp;V198&amp;" concluídas")&amp;IF(Z198="","",IF(OR(Y198="",Z198&gt;Y198),", executando "&amp;IF(Z198=-1,"subsolo",IF(Z198=0,"térreo",Z198&amp;"º pav."))," (restam serviços no "&amp;IF(Z198=-1,"subsolo",IF(Z198=0,"térreo",Z198&amp;"º pav."))&amp;")"))))))</f>
        <v/>
      </c>
    </row>
    <row r="199">
      <c r="M199" s="2">
        <f>IF(C199="","",IFERROR(INDEX($S$5:$S$304,MATCH(C199,$R$5:$R$304,0))&amp;"","?"))</f>
        <v/>
      </c>
      <c r="N199" s="2">
        <f>IF(E199="","",IF(LEFT(E199,7)="SUBSOLO",-1,IF(LEFT(E199,6)="TÉRREO",0,IFERROR(VALUE(LEFT(E199,FIND("º",SUBSTITUTE(E199,"°","º"))-1)),""))))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5" t="n"/>
      <c r="S199" s="5" t="n"/>
      <c r="T199" s="5" t="n"/>
      <c r="U199" s="5" t="n"/>
      <c r="V199" s="2">
        <f>IF(R199="","",COUNTIF($C$5:$C$3004,R199))</f>
        <v/>
      </c>
      <c r="W199" s="2">
        <f>IF(R199="","",COUNTIFS($C$5:$C$3004,R199,$O$5:$O$3004,"CONCLUÍDA"))</f>
        <v/>
      </c>
      <c r="X199" s="2">
        <f>IF(R199="","",COUNTIFS($C$5:$C$3004,R199,$O$5:$O$3004,"EM ANDAMENTO"))</f>
        <v/>
      </c>
      <c r="Y199" s="2">
        <f>IF(R199="","",IF(COUNTIFS($C$5:$C$3004,R199,$O$5:$O$3004,"CONCLUÍDA",$N$5:$N$3004,"&gt;=-1")=0,"",_xlfn.MAXIFS($N$5:$N$3004,$C$5:$C$3004,R199,$O$5:$O$3004,"CONCLUÍDA")))</f>
        <v/>
      </c>
      <c r="Z199" s="2">
        <f>IF(R199="","",IF(COUNTIFS($C$5:$C$3004,R199,$O$5:$O$3004,"EM ANDAMENTO",$N$5:$N$3004,"&gt;=-1")=0,"",_xlfn.MAXIFS($N$5:$N$3004,$C$5:$C$3004,R199,$O$5:$O$3004,"EM ANDAMENTO")))</f>
        <v/>
      </c>
      <c r="AA199" s="2">
        <f>IF(OR(R199="",S199="",U199&lt;&gt;"SIM",V199=0),"",IF(W199+X199=0,"",T199&amp;": "&amp;IF(W199=V199,"concluído",IF(W199=0,"em execução"&amp;IF(Z199&lt;&gt;""," ("&amp;IF(Z199=-1,"subsolo",IF(Z199=0,"térreo",Z199&amp;"º pav."))&amp;")",""),IF(Y199&lt;&gt;"","até "&amp;IF(Y199=-1,"subsolo",IF(Y199=0,"térreo",Y199&amp;"º pav.")),W199&amp;" de "&amp;V199&amp;" concluídas")&amp;IF(Z199="","",IF(OR(Y199="",Z199&gt;Y199),", executando "&amp;IF(Z199=-1,"subsolo",IF(Z199=0,"térreo",Z199&amp;"º pav."))," (restam serviços no "&amp;IF(Z199=-1,"subsolo",IF(Z199=0,"térreo",Z199&amp;"º pav."))&amp;")"))))))</f>
        <v/>
      </c>
    </row>
    <row r="200">
      <c r="M200" s="2">
        <f>IF(C200="","",IFERROR(INDEX($S$5:$S$304,MATCH(C200,$R$5:$R$304,0))&amp;"","?"))</f>
        <v/>
      </c>
      <c r="N200" s="2">
        <f>IF(E200="","",IF(LEFT(E200,7)="SUBSOLO",-1,IF(LEFT(E200,6)="TÉRREO",0,IFERROR(VALUE(LEFT(E200,FIND("º",SUBSTITUTE(E200,"°","º"))-1)),""))))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5" t="n"/>
      <c r="S200" s="5" t="n"/>
      <c r="T200" s="5" t="n"/>
      <c r="U200" s="5" t="n"/>
      <c r="V200" s="2">
        <f>IF(R200="","",COUNTIF($C$5:$C$3004,R200))</f>
        <v/>
      </c>
      <c r="W200" s="2">
        <f>IF(R200="","",COUNTIFS($C$5:$C$3004,R200,$O$5:$O$3004,"CONCLUÍDA"))</f>
        <v/>
      </c>
      <c r="X200" s="2">
        <f>IF(R200="","",COUNTIFS($C$5:$C$3004,R200,$O$5:$O$3004,"EM ANDAMENTO"))</f>
        <v/>
      </c>
      <c r="Y200" s="2">
        <f>IF(R200="","",IF(COUNTIFS($C$5:$C$3004,R200,$O$5:$O$3004,"CONCLUÍDA",$N$5:$N$3004,"&gt;=-1")=0,"",_xlfn.MAXIFS($N$5:$N$3004,$C$5:$C$3004,R200,$O$5:$O$3004,"CONCLUÍDA")))</f>
        <v/>
      </c>
      <c r="Z200" s="2">
        <f>IF(R200="","",IF(COUNTIFS($C$5:$C$3004,R200,$O$5:$O$3004,"EM ANDAMENTO",$N$5:$N$3004,"&gt;=-1")=0,"",_xlfn.MAXIFS($N$5:$N$3004,$C$5:$C$3004,R200,$O$5:$O$3004,"EM ANDAMENTO")))</f>
        <v/>
      </c>
      <c r="AA200" s="2">
        <f>IF(OR(R200="",S200="",U200&lt;&gt;"SIM",V200=0),"",IF(W200+X200=0,"",T200&amp;": "&amp;IF(W200=V200,"concluído",IF(W200=0,"em execução"&amp;IF(Z200&lt;&gt;""," ("&amp;IF(Z200=-1,"subsolo",IF(Z200=0,"térreo",Z200&amp;"º pav."))&amp;")",""),IF(Y200&lt;&gt;"","até "&amp;IF(Y200=-1,"subsolo",IF(Y200=0,"térreo",Y200&amp;"º pav.")),W200&amp;" de "&amp;V200&amp;" concluídas")&amp;IF(Z200="","",IF(OR(Y200="",Z200&gt;Y200),", executando "&amp;IF(Z200=-1,"subsolo",IF(Z200=0,"térreo",Z200&amp;"º pav."))," (restam serviços no "&amp;IF(Z200=-1,"subsolo",IF(Z200=0,"térreo",Z200&amp;"º pav."))&amp;")"))))))</f>
        <v/>
      </c>
    </row>
    <row r="201">
      <c r="M201" s="2">
        <f>IF(C201="","",IFERROR(INDEX($S$5:$S$304,MATCH(C201,$R$5:$R$304,0))&amp;"","?"))</f>
        <v/>
      </c>
      <c r="N201" s="2">
        <f>IF(E201="","",IF(LEFT(E201,7)="SUBSOLO",-1,IF(LEFT(E201,6)="TÉRREO",0,IFERROR(VALUE(LEFT(E201,FIND("º",SUBSTITUTE(E201,"°","º"))-1)),""))))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5" t="n"/>
      <c r="S201" s="5" t="n"/>
      <c r="T201" s="5" t="n"/>
      <c r="U201" s="5" t="n"/>
      <c r="V201" s="2">
        <f>IF(R201="","",COUNTIF($C$5:$C$3004,R201))</f>
        <v/>
      </c>
      <c r="W201" s="2">
        <f>IF(R201="","",COUNTIFS($C$5:$C$3004,R201,$O$5:$O$3004,"CONCLUÍDA"))</f>
        <v/>
      </c>
      <c r="X201" s="2">
        <f>IF(R201="","",COUNTIFS($C$5:$C$3004,R201,$O$5:$O$3004,"EM ANDAMENTO"))</f>
        <v/>
      </c>
      <c r="Y201" s="2">
        <f>IF(R201="","",IF(COUNTIFS($C$5:$C$3004,R201,$O$5:$O$3004,"CONCLUÍDA",$N$5:$N$3004,"&gt;=-1")=0,"",_xlfn.MAXIFS($N$5:$N$3004,$C$5:$C$3004,R201,$O$5:$O$3004,"CONCLUÍDA")))</f>
        <v/>
      </c>
      <c r="Z201" s="2">
        <f>IF(R201="","",IF(COUNTIFS($C$5:$C$3004,R201,$O$5:$O$3004,"EM ANDAMENTO",$N$5:$N$3004,"&gt;=-1")=0,"",_xlfn.MAXIFS($N$5:$N$3004,$C$5:$C$3004,R201,$O$5:$O$3004,"EM ANDAMENTO")))</f>
        <v/>
      </c>
      <c r="AA201" s="2">
        <f>IF(OR(R201="",S201="",U201&lt;&gt;"SIM",V201=0),"",IF(W201+X201=0,"",T201&amp;": "&amp;IF(W201=V201,"concluído",IF(W201=0,"em execução"&amp;IF(Z201&lt;&gt;""," ("&amp;IF(Z201=-1,"subsolo",IF(Z201=0,"térreo",Z201&amp;"º pav."))&amp;")",""),IF(Y201&lt;&gt;"","até "&amp;IF(Y201=-1,"subsolo",IF(Y201=0,"térreo",Y201&amp;"º pav.")),W201&amp;" de "&amp;V201&amp;" concluídas")&amp;IF(Z201="","",IF(OR(Y201="",Z201&gt;Y201),", executando "&amp;IF(Z201=-1,"subsolo",IF(Z201=0,"térreo",Z201&amp;"º pav."))," (restam serviços no "&amp;IF(Z201=-1,"subsolo",IF(Z201=0,"térreo",Z201&amp;"º pav."))&amp;")"))))))</f>
        <v/>
      </c>
    </row>
    <row r="202">
      <c r="M202" s="2">
        <f>IF(C202="","",IFERROR(INDEX($S$5:$S$304,MATCH(C202,$R$5:$R$304,0))&amp;"","?"))</f>
        <v/>
      </c>
      <c r="N202" s="2">
        <f>IF(E202="","",IF(LEFT(E202,7)="SUBSOLO",-1,IF(LEFT(E202,6)="TÉRREO",0,IFERROR(VALUE(LEFT(E202,FIND("º",SUBSTITUTE(E202,"°","º"))-1)),""))))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5" t="n"/>
      <c r="S202" s="5" t="n"/>
      <c r="T202" s="5" t="n"/>
      <c r="U202" s="5" t="n"/>
      <c r="V202" s="2">
        <f>IF(R202="","",COUNTIF($C$5:$C$3004,R202))</f>
        <v/>
      </c>
      <c r="W202" s="2">
        <f>IF(R202="","",COUNTIFS($C$5:$C$3004,R202,$O$5:$O$3004,"CONCLUÍDA"))</f>
        <v/>
      </c>
      <c r="X202" s="2">
        <f>IF(R202="","",COUNTIFS($C$5:$C$3004,R202,$O$5:$O$3004,"EM ANDAMENTO"))</f>
        <v/>
      </c>
      <c r="Y202" s="2">
        <f>IF(R202="","",IF(COUNTIFS($C$5:$C$3004,R202,$O$5:$O$3004,"CONCLUÍDA",$N$5:$N$3004,"&gt;=-1")=0,"",_xlfn.MAXIFS($N$5:$N$3004,$C$5:$C$3004,R202,$O$5:$O$3004,"CONCLUÍDA")))</f>
        <v/>
      </c>
      <c r="Z202" s="2">
        <f>IF(R202="","",IF(COUNTIFS($C$5:$C$3004,R202,$O$5:$O$3004,"EM ANDAMENTO",$N$5:$N$3004,"&gt;=-1")=0,"",_xlfn.MAXIFS($N$5:$N$3004,$C$5:$C$3004,R202,$O$5:$O$3004,"EM ANDAMENTO")))</f>
        <v/>
      </c>
      <c r="AA202" s="2">
        <f>IF(OR(R202="",S202="",U202&lt;&gt;"SIM",V202=0),"",IF(W202+X202=0,"",T202&amp;": "&amp;IF(W202=V202,"concluído",IF(W202=0,"em execução"&amp;IF(Z202&lt;&gt;""," ("&amp;IF(Z202=-1,"subsolo",IF(Z202=0,"térreo",Z202&amp;"º pav."))&amp;")",""),IF(Y202&lt;&gt;"","até "&amp;IF(Y202=-1,"subsolo",IF(Y202=0,"térreo",Y202&amp;"º pav.")),W202&amp;" de "&amp;V202&amp;" concluídas")&amp;IF(Z202="","",IF(OR(Y202="",Z202&gt;Y202),", executando "&amp;IF(Z202=-1,"subsolo",IF(Z202=0,"térreo",Z202&amp;"º pav."))," (restam serviços no "&amp;IF(Z202=-1,"subsolo",IF(Z202=0,"térreo",Z202&amp;"º pav."))&amp;")"))))))</f>
        <v/>
      </c>
    </row>
    <row r="203">
      <c r="M203" s="2">
        <f>IF(C203="","",IFERROR(INDEX($S$5:$S$304,MATCH(C203,$R$5:$R$304,0))&amp;"","?"))</f>
        <v/>
      </c>
      <c r="N203" s="2">
        <f>IF(E203="","",IF(LEFT(E203,7)="SUBSOLO",-1,IF(LEFT(E203,6)="TÉRREO",0,IFERROR(VALUE(LEFT(E203,FIND("º",SUBSTITUTE(E203,"°","º"))-1)),""))))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5" t="n"/>
      <c r="S203" s="5" t="n"/>
      <c r="T203" s="5" t="n"/>
      <c r="U203" s="5" t="n"/>
      <c r="V203" s="2">
        <f>IF(R203="","",COUNTIF($C$5:$C$3004,R203))</f>
        <v/>
      </c>
      <c r="W203" s="2">
        <f>IF(R203="","",COUNTIFS($C$5:$C$3004,R203,$O$5:$O$3004,"CONCLUÍDA"))</f>
        <v/>
      </c>
      <c r="X203" s="2">
        <f>IF(R203="","",COUNTIFS($C$5:$C$3004,R203,$O$5:$O$3004,"EM ANDAMENTO"))</f>
        <v/>
      </c>
      <c r="Y203" s="2">
        <f>IF(R203="","",IF(COUNTIFS($C$5:$C$3004,R203,$O$5:$O$3004,"CONCLUÍDA",$N$5:$N$3004,"&gt;=-1")=0,"",_xlfn.MAXIFS($N$5:$N$3004,$C$5:$C$3004,R203,$O$5:$O$3004,"CONCLUÍDA")))</f>
        <v/>
      </c>
      <c r="Z203" s="2">
        <f>IF(R203="","",IF(COUNTIFS($C$5:$C$3004,R203,$O$5:$O$3004,"EM ANDAMENTO",$N$5:$N$3004,"&gt;=-1")=0,"",_xlfn.MAXIFS($N$5:$N$3004,$C$5:$C$3004,R203,$O$5:$O$3004,"EM ANDAMENTO")))</f>
        <v/>
      </c>
      <c r="AA203" s="2">
        <f>IF(OR(R203="",S203="",U203&lt;&gt;"SIM",V203=0),"",IF(W203+X203=0,"",T203&amp;": "&amp;IF(W203=V203,"concluído",IF(W203=0,"em execução"&amp;IF(Z203&lt;&gt;""," ("&amp;IF(Z203=-1,"subsolo",IF(Z203=0,"térreo",Z203&amp;"º pav."))&amp;")",""),IF(Y203&lt;&gt;"","até "&amp;IF(Y203=-1,"subsolo",IF(Y203=0,"térreo",Y203&amp;"º pav.")),W203&amp;" de "&amp;V203&amp;" concluídas")&amp;IF(Z203="","",IF(OR(Y203="",Z203&gt;Y203),", executando "&amp;IF(Z203=-1,"subsolo",IF(Z203=0,"térreo",Z203&amp;"º pav."))," (restam serviços no "&amp;IF(Z203=-1,"subsolo",IF(Z203=0,"térreo",Z203&amp;"º pav."))&amp;")"))))))</f>
        <v/>
      </c>
    </row>
    <row r="204">
      <c r="M204" s="2">
        <f>IF(C204="","",IFERROR(INDEX($S$5:$S$304,MATCH(C204,$R$5:$R$304,0))&amp;"","?"))</f>
        <v/>
      </c>
      <c r="N204" s="2">
        <f>IF(E204="","",IF(LEFT(E204,7)="SUBSOLO",-1,IF(LEFT(E204,6)="TÉRREO",0,IFERROR(VALUE(LEFT(E204,FIND("º",SUBSTITUTE(E204,"°","º"))-1)),""))))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5" t="n"/>
      <c r="S204" s="5" t="n"/>
      <c r="T204" s="5" t="n"/>
      <c r="U204" s="5" t="n"/>
      <c r="V204" s="2">
        <f>IF(R204="","",COUNTIF($C$5:$C$3004,R204))</f>
        <v/>
      </c>
      <c r="W204" s="2">
        <f>IF(R204="","",COUNTIFS($C$5:$C$3004,R204,$O$5:$O$3004,"CONCLUÍDA"))</f>
        <v/>
      </c>
      <c r="X204" s="2">
        <f>IF(R204="","",COUNTIFS($C$5:$C$3004,R204,$O$5:$O$3004,"EM ANDAMENTO"))</f>
        <v/>
      </c>
      <c r="Y204" s="2">
        <f>IF(R204="","",IF(COUNTIFS($C$5:$C$3004,R204,$O$5:$O$3004,"CONCLUÍDA",$N$5:$N$3004,"&gt;=-1")=0,"",_xlfn.MAXIFS($N$5:$N$3004,$C$5:$C$3004,R204,$O$5:$O$3004,"CONCLUÍDA")))</f>
        <v/>
      </c>
      <c r="Z204" s="2">
        <f>IF(R204="","",IF(COUNTIFS($C$5:$C$3004,R204,$O$5:$O$3004,"EM ANDAMENTO",$N$5:$N$3004,"&gt;=-1")=0,"",_xlfn.MAXIFS($N$5:$N$3004,$C$5:$C$3004,R204,$O$5:$O$3004,"EM ANDAMENTO")))</f>
        <v/>
      </c>
      <c r="AA204" s="2">
        <f>IF(OR(R204="",S204="",U204&lt;&gt;"SIM",V204=0),"",IF(W204+X204=0,"",T204&amp;": "&amp;IF(W204=V204,"concluído",IF(W204=0,"em execução"&amp;IF(Z204&lt;&gt;""," ("&amp;IF(Z204=-1,"subsolo",IF(Z204=0,"térreo",Z204&amp;"º pav."))&amp;")",""),IF(Y204&lt;&gt;"","até "&amp;IF(Y204=-1,"subsolo",IF(Y204=0,"térreo",Y204&amp;"º pav.")),W204&amp;" de "&amp;V204&amp;" concluídas")&amp;IF(Z204="","",IF(OR(Y204="",Z204&gt;Y204),", executando "&amp;IF(Z204=-1,"subsolo",IF(Z204=0,"térreo",Z204&amp;"º pav."))," (restam serviços no "&amp;IF(Z204=-1,"subsolo",IF(Z204=0,"térreo",Z204&amp;"º pav."))&amp;")"))))))</f>
        <v/>
      </c>
    </row>
    <row r="205">
      <c r="M205" s="2">
        <f>IF(C205="","",IFERROR(INDEX($S$5:$S$304,MATCH(C205,$R$5:$R$304,0))&amp;"","?"))</f>
        <v/>
      </c>
      <c r="N205" s="2">
        <f>IF(E205="","",IF(LEFT(E205,7)="SUBSOLO",-1,IF(LEFT(E205,6)="TÉRREO",0,IFERROR(VALUE(LEFT(E205,FIND("º",SUBSTITUTE(E205,"°","º"))-1)),""))))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5" t="n"/>
      <c r="S205" s="5" t="n"/>
      <c r="T205" s="5" t="n"/>
      <c r="U205" s="5" t="n"/>
      <c r="V205" s="2">
        <f>IF(R205="","",COUNTIF($C$5:$C$3004,R205))</f>
        <v/>
      </c>
      <c r="W205" s="2">
        <f>IF(R205="","",COUNTIFS($C$5:$C$3004,R205,$O$5:$O$3004,"CONCLUÍDA"))</f>
        <v/>
      </c>
      <c r="X205" s="2">
        <f>IF(R205="","",COUNTIFS($C$5:$C$3004,R205,$O$5:$O$3004,"EM ANDAMENTO"))</f>
        <v/>
      </c>
      <c r="Y205" s="2">
        <f>IF(R205="","",IF(COUNTIFS($C$5:$C$3004,R205,$O$5:$O$3004,"CONCLUÍDA",$N$5:$N$3004,"&gt;=-1")=0,"",_xlfn.MAXIFS($N$5:$N$3004,$C$5:$C$3004,R205,$O$5:$O$3004,"CONCLUÍDA")))</f>
        <v/>
      </c>
      <c r="Z205" s="2">
        <f>IF(R205="","",IF(COUNTIFS($C$5:$C$3004,R205,$O$5:$O$3004,"EM ANDAMENTO",$N$5:$N$3004,"&gt;=-1")=0,"",_xlfn.MAXIFS($N$5:$N$3004,$C$5:$C$3004,R205,$O$5:$O$3004,"EM ANDAMENTO")))</f>
        <v/>
      </c>
      <c r="AA205" s="2">
        <f>IF(OR(R205="",S205="",U205&lt;&gt;"SIM",V205=0),"",IF(W205+X205=0,"",T205&amp;": "&amp;IF(W205=V205,"concluído",IF(W205=0,"em execução"&amp;IF(Z205&lt;&gt;""," ("&amp;IF(Z205=-1,"subsolo",IF(Z205=0,"térreo",Z205&amp;"º pav."))&amp;")",""),IF(Y205&lt;&gt;"","até "&amp;IF(Y205=-1,"subsolo",IF(Y205=0,"térreo",Y205&amp;"º pav.")),W205&amp;" de "&amp;V205&amp;" concluídas")&amp;IF(Z205="","",IF(OR(Y205="",Z205&gt;Y205),", executando "&amp;IF(Z205=-1,"subsolo",IF(Z205=0,"térreo",Z205&amp;"º pav."))," (restam serviços no "&amp;IF(Z205=-1,"subsolo",IF(Z205=0,"térreo",Z205&amp;"º pav."))&amp;")"))))))</f>
        <v/>
      </c>
    </row>
    <row r="206">
      <c r="M206" s="2">
        <f>IF(C206="","",IFERROR(INDEX($S$5:$S$304,MATCH(C206,$R$5:$R$304,0))&amp;"","?"))</f>
        <v/>
      </c>
      <c r="N206" s="2">
        <f>IF(E206="","",IF(LEFT(E206,7)="SUBSOLO",-1,IF(LEFT(E206,6)="TÉRREO",0,IFERROR(VALUE(LEFT(E206,FIND("º",SUBSTITUTE(E206,"°","º"))-1)),""))))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5" t="n"/>
      <c r="S206" s="5" t="n"/>
      <c r="T206" s="5" t="n"/>
      <c r="U206" s="5" t="n"/>
      <c r="V206" s="2">
        <f>IF(R206="","",COUNTIF($C$5:$C$3004,R206))</f>
        <v/>
      </c>
      <c r="W206" s="2">
        <f>IF(R206="","",COUNTIFS($C$5:$C$3004,R206,$O$5:$O$3004,"CONCLUÍDA"))</f>
        <v/>
      </c>
      <c r="X206" s="2">
        <f>IF(R206="","",COUNTIFS($C$5:$C$3004,R206,$O$5:$O$3004,"EM ANDAMENTO"))</f>
        <v/>
      </c>
      <c r="Y206" s="2">
        <f>IF(R206="","",IF(COUNTIFS($C$5:$C$3004,R206,$O$5:$O$3004,"CONCLUÍDA",$N$5:$N$3004,"&gt;=-1")=0,"",_xlfn.MAXIFS($N$5:$N$3004,$C$5:$C$3004,R206,$O$5:$O$3004,"CONCLUÍDA")))</f>
        <v/>
      </c>
      <c r="Z206" s="2">
        <f>IF(R206="","",IF(COUNTIFS($C$5:$C$3004,R206,$O$5:$O$3004,"EM ANDAMENTO",$N$5:$N$3004,"&gt;=-1")=0,"",_xlfn.MAXIFS($N$5:$N$3004,$C$5:$C$3004,R206,$O$5:$O$3004,"EM ANDAMENTO")))</f>
        <v/>
      </c>
      <c r="AA206" s="2">
        <f>IF(OR(R206="",S206="",U206&lt;&gt;"SIM",V206=0),"",IF(W206+X206=0,"",T206&amp;": "&amp;IF(W206=V206,"concluído",IF(W206=0,"em execução"&amp;IF(Z206&lt;&gt;""," ("&amp;IF(Z206=-1,"subsolo",IF(Z206=0,"térreo",Z206&amp;"º pav."))&amp;")",""),IF(Y206&lt;&gt;"","até "&amp;IF(Y206=-1,"subsolo",IF(Y206=0,"térreo",Y206&amp;"º pav.")),W206&amp;" de "&amp;V206&amp;" concluídas")&amp;IF(Z206="","",IF(OR(Y206="",Z206&gt;Y206),", executando "&amp;IF(Z206=-1,"subsolo",IF(Z206=0,"térreo",Z206&amp;"º pav."))," (restam serviços no "&amp;IF(Z206=-1,"subsolo",IF(Z206=0,"térreo",Z206&amp;"º pav."))&amp;")"))))))</f>
        <v/>
      </c>
    </row>
    <row r="207">
      <c r="M207" s="2">
        <f>IF(C207="","",IFERROR(INDEX($S$5:$S$304,MATCH(C207,$R$5:$R$304,0))&amp;"","?"))</f>
        <v/>
      </c>
      <c r="N207" s="2">
        <f>IF(E207="","",IF(LEFT(E207,7)="SUBSOLO",-1,IF(LEFT(E207,6)="TÉRREO",0,IFERROR(VALUE(LEFT(E207,FIND("º",SUBSTITUTE(E207,"°","º"))-1)),""))))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5" t="n"/>
      <c r="S207" s="5" t="n"/>
      <c r="T207" s="5" t="n"/>
      <c r="U207" s="5" t="n"/>
      <c r="V207" s="2">
        <f>IF(R207="","",COUNTIF($C$5:$C$3004,R207))</f>
        <v/>
      </c>
      <c r="W207" s="2">
        <f>IF(R207="","",COUNTIFS($C$5:$C$3004,R207,$O$5:$O$3004,"CONCLUÍDA"))</f>
        <v/>
      </c>
      <c r="X207" s="2">
        <f>IF(R207="","",COUNTIFS($C$5:$C$3004,R207,$O$5:$O$3004,"EM ANDAMENTO"))</f>
        <v/>
      </c>
      <c r="Y207" s="2">
        <f>IF(R207="","",IF(COUNTIFS($C$5:$C$3004,R207,$O$5:$O$3004,"CONCLUÍDA",$N$5:$N$3004,"&gt;=-1")=0,"",_xlfn.MAXIFS($N$5:$N$3004,$C$5:$C$3004,R207,$O$5:$O$3004,"CONCLUÍDA")))</f>
        <v/>
      </c>
      <c r="Z207" s="2">
        <f>IF(R207="","",IF(COUNTIFS($C$5:$C$3004,R207,$O$5:$O$3004,"EM ANDAMENTO",$N$5:$N$3004,"&gt;=-1")=0,"",_xlfn.MAXIFS($N$5:$N$3004,$C$5:$C$3004,R207,$O$5:$O$3004,"EM ANDAMENTO")))</f>
        <v/>
      </c>
      <c r="AA207" s="2">
        <f>IF(OR(R207="",S207="",U207&lt;&gt;"SIM",V207=0),"",IF(W207+X207=0,"",T207&amp;": "&amp;IF(W207=V207,"concluído",IF(W207=0,"em execução"&amp;IF(Z207&lt;&gt;""," ("&amp;IF(Z207=-1,"subsolo",IF(Z207=0,"térreo",Z207&amp;"º pav."))&amp;")",""),IF(Y207&lt;&gt;"","até "&amp;IF(Y207=-1,"subsolo",IF(Y207=0,"térreo",Y207&amp;"º pav.")),W207&amp;" de "&amp;V207&amp;" concluídas")&amp;IF(Z207="","",IF(OR(Y207="",Z207&gt;Y207),", executando "&amp;IF(Z207=-1,"subsolo",IF(Z207=0,"térreo",Z207&amp;"º pav."))," (restam serviços no "&amp;IF(Z207=-1,"subsolo",IF(Z207=0,"térreo",Z207&amp;"º pav."))&amp;")"))))))</f>
        <v/>
      </c>
    </row>
    <row r="208">
      <c r="M208" s="2">
        <f>IF(C208="","",IFERROR(INDEX($S$5:$S$304,MATCH(C208,$R$5:$R$304,0))&amp;"","?"))</f>
        <v/>
      </c>
      <c r="N208" s="2">
        <f>IF(E208="","",IF(LEFT(E208,7)="SUBSOLO",-1,IF(LEFT(E208,6)="TÉRREO",0,IFERROR(VALUE(LEFT(E208,FIND("º",SUBSTITUTE(E208,"°","º"))-1)),""))))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5" t="n"/>
      <c r="S208" s="5" t="n"/>
      <c r="T208" s="5" t="n"/>
      <c r="U208" s="5" t="n"/>
      <c r="V208" s="2">
        <f>IF(R208="","",COUNTIF($C$5:$C$3004,R208))</f>
        <v/>
      </c>
      <c r="W208" s="2">
        <f>IF(R208="","",COUNTIFS($C$5:$C$3004,R208,$O$5:$O$3004,"CONCLUÍDA"))</f>
        <v/>
      </c>
      <c r="X208" s="2">
        <f>IF(R208="","",COUNTIFS($C$5:$C$3004,R208,$O$5:$O$3004,"EM ANDAMENTO"))</f>
        <v/>
      </c>
      <c r="Y208" s="2">
        <f>IF(R208="","",IF(COUNTIFS($C$5:$C$3004,R208,$O$5:$O$3004,"CONCLUÍDA",$N$5:$N$3004,"&gt;=-1")=0,"",_xlfn.MAXIFS($N$5:$N$3004,$C$5:$C$3004,R208,$O$5:$O$3004,"CONCLUÍDA")))</f>
        <v/>
      </c>
      <c r="Z208" s="2">
        <f>IF(R208="","",IF(COUNTIFS($C$5:$C$3004,R208,$O$5:$O$3004,"EM ANDAMENTO",$N$5:$N$3004,"&gt;=-1")=0,"",_xlfn.MAXIFS($N$5:$N$3004,$C$5:$C$3004,R208,$O$5:$O$3004,"EM ANDAMENTO")))</f>
        <v/>
      </c>
      <c r="AA208" s="2">
        <f>IF(OR(R208="",S208="",U208&lt;&gt;"SIM",V208=0),"",IF(W208+X208=0,"",T208&amp;": "&amp;IF(W208=V208,"concluído",IF(W208=0,"em execução"&amp;IF(Z208&lt;&gt;""," ("&amp;IF(Z208=-1,"subsolo",IF(Z208=0,"térreo",Z208&amp;"º pav."))&amp;")",""),IF(Y208&lt;&gt;"","até "&amp;IF(Y208=-1,"subsolo",IF(Y208=0,"térreo",Y208&amp;"º pav.")),W208&amp;" de "&amp;V208&amp;" concluídas")&amp;IF(Z208="","",IF(OR(Y208="",Z208&gt;Y208),", executando "&amp;IF(Z208=-1,"subsolo",IF(Z208=0,"térreo",Z208&amp;"º pav."))," (restam serviços no "&amp;IF(Z208=-1,"subsolo",IF(Z208=0,"térreo",Z208&amp;"º pav."))&amp;")"))))))</f>
        <v/>
      </c>
    </row>
    <row r="209">
      <c r="M209" s="2">
        <f>IF(C209="","",IFERROR(INDEX($S$5:$S$304,MATCH(C209,$R$5:$R$304,0))&amp;"","?"))</f>
        <v/>
      </c>
      <c r="N209" s="2">
        <f>IF(E209="","",IF(LEFT(E209,7)="SUBSOLO",-1,IF(LEFT(E209,6)="TÉRREO",0,IFERROR(VALUE(LEFT(E209,FIND("º",SUBSTITUTE(E209,"°","º"))-1)),""))))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5" t="n"/>
      <c r="S209" s="5" t="n"/>
      <c r="T209" s="5" t="n"/>
      <c r="U209" s="5" t="n"/>
      <c r="V209" s="2">
        <f>IF(R209="","",COUNTIF($C$5:$C$3004,R209))</f>
        <v/>
      </c>
      <c r="W209" s="2">
        <f>IF(R209="","",COUNTIFS($C$5:$C$3004,R209,$O$5:$O$3004,"CONCLUÍDA"))</f>
        <v/>
      </c>
      <c r="X209" s="2">
        <f>IF(R209="","",COUNTIFS($C$5:$C$3004,R209,$O$5:$O$3004,"EM ANDAMENTO"))</f>
        <v/>
      </c>
      <c r="Y209" s="2">
        <f>IF(R209="","",IF(COUNTIFS($C$5:$C$3004,R209,$O$5:$O$3004,"CONCLUÍDA",$N$5:$N$3004,"&gt;=-1")=0,"",_xlfn.MAXIFS($N$5:$N$3004,$C$5:$C$3004,R209,$O$5:$O$3004,"CONCLUÍDA")))</f>
        <v/>
      </c>
      <c r="Z209" s="2">
        <f>IF(R209="","",IF(COUNTIFS($C$5:$C$3004,R209,$O$5:$O$3004,"EM ANDAMENTO",$N$5:$N$3004,"&gt;=-1")=0,"",_xlfn.MAXIFS($N$5:$N$3004,$C$5:$C$3004,R209,$O$5:$O$3004,"EM ANDAMENTO")))</f>
        <v/>
      </c>
      <c r="AA209" s="2">
        <f>IF(OR(R209="",S209="",U209&lt;&gt;"SIM",V209=0),"",IF(W209+X209=0,"",T209&amp;": "&amp;IF(W209=V209,"concluído",IF(W209=0,"em execução"&amp;IF(Z209&lt;&gt;""," ("&amp;IF(Z209=-1,"subsolo",IF(Z209=0,"térreo",Z209&amp;"º pav."))&amp;")",""),IF(Y209&lt;&gt;"","até "&amp;IF(Y209=-1,"subsolo",IF(Y209=0,"térreo",Y209&amp;"º pav.")),W209&amp;" de "&amp;V209&amp;" concluídas")&amp;IF(Z209="","",IF(OR(Y209="",Z209&gt;Y209),", executando "&amp;IF(Z209=-1,"subsolo",IF(Z209=0,"térreo",Z209&amp;"º pav."))," (restam serviços no "&amp;IF(Z209=-1,"subsolo",IF(Z209=0,"térreo",Z209&amp;"º pav."))&amp;")"))))))</f>
        <v/>
      </c>
    </row>
    <row r="210">
      <c r="M210" s="2">
        <f>IF(C210="","",IFERROR(INDEX($S$5:$S$304,MATCH(C210,$R$5:$R$304,0))&amp;"","?"))</f>
        <v/>
      </c>
      <c r="N210" s="2">
        <f>IF(E210="","",IF(LEFT(E210,7)="SUBSOLO",-1,IF(LEFT(E210,6)="TÉRREO",0,IFERROR(VALUE(LEFT(E210,FIND("º",SUBSTITUTE(E210,"°","º"))-1)),""))))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5" t="n"/>
      <c r="S210" s="5" t="n"/>
      <c r="T210" s="5" t="n"/>
      <c r="U210" s="5" t="n"/>
      <c r="V210" s="2">
        <f>IF(R210="","",COUNTIF($C$5:$C$3004,R210))</f>
        <v/>
      </c>
      <c r="W210" s="2">
        <f>IF(R210="","",COUNTIFS($C$5:$C$3004,R210,$O$5:$O$3004,"CONCLUÍDA"))</f>
        <v/>
      </c>
      <c r="X210" s="2">
        <f>IF(R210="","",COUNTIFS($C$5:$C$3004,R210,$O$5:$O$3004,"EM ANDAMENTO"))</f>
        <v/>
      </c>
      <c r="Y210" s="2">
        <f>IF(R210="","",IF(COUNTIFS($C$5:$C$3004,R210,$O$5:$O$3004,"CONCLUÍDA",$N$5:$N$3004,"&gt;=-1")=0,"",_xlfn.MAXIFS($N$5:$N$3004,$C$5:$C$3004,R210,$O$5:$O$3004,"CONCLUÍDA")))</f>
        <v/>
      </c>
      <c r="Z210" s="2">
        <f>IF(R210="","",IF(COUNTIFS($C$5:$C$3004,R210,$O$5:$O$3004,"EM ANDAMENTO",$N$5:$N$3004,"&gt;=-1")=0,"",_xlfn.MAXIFS($N$5:$N$3004,$C$5:$C$3004,R210,$O$5:$O$3004,"EM ANDAMENTO")))</f>
        <v/>
      </c>
      <c r="AA210" s="2">
        <f>IF(OR(R210="",S210="",U210&lt;&gt;"SIM",V210=0),"",IF(W210+X210=0,"",T210&amp;": "&amp;IF(W210=V210,"concluído",IF(W210=0,"em execução"&amp;IF(Z210&lt;&gt;""," ("&amp;IF(Z210=-1,"subsolo",IF(Z210=0,"térreo",Z210&amp;"º pav."))&amp;")",""),IF(Y210&lt;&gt;"","até "&amp;IF(Y210=-1,"subsolo",IF(Y210=0,"térreo",Y210&amp;"º pav.")),W210&amp;" de "&amp;V210&amp;" concluídas")&amp;IF(Z210="","",IF(OR(Y210="",Z210&gt;Y210),", executando "&amp;IF(Z210=-1,"subsolo",IF(Z210=0,"térreo",Z210&amp;"º pav."))," (restam serviços no "&amp;IF(Z210=-1,"subsolo",IF(Z210=0,"térreo",Z210&amp;"º pav."))&amp;")"))))))</f>
        <v/>
      </c>
    </row>
    <row r="211">
      <c r="M211" s="2">
        <f>IF(C211="","",IFERROR(INDEX($S$5:$S$304,MATCH(C211,$R$5:$R$304,0))&amp;"","?"))</f>
        <v/>
      </c>
      <c r="N211" s="2">
        <f>IF(E211="","",IF(LEFT(E211,7)="SUBSOLO",-1,IF(LEFT(E211,6)="TÉRREO",0,IFERROR(VALUE(LEFT(E211,FIND("º",SUBSTITUTE(E211,"°","º"))-1)),""))))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5" t="n"/>
      <c r="S211" s="5" t="n"/>
      <c r="T211" s="5" t="n"/>
      <c r="U211" s="5" t="n"/>
      <c r="V211" s="2">
        <f>IF(R211="","",COUNTIF($C$5:$C$3004,R211))</f>
        <v/>
      </c>
      <c r="W211" s="2">
        <f>IF(R211="","",COUNTIFS($C$5:$C$3004,R211,$O$5:$O$3004,"CONCLUÍDA"))</f>
        <v/>
      </c>
      <c r="X211" s="2">
        <f>IF(R211="","",COUNTIFS($C$5:$C$3004,R211,$O$5:$O$3004,"EM ANDAMENTO"))</f>
        <v/>
      </c>
      <c r="Y211" s="2">
        <f>IF(R211="","",IF(COUNTIFS($C$5:$C$3004,R211,$O$5:$O$3004,"CONCLUÍDA",$N$5:$N$3004,"&gt;=-1")=0,"",_xlfn.MAXIFS($N$5:$N$3004,$C$5:$C$3004,R211,$O$5:$O$3004,"CONCLUÍDA")))</f>
        <v/>
      </c>
      <c r="Z211" s="2">
        <f>IF(R211="","",IF(COUNTIFS($C$5:$C$3004,R211,$O$5:$O$3004,"EM ANDAMENTO",$N$5:$N$3004,"&gt;=-1")=0,"",_xlfn.MAXIFS($N$5:$N$3004,$C$5:$C$3004,R211,$O$5:$O$3004,"EM ANDAMENTO")))</f>
        <v/>
      </c>
      <c r="AA211" s="2">
        <f>IF(OR(R211="",S211="",U211&lt;&gt;"SIM",V211=0),"",IF(W211+X211=0,"",T211&amp;": "&amp;IF(W211=V211,"concluído",IF(W211=0,"em execução"&amp;IF(Z211&lt;&gt;""," ("&amp;IF(Z211=-1,"subsolo",IF(Z211=0,"térreo",Z211&amp;"º pav."))&amp;")",""),IF(Y211&lt;&gt;"","até "&amp;IF(Y211=-1,"subsolo",IF(Y211=0,"térreo",Y211&amp;"º pav.")),W211&amp;" de "&amp;V211&amp;" concluídas")&amp;IF(Z211="","",IF(OR(Y211="",Z211&gt;Y211),", executando "&amp;IF(Z211=-1,"subsolo",IF(Z211=0,"térreo",Z211&amp;"º pav."))," (restam serviços no "&amp;IF(Z211=-1,"subsolo",IF(Z211=0,"térreo",Z211&amp;"º pav."))&amp;")"))))))</f>
        <v/>
      </c>
    </row>
    <row r="212">
      <c r="M212" s="2">
        <f>IF(C212="","",IFERROR(INDEX($S$5:$S$304,MATCH(C212,$R$5:$R$304,0))&amp;"","?"))</f>
        <v/>
      </c>
      <c r="N212" s="2">
        <f>IF(E212="","",IF(LEFT(E212,7)="SUBSOLO",-1,IF(LEFT(E212,6)="TÉRREO",0,IFERROR(VALUE(LEFT(E212,FIND("º",SUBSTITUTE(E212,"°","º"))-1)),""))))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5" t="n"/>
      <c r="S212" s="5" t="n"/>
      <c r="T212" s="5" t="n"/>
      <c r="U212" s="5" t="n"/>
      <c r="V212" s="2">
        <f>IF(R212="","",COUNTIF($C$5:$C$3004,R212))</f>
        <v/>
      </c>
      <c r="W212" s="2">
        <f>IF(R212="","",COUNTIFS($C$5:$C$3004,R212,$O$5:$O$3004,"CONCLUÍDA"))</f>
        <v/>
      </c>
      <c r="X212" s="2">
        <f>IF(R212="","",COUNTIFS($C$5:$C$3004,R212,$O$5:$O$3004,"EM ANDAMENTO"))</f>
        <v/>
      </c>
      <c r="Y212" s="2">
        <f>IF(R212="","",IF(COUNTIFS($C$5:$C$3004,R212,$O$5:$O$3004,"CONCLUÍDA",$N$5:$N$3004,"&gt;=-1")=0,"",_xlfn.MAXIFS($N$5:$N$3004,$C$5:$C$3004,R212,$O$5:$O$3004,"CONCLUÍDA")))</f>
        <v/>
      </c>
      <c r="Z212" s="2">
        <f>IF(R212="","",IF(COUNTIFS($C$5:$C$3004,R212,$O$5:$O$3004,"EM ANDAMENTO",$N$5:$N$3004,"&gt;=-1")=0,"",_xlfn.MAXIFS($N$5:$N$3004,$C$5:$C$3004,R212,$O$5:$O$3004,"EM ANDAMENTO")))</f>
        <v/>
      </c>
      <c r="AA212" s="2">
        <f>IF(OR(R212="",S212="",U212&lt;&gt;"SIM",V212=0),"",IF(W212+X212=0,"",T212&amp;": "&amp;IF(W212=V212,"concluído",IF(W212=0,"em execução"&amp;IF(Z212&lt;&gt;""," ("&amp;IF(Z212=-1,"subsolo",IF(Z212=0,"térreo",Z212&amp;"º pav."))&amp;")",""),IF(Y212&lt;&gt;"","até "&amp;IF(Y212=-1,"subsolo",IF(Y212=0,"térreo",Y212&amp;"º pav.")),W212&amp;" de "&amp;V212&amp;" concluídas")&amp;IF(Z212="","",IF(OR(Y212="",Z212&gt;Y212),", executando "&amp;IF(Z212=-1,"subsolo",IF(Z212=0,"térreo",Z212&amp;"º pav."))," (restam serviços no "&amp;IF(Z212=-1,"subsolo",IF(Z212=0,"térreo",Z212&amp;"º pav."))&amp;")"))))))</f>
        <v/>
      </c>
    </row>
    <row r="213">
      <c r="M213" s="2">
        <f>IF(C213="","",IFERROR(INDEX($S$5:$S$304,MATCH(C213,$R$5:$R$304,0))&amp;"","?"))</f>
        <v/>
      </c>
      <c r="N213" s="2">
        <f>IF(E213="","",IF(LEFT(E213,7)="SUBSOLO",-1,IF(LEFT(E213,6)="TÉRREO",0,IFERROR(VALUE(LEFT(E213,FIND("º",SUBSTITUTE(E213,"°","º"))-1)),""))))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5" t="n"/>
      <c r="S213" s="5" t="n"/>
      <c r="T213" s="5" t="n"/>
      <c r="U213" s="5" t="n"/>
      <c r="V213" s="2">
        <f>IF(R213="","",COUNTIF($C$5:$C$3004,R213))</f>
        <v/>
      </c>
      <c r="W213" s="2">
        <f>IF(R213="","",COUNTIFS($C$5:$C$3004,R213,$O$5:$O$3004,"CONCLUÍDA"))</f>
        <v/>
      </c>
      <c r="X213" s="2">
        <f>IF(R213="","",COUNTIFS($C$5:$C$3004,R213,$O$5:$O$3004,"EM ANDAMENTO"))</f>
        <v/>
      </c>
      <c r="Y213" s="2">
        <f>IF(R213="","",IF(COUNTIFS($C$5:$C$3004,R213,$O$5:$O$3004,"CONCLUÍDA",$N$5:$N$3004,"&gt;=-1")=0,"",_xlfn.MAXIFS($N$5:$N$3004,$C$5:$C$3004,R213,$O$5:$O$3004,"CONCLUÍDA")))</f>
        <v/>
      </c>
      <c r="Z213" s="2">
        <f>IF(R213="","",IF(COUNTIFS($C$5:$C$3004,R213,$O$5:$O$3004,"EM ANDAMENTO",$N$5:$N$3004,"&gt;=-1")=0,"",_xlfn.MAXIFS($N$5:$N$3004,$C$5:$C$3004,R213,$O$5:$O$3004,"EM ANDAMENTO")))</f>
        <v/>
      </c>
      <c r="AA213" s="2">
        <f>IF(OR(R213="",S213="",U213&lt;&gt;"SIM",V213=0),"",IF(W213+X213=0,"",T213&amp;": "&amp;IF(W213=V213,"concluído",IF(W213=0,"em execução"&amp;IF(Z213&lt;&gt;""," ("&amp;IF(Z213=-1,"subsolo",IF(Z213=0,"térreo",Z213&amp;"º pav."))&amp;")",""),IF(Y213&lt;&gt;"","até "&amp;IF(Y213=-1,"subsolo",IF(Y213=0,"térreo",Y213&amp;"º pav.")),W213&amp;" de "&amp;V213&amp;" concluídas")&amp;IF(Z213="","",IF(OR(Y213="",Z213&gt;Y213),", executando "&amp;IF(Z213=-1,"subsolo",IF(Z213=0,"térreo",Z213&amp;"º pav."))," (restam serviços no "&amp;IF(Z213=-1,"subsolo",IF(Z213=0,"térreo",Z213&amp;"º pav."))&amp;")"))))))</f>
        <v/>
      </c>
    </row>
    <row r="214">
      <c r="M214" s="2">
        <f>IF(C214="","",IFERROR(INDEX($S$5:$S$304,MATCH(C214,$R$5:$R$304,0))&amp;"","?"))</f>
        <v/>
      </c>
      <c r="N214" s="2">
        <f>IF(E214="","",IF(LEFT(E214,7)="SUBSOLO",-1,IF(LEFT(E214,6)="TÉRREO",0,IFERROR(VALUE(LEFT(E214,FIND("º",SUBSTITUTE(E214,"°","º"))-1)),""))))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5" t="n"/>
      <c r="S214" s="5" t="n"/>
      <c r="T214" s="5" t="n"/>
      <c r="U214" s="5" t="n"/>
      <c r="V214" s="2">
        <f>IF(R214="","",COUNTIF($C$5:$C$3004,R214))</f>
        <v/>
      </c>
      <c r="W214" s="2">
        <f>IF(R214="","",COUNTIFS($C$5:$C$3004,R214,$O$5:$O$3004,"CONCLUÍDA"))</f>
        <v/>
      </c>
      <c r="X214" s="2">
        <f>IF(R214="","",COUNTIFS($C$5:$C$3004,R214,$O$5:$O$3004,"EM ANDAMENTO"))</f>
        <v/>
      </c>
      <c r="Y214" s="2">
        <f>IF(R214="","",IF(COUNTIFS($C$5:$C$3004,R214,$O$5:$O$3004,"CONCLUÍDA",$N$5:$N$3004,"&gt;=-1")=0,"",_xlfn.MAXIFS($N$5:$N$3004,$C$5:$C$3004,R214,$O$5:$O$3004,"CONCLUÍDA")))</f>
        <v/>
      </c>
      <c r="Z214" s="2">
        <f>IF(R214="","",IF(COUNTIFS($C$5:$C$3004,R214,$O$5:$O$3004,"EM ANDAMENTO",$N$5:$N$3004,"&gt;=-1")=0,"",_xlfn.MAXIFS($N$5:$N$3004,$C$5:$C$3004,R214,$O$5:$O$3004,"EM ANDAMENTO")))</f>
        <v/>
      </c>
      <c r="AA214" s="2">
        <f>IF(OR(R214="",S214="",U214&lt;&gt;"SIM",V214=0),"",IF(W214+X214=0,"",T214&amp;": "&amp;IF(W214=V214,"concluído",IF(W214=0,"em execução"&amp;IF(Z214&lt;&gt;""," ("&amp;IF(Z214=-1,"subsolo",IF(Z214=0,"térreo",Z214&amp;"º pav."))&amp;")",""),IF(Y214&lt;&gt;"","até "&amp;IF(Y214=-1,"subsolo",IF(Y214=0,"térreo",Y214&amp;"º pav.")),W214&amp;" de "&amp;V214&amp;" concluídas")&amp;IF(Z214="","",IF(OR(Y214="",Z214&gt;Y214),", executando "&amp;IF(Z214=-1,"subsolo",IF(Z214=0,"térreo",Z214&amp;"º pav."))," (restam serviços no "&amp;IF(Z214=-1,"subsolo",IF(Z214=0,"térreo",Z214&amp;"º pav."))&amp;")"))))))</f>
        <v/>
      </c>
    </row>
    <row r="215">
      <c r="M215" s="2">
        <f>IF(C215="","",IFERROR(INDEX($S$5:$S$304,MATCH(C215,$R$5:$R$304,0))&amp;"","?"))</f>
        <v/>
      </c>
      <c r="N215" s="2">
        <f>IF(E215="","",IF(LEFT(E215,7)="SUBSOLO",-1,IF(LEFT(E215,6)="TÉRREO",0,IFERROR(VALUE(LEFT(E215,FIND("º",SUBSTITUTE(E215,"°","º"))-1)),""))))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5" t="n"/>
      <c r="S215" s="5" t="n"/>
      <c r="T215" s="5" t="n"/>
      <c r="U215" s="5" t="n"/>
      <c r="V215" s="2">
        <f>IF(R215="","",COUNTIF($C$5:$C$3004,R215))</f>
        <v/>
      </c>
      <c r="W215" s="2">
        <f>IF(R215="","",COUNTIFS($C$5:$C$3004,R215,$O$5:$O$3004,"CONCLUÍDA"))</f>
        <v/>
      </c>
      <c r="X215" s="2">
        <f>IF(R215="","",COUNTIFS($C$5:$C$3004,R215,$O$5:$O$3004,"EM ANDAMENTO"))</f>
        <v/>
      </c>
      <c r="Y215" s="2">
        <f>IF(R215="","",IF(COUNTIFS($C$5:$C$3004,R215,$O$5:$O$3004,"CONCLUÍDA",$N$5:$N$3004,"&gt;=-1")=0,"",_xlfn.MAXIFS($N$5:$N$3004,$C$5:$C$3004,R215,$O$5:$O$3004,"CONCLUÍDA")))</f>
        <v/>
      </c>
      <c r="Z215" s="2">
        <f>IF(R215="","",IF(COUNTIFS($C$5:$C$3004,R215,$O$5:$O$3004,"EM ANDAMENTO",$N$5:$N$3004,"&gt;=-1")=0,"",_xlfn.MAXIFS($N$5:$N$3004,$C$5:$C$3004,R215,$O$5:$O$3004,"EM ANDAMENTO")))</f>
        <v/>
      </c>
      <c r="AA215" s="2">
        <f>IF(OR(R215="",S215="",U215&lt;&gt;"SIM",V215=0),"",IF(W215+X215=0,"",T215&amp;": "&amp;IF(W215=V215,"concluído",IF(W215=0,"em execução"&amp;IF(Z215&lt;&gt;""," ("&amp;IF(Z215=-1,"subsolo",IF(Z215=0,"térreo",Z215&amp;"º pav."))&amp;")",""),IF(Y215&lt;&gt;"","até "&amp;IF(Y215=-1,"subsolo",IF(Y215=0,"térreo",Y215&amp;"º pav.")),W215&amp;" de "&amp;V215&amp;" concluídas")&amp;IF(Z215="","",IF(OR(Y215="",Z215&gt;Y215),", executando "&amp;IF(Z215=-1,"subsolo",IF(Z215=0,"térreo",Z215&amp;"º pav."))," (restam serviços no "&amp;IF(Z215=-1,"subsolo",IF(Z215=0,"térreo",Z215&amp;"º pav."))&amp;")"))))))</f>
        <v/>
      </c>
    </row>
    <row r="216">
      <c r="M216" s="2">
        <f>IF(C216="","",IFERROR(INDEX($S$5:$S$304,MATCH(C216,$R$5:$R$304,0))&amp;"","?"))</f>
        <v/>
      </c>
      <c r="N216" s="2">
        <f>IF(E216="","",IF(LEFT(E216,7)="SUBSOLO",-1,IF(LEFT(E216,6)="TÉRREO",0,IFERROR(VALUE(LEFT(E216,FIND("º",SUBSTITUTE(E216,"°","º"))-1)),""))))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5" t="n"/>
      <c r="S216" s="5" t="n"/>
      <c r="T216" s="5" t="n"/>
      <c r="U216" s="5" t="n"/>
      <c r="V216" s="2">
        <f>IF(R216="","",COUNTIF($C$5:$C$3004,R216))</f>
        <v/>
      </c>
      <c r="W216" s="2">
        <f>IF(R216="","",COUNTIFS($C$5:$C$3004,R216,$O$5:$O$3004,"CONCLUÍDA"))</f>
        <v/>
      </c>
      <c r="X216" s="2">
        <f>IF(R216="","",COUNTIFS($C$5:$C$3004,R216,$O$5:$O$3004,"EM ANDAMENTO"))</f>
        <v/>
      </c>
      <c r="Y216" s="2">
        <f>IF(R216="","",IF(COUNTIFS($C$5:$C$3004,R216,$O$5:$O$3004,"CONCLUÍDA",$N$5:$N$3004,"&gt;=-1")=0,"",_xlfn.MAXIFS($N$5:$N$3004,$C$5:$C$3004,R216,$O$5:$O$3004,"CONCLUÍDA")))</f>
        <v/>
      </c>
      <c r="Z216" s="2">
        <f>IF(R216="","",IF(COUNTIFS($C$5:$C$3004,R216,$O$5:$O$3004,"EM ANDAMENTO",$N$5:$N$3004,"&gt;=-1")=0,"",_xlfn.MAXIFS($N$5:$N$3004,$C$5:$C$3004,R216,$O$5:$O$3004,"EM ANDAMENTO")))</f>
        <v/>
      </c>
      <c r="AA216" s="2">
        <f>IF(OR(R216="",S216="",U216&lt;&gt;"SIM",V216=0),"",IF(W216+X216=0,"",T216&amp;": "&amp;IF(W216=V216,"concluído",IF(W216=0,"em execução"&amp;IF(Z216&lt;&gt;""," ("&amp;IF(Z216=-1,"subsolo",IF(Z216=0,"térreo",Z216&amp;"º pav."))&amp;")",""),IF(Y216&lt;&gt;"","até "&amp;IF(Y216=-1,"subsolo",IF(Y216=0,"térreo",Y216&amp;"º pav.")),W216&amp;" de "&amp;V216&amp;" concluídas")&amp;IF(Z216="","",IF(OR(Y216="",Z216&gt;Y216),", executando "&amp;IF(Z216=-1,"subsolo",IF(Z216=0,"térreo",Z216&amp;"º pav."))," (restam serviços no "&amp;IF(Z216=-1,"subsolo",IF(Z216=0,"térreo",Z216&amp;"º pav."))&amp;")"))))))</f>
        <v/>
      </c>
    </row>
    <row r="217">
      <c r="M217" s="2">
        <f>IF(C217="","",IFERROR(INDEX($S$5:$S$304,MATCH(C217,$R$5:$R$304,0))&amp;"","?"))</f>
        <v/>
      </c>
      <c r="N217" s="2">
        <f>IF(E217="","",IF(LEFT(E217,7)="SUBSOLO",-1,IF(LEFT(E217,6)="TÉRREO",0,IFERROR(VALUE(LEFT(E217,FIND("º",SUBSTITUTE(E217,"°","º"))-1)),""))))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5" t="n"/>
      <c r="S217" s="5" t="n"/>
      <c r="T217" s="5" t="n"/>
      <c r="U217" s="5" t="n"/>
      <c r="V217" s="2">
        <f>IF(R217="","",COUNTIF($C$5:$C$3004,R217))</f>
        <v/>
      </c>
      <c r="W217" s="2">
        <f>IF(R217="","",COUNTIFS($C$5:$C$3004,R217,$O$5:$O$3004,"CONCLUÍDA"))</f>
        <v/>
      </c>
      <c r="X217" s="2">
        <f>IF(R217="","",COUNTIFS($C$5:$C$3004,R217,$O$5:$O$3004,"EM ANDAMENTO"))</f>
        <v/>
      </c>
      <c r="Y217" s="2">
        <f>IF(R217="","",IF(COUNTIFS($C$5:$C$3004,R217,$O$5:$O$3004,"CONCLUÍDA",$N$5:$N$3004,"&gt;=-1")=0,"",_xlfn.MAXIFS($N$5:$N$3004,$C$5:$C$3004,R217,$O$5:$O$3004,"CONCLUÍDA")))</f>
        <v/>
      </c>
      <c r="Z217" s="2">
        <f>IF(R217="","",IF(COUNTIFS($C$5:$C$3004,R217,$O$5:$O$3004,"EM ANDAMENTO",$N$5:$N$3004,"&gt;=-1")=0,"",_xlfn.MAXIFS($N$5:$N$3004,$C$5:$C$3004,R217,$O$5:$O$3004,"EM ANDAMENTO")))</f>
        <v/>
      </c>
      <c r="AA217" s="2">
        <f>IF(OR(R217="",S217="",U217&lt;&gt;"SIM",V217=0),"",IF(W217+X217=0,"",T217&amp;": "&amp;IF(W217=V217,"concluído",IF(W217=0,"em execução"&amp;IF(Z217&lt;&gt;""," ("&amp;IF(Z217=-1,"subsolo",IF(Z217=0,"térreo",Z217&amp;"º pav."))&amp;")",""),IF(Y217&lt;&gt;"","até "&amp;IF(Y217=-1,"subsolo",IF(Y217=0,"térreo",Y217&amp;"º pav.")),W217&amp;" de "&amp;V217&amp;" concluídas")&amp;IF(Z217="","",IF(OR(Y217="",Z217&gt;Y217),", executando "&amp;IF(Z217=-1,"subsolo",IF(Z217=0,"térreo",Z217&amp;"º pav."))," (restam serviços no "&amp;IF(Z217=-1,"subsolo",IF(Z217=0,"térreo",Z217&amp;"º pav."))&amp;")"))))))</f>
        <v/>
      </c>
    </row>
    <row r="218">
      <c r="M218" s="2">
        <f>IF(C218="","",IFERROR(INDEX($S$5:$S$304,MATCH(C218,$R$5:$R$304,0))&amp;"","?"))</f>
        <v/>
      </c>
      <c r="N218" s="2">
        <f>IF(E218="","",IF(LEFT(E218,7)="SUBSOLO",-1,IF(LEFT(E218,6)="TÉRREO",0,IFERROR(VALUE(LEFT(E218,FIND("º",SUBSTITUTE(E218,"°","º"))-1)),""))))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5" t="n"/>
      <c r="S218" s="5" t="n"/>
      <c r="T218" s="5" t="n"/>
      <c r="U218" s="5" t="n"/>
      <c r="V218" s="2">
        <f>IF(R218="","",COUNTIF($C$5:$C$3004,R218))</f>
        <v/>
      </c>
      <c r="W218" s="2">
        <f>IF(R218="","",COUNTIFS($C$5:$C$3004,R218,$O$5:$O$3004,"CONCLUÍDA"))</f>
        <v/>
      </c>
      <c r="X218" s="2">
        <f>IF(R218="","",COUNTIFS($C$5:$C$3004,R218,$O$5:$O$3004,"EM ANDAMENTO"))</f>
        <v/>
      </c>
      <c r="Y218" s="2">
        <f>IF(R218="","",IF(COUNTIFS($C$5:$C$3004,R218,$O$5:$O$3004,"CONCLUÍDA",$N$5:$N$3004,"&gt;=-1")=0,"",_xlfn.MAXIFS($N$5:$N$3004,$C$5:$C$3004,R218,$O$5:$O$3004,"CONCLUÍDA")))</f>
        <v/>
      </c>
      <c r="Z218" s="2">
        <f>IF(R218="","",IF(COUNTIFS($C$5:$C$3004,R218,$O$5:$O$3004,"EM ANDAMENTO",$N$5:$N$3004,"&gt;=-1")=0,"",_xlfn.MAXIFS($N$5:$N$3004,$C$5:$C$3004,R218,$O$5:$O$3004,"EM ANDAMENTO")))</f>
        <v/>
      </c>
      <c r="AA218" s="2">
        <f>IF(OR(R218="",S218="",U218&lt;&gt;"SIM",V218=0),"",IF(W218+X218=0,"",T218&amp;": "&amp;IF(W218=V218,"concluído",IF(W218=0,"em execução"&amp;IF(Z218&lt;&gt;""," ("&amp;IF(Z218=-1,"subsolo",IF(Z218=0,"térreo",Z218&amp;"º pav."))&amp;")",""),IF(Y218&lt;&gt;"","até "&amp;IF(Y218=-1,"subsolo",IF(Y218=0,"térreo",Y218&amp;"º pav.")),W218&amp;" de "&amp;V218&amp;" concluídas")&amp;IF(Z218="","",IF(OR(Y218="",Z218&gt;Y218),", executando "&amp;IF(Z218=-1,"subsolo",IF(Z218=0,"térreo",Z218&amp;"º pav."))," (restam serviços no "&amp;IF(Z218=-1,"subsolo",IF(Z218=0,"térreo",Z218&amp;"º pav."))&amp;")"))))))</f>
        <v/>
      </c>
    </row>
    <row r="219">
      <c r="M219" s="2">
        <f>IF(C219="","",IFERROR(INDEX($S$5:$S$304,MATCH(C219,$R$5:$R$304,0))&amp;"","?"))</f>
        <v/>
      </c>
      <c r="N219" s="2">
        <f>IF(E219="","",IF(LEFT(E219,7)="SUBSOLO",-1,IF(LEFT(E219,6)="TÉRREO",0,IFERROR(VALUE(LEFT(E219,FIND("º",SUBSTITUTE(E219,"°","º"))-1)),""))))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5" t="n"/>
      <c r="S219" s="5" t="n"/>
      <c r="T219" s="5" t="n"/>
      <c r="U219" s="5" t="n"/>
      <c r="V219" s="2">
        <f>IF(R219="","",COUNTIF($C$5:$C$3004,R219))</f>
        <v/>
      </c>
      <c r="W219" s="2">
        <f>IF(R219="","",COUNTIFS($C$5:$C$3004,R219,$O$5:$O$3004,"CONCLUÍDA"))</f>
        <v/>
      </c>
      <c r="X219" s="2">
        <f>IF(R219="","",COUNTIFS($C$5:$C$3004,R219,$O$5:$O$3004,"EM ANDAMENTO"))</f>
        <v/>
      </c>
      <c r="Y219" s="2">
        <f>IF(R219="","",IF(COUNTIFS($C$5:$C$3004,R219,$O$5:$O$3004,"CONCLUÍDA",$N$5:$N$3004,"&gt;=-1")=0,"",_xlfn.MAXIFS($N$5:$N$3004,$C$5:$C$3004,R219,$O$5:$O$3004,"CONCLUÍDA")))</f>
        <v/>
      </c>
      <c r="Z219" s="2">
        <f>IF(R219="","",IF(COUNTIFS($C$5:$C$3004,R219,$O$5:$O$3004,"EM ANDAMENTO",$N$5:$N$3004,"&gt;=-1")=0,"",_xlfn.MAXIFS($N$5:$N$3004,$C$5:$C$3004,R219,$O$5:$O$3004,"EM ANDAMENTO")))</f>
        <v/>
      </c>
      <c r="AA219" s="2">
        <f>IF(OR(R219="",S219="",U219&lt;&gt;"SIM",V219=0),"",IF(W219+X219=0,"",T219&amp;": "&amp;IF(W219=V219,"concluído",IF(W219=0,"em execução"&amp;IF(Z219&lt;&gt;""," ("&amp;IF(Z219=-1,"subsolo",IF(Z219=0,"térreo",Z219&amp;"º pav."))&amp;")",""),IF(Y219&lt;&gt;"","até "&amp;IF(Y219=-1,"subsolo",IF(Y219=0,"térreo",Y219&amp;"º pav.")),W219&amp;" de "&amp;V219&amp;" concluídas")&amp;IF(Z219="","",IF(OR(Y219="",Z219&gt;Y219),", executando "&amp;IF(Z219=-1,"subsolo",IF(Z219=0,"térreo",Z219&amp;"º pav."))," (restam serviços no "&amp;IF(Z219=-1,"subsolo",IF(Z219=0,"térreo",Z219&amp;"º pav."))&amp;")"))))))</f>
        <v/>
      </c>
    </row>
    <row r="220">
      <c r="M220" s="2">
        <f>IF(C220="","",IFERROR(INDEX($S$5:$S$304,MATCH(C220,$R$5:$R$304,0))&amp;"","?"))</f>
        <v/>
      </c>
      <c r="N220" s="2">
        <f>IF(E220="","",IF(LEFT(E220,7)="SUBSOLO",-1,IF(LEFT(E220,6)="TÉRREO",0,IFERROR(VALUE(LEFT(E220,FIND("º",SUBSTITUTE(E220,"°","º"))-1)),""))))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5" t="n"/>
      <c r="S220" s="5" t="n"/>
      <c r="T220" s="5" t="n"/>
      <c r="U220" s="5" t="n"/>
      <c r="V220" s="2">
        <f>IF(R220="","",COUNTIF($C$5:$C$3004,R220))</f>
        <v/>
      </c>
      <c r="W220" s="2">
        <f>IF(R220="","",COUNTIFS($C$5:$C$3004,R220,$O$5:$O$3004,"CONCLUÍDA"))</f>
        <v/>
      </c>
      <c r="X220" s="2">
        <f>IF(R220="","",COUNTIFS($C$5:$C$3004,R220,$O$5:$O$3004,"EM ANDAMENTO"))</f>
        <v/>
      </c>
      <c r="Y220" s="2">
        <f>IF(R220="","",IF(COUNTIFS($C$5:$C$3004,R220,$O$5:$O$3004,"CONCLUÍDA",$N$5:$N$3004,"&gt;=-1")=0,"",_xlfn.MAXIFS($N$5:$N$3004,$C$5:$C$3004,R220,$O$5:$O$3004,"CONCLUÍDA")))</f>
        <v/>
      </c>
      <c r="Z220" s="2">
        <f>IF(R220="","",IF(COUNTIFS($C$5:$C$3004,R220,$O$5:$O$3004,"EM ANDAMENTO",$N$5:$N$3004,"&gt;=-1")=0,"",_xlfn.MAXIFS($N$5:$N$3004,$C$5:$C$3004,R220,$O$5:$O$3004,"EM ANDAMENTO")))</f>
        <v/>
      </c>
      <c r="AA220" s="2">
        <f>IF(OR(R220="",S220="",U220&lt;&gt;"SIM",V220=0),"",IF(W220+X220=0,"",T220&amp;": "&amp;IF(W220=V220,"concluído",IF(W220=0,"em execução"&amp;IF(Z220&lt;&gt;""," ("&amp;IF(Z220=-1,"subsolo",IF(Z220=0,"térreo",Z220&amp;"º pav."))&amp;")",""),IF(Y220&lt;&gt;"","até "&amp;IF(Y220=-1,"subsolo",IF(Y220=0,"térreo",Y220&amp;"º pav.")),W220&amp;" de "&amp;V220&amp;" concluídas")&amp;IF(Z220="","",IF(OR(Y220="",Z220&gt;Y220),", executando "&amp;IF(Z220=-1,"subsolo",IF(Z220=0,"térreo",Z220&amp;"º pav."))," (restam serviços no "&amp;IF(Z220=-1,"subsolo",IF(Z220=0,"térreo",Z220&amp;"º pav."))&amp;")"))))))</f>
        <v/>
      </c>
    </row>
    <row r="221">
      <c r="M221" s="2">
        <f>IF(C221="","",IFERROR(INDEX($S$5:$S$304,MATCH(C221,$R$5:$R$304,0))&amp;"","?"))</f>
        <v/>
      </c>
      <c r="N221" s="2">
        <f>IF(E221="","",IF(LEFT(E221,7)="SUBSOLO",-1,IF(LEFT(E221,6)="TÉRREO",0,IFERROR(VALUE(LEFT(E221,FIND("º",SUBSTITUTE(E221,"°","º"))-1)),""))))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5" t="n"/>
      <c r="S221" s="5" t="n"/>
      <c r="T221" s="5" t="n"/>
      <c r="U221" s="5" t="n"/>
      <c r="V221" s="2">
        <f>IF(R221="","",COUNTIF($C$5:$C$3004,R221))</f>
        <v/>
      </c>
      <c r="W221" s="2">
        <f>IF(R221="","",COUNTIFS($C$5:$C$3004,R221,$O$5:$O$3004,"CONCLUÍDA"))</f>
        <v/>
      </c>
      <c r="X221" s="2">
        <f>IF(R221="","",COUNTIFS($C$5:$C$3004,R221,$O$5:$O$3004,"EM ANDAMENTO"))</f>
        <v/>
      </c>
      <c r="Y221" s="2">
        <f>IF(R221="","",IF(COUNTIFS($C$5:$C$3004,R221,$O$5:$O$3004,"CONCLUÍDA",$N$5:$N$3004,"&gt;=-1")=0,"",_xlfn.MAXIFS($N$5:$N$3004,$C$5:$C$3004,R221,$O$5:$O$3004,"CONCLUÍDA")))</f>
        <v/>
      </c>
      <c r="Z221" s="2">
        <f>IF(R221="","",IF(COUNTIFS($C$5:$C$3004,R221,$O$5:$O$3004,"EM ANDAMENTO",$N$5:$N$3004,"&gt;=-1")=0,"",_xlfn.MAXIFS($N$5:$N$3004,$C$5:$C$3004,R221,$O$5:$O$3004,"EM ANDAMENTO")))</f>
        <v/>
      </c>
      <c r="AA221" s="2">
        <f>IF(OR(R221="",S221="",U221&lt;&gt;"SIM",V221=0),"",IF(W221+X221=0,"",T221&amp;": "&amp;IF(W221=V221,"concluído",IF(W221=0,"em execução"&amp;IF(Z221&lt;&gt;""," ("&amp;IF(Z221=-1,"subsolo",IF(Z221=0,"térreo",Z221&amp;"º pav."))&amp;")",""),IF(Y221&lt;&gt;"","até "&amp;IF(Y221=-1,"subsolo",IF(Y221=0,"térreo",Y221&amp;"º pav.")),W221&amp;" de "&amp;V221&amp;" concluídas")&amp;IF(Z221="","",IF(OR(Y221="",Z221&gt;Y221),", executando "&amp;IF(Z221=-1,"subsolo",IF(Z221=0,"térreo",Z221&amp;"º pav."))," (restam serviços no "&amp;IF(Z221=-1,"subsolo",IF(Z221=0,"térreo",Z221&amp;"º pav."))&amp;")"))))))</f>
        <v/>
      </c>
    </row>
    <row r="222">
      <c r="M222" s="2">
        <f>IF(C222="","",IFERROR(INDEX($S$5:$S$304,MATCH(C222,$R$5:$R$304,0))&amp;"","?"))</f>
        <v/>
      </c>
      <c r="N222" s="2">
        <f>IF(E222="","",IF(LEFT(E222,7)="SUBSOLO",-1,IF(LEFT(E222,6)="TÉRREO",0,IFERROR(VALUE(LEFT(E222,FIND("º",SUBSTITUTE(E222,"°","º"))-1)),""))))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5" t="n"/>
      <c r="S222" s="5" t="n"/>
      <c r="T222" s="5" t="n"/>
      <c r="U222" s="5" t="n"/>
      <c r="V222" s="2">
        <f>IF(R222="","",COUNTIF($C$5:$C$3004,R222))</f>
        <v/>
      </c>
      <c r="W222" s="2">
        <f>IF(R222="","",COUNTIFS($C$5:$C$3004,R222,$O$5:$O$3004,"CONCLUÍDA"))</f>
        <v/>
      </c>
      <c r="X222" s="2">
        <f>IF(R222="","",COUNTIFS($C$5:$C$3004,R222,$O$5:$O$3004,"EM ANDAMENTO"))</f>
        <v/>
      </c>
      <c r="Y222" s="2">
        <f>IF(R222="","",IF(COUNTIFS($C$5:$C$3004,R222,$O$5:$O$3004,"CONCLUÍDA",$N$5:$N$3004,"&gt;=-1")=0,"",_xlfn.MAXIFS($N$5:$N$3004,$C$5:$C$3004,R222,$O$5:$O$3004,"CONCLUÍDA")))</f>
        <v/>
      </c>
      <c r="Z222" s="2">
        <f>IF(R222="","",IF(COUNTIFS($C$5:$C$3004,R222,$O$5:$O$3004,"EM ANDAMENTO",$N$5:$N$3004,"&gt;=-1")=0,"",_xlfn.MAXIFS($N$5:$N$3004,$C$5:$C$3004,R222,$O$5:$O$3004,"EM ANDAMENTO")))</f>
        <v/>
      </c>
      <c r="AA222" s="2">
        <f>IF(OR(R222="",S222="",U222&lt;&gt;"SIM",V222=0),"",IF(W222+X222=0,"",T222&amp;": "&amp;IF(W222=V222,"concluído",IF(W222=0,"em execução"&amp;IF(Z222&lt;&gt;""," ("&amp;IF(Z222=-1,"subsolo",IF(Z222=0,"térreo",Z222&amp;"º pav."))&amp;")",""),IF(Y222&lt;&gt;"","até "&amp;IF(Y222=-1,"subsolo",IF(Y222=0,"térreo",Y222&amp;"º pav.")),W222&amp;" de "&amp;V222&amp;" concluídas")&amp;IF(Z222="","",IF(OR(Y222="",Z222&gt;Y222),", executando "&amp;IF(Z222=-1,"subsolo",IF(Z222=0,"térreo",Z222&amp;"º pav."))," (restam serviços no "&amp;IF(Z222=-1,"subsolo",IF(Z222=0,"térreo",Z222&amp;"º pav."))&amp;")"))))))</f>
        <v/>
      </c>
    </row>
    <row r="223">
      <c r="M223" s="2">
        <f>IF(C223="","",IFERROR(INDEX($S$5:$S$304,MATCH(C223,$R$5:$R$304,0))&amp;"","?"))</f>
        <v/>
      </c>
      <c r="N223" s="2">
        <f>IF(E223="","",IF(LEFT(E223,7)="SUBSOLO",-1,IF(LEFT(E223,6)="TÉRREO",0,IFERROR(VALUE(LEFT(E223,FIND("º",SUBSTITUTE(E223,"°","º"))-1)),""))))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5" t="n"/>
      <c r="S223" s="5" t="n"/>
      <c r="T223" s="5" t="n"/>
      <c r="U223" s="5" t="n"/>
      <c r="V223" s="2">
        <f>IF(R223="","",COUNTIF($C$5:$C$3004,R223))</f>
        <v/>
      </c>
      <c r="W223" s="2">
        <f>IF(R223="","",COUNTIFS($C$5:$C$3004,R223,$O$5:$O$3004,"CONCLUÍDA"))</f>
        <v/>
      </c>
      <c r="X223" s="2">
        <f>IF(R223="","",COUNTIFS($C$5:$C$3004,R223,$O$5:$O$3004,"EM ANDAMENTO"))</f>
        <v/>
      </c>
      <c r="Y223" s="2">
        <f>IF(R223="","",IF(COUNTIFS($C$5:$C$3004,R223,$O$5:$O$3004,"CONCLUÍDA",$N$5:$N$3004,"&gt;=-1")=0,"",_xlfn.MAXIFS($N$5:$N$3004,$C$5:$C$3004,R223,$O$5:$O$3004,"CONCLUÍDA")))</f>
        <v/>
      </c>
      <c r="Z223" s="2">
        <f>IF(R223="","",IF(COUNTIFS($C$5:$C$3004,R223,$O$5:$O$3004,"EM ANDAMENTO",$N$5:$N$3004,"&gt;=-1")=0,"",_xlfn.MAXIFS($N$5:$N$3004,$C$5:$C$3004,R223,$O$5:$O$3004,"EM ANDAMENTO")))</f>
        <v/>
      </c>
      <c r="AA223" s="2">
        <f>IF(OR(R223="",S223="",U223&lt;&gt;"SIM",V223=0),"",IF(W223+X223=0,"",T223&amp;": "&amp;IF(W223=V223,"concluído",IF(W223=0,"em execução"&amp;IF(Z223&lt;&gt;""," ("&amp;IF(Z223=-1,"subsolo",IF(Z223=0,"térreo",Z223&amp;"º pav."))&amp;")",""),IF(Y223&lt;&gt;"","até "&amp;IF(Y223=-1,"subsolo",IF(Y223=0,"térreo",Y223&amp;"º pav.")),W223&amp;" de "&amp;V223&amp;" concluídas")&amp;IF(Z223="","",IF(OR(Y223="",Z223&gt;Y223),", executando "&amp;IF(Z223=-1,"subsolo",IF(Z223=0,"térreo",Z223&amp;"º pav."))," (restam serviços no "&amp;IF(Z223=-1,"subsolo",IF(Z223=0,"térreo",Z223&amp;"º pav."))&amp;")"))))))</f>
        <v/>
      </c>
    </row>
    <row r="224">
      <c r="M224" s="2">
        <f>IF(C224="","",IFERROR(INDEX($S$5:$S$304,MATCH(C224,$R$5:$R$304,0))&amp;"","?"))</f>
        <v/>
      </c>
      <c r="N224" s="2">
        <f>IF(E224="","",IF(LEFT(E224,7)="SUBSOLO",-1,IF(LEFT(E224,6)="TÉRREO",0,IFERROR(VALUE(LEFT(E224,FIND("º",SUBSTITUTE(E224,"°","º"))-1)),""))))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5" t="n"/>
      <c r="S224" s="5" t="n"/>
      <c r="T224" s="5" t="n"/>
      <c r="U224" s="5" t="n"/>
      <c r="V224" s="2">
        <f>IF(R224="","",COUNTIF($C$5:$C$3004,R224))</f>
        <v/>
      </c>
      <c r="W224" s="2">
        <f>IF(R224="","",COUNTIFS($C$5:$C$3004,R224,$O$5:$O$3004,"CONCLUÍDA"))</f>
        <v/>
      </c>
      <c r="X224" s="2">
        <f>IF(R224="","",COUNTIFS($C$5:$C$3004,R224,$O$5:$O$3004,"EM ANDAMENTO"))</f>
        <v/>
      </c>
      <c r="Y224" s="2">
        <f>IF(R224="","",IF(COUNTIFS($C$5:$C$3004,R224,$O$5:$O$3004,"CONCLUÍDA",$N$5:$N$3004,"&gt;=-1")=0,"",_xlfn.MAXIFS($N$5:$N$3004,$C$5:$C$3004,R224,$O$5:$O$3004,"CONCLUÍDA")))</f>
        <v/>
      </c>
      <c r="Z224" s="2">
        <f>IF(R224="","",IF(COUNTIFS($C$5:$C$3004,R224,$O$5:$O$3004,"EM ANDAMENTO",$N$5:$N$3004,"&gt;=-1")=0,"",_xlfn.MAXIFS($N$5:$N$3004,$C$5:$C$3004,R224,$O$5:$O$3004,"EM ANDAMENTO")))</f>
        <v/>
      </c>
      <c r="AA224" s="2">
        <f>IF(OR(R224="",S224="",U224&lt;&gt;"SIM",V224=0),"",IF(W224+X224=0,"",T224&amp;": "&amp;IF(W224=V224,"concluído",IF(W224=0,"em execução"&amp;IF(Z224&lt;&gt;""," ("&amp;IF(Z224=-1,"subsolo",IF(Z224=0,"térreo",Z224&amp;"º pav."))&amp;")",""),IF(Y224&lt;&gt;"","até "&amp;IF(Y224=-1,"subsolo",IF(Y224=0,"térreo",Y224&amp;"º pav.")),W224&amp;" de "&amp;V224&amp;" concluídas")&amp;IF(Z224="","",IF(OR(Y224="",Z224&gt;Y224),", executando "&amp;IF(Z224=-1,"subsolo",IF(Z224=0,"térreo",Z224&amp;"º pav."))," (restam serviços no "&amp;IF(Z224=-1,"subsolo",IF(Z224=0,"térreo",Z224&amp;"º pav."))&amp;")"))))))</f>
        <v/>
      </c>
    </row>
    <row r="225">
      <c r="M225" s="2">
        <f>IF(C225="","",IFERROR(INDEX($S$5:$S$304,MATCH(C225,$R$5:$R$304,0))&amp;"","?"))</f>
        <v/>
      </c>
      <c r="N225" s="2">
        <f>IF(E225="","",IF(LEFT(E225,7)="SUBSOLO",-1,IF(LEFT(E225,6)="TÉRREO",0,IFERROR(VALUE(LEFT(E225,FIND("º",SUBSTITUTE(E225,"°","º"))-1)),""))))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5" t="n"/>
      <c r="S225" s="5" t="n"/>
      <c r="T225" s="5" t="n"/>
      <c r="U225" s="5" t="n"/>
      <c r="V225" s="2">
        <f>IF(R225="","",COUNTIF($C$5:$C$3004,R225))</f>
        <v/>
      </c>
      <c r="W225" s="2">
        <f>IF(R225="","",COUNTIFS($C$5:$C$3004,R225,$O$5:$O$3004,"CONCLUÍDA"))</f>
        <v/>
      </c>
      <c r="X225" s="2">
        <f>IF(R225="","",COUNTIFS($C$5:$C$3004,R225,$O$5:$O$3004,"EM ANDAMENTO"))</f>
        <v/>
      </c>
      <c r="Y225" s="2">
        <f>IF(R225="","",IF(COUNTIFS($C$5:$C$3004,R225,$O$5:$O$3004,"CONCLUÍDA",$N$5:$N$3004,"&gt;=-1")=0,"",_xlfn.MAXIFS($N$5:$N$3004,$C$5:$C$3004,R225,$O$5:$O$3004,"CONCLUÍDA")))</f>
        <v/>
      </c>
      <c r="Z225" s="2">
        <f>IF(R225="","",IF(COUNTIFS($C$5:$C$3004,R225,$O$5:$O$3004,"EM ANDAMENTO",$N$5:$N$3004,"&gt;=-1")=0,"",_xlfn.MAXIFS($N$5:$N$3004,$C$5:$C$3004,R225,$O$5:$O$3004,"EM ANDAMENTO")))</f>
        <v/>
      </c>
      <c r="AA225" s="2">
        <f>IF(OR(R225="",S225="",U225&lt;&gt;"SIM",V225=0),"",IF(W225+X225=0,"",T225&amp;": "&amp;IF(W225=V225,"concluído",IF(W225=0,"em execução"&amp;IF(Z225&lt;&gt;""," ("&amp;IF(Z225=-1,"subsolo",IF(Z225=0,"térreo",Z225&amp;"º pav."))&amp;")",""),IF(Y225&lt;&gt;"","até "&amp;IF(Y225=-1,"subsolo",IF(Y225=0,"térreo",Y225&amp;"º pav.")),W225&amp;" de "&amp;V225&amp;" concluídas")&amp;IF(Z225="","",IF(OR(Y225="",Z225&gt;Y225),", executando "&amp;IF(Z225=-1,"subsolo",IF(Z225=0,"térreo",Z225&amp;"º pav."))," (restam serviços no "&amp;IF(Z225=-1,"subsolo",IF(Z225=0,"térreo",Z225&amp;"º pav."))&amp;")"))))))</f>
        <v/>
      </c>
    </row>
    <row r="226">
      <c r="M226" s="2">
        <f>IF(C226="","",IFERROR(INDEX($S$5:$S$304,MATCH(C226,$R$5:$R$304,0))&amp;"","?"))</f>
        <v/>
      </c>
      <c r="N226" s="2">
        <f>IF(E226="","",IF(LEFT(E226,7)="SUBSOLO",-1,IF(LEFT(E226,6)="TÉRREO",0,IFERROR(VALUE(LEFT(E226,FIND("º",SUBSTITUTE(E226,"°","º"))-1)),""))))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5" t="n"/>
      <c r="S226" s="5" t="n"/>
      <c r="T226" s="5" t="n"/>
      <c r="U226" s="5" t="n"/>
      <c r="V226" s="2">
        <f>IF(R226="","",COUNTIF($C$5:$C$3004,R226))</f>
        <v/>
      </c>
      <c r="W226" s="2">
        <f>IF(R226="","",COUNTIFS($C$5:$C$3004,R226,$O$5:$O$3004,"CONCLUÍDA"))</f>
        <v/>
      </c>
      <c r="X226" s="2">
        <f>IF(R226="","",COUNTIFS($C$5:$C$3004,R226,$O$5:$O$3004,"EM ANDAMENTO"))</f>
        <v/>
      </c>
      <c r="Y226" s="2">
        <f>IF(R226="","",IF(COUNTIFS($C$5:$C$3004,R226,$O$5:$O$3004,"CONCLUÍDA",$N$5:$N$3004,"&gt;=-1")=0,"",_xlfn.MAXIFS($N$5:$N$3004,$C$5:$C$3004,R226,$O$5:$O$3004,"CONCLUÍDA")))</f>
        <v/>
      </c>
      <c r="Z226" s="2">
        <f>IF(R226="","",IF(COUNTIFS($C$5:$C$3004,R226,$O$5:$O$3004,"EM ANDAMENTO",$N$5:$N$3004,"&gt;=-1")=0,"",_xlfn.MAXIFS($N$5:$N$3004,$C$5:$C$3004,R226,$O$5:$O$3004,"EM ANDAMENTO")))</f>
        <v/>
      </c>
      <c r="AA226" s="2">
        <f>IF(OR(R226="",S226="",U226&lt;&gt;"SIM",V226=0),"",IF(W226+X226=0,"",T226&amp;": "&amp;IF(W226=V226,"concluído",IF(W226=0,"em execução"&amp;IF(Z226&lt;&gt;""," ("&amp;IF(Z226=-1,"subsolo",IF(Z226=0,"térreo",Z226&amp;"º pav."))&amp;")",""),IF(Y226&lt;&gt;"","até "&amp;IF(Y226=-1,"subsolo",IF(Y226=0,"térreo",Y226&amp;"º pav.")),W226&amp;" de "&amp;V226&amp;" concluídas")&amp;IF(Z226="","",IF(OR(Y226="",Z226&gt;Y226),", executando "&amp;IF(Z226=-1,"subsolo",IF(Z226=0,"térreo",Z226&amp;"º pav."))," (restam serviços no "&amp;IF(Z226=-1,"subsolo",IF(Z226=0,"térreo",Z226&amp;"º pav."))&amp;")"))))))</f>
        <v/>
      </c>
    </row>
    <row r="227">
      <c r="M227" s="2">
        <f>IF(C227="","",IFERROR(INDEX($S$5:$S$304,MATCH(C227,$R$5:$R$304,0))&amp;"","?"))</f>
        <v/>
      </c>
      <c r="N227" s="2">
        <f>IF(E227="","",IF(LEFT(E227,7)="SUBSOLO",-1,IF(LEFT(E227,6)="TÉRREO",0,IFERROR(VALUE(LEFT(E227,FIND("º",SUBSTITUTE(E227,"°","º"))-1)),""))))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5" t="n"/>
      <c r="S227" s="5" t="n"/>
      <c r="T227" s="5" t="n"/>
      <c r="U227" s="5" t="n"/>
      <c r="V227" s="2">
        <f>IF(R227="","",COUNTIF($C$5:$C$3004,R227))</f>
        <v/>
      </c>
      <c r="W227" s="2">
        <f>IF(R227="","",COUNTIFS($C$5:$C$3004,R227,$O$5:$O$3004,"CONCLUÍDA"))</f>
        <v/>
      </c>
      <c r="X227" s="2">
        <f>IF(R227="","",COUNTIFS($C$5:$C$3004,R227,$O$5:$O$3004,"EM ANDAMENTO"))</f>
        <v/>
      </c>
      <c r="Y227" s="2">
        <f>IF(R227="","",IF(COUNTIFS($C$5:$C$3004,R227,$O$5:$O$3004,"CONCLUÍDA",$N$5:$N$3004,"&gt;=-1")=0,"",_xlfn.MAXIFS($N$5:$N$3004,$C$5:$C$3004,R227,$O$5:$O$3004,"CONCLUÍDA")))</f>
        <v/>
      </c>
      <c r="Z227" s="2">
        <f>IF(R227="","",IF(COUNTIFS($C$5:$C$3004,R227,$O$5:$O$3004,"EM ANDAMENTO",$N$5:$N$3004,"&gt;=-1")=0,"",_xlfn.MAXIFS($N$5:$N$3004,$C$5:$C$3004,R227,$O$5:$O$3004,"EM ANDAMENTO")))</f>
        <v/>
      </c>
      <c r="AA227" s="2">
        <f>IF(OR(R227="",S227="",U227&lt;&gt;"SIM",V227=0),"",IF(W227+X227=0,"",T227&amp;": "&amp;IF(W227=V227,"concluído",IF(W227=0,"em execução"&amp;IF(Z227&lt;&gt;""," ("&amp;IF(Z227=-1,"subsolo",IF(Z227=0,"térreo",Z227&amp;"º pav."))&amp;")",""),IF(Y227&lt;&gt;"","até "&amp;IF(Y227=-1,"subsolo",IF(Y227=0,"térreo",Y227&amp;"º pav.")),W227&amp;" de "&amp;V227&amp;" concluídas")&amp;IF(Z227="","",IF(OR(Y227="",Z227&gt;Y227),", executando "&amp;IF(Z227=-1,"subsolo",IF(Z227=0,"térreo",Z227&amp;"º pav."))," (restam serviços no "&amp;IF(Z227=-1,"subsolo",IF(Z227=0,"térreo",Z227&amp;"º pav."))&amp;")"))))))</f>
        <v/>
      </c>
    </row>
    <row r="228">
      <c r="M228" s="2">
        <f>IF(C228="","",IFERROR(INDEX($S$5:$S$304,MATCH(C228,$R$5:$R$304,0))&amp;"","?"))</f>
        <v/>
      </c>
      <c r="N228" s="2">
        <f>IF(E228="","",IF(LEFT(E228,7)="SUBSOLO",-1,IF(LEFT(E228,6)="TÉRREO",0,IFERROR(VALUE(LEFT(E228,FIND("º",SUBSTITUTE(E228,"°","º"))-1)),""))))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5" t="n"/>
      <c r="S228" s="5" t="n"/>
      <c r="T228" s="5" t="n"/>
      <c r="U228" s="5" t="n"/>
      <c r="V228" s="2">
        <f>IF(R228="","",COUNTIF($C$5:$C$3004,R228))</f>
        <v/>
      </c>
      <c r="W228" s="2">
        <f>IF(R228="","",COUNTIFS($C$5:$C$3004,R228,$O$5:$O$3004,"CONCLUÍDA"))</f>
        <v/>
      </c>
      <c r="X228" s="2">
        <f>IF(R228="","",COUNTIFS($C$5:$C$3004,R228,$O$5:$O$3004,"EM ANDAMENTO"))</f>
        <v/>
      </c>
      <c r="Y228" s="2">
        <f>IF(R228="","",IF(COUNTIFS($C$5:$C$3004,R228,$O$5:$O$3004,"CONCLUÍDA",$N$5:$N$3004,"&gt;=-1")=0,"",_xlfn.MAXIFS($N$5:$N$3004,$C$5:$C$3004,R228,$O$5:$O$3004,"CONCLUÍDA")))</f>
        <v/>
      </c>
      <c r="Z228" s="2">
        <f>IF(R228="","",IF(COUNTIFS($C$5:$C$3004,R228,$O$5:$O$3004,"EM ANDAMENTO",$N$5:$N$3004,"&gt;=-1")=0,"",_xlfn.MAXIFS($N$5:$N$3004,$C$5:$C$3004,R228,$O$5:$O$3004,"EM ANDAMENTO")))</f>
        <v/>
      </c>
      <c r="AA228" s="2">
        <f>IF(OR(R228="",S228="",U228&lt;&gt;"SIM",V228=0),"",IF(W228+X228=0,"",T228&amp;": "&amp;IF(W228=V228,"concluído",IF(W228=0,"em execução"&amp;IF(Z228&lt;&gt;""," ("&amp;IF(Z228=-1,"subsolo",IF(Z228=0,"térreo",Z228&amp;"º pav."))&amp;")",""),IF(Y228&lt;&gt;"","até "&amp;IF(Y228=-1,"subsolo",IF(Y228=0,"térreo",Y228&amp;"º pav.")),W228&amp;" de "&amp;V228&amp;" concluídas")&amp;IF(Z228="","",IF(OR(Y228="",Z228&gt;Y228),", executando "&amp;IF(Z228=-1,"subsolo",IF(Z228=0,"térreo",Z228&amp;"º pav."))," (restam serviços no "&amp;IF(Z228=-1,"subsolo",IF(Z228=0,"térreo",Z228&amp;"º pav."))&amp;")"))))))</f>
        <v/>
      </c>
    </row>
    <row r="229">
      <c r="M229" s="2">
        <f>IF(C229="","",IFERROR(INDEX($S$5:$S$304,MATCH(C229,$R$5:$R$304,0))&amp;"","?"))</f>
        <v/>
      </c>
      <c r="N229" s="2">
        <f>IF(E229="","",IF(LEFT(E229,7)="SUBSOLO",-1,IF(LEFT(E229,6)="TÉRREO",0,IFERROR(VALUE(LEFT(E229,FIND("º",SUBSTITUTE(E229,"°","º"))-1)),""))))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5" t="n"/>
      <c r="S229" s="5" t="n"/>
      <c r="T229" s="5" t="n"/>
      <c r="U229" s="5" t="n"/>
      <c r="V229" s="2">
        <f>IF(R229="","",COUNTIF($C$5:$C$3004,R229))</f>
        <v/>
      </c>
      <c r="W229" s="2">
        <f>IF(R229="","",COUNTIFS($C$5:$C$3004,R229,$O$5:$O$3004,"CONCLUÍDA"))</f>
        <v/>
      </c>
      <c r="X229" s="2">
        <f>IF(R229="","",COUNTIFS($C$5:$C$3004,R229,$O$5:$O$3004,"EM ANDAMENTO"))</f>
        <v/>
      </c>
      <c r="Y229" s="2">
        <f>IF(R229="","",IF(COUNTIFS($C$5:$C$3004,R229,$O$5:$O$3004,"CONCLUÍDA",$N$5:$N$3004,"&gt;=-1")=0,"",_xlfn.MAXIFS($N$5:$N$3004,$C$5:$C$3004,R229,$O$5:$O$3004,"CONCLUÍDA")))</f>
        <v/>
      </c>
      <c r="Z229" s="2">
        <f>IF(R229="","",IF(COUNTIFS($C$5:$C$3004,R229,$O$5:$O$3004,"EM ANDAMENTO",$N$5:$N$3004,"&gt;=-1")=0,"",_xlfn.MAXIFS($N$5:$N$3004,$C$5:$C$3004,R229,$O$5:$O$3004,"EM ANDAMENTO")))</f>
        <v/>
      </c>
      <c r="AA229" s="2">
        <f>IF(OR(R229="",S229="",U229&lt;&gt;"SIM",V229=0),"",IF(W229+X229=0,"",T229&amp;": "&amp;IF(W229=V229,"concluído",IF(W229=0,"em execução"&amp;IF(Z229&lt;&gt;""," ("&amp;IF(Z229=-1,"subsolo",IF(Z229=0,"térreo",Z229&amp;"º pav."))&amp;")",""),IF(Y229&lt;&gt;"","até "&amp;IF(Y229=-1,"subsolo",IF(Y229=0,"térreo",Y229&amp;"º pav.")),W229&amp;" de "&amp;V229&amp;" concluídas")&amp;IF(Z229="","",IF(OR(Y229="",Z229&gt;Y229),", executando "&amp;IF(Z229=-1,"subsolo",IF(Z229=0,"térreo",Z229&amp;"º pav."))," (restam serviços no "&amp;IF(Z229=-1,"subsolo",IF(Z229=0,"térreo",Z229&amp;"º pav."))&amp;")"))))))</f>
        <v/>
      </c>
    </row>
    <row r="230">
      <c r="M230" s="2">
        <f>IF(C230="","",IFERROR(INDEX($S$5:$S$304,MATCH(C230,$R$5:$R$304,0))&amp;"","?"))</f>
        <v/>
      </c>
      <c r="N230" s="2">
        <f>IF(E230="","",IF(LEFT(E230,7)="SUBSOLO",-1,IF(LEFT(E230,6)="TÉRREO",0,IFERROR(VALUE(LEFT(E230,FIND("º",SUBSTITUTE(E230,"°","º"))-1)),""))))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5" t="n"/>
      <c r="S230" s="5" t="n"/>
      <c r="T230" s="5" t="n"/>
      <c r="U230" s="5" t="n"/>
      <c r="V230" s="2">
        <f>IF(R230="","",COUNTIF($C$5:$C$3004,R230))</f>
        <v/>
      </c>
      <c r="W230" s="2">
        <f>IF(R230="","",COUNTIFS($C$5:$C$3004,R230,$O$5:$O$3004,"CONCLUÍDA"))</f>
        <v/>
      </c>
      <c r="X230" s="2">
        <f>IF(R230="","",COUNTIFS($C$5:$C$3004,R230,$O$5:$O$3004,"EM ANDAMENTO"))</f>
        <v/>
      </c>
      <c r="Y230" s="2">
        <f>IF(R230="","",IF(COUNTIFS($C$5:$C$3004,R230,$O$5:$O$3004,"CONCLUÍDA",$N$5:$N$3004,"&gt;=-1")=0,"",_xlfn.MAXIFS($N$5:$N$3004,$C$5:$C$3004,R230,$O$5:$O$3004,"CONCLUÍDA")))</f>
        <v/>
      </c>
      <c r="Z230" s="2">
        <f>IF(R230="","",IF(COUNTIFS($C$5:$C$3004,R230,$O$5:$O$3004,"EM ANDAMENTO",$N$5:$N$3004,"&gt;=-1")=0,"",_xlfn.MAXIFS($N$5:$N$3004,$C$5:$C$3004,R230,$O$5:$O$3004,"EM ANDAMENTO")))</f>
        <v/>
      </c>
      <c r="AA230" s="2">
        <f>IF(OR(R230="",S230="",U230&lt;&gt;"SIM",V230=0),"",IF(W230+X230=0,"",T230&amp;": "&amp;IF(W230=V230,"concluído",IF(W230=0,"em execução"&amp;IF(Z230&lt;&gt;""," ("&amp;IF(Z230=-1,"subsolo",IF(Z230=0,"térreo",Z230&amp;"º pav."))&amp;")",""),IF(Y230&lt;&gt;"","até "&amp;IF(Y230=-1,"subsolo",IF(Y230=0,"térreo",Y230&amp;"º pav.")),W230&amp;" de "&amp;V230&amp;" concluídas")&amp;IF(Z230="","",IF(OR(Y230="",Z230&gt;Y230),", executando "&amp;IF(Z230=-1,"subsolo",IF(Z230=0,"térreo",Z230&amp;"º pav."))," (restam serviços no "&amp;IF(Z230=-1,"subsolo",IF(Z230=0,"térreo",Z230&amp;"º pav."))&amp;")"))))))</f>
        <v/>
      </c>
    </row>
    <row r="231">
      <c r="M231" s="2">
        <f>IF(C231="","",IFERROR(INDEX($S$5:$S$304,MATCH(C231,$R$5:$R$304,0))&amp;"","?"))</f>
        <v/>
      </c>
      <c r="N231" s="2">
        <f>IF(E231="","",IF(LEFT(E231,7)="SUBSOLO",-1,IF(LEFT(E231,6)="TÉRREO",0,IFERROR(VALUE(LEFT(E231,FIND("º",SUBSTITUTE(E231,"°","º"))-1)),""))))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5" t="n"/>
      <c r="S231" s="5" t="n"/>
      <c r="T231" s="5" t="n"/>
      <c r="U231" s="5" t="n"/>
      <c r="V231" s="2">
        <f>IF(R231="","",COUNTIF($C$5:$C$3004,R231))</f>
        <v/>
      </c>
      <c r="W231" s="2">
        <f>IF(R231="","",COUNTIFS($C$5:$C$3004,R231,$O$5:$O$3004,"CONCLUÍDA"))</f>
        <v/>
      </c>
      <c r="X231" s="2">
        <f>IF(R231="","",COUNTIFS($C$5:$C$3004,R231,$O$5:$O$3004,"EM ANDAMENTO"))</f>
        <v/>
      </c>
      <c r="Y231" s="2">
        <f>IF(R231="","",IF(COUNTIFS($C$5:$C$3004,R231,$O$5:$O$3004,"CONCLUÍDA",$N$5:$N$3004,"&gt;=-1")=0,"",_xlfn.MAXIFS($N$5:$N$3004,$C$5:$C$3004,R231,$O$5:$O$3004,"CONCLUÍDA")))</f>
        <v/>
      </c>
      <c r="Z231" s="2">
        <f>IF(R231="","",IF(COUNTIFS($C$5:$C$3004,R231,$O$5:$O$3004,"EM ANDAMENTO",$N$5:$N$3004,"&gt;=-1")=0,"",_xlfn.MAXIFS($N$5:$N$3004,$C$5:$C$3004,R231,$O$5:$O$3004,"EM ANDAMENTO")))</f>
        <v/>
      </c>
      <c r="AA231" s="2">
        <f>IF(OR(R231="",S231="",U231&lt;&gt;"SIM",V231=0),"",IF(W231+X231=0,"",T231&amp;": "&amp;IF(W231=V231,"concluído",IF(W231=0,"em execução"&amp;IF(Z231&lt;&gt;""," ("&amp;IF(Z231=-1,"subsolo",IF(Z231=0,"térreo",Z231&amp;"º pav."))&amp;")",""),IF(Y231&lt;&gt;"","até "&amp;IF(Y231=-1,"subsolo",IF(Y231=0,"térreo",Y231&amp;"º pav.")),W231&amp;" de "&amp;V231&amp;" concluídas")&amp;IF(Z231="","",IF(OR(Y231="",Z231&gt;Y231),", executando "&amp;IF(Z231=-1,"subsolo",IF(Z231=0,"térreo",Z231&amp;"º pav."))," (restam serviços no "&amp;IF(Z231=-1,"subsolo",IF(Z231=0,"térreo",Z231&amp;"º pav."))&amp;")"))))))</f>
        <v/>
      </c>
    </row>
    <row r="232">
      <c r="M232" s="2">
        <f>IF(C232="","",IFERROR(INDEX($S$5:$S$304,MATCH(C232,$R$5:$R$304,0))&amp;"","?"))</f>
        <v/>
      </c>
      <c r="N232" s="2">
        <f>IF(E232="","",IF(LEFT(E232,7)="SUBSOLO",-1,IF(LEFT(E232,6)="TÉRREO",0,IFERROR(VALUE(LEFT(E232,FIND("º",SUBSTITUTE(E232,"°","º"))-1)),""))))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5" t="n"/>
      <c r="S232" s="5" t="n"/>
      <c r="T232" s="5" t="n"/>
      <c r="U232" s="5" t="n"/>
      <c r="V232" s="2">
        <f>IF(R232="","",COUNTIF($C$5:$C$3004,R232))</f>
        <v/>
      </c>
      <c r="W232" s="2">
        <f>IF(R232="","",COUNTIFS($C$5:$C$3004,R232,$O$5:$O$3004,"CONCLUÍDA"))</f>
        <v/>
      </c>
      <c r="X232" s="2">
        <f>IF(R232="","",COUNTIFS($C$5:$C$3004,R232,$O$5:$O$3004,"EM ANDAMENTO"))</f>
        <v/>
      </c>
      <c r="Y232" s="2">
        <f>IF(R232="","",IF(COUNTIFS($C$5:$C$3004,R232,$O$5:$O$3004,"CONCLUÍDA",$N$5:$N$3004,"&gt;=-1")=0,"",_xlfn.MAXIFS($N$5:$N$3004,$C$5:$C$3004,R232,$O$5:$O$3004,"CONCLUÍDA")))</f>
        <v/>
      </c>
      <c r="Z232" s="2">
        <f>IF(R232="","",IF(COUNTIFS($C$5:$C$3004,R232,$O$5:$O$3004,"EM ANDAMENTO",$N$5:$N$3004,"&gt;=-1")=0,"",_xlfn.MAXIFS($N$5:$N$3004,$C$5:$C$3004,R232,$O$5:$O$3004,"EM ANDAMENTO")))</f>
        <v/>
      </c>
      <c r="AA232" s="2">
        <f>IF(OR(R232="",S232="",U232&lt;&gt;"SIM",V232=0),"",IF(W232+X232=0,"",T232&amp;": "&amp;IF(W232=V232,"concluído",IF(W232=0,"em execução"&amp;IF(Z232&lt;&gt;""," ("&amp;IF(Z232=-1,"subsolo",IF(Z232=0,"térreo",Z232&amp;"º pav."))&amp;")",""),IF(Y232&lt;&gt;"","até "&amp;IF(Y232=-1,"subsolo",IF(Y232=0,"térreo",Y232&amp;"º pav.")),W232&amp;" de "&amp;V232&amp;" concluídas")&amp;IF(Z232="","",IF(OR(Y232="",Z232&gt;Y232),", executando "&amp;IF(Z232=-1,"subsolo",IF(Z232=0,"térreo",Z232&amp;"º pav."))," (restam serviços no "&amp;IF(Z232=-1,"subsolo",IF(Z232=0,"térreo",Z232&amp;"º pav."))&amp;")"))))))</f>
        <v/>
      </c>
    </row>
    <row r="233">
      <c r="M233" s="2">
        <f>IF(C233="","",IFERROR(INDEX($S$5:$S$304,MATCH(C233,$R$5:$R$304,0))&amp;"","?"))</f>
        <v/>
      </c>
      <c r="N233" s="2">
        <f>IF(E233="","",IF(LEFT(E233,7)="SUBSOLO",-1,IF(LEFT(E233,6)="TÉRREO",0,IFERROR(VALUE(LEFT(E233,FIND("º",SUBSTITUTE(E233,"°","º"))-1)),""))))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5" t="n"/>
      <c r="S233" s="5" t="n"/>
      <c r="T233" s="5" t="n"/>
      <c r="U233" s="5" t="n"/>
      <c r="V233" s="2">
        <f>IF(R233="","",COUNTIF($C$5:$C$3004,R233))</f>
        <v/>
      </c>
      <c r="W233" s="2">
        <f>IF(R233="","",COUNTIFS($C$5:$C$3004,R233,$O$5:$O$3004,"CONCLUÍDA"))</f>
        <v/>
      </c>
      <c r="X233" s="2">
        <f>IF(R233="","",COUNTIFS($C$5:$C$3004,R233,$O$5:$O$3004,"EM ANDAMENTO"))</f>
        <v/>
      </c>
      <c r="Y233" s="2">
        <f>IF(R233="","",IF(COUNTIFS($C$5:$C$3004,R233,$O$5:$O$3004,"CONCLUÍDA",$N$5:$N$3004,"&gt;=-1")=0,"",_xlfn.MAXIFS($N$5:$N$3004,$C$5:$C$3004,R233,$O$5:$O$3004,"CONCLUÍDA")))</f>
        <v/>
      </c>
      <c r="Z233" s="2">
        <f>IF(R233="","",IF(COUNTIFS($C$5:$C$3004,R233,$O$5:$O$3004,"EM ANDAMENTO",$N$5:$N$3004,"&gt;=-1")=0,"",_xlfn.MAXIFS($N$5:$N$3004,$C$5:$C$3004,R233,$O$5:$O$3004,"EM ANDAMENTO")))</f>
        <v/>
      </c>
      <c r="AA233" s="2">
        <f>IF(OR(R233="",S233="",U233&lt;&gt;"SIM",V233=0),"",IF(W233+X233=0,"",T233&amp;": "&amp;IF(W233=V233,"concluído",IF(W233=0,"em execução"&amp;IF(Z233&lt;&gt;""," ("&amp;IF(Z233=-1,"subsolo",IF(Z233=0,"térreo",Z233&amp;"º pav."))&amp;")",""),IF(Y233&lt;&gt;"","até "&amp;IF(Y233=-1,"subsolo",IF(Y233=0,"térreo",Y233&amp;"º pav.")),W233&amp;" de "&amp;V233&amp;" concluídas")&amp;IF(Z233="","",IF(OR(Y233="",Z233&gt;Y233),", executando "&amp;IF(Z233=-1,"subsolo",IF(Z233=0,"térreo",Z233&amp;"º pav."))," (restam serviços no "&amp;IF(Z233=-1,"subsolo",IF(Z233=0,"térreo",Z233&amp;"º pav."))&amp;")"))))))</f>
        <v/>
      </c>
    </row>
    <row r="234">
      <c r="M234" s="2">
        <f>IF(C234="","",IFERROR(INDEX($S$5:$S$304,MATCH(C234,$R$5:$R$304,0))&amp;"","?"))</f>
        <v/>
      </c>
      <c r="N234" s="2">
        <f>IF(E234="","",IF(LEFT(E234,7)="SUBSOLO",-1,IF(LEFT(E234,6)="TÉRREO",0,IFERROR(VALUE(LEFT(E234,FIND("º",SUBSTITUTE(E234,"°","º"))-1)),""))))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5" t="n"/>
      <c r="S234" s="5" t="n"/>
      <c r="T234" s="5" t="n"/>
      <c r="U234" s="5" t="n"/>
      <c r="V234" s="2">
        <f>IF(R234="","",COUNTIF($C$5:$C$3004,R234))</f>
        <v/>
      </c>
      <c r="W234" s="2">
        <f>IF(R234="","",COUNTIFS($C$5:$C$3004,R234,$O$5:$O$3004,"CONCLUÍDA"))</f>
        <v/>
      </c>
      <c r="X234" s="2">
        <f>IF(R234="","",COUNTIFS($C$5:$C$3004,R234,$O$5:$O$3004,"EM ANDAMENTO"))</f>
        <v/>
      </c>
      <c r="Y234" s="2">
        <f>IF(R234="","",IF(COUNTIFS($C$5:$C$3004,R234,$O$5:$O$3004,"CONCLUÍDA",$N$5:$N$3004,"&gt;=-1")=0,"",_xlfn.MAXIFS($N$5:$N$3004,$C$5:$C$3004,R234,$O$5:$O$3004,"CONCLUÍDA")))</f>
        <v/>
      </c>
      <c r="Z234" s="2">
        <f>IF(R234="","",IF(COUNTIFS($C$5:$C$3004,R234,$O$5:$O$3004,"EM ANDAMENTO",$N$5:$N$3004,"&gt;=-1")=0,"",_xlfn.MAXIFS($N$5:$N$3004,$C$5:$C$3004,R234,$O$5:$O$3004,"EM ANDAMENTO")))</f>
        <v/>
      </c>
      <c r="AA234" s="2">
        <f>IF(OR(R234="",S234="",U234&lt;&gt;"SIM",V234=0),"",IF(W234+X234=0,"",T234&amp;": "&amp;IF(W234=V234,"concluído",IF(W234=0,"em execução"&amp;IF(Z234&lt;&gt;""," ("&amp;IF(Z234=-1,"subsolo",IF(Z234=0,"térreo",Z234&amp;"º pav."))&amp;")",""),IF(Y234&lt;&gt;"","até "&amp;IF(Y234=-1,"subsolo",IF(Y234=0,"térreo",Y234&amp;"º pav.")),W234&amp;" de "&amp;V234&amp;" concluídas")&amp;IF(Z234="","",IF(OR(Y234="",Z234&gt;Y234),", executando "&amp;IF(Z234=-1,"subsolo",IF(Z234=0,"térreo",Z234&amp;"º pav."))," (restam serviços no "&amp;IF(Z234=-1,"subsolo",IF(Z234=0,"térreo",Z234&amp;"º pav."))&amp;")"))))))</f>
        <v/>
      </c>
    </row>
    <row r="235">
      <c r="M235" s="2">
        <f>IF(C235="","",IFERROR(INDEX($S$5:$S$304,MATCH(C235,$R$5:$R$304,0))&amp;"","?"))</f>
        <v/>
      </c>
      <c r="N235" s="2">
        <f>IF(E235="","",IF(LEFT(E235,7)="SUBSOLO",-1,IF(LEFT(E235,6)="TÉRREO",0,IFERROR(VALUE(LEFT(E235,FIND("º",SUBSTITUTE(E235,"°","º"))-1)),""))))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5" t="n"/>
      <c r="S235" s="5" t="n"/>
      <c r="T235" s="5" t="n"/>
      <c r="U235" s="5" t="n"/>
      <c r="V235" s="2">
        <f>IF(R235="","",COUNTIF($C$5:$C$3004,R235))</f>
        <v/>
      </c>
      <c r="W235" s="2">
        <f>IF(R235="","",COUNTIFS($C$5:$C$3004,R235,$O$5:$O$3004,"CONCLUÍDA"))</f>
        <v/>
      </c>
      <c r="X235" s="2">
        <f>IF(R235="","",COUNTIFS($C$5:$C$3004,R235,$O$5:$O$3004,"EM ANDAMENTO"))</f>
        <v/>
      </c>
      <c r="Y235" s="2">
        <f>IF(R235="","",IF(COUNTIFS($C$5:$C$3004,R235,$O$5:$O$3004,"CONCLUÍDA",$N$5:$N$3004,"&gt;=-1")=0,"",_xlfn.MAXIFS($N$5:$N$3004,$C$5:$C$3004,R235,$O$5:$O$3004,"CONCLUÍDA")))</f>
        <v/>
      </c>
      <c r="Z235" s="2">
        <f>IF(R235="","",IF(COUNTIFS($C$5:$C$3004,R235,$O$5:$O$3004,"EM ANDAMENTO",$N$5:$N$3004,"&gt;=-1")=0,"",_xlfn.MAXIFS($N$5:$N$3004,$C$5:$C$3004,R235,$O$5:$O$3004,"EM ANDAMENTO")))</f>
        <v/>
      </c>
      <c r="AA235" s="2">
        <f>IF(OR(R235="",S235="",U235&lt;&gt;"SIM",V235=0),"",IF(W235+X235=0,"",T235&amp;": "&amp;IF(W235=V235,"concluído",IF(W235=0,"em execução"&amp;IF(Z235&lt;&gt;""," ("&amp;IF(Z235=-1,"subsolo",IF(Z235=0,"térreo",Z235&amp;"º pav."))&amp;")",""),IF(Y235&lt;&gt;"","até "&amp;IF(Y235=-1,"subsolo",IF(Y235=0,"térreo",Y235&amp;"º pav.")),W235&amp;" de "&amp;V235&amp;" concluídas")&amp;IF(Z235="","",IF(OR(Y235="",Z235&gt;Y235),", executando "&amp;IF(Z235=-1,"subsolo",IF(Z235=0,"térreo",Z235&amp;"º pav."))," (restam serviços no "&amp;IF(Z235=-1,"subsolo",IF(Z235=0,"térreo",Z235&amp;"º pav."))&amp;")"))))))</f>
        <v/>
      </c>
    </row>
    <row r="236">
      <c r="M236" s="2">
        <f>IF(C236="","",IFERROR(INDEX($S$5:$S$304,MATCH(C236,$R$5:$R$304,0))&amp;"","?"))</f>
        <v/>
      </c>
      <c r="N236" s="2">
        <f>IF(E236="","",IF(LEFT(E236,7)="SUBSOLO",-1,IF(LEFT(E236,6)="TÉRREO",0,IFERROR(VALUE(LEFT(E236,FIND("º",SUBSTITUTE(E236,"°","º"))-1)),""))))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5" t="n"/>
      <c r="S236" s="5" t="n"/>
      <c r="T236" s="5" t="n"/>
      <c r="U236" s="5" t="n"/>
      <c r="V236" s="2">
        <f>IF(R236="","",COUNTIF($C$5:$C$3004,R236))</f>
        <v/>
      </c>
      <c r="W236" s="2">
        <f>IF(R236="","",COUNTIFS($C$5:$C$3004,R236,$O$5:$O$3004,"CONCLUÍDA"))</f>
        <v/>
      </c>
      <c r="X236" s="2">
        <f>IF(R236="","",COUNTIFS($C$5:$C$3004,R236,$O$5:$O$3004,"EM ANDAMENTO"))</f>
        <v/>
      </c>
      <c r="Y236" s="2">
        <f>IF(R236="","",IF(COUNTIFS($C$5:$C$3004,R236,$O$5:$O$3004,"CONCLUÍDA",$N$5:$N$3004,"&gt;=-1")=0,"",_xlfn.MAXIFS($N$5:$N$3004,$C$5:$C$3004,R236,$O$5:$O$3004,"CONCLUÍDA")))</f>
        <v/>
      </c>
      <c r="Z236" s="2">
        <f>IF(R236="","",IF(COUNTIFS($C$5:$C$3004,R236,$O$5:$O$3004,"EM ANDAMENTO",$N$5:$N$3004,"&gt;=-1")=0,"",_xlfn.MAXIFS($N$5:$N$3004,$C$5:$C$3004,R236,$O$5:$O$3004,"EM ANDAMENTO")))</f>
        <v/>
      </c>
      <c r="AA236" s="2">
        <f>IF(OR(R236="",S236="",U236&lt;&gt;"SIM",V236=0),"",IF(W236+X236=0,"",T236&amp;": "&amp;IF(W236=V236,"concluído",IF(W236=0,"em execução"&amp;IF(Z236&lt;&gt;""," ("&amp;IF(Z236=-1,"subsolo",IF(Z236=0,"térreo",Z236&amp;"º pav."))&amp;")",""),IF(Y236&lt;&gt;"","até "&amp;IF(Y236=-1,"subsolo",IF(Y236=0,"térreo",Y236&amp;"º pav.")),W236&amp;" de "&amp;V236&amp;" concluídas")&amp;IF(Z236="","",IF(OR(Y236="",Z236&gt;Y236),", executando "&amp;IF(Z236=-1,"subsolo",IF(Z236=0,"térreo",Z236&amp;"º pav."))," (restam serviços no "&amp;IF(Z236=-1,"subsolo",IF(Z236=0,"térreo",Z236&amp;"º pav."))&amp;")"))))))</f>
        <v/>
      </c>
    </row>
    <row r="237">
      <c r="M237" s="2">
        <f>IF(C237="","",IFERROR(INDEX($S$5:$S$304,MATCH(C237,$R$5:$R$304,0))&amp;"","?"))</f>
        <v/>
      </c>
      <c r="N237" s="2">
        <f>IF(E237="","",IF(LEFT(E237,7)="SUBSOLO",-1,IF(LEFT(E237,6)="TÉRREO",0,IFERROR(VALUE(LEFT(E237,FIND("º",SUBSTITUTE(E237,"°","º"))-1)),""))))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5" t="n"/>
      <c r="S237" s="5" t="n"/>
      <c r="T237" s="5" t="n"/>
      <c r="U237" s="5" t="n"/>
      <c r="V237" s="2">
        <f>IF(R237="","",COUNTIF($C$5:$C$3004,R237))</f>
        <v/>
      </c>
      <c r="W237" s="2">
        <f>IF(R237="","",COUNTIFS($C$5:$C$3004,R237,$O$5:$O$3004,"CONCLUÍDA"))</f>
        <v/>
      </c>
      <c r="X237" s="2">
        <f>IF(R237="","",COUNTIFS($C$5:$C$3004,R237,$O$5:$O$3004,"EM ANDAMENTO"))</f>
        <v/>
      </c>
      <c r="Y237" s="2">
        <f>IF(R237="","",IF(COUNTIFS($C$5:$C$3004,R237,$O$5:$O$3004,"CONCLUÍDA",$N$5:$N$3004,"&gt;=-1")=0,"",_xlfn.MAXIFS($N$5:$N$3004,$C$5:$C$3004,R237,$O$5:$O$3004,"CONCLUÍDA")))</f>
        <v/>
      </c>
      <c r="Z237" s="2">
        <f>IF(R237="","",IF(COUNTIFS($C$5:$C$3004,R237,$O$5:$O$3004,"EM ANDAMENTO",$N$5:$N$3004,"&gt;=-1")=0,"",_xlfn.MAXIFS($N$5:$N$3004,$C$5:$C$3004,R237,$O$5:$O$3004,"EM ANDAMENTO")))</f>
        <v/>
      </c>
      <c r="AA237" s="2">
        <f>IF(OR(R237="",S237="",U237&lt;&gt;"SIM",V237=0),"",IF(W237+X237=0,"",T237&amp;": "&amp;IF(W237=V237,"concluído",IF(W237=0,"em execução"&amp;IF(Z237&lt;&gt;""," ("&amp;IF(Z237=-1,"subsolo",IF(Z237=0,"térreo",Z237&amp;"º pav."))&amp;")",""),IF(Y237&lt;&gt;"","até "&amp;IF(Y237=-1,"subsolo",IF(Y237=0,"térreo",Y237&amp;"º pav.")),W237&amp;" de "&amp;V237&amp;" concluídas")&amp;IF(Z237="","",IF(OR(Y237="",Z237&gt;Y237),", executando "&amp;IF(Z237=-1,"subsolo",IF(Z237=0,"térreo",Z237&amp;"º pav."))," (restam serviços no "&amp;IF(Z237=-1,"subsolo",IF(Z237=0,"térreo",Z237&amp;"º pav."))&amp;")"))))))</f>
        <v/>
      </c>
    </row>
    <row r="238">
      <c r="M238" s="2">
        <f>IF(C238="","",IFERROR(INDEX($S$5:$S$304,MATCH(C238,$R$5:$R$304,0))&amp;"","?"))</f>
        <v/>
      </c>
      <c r="N238" s="2">
        <f>IF(E238="","",IF(LEFT(E238,7)="SUBSOLO",-1,IF(LEFT(E238,6)="TÉRREO",0,IFERROR(VALUE(LEFT(E238,FIND("º",SUBSTITUTE(E238,"°","º"))-1)),""))))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5" t="n"/>
      <c r="S238" s="5" t="n"/>
      <c r="T238" s="5" t="n"/>
      <c r="U238" s="5" t="n"/>
      <c r="V238" s="2">
        <f>IF(R238="","",COUNTIF($C$5:$C$3004,R238))</f>
        <v/>
      </c>
      <c r="W238" s="2">
        <f>IF(R238="","",COUNTIFS($C$5:$C$3004,R238,$O$5:$O$3004,"CONCLUÍDA"))</f>
        <v/>
      </c>
      <c r="X238" s="2">
        <f>IF(R238="","",COUNTIFS($C$5:$C$3004,R238,$O$5:$O$3004,"EM ANDAMENTO"))</f>
        <v/>
      </c>
      <c r="Y238" s="2">
        <f>IF(R238="","",IF(COUNTIFS($C$5:$C$3004,R238,$O$5:$O$3004,"CONCLUÍDA",$N$5:$N$3004,"&gt;=-1")=0,"",_xlfn.MAXIFS($N$5:$N$3004,$C$5:$C$3004,R238,$O$5:$O$3004,"CONCLUÍDA")))</f>
        <v/>
      </c>
      <c r="Z238" s="2">
        <f>IF(R238="","",IF(COUNTIFS($C$5:$C$3004,R238,$O$5:$O$3004,"EM ANDAMENTO",$N$5:$N$3004,"&gt;=-1")=0,"",_xlfn.MAXIFS($N$5:$N$3004,$C$5:$C$3004,R238,$O$5:$O$3004,"EM ANDAMENTO")))</f>
        <v/>
      </c>
      <c r="AA238" s="2">
        <f>IF(OR(R238="",S238="",U238&lt;&gt;"SIM",V238=0),"",IF(W238+X238=0,"",T238&amp;": "&amp;IF(W238=V238,"concluído",IF(W238=0,"em execução"&amp;IF(Z238&lt;&gt;""," ("&amp;IF(Z238=-1,"subsolo",IF(Z238=0,"térreo",Z238&amp;"º pav."))&amp;")",""),IF(Y238&lt;&gt;"","até "&amp;IF(Y238=-1,"subsolo",IF(Y238=0,"térreo",Y238&amp;"º pav.")),W238&amp;" de "&amp;V238&amp;" concluídas")&amp;IF(Z238="","",IF(OR(Y238="",Z238&gt;Y238),", executando "&amp;IF(Z238=-1,"subsolo",IF(Z238=0,"térreo",Z238&amp;"º pav."))," (restam serviços no "&amp;IF(Z238=-1,"subsolo",IF(Z238=0,"térreo",Z238&amp;"º pav."))&amp;")"))))))</f>
        <v/>
      </c>
    </row>
    <row r="239">
      <c r="M239" s="2">
        <f>IF(C239="","",IFERROR(INDEX($S$5:$S$304,MATCH(C239,$R$5:$R$304,0))&amp;"","?"))</f>
        <v/>
      </c>
      <c r="N239" s="2">
        <f>IF(E239="","",IF(LEFT(E239,7)="SUBSOLO",-1,IF(LEFT(E239,6)="TÉRREO",0,IFERROR(VALUE(LEFT(E239,FIND("º",SUBSTITUTE(E239,"°","º"))-1)),""))))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5" t="n"/>
      <c r="S239" s="5" t="n"/>
      <c r="T239" s="5" t="n"/>
      <c r="U239" s="5" t="n"/>
      <c r="V239" s="2">
        <f>IF(R239="","",COUNTIF($C$5:$C$3004,R239))</f>
        <v/>
      </c>
      <c r="W239" s="2">
        <f>IF(R239="","",COUNTIFS($C$5:$C$3004,R239,$O$5:$O$3004,"CONCLUÍDA"))</f>
        <v/>
      </c>
      <c r="X239" s="2">
        <f>IF(R239="","",COUNTIFS($C$5:$C$3004,R239,$O$5:$O$3004,"EM ANDAMENTO"))</f>
        <v/>
      </c>
      <c r="Y239" s="2">
        <f>IF(R239="","",IF(COUNTIFS($C$5:$C$3004,R239,$O$5:$O$3004,"CONCLUÍDA",$N$5:$N$3004,"&gt;=-1")=0,"",_xlfn.MAXIFS($N$5:$N$3004,$C$5:$C$3004,R239,$O$5:$O$3004,"CONCLUÍDA")))</f>
        <v/>
      </c>
      <c r="Z239" s="2">
        <f>IF(R239="","",IF(COUNTIFS($C$5:$C$3004,R239,$O$5:$O$3004,"EM ANDAMENTO",$N$5:$N$3004,"&gt;=-1")=0,"",_xlfn.MAXIFS($N$5:$N$3004,$C$5:$C$3004,R239,$O$5:$O$3004,"EM ANDAMENTO")))</f>
        <v/>
      </c>
      <c r="AA239" s="2">
        <f>IF(OR(R239="",S239="",U239&lt;&gt;"SIM",V239=0),"",IF(W239+X239=0,"",T239&amp;": "&amp;IF(W239=V239,"concluído",IF(W239=0,"em execução"&amp;IF(Z239&lt;&gt;""," ("&amp;IF(Z239=-1,"subsolo",IF(Z239=0,"térreo",Z239&amp;"º pav."))&amp;")",""),IF(Y239&lt;&gt;"","até "&amp;IF(Y239=-1,"subsolo",IF(Y239=0,"térreo",Y239&amp;"º pav.")),W239&amp;" de "&amp;V239&amp;" concluídas")&amp;IF(Z239="","",IF(OR(Y239="",Z239&gt;Y239),", executando "&amp;IF(Z239=-1,"subsolo",IF(Z239=0,"térreo",Z239&amp;"º pav."))," (restam serviços no "&amp;IF(Z239=-1,"subsolo",IF(Z239=0,"térreo",Z239&amp;"º pav."))&amp;")"))))))</f>
        <v/>
      </c>
    </row>
    <row r="240">
      <c r="M240" s="2">
        <f>IF(C240="","",IFERROR(INDEX($S$5:$S$304,MATCH(C240,$R$5:$R$304,0))&amp;"","?"))</f>
        <v/>
      </c>
      <c r="N240" s="2">
        <f>IF(E240="","",IF(LEFT(E240,7)="SUBSOLO",-1,IF(LEFT(E240,6)="TÉRREO",0,IFERROR(VALUE(LEFT(E240,FIND("º",SUBSTITUTE(E240,"°","º"))-1)),""))))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5" t="n"/>
      <c r="S240" s="5" t="n"/>
      <c r="T240" s="5" t="n"/>
      <c r="U240" s="5" t="n"/>
      <c r="V240" s="2">
        <f>IF(R240="","",COUNTIF($C$5:$C$3004,R240))</f>
        <v/>
      </c>
      <c r="W240" s="2">
        <f>IF(R240="","",COUNTIFS($C$5:$C$3004,R240,$O$5:$O$3004,"CONCLUÍDA"))</f>
        <v/>
      </c>
      <c r="X240" s="2">
        <f>IF(R240="","",COUNTIFS($C$5:$C$3004,R240,$O$5:$O$3004,"EM ANDAMENTO"))</f>
        <v/>
      </c>
      <c r="Y240" s="2">
        <f>IF(R240="","",IF(COUNTIFS($C$5:$C$3004,R240,$O$5:$O$3004,"CONCLUÍDA",$N$5:$N$3004,"&gt;=-1")=0,"",_xlfn.MAXIFS($N$5:$N$3004,$C$5:$C$3004,R240,$O$5:$O$3004,"CONCLUÍDA")))</f>
        <v/>
      </c>
      <c r="Z240" s="2">
        <f>IF(R240="","",IF(COUNTIFS($C$5:$C$3004,R240,$O$5:$O$3004,"EM ANDAMENTO",$N$5:$N$3004,"&gt;=-1")=0,"",_xlfn.MAXIFS($N$5:$N$3004,$C$5:$C$3004,R240,$O$5:$O$3004,"EM ANDAMENTO")))</f>
        <v/>
      </c>
      <c r="AA240" s="2">
        <f>IF(OR(R240="",S240="",U240&lt;&gt;"SIM",V240=0),"",IF(W240+X240=0,"",T240&amp;": "&amp;IF(W240=V240,"concluído",IF(W240=0,"em execução"&amp;IF(Z240&lt;&gt;""," ("&amp;IF(Z240=-1,"subsolo",IF(Z240=0,"térreo",Z240&amp;"º pav."))&amp;")",""),IF(Y240&lt;&gt;"","até "&amp;IF(Y240=-1,"subsolo",IF(Y240=0,"térreo",Y240&amp;"º pav.")),W240&amp;" de "&amp;V240&amp;" concluídas")&amp;IF(Z240="","",IF(OR(Y240="",Z240&gt;Y240),", executando "&amp;IF(Z240=-1,"subsolo",IF(Z240=0,"térreo",Z240&amp;"º pav."))," (restam serviços no "&amp;IF(Z240=-1,"subsolo",IF(Z240=0,"térreo",Z240&amp;"º pav."))&amp;")"))))))</f>
        <v/>
      </c>
    </row>
    <row r="241">
      <c r="M241" s="2">
        <f>IF(C241="","",IFERROR(INDEX($S$5:$S$304,MATCH(C241,$R$5:$R$304,0))&amp;"","?"))</f>
        <v/>
      </c>
      <c r="N241" s="2">
        <f>IF(E241="","",IF(LEFT(E241,7)="SUBSOLO",-1,IF(LEFT(E241,6)="TÉRREO",0,IFERROR(VALUE(LEFT(E241,FIND("º",SUBSTITUTE(E241,"°","º"))-1)),""))))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5" t="n"/>
      <c r="S241" s="5" t="n"/>
      <c r="T241" s="5" t="n"/>
      <c r="U241" s="5" t="n"/>
      <c r="V241" s="2">
        <f>IF(R241="","",COUNTIF($C$5:$C$3004,R241))</f>
        <v/>
      </c>
      <c r="W241" s="2">
        <f>IF(R241="","",COUNTIFS($C$5:$C$3004,R241,$O$5:$O$3004,"CONCLUÍDA"))</f>
        <v/>
      </c>
      <c r="X241" s="2">
        <f>IF(R241="","",COUNTIFS($C$5:$C$3004,R241,$O$5:$O$3004,"EM ANDAMENTO"))</f>
        <v/>
      </c>
      <c r="Y241" s="2">
        <f>IF(R241="","",IF(COUNTIFS($C$5:$C$3004,R241,$O$5:$O$3004,"CONCLUÍDA",$N$5:$N$3004,"&gt;=-1")=0,"",_xlfn.MAXIFS($N$5:$N$3004,$C$5:$C$3004,R241,$O$5:$O$3004,"CONCLUÍDA")))</f>
        <v/>
      </c>
      <c r="Z241" s="2">
        <f>IF(R241="","",IF(COUNTIFS($C$5:$C$3004,R241,$O$5:$O$3004,"EM ANDAMENTO",$N$5:$N$3004,"&gt;=-1")=0,"",_xlfn.MAXIFS($N$5:$N$3004,$C$5:$C$3004,R241,$O$5:$O$3004,"EM ANDAMENTO")))</f>
        <v/>
      </c>
      <c r="AA241" s="2">
        <f>IF(OR(R241="",S241="",U241&lt;&gt;"SIM",V241=0),"",IF(W241+X241=0,"",T241&amp;": "&amp;IF(W241=V241,"concluído",IF(W241=0,"em execução"&amp;IF(Z241&lt;&gt;""," ("&amp;IF(Z241=-1,"subsolo",IF(Z241=0,"térreo",Z241&amp;"º pav."))&amp;")",""),IF(Y241&lt;&gt;"","até "&amp;IF(Y241=-1,"subsolo",IF(Y241=0,"térreo",Y241&amp;"º pav.")),W241&amp;" de "&amp;V241&amp;" concluídas")&amp;IF(Z241="","",IF(OR(Y241="",Z241&gt;Y241),", executando "&amp;IF(Z241=-1,"subsolo",IF(Z241=0,"térreo",Z241&amp;"º pav."))," (restam serviços no "&amp;IF(Z241=-1,"subsolo",IF(Z241=0,"térreo",Z241&amp;"º pav."))&amp;")"))))))</f>
        <v/>
      </c>
    </row>
    <row r="242">
      <c r="M242" s="2">
        <f>IF(C242="","",IFERROR(INDEX($S$5:$S$304,MATCH(C242,$R$5:$R$304,0))&amp;"","?"))</f>
        <v/>
      </c>
      <c r="N242" s="2">
        <f>IF(E242="","",IF(LEFT(E242,7)="SUBSOLO",-1,IF(LEFT(E242,6)="TÉRREO",0,IFERROR(VALUE(LEFT(E242,FIND("º",SUBSTITUTE(E242,"°","º"))-1)),""))))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5" t="n"/>
      <c r="S242" s="5" t="n"/>
      <c r="T242" s="5" t="n"/>
      <c r="U242" s="5" t="n"/>
      <c r="V242" s="2">
        <f>IF(R242="","",COUNTIF($C$5:$C$3004,R242))</f>
        <v/>
      </c>
      <c r="W242" s="2">
        <f>IF(R242="","",COUNTIFS($C$5:$C$3004,R242,$O$5:$O$3004,"CONCLUÍDA"))</f>
        <v/>
      </c>
      <c r="X242" s="2">
        <f>IF(R242="","",COUNTIFS($C$5:$C$3004,R242,$O$5:$O$3004,"EM ANDAMENTO"))</f>
        <v/>
      </c>
      <c r="Y242" s="2">
        <f>IF(R242="","",IF(COUNTIFS($C$5:$C$3004,R242,$O$5:$O$3004,"CONCLUÍDA",$N$5:$N$3004,"&gt;=-1")=0,"",_xlfn.MAXIFS($N$5:$N$3004,$C$5:$C$3004,R242,$O$5:$O$3004,"CONCLUÍDA")))</f>
        <v/>
      </c>
      <c r="Z242" s="2">
        <f>IF(R242="","",IF(COUNTIFS($C$5:$C$3004,R242,$O$5:$O$3004,"EM ANDAMENTO",$N$5:$N$3004,"&gt;=-1")=0,"",_xlfn.MAXIFS($N$5:$N$3004,$C$5:$C$3004,R242,$O$5:$O$3004,"EM ANDAMENTO")))</f>
        <v/>
      </c>
      <c r="AA242" s="2">
        <f>IF(OR(R242="",S242="",U242&lt;&gt;"SIM",V242=0),"",IF(W242+X242=0,"",T242&amp;": "&amp;IF(W242=V242,"concluído",IF(W242=0,"em execução"&amp;IF(Z242&lt;&gt;""," ("&amp;IF(Z242=-1,"subsolo",IF(Z242=0,"térreo",Z242&amp;"º pav."))&amp;")",""),IF(Y242&lt;&gt;"","até "&amp;IF(Y242=-1,"subsolo",IF(Y242=0,"térreo",Y242&amp;"º pav.")),W242&amp;" de "&amp;V242&amp;" concluídas")&amp;IF(Z242="","",IF(OR(Y242="",Z242&gt;Y242),", executando "&amp;IF(Z242=-1,"subsolo",IF(Z242=0,"térreo",Z242&amp;"º pav."))," (restam serviços no "&amp;IF(Z242=-1,"subsolo",IF(Z242=0,"térreo",Z242&amp;"º pav."))&amp;")"))))))</f>
        <v/>
      </c>
    </row>
    <row r="243">
      <c r="M243" s="2">
        <f>IF(C243="","",IFERROR(INDEX($S$5:$S$304,MATCH(C243,$R$5:$R$304,0))&amp;"","?"))</f>
        <v/>
      </c>
      <c r="N243" s="2">
        <f>IF(E243="","",IF(LEFT(E243,7)="SUBSOLO",-1,IF(LEFT(E243,6)="TÉRREO",0,IFERROR(VALUE(LEFT(E243,FIND("º",SUBSTITUTE(E243,"°","º"))-1)),""))))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5" t="n"/>
      <c r="S243" s="5" t="n"/>
      <c r="T243" s="5" t="n"/>
      <c r="U243" s="5" t="n"/>
      <c r="V243" s="2">
        <f>IF(R243="","",COUNTIF($C$5:$C$3004,R243))</f>
        <v/>
      </c>
      <c r="W243" s="2">
        <f>IF(R243="","",COUNTIFS($C$5:$C$3004,R243,$O$5:$O$3004,"CONCLUÍDA"))</f>
        <v/>
      </c>
      <c r="X243" s="2">
        <f>IF(R243="","",COUNTIFS($C$5:$C$3004,R243,$O$5:$O$3004,"EM ANDAMENTO"))</f>
        <v/>
      </c>
      <c r="Y243" s="2">
        <f>IF(R243="","",IF(COUNTIFS($C$5:$C$3004,R243,$O$5:$O$3004,"CONCLUÍDA",$N$5:$N$3004,"&gt;=-1")=0,"",_xlfn.MAXIFS($N$5:$N$3004,$C$5:$C$3004,R243,$O$5:$O$3004,"CONCLUÍDA")))</f>
        <v/>
      </c>
      <c r="Z243" s="2">
        <f>IF(R243="","",IF(COUNTIFS($C$5:$C$3004,R243,$O$5:$O$3004,"EM ANDAMENTO",$N$5:$N$3004,"&gt;=-1")=0,"",_xlfn.MAXIFS($N$5:$N$3004,$C$5:$C$3004,R243,$O$5:$O$3004,"EM ANDAMENTO")))</f>
        <v/>
      </c>
      <c r="AA243" s="2">
        <f>IF(OR(R243="",S243="",U243&lt;&gt;"SIM",V243=0),"",IF(W243+X243=0,"",T243&amp;": "&amp;IF(W243=V243,"concluído",IF(W243=0,"em execução"&amp;IF(Z243&lt;&gt;""," ("&amp;IF(Z243=-1,"subsolo",IF(Z243=0,"térreo",Z243&amp;"º pav."))&amp;")",""),IF(Y243&lt;&gt;"","até "&amp;IF(Y243=-1,"subsolo",IF(Y243=0,"térreo",Y243&amp;"º pav.")),W243&amp;" de "&amp;V243&amp;" concluídas")&amp;IF(Z243="","",IF(OR(Y243="",Z243&gt;Y243),", executando "&amp;IF(Z243=-1,"subsolo",IF(Z243=0,"térreo",Z243&amp;"º pav."))," (restam serviços no "&amp;IF(Z243=-1,"subsolo",IF(Z243=0,"térreo",Z243&amp;"º pav."))&amp;")"))))))</f>
        <v/>
      </c>
    </row>
    <row r="244">
      <c r="M244" s="2">
        <f>IF(C244="","",IFERROR(INDEX($S$5:$S$304,MATCH(C244,$R$5:$R$304,0))&amp;"","?"))</f>
        <v/>
      </c>
      <c r="N244" s="2">
        <f>IF(E244="","",IF(LEFT(E244,7)="SUBSOLO",-1,IF(LEFT(E244,6)="TÉRREO",0,IFERROR(VALUE(LEFT(E244,FIND("º",SUBSTITUTE(E244,"°","º"))-1)),""))))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5" t="n"/>
      <c r="S244" s="5" t="n"/>
      <c r="T244" s="5" t="n"/>
      <c r="U244" s="5" t="n"/>
      <c r="V244" s="2">
        <f>IF(R244="","",COUNTIF($C$5:$C$3004,R244))</f>
        <v/>
      </c>
      <c r="W244" s="2">
        <f>IF(R244="","",COUNTIFS($C$5:$C$3004,R244,$O$5:$O$3004,"CONCLUÍDA"))</f>
        <v/>
      </c>
      <c r="X244" s="2">
        <f>IF(R244="","",COUNTIFS($C$5:$C$3004,R244,$O$5:$O$3004,"EM ANDAMENTO"))</f>
        <v/>
      </c>
      <c r="Y244" s="2">
        <f>IF(R244="","",IF(COUNTIFS($C$5:$C$3004,R244,$O$5:$O$3004,"CONCLUÍDA",$N$5:$N$3004,"&gt;=-1")=0,"",_xlfn.MAXIFS($N$5:$N$3004,$C$5:$C$3004,R244,$O$5:$O$3004,"CONCLUÍDA")))</f>
        <v/>
      </c>
      <c r="Z244" s="2">
        <f>IF(R244="","",IF(COUNTIFS($C$5:$C$3004,R244,$O$5:$O$3004,"EM ANDAMENTO",$N$5:$N$3004,"&gt;=-1")=0,"",_xlfn.MAXIFS($N$5:$N$3004,$C$5:$C$3004,R244,$O$5:$O$3004,"EM ANDAMENTO")))</f>
        <v/>
      </c>
      <c r="AA244" s="2">
        <f>IF(OR(R244="",S244="",U244&lt;&gt;"SIM",V244=0),"",IF(W244+X244=0,"",T244&amp;": "&amp;IF(W244=V244,"concluído",IF(W244=0,"em execução"&amp;IF(Z244&lt;&gt;""," ("&amp;IF(Z244=-1,"subsolo",IF(Z244=0,"térreo",Z244&amp;"º pav."))&amp;")",""),IF(Y244&lt;&gt;"","até "&amp;IF(Y244=-1,"subsolo",IF(Y244=0,"térreo",Y244&amp;"º pav.")),W244&amp;" de "&amp;V244&amp;" concluídas")&amp;IF(Z244="","",IF(OR(Y244="",Z244&gt;Y244),", executando "&amp;IF(Z244=-1,"subsolo",IF(Z244=0,"térreo",Z244&amp;"º pav."))," (restam serviços no "&amp;IF(Z244=-1,"subsolo",IF(Z244=0,"térreo",Z244&amp;"º pav."))&amp;")"))))))</f>
        <v/>
      </c>
    </row>
    <row r="245">
      <c r="M245" s="2">
        <f>IF(C245="","",IFERROR(INDEX($S$5:$S$304,MATCH(C245,$R$5:$R$304,0))&amp;"","?"))</f>
        <v/>
      </c>
      <c r="N245" s="2">
        <f>IF(E245="","",IF(LEFT(E245,7)="SUBSOLO",-1,IF(LEFT(E245,6)="TÉRREO",0,IFERROR(VALUE(LEFT(E245,FIND("º",SUBSTITUTE(E245,"°","º"))-1)),""))))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5" t="n"/>
      <c r="S245" s="5" t="n"/>
      <c r="T245" s="5" t="n"/>
      <c r="U245" s="5" t="n"/>
      <c r="V245" s="2">
        <f>IF(R245="","",COUNTIF($C$5:$C$3004,R245))</f>
        <v/>
      </c>
      <c r="W245" s="2">
        <f>IF(R245="","",COUNTIFS($C$5:$C$3004,R245,$O$5:$O$3004,"CONCLUÍDA"))</f>
        <v/>
      </c>
      <c r="X245" s="2">
        <f>IF(R245="","",COUNTIFS($C$5:$C$3004,R245,$O$5:$O$3004,"EM ANDAMENTO"))</f>
        <v/>
      </c>
      <c r="Y245" s="2">
        <f>IF(R245="","",IF(COUNTIFS($C$5:$C$3004,R245,$O$5:$O$3004,"CONCLUÍDA",$N$5:$N$3004,"&gt;=-1")=0,"",_xlfn.MAXIFS($N$5:$N$3004,$C$5:$C$3004,R245,$O$5:$O$3004,"CONCLUÍDA")))</f>
        <v/>
      </c>
      <c r="Z245" s="2">
        <f>IF(R245="","",IF(COUNTIFS($C$5:$C$3004,R245,$O$5:$O$3004,"EM ANDAMENTO",$N$5:$N$3004,"&gt;=-1")=0,"",_xlfn.MAXIFS($N$5:$N$3004,$C$5:$C$3004,R245,$O$5:$O$3004,"EM ANDAMENTO")))</f>
        <v/>
      </c>
      <c r="AA245" s="2">
        <f>IF(OR(R245="",S245="",U245&lt;&gt;"SIM",V245=0),"",IF(W245+X245=0,"",T245&amp;": "&amp;IF(W245=V245,"concluído",IF(W245=0,"em execução"&amp;IF(Z245&lt;&gt;""," ("&amp;IF(Z245=-1,"subsolo",IF(Z245=0,"térreo",Z245&amp;"º pav."))&amp;")",""),IF(Y245&lt;&gt;"","até "&amp;IF(Y245=-1,"subsolo",IF(Y245=0,"térreo",Y245&amp;"º pav.")),W245&amp;" de "&amp;V245&amp;" concluídas")&amp;IF(Z245="","",IF(OR(Y245="",Z245&gt;Y245),", executando "&amp;IF(Z245=-1,"subsolo",IF(Z245=0,"térreo",Z245&amp;"º pav."))," (restam serviços no "&amp;IF(Z245=-1,"subsolo",IF(Z245=0,"térreo",Z245&amp;"º pav."))&amp;")"))))))</f>
        <v/>
      </c>
    </row>
    <row r="246">
      <c r="M246" s="2">
        <f>IF(C246="","",IFERROR(INDEX($S$5:$S$304,MATCH(C246,$R$5:$R$304,0))&amp;"","?"))</f>
        <v/>
      </c>
      <c r="N246" s="2">
        <f>IF(E246="","",IF(LEFT(E246,7)="SUBSOLO",-1,IF(LEFT(E246,6)="TÉRREO",0,IFERROR(VALUE(LEFT(E246,FIND("º",SUBSTITUTE(E246,"°","º"))-1)),""))))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5" t="n"/>
      <c r="S246" s="5" t="n"/>
      <c r="T246" s="5" t="n"/>
      <c r="U246" s="5" t="n"/>
      <c r="V246" s="2">
        <f>IF(R246="","",COUNTIF($C$5:$C$3004,R246))</f>
        <v/>
      </c>
      <c r="W246" s="2">
        <f>IF(R246="","",COUNTIFS($C$5:$C$3004,R246,$O$5:$O$3004,"CONCLUÍDA"))</f>
        <v/>
      </c>
      <c r="X246" s="2">
        <f>IF(R246="","",COUNTIFS($C$5:$C$3004,R246,$O$5:$O$3004,"EM ANDAMENTO"))</f>
        <v/>
      </c>
      <c r="Y246" s="2">
        <f>IF(R246="","",IF(COUNTIFS($C$5:$C$3004,R246,$O$5:$O$3004,"CONCLUÍDA",$N$5:$N$3004,"&gt;=-1")=0,"",_xlfn.MAXIFS($N$5:$N$3004,$C$5:$C$3004,R246,$O$5:$O$3004,"CONCLUÍDA")))</f>
        <v/>
      </c>
      <c r="Z246" s="2">
        <f>IF(R246="","",IF(COUNTIFS($C$5:$C$3004,R246,$O$5:$O$3004,"EM ANDAMENTO",$N$5:$N$3004,"&gt;=-1")=0,"",_xlfn.MAXIFS($N$5:$N$3004,$C$5:$C$3004,R246,$O$5:$O$3004,"EM ANDAMENTO")))</f>
        <v/>
      </c>
      <c r="AA246" s="2">
        <f>IF(OR(R246="",S246="",U246&lt;&gt;"SIM",V246=0),"",IF(W246+X246=0,"",T246&amp;": "&amp;IF(W246=V246,"concluído",IF(W246=0,"em execução"&amp;IF(Z246&lt;&gt;""," ("&amp;IF(Z246=-1,"subsolo",IF(Z246=0,"térreo",Z246&amp;"º pav."))&amp;")",""),IF(Y246&lt;&gt;"","até "&amp;IF(Y246=-1,"subsolo",IF(Y246=0,"térreo",Y246&amp;"º pav.")),W246&amp;" de "&amp;V246&amp;" concluídas")&amp;IF(Z246="","",IF(OR(Y246="",Z246&gt;Y246),", executando "&amp;IF(Z246=-1,"subsolo",IF(Z246=0,"térreo",Z246&amp;"º pav."))," (restam serviços no "&amp;IF(Z246=-1,"subsolo",IF(Z246=0,"térreo",Z246&amp;"º pav."))&amp;")"))))))</f>
        <v/>
      </c>
    </row>
    <row r="247">
      <c r="M247" s="2">
        <f>IF(C247="","",IFERROR(INDEX($S$5:$S$304,MATCH(C247,$R$5:$R$304,0))&amp;"","?"))</f>
        <v/>
      </c>
      <c r="N247" s="2">
        <f>IF(E247="","",IF(LEFT(E247,7)="SUBSOLO",-1,IF(LEFT(E247,6)="TÉRREO",0,IFERROR(VALUE(LEFT(E247,FIND("º",SUBSTITUTE(E247,"°","º"))-1)),""))))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5" t="n"/>
      <c r="S247" s="5" t="n"/>
      <c r="T247" s="5" t="n"/>
      <c r="U247" s="5" t="n"/>
      <c r="V247" s="2">
        <f>IF(R247="","",COUNTIF($C$5:$C$3004,R247))</f>
        <v/>
      </c>
      <c r="W247" s="2">
        <f>IF(R247="","",COUNTIFS($C$5:$C$3004,R247,$O$5:$O$3004,"CONCLUÍDA"))</f>
        <v/>
      </c>
      <c r="X247" s="2">
        <f>IF(R247="","",COUNTIFS($C$5:$C$3004,R247,$O$5:$O$3004,"EM ANDAMENTO"))</f>
        <v/>
      </c>
      <c r="Y247" s="2">
        <f>IF(R247="","",IF(COUNTIFS($C$5:$C$3004,R247,$O$5:$O$3004,"CONCLUÍDA",$N$5:$N$3004,"&gt;=-1")=0,"",_xlfn.MAXIFS($N$5:$N$3004,$C$5:$C$3004,R247,$O$5:$O$3004,"CONCLUÍDA")))</f>
        <v/>
      </c>
      <c r="Z247" s="2">
        <f>IF(R247="","",IF(COUNTIFS($C$5:$C$3004,R247,$O$5:$O$3004,"EM ANDAMENTO",$N$5:$N$3004,"&gt;=-1")=0,"",_xlfn.MAXIFS($N$5:$N$3004,$C$5:$C$3004,R247,$O$5:$O$3004,"EM ANDAMENTO")))</f>
        <v/>
      </c>
      <c r="AA247" s="2">
        <f>IF(OR(R247="",S247="",U247&lt;&gt;"SIM",V247=0),"",IF(W247+X247=0,"",T247&amp;": "&amp;IF(W247=V247,"concluído",IF(W247=0,"em execução"&amp;IF(Z247&lt;&gt;""," ("&amp;IF(Z247=-1,"subsolo",IF(Z247=0,"térreo",Z247&amp;"º pav."))&amp;")",""),IF(Y247&lt;&gt;"","até "&amp;IF(Y247=-1,"subsolo",IF(Y247=0,"térreo",Y247&amp;"º pav.")),W247&amp;" de "&amp;V247&amp;" concluídas")&amp;IF(Z247="","",IF(OR(Y247="",Z247&gt;Y247),", executando "&amp;IF(Z247=-1,"subsolo",IF(Z247=0,"térreo",Z247&amp;"º pav."))," (restam serviços no "&amp;IF(Z247=-1,"subsolo",IF(Z247=0,"térreo",Z247&amp;"º pav."))&amp;")"))))))</f>
        <v/>
      </c>
    </row>
    <row r="248">
      <c r="M248" s="2">
        <f>IF(C248="","",IFERROR(INDEX($S$5:$S$304,MATCH(C248,$R$5:$R$304,0))&amp;"","?"))</f>
        <v/>
      </c>
      <c r="N248" s="2">
        <f>IF(E248="","",IF(LEFT(E248,7)="SUBSOLO",-1,IF(LEFT(E248,6)="TÉRREO",0,IFERROR(VALUE(LEFT(E248,FIND("º",SUBSTITUTE(E248,"°","º"))-1)),""))))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5" t="n"/>
      <c r="S248" s="5" t="n"/>
      <c r="T248" s="5" t="n"/>
      <c r="U248" s="5" t="n"/>
      <c r="V248" s="2">
        <f>IF(R248="","",COUNTIF($C$5:$C$3004,R248))</f>
        <v/>
      </c>
      <c r="W248" s="2">
        <f>IF(R248="","",COUNTIFS($C$5:$C$3004,R248,$O$5:$O$3004,"CONCLUÍDA"))</f>
        <v/>
      </c>
      <c r="X248" s="2">
        <f>IF(R248="","",COUNTIFS($C$5:$C$3004,R248,$O$5:$O$3004,"EM ANDAMENTO"))</f>
        <v/>
      </c>
      <c r="Y248" s="2">
        <f>IF(R248="","",IF(COUNTIFS($C$5:$C$3004,R248,$O$5:$O$3004,"CONCLUÍDA",$N$5:$N$3004,"&gt;=-1")=0,"",_xlfn.MAXIFS($N$5:$N$3004,$C$5:$C$3004,R248,$O$5:$O$3004,"CONCLUÍDA")))</f>
        <v/>
      </c>
      <c r="Z248" s="2">
        <f>IF(R248="","",IF(COUNTIFS($C$5:$C$3004,R248,$O$5:$O$3004,"EM ANDAMENTO",$N$5:$N$3004,"&gt;=-1")=0,"",_xlfn.MAXIFS($N$5:$N$3004,$C$5:$C$3004,R248,$O$5:$O$3004,"EM ANDAMENTO")))</f>
        <v/>
      </c>
      <c r="AA248" s="2">
        <f>IF(OR(R248="",S248="",U248&lt;&gt;"SIM",V248=0),"",IF(W248+X248=0,"",T248&amp;": "&amp;IF(W248=V248,"concluído",IF(W248=0,"em execução"&amp;IF(Z248&lt;&gt;""," ("&amp;IF(Z248=-1,"subsolo",IF(Z248=0,"térreo",Z248&amp;"º pav."))&amp;")",""),IF(Y248&lt;&gt;"","até "&amp;IF(Y248=-1,"subsolo",IF(Y248=0,"térreo",Y248&amp;"º pav.")),W248&amp;" de "&amp;V248&amp;" concluídas")&amp;IF(Z248="","",IF(OR(Y248="",Z248&gt;Y248),", executando "&amp;IF(Z248=-1,"subsolo",IF(Z248=0,"térreo",Z248&amp;"º pav."))," (restam serviços no "&amp;IF(Z248=-1,"subsolo",IF(Z248=0,"térreo",Z248&amp;"º pav."))&amp;")"))))))</f>
        <v/>
      </c>
    </row>
    <row r="249">
      <c r="M249" s="2">
        <f>IF(C249="","",IFERROR(INDEX($S$5:$S$304,MATCH(C249,$R$5:$R$304,0))&amp;"","?"))</f>
        <v/>
      </c>
      <c r="N249" s="2">
        <f>IF(E249="","",IF(LEFT(E249,7)="SUBSOLO",-1,IF(LEFT(E249,6)="TÉRREO",0,IFERROR(VALUE(LEFT(E249,FIND("º",SUBSTITUTE(E249,"°","º"))-1)),""))))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5" t="n"/>
      <c r="S249" s="5" t="n"/>
      <c r="T249" s="5" t="n"/>
      <c r="U249" s="5" t="n"/>
      <c r="V249" s="2">
        <f>IF(R249="","",COUNTIF($C$5:$C$3004,R249))</f>
        <v/>
      </c>
      <c r="W249" s="2">
        <f>IF(R249="","",COUNTIFS($C$5:$C$3004,R249,$O$5:$O$3004,"CONCLUÍDA"))</f>
        <v/>
      </c>
      <c r="X249" s="2">
        <f>IF(R249="","",COUNTIFS($C$5:$C$3004,R249,$O$5:$O$3004,"EM ANDAMENTO"))</f>
        <v/>
      </c>
      <c r="Y249" s="2">
        <f>IF(R249="","",IF(COUNTIFS($C$5:$C$3004,R249,$O$5:$O$3004,"CONCLUÍDA",$N$5:$N$3004,"&gt;=-1")=0,"",_xlfn.MAXIFS($N$5:$N$3004,$C$5:$C$3004,R249,$O$5:$O$3004,"CONCLUÍDA")))</f>
        <v/>
      </c>
      <c r="Z249" s="2">
        <f>IF(R249="","",IF(COUNTIFS($C$5:$C$3004,R249,$O$5:$O$3004,"EM ANDAMENTO",$N$5:$N$3004,"&gt;=-1")=0,"",_xlfn.MAXIFS($N$5:$N$3004,$C$5:$C$3004,R249,$O$5:$O$3004,"EM ANDAMENTO")))</f>
        <v/>
      </c>
      <c r="AA249" s="2">
        <f>IF(OR(R249="",S249="",U249&lt;&gt;"SIM",V249=0),"",IF(W249+X249=0,"",T249&amp;": "&amp;IF(W249=V249,"concluído",IF(W249=0,"em execução"&amp;IF(Z249&lt;&gt;""," ("&amp;IF(Z249=-1,"subsolo",IF(Z249=0,"térreo",Z249&amp;"º pav."))&amp;")",""),IF(Y249&lt;&gt;"","até "&amp;IF(Y249=-1,"subsolo",IF(Y249=0,"térreo",Y249&amp;"º pav.")),W249&amp;" de "&amp;V249&amp;" concluídas")&amp;IF(Z249="","",IF(OR(Y249="",Z249&gt;Y249),", executando "&amp;IF(Z249=-1,"subsolo",IF(Z249=0,"térreo",Z249&amp;"º pav."))," (restam serviços no "&amp;IF(Z249=-1,"subsolo",IF(Z249=0,"térreo",Z249&amp;"º pav."))&amp;")"))))))</f>
        <v/>
      </c>
    </row>
    <row r="250">
      <c r="M250" s="2">
        <f>IF(C250="","",IFERROR(INDEX($S$5:$S$304,MATCH(C250,$R$5:$R$304,0))&amp;"","?"))</f>
        <v/>
      </c>
      <c r="N250" s="2">
        <f>IF(E250="","",IF(LEFT(E250,7)="SUBSOLO",-1,IF(LEFT(E250,6)="TÉRREO",0,IFERROR(VALUE(LEFT(E250,FIND("º",SUBSTITUTE(E250,"°","º"))-1)),""))))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5" t="n"/>
      <c r="S250" s="5" t="n"/>
      <c r="T250" s="5" t="n"/>
      <c r="U250" s="5" t="n"/>
      <c r="V250" s="2">
        <f>IF(R250="","",COUNTIF($C$5:$C$3004,R250))</f>
        <v/>
      </c>
      <c r="W250" s="2">
        <f>IF(R250="","",COUNTIFS($C$5:$C$3004,R250,$O$5:$O$3004,"CONCLUÍDA"))</f>
        <v/>
      </c>
      <c r="X250" s="2">
        <f>IF(R250="","",COUNTIFS($C$5:$C$3004,R250,$O$5:$O$3004,"EM ANDAMENTO"))</f>
        <v/>
      </c>
      <c r="Y250" s="2">
        <f>IF(R250="","",IF(COUNTIFS($C$5:$C$3004,R250,$O$5:$O$3004,"CONCLUÍDA",$N$5:$N$3004,"&gt;=-1")=0,"",_xlfn.MAXIFS($N$5:$N$3004,$C$5:$C$3004,R250,$O$5:$O$3004,"CONCLUÍDA")))</f>
        <v/>
      </c>
      <c r="Z250" s="2">
        <f>IF(R250="","",IF(COUNTIFS($C$5:$C$3004,R250,$O$5:$O$3004,"EM ANDAMENTO",$N$5:$N$3004,"&gt;=-1")=0,"",_xlfn.MAXIFS($N$5:$N$3004,$C$5:$C$3004,R250,$O$5:$O$3004,"EM ANDAMENTO")))</f>
        <v/>
      </c>
      <c r="AA250" s="2">
        <f>IF(OR(R250="",S250="",U250&lt;&gt;"SIM",V250=0),"",IF(W250+X250=0,"",T250&amp;": "&amp;IF(W250=V250,"concluído",IF(W250=0,"em execução"&amp;IF(Z250&lt;&gt;""," ("&amp;IF(Z250=-1,"subsolo",IF(Z250=0,"térreo",Z250&amp;"º pav."))&amp;")",""),IF(Y250&lt;&gt;"","até "&amp;IF(Y250=-1,"subsolo",IF(Y250=0,"térreo",Y250&amp;"º pav.")),W250&amp;" de "&amp;V250&amp;" concluídas")&amp;IF(Z250="","",IF(OR(Y250="",Z250&gt;Y250),", executando "&amp;IF(Z250=-1,"subsolo",IF(Z250=0,"térreo",Z250&amp;"º pav."))," (restam serviços no "&amp;IF(Z250=-1,"subsolo",IF(Z250=0,"térreo",Z250&amp;"º pav."))&amp;")"))))))</f>
        <v/>
      </c>
    </row>
    <row r="251">
      <c r="M251" s="2">
        <f>IF(C251="","",IFERROR(INDEX($S$5:$S$304,MATCH(C251,$R$5:$R$304,0))&amp;"","?"))</f>
        <v/>
      </c>
      <c r="N251" s="2">
        <f>IF(E251="","",IF(LEFT(E251,7)="SUBSOLO",-1,IF(LEFT(E251,6)="TÉRREO",0,IFERROR(VALUE(LEFT(E251,FIND("º",SUBSTITUTE(E251,"°","º"))-1)),""))))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5" t="n"/>
      <c r="S251" s="5" t="n"/>
      <c r="T251" s="5" t="n"/>
      <c r="U251" s="5" t="n"/>
      <c r="V251" s="2">
        <f>IF(R251="","",COUNTIF($C$5:$C$3004,R251))</f>
        <v/>
      </c>
      <c r="W251" s="2">
        <f>IF(R251="","",COUNTIFS($C$5:$C$3004,R251,$O$5:$O$3004,"CONCLUÍDA"))</f>
        <v/>
      </c>
      <c r="X251" s="2">
        <f>IF(R251="","",COUNTIFS($C$5:$C$3004,R251,$O$5:$O$3004,"EM ANDAMENTO"))</f>
        <v/>
      </c>
      <c r="Y251" s="2">
        <f>IF(R251="","",IF(COUNTIFS($C$5:$C$3004,R251,$O$5:$O$3004,"CONCLUÍDA",$N$5:$N$3004,"&gt;=-1")=0,"",_xlfn.MAXIFS($N$5:$N$3004,$C$5:$C$3004,R251,$O$5:$O$3004,"CONCLUÍDA")))</f>
        <v/>
      </c>
      <c r="Z251" s="2">
        <f>IF(R251="","",IF(COUNTIFS($C$5:$C$3004,R251,$O$5:$O$3004,"EM ANDAMENTO",$N$5:$N$3004,"&gt;=-1")=0,"",_xlfn.MAXIFS($N$5:$N$3004,$C$5:$C$3004,R251,$O$5:$O$3004,"EM ANDAMENTO")))</f>
        <v/>
      </c>
      <c r="AA251" s="2">
        <f>IF(OR(R251="",S251="",U251&lt;&gt;"SIM",V251=0),"",IF(W251+X251=0,"",T251&amp;": "&amp;IF(W251=V251,"concluído",IF(W251=0,"em execução"&amp;IF(Z251&lt;&gt;""," ("&amp;IF(Z251=-1,"subsolo",IF(Z251=0,"térreo",Z251&amp;"º pav."))&amp;")",""),IF(Y251&lt;&gt;"","até "&amp;IF(Y251=-1,"subsolo",IF(Y251=0,"térreo",Y251&amp;"º pav.")),W251&amp;" de "&amp;V251&amp;" concluídas")&amp;IF(Z251="","",IF(OR(Y251="",Z251&gt;Y251),", executando "&amp;IF(Z251=-1,"subsolo",IF(Z251=0,"térreo",Z251&amp;"º pav."))," (restam serviços no "&amp;IF(Z251=-1,"subsolo",IF(Z251=0,"térreo",Z251&amp;"º pav."))&amp;")"))))))</f>
        <v/>
      </c>
    </row>
    <row r="252">
      <c r="M252" s="2">
        <f>IF(C252="","",IFERROR(INDEX($S$5:$S$304,MATCH(C252,$R$5:$R$304,0))&amp;"","?"))</f>
        <v/>
      </c>
      <c r="N252" s="2">
        <f>IF(E252="","",IF(LEFT(E252,7)="SUBSOLO",-1,IF(LEFT(E252,6)="TÉRREO",0,IFERROR(VALUE(LEFT(E252,FIND("º",SUBSTITUTE(E252,"°","º"))-1)),""))))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5" t="n"/>
      <c r="S252" s="5" t="n"/>
      <c r="T252" s="5" t="n"/>
      <c r="U252" s="5" t="n"/>
      <c r="V252" s="2">
        <f>IF(R252="","",COUNTIF($C$5:$C$3004,R252))</f>
        <v/>
      </c>
      <c r="W252" s="2">
        <f>IF(R252="","",COUNTIFS($C$5:$C$3004,R252,$O$5:$O$3004,"CONCLUÍDA"))</f>
        <v/>
      </c>
      <c r="X252" s="2">
        <f>IF(R252="","",COUNTIFS($C$5:$C$3004,R252,$O$5:$O$3004,"EM ANDAMENTO"))</f>
        <v/>
      </c>
      <c r="Y252" s="2">
        <f>IF(R252="","",IF(COUNTIFS($C$5:$C$3004,R252,$O$5:$O$3004,"CONCLUÍDA",$N$5:$N$3004,"&gt;=-1")=0,"",_xlfn.MAXIFS($N$5:$N$3004,$C$5:$C$3004,R252,$O$5:$O$3004,"CONCLUÍDA")))</f>
        <v/>
      </c>
      <c r="Z252" s="2">
        <f>IF(R252="","",IF(COUNTIFS($C$5:$C$3004,R252,$O$5:$O$3004,"EM ANDAMENTO",$N$5:$N$3004,"&gt;=-1")=0,"",_xlfn.MAXIFS($N$5:$N$3004,$C$5:$C$3004,R252,$O$5:$O$3004,"EM ANDAMENTO")))</f>
        <v/>
      </c>
      <c r="AA252" s="2">
        <f>IF(OR(R252="",S252="",U252&lt;&gt;"SIM",V252=0),"",IF(W252+X252=0,"",T252&amp;": "&amp;IF(W252=V252,"concluído",IF(W252=0,"em execução"&amp;IF(Z252&lt;&gt;""," ("&amp;IF(Z252=-1,"subsolo",IF(Z252=0,"térreo",Z252&amp;"º pav."))&amp;")",""),IF(Y252&lt;&gt;"","até "&amp;IF(Y252=-1,"subsolo",IF(Y252=0,"térreo",Y252&amp;"º pav.")),W252&amp;" de "&amp;V252&amp;" concluídas")&amp;IF(Z252="","",IF(OR(Y252="",Z252&gt;Y252),", executando "&amp;IF(Z252=-1,"subsolo",IF(Z252=0,"térreo",Z252&amp;"º pav."))," (restam serviços no "&amp;IF(Z252=-1,"subsolo",IF(Z252=0,"térreo",Z252&amp;"º pav."))&amp;")"))))))</f>
        <v/>
      </c>
    </row>
    <row r="253">
      <c r="M253" s="2">
        <f>IF(C253="","",IFERROR(INDEX($S$5:$S$304,MATCH(C253,$R$5:$R$304,0))&amp;"","?"))</f>
        <v/>
      </c>
      <c r="N253" s="2">
        <f>IF(E253="","",IF(LEFT(E253,7)="SUBSOLO",-1,IF(LEFT(E253,6)="TÉRREO",0,IFERROR(VALUE(LEFT(E253,FIND("º",SUBSTITUTE(E253,"°","º"))-1)),""))))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5" t="n"/>
      <c r="S253" s="5" t="n"/>
      <c r="T253" s="5" t="n"/>
      <c r="U253" s="5" t="n"/>
      <c r="V253" s="2">
        <f>IF(R253="","",COUNTIF($C$5:$C$3004,R253))</f>
        <v/>
      </c>
      <c r="W253" s="2">
        <f>IF(R253="","",COUNTIFS($C$5:$C$3004,R253,$O$5:$O$3004,"CONCLUÍDA"))</f>
        <v/>
      </c>
      <c r="X253" s="2">
        <f>IF(R253="","",COUNTIFS($C$5:$C$3004,R253,$O$5:$O$3004,"EM ANDAMENTO"))</f>
        <v/>
      </c>
      <c r="Y253" s="2">
        <f>IF(R253="","",IF(COUNTIFS($C$5:$C$3004,R253,$O$5:$O$3004,"CONCLUÍDA",$N$5:$N$3004,"&gt;=-1")=0,"",_xlfn.MAXIFS($N$5:$N$3004,$C$5:$C$3004,R253,$O$5:$O$3004,"CONCLUÍDA")))</f>
        <v/>
      </c>
      <c r="Z253" s="2">
        <f>IF(R253="","",IF(COUNTIFS($C$5:$C$3004,R253,$O$5:$O$3004,"EM ANDAMENTO",$N$5:$N$3004,"&gt;=-1")=0,"",_xlfn.MAXIFS($N$5:$N$3004,$C$5:$C$3004,R253,$O$5:$O$3004,"EM ANDAMENTO")))</f>
        <v/>
      </c>
      <c r="AA253" s="2">
        <f>IF(OR(R253="",S253="",U253&lt;&gt;"SIM",V253=0),"",IF(W253+X253=0,"",T253&amp;": "&amp;IF(W253=V253,"concluído",IF(W253=0,"em execução"&amp;IF(Z253&lt;&gt;""," ("&amp;IF(Z253=-1,"subsolo",IF(Z253=0,"térreo",Z253&amp;"º pav."))&amp;")",""),IF(Y253&lt;&gt;"","até "&amp;IF(Y253=-1,"subsolo",IF(Y253=0,"térreo",Y253&amp;"º pav.")),W253&amp;" de "&amp;V253&amp;" concluídas")&amp;IF(Z253="","",IF(OR(Y253="",Z253&gt;Y253),", executando "&amp;IF(Z253=-1,"subsolo",IF(Z253=0,"térreo",Z253&amp;"º pav."))," (restam serviços no "&amp;IF(Z253=-1,"subsolo",IF(Z253=0,"térreo",Z253&amp;"º pav."))&amp;")"))))))</f>
        <v/>
      </c>
    </row>
    <row r="254">
      <c r="M254" s="2">
        <f>IF(C254="","",IFERROR(INDEX($S$5:$S$304,MATCH(C254,$R$5:$R$304,0))&amp;"","?"))</f>
        <v/>
      </c>
      <c r="N254" s="2">
        <f>IF(E254="","",IF(LEFT(E254,7)="SUBSOLO",-1,IF(LEFT(E254,6)="TÉRREO",0,IFERROR(VALUE(LEFT(E254,FIND("º",SUBSTITUTE(E254,"°","º"))-1)),""))))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5" t="n"/>
      <c r="S254" s="5" t="n"/>
      <c r="T254" s="5" t="n"/>
      <c r="U254" s="5" t="n"/>
      <c r="V254" s="2">
        <f>IF(R254="","",COUNTIF($C$5:$C$3004,R254))</f>
        <v/>
      </c>
      <c r="W254" s="2">
        <f>IF(R254="","",COUNTIFS($C$5:$C$3004,R254,$O$5:$O$3004,"CONCLUÍDA"))</f>
        <v/>
      </c>
      <c r="X254" s="2">
        <f>IF(R254="","",COUNTIFS($C$5:$C$3004,R254,$O$5:$O$3004,"EM ANDAMENTO"))</f>
        <v/>
      </c>
      <c r="Y254" s="2">
        <f>IF(R254="","",IF(COUNTIFS($C$5:$C$3004,R254,$O$5:$O$3004,"CONCLUÍDA",$N$5:$N$3004,"&gt;=-1")=0,"",_xlfn.MAXIFS($N$5:$N$3004,$C$5:$C$3004,R254,$O$5:$O$3004,"CONCLUÍDA")))</f>
        <v/>
      </c>
      <c r="Z254" s="2">
        <f>IF(R254="","",IF(COUNTIFS($C$5:$C$3004,R254,$O$5:$O$3004,"EM ANDAMENTO",$N$5:$N$3004,"&gt;=-1")=0,"",_xlfn.MAXIFS($N$5:$N$3004,$C$5:$C$3004,R254,$O$5:$O$3004,"EM ANDAMENTO")))</f>
        <v/>
      </c>
      <c r="AA254" s="2">
        <f>IF(OR(R254="",S254="",U254&lt;&gt;"SIM",V254=0),"",IF(W254+X254=0,"",T254&amp;": "&amp;IF(W254=V254,"concluído",IF(W254=0,"em execução"&amp;IF(Z254&lt;&gt;""," ("&amp;IF(Z254=-1,"subsolo",IF(Z254=0,"térreo",Z254&amp;"º pav."))&amp;")",""),IF(Y254&lt;&gt;"","até "&amp;IF(Y254=-1,"subsolo",IF(Y254=0,"térreo",Y254&amp;"º pav.")),W254&amp;" de "&amp;V254&amp;" concluídas")&amp;IF(Z254="","",IF(OR(Y254="",Z254&gt;Y254),", executando "&amp;IF(Z254=-1,"subsolo",IF(Z254=0,"térreo",Z254&amp;"º pav."))," (restam serviços no "&amp;IF(Z254=-1,"subsolo",IF(Z254=0,"térreo",Z254&amp;"º pav."))&amp;")"))))))</f>
        <v/>
      </c>
    </row>
    <row r="255">
      <c r="M255" s="2">
        <f>IF(C255="","",IFERROR(INDEX($S$5:$S$304,MATCH(C255,$R$5:$R$304,0))&amp;"","?"))</f>
        <v/>
      </c>
      <c r="N255" s="2">
        <f>IF(E255="","",IF(LEFT(E255,7)="SUBSOLO",-1,IF(LEFT(E255,6)="TÉRREO",0,IFERROR(VALUE(LEFT(E255,FIND("º",SUBSTITUTE(E255,"°","º"))-1)),""))))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5" t="n"/>
      <c r="S255" s="5" t="n"/>
      <c r="T255" s="5" t="n"/>
      <c r="U255" s="5" t="n"/>
      <c r="V255" s="2">
        <f>IF(R255="","",COUNTIF($C$5:$C$3004,R255))</f>
        <v/>
      </c>
      <c r="W255" s="2">
        <f>IF(R255="","",COUNTIFS($C$5:$C$3004,R255,$O$5:$O$3004,"CONCLUÍDA"))</f>
        <v/>
      </c>
      <c r="X255" s="2">
        <f>IF(R255="","",COUNTIFS($C$5:$C$3004,R255,$O$5:$O$3004,"EM ANDAMENTO"))</f>
        <v/>
      </c>
      <c r="Y255" s="2">
        <f>IF(R255="","",IF(COUNTIFS($C$5:$C$3004,R255,$O$5:$O$3004,"CONCLUÍDA",$N$5:$N$3004,"&gt;=-1")=0,"",_xlfn.MAXIFS($N$5:$N$3004,$C$5:$C$3004,R255,$O$5:$O$3004,"CONCLUÍDA")))</f>
        <v/>
      </c>
      <c r="Z255" s="2">
        <f>IF(R255="","",IF(COUNTIFS($C$5:$C$3004,R255,$O$5:$O$3004,"EM ANDAMENTO",$N$5:$N$3004,"&gt;=-1")=0,"",_xlfn.MAXIFS($N$5:$N$3004,$C$5:$C$3004,R255,$O$5:$O$3004,"EM ANDAMENTO")))</f>
        <v/>
      </c>
      <c r="AA255" s="2">
        <f>IF(OR(R255="",S255="",U255&lt;&gt;"SIM",V255=0),"",IF(W255+X255=0,"",T255&amp;": "&amp;IF(W255=V255,"concluído",IF(W255=0,"em execução"&amp;IF(Z255&lt;&gt;""," ("&amp;IF(Z255=-1,"subsolo",IF(Z255=0,"térreo",Z255&amp;"º pav."))&amp;")",""),IF(Y255&lt;&gt;"","até "&amp;IF(Y255=-1,"subsolo",IF(Y255=0,"térreo",Y255&amp;"º pav.")),W255&amp;" de "&amp;V255&amp;" concluídas")&amp;IF(Z255="","",IF(OR(Y255="",Z255&gt;Y255),", executando "&amp;IF(Z255=-1,"subsolo",IF(Z255=0,"térreo",Z255&amp;"º pav."))," (restam serviços no "&amp;IF(Z255=-1,"subsolo",IF(Z255=0,"térreo",Z255&amp;"º pav."))&amp;")"))))))</f>
        <v/>
      </c>
    </row>
    <row r="256">
      <c r="M256" s="2">
        <f>IF(C256="","",IFERROR(INDEX($S$5:$S$304,MATCH(C256,$R$5:$R$304,0))&amp;"","?"))</f>
        <v/>
      </c>
      <c r="N256" s="2">
        <f>IF(E256="","",IF(LEFT(E256,7)="SUBSOLO",-1,IF(LEFT(E256,6)="TÉRREO",0,IFERROR(VALUE(LEFT(E256,FIND("º",SUBSTITUTE(E256,"°","º"))-1)),""))))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5" t="n"/>
      <c r="S256" s="5" t="n"/>
      <c r="T256" s="5" t="n"/>
      <c r="U256" s="5" t="n"/>
      <c r="V256" s="2">
        <f>IF(R256="","",COUNTIF($C$5:$C$3004,R256))</f>
        <v/>
      </c>
      <c r="W256" s="2">
        <f>IF(R256="","",COUNTIFS($C$5:$C$3004,R256,$O$5:$O$3004,"CONCLUÍDA"))</f>
        <v/>
      </c>
      <c r="X256" s="2">
        <f>IF(R256="","",COUNTIFS($C$5:$C$3004,R256,$O$5:$O$3004,"EM ANDAMENTO"))</f>
        <v/>
      </c>
      <c r="Y256" s="2">
        <f>IF(R256="","",IF(COUNTIFS($C$5:$C$3004,R256,$O$5:$O$3004,"CONCLUÍDA",$N$5:$N$3004,"&gt;=-1")=0,"",_xlfn.MAXIFS($N$5:$N$3004,$C$5:$C$3004,R256,$O$5:$O$3004,"CONCLUÍDA")))</f>
        <v/>
      </c>
      <c r="Z256" s="2">
        <f>IF(R256="","",IF(COUNTIFS($C$5:$C$3004,R256,$O$5:$O$3004,"EM ANDAMENTO",$N$5:$N$3004,"&gt;=-1")=0,"",_xlfn.MAXIFS($N$5:$N$3004,$C$5:$C$3004,R256,$O$5:$O$3004,"EM ANDAMENTO")))</f>
        <v/>
      </c>
      <c r="AA256" s="2">
        <f>IF(OR(R256="",S256="",U256&lt;&gt;"SIM",V256=0),"",IF(W256+X256=0,"",T256&amp;": "&amp;IF(W256=V256,"concluído",IF(W256=0,"em execução"&amp;IF(Z256&lt;&gt;""," ("&amp;IF(Z256=-1,"subsolo",IF(Z256=0,"térreo",Z256&amp;"º pav."))&amp;")",""),IF(Y256&lt;&gt;"","até "&amp;IF(Y256=-1,"subsolo",IF(Y256=0,"térreo",Y256&amp;"º pav.")),W256&amp;" de "&amp;V256&amp;" concluídas")&amp;IF(Z256="","",IF(OR(Y256="",Z256&gt;Y256),", executando "&amp;IF(Z256=-1,"subsolo",IF(Z256=0,"térreo",Z256&amp;"º pav."))," (restam serviços no "&amp;IF(Z256=-1,"subsolo",IF(Z256=0,"térreo",Z256&amp;"º pav."))&amp;")"))))))</f>
        <v/>
      </c>
    </row>
    <row r="257">
      <c r="M257" s="2">
        <f>IF(C257="","",IFERROR(INDEX($S$5:$S$304,MATCH(C257,$R$5:$R$304,0))&amp;"","?"))</f>
        <v/>
      </c>
      <c r="N257" s="2">
        <f>IF(E257="","",IF(LEFT(E257,7)="SUBSOLO",-1,IF(LEFT(E257,6)="TÉRREO",0,IFERROR(VALUE(LEFT(E257,FIND("º",SUBSTITUTE(E257,"°","º"))-1)),""))))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5" t="n"/>
      <c r="S257" s="5" t="n"/>
      <c r="T257" s="5" t="n"/>
      <c r="U257" s="5" t="n"/>
      <c r="V257" s="2">
        <f>IF(R257="","",COUNTIF($C$5:$C$3004,R257))</f>
        <v/>
      </c>
      <c r="W257" s="2">
        <f>IF(R257="","",COUNTIFS($C$5:$C$3004,R257,$O$5:$O$3004,"CONCLUÍDA"))</f>
        <v/>
      </c>
      <c r="X257" s="2">
        <f>IF(R257="","",COUNTIFS($C$5:$C$3004,R257,$O$5:$O$3004,"EM ANDAMENTO"))</f>
        <v/>
      </c>
      <c r="Y257" s="2">
        <f>IF(R257="","",IF(COUNTIFS($C$5:$C$3004,R257,$O$5:$O$3004,"CONCLUÍDA",$N$5:$N$3004,"&gt;=-1")=0,"",_xlfn.MAXIFS($N$5:$N$3004,$C$5:$C$3004,R257,$O$5:$O$3004,"CONCLUÍDA")))</f>
        <v/>
      </c>
      <c r="Z257" s="2">
        <f>IF(R257="","",IF(COUNTIFS($C$5:$C$3004,R257,$O$5:$O$3004,"EM ANDAMENTO",$N$5:$N$3004,"&gt;=-1")=0,"",_xlfn.MAXIFS($N$5:$N$3004,$C$5:$C$3004,R257,$O$5:$O$3004,"EM ANDAMENTO")))</f>
        <v/>
      </c>
      <c r="AA257" s="2">
        <f>IF(OR(R257="",S257="",U257&lt;&gt;"SIM",V257=0),"",IF(W257+X257=0,"",T257&amp;": "&amp;IF(W257=V257,"concluído",IF(W257=0,"em execução"&amp;IF(Z257&lt;&gt;""," ("&amp;IF(Z257=-1,"subsolo",IF(Z257=0,"térreo",Z257&amp;"º pav."))&amp;")",""),IF(Y257&lt;&gt;"","até "&amp;IF(Y257=-1,"subsolo",IF(Y257=0,"térreo",Y257&amp;"º pav.")),W257&amp;" de "&amp;V257&amp;" concluídas")&amp;IF(Z257="","",IF(OR(Y257="",Z257&gt;Y257),", executando "&amp;IF(Z257=-1,"subsolo",IF(Z257=0,"térreo",Z257&amp;"º pav."))," (restam serviços no "&amp;IF(Z257=-1,"subsolo",IF(Z257=0,"térreo",Z257&amp;"º pav."))&amp;")"))))))</f>
        <v/>
      </c>
    </row>
    <row r="258">
      <c r="M258" s="2">
        <f>IF(C258="","",IFERROR(INDEX($S$5:$S$304,MATCH(C258,$R$5:$R$304,0))&amp;"","?"))</f>
        <v/>
      </c>
      <c r="N258" s="2">
        <f>IF(E258="","",IF(LEFT(E258,7)="SUBSOLO",-1,IF(LEFT(E258,6)="TÉRREO",0,IFERROR(VALUE(LEFT(E258,FIND("º",SUBSTITUTE(E258,"°","º"))-1)),""))))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5" t="n"/>
      <c r="S258" s="5" t="n"/>
      <c r="T258" s="5" t="n"/>
      <c r="U258" s="5" t="n"/>
      <c r="V258" s="2">
        <f>IF(R258="","",COUNTIF($C$5:$C$3004,R258))</f>
        <v/>
      </c>
      <c r="W258" s="2">
        <f>IF(R258="","",COUNTIFS($C$5:$C$3004,R258,$O$5:$O$3004,"CONCLUÍDA"))</f>
        <v/>
      </c>
      <c r="X258" s="2">
        <f>IF(R258="","",COUNTIFS($C$5:$C$3004,R258,$O$5:$O$3004,"EM ANDAMENTO"))</f>
        <v/>
      </c>
      <c r="Y258" s="2">
        <f>IF(R258="","",IF(COUNTIFS($C$5:$C$3004,R258,$O$5:$O$3004,"CONCLUÍDA",$N$5:$N$3004,"&gt;=-1")=0,"",_xlfn.MAXIFS($N$5:$N$3004,$C$5:$C$3004,R258,$O$5:$O$3004,"CONCLUÍDA")))</f>
        <v/>
      </c>
      <c r="Z258" s="2">
        <f>IF(R258="","",IF(COUNTIFS($C$5:$C$3004,R258,$O$5:$O$3004,"EM ANDAMENTO",$N$5:$N$3004,"&gt;=-1")=0,"",_xlfn.MAXIFS($N$5:$N$3004,$C$5:$C$3004,R258,$O$5:$O$3004,"EM ANDAMENTO")))</f>
        <v/>
      </c>
      <c r="AA258" s="2">
        <f>IF(OR(R258="",S258="",U258&lt;&gt;"SIM",V258=0),"",IF(W258+X258=0,"",T258&amp;": "&amp;IF(W258=V258,"concluído",IF(W258=0,"em execução"&amp;IF(Z258&lt;&gt;""," ("&amp;IF(Z258=-1,"subsolo",IF(Z258=0,"térreo",Z258&amp;"º pav."))&amp;")",""),IF(Y258&lt;&gt;"","até "&amp;IF(Y258=-1,"subsolo",IF(Y258=0,"térreo",Y258&amp;"º pav.")),W258&amp;" de "&amp;V258&amp;" concluídas")&amp;IF(Z258="","",IF(OR(Y258="",Z258&gt;Y258),", executando "&amp;IF(Z258=-1,"subsolo",IF(Z258=0,"térreo",Z258&amp;"º pav."))," (restam serviços no "&amp;IF(Z258=-1,"subsolo",IF(Z258=0,"térreo",Z258&amp;"º pav."))&amp;")"))))))</f>
        <v/>
      </c>
    </row>
    <row r="259">
      <c r="M259" s="2">
        <f>IF(C259="","",IFERROR(INDEX($S$5:$S$304,MATCH(C259,$R$5:$R$304,0))&amp;"","?"))</f>
        <v/>
      </c>
      <c r="N259" s="2">
        <f>IF(E259="","",IF(LEFT(E259,7)="SUBSOLO",-1,IF(LEFT(E259,6)="TÉRREO",0,IFERROR(VALUE(LEFT(E259,FIND("º",SUBSTITUTE(E259,"°","º"))-1)),""))))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5" t="n"/>
      <c r="S259" s="5" t="n"/>
      <c r="T259" s="5" t="n"/>
      <c r="U259" s="5" t="n"/>
      <c r="V259" s="2">
        <f>IF(R259="","",COUNTIF($C$5:$C$3004,R259))</f>
        <v/>
      </c>
      <c r="W259" s="2">
        <f>IF(R259="","",COUNTIFS($C$5:$C$3004,R259,$O$5:$O$3004,"CONCLUÍDA"))</f>
        <v/>
      </c>
      <c r="X259" s="2">
        <f>IF(R259="","",COUNTIFS($C$5:$C$3004,R259,$O$5:$O$3004,"EM ANDAMENTO"))</f>
        <v/>
      </c>
      <c r="Y259" s="2">
        <f>IF(R259="","",IF(COUNTIFS($C$5:$C$3004,R259,$O$5:$O$3004,"CONCLUÍDA",$N$5:$N$3004,"&gt;=-1")=0,"",_xlfn.MAXIFS($N$5:$N$3004,$C$5:$C$3004,R259,$O$5:$O$3004,"CONCLUÍDA")))</f>
        <v/>
      </c>
      <c r="Z259" s="2">
        <f>IF(R259="","",IF(COUNTIFS($C$5:$C$3004,R259,$O$5:$O$3004,"EM ANDAMENTO",$N$5:$N$3004,"&gt;=-1")=0,"",_xlfn.MAXIFS($N$5:$N$3004,$C$5:$C$3004,R259,$O$5:$O$3004,"EM ANDAMENTO")))</f>
        <v/>
      </c>
      <c r="AA259" s="2">
        <f>IF(OR(R259="",S259="",U259&lt;&gt;"SIM",V259=0),"",IF(W259+X259=0,"",T259&amp;": "&amp;IF(W259=V259,"concluído",IF(W259=0,"em execução"&amp;IF(Z259&lt;&gt;""," ("&amp;IF(Z259=-1,"subsolo",IF(Z259=0,"térreo",Z259&amp;"º pav."))&amp;")",""),IF(Y259&lt;&gt;"","até "&amp;IF(Y259=-1,"subsolo",IF(Y259=0,"térreo",Y259&amp;"º pav.")),W259&amp;" de "&amp;V259&amp;" concluídas")&amp;IF(Z259="","",IF(OR(Y259="",Z259&gt;Y259),", executando "&amp;IF(Z259=-1,"subsolo",IF(Z259=0,"térreo",Z259&amp;"º pav."))," (restam serviços no "&amp;IF(Z259=-1,"subsolo",IF(Z259=0,"térreo",Z259&amp;"º pav."))&amp;")"))))))</f>
        <v/>
      </c>
    </row>
    <row r="260">
      <c r="M260" s="2">
        <f>IF(C260="","",IFERROR(INDEX($S$5:$S$304,MATCH(C260,$R$5:$R$304,0))&amp;"","?"))</f>
        <v/>
      </c>
      <c r="N260" s="2">
        <f>IF(E260="","",IF(LEFT(E260,7)="SUBSOLO",-1,IF(LEFT(E260,6)="TÉRREO",0,IFERROR(VALUE(LEFT(E260,FIND("º",SUBSTITUTE(E260,"°","º"))-1)),""))))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5" t="n"/>
      <c r="S260" s="5" t="n"/>
      <c r="T260" s="5" t="n"/>
      <c r="U260" s="5" t="n"/>
      <c r="V260" s="2">
        <f>IF(R260="","",COUNTIF($C$5:$C$3004,R260))</f>
        <v/>
      </c>
      <c r="W260" s="2">
        <f>IF(R260="","",COUNTIFS($C$5:$C$3004,R260,$O$5:$O$3004,"CONCLUÍDA"))</f>
        <v/>
      </c>
      <c r="X260" s="2">
        <f>IF(R260="","",COUNTIFS($C$5:$C$3004,R260,$O$5:$O$3004,"EM ANDAMENTO"))</f>
        <v/>
      </c>
      <c r="Y260" s="2">
        <f>IF(R260="","",IF(COUNTIFS($C$5:$C$3004,R260,$O$5:$O$3004,"CONCLUÍDA",$N$5:$N$3004,"&gt;=-1")=0,"",_xlfn.MAXIFS($N$5:$N$3004,$C$5:$C$3004,R260,$O$5:$O$3004,"CONCLUÍDA")))</f>
        <v/>
      </c>
      <c r="Z260" s="2">
        <f>IF(R260="","",IF(COUNTIFS($C$5:$C$3004,R260,$O$5:$O$3004,"EM ANDAMENTO",$N$5:$N$3004,"&gt;=-1")=0,"",_xlfn.MAXIFS($N$5:$N$3004,$C$5:$C$3004,R260,$O$5:$O$3004,"EM ANDAMENTO")))</f>
        <v/>
      </c>
      <c r="AA260" s="2">
        <f>IF(OR(R260="",S260="",U260&lt;&gt;"SIM",V260=0),"",IF(W260+X260=0,"",T260&amp;": "&amp;IF(W260=V260,"concluído",IF(W260=0,"em execução"&amp;IF(Z260&lt;&gt;""," ("&amp;IF(Z260=-1,"subsolo",IF(Z260=0,"térreo",Z260&amp;"º pav."))&amp;")",""),IF(Y260&lt;&gt;"","até "&amp;IF(Y260=-1,"subsolo",IF(Y260=0,"térreo",Y260&amp;"º pav.")),W260&amp;" de "&amp;V260&amp;" concluídas")&amp;IF(Z260="","",IF(OR(Y260="",Z260&gt;Y260),", executando "&amp;IF(Z260=-1,"subsolo",IF(Z260=0,"térreo",Z260&amp;"º pav."))," (restam serviços no "&amp;IF(Z260=-1,"subsolo",IF(Z260=0,"térreo",Z260&amp;"º pav."))&amp;")"))))))</f>
        <v/>
      </c>
    </row>
    <row r="261">
      <c r="M261" s="2">
        <f>IF(C261="","",IFERROR(INDEX($S$5:$S$304,MATCH(C261,$R$5:$R$304,0))&amp;"","?"))</f>
        <v/>
      </c>
      <c r="N261" s="2">
        <f>IF(E261="","",IF(LEFT(E261,7)="SUBSOLO",-1,IF(LEFT(E261,6)="TÉRREO",0,IFERROR(VALUE(LEFT(E261,FIND("º",SUBSTITUTE(E261,"°","º"))-1)),""))))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5" t="n"/>
      <c r="S261" s="5" t="n"/>
      <c r="T261" s="5" t="n"/>
      <c r="U261" s="5" t="n"/>
      <c r="V261" s="2">
        <f>IF(R261="","",COUNTIF($C$5:$C$3004,R261))</f>
        <v/>
      </c>
      <c r="W261" s="2">
        <f>IF(R261="","",COUNTIFS($C$5:$C$3004,R261,$O$5:$O$3004,"CONCLUÍDA"))</f>
        <v/>
      </c>
      <c r="X261" s="2">
        <f>IF(R261="","",COUNTIFS($C$5:$C$3004,R261,$O$5:$O$3004,"EM ANDAMENTO"))</f>
        <v/>
      </c>
      <c r="Y261" s="2">
        <f>IF(R261="","",IF(COUNTIFS($C$5:$C$3004,R261,$O$5:$O$3004,"CONCLUÍDA",$N$5:$N$3004,"&gt;=-1")=0,"",_xlfn.MAXIFS($N$5:$N$3004,$C$5:$C$3004,R261,$O$5:$O$3004,"CONCLUÍDA")))</f>
        <v/>
      </c>
      <c r="Z261" s="2">
        <f>IF(R261="","",IF(COUNTIFS($C$5:$C$3004,R261,$O$5:$O$3004,"EM ANDAMENTO",$N$5:$N$3004,"&gt;=-1")=0,"",_xlfn.MAXIFS($N$5:$N$3004,$C$5:$C$3004,R261,$O$5:$O$3004,"EM ANDAMENTO")))</f>
        <v/>
      </c>
      <c r="AA261" s="2">
        <f>IF(OR(R261="",S261="",U261&lt;&gt;"SIM",V261=0),"",IF(W261+X261=0,"",T261&amp;": "&amp;IF(W261=V261,"concluído",IF(W261=0,"em execução"&amp;IF(Z261&lt;&gt;""," ("&amp;IF(Z261=-1,"subsolo",IF(Z261=0,"térreo",Z261&amp;"º pav."))&amp;")",""),IF(Y261&lt;&gt;"","até "&amp;IF(Y261=-1,"subsolo",IF(Y261=0,"térreo",Y261&amp;"º pav.")),W261&amp;" de "&amp;V261&amp;" concluídas")&amp;IF(Z261="","",IF(OR(Y261="",Z261&gt;Y261),", executando "&amp;IF(Z261=-1,"subsolo",IF(Z261=0,"térreo",Z261&amp;"º pav."))," (restam serviços no "&amp;IF(Z261=-1,"subsolo",IF(Z261=0,"térreo",Z261&amp;"º pav."))&amp;")"))))))</f>
        <v/>
      </c>
    </row>
    <row r="262">
      <c r="M262" s="2">
        <f>IF(C262="","",IFERROR(INDEX($S$5:$S$304,MATCH(C262,$R$5:$R$304,0))&amp;"","?"))</f>
        <v/>
      </c>
      <c r="N262" s="2">
        <f>IF(E262="","",IF(LEFT(E262,7)="SUBSOLO",-1,IF(LEFT(E262,6)="TÉRREO",0,IFERROR(VALUE(LEFT(E262,FIND("º",SUBSTITUTE(E262,"°","º"))-1)),""))))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5" t="n"/>
      <c r="S262" s="5" t="n"/>
      <c r="T262" s="5" t="n"/>
      <c r="U262" s="5" t="n"/>
      <c r="V262" s="2">
        <f>IF(R262="","",COUNTIF($C$5:$C$3004,R262))</f>
        <v/>
      </c>
      <c r="W262" s="2">
        <f>IF(R262="","",COUNTIFS($C$5:$C$3004,R262,$O$5:$O$3004,"CONCLUÍDA"))</f>
        <v/>
      </c>
      <c r="X262" s="2">
        <f>IF(R262="","",COUNTIFS($C$5:$C$3004,R262,$O$5:$O$3004,"EM ANDAMENTO"))</f>
        <v/>
      </c>
      <c r="Y262" s="2">
        <f>IF(R262="","",IF(COUNTIFS($C$5:$C$3004,R262,$O$5:$O$3004,"CONCLUÍDA",$N$5:$N$3004,"&gt;=-1")=0,"",_xlfn.MAXIFS($N$5:$N$3004,$C$5:$C$3004,R262,$O$5:$O$3004,"CONCLUÍDA")))</f>
        <v/>
      </c>
      <c r="Z262" s="2">
        <f>IF(R262="","",IF(COUNTIFS($C$5:$C$3004,R262,$O$5:$O$3004,"EM ANDAMENTO",$N$5:$N$3004,"&gt;=-1")=0,"",_xlfn.MAXIFS($N$5:$N$3004,$C$5:$C$3004,R262,$O$5:$O$3004,"EM ANDAMENTO")))</f>
        <v/>
      </c>
      <c r="AA262" s="2">
        <f>IF(OR(R262="",S262="",U262&lt;&gt;"SIM",V262=0),"",IF(W262+X262=0,"",T262&amp;": "&amp;IF(W262=V262,"concluído",IF(W262=0,"em execução"&amp;IF(Z262&lt;&gt;""," ("&amp;IF(Z262=-1,"subsolo",IF(Z262=0,"térreo",Z262&amp;"º pav."))&amp;")",""),IF(Y262&lt;&gt;"","até "&amp;IF(Y262=-1,"subsolo",IF(Y262=0,"térreo",Y262&amp;"º pav.")),W262&amp;" de "&amp;V262&amp;" concluídas")&amp;IF(Z262="","",IF(OR(Y262="",Z262&gt;Y262),", executando "&amp;IF(Z262=-1,"subsolo",IF(Z262=0,"térreo",Z262&amp;"º pav."))," (restam serviços no "&amp;IF(Z262=-1,"subsolo",IF(Z262=0,"térreo",Z262&amp;"º pav."))&amp;")"))))))</f>
        <v/>
      </c>
    </row>
    <row r="263">
      <c r="M263" s="2">
        <f>IF(C263="","",IFERROR(INDEX($S$5:$S$304,MATCH(C263,$R$5:$R$304,0))&amp;"","?"))</f>
        <v/>
      </c>
      <c r="N263" s="2">
        <f>IF(E263="","",IF(LEFT(E263,7)="SUBSOLO",-1,IF(LEFT(E263,6)="TÉRREO",0,IFERROR(VALUE(LEFT(E263,FIND("º",SUBSTITUTE(E263,"°","º"))-1)),""))))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5" t="n"/>
      <c r="S263" s="5" t="n"/>
      <c r="T263" s="5" t="n"/>
      <c r="U263" s="5" t="n"/>
      <c r="V263" s="2">
        <f>IF(R263="","",COUNTIF($C$5:$C$3004,R263))</f>
        <v/>
      </c>
      <c r="W263" s="2">
        <f>IF(R263="","",COUNTIFS($C$5:$C$3004,R263,$O$5:$O$3004,"CONCLUÍDA"))</f>
        <v/>
      </c>
      <c r="X263" s="2">
        <f>IF(R263="","",COUNTIFS($C$5:$C$3004,R263,$O$5:$O$3004,"EM ANDAMENTO"))</f>
        <v/>
      </c>
      <c r="Y263" s="2">
        <f>IF(R263="","",IF(COUNTIFS($C$5:$C$3004,R263,$O$5:$O$3004,"CONCLUÍDA",$N$5:$N$3004,"&gt;=-1")=0,"",_xlfn.MAXIFS($N$5:$N$3004,$C$5:$C$3004,R263,$O$5:$O$3004,"CONCLUÍDA")))</f>
        <v/>
      </c>
      <c r="Z263" s="2">
        <f>IF(R263="","",IF(COUNTIFS($C$5:$C$3004,R263,$O$5:$O$3004,"EM ANDAMENTO",$N$5:$N$3004,"&gt;=-1")=0,"",_xlfn.MAXIFS($N$5:$N$3004,$C$5:$C$3004,R263,$O$5:$O$3004,"EM ANDAMENTO")))</f>
        <v/>
      </c>
      <c r="AA263" s="2">
        <f>IF(OR(R263="",S263="",U263&lt;&gt;"SIM",V263=0),"",IF(W263+X263=0,"",T263&amp;": "&amp;IF(W263=V263,"concluído",IF(W263=0,"em execução"&amp;IF(Z263&lt;&gt;""," ("&amp;IF(Z263=-1,"subsolo",IF(Z263=0,"térreo",Z263&amp;"º pav."))&amp;")",""),IF(Y263&lt;&gt;"","até "&amp;IF(Y263=-1,"subsolo",IF(Y263=0,"térreo",Y263&amp;"º pav.")),W263&amp;" de "&amp;V263&amp;" concluídas")&amp;IF(Z263="","",IF(OR(Y263="",Z263&gt;Y263),", executando "&amp;IF(Z263=-1,"subsolo",IF(Z263=0,"térreo",Z263&amp;"º pav."))," (restam serviços no "&amp;IF(Z263=-1,"subsolo",IF(Z263=0,"térreo",Z263&amp;"º pav."))&amp;")"))))))</f>
        <v/>
      </c>
    </row>
    <row r="264">
      <c r="M264" s="2">
        <f>IF(C264="","",IFERROR(INDEX($S$5:$S$304,MATCH(C264,$R$5:$R$304,0))&amp;"","?"))</f>
        <v/>
      </c>
      <c r="N264" s="2">
        <f>IF(E264="","",IF(LEFT(E264,7)="SUBSOLO",-1,IF(LEFT(E264,6)="TÉRREO",0,IFERROR(VALUE(LEFT(E264,FIND("º",SUBSTITUTE(E264,"°","º"))-1)),""))))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5" t="n"/>
      <c r="S264" s="5" t="n"/>
      <c r="T264" s="5" t="n"/>
      <c r="U264" s="5" t="n"/>
      <c r="V264" s="2">
        <f>IF(R264="","",COUNTIF($C$5:$C$3004,R264))</f>
        <v/>
      </c>
      <c r="W264" s="2">
        <f>IF(R264="","",COUNTIFS($C$5:$C$3004,R264,$O$5:$O$3004,"CONCLUÍDA"))</f>
        <v/>
      </c>
      <c r="X264" s="2">
        <f>IF(R264="","",COUNTIFS($C$5:$C$3004,R264,$O$5:$O$3004,"EM ANDAMENTO"))</f>
        <v/>
      </c>
      <c r="Y264" s="2">
        <f>IF(R264="","",IF(COUNTIFS($C$5:$C$3004,R264,$O$5:$O$3004,"CONCLUÍDA",$N$5:$N$3004,"&gt;=-1")=0,"",_xlfn.MAXIFS($N$5:$N$3004,$C$5:$C$3004,R264,$O$5:$O$3004,"CONCLUÍDA")))</f>
        <v/>
      </c>
      <c r="Z264" s="2">
        <f>IF(R264="","",IF(COUNTIFS($C$5:$C$3004,R264,$O$5:$O$3004,"EM ANDAMENTO",$N$5:$N$3004,"&gt;=-1")=0,"",_xlfn.MAXIFS($N$5:$N$3004,$C$5:$C$3004,R264,$O$5:$O$3004,"EM ANDAMENTO")))</f>
        <v/>
      </c>
      <c r="AA264" s="2">
        <f>IF(OR(R264="",S264="",U264&lt;&gt;"SIM",V264=0),"",IF(W264+X264=0,"",T264&amp;": "&amp;IF(W264=V264,"concluído",IF(W264=0,"em execução"&amp;IF(Z264&lt;&gt;""," ("&amp;IF(Z264=-1,"subsolo",IF(Z264=0,"térreo",Z264&amp;"º pav."))&amp;")",""),IF(Y264&lt;&gt;"","até "&amp;IF(Y264=-1,"subsolo",IF(Y264=0,"térreo",Y264&amp;"º pav.")),W264&amp;" de "&amp;V264&amp;" concluídas")&amp;IF(Z264="","",IF(OR(Y264="",Z264&gt;Y264),", executando "&amp;IF(Z264=-1,"subsolo",IF(Z264=0,"térreo",Z264&amp;"º pav."))," (restam serviços no "&amp;IF(Z264=-1,"subsolo",IF(Z264=0,"térreo",Z264&amp;"º pav."))&amp;")"))))))</f>
        <v/>
      </c>
    </row>
    <row r="265">
      <c r="M265" s="2">
        <f>IF(C265="","",IFERROR(INDEX($S$5:$S$304,MATCH(C265,$R$5:$R$304,0))&amp;"","?"))</f>
        <v/>
      </c>
      <c r="N265" s="2">
        <f>IF(E265="","",IF(LEFT(E265,7)="SUBSOLO",-1,IF(LEFT(E265,6)="TÉRREO",0,IFERROR(VALUE(LEFT(E265,FIND("º",SUBSTITUTE(E265,"°","º"))-1)),""))))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5" t="n"/>
      <c r="S265" s="5" t="n"/>
      <c r="T265" s="5" t="n"/>
      <c r="U265" s="5" t="n"/>
      <c r="V265" s="2">
        <f>IF(R265="","",COUNTIF($C$5:$C$3004,R265))</f>
        <v/>
      </c>
      <c r="W265" s="2">
        <f>IF(R265="","",COUNTIFS($C$5:$C$3004,R265,$O$5:$O$3004,"CONCLUÍDA"))</f>
        <v/>
      </c>
      <c r="X265" s="2">
        <f>IF(R265="","",COUNTIFS($C$5:$C$3004,R265,$O$5:$O$3004,"EM ANDAMENTO"))</f>
        <v/>
      </c>
      <c r="Y265" s="2">
        <f>IF(R265="","",IF(COUNTIFS($C$5:$C$3004,R265,$O$5:$O$3004,"CONCLUÍDA",$N$5:$N$3004,"&gt;=-1")=0,"",_xlfn.MAXIFS($N$5:$N$3004,$C$5:$C$3004,R265,$O$5:$O$3004,"CONCLUÍDA")))</f>
        <v/>
      </c>
      <c r="Z265" s="2">
        <f>IF(R265="","",IF(COUNTIFS($C$5:$C$3004,R265,$O$5:$O$3004,"EM ANDAMENTO",$N$5:$N$3004,"&gt;=-1")=0,"",_xlfn.MAXIFS($N$5:$N$3004,$C$5:$C$3004,R265,$O$5:$O$3004,"EM ANDAMENTO")))</f>
        <v/>
      </c>
      <c r="AA265" s="2">
        <f>IF(OR(R265="",S265="",U265&lt;&gt;"SIM",V265=0),"",IF(W265+X265=0,"",T265&amp;": "&amp;IF(W265=V265,"concluído",IF(W265=0,"em execução"&amp;IF(Z265&lt;&gt;""," ("&amp;IF(Z265=-1,"subsolo",IF(Z265=0,"térreo",Z265&amp;"º pav."))&amp;")",""),IF(Y265&lt;&gt;"","até "&amp;IF(Y265=-1,"subsolo",IF(Y265=0,"térreo",Y265&amp;"º pav.")),W265&amp;" de "&amp;V265&amp;" concluídas")&amp;IF(Z265="","",IF(OR(Y265="",Z265&gt;Y265),", executando "&amp;IF(Z265=-1,"subsolo",IF(Z265=0,"térreo",Z265&amp;"º pav."))," (restam serviços no "&amp;IF(Z265=-1,"subsolo",IF(Z265=0,"térreo",Z265&amp;"º pav."))&amp;")"))))))</f>
        <v/>
      </c>
    </row>
    <row r="266">
      <c r="M266" s="2">
        <f>IF(C266="","",IFERROR(INDEX($S$5:$S$304,MATCH(C266,$R$5:$R$304,0))&amp;"","?"))</f>
        <v/>
      </c>
      <c r="N266" s="2">
        <f>IF(E266="","",IF(LEFT(E266,7)="SUBSOLO",-1,IF(LEFT(E266,6)="TÉRREO",0,IFERROR(VALUE(LEFT(E266,FIND("º",SUBSTITUTE(E266,"°","º"))-1)),""))))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5" t="n"/>
      <c r="S266" s="5" t="n"/>
      <c r="T266" s="5" t="n"/>
      <c r="U266" s="5" t="n"/>
      <c r="V266" s="2">
        <f>IF(R266="","",COUNTIF($C$5:$C$3004,R266))</f>
        <v/>
      </c>
      <c r="W266" s="2">
        <f>IF(R266="","",COUNTIFS($C$5:$C$3004,R266,$O$5:$O$3004,"CONCLUÍDA"))</f>
        <v/>
      </c>
      <c r="X266" s="2">
        <f>IF(R266="","",COUNTIFS($C$5:$C$3004,R266,$O$5:$O$3004,"EM ANDAMENTO"))</f>
        <v/>
      </c>
      <c r="Y266" s="2">
        <f>IF(R266="","",IF(COUNTIFS($C$5:$C$3004,R266,$O$5:$O$3004,"CONCLUÍDA",$N$5:$N$3004,"&gt;=-1")=0,"",_xlfn.MAXIFS($N$5:$N$3004,$C$5:$C$3004,R266,$O$5:$O$3004,"CONCLUÍDA")))</f>
        <v/>
      </c>
      <c r="Z266" s="2">
        <f>IF(R266="","",IF(COUNTIFS($C$5:$C$3004,R266,$O$5:$O$3004,"EM ANDAMENTO",$N$5:$N$3004,"&gt;=-1")=0,"",_xlfn.MAXIFS($N$5:$N$3004,$C$5:$C$3004,R266,$O$5:$O$3004,"EM ANDAMENTO")))</f>
        <v/>
      </c>
      <c r="AA266" s="2">
        <f>IF(OR(R266="",S266="",U266&lt;&gt;"SIM",V266=0),"",IF(W266+X266=0,"",T266&amp;": "&amp;IF(W266=V266,"concluído",IF(W266=0,"em execução"&amp;IF(Z266&lt;&gt;""," ("&amp;IF(Z266=-1,"subsolo",IF(Z266=0,"térreo",Z266&amp;"º pav."))&amp;")",""),IF(Y266&lt;&gt;"","até "&amp;IF(Y266=-1,"subsolo",IF(Y266=0,"térreo",Y266&amp;"º pav.")),W266&amp;" de "&amp;V266&amp;" concluídas")&amp;IF(Z266="","",IF(OR(Y266="",Z266&gt;Y266),", executando "&amp;IF(Z266=-1,"subsolo",IF(Z266=0,"térreo",Z266&amp;"º pav."))," (restam serviços no "&amp;IF(Z266=-1,"subsolo",IF(Z266=0,"térreo",Z266&amp;"º pav."))&amp;")"))))))</f>
        <v/>
      </c>
    </row>
    <row r="267">
      <c r="M267" s="2">
        <f>IF(C267="","",IFERROR(INDEX($S$5:$S$304,MATCH(C267,$R$5:$R$304,0))&amp;"","?"))</f>
        <v/>
      </c>
      <c r="N267" s="2">
        <f>IF(E267="","",IF(LEFT(E267,7)="SUBSOLO",-1,IF(LEFT(E267,6)="TÉRREO",0,IFERROR(VALUE(LEFT(E267,FIND("º",SUBSTITUTE(E267,"°","º"))-1)),""))))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5" t="n"/>
      <c r="S267" s="5" t="n"/>
      <c r="T267" s="5" t="n"/>
      <c r="U267" s="5" t="n"/>
      <c r="V267" s="2">
        <f>IF(R267="","",COUNTIF($C$5:$C$3004,R267))</f>
        <v/>
      </c>
      <c r="W267" s="2">
        <f>IF(R267="","",COUNTIFS($C$5:$C$3004,R267,$O$5:$O$3004,"CONCLUÍDA"))</f>
        <v/>
      </c>
      <c r="X267" s="2">
        <f>IF(R267="","",COUNTIFS($C$5:$C$3004,R267,$O$5:$O$3004,"EM ANDAMENTO"))</f>
        <v/>
      </c>
      <c r="Y267" s="2">
        <f>IF(R267="","",IF(COUNTIFS($C$5:$C$3004,R267,$O$5:$O$3004,"CONCLUÍDA",$N$5:$N$3004,"&gt;=-1")=0,"",_xlfn.MAXIFS($N$5:$N$3004,$C$5:$C$3004,R267,$O$5:$O$3004,"CONCLUÍDA")))</f>
        <v/>
      </c>
      <c r="Z267" s="2">
        <f>IF(R267="","",IF(COUNTIFS($C$5:$C$3004,R267,$O$5:$O$3004,"EM ANDAMENTO",$N$5:$N$3004,"&gt;=-1")=0,"",_xlfn.MAXIFS($N$5:$N$3004,$C$5:$C$3004,R267,$O$5:$O$3004,"EM ANDAMENTO")))</f>
        <v/>
      </c>
      <c r="AA267" s="2">
        <f>IF(OR(R267="",S267="",U267&lt;&gt;"SIM",V267=0),"",IF(W267+X267=0,"",T267&amp;": "&amp;IF(W267=V267,"concluído",IF(W267=0,"em execução"&amp;IF(Z267&lt;&gt;""," ("&amp;IF(Z267=-1,"subsolo",IF(Z267=0,"térreo",Z267&amp;"º pav."))&amp;")",""),IF(Y267&lt;&gt;"","até "&amp;IF(Y267=-1,"subsolo",IF(Y267=0,"térreo",Y267&amp;"º pav.")),W267&amp;" de "&amp;V267&amp;" concluídas")&amp;IF(Z267="","",IF(OR(Y267="",Z267&gt;Y267),", executando "&amp;IF(Z267=-1,"subsolo",IF(Z267=0,"térreo",Z267&amp;"º pav."))," (restam serviços no "&amp;IF(Z267=-1,"subsolo",IF(Z267=0,"térreo",Z267&amp;"º pav."))&amp;")"))))))</f>
        <v/>
      </c>
    </row>
    <row r="268">
      <c r="M268" s="2">
        <f>IF(C268="","",IFERROR(INDEX($S$5:$S$304,MATCH(C268,$R$5:$R$304,0))&amp;"","?"))</f>
        <v/>
      </c>
      <c r="N268" s="2">
        <f>IF(E268="","",IF(LEFT(E268,7)="SUBSOLO",-1,IF(LEFT(E268,6)="TÉRREO",0,IFERROR(VALUE(LEFT(E268,FIND("º",SUBSTITUTE(E268,"°","º"))-1)),""))))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5" t="n"/>
      <c r="S268" s="5" t="n"/>
      <c r="T268" s="5" t="n"/>
      <c r="U268" s="5" t="n"/>
      <c r="V268" s="2">
        <f>IF(R268="","",COUNTIF($C$5:$C$3004,R268))</f>
        <v/>
      </c>
      <c r="W268" s="2">
        <f>IF(R268="","",COUNTIFS($C$5:$C$3004,R268,$O$5:$O$3004,"CONCLUÍDA"))</f>
        <v/>
      </c>
      <c r="X268" s="2">
        <f>IF(R268="","",COUNTIFS($C$5:$C$3004,R268,$O$5:$O$3004,"EM ANDAMENTO"))</f>
        <v/>
      </c>
      <c r="Y268" s="2">
        <f>IF(R268="","",IF(COUNTIFS($C$5:$C$3004,R268,$O$5:$O$3004,"CONCLUÍDA",$N$5:$N$3004,"&gt;=-1")=0,"",_xlfn.MAXIFS($N$5:$N$3004,$C$5:$C$3004,R268,$O$5:$O$3004,"CONCLUÍDA")))</f>
        <v/>
      </c>
      <c r="Z268" s="2">
        <f>IF(R268="","",IF(COUNTIFS($C$5:$C$3004,R268,$O$5:$O$3004,"EM ANDAMENTO",$N$5:$N$3004,"&gt;=-1")=0,"",_xlfn.MAXIFS($N$5:$N$3004,$C$5:$C$3004,R268,$O$5:$O$3004,"EM ANDAMENTO")))</f>
        <v/>
      </c>
      <c r="AA268" s="2">
        <f>IF(OR(R268="",S268="",U268&lt;&gt;"SIM",V268=0),"",IF(W268+X268=0,"",T268&amp;": "&amp;IF(W268=V268,"concluído",IF(W268=0,"em execução"&amp;IF(Z268&lt;&gt;""," ("&amp;IF(Z268=-1,"subsolo",IF(Z268=0,"térreo",Z268&amp;"º pav."))&amp;")",""),IF(Y268&lt;&gt;"","até "&amp;IF(Y268=-1,"subsolo",IF(Y268=0,"térreo",Y268&amp;"º pav.")),W268&amp;" de "&amp;V268&amp;" concluídas")&amp;IF(Z268="","",IF(OR(Y268="",Z268&gt;Y268),", executando "&amp;IF(Z268=-1,"subsolo",IF(Z268=0,"térreo",Z268&amp;"º pav."))," (restam serviços no "&amp;IF(Z268=-1,"subsolo",IF(Z268=0,"térreo",Z268&amp;"º pav."))&amp;")"))))))</f>
        <v/>
      </c>
    </row>
    <row r="269">
      <c r="M269" s="2">
        <f>IF(C269="","",IFERROR(INDEX($S$5:$S$304,MATCH(C269,$R$5:$R$304,0))&amp;"","?"))</f>
        <v/>
      </c>
      <c r="N269" s="2">
        <f>IF(E269="","",IF(LEFT(E269,7)="SUBSOLO",-1,IF(LEFT(E269,6)="TÉRREO",0,IFERROR(VALUE(LEFT(E269,FIND("º",SUBSTITUTE(E269,"°","º"))-1)),""))))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5" t="n"/>
      <c r="S269" s="5" t="n"/>
      <c r="T269" s="5" t="n"/>
      <c r="U269" s="5" t="n"/>
      <c r="V269" s="2">
        <f>IF(R269="","",COUNTIF($C$5:$C$3004,R269))</f>
        <v/>
      </c>
      <c r="W269" s="2">
        <f>IF(R269="","",COUNTIFS($C$5:$C$3004,R269,$O$5:$O$3004,"CONCLUÍDA"))</f>
        <v/>
      </c>
      <c r="X269" s="2">
        <f>IF(R269="","",COUNTIFS($C$5:$C$3004,R269,$O$5:$O$3004,"EM ANDAMENTO"))</f>
        <v/>
      </c>
      <c r="Y269" s="2">
        <f>IF(R269="","",IF(COUNTIFS($C$5:$C$3004,R269,$O$5:$O$3004,"CONCLUÍDA",$N$5:$N$3004,"&gt;=-1")=0,"",_xlfn.MAXIFS($N$5:$N$3004,$C$5:$C$3004,R269,$O$5:$O$3004,"CONCLUÍDA")))</f>
        <v/>
      </c>
      <c r="Z269" s="2">
        <f>IF(R269="","",IF(COUNTIFS($C$5:$C$3004,R269,$O$5:$O$3004,"EM ANDAMENTO",$N$5:$N$3004,"&gt;=-1")=0,"",_xlfn.MAXIFS($N$5:$N$3004,$C$5:$C$3004,R269,$O$5:$O$3004,"EM ANDAMENTO")))</f>
        <v/>
      </c>
      <c r="AA269" s="2">
        <f>IF(OR(R269="",S269="",U269&lt;&gt;"SIM",V269=0),"",IF(W269+X269=0,"",T269&amp;": "&amp;IF(W269=V269,"concluído",IF(W269=0,"em execução"&amp;IF(Z269&lt;&gt;""," ("&amp;IF(Z269=-1,"subsolo",IF(Z269=0,"térreo",Z269&amp;"º pav."))&amp;")",""),IF(Y269&lt;&gt;"","até "&amp;IF(Y269=-1,"subsolo",IF(Y269=0,"térreo",Y269&amp;"º pav.")),W269&amp;" de "&amp;V269&amp;" concluídas")&amp;IF(Z269="","",IF(OR(Y269="",Z269&gt;Y269),", executando "&amp;IF(Z269=-1,"subsolo",IF(Z269=0,"térreo",Z269&amp;"º pav."))," (restam serviços no "&amp;IF(Z269=-1,"subsolo",IF(Z269=0,"térreo",Z269&amp;"º pav."))&amp;")"))))))</f>
        <v/>
      </c>
    </row>
    <row r="270">
      <c r="M270" s="2">
        <f>IF(C270="","",IFERROR(INDEX($S$5:$S$304,MATCH(C270,$R$5:$R$304,0))&amp;"","?"))</f>
        <v/>
      </c>
      <c r="N270" s="2">
        <f>IF(E270="","",IF(LEFT(E270,7)="SUBSOLO",-1,IF(LEFT(E270,6)="TÉRREO",0,IFERROR(VALUE(LEFT(E270,FIND("º",SUBSTITUTE(E270,"°","º"))-1)),""))))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5" t="n"/>
      <c r="S270" s="5" t="n"/>
      <c r="T270" s="5" t="n"/>
      <c r="U270" s="5" t="n"/>
      <c r="V270" s="2">
        <f>IF(R270="","",COUNTIF($C$5:$C$3004,R270))</f>
        <v/>
      </c>
      <c r="W270" s="2">
        <f>IF(R270="","",COUNTIFS($C$5:$C$3004,R270,$O$5:$O$3004,"CONCLUÍDA"))</f>
        <v/>
      </c>
      <c r="X270" s="2">
        <f>IF(R270="","",COUNTIFS($C$5:$C$3004,R270,$O$5:$O$3004,"EM ANDAMENTO"))</f>
        <v/>
      </c>
      <c r="Y270" s="2">
        <f>IF(R270="","",IF(COUNTIFS($C$5:$C$3004,R270,$O$5:$O$3004,"CONCLUÍDA",$N$5:$N$3004,"&gt;=-1")=0,"",_xlfn.MAXIFS($N$5:$N$3004,$C$5:$C$3004,R270,$O$5:$O$3004,"CONCLUÍDA")))</f>
        <v/>
      </c>
      <c r="Z270" s="2">
        <f>IF(R270="","",IF(COUNTIFS($C$5:$C$3004,R270,$O$5:$O$3004,"EM ANDAMENTO",$N$5:$N$3004,"&gt;=-1")=0,"",_xlfn.MAXIFS($N$5:$N$3004,$C$5:$C$3004,R270,$O$5:$O$3004,"EM ANDAMENTO")))</f>
        <v/>
      </c>
      <c r="AA270" s="2">
        <f>IF(OR(R270="",S270="",U270&lt;&gt;"SIM",V270=0),"",IF(W270+X270=0,"",T270&amp;": "&amp;IF(W270=V270,"concluído",IF(W270=0,"em execução"&amp;IF(Z270&lt;&gt;""," ("&amp;IF(Z270=-1,"subsolo",IF(Z270=0,"térreo",Z270&amp;"º pav."))&amp;")",""),IF(Y270&lt;&gt;"","até "&amp;IF(Y270=-1,"subsolo",IF(Y270=0,"térreo",Y270&amp;"º pav.")),W270&amp;" de "&amp;V270&amp;" concluídas")&amp;IF(Z270="","",IF(OR(Y270="",Z270&gt;Y270),", executando "&amp;IF(Z270=-1,"subsolo",IF(Z270=0,"térreo",Z270&amp;"º pav."))," (restam serviços no "&amp;IF(Z270=-1,"subsolo",IF(Z270=0,"térreo",Z270&amp;"º pav."))&amp;")"))))))</f>
        <v/>
      </c>
    </row>
    <row r="271">
      <c r="M271" s="2">
        <f>IF(C271="","",IFERROR(INDEX($S$5:$S$304,MATCH(C271,$R$5:$R$304,0))&amp;"","?"))</f>
        <v/>
      </c>
      <c r="N271" s="2">
        <f>IF(E271="","",IF(LEFT(E271,7)="SUBSOLO",-1,IF(LEFT(E271,6)="TÉRREO",0,IFERROR(VALUE(LEFT(E271,FIND("º",SUBSTITUTE(E271,"°","º"))-1)),""))))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5" t="n"/>
      <c r="S271" s="5" t="n"/>
      <c r="T271" s="5" t="n"/>
      <c r="U271" s="5" t="n"/>
      <c r="V271" s="2">
        <f>IF(R271="","",COUNTIF($C$5:$C$3004,R271))</f>
        <v/>
      </c>
      <c r="W271" s="2">
        <f>IF(R271="","",COUNTIFS($C$5:$C$3004,R271,$O$5:$O$3004,"CONCLUÍDA"))</f>
        <v/>
      </c>
      <c r="X271" s="2">
        <f>IF(R271="","",COUNTIFS($C$5:$C$3004,R271,$O$5:$O$3004,"EM ANDAMENTO"))</f>
        <v/>
      </c>
      <c r="Y271" s="2">
        <f>IF(R271="","",IF(COUNTIFS($C$5:$C$3004,R271,$O$5:$O$3004,"CONCLUÍDA",$N$5:$N$3004,"&gt;=-1")=0,"",_xlfn.MAXIFS($N$5:$N$3004,$C$5:$C$3004,R271,$O$5:$O$3004,"CONCLUÍDA")))</f>
        <v/>
      </c>
      <c r="Z271" s="2">
        <f>IF(R271="","",IF(COUNTIFS($C$5:$C$3004,R271,$O$5:$O$3004,"EM ANDAMENTO",$N$5:$N$3004,"&gt;=-1")=0,"",_xlfn.MAXIFS($N$5:$N$3004,$C$5:$C$3004,R271,$O$5:$O$3004,"EM ANDAMENTO")))</f>
        <v/>
      </c>
      <c r="AA271" s="2">
        <f>IF(OR(R271="",S271="",U271&lt;&gt;"SIM",V271=0),"",IF(W271+X271=0,"",T271&amp;": "&amp;IF(W271=V271,"concluído",IF(W271=0,"em execução"&amp;IF(Z271&lt;&gt;""," ("&amp;IF(Z271=-1,"subsolo",IF(Z271=0,"térreo",Z271&amp;"º pav."))&amp;")",""),IF(Y271&lt;&gt;"","até "&amp;IF(Y271=-1,"subsolo",IF(Y271=0,"térreo",Y271&amp;"º pav.")),W271&amp;" de "&amp;V271&amp;" concluídas")&amp;IF(Z271="","",IF(OR(Y271="",Z271&gt;Y271),", executando "&amp;IF(Z271=-1,"subsolo",IF(Z271=0,"térreo",Z271&amp;"º pav."))," (restam serviços no "&amp;IF(Z271=-1,"subsolo",IF(Z271=0,"térreo",Z271&amp;"º pav."))&amp;")"))))))</f>
        <v/>
      </c>
    </row>
    <row r="272">
      <c r="M272" s="2">
        <f>IF(C272="","",IFERROR(INDEX($S$5:$S$304,MATCH(C272,$R$5:$R$304,0))&amp;"","?"))</f>
        <v/>
      </c>
      <c r="N272" s="2">
        <f>IF(E272="","",IF(LEFT(E272,7)="SUBSOLO",-1,IF(LEFT(E272,6)="TÉRREO",0,IFERROR(VALUE(LEFT(E272,FIND("º",SUBSTITUTE(E272,"°","º"))-1)),""))))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5" t="n"/>
      <c r="S272" s="5" t="n"/>
      <c r="T272" s="5" t="n"/>
      <c r="U272" s="5" t="n"/>
      <c r="V272" s="2">
        <f>IF(R272="","",COUNTIF($C$5:$C$3004,R272))</f>
        <v/>
      </c>
      <c r="W272" s="2">
        <f>IF(R272="","",COUNTIFS($C$5:$C$3004,R272,$O$5:$O$3004,"CONCLUÍDA"))</f>
        <v/>
      </c>
      <c r="X272" s="2">
        <f>IF(R272="","",COUNTIFS($C$5:$C$3004,R272,$O$5:$O$3004,"EM ANDAMENTO"))</f>
        <v/>
      </c>
      <c r="Y272" s="2">
        <f>IF(R272="","",IF(COUNTIFS($C$5:$C$3004,R272,$O$5:$O$3004,"CONCLUÍDA",$N$5:$N$3004,"&gt;=-1")=0,"",_xlfn.MAXIFS($N$5:$N$3004,$C$5:$C$3004,R272,$O$5:$O$3004,"CONCLUÍDA")))</f>
        <v/>
      </c>
      <c r="Z272" s="2">
        <f>IF(R272="","",IF(COUNTIFS($C$5:$C$3004,R272,$O$5:$O$3004,"EM ANDAMENTO",$N$5:$N$3004,"&gt;=-1")=0,"",_xlfn.MAXIFS($N$5:$N$3004,$C$5:$C$3004,R272,$O$5:$O$3004,"EM ANDAMENTO")))</f>
        <v/>
      </c>
      <c r="AA272" s="2">
        <f>IF(OR(R272="",S272="",U272&lt;&gt;"SIM",V272=0),"",IF(W272+X272=0,"",T272&amp;": "&amp;IF(W272=V272,"concluído",IF(W272=0,"em execução"&amp;IF(Z272&lt;&gt;""," ("&amp;IF(Z272=-1,"subsolo",IF(Z272=0,"térreo",Z272&amp;"º pav."))&amp;")",""),IF(Y272&lt;&gt;"","até "&amp;IF(Y272=-1,"subsolo",IF(Y272=0,"térreo",Y272&amp;"º pav.")),W272&amp;" de "&amp;V272&amp;" concluídas")&amp;IF(Z272="","",IF(OR(Y272="",Z272&gt;Y272),", executando "&amp;IF(Z272=-1,"subsolo",IF(Z272=0,"térreo",Z272&amp;"º pav."))," (restam serviços no "&amp;IF(Z272=-1,"subsolo",IF(Z272=0,"térreo",Z272&amp;"º pav."))&amp;")"))))))</f>
        <v/>
      </c>
    </row>
    <row r="273">
      <c r="M273" s="2">
        <f>IF(C273="","",IFERROR(INDEX($S$5:$S$304,MATCH(C273,$R$5:$R$304,0))&amp;"","?"))</f>
        <v/>
      </c>
      <c r="N273" s="2">
        <f>IF(E273="","",IF(LEFT(E273,7)="SUBSOLO",-1,IF(LEFT(E273,6)="TÉRREO",0,IFERROR(VALUE(LEFT(E273,FIND("º",SUBSTITUTE(E273,"°","º"))-1)),""))))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5" t="n"/>
      <c r="S273" s="5" t="n"/>
      <c r="T273" s="5" t="n"/>
      <c r="U273" s="5" t="n"/>
      <c r="V273" s="2">
        <f>IF(R273="","",COUNTIF($C$5:$C$3004,R273))</f>
        <v/>
      </c>
      <c r="W273" s="2">
        <f>IF(R273="","",COUNTIFS($C$5:$C$3004,R273,$O$5:$O$3004,"CONCLUÍDA"))</f>
        <v/>
      </c>
      <c r="X273" s="2">
        <f>IF(R273="","",COUNTIFS($C$5:$C$3004,R273,$O$5:$O$3004,"EM ANDAMENTO"))</f>
        <v/>
      </c>
      <c r="Y273" s="2">
        <f>IF(R273="","",IF(COUNTIFS($C$5:$C$3004,R273,$O$5:$O$3004,"CONCLUÍDA",$N$5:$N$3004,"&gt;=-1")=0,"",_xlfn.MAXIFS($N$5:$N$3004,$C$5:$C$3004,R273,$O$5:$O$3004,"CONCLUÍDA")))</f>
        <v/>
      </c>
      <c r="Z273" s="2">
        <f>IF(R273="","",IF(COUNTIFS($C$5:$C$3004,R273,$O$5:$O$3004,"EM ANDAMENTO",$N$5:$N$3004,"&gt;=-1")=0,"",_xlfn.MAXIFS($N$5:$N$3004,$C$5:$C$3004,R273,$O$5:$O$3004,"EM ANDAMENTO")))</f>
        <v/>
      </c>
      <c r="AA273" s="2">
        <f>IF(OR(R273="",S273="",U273&lt;&gt;"SIM",V273=0),"",IF(W273+X273=0,"",T273&amp;": "&amp;IF(W273=V273,"concluído",IF(W273=0,"em execução"&amp;IF(Z273&lt;&gt;""," ("&amp;IF(Z273=-1,"subsolo",IF(Z273=0,"térreo",Z273&amp;"º pav."))&amp;")",""),IF(Y273&lt;&gt;"","até "&amp;IF(Y273=-1,"subsolo",IF(Y273=0,"térreo",Y273&amp;"º pav.")),W273&amp;" de "&amp;V273&amp;" concluídas")&amp;IF(Z273="","",IF(OR(Y273="",Z273&gt;Y273),", executando "&amp;IF(Z273=-1,"subsolo",IF(Z273=0,"térreo",Z273&amp;"º pav."))," (restam serviços no "&amp;IF(Z273=-1,"subsolo",IF(Z273=0,"térreo",Z273&amp;"º pav."))&amp;")"))))))</f>
        <v/>
      </c>
    </row>
    <row r="274">
      <c r="M274" s="2">
        <f>IF(C274="","",IFERROR(INDEX($S$5:$S$304,MATCH(C274,$R$5:$R$304,0))&amp;"","?"))</f>
        <v/>
      </c>
      <c r="N274" s="2">
        <f>IF(E274="","",IF(LEFT(E274,7)="SUBSOLO",-1,IF(LEFT(E274,6)="TÉRREO",0,IFERROR(VALUE(LEFT(E274,FIND("º",SUBSTITUTE(E274,"°","º"))-1)),""))))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5" t="n"/>
      <c r="S274" s="5" t="n"/>
      <c r="T274" s="5" t="n"/>
      <c r="U274" s="5" t="n"/>
      <c r="V274" s="2">
        <f>IF(R274="","",COUNTIF($C$5:$C$3004,R274))</f>
        <v/>
      </c>
      <c r="W274" s="2">
        <f>IF(R274="","",COUNTIFS($C$5:$C$3004,R274,$O$5:$O$3004,"CONCLUÍDA"))</f>
        <v/>
      </c>
      <c r="X274" s="2">
        <f>IF(R274="","",COUNTIFS($C$5:$C$3004,R274,$O$5:$O$3004,"EM ANDAMENTO"))</f>
        <v/>
      </c>
      <c r="Y274" s="2">
        <f>IF(R274="","",IF(COUNTIFS($C$5:$C$3004,R274,$O$5:$O$3004,"CONCLUÍDA",$N$5:$N$3004,"&gt;=-1")=0,"",_xlfn.MAXIFS($N$5:$N$3004,$C$5:$C$3004,R274,$O$5:$O$3004,"CONCLUÍDA")))</f>
        <v/>
      </c>
      <c r="Z274" s="2">
        <f>IF(R274="","",IF(COUNTIFS($C$5:$C$3004,R274,$O$5:$O$3004,"EM ANDAMENTO",$N$5:$N$3004,"&gt;=-1")=0,"",_xlfn.MAXIFS($N$5:$N$3004,$C$5:$C$3004,R274,$O$5:$O$3004,"EM ANDAMENTO")))</f>
        <v/>
      </c>
      <c r="AA274" s="2">
        <f>IF(OR(R274="",S274="",U274&lt;&gt;"SIM",V274=0),"",IF(W274+X274=0,"",T274&amp;": "&amp;IF(W274=V274,"concluído",IF(W274=0,"em execução"&amp;IF(Z274&lt;&gt;""," ("&amp;IF(Z274=-1,"subsolo",IF(Z274=0,"térreo",Z274&amp;"º pav."))&amp;")",""),IF(Y274&lt;&gt;"","até "&amp;IF(Y274=-1,"subsolo",IF(Y274=0,"térreo",Y274&amp;"º pav.")),W274&amp;" de "&amp;V274&amp;" concluídas")&amp;IF(Z274="","",IF(OR(Y274="",Z274&gt;Y274),", executando "&amp;IF(Z274=-1,"subsolo",IF(Z274=0,"térreo",Z274&amp;"º pav."))," (restam serviços no "&amp;IF(Z274=-1,"subsolo",IF(Z274=0,"térreo",Z274&amp;"º pav."))&amp;")"))))))</f>
        <v/>
      </c>
    </row>
    <row r="275">
      <c r="M275" s="2">
        <f>IF(C275="","",IFERROR(INDEX($S$5:$S$304,MATCH(C275,$R$5:$R$304,0))&amp;"","?"))</f>
        <v/>
      </c>
      <c r="N275" s="2">
        <f>IF(E275="","",IF(LEFT(E275,7)="SUBSOLO",-1,IF(LEFT(E275,6)="TÉRREO",0,IFERROR(VALUE(LEFT(E275,FIND("º",SUBSTITUTE(E275,"°","º"))-1)),""))))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5" t="n"/>
      <c r="S275" s="5" t="n"/>
      <c r="T275" s="5" t="n"/>
      <c r="U275" s="5" t="n"/>
      <c r="V275" s="2">
        <f>IF(R275="","",COUNTIF($C$5:$C$3004,R275))</f>
        <v/>
      </c>
      <c r="W275" s="2">
        <f>IF(R275="","",COUNTIFS($C$5:$C$3004,R275,$O$5:$O$3004,"CONCLUÍDA"))</f>
        <v/>
      </c>
      <c r="X275" s="2">
        <f>IF(R275="","",COUNTIFS($C$5:$C$3004,R275,$O$5:$O$3004,"EM ANDAMENTO"))</f>
        <v/>
      </c>
      <c r="Y275" s="2">
        <f>IF(R275="","",IF(COUNTIFS($C$5:$C$3004,R275,$O$5:$O$3004,"CONCLUÍDA",$N$5:$N$3004,"&gt;=-1")=0,"",_xlfn.MAXIFS($N$5:$N$3004,$C$5:$C$3004,R275,$O$5:$O$3004,"CONCLUÍDA")))</f>
        <v/>
      </c>
      <c r="Z275" s="2">
        <f>IF(R275="","",IF(COUNTIFS($C$5:$C$3004,R275,$O$5:$O$3004,"EM ANDAMENTO",$N$5:$N$3004,"&gt;=-1")=0,"",_xlfn.MAXIFS($N$5:$N$3004,$C$5:$C$3004,R275,$O$5:$O$3004,"EM ANDAMENTO")))</f>
        <v/>
      </c>
      <c r="AA275" s="2">
        <f>IF(OR(R275="",S275="",U275&lt;&gt;"SIM",V275=0),"",IF(W275+X275=0,"",T275&amp;": "&amp;IF(W275=V275,"concluído",IF(W275=0,"em execução"&amp;IF(Z275&lt;&gt;""," ("&amp;IF(Z275=-1,"subsolo",IF(Z275=0,"térreo",Z275&amp;"º pav."))&amp;")",""),IF(Y275&lt;&gt;"","até "&amp;IF(Y275=-1,"subsolo",IF(Y275=0,"térreo",Y275&amp;"º pav.")),W275&amp;" de "&amp;V275&amp;" concluídas")&amp;IF(Z275="","",IF(OR(Y275="",Z275&gt;Y275),", executando "&amp;IF(Z275=-1,"subsolo",IF(Z275=0,"térreo",Z275&amp;"º pav."))," (restam serviços no "&amp;IF(Z275=-1,"subsolo",IF(Z275=0,"térreo",Z275&amp;"º pav."))&amp;")"))))))</f>
        <v/>
      </c>
    </row>
    <row r="276">
      <c r="M276" s="2">
        <f>IF(C276="","",IFERROR(INDEX($S$5:$S$304,MATCH(C276,$R$5:$R$304,0))&amp;"","?"))</f>
        <v/>
      </c>
      <c r="N276" s="2">
        <f>IF(E276="","",IF(LEFT(E276,7)="SUBSOLO",-1,IF(LEFT(E276,6)="TÉRREO",0,IFERROR(VALUE(LEFT(E276,FIND("º",SUBSTITUTE(E276,"°","º"))-1)),""))))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5" t="n"/>
      <c r="S276" s="5" t="n"/>
      <c r="T276" s="5" t="n"/>
      <c r="U276" s="5" t="n"/>
      <c r="V276" s="2">
        <f>IF(R276="","",COUNTIF($C$5:$C$3004,R276))</f>
        <v/>
      </c>
      <c r="W276" s="2">
        <f>IF(R276="","",COUNTIFS($C$5:$C$3004,R276,$O$5:$O$3004,"CONCLUÍDA"))</f>
        <v/>
      </c>
      <c r="X276" s="2">
        <f>IF(R276="","",COUNTIFS($C$5:$C$3004,R276,$O$5:$O$3004,"EM ANDAMENTO"))</f>
        <v/>
      </c>
      <c r="Y276" s="2">
        <f>IF(R276="","",IF(COUNTIFS($C$5:$C$3004,R276,$O$5:$O$3004,"CONCLUÍDA",$N$5:$N$3004,"&gt;=-1")=0,"",_xlfn.MAXIFS($N$5:$N$3004,$C$5:$C$3004,R276,$O$5:$O$3004,"CONCLUÍDA")))</f>
        <v/>
      </c>
      <c r="Z276" s="2">
        <f>IF(R276="","",IF(COUNTIFS($C$5:$C$3004,R276,$O$5:$O$3004,"EM ANDAMENTO",$N$5:$N$3004,"&gt;=-1")=0,"",_xlfn.MAXIFS($N$5:$N$3004,$C$5:$C$3004,R276,$O$5:$O$3004,"EM ANDAMENTO")))</f>
        <v/>
      </c>
      <c r="AA276" s="2">
        <f>IF(OR(R276="",S276="",U276&lt;&gt;"SIM",V276=0),"",IF(W276+X276=0,"",T276&amp;": "&amp;IF(W276=V276,"concluído",IF(W276=0,"em execução"&amp;IF(Z276&lt;&gt;""," ("&amp;IF(Z276=-1,"subsolo",IF(Z276=0,"térreo",Z276&amp;"º pav."))&amp;")",""),IF(Y276&lt;&gt;"","até "&amp;IF(Y276=-1,"subsolo",IF(Y276=0,"térreo",Y276&amp;"º pav.")),W276&amp;" de "&amp;V276&amp;" concluídas")&amp;IF(Z276="","",IF(OR(Y276="",Z276&gt;Y276),", executando "&amp;IF(Z276=-1,"subsolo",IF(Z276=0,"térreo",Z276&amp;"º pav."))," (restam serviços no "&amp;IF(Z276=-1,"subsolo",IF(Z276=0,"térreo",Z276&amp;"º pav."))&amp;")"))))))</f>
        <v/>
      </c>
    </row>
    <row r="277">
      <c r="M277" s="2">
        <f>IF(C277="","",IFERROR(INDEX($S$5:$S$304,MATCH(C277,$R$5:$R$304,0))&amp;"","?"))</f>
        <v/>
      </c>
      <c r="N277" s="2">
        <f>IF(E277="","",IF(LEFT(E277,7)="SUBSOLO",-1,IF(LEFT(E277,6)="TÉRREO",0,IFERROR(VALUE(LEFT(E277,FIND("º",SUBSTITUTE(E277,"°","º"))-1)),""))))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5" t="n"/>
      <c r="S277" s="5" t="n"/>
      <c r="T277" s="5" t="n"/>
      <c r="U277" s="5" t="n"/>
      <c r="V277" s="2">
        <f>IF(R277="","",COUNTIF($C$5:$C$3004,R277))</f>
        <v/>
      </c>
      <c r="W277" s="2">
        <f>IF(R277="","",COUNTIFS($C$5:$C$3004,R277,$O$5:$O$3004,"CONCLUÍDA"))</f>
        <v/>
      </c>
      <c r="X277" s="2">
        <f>IF(R277="","",COUNTIFS($C$5:$C$3004,R277,$O$5:$O$3004,"EM ANDAMENTO"))</f>
        <v/>
      </c>
      <c r="Y277" s="2">
        <f>IF(R277="","",IF(COUNTIFS($C$5:$C$3004,R277,$O$5:$O$3004,"CONCLUÍDA",$N$5:$N$3004,"&gt;=-1")=0,"",_xlfn.MAXIFS($N$5:$N$3004,$C$5:$C$3004,R277,$O$5:$O$3004,"CONCLUÍDA")))</f>
        <v/>
      </c>
      <c r="Z277" s="2">
        <f>IF(R277="","",IF(COUNTIFS($C$5:$C$3004,R277,$O$5:$O$3004,"EM ANDAMENTO",$N$5:$N$3004,"&gt;=-1")=0,"",_xlfn.MAXIFS($N$5:$N$3004,$C$5:$C$3004,R277,$O$5:$O$3004,"EM ANDAMENTO")))</f>
        <v/>
      </c>
      <c r="AA277" s="2">
        <f>IF(OR(R277="",S277="",U277&lt;&gt;"SIM",V277=0),"",IF(W277+X277=0,"",T277&amp;": "&amp;IF(W277=V277,"concluído",IF(W277=0,"em execução"&amp;IF(Z277&lt;&gt;""," ("&amp;IF(Z277=-1,"subsolo",IF(Z277=0,"térreo",Z277&amp;"º pav."))&amp;")",""),IF(Y277&lt;&gt;"","até "&amp;IF(Y277=-1,"subsolo",IF(Y277=0,"térreo",Y277&amp;"º pav.")),W277&amp;" de "&amp;V277&amp;" concluídas")&amp;IF(Z277="","",IF(OR(Y277="",Z277&gt;Y277),", executando "&amp;IF(Z277=-1,"subsolo",IF(Z277=0,"térreo",Z277&amp;"º pav."))," (restam serviços no "&amp;IF(Z277=-1,"subsolo",IF(Z277=0,"térreo",Z277&amp;"º pav."))&amp;")"))))))</f>
        <v/>
      </c>
    </row>
    <row r="278">
      <c r="M278" s="2">
        <f>IF(C278="","",IFERROR(INDEX($S$5:$S$304,MATCH(C278,$R$5:$R$304,0))&amp;"","?"))</f>
        <v/>
      </c>
      <c r="N278" s="2">
        <f>IF(E278="","",IF(LEFT(E278,7)="SUBSOLO",-1,IF(LEFT(E278,6)="TÉRREO",0,IFERROR(VALUE(LEFT(E278,FIND("º",SUBSTITUTE(E278,"°","º"))-1)),""))))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5" t="n"/>
      <c r="S278" s="5" t="n"/>
      <c r="T278" s="5" t="n"/>
      <c r="U278" s="5" t="n"/>
      <c r="V278" s="2">
        <f>IF(R278="","",COUNTIF($C$5:$C$3004,R278))</f>
        <v/>
      </c>
      <c r="W278" s="2">
        <f>IF(R278="","",COUNTIFS($C$5:$C$3004,R278,$O$5:$O$3004,"CONCLUÍDA"))</f>
        <v/>
      </c>
      <c r="X278" s="2">
        <f>IF(R278="","",COUNTIFS($C$5:$C$3004,R278,$O$5:$O$3004,"EM ANDAMENTO"))</f>
        <v/>
      </c>
      <c r="Y278" s="2">
        <f>IF(R278="","",IF(COUNTIFS($C$5:$C$3004,R278,$O$5:$O$3004,"CONCLUÍDA",$N$5:$N$3004,"&gt;=-1")=0,"",_xlfn.MAXIFS($N$5:$N$3004,$C$5:$C$3004,R278,$O$5:$O$3004,"CONCLUÍDA")))</f>
        <v/>
      </c>
      <c r="Z278" s="2">
        <f>IF(R278="","",IF(COUNTIFS($C$5:$C$3004,R278,$O$5:$O$3004,"EM ANDAMENTO",$N$5:$N$3004,"&gt;=-1")=0,"",_xlfn.MAXIFS($N$5:$N$3004,$C$5:$C$3004,R278,$O$5:$O$3004,"EM ANDAMENTO")))</f>
        <v/>
      </c>
      <c r="AA278" s="2">
        <f>IF(OR(R278="",S278="",U278&lt;&gt;"SIM",V278=0),"",IF(W278+X278=0,"",T278&amp;": "&amp;IF(W278=V278,"concluído",IF(W278=0,"em execução"&amp;IF(Z278&lt;&gt;""," ("&amp;IF(Z278=-1,"subsolo",IF(Z278=0,"térreo",Z278&amp;"º pav."))&amp;")",""),IF(Y278&lt;&gt;"","até "&amp;IF(Y278=-1,"subsolo",IF(Y278=0,"térreo",Y278&amp;"º pav.")),W278&amp;" de "&amp;V278&amp;" concluídas")&amp;IF(Z278="","",IF(OR(Y278="",Z278&gt;Y278),", executando "&amp;IF(Z278=-1,"subsolo",IF(Z278=0,"térreo",Z278&amp;"º pav."))," (restam serviços no "&amp;IF(Z278=-1,"subsolo",IF(Z278=0,"térreo",Z278&amp;"º pav."))&amp;")"))))))</f>
        <v/>
      </c>
    </row>
    <row r="279">
      <c r="M279" s="2">
        <f>IF(C279="","",IFERROR(INDEX($S$5:$S$304,MATCH(C279,$R$5:$R$304,0))&amp;"","?"))</f>
        <v/>
      </c>
      <c r="N279" s="2">
        <f>IF(E279="","",IF(LEFT(E279,7)="SUBSOLO",-1,IF(LEFT(E279,6)="TÉRREO",0,IFERROR(VALUE(LEFT(E279,FIND("º",SUBSTITUTE(E279,"°","º"))-1)),""))))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5" t="n"/>
      <c r="S279" s="5" t="n"/>
      <c r="T279" s="5" t="n"/>
      <c r="U279" s="5" t="n"/>
      <c r="V279" s="2">
        <f>IF(R279="","",COUNTIF($C$5:$C$3004,R279))</f>
        <v/>
      </c>
      <c r="W279" s="2">
        <f>IF(R279="","",COUNTIFS($C$5:$C$3004,R279,$O$5:$O$3004,"CONCLUÍDA"))</f>
        <v/>
      </c>
      <c r="X279" s="2">
        <f>IF(R279="","",COUNTIFS($C$5:$C$3004,R279,$O$5:$O$3004,"EM ANDAMENTO"))</f>
        <v/>
      </c>
      <c r="Y279" s="2">
        <f>IF(R279="","",IF(COUNTIFS($C$5:$C$3004,R279,$O$5:$O$3004,"CONCLUÍDA",$N$5:$N$3004,"&gt;=-1")=0,"",_xlfn.MAXIFS($N$5:$N$3004,$C$5:$C$3004,R279,$O$5:$O$3004,"CONCLUÍDA")))</f>
        <v/>
      </c>
      <c r="Z279" s="2">
        <f>IF(R279="","",IF(COUNTIFS($C$5:$C$3004,R279,$O$5:$O$3004,"EM ANDAMENTO",$N$5:$N$3004,"&gt;=-1")=0,"",_xlfn.MAXIFS($N$5:$N$3004,$C$5:$C$3004,R279,$O$5:$O$3004,"EM ANDAMENTO")))</f>
        <v/>
      </c>
      <c r="AA279" s="2">
        <f>IF(OR(R279="",S279="",U279&lt;&gt;"SIM",V279=0),"",IF(W279+X279=0,"",T279&amp;": "&amp;IF(W279=V279,"concluído",IF(W279=0,"em execução"&amp;IF(Z279&lt;&gt;""," ("&amp;IF(Z279=-1,"subsolo",IF(Z279=0,"térreo",Z279&amp;"º pav."))&amp;")",""),IF(Y279&lt;&gt;"","até "&amp;IF(Y279=-1,"subsolo",IF(Y279=0,"térreo",Y279&amp;"º pav.")),W279&amp;" de "&amp;V279&amp;" concluídas")&amp;IF(Z279="","",IF(OR(Y279="",Z279&gt;Y279),", executando "&amp;IF(Z279=-1,"subsolo",IF(Z279=0,"térreo",Z279&amp;"º pav."))," (restam serviços no "&amp;IF(Z279=-1,"subsolo",IF(Z279=0,"térreo",Z279&amp;"º pav."))&amp;")"))))))</f>
        <v/>
      </c>
    </row>
    <row r="280">
      <c r="M280" s="2">
        <f>IF(C280="","",IFERROR(INDEX($S$5:$S$304,MATCH(C280,$R$5:$R$304,0))&amp;"","?"))</f>
        <v/>
      </c>
      <c r="N280" s="2">
        <f>IF(E280="","",IF(LEFT(E280,7)="SUBSOLO",-1,IF(LEFT(E280,6)="TÉRREO",0,IFERROR(VALUE(LEFT(E280,FIND("º",SUBSTITUTE(E280,"°","º"))-1)),""))))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5" t="n"/>
      <c r="S280" s="5" t="n"/>
      <c r="T280" s="5" t="n"/>
      <c r="U280" s="5" t="n"/>
      <c r="V280" s="2">
        <f>IF(R280="","",COUNTIF($C$5:$C$3004,R280))</f>
        <v/>
      </c>
      <c r="W280" s="2">
        <f>IF(R280="","",COUNTIFS($C$5:$C$3004,R280,$O$5:$O$3004,"CONCLUÍDA"))</f>
        <v/>
      </c>
      <c r="X280" s="2">
        <f>IF(R280="","",COUNTIFS($C$5:$C$3004,R280,$O$5:$O$3004,"EM ANDAMENTO"))</f>
        <v/>
      </c>
      <c r="Y280" s="2">
        <f>IF(R280="","",IF(COUNTIFS($C$5:$C$3004,R280,$O$5:$O$3004,"CONCLUÍDA",$N$5:$N$3004,"&gt;=-1")=0,"",_xlfn.MAXIFS($N$5:$N$3004,$C$5:$C$3004,R280,$O$5:$O$3004,"CONCLUÍDA")))</f>
        <v/>
      </c>
      <c r="Z280" s="2">
        <f>IF(R280="","",IF(COUNTIFS($C$5:$C$3004,R280,$O$5:$O$3004,"EM ANDAMENTO",$N$5:$N$3004,"&gt;=-1")=0,"",_xlfn.MAXIFS($N$5:$N$3004,$C$5:$C$3004,R280,$O$5:$O$3004,"EM ANDAMENTO")))</f>
        <v/>
      </c>
      <c r="AA280" s="2">
        <f>IF(OR(R280="",S280="",U280&lt;&gt;"SIM",V280=0),"",IF(W280+X280=0,"",T280&amp;": "&amp;IF(W280=V280,"concluído",IF(W280=0,"em execução"&amp;IF(Z280&lt;&gt;""," ("&amp;IF(Z280=-1,"subsolo",IF(Z280=0,"térreo",Z280&amp;"º pav."))&amp;")",""),IF(Y280&lt;&gt;"","até "&amp;IF(Y280=-1,"subsolo",IF(Y280=0,"térreo",Y280&amp;"º pav.")),W280&amp;" de "&amp;V280&amp;" concluídas")&amp;IF(Z280="","",IF(OR(Y280="",Z280&gt;Y280),", executando "&amp;IF(Z280=-1,"subsolo",IF(Z280=0,"térreo",Z280&amp;"º pav."))," (restam serviços no "&amp;IF(Z280=-1,"subsolo",IF(Z280=0,"térreo",Z280&amp;"º pav."))&amp;")"))))))</f>
        <v/>
      </c>
    </row>
    <row r="281">
      <c r="M281" s="2">
        <f>IF(C281="","",IFERROR(INDEX($S$5:$S$304,MATCH(C281,$R$5:$R$304,0))&amp;"","?"))</f>
        <v/>
      </c>
      <c r="N281" s="2">
        <f>IF(E281="","",IF(LEFT(E281,7)="SUBSOLO",-1,IF(LEFT(E281,6)="TÉRREO",0,IFERROR(VALUE(LEFT(E281,FIND("º",SUBSTITUTE(E281,"°","º"))-1)),""))))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5" t="n"/>
      <c r="S281" s="5" t="n"/>
      <c r="T281" s="5" t="n"/>
      <c r="U281" s="5" t="n"/>
      <c r="V281" s="2">
        <f>IF(R281="","",COUNTIF($C$5:$C$3004,R281))</f>
        <v/>
      </c>
      <c r="W281" s="2">
        <f>IF(R281="","",COUNTIFS($C$5:$C$3004,R281,$O$5:$O$3004,"CONCLUÍDA"))</f>
        <v/>
      </c>
      <c r="X281" s="2">
        <f>IF(R281="","",COUNTIFS($C$5:$C$3004,R281,$O$5:$O$3004,"EM ANDAMENTO"))</f>
        <v/>
      </c>
      <c r="Y281" s="2">
        <f>IF(R281="","",IF(COUNTIFS($C$5:$C$3004,R281,$O$5:$O$3004,"CONCLUÍDA",$N$5:$N$3004,"&gt;=-1")=0,"",_xlfn.MAXIFS($N$5:$N$3004,$C$5:$C$3004,R281,$O$5:$O$3004,"CONCLUÍDA")))</f>
        <v/>
      </c>
      <c r="Z281" s="2">
        <f>IF(R281="","",IF(COUNTIFS($C$5:$C$3004,R281,$O$5:$O$3004,"EM ANDAMENTO",$N$5:$N$3004,"&gt;=-1")=0,"",_xlfn.MAXIFS($N$5:$N$3004,$C$5:$C$3004,R281,$O$5:$O$3004,"EM ANDAMENTO")))</f>
        <v/>
      </c>
      <c r="AA281" s="2">
        <f>IF(OR(R281="",S281="",U281&lt;&gt;"SIM",V281=0),"",IF(W281+X281=0,"",T281&amp;": "&amp;IF(W281=V281,"concluído",IF(W281=0,"em execução"&amp;IF(Z281&lt;&gt;""," ("&amp;IF(Z281=-1,"subsolo",IF(Z281=0,"térreo",Z281&amp;"º pav."))&amp;")",""),IF(Y281&lt;&gt;"","até "&amp;IF(Y281=-1,"subsolo",IF(Y281=0,"térreo",Y281&amp;"º pav.")),W281&amp;" de "&amp;V281&amp;" concluídas")&amp;IF(Z281="","",IF(OR(Y281="",Z281&gt;Y281),", executando "&amp;IF(Z281=-1,"subsolo",IF(Z281=0,"térreo",Z281&amp;"º pav."))," (restam serviços no "&amp;IF(Z281=-1,"subsolo",IF(Z281=0,"térreo",Z281&amp;"º pav."))&amp;")"))))))</f>
        <v/>
      </c>
    </row>
    <row r="282">
      <c r="M282" s="2">
        <f>IF(C282="","",IFERROR(INDEX($S$5:$S$304,MATCH(C282,$R$5:$R$304,0))&amp;"","?"))</f>
        <v/>
      </c>
      <c r="N282" s="2">
        <f>IF(E282="","",IF(LEFT(E282,7)="SUBSOLO",-1,IF(LEFT(E282,6)="TÉRREO",0,IFERROR(VALUE(LEFT(E282,FIND("º",SUBSTITUTE(E282,"°","º"))-1)),""))))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5" t="n"/>
      <c r="S282" s="5" t="n"/>
      <c r="T282" s="5" t="n"/>
      <c r="U282" s="5" t="n"/>
      <c r="V282" s="2">
        <f>IF(R282="","",COUNTIF($C$5:$C$3004,R282))</f>
        <v/>
      </c>
      <c r="W282" s="2">
        <f>IF(R282="","",COUNTIFS($C$5:$C$3004,R282,$O$5:$O$3004,"CONCLUÍDA"))</f>
        <v/>
      </c>
      <c r="X282" s="2">
        <f>IF(R282="","",COUNTIFS($C$5:$C$3004,R282,$O$5:$O$3004,"EM ANDAMENTO"))</f>
        <v/>
      </c>
      <c r="Y282" s="2">
        <f>IF(R282="","",IF(COUNTIFS($C$5:$C$3004,R282,$O$5:$O$3004,"CONCLUÍDA",$N$5:$N$3004,"&gt;=-1")=0,"",_xlfn.MAXIFS($N$5:$N$3004,$C$5:$C$3004,R282,$O$5:$O$3004,"CONCLUÍDA")))</f>
        <v/>
      </c>
      <c r="Z282" s="2">
        <f>IF(R282="","",IF(COUNTIFS($C$5:$C$3004,R282,$O$5:$O$3004,"EM ANDAMENTO",$N$5:$N$3004,"&gt;=-1")=0,"",_xlfn.MAXIFS($N$5:$N$3004,$C$5:$C$3004,R282,$O$5:$O$3004,"EM ANDAMENTO")))</f>
        <v/>
      </c>
      <c r="AA282" s="2">
        <f>IF(OR(R282="",S282="",U282&lt;&gt;"SIM",V282=0),"",IF(W282+X282=0,"",T282&amp;": "&amp;IF(W282=V282,"concluído",IF(W282=0,"em execução"&amp;IF(Z282&lt;&gt;""," ("&amp;IF(Z282=-1,"subsolo",IF(Z282=0,"térreo",Z282&amp;"º pav."))&amp;")",""),IF(Y282&lt;&gt;"","até "&amp;IF(Y282=-1,"subsolo",IF(Y282=0,"térreo",Y282&amp;"º pav.")),W282&amp;" de "&amp;V282&amp;" concluídas")&amp;IF(Z282="","",IF(OR(Y282="",Z282&gt;Y282),", executando "&amp;IF(Z282=-1,"subsolo",IF(Z282=0,"térreo",Z282&amp;"º pav."))," (restam serviços no "&amp;IF(Z282=-1,"subsolo",IF(Z282=0,"térreo",Z282&amp;"º pav."))&amp;")"))))))</f>
        <v/>
      </c>
    </row>
    <row r="283">
      <c r="M283" s="2">
        <f>IF(C283="","",IFERROR(INDEX($S$5:$S$304,MATCH(C283,$R$5:$R$304,0))&amp;"","?"))</f>
        <v/>
      </c>
      <c r="N283" s="2">
        <f>IF(E283="","",IF(LEFT(E283,7)="SUBSOLO",-1,IF(LEFT(E283,6)="TÉRREO",0,IFERROR(VALUE(LEFT(E283,FIND("º",SUBSTITUTE(E283,"°","º"))-1)),""))))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5" t="n"/>
      <c r="S283" s="5" t="n"/>
      <c r="T283" s="5" t="n"/>
      <c r="U283" s="5" t="n"/>
      <c r="V283" s="2">
        <f>IF(R283="","",COUNTIF($C$5:$C$3004,R283))</f>
        <v/>
      </c>
      <c r="W283" s="2">
        <f>IF(R283="","",COUNTIFS($C$5:$C$3004,R283,$O$5:$O$3004,"CONCLUÍDA"))</f>
        <v/>
      </c>
      <c r="X283" s="2">
        <f>IF(R283="","",COUNTIFS($C$5:$C$3004,R283,$O$5:$O$3004,"EM ANDAMENTO"))</f>
        <v/>
      </c>
      <c r="Y283" s="2">
        <f>IF(R283="","",IF(COUNTIFS($C$5:$C$3004,R283,$O$5:$O$3004,"CONCLUÍDA",$N$5:$N$3004,"&gt;=-1")=0,"",_xlfn.MAXIFS($N$5:$N$3004,$C$5:$C$3004,R283,$O$5:$O$3004,"CONCLUÍDA")))</f>
        <v/>
      </c>
      <c r="Z283" s="2">
        <f>IF(R283="","",IF(COUNTIFS($C$5:$C$3004,R283,$O$5:$O$3004,"EM ANDAMENTO",$N$5:$N$3004,"&gt;=-1")=0,"",_xlfn.MAXIFS($N$5:$N$3004,$C$5:$C$3004,R283,$O$5:$O$3004,"EM ANDAMENTO")))</f>
        <v/>
      </c>
      <c r="AA283" s="2">
        <f>IF(OR(R283="",S283="",U283&lt;&gt;"SIM",V283=0),"",IF(W283+X283=0,"",T283&amp;": "&amp;IF(W283=V283,"concluído",IF(W283=0,"em execução"&amp;IF(Z283&lt;&gt;""," ("&amp;IF(Z283=-1,"subsolo",IF(Z283=0,"térreo",Z283&amp;"º pav."))&amp;")",""),IF(Y283&lt;&gt;"","até "&amp;IF(Y283=-1,"subsolo",IF(Y283=0,"térreo",Y283&amp;"º pav.")),W283&amp;" de "&amp;V283&amp;" concluídas")&amp;IF(Z283="","",IF(OR(Y283="",Z283&gt;Y283),", executando "&amp;IF(Z283=-1,"subsolo",IF(Z283=0,"térreo",Z283&amp;"º pav."))," (restam serviços no "&amp;IF(Z283=-1,"subsolo",IF(Z283=0,"térreo",Z283&amp;"º pav."))&amp;")"))))))</f>
        <v/>
      </c>
    </row>
    <row r="284">
      <c r="M284" s="2">
        <f>IF(C284="","",IFERROR(INDEX($S$5:$S$304,MATCH(C284,$R$5:$R$304,0))&amp;"","?"))</f>
        <v/>
      </c>
      <c r="N284" s="2">
        <f>IF(E284="","",IF(LEFT(E284,7)="SUBSOLO",-1,IF(LEFT(E284,6)="TÉRREO",0,IFERROR(VALUE(LEFT(E284,FIND("º",SUBSTITUTE(E284,"°","º"))-1)),""))))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5" t="n"/>
      <c r="S284" s="5" t="n"/>
      <c r="T284" s="5" t="n"/>
      <c r="U284" s="5" t="n"/>
      <c r="V284" s="2">
        <f>IF(R284="","",COUNTIF($C$5:$C$3004,R284))</f>
        <v/>
      </c>
      <c r="W284" s="2">
        <f>IF(R284="","",COUNTIFS($C$5:$C$3004,R284,$O$5:$O$3004,"CONCLUÍDA"))</f>
        <v/>
      </c>
      <c r="X284" s="2">
        <f>IF(R284="","",COUNTIFS($C$5:$C$3004,R284,$O$5:$O$3004,"EM ANDAMENTO"))</f>
        <v/>
      </c>
      <c r="Y284" s="2">
        <f>IF(R284="","",IF(COUNTIFS($C$5:$C$3004,R284,$O$5:$O$3004,"CONCLUÍDA",$N$5:$N$3004,"&gt;=-1")=0,"",_xlfn.MAXIFS($N$5:$N$3004,$C$5:$C$3004,R284,$O$5:$O$3004,"CONCLUÍDA")))</f>
        <v/>
      </c>
      <c r="Z284" s="2">
        <f>IF(R284="","",IF(COUNTIFS($C$5:$C$3004,R284,$O$5:$O$3004,"EM ANDAMENTO",$N$5:$N$3004,"&gt;=-1")=0,"",_xlfn.MAXIFS($N$5:$N$3004,$C$5:$C$3004,R284,$O$5:$O$3004,"EM ANDAMENTO")))</f>
        <v/>
      </c>
      <c r="AA284" s="2">
        <f>IF(OR(R284="",S284="",U284&lt;&gt;"SIM",V284=0),"",IF(W284+X284=0,"",T284&amp;": "&amp;IF(W284=V284,"concluído",IF(W284=0,"em execução"&amp;IF(Z284&lt;&gt;""," ("&amp;IF(Z284=-1,"subsolo",IF(Z284=0,"térreo",Z284&amp;"º pav."))&amp;")",""),IF(Y284&lt;&gt;"","até "&amp;IF(Y284=-1,"subsolo",IF(Y284=0,"térreo",Y284&amp;"º pav.")),W284&amp;" de "&amp;V284&amp;" concluídas")&amp;IF(Z284="","",IF(OR(Y284="",Z284&gt;Y284),", executando "&amp;IF(Z284=-1,"subsolo",IF(Z284=0,"térreo",Z284&amp;"º pav."))," (restam serviços no "&amp;IF(Z284=-1,"subsolo",IF(Z284=0,"térreo",Z284&amp;"º pav."))&amp;")"))))))</f>
        <v/>
      </c>
    </row>
    <row r="285">
      <c r="M285" s="2">
        <f>IF(C285="","",IFERROR(INDEX($S$5:$S$304,MATCH(C285,$R$5:$R$304,0))&amp;"","?"))</f>
        <v/>
      </c>
      <c r="N285" s="2">
        <f>IF(E285="","",IF(LEFT(E285,7)="SUBSOLO",-1,IF(LEFT(E285,6)="TÉRREO",0,IFERROR(VALUE(LEFT(E285,FIND("º",SUBSTITUTE(E285,"°","º"))-1)),""))))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5" t="n"/>
      <c r="S285" s="5" t="n"/>
      <c r="T285" s="5" t="n"/>
      <c r="U285" s="5" t="n"/>
      <c r="V285" s="2">
        <f>IF(R285="","",COUNTIF($C$5:$C$3004,R285))</f>
        <v/>
      </c>
      <c r="W285" s="2">
        <f>IF(R285="","",COUNTIFS($C$5:$C$3004,R285,$O$5:$O$3004,"CONCLUÍDA"))</f>
        <v/>
      </c>
      <c r="X285" s="2">
        <f>IF(R285="","",COUNTIFS($C$5:$C$3004,R285,$O$5:$O$3004,"EM ANDAMENTO"))</f>
        <v/>
      </c>
      <c r="Y285" s="2">
        <f>IF(R285="","",IF(COUNTIFS($C$5:$C$3004,R285,$O$5:$O$3004,"CONCLUÍDA",$N$5:$N$3004,"&gt;=-1")=0,"",_xlfn.MAXIFS($N$5:$N$3004,$C$5:$C$3004,R285,$O$5:$O$3004,"CONCLUÍDA")))</f>
        <v/>
      </c>
      <c r="Z285" s="2">
        <f>IF(R285="","",IF(COUNTIFS($C$5:$C$3004,R285,$O$5:$O$3004,"EM ANDAMENTO",$N$5:$N$3004,"&gt;=-1")=0,"",_xlfn.MAXIFS($N$5:$N$3004,$C$5:$C$3004,R285,$O$5:$O$3004,"EM ANDAMENTO")))</f>
        <v/>
      </c>
      <c r="AA285" s="2">
        <f>IF(OR(R285="",S285="",U285&lt;&gt;"SIM",V285=0),"",IF(W285+X285=0,"",T285&amp;": "&amp;IF(W285=V285,"concluído",IF(W285=0,"em execução"&amp;IF(Z285&lt;&gt;""," ("&amp;IF(Z285=-1,"subsolo",IF(Z285=0,"térreo",Z285&amp;"º pav."))&amp;")",""),IF(Y285&lt;&gt;"","até "&amp;IF(Y285=-1,"subsolo",IF(Y285=0,"térreo",Y285&amp;"º pav.")),W285&amp;" de "&amp;V285&amp;" concluídas")&amp;IF(Z285="","",IF(OR(Y285="",Z285&gt;Y285),", executando "&amp;IF(Z285=-1,"subsolo",IF(Z285=0,"térreo",Z285&amp;"º pav."))," (restam serviços no "&amp;IF(Z285=-1,"subsolo",IF(Z285=0,"térreo",Z285&amp;"º pav."))&amp;")"))))))</f>
        <v/>
      </c>
    </row>
    <row r="286">
      <c r="M286" s="2">
        <f>IF(C286="","",IFERROR(INDEX($S$5:$S$304,MATCH(C286,$R$5:$R$304,0))&amp;"","?"))</f>
        <v/>
      </c>
      <c r="N286" s="2">
        <f>IF(E286="","",IF(LEFT(E286,7)="SUBSOLO",-1,IF(LEFT(E286,6)="TÉRREO",0,IFERROR(VALUE(LEFT(E286,FIND("º",SUBSTITUTE(E286,"°","º"))-1)),""))))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5" t="n"/>
      <c r="S286" s="5" t="n"/>
      <c r="T286" s="5" t="n"/>
      <c r="U286" s="5" t="n"/>
      <c r="V286" s="2">
        <f>IF(R286="","",COUNTIF($C$5:$C$3004,R286))</f>
        <v/>
      </c>
      <c r="W286" s="2">
        <f>IF(R286="","",COUNTIFS($C$5:$C$3004,R286,$O$5:$O$3004,"CONCLUÍDA"))</f>
        <v/>
      </c>
      <c r="X286" s="2">
        <f>IF(R286="","",COUNTIFS($C$5:$C$3004,R286,$O$5:$O$3004,"EM ANDAMENTO"))</f>
        <v/>
      </c>
      <c r="Y286" s="2">
        <f>IF(R286="","",IF(COUNTIFS($C$5:$C$3004,R286,$O$5:$O$3004,"CONCLUÍDA",$N$5:$N$3004,"&gt;=-1")=0,"",_xlfn.MAXIFS($N$5:$N$3004,$C$5:$C$3004,R286,$O$5:$O$3004,"CONCLUÍDA")))</f>
        <v/>
      </c>
      <c r="Z286" s="2">
        <f>IF(R286="","",IF(COUNTIFS($C$5:$C$3004,R286,$O$5:$O$3004,"EM ANDAMENTO",$N$5:$N$3004,"&gt;=-1")=0,"",_xlfn.MAXIFS($N$5:$N$3004,$C$5:$C$3004,R286,$O$5:$O$3004,"EM ANDAMENTO")))</f>
        <v/>
      </c>
      <c r="AA286" s="2">
        <f>IF(OR(R286="",S286="",U286&lt;&gt;"SIM",V286=0),"",IF(W286+X286=0,"",T286&amp;": "&amp;IF(W286=V286,"concluído",IF(W286=0,"em execução"&amp;IF(Z286&lt;&gt;""," ("&amp;IF(Z286=-1,"subsolo",IF(Z286=0,"térreo",Z286&amp;"º pav."))&amp;")",""),IF(Y286&lt;&gt;"","até "&amp;IF(Y286=-1,"subsolo",IF(Y286=0,"térreo",Y286&amp;"º pav.")),W286&amp;" de "&amp;V286&amp;" concluídas")&amp;IF(Z286="","",IF(OR(Y286="",Z286&gt;Y286),", executando "&amp;IF(Z286=-1,"subsolo",IF(Z286=0,"térreo",Z286&amp;"º pav."))," (restam serviços no "&amp;IF(Z286=-1,"subsolo",IF(Z286=0,"térreo",Z286&amp;"º pav."))&amp;")"))))))</f>
        <v/>
      </c>
    </row>
    <row r="287">
      <c r="M287" s="2">
        <f>IF(C287="","",IFERROR(INDEX($S$5:$S$304,MATCH(C287,$R$5:$R$304,0))&amp;"","?"))</f>
        <v/>
      </c>
      <c r="N287" s="2">
        <f>IF(E287="","",IF(LEFT(E287,7)="SUBSOLO",-1,IF(LEFT(E287,6)="TÉRREO",0,IFERROR(VALUE(LEFT(E287,FIND("º",SUBSTITUTE(E287,"°","º"))-1)),""))))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5" t="n"/>
      <c r="S287" s="5" t="n"/>
      <c r="T287" s="5" t="n"/>
      <c r="U287" s="5" t="n"/>
      <c r="V287" s="2">
        <f>IF(R287="","",COUNTIF($C$5:$C$3004,R287))</f>
        <v/>
      </c>
      <c r="W287" s="2">
        <f>IF(R287="","",COUNTIFS($C$5:$C$3004,R287,$O$5:$O$3004,"CONCLUÍDA"))</f>
        <v/>
      </c>
      <c r="X287" s="2">
        <f>IF(R287="","",COUNTIFS($C$5:$C$3004,R287,$O$5:$O$3004,"EM ANDAMENTO"))</f>
        <v/>
      </c>
      <c r="Y287" s="2">
        <f>IF(R287="","",IF(COUNTIFS($C$5:$C$3004,R287,$O$5:$O$3004,"CONCLUÍDA",$N$5:$N$3004,"&gt;=-1")=0,"",_xlfn.MAXIFS($N$5:$N$3004,$C$5:$C$3004,R287,$O$5:$O$3004,"CONCLUÍDA")))</f>
        <v/>
      </c>
      <c r="Z287" s="2">
        <f>IF(R287="","",IF(COUNTIFS($C$5:$C$3004,R287,$O$5:$O$3004,"EM ANDAMENTO",$N$5:$N$3004,"&gt;=-1")=0,"",_xlfn.MAXIFS($N$5:$N$3004,$C$5:$C$3004,R287,$O$5:$O$3004,"EM ANDAMENTO")))</f>
        <v/>
      </c>
      <c r="AA287" s="2">
        <f>IF(OR(R287="",S287="",U287&lt;&gt;"SIM",V287=0),"",IF(W287+X287=0,"",T287&amp;": "&amp;IF(W287=V287,"concluído",IF(W287=0,"em execução"&amp;IF(Z287&lt;&gt;""," ("&amp;IF(Z287=-1,"subsolo",IF(Z287=0,"térreo",Z287&amp;"º pav."))&amp;")",""),IF(Y287&lt;&gt;"","até "&amp;IF(Y287=-1,"subsolo",IF(Y287=0,"térreo",Y287&amp;"º pav.")),W287&amp;" de "&amp;V287&amp;" concluídas")&amp;IF(Z287="","",IF(OR(Y287="",Z287&gt;Y287),", executando "&amp;IF(Z287=-1,"subsolo",IF(Z287=0,"térreo",Z287&amp;"º pav."))," (restam serviços no "&amp;IF(Z287=-1,"subsolo",IF(Z287=0,"térreo",Z287&amp;"º pav."))&amp;")"))))))</f>
        <v/>
      </c>
    </row>
    <row r="288">
      <c r="M288" s="2">
        <f>IF(C288="","",IFERROR(INDEX($S$5:$S$304,MATCH(C288,$R$5:$R$304,0))&amp;"","?"))</f>
        <v/>
      </c>
      <c r="N288" s="2">
        <f>IF(E288="","",IF(LEFT(E288,7)="SUBSOLO",-1,IF(LEFT(E288,6)="TÉRREO",0,IFERROR(VALUE(LEFT(E288,FIND("º",SUBSTITUTE(E288,"°","º"))-1)),""))))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5" t="n"/>
      <c r="S288" s="5" t="n"/>
      <c r="T288" s="5" t="n"/>
      <c r="U288" s="5" t="n"/>
      <c r="V288" s="2">
        <f>IF(R288="","",COUNTIF($C$5:$C$3004,R288))</f>
        <v/>
      </c>
      <c r="W288" s="2">
        <f>IF(R288="","",COUNTIFS($C$5:$C$3004,R288,$O$5:$O$3004,"CONCLUÍDA"))</f>
        <v/>
      </c>
      <c r="X288" s="2">
        <f>IF(R288="","",COUNTIFS($C$5:$C$3004,R288,$O$5:$O$3004,"EM ANDAMENTO"))</f>
        <v/>
      </c>
      <c r="Y288" s="2">
        <f>IF(R288="","",IF(COUNTIFS($C$5:$C$3004,R288,$O$5:$O$3004,"CONCLUÍDA",$N$5:$N$3004,"&gt;=-1")=0,"",_xlfn.MAXIFS($N$5:$N$3004,$C$5:$C$3004,R288,$O$5:$O$3004,"CONCLUÍDA")))</f>
        <v/>
      </c>
      <c r="Z288" s="2">
        <f>IF(R288="","",IF(COUNTIFS($C$5:$C$3004,R288,$O$5:$O$3004,"EM ANDAMENTO",$N$5:$N$3004,"&gt;=-1")=0,"",_xlfn.MAXIFS($N$5:$N$3004,$C$5:$C$3004,R288,$O$5:$O$3004,"EM ANDAMENTO")))</f>
        <v/>
      </c>
      <c r="AA288" s="2">
        <f>IF(OR(R288="",S288="",U288&lt;&gt;"SIM",V288=0),"",IF(W288+X288=0,"",T288&amp;": "&amp;IF(W288=V288,"concluído",IF(W288=0,"em execução"&amp;IF(Z288&lt;&gt;""," ("&amp;IF(Z288=-1,"subsolo",IF(Z288=0,"térreo",Z288&amp;"º pav."))&amp;")",""),IF(Y288&lt;&gt;"","até "&amp;IF(Y288=-1,"subsolo",IF(Y288=0,"térreo",Y288&amp;"º pav.")),W288&amp;" de "&amp;V288&amp;" concluídas")&amp;IF(Z288="","",IF(OR(Y288="",Z288&gt;Y288),", executando "&amp;IF(Z288=-1,"subsolo",IF(Z288=0,"térreo",Z288&amp;"º pav."))," (restam serviços no "&amp;IF(Z288=-1,"subsolo",IF(Z288=0,"térreo",Z288&amp;"º pav."))&amp;")"))))))</f>
        <v/>
      </c>
    </row>
    <row r="289">
      <c r="M289" s="2">
        <f>IF(C289="","",IFERROR(INDEX($S$5:$S$304,MATCH(C289,$R$5:$R$304,0))&amp;"","?"))</f>
        <v/>
      </c>
      <c r="N289" s="2">
        <f>IF(E289="","",IF(LEFT(E289,7)="SUBSOLO",-1,IF(LEFT(E289,6)="TÉRREO",0,IFERROR(VALUE(LEFT(E289,FIND("º",SUBSTITUTE(E289,"°","º"))-1)),""))))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5" t="n"/>
      <c r="S289" s="5" t="n"/>
      <c r="T289" s="5" t="n"/>
      <c r="U289" s="5" t="n"/>
      <c r="V289" s="2">
        <f>IF(R289="","",COUNTIF($C$5:$C$3004,R289))</f>
        <v/>
      </c>
      <c r="W289" s="2">
        <f>IF(R289="","",COUNTIFS($C$5:$C$3004,R289,$O$5:$O$3004,"CONCLUÍDA"))</f>
        <v/>
      </c>
      <c r="X289" s="2">
        <f>IF(R289="","",COUNTIFS($C$5:$C$3004,R289,$O$5:$O$3004,"EM ANDAMENTO"))</f>
        <v/>
      </c>
      <c r="Y289" s="2">
        <f>IF(R289="","",IF(COUNTIFS($C$5:$C$3004,R289,$O$5:$O$3004,"CONCLUÍDA",$N$5:$N$3004,"&gt;=-1")=0,"",_xlfn.MAXIFS($N$5:$N$3004,$C$5:$C$3004,R289,$O$5:$O$3004,"CONCLUÍDA")))</f>
        <v/>
      </c>
      <c r="Z289" s="2">
        <f>IF(R289="","",IF(COUNTIFS($C$5:$C$3004,R289,$O$5:$O$3004,"EM ANDAMENTO",$N$5:$N$3004,"&gt;=-1")=0,"",_xlfn.MAXIFS($N$5:$N$3004,$C$5:$C$3004,R289,$O$5:$O$3004,"EM ANDAMENTO")))</f>
        <v/>
      </c>
      <c r="AA289" s="2">
        <f>IF(OR(R289="",S289="",U289&lt;&gt;"SIM",V289=0),"",IF(W289+X289=0,"",T289&amp;": "&amp;IF(W289=V289,"concluído",IF(W289=0,"em execução"&amp;IF(Z289&lt;&gt;""," ("&amp;IF(Z289=-1,"subsolo",IF(Z289=0,"térreo",Z289&amp;"º pav."))&amp;")",""),IF(Y289&lt;&gt;"","até "&amp;IF(Y289=-1,"subsolo",IF(Y289=0,"térreo",Y289&amp;"º pav.")),W289&amp;" de "&amp;V289&amp;" concluídas")&amp;IF(Z289="","",IF(OR(Y289="",Z289&gt;Y289),", executando "&amp;IF(Z289=-1,"subsolo",IF(Z289=0,"térreo",Z289&amp;"º pav."))," (restam serviços no "&amp;IF(Z289=-1,"subsolo",IF(Z289=0,"térreo",Z289&amp;"º pav."))&amp;")"))))))</f>
        <v/>
      </c>
    </row>
    <row r="290">
      <c r="M290" s="2">
        <f>IF(C290="","",IFERROR(INDEX($S$5:$S$304,MATCH(C290,$R$5:$R$304,0))&amp;"","?"))</f>
        <v/>
      </c>
      <c r="N290" s="2">
        <f>IF(E290="","",IF(LEFT(E290,7)="SUBSOLO",-1,IF(LEFT(E290,6)="TÉRREO",0,IFERROR(VALUE(LEFT(E290,FIND("º",SUBSTITUTE(E290,"°","º"))-1)),""))))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5" t="n"/>
      <c r="S290" s="5" t="n"/>
      <c r="T290" s="5" t="n"/>
      <c r="U290" s="5" t="n"/>
      <c r="V290" s="2">
        <f>IF(R290="","",COUNTIF($C$5:$C$3004,R290))</f>
        <v/>
      </c>
      <c r="W290" s="2">
        <f>IF(R290="","",COUNTIFS($C$5:$C$3004,R290,$O$5:$O$3004,"CONCLUÍDA"))</f>
        <v/>
      </c>
      <c r="X290" s="2">
        <f>IF(R290="","",COUNTIFS($C$5:$C$3004,R290,$O$5:$O$3004,"EM ANDAMENTO"))</f>
        <v/>
      </c>
      <c r="Y290" s="2">
        <f>IF(R290="","",IF(COUNTIFS($C$5:$C$3004,R290,$O$5:$O$3004,"CONCLUÍDA",$N$5:$N$3004,"&gt;=-1")=0,"",_xlfn.MAXIFS($N$5:$N$3004,$C$5:$C$3004,R290,$O$5:$O$3004,"CONCLUÍDA")))</f>
        <v/>
      </c>
      <c r="Z290" s="2">
        <f>IF(R290="","",IF(COUNTIFS($C$5:$C$3004,R290,$O$5:$O$3004,"EM ANDAMENTO",$N$5:$N$3004,"&gt;=-1")=0,"",_xlfn.MAXIFS($N$5:$N$3004,$C$5:$C$3004,R290,$O$5:$O$3004,"EM ANDAMENTO")))</f>
        <v/>
      </c>
      <c r="AA290" s="2">
        <f>IF(OR(R290="",S290="",U290&lt;&gt;"SIM",V290=0),"",IF(W290+X290=0,"",T290&amp;": "&amp;IF(W290=V290,"concluído",IF(W290=0,"em execução"&amp;IF(Z290&lt;&gt;""," ("&amp;IF(Z290=-1,"subsolo",IF(Z290=0,"térreo",Z290&amp;"º pav."))&amp;")",""),IF(Y290&lt;&gt;"","até "&amp;IF(Y290=-1,"subsolo",IF(Y290=0,"térreo",Y290&amp;"º pav.")),W290&amp;" de "&amp;V290&amp;" concluídas")&amp;IF(Z290="","",IF(OR(Y290="",Z290&gt;Y290),", executando "&amp;IF(Z290=-1,"subsolo",IF(Z290=0,"térreo",Z290&amp;"º pav."))," (restam serviços no "&amp;IF(Z290=-1,"subsolo",IF(Z290=0,"térreo",Z290&amp;"º pav."))&amp;")"))))))</f>
        <v/>
      </c>
    </row>
    <row r="291">
      <c r="M291" s="2">
        <f>IF(C291="","",IFERROR(INDEX($S$5:$S$304,MATCH(C291,$R$5:$R$304,0))&amp;"","?"))</f>
        <v/>
      </c>
      <c r="N291" s="2">
        <f>IF(E291="","",IF(LEFT(E291,7)="SUBSOLO",-1,IF(LEFT(E291,6)="TÉRREO",0,IFERROR(VALUE(LEFT(E291,FIND("º",SUBSTITUTE(E291,"°","º"))-1)),""))))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5" t="n"/>
      <c r="S291" s="5" t="n"/>
      <c r="T291" s="5" t="n"/>
      <c r="U291" s="5" t="n"/>
      <c r="V291" s="2">
        <f>IF(R291="","",COUNTIF($C$5:$C$3004,R291))</f>
        <v/>
      </c>
      <c r="W291" s="2">
        <f>IF(R291="","",COUNTIFS($C$5:$C$3004,R291,$O$5:$O$3004,"CONCLUÍDA"))</f>
        <v/>
      </c>
      <c r="X291" s="2">
        <f>IF(R291="","",COUNTIFS($C$5:$C$3004,R291,$O$5:$O$3004,"EM ANDAMENTO"))</f>
        <v/>
      </c>
      <c r="Y291" s="2">
        <f>IF(R291="","",IF(COUNTIFS($C$5:$C$3004,R291,$O$5:$O$3004,"CONCLUÍDA",$N$5:$N$3004,"&gt;=-1")=0,"",_xlfn.MAXIFS($N$5:$N$3004,$C$5:$C$3004,R291,$O$5:$O$3004,"CONCLUÍDA")))</f>
        <v/>
      </c>
      <c r="Z291" s="2">
        <f>IF(R291="","",IF(COUNTIFS($C$5:$C$3004,R291,$O$5:$O$3004,"EM ANDAMENTO",$N$5:$N$3004,"&gt;=-1")=0,"",_xlfn.MAXIFS($N$5:$N$3004,$C$5:$C$3004,R291,$O$5:$O$3004,"EM ANDAMENTO")))</f>
        <v/>
      </c>
      <c r="AA291" s="2">
        <f>IF(OR(R291="",S291="",U291&lt;&gt;"SIM",V291=0),"",IF(W291+X291=0,"",T291&amp;": "&amp;IF(W291=V291,"concluído",IF(W291=0,"em execução"&amp;IF(Z291&lt;&gt;""," ("&amp;IF(Z291=-1,"subsolo",IF(Z291=0,"térreo",Z291&amp;"º pav."))&amp;")",""),IF(Y291&lt;&gt;"","até "&amp;IF(Y291=-1,"subsolo",IF(Y291=0,"térreo",Y291&amp;"º pav.")),W291&amp;" de "&amp;V291&amp;" concluídas")&amp;IF(Z291="","",IF(OR(Y291="",Z291&gt;Y291),", executando "&amp;IF(Z291=-1,"subsolo",IF(Z291=0,"térreo",Z291&amp;"º pav."))," (restam serviços no "&amp;IF(Z291=-1,"subsolo",IF(Z291=0,"térreo",Z291&amp;"º pav."))&amp;")"))))))</f>
        <v/>
      </c>
    </row>
    <row r="292">
      <c r="M292" s="2">
        <f>IF(C292="","",IFERROR(INDEX($S$5:$S$304,MATCH(C292,$R$5:$R$304,0))&amp;"","?"))</f>
        <v/>
      </c>
      <c r="N292" s="2">
        <f>IF(E292="","",IF(LEFT(E292,7)="SUBSOLO",-1,IF(LEFT(E292,6)="TÉRREO",0,IFERROR(VALUE(LEFT(E292,FIND("º",SUBSTITUTE(E292,"°","º"))-1)),""))))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5" t="n"/>
      <c r="S292" s="5" t="n"/>
      <c r="T292" s="5" t="n"/>
      <c r="U292" s="5" t="n"/>
      <c r="V292" s="2">
        <f>IF(R292="","",COUNTIF($C$5:$C$3004,R292))</f>
        <v/>
      </c>
      <c r="W292" s="2">
        <f>IF(R292="","",COUNTIFS($C$5:$C$3004,R292,$O$5:$O$3004,"CONCLUÍDA"))</f>
        <v/>
      </c>
      <c r="X292" s="2">
        <f>IF(R292="","",COUNTIFS($C$5:$C$3004,R292,$O$5:$O$3004,"EM ANDAMENTO"))</f>
        <v/>
      </c>
      <c r="Y292" s="2">
        <f>IF(R292="","",IF(COUNTIFS($C$5:$C$3004,R292,$O$5:$O$3004,"CONCLUÍDA",$N$5:$N$3004,"&gt;=-1")=0,"",_xlfn.MAXIFS($N$5:$N$3004,$C$5:$C$3004,R292,$O$5:$O$3004,"CONCLUÍDA")))</f>
        <v/>
      </c>
      <c r="Z292" s="2">
        <f>IF(R292="","",IF(COUNTIFS($C$5:$C$3004,R292,$O$5:$O$3004,"EM ANDAMENTO",$N$5:$N$3004,"&gt;=-1")=0,"",_xlfn.MAXIFS($N$5:$N$3004,$C$5:$C$3004,R292,$O$5:$O$3004,"EM ANDAMENTO")))</f>
        <v/>
      </c>
      <c r="AA292" s="2">
        <f>IF(OR(R292="",S292="",U292&lt;&gt;"SIM",V292=0),"",IF(W292+X292=0,"",T292&amp;": "&amp;IF(W292=V292,"concluído",IF(W292=0,"em execução"&amp;IF(Z292&lt;&gt;""," ("&amp;IF(Z292=-1,"subsolo",IF(Z292=0,"térreo",Z292&amp;"º pav."))&amp;")",""),IF(Y292&lt;&gt;"","até "&amp;IF(Y292=-1,"subsolo",IF(Y292=0,"térreo",Y292&amp;"º pav.")),W292&amp;" de "&amp;V292&amp;" concluídas")&amp;IF(Z292="","",IF(OR(Y292="",Z292&gt;Y292),", executando "&amp;IF(Z292=-1,"subsolo",IF(Z292=0,"térreo",Z292&amp;"º pav."))," (restam serviços no "&amp;IF(Z292=-1,"subsolo",IF(Z292=0,"térreo",Z292&amp;"º pav."))&amp;")"))))))</f>
        <v/>
      </c>
    </row>
    <row r="293">
      <c r="M293" s="2">
        <f>IF(C293="","",IFERROR(INDEX($S$5:$S$304,MATCH(C293,$R$5:$R$304,0))&amp;"","?"))</f>
        <v/>
      </c>
      <c r="N293" s="2">
        <f>IF(E293="","",IF(LEFT(E293,7)="SUBSOLO",-1,IF(LEFT(E293,6)="TÉRREO",0,IFERROR(VALUE(LEFT(E293,FIND("º",SUBSTITUTE(E293,"°","º"))-1)),""))))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5" t="n"/>
      <c r="S293" s="5" t="n"/>
      <c r="T293" s="5" t="n"/>
      <c r="U293" s="5" t="n"/>
      <c r="V293" s="2">
        <f>IF(R293="","",COUNTIF($C$5:$C$3004,R293))</f>
        <v/>
      </c>
      <c r="W293" s="2">
        <f>IF(R293="","",COUNTIFS($C$5:$C$3004,R293,$O$5:$O$3004,"CONCLUÍDA"))</f>
        <v/>
      </c>
      <c r="X293" s="2">
        <f>IF(R293="","",COUNTIFS($C$5:$C$3004,R293,$O$5:$O$3004,"EM ANDAMENTO"))</f>
        <v/>
      </c>
      <c r="Y293" s="2">
        <f>IF(R293="","",IF(COUNTIFS($C$5:$C$3004,R293,$O$5:$O$3004,"CONCLUÍDA",$N$5:$N$3004,"&gt;=-1")=0,"",_xlfn.MAXIFS($N$5:$N$3004,$C$5:$C$3004,R293,$O$5:$O$3004,"CONCLUÍDA")))</f>
        <v/>
      </c>
      <c r="Z293" s="2">
        <f>IF(R293="","",IF(COUNTIFS($C$5:$C$3004,R293,$O$5:$O$3004,"EM ANDAMENTO",$N$5:$N$3004,"&gt;=-1")=0,"",_xlfn.MAXIFS($N$5:$N$3004,$C$5:$C$3004,R293,$O$5:$O$3004,"EM ANDAMENTO")))</f>
        <v/>
      </c>
      <c r="AA293" s="2">
        <f>IF(OR(R293="",S293="",U293&lt;&gt;"SIM",V293=0),"",IF(W293+X293=0,"",T293&amp;": "&amp;IF(W293=V293,"concluído",IF(W293=0,"em execução"&amp;IF(Z293&lt;&gt;""," ("&amp;IF(Z293=-1,"subsolo",IF(Z293=0,"térreo",Z293&amp;"º pav."))&amp;")",""),IF(Y293&lt;&gt;"","até "&amp;IF(Y293=-1,"subsolo",IF(Y293=0,"térreo",Y293&amp;"º pav.")),W293&amp;" de "&amp;V293&amp;" concluídas")&amp;IF(Z293="","",IF(OR(Y293="",Z293&gt;Y293),", executando "&amp;IF(Z293=-1,"subsolo",IF(Z293=0,"térreo",Z293&amp;"º pav."))," (restam serviços no "&amp;IF(Z293=-1,"subsolo",IF(Z293=0,"térreo",Z293&amp;"º pav."))&amp;")"))))))</f>
        <v/>
      </c>
    </row>
    <row r="294">
      <c r="M294" s="2">
        <f>IF(C294="","",IFERROR(INDEX($S$5:$S$304,MATCH(C294,$R$5:$R$304,0))&amp;"","?"))</f>
        <v/>
      </c>
      <c r="N294" s="2">
        <f>IF(E294="","",IF(LEFT(E294,7)="SUBSOLO",-1,IF(LEFT(E294,6)="TÉRREO",0,IFERROR(VALUE(LEFT(E294,FIND("º",SUBSTITUTE(E294,"°","º"))-1)),""))))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5" t="n"/>
      <c r="S294" s="5" t="n"/>
      <c r="T294" s="5" t="n"/>
      <c r="U294" s="5" t="n"/>
      <c r="V294" s="2">
        <f>IF(R294="","",COUNTIF($C$5:$C$3004,R294))</f>
        <v/>
      </c>
      <c r="W294" s="2">
        <f>IF(R294="","",COUNTIFS($C$5:$C$3004,R294,$O$5:$O$3004,"CONCLUÍDA"))</f>
        <v/>
      </c>
      <c r="X294" s="2">
        <f>IF(R294="","",COUNTIFS($C$5:$C$3004,R294,$O$5:$O$3004,"EM ANDAMENTO"))</f>
        <v/>
      </c>
      <c r="Y294" s="2">
        <f>IF(R294="","",IF(COUNTIFS($C$5:$C$3004,R294,$O$5:$O$3004,"CONCLUÍDA",$N$5:$N$3004,"&gt;=-1")=0,"",_xlfn.MAXIFS($N$5:$N$3004,$C$5:$C$3004,R294,$O$5:$O$3004,"CONCLUÍDA")))</f>
        <v/>
      </c>
      <c r="Z294" s="2">
        <f>IF(R294="","",IF(COUNTIFS($C$5:$C$3004,R294,$O$5:$O$3004,"EM ANDAMENTO",$N$5:$N$3004,"&gt;=-1")=0,"",_xlfn.MAXIFS($N$5:$N$3004,$C$5:$C$3004,R294,$O$5:$O$3004,"EM ANDAMENTO")))</f>
        <v/>
      </c>
      <c r="AA294" s="2">
        <f>IF(OR(R294="",S294="",U294&lt;&gt;"SIM",V294=0),"",IF(W294+X294=0,"",T294&amp;": "&amp;IF(W294=V294,"concluído",IF(W294=0,"em execução"&amp;IF(Z294&lt;&gt;""," ("&amp;IF(Z294=-1,"subsolo",IF(Z294=0,"térreo",Z294&amp;"º pav."))&amp;")",""),IF(Y294&lt;&gt;"","até "&amp;IF(Y294=-1,"subsolo",IF(Y294=0,"térreo",Y294&amp;"º pav.")),W294&amp;" de "&amp;V294&amp;" concluídas")&amp;IF(Z294="","",IF(OR(Y294="",Z294&gt;Y294),", executando "&amp;IF(Z294=-1,"subsolo",IF(Z294=0,"térreo",Z294&amp;"º pav."))," (restam serviços no "&amp;IF(Z294=-1,"subsolo",IF(Z294=0,"térreo",Z294&amp;"º pav."))&amp;")"))))))</f>
        <v/>
      </c>
    </row>
    <row r="295">
      <c r="M295" s="2">
        <f>IF(C295="","",IFERROR(INDEX($S$5:$S$304,MATCH(C295,$R$5:$R$304,0))&amp;"","?"))</f>
        <v/>
      </c>
      <c r="N295" s="2">
        <f>IF(E295="","",IF(LEFT(E295,7)="SUBSOLO",-1,IF(LEFT(E295,6)="TÉRREO",0,IFERROR(VALUE(LEFT(E295,FIND("º",SUBSTITUTE(E295,"°","º"))-1)),""))))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5" t="n"/>
      <c r="S295" s="5" t="n"/>
      <c r="T295" s="5" t="n"/>
      <c r="U295" s="5" t="n"/>
      <c r="V295" s="2">
        <f>IF(R295="","",COUNTIF($C$5:$C$3004,R295))</f>
        <v/>
      </c>
      <c r="W295" s="2">
        <f>IF(R295="","",COUNTIFS($C$5:$C$3004,R295,$O$5:$O$3004,"CONCLUÍDA"))</f>
        <v/>
      </c>
      <c r="X295" s="2">
        <f>IF(R295="","",COUNTIFS($C$5:$C$3004,R295,$O$5:$O$3004,"EM ANDAMENTO"))</f>
        <v/>
      </c>
      <c r="Y295" s="2">
        <f>IF(R295="","",IF(COUNTIFS($C$5:$C$3004,R295,$O$5:$O$3004,"CONCLUÍDA",$N$5:$N$3004,"&gt;=-1")=0,"",_xlfn.MAXIFS($N$5:$N$3004,$C$5:$C$3004,R295,$O$5:$O$3004,"CONCLUÍDA")))</f>
        <v/>
      </c>
      <c r="Z295" s="2">
        <f>IF(R295="","",IF(COUNTIFS($C$5:$C$3004,R295,$O$5:$O$3004,"EM ANDAMENTO",$N$5:$N$3004,"&gt;=-1")=0,"",_xlfn.MAXIFS($N$5:$N$3004,$C$5:$C$3004,R295,$O$5:$O$3004,"EM ANDAMENTO")))</f>
        <v/>
      </c>
      <c r="AA295" s="2">
        <f>IF(OR(R295="",S295="",U295&lt;&gt;"SIM",V295=0),"",IF(W295+X295=0,"",T295&amp;": "&amp;IF(W295=V295,"concluído",IF(W295=0,"em execução"&amp;IF(Z295&lt;&gt;""," ("&amp;IF(Z295=-1,"subsolo",IF(Z295=0,"térreo",Z295&amp;"º pav."))&amp;")",""),IF(Y295&lt;&gt;"","até "&amp;IF(Y295=-1,"subsolo",IF(Y295=0,"térreo",Y295&amp;"º pav.")),W295&amp;" de "&amp;V295&amp;" concluídas")&amp;IF(Z295="","",IF(OR(Y295="",Z295&gt;Y295),", executando "&amp;IF(Z295=-1,"subsolo",IF(Z295=0,"térreo",Z295&amp;"º pav."))," (restam serviços no "&amp;IF(Z295=-1,"subsolo",IF(Z295=0,"térreo",Z295&amp;"º pav."))&amp;")"))))))</f>
        <v/>
      </c>
    </row>
    <row r="296">
      <c r="M296" s="2">
        <f>IF(C296="","",IFERROR(INDEX($S$5:$S$304,MATCH(C296,$R$5:$R$304,0))&amp;"","?"))</f>
        <v/>
      </c>
      <c r="N296" s="2">
        <f>IF(E296="","",IF(LEFT(E296,7)="SUBSOLO",-1,IF(LEFT(E296,6)="TÉRREO",0,IFERROR(VALUE(LEFT(E296,FIND("º",SUBSTITUTE(E296,"°","º"))-1)),""))))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5" t="n"/>
      <c r="S296" s="5" t="n"/>
      <c r="T296" s="5" t="n"/>
      <c r="U296" s="5" t="n"/>
      <c r="V296" s="2">
        <f>IF(R296="","",COUNTIF($C$5:$C$3004,R296))</f>
        <v/>
      </c>
      <c r="W296" s="2">
        <f>IF(R296="","",COUNTIFS($C$5:$C$3004,R296,$O$5:$O$3004,"CONCLUÍDA"))</f>
        <v/>
      </c>
      <c r="X296" s="2">
        <f>IF(R296="","",COUNTIFS($C$5:$C$3004,R296,$O$5:$O$3004,"EM ANDAMENTO"))</f>
        <v/>
      </c>
      <c r="Y296" s="2">
        <f>IF(R296="","",IF(COUNTIFS($C$5:$C$3004,R296,$O$5:$O$3004,"CONCLUÍDA",$N$5:$N$3004,"&gt;=-1")=0,"",_xlfn.MAXIFS($N$5:$N$3004,$C$5:$C$3004,R296,$O$5:$O$3004,"CONCLUÍDA")))</f>
        <v/>
      </c>
      <c r="Z296" s="2">
        <f>IF(R296="","",IF(COUNTIFS($C$5:$C$3004,R296,$O$5:$O$3004,"EM ANDAMENTO",$N$5:$N$3004,"&gt;=-1")=0,"",_xlfn.MAXIFS($N$5:$N$3004,$C$5:$C$3004,R296,$O$5:$O$3004,"EM ANDAMENTO")))</f>
        <v/>
      </c>
      <c r="AA296" s="2">
        <f>IF(OR(R296="",S296="",U296&lt;&gt;"SIM",V296=0),"",IF(W296+X296=0,"",T296&amp;": "&amp;IF(W296=V296,"concluído",IF(W296=0,"em execução"&amp;IF(Z296&lt;&gt;""," ("&amp;IF(Z296=-1,"subsolo",IF(Z296=0,"térreo",Z296&amp;"º pav."))&amp;")",""),IF(Y296&lt;&gt;"","até "&amp;IF(Y296=-1,"subsolo",IF(Y296=0,"térreo",Y296&amp;"º pav.")),W296&amp;" de "&amp;V296&amp;" concluídas")&amp;IF(Z296="","",IF(OR(Y296="",Z296&gt;Y296),", executando "&amp;IF(Z296=-1,"subsolo",IF(Z296=0,"térreo",Z296&amp;"º pav."))," (restam serviços no "&amp;IF(Z296=-1,"subsolo",IF(Z296=0,"térreo",Z296&amp;"º pav."))&amp;")"))))))</f>
        <v/>
      </c>
    </row>
    <row r="297">
      <c r="M297" s="2">
        <f>IF(C297="","",IFERROR(INDEX($S$5:$S$304,MATCH(C297,$R$5:$R$304,0))&amp;"","?"))</f>
        <v/>
      </c>
      <c r="N297" s="2">
        <f>IF(E297="","",IF(LEFT(E297,7)="SUBSOLO",-1,IF(LEFT(E297,6)="TÉRREO",0,IFERROR(VALUE(LEFT(E297,FIND("º",SUBSTITUTE(E297,"°","º"))-1)),""))))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5" t="n"/>
      <c r="S297" s="5" t="n"/>
      <c r="T297" s="5" t="n"/>
      <c r="U297" s="5" t="n"/>
      <c r="V297" s="2">
        <f>IF(R297="","",COUNTIF($C$5:$C$3004,R297))</f>
        <v/>
      </c>
      <c r="W297" s="2">
        <f>IF(R297="","",COUNTIFS($C$5:$C$3004,R297,$O$5:$O$3004,"CONCLUÍDA"))</f>
        <v/>
      </c>
      <c r="X297" s="2">
        <f>IF(R297="","",COUNTIFS($C$5:$C$3004,R297,$O$5:$O$3004,"EM ANDAMENTO"))</f>
        <v/>
      </c>
      <c r="Y297" s="2">
        <f>IF(R297="","",IF(COUNTIFS($C$5:$C$3004,R297,$O$5:$O$3004,"CONCLUÍDA",$N$5:$N$3004,"&gt;=-1")=0,"",_xlfn.MAXIFS($N$5:$N$3004,$C$5:$C$3004,R297,$O$5:$O$3004,"CONCLUÍDA")))</f>
        <v/>
      </c>
      <c r="Z297" s="2">
        <f>IF(R297="","",IF(COUNTIFS($C$5:$C$3004,R297,$O$5:$O$3004,"EM ANDAMENTO",$N$5:$N$3004,"&gt;=-1")=0,"",_xlfn.MAXIFS($N$5:$N$3004,$C$5:$C$3004,R297,$O$5:$O$3004,"EM ANDAMENTO")))</f>
        <v/>
      </c>
      <c r="AA297" s="2">
        <f>IF(OR(R297="",S297="",U297&lt;&gt;"SIM",V297=0),"",IF(W297+X297=0,"",T297&amp;": "&amp;IF(W297=V297,"concluído",IF(W297=0,"em execução"&amp;IF(Z297&lt;&gt;""," ("&amp;IF(Z297=-1,"subsolo",IF(Z297=0,"térreo",Z297&amp;"º pav."))&amp;")",""),IF(Y297&lt;&gt;"","até "&amp;IF(Y297=-1,"subsolo",IF(Y297=0,"térreo",Y297&amp;"º pav.")),W297&amp;" de "&amp;V297&amp;" concluídas")&amp;IF(Z297="","",IF(OR(Y297="",Z297&gt;Y297),", executando "&amp;IF(Z297=-1,"subsolo",IF(Z297=0,"térreo",Z297&amp;"º pav."))," (restam serviços no "&amp;IF(Z297=-1,"subsolo",IF(Z297=0,"térreo",Z297&amp;"º pav."))&amp;")"))))))</f>
        <v/>
      </c>
    </row>
    <row r="298">
      <c r="M298" s="2">
        <f>IF(C298="","",IFERROR(INDEX($S$5:$S$304,MATCH(C298,$R$5:$R$304,0))&amp;"","?"))</f>
        <v/>
      </c>
      <c r="N298" s="2">
        <f>IF(E298="","",IF(LEFT(E298,7)="SUBSOLO",-1,IF(LEFT(E298,6)="TÉRREO",0,IFERROR(VALUE(LEFT(E298,FIND("º",SUBSTITUTE(E298,"°","º"))-1)),""))))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5" t="n"/>
      <c r="S298" s="5" t="n"/>
      <c r="T298" s="5" t="n"/>
      <c r="U298" s="5" t="n"/>
      <c r="V298" s="2">
        <f>IF(R298="","",COUNTIF($C$5:$C$3004,R298))</f>
        <v/>
      </c>
      <c r="W298" s="2">
        <f>IF(R298="","",COUNTIFS($C$5:$C$3004,R298,$O$5:$O$3004,"CONCLUÍDA"))</f>
        <v/>
      </c>
      <c r="X298" s="2">
        <f>IF(R298="","",COUNTIFS($C$5:$C$3004,R298,$O$5:$O$3004,"EM ANDAMENTO"))</f>
        <v/>
      </c>
      <c r="Y298" s="2">
        <f>IF(R298="","",IF(COUNTIFS($C$5:$C$3004,R298,$O$5:$O$3004,"CONCLUÍDA",$N$5:$N$3004,"&gt;=-1")=0,"",_xlfn.MAXIFS($N$5:$N$3004,$C$5:$C$3004,R298,$O$5:$O$3004,"CONCLUÍDA")))</f>
        <v/>
      </c>
      <c r="Z298" s="2">
        <f>IF(R298="","",IF(COUNTIFS($C$5:$C$3004,R298,$O$5:$O$3004,"EM ANDAMENTO",$N$5:$N$3004,"&gt;=-1")=0,"",_xlfn.MAXIFS($N$5:$N$3004,$C$5:$C$3004,R298,$O$5:$O$3004,"EM ANDAMENTO")))</f>
        <v/>
      </c>
      <c r="AA298" s="2">
        <f>IF(OR(R298="",S298="",U298&lt;&gt;"SIM",V298=0),"",IF(W298+X298=0,"",T298&amp;": "&amp;IF(W298=V298,"concluído",IF(W298=0,"em execução"&amp;IF(Z298&lt;&gt;""," ("&amp;IF(Z298=-1,"subsolo",IF(Z298=0,"térreo",Z298&amp;"º pav."))&amp;")",""),IF(Y298&lt;&gt;"","até "&amp;IF(Y298=-1,"subsolo",IF(Y298=0,"térreo",Y298&amp;"º pav.")),W298&amp;" de "&amp;V298&amp;" concluídas")&amp;IF(Z298="","",IF(OR(Y298="",Z298&gt;Y298),", executando "&amp;IF(Z298=-1,"subsolo",IF(Z298=0,"térreo",Z298&amp;"º pav."))," (restam serviços no "&amp;IF(Z298=-1,"subsolo",IF(Z298=0,"térreo",Z298&amp;"º pav."))&amp;")"))))))</f>
        <v/>
      </c>
    </row>
    <row r="299">
      <c r="M299" s="2">
        <f>IF(C299="","",IFERROR(INDEX($S$5:$S$304,MATCH(C299,$R$5:$R$304,0))&amp;"","?"))</f>
        <v/>
      </c>
      <c r="N299" s="2">
        <f>IF(E299="","",IF(LEFT(E299,7)="SUBSOLO",-1,IF(LEFT(E299,6)="TÉRREO",0,IFERROR(VALUE(LEFT(E299,FIND("º",SUBSTITUTE(E299,"°","º"))-1)),""))))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5" t="n"/>
      <c r="S299" s="5" t="n"/>
      <c r="T299" s="5" t="n"/>
      <c r="U299" s="5" t="n"/>
      <c r="V299" s="2">
        <f>IF(R299="","",COUNTIF($C$5:$C$3004,R299))</f>
        <v/>
      </c>
      <c r="W299" s="2">
        <f>IF(R299="","",COUNTIFS($C$5:$C$3004,R299,$O$5:$O$3004,"CONCLUÍDA"))</f>
        <v/>
      </c>
      <c r="X299" s="2">
        <f>IF(R299="","",COUNTIFS($C$5:$C$3004,R299,$O$5:$O$3004,"EM ANDAMENTO"))</f>
        <v/>
      </c>
      <c r="Y299" s="2">
        <f>IF(R299="","",IF(COUNTIFS($C$5:$C$3004,R299,$O$5:$O$3004,"CONCLUÍDA",$N$5:$N$3004,"&gt;=-1")=0,"",_xlfn.MAXIFS($N$5:$N$3004,$C$5:$C$3004,R299,$O$5:$O$3004,"CONCLUÍDA")))</f>
        <v/>
      </c>
      <c r="Z299" s="2">
        <f>IF(R299="","",IF(COUNTIFS($C$5:$C$3004,R299,$O$5:$O$3004,"EM ANDAMENTO",$N$5:$N$3004,"&gt;=-1")=0,"",_xlfn.MAXIFS($N$5:$N$3004,$C$5:$C$3004,R299,$O$5:$O$3004,"EM ANDAMENTO")))</f>
        <v/>
      </c>
      <c r="AA299" s="2">
        <f>IF(OR(R299="",S299="",U299&lt;&gt;"SIM",V299=0),"",IF(W299+X299=0,"",T299&amp;": "&amp;IF(W299=V299,"concluído",IF(W299=0,"em execução"&amp;IF(Z299&lt;&gt;""," ("&amp;IF(Z299=-1,"subsolo",IF(Z299=0,"térreo",Z299&amp;"º pav."))&amp;")",""),IF(Y299&lt;&gt;"","até "&amp;IF(Y299=-1,"subsolo",IF(Y299=0,"térreo",Y299&amp;"º pav.")),W299&amp;" de "&amp;V299&amp;" concluídas")&amp;IF(Z299="","",IF(OR(Y299="",Z299&gt;Y299),", executando "&amp;IF(Z299=-1,"subsolo",IF(Z299=0,"térreo",Z299&amp;"º pav."))," (restam serviços no "&amp;IF(Z299=-1,"subsolo",IF(Z299=0,"térreo",Z299&amp;"º pav."))&amp;")"))))))</f>
        <v/>
      </c>
    </row>
    <row r="300">
      <c r="M300" s="2">
        <f>IF(C300="","",IFERROR(INDEX($S$5:$S$304,MATCH(C300,$R$5:$R$304,0))&amp;"","?"))</f>
        <v/>
      </c>
      <c r="N300" s="2">
        <f>IF(E300="","",IF(LEFT(E300,7)="SUBSOLO",-1,IF(LEFT(E300,6)="TÉRREO",0,IFERROR(VALUE(LEFT(E300,FIND("º",SUBSTITUTE(E300,"°","º"))-1)),""))))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5" t="n"/>
      <c r="S300" s="5" t="n"/>
      <c r="T300" s="5" t="n"/>
      <c r="U300" s="5" t="n"/>
      <c r="V300" s="2">
        <f>IF(R300="","",COUNTIF($C$5:$C$3004,R300))</f>
        <v/>
      </c>
      <c r="W300" s="2">
        <f>IF(R300="","",COUNTIFS($C$5:$C$3004,R300,$O$5:$O$3004,"CONCLUÍDA"))</f>
        <v/>
      </c>
      <c r="X300" s="2">
        <f>IF(R300="","",COUNTIFS($C$5:$C$3004,R300,$O$5:$O$3004,"EM ANDAMENTO"))</f>
        <v/>
      </c>
      <c r="Y300" s="2">
        <f>IF(R300="","",IF(COUNTIFS($C$5:$C$3004,R300,$O$5:$O$3004,"CONCLUÍDA",$N$5:$N$3004,"&gt;=-1")=0,"",_xlfn.MAXIFS($N$5:$N$3004,$C$5:$C$3004,R300,$O$5:$O$3004,"CONCLUÍDA")))</f>
        <v/>
      </c>
      <c r="Z300" s="2">
        <f>IF(R300="","",IF(COUNTIFS($C$5:$C$3004,R300,$O$5:$O$3004,"EM ANDAMENTO",$N$5:$N$3004,"&gt;=-1")=0,"",_xlfn.MAXIFS($N$5:$N$3004,$C$5:$C$3004,R300,$O$5:$O$3004,"EM ANDAMENTO")))</f>
        <v/>
      </c>
      <c r="AA300" s="2">
        <f>IF(OR(R300="",S300="",U300&lt;&gt;"SIM",V300=0),"",IF(W300+X300=0,"",T300&amp;": "&amp;IF(W300=V300,"concluído",IF(W300=0,"em execução"&amp;IF(Z300&lt;&gt;""," ("&amp;IF(Z300=-1,"subsolo",IF(Z300=0,"térreo",Z300&amp;"º pav."))&amp;")",""),IF(Y300&lt;&gt;"","até "&amp;IF(Y300=-1,"subsolo",IF(Y300=0,"térreo",Y300&amp;"º pav.")),W300&amp;" de "&amp;V300&amp;" concluídas")&amp;IF(Z300="","",IF(OR(Y300="",Z300&gt;Y300),", executando "&amp;IF(Z300=-1,"subsolo",IF(Z300=0,"térreo",Z300&amp;"º pav."))," (restam serviços no "&amp;IF(Z300=-1,"subsolo",IF(Z300=0,"térreo",Z300&amp;"º pav."))&amp;")"))))))</f>
        <v/>
      </c>
    </row>
    <row r="301">
      <c r="M301" s="2">
        <f>IF(C301="","",IFERROR(INDEX($S$5:$S$304,MATCH(C301,$R$5:$R$304,0))&amp;"","?"))</f>
        <v/>
      </c>
      <c r="N301" s="2">
        <f>IF(E301="","",IF(LEFT(E301,7)="SUBSOLO",-1,IF(LEFT(E301,6)="TÉRREO",0,IFERROR(VALUE(LEFT(E301,FIND("º",SUBSTITUTE(E301,"°","º"))-1)),""))))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5" t="n"/>
      <c r="S301" s="5" t="n"/>
      <c r="T301" s="5" t="n"/>
      <c r="U301" s="5" t="n"/>
      <c r="V301" s="2">
        <f>IF(R301="","",COUNTIF($C$5:$C$3004,R301))</f>
        <v/>
      </c>
      <c r="W301" s="2">
        <f>IF(R301="","",COUNTIFS($C$5:$C$3004,R301,$O$5:$O$3004,"CONCLUÍDA"))</f>
        <v/>
      </c>
      <c r="X301" s="2">
        <f>IF(R301="","",COUNTIFS($C$5:$C$3004,R301,$O$5:$O$3004,"EM ANDAMENTO"))</f>
        <v/>
      </c>
      <c r="Y301" s="2">
        <f>IF(R301="","",IF(COUNTIFS($C$5:$C$3004,R301,$O$5:$O$3004,"CONCLUÍDA",$N$5:$N$3004,"&gt;=-1")=0,"",_xlfn.MAXIFS($N$5:$N$3004,$C$5:$C$3004,R301,$O$5:$O$3004,"CONCLUÍDA")))</f>
        <v/>
      </c>
      <c r="Z301" s="2">
        <f>IF(R301="","",IF(COUNTIFS($C$5:$C$3004,R301,$O$5:$O$3004,"EM ANDAMENTO",$N$5:$N$3004,"&gt;=-1")=0,"",_xlfn.MAXIFS($N$5:$N$3004,$C$5:$C$3004,R301,$O$5:$O$3004,"EM ANDAMENTO")))</f>
        <v/>
      </c>
      <c r="AA301" s="2">
        <f>IF(OR(R301="",S301="",U301&lt;&gt;"SIM",V301=0),"",IF(W301+X301=0,"",T301&amp;": "&amp;IF(W301=V301,"concluído",IF(W301=0,"em execução"&amp;IF(Z301&lt;&gt;""," ("&amp;IF(Z301=-1,"subsolo",IF(Z301=0,"térreo",Z301&amp;"º pav."))&amp;")",""),IF(Y301&lt;&gt;"","até "&amp;IF(Y301=-1,"subsolo",IF(Y301=0,"térreo",Y301&amp;"º pav.")),W301&amp;" de "&amp;V301&amp;" concluídas")&amp;IF(Z301="","",IF(OR(Y301="",Z301&gt;Y301),", executando "&amp;IF(Z301=-1,"subsolo",IF(Z301=0,"térreo",Z301&amp;"º pav."))," (restam serviços no "&amp;IF(Z301=-1,"subsolo",IF(Z301=0,"térreo",Z301&amp;"º pav."))&amp;")"))))))</f>
        <v/>
      </c>
    </row>
    <row r="302">
      <c r="M302" s="2">
        <f>IF(C302="","",IFERROR(INDEX($S$5:$S$304,MATCH(C302,$R$5:$R$304,0))&amp;"","?"))</f>
        <v/>
      </c>
      <c r="N302" s="2">
        <f>IF(E302="","",IF(LEFT(E302,7)="SUBSOLO",-1,IF(LEFT(E302,6)="TÉRREO",0,IFERROR(VALUE(LEFT(E302,FIND("º",SUBSTITUTE(E302,"°","º"))-1)),""))))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5" t="n"/>
      <c r="S302" s="5" t="n"/>
      <c r="T302" s="5" t="n"/>
      <c r="U302" s="5" t="n"/>
      <c r="V302" s="2">
        <f>IF(R302="","",COUNTIF($C$5:$C$3004,R302))</f>
        <v/>
      </c>
      <c r="W302" s="2">
        <f>IF(R302="","",COUNTIFS($C$5:$C$3004,R302,$O$5:$O$3004,"CONCLUÍDA"))</f>
        <v/>
      </c>
      <c r="X302" s="2">
        <f>IF(R302="","",COUNTIFS($C$5:$C$3004,R302,$O$5:$O$3004,"EM ANDAMENTO"))</f>
        <v/>
      </c>
      <c r="Y302" s="2">
        <f>IF(R302="","",IF(COUNTIFS($C$5:$C$3004,R302,$O$5:$O$3004,"CONCLUÍDA",$N$5:$N$3004,"&gt;=-1")=0,"",_xlfn.MAXIFS($N$5:$N$3004,$C$5:$C$3004,R302,$O$5:$O$3004,"CONCLUÍDA")))</f>
        <v/>
      </c>
      <c r="Z302" s="2">
        <f>IF(R302="","",IF(COUNTIFS($C$5:$C$3004,R302,$O$5:$O$3004,"EM ANDAMENTO",$N$5:$N$3004,"&gt;=-1")=0,"",_xlfn.MAXIFS($N$5:$N$3004,$C$5:$C$3004,R302,$O$5:$O$3004,"EM ANDAMENTO")))</f>
        <v/>
      </c>
      <c r="AA302" s="2">
        <f>IF(OR(R302="",S302="",U302&lt;&gt;"SIM",V302=0),"",IF(W302+X302=0,"",T302&amp;": "&amp;IF(W302=V302,"concluído",IF(W302=0,"em execução"&amp;IF(Z302&lt;&gt;""," ("&amp;IF(Z302=-1,"subsolo",IF(Z302=0,"térreo",Z302&amp;"º pav."))&amp;")",""),IF(Y302&lt;&gt;"","até "&amp;IF(Y302=-1,"subsolo",IF(Y302=0,"térreo",Y302&amp;"º pav.")),W302&amp;" de "&amp;V302&amp;" concluídas")&amp;IF(Z302="","",IF(OR(Y302="",Z302&gt;Y302),", executando "&amp;IF(Z302=-1,"subsolo",IF(Z302=0,"térreo",Z302&amp;"º pav."))," (restam serviços no "&amp;IF(Z302=-1,"subsolo",IF(Z302=0,"térreo",Z302&amp;"º pav."))&amp;")"))))))</f>
        <v/>
      </c>
    </row>
    <row r="303">
      <c r="M303" s="2">
        <f>IF(C303="","",IFERROR(INDEX($S$5:$S$304,MATCH(C303,$R$5:$R$304,0))&amp;"","?"))</f>
        <v/>
      </c>
      <c r="N303" s="2">
        <f>IF(E303="","",IF(LEFT(E303,7)="SUBSOLO",-1,IF(LEFT(E303,6)="TÉRREO",0,IFERROR(VALUE(LEFT(E303,FIND("º",SUBSTITUTE(E303,"°","º"))-1)),""))))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5" t="n"/>
      <c r="S303" s="5" t="n"/>
      <c r="T303" s="5" t="n"/>
      <c r="U303" s="5" t="n"/>
      <c r="V303" s="2">
        <f>IF(R303="","",COUNTIF($C$5:$C$3004,R303))</f>
        <v/>
      </c>
      <c r="W303" s="2">
        <f>IF(R303="","",COUNTIFS($C$5:$C$3004,R303,$O$5:$O$3004,"CONCLUÍDA"))</f>
        <v/>
      </c>
      <c r="X303" s="2">
        <f>IF(R303="","",COUNTIFS($C$5:$C$3004,R303,$O$5:$O$3004,"EM ANDAMENTO"))</f>
        <v/>
      </c>
      <c r="Y303" s="2">
        <f>IF(R303="","",IF(COUNTIFS($C$5:$C$3004,R303,$O$5:$O$3004,"CONCLUÍDA",$N$5:$N$3004,"&gt;=-1")=0,"",_xlfn.MAXIFS($N$5:$N$3004,$C$5:$C$3004,R303,$O$5:$O$3004,"CONCLUÍDA")))</f>
        <v/>
      </c>
      <c r="Z303" s="2">
        <f>IF(R303="","",IF(COUNTIFS($C$5:$C$3004,R303,$O$5:$O$3004,"EM ANDAMENTO",$N$5:$N$3004,"&gt;=-1")=0,"",_xlfn.MAXIFS($N$5:$N$3004,$C$5:$C$3004,R303,$O$5:$O$3004,"EM ANDAMENTO")))</f>
        <v/>
      </c>
      <c r="AA303" s="2">
        <f>IF(OR(R303="",S303="",U303&lt;&gt;"SIM",V303=0),"",IF(W303+X303=0,"",T303&amp;": "&amp;IF(W303=V303,"concluído",IF(W303=0,"em execução"&amp;IF(Z303&lt;&gt;""," ("&amp;IF(Z303=-1,"subsolo",IF(Z303=0,"térreo",Z303&amp;"º pav."))&amp;")",""),IF(Y303&lt;&gt;"","até "&amp;IF(Y303=-1,"subsolo",IF(Y303=0,"térreo",Y303&amp;"º pav.")),W303&amp;" de "&amp;V303&amp;" concluídas")&amp;IF(Z303="","",IF(OR(Y303="",Z303&gt;Y303),", executando "&amp;IF(Z303=-1,"subsolo",IF(Z303=0,"térreo",Z303&amp;"º pav."))," (restam serviços no "&amp;IF(Z303=-1,"subsolo",IF(Z303=0,"térreo",Z303&amp;"º pav."))&amp;")"))))))</f>
        <v/>
      </c>
    </row>
    <row r="304">
      <c r="M304" s="2">
        <f>IF(C304="","",IFERROR(INDEX($S$5:$S$304,MATCH(C304,$R$5:$R$304,0))&amp;"","?"))</f>
        <v/>
      </c>
      <c r="N304" s="2">
        <f>IF(E304="","",IF(LEFT(E304,7)="SUBSOLO",-1,IF(LEFT(E304,6)="TÉRREO",0,IFERROR(VALUE(LEFT(E304,FIND("º",SUBSTITUTE(E304,"°","º"))-1)),""))))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5" t="n"/>
      <c r="S304" s="5" t="n"/>
      <c r="T304" s="5" t="n"/>
      <c r="U304" s="5" t="n"/>
      <c r="V304" s="2">
        <f>IF(R304="","",COUNTIF($C$5:$C$3004,R304))</f>
        <v/>
      </c>
      <c r="W304" s="2">
        <f>IF(R304="","",COUNTIFS($C$5:$C$3004,R304,$O$5:$O$3004,"CONCLUÍDA"))</f>
        <v/>
      </c>
      <c r="X304" s="2">
        <f>IF(R304="","",COUNTIFS($C$5:$C$3004,R304,$O$5:$O$3004,"EM ANDAMENTO"))</f>
        <v/>
      </c>
      <c r="Y304" s="2">
        <f>IF(R304="","",IF(COUNTIFS($C$5:$C$3004,R304,$O$5:$O$3004,"CONCLUÍDA",$N$5:$N$3004,"&gt;=-1")=0,"",_xlfn.MAXIFS($N$5:$N$3004,$C$5:$C$3004,R304,$O$5:$O$3004,"CONCLUÍDA")))</f>
        <v/>
      </c>
      <c r="Z304" s="2">
        <f>IF(R304="","",IF(COUNTIFS($C$5:$C$3004,R304,$O$5:$O$3004,"EM ANDAMENTO",$N$5:$N$3004,"&gt;=-1")=0,"",_xlfn.MAXIFS($N$5:$N$3004,$C$5:$C$3004,R304,$O$5:$O$3004,"EM ANDAMENTO")))</f>
        <v/>
      </c>
      <c r="AA304" s="2">
        <f>IF(OR(R304="",S304="",U304&lt;&gt;"SIM",V304=0),"",IF(W304+X304=0,"",T304&amp;": "&amp;IF(W304=V304,"concluído",IF(W304=0,"em execução"&amp;IF(Z304&lt;&gt;""," ("&amp;IF(Z304=-1,"subsolo",IF(Z304=0,"térreo",Z304&amp;"º pav."))&amp;")",""),IF(Y304&lt;&gt;"","até "&amp;IF(Y304=-1,"subsolo",IF(Y304=0,"térreo",Y304&amp;"º pav.")),W304&amp;" de "&amp;V304&amp;" concluídas")&amp;IF(Z304="","",IF(OR(Y304="",Z304&gt;Y304),", executando "&amp;IF(Z304=-1,"subsolo",IF(Z304=0,"térreo",Z304&amp;"º pav."))," (restam serviços no "&amp;IF(Z304=-1,"subsolo",IF(Z304=0,"térreo",Z304&amp;"º pav."))&amp;")"))))))</f>
        <v/>
      </c>
    </row>
    <row r="305">
      <c r="M305" s="2">
        <f>IF(C305="","",IFERROR(INDEX($S$5:$S$304,MATCH(C305,$R$5:$R$304,0))&amp;"","?"))</f>
        <v/>
      </c>
      <c r="N305" s="2">
        <f>IF(E305="","",IF(LEFT(E305,7)="SUBSOLO",-1,IF(LEFT(E305,6)="TÉRREO",0,IFERROR(VALUE(LEFT(E305,FIND("º",SUBSTITUTE(E305,"°","º"))-1)),""))))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M306" s="2">
        <f>IF(C306="","",IFERROR(INDEX($S$5:$S$304,MATCH(C306,$R$5:$R$304,0))&amp;"","?"))</f>
        <v/>
      </c>
      <c r="N306" s="2">
        <f>IF(E306="","",IF(LEFT(E306,7)="SUBSOLO",-1,IF(LEFT(E306,6)="TÉRREO",0,IFERROR(VALUE(LEFT(E306,FIND("º",SUBSTITUTE(E306,"°","º"))-1)),""))))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M307" s="2">
        <f>IF(C307="","",IFERROR(INDEX($S$5:$S$304,MATCH(C307,$R$5:$R$304,0))&amp;"","?"))</f>
        <v/>
      </c>
      <c r="N307" s="2">
        <f>IF(E307="","",IF(LEFT(E307,7)="SUBSOLO",-1,IF(LEFT(E307,6)="TÉRREO",0,IFERROR(VALUE(LEFT(E307,FIND("º",SUBSTITUTE(E307,"°","º"))-1)),""))))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M308" s="2">
        <f>IF(C308="","",IFERROR(INDEX($S$5:$S$304,MATCH(C308,$R$5:$R$304,0))&amp;"","?"))</f>
        <v/>
      </c>
      <c r="N308" s="2">
        <f>IF(E308="","",IF(LEFT(E308,7)="SUBSOLO",-1,IF(LEFT(E308,6)="TÉRREO",0,IFERROR(VALUE(LEFT(E308,FIND("º",SUBSTITUTE(E308,"°","º"))-1)),""))))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M309" s="2">
        <f>IF(C309="","",IFERROR(INDEX($S$5:$S$304,MATCH(C309,$R$5:$R$304,0))&amp;"","?"))</f>
        <v/>
      </c>
      <c r="N309" s="2">
        <f>IF(E309="","",IF(LEFT(E309,7)="SUBSOLO",-1,IF(LEFT(E309,6)="TÉRREO",0,IFERROR(VALUE(LEFT(E309,FIND("º",SUBSTITUTE(E309,"°","º"))-1)),""))))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M310" s="2">
        <f>IF(C310="","",IFERROR(INDEX($S$5:$S$304,MATCH(C310,$R$5:$R$304,0))&amp;"","?"))</f>
        <v/>
      </c>
      <c r="N310" s="2">
        <f>IF(E310="","",IF(LEFT(E310,7)="SUBSOLO",-1,IF(LEFT(E310,6)="TÉRREO",0,IFERROR(VALUE(LEFT(E310,FIND("º",SUBSTITUTE(E310,"°","º"))-1)),""))))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M311" s="2">
        <f>IF(C311="","",IFERROR(INDEX($S$5:$S$304,MATCH(C311,$R$5:$R$304,0))&amp;"","?"))</f>
        <v/>
      </c>
      <c r="N311" s="2">
        <f>IF(E311="","",IF(LEFT(E311,7)="SUBSOLO",-1,IF(LEFT(E311,6)="TÉRREO",0,IFERROR(VALUE(LEFT(E311,FIND("º",SUBSTITUTE(E311,"°","º"))-1)),""))))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M312" s="2">
        <f>IF(C312="","",IFERROR(INDEX($S$5:$S$304,MATCH(C312,$R$5:$R$304,0))&amp;"","?"))</f>
        <v/>
      </c>
      <c r="N312" s="2">
        <f>IF(E312="","",IF(LEFT(E312,7)="SUBSOLO",-1,IF(LEFT(E312,6)="TÉRREO",0,IFERROR(VALUE(LEFT(E312,FIND("º",SUBSTITUTE(E312,"°","º"))-1)),""))))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M313" s="2">
        <f>IF(C313="","",IFERROR(INDEX($S$5:$S$304,MATCH(C313,$R$5:$R$304,0))&amp;"","?"))</f>
        <v/>
      </c>
      <c r="N313" s="2">
        <f>IF(E313="","",IF(LEFT(E313,7)="SUBSOLO",-1,IF(LEFT(E313,6)="TÉRREO",0,IFERROR(VALUE(LEFT(E313,FIND("º",SUBSTITUTE(E313,"°","º"))-1)),""))))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M314" s="2">
        <f>IF(C314="","",IFERROR(INDEX($S$5:$S$304,MATCH(C314,$R$5:$R$304,0))&amp;"","?"))</f>
        <v/>
      </c>
      <c r="N314" s="2">
        <f>IF(E314="","",IF(LEFT(E314,7)="SUBSOLO",-1,IF(LEFT(E314,6)="TÉRREO",0,IFERROR(VALUE(LEFT(E314,FIND("º",SUBSTITUTE(E314,"°","º"))-1)),""))))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M315" s="2">
        <f>IF(C315="","",IFERROR(INDEX($S$5:$S$304,MATCH(C315,$R$5:$R$304,0))&amp;"","?"))</f>
        <v/>
      </c>
      <c r="N315" s="2">
        <f>IF(E315="","",IF(LEFT(E315,7)="SUBSOLO",-1,IF(LEFT(E315,6)="TÉRREO",0,IFERROR(VALUE(LEFT(E315,FIND("º",SUBSTITUTE(E315,"°","º"))-1)),""))))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M316" s="2">
        <f>IF(C316="","",IFERROR(INDEX($S$5:$S$304,MATCH(C316,$R$5:$R$304,0))&amp;"","?"))</f>
        <v/>
      </c>
      <c r="N316" s="2">
        <f>IF(E316="","",IF(LEFT(E316,7)="SUBSOLO",-1,IF(LEFT(E316,6)="TÉRREO",0,IFERROR(VALUE(LEFT(E316,FIND("º",SUBSTITUTE(E316,"°","º"))-1)),""))))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M317" s="2">
        <f>IF(C317="","",IFERROR(INDEX($S$5:$S$304,MATCH(C317,$R$5:$R$304,0))&amp;"","?"))</f>
        <v/>
      </c>
      <c r="N317" s="2">
        <f>IF(E317="","",IF(LEFT(E317,7)="SUBSOLO",-1,IF(LEFT(E317,6)="TÉRREO",0,IFERROR(VALUE(LEFT(E317,FIND("º",SUBSTITUTE(E317,"°","º"))-1)),""))))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M318" s="2">
        <f>IF(C318="","",IFERROR(INDEX($S$5:$S$304,MATCH(C318,$R$5:$R$304,0))&amp;"","?"))</f>
        <v/>
      </c>
      <c r="N318" s="2">
        <f>IF(E318="","",IF(LEFT(E318,7)="SUBSOLO",-1,IF(LEFT(E318,6)="TÉRREO",0,IFERROR(VALUE(LEFT(E318,FIND("º",SUBSTITUTE(E318,"°","º"))-1)),""))))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M319" s="2">
        <f>IF(C319="","",IFERROR(INDEX($S$5:$S$304,MATCH(C319,$R$5:$R$304,0))&amp;"","?"))</f>
        <v/>
      </c>
      <c r="N319" s="2">
        <f>IF(E319="","",IF(LEFT(E319,7)="SUBSOLO",-1,IF(LEFT(E319,6)="TÉRREO",0,IFERROR(VALUE(LEFT(E319,FIND("º",SUBSTITUTE(E319,"°","º"))-1)),""))))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M320" s="2">
        <f>IF(C320="","",IFERROR(INDEX($S$5:$S$304,MATCH(C320,$R$5:$R$304,0))&amp;"","?"))</f>
        <v/>
      </c>
      <c r="N320" s="2">
        <f>IF(E320="","",IF(LEFT(E320,7)="SUBSOLO",-1,IF(LEFT(E320,6)="TÉRREO",0,IFERROR(VALUE(LEFT(E320,FIND("º",SUBSTITUTE(E320,"°","º"))-1)),""))))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M321" s="2">
        <f>IF(C321="","",IFERROR(INDEX($S$5:$S$304,MATCH(C321,$R$5:$R$304,0))&amp;"","?"))</f>
        <v/>
      </c>
      <c r="N321" s="2">
        <f>IF(E321="","",IF(LEFT(E321,7)="SUBSOLO",-1,IF(LEFT(E321,6)="TÉRREO",0,IFERROR(VALUE(LEFT(E321,FIND("º",SUBSTITUTE(E321,"°","º"))-1)),""))))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M322" s="2">
        <f>IF(C322="","",IFERROR(INDEX($S$5:$S$304,MATCH(C322,$R$5:$R$304,0))&amp;"","?"))</f>
        <v/>
      </c>
      <c r="N322" s="2">
        <f>IF(E322="","",IF(LEFT(E322,7)="SUBSOLO",-1,IF(LEFT(E322,6)="TÉRREO",0,IFERROR(VALUE(LEFT(E322,FIND("º",SUBSTITUTE(E322,"°","º"))-1)),""))))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M323" s="2">
        <f>IF(C323="","",IFERROR(INDEX($S$5:$S$304,MATCH(C323,$R$5:$R$304,0))&amp;"","?"))</f>
        <v/>
      </c>
      <c r="N323" s="2">
        <f>IF(E323="","",IF(LEFT(E323,7)="SUBSOLO",-1,IF(LEFT(E323,6)="TÉRREO",0,IFERROR(VALUE(LEFT(E323,FIND("º",SUBSTITUTE(E323,"°","º"))-1)),""))))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M324" s="2">
        <f>IF(C324="","",IFERROR(INDEX($S$5:$S$304,MATCH(C324,$R$5:$R$304,0))&amp;"","?"))</f>
        <v/>
      </c>
      <c r="N324" s="2">
        <f>IF(E324="","",IF(LEFT(E324,7)="SUBSOLO",-1,IF(LEFT(E324,6)="TÉRREO",0,IFERROR(VALUE(LEFT(E324,FIND("º",SUBSTITUTE(E324,"°","º"))-1)),""))))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M325" s="2">
        <f>IF(C325="","",IFERROR(INDEX($S$5:$S$304,MATCH(C325,$R$5:$R$304,0))&amp;"","?"))</f>
        <v/>
      </c>
      <c r="N325" s="2">
        <f>IF(E325="","",IF(LEFT(E325,7)="SUBSOLO",-1,IF(LEFT(E325,6)="TÉRREO",0,IFERROR(VALUE(LEFT(E325,FIND("º",SUBSTITUTE(E325,"°","º"))-1)),""))))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M326" s="2">
        <f>IF(C326="","",IFERROR(INDEX($S$5:$S$304,MATCH(C326,$R$5:$R$304,0))&amp;"","?"))</f>
        <v/>
      </c>
      <c r="N326" s="2">
        <f>IF(E326="","",IF(LEFT(E326,7)="SUBSOLO",-1,IF(LEFT(E326,6)="TÉRREO",0,IFERROR(VALUE(LEFT(E326,FIND("º",SUBSTITUTE(E326,"°","º"))-1)),""))))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M327" s="2">
        <f>IF(C327="","",IFERROR(INDEX($S$5:$S$304,MATCH(C327,$R$5:$R$304,0))&amp;"","?"))</f>
        <v/>
      </c>
      <c r="N327" s="2">
        <f>IF(E327="","",IF(LEFT(E327,7)="SUBSOLO",-1,IF(LEFT(E327,6)="TÉRREO",0,IFERROR(VALUE(LEFT(E327,FIND("º",SUBSTITUTE(E327,"°","º"))-1)),""))))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M328" s="2">
        <f>IF(C328="","",IFERROR(INDEX($S$5:$S$304,MATCH(C328,$R$5:$R$304,0))&amp;"","?"))</f>
        <v/>
      </c>
      <c r="N328" s="2">
        <f>IF(E328="","",IF(LEFT(E328,7)="SUBSOLO",-1,IF(LEFT(E328,6)="TÉRREO",0,IFERROR(VALUE(LEFT(E328,FIND("º",SUBSTITUTE(E328,"°","º"))-1)),""))))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M329" s="2">
        <f>IF(C329="","",IFERROR(INDEX($S$5:$S$304,MATCH(C329,$R$5:$R$304,0))&amp;"","?"))</f>
        <v/>
      </c>
      <c r="N329" s="2">
        <f>IF(E329="","",IF(LEFT(E329,7)="SUBSOLO",-1,IF(LEFT(E329,6)="TÉRREO",0,IFERROR(VALUE(LEFT(E329,FIND("º",SUBSTITUTE(E329,"°","º"))-1)),""))))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M330" s="2">
        <f>IF(C330="","",IFERROR(INDEX($S$5:$S$304,MATCH(C330,$R$5:$R$304,0))&amp;"","?"))</f>
        <v/>
      </c>
      <c r="N330" s="2">
        <f>IF(E330="","",IF(LEFT(E330,7)="SUBSOLO",-1,IF(LEFT(E330,6)="TÉRREO",0,IFERROR(VALUE(LEFT(E330,FIND("º",SUBSTITUTE(E330,"°","º"))-1)),""))))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M331" s="2">
        <f>IF(C331="","",IFERROR(INDEX($S$5:$S$304,MATCH(C331,$R$5:$R$304,0))&amp;"","?"))</f>
        <v/>
      </c>
      <c r="N331" s="2">
        <f>IF(E331="","",IF(LEFT(E331,7)="SUBSOLO",-1,IF(LEFT(E331,6)="TÉRREO",0,IFERROR(VALUE(LEFT(E331,FIND("º",SUBSTITUTE(E331,"°","º"))-1)),""))))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M332" s="2">
        <f>IF(C332="","",IFERROR(INDEX($S$5:$S$304,MATCH(C332,$R$5:$R$304,0))&amp;"","?"))</f>
        <v/>
      </c>
      <c r="N332" s="2">
        <f>IF(E332="","",IF(LEFT(E332,7)="SUBSOLO",-1,IF(LEFT(E332,6)="TÉRREO",0,IFERROR(VALUE(LEFT(E332,FIND("º",SUBSTITUTE(E332,"°","º"))-1)),""))))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M333" s="2">
        <f>IF(C333="","",IFERROR(INDEX($S$5:$S$304,MATCH(C333,$R$5:$R$304,0))&amp;"","?"))</f>
        <v/>
      </c>
      <c r="N333" s="2">
        <f>IF(E333="","",IF(LEFT(E333,7)="SUBSOLO",-1,IF(LEFT(E333,6)="TÉRREO",0,IFERROR(VALUE(LEFT(E333,FIND("º",SUBSTITUTE(E333,"°","º"))-1)),""))))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M334" s="2">
        <f>IF(C334="","",IFERROR(INDEX($S$5:$S$304,MATCH(C334,$R$5:$R$304,0))&amp;"","?"))</f>
        <v/>
      </c>
      <c r="N334" s="2">
        <f>IF(E334="","",IF(LEFT(E334,7)="SUBSOLO",-1,IF(LEFT(E334,6)="TÉRREO",0,IFERROR(VALUE(LEFT(E334,FIND("º",SUBSTITUTE(E334,"°","º"))-1)),""))))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M335" s="2">
        <f>IF(C335="","",IFERROR(INDEX($S$5:$S$304,MATCH(C335,$R$5:$R$304,0))&amp;"","?"))</f>
        <v/>
      </c>
      <c r="N335" s="2">
        <f>IF(E335="","",IF(LEFT(E335,7)="SUBSOLO",-1,IF(LEFT(E335,6)="TÉRREO",0,IFERROR(VALUE(LEFT(E335,FIND("º",SUBSTITUTE(E335,"°","º"))-1)),""))))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M336" s="2">
        <f>IF(C336="","",IFERROR(INDEX($S$5:$S$304,MATCH(C336,$R$5:$R$304,0))&amp;"","?"))</f>
        <v/>
      </c>
      <c r="N336" s="2">
        <f>IF(E336="","",IF(LEFT(E336,7)="SUBSOLO",-1,IF(LEFT(E336,6)="TÉRREO",0,IFERROR(VALUE(LEFT(E336,FIND("º",SUBSTITUTE(E336,"°","º"))-1)),""))))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M337" s="2">
        <f>IF(C337="","",IFERROR(INDEX($S$5:$S$304,MATCH(C337,$R$5:$R$304,0))&amp;"","?"))</f>
        <v/>
      </c>
      <c r="N337" s="2">
        <f>IF(E337="","",IF(LEFT(E337,7)="SUBSOLO",-1,IF(LEFT(E337,6)="TÉRREO",0,IFERROR(VALUE(LEFT(E337,FIND("º",SUBSTITUTE(E337,"°","º"))-1)),""))))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M338" s="2">
        <f>IF(C338="","",IFERROR(INDEX($S$5:$S$304,MATCH(C338,$R$5:$R$304,0))&amp;"","?"))</f>
        <v/>
      </c>
      <c r="N338" s="2">
        <f>IF(E338="","",IF(LEFT(E338,7)="SUBSOLO",-1,IF(LEFT(E338,6)="TÉRREO",0,IFERROR(VALUE(LEFT(E338,FIND("º",SUBSTITUTE(E338,"°","º"))-1)),""))))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M339" s="2">
        <f>IF(C339="","",IFERROR(INDEX($S$5:$S$304,MATCH(C339,$R$5:$R$304,0))&amp;"","?"))</f>
        <v/>
      </c>
      <c r="N339" s="2">
        <f>IF(E339="","",IF(LEFT(E339,7)="SUBSOLO",-1,IF(LEFT(E339,6)="TÉRREO",0,IFERROR(VALUE(LEFT(E339,FIND("º",SUBSTITUTE(E339,"°","º"))-1)),""))))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M340" s="2">
        <f>IF(C340="","",IFERROR(INDEX($S$5:$S$304,MATCH(C340,$R$5:$R$304,0))&amp;"","?"))</f>
        <v/>
      </c>
      <c r="N340" s="2">
        <f>IF(E340="","",IF(LEFT(E340,7)="SUBSOLO",-1,IF(LEFT(E340,6)="TÉRREO",0,IFERROR(VALUE(LEFT(E340,FIND("º",SUBSTITUTE(E340,"°","º"))-1)),""))))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M341" s="2">
        <f>IF(C341="","",IFERROR(INDEX($S$5:$S$304,MATCH(C341,$R$5:$R$304,0))&amp;"","?"))</f>
        <v/>
      </c>
      <c r="N341" s="2">
        <f>IF(E341="","",IF(LEFT(E341,7)="SUBSOLO",-1,IF(LEFT(E341,6)="TÉRREO",0,IFERROR(VALUE(LEFT(E341,FIND("º",SUBSTITUTE(E341,"°","º"))-1)),""))))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M342" s="2">
        <f>IF(C342="","",IFERROR(INDEX($S$5:$S$304,MATCH(C342,$R$5:$R$304,0))&amp;"","?"))</f>
        <v/>
      </c>
      <c r="N342" s="2">
        <f>IF(E342="","",IF(LEFT(E342,7)="SUBSOLO",-1,IF(LEFT(E342,6)="TÉRREO",0,IFERROR(VALUE(LEFT(E342,FIND("º",SUBSTITUTE(E342,"°","º"))-1)),""))))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M343" s="2">
        <f>IF(C343="","",IFERROR(INDEX($S$5:$S$304,MATCH(C343,$R$5:$R$304,0))&amp;"","?"))</f>
        <v/>
      </c>
      <c r="N343" s="2">
        <f>IF(E343="","",IF(LEFT(E343,7)="SUBSOLO",-1,IF(LEFT(E343,6)="TÉRREO",0,IFERROR(VALUE(LEFT(E343,FIND("º",SUBSTITUTE(E343,"°","º"))-1)),""))))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M344" s="2">
        <f>IF(C344="","",IFERROR(INDEX($S$5:$S$304,MATCH(C344,$R$5:$R$304,0))&amp;"","?"))</f>
        <v/>
      </c>
      <c r="N344" s="2">
        <f>IF(E344="","",IF(LEFT(E344,7)="SUBSOLO",-1,IF(LEFT(E344,6)="TÉRREO",0,IFERROR(VALUE(LEFT(E344,FIND("º",SUBSTITUTE(E344,"°","º"))-1)),""))))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M345" s="2">
        <f>IF(C345="","",IFERROR(INDEX($S$5:$S$304,MATCH(C345,$R$5:$R$304,0))&amp;"","?"))</f>
        <v/>
      </c>
      <c r="N345" s="2">
        <f>IF(E345="","",IF(LEFT(E345,7)="SUBSOLO",-1,IF(LEFT(E345,6)="TÉRREO",0,IFERROR(VALUE(LEFT(E345,FIND("º",SUBSTITUTE(E345,"°","º"))-1)),""))))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M346" s="2">
        <f>IF(C346="","",IFERROR(INDEX($S$5:$S$304,MATCH(C346,$R$5:$R$304,0))&amp;"","?"))</f>
        <v/>
      </c>
      <c r="N346" s="2">
        <f>IF(E346="","",IF(LEFT(E346,7)="SUBSOLO",-1,IF(LEFT(E346,6)="TÉRREO",0,IFERROR(VALUE(LEFT(E346,FIND("º",SUBSTITUTE(E346,"°","º"))-1)),""))))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M347" s="2">
        <f>IF(C347="","",IFERROR(INDEX($S$5:$S$304,MATCH(C347,$R$5:$R$304,0))&amp;"","?"))</f>
        <v/>
      </c>
      <c r="N347" s="2">
        <f>IF(E347="","",IF(LEFT(E347,7)="SUBSOLO",-1,IF(LEFT(E347,6)="TÉRREO",0,IFERROR(VALUE(LEFT(E347,FIND("º",SUBSTITUTE(E347,"°","º"))-1)),""))))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M348" s="2">
        <f>IF(C348="","",IFERROR(INDEX($S$5:$S$304,MATCH(C348,$R$5:$R$304,0))&amp;"","?"))</f>
        <v/>
      </c>
      <c r="N348" s="2">
        <f>IF(E348="","",IF(LEFT(E348,7)="SUBSOLO",-1,IF(LEFT(E348,6)="TÉRREO",0,IFERROR(VALUE(LEFT(E348,FIND("º",SUBSTITUTE(E348,"°","º"))-1)),""))))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M349" s="2">
        <f>IF(C349="","",IFERROR(INDEX($S$5:$S$304,MATCH(C349,$R$5:$R$304,0))&amp;"","?"))</f>
        <v/>
      </c>
      <c r="N349" s="2">
        <f>IF(E349="","",IF(LEFT(E349,7)="SUBSOLO",-1,IF(LEFT(E349,6)="TÉRREO",0,IFERROR(VALUE(LEFT(E349,FIND("º",SUBSTITUTE(E349,"°","º"))-1)),""))))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M350" s="2">
        <f>IF(C350="","",IFERROR(INDEX($S$5:$S$304,MATCH(C350,$R$5:$R$304,0))&amp;"","?"))</f>
        <v/>
      </c>
      <c r="N350" s="2">
        <f>IF(E350="","",IF(LEFT(E350,7)="SUBSOLO",-1,IF(LEFT(E350,6)="TÉRREO",0,IFERROR(VALUE(LEFT(E350,FIND("º",SUBSTITUTE(E350,"°","º"))-1)),""))))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M351" s="2">
        <f>IF(C351="","",IFERROR(INDEX($S$5:$S$304,MATCH(C351,$R$5:$R$304,0))&amp;"","?"))</f>
        <v/>
      </c>
      <c r="N351" s="2">
        <f>IF(E351="","",IF(LEFT(E351,7)="SUBSOLO",-1,IF(LEFT(E351,6)="TÉRREO",0,IFERROR(VALUE(LEFT(E351,FIND("º",SUBSTITUTE(E351,"°","º"))-1)),""))))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M352" s="2">
        <f>IF(C352="","",IFERROR(INDEX($S$5:$S$304,MATCH(C352,$R$5:$R$304,0))&amp;"","?"))</f>
        <v/>
      </c>
      <c r="N352" s="2">
        <f>IF(E352="","",IF(LEFT(E352,7)="SUBSOLO",-1,IF(LEFT(E352,6)="TÉRREO",0,IFERROR(VALUE(LEFT(E352,FIND("º",SUBSTITUTE(E352,"°","º"))-1)),""))))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M353" s="2">
        <f>IF(C353="","",IFERROR(INDEX($S$5:$S$304,MATCH(C353,$R$5:$R$304,0))&amp;"","?"))</f>
        <v/>
      </c>
      <c r="N353" s="2">
        <f>IF(E353="","",IF(LEFT(E353,7)="SUBSOLO",-1,IF(LEFT(E353,6)="TÉRREO",0,IFERROR(VALUE(LEFT(E353,FIND("º",SUBSTITUTE(E353,"°","º"))-1)),""))))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M354" s="2">
        <f>IF(C354="","",IFERROR(INDEX($S$5:$S$304,MATCH(C354,$R$5:$R$304,0))&amp;"","?"))</f>
        <v/>
      </c>
      <c r="N354" s="2">
        <f>IF(E354="","",IF(LEFT(E354,7)="SUBSOLO",-1,IF(LEFT(E354,6)="TÉRREO",0,IFERROR(VALUE(LEFT(E354,FIND("º",SUBSTITUTE(E354,"°","º"))-1)),""))))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M355" s="2">
        <f>IF(C355="","",IFERROR(INDEX($S$5:$S$304,MATCH(C355,$R$5:$R$304,0))&amp;"","?"))</f>
        <v/>
      </c>
      <c r="N355" s="2">
        <f>IF(E355="","",IF(LEFT(E355,7)="SUBSOLO",-1,IF(LEFT(E355,6)="TÉRREO",0,IFERROR(VALUE(LEFT(E355,FIND("º",SUBSTITUTE(E355,"°","º"))-1)),""))))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M356" s="2">
        <f>IF(C356="","",IFERROR(INDEX($S$5:$S$304,MATCH(C356,$R$5:$R$304,0))&amp;"","?"))</f>
        <v/>
      </c>
      <c r="N356" s="2">
        <f>IF(E356="","",IF(LEFT(E356,7)="SUBSOLO",-1,IF(LEFT(E356,6)="TÉRREO",0,IFERROR(VALUE(LEFT(E356,FIND("º",SUBSTITUTE(E356,"°","º"))-1)),""))))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M357" s="2">
        <f>IF(C357="","",IFERROR(INDEX($S$5:$S$304,MATCH(C357,$R$5:$R$304,0))&amp;"","?"))</f>
        <v/>
      </c>
      <c r="N357" s="2">
        <f>IF(E357="","",IF(LEFT(E357,7)="SUBSOLO",-1,IF(LEFT(E357,6)="TÉRREO",0,IFERROR(VALUE(LEFT(E357,FIND("º",SUBSTITUTE(E357,"°","º"))-1)),""))))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M358" s="2">
        <f>IF(C358="","",IFERROR(INDEX($S$5:$S$304,MATCH(C358,$R$5:$R$304,0))&amp;"","?"))</f>
        <v/>
      </c>
      <c r="N358" s="2">
        <f>IF(E358="","",IF(LEFT(E358,7)="SUBSOLO",-1,IF(LEFT(E358,6)="TÉRREO",0,IFERROR(VALUE(LEFT(E358,FIND("º",SUBSTITUTE(E358,"°","º"))-1)),""))))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M359" s="2">
        <f>IF(C359="","",IFERROR(INDEX($S$5:$S$304,MATCH(C359,$R$5:$R$304,0))&amp;"","?"))</f>
        <v/>
      </c>
      <c r="N359" s="2">
        <f>IF(E359="","",IF(LEFT(E359,7)="SUBSOLO",-1,IF(LEFT(E359,6)="TÉRREO",0,IFERROR(VALUE(LEFT(E359,FIND("º",SUBSTITUTE(E359,"°","º"))-1)),""))))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M360" s="2">
        <f>IF(C360="","",IFERROR(INDEX($S$5:$S$304,MATCH(C360,$R$5:$R$304,0))&amp;"","?"))</f>
        <v/>
      </c>
      <c r="N360" s="2">
        <f>IF(E360="","",IF(LEFT(E360,7)="SUBSOLO",-1,IF(LEFT(E360,6)="TÉRREO",0,IFERROR(VALUE(LEFT(E360,FIND("º",SUBSTITUTE(E360,"°","º"))-1)),""))))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M361" s="2">
        <f>IF(C361="","",IFERROR(INDEX($S$5:$S$304,MATCH(C361,$R$5:$R$304,0))&amp;"","?"))</f>
        <v/>
      </c>
      <c r="N361" s="2">
        <f>IF(E361="","",IF(LEFT(E361,7)="SUBSOLO",-1,IF(LEFT(E361,6)="TÉRREO",0,IFERROR(VALUE(LEFT(E361,FIND("º",SUBSTITUTE(E361,"°","º"))-1)),""))))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M362" s="2">
        <f>IF(C362="","",IFERROR(INDEX($S$5:$S$304,MATCH(C362,$R$5:$R$304,0))&amp;"","?"))</f>
        <v/>
      </c>
      <c r="N362" s="2">
        <f>IF(E362="","",IF(LEFT(E362,7)="SUBSOLO",-1,IF(LEFT(E362,6)="TÉRREO",0,IFERROR(VALUE(LEFT(E362,FIND("º",SUBSTITUTE(E362,"°","º"))-1)),""))))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M363" s="2">
        <f>IF(C363="","",IFERROR(INDEX($S$5:$S$304,MATCH(C363,$R$5:$R$304,0))&amp;"","?"))</f>
        <v/>
      </c>
      <c r="N363" s="2">
        <f>IF(E363="","",IF(LEFT(E363,7)="SUBSOLO",-1,IF(LEFT(E363,6)="TÉRREO",0,IFERROR(VALUE(LEFT(E363,FIND("º",SUBSTITUTE(E363,"°","º"))-1)),""))))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M364" s="2">
        <f>IF(C364="","",IFERROR(INDEX($S$5:$S$304,MATCH(C364,$R$5:$R$304,0))&amp;"","?"))</f>
        <v/>
      </c>
      <c r="N364" s="2">
        <f>IF(E364="","",IF(LEFT(E364,7)="SUBSOLO",-1,IF(LEFT(E364,6)="TÉRREO",0,IFERROR(VALUE(LEFT(E364,FIND("º",SUBSTITUTE(E364,"°","º"))-1)),""))))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M365" s="2">
        <f>IF(C365="","",IFERROR(INDEX($S$5:$S$304,MATCH(C365,$R$5:$R$304,0))&amp;"","?"))</f>
        <v/>
      </c>
      <c r="N365" s="2">
        <f>IF(E365="","",IF(LEFT(E365,7)="SUBSOLO",-1,IF(LEFT(E365,6)="TÉRREO",0,IFERROR(VALUE(LEFT(E365,FIND("º",SUBSTITUTE(E365,"°","º"))-1)),""))))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M366" s="2">
        <f>IF(C366="","",IFERROR(INDEX($S$5:$S$304,MATCH(C366,$R$5:$R$304,0))&amp;"","?"))</f>
        <v/>
      </c>
      <c r="N366" s="2">
        <f>IF(E366="","",IF(LEFT(E366,7)="SUBSOLO",-1,IF(LEFT(E366,6)="TÉRREO",0,IFERROR(VALUE(LEFT(E366,FIND("º",SUBSTITUTE(E366,"°","º"))-1)),""))))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M367" s="2">
        <f>IF(C367="","",IFERROR(INDEX($S$5:$S$304,MATCH(C367,$R$5:$R$304,0))&amp;"","?"))</f>
        <v/>
      </c>
      <c r="N367" s="2">
        <f>IF(E367="","",IF(LEFT(E367,7)="SUBSOLO",-1,IF(LEFT(E367,6)="TÉRREO",0,IFERROR(VALUE(LEFT(E367,FIND("º",SUBSTITUTE(E367,"°","º"))-1)),""))))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M368" s="2">
        <f>IF(C368="","",IFERROR(INDEX($S$5:$S$304,MATCH(C368,$R$5:$R$304,0))&amp;"","?"))</f>
        <v/>
      </c>
      <c r="N368" s="2">
        <f>IF(E368="","",IF(LEFT(E368,7)="SUBSOLO",-1,IF(LEFT(E368,6)="TÉRREO",0,IFERROR(VALUE(LEFT(E368,FIND("º",SUBSTITUTE(E368,"°","º"))-1)),""))))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M369" s="2">
        <f>IF(C369="","",IFERROR(INDEX($S$5:$S$304,MATCH(C369,$R$5:$R$304,0))&amp;"","?"))</f>
        <v/>
      </c>
      <c r="N369" s="2">
        <f>IF(E369="","",IF(LEFT(E369,7)="SUBSOLO",-1,IF(LEFT(E369,6)="TÉRREO",0,IFERROR(VALUE(LEFT(E369,FIND("º",SUBSTITUTE(E369,"°","º"))-1)),""))))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M370" s="2">
        <f>IF(C370="","",IFERROR(INDEX($S$5:$S$304,MATCH(C370,$R$5:$R$304,0))&amp;"","?"))</f>
        <v/>
      </c>
      <c r="N370" s="2">
        <f>IF(E370="","",IF(LEFT(E370,7)="SUBSOLO",-1,IF(LEFT(E370,6)="TÉRREO",0,IFERROR(VALUE(LEFT(E370,FIND("º",SUBSTITUTE(E370,"°","º"))-1)),""))))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M371" s="2">
        <f>IF(C371="","",IFERROR(INDEX($S$5:$S$304,MATCH(C371,$R$5:$R$304,0))&amp;"","?"))</f>
        <v/>
      </c>
      <c r="N371" s="2">
        <f>IF(E371="","",IF(LEFT(E371,7)="SUBSOLO",-1,IF(LEFT(E371,6)="TÉRREO",0,IFERROR(VALUE(LEFT(E371,FIND("º",SUBSTITUTE(E371,"°","º"))-1)),""))))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M372" s="2">
        <f>IF(C372="","",IFERROR(INDEX($S$5:$S$304,MATCH(C372,$R$5:$R$304,0))&amp;"","?"))</f>
        <v/>
      </c>
      <c r="N372" s="2">
        <f>IF(E372="","",IF(LEFT(E372,7)="SUBSOLO",-1,IF(LEFT(E372,6)="TÉRREO",0,IFERROR(VALUE(LEFT(E372,FIND("º",SUBSTITUTE(E372,"°","º"))-1)),""))))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M373" s="2">
        <f>IF(C373="","",IFERROR(INDEX($S$5:$S$304,MATCH(C373,$R$5:$R$304,0))&amp;"","?"))</f>
        <v/>
      </c>
      <c r="N373" s="2">
        <f>IF(E373="","",IF(LEFT(E373,7)="SUBSOLO",-1,IF(LEFT(E373,6)="TÉRREO",0,IFERROR(VALUE(LEFT(E373,FIND("º",SUBSTITUTE(E373,"°","º"))-1)),""))))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M374" s="2">
        <f>IF(C374="","",IFERROR(INDEX($S$5:$S$304,MATCH(C374,$R$5:$R$304,0))&amp;"","?"))</f>
        <v/>
      </c>
      <c r="N374" s="2">
        <f>IF(E374="","",IF(LEFT(E374,7)="SUBSOLO",-1,IF(LEFT(E374,6)="TÉRREO",0,IFERROR(VALUE(LEFT(E374,FIND("º",SUBSTITUTE(E374,"°","º"))-1)),""))))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M375" s="2">
        <f>IF(C375="","",IFERROR(INDEX($S$5:$S$304,MATCH(C375,$R$5:$R$304,0))&amp;"","?"))</f>
        <v/>
      </c>
      <c r="N375" s="2">
        <f>IF(E375="","",IF(LEFT(E375,7)="SUBSOLO",-1,IF(LEFT(E375,6)="TÉRREO",0,IFERROR(VALUE(LEFT(E375,FIND("º",SUBSTITUTE(E375,"°","º"))-1)),""))))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M376" s="2">
        <f>IF(C376="","",IFERROR(INDEX($S$5:$S$304,MATCH(C376,$R$5:$R$304,0))&amp;"","?"))</f>
        <v/>
      </c>
      <c r="N376" s="2">
        <f>IF(E376="","",IF(LEFT(E376,7)="SUBSOLO",-1,IF(LEFT(E376,6)="TÉRREO",0,IFERROR(VALUE(LEFT(E376,FIND("º",SUBSTITUTE(E376,"°","º"))-1)),""))))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M377" s="2">
        <f>IF(C377="","",IFERROR(INDEX($S$5:$S$304,MATCH(C377,$R$5:$R$304,0))&amp;"","?"))</f>
        <v/>
      </c>
      <c r="N377" s="2">
        <f>IF(E377="","",IF(LEFT(E377,7)="SUBSOLO",-1,IF(LEFT(E377,6)="TÉRREO",0,IFERROR(VALUE(LEFT(E377,FIND("º",SUBSTITUTE(E377,"°","º"))-1)),""))))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M378" s="2">
        <f>IF(C378="","",IFERROR(INDEX($S$5:$S$304,MATCH(C378,$R$5:$R$304,0))&amp;"","?"))</f>
        <v/>
      </c>
      <c r="N378" s="2">
        <f>IF(E378="","",IF(LEFT(E378,7)="SUBSOLO",-1,IF(LEFT(E378,6)="TÉRREO",0,IFERROR(VALUE(LEFT(E378,FIND("º",SUBSTITUTE(E378,"°","º"))-1)),""))))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M379" s="2">
        <f>IF(C379="","",IFERROR(INDEX($S$5:$S$304,MATCH(C379,$R$5:$R$304,0))&amp;"","?"))</f>
        <v/>
      </c>
      <c r="N379" s="2">
        <f>IF(E379="","",IF(LEFT(E379,7)="SUBSOLO",-1,IF(LEFT(E379,6)="TÉRREO",0,IFERROR(VALUE(LEFT(E379,FIND("º",SUBSTITUTE(E379,"°","º"))-1)),""))))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M380" s="2">
        <f>IF(C380="","",IFERROR(INDEX($S$5:$S$304,MATCH(C380,$R$5:$R$304,0))&amp;"","?"))</f>
        <v/>
      </c>
      <c r="N380" s="2">
        <f>IF(E380="","",IF(LEFT(E380,7)="SUBSOLO",-1,IF(LEFT(E380,6)="TÉRREO",0,IFERROR(VALUE(LEFT(E380,FIND("º",SUBSTITUTE(E380,"°","º"))-1)),""))))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M381" s="2">
        <f>IF(C381="","",IFERROR(INDEX($S$5:$S$304,MATCH(C381,$R$5:$R$304,0))&amp;"","?"))</f>
        <v/>
      </c>
      <c r="N381" s="2">
        <f>IF(E381="","",IF(LEFT(E381,7)="SUBSOLO",-1,IF(LEFT(E381,6)="TÉRREO",0,IFERROR(VALUE(LEFT(E381,FIND("º",SUBSTITUTE(E381,"°","º"))-1)),""))))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M382" s="2">
        <f>IF(C382="","",IFERROR(INDEX($S$5:$S$304,MATCH(C382,$R$5:$R$304,0))&amp;"","?"))</f>
        <v/>
      </c>
      <c r="N382" s="2">
        <f>IF(E382="","",IF(LEFT(E382,7)="SUBSOLO",-1,IF(LEFT(E382,6)="TÉRREO",0,IFERROR(VALUE(LEFT(E382,FIND("º",SUBSTITUTE(E382,"°","º"))-1)),""))))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M383" s="2">
        <f>IF(C383="","",IFERROR(INDEX($S$5:$S$304,MATCH(C383,$R$5:$R$304,0))&amp;"","?"))</f>
        <v/>
      </c>
      <c r="N383" s="2">
        <f>IF(E383="","",IF(LEFT(E383,7)="SUBSOLO",-1,IF(LEFT(E383,6)="TÉRREO",0,IFERROR(VALUE(LEFT(E383,FIND("º",SUBSTITUTE(E383,"°","º"))-1)),""))))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M384" s="2">
        <f>IF(C384="","",IFERROR(INDEX($S$5:$S$304,MATCH(C384,$R$5:$R$304,0))&amp;"","?"))</f>
        <v/>
      </c>
      <c r="N384" s="2">
        <f>IF(E384="","",IF(LEFT(E384,7)="SUBSOLO",-1,IF(LEFT(E384,6)="TÉRREO",0,IFERROR(VALUE(LEFT(E384,FIND("º",SUBSTITUTE(E384,"°","º"))-1)),""))))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M385" s="2">
        <f>IF(C385="","",IFERROR(INDEX($S$5:$S$304,MATCH(C385,$R$5:$R$304,0))&amp;"","?"))</f>
        <v/>
      </c>
      <c r="N385" s="2">
        <f>IF(E385="","",IF(LEFT(E385,7)="SUBSOLO",-1,IF(LEFT(E385,6)="TÉRREO",0,IFERROR(VALUE(LEFT(E385,FIND("º",SUBSTITUTE(E385,"°","º"))-1)),""))))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M386" s="2">
        <f>IF(C386="","",IFERROR(INDEX($S$5:$S$304,MATCH(C386,$R$5:$R$304,0))&amp;"","?"))</f>
        <v/>
      </c>
      <c r="N386" s="2">
        <f>IF(E386="","",IF(LEFT(E386,7)="SUBSOLO",-1,IF(LEFT(E386,6)="TÉRREO",0,IFERROR(VALUE(LEFT(E386,FIND("º",SUBSTITUTE(E386,"°","º"))-1)),""))))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M387" s="2">
        <f>IF(C387="","",IFERROR(INDEX($S$5:$S$304,MATCH(C387,$R$5:$R$304,0))&amp;"","?"))</f>
        <v/>
      </c>
      <c r="N387" s="2">
        <f>IF(E387="","",IF(LEFT(E387,7)="SUBSOLO",-1,IF(LEFT(E387,6)="TÉRREO",0,IFERROR(VALUE(LEFT(E387,FIND("º",SUBSTITUTE(E387,"°","º"))-1)),""))))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M388" s="2">
        <f>IF(C388="","",IFERROR(INDEX($S$5:$S$304,MATCH(C388,$R$5:$R$304,0))&amp;"","?"))</f>
        <v/>
      </c>
      <c r="N388" s="2">
        <f>IF(E388="","",IF(LEFT(E388,7)="SUBSOLO",-1,IF(LEFT(E388,6)="TÉRREO",0,IFERROR(VALUE(LEFT(E388,FIND("º",SUBSTITUTE(E388,"°","º"))-1)),""))))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M389" s="2">
        <f>IF(C389="","",IFERROR(INDEX($S$5:$S$304,MATCH(C389,$R$5:$R$304,0))&amp;"","?"))</f>
        <v/>
      </c>
      <c r="N389" s="2">
        <f>IF(E389="","",IF(LEFT(E389,7)="SUBSOLO",-1,IF(LEFT(E389,6)="TÉRREO",0,IFERROR(VALUE(LEFT(E389,FIND("º",SUBSTITUTE(E389,"°","º"))-1)),""))))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M390" s="2">
        <f>IF(C390="","",IFERROR(INDEX($S$5:$S$304,MATCH(C390,$R$5:$R$304,0))&amp;"","?"))</f>
        <v/>
      </c>
      <c r="N390" s="2">
        <f>IF(E390="","",IF(LEFT(E390,7)="SUBSOLO",-1,IF(LEFT(E390,6)="TÉRREO",0,IFERROR(VALUE(LEFT(E390,FIND("º",SUBSTITUTE(E390,"°","º"))-1)),""))))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M391" s="2">
        <f>IF(C391="","",IFERROR(INDEX($S$5:$S$304,MATCH(C391,$R$5:$R$304,0))&amp;"","?"))</f>
        <v/>
      </c>
      <c r="N391" s="2">
        <f>IF(E391="","",IF(LEFT(E391,7)="SUBSOLO",-1,IF(LEFT(E391,6)="TÉRREO",0,IFERROR(VALUE(LEFT(E391,FIND("º",SUBSTITUTE(E391,"°","º"))-1)),""))))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M392" s="2">
        <f>IF(C392="","",IFERROR(INDEX($S$5:$S$304,MATCH(C392,$R$5:$R$304,0))&amp;"","?"))</f>
        <v/>
      </c>
      <c r="N392" s="2">
        <f>IF(E392="","",IF(LEFT(E392,7)="SUBSOLO",-1,IF(LEFT(E392,6)="TÉRREO",0,IFERROR(VALUE(LEFT(E392,FIND("º",SUBSTITUTE(E392,"°","º"))-1)),""))))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M393" s="2">
        <f>IF(C393="","",IFERROR(INDEX($S$5:$S$304,MATCH(C393,$R$5:$R$304,0))&amp;"","?"))</f>
        <v/>
      </c>
      <c r="N393" s="2">
        <f>IF(E393="","",IF(LEFT(E393,7)="SUBSOLO",-1,IF(LEFT(E393,6)="TÉRREO",0,IFERROR(VALUE(LEFT(E393,FIND("º",SUBSTITUTE(E393,"°","º"))-1)),""))))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M394" s="2">
        <f>IF(C394="","",IFERROR(INDEX($S$5:$S$304,MATCH(C394,$R$5:$R$304,0))&amp;"","?"))</f>
        <v/>
      </c>
      <c r="N394" s="2">
        <f>IF(E394="","",IF(LEFT(E394,7)="SUBSOLO",-1,IF(LEFT(E394,6)="TÉRREO",0,IFERROR(VALUE(LEFT(E394,FIND("º",SUBSTITUTE(E394,"°","º"))-1)),""))))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M395" s="2">
        <f>IF(C395="","",IFERROR(INDEX($S$5:$S$304,MATCH(C395,$R$5:$R$304,0))&amp;"","?"))</f>
        <v/>
      </c>
      <c r="N395" s="2">
        <f>IF(E395="","",IF(LEFT(E395,7)="SUBSOLO",-1,IF(LEFT(E395,6)="TÉRREO",0,IFERROR(VALUE(LEFT(E395,FIND("º",SUBSTITUTE(E395,"°","º"))-1)),""))))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M396" s="2">
        <f>IF(C396="","",IFERROR(INDEX($S$5:$S$304,MATCH(C396,$R$5:$R$304,0))&amp;"","?"))</f>
        <v/>
      </c>
      <c r="N396" s="2">
        <f>IF(E396="","",IF(LEFT(E396,7)="SUBSOLO",-1,IF(LEFT(E396,6)="TÉRREO",0,IFERROR(VALUE(LEFT(E396,FIND("º",SUBSTITUTE(E396,"°","º"))-1)),""))))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M397" s="2">
        <f>IF(C397="","",IFERROR(INDEX($S$5:$S$304,MATCH(C397,$R$5:$R$304,0))&amp;"","?"))</f>
        <v/>
      </c>
      <c r="N397" s="2">
        <f>IF(E397="","",IF(LEFT(E397,7)="SUBSOLO",-1,IF(LEFT(E397,6)="TÉRREO",0,IFERROR(VALUE(LEFT(E397,FIND("º",SUBSTITUTE(E397,"°","º"))-1)),""))))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M398" s="2">
        <f>IF(C398="","",IFERROR(INDEX($S$5:$S$304,MATCH(C398,$R$5:$R$304,0))&amp;"","?"))</f>
        <v/>
      </c>
      <c r="N398" s="2">
        <f>IF(E398="","",IF(LEFT(E398,7)="SUBSOLO",-1,IF(LEFT(E398,6)="TÉRREO",0,IFERROR(VALUE(LEFT(E398,FIND("º",SUBSTITUTE(E398,"°","º"))-1)),""))))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M399" s="2">
        <f>IF(C399="","",IFERROR(INDEX($S$5:$S$304,MATCH(C399,$R$5:$R$304,0))&amp;"","?"))</f>
        <v/>
      </c>
      <c r="N399" s="2">
        <f>IF(E399="","",IF(LEFT(E399,7)="SUBSOLO",-1,IF(LEFT(E399,6)="TÉRREO",0,IFERROR(VALUE(LEFT(E399,FIND("º",SUBSTITUTE(E399,"°","º"))-1)),""))))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M400" s="2">
        <f>IF(C400="","",IFERROR(INDEX($S$5:$S$304,MATCH(C400,$R$5:$R$304,0))&amp;"","?"))</f>
        <v/>
      </c>
      <c r="N400" s="2">
        <f>IF(E400="","",IF(LEFT(E400,7)="SUBSOLO",-1,IF(LEFT(E400,6)="TÉRREO",0,IFERROR(VALUE(LEFT(E400,FIND("º",SUBSTITUTE(E400,"°","º"))-1)),""))))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M401" s="2">
        <f>IF(C401="","",IFERROR(INDEX($S$5:$S$304,MATCH(C401,$R$5:$R$304,0))&amp;"","?"))</f>
        <v/>
      </c>
      <c r="N401" s="2">
        <f>IF(E401="","",IF(LEFT(E401,7)="SUBSOLO",-1,IF(LEFT(E401,6)="TÉRREO",0,IFERROR(VALUE(LEFT(E401,FIND("º",SUBSTITUTE(E401,"°","º"))-1)),""))))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M402" s="2">
        <f>IF(C402="","",IFERROR(INDEX($S$5:$S$304,MATCH(C402,$R$5:$R$304,0))&amp;"","?"))</f>
        <v/>
      </c>
      <c r="N402" s="2">
        <f>IF(E402="","",IF(LEFT(E402,7)="SUBSOLO",-1,IF(LEFT(E402,6)="TÉRREO",0,IFERROR(VALUE(LEFT(E402,FIND("º",SUBSTITUTE(E402,"°","º"))-1)),""))))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M403" s="2">
        <f>IF(C403="","",IFERROR(INDEX($S$5:$S$304,MATCH(C403,$R$5:$R$304,0))&amp;"","?"))</f>
        <v/>
      </c>
      <c r="N403" s="2">
        <f>IF(E403="","",IF(LEFT(E403,7)="SUBSOLO",-1,IF(LEFT(E403,6)="TÉRREO",0,IFERROR(VALUE(LEFT(E403,FIND("º",SUBSTITUTE(E403,"°","º"))-1)),""))))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M404" s="2">
        <f>IF(C404="","",IFERROR(INDEX($S$5:$S$304,MATCH(C404,$R$5:$R$304,0))&amp;"","?"))</f>
        <v/>
      </c>
      <c r="N404" s="2">
        <f>IF(E404="","",IF(LEFT(E404,7)="SUBSOLO",-1,IF(LEFT(E404,6)="TÉRREO",0,IFERROR(VALUE(LEFT(E404,FIND("º",SUBSTITUTE(E404,"°","º"))-1)),""))))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M405" s="2">
        <f>IF(C405="","",IFERROR(INDEX($S$5:$S$304,MATCH(C405,$R$5:$R$304,0))&amp;"","?"))</f>
        <v/>
      </c>
      <c r="N405" s="2">
        <f>IF(E405="","",IF(LEFT(E405,7)="SUBSOLO",-1,IF(LEFT(E405,6)="TÉRREO",0,IFERROR(VALUE(LEFT(E405,FIND("º",SUBSTITUTE(E405,"°","º"))-1)),""))))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M406" s="2">
        <f>IF(C406="","",IFERROR(INDEX($S$5:$S$304,MATCH(C406,$R$5:$R$304,0))&amp;"","?"))</f>
        <v/>
      </c>
      <c r="N406" s="2">
        <f>IF(E406="","",IF(LEFT(E406,7)="SUBSOLO",-1,IF(LEFT(E406,6)="TÉRREO",0,IFERROR(VALUE(LEFT(E406,FIND("º",SUBSTITUTE(E406,"°","º"))-1)),""))))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M407" s="2">
        <f>IF(C407="","",IFERROR(INDEX($S$5:$S$304,MATCH(C407,$R$5:$R$304,0))&amp;"","?"))</f>
        <v/>
      </c>
      <c r="N407" s="2">
        <f>IF(E407="","",IF(LEFT(E407,7)="SUBSOLO",-1,IF(LEFT(E407,6)="TÉRREO",0,IFERROR(VALUE(LEFT(E407,FIND("º",SUBSTITUTE(E407,"°","º"))-1)),""))))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M408" s="2">
        <f>IF(C408="","",IFERROR(INDEX($S$5:$S$304,MATCH(C408,$R$5:$R$304,0))&amp;"","?"))</f>
        <v/>
      </c>
      <c r="N408" s="2">
        <f>IF(E408="","",IF(LEFT(E408,7)="SUBSOLO",-1,IF(LEFT(E408,6)="TÉRREO",0,IFERROR(VALUE(LEFT(E408,FIND("º",SUBSTITUTE(E408,"°","º"))-1)),""))))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M409" s="2">
        <f>IF(C409="","",IFERROR(INDEX($S$5:$S$304,MATCH(C409,$R$5:$R$304,0))&amp;"","?"))</f>
        <v/>
      </c>
      <c r="N409" s="2">
        <f>IF(E409="","",IF(LEFT(E409,7)="SUBSOLO",-1,IF(LEFT(E409,6)="TÉRREO",0,IFERROR(VALUE(LEFT(E409,FIND("º",SUBSTITUTE(E409,"°","º"))-1)),""))))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M410" s="2">
        <f>IF(C410="","",IFERROR(INDEX($S$5:$S$304,MATCH(C410,$R$5:$R$304,0))&amp;"","?"))</f>
        <v/>
      </c>
      <c r="N410" s="2">
        <f>IF(E410="","",IF(LEFT(E410,7)="SUBSOLO",-1,IF(LEFT(E410,6)="TÉRREO",0,IFERROR(VALUE(LEFT(E410,FIND("º",SUBSTITUTE(E410,"°","º"))-1)),""))))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M411" s="2">
        <f>IF(C411="","",IFERROR(INDEX($S$5:$S$304,MATCH(C411,$R$5:$R$304,0))&amp;"","?"))</f>
        <v/>
      </c>
      <c r="N411" s="2">
        <f>IF(E411="","",IF(LEFT(E411,7)="SUBSOLO",-1,IF(LEFT(E411,6)="TÉRREO",0,IFERROR(VALUE(LEFT(E411,FIND("º",SUBSTITUTE(E411,"°","º"))-1)),""))))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M412" s="2">
        <f>IF(C412="","",IFERROR(INDEX($S$5:$S$304,MATCH(C412,$R$5:$R$304,0))&amp;"","?"))</f>
        <v/>
      </c>
      <c r="N412" s="2">
        <f>IF(E412="","",IF(LEFT(E412,7)="SUBSOLO",-1,IF(LEFT(E412,6)="TÉRREO",0,IFERROR(VALUE(LEFT(E412,FIND("º",SUBSTITUTE(E412,"°","º"))-1)),""))))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M413" s="2">
        <f>IF(C413="","",IFERROR(INDEX($S$5:$S$304,MATCH(C413,$R$5:$R$304,0))&amp;"","?"))</f>
        <v/>
      </c>
      <c r="N413" s="2">
        <f>IF(E413="","",IF(LEFT(E413,7)="SUBSOLO",-1,IF(LEFT(E413,6)="TÉRREO",0,IFERROR(VALUE(LEFT(E413,FIND("º",SUBSTITUTE(E413,"°","º"))-1)),""))))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M414" s="2">
        <f>IF(C414="","",IFERROR(INDEX($S$5:$S$304,MATCH(C414,$R$5:$R$304,0))&amp;"","?"))</f>
        <v/>
      </c>
      <c r="N414" s="2">
        <f>IF(E414="","",IF(LEFT(E414,7)="SUBSOLO",-1,IF(LEFT(E414,6)="TÉRREO",0,IFERROR(VALUE(LEFT(E414,FIND("º",SUBSTITUTE(E414,"°","º"))-1)),""))))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M415" s="2">
        <f>IF(C415="","",IFERROR(INDEX($S$5:$S$304,MATCH(C415,$R$5:$R$304,0))&amp;"","?"))</f>
        <v/>
      </c>
      <c r="N415" s="2">
        <f>IF(E415="","",IF(LEFT(E415,7)="SUBSOLO",-1,IF(LEFT(E415,6)="TÉRREO",0,IFERROR(VALUE(LEFT(E415,FIND("º",SUBSTITUTE(E415,"°","º"))-1)),""))))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M416" s="2">
        <f>IF(C416="","",IFERROR(INDEX($S$5:$S$304,MATCH(C416,$R$5:$R$304,0))&amp;"","?"))</f>
        <v/>
      </c>
      <c r="N416" s="2">
        <f>IF(E416="","",IF(LEFT(E416,7)="SUBSOLO",-1,IF(LEFT(E416,6)="TÉRREO",0,IFERROR(VALUE(LEFT(E416,FIND("º",SUBSTITUTE(E416,"°","º"))-1)),""))))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M417" s="2">
        <f>IF(C417="","",IFERROR(INDEX($S$5:$S$304,MATCH(C417,$R$5:$R$304,0))&amp;"","?"))</f>
        <v/>
      </c>
      <c r="N417" s="2">
        <f>IF(E417="","",IF(LEFT(E417,7)="SUBSOLO",-1,IF(LEFT(E417,6)="TÉRREO",0,IFERROR(VALUE(LEFT(E417,FIND("º",SUBSTITUTE(E417,"°","º"))-1)),""))))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M418" s="2">
        <f>IF(C418="","",IFERROR(INDEX($S$5:$S$304,MATCH(C418,$R$5:$R$304,0))&amp;"","?"))</f>
        <v/>
      </c>
      <c r="N418" s="2">
        <f>IF(E418="","",IF(LEFT(E418,7)="SUBSOLO",-1,IF(LEFT(E418,6)="TÉRREO",0,IFERROR(VALUE(LEFT(E418,FIND("º",SUBSTITUTE(E418,"°","º"))-1)),""))))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M419" s="2">
        <f>IF(C419="","",IFERROR(INDEX($S$5:$S$304,MATCH(C419,$R$5:$R$304,0))&amp;"","?"))</f>
        <v/>
      </c>
      <c r="N419" s="2">
        <f>IF(E419="","",IF(LEFT(E419,7)="SUBSOLO",-1,IF(LEFT(E419,6)="TÉRREO",0,IFERROR(VALUE(LEFT(E419,FIND("º",SUBSTITUTE(E419,"°","º"))-1)),""))))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M420" s="2">
        <f>IF(C420="","",IFERROR(INDEX($S$5:$S$304,MATCH(C420,$R$5:$R$304,0))&amp;"","?"))</f>
        <v/>
      </c>
      <c r="N420" s="2">
        <f>IF(E420="","",IF(LEFT(E420,7)="SUBSOLO",-1,IF(LEFT(E420,6)="TÉRREO",0,IFERROR(VALUE(LEFT(E420,FIND("º",SUBSTITUTE(E420,"°","º"))-1)),""))))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M421" s="2">
        <f>IF(C421="","",IFERROR(INDEX($S$5:$S$304,MATCH(C421,$R$5:$R$304,0))&amp;"","?"))</f>
        <v/>
      </c>
      <c r="N421" s="2">
        <f>IF(E421="","",IF(LEFT(E421,7)="SUBSOLO",-1,IF(LEFT(E421,6)="TÉRREO",0,IFERROR(VALUE(LEFT(E421,FIND("º",SUBSTITUTE(E421,"°","º"))-1)),""))))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M422" s="2">
        <f>IF(C422="","",IFERROR(INDEX($S$5:$S$304,MATCH(C422,$R$5:$R$304,0))&amp;"","?"))</f>
        <v/>
      </c>
      <c r="N422" s="2">
        <f>IF(E422="","",IF(LEFT(E422,7)="SUBSOLO",-1,IF(LEFT(E422,6)="TÉRREO",0,IFERROR(VALUE(LEFT(E422,FIND("º",SUBSTITUTE(E422,"°","º"))-1)),""))))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M423" s="2">
        <f>IF(C423="","",IFERROR(INDEX($S$5:$S$304,MATCH(C423,$R$5:$R$304,0))&amp;"","?"))</f>
        <v/>
      </c>
      <c r="N423" s="2">
        <f>IF(E423="","",IF(LEFT(E423,7)="SUBSOLO",-1,IF(LEFT(E423,6)="TÉRREO",0,IFERROR(VALUE(LEFT(E423,FIND("º",SUBSTITUTE(E423,"°","º"))-1)),""))))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M424" s="2">
        <f>IF(C424="","",IFERROR(INDEX($S$5:$S$304,MATCH(C424,$R$5:$R$304,0))&amp;"","?"))</f>
        <v/>
      </c>
      <c r="N424" s="2">
        <f>IF(E424="","",IF(LEFT(E424,7)="SUBSOLO",-1,IF(LEFT(E424,6)="TÉRREO",0,IFERROR(VALUE(LEFT(E424,FIND("º",SUBSTITUTE(E424,"°","º"))-1)),""))))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M425" s="2">
        <f>IF(C425="","",IFERROR(INDEX($S$5:$S$304,MATCH(C425,$R$5:$R$304,0))&amp;"","?"))</f>
        <v/>
      </c>
      <c r="N425" s="2">
        <f>IF(E425="","",IF(LEFT(E425,7)="SUBSOLO",-1,IF(LEFT(E425,6)="TÉRREO",0,IFERROR(VALUE(LEFT(E425,FIND("º",SUBSTITUTE(E425,"°","º"))-1)),""))))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M426" s="2">
        <f>IF(C426="","",IFERROR(INDEX($S$5:$S$304,MATCH(C426,$R$5:$R$304,0))&amp;"","?"))</f>
        <v/>
      </c>
      <c r="N426" s="2">
        <f>IF(E426="","",IF(LEFT(E426,7)="SUBSOLO",-1,IF(LEFT(E426,6)="TÉRREO",0,IFERROR(VALUE(LEFT(E426,FIND("º",SUBSTITUTE(E426,"°","º"))-1)),""))))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M427" s="2">
        <f>IF(C427="","",IFERROR(INDEX($S$5:$S$304,MATCH(C427,$R$5:$R$304,0))&amp;"","?"))</f>
        <v/>
      </c>
      <c r="N427" s="2">
        <f>IF(E427="","",IF(LEFT(E427,7)="SUBSOLO",-1,IF(LEFT(E427,6)="TÉRREO",0,IFERROR(VALUE(LEFT(E427,FIND("º",SUBSTITUTE(E427,"°","º"))-1)),""))))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M428" s="2">
        <f>IF(C428="","",IFERROR(INDEX($S$5:$S$304,MATCH(C428,$R$5:$R$304,0))&amp;"","?"))</f>
        <v/>
      </c>
      <c r="N428" s="2">
        <f>IF(E428="","",IF(LEFT(E428,7)="SUBSOLO",-1,IF(LEFT(E428,6)="TÉRREO",0,IFERROR(VALUE(LEFT(E428,FIND("º",SUBSTITUTE(E428,"°","º"))-1)),""))))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M429" s="2">
        <f>IF(C429="","",IFERROR(INDEX($S$5:$S$304,MATCH(C429,$R$5:$R$304,0))&amp;"","?"))</f>
        <v/>
      </c>
      <c r="N429" s="2">
        <f>IF(E429="","",IF(LEFT(E429,7)="SUBSOLO",-1,IF(LEFT(E429,6)="TÉRREO",0,IFERROR(VALUE(LEFT(E429,FIND("º",SUBSTITUTE(E429,"°","º"))-1)),""))))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M430" s="2">
        <f>IF(C430="","",IFERROR(INDEX($S$5:$S$304,MATCH(C430,$R$5:$R$304,0))&amp;"","?"))</f>
        <v/>
      </c>
      <c r="N430" s="2">
        <f>IF(E430="","",IF(LEFT(E430,7)="SUBSOLO",-1,IF(LEFT(E430,6)="TÉRREO",0,IFERROR(VALUE(LEFT(E430,FIND("º",SUBSTITUTE(E430,"°","º"))-1)),""))))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M431" s="2">
        <f>IF(C431="","",IFERROR(INDEX($S$5:$S$304,MATCH(C431,$R$5:$R$304,0))&amp;"","?"))</f>
        <v/>
      </c>
      <c r="N431" s="2">
        <f>IF(E431="","",IF(LEFT(E431,7)="SUBSOLO",-1,IF(LEFT(E431,6)="TÉRREO",0,IFERROR(VALUE(LEFT(E431,FIND("º",SUBSTITUTE(E431,"°","º"))-1)),""))))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M432" s="2">
        <f>IF(C432="","",IFERROR(INDEX($S$5:$S$304,MATCH(C432,$R$5:$R$304,0))&amp;"","?"))</f>
        <v/>
      </c>
      <c r="N432" s="2">
        <f>IF(E432="","",IF(LEFT(E432,7)="SUBSOLO",-1,IF(LEFT(E432,6)="TÉRREO",0,IFERROR(VALUE(LEFT(E432,FIND("º",SUBSTITUTE(E432,"°","º"))-1)),""))))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M433" s="2">
        <f>IF(C433="","",IFERROR(INDEX($S$5:$S$304,MATCH(C433,$R$5:$R$304,0))&amp;"","?"))</f>
        <v/>
      </c>
      <c r="N433" s="2">
        <f>IF(E433="","",IF(LEFT(E433,7)="SUBSOLO",-1,IF(LEFT(E433,6)="TÉRREO",0,IFERROR(VALUE(LEFT(E433,FIND("º",SUBSTITUTE(E433,"°","º"))-1)),""))))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M434" s="2">
        <f>IF(C434="","",IFERROR(INDEX($S$5:$S$304,MATCH(C434,$R$5:$R$304,0))&amp;"","?"))</f>
        <v/>
      </c>
      <c r="N434" s="2">
        <f>IF(E434="","",IF(LEFT(E434,7)="SUBSOLO",-1,IF(LEFT(E434,6)="TÉRREO",0,IFERROR(VALUE(LEFT(E434,FIND("º",SUBSTITUTE(E434,"°","º"))-1)),""))))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M435" s="2">
        <f>IF(C435="","",IFERROR(INDEX($S$5:$S$304,MATCH(C435,$R$5:$R$304,0))&amp;"","?"))</f>
        <v/>
      </c>
      <c r="N435" s="2">
        <f>IF(E435="","",IF(LEFT(E435,7)="SUBSOLO",-1,IF(LEFT(E435,6)="TÉRREO",0,IFERROR(VALUE(LEFT(E435,FIND("º",SUBSTITUTE(E435,"°","º"))-1)),""))))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M436" s="2">
        <f>IF(C436="","",IFERROR(INDEX($S$5:$S$304,MATCH(C436,$R$5:$R$304,0))&amp;"","?"))</f>
        <v/>
      </c>
      <c r="N436" s="2">
        <f>IF(E436="","",IF(LEFT(E436,7)="SUBSOLO",-1,IF(LEFT(E436,6)="TÉRREO",0,IFERROR(VALUE(LEFT(E436,FIND("º",SUBSTITUTE(E436,"°","º"))-1)),""))))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M437" s="2">
        <f>IF(C437="","",IFERROR(INDEX($S$5:$S$304,MATCH(C437,$R$5:$R$304,0))&amp;"","?"))</f>
        <v/>
      </c>
      <c r="N437" s="2">
        <f>IF(E437="","",IF(LEFT(E437,7)="SUBSOLO",-1,IF(LEFT(E437,6)="TÉRREO",0,IFERROR(VALUE(LEFT(E437,FIND("º",SUBSTITUTE(E437,"°","º"))-1)),""))))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M438" s="2">
        <f>IF(C438="","",IFERROR(INDEX($S$5:$S$304,MATCH(C438,$R$5:$R$304,0))&amp;"","?"))</f>
        <v/>
      </c>
      <c r="N438" s="2">
        <f>IF(E438="","",IF(LEFT(E438,7)="SUBSOLO",-1,IF(LEFT(E438,6)="TÉRREO",0,IFERROR(VALUE(LEFT(E438,FIND("º",SUBSTITUTE(E438,"°","º"))-1)),""))))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M439" s="2">
        <f>IF(C439="","",IFERROR(INDEX($S$5:$S$304,MATCH(C439,$R$5:$R$304,0))&amp;"","?"))</f>
        <v/>
      </c>
      <c r="N439" s="2">
        <f>IF(E439="","",IF(LEFT(E439,7)="SUBSOLO",-1,IF(LEFT(E439,6)="TÉRREO",0,IFERROR(VALUE(LEFT(E439,FIND("º",SUBSTITUTE(E439,"°","º"))-1)),""))))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M440" s="2">
        <f>IF(C440="","",IFERROR(INDEX($S$5:$S$304,MATCH(C440,$R$5:$R$304,0))&amp;"","?"))</f>
        <v/>
      </c>
      <c r="N440" s="2">
        <f>IF(E440="","",IF(LEFT(E440,7)="SUBSOLO",-1,IF(LEFT(E440,6)="TÉRREO",0,IFERROR(VALUE(LEFT(E440,FIND("º",SUBSTITUTE(E440,"°","º"))-1)),""))))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M441" s="2">
        <f>IF(C441="","",IFERROR(INDEX($S$5:$S$304,MATCH(C441,$R$5:$R$304,0))&amp;"","?"))</f>
        <v/>
      </c>
      <c r="N441" s="2">
        <f>IF(E441="","",IF(LEFT(E441,7)="SUBSOLO",-1,IF(LEFT(E441,6)="TÉRREO",0,IFERROR(VALUE(LEFT(E441,FIND("º",SUBSTITUTE(E441,"°","º"))-1)),""))))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M442" s="2">
        <f>IF(C442="","",IFERROR(INDEX($S$5:$S$304,MATCH(C442,$R$5:$R$304,0))&amp;"","?"))</f>
        <v/>
      </c>
      <c r="N442" s="2">
        <f>IF(E442="","",IF(LEFT(E442,7)="SUBSOLO",-1,IF(LEFT(E442,6)="TÉRREO",0,IFERROR(VALUE(LEFT(E442,FIND("º",SUBSTITUTE(E442,"°","º"))-1)),""))))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M443" s="2">
        <f>IF(C443="","",IFERROR(INDEX($S$5:$S$304,MATCH(C443,$R$5:$R$304,0))&amp;"","?"))</f>
        <v/>
      </c>
      <c r="N443" s="2">
        <f>IF(E443="","",IF(LEFT(E443,7)="SUBSOLO",-1,IF(LEFT(E443,6)="TÉRREO",0,IFERROR(VALUE(LEFT(E443,FIND("º",SUBSTITUTE(E443,"°","º"))-1)),""))))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M444" s="2">
        <f>IF(C444="","",IFERROR(INDEX($S$5:$S$304,MATCH(C444,$R$5:$R$304,0))&amp;"","?"))</f>
        <v/>
      </c>
      <c r="N444" s="2">
        <f>IF(E444="","",IF(LEFT(E444,7)="SUBSOLO",-1,IF(LEFT(E444,6)="TÉRREO",0,IFERROR(VALUE(LEFT(E444,FIND("º",SUBSTITUTE(E444,"°","º"))-1)),""))))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M445" s="2">
        <f>IF(C445="","",IFERROR(INDEX($S$5:$S$304,MATCH(C445,$R$5:$R$304,0))&amp;"","?"))</f>
        <v/>
      </c>
      <c r="N445" s="2">
        <f>IF(E445="","",IF(LEFT(E445,7)="SUBSOLO",-1,IF(LEFT(E445,6)="TÉRREO",0,IFERROR(VALUE(LEFT(E445,FIND("º",SUBSTITUTE(E445,"°","º"))-1)),""))))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M446" s="2">
        <f>IF(C446="","",IFERROR(INDEX($S$5:$S$304,MATCH(C446,$R$5:$R$304,0))&amp;"","?"))</f>
        <v/>
      </c>
      <c r="N446" s="2">
        <f>IF(E446="","",IF(LEFT(E446,7)="SUBSOLO",-1,IF(LEFT(E446,6)="TÉRREO",0,IFERROR(VALUE(LEFT(E446,FIND("º",SUBSTITUTE(E446,"°","º"))-1)),""))))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M447" s="2">
        <f>IF(C447="","",IFERROR(INDEX($S$5:$S$304,MATCH(C447,$R$5:$R$304,0))&amp;"","?"))</f>
        <v/>
      </c>
      <c r="N447" s="2">
        <f>IF(E447="","",IF(LEFT(E447,7)="SUBSOLO",-1,IF(LEFT(E447,6)="TÉRREO",0,IFERROR(VALUE(LEFT(E447,FIND("º",SUBSTITUTE(E447,"°","º"))-1)),""))))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M448" s="2">
        <f>IF(C448="","",IFERROR(INDEX($S$5:$S$304,MATCH(C448,$R$5:$R$304,0))&amp;"","?"))</f>
        <v/>
      </c>
      <c r="N448" s="2">
        <f>IF(E448="","",IF(LEFT(E448,7)="SUBSOLO",-1,IF(LEFT(E448,6)="TÉRREO",0,IFERROR(VALUE(LEFT(E448,FIND("º",SUBSTITUTE(E448,"°","º"))-1)),""))))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M449" s="2">
        <f>IF(C449="","",IFERROR(INDEX($S$5:$S$304,MATCH(C449,$R$5:$R$304,0))&amp;"","?"))</f>
        <v/>
      </c>
      <c r="N449" s="2">
        <f>IF(E449="","",IF(LEFT(E449,7)="SUBSOLO",-1,IF(LEFT(E449,6)="TÉRREO",0,IFERROR(VALUE(LEFT(E449,FIND("º",SUBSTITUTE(E449,"°","º"))-1)),""))))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M450" s="2">
        <f>IF(C450="","",IFERROR(INDEX($S$5:$S$304,MATCH(C450,$R$5:$R$304,0))&amp;"","?"))</f>
        <v/>
      </c>
      <c r="N450" s="2">
        <f>IF(E450="","",IF(LEFT(E450,7)="SUBSOLO",-1,IF(LEFT(E450,6)="TÉRREO",0,IFERROR(VALUE(LEFT(E450,FIND("º",SUBSTITUTE(E450,"°","º"))-1)),""))))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M451" s="2">
        <f>IF(C451="","",IFERROR(INDEX($S$5:$S$304,MATCH(C451,$R$5:$R$304,0))&amp;"","?"))</f>
        <v/>
      </c>
      <c r="N451" s="2">
        <f>IF(E451="","",IF(LEFT(E451,7)="SUBSOLO",-1,IF(LEFT(E451,6)="TÉRREO",0,IFERROR(VALUE(LEFT(E451,FIND("º",SUBSTITUTE(E451,"°","º"))-1)),""))))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M452" s="2">
        <f>IF(C452="","",IFERROR(INDEX($S$5:$S$304,MATCH(C452,$R$5:$R$304,0))&amp;"","?"))</f>
        <v/>
      </c>
      <c r="N452" s="2">
        <f>IF(E452="","",IF(LEFT(E452,7)="SUBSOLO",-1,IF(LEFT(E452,6)="TÉRREO",0,IFERROR(VALUE(LEFT(E452,FIND("º",SUBSTITUTE(E452,"°","º"))-1)),""))))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M453" s="2">
        <f>IF(C453="","",IFERROR(INDEX($S$5:$S$304,MATCH(C453,$R$5:$R$304,0))&amp;"","?"))</f>
        <v/>
      </c>
      <c r="N453" s="2">
        <f>IF(E453="","",IF(LEFT(E453,7)="SUBSOLO",-1,IF(LEFT(E453,6)="TÉRREO",0,IFERROR(VALUE(LEFT(E453,FIND("º",SUBSTITUTE(E453,"°","º"))-1)),""))))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M454" s="2">
        <f>IF(C454="","",IFERROR(INDEX($S$5:$S$304,MATCH(C454,$R$5:$R$304,0))&amp;"","?"))</f>
        <v/>
      </c>
      <c r="N454" s="2">
        <f>IF(E454="","",IF(LEFT(E454,7)="SUBSOLO",-1,IF(LEFT(E454,6)="TÉRREO",0,IFERROR(VALUE(LEFT(E454,FIND("º",SUBSTITUTE(E454,"°","º"))-1)),""))))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M455" s="2">
        <f>IF(C455="","",IFERROR(INDEX($S$5:$S$304,MATCH(C455,$R$5:$R$304,0))&amp;"","?"))</f>
        <v/>
      </c>
      <c r="N455" s="2">
        <f>IF(E455="","",IF(LEFT(E455,7)="SUBSOLO",-1,IF(LEFT(E455,6)="TÉRREO",0,IFERROR(VALUE(LEFT(E455,FIND("º",SUBSTITUTE(E455,"°","º"))-1)),""))))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M456" s="2">
        <f>IF(C456="","",IFERROR(INDEX($S$5:$S$304,MATCH(C456,$R$5:$R$304,0))&amp;"","?"))</f>
        <v/>
      </c>
      <c r="N456" s="2">
        <f>IF(E456="","",IF(LEFT(E456,7)="SUBSOLO",-1,IF(LEFT(E456,6)="TÉRREO",0,IFERROR(VALUE(LEFT(E456,FIND("º",SUBSTITUTE(E456,"°","º"))-1)),""))))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M457" s="2">
        <f>IF(C457="","",IFERROR(INDEX($S$5:$S$304,MATCH(C457,$R$5:$R$304,0))&amp;"","?"))</f>
        <v/>
      </c>
      <c r="N457" s="2">
        <f>IF(E457="","",IF(LEFT(E457,7)="SUBSOLO",-1,IF(LEFT(E457,6)="TÉRREO",0,IFERROR(VALUE(LEFT(E457,FIND("º",SUBSTITUTE(E457,"°","º"))-1)),""))))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M458" s="2">
        <f>IF(C458="","",IFERROR(INDEX($S$5:$S$304,MATCH(C458,$R$5:$R$304,0))&amp;"","?"))</f>
        <v/>
      </c>
      <c r="N458" s="2">
        <f>IF(E458="","",IF(LEFT(E458,7)="SUBSOLO",-1,IF(LEFT(E458,6)="TÉRREO",0,IFERROR(VALUE(LEFT(E458,FIND("º",SUBSTITUTE(E458,"°","º"))-1)),""))))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M459" s="2">
        <f>IF(C459="","",IFERROR(INDEX($S$5:$S$304,MATCH(C459,$R$5:$R$304,0))&amp;"","?"))</f>
        <v/>
      </c>
      <c r="N459" s="2">
        <f>IF(E459="","",IF(LEFT(E459,7)="SUBSOLO",-1,IF(LEFT(E459,6)="TÉRREO",0,IFERROR(VALUE(LEFT(E459,FIND("º",SUBSTITUTE(E459,"°","º"))-1)),""))))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M460" s="2">
        <f>IF(C460="","",IFERROR(INDEX($S$5:$S$304,MATCH(C460,$R$5:$R$304,0))&amp;"","?"))</f>
        <v/>
      </c>
      <c r="N460" s="2">
        <f>IF(E460="","",IF(LEFT(E460,7)="SUBSOLO",-1,IF(LEFT(E460,6)="TÉRREO",0,IFERROR(VALUE(LEFT(E460,FIND("º",SUBSTITUTE(E460,"°","º"))-1)),""))))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M461" s="2">
        <f>IF(C461="","",IFERROR(INDEX($S$5:$S$304,MATCH(C461,$R$5:$R$304,0))&amp;"","?"))</f>
        <v/>
      </c>
      <c r="N461" s="2">
        <f>IF(E461="","",IF(LEFT(E461,7)="SUBSOLO",-1,IF(LEFT(E461,6)="TÉRREO",0,IFERROR(VALUE(LEFT(E461,FIND("º",SUBSTITUTE(E461,"°","º"))-1)),""))))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M462" s="2">
        <f>IF(C462="","",IFERROR(INDEX($S$5:$S$304,MATCH(C462,$R$5:$R$304,0))&amp;"","?"))</f>
        <v/>
      </c>
      <c r="N462" s="2">
        <f>IF(E462="","",IF(LEFT(E462,7)="SUBSOLO",-1,IF(LEFT(E462,6)="TÉRREO",0,IFERROR(VALUE(LEFT(E462,FIND("º",SUBSTITUTE(E462,"°","º"))-1)),""))))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M463" s="2">
        <f>IF(C463="","",IFERROR(INDEX($S$5:$S$304,MATCH(C463,$R$5:$R$304,0))&amp;"","?"))</f>
        <v/>
      </c>
      <c r="N463" s="2">
        <f>IF(E463="","",IF(LEFT(E463,7)="SUBSOLO",-1,IF(LEFT(E463,6)="TÉRREO",0,IFERROR(VALUE(LEFT(E463,FIND("º",SUBSTITUTE(E463,"°","º"))-1)),""))))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M464" s="2">
        <f>IF(C464="","",IFERROR(INDEX($S$5:$S$304,MATCH(C464,$R$5:$R$304,0))&amp;"","?"))</f>
        <v/>
      </c>
      <c r="N464" s="2">
        <f>IF(E464="","",IF(LEFT(E464,7)="SUBSOLO",-1,IF(LEFT(E464,6)="TÉRREO",0,IFERROR(VALUE(LEFT(E464,FIND("º",SUBSTITUTE(E464,"°","º"))-1)),""))))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M465" s="2">
        <f>IF(C465="","",IFERROR(INDEX($S$5:$S$304,MATCH(C465,$R$5:$R$304,0))&amp;"","?"))</f>
        <v/>
      </c>
      <c r="N465" s="2">
        <f>IF(E465="","",IF(LEFT(E465,7)="SUBSOLO",-1,IF(LEFT(E465,6)="TÉRREO",0,IFERROR(VALUE(LEFT(E465,FIND("º",SUBSTITUTE(E465,"°","º"))-1)),""))))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M466" s="2">
        <f>IF(C466="","",IFERROR(INDEX($S$5:$S$304,MATCH(C466,$R$5:$R$304,0))&amp;"","?"))</f>
        <v/>
      </c>
      <c r="N466" s="2">
        <f>IF(E466="","",IF(LEFT(E466,7)="SUBSOLO",-1,IF(LEFT(E466,6)="TÉRREO",0,IFERROR(VALUE(LEFT(E466,FIND("º",SUBSTITUTE(E466,"°","º"))-1)),""))))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M467" s="2">
        <f>IF(C467="","",IFERROR(INDEX($S$5:$S$304,MATCH(C467,$R$5:$R$304,0))&amp;"","?"))</f>
        <v/>
      </c>
      <c r="N467" s="2">
        <f>IF(E467="","",IF(LEFT(E467,7)="SUBSOLO",-1,IF(LEFT(E467,6)="TÉRREO",0,IFERROR(VALUE(LEFT(E467,FIND("º",SUBSTITUTE(E467,"°","º"))-1)),""))))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M468" s="2">
        <f>IF(C468="","",IFERROR(INDEX($S$5:$S$304,MATCH(C468,$R$5:$R$304,0))&amp;"","?"))</f>
        <v/>
      </c>
      <c r="N468" s="2">
        <f>IF(E468="","",IF(LEFT(E468,7)="SUBSOLO",-1,IF(LEFT(E468,6)="TÉRREO",0,IFERROR(VALUE(LEFT(E468,FIND("º",SUBSTITUTE(E468,"°","º"))-1)),""))))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M469" s="2">
        <f>IF(C469="","",IFERROR(INDEX($S$5:$S$304,MATCH(C469,$R$5:$R$304,0))&amp;"","?"))</f>
        <v/>
      </c>
      <c r="N469" s="2">
        <f>IF(E469="","",IF(LEFT(E469,7)="SUBSOLO",-1,IF(LEFT(E469,6)="TÉRREO",0,IFERROR(VALUE(LEFT(E469,FIND("º",SUBSTITUTE(E469,"°","º"))-1)),""))))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M470" s="2">
        <f>IF(C470="","",IFERROR(INDEX($S$5:$S$304,MATCH(C470,$R$5:$R$304,0))&amp;"","?"))</f>
        <v/>
      </c>
      <c r="N470" s="2">
        <f>IF(E470="","",IF(LEFT(E470,7)="SUBSOLO",-1,IF(LEFT(E470,6)="TÉRREO",0,IFERROR(VALUE(LEFT(E470,FIND("º",SUBSTITUTE(E470,"°","º"))-1)),""))))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M471" s="2">
        <f>IF(C471="","",IFERROR(INDEX($S$5:$S$304,MATCH(C471,$R$5:$R$304,0))&amp;"","?"))</f>
        <v/>
      </c>
      <c r="N471" s="2">
        <f>IF(E471="","",IF(LEFT(E471,7)="SUBSOLO",-1,IF(LEFT(E471,6)="TÉRREO",0,IFERROR(VALUE(LEFT(E471,FIND("º",SUBSTITUTE(E471,"°","º"))-1)),""))))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M472" s="2">
        <f>IF(C472="","",IFERROR(INDEX($S$5:$S$304,MATCH(C472,$R$5:$R$304,0))&amp;"","?"))</f>
        <v/>
      </c>
      <c r="N472" s="2">
        <f>IF(E472="","",IF(LEFT(E472,7)="SUBSOLO",-1,IF(LEFT(E472,6)="TÉRREO",0,IFERROR(VALUE(LEFT(E472,FIND("º",SUBSTITUTE(E472,"°","º"))-1)),""))))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M473" s="2">
        <f>IF(C473="","",IFERROR(INDEX($S$5:$S$304,MATCH(C473,$R$5:$R$304,0))&amp;"","?"))</f>
        <v/>
      </c>
      <c r="N473" s="2">
        <f>IF(E473="","",IF(LEFT(E473,7)="SUBSOLO",-1,IF(LEFT(E473,6)="TÉRREO",0,IFERROR(VALUE(LEFT(E473,FIND("º",SUBSTITUTE(E473,"°","º"))-1)),""))))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M474" s="2">
        <f>IF(C474="","",IFERROR(INDEX($S$5:$S$304,MATCH(C474,$R$5:$R$304,0))&amp;"","?"))</f>
        <v/>
      </c>
      <c r="N474" s="2">
        <f>IF(E474="","",IF(LEFT(E474,7)="SUBSOLO",-1,IF(LEFT(E474,6)="TÉRREO",0,IFERROR(VALUE(LEFT(E474,FIND("º",SUBSTITUTE(E474,"°","º"))-1)),""))))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M475" s="2">
        <f>IF(C475="","",IFERROR(INDEX($S$5:$S$304,MATCH(C475,$R$5:$R$304,0))&amp;"","?"))</f>
        <v/>
      </c>
      <c r="N475" s="2">
        <f>IF(E475="","",IF(LEFT(E475,7)="SUBSOLO",-1,IF(LEFT(E475,6)="TÉRREO",0,IFERROR(VALUE(LEFT(E475,FIND("º",SUBSTITUTE(E475,"°","º"))-1)),""))))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M476" s="2">
        <f>IF(C476="","",IFERROR(INDEX($S$5:$S$304,MATCH(C476,$R$5:$R$304,0))&amp;"","?"))</f>
        <v/>
      </c>
      <c r="N476" s="2">
        <f>IF(E476="","",IF(LEFT(E476,7)="SUBSOLO",-1,IF(LEFT(E476,6)="TÉRREO",0,IFERROR(VALUE(LEFT(E476,FIND("º",SUBSTITUTE(E476,"°","º"))-1)),""))))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M477" s="2">
        <f>IF(C477="","",IFERROR(INDEX($S$5:$S$304,MATCH(C477,$R$5:$R$304,0))&amp;"","?"))</f>
        <v/>
      </c>
      <c r="N477" s="2">
        <f>IF(E477="","",IF(LEFT(E477,7)="SUBSOLO",-1,IF(LEFT(E477,6)="TÉRREO",0,IFERROR(VALUE(LEFT(E477,FIND("º",SUBSTITUTE(E477,"°","º"))-1)),""))))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M478" s="2">
        <f>IF(C478="","",IFERROR(INDEX($S$5:$S$304,MATCH(C478,$R$5:$R$304,0))&amp;"","?"))</f>
        <v/>
      </c>
      <c r="N478" s="2">
        <f>IF(E478="","",IF(LEFT(E478,7)="SUBSOLO",-1,IF(LEFT(E478,6)="TÉRREO",0,IFERROR(VALUE(LEFT(E478,FIND("º",SUBSTITUTE(E478,"°","º"))-1)),""))))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M479" s="2">
        <f>IF(C479="","",IFERROR(INDEX($S$5:$S$304,MATCH(C479,$R$5:$R$304,0))&amp;"","?"))</f>
        <v/>
      </c>
      <c r="N479" s="2">
        <f>IF(E479="","",IF(LEFT(E479,7)="SUBSOLO",-1,IF(LEFT(E479,6)="TÉRREO",0,IFERROR(VALUE(LEFT(E479,FIND("º",SUBSTITUTE(E479,"°","º"))-1)),""))))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M480" s="2">
        <f>IF(C480="","",IFERROR(INDEX($S$5:$S$304,MATCH(C480,$R$5:$R$304,0))&amp;"","?"))</f>
        <v/>
      </c>
      <c r="N480" s="2">
        <f>IF(E480="","",IF(LEFT(E480,7)="SUBSOLO",-1,IF(LEFT(E480,6)="TÉRREO",0,IFERROR(VALUE(LEFT(E480,FIND("º",SUBSTITUTE(E480,"°","º"))-1)),""))))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M481" s="2">
        <f>IF(C481="","",IFERROR(INDEX($S$5:$S$304,MATCH(C481,$R$5:$R$304,0))&amp;"","?"))</f>
        <v/>
      </c>
      <c r="N481" s="2">
        <f>IF(E481="","",IF(LEFT(E481,7)="SUBSOLO",-1,IF(LEFT(E481,6)="TÉRREO",0,IFERROR(VALUE(LEFT(E481,FIND("º",SUBSTITUTE(E481,"°","º"))-1)),""))))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M482" s="2">
        <f>IF(C482="","",IFERROR(INDEX($S$5:$S$304,MATCH(C482,$R$5:$R$304,0))&amp;"","?"))</f>
        <v/>
      </c>
      <c r="N482" s="2">
        <f>IF(E482="","",IF(LEFT(E482,7)="SUBSOLO",-1,IF(LEFT(E482,6)="TÉRREO",0,IFERROR(VALUE(LEFT(E482,FIND("º",SUBSTITUTE(E482,"°","º"))-1)),""))))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M483" s="2">
        <f>IF(C483="","",IFERROR(INDEX($S$5:$S$304,MATCH(C483,$R$5:$R$304,0))&amp;"","?"))</f>
        <v/>
      </c>
      <c r="N483" s="2">
        <f>IF(E483="","",IF(LEFT(E483,7)="SUBSOLO",-1,IF(LEFT(E483,6)="TÉRREO",0,IFERROR(VALUE(LEFT(E483,FIND("º",SUBSTITUTE(E483,"°","º"))-1)),""))))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M484" s="2">
        <f>IF(C484="","",IFERROR(INDEX($S$5:$S$304,MATCH(C484,$R$5:$R$304,0))&amp;"","?"))</f>
        <v/>
      </c>
      <c r="N484" s="2">
        <f>IF(E484="","",IF(LEFT(E484,7)="SUBSOLO",-1,IF(LEFT(E484,6)="TÉRREO",0,IFERROR(VALUE(LEFT(E484,FIND("º",SUBSTITUTE(E484,"°","º"))-1)),""))))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M485" s="2">
        <f>IF(C485="","",IFERROR(INDEX($S$5:$S$304,MATCH(C485,$R$5:$R$304,0))&amp;"","?"))</f>
        <v/>
      </c>
      <c r="N485" s="2">
        <f>IF(E485="","",IF(LEFT(E485,7)="SUBSOLO",-1,IF(LEFT(E485,6)="TÉRREO",0,IFERROR(VALUE(LEFT(E485,FIND("º",SUBSTITUTE(E485,"°","º"))-1)),""))))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M486" s="2">
        <f>IF(C486="","",IFERROR(INDEX($S$5:$S$304,MATCH(C486,$R$5:$R$304,0))&amp;"","?"))</f>
        <v/>
      </c>
      <c r="N486" s="2">
        <f>IF(E486="","",IF(LEFT(E486,7)="SUBSOLO",-1,IF(LEFT(E486,6)="TÉRREO",0,IFERROR(VALUE(LEFT(E486,FIND("º",SUBSTITUTE(E486,"°","º"))-1)),""))))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M487" s="2">
        <f>IF(C487="","",IFERROR(INDEX($S$5:$S$304,MATCH(C487,$R$5:$R$304,0))&amp;"","?"))</f>
        <v/>
      </c>
      <c r="N487" s="2">
        <f>IF(E487="","",IF(LEFT(E487,7)="SUBSOLO",-1,IF(LEFT(E487,6)="TÉRREO",0,IFERROR(VALUE(LEFT(E487,FIND("º",SUBSTITUTE(E487,"°","º"))-1)),""))))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M488" s="2">
        <f>IF(C488="","",IFERROR(INDEX($S$5:$S$304,MATCH(C488,$R$5:$R$304,0))&amp;"","?"))</f>
        <v/>
      </c>
      <c r="N488" s="2">
        <f>IF(E488="","",IF(LEFT(E488,7)="SUBSOLO",-1,IF(LEFT(E488,6)="TÉRREO",0,IFERROR(VALUE(LEFT(E488,FIND("º",SUBSTITUTE(E488,"°","º"))-1)),""))))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M489" s="2">
        <f>IF(C489="","",IFERROR(INDEX($S$5:$S$304,MATCH(C489,$R$5:$R$304,0))&amp;"","?"))</f>
        <v/>
      </c>
      <c r="N489" s="2">
        <f>IF(E489="","",IF(LEFT(E489,7)="SUBSOLO",-1,IF(LEFT(E489,6)="TÉRREO",0,IFERROR(VALUE(LEFT(E489,FIND("º",SUBSTITUTE(E489,"°","º"))-1)),""))))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M490" s="2">
        <f>IF(C490="","",IFERROR(INDEX($S$5:$S$304,MATCH(C490,$R$5:$R$304,0))&amp;"","?"))</f>
        <v/>
      </c>
      <c r="N490" s="2">
        <f>IF(E490="","",IF(LEFT(E490,7)="SUBSOLO",-1,IF(LEFT(E490,6)="TÉRREO",0,IFERROR(VALUE(LEFT(E490,FIND("º",SUBSTITUTE(E490,"°","º"))-1)),""))))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M491" s="2">
        <f>IF(C491="","",IFERROR(INDEX($S$5:$S$304,MATCH(C491,$R$5:$R$304,0))&amp;"","?"))</f>
        <v/>
      </c>
      <c r="N491" s="2">
        <f>IF(E491="","",IF(LEFT(E491,7)="SUBSOLO",-1,IF(LEFT(E491,6)="TÉRREO",0,IFERROR(VALUE(LEFT(E491,FIND("º",SUBSTITUTE(E491,"°","º"))-1)),""))))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M492" s="2">
        <f>IF(C492="","",IFERROR(INDEX($S$5:$S$304,MATCH(C492,$R$5:$R$304,0))&amp;"","?"))</f>
        <v/>
      </c>
      <c r="N492" s="2">
        <f>IF(E492="","",IF(LEFT(E492,7)="SUBSOLO",-1,IF(LEFT(E492,6)="TÉRREO",0,IFERROR(VALUE(LEFT(E492,FIND("º",SUBSTITUTE(E492,"°","º"))-1)),""))))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M493" s="2">
        <f>IF(C493="","",IFERROR(INDEX($S$5:$S$304,MATCH(C493,$R$5:$R$304,0))&amp;"","?"))</f>
        <v/>
      </c>
      <c r="N493" s="2">
        <f>IF(E493="","",IF(LEFT(E493,7)="SUBSOLO",-1,IF(LEFT(E493,6)="TÉRREO",0,IFERROR(VALUE(LEFT(E493,FIND("º",SUBSTITUTE(E493,"°","º"))-1)),""))))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M494" s="2">
        <f>IF(C494="","",IFERROR(INDEX($S$5:$S$304,MATCH(C494,$R$5:$R$304,0))&amp;"","?"))</f>
        <v/>
      </c>
      <c r="N494" s="2">
        <f>IF(E494="","",IF(LEFT(E494,7)="SUBSOLO",-1,IF(LEFT(E494,6)="TÉRREO",0,IFERROR(VALUE(LEFT(E494,FIND("º",SUBSTITUTE(E494,"°","º"))-1)),""))))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M495" s="2">
        <f>IF(C495="","",IFERROR(INDEX($S$5:$S$304,MATCH(C495,$R$5:$R$304,0))&amp;"","?"))</f>
        <v/>
      </c>
      <c r="N495" s="2">
        <f>IF(E495="","",IF(LEFT(E495,7)="SUBSOLO",-1,IF(LEFT(E495,6)="TÉRREO",0,IFERROR(VALUE(LEFT(E495,FIND("º",SUBSTITUTE(E495,"°","º"))-1)),""))))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M496" s="2">
        <f>IF(C496="","",IFERROR(INDEX($S$5:$S$304,MATCH(C496,$R$5:$R$304,0))&amp;"","?"))</f>
        <v/>
      </c>
      <c r="N496" s="2">
        <f>IF(E496="","",IF(LEFT(E496,7)="SUBSOLO",-1,IF(LEFT(E496,6)="TÉRREO",0,IFERROR(VALUE(LEFT(E496,FIND("º",SUBSTITUTE(E496,"°","º"))-1)),""))))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M497" s="2">
        <f>IF(C497="","",IFERROR(INDEX($S$5:$S$304,MATCH(C497,$R$5:$R$304,0))&amp;"","?"))</f>
        <v/>
      </c>
      <c r="N497" s="2">
        <f>IF(E497="","",IF(LEFT(E497,7)="SUBSOLO",-1,IF(LEFT(E497,6)="TÉRREO",0,IFERROR(VALUE(LEFT(E497,FIND("º",SUBSTITUTE(E497,"°","º"))-1)),""))))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M498" s="2">
        <f>IF(C498="","",IFERROR(INDEX($S$5:$S$304,MATCH(C498,$R$5:$R$304,0))&amp;"","?"))</f>
        <v/>
      </c>
      <c r="N498" s="2">
        <f>IF(E498="","",IF(LEFT(E498,7)="SUBSOLO",-1,IF(LEFT(E498,6)="TÉRREO",0,IFERROR(VALUE(LEFT(E498,FIND("º",SUBSTITUTE(E498,"°","º"))-1)),""))))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M499" s="2">
        <f>IF(C499="","",IFERROR(INDEX($S$5:$S$304,MATCH(C499,$R$5:$R$304,0))&amp;"","?"))</f>
        <v/>
      </c>
      <c r="N499" s="2">
        <f>IF(E499="","",IF(LEFT(E499,7)="SUBSOLO",-1,IF(LEFT(E499,6)="TÉRREO",0,IFERROR(VALUE(LEFT(E499,FIND("º",SUBSTITUTE(E499,"°","º"))-1)),""))))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M500" s="2">
        <f>IF(C500="","",IFERROR(INDEX($S$5:$S$304,MATCH(C500,$R$5:$R$304,0))&amp;"","?"))</f>
        <v/>
      </c>
      <c r="N500" s="2">
        <f>IF(E500="","",IF(LEFT(E500,7)="SUBSOLO",-1,IF(LEFT(E500,6)="TÉRREO",0,IFERROR(VALUE(LEFT(E500,FIND("º",SUBSTITUTE(E500,"°","º"))-1)),""))))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M501" s="2">
        <f>IF(C501="","",IFERROR(INDEX($S$5:$S$304,MATCH(C501,$R$5:$R$304,0))&amp;"","?"))</f>
        <v/>
      </c>
      <c r="N501" s="2">
        <f>IF(E501="","",IF(LEFT(E501,7)="SUBSOLO",-1,IF(LEFT(E501,6)="TÉRREO",0,IFERROR(VALUE(LEFT(E501,FIND("º",SUBSTITUTE(E501,"°","º"))-1)),""))))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M502" s="2">
        <f>IF(C502="","",IFERROR(INDEX($S$5:$S$304,MATCH(C502,$R$5:$R$304,0))&amp;"","?"))</f>
        <v/>
      </c>
      <c r="N502" s="2">
        <f>IF(E502="","",IF(LEFT(E502,7)="SUBSOLO",-1,IF(LEFT(E502,6)="TÉRREO",0,IFERROR(VALUE(LEFT(E502,FIND("º",SUBSTITUTE(E502,"°","º"))-1)),""))))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M503" s="2">
        <f>IF(C503="","",IFERROR(INDEX($S$5:$S$304,MATCH(C503,$R$5:$R$304,0))&amp;"","?"))</f>
        <v/>
      </c>
      <c r="N503" s="2">
        <f>IF(E503="","",IF(LEFT(E503,7)="SUBSOLO",-1,IF(LEFT(E503,6)="TÉRREO",0,IFERROR(VALUE(LEFT(E503,FIND("º",SUBSTITUTE(E503,"°","º"))-1)),""))))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M504" s="2">
        <f>IF(C504="","",IFERROR(INDEX($S$5:$S$304,MATCH(C504,$R$5:$R$304,0))&amp;"","?"))</f>
        <v/>
      </c>
      <c r="N504" s="2">
        <f>IF(E504="","",IF(LEFT(E504,7)="SUBSOLO",-1,IF(LEFT(E504,6)="TÉRREO",0,IFERROR(VALUE(LEFT(E504,FIND("º",SUBSTITUTE(E504,"°","º"))-1)),""))))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M505" s="2">
        <f>IF(C505="","",IFERROR(INDEX($S$5:$S$304,MATCH(C505,$R$5:$R$304,0))&amp;"","?"))</f>
        <v/>
      </c>
      <c r="N505" s="2">
        <f>IF(E505="","",IF(LEFT(E505,7)="SUBSOLO",-1,IF(LEFT(E505,6)="TÉRREO",0,IFERROR(VALUE(LEFT(E505,FIND("º",SUBSTITUTE(E505,"°","º"))-1)),""))))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M506" s="2">
        <f>IF(C506="","",IFERROR(INDEX($S$5:$S$304,MATCH(C506,$R$5:$R$304,0))&amp;"","?"))</f>
        <v/>
      </c>
      <c r="N506" s="2">
        <f>IF(E506="","",IF(LEFT(E506,7)="SUBSOLO",-1,IF(LEFT(E506,6)="TÉRREO",0,IFERROR(VALUE(LEFT(E506,FIND("º",SUBSTITUTE(E506,"°","º"))-1)),""))))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M507" s="2">
        <f>IF(C507="","",IFERROR(INDEX($S$5:$S$304,MATCH(C507,$R$5:$R$304,0))&amp;"","?"))</f>
        <v/>
      </c>
      <c r="N507" s="2">
        <f>IF(E507="","",IF(LEFT(E507,7)="SUBSOLO",-1,IF(LEFT(E507,6)="TÉRREO",0,IFERROR(VALUE(LEFT(E507,FIND("º",SUBSTITUTE(E507,"°","º"))-1)),""))))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M508" s="2">
        <f>IF(C508="","",IFERROR(INDEX($S$5:$S$304,MATCH(C508,$R$5:$R$304,0))&amp;"","?"))</f>
        <v/>
      </c>
      <c r="N508" s="2">
        <f>IF(E508="","",IF(LEFT(E508,7)="SUBSOLO",-1,IF(LEFT(E508,6)="TÉRREO",0,IFERROR(VALUE(LEFT(E508,FIND("º",SUBSTITUTE(E508,"°","º"))-1)),""))))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M509" s="2">
        <f>IF(C509="","",IFERROR(INDEX($S$5:$S$304,MATCH(C509,$R$5:$R$304,0))&amp;"","?"))</f>
        <v/>
      </c>
      <c r="N509" s="2">
        <f>IF(E509="","",IF(LEFT(E509,7)="SUBSOLO",-1,IF(LEFT(E509,6)="TÉRREO",0,IFERROR(VALUE(LEFT(E509,FIND("º",SUBSTITUTE(E509,"°","º"))-1)),""))))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M510" s="2">
        <f>IF(C510="","",IFERROR(INDEX($S$5:$S$304,MATCH(C510,$R$5:$R$304,0))&amp;"","?"))</f>
        <v/>
      </c>
      <c r="N510" s="2">
        <f>IF(E510="","",IF(LEFT(E510,7)="SUBSOLO",-1,IF(LEFT(E510,6)="TÉRREO",0,IFERROR(VALUE(LEFT(E510,FIND("º",SUBSTITUTE(E510,"°","º"))-1)),""))))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M511" s="2">
        <f>IF(C511="","",IFERROR(INDEX($S$5:$S$304,MATCH(C511,$R$5:$R$304,0))&amp;"","?"))</f>
        <v/>
      </c>
      <c r="N511" s="2">
        <f>IF(E511="","",IF(LEFT(E511,7)="SUBSOLO",-1,IF(LEFT(E511,6)="TÉRREO",0,IFERROR(VALUE(LEFT(E511,FIND("º",SUBSTITUTE(E511,"°","º"))-1)),""))))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M512" s="2">
        <f>IF(C512="","",IFERROR(INDEX($S$5:$S$304,MATCH(C512,$R$5:$R$304,0))&amp;"","?"))</f>
        <v/>
      </c>
      <c r="N512" s="2">
        <f>IF(E512="","",IF(LEFT(E512,7)="SUBSOLO",-1,IF(LEFT(E512,6)="TÉRREO",0,IFERROR(VALUE(LEFT(E512,FIND("º",SUBSTITUTE(E512,"°","º"))-1)),""))))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M513" s="2">
        <f>IF(C513="","",IFERROR(INDEX($S$5:$S$304,MATCH(C513,$R$5:$R$304,0))&amp;"","?"))</f>
        <v/>
      </c>
      <c r="N513" s="2">
        <f>IF(E513="","",IF(LEFT(E513,7)="SUBSOLO",-1,IF(LEFT(E513,6)="TÉRREO",0,IFERROR(VALUE(LEFT(E513,FIND("º",SUBSTITUTE(E513,"°","º"))-1)),""))))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M514" s="2">
        <f>IF(C514="","",IFERROR(INDEX($S$5:$S$304,MATCH(C514,$R$5:$R$304,0))&amp;"","?"))</f>
        <v/>
      </c>
      <c r="N514" s="2">
        <f>IF(E514="","",IF(LEFT(E514,7)="SUBSOLO",-1,IF(LEFT(E514,6)="TÉRREO",0,IFERROR(VALUE(LEFT(E514,FIND("º",SUBSTITUTE(E514,"°","º"))-1)),""))))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M515" s="2">
        <f>IF(C515="","",IFERROR(INDEX($S$5:$S$304,MATCH(C515,$R$5:$R$304,0))&amp;"","?"))</f>
        <v/>
      </c>
      <c r="N515" s="2">
        <f>IF(E515="","",IF(LEFT(E515,7)="SUBSOLO",-1,IF(LEFT(E515,6)="TÉRREO",0,IFERROR(VALUE(LEFT(E515,FIND("º",SUBSTITUTE(E515,"°","º"))-1)),""))))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M516" s="2">
        <f>IF(C516="","",IFERROR(INDEX($S$5:$S$304,MATCH(C516,$R$5:$R$304,0))&amp;"","?"))</f>
        <v/>
      </c>
      <c r="N516" s="2">
        <f>IF(E516="","",IF(LEFT(E516,7)="SUBSOLO",-1,IF(LEFT(E516,6)="TÉRREO",0,IFERROR(VALUE(LEFT(E516,FIND("º",SUBSTITUTE(E516,"°","º"))-1)),""))))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M517" s="2">
        <f>IF(C517="","",IFERROR(INDEX($S$5:$S$304,MATCH(C517,$R$5:$R$304,0))&amp;"","?"))</f>
        <v/>
      </c>
      <c r="N517" s="2">
        <f>IF(E517="","",IF(LEFT(E517,7)="SUBSOLO",-1,IF(LEFT(E517,6)="TÉRREO",0,IFERROR(VALUE(LEFT(E517,FIND("º",SUBSTITUTE(E517,"°","º"))-1)),""))))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M518" s="2">
        <f>IF(C518="","",IFERROR(INDEX($S$5:$S$304,MATCH(C518,$R$5:$R$304,0))&amp;"","?"))</f>
        <v/>
      </c>
      <c r="N518" s="2">
        <f>IF(E518="","",IF(LEFT(E518,7)="SUBSOLO",-1,IF(LEFT(E518,6)="TÉRREO",0,IFERROR(VALUE(LEFT(E518,FIND("º",SUBSTITUTE(E518,"°","º"))-1)),""))))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M519" s="2">
        <f>IF(C519="","",IFERROR(INDEX($S$5:$S$304,MATCH(C519,$R$5:$R$304,0))&amp;"","?"))</f>
        <v/>
      </c>
      <c r="N519" s="2">
        <f>IF(E519="","",IF(LEFT(E519,7)="SUBSOLO",-1,IF(LEFT(E519,6)="TÉRREO",0,IFERROR(VALUE(LEFT(E519,FIND("º",SUBSTITUTE(E519,"°","º"))-1)),""))))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M520" s="2">
        <f>IF(C520="","",IFERROR(INDEX($S$5:$S$304,MATCH(C520,$R$5:$R$304,0))&amp;"","?"))</f>
        <v/>
      </c>
      <c r="N520" s="2">
        <f>IF(E520="","",IF(LEFT(E520,7)="SUBSOLO",-1,IF(LEFT(E520,6)="TÉRREO",0,IFERROR(VALUE(LEFT(E520,FIND("º",SUBSTITUTE(E520,"°","º"))-1)),""))))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M521" s="2">
        <f>IF(C521="","",IFERROR(INDEX($S$5:$S$304,MATCH(C521,$R$5:$R$304,0))&amp;"","?"))</f>
        <v/>
      </c>
      <c r="N521" s="2">
        <f>IF(E521="","",IF(LEFT(E521,7)="SUBSOLO",-1,IF(LEFT(E521,6)="TÉRREO",0,IFERROR(VALUE(LEFT(E521,FIND("º",SUBSTITUTE(E521,"°","º"))-1)),""))))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M522" s="2">
        <f>IF(C522="","",IFERROR(INDEX($S$5:$S$304,MATCH(C522,$R$5:$R$304,0))&amp;"","?"))</f>
        <v/>
      </c>
      <c r="N522" s="2">
        <f>IF(E522="","",IF(LEFT(E522,7)="SUBSOLO",-1,IF(LEFT(E522,6)="TÉRREO",0,IFERROR(VALUE(LEFT(E522,FIND("º",SUBSTITUTE(E522,"°","º"))-1)),""))))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M523" s="2">
        <f>IF(C523="","",IFERROR(INDEX($S$5:$S$304,MATCH(C523,$R$5:$R$304,0))&amp;"","?"))</f>
        <v/>
      </c>
      <c r="N523" s="2">
        <f>IF(E523="","",IF(LEFT(E523,7)="SUBSOLO",-1,IF(LEFT(E523,6)="TÉRREO",0,IFERROR(VALUE(LEFT(E523,FIND("º",SUBSTITUTE(E523,"°","º"))-1)),""))))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M524" s="2">
        <f>IF(C524="","",IFERROR(INDEX($S$5:$S$304,MATCH(C524,$R$5:$R$304,0))&amp;"","?"))</f>
        <v/>
      </c>
      <c r="N524" s="2">
        <f>IF(E524="","",IF(LEFT(E524,7)="SUBSOLO",-1,IF(LEFT(E524,6)="TÉRREO",0,IFERROR(VALUE(LEFT(E524,FIND("º",SUBSTITUTE(E524,"°","º"))-1)),""))))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M525" s="2">
        <f>IF(C525="","",IFERROR(INDEX($S$5:$S$304,MATCH(C525,$R$5:$R$304,0))&amp;"","?"))</f>
        <v/>
      </c>
      <c r="N525" s="2">
        <f>IF(E525="","",IF(LEFT(E525,7)="SUBSOLO",-1,IF(LEFT(E525,6)="TÉRREO",0,IFERROR(VALUE(LEFT(E525,FIND("º",SUBSTITUTE(E525,"°","º"))-1)),""))))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M526" s="2">
        <f>IF(C526="","",IFERROR(INDEX($S$5:$S$304,MATCH(C526,$R$5:$R$304,0))&amp;"","?"))</f>
        <v/>
      </c>
      <c r="N526" s="2">
        <f>IF(E526="","",IF(LEFT(E526,7)="SUBSOLO",-1,IF(LEFT(E526,6)="TÉRREO",0,IFERROR(VALUE(LEFT(E526,FIND("º",SUBSTITUTE(E526,"°","º"))-1)),""))))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M527" s="2">
        <f>IF(C527="","",IFERROR(INDEX($S$5:$S$304,MATCH(C527,$R$5:$R$304,0))&amp;"","?"))</f>
        <v/>
      </c>
      <c r="N527" s="2">
        <f>IF(E527="","",IF(LEFT(E527,7)="SUBSOLO",-1,IF(LEFT(E527,6)="TÉRREO",0,IFERROR(VALUE(LEFT(E527,FIND("º",SUBSTITUTE(E527,"°","º"))-1)),""))))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M528" s="2">
        <f>IF(C528="","",IFERROR(INDEX($S$5:$S$304,MATCH(C528,$R$5:$R$304,0))&amp;"","?"))</f>
        <v/>
      </c>
      <c r="N528" s="2">
        <f>IF(E528="","",IF(LEFT(E528,7)="SUBSOLO",-1,IF(LEFT(E528,6)="TÉRREO",0,IFERROR(VALUE(LEFT(E528,FIND("º",SUBSTITUTE(E528,"°","º"))-1)),""))))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M529" s="2">
        <f>IF(C529="","",IFERROR(INDEX($S$5:$S$304,MATCH(C529,$R$5:$R$304,0))&amp;"","?"))</f>
        <v/>
      </c>
      <c r="N529" s="2">
        <f>IF(E529="","",IF(LEFT(E529,7)="SUBSOLO",-1,IF(LEFT(E529,6)="TÉRREO",0,IFERROR(VALUE(LEFT(E529,FIND("º",SUBSTITUTE(E529,"°","º"))-1)),""))))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M530" s="2">
        <f>IF(C530="","",IFERROR(INDEX($S$5:$S$304,MATCH(C530,$R$5:$R$304,0))&amp;"","?"))</f>
        <v/>
      </c>
      <c r="N530" s="2">
        <f>IF(E530="","",IF(LEFT(E530,7)="SUBSOLO",-1,IF(LEFT(E530,6)="TÉRREO",0,IFERROR(VALUE(LEFT(E530,FIND("º",SUBSTITUTE(E530,"°","º"))-1)),""))))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M531" s="2">
        <f>IF(C531="","",IFERROR(INDEX($S$5:$S$304,MATCH(C531,$R$5:$R$304,0))&amp;"","?"))</f>
        <v/>
      </c>
      <c r="N531" s="2">
        <f>IF(E531="","",IF(LEFT(E531,7)="SUBSOLO",-1,IF(LEFT(E531,6)="TÉRREO",0,IFERROR(VALUE(LEFT(E531,FIND("º",SUBSTITUTE(E531,"°","º"))-1)),""))))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M532" s="2">
        <f>IF(C532="","",IFERROR(INDEX($S$5:$S$304,MATCH(C532,$R$5:$R$304,0))&amp;"","?"))</f>
        <v/>
      </c>
      <c r="N532" s="2">
        <f>IF(E532="","",IF(LEFT(E532,7)="SUBSOLO",-1,IF(LEFT(E532,6)="TÉRREO",0,IFERROR(VALUE(LEFT(E532,FIND("º",SUBSTITUTE(E532,"°","º"))-1)),""))))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M533" s="2">
        <f>IF(C533="","",IFERROR(INDEX($S$5:$S$304,MATCH(C533,$R$5:$R$304,0))&amp;"","?"))</f>
        <v/>
      </c>
      <c r="N533" s="2">
        <f>IF(E533="","",IF(LEFT(E533,7)="SUBSOLO",-1,IF(LEFT(E533,6)="TÉRREO",0,IFERROR(VALUE(LEFT(E533,FIND("º",SUBSTITUTE(E533,"°","º"))-1)),""))))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M534" s="2">
        <f>IF(C534="","",IFERROR(INDEX($S$5:$S$304,MATCH(C534,$R$5:$R$304,0))&amp;"","?"))</f>
        <v/>
      </c>
      <c r="N534" s="2">
        <f>IF(E534="","",IF(LEFT(E534,7)="SUBSOLO",-1,IF(LEFT(E534,6)="TÉRREO",0,IFERROR(VALUE(LEFT(E534,FIND("º",SUBSTITUTE(E534,"°","º"))-1)),""))))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M535" s="2">
        <f>IF(C535="","",IFERROR(INDEX($S$5:$S$304,MATCH(C535,$R$5:$R$304,0))&amp;"","?"))</f>
        <v/>
      </c>
      <c r="N535" s="2">
        <f>IF(E535="","",IF(LEFT(E535,7)="SUBSOLO",-1,IF(LEFT(E535,6)="TÉRREO",0,IFERROR(VALUE(LEFT(E535,FIND("º",SUBSTITUTE(E535,"°","º"))-1)),""))))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M536" s="2">
        <f>IF(C536="","",IFERROR(INDEX($S$5:$S$304,MATCH(C536,$R$5:$R$304,0))&amp;"","?"))</f>
        <v/>
      </c>
      <c r="N536" s="2">
        <f>IF(E536="","",IF(LEFT(E536,7)="SUBSOLO",-1,IF(LEFT(E536,6)="TÉRREO",0,IFERROR(VALUE(LEFT(E536,FIND("º",SUBSTITUTE(E536,"°","º"))-1)),""))))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M537" s="2">
        <f>IF(C537="","",IFERROR(INDEX($S$5:$S$304,MATCH(C537,$R$5:$R$304,0))&amp;"","?"))</f>
        <v/>
      </c>
      <c r="N537" s="2">
        <f>IF(E537="","",IF(LEFT(E537,7)="SUBSOLO",-1,IF(LEFT(E537,6)="TÉRREO",0,IFERROR(VALUE(LEFT(E537,FIND("º",SUBSTITUTE(E537,"°","º"))-1)),""))))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M538" s="2">
        <f>IF(C538="","",IFERROR(INDEX($S$5:$S$304,MATCH(C538,$R$5:$R$304,0))&amp;"","?"))</f>
        <v/>
      </c>
      <c r="N538" s="2">
        <f>IF(E538="","",IF(LEFT(E538,7)="SUBSOLO",-1,IF(LEFT(E538,6)="TÉRREO",0,IFERROR(VALUE(LEFT(E538,FIND("º",SUBSTITUTE(E538,"°","º"))-1)),""))))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M539" s="2">
        <f>IF(C539="","",IFERROR(INDEX($S$5:$S$304,MATCH(C539,$R$5:$R$304,0))&amp;"","?"))</f>
        <v/>
      </c>
      <c r="N539" s="2">
        <f>IF(E539="","",IF(LEFT(E539,7)="SUBSOLO",-1,IF(LEFT(E539,6)="TÉRREO",0,IFERROR(VALUE(LEFT(E539,FIND("º",SUBSTITUTE(E539,"°","º"))-1)),""))))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M540" s="2">
        <f>IF(C540="","",IFERROR(INDEX($S$5:$S$304,MATCH(C540,$R$5:$R$304,0))&amp;"","?"))</f>
        <v/>
      </c>
      <c r="N540" s="2">
        <f>IF(E540="","",IF(LEFT(E540,7)="SUBSOLO",-1,IF(LEFT(E540,6)="TÉRREO",0,IFERROR(VALUE(LEFT(E540,FIND("º",SUBSTITUTE(E540,"°","º"))-1)),""))))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M541" s="2">
        <f>IF(C541="","",IFERROR(INDEX($S$5:$S$304,MATCH(C541,$R$5:$R$304,0))&amp;"","?"))</f>
        <v/>
      </c>
      <c r="N541" s="2">
        <f>IF(E541="","",IF(LEFT(E541,7)="SUBSOLO",-1,IF(LEFT(E541,6)="TÉRREO",0,IFERROR(VALUE(LEFT(E541,FIND("º",SUBSTITUTE(E541,"°","º"))-1)),""))))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M542" s="2">
        <f>IF(C542="","",IFERROR(INDEX($S$5:$S$304,MATCH(C542,$R$5:$R$304,0))&amp;"","?"))</f>
        <v/>
      </c>
      <c r="N542" s="2">
        <f>IF(E542="","",IF(LEFT(E542,7)="SUBSOLO",-1,IF(LEFT(E542,6)="TÉRREO",0,IFERROR(VALUE(LEFT(E542,FIND("º",SUBSTITUTE(E542,"°","º"))-1)),""))))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M543" s="2">
        <f>IF(C543="","",IFERROR(INDEX($S$5:$S$304,MATCH(C543,$R$5:$R$304,0))&amp;"","?"))</f>
        <v/>
      </c>
      <c r="N543" s="2">
        <f>IF(E543="","",IF(LEFT(E543,7)="SUBSOLO",-1,IF(LEFT(E543,6)="TÉRREO",0,IFERROR(VALUE(LEFT(E543,FIND("º",SUBSTITUTE(E543,"°","º"))-1)),""))))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M544" s="2">
        <f>IF(C544="","",IFERROR(INDEX($S$5:$S$304,MATCH(C544,$R$5:$R$304,0))&amp;"","?"))</f>
        <v/>
      </c>
      <c r="N544" s="2">
        <f>IF(E544="","",IF(LEFT(E544,7)="SUBSOLO",-1,IF(LEFT(E544,6)="TÉRREO",0,IFERROR(VALUE(LEFT(E544,FIND("º",SUBSTITUTE(E544,"°","º"))-1)),""))))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M545" s="2">
        <f>IF(C545="","",IFERROR(INDEX($S$5:$S$304,MATCH(C545,$R$5:$R$304,0))&amp;"","?"))</f>
        <v/>
      </c>
      <c r="N545" s="2">
        <f>IF(E545="","",IF(LEFT(E545,7)="SUBSOLO",-1,IF(LEFT(E545,6)="TÉRREO",0,IFERROR(VALUE(LEFT(E545,FIND("º",SUBSTITUTE(E545,"°","º"))-1)),""))))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M546" s="2">
        <f>IF(C546="","",IFERROR(INDEX($S$5:$S$304,MATCH(C546,$R$5:$R$304,0))&amp;"","?"))</f>
        <v/>
      </c>
      <c r="N546" s="2">
        <f>IF(E546="","",IF(LEFT(E546,7)="SUBSOLO",-1,IF(LEFT(E546,6)="TÉRREO",0,IFERROR(VALUE(LEFT(E546,FIND("º",SUBSTITUTE(E546,"°","º"))-1)),""))))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M547" s="2">
        <f>IF(C547="","",IFERROR(INDEX($S$5:$S$304,MATCH(C547,$R$5:$R$304,0))&amp;"","?"))</f>
        <v/>
      </c>
      <c r="N547" s="2">
        <f>IF(E547="","",IF(LEFT(E547,7)="SUBSOLO",-1,IF(LEFT(E547,6)="TÉRREO",0,IFERROR(VALUE(LEFT(E547,FIND("º",SUBSTITUTE(E547,"°","º"))-1)),""))))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M548" s="2">
        <f>IF(C548="","",IFERROR(INDEX($S$5:$S$304,MATCH(C548,$R$5:$R$304,0))&amp;"","?"))</f>
        <v/>
      </c>
      <c r="N548" s="2">
        <f>IF(E548="","",IF(LEFT(E548,7)="SUBSOLO",-1,IF(LEFT(E548,6)="TÉRREO",0,IFERROR(VALUE(LEFT(E548,FIND("º",SUBSTITUTE(E548,"°","º"))-1)),""))))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M549" s="2">
        <f>IF(C549="","",IFERROR(INDEX($S$5:$S$304,MATCH(C549,$R$5:$R$304,0))&amp;"","?"))</f>
        <v/>
      </c>
      <c r="N549" s="2">
        <f>IF(E549="","",IF(LEFT(E549,7)="SUBSOLO",-1,IF(LEFT(E549,6)="TÉRREO",0,IFERROR(VALUE(LEFT(E549,FIND("º",SUBSTITUTE(E549,"°","º"))-1)),""))))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M550" s="2">
        <f>IF(C550="","",IFERROR(INDEX($S$5:$S$304,MATCH(C550,$R$5:$R$304,0))&amp;"","?"))</f>
        <v/>
      </c>
      <c r="N550" s="2">
        <f>IF(E550="","",IF(LEFT(E550,7)="SUBSOLO",-1,IF(LEFT(E550,6)="TÉRREO",0,IFERROR(VALUE(LEFT(E550,FIND("º",SUBSTITUTE(E550,"°","º"))-1)),""))))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M551" s="2">
        <f>IF(C551="","",IFERROR(INDEX($S$5:$S$304,MATCH(C551,$R$5:$R$304,0))&amp;"","?"))</f>
        <v/>
      </c>
      <c r="N551" s="2">
        <f>IF(E551="","",IF(LEFT(E551,7)="SUBSOLO",-1,IF(LEFT(E551,6)="TÉRREO",0,IFERROR(VALUE(LEFT(E551,FIND("º",SUBSTITUTE(E551,"°","º"))-1)),""))))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M552" s="2">
        <f>IF(C552="","",IFERROR(INDEX($S$5:$S$304,MATCH(C552,$R$5:$R$304,0))&amp;"","?"))</f>
        <v/>
      </c>
      <c r="N552" s="2">
        <f>IF(E552="","",IF(LEFT(E552,7)="SUBSOLO",-1,IF(LEFT(E552,6)="TÉRREO",0,IFERROR(VALUE(LEFT(E552,FIND("º",SUBSTITUTE(E552,"°","º"))-1)),""))))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M553" s="2">
        <f>IF(C553="","",IFERROR(INDEX($S$5:$S$304,MATCH(C553,$R$5:$R$304,0))&amp;"","?"))</f>
        <v/>
      </c>
      <c r="N553" s="2">
        <f>IF(E553="","",IF(LEFT(E553,7)="SUBSOLO",-1,IF(LEFT(E553,6)="TÉRREO",0,IFERROR(VALUE(LEFT(E553,FIND("º",SUBSTITUTE(E553,"°","º"))-1)),""))))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M554" s="2">
        <f>IF(C554="","",IFERROR(INDEX($S$5:$S$304,MATCH(C554,$R$5:$R$304,0))&amp;"","?"))</f>
        <v/>
      </c>
      <c r="N554" s="2">
        <f>IF(E554="","",IF(LEFT(E554,7)="SUBSOLO",-1,IF(LEFT(E554,6)="TÉRREO",0,IFERROR(VALUE(LEFT(E554,FIND("º",SUBSTITUTE(E554,"°","º"))-1)),""))))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M555" s="2">
        <f>IF(C555="","",IFERROR(INDEX($S$5:$S$304,MATCH(C555,$R$5:$R$304,0))&amp;"","?"))</f>
        <v/>
      </c>
      <c r="N555" s="2">
        <f>IF(E555="","",IF(LEFT(E555,7)="SUBSOLO",-1,IF(LEFT(E555,6)="TÉRREO",0,IFERROR(VALUE(LEFT(E555,FIND("º",SUBSTITUTE(E555,"°","º"))-1)),""))))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M556" s="2">
        <f>IF(C556="","",IFERROR(INDEX($S$5:$S$304,MATCH(C556,$R$5:$R$304,0))&amp;"","?"))</f>
        <v/>
      </c>
      <c r="N556" s="2">
        <f>IF(E556="","",IF(LEFT(E556,7)="SUBSOLO",-1,IF(LEFT(E556,6)="TÉRREO",0,IFERROR(VALUE(LEFT(E556,FIND("º",SUBSTITUTE(E556,"°","º"))-1)),""))))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M557" s="2">
        <f>IF(C557="","",IFERROR(INDEX($S$5:$S$304,MATCH(C557,$R$5:$R$304,0))&amp;"","?"))</f>
        <v/>
      </c>
      <c r="N557" s="2">
        <f>IF(E557="","",IF(LEFT(E557,7)="SUBSOLO",-1,IF(LEFT(E557,6)="TÉRREO",0,IFERROR(VALUE(LEFT(E557,FIND("º",SUBSTITUTE(E557,"°","º"))-1)),""))))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M558" s="2">
        <f>IF(C558="","",IFERROR(INDEX($S$5:$S$304,MATCH(C558,$R$5:$R$304,0))&amp;"","?"))</f>
        <v/>
      </c>
      <c r="N558" s="2">
        <f>IF(E558="","",IF(LEFT(E558,7)="SUBSOLO",-1,IF(LEFT(E558,6)="TÉRREO",0,IFERROR(VALUE(LEFT(E558,FIND("º",SUBSTITUTE(E558,"°","º"))-1)),""))))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M559" s="2">
        <f>IF(C559="","",IFERROR(INDEX($S$5:$S$304,MATCH(C559,$R$5:$R$304,0))&amp;"","?"))</f>
        <v/>
      </c>
      <c r="N559" s="2">
        <f>IF(E559="","",IF(LEFT(E559,7)="SUBSOLO",-1,IF(LEFT(E559,6)="TÉRREO",0,IFERROR(VALUE(LEFT(E559,FIND("º",SUBSTITUTE(E559,"°","º"))-1)),""))))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M560" s="2">
        <f>IF(C560="","",IFERROR(INDEX($S$5:$S$304,MATCH(C560,$R$5:$R$304,0))&amp;"","?"))</f>
        <v/>
      </c>
      <c r="N560" s="2">
        <f>IF(E560="","",IF(LEFT(E560,7)="SUBSOLO",-1,IF(LEFT(E560,6)="TÉRREO",0,IFERROR(VALUE(LEFT(E560,FIND("º",SUBSTITUTE(E560,"°","º"))-1)),""))))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M561" s="2">
        <f>IF(C561="","",IFERROR(INDEX($S$5:$S$304,MATCH(C561,$R$5:$R$304,0))&amp;"","?"))</f>
        <v/>
      </c>
      <c r="N561" s="2">
        <f>IF(E561="","",IF(LEFT(E561,7)="SUBSOLO",-1,IF(LEFT(E561,6)="TÉRREO",0,IFERROR(VALUE(LEFT(E561,FIND("º",SUBSTITUTE(E561,"°","º"))-1)),""))))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M562" s="2">
        <f>IF(C562="","",IFERROR(INDEX($S$5:$S$304,MATCH(C562,$R$5:$R$304,0))&amp;"","?"))</f>
        <v/>
      </c>
      <c r="N562" s="2">
        <f>IF(E562="","",IF(LEFT(E562,7)="SUBSOLO",-1,IF(LEFT(E562,6)="TÉRREO",0,IFERROR(VALUE(LEFT(E562,FIND("º",SUBSTITUTE(E562,"°","º"))-1)),""))))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M563" s="2">
        <f>IF(C563="","",IFERROR(INDEX($S$5:$S$304,MATCH(C563,$R$5:$R$304,0))&amp;"","?"))</f>
        <v/>
      </c>
      <c r="N563" s="2">
        <f>IF(E563="","",IF(LEFT(E563,7)="SUBSOLO",-1,IF(LEFT(E563,6)="TÉRREO",0,IFERROR(VALUE(LEFT(E563,FIND("º",SUBSTITUTE(E563,"°","º"))-1)),""))))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M564" s="2">
        <f>IF(C564="","",IFERROR(INDEX($S$5:$S$304,MATCH(C564,$R$5:$R$304,0))&amp;"","?"))</f>
        <v/>
      </c>
      <c r="N564" s="2">
        <f>IF(E564="","",IF(LEFT(E564,7)="SUBSOLO",-1,IF(LEFT(E564,6)="TÉRREO",0,IFERROR(VALUE(LEFT(E564,FIND("º",SUBSTITUTE(E564,"°","º"))-1)),""))))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M565" s="2">
        <f>IF(C565="","",IFERROR(INDEX($S$5:$S$304,MATCH(C565,$R$5:$R$304,0))&amp;"","?"))</f>
        <v/>
      </c>
      <c r="N565" s="2">
        <f>IF(E565="","",IF(LEFT(E565,7)="SUBSOLO",-1,IF(LEFT(E565,6)="TÉRREO",0,IFERROR(VALUE(LEFT(E565,FIND("º",SUBSTITUTE(E565,"°","º"))-1)),""))))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M566" s="2">
        <f>IF(C566="","",IFERROR(INDEX($S$5:$S$304,MATCH(C566,$R$5:$R$304,0))&amp;"","?"))</f>
        <v/>
      </c>
      <c r="N566" s="2">
        <f>IF(E566="","",IF(LEFT(E566,7)="SUBSOLO",-1,IF(LEFT(E566,6)="TÉRREO",0,IFERROR(VALUE(LEFT(E566,FIND("º",SUBSTITUTE(E566,"°","º"))-1)),""))))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M567" s="2">
        <f>IF(C567="","",IFERROR(INDEX($S$5:$S$304,MATCH(C567,$R$5:$R$304,0))&amp;"","?"))</f>
        <v/>
      </c>
      <c r="N567" s="2">
        <f>IF(E567="","",IF(LEFT(E567,7)="SUBSOLO",-1,IF(LEFT(E567,6)="TÉRREO",0,IFERROR(VALUE(LEFT(E567,FIND("º",SUBSTITUTE(E567,"°","º"))-1)),""))))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M568" s="2">
        <f>IF(C568="","",IFERROR(INDEX($S$5:$S$304,MATCH(C568,$R$5:$R$304,0))&amp;"","?"))</f>
        <v/>
      </c>
      <c r="N568" s="2">
        <f>IF(E568="","",IF(LEFT(E568,7)="SUBSOLO",-1,IF(LEFT(E568,6)="TÉRREO",0,IFERROR(VALUE(LEFT(E568,FIND("º",SUBSTITUTE(E568,"°","º"))-1)),""))))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M569" s="2">
        <f>IF(C569="","",IFERROR(INDEX($S$5:$S$304,MATCH(C569,$R$5:$R$304,0))&amp;"","?"))</f>
        <v/>
      </c>
      <c r="N569" s="2">
        <f>IF(E569="","",IF(LEFT(E569,7)="SUBSOLO",-1,IF(LEFT(E569,6)="TÉRREO",0,IFERROR(VALUE(LEFT(E569,FIND("º",SUBSTITUTE(E569,"°","º"))-1)),""))))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M570" s="2">
        <f>IF(C570="","",IFERROR(INDEX($S$5:$S$304,MATCH(C570,$R$5:$R$304,0))&amp;"","?"))</f>
        <v/>
      </c>
      <c r="N570" s="2">
        <f>IF(E570="","",IF(LEFT(E570,7)="SUBSOLO",-1,IF(LEFT(E570,6)="TÉRREO",0,IFERROR(VALUE(LEFT(E570,FIND("º",SUBSTITUTE(E570,"°","º"))-1)),""))))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M571" s="2">
        <f>IF(C571="","",IFERROR(INDEX($S$5:$S$304,MATCH(C571,$R$5:$R$304,0))&amp;"","?"))</f>
        <v/>
      </c>
      <c r="N571" s="2">
        <f>IF(E571="","",IF(LEFT(E571,7)="SUBSOLO",-1,IF(LEFT(E571,6)="TÉRREO",0,IFERROR(VALUE(LEFT(E571,FIND("º",SUBSTITUTE(E571,"°","º"))-1)),""))))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M572" s="2">
        <f>IF(C572="","",IFERROR(INDEX($S$5:$S$304,MATCH(C572,$R$5:$R$304,0))&amp;"","?"))</f>
        <v/>
      </c>
      <c r="N572" s="2">
        <f>IF(E572="","",IF(LEFT(E572,7)="SUBSOLO",-1,IF(LEFT(E572,6)="TÉRREO",0,IFERROR(VALUE(LEFT(E572,FIND("º",SUBSTITUTE(E572,"°","º"))-1)),""))))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M573" s="2">
        <f>IF(C573="","",IFERROR(INDEX($S$5:$S$304,MATCH(C573,$R$5:$R$304,0))&amp;"","?"))</f>
        <v/>
      </c>
      <c r="N573" s="2">
        <f>IF(E573="","",IF(LEFT(E573,7)="SUBSOLO",-1,IF(LEFT(E573,6)="TÉRREO",0,IFERROR(VALUE(LEFT(E573,FIND("º",SUBSTITUTE(E573,"°","º"))-1)),""))))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M574" s="2">
        <f>IF(C574="","",IFERROR(INDEX($S$5:$S$304,MATCH(C574,$R$5:$R$304,0))&amp;"","?"))</f>
        <v/>
      </c>
      <c r="N574" s="2">
        <f>IF(E574="","",IF(LEFT(E574,7)="SUBSOLO",-1,IF(LEFT(E574,6)="TÉRREO",0,IFERROR(VALUE(LEFT(E574,FIND("º",SUBSTITUTE(E574,"°","º"))-1)),""))))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M575" s="2">
        <f>IF(C575="","",IFERROR(INDEX($S$5:$S$304,MATCH(C575,$R$5:$R$304,0))&amp;"","?"))</f>
        <v/>
      </c>
      <c r="N575" s="2">
        <f>IF(E575="","",IF(LEFT(E575,7)="SUBSOLO",-1,IF(LEFT(E575,6)="TÉRREO",0,IFERROR(VALUE(LEFT(E575,FIND("º",SUBSTITUTE(E575,"°","º"))-1)),""))))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M576" s="2">
        <f>IF(C576="","",IFERROR(INDEX($S$5:$S$304,MATCH(C576,$R$5:$R$304,0))&amp;"","?"))</f>
        <v/>
      </c>
      <c r="N576" s="2">
        <f>IF(E576="","",IF(LEFT(E576,7)="SUBSOLO",-1,IF(LEFT(E576,6)="TÉRREO",0,IFERROR(VALUE(LEFT(E576,FIND("º",SUBSTITUTE(E576,"°","º"))-1)),""))))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M577" s="2">
        <f>IF(C577="","",IFERROR(INDEX($S$5:$S$304,MATCH(C577,$R$5:$R$304,0))&amp;"","?"))</f>
        <v/>
      </c>
      <c r="N577" s="2">
        <f>IF(E577="","",IF(LEFT(E577,7)="SUBSOLO",-1,IF(LEFT(E577,6)="TÉRREO",0,IFERROR(VALUE(LEFT(E577,FIND("º",SUBSTITUTE(E577,"°","º"))-1)),""))))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M578" s="2">
        <f>IF(C578="","",IFERROR(INDEX($S$5:$S$304,MATCH(C578,$R$5:$R$304,0))&amp;"","?"))</f>
        <v/>
      </c>
      <c r="N578" s="2">
        <f>IF(E578="","",IF(LEFT(E578,7)="SUBSOLO",-1,IF(LEFT(E578,6)="TÉRREO",0,IFERROR(VALUE(LEFT(E578,FIND("º",SUBSTITUTE(E578,"°","º"))-1)),""))))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M579" s="2">
        <f>IF(C579="","",IFERROR(INDEX($S$5:$S$304,MATCH(C579,$R$5:$R$304,0))&amp;"","?"))</f>
        <v/>
      </c>
      <c r="N579" s="2">
        <f>IF(E579="","",IF(LEFT(E579,7)="SUBSOLO",-1,IF(LEFT(E579,6)="TÉRREO",0,IFERROR(VALUE(LEFT(E579,FIND("º",SUBSTITUTE(E579,"°","º"))-1)),""))))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M580" s="2">
        <f>IF(C580="","",IFERROR(INDEX($S$5:$S$304,MATCH(C580,$R$5:$R$304,0))&amp;"","?"))</f>
        <v/>
      </c>
      <c r="N580" s="2">
        <f>IF(E580="","",IF(LEFT(E580,7)="SUBSOLO",-1,IF(LEFT(E580,6)="TÉRREO",0,IFERROR(VALUE(LEFT(E580,FIND("º",SUBSTITUTE(E580,"°","º"))-1)),""))))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M581" s="2">
        <f>IF(C581="","",IFERROR(INDEX($S$5:$S$304,MATCH(C581,$R$5:$R$304,0))&amp;"","?"))</f>
        <v/>
      </c>
      <c r="N581" s="2">
        <f>IF(E581="","",IF(LEFT(E581,7)="SUBSOLO",-1,IF(LEFT(E581,6)="TÉRREO",0,IFERROR(VALUE(LEFT(E581,FIND("º",SUBSTITUTE(E581,"°","º"))-1)),""))))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M582" s="2">
        <f>IF(C582="","",IFERROR(INDEX($S$5:$S$304,MATCH(C582,$R$5:$R$304,0))&amp;"","?"))</f>
        <v/>
      </c>
      <c r="N582" s="2">
        <f>IF(E582="","",IF(LEFT(E582,7)="SUBSOLO",-1,IF(LEFT(E582,6)="TÉRREO",0,IFERROR(VALUE(LEFT(E582,FIND("º",SUBSTITUTE(E582,"°","º"))-1)),""))))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M583" s="2">
        <f>IF(C583="","",IFERROR(INDEX($S$5:$S$304,MATCH(C583,$R$5:$R$304,0))&amp;"","?"))</f>
        <v/>
      </c>
      <c r="N583" s="2">
        <f>IF(E583="","",IF(LEFT(E583,7)="SUBSOLO",-1,IF(LEFT(E583,6)="TÉRREO",0,IFERROR(VALUE(LEFT(E583,FIND("º",SUBSTITUTE(E583,"°","º"))-1)),""))))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M584" s="2">
        <f>IF(C584="","",IFERROR(INDEX($S$5:$S$304,MATCH(C584,$R$5:$R$304,0))&amp;"","?"))</f>
        <v/>
      </c>
      <c r="N584" s="2">
        <f>IF(E584="","",IF(LEFT(E584,7)="SUBSOLO",-1,IF(LEFT(E584,6)="TÉRREO",0,IFERROR(VALUE(LEFT(E584,FIND("º",SUBSTITUTE(E584,"°","º"))-1)),""))))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M585" s="2">
        <f>IF(C585="","",IFERROR(INDEX($S$5:$S$304,MATCH(C585,$R$5:$R$304,0))&amp;"","?"))</f>
        <v/>
      </c>
      <c r="N585" s="2">
        <f>IF(E585="","",IF(LEFT(E585,7)="SUBSOLO",-1,IF(LEFT(E585,6)="TÉRREO",0,IFERROR(VALUE(LEFT(E585,FIND("º",SUBSTITUTE(E585,"°","º"))-1)),""))))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M586" s="2">
        <f>IF(C586="","",IFERROR(INDEX($S$5:$S$304,MATCH(C586,$R$5:$R$304,0))&amp;"","?"))</f>
        <v/>
      </c>
      <c r="N586" s="2">
        <f>IF(E586="","",IF(LEFT(E586,7)="SUBSOLO",-1,IF(LEFT(E586,6)="TÉRREO",0,IFERROR(VALUE(LEFT(E586,FIND("º",SUBSTITUTE(E586,"°","º"))-1)),""))))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M587" s="2">
        <f>IF(C587="","",IFERROR(INDEX($S$5:$S$304,MATCH(C587,$R$5:$R$304,0))&amp;"","?"))</f>
        <v/>
      </c>
      <c r="N587" s="2">
        <f>IF(E587="","",IF(LEFT(E587,7)="SUBSOLO",-1,IF(LEFT(E587,6)="TÉRREO",0,IFERROR(VALUE(LEFT(E587,FIND("º",SUBSTITUTE(E587,"°","º"))-1)),""))))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M588" s="2">
        <f>IF(C588="","",IFERROR(INDEX($S$5:$S$304,MATCH(C588,$R$5:$R$304,0))&amp;"","?"))</f>
        <v/>
      </c>
      <c r="N588" s="2">
        <f>IF(E588="","",IF(LEFT(E588,7)="SUBSOLO",-1,IF(LEFT(E588,6)="TÉRREO",0,IFERROR(VALUE(LEFT(E588,FIND("º",SUBSTITUTE(E588,"°","º"))-1)),""))))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M589" s="2">
        <f>IF(C589="","",IFERROR(INDEX($S$5:$S$304,MATCH(C589,$R$5:$R$304,0))&amp;"","?"))</f>
        <v/>
      </c>
      <c r="N589" s="2">
        <f>IF(E589="","",IF(LEFT(E589,7)="SUBSOLO",-1,IF(LEFT(E589,6)="TÉRREO",0,IFERROR(VALUE(LEFT(E589,FIND("º",SUBSTITUTE(E589,"°","º"))-1)),""))))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M590" s="2">
        <f>IF(C590="","",IFERROR(INDEX($S$5:$S$304,MATCH(C590,$R$5:$R$304,0))&amp;"","?"))</f>
        <v/>
      </c>
      <c r="N590" s="2">
        <f>IF(E590="","",IF(LEFT(E590,7)="SUBSOLO",-1,IF(LEFT(E590,6)="TÉRREO",0,IFERROR(VALUE(LEFT(E590,FIND("º",SUBSTITUTE(E590,"°","º"))-1)),""))))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M591" s="2">
        <f>IF(C591="","",IFERROR(INDEX($S$5:$S$304,MATCH(C591,$R$5:$R$304,0))&amp;"","?"))</f>
        <v/>
      </c>
      <c r="N591" s="2">
        <f>IF(E591="","",IF(LEFT(E591,7)="SUBSOLO",-1,IF(LEFT(E591,6)="TÉRREO",0,IFERROR(VALUE(LEFT(E591,FIND("º",SUBSTITUTE(E591,"°","º"))-1)),""))))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M592" s="2">
        <f>IF(C592="","",IFERROR(INDEX($S$5:$S$304,MATCH(C592,$R$5:$R$304,0))&amp;"","?"))</f>
        <v/>
      </c>
      <c r="N592" s="2">
        <f>IF(E592="","",IF(LEFT(E592,7)="SUBSOLO",-1,IF(LEFT(E592,6)="TÉRREO",0,IFERROR(VALUE(LEFT(E592,FIND("º",SUBSTITUTE(E592,"°","º"))-1)),""))))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M593" s="2">
        <f>IF(C593="","",IFERROR(INDEX($S$5:$S$304,MATCH(C593,$R$5:$R$304,0))&amp;"","?"))</f>
        <v/>
      </c>
      <c r="N593" s="2">
        <f>IF(E593="","",IF(LEFT(E593,7)="SUBSOLO",-1,IF(LEFT(E593,6)="TÉRREO",0,IFERROR(VALUE(LEFT(E593,FIND("º",SUBSTITUTE(E593,"°","º"))-1)),""))))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M594" s="2">
        <f>IF(C594="","",IFERROR(INDEX($S$5:$S$304,MATCH(C594,$R$5:$R$304,0))&amp;"","?"))</f>
        <v/>
      </c>
      <c r="N594" s="2">
        <f>IF(E594="","",IF(LEFT(E594,7)="SUBSOLO",-1,IF(LEFT(E594,6)="TÉRREO",0,IFERROR(VALUE(LEFT(E594,FIND("º",SUBSTITUTE(E594,"°","º"))-1)),""))))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M595" s="2">
        <f>IF(C595="","",IFERROR(INDEX($S$5:$S$304,MATCH(C595,$R$5:$R$304,0))&amp;"","?"))</f>
        <v/>
      </c>
      <c r="N595" s="2">
        <f>IF(E595="","",IF(LEFT(E595,7)="SUBSOLO",-1,IF(LEFT(E595,6)="TÉRREO",0,IFERROR(VALUE(LEFT(E595,FIND("º",SUBSTITUTE(E595,"°","º"))-1)),""))))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M596" s="2">
        <f>IF(C596="","",IFERROR(INDEX($S$5:$S$304,MATCH(C596,$R$5:$R$304,0))&amp;"","?"))</f>
        <v/>
      </c>
      <c r="N596" s="2">
        <f>IF(E596="","",IF(LEFT(E596,7)="SUBSOLO",-1,IF(LEFT(E596,6)="TÉRREO",0,IFERROR(VALUE(LEFT(E596,FIND("º",SUBSTITUTE(E596,"°","º"))-1)),""))))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M597" s="2">
        <f>IF(C597="","",IFERROR(INDEX($S$5:$S$304,MATCH(C597,$R$5:$R$304,0))&amp;"","?"))</f>
        <v/>
      </c>
      <c r="N597" s="2">
        <f>IF(E597="","",IF(LEFT(E597,7)="SUBSOLO",-1,IF(LEFT(E597,6)="TÉRREO",0,IFERROR(VALUE(LEFT(E597,FIND("º",SUBSTITUTE(E597,"°","º"))-1)),""))))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M598" s="2">
        <f>IF(C598="","",IFERROR(INDEX($S$5:$S$304,MATCH(C598,$R$5:$R$304,0))&amp;"","?"))</f>
        <v/>
      </c>
      <c r="N598" s="2">
        <f>IF(E598="","",IF(LEFT(E598,7)="SUBSOLO",-1,IF(LEFT(E598,6)="TÉRREO",0,IFERROR(VALUE(LEFT(E598,FIND("º",SUBSTITUTE(E598,"°","º"))-1)),""))))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M599" s="2">
        <f>IF(C599="","",IFERROR(INDEX($S$5:$S$304,MATCH(C599,$R$5:$R$304,0))&amp;"","?"))</f>
        <v/>
      </c>
      <c r="N599" s="2">
        <f>IF(E599="","",IF(LEFT(E599,7)="SUBSOLO",-1,IF(LEFT(E599,6)="TÉRREO",0,IFERROR(VALUE(LEFT(E599,FIND("º",SUBSTITUTE(E599,"°","º"))-1)),""))))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M600" s="2">
        <f>IF(C600="","",IFERROR(INDEX($S$5:$S$304,MATCH(C600,$R$5:$R$304,0))&amp;"","?"))</f>
        <v/>
      </c>
      <c r="N600" s="2">
        <f>IF(E600="","",IF(LEFT(E600,7)="SUBSOLO",-1,IF(LEFT(E600,6)="TÉRREO",0,IFERROR(VALUE(LEFT(E600,FIND("º",SUBSTITUTE(E600,"°","º"))-1)),""))))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M601" s="2">
        <f>IF(C601="","",IFERROR(INDEX($S$5:$S$304,MATCH(C601,$R$5:$R$304,0))&amp;"","?"))</f>
        <v/>
      </c>
      <c r="N601" s="2">
        <f>IF(E601="","",IF(LEFT(E601,7)="SUBSOLO",-1,IF(LEFT(E601,6)="TÉRREO",0,IFERROR(VALUE(LEFT(E601,FIND("º",SUBSTITUTE(E601,"°","º"))-1)),""))))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M602" s="2">
        <f>IF(C602="","",IFERROR(INDEX($S$5:$S$304,MATCH(C602,$R$5:$R$304,0))&amp;"","?"))</f>
        <v/>
      </c>
      <c r="N602" s="2">
        <f>IF(E602="","",IF(LEFT(E602,7)="SUBSOLO",-1,IF(LEFT(E602,6)="TÉRREO",0,IFERROR(VALUE(LEFT(E602,FIND("º",SUBSTITUTE(E602,"°","º"))-1)),""))))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M603" s="2">
        <f>IF(C603="","",IFERROR(INDEX($S$5:$S$304,MATCH(C603,$R$5:$R$304,0))&amp;"","?"))</f>
        <v/>
      </c>
      <c r="N603" s="2">
        <f>IF(E603="","",IF(LEFT(E603,7)="SUBSOLO",-1,IF(LEFT(E603,6)="TÉRREO",0,IFERROR(VALUE(LEFT(E603,FIND("º",SUBSTITUTE(E603,"°","º"))-1)),""))))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M604" s="2">
        <f>IF(C604="","",IFERROR(INDEX($S$5:$S$304,MATCH(C604,$R$5:$R$304,0))&amp;"","?"))</f>
        <v/>
      </c>
      <c r="N604" s="2">
        <f>IF(E604="","",IF(LEFT(E604,7)="SUBSOLO",-1,IF(LEFT(E604,6)="TÉRREO",0,IFERROR(VALUE(LEFT(E604,FIND("º",SUBSTITUTE(E604,"°","º"))-1)),""))))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M605" s="2">
        <f>IF(C605="","",IFERROR(INDEX($S$5:$S$304,MATCH(C605,$R$5:$R$304,0))&amp;"","?"))</f>
        <v/>
      </c>
      <c r="N605" s="2">
        <f>IF(E605="","",IF(LEFT(E605,7)="SUBSOLO",-1,IF(LEFT(E605,6)="TÉRREO",0,IFERROR(VALUE(LEFT(E605,FIND("º",SUBSTITUTE(E605,"°","º"))-1)),""))))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M606" s="2">
        <f>IF(C606="","",IFERROR(INDEX($S$5:$S$304,MATCH(C606,$R$5:$R$304,0))&amp;"","?"))</f>
        <v/>
      </c>
      <c r="N606" s="2">
        <f>IF(E606="","",IF(LEFT(E606,7)="SUBSOLO",-1,IF(LEFT(E606,6)="TÉRREO",0,IFERROR(VALUE(LEFT(E606,FIND("º",SUBSTITUTE(E606,"°","º"))-1)),""))))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M607" s="2">
        <f>IF(C607="","",IFERROR(INDEX($S$5:$S$304,MATCH(C607,$R$5:$R$304,0))&amp;"","?"))</f>
        <v/>
      </c>
      <c r="N607" s="2">
        <f>IF(E607="","",IF(LEFT(E607,7)="SUBSOLO",-1,IF(LEFT(E607,6)="TÉRREO",0,IFERROR(VALUE(LEFT(E607,FIND("º",SUBSTITUTE(E607,"°","º"))-1)),""))))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M608" s="2">
        <f>IF(C608="","",IFERROR(INDEX($S$5:$S$304,MATCH(C608,$R$5:$R$304,0))&amp;"","?"))</f>
        <v/>
      </c>
      <c r="N608" s="2">
        <f>IF(E608="","",IF(LEFT(E608,7)="SUBSOLO",-1,IF(LEFT(E608,6)="TÉRREO",0,IFERROR(VALUE(LEFT(E608,FIND("º",SUBSTITUTE(E608,"°","º"))-1)),""))))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M609" s="2">
        <f>IF(C609="","",IFERROR(INDEX($S$5:$S$304,MATCH(C609,$R$5:$R$304,0))&amp;"","?"))</f>
        <v/>
      </c>
      <c r="N609" s="2">
        <f>IF(E609="","",IF(LEFT(E609,7)="SUBSOLO",-1,IF(LEFT(E609,6)="TÉRREO",0,IFERROR(VALUE(LEFT(E609,FIND("º",SUBSTITUTE(E609,"°","º"))-1)),""))))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M610" s="2">
        <f>IF(C610="","",IFERROR(INDEX($S$5:$S$304,MATCH(C610,$R$5:$R$304,0))&amp;"","?"))</f>
        <v/>
      </c>
      <c r="N610" s="2">
        <f>IF(E610="","",IF(LEFT(E610,7)="SUBSOLO",-1,IF(LEFT(E610,6)="TÉRREO",0,IFERROR(VALUE(LEFT(E610,FIND("º",SUBSTITUTE(E610,"°","º"))-1)),""))))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M611" s="2">
        <f>IF(C611="","",IFERROR(INDEX($S$5:$S$304,MATCH(C611,$R$5:$R$304,0))&amp;"","?"))</f>
        <v/>
      </c>
      <c r="N611" s="2">
        <f>IF(E611="","",IF(LEFT(E611,7)="SUBSOLO",-1,IF(LEFT(E611,6)="TÉRREO",0,IFERROR(VALUE(LEFT(E611,FIND("º",SUBSTITUTE(E611,"°","º"))-1)),""))))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M612" s="2">
        <f>IF(C612="","",IFERROR(INDEX($S$5:$S$304,MATCH(C612,$R$5:$R$304,0))&amp;"","?"))</f>
        <v/>
      </c>
      <c r="N612" s="2">
        <f>IF(E612="","",IF(LEFT(E612,7)="SUBSOLO",-1,IF(LEFT(E612,6)="TÉRREO",0,IFERROR(VALUE(LEFT(E612,FIND("º",SUBSTITUTE(E612,"°","º"))-1)),""))))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M613" s="2">
        <f>IF(C613="","",IFERROR(INDEX($S$5:$S$304,MATCH(C613,$R$5:$R$304,0))&amp;"","?"))</f>
        <v/>
      </c>
      <c r="N613" s="2">
        <f>IF(E613="","",IF(LEFT(E613,7)="SUBSOLO",-1,IF(LEFT(E613,6)="TÉRREO",0,IFERROR(VALUE(LEFT(E613,FIND("º",SUBSTITUTE(E613,"°","º"))-1)),""))))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M614" s="2">
        <f>IF(C614="","",IFERROR(INDEX($S$5:$S$304,MATCH(C614,$R$5:$R$304,0))&amp;"","?"))</f>
        <v/>
      </c>
      <c r="N614" s="2">
        <f>IF(E614="","",IF(LEFT(E614,7)="SUBSOLO",-1,IF(LEFT(E614,6)="TÉRREO",0,IFERROR(VALUE(LEFT(E614,FIND("º",SUBSTITUTE(E614,"°","º"))-1)),""))))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M615" s="2">
        <f>IF(C615="","",IFERROR(INDEX($S$5:$S$304,MATCH(C615,$R$5:$R$304,0))&amp;"","?"))</f>
        <v/>
      </c>
      <c r="N615" s="2">
        <f>IF(E615="","",IF(LEFT(E615,7)="SUBSOLO",-1,IF(LEFT(E615,6)="TÉRREO",0,IFERROR(VALUE(LEFT(E615,FIND("º",SUBSTITUTE(E615,"°","º"))-1)),""))))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M616" s="2">
        <f>IF(C616="","",IFERROR(INDEX($S$5:$S$304,MATCH(C616,$R$5:$R$304,0))&amp;"","?"))</f>
        <v/>
      </c>
      <c r="N616" s="2">
        <f>IF(E616="","",IF(LEFT(E616,7)="SUBSOLO",-1,IF(LEFT(E616,6)="TÉRREO",0,IFERROR(VALUE(LEFT(E616,FIND("º",SUBSTITUTE(E616,"°","º"))-1)),""))))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M617" s="2">
        <f>IF(C617="","",IFERROR(INDEX($S$5:$S$304,MATCH(C617,$R$5:$R$304,0))&amp;"","?"))</f>
        <v/>
      </c>
      <c r="N617" s="2">
        <f>IF(E617="","",IF(LEFT(E617,7)="SUBSOLO",-1,IF(LEFT(E617,6)="TÉRREO",0,IFERROR(VALUE(LEFT(E617,FIND("º",SUBSTITUTE(E617,"°","º"))-1)),""))))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M618" s="2">
        <f>IF(C618="","",IFERROR(INDEX($S$5:$S$304,MATCH(C618,$R$5:$R$304,0))&amp;"","?"))</f>
        <v/>
      </c>
      <c r="N618" s="2">
        <f>IF(E618="","",IF(LEFT(E618,7)="SUBSOLO",-1,IF(LEFT(E618,6)="TÉRREO",0,IFERROR(VALUE(LEFT(E618,FIND("º",SUBSTITUTE(E618,"°","º"))-1)),""))))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M619" s="2">
        <f>IF(C619="","",IFERROR(INDEX($S$5:$S$304,MATCH(C619,$R$5:$R$304,0))&amp;"","?"))</f>
        <v/>
      </c>
      <c r="N619" s="2">
        <f>IF(E619="","",IF(LEFT(E619,7)="SUBSOLO",-1,IF(LEFT(E619,6)="TÉRREO",0,IFERROR(VALUE(LEFT(E619,FIND("º",SUBSTITUTE(E619,"°","º"))-1)),""))))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M620" s="2">
        <f>IF(C620="","",IFERROR(INDEX($S$5:$S$304,MATCH(C620,$R$5:$R$304,0))&amp;"","?"))</f>
        <v/>
      </c>
      <c r="N620" s="2">
        <f>IF(E620="","",IF(LEFT(E620,7)="SUBSOLO",-1,IF(LEFT(E620,6)="TÉRREO",0,IFERROR(VALUE(LEFT(E620,FIND("º",SUBSTITUTE(E620,"°","º"))-1)),""))))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M621" s="2">
        <f>IF(C621="","",IFERROR(INDEX($S$5:$S$304,MATCH(C621,$R$5:$R$304,0))&amp;"","?"))</f>
        <v/>
      </c>
      <c r="N621" s="2">
        <f>IF(E621="","",IF(LEFT(E621,7)="SUBSOLO",-1,IF(LEFT(E621,6)="TÉRREO",0,IFERROR(VALUE(LEFT(E621,FIND("º",SUBSTITUTE(E621,"°","º"))-1)),""))))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M622" s="2">
        <f>IF(C622="","",IFERROR(INDEX($S$5:$S$304,MATCH(C622,$R$5:$R$304,0))&amp;"","?"))</f>
        <v/>
      </c>
      <c r="N622" s="2">
        <f>IF(E622="","",IF(LEFT(E622,7)="SUBSOLO",-1,IF(LEFT(E622,6)="TÉRREO",0,IFERROR(VALUE(LEFT(E622,FIND("º",SUBSTITUTE(E622,"°","º"))-1)),""))))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M623" s="2">
        <f>IF(C623="","",IFERROR(INDEX($S$5:$S$304,MATCH(C623,$R$5:$R$304,0))&amp;"","?"))</f>
        <v/>
      </c>
      <c r="N623" s="2">
        <f>IF(E623="","",IF(LEFT(E623,7)="SUBSOLO",-1,IF(LEFT(E623,6)="TÉRREO",0,IFERROR(VALUE(LEFT(E623,FIND("º",SUBSTITUTE(E623,"°","º"))-1)),""))))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M624" s="2">
        <f>IF(C624="","",IFERROR(INDEX($S$5:$S$304,MATCH(C624,$R$5:$R$304,0))&amp;"","?"))</f>
        <v/>
      </c>
      <c r="N624" s="2">
        <f>IF(E624="","",IF(LEFT(E624,7)="SUBSOLO",-1,IF(LEFT(E624,6)="TÉRREO",0,IFERROR(VALUE(LEFT(E624,FIND("º",SUBSTITUTE(E624,"°","º"))-1)),""))))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M625" s="2">
        <f>IF(C625="","",IFERROR(INDEX($S$5:$S$304,MATCH(C625,$R$5:$R$304,0))&amp;"","?"))</f>
        <v/>
      </c>
      <c r="N625" s="2">
        <f>IF(E625="","",IF(LEFT(E625,7)="SUBSOLO",-1,IF(LEFT(E625,6)="TÉRREO",0,IFERROR(VALUE(LEFT(E625,FIND("º",SUBSTITUTE(E625,"°","º"))-1)),""))))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M626" s="2">
        <f>IF(C626="","",IFERROR(INDEX($S$5:$S$304,MATCH(C626,$R$5:$R$304,0))&amp;"","?"))</f>
        <v/>
      </c>
      <c r="N626" s="2">
        <f>IF(E626="","",IF(LEFT(E626,7)="SUBSOLO",-1,IF(LEFT(E626,6)="TÉRREO",0,IFERROR(VALUE(LEFT(E626,FIND("º",SUBSTITUTE(E626,"°","º"))-1)),""))))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M627" s="2">
        <f>IF(C627="","",IFERROR(INDEX($S$5:$S$304,MATCH(C627,$R$5:$R$304,0))&amp;"","?"))</f>
        <v/>
      </c>
      <c r="N627" s="2">
        <f>IF(E627="","",IF(LEFT(E627,7)="SUBSOLO",-1,IF(LEFT(E627,6)="TÉRREO",0,IFERROR(VALUE(LEFT(E627,FIND("º",SUBSTITUTE(E627,"°","º"))-1)),""))))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M628" s="2">
        <f>IF(C628="","",IFERROR(INDEX($S$5:$S$304,MATCH(C628,$R$5:$R$304,0))&amp;"","?"))</f>
        <v/>
      </c>
      <c r="N628" s="2">
        <f>IF(E628="","",IF(LEFT(E628,7)="SUBSOLO",-1,IF(LEFT(E628,6)="TÉRREO",0,IFERROR(VALUE(LEFT(E628,FIND("º",SUBSTITUTE(E628,"°","º"))-1)),""))))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M629" s="2">
        <f>IF(C629="","",IFERROR(INDEX($S$5:$S$304,MATCH(C629,$R$5:$R$304,0))&amp;"","?"))</f>
        <v/>
      </c>
      <c r="N629" s="2">
        <f>IF(E629="","",IF(LEFT(E629,7)="SUBSOLO",-1,IF(LEFT(E629,6)="TÉRREO",0,IFERROR(VALUE(LEFT(E629,FIND("º",SUBSTITUTE(E629,"°","º"))-1)),""))))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M630" s="2">
        <f>IF(C630="","",IFERROR(INDEX($S$5:$S$304,MATCH(C630,$R$5:$R$304,0))&amp;"","?"))</f>
        <v/>
      </c>
      <c r="N630" s="2">
        <f>IF(E630="","",IF(LEFT(E630,7)="SUBSOLO",-1,IF(LEFT(E630,6)="TÉRREO",0,IFERROR(VALUE(LEFT(E630,FIND("º",SUBSTITUTE(E630,"°","º"))-1)),""))))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M631" s="2">
        <f>IF(C631="","",IFERROR(INDEX($S$5:$S$304,MATCH(C631,$R$5:$R$304,0))&amp;"","?"))</f>
        <v/>
      </c>
      <c r="N631" s="2">
        <f>IF(E631="","",IF(LEFT(E631,7)="SUBSOLO",-1,IF(LEFT(E631,6)="TÉRREO",0,IFERROR(VALUE(LEFT(E631,FIND("º",SUBSTITUTE(E631,"°","º"))-1)),""))))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M632" s="2">
        <f>IF(C632="","",IFERROR(INDEX($S$5:$S$304,MATCH(C632,$R$5:$R$304,0))&amp;"","?"))</f>
        <v/>
      </c>
      <c r="N632" s="2">
        <f>IF(E632="","",IF(LEFT(E632,7)="SUBSOLO",-1,IF(LEFT(E632,6)="TÉRREO",0,IFERROR(VALUE(LEFT(E632,FIND("º",SUBSTITUTE(E632,"°","º"))-1)),""))))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M633" s="2">
        <f>IF(C633="","",IFERROR(INDEX($S$5:$S$304,MATCH(C633,$R$5:$R$304,0))&amp;"","?"))</f>
        <v/>
      </c>
      <c r="N633" s="2">
        <f>IF(E633="","",IF(LEFT(E633,7)="SUBSOLO",-1,IF(LEFT(E633,6)="TÉRREO",0,IFERROR(VALUE(LEFT(E633,FIND("º",SUBSTITUTE(E633,"°","º"))-1)),""))))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M634" s="2">
        <f>IF(C634="","",IFERROR(INDEX($S$5:$S$304,MATCH(C634,$R$5:$R$304,0))&amp;"","?"))</f>
        <v/>
      </c>
      <c r="N634" s="2">
        <f>IF(E634="","",IF(LEFT(E634,7)="SUBSOLO",-1,IF(LEFT(E634,6)="TÉRREO",0,IFERROR(VALUE(LEFT(E634,FIND("º",SUBSTITUTE(E634,"°","º"))-1)),""))))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M635" s="2">
        <f>IF(C635="","",IFERROR(INDEX($S$5:$S$304,MATCH(C635,$R$5:$R$304,0))&amp;"","?"))</f>
        <v/>
      </c>
      <c r="N635" s="2">
        <f>IF(E635="","",IF(LEFT(E635,7)="SUBSOLO",-1,IF(LEFT(E635,6)="TÉRREO",0,IFERROR(VALUE(LEFT(E635,FIND("º",SUBSTITUTE(E635,"°","º"))-1)),""))))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M636" s="2">
        <f>IF(C636="","",IFERROR(INDEX($S$5:$S$304,MATCH(C636,$R$5:$R$304,0))&amp;"","?"))</f>
        <v/>
      </c>
      <c r="N636" s="2">
        <f>IF(E636="","",IF(LEFT(E636,7)="SUBSOLO",-1,IF(LEFT(E636,6)="TÉRREO",0,IFERROR(VALUE(LEFT(E636,FIND("º",SUBSTITUTE(E636,"°","º"))-1)),""))))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M637" s="2">
        <f>IF(C637="","",IFERROR(INDEX($S$5:$S$304,MATCH(C637,$R$5:$R$304,0))&amp;"","?"))</f>
        <v/>
      </c>
      <c r="N637" s="2">
        <f>IF(E637="","",IF(LEFT(E637,7)="SUBSOLO",-1,IF(LEFT(E637,6)="TÉRREO",0,IFERROR(VALUE(LEFT(E637,FIND("º",SUBSTITUTE(E637,"°","º"))-1)),""))))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M638" s="2">
        <f>IF(C638="","",IFERROR(INDEX($S$5:$S$304,MATCH(C638,$R$5:$R$304,0))&amp;"","?"))</f>
        <v/>
      </c>
      <c r="N638" s="2">
        <f>IF(E638="","",IF(LEFT(E638,7)="SUBSOLO",-1,IF(LEFT(E638,6)="TÉRREO",0,IFERROR(VALUE(LEFT(E638,FIND("º",SUBSTITUTE(E638,"°","º"))-1)),""))))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M639" s="2">
        <f>IF(C639="","",IFERROR(INDEX($S$5:$S$304,MATCH(C639,$R$5:$R$304,0))&amp;"","?"))</f>
        <v/>
      </c>
      <c r="N639" s="2">
        <f>IF(E639="","",IF(LEFT(E639,7)="SUBSOLO",-1,IF(LEFT(E639,6)="TÉRREO",0,IFERROR(VALUE(LEFT(E639,FIND("º",SUBSTITUTE(E639,"°","º"))-1)),""))))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M640" s="2">
        <f>IF(C640="","",IFERROR(INDEX($S$5:$S$304,MATCH(C640,$R$5:$R$304,0))&amp;"","?"))</f>
        <v/>
      </c>
      <c r="N640" s="2">
        <f>IF(E640="","",IF(LEFT(E640,7)="SUBSOLO",-1,IF(LEFT(E640,6)="TÉRREO",0,IFERROR(VALUE(LEFT(E640,FIND("º",SUBSTITUTE(E640,"°","º"))-1)),""))))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M641" s="2">
        <f>IF(C641="","",IFERROR(INDEX($S$5:$S$304,MATCH(C641,$R$5:$R$304,0))&amp;"","?"))</f>
        <v/>
      </c>
      <c r="N641" s="2">
        <f>IF(E641="","",IF(LEFT(E641,7)="SUBSOLO",-1,IF(LEFT(E641,6)="TÉRREO",0,IFERROR(VALUE(LEFT(E641,FIND("º",SUBSTITUTE(E641,"°","º"))-1)),""))))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M642" s="2">
        <f>IF(C642="","",IFERROR(INDEX($S$5:$S$304,MATCH(C642,$R$5:$R$304,0))&amp;"","?"))</f>
        <v/>
      </c>
      <c r="N642" s="2">
        <f>IF(E642="","",IF(LEFT(E642,7)="SUBSOLO",-1,IF(LEFT(E642,6)="TÉRREO",0,IFERROR(VALUE(LEFT(E642,FIND("º",SUBSTITUTE(E642,"°","º"))-1)),""))))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M643" s="2">
        <f>IF(C643="","",IFERROR(INDEX($S$5:$S$304,MATCH(C643,$R$5:$R$304,0))&amp;"","?"))</f>
        <v/>
      </c>
      <c r="N643" s="2">
        <f>IF(E643="","",IF(LEFT(E643,7)="SUBSOLO",-1,IF(LEFT(E643,6)="TÉRREO",0,IFERROR(VALUE(LEFT(E643,FIND("º",SUBSTITUTE(E643,"°","º"))-1)),""))))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M644" s="2">
        <f>IF(C644="","",IFERROR(INDEX($S$5:$S$304,MATCH(C644,$R$5:$R$304,0))&amp;"","?"))</f>
        <v/>
      </c>
      <c r="N644" s="2">
        <f>IF(E644="","",IF(LEFT(E644,7)="SUBSOLO",-1,IF(LEFT(E644,6)="TÉRREO",0,IFERROR(VALUE(LEFT(E644,FIND("º",SUBSTITUTE(E644,"°","º"))-1)),""))))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M645" s="2">
        <f>IF(C645="","",IFERROR(INDEX($S$5:$S$304,MATCH(C645,$R$5:$R$304,0))&amp;"","?"))</f>
        <v/>
      </c>
      <c r="N645" s="2">
        <f>IF(E645="","",IF(LEFT(E645,7)="SUBSOLO",-1,IF(LEFT(E645,6)="TÉRREO",0,IFERROR(VALUE(LEFT(E645,FIND("º",SUBSTITUTE(E645,"°","º"))-1)),""))))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M646" s="2">
        <f>IF(C646="","",IFERROR(INDEX($S$5:$S$304,MATCH(C646,$R$5:$R$304,0))&amp;"","?"))</f>
        <v/>
      </c>
      <c r="N646" s="2">
        <f>IF(E646="","",IF(LEFT(E646,7)="SUBSOLO",-1,IF(LEFT(E646,6)="TÉRREO",0,IFERROR(VALUE(LEFT(E646,FIND("º",SUBSTITUTE(E646,"°","º"))-1)),""))))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M647" s="2">
        <f>IF(C647="","",IFERROR(INDEX($S$5:$S$304,MATCH(C647,$R$5:$R$304,0))&amp;"","?"))</f>
        <v/>
      </c>
      <c r="N647" s="2">
        <f>IF(E647="","",IF(LEFT(E647,7)="SUBSOLO",-1,IF(LEFT(E647,6)="TÉRREO",0,IFERROR(VALUE(LEFT(E647,FIND("º",SUBSTITUTE(E647,"°","º"))-1)),""))))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M648" s="2">
        <f>IF(C648="","",IFERROR(INDEX($S$5:$S$304,MATCH(C648,$R$5:$R$304,0))&amp;"","?"))</f>
        <v/>
      </c>
      <c r="N648" s="2">
        <f>IF(E648="","",IF(LEFT(E648,7)="SUBSOLO",-1,IF(LEFT(E648,6)="TÉRREO",0,IFERROR(VALUE(LEFT(E648,FIND("º",SUBSTITUTE(E648,"°","º"))-1)),""))))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M649" s="2">
        <f>IF(C649="","",IFERROR(INDEX($S$5:$S$304,MATCH(C649,$R$5:$R$304,0))&amp;"","?"))</f>
        <v/>
      </c>
      <c r="N649" s="2">
        <f>IF(E649="","",IF(LEFT(E649,7)="SUBSOLO",-1,IF(LEFT(E649,6)="TÉRREO",0,IFERROR(VALUE(LEFT(E649,FIND("º",SUBSTITUTE(E649,"°","º"))-1)),""))))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M650" s="2">
        <f>IF(C650="","",IFERROR(INDEX($S$5:$S$304,MATCH(C650,$R$5:$R$304,0))&amp;"","?"))</f>
        <v/>
      </c>
      <c r="N650" s="2">
        <f>IF(E650="","",IF(LEFT(E650,7)="SUBSOLO",-1,IF(LEFT(E650,6)="TÉRREO",0,IFERROR(VALUE(LEFT(E650,FIND("º",SUBSTITUTE(E650,"°","º"))-1)),""))))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M651" s="2">
        <f>IF(C651="","",IFERROR(INDEX($S$5:$S$304,MATCH(C651,$R$5:$R$304,0))&amp;"","?"))</f>
        <v/>
      </c>
      <c r="N651" s="2">
        <f>IF(E651="","",IF(LEFT(E651,7)="SUBSOLO",-1,IF(LEFT(E651,6)="TÉRREO",0,IFERROR(VALUE(LEFT(E651,FIND("º",SUBSTITUTE(E651,"°","º"))-1)),""))))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M652" s="2">
        <f>IF(C652="","",IFERROR(INDEX($S$5:$S$304,MATCH(C652,$R$5:$R$304,0))&amp;"","?"))</f>
        <v/>
      </c>
      <c r="N652" s="2">
        <f>IF(E652="","",IF(LEFT(E652,7)="SUBSOLO",-1,IF(LEFT(E652,6)="TÉRREO",0,IFERROR(VALUE(LEFT(E652,FIND("º",SUBSTITUTE(E652,"°","º"))-1)),""))))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M653" s="2">
        <f>IF(C653="","",IFERROR(INDEX($S$5:$S$304,MATCH(C653,$R$5:$R$304,0))&amp;"","?"))</f>
        <v/>
      </c>
      <c r="N653" s="2">
        <f>IF(E653="","",IF(LEFT(E653,7)="SUBSOLO",-1,IF(LEFT(E653,6)="TÉRREO",0,IFERROR(VALUE(LEFT(E653,FIND("º",SUBSTITUTE(E653,"°","º"))-1)),""))))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M654" s="2">
        <f>IF(C654="","",IFERROR(INDEX($S$5:$S$304,MATCH(C654,$R$5:$R$304,0))&amp;"","?"))</f>
        <v/>
      </c>
      <c r="N654" s="2">
        <f>IF(E654="","",IF(LEFT(E654,7)="SUBSOLO",-1,IF(LEFT(E654,6)="TÉRREO",0,IFERROR(VALUE(LEFT(E654,FIND("º",SUBSTITUTE(E654,"°","º"))-1)),""))))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M655" s="2">
        <f>IF(C655="","",IFERROR(INDEX($S$5:$S$304,MATCH(C655,$R$5:$R$304,0))&amp;"","?"))</f>
        <v/>
      </c>
      <c r="N655" s="2">
        <f>IF(E655="","",IF(LEFT(E655,7)="SUBSOLO",-1,IF(LEFT(E655,6)="TÉRREO",0,IFERROR(VALUE(LEFT(E655,FIND("º",SUBSTITUTE(E655,"°","º"))-1)),""))))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M656" s="2">
        <f>IF(C656="","",IFERROR(INDEX($S$5:$S$304,MATCH(C656,$R$5:$R$304,0))&amp;"","?"))</f>
        <v/>
      </c>
      <c r="N656" s="2">
        <f>IF(E656="","",IF(LEFT(E656,7)="SUBSOLO",-1,IF(LEFT(E656,6)="TÉRREO",0,IFERROR(VALUE(LEFT(E656,FIND("º",SUBSTITUTE(E656,"°","º"))-1)),""))))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M657" s="2">
        <f>IF(C657="","",IFERROR(INDEX($S$5:$S$304,MATCH(C657,$R$5:$R$304,0))&amp;"","?"))</f>
        <v/>
      </c>
      <c r="N657" s="2">
        <f>IF(E657="","",IF(LEFT(E657,7)="SUBSOLO",-1,IF(LEFT(E657,6)="TÉRREO",0,IFERROR(VALUE(LEFT(E657,FIND("º",SUBSTITUTE(E657,"°","º"))-1)),""))))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M658" s="2">
        <f>IF(C658="","",IFERROR(INDEX($S$5:$S$304,MATCH(C658,$R$5:$R$304,0))&amp;"","?"))</f>
        <v/>
      </c>
      <c r="N658" s="2">
        <f>IF(E658="","",IF(LEFT(E658,7)="SUBSOLO",-1,IF(LEFT(E658,6)="TÉRREO",0,IFERROR(VALUE(LEFT(E658,FIND("º",SUBSTITUTE(E658,"°","º"))-1)),""))))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M659" s="2">
        <f>IF(C659="","",IFERROR(INDEX($S$5:$S$304,MATCH(C659,$R$5:$R$304,0))&amp;"","?"))</f>
        <v/>
      </c>
      <c r="N659" s="2">
        <f>IF(E659="","",IF(LEFT(E659,7)="SUBSOLO",-1,IF(LEFT(E659,6)="TÉRREO",0,IFERROR(VALUE(LEFT(E659,FIND("º",SUBSTITUTE(E659,"°","º"))-1)),""))))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M660" s="2">
        <f>IF(C660="","",IFERROR(INDEX($S$5:$S$304,MATCH(C660,$R$5:$R$304,0))&amp;"","?"))</f>
        <v/>
      </c>
      <c r="N660" s="2">
        <f>IF(E660="","",IF(LEFT(E660,7)="SUBSOLO",-1,IF(LEFT(E660,6)="TÉRREO",0,IFERROR(VALUE(LEFT(E660,FIND("º",SUBSTITUTE(E660,"°","º"))-1)),""))))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M661" s="2">
        <f>IF(C661="","",IFERROR(INDEX($S$5:$S$304,MATCH(C661,$R$5:$R$304,0))&amp;"","?"))</f>
        <v/>
      </c>
      <c r="N661" s="2">
        <f>IF(E661="","",IF(LEFT(E661,7)="SUBSOLO",-1,IF(LEFT(E661,6)="TÉRREO",0,IFERROR(VALUE(LEFT(E661,FIND("º",SUBSTITUTE(E661,"°","º"))-1)),""))))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M662" s="2">
        <f>IF(C662="","",IFERROR(INDEX($S$5:$S$304,MATCH(C662,$R$5:$R$304,0))&amp;"","?"))</f>
        <v/>
      </c>
      <c r="N662" s="2">
        <f>IF(E662="","",IF(LEFT(E662,7)="SUBSOLO",-1,IF(LEFT(E662,6)="TÉRREO",0,IFERROR(VALUE(LEFT(E662,FIND("º",SUBSTITUTE(E662,"°","º"))-1)),""))))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M663" s="2">
        <f>IF(C663="","",IFERROR(INDEX($S$5:$S$304,MATCH(C663,$R$5:$R$304,0))&amp;"","?"))</f>
        <v/>
      </c>
      <c r="N663" s="2">
        <f>IF(E663="","",IF(LEFT(E663,7)="SUBSOLO",-1,IF(LEFT(E663,6)="TÉRREO",0,IFERROR(VALUE(LEFT(E663,FIND("º",SUBSTITUTE(E663,"°","º"))-1)),""))))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M664" s="2">
        <f>IF(C664="","",IFERROR(INDEX($S$5:$S$304,MATCH(C664,$R$5:$R$304,0))&amp;"","?"))</f>
        <v/>
      </c>
      <c r="N664" s="2">
        <f>IF(E664="","",IF(LEFT(E664,7)="SUBSOLO",-1,IF(LEFT(E664,6)="TÉRREO",0,IFERROR(VALUE(LEFT(E664,FIND("º",SUBSTITUTE(E664,"°","º"))-1)),""))))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M665" s="2">
        <f>IF(C665="","",IFERROR(INDEX($S$5:$S$304,MATCH(C665,$R$5:$R$304,0))&amp;"","?"))</f>
        <v/>
      </c>
      <c r="N665" s="2">
        <f>IF(E665="","",IF(LEFT(E665,7)="SUBSOLO",-1,IF(LEFT(E665,6)="TÉRREO",0,IFERROR(VALUE(LEFT(E665,FIND("º",SUBSTITUTE(E665,"°","º"))-1)),""))))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M666" s="2">
        <f>IF(C666="","",IFERROR(INDEX($S$5:$S$304,MATCH(C666,$R$5:$R$304,0))&amp;"","?"))</f>
        <v/>
      </c>
      <c r="N666" s="2">
        <f>IF(E666="","",IF(LEFT(E666,7)="SUBSOLO",-1,IF(LEFT(E666,6)="TÉRREO",0,IFERROR(VALUE(LEFT(E666,FIND("º",SUBSTITUTE(E666,"°","º"))-1)),""))))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M667" s="2">
        <f>IF(C667="","",IFERROR(INDEX($S$5:$S$304,MATCH(C667,$R$5:$R$304,0))&amp;"","?"))</f>
        <v/>
      </c>
      <c r="N667" s="2">
        <f>IF(E667="","",IF(LEFT(E667,7)="SUBSOLO",-1,IF(LEFT(E667,6)="TÉRREO",0,IFERROR(VALUE(LEFT(E667,FIND("º",SUBSTITUTE(E667,"°","º"))-1)),""))))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M668" s="2">
        <f>IF(C668="","",IFERROR(INDEX($S$5:$S$304,MATCH(C668,$R$5:$R$304,0))&amp;"","?"))</f>
        <v/>
      </c>
      <c r="N668" s="2">
        <f>IF(E668="","",IF(LEFT(E668,7)="SUBSOLO",-1,IF(LEFT(E668,6)="TÉRREO",0,IFERROR(VALUE(LEFT(E668,FIND("º",SUBSTITUTE(E668,"°","º"))-1)),""))))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M669" s="2">
        <f>IF(C669="","",IFERROR(INDEX($S$5:$S$304,MATCH(C669,$R$5:$R$304,0))&amp;"","?"))</f>
        <v/>
      </c>
      <c r="N669" s="2">
        <f>IF(E669="","",IF(LEFT(E669,7)="SUBSOLO",-1,IF(LEFT(E669,6)="TÉRREO",0,IFERROR(VALUE(LEFT(E669,FIND("º",SUBSTITUTE(E669,"°","º"))-1)),""))))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M670" s="2">
        <f>IF(C670="","",IFERROR(INDEX($S$5:$S$304,MATCH(C670,$R$5:$R$304,0))&amp;"","?"))</f>
        <v/>
      </c>
      <c r="N670" s="2">
        <f>IF(E670="","",IF(LEFT(E670,7)="SUBSOLO",-1,IF(LEFT(E670,6)="TÉRREO",0,IFERROR(VALUE(LEFT(E670,FIND("º",SUBSTITUTE(E670,"°","º"))-1)),""))))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M671" s="2">
        <f>IF(C671="","",IFERROR(INDEX($S$5:$S$304,MATCH(C671,$R$5:$R$304,0))&amp;"","?"))</f>
        <v/>
      </c>
      <c r="N671" s="2">
        <f>IF(E671="","",IF(LEFT(E671,7)="SUBSOLO",-1,IF(LEFT(E671,6)="TÉRREO",0,IFERROR(VALUE(LEFT(E671,FIND("º",SUBSTITUTE(E671,"°","º"))-1)),""))))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M672" s="2">
        <f>IF(C672="","",IFERROR(INDEX($S$5:$S$304,MATCH(C672,$R$5:$R$304,0))&amp;"","?"))</f>
        <v/>
      </c>
      <c r="N672" s="2">
        <f>IF(E672="","",IF(LEFT(E672,7)="SUBSOLO",-1,IF(LEFT(E672,6)="TÉRREO",0,IFERROR(VALUE(LEFT(E672,FIND("º",SUBSTITUTE(E672,"°","º"))-1)),""))))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M673" s="2">
        <f>IF(C673="","",IFERROR(INDEX($S$5:$S$304,MATCH(C673,$R$5:$R$304,0))&amp;"","?"))</f>
        <v/>
      </c>
      <c r="N673" s="2">
        <f>IF(E673="","",IF(LEFT(E673,7)="SUBSOLO",-1,IF(LEFT(E673,6)="TÉRREO",0,IFERROR(VALUE(LEFT(E673,FIND("º",SUBSTITUTE(E673,"°","º"))-1)),""))))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M674" s="2">
        <f>IF(C674="","",IFERROR(INDEX($S$5:$S$304,MATCH(C674,$R$5:$R$304,0))&amp;"","?"))</f>
        <v/>
      </c>
      <c r="N674" s="2">
        <f>IF(E674="","",IF(LEFT(E674,7)="SUBSOLO",-1,IF(LEFT(E674,6)="TÉRREO",0,IFERROR(VALUE(LEFT(E674,FIND("º",SUBSTITUTE(E674,"°","º"))-1)),""))))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M675" s="2">
        <f>IF(C675="","",IFERROR(INDEX($S$5:$S$304,MATCH(C675,$R$5:$R$304,0))&amp;"","?"))</f>
        <v/>
      </c>
      <c r="N675" s="2">
        <f>IF(E675="","",IF(LEFT(E675,7)="SUBSOLO",-1,IF(LEFT(E675,6)="TÉRREO",0,IFERROR(VALUE(LEFT(E675,FIND("º",SUBSTITUTE(E675,"°","º"))-1)),""))))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M676" s="2">
        <f>IF(C676="","",IFERROR(INDEX($S$5:$S$304,MATCH(C676,$R$5:$R$304,0))&amp;"","?"))</f>
        <v/>
      </c>
      <c r="N676" s="2">
        <f>IF(E676="","",IF(LEFT(E676,7)="SUBSOLO",-1,IF(LEFT(E676,6)="TÉRREO",0,IFERROR(VALUE(LEFT(E676,FIND("º",SUBSTITUTE(E676,"°","º"))-1)),""))))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M677" s="2">
        <f>IF(C677="","",IFERROR(INDEX($S$5:$S$304,MATCH(C677,$R$5:$R$304,0))&amp;"","?"))</f>
        <v/>
      </c>
      <c r="N677" s="2">
        <f>IF(E677="","",IF(LEFT(E677,7)="SUBSOLO",-1,IF(LEFT(E677,6)="TÉRREO",0,IFERROR(VALUE(LEFT(E677,FIND("º",SUBSTITUTE(E677,"°","º"))-1)),""))))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M678" s="2">
        <f>IF(C678="","",IFERROR(INDEX($S$5:$S$304,MATCH(C678,$R$5:$R$304,0))&amp;"","?"))</f>
        <v/>
      </c>
      <c r="N678" s="2">
        <f>IF(E678="","",IF(LEFT(E678,7)="SUBSOLO",-1,IF(LEFT(E678,6)="TÉRREO",0,IFERROR(VALUE(LEFT(E678,FIND("º",SUBSTITUTE(E678,"°","º"))-1)),""))))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M679" s="2">
        <f>IF(C679="","",IFERROR(INDEX($S$5:$S$304,MATCH(C679,$R$5:$R$304,0))&amp;"","?"))</f>
        <v/>
      </c>
      <c r="N679" s="2">
        <f>IF(E679="","",IF(LEFT(E679,7)="SUBSOLO",-1,IF(LEFT(E679,6)="TÉRREO",0,IFERROR(VALUE(LEFT(E679,FIND("º",SUBSTITUTE(E679,"°","º"))-1)),""))))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M680" s="2">
        <f>IF(C680="","",IFERROR(INDEX($S$5:$S$304,MATCH(C680,$R$5:$R$304,0))&amp;"","?"))</f>
        <v/>
      </c>
      <c r="N680" s="2">
        <f>IF(E680="","",IF(LEFT(E680,7)="SUBSOLO",-1,IF(LEFT(E680,6)="TÉRREO",0,IFERROR(VALUE(LEFT(E680,FIND("º",SUBSTITUTE(E680,"°","º"))-1)),""))))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M681" s="2">
        <f>IF(C681="","",IFERROR(INDEX($S$5:$S$304,MATCH(C681,$R$5:$R$304,0))&amp;"","?"))</f>
        <v/>
      </c>
      <c r="N681" s="2">
        <f>IF(E681="","",IF(LEFT(E681,7)="SUBSOLO",-1,IF(LEFT(E681,6)="TÉRREO",0,IFERROR(VALUE(LEFT(E681,FIND("º",SUBSTITUTE(E681,"°","º"))-1)),""))))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M682" s="2">
        <f>IF(C682="","",IFERROR(INDEX($S$5:$S$304,MATCH(C682,$R$5:$R$304,0))&amp;"","?"))</f>
        <v/>
      </c>
      <c r="N682" s="2">
        <f>IF(E682="","",IF(LEFT(E682,7)="SUBSOLO",-1,IF(LEFT(E682,6)="TÉRREO",0,IFERROR(VALUE(LEFT(E682,FIND("º",SUBSTITUTE(E682,"°","º"))-1)),""))))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M683" s="2">
        <f>IF(C683="","",IFERROR(INDEX($S$5:$S$304,MATCH(C683,$R$5:$R$304,0))&amp;"","?"))</f>
        <v/>
      </c>
      <c r="N683" s="2">
        <f>IF(E683="","",IF(LEFT(E683,7)="SUBSOLO",-1,IF(LEFT(E683,6)="TÉRREO",0,IFERROR(VALUE(LEFT(E683,FIND("º",SUBSTITUTE(E683,"°","º"))-1)),""))))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M684" s="2">
        <f>IF(C684="","",IFERROR(INDEX($S$5:$S$304,MATCH(C684,$R$5:$R$304,0))&amp;"","?"))</f>
        <v/>
      </c>
      <c r="N684" s="2">
        <f>IF(E684="","",IF(LEFT(E684,7)="SUBSOLO",-1,IF(LEFT(E684,6)="TÉRREO",0,IFERROR(VALUE(LEFT(E684,FIND("º",SUBSTITUTE(E684,"°","º"))-1)),""))))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M685" s="2">
        <f>IF(C685="","",IFERROR(INDEX($S$5:$S$304,MATCH(C685,$R$5:$R$304,0))&amp;"","?"))</f>
        <v/>
      </c>
      <c r="N685" s="2">
        <f>IF(E685="","",IF(LEFT(E685,7)="SUBSOLO",-1,IF(LEFT(E685,6)="TÉRREO",0,IFERROR(VALUE(LEFT(E685,FIND("º",SUBSTITUTE(E685,"°","º"))-1)),""))))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M686" s="2">
        <f>IF(C686="","",IFERROR(INDEX($S$5:$S$304,MATCH(C686,$R$5:$R$304,0))&amp;"","?"))</f>
        <v/>
      </c>
      <c r="N686" s="2">
        <f>IF(E686="","",IF(LEFT(E686,7)="SUBSOLO",-1,IF(LEFT(E686,6)="TÉRREO",0,IFERROR(VALUE(LEFT(E686,FIND("º",SUBSTITUTE(E686,"°","º"))-1)),""))))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M687" s="2">
        <f>IF(C687="","",IFERROR(INDEX($S$5:$S$304,MATCH(C687,$R$5:$R$304,0))&amp;"","?"))</f>
        <v/>
      </c>
      <c r="N687" s="2">
        <f>IF(E687="","",IF(LEFT(E687,7)="SUBSOLO",-1,IF(LEFT(E687,6)="TÉRREO",0,IFERROR(VALUE(LEFT(E687,FIND("º",SUBSTITUTE(E687,"°","º"))-1)),""))))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M688" s="2">
        <f>IF(C688="","",IFERROR(INDEX($S$5:$S$304,MATCH(C688,$R$5:$R$304,0))&amp;"","?"))</f>
        <v/>
      </c>
      <c r="N688" s="2">
        <f>IF(E688="","",IF(LEFT(E688,7)="SUBSOLO",-1,IF(LEFT(E688,6)="TÉRREO",0,IFERROR(VALUE(LEFT(E688,FIND("º",SUBSTITUTE(E688,"°","º"))-1)),""))))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M689" s="2">
        <f>IF(C689="","",IFERROR(INDEX($S$5:$S$304,MATCH(C689,$R$5:$R$304,0))&amp;"","?"))</f>
        <v/>
      </c>
      <c r="N689" s="2">
        <f>IF(E689="","",IF(LEFT(E689,7)="SUBSOLO",-1,IF(LEFT(E689,6)="TÉRREO",0,IFERROR(VALUE(LEFT(E689,FIND("º",SUBSTITUTE(E689,"°","º"))-1)),""))))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M690" s="2">
        <f>IF(C690="","",IFERROR(INDEX($S$5:$S$304,MATCH(C690,$R$5:$R$304,0))&amp;"","?"))</f>
        <v/>
      </c>
      <c r="N690" s="2">
        <f>IF(E690="","",IF(LEFT(E690,7)="SUBSOLO",-1,IF(LEFT(E690,6)="TÉRREO",0,IFERROR(VALUE(LEFT(E690,FIND("º",SUBSTITUTE(E690,"°","º"))-1)),""))))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M691" s="2">
        <f>IF(C691="","",IFERROR(INDEX($S$5:$S$304,MATCH(C691,$R$5:$R$304,0))&amp;"","?"))</f>
        <v/>
      </c>
      <c r="N691" s="2">
        <f>IF(E691="","",IF(LEFT(E691,7)="SUBSOLO",-1,IF(LEFT(E691,6)="TÉRREO",0,IFERROR(VALUE(LEFT(E691,FIND("º",SUBSTITUTE(E691,"°","º"))-1)),""))))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M692" s="2">
        <f>IF(C692="","",IFERROR(INDEX($S$5:$S$304,MATCH(C692,$R$5:$R$304,0))&amp;"","?"))</f>
        <v/>
      </c>
      <c r="N692" s="2">
        <f>IF(E692="","",IF(LEFT(E692,7)="SUBSOLO",-1,IF(LEFT(E692,6)="TÉRREO",0,IFERROR(VALUE(LEFT(E692,FIND("º",SUBSTITUTE(E692,"°","º"))-1)),""))))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M693" s="2">
        <f>IF(C693="","",IFERROR(INDEX($S$5:$S$304,MATCH(C693,$R$5:$R$304,0))&amp;"","?"))</f>
        <v/>
      </c>
      <c r="N693" s="2">
        <f>IF(E693="","",IF(LEFT(E693,7)="SUBSOLO",-1,IF(LEFT(E693,6)="TÉRREO",0,IFERROR(VALUE(LEFT(E693,FIND("º",SUBSTITUTE(E693,"°","º"))-1)),""))))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M694" s="2">
        <f>IF(C694="","",IFERROR(INDEX($S$5:$S$304,MATCH(C694,$R$5:$R$304,0))&amp;"","?"))</f>
        <v/>
      </c>
      <c r="N694" s="2">
        <f>IF(E694="","",IF(LEFT(E694,7)="SUBSOLO",-1,IF(LEFT(E694,6)="TÉRREO",0,IFERROR(VALUE(LEFT(E694,FIND("º",SUBSTITUTE(E694,"°","º"))-1)),""))))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M695" s="2">
        <f>IF(C695="","",IFERROR(INDEX($S$5:$S$304,MATCH(C695,$R$5:$R$304,0))&amp;"","?"))</f>
        <v/>
      </c>
      <c r="N695" s="2">
        <f>IF(E695="","",IF(LEFT(E695,7)="SUBSOLO",-1,IF(LEFT(E695,6)="TÉRREO",0,IFERROR(VALUE(LEFT(E695,FIND("º",SUBSTITUTE(E695,"°","º"))-1)),""))))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M696" s="2">
        <f>IF(C696="","",IFERROR(INDEX($S$5:$S$304,MATCH(C696,$R$5:$R$304,0))&amp;"","?"))</f>
        <v/>
      </c>
      <c r="N696" s="2">
        <f>IF(E696="","",IF(LEFT(E696,7)="SUBSOLO",-1,IF(LEFT(E696,6)="TÉRREO",0,IFERROR(VALUE(LEFT(E696,FIND("º",SUBSTITUTE(E696,"°","º"))-1)),""))))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M697" s="2">
        <f>IF(C697="","",IFERROR(INDEX($S$5:$S$304,MATCH(C697,$R$5:$R$304,0))&amp;"","?"))</f>
        <v/>
      </c>
      <c r="N697" s="2">
        <f>IF(E697="","",IF(LEFT(E697,7)="SUBSOLO",-1,IF(LEFT(E697,6)="TÉRREO",0,IFERROR(VALUE(LEFT(E697,FIND("º",SUBSTITUTE(E697,"°","º"))-1)),""))))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M698" s="2">
        <f>IF(C698="","",IFERROR(INDEX($S$5:$S$304,MATCH(C698,$R$5:$R$304,0))&amp;"","?"))</f>
        <v/>
      </c>
      <c r="N698" s="2">
        <f>IF(E698="","",IF(LEFT(E698,7)="SUBSOLO",-1,IF(LEFT(E698,6)="TÉRREO",0,IFERROR(VALUE(LEFT(E698,FIND("º",SUBSTITUTE(E698,"°","º"))-1)),""))))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M699" s="2">
        <f>IF(C699="","",IFERROR(INDEX($S$5:$S$304,MATCH(C699,$R$5:$R$304,0))&amp;"","?"))</f>
        <v/>
      </c>
      <c r="N699" s="2">
        <f>IF(E699="","",IF(LEFT(E699,7)="SUBSOLO",-1,IF(LEFT(E699,6)="TÉRREO",0,IFERROR(VALUE(LEFT(E699,FIND("º",SUBSTITUTE(E699,"°","º"))-1)),""))))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M700" s="2">
        <f>IF(C700="","",IFERROR(INDEX($S$5:$S$304,MATCH(C700,$R$5:$R$304,0))&amp;"","?"))</f>
        <v/>
      </c>
      <c r="N700" s="2">
        <f>IF(E700="","",IF(LEFT(E700,7)="SUBSOLO",-1,IF(LEFT(E700,6)="TÉRREO",0,IFERROR(VALUE(LEFT(E700,FIND("º",SUBSTITUTE(E700,"°","º"))-1)),""))))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M701" s="2">
        <f>IF(C701="","",IFERROR(INDEX($S$5:$S$304,MATCH(C701,$R$5:$R$304,0))&amp;"","?"))</f>
        <v/>
      </c>
      <c r="N701" s="2">
        <f>IF(E701="","",IF(LEFT(E701,7)="SUBSOLO",-1,IF(LEFT(E701,6)="TÉRREO",0,IFERROR(VALUE(LEFT(E701,FIND("º",SUBSTITUTE(E701,"°","º"))-1)),""))))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M702" s="2">
        <f>IF(C702="","",IFERROR(INDEX($S$5:$S$304,MATCH(C702,$R$5:$R$304,0))&amp;"","?"))</f>
        <v/>
      </c>
      <c r="N702" s="2">
        <f>IF(E702="","",IF(LEFT(E702,7)="SUBSOLO",-1,IF(LEFT(E702,6)="TÉRREO",0,IFERROR(VALUE(LEFT(E702,FIND("º",SUBSTITUTE(E702,"°","º"))-1)),""))))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M703" s="2">
        <f>IF(C703="","",IFERROR(INDEX($S$5:$S$304,MATCH(C703,$R$5:$R$304,0))&amp;"","?"))</f>
        <v/>
      </c>
      <c r="N703" s="2">
        <f>IF(E703="","",IF(LEFT(E703,7)="SUBSOLO",-1,IF(LEFT(E703,6)="TÉRREO",0,IFERROR(VALUE(LEFT(E703,FIND("º",SUBSTITUTE(E703,"°","º"))-1)),""))))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M704" s="2">
        <f>IF(C704="","",IFERROR(INDEX($S$5:$S$304,MATCH(C704,$R$5:$R$304,0))&amp;"","?"))</f>
        <v/>
      </c>
      <c r="N704" s="2">
        <f>IF(E704="","",IF(LEFT(E704,7)="SUBSOLO",-1,IF(LEFT(E704,6)="TÉRREO",0,IFERROR(VALUE(LEFT(E704,FIND("º",SUBSTITUTE(E704,"°","º"))-1)),""))))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M705" s="2">
        <f>IF(C705="","",IFERROR(INDEX($S$5:$S$304,MATCH(C705,$R$5:$R$304,0))&amp;"","?"))</f>
        <v/>
      </c>
      <c r="N705" s="2">
        <f>IF(E705="","",IF(LEFT(E705,7)="SUBSOLO",-1,IF(LEFT(E705,6)="TÉRREO",0,IFERROR(VALUE(LEFT(E705,FIND("º",SUBSTITUTE(E705,"°","º"))-1)),""))))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M706" s="2">
        <f>IF(C706="","",IFERROR(INDEX($S$5:$S$304,MATCH(C706,$R$5:$R$304,0))&amp;"","?"))</f>
        <v/>
      </c>
      <c r="N706" s="2">
        <f>IF(E706="","",IF(LEFT(E706,7)="SUBSOLO",-1,IF(LEFT(E706,6)="TÉRREO",0,IFERROR(VALUE(LEFT(E706,FIND("º",SUBSTITUTE(E706,"°","º"))-1)),""))))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M707" s="2">
        <f>IF(C707="","",IFERROR(INDEX($S$5:$S$304,MATCH(C707,$R$5:$R$304,0))&amp;"","?"))</f>
        <v/>
      </c>
      <c r="N707" s="2">
        <f>IF(E707="","",IF(LEFT(E707,7)="SUBSOLO",-1,IF(LEFT(E707,6)="TÉRREO",0,IFERROR(VALUE(LEFT(E707,FIND("º",SUBSTITUTE(E707,"°","º"))-1)),""))))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M708" s="2">
        <f>IF(C708="","",IFERROR(INDEX($S$5:$S$304,MATCH(C708,$R$5:$R$304,0))&amp;"","?"))</f>
        <v/>
      </c>
      <c r="N708" s="2">
        <f>IF(E708="","",IF(LEFT(E708,7)="SUBSOLO",-1,IF(LEFT(E708,6)="TÉRREO",0,IFERROR(VALUE(LEFT(E708,FIND("º",SUBSTITUTE(E708,"°","º"))-1)),""))))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M709" s="2">
        <f>IF(C709="","",IFERROR(INDEX($S$5:$S$304,MATCH(C709,$R$5:$R$304,0))&amp;"","?"))</f>
        <v/>
      </c>
      <c r="N709" s="2">
        <f>IF(E709="","",IF(LEFT(E709,7)="SUBSOLO",-1,IF(LEFT(E709,6)="TÉRREO",0,IFERROR(VALUE(LEFT(E709,FIND("º",SUBSTITUTE(E709,"°","º"))-1)),""))))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M710" s="2">
        <f>IF(C710="","",IFERROR(INDEX($S$5:$S$304,MATCH(C710,$R$5:$R$304,0))&amp;"","?"))</f>
        <v/>
      </c>
      <c r="N710" s="2">
        <f>IF(E710="","",IF(LEFT(E710,7)="SUBSOLO",-1,IF(LEFT(E710,6)="TÉRREO",0,IFERROR(VALUE(LEFT(E710,FIND("º",SUBSTITUTE(E710,"°","º"))-1)),""))))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M711" s="2">
        <f>IF(C711="","",IFERROR(INDEX($S$5:$S$304,MATCH(C711,$R$5:$R$304,0))&amp;"","?"))</f>
        <v/>
      </c>
      <c r="N711" s="2">
        <f>IF(E711="","",IF(LEFT(E711,7)="SUBSOLO",-1,IF(LEFT(E711,6)="TÉRREO",0,IFERROR(VALUE(LEFT(E711,FIND("º",SUBSTITUTE(E711,"°","º"))-1)),""))))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M712" s="2">
        <f>IF(C712="","",IFERROR(INDEX($S$5:$S$304,MATCH(C712,$R$5:$R$304,0))&amp;"","?"))</f>
        <v/>
      </c>
      <c r="N712" s="2">
        <f>IF(E712="","",IF(LEFT(E712,7)="SUBSOLO",-1,IF(LEFT(E712,6)="TÉRREO",0,IFERROR(VALUE(LEFT(E712,FIND("º",SUBSTITUTE(E712,"°","º"))-1)),""))))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M713" s="2">
        <f>IF(C713="","",IFERROR(INDEX($S$5:$S$304,MATCH(C713,$R$5:$R$304,0))&amp;"","?"))</f>
        <v/>
      </c>
      <c r="N713" s="2">
        <f>IF(E713="","",IF(LEFT(E713,7)="SUBSOLO",-1,IF(LEFT(E713,6)="TÉRREO",0,IFERROR(VALUE(LEFT(E713,FIND("º",SUBSTITUTE(E713,"°","º"))-1)),""))))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M714" s="2">
        <f>IF(C714="","",IFERROR(INDEX($S$5:$S$304,MATCH(C714,$R$5:$R$304,0))&amp;"","?"))</f>
        <v/>
      </c>
      <c r="N714" s="2">
        <f>IF(E714="","",IF(LEFT(E714,7)="SUBSOLO",-1,IF(LEFT(E714,6)="TÉRREO",0,IFERROR(VALUE(LEFT(E714,FIND("º",SUBSTITUTE(E714,"°","º"))-1)),""))))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M715" s="2">
        <f>IF(C715="","",IFERROR(INDEX($S$5:$S$304,MATCH(C715,$R$5:$R$304,0))&amp;"","?"))</f>
        <v/>
      </c>
      <c r="N715" s="2">
        <f>IF(E715="","",IF(LEFT(E715,7)="SUBSOLO",-1,IF(LEFT(E715,6)="TÉRREO",0,IFERROR(VALUE(LEFT(E715,FIND("º",SUBSTITUTE(E715,"°","º"))-1)),""))))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M716" s="2">
        <f>IF(C716="","",IFERROR(INDEX($S$5:$S$304,MATCH(C716,$R$5:$R$304,0))&amp;"","?"))</f>
        <v/>
      </c>
      <c r="N716" s="2">
        <f>IF(E716="","",IF(LEFT(E716,7)="SUBSOLO",-1,IF(LEFT(E716,6)="TÉRREO",0,IFERROR(VALUE(LEFT(E716,FIND("º",SUBSTITUTE(E716,"°","º"))-1)),""))))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M717" s="2">
        <f>IF(C717="","",IFERROR(INDEX($S$5:$S$304,MATCH(C717,$R$5:$R$304,0))&amp;"","?"))</f>
        <v/>
      </c>
      <c r="N717" s="2">
        <f>IF(E717="","",IF(LEFT(E717,7)="SUBSOLO",-1,IF(LEFT(E717,6)="TÉRREO",0,IFERROR(VALUE(LEFT(E717,FIND("º",SUBSTITUTE(E717,"°","º"))-1)),""))))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M718" s="2">
        <f>IF(C718="","",IFERROR(INDEX($S$5:$S$304,MATCH(C718,$R$5:$R$304,0))&amp;"","?"))</f>
        <v/>
      </c>
      <c r="N718" s="2">
        <f>IF(E718="","",IF(LEFT(E718,7)="SUBSOLO",-1,IF(LEFT(E718,6)="TÉRREO",0,IFERROR(VALUE(LEFT(E718,FIND("º",SUBSTITUTE(E718,"°","º"))-1)),""))))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M719" s="2">
        <f>IF(C719="","",IFERROR(INDEX($S$5:$S$304,MATCH(C719,$R$5:$R$304,0))&amp;"","?"))</f>
        <v/>
      </c>
      <c r="N719" s="2">
        <f>IF(E719="","",IF(LEFT(E719,7)="SUBSOLO",-1,IF(LEFT(E719,6)="TÉRREO",0,IFERROR(VALUE(LEFT(E719,FIND("º",SUBSTITUTE(E719,"°","º"))-1)),""))))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M720" s="2">
        <f>IF(C720="","",IFERROR(INDEX($S$5:$S$304,MATCH(C720,$R$5:$R$304,0))&amp;"","?"))</f>
        <v/>
      </c>
      <c r="N720" s="2">
        <f>IF(E720="","",IF(LEFT(E720,7)="SUBSOLO",-1,IF(LEFT(E720,6)="TÉRREO",0,IFERROR(VALUE(LEFT(E720,FIND("º",SUBSTITUTE(E720,"°","º"))-1)),""))))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M721" s="2">
        <f>IF(C721="","",IFERROR(INDEX($S$5:$S$304,MATCH(C721,$R$5:$R$304,0))&amp;"","?"))</f>
        <v/>
      </c>
      <c r="N721" s="2">
        <f>IF(E721="","",IF(LEFT(E721,7)="SUBSOLO",-1,IF(LEFT(E721,6)="TÉRREO",0,IFERROR(VALUE(LEFT(E721,FIND("º",SUBSTITUTE(E721,"°","º"))-1)),""))))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M722" s="2">
        <f>IF(C722="","",IFERROR(INDEX($S$5:$S$304,MATCH(C722,$R$5:$R$304,0))&amp;"","?"))</f>
        <v/>
      </c>
      <c r="N722" s="2">
        <f>IF(E722="","",IF(LEFT(E722,7)="SUBSOLO",-1,IF(LEFT(E722,6)="TÉRREO",0,IFERROR(VALUE(LEFT(E722,FIND("º",SUBSTITUTE(E722,"°","º"))-1)),""))))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M723" s="2">
        <f>IF(C723="","",IFERROR(INDEX($S$5:$S$304,MATCH(C723,$R$5:$R$304,0))&amp;"","?"))</f>
        <v/>
      </c>
      <c r="N723" s="2">
        <f>IF(E723="","",IF(LEFT(E723,7)="SUBSOLO",-1,IF(LEFT(E723,6)="TÉRREO",0,IFERROR(VALUE(LEFT(E723,FIND("º",SUBSTITUTE(E723,"°","º"))-1)),""))))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M724" s="2">
        <f>IF(C724="","",IFERROR(INDEX($S$5:$S$304,MATCH(C724,$R$5:$R$304,0))&amp;"","?"))</f>
        <v/>
      </c>
      <c r="N724" s="2">
        <f>IF(E724="","",IF(LEFT(E724,7)="SUBSOLO",-1,IF(LEFT(E724,6)="TÉRREO",0,IFERROR(VALUE(LEFT(E724,FIND("º",SUBSTITUTE(E724,"°","º"))-1)),""))))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M725" s="2">
        <f>IF(C725="","",IFERROR(INDEX($S$5:$S$304,MATCH(C725,$R$5:$R$304,0))&amp;"","?"))</f>
        <v/>
      </c>
      <c r="N725" s="2">
        <f>IF(E725="","",IF(LEFT(E725,7)="SUBSOLO",-1,IF(LEFT(E725,6)="TÉRREO",0,IFERROR(VALUE(LEFT(E725,FIND("º",SUBSTITUTE(E725,"°","º"))-1)),""))))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M726" s="2">
        <f>IF(C726="","",IFERROR(INDEX($S$5:$S$304,MATCH(C726,$R$5:$R$304,0))&amp;"","?"))</f>
        <v/>
      </c>
      <c r="N726" s="2">
        <f>IF(E726="","",IF(LEFT(E726,7)="SUBSOLO",-1,IF(LEFT(E726,6)="TÉRREO",0,IFERROR(VALUE(LEFT(E726,FIND("º",SUBSTITUTE(E726,"°","º"))-1)),""))))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M727" s="2">
        <f>IF(C727="","",IFERROR(INDEX($S$5:$S$304,MATCH(C727,$R$5:$R$304,0))&amp;"","?"))</f>
        <v/>
      </c>
      <c r="N727" s="2">
        <f>IF(E727="","",IF(LEFT(E727,7)="SUBSOLO",-1,IF(LEFT(E727,6)="TÉRREO",0,IFERROR(VALUE(LEFT(E727,FIND("º",SUBSTITUTE(E727,"°","º"))-1)),""))))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M728" s="2">
        <f>IF(C728="","",IFERROR(INDEX($S$5:$S$304,MATCH(C728,$R$5:$R$304,0))&amp;"","?"))</f>
        <v/>
      </c>
      <c r="N728" s="2">
        <f>IF(E728="","",IF(LEFT(E728,7)="SUBSOLO",-1,IF(LEFT(E728,6)="TÉRREO",0,IFERROR(VALUE(LEFT(E728,FIND("º",SUBSTITUTE(E728,"°","º"))-1)),""))))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M729" s="2">
        <f>IF(C729="","",IFERROR(INDEX($S$5:$S$304,MATCH(C729,$R$5:$R$304,0))&amp;"","?"))</f>
        <v/>
      </c>
      <c r="N729" s="2">
        <f>IF(E729="","",IF(LEFT(E729,7)="SUBSOLO",-1,IF(LEFT(E729,6)="TÉRREO",0,IFERROR(VALUE(LEFT(E729,FIND("º",SUBSTITUTE(E729,"°","º"))-1)),""))))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M730" s="2">
        <f>IF(C730="","",IFERROR(INDEX($S$5:$S$304,MATCH(C730,$R$5:$R$304,0))&amp;"","?"))</f>
        <v/>
      </c>
      <c r="N730" s="2">
        <f>IF(E730="","",IF(LEFT(E730,7)="SUBSOLO",-1,IF(LEFT(E730,6)="TÉRREO",0,IFERROR(VALUE(LEFT(E730,FIND("º",SUBSTITUTE(E730,"°","º"))-1)),""))))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M731" s="2">
        <f>IF(C731="","",IFERROR(INDEX($S$5:$S$304,MATCH(C731,$R$5:$R$304,0))&amp;"","?"))</f>
        <v/>
      </c>
      <c r="N731" s="2">
        <f>IF(E731="","",IF(LEFT(E731,7)="SUBSOLO",-1,IF(LEFT(E731,6)="TÉRREO",0,IFERROR(VALUE(LEFT(E731,FIND("º",SUBSTITUTE(E731,"°","º"))-1)),""))))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M732" s="2">
        <f>IF(C732="","",IFERROR(INDEX($S$5:$S$304,MATCH(C732,$R$5:$R$304,0))&amp;"","?"))</f>
        <v/>
      </c>
      <c r="N732" s="2">
        <f>IF(E732="","",IF(LEFT(E732,7)="SUBSOLO",-1,IF(LEFT(E732,6)="TÉRREO",0,IFERROR(VALUE(LEFT(E732,FIND("º",SUBSTITUTE(E732,"°","º"))-1)),""))))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M733" s="2">
        <f>IF(C733="","",IFERROR(INDEX($S$5:$S$304,MATCH(C733,$R$5:$R$304,0))&amp;"","?"))</f>
        <v/>
      </c>
      <c r="N733" s="2">
        <f>IF(E733="","",IF(LEFT(E733,7)="SUBSOLO",-1,IF(LEFT(E733,6)="TÉRREO",0,IFERROR(VALUE(LEFT(E733,FIND("º",SUBSTITUTE(E733,"°","º"))-1)),""))))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M734" s="2">
        <f>IF(C734="","",IFERROR(INDEX($S$5:$S$304,MATCH(C734,$R$5:$R$304,0))&amp;"","?"))</f>
        <v/>
      </c>
      <c r="N734" s="2">
        <f>IF(E734="","",IF(LEFT(E734,7)="SUBSOLO",-1,IF(LEFT(E734,6)="TÉRREO",0,IFERROR(VALUE(LEFT(E734,FIND("º",SUBSTITUTE(E734,"°","º"))-1)),""))))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M735" s="2">
        <f>IF(C735="","",IFERROR(INDEX($S$5:$S$304,MATCH(C735,$R$5:$R$304,0))&amp;"","?"))</f>
        <v/>
      </c>
      <c r="N735" s="2">
        <f>IF(E735="","",IF(LEFT(E735,7)="SUBSOLO",-1,IF(LEFT(E735,6)="TÉRREO",0,IFERROR(VALUE(LEFT(E735,FIND("º",SUBSTITUTE(E735,"°","º"))-1)),""))))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M736" s="2">
        <f>IF(C736="","",IFERROR(INDEX($S$5:$S$304,MATCH(C736,$R$5:$R$304,0))&amp;"","?"))</f>
        <v/>
      </c>
      <c r="N736" s="2">
        <f>IF(E736="","",IF(LEFT(E736,7)="SUBSOLO",-1,IF(LEFT(E736,6)="TÉRREO",0,IFERROR(VALUE(LEFT(E736,FIND("º",SUBSTITUTE(E736,"°","º"))-1)),""))))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M737" s="2">
        <f>IF(C737="","",IFERROR(INDEX($S$5:$S$304,MATCH(C737,$R$5:$R$304,0))&amp;"","?"))</f>
        <v/>
      </c>
      <c r="N737" s="2">
        <f>IF(E737="","",IF(LEFT(E737,7)="SUBSOLO",-1,IF(LEFT(E737,6)="TÉRREO",0,IFERROR(VALUE(LEFT(E737,FIND("º",SUBSTITUTE(E737,"°","º"))-1)),""))))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M738" s="2">
        <f>IF(C738="","",IFERROR(INDEX($S$5:$S$304,MATCH(C738,$R$5:$R$304,0))&amp;"","?"))</f>
        <v/>
      </c>
      <c r="N738" s="2">
        <f>IF(E738="","",IF(LEFT(E738,7)="SUBSOLO",-1,IF(LEFT(E738,6)="TÉRREO",0,IFERROR(VALUE(LEFT(E738,FIND("º",SUBSTITUTE(E738,"°","º"))-1)),""))))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M739" s="2">
        <f>IF(C739="","",IFERROR(INDEX($S$5:$S$304,MATCH(C739,$R$5:$R$304,0))&amp;"","?"))</f>
        <v/>
      </c>
      <c r="N739" s="2">
        <f>IF(E739="","",IF(LEFT(E739,7)="SUBSOLO",-1,IF(LEFT(E739,6)="TÉRREO",0,IFERROR(VALUE(LEFT(E739,FIND("º",SUBSTITUTE(E739,"°","º"))-1)),""))))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M740" s="2">
        <f>IF(C740="","",IFERROR(INDEX($S$5:$S$304,MATCH(C740,$R$5:$R$304,0))&amp;"","?"))</f>
        <v/>
      </c>
      <c r="N740" s="2">
        <f>IF(E740="","",IF(LEFT(E740,7)="SUBSOLO",-1,IF(LEFT(E740,6)="TÉRREO",0,IFERROR(VALUE(LEFT(E740,FIND("º",SUBSTITUTE(E740,"°","º"))-1)),""))))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M741" s="2">
        <f>IF(C741="","",IFERROR(INDEX($S$5:$S$304,MATCH(C741,$R$5:$R$304,0))&amp;"","?"))</f>
        <v/>
      </c>
      <c r="N741" s="2">
        <f>IF(E741="","",IF(LEFT(E741,7)="SUBSOLO",-1,IF(LEFT(E741,6)="TÉRREO",0,IFERROR(VALUE(LEFT(E741,FIND("º",SUBSTITUTE(E741,"°","º"))-1)),""))))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M742" s="2">
        <f>IF(C742="","",IFERROR(INDEX($S$5:$S$304,MATCH(C742,$R$5:$R$304,0))&amp;"","?"))</f>
        <v/>
      </c>
      <c r="N742" s="2">
        <f>IF(E742="","",IF(LEFT(E742,7)="SUBSOLO",-1,IF(LEFT(E742,6)="TÉRREO",0,IFERROR(VALUE(LEFT(E742,FIND("º",SUBSTITUTE(E742,"°","º"))-1)),""))))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M743" s="2">
        <f>IF(C743="","",IFERROR(INDEX($S$5:$S$304,MATCH(C743,$R$5:$R$304,0))&amp;"","?"))</f>
        <v/>
      </c>
      <c r="N743" s="2">
        <f>IF(E743="","",IF(LEFT(E743,7)="SUBSOLO",-1,IF(LEFT(E743,6)="TÉRREO",0,IFERROR(VALUE(LEFT(E743,FIND("º",SUBSTITUTE(E743,"°","º"))-1)),""))))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M744" s="2">
        <f>IF(C744="","",IFERROR(INDEX($S$5:$S$304,MATCH(C744,$R$5:$R$304,0))&amp;"","?"))</f>
        <v/>
      </c>
      <c r="N744" s="2">
        <f>IF(E744="","",IF(LEFT(E744,7)="SUBSOLO",-1,IF(LEFT(E744,6)="TÉRREO",0,IFERROR(VALUE(LEFT(E744,FIND("º",SUBSTITUTE(E744,"°","º"))-1)),""))))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M745" s="2">
        <f>IF(C745="","",IFERROR(INDEX($S$5:$S$304,MATCH(C745,$R$5:$R$304,0))&amp;"","?"))</f>
        <v/>
      </c>
      <c r="N745" s="2">
        <f>IF(E745="","",IF(LEFT(E745,7)="SUBSOLO",-1,IF(LEFT(E745,6)="TÉRREO",0,IFERROR(VALUE(LEFT(E745,FIND("º",SUBSTITUTE(E745,"°","º"))-1)),""))))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M746" s="2">
        <f>IF(C746="","",IFERROR(INDEX($S$5:$S$304,MATCH(C746,$R$5:$R$304,0))&amp;"","?"))</f>
        <v/>
      </c>
      <c r="N746" s="2">
        <f>IF(E746="","",IF(LEFT(E746,7)="SUBSOLO",-1,IF(LEFT(E746,6)="TÉRREO",0,IFERROR(VALUE(LEFT(E746,FIND("º",SUBSTITUTE(E746,"°","º"))-1)),""))))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M747" s="2">
        <f>IF(C747="","",IFERROR(INDEX($S$5:$S$304,MATCH(C747,$R$5:$R$304,0))&amp;"","?"))</f>
        <v/>
      </c>
      <c r="N747" s="2">
        <f>IF(E747="","",IF(LEFT(E747,7)="SUBSOLO",-1,IF(LEFT(E747,6)="TÉRREO",0,IFERROR(VALUE(LEFT(E747,FIND("º",SUBSTITUTE(E747,"°","º"))-1)),""))))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M748" s="2">
        <f>IF(C748="","",IFERROR(INDEX($S$5:$S$304,MATCH(C748,$R$5:$R$304,0))&amp;"","?"))</f>
        <v/>
      </c>
      <c r="N748" s="2">
        <f>IF(E748="","",IF(LEFT(E748,7)="SUBSOLO",-1,IF(LEFT(E748,6)="TÉRREO",0,IFERROR(VALUE(LEFT(E748,FIND("º",SUBSTITUTE(E748,"°","º"))-1)),""))))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M749" s="2">
        <f>IF(C749="","",IFERROR(INDEX($S$5:$S$304,MATCH(C749,$R$5:$R$304,0))&amp;"","?"))</f>
        <v/>
      </c>
      <c r="N749" s="2">
        <f>IF(E749="","",IF(LEFT(E749,7)="SUBSOLO",-1,IF(LEFT(E749,6)="TÉRREO",0,IFERROR(VALUE(LEFT(E749,FIND("º",SUBSTITUTE(E749,"°","º"))-1)),""))))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M750" s="2">
        <f>IF(C750="","",IFERROR(INDEX($S$5:$S$304,MATCH(C750,$R$5:$R$304,0))&amp;"","?"))</f>
        <v/>
      </c>
      <c r="N750" s="2">
        <f>IF(E750="","",IF(LEFT(E750,7)="SUBSOLO",-1,IF(LEFT(E750,6)="TÉRREO",0,IFERROR(VALUE(LEFT(E750,FIND("º",SUBSTITUTE(E750,"°","º"))-1)),""))))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M751" s="2">
        <f>IF(C751="","",IFERROR(INDEX($S$5:$S$304,MATCH(C751,$R$5:$R$304,0))&amp;"","?"))</f>
        <v/>
      </c>
      <c r="N751" s="2">
        <f>IF(E751="","",IF(LEFT(E751,7)="SUBSOLO",-1,IF(LEFT(E751,6)="TÉRREO",0,IFERROR(VALUE(LEFT(E751,FIND("º",SUBSTITUTE(E751,"°","º"))-1)),""))))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M752" s="2">
        <f>IF(C752="","",IFERROR(INDEX($S$5:$S$304,MATCH(C752,$R$5:$R$304,0))&amp;"","?"))</f>
        <v/>
      </c>
      <c r="N752" s="2">
        <f>IF(E752="","",IF(LEFT(E752,7)="SUBSOLO",-1,IF(LEFT(E752,6)="TÉRREO",0,IFERROR(VALUE(LEFT(E752,FIND("º",SUBSTITUTE(E752,"°","º"))-1)),""))))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M753" s="2">
        <f>IF(C753="","",IFERROR(INDEX($S$5:$S$304,MATCH(C753,$R$5:$R$304,0))&amp;"","?"))</f>
        <v/>
      </c>
      <c r="N753" s="2">
        <f>IF(E753="","",IF(LEFT(E753,7)="SUBSOLO",-1,IF(LEFT(E753,6)="TÉRREO",0,IFERROR(VALUE(LEFT(E753,FIND("º",SUBSTITUTE(E753,"°","º"))-1)),""))))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M754" s="2">
        <f>IF(C754="","",IFERROR(INDEX($S$5:$S$304,MATCH(C754,$R$5:$R$304,0))&amp;"","?"))</f>
        <v/>
      </c>
      <c r="N754" s="2">
        <f>IF(E754="","",IF(LEFT(E754,7)="SUBSOLO",-1,IF(LEFT(E754,6)="TÉRREO",0,IFERROR(VALUE(LEFT(E754,FIND("º",SUBSTITUTE(E754,"°","º"))-1)),""))))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M755" s="2">
        <f>IF(C755="","",IFERROR(INDEX($S$5:$S$304,MATCH(C755,$R$5:$R$304,0))&amp;"","?"))</f>
        <v/>
      </c>
      <c r="N755" s="2">
        <f>IF(E755="","",IF(LEFT(E755,7)="SUBSOLO",-1,IF(LEFT(E755,6)="TÉRREO",0,IFERROR(VALUE(LEFT(E755,FIND("º",SUBSTITUTE(E755,"°","º"))-1)),""))))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M756" s="2">
        <f>IF(C756="","",IFERROR(INDEX($S$5:$S$304,MATCH(C756,$R$5:$R$304,0))&amp;"","?"))</f>
        <v/>
      </c>
      <c r="N756" s="2">
        <f>IF(E756="","",IF(LEFT(E756,7)="SUBSOLO",-1,IF(LEFT(E756,6)="TÉRREO",0,IFERROR(VALUE(LEFT(E756,FIND("º",SUBSTITUTE(E756,"°","º"))-1)),""))))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M757" s="2">
        <f>IF(C757="","",IFERROR(INDEX($S$5:$S$304,MATCH(C757,$R$5:$R$304,0))&amp;"","?"))</f>
        <v/>
      </c>
      <c r="N757" s="2">
        <f>IF(E757="","",IF(LEFT(E757,7)="SUBSOLO",-1,IF(LEFT(E757,6)="TÉRREO",0,IFERROR(VALUE(LEFT(E757,FIND("º",SUBSTITUTE(E757,"°","º"))-1)),""))))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M758" s="2">
        <f>IF(C758="","",IFERROR(INDEX($S$5:$S$304,MATCH(C758,$R$5:$R$304,0))&amp;"","?"))</f>
        <v/>
      </c>
      <c r="N758" s="2">
        <f>IF(E758="","",IF(LEFT(E758,7)="SUBSOLO",-1,IF(LEFT(E758,6)="TÉRREO",0,IFERROR(VALUE(LEFT(E758,FIND("º",SUBSTITUTE(E758,"°","º"))-1)),""))))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M759" s="2">
        <f>IF(C759="","",IFERROR(INDEX($S$5:$S$304,MATCH(C759,$R$5:$R$304,0))&amp;"","?"))</f>
        <v/>
      </c>
      <c r="N759" s="2">
        <f>IF(E759="","",IF(LEFT(E759,7)="SUBSOLO",-1,IF(LEFT(E759,6)="TÉRREO",0,IFERROR(VALUE(LEFT(E759,FIND("º",SUBSTITUTE(E759,"°","º"))-1)),""))))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M760" s="2">
        <f>IF(C760="","",IFERROR(INDEX($S$5:$S$304,MATCH(C760,$R$5:$R$304,0))&amp;"","?"))</f>
        <v/>
      </c>
      <c r="N760" s="2">
        <f>IF(E760="","",IF(LEFT(E760,7)="SUBSOLO",-1,IF(LEFT(E760,6)="TÉRREO",0,IFERROR(VALUE(LEFT(E760,FIND("º",SUBSTITUTE(E760,"°","º"))-1)),""))))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M761" s="2">
        <f>IF(C761="","",IFERROR(INDEX($S$5:$S$304,MATCH(C761,$R$5:$R$304,0))&amp;"","?"))</f>
        <v/>
      </c>
      <c r="N761" s="2">
        <f>IF(E761="","",IF(LEFT(E761,7)="SUBSOLO",-1,IF(LEFT(E761,6)="TÉRREO",0,IFERROR(VALUE(LEFT(E761,FIND("º",SUBSTITUTE(E761,"°","º"))-1)),""))))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M762" s="2">
        <f>IF(C762="","",IFERROR(INDEX($S$5:$S$304,MATCH(C762,$R$5:$R$304,0))&amp;"","?"))</f>
        <v/>
      </c>
      <c r="N762" s="2">
        <f>IF(E762="","",IF(LEFT(E762,7)="SUBSOLO",-1,IF(LEFT(E762,6)="TÉRREO",0,IFERROR(VALUE(LEFT(E762,FIND("º",SUBSTITUTE(E762,"°","º"))-1)),""))))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M763" s="2">
        <f>IF(C763="","",IFERROR(INDEX($S$5:$S$304,MATCH(C763,$R$5:$R$304,0))&amp;"","?"))</f>
        <v/>
      </c>
      <c r="N763" s="2">
        <f>IF(E763="","",IF(LEFT(E763,7)="SUBSOLO",-1,IF(LEFT(E763,6)="TÉRREO",0,IFERROR(VALUE(LEFT(E763,FIND("º",SUBSTITUTE(E763,"°","º"))-1)),""))))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M764" s="2">
        <f>IF(C764="","",IFERROR(INDEX($S$5:$S$304,MATCH(C764,$R$5:$R$304,0))&amp;"","?"))</f>
        <v/>
      </c>
      <c r="N764" s="2">
        <f>IF(E764="","",IF(LEFT(E764,7)="SUBSOLO",-1,IF(LEFT(E764,6)="TÉRREO",0,IFERROR(VALUE(LEFT(E764,FIND("º",SUBSTITUTE(E764,"°","º"))-1)),""))))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M765" s="2">
        <f>IF(C765="","",IFERROR(INDEX($S$5:$S$304,MATCH(C765,$R$5:$R$304,0))&amp;"","?"))</f>
        <v/>
      </c>
      <c r="N765" s="2">
        <f>IF(E765="","",IF(LEFT(E765,7)="SUBSOLO",-1,IF(LEFT(E765,6)="TÉRREO",0,IFERROR(VALUE(LEFT(E765,FIND("º",SUBSTITUTE(E765,"°","º"))-1)),""))))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M766" s="2">
        <f>IF(C766="","",IFERROR(INDEX($S$5:$S$304,MATCH(C766,$R$5:$R$304,0))&amp;"","?"))</f>
        <v/>
      </c>
      <c r="N766" s="2">
        <f>IF(E766="","",IF(LEFT(E766,7)="SUBSOLO",-1,IF(LEFT(E766,6)="TÉRREO",0,IFERROR(VALUE(LEFT(E766,FIND("º",SUBSTITUTE(E766,"°","º"))-1)),""))))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M767" s="2">
        <f>IF(C767="","",IFERROR(INDEX($S$5:$S$304,MATCH(C767,$R$5:$R$304,0))&amp;"","?"))</f>
        <v/>
      </c>
      <c r="N767" s="2">
        <f>IF(E767="","",IF(LEFT(E767,7)="SUBSOLO",-1,IF(LEFT(E767,6)="TÉRREO",0,IFERROR(VALUE(LEFT(E767,FIND("º",SUBSTITUTE(E767,"°","º"))-1)),""))))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M768" s="2">
        <f>IF(C768="","",IFERROR(INDEX($S$5:$S$304,MATCH(C768,$R$5:$R$304,0))&amp;"","?"))</f>
        <v/>
      </c>
      <c r="N768" s="2">
        <f>IF(E768="","",IF(LEFT(E768,7)="SUBSOLO",-1,IF(LEFT(E768,6)="TÉRREO",0,IFERROR(VALUE(LEFT(E768,FIND("º",SUBSTITUTE(E768,"°","º"))-1)),""))))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M769" s="2">
        <f>IF(C769="","",IFERROR(INDEX($S$5:$S$304,MATCH(C769,$R$5:$R$304,0))&amp;"","?"))</f>
        <v/>
      </c>
      <c r="N769" s="2">
        <f>IF(E769="","",IF(LEFT(E769,7)="SUBSOLO",-1,IF(LEFT(E769,6)="TÉRREO",0,IFERROR(VALUE(LEFT(E769,FIND("º",SUBSTITUTE(E769,"°","º"))-1)),""))))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M770" s="2">
        <f>IF(C770="","",IFERROR(INDEX($S$5:$S$304,MATCH(C770,$R$5:$R$304,0))&amp;"","?"))</f>
        <v/>
      </c>
      <c r="N770" s="2">
        <f>IF(E770="","",IF(LEFT(E770,7)="SUBSOLO",-1,IF(LEFT(E770,6)="TÉRREO",0,IFERROR(VALUE(LEFT(E770,FIND("º",SUBSTITUTE(E770,"°","º"))-1)),""))))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M771" s="2">
        <f>IF(C771="","",IFERROR(INDEX($S$5:$S$304,MATCH(C771,$R$5:$R$304,0))&amp;"","?"))</f>
        <v/>
      </c>
      <c r="N771" s="2">
        <f>IF(E771="","",IF(LEFT(E771,7)="SUBSOLO",-1,IF(LEFT(E771,6)="TÉRREO",0,IFERROR(VALUE(LEFT(E771,FIND("º",SUBSTITUTE(E771,"°","º"))-1)),""))))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M772" s="2">
        <f>IF(C772="","",IFERROR(INDEX($S$5:$S$304,MATCH(C772,$R$5:$R$304,0))&amp;"","?"))</f>
        <v/>
      </c>
      <c r="N772" s="2">
        <f>IF(E772="","",IF(LEFT(E772,7)="SUBSOLO",-1,IF(LEFT(E772,6)="TÉRREO",0,IFERROR(VALUE(LEFT(E772,FIND("º",SUBSTITUTE(E772,"°","º"))-1)),""))))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M773" s="2">
        <f>IF(C773="","",IFERROR(INDEX($S$5:$S$304,MATCH(C773,$R$5:$R$304,0))&amp;"","?"))</f>
        <v/>
      </c>
      <c r="N773" s="2">
        <f>IF(E773="","",IF(LEFT(E773,7)="SUBSOLO",-1,IF(LEFT(E773,6)="TÉRREO",0,IFERROR(VALUE(LEFT(E773,FIND("º",SUBSTITUTE(E773,"°","º"))-1)),""))))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M774" s="2">
        <f>IF(C774="","",IFERROR(INDEX($S$5:$S$304,MATCH(C774,$R$5:$R$304,0))&amp;"","?"))</f>
        <v/>
      </c>
      <c r="N774" s="2">
        <f>IF(E774="","",IF(LEFT(E774,7)="SUBSOLO",-1,IF(LEFT(E774,6)="TÉRREO",0,IFERROR(VALUE(LEFT(E774,FIND("º",SUBSTITUTE(E774,"°","º"))-1)),""))))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M775" s="2">
        <f>IF(C775="","",IFERROR(INDEX($S$5:$S$304,MATCH(C775,$R$5:$R$304,0))&amp;"","?"))</f>
        <v/>
      </c>
      <c r="N775" s="2">
        <f>IF(E775="","",IF(LEFT(E775,7)="SUBSOLO",-1,IF(LEFT(E775,6)="TÉRREO",0,IFERROR(VALUE(LEFT(E775,FIND("º",SUBSTITUTE(E775,"°","º"))-1)),""))))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M776" s="2">
        <f>IF(C776="","",IFERROR(INDEX($S$5:$S$304,MATCH(C776,$R$5:$R$304,0))&amp;"","?"))</f>
        <v/>
      </c>
      <c r="N776" s="2">
        <f>IF(E776="","",IF(LEFT(E776,7)="SUBSOLO",-1,IF(LEFT(E776,6)="TÉRREO",0,IFERROR(VALUE(LEFT(E776,FIND("º",SUBSTITUTE(E776,"°","º"))-1)),""))))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M777" s="2">
        <f>IF(C777="","",IFERROR(INDEX($S$5:$S$304,MATCH(C777,$R$5:$R$304,0))&amp;"","?"))</f>
        <v/>
      </c>
      <c r="N777" s="2">
        <f>IF(E777="","",IF(LEFT(E777,7)="SUBSOLO",-1,IF(LEFT(E777,6)="TÉRREO",0,IFERROR(VALUE(LEFT(E777,FIND("º",SUBSTITUTE(E777,"°","º"))-1)),""))))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M778" s="2">
        <f>IF(C778="","",IFERROR(INDEX($S$5:$S$304,MATCH(C778,$R$5:$R$304,0))&amp;"","?"))</f>
        <v/>
      </c>
      <c r="N778" s="2">
        <f>IF(E778="","",IF(LEFT(E778,7)="SUBSOLO",-1,IF(LEFT(E778,6)="TÉRREO",0,IFERROR(VALUE(LEFT(E778,FIND("º",SUBSTITUTE(E778,"°","º"))-1)),""))))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M779" s="2">
        <f>IF(C779="","",IFERROR(INDEX($S$5:$S$304,MATCH(C779,$R$5:$R$304,0))&amp;"","?"))</f>
        <v/>
      </c>
      <c r="N779" s="2">
        <f>IF(E779="","",IF(LEFT(E779,7)="SUBSOLO",-1,IF(LEFT(E779,6)="TÉRREO",0,IFERROR(VALUE(LEFT(E779,FIND("º",SUBSTITUTE(E779,"°","º"))-1)),""))))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M780" s="2">
        <f>IF(C780="","",IFERROR(INDEX($S$5:$S$304,MATCH(C780,$R$5:$R$304,0))&amp;"","?"))</f>
        <v/>
      </c>
      <c r="N780" s="2">
        <f>IF(E780="","",IF(LEFT(E780,7)="SUBSOLO",-1,IF(LEFT(E780,6)="TÉRREO",0,IFERROR(VALUE(LEFT(E780,FIND("º",SUBSTITUTE(E780,"°","º"))-1)),""))))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M781" s="2">
        <f>IF(C781="","",IFERROR(INDEX($S$5:$S$304,MATCH(C781,$R$5:$R$304,0))&amp;"","?"))</f>
        <v/>
      </c>
      <c r="N781" s="2">
        <f>IF(E781="","",IF(LEFT(E781,7)="SUBSOLO",-1,IF(LEFT(E781,6)="TÉRREO",0,IFERROR(VALUE(LEFT(E781,FIND("º",SUBSTITUTE(E781,"°","º"))-1)),""))))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M782" s="2">
        <f>IF(C782="","",IFERROR(INDEX($S$5:$S$304,MATCH(C782,$R$5:$R$304,0))&amp;"","?"))</f>
        <v/>
      </c>
      <c r="N782" s="2">
        <f>IF(E782="","",IF(LEFT(E782,7)="SUBSOLO",-1,IF(LEFT(E782,6)="TÉRREO",0,IFERROR(VALUE(LEFT(E782,FIND("º",SUBSTITUTE(E782,"°","º"))-1)),""))))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M783" s="2">
        <f>IF(C783="","",IFERROR(INDEX($S$5:$S$304,MATCH(C783,$R$5:$R$304,0))&amp;"","?"))</f>
        <v/>
      </c>
      <c r="N783" s="2">
        <f>IF(E783="","",IF(LEFT(E783,7)="SUBSOLO",-1,IF(LEFT(E783,6)="TÉRREO",0,IFERROR(VALUE(LEFT(E783,FIND("º",SUBSTITUTE(E783,"°","º"))-1)),""))))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M784" s="2">
        <f>IF(C784="","",IFERROR(INDEX($S$5:$S$304,MATCH(C784,$R$5:$R$304,0))&amp;"","?"))</f>
        <v/>
      </c>
      <c r="N784" s="2">
        <f>IF(E784="","",IF(LEFT(E784,7)="SUBSOLO",-1,IF(LEFT(E784,6)="TÉRREO",0,IFERROR(VALUE(LEFT(E784,FIND("º",SUBSTITUTE(E784,"°","º"))-1)),""))))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M785" s="2">
        <f>IF(C785="","",IFERROR(INDEX($S$5:$S$304,MATCH(C785,$R$5:$R$304,0))&amp;"","?"))</f>
        <v/>
      </c>
      <c r="N785" s="2">
        <f>IF(E785="","",IF(LEFT(E785,7)="SUBSOLO",-1,IF(LEFT(E785,6)="TÉRREO",0,IFERROR(VALUE(LEFT(E785,FIND("º",SUBSTITUTE(E785,"°","º"))-1)),""))))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M786" s="2">
        <f>IF(C786="","",IFERROR(INDEX($S$5:$S$304,MATCH(C786,$R$5:$R$304,0))&amp;"","?"))</f>
        <v/>
      </c>
      <c r="N786" s="2">
        <f>IF(E786="","",IF(LEFT(E786,7)="SUBSOLO",-1,IF(LEFT(E786,6)="TÉRREO",0,IFERROR(VALUE(LEFT(E786,FIND("º",SUBSTITUTE(E786,"°","º"))-1)),""))))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M787" s="2">
        <f>IF(C787="","",IFERROR(INDEX($S$5:$S$304,MATCH(C787,$R$5:$R$304,0))&amp;"","?"))</f>
        <v/>
      </c>
      <c r="N787" s="2">
        <f>IF(E787="","",IF(LEFT(E787,7)="SUBSOLO",-1,IF(LEFT(E787,6)="TÉRREO",0,IFERROR(VALUE(LEFT(E787,FIND("º",SUBSTITUTE(E787,"°","º"))-1)),""))))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M788" s="2">
        <f>IF(C788="","",IFERROR(INDEX($S$5:$S$304,MATCH(C788,$R$5:$R$304,0))&amp;"","?"))</f>
        <v/>
      </c>
      <c r="N788" s="2">
        <f>IF(E788="","",IF(LEFT(E788,7)="SUBSOLO",-1,IF(LEFT(E788,6)="TÉRREO",0,IFERROR(VALUE(LEFT(E788,FIND("º",SUBSTITUTE(E788,"°","º"))-1)),""))))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M789" s="2">
        <f>IF(C789="","",IFERROR(INDEX($S$5:$S$304,MATCH(C789,$R$5:$R$304,0))&amp;"","?"))</f>
        <v/>
      </c>
      <c r="N789" s="2">
        <f>IF(E789="","",IF(LEFT(E789,7)="SUBSOLO",-1,IF(LEFT(E789,6)="TÉRREO",0,IFERROR(VALUE(LEFT(E789,FIND("º",SUBSTITUTE(E789,"°","º"))-1)),""))))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M790" s="2">
        <f>IF(C790="","",IFERROR(INDEX($S$5:$S$304,MATCH(C790,$R$5:$R$304,0))&amp;"","?"))</f>
        <v/>
      </c>
      <c r="N790" s="2">
        <f>IF(E790="","",IF(LEFT(E790,7)="SUBSOLO",-1,IF(LEFT(E790,6)="TÉRREO",0,IFERROR(VALUE(LEFT(E790,FIND("º",SUBSTITUTE(E790,"°","º"))-1)),""))))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M791" s="2">
        <f>IF(C791="","",IFERROR(INDEX($S$5:$S$304,MATCH(C791,$R$5:$R$304,0))&amp;"","?"))</f>
        <v/>
      </c>
      <c r="N791" s="2">
        <f>IF(E791="","",IF(LEFT(E791,7)="SUBSOLO",-1,IF(LEFT(E791,6)="TÉRREO",0,IFERROR(VALUE(LEFT(E791,FIND("º",SUBSTITUTE(E791,"°","º"))-1)),""))))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M792" s="2">
        <f>IF(C792="","",IFERROR(INDEX($S$5:$S$304,MATCH(C792,$R$5:$R$304,0))&amp;"","?"))</f>
        <v/>
      </c>
      <c r="N792" s="2">
        <f>IF(E792="","",IF(LEFT(E792,7)="SUBSOLO",-1,IF(LEFT(E792,6)="TÉRREO",0,IFERROR(VALUE(LEFT(E792,FIND("º",SUBSTITUTE(E792,"°","º"))-1)),""))))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M793" s="2">
        <f>IF(C793="","",IFERROR(INDEX($S$5:$S$304,MATCH(C793,$R$5:$R$304,0))&amp;"","?"))</f>
        <v/>
      </c>
      <c r="N793" s="2">
        <f>IF(E793="","",IF(LEFT(E793,7)="SUBSOLO",-1,IF(LEFT(E793,6)="TÉRREO",0,IFERROR(VALUE(LEFT(E793,FIND("º",SUBSTITUTE(E793,"°","º"))-1)),""))))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M794" s="2">
        <f>IF(C794="","",IFERROR(INDEX($S$5:$S$304,MATCH(C794,$R$5:$R$304,0))&amp;"","?"))</f>
        <v/>
      </c>
      <c r="N794" s="2">
        <f>IF(E794="","",IF(LEFT(E794,7)="SUBSOLO",-1,IF(LEFT(E794,6)="TÉRREO",0,IFERROR(VALUE(LEFT(E794,FIND("º",SUBSTITUTE(E794,"°","º"))-1)),""))))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M795" s="2">
        <f>IF(C795="","",IFERROR(INDEX($S$5:$S$304,MATCH(C795,$R$5:$R$304,0))&amp;"","?"))</f>
        <v/>
      </c>
      <c r="N795" s="2">
        <f>IF(E795="","",IF(LEFT(E795,7)="SUBSOLO",-1,IF(LEFT(E795,6)="TÉRREO",0,IFERROR(VALUE(LEFT(E795,FIND("º",SUBSTITUTE(E795,"°","º"))-1)),""))))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M796" s="2">
        <f>IF(C796="","",IFERROR(INDEX($S$5:$S$304,MATCH(C796,$R$5:$R$304,0))&amp;"","?"))</f>
        <v/>
      </c>
      <c r="N796" s="2">
        <f>IF(E796="","",IF(LEFT(E796,7)="SUBSOLO",-1,IF(LEFT(E796,6)="TÉRREO",0,IFERROR(VALUE(LEFT(E796,FIND("º",SUBSTITUTE(E796,"°","º"))-1)),""))))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M797" s="2">
        <f>IF(C797="","",IFERROR(INDEX($S$5:$S$304,MATCH(C797,$R$5:$R$304,0))&amp;"","?"))</f>
        <v/>
      </c>
      <c r="N797" s="2">
        <f>IF(E797="","",IF(LEFT(E797,7)="SUBSOLO",-1,IF(LEFT(E797,6)="TÉRREO",0,IFERROR(VALUE(LEFT(E797,FIND("º",SUBSTITUTE(E797,"°","º"))-1)),""))))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M798" s="2">
        <f>IF(C798="","",IFERROR(INDEX($S$5:$S$304,MATCH(C798,$R$5:$R$304,0))&amp;"","?"))</f>
        <v/>
      </c>
      <c r="N798" s="2">
        <f>IF(E798="","",IF(LEFT(E798,7)="SUBSOLO",-1,IF(LEFT(E798,6)="TÉRREO",0,IFERROR(VALUE(LEFT(E798,FIND("º",SUBSTITUTE(E798,"°","º"))-1)),""))))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M799" s="2">
        <f>IF(C799="","",IFERROR(INDEX($S$5:$S$304,MATCH(C799,$R$5:$R$304,0))&amp;"","?"))</f>
        <v/>
      </c>
      <c r="N799" s="2">
        <f>IF(E799="","",IF(LEFT(E799,7)="SUBSOLO",-1,IF(LEFT(E799,6)="TÉRREO",0,IFERROR(VALUE(LEFT(E799,FIND("º",SUBSTITUTE(E799,"°","º"))-1)),""))))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M800" s="2">
        <f>IF(C800="","",IFERROR(INDEX($S$5:$S$304,MATCH(C800,$R$5:$R$304,0))&amp;"","?"))</f>
        <v/>
      </c>
      <c r="N800" s="2">
        <f>IF(E800="","",IF(LEFT(E800,7)="SUBSOLO",-1,IF(LEFT(E800,6)="TÉRREO",0,IFERROR(VALUE(LEFT(E800,FIND("º",SUBSTITUTE(E800,"°","º"))-1)),""))))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M801" s="2">
        <f>IF(C801="","",IFERROR(INDEX($S$5:$S$304,MATCH(C801,$R$5:$R$304,0))&amp;"","?"))</f>
        <v/>
      </c>
      <c r="N801" s="2">
        <f>IF(E801="","",IF(LEFT(E801,7)="SUBSOLO",-1,IF(LEFT(E801,6)="TÉRREO",0,IFERROR(VALUE(LEFT(E801,FIND("º",SUBSTITUTE(E801,"°","º"))-1)),""))))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M802" s="2">
        <f>IF(C802="","",IFERROR(INDEX($S$5:$S$304,MATCH(C802,$R$5:$R$304,0))&amp;"","?"))</f>
        <v/>
      </c>
      <c r="N802" s="2">
        <f>IF(E802="","",IF(LEFT(E802,7)="SUBSOLO",-1,IF(LEFT(E802,6)="TÉRREO",0,IFERROR(VALUE(LEFT(E802,FIND("º",SUBSTITUTE(E802,"°","º"))-1)),""))))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M803" s="2">
        <f>IF(C803="","",IFERROR(INDEX($S$5:$S$304,MATCH(C803,$R$5:$R$304,0))&amp;"","?"))</f>
        <v/>
      </c>
      <c r="N803" s="2">
        <f>IF(E803="","",IF(LEFT(E803,7)="SUBSOLO",-1,IF(LEFT(E803,6)="TÉRREO",0,IFERROR(VALUE(LEFT(E803,FIND("º",SUBSTITUTE(E803,"°","º"))-1)),""))))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M804" s="2">
        <f>IF(C804="","",IFERROR(INDEX($S$5:$S$304,MATCH(C804,$R$5:$R$304,0))&amp;"","?"))</f>
        <v/>
      </c>
      <c r="N804" s="2">
        <f>IF(E804="","",IF(LEFT(E804,7)="SUBSOLO",-1,IF(LEFT(E804,6)="TÉRREO",0,IFERROR(VALUE(LEFT(E804,FIND("º",SUBSTITUTE(E804,"°","º"))-1)),""))))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M805" s="2">
        <f>IF(C805="","",IFERROR(INDEX($S$5:$S$304,MATCH(C805,$R$5:$R$304,0))&amp;"","?"))</f>
        <v/>
      </c>
      <c r="N805" s="2">
        <f>IF(E805="","",IF(LEFT(E805,7)="SUBSOLO",-1,IF(LEFT(E805,6)="TÉRREO",0,IFERROR(VALUE(LEFT(E805,FIND("º",SUBSTITUTE(E805,"°","º"))-1)),""))))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M806" s="2">
        <f>IF(C806="","",IFERROR(INDEX($S$5:$S$304,MATCH(C806,$R$5:$R$304,0))&amp;"","?"))</f>
        <v/>
      </c>
      <c r="N806" s="2">
        <f>IF(E806="","",IF(LEFT(E806,7)="SUBSOLO",-1,IF(LEFT(E806,6)="TÉRREO",0,IFERROR(VALUE(LEFT(E806,FIND("º",SUBSTITUTE(E806,"°","º"))-1)),""))))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M807" s="2">
        <f>IF(C807="","",IFERROR(INDEX($S$5:$S$304,MATCH(C807,$R$5:$R$304,0))&amp;"","?"))</f>
        <v/>
      </c>
      <c r="N807" s="2">
        <f>IF(E807="","",IF(LEFT(E807,7)="SUBSOLO",-1,IF(LEFT(E807,6)="TÉRREO",0,IFERROR(VALUE(LEFT(E807,FIND("º",SUBSTITUTE(E807,"°","º"))-1)),""))))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M808" s="2">
        <f>IF(C808="","",IFERROR(INDEX($S$5:$S$304,MATCH(C808,$R$5:$R$304,0))&amp;"","?"))</f>
        <v/>
      </c>
      <c r="N808" s="2">
        <f>IF(E808="","",IF(LEFT(E808,7)="SUBSOLO",-1,IF(LEFT(E808,6)="TÉRREO",0,IFERROR(VALUE(LEFT(E808,FIND("º",SUBSTITUTE(E808,"°","º"))-1)),""))))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M809" s="2">
        <f>IF(C809="","",IFERROR(INDEX($S$5:$S$304,MATCH(C809,$R$5:$R$304,0))&amp;"","?"))</f>
        <v/>
      </c>
      <c r="N809" s="2">
        <f>IF(E809="","",IF(LEFT(E809,7)="SUBSOLO",-1,IF(LEFT(E809,6)="TÉRREO",0,IFERROR(VALUE(LEFT(E809,FIND("º",SUBSTITUTE(E809,"°","º"))-1)),""))))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M810" s="2">
        <f>IF(C810="","",IFERROR(INDEX($S$5:$S$304,MATCH(C810,$R$5:$R$304,0))&amp;"","?"))</f>
        <v/>
      </c>
      <c r="N810" s="2">
        <f>IF(E810="","",IF(LEFT(E810,7)="SUBSOLO",-1,IF(LEFT(E810,6)="TÉRREO",0,IFERROR(VALUE(LEFT(E810,FIND("º",SUBSTITUTE(E810,"°","º"))-1)),""))))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M811" s="2">
        <f>IF(C811="","",IFERROR(INDEX($S$5:$S$304,MATCH(C811,$R$5:$R$304,0))&amp;"","?"))</f>
        <v/>
      </c>
      <c r="N811" s="2">
        <f>IF(E811="","",IF(LEFT(E811,7)="SUBSOLO",-1,IF(LEFT(E811,6)="TÉRREO",0,IFERROR(VALUE(LEFT(E811,FIND("º",SUBSTITUTE(E811,"°","º"))-1)),""))))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M812" s="2">
        <f>IF(C812="","",IFERROR(INDEX($S$5:$S$304,MATCH(C812,$R$5:$R$304,0))&amp;"","?"))</f>
        <v/>
      </c>
      <c r="N812" s="2">
        <f>IF(E812="","",IF(LEFT(E812,7)="SUBSOLO",-1,IF(LEFT(E812,6)="TÉRREO",0,IFERROR(VALUE(LEFT(E812,FIND("º",SUBSTITUTE(E812,"°","º"))-1)),""))))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M813" s="2">
        <f>IF(C813="","",IFERROR(INDEX($S$5:$S$304,MATCH(C813,$R$5:$R$304,0))&amp;"","?"))</f>
        <v/>
      </c>
      <c r="N813" s="2">
        <f>IF(E813="","",IF(LEFT(E813,7)="SUBSOLO",-1,IF(LEFT(E813,6)="TÉRREO",0,IFERROR(VALUE(LEFT(E813,FIND("º",SUBSTITUTE(E813,"°","º"))-1)),""))))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M814" s="2">
        <f>IF(C814="","",IFERROR(INDEX($S$5:$S$304,MATCH(C814,$R$5:$R$304,0))&amp;"","?"))</f>
        <v/>
      </c>
      <c r="N814" s="2">
        <f>IF(E814="","",IF(LEFT(E814,7)="SUBSOLO",-1,IF(LEFT(E814,6)="TÉRREO",0,IFERROR(VALUE(LEFT(E814,FIND("º",SUBSTITUTE(E814,"°","º"))-1)),""))))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M815" s="2">
        <f>IF(C815="","",IFERROR(INDEX($S$5:$S$304,MATCH(C815,$R$5:$R$304,0))&amp;"","?"))</f>
        <v/>
      </c>
      <c r="N815" s="2">
        <f>IF(E815="","",IF(LEFT(E815,7)="SUBSOLO",-1,IF(LEFT(E815,6)="TÉRREO",0,IFERROR(VALUE(LEFT(E815,FIND("º",SUBSTITUTE(E815,"°","º"))-1)),""))))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M816" s="2">
        <f>IF(C816="","",IFERROR(INDEX($S$5:$S$304,MATCH(C816,$R$5:$R$304,0))&amp;"","?"))</f>
        <v/>
      </c>
      <c r="N816" s="2">
        <f>IF(E816="","",IF(LEFT(E816,7)="SUBSOLO",-1,IF(LEFT(E816,6)="TÉRREO",0,IFERROR(VALUE(LEFT(E816,FIND("º",SUBSTITUTE(E816,"°","º"))-1)),""))))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M817" s="2">
        <f>IF(C817="","",IFERROR(INDEX($S$5:$S$304,MATCH(C817,$R$5:$R$304,0))&amp;"","?"))</f>
        <v/>
      </c>
      <c r="N817" s="2">
        <f>IF(E817="","",IF(LEFT(E817,7)="SUBSOLO",-1,IF(LEFT(E817,6)="TÉRREO",0,IFERROR(VALUE(LEFT(E817,FIND("º",SUBSTITUTE(E817,"°","º"))-1)),""))))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M818" s="2">
        <f>IF(C818="","",IFERROR(INDEX($S$5:$S$304,MATCH(C818,$R$5:$R$304,0))&amp;"","?"))</f>
        <v/>
      </c>
      <c r="N818" s="2">
        <f>IF(E818="","",IF(LEFT(E818,7)="SUBSOLO",-1,IF(LEFT(E818,6)="TÉRREO",0,IFERROR(VALUE(LEFT(E818,FIND("º",SUBSTITUTE(E818,"°","º"))-1)),""))))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M819" s="2">
        <f>IF(C819="","",IFERROR(INDEX($S$5:$S$304,MATCH(C819,$R$5:$R$304,0))&amp;"","?"))</f>
        <v/>
      </c>
      <c r="N819" s="2">
        <f>IF(E819="","",IF(LEFT(E819,7)="SUBSOLO",-1,IF(LEFT(E819,6)="TÉRREO",0,IFERROR(VALUE(LEFT(E819,FIND("º",SUBSTITUTE(E819,"°","º"))-1)),""))))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M820" s="2">
        <f>IF(C820="","",IFERROR(INDEX($S$5:$S$304,MATCH(C820,$R$5:$R$304,0))&amp;"","?"))</f>
        <v/>
      </c>
      <c r="N820" s="2">
        <f>IF(E820="","",IF(LEFT(E820,7)="SUBSOLO",-1,IF(LEFT(E820,6)="TÉRREO",0,IFERROR(VALUE(LEFT(E820,FIND("º",SUBSTITUTE(E820,"°","º"))-1)),""))))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M821" s="2">
        <f>IF(C821="","",IFERROR(INDEX($S$5:$S$304,MATCH(C821,$R$5:$R$304,0))&amp;"","?"))</f>
        <v/>
      </c>
      <c r="N821" s="2">
        <f>IF(E821="","",IF(LEFT(E821,7)="SUBSOLO",-1,IF(LEFT(E821,6)="TÉRREO",0,IFERROR(VALUE(LEFT(E821,FIND("º",SUBSTITUTE(E821,"°","º"))-1)),""))))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M822" s="2">
        <f>IF(C822="","",IFERROR(INDEX($S$5:$S$304,MATCH(C822,$R$5:$R$304,0))&amp;"","?"))</f>
        <v/>
      </c>
      <c r="N822" s="2">
        <f>IF(E822="","",IF(LEFT(E822,7)="SUBSOLO",-1,IF(LEFT(E822,6)="TÉRREO",0,IFERROR(VALUE(LEFT(E822,FIND("º",SUBSTITUTE(E822,"°","º"))-1)),""))))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M823" s="2">
        <f>IF(C823="","",IFERROR(INDEX($S$5:$S$304,MATCH(C823,$R$5:$R$304,0))&amp;"","?"))</f>
        <v/>
      </c>
      <c r="N823" s="2">
        <f>IF(E823="","",IF(LEFT(E823,7)="SUBSOLO",-1,IF(LEFT(E823,6)="TÉRREO",0,IFERROR(VALUE(LEFT(E823,FIND("º",SUBSTITUTE(E823,"°","º"))-1)),""))))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M824" s="2">
        <f>IF(C824="","",IFERROR(INDEX($S$5:$S$304,MATCH(C824,$R$5:$R$304,0))&amp;"","?"))</f>
        <v/>
      </c>
      <c r="N824" s="2">
        <f>IF(E824="","",IF(LEFT(E824,7)="SUBSOLO",-1,IF(LEFT(E824,6)="TÉRREO",0,IFERROR(VALUE(LEFT(E824,FIND("º",SUBSTITUTE(E824,"°","º"))-1)),""))))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M825" s="2">
        <f>IF(C825="","",IFERROR(INDEX($S$5:$S$304,MATCH(C825,$R$5:$R$304,0))&amp;"","?"))</f>
        <v/>
      </c>
      <c r="N825" s="2">
        <f>IF(E825="","",IF(LEFT(E825,7)="SUBSOLO",-1,IF(LEFT(E825,6)="TÉRREO",0,IFERROR(VALUE(LEFT(E825,FIND("º",SUBSTITUTE(E825,"°","º"))-1)),""))))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M826" s="2">
        <f>IF(C826="","",IFERROR(INDEX($S$5:$S$304,MATCH(C826,$R$5:$R$304,0))&amp;"","?"))</f>
        <v/>
      </c>
      <c r="N826" s="2">
        <f>IF(E826="","",IF(LEFT(E826,7)="SUBSOLO",-1,IF(LEFT(E826,6)="TÉRREO",0,IFERROR(VALUE(LEFT(E826,FIND("º",SUBSTITUTE(E826,"°","º"))-1)),""))))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M827" s="2">
        <f>IF(C827="","",IFERROR(INDEX($S$5:$S$304,MATCH(C827,$R$5:$R$304,0))&amp;"","?"))</f>
        <v/>
      </c>
      <c r="N827" s="2">
        <f>IF(E827="","",IF(LEFT(E827,7)="SUBSOLO",-1,IF(LEFT(E827,6)="TÉRREO",0,IFERROR(VALUE(LEFT(E827,FIND("º",SUBSTITUTE(E827,"°","º"))-1)),""))))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M828" s="2">
        <f>IF(C828="","",IFERROR(INDEX($S$5:$S$304,MATCH(C828,$R$5:$R$304,0))&amp;"","?"))</f>
        <v/>
      </c>
      <c r="N828" s="2">
        <f>IF(E828="","",IF(LEFT(E828,7)="SUBSOLO",-1,IF(LEFT(E828,6)="TÉRREO",0,IFERROR(VALUE(LEFT(E828,FIND("º",SUBSTITUTE(E828,"°","º"))-1)),""))))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M829" s="2">
        <f>IF(C829="","",IFERROR(INDEX($S$5:$S$304,MATCH(C829,$R$5:$R$304,0))&amp;"","?"))</f>
        <v/>
      </c>
      <c r="N829" s="2">
        <f>IF(E829="","",IF(LEFT(E829,7)="SUBSOLO",-1,IF(LEFT(E829,6)="TÉRREO",0,IFERROR(VALUE(LEFT(E829,FIND("º",SUBSTITUTE(E829,"°","º"))-1)),""))))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M830" s="2">
        <f>IF(C830="","",IFERROR(INDEX($S$5:$S$304,MATCH(C830,$R$5:$R$304,0))&amp;"","?"))</f>
        <v/>
      </c>
      <c r="N830" s="2">
        <f>IF(E830="","",IF(LEFT(E830,7)="SUBSOLO",-1,IF(LEFT(E830,6)="TÉRREO",0,IFERROR(VALUE(LEFT(E830,FIND("º",SUBSTITUTE(E830,"°","º"))-1)),""))))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M831" s="2">
        <f>IF(C831="","",IFERROR(INDEX($S$5:$S$304,MATCH(C831,$R$5:$R$304,0))&amp;"","?"))</f>
        <v/>
      </c>
      <c r="N831" s="2">
        <f>IF(E831="","",IF(LEFT(E831,7)="SUBSOLO",-1,IF(LEFT(E831,6)="TÉRREO",0,IFERROR(VALUE(LEFT(E831,FIND("º",SUBSTITUTE(E831,"°","º"))-1)),""))))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M832" s="2">
        <f>IF(C832="","",IFERROR(INDEX($S$5:$S$304,MATCH(C832,$R$5:$R$304,0))&amp;"","?"))</f>
        <v/>
      </c>
      <c r="N832" s="2">
        <f>IF(E832="","",IF(LEFT(E832,7)="SUBSOLO",-1,IF(LEFT(E832,6)="TÉRREO",0,IFERROR(VALUE(LEFT(E832,FIND("º",SUBSTITUTE(E832,"°","º"))-1)),""))))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M833" s="2">
        <f>IF(C833="","",IFERROR(INDEX($S$5:$S$304,MATCH(C833,$R$5:$R$304,0))&amp;"","?"))</f>
        <v/>
      </c>
      <c r="N833" s="2">
        <f>IF(E833="","",IF(LEFT(E833,7)="SUBSOLO",-1,IF(LEFT(E833,6)="TÉRREO",0,IFERROR(VALUE(LEFT(E833,FIND("º",SUBSTITUTE(E833,"°","º"))-1)),""))))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M834" s="2">
        <f>IF(C834="","",IFERROR(INDEX($S$5:$S$304,MATCH(C834,$R$5:$R$304,0))&amp;"","?"))</f>
        <v/>
      </c>
      <c r="N834" s="2">
        <f>IF(E834="","",IF(LEFT(E834,7)="SUBSOLO",-1,IF(LEFT(E834,6)="TÉRREO",0,IFERROR(VALUE(LEFT(E834,FIND("º",SUBSTITUTE(E834,"°","º"))-1)),""))))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M835" s="2">
        <f>IF(C835="","",IFERROR(INDEX($S$5:$S$304,MATCH(C835,$R$5:$R$304,0))&amp;"","?"))</f>
        <v/>
      </c>
      <c r="N835" s="2">
        <f>IF(E835="","",IF(LEFT(E835,7)="SUBSOLO",-1,IF(LEFT(E835,6)="TÉRREO",0,IFERROR(VALUE(LEFT(E835,FIND("º",SUBSTITUTE(E835,"°","º"))-1)),""))))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M836" s="2">
        <f>IF(C836="","",IFERROR(INDEX($S$5:$S$304,MATCH(C836,$R$5:$R$304,0))&amp;"","?"))</f>
        <v/>
      </c>
      <c r="N836" s="2">
        <f>IF(E836="","",IF(LEFT(E836,7)="SUBSOLO",-1,IF(LEFT(E836,6)="TÉRREO",0,IFERROR(VALUE(LEFT(E836,FIND("º",SUBSTITUTE(E836,"°","º"))-1)),""))))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M837" s="2">
        <f>IF(C837="","",IFERROR(INDEX($S$5:$S$304,MATCH(C837,$R$5:$R$304,0))&amp;"","?"))</f>
        <v/>
      </c>
      <c r="N837" s="2">
        <f>IF(E837="","",IF(LEFT(E837,7)="SUBSOLO",-1,IF(LEFT(E837,6)="TÉRREO",0,IFERROR(VALUE(LEFT(E837,FIND("º",SUBSTITUTE(E837,"°","º"))-1)),""))))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M838" s="2">
        <f>IF(C838="","",IFERROR(INDEX($S$5:$S$304,MATCH(C838,$R$5:$R$304,0))&amp;"","?"))</f>
        <v/>
      </c>
      <c r="N838" s="2">
        <f>IF(E838="","",IF(LEFT(E838,7)="SUBSOLO",-1,IF(LEFT(E838,6)="TÉRREO",0,IFERROR(VALUE(LEFT(E838,FIND("º",SUBSTITUTE(E838,"°","º"))-1)),""))))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M839" s="2">
        <f>IF(C839="","",IFERROR(INDEX($S$5:$S$304,MATCH(C839,$R$5:$R$304,0))&amp;"","?"))</f>
        <v/>
      </c>
      <c r="N839" s="2">
        <f>IF(E839="","",IF(LEFT(E839,7)="SUBSOLO",-1,IF(LEFT(E839,6)="TÉRREO",0,IFERROR(VALUE(LEFT(E839,FIND("º",SUBSTITUTE(E839,"°","º"))-1)),""))))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M840" s="2">
        <f>IF(C840="","",IFERROR(INDEX($S$5:$S$304,MATCH(C840,$R$5:$R$304,0))&amp;"","?"))</f>
        <v/>
      </c>
      <c r="N840" s="2">
        <f>IF(E840="","",IF(LEFT(E840,7)="SUBSOLO",-1,IF(LEFT(E840,6)="TÉRREO",0,IFERROR(VALUE(LEFT(E840,FIND("º",SUBSTITUTE(E840,"°","º"))-1)),""))))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M841" s="2">
        <f>IF(C841="","",IFERROR(INDEX($S$5:$S$304,MATCH(C841,$R$5:$R$304,0))&amp;"","?"))</f>
        <v/>
      </c>
      <c r="N841" s="2">
        <f>IF(E841="","",IF(LEFT(E841,7)="SUBSOLO",-1,IF(LEFT(E841,6)="TÉRREO",0,IFERROR(VALUE(LEFT(E841,FIND("º",SUBSTITUTE(E841,"°","º"))-1)),""))))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M842" s="2">
        <f>IF(C842="","",IFERROR(INDEX($S$5:$S$304,MATCH(C842,$R$5:$R$304,0))&amp;"","?"))</f>
        <v/>
      </c>
      <c r="N842" s="2">
        <f>IF(E842="","",IF(LEFT(E842,7)="SUBSOLO",-1,IF(LEFT(E842,6)="TÉRREO",0,IFERROR(VALUE(LEFT(E842,FIND("º",SUBSTITUTE(E842,"°","º"))-1)),""))))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M843" s="2">
        <f>IF(C843="","",IFERROR(INDEX($S$5:$S$304,MATCH(C843,$R$5:$R$304,0))&amp;"","?"))</f>
        <v/>
      </c>
      <c r="N843" s="2">
        <f>IF(E843="","",IF(LEFT(E843,7)="SUBSOLO",-1,IF(LEFT(E843,6)="TÉRREO",0,IFERROR(VALUE(LEFT(E843,FIND("º",SUBSTITUTE(E843,"°","º"))-1)),""))))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M844" s="2">
        <f>IF(C844="","",IFERROR(INDEX($S$5:$S$304,MATCH(C844,$R$5:$R$304,0))&amp;"","?"))</f>
        <v/>
      </c>
      <c r="N844" s="2">
        <f>IF(E844="","",IF(LEFT(E844,7)="SUBSOLO",-1,IF(LEFT(E844,6)="TÉRREO",0,IFERROR(VALUE(LEFT(E844,FIND("º",SUBSTITUTE(E844,"°","º"))-1)),""))))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M845" s="2">
        <f>IF(C845="","",IFERROR(INDEX($S$5:$S$304,MATCH(C845,$R$5:$R$304,0))&amp;"","?"))</f>
        <v/>
      </c>
      <c r="N845" s="2">
        <f>IF(E845="","",IF(LEFT(E845,7)="SUBSOLO",-1,IF(LEFT(E845,6)="TÉRREO",0,IFERROR(VALUE(LEFT(E845,FIND("º",SUBSTITUTE(E845,"°","º"))-1)),""))))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M846" s="2">
        <f>IF(C846="","",IFERROR(INDEX($S$5:$S$304,MATCH(C846,$R$5:$R$304,0))&amp;"","?"))</f>
        <v/>
      </c>
      <c r="N846" s="2">
        <f>IF(E846="","",IF(LEFT(E846,7)="SUBSOLO",-1,IF(LEFT(E846,6)="TÉRREO",0,IFERROR(VALUE(LEFT(E846,FIND("º",SUBSTITUTE(E846,"°","º"))-1)),""))))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M847" s="2">
        <f>IF(C847="","",IFERROR(INDEX($S$5:$S$304,MATCH(C847,$R$5:$R$304,0))&amp;"","?"))</f>
        <v/>
      </c>
      <c r="N847" s="2">
        <f>IF(E847="","",IF(LEFT(E847,7)="SUBSOLO",-1,IF(LEFT(E847,6)="TÉRREO",0,IFERROR(VALUE(LEFT(E847,FIND("º",SUBSTITUTE(E847,"°","º"))-1)),""))))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M848" s="2">
        <f>IF(C848="","",IFERROR(INDEX($S$5:$S$304,MATCH(C848,$R$5:$R$304,0))&amp;"","?"))</f>
        <v/>
      </c>
      <c r="N848" s="2">
        <f>IF(E848="","",IF(LEFT(E848,7)="SUBSOLO",-1,IF(LEFT(E848,6)="TÉRREO",0,IFERROR(VALUE(LEFT(E848,FIND("º",SUBSTITUTE(E848,"°","º"))-1)),""))))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M849" s="2">
        <f>IF(C849="","",IFERROR(INDEX($S$5:$S$304,MATCH(C849,$R$5:$R$304,0))&amp;"","?"))</f>
        <v/>
      </c>
      <c r="N849" s="2">
        <f>IF(E849="","",IF(LEFT(E849,7)="SUBSOLO",-1,IF(LEFT(E849,6)="TÉRREO",0,IFERROR(VALUE(LEFT(E849,FIND("º",SUBSTITUTE(E849,"°","º"))-1)),""))))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M850" s="2">
        <f>IF(C850="","",IFERROR(INDEX($S$5:$S$304,MATCH(C850,$R$5:$R$304,0))&amp;"","?"))</f>
        <v/>
      </c>
      <c r="N850" s="2">
        <f>IF(E850="","",IF(LEFT(E850,7)="SUBSOLO",-1,IF(LEFT(E850,6)="TÉRREO",0,IFERROR(VALUE(LEFT(E850,FIND("º",SUBSTITUTE(E850,"°","º"))-1)),""))))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M851" s="2">
        <f>IF(C851="","",IFERROR(INDEX($S$5:$S$304,MATCH(C851,$R$5:$R$304,0))&amp;"","?"))</f>
        <v/>
      </c>
      <c r="N851" s="2">
        <f>IF(E851="","",IF(LEFT(E851,7)="SUBSOLO",-1,IF(LEFT(E851,6)="TÉRREO",0,IFERROR(VALUE(LEFT(E851,FIND("º",SUBSTITUTE(E851,"°","º"))-1)),""))))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M852" s="2">
        <f>IF(C852="","",IFERROR(INDEX($S$5:$S$304,MATCH(C852,$R$5:$R$304,0))&amp;"","?"))</f>
        <v/>
      </c>
      <c r="N852" s="2">
        <f>IF(E852="","",IF(LEFT(E852,7)="SUBSOLO",-1,IF(LEFT(E852,6)="TÉRREO",0,IFERROR(VALUE(LEFT(E852,FIND("º",SUBSTITUTE(E852,"°","º"))-1)),""))))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M853" s="2">
        <f>IF(C853="","",IFERROR(INDEX($S$5:$S$304,MATCH(C853,$R$5:$R$304,0))&amp;"","?"))</f>
        <v/>
      </c>
      <c r="N853" s="2">
        <f>IF(E853="","",IF(LEFT(E853,7)="SUBSOLO",-1,IF(LEFT(E853,6)="TÉRREO",0,IFERROR(VALUE(LEFT(E853,FIND("º",SUBSTITUTE(E853,"°","º"))-1)),""))))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M854" s="2">
        <f>IF(C854="","",IFERROR(INDEX($S$5:$S$304,MATCH(C854,$R$5:$R$304,0))&amp;"","?"))</f>
        <v/>
      </c>
      <c r="N854" s="2">
        <f>IF(E854="","",IF(LEFT(E854,7)="SUBSOLO",-1,IF(LEFT(E854,6)="TÉRREO",0,IFERROR(VALUE(LEFT(E854,FIND("º",SUBSTITUTE(E854,"°","º"))-1)),""))))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M855" s="2">
        <f>IF(C855="","",IFERROR(INDEX($S$5:$S$304,MATCH(C855,$R$5:$R$304,0))&amp;"","?"))</f>
        <v/>
      </c>
      <c r="N855" s="2">
        <f>IF(E855="","",IF(LEFT(E855,7)="SUBSOLO",-1,IF(LEFT(E855,6)="TÉRREO",0,IFERROR(VALUE(LEFT(E855,FIND("º",SUBSTITUTE(E855,"°","º"))-1)),""))))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M856" s="2">
        <f>IF(C856="","",IFERROR(INDEX($S$5:$S$304,MATCH(C856,$R$5:$R$304,0))&amp;"","?"))</f>
        <v/>
      </c>
      <c r="N856" s="2">
        <f>IF(E856="","",IF(LEFT(E856,7)="SUBSOLO",-1,IF(LEFT(E856,6)="TÉRREO",0,IFERROR(VALUE(LEFT(E856,FIND("º",SUBSTITUTE(E856,"°","º"))-1)),""))))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M857" s="2">
        <f>IF(C857="","",IFERROR(INDEX($S$5:$S$304,MATCH(C857,$R$5:$R$304,0))&amp;"","?"))</f>
        <v/>
      </c>
      <c r="N857" s="2">
        <f>IF(E857="","",IF(LEFT(E857,7)="SUBSOLO",-1,IF(LEFT(E857,6)="TÉRREO",0,IFERROR(VALUE(LEFT(E857,FIND("º",SUBSTITUTE(E857,"°","º"))-1)),""))))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M858" s="2">
        <f>IF(C858="","",IFERROR(INDEX($S$5:$S$304,MATCH(C858,$R$5:$R$304,0))&amp;"","?"))</f>
        <v/>
      </c>
      <c r="N858" s="2">
        <f>IF(E858="","",IF(LEFT(E858,7)="SUBSOLO",-1,IF(LEFT(E858,6)="TÉRREO",0,IFERROR(VALUE(LEFT(E858,FIND("º",SUBSTITUTE(E858,"°","º"))-1)),""))))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M859" s="2">
        <f>IF(C859="","",IFERROR(INDEX($S$5:$S$304,MATCH(C859,$R$5:$R$304,0))&amp;"","?"))</f>
        <v/>
      </c>
      <c r="N859" s="2">
        <f>IF(E859="","",IF(LEFT(E859,7)="SUBSOLO",-1,IF(LEFT(E859,6)="TÉRREO",0,IFERROR(VALUE(LEFT(E859,FIND("º",SUBSTITUTE(E859,"°","º"))-1)),""))))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M860" s="2">
        <f>IF(C860="","",IFERROR(INDEX($S$5:$S$304,MATCH(C860,$R$5:$R$304,0))&amp;"","?"))</f>
        <v/>
      </c>
      <c r="N860" s="2">
        <f>IF(E860="","",IF(LEFT(E860,7)="SUBSOLO",-1,IF(LEFT(E860,6)="TÉRREO",0,IFERROR(VALUE(LEFT(E860,FIND("º",SUBSTITUTE(E860,"°","º"))-1)),""))))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M861" s="2">
        <f>IF(C861="","",IFERROR(INDEX($S$5:$S$304,MATCH(C861,$R$5:$R$304,0))&amp;"","?"))</f>
        <v/>
      </c>
      <c r="N861" s="2">
        <f>IF(E861="","",IF(LEFT(E861,7)="SUBSOLO",-1,IF(LEFT(E861,6)="TÉRREO",0,IFERROR(VALUE(LEFT(E861,FIND("º",SUBSTITUTE(E861,"°","º"))-1)),""))))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M862" s="2">
        <f>IF(C862="","",IFERROR(INDEX($S$5:$S$304,MATCH(C862,$R$5:$R$304,0))&amp;"","?"))</f>
        <v/>
      </c>
      <c r="N862" s="2">
        <f>IF(E862="","",IF(LEFT(E862,7)="SUBSOLO",-1,IF(LEFT(E862,6)="TÉRREO",0,IFERROR(VALUE(LEFT(E862,FIND("º",SUBSTITUTE(E862,"°","º"))-1)),""))))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M863" s="2">
        <f>IF(C863="","",IFERROR(INDEX($S$5:$S$304,MATCH(C863,$R$5:$R$304,0))&amp;"","?"))</f>
        <v/>
      </c>
      <c r="N863" s="2">
        <f>IF(E863="","",IF(LEFT(E863,7)="SUBSOLO",-1,IF(LEFT(E863,6)="TÉRREO",0,IFERROR(VALUE(LEFT(E863,FIND("º",SUBSTITUTE(E863,"°","º"))-1)),""))))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M864" s="2">
        <f>IF(C864="","",IFERROR(INDEX($S$5:$S$304,MATCH(C864,$R$5:$R$304,0))&amp;"","?"))</f>
        <v/>
      </c>
      <c r="N864" s="2">
        <f>IF(E864="","",IF(LEFT(E864,7)="SUBSOLO",-1,IF(LEFT(E864,6)="TÉRREO",0,IFERROR(VALUE(LEFT(E864,FIND("º",SUBSTITUTE(E864,"°","º"))-1)),""))))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M865" s="2">
        <f>IF(C865="","",IFERROR(INDEX($S$5:$S$304,MATCH(C865,$R$5:$R$304,0))&amp;"","?"))</f>
        <v/>
      </c>
      <c r="N865" s="2">
        <f>IF(E865="","",IF(LEFT(E865,7)="SUBSOLO",-1,IF(LEFT(E865,6)="TÉRREO",0,IFERROR(VALUE(LEFT(E865,FIND("º",SUBSTITUTE(E865,"°","º"))-1)),""))))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M866" s="2">
        <f>IF(C866="","",IFERROR(INDEX($S$5:$S$304,MATCH(C866,$R$5:$R$304,0))&amp;"","?"))</f>
        <v/>
      </c>
      <c r="N866" s="2">
        <f>IF(E866="","",IF(LEFT(E866,7)="SUBSOLO",-1,IF(LEFT(E866,6)="TÉRREO",0,IFERROR(VALUE(LEFT(E866,FIND("º",SUBSTITUTE(E866,"°","º"))-1)),""))))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M867" s="2">
        <f>IF(C867="","",IFERROR(INDEX($S$5:$S$304,MATCH(C867,$R$5:$R$304,0))&amp;"","?"))</f>
        <v/>
      </c>
      <c r="N867" s="2">
        <f>IF(E867="","",IF(LEFT(E867,7)="SUBSOLO",-1,IF(LEFT(E867,6)="TÉRREO",0,IFERROR(VALUE(LEFT(E867,FIND("º",SUBSTITUTE(E867,"°","º"))-1)),""))))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M868" s="2">
        <f>IF(C868="","",IFERROR(INDEX($S$5:$S$304,MATCH(C868,$R$5:$R$304,0))&amp;"","?"))</f>
        <v/>
      </c>
      <c r="N868" s="2">
        <f>IF(E868="","",IF(LEFT(E868,7)="SUBSOLO",-1,IF(LEFT(E868,6)="TÉRREO",0,IFERROR(VALUE(LEFT(E868,FIND("º",SUBSTITUTE(E868,"°","º"))-1)),""))))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M869" s="2">
        <f>IF(C869="","",IFERROR(INDEX($S$5:$S$304,MATCH(C869,$R$5:$R$304,0))&amp;"","?"))</f>
        <v/>
      </c>
      <c r="N869" s="2">
        <f>IF(E869="","",IF(LEFT(E869,7)="SUBSOLO",-1,IF(LEFT(E869,6)="TÉRREO",0,IFERROR(VALUE(LEFT(E869,FIND("º",SUBSTITUTE(E869,"°","º"))-1)),""))))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M870" s="2">
        <f>IF(C870="","",IFERROR(INDEX($S$5:$S$304,MATCH(C870,$R$5:$R$304,0))&amp;"","?"))</f>
        <v/>
      </c>
      <c r="N870" s="2">
        <f>IF(E870="","",IF(LEFT(E870,7)="SUBSOLO",-1,IF(LEFT(E870,6)="TÉRREO",0,IFERROR(VALUE(LEFT(E870,FIND("º",SUBSTITUTE(E870,"°","º"))-1)),""))))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M871" s="2">
        <f>IF(C871="","",IFERROR(INDEX($S$5:$S$304,MATCH(C871,$R$5:$R$304,0))&amp;"","?"))</f>
        <v/>
      </c>
      <c r="N871" s="2">
        <f>IF(E871="","",IF(LEFT(E871,7)="SUBSOLO",-1,IF(LEFT(E871,6)="TÉRREO",0,IFERROR(VALUE(LEFT(E871,FIND("º",SUBSTITUTE(E871,"°","º"))-1)),""))))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M872" s="2">
        <f>IF(C872="","",IFERROR(INDEX($S$5:$S$304,MATCH(C872,$R$5:$R$304,0))&amp;"","?"))</f>
        <v/>
      </c>
      <c r="N872" s="2">
        <f>IF(E872="","",IF(LEFT(E872,7)="SUBSOLO",-1,IF(LEFT(E872,6)="TÉRREO",0,IFERROR(VALUE(LEFT(E872,FIND("º",SUBSTITUTE(E872,"°","º"))-1)),""))))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M873" s="2">
        <f>IF(C873="","",IFERROR(INDEX($S$5:$S$304,MATCH(C873,$R$5:$R$304,0))&amp;"","?"))</f>
        <v/>
      </c>
      <c r="N873" s="2">
        <f>IF(E873="","",IF(LEFT(E873,7)="SUBSOLO",-1,IF(LEFT(E873,6)="TÉRREO",0,IFERROR(VALUE(LEFT(E873,FIND("º",SUBSTITUTE(E873,"°","º"))-1)),""))))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M874" s="2">
        <f>IF(C874="","",IFERROR(INDEX($S$5:$S$304,MATCH(C874,$R$5:$R$304,0))&amp;"","?"))</f>
        <v/>
      </c>
      <c r="N874" s="2">
        <f>IF(E874="","",IF(LEFT(E874,7)="SUBSOLO",-1,IF(LEFT(E874,6)="TÉRREO",0,IFERROR(VALUE(LEFT(E874,FIND("º",SUBSTITUTE(E874,"°","º"))-1)),""))))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M875" s="2">
        <f>IF(C875="","",IFERROR(INDEX($S$5:$S$304,MATCH(C875,$R$5:$R$304,0))&amp;"","?"))</f>
        <v/>
      </c>
      <c r="N875" s="2">
        <f>IF(E875="","",IF(LEFT(E875,7)="SUBSOLO",-1,IF(LEFT(E875,6)="TÉRREO",0,IFERROR(VALUE(LEFT(E875,FIND("º",SUBSTITUTE(E875,"°","º"))-1)),""))))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M876" s="2">
        <f>IF(C876="","",IFERROR(INDEX($S$5:$S$304,MATCH(C876,$R$5:$R$304,0))&amp;"","?"))</f>
        <v/>
      </c>
      <c r="N876" s="2">
        <f>IF(E876="","",IF(LEFT(E876,7)="SUBSOLO",-1,IF(LEFT(E876,6)="TÉRREO",0,IFERROR(VALUE(LEFT(E876,FIND("º",SUBSTITUTE(E876,"°","º"))-1)),""))))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M877" s="2">
        <f>IF(C877="","",IFERROR(INDEX($S$5:$S$304,MATCH(C877,$R$5:$R$304,0))&amp;"","?"))</f>
        <v/>
      </c>
      <c r="N877" s="2">
        <f>IF(E877="","",IF(LEFT(E877,7)="SUBSOLO",-1,IF(LEFT(E877,6)="TÉRREO",0,IFERROR(VALUE(LEFT(E877,FIND("º",SUBSTITUTE(E877,"°","º"))-1)),""))))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M878" s="2">
        <f>IF(C878="","",IFERROR(INDEX($S$5:$S$304,MATCH(C878,$R$5:$R$304,0))&amp;"","?"))</f>
        <v/>
      </c>
      <c r="N878" s="2">
        <f>IF(E878="","",IF(LEFT(E878,7)="SUBSOLO",-1,IF(LEFT(E878,6)="TÉRREO",0,IFERROR(VALUE(LEFT(E878,FIND("º",SUBSTITUTE(E878,"°","º"))-1)),""))))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M879" s="2">
        <f>IF(C879="","",IFERROR(INDEX($S$5:$S$304,MATCH(C879,$R$5:$R$304,0))&amp;"","?"))</f>
        <v/>
      </c>
      <c r="N879" s="2">
        <f>IF(E879="","",IF(LEFT(E879,7)="SUBSOLO",-1,IF(LEFT(E879,6)="TÉRREO",0,IFERROR(VALUE(LEFT(E879,FIND("º",SUBSTITUTE(E879,"°","º"))-1)),""))))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M880" s="2">
        <f>IF(C880="","",IFERROR(INDEX($S$5:$S$304,MATCH(C880,$R$5:$R$304,0))&amp;"","?"))</f>
        <v/>
      </c>
      <c r="N880" s="2">
        <f>IF(E880="","",IF(LEFT(E880,7)="SUBSOLO",-1,IF(LEFT(E880,6)="TÉRREO",0,IFERROR(VALUE(LEFT(E880,FIND("º",SUBSTITUTE(E880,"°","º"))-1)),""))))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M881" s="2">
        <f>IF(C881="","",IFERROR(INDEX($S$5:$S$304,MATCH(C881,$R$5:$R$304,0))&amp;"","?"))</f>
        <v/>
      </c>
      <c r="N881" s="2">
        <f>IF(E881="","",IF(LEFT(E881,7)="SUBSOLO",-1,IF(LEFT(E881,6)="TÉRREO",0,IFERROR(VALUE(LEFT(E881,FIND("º",SUBSTITUTE(E881,"°","º"))-1)),""))))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M882" s="2">
        <f>IF(C882="","",IFERROR(INDEX($S$5:$S$304,MATCH(C882,$R$5:$R$304,0))&amp;"","?"))</f>
        <v/>
      </c>
      <c r="N882" s="2">
        <f>IF(E882="","",IF(LEFT(E882,7)="SUBSOLO",-1,IF(LEFT(E882,6)="TÉRREO",0,IFERROR(VALUE(LEFT(E882,FIND("º",SUBSTITUTE(E882,"°","º"))-1)),""))))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M883" s="2">
        <f>IF(C883="","",IFERROR(INDEX($S$5:$S$304,MATCH(C883,$R$5:$R$304,0))&amp;"","?"))</f>
        <v/>
      </c>
      <c r="N883" s="2">
        <f>IF(E883="","",IF(LEFT(E883,7)="SUBSOLO",-1,IF(LEFT(E883,6)="TÉRREO",0,IFERROR(VALUE(LEFT(E883,FIND("º",SUBSTITUTE(E883,"°","º"))-1)),""))))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M884" s="2">
        <f>IF(C884="","",IFERROR(INDEX($S$5:$S$304,MATCH(C884,$R$5:$R$304,0))&amp;"","?"))</f>
        <v/>
      </c>
      <c r="N884" s="2">
        <f>IF(E884="","",IF(LEFT(E884,7)="SUBSOLO",-1,IF(LEFT(E884,6)="TÉRREO",0,IFERROR(VALUE(LEFT(E884,FIND("º",SUBSTITUTE(E884,"°","º"))-1)),""))))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M885" s="2">
        <f>IF(C885="","",IFERROR(INDEX($S$5:$S$304,MATCH(C885,$R$5:$R$304,0))&amp;"","?"))</f>
        <v/>
      </c>
      <c r="N885" s="2">
        <f>IF(E885="","",IF(LEFT(E885,7)="SUBSOLO",-1,IF(LEFT(E885,6)="TÉRREO",0,IFERROR(VALUE(LEFT(E885,FIND("º",SUBSTITUTE(E885,"°","º"))-1)),""))))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M886" s="2">
        <f>IF(C886="","",IFERROR(INDEX($S$5:$S$304,MATCH(C886,$R$5:$R$304,0))&amp;"","?"))</f>
        <v/>
      </c>
      <c r="N886" s="2">
        <f>IF(E886="","",IF(LEFT(E886,7)="SUBSOLO",-1,IF(LEFT(E886,6)="TÉRREO",0,IFERROR(VALUE(LEFT(E886,FIND("º",SUBSTITUTE(E886,"°","º"))-1)),""))))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M887" s="2">
        <f>IF(C887="","",IFERROR(INDEX($S$5:$S$304,MATCH(C887,$R$5:$R$304,0))&amp;"","?"))</f>
        <v/>
      </c>
      <c r="N887" s="2">
        <f>IF(E887="","",IF(LEFT(E887,7)="SUBSOLO",-1,IF(LEFT(E887,6)="TÉRREO",0,IFERROR(VALUE(LEFT(E887,FIND("º",SUBSTITUTE(E887,"°","º"))-1)),""))))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M888" s="2">
        <f>IF(C888="","",IFERROR(INDEX($S$5:$S$304,MATCH(C888,$R$5:$R$304,0))&amp;"","?"))</f>
        <v/>
      </c>
      <c r="N888" s="2">
        <f>IF(E888="","",IF(LEFT(E888,7)="SUBSOLO",-1,IF(LEFT(E888,6)="TÉRREO",0,IFERROR(VALUE(LEFT(E888,FIND("º",SUBSTITUTE(E888,"°","º"))-1)),""))))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M889" s="2">
        <f>IF(C889="","",IFERROR(INDEX($S$5:$S$304,MATCH(C889,$R$5:$R$304,0))&amp;"","?"))</f>
        <v/>
      </c>
      <c r="N889" s="2">
        <f>IF(E889="","",IF(LEFT(E889,7)="SUBSOLO",-1,IF(LEFT(E889,6)="TÉRREO",0,IFERROR(VALUE(LEFT(E889,FIND("º",SUBSTITUTE(E889,"°","º"))-1)),""))))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M890" s="2">
        <f>IF(C890="","",IFERROR(INDEX($S$5:$S$304,MATCH(C890,$R$5:$R$304,0))&amp;"","?"))</f>
        <v/>
      </c>
      <c r="N890" s="2">
        <f>IF(E890="","",IF(LEFT(E890,7)="SUBSOLO",-1,IF(LEFT(E890,6)="TÉRREO",0,IFERROR(VALUE(LEFT(E890,FIND("º",SUBSTITUTE(E890,"°","º"))-1)),""))))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M891" s="2">
        <f>IF(C891="","",IFERROR(INDEX($S$5:$S$304,MATCH(C891,$R$5:$R$304,0))&amp;"","?"))</f>
        <v/>
      </c>
      <c r="N891" s="2">
        <f>IF(E891="","",IF(LEFT(E891,7)="SUBSOLO",-1,IF(LEFT(E891,6)="TÉRREO",0,IFERROR(VALUE(LEFT(E891,FIND("º",SUBSTITUTE(E891,"°","º"))-1)),""))))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M892" s="2">
        <f>IF(C892="","",IFERROR(INDEX($S$5:$S$304,MATCH(C892,$R$5:$R$304,0))&amp;"","?"))</f>
        <v/>
      </c>
      <c r="N892" s="2">
        <f>IF(E892="","",IF(LEFT(E892,7)="SUBSOLO",-1,IF(LEFT(E892,6)="TÉRREO",0,IFERROR(VALUE(LEFT(E892,FIND("º",SUBSTITUTE(E892,"°","º"))-1)),""))))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M893" s="2">
        <f>IF(C893="","",IFERROR(INDEX($S$5:$S$304,MATCH(C893,$R$5:$R$304,0))&amp;"","?"))</f>
        <v/>
      </c>
      <c r="N893" s="2">
        <f>IF(E893="","",IF(LEFT(E893,7)="SUBSOLO",-1,IF(LEFT(E893,6)="TÉRREO",0,IFERROR(VALUE(LEFT(E893,FIND("º",SUBSTITUTE(E893,"°","º"))-1)),""))))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M894" s="2">
        <f>IF(C894="","",IFERROR(INDEX($S$5:$S$304,MATCH(C894,$R$5:$R$304,0))&amp;"","?"))</f>
        <v/>
      </c>
      <c r="N894" s="2">
        <f>IF(E894="","",IF(LEFT(E894,7)="SUBSOLO",-1,IF(LEFT(E894,6)="TÉRREO",0,IFERROR(VALUE(LEFT(E894,FIND("º",SUBSTITUTE(E894,"°","º"))-1)),""))))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M895" s="2">
        <f>IF(C895="","",IFERROR(INDEX($S$5:$S$304,MATCH(C895,$R$5:$R$304,0))&amp;"","?"))</f>
        <v/>
      </c>
      <c r="N895" s="2">
        <f>IF(E895="","",IF(LEFT(E895,7)="SUBSOLO",-1,IF(LEFT(E895,6)="TÉRREO",0,IFERROR(VALUE(LEFT(E895,FIND("º",SUBSTITUTE(E895,"°","º"))-1)),""))))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M896" s="2">
        <f>IF(C896="","",IFERROR(INDEX($S$5:$S$304,MATCH(C896,$R$5:$R$304,0))&amp;"","?"))</f>
        <v/>
      </c>
      <c r="N896" s="2">
        <f>IF(E896="","",IF(LEFT(E896,7)="SUBSOLO",-1,IF(LEFT(E896,6)="TÉRREO",0,IFERROR(VALUE(LEFT(E896,FIND("º",SUBSTITUTE(E896,"°","º"))-1)),""))))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M897" s="2">
        <f>IF(C897="","",IFERROR(INDEX($S$5:$S$304,MATCH(C897,$R$5:$R$304,0))&amp;"","?"))</f>
        <v/>
      </c>
      <c r="N897" s="2">
        <f>IF(E897="","",IF(LEFT(E897,7)="SUBSOLO",-1,IF(LEFT(E897,6)="TÉRREO",0,IFERROR(VALUE(LEFT(E897,FIND("º",SUBSTITUTE(E897,"°","º"))-1)),""))))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M898" s="2">
        <f>IF(C898="","",IFERROR(INDEX($S$5:$S$304,MATCH(C898,$R$5:$R$304,0))&amp;"","?"))</f>
        <v/>
      </c>
      <c r="N898" s="2">
        <f>IF(E898="","",IF(LEFT(E898,7)="SUBSOLO",-1,IF(LEFT(E898,6)="TÉRREO",0,IFERROR(VALUE(LEFT(E898,FIND("º",SUBSTITUTE(E898,"°","º"))-1)),""))))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M899" s="2">
        <f>IF(C899="","",IFERROR(INDEX($S$5:$S$304,MATCH(C899,$R$5:$R$304,0))&amp;"","?"))</f>
        <v/>
      </c>
      <c r="N899" s="2">
        <f>IF(E899="","",IF(LEFT(E899,7)="SUBSOLO",-1,IF(LEFT(E899,6)="TÉRREO",0,IFERROR(VALUE(LEFT(E899,FIND("º",SUBSTITUTE(E899,"°","º"))-1)),""))))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M900" s="2">
        <f>IF(C900="","",IFERROR(INDEX($S$5:$S$304,MATCH(C900,$R$5:$R$304,0))&amp;"","?"))</f>
        <v/>
      </c>
      <c r="N900" s="2">
        <f>IF(E900="","",IF(LEFT(E900,7)="SUBSOLO",-1,IF(LEFT(E900,6)="TÉRREO",0,IFERROR(VALUE(LEFT(E900,FIND("º",SUBSTITUTE(E900,"°","º"))-1)),""))))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M901" s="2">
        <f>IF(C901="","",IFERROR(INDEX($S$5:$S$304,MATCH(C901,$R$5:$R$304,0))&amp;"","?"))</f>
        <v/>
      </c>
      <c r="N901" s="2">
        <f>IF(E901="","",IF(LEFT(E901,7)="SUBSOLO",-1,IF(LEFT(E901,6)="TÉRREO",0,IFERROR(VALUE(LEFT(E901,FIND("º",SUBSTITUTE(E901,"°","º"))-1)),""))))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M902" s="2">
        <f>IF(C902="","",IFERROR(INDEX($S$5:$S$304,MATCH(C902,$R$5:$R$304,0))&amp;"","?"))</f>
        <v/>
      </c>
      <c r="N902" s="2">
        <f>IF(E902="","",IF(LEFT(E902,7)="SUBSOLO",-1,IF(LEFT(E902,6)="TÉRREO",0,IFERROR(VALUE(LEFT(E902,FIND("º",SUBSTITUTE(E902,"°","º"))-1)),""))))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M903" s="2">
        <f>IF(C903="","",IFERROR(INDEX($S$5:$S$304,MATCH(C903,$R$5:$R$304,0))&amp;"","?"))</f>
        <v/>
      </c>
      <c r="N903" s="2">
        <f>IF(E903="","",IF(LEFT(E903,7)="SUBSOLO",-1,IF(LEFT(E903,6)="TÉRREO",0,IFERROR(VALUE(LEFT(E903,FIND("º",SUBSTITUTE(E903,"°","º"))-1)),""))))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M904" s="2">
        <f>IF(C904="","",IFERROR(INDEX($S$5:$S$304,MATCH(C904,$R$5:$R$304,0))&amp;"","?"))</f>
        <v/>
      </c>
      <c r="N904" s="2">
        <f>IF(E904="","",IF(LEFT(E904,7)="SUBSOLO",-1,IF(LEFT(E904,6)="TÉRREO",0,IFERROR(VALUE(LEFT(E904,FIND("º",SUBSTITUTE(E904,"°","º"))-1)),""))))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M905" s="2">
        <f>IF(C905="","",IFERROR(INDEX($S$5:$S$304,MATCH(C905,$R$5:$R$304,0))&amp;"","?"))</f>
        <v/>
      </c>
      <c r="N905" s="2">
        <f>IF(E905="","",IF(LEFT(E905,7)="SUBSOLO",-1,IF(LEFT(E905,6)="TÉRREO",0,IFERROR(VALUE(LEFT(E905,FIND("º",SUBSTITUTE(E905,"°","º"))-1)),""))))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M906" s="2">
        <f>IF(C906="","",IFERROR(INDEX($S$5:$S$304,MATCH(C906,$R$5:$R$304,0))&amp;"","?"))</f>
        <v/>
      </c>
      <c r="N906" s="2">
        <f>IF(E906="","",IF(LEFT(E906,7)="SUBSOLO",-1,IF(LEFT(E906,6)="TÉRREO",0,IFERROR(VALUE(LEFT(E906,FIND("º",SUBSTITUTE(E906,"°","º"))-1)),""))))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M907" s="2">
        <f>IF(C907="","",IFERROR(INDEX($S$5:$S$304,MATCH(C907,$R$5:$R$304,0))&amp;"","?"))</f>
        <v/>
      </c>
      <c r="N907" s="2">
        <f>IF(E907="","",IF(LEFT(E907,7)="SUBSOLO",-1,IF(LEFT(E907,6)="TÉRREO",0,IFERROR(VALUE(LEFT(E907,FIND("º",SUBSTITUTE(E907,"°","º"))-1)),""))))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M908" s="2">
        <f>IF(C908="","",IFERROR(INDEX($S$5:$S$304,MATCH(C908,$R$5:$R$304,0))&amp;"","?"))</f>
        <v/>
      </c>
      <c r="N908" s="2">
        <f>IF(E908="","",IF(LEFT(E908,7)="SUBSOLO",-1,IF(LEFT(E908,6)="TÉRREO",0,IFERROR(VALUE(LEFT(E908,FIND("º",SUBSTITUTE(E908,"°","º"))-1)),""))))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M909" s="2">
        <f>IF(C909="","",IFERROR(INDEX($S$5:$S$304,MATCH(C909,$R$5:$R$304,0))&amp;"","?"))</f>
        <v/>
      </c>
      <c r="N909" s="2">
        <f>IF(E909="","",IF(LEFT(E909,7)="SUBSOLO",-1,IF(LEFT(E909,6)="TÉRREO",0,IFERROR(VALUE(LEFT(E909,FIND("º",SUBSTITUTE(E909,"°","º"))-1)),""))))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M910" s="2">
        <f>IF(C910="","",IFERROR(INDEX($S$5:$S$304,MATCH(C910,$R$5:$R$304,0))&amp;"","?"))</f>
        <v/>
      </c>
      <c r="N910" s="2">
        <f>IF(E910="","",IF(LEFT(E910,7)="SUBSOLO",-1,IF(LEFT(E910,6)="TÉRREO",0,IFERROR(VALUE(LEFT(E910,FIND("º",SUBSTITUTE(E910,"°","º"))-1)),""))))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M911" s="2">
        <f>IF(C911="","",IFERROR(INDEX($S$5:$S$304,MATCH(C911,$R$5:$R$304,0))&amp;"","?"))</f>
        <v/>
      </c>
      <c r="N911" s="2">
        <f>IF(E911="","",IF(LEFT(E911,7)="SUBSOLO",-1,IF(LEFT(E911,6)="TÉRREO",0,IFERROR(VALUE(LEFT(E911,FIND("º",SUBSTITUTE(E911,"°","º"))-1)),""))))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M912" s="2">
        <f>IF(C912="","",IFERROR(INDEX($S$5:$S$304,MATCH(C912,$R$5:$R$304,0))&amp;"","?"))</f>
        <v/>
      </c>
      <c r="N912" s="2">
        <f>IF(E912="","",IF(LEFT(E912,7)="SUBSOLO",-1,IF(LEFT(E912,6)="TÉRREO",0,IFERROR(VALUE(LEFT(E912,FIND("º",SUBSTITUTE(E912,"°","º"))-1)),""))))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M913" s="2">
        <f>IF(C913="","",IFERROR(INDEX($S$5:$S$304,MATCH(C913,$R$5:$R$304,0))&amp;"","?"))</f>
        <v/>
      </c>
      <c r="N913" s="2">
        <f>IF(E913="","",IF(LEFT(E913,7)="SUBSOLO",-1,IF(LEFT(E913,6)="TÉRREO",0,IFERROR(VALUE(LEFT(E913,FIND("º",SUBSTITUTE(E913,"°","º"))-1)),""))))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M914" s="2">
        <f>IF(C914="","",IFERROR(INDEX($S$5:$S$304,MATCH(C914,$R$5:$R$304,0))&amp;"","?"))</f>
        <v/>
      </c>
      <c r="N914" s="2">
        <f>IF(E914="","",IF(LEFT(E914,7)="SUBSOLO",-1,IF(LEFT(E914,6)="TÉRREO",0,IFERROR(VALUE(LEFT(E914,FIND("º",SUBSTITUTE(E914,"°","º"))-1)),""))))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M915" s="2">
        <f>IF(C915="","",IFERROR(INDEX($S$5:$S$304,MATCH(C915,$R$5:$R$304,0))&amp;"","?"))</f>
        <v/>
      </c>
      <c r="N915" s="2">
        <f>IF(E915="","",IF(LEFT(E915,7)="SUBSOLO",-1,IF(LEFT(E915,6)="TÉRREO",0,IFERROR(VALUE(LEFT(E915,FIND("º",SUBSTITUTE(E915,"°","º"))-1)),""))))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M916" s="2">
        <f>IF(C916="","",IFERROR(INDEX($S$5:$S$304,MATCH(C916,$R$5:$R$304,0))&amp;"","?"))</f>
        <v/>
      </c>
      <c r="N916" s="2">
        <f>IF(E916="","",IF(LEFT(E916,7)="SUBSOLO",-1,IF(LEFT(E916,6)="TÉRREO",0,IFERROR(VALUE(LEFT(E916,FIND("º",SUBSTITUTE(E916,"°","º"))-1)),""))))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M917" s="2">
        <f>IF(C917="","",IFERROR(INDEX($S$5:$S$304,MATCH(C917,$R$5:$R$304,0))&amp;"","?"))</f>
        <v/>
      </c>
      <c r="N917" s="2">
        <f>IF(E917="","",IF(LEFT(E917,7)="SUBSOLO",-1,IF(LEFT(E917,6)="TÉRREO",0,IFERROR(VALUE(LEFT(E917,FIND("º",SUBSTITUTE(E917,"°","º"))-1)),""))))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M918" s="2">
        <f>IF(C918="","",IFERROR(INDEX($S$5:$S$304,MATCH(C918,$R$5:$R$304,0))&amp;"","?"))</f>
        <v/>
      </c>
      <c r="N918" s="2">
        <f>IF(E918="","",IF(LEFT(E918,7)="SUBSOLO",-1,IF(LEFT(E918,6)="TÉRREO",0,IFERROR(VALUE(LEFT(E918,FIND("º",SUBSTITUTE(E918,"°","º"))-1)),""))))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M919" s="2">
        <f>IF(C919="","",IFERROR(INDEX($S$5:$S$304,MATCH(C919,$R$5:$R$304,0))&amp;"","?"))</f>
        <v/>
      </c>
      <c r="N919" s="2">
        <f>IF(E919="","",IF(LEFT(E919,7)="SUBSOLO",-1,IF(LEFT(E919,6)="TÉRREO",0,IFERROR(VALUE(LEFT(E919,FIND("º",SUBSTITUTE(E919,"°","º"))-1)),""))))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M920" s="2">
        <f>IF(C920="","",IFERROR(INDEX($S$5:$S$304,MATCH(C920,$R$5:$R$304,0))&amp;"","?"))</f>
        <v/>
      </c>
      <c r="N920" s="2">
        <f>IF(E920="","",IF(LEFT(E920,7)="SUBSOLO",-1,IF(LEFT(E920,6)="TÉRREO",0,IFERROR(VALUE(LEFT(E920,FIND("º",SUBSTITUTE(E920,"°","º"))-1)),""))))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M921" s="2">
        <f>IF(C921="","",IFERROR(INDEX($S$5:$S$304,MATCH(C921,$R$5:$R$304,0))&amp;"","?"))</f>
        <v/>
      </c>
      <c r="N921" s="2">
        <f>IF(E921="","",IF(LEFT(E921,7)="SUBSOLO",-1,IF(LEFT(E921,6)="TÉRREO",0,IFERROR(VALUE(LEFT(E921,FIND("º",SUBSTITUTE(E921,"°","º"))-1)),""))))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M922" s="2">
        <f>IF(C922="","",IFERROR(INDEX($S$5:$S$304,MATCH(C922,$R$5:$R$304,0))&amp;"","?"))</f>
        <v/>
      </c>
      <c r="N922" s="2">
        <f>IF(E922="","",IF(LEFT(E922,7)="SUBSOLO",-1,IF(LEFT(E922,6)="TÉRREO",0,IFERROR(VALUE(LEFT(E922,FIND("º",SUBSTITUTE(E922,"°","º"))-1)),""))))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M923" s="2">
        <f>IF(C923="","",IFERROR(INDEX($S$5:$S$304,MATCH(C923,$R$5:$R$304,0))&amp;"","?"))</f>
        <v/>
      </c>
      <c r="N923" s="2">
        <f>IF(E923="","",IF(LEFT(E923,7)="SUBSOLO",-1,IF(LEFT(E923,6)="TÉRREO",0,IFERROR(VALUE(LEFT(E923,FIND("º",SUBSTITUTE(E923,"°","º"))-1)),""))))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M924" s="2">
        <f>IF(C924="","",IFERROR(INDEX($S$5:$S$304,MATCH(C924,$R$5:$R$304,0))&amp;"","?"))</f>
        <v/>
      </c>
      <c r="N924" s="2">
        <f>IF(E924="","",IF(LEFT(E924,7)="SUBSOLO",-1,IF(LEFT(E924,6)="TÉRREO",0,IFERROR(VALUE(LEFT(E924,FIND("º",SUBSTITUTE(E924,"°","º"))-1)),""))))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M925" s="2">
        <f>IF(C925="","",IFERROR(INDEX($S$5:$S$304,MATCH(C925,$R$5:$R$304,0))&amp;"","?"))</f>
        <v/>
      </c>
      <c r="N925" s="2">
        <f>IF(E925="","",IF(LEFT(E925,7)="SUBSOLO",-1,IF(LEFT(E925,6)="TÉRREO",0,IFERROR(VALUE(LEFT(E925,FIND("º",SUBSTITUTE(E925,"°","º"))-1)),""))))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M926" s="2">
        <f>IF(C926="","",IFERROR(INDEX($S$5:$S$304,MATCH(C926,$R$5:$R$304,0))&amp;"","?"))</f>
        <v/>
      </c>
      <c r="N926" s="2">
        <f>IF(E926="","",IF(LEFT(E926,7)="SUBSOLO",-1,IF(LEFT(E926,6)="TÉRREO",0,IFERROR(VALUE(LEFT(E926,FIND("º",SUBSTITUTE(E926,"°","º"))-1)),""))))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M927" s="2">
        <f>IF(C927="","",IFERROR(INDEX($S$5:$S$304,MATCH(C927,$R$5:$R$304,0))&amp;"","?"))</f>
        <v/>
      </c>
      <c r="N927" s="2">
        <f>IF(E927="","",IF(LEFT(E927,7)="SUBSOLO",-1,IF(LEFT(E927,6)="TÉRREO",0,IFERROR(VALUE(LEFT(E927,FIND("º",SUBSTITUTE(E927,"°","º"))-1)),""))))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M928" s="2">
        <f>IF(C928="","",IFERROR(INDEX($S$5:$S$304,MATCH(C928,$R$5:$R$304,0))&amp;"","?"))</f>
        <v/>
      </c>
      <c r="N928" s="2">
        <f>IF(E928="","",IF(LEFT(E928,7)="SUBSOLO",-1,IF(LEFT(E928,6)="TÉRREO",0,IFERROR(VALUE(LEFT(E928,FIND("º",SUBSTITUTE(E928,"°","º"))-1)),""))))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M929" s="2">
        <f>IF(C929="","",IFERROR(INDEX($S$5:$S$304,MATCH(C929,$R$5:$R$304,0))&amp;"","?"))</f>
        <v/>
      </c>
      <c r="N929" s="2">
        <f>IF(E929="","",IF(LEFT(E929,7)="SUBSOLO",-1,IF(LEFT(E929,6)="TÉRREO",0,IFERROR(VALUE(LEFT(E929,FIND("º",SUBSTITUTE(E929,"°","º"))-1)),""))))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M930" s="2">
        <f>IF(C930="","",IFERROR(INDEX($S$5:$S$304,MATCH(C930,$R$5:$R$304,0))&amp;"","?"))</f>
        <v/>
      </c>
      <c r="N930" s="2">
        <f>IF(E930="","",IF(LEFT(E930,7)="SUBSOLO",-1,IF(LEFT(E930,6)="TÉRREO",0,IFERROR(VALUE(LEFT(E930,FIND("º",SUBSTITUTE(E930,"°","º"))-1)),""))))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M931" s="2">
        <f>IF(C931="","",IFERROR(INDEX($S$5:$S$304,MATCH(C931,$R$5:$R$304,0))&amp;"","?"))</f>
        <v/>
      </c>
      <c r="N931" s="2">
        <f>IF(E931="","",IF(LEFT(E931,7)="SUBSOLO",-1,IF(LEFT(E931,6)="TÉRREO",0,IFERROR(VALUE(LEFT(E931,FIND("º",SUBSTITUTE(E931,"°","º"))-1)),""))))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M932" s="2">
        <f>IF(C932="","",IFERROR(INDEX($S$5:$S$304,MATCH(C932,$R$5:$R$304,0))&amp;"","?"))</f>
        <v/>
      </c>
      <c r="N932" s="2">
        <f>IF(E932="","",IF(LEFT(E932,7)="SUBSOLO",-1,IF(LEFT(E932,6)="TÉRREO",0,IFERROR(VALUE(LEFT(E932,FIND("º",SUBSTITUTE(E932,"°","º"))-1)),""))))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M933" s="2">
        <f>IF(C933="","",IFERROR(INDEX($S$5:$S$304,MATCH(C933,$R$5:$R$304,0))&amp;"","?"))</f>
        <v/>
      </c>
      <c r="N933" s="2">
        <f>IF(E933="","",IF(LEFT(E933,7)="SUBSOLO",-1,IF(LEFT(E933,6)="TÉRREO",0,IFERROR(VALUE(LEFT(E933,FIND("º",SUBSTITUTE(E933,"°","º"))-1)),""))))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M934" s="2">
        <f>IF(C934="","",IFERROR(INDEX($S$5:$S$304,MATCH(C934,$R$5:$R$304,0))&amp;"","?"))</f>
        <v/>
      </c>
      <c r="N934" s="2">
        <f>IF(E934="","",IF(LEFT(E934,7)="SUBSOLO",-1,IF(LEFT(E934,6)="TÉRREO",0,IFERROR(VALUE(LEFT(E934,FIND("º",SUBSTITUTE(E934,"°","º"))-1)),""))))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M935" s="2">
        <f>IF(C935="","",IFERROR(INDEX($S$5:$S$304,MATCH(C935,$R$5:$R$304,0))&amp;"","?"))</f>
        <v/>
      </c>
      <c r="N935" s="2">
        <f>IF(E935="","",IF(LEFT(E935,7)="SUBSOLO",-1,IF(LEFT(E935,6)="TÉRREO",0,IFERROR(VALUE(LEFT(E935,FIND("º",SUBSTITUTE(E935,"°","º"))-1)),""))))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M936" s="2">
        <f>IF(C936="","",IFERROR(INDEX($S$5:$S$304,MATCH(C936,$R$5:$R$304,0))&amp;"","?"))</f>
        <v/>
      </c>
      <c r="N936" s="2">
        <f>IF(E936="","",IF(LEFT(E936,7)="SUBSOLO",-1,IF(LEFT(E936,6)="TÉRREO",0,IFERROR(VALUE(LEFT(E936,FIND("º",SUBSTITUTE(E936,"°","º"))-1)),""))))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M937" s="2">
        <f>IF(C937="","",IFERROR(INDEX($S$5:$S$304,MATCH(C937,$R$5:$R$304,0))&amp;"","?"))</f>
        <v/>
      </c>
      <c r="N937" s="2">
        <f>IF(E937="","",IF(LEFT(E937,7)="SUBSOLO",-1,IF(LEFT(E937,6)="TÉRREO",0,IFERROR(VALUE(LEFT(E937,FIND("º",SUBSTITUTE(E937,"°","º"))-1)),""))))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M938" s="2">
        <f>IF(C938="","",IFERROR(INDEX($S$5:$S$304,MATCH(C938,$R$5:$R$304,0))&amp;"","?"))</f>
        <v/>
      </c>
      <c r="N938" s="2">
        <f>IF(E938="","",IF(LEFT(E938,7)="SUBSOLO",-1,IF(LEFT(E938,6)="TÉRREO",0,IFERROR(VALUE(LEFT(E938,FIND("º",SUBSTITUTE(E938,"°","º"))-1)),""))))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M939" s="2">
        <f>IF(C939="","",IFERROR(INDEX($S$5:$S$304,MATCH(C939,$R$5:$R$304,0))&amp;"","?"))</f>
        <v/>
      </c>
      <c r="N939" s="2">
        <f>IF(E939="","",IF(LEFT(E939,7)="SUBSOLO",-1,IF(LEFT(E939,6)="TÉRREO",0,IFERROR(VALUE(LEFT(E939,FIND("º",SUBSTITUTE(E939,"°","º"))-1)),""))))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M940" s="2">
        <f>IF(C940="","",IFERROR(INDEX($S$5:$S$304,MATCH(C940,$R$5:$R$304,0))&amp;"","?"))</f>
        <v/>
      </c>
      <c r="N940" s="2">
        <f>IF(E940="","",IF(LEFT(E940,7)="SUBSOLO",-1,IF(LEFT(E940,6)="TÉRREO",0,IFERROR(VALUE(LEFT(E940,FIND("º",SUBSTITUTE(E940,"°","º"))-1)),""))))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M941" s="2">
        <f>IF(C941="","",IFERROR(INDEX($S$5:$S$304,MATCH(C941,$R$5:$R$304,0))&amp;"","?"))</f>
        <v/>
      </c>
      <c r="N941" s="2">
        <f>IF(E941="","",IF(LEFT(E941,7)="SUBSOLO",-1,IF(LEFT(E941,6)="TÉRREO",0,IFERROR(VALUE(LEFT(E941,FIND("º",SUBSTITUTE(E941,"°","º"))-1)),""))))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M942" s="2">
        <f>IF(C942="","",IFERROR(INDEX($S$5:$S$304,MATCH(C942,$R$5:$R$304,0))&amp;"","?"))</f>
        <v/>
      </c>
      <c r="N942" s="2">
        <f>IF(E942="","",IF(LEFT(E942,7)="SUBSOLO",-1,IF(LEFT(E942,6)="TÉRREO",0,IFERROR(VALUE(LEFT(E942,FIND("º",SUBSTITUTE(E942,"°","º"))-1)),""))))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M943" s="2">
        <f>IF(C943="","",IFERROR(INDEX($S$5:$S$304,MATCH(C943,$R$5:$R$304,0))&amp;"","?"))</f>
        <v/>
      </c>
      <c r="N943" s="2">
        <f>IF(E943="","",IF(LEFT(E943,7)="SUBSOLO",-1,IF(LEFT(E943,6)="TÉRREO",0,IFERROR(VALUE(LEFT(E943,FIND("º",SUBSTITUTE(E943,"°","º"))-1)),""))))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M944" s="2">
        <f>IF(C944="","",IFERROR(INDEX($S$5:$S$304,MATCH(C944,$R$5:$R$304,0))&amp;"","?"))</f>
        <v/>
      </c>
      <c r="N944" s="2">
        <f>IF(E944="","",IF(LEFT(E944,7)="SUBSOLO",-1,IF(LEFT(E944,6)="TÉRREO",0,IFERROR(VALUE(LEFT(E944,FIND("º",SUBSTITUTE(E944,"°","º"))-1)),""))))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M945" s="2">
        <f>IF(C945="","",IFERROR(INDEX($S$5:$S$304,MATCH(C945,$R$5:$R$304,0))&amp;"","?"))</f>
        <v/>
      </c>
      <c r="N945" s="2">
        <f>IF(E945="","",IF(LEFT(E945,7)="SUBSOLO",-1,IF(LEFT(E945,6)="TÉRREO",0,IFERROR(VALUE(LEFT(E945,FIND("º",SUBSTITUTE(E945,"°","º"))-1)),""))))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M946" s="2">
        <f>IF(C946="","",IFERROR(INDEX($S$5:$S$304,MATCH(C946,$R$5:$R$304,0))&amp;"","?"))</f>
        <v/>
      </c>
      <c r="N946" s="2">
        <f>IF(E946="","",IF(LEFT(E946,7)="SUBSOLO",-1,IF(LEFT(E946,6)="TÉRREO",0,IFERROR(VALUE(LEFT(E946,FIND("º",SUBSTITUTE(E946,"°","º"))-1)),""))))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M947" s="2">
        <f>IF(C947="","",IFERROR(INDEX($S$5:$S$304,MATCH(C947,$R$5:$R$304,0))&amp;"","?"))</f>
        <v/>
      </c>
      <c r="N947" s="2">
        <f>IF(E947="","",IF(LEFT(E947,7)="SUBSOLO",-1,IF(LEFT(E947,6)="TÉRREO",0,IFERROR(VALUE(LEFT(E947,FIND("º",SUBSTITUTE(E947,"°","º"))-1)),""))))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M948" s="2">
        <f>IF(C948="","",IFERROR(INDEX($S$5:$S$304,MATCH(C948,$R$5:$R$304,0))&amp;"","?"))</f>
        <v/>
      </c>
      <c r="N948" s="2">
        <f>IF(E948="","",IF(LEFT(E948,7)="SUBSOLO",-1,IF(LEFT(E948,6)="TÉRREO",0,IFERROR(VALUE(LEFT(E948,FIND("º",SUBSTITUTE(E948,"°","º"))-1)),""))))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M949" s="2">
        <f>IF(C949="","",IFERROR(INDEX($S$5:$S$304,MATCH(C949,$R$5:$R$304,0))&amp;"","?"))</f>
        <v/>
      </c>
      <c r="N949" s="2">
        <f>IF(E949="","",IF(LEFT(E949,7)="SUBSOLO",-1,IF(LEFT(E949,6)="TÉRREO",0,IFERROR(VALUE(LEFT(E949,FIND("º",SUBSTITUTE(E949,"°","º"))-1)),""))))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M950" s="2">
        <f>IF(C950="","",IFERROR(INDEX($S$5:$S$304,MATCH(C950,$R$5:$R$304,0))&amp;"","?"))</f>
        <v/>
      </c>
      <c r="N950" s="2">
        <f>IF(E950="","",IF(LEFT(E950,7)="SUBSOLO",-1,IF(LEFT(E950,6)="TÉRREO",0,IFERROR(VALUE(LEFT(E950,FIND("º",SUBSTITUTE(E950,"°","º"))-1)),""))))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M951" s="2">
        <f>IF(C951="","",IFERROR(INDEX($S$5:$S$304,MATCH(C951,$R$5:$R$304,0))&amp;"","?"))</f>
        <v/>
      </c>
      <c r="N951" s="2">
        <f>IF(E951="","",IF(LEFT(E951,7)="SUBSOLO",-1,IF(LEFT(E951,6)="TÉRREO",0,IFERROR(VALUE(LEFT(E951,FIND("º",SUBSTITUTE(E951,"°","º"))-1)),""))))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M952" s="2">
        <f>IF(C952="","",IFERROR(INDEX($S$5:$S$304,MATCH(C952,$R$5:$R$304,0))&amp;"","?"))</f>
        <v/>
      </c>
      <c r="N952" s="2">
        <f>IF(E952="","",IF(LEFT(E952,7)="SUBSOLO",-1,IF(LEFT(E952,6)="TÉRREO",0,IFERROR(VALUE(LEFT(E952,FIND("º",SUBSTITUTE(E952,"°","º"))-1)),""))))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M953" s="2">
        <f>IF(C953="","",IFERROR(INDEX($S$5:$S$304,MATCH(C953,$R$5:$R$304,0))&amp;"","?"))</f>
        <v/>
      </c>
      <c r="N953" s="2">
        <f>IF(E953="","",IF(LEFT(E953,7)="SUBSOLO",-1,IF(LEFT(E953,6)="TÉRREO",0,IFERROR(VALUE(LEFT(E953,FIND("º",SUBSTITUTE(E953,"°","º"))-1)),""))))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M954" s="2">
        <f>IF(C954="","",IFERROR(INDEX($S$5:$S$304,MATCH(C954,$R$5:$R$304,0))&amp;"","?"))</f>
        <v/>
      </c>
      <c r="N954" s="2">
        <f>IF(E954="","",IF(LEFT(E954,7)="SUBSOLO",-1,IF(LEFT(E954,6)="TÉRREO",0,IFERROR(VALUE(LEFT(E954,FIND("º",SUBSTITUTE(E954,"°","º"))-1)),""))))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M955" s="2">
        <f>IF(C955="","",IFERROR(INDEX($S$5:$S$304,MATCH(C955,$R$5:$R$304,0))&amp;"","?"))</f>
        <v/>
      </c>
      <c r="N955" s="2">
        <f>IF(E955="","",IF(LEFT(E955,7)="SUBSOLO",-1,IF(LEFT(E955,6)="TÉRREO",0,IFERROR(VALUE(LEFT(E955,FIND("º",SUBSTITUTE(E955,"°","º"))-1)),""))))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M956" s="2">
        <f>IF(C956="","",IFERROR(INDEX($S$5:$S$304,MATCH(C956,$R$5:$R$304,0))&amp;"","?"))</f>
        <v/>
      </c>
      <c r="N956" s="2">
        <f>IF(E956="","",IF(LEFT(E956,7)="SUBSOLO",-1,IF(LEFT(E956,6)="TÉRREO",0,IFERROR(VALUE(LEFT(E956,FIND("º",SUBSTITUTE(E956,"°","º"))-1)),""))))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M957" s="2">
        <f>IF(C957="","",IFERROR(INDEX($S$5:$S$304,MATCH(C957,$R$5:$R$304,0))&amp;"","?"))</f>
        <v/>
      </c>
      <c r="N957" s="2">
        <f>IF(E957="","",IF(LEFT(E957,7)="SUBSOLO",-1,IF(LEFT(E957,6)="TÉRREO",0,IFERROR(VALUE(LEFT(E957,FIND("º",SUBSTITUTE(E957,"°","º"))-1)),""))))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M958" s="2">
        <f>IF(C958="","",IFERROR(INDEX($S$5:$S$304,MATCH(C958,$R$5:$R$304,0))&amp;"","?"))</f>
        <v/>
      </c>
      <c r="N958" s="2">
        <f>IF(E958="","",IF(LEFT(E958,7)="SUBSOLO",-1,IF(LEFT(E958,6)="TÉRREO",0,IFERROR(VALUE(LEFT(E958,FIND("º",SUBSTITUTE(E958,"°","º"))-1)),""))))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M959" s="2">
        <f>IF(C959="","",IFERROR(INDEX($S$5:$S$304,MATCH(C959,$R$5:$R$304,0))&amp;"","?"))</f>
        <v/>
      </c>
      <c r="N959" s="2">
        <f>IF(E959="","",IF(LEFT(E959,7)="SUBSOLO",-1,IF(LEFT(E959,6)="TÉRREO",0,IFERROR(VALUE(LEFT(E959,FIND("º",SUBSTITUTE(E959,"°","º"))-1)),""))))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M960" s="2">
        <f>IF(C960="","",IFERROR(INDEX($S$5:$S$304,MATCH(C960,$R$5:$R$304,0))&amp;"","?"))</f>
        <v/>
      </c>
      <c r="N960" s="2">
        <f>IF(E960="","",IF(LEFT(E960,7)="SUBSOLO",-1,IF(LEFT(E960,6)="TÉRREO",0,IFERROR(VALUE(LEFT(E960,FIND("º",SUBSTITUTE(E960,"°","º"))-1)),""))))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M961" s="2">
        <f>IF(C961="","",IFERROR(INDEX($S$5:$S$304,MATCH(C961,$R$5:$R$304,0))&amp;"","?"))</f>
        <v/>
      </c>
      <c r="N961" s="2">
        <f>IF(E961="","",IF(LEFT(E961,7)="SUBSOLO",-1,IF(LEFT(E961,6)="TÉRREO",0,IFERROR(VALUE(LEFT(E961,FIND("º",SUBSTITUTE(E961,"°","º"))-1)),""))))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M962" s="2">
        <f>IF(C962="","",IFERROR(INDEX($S$5:$S$304,MATCH(C962,$R$5:$R$304,0))&amp;"","?"))</f>
        <v/>
      </c>
      <c r="N962" s="2">
        <f>IF(E962="","",IF(LEFT(E962,7)="SUBSOLO",-1,IF(LEFT(E962,6)="TÉRREO",0,IFERROR(VALUE(LEFT(E962,FIND("º",SUBSTITUTE(E962,"°","º"))-1)),""))))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M963" s="2">
        <f>IF(C963="","",IFERROR(INDEX($S$5:$S$304,MATCH(C963,$R$5:$R$304,0))&amp;"","?"))</f>
        <v/>
      </c>
      <c r="N963" s="2">
        <f>IF(E963="","",IF(LEFT(E963,7)="SUBSOLO",-1,IF(LEFT(E963,6)="TÉRREO",0,IFERROR(VALUE(LEFT(E963,FIND("º",SUBSTITUTE(E963,"°","º"))-1)),""))))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M964" s="2">
        <f>IF(C964="","",IFERROR(INDEX($S$5:$S$304,MATCH(C964,$R$5:$R$304,0))&amp;"","?"))</f>
        <v/>
      </c>
      <c r="N964" s="2">
        <f>IF(E964="","",IF(LEFT(E964,7)="SUBSOLO",-1,IF(LEFT(E964,6)="TÉRREO",0,IFERROR(VALUE(LEFT(E964,FIND("º",SUBSTITUTE(E964,"°","º"))-1)),""))))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M965" s="2">
        <f>IF(C965="","",IFERROR(INDEX($S$5:$S$304,MATCH(C965,$R$5:$R$304,0))&amp;"","?"))</f>
        <v/>
      </c>
      <c r="N965" s="2">
        <f>IF(E965="","",IF(LEFT(E965,7)="SUBSOLO",-1,IF(LEFT(E965,6)="TÉRREO",0,IFERROR(VALUE(LEFT(E965,FIND("º",SUBSTITUTE(E965,"°","º"))-1)),""))))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M966" s="2">
        <f>IF(C966="","",IFERROR(INDEX($S$5:$S$304,MATCH(C966,$R$5:$R$304,0))&amp;"","?"))</f>
        <v/>
      </c>
      <c r="N966" s="2">
        <f>IF(E966="","",IF(LEFT(E966,7)="SUBSOLO",-1,IF(LEFT(E966,6)="TÉRREO",0,IFERROR(VALUE(LEFT(E966,FIND("º",SUBSTITUTE(E966,"°","º"))-1)),""))))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M967" s="2">
        <f>IF(C967="","",IFERROR(INDEX($S$5:$S$304,MATCH(C967,$R$5:$R$304,0))&amp;"","?"))</f>
        <v/>
      </c>
      <c r="N967" s="2">
        <f>IF(E967="","",IF(LEFT(E967,7)="SUBSOLO",-1,IF(LEFT(E967,6)="TÉRREO",0,IFERROR(VALUE(LEFT(E967,FIND("º",SUBSTITUTE(E967,"°","º"))-1)),""))))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M968" s="2">
        <f>IF(C968="","",IFERROR(INDEX($S$5:$S$304,MATCH(C968,$R$5:$R$304,0))&amp;"","?"))</f>
        <v/>
      </c>
      <c r="N968" s="2">
        <f>IF(E968="","",IF(LEFT(E968,7)="SUBSOLO",-1,IF(LEFT(E968,6)="TÉRREO",0,IFERROR(VALUE(LEFT(E968,FIND("º",SUBSTITUTE(E968,"°","º"))-1)),""))))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M969" s="2">
        <f>IF(C969="","",IFERROR(INDEX($S$5:$S$304,MATCH(C969,$R$5:$R$304,0))&amp;"","?"))</f>
        <v/>
      </c>
      <c r="N969" s="2">
        <f>IF(E969="","",IF(LEFT(E969,7)="SUBSOLO",-1,IF(LEFT(E969,6)="TÉRREO",0,IFERROR(VALUE(LEFT(E969,FIND("º",SUBSTITUTE(E969,"°","º"))-1)),""))))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M970" s="2">
        <f>IF(C970="","",IFERROR(INDEX($S$5:$S$304,MATCH(C970,$R$5:$R$304,0))&amp;"","?"))</f>
        <v/>
      </c>
      <c r="N970" s="2">
        <f>IF(E970="","",IF(LEFT(E970,7)="SUBSOLO",-1,IF(LEFT(E970,6)="TÉRREO",0,IFERROR(VALUE(LEFT(E970,FIND("º",SUBSTITUTE(E970,"°","º"))-1)),""))))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M971" s="2">
        <f>IF(C971="","",IFERROR(INDEX($S$5:$S$304,MATCH(C971,$R$5:$R$304,0))&amp;"","?"))</f>
        <v/>
      </c>
      <c r="N971" s="2">
        <f>IF(E971="","",IF(LEFT(E971,7)="SUBSOLO",-1,IF(LEFT(E971,6)="TÉRREO",0,IFERROR(VALUE(LEFT(E971,FIND("º",SUBSTITUTE(E971,"°","º"))-1)),""))))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M972" s="2">
        <f>IF(C972="","",IFERROR(INDEX($S$5:$S$304,MATCH(C972,$R$5:$R$304,0))&amp;"","?"))</f>
        <v/>
      </c>
      <c r="N972" s="2">
        <f>IF(E972="","",IF(LEFT(E972,7)="SUBSOLO",-1,IF(LEFT(E972,6)="TÉRREO",0,IFERROR(VALUE(LEFT(E972,FIND("º",SUBSTITUTE(E972,"°","º"))-1)),""))))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M973" s="2">
        <f>IF(C973="","",IFERROR(INDEX($S$5:$S$304,MATCH(C973,$R$5:$R$304,0))&amp;"","?"))</f>
        <v/>
      </c>
      <c r="N973" s="2">
        <f>IF(E973="","",IF(LEFT(E973,7)="SUBSOLO",-1,IF(LEFT(E973,6)="TÉRREO",0,IFERROR(VALUE(LEFT(E973,FIND("º",SUBSTITUTE(E973,"°","º"))-1)),""))))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M974" s="2">
        <f>IF(C974="","",IFERROR(INDEX($S$5:$S$304,MATCH(C974,$R$5:$R$304,0))&amp;"","?"))</f>
        <v/>
      </c>
      <c r="N974" s="2">
        <f>IF(E974="","",IF(LEFT(E974,7)="SUBSOLO",-1,IF(LEFT(E974,6)="TÉRREO",0,IFERROR(VALUE(LEFT(E974,FIND("º",SUBSTITUTE(E974,"°","º"))-1)),""))))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M975" s="2">
        <f>IF(C975="","",IFERROR(INDEX($S$5:$S$304,MATCH(C975,$R$5:$R$304,0))&amp;"","?"))</f>
        <v/>
      </c>
      <c r="N975" s="2">
        <f>IF(E975="","",IF(LEFT(E975,7)="SUBSOLO",-1,IF(LEFT(E975,6)="TÉRREO",0,IFERROR(VALUE(LEFT(E975,FIND("º",SUBSTITUTE(E975,"°","º"))-1)),""))))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M976" s="2">
        <f>IF(C976="","",IFERROR(INDEX($S$5:$S$304,MATCH(C976,$R$5:$R$304,0))&amp;"","?"))</f>
        <v/>
      </c>
      <c r="N976" s="2">
        <f>IF(E976="","",IF(LEFT(E976,7)="SUBSOLO",-1,IF(LEFT(E976,6)="TÉRREO",0,IFERROR(VALUE(LEFT(E976,FIND("º",SUBSTITUTE(E976,"°","º"))-1)),""))))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M977" s="2">
        <f>IF(C977="","",IFERROR(INDEX($S$5:$S$304,MATCH(C977,$R$5:$R$304,0))&amp;"","?"))</f>
        <v/>
      </c>
      <c r="N977" s="2">
        <f>IF(E977="","",IF(LEFT(E977,7)="SUBSOLO",-1,IF(LEFT(E977,6)="TÉRREO",0,IFERROR(VALUE(LEFT(E977,FIND("º",SUBSTITUTE(E977,"°","º"))-1)),""))))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M978" s="2">
        <f>IF(C978="","",IFERROR(INDEX($S$5:$S$304,MATCH(C978,$R$5:$R$304,0))&amp;"","?"))</f>
        <v/>
      </c>
      <c r="N978" s="2">
        <f>IF(E978="","",IF(LEFT(E978,7)="SUBSOLO",-1,IF(LEFT(E978,6)="TÉRREO",0,IFERROR(VALUE(LEFT(E978,FIND("º",SUBSTITUTE(E978,"°","º"))-1)),""))))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M979" s="2">
        <f>IF(C979="","",IFERROR(INDEX($S$5:$S$304,MATCH(C979,$R$5:$R$304,0))&amp;"","?"))</f>
        <v/>
      </c>
      <c r="N979" s="2">
        <f>IF(E979="","",IF(LEFT(E979,7)="SUBSOLO",-1,IF(LEFT(E979,6)="TÉRREO",0,IFERROR(VALUE(LEFT(E979,FIND("º",SUBSTITUTE(E979,"°","º"))-1)),""))))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M980" s="2">
        <f>IF(C980="","",IFERROR(INDEX($S$5:$S$304,MATCH(C980,$R$5:$R$304,0))&amp;"","?"))</f>
        <v/>
      </c>
      <c r="N980" s="2">
        <f>IF(E980="","",IF(LEFT(E980,7)="SUBSOLO",-1,IF(LEFT(E980,6)="TÉRREO",0,IFERROR(VALUE(LEFT(E980,FIND("º",SUBSTITUTE(E980,"°","º"))-1)),""))))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M981" s="2">
        <f>IF(C981="","",IFERROR(INDEX($S$5:$S$304,MATCH(C981,$R$5:$R$304,0))&amp;"","?"))</f>
        <v/>
      </c>
      <c r="N981" s="2">
        <f>IF(E981="","",IF(LEFT(E981,7)="SUBSOLO",-1,IF(LEFT(E981,6)="TÉRREO",0,IFERROR(VALUE(LEFT(E981,FIND("º",SUBSTITUTE(E981,"°","º"))-1)),""))))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M982" s="2">
        <f>IF(C982="","",IFERROR(INDEX($S$5:$S$304,MATCH(C982,$R$5:$R$304,0))&amp;"","?"))</f>
        <v/>
      </c>
      <c r="N982" s="2">
        <f>IF(E982="","",IF(LEFT(E982,7)="SUBSOLO",-1,IF(LEFT(E982,6)="TÉRREO",0,IFERROR(VALUE(LEFT(E982,FIND("º",SUBSTITUTE(E982,"°","º"))-1)),""))))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M983" s="2">
        <f>IF(C983="","",IFERROR(INDEX($S$5:$S$304,MATCH(C983,$R$5:$R$304,0))&amp;"","?"))</f>
        <v/>
      </c>
      <c r="N983" s="2">
        <f>IF(E983="","",IF(LEFT(E983,7)="SUBSOLO",-1,IF(LEFT(E983,6)="TÉRREO",0,IFERROR(VALUE(LEFT(E983,FIND("º",SUBSTITUTE(E983,"°","º"))-1)),""))))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M984" s="2">
        <f>IF(C984="","",IFERROR(INDEX($S$5:$S$304,MATCH(C984,$R$5:$R$304,0))&amp;"","?"))</f>
        <v/>
      </c>
      <c r="N984" s="2">
        <f>IF(E984="","",IF(LEFT(E984,7)="SUBSOLO",-1,IF(LEFT(E984,6)="TÉRREO",0,IFERROR(VALUE(LEFT(E984,FIND("º",SUBSTITUTE(E984,"°","º"))-1)),""))))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M985" s="2">
        <f>IF(C985="","",IFERROR(INDEX($S$5:$S$304,MATCH(C985,$R$5:$R$304,0))&amp;"","?"))</f>
        <v/>
      </c>
      <c r="N985" s="2">
        <f>IF(E985="","",IF(LEFT(E985,7)="SUBSOLO",-1,IF(LEFT(E985,6)="TÉRREO",0,IFERROR(VALUE(LEFT(E985,FIND("º",SUBSTITUTE(E985,"°","º"))-1)),""))))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M986" s="2">
        <f>IF(C986="","",IFERROR(INDEX($S$5:$S$304,MATCH(C986,$R$5:$R$304,0))&amp;"","?"))</f>
        <v/>
      </c>
      <c r="N986" s="2">
        <f>IF(E986="","",IF(LEFT(E986,7)="SUBSOLO",-1,IF(LEFT(E986,6)="TÉRREO",0,IFERROR(VALUE(LEFT(E986,FIND("º",SUBSTITUTE(E986,"°","º"))-1)),""))))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M987" s="2">
        <f>IF(C987="","",IFERROR(INDEX($S$5:$S$304,MATCH(C987,$R$5:$R$304,0))&amp;"","?"))</f>
        <v/>
      </c>
      <c r="N987" s="2">
        <f>IF(E987="","",IF(LEFT(E987,7)="SUBSOLO",-1,IF(LEFT(E987,6)="TÉRREO",0,IFERROR(VALUE(LEFT(E987,FIND("º",SUBSTITUTE(E987,"°","º"))-1)),""))))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M988" s="2">
        <f>IF(C988="","",IFERROR(INDEX($S$5:$S$304,MATCH(C988,$R$5:$R$304,0))&amp;"","?"))</f>
        <v/>
      </c>
      <c r="N988" s="2">
        <f>IF(E988="","",IF(LEFT(E988,7)="SUBSOLO",-1,IF(LEFT(E988,6)="TÉRREO",0,IFERROR(VALUE(LEFT(E988,FIND("º",SUBSTITUTE(E988,"°","º"))-1)),""))))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M989" s="2">
        <f>IF(C989="","",IFERROR(INDEX($S$5:$S$304,MATCH(C989,$R$5:$R$304,0))&amp;"","?"))</f>
        <v/>
      </c>
      <c r="N989" s="2">
        <f>IF(E989="","",IF(LEFT(E989,7)="SUBSOLO",-1,IF(LEFT(E989,6)="TÉRREO",0,IFERROR(VALUE(LEFT(E989,FIND("º",SUBSTITUTE(E989,"°","º"))-1)),""))))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M990" s="2">
        <f>IF(C990="","",IFERROR(INDEX($S$5:$S$304,MATCH(C990,$R$5:$R$304,0))&amp;"","?"))</f>
        <v/>
      </c>
      <c r="N990" s="2">
        <f>IF(E990="","",IF(LEFT(E990,7)="SUBSOLO",-1,IF(LEFT(E990,6)="TÉRREO",0,IFERROR(VALUE(LEFT(E990,FIND("º",SUBSTITUTE(E990,"°","º"))-1)),""))))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M991" s="2">
        <f>IF(C991="","",IFERROR(INDEX($S$5:$S$304,MATCH(C991,$R$5:$R$304,0))&amp;"","?"))</f>
        <v/>
      </c>
      <c r="N991" s="2">
        <f>IF(E991="","",IF(LEFT(E991,7)="SUBSOLO",-1,IF(LEFT(E991,6)="TÉRREO",0,IFERROR(VALUE(LEFT(E991,FIND("º",SUBSTITUTE(E991,"°","º"))-1)),""))))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M992" s="2">
        <f>IF(C992="","",IFERROR(INDEX($S$5:$S$304,MATCH(C992,$R$5:$R$304,0))&amp;"","?"))</f>
        <v/>
      </c>
      <c r="N992" s="2">
        <f>IF(E992="","",IF(LEFT(E992,7)="SUBSOLO",-1,IF(LEFT(E992,6)="TÉRREO",0,IFERROR(VALUE(LEFT(E992,FIND("º",SUBSTITUTE(E992,"°","º"))-1)),""))))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M993" s="2">
        <f>IF(C993="","",IFERROR(INDEX($S$5:$S$304,MATCH(C993,$R$5:$R$304,0))&amp;"","?"))</f>
        <v/>
      </c>
      <c r="N993" s="2">
        <f>IF(E993="","",IF(LEFT(E993,7)="SUBSOLO",-1,IF(LEFT(E993,6)="TÉRREO",0,IFERROR(VALUE(LEFT(E993,FIND("º",SUBSTITUTE(E993,"°","º"))-1)),""))))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M994" s="2">
        <f>IF(C994="","",IFERROR(INDEX($S$5:$S$304,MATCH(C994,$R$5:$R$304,0))&amp;"","?"))</f>
        <v/>
      </c>
      <c r="N994" s="2">
        <f>IF(E994="","",IF(LEFT(E994,7)="SUBSOLO",-1,IF(LEFT(E994,6)="TÉRREO",0,IFERROR(VALUE(LEFT(E994,FIND("º",SUBSTITUTE(E994,"°","º"))-1)),""))))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M995" s="2">
        <f>IF(C995="","",IFERROR(INDEX($S$5:$S$304,MATCH(C995,$R$5:$R$304,0))&amp;"","?"))</f>
        <v/>
      </c>
      <c r="N995" s="2">
        <f>IF(E995="","",IF(LEFT(E995,7)="SUBSOLO",-1,IF(LEFT(E995,6)="TÉRREO",0,IFERROR(VALUE(LEFT(E995,FIND("º",SUBSTITUTE(E995,"°","º"))-1)),""))))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M996" s="2">
        <f>IF(C996="","",IFERROR(INDEX($S$5:$S$304,MATCH(C996,$R$5:$R$304,0))&amp;"","?"))</f>
        <v/>
      </c>
      <c r="N996" s="2">
        <f>IF(E996="","",IF(LEFT(E996,7)="SUBSOLO",-1,IF(LEFT(E996,6)="TÉRREO",0,IFERROR(VALUE(LEFT(E996,FIND("º",SUBSTITUTE(E996,"°","º"))-1)),""))))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M997" s="2">
        <f>IF(C997="","",IFERROR(INDEX($S$5:$S$304,MATCH(C997,$R$5:$R$304,0))&amp;"","?"))</f>
        <v/>
      </c>
      <c r="N997" s="2">
        <f>IF(E997="","",IF(LEFT(E997,7)="SUBSOLO",-1,IF(LEFT(E997,6)="TÉRREO",0,IFERROR(VALUE(LEFT(E997,FIND("º",SUBSTITUTE(E997,"°","º"))-1)),""))))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M998" s="2">
        <f>IF(C998="","",IFERROR(INDEX($S$5:$S$304,MATCH(C998,$R$5:$R$304,0))&amp;"","?"))</f>
        <v/>
      </c>
      <c r="N998" s="2">
        <f>IF(E998="","",IF(LEFT(E998,7)="SUBSOLO",-1,IF(LEFT(E998,6)="TÉRREO",0,IFERROR(VALUE(LEFT(E998,FIND("º",SUBSTITUTE(E998,"°","º"))-1)),""))))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M999" s="2">
        <f>IF(C999="","",IFERROR(INDEX($S$5:$S$304,MATCH(C999,$R$5:$R$304,0))&amp;"","?"))</f>
        <v/>
      </c>
      <c r="N999" s="2">
        <f>IF(E999="","",IF(LEFT(E999,7)="SUBSOLO",-1,IF(LEFT(E999,6)="TÉRREO",0,IFERROR(VALUE(LEFT(E999,FIND("º",SUBSTITUTE(E999,"°","º"))-1)),""))))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M1000" s="2">
        <f>IF(C1000="","",IFERROR(INDEX($S$5:$S$304,MATCH(C1000,$R$5:$R$304,0))&amp;"","?"))</f>
        <v/>
      </c>
      <c r="N1000" s="2">
        <f>IF(E1000="","",IF(LEFT(E1000,7)="SUBSOLO",-1,IF(LEFT(E1000,6)="TÉRREO",0,IFERROR(VALUE(LEFT(E1000,FIND("º",SUBSTITUTE(E1000,"°","º"))-1)),""))))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M1001" s="2">
        <f>IF(C1001="","",IFERROR(INDEX($S$5:$S$304,MATCH(C1001,$R$5:$R$304,0))&amp;"","?"))</f>
        <v/>
      </c>
      <c r="N1001" s="2">
        <f>IF(E1001="","",IF(LEFT(E1001,7)="SUBSOLO",-1,IF(LEFT(E1001,6)="TÉRREO",0,IFERROR(VALUE(LEFT(E1001,FIND("º",SUBSTITUTE(E1001,"°","º"))-1)),""))))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M1002" s="2">
        <f>IF(C1002="","",IFERROR(INDEX($S$5:$S$304,MATCH(C1002,$R$5:$R$304,0))&amp;"","?"))</f>
        <v/>
      </c>
      <c r="N1002" s="2">
        <f>IF(E1002="","",IF(LEFT(E1002,7)="SUBSOLO",-1,IF(LEFT(E1002,6)="TÉRREO",0,IFERROR(VALUE(LEFT(E1002,FIND("º",SUBSTITUTE(E1002,"°","º"))-1)),""))))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M1003" s="2">
        <f>IF(C1003="","",IFERROR(INDEX($S$5:$S$304,MATCH(C1003,$R$5:$R$304,0))&amp;"","?"))</f>
        <v/>
      </c>
      <c r="N1003" s="2">
        <f>IF(E1003="","",IF(LEFT(E1003,7)="SUBSOLO",-1,IF(LEFT(E1003,6)="TÉRREO",0,IFERROR(VALUE(LEFT(E1003,FIND("º",SUBSTITUTE(E1003,"°","º"))-1)),""))))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M1004" s="2">
        <f>IF(C1004="","",IFERROR(INDEX($S$5:$S$304,MATCH(C1004,$R$5:$R$304,0))&amp;"","?"))</f>
        <v/>
      </c>
      <c r="N1004" s="2">
        <f>IF(E1004="","",IF(LEFT(E1004,7)="SUBSOLO",-1,IF(LEFT(E1004,6)="TÉRREO",0,IFERROR(VALUE(LEFT(E1004,FIND("º",SUBSTITUTE(E1004,"°","º"))-1)),""))))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M1005" s="2">
        <f>IF(C1005="","",IFERROR(INDEX($S$5:$S$304,MATCH(C1005,$R$5:$R$304,0))&amp;"","?"))</f>
        <v/>
      </c>
      <c r="N1005" s="2">
        <f>IF(E1005="","",IF(LEFT(E1005,7)="SUBSOLO",-1,IF(LEFT(E1005,6)="TÉRREO",0,IFERROR(VALUE(LEFT(E1005,FIND("º",SUBSTITUTE(E1005,"°","º"))-1)),""))))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M1006" s="2">
        <f>IF(C1006="","",IFERROR(INDEX($S$5:$S$304,MATCH(C1006,$R$5:$R$304,0))&amp;"","?"))</f>
        <v/>
      </c>
      <c r="N1006" s="2">
        <f>IF(E1006="","",IF(LEFT(E1006,7)="SUBSOLO",-1,IF(LEFT(E1006,6)="TÉRREO",0,IFERROR(VALUE(LEFT(E1006,FIND("º",SUBSTITUTE(E1006,"°","º"))-1)),""))))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M1007" s="2">
        <f>IF(C1007="","",IFERROR(INDEX($S$5:$S$304,MATCH(C1007,$R$5:$R$304,0))&amp;"","?"))</f>
        <v/>
      </c>
      <c r="N1007" s="2">
        <f>IF(E1007="","",IF(LEFT(E1007,7)="SUBSOLO",-1,IF(LEFT(E1007,6)="TÉRREO",0,IFERROR(VALUE(LEFT(E1007,FIND("º",SUBSTITUTE(E1007,"°","º"))-1)),""))))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M1008" s="2">
        <f>IF(C1008="","",IFERROR(INDEX($S$5:$S$304,MATCH(C1008,$R$5:$R$304,0))&amp;"","?"))</f>
        <v/>
      </c>
      <c r="N1008" s="2">
        <f>IF(E1008="","",IF(LEFT(E1008,7)="SUBSOLO",-1,IF(LEFT(E1008,6)="TÉRREO",0,IFERROR(VALUE(LEFT(E1008,FIND("º",SUBSTITUTE(E1008,"°","º"))-1)),""))))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M1009" s="2">
        <f>IF(C1009="","",IFERROR(INDEX($S$5:$S$304,MATCH(C1009,$R$5:$R$304,0))&amp;"","?"))</f>
        <v/>
      </c>
      <c r="N1009" s="2">
        <f>IF(E1009="","",IF(LEFT(E1009,7)="SUBSOLO",-1,IF(LEFT(E1009,6)="TÉRREO",0,IFERROR(VALUE(LEFT(E1009,FIND("º",SUBSTITUTE(E1009,"°","º"))-1)),""))))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M1010" s="2">
        <f>IF(C1010="","",IFERROR(INDEX($S$5:$S$304,MATCH(C1010,$R$5:$R$304,0))&amp;"","?"))</f>
        <v/>
      </c>
      <c r="N1010" s="2">
        <f>IF(E1010="","",IF(LEFT(E1010,7)="SUBSOLO",-1,IF(LEFT(E1010,6)="TÉRREO",0,IFERROR(VALUE(LEFT(E1010,FIND("º",SUBSTITUTE(E1010,"°","º"))-1)),""))))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M1011" s="2">
        <f>IF(C1011="","",IFERROR(INDEX($S$5:$S$304,MATCH(C1011,$R$5:$R$304,0))&amp;"","?"))</f>
        <v/>
      </c>
      <c r="N1011" s="2">
        <f>IF(E1011="","",IF(LEFT(E1011,7)="SUBSOLO",-1,IF(LEFT(E1011,6)="TÉRREO",0,IFERROR(VALUE(LEFT(E1011,FIND("º",SUBSTITUTE(E1011,"°","º"))-1)),""))))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M1012" s="2">
        <f>IF(C1012="","",IFERROR(INDEX($S$5:$S$304,MATCH(C1012,$R$5:$R$304,0))&amp;"","?"))</f>
        <v/>
      </c>
      <c r="N1012" s="2">
        <f>IF(E1012="","",IF(LEFT(E1012,7)="SUBSOLO",-1,IF(LEFT(E1012,6)="TÉRREO",0,IFERROR(VALUE(LEFT(E1012,FIND("º",SUBSTITUTE(E1012,"°","º"))-1)),""))))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M1013" s="2">
        <f>IF(C1013="","",IFERROR(INDEX($S$5:$S$304,MATCH(C1013,$R$5:$R$304,0))&amp;"","?"))</f>
        <v/>
      </c>
      <c r="N1013" s="2">
        <f>IF(E1013="","",IF(LEFT(E1013,7)="SUBSOLO",-1,IF(LEFT(E1013,6)="TÉRREO",0,IFERROR(VALUE(LEFT(E1013,FIND("º",SUBSTITUTE(E1013,"°","º"))-1)),""))))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M1014" s="2">
        <f>IF(C1014="","",IFERROR(INDEX($S$5:$S$304,MATCH(C1014,$R$5:$R$304,0))&amp;"","?"))</f>
        <v/>
      </c>
      <c r="N1014" s="2">
        <f>IF(E1014="","",IF(LEFT(E1014,7)="SUBSOLO",-1,IF(LEFT(E1014,6)="TÉRREO",0,IFERROR(VALUE(LEFT(E1014,FIND("º",SUBSTITUTE(E1014,"°","º"))-1)),""))))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M1015" s="2">
        <f>IF(C1015="","",IFERROR(INDEX($S$5:$S$304,MATCH(C1015,$R$5:$R$304,0))&amp;"","?"))</f>
        <v/>
      </c>
      <c r="N1015" s="2">
        <f>IF(E1015="","",IF(LEFT(E1015,7)="SUBSOLO",-1,IF(LEFT(E1015,6)="TÉRREO",0,IFERROR(VALUE(LEFT(E1015,FIND("º",SUBSTITUTE(E1015,"°","º"))-1)),""))))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M1016" s="2">
        <f>IF(C1016="","",IFERROR(INDEX($S$5:$S$304,MATCH(C1016,$R$5:$R$304,0))&amp;"","?"))</f>
        <v/>
      </c>
      <c r="N1016" s="2">
        <f>IF(E1016="","",IF(LEFT(E1016,7)="SUBSOLO",-1,IF(LEFT(E1016,6)="TÉRREO",0,IFERROR(VALUE(LEFT(E1016,FIND("º",SUBSTITUTE(E1016,"°","º"))-1)),""))))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M1017" s="2">
        <f>IF(C1017="","",IFERROR(INDEX($S$5:$S$304,MATCH(C1017,$R$5:$R$304,0))&amp;"","?"))</f>
        <v/>
      </c>
      <c r="N1017" s="2">
        <f>IF(E1017="","",IF(LEFT(E1017,7)="SUBSOLO",-1,IF(LEFT(E1017,6)="TÉRREO",0,IFERROR(VALUE(LEFT(E1017,FIND("º",SUBSTITUTE(E1017,"°","º"))-1)),""))))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M1018" s="2">
        <f>IF(C1018="","",IFERROR(INDEX($S$5:$S$304,MATCH(C1018,$R$5:$R$304,0))&amp;"","?"))</f>
        <v/>
      </c>
      <c r="N1018" s="2">
        <f>IF(E1018="","",IF(LEFT(E1018,7)="SUBSOLO",-1,IF(LEFT(E1018,6)="TÉRREO",0,IFERROR(VALUE(LEFT(E1018,FIND("º",SUBSTITUTE(E1018,"°","º"))-1)),""))))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M1019" s="2">
        <f>IF(C1019="","",IFERROR(INDEX($S$5:$S$304,MATCH(C1019,$R$5:$R$304,0))&amp;"","?"))</f>
        <v/>
      </c>
      <c r="N1019" s="2">
        <f>IF(E1019="","",IF(LEFT(E1019,7)="SUBSOLO",-1,IF(LEFT(E1019,6)="TÉRREO",0,IFERROR(VALUE(LEFT(E1019,FIND("º",SUBSTITUTE(E1019,"°","º"))-1)),""))))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M1020" s="2">
        <f>IF(C1020="","",IFERROR(INDEX($S$5:$S$304,MATCH(C1020,$R$5:$R$304,0))&amp;"","?"))</f>
        <v/>
      </c>
      <c r="N1020" s="2">
        <f>IF(E1020="","",IF(LEFT(E1020,7)="SUBSOLO",-1,IF(LEFT(E1020,6)="TÉRREO",0,IFERROR(VALUE(LEFT(E1020,FIND("º",SUBSTITUTE(E1020,"°","º"))-1)),""))))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M1021" s="2">
        <f>IF(C1021="","",IFERROR(INDEX($S$5:$S$304,MATCH(C1021,$R$5:$R$304,0))&amp;"","?"))</f>
        <v/>
      </c>
      <c r="N1021" s="2">
        <f>IF(E1021="","",IF(LEFT(E1021,7)="SUBSOLO",-1,IF(LEFT(E1021,6)="TÉRREO",0,IFERROR(VALUE(LEFT(E1021,FIND("º",SUBSTITUTE(E1021,"°","º"))-1)),""))))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M1022" s="2">
        <f>IF(C1022="","",IFERROR(INDEX($S$5:$S$304,MATCH(C1022,$R$5:$R$304,0))&amp;"","?"))</f>
        <v/>
      </c>
      <c r="N1022" s="2">
        <f>IF(E1022="","",IF(LEFT(E1022,7)="SUBSOLO",-1,IF(LEFT(E1022,6)="TÉRREO",0,IFERROR(VALUE(LEFT(E1022,FIND("º",SUBSTITUTE(E1022,"°","º"))-1)),""))))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M1023" s="2">
        <f>IF(C1023="","",IFERROR(INDEX($S$5:$S$304,MATCH(C1023,$R$5:$R$304,0))&amp;"","?"))</f>
        <v/>
      </c>
      <c r="N1023" s="2">
        <f>IF(E1023="","",IF(LEFT(E1023,7)="SUBSOLO",-1,IF(LEFT(E1023,6)="TÉRREO",0,IFERROR(VALUE(LEFT(E1023,FIND("º",SUBSTITUTE(E1023,"°","º"))-1)),""))))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M1024" s="2">
        <f>IF(C1024="","",IFERROR(INDEX($S$5:$S$304,MATCH(C1024,$R$5:$R$304,0))&amp;"","?"))</f>
        <v/>
      </c>
      <c r="N1024" s="2">
        <f>IF(E1024="","",IF(LEFT(E1024,7)="SUBSOLO",-1,IF(LEFT(E1024,6)="TÉRREO",0,IFERROR(VALUE(LEFT(E1024,FIND("º",SUBSTITUTE(E1024,"°","º"))-1)),""))))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M1025" s="2">
        <f>IF(C1025="","",IFERROR(INDEX($S$5:$S$304,MATCH(C1025,$R$5:$R$304,0))&amp;"","?"))</f>
        <v/>
      </c>
      <c r="N1025" s="2">
        <f>IF(E1025="","",IF(LEFT(E1025,7)="SUBSOLO",-1,IF(LEFT(E1025,6)="TÉRREO",0,IFERROR(VALUE(LEFT(E1025,FIND("º",SUBSTITUTE(E1025,"°","º"))-1)),""))))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M1026" s="2">
        <f>IF(C1026="","",IFERROR(INDEX($S$5:$S$304,MATCH(C1026,$R$5:$R$304,0))&amp;"","?"))</f>
        <v/>
      </c>
      <c r="N1026" s="2">
        <f>IF(E1026="","",IF(LEFT(E1026,7)="SUBSOLO",-1,IF(LEFT(E1026,6)="TÉRREO",0,IFERROR(VALUE(LEFT(E1026,FIND("º",SUBSTITUTE(E1026,"°","º"))-1)),""))))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M1027" s="2">
        <f>IF(C1027="","",IFERROR(INDEX($S$5:$S$304,MATCH(C1027,$R$5:$R$304,0))&amp;"","?"))</f>
        <v/>
      </c>
      <c r="N1027" s="2">
        <f>IF(E1027="","",IF(LEFT(E1027,7)="SUBSOLO",-1,IF(LEFT(E1027,6)="TÉRREO",0,IFERROR(VALUE(LEFT(E1027,FIND("º",SUBSTITUTE(E1027,"°","º"))-1)),""))))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M1028" s="2">
        <f>IF(C1028="","",IFERROR(INDEX($S$5:$S$304,MATCH(C1028,$R$5:$R$304,0))&amp;"","?"))</f>
        <v/>
      </c>
      <c r="N1028" s="2">
        <f>IF(E1028="","",IF(LEFT(E1028,7)="SUBSOLO",-1,IF(LEFT(E1028,6)="TÉRREO",0,IFERROR(VALUE(LEFT(E1028,FIND("º",SUBSTITUTE(E1028,"°","º"))-1)),""))))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M1029" s="2">
        <f>IF(C1029="","",IFERROR(INDEX($S$5:$S$304,MATCH(C1029,$R$5:$R$304,0))&amp;"","?"))</f>
        <v/>
      </c>
      <c r="N1029" s="2">
        <f>IF(E1029="","",IF(LEFT(E1029,7)="SUBSOLO",-1,IF(LEFT(E1029,6)="TÉRREO",0,IFERROR(VALUE(LEFT(E1029,FIND("º",SUBSTITUTE(E1029,"°","º"))-1)),""))))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M1030" s="2">
        <f>IF(C1030="","",IFERROR(INDEX($S$5:$S$304,MATCH(C1030,$R$5:$R$304,0))&amp;"","?"))</f>
        <v/>
      </c>
      <c r="N1030" s="2">
        <f>IF(E1030="","",IF(LEFT(E1030,7)="SUBSOLO",-1,IF(LEFT(E1030,6)="TÉRREO",0,IFERROR(VALUE(LEFT(E1030,FIND("º",SUBSTITUTE(E1030,"°","º"))-1)),""))))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M1031" s="2">
        <f>IF(C1031="","",IFERROR(INDEX($S$5:$S$304,MATCH(C1031,$R$5:$R$304,0))&amp;"","?"))</f>
        <v/>
      </c>
      <c r="N1031" s="2">
        <f>IF(E1031="","",IF(LEFT(E1031,7)="SUBSOLO",-1,IF(LEFT(E1031,6)="TÉRREO",0,IFERROR(VALUE(LEFT(E1031,FIND("º",SUBSTITUTE(E1031,"°","º"))-1)),""))))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M1032" s="2">
        <f>IF(C1032="","",IFERROR(INDEX($S$5:$S$304,MATCH(C1032,$R$5:$R$304,0))&amp;"","?"))</f>
        <v/>
      </c>
      <c r="N1032" s="2">
        <f>IF(E1032="","",IF(LEFT(E1032,7)="SUBSOLO",-1,IF(LEFT(E1032,6)="TÉRREO",0,IFERROR(VALUE(LEFT(E1032,FIND("º",SUBSTITUTE(E1032,"°","º"))-1)),""))))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M1033" s="2">
        <f>IF(C1033="","",IFERROR(INDEX($S$5:$S$304,MATCH(C1033,$R$5:$R$304,0))&amp;"","?"))</f>
        <v/>
      </c>
      <c r="N1033" s="2">
        <f>IF(E1033="","",IF(LEFT(E1033,7)="SUBSOLO",-1,IF(LEFT(E1033,6)="TÉRREO",0,IFERROR(VALUE(LEFT(E1033,FIND("º",SUBSTITUTE(E1033,"°","º"))-1)),""))))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M1034" s="2">
        <f>IF(C1034="","",IFERROR(INDEX($S$5:$S$304,MATCH(C1034,$R$5:$R$304,0))&amp;"","?"))</f>
        <v/>
      </c>
      <c r="N1034" s="2">
        <f>IF(E1034="","",IF(LEFT(E1034,7)="SUBSOLO",-1,IF(LEFT(E1034,6)="TÉRREO",0,IFERROR(VALUE(LEFT(E1034,FIND("º",SUBSTITUTE(E1034,"°","º"))-1)),""))))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M1035" s="2">
        <f>IF(C1035="","",IFERROR(INDEX($S$5:$S$304,MATCH(C1035,$R$5:$R$304,0))&amp;"","?"))</f>
        <v/>
      </c>
      <c r="N1035" s="2">
        <f>IF(E1035="","",IF(LEFT(E1035,7)="SUBSOLO",-1,IF(LEFT(E1035,6)="TÉRREO",0,IFERROR(VALUE(LEFT(E1035,FIND("º",SUBSTITUTE(E1035,"°","º"))-1)),""))))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M1036" s="2">
        <f>IF(C1036="","",IFERROR(INDEX($S$5:$S$304,MATCH(C1036,$R$5:$R$304,0))&amp;"","?"))</f>
        <v/>
      </c>
      <c r="N1036" s="2">
        <f>IF(E1036="","",IF(LEFT(E1036,7)="SUBSOLO",-1,IF(LEFT(E1036,6)="TÉRREO",0,IFERROR(VALUE(LEFT(E1036,FIND("º",SUBSTITUTE(E1036,"°","º"))-1)),""))))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M1037" s="2">
        <f>IF(C1037="","",IFERROR(INDEX($S$5:$S$304,MATCH(C1037,$R$5:$R$304,0))&amp;"","?"))</f>
        <v/>
      </c>
      <c r="N1037" s="2">
        <f>IF(E1037="","",IF(LEFT(E1037,7)="SUBSOLO",-1,IF(LEFT(E1037,6)="TÉRREO",0,IFERROR(VALUE(LEFT(E1037,FIND("º",SUBSTITUTE(E1037,"°","º"))-1)),""))))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M1038" s="2">
        <f>IF(C1038="","",IFERROR(INDEX($S$5:$S$304,MATCH(C1038,$R$5:$R$304,0))&amp;"","?"))</f>
        <v/>
      </c>
      <c r="N1038" s="2">
        <f>IF(E1038="","",IF(LEFT(E1038,7)="SUBSOLO",-1,IF(LEFT(E1038,6)="TÉRREO",0,IFERROR(VALUE(LEFT(E1038,FIND("º",SUBSTITUTE(E1038,"°","º"))-1)),""))))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M1039" s="2">
        <f>IF(C1039="","",IFERROR(INDEX($S$5:$S$304,MATCH(C1039,$R$5:$R$304,0))&amp;"","?"))</f>
        <v/>
      </c>
      <c r="N1039" s="2">
        <f>IF(E1039="","",IF(LEFT(E1039,7)="SUBSOLO",-1,IF(LEFT(E1039,6)="TÉRREO",0,IFERROR(VALUE(LEFT(E1039,FIND("º",SUBSTITUTE(E1039,"°","º"))-1)),""))))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M1040" s="2">
        <f>IF(C1040="","",IFERROR(INDEX($S$5:$S$304,MATCH(C1040,$R$5:$R$304,0))&amp;"","?"))</f>
        <v/>
      </c>
      <c r="N1040" s="2">
        <f>IF(E1040="","",IF(LEFT(E1040,7)="SUBSOLO",-1,IF(LEFT(E1040,6)="TÉRREO",0,IFERROR(VALUE(LEFT(E1040,FIND("º",SUBSTITUTE(E1040,"°","º"))-1)),""))))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M1041" s="2">
        <f>IF(C1041="","",IFERROR(INDEX($S$5:$S$304,MATCH(C1041,$R$5:$R$304,0))&amp;"","?"))</f>
        <v/>
      </c>
      <c r="N1041" s="2">
        <f>IF(E1041="","",IF(LEFT(E1041,7)="SUBSOLO",-1,IF(LEFT(E1041,6)="TÉRREO",0,IFERROR(VALUE(LEFT(E1041,FIND("º",SUBSTITUTE(E1041,"°","º"))-1)),""))))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M1042" s="2">
        <f>IF(C1042="","",IFERROR(INDEX($S$5:$S$304,MATCH(C1042,$R$5:$R$304,0))&amp;"","?"))</f>
        <v/>
      </c>
      <c r="N1042" s="2">
        <f>IF(E1042="","",IF(LEFT(E1042,7)="SUBSOLO",-1,IF(LEFT(E1042,6)="TÉRREO",0,IFERROR(VALUE(LEFT(E1042,FIND("º",SUBSTITUTE(E1042,"°","º"))-1)),""))))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M1043" s="2">
        <f>IF(C1043="","",IFERROR(INDEX($S$5:$S$304,MATCH(C1043,$R$5:$R$304,0))&amp;"","?"))</f>
        <v/>
      </c>
      <c r="N1043" s="2">
        <f>IF(E1043="","",IF(LEFT(E1043,7)="SUBSOLO",-1,IF(LEFT(E1043,6)="TÉRREO",0,IFERROR(VALUE(LEFT(E1043,FIND("º",SUBSTITUTE(E1043,"°","º"))-1)),""))))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M1044" s="2">
        <f>IF(C1044="","",IFERROR(INDEX($S$5:$S$304,MATCH(C1044,$R$5:$R$304,0))&amp;"","?"))</f>
        <v/>
      </c>
      <c r="N1044" s="2">
        <f>IF(E1044="","",IF(LEFT(E1044,7)="SUBSOLO",-1,IF(LEFT(E1044,6)="TÉRREO",0,IFERROR(VALUE(LEFT(E1044,FIND("º",SUBSTITUTE(E1044,"°","º"))-1)),""))))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M1045" s="2">
        <f>IF(C1045="","",IFERROR(INDEX($S$5:$S$304,MATCH(C1045,$R$5:$R$304,0))&amp;"","?"))</f>
        <v/>
      </c>
      <c r="N1045" s="2">
        <f>IF(E1045="","",IF(LEFT(E1045,7)="SUBSOLO",-1,IF(LEFT(E1045,6)="TÉRREO",0,IFERROR(VALUE(LEFT(E1045,FIND("º",SUBSTITUTE(E1045,"°","º"))-1)),""))))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M1046" s="2">
        <f>IF(C1046="","",IFERROR(INDEX($S$5:$S$304,MATCH(C1046,$R$5:$R$304,0))&amp;"","?"))</f>
        <v/>
      </c>
      <c r="N1046" s="2">
        <f>IF(E1046="","",IF(LEFT(E1046,7)="SUBSOLO",-1,IF(LEFT(E1046,6)="TÉRREO",0,IFERROR(VALUE(LEFT(E1046,FIND("º",SUBSTITUTE(E1046,"°","º"))-1)),""))))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M1047" s="2">
        <f>IF(C1047="","",IFERROR(INDEX($S$5:$S$304,MATCH(C1047,$R$5:$R$304,0))&amp;"","?"))</f>
        <v/>
      </c>
      <c r="N1047" s="2">
        <f>IF(E1047="","",IF(LEFT(E1047,7)="SUBSOLO",-1,IF(LEFT(E1047,6)="TÉRREO",0,IFERROR(VALUE(LEFT(E1047,FIND("º",SUBSTITUTE(E1047,"°","º"))-1)),""))))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M1048" s="2">
        <f>IF(C1048="","",IFERROR(INDEX($S$5:$S$304,MATCH(C1048,$R$5:$R$304,0))&amp;"","?"))</f>
        <v/>
      </c>
      <c r="N1048" s="2">
        <f>IF(E1048="","",IF(LEFT(E1048,7)="SUBSOLO",-1,IF(LEFT(E1048,6)="TÉRREO",0,IFERROR(VALUE(LEFT(E1048,FIND("º",SUBSTITUTE(E1048,"°","º"))-1)),""))))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M1049" s="2">
        <f>IF(C1049="","",IFERROR(INDEX($S$5:$S$304,MATCH(C1049,$R$5:$R$304,0))&amp;"","?"))</f>
        <v/>
      </c>
      <c r="N1049" s="2">
        <f>IF(E1049="","",IF(LEFT(E1049,7)="SUBSOLO",-1,IF(LEFT(E1049,6)="TÉRREO",0,IFERROR(VALUE(LEFT(E1049,FIND("º",SUBSTITUTE(E1049,"°","º"))-1)),""))))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M1050" s="2">
        <f>IF(C1050="","",IFERROR(INDEX($S$5:$S$304,MATCH(C1050,$R$5:$R$304,0))&amp;"","?"))</f>
        <v/>
      </c>
      <c r="N1050" s="2">
        <f>IF(E1050="","",IF(LEFT(E1050,7)="SUBSOLO",-1,IF(LEFT(E1050,6)="TÉRREO",0,IFERROR(VALUE(LEFT(E1050,FIND("º",SUBSTITUTE(E1050,"°","º"))-1)),""))))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M1051" s="2">
        <f>IF(C1051="","",IFERROR(INDEX($S$5:$S$304,MATCH(C1051,$R$5:$R$304,0))&amp;"","?"))</f>
        <v/>
      </c>
      <c r="N1051" s="2">
        <f>IF(E1051="","",IF(LEFT(E1051,7)="SUBSOLO",-1,IF(LEFT(E1051,6)="TÉRREO",0,IFERROR(VALUE(LEFT(E1051,FIND("º",SUBSTITUTE(E1051,"°","º"))-1)),""))))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M1052" s="2">
        <f>IF(C1052="","",IFERROR(INDEX($S$5:$S$304,MATCH(C1052,$R$5:$R$304,0))&amp;"","?"))</f>
        <v/>
      </c>
      <c r="N1052" s="2">
        <f>IF(E1052="","",IF(LEFT(E1052,7)="SUBSOLO",-1,IF(LEFT(E1052,6)="TÉRREO",0,IFERROR(VALUE(LEFT(E1052,FIND("º",SUBSTITUTE(E1052,"°","º"))-1)),""))))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M1053" s="2">
        <f>IF(C1053="","",IFERROR(INDEX($S$5:$S$304,MATCH(C1053,$R$5:$R$304,0))&amp;"","?"))</f>
        <v/>
      </c>
      <c r="N1053" s="2">
        <f>IF(E1053="","",IF(LEFT(E1053,7)="SUBSOLO",-1,IF(LEFT(E1053,6)="TÉRREO",0,IFERROR(VALUE(LEFT(E1053,FIND("º",SUBSTITUTE(E1053,"°","º"))-1)),""))))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M1054" s="2">
        <f>IF(C1054="","",IFERROR(INDEX($S$5:$S$304,MATCH(C1054,$R$5:$R$304,0))&amp;"","?"))</f>
        <v/>
      </c>
      <c r="N1054" s="2">
        <f>IF(E1054="","",IF(LEFT(E1054,7)="SUBSOLO",-1,IF(LEFT(E1054,6)="TÉRREO",0,IFERROR(VALUE(LEFT(E1054,FIND("º",SUBSTITUTE(E1054,"°","º"))-1)),""))))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M1055" s="2">
        <f>IF(C1055="","",IFERROR(INDEX($S$5:$S$304,MATCH(C1055,$R$5:$R$304,0))&amp;"","?"))</f>
        <v/>
      </c>
      <c r="N1055" s="2">
        <f>IF(E1055="","",IF(LEFT(E1055,7)="SUBSOLO",-1,IF(LEFT(E1055,6)="TÉRREO",0,IFERROR(VALUE(LEFT(E1055,FIND("º",SUBSTITUTE(E1055,"°","º"))-1)),""))))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M1056" s="2">
        <f>IF(C1056="","",IFERROR(INDEX($S$5:$S$304,MATCH(C1056,$R$5:$R$304,0))&amp;"","?"))</f>
        <v/>
      </c>
      <c r="N1056" s="2">
        <f>IF(E1056="","",IF(LEFT(E1056,7)="SUBSOLO",-1,IF(LEFT(E1056,6)="TÉRREO",0,IFERROR(VALUE(LEFT(E1056,FIND("º",SUBSTITUTE(E1056,"°","º"))-1)),""))))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M1057" s="2">
        <f>IF(C1057="","",IFERROR(INDEX($S$5:$S$304,MATCH(C1057,$R$5:$R$304,0))&amp;"","?"))</f>
        <v/>
      </c>
      <c r="N1057" s="2">
        <f>IF(E1057="","",IF(LEFT(E1057,7)="SUBSOLO",-1,IF(LEFT(E1057,6)="TÉRREO",0,IFERROR(VALUE(LEFT(E1057,FIND("º",SUBSTITUTE(E1057,"°","º"))-1)),""))))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M1058" s="2">
        <f>IF(C1058="","",IFERROR(INDEX($S$5:$S$304,MATCH(C1058,$R$5:$R$304,0))&amp;"","?"))</f>
        <v/>
      </c>
      <c r="N1058" s="2">
        <f>IF(E1058="","",IF(LEFT(E1058,7)="SUBSOLO",-1,IF(LEFT(E1058,6)="TÉRREO",0,IFERROR(VALUE(LEFT(E1058,FIND("º",SUBSTITUTE(E1058,"°","º"))-1)),""))))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M1059" s="2">
        <f>IF(C1059="","",IFERROR(INDEX($S$5:$S$304,MATCH(C1059,$R$5:$R$304,0))&amp;"","?"))</f>
        <v/>
      </c>
      <c r="N1059" s="2">
        <f>IF(E1059="","",IF(LEFT(E1059,7)="SUBSOLO",-1,IF(LEFT(E1059,6)="TÉRREO",0,IFERROR(VALUE(LEFT(E1059,FIND("º",SUBSTITUTE(E1059,"°","º"))-1)),""))))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M1060" s="2">
        <f>IF(C1060="","",IFERROR(INDEX($S$5:$S$304,MATCH(C1060,$R$5:$R$304,0))&amp;"","?"))</f>
        <v/>
      </c>
      <c r="N1060" s="2">
        <f>IF(E1060="","",IF(LEFT(E1060,7)="SUBSOLO",-1,IF(LEFT(E1060,6)="TÉRREO",0,IFERROR(VALUE(LEFT(E1060,FIND("º",SUBSTITUTE(E1060,"°","º"))-1)),""))))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M1061" s="2">
        <f>IF(C1061="","",IFERROR(INDEX($S$5:$S$304,MATCH(C1061,$R$5:$R$304,0))&amp;"","?"))</f>
        <v/>
      </c>
      <c r="N1061" s="2">
        <f>IF(E1061="","",IF(LEFT(E1061,7)="SUBSOLO",-1,IF(LEFT(E1061,6)="TÉRREO",0,IFERROR(VALUE(LEFT(E1061,FIND("º",SUBSTITUTE(E1061,"°","º"))-1)),""))))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M1062" s="2">
        <f>IF(C1062="","",IFERROR(INDEX($S$5:$S$304,MATCH(C1062,$R$5:$R$304,0))&amp;"","?"))</f>
        <v/>
      </c>
      <c r="N1062" s="2">
        <f>IF(E1062="","",IF(LEFT(E1062,7)="SUBSOLO",-1,IF(LEFT(E1062,6)="TÉRREO",0,IFERROR(VALUE(LEFT(E1062,FIND("º",SUBSTITUTE(E1062,"°","º"))-1)),""))))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M1063" s="2">
        <f>IF(C1063="","",IFERROR(INDEX($S$5:$S$304,MATCH(C1063,$R$5:$R$304,0))&amp;"","?"))</f>
        <v/>
      </c>
      <c r="N1063" s="2">
        <f>IF(E1063="","",IF(LEFT(E1063,7)="SUBSOLO",-1,IF(LEFT(E1063,6)="TÉRREO",0,IFERROR(VALUE(LEFT(E1063,FIND("º",SUBSTITUTE(E1063,"°","º"))-1)),""))))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M1064" s="2">
        <f>IF(C1064="","",IFERROR(INDEX($S$5:$S$304,MATCH(C1064,$R$5:$R$304,0))&amp;"","?"))</f>
        <v/>
      </c>
      <c r="N1064" s="2">
        <f>IF(E1064="","",IF(LEFT(E1064,7)="SUBSOLO",-1,IF(LEFT(E1064,6)="TÉRREO",0,IFERROR(VALUE(LEFT(E1064,FIND("º",SUBSTITUTE(E1064,"°","º"))-1)),""))))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M1065" s="2">
        <f>IF(C1065="","",IFERROR(INDEX($S$5:$S$304,MATCH(C1065,$R$5:$R$304,0))&amp;"","?"))</f>
        <v/>
      </c>
      <c r="N1065" s="2">
        <f>IF(E1065="","",IF(LEFT(E1065,7)="SUBSOLO",-1,IF(LEFT(E1065,6)="TÉRREO",0,IFERROR(VALUE(LEFT(E1065,FIND("º",SUBSTITUTE(E1065,"°","º"))-1)),""))))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M1066" s="2">
        <f>IF(C1066="","",IFERROR(INDEX($S$5:$S$304,MATCH(C1066,$R$5:$R$304,0))&amp;"","?"))</f>
        <v/>
      </c>
      <c r="N1066" s="2">
        <f>IF(E1066="","",IF(LEFT(E1066,7)="SUBSOLO",-1,IF(LEFT(E1066,6)="TÉRREO",0,IFERROR(VALUE(LEFT(E1066,FIND("º",SUBSTITUTE(E1066,"°","º"))-1)),""))))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M1067" s="2">
        <f>IF(C1067="","",IFERROR(INDEX($S$5:$S$304,MATCH(C1067,$R$5:$R$304,0))&amp;"","?"))</f>
        <v/>
      </c>
      <c r="N1067" s="2">
        <f>IF(E1067="","",IF(LEFT(E1067,7)="SUBSOLO",-1,IF(LEFT(E1067,6)="TÉRREO",0,IFERROR(VALUE(LEFT(E1067,FIND("º",SUBSTITUTE(E1067,"°","º"))-1)),""))))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M1068" s="2">
        <f>IF(C1068="","",IFERROR(INDEX($S$5:$S$304,MATCH(C1068,$R$5:$R$304,0))&amp;"","?"))</f>
        <v/>
      </c>
      <c r="N1068" s="2">
        <f>IF(E1068="","",IF(LEFT(E1068,7)="SUBSOLO",-1,IF(LEFT(E1068,6)="TÉRREO",0,IFERROR(VALUE(LEFT(E1068,FIND("º",SUBSTITUTE(E1068,"°","º"))-1)),""))))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M1069" s="2">
        <f>IF(C1069="","",IFERROR(INDEX($S$5:$S$304,MATCH(C1069,$R$5:$R$304,0))&amp;"","?"))</f>
        <v/>
      </c>
      <c r="N1069" s="2">
        <f>IF(E1069="","",IF(LEFT(E1069,7)="SUBSOLO",-1,IF(LEFT(E1069,6)="TÉRREO",0,IFERROR(VALUE(LEFT(E1069,FIND("º",SUBSTITUTE(E1069,"°","º"))-1)),""))))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M1070" s="2">
        <f>IF(C1070="","",IFERROR(INDEX($S$5:$S$304,MATCH(C1070,$R$5:$R$304,0))&amp;"","?"))</f>
        <v/>
      </c>
      <c r="N1070" s="2">
        <f>IF(E1070="","",IF(LEFT(E1070,7)="SUBSOLO",-1,IF(LEFT(E1070,6)="TÉRREO",0,IFERROR(VALUE(LEFT(E1070,FIND("º",SUBSTITUTE(E1070,"°","º"))-1)),""))))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M1071" s="2">
        <f>IF(C1071="","",IFERROR(INDEX($S$5:$S$304,MATCH(C1071,$R$5:$R$304,0))&amp;"","?"))</f>
        <v/>
      </c>
      <c r="N1071" s="2">
        <f>IF(E1071="","",IF(LEFT(E1071,7)="SUBSOLO",-1,IF(LEFT(E1071,6)="TÉRREO",0,IFERROR(VALUE(LEFT(E1071,FIND("º",SUBSTITUTE(E1071,"°","º"))-1)),""))))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M1072" s="2">
        <f>IF(C1072="","",IFERROR(INDEX($S$5:$S$304,MATCH(C1072,$R$5:$R$304,0))&amp;"","?"))</f>
        <v/>
      </c>
      <c r="N1072" s="2">
        <f>IF(E1072="","",IF(LEFT(E1072,7)="SUBSOLO",-1,IF(LEFT(E1072,6)="TÉRREO",0,IFERROR(VALUE(LEFT(E1072,FIND("º",SUBSTITUTE(E1072,"°","º"))-1)),""))))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M1073" s="2">
        <f>IF(C1073="","",IFERROR(INDEX($S$5:$S$304,MATCH(C1073,$R$5:$R$304,0))&amp;"","?"))</f>
        <v/>
      </c>
      <c r="N1073" s="2">
        <f>IF(E1073="","",IF(LEFT(E1073,7)="SUBSOLO",-1,IF(LEFT(E1073,6)="TÉRREO",0,IFERROR(VALUE(LEFT(E1073,FIND("º",SUBSTITUTE(E1073,"°","º"))-1)),""))))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M1074" s="2">
        <f>IF(C1074="","",IFERROR(INDEX($S$5:$S$304,MATCH(C1074,$R$5:$R$304,0))&amp;"","?"))</f>
        <v/>
      </c>
      <c r="N1074" s="2">
        <f>IF(E1074="","",IF(LEFT(E1074,7)="SUBSOLO",-1,IF(LEFT(E1074,6)="TÉRREO",0,IFERROR(VALUE(LEFT(E1074,FIND("º",SUBSTITUTE(E1074,"°","º"))-1)),""))))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M1075" s="2">
        <f>IF(C1075="","",IFERROR(INDEX($S$5:$S$304,MATCH(C1075,$R$5:$R$304,0))&amp;"","?"))</f>
        <v/>
      </c>
      <c r="N1075" s="2">
        <f>IF(E1075="","",IF(LEFT(E1075,7)="SUBSOLO",-1,IF(LEFT(E1075,6)="TÉRREO",0,IFERROR(VALUE(LEFT(E1075,FIND("º",SUBSTITUTE(E1075,"°","º"))-1)),""))))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M1076" s="2">
        <f>IF(C1076="","",IFERROR(INDEX($S$5:$S$304,MATCH(C1076,$R$5:$R$304,0))&amp;"","?"))</f>
        <v/>
      </c>
      <c r="N1076" s="2">
        <f>IF(E1076="","",IF(LEFT(E1076,7)="SUBSOLO",-1,IF(LEFT(E1076,6)="TÉRREO",0,IFERROR(VALUE(LEFT(E1076,FIND("º",SUBSTITUTE(E1076,"°","º"))-1)),""))))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M1077" s="2">
        <f>IF(C1077="","",IFERROR(INDEX($S$5:$S$304,MATCH(C1077,$R$5:$R$304,0))&amp;"","?"))</f>
        <v/>
      </c>
      <c r="N1077" s="2">
        <f>IF(E1077="","",IF(LEFT(E1077,7)="SUBSOLO",-1,IF(LEFT(E1077,6)="TÉRREO",0,IFERROR(VALUE(LEFT(E1077,FIND("º",SUBSTITUTE(E1077,"°","º"))-1)),""))))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M1078" s="2">
        <f>IF(C1078="","",IFERROR(INDEX($S$5:$S$304,MATCH(C1078,$R$5:$R$304,0))&amp;"","?"))</f>
        <v/>
      </c>
      <c r="N1078" s="2">
        <f>IF(E1078="","",IF(LEFT(E1078,7)="SUBSOLO",-1,IF(LEFT(E1078,6)="TÉRREO",0,IFERROR(VALUE(LEFT(E1078,FIND("º",SUBSTITUTE(E1078,"°","º"))-1)),""))))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M1079" s="2">
        <f>IF(C1079="","",IFERROR(INDEX($S$5:$S$304,MATCH(C1079,$R$5:$R$304,0))&amp;"","?"))</f>
        <v/>
      </c>
      <c r="N1079" s="2">
        <f>IF(E1079="","",IF(LEFT(E1079,7)="SUBSOLO",-1,IF(LEFT(E1079,6)="TÉRREO",0,IFERROR(VALUE(LEFT(E1079,FIND("º",SUBSTITUTE(E1079,"°","º"))-1)),""))))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M1080" s="2">
        <f>IF(C1080="","",IFERROR(INDEX($S$5:$S$304,MATCH(C1080,$R$5:$R$304,0))&amp;"","?"))</f>
        <v/>
      </c>
      <c r="N1080" s="2">
        <f>IF(E1080="","",IF(LEFT(E1080,7)="SUBSOLO",-1,IF(LEFT(E1080,6)="TÉRREO",0,IFERROR(VALUE(LEFT(E1080,FIND("º",SUBSTITUTE(E1080,"°","º"))-1)),""))))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M1081" s="2">
        <f>IF(C1081="","",IFERROR(INDEX($S$5:$S$304,MATCH(C1081,$R$5:$R$304,0))&amp;"","?"))</f>
        <v/>
      </c>
      <c r="N1081" s="2">
        <f>IF(E1081="","",IF(LEFT(E1081,7)="SUBSOLO",-1,IF(LEFT(E1081,6)="TÉRREO",0,IFERROR(VALUE(LEFT(E1081,FIND("º",SUBSTITUTE(E1081,"°","º"))-1)),""))))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M1082" s="2">
        <f>IF(C1082="","",IFERROR(INDEX($S$5:$S$304,MATCH(C1082,$R$5:$R$304,0))&amp;"","?"))</f>
        <v/>
      </c>
      <c r="N1082" s="2">
        <f>IF(E1082="","",IF(LEFT(E1082,7)="SUBSOLO",-1,IF(LEFT(E1082,6)="TÉRREO",0,IFERROR(VALUE(LEFT(E1082,FIND("º",SUBSTITUTE(E1082,"°","º"))-1)),""))))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M1083" s="2">
        <f>IF(C1083="","",IFERROR(INDEX($S$5:$S$304,MATCH(C1083,$R$5:$R$304,0))&amp;"","?"))</f>
        <v/>
      </c>
      <c r="N1083" s="2">
        <f>IF(E1083="","",IF(LEFT(E1083,7)="SUBSOLO",-1,IF(LEFT(E1083,6)="TÉRREO",0,IFERROR(VALUE(LEFT(E1083,FIND("º",SUBSTITUTE(E1083,"°","º"))-1)),""))))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M1084" s="2">
        <f>IF(C1084="","",IFERROR(INDEX($S$5:$S$304,MATCH(C1084,$R$5:$R$304,0))&amp;"","?"))</f>
        <v/>
      </c>
      <c r="N1084" s="2">
        <f>IF(E1084="","",IF(LEFT(E1084,7)="SUBSOLO",-1,IF(LEFT(E1084,6)="TÉRREO",0,IFERROR(VALUE(LEFT(E1084,FIND("º",SUBSTITUTE(E1084,"°","º"))-1)),""))))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M1085" s="2">
        <f>IF(C1085="","",IFERROR(INDEX($S$5:$S$304,MATCH(C1085,$R$5:$R$304,0))&amp;"","?"))</f>
        <v/>
      </c>
      <c r="N1085" s="2">
        <f>IF(E1085="","",IF(LEFT(E1085,7)="SUBSOLO",-1,IF(LEFT(E1085,6)="TÉRREO",0,IFERROR(VALUE(LEFT(E1085,FIND("º",SUBSTITUTE(E1085,"°","º"))-1)),""))))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M1086" s="2">
        <f>IF(C1086="","",IFERROR(INDEX($S$5:$S$304,MATCH(C1086,$R$5:$R$304,0))&amp;"","?"))</f>
        <v/>
      </c>
      <c r="N1086" s="2">
        <f>IF(E1086="","",IF(LEFT(E1086,7)="SUBSOLO",-1,IF(LEFT(E1086,6)="TÉRREO",0,IFERROR(VALUE(LEFT(E1086,FIND("º",SUBSTITUTE(E1086,"°","º"))-1)),""))))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M1087" s="2">
        <f>IF(C1087="","",IFERROR(INDEX($S$5:$S$304,MATCH(C1087,$R$5:$R$304,0))&amp;"","?"))</f>
        <v/>
      </c>
      <c r="N1087" s="2">
        <f>IF(E1087="","",IF(LEFT(E1087,7)="SUBSOLO",-1,IF(LEFT(E1087,6)="TÉRREO",0,IFERROR(VALUE(LEFT(E1087,FIND("º",SUBSTITUTE(E1087,"°","º"))-1)),""))))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M1088" s="2">
        <f>IF(C1088="","",IFERROR(INDEX($S$5:$S$304,MATCH(C1088,$R$5:$R$304,0))&amp;"","?"))</f>
        <v/>
      </c>
      <c r="N1088" s="2">
        <f>IF(E1088="","",IF(LEFT(E1088,7)="SUBSOLO",-1,IF(LEFT(E1088,6)="TÉRREO",0,IFERROR(VALUE(LEFT(E1088,FIND("º",SUBSTITUTE(E1088,"°","º"))-1)),""))))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M1089" s="2">
        <f>IF(C1089="","",IFERROR(INDEX($S$5:$S$304,MATCH(C1089,$R$5:$R$304,0))&amp;"","?"))</f>
        <v/>
      </c>
      <c r="N1089" s="2">
        <f>IF(E1089="","",IF(LEFT(E1089,7)="SUBSOLO",-1,IF(LEFT(E1089,6)="TÉRREO",0,IFERROR(VALUE(LEFT(E1089,FIND("º",SUBSTITUTE(E1089,"°","º"))-1)),""))))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M1090" s="2">
        <f>IF(C1090="","",IFERROR(INDEX($S$5:$S$304,MATCH(C1090,$R$5:$R$304,0))&amp;"","?"))</f>
        <v/>
      </c>
      <c r="N1090" s="2">
        <f>IF(E1090="","",IF(LEFT(E1090,7)="SUBSOLO",-1,IF(LEFT(E1090,6)="TÉRREO",0,IFERROR(VALUE(LEFT(E1090,FIND("º",SUBSTITUTE(E1090,"°","º"))-1)),""))))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M1091" s="2">
        <f>IF(C1091="","",IFERROR(INDEX($S$5:$S$304,MATCH(C1091,$R$5:$R$304,0))&amp;"","?"))</f>
        <v/>
      </c>
      <c r="N1091" s="2">
        <f>IF(E1091="","",IF(LEFT(E1091,7)="SUBSOLO",-1,IF(LEFT(E1091,6)="TÉRREO",0,IFERROR(VALUE(LEFT(E1091,FIND("º",SUBSTITUTE(E1091,"°","º"))-1)),""))))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M1092" s="2">
        <f>IF(C1092="","",IFERROR(INDEX($S$5:$S$304,MATCH(C1092,$R$5:$R$304,0))&amp;"","?"))</f>
        <v/>
      </c>
      <c r="N1092" s="2">
        <f>IF(E1092="","",IF(LEFT(E1092,7)="SUBSOLO",-1,IF(LEFT(E1092,6)="TÉRREO",0,IFERROR(VALUE(LEFT(E1092,FIND("º",SUBSTITUTE(E1092,"°","º"))-1)),""))))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M1093" s="2">
        <f>IF(C1093="","",IFERROR(INDEX($S$5:$S$304,MATCH(C1093,$R$5:$R$304,0))&amp;"","?"))</f>
        <v/>
      </c>
      <c r="N1093" s="2">
        <f>IF(E1093="","",IF(LEFT(E1093,7)="SUBSOLO",-1,IF(LEFT(E1093,6)="TÉRREO",0,IFERROR(VALUE(LEFT(E1093,FIND("º",SUBSTITUTE(E1093,"°","º"))-1)),""))))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M1094" s="2">
        <f>IF(C1094="","",IFERROR(INDEX($S$5:$S$304,MATCH(C1094,$R$5:$R$304,0))&amp;"","?"))</f>
        <v/>
      </c>
      <c r="N1094" s="2">
        <f>IF(E1094="","",IF(LEFT(E1094,7)="SUBSOLO",-1,IF(LEFT(E1094,6)="TÉRREO",0,IFERROR(VALUE(LEFT(E1094,FIND("º",SUBSTITUTE(E1094,"°","º"))-1)),""))))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M1095" s="2">
        <f>IF(C1095="","",IFERROR(INDEX($S$5:$S$304,MATCH(C1095,$R$5:$R$304,0))&amp;"","?"))</f>
        <v/>
      </c>
      <c r="N1095" s="2">
        <f>IF(E1095="","",IF(LEFT(E1095,7)="SUBSOLO",-1,IF(LEFT(E1095,6)="TÉRREO",0,IFERROR(VALUE(LEFT(E1095,FIND("º",SUBSTITUTE(E1095,"°","º"))-1)),""))))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M1096" s="2">
        <f>IF(C1096="","",IFERROR(INDEX($S$5:$S$304,MATCH(C1096,$R$5:$R$304,0))&amp;"","?"))</f>
        <v/>
      </c>
      <c r="N1096" s="2">
        <f>IF(E1096="","",IF(LEFT(E1096,7)="SUBSOLO",-1,IF(LEFT(E1096,6)="TÉRREO",0,IFERROR(VALUE(LEFT(E1096,FIND("º",SUBSTITUTE(E1096,"°","º"))-1)),""))))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M1097" s="2">
        <f>IF(C1097="","",IFERROR(INDEX($S$5:$S$304,MATCH(C1097,$R$5:$R$304,0))&amp;"","?"))</f>
        <v/>
      </c>
      <c r="N1097" s="2">
        <f>IF(E1097="","",IF(LEFT(E1097,7)="SUBSOLO",-1,IF(LEFT(E1097,6)="TÉRREO",0,IFERROR(VALUE(LEFT(E1097,FIND("º",SUBSTITUTE(E1097,"°","º"))-1)),""))))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M1098" s="2">
        <f>IF(C1098="","",IFERROR(INDEX($S$5:$S$304,MATCH(C1098,$R$5:$R$304,0))&amp;"","?"))</f>
        <v/>
      </c>
      <c r="N1098" s="2">
        <f>IF(E1098="","",IF(LEFT(E1098,7)="SUBSOLO",-1,IF(LEFT(E1098,6)="TÉRREO",0,IFERROR(VALUE(LEFT(E1098,FIND("º",SUBSTITUTE(E1098,"°","º"))-1)),""))))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M1099" s="2">
        <f>IF(C1099="","",IFERROR(INDEX($S$5:$S$304,MATCH(C1099,$R$5:$R$304,0))&amp;"","?"))</f>
        <v/>
      </c>
      <c r="N1099" s="2">
        <f>IF(E1099="","",IF(LEFT(E1099,7)="SUBSOLO",-1,IF(LEFT(E1099,6)="TÉRREO",0,IFERROR(VALUE(LEFT(E1099,FIND("º",SUBSTITUTE(E1099,"°","º"))-1)),""))))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M1100" s="2">
        <f>IF(C1100="","",IFERROR(INDEX($S$5:$S$304,MATCH(C1100,$R$5:$R$304,0))&amp;"","?"))</f>
        <v/>
      </c>
      <c r="N1100" s="2">
        <f>IF(E1100="","",IF(LEFT(E1100,7)="SUBSOLO",-1,IF(LEFT(E1100,6)="TÉRREO",0,IFERROR(VALUE(LEFT(E1100,FIND("º",SUBSTITUTE(E1100,"°","º"))-1)),""))))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M1101" s="2">
        <f>IF(C1101="","",IFERROR(INDEX($S$5:$S$304,MATCH(C1101,$R$5:$R$304,0))&amp;"","?"))</f>
        <v/>
      </c>
      <c r="N1101" s="2">
        <f>IF(E1101="","",IF(LEFT(E1101,7)="SUBSOLO",-1,IF(LEFT(E1101,6)="TÉRREO",0,IFERROR(VALUE(LEFT(E1101,FIND("º",SUBSTITUTE(E1101,"°","º"))-1)),""))))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M1102" s="2">
        <f>IF(C1102="","",IFERROR(INDEX($S$5:$S$304,MATCH(C1102,$R$5:$R$304,0))&amp;"","?"))</f>
        <v/>
      </c>
      <c r="N1102" s="2">
        <f>IF(E1102="","",IF(LEFT(E1102,7)="SUBSOLO",-1,IF(LEFT(E1102,6)="TÉRREO",0,IFERROR(VALUE(LEFT(E1102,FIND("º",SUBSTITUTE(E1102,"°","º"))-1)),""))))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M1103" s="2">
        <f>IF(C1103="","",IFERROR(INDEX($S$5:$S$304,MATCH(C1103,$R$5:$R$304,0))&amp;"","?"))</f>
        <v/>
      </c>
      <c r="N1103" s="2">
        <f>IF(E1103="","",IF(LEFT(E1103,7)="SUBSOLO",-1,IF(LEFT(E1103,6)="TÉRREO",0,IFERROR(VALUE(LEFT(E1103,FIND("º",SUBSTITUTE(E1103,"°","º"))-1)),""))))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M1104" s="2">
        <f>IF(C1104="","",IFERROR(INDEX($S$5:$S$304,MATCH(C1104,$R$5:$R$304,0))&amp;"","?"))</f>
        <v/>
      </c>
      <c r="N1104" s="2">
        <f>IF(E1104="","",IF(LEFT(E1104,7)="SUBSOLO",-1,IF(LEFT(E1104,6)="TÉRREO",0,IFERROR(VALUE(LEFT(E1104,FIND("º",SUBSTITUTE(E1104,"°","º"))-1)),""))))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M1105" s="2">
        <f>IF(C1105="","",IFERROR(INDEX($S$5:$S$304,MATCH(C1105,$R$5:$R$304,0))&amp;"","?"))</f>
        <v/>
      </c>
      <c r="N1105" s="2">
        <f>IF(E1105="","",IF(LEFT(E1105,7)="SUBSOLO",-1,IF(LEFT(E1105,6)="TÉRREO",0,IFERROR(VALUE(LEFT(E1105,FIND("º",SUBSTITUTE(E1105,"°","º"))-1)),""))))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M1106" s="2">
        <f>IF(C1106="","",IFERROR(INDEX($S$5:$S$304,MATCH(C1106,$R$5:$R$304,0))&amp;"","?"))</f>
        <v/>
      </c>
      <c r="N1106" s="2">
        <f>IF(E1106="","",IF(LEFT(E1106,7)="SUBSOLO",-1,IF(LEFT(E1106,6)="TÉRREO",0,IFERROR(VALUE(LEFT(E1106,FIND("º",SUBSTITUTE(E1106,"°","º"))-1)),""))))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M1107" s="2">
        <f>IF(C1107="","",IFERROR(INDEX($S$5:$S$304,MATCH(C1107,$R$5:$R$304,0))&amp;"","?"))</f>
        <v/>
      </c>
      <c r="N1107" s="2">
        <f>IF(E1107="","",IF(LEFT(E1107,7)="SUBSOLO",-1,IF(LEFT(E1107,6)="TÉRREO",0,IFERROR(VALUE(LEFT(E1107,FIND("º",SUBSTITUTE(E1107,"°","º"))-1)),""))))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M1108" s="2">
        <f>IF(C1108="","",IFERROR(INDEX($S$5:$S$304,MATCH(C1108,$R$5:$R$304,0))&amp;"","?"))</f>
        <v/>
      </c>
      <c r="N1108" s="2">
        <f>IF(E1108="","",IF(LEFT(E1108,7)="SUBSOLO",-1,IF(LEFT(E1108,6)="TÉRREO",0,IFERROR(VALUE(LEFT(E1108,FIND("º",SUBSTITUTE(E1108,"°","º"))-1)),""))))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M1109" s="2">
        <f>IF(C1109="","",IFERROR(INDEX($S$5:$S$304,MATCH(C1109,$R$5:$R$304,0))&amp;"","?"))</f>
        <v/>
      </c>
      <c r="N1109" s="2">
        <f>IF(E1109="","",IF(LEFT(E1109,7)="SUBSOLO",-1,IF(LEFT(E1109,6)="TÉRREO",0,IFERROR(VALUE(LEFT(E1109,FIND("º",SUBSTITUTE(E1109,"°","º"))-1)),""))))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M1110" s="2">
        <f>IF(C1110="","",IFERROR(INDEX($S$5:$S$304,MATCH(C1110,$R$5:$R$304,0))&amp;"","?"))</f>
        <v/>
      </c>
      <c r="N1110" s="2">
        <f>IF(E1110="","",IF(LEFT(E1110,7)="SUBSOLO",-1,IF(LEFT(E1110,6)="TÉRREO",0,IFERROR(VALUE(LEFT(E1110,FIND("º",SUBSTITUTE(E1110,"°","º"))-1)),""))))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M1111" s="2">
        <f>IF(C1111="","",IFERROR(INDEX($S$5:$S$304,MATCH(C1111,$R$5:$R$304,0))&amp;"","?"))</f>
        <v/>
      </c>
      <c r="N1111" s="2">
        <f>IF(E1111="","",IF(LEFT(E1111,7)="SUBSOLO",-1,IF(LEFT(E1111,6)="TÉRREO",0,IFERROR(VALUE(LEFT(E1111,FIND("º",SUBSTITUTE(E1111,"°","º"))-1)),""))))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M1112" s="2">
        <f>IF(C1112="","",IFERROR(INDEX($S$5:$S$304,MATCH(C1112,$R$5:$R$304,0))&amp;"","?"))</f>
        <v/>
      </c>
      <c r="N1112" s="2">
        <f>IF(E1112="","",IF(LEFT(E1112,7)="SUBSOLO",-1,IF(LEFT(E1112,6)="TÉRREO",0,IFERROR(VALUE(LEFT(E1112,FIND("º",SUBSTITUTE(E1112,"°","º"))-1)),""))))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M1113" s="2">
        <f>IF(C1113="","",IFERROR(INDEX($S$5:$S$304,MATCH(C1113,$R$5:$R$304,0))&amp;"","?"))</f>
        <v/>
      </c>
      <c r="N1113" s="2">
        <f>IF(E1113="","",IF(LEFT(E1113,7)="SUBSOLO",-1,IF(LEFT(E1113,6)="TÉRREO",0,IFERROR(VALUE(LEFT(E1113,FIND("º",SUBSTITUTE(E1113,"°","º"))-1)),""))))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M1114" s="2">
        <f>IF(C1114="","",IFERROR(INDEX($S$5:$S$304,MATCH(C1114,$R$5:$R$304,0))&amp;"","?"))</f>
        <v/>
      </c>
      <c r="N1114" s="2">
        <f>IF(E1114="","",IF(LEFT(E1114,7)="SUBSOLO",-1,IF(LEFT(E1114,6)="TÉRREO",0,IFERROR(VALUE(LEFT(E1114,FIND("º",SUBSTITUTE(E1114,"°","º"))-1)),""))))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M1115" s="2">
        <f>IF(C1115="","",IFERROR(INDEX($S$5:$S$304,MATCH(C1115,$R$5:$R$304,0))&amp;"","?"))</f>
        <v/>
      </c>
      <c r="N1115" s="2">
        <f>IF(E1115="","",IF(LEFT(E1115,7)="SUBSOLO",-1,IF(LEFT(E1115,6)="TÉRREO",0,IFERROR(VALUE(LEFT(E1115,FIND("º",SUBSTITUTE(E1115,"°","º"))-1)),""))))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M1116" s="2">
        <f>IF(C1116="","",IFERROR(INDEX($S$5:$S$304,MATCH(C1116,$R$5:$R$304,0))&amp;"","?"))</f>
        <v/>
      </c>
      <c r="N1116" s="2">
        <f>IF(E1116="","",IF(LEFT(E1116,7)="SUBSOLO",-1,IF(LEFT(E1116,6)="TÉRREO",0,IFERROR(VALUE(LEFT(E1116,FIND("º",SUBSTITUTE(E1116,"°","º"))-1)),""))))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M1117" s="2">
        <f>IF(C1117="","",IFERROR(INDEX($S$5:$S$304,MATCH(C1117,$R$5:$R$304,0))&amp;"","?"))</f>
        <v/>
      </c>
      <c r="N1117" s="2">
        <f>IF(E1117="","",IF(LEFT(E1117,7)="SUBSOLO",-1,IF(LEFT(E1117,6)="TÉRREO",0,IFERROR(VALUE(LEFT(E1117,FIND("º",SUBSTITUTE(E1117,"°","º"))-1)),""))))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M1118" s="2">
        <f>IF(C1118="","",IFERROR(INDEX($S$5:$S$304,MATCH(C1118,$R$5:$R$304,0))&amp;"","?"))</f>
        <v/>
      </c>
      <c r="N1118" s="2">
        <f>IF(E1118="","",IF(LEFT(E1118,7)="SUBSOLO",-1,IF(LEFT(E1118,6)="TÉRREO",0,IFERROR(VALUE(LEFT(E1118,FIND("º",SUBSTITUTE(E1118,"°","º"))-1)),""))))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M1119" s="2">
        <f>IF(C1119="","",IFERROR(INDEX($S$5:$S$304,MATCH(C1119,$R$5:$R$304,0))&amp;"","?"))</f>
        <v/>
      </c>
      <c r="N1119" s="2">
        <f>IF(E1119="","",IF(LEFT(E1119,7)="SUBSOLO",-1,IF(LEFT(E1119,6)="TÉRREO",0,IFERROR(VALUE(LEFT(E1119,FIND("º",SUBSTITUTE(E1119,"°","º"))-1)),""))))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M1120" s="2">
        <f>IF(C1120="","",IFERROR(INDEX($S$5:$S$304,MATCH(C1120,$R$5:$R$304,0))&amp;"","?"))</f>
        <v/>
      </c>
      <c r="N1120" s="2">
        <f>IF(E1120="","",IF(LEFT(E1120,7)="SUBSOLO",-1,IF(LEFT(E1120,6)="TÉRREO",0,IFERROR(VALUE(LEFT(E1120,FIND("º",SUBSTITUTE(E1120,"°","º"))-1)),""))))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M1121" s="2">
        <f>IF(C1121="","",IFERROR(INDEX($S$5:$S$304,MATCH(C1121,$R$5:$R$304,0))&amp;"","?"))</f>
        <v/>
      </c>
      <c r="N1121" s="2">
        <f>IF(E1121="","",IF(LEFT(E1121,7)="SUBSOLO",-1,IF(LEFT(E1121,6)="TÉRREO",0,IFERROR(VALUE(LEFT(E1121,FIND("º",SUBSTITUTE(E1121,"°","º"))-1)),""))))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M1122" s="2">
        <f>IF(C1122="","",IFERROR(INDEX($S$5:$S$304,MATCH(C1122,$R$5:$R$304,0))&amp;"","?"))</f>
        <v/>
      </c>
      <c r="N1122" s="2">
        <f>IF(E1122="","",IF(LEFT(E1122,7)="SUBSOLO",-1,IF(LEFT(E1122,6)="TÉRREO",0,IFERROR(VALUE(LEFT(E1122,FIND("º",SUBSTITUTE(E1122,"°","º"))-1)),""))))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M1123" s="2">
        <f>IF(C1123="","",IFERROR(INDEX($S$5:$S$304,MATCH(C1123,$R$5:$R$304,0))&amp;"","?"))</f>
        <v/>
      </c>
      <c r="N1123" s="2">
        <f>IF(E1123="","",IF(LEFT(E1123,7)="SUBSOLO",-1,IF(LEFT(E1123,6)="TÉRREO",0,IFERROR(VALUE(LEFT(E1123,FIND("º",SUBSTITUTE(E1123,"°","º"))-1)),""))))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M1124" s="2">
        <f>IF(C1124="","",IFERROR(INDEX($S$5:$S$304,MATCH(C1124,$R$5:$R$304,0))&amp;"","?"))</f>
        <v/>
      </c>
      <c r="N1124" s="2">
        <f>IF(E1124="","",IF(LEFT(E1124,7)="SUBSOLO",-1,IF(LEFT(E1124,6)="TÉRREO",0,IFERROR(VALUE(LEFT(E1124,FIND("º",SUBSTITUTE(E1124,"°","º"))-1)),""))))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M1125" s="2">
        <f>IF(C1125="","",IFERROR(INDEX($S$5:$S$304,MATCH(C1125,$R$5:$R$304,0))&amp;"","?"))</f>
        <v/>
      </c>
      <c r="N1125" s="2">
        <f>IF(E1125="","",IF(LEFT(E1125,7)="SUBSOLO",-1,IF(LEFT(E1125,6)="TÉRREO",0,IFERROR(VALUE(LEFT(E1125,FIND("º",SUBSTITUTE(E1125,"°","º"))-1)),""))))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M1126" s="2">
        <f>IF(C1126="","",IFERROR(INDEX($S$5:$S$304,MATCH(C1126,$R$5:$R$304,0))&amp;"","?"))</f>
        <v/>
      </c>
      <c r="N1126" s="2">
        <f>IF(E1126="","",IF(LEFT(E1126,7)="SUBSOLO",-1,IF(LEFT(E1126,6)="TÉRREO",0,IFERROR(VALUE(LEFT(E1126,FIND("º",SUBSTITUTE(E1126,"°","º"))-1)),""))))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M1127" s="2">
        <f>IF(C1127="","",IFERROR(INDEX($S$5:$S$304,MATCH(C1127,$R$5:$R$304,0))&amp;"","?"))</f>
        <v/>
      </c>
      <c r="N1127" s="2">
        <f>IF(E1127="","",IF(LEFT(E1127,7)="SUBSOLO",-1,IF(LEFT(E1127,6)="TÉRREO",0,IFERROR(VALUE(LEFT(E1127,FIND("º",SUBSTITUTE(E1127,"°","º"))-1)),""))))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M1128" s="2">
        <f>IF(C1128="","",IFERROR(INDEX($S$5:$S$304,MATCH(C1128,$R$5:$R$304,0))&amp;"","?"))</f>
        <v/>
      </c>
      <c r="N1128" s="2">
        <f>IF(E1128="","",IF(LEFT(E1128,7)="SUBSOLO",-1,IF(LEFT(E1128,6)="TÉRREO",0,IFERROR(VALUE(LEFT(E1128,FIND("º",SUBSTITUTE(E1128,"°","º"))-1)),""))))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M1129" s="2">
        <f>IF(C1129="","",IFERROR(INDEX($S$5:$S$304,MATCH(C1129,$R$5:$R$304,0))&amp;"","?"))</f>
        <v/>
      </c>
      <c r="N1129" s="2">
        <f>IF(E1129="","",IF(LEFT(E1129,7)="SUBSOLO",-1,IF(LEFT(E1129,6)="TÉRREO",0,IFERROR(VALUE(LEFT(E1129,FIND("º",SUBSTITUTE(E1129,"°","º"))-1)),""))))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M1130" s="2">
        <f>IF(C1130="","",IFERROR(INDEX($S$5:$S$304,MATCH(C1130,$R$5:$R$304,0))&amp;"","?"))</f>
        <v/>
      </c>
      <c r="N1130" s="2">
        <f>IF(E1130="","",IF(LEFT(E1130,7)="SUBSOLO",-1,IF(LEFT(E1130,6)="TÉRREO",0,IFERROR(VALUE(LEFT(E1130,FIND("º",SUBSTITUTE(E1130,"°","º"))-1)),""))))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M1131" s="2">
        <f>IF(C1131="","",IFERROR(INDEX($S$5:$S$304,MATCH(C1131,$R$5:$R$304,0))&amp;"","?"))</f>
        <v/>
      </c>
      <c r="N1131" s="2">
        <f>IF(E1131="","",IF(LEFT(E1131,7)="SUBSOLO",-1,IF(LEFT(E1131,6)="TÉRREO",0,IFERROR(VALUE(LEFT(E1131,FIND("º",SUBSTITUTE(E1131,"°","º"))-1)),""))))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M1132" s="2">
        <f>IF(C1132="","",IFERROR(INDEX($S$5:$S$304,MATCH(C1132,$R$5:$R$304,0))&amp;"","?"))</f>
        <v/>
      </c>
      <c r="N1132" s="2">
        <f>IF(E1132="","",IF(LEFT(E1132,7)="SUBSOLO",-1,IF(LEFT(E1132,6)="TÉRREO",0,IFERROR(VALUE(LEFT(E1132,FIND("º",SUBSTITUTE(E1132,"°","º"))-1)),""))))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M1133" s="2">
        <f>IF(C1133="","",IFERROR(INDEX($S$5:$S$304,MATCH(C1133,$R$5:$R$304,0))&amp;"","?"))</f>
        <v/>
      </c>
      <c r="N1133" s="2">
        <f>IF(E1133="","",IF(LEFT(E1133,7)="SUBSOLO",-1,IF(LEFT(E1133,6)="TÉRREO",0,IFERROR(VALUE(LEFT(E1133,FIND("º",SUBSTITUTE(E1133,"°","º"))-1)),""))))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M1134" s="2">
        <f>IF(C1134="","",IFERROR(INDEX($S$5:$S$304,MATCH(C1134,$R$5:$R$304,0))&amp;"","?"))</f>
        <v/>
      </c>
      <c r="N1134" s="2">
        <f>IF(E1134="","",IF(LEFT(E1134,7)="SUBSOLO",-1,IF(LEFT(E1134,6)="TÉRREO",0,IFERROR(VALUE(LEFT(E1134,FIND("º",SUBSTITUTE(E1134,"°","º"))-1)),""))))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M1135" s="2">
        <f>IF(C1135="","",IFERROR(INDEX($S$5:$S$304,MATCH(C1135,$R$5:$R$304,0))&amp;"","?"))</f>
        <v/>
      </c>
      <c r="N1135" s="2">
        <f>IF(E1135="","",IF(LEFT(E1135,7)="SUBSOLO",-1,IF(LEFT(E1135,6)="TÉRREO",0,IFERROR(VALUE(LEFT(E1135,FIND("º",SUBSTITUTE(E1135,"°","º"))-1)),""))))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M1136" s="2">
        <f>IF(C1136="","",IFERROR(INDEX($S$5:$S$304,MATCH(C1136,$R$5:$R$304,0))&amp;"","?"))</f>
        <v/>
      </c>
      <c r="N1136" s="2">
        <f>IF(E1136="","",IF(LEFT(E1136,7)="SUBSOLO",-1,IF(LEFT(E1136,6)="TÉRREO",0,IFERROR(VALUE(LEFT(E1136,FIND("º",SUBSTITUTE(E1136,"°","º"))-1)),""))))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M1137" s="2">
        <f>IF(C1137="","",IFERROR(INDEX($S$5:$S$304,MATCH(C1137,$R$5:$R$304,0))&amp;"","?"))</f>
        <v/>
      </c>
      <c r="N1137" s="2">
        <f>IF(E1137="","",IF(LEFT(E1137,7)="SUBSOLO",-1,IF(LEFT(E1137,6)="TÉRREO",0,IFERROR(VALUE(LEFT(E1137,FIND("º",SUBSTITUTE(E1137,"°","º"))-1)),""))))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M1138" s="2">
        <f>IF(C1138="","",IFERROR(INDEX($S$5:$S$304,MATCH(C1138,$R$5:$R$304,0))&amp;"","?"))</f>
        <v/>
      </c>
      <c r="N1138" s="2">
        <f>IF(E1138="","",IF(LEFT(E1138,7)="SUBSOLO",-1,IF(LEFT(E1138,6)="TÉRREO",0,IFERROR(VALUE(LEFT(E1138,FIND("º",SUBSTITUTE(E1138,"°","º"))-1)),""))))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M1139" s="2">
        <f>IF(C1139="","",IFERROR(INDEX($S$5:$S$304,MATCH(C1139,$R$5:$R$304,0))&amp;"","?"))</f>
        <v/>
      </c>
      <c r="N1139" s="2">
        <f>IF(E1139="","",IF(LEFT(E1139,7)="SUBSOLO",-1,IF(LEFT(E1139,6)="TÉRREO",0,IFERROR(VALUE(LEFT(E1139,FIND("º",SUBSTITUTE(E1139,"°","º"))-1)),""))))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M1140" s="2">
        <f>IF(C1140="","",IFERROR(INDEX($S$5:$S$304,MATCH(C1140,$R$5:$R$304,0))&amp;"","?"))</f>
        <v/>
      </c>
      <c r="N1140" s="2">
        <f>IF(E1140="","",IF(LEFT(E1140,7)="SUBSOLO",-1,IF(LEFT(E1140,6)="TÉRREO",0,IFERROR(VALUE(LEFT(E1140,FIND("º",SUBSTITUTE(E1140,"°","º"))-1)),""))))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M1141" s="2">
        <f>IF(C1141="","",IFERROR(INDEX($S$5:$S$304,MATCH(C1141,$R$5:$R$304,0))&amp;"","?"))</f>
        <v/>
      </c>
      <c r="N1141" s="2">
        <f>IF(E1141="","",IF(LEFT(E1141,7)="SUBSOLO",-1,IF(LEFT(E1141,6)="TÉRREO",0,IFERROR(VALUE(LEFT(E1141,FIND("º",SUBSTITUTE(E1141,"°","º"))-1)),""))))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M1142" s="2">
        <f>IF(C1142="","",IFERROR(INDEX($S$5:$S$304,MATCH(C1142,$R$5:$R$304,0))&amp;"","?"))</f>
        <v/>
      </c>
      <c r="N1142" s="2">
        <f>IF(E1142="","",IF(LEFT(E1142,7)="SUBSOLO",-1,IF(LEFT(E1142,6)="TÉRREO",0,IFERROR(VALUE(LEFT(E1142,FIND("º",SUBSTITUTE(E1142,"°","º"))-1)),""))))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M1143" s="2">
        <f>IF(C1143="","",IFERROR(INDEX($S$5:$S$304,MATCH(C1143,$R$5:$R$304,0))&amp;"","?"))</f>
        <v/>
      </c>
      <c r="N1143" s="2">
        <f>IF(E1143="","",IF(LEFT(E1143,7)="SUBSOLO",-1,IF(LEFT(E1143,6)="TÉRREO",0,IFERROR(VALUE(LEFT(E1143,FIND("º",SUBSTITUTE(E1143,"°","º"))-1)),""))))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M1144" s="2">
        <f>IF(C1144="","",IFERROR(INDEX($S$5:$S$304,MATCH(C1144,$R$5:$R$304,0))&amp;"","?"))</f>
        <v/>
      </c>
      <c r="N1144" s="2">
        <f>IF(E1144="","",IF(LEFT(E1144,7)="SUBSOLO",-1,IF(LEFT(E1144,6)="TÉRREO",0,IFERROR(VALUE(LEFT(E1144,FIND("º",SUBSTITUTE(E1144,"°","º"))-1)),""))))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M1145" s="2">
        <f>IF(C1145="","",IFERROR(INDEX($S$5:$S$304,MATCH(C1145,$R$5:$R$304,0))&amp;"","?"))</f>
        <v/>
      </c>
      <c r="N1145" s="2">
        <f>IF(E1145="","",IF(LEFT(E1145,7)="SUBSOLO",-1,IF(LEFT(E1145,6)="TÉRREO",0,IFERROR(VALUE(LEFT(E1145,FIND("º",SUBSTITUTE(E1145,"°","º"))-1)),""))))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M1146" s="2">
        <f>IF(C1146="","",IFERROR(INDEX($S$5:$S$304,MATCH(C1146,$R$5:$R$304,0))&amp;"","?"))</f>
        <v/>
      </c>
      <c r="N1146" s="2">
        <f>IF(E1146="","",IF(LEFT(E1146,7)="SUBSOLO",-1,IF(LEFT(E1146,6)="TÉRREO",0,IFERROR(VALUE(LEFT(E1146,FIND("º",SUBSTITUTE(E1146,"°","º"))-1)),""))))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M1147" s="2">
        <f>IF(C1147="","",IFERROR(INDEX($S$5:$S$304,MATCH(C1147,$R$5:$R$304,0))&amp;"","?"))</f>
        <v/>
      </c>
      <c r="N1147" s="2">
        <f>IF(E1147="","",IF(LEFT(E1147,7)="SUBSOLO",-1,IF(LEFT(E1147,6)="TÉRREO",0,IFERROR(VALUE(LEFT(E1147,FIND("º",SUBSTITUTE(E1147,"°","º"))-1)),""))))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M1148" s="2">
        <f>IF(C1148="","",IFERROR(INDEX($S$5:$S$304,MATCH(C1148,$R$5:$R$304,0))&amp;"","?"))</f>
        <v/>
      </c>
      <c r="N1148" s="2">
        <f>IF(E1148="","",IF(LEFT(E1148,7)="SUBSOLO",-1,IF(LEFT(E1148,6)="TÉRREO",0,IFERROR(VALUE(LEFT(E1148,FIND("º",SUBSTITUTE(E1148,"°","º"))-1)),""))))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M1149" s="2">
        <f>IF(C1149="","",IFERROR(INDEX($S$5:$S$304,MATCH(C1149,$R$5:$R$304,0))&amp;"","?"))</f>
        <v/>
      </c>
      <c r="N1149" s="2">
        <f>IF(E1149="","",IF(LEFT(E1149,7)="SUBSOLO",-1,IF(LEFT(E1149,6)="TÉRREO",0,IFERROR(VALUE(LEFT(E1149,FIND("º",SUBSTITUTE(E1149,"°","º"))-1)),""))))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M1150" s="2">
        <f>IF(C1150="","",IFERROR(INDEX($S$5:$S$304,MATCH(C1150,$R$5:$R$304,0))&amp;"","?"))</f>
        <v/>
      </c>
      <c r="N1150" s="2">
        <f>IF(E1150="","",IF(LEFT(E1150,7)="SUBSOLO",-1,IF(LEFT(E1150,6)="TÉRREO",0,IFERROR(VALUE(LEFT(E1150,FIND("º",SUBSTITUTE(E1150,"°","º"))-1)),""))))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M1151" s="2">
        <f>IF(C1151="","",IFERROR(INDEX($S$5:$S$304,MATCH(C1151,$R$5:$R$304,0))&amp;"","?"))</f>
        <v/>
      </c>
      <c r="N1151" s="2">
        <f>IF(E1151="","",IF(LEFT(E1151,7)="SUBSOLO",-1,IF(LEFT(E1151,6)="TÉRREO",0,IFERROR(VALUE(LEFT(E1151,FIND("º",SUBSTITUTE(E1151,"°","º"))-1)),""))))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M1152" s="2">
        <f>IF(C1152="","",IFERROR(INDEX($S$5:$S$304,MATCH(C1152,$R$5:$R$304,0))&amp;"","?"))</f>
        <v/>
      </c>
      <c r="N1152" s="2">
        <f>IF(E1152="","",IF(LEFT(E1152,7)="SUBSOLO",-1,IF(LEFT(E1152,6)="TÉRREO",0,IFERROR(VALUE(LEFT(E1152,FIND("º",SUBSTITUTE(E1152,"°","º"))-1)),""))))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M1153" s="2">
        <f>IF(C1153="","",IFERROR(INDEX($S$5:$S$304,MATCH(C1153,$R$5:$R$304,0))&amp;"","?"))</f>
        <v/>
      </c>
      <c r="N1153" s="2">
        <f>IF(E1153="","",IF(LEFT(E1153,7)="SUBSOLO",-1,IF(LEFT(E1153,6)="TÉRREO",0,IFERROR(VALUE(LEFT(E1153,FIND("º",SUBSTITUTE(E1153,"°","º"))-1)),""))))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M1154" s="2">
        <f>IF(C1154="","",IFERROR(INDEX($S$5:$S$304,MATCH(C1154,$R$5:$R$304,0))&amp;"","?"))</f>
        <v/>
      </c>
      <c r="N1154" s="2">
        <f>IF(E1154="","",IF(LEFT(E1154,7)="SUBSOLO",-1,IF(LEFT(E1154,6)="TÉRREO",0,IFERROR(VALUE(LEFT(E1154,FIND("º",SUBSTITUTE(E1154,"°","º"))-1)),""))))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M1155" s="2">
        <f>IF(C1155="","",IFERROR(INDEX($S$5:$S$304,MATCH(C1155,$R$5:$R$304,0))&amp;"","?"))</f>
        <v/>
      </c>
      <c r="N1155" s="2">
        <f>IF(E1155="","",IF(LEFT(E1155,7)="SUBSOLO",-1,IF(LEFT(E1155,6)="TÉRREO",0,IFERROR(VALUE(LEFT(E1155,FIND("º",SUBSTITUTE(E1155,"°","º"))-1)),""))))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M1156" s="2">
        <f>IF(C1156="","",IFERROR(INDEX($S$5:$S$304,MATCH(C1156,$R$5:$R$304,0))&amp;"","?"))</f>
        <v/>
      </c>
      <c r="N1156" s="2">
        <f>IF(E1156="","",IF(LEFT(E1156,7)="SUBSOLO",-1,IF(LEFT(E1156,6)="TÉRREO",0,IFERROR(VALUE(LEFT(E1156,FIND("º",SUBSTITUTE(E1156,"°","º"))-1)),""))))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M1157" s="2">
        <f>IF(C1157="","",IFERROR(INDEX($S$5:$S$304,MATCH(C1157,$R$5:$R$304,0))&amp;"","?"))</f>
        <v/>
      </c>
      <c r="N1157" s="2">
        <f>IF(E1157="","",IF(LEFT(E1157,7)="SUBSOLO",-1,IF(LEFT(E1157,6)="TÉRREO",0,IFERROR(VALUE(LEFT(E1157,FIND("º",SUBSTITUTE(E1157,"°","º"))-1)),""))))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M1158" s="2">
        <f>IF(C1158="","",IFERROR(INDEX($S$5:$S$304,MATCH(C1158,$R$5:$R$304,0))&amp;"","?"))</f>
        <v/>
      </c>
      <c r="N1158" s="2">
        <f>IF(E1158="","",IF(LEFT(E1158,7)="SUBSOLO",-1,IF(LEFT(E1158,6)="TÉRREO",0,IFERROR(VALUE(LEFT(E1158,FIND("º",SUBSTITUTE(E1158,"°","º"))-1)),""))))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M1159" s="2">
        <f>IF(C1159="","",IFERROR(INDEX($S$5:$S$304,MATCH(C1159,$R$5:$R$304,0))&amp;"","?"))</f>
        <v/>
      </c>
      <c r="N1159" s="2">
        <f>IF(E1159="","",IF(LEFT(E1159,7)="SUBSOLO",-1,IF(LEFT(E1159,6)="TÉRREO",0,IFERROR(VALUE(LEFT(E1159,FIND("º",SUBSTITUTE(E1159,"°","º"))-1)),""))))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M1160" s="2">
        <f>IF(C1160="","",IFERROR(INDEX($S$5:$S$304,MATCH(C1160,$R$5:$R$304,0))&amp;"","?"))</f>
        <v/>
      </c>
      <c r="N1160" s="2">
        <f>IF(E1160="","",IF(LEFT(E1160,7)="SUBSOLO",-1,IF(LEFT(E1160,6)="TÉRREO",0,IFERROR(VALUE(LEFT(E1160,FIND("º",SUBSTITUTE(E1160,"°","º"))-1)),""))))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M1161" s="2">
        <f>IF(C1161="","",IFERROR(INDEX($S$5:$S$304,MATCH(C1161,$R$5:$R$304,0))&amp;"","?"))</f>
        <v/>
      </c>
      <c r="N1161" s="2">
        <f>IF(E1161="","",IF(LEFT(E1161,7)="SUBSOLO",-1,IF(LEFT(E1161,6)="TÉRREO",0,IFERROR(VALUE(LEFT(E1161,FIND("º",SUBSTITUTE(E1161,"°","º"))-1)),""))))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M1162" s="2">
        <f>IF(C1162="","",IFERROR(INDEX($S$5:$S$304,MATCH(C1162,$R$5:$R$304,0))&amp;"","?"))</f>
        <v/>
      </c>
      <c r="N1162" s="2">
        <f>IF(E1162="","",IF(LEFT(E1162,7)="SUBSOLO",-1,IF(LEFT(E1162,6)="TÉRREO",0,IFERROR(VALUE(LEFT(E1162,FIND("º",SUBSTITUTE(E1162,"°","º"))-1)),""))))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M1163" s="2">
        <f>IF(C1163="","",IFERROR(INDEX($S$5:$S$304,MATCH(C1163,$R$5:$R$304,0))&amp;"","?"))</f>
        <v/>
      </c>
      <c r="N1163" s="2">
        <f>IF(E1163="","",IF(LEFT(E1163,7)="SUBSOLO",-1,IF(LEFT(E1163,6)="TÉRREO",0,IFERROR(VALUE(LEFT(E1163,FIND("º",SUBSTITUTE(E1163,"°","º"))-1)),""))))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M1164" s="2">
        <f>IF(C1164="","",IFERROR(INDEX($S$5:$S$304,MATCH(C1164,$R$5:$R$304,0))&amp;"","?"))</f>
        <v/>
      </c>
      <c r="N1164" s="2">
        <f>IF(E1164="","",IF(LEFT(E1164,7)="SUBSOLO",-1,IF(LEFT(E1164,6)="TÉRREO",0,IFERROR(VALUE(LEFT(E1164,FIND("º",SUBSTITUTE(E1164,"°","º"))-1)),""))))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M1165" s="2">
        <f>IF(C1165="","",IFERROR(INDEX($S$5:$S$304,MATCH(C1165,$R$5:$R$304,0))&amp;"","?"))</f>
        <v/>
      </c>
      <c r="N1165" s="2">
        <f>IF(E1165="","",IF(LEFT(E1165,7)="SUBSOLO",-1,IF(LEFT(E1165,6)="TÉRREO",0,IFERROR(VALUE(LEFT(E1165,FIND("º",SUBSTITUTE(E1165,"°","º"))-1)),""))))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M1166" s="2">
        <f>IF(C1166="","",IFERROR(INDEX($S$5:$S$304,MATCH(C1166,$R$5:$R$304,0))&amp;"","?"))</f>
        <v/>
      </c>
      <c r="N1166" s="2">
        <f>IF(E1166="","",IF(LEFT(E1166,7)="SUBSOLO",-1,IF(LEFT(E1166,6)="TÉRREO",0,IFERROR(VALUE(LEFT(E1166,FIND("º",SUBSTITUTE(E1166,"°","º"))-1)),""))))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M1167" s="2">
        <f>IF(C1167="","",IFERROR(INDEX($S$5:$S$304,MATCH(C1167,$R$5:$R$304,0))&amp;"","?"))</f>
        <v/>
      </c>
      <c r="N1167" s="2">
        <f>IF(E1167="","",IF(LEFT(E1167,7)="SUBSOLO",-1,IF(LEFT(E1167,6)="TÉRREO",0,IFERROR(VALUE(LEFT(E1167,FIND("º",SUBSTITUTE(E1167,"°","º"))-1)),""))))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M1168" s="2">
        <f>IF(C1168="","",IFERROR(INDEX($S$5:$S$304,MATCH(C1168,$R$5:$R$304,0))&amp;"","?"))</f>
        <v/>
      </c>
      <c r="N1168" s="2">
        <f>IF(E1168="","",IF(LEFT(E1168,7)="SUBSOLO",-1,IF(LEFT(E1168,6)="TÉRREO",0,IFERROR(VALUE(LEFT(E1168,FIND("º",SUBSTITUTE(E1168,"°","º"))-1)),""))))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M1169" s="2">
        <f>IF(C1169="","",IFERROR(INDEX($S$5:$S$304,MATCH(C1169,$R$5:$R$304,0))&amp;"","?"))</f>
        <v/>
      </c>
      <c r="N1169" s="2">
        <f>IF(E1169="","",IF(LEFT(E1169,7)="SUBSOLO",-1,IF(LEFT(E1169,6)="TÉRREO",0,IFERROR(VALUE(LEFT(E1169,FIND("º",SUBSTITUTE(E1169,"°","º"))-1)),""))))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M1170" s="2">
        <f>IF(C1170="","",IFERROR(INDEX($S$5:$S$304,MATCH(C1170,$R$5:$R$304,0))&amp;"","?"))</f>
        <v/>
      </c>
      <c r="N1170" s="2">
        <f>IF(E1170="","",IF(LEFT(E1170,7)="SUBSOLO",-1,IF(LEFT(E1170,6)="TÉRREO",0,IFERROR(VALUE(LEFT(E1170,FIND("º",SUBSTITUTE(E1170,"°","º"))-1)),""))))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M1171" s="2">
        <f>IF(C1171="","",IFERROR(INDEX($S$5:$S$304,MATCH(C1171,$R$5:$R$304,0))&amp;"","?"))</f>
        <v/>
      </c>
      <c r="N1171" s="2">
        <f>IF(E1171="","",IF(LEFT(E1171,7)="SUBSOLO",-1,IF(LEFT(E1171,6)="TÉRREO",0,IFERROR(VALUE(LEFT(E1171,FIND("º",SUBSTITUTE(E1171,"°","º"))-1)),""))))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M1172" s="2">
        <f>IF(C1172="","",IFERROR(INDEX($S$5:$S$304,MATCH(C1172,$R$5:$R$304,0))&amp;"","?"))</f>
        <v/>
      </c>
      <c r="N1172" s="2">
        <f>IF(E1172="","",IF(LEFT(E1172,7)="SUBSOLO",-1,IF(LEFT(E1172,6)="TÉRREO",0,IFERROR(VALUE(LEFT(E1172,FIND("º",SUBSTITUTE(E1172,"°","º"))-1)),""))))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M1173" s="2">
        <f>IF(C1173="","",IFERROR(INDEX($S$5:$S$304,MATCH(C1173,$R$5:$R$304,0))&amp;"","?"))</f>
        <v/>
      </c>
      <c r="N1173" s="2">
        <f>IF(E1173="","",IF(LEFT(E1173,7)="SUBSOLO",-1,IF(LEFT(E1173,6)="TÉRREO",0,IFERROR(VALUE(LEFT(E1173,FIND("º",SUBSTITUTE(E1173,"°","º"))-1)),""))))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M1174" s="2">
        <f>IF(C1174="","",IFERROR(INDEX($S$5:$S$304,MATCH(C1174,$R$5:$R$304,0))&amp;"","?"))</f>
        <v/>
      </c>
      <c r="N1174" s="2">
        <f>IF(E1174="","",IF(LEFT(E1174,7)="SUBSOLO",-1,IF(LEFT(E1174,6)="TÉRREO",0,IFERROR(VALUE(LEFT(E1174,FIND("º",SUBSTITUTE(E1174,"°","º"))-1)),""))))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M1175" s="2">
        <f>IF(C1175="","",IFERROR(INDEX($S$5:$S$304,MATCH(C1175,$R$5:$R$304,0))&amp;"","?"))</f>
        <v/>
      </c>
      <c r="N1175" s="2">
        <f>IF(E1175="","",IF(LEFT(E1175,7)="SUBSOLO",-1,IF(LEFT(E1175,6)="TÉRREO",0,IFERROR(VALUE(LEFT(E1175,FIND("º",SUBSTITUTE(E1175,"°","º"))-1)),""))))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M1176" s="2">
        <f>IF(C1176="","",IFERROR(INDEX($S$5:$S$304,MATCH(C1176,$R$5:$R$304,0))&amp;"","?"))</f>
        <v/>
      </c>
      <c r="N1176" s="2">
        <f>IF(E1176="","",IF(LEFT(E1176,7)="SUBSOLO",-1,IF(LEFT(E1176,6)="TÉRREO",0,IFERROR(VALUE(LEFT(E1176,FIND("º",SUBSTITUTE(E1176,"°","º"))-1)),""))))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M1177" s="2">
        <f>IF(C1177="","",IFERROR(INDEX($S$5:$S$304,MATCH(C1177,$R$5:$R$304,0))&amp;"","?"))</f>
        <v/>
      </c>
      <c r="N1177" s="2">
        <f>IF(E1177="","",IF(LEFT(E1177,7)="SUBSOLO",-1,IF(LEFT(E1177,6)="TÉRREO",0,IFERROR(VALUE(LEFT(E1177,FIND("º",SUBSTITUTE(E1177,"°","º"))-1)),""))))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M1178" s="2">
        <f>IF(C1178="","",IFERROR(INDEX($S$5:$S$304,MATCH(C1178,$R$5:$R$304,0))&amp;"","?"))</f>
        <v/>
      </c>
      <c r="N1178" s="2">
        <f>IF(E1178="","",IF(LEFT(E1178,7)="SUBSOLO",-1,IF(LEFT(E1178,6)="TÉRREO",0,IFERROR(VALUE(LEFT(E1178,FIND("º",SUBSTITUTE(E1178,"°","º"))-1)),""))))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M1179" s="2">
        <f>IF(C1179="","",IFERROR(INDEX($S$5:$S$304,MATCH(C1179,$R$5:$R$304,0))&amp;"","?"))</f>
        <v/>
      </c>
      <c r="N1179" s="2">
        <f>IF(E1179="","",IF(LEFT(E1179,7)="SUBSOLO",-1,IF(LEFT(E1179,6)="TÉRREO",0,IFERROR(VALUE(LEFT(E1179,FIND("º",SUBSTITUTE(E1179,"°","º"))-1)),""))))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M1180" s="2">
        <f>IF(C1180="","",IFERROR(INDEX($S$5:$S$304,MATCH(C1180,$R$5:$R$304,0))&amp;"","?"))</f>
        <v/>
      </c>
      <c r="N1180" s="2">
        <f>IF(E1180="","",IF(LEFT(E1180,7)="SUBSOLO",-1,IF(LEFT(E1180,6)="TÉRREO",0,IFERROR(VALUE(LEFT(E1180,FIND("º",SUBSTITUTE(E1180,"°","º"))-1)),""))))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M1181" s="2">
        <f>IF(C1181="","",IFERROR(INDEX($S$5:$S$304,MATCH(C1181,$R$5:$R$304,0))&amp;"","?"))</f>
        <v/>
      </c>
      <c r="N1181" s="2">
        <f>IF(E1181="","",IF(LEFT(E1181,7)="SUBSOLO",-1,IF(LEFT(E1181,6)="TÉRREO",0,IFERROR(VALUE(LEFT(E1181,FIND("º",SUBSTITUTE(E1181,"°","º"))-1)),""))))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M1182" s="2">
        <f>IF(C1182="","",IFERROR(INDEX($S$5:$S$304,MATCH(C1182,$R$5:$R$304,0))&amp;"","?"))</f>
        <v/>
      </c>
      <c r="N1182" s="2">
        <f>IF(E1182="","",IF(LEFT(E1182,7)="SUBSOLO",-1,IF(LEFT(E1182,6)="TÉRREO",0,IFERROR(VALUE(LEFT(E1182,FIND("º",SUBSTITUTE(E1182,"°","º"))-1)),""))))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M1183" s="2">
        <f>IF(C1183="","",IFERROR(INDEX($S$5:$S$304,MATCH(C1183,$R$5:$R$304,0))&amp;"","?"))</f>
        <v/>
      </c>
      <c r="N1183" s="2">
        <f>IF(E1183="","",IF(LEFT(E1183,7)="SUBSOLO",-1,IF(LEFT(E1183,6)="TÉRREO",0,IFERROR(VALUE(LEFT(E1183,FIND("º",SUBSTITUTE(E1183,"°","º"))-1)),""))))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M1184" s="2">
        <f>IF(C1184="","",IFERROR(INDEX($S$5:$S$304,MATCH(C1184,$R$5:$R$304,0))&amp;"","?"))</f>
        <v/>
      </c>
      <c r="N1184" s="2">
        <f>IF(E1184="","",IF(LEFT(E1184,7)="SUBSOLO",-1,IF(LEFT(E1184,6)="TÉRREO",0,IFERROR(VALUE(LEFT(E1184,FIND("º",SUBSTITUTE(E1184,"°","º"))-1)),""))))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M1185" s="2">
        <f>IF(C1185="","",IFERROR(INDEX($S$5:$S$304,MATCH(C1185,$R$5:$R$304,0))&amp;"","?"))</f>
        <v/>
      </c>
      <c r="N1185" s="2">
        <f>IF(E1185="","",IF(LEFT(E1185,7)="SUBSOLO",-1,IF(LEFT(E1185,6)="TÉRREO",0,IFERROR(VALUE(LEFT(E1185,FIND("º",SUBSTITUTE(E1185,"°","º"))-1)),""))))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M1186" s="2">
        <f>IF(C1186="","",IFERROR(INDEX($S$5:$S$304,MATCH(C1186,$R$5:$R$304,0))&amp;"","?"))</f>
        <v/>
      </c>
      <c r="N1186" s="2">
        <f>IF(E1186="","",IF(LEFT(E1186,7)="SUBSOLO",-1,IF(LEFT(E1186,6)="TÉRREO",0,IFERROR(VALUE(LEFT(E1186,FIND("º",SUBSTITUTE(E1186,"°","º"))-1)),""))))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M1187" s="2">
        <f>IF(C1187="","",IFERROR(INDEX($S$5:$S$304,MATCH(C1187,$R$5:$R$304,0))&amp;"","?"))</f>
        <v/>
      </c>
      <c r="N1187" s="2">
        <f>IF(E1187="","",IF(LEFT(E1187,7)="SUBSOLO",-1,IF(LEFT(E1187,6)="TÉRREO",0,IFERROR(VALUE(LEFT(E1187,FIND("º",SUBSTITUTE(E1187,"°","º"))-1)),""))))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M1188" s="2">
        <f>IF(C1188="","",IFERROR(INDEX($S$5:$S$304,MATCH(C1188,$R$5:$R$304,0))&amp;"","?"))</f>
        <v/>
      </c>
      <c r="N1188" s="2">
        <f>IF(E1188="","",IF(LEFT(E1188,7)="SUBSOLO",-1,IF(LEFT(E1188,6)="TÉRREO",0,IFERROR(VALUE(LEFT(E1188,FIND("º",SUBSTITUTE(E1188,"°","º"))-1)),""))))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M1189" s="2">
        <f>IF(C1189="","",IFERROR(INDEX($S$5:$S$304,MATCH(C1189,$R$5:$R$304,0))&amp;"","?"))</f>
        <v/>
      </c>
      <c r="N1189" s="2">
        <f>IF(E1189="","",IF(LEFT(E1189,7)="SUBSOLO",-1,IF(LEFT(E1189,6)="TÉRREO",0,IFERROR(VALUE(LEFT(E1189,FIND("º",SUBSTITUTE(E1189,"°","º"))-1)),""))))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M1190" s="2">
        <f>IF(C1190="","",IFERROR(INDEX($S$5:$S$304,MATCH(C1190,$R$5:$R$304,0))&amp;"","?"))</f>
        <v/>
      </c>
      <c r="N1190" s="2">
        <f>IF(E1190="","",IF(LEFT(E1190,7)="SUBSOLO",-1,IF(LEFT(E1190,6)="TÉRREO",0,IFERROR(VALUE(LEFT(E1190,FIND("º",SUBSTITUTE(E1190,"°","º"))-1)),""))))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M1191" s="2">
        <f>IF(C1191="","",IFERROR(INDEX($S$5:$S$304,MATCH(C1191,$R$5:$R$304,0))&amp;"","?"))</f>
        <v/>
      </c>
      <c r="N1191" s="2">
        <f>IF(E1191="","",IF(LEFT(E1191,7)="SUBSOLO",-1,IF(LEFT(E1191,6)="TÉRREO",0,IFERROR(VALUE(LEFT(E1191,FIND("º",SUBSTITUTE(E1191,"°","º"))-1)),""))))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M1192" s="2">
        <f>IF(C1192="","",IFERROR(INDEX($S$5:$S$304,MATCH(C1192,$R$5:$R$304,0))&amp;"","?"))</f>
        <v/>
      </c>
      <c r="N1192" s="2">
        <f>IF(E1192="","",IF(LEFT(E1192,7)="SUBSOLO",-1,IF(LEFT(E1192,6)="TÉRREO",0,IFERROR(VALUE(LEFT(E1192,FIND("º",SUBSTITUTE(E1192,"°","º"))-1)),""))))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M1193" s="2">
        <f>IF(C1193="","",IFERROR(INDEX($S$5:$S$304,MATCH(C1193,$R$5:$R$304,0))&amp;"","?"))</f>
        <v/>
      </c>
      <c r="N1193" s="2">
        <f>IF(E1193="","",IF(LEFT(E1193,7)="SUBSOLO",-1,IF(LEFT(E1193,6)="TÉRREO",0,IFERROR(VALUE(LEFT(E1193,FIND("º",SUBSTITUTE(E1193,"°","º"))-1)),""))))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M1194" s="2">
        <f>IF(C1194="","",IFERROR(INDEX($S$5:$S$304,MATCH(C1194,$R$5:$R$304,0))&amp;"","?"))</f>
        <v/>
      </c>
      <c r="N1194" s="2">
        <f>IF(E1194="","",IF(LEFT(E1194,7)="SUBSOLO",-1,IF(LEFT(E1194,6)="TÉRREO",0,IFERROR(VALUE(LEFT(E1194,FIND("º",SUBSTITUTE(E1194,"°","º"))-1)),""))))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M1195" s="2">
        <f>IF(C1195="","",IFERROR(INDEX($S$5:$S$304,MATCH(C1195,$R$5:$R$304,0))&amp;"","?"))</f>
        <v/>
      </c>
      <c r="N1195" s="2">
        <f>IF(E1195="","",IF(LEFT(E1195,7)="SUBSOLO",-1,IF(LEFT(E1195,6)="TÉRREO",0,IFERROR(VALUE(LEFT(E1195,FIND("º",SUBSTITUTE(E1195,"°","º"))-1)),""))))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M1196" s="2">
        <f>IF(C1196="","",IFERROR(INDEX($S$5:$S$304,MATCH(C1196,$R$5:$R$304,0))&amp;"","?"))</f>
        <v/>
      </c>
      <c r="N1196" s="2">
        <f>IF(E1196="","",IF(LEFT(E1196,7)="SUBSOLO",-1,IF(LEFT(E1196,6)="TÉRREO",0,IFERROR(VALUE(LEFT(E1196,FIND("º",SUBSTITUTE(E1196,"°","º"))-1)),""))))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M1197" s="2">
        <f>IF(C1197="","",IFERROR(INDEX($S$5:$S$304,MATCH(C1197,$R$5:$R$304,0))&amp;"","?"))</f>
        <v/>
      </c>
      <c r="N1197" s="2">
        <f>IF(E1197="","",IF(LEFT(E1197,7)="SUBSOLO",-1,IF(LEFT(E1197,6)="TÉRREO",0,IFERROR(VALUE(LEFT(E1197,FIND("º",SUBSTITUTE(E1197,"°","º"))-1)),""))))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M1198" s="2">
        <f>IF(C1198="","",IFERROR(INDEX($S$5:$S$304,MATCH(C1198,$R$5:$R$304,0))&amp;"","?"))</f>
        <v/>
      </c>
      <c r="N1198" s="2">
        <f>IF(E1198="","",IF(LEFT(E1198,7)="SUBSOLO",-1,IF(LEFT(E1198,6)="TÉRREO",0,IFERROR(VALUE(LEFT(E1198,FIND("º",SUBSTITUTE(E1198,"°","º"))-1)),""))))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M1199" s="2">
        <f>IF(C1199="","",IFERROR(INDEX($S$5:$S$304,MATCH(C1199,$R$5:$R$304,0))&amp;"","?"))</f>
        <v/>
      </c>
      <c r="N1199" s="2">
        <f>IF(E1199="","",IF(LEFT(E1199,7)="SUBSOLO",-1,IF(LEFT(E1199,6)="TÉRREO",0,IFERROR(VALUE(LEFT(E1199,FIND("º",SUBSTITUTE(E1199,"°","º"))-1)),""))))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M1200" s="2">
        <f>IF(C1200="","",IFERROR(INDEX($S$5:$S$304,MATCH(C1200,$R$5:$R$304,0))&amp;"","?"))</f>
        <v/>
      </c>
      <c r="N1200" s="2">
        <f>IF(E1200="","",IF(LEFT(E1200,7)="SUBSOLO",-1,IF(LEFT(E1200,6)="TÉRREO",0,IFERROR(VALUE(LEFT(E1200,FIND("º",SUBSTITUTE(E1200,"°","º"))-1)),""))))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M1201" s="2">
        <f>IF(C1201="","",IFERROR(INDEX($S$5:$S$304,MATCH(C1201,$R$5:$R$304,0))&amp;"","?"))</f>
        <v/>
      </c>
      <c r="N1201" s="2">
        <f>IF(E1201="","",IF(LEFT(E1201,7)="SUBSOLO",-1,IF(LEFT(E1201,6)="TÉRREO",0,IFERROR(VALUE(LEFT(E1201,FIND("º",SUBSTITUTE(E1201,"°","º"))-1)),""))))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M1202" s="2">
        <f>IF(C1202="","",IFERROR(INDEX($S$5:$S$304,MATCH(C1202,$R$5:$R$304,0))&amp;"","?"))</f>
        <v/>
      </c>
      <c r="N1202" s="2">
        <f>IF(E1202="","",IF(LEFT(E1202,7)="SUBSOLO",-1,IF(LEFT(E1202,6)="TÉRREO",0,IFERROR(VALUE(LEFT(E1202,FIND("º",SUBSTITUTE(E1202,"°","º"))-1)),""))))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M1203" s="2">
        <f>IF(C1203="","",IFERROR(INDEX($S$5:$S$304,MATCH(C1203,$R$5:$R$304,0))&amp;"","?"))</f>
        <v/>
      </c>
      <c r="N1203" s="2">
        <f>IF(E1203="","",IF(LEFT(E1203,7)="SUBSOLO",-1,IF(LEFT(E1203,6)="TÉRREO",0,IFERROR(VALUE(LEFT(E1203,FIND("º",SUBSTITUTE(E1203,"°","º"))-1)),""))))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M1204" s="2">
        <f>IF(C1204="","",IFERROR(INDEX($S$5:$S$304,MATCH(C1204,$R$5:$R$304,0))&amp;"","?"))</f>
        <v/>
      </c>
      <c r="N1204" s="2">
        <f>IF(E1204="","",IF(LEFT(E1204,7)="SUBSOLO",-1,IF(LEFT(E1204,6)="TÉRREO",0,IFERROR(VALUE(LEFT(E1204,FIND("º",SUBSTITUTE(E1204,"°","º"))-1)),""))))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M1205" s="2">
        <f>IF(C1205="","",IFERROR(INDEX($S$5:$S$304,MATCH(C1205,$R$5:$R$304,0))&amp;"","?"))</f>
        <v/>
      </c>
      <c r="N1205" s="2">
        <f>IF(E1205="","",IF(LEFT(E1205,7)="SUBSOLO",-1,IF(LEFT(E1205,6)="TÉRREO",0,IFERROR(VALUE(LEFT(E1205,FIND("º",SUBSTITUTE(E1205,"°","º"))-1)),""))))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M1206" s="2">
        <f>IF(C1206="","",IFERROR(INDEX($S$5:$S$304,MATCH(C1206,$R$5:$R$304,0))&amp;"","?"))</f>
        <v/>
      </c>
      <c r="N1206" s="2">
        <f>IF(E1206="","",IF(LEFT(E1206,7)="SUBSOLO",-1,IF(LEFT(E1206,6)="TÉRREO",0,IFERROR(VALUE(LEFT(E1206,FIND("º",SUBSTITUTE(E1206,"°","º"))-1)),""))))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M1207" s="2">
        <f>IF(C1207="","",IFERROR(INDEX($S$5:$S$304,MATCH(C1207,$R$5:$R$304,0))&amp;"","?"))</f>
        <v/>
      </c>
      <c r="N1207" s="2">
        <f>IF(E1207="","",IF(LEFT(E1207,7)="SUBSOLO",-1,IF(LEFT(E1207,6)="TÉRREO",0,IFERROR(VALUE(LEFT(E1207,FIND("º",SUBSTITUTE(E1207,"°","º"))-1)),""))))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M1208" s="2">
        <f>IF(C1208="","",IFERROR(INDEX($S$5:$S$304,MATCH(C1208,$R$5:$R$304,0))&amp;"","?"))</f>
        <v/>
      </c>
      <c r="N1208" s="2">
        <f>IF(E1208="","",IF(LEFT(E1208,7)="SUBSOLO",-1,IF(LEFT(E1208,6)="TÉRREO",0,IFERROR(VALUE(LEFT(E1208,FIND("º",SUBSTITUTE(E1208,"°","º"))-1)),""))))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M1209" s="2">
        <f>IF(C1209="","",IFERROR(INDEX($S$5:$S$304,MATCH(C1209,$R$5:$R$304,0))&amp;"","?"))</f>
        <v/>
      </c>
      <c r="N1209" s="2">
        <f>IF(E1209="","",IF(LEFT(E1209,7)="SUBSOLO",-1,IF(LEFT(E1209,6)="TÉRREO",0,IFERROR(VALUE(LEFT(E1209,FIND("º",SUBSTITUTE(E1209,"°","º"))-1)),""))))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M1210" s="2">
        <f>IF(C1210="","",IFERROR(INDEX($S$5:$S$304,MATCH(C1210,$R$5:$R$304,0))&amp;"","?"))</f>
        <v/>
      </c>
      <c r="N1210" s="2">
        <f>IF(E1210="","",IF(LEFT(E1210,7)="SUBSOLO",-1,IF(LEFT(E1210,6)="TÉRREO",0,IFERROR(VALUE(LEFT(E1210,FIND("º",SUBSTITUTE(E1210,"°","º"))-1)),""))))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M1211" s="2">
        <f>IF(C1211="","",IFERROR(INDEX($S$5:$S$304,MATCH(C1211,$R$5:$R$304,0))&amp;"","?"))</f>
        <v/>
      </c>
      <c r="N1211" s="2">
        <f>IF(E1211="","",IF(LEFT(E1211,7)="SUBSOLO",-1,IF(LEFT(E1211,6)="TÉRREO",0,IFERROR(VALUE(LEFT(E1211,FIND("º",SUBSTITUTE(E1211,"°","º"))-1)),""))))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M1212" s="2">
        <f>IF(C1212="","",IFERROR(INDEX($S$5:$S$304,MATCH(C1212,$R$5:$R$304,0))&amp;"","?"))</f>
        <v/>
      </c>
      <c r="N1212" s="2">
        <f>IF(E1212="","",IF(LEFT(E1212,7)="SUBSOLO",-1,IF(LEFT(E1212,6)="TÉRREO",0,IFERROR(VALUE(LEFT(E1212,FIND("º",SUBSTITUTE(E1212,"°","º"))-1)),""))))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M1213" s="2">
        <f>IF(C1213="","",IFERROR(INDEX($S$5:$S$304,MATCH(C1213,$R$5:$R$304,0))&amp;"","?"))</f>
        <v/>
      </c>
      <c r="N1213" s="2">
        <f>IF(E1213="","",IF(LEFT(E1213,7)="SUBSOLO",-1,IF(LEFT(E1213,6)="TÉRREO",0,IFERROR(VALUE(LEFT(E1213,FIND("º",SUBSTITUTE(E1213,"°","º"))-1)),""))))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M1214" s="2">
        <f>IF(C1214="","",IFERROR(INDEX($S$5:$S$304,MATCH(C1214,$R$5:$R$304,0))&amp;"","?"))</f>
        <v/>
      </c>
      <c r="N1214" s="2">
        <f>IF(E1214="","",IF(LEFT(E1214,7)="SUBSOLO",-1,IF(LEFT(E1214,6)="TÉRREO",0,IFERROR(VALUE(LEFT(E1214,FIND("º",SUBSTITUTE(E1214,"°","º"))-1)),""))))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M1215" s="2">
        <f>IF(C1215="","",IFERROR(INDEX($S$5:$S$304,MATCH(C1215,$R$5:$R$304,0))&amp;"","?"))</f>
        <v/>
      </c>
      <c r="N1215" s="2">
        <f>IF(E1215="","",IF(LEFT(E1215,7)="SUBSOLO",-1,IF(LEFT(E1215,6)="TÉRREO",0,IFERROR(VALUE(LEFT(E1215,FIND("º",SUBSTITUTE(E1215,"°","º"))-1)),""))))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M1216" s="2">
        <f>IF(C1216="","",IFERROR(INDEX($S$5:$S$304,MATCH(C1216,$R$5:$R$304,0))&amp;"","?"))</f>
        <v/>
      </c>
      <c r="N1216" s="2">
        <f>IF(E1216="","",IF(LEFT(E1216,7)="SUBSOLO",-1,IF(LEFT(E1216,6)="TÉRREO",0,IFERROR(VALUE(LEFT(E1216,FIND("º",SUBSTITUTE(E1216,"°","º"))-1)),""))))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M1217" s="2">
        <f>IF(C1217="","",IFERROR(INDEX($S$5:$S$304,MATCH(C1217,$R$5:$R$304,0))&amp;"","?"))</f>
        <v/>
      </c>
      <c r="N1217" s="2">
        <f>IF(E1217="","",IF(LEFT(E1217,7)="SUBSOLO",-1,IF(LEFT(E1217,6)="TÉRREO",0,IFERROR(VALUE(LEFT(E1217,FIND("º",SUBSTITUTE(E1217,"°","º"))-1)),""))))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M1218" s="2">
        <f>IF(C1218="","",IFERROR(INDEX($S$5:$S$304,MATCH(C1218,$R$5:$R$304,0))&amp;"","?"))</f>
        <v/>
      </c>
      <c r="N1218" s="2">
        <f>IF(E1218="","",IF(LEFT(E1218,7)="SUBSOLO",-1,IF(LEFT(E1218,6)="TÉRREO",0,IFERROR(VALUE(LEFT(E1218,FIND("º",SUBSTITUTE(E1218,"°","º"))-1)),""))))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M1219" s="2">
        <f>IF(C1219="","",IFERROR(INDEX($S$5:$S$304,MATCH(C1219,$R$5:$R$304,0))&amp;"","?"))</f>
        <v/>
      </c>
      <c r="N1219" s="2">
        <f>IF(E1219="","",IF(LEFT(E1219,7)="SUBSOLO",-1,IF(LEFT(E1219,6)="TÉRREO",0,IFERROR(VALUE(LEFT(E1219,FIND("º",SUBSTITUTE(E1219,"°","º"))-1)),""))))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M1220" s="2">
        <f>IF(C1220="","",IFERROR(INDEX($S$5:$S$304,MATCH(C1220,$R$5:$R$304,0))&amp;"","?"))</f>
        <v/>
      </c>
      <c r="N1220" s="2">
        <f>IF(E1220="","",IF(LEFT(E1220,7)="SUBSOLO",-1,IF(LEFT(E1220,6)="TÉRREO",0,IFERROR(VALUE(LEFT(E1220,FIND("º",SUBSTITUTE(E1220,"°","º"))-1)),""))))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M1221" s="2">
        <f>IF(C1221="","",IFERROR(INDEX($S$5:$S$304,MATCH(C1221,$R$5:$R$304,0))&amp;"","?"))</f>
        <v/>
      </c>
      <c r="N1221" s="2">
        <f>IF(E1221="","",IF(LEFT(E1221,7)="SUBSOLO",-1,IF(LEFT(E1221,6)="TÉRREO",0,IFERROR(VALUE(LEFT(E1221,FIND("º",SUBSTITUTE(E1221,"°","º"))-1)),""))))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M1222" s="2">
        <f>IF(C1222="","",IFERROR(INDEX($S$5:$S$304,MATCH(C1222,$R$5:$R$304,0))&amp;"","?"))</f>
        <v/>
      </c>
      <c r="N1222" s="2">
        <f>IF(E1222="","",IF(LEFT(E1222,7)="SUBSOLO",-1,IF(LEFT(E1222,6)="TÉRREO",0,IFERROR(VALUE(LEFT(E1222,FIND("º",SUBSTITUTE(E1222,"°","º"))-1)),""))))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M1223" s="2">
        <f>IF(C1223="","",IFERROR(INDEX($S$5:$S$304,MATCH(C1223,$R$5:$R$304,0))&amp;"","?"))</f>
        <v/>
      </c>
      <c r="N1223" s="2">
        <f>IF(E1223="","",IF(LEFT(E1223,7)="SUBSOLO",-1,IF(LEFT(E1223,6)="TÉRREO",0,IFERROR(VALUE(LEFT(E1223,FIND("º",SUBSTITUTE(E1223,"°","º"))-1)),""))))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M1224" s="2">
        <f>IF(C1224="","",IFERROR(INDEX($S$5:$S$304,MATCH(C1224,$R$5:$R$304,0))&amp;"","?"))</f>
        <v/>
      </c>
      <c r="N1224" s="2">
        <f>IF(E1224="","",IF(LEFT(E1224,7)="SUBSOLO",-1,IF(LEFT(E1224,6)="TÉRREO",0,IFERROR(VALUE(LEFT(E1224,FIND("º",SUBSTITUTE(E1224,"°","º"))-1)),""))))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M1225" s="2">
        <f>IF(C1225="","",IFERROR(INDEX($S$5:$S$304,MATCH(C1225,$R$5:$R$304,0))&amp;"","?"))</f>
        <v/>
      </c>
      <c r="N1225" s="2">
        <f>IF(E1225="","",IF(LEFT(E1225,7)="SUBSOLO",-1,IF(LEFT(E1225,6)="TÉRREO",0,IFERROR(VALUE(LEFT(E1225,FIND("º",SUBSTITUTE(E1225,"°","º"))-1)),""))))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M1226" s="2">
        <f>IF(C1226="","",IFERROR(INDEX($S$5:$S$304,MATCH(C1226,$R$5:$R$304,0))&amp;"","?"))</f>
        <v/>
      </c>
      <c r="N1226" s="2">
        <f>IF(E1226="","",IF(LEFT(E1226,7)="SUBSOLO",-1,IF(LEFT(E1226,6)="TÉRREO",0,IFERROR(VALUE(LEFT(E1226,FIND("º",SUBSTITUTE(E1226,"°","º"))-1)),""))))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M1227" s="2">
        <f>IF(C1227="","",IFERROR(INDEX($S$5:$S$304,MATCH(C1227,$R$5:$R$304,0))&amp;"","?"))</f>
        <v/>
      </c>
      <c r="N1227" s="2">
        <f>IF(E1227="","",IF(LEFT(E1227,7)="SUBSOLO",-1,IF(LEFT(E1227,6)="TÉRREO",0,IFERROR(VALUE(LEFT(E1227,FIND("º",SUBSTITUTE(E1227,"°","º"))-1)),""))))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M1228" s="2">
        <f>IF(C1228="","",IFERROR(INDEX($S$5:$S$304,MATCH(C1228,$R$5:$R$304,0))&amp;"","?"))</f>
        <v/>
      </c>
      <c r="N1228" s="2">
        <f>IF(E1228="","",IF(LEFT(E1228,7)="SUBSOLO",-1,IF(LEFT(E1228,6)="TÉRREO",0,IFERROR(VALUE(LEFT(E1228,FIND("º",SUBSTITUTE(E1228,"°","º"))-1)),""))))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M1229" s="2">
        <f>IF(C1229="","",IFERROR(INDEX($S$5:$S$304,MATCH(C1229,$R$5:$R$304,0))&amp;"","?"))</f>
        <v/>
      </c>
      <c r="N1229" s="2">
        <f>IF(E1229="","",IF(LEFT(E1229,7)="SUBSOLO",-1,IF(LEFT(E1229,6)="TÉRREO",0,IFERROR(VALUE(LEFT(E1229,FIND("º",SUBSTITUTE(E1229,"°","º"))-1)),""))))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M1230" s="2">
        <f>IF(C1230="","",IFERROR(INDEX($S$5:$S$304,MATCH(C1230,$R$5:$R$304,0))&amp;"","?"))</f>
        <v/>
      </c>
      <c r="N1230" s="2">
        <f>IF(E1230="","",IF(LEFT(E1230,7)="SUBSOLO",-1,IF(LEFT(E1230,6)="TÉRREO",0,IFERROR(VALUE(LEFT(E1230,FIND("º",SUBSTITUTE(E1230,"°","º"))-1)),""))))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M1231" s="2">
        <f>IF(C1231="","",IFERROR(INDEX($S$5:$S$304,MATCH(C1231,$R$5:$R$304,0))&amp;"","?"))</f>
        <v/>
      </c>
      <c r="N1231" s="2">
        <f>IF(E1231="","",IF(LEFT(E1231,7)="SUBSOLO",-1,IF(LEFT(E1231,6)="TÉRREO",0,IFERROR(VALUE(LEFT(E1231,FIND("º",SUBSTITUTE(E1231,"°","º"))-1)),""))))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M1232" s="2">
        <f>IF(C1232="","",IFERROR(INDEX($S$5:$S$304,MATCH(C1232,$R$5:$R$304,0))&amp;"","?"))</f>
        <v/>
      </c>
      <c r="N1232" s="2">
        <f>IF(E1232="","",IF(LEFT(E1232,7)="SUBSOLO",-1,IF(LEFT(E1232,6)="TÉRREO",0,IFERROR(VALUE(LEFT(E1232,FIND("º",SUBSTITUTE(E1232,"°","º"))-1)),""))))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M1233" s="2">
        <f>IF(C1233="","",IFERROR(INDEX($S$5:$S$304,MATCH(C1233,$R$5:$R$304,0))&amp;"","?"))</f>
        <v/>
      </c>
      <c r="N1233" s="2">
        <f>IF(E1233="","",IF(LEFT(E1233,7)="SUBSOLO",-1,IF(LEFT(E1233,6)="TÉRREO",0,IFERROR(VALUE(LEFT(E1233,FIND("º",SUBSTITUTE(E1233,"°","º"))-1)),""))))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M1234" s="2">
        <f>IF(C1234="","",IFERROR(INDEX($S$5:$S$304,MATCH(C1234,$R$5:$R$304,0))&amp;"","?"))</f>
        <v/>
      </c>
      <c r="N1234" s="2">
        <f>IF(E1234="","",IF(LEFT(E1234,7)="SUBSOLO",-1,IF(LEFT(E1234,6)="TÉRREO",0,IFERROR(VALUE(LEFT(E1234,FIND("º",SUBSTITUTE(E1234,"°","º"))-1)),""))))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M1235" s="2">
        <f>IF(C1235="","",IFERROR(INDEX($S$5:$S$304,MATCH(C1235,$R$5:$R$304,0))&amp;"","?"))</f>
        <v/>
      </c>
      <c r="N1235" s="2">
        <f>IF(E1235="","",IF(LEFT(E1235,7)="SUBSOLO",-1,IF(LEFT(E1235,6)="TÉRREO",0,IFERROR(VALUE(LEFT(E1235,FIND("º",SUBSTITUTE(E1235,"°","º"))-1)),""))))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M1236" s="2">
        <f>IF(C1236="","",IFERROR(INDEX($S$5:$S$304,MATCH(C1236,$R$5:$R$304,0))&amp;"","?"))</f>
        <v/>
      </c>
      <c r="N1236" s="2">
        <f>IF(E1236="","",IF(LEFT(E1236,7)="SUBSOLO",-1,IF(LEFT(E1236,6)="TÉRREO",0,IFERROR(VALUE(LEFT(E1236,FIND("º",SUBSTITUTE(E1236,"°","º"))-1)),""))))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M1237" s="2">
        <f>IF(C1237="","",IFERROR(INDEX($S$5:$S$304,MATCH(C1237,$R$5:$R$304,0))&amp;"","?"))</f>
        <v/>
      </c>
      <c r="N1237" s="2">
        <f>IF(E1237="","",IF(LEFT(E1237,7)="SUBSOLO",-1,IF(LEFT(E1237,6)="TÉRREO",0,IFERROR(VALUE(LEFT(E1237,FIND("º",SUBSTITUTE(E1237,"°","º"))-1)),""))))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M1238" s="2">
        <f>IF(C1238="","",IFERROR(INDEX($S$5:$S$304,MATCH(C1238,$R$5:$R$304,0))&amp;"","?"))</f>
        <v/>
      </c>
      <c r="N1238" s="2">
        <f>IF(E1238="","",IF(LEFT(E1238,7)="SUBSOLO",-1,IF(LEFT(E1238,6)="TÉRREO",0,IFERROR(VALUE(LEFT(E1238,FIND("º",SUBSTITUTE(E1238,"°","º"))-1)),""))))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M1239" s="2">
        <f>IF(C1239="","",IFERROR(INDEX($S$5:$S$304,MATCH(C1239,$R$5:$R$304,0))&amp;"","?"))</f>
        <v/>
      </c>
      <c r="N1239" s="2">
        <f>IF(E1239="","",IF(LEFT(E1239,7)="SUBSOLO",-1,IF(LEFT(E1239,6)="TÉRREO",0,IFERROR(VALUE(LEFT(E1239,FIND("º",SUBSTITUTE(E1239,"°","º"))-1)),""))))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M1240" s="2">
        <f>IF(C1240="","",IFERROR(INDEX($S$5:$S$304,MATCH(C1240,$R$5:$R$304,0))&amp;"","?"))</f>
        <v/>
      </c>
      <c r="N1240" s="2">
        <f>IF(E1240="","",IF(LEFT(E1240,7)="SUBSOLO",-1,IF(LEFT(E1240,6)="TÉRREO",0,IFERROR(VALUE(LEFT(E1240,FIND("º",SUBSTITUTE(E1240,"°","º"))-1)),""))))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M1241" s="2">
        <f>IF(C1241="","",IFERROR(INDEX($S$5:$S$304,MATCH(C1241,$R$5:$R$304,0))&amp;"","?"))</f>
        <v/>
      </c>
      <c r="N1241" s="2">
        <f>IF(E1241="","",IF(LEFT(E1241,7)="SUBSOLO",-1,IF(LEFT(E1241,6)="TÉRREO",0,IFERROR(VALUE(LEFT(E1241,FIND("º",SUBSTITUTE(E1241,"°","º"))-1)),""))))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M1242" s="2">
        <f>IF(C1242="","",IFERROR(INDEX($S$5:$S$304,MATCH(C1242,$R$5:$R$304,0))&amp;"","?"))</f>
        <v/>
      </c>
      <c r="N1242" s="2">
        <f>IF(E1242="","",IF(LEFT(E1242,7)="SUBSOLO",-1,IF(LEFT(E1242,6)="TÉRREO",0,IFERROR(VALUE(LEFT(E1242,FIND("º",SUBSTITUTE(E1242,"°","º"))-1)),""))))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M1243" s="2">
        <f>IF(C1243="","",IFERROR(INDEX($S$5:$S$304,MATCH(C1243,$R$5:$R$304,0))&amp;"","?"))</f>
        <v/>
      </c>
      <c r="N1243" s="2">
        <f>IF(E1243="","",IF(LEFT(E1243,7)="SUBSOLO",-1,IF(LEFT(E1243,6)="TÉRREO",0,IFERROR(VALUE(LEFT(E1243,FIND("º",SUBSTITUTE(E1243,"°","º"))-1)),""))))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M1244" s="2">
        <f>IF(C1244="","",IFERROR(INDEX($S$5:$S$304,MATCH(C1244,$R$5:$R$304,0))&amp;"","?"))</f>
        <v/>
      </c>
      <c r="N1244" s="2">
        <f>IF(E1244="","",IF(LEFT(E1244,7)="SUBSOLO",-1,IF(LEFT(E1244,6)="TÉRREO",0,IFERROR(VALUE(LEFT(E1244,FIND("º",SUBSTITUTE(E1244,"°","º"))-1)),""))))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M1245" s="2">
        <f>IF(C1245="","",IFERROR(INDEX($S$5:$S$304,MATCH(C1245,$R$5:$R$304,0))&amp;"","?"))</f>
        <v/>
      </c>
      <c r="N1245" s="2">
        <f>IF(E1245="","",IF(LEFT(E1245,7)="SUBSOLO",-1,IF(LEFT(E1245,6)="TÉRREO",0,IFERROR(VALUE(LEFT(E1245,FIND("º",SUBSTITUTE(E1245,"°","º"))-1)),""))))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M1246" s="2">
        <f>IF(C1246="","",IFERROR(INDEX($S$5:$S$304,MATCH(C1246,$R$5:$R$304,0))&amp;"","?"))</f>
        <v/>
      </c>
      <c r="N1246" s="2">
        <f>IF(E1246="","",IF(LEFT(E1246,7)="SUBSOLO",-1,IF(LEFT(E1246,6)="TÉRREO",0,IFERROR(VALUE(LEFT(E1246,FIND("º",SUBSTITUTE(E1246,"°","º"))-1)),""))))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M1247" s="2">
        <f>IF(C1247="","",IFERROR(INDEX($S$5:$S$304,MATCH(C1247,$R$5:$R$304,0))&amp;"","?"))</f>
        <v/>
      </c>
      <c r="N1247" s="2">
        <f>IF(E1247="","",IF(LEFT(E1247,7)="SUBSOLO",-1,IF(LEFT(E1247,6)="TÉRREO",0,IFERROR(VALUE(LEFT(E1247,FIND("º",SUBSTITUTE(E1247,"°","º"))-1)),""))))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M1248" s="2">
        <f>IF(C1248="","",IFERROR(INDEX($S$5:$S$304,MATCH(C1248,$R$5:$R$304,0))&amp;"","?"))</f>
        <v/>
      </c>
      <c r="N1248" s="2">
        <f>IF(E1248="","",IF(LEFT(E1248,7)="SUBSOLO",-1,IF(LEFT(E1248,6)="TÉRREO",0,IFERROR(VALUE(LEFT(E1248,FIND("º",SUBSTITUTE(E1248,"°","º"))-1)),""))))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M1249" s="2">
        <f>IF(C1249="","",IFERROR(INDEX($S$5:$S$304,MATCH(C1249,$R$5:$R$304,0))&amp;"","?"))</f>
        <v/>
      </c>
      <c r="N1249" s="2">
        <f>IF(E1249="","",IF(LEFT(E1249,7)="SUBSOLO",-1,IF(LEFT(E1249,6)="TÉRREO",0,IFERROR(VALUE(LEFT(E1249,FIND("º",SUBSTITUTE(E1249,"°","º"))-1)),""))))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M1250" s="2">
        <f>IF(C1250="","",IFERROR(INDEX($S$5:$S$304,MATCH(C1250,$R$5:$R$304,0))&amp;"","?"))</f>
        <v/>
      </c>
      <c r="N1250" s="2">
        <f>IF(E1250="","",IF(LEFT(E1250,7)="SUBSOLO",-1,IF(LEFT(E1250,6)="TÉRREO",0,IFERROR(VALUE(LEFT(E1250,FIND("º",SUBSTITUTE(E1250,"°","º"))-1)),""))))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M1251" s="2">
        <f>IF(C1251="","",IFERROR(INDEX($S$5:$S$304,MATCH(C1251,$R$5:$R$304,0))&amp;"","?"))</f>
        <v/>
      </c>
      <c r="N1251" s="2">
        <f>IF(E1251="","",IF(LEFT(E1251,7)="SUBSOLO",-1,IF(LEFT(E1251,6)="TÉRREO",0,IFERROR(VALUE(LEFT(E1251,FIND("º",SUBSTITUTE(E1251,"°","º"))-1)),""))))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M1252" s="2">
        <f>IF(C1252="","",IFERROR(INDEX($S$5:$S$304,MATCH(C1252,$R$5:$R$304,0))&amp;"","?"))</f>
        <v/>
      </c>
      <c r="N1252" s="2">
        <f>IF(E1252="","",IF(LEFT(E1252,7)="SUBSOLO",-1,IF(LEFT(E1252,6)="TÉRREO",0,IFERROR(VALUE(LEFT(E1252,FIND("º",SUBSTITUTE(E1252,"°","º"))-1)),""))))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M1253" s="2">
        <f>IF(C1253="","",IFERROR(INDEX($S$5:$S$304,MATCH(C1253,$R$5:$R$304,0))&amp;"","?"))</f>
        <v/>
      </c>
      <c r="N1253" s="2">
        <f>IF(E1253="","",IF(LEFT(E1253,7)="SUBSOLO",-1,IF(LEFT(E1253,6)="TÉRREO",0,IFERROR(VALUE(LEFT(E1253,FIND("º",SUBSTITUTE(E1253,"°","º"))-1)),""))))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M1254" s="2">
        <f>IF(C1254="","",IFERROR(INDEX($S$5:$S$304,MATCH(C1254,$R$5:$R$304,0))&amp;"","?"))</f>
        <v/>
      </c>
      <c r="N1254" s="2">
        <f>IF(E1254="","",IF(LEFT(E1254,7)="SUBSOLO",-1,IF(LEFT(E1254,6)="TÉRREO",0,IFERROR(VALUE(LEFT(E1254,FIND("º",SUBSTITUTE(E1254,"°","º"))-1)),""))))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M1255" s="2">
        <f>IF(C1255="","",IFERROR(INDEX($S$5:$S$304,MATCH(C1255,$R$5:$R$304,0))&amp;"","?"))</f>
        <v/>
      </c>
      <c r="N1255" s="2">
        <f>IF(E1255="","",IF(LEFT(E1255,7)="SUBSOLO",-1,IF(LEFT(E1255,6)="TÉRREO",0,IFERROR(VALUE(LEFT(E1255,FIND("º",SUBSTITUTE(E1255,"°","º"))-1)),""))))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M1256" s="2">
        <f>IF(C1256="","",IFERROR(INDEX($S$5:$S$304,MATCH(C1256,$R$5:$R$304,0))&amp;"","?"))</f>
        <v/>
      </c>
      <c r="N1256" s="2">
        <f>IF(E1256="","",IF(LEFT(E1256,7)="SUBSOLO",-1,IF(LEFT(E1256,6)="TÉRREO",0,IFERROR(VALUE(LEFT(E1256,FIND("º",SUBSTITUTE(E1256,"°","º"))-1)),""))))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M1257" s="2">
        <f>IF(C1257="","",IFERROR(INDEX($S$5:$S$304,MATCH(C1257,$R$5:$R$304,0))&amp;"","?"))</f>
        <v/>
      </c>
      <c r="N1257" s="2">
        <f>IF(E1257="","",IF(LEFT(E1257,7)="SUBSOLO",-1,IF(LEFT(E1257,6)="TÉRREO",0,IFERROR(VALUE(LEFT(E1257,FIND("º",SUBSTITUTE(E1257,"°","º"))-1)),""))))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M1258" s="2">
        <f>IF(C1258="","",IFERROR(INDEX($S$5:$S$304,MATCH(C1258,$R$5:$R$304,0))&amp;"","?"))</f>
        <v/>
      </c>
      <c r="N1258" s="2">
        <f>IF(E1258="","",IF(LEFT(E1258,7)="SUBSOLO",-1,IF(LEFT(E1258,6)="TÉRREO",0,IFERROR(VALUE(LEFT(E1258,FIND("º",SUBSTITUTE(E1258,"°","º"))-1)),""))))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M1259" s="2">
        <f>IF(C1259="","",IFERROR(INDEX($S$5:$S$304,MATCH(C1259,$R$5:$R$304,0))&amp;"","?"))</f>
        <v/>
      </c>
      <c r="N1259" s="2">
        <f>IF(E1259="","",IF(LEFT(E1259,7)="SUBSOLO",-1,IF(LEFT(E1259,6)="TÉRREO",0,IFERROR(VALUE(LEFT(E1259,FIND("º",SUBSTITUTE(E1259,"°","º"))-1)),""))))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M1260" s="2">
        <f>IF(C1260="","",IFERROR(INDEX($S$5:$S$304,MATCH(C1260,$R$5:$R$304,0))&amp;"","?"))</f>
        <v/>
      </c>
      <c r="N1260" s="2">
        <f>IF(E1260="","",IF(LEFT(E1260,7)="SUBSOLO",-1,IF(LEFT(E1260,6)="TÉRREO",0,IFERROR(VALUE(LEFT(E1260,FIND("º",SUBSTITUTE(E1260,"°","º"))-1)),""))))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M1261" s="2">
        <f>IF(C1261="","",IFERROR(INDEX($S$5:$S$304,MATCH(C1261,$R$5:$R$304,0))&amp;"","?"))</f>
        <v/>
      </c>
      <c r="N1261" s="2">
        <f>IF(E1261="","",IF(LEFT(E1261,7)="SUBSOLO",-1,IF(LEFT(E1261,6)="TÉRREO",0,IFERROR(VALUE(LEFT(E1261,FIND("º",SUBSTITUTE(E1261,"°","º"))-1)),""))))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M1262" s="2">
        <f>IF(C1262="","",IFERROR(INDEX($S$5:$S$304,MATCH(C1262,$R$5:$R$304,0))&amp;"","?"))</f>
        <v/>
      </c>
      <c r="N1262" s="2">
        <f>IF(E1262="","",IF(LEFT(E1262,7)="SUBSOLO",-1,IF(LEFT(E1262,6)="TÉRREO",0,IFERROR(VALUE(LEFT(E1262,FIND("º",SUBSTITUTE(E1262,"°","º"))-1)),""))))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M1263" s="2">
        <f>IF(C1263="","",IFERROR(INDEX($S$5:$S$304,MATCH(C1263,$R$5:$R$304,0))&amp;"","?"))</f>
        <v/>
      </c>
      <c r="N1263" s="2">
        <f>IF(E1263="","",IF(LEFT(E1263,7)="SUBSOLO",-1,IF(LEFT(E1263,6)="TÉRREO",0,IFERROR(VALUE(LEFT(E1263,FIND("º",SUBSTITUTE(E1263,"°","º"))-1)),""))))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M1264" s="2">
        <f>IF(C1264="","",IFERROR(INDEX($S$5:$S$304,MATCH(C1264,$R$5:$R$304,0))&amp;"","?"))</f>
        <v/>
      </c>
      <c r="N1264" s="2">
        <f>IF(E1264="","",IF(LEFT(E1264,7)="SUBSOLO",-1,IF(LEFT(E1264,6)="TÉRREO",0,IFERROR(VALUE(LEFT(E1264,FIND("º",SUBSTITUTE(E1264,"°","º"))-1)),""))))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M1265" s="2">
        <f>IF(C1265="","",IFERROR(INDEX($S$5:$S$304,MATCH(C1265,$R$5:$R$304,0))&amp;"","?"))</f>
        <v/>
      </c>
      <c r="N1265" s="2">
        <f>IF(E1265="","",IF(LEFT(E1265,7)="SUBSOLO",-1,IF(LEFT(E1265,6)="TÉRREO",0,IFERROR(VALUE(LEFT(E1265,FIND("º",SUBSTITUTE(E1265,"°","º"))-1)),""))))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M1266" s="2">
        <f>IF(C1266="","",IFERROR(INDEX($S$5:$S$304,MATCH(C1266,$R$5:$R$304,0))&amp;"","?"))</f>
        <v/>
      </c>
      <c r="N1266" s="2">
        <f>IF(E1266="","",IF(LEFT(E1266,7)="SUBSOLO",-1,IF(LEFT(E1266,6)="TÉRREO",0,IFERROR(VALUE(LEFT(E1266,FIND("º",SUBSTITUTE(E1266,"°","º"))-1)),""))))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M1267" s="2">
        <f>IF(C1267="","",IFERROR(INDEX($S$5:$S$304,MATCH(C1267,$R$5:$R$304,0))&amp;"","?"))</f>
        <v/>
      </c>
      <c r="N1267" s="2">
        <f>IF(E1267="","",IF(LEFT(E1267,7)="SUBSOLO",-1,IF(LEFT(E1267,6)="TÉRREO",0,IFERROR(VALUE(LEFT(E1267,FIND("º",SUBSTITUTE(E1267,"°","º"))-1)),""))))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M1268" s="2">
        <f>IF(C1268="","",IFERROR(INDEX($S$5:$S$304,MATCH(C1268,$R$5:$R$304,0))&amp;"","?"))</f>
        <v/>
      </c>
      <c r="N1268" s="2">
        <f>IF(E1268="","",IF(LEFT(E1268,7)="SUBSOLO",-1,IF(LEFT(E1268,6)="TÉRREO",0,IFERROR(VALUE(LEFT(E1268,FIND("º",SUBSTITUTE(E1268,"°","º"))-1)),""))))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M1269" s="2">
        <f>IF(C1269="","",IFERROR(INDEX($S$5:$S$304,MATCH(C1269,$R$5:$R$304,0))&amp;"","?"))</f>
        <v/>
      </c>
      <c r="N1269" s="2">
        <f>IF(E1269="","",IF(LEFT(E1269,7)="SUBSOLO",-1,IF(LEFT(E1269,6)="TÉRREO",0,IFERROR(VALUE(LEFT(E1269,FIND("º",SUBSTITUTE(E1269,"°","º"))-1)),""))))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M1270" s="2">
        <f>IF(C1270="","",IFERROR(INDEX($S$5:$S$304,MATCH(C1270,$R$5:$R$304,0))&amp;"","?"))</f>
        <v/>
      </c>
      <c r="N1270" s="2">
        <f>IF(E1270="","",IF(LEFT(E1270,7)="SUBSOLO",-1,IF(LEFT(E1270,6)="TÉRREO",0,IFERROR(VALUE(LEFT(E1270,FIND("º",SUBSTITUTE(E1270,"°","º"))-1)),""))))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M1271" s="2">
        <f>IF(C1271="","",IFERROR(INDEX($S$5:$S$304,MATCH(C1271,$R$5:$R$304,0))&amp;"","?"))</f>
        <v/>
      </c>
      <c r="N1271" s="2">
        <f>IF(E1271="","",IF(LEFT(E1271,7)="SUBSOLO",-1,IF(LEFT(E1271,6)="TÉRREO",0,IFERROR(VALUE(LEFT(E1271,FIND("º",SUBSTITUTE(E1271,"°","º"))-1)),""))))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M1272" s="2">
        <f>IF(C1272="","",IFERROR(INDEX($S$5:$S$304,MATCH(C1272,$R$5:$R$304,0))&amp;"","?"))</f>
        <v/>
      </c>
      <c r="N1272" s="2">
        <f>IF(E1272="","",IF(LEFT(E1272,7)="SUBSOLO",-1,IF(LEFT(E1272,6)="TÉRREO",0,IFERROR(VALUE(LEFT(E1272,FIND("º",SUBSTITUTE(E1272,"°","º"))-1)),""))))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M1273" s="2">
        <f>IF(C1273="","",IFERROR(INDEX($S$5:$S$304,MATCH(C1273,$R$5:$R$304,0))&amp;"","?"))</f>
        <v/>
      </c>
      <c r="N1273" s="2">
        <f>IF(E1273="","",IF(LEFT(E1273,7)="SUBSOLO",-1,IF(LEFT(E1273,6)="TÉRREO",0,IFERROR(VALUE(LEFT(E1273,FIND("º",SUBSTITUTE(E1273,"°","º"))-1)),""))))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M1274" s="2">
        <f>IF(C1274="","",IFERROR(INDEX($S$5:$S$304,MATCH(C1274,$R$5:$R$304,0))&amp;"","?"))</f>
        <v/>
      </c>
      <c r="N1274" s="2">
        <f>IF(E1274="","",IF(LEFT(E1274,7)="SUBSOLO",-1,IF(LEFT(E1274,6)="TÉRREO",0,IFERROR(VALUE(LEFT(E1274,FIND("º",SUBSTITUTE(E1274,"°","º"))-1)),""))))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M1275" s="2">
        <f>IF(C1275="","",IFERROR(INDEX($S$5:$S$304,MATCH(C1275,$R$5:$R$304,0))&amp;"","?"))</f>
        <v/>
      </c>
      <c r="N1275" s="2">
        <f>IF(E1275="","",IF(LEFT(E1275,7)="SUBSOLO",-1,IF(LEFT(E1275,6)="TÉRREO",0,IFERROR(VALUE(LEFT(E1275,FIND("º",SUBSTITUTE(E1275,"°","º"))-1)),""))))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M1276" s="2">
        <f>IF(C1276="","",IFERROR(INDEX($S$5:$S$304,MATCH(C1276,$R$5:$R$304,0))&amp;"","?"))</f>
        <v/>
      </c>
      <c r="N1276" s="2">
        <f>IF(E1276="","",IF(LEFT(E1276,7)="SUBSOLO",-1,IF(LEFT(E1276,6)="TÉRREO",0,IFERROR(VALUE(LEFT(E1276,FIND("º",SUBSTITUTE(E1276,"°","º"))-1)),""))))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M1277" s="2">
        <f>IF(C1277="","",IFERROR(INDEX($S$5:$S$304,MATCH(C1277,$R$5:$R$304,0))&amp;"","?"))</f>
        <v/>
      </c>
      <c r="N1277" s="2">
        <f>IF(E1277="","",IF(LEFT(E1277,7)="SUBSOLO",-1,IF(LEFT(E1277,6)="TÉRREO",0,IFERROR(VALUE(LEFT(E1277,FIND("º",SUBSTITUTE(E1277,"°","º"))-1)),""))))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M1278" s="2">
        <f>IF(C1278="","",IFERROR(INDEX($S$5:$S$304,MATCH(C1278,$R$5:$R$304,0))&amp;"","?"))</f>
        <v/>
      </c>
      <c r="N1278" s="2">
        <f>IF(E1278="","",IF(LEFT(E1278,7)="SUBSOLO",-1,IF(LEFT(E1278,6)="TÉRREO",0,IFERROR(VALUE(LEFT(E1278,FIND("º",SUBSTITUTE(E1278,"°","º"))-1)),""))))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M1279" s="2">
        <f>IF(C1279="","",IFERROR(INDEX($S$5:$S$304,MATCH(C1279,$R$5:$R$304,0))&amp;"","?"))</f>
        <v/>
      </c>
      <c r="N1279" s="2">
        <f>IF(E1279="","",IF(LEFT(E1279,7)="SUBSOLO",-1,IF(LEFT(E1279,6)="TÉRREO",0,IFERROR(VALUE(LEFT(E1279,FIND("º",SUBSTITUTE(E1279,"°","º"))-1)),""))))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M1280" s="2">
        <f>IF(C1280="","",IFERROR(INDEX($S$5:$S$304,MATCH(C1280,$R$5:$R$304,0))&amp;"","?"))</f>
        <v/>
      </c>
      <c r="N1280" s="2">
        <f>IF(E1280="","",IF(LEFT(E1280,7)="SUBSOLO",-1,IF(LEFT(E1280,6)="TÉRREO",0,IFERROR(VALUE(LEFT(E1280,FIND("º",SUBSTITUTE(E1280,"°","º"))-1)),""))))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M1281" s="2">
        <f>IF(C1281="","",IFERROR(INDEX($S$5:$S$304,MATCH(C1281,$R$5:$R$304,0))&amp;"","?"))</f>
        <v/>
      </c>
      <c r="N1281" s="2">
        <f>IF(E1281="","",IF(LEFT(E1281,7)="SUBSOLO",-1,IF(LEFT(E1281,6)="TÉRREO",0,IFERROR(VALUE(LEFT(E1281,FIND("º",SUBSTITUTE(E1281,"°","º"))-1)),""))))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M1282" s="2">
        <f>IF(C1282="","",IFERROR(INDEX($S$5:$S$304,MATCH(C1282,$R$5:$R$304,0))&amp;"","?"))</f>
        <v/>
      </c>
      <c r="N1282" s="2">
        <f>IF(E1282="","",IF(LEFT(E1282,7)="SUBSOLO",-1,IF(LEFT(E1282,6)="TÉRREO",0,IFERROR(VALUE(LEFT(E1282,FIND("º",SUBSTITUTE(E1282,"°","º"))-1)),""))))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M1283" s="2">
        <f>IF(C1283="","",IFERROR(INDEX($S$5:$S$304,MATCH(C1283,$R$5:$R$304,0))&amp;"","?"))</f>
        <v/>
      </c>
      <c r="N1283" s="2">
        <f>IF(E1283="","",IF(LEFT(E1283,7)="SUBSOLO",-1,IF(LEFT(E1283,6)="TÉRREO",0,IFERROR(VALUE(LEFT(E1283,FIND("º",SUBSTITUTE(E1283,"°","º"))-1)),""))))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M1284" s="2">
        <f>IF(C1284="","",IFERROR(INDEX($S$5:$S$304,MATCH(C1284,$R$5:$R$304,0))&amp;"","?"))</f>
        <v/>
      </c>
      <c r="N1284" s="2">
        <f>IF(E1284="","",IF(LEFT(E1284,7)="SUBSOLO",-1,IF(LEFT(E1284,6)="TÉRREO",0,IFERROR(VALUE(LEFT(E1284,FIND("º",SUBSTITUTE(E1284,"°","º"))-1)),""))))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M1285" s="2">
        <f>IF(C1285="","",IFERROR(INDEX($S$5:$S$304,MATCH(C1285,$R$5:$R$304,0))&amp;"","?"))</f>
        <v/>
      </c>
      <c r="N1285" s="2">
        <f>IF(E1285="","",IF(LEFT(E1285,7)="SUBSOLO",-1,IF(LEFT(E1285,6)="TÉRREO",0,IFERROR(VALUE(LEFT(E1285,FIND("º",SUBSTITUTE(E1285,"°","º"))-1)),""))))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M1286" s="2">
        <f>IF(C1286="","",IFERROR(INDEX($S$5:$S$304,MATCH(C1286,$R$5:$R$304,0))&amp;"","?"))</f>
        <v/>
      </c>
      <c r="N1286" s="2">
        <f>IF(E1286="","",IF(LEFT(E1286,7)="SUBSOLO",-1,IF(LEFT(E1286,6)="TÉRREO",0,IFERROR(VALUE(LEFT(E1286,FIND("º",SUBSTITUTE(E1286,"°","º"))-1)),""))))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M1287" s="2">
        <f>IF(C1287="","",IFERROR(INDEX($S$5:$S$304,MATCH(C1287,$R$5:$R$304,0))&amp;"","?"))</f>
        <v/>
      </c>
      <c r="N1287" s="2">
        <f>IF(E1287="","",IF(LEFT(E1287,7)="SUBSOLO",-1,IF(LEFT(E1287,6)="TÉRREO",0,IFERROR(VALUE(LEFT(E1287,FIND("º",SUBSTITUTE(E1287,"°","º"))-1)),""))))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M1288" s="2">
        <f>IF(C1288="","",IFERROR(INDEX($S$5:$S$304,MATCH(C1288,$R$5:$R$304,0))&amp;"","?"))</f>
        <v/>
      </c>
      <c r="N1288" s="2">
        <f>IF(E1288="","",IF(LEFT(E1288,7)="SUBSOLO",-1,IF(LEFT(E1288,6)="TÉRREO",0,IFERROR(VALUE(LEFT(E1288,FIND("º",SUBSTITUTE(E1288,"°","º"))-1)),""))))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M1289" s="2">
        <f>IF(C1289="","",IFERROR(INDEX($S$5:$S$304,MATCH(C1289,$R$5:$R$304,0))&amp;"","?"))</f>
        <v/>
      </c>
      <c r="N1289" s="2">
        <f>IF(E1289="","",IF(LEFT(E1289,7)="SUBSOLO",-1,IF(LEFT(E1289,6)="TÉRREO",0,IFERROR(VALUE(LEFT(E1289,FIND("º",SUBSTITUTE(E1289,"°","º"))-1)),""))))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M1290" s="2">
        <f>IF(C1290="","",IFERROR(INDEX($S$5:$S$304,MATCH(C1290,$R$5:$R$304,0))&amp;"","?"))</f>
        <v/>
      </c>
      <c r="N1290" s="2">
        <f>IF(E1290="","",IF(LEFT(E1290,7)="SUBSOLO",-1,IF(LEFT(E1290,6)="TÉRREO",0,IFERROR(VALUE(LEFT(E1290,FIND("º",SUBSTITUTE(E1290,"°","º"))-1)),""))))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M1291" s="2">
        <f>IF(C1291="","",IFERROR(INDEX($S$5:$S$304,MATCH(C1291,$R$5:$R$304,0))&amp;"","?"))</f>
        <v/>
      </c>
      <c r="N1291" s="2">
        <f>IF(E1291="","",IF(LEFT(E1291,7)="SUBSOLO",-1,IF(LEFT(E1291,6)="TÉRREO",0,IFERROR(VALUE(LEFT(E1291,FIND("º",SUBSTITUTE(E1291,"°","º"))-1)),""))))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M1292" s="2">
        <f>IF(C1292="","",IFERROR(INDEX($S$5:$S$304,MATCH(C1292,$R$5:$R$304,0))&amp;"","?"))</f>
        <v/>
      </c>
      <c r="N1292" s="2">
        <f>IF(E1292="","",IF(LEFT(E1292,7)="SUBSOLO",-1,IF(LEFT(E1292,6)="TÉRREO",0,IFERROR(VALUE(LEFT(E1292,FIND("º",SUBSTITUTE(E1292,"°","º"))-1)),""))))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M1293" s="2">
        <f>IF(C1293="","",IFERROR(INDEX($S$5:$S$304,MATCH(C1293,$R$5:$R$304,0))&amp;"","?"))</f>
        <v/>
      </c>
      <c r="N1293" s="2">
        <f>IF(E1293="","",IF(LEFT(E1293,7)="SUBSOLO",-1,IF(LEFT(E1293,6)="TÉRREO",0,IFERROR(VALUE(LEFT(E1293,FIND("º",SUBSTITUTE(E1293,"°","º"))-1)),""))))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M1294" s="2">
        <f>IF(C1294="","",IFERROR(INDEX($S$5:$S$304,MATCH(C1294,$R$5:$R$304,0))&amp;"","?"))</f>
        <v/>
      </c>
      <c r="N1294" s="2">
        <f>IF(E1294="","",IF(LEFT(E1294,7)="SUBSOLO",-1,IF(LEFT(E1294,6)="TÉRREO",0,IFERROR(VALUE(LEFT(E1294,FIND("º",SUBSTITUTE(E1294,"°","º"))-1)),""))))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M1295" s="2">
        <f>IF(C1295="","",IFERROR(INDEX($S$5:$S$304,MATCH(C1295,$R$5:$R$304,0))&amp;"","?"))</f>
        <v/>
      </c>
      <c r="N1295" s="2">
        <f>IF(E1295="","",IF(LEFT(E1295,7)="SUBSOLO",-1,IF(LEFT(E1295,6)="TÉRREO",0,IFERROR(VALUE(LEFT(E1295,FIND("º",SUBSTITUTE(E1295,"°","º"))-1)),""))))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M1296" s="2">
        <f>IF(C1296="","",IFERROR(INDEX($S$5:$S$304,MATCH(C1296,$R$5:$R$304,0))&amp;"","?"))</f>
        <v/>
      </c>
      <c r="N1296" s="2">
        <f>IF(E1296="","",IF(LEFT(E1296,7)="SUBSOLO",-1,IF(LEFT(E1296,6)="TÉRREO",0,IFERROR(VALUE(LEFT(E1296,FIND("º",SUBSTITUTE(E1296,"°","º"))-1)),""))))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M1297" s="2">
        <f>IF(C1297="","",IFERROR(INDEX($S$5:$S$304,MATCH(C1297,$R$5:$R$304,0))&amp;"","?"))</f>
        <v/>
      </c>
      <c r="N1297" s="2">
        <f>IF(E1297="","",IF(LEFT(E1297,7)="SUBSOLO",-1,IF(LEFT(E1297,6)="TÉRREO",0,IFERROR(VALUE(LEFT(E1297,FIND("º",SUBSTITUTE(E1297,"°","º"))-1)),""))))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M1298" s="2">
        <f>IF(C1298="","",IFERROR(INDEX($S$5:$S$304,MATCH(C1298,$R$5:$R$304,0))&amp;"","?"))</f>
        <v/>
      </c>
      <c r="N1298" s="2">
        <f>IF(E1298="","",IF(LEFT(E1298,7)="SUBSOLO",-1,IF(LEFT(E1298,6)="TÉRREO",0,IFERROR(VALUE(LEFT(E1298,FIND("º",SUBSTITUTE(E1298,"°","º"))-1)),""))))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M1299" s="2">
        <f>IF(C1299="","",IFERROR(INDEX($S$5:$S$304,MATCH(C1299,$R$5:$R$304,0))&amp;"","?"))</f>
        <v/>
      </c>
      <c r="N1299" s="2">
        <f>IF(E1299="","",IF(LEFT(E1299,7)="SUBSOLO",-1,IF(LEFT(E1299,6)="TÉRREO",0,IFERROR(VALUE(LEFT(E1299,FIND("º",SUBSTITUTE(E1299,"°","º"))-1)),""))))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M1300" s="2">
        <f>IF(C1300="","",IFERROR(INDEX($S$5:$S$304,MATCH(C1300,$R$5:$R$304,0))&amp;"","?"))</f>
        <v/>
      </c>
      <c r="N1300" s="2">
        <f>IF(E1300="","",IF(LEFT(E1300,7)="SUBSOLO",-1,IF(LEFT(E1300,6)="TÉRREO",0,IFERROR(VALUE(LEFT(E1300,FIND("º",SUBSTITUTE(E1300,"°","º"))-1)),""))))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M1301" s="2">
        <f>IF(C1301="","",IFERROR(INDEX($S$5:$S$304,MATCH(C1301,$R$5:$R$304,0))&amp;"","?"))</f>
        <v/>
      </c>
      <c r="N1301" s="2">
        <f>IF(E1301="","",IF(LEFT(E1301,7)="SUBSOLO",-1,IF(LEFT(E1301,6)="TÉRREO",0,IFERROR(VALUE(LEFT(E1301,FIND("º",SUBSTITUTE(E1301,"°","º"))-1)),""))))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M1302" s="2">
        <f>IF(C1302="","",IFERROR(INDEX($S$5:$S$304,MATCH(C1302,$R$5:$R$304,0))&amp;"","?"))</f>
        <v/>
      </c>
      <c r="N1302" s="2">
        <f>IF(E1302="","",IF(LEFT(E1302,7)="SUBSOLO",-1,IF(LEFT(E1302,6)="TÉRREO",0,IFERROR(VALUE(LEFT(E1302,FIND("º",SUBSTITUTE(E1302,"°","º"))-1)),""))))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M1303" s="2">
        <f>IF(C1303="","",IFERROR(INDEX($S$5:$S$304,MATCH(C1303,$R$5:$R$304,0))&amp;"","?"))</f>
        <v/>
      </c>
      <c r="N1303" s="2">
        <f>IF(E1303="","",IF(LEFT(E1303,7)="SUBSOLO",-1,IF(LEFT(E1303,6)="TÉRREO",0,IFERROR(VALUE(LEFT(E1303,FIND("º",SUBSTITUTE(E1303,"°","º"))-1)),""))))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M1304" s="2">
        <f>IF(C1304="","",IFERROR(INDEX($S$5:$S$304,MATCH(C1304,$R$5:$R$304,0))&amp;"","?"))</f>
        <v/>
      </c>
      <c r="N1304" s="2">
        <f>IF(E1304="","",IF(LEFT(E1304,7)="SUBSOLO",-1,IF(LEFT(E1304,6)="TÉRREO",0,IFERROR(VALUE(LEFT(E1304,FIND("º",SUBSTITUTE(E1304,"°","º"))-1)),""))))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M1305" s="2">
        <f>IF(C1305="","",IFERROR(INDEX($S$5:$S$304,MATCH(C1305,$R$5:$R$304,0))&amp;"","?"))</f>
        <v/>
      </c>
      <c r="N1305" s="2">
        <f>IF(E1305="","",IF(LEFT(E1305,7)="SUBSOLO",-1,IF(LEFT(E1305,6)="TÉRREO",0,IFERROR(VALUE(LEFT(E1305,FIND("º",SUBSTITUTE(E1305,"°","º"))-1)),""))))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M1306" s="2">
        <f>IF(C1306="","",IFERROR(INDEX($S$5:$S$304,MATCH(C1306,$R$5:$R$304,0))&amp;"","?"))</f>
        <v/>
      </c>
      <c r="N1306" s="2">
        <f>IF(E1306="","",IF(LEFT(E1306,7)="SUBSOLO",-1,IF(LEFT(E1306,6)="TÉRREO",0,IFERROR(VALUE(LEFT(E1306,FIND("º",SUBSTITUTE(E1306,"°","º"))-1)),""))))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M1307" s="2">
        <f>IF(C1307="","",IFERROR(INDEX($S$5:$S$304,MATCH(C1307,$R$5:$R$304,0))&amp;"","?"))</f>
        <v/>
      </c>
      <c r="N1307" s="2">
        <f>IF(E1307="","",IF(LEFT(E1307,7)="SUBSOLO",-1,IF(LEFT(E1307,6)="TÉRREO",0,IFERROR(VALUE(LEFT(E1307,FIND("º",SUBSTITUTE(E1307,"°","º"))-1)),""))))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M1308" s="2">
        <f>IF(C1308="","",IFERROR(INDEX($S$5:$S$304,MATCH(C1308,$R$5:$R$304,0))&amp;"","?"))</f>
        <v/>
      </c>
      <c r="N1308" s="2">
        <f>IF(E1308="","",IF(LEFT(E1308,7)="SUBSOLO",-1,IF(LEFT(E1308,6)="TÉRREO",0,IFERROR(VALUE(LEFT(E1308,FIND("º",SUBSTITUTE(E1308,"°","º"))-1)),""))))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M1309" s="2">
        <f>IF(C1309="","",IFERROR(INDEX($S$5:$S$304,MATCH(C1309,$R$5:$R$304,0))&amp;"","?"))</f>
        <v/>
      </c>
      <c r="N1309" s="2">
        <f>IF(E1309="","",IF(LEFT(E1309,7)="SUBSOLO",-1,IF(LEFT(E1309,6)="TÉRREO",0,IFERROR(VALUE(LEFT(E1309,FIND("º",SUBSTITUTE(E1309,"°","º"))-1)),""))))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M1310" s="2">
        <f>IF(C1310="","",IFERROR(INDEX($S$5:$S$304,MATCH(C1310,$R$5:$R$304,0))&amp;"","?"))</f>
        <v/>
      </c>
      <c r="N1310" s="2">
        <f>IF(E1310="","",IF(LEFT(E1310,7)="SUBSOLO",-1,IF(LEFT(E1310,6)="TÉRREO",0,IFERROR(VALUE(LEFT(E1310,FIND("º",SUBSTITUTE(E1310,"°","º"))-1)),""))))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M1311" s="2">
        <f>IF(C1311="","",IFERROR(INDEX($S$5:$S$304,MATCH(C1311,$R$5:$R$304,0))&amp;"","?"))</f>
        <v/>
      </c>
      <c r="N1311" s="2">
        <f>IF(E1311="","",IF(LEFT(E1311,7)="SUBSOLO",-1,IF(LEFT(E1311,6)="TÉRREO",0,IFERROR(VALUE(LEFT(E1311,FIND("º",SUBSTITUTE(E1311,"°","º"))-1)),""))))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M1312" s="2">
        <f>IF(C1312="","",IFERROR(INDEX($S$5:$S$304,MATCH(C1312,$R$5:$R$304,0))&amp;"","?"))</f>
        <v/>
      </c>
      <c r="N1312" s="2">
        <f>IF(E1312="","",IF(LEFT(E1312,7)="SUBSOLO",-1,IF(LEFT(E1312,6)="TÉRREO",0,IFERROR(VALUE(LEFT(E1312,FIND("º",SUBSTITUTE(E1312,"°","º"))-1)),""))))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M1313" s="2">
        <f>IF(C1313="","",IFERROR(INDEX($S$5:$S$304,MATCH(C1313,$R$5:$R$304,0))&amp;"","?"))</f>
        <v/>
      </c>
      <c r="N1313" s="2">
        <f>IF(E1313="","",IF(LEFT(E1313,7)="SUBSOLO",-1,IF(LEFT(E1313,6)="TÉRREO",0,IFERROR(VALUE(LEFT(E1313,FIND("º",SUBSTITUTE(E1313,"°","º"))-1)),""))))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M1314" s="2">
        <f>IF(C1314="","",IFERROR(INDEX($S$5:$S$304,MATCH(C1314,$R$5:$R$304,0))&amp;"","?"))</f>
        <v/>
      </c>
      <c r="N1314" s="2">
        <f>IF(E1314="","",IF(LEFT(E1314,7)="SUBSOLO",-1,IF(LEFT(E1314,6)="TÉRREO",0,IFERROR(VALUE(LEFT(E1314,FIND("º",SUBSTITUTE(E1314,"°","º"))-1)),""))))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M1315" s="2">
        <f>IF(C1315="","",IFERROR(INDEX($S$5:$S$304,MATCH(C1315,$R$5:$R$304,0))&amp;"","?"))</f>
        <v/>
      </c>
      <c r="N1315" s="2">
        <f>IF(E1315="","",IF(LEFT(E1315,7)="SUBSOLO",-1,IF(LEFT(E1315,6)="TÉRREO",0,IFERROR(VALUE(LEFT(E1315,FIND("º",SUBSTITUTE(E1315,"°","º"))-1)),""))))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M1316" s="2">
        <f>IF(C1316="","",IFERROR(INDEX($S$5:$S$304,MATCH(C1316,$R$5:$R$304,0))&amp;"","?"))</f>
        <v/>
      </c>
      <c r="N1316" s="2">
        <f>IF(E1316="","",IF(LEFT(E1316,7)="SUBSOLO",-1,IF(LEFT(E1316,6)="TÉRREO",0,IFERROR(VALUE(LEFT(E1316,FIND("º",SUBSTITUTE(E1316,"°","º"))-1)),""))))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M1317" s="2">
        <f>IF(C1317="","",IFERROR(INDEX($S$5:$S$304,MATCH(C1317,$R$5:$R$304,0))&amp;"","?"))</f>
        <v/>
      </c>
      <c r="N1317" s="2">
        <f>IF(E1317="","",IF(LEFT(E1317,7)="SUBSOLO",-1,IF(LEFT(E1317,6)="TÉRREO",0,IFERROR(VALUE(LEFT(E1317,FIND("º",SUBSTITUTE(E1317,"°","º"))-1)),""))))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M1318" s="2">
        <f>IF(C1318="","",IFERROR(INDEX($S$5:$S$304,MATCH(C1318,$R$5:$R$304,0))&amp;"","?"))</f>
        <v/>
      </c>
      <c r="N1318" s="2">
        <f>IF(E1318="","",IF(LEFT(E1318,7)="SUBSOLO",-1,IF(LEFT(E1318,6)="TÉRREO",0,IFERROR(VALUE(LEFT(E1318,FIND("º",SUBSTITUTE(E1318,"°","º"))-1)),""))))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M1319" s="2">
        <f>IF(C1319="","",IFERROR(INDEX($S$5:$S$304,MATCH(C1319,$R$5:$R$304,0))&amp;"","?"))</f>
        <v/>
      </c>
      <c r="N1319" s="2">
        <f>IF(E1319="","",IF(LEFT(E1319,7)="SUBSOLO",-1,IF(LEFT(E1319,6)="TÉRREO",0,IFERROR(VALUE(LEFT(E1319,FIND("º",SUBSTITUTE(E1319,"°","º"))-1)),""))))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M1320" s="2">
        <f>IF(C1320="","",IFERROR(INDEX($S$5:$S$304,MATCH(C1320,$R$5:$R$304,0))&amp;"","?"))</f>
        <v/>
      </c>
      <c r="N1320" s="2">
        <f>IF(E1320="","",IF(LEFT(E1320,7)="SUBSOLO",-1,IF(LEFT(E1320,6)="TÉRREO",0,IFERROR(VALUE(LEFT(E1320,FIND("º",SUBSTITUTE(E1320,"°","º"))-1)),""))))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M1321" s="2">
        <f>IF(C1321="","",IFERROR(INDEX($S$5:$S$304,MATCH(C1321,$R$5:$R$304,0))&amp;"","?"))</f>
        <v/>
      </c>
      <c r="N1321" s="2">
        <f>IF(E1321="","",IF(LEFT(E1321,7)="SUBSOLO",-1,IF(LEFT(E1321,6)="TÉRREO",0,IFERROR(VALUE(LEFT(E1321,FIND("º",SUBSTITUTE(E1321,"°","º"))-1)),""))))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M1322" s="2">
        <f>IF(C1322="","",IFERROR(INDEX($S$5:$S$304,MATCH(C1322,$R$5:$R$304,0))&amp;"","?"))</f>
        <v/>
      </c>
      <c r="N1322" s="2">
        <f>IF(E1322="","",IF(LEFT(E1322,7)="SUBSOLO",-1,IF(LEFT(E1322,6)="TÉRREO",0,IFERROR(VALUE(LEFT(E1322,FIND("º",SUBSTITUTE(E1322,"°","º"))-1)),""))))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M1323" s="2">
        <f>IF(C1323="","",IFERROR(INDEX($S$5:$S$304,MATCH(C1323,$R$5:$R$304,0))&amp;"","?"))</f>
        <v/>
      </c>
      <c r="N1323" s="2">
        <f>IF(E1323="","",IF(LEFT(E1323,7)="SUBSOLO",-1,IF(LEFT(E1323,6)="TÉRREO",0,IFERROR(VALUE(LEFT(E1323,FIND("º",SUBSTITUTE(E1323,"°","º"))-1)),""))))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M1324" s="2">
        <f>IF(C1324="","",IFERROR(INDEX($S$5:$S$304,MATCH(C1324,$R$5:$R$304,0))&amp;"","?"))</f>
        <v/>
      </c>
      <c r="N1324" s="2">
        <f>IF(E1324="","",IF(LEFT(E1324,7)="SUBSOLO",-1,IF(LEFT(E1324,6)="TÉRREO",0,IFERROR(VALUE(LEFT(E1324,FIND("º",SUBSTITUTE(E1324,"°","º"))-1)),""))))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M1325" s="2">
        <f>IF(C1325="","",IFERROR(INDEX($S$5:$S$304,MATCH(C1325,$R$5:$R$304,0))&amp;"","?"))</f>
        <v/>
      </c>
      <c r="N1325" s="2">
        <f>IF(E1325="","",IF(LEFT(E1325,7)="SUBSOLO",-1,IF(LEFT(E1325,6)="TÉRREO",0,IFERROR(VALUE(LEFT(E1325,FIND("º",SUBSTITUTE(E1325,"°","º"))-1)),""))))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M1326" s="2">
        <f>IF(C1326="","",IFERROR(INDEX($S$5:$S$304,MATCH(C1326,$R$5:$R$304,0))&amp;"","?"))</f>
        <v/>
      </c>
      <c r="N1326" s="2">
        <f>IF(E1326="","",IF(LEFT(E1326,7)="SUBSOLO",-1,IF(LEFT(E1326,6)="TÉRREO",0,IFERROR(VALUE(LEFT(E1326,FIND("º",SUBSTITUTE(E1326,"°","º"))-1)),""))))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M1327" s="2">
        <f>IF(C1327="","",IFERROR(INDEX($S$5:$S$304,MATCH(C1327,$R$5:$R$304,0))&amp;"","?"))</f>
        <v/>
      </c>
      <c r="N1327" s="2">
        <f>IF(E1327="","",IF(LEFT(E1327,7)="SUBSOLO",-1,IF(LEFT(E1327,6)="TÉRREO",0,IFERROR(VALUE(LEFT(E1327,FIND("º",SUBSTITUTE(E1327,"°","º"))-1)),""))))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M1328" s="2">
        <f>IF(C1328="","",IFERROR(INDEX($S$5:$S$304,MATCH(C1328,$R$5:$R$304,0))&amp;"","?"))</f>
        <v/>
      </c>
      <c r="N1328" s="2">
        <f>IF(E1328="","",IF(LEFT(E1328,7)="SUBSOLO",-1,IF(LEFT(E1328,6)="TÉRREO",0,IFERROR(VALUE(LEFT(E1328,FIND("º",SUBSTITUTE(E1328,"°","º"))-1)),""))))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M1329" s="2">
        <f>IF(C1329="","",IFERROR(INDEX($S$5:$S$304,MATCH(C1329,$R$5:$R$304,0))&amp;"","?"))</f>
        <v/>
      </c>
      <c r="N1329" s="2">
        <f>IF(E1329="","",IF(LEFT(E1329,7)="SUBSOLO",-1,IF(LEFT(E1329,6)="TÉRREO",0,IFERROR(VALUE(LEFT(E1329,FIND("º",SUBSTITUTE(E1329,"°","º"))-1)),""))))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M1330" s="2">
        <f>IF(C1330="","",IFERROR(INDEX($S$5:$S$304,MATCH(C1330,$R$5:$R$304,0))&amp;"","?"))</f>
        <v/>
      </c>
      <c r="N1330" s="2">
        <f>IF(E1330="","",IF(LEFT(E1330,7)="SUBSOLO",-1,IF(LEFT(E1330,6)="TÉRREO",0,IFERROR(VALUE(LEFT(E1330,FIND("º",SUBSTITUTE(E1330,"°","º"))-1)),""))))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M1331" s="2">
        <f>IF(C1331="","",IFERROR(INDEX($S$5:$S$304,MATCH(C1331,$R$5:$R$304,0))&amp;"","?"))</f>
        <v/>
      </c>
      <c r="N1331" s="2">
        <f>IF(E1331="","",IF(LEFT(E1331,7)="SUBSOLO",-1,IF(LEFT(E1331,6)="TÉRREO",0,IFERROR(VALUE(LEFT(E1331,FIND("º",SUBSTITUTE(E1331,"°","º"))-1)),""))))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M1332" s="2">
        <f>IF(C1332="","",IFERROR(INDEX($S$5:$S$304,MATCH(C1332,$R$5:$R$304,0))&amp;"","?"))</f>
        <v/>
      </c>
      <c r="N1332" s="2">
        <f>IF(E1332="","",IF(LEFT(E1332,7)="SUBSOLO",-1,IF(LEFT(E1332,6)="TÉRREO",0,IFERROR(VALUE(LEFT(E1332,FIND("º",SUBSTITUTE(E1332,"°","º"))-1)),""))))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M1333" s="2">
        <f>IF(C1333="","",IFERROR(INDEX($S$5:$S$304,MATCH(C1333,$R$5:$R$304,0))&amp;"","?"))</f>
        <v/>
      </c>
      <c r="N1333" s="2">
        <f>IF(E1333="","",IF(LEFT(E1333,7)="SUBSOLO",-1,IF(LEFT(E1333,6)="TÉRREO",0,IFERROR(VALUE(LEFT(E1333,FIND("º",SUBSTITUTE(E1333,"°","º"))-1)),""))))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M1334" s="2">
        <f>IF(C1334="","",IFERROR(INDEX($S$5:$S$304,MATCH(C1334,$R$5:$R$304,0))&amp;"","?"))</f>
        <v/>
      </c>
      <c r="N1334" s="2">
        <f>IF(E1334="","",IF(LEFT(E1334,7)="SUBSOLO",-1,IF(LEFT(E1334,6)="TÉRREO",0,IFERROR(VALUE(LEFT(E1334,FIND("º",SUBSTITUTE(E1334,"°","º"))-1)),""))))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M1335" s="2">
        <f>IF(C1335="","",IFERROR(INDEX($S$5:$S$304,MATCH(C1335,$R$5:$R$304,0))&amp;"","?"))</f>
        <v/>
      </c>
      <c r="N1335" s="2">
        <f>IF(E1335="","",IF(LEFT(E1335,7)="SUBSOLO",-1,IF(LEFT(E1335,6)="TÉRREO",0,IFERROR(VALUE(LEFT(E1335,FIND("º",SUBSTITUTE(E1335,"°","º"))-1)),""))))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M1336" s="2">
        <f>IF(C1336="","",IFERROR(INDEX($S$5:$S$304,MATCH(C1336,$R$5:$R$304,0))&amp;"","?"))</f>
        <v/>
      </c>
      <c r="N1336" s="2">
        <f>IF(E1336="","",IF(LEFT(E1336,7)="SUBSOLO",-1,IF(LEFT(E1336,6)="TÉRREO",0,IFERROR(VALUE(LEFT(E1336,FIND("º",SUBSTITUTE(E1336,"°","º"))-1)),""))))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M1337" s="2">
        <f>IF(C1337="","",IFERROR(INDEX($S$5:$S$304,MATCH(C1337,$R$5:$R$304,0))&amp;"","?"))</f>
        <v/>
      </c>
      <c r="N1337" s="2">
        <f>IF(E1337="","",IF(LEFT(E1337,7)="SUBSOLO",-1,IF(LEFT(E1337,6)="TÉRREO",0,IFERROR(VALUE(LEFT(E1337,FIND("º",SUBSTITUTE(E1337,"°","º"))-1)),""))))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M1338" s="2">
        <f>IF(C1338="","",IFERROR(INDEX($S$5:$S$304,MATCH(C1338,$R$5:$R$304,0))&amp;"","?"))</f>
        <v/>
      </c>
      <c r="N1338" s="2">
        <f>IF(E1338="","",IF(LEFT(E1338,7)="SUBSOLO",-1,IF(LEFT(E1338,6)="TÉRREO",0,IFERROR(VALUE(LEFT(E1338,FIND("º",SUBSTITUTE(E1338,"°","º"))-1)),""))))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M1339" s="2">
        <f>IF(C1339="","",IFERROR(INDEX($S$5:$S$304,MATCH(C1339,$R$5:$R$304,0))&amp;"","?"))</f>
        <v/>
      </c>
      <c r="N1339" s="2">
        <f>IF(E1339="","",IF(LEFT(E1339,7)="SUBSOLO",-1,IF(LEFT(E1339,6)="TÉRREO",0,IFERROR(VALUE(LEFT(E1339,FIND("º",SUBSTITUTE(E1339,"°","º"))-1)),""))))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M1340" s="2">
        <f>IF(C1340="","",IFERROR(INDEX($S$5:$S$304,MATCH(C1340,$R$5:$R$304,0))&amp;"","?"))</f>
        <v/>
      </c>
      <c r="N1340" s="2">
        <f>IF(E1340="","",IF(LEFT(E1340,7)="SUBSOLO",-1,IF(LEFT(E1340,6)="TÉRREO",0,IFERROR(VALUE(LEFT(E1340,FIND("º",SUBSTITUTE(E1340,"°","º"))-1)),""))))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M1341" s="2">
        <f>IF(C1341="","",IFERROR(INDEX($S$5:$S$304,MATCH(C1341,$R$5:$R$304,0))&amp;"","?"))</f>
        <v/>
      </c>
      <c r="N1341" s="2">
        <f>IF(E1341="","",IF(LEFT(E1341,7)="SUBSOLO",-1,IF(LEFT(E1341,6)="TÉRREO",0,IFERROR(VALUE(LEFT(E1341,FIND("º",SUBSTITUTE(E1341,"°","º"))-1)),""))))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M1342" s="2">
        <f>IF(C1342="","",IFERROR(INDEX($S$5:$S$304,MATCH(C1342,$R$5:$R$304,0))&amp;"","?"))</f>
        <v/>
      </c>
      <c r="N1342" s="2">
        <f>IF(E1342="","",IF(LEFT(E1342,7)="SUBSOLO",-1,IF(LEFT(E1342,6)="TÉRREO",0,IFERROR(VALUE(LEFT(E1342,FIND("º",SUBSTITUTE(E1342,"°","º"))-1)),""))))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M1343" s="2">
        <f>IF(C1343="","",IFERROR(INDEX($S$5:$S$304,MATCH(C1343,$R$5:$R$304,0))&amp;"","?"))</f>
        <v/>
      </c>
      <c r="N1343" s="2">
        <f>IF(E1343="","",IF(LEFT(E1343,7)="SUBSOLO",-1,IF(LEFT(E1343,6)="TÉRREO",0,IFERROR(VALUE(LEFT(E1343,FIND("º",SUBSTITUTE(E1343,"°","º"))-1)),""))))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M1344" s="2">
        <f>IF(C1344="","",IFERROR(INDEX($S$5:$S$304,MATCH(C1344,$R$5:$R$304,0))&amp;"","?"))</f>
        <v/>
      </c>
      <c r="N1344" s="2">
        <f>IF(E1344="","",IF(LEFT(E1344,7)="SUBSOLO",-1,IF(LEFT(E1344,6)="TÉRREO",0,IFERROR(VALUE(LEFT(E1344,FIND("º",SUBSTITUTE(E1344,"°","º"))-1)),""))))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M1345" s="2">
        <f>IF(C1345="","",IFERROR(INDEX($S$5:$S$304,MATCH(C1345,$R$5:$R$304,0))&amp;"","?"))</f>
        <v/>
      </c>
      <c r="N1345" s="2">
        <f>IF(E1345="","",IF(LEFT(E1345,7)="SUBSOLO",-1,IF(LEFT(E1345,6)="TÉRREO",0,IFERROR(VALUE(LEFT(E1345,FIND("º",SUBSTITUTE(E1345,"°","º"))-1)),""))))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M1346" s="2">
        <f>IF(C1346="","",IFERROR(INDEX($S$5:$S$304,MATCH(C1346,$R$5:$R$304,0))&amp;"","?"))</f>
        <v/>
      </c>
      <c r="N1346" s="2">
        <f>IF(E1346="","",IF(LEFT(E1346,7)="SUBSOLO",-1,IF(LEFT(E1346,6)="TÉRREO",0,IFERROR(VALUE(LEFT(E1346,FIND("º",SUBSTITUTE(E1346,"°","º"))-1)),""))))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M1347" s="2">
        <f>IF(C1347="","",IFERROR(INDEX($S$5:$S$304,MATCH(C1347,$R$5:$R$304,0))&amp;"","?"))</f>
        <v/>
      </c>
      <c r="N1347" s="2">
        <f>IF(E1347="","",IF(LEFT(E1347,7)="SUBSOLO",-1,IF(LEFT(E1347,6)="TÉRREO",0,IFERROR(VALUE(LEFT(E1347,FIND("º",SUBSTITUTE(E1347,"°","º"))-1)),""))))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M1348" s="2">
        <f>IF(C1348="","",IFERROR(INDEX($S$5:$S$304,MATCH(C1348,$R$5:$R$304,0))&amp;"","?"))</f>
        <v/>
      </c>
      <c r="N1348" s="2">
        <f>IF(E1348="","",IF(LEFT(E1348,7)="SUBSOLO",-1,IF(LEFT(E1348,6)="TÉRREO",0,IFERROR(VALUE(LEFT(E1348,FIND("º",SUBSTITUTE(E1348,"°","º"))-1)),""))))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M1349" s="2">
        <f>IF(C1349="","",IFERROR(INDEX($S$5:$S$304,MATCH(C1349,$R$5:$R$304,0))&amp;"","?"))</f>
        <v/>
      </c>
      <c r="N1349" s="2">
        <f>IF(E1349="","",IF(LEFT(E1349,7)="SUBSOLO",-1,IF(LEFT(E1349,6)="TÉRREO",0,IFERROR(VALUE(LEFT(E1349,FIND("º",SUBSTITUTE(E1349,"°","º"))-1)),""))))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M1350" s="2">
        <f>IF(C1350="","",IFERROR(INDEX($S$5:$S$304,MATCH(C1350,$R$5:$R$304,0))&amp;"","?"))</f>
        <v/>
      </c>
      <c r="N1350" s="2">
        <f>IF(E1350="","",IF(LEFT(E1350,7)="SUBSOLO",-1,IF(LEFT(E1350,6)="TÉRREO",0,IFERROR(VALUE(LEFT(E1350,FIND("º",SUBSTITUTE(E1350,"°","º"))-1)),""))))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M1351" s="2">
        <f>IF(C1351="","",IFERROR(INDEX($S$5:$S$304,MATCH(C1351,$R$5:$R$304,0))&amp;"","?"))</f>
        <v/>
      </c>
      <c r="N1351" s="2">
        <f>IF(E1351="","",IF(LEFT(E1351,7)="SUBSOLO",-1,IF(LEFT(E1351,6)="TÉRREO",0,IFERROR(VALUE(LEFT(E1351,FIND("º",SUBSTITUTE(E1351,"°","º"))-1)),""))))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M1352" s="2">
        <f>IF(C1352="","",IFERROR(INDEX($S$5:$S$304,MATCH(C1352,$R$5:$R$304,0))&amp;"","?"))</f>
        <v/>
      </c>
      <c r="N1352" s="2">
        <f>IF(E1352="","",IF(LEFT(E1352,7)="SUBSOLO",-1,IF(LEFT(E1352,6)="TÉRREO",0,IFERROR(VALUE(LEFT(E1352,FIND("º",SUBSTITUTE(E1352,"°","º"))-1)),""))))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M1353" s="2">
        <f>IF(C1353="","",IFERROR(INDEX($S$5:$S$304,MATCH(C1353,$R$5:$R$304,0))&amp;"","?"))</f>
        <v/>
      </c>
      <c r="N1353" s="2">
        <f>IF(E1353="","",IF(LEFT(E1353,7)="SUBSOLO",-1,IF(LEFT(E1353,6)="TÉRREO",0,IFERROR(VALUE(LEFT(E1353,FIND("º",SUBSTITUTE(E1353,"°","º"))-1)),""))))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M1354" s="2">
        <f>IF(C1354="","",IFERROR(INDEX($S$5:$S$304,MATCH(C1354,$R$5:$R$304,0))&amp;"","?"))</f>
        <v/>
      </c>
      <c r="N1354" s="2">
        <f>IF(E1354="","",IF(LEFT(E1354,7)="SUBSOLO",-1,IF(LEFT(E1354,6)="TÉRREO",0,IFERROR(VALUE(LEFT(E1354,FIND("º",SUBSTITUTE(E1354,"°","º"))-1)),""))))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M1355" s="2">
        <f>IF(C1355="","",IFERROR(INDEX($S$5:$S$304,MATCH(C1355,$R$5:$R$304,0))&amp;"","?"))</f>
        <v/>
      </c>
      <c r="N1355" s="2">
        <f>IF(E1355="","",IF(LEFT(E1355,7)="SUBSOLO",-1,IF(LEFT(E1355,6)="TÉRREO",0,IFERROR(VALUE(LEFT(E1355,FIND("º",SUBSTITUTE(E1355,"°","º"))-1)),""))))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M1356" s="2">
        <f>IF(C1356="","",IFERROR(INDEX($S$5:$S$304,MATCH(C1356,$R$5:$R$304,0))&amp;"","?"))</f>
        <v/>
      </c>
      <c r="N1356" s="2">
        <f>IF(E1356="","",IF(LEFT(E1356,7)="SUBSOLO",-1,IF(LEFT(E1356,6)="TÉRREO",0,IFERROR(VALUE(LEFT(E1356,FIND("º",SUBSTITUTE(E1356,"°","º"))-1)),""))))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M1357" s="2">
        <f>IF(C1357="","",IFERROR(INDEX($S$5:$S$304,MATCH(C1357,$R$5:$R$304,0))&amp;"","?"))</f>
        <v/>
      </c>
      <c r="N1357" s="2">
        <f>IF(E1357="","",IF(LEFT(E1357,7)="SUBSOLO",-1,IF(LEFT(E1357,6)="TÉRREO",0,IFERROR(VALUE(LEFT(E1357,FIND("º",SUBSTITUTE(E1357,"°","º"))-1)),""))))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M1358" s="2">
        <f>IF(C1358="","",IFERROR(INDEX($S$5:$S$304,MATCH(C1358,$R$5:$R$304,0))&amp;"","?"))</f>
        <v/>
      </c>
      <c r="N1358" s="2">
        <f>IF(E1358="","",IF(LEFT(E1358,7)="SUBSOLO",-1,IF(LEFT(E1358,6)="TÉRREO",0,IFERROR(VALUE(LEFT(E1358,FIND("º",SUBSTITUTE(E1358,"°","º"))-1)),""))))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M1359" s="2">
        <f>IF(C1359="","",IFERROR(INDEX($S$5:$S$304,MATCH(C1359,$R$5:$R$304,0))&amp;"","?"))</f>
        <v/>
      </c>
      <c r="N1359" s="2">
        <f>IF(E1359="","",IF(LEFT(E1359,7)="SUBSOLO",-1,IF(LEFT(E1359,6)="TÉRREO",0,IFERROR(VALUE(LEFT(E1359,FIND("º",SUBSTITUTE(E1359,"°","º"))-1)),""))))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M1360" s="2">
        <f>IF(C1360="","",IFERROR(INDEX($S$5:$S$304,MATCH(C1360,$R$5:$R$304,0))&amp;"","?"))</f>
        <v/>
      </c>
      <c r="N1360" s="2">
        <f>IF(E1360="","",IF(LEFT(E1360,7)="SUBSOLO",-1,IF(LEFT(E1360,6)="TÉRREO",0,IFERROR(VALUE(LEFT(E1360,FIND("º",SUBSTITUTE(E1360,"°","º"))-1)),""))))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M1361" s="2">
        <f>IF(C1361="","",IFERROR(INDEX($S$5:$S$304,MATCH(C1361,$R$5:$R$304,0))&amp;"","?"))</f>
        <v/>
      </c>
      <c r="N1361" s="2">
        <f>IF(E1361="","",IF(LEFT(E1361,7)="SUBSOLO",-1,IF(LEFT(E1361,6)="TÉRREO",0,IFERROR(VALUE(LEFT(E1361,FIND("º",SUBSTITUTE(E1361,"°","º"))-1)),""))))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M1362" s="2">
        <f>IF(C1362="","",IFERROR(INDEX($S$5:$S$304,MATCH(C1362,$R$5:$R$304,0))&amp;"","?"))</f>
        <v/>
      </c>
      <c r="N1362" s="2">
        <f>IF(E1362="","",IF(LEFT(E1362,7)="SUBSOLO",-1,IF(LEFT(E1362,6)="TÉRREO",0,IFERROR(VALUE(LEFT(E1362,FIND("º",SUBSTITUTE(E1362,"°","º"))-1)),""))))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M1363" s="2">
        <f>IF(C1363="","",IFERROR(INDEX($S$5:$S$304,MATCH(C1363,$R$5:$R$304,0))&amp;"","?"))</f>
        <v/>
      </c>
      <c r="N1363" s="2">
        <f>IF(E1363="","",IF(LEFT(E1363,7)="SUBSOLO",-1,IF(LEFT(E1363,6)="TÉRREO",0,IFERROR(VALUE(LEFT(E1363,FIND("º",SUBSTITUTE(E1363,"°","º"))-1)),""))))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M1364" s="2">
        <f>IF(C1364="","",IFERROR(INDEX($S$5:$S$304,MATCH(C1364,$R$5:$R$304,0))&amp;"","?"))</f>
        <v/>
      </c>
      <c r="N1364" s="2">
        <f>IF(E1364="","",IF(LEFT(E1364,7)="SUBSOLO",-1,IF(LEFT(E1364,6)="TÉRREO",0,IFERROR(VALUE(LEFT(E1364,FIND("º",SUBSTITUTE(E1364,"°","º"))-1)),""))))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M1365" s="2">
        <f>IF(C1365="","",IFERROR(INDEX($S$5:$S$304,MATCH(C1365,$R$5:$R$304,0))&amp;"","?"))</f>
        <v/>
      </c>
      <c r="N1365" s="2">
        <f>IF(E1365="","",IF(LEFT(E1365,7)="SUBSOLO",-1,IF(LEFT(E1365,6)="TÉRREO",0,IFERROR(VALUE(LEFT(E1365,FIND("º",SUBSTITUTE(E1365,"°","º"))-1)),""))))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M1366" s="2">
        <f>IF(C1366="","",IFERROR(INDEX($S$5:$S$304,MATCH(C1366,$R$5:$R$304,0))&amp;"","?"))</f>
        <v/>
      </c>
      <c r="N1366" s="2">
        <f>IF(E1366="","",IF(LEFT(E1366,7)="SUBSOLO",-1,IF(LEFT(E1366,6)="TÉRREO",0,IFERROR(VALUE(LEFT(E1366,FIND("º",SUBSTITUTE(E1366,"°","º"))-1)),""))))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M1367" s="2">
        <f>IF(C1367="","",IFERROR(INDEX($S$5:$S$304,MATCH(C1367,$R$5:$R$304,0))&amp;"","?"))</f>
        <v/>
      </c>
      <c r="N1367" s="2">
        <f>IF(E1367="","",IF(LEFT(E1367,7)="SUBSOLO",-1,IF(LEFT(E1367,6)="TÉRREO",0,IFERROR(VALUE(LEFT(E1367,FIND("º",SUBSTITUTE(E1367,"°","º"))-1)),""))))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M1368" s="2">
        <f>IF(C1368="","",IFERROR(INDEX($S$5:$S$304,MATCH(C1368,$R$5:$R$304,0))&amp;"","?"))</f>
        <v/>
      </c>
      <c r="N1368" s="2">
        <f>IF(E1368="","",IF(LEFT(E1368,7)="SUBSOLO",-1,IF(LEFT(E1368,6)="TÉRREO",0,IFERROR(VALUE(LEFT(E1368,FIND("º",SUBSTITUTE(E1368,"°","º"))-1)),""))))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M1369" s="2">
        <f>IF(C1369="","",IFERROR(INDEX($S$5:$S$304,MATCH(C1369,$R$5:$R$304,0))&amp;"","?"))</f>
        <v/>
      </c>
      <c r="N1369" s="2">
        <f>IF(E1369="","",IF(LEFT(E1369,7)="SUBSOLO",-1,IF(LEFT(E1369,6)="TÉRREO",0,IFERROR(VALUE(LEFT(E1369,FIND("º",SUBSTITUTE(E1369,"°","º"))-1)),""))))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M1370" s="2">
        <f>IF(C1370="","",IFERROR(INDEX($S$5:$S$304,MATCH(C1370,$R$5:$R$304,0))&amp;"","?"))</f>
        <v/>
      </c>
      <c r="N1370" s="2">
        <f>IF(E1370="","",IF(LEFT(E1370,7)="SUBSOLO",-1,IF(LEFT(E1370,6)="TÉRREO",0,IFERROR(VALUE(LEFT(E1370,FIND("º",SUBSTITUTE(E1370,"°","º"))-1)),""))))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M1371" s="2">
        <f>IF(C1371="","",IFERROR(INDEX($S$5:$S$304,MATCH(C1371,$R$5:$R$304,0))&amp;"","?"))</f>
        <v/>
      </c>
      <c r="N1371" s="2">
        <f>IF(E1371="","",IF(LEFT(E1371,7)="SUBSOLO",-1,IF(LEFT(E1371,6)="TÉRREO",0,IFERROR(VALUE(LEFT(E1371,FIND("º",SUBSTITUTE(E1371,"°","º"))-1)),""))))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M1372" s="2">
        <f>IF(C1372="","",IFERROR(INDEX($S$5:$S$304,MATCH(C1372,$R$5:$R$304,0))&amp;"","?"))</f>
        <v/>
      </c>
      <c r="N1372" s="2">
        <f>IF(E1372="","",IF(LEFT(E1372,7)="SUBSOLO",-1,IF(LEFT(E1372,6)="TÉRREO",0,IFERROR(VALUE(LEFT(E1372,FIND("º",SUBSTITUTE(E1372,"°","º"))-1)),""))))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M1373" s="2">
        <f>IF(C1373="","",IFERROR(INDEX($S$5:$S$304,MATCH(C1373,$R$5:$R$304,0))&amp;"","?"))</f>
        <v/>
      </c>
      <c r="N1373" s="2">
        <f>IF(E1373="","",IF(LEFT(E1373,7)="SUBSOLO",-1,IF(LEFT(E1373,6)="TÉRREO",0,IFERROR(VALUE(LEFT(E1373,FIND("º",SUBSTITUTE(E1373,"°","º"))-1)),""))))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M1374" s="2">
        <f>IF(C1374="","",IFERROR(INDEX($S$5:$S$304,MATCH(C1374,$R$5:$R$304,0))&amp;"","?"))</f>
        <v/>
      </c>
      <c r="N1374" s="2">
        <f>IF(E1374="","",IF(LEFT(E1374,7)="SUBSOLO",-1,IF(LEFT(E1374,6)="TÉRREO",0,IFERROR(VALUE(LEFT(E1374,FIND("º",SUBSTITUTE(E1374,"°","º"))-1)),""))))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M1375" s="2">
        <f>IF(C1375="","",IFERROR(INDEX($S$5:$S$304,MATCH(C1375,$R$5:$R$304,0))&amp;"","?"))</f>
        <v/>
      </c>
      <c r="N1375" s="2">
        <f>IF(E1375="","",IF(LEFT(E1375,7)="SUBSOLO",-1,IF(LEFT(E1375,6)="TÉRREO",0,IFERROR(VALUE(LEFT(E1375,FIND("º",SUBSTITUTE(E1375,"°","º"))-1)),""))))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M1376" s="2">
        <f>IF(C1376="","",IFERROR(INDEX($S$5:$S$304,MATCH(C1376,$R$5:$R$304,0))&amp;"","?"))</f>
        <v/>
      </c>
      <c r="N1376" s="2">
        <f>IF(E1376="","",IF(LEFT(E1376,7)="SUBSOLO",-1,IF(LEFT(E1376,6)="TÉRREO",0,IFERROR(VALUE(LEFT(E1376,FIND("º",SUBSTITUTE(E1376,"°","º"))-1)),""))))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M1377" s="2">
        <f>IF(C1377="","",IFERROR(INDEX($S$5:$S$304,MATCH(C1377,$R$5:$R$304,0))&amp;"","?"))</f>
        <v/>
      </c>
      <c r="N1377" s="2">
        <f>IF(E1377="","",IF(LEFT(E1377,7)="SUBSOLO",-1,IF(LEFT(E1377,6)="TÉRREO",0,IFERROR(VALUE(LEFT(E1377,FIND("º",SUBSTITUTE(E1377,"°","º"))-1)),""))))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M1378" s="2">
        <f>IF(C1378="","",IFERROR(INDEX($S$5:$S$304,MATCH(C1378,$R$5:$R$304,0))&amp;"","?"))</f>
        <v/>
      </c>
      <c r="N1378" s="2">
        <f>IF(E1378="","",IF(LEFT(E1378,7)="SUBSOLO",-1,IF(LEFT(E1378,6)="TÉRREO",0,IFERROR(VALUE(LEFT(E1378,FIND("º",SUBSTITUTE(E1378,"°","º"))-1)),""))))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M1379" s="2">
        <f>IF(C1379="","",IFERROR(INDEX($S$5:$S$304,MATCH(C1379,$R$5:$R$304,0))&amp;"","?"))</f>
        <v/>
      </c>
      <c r="N1379" s="2">
        <f>IF(E1379="","",IF(LEFT(E1379,7)="SUBSOLO",-1,IF(LEFT(E1379,6)="TÉRREO",0,IFERROR(VALUE(LEFT(E1379,FIND("º",SUBSTITUTE(E1379,"°","º"))-1)),""))))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M1380" s="2">
        <f>IF(C1380="","",IFERROR(INDEX($S$5:$S$304,MATCH(C1380,$R$5:$R$304,0))&amp;"","?"))</f>
        <v/>
      </c>
      <c r="N1380" s="2">
        <f>IF(E1380="","",IF(LEFT(E1380,7)="SUBSOLO",-1,IF(LEFT(E1380,6)="TÉRREO",0,IFERROR(VALUE(LEFT(E1380,FIND("º",SUBSTITUTE(E1380,"°","º"))-1)),""))))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M1381" s="2">
        <f>IF(C1381="","",IFERROR(INDEX($S$5:$S$304,MATCH(C1381,$R$5:$R$304,0))&amp;"","?"))</f>
        <v/>
      </c>
      <c r="N1381" s="2">
        <f>IF(E1381="","",IF(LEFT(E1381,7)="SUBSOLO",-1,IF(LEFT(E1381,6)="TÉRREO",0,IFERROR(VALUE(LEFT(E1381,FIND("º",SUBSTITUTE(E1381,"°","º"))-1)),""))))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M1382" s="2">
        <f>IF(C1382="","",IFERROR(INDEX($S$5:$S$304,MATCH(C1382,$R$5:$R$304,0))&amp;"","?"))</f>
        <v/>
      </c>
      <c r="N1382" s="2">
        <f>IF(E1382="","",IF(LEFT(E1382,7)="SUBSOLO",-1,IF(LEFT(E1382,6)="TÉRREO",0,IFERROR(VALUE(LEFT(E1382,FIND("º",SUBSTITUTE(E1382,"°","º"))-1)),""))))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M1383" s="2">
        <f>IF(C1383="","",IFERROR(INDEX($S$5:$S$304,MATCH(C1383,$R$5:$R$304,0))&amp;"","?"))</f>
        <v/>
      </c>
      <c r="N1383" s="2">
        <f>IF(E1383="","",IF(LEFT(E1383,7)="SUBSOLO",-1,IF(LEFT(E1383,6)="TÉRREO",0,IFERROR(VALUE(LEFT(E1383,FIND("º",SUBSTITUTE(E1383,"°","º"))-1)),""))))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M1384" s="2">
        <f>IF(C1384="","",IFERROR(INDEX($S$5:$S$304,MATCH(C1384,$R$5:$R$304,0))&amp;"","?"))</f>
        <v/>
      </c>
      <c r="N1384" s="2">
        <f>IF(E1384="","",IF(LEFT(E1384,7)="SUBSOLO",-1,IF(LEFT(E1384,6)="TÉRREO",0,IFERROR(VALUE(LEFT(E1384,FIND("º",SUBSTITUTE(E1384,"°","º"))-1)),""))))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M1385" s="2">
        <f>IF(C1385="","",IFERROR(INDEX($S$5:$S$304,MATCH(C1385,$R$5:$R$304,0))&amp;"","?"))</f>
        <v/>
      </c>
      <c r="N1385" s="2">
        <f>IF(E1385="","",IF(LEFT(E1385,7)="SUBSOLO",-1,IF(LEFT(E1385,6)="TÉRREO",0,IFERROR(VALUE(LEFT(E1385,FIND("º",SUBSTITUTE(E1385,"°","º"))-1)),""))))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M1386" s="2">
        <f>IF(C1386="","",IFERROR(INDEX($S$5:$S$304,MATCH(C1386,$R$5:$R$304,0))&amp;"","?"))</f>
        <v/>
      </c>
      <c r="N1386" s="2">
        <f>IF(E1386="","",IF(LEFT(E1386,7)="SUBSOLO",-1,IF(LEFT(E1386,6)="TÉRREO",0,IFERROR(VALUE(LEFT(E1386,FIND("º",SUBSTITUTE(E1386,"°","º"))-1)),""))))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M1387" s="2">
        <f>IF(C1387="","",IFERROR(INDEX($S$5:$S$304,MATCH(C1387,$R$5:$R$304,0))&amp;"","?"))</f>
        <v/>
      </c>
      <c r="N1387" s="2">
        <f>IF(E1387="","",IF(LEFT(E1387,7)="SUBSOLO",-1,IF(LEFT(E1387,6)="TÉRREO",0,IFERROR(VALUE(LEFT(E1387,FIND("º",SUBSTITUTE(E1387,"°","º"))-1)),""))))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M1388" s="2">
        <f>IF(C1388="","",IFERROR(INDEX($S$5:$S$304,MATCH(C1388,$R$5:$R$304,0))&amp;"","?"))</f>
        <v/>
      </c>
      <c r="N1388" s="2">
        <f>IF(E1388="","",IF(LEFT(E1388,7)="SUBSOLO",-1,IF(LEFT(E1388,6)="TÉRREO",0,IFERROR(VALUE(LEFT(E1388,FIND("º",SUBSTITUTE(E1388,"°","º"))-1)),""))))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M1389" s="2">
        <f>IF(C1389="","",IFERROR(INDEX($S$5:$S$304,MATCH(C1389,$R$5:$R$304,0))&amp;"","?"))</f>
        <v/>
      </c>
      <c r="N1389" s="2">
        <f>IF(E1389="","",IF(LEFT(E1389,7)="SUBSOLO",-1,IF(LEFT(E1389,6)="TÉRREO",0,IFERROR(VALUE(LEFT(E1389,FIND("º",SUBSTITUTE(E1389,"°","º"))-1)),""))))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M1390" s="2">
        <f>IF(C1390="","",IFERROR(INDEX($S$5:$S$304,MATCH(C1390,$R$5:$R$304,0))&amp;"","?"))</f>
        <v/>
      </c>
      <c r="N1390" s="2">
        <f>IF(E1390="","",IF(LEFT(E1390,7)="SUBSOLO",-1,IF(LEFT(E1390,6)="TÉRREO",0,IFERROR(VALUE(LEFT(E1390,FIND("º",SUBSTITUTE(E1390,"°","º"))-1)),""))))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M1391" s="2">
        <f>IF(C1391="","",IFERROR(INDEX($S$5:$S$304,MATCH(C1391,$R$5:$R$304,0))&amp;"","?"))</f>
        <v/>
      </c>
      <c r="N1391" s="2">
        <f>IF(E1391="","",IF(LEFT(E1391,7)="SUBSOLO",-1,IF(LEFT(E1391,6)="TÉRREO",0,IFERROR(VALUE(LEFT(E1391,FIND("º",SUBSTITUTE(E1391,"°","º"))-1)),""))))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M1392" s="2">
        <f>IF(C1392="","",IFERROR(INDEX($S$5:$S$304,MATCH(C1392,$R$5:$R$304,0))&amp;"","?"))</f>
        <v/>
      </c>
      <c r="N1392" s="2">
        <f>IF(E1392="","",IF(LEFT(E1392,7)="SUBSOLO",-1,IF(LEFT(E1392,6)="TÉRREO",0,IFERROR(VALUE(LEFT(E1392,FIND("º",SUBSTITUTE(E1392,"°","º"))-1)),""))))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M1393" s="2">
        <f>IF(C1393="","",IFERROR(INDEX($S$5:$S$304,MATCH(C1393,$R$5:$R$304,0))&amp;"","?"))</f>
        <v/>
      </c>
      <c r="N1393" s="2">
        <f>IF(E1393="","",IF(LEFT(E1393,7)="SUBSOLO",-1,IF(LEFT(E1393,6)="TÉRREO",0,IFERROR(VALUE(LEFT(E1393,FIND("º",SUBSTITUTE(E1393,"°","º"))-1)),""))))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M1394" s="2">
        <f>IF(C1394="","",IFERROR(INDEX($S$5:$S$304,MATCH(C1394,$R$5:$R$304,0))&amp;"","?"))</f>
        <v/>
      </c>
      <c r="N1394" s="2">
        <f>IF(E1394="","",IF(LEFT(E1394,7)="SUBSOLO",-1,IF(LEFT(E1394,6)="TÉRREO",0,IFERROR(VALUE(LEFT(E1394,FIND("º",SUBSTITUTE(E1394,"°","º"))-1)),""))))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M1395" s="2">
        <f>IF(C1395="","",IFERROR(INDEX($S$5:$S$304,MATCH(C1395,$R$5:$R$304,0))&amp;"","?"))</f>
        <v/>
      </c>
      <c r="N1395" s="2">
        <f>IF(E1395="","",IF(LEFT(E1395,7)="SUBSOLO",-1,IF(LEFT(E1395,6)="TÉRREO",0,IFERROR(VALUE(LEFT(E1395,FIND("º",SUBSTITUTE(E1395,"°","º"))-1)),""))))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M1396" s="2">
        <f>IF(C1396="","",IFERROR(INDEX($S$5:$S$304,MATCH(C1396,$R$5:$R$304,0))&amp;"","?"))</f>
        <v/>
      </c>
      <c r="N1396" s="2">
        <f>IF(E1396="","",IF(LEFT(E1396,7)="SUBSOLO",-1,IF(LEFT(E1396,6)="TÉRREO",0,IFERROR(VALUE(LEFT(E1396,FIND("º",SUBSTITUTE(E1396,"°","º"))-1)),""))))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M1397" s="2">
        <f>IF(C1397="","",IFERROR(INDEX($S$5:$S$304,MATCH(C1397,$R$5:$R$304,0))&amp;"","?"))</f>
        <v/>
      </c>
      <c r="N1397" s="2">
        <f>IF(E1397="","",IF(LEFT(E1397,7)="SUBSOLO",-1,IF(LEFT(E1397,6)="TÉRREO",0,IFERROR(VALUE(LEFT(E1397,FIND("º",SUBSTITUTE(E1397,"°","º"))-1)),""))))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M1398" s="2">
        <f>IF(C1398="","",IFERROR(INDEX($S$5:$S$304,MATCH(C1398,$R$5:$R$304,0))&amp;"","?"))</f>
        <v/>
      </c>
      <c r="N1398" s="2">
        <f>IF(E1398="","",IF(LEFT(E1398,7)="SUBSOLO",-1,IF(LEFT(E1398,6)="TÉRREO",0,IFERROR(VALUE(LEFT(E1398,FIND("º",SUBSTITUTE(E1398,"°","º"))-1)),""))))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M1399" s="2">
        <f>IF(C1399="","",IFERROR(INDEX($S$5:$S$304,MATCH(C1399,$R$5:$R$304,0))&amp;"","?"))</f>
        <v/>
      </c>
      <c r="N1399" s="2">
        <f>IF(E1399="","",IF(LEFT(E1399,7)="SUBSOLO",-1,IF(LEFT(E1399,6)="TÉRREO",0,IFERROR(VALUE(LEFT(E1399,FIND("º",SUBSTITUTE(E1399,"°","º"))-1)),""))))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M1400" s="2">
        <f>IF(C1400="","",IFERROR(INDEX($S$5:$S$304,MATCH(C1400,$R$5:$R$304,0))&amp;"","?"))</f>
        <v/>
      </c>
      <c r="N1400" s="2">
        <f>IF(E1400="","",IF(LEFT(E1400,7)="SUBSOLO",-1,IF(LEFT(E1400,6)="TÉRREO",0,IFERROR(VALUE(LEFT(E1400,FIND("º",SUBSTITUTE(E1400,"°","º"))-1)),""))))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M1401" s="2">
        <f>IF(C1401="","",IFERROR(INDEX($S$5:$S$304,MATCH(C1401,$R$5:$R$304,0))&amp;"","?"))</f>
        <v/>
      </c>
      <c r="N1401" s="2">
        <f>IF(E1401="","",IF(LEFT(E1401,7)="SUBSOLO",-1,IF(LEFT(E1401,6)="TÉRREO",0,IFERROR(VALUE(LEFT(E1401,FIND("º",SUBSTITUTE(E1401,"°","º"))-1)),""))))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M1402" s="2">
        <f>IF(C1402="","",IFERROR(INDEX($S$5:$S$304,MATCH(C1402,$R$5:$R$304,0))&amp;"","?"))</f>
        <v/>
      </c>
      <c r="N1402" s="2">
        <f>IF(E1402="","",IF(LEFT(E1402,7)="SUBSOLO",-1,IF(LEFT(E1402,6)="TÉRREO",0,IFERROR(VALUE(LEFT(E1402,FIND("º",SUBSTITUTE(E1402,"°","º"))-1)),""))))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M1403" s="2">
        <f>IF(C1403="","",IFERROR(INDEX($S$5:$S$304,MATCH(C1403,$R$5:$R$304,0))&amp;"","?"))</f>
        <v/>
      </c>
      <c r="N1403" s="2">
        <f>IF(E1403="","",IF(LEFT(E1403,7)="SUBSOLO",-1,IF(LEFT(E1403,6)="TÉRREO",0,IFERROR(VALUE(LEFT(E1403,FIND("º",SUBSTITUTE(E1403,"°","º"))-1)),""))))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M1404" s="2">
        <f>IF(C1404="","",IFERROR(INDEX($S$5:$S$304,MATCH(C1404,$R$5:$R$304,0))&amp;"","?"))</f>
        <v/>
      </c>
      <c r="N1404" s="2">
        <f>IF(E1404="","",IF(LEFT(E1404,7)="SUBSOLO",-1,IF(LEFT(E1404,6)="TÉRREO",0,IFERROR(VALUE(LEFT(E1404,FIND("º",SUBSTITUTE(E1404,"°","º"))-1)),""))))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M1405" s="2">
        <f>IF(C1405="","",IFERROR(INDEX($S$5:$S$304,MATCH(C1405,$R$5:$R$304,0))&amp;"","?"))</f>
        <v/>
      </c>
      <c r="N1405" s="2">
        <f>IF(E1405="","",IF(LEFT(E1405,7)="SUBSOLO",-1,IF(LEFT(E1405,6)="TÉRREO",0,IFERROR(VALUE(LEFT(E1405,FIND("º",SUBSTITUTE(E1405,"°","º"))-1)),""))))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M1406" s="2">
        <f>IF(C1406="","",IFERROR(INDEX($S$5:$S$304,MATCH(C1406,$R$5:$R$304,0))&amp;"","?"))</f>
        <v/>
      </c>
      <c r="N1406" s="2">
        <f>IF(E1406="","",IF(LEFT(E1406,7)="SUBSOLO",-1,IF(LEFT(E1406,6)="TÉRREO",0,IFERROR(VALUE(LEFT(E1406,FIND("º",SUBSTITUTE(E1406,"°","º"))-1)),""))))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M1407" s="2">
        <f>IF(C1407="","",IFERROR(INDEX($S$5:$S$304,MATCH(C1407,$R$5:$R$304,0))&amp;"","?"))</f>
        <v/>
      </c>
      <c r="N1407" s="2">
        <f>IF(E1407="","",IF(LEFT(E1407,7)="SUBSOLO",-1,IF(LEFT(E1407,6)="TÉRREO",0,IFERROR(VALUE(LEFT(E1407,FIND("º",SUBSTITUTE(E1407,"°","º"))-1)),""))))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M1408" s="2">
        <f>IF(C1408="","",IFERROR(INDEX($S$5:$S$304,MATCH(C1408,$R$5:$R$304,0))&amp;"","?"))</f>
        <v/>
      </c>
      <c r="N1408" s="2">
        <f>IF(E1408="","",IF(LEFT(E1408,7)="SUBSOLO",-1,IF(LEFT(E1408,6)="TÉRREO",0,IFERROR(VALUE(LEFT(E1408,FIND("º",SUBSTITUTE(E1408,"°","º"))-1)),""))))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M1409" s="2">
        <f>IF(C1409="","",IFERROR(INDEX($S$5:$S$304,MATCH(C1409,$R$5:$R$304,0))&amp;"","?"))</f>
        <v/>
      </c>
      <c r="N1409" s="2">
        <f>IF(E1409="","",IF(LEFT(E1409,7)="SUBSOLO",-1,IF(LEFT(E1409,6)="TÉRREO",0,IFERROR(VALUE(LEFT(E1409,FIND("º",SUBSTITUTE(E1409,"°","º"))-1)),""))))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M1410" s="2">
        <f>IF(C1410="","",IFERROR(INDEX($S$5:$S$304,MATCH(C1410,$R$5:$R$304,0))&amp;"","?"))</f>
        <v/>
      </c>
      <c r="N1410" s="2">
        <f>IF(E1410="","",IF(LEFT(E1410,7)="SUBSOLO",-1,IF(LEFT(E1410,6)="TÉRREO",0,IFERROR(VALUE(LEFT(E1410,FIND("º",SUBSTITUTE(E1410,"°","º"))-1)),""))))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M1411" s="2">
        <f>IF(C1411="","",IFERROR(INDEX($S$5:$S$304,MATCH(C1411,$R$5:$R$304,0))&amp;"","?"))</f>
        <v/>
      </c>
      <c r="N1411" s="2">
        <f>IF(E1411="","",IF(LEFT(E1411,7)="SUBSOLO",-1,IF(LEFT(E1411,6)="TÉRREO",0,IFERROR(VALUE(LEFT(E1411,FIND("º",SUBSTITUTE(E1411,"°","º"))-1)),""))))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M1412" s="2">
        <f>IF(C1412="","",IFERROR(INDEX($S$5:$S$304,MATCH(C1412,$R$5:$R$304,0))&amp;"","?"))</f>
        <v/>
      </c>
      <c r="N1412" s="2">
        <f>IF(E1412="","",IF(LEFT(E1412,7)="SUBSOLO",-1,IF(LEFT(E1412,6)="TÉRREO",0,IFERROR(VALUE(LEFT(E1412,FIND("º",SUBSTITUTE(E1412,"°","º"))-1)),""))))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M1413" s="2">
        <f>IF(C1413="","",IFERROR(INDEX($S$5:$S$304,MATCH(C1413,$R$5:$R$304,0))&amp;"","?"))</f>
        <v/>
      </c>
      <c r="N1413" s="2">
        <f>IF(E1413="","",IF(LEFT(E1413,7)="SUBSOLO",-1,IF(LEFT(E1413,6)="TÉRREO",0,IFERROR(VALUE(LEFT(E1413,FIND("º",SUBSTITUTE(E1413,"°","º"))-1)),""))))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M1414" s="2">
        <f>IF(C1414="","",IFERROR(INDEX($S$5:$S$304,MATCH(C1414,$R$5:$R$304,0))&amp;"","?"))</f>
        <v/>
      </c>
      <c r="N1414" s="2">
        <f>IF(E1414="","",IF(LEFT(E1414,7)="SUBSOLO",-1,IF(LEFT(E1414,6)="TÉRREO",0,IFERROR(VALUE(LEFT(E1414,FIND("º",SUBSTITUTE(E1414,"°","º"))-1)),""))))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M1415" s="2">
        <f>IF(C1415="","",IFERROR(INDEX($S$5:$S$304,MATCH(C1415,$R$5:$R$304,0))&amp;"","?"))</f>
        <v/>
      </c>
      <c r="N1415" s="2">
        <f>IF(E1415="","",IF(LEFT(E1415,7)="SUBSOLO",-1,IF(LEFT(E1415,6)="TÉRREO",0,IFERROR(VALUE(LEFT(E1415,FIND("º",SUBSTITUTE(E1415,"°","º"))-1)),""))))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M1416" s="2">
        <f>IF(C1416="","",IFERROR(INDEX($S$5:$S$304,MATCH(C1416,$R$5:$R$304,0))&amp;"","?"))</f>
        <v/>
      </c>
      <c r="N1416" s="2">
        <f>IF(E1416="","",IF(LEFT(E1416,7)="SUBSOLO",-1,IF(LEFT(E1416,6)="TÉRREO",0,IFERROR(VALUE(LEFT(E1416,FIND("º",SUBSTITUTE(E1416,"°","º"))-1)),""))))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M1417" s="2">
        <f>IF(C1417="","",IFERROR(INDEX($S$5:$S$304,MATCH(C1417,$R$5:$R$304,0))&amp;"","?"))</f>
        <v/>
      </c>
      <c r="N1417" s="2">
        <f>IF(E1417="","",IF(LEFT(E1417,7)="SUBSOLO",-1,IF(LEFT(E1417,6)="TÉRREO",0,IFERROR(VALUE(LEFT(E1417,FIND("º",SUBSTITUTE(E1417,"°","º"))-1)),""))))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M1418" s="2">
        <f>IF(C1418="","",IFERROR(INDEX($S$5:$S$304,MATCH(C1418,$R$5:$R$304,0))&amp;"","?"))</f>
        <v/>
      </c>
      <c r="N1418" s="2">
        <f>IF(E1418="","",IF(LEFT(E1418,7)="SUBSOLO",-1,IF(LEFT(E1418,6)="TÉRREO",0,IFERROR(VALUE(LEFT(E1418,FIND("º",SUBSTITUTE(E1418,"°","º"))-1)),""))))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M1419" s="2">
        <f>IF(C1419="","",IFERROR(INDEX($S$5:$S$304,MATCH(C1419,$R$5:$R$304,0))&amp;"","?"))</f>
        <v/>
      </c>
      <c r="N1419" s="2">
        <f>IF(E1419="","",IF(LEFT(E1419,7)="SUBSOLO",-1,IF(LEFT(E1419,6)="TÉRREO",0,IFERROR(VALUE(LEFT(E1419,FIND("º",SUBSTITUTE(E1419,"°","º"))-1)),""))))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M1420" s="2">
        <f>IF(C1420="","",IFERROR(INDEX($S$5:$S$304,MATCH(C1420,$R$5:$R$304,0))&amp;"","?"))</f>
        <v/>
      </c>
      <c r="N1420" s="2">
        <f>IF(E1420="","",IF(LEFT(E1420,7)="SUBSOLO",-1,IF(LEFT(E1420,6)="TÉRREO",0,IFERROR(VALUE(LEFT(E1420,FIND("º",SUBSTITUTE(E1420,"°","º"))-1)),""))))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M1421" s="2">
        <f>IF(C1421="","",IFERROR(INDEX($S$5:$S$304,MATCH(C1421,$R$5:$R$304,0))&amp;"","?"))</f>
        <v/>
      </c>
      <c r="N1421" s="2">
        <f>IF(E1421="","",IF(LEFT(E1421,7)="SUBSOLO",-1,IF(LEFT(E1421,6)="TÉRREO",0,IFERROR(VALUE(LEFT(E1421,FIND("º",SUBSTITUTE(E1421,"°","º"))-1)),""))))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M1422" s="2">
        <f>IF(C1422="","",IFERROR(INDEX($S$5:$S$304,MATCH(C1422,$R$5:$R$304,0))&amp;"","?"))</f>
        <v/>
      </c>
      <c r="N1422" s="2">
        <f>IF(E1422="","",IF(LEFT(E1422,7)="SUBSOLO",-1,IF(LEFT(E1422,6)="TÉRREO",0,IFERROR(VALUE(LEFT(E1422,FIND("º",SUBSTITUTE(E1422,"°","º"))-1)),""))))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M1423" s="2">
        <f>IF(C1423="","",IFERROR(INDEX($S$5:$S$304,MATCH(C1423,$R$5:$R$304,0))&amp;"","?"))</f>
        <v/>
      </c>
      <c r="N1423" s="2">
        <f>IF(E1423="","",IF(LEFT(E1423,7)="SUBSOLO",-1,IF(LEFT(E1423,6)="TÉRREO",0,IFERROR(VALUE(LEFT(E1423,FIND("º",SUBSTITUTE(E1423,"°","º"))-1)),""))))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M1424" s="2">
        <f>IF(C1424="","",IFERROR(INDEX($S$5:$S$304,MATCH(C1424,$R$5:$R$304,0))&amp;"","?"))</f>
        <v/>
      </c>
      <c r="N1424" s="2">
        <f>IF(E1424="","",IF(LEFT(E1424,7)="SUBSOLO",-1,IF(LEFT(E1424,6)="TÉRREO",0,IFERROR(VALUE(LEFT(E1424,FIND("º",SUBSTITUTE(E1424,"°","º"))-1)),""))))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M1425" s="2">
        <f>IF(C1425="","",IFERROR(INDEX($S$5:$S$304,MATCH(C1425,$R$5:$R$304,0))&amp;"","?"))</f>
        <v/>
      </c>
      <c r="N1425" s="2">
        <f>IF(E1425="","",IF(LEFT(E1425,7)="SUBSOLO",-1,IF(LEFT(E1425,6)="TÉRREO",0,IFERROR(VALUE(LEFT(E1425,FIND("º",SUBSTITUTE(E1425,"°","º"))-1)),""))))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M1426" s="2">
        <f>IF(C1426="","",IFERROR(INDEX($S$5:$S$304,MATCH(C1426,$R$5:$R$304,0))&amp;"","?"))</f>
        <v/>
      </c>
      <c r="N1426" s="2">
        <f>IF(E1426="","",IF(LEFT(E1426,7)="SUBSOLO",-1,IF(LEFT(E1426,6)="TÉRREO",0,IFERROR(VALUE(LEFT(E1426,FIND("º",SUBSTITUTE(E1426,"°","º"))-1)),""))))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M1427" s="2">
        <f>IF(C1427="","",IFERROR(INDEX($S$5:$S$304,MATCH(C1427,$R$5:$R$304,0))&amp;"","?"))</f>
        <v/>
      </c>
      <c r="N1427" s="2">
        <f>IF(E1427="","",IF(LEFT(E1427,7)="SUBSOLO",-1,IF(LEFT(E1427,6)="TÉRREO",0,IFERROR(VALUE(LEFT(E1427,FIND("º",SUBSTITUTE(E1427,"°","º"))-1)),""))))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M1428" s="2">
        <f>IF(C1428="","",IFERROR(INDEX($S$5:$S$304,MATCH(C1428,$R$5:$R$304,0))&amp;"","?"))</f>
        <v/>
      </c>
      <c r="N1428" s="2">
        <f>IF(E1428="","",IF(LEFT(E1428,7)="SUBSOLO",-1,IF(LEFT(E1428,6)="TÉRREO",0,IFERROR(VALUE(LEFT(E1428,FIND("º",SUBSTITUTE(E1428,"°","º"))-1)),""))))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M1429" s="2">
        <f>IF(C1429="","",IFERROR(INDEX($S$5:$S$304,MATCH(C1429,$R$5:$R$304,0))&amp;"","?"))</f>
        <v/>
      </c>
      <c r="N1429" s="2">
        <f>IF(E1429="","",IF(LEFT(E1429,7)="SUBSOLO",-1,IF(LEFT(E1429,6)="TÉRREO",0,IFERROR(VALUE(LEFT(E1429,FIND("º",SUBSTITUTE(E1429,"°","º"))-1)),""))))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M1430" s="2">
        <f>IF(C1430="","",IFERROR(INDEX($S$5:$S$304,MATCH(C1430,$R$5:$R$304,0))&amp;"","?"))</f>
        <v/>
      </c>
      <c r="N1430" s="2">
        <f>IF(E1430="","",IF(LEFT(E1430,7)="SUBSOLO",-1,IF(LEFT(E1430,6)="TÉRREO",0,IFERROR(VALUE(LEFT(E1430,FIND("º",SUBSTITUTE(E1430,"°","º"))-1)),""))))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M1431" s="2">
        <f>IF(C1431="","",IFERROR(INDEX($S$5:$S$304,MATCH(C1431,$R$5:$R$304,0))&amp;"","?"))</f>
        <v/>
      </c>
      <c r="N1431" s="2">
        <f>IF(E1431="","",IF(LEFT(E1431,7)="SUBSOLO",-1,IF(LEFT(E1431,6)="TÉRREO",0,IFERROR(VALUE(LEFT(E1431,FIND("º",SUBSTITUTE(E1431,"°","º"))-1)),""))))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M1432" s="2">
        <f>IF(C1432="","",IFERROR(INDEX($S$5:$S$304,MATCH(C1432,$R$5:$R$304,0))&amp;"","?"))</f>
        <v/>
      </c>
      <c r="N1432" s="2">
        <f>IF(E1432="","",IF(LEFT(E1432,7)="SUBSOLO",-1,IF(LEFT(E1432,6)="TÉRREO",0,IFERROR(VALUE(LEFT(E1432,FIND("º",SUBSTITUTE(E1432,"°","º"))-1)),""))))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M1433" s="2">
        <f>IF(C1433="","",IFERROR(INDEX($S$5:$S$304,MATCH(C1433,$R$5:$R$304,0))&amp;"","?"))</f>
        <v/>
      </c>
      <c r="N1433" s="2">
        <f>IF(E1433="","",IF(LEFT(E1433,7)="SUBSOLO",-1,IF(LEFT(E1433,6)="TÉRREO",0,IFERROR(VALUE(LEFT(E1433,FIND("º",SUBSTITUTE(E1433,"°","º"))-1)),""))))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M1434" s="2">
        <f>IF(C1434="","",IFERROR(INDEX($S$5:$S$304,MATCH(C1434,$R$5:$R$304,0))&amp;"","?"))</f>
        <v/>
      </c>
      <c r="N1434" s="2">
        <f>IF(E1434="","",IF(LEFT(E1434,7)="SUBSOLO",-1,IF(LEFT(E1434,6)="TÉRREO",0,IFERROR(VALUE(LEFT(E1434,FIND("º",SUBSTITUTE(E1434,"°","º"))-1)),""))))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M1435" s="2">
        <f>IF(C1435="","",IFERROR(INDEX($S$5:$S$304,MATCH(C1435,$R$5:$R$304,0))&amp;"","?"))</f>
        <v/>
      </c>
      <c r="N1435" s="2">
        <f>IF(E1435="","",IF(LEFT(E1435,7)="SUBSOLO",-1,IF(LEFT(E1435,6)="TÉRREO",0,IFERROR(VALUE(LEFT(E1435,FIND("º",SUBSTITUTE(E1435,"°","º"))-1)),""))))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M1436" s="2">
        <f>IF(C1436="","",IFERROR(INDEX($S$5:$S$304,MATCH(C1436,$R$5:$R$304,0))&amp;"","?"))</f>
        <v/>
      </c>
      <c r="N1436" s="2">
        <f>IF(E1436="","",IF(LEFT(E1436,7)="SUBSOLO",-1,IF(LEFT(E1436,6)="TÉRREO",0,IFERROR(VALUE(LEFT(E1436,FIND("º",SUBSTITUTE(E1436,"°","º"))-1)),""))))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M1437" s="2">
        <f>IF(C1437="","",IFERROR(INDEX($S$5:$S$304,MATCH(C1437,$R$5:$R$304,0))&amp;"","?"))</f>
        <v/>
      </c>
      <c r="N1437" s="2">
        <f>IF(E1437="","",IF(LEFT(E1437,7)="SUBSOLO",-1,IF(LEFT(E1437,6)="TÉRREO",0,IFERROR(VALUE(LEFT(E1437,FIND("º",SUBSTITUTE(E1437,"°","º"))-1)),""))))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M1438" s="2">
        <f>IF(C1438="","",IFERROR(INDEX($S$5:$S$304,MATCH(C1438,$R$5:$R$304,0))&amp;"","?"))</f>
        <v/>
      </c>
      <c r="N1438" s="2">
        <f>IF(E1438="","",IF(LEFT(E1438,7)="SUBSOLO",-1,IF(LEFT(E1438,6)="TÉRREO",0,IFERROR(VALUE(LEFT(E1438,FIND("º",SUBSTITUTE(E1438,"°","º"))-1)),""))))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M1439" s="2">
        <f>IF(C1439="","",IFERROR(INDEX($S$5:$S$304,MATCH(C1439,$R$5:$R$304,0))&amp;"","?"))</f>
        <v/>
      </c>
      <c r="N1439" s="2">
        <f>IF(E1439="","",IF(LEFT(E1439,7)="SUBSOLO",-1,IF(LEFT(E1439,6)="TÉRREO",0,IFERROR(VALUE(LEFT(E1439,FIND("º",SUBSTITUTE(E1439,"°","º"))-1)),""))))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M1440" s="2">
        <f>IF(C1440="","",IFERROR(INDEX($S$5:$S$304,MATCH(C1440,$R$5:$R$304,0))&amp;"","?"))</f>
        <v/>
      </c>
      <c r="N1440" s="2">
        <f>IF(E1440="","",IF(LEFT(E1440,7)="SUBSOLO",-1,IF(LEFT(E1440,6)="TÉRREO",0,IFERROR(VALUE(LEFT(E1440,FIND("º",SUBSTITUTE(E1440,"°","º"))-1)),""))))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M1441" s="2">
        <f>IF(C1441="","",IFERROR(INDEX($S$5:$S$304,MATCH(C1441,$R$5:$R$304,0))&amp;"","?"))</f>
        <v/>
      </c>
      <c r="N1441" s="2">
        <f>IF(E1441="","",IF(LEFT(E1441,7)="SUBSOLO",-1,IF(LEFT(E1441,6)="TÉRREO",0,IFERROR(VALUE(LEFT(E1441,FIND("º",SUBSTITUTE(E1441,"°","º"))-1)),""))))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M1442" s="2">
        <f>IF(C1442="","",IFERROR(INDEX($S$5:$S$304,MATCH(C1442,$R$5:$R$304,0))&amp;"","?"))</f>
        <v/>
      </c>
      <c r="N1442" s="2">
        <f>IF(E1442="","",IF(LEFT(E1442,7)="SUBSOLO",-1,IF(LEFT(E1442,6)="TÉRREO",0,IFERROR(VALUE(LEFT(E1442,FIND("º",SUBSTITUTE(E1442,"°","º"))-1)),""))))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M1443" s="2">
        <f>IF(C1443="","",IFERROR(INDEX($S$5:$S$304,MATCH(C1443,$R$5:$R$304,0))&amp;"","?"))</f>
        <v/>
      </c>
      <c r="N1443" s="2">
        <f>IF(E1443="","",IF(LEFT(E1443,7)="SUBSOLO",-1,IF(LEFT(E1443,6)="TÉRREO",0,IFERROR(VALUE(LEFT(E1443,FIND("º",SUBSTITUTE(E1443,"°","º"))-1)),""))))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M1444" s="2">
        <f>IF(C1444="","",IFERROR(INDEX($S$5:$S$304,MATCH(C1444,$R$5:$R$304,0))&amp;"","?"))</f>
        <v/>
      </c>
      <c r="N1444" s="2">
        <f>IF(E1444="","",IF(LEFT(E1444,7)="SUBSOLO",-1,IF(LEFT(E1444,6)="TÉRREO",0,IFERROR(VALUE(LEFT(E1444,FIND("º",SUBSTITUTE(E1444,"°","º"))-1)),""))))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M1445" s="2">
        <f>IF(C1445="","",IFERROR(INDEX($S$5:$S$304,MATCH(C1445,$R$5:$R$304,0))&amp;"","?"))</f>
        <v/>
      </c>
      <c r="N1445" s="2">
        <f>IF(E1445="","",IF(LEFT(E1445,7)="SUBSOLO",-1,IF(LEFT(E1445,6)="TÉRREO",0,IFERROR(VALUE(LEFT(E1445,FIND("º",SUBSTITUTE(E1445,"°","º"))-1)),""))))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M1446" s="2">
        <f>IF(C1446="","",IFERROR(INDEX($S$5:$S$304,MATCH(C1446,$R$5:$R$304,0))&amp;"","?"))</f>
        <v/>
      </c>
      <c r="N1446" s="2">
        <f>IF(E1446="","",IF(LEFT(E1446,7)="SUBSOLO",-1,IF(LEFT(E1446,6)="TÉRREO",0,IFERROR(VALUE(LEFT(E1446,FIND("º",SUBSTITUTE(E1446,"°","º"))-1)),""))))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M1447" s="2">
        <f>IF(C1447="","",IFERROR(INDEX($S$5:$S$304,MATCH(C1447,$R$5:$R$304,0))&amp;"","?"))</f>
        <v/>
      </c>
      <c r="N1447" s="2">
        <f>IF(E1447="","",IF(LEFT(E1447,7)="SUBSOLO",-1,IF(LEFT(E1447,6)="TÉRREO",0,IFERROR(VALUE(LEFT(E1447,FIND("º",SUBSTITUTE(E1447,"°","º"))-1)),""))))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M1448" s="2">
        <f>IF(C1448="","",IFERROR(INDEX($S$5:$S$304,MATCH(C1448,$R$5:$R$304,0))&amp;"","?"))</f>
        <v/>
      </c>
      <c r="N1448" s="2">
        <f>IF(E1448="","",IF(LEFT(E1448,7)="SUBSOLO",-1,IF(LEFT(E1448,6)="TÉRREO",0,IFERROR(VALUE(LEFT(E1448,FIND("º",SUBSTITUTE(E1448,"°","º"))-1)),""))))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M1449" s="2">
        <f>IF(C1449="","",IFERROR(INDEX($S$5:$S$304,MATCH(C1449,$R$5:$R$304,0))&amp;"","?"))</f>
        <v/>
      </c>
      <c r="N1449" s="2">
        <f>IF(E1449="","",IF(LEFT(E1449,7)="SUBSOLO",-1,IF(LEFT(E1449,6)="TÉRREO",0,IFERROR(VALUE(LEFT(E1449,FIND("º",SUBSTITUTE(E1449,"°","º"))-1)),""))))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M1450" s="2">
        <f>IF(C1450="","",IFERROR(INDEX($S$5:$S$304,MATCH(C1450,$R$5:$R$304,0))&amp;"","?"))</f>
        <v/>
      </c>
      <c r="N1450" s="2">
        <f>IF(E1450="","",IF(LEFT(E1450,7)="SUBSOLO",-1,IF(LEFT(E1450,6)="TÉRREO",0,IFERROR(VALUE(LEFT(E1450,FIND("º",SUBSTITUTE(E1450,"°","º"))-1)),""))))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M1451" s="2">
        <f>IF(C1451="","",IFERROR(INDEX($S$5:$S$304,MATCH(C1451,$R$5:$R$304,0))&amp;"","?"))</f>
        <v/>
      </c>
      <c r="N1451" s="2">
        <f>IF(E1451="","",IF(LEFT(E1451,7)="SUBSOLO",-1,IF(LEFT(E1451,6)="TÉRREO",0,IFERROR(VALUE(LEFT(E1451,FIND("º",SUBSTITUTE(E1451,"°","º"))-1)),""))))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M1452" s="2">
        <f>IF(C1452="","",IFERROR(INDEX($S$5:$S$304,MATCH(C1452,$R$5:$R$304,0))&amp;"","?"))</f>
        <v/>
      </c>
      <c r="N1452" s="2">
        <f>IF(E1452="","",IF(LEFT(E1452,7)="SUBSOLO",-1,IF(LEFT(E1452,6)="TÉRREO",0,IFERROR(VALUE(LEFT(E1452,FIND("º",SUBSTITUTE(E1452,"°","º"))-1)),""))))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M1453" s="2">
        <f>IF(C1453="","",IFERROR(INDEX($S$5:$S$304,MATCH(C1453,$R$5:$R$304,0))&amp;"","?"))</f>
        <v/>
      </c>
      <c r="N1453" s="2">
        <f>IF(E1453="","",IF(LEFT(E1453,7)="SUBSOLO",-1,IF(LEFT(E1453,6)="TÉRREO",0,IFERROR(VALUE(LEFT(E1453,FIND("º",SUBSTITUTE(E1453,"°","º"))-1)),""))))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M1454" s="2">
        <f>IF(C1454="","",IFERROR(INDEX($S$5:$S$304,MATCH(C1454,$R$5:$R$304,0))&amp;"","?"))</f>
        <v/>
      </c>
      <c r="N1454" s="2">
        <f>IF(E1454="","",IF(LEFT(E1454,7)="SUBSOLO",-1,IF(LEFT(E1454,6)="TÉRREO",0,IFERROR(VALUE(LEFT(E1454,FIND("º",SUBSTITUTE(E1454,"°","º"))-1)),""))))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M1455" s="2">
        <f>IF(C1455="","",IFERROR(INDEX($S$5:$S$304,MATCH(C1455,$R$5:$R$304,0))&amp;"","?"))</f>
        <v/>
      </c>
      <c r="N1455" s="2">
        <f>IF(E1455="","",IF(LEFT(E1455,7)="SUBSOLO",-1,IF(LEFT(E1455,6)="TÉRREO",0,IFERROR(VALUE(LEFT(E1455,FIND("º",SUBSTITUTE(E1455,"°","º"))-1)),""))))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M1456" s="2">
        <f>IF(C1456="","",IFERROR(INDEX($S$5:$S$304,MATCH(C1456,$R$5:$R$304,0))&amp;"","?"))</f>
        <v/>
      </c>
      <c r="N1456" s="2">
        <f>IF(E1456="","",IF(LEFT(E1456,7)="SUBSOLO",-1,IF(LEFT(E1456,6)="TÉRREO",0,IFERROR(VALUE(LEFT(E1456,FIND("º",SUBSTITUTE(E1456,"°","º"))-1)),""))))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M1457" s="2">
        <f>IF(C1457="","",IFERROR(INDEX($S$5:$S$304,MATCH(C1457,$R$5:$R$304,0))&amp;"","?"))</f>
        <v/>
      </c>
      <c r="N1457" s="2">
        <f>IF(E1457="","",IF(LEFT(E1457,7)="SUBSOLO",-1,IF(LEFT(E1457,6)="TÉRREO",0,IFERROR(VALUE(LEFT(E1457,FIND("º",SUBSTITUTE(E1457,"°","º"))-1)),""))))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M1458" s="2">
        <f>IF(C1458="","",IFERROR(INDEX($S$5:$S$304,MATCH(C1458,$R$5:$R$304,0))&amp;"","?"))</f>
        <v/>
      </c>
      <c r="N1458" s="2">
        <f>IF(E1458="","",IF(LEFT(E1458,7)="SUBSOLO",-1,IF(LEFT(E1458,6)="TÉRREO",0,IFERROR(VALUE(LEFT(E1458,FIND("º",SUBSTITUTE(E1458,"°","º"))-1)),""))))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M1459" s="2">
        <f>IF(C1459="","",IFERROR(INDEX($S$5:$S$304,MATCH(C1459,$R$5:$R$304,0))&amp;"","?"))</f>
        <v/>
      </c>
      <c r="N1459" s="2">
        <f>IF(E1459="","",IF(LEFT(E1459,7)="SUBSOLO",-1,IF(LEFT(E1459,6)="TÉRREO",0,IFERROR(VALUE(LEFT(E1459,FIND("º",SUBSTITUTE(E1459,"°","º"))-1)),""))))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M1460" s="2">
        <f>IF(C1460="","",IFERROR(INDEX($S$5:$S$304,MATCH(C1460,$R$5:$R$304,0))&amp;"","?"))</f>
        <v/>
      </c>
      <c r="N1460" s="2">
        <f>IF(E1460="","",IF(LEFT(E1460,7)="SUBSOLO",-1,IF(LEFT(E1460,6)="TÉRREO",0,IFERROR(VALUE(LEFT(E1460,FIND("º",SUBSTITUTE(E1460,"°","º"))-1)),""))))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M1461" s="2">
        <f>IF(C1461="","",IFERROR(INDEX($S$5:$S$304,MATCH(C1461,$R$5:$R$304,0))&amp;"","?"))</f>
        <v/>
      </c>
      <c r="N1461" s="2">
        <f>IF(E1461="","",IF(LEFT(E1461,7)="SUBSOLO",-1,IF(LEFT(E1461,6)="TÉRREO",0,IFERROR(VALUE(LEFT(E1461,FIND("º",SUBSTITUTE(E1461,"°","º"))-1)),""))))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M1462" s="2">
        <f>IF(C1462="","",IFERROR(INDEX($S$5:$S$304,MATCH(C1462,$R$5:$R$304,0))&amp;"","?"))</f>
        <v/>
      </c>
      <c r="N1462" s="2">
        <f>IF(E1462="","",IF(LEFT(E1462,7)="SUBSOLO",-1,IF(LEFT(E1462,6)="TÉRREO",0,IFERROR(VALUE(LEFT(E1462,FIND("º",SUBSTITUTE(E1462,"°","º"))-1)),""))))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M1463" s="2">
        <f>IF(C1463="","",IFERROR(INDEX($S$5:$S$304,MATCH(C1463,$R$5:$R$304,0))&amp;"","?"))</f>
        <v/>
      </c>
      <c r="N1463" s="2">
        <f>IF(E1463="","",IF(LEFT(E1463,7)="SUBSOLO",-1,IF(LEFT(E1463,6)="TÉRREO",0,IFERROR(VALUE(LEFT(E1463,FIND("º",SUBSTITUTE(E1463,"°","º"))-1)),""))))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M1464" s="2">
        <f>IF(C1464="","",IFERROR(INDEX($S$5:$S$304,MATCH(C1464,$R$5:$R$304,0))&amp;"","?"))</f>
        <v/>
      </c>
      <c r="N1464" s="2">
        <f>IF(E1464="","",IF(LEFT(E1464,7)="SUBSOLO",-1,IF(LEFT(E1464,6)="TÉRREO",0,IFERROR(VALUE(LEFT(E1464,FIND("º",SUBSTITUTE(E1464,"°","º"))-1)),""))))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M1465" s="2">
        <f>IF(C1465="","",IFERROR(INDEX($S$5:$S$304,MATCH(C1465,$R$5:$R$304,0))&amp;"","?"))</f>
        <v/>
      </c>
      <c r="N1465" s="2">
        <f>IF(E1465="","",IF(LEFT(E1465,7)="SUBSOLO",-1,IF(LEFT(E1465,6)="TÉRREO",0,IFERROR(VALUE(LEFT(E1465,FIND("º",SUBSTITUTE(E1465,"°","º"))-1)),""))))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M1466" s="2">
        <f>IF(C1466="","",IFERROR(INDEX($S$5:$S$304,MATCH(C1466,$R$5:$R$304,0))&amp;"","?"))</f>
        <v/>
      </c>
      <c r="N1466" s="2">
        <f>IF(E1466="","",IF(LEFT(E1466,7)="SUBSOLO",-1,IF(LEFT(E1466,6)="TÉRREO",0,IFERROR(VALUE(LEFT(E1466,FIND("º",SUBSTITUTE(E1466,"°","º"))-1)),""))))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M1467" s="2">
        <f>IF(C1467="","",IFERROR(INDEX($S$5:$S$304,MATCH(C1467,$R$5:$R$304,0))&amp;"","?"))</f>
        <v/>
      </c>
      <c r="N1467" s="2">
        <f>IF(E1467="","",IF(LEFT(E1467,7)="SUBSOLO",-1,IF(LEFT(E1467,6)="TÉRREO",0,IFERROR(VALUE(LEFT(E1467,FIND("º",SUBSTITUTE(E1467,"°","º"))-1)),""))))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M1468" s="2">
        <f>IF(C1468="","",IFERROR(INDEX($S$5:$S$304,MATCH(C1468,$R$5:$R$304,0))&amp;"","?"))</f>
        <v/>
      </c>
      <c r="N1468" s="2">
        <f>IF(E1468="","",IF(LEFT(E1468,7)="SUBSOLO",-1,IF(LEFT(E1468,6)="TÉRREO",0,IFERROR(VALUE(LEFT(E1468,FIND("º",SUBSTITUTE(E1468,"°","º"))-1)),""))))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M1469" s="2">
        <f>IF(C1469="","",IFERROR(INDEX($S$5:$S$304,MATCH(C1469,$R$5:$R$304,0))&amp;"","?"))</f>
        <v/>
      </c>
      <c r="N1469" s="2">
        <f>IF(E1469="","",IF(LEFT(E1469,7)="SUBSOLO",-1,IF(LEFT(E1469,6)="TÉRREO",0,IFERROR(VALUE(LEFT(E1469,FIND("º",SUBSTITUTE(E1469,"°","º"))-1)),""))))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M1470" s="2">
        <f>IF(C1470="","",IFERROR(INDEX($S$5:$S$304,MATCH(C1470,$R$5:$R$304,0))&amp;"","?"))</f>
        <v/>
      </c>
      <c r="N1470" s="2">
        <f>IF(E1470="","",IF(LEFT(E1470,7)="SUBSOLO",-1,IF(LEFT(E1470,6)="TÉRREO",0,IFERROR(VALUE(LEFT(E1470,FIND("º",SUBSTITUTE(E1470,"°","º"))-1)),""))))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M1471" s="2">
        <f>IF(C1471="","",IFERROR(INDEX($S$5:$S$304,MATCH(C1471,$R$5:$R$304,0))&amp;"","?"))</f>
        <v/>
      </c>
      <c r="N1471" s="2">
        <f>IF(E1471="","",IF(LEFT(E1471,7)="SUBSOLO",-1,IF(LEFT(E1471,6)="TÉRREO",0,IFERROR(VALUE(LEFT(E1471,FIND("º",SUBSTITUTE(E1471,"°","º"))-1)),""))))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M1472" s="2">
        <f>IF(C1472="","",IFERROR(INDEX($S$5:$S$304,MATCH(C1472,$R$5:$R$304,0))&amp;"","?"))</f>
        <v/>
      </c>
      <c r="N1472" s="2">
        <f>IF(E1472="","",IF(LEFT(E1472,7)="SUBSOLO",-1,IF(LEFT(E1472,6)="TÉRREO",0,IFERROR(VALUE(LEFT(E1472,FIND("º",SUBSTITUTE(E1472,"°","º"))-1)),""))))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M1473" s="2">
        <f>IF(C1473="","",IFERROR(INDEX($S$5:$S$304,MATCH(C1473,$R$5:$R$304,0))&amp;"","?"))</f>
        <v/>
      </c>
      <c r="N1473" s="2">
        <f>IF(E1473="","",IF(LEFT(E1473,7)="SUBSOLO",-1,IF(LEFT(E1473,6)="TÉRREO",0,IFERROR(VALUE(LEFT(E1473,FIND("º",SUBSTITUTE(E1473,"°","º"))-1)),""))))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M1474" s="2">
        <f>IF(C1474="","",IFERROR(INDEX($S$5:$S$304,MATCH(C1474,$R$5:$R$304,0))&amp;"","?"))</f>
        <v/>
      </c>
      <c r="N1474" s="2">
        <f>IF(E1474="","",IF(LEFT(E1474,7)="SUBSOLO",-1,IF(LEFT(E1474,6)="TÉRREO",0,IFERROR(VALUE(LEFT(E1474,FIND("º",SUBSTITUTE(E1474,"°","º"))-1)),""))))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M1475" s="2">
        <f>IF(C1475="","",IFERROR(INDEX($S$5:$S$304,MATCH(C1475,$R$5:$R$304,0))&amp;"","?"))</f>
        <v/>
      </c>
      <c r="N1475" s="2">
        <f>IF(E1475="","",IF(LEFT(E1475,7)="SUBSOLO",-1,IF(LEFT(E1475,6)="TÉRREO",0,IFERROR(VALUE(LEFT(E1475,FIND("º",SUBSTITUTE(E1475,"°","º"))-1)),""))))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M1476" s="2">
        <f>IF(C1476="","",IFERROR(INDEX($S$5:$S$304,MATCH(C1476,$R$5:$R$304,0))&amp;"","?"))</f>
        <v/>
      </c>
      <c r="N1476" s="2">
        <f>IF(E1476="","",IF(LEFT(E1476,7)="SUBSOLO",-1,IF(LEFT(E1476,6)="TÉRREO",0,IFERROR(VALUE(LEFT(E1476,FIND("º",SUBSTITUTE(E1476,"°","º"))-1)),""))))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M1477" s="2">
        <f>IF(C1477="","",IFERROR(INDEX($S$5:$S$304,MATCH(C1477,$R$5:$R$304,0))&amp;"","?"))</f>
        <v/>
      </c>
      <c r="N1477" s="2">
        <f>IF(E1477="","",IF(LEFT(E1477,7)="SUBSOLO",-1,IF(LEFT(E1477,6)="TÉRREO",0,IFERROR(VALUE(LEFT(E1477,FIND("º",SUBSTITUTE(E1477,"°","º"))-1)),""))))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M1478" s="2">
        <f>IF(C1478="","",IFERROR(INDEX($S$5:$S$304,MATCH(C1478,$R$5:$R$304,0))&amp;"","?"))</f>
        <v/>
      </c>
      <c r="N1478" s="2">
        <f>IF(E1478="","",IF(LEFT(E1478,7)="SUBSOLO",-1,IF(LEFT(E1478,6)="TÉRREO",0,IFERROR(VALUE(LEFT(E1478,FIND("º",SUBSTITUTE(E1478,"°","º"))-1)),""))))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M1479" s="2">
        <f>IF(C1479="","",IFERROR(INDEX($S$5:$S$304,MATCH(C1479,$R$5:$R$304,0))&amp;"","?"))</f>
        <v/>
      </c>
      <c r="N1479" s="2">
        <f>IF(E1479="","",IF(LEFT(E1479,7)="SUBSOLO",-1,IF(LEFT(E1479,6)="TÉRREO",0,IFERROR(VALUE(LEFT(E1479,FIND("º",SUBSTITUTE(E1479,"°","º"))-1)),""))))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M1480" s="2">
        <f>IF(C1480="","",IFERROR(INDEX($S$5:$S$304,MATCH(C1480,$R$5:$R$304,0))&amp;"","?"))</f>
        <v/>
      </c>
      <c r="N1480" s="2">
        <f>IF(E1480="","",IF(LEFT(E1480,7)="SUBSOLO",-1,IF(LEFT(E1480,6)="TÉRREO",0,IFERROR(VALUE(LEFT(E1480,FIND("º",SUBSTITUTE(E1480,"°","º"))-1)),""))))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M1481" s="2">
        <f>IF(C1481="","",IFERROR(INDEX($S$5:$S$304,MATCH(C1481,$R$5:$R$304,0))&amp;"","?"))</f>
        <v/>
      </c>
      <c r="N1481" s="2">
        <f>IF(E1481="","",IF(LEFT(E1481,7)="SUBSOLO",-1,IF(LEFT(E1481,6)="TÉRREO",0,IFERROR(VALUE(LEFT(E1481,FIND("º",SUBSTITUTE(E1481,"°","º"))-1)),""))))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M1482" s="2">
        <f>IF(C1482="","",IFERROR(INDEX($S$5:$S$304,MATCH(C1482,$R$5:$R$304,0))&amp;"","?"))</f>
        <v/>
      </c>
      <c r="N1482" s="2">
        <f>IF(E1482="","",IF(LEFT(E1482,7)="SUBSOLO",-1,IF(LEFT(E1482,6)="TÉRREO",0,IFERROR(VALUE(LEFT(E1482,FIND("º",SUBSTITUTE(E1482,"°","º"))-1)),""))))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M1483" s="2">
        <f>IF(C1483="","",IFERROR(INDEX($S$5:$S$304,MATCH(C1483,$R$5:$R$304,0))&amp;"","?"))</f>
        <v/>
      </c>
      <c r="N1483" s="2">
        <f>IF(E1483="","",IF(LEFT(E1483,7)="SUBSOLO",-1,IF(LEFT(E1483,6)="TÉRREO",0,IFERROR(VALUE(LEFT(E1483,FIND("º",SUBSTITUTE(E1483,"°","º"))-1)),""))))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M1484" s="2">
        <f>IF(C1484="","",IFERROR(INDEX($S$5:$S$304,MATCH(C1484,$R$5:$R$304,0))&amp;"","?"))</f>
        <v/>
      </c>
      <c r="N1484" s="2">
        <f>IF(E1484="","",IF(LEFT(E1484,7)="SUBSOLO",-1,IF(LEFT(E1484,6)="TÉRREO",0,IFERROR(VALUE(LEFT(E1484,FIND("º",SUBSTITUTE(E1484,"°","º"))-1)),""))))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M1485" s="2">
        <f>IF(C1485="","",IFERROR(INDEX($S$5:$S$304,MATCH(C1485,$R$5:$R$304,0))&amp;"","?"))</f>
        <v/>
      </c>
      <c r="N1485" s="2">
        <f>IF(E1485="","",IF(LEFT(E1485,7)="SUBSOLO",-1,IF(LEFT(E1485,6)="TÉRREO",0,IFERROR(VALUE(LEFT(E1485,FIND("º",SUBSTITUTE(E1485,"°","º"))-1)),""))))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M1486" s="2">
        <f>IF(C1486="","",IFERROR(INDEX($S$5:$S$304,MATCH(C1486,$R$5:$R$304,0))&amp;"","?"))</f>
        <v/>
      </c>
      <c r="N1486" s="2">
        <f>IF(E1486="","",IF(LEFT(E1486,7)="SUBSOLO",-1,IF(LEFT(E1486,6)="TÉRREO",0,IFERROR(VALUE(LEFT(E1486,FIND("º",SUBSTITUTE(E1486,"°","º"))-1)),""))))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M1487" s="2">
        <f>IF(C1487="","",IFERROR(INDEX($S$5:$S$304,MATCH(C1487,$R$5:$R$304,0))&amp;"","?"))</f>
        <v/>
      </c>
      <c r="N1487" s="2">
        <f>IF(E1487="","",IF(LEFT(E1487,7)="SUBSOLO",-1,IF(LEFT(E1487,6)="TÉRREO",0,IFERROR(VALUE(LEFT(E1487,FIND("º",SUBSTITUTE(E1487,"°","º"))-1)),""))))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M1488" s="2">
        <f>IF(C1488="","",IFERROR(INDEX($S$5:$S$304,MATCH(C1488,$R$5:$R$304,0))&amp;"","?"))</f>
        <v/>
      </c>
      <c r="N1488" s="2">
        <f>IF(E1488="","",IF(LEFT(E1488,7)="SUBSOLO",-1,IF(LEFT(E1488,6)="TÉRREO",0,IFERROR(VALUE(LEFT(E1488,FIND("º",SUBSTITUTE(E1488,"°","º"))-1)),""))))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M1489" s="2">
        <f>IF(C1489="","",IFERROR(INDEX($S$5:$S$304,MATCH(C1489,$R$5:$R$304,0))&amp;"","?"))</f>
        <v/>
      </c>
      <c r="N1489" s="2">
        <f>IF(E1489="","",IF(LEFT(E1489,7)="SUBSOLO",-1,IF(LEFT(E1489,6)="TÉRREO",0,IFERROR(VALUE(LEFT(E1489,FIND("º",SUBSTITUTE(E1489,"°","º"))-1)),""))))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M1490" s="2">
        <f>IF(C1490="","",IFERROR(INDEX($S$5:$S$304,MATCH(C1490,$R$5:$R$304,0))&amp;"","?"))</f>
        <v/>
      </c>
      <c r="N1490" s="2">
        <f>IF(E1490="","",IF(LEFT(E1490,7)="SUBSOLO",-1,IF(LEFT(E1490,6)="TÉRREO",0,IFERROR(VALUE(LEFT(E1490,FIND("º",SUBSTITUTE(E1490,"°","º"))-1)),""))))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M1491" s="2">
        <f>IF(C1491="","",IFERROR(INDEX($S$5:$S$304,MATCH(C1491,$R$5:$R$304,0))&amp;"","?"))</f>
        <v/>
      </c>
      <c r="N1491" s="2">
        <f>IF(E1491="","",IF(LEFT(E1491,7)="SUBSOLO",-1,IF(LEFT(E1491,6)="TÉRREO",0,IFERROR(VALUE(LEFT(E1491,FIND("º",SUBSTITUTE(E1491,"°","º"))-1)),""))))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M1492" s="2">
        <f>IF(C1492="","",IFERROR(INDEX($S$5:$S$304,MATCH(C1492,$R$5:$R$304,0))&amp;"","?"))</f>
        <v/>
      </c>
      <c r="N1492" s="2">
        <f>IF(E1492="","",IF(LEFT(E1492,7)="SUBSOLO",-1,IF(LEFT(E1492,6)="TÉRREO",0,IFERROR(VALUE(LEFT(E1492,FIND("º",SUBSTITUTE(E1492,"°","º"))-1)),""))))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M1493" s="2">
        <f>IF(C1493="","",IFERROR(INDEX($S$5:$S$304,MATCH(C1493,$R$5:$R$304,0))&amp;"","?"))</f>
        <v/>
      </c>
      <c r="N1493" s="2">
        <f>IF(E1493="","",IF(LEFT(E1493,7)="SUBSOLO",-1,IF(LEFT(E1493,6)="TÉRREO",0,IFERROR(VALUE(LEFT(E1493,FIND("º",SUBSTITUTE(E1493,"°","º"))-1)),""))))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M1494" s="2">
        <f>IF(C1494="","",IFERROR(INDEX($S$5:$S$304,MATCH(C1494,$R$5:$R$304,0))&amp;"","?"))</f>
        <v/>
      </c>
      <c r="N1494" s="2">
        <f>IF(E1494="","",IF(LEFT(E1494,7)="SUBSOLO",-1,IF(LEFT(E1494,6)="TÉRREO",0,IFERROR(VALUE(LEFT(E1494,FIND("º",SUBSTITUTE(E1494,"°","º"))-1)),""))))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M1495" s="2">
        <f>IF(C1495="","",IFERROR(INDEX($S$5:$S$304,MATCH(C1495,$R$5:$R$304,0))&amp;"","?"))</f>
        <v/>
      </c>
      <c r="N1495" s="2">
        <f>IF(E1495="","",IF(LEFT(E1495,7)="SUBSOLO",-1,IF(LEFT(E1495,6)="TÉRREO",0,IFERROR(VALUE(LEFT(E1495,FIND("º",SUBSTITUTE(E1495,"°","º"))-1)),""))))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M1496" s="2">
        <f>IF(C1496="","",IFERROR(INDEX($S$5:$S$304,MATCH(C1496,$R$5:$R$304,0))&amp;"","?"))</f>
        <v/>
      </c>
      <c r="N1496" s="2">
        <f>IF(E1496="","",IF(LEFT(E1496,7)="SUBSOLO",-1,IF(LEFT(E1496,6)="TÉRREO",0,IFERROR(VALUE(LEFT(E1496,FIND("º",SUBSTITUTE(E1496,"°","º"))-1)),""))))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M1497" s="2">
        <f>IF(C1497="","",IFERROR(INDEX($S$5:$S$304,MATCH(C1497,$R$5:$R$304,0))&amp;"","?"))</f>
        <v/>
      </c>
      <c r="N1497" s="2">
        <f>IF(E1497="","",IF(LEFT(E1497,7)="SUBSOLO",-1,IF(LEFT(E1497,6)="TÉRREO",0,IFERROR(VALUE(LEFT(E1497,FIND("º",SUBSTITUTE(E1497,"°","º"))-1)),""))))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M1498" s="2">
        <f>IF(C1498="","",IFERROR(INDEX($S$5:$S$304,MATCH(C1498,$R$5:$R$304,0))&amp;"","?"))</f>
        <v/>
      </c>
      <c r="N1498" s="2">
        <f>IF(E1498="","",IF(LEFT(E1498,7)="SUBSOLO",-1,IF(LEFT(E1498,6)="TÉRREO",0,IFERROR(VALUE(LEFT(E1498,FIND("º",SUBSTITUTE(E1498,"°","º"))-1)),""))))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M1499" s="2">
        <f>IF(C1499="","",IFERROR(INDEX($S$5:$S$304,MATCH(C1499,$R$5:$R$304,0))&amp;"","?"))</f>
        <v/>
      </c>
      <c r="N1499" s="2">
        <f>IF(E1499="","",IF(LEFT(E1499,7)="SUBSOLO",-1,IF(LEFT(E1499,6)="TÉRREO",0,IFERROR(VALUE(LEFT(E1499,FIND("º",SUBSTITUTE(E1499,"°","º"))-1)),""))))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M1500" s="2">
        <f>IF(C1500="","",IFERROR(INDEX($S$5:$S$304,MATCH(C1500,$R$5:$R$304,0))&amp;"","?"))</f>
        <v/>
      </c>
      <c r="N1500" s="2">
        <f>IF(E1500="","",IF(LEFT(E1500,7)="SUBSOLO",-1,IF(LEFT(E1500,6)="TÉRREO",0,IFERROR(VALUE(LEFT(E1500,FIND("º",SUBSTITUTE(E1500,"°","º"))-1)),""))))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M1501" s="2">
        <f>IF(C1501="","",IFERROR(INDEX($S$5:$S$304,MATCH(C1501,$R$5:$R$304,0))&amp;"","?"))</f>
        <v/>
      </c>
      <c r="N1501" s="2">
        <f>IF(E1501="","",IF(LEFT(E1501,7)="SUBSOLO",-1,IF(LEFT(E1501,6)="TÉRREO",0,IFERROR(VALUE(LEFT(E1501,FIND("º",SUBSTITUTE(E1501,"°","º"))-1)),""))))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M1502" s="2">
        <f>IF(C1502="","",IFERROR(INDEX($S$5:$S$304,MATCH(C1502,$R$5:$R$304,0))&amp;"","?"))</f>
        <v/>
      </c>
      <c r="N1502" s="2">
        <f>IF(E1502="","",IF(LEFT(E1502,7)="SUBSOLO",-1,IF(LEFT(E1502,6)="TÉRREO",0,IFERROR(VALUE(LEFT(E1502,FIND("º",SUBSTITUTE(E1502,"°","º"))-1)),""))))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M1503" s="2">
        <f>IF(C1503="","",IFERROR(INDEX($S$5:$S$304,MATCH(C1503,$R$5:$R$304,0))&amp;"","?"))</f>
        <v/>
      </c>
      <c r="N1503" s="2">
        <f>IF(E1503="","",IF(LEFT(E1503,7)="SUBSOLO",-1,IF(LEFT(E1503,6)="TÉRREO",0,IFERROR(VALUE(LEFT(E1503,FIND("º",SUBSTITUTE(E1503,"°","º"))-1)),""))))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M1504" s="2">
        <f>IF(C1504="","",IFERROR(INDEX($S$5:$S$304,MATCH(C1504,$R$5:$R$304,0))&amp;"","?"))</f>
        <v/>
      </c>
      <c r="N1504" s="2">
        <f>IF(E1504="","",IF(LEFT(E1504,7)="SUBSOLO",-1,IF(LEFT(E1504,6)="TÉRREO",0,IFERROR(VALUE(LEFT(E1504,FIND("º",SUBSTITUTE(E1504,"°","º"))-1)),""))))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M1505" s="2">
        <f>IF(C1505="","",IFERROR(INDEX($S$5:$S$304,MATCH(C1505,$R$5:$R$304,0))&amp;"","?"))</f>
        <v/>
      </c>
      <c r="N1505" s="2">
        <f>IF(E1505="","",IF(LEFT(E1505,7)="SUBSOLO",-1,IF(LEFT(E1505,6)="TÉRREO",0,IFERROR(VALUE(LEFT(E1505,FIND("º",SUBSTITUTE(E1505,"°","º"))-1)),""))))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M1506" s="2">
        <f>IF(C1506="","",IFERROR(INDEX($S$5:$S$304,MATCH(C1506,$R$5:$R$304,0))&amp;"","?"))</f>
        <v/>
      </c>
      <c r="N1506" s="2">
        <f>IF(E1506="","",IF(LEFT(E1506,7)="SUBSOLO",-1,IF(LEFT(E1506,6)="TÉRREO",0,IFERROR(VALUE(LEFT(E1506,FIND("º",SUBSTITUTE(E1506,"°","º"))-1)),""))))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M1507" s="2">
        <f>IF(C1507="","",IFERROR(INDEX($S$5:$S$304,MATCH(C1507,$R$5:$R$304,0))&amp;"","?"))</f>
        <v/>
      </c>
      <c r="N1507" s="2">
        <f>IF(E1507="","",IF(LEFT(E1507,7)="SUBSOLO",-1,IF(LEFT(E1507,6)="TÉRREO",0,IFERROR(VALUE(LEFT(E1507,FIND("º",SUBSTITUTE(E1507,"°","º"))-1)),""))))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M1508" s="2">
        <f>IF(C1508="","",IFERROR(INDEX($S$5:$S$304,MATCH(C1508,$R$5:$R$304,0))&amp;"","?"))</f>
        <v/>
      </c>
      <c r="N1508" s="2">
        <f>IF(E1508="","",IF(LEFT(E1508,7)="SUBSOLO",-1,IF(LEFT(E1508,6)="TÉRREO",0,IFERROR(VALUE(LEFT(E1508,FIND("º",SUBSTITUTE(E1508,"°","º"))-1)),""))))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M1509" s="2">
        <f>IF(C1509="","",IFERROR(INDEX($S$5:$S$304,MATCH(C1509,$R$5:$R$304,0))&amp;"","?"))</f>
        <v/>
      </c>
      <c r="N1509" s="2">
        <f>IF(E1509="","",IF(LEFT(E1509,7)="SUBSOLO",-1,IF(LEFT(E1509,6)="TÉRREO",0,IFERROR(VALUE(LEFT(E1509,FIND("º",SUBSTITUTE(E1509,"°","º"))-1)),""))))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M1510" s="2">
        <f>IF(C1510="","",IFERROR(INDEX($S$5:$S$304,MATCH(C1510,$R$5:$R$304,0))&amp;"","?"))</f>
        <v/>
      </c>
      <c r="N1510" s="2">
        <f>IF(E1510="","",IF(LEFT(E1510,7)="SUBSOLO",-1,IF(LEFT(E1510,6)="TÉRREO",0,IFERROR(VALUE(LEFT(E1510,FIND("º",SUBSTITUTE(E1510,"°","º"))-1)),""))))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M1511" s="2">
        <f>IF(C1511="","",IFERROR(INDEX($S$5:$S$304,MATCH(C1511,$R$5:$R$304,0))&amp;"","?"))</f>
        <v/>
      </c>
      <c r="N1511" s="2">
        <f>IF(E1511="","",IF(LEFT(E1511,7)="SUBSOLO",-1,IF(LEFT(E1511,6)="TÉRREO",0,IFERROR(VALUE(LEFT(E1511,FIND("º",SUBSTITUTE(E1511,"°","º"))-1)),""))))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M1512" s="2">
        <f>IF(C1512="","",IFERROR(INDEX($S$5:$S$304,MATCH(C1512,$R$5:$R$304,0))&amp;"","?"))</f>
        <v/>
      </c>
      <c r="N1512" s="2">
        <f>IF(E1512="","",IF(LEFT(E1512,7)="SUBSOLO",-1,IF(LEFT(E1512,6)="TÉRREO",0,IFERROR(VALUE(LEFT(E1512,FIND("º",SUBSTITUTE(E1512,"°","º"))-1)),""))))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M1513" s="2">
        <f>IF(C1513="","",IFERROR(INDEX($S$5:$S$304,MATCH(C1513,$R$5:$R$304,0))&amp;"","?"))</f>
        <v/>
      </c>
      <c r="N1513" s="2">
        <f>IF(E1513="","",IF(LEFT(E1513,7)="SUBSOLO",-1,IF(LEFT(E1513,6)="TÉRREO",0,IFERROR(VALUE(LEFT(E1513,FIND("º",SUBSTITUTE(E1513,"°","º"))-1)),""))))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M1514" s="2">
        <f>IF(C1514="","",IFERROR(INDEX($S$5:$S$304,MATCH(C1514,$R$5:$R$304,0))&amp;"","?"))</f>
        <v/>
      </c>
      <c r="N1514" s="2">
        <f>IF(E1514="","",IF(LEFT(E1514,7)="SUBSOLO",-1,IF(LEFT(E1514,6)="TÉRREO",0,IFERROR(VALUE(LEFT(E1514,FIND("º",SUBSTITUTE(E1514,"°","º"))-1)),""))))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M1515" s="2">
        <f>IF(C1515="","",IFERROR(INDEX($S$5:$S$304,MATCH(C1515,$R$5:$R$304,0))&amp;"","?"))</f>
        <v/>
      </c>
      <c r="N1515" s="2">
        <f>IF(E1515="","",IF(LEFT(E1515,7)="SUBSOLO",-1,IF(LEFT(E1515,6)="TÉRREO",0,IFERROR(VALUE(LEFT(E1515,FIND("º",SUBSTITUTE(E1515,"°","º"))-1)),""))))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M1516" s="2">
        <f>IF(C1516="","",IFERROR(INDEX($S$5:$S$304,MATCH(C1516,$R$5:$R$304,0))&amp;"","?"))</f>
        <v/>
      </c>
      <c r="N1516" s="2">
        <f>IF(E1516="","",IF(LEFT(E1516,7)="SUBSOLO",-1,IF(LEFT(E1516,6)="TÉRREO",0,IFERROR(VALUE(LEFT(E1516,FIND("º",SUBSTITUTE(E1516,"°","º"))-1)),""))))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M1517" s="2">
        <f>IF(C1517="","",IFERROR(INDEX($S$5:$S$304,MATCH(C1517,$R$5:$R$304,0))&amp;"","?"))</f>
        <v/>
      </c>
      <c r="N1517" s="2">
        <f>IF(E1517="","",IF(LEFT(E1517,7)="SUBSOLO",-1,IF(LEFT(E1517,6)="TÉRREO",0,IFERROR(VALUE(LEFT(E1517,FIND("º",SUBSTITUTE(E1517,"°","º"))-1)),""))))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M1518" s="2">
        <f>IF(C1518="","",IFERROR(INDEX($S$5:$S$304,MATCH(C1518,$R$5:$R$304,0))&amp;"","?"))</f>
        <v/>
      </c>
      <c r="N1518" s="2">
        <f>IF(E1518="","",IF(LEFT(E1518,7)="SUBSOLO",-1,IF(LEFT(E1518,6)="TÉRREO",0,IFERROR(VALUE(LEFT(E1518,FIND("º",SUBSTITUTE(E1518,"°","º"))-1)),""))))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M1519" s="2">
        <f>IF(C1519="","",IFERROR(INDEX($S$5:$S$304,MATCH(C1519,$R$5:$R$304,0))&amp;"","?"))</f>
        <v/>
      </c>
      <c r="N1519" s="2">
        <f>IF(E1519="","",IF(LEFT(E1519,7)="SUBSOLO",-1,IF(LEFT(E1519,6)="TÉRREO",0,IFERROR(VALUE(LEFT(E1519,FIND("º",SUBSTITUTE(E1519,"°","º"))-1)),""))))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M1520" s="2">
        <f>IF(C1520="","",IFERROR(INDEX($S$5:$S$304,MATCH(C1520,$R$5:$R$304,0))&amp;"","?"))</f>
        <v/>
      </c>
      <c r="N1520" s="2">
        <f>IF(E1520="","",IF(LEFT(E1520,7)="SUBSOLO",-1,IF(LEFT(E1520,6)="TÉRREO",0,IFERROR(VALUE(LEFT(E1520,FIND("º",SUBSTITUTE(E1520,"°","º"))-1)),""))))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M1521" s="2">
        <f>IF(C1521="","",IFERROR(INDEX($S$5:$S$304,MATCH(C1521,$R$5:$R$304,0))&amp;"","?"))</f>
        <v/>
      </c>
      <c r="N1521" s="2">
        <f>IF(E1521="","",IF(LEFT(E1521,7)="SUBSOLO",-1,IF(LEFT(E1521,6)="TÉRREO",0,IFERROR(VALUE(LEFT(E1521,FIND("º",SUBSTITUTE(E1521,"°","º"))-1)),""))))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M1522" s="2">
        <f>IF(C1522="","",IFERROR(INDEX($S$5:$S$304,MATCH(C1522,$R$5:$R$304,0))&amp;"","?"))</f>
        <v/>
      </c>
      <c r="N1522" s="2">
        <f>IF(E1522="","",IF(LEFT(E1522,7)="SUBSOLO",-1,IF(LEFT(E1522,6)="TÉRREO",0,IFERROR(VALUE(LEFT(E1522,FIND("º",SUBSTITUTE(E1522,"°","º"))-1)),""))))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M1523" s="2">
        <f>IF(C1523="","",IFERROR(INDEX($S$5:$S$304,MATCH(C1523,$R$5:$R$304,0))&amp;"","?"))</f>
        <v/>
      </c>
      <c r="N1523" s="2">
        <f>IF(E1523="","",IF(LEFT(E1523,7)="SUBSOLO",-1,IF(LEFT(E1523,6)="TÉRREO",0,IFERROR(VALUE(LEFT(E1523,FIND("º",SUBSTITUTE(E1523,"°","º"))-1)),""))))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M1524" s="2">
        <f>IF(C1524="","",IFERROR(INDEX($S$5:$S$304,MATCH(C1524,$R$5:$R$304,0))&amp;"","?"))</f>
        <v/>
      </c>
      <c r="N1524" s="2">
        <f>IF(E1524="","",IF(LEFT(E1524,7)="SUBSOLO",-1,IF(LEFT(E1524,6)="TÉRREO",0,IFERROR(VALUE(LEFT(E1524,FIND("º",SUBSTITUTE(E1524,"°","º"))-1)),""))))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M1525" s="2">
        <f>IF(C1525="","",IFERROR(INDEX($S$5:$S$304,MATCH(C1525,$R$5:$R$304,0))&amp;"","?"))</f>
        <v/>
      </c>
      <c r="N1525" s="2">
        <f>IF(E1525="","",IF(LEFT(E1525,7)="SUBSOLO",-1,IF(LEFT(E1525,6)="TÉRREO",0,IFERROR(VALUE(LEFT(E1525,FIND("º",SUBSTITUTE(E1525,"°","º"))-1)),""))))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M1526" s="2">
        <f>IF(C1526="","",IFERROR(INDEX($S$5:$S$304,MATCH(C1526,$R$5:$R$304,0))&amp;"","?"))</f>
        <v/>
      </c>
      <c r="N1526" s="2">
        <f>IF(E1526="","",IF(LEFT(E1526,7)="SUBSOLO",-1,IF(LEFT(E1526,6)="TÉRREO",0,IFERROR(VALUE(LEFT(E1526,FIND("º",SUBSTITUTE(E1526,"°","º"))-1)),""))))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M1527" s="2">
        <f>IF(C1527="","",IFERROR(INDEX($S$5:$S$304,MATCH(C1527,$R$5:$R$304,0))&amp;"","?"))</f>
        <v/>
      </c>
      <c r="N1527" s="2">
        <f>IF(E1527="","",IF(LEFT(E1527,7)="SUBSOLO",-1,IF(LEFT(E1527,6)="TÉRREO",0,IFERROR(VALUE(LEFT(E1527,FIND("º",SUBSTITUTE(E1527,"°","º"))-1)),""))))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M1528" s="2">
        <f>IF(C1528="","",IFERROR(INDEX($S$5:$S$304,MATCH(C1528,$R$5:$R$304,0))&amp;"","?"))</f>
        <v/>
      </c>
      <c r="N1528" s="2">
        <f>IF(E1528="","",IF(LEFT(E1528,7)="SUBSOLO",-1,IF(LEFT(E1528,6)="TÉRREO",0,IFERROR(VALUE(LEFT(E1528,FIND("º",SUBSTITUTE(E1528,"°","º"))-1)),""))))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M1529" s="2">
        <f>IF(C1529="","",IFERROR(INDEX($S$5:$S$304,MATCH(C1529,$R$5:$R$304,0))&amp;"","?"))</f>
        <v/>
      </c>
      <c r="N1529" s="2">
        <f>IF(E1529="","",IF(LEFT(E1529,7)="SUBSOLO",-1,IF(LEFT(E1529,6)="TÉRREO",0,IFERROR(VALUE(LEFT(E1529,FIND("º",SUBSTITUTE(E1529,"°","º"))-1)),""))))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M1530" s="2">
        <f>IF(C1530="","",IFERROR(INDEX($S$5:$S$304,MATCH(C1530,$R$5:$R$304,0))&amp;"","?"))</f>
        <v/>
      </c>
      <c r="N1530" s="2">
        <f>IF(E1530="","",IF(LEFT(E1530,7)="SUBSOLO",-1,IF(LEFT(E1530,6)="TÉRREO",0,IFERROR(VALUE(LEFT(E1530,FIND("º",SUBSTITUTE(E1530,"°","º"))-1)),""))))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M1531" s="2">
        <f>IF(C1531="","",IFERROR(INDEX($S$5:$S$304,MATCH(C1531,$R$5:$R$304,0))&amp;"","?"))</f>
        <v/>
      </c>
      <c r="N1531" s="2">
        <f>IF(E1531="","",IF(LEFT(E1531,7)="SUBSOLO",-1,IF(LEFT(E1531,6)="TÉRREO",0,IFERROR(VALUE(LEFT(E1531,FIND("º",SUBSTITUTE(E1531,"°","º"))-1)),""))))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M1532" s="2">
        <f>IF(C1532="","",IFERROR(INDEX($S$5:$S$304,MATCH(C1532,$R$5:$R$304,0))&amp;"","?"))</f>
        <v/>
      </c>
      <c r="N1532" s="2">
        <f>IF(E1532="","",IF(LEFT(E1532,7)="SUBSOLO",-1,IF(LEFT(E1532,6)="TÉRREO",0,IFERROR(VALUE(LEFT(E1532,FIND("º",SUBSTITUTE(E1532,"°","º"))-1)),""))))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M1533" s="2">
        <f>IF(C1533="","",IFERROR(INDEX($S$5:$S$304,MATCH(C1533,$R$5:$R$304,0))&amp;"","?"))</f>
        <v/>
      </c>
      <c r="N1533" s="2">
        <f>IF(E1533="","",IF(LEFT(E1533,7)="SUBSOLO",-1,IF(LEFT(E1533,6)="TÉRREO",0,IFERROR(VALUE(LEFT(E1533,FIND("º",SUBSTITUTE(E1533,"°","º"))-1)),""))))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M1534" s="2">
        <f>IF(C1534="","",IFERROR(INDEX($S$5:$S$304,MATCH(C1534,$R$5:$R$304,0))&amp;"","?"))</f>
        <v/>
      </c>
      <c r="N1534" s="2">
        <f>IF(E1534="","",IF(LEFT(E1534,7)="SUBSOLO",-1,IF(LEFT(E1534,6)="TÉRREO",0,IFERROR(VALUE(LEFT(E1534,FIND("º",SUBSTITUTE(E1534,"°","º"))-1)),""))))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M1535" s="2">
        <f>IF(C1535="","",IFERROR(INDEX($S$5:$S$304,MATCH(C1535,$R$5:$R$304,0))&amp;"","?"))</f>
        <v/>
      </c>
      <c r="N1535" s="2">
        <f>IF(E1535="","",IF(LEFT(E1535,7)="SUBSOLO",-1,IF(LEFT(E1535,6)="TÉRREO",0,IFERROR(VALUE(LEFT(E1535,FIND("º",SUBSTITUTE(E1535,"°","º"))-1)),""))))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M1536" s="2">
        <f>IF(C1536="","",IFERROR(INDEX($S$5:$S$304,MATCH(C1536,$R$5:$R$304,0))&amp;"","?"))</f>
        <v/>
      </c>
      <c r="N1536" s="2">
        <f>IF(E1536="","",IF(LEFT(E1536,7)="SUBSOLO",-1,IF(LEFT(E1536,6)="TÉRREO",0,IFERROR(VALUE(LEFT(E1536,FIND("º",SUBSTITUTE(E1536,"°","º"))-1)),""))))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M1537" s="2">
        <f>IF(C1537="","",IFERROR(INDEX($S$5:$S$304,MATCH(C1537,$R$5:$R$304,0))&amp;"","?"))</f>
        <v/>
      </c>
      <c r="N1537" s="2">
        <f>IF(E1537="","",IF(LEFT(E1537,7)="SUBSOLO",-1,IF(LEFT(E1537,6)="TÉRREO",0,IFERROR(VALUE(LEFT(E1537,FIND("º",SUBSTITUTE(E1537,"°","º"))-1)),""))))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M1538" s="2">
        <f>IF(C1538="","",IFERROR(INDEX($S$5:$S$304,MATCH(C1538,$R$5:$R$304,0))&amp;"","?"))</f>
        <v/>
      </c>
      <c r="N1538" s="2">
        <f>IF(E1538="","",IF(LEFT(E1538,7)="SUBSOLO",-1,IF(LEFT(E1538,6)="TÉRREO",0,IFERROR(VALUE(LEFT(E1538,FIND("º",SUBSTITUTE(E1538,"°","º"))-1)),""))))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M1539" s="2">
        <f>IF(C1539="","",IFERROR(INDEX($S$5:$S$304,MATCH(C1539,$R$5:$R$304,0))&amp;"","?"))</f>
        <v/>
      </c>
      <c r="N1539" s="2">
        <f>IF(E1539="","",IF(LEFT(E1539,7)="SUBSOLO",-1,IF(LEFT(E1539,6)="TÉRREO",0,IFERROR(VALUE(LEFT(E1539,FIND("º",SUBSTITUTE(E1539,"°","º"))-1)),""))))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M1540" s="2">
        <f>IF(C1540="","",IFERROR(INDEX($S$5:$S$304,MATCH(C1540,$R$5:$R$304,0))&amp;"","?"))</f>
        <v/>
      </c>
      <c r="N1540" s="2">
        <f>IF(E1540="","",IF(LEFT(E1540,7)="SUBSOLO",-1,IF(LEFT(E1540,6)="TÉRREO",0,IFERROR(VALUE(LEFT(E1540,FIND("º",SUBSTITUTE(E1540,"°","º"))-1)),""))))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M1541" s="2">
        <f>IF(C1541="","",IFERROR(INDEX($S$5:$S$304,MATCH(C1541,$R$5:$R$304,0))&amp;"","?"))</f>
        <v/>
      </c>
      <c r="N1541" s="2">
        <f>IF(E1541="","",IF(LEFT(E1541,7)="SUBSOLO",-1,IF(LEFT(E1541,6)="TÉRREO",0,IFERROR(VALUE(LEFT(E1541,FIND("º",SUBSTITUTE(E1541,"°","º"))-1)),""))))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M1542" s="2">
        <f>IF(C1542="","",IFERROR(INDEX($S$5:$S$304,MATCH(C1542,$R$5:$R$304,0))&amp;"","?"))</f>
        <v/>
      </c>
      <c r="N1542" s="2">
        <f>IF(E1542="","",IF(LEFT(E1542,7)="SUBSOLO",-1,IF(LEFT(E1542,6)="TÉRREO",0,IFERROR(VALUE(LEFT(E1542,FIND("º",SUBSTITUTE(E1542,"°","º"))-1)),""))))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M1543" s="2">
        <f>IF(C1543="","",IFERROR(INDEX($S$5:$S$304,MATCH(C1543,$R$5:$R$304,0))&amp;"","?"))</f>
        <v/>
      </c>
      <c r="N1543" s="2">
        <f>IF(E1543="","",IF(LEFT(E1543,7)="SUBSOLO",-1,IF(LEFT(E1543,6)="TÉRREO",0,IFERROR(VALUE(LEFT(E1543,FIND("º",SUBSTITUTE(E1543,"°","º"))-1)),""))))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M1544" s="2">
        <f>IF(C1544="","",IFERROR(INDEX($S$5:$S$304,MATCH(C1544,$R$5:$R$304,0))&amp;"","?"))</f>
        <v/>
      </c>
      <c r="N1544" s="2">
        <f>IF(E1544="","",IF(LEFT(E1544,7)="SUBSOLO",-1,IF(LEFT(E1544,6)="TÉRREO",0,IFERROR(VALUE(LEFT(E1544,FIND("º",SUBSTITUTE(E1544,"°","º"))-1)),""))))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M1545" s="2">
        <f>IF(C1545="","",IFERROR(INDEX($S$5:$S$304,MATCH(C1545,$R$5:$R$304,0))&amp;"","?"))</f>
        <v/>
      </c>
      <c r="N1545" s="2">
        <f>IF(E1545="","",IF(LEFT(E1545,7)="SUBSOLO",-1,IF(LEFT(E1545,6)="TÉRREO",0,IFERROR(VALUE(LEFT(E1545,FIND("º",SUBSTITUTE(E1545,"°","º"))-1)),""))))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M1546" s="2">
        <f>IF(C1546="","",IFERROR(INDEX($S$5:$S$304,MATCH(C1546,$R$5:$R$304,0))&amp;"","?"))</f>
        <v/>
      </c>
      <c r="N1546" s="2">
        <f>IF(E1546="","",IF(LEFT(E1546,7)="SUBSOLO",-1,IF(LEFT(E1546,6)="TÉRREO",0,IFERROR(VALUE(LEFT(E1546,FIND("º",SUBSTITUTE(E1546,"°","º"))-1)),""))))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M1547" s="2">
        <f>IF(C1547="","",IFERROR(INDEX($S$5:$S$304,MATCH(C1547,$R$5:$R$304,0))&amp;"","?"))</f>
        <v/>
      </c>
      <c r="N1547" s="2">
        <f>IF(E1547="","",IF(LEFT(E1547,7)="SUBSOLO",-1,IF(LEFT(E1547,6)="TÉRREO",0,IFERROR(VALUE(LEFT(E1547,FIND("º",SUBSTITUTE(E1547,"°","º"))-1)),""))))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M1548" s="2">
        <f>IF(C1548="","",IFERROR(INDEX($S$5:$S$304,MATCH(C1548,$R$5:$R$304,0))&amp;"","?"))</f>
        <v/>
      </c>
      <c r="N1548" s="2">
        <f>IF(E1548="","",IF(LEFT(E1548,7)="SUBSOLO",-1,IF(LEFT(E1548,6)="TÉRREO",0,IFERROR(VALUE(LEFT(E1548,FIND("º",SUBSTITUTE(E1548,"°","º"))-1)),""))))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M1549" s="2">
        <f>IF(C1549="","",IFERROR(INDEX($S$5:$S$304,MATCH(C1549,$R$5:$R$304,0))&amp;"","?"))</f>
        <v/>
      </c>
      <c r="N1549" s="2">
        <f>IF(E1549="","",IF(LEFT(E1549,7)="SUBSOLO",-1,IF(LEFT(E1549,6)="TÉRREO",0,IFERROR(VALUE(LEFT(E1549,FIND("º",SUBSTITUTE(E1549,"°","º"))-1)),""))))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M1550" s="2">
        <f>IF(C1550="","",IFERROR(INDEX($S$5:$S$304,MATCH(C1550,$R$5:$R$304,0))&amp;"","?"))</f>
        <v/>
      </c>
      <c r="N1550" s="2">
        <f>IF(E1550="","",IF(LEFT(E1550,7)="SUBSOLO",-1,IF(LEFT(E1550,6)="TÉRREO",0,IFERROR(VALUE(LEFT(E1550,FIND("º",SUBSTITUTE(E1550,"°","º"))-1)),""))))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M1551" s="2">
        <f>IF(C1551="","",IFERROR(INDEX($S$5:$S$304,MATCH(C1551,$R$5:$R$304,0))&amp;"","?"))</f>
        <v/>
      </c>
      <c r="N1551" s="2">
        <f>IF(E1551="","",IF(LEFT(E1551,7)="SUBSOLO",-1,IF(LEFT(E1551,6)="TÉRREO",0,IFERROR(VALUE(LEFT(E1551,FIND("º",SUBSTITUTE(E1551,"°","º"))-1)),""))))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M1552" s="2">
        <f>IF(C1552="","",IFERROR(INDEX($S$5:$S$304,MATCH(C1552,$R$5:$R$304,0))&amp;"","?"))</f>
        <v/>
      </c>
      <c r="N1552" s="2">
        <f>IF(E1552="","",IF(LEFT(E1552,7)="SUBSOLO",-1,IF(LEFT(E1552,6)="TÉRREO",0,IFERROR(VALUE(LEFT(E1552,FIND("º",SUBSTITUTE(E1552,"°","º"))-1)),""))))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M1553" s="2">
        <f>IF(C1553="","",IFERROR(INDEX($S$5:$S$304,MATCH(C1553,$R$5:$R$304,0))&amp;"","?"))</f>
        <v/>
      </c>
      <c r="N1553" s="2">
        <f>IF(E1553="","",IF(LEFT(E1553,7)="SUBSOLO",-1,IF(LEFT(E1553,6)="TÉRREO",0,IFERROR(VALUE(LEFT(E1553,FIND("º",SUBSTITUTE(E1553,"°","º"))-1)),""))))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M1554" s="2">
        <f>IF(C1554="","",IFERROR(INDEX($S$5:$S$304,MATCH(C1554,$R$5:$R$304,0))&amp;"","?"))</f>
        <v/>
      </c>
      <c r="N1554" s="2">
        <f>IF(E1554="","",IF(LEFT(E1554,7)="SUBSOLO",-1,IF(LEFT(E1554,6)="TÉRREO",0,IFERROR(VALUE(LEFT(E1554,FIND("º",SUBSTITUTE(E1554,"°","º"))-1)),""))))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M1555" s="2">
        <f>IF(C1555="","",IFERROR(INDEX($S$5:$S$304,MATCH(C1555,$R$5:$R$304,0))&amp;"","?"))</f>
        <v/>
      </c>
      <c r="N1555" s="2">
        <f>IF(E1555="","",IF(LEFT(E1555,7)="SUBSOLO",-1,IF(LEFT(E1555,6)="TÉRREO",0,IFERROR(VALUE(LEFT(E1555,FIND("º",SUBSTITUTE(E1555,"°","º"))-1)),""))))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M1556" s="2">
        <f>IF(C1556="","",IFERROR(INDEX($S$5:$S$304,MATCH(C1556,$R$5:$R$304,0))&amp;"","?"))</f>
        <v/>
      </c>
      <c r="N1556" s="2">
        <f>IF(E1556="","",IF(LEFT(E1556,7)="SUBSOLO",-1,IF(LEFT(E1556,6)="TÉRREO",0,IFERROR(VALUE(LEFT(E1556,FIND("º",SUBSTITUTE(E1556,"°","º"))-1)),""))))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M1557" s="2">
        <f>IF(C1557="","",IFERROR(INDEX($S$5:$S$304,MATCH(C1557,$R$5:$R$304,0))&amp;"","?"))</f>
        <v/>
      </c>
      <c r="N1557" s="2">
        <f>IF(E1557="","",IF(LEFT(E1557,7)="SUBSOLO",-1,IF(LEFT(E1557,6)="TÉRREO",0,IFERROR(VALUE(LEFT(E1557,FIND("º",SUBSTITUTE(E1557,"°","º"))-1)),""))))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M1558" s="2">
        <f>IF(C1558="","",IFERROR(INDEX($S$5:$S$304,MATCH(C1558,$R$5:$R$304,0))&amp;"","?"))</f>
        <v/>
      </c>
      <c r="N1558" s="2">
        <f>IF(E1558="","",IF(LEFT(E1558,7)="SUBSOLO",-1,IF(LEFT(E1558,6)="TÉRREO",0,IFERROR(VALUE(LEFT(E1558,FIND("º",SUBSTITUTE(E1558,"°","º"))-1)),""))))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M1559" s="2">
        <f>IF(C1559="","",IFERROR(INDEX($S$5:$S$304,MATCH(C1559,$R$5:$R$304,0))&amp;"","?"))</f>
        <v/>
      </c>
      <c r="N1559" s="2">
        <f>IF(E1559="","",IF(LEFT(E1559,7)="SUBSOLO",-1,IF(LEFT(E1559,6)="TÉRREO",0,IFERROR(VALUE(LEFT(E1559,FIND("º",SUBSTITUTE(E1559,"°","º"))-1)),""))))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M1560" s="2">
        <f>IF(C1560="","",IFERROR(INDEX($S$5:$S$304,MATCH(C1560,$R$5:$R$304,0))&amp;"","?"))</f>
        <v/>
      </c>
      <c r="N1560" s="2">
        <f>IF(E1560="","",IF(LEFT(E1560,7)="SUBSOLO",-1,IF(LEFT(E1560,6)="TÉRREO",0,IFERROR(VALUE(LEFT(E1560,FIND("º",SUBSTITUTE(E1560,"°","º"))-1)),""))))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M1561" s="2">
        <f>IF(C1561="","",IFERROR(INDEX($S$5:$S$304,MATCH(C1561,$R$5:$R$304,0))&amp;"","?"))</f>
        <v/>
      </c>
      <c r="N1561" s="2">
        <f>IF(E1561="","",IF(LEFT(E1561,7)="SUBSOLO",-1,IF(LEFT(E1561,6)="TÉRREO",0,IFERROR(VALUE(LEFT(E1561,FIND("º",SUBSTITUTE(E1561,"°","º"))-1)),""))))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M1562" s="2">
        <f>IF(C1562="","",IFERROR(INDEX($S$5:$S$304,MATCH(C1562,$R$5:$R$304,0))&amp;"","?"))</f>
        <v/>
      </c>
      <c r="N1562" s="2">
        <f>IF(E1562="","",IF(LEFT(E1562,7)="SUBSOLO",-1,IF(LEFT(E1562,6)="TÉRREO",0,IFERROR(VALUE(LEFT(E1562,FIND("º",SUBSTITUTE(E1562,"°","º"))-1)),""))))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M1563" s="2">
        <f>IF(C1563="","",IFERROR(INDEX($S$5:$S$304,MATCH(C1563,$R$5:$R$304,0))&amp;"","?"))</f>
        <v/>
      </c>
      <c r="N1563" s="2">
        <f>IF(E1563="","",IF(LEFT(E1563,7)="SUBSOLO",-1,IF(LEFT(E1563,6)="TÉRREO",0,IFERROR(VALUE(LEFT(E1563,FIND("º",SUBSTITUTE(E1563,"°","º"))-1)),""))))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M1564" s="2">
        <f>IF(C1564="","",IFERROR(INDEX($S$5:$S$304,MATCH(C1564,$R$5:$R$304,0))&amp;"","?"))</f>
        <v/>
      </c>
      <c r="N1564" s="2">
        <f>IF(E1564="","",IF(LEFT(E1564,7)="SUBSOLO",-1,IF(LEFT(E1564,6)="TÉRREO",0,IFERROR(VALUE(LEFT(E1564,FIND("º",SUBSTITUTE(E1564,"°","º"))-1)),""))))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M1565" s="2">
        <f>IF(C1565="","",IFERROR(INDEX($S$5:$S$304,MATCH(C1565,$R$5:$R$304,0))&amp;"","?"))</f>
        <v/>
      </c>
      <c r="N1565" s="2">
        <f>IF(E1565="","",IF(LEFT(E1565,7)="SUBSOLO",-1,IF(LEFT(E1565,6)="TÉRREO",0,IFERROR(VALUE(LEFT(E1565,FIND("º",SUBSTITUTE(E1565,"°","º"))-1)),""))))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M1566" s="2">
        <f>IF(C1566="","",IFERROR(INDEX($S$5:$S$304,MATCH(C1566,$R$5:$R$304,0))&amp;"","?"))</f>
        <v/>
      </c>
      <c r="N1566" s="2">
        <f>IF(E1566="","",IF(LEFT(E1566,7)="SUBSOLO",-1,IF(LEFT(E1566,6)="TÉRREO",0,IFERROR(VALUE(LEFT(E1566,FIND("º",SUBSTITUTE(E1566,"°","º"))-1)),""))))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M1567" s="2">
        <f>IF(C1567="","",IFERROR(INDEX($S$5:$S$304,MATCH(C1567,$R$5:$R$304,0))&amp;"","?"))</f>
        <v/>
      </c>
      <c r="N1567" s="2">
        <f>IF(E1567="","",IF(LEFT(E1567,7)="SUBSOLO",-1,IF(LEFT(E1567,6)="TÉRREO",0,IFERROR(VALUE(LEFT(E1567,FIND("º",SUBSTITUTE(E1567,"°","º"))-1)),""))))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M1568" s="2">
        <f>IF(C1568="","",IFERROR(INDEX($S$5:$S$304,MATCH(C1568,$R$5:$R$304,0))&amp;"","?"))</f>
        <v/>
      </c>
      <c r="N1568" s="2">
        <f>IF(E1568="","",IF(LEFT(E1568,7)="SUBSOLO",-1,IF(LEFT(E1568,6)="TÉRREO",0,IFERROR(VALUE(LEFT(E1568,FIND("º",SUBSTITUTE(E1568,"°","º"))-1)),""))))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M1569" s="2">
        <f>IF(C1569="","",IFERROR(INDEX($S$5:$S$304,MATCH(C1569,$R$5:$R$304,0))&amp;"","?"))</f>
        <v/>
      </c>
      <c r="N1569" s="2">
        <f>IF(E1569="","",IF(LEFT(E1569,7)="SUBSOLO",-1,IF(LEFT(E1569,6)="TÉRREO",0,IFERROR(VALUE(LEFT(E1569,FIND("º",SUBSTITUTE(E1569,"°","º"))-1)),""))))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M1570" s="2">
        <f>IF(C1570="","",IFERROR(INDEX($S$5:$S$304,MATCH(C1570,$R$5:$R$304,0))&amp;"","?"))</f>
        <v/>
      </c>
      <c r="N1570" s="2">
        <f>IF(E1570="","",IF(LEFT(E1570,7)="SUBSOLO",-1,IF(LEFT(E1570,6)="TÉRREO",0,IFERROR(VALUE(LEFT(E1570,FIND("º",SUBSTITUTE(E1570,"°","º"))-1)),""))))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M1571" s="2">
        <f>IF(C1571="","",IFERROR(INDEX($S$5:$S$304,MATCH(C1571,$R$5:$R$304,0))&amp;"","?"))</f>
        <v/>
      </c>
      <c r="N1571" s="2">
        <f>IF(E1571="","",IF(LEFT(E1571,7)="SUBSOLO",-1,IF(LEFT(E1571,6)="TÉRREO",0,IFERROR(VALUE(LEFT(E1571,FIND("º",SUBSTITUTE(E1571,"°","º"))-1)),""))))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M1572" s="2">
        <f>IF(C1572="","",IFERROR(INDEX($S$5:$S$304,MATCH(C1572,$R$5:$R$304,0))&amp;"","?"))</f>
        <v/>
      </c>
      <c r="N1572" s="2">
        <f>IF(E1572="","",IF(LEFT(E1572,7)="SUBSOLO",-1,IF(LEFT(E1572,6)="TÉRREO",0,IFERROR(VALUE(LEFT(E1572,FIND("º",SUBSTITUTE(E1572,"°","º"))-1)),""))))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M1573" s="2">
        <f>IF(C1573="","",IFERROR(INDEX($S$5:$S$304,MATCH(C1573,$R$5:$R$304,0))&amp;"","?"))</f>
        <v/>
      </c>
      <c r="N1573" s="2">
        <f>IF(E1573="","",IF(LEFT(E1573,7)="SUBSOLO",-1,IF(LEFT(E1573,6)="TÉRREO",0,IFERROR(VALUE(LEFT(E1573,FIND("º",SUBSTITUTE(E1573,"°","º"))-1)),""))))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M1574" s="2">
        <f>IF(C1574="","",IFERROR(INDEX($S$5:$S$304,MATCH(C1574,$R$5:$R$304,0))&amp;"","?"))</f>
        <v/>
      </c>
      <c r="N1574" s="2">
        <f>IF(E1574="","",IF(LEFT(E1574,7)="SUBSOLO",-1,IF(LEFT(E1574,6)="TÉRREO",0,IFERROR(VALUE(LEFT(E1574,FIND("º",SUBSTITUTE(E1574,"°","º"))-1)),""))))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M1575" s="2">
        <f>IF(C1575="","",IFERROR(INDEX($S$5:$S$304,MATCH(C1575,$R$5:$R$304,0))&amp;"","?"))</f>
        <v/>
      </c>
      <c r="N1575" s="2">
        <f>IF(E1575="","",IF(LEFT(E1575,7)="SUBSOLO",-1,IF(LEFT(E1575,6)="TÉRREO",0,IFERROR(VALUE(LEFT(E1575,FIND("º",SUBSTITUTE(E1575,"°","º"))-1)),""))))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M1576" s="2">
        <f>IF(C1576="","",IFERROR(INDEX($S$5:$S$304,MATCH(C1576,$R$5:$R$304,0))&amp;"","?"))</f>
        <v/>
      </c>
      <c r="N1576" s="2">
        <f>IF(E1576="","",IF(LEFT(E1576,7)="SUBSOLO",-1,IF(LEFT(E1576,6)="TÉRREO",0,IFERROR(VALUE(LEFT(E1576,FIND("º",SUBSTITUTE(E1576,"°","º"))-1)),""))))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M1577" s="2">
        <f>IF(C1577="","",IFERROR(INDEX($S$5:$S$304,MATCH(C1577,$R$5:$R$304,0))&amp;"","?"))</f>
        <v/>
      </c>
      <c r="N1577" s="2">
        <f>IF(E1577="","",IF(LEFT(E1577,7)="SUBSOLO",-1,IF(LEFT(E1577,6)="TÉRREO",0,IFERROR(VALUE(LEFT(E1577,FIND("º",SUBSTITUTE(E1577,"°","º"))-1)),""))))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M1578" s="2">
        <f>IF(C1578="","",IFERROR(INDEX($S$5:$S$304,MATCH(C1578,$R$5:$R$304,0))&amp;"","?"))</f>
        <v/>
      </c>
      <c r="N1578" s="2">
        <f>IF(E1578="","",IF(LEFT(E1578,7)="SUBSOLO",-1,IF(LEFT(E1578,6)="TÉRREO",0,IFERROR(VALUE(LEFT(E1578,FIND("º",SUBSTITUTE(E1578,"°","º"))-1)),""))))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M1579" s="2">
        <f>IF(C1579="","",IFERROR(INDEX($S$5:$S$304,MATCH(C1579,$R$5:$R$304,0))&amp;"","?"))</f>
        <v/>
      </c>
      <c r="N1579" s="2">
        <f>IF(E1579="","",IF(LEFT(E1579,7)="SUBSOLO",-1,IF(LEFT(E1579,6)="TÉRREO",0,IFERROR(VALUE(LEFT(E1579,FIND("º",SUBSTITUTE(E1579,"°","º"))-1)),""))))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M1580" s="2">
        <f>IF(C1580="","",IFERROR(INDEX($S$5:$S$304,MATCH(C1580,$R$5:$R$304,0))&amp;"","?"))</f>
        <v/>
      </c>
      <c r="N1580" s="2">
        <f>IF(E1580="","",IF(LEFT(E1580,7)="SUBSOLO",-1,IF(LEFT(E1580,6)="TÉRREO",0,IFERROR(VALUE(LEFT(E1580,FIND("º",SUBSTITUTE(E1580,"°","º"))-1)),""))))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M1581" s="2">
        <f>IF(C1581="","",IFERROR(INDEX($S$5:$S$304,MATCH(C1581,$R$5:$R$304,0))&amp;"","?"))</f>
        <v/>
      </c>
      <c r="N1581" s="2">
        <f>IF(E1581="","",IF(LEFT(E1581,7)="SUBSOLO",-1,IF(LEFT(E1581,6)="TÉRREO",0,IFERROR(VALUE(LEFT(E1581,FIND("º",SUBSTITUTE(E1581,"°","º"))-1)),""))))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M1582" s="2">
        <f>IF(C1582="","",IFERROR(INDEX($S$5:$S$304,MATCH(C1582,$R$5:$R$304,0))&amp;"","?"))</f>
        <v/>
      </c>
      <c r="N1582" s="2">
        <f>IF(E1582="","",IF(LEFT(E1582,7)="SUBSOLO",-1,IF(LEFT(E1582,6)="TÉRREO",0,IFERROR(VALUE(LEFT(E1582,FIND("º",SUBSTITUTE(E1582,"°","º"))-1)),""))))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M1583" s="2">
        <f>IF(C1583="","",IFERROR(INDEX($S$5:$S$304,MATCH(C1583,$R$5:$R$304,0))&amp;"","?"))</f>
        <v/>
      </c>
      <c r="N1583" s="2">
        <f>IF(E1583="","",IF(LEFT(E1583,7)="SUBSOLO",-1,IF(LEFT(E1583,6)="TÉRREO",0,IFERROR(VALUE(LEFT(E1583,FIND("º",SUBSTITUTE(E1583,"°","º"))-1)),""))))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M1584" s="2">
        <f>IF(C1584="","",IFERROR(INDEX($S$5:$S$304,MATCH(C1584,$R$5:$R$304,0))&amp;"","?"))</f>
        <v/>
      </c>
      <c r="N1584" s="2">
        <f>IF(E1584="","",IF(LEFT(E1584,7)="SUBSOLO",-1,IF(LEFT(E1584,6)="TÉRREO",0,IFERROR(VALUE(LEFT(E1584,FIND("º",SUBSTITUTE(E1584,"°","º"))-1)),""))))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M1585" s="2">
        <f>IF(C1585="","",IFERROR(INDEX($S$5:$S$304,MATCH(C1585,$R$5:$R$304,0))&amp;"","?"))</f>
        <v/>
      </c>
      <c r="N1585" s="2">
        <f>IF(E1585="","",IF(LEFT(E1585,7)="SUBSOLO",-1,IF(LEFT(E1585,6)="TÉRREO",0,IFERROR(VALUE(LEFT(E1585,FIND("º",SUBSTITUTE(E1585,"°","º"))-1)),""))))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M1586" s="2">
        <f>IF(C1586="","",IFERROR(INDEX($S$5:$S$304,MATCH(C1586,$R$5:$R$304,0))&amp;"","?"))</f>
        <v/>
      </c>
      <c r="N1586" s="2">
        <f>IF(E1586="","",IF(LEFT(E1586,7)="SUBSOLO",-1,IF(LEFT(E1586,6)="TÉRREO",0,IFERROR(VALUE(LEFT(E1586,FIND("º",SUBSTITUTE(E1586,"°","º"))-1)),""))))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M1587" s="2">
        <f>IF(C1587="","",IFERROR(INDEX($S$5:$S$304,MATCH(C1587,$R$5:$R$304,0))&amp;"","?"))</f>
        <v/>
      </c>
      <c r="N1587" s="2">
        <f>IF(E1587="","",IF(LEFT(E1587,7)="SUBSOLO",-1,IF(LEFT(E1587,6)="TÉRREO",0,IFERROR(VALUE(LEFT(E1587,FIND("º",SUBSTITUTE(E1587,"°","º"))-1)),""))))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M1588" s="2">
        <f>IF(C1588="","",IFERROR(INDEX($S$5:$S$304,MATCH(C1588,$R$5:$R$304,0))&amp;"","?"))</f>
        <v/>
      </c>
      <c r="N1588" s="2">
        <f>IF(E1588="","",IF(LEFT(E1588,7)="SUBSOLO",-1,IF(LEFT(E1588,6)="TÉRREO",0,IFERROR(VALUE(LEFT(E1588,FIND("º",SUBSTITUTE(E1588,"°","º"))-1)),""))))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M1589" s="2">
        <f>IF(C1589="","",IFERROR(INDEX($S$5:$S$304,MATCH(C1589,$R$5:$R$304,0))&amp;"","?"))</f>
        <v/>
      </c>
      <c r="N1589" s="2">
        <f>IF(E1589="","",IF(LEFT(E1589,7)="SUBSOLO",-1,IF(LEFT(E1589,6)="TÉRREO",0,IFERROR(VALUE(LEFT(E1589,FIND("º",SUBSTITUTE(E1589,"°","º"))-1)),""))))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M1590" s="2">
        <f>IF(C1590="","",IFERROR(INDEX($S$5:$S$304,MATCH(C1590,$R$5:$R$304,0))&amp;"","?"))</f>
        <v/>
      </c>
      <c r="N1590" s="2">
        <f>IF(E1590="","",IF(LEFT(E1590,7)="SUBSOLO",-1,IF(LEFT(E1590,6)="TÉRREO",0,IFERROR(VALUE(LEFT(E1590,FIND("º",SUBSTITUTE(E1590,"°","º"))-1)),""))))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M1591" s="2">
        <f>IF(C1591="","",IFERROR(INDEX($S$5:$S$304,MATCH(C1591,$R$5:$R$304,0))&amp;"","?"))</f>
        <v/>
      </c>
      <c r="N1591" s="2">
        <f>IF(E1591="","",IF(LEFT(E1591,7)="SUBSOLO",-1,IF(LEFT(E1591,6)="TÉRREO",0,IFERROR(VALUE(LEFT(E1591,FIND("º",SUBSTITUTE(E1591,"°","º"))-1)),""))))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M1592" s="2">
        <f>IF(C1592="","",IFERROR(INDEX($S$5:$S$304,MATCH(C1592,$R$5:$R$304,0))&amp;"","?"))</f>
        <v/>
      </c>
      <c r="N1592" s="2">
        <f>IF(E1592="","",IF(LEFT(E1592,7)="SUBSOLO",-1,IF(LEFT(E1592,6)="TÉRREO",0,IFERROR(VALUE(LEFT(E1592,FIND("º",SUBSTITUTE(E1592,"°","º"))-1)),""))))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M1593" s="2">
        <f>IF(C1593="","",IFERROR(INDEX($S$5:$S$304,MATCH(C1593,$R$5:$R$304,0))&amp;"","?"))</f>
        <v/>
      </c>
      <c r="N1593" s="2">
        <f>IF(E1593="","",IF(LEFT(E1593,7)="SUBSOLO",-1,IF(LEFT(E1593,6)="TÉRREO",0,IFERROR(VALUE(LEFT(E1593,FIND("º",SUBSTITUTE(E1593,"°","º"))-1)),""))))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M1594" s="2">
        <f>IF(C1594="","",IFERROR(INDEX($S$5:$S$304,MATCH(C1594,$R$5:$R$304,0))&amp;"","?"))</f>
        <v/>
      </c>
      <c r="N1594" s="2">
        <f>IF(E1594="","",IF(LEFT(E1594,7)="SUBSOLO",-1,IF(LEFT(E1594,6)="TÉRREO",0,IFERROR(VALUE(LEFT(E1594,FIND("º",SUBSTITUTE(E1594,"°","º"))-1)),""))))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M1595" s="2">
        <f>IF(C1595="","",IFERROR(INDEX($S$5:$S$304,MATCH(C1595,$R$5:$R$304,0))&amp;"","?"))</f>
        <v/>
      </c>
      <c r="N1595" s="2">
        <f>IF(E1595="","",IF(LEFT(E1595,7)="SUBSOLO",-1,IF(LEFT(E1595,6)="TÉRREO",0,IFERROR(VALUE(LEFT(E1595,FIND("º",SUBSTITUTE(E1595,"°","º"))-1)),""))))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M1596" s="2">
        <f>IF(C1596="","",IFERROR(INDEX($S$5:$S$304,MATCH(C1596,$R$5:$R$304,0))&amp;"","?"))</f>
        <v/>
      </c>
      <c r="N1596" s="2">
        <f>IF(E1596="","",IF(LEFT(E1596,7)="SUBSOLO",-1,IF(LEFT(E1596,6)="TÉRREO",0,IFERROR(VALUE(LEFT(E1596,FIND("º",SUBSTITUTE(E1596,"°","º"))-1)),""))))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M1597" s="2">
        <f>IF(C1597="","",IFERROR(INDEX($S$5:$S$304,MATCH(C1597,$R$5:$R$304,0))&amp;"","?"))</f>
        <v/>
      </c>
      <c r="N1597" s="2">
        <f>IF(E1597="","",IF(LEFT(E1597,7)="SUBSOLO",-1,IF(LEFT(E1597,6)="TÉRREO",0,IFERROR(VALUE(LEFT(E1597,FIND("º",SUBSTITUTE(E1597,"°","º"))-1)),""))))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M1598" s="2">
        <f>IF(C1598="","",IFERROR(INDEX($S$5:$S$304,MATCH(C1598,$R$5:$R$304,0))&amp;"","?"))</f>
        <v/>
      </c>
      <c r="N1598" s="2">
        <f>IF(E1598="","",IF(LEFT(E1598,7)="SUBSOLO",-1,IF(LEFT(E1598,6)="TÉRREO",0,IFERROR(VALUE(LEFT(E1598,FIND("º",SUBSTITUTE(E1598,"°","º"))-1)),""))))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M1599" s="2">
        <f>IF(C1599="","",IFERROR(INDEX($S$5:$S$304,MATCH(C1599,$R$5:$R$304,0))&amp;"","?"))</f>
        <v/>
      </c>
      <c r="N1599" s="2">
        <f>IF(E1599="","",IF(LEFT(E1599,7)="SUBSOLO",-1,IF(LEFT(E1599,6)="TÉRREO",0,IFERROR(VALUE(LEFT(E1599,FIND("º",SUBSTITUTE(E1599,"°","º"))-1)),""))))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M1600" s="2">
        <f>IF(C1600="","",IFERROR(INDEX($S$5:$S$304,MATCH(C1600,$R$5:$R$304,0))&amp;"","?"))</f>
        <v/>
      </c>
      <c r="N1600" s="2">
        <f>IF(E1600="","",IF(LEFT(E1600,7)="SUBSOLO",-1,IF(LEFT(E1600,6)="TÉRREO",0,IFERROR(VALUE(LEFT(E1600,FIND("º",SUBSTITUTE(E1600,"°","º"))-1)),""))))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M1601" s="2">
        <f>IF(C1601="","",IFERROR(INDEX($S$5:$S$304,MATCH(C1601,$R$5:$R$304,0))&amp;"","?"))</f>
        <v/>
      </c>
      <c r="N1601" s="2">
        <f>IF(E1601="","",IF(LEFT(E1601,7)="SUBSOLO",-1,IF(LEFT(E1601,6)="TÉRREO",0,IFERROR(VALUE(LEFT(E1601,FIND("º",SUBSTITUTE(E1601,"°","º"))-1)),""))))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M1602" s="2">
        <f>IF(C1602="","",IFERROR(INDEX($S$5:$S$304,MATCH(C1602,$R$5:$R$304,0))&amp;"","?"))</f>
        <v/>
      </c>
      <c r="N1602" s="2">
        <f>IF(E1602="","",IF(LEFT(E1602,7)="SUBSOLO",-1,IF(LEFT(E1602,6)="TÉRREO",0,IFERROR(VALUE(LEFT(E1602,FIND("º",SUBSTITUTE(E1602,"°","º"))-1)),""))))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M1603" s="2">
        <f>IF(C1603="","",IFERROR(INDEX($S$5:$S$304,MATCH(C1603,$R$5:$R$304,0))&amp;"","?"))</f>
        <v/>
      </c>
      <c r="N1603" s="2">
        <f>IF(E1603="","",IF(LEFT(E1603,7)="SUBSOLO",-1,IF(LEFT(E1603,6)="TÉRREO",0,IFERROR(VALUE(LEFT(E1603,FIND("º",SUBSTITUTE(E1603,"°","º"))-1)),""))))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M1604" s="2">
        <f>IF(C1604="","",IFERROR(INDEX($S$5:$S$304,MATCH(C1604,$R$5:$R$304,0))&amp;"","?"))</f>
        <v/>
      </c>
      <c r="N1604" s="2">
        <f>IF(E1604="","",IF(LEFT(E1604,7)="SUBSOLO",-1,IF(LEFT(E1604,6)="TÉRREO",0,IFERROR(VALUE(LEFT(E1604,FIND("º",SUBSTITUTE(E1604,"°","º"))-1)),""))))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M1605" s="2">
        <f>IF(C1605="","",IFERROR(INDEX($S$5:$S$304,MATCH(C1605,$R$5:$R$304,0))&amp;"","?"))</f>
        <v/>
      </c>
      <c r="N1605" s="2">
        <f>IF(E1605="","",IF(LEFT(E1605,7)="SUBSOLO",-1,IF(LEFT(E1605,6)="TÉRREO",0,IFERROR(VALUE(LEFT(E1605,FIND("º",SUBSTITUTE(E1605,"°","º"))-1)),""))))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M1606" s="2">
        <f>IF(C1606="","",IFERROR(INDEX($S$5:$S$304,MATCH(C1606,$R$5:$R$304,0))&amp;"","?"))</f>
        <v/>
      </c>
      <c r="N1606" s="2">
        <f>IF(E1606="","",IF(LEFT(E1606,7)="SUBSOLO",-1,IF(LEFT(E1606,6)="TÉRREO",0,IFERROR(VALUE(LEFT(E1606,FIND("º",SUBSTITUTE(E1606,"°","º"))-1)),""))))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M1607" s="2">
        <f>IF(C1607="","",IFERROR(INDEX($S$5:$S$304,MATCH(C1607,$R$5:$R$304,0))&amp;"","?"))</f>
        <v/>
      </c>
      <c r="N1607" s="2">
        <f>IF(E1607="","",IF(LEFT(E1607,7)="SUBSOLO",-1,IF(LEFT(E1607,6)="TÉRREO",0,IFERROR(VALUE(LEFT(E1607,FIND("º",SUBSTITUTE(E1607,"°","º"))-1)),""))))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M1608" s="2">
        <f>IF(C1608="","",IFERROR(INDEX($S$5:$S$304,MATCH(C1608,$R$5:$R$304,0))&amp;"","?"))</f>
        <v/>
      </c>
      <c r="N1608" s="2">
        <f>IF(E1608="","",IF(LEFT(E1608,7)="SUBSOLO",-1,IF(LEFT(E1608,6)="TÉRREO",0,IFERROR(VALUE(LEFT(E1608,FIND("º",SUBSTITUTE(E1608,"°","º"))-1)),""))))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M1609" s="2">
        <f>IF(C1609="","",IFERROR(INDEX($S$5:$S$304,MATCH(C1609,$R$5:$R$304,0))&amp;"","?"))</f>
        <v/>
      </c>
      <c r="N1609" s="2">
        <f>IF(E1609="","",IF(LEFT(E1609,7)="SUBSOLO",-1,IF(LEFT(E1609,6)="TÉRREO",0,IFERROR(VALUE(LEFT(E1609,FIND("º",SUBSTITUTE(E1609,"°","º"))-1)),""))))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M1610" s="2">
        <f>IF(C1610="","",IFERROR(INDEX($S$5:$S$304,MATCH(C1610,$R$5:$R$304,0))&amp;"","?"))</f>
        <v/>
      </c>
      <c r="N1610" s="2">
        <f>IF(E1610="","",IF(LEFT(E1610,7)="SUBSOLO",-1,IF(LEFT(E1610,6)="TÉRREO",0,IFERROR(VALUE(LEFT(E1610,FIND("º",SUBSTITUTE(E1610,"°","º"))-1)),""))))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M1611" s="2">
        <f>IF(C1611="","",IFERROR(INDEX($S$5:$S$304,MATCH(C1611,$R$5:$R$304,0))&amp;"","?"))</f>
        <v/>
      </c>
      <c r="N1611" s="2">
        <f>IF(E1611="","",IF(LEFT(E1611,7)="SUBSOLO",-1,IF(LEFT(E1611,6)="TÉRREO",0,IFERROR(VALUE(LEFT(E1611,FIND("º",SUBSTITUTE(E1611,"°","º"))-1)),""))))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M1612" s="2">
        <f>IF(C1612="","",IFERROR(INDEX($S$5:$S$304,MATCH(C1612,$R$5:$R$304,0))&amp;"","?"))</f>
        <v/>
      </c>
      <c r="N1612" s="2">
        <f>IF(E1612="","",IF(LEFT(E1612,7)="SUBSOLO",-1,IF(LEFT(E1612,6)="TÉRREO",0,IFERROR(VALUE(LEFT(E1612,FIND("º",SUBSTITUTE(E1612,"°","º"))-1)),""))))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M1613" s="2">
        <f>IF(C1613="","",IFERROR(INDEX($S$5:$S$304,MATCH(C1613,$R$5:$R$304,0))&amp;"","?"))</f>
        <v/>
      </c>
      <c r="N1613" s="2">
        <f>IF(E1613="","",IF(LEFT(E1613,7)="SUBSOLO",-1,IF(LEFT(E1613,6)="TÉRREO",0,IFERROR(VALUE(LEFT(E1613,FIND("º",SUBSTITUTE(E1613,"°","º"))-1)),""))))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M1614" s="2">
        <f>IF(C1614="","",IFERROR(INDEX($S$5:$S$304,MATCH(C1614,$R$5:$R$304,0))&amp;"","?"))</f>
        <v/>
      </c>
      <c r="N1614" s="2">
        <f>IF(E1614="","",IF(LEFT(E1614,7)="SUBSOLO",-1,IF(LEFT(E1614,6)="TÉRREO",0,IFERROR(VALUE(LEFT(E1614,FIND("º",SUBSTITUTE(E1614,"°","º"))-1)),""))))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M1615" s="2">
        <f>IF(C1615="","",IFERROR(INDEX($S$5:$S$304,MATCH(C1615,$R$5:$R$304,0))&amp;"","?"))</f>
        <v/>
      </c>
      <c r="N1615" s="2">
        <f>IF(E1615="","",IF(LEFT(E1615,7)="SUBSOLO",-1,IF(LEFT(E1615,6)="TÉRREO",0,IFERROR(VALUE(LEFT(E1615,FIND("º",SUBSTITUTE(E1615,"°","º"))-1)),""))))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M1616" s="2">
        <f>IF(C1616="","",IFERROR(INDEX($S$5:$S$304,MATCH(C1616,$R$5:$R$304,0))&amp;"","?"))</f>
        <v/>
      </c>
      <c r="N1616" s="2">
        <f>IF(E1616="","",IF(LEFT(E1616,7)="SUBSOLO",-1,IF(LEFT(E1616,6)="TÉRREO",0,IFERROR(VALUE(LEFT(E1616,FIND("º",SUBSTITUTE(E1616,"°","º"))-1)),""))))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M1617" s="2">
        <f>IF(C1617="","",IFERROR(INDEX($S$5:$S$304,MATCH(C1617,$R$5:$R$304,0))&amp;"","?"))</f>
        <v/>
      </c>
      <c r="N1617" s="2">
        <f>IF(E1617="","",IF(LEFT(E1617,7)="SUBSOLO",-1,IF(LEFT(E1617,6)="TÉRREO",0,IFERROR(VALUE(LEFT(E1617,FIND("º",SUBSTITUTE(E1617,"°","º"))-1)),""))))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M1618" s="2">
        <f>IF(C1618="","",IFERROR(INDEX($S$5:$S$304,MATCH(C1618,$R$5:$R$304,0))&amp;"","?"))</f>
        <v/>
      </c>
      <c r="N1618" s="2">
        <f>IF(E1618="","",IF(LEFT(E1618,7)="SUBSOLO",-1,IF(LEFT(E1618,6)="TÉRREO",0,IFERROR(VALUE(LEFT(E1618,FIND("º",SUBSTITUTE(E1618,"°","º"))-1)),""))))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M1619" s="2">
        <f>IF(C1619="","",IFERROR(INDEX($S$5:$S$304,MATCH(C1619,$R$5:$R$304,0))&amp;"","?"))</f>
        <v/>
      </c>
      <c r="N1619" s="2">
        <f>IF(E1619="","",IF(LEFT(E1619,7)="SUBSOLO",-1,IF(LEFT(E1619,6)="TÉRREO",0,IFERROR(VALUE(LEFT(E1619,FIND("º",SUBSTITUTE(E1619,"°","º"))-1)),""))))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M1620" s="2">
        <f>IF(C1620="","",IFERROR(INDEX($S$5:$S$304,MATCH(C1620,$R$5:$R$304,0))&amp;"","?"))</f>
        <v/>
      </c>
      <c r="N1620" s="2">
        <f>IF(E1620="","",IF(LEFT(E1620,7)="SUBSOLO",-1,IF(LEFT(E1620,6)="TÉRREO",0,IFERROR(VALUE(LEFT(E1620,FIND("º",SUBSTITUTE(E1620,"°","º"))-1)),""))))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M1621" s="2">
        <f>IF(C1621="","",IFERROR(INDEX($S$5:$S$304,MATCH(C1621,$R$5:$R$304,0))&amp;"","?"))</f>
        <v/>
      </c>
      <c r="N1621" s="2">
        <f>IF(E1621="","",IF(LEFT(E1621,7)="SUBSOLO",-1,IF(LEFT(E1621,6)="TÉRREO",0,IFERROR(VALUE(LEFT(E1621,FIND("º",SUBSTITUTE(E1621,"°","º"))-1)),""))))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M1622" s="2">
        <f>IF(C1622="","",IFERROR(INDEX($S$5:$S$304,MATCH(C1622,$R$5:$R$304,0))&amp;"","?"))</f>
        <v/>
      </c>
      <c r="N1622" s="2">
        <f>IF(E1622="","",IF(LEFT(E1622,7)="SUBSOLO",-1,IF(LEFT(E1622,6)="TÉRREO",0,IFERROR(VALUE(LEFT(E1622,FIND("º",SUBSTITUTE(E1622,"°","º"))-1)),""))))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M1623" s="2">
        <f>IF(C1623="","",IFERROR(INDEX($S$5:$S$304,MATCH(C1623,$R$5:$R$304,0))&amp;"","?"))</f>
        <v/>
      </c>
      <c r="N1623" s="2">
        <f>IF(E1623="","",IF(LEFT(E1623,7)="SUBSOLO",-1,IF(LEFT(E1623,6)="TÉRREO",0,IFERROR(VALUE(LEFT(E1623,FIND("º",SUBSTITUTE(E1623,"°","º"))-1)),""))))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M1624" s="2">
        <f>IF(C1624="","",IFERROR(INDEX($S$5:$S$304,MATCH(C1624,$R$5:$R$304,0))&amp;"","?"))</f>
        <v/>
      </c>
      <c r="N1624" s="2">
        <f>IF(E1624="","",IF(LEFT(E1624,7)="SUBSOLO",-1,IF(LEFT(E1624,6)="TÉRREO",0,IFERROR(VALUE(LEFT(E1624,FIND("º",SUBSTITUTE(E1624,"°","º"))-1)),""))))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M1625" s="2">
        <f>IF(C1625="","",IFERROR(INDEX($S$5:$S$304,MATCH(C1625,$R$5:$R$304,0))&amp;"","?"))</f>
        <v/>
      </c>
      <c r="N1625" s="2">
        <f>IF(E1625="","",IF(LEFT(E1625,7)="SUBSOLO",-1,IF(LEFT(E1625,6)="TÉRREO",0,IFERROR(VALUE(LEFT(E1625,FIND("º",SUBSTITUTE(E1625,"°","º"))-1)),""))))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M1626" s="2">
        <f>IF(C1626="","",IFERROR(INDEX($S$5:$S$304,MATCH(C1626,$R$5:$R$304,0))&amp;"","?"))</f>
        <v/>
      </c>
      <c r="N1626" s="2">
        <f>IF(E1626="","",IF(LEFT(E1626,7)="SUBSOLO",-1,IF(LEFT(E1626,6)="TÉRREO",0,IFERROR(VALUE(LEFT(E1626,FIND("º",SUBSTITUTE(E1626,"°","º"))-1)),""))))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M1627" s="2">
        <f>IF(C1627="","",IFERROR(INDEX($S$5:$S$304,MATCH(C1627,$R$5:$R$304,0))&amp;"","?"))</f>
        <v/>
      </c>
      <c r="N1627" s="2">
        <f>IF(E1627="","",IF(LEFT(E1627,7)="SUBSOLO",-1,IF(LEFT(E1627,6)="TÉRREO",0,IFERROR(VALUE(LEFT(E1627,FIND("º",SUBSTITUTE(E1627,"°","º"))-1)),""))))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M1628" s="2">
        <f>IF(C1628="","",IFERROR(INDEX($S$5:$S$304,MATCH(C1628,$R$5:$R$304,0))&amp;"","?"))</f>
        <v/>
      </c>
      <c r="N1628" s="2">
        <f>IF(E1628="","",IF(LEFT(E1628,7)="SUBSOLO",-1,IF(LEFT(E1628,6)="TÉRREO",0,IFERROR(VALUE(LEFT(E1628,FIND("º",SUBSTITUTE(E1628,"°","º"))-1)),""))))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M1629" s="2">
        <f>IF(C1629="","",IFERROR(INDEX($S$5:$S$304,MATCH(C1629,$R$5:$R$304,0))&amp;"","?"))</f>
        <v/>
      </c>
      <c r="N1629" s="2">
        <f>IF(E1629="","",IF(LEFT(E1629,7)="SUBSOLO",-1,IF(LEFT(E1629,6)="TÉRREO",0,IFERROR(VALUE(LEFT(E1629,FIND("º",SUBSTITUTE(E1629,"°","º"))-1)),""))))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M1630" s="2">
        <f>IF(C1630="","",IFERROR(INDEX($S$5:$S$304,MATCH(C1630,$R$5:$R$304,0))&amp;"","?"))</f>
        <v/>
      </c>
      <c r="N1630" s="2">
        <f>IF(E1630="","",IF(LEFT(E1630,7)="SUBSOLO",-1,IF(LEFT(E1630,6)="TÉRREO",0,IFERROR(VALUE(LEFT(E1630,FIND("º",SUBSTITUTE(E1630,"°","º"))-1)),""))))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M1631" s="2">
        <f>IF(C1631="","",IFERROR(INDEX($S$5:$S$304,MATCH(C1631,$R$5:$R$304,0))&amp;"","?"))</f>
        <v/>
      </c>
      <c r="N1631" s="2">
        <f>IF(E1631="","",IF(LEFT(E1631,7)="SUBSOLO",-1,IF(LEFT(E1631,6)="TÉRREO",0,IFERROR(VALUE(LEFT(E1631,FIND("º",SUBSTITUTE(E1631,"°","º"))-1)),""))))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M1632" s="2">
        <f>IF(C1632="","",IFERROR(INDEX($S$5:$S$304,MATCH(C1632,$R$5:$R$304,0))&amp;"","?"))</f>
        <v/>
      </c>
      <c r="N1632" s="2">
        <f>IF(E1632="","",IF(LEFT(E1632,7)="SUBSOLO",-1,IF(LEFT(E1632,6)="TÉRREO",0,IFERROR(VALUE(LEFT(E1632,FIND("º",SUBSTITUTE(E1632,"°","º"))-1)),""))))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M1633" s="2">
        <f>IF(C1633="","",IFERROR(INDEX($S$5:$S$304,MATCH(C1633,$R$5:$R$304,0))&amp;"","?"))</f>
        <v/>
      </c>
      <c r="N1633" s="2">
        <f>IF(E1633="","",IF(LEFT(E1633,7)="SUBSOLO",-1,IF(LEFT(E1633,6)="TÉRREO",0,IFERROR(VALUE(LEFT(E1633,FIND("º",SUBSTITUTE(E1633,"°","º"))-1)),""))))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M1634" s="2">
        <f>IF(C1634="","",IFERROR(INDEX($S$5:$S$304,MATCH(C1634,$R$5:$R$304,0))&amp;"","?"))</f>
        <v/>
      </c>
      <c r="N1634" s="2">
        <f>IF(E1634="","",IF(LEFT(E1634,7)="SUBSOLO",-1,IF(LEFT(E1634,6)="TÉRREO",0,IFERROR(VALUE(LEFT(E1634,FIND("º",SUBSTITUTE(E1634,"°","º"))-1)),""))))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M1635" s="2">
        <f>IF(C1635="","",IFERROR(INDEX($S$5:$S$304,MATCH(C1635,$R$5:$R$304,0))&amp;"","?"))</f>
        <v/>
      </c>
      <c r="N1635" s="2">
        <f>IF(E1635="","",IF(LEFT(E1635,7)="SUBSOLO",-1,IF(LEFT(E1635,6)="TÉRREO",0,IFERROR(VALUE(LEFT(E1635,FIND("º",SUBSTITUTE(E1635,"°","º"))-1)),""))))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M1636" s="2">
        <f>IF(C1636="","",IFERROR(INDEX($S$5:$S$304,MATCH(C1636,$R$5:$R$304,0))&amp;"","?"))</f>
        <v/>
      </c>
      <c r="N1636" s="2">
        <f>IF(E1636="","",IF(LEFT(E1636,7)="SUBSOLO",-1,IF(LEFT(E1636,6)="TÉRREO",0,IFERROR(VALUE(LEFT(E1636,FIND("º",SUBSTITUTE(E1636,"°","º"))-1)),""))))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M1637" s="2">
        <f>IF(C1637="","",IFERROR(INDEX($S$5:$S$304,MATCH(C1637,$R$5:$R$304,0))&amp;"","?"))</f>
        <v/>
      </c>
      <c r="N1637" s="2">
        <f>IF(E1637="","",IF(LEFT(E1637,7)="SUBSOLO",-1,IF(LEFT(E1637,6)="TÉRREO",0,IFERROR(VALUE(LEFT(E1637,FIND("º",SUBSTITUTE(E1637,"°","º"))-1)),""))))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M1638" s="2">
        <f>IF(C1638="","",IFERROR(INDEX($S$5:$S$304,MATCH(C1638,$R$5:$R$304,0))&amp;"","?"))</f>
        <v/>
      </c>
      <c r="N1638" s="2">
        <f>IF(E1638="","",IF(LEFT(E1638,7)="SUBSOLO",-1,IF(LEFT(E1638,6)="TÉRREO",0,IFERROR(VALUE(LEFT(E1638,FIND("º",SUBSTITUTE(E1638,"°","º"))-1)),""))))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M1639" s="2">
        <f>IF(C1639="","",IFERROR(INDEX($S$5:$S$304,MATCH(C1639,$R$5:$R$304,0))&amp;"","?"))</f>
        <v/>
      </c>
      <c r="N1639" s="2">
        <f>IF(E1639="","",IF(LEFT(E1639,7)="SUBSOLO",-1,IF(LEFT(E1639,6)="TÉRREO",0,IFERROR(VALUE(LEFT(E1639,FIND("º",SUBSTITUTE(E1639,"°","º"))-1)),""))))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M1640" s="2">
        <f>IF(C1640="","",IFERROR(INDEX($S$5:$S$304,MATCH(C1640,$R$5:$R$304,0))&amp;"","?"))</f>
        <v/>
      </c>
      <c r="N1640" s="2">
        <f>IF(E1640="","",IF(LEFT(E1640,7)="SUBSOLO",-1,IF(LEFT(E1640,6)="TÉRREO",0,IFERROR(VALUE(LEFT(E1640,FIND("º",SUBSTITUTE(E1640,"°","º"))-1)),""))))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M1641" s="2">
        <f>IF(C1641="","",IFERROR(INDEX($S$5:$S$304,MATCH(C1641,$R$5:$R$304,0))&amp;"","?"))</f>
        <v/>
      </c>
      <c r="N1641" s="2">
        <f>IF(E1641="","",IF(LEFT(E1641,7)="SUBSOLO",-1,IF(LEFT(E1641,6)="TÉRREO",0,IFERROR(VALUE(LEFT(E1641,FIND("º",SUBSTITUTE(E1641,"°","º"))-1)),""))))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M1642" s="2">
        <f>IF(C1642="","",IFERROR(INDEX($S$5:$S$304,MATCH(C1642,$R$5:$R$304,0))&amp;"","?"))</f>
        <v/>
      </c>
      <c r="N1642" s="2">
        <f>IF(E1642="","",IF(LEFT(E1642,7)="SUBSOLO",-1,IF(LEFT(E1642,6)="TÉRREO",0,IFERROR(VALUE(LEFT(E1642,FIND("º",SUBSTITUTE(E1642,"°","º"))-1)),""))))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M1643" s="2">
        <f>IF(C1643="","",IFERROR(INDEX($S$5:$S$304,MATCH(C1643,$R$5:$R$304,0))&amp;"","?"))</f>
        <v/>
      </c>
      <c r="N1643" s="2">
        <f>IF(E1643="","",IF(LEFT(E1643,7)="SUBSOLO",-1,IF(LEFT(E1643,6)="TÉRREO",0,IFERROR(VALUE(LEFT(E1643,FIND("º",SUBSTITUTE(E1643,"°","º"))-1)),""))))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M1644" s="2">
        <f>IF(C1644="","",IFERROR(INDEX($S$5:$S$304,MATCH(C1644,$R$5:$R$304,0))&amp;"","?"))</f>
        <v/>
      </c>
      <c r="N1644" s="2">
        <f>IF(E1644="","",IF(LEFT(E1644,7)="SUBSOLO",-1,IF(LEFT(E1644,6)="TÉRREO",0,IFERROR(VALUE(LEFT(E1644,FIND("º",SUBSTITUTE(E1644,"°","º"))-1)),""))))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M1645" s="2">
        <f>IF(C1645="","",IFERROR(INDEX($S$5:$S$304,MATCH(C1645,$R$5:$R$304,0))&amp;"","?"))</f>
        <v/>
      </c>
      <c r="N1645" s="2">
        <f>IF(E1645="","",IF(LEFT(E1645,7)="SUBSOLO",-1,IF(LEFT(E1645,6)="TÉRREO",0,IFERROR(VALUE(LEFT(E1645,FIND("º",SUBSTITUTE(E1645,"°","º"))-1)),""))))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M1646" s="2">
        <f>IF(C1646="","",IFERROR(INDEX($S$5:$S$304,MATCH(C1646,$R$5:$R$304,0))&amp;"","?"))</f>
        <v/>
      </c>
      <c r="N1646" s="2">
        <f>IF(E1646="","",IF(LEFT(E1646,7)="SUBSOLO",-1,IF(LEFT(E1646,6)="TÉRREO",0,IFERROR(VALUE(LEFT(E1646,FIND("º",SUBSTITUTE(E1646,"°","º"))-1)),""))))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M1647" s="2">
        <f>IF(C1647="","",IFERROR(INDEX($S$5:$S$304,MATCH(C1647,$R$5:$R$304,0))&amp;"","?"))</f>
        <v/>
      </c>
      <c r="N1647" s="2">
        <f>IF(E1647="","",IF(LEFT(E1647,7)="SUBSOLO",-1,IF(LEFT(E1647,6)="TÉRREO",0,IFERROR(VALUE(LEFT(E1647,FIND("º",SUBSTITUTE(E1647,"°","º"))-1)),""))))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M1648" s="2">
        <f>IF(C1648="","",IFERROR(INDEX($S$5:$S$304,MATCH(C1648,$R$5:$R$304,0))&amp;"","?"))</f>
        <v/>
      </c>
      <c r="N1648" s="2">
        <f>IF(E1648="","",IF(LEFT(E1648,7)="SUBSOLO",-1,IF(LEFT(E1648,6)="TÉRREO",0,IFERROR(VALUE(LEFT(E1648,FIND("º",SUBSTITUTE(E1648,"°","º"))-1)),""))))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M1649" s="2">
        <f>IF(C1649="","",IFERROR(INDEX($S$5:$S$304,MATCH(C1649,$R$5:$R$304,0))&amp;"","?"))</f>
        <v/>
      </c>
      <c r="N1649" s="2">
        <f>IF(E1649="","",IF(LEFT(E1649,7)="SUBSOLO",-1,IF(LEFT(E1649,6)="TÉRREO",0,IFERROR(VALUE(LEFT(E1649,FIND("º",SUBSTITUTE(E1649,"°","º"))-1)),""))))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M1650" s="2">
        <f>IF(C1650="","",IFERROR(INDEX($S$5:$S$304,MATCH(C1650,$R$5:$R$304,0))&amp;"","?"))</f>
        <v/>
      </c>
      <c r="N1650" s="2">
        <f>IF(E1650="","",IF(LEFT(E1650,7)="SUBSOLO",-1,IF(LEFT(E1650,6)="TÉRREO",0,IFERROR(VALUE(LEFT(E1650,FIND("º",SUBSTITUTE(E1650,"°","º"))-1)),""))))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M1651" s="2">
        <f>IF(C1651="","",IFERROR(INDEX($S$5:$S$304,MATCH(C1651,$R$5:$R$304,0))&amp;"","?"))</f>
        <v/>
      </c>
      <c r="N1651" s="2">
        <f>IF(E1651="","",IF(LEFT(E1651,7)="SUBSOLO",-1,IF(LEFT(E1651,6)="TÉRREO",0,IFERROR(VALUE(LEFT(E1651,FIND("º",SUBSTITUTE(E1651,"°","º"))-1)),""))))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M1652" s="2">
        <f>IF(C1652="","",IFERROR(INDEX($S$5:$S$304,MATCH(C1652,$R$5:$R$304,0))&amp;"","?"))</f>
        <v/>
      </c>
      <c r="N1652" s="2">
        <f>IF(E1652="","",IF(LEFT(E1652,7)="SUBSOLO",-1,IF(LEFT(E1652,6)="TÉRREO",0,IFERROR(VALUE(LEFT(E1652,FIND("º",SUBSTITUTE(E1652,"°","º"))-1)),""))))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M1653" s="2">
        <f>IF(C1653="","",IFERROR(INDEX($S$5:$S$304,MATCH(C1653,$R$5:$R$304,0))&amp;"","?"))</f>
        <v/>
      </c>
      <c r="N1653" s="2">
        <f>IF(E1653="","",IF(LEFT(E1653,7)="SUBSOLO",-1,IF(LEFT(E1653,6)="TÉRREO",0,IFERROR(VALUE(LEFT(E1653,FIND("º",SUBSTITUTE(E1653,"°","º"))-1)),""))))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M1654" s="2">
        <f>IF(C1654="","",IFERROR(INDEX($S$5:$S$304,MATCH(C1654,$R$5:$R$304,0))&amp;"","?"))</f>
        <v/>
      </c>
      <c r="N1654" s="2">
        <f>IF(E1654="","",IF(LEFT(E1654,7)="SUBSOLO",-1,IF(LEFT(E1654,6)="TÉRREO",0,IFERROR(VALUE(LEFT(E1654,FIND("º",SUBSTITUTE(E1654,"°","º"))-1)),""))))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M1655" s="2">
        <f>IF(C1655="","",IFERROR(INDEX($S$5:$S$304,MATCH(C1655,$R$5:$R$304,0))&amp;"","?"))</f>
        <v/>
      </c>
      <c r="N1655" s="2">
        <f>IF(E1655="","",IF(LEFT(E1655,7)="SUBSOLO",-1,IF(LEFT(E1655,6)="TÉRREO",0,IFERROR(VALUE(LEFT(E1655,FIND("º",SUBSTITUTE(E1655,"°","º"))-1)),""))))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M1656" s="2">
        <f>IF(C1656="","",IFERROR(INDEX($S$5:$S$304,MATCH(C1656,$R$5:$R$304,0))&amp;"","?"))</f>
        <v/>
      </c>
      <c r="N1656" s="2">
        <f>IF(E1656="","",IF(LEFT(E1656,7)="SUBSOLO",-1,IF(LEFT(E1656,6)="TÉRREO",0,IFERROR(VALUE(LEFT(E1656,FIND("º",SUBSTITUTE(E1656,"°","º"))-1)),""))))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M1657" s="2">
        <f>IF(C1657="","",IFERROR(INDEX($S$5:$S$304,MATCH(C1657,$R$5:$R$304,0))&amp;"","?"))</f>
        <v/>
      </c>
      <c r="N1657" s="2">
        <f>IF(E1657="","",IF(LEFT(E1657,7)="SUBSOLO",-1,IF(LEFT(E1657,6)="TÉRREO",0,IFERROR(VALUE(LEFT(E1657,FIND("º",SUBSTITUTE(E1657,"°","º"))-1)),""))))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M1658" s="2">
        <f>IF(C1658="","",IFERROR(INDEX($S$5:$S$304,MATCH(C1658,$R$5:$R$304,0))&amp;"","?"))</f>
        <v/>
      </c>
      <c r="N1658" s="2">
        <f>IF(E1658="","",IF(LEFT(E1658,7)="SUBSOLO",-1,IF(LEFT(E1658,6)="TÉRREO",0,IFERROR(VALUE(LEFT(E1658,FIND("º",SUBSTITUTE(E1658,"°","º"))-1)),""))))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M1659" s="2">
        <f>IF(C1659="","",IFERROR(INDEX($S$5:$S$304,MATCH(C1659,$R$5:$R$304,0))&amp;"","?"))</f>
        <v/>
      </c>
      <c r="N1659" s="2">
        <f>IF(E1659="","",IF(LEFT(E1659,7)="SUBSOLO",-1,IF(LEFT(E1659,6)="TÉRREO",0,IFERROR(VALUE(LEFT(E1659,FIND("º",SUBSTITUTE(E1659,"°","º"))-1)),""))))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M1660" s="2">
        <f>IF(C1660="","",IFERROR(INDEX($S$5:$S$304,MATCH(C1660,$R$5:$R$304,0))&amp;"","?"))</f>
        <v/>
      </c>
      <c r="N1660" s="2">
        <f>IF(E1660="","",IF(LEFT(E1660,7)="SUBSOLO",-1,IF(LEFT(E1660,6)="TÉRREO",0,IFERROR(VALUE(LEFT(E1660,FIND("º",SUBSTITUTE(E1660,"°","º"))-1)),""))))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M1661" s="2">
        <f>IF(C1661="","",IFERROR(INDEX($S$5:$S$304,MATCH(C1661,$R$5:$R$304,0))&amp;"","?"))</f>
        <v/>
      </c>
      <c r="N1661" s="2">
        <f>IF(E1661="","",IF(LEFT(E1661,7)="SUBSOLO",-1,IF(LEFT(E1661,6)="TÉRREO",0,IFERROR(VALUE(LEFT(E1661,FIND("º",SUBSTITUTE(E1661,"°","º"))-1)),""))))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M1662" s="2">
        <f>IF(C1662="","",IFERROR(INDEX($S$5:$S$304,MATCH(C1662,$R$5:$R$304,0))&amp;"","?"))</f>
        <v/>
      </c>
      <c r="N1662" s="2">
        <f>IF(E1662="","",IF(LEFT(E1662,7)="SUBSOLO",-1,IF(LEFT(E1662,6)="TÉRREO",0,IFERROR(VALUE(LEFT(E1662,FIND("º",SUBSTITUTE(E1662,"°","º"))-1)),""))))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M1663" s="2">
        <f>IF(C1663="","",IFERROR(INDEX($S$5:$S$304,MATCH(C1663,$R$5:$R$304,0))&amp;"","?"))</f>
        <v/>
      </c>
      <c r="N1663" s="2">
        <f>IF(E1663="","",IF(LEFT(E1663,7)="SUBSOLO",-1,IF(LEFT(E1663,6)="TÉRREO",0,IFERROR(VALUE(LEFT(E1663,FIND("º",SUBSTITUTE(E1663,"°","º"))-1)),""))))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M1664" s="2">
        <f>IF(C1664="","",IFERROR(INDEX($S$5:$S$304,MATCH(C1664,$R$5:$R$304,0))&amp;"","?"))</f>
        <v/>
      </c>
      <c r="N1664" s="2">
        <f>IF(E1664="","",IF(LEFT(E1664,7)="SUBSOLO",-1,IF(LEFT(E1664,6)="TÉRREO",0,IFERROR(VALUE(LEFT(E1664,FIND("º",SUBSTITUTE(E1664,"°","º"))-1)),""))))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M1665" s="2">
        <f>IF(C1665="","",IFERROR(INDEX($S$5:$S$304,MATCH(C1665,$R$5:$R$304,0))&amp;"","?"))</f>
        <v/>
      </c>
      <c r="N1665" s="2">
        <f>IF(E1665="","",IF(LEFT(E1665,7)="SUBSOLO",-1,IF(LEFT(E1665,6)="TÉRREO",0,IFERROR(VALUE(LEFT(E1665,FIND("º",SUBSTITUTE(E1665,"°","º"))-1)),""))))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M1666" s="2">
        <f>IF(C1666="","",IFERROR(INDEX($S$5:$S$304,MATCH(C1666,$R$5:$R$304,0))&amp;"","?"))</f>
        <v/>
      </c>
      <c r="N1666" s="2">
        <f>IF(E1666="","",IF(LEFT(E1666,7)="SUBSOLO",-1,IF(LEFT(E1666,6)="TÉRREO",0,IFERROR(VALUE(LEFT(E1666,FIND("º",SUBSTITUTE(E1666,"°","º"))-1)),""))))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M1667" s="2">
        <f>IF(C1667="","",IFERROR(INDEX($S$5:$S$304,MATCH(C1667,$R$5:$R$304,0))&amp;"","?"))</f>
        <v/>
      </c>
      <c r="N1667" s="2">
        <f>IF(E1667="","",IF(LEFT(E1667,7)="SUBSOLO",-1,IF(LEFT(E1667,6)="TÉRREO",0,IFERROR(VALUE(LEFT(E1667,FIND("º",SUBSTITUTE(E1667,"°","º"))-1)),""))))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M1668" s="2">
        <f>IF(C1668="","",IFERROR(INDEX($S$5:$S$304,MATCH(C1668,$R$5:$R$304,0))&amp;"","?"))</f>
        <v/>
      </c>
      <c r="N1668" s="2">
        <f>IF(E1668="","",IF(LEFT(E1668,7)="SUBSOLO",-1,IF(LEFT(E1668,6)="TÉRREO",0,IFERROR(VALUE(LEFT(E1668,FIND("º",SUBSTITUTE(E1668,"°","º"))-1)),""))))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M1669" s="2">
        <f>IF(C1669="","",IFERROR(INDEX($S$5:$S$304,MATCH(C1669,$R$5:$R$304,0))&amp;"","?"))</f>
        <v/>
      </c>
      <c r="N1669" s="2">
        <f>IF(E1669="","",IF(LEFT(E1669,7)="SUBSOLO",-1,IF(LEFT(E1669,6)="TÉRREO",0,IFERROR(VALUE(LEFT(E1669,FIND("º",SUBSTITUTE(E1669,"°","º"))-1)),""))))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M1670" s="2">
        <f>IF(C1670="","",IFERROR(INDEX($S$5:$S$304,MATCH(C1670,$R$5:$R$304,0))&amp;"","?"))</f>
        <v/>
      </c>
      <c r="N1670" s="2">
        <f>IF(E1670="","",IF(LEFT(E1670,7)="SUBSOLO",-1,IF(LEFT(E1670,6)="TÉRREO",0,IFERROR(VALUE(LEFT(E1670,FIND("º",SUBSTITUTE(E1670,"°","º"))-1)),""))))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M1671" s="2">
        <f>IF(C1671="","",IFERROR(INDEX($S$5:$S$304,MATCH(C1671,$R$5:$R$304,0))&amp;"","?"))</f>
        <v/>
      </c>
      <c r="N1671" s="2">
        <f>IF(E1671="","",IF(LEFT(E1671,7)="SUBSOLO",-1,IF(LEFT(E1671,6)="TÉRREO",0,IFERROR(VALUE(LEFT(E1671,FIND("º",SUBSTITUTE(E1671,"°","º"))-1)),""))))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M1672" s="2">
        <f>IF(C1672="","",IFERROR(INDEX($S$5:$S$304,MATCH(C1672,$R$5:$R$304,0))&amp;"","?"))</f>
        <v/>
      </c>
      <c r="N1672" s="2">
        <f>IF(E1672="","",IF(LEFT(E1672,7)="SUBSOLO",-1,IF(LEFT(E1672,6)="TÉRREO",0,IFERROR(VALUE(LEFT(E1672,FIND("º",SUBSTITUTE(E1672,"°","º"))-1)),""))))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M1673" s="2">
        <f>IF(C1673="","",IFERROR(INDEX($S$5:$S$304,MATCH(C1673,$R$5:$R$304,0))&amp;"","?"))</f>
        <v/>
      </c>
      <c r="N1673" s="2">
        <f>IF(E1673="","",IF(LEFT(E1673,7)="SUBSOLO",-1,IF(LEFT(E1673,6)="TÉRREO",0,IFERROR(VALUE(LEFT(E1673,FIND("º",SUBSTITUTE(E1673,"°","º"))-1)),""))))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M1674" s="2">
        <f>IF(C1674="","",IFERROR(INDEX($S$5:$S$304,MATCH(C1674,$R$5:$R$304,0))&amp;"","?"))</f>
        <v/>
      </c>
      <c r="N1674" s="2">
        <f>IF(E1674="","",IF(LEFT(E1674,7)="SUBSOLO",-1,IF(LEFT(E1674,6)="TÉRREO",0,IFERROR(VALUE(LEFT(E1674,FIND("º",SUBSTITUTE(E1674,"°","º"))-1)),""))))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M1675" s="2">
        <f>IF(C1675="","",IFERROR(INDEX($S$5:$S$304,MATCH(C1675,$R$5:$R$304,0))&amp;"","?"))</f>
        <v/>
      </c>
      <c r="N1675" s="2">
        <f>IF(E1675="","",IF(LEFT(E1675,7)="SUBSOLO",-1,IF(LEFT(E1675,6)="TÉRREO",0,IFERROR(VALUE(LEFT(E1675,FIND("º",SUBSTITUTE(E1675,"°","º"))-1)),""))))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M1676" s="2">
        <f>IF(C1676="","",IFERROR(INDEX($S$5:$S$304,MATCH(C1676,$R$5:$R$304,0))&amp;"","?"))</f>
        <v/>
      </c>
      <c r="N1676" s="2">
        <f>IF(E1676="","",IF(LEFT(E1676,7)="SUBSOLO",-1,IF(LEFT(E1676,6)="TÉRREO",0,IFERROR(VALUE(LEFT(E1676,FIND("º",SUBSTITUTE(E1676,"°","º"))-1)),""))))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M1677" s="2">
        <f>IF(C1677="","",IFERROR(INDEX($S$5:$S$304,MATCH(C1677,$R$5:$R$304,0))&amp;"","?"))</f>
        <v/>
      </c>
      <c r="N1677" s="2">
        <f>IF(E1677="","",IF(LEFT(E1677,7)="SUBSOLO",-1,IF(LEFT(E1677,6)="TÉRREO",0,IFERROR(VALUE(LEFT(E1677,FIND("º",SUBSTITUTE(E1677,"°","º"))-1)),""))))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M1678" s="2">
        <f>IF(C1678="","",IFERROR(INDEX($S$5:$S$304,MATCH(C1678,$R$5:$R$304,0))&amp;"","?"))</f>
        <v/>
      </c>
      <c r="N1678" s="2">
        <f>IF(E1678="","",IF(LEFT(E1678,7)="SUBSOLO",-1,IF(LEFT(E1678,6)="TÉRREO",0,IFERROR(VALUE(LEFT(E1678,FIND("º",SUBSTITUTE(E1678,"°","º"))-1)),""))))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M1679" s="2">
        <f>IF(C1679="","",IFERROR(INDEX($S$5:$S$304,MATCH(C1679,$R$5:$R$304,0))&amp;"","?"))</f>
        <v/>
      </c>
      <c r="N1679" s="2">
        <f>IF(E1679="","",IF(LEFT(E1679,7)="SUBSOLO",-1,IF(LEFT(E1679,6)="TÉRREO",0,IFERROR(VALUE(LEFT(E1679,FIND("º",SUBSTITUTE(E1679,"°","º"))-1)),""))))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M1680" s="2">
        <f>IF(C1680="","",IFERROR(INDEX($S$5:$S$304,MATCH(C1680,$R$5:$R$304,0))&amp;"","?"))</f>
        <v/>
      </c>
      <c r="N1680" s="2">
        <f>IF(E1680="","",IF(LEFT(E1680,7)="SUBSOLO",-1,IF(LEFT(E1680,6)="TÉRREO",0,IFERROR(VALUE(LEFT(E1680,FIND("º",SUBSTITUTE(E1680,"°","º"))-1)),""))))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M1681" s="2">
        <f>IF(C1681="","",IFERROR(INDEX($S$5:$S$304,MATCH(C1681,$R$5:$R$304,0))&amp;"","?"))</f>
        <v/>
      </c>
      <c r="N1681" s="2">
        <f>IF(E1681="","",IF(LEFT(E1681,7)="SUBSOLO",-1,IF(LEFT(E1681,6)="TÉRREO",0,IFERROR(VALUE(LEFT(E1681,FIND("º",SUBSTITUTE(E1681,"°","º"))-1)),""))))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M1682" s="2">
        <f>IF(C1682="","",IFERROR(INDEX($S$5:$S$304,MATCH(C1682,$R$5:$R$304,0))&amp;"","?"))</f>
        <v/>
      </c>
      <c r="N1682" s="2">
        <f>IF(E1682="","",IF(LEFT(E1682,7)="SUBSOLO",-1,IF(LEFT(E1682,6)="TÉRREO",0,IFERROR(VALUE(LEFT(E1682,FIND("º",SUBSTITUTE(E1682,"°","º"))-1)),""))))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M1683" s="2">
        <f>IF(C1683="","",IFERROR(INDEX($S$5:$S$304,MATCH(C1683,$R$5:$R$304,0))&amp;"","?"))</f>
        <v/>
      </c>
      <c r="N1683" s="2">
        <f>IF(E1683="","",IF(LEFT(E1683,7)="SUBSOLO",-1,IF(LEFT(E1683,6)="TÉRREO",0,IFERROR(VALUE(LEFT(E1683,FIND("º",SUBSTITUTE(E1683,"°","º"))-1)),""))))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M1684" s="2">
        <f>IF(C1684="","",IFERROR(INDEX($S$5:$S$304,MATCH(C1684,$R$5:$R$304,0))&amp;"","?"))</f>
        <v/>
      </c>
      <c r="N1684" s="2">
        <f>IF(E1684="","",IF(LEFT(E1684,7)="SUBSOLO",-1,IF(LEFT(E1684,6)="TÉRREO",0,IFERROR(VALUE(LEFT(E1684,FIND("º",SUBSTITUTE(E1684,"°","º"))-1)),""))))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M1685" s="2">
        <f>IF(C1685="","",IFERROR(INDEX($S$5:$S$304,MATCH(C1685,$R$5:$R$304,0))&amp;"","?"))</f>
        <v/>
      </c>
      <c r="N1685" s="2">
        <f>IF(E1685="","",IF(LEFT(E1685,7)="SUBSOLO",-1,IF(LEFT(E1685,6)="TÉRREO",0,IFERROR(VALUE(LEFT(E1685,FIND("º",SUBSTITUTE(E1685,"°","º"))-1)),""))))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M1686" s="2">
        <f>IF(C1686="","",IFERROR(INDEX($S$5:$S$304,MATCH(C1686,$R$5:$R$304,0))&amp;"","?"))</f>
        <v/>
      </c>
      <c r="N1686" s="2">
        <f>IF(E1686="","",IF(LEFT(E1686,7)="SUBSOLO",-1,IF(LEFT(E1686,6)="TÉRREO",0,IFERROR(VALUE(LEFT(E1686,FIND("º",SUBSTITUTE(E1686,"°","º"))-1)),""))))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M1687" s="2">
        <f>IF(C1687="","",IFERROR(INDEX($S$5:$S$304,MATCH(C1687,$R$5:$R$304,0))&amp;"","?"))</f>
        <v/>
      </c>
      <c r="N1687" s="2">
        <f>IF(E1687="","",IF(LEFT(E1687,7)="SUBSOLO",-1,IF(LEFT(E1687,6)="TÉRREO",0,IFERROR(VALUE(LEFT(E1687,FIND("º",SUBSTITUTE(E1687,"°","º"))-1)),""))))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M1688" s="2">
        <f>IF(C1688="","",IFERROR(INDEX($S$5:$S$304,MATCH(C1688,$R$5:$R$304,0))&amp;"","?"))</f>
        <v/>
      </c>
      <c r="N1688" s="2">
        <f>IF(E1688="","",IF(LEFT(E1688,7)="SUBSOLO",-1,IF(LEFT(E1688,6)="TÉRREO",0,IFERROR(VALUE(LEFT(E1688,FIND("º",SUBSTITUTE(E1688,"°","º"))-1)),""))))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M1689" s="2">
        <f>IF(C1689="","",IFERROR(INDEX($S$5:$S$304,MATCH(C1689,$R$5:$R$304,0))&amp;"","?"))</f>
        <v/>
      </c>
      <c r="N1689" s="2">
        <f>IF(E1689="","",IF(LEFT(E1689,7)="SUBSOLO",-1,IF(LEFT(E1689,6)="TÉRREO",0,IFERROR(VALUE(LEFT(E1689,FIND("º",SUBSTITUTE(E1689,"°","º"))-1)),""))))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M1690" s="2">
        <f>IF(C1690="","",IFERROR(INDEX($S$5:$S$304,MATCH(C1690,$R$5:$R$304,0))&amp;"","?"))</f>
        <v/>
      </c>
      <c r="N1690" s="2">
        <f>IF(E1690="","",IF(LEFT(E1690,7)="SUBSOLO",-1,IF(LEFT(E1690,6)="TÉRREO",0,IFERROR(VALUE(LEFT(E1690,FIND("º",SUBSTITUTE(E1690,"°","º"))-1)),""))))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M1691" s="2">
        <f>IF(C1691="","",IFERROR(INDEX($S$5:$S$304,MATCH(C1691,$R$5:$R$304,0))&amp;"","?"))</f>
        <v/>
      </c>
      <c r="N1691" s="2">
        <f>IF(E1691="","",IF(LEFT(E1691,7)="SUBSOLO",-1,IF(LEFT(E1691,6)="TÉRREO",0,IFERROR(VALUE(LEFT(E1691,FIND("º",SUBSTITUTE(E1691,"°","º"))-1)),""))))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M1692" s="2">
        <f>IF(C1692="","",IFERROR(INDEX($S$5:$S$304,MATCH(C1692,$R$5:$R$304,0))&amp;"","?"))</f>
        <v/>
      </c>
      <c r="N1692" s="2">
        <f>IF(E1692="","",IF(LEFT(E1692,7)="SUBSOLO",-1,IF(LEFT(E1692,6)="TÉRREO",0,IFERROR(VALUE(LEFT(E1692,FIND("º",SUBSTITUTE(E1692,"°","º"))-1)),""))))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M1693" s="2">
        <f>IF(C1693="","",IFERROR(INDEX($S$5:$S$304,MATCH(C1693,$R$5:$R$304,0))&amp;"","?"))</f>
        <v/>
      </c>
      <c r="N1693" s="2">
        <f>IF(E1693="","",IF(LEFT(E1693,7)="SUBSOLO",-1,IF(LEFT(E1693,6)="TÉRREO",0,IFERROR(VALUE(LEFT(E1693,FIND("º",SUBSTITUTE(E1693,"°","º"))-1)),""))))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M1694" s="2">
        <f>IF(C1694="","",IFERROR(INDEX($S$5:$S$304,MATCH(C1694,$R$5:$R$304,0))&amp;"","?"))</f>
        <v/>
      </c>
      <c r="N1694" s="2">
        <f>IF(E1694="","",IF(LEFT(E1694,7)="SUBSOLO",-1,IF(LEFT(E1694,6)="TÉRREO",0,IFERROR(VALUE(LEFT(E1694,FIND("º",SUBSTITUTE(E1694,"°","º"))-1)),""))))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M1695" s="2">
        <f>IF(C1695="","",IFERROR(INDEX($S$5:$S$304,MATCH(C1695,$R$5:$R$304,0))&amp;"","?"))</f>
        <v/>
      </c>
      <c r="N1695" s="2">
        <f>IF(E1695="","",IF(LEFT(E1695,7)="SUBSOLO",-1,IF(LEFT(E1695,6)="TÉRREO",0,IFERROR(VALUE(LEFT(E1695,FIND("º",SUBSTITUTE(E1695,"°","º"))-1)),""))))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M1696" s="2">
        <f>IF(C1696="","",IFERROR(INDEX($S$5:$S$304,MATCH(C1696,$R$5:$R$304,0))&amp;"","?"))</f>
        <v/>
      </c>
      <c r="N1696" s="2">
        <f>IF(E1696="","",IF(LEFT(E1696,7)="SUBSOLO",-1,IF(LEFT(E1696,6)="TÉRREO",0,IFERROR(VALUE(LEFT(E1696,FIND("º",SUBSTITUTE(E1696,"°","º"))-1)),""))))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M1697" s="2">
        <f>IF(C1697="","",IFERROR(INDEX($S$5:$S$304,MATCH(C1697,$R$5:$R$304,0))&amp;"","?"))</f>
        <v/>
      </c>
      <c r="N1697" s="2">
        <f>IF(E1697="","",IF(LEFT(E1697,7)="SUBSOLO",-1,IF(LEFT(E1697,6)="TÉRREO",0,IFERROR(VALUE(LEFT(E1697,FIND("º",SUBSTITUTE(E1697,"°","º"))-1)),""))))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M1698" s="2">
        <f>IF(C1698="","",IFERROR(INDEX($S$5:$S$304,MATCH(C1698,$R$5:$R$304,0))&amp;"","?"))</f>
        <v/>
      </c>
      <c r="N1698" s="2">
        <f>IF(E1698="","",IF(LEFT(E1698,7)="SUBSOLO",-1,IF(LEFT(E1698,6)="TÉRREO",0,IFERROR(VALUE(LEFT(E1698,FIND("º",SUBSTITUTE(E1698,"°","º"))-1)),""))))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M1699" s="2">
        <f>IF(C1699="","",IFERROR(INDEX($S$5:$S$304,MATCH(C1699,$R$5:$R$304,0))&amp;"","?"))</f>
        <v/>
      </c>
      <c r="N1699" s="2">
        <f>IF(E1699="","",IF(LEFT(E1699,7)="SUBSOLO",-1,IF(LEFT(E1699,6)="TÉRREO",0,IFERROR(VALUE(LEFT(E1699,FIND("º",SUBSTITUTE(E1699,"°","º"))-1)),""))))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M1700" s="2">
        <f>IF(C1700="","",IFERROR(INDEX($S$5:$S$304,MATCH(C1700,$R$5:$R$304,0))&amp;"","?"))</f>
        <v/>
      </c>
      <c r="N1700" s="2">
        <f>IF(E1700="","",IF(LEFT(E1700,7)="SUBSOLO",-1,IF(LEFT(E1700,6)="TÉRREO",0,IFERROR(VALUE(LEFT(E1700,FIND("º",SUBSTITUTE(E1700,"°","º"))-1)),""))))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M1701" s="2">
        <f>IF(C1701="","",IFERROR(INDEX($S$5:$S$304,MATCH(C1701,$R$5:$R$304,0))&amp;"","?"))</f>
        <v/>
      </c>
      <c r="N1701" s="2">
        <f>IF(E1701="","",IF(LEFT(E1701,7)="SUBSOLO",-1,IF(LEFT(E1701,6)="TÉRREO",0,IFERROR(VALUE(LEFT(E1701,FIND("º",SUBSTITUTE(E1701,"°","º"))-1)),""))))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M1702" s="2">
        <f>IF(C1702="","",IFERROR(INDEX($S$5:$S$304,MATCH(C1702,$R$5:$R$304,0))&amp;"","?"))</f>
        <v/>
      </c>
      <c r="N1702" s="2">
        <f>IF(E1702="","",IF(LEFT(E1702,7)="SUBSOLO",-1,IF(LEFT(E1702,6)="TÉRREO",0,IFERROR(VALUE(LEFT(E1702,FIND("º",SUBSTITUTE(E1702,"°","º"))-1)),""))))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M1703" s="2">
        <f>IF(C1703="","",IFERROR(INDEX($S$5:$S$304,MATCH(C1703,$R$5:$R$304,0))&amp;"","?"))</f>
        <v/>
      </c>
      <c r="N1703" s="2">
        <f>IF(E1703="","",IF(LEFT(E1703,7)="SUBSOLO",-1,IF(LEFT(E1703,6)="TÉRREO",0,IFERROR(VALUE(LEFT(E1703,FIND("º",SUBSTITUTE(E1703,"°","º"))-1)),""))))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M1704" s="2">
        <f>IF(C1704="","",IFERROR(INDEX($S$5:$S$304,MATCH(C1704,$R$5:$R$304,0))&amp;"","?"))</f>
        <v/>
      </c>
      <c r="N1704" s="2">
        <f>IF(E1704="","",IF(LEFT(E1704,7)="SUBSOLO",-1,IF(LEFT(E1704,6)="TÉRREO",0,IFERROR(VALUE(LEFT(E1704,FIND("º",SUBSTITUTE(E1704,"°","º"))-1)),""))))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M1705" s="2">
        <f>IF(C1705="","",IFERROR(INDEX($S$5:$S$304,MATCH(C1705,$R$5:$R$304,0))&amp;"","?"))</f>
        <v/>
      </c>
      <c r="N1705" s="2">
        <f>IF(E1705="","",IF(LEFT(E1705,7)="SUBSOLO",-1,IF(LEFT(E1705,6)="TÉRREO",0,IFERROR(VALUE(LEFT(E1705,FIND("º",SUBSTITUTE(E1705,"°","º"))-1)),""))))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M1706" s="2">
        <f>IF(C1706="","",IFERROR(INDEX($S$5:$S$304,MATCH(C1706,$R$5:$R$304,0))&amp;"","?"))</f>
        <v/>
      </c>
      <c r="N1706" s="2">
        <f>IF(E1706="","",IF(LEFT(E1706,7)="SUBSOLO",-1,IF(LEFT(E1706,6)="TÉRREO",0,IFERROR(VALUE(LEFT(E1706,FIND("º",SUBSTITUTE(E1706,"°","º"))-1)),""))))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M1707" s="2">
        <f>IF(C1707="","",IFERROR(INDEX($S$5:$S$304,MATCH(C1707,$R$5:$R$304,0))&amp;"","?"))</f>
        <v/>
      </c>
      <c r="N1707" s="2">
        <f>IF(E1707="","",IF(LEFT(E1707,7)="SUBSOLO",-1,IF(LEFT(E1707,6)="TÉRREO",0,IFERROR(VALUE(LEFT(E1707,FIND("º",SUBSTITUTE(E1707,"°","º"))-1)),""))))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M1708" s="2">
        <f>IF(C1708="","",IFERROR(INDEX($S$5:$S$304,MATCH(C1708,$R$5:$R$304,0))&amp;"","?"))</f>
        <v/>
      </c>
      <c r="N1708" s="2">
        <f>IF(E1708="","",IF(LEFT(E1708,7)="SUBSOLO",-1,IF(LEFT(E1708,6)="TÉRREO",0,IFERROR(VALUE(LEFT(E1708,FIND("º",SUBSTITUTE(E1708,"°","º"))-1)),""))))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M1709" s="2">
        <f>IF(C1709="","",IFERROR(INDEX($S$5:$S$304,MATCH(C1709,$R$5:$R$304,0))&amp;"","?"))</f>
        <v/>
      </c>
      <c r="N1709" s="2">
        <f>IF(E1709="","",IF(LEFT(E1709,7)="SUBSOLO",-1,IF(LEFT(E1709,6)="TÉRREO",0,IFERROR(VALUE(LEFT(E1709,FIND("º",SUBSTITUTE(E1709,"°","º"))-1)),""))))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M1710" s="2">
        <f>IF(C1710="","",IFERROR(INDEX($S$5:$S$304,MATCH(C1710,$R$5:$R$304,0))&amp;"","?"))</f>
        <v/>
      </c>
      <c r="N1710" s="2">
        <f>IF(E1710="","",IF(LEFT(E1710,7)="SUBSOLO",-1,IF(LEFT(E1710,6)="TÉRREO",0,IFERROR(VALUE(LEFT(E1710,FIND("º",SUBSTITUTE(E1710,"°","º"))-1)),""))))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M1711" s="2">
        <f>IF(C1711="","",IFERROR(INDEX($S$5:$S$304,MATCH(C1711,$R$5:$R$304,0))&amp;"","?"))</f>
        <v/>
      </c>
      <c r="N1711" s="2">
        <f>IF(E1711="","",IF(LEFT(E1711,7)="SUBSOLO",-1,IF(LEFT(E1711,6)="TÉRREO",0,IFERROR(VALUE(LEFT(E1711,FIND("º",SUBSTITUTE(E1711,"°","º"))-1)),""))))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M1712" s="2">
        <f>IF(C1712="","",IFERROR(INDEX($S$5:$S$304,MATCH(C1712,$R$5:$R$304,0))&amp;"","?"))</f>
        <v/>
      </c>
      <c r="N1712" s="2">
        <f>IF(E1712="","",IF(LEFT(E1712,7)="SUBSOLO",-1,IF(LEFT(E1712,6)="TÉRREO",0,IFERROR(VALUE(LEFT(E1712,FIND("º",SUBSTITUTE(E1712,"°","º"))-1)),""))))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M1713" s="2">
        <f>IF(C1713="","",IFERROR(INDEX($S$5:$S$304,MATCH(C1713,$R$5:$R$304,0))&amp;"","?"))</f>
        <v/>
      </c>
      <c r="N1713" s="2">
        <f>IF(E1713="","",IF(LEFT(E1713,7)="SUBSOLO",-1,IF(LEFT(E1713,6)="TÉRREO",0,IFERROR(VALUE(LEFT(E1713,FIND("º",SUBSTITUTE(E1713,"°","º"))-1)),""))))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M1714" s="2">
        <f>IF(C1714="","",IFERROR(INDEX($S$5:$S$304,MATCH(C1714,$R$5:$R$304,0))&amp;"","?"))</f>
        <v/>
      </c>
      <c r="N1714" s="2">
        <f>IF(E1714="","",IF(LEFT(E1714,7)="SUBSOLO",-1,IF(LEFT(E1714,6)="TÉRREO",0,IFERROR(VALUE(LEFT(E1714,FIND("º",SUBSTITUTE(E1714,"°","º"))-1)),""))))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M1715" s="2">
        <f>IF(C1715="","",IFERROR(INDEX($S$5:$S$304,MATCH(C1715,$R$5:$R$304,0))&amp;"","?"))</f>
        <v/>
      </c>
      <c r="N1715" s="2">
        <f>IF(E1715="","",IF(LEFT(E1715,7)="SUBSOLO",-1,IF(LEFT(E1715,6)="TÉRREO",0,IFERROR(VALUE(LEFT(E1715,FIND("º",SUBSTITUTE(E1715,"°","º"))-1)),""))))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M1716" s="2">
        <f>IF(C1716="","",IFERROR(INDEX($S$5:$S$304,MATCH(C1716,$R$5:$R$304,0))&amp;"","?"))</f>
        <v/>
      </c>
      <c r="N1716" s="2">
        <f>IF(E1716="","",IF(LEFT(E1716,7)="SUBSOLO",-1,IF(LEFT(E1716,6)="TÉRREO",0,IFERROR(VALUE(LEFT(E1716,FIND("º",SUBSTITUTE(E1716,"°","º"))-1)),""))))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M1717" s="2">
        <f>IF(C1717="","",IFERROR(INDEX($S$5:$S$304,MATCH(C1717,$R$5:$R$304,0))&amp;"","?"))</f>
        <v/>
      </c>
      <c r="N1717" s="2">
        <f>IF(E1717="","",IF(LEFT(E1717,7)="SUBSOLO",-1,IF(LEFT(E1717,6)="TÉRREO",0,IFERROR(VALUE(LEFT(E1717,FIND("º",SUBSTITUTE(E1717,"°","º"))-1)),""))))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M1718" s="2">
        <f>IF(C1718="","",IFERROR(INDEX($S$5:$S$304,MATCH(C1718,$R$5:$R$304,0))&amp;"","?"))</f>
        <v/>
      </c>
      <c r="N1718" s="2">
        <f>IF(E1718="","",IF(LEFT(E1718,7)="SUBSOLO",-1,IF(LEFT(E1718,6)="TÉRREO",0,IFERROR(VALUE(LEFT(E1718,FIND("º",SUBSTITUTE(E1718,"°","º"))-1)),""))))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M1719" s="2">
        <f>IF(C1719="","",IFERROR(INDEX($S$5:$S$304,MATCH(C1719,$R$5:$R$304,0))&amp;"","?"))</f>
        <v/>
      </c>
      <c r="N1719" s="2">
        <f>IF(E1719="","",IF(LEFT(E1719,7)="SUBSOLO",-1,IF(LEFT(E1719,6)="TÉRREO",0,IFERROR(VALUE(LEFT(E1719,FIND("º",SUBSTITUTE(E1719,"°","º"))-1)),""))))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M1720" s="2">
        <f>IF(C1720="","",IFERROR(INDEX($S$5:$S$304,MATCH(C1720,$R$5:$R$304,0))&amp;"","?"))</f>
        <v/>
      </c>
      <c r="N1720" s="2">
        <f>IF(E1720="","",IF(LEFT(E1720,7)="SUBSOLO",-1,IF(LEFT(E1720,6)="TÉRREO",0,IFERROR(VALUE(LEFT(E1720,FIND("º",SUBSTITUTE(E1720,"°","º"))-1)),""))))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M1721" s="2">
        <f>IF(C1721="","",IFERROR(INDEX($S$5:$S$304,MATCH(C1721,$R$5:$R$304,0))&amp;"","?"))</f>
        <v/>
      </c>
      <c r="N1721" s="2">
        <f>IF(E1721="","",IF(LEFT(E1721,7)="SUBSOLO",-1,IF(LEFT(E1721,6)="TÉRREO",0,IFERROR(VALUE(LEFT(E1721,FIND("º",SUBSTITUTE(E1721,"°","º"))-1)),""))))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M1722" s="2">
        <f>IF(C1722="","",IFERROR(INDEX($S$5:$S$304,MATCH(C1722,$R$5:$R$304,0))&amp;"","?"))</f>
        <v/>
      </c>
      <c r="N1722" s="2">
        <f>IF(E1722="","",IF(LEFT(E1722,7)="SUBSOLO",-1,IF(LEFT(E1722,6)="TÉRREO",0,IFERROR(VALUE(LEFT(E1722,FIND("º",SUBSTITUTE(E1722,"°","º"))-1)),""))))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M1723" s="2">
        <f>IF(C1723="","",IFERROR(INDEX($S$5:$S$304,MATCH(C1723,$R$5:$R$304,0))&amp;"","?"))</f>
        <v/>
      </c>
      <c r="N1723" s="2">
        <f>IF(E1723="","",IF(LEFT(E1723,7)="SUBSOLO",-1,IF(LEFT(E1723,6)="TÉRREO",0,IFERROR(VALUE(LEFT(E1723,FIND("º",SUBSTITUTE(E1723,"°","º"))-1)),""))))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M1724" s="2">
        <f>IF(C1724="","",IFERROR(INDEX($S$5:$S$304,MATCH(C1724,$R$5:$R$304,0))&amp;"","?"))</f>
        <v/>
      </c>
      <c r="N1724" s="2">
        <f>IF(E1724="","",IF(LEFT(E1724,7)="SUBSOLO",-1,IF(LEFT(E1724,6)="TÉRREO",0,IFERROR(VALUE(LEFT(E1724,FIND("º",SUBSTITUTE(E1724,"°","º"))-1)),""))))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M1725" s="2">
        <f>IF(C1725="","",IFERROR(INDEX($S$5:$S$304,MATCH(C1725,$R$5:$R$304,0))&amp;"","?"))</f>
        <v/>
      </c>
      <c r="N1725" s="2">
        <f>IF(E1725="","",IF(LEFT(E1725,7)="SUBSOLO",-1,IF(LEFT(E1725,6)="TÉRREO",0,IFERROR(VALUE(LEFT(E1725,FIND("º",SUBSTITUTE(E1725,"°","º"))-1)),""))))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M1726" s="2">
        <f>IF(C1726="","",IFERROR(INDEX($S$5:$S$304,MATCH(C1726,$R$5:$R$304,0))&amp;"","?"))</f>
        <v/>
      </c>
      <c r="N1726" s="2">
        <f>IF(E1726="","",IF(LEFT(E1726,7)="SUBSOLO",-1,IF(LEFT(E1726,6)="TÉRREO",0,IFERROR(VALUE(LEFT(E1726,FIND("º",SUBSTITUTE(E1726,"°","º"))-1)),""))))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M1727" s="2">
        <f>IF(C1727="","",IFERROR(INDEX($S$5:$S$304,MATCH(C1727,$R$5:$R$304,0))&amp;"","?"))</f>
        <v/>
      </c>
      <c r="N1727" s="2">
        <f>IF(E1727="","",IF(LEFT(E1727,7)="SUBSOLO",-1,IF(LEFT(E1727,6)="TÉRREO",0,IFERROR(VALUE(LEFT(E1727,FIND("º",SUBSTITUTE(E1727,"°","º"))-1)),""))))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M1728" s="2">
        <f>IF(C1728="","",IFERROR(INDEX($S$5:$S$304,MATCH(C1728,$R$5:$R$304,0))&amp;"","?"))</f>
        <v/>
      </c>
      <c r="N1728" s="2">
        <f>IF(E1728="","",IF(LEFT(E1728,7)="SUBSOLO",-1,IF(LEFT(E1728,6)="TÉRREO",0,IFERROR(VALUE(LEFT(E1728,FIND("º",SUBSTITUTE(E1728,"°","º"))-1)),""))))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M1729" s="2">
        <f>IF(C1729="","",IFERROR(INDEX($S$5:$S$304,MATCH(C1729,$R$5:$R$304,0))&amp;"","?"))</f>
        <v/>
      </c>
      <c r="N1729" s="2">
        <f>IF(E1729="","",IF(LEFT(E1729,7)="SUBSOLO",-1,IF(LEFT(E1729,6)="TÉRREO",0,IFERROR(VALUE(LEFT(E1729,FIND("º",SUBSTITUTE(E1729,"°","º"))-1)),""))))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M1730" s="2">
        <f>IF(C1730="","",IFERROR(INDEX($S$5:$S$304,MATCH(C1730,$R$5:$R$304,0))&amp;"","?"))</f>
        <v/>
      </c>
      <c r="N1730" s="2">
        <f>IF(E1730="","",IF(LEFT(E1730,7)="SUBSOLO",-1,IF(LEFT(E1730,6)="TÉRREO",0,IFERROR(VALUE(LEFT(E1730,FIND("º",SUBSTITUTE(E1730,"°","º"))-1)),""))))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M1731" s="2">
        <f>IF(C1731="","",IFERROR(INDEX($S$5:$S$304,MATCH(C1731,$R$5:$R$304,0))&amp;"","?"))</f>
        <v/>
      </c>
      <c r="N1731" s="2">
        <f>IF(E1731="","",IF(LEFT(E1731,7)="SUBSOLO",-1,IF(LEFT(E1731,6)="TÉRREO",0,IFERROR(VALUE(LEFT(E1731,FIND("º",SUBSTITUTE(E1731,"°","º"))-1)),""))))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M1732" s="2">
        <f>IF(C1732="","",IFERROR(INDEX($S$5:$S$304,MATCH(C1732,$R$5:$R$304,0))&amp;"","?"))</f>
        <v/>
      </c>
      <c r="N1732" s="2">
        <f>IF(E1732="","",IF(LEFT(E1732,7)="SUBSOLO",-1,IF(LEFT(E1732,6)="TÉRREO",0,IFERROR(VALUE(LEFT(E1732,FIND("º",SUBSTITUTE(E1732,"°","º"))-1)),""))))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M1733" s="2">
        <f>IF(C1733="","",IFERROR(INDEX($S$5:$S$304,MATCH(C1733,$R$5:$R$304,0))&amp;"","?"))</f>
        <v/>
      </c>
      <c r="N1733" s="2">
        <f>IF(E1733="","",IF(LEFT(E1733,7)="SUBSOLO",-1,IF(LEFT(E1733,6)="TÉRREO",0,IFERROR(VALUE(LEFT(E1733,FIND("º",SUBSTITUTE(E1733,"°","º"))-1)),""))))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M1734" s="2">
        <f>IF(C1734="","",IFERROR(INDEX($S$5:$S$304,MATCH(C1734,$R$5:$R$304,0))&amp;"","?"))</f>
        <v/>
      </c>
      <c r="N1734" s="2">
        <f>IF(E1734="","",IF(LEFT(E1734,7)="SUBSOLO",-1,IF(LEFT(E1734,6)="TÉRREO",0,IFERROR(VALUE(LEFT(E1734,FIND("º",SUBSTITUTE(E1734,"°","º"))-1)),""))))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M1735" s="2">
        <f>IF(C1735="","",IFERROR(INDEX($S$5:$S$304,MATCH(C1735,$R$5:$R$304,0))&amp;"","?"))</f>
        <v/>
      </c>
      <c r="N1735" s="2">
        <f>IF(E1735="","",IF(LEFT(E1735,7)="SUBSOLO",-1,IF(LEFT(E1735,6)="TÉRREO",0,IFERROR(VALUE(LEFT(E1735,FIND("º",SUBSTITUTE(E1735,"°","º"))-1)),""))))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M1736" s="2">
        <f>IF(C1736="","",IFERROR(INDEX($S$5:$S$304,MATCH(C1736,$R$5:$R$304,0))&amp;"","?"))</f>
        <v/>
      </c>
      <c r="N1736" s="2">
        <f>IF(E1736="","",IF(LEFT(E1736,7)="SUBSOLO",-1,IF(LEFT(E1736,6)="TÉRREO",0,IFERROR(VALUE(LEFT(E1736,FIND("º",SUBSTITUTE(E1736,"°","º"))-1)),""))))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M1737" s="2">
        <f>IF(C1737="","",IFERROR(INDEX($S$5:$S$304,MATCH(C1737,$R$5:$R$304,0))&amp;"","?"))</f>
        <v/>
      </c>
      <c r="N1737" s="2">
        <f>IF(E1737="","",IF(LEFT(E1737,7)="SUBSOLO",-1,IF(LEFT(E1737,6)="TÉRREO",0,IFERROR(VALUE(LEFT(E1737,FIND("º",SUBSTITUTE(E1737,"°","º"))-1)),""))))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M1738" s="2">
        <f>IF(C1738="","",IFERROR(INDEX($S$5:$S$304,MATCH(C1738,$R$5:$R$304,0))&amp;"","?"))</f>
        <v/>
      </c>
      <c r="N1738" s="2">
        <f>IF(E1738="","",IF(LEFT(E1738,7)="SUBSOLO",-1,IF(LEFT(E1738,6)="TÉRREO",0,IFERROR(VALUE(LEFT(E1738,FIND("º",SUBSTITUTE(E1738,"°","º"))-1)),""))))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M1739" s="2">
        <f>IF(C1739="","",IFERROR(INDEX($S$5:$S$304,MATCH(C1739,$R$5:$R$304,0))&amp;"","?"))</f>
        <v/>
      </c>
      <c r="N1739" s="2">
        <f>IF(E1739="","",IF(LEFT(E1739,7)="SUBSOLO",-1,IF(LEFT(E1739,6)="TÉRREO",0,IFERROR(VALUE(LEFT(E1739,FIND("º",SUBSTITUTE(E1739,"°","º"))-1)),""))))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M1740" s="2">
        <f>IF(C1740="","",IFERROR(INDEX($S$5:$S$304,MATCH(C1740,$R$5:$R$304,0))&amp;"","?"))</f>
        <v/>
      </c>
      <c r="N1740" s="2">
        <f>IF(E1740="","",IF(LEFT(E1740,7)="SUBSOLO",-1,IF(LEFT(E1740,6)="TÉRREO",0,IFERROR(VALUE(LEFT(E1740,FIND("º",SUBSTITUTE(E1740,"°","º"))-1)),""))))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M1741" s="2">
        <f>IF(C1741="","",IFERROR(INDEX($S$5:$S$304,MATCH(C1741,$R$5:$R$304,0))&amp;"","?"))</f>
        <v/>
      </c>
      <c r="N1741" s="2">
        <f>IF(E1741="","",IF(LEFT(E1741,7)="SUBSOLO",-1,IF(LEFT(E1741,6)="TÉRREO",0,IFERROR(VALUE(LEFT(E1741,FIND("º",SUBSTITUTE(E1741,"°","º"))-1)),""))))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M1742" s="2">
        <f>IF(C1742="","",IFERROR(INDEX($S$5:$S$304,MATCH(C1742,$R$5:$R$304,0))&amp;"","?"))</f>
        <v/>
      </c>
      <c r="N1742" s="2">
        <f>IF(E1742="","",IF(LEFT(E1742,7)="SUBSOLO",-1,IF(LEFT(E1742,6)="TÉRREO",0,IFERROR(VALUE(LEFT(E1742,FIND("º",SUBSTITUTE(E1742,"°","º"))-1)),""))))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M1743" s="2">
        <f>IF(C1743="","",IFERROR(INDEX($S$5:$S$304,MATCH(C1743,$R$5:$R$304,0))&amp;"","?"))</f>
        <v/>
      </c>
      <c r="N1743" s="2">
        <f>IF(E1743="","",IF(LEFT(E1743,7)="SUBSOLO",-1,IF(LEFT(E1743,6)="TÉRREO",0,IFERROR(VALUE(LEFT(E1743,FIND("º",SUBSTITUTE(E1743,"°","º"))-1)),""))))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M1744" s="2">
        <f>IF(C1744="","",IFERROR(INDEX($S$5:$S$304,MATCH(C1744,$R$5:$R$304,0))&amp;"","?"))</f>
        <v/>
      </c>
      <c r="N1744" s="2">
        <f>IF(E1744="","",IF(LEFT(E1744,7)="SUBSOLO",-1,IF(LEFT(E1744,6)="TÉRREO",0,IFERROR(VALUE(LEFT(E1744,FIND("º",SUBSTITUTE(E1744,"°","º"))-1)),""))))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M1745" s="2">
        <f>IF(C1745="","",IFERROR(INDEX($S$5:$S$304,MATCH(C1745,$R$5:$R$304,0))&amp;"","?"))</f>
        <v/>
      </c>
      <c r="N1745" s="2">
        <f>IF(E1745="","",IF(LEFT(E1745,7)="SUBSOLO",-1,IF(LEFT(E1745,6)="TÉRREO",0,IFERROR(VALUE(LEFT(E1745,FIND("º",SUBSTITUTE(E1745,"°","º"))-1)),""))))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M1746" s="2">
        <f>IF(C1746="","",IFERROR(INDEX($S$5:$S$304,MATCH(C1746,$R$5:$R$304,0))&amp;"","?"))</f>
        <v/>
      </c>
      <c r="N1746" s="2">
        <f>IF(E1746="","",IF(LEFT(E1746,7)="SUBSOLO",-1,IF(LEFT(E1746,6)="TÉRREO",0,IFERROR(VALUE(LEFT(E1746,FIND("º",SUBSTITUTE(E1746,"°","º"))-1)),""))))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M1747" s="2">
        <f>IF(C1747="","",IFERROR(INDEX($S$5:$S$304,MATCH(C1747,$R$5:$R$304,0))&amp;"","?"))</f>
        <v/>
      </c>
      <c r="N1747" s="2">
        <f>IF(E1747="","",IF(LEFT(E1747,7)="SUBSOLO",-1,IF(LEFT(E1747,6)="TÉRREO",0,IFERROR(VALUE(LEFT(E1747,FIND("º",SUBSTITUTE(E1747,"°","º"))-1)),""))))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M1748" s="2">
        <f>IF(C1748="","",IFERROR(INDEX($S$5:$S$304,MATCH(C1748,$R$5:$R$304,0))&amp;"","?"))</f>
        <v/>
      </c>
      <c r="N1748" s="2">
        <f>IF(E1748="","",IF(LEFT(E1748,7)="SUBSOLO",-1,IF(LEFT(E1748,6)="TÉRREO",0,IFERROR(VALUE(LEFT(E1748,FIND("º",SUBSTITUTE(E1748,"°","º"))-1)),""))))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M1749" s="2">
        <f>IF(C1749="","",IFERROR(INDEX($S$5:$S$304,MATCH(C1749,$R$5:$R$304,0))&amp;"","?"))</f>
        <v/>
      </c>
      <c r="N1749" s="2">
        <f>IF(E1749="","",IF(LEFT(E1749,7)="SUBSOLO",-1,IF(LEFT(E1749,6)="TÉRREO",0,IFERROR(VALUE(LEFT(E1749,FIND("º",SUBSTITUTE(E1749,"°","º"))-1)),""))))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M1750" s="2">
        <f>IF(C1750="","",IFERROR(INDEX($S$5:$S$304,MATCH(C1750,$R$5:$R$304,0))&amp;"","?"))</f>
        <v/>
      </c>
      <c r="N1750" s="2">
        <f>IF(E1750="","",IF(LEFT(E1750,7)="SUBSOLO",-1,IF(LEFT(E1750,6)="TÉRREO",0,IFERROR(VALUE(LEFT(E1750,FIND("º",SUBSTITUTE(E1750,"°","º"))-1)),""))))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M1751" s="2">
        <f>IF(C1751="","",IFERROR(INDEX($S$5:$S$304,MATCH(C1751,$R$5:$R$304,0))&amp;"","?"))</f>
        <v/>
      </c>
      <c r="N1751" s="2">
        <f>IF(E1751="","",IF(LEFT(E1751,7)="SUBSOLO",-1,IF(LEFT(E1751,6)="TÉRREO",0,IFERROR(VALUE(LEFT(E1751,FIND("º",SUBSTITUTE(E1751,"°","º"))-1)),""))))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M1752" s="2">
        <f>IF(C1752="","",IFERROR(INDEX($S$5:$S$304,MATCH(C1752,$R$5:$R$304,0))&amp;"","?"))</f>
        <v/>
      </c>
      <c r="N1752" s="2">
        <f>IF(E1752="","",IF(LEFT(E1752,7)="SUBSOLO",-1,IF(LEFT(E1752,6)="TÉRREO",0,IFERROR(VALUE(LEFT(E1752,FIND("º",SUBSTITUTE(E1752,"°","º"))-1)),""))))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M1753" s="2">
        <f>IF(C1753="","",IFERROR(INDEX($S$5:$S$304,MATCH(C1753,$R$5:$R$304,0))&amp;"","?"))</f>
        <v/>
      </c>
      <c r="N1753" s="2">
        <f>IF(E1753="","",IF(LEFT(E1753,7)="SUBSOLO",-1,IF(LEFT(E1753,6)="TÉRREO",0,IFERROR(VALUE(LEFT(E1753,FIND("º",SUBSTITUTE(E1753,"°","º"))-1)),""))))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M1754" s="2">
        <f>IF(C1754="","",IFERROR(INDEX($S$5:$S$304,MATCH(C1754,$R$5:$R$304,0))&amp;"","?"))</f>
        <v/>
      </c>
      <c r="N1754" s="2">
        <f>IF(E1754="","",IF(LEFT(E1754,7)="SUBSOLO",-1,IF(LEFT(E1754,6)="TÉRREO",0,IFERROR(VALUE(LEFT(E1754,FIND("º",SUBSTITUTE(E1754,"°","º"))-1)),""))))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M1755" s="2">
        <f>IF(C1755="","",IFERROR(INDEX($S$5:$S$304,MATCH(C1755,$R$5:$R$304,0))&amp;"","?"))</f>
        <v/>
      </c>
      <c r="N1755" s="2">
        <f>IF(E1755="","",IF(LEFT(E1755,7)="SUBSOLO",-1,IF(LEFT(E1755,6)="TÉRREO",0,IFERROR(VALUE(LEFT(E1755,FIND("º",SUBSTITUTE(E1755,"°","º"))-1)),""))))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M1756" s="2">
        <f>IF(C1756="","",IFERROR(INDEX($S$5:$S$304,MATCH(C1756,$R$5:$R$304,0))&amp;"","?"))</f>
        <v/>
      </c>
      <c r="N1756" s="2">
        <f>IF(E1756="","",IF(LEFT(E1756,7)="SUBSOLO",-1,IF(LEFT(E1756,6)="TÉRREO",0,IFERROR(VALUE(LEFT(E1756,FIND("º",SUBSTITUTE(E1756,"°","º"))-1)),""))))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M1757" s="2">
        <f>IF(C1757="","",IFERROR(INDEX($S$5:$S$304,MATCH(C1757,$R$5:$R$304,0))&amp;"","?"))</f>
        <v/>
      </c>
      <c r="N1757" s="2">
        <f>IF(E1757="","",IF(LEFT(E1757,7)="SUBSOLO",-1,IF(LEFT(E1757,6)="TÉRREO",0,IFERROR(VALUE(LEFT(E1757,FIND("º",SUBSTITUTE(E1757,"°","º"))-1)),""))))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M1758" s="2">
        <f>IF(C1758="","",IFERROR(INDEX($S$5:$S$304,MATCH(C1758,$R$5:$R$304,0))&amp;"","?"))</f>
        <v/>
      </c>
      <c r="N1758" s="2">
        <f>IF(E1758="","",IF(LEFT(E1758,7)="SUBSOLO",-1,IF(LEFT(E1758,6)="TÉRREO",0,IFERROR(VALUE(LEFT(E1758,FIND("º",SUBSTITUTE(E1758,"°","º"))-1)),""))))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M1759" s="2">
        <f>IF(C1759="","",IFERROR(INDEX($S$5:$S$304,MATCH(C1759,$R$5:$R$304,0))&amp;"","?"))</f>
        <v/>
      </c>
      <c r="N1759" s="2">
        <f>IF(E1759="","",IF(LEFT(E1759,7)="SUBSOLO",-1,IF(LEFT(E1759,6)="TÉRREO",0,IFERROR(VALUE(LEFT(E1759,FIND("º",SUBSTITUTE(E1759,"°","º"))-1)),""))))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M1760" s="2">
        <f>IF(C1760="","",IFERROR(INDEX($S$5:$S$304,MATCH(C1760,$R$5:$R$304,0))&amp;"","?"))</f>
        <v/>
      </c>
      <c r="N1760" s="2">
        <f>IF(E1760="","",IF(LEFT(E1760,7)="SUBSOLO",-1,IF(LEFT(E1760,6)="TÉRREO",0,IFERROR(VALUE(LEFT(E1760,FIND("º",SUBSTITUTE(E1760,"°","º"))-1)),""))))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M1761" s="2">
        <f>IF(C1761="","",IFERROR(INDEX($S$5:$S$304,MATCH(C1761,$R$5:$R$304,0))&amp;"","?"))</f>
        <v/>
      </c>
      <c r="N1761" s="2">
        <f>IF(E1761="","",IF(LEFT(E1761,7)="SUBSOLO",-1,IF(LEFT(E1761,6)="TÉRREO",0,IFERROR(VALUE(LEFT(E1761,FIND("º",SUBSTITUTE(E1761,"°","º"))-1)),""))))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M1762" s="2">
        <f>IF(C1762="","",IFERROR(INDEX($S$5:$S$304,MATCH(C1762,$R$5:$R$304,0))&amp;"","?"))</f>
        <v/>
      </c>
      <c r="N1762" s="2">
        <f>IF(E1762="","",IF(LEFT(E1762,7)="SUBSOLO",-1,IF(LEFT(E1762,6)="TÉRREO",0,IFERROR(VALUE(LEFT(E1762,FIND("º",SUBSTITUTE(E1762,"°","º"))-1)),""))))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M1763" s="2">
        <f>IF(C1763="","",IFERROR(INDEX($S$5:$S$304,MATCH(C1763,$R$5:$R$304,0))&amp;"","?"))</f>
        <v/>
      </c>
      <c r="N1763" s="2">
        <f>IF(E1763="","",IF(LEFT(E1763,7)="SUBSOLO",-1,IF(LEFT(E1763,6)="TÉRREO",0,IFERROR(VALUE(LEFT(E1763,FIND("º",SUBSTITUTE(E1763,"°","º"))-1)),""))))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M1764" s="2">
        <f>IF(C1764="","",IFERROR(INDEX($S$5:$S$304,MATCH(C1764,$R$5:$R$304,0))&amp;"","?"))</f>
        <v/>
      </c>
      <c r="N1764" s="2">
        <f>IF(E1764="","",IF(LEFT(E1764,7)="SUBSOLO",-1,IF(LEFT(E1764,6)="TÉRREO",0,IFERROR(VALUE(LEFT(E1764,FIND("º",SUBSTITUTE(E1764,"°","º"))-1)),""))))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M1765" s="2">
        <f>IF(C1765="","",IFERROR(INDEX($S$5:$S$304,MATCH(C1765,$R$5:$R$304,0))&amp;"","?"))</f>
        <v/>
      </c>
      <c r="N1765" s="2">
        <f>IF(E1765="","",IF(LEFT(E1765,7)="SUBSOLO",-1,IF(LEFT(E1765,6)="TÉRREO",0,IFERROR(VALUE(LEFT(E1765,FIND("º",SUBSTITUTE(E1765,"°","º"))-1)),""))))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M1766" s="2">
        <f>IF(C1766="","",IFERROR(INDEX($S$5:$S$304,MATCH(C1766,$R$5:$R$304,0))&amp;"","?"))</f>
        <v/>
      </c>
      <c r="N1766" s="2">
        <f>IF(E1766="","",IF(LEFT(E1766,7)="SUBSOLO",-1,IF(LEFT(E1766,6)="TÉRREO",0,IFERROR(VALUE(LEFT(E1766,FIND("º",SUBSTITUTE(E1766,"°","º"))-1)),""))))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M1767" s="2">
        <f>IF(C1767="","",IFERROR(INDEX($S$5:$S$304,MATCH(C1767,$R$5:$R$304,0))&amp;"","?"))</f>
        <v/>
      </c>
      <c r="N1767" s="2">
        <f>IF(E1767="","",IF(LEFT(E1767,7)="SUBSOLO",-1,IF(LEFT(E1767,6)="TÉRREO",0,IFERROR(VALUE(LEFT(E1767,FIND("º",SUBSTITUTE(E1767,"°","º"))-1)),""))))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M1768" s="2">
        <f>IF(C1768="","",IFERROR(INDEX($S$5:$S$304,MATCH(C1768,$R$5:$R$304,0))&amp;"","?"))</f>
        <v/>
      </c>
      <c r="N1768" s="2">
        <f>IF(E1768="","",IF(LEFT(E1768,7)="SUBSOLO",-1,IF(LEFT(E1768,6)="TÉRREO",0,IFERROR(VALUE(LEFT(E1768,FIND("º",SUBSTITUTE(E1768,"°","º"))-1)),""))))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M1769" s="2">
        <f>IF(C1769="","",IFERROR(INDEX($S$5:$S$304,MATCH(C1769,$R$5:$R$304,0))&amp;"","?"))</f>
        <v/>
      </c>
      <c r="N1769" s="2">
        <f>IF(E1769="","",IF(LEFT(E1769,7)="SUBSOLO",-1,IF(LEFT(E1769,6)="TÉRREO",0,IFERROR(VALUE(LEFT(E1769,FIND("º",SUBSTITUTE(E1769,"°","º"))-1)),""))))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M1770" s="2">
        <f>IF(C1770="","",IFERROR(INDEX($S$5:$S$304,MATCH(C1770,$R$5:$R$304,0))&amp;"","?"))</f>
        <v/>
      </c>
      <c r="N1770" s="2">
        <f>IF(E1770="","",IF(LEFT(E1770,7)="SUBSOLO",-1,IF(LEFT(E1770,6)="TÉRREO",0,IFERROR(VALUE(LEFT(E1770,FIND("º",SUBSTITUTE(E1770,"°","º"))-1)),""))))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M1771" s="2">
        <f>IF(C1771="","",IFERROR(INDEX($S$5:$S$304,MATCH(C1771,$R$5:$R$304,0))&amp;"","?"))</f>
        <v/>
      </c>
      <c r="N1771" s="2">
        <f>IF(E1771="","",IF(LEFT(E1771,7)="SUBSOLO",-1,IF(LEFT(E1771,6)="TÉRREO",0,IFERROR(VALUE(LEFT(E1771,FIND("º",SUBSTITUTE(E1771,"°","º"))-1)),""))))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M1772" s="2">
        <f>IF(C1772="","",IFERROR(INDEX($S$5:$S$304,MATCH(C1772,$R$5:$R$304,0))&amp;"","?"))</f>
        <v/>
      </c>
      <c r="N1772" s="2">
        <f>IF(E1772="","",IF(LEFT(E1772,7)="SUBSOLO",-1,IF(LEFT(E1772,6)="TÉRREO",0,IFERROR(VALUE(LEFT(E1772,FIND("º",SUBSTITUTE(E1772,"°","º"))-1)),""))))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M1773" s="2">
        <f>IF(C1773="","",IFERROR(INDEX($S$5:$S$304,MATCH(C1773,$R$5:$R$304,0))&amp;"","?"))</f>
        <v/>
      </c>
      <c r="N1773" s="2">
        <f>IF(E1773="","",IF(LEFT(E1773,7)="SUBSOLO",-1,IF(LEFT(E1773,6)="TÉRREO",0,IFERROR(VALUE(LEFT(E1773,FIND("º",SUBSTITUTE(E1773,"°","º"))-1)),""))))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M1774" s="2">
        <f>IF(C1774="","",IFERROR(INDEX($S$5:$S$304,MATCH(C1774,$R$5:$R$304,0))&amp;"","?"))</f>
        <v/>
      </c>
      <c r="N1774" s="2">
        <f>IF(E1774="","",IF(LEFT(E1774,7)="SUBSOLO",-1,IF(LEFT(E1774,6)="TÉRREO",0,IFERROR(VALUE(LEFT(E1774,FIND("º",SUBSTITUTE(E1774,"°","º"))-1)),""))))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M1775" s="2">
        <f>IF(C1775="","",IFERROR(INDEX($S$5:$S$304,MATCH(C1775,$R$5:$R$304,0))&amp;"","?"))</f>
        <v/>
      </c>
      <c r="N1775" s="2">
        <f>IF(E1775="","",IF(LEFT(E1775,7)="SUBSOLO",-1,IF(LEFT(E1775,6)="TÉRREO",0,IFERROR(VALUE(LEFT(E1775,FIND("º",SUBSTITUTE(E1775,"°","º"))-1)),""))))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M1776" s="2">
        <f>IF(C1776="","",IFERROR(INDEX($S$5:$S$304,MATCH(C1776,$R$5:$R$304,0))&amp;"","?"))</f>
        <v/>
      </c>
      <c r="N1776" s="2">
        <f>IF(E1776="","",IF(LEFT(E1776,7)="SUBSOLO",-1,IF(LEFT(E1776,6)="TÉRREO",0,IFERROR(VALUE(LEFT(E1776,FIND("º",SUBSTITUTE(E1776,"°","º"))-1)),""))))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M1777" s="2">
        <f>IF(C1777="","",IFERROR(INDEX($S$5:$S$304,MATCH(C1777,$R$5:$R$304,0))&amp;"","?"))</f>
        <v/>
      </c>
      <c r="N1777" s="2">
        <f>IF(E1777="","",IF(LEFT(E1777,7)="SUBSOLO",-1,IF(LEFT(E1777,6)="TÉRREO",0,IFERROR(VALUE(LEFT(E1777,FIND("º",SUBSTITUTE(E1777,"°","º"))-1)),""))))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M1778" s="2">
        <f>IF(C1778="","",IFERROR(INDEX($S$5:$S$304,MATCH(C1778,$R$5:$R$304,0))&amp;"","?"))</f>
        <v/>
      </c>
      <c r="N1778" s="2">
        <f>IF(E1778="","",IF(LEFT(E1778,7)="SUBSOLO",-1,IF(LEFT(E1778,6)="TÉRREO",0,IFERROR(VALUE(LEFT(E1778,FIND("º",SUBSTITUTE(E1778,"°","º"))-1)),""))))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M1779" s="2">
        <f>IF(C1779="","",IFERROR(INDEX($S$5:$S$304,MATCH(C1779,$R$5:$R$304,0))&amp;"","?"))</f>
        <v/>
      </c>
      <c r="N1779" s="2">
        <f>IF(E1779="","",IF(LEFT(E1779,7)="SUBSOLO",-1,IF(LEFT(E1779,6)="TÉRREO",0,IFERROR(VALUE(LEFT(E1779,FIND("º",SUBSTITUTE(E1779,"°","º"))-1)),""))))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M1780" s="2">
        <f>IF(C1780="","",IFERROR(INDEX($S$5:$S$304,MATCH(C1780,$R$5:$R$304,0))&amp;"","?"))</f>
        <v/>
      </c>
      <c r="N1780" s="2">
        <f>IF(E1780="","",IF(LEFT(E1780,7)="SUBSOLO",-1,IF(LEFT(E1780,6)="TÉRREO",0,IFERROR(VALUE(LEFT(E1780,FIND("º",SUBSTITUTE(E1780,"°","º"))-1)),""))))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M1781" s="2">
        <f>IF(C1781="","",IFERROR(INDEX($S$5:$S$304,MATCH(C1781,$R$5:$R$304,0))&amp;"","?"))</f>
        <v/>
      </c>
      <c r="N1781" s="2">
        <f>IF(E1781="","",IF(LEFT(E1781,7)="SUBSOLO",-1,IF(LEFT(E1781,6)="TÉRREO",0,IFERROR(VALUE(LEFT(E1781,FIND("º",SUBSTITUTE(E1781,"°","º"))-1)),""))))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M1782" s="2">
        <f>IF(C1782="","",IFERROR(INDEX($S$5:$S$304,MATCH(C1782,$R$5:$R$304,0))&amp;"","?"))</f>
        <v/>
      </c>
      <c r="N1782" s="2">
        <f>IF(E1782="","",IF(LEFT(E1782,7)="SUBSOLO",-1,IF(LEFT(E1782,6)="TÉRREO",0,IFERROR(VALUE(LEFT(E1782,FIND("º",SUBSTITUTE(E1782,"°","º"))-1)),""))))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M1783" s="2">
        <f>IF(C1783="","",IFERROR(INDEX($S$5:$S$304,MATCH(C1783,$R$5:$R$304,0))&amp;"","?"))</f>
        <v/>
      </c>
      <c r="N1783" s="2">
        <f>IF(E1783="","",IF(LEFT(E1783,7)="SUBSOLO",-1,IF(LEFT(E1783,6)="TÉRREO",0,IFERROR(VALUE(LEFT(E1783,FIND("º",SUBSTITUTE(E1783,"°","º"))-1)),""))))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M1784" s="2">
        <f>IF(C1784="","",IFERROR(INDEX($S$5:$S$304,MATCH(C1784,$R$5:$R$304,0))&amp;"","?"))</f>
        <v/>
      </c>
      <c r="N1784" s="2">
        <f>IF(E1784="","",IF(LEFT(E1784,7)="SUBSOLO",-1,IF(LEFT(E1784,6)="TÉRREO",0,IFERROR(VALUE(LEFT(E1784,FIND("º",SUBSTITUTE(E1784,"°","º"))-1)),""))))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M1785" s="2">
        <f>IF(C1785="","",IFERROR(INDEX($S$5:$S$304,MATCH(C1785,$R$5:$R$304,0))&amp;"","?"))</f>
        <v/>
      </c>
      <c r="N1785" s="2">
        <f>IF(E1785="","",IF(LEFT(E1785,7)="SUBSOLO",-1,IF(LEFT(E1785,6)="TÉRREO",0,IFERROR(VALUE(LEFT(E1785,FIND("º",SUBSTITUTE(E1785,"°","º"))-1)),""))))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M1786" s="2">
        <f>IF(C1786="","",IFERROR(INDEX($S$5:$S$304,MATCH(C1786,$R$5:$R$304,0))&amp;"","?"))</f>
        <v/>
      </c>
      <c r="N1786" s="2">
        <f>IF(E1786="","",IF(LEFT(E1786,7)="SUBSOLO",-1,IF(LEFT(E1786,6)="TÉRREO",0,IFERROR(VALUE(LEFT(E1786,FIND("º",SUBSTITUTE(E1786,"°","º"))-1)),""))))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M1787" s="2">
        <f>IF(C1787="","",IFERROR(INDEX($S$5:$S$304,MATCH(C1787,$R$5:$R$304,0))&amp;"","?"))</f>
        <v/>
      </c>
      <c r="N1787" s="2">
        <f>IF(E1787="","",IF(LEFT(E1787,7)="SUBSOLO",-1,IF(LEFT(E1787,6)="TÉRREO",0,IFERROR(VALUE(LEFT(E1787,FIND("º",SUBSTITUTE(E1787,"°","º"))-1)),""))))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M1788" s="2">
        <f>IF(C1788="","",IFERROR(INDEX($S$5:$S$304,MATCH(C1788,$R$5:$R$304,0))&amp;"","?"))</f>
        <v/>
      </c>
      <c r="N1788" s="2">
        <f>IF(E1788="","",IF(LEFT(E1788,7)="SUBSOLO",-1,IF(LEFT(E1788,6)="TÉRREO",0,IFERROR(VALUE(LEFT(E1788,FIND("º",SUBSTITUTE(E1788,"°","º"))-1)),""))))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M1789" s="2">
        <f>IF(C1789="","",IFERROR(INDEX($S$5:$S$304,MATCH(C1789,$R$5:$R$304,0))&amp;"","?"))</f>
        <v/>
      </c>
      <c r="N1789" s="2">
        <f>IF(E1789="","",IF(LEFT(E1789,7)="SUBSOLO",-1,IF(LEFT(E1789,6)="TÉRREO",0,IFERROR(VALUE(LEFT(E1789,FIND("º",SUBSTITUTE(E1789,"°","º"))-1)),""))))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M1790" s="2">
        <f>IF(C1790="","",IFERROR(INDEX($S$5:$S$304,MATCH(C1790,$R$5:$R$304,0))&amp;"","?"))</f>
        <v/>
      </c>
      <c r="N1790" s="2">
        <f>IF(E1790="","",IF(LEFT(E1790,7)="SUBSOLO",-1,IF(LEFT(E1790,6)="TÉRREO",0,IFERROR(VALUE(LEFT(E1790,FIND("º",SUBSTITUTE(E1790,"°","º"))-1)),""))))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M1791" s="2">
        <f>IF(C1791="","",IFERROR(INDEX($S$5:$S$304,MATCH(C1791,$R$5:$R$304,0))&amp;"","?"))</f>
        <v/>
      </c>
      <c r="N1791" s="2">
        <f>IF(E1791="","",IF(LEFT(E1791,7)="SUBSOLO",-1,IF(LEFT(E1791,6)="TÉRREO",0,IFERROR(VALUE(LEFT(E1791,FIND("º",SUBSTITUTE(E1791,"°","º"))-1)),""))))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M1792" s="2">
        <f>IF(C1792="","",IFERROR(INDEX($S$5:$S$304,MATCH(C1792,$R$5:$R$304,0))&amp;"","?"))</f>
        <v/>
      </c>
      <c r="N1792" s="2">
        <f>IF(E1792="","",IF(LEFT(E1792,7)="SUBSOLO",-1,IF(LEFT(E1792,6)="TÉRREO",0,IFERROR(VALUE(LEFT(E1792,FIND("º",SUBSTITUTE(E1792,"°","º"))-1)),""))))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M1793" s="2">
        <f>IF(C1793="","",IFERROR(INDEX($S$5:$S$304,MATCH(C1793,$R$5:$R$304,0))&amp;"","?"))</f>
        <v/>
      </c>
      <c r="N1793" s="2">
        <f>IF(E1793="","",IF(LEFT(E1793,7)="SUBSOLO",-1,IF(LEFT(E1793,6)="TÉRREO",0,IFERROR(VALUE(LEFT(E1793,FIND("º",SUBSTITUTE(E1793,"°","º"))-1)),""))))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M1794" s="2">
        <f>IF(C1794="","",IFERROR(INDEX($S$5:$S$304,MATCH(C1794,$R$5:$R$304,0))&amp;"","?"))</f>
        <v/>
      </c>
      <c r="N1794" s="2">
        <f>IF(E1794="","",IF(LEFT(E1794,7)="SUBSOLO",-1,IF(LEFT(E1794,6)="TÉRREO",0,IFERROR(VALUE(LEFT(E1794,FIND("º",SUBSTITUTE(E1794,"°","º"))-1)),""))))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M1795" s="2">
        <f>IF(C1795="","",IFERROR(INDEX($S$5:$S$304,MATCH(C1795,$R$5:$R$304,0))&amp;"","?"))</f>
        <v/>
      </c>
      <c r="N1795" s="2">
        <f>IF(E1795="","",IF(LEFT(E1795,7)="SUBSOLO",-1,IF(LEFT(E1795,6)="TÉRREO",0,IFERROR(VALUE(LEFT(E1795,FIND("º",SUBSTITUTE(E1795,"°","º"))-1)),""))))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M1796" s="2">
        <f>IF(C1796="","",IFERROR(INDEX($S$5:$S$304,MATCH(C1796,$R$5:$R$304,0))&amp;"","?"))</f>
        <v/>
      </c>
      <c r="N1796" s="2">
        <f>IF(E1796="","",IF(LEFT(E1796,7)="SUBSOLO",-1,IF(LEFT(E1796,6)="TÉRREO",0,IFERROR(VALUE(LEFT(E1796,FIND("º",SUBSTITUTE(E1796,"°","º"))-1)),""))))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M1797" s="2">
        <f>IF(C1797="","",IFERROR(INDEX($S$5:$S$304,MATCH(C1797,$R$5:$R$304,0))&amp;"","?"))</f>
        <v/>
      </c>
      <c r="N1797" s="2">
        <f>IF(E1797="","",IF(LEFT(E1797,7)="SUBSOLO",-1,IF(LEFT(E1797,6)="TÉRREO",0,IFERROR(VALUE(LEFT(E1797,FIND("º",SUBSTITUTE(E1797,"°","º"))-1)),""))))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M1798" s="2">
        <f>IF(C1798="","",IFERROR(INDEX($S$5:$S$304,MATCH(C1798,$R$5:$R$304,0))&amp;"","?"))</f>
        <v/>
      </c>
      <c r="N1798" s="2">
        <f>IF(E1798="","",IF(LEFT(E1798,7)="SUBSOLO",-1,IF(LEFT(E1798,6)="TÉRREO",0,IFERROR(VALUE(LEFT(E1798,FIND("º",SUBSTITUTE(E1798,"°","º"))-1)),""))))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M1799" s="2">
        <f>IF(C1799="","",IFERROR(INDEX($S$5:$S$304,MATCH(C1799,$R$5:$R$304,0))&amp;"","?"))</f>
        <v/>
      </c>
      <c r="N1799" s="2">
        <f>IF(E1799="","",IF(LEFT(E1799,7)="SUBSOLO",-1,IF(LEFT(E1799,6)="TÉRREO",0,IFERROR(VALUE(LEFT(E1799,FIND("º",SUBSTITUTE(E1799,"°","º"))-1)),""))))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M1800" s="2">
        <f>IF(C1800="","",IFERROR(INDEX($S$5:$S$304,MATCH(C1800,$R$5:$R$304,0))&amp;"","?"))</f>
        <v/>
      </c>
      <c r="N1800" s="2">
        <f>IF(E1800="","",IF(LEFT(E1800,7)="SUBSOLO",-1,IF(LEFT(E1800,6)="TÉRREO",0,IFERROR(VALUE(LEFT(E1800,FIND("º",SUBSTITUTE(E1800,"°","º"))-1)),""))))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M1801" s="2">
        <f>IF(C1801="","",IFERROR(INDEX($S$5:$S$304,MATCH(C1801,$R$5:$R$304,0))&amp;"","?"))</f>
        <v/>
      </c>
      <c r="N1801" s="2">
        <f>IF(E1801="","",IF(LEFT(E1801,7)="SUBSOLO",-1,IF(LEFT(E1801,6)="TÉRREO",0,IFERROR(VALUE(LEFT(E1801,FIND("º",SUBSTITUTE(E1801,"°","º"))-1)),""))))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M1802" s="2">
        <f>IF(C1802="","",IFERROR(INDEX($S$5:$S$304,MATCH(C1802,$R$5:$R$304,0))&amp;"","?"))</f>
        <v/>
      </c>
      <c r="N1802" s="2">
        <f>IF(E1802="","",IF(LEFT(E1802,7)="SUBSOLO",-1,IF(LEFT(E1802,6)="TÉRREO",0,IFERROR(VALUE(LEFT(E1802,FIND("º",SUBSTITUTE(E1802,"°","º"))-1)),""))))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M1803" s="2">
        <f>IF(C1803="","",IFERROR(INDEX($S$5:$S$304,MATCH(C1803,$R$5:$R$304,0))&amp;"","?"))</f>
        <v/>
      </c>
      <c r="N1803" s="2">
        <f>IF(E1803="","",IF(LEFT(E1803,7)="SUBSOLO",-1,IF(LEFT(E1803,6)="TÉRREO",0,IFERROR(VALUE(LEFT(E1803,FIND("º",SUBSTITUTE(E1803,"°","º"))-1)),""))))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M1804" s="2">
        <f>IF(C1804="","",IFERROR(INDEX($S$5:$S$304,MATCH(C1804,$R$5:$R$304,0))&amp;"","?"))</f>
        <v/>
      </c>
      <c r="N1804" s="2">
        <f>IF(E1804="","",IF(LEFT(E1804,7)="SUBSOLO",-1,IF(LEFT(E1804,6)="TÉRREO",0,IFERROR(VALUE(LEFT(E1804,FIND("º",SUBSTITUTE(E1804,"°","º"))-1)),""))))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M1805" s="2">
        <f>IF(C1805="","",IFERROR(INDEX($S$5:$S$304,MATCH(C1805,$R$5:$R$304,0))&amp;"","?"))</f>
        <v/>
      </c>
      <c r="N1805" s="2">
        <f>IF(E1805="","",IF(LEFT(E1805,7)="SUBSOLO",-1,IF(LEFT(E1805,6)="TÉRREO",0,IFERROR(VALUE(LEFT(E1805,FIND("º",SUBSTITUTE(E1805,"°","º"))-1)),""))))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M1806" s="2">
        <f>IF(C1806="","",IFERROR(INDEX($S$5:$S$304,MATCH(C1806,$R$5:$R$304,0))&amp;"","?"))</f>
        <v/>
      </c>
      <c r="N1806" s="2">
        <f>IF(E1806="","",IF(LEFT(E1806,7)="SUBSOLO",-1,IF(LEFT(E1806,6)="TÉRREO",0,IFERROR(VALUE(LEFT(E1806,FIND("º",SUBSTITUTE(E1806,"°","º"))-1)),""))))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M1807" s="2">
        <f>IF(C1807="","",IFERROR(INDEX($S$5:$S$304,MATCH(C1807,$R$5:$R$304,0))&amp;"","?"))</f>
        <v/>
      </c>
      <c r="N1807" s="2">
        <f>IF(E1807="","",IF(LEFT(E1807,7)="SUBSOLO",-1,IF(LEFT(E1807,6)="TÉRREO",0,IFERROR(VALUE(LEFT(E1807,FIND("º",SUBSTITUTE(E1807,"°","º"))-1)),""))))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M1808" s="2">
        <f>IF(C1808="","",IFERROR(INDEX($S$5:$S$304,MATCH(C1808,$R$5:$R$304,0))&amp;"","?"))</f>
        <v/>
      </c>
      <c r="N1808" s="2">
        <f>IF(E1808="","",IF(LEFT(E1808,7)="SUBSOLO",-1,IF(LEFT(E1808,6)="TÉRREO",0,IFERROR(VALUE(LEFT(E1808,FIND("º",SUBSTITUTE(E1808,"°","º"))-1)),""))))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M1809" s="2">
        <f>IF(C1809="","",IFERROR(INDEX($S$5:$S$304,MATCH(C1809,$R$5:$R$304,0))&amp;"","?"))</f>
        <v/>
      </c>
      <c r="N1809" s="2">
        <f>IF(E1809="","",IF(LEFT(E1809,7)="SUBSOLO",-1,IF(LEFT(E1809,6)="TÉRREO",0,IFERROR(VALUE(LEFT(E1809,FIND("º",SUBSTITUTE(E1809,"°","º"))-1)),""))))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M1810" s="2">
        <f>IF(C1810="","",IFERROR(INDEX($S$5:$S$304,MATCH(C1810,$R$5:$R$304,0))&amp;"","?"))</f>
        <v/>
      </c>
      <c r="N1810" s="2">
        <f>IF(E1810="","",IF(LEFT(E1810,7)="SUBSOLO",-1,IF(LEFT(E1810,6)="TÉRREO",0,IFERROR(VALUE(LEFT(E1810,FIND("º",SUBSTITUTE(E1810,"°","º"))-1)),""))))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M1811" s="2">
        <f>IF(C1811="","",IFERROR(INDEX($S$5:$S$304,MATCH(C1811,$R$5:$R$304,0))&amp;"","?"))</f>
        <v/>
      </c>
      <c r="N1811" s="2">
        <f>IF(E1811="","",IF(LEFT(E1811,7)="SUBSOLO",-1,IF(LEFT(E1811,6)="TÉRREO",0,IFERROR(VALUE(LEFT(E1811,FIND("º",SUBSTITUTE(E1811,"°","º"))-1)),""))))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M1812" s="2">
        <f>IF(C1812="","",IFERROR(INDEX($S$5:$S$304,MATCH(C1812,$R$5:$R$304,0))&amp;"","?"))</f>
        <v/>
      </c>
      <c r="N1812" s="2">
        <f>IF(E1812="","",IF(LEFT(E1812,7)="SUBSOLO",-1,IF(LEFT(E1812,6)="TÉRREO",0,IFERROR(VALUE(LEFT(E1812,FIND("º",SUBSTITUTE(E1812,"°","º"))-1)),""))))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M1813" s="2">
        <f>IF(C1813="","",IFERROR(INDEX($S$5:$S$304,MATCH(C1813,$R$5:$R$304,0))&amp;"","?"))</f>
        <v/>
      </c>
      <c r="N1813" s="2">
        <f>IF(E1813="","",IF(LEFT(E1813,7)="SUBSOLO",-1,IF(LEFT(E1813,6)="TÉRREO",0,IFERROR(VALUE(LEFT(E1813,FIND("º",SUBSTITUTE(E1813,"°","º"))-1)),""))))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M1814" s="2">
        <f>IF(C1814="","",IFERROR(INDEX($S$5:$S$304,MATCH(C1814,$R$5:$R$304,0))&amp;"","?"))</f>
        <v/>
      </c>
      <c r="N1814" s="2">
        <f>IF(E1814="","",IF(LEFT(E1814,7)="SUBSOLO",-1,IF(LEFT(E1814,6)="TÉRREO",0,IFERROR(VALUE(LEFT(E1814,FIND("º",SUBSTITUTE(E1814,"°","º"))-1)),""))))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M1815" s="2">
        <f>IF(C1815="","",IFERROR(INDEX($S$5:$S$304,MATCH(C1815,$R$5:$R$304,0))&amp;"","?"))</f>
        <v/>
      </c>
      <c r="N1815" s="2">
        <f>IF(E1815="","",IF(LEFT(E1815,7)="SUBSOLO",-1,IF(LEFT(E1815,6)="TÉRREO",0,IFERROR(VALUE(LEFT(E1815,FIND("º",SUBSTITUTE(E1815,"°","º"))-1)),""))))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M1816" s="2">
        <f>IF(C1816="","",IFERROR(INDEX($S$5:$S$304,MATCH(C1816,$R$5:$R$304,0))&amp;"","?"))</f>
        <v/>
      </c>
      <c r="N1816" s="2">
        <f>IF(E1816="","",IF(LEFT(E1816,7)="SUBSOLO",-1,IF(LEFT(E1816,6)="TÉRREO",0,IFERROR(VALUE(LEFT(E1816,FIND("º",SUBSTITUTE(E1816,"°","º"))-1)),""))))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M1817" s="2">
        <f>IF(C1817="","",IFERROR(INDEX($S$5:$S$304,MATCH(C1817,$R$5:$R$304,0))&amp;"","?"))</f>
        <v/>
      </c>
      <c r="N1817" s="2">
        <f>IF(E1817="","",IF(LEFT(E1817,7)="SUBSOLO",-1,IF(LEFT(E1817,6)="TÉRREO",0,IFERROR(VALUE(LEFT(E1817,FIND("º",SUBSTITUTE(E1817,"°","º"))-1)),""))))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M1818" s="2">
        <f>IF(C1818="","",IFERROR(INDEX($S$5:$S$304,MATCH(C1818,$R$5:$R$304,0))&amp;"","?"))</f>
        <v/>
      </c>
      <c r="N1818" s="2">
        <f>IF(E1818="","",IF(LEFT(E1818,7)="SUBSOLO",-1,IF(LEFT(E1818,6)="TÉRREO",0,IFERROR(VALUE(LEFT(E1818,FIND("º",SUBSTITUTE(E1818,"°","º"))-1)),""))))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M1819" s="2">
        <f>IF(C1819="","",IFERROR(INDEX($S$5:$S$304,MATCH(C1819,$R$5:$R$304,0))&amp;"","?"))</f>
        <v/>
      </c>
      <c r="N1819" s="2">
        <f>IF(E1819="","",IF(LEFT(E1819,7)="SUBSOLO",-1,IF(LEFT(E1819,6)="TÉRREO",0,IFERROR(VALUE(LEFT(E1819,FIND("º",SUBSTITUTE(E1819,"°","º"))-1)),""))))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M1820" s="2">
        <f>IF(C1820="","",IFERROR(INDEX($S$5:$S$304,MATCH(C1820,$R$5:$R$304,0))&amp;"","?"))</f>
        <v/>
      </c>
      <c r="N1820" s="2">
        <f>IF(E1820="","",IF(LEFT(E1820,7)="SUBSOLO",-1,IF(LEFT(E1820,6)="TÉRREO",0,IFERROR(VALUE(LEFT(E1820,FIND("º",SUBSTITUTE(E1820,"°","º"))-1)),""))))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M1821" s="2">
        <f>IF(C1821="","",IFERROR(INDEX($S$5:$S$304,MATCH(C1821,$R$5:$R$304,0))&amp;"","?"))</f>
        <v/>
      </c>
      <c r="N1821" s="2">
        <f>IF(E1821="","",IF(LEFT(E1821,7)="SUBSOLO",-1,IF(LEFT(E1821,6)="TÉRREO",0,IFERROR(VALUE(LEFT(E1821,FIND("º",SUBSTITUTE(E1821,"°","º"))-1)),""))))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M1822" s="2">
        <f>IF(C1822="","",IFERROR(INDEX($S$5:$S$304,MATCH(C1822,$R$5:$R$304,0))&amp;"","?"))</f>
        <v/>
      </c>
      <c r="N1822" s="2">
        <f>IF(E1822="","",IF(LEFT(E1822,7)="SUBSOLO",-1,IF(LEFT(E1822,6)="TÉRREO",0,IFERROR(VALUE(LEFT(E1822,FIND("º",SUBSTITUTE(E1822,"°","º"))-1)),""))))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M1823" s="2">
        <f>IF(C1823="","",IFERROR(INDEX($S$5:$S$304,MATCH(C1823,$R$5:$R$304,0))&amp;"","?"))</f>
        <v/>
      </c>
      <c r="N1823" s="2">
        <f>IF(E1823="","",IF(LEFT(E1823,7)="SUBSOLO",-1,IF(LEFT(E1823,6)="TÉRREO",0,IFERROR(VALUE(LEFT(E1823,FIND("º",SUBSTITUTE(E1823,"°","º"))-1)),""))))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M1824" s="2">
        <f>IF(C1824="","",IFERROR(INDEX($S$5:$S$304,MATCH(C1824,$R$5:$R$304,0))&amp;"","?"))</f>
        <v/>
      </c>
      <c r="N1824" s="2">
        <f>IF(E1824="","",IF(LEFT(E1824,7)="SUBSOLO",-1,IF(LEFT(E1824,6)="TÉRREO",0,IFERROR(VALUE(LEFT(E1824,FIND("º",SUBSTITUTE(E1824,"°","º"))-1)),""))))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M1825" s="2">
        <f>IF(C1825="","",IFERROR(INDEX($S$5:$S$304,MATCH(C1825,$R$5:$R$304,0))&amp;"","?"))</f>
        <v/>
      </c>
      <c r="N1825" s="2">
        <f>IF(E1825="","",IF(LEFT(E1825,7)="SUBSOLO",-1,IF(LEFT(E1825,6)="TÉRREO",0,IFERROR(VALUE(LEFT(E1825,FIND("º",SUBSTITUTE(E1825,"°","º"))-1)),""))))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M1826" s="2">
        <f>IF(C1826="","",IFERROR(INDEX($S$5:$S$304,MATCH(C1826,$R$5:$R$304,0))&amp;"","?"))</f>
        <v/>
      </c>
      <c r="N1826" s="2">
        <f>IF(E1826="","",IF(LEFT(E1826,7)="SUBSOLO",-1,IF(LEFT(E1826,6)="TÉRREO",0,IFERROR(VALUE(LEFT(E1826,FIND("º",SUBSTITUTE(E1826,"°","º"))-1)),""))))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M1827" s="2">
        <f>IF(C1827="","",IFERROR(INDEX($S$5:$S$304,MATCH(C1827,$R$5:$R$304,0))&amp;"","?"))</f>
        <v/>
      </c>
      <c r="N1827" s="2">
        <f>IF(E1827="","",IF(LEFT(E1827,7)="SUBSOLO",-1,IF(LEFT(E1827,6)="TÉRREO",0,IFERROR(VALUE(LEFT(E1827,FIND("º",SUBSTITUTE(E1827,"°","º"))-1)),""))))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M1828" s="2">
        <f>IF(C1828="","",IFERROR(INDEX($S$5:$S$304,MATCH(C1828,$R$5:$R$304,0))&amp;"","?"))</f>
        <v/>
      </c>
      <c r="N1828" s="2">
        <f>IF(E1828="","",IF(LEFT(E1828,7)="SUBSOLO",-1,IF(LEFT(E1828,6)="TÉRREO",0,IFERROR(VALUE(LEFT(E1828,FIND("º",SUBSTITUTE(E1828,"°","º"))-1)),""))))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M1829" s="2">
        <f>IF(C1829="","",IFERROR(INDEX($S$5:$S$304,MATCH(C1829,$R$5:$R$304,0))&amp;"","?"))</f>
        <v/>
      </c>
      <c r="N1829" s="2">
        <f>IF(E1829="","",IF(LEFT(E1829,7)="SUBSOLO",-1,IF(LEFT(E1829,6)="TÉRREO",0,IFERROR(VALUE(LEFT(E1829,FIND("º",SUBSTITUTE(E1829,"°","º"))-1)),""))))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M1830" s="2">
        <f>IF(C1830="","",IFERROR(INDEX($S$5:$S$304,MATCH(C1830,$R$5:$R$304,0))&amp;"","?"))</f>
        <v/>
      </c>
      <c r="N1830" s="2">
        <f>IF(E1830="","",IF(LEFT(E1830,7)="SUBSOLO",-1,IF(LEFT(E1830,6)="TÉRREO",0,IFERROR(VALUE(LEFT(E1830,FIND("º",SUBSTITUTE(E1830,"°","º"))-1)),""))))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M1831" s="2">
        <f>IF(C1831="","",IFERROR(INDEX($S$5:$S$304,MATCH(C1831,$R$5:$R$304,0))&amp;"","?"))</f>
        <v/>
      </c>
      <c r="N1831" s="2">
        <f>IF(E1831="","",IF(LEFT(E1831,7)="SUBSOLO",-1,IF(LEFT(E1831,6)="TÉRREO",0,IFERROR(VALUE(LEFT(E1831,FIND("º",SUBSTITUTE(E1831,"°","º"))-1)),""))))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M1832" s="2">
        <f>IF(C1832="","",IFERROR(INDEX($S$5:$S$304,MATCH(C1832,$R$5:$R$304,0))&amp;"","?"))</f>
        <v/>
      </c>
      <c r="N1832" s="2">
        <f>IF(E1832="","",IF(LEFT(E1832,7)="SUBSOLO",-1,IF(LEFT(E1832,6)="TÉRREO",0,IFERROR(VALUE(LEFT(E1832,FIND("º",SUBSTITUTE(E1832,"°","º"))-1)),""))))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M1833" s="2">
        <f>IF(C1833="","",IFERROR(INDEX($S$5:$S$304,MATCH(C1833,$R$5:$R$304,0))&amp;"","?"))</f>
        <v/>
      </c>
      <c r="N1833" s="2">
        <f>IF(E1833="","",IF(LEFT(E1833,7)="SUBSOLO",-1,IF(LEFT(E1833,6)="TÉRREO",0,IFERROR(VALUE(LEFT(E1833,FIND("º",SUBSTITUTE(E1833,"°","º"))-1)),""))))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M1834" s="2">
        <f>IF(C1834="","",IFERROR(INDEX($S$5:$S$304,MATCH(C1834,$R$5:$R$304,0))&amp;"","?"))</f>
        <v/>
      </c>
      <c r="N1834" s="2">
        <f>IF(E1834="","",IF(LEFT(E1834,7)="SUBSOLO",-1,IF(LEFT(E1834,6)="TÉRREO",0,IFERROR(VALUE(LEFT(E1834,FIND("º",SUBSTITUTE(E1834,"°","º"))-1)),""))))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M1835" s="2">
        <f>IF(C1835="","",IFERROR(INDEX($S$5:$S$304,MATCH(C1835,$R$5:$R$304,0))&amp;"","?"))</f>
        <v/>
      </c>
      <c r="N1835" s="2">
        <f>IF(E1835="","",IF(LEFT(E1835,7)="SUBSOLO",-1,IF(LEFT(E1835,6)="TÉRREO",0,IFERROR(VALUE(LEFT(E1835,FIND("º",SUBSTITUTE(E1835,"°","º"))-1)),""))))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M1836" s="2">
        <f>IF(C1836="","",IFERROR(INDEX($S$5:$S$304,MATCH(C1836,$R$5:$R$304,0))&amp;"","?"))</f>
        <v/>
      </c>
      <c r="N1836" s="2">
        <f>IF(E1836="","",IF(LEFT(E1836,7)="SUBSOLO",-1,IF(LEFT(E1836,6)="TÉRREO",0,IFERROR(VALUE(LEFT(E1836,FIND("º",SUBSTITUTE(E1836,"°","º"))-1)),""))))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M1837" s="2">
        <f>IF(C1837="","",IFERROR(INDEX($S$5:$S$304,MATCH(C1837,$R$5:$R$304,0))&amp;"","?"))</f>
        <v/>
      </c>
      <c r="N1837" s="2">
        <f>IF(E1837="","",IF(LEFT(E1837,7)="SUBSOLO",-1,IF(LEFT(E1837,6)="TÉRREO",0,IFERROR(VALUE(LEFT(E1837,FIND("º",SUBSTITUTE(E1837,"°","º"))-1)),""))))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M1838" s="2">
        <f>IF(C1838="","",IFERROR(INDEX($S$5:$S$304,MATCH(C1838,$R$5:$R$304,0))&amp;"","?"))</f>
        <v/>
      </c>
      <c r="N1838" s="2">
        <f>IF(E1838="","",IF(LEFT(E1838,7)="SUBSOLO",-1,IF(LEFT(E1838,6)="TÉRREO",0,IFERROR(VALUE(LEFT(E1838,FIND("º",SUBSTITUTE(E1838,"°","º"))-1)),""))))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M1839" s="2">
        <f>IF(C1839="","",IFERROR(INDEX($S$5:$S$304,MATCH(C1839,$R$5:$R$304,0))&amp;"","?"))</f>
        <v/>
      </c>
      <c r="N1839" s="2">
        <f>IF(E1839="","",IF(LEFT(E1839,7)="SUBSOLO",-1,IF(LEFT(E1839,6)="TÉRREO",0,IFERROR(VALUE(LEFT(E1839,FIND("º",SUBSTITUTE(E1839,"°","º"))-1)),""))))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M1840" s="2">
        <f>IF(C1840="","",IFERROR(INDEX($S$5:$S$304,MATCH(C1840,$R$5:$R$304,0))&amp;"","?"))</f>
        <v/>
      </c>
      <c r="N1840" s="2">
        <f>IF(E1840="","",IF(LEFT(E1840,7)="SUBSOLO",-1,IF(LEFT(E1840,6)="TÉRREO",0,IFERROR(VALUE(LEFT(E1840,FIND("º",SUBSTITUTE(E1840,"°","º"))-1)),""))))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M1841" s="2">
        <f>IF(C1841="","",IFERROR(INDEX($S$5:$S$304,MATCH(C1841,$R$5:$R$304,0))&amp;"","?"))</f>
        <v/>
      </c>
      <c r="N1841" s="2">
        <f>IF(E1841="","",IF(LEFT(E1841,7)="SUBSOLO",-1,IF(LEFT(E1841,6)="TÉRREO",0,IFERROR(VALUE(LEFT(E1841,FIND("º",SUBSTITUTE(E1841,"°","º"))-1)),""))))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M1842" s="2">
        <f>IF(C1842="","",IFERROR(INDEX($S$5:$S$304,MATCH(C1842,$R$5:$R$304,0))&amp;"","?"))</f>
        <v/>
      </c>
      <c r="N1842" s="2">
        <f>IF(E1842="","",IF(LEFT(E1842,7)="SUBSOLO",-1,IF(LEFT(E1842,6)="TÉRREO",0,IFERROR(VALUE(LEFT(E1842,FIND("º",SUBSTITUTE(E1842,"°","º"))-1)),""))))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M1843" s="2">
        <f>IF(C1843="","",IFERROR(INDEX($S$5:$S$304,MATCH(C1843,$R$5:$R$304,0))&amp;"","?"))</f>
        <v/>
      </c>
      <c r="N1843" s="2">
        <f>IF(E1843="","",IF(LEFT(E1843,7)="SUBSOLO",-1,IF(LEFT(E1843,6)="TÉRREO",0,IFERROR(VALUE(LEFT(E1843,FIND("º",SUBSTITUTE(E1843,"°","º"))-1)),""))))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M1844" s="2">
        <f>IF(C1844="","",IFERROR(INDEX($S$5:$S$304,MATCH(C1844,$R$5:$R$304,0))&amp;"","?"))</f>
        <v/>
      </c>
      <c r="N1844" s="2">
        <f>IF(E1844="","",IF(LEFT(E1844,7)="SUBSOLO",-1,IF(LEFT(E1844,6)="TÉRREO",0,IFERROR(VALUE(LEFT(E1844,FIND("º",SUBSTITUTE(E1844,"°","º"))-1)),""))))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M1845" s="2">
        <f>IF(C1845="","",IFERROR(INDEX($S$5:$S$304,MATCH(C1845,$R$5:$R$304,0))&amp;"","?"))</f>
        <v/>
      </c>
      <c r="N1845" s="2">
        <f>IF(E1845="","",IF(LEFT(E1845,7)="SUBSOLO",-1,IF(LEFT(E1845,6)="TÉRREO",0,IFERROR(VALUE(LEFT(E1845,FIND("º",SUBSTITUTE(E1845,"°","º"))-1)),""))))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M1846" s="2">
        <f>IF(C1846="","",IFERROR(INDEX($S$5:$S$304,MATCH(C1846,$R$5:$R$304,0))&amp;"","?"))</f>
        <v/>
      </c>
      <c r="N1846" s="2">
        <f>IF(E1846="","",IF(LEFT(E1846,7)="SUBSOLO",-1,IF(LEFT(E1846,6)="TÉRREO",0,IFERROR(VALUE(LEFT(E1846,FIND("º",SUBSTITUTE(E1846,"°","º"))-1)),""))))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M1847" s="2">
        <f>IF(C1847="","",IFERROR(INDEX($S$5:$S$304,MATCH(C1847,$R$5:$R$304,0))&amp;"","?"))</f>
        <v/>
      </c>
      <c r="N1847" s="2">
        <f>IF(E1847="","",IF(LEFT(E1847,7)="SUBSOLO",-1,IF(LEFT(E1847,6)="TÉRREO",0,IFERROR(VALUE(LEFT(E1847,FIND("º",SUBSTITUTE(E1847,"°","º"))-1)),""))))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M1848" s="2">
        <f>IF(C1848="","",IFERROR(INDEX($S$5:$S$304,MATCH(C1848,$R$5:$R$304,0))&amp;"","?"))</f>
        <v/>
      </c>
      <c r="N1848" s="2">
        <f>IF(E1848="","",IF(LEFT(E1848,7)="SUBSOLO",-1,IF(LEFT(E1848,6)="TÉRREO",0,IFERROR(VALUE(LEFT(E1848,FIND("º",SUBSTITUTE(E1848,"°","º"))-1)),""))))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M1849" s="2">
        <f>IF(C1849="","",IFERROR(INDEX($S$5:$S$304,MATCH(C1849,$R$5:$R$304,0))&amp;"","?"))</f>
        <v/>
      </c>
      <c r="N1849" s="2">
        <f>IF(E1849="","",IF(LEFT(E1849,7)="SUBSOLO",-1,IF(LEFT(E1849,6)="TÉRREO",0,IFERROR(VALUE(LEFT(E1849,FIND("º",SUBSTITUTE(E1849,"°","º"))-1)),""))))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M1850" s="2">
        <f>IF(C1850="","",IFERROR(INDEX($S$5:$S$304,MATCH(C1850,$R$5:$R$304,0))&amp;"","?"))</f>
        <v/>
      </c>
      <c r="N1850" s="2">
        <f>IF(E1850="","",IF(LEFT(E1850,7)="SUBSOLO",-1,IF(LEFT(E1850,6)="TÉRREO",0,IFERROR(VALUE(LEFT(E1850,FIND("º",SUBSTITUTE(E1850,"°","º"))-1)),""))))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M1851" s="2">
        <f>IF(C1851="","",IFERROR(INDEX($S$5:$S$304,MATCH(C1851,$R$5:$R$304,0))&amp;"","?"))</f>
        <v/>
      </c>
      <c r="N1851" s="2">
        <f>IF(E1851="","",IF(LEFT(E1851,7)="SUBSOLO",-1,IF(LEFT(E1851,6)="TÉRREO",0,IFERROR(VALUE(LEFT(E1851,FIND("º",SUBSTITUTE(E1851,"°","º"))-1)),""))))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M1852" s="2">
        <f>IF(C1852="","",IFERROR(INDEX($S$5:$S$304,MATCH(C1852,$R$5:$R$304,0))&amp;"","?"))</f>
        <v/>
      </c>
      <c r="N1852" s="2">
        <f>IF(E1852="","",IF(LEFT(E1852,7)="SUBSOLO",-1,IF(LEFT(E1852,6)="TÉRREO",0,IFERROR(VALUE(LEFT(E1852,FIND("º",SUBSTITUTE(E1852,"°","º"))-1)),""))))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M1853" s="2">
        <f>IF(C1853="","",IFERROR(INDEX($S$5:$S$304,MATCH(C1853,$R$5:$R$304,0))&amp;"","?"))</f>
        <v/>
      </c>
      <c r="N1853" s="2">
        <f>IF(E1853="","",IF(LEFT(E1853,7)="SUBSOLO",-1,IF(LEFT(E1853,6)="TÉRREO",0,IFERROR(VALUE(LEFT(E1853,FIND("º",SUBSTITUTE(E1853,"°","º"))-1)),""))))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M1854" s="2">
        <f>IF(C1854="","",IFERROR(INDEX($S$5:$S$304,MATCH(C1854,$R$5:$R$304,0))&amp;"","?"))</f>
        <v/>
      </c>
      <c r="N1854" s="2">
        <f>IF(E1854="","",IF(LEFT(E1854,7)="SUBSOLO",-1,IF(LEFT(E1854,6)="TÉRREO",0,IFERROR(VALUE(LEFT(E1854,FIND("º",SUBSTITUTE(E1854,"°","º"))-1)),""))))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M1855" s="2">
        <f>IF(C1855="","",IFERROR(INDEX($S$5:$S$304,MATCH(C1855,$R$5:$R$304,0))&amp;"","?"))</f>
        <v/>
      </c>
      <c r="N1855" s="2">
        <f>IF(E1855="","",IF(LEFT(E1855,7)="SUBSOLO",-1,IF(LEFT(E1855,6)="TÉRREO",0,IFERROR(VALUE(LEFT(E1855,FIND("º",SUBSTITUTE(E1855,"°","º"))-1)),""))))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M1856" s="2">
        <f>IF(C1856="","",IFERROR(INDEX($S$5:$S$304,MATCH(C1856,$R$5:$R$304,0))&amp;"","?"))</f>
        <v/>
      </c>
      <c r="N1856" s="2">
        <f>IF(E1856="","",IF(LEFT(E1856,7)="SUBSOLO",-1,IF(LEFT(E1856,6)="TÉRREO",0,IFERROR(VALUE(LEFT(E1856,FIND("º",SUBSTITUTE(E1856,"°","º"))-1)),""))))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M1857" s="2">
        <f>IF(C1857="","",IFERROR(INDEX($S$5:$S$304,MATCH(C1857,$R$5:$R$304,0))&amp;"","?"))</f>
        <v/>
      </c>
      <c r="N1857" s="2">
        <f>IF(E1857="","",IF(LEFT(E1857,7)="SUBSOLO",-1,IF(LEFT(E1857,6)="TÉRREO",0,IFERROR(VALUE(LEFT(E1857,FIND("º",SUBSTITUTE(E1857,"°","º"))-1)),""))))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M1858" s="2">
        <f>IF(C1858="","",IFERROR(INDEX($S$5:$S$304,MATCH(C1858,$R$5:$R$304,0))&amp;"","?"))</f>
        <v/>
      </c>
      <c r="N1858" s="2">
        <f>IF(E1858="","",IF(LEFT(E1858,7)="SUBSOLO",-1,IF(LEFT(E1858,6)="TÉRREO",0,IFERROR(VALUE(LEFT(E1858,FIND("º",SUBSTITUTE(E1858,"°","º"))-1)),""))))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M1859" s="2">
        <f>IF(C1859="","",IFERROR(INDEX($S$5:$S$304,MATCH(C1859,$R$5:$R$304,0))&amp;"","?"))</f>
        <v/>
      </c>
      <c r="N1859" s="2">
        <f>IF(E1859="","",IF(LEFT(E1859,7)="SUBSOLO",-1,IF(LEFT(E1859,6)="TÉRREO",0,IFERROR(VALUE(LEFT(E1859,FIND("º",SUBSTITUTE(E1859,"°","º"))-1)),""))))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M1860" s="2">
        <f>IF(C1860="","",IFERROR(INDEX($S$5:$S$304,MATCH(C1860,$R$5:$R$304,0))&amp;"","?"))</f>
        <v/>
      </c>
      <c r="N1860" s="2">
        <f>IF(E1860="","",IF(LEFT(E1860,7)="SUBSOLO",-1,IF(LEFT(E1860,6)="TÉRREO",0,IFERROR(VALUE(LEFT(E1860,FIND("º",SUBSTITUTE(E1860,"°","º"))-1)),""))))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M1861" s="2">
        <f>IF(C1861="","",IFERROR(INDEX($S$5:$S$304,MATCH(C1861,$R$5:$R$304,0))&amp;"","?"))</f>
        <v/>
      </c>
      <c r="N1861" s="2">
        <f>IF(E1861="","",IF(LEFT(E1861,7)="SUBSOLO",-1,IF(LEFT(E1861,6)="TÉRREO",0,IFERROR(VALUE(LEFT(E1861,FIND("º",SUBSTITUTE(E1861,"°","º"))-1)),""))))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M1862" s="2">
        <f>IF(C1862="","",IFERROR(INDEX($S$5:$S$304,MATCH(C1862,$R$5:$R$304,0))&amp;"","?"))</f>
        <v/>
      </c>
      <c r="N1862" s="2">
        <f>IF(E1862="","",IF(LEFT(E1862,7)="SUBSOLO",-1,IF(LEFT(E1862,6)="TÉRREO",0,IFERROR(VALUE(LEFT(E1862,FIND("º",SUBSTITUTE(E1862,"°","º"))-1)),""))))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M1863" s="2">
        <f>IF(C1863="","",IFERROR(INDEX($S$5:$S$304,MATCH(C1863,$R$5:$R$304,0))&amp;"","?"))</f>
        <v/>
      </c>
      <c r="N1863" s="2">
        <f>IF(E1863="","",IF(LEFT(E1863,7)="SUBSOLO",-1,IF(LEFT(E1863,6)="TÉRREO",0,IFERROR(VALUE(LEFT(E1863,FIND("º",SUBSTITUTE(E1863,"°","º"))-1)),""))))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M1864" s="2">
        <f>IF(C1864="","",IFERROR(INDEX($S$5:$S$304,MATCH(C1864,$R$5:$R$304,0))&amp;"","?"))</f>
        <v/>
      </c>
      <c r="N1864" s="2">
        <f>IF(E1864="","",IF(LEFT(E1864,7)="SUBSOLO",-1,IF(LEFT(E1864,6)="TÉRREO",0,IFERROR(VALUE(LEFT(E1864,FIND("º",SUBSTITUTE(E1864,"°","º"))-1)),""))))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M1865" s="2">
        <f>IF(C1865="","",IFERROR(INDEX($S$5:$S$304,MATCH(C1865,$R$5:$R$304,0))&amp;"","?"))</f>
        <v/>
      </c>
      <c r="N1865" s="2">
        <f>IF(E1865="","",IF(LEFT(E1865,7)="SUBSOLO",-1,IF(LEFT(E1865,6)="TÉRREO",0,IFERROR(VALUE(LEFT(E1865,FIND("º",SUBSTITUTE(E1865,"°","º"))-1)),""))))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M1866" s="2">
        <f>IF(C1866="","",IFERROR(INDEX($S$5:$S$304,MATCH(C1866,$R$5:$R$304,0))&amp;"","?"))</f>
        <v/>
      </c>
      <c r="N1866" s="2">
        <f>IF(E1866="","",IF(LEFT(E1866,7)="SUBSOLO",-1,IF(LEFT(E1866,6)="TÉRREO",0,IFERROR(VALUE(LEFT(E1866,FIND("º",SUBSTITUTE(E1866,"°","º"))-1)),""))))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M1867" s="2">
        <f>IF(C1867="","",IFERROR(INDEX($S$5:$S$304,MATCH(C1867,$R$5:$R$304,0))&amp;"","?"))</f>
        <v/>
      </c>
      <c r="N1867" s="2">
        <f>IF(E1867="","",IF(LEFT(E1867,7)="SUBSOLO",-1,IF(LEFT(E1867,6)="TÉRREO",0,IFERROR(VALUE(LEFT(E1867,FIND("º",SUBSTITUTE(E1867,"°","º"))-1)),""))))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M1868" s="2">
        <f>IF(C1868="","",IFERROR(INDEX($S$5:$S$304,MATCH(C1868,$R$5:$R$304,0))&amp;"","?"))</f>
        <v/>
      </c>
      <c r="N1868" s="2">
        <f>IF(E1868="","",IF(LEFT(E1868,7)="SUBSOLO",-1,IF(LEFT(E1868,6)="TÉRREO",0,IFERROR(VALUE(LEFT(E1868,FIND("º",SUBSTITUTE(E1868,"°","º"))-1)),""))))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M1869" s="2">
        <f>IF(C1869="","",IFERROR(INDEX($S$5:$S$304,MATCH(C1869,$R$5:$R$304,0))&amp;"","?"))</f>
        <v/>
      </c>
      <c r="N1869" s="2">
        <f>IF(E1869="","",IF(LEFT(E1869,7)="SUBSOLO",-1,IF(LEFT(E1869,6)="TÉRREO",0,IFERROR(VALUE(LEFT(E1869,FIND("º",SUBSTITUTE(E1869,"°","º"))-1)),""))))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M1870" s="2">
        <f>IF(C1870="","",IFERROR(INDEX($S$5:$S$304,MATCH(C1870,$R$5:$R$304,0))&amp;"","?"))</f>
        <v/>
      </c>
      <c r="N1870" s="2">
        <f>IF(E1870="","",IF(LEFT(E1870,7)="SUBSOLO",-1,IF(LEFT(E1870,6)="TÉRREO",0,IFERROR(VALUE(LEFT(E1870,FIND("º",SUBSTITUTE(E1870,"°","º"))-1)),""))))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M1871" s="2">
        <f>IF(C1871="","",IFERROR(INDEX($S$5:$S$304,MATCH(C1871,$R$5:$R$304,0))&amp;"","?"))</f>
        <v/>
      </c>
      <c r="N1871" s="2">
        <f>IF(E1871="","",IF(LEFT(E1871,7)="SUBSOLO",-1,IF(LEFT(E1871,6)="TÉRREO",0,IFERROR(VALUE(LEFT(E1871,FIND("º",SUBSTITUTE(E1871,"°","º"))-1)),""))))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M1872" s="2">
        <f>IF(C1872="","",IFERROR(INDEX($S$5:$S$304,MATCH(C1872,$R$5:$R$304,0))&amp;"","?"))</f>
        <v/>
      </c>
      <c r="N1872" s="2">
        <f>IF(E1872="","",IF(LEFT(E1872,7)="SUBSOLO",-1,IF(LEFT(E1872,6)="TÉRREO",0,IFERROR(VALUE(LEFT(E1872,FIND("º",SUBSTITUTE(E1872,"°","º"))-1)),""))))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M1873" s="2">
        <f>IF(C1873="","",IFERROR(INDEX($S$5:$S$304,MATCH(C1873,$R$5:$R$304,0))&amp;"","?"))</f>
        <v/>
      </c>
      <c r="N1873" s="2">
        <f>IF(E1873="","",IF(LEFT(E1873,7)="SUBSOLO",-1,IF(LEFT(E1873,6)="TÉRREO",0,IFERROR(VALUE(LEFT(E1873,FIND("º",SUBSTITUTE(E1873,"°","º"))-1)),""))))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M1874" s="2">
        <f>IF(C1874="","",IFERROR(INDEX($S$5:$S$304,MATCH(C1874,$R$5:$R$304,0))&amp;"","?"))</f>
        <v/>
      </c>
      <c r="N1874" s="2">
        <f>IF(E1874="","",IF(LEFT(E1874,7)="SUBSOLO",-1,IF(LEFT(E1874,6)="TÉRREO",0,IFERROR(VALUE(LEFT(E1874,FIND("º",SUBSTITUTE(E1874,"°","º"))-1)),""))))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M1875" s="2">
        <f>IF(C1875="","",IFERROR(INDEX($S$5:$S$304,MATCH(C1875,$R$5:$R$304,0))&amp;"","?"))</f>
        <v/>
      </c>
      <c r="N1875" s="2">
        <f>IF(E1875="","",IF(LEFT(E1875,7)="SUBSOLO",-1,IF(LEFT(E1875,6)="TÉRREO",0,IFERROR(VALUE(LEFT(E1875,FIND("º",SUBSTITUTE(E1875,"°","º"))-1)),""))))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M1876" s="2">
        <f>IF(C1876="","",IFERROR(INDEX($S$5:$S$304,MATCH(C1876,$R$5:$R$304,0))&amp;"","?"))</f>
        <v/>
      </c>
      <c r="N1876" s="2">
        <f>IF(E1876="","",IF(LEFT(E1876,7)="SUBSOLO",-1,IF(LEFT(E1876,6)="TÉRREO",0,IFERROR(VALUE(LEFT(E1876,FIND("º",SUBSTITUTE(E1876,"°","º"))-1)),""))))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M1877" s="2">
        <f>IF(C1877="","",IFERROR(INDEX($S$5:$S$304,MATCH(C1877,$R$5:$R$304,0))&amp;"","?"))</f>
        <v/>
      </c>
      <c r="N1877" s="2">
        <f>IF(E1877="","",IF(LEFT(E1877,7)="SUBSOLO",-1,IF(LEFT(E1877,6)="TÉRREO",0,IFERROR(VALUE(LEFT(E1877,FIND("º",SUBSTITUTE(E1877,"°","º"))-1)),""))))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M1878" s="2">
        <f>IF(C1878="","",IFERROR(INDEX($S$5:$S$304,MATCH(C1878,$R$5:$R$304,0))&amp;"","?"))</f>
        <v/>
      </c>
      <c r="N1878" s="2">
        <f>IF(E1878="","",IF(LEFT(E1878,7)="SUBSOLO",-1,IF(LEFT(E1878,6)="TÉRREO",0,IFERROR(VALUE(LEFT(E1878,FIND("º",SUBSTITUTE(E1878,"°","º"))-1)),""))))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M1879" s="2">
        <f>IF(C1879="","",IFERROR(INDEX($S$5:$S$304,MATCH(C1879,$R$5:$R$304,0))&amp;"","?"))</f>
        <v/>
      </c>
      <c r="N1879" s="2">
        <f>IF(E1879="","",IF(LEFT(E1879,7)="SUBSOLO",-1,IF(LEFT(E1879,6)="TÉRREO",0,IFERROR(VALUE(LEFT(E1879,FIND("º",SUBSTITUTE(E1879,"°","º"))-1)),""))))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M1880" s="2">
        <f>IF(C1880="","",IFERROR(INDEX($S$5:$S$304,MATCH(C1880,$R$5:$R$304,0))&amp;"","?"))</f>
        <v/>
      </c>
      <c r="N1880" s="2">
        <f>IF(E1880="","",IF(LEFT(E1880,7)="SUBSOLO",-1,IF(LEFT(E1880,6)="TÉRREO",0,IFERROR(VALUE(LEFT(E1880,FIND("º",SUBSTITUTE(E1880,"°","º"))-1)),""))))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M1881" s="2">
        <f>IF(C1881="","",IFERROR(INDEX($S$5:$S$304,MATCH(C1881,$R$5:$R$304,0))&amp;"","?"))</f>
        <v/>
      </c>
      <c r="N1881" s="2">
        <f>IF(E1881="","",IF(LEFT(E1881,7)="SUBSOLO",-1,IF(LEFT(E1881,6)="TÉRREO",0,IFERROR(VALUE(LEFT(E1881,FIND("º",SUBSTITUTE(E1881,"°","º"))-1)),""))))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M1882" s="2">
        <f>IF(C1882="","",IFERROR(INDEX($S$5:$S$304,MATCH(C1882,$R$5:$R$304,0))&amp;"","?"))</f>
        <v/>
      </c>
      <c r="N1882" s="2">
        <f>IF(E1882="","",IF(LEFT(E1882,7)="SUBSOLO",-1,IF(LEFT(E1882,6)="TÉRREO",0,IFERROR(VALUE(LEFT(E1882,FIND("º",SUBSTITUTE(E1882,"°","º"))-1)),""))))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M1883" s="2">
        <f>IF(C1883="","",IFERROR(INDEX($S$5:$S$304,MATCH(C1883,$R$5:$R$304,0))&amp;"","?"))</f>
        <v/>
      </c>
      <c r="N1883" s="2">
        <f>IF(E1883="","",IF(LEFT(E1883,7)="SUBSOLO",-1,IF(LEFT(E1883,6)="TÉRREO",0,IFERROR(VALUE(LEFT(E1883,FIND("º",SUBSTITUTE(E1883,"°","º"))-1)),""))))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M1884" s="2">
        <f>IF(C1884="","",IFERROR(INDEX($S$5:$S$304,MATCH(C1884,$R$5:$R$304,0))&amp;"","?"))</f>
        <v/>
      </c>
      <c r="N1884" s="2">
        <f>IF(E1884="","",IF(LEFT(E1884,7)="SUBSOLO",-1,IF(LEFT(E1884,6)="TÉRREO",0,IFERROR(VALUE(LEFT(E1884,FIND("º",SUBSTITUTE(E1884,"°","º"))-1)),""))))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M1885" s="2">
        <f>IF(C1885="","",IFERROR(INDEX($S$5:$S$304,MATCH(C1885,$R$5:$R$304,0))&amp;"","?"))</f>
        <v/>
      </c>
      <c r="N1885" s="2">
        <f>IF(E1885="","",IF(LEFT(E1885,7)="SUBSOLO",-1,IF(LEFT(E1885,6)="TÉRREO",0,IFERROR(VALUE(LEFT(E1885,FIND("º",SUBSTITUTE(E1885,"°","º"))-1)),""))))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M1886" s="2">
        <f>IF(C1886="","",IFERROR(INDEX($S$5:$S$304,MATCH(C1886,$R$5:$R$304,0))&amp;"","?"))</f>
        <v/>
      </c>
      <c r="N1886" s="2">
        <f>IF(E1886="","",IF(LEFT(E1886,7)="SUBSOLO",-1,IF(LEFT(E1886,6)="TÉRREO",0,IFERROR(VALUE(LEFT(E1886,FIND("º",SUBSTITUTE(E1886,"°","º"))-1)),""))))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M1887" s="2">
        <f>IF(C1887="","",IFERROR(INDEX($S$5:$S$304,MATCH(C1887,$R$5:$R$304,0))&amp;"","?"))</f>
        <v/>
      </c>
      <c r="N1887" s="2">
        <f>IF(E1887="","",IF(LEFT(E1887,7)="SUBSOLO",-1,IF(LEFT(E1887,6)="TÉRREO",0,IFERROR(VALUE(LEFT(E1887,FIND("º",SUBSTITUTE(E1887,"°","º"))-1)),""))))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M1888" s="2">
        <f>IF(C1888="","",IFERROR(INDEX($S$5:$S$304,MATCH(C1888,$R$5:$R$304,0))&amp;"","?"))</f>
        <v/>
      </c>
      <c r="N1888" s="2">
        <f>IF(E1888="","",IF(LEFT(E1888,7)="SUBSOLO",-1,IF(LEFT(E1888,6)="TÉRREO",0,IFERROR(VALUE(LEFT(E1888,FIND("º",SUBSTITUTE(E1888,"°","º"))-1)),""))))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M1889" s="2">
        <f>IF(C1889="","",IFERROR(INDEX($S$5:$S$304,MATCH(C1889,$R$5:$R$304,0))&amp;"","?"))</f>
        <v/>
      </c>
      <c r="N1889" s="2">
        <f>IF(E1889="","",IF(LEFT(E1889,7)="SUBSOLO",-1,IF(LEFT(E1889,6)="TÉRREO",0,IFERROR(VALUE(LEFT(E1889,FIND("º",SUBSTITUTE(E1889,"°","º"))-1)),""))))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M1890" s="2">
        <f>IF(C1890="","",IFERROR(INDEX($S$5:$S$304,MATCH(C1890,$R$5:$R$304,0))&amp;"","?"))</f>
        <v/>
      </c>
      <c r="N1890" s="2">
        <f>IF(E1890="","",IF(LEFT(E1890,7)="SUBSOLO",-1,IF(LEFT(E1890,6)="TÉRREO",0,IFERROR(VALUE(LEFT(E1890,FIND("º",SUBSTITUTE(E1890,"°","º"))-1)),""))))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M1891" s="2">
        <f>IF(C1891="","",IFERROR(INDEX($S$5:$S$304,MATCH(C1891,$R$5:$R$304,0))&amp;"","?"))</f>
        <v/>
      </c>
      <c r="N1891" s="2">
        <f>IF(E1891="","",IF(LEFT(E1891,7)="SUBSOLO",-1,IF(LEFT(E1891,6)="TÉRREO",0,IFERROR(VALUE(LEFT(E1891,FIND("º",SUBSTITUTE(E1891,"°","º"))-1)),""))))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M1892" s="2">
        <f>IF(C1892="","",IFERROR(INDEX($S$5:$S$304,MATCH(C1892,$R$5:$R$304,0))&amp;"","?"))</f>
        <v/>
      </c>
      <c r="N1892" s="2">
        <f>IF(E1892="","",IF(LEFT(E1892,7)="SUBSOLO",-1,IF(LEFT(E1892,6)="TÉRREO",0,IFERROR(VALUE(LEFT(E1892,FIND("º",SUBSTITUTE(E1892,"°","º"))-1)),""))))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M1893" s="2">
        <f>IF(C1893="","",IFERROR(INDEX($S$5:$S$304,MATCH(C1893,$R$5:$R$304,0))&amp;"","?"))</f>
        <v/>
      </c>
      <c r="N1893" s="2">
        <f>IF(E1893="","",IF(LEFT(E1893,7)="SUBSOLO",-1,IF(LEFT(E1893,6)="TÉRREO",0,IFERROR(VALUE(LEFT(E1893,FIND("º",SUBSTITUTE(E1893,"°","º"))-1)),""))))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M1894" s="2">
        <f>IF(C1894="","",IFERROR(INDEX($S$5:$S$304,MATCH(C1894,$R$5:$R$304,0))&amp;"","?"))</f>
        <v/>
      </c>
      <c r="N1894" s="2">
        <f>IF(E1894="","",IF(LEFT(E1894,7)="SUBSOLO",-1,IF(LEFT(E1894,6)="TÉRREO",0,IFERROR(VALUE(LEFT(E1894,FIND("º",SUBSTITUTE(E1894,"°","º"))-1)),""))))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M1895" s="2">
        <f>IF(C1895="","",IFERROR(INDEX($S$5:$S$304,MATCH(C1895,$R$5:$R$304,0))&amp;"","?"))</f>
        <v/>
      </c>
      <c r="N1895" s="2">
        <f>IF(E1895="","",IF(LEFT(E1895,7)="SUBSOLO",-1,IF(LEFT(E1895,6)="TÉRREO",0,IFERROR(VALUE(LEFT(E1895,FIND("º",SUBSTITUTE(E1895,"°","º"))-1)),""))))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M1896" s="2">
        <f>IF(C1896="","",IFERROR(INDEX($S$5:$S$304,MATCH(C1896,$R$5:$R$304,0))&amp;"","?"))</f>
        <v/>
      </c>
      <c r="N1896" s="2">
        <f>IF(E1896="","",IF(LEFT(E1896,7)="SUBSOLO",-1,IF(LEFT(E1896,6)="TÉRREO",0,IFERROR(VALUE(LEFT(E1896,FIND("º",SUBSTITUTE(E1896,"°","º"))-1)),""))))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M1897" s="2">
        <f>IF(C1897="","",IFERROR(INDEX($S$5:$S$304,MATCH(C1897,$R$5:$R$304,0))&amp;"","?"))</f>
        <v/>
      </c>
      <c r="N1897" s="2">
        <f>IF(E1897="","",IF(LEFT(E1897,7)="SUBSOLO",-1,IF(LEFT(E1897,6)="TÉRREO",0,IFERROR(VALUE(LEFT(E1897,FIND("º",SUBSTITUTE(E1897,"°","º"))-1)),""))))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M1898" s="2">
        <f>IF(C1898="","",IFERROR(INDEX($S$5:$S$304,MATCH(C1898,$R$5:$R$304,0))&amp;"","?"))</f>
        <v/>
      </c>
      <c r="N1898" s="2">
        <f>IF(E1898="","",IF(LEFT(E1898,7)="SUBSOLO",-1,IF(LEFT(E1898,6)="TÉRREO",0,IFERROR(VALUE(LEFT(E1898,FIND("º",SUBSTITUTE(E1898,"°","º"))-1)),""))))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M1899" s="2">
        <f>IF(C1899="","",IFERROR(INDEX($S$5:$S$304,MATCH(C1899,$R$5:$R$304,0))&amp;"","?"))</f>
        <v/>
      </c>
      <c r="N1899" s="2">
        <f>IF(E1899="","",IF(LEFT(E1899,7)="SUBSOLO",-1,IF(LEFT(E1899,6)="TÉRREO",0,IFERROR(VALUE(LEFT(E1899,FIND("º",SUBSTITUTE(E1899,"°","º"))-1)),""))))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M1900" s="2">
        <f>IF(C1900="","",IFERROR(INDEX($S$5:$S$304,MATCH(C1900,$R$5:$R$304,0))&amp;"","?"))</f>
        <v/>
      </c>
      <c r="N1900" s="2">
        <f>IF(E1900="","",IF(LEFT(E1900,7)="SUBSOLO",-1,IF(LEFT(E1900,6)="TÉRREO",0,IFERROR(VALUE(LEFT(E1900,FIND("º",SUBSTITUTE(E1900,"°","º"))-1)),""))))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M1901" s="2">
        <f>IF(C1901="","",IFERROR(INDEX($S$5:$S$304,MATCH(C1901,$R$5:$R$304,0))&amp;"","?"))</f>
        <v/>
      </c>
      <c r="N1901" s="2">
        <f>IF(E1901="","",IF(LEFT(E1901,7)="SUBSOLO",-1,IF(LEFT(E1901,6)="TÉRREO",0,IFERROR(VALUE(LEFT(E1901,FIND("º",SUBSTITUTE(E1901,"°","º"))-1)),""))))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M1902" s="2">
        <f>IF(C1902="","",IFERROR(INDEX($S$5:$S$304,MATCH(C1902,$R$5:$R$304,0))&amp;"","?"))</f>
        <v/>
      </c>
      <c r="N1902" s="2">
        <f>IF(E1902="","",IF(LEFT(E1902,7)="SUBSOLO",-1,IF(LEFT(E1902,6)="TÉRREO",0,IFERROR(VALUE(LEFT(E1902,FIND("º",SUBSTITUTE(E1902,"°","º"))-1)),""))))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M1903" s="2">
        <f>IF(C1903="","",IFERROR(INDEX($S$5:$S$304,MATCH(C1903,$R$5:$R$304,0))&amp;"","?"))</f>
        <v/>
      </c>
      <c r="N1903" s="2">
        <f>IF(E1903="","",IF(LEFT(E1903,7)="SUBSOLO",-1,IF(LEFT(E1903,6)="TÉRREO",0,IFERROR(VALUE(LEFT(E1903,FIND("º",SUBSTITUTE(E1903,"°","º"))-1)),""))))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M1904" s="2">
        <f>IF(C1904="","",IFERROR(INDEX($S$5:$S$304,MATCH(C1904,$R$5:$R$304,0))&amp;"","?"))</f>
        <v/>
      </c>
      <c r="N1904" s="2">
        <f>IF(E1904="","",IF(LEFT(E1904,7)="SUBSOLO",-1,IF(LEFT(E1904,6)="TÉRREO",0,IFERROR(VALUE(LEFT(E1904,FIND("º",SUBSTITUTE(E1904,"°","º"))-1)),""))))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M1905" s="2">
        <f>IF(C1905="","",IFERROR(INDEX($S$5:$S$304,MATCH(C1905,$R$5:$R$304,0))&amp;"","?"))</f>
        <v/>
      </c>
      <c r="N1905" s="2">
        <f>IF(E1905="","",IF(LEFT(E1905,7)="SUBSOLO",-1,IF(LEFT(E1905,6)="TÉRREO",0,IFERROR(VALUE(LEFT(E1905,FIND("º",SUBSTITUTE(E1905,"°","º"))-1)),""))))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M1906" s="2">
        <f>IF(C1906="","",IFERROR(INDEX($S$5:$S$304,MATCH(C1906,$R$5:$R$304,0))&amp;"","?"))</f>
        <v/>
      </c>
      <c r="N1906" s="2">
        <f>IF(E1906="","",IF(LEFT(E1906,7)="SUBSOLO",-1,IF(LEFT(E1906,6)="TÉRREO",0,IFERROR(VALUE(LEFT(E1906,FIND("º",SUBSTITUTE(E1906,"°","º"))-1)),""))))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M1907" s="2">
        <f>IF(C1907="","",IFERROR(INDEX($S$5:$S$304,MATCH(C1907,$R$5:$R$304,0))&amp;"","?"))</f>
        <v/>
      </c>
      <c r="N1907" s="2">
        <f>IF(E1907="","",IF(LEFT(E1907,7)="SUBSOLO",-1,IF(LEFT(E1907,6)="TÉRREO",0,IFERROR(VALUE(LEFT(E1907,FIND("º",SUBSTITUTE(E1907,"°","º"))-1)),""))))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M1908" s="2">
        <f>IF(C1908="","",IFERROR(INDEX($S$5:$S$304,MATCH(C1908,$R$5:$R$304,0))&amp;"","?"))</f>
        <v/>
      </c>
      <c r="N1908" s="2">
        <f>IF(E1908="","",IF(LEFT(E1908,7)="SUBSOLO",-1,IF(LEFT(E1908,6)="TÉRREO",0,IFERROR(VALUE(LEFT(E1908,FIND("º",SUBSTITUTE(E1908,"°","º"))-1)),""))))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M1909" s="2">
        <f>IF(C1909="","",IFERROR(INDEX($S$5:$S$304,MATCH(C1909,$R$5:$R$304,0))&amp;"","?"))</f>
        <v/>
      </c>
      <c r="N1909" s="2">
        <f>IF(E1909="","",IF(LEFT(E1909,7)="SUBSOLO",-1,IF(LEFT(E1909,6)="TÉRREO",0,IFERROR(VALUE(LEFT(E1909,FIND("º",SUBSTITUTE(E1909,"°","º"))-1)),""))))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M1910" s="2">
        <f>IF(C1910="","",IFERROR(INDEX($S$5:$S$304,MATCH(C1910,$R$5:$R$304,0))&amp;"","?"))</f>
        <v/>
      </c>
      <c r="N1910" s="2">
        <f>IF(E1910="","",IF(LEFT(E1910,7)="SUBSOLO",-1,IF(LEFT(E1910,6)="TÉRREO",0,IFERROR(VALUE(LEFT(E1910,FIND("º",SUBSTITUTE(E1910,"°","º"))-1)),""))))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M1911" s="2">
        <f>IF(C1911="","",IFERROR(INDEX($S$5:$S$304,MATCH(C1911,$R$5:$R$304,0))&amp;"","?"))</f>
        <v/>
      </c>
      <c r="N1911" s="2">
        <f>IF(E1911="","",IF(LEFT(E1911,7)="SUBSOLO",-1,IF(LEFT(E1911,6)="TÉRREO",0,IFERROR(VALUE(LEFT(E1911,FIND("º",SUBSTITUTE(E1911,"°","º"))-1)),""))))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M1912" s="2">
        <f>IF(C1912="","",IFERROR(INDEX($S$5:$S$304,MATCH(C1912,$R$5:$R$304,0))&amp;"","?"))</f>
        <v/>
      </c>
      <c r="N1912" s="2">
        <f>IF(E1912="","",IF(LEFT(E1912,7)="SUBSOLO",-1,IF(LEFT(E1912,6)="TÉRREO",0,IFERROR(VALUE(LEFT(E1912,FIND("º",SUBSTITUTE(E1912,"°","º"))-1)),""))))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M1913" s="2">
        <f>IF(C1913="","",IFERROR(INDEX($S$5:$S$304,MATCH(C1913,$R$5:$R$304,0))&amp;"","?"))</f>
        <v/>
      </c>
      <c r="N1913" s="2">
        <f>IF(E1913="","",IF(LEFT(E1913,7)="SUBSOLO",-1,IF(LEFT(E1913,6)="TÉRREO",0,IFERROR(VALUE(LEFT(E1913,FIND("º",SUBSTITUTE(E1913,"°","º"))-1)),""))))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M1914" s="2">
        <f>IF(C1914="","",IFERROR(INDEX($S$5:$S$304,MATCH(C1914,$R$5:$R$304,0))&amp;"","?"))</f>
        <v/>
      </c>
      <c r="N1914" s="2">
        <f>IF(E1914="","",IF(LEFT(E1914,7)="SUBSOLO",-1,IF(LEFT(E1914,6)="TÉRREO",0,IFERROR(VALUE(LEFT(E1914,FIND("º",SUBSTITUTE(E1914,"°","º"))-1)),""))))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M1915" s="2">
        <f>IF(C1915="","",IFERROR(INDEX($S$5:$S$304,MATCH(C1915,$R$5:$R$304,0))&amp;"","?"))</f>
        <v/>
      </c>
      <c r="N1915" s="2">
        <f>IF(E1915="","",IF(LEFT(E1915,7)="SUBSOLO",-1,IF(LEFT(E1915,6)="TÉRREO",0,IFERROR(VALUE(LEFT(E1915,FIND("º",SUBSTITUTE(E1915,"°","º"))-1)),""))))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M1916" s="2">
        <f>IF(C1916="","",IFERROR(INDEX($S$5:$S$304,MATCH(C1916,$R$5:$R$304,0))&amp;"","?"))</f>
        <v/>
      </c>
      <c r="N1916" s="2">
        <f>IF(E1916="","",IF(LEFT(E1916,7)="SUBSOLO",-1,IF(LEFT(E1916,6)="TÉRREO",0,IFERROR(VALUE(LEFT(E1916,FIND("º",SUBSTITUTE(E1916,"°","º"))-1)),""))))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M1917" s="2">
        <f>IF(C1917="","",IFERROR(INDEX($S$5:$S$304,MATCH(C1917,$R$5:$R$304,0))&amp;"","?"))</f>
        <v/>
      </c>
      <c r="N1917" s="2">
        <f>IF(E1917="","",IF(LEFT(E1917,7)="SUBSOLO",-1,IF(LEFT(E1917,6)="TÉRREO",0,IFERROR(VALUE(LEFT(E1917,FIND("º",SUBSTITUTE(E1917,"°","º"))-1)),""))))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M1918" s="2">
        <f>IF(C1918="","",IFERROR(INDEX($S$5:$S$304,MATCH(C1918,$R$5:$R$304,0))&amp;"","?"))</f>
        <v/>
      </c>
      <c r="N1918" s="2">
        <f>IF(E1918="","",IF(LEFT(E1918,7)="SUBSOLO",-1,IF(LEFT(E1918,6)="TÉRREO",0,IFERROR(VALUE(LEFT(E1918,FIND("º",SUBSTITUTE(E1918,"°","º"))-1)),""))))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M1919" s="2">
        <f>IF(C1919="","",IFERROR(INDEX($S$5:$S$304,MATCH(C1919,$R$5:$R$304,0))&amp;"","?"))</f>
        <v/>
      </c>
      <c r="N1919" s="2">
        <f>IF(E1919="","",IF(LEFT(E1919,7)="SUBSOLO",-1,IF(LEFT(E1919,6)="TÉRREO",0,IFERROR(VALUE(LEFT(E1919,FIND("º",SUBSTITUTE(E1919,"°","º"))-1)),""))))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M1920" s="2">
        <f>IF(C1920="","",IFERROR(INDEX($S$5:$S$304,MATCH(C1920,$R$5:$R$304,0))&amp;"","?"))</f>
        <v/>
      </c>
      <c r="N1920" s="2">
        <f>IF(E1920="","",IF(LEFT(E1920,7)="SUBSOLO",-1,IF(LEFT(E1920,6)="TÉRREO",0,IFERROR(VALUE(LEFT(E1920,FIND("º",SUBSTITUTE(E1920,"°","º"))-1)),""))))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M1921" s="2">
        <f>IF(C1921="","",IFERROR(INDEX($S$5:$S$304,MATCH(C1921,$R$5:$R$304,0))&amp;"","?"))</f>
        <v/>
      </c>
      <c r="N1921" s="2">
        <f>IF(E1921="","",IF(LEFT(E1921,7)="SUBSOLO",-1,IF(LEFT(E1921,6)="TÉRREO",0,IFERROR(VALUE(LEFT(E1921,FIND("º",SUBSTITUTE(E1921,"°","º"))-1)),""))))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M1922" s="2">
        <f>IF(C1922="","",IFERROR(INDEX($S$5:$S$304,MATCH(C1922,$R$5:$R$304,0))&amp;"","?"))</f>
        <v/>
      </c>
      <c r="N1922" s="2">
        <f>IF(E1922="","",IF(LEFT(E1922,7)="SUBSOLO",-1,IF(LEFT(E1922,6)="TÉRREO",0,IFERROR(VALUE(LEFT(E1922,FIND("º",SUBSTITUTE(E1922,"°","º"))-1)),""))))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M1923" s="2">
        <f>IF(C1923="","",IFERROR(INDEX($S$5:$S$304,MATCH(C1923,$R$5:$R$304,0))&amp;"","?"))</f>
        <v/>
      </c>
      <c r="N1923" s="2">
        <f>IF(E1923="","",IF(LEFT(E1923,7)="SUBSOLO",-1,IF(LEFT(E1923,6)="TÉRREO",0,IFERROR(VALUE(LEFT(E1923,FIND("º",SUBSTITUTE(E1923,"°","º"))-1)),""))))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M1924" s="2">
        <f>IF(C1924="","",IFERROR(INDEX($S$5:$S$304,MATCH(C1924,$R$5:$R$304,0))&amp;"","?"))</f>
        <v/>
      </c>
      <c r="N1924" s="2">
        <f>IF(E1924="","",IF(LEFT(E1924,7)="SUBSOLO",-1,IF(LEFT(E1924,6)="TÉRREO",0,IFERROR(VALUE(LEFT(E1924,FIND("º",SUBSTITUTE(E1924,"°","º"))-1)),""))))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M1925" s="2">
        <f>IF(C1925="","",IFERROR(INDEX($S$5:$S$304,MATCH(C1925,$R$5:$R$304,0))&amp;"","?"))</f>
        <v/>
      </c>
      <c r="N1925" s="2">
        <f>IF(E1925="","",IF(LEFT(E1925,7)="SUBSOLO",-1,IF(LEFT(E1925,6)="TÉRREO",0,IFERROR(VALUE(LEFT(E1925,FIND("º",SUBSTITUTE(E1925,"°","º"))-1)),""))))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M1926" s="2">
        <f>IF(C1926="","",IFERROR(INDEX($S$5:$S$304,MATCH(C1926,$R$5:$R$304,0))&amp;"","?"))</f>
        <v/>
      </c>
      <c r="N1926" s="2">
        <f>IF(E1926="","",IF(LEFT(E1926,7)="SUBSOLO",-1,IF(LEFT(E1926,6)="TÉRREO",0,IFERROR(VALUE(LEFT(E1926,FIND("º",SUBSTITUTE(E1926,"°","º"))-1)),""))))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M1927" s="2">
        <f>IF(C1927="","",IFERROR(INDEX($S$5:$S$304,MATCH(C1927,$R$5:$R$304,0))&amp;"","?"))</f>
        <v/>
      </c>
      <c r="N1927" s="2">
        <f>IF(E1927="","",IF(LEFT(E1927,7)="SUBSOLO",-1,IF(LEFT(E1927,6)="TÉRREO",0,IFERROR(VALUE(LEFT(E1927,FIND("º",SUBSTITUTE(E1927,"°","º"))-1)),""))))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M1928" s="2">
        <f>IF(C1928="","",IFERROR(INDEX($S$5:$S$304,MATCH(C1928,$R$5:$R$304,0))&amp;"","?"))</f>
        <v/>
      </c>
      <c r="N1928" s="2">
        <f>IF(E1928="","",IF(LEFT(E1928,7)="SUBSOLO",-1,IF(LEFT(E1928,6)="TÉRREO",0,IFERROR(VALUE(LEFT(E1928,FIND("º",SUBSTITUTE(E1928,"°","º"))-1)),""))))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M1929" s="2">
        <f>IF(C1929="","",IFERROR(INDEX($S$5:$S$304,MATCH(C1929,$R$5:$R$304,0))&amp;"","?"))</f>
        <v/>
      </c>
      <c r="N1929" s="2">
        <f>IF(E1929="","",IF(LEFT(E1929,7)="SUBSOLO",-1,IF(LEFT(E1929,6)="TÉRREO",0,IFERROR(VALUE(LEFT(E1929,FIND("º",SUBSTITUTE(E1929,"°","º"))-1)),""))))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M1930" s="2">
        <f>IF(C1930="","",IFERROR(INDEX($S$5:$S$304,MATCH(C1930,$R$5:$R$304,0))&amp;"","?"))</f>
        <v/>
      </c>
      <c r="N1930" s="2">
        <f>IF(E1930="","",IF(LEFT(E1930,7)="SUBSOLO",-1,IF(LEFT(E1930,6)="TÉRREO",0,IFERROR(VALUE(LEFT(E1930,FIND("º",SUBSTITUTE(E1930,"°","º"))-1)),""))))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M1931" s="2">
        <f>IF(C1931="","",IFERROR(INDEX($S$5:$S$304,MATCH(C1931,$R$5:$R$304,0))&amp;"","?"))</f>
        <v/>
      </c>
      <c r="N1931" s="2">
        <f>IF(E1931="","",IF(LEFT(E1931,7)="SUBSOLO",-1,IF(LEFT(E1931,6)="TÉRREO",0,IFERROR(VALUE(LEFT(E1931,FIND("º",SUBSTITUTE(E1931,"°","º"))-1)),""))))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M1932" s="2">
        <f>IF(C1932="","",IFERROR(INDEX($S$5:$S$304,MATCH(C1932,$R$5:$R$304,0))&amp;"","?"))</f>
        <v/>
      </c>
      <c r="N1932" s="2">
        <f>IF(E1932="","",IF(LEFT(E1932,7)="SUBSOLO",-1,IF(LEFT(E1932,6)="TÉRREO",0,IFERROR(VALUE(LEFT(E1932,FIND("º",SUBSTITUTE(E1932,"°","º"))-1)),""))))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M1933" s="2">
        <f>IF(C1933="","",IFERROR(INDEX($S$5:$S$304,MATCH(C1933,$R$5:$R$304,0))&amp;"","?"))</f>
        <v/>
      </c>
      <c r="N1933" s="2">
        <f>IF(E1933="","",IF(LEFT(E1933,7)="SUBSOLO",-1,IF(LEFT(E1933,6)="TÉRREO",0,IFERROR(VALUE(LEFT(E1933,FIND("º",SUBSTITUTE(E1933,"°","º"))-1)),""))))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M1934" s="2">
        <f>IF(C1934="","",IFERROR(INDEX($S$5:$S$304,MATCH(C1934,$R$5:$R$304,0))&amp;"","?"))</f>
        <v/>
      </c>
      <c r="N1934" s="2">
        <f>IF(E1934="","",IF(LEFT(E1934,7)="SUBSOLO",-1,IF(LEFT(E1934,6)="TÉRREO",0,IFERROR(VALUE(LEFT(E1934,FIND("º",SUBSTITUTE(E1934,"°","º"))-1)),""))))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M1935" s="2">
        <f>IF(C1935="","",IFERROR(INDEX($S$5:$S$304,MATCH(C1935,$R$5:$R$304,0))&amp;"","?"))</f>
        <v/>
      </c>
      <c r="N1935" s="2">
        <f>IF(E1935="","",IF(LEFT(E1935,7)="SUBSOLO",-1,IF(LEFT(E1935,6)="TÉRREO",0,IFERROR(VALUE(LEFT(E1935,FIND("º",SUBSTITUTE(E1935,"°","º"))-1)),""))))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M1936" s="2">
        <f>IF(C1936="","",IFERROR(INDEX($S$5:$S$304,MATCH(C1936,$R$5:$R$304,0))&amp;"","?"))</f>
        <v/>
      </c>
      <c r="N1936" s="2">
        <f>IF(E1936="","",IF(LEFT(E1936,7)="SUBSOLO",-1,IF(LEFT(E1936,6)="TÉRREO",0,IFERROR(VALUE(LEFT(E1936,FIND("º",SUBSTITUTE(E1936,"°","º"))-1)),""))))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M1937" s="2">
        <f>IF(C1937="","",IFERROR(INDEX($S$5:$S$304,MATCH(C1937,$R$5:$R$304,0))&amp;"","?"))</f>
        <v/>
      </c>
      <c r="N1937" s="2">
        <f>IF(E1937="","",IF(LEFT(E1937,7)="SUBSOLO",-1,IF(LEFT(E1937,6)="TÉRREO",0,IFERROR(VALUE(LEFT(E1937,FIND("º",SUBSTITUTE(E1937,"°","º"))-1)),""))))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M1938" s="2">
        <f>IF(C1938="","",IFERROR(INDEX($S$5:$S$304,MATCH(C1938,$R$5:$R$304,0))&amp;"","?"))</f>
        <v/>
      </c>
      <c r="N1938" s="2">
        <f>IF(E1938="","",IF(LEFT(E1938,7)="SUBSOLO",-1,IF(LEFT(E1938,6)="TÉRREO",0,IFERROR(VALUE(LEFT(E1938,FIND("º",SUBSTITUTE(E1938,"°","º"))-1)),""))))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M1939" s="2">
        <f>IF(C1939="","",IFERROR(INDEX($S$5:$S$304,MATCH(C1939,$R$5:$R$304,0))&amp;"","?"))</f>
        <v/>
      </c>
      <c r="N1939" s="2">
        <f>IF(E1939="","",IF(LEFT(E1939,7)="SUBSOLO",-1,IF(LEFT(E1939,6)="TÉRREO",0,IFERROR(VALUE(LEFT(E1939,FIND("º",SUBSTITUTE(E1939,"°","º"))-1)),""))))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M1940" s="2">
        <f>IF(C1940="","",IFERROR(INDEX($S$5:$S$304,MATCH(C1940,$R$5:$R$304,0))&amp;"","?"))</f>
        <v/>
      </c>
      <c r="N1940" s="2">
        <f>IF(E1940="","",IF(LEFT(E1940,7)="SUBSOLO",-1,IF(LEFT(E1940,6)="TÉRREO",0,IFERROR(VALUE(LEFT(E1940,FIND("º",SUBSTITUTE(E1940,"°","º"))-1)),""))))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M1941" s="2">
        <f>IF(C1941="","",IFERROR(INDEX($S$5:$S$304,MATCH(C1941,$R$5:$R$304,0))&amp;"","?"))</f>
        <v/>
      </c>
      <c r="N1941" s="2">
        <f>IF(E1941="","",IF(LEFT(E1941,7)="SUBSOLO",-1,IF(LEFT(E1941,6)="TÉRREO",0,IFERROR(VALUE(LEFT(E1941,FIND("º",SUBSTITUTE(E1941,"°","º"))-1)),""))))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M1942" s="2">
        <f>IF(C1942="","",IFERROR(INDEX($S$5:$S$304,MATCH(C1942,$R$5:$R$304,0))&amp;"","?"))</f>
        <v/>
      </c>
      <c r="N1942" s="2">
        <f>IF(E1942="","",IF(LEFT(E1942,7)="SUBSOLO",-1,IF(LEFT(E1942,6)="TÉRREO",0,IFERROR(VALUE(LEFT(E1942,FIND("º",SUBSTITUTE(E1942,"°","º"))-1)),""))))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M1943" s="2">
        <f>IF(C1943="","",IFERROR(INDEX($S$5:$S$304,MATCH(C1943,$R$5:$R$304,0))&amp;"","?"))</f>
        <v/>
      </c>
      <c r="N1943" s="2">
        <f>IF(E1943="","",IF(LEFT(E1943,7)="SUBSOLO",-1,IF(LEFT(E1943,6)="TÉRREO",0,IFERROR(VALUE(LEFT(E1943,FIND("º",SUBSTITUTE(E1943,"°","º"))-1)),""))))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M1944" s="2">
        <f>IF(C1944="","",IFERROR(INDEX($S$5:$S$304,MATCH(C1944,$R$5:$R$304,0))&amp;"","?"))</f>
        <v/>
      </c>
      <c r="N1944" s="2">
        <f>IF(E1944="","",IF(LEFT(E1944,7)="SUBSOLO",-1,IF(LEFT(E1944,6)="TÉRREO",0,IFERROR(VALUE(LEFT(E1944,FIND("º",SUBSTITUTE(E1944,"°","º"))-1)),""))))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M1945" s="2">
        <f>IF(C1945="","",IFERROR(INDEX($S$5:$S$304,MATCH(C1945,$R$5:$R$304,0))&amp;"","?"))</f>
        <v/>
      </c>
      <c r="N1945" s="2">
        <f>IF(E1945="","",IF(LEFT(E1945,7)="SUBSOLO",-1,IF(LEFT(E1945,6)="TÉRREO",0,IFERROR(VALUE(LEFT(E1945,FIND("º",SUBSTITUTE(E1945,"°","º"))-1)),""))))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M1946" s="2">
        <f>IF(C1946="","",IFERROR(INDEX($S$5:$S$304,MATCH(C1946,$R$5:$R$304,0))&amp;"","?"))</f>
        <v/>
      </c>
      <c r="N1946" s="2">
        <f>IF(E1946="","",IF(LEFT(E1946,7)="SUBSOLO",-1,IF(LEFT(E1946,6)="TÉRREO",0,IFERROR(VALUE(LEFT(E1946,FIND("º",SUBSTITUTE(E1946,"°","º"))-1)),""))))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M1947" s="2">
        <f>IF(C1947="","",IFERROR(INDEX($S$5:$S$304,MATCH(C1947,$R$5:$R$304,0))&amp;"","?"))</f>
        <v/>
      </c>
      <c r="N1947" s="2">
        <f>IF(E1947="","",IF(LEFT(E1947,7)="SUBSOLO",-1,IF(LEFT(E1947,6)="TÉRREO",0,IFERROR(VALUE(LEFT(E1947,FIND("º",SUBSTITUTE(E1947,"°","º"))-1)),""))))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M1948" s="2">
        <f>IF(C1948="","",IFERROR(INDEX($S$5:$S$304,MATCH(C1948,$R$5:$R$304,0))&amp;"","?"))</f>
        <v/>
      </c>
      <c r="N1948" s="2">
        <f>IF(E1948="","",IF(LEFT(E1948,7)="SUBSOLO",-1,IF(LEFT(E1948,6)="TÉRREO",0,IFERROR(VALUE(LEFT(E1948,FIND("º",SUBSTITUTE(E1948,"°","º"))-1)),""))))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M1949" s="2">
        <f>IF(C1949="","",IFERROR(INDEX($S$5:$S$304,MATCH(C1949,$R$5:$R$304,0))&amp;"","?"))</f>
        <v/>
      </c>
      <c r="N1949" s="2">
        <f>IF(E1949="","",IF(LEFT(E1949,7)="SUBSOLO",-1,IF(LEFT(E1949,6)="TÉRREO",0,IFERROR(VALUE(LEFT(E1949,FIND("º",SUBSTITUTE(E1949,"°","º"))-1)),""))))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M1950" s="2">
        <f>IF(C1950="","",IFERROR(INDEX($S$5:$S$304,MATCH(C1950,$R$5:$R$304,0))&amp;"","?"))</f>
        <v/>
      </c>
      <c r="N1950" s="2">
        <f>IF(E1950="","",IF(LEFT(E1950,7)="SUBSOLO",-1,IF(LEFT(E1950,6)="TÉRREO",0,IFERROR(VALUE(LEFT(E1950,FIND("º",SUBSTITUTE(E1950,"°","º"))-1)),""))))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M1951" s="2">
        <f>IF(C1951="","",IFERROR(INDEX($S$5:$S$304,MATCH(C1951,$R$5:$R$304,0))&amp;"","?"))</f>
        <v/>
      </c>
      <c r="N1951" s="2">
        <f>IF(E1951="","",IF(LEFT(E1951,7)="SUBSOLO",-1,IF(LEFT(E1951,6)="TÉRREO",0,IFERROR(VALUE(LEFT(E1951,FIND("º",SUBSTITUTE(E1951,"°","º"))-1)),""))))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M1952" s="2">
        <f>IF(C1952="","",IFERROR(INDEX($S$5:$S$304,MATCH(C1952,$R$5:$R$304,0))&amp;"","?"))</f>
        <v/>
      </c>
      <c r="N1952" s="2">
        <f>IF(E1952="","",IF(LEFT(E1952,7)="SUBSOLO",-1,IF(LEFT(E1952,6)="TÉRREO",0,IFERROR(VALUE(LEFT(E1952,FIND("º",SUBSTITUTE(E1952,"°","º"))-1)),""))))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M1953" s="2">
        <f>IF(C1953="","",IFERROR(INDEX($S$5:$S$304,MATCH(C1953,$R$5:$R$304,0))&amp;"","?"))</f>
        <v/>
      </c>
      <c r="N1953" s="2">
        <f>IF(E1953="","",IF(LEFT(E1953,7)="SUBSOLO",-1,IF(LEFT(E1953,6)="TÉRREO",0,IFERROR(VALUE(LEFT(E1953,FIND("º",SUBSTITUTE(E1953,"°","º"))-1)),""))))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M1954" s="2">
        <f>IF(C1954="","",IFERROR(INDEX($S$5:$S$304,MATCH(C1954,$R$5:$R$304,0))&amp;"","?"))</f>
        <v/>
      </c>
      <c r="N1954" s="2">
        <f>IF(E1954="","",IF(LEFT(E1954,7)="SUBSOLO",-1,IF(LEFT(E1954,6)="TÉRREO",0,IFERROR(VALUE(LEFT(E1954,FIND("º",SUBSTITUTE(E1954,"°","º"))-1)),""))))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M1955" s="2">
        <f>IF(C1955="","",IFERROR(INDEX($S$5:$S$304,MATCH(C1955,$R$5:$R$304,0))&amp;"","?"))</f>
        <v/>
      </c>
      <c r="N1955" s="2">
        <f>IF(E1955="","",IF(LEFT(E1955,7)="SUBSOLO",-1,IF(LEFT(E1955,6)="TÉRREO",0,IFERROR(VALUE(LEFT(E1955,FIND("º",SUBSTITUTE(E1955,"°","º"))-1)),""))))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M1956" s="2">
        <f>IF(C1956="","",IFERROR(INDEX($S$5:$S$304,MATCH(C1956,$R$5:$R$304,0))&amp;"","?"))</f>
        <v/>
      </c>
      <c r="N1956" s="2">
        <f>IF(E1956="","",IF(LEFT(E1956,7)="SUBSOLO",-1,IF(LEFT(E1956,6)="TÉRREO",0,IFERROR(VALUE(LEFT(E1956,FIND("º",SUBSTITUTE(E1956,"°","º"))-1)),""))))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M1957" s="2">
        <f>IF(C1957="","",IFERROR(INDEX($S$5:$S$304,MATCH(C1957,$R$5:$R$304,0))&amp;"","?"))</f>
        <v/>
      </c>
      <c r="N1957" s="2">
        <f>IF(E1957="","",IF(LEFT(E1957,7)="SUBSOLO",-1,IF(LEFT(E1957,6)="TÉRREO",0,IFERROR(VALUE(LEFT(E1957,FIND("º",SUBSTITUTE(E1957,"°","º"))-1)),""))))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M1958" s="2">
        <f>IF(C1958="","",IFERROR(INDEX($S$5:$S$304,MATCH(C1958,$R$5:$R$304,0))&amp;"","?"))</f>
        <v/>
      </c>
      <c r="N1958" s="2">
        <f>IF(E1958="","",IF(LEFT(E1958,7)="SUBSOLO",-1,IF(LEFT(E1958,6)="TÉRREO",0,IFERROR(VALUE(LEFT(E1958,FIND("º",SUBSTITUTE(E1958,"°","º"))-1)),""))))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M1959" s="2">
        <f>IF(C1959="","",IFERROR(INDEX($S$5:$S$304,MATCH(C1959,$R$5:$R$304,0))&amp;"","?"))</f>
        <v/>
      </c>
      <c r="N1959" s="2">
        <f>IF(E1959="","",IF(LEFT(E1959,7)="SUBSOLO",-1,IF(LEFT(E1959,6)="TÉRREO",0,IFERROR(VALUE(LEFT(E1959,FIND("º",SUBSTITUTE(E1959,"°","º"))-1)),""))))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M1960" s="2">
        <f>IF(C1960="","",IFERROR(INDEX($S$5:$S$304,MATCH(C1960,$R$5:$R$304,0))&amp;"","?"))</f>
        <v/>
      </c>
      <c r="N1960" s="2">
        <f>IF(E1960="","",IF(LEFT(E1960,7)="SUBSOLO",-1,IF(LEFT(E1960,6)="TÉRREO",0,IFERROR(VALUE(LEFT(E1960,FIND("º",SUBSTITUTE(E1960,"°","º"))-1)),""))))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M1961" s="2">
        <f>IF(C1961="","",IFERROR(INDEX($S$5:$S$304,MATCH(C1961,$R$5:$R$304,0))&amp;"","?"))</f>
        <v/>
      </c>
      <c r="N1961" s="2">
        <f>IF(E1961="","",IF(LEFT(E1961,7)="SUBSOLO",-1,IF(LEFT(E1961,6)="TÉRREO",0,IFERROR(VALUE(LEFT(E1961,FIND("º",SUBSTITUTE(E1961,"°","º"))-1)),""))))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M1962" s="2">
        <f>IF(C1962="","",IFERROR(INDEX($S$5:$S$304,MATCH(C1962,$R$5:$R$304,0))&amp;"","?"))</f>
        <v/>
      </c>
      <c r="N1962" s="2">
        <f>IF(E1962="","",IF(LEFT(E1962,7)="SUBSOLO",-1,IF(LEFT(E1962,6)="TÉRREO",0,IFERROR(VALUE(LEFT(E1962,FIND("º",SUBSTITUTE(E1962,"°","º"))-1)),""))))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M1963" s="2">
        <f>IF(C1963="","",IFERROR(INDEX($S$5:$S$304,MATCH(C1963,$R$5:$R$304,0))&amp;"","?"))</f>
        <v/>
      </c>
      <c r="N1963" s="2">
        <f>IF(E1963="","",IF(LEFT(E1963,7)="SUBSOLO",-1,IF(LEFT(E1963,6)="TÉRREO",0,IFERROR(VALUE(LEFT(E1963,FIND("º",SUBSTITUTE(E1963,"°","º"))-1)),""))))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M1964" s="2">
        <f>IF(C1964="","",IFERROR(INDEX($S$5:$S$304,MATCH(C1964,$R$5:$R$304,0))&amp;"","?"))</f>
        <v/>
      </c>
      <c r="N1964" s="2">
        <f>IF(E1964="","",IF(LEFT(E1964,7)="SUBSOLO",-1,IF(LEFT(E1964,6)="TÉRREO",0,IFERROR(VALUE(LEFT(E1964,FIND("º",SUBSTITUTE(E1964,"°","º"))-1)),""))))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M1965" s="2">
        <f>IF(C1965="","",IFERROR(INDEX($S$5:$S$304,MATCH(C1965,$R$5:$R$304,0))&amp;"","?"))</f>
        <v/>
      </c>
      <c r="N1965" s="2">
        <f>IF(E1965="","",IF(LEFT(E1965,7)="SUBSOLO",-1,IF(LEFT(E1965,6)="TÉRREO",0,IFERROR(VALUE(LEFT(E1965,FIND("º",SUBSTITUTE(E1965,"°","º"))-1)),""))))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M1966" s="2">
        <f>IF(C1966="","",IFERROR(INDEX($S$5:$S$304,MATCH(C1966,$R$5:$R$304,0))&amp;"","?"))</f>
        <v/>
      </c>
      <c r="N1966" s="2">
        <f>IF(E1966="","",IF(LEFT(E1966,7)="SUBSOLO",-1,IF(LEFT(E1966,6)="TÉRREO",0,IFERROR(VALUE(LEFT(E1966,FIND("º",SUBSTITUTE(E1966,"°","º"))-1)),""))))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M1967" s="2">
        <f>IF(C1967="","",IFERROR(INDEX($S$5:$S$304,MATCH(C1967,$R$5:$R$304,0))&amp;"","?"))</f>
        <v/>
      </c>
      <c r="N1967" s="2">
        <f>IF(E1967="","",IF(LEFT(E1967,7)="SUBSOLO",-1,IF(LEFT(E1967,6)="TÉRREO",0,IFERROR(VALUE(LEFT(E1967,FIND("º",SUBSTITUTE(E1967,"°","º"))-1)),""))))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M1968" s="2">
        <f>IF(C1968="","",IFERROR(INDEX($S$5:$S$304,MATCH(C1968,$R$5:$R$304,0))&amp;"","?"))</f>
        <v/>
      </c>
      <c r="N1968" s="2">
        <f>IF(E1968="","",IF(LEFT(E1968,7)="SUBSOLO",-1,IF(LEFT(E1968,6)="TÉRREO",0,IFERROR(VALUE(LEFT(E1968,FIND("º",SUBSTITUTE(E1968,"°","º"))-1)),""))))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M1969" s="2">
        <f>IF(C1969="","",IFERROR(INDEX($S$5:$S$304,MATCH(C1969,$R$5:$R$304,0))&amp;"","?"))</f>
        <v/>
      </c>
      <c r="N1969" s="2">
        <f>IF(E1969="","",IF(LEFT(E1969,7)="SUBSOLO",-1,IF(LEFT(E1969,6)="TÉRREO",0,IFERROR(VALUE(LEFT(E1969,FIND("º",SUBSTITUTE(E1969,"°","º"))-1)),""))))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M1970" s="2">
        <f>IF(C1970="","",IFERROR(INDEX($S$5:$S$304,MATCH(C1970,$R$5:$R$304,0))&amp;"","?"))</f>
        <v/>
      </c>
      <c r="N1970" s="2">
        <f>IF(E1970="","",IF(LEFT(E1970,7)="SUBSOLO",-1,IF(LEFT(E1970,6)="TÉRREO",0,IFERROR(VALUE(LEFT(E1970,FIND("º",SUBSTITUTE(E1970,"°","º"))-1)),""))))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M1971" s="2">
        <f>IF(C1971="","",IFERROR(INDEX($S$5:$S$304,MATCH(C1971,$R$5:$R$304,0))&amp;"","?"))</f>
        <v/>
      </c>
      <c r="N1971" s="2">
        <f>IF(E1971="","",IF(LEFT(E1971,7)="SUBSOLO",-1,IF(LEFT(E1971,6)="TÉRREO",0,IFERROR(VALUE(LEFT(E1971,FIND("º",SUBSTITUTE(E1971,"°","º"))-1)),""))))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M1972" s="2">
        <f>IF(C1972="","",IFERROR(INDEX($S$5:$S$304,MATCH(C1972,$R$5:$R$304,0))&amp;"","?"))</f>
        <v/>
      </c>
      <c r="N1972" s="2">
        <f>IF(E1972="","",IF(LEFT(E1972,7)="SUBSOLO",-1,IF(LEFT(E1972,6)="TÉRREO",0,IFERROR(VALUE(LEFT(E1972,FIND("º",SUBSTITUTE(E1972,"°","º"))-1)),""))))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M1973" s="2">
        <f>IF(C1973="","",IFERROR(INDEX($S$5:$S$304,MATCH(C1973,$R$5:$R$304,0))&amp;"","?"))</f>
        <v/>
      </c>
      <c r="N1973" s="2">
        <f>IF(E1973="","",IF(LEFT(E1973,7)="SUBSOLO",-1,IF(LEFT(E1973,6)="TÉRREO",0,IFERROR(VALUE(LEFT(E1973,FIND("º",SUBSTITUTE(E1973,"°","º"))-1)),""))))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M1974" s="2">
        <f>IF(C1974="","",IFERROR(INDEX($S$5:$S$304,MATCH(C1974,$R$5:$R$304,0))&amp;"","?"))</f>
        <v/>
      </c>
      <c r="N1974" s="2">
        <f>IF(E1974="","",IF(LEFT(E1974,7)="SUBSOLO",-1,IF(LEFT(E1974,6)="TÉRREO",0,IFERROR(VALUE(LEFT(E1974,FIND("º",SUBSTITUTE(E1974,"°","º"))-1)),""))))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M1975" s="2">
        <f>IF(C1975="","",IFERROR(INDEX($S$5:$S$304,MATCH(C1975,$R$5:$R$304,0))&amp;"","?"))</f>
        <v/>
      </c>
      <c r="N1975" s="2">
        <f>IF(E1975="","",IF(LEFT(E1975,7)="SUBSOLO",-1,IF(LEFT(E1975,6)="TÉRREO",0,IFERROR(VALUE(LEFT(E1975,FIND("º",SUBSTITUTE(E1975,"°","º"))-1)),""))))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M1976" s="2">
        <f>IF(C1976="","",IFERROR(INDEX($S$5:$S$304,MATCH(C1976,$R$5:$R$304,0))&amp;"","?"))</f>
        <v/>
      </c>
      <c r="N1976" s="2">
        <f>IF(E1976="","",IF(LEFT(E1976,7)="SUBSOLO",-1,IF(LEFT(E1976,6)="TÉRREO",0,IFERROR(VALUE(LEFT(E1976,FIND("º",SUBSTITUTE(E1976,"°","º"))-1)),""))))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M1977" s="2">
        <f>IF(C1977="","",IFERROR(INDEX($S$5:$S$304,MATCH(C1977,$R$5:$R$304,0))&amp;"","?"))</f>
        <v/>
      </c>
      <c r="N1977" s="2">
        <f>IF(E1977="","",IF(LEFT(E1977,7)="SUBSOLO",-1,IF(LEFT(E1977,6)="TÉRREO",0,IFERROR(VALUE(LEFT(E1977,FIND("º",SUBSTITUTE(E1977,"°","º"))-1)),""))))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M1978" s="2">
        <f>IF(C1978="","",IFERROR(INDEX($S$5:$S$304,MATCH(C1978,$R$5:$R$304,0))&amp;"","?"))</f>
        <v/>
      </c>
      <c r="N1978" s="2">
        <f>IF(E1978="","",IF(LEFT(E1978,7)="SUBSOLO",-1,IF(LEFT(E1978,6)="TÉRREO",0,IFERROR(VALUE(LEFT(E1978,FIND("º",SUBSTITUTE(E1978,"°","º"))-1)),""))))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M1979" s="2">
        <f>IF(C1979="","",IFERROR(INDEX($S$5:$S$304,MATCH(C1979,$R$5:$R$304,0))&amp;"","?"))</f>
        <v/>
      </c>
      <c r="N1979" s="2">
        <f>IF(E1979="","",IF(LEFT(E1979,7)="SUBSOLO",-1,IF(LEFT(E1979,6)="TÉRREO",0,IFERROR(VALUE(LEFT(E1979,FIND("º",SUBSTITUTE(E1979,"°","º"))-1)),""))))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M1980" s="2">
        <f>IF(C1980="","",IFERROR(INDEX($S$5:$S$304,MATCH(C1980,$R$5:$R$304,0))&amp;"","?"))</f>
        <v/>
      </c>
      <c r="N1980" s="2">
        <f>IF(E1980="","",IF(LEFT(E1980,7)="SUBSOLO",-1,IF(LEFT(E1980,6)="TÉRREO",0,IFERROR(VALUE(LEFT(E1980,FIND("º",SUBSTITUTE(E1980,"°","º"))-1)),""))))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M1981" s="2">
        <f>IF(C1981="","",IFERROR(INDEX($S$5:$S$304,MATCH(C1981,$R$5:$R$304,0))&amp;"","?"))</f>
        <v/>
      </c>
      <c r="N1981" s="2">
        <f>IF(E1981="","",IF(LEFT(E1981,7)="SUBSOLO",-1,IF(LEFT(E1981,6)="TÉRREO",0,IFERROR(VALUE(LEFT(E1981,FIND("º",SUBSTITUTE(E1981,"°","º"))-1)),""))))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M1982" s="2">
        <f>IF(C1982="","",IFERROR(INDEX($S$5:$S$304,MATCH(C1982,$R$5:$R$304,0))&amp;"","?"))</f>
        <v/>
      </c>
      <c r="N1982" s="2">
        <f>IF(E1982="","",IF(LEFT(E1982,7)="SUBSOLO",-1,IF(LEFT(E1982,6)="TÉRREO",0,IFERROR(VALUE(LEFT(E1982,FIND("º",SUBSTITUTE(E1982,"°","º"))-1)),""))))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M1983" s="2">
        <f>IF(C1983="","",IFERROR(INDEX($S$5:$S$304,MATCH(C1983,$R$5:$R$304,0))&amp;"","?"))</f>
        <v/>
      </c>
      <c r="N1983" s="2">
        <f>IF(E1983="","",IF(LEFT(E1983,7)="SUBSOLO",-1,IF(LEFT(E1983,6)="TÉRREO",0,IFERROR(VALUE(LEFT(E1983,FIND("º",SUBSTITUTE(E1983,"°","º"))-1)),""))))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M1984" s="2">
        <f>IF(C1984="","",IFERROR(INDEX($S$5:$S$304,MATCH(C1984,$R$5:$R$304,0))&amp;"","?"))</f>
        <v/>
      </c>
      <c r="N1984" s="2">
        <f>IF(E1984="","",IF(LEFT(E1984,7)="SUBSOLO",-1,IF(LEFT(E1984,6)="TÉRREO",0,IFERROR(VALUE(LEFT(E1984,FIND("º",SUBSTITUTE(E1984,"°","º"))-1)),""))))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M1985" s="2">
        <f>IF(C1985="","",IFERROR(INDEX($S$5:$S$304,MATCH(C1985,$R$5:$R$304,0))&amp;"","?"))</f>
        <v/>
      </c>
      <c r="N1985" s="2">
        <f>IF(E1985="","",IF(LEFT(E1985,7)="SUBSOLO",-1,IF(LEFT(E1985,6)="TÉRREO",0,IFERROR(VALUE(LEFT(E1985,FIND("º",SUBSTITUTE(E1985,"°","º"))-1)),""))))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M1986" s="2">
        <f>IF(C1986="","",IFERROR(INDEX($S$5:$S$304,MATCH(C1986,$R$5:$R$304,0))&amp;"","?"))</f>
        <v/>
      </c>
      <c r="N1986" s="2">
        <f>IF(E1986="","",IF(LEFT(E1986,7)="SUBSOLO",-1,IF(LEFT(E1986,6)="TÉRREO",0,IFERROR(VALUE(LEFT(E1986,FIND("º",SUBSTITUTE(E1986,"°","º"))-1)),""))))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M1987" s="2">
        <f>IF(C1987="","",IFERROR(INDEX($S$5:$S$304,MATCH(C1987,$R$5:$R$304,0))&amp;"","?"))</f>
        <v/>
      </c>
      <c r="N1987" s="2">
        <f>IF(E1987="","",IF(LEFT(E1987,7)="SUBSOLO",-1,IF(LEFT(E1987,6)="TÉRREO",0,IFERROR(VALUE(LEFT(E1987,FIND("º",SUBSTITUTE(E1987,"°","º"))-1)),""))))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M1988" s="2">
        <f>IF(C1988="","",IFERROR(INDEX($S$5:$S$304,MATCH(C1988,$R$5:$R$304,0))&amp;"","?"))</f>
        <v/>
      </c>
      <c r="N1988" s="2">
        <f>IF(E1988="","",IF(LEFT(E1988,7)="SUBSOLO",-1,IF(LEFT(E1988,6)="TÉRREO",0,IFERROR(VALUE(LEFT(E1988,FIND("º",SUBSTITUTE(E1988,"°","º"))-1)),""))))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M1989" s="2">
        <f>IF(C1989="","",IFERROR(INDEX($S$5:$S$304,MATCH(C1989,$R$5:$R$304,0))&amp;"","?"))</f>
        <v/>
      </c>
      <c r="N1989" s="2">
        <f>IF(E1989="","",IF(LEFT(E1989,7)="SUBSOLO",-1,IF(LEFT(E1989,6)="TÉRREO",0,IFERROR(VALUE(LEFT(E1989,FIND("º",SUBSTITUTE(E1989,"°","º"))-1)),""))))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M1990" s="2">
        <f>IF(C1990="","",IFERROR(INDEX($S$5:$S$304,MATCH(C1990,$R$5:$R$304,0))&amp;"","?"))</f>
        <v/>
      </c>
      <c r="N1990" s="2">
        <f>IF(E1990="","",IF(LEFT(E1990,7)="SUBSOLO",-1,IF(LEFT(E1990,6)="TÉRREO",0,IFERROR(VALUE(LEFT(E1990,FIND("º",SUBSTITUTE(E1990,"°","º"))-1)),""))))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M1991" s="2">
        <f>IF(C1991="","",IFERROR(INDEX($S$5:$S$304,MATCH(C1991,$R$5:$R$304,0))&amp;"","?"))</f>
        <v/>
      </c>
      <c r="N1991" s="2">
        <f>IF(E1991="","",IF(LEFT(E1991,7)="SUBSOLO",-1,IF(LEFT(E1991,6)="TÉRREO",0,IFERROR(VALUE(LEFT(E1991,FIND("º",SUBSTITUTE(E1991,"°","º"))-1)),""))))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M1992" s="2">
        <f>IF(C1992="","",IFERROR(INDEX($S$5:$S$304,MATCH(C1992,$R$5:$R$304,0))&amp;"","?"))</f>
        <v/>
      </c>
      <c r="N1992" s="2">
        <f>IF(E1992="","",IF(LEFT(E1992,7)="SUBSOLO",-1,IF(LEFT(E1992,6)="TÉRREO",0,IFERROR(VALUE(LEFT(E1992,FIND("º",SUBSTITUTE(E1992,"°","º"))-1)),""))))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M1993" s="2">
        <f>IF(C1993="","",IFERROR(INDEX($S$5:$S$304,MATCH(C1993,$R$5:$R$304,0))&amp;"","?"))</f>
        <v/>
      </c>
      <c r="N1993" s="2">
        <f>IF(E1993="","",IF(LEFT(E1993,7)="SUBSOLO",-1,IF(LEFT(E1993,6)="TÉRREO",0,IFERROR(VALUE(LEFT(E1993,FIND("º",SUBSTITUTE(E1993,"°","º"))-1)),""))))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M1994" s="2">
        <f>IF(C1994="","",IFERROR(INDEX($S$5:$S$304,MATCH(C1994,$R$5:$R$304,0))&amp;"","?"))</f>
        <v/>
      </c>
      <c r="N1994" s="2">
        <f>IF(E1994="","",IF(LEFT(E1994,7)="SUBSOLO",-1,IF(LEFT(E1994,6)="TÉRREO",0,IFERROR(VALUE(LEFT(E1994,FIND("º",SUBSTITUTE(E1994,"°","º"))-1)),""))))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M1995" s="2">
        <f>IF(C1995="","",IFERROR(INDEX($S$5:$S$304,MATCH(C1995,$R$5:$R$304,0))&amp;"","?"))</f>
        <v/>
      </c>
      <c r="N1995" s="2">
        <f>IF(E1995="","",IF(LEFT(E1995,7)="SUBSOLO",-1,IF(LEFT(E1995,6)="TÉRREO",0,IFERROR(VALUE(LEFT(E1995,FIND("º",SUBSTITUTE(E1995,"°","º"))-1)),""))))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M1996" s="2">
        <f>IF(C1996="","",IFERROR(INDEX($S$5:$S$304,MATCH(C1996,$R$5:$R$304,0))&amp;"","?"))</f>
        <v/>
      </c>
      <c r="N1996" s="2">
        <f>IF(E1996="","",IF(LEFT(E1996,7)="SUBSOLO",-1,IF(LEFT(E1996,6)="TÉRREO",0,IFERROR(VALUE(LEFT(E1996,FIND("º",SUBSTITUTE(E1996,"°","º"))-1)),""))))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M1997" s="2">
        <f>IF(C1997="","",IFERROR(INDEX($S$5:$S$304,MATCH(C1997,$R$5:$R$304,0))&amp;"","?"))</f>
        <v/>
      </c>
      <c r="N1997" s="2">
        <f>IF(E1997="","",IF(LEFT(E1997,7)="SUBSOLO",-1,IF(LEFT(E1997,6)="TÉRREO",0,IFERROR(VALUE(LEFT(E1997,FIND("º",SUBSTITUTE(E1997,"°","º"))-1)),""))))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M1998" s="2">
        <f>IF(C1998="","",IFERROR(INDEX($S$5:$S$304,MATCH(C1998,$R$5:$R$304,0))&amp;"","?"))</f>
        <v/>
      </c>
      <c r="N1998" s="2">
        <f>IF(E1998="","",IF(LEFT(E1998,7)="SUBSOLO",-1,IF(LEFT(E1998,6)="TÉRREO",0,IFERROR(VALUE(LEFT(E1998,FIND("º",SUBSTITUTE(E1998,"°","º"))-1)),""))))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M1999" s="2">
        <f>IF(C1999="","",IFERROR(INDEX($S$5:$S$304,MATCH(C1999,$R$5:$R$304,0))&amp;"","?"))</f>
        <v/>
      </c>
      <c r="N1999" s="2">
        <f>IF(E1999="","",IF(LEFT(E1999,7)="SUBSOLO",-1,IF(LEFT(E1999,6)="TÉRREO",0,IFERROR(VALUE(LEFT(E1999,FIND("º",SUBSTITUTE(E1999,"°","º"))-1)),""))))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M2000" s="2">
        <f>IF(C2000="","",IFERROR(INDEX($S$5:$S$304,MATCH(C2000,$R$5:$R$304,0))&amp;"","?"))</f>
        <v/>
      </c>
      <c r="N2000" s="2">
        <f>IF(E2000="","",IF(LEFT(E2000,7)="SUBSOLO",-1,IF(LEFT(E2000,6)="TÉRREO",0,IFERROR(VALUE(LEFT(E2000,FIND("º",SUBSTITUTE(E2000,"°","º"))-1)),""))))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M2001" s="2">
        <f>IF(C2001="","",IFERROR(INDEX($S$5:$S$304,MATCH(C2001,$R$5:$R$304,0))&amp;"","?"))</f>
        <v/>
      </c>
      <c r="N2001" s="2">
        <f>IF(E2001="","",IF(LEFT(E2001,7)="SUBSOLO",-1,IF(LEFT(E2001,6)="TÉRREO",0,IFERROR(VALUE(LEFT(E2001,FIND("º",SUBSTITUTE(E2001,"°","º"))-1)),""))))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M2002" s="2">
        <f>IF(C2002="","",IFERROR(INDEX($S$5:$S$304,MATCH(C2002,$R$5:$R$304,0))&amp;"","?"))</f>
        <v/>
      </c>
      <c r="N2002" s="2">
        <f>IF(E2002="","",IF(LEFT(E2002,7)="SUBSOLO",-1,IF(LEFT(E2002,6)="TÉRREO",0,IFERROR(VALUE(LEFT(E2002,FIND("º",SUBSTITUTE(E2002,"°","º"))-1)),""))))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M2003" s="2">
        <f>IF(C2003="","",IFERROR(INDEX($S$5:$S$304,MATCH(C2003,$R$5:$R$304,0))&amp;"","?"))</f>
        <v/>
      </c>
      <c r="N2003" s="2">
        <f>IF(E2003="","",IF(LEFT(E2003,7)="SUBSOLO",-1,IF(LEFT(E2003,6)="TÉRREO",0,IFERROR(VALUE(LEFT(E2003,FIND("º",SUBSTITUTE(E2003,"°","º"))-1)),""))))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M2004" s="2">
        <f>IF(C2004="","",IFERROR(INDEX($S$5:$S$304,MATCH(C2004,$R$5:$R$304,0))&amp;"","?"))</f>
        <v/>
      </c>
      <c r="N2004" s="2">
        <f>IF(E2004="","",IF(LEFT(E2004,7)="SUBSOLO",-1,IF(LEFT(E2004,6)="TÉRREO",0,IFERROR(VALUE(LEFT(E2004,FIND("º",SUBSTITUTE(E2004,"°","º"))-1)),""))))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M2005" s="2">
        <f>IF(C2005="","",IFERROR(INDEX($S$5:$S$304,MATCH(C2005,$R$5:$R$304,0))&amp;"","?"))</f>
        <v/>
      </c>
      <c r="N2005" s="2">
        <f>IF(E2005="","",IF(LEFT(E2005,7)="SUBSOLO",-1,IF(LEFT(E2005,6)="TÉRREO",0,IFERROR(VALUE(LEFT(E2005,FIND("º",SUBSTITUTE(E2005,"°","º"))-1)),""))))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M2006" s="2">
        <f>IF(C2006="","",IFERROR(INDEX($S$5:$S$304,MATCH(C2006,$R$5:$R$304,0))&amp;"","?"))</f>
        <v/>
      </c>
      <c r="N2006" s="2">
        <f>IF(E2006="","",IF(LEFT(E2006,7)="SUBSOLO",-1,IF(LEFT(E2006,6)="TÉRREO",0,IFERROR(VALUE(LEFT(E2006,FIND("º",SUBSTITUTE(E2006,"°","º"))-1)),""))))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M2007" s="2">
        <f>IF(C2007="","",IFERROR(INDEX($S$5:$S$304,MATCH(C2007,$R$5:$R$304,0))&amp;"","?"))</f>
        <v/>
      </c>
      <c r="N2007" s="2">
        <f>IF(E2007="","",IF(LEFT(E2007,7)="SUBSOLO",-1,IF(LEFT(E2007,6)="TÉRREO",0,IFERROR(VALUE(LEFT(E2007,FIND("º",SUBSTITUTE(E2007,"°","º"))-1)),""))))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M2008" s="2">
        <f>IF(C2008="","",IFERROR(INDEX($S$5:$S$304,MATCH(C2008,$R$5:$R$304,0))&amp;"","?"))</f>
        <v/>
      </c>
      <c r="N2008" s="2">
        <f>IF(E2008="","",IF(LEFT(E2008,7)="SUBSOLO",-1,IF(LEFT(E2008,6)="TÉRREO",0,IFERROR(VALUE(LEFT(E2008,FIND("º",SUBSTITUTE(E2008,"°","º"))-1)),""))))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M2009" s="2">
        <f>IF(C2009="","",IFERROR(INDEX($S$5:$S$304,MATCH(C2009,$R$5:$R$304,0))&amp;"","?"))</f>
        <v/>
      </c>
      <c r="N2009" s="2">
        <f>IF(E2009="","",IF(LEFT(E2009,7)="SUBSOLO",-1,IF(LEFT(E2009,6)="TÉRREO",0,IFERROR(VALUE(LEFT(E2009,FIND("º",SUBSTITUTE(E2009,"°","º"))-1)),""))))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M2010" s="2">
        <f>IF(C2010="","",IFERROR(INDEX($S$5:$S$304,MATCH(C2010,$R$5:$R$304,0))&amp;"","?"))</f>
        <v/>
      </c>
      <c r="N2010" s="2">
        <f>IF(E2010="","",IF(LEFT(E2010,7)="SUBSOLO",-1,IF(LEFT(E2010,6)="TÉRREO",0,IFERROR(VALUE(LEFT(E2010,FIND("º",SUBSTITUTE(E2010,"°","º"))-1)),""))))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M2011" s="2">
        <f>IF(C2011="","",IFERROR(INDEX($S$5:$S$304,MATCH(C2011,$R$5:$R$304,0))&amp;"","?"))</f>
        <v/>
      </c>
      <c r="N2011" s="2">
        <f>IF(E2011="","",IF(LEFT(E2011,7)="SUBSOLO",-1,IF(LEFT(E2011,6)="TÉRREO",0,IFERROR(VALUE(LEFT(E2011,FIND("º",SUBSTITUTE(E2011,"°","º"))-1)),""))))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M2012" s="2">
        <f>IF(C2012="","",IFERROR(INDEX($S$5:$S$304,MATCH(C2012,$R$5:$R$304,0))&amp;"","?"))</f>
        <v/>
      </c>
      <c r="N2012" s="2">
        <f>IF(E2012="","",IF(LEFT(E2012,7)="SUBSOLO",-1,IF(LEFT(E2012,6)="TÉRREO",0,IFERROR(VALUE(LEFT(E2012,FIND("º",SUBSTITUTE(E2012,"°","º"))-1)),""))))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M2013" s="2">
        <f>IF(C2013="","",IFERROR(INDEX($S$5:$S$304,MATCH(C2013,$R$5:$R$304,0))&amp;"","?"))</f>
        <v/>
      </c>
      <c r="N2013" s="2">
        <f>IF(E2013="","",IF(LEFT(E2013,7)="SUBSOLO",-1,IF(LEFT(E2013,6)="TÉRREO",0,IFERROR(VALUE(LEFT(E2013,FIND("º",SUBSTITUTE(E2013,"°","º"))-1)),""))))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M2014" s="2">
        <f>IF(C2014="","",IFERROR(INDEX($S$5:$S$304,MATCH(C2014,$R$5:$R$304,0))&amp;"","?"))</f>
        <v/>
      </c>
      <c r="N2014" s="2">
        <f>IF(E2014="","",IF(LEFT(E2014,7)="SUBSOLO",-1,IF(LEFT(E2014,6)="TÉRREO",0,IFERROR(VALUE(LEFT(E2014,FIND("º",SUBSTITUTE(E2014,"°","º"))-1)),""))))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M2015" s="2">
        <f>IF(C2015="","",IFERROR(INDEX($S$5:$S$304,MATCH(C2015,$R$5:$R$304,0))&amp;"","?"))</f>
        <v/>
      </c>
      <c r="N2015" s="2">
        <f>IF(E2015="","",IF(LEFT(E2015,7)="SUBSOLO",-1,IF(LEFT(E2015,6)="TÉRREO",0,IFERROR(VALUE(LEFT(E2015,FIND("º",SUBSTITUTE(E2015,"°","º"))-1)),""))))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M2016" s="2">
        <f>IF(C2016="","",IFERROR(INDEX($S$5:$S$304,MATCH(C2016,$R$5:$R$304,0))&amp;"","?"))</f>
        <v/>
      </c>
      <c r="N2016" s="2">
        <f>IF(E2016="","",IF(LEFT(E2016,7)="SUBSOLO",-1,IF(LEFT(E2016,6)="TÉRREO",0,IFERROR(VALUE(LEFT(E2016,FIND("º",SUBSTITUTE(E2016,"°","º"))-1)),""))))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M2017" s="2">
        <f>IF(C2017="","",IFERROR(INDEX($S$5:$S$304,MATCH(C2017,$R$5:$R$304,0))&amp;"","?"))</f>
        <v/>
      </c>
      <c r="N2017" s="2">
        <f>IF(E2017="","",IF(LEFT(E2017,7)="SUBSOLO",-1,IF(LEFT(E2017,6)="TÉRREO",0,IFERROR(VALUE(LEFT(E2017,FIND("º",SUBSTITUTE(E2017,"°","º"))-1)),""))))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M2018" s="2">
        <f>IF(C2018="","",IFERROR(INDEX($S$5:$S$304,MATCH(C2018,$R$5:$R$304,0))&amp;"","?"))</f>
        <v/>
      </c>
      <c r="N2018" s="2">
        <f>IF(E2018="","",IF(LEFT(E2018,7)="SUBSOLO",-1,IF(LEFT(E2018,6)="TÉRREO",0,IFERROR(VALUE(LEFT(E2018,FIND("º",SUBSTITUTE(E2018,"°","º"))-1)),""))))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M2019" s="2">
        <f>IF(C2019="","",IFERROR(INDEX($S$5:$S$304,MATCH(C2019,$R$5:$R$304,0))&amp;"","?"))</f>
        <v/>
      </c>
      <c r="N2019" s="2">
        <f>IF(E2019="","",IF(LEFT(E2019,7)="SUBSOLO",-1,IF(LEFT(E2019,6)="TÉRREO",0,IFERROR(VALUE(LEFT(E2019,FIND("º",SUBSTITUTE(E2019,"°","º"))-1)),""))))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M2020" s="2">
        <f>IF(C2020="","",IFERROR(INDEX($S$5:$S$304,MATCH(C2020,$R$5:$R$304,0))&amp;"","?"))</f>
        <v/>
      </c>
      <c r="N2020" s="2">
        <f>IF(E2020="","",IF(LEFT(E2020,7)="SUBSOLO",-1,IF(LEFT(E2020,6)="TÉRREO",0,IFERROR(VALUE(LEFT(E2020,FIND("º",SUBSTITUTE(E2020,"°","º"))-1)),""))))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M2021" s="2">
        <f>IF(C2021="","",IFERROR(INDEX($S$5:$S$304,MATCH(C2021,$R$5:$R$304,0))&amp;"","?"))</f>
        <v/>
      </c>
      <c r="N2021" s="2">
        <f>IF(E2021="","",IF(LEFT(E2021,7)="SUBSOLO",-1,IF(LEFT(E2021,6)="TÉRREO",0,IFERROR(VALUE(LEFT(E2021,FIND("º",SUBSTITUTE(E2021,"°","º"))-1)),""))))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M2022" s="2">
        <f>IF(C2022="","",IFERROR(INDEX($S$5:$S$304,MATCH(C2022,$R$5:$R$304,0))&amp;"","?"))</f>
        <v/>
      </c>
      <c r="N2022" s="2">
        <f>IF(E2022="","",IF(LEFT(E2022,7)="SUBSOLO",-1,IF(LEFT(E2022,6)="TÉRREO",0,IFERROR(VALUE(LEFT(E2022,FIND("º",SUBSTITUTE(E2022,"°","º"))-1)),""))))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M2023" s="2">
        <f>IF(C2023="","",IFERROR(INDEX($S$5:$S$304,MATCH(C2023,$R$5:$R$304,0))&amp;"","?"))</f>
        <v/>
      </c>
      <c r="N2023" s="2">
        <f>IF(E2023="","",IF(LEFT(E2023,7)="SUBSOLO",-1,IF(LEFT(E2023,6)="TÉRREO",0,IFERROR(VALUE(LEFT(E2023,FIND("º",SUBSTITUTE(E2023,"°","º"))-1)),""))))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M2024" s="2">
        <f>IF(C2024="","",IFERROR(INDEX($S$5:$S$304,MATCH(C2024,$R$5:$R$304,0))&amp;"","?"))</f>
        <v/>
      </c>
      <c r="N2024" s="2">
        <f>IF(E2024="","",IF(LEFT(E2024,7)="SUBSOLO",-1,IF(LEFT(E2024,6)="TÉRREO",0,IFERROR(VALUE(LEFT(E2024,FIND("º",SUBSTITUTE(E2024,"°","º"))-1)),""))))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M2025" s="2">
        <f>IF(C2025="","",IFERROR(INDEX($S$5:$S$304,MATCH(C2025,$R$5:$R$304,0))&amp;"","?"))</f>
        <v/>
      </c>
      <c r="N2025" s="2">
        <f>IF(E2025="","",IF(LEFT(E2025,7)="SUBSOLO",-1,IF(LEFT(E2025,6)="TÉRREO",0,IFERROR(VALUE(LEFT(E2025,FIND("º",SUBSTITUTE(E2025,"°","º"))-1)),""))))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M2026" s="2">
        <f>IF(C2026="","",IFERROR(INDEX($S$5:$S$304,MATCH(C2026,$R$5:$R$304,0))&amp;"","?"))</f>
        <v/>
      </c>
      <c r="N2026" s="2">
        <f>IF(E2026="","",IF(LEFT(E2026,7)="SUBSOLO",-1,IF(LEFT(E2026,6)="TÉRREO",0,IFERROR(VALUE(LEFT(E2026,FIND("º",SUBSTITUTE(E2026,"°","º"))-1)),""))))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M2027" s="2">
        <f>IF(C2027="","",IFERROR(INDEX($S$5:$S$304,MATCH(C2027,$R$5:$R$304,0))&amp;"","?"))</f>
        <v/>
      </c>
      <c r="N2027" s="2">
        <f>IF(E2027="","",IF(LEFT(E2027,7)="SUBSOLO",-1,IF(LEFT(E2027,6)="TÉRREO",0,IFERROR(VALUE(LEFT(E2027,FIND("º",SUBSTITUTE(E2027,"°","º"))-1)),""))))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M2028" s="2">
        <f>IF(C2028="","",IFERROR(INDEX($S$5:$S$304,MATCH(C2028,$R$5:$R$304,0))&amp;"","?"))</f>
        <v/>
      </c>
      <c r="N2028" s="2">
        <f>IF(E2028="","",IF(LEFT(E2028,7)="SUBSOLO",-1,IF(LEFT(E2028,6)="TÉRREO",0,IFERROR(VALUE(LEFT(E2028,FIND("º",SUBSTITUTE(E2028,"°","º"))-1)),""))))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M2029" s="2">
        <f>IF(C2029="","",IFERROR(INDEX($S$5:$S$304,MATCH(C2029,$R$5:$R$304,0))&amp;"","?"))</f>
        <v/>
      </c>
      <c r="N2029" s="2">
        <f>IF(E2029="","",IF(LEFT(E2029,7)="SUBSOLO",-1,IF(LEFT(E2029,6)="TÉRREO",0,IFERROR(VALUE(LEFT(E2029,FIND("º",SUBSTITUTE(E2029,"°","º"))-1)),""))))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M2030" s="2">
        <f>IF(C2030="","",IFERROR(INDEX($S$5:$S$304,MATCH(C2030,$R$5:$R$304,0))&amp;"","?"))</f>
        <v/>
      </c>
      <c r="N2030" s="2">
        <f>IF(E2030="","",IF(LEFT(E2030,7)="SUBSOLO",-1,IF(LEFT(E2030,6)="TÉRREO",0,IFERROR(VALUE(LEFT(E2030,FIND("º",SUBSTITUTE(E2030,"°","º"))-1)),""))))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M2031" s="2">
        <f>IF(C2031="","",IFERROR(INDEX($S$5:$S$304,MATCH(C2031,$R$5:$R$304,0))&amp;"","?"))</f>
        <v/>
      </c>
      <c r="N2031" s="2">
        <f>IF(E2031="","",IF(LEFT(E2031,7)="SUBSOLO",-1,IF(LEFT(E2031,6)="TÉRREO",0,IFERROR(VALUE(LEFT(E2031,FIND("º",SUBSTITUTE(E2031,"°","º"))-1)),""))))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M2032" s="2">
        <f>IF(C2032="","",IFERROR(INDEX($S$5:$S$304,MATCH(C2032,$R$5:$R$304,0))&amp;"","?"))</f>
        <v/>
      </c>
      <c r="N2032" s="2">
        <f>IF(E2032="","",IF(LEFT(E2032,7)="SUBSOLO",-1,IF(LEFT(E2032,6)="TÉRREO",0,IFERROR(VALUE(LEFT(E2032,FIND("º",SUBSTITUTE(E2032,"°","º"))-1)),""))))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M2033" s="2">
        <f>IF(C2033="","",IFERROR(INDEX($S$5:$S$304,MATCH(C2033,$R$5:$R$304,0))&amp;"","?"))</f>
        <v/>
      </c>
      <c r="N2033" s="2">
        <f>IF(E2033="","",IF(LEFT(E2033,7)="SUBSOLO",-1,IF(LEFT(E2033,6)="TÉRREO",0,IFERROR(VALUE(LEFT(E2033,FIND("º",SUBSTITUTE(E2033,"°","º"))-1)),""))))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M2034" s="2">
        <f>IF(C2034="","",IFERROR(INDEX($S$5:$S$304,MATCH(C2034,$R$5:$R$304,0))&amp;"","?"))</f>
        <v/>
      </c>
      <c r="N2034" s="2">
        <f>IF(E2034="","",IF(LEFT(E2034,7)="SUBSOLO",-1,IF(LEFT(E2034,6)="TÉRREO",0,IFERROR(VALUE(LEFT(E2034,FIND("º",SUBSTITUTE(E2034,"°","º"))-1)),""))))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M2035" s="2">
        <f>IF(C2035="","",IFERROR(INDEX($S$5:$S$304,MATCH(C2035,$R$5:$R$304,0))&amp;"","?"))</f>
        <v/>
      </c>
      <c r="N2035" s="2">
        <f>IF(E2035="","",IF(LEFT(E2035,7)="SUBSOLO",-1,IF(LEFT(E2035,6)="TÉRREO",0,IFERROR(VALUE(LEFT(E2035,FIND("º",SUBSTITUTE(E2035,"°","º"))-1)),""))))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M2036" s="2">
        <f>IF(C2036="","",IFERROR(INDEX($S$5:$S$304,MATCH(C2036,$R$5:$R$304,0))&amp;"","?"))</f>
        <v/>
      </c>
      <c r="N2036" s="2">
        <f>IF(E2036="","",IF(LEFT(E2036,7)="SUBSOLO",-1,IF(LEFT(E2036,6)="TÉRREO",0,IFERROR(VALUE(LEFT(E2036,FIND("º",SUBSTITUTE(E2036,"°","º"))-1)),""))))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M2037" s="2">
        <f>IF(C2037="","",IFERROR(INDEX($S$5:$S$304,MATCH(C2037,$R$5:$R$304,0))&amp;"","?"))</f>
        <v/>
      </c>
      <c r="N2037" s="2">
        <f>IF(E2037="","",IF(LEFT(E2037,7)="SUBSOLO",-1,IF(LEFT(E2037,6)="TÉRREO",0,IFERROR(VALUE(LEFT(E2037,FIND("º",SUBSTITUTE(E2037,"°","º"))-1)),""))))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M2038" s="2">
        <f>IF(C2038="","",IFERROR(INDEX($S$5:$S$304,MATCH(C2038,$R$5:$R$304,0))&amp;"","?"))</f>
        <v/>
      </c>
      <c r="N2038" s="2">
        <f>IF(E2038="","",IF(LEFT(E2038,7)="SUBSOLO",-1,IF(LEFT(E2038,6)="TÉRREO",0,IFERROR(VALUE(LEFT(E2038,FIND("º",SUBSTITUTE(E2038,"°","º"))-1)),""))))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M2039" s="2">
        <f>IF(C2039="","",IFERROR(INDEX($S$5:$S$304,MATCH(C2039,$R$5:$R$304,0))&amp;"","?"))</f>
        <v/>
      </c>
      <c r="N2039" s="2">
        <f>IF(E2039="","",IF(LEFT(E2039,7)="SUBSOLO",-1,IF(LEFT(E2039,6)="TÉRREO",0,IFERROR(VALUE(LEFT(E2039,FIND("º",SUBSTITUTE(E2039,"°","º"))-1)),""))))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M2040" s="2">
        <f>IF(C2040="","",IFERROR(INDEX($S$5:$S$304,MATCH(C2040,$R$5:$R$304,0))&amp;"","?"))</f>
        <v/>
      </c>
      <c r="N2040" s="2">
        <f>IF(E2040="","",IF(LEFT(E2040,7)="SUBSOLO",-1,IF(LEFT(E2040,6)="TÉRREO",0,IFERROR(VALUE(LEFT(E2040,FIND("º",SUBSTITUTE(E2040,"°","º"))-1)),""))))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M2041" s="2">
        <f>IF(C2041="","",IFERROR(INDEX($S$5:$S$304,MATCH(C2041,$R$5:$R$304,0))&amp;"","?"))</f>
        <v/>
      </c>
      <c r="N2041" s="2">
        <f>IF(E2041="","",IF(LEFT(E2041,7)="SUBSOLO",-1,IF(LEFT(E2041,6)="TÉRREO",0,IFERROR(VALUE(LEFT(E2041,FIND("º",SUBSTITUTE(E2041,"°","º"))-1)),""))))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M2042" s="2">
        <f>IF(C2042="","",IFERROR(INDEX($S$5:$S$304,MATCH(C2042,$R$5:$R$304,0))&amp;"","?"))</f>
        <v/>
      </c>
      <c r="N2042" s="2">
        <f>IF(E2042="","",IF(LEFT(E2042,7)="SUBSOLO",-1,IF(LEFT(E2042,6)="TÉRREO",0,IFERROR(VALUE(LEFT(E2042,FIND("º",SUBSTITUTE(E2042,"°","º"))-1)),""))))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M2043" s="2">
        <f>IF(C2043="","",IFERROR(INDEX($S$5:$S$304,MATCH(C2043,$R$5:$R$304,0))&amp;"","?"))</f>
        <v/>
      </c>
      <c r="N2043" s="2">
        <f>IF(E2043="","",IF(LEFT(E2043,7)="SUBSOLO",-1,IF(LEFT(E2043,6)="TÉRREO",0,IFERROR(VALUE(LEFT(E2043,FIND("º",SUBSTITUTE(E2043,"°","º"))-1)),""))))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M2044" s="2">
        <f>IF(C2044="","",IFERROR(INDEX($S$5:$S$304,MATCH(C2044,$R$5:$R$304,0))&amp;"","?"))</f>
        <v/>
      </c>
      <c r="N2044" s="2">
        <f>IF(E2044="","",IF(LEFT(E2044,7)="SUBSOLO",-1,IF(LEFT(E2044,6)="TÉRREO",0,IFERROR(VALUE(LEFT(E2044,FIND("º",SUBSTITUTE(E2044,"°","º"))-1)),""))))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M2045" s="2">
        <f>IF(C2045="","",IFERROR(INDEX($S$5:$S$304,MATCH(C2045,$R$5:$R$304,0))&amp;"","?"))</f>
        <v/>
      </c>
      <c r="N2045" s="2">
        <f>IF(E2045="","",IF(LEFT(E2045,7)="SUBSOLO",-1,IF(LEFT(E2045,6)="TÉRREO",0,IFERROR(VALUE(LEFT(E2045,FIND("º",SUBSTITUTE(E2045,"°","º"))-1)),""))))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M2046" s="2">
        <f>IF(C2046="","",IFERROR(INDEX($S$5:$S$304,MATCH(C2046,$R$5:$R$304,0))&amp;"","?"))</f>
        <v/>
      </c>
      <c r="N2046" s="2">
        <f>IF(E2046="","",IF(LEFT(E2046,7)="SUBSOLO",-1,IF(LEFT(E2046,6)="TÉRREO",0,IFERROR(VALUE(LEFT(E2046,FIND("º",SUBSTITUTE(E2046,"°","º"))-1)),""))))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M2047" s="2">
        <f>IF(C2047="","",IFERROR(INDEX($S$5:$S$304,MATCH(C2047,$R$5:$R$304,0))&amp;"","?"))</f>
        <v/>
      </c>
      <c r="N2047" s="2">
        <f>IF(E2047="","",IF(LEFT(E2047,7)="SUBSOLO",-1,IF(LEFT(E2047,6)="TÉRREO",0,IFERROR(VALUE(LEFT(E2047,FIND("º",SUBSTITUTE(E2047,"°","º"))-1)),""))))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M2048" s="2">
        <f>IF(C2048="","",IFERROR(INDEX($S$5:$S$304,MATCH(C2048,$R$5:$R$304,0))&amp;"","?"))</f>
        <v/>
      </c>
      <c r="N2048" s="2">
        <f>IF(E2048="","",IF(LEFT(E2048,7)="SUBSOLO",-1,IF(LEFT(E2048,6)="TÉRREO",0,IFERROR(VALUE(LEFT(E2048,FIND("º",SUBSTITUTE(E2048,"°","º"))-1)),""))))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M2049" s="2">
        <f>IF(C2049="","",IFERROR(INDEX($S$5:$S$304,MATCH(C2049,$R$5:$R$304,0))&amp;"","?"))</f>
        <v/>
      </c>
      <c r="N2049" s="2">
        <f>IF(E2049="","",IF(LEFT(E2049,7)="SUBSOLO",-1,IF(LEFT(E2049,6)="TÉRREO",0,IFERROR(VALUE(LEFT(E2049,FIND("º",SUBSTITUTE(E2049,"°","º"))-1)),""))))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M2050" s="2">
        <f>IF(C2050="","",IFERROR(INDEX($S$5:$S$304,MATCH(C2050,$R$5:$R$304,0))&amp;"","?"))</f>
        <v/>
      </c>
      <c r="N2050" s="2">
        <f>IF(E2050="","",IF(LEFT(E2050,7)="SUBSOLO",-1,IF(LEFT(E2050,6)="TÉRREO",0,IFERROR(VALUE(LEFT(E2050,FIND("º",SUBSTITUTE(E2050,"°","º"))-1)),""))))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M2051" s="2">
        <f>IF(C2051="","",IFERROR(INDEX($S$5:$S$304,MATCH(C2051,$R$5:$R$304,0))&amp;"","?"))</f>
        <v/>
      </c>
      <c r="N2051" s="2">
        <f>IF(E2051="","",IF(LEFT(E2051,7)="SUBSOLO",-1,IF(LEFT(E2051,6)="TÉRREO",0,IFERROR(VALUE(LEFT(E2051,FIND("º",SUBSTITUTE(E2051,"°","º"))-1)),""))))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M2052" s="2">
        <f>IF(C2052="","",IFERROR(INDEX($S$5:$S$304,MATCH(C2052,$R$5:$R$304,0))&amp;"","?"))</f>
        <v/>
      </c>
      <c r="N2052" s="2">
        <f>IF(E2052="","",IF(LEFT(E2052,7)="SUBSOLO",-1,IF(LEFT(E2052,6)="TÉRREO",0,IFERROR(VALUE(LEFT(E2052,FIND("º",SUBSTITUTE(E2052,"°","º"))-1)),""))))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M2053" s="2">
        <f>IF(C2053="","",IFERROR(INDEX($S$5:$S$304,MATCH(C2053,$R$5:$R$304,0))&amp;"","?"))</f>
        <v/>
      </c>
      <c r="N2053" s="2">
        <f>IF(E2053="","",IF(LEFT(E2053,7)="SUBSOLO",-1,IF(LEFT(E2053,6)="TÉRREO",0,IFERROR(VALUE(LEFT(E2053,FIND("º",SUBSTITUTE(E2053,"°","º"))-1)),""))))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M2054" s="2">
        <f>IF(C2054="","",IFERROR(INDEX($S$5:$S$304,MATCH(C2054,$R$5:$R$304,0))&amp;"","?"))</f>
        <v/>
      </c>
      <c r="N2054" s="2">
        <f>IF(E2054="","",IF(LEFT(E2054,7)="SUBSOLO",-1,IF(LEFT(E2054,6)="TÉRREO",0,IFERROR(VALUE(LEFT(E2054,FIND("º",SUBSTITUTE(E2054,"°","º"))-1)),""))))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M2055" s="2">
        <f>IF(C2055="","",IFERROR(INDEX($S$5:$S$304,MATCH(C2055,$R$5:$R$304,0))&amp;"","?"))</f>
        <v/>
      </c>
      <c r="N2055" s="2">
        <f>IF(E2055="","",IF(LEFT(E2055,7)="SUBSOLO",-1,IF(LEFT(E2055,6)="TÉRREO",0,IFERROR(VALUE(LEFT(E2055,FIND("º",SUBSTITUTE(E2055,"°","º"))-1)),""))))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M2056" s="2">
        <f>IF(C2056="","",IFERROR(INDEX($S$5:$S$304,MATCH(C2056,$R$5:$R$304,0))&amp;"","?"))</f>
        <v/>
      </c>
      <c r="N2056" s="2">
        <f>IF(E2056="","",IF(LEFT(E2056,7)="SUBSOLO",-1,IF(LEFT(E2056,6)="TÉRREO",0,IFERROR(VALUE(LEFT(E2056,FIND("º",SUBSTITUTE(E2056,"°","º"))-1)),""))))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M2057" s="2">
        <f>IF(C2057="","",IFERROR(INDEX($S$5:$S$304,MATCH(C2057,$R$5:$R$304,0))&amp;"","?"))</f>
        <v/>
      </c>
      <c r="N2057" s="2">
        <f>IF(E2057="","",IF(LEFT(E2057,7)="SUBSOLO",-1,IF(LEFT(E2057,6)="TÉRREO",0,IFERROR(VALUE(LEFT(E2057,FIND("º",SUBSTITUTE(E2057,"°","º"))-1)),""))))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M2058" s="2">
        <f>IF(C2058="","",IFERROR(INDEX($S$5:$S$304,MATCH(C2058,$R$5:$R$304,0))&amp;"","?"))</f>
        <v/>
      </c>
      <c r="N2058" s="2">
        <f>IF(E2058="","",IF(LEFT(E2058,7)="SUBSOLO",-1,IF(LEFT(E2058,6)="TÉRREO",0,IFERROR(VALUE(LEFT(E2058,FIND("º",SUBSTITUTE(E2058,"°","º"))-1)),""))))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M2059" s="2">
        <f>IF(C2059="","",IFERROR(INDEX($S$5:$S$304,MATCH(C2059,$R$5:$R$304,0))&amp;"","?"))</f>
        <v/>
      </c>
      <c r="N2059" s="2">
        <f>IF(E2059="","",IF(LEFT(E2059,7)="SUBSOLO",-1,IF(LEFT(E2059,6)="TÉRREO",0,IFERROR(VALUE(LEFT(E2059,FIND("º",SUBSTITUTE(E2059,"°","º"))-1)),""))))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M2060" s="2">
        <f>IF(C2060="","",IFERROR(INDEX($S$5:$S$304,MATCH(C2060,$R$5:$R$304,0))&amp;"","?"))</f>
        <v/>
      </c>
      <c r="N2060" s="2">
        <f>IF(E2060="","",IF(LEFT(E2060,7)="SUBSOLO",-1,IF(LEFT(E2060,6)="TÉRREO",0,IFERROR(VALUE(LEFT(E2060,FIND("º",SUBSTITUTE(E2060,"°","º"))-1)),""))))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M2061" s="2">
        <f>IF(C2061="","",IFERROR(INDEX($S$5:$S$304,MATCH(C2061,$R$5:$R$304,0))&amp;"","?"))</f>
        <v/>
      </c>
      <c r="N2061" s="2">
        <f>IF(E2061="","",IF(LEFT(E2061,7)="SUBSOLO",-1,IF(LEFT(E2061,6)="TÉRREO",0,IFERROR(VALUE(LEFT(E2061,FIND("º",SUBSTITUTE(E2061,"°","º"))-1)),""))))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M2062" s="2">
        <f>IF(C2062="","",IFERROR(INDEX($S$5:$S$304,MATCH(C2062,$R$5:$R$304,0))&amp;"","?"))</f>
        <v/>
      </c>
      <c r="N2062" s="2">
        <f>IF(E2062="","",IF(LEFT(E2062,7)="SUBSOLO",-1,IF(LEFT(E2062,6)="TÉRREO",0,IFERROR(VALUE(LEFT(E2062,FIND("º",SUBSTITUTE(E2062,"°","º"))-1)),""))))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M2063" s="2">
        <f>IF(C2063="","",IFERROR(INDEX($S$5:$S$304,MATCH(C2063,$R$5:$R$304,0))&amp;"","?"))</f>
        <v/>
      </c>
      <c r="N2063" s="2">
        <f>IF(E2063="","",IF(LEFT(E2063,7)="SUBSOLO",-1,IF(LEFT(E2063,6)="TÉRREO",0,IFERROR(VALUE(LEFT(E2063,FIND("º",SUBSTITUTE(E2063,"°","º"))-1)),""))))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M2064" s="2">
        <f>IF(C2064="","",IFERROR(INDEX($S$5:$S$304,MATCH(C2064,$R$5:$R$304,0))&amp;"","?"))</f>
        <v/>
      </c>
      <c r="N2064" s="2">
        <f>IF(E2064="","",IF(LEFT(E2064,7)="SUBSOLO",-1,IF(LEFT(E2064,6)="TÉRREO",0,IFERROR(VALUE(LEFT(E2064,FIND("º",SUBSTITUTE(E2064,"°","º"))-1)),""))))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M2065" s="2">
        <f>IF(C2065="","",IFERROR(INDEX($S$5:$S$304,MATCH(C2065,$R$5:$R$304,0))&amp;"","?"))</f>
        <v/>
      </c>
      <c r="N2065" s="2">
        <f>IF(E2065="","",IF(LEFT(E2065,7)="SUBSOLO",-1,IF(LEFT(E2065,6)="TÉRREO",0,IFERROR(VALUE(LEFT(E2065,FIND("º",SUBSTITUTE(E2065,"°","º"))-1)),""))))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M2066" s="2">
        <f>IF(C2066="","",IFERROR(INDEX($S$5:$S$304,MATCH(C2066,$R$5:$R$304,0))&amp;"","?"))</f>
        <v/>
      </c>
      <c r="N2066" s="2">
        <f>IF(E2066="","",IF(LEFT(E2066,7)="SUBSOLO",-1,IF(LEFT(E2066,6)="TÉRREO",0,IFERROR(VALUE(LEFT(E2066,FIND("º",SUBSTITUTE(E2066,"°","º"))-1)),""))))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M2067" s="2">
        <f>IF(C2067="","",IFERROR(INDEX($S$5:$S$304,MATCH(C2067,$R$5:$R$304,0))&amp;"","?"))</f>
        <v/>
      </c>
      <c r="N2067" s="2">
        <f>IF(E2067="","",IF(LEFT(E2067,7)="SUBSOLO",-1,IF(LEFT(E2067,6)="TÉRREO",0,IFERROR(VALUE(LEFT(E2067,FIND("º",SUBSTITUTE(E2067,"°","º"))-1)),""))))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M2068" s="2">
        <f>IF(C2068="","",IFERROR(INDEX($S$5:$S$304,MATCH(C2068,$R$5:$R$304,0))&amp;"","?"))</f>
        <v/>
      </c>
      <c r="N2068" s="2">
        <f>IF(E2068="","",IF(LEFT(E2068,7)="SUBSOLO",-1,IF(LEFT(E2068,6)="TÉRREO",0,IFERROR(VALUE(LEFT(E2068,FIND("º",SUBSTITUTE(E2068,"°","º"))-1)),""))))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M2069" s="2">
        <f>IF(C2069="","",IFERROR(INDEX($S$5:$S$304,MATCH(C2069,$R$5:$R$304,0))&amp;"","?"))</f>
        <v/>
      </c>
      <c r="N2069" s="2">
        <f>IF(E2069="","",IF(LEFT(E2069,7)="SUBSOLO",-1,IF(LEFT(E2069,6)="TÉRREO",0,IFERROR(VALUE(LEFT(E2069,FIND("º",SUBSTITUTE(E2069,"°","º"))-1)),""))))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M2070" s="2">
        <f>IF(C2070="","",IFERROR(INDEX($S$5:$S$304,MATCH(C2070,$R$5:$R$304,0))&amp;"","?"))</f>
        <v/>
      </c>
      <c r="N2070" s="2">
        <f>IF(E2070="","",IF(LEFT(E2070,7)="SUBSOLO",-1,IF(LEFT(E2070,6)="TÉRREO",0,IFERROR(VALUE(LEFT(E2070,FIND("º",SUBSTITUTE(E2070,"°","º"))-1)),""))))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M2071" s="2">
        <f>IF(C2071="","",IFERROR(INDEX($S$5:$S$304,MATCH(C2071,$R$5:$R$304,0))&amp;"","?"))</f>
        <v/>
      </c>
      <c r="N2071" s="2">
        <f>IF(E2071="","",IF(LEFT(E2071,7)="SUBSOLO",-1,IF(LEFT(E2071,6)="TÉRREO",0,IFERROR(VALUE(LEFT(E2071,FIND("º",SUBSTITUTE(E2071,"°","º"))-1)),""))))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M2072" s="2">
        <f>IF(C2072="","",IFERROR(INDEX($S$5:$S$304,MATCH(C2072,$R$5:$R$304,0))&amp;"","?"))</f>
        <v/>
      </c>
      <c r="N2072" s="2">
        <f>IF(E2072="","",IF(LEFT(E2072,7)="SUBSOLO",-1,IF(LEFT(E2072,6)="TÉRREO",0,IFERROR(VALUE(LEFT(E2072,FIND("º",SUBSTITUTE(E2072,"°","º"))-1)),""))))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M2073" s="2">
        <f>IF(C2073="","",IFERROR(INDEX($S$5:$S$304,MATCH(C2073,$R$5:$R$304,0))&amp;"","?"))</f>
        <v/>
      </c>
      <c r="N2073" s="2">
        <f>IF(E2073="","",IF(LEFT(E2073,7)="SUBSOLO",-1,IF(LEFT(E2073,6)="TÉRREO",0,IFERROR(VALUE(LEFT(E2073,FIND("º",SUBSTITUTE(E2073,"°","º"))-1)),""))))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M2074" s="2">
        <f>IF(C2074="","",IFERROR(INDEX($S$5:$S$304,MATCH(C2074,$R$5:$R$304,0))&amp;"","?"))</f>
        <v/>
      </c>
      <c r="N2074" s="2">
        <f>IF(E2074="","",IF(LEFT(E2074,7)="SUBSOLO",-1,IF(LEFT(E2074,6)="TÉRREO",0,IFERROR(VALUE(LEFT(E2074,FIND("º",SUBSTITUTE(E2074,"°","º"))-1)),""))))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M2075" s="2">
        <f>IF(C2075="","",IFERROR(INDEX($S$5:$S$304,MATCH(C2075,$R$5:$R$304,0))&amp;"","?"))</f>
        <v/>
      </c>
      <c r="N2075" s="2">
        <f>IF(E2075="","",IF(LEFT(E2075,7)="SUBSOLO",-1,IF(LEFT(E2075,6)="TÉRREO",0,IFERROR(VALUE(LEFT(E2075,FIND("º",SUBSTITUTE(E2075,"°","º"))-1)),""))))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M2076" s="2">
        <f>IF(C2076="","",IFERROR(INDEX($S$5:$S$304,MATCH(C2076,$R$5:$R$304,0))&amp;"","?"))</f>
        <v/>
      </c>
      <c r="N2076" s="2">
        <f>IF(E2076="","",IF(LEFT(E2076,7)="SUBSOLO",-1,IF(LEFT(E2076,6)="TÉRREO",0,IFERROR(VALUE(LEFT(E2076,FIND("º",SUBSTITUTE(E2076,"°","º"))-1)),""))))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M2077" s="2">
        <f>IF(C2077="","",IFERROR(INDEX($S$5:$S$304,MATCH(C2077,$R$5:$R$304,0))&amp;"","?"))</f>
        <v/>
      </c>
      <c r="N2077" s="2">
        <f>IF(E2077="","",IF(LEFT(E2077,7)="SUBSOLO",-1,IF(LEFT(E2077,6)="TÉRREO",0,IFERROR(VALUE(LEFT(E2077,FIND("º",SUBSTITUTE(E2077,"°","º"))-1)),""))))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M2078" s="2">
        <f>IF(C2078="","",IFERROR(INDEX($S$5:$S$304,MATCH(C2078,$R$5:$R$304,0))&amp;"","?"))</f>
        <v/>
      </c>
      <c r="N2078" s="2">
        <f>IF(E2078="","",IF(LEFT(E2078,7)="SUBSOLO",-1,IF(LEFT(E2078,6)="TÉRREO",0,IFERROR(VALUE(LEFT(E2078,FIND("º",SUBSTITUTE(E2078,"°","º"))-1)),""))))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M2079" s="2">
        <f>IF(C2079="","",IFERROR(INDEX($S$5:$S$304,MATCH(C2079,$R$5:$R$304,0))&amp;"","?"))</f>
        <v/>
      </c>
      <c r="N2079" s="2">
        <f>IF(E2079="","",IF(LEFT(E2079,7)="SUBSOLO",-1,IF(LEFT(E2079,6)="TÉRREO",0,IFERROR(VALUE(LEFT(E2079,FIND("º",SUBSTITUTE(E2079,"°","º"))-1)),""))))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M2080" s="2">
        <f>IF(C2080="","",IFERROR(INDEX($S$5:$S$304,MATCH(C2080,$R$5:$R$304,0))&amp;"","?"))</f>
        <v/>
      </c>
      <c r="N2080" s="2">
        <f>IF(E2080="","",IF(LEFT(E2080,7)="SUBSOLO",-1,IF(LEFT(E2080,6)="TÉRREO",0,IFERROR(VALUE(LEFT(E2080,FIND("º",SUBSTITUTE(E2080,"°","º"))-1)),""))))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M2081" s="2">
        <f>IF(C2081="","",IFERROR(INDEX($S$5:$S$304,MATCH(C2081,$R$5:$R$304,0))&amp;"","?"))</f>
        <v/>
      </c>
      <c r="N2081" s="2">
        <f>IF(E2081="","",IF(LEFT(E2081,7)="SUBSOLO",-1,IF(LEFT(E2081,6)="TÉRREO",0,IFERROR(VALUE(LEFT(E2081,FIND("º",SUBSTITUTE(E2081,"°","º"))-1)),""))))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M2082" s="2">
        <f>IF(C2082="","",IFERROR(INDEX($S$5:$S$304,MATCH(C2082,$R$5:$R$304,0))&amp;"","?"))</f>
        <v/>
      </c>
      <c r="N2082" s="2">
        <f>IF(E2082="","",IF(LEFT(E2082,7)="SUBSOLO",-1,IF(LEFT(E2082,6)="TÉRREO",0,IFERROR(VALUE(LEFT(E2082,FIND("º",SUBSTITUTE(E2082,"°","º"))-1)),""))))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M2083" s="2">
        <f>IF(C2083="","",IFERROR(INDEX($S$5:$S$304,MATCH(C2083,$R$5:$R$304,0))&amp;"","?"))</f>
        <v/>
      </c>
      <c r="N2083" s="2">
        <f>IF(E2083="","",IF(LEFT(E2083,7)="SUBSOLO",-1,IF(LEFT(E2083,6)="TÉRREO",0,IFERROR(VALUE(LEFT(E2083,FIND("º",SUBSTITUTE(E2083,"°","º"))-1)),""))))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M2084" s="2">
        <f>IF(C2084="","",IFERROR(INDEX($S$5:$S$304,MATCH(C2084,$R$5:$R$304,0))&amp;"","?"))</f>
        <v/>
      </c>
      <c r="N2084" s="2">
        <f>IF(E2084="","",IF(LEFT(E2084,7)="SUBSOLO",-1,IF(LEFT(E2084,6)="TÉRREO",0,IFERROR(VALUE(LEFT(E2084,FIND("º",SUBSTITUTE(E2084,"°","º"))-1)),""))))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M2085" s="2">
        <f>IF(C2085="","",IFERROR(INDEX($S$5:$S$304,MATCH(C2085,$R$5:$R$304,0))&amp;"","?"))</f>
        <v/>
      </c>
      <c r="N2085" s="2">
        <f>IF(E2085="","",IF(LEFT(E2085,7)="SUBSOLO",-1,IF(LEFT(E2085,6)="TÉRREO",0,IFERROR(VALUE(LEFT(E2085,FIND("º",SUBSTITUTE(E2085,"°","º"))-1)),""))))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M2086" s="2">
        <f>IF(C2086="","",IFERROR(INDEX($S$5:$S$304,MATCH(C2086,$R$5:$R$304,0))&amp;"","?"))</f>
        <v/>
      </c>
      <c r="N2086" s="2">
        <f>IF(E2086="","",IF(LEFT(E2086,7)="SUBSOLO",-1,IF(LEFT(E2086,6)="TÉRREO",0,IFERROR(VALUE(LEFT(E2086,FIND("º",SUBSTITUTE(E2086,"°","º"))-1)),""))))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M2087" s="2">
        <f>IF(C2087="","",IFERROR(INDEX($S$5:$S$304,MATCH(C2087,$R$5:$R$304,0))&amp;"","?"))</f>
        <v/>
      </c>
      <c r="N2087" s="2">
        <f>IF(E2087="","",IF(LEFT(E2087,7)="SUBSOLO",-1,IF(LEFT(E2087,6)="TÉRREO",0,IFERROR(VALUE(LEFT(E2087,FIND("º",SUBSTITUTE(E2087,"°","º"))-1)),""))))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M2088" s="2">
        <f>IF(C2088="","",IFERROR(INDEX($S$5:$S$304,MATCH(C2088,$R$5:$R$304,0))&amp;"","?"))</f>
        <v/>
      </c>
      <c r="N2088" s="2">
        <f>IF(E2088="","",IF(LEFT(E2088,7)="SUBSOLO",-1,IF(LEFT(E2088,6)="TÉRREO",0,IFERROR(VALUE(LEFT(E2088,FIND("º",SUBSTITUTE(E2088,"°","º"))-1)),""))))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M2089" s="2">
        <f>IF(C2089="","",IFERROR(INDEX($S$5:$S$304,MATCH(C2089,$R$5:$R$304,0))&amp;"","?"))</f>
        <v/>
      </c>
      <c r="N2089" s="2">
        <f>IF(E2089="","",IF(LEFT(E2089,7)="SUBSOLO",-1,IF(LEFT(E2089,6)="TÉRREO",0,IFERROR(VALUE(LEFT(E2089,FIND("º",SUBSTITUTE(E2089,"°","º"))-1)),""))))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M2090" s="2">
        <f>IF(C2090="","",IFERROR(INDEX($S$5:$S$304,MATCH(C2090,$R$5:$R$304,0))&amp;"","?"))</f>
        <v/>
      </c>
      <c r="N2090" s="2">
        <f>IF(E2090="","",IF(LEFT(E2090,7)="SUBSOLO",-1,IF(LEFT(E2090,6)="TÉRREO",0,IFERROR(VALUE(LEFT(E2090,FIND("º",SUBSTITUTE(E2090,"°","º"))-1)),""))))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M2091" s="2">
        <f>IF(C2091="","",IFERROR(INDEX($S$5:$S$304,MATCH(C2091,$R$5:$R$304,0))&amp;"","?"))</f>
        <v/>
      </c>
      <c r="N2091" s="2">
        <f>IF(E2091="","",IF(LEFT(E2091,7)="SUBSOLO",-1,IF(LEFT(E2091,6)="TÉRREO",0,IFERROR(VALUE(LEFT(E2091,FIND("º",SUBSTITUTE(E2091,"°","º"))-1)),""))))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M2092" s="2">
        <f>IF(C2092="","",IFERROR(INDEX($S$5:$S$304,MATCH(C2092,$R$5:$R$304,0))&amp;"","?"))</f>
        <v/>
      </c>
      <c r="N2092" s="2">
        <f>IF(E2092="","",IF(LEFT(E2092,7)="SUBSOLO",-1,IF(LEFT(E2092,6)="TÉRREO",0,IFERROR(VALUE(LEFT(E2092,FIND("º",SUBSTITUTE(E2092,"°","º"))-1)),""))))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M2093" s="2">
        <f>IF(C2093="","",IFERROR(INDEX($S$5:$S$304,MATCH(C2093,$R$5:$R$304,0))&amp;"","?"))</f>
        <v/>
      </c>
      <c r="N2093" s="2">
        <f>IF(E2093="","",IF(LEFT(E2093,7)="SUBSOLO",-1,IF(LEFT(E2093,6)="TÉRREO",0,IFERROR(VALUE(LEFT(E2093,FIND("º",SUBSTITUTE(E2093,"°","º"))-1)),""))))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M2094" s="2">
        <f>IF(C2094="","",IFERROR(INDEX($S$5:$S$304,MATCH(C2094,$R$5:$R$304,0))&amp;"","?"))</f>
        <v/>
      </c>
      <c r="N2094" s="2">
        <f>IF(E2094="","",IF(LEFT(E2094,7)="SUBSOLO",-1,IF(LEFT(E2094,6)="TÉRREO",0,IFERROR(VALUE(LEFT(E2094,FIND("º",SUBSTITUTE(E2094,"°","º"))-1)),""))))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M2095" s="2">
        <f>IF(C2095="","",IFERROR(INDEX($S$5:$S$304,MATCH(C2095,$R$5:$R$304,0))&amp;"","?"))</f>
        <v/>
      </c>
      <c r="N2095" s="2">
        <f>IF(E2095="","",IF(LEFT(E2095,7)="SUBSOLO",-1,IF(LEFT(E2095,6)="TÉRREO",0,IFERROR(VALUE(LEFT(E2095,FIND("º",SUBSTITUTE(E2095,"°","º"))-1)),""))))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M2096" s="2">
        <f>IF(C2096="","",IFERROR(INDEX($S$5:$S$304,MATCH(C2096,$R$5:$R$304,0))&amp;"","?"))</f>
        <v/>
      </c>
      <c r="N2096" s="2">
        <f>IF(E2096="","",IF(LEFT(E2096,7)="SUBSOLO",-1,IF(LEFT(E2096,6)="TÉRREO",0,IFERROR(VALUE(LEFT(E2096,FIND("º",SUBSTITUTE(E2096,"°","º"))-1)),""))))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M2097" s="2">
        <f>IF(C2097="","",IFERROR(INDEX($S$5:$S$304,MATCH(C2097,$R$5:$R$304,0))&amp;"","?"))</f>
        <v/>
      </c>
      <c r="N2097" s="2">
        <f>IF(E2097="","",IF(LEFT(E2097,7)="SUBSOLO",-1,IF(LEFT(E2097,6)="TÉRREO",0,IFERROR(VALUE(LEFT(E2097,FIND("º",SUBSTITUTE(E2097,"°","º"))-1)),""))))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M2098" s="2">
        <f>IF(C2098="","",IFERROR(INDEX($S$5:$S$304,MATCH(C2098,$R$5:$R$304,0))&amp;"","?"))</f>
        <v/>
      </c>
      <c r="N2098" s="2">
        <f>IF(E2098="","",IF(LEFT(E2098,7)="SUBSOLO",-1,IF(LEFT(E2098,6)="TÉRREO",0,IFERROR(VALUE(LEFT(E2098,FIND("º",SUBSTITUTE(E2098,"°","º"))-1)),""))))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M2099" s="2">
        <f>IF(C2099="","",IFERROR(INDEX($S$5:$S$304,MATCH(C2099,$R$5:$R$304,0))&amp;"","?"))</f>
        <v/>
      </c>
      <c r="N2099" s="2">
        <f>IF(E2099="","",IF(LEFT(E2099,7)="SUBSOLO",-1,IF(LEFT(E2099,6)="TÉRREO",0,IFERROR(VALUE(LEFT(E2099,FIND("º",SUBSTITUTE(E2099,"°","º"))-1)),""))))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M2100" s="2">
        <f>IF(C2100="","",IFERROR(INDEX($S$5:$S$304,MATCH(C2100,$R$5:$R$304,0))&amp;"","?"))</f>
        <v/>
      </c>
      <c r="N2100" s="2">
        <f>IF(E2100="","",IF(LEFT(E2100,7)="SUBSOLO",-1,IF(LEFT(E2100,6)="TÉRREO",0,IFERROR(VALUE(LEFT(E2100,FIND("º",SUBSTITUTE(E2100,"°","º"))-1)),""))))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M2101" s="2">
        <f>IF(C2101="","",IFERROR(INDEX($S$5:$S$304,MATCH(C2101,$R$5:$R$304,0))&amp;"","?"))</f>
        <v/>
      </c>
      <c r="N2101" s="2">
        <f>IF(E2101="","",IF(LEFT(E2101,7)="SUBSOLO",-1,IF(LEFT(E2101,6)="TÉRREO",0,IFERROR(VALUE(LEFT(E2101,FIND("º",SUBSTITUTE(E2101,"°","º"))-1)),""))))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M2102" s="2">
        <f>IF(C2102="","",IFERROR(INDEX($S$5:$S$304,MATCH(C2102,$R$5:$R$304,0))&amp;"","?"))</f>
        <v/>
      </c>
      <c r="N2102" s="2">
        <f>IF(E2102="","",IF(LEFT(E2102,7)="SUBSOLO",-1,IF(LEFT(E2102,6)="TÉRREO",0,IFERROR(VALUE(LEFT(E2102,FIND("º",SUBSTITUTE(E2102,"°","º"))-1)),""))))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M2103" s="2">
        <f>IF(C2103="","",IFERROR(INDEX($S$5:$S$304,MATCH(C2103,$R$5:$R$304,0))&amp;"","?"))</f>
        <v/>
      </c>
      <c r="N2103" s="2">
        <f>IF(E2103="","",IF(LEFT(E2103,7)="SUBSOLO",-1,IF(LEFT(E2103,6)="TÉRREO",0,IFERROR(VALUE(LEFT(E2103,FIND("º",SUBSTITUTE(E2103,"°","º"))-1)),""))))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M2104" s="2">
        <f>IF(C2104="","",IFERROR(INDEX($S$5:$S$304,MATCH(C2104,$R$5:$R$304,0))&amp;"","?"))</f>
        <v/>
      </c>
      <c r="N2104" s="2">
        <f>IF(E2104="","",IF(LEFT(E2104,7)="SUBSOLO",-1,IF(LEFT(E2104,6)="TÉRREO",0,IFERROR(VALUE(LEFT(E2104,FIND("º",SUBSTITUTE(E2104,"°","º"))-1)),""))))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M2105" s="2">
        <f>IF(C2105="","",IFERROR(INDEX($S$5:$S$304,MATCH(C2105,$R$5:$R$304,0))&amp;"","?"))</f>
        <v/>
      </c>
      <c r="N2105" s="2">
        <f>IF(E2105="","",IF(LEFT(E2105,7)="SUBSOLO",-1,IF(LEFT(E2105,6)="TÉRREO",0,IFERROR(VALUE(LEFT(E2105,FIND("º",SUBSTITUTE(E2105,"°","º"))-1)),""))))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M2106" s="2">
        <f>IF(C2106="","",IFERROR(INDEX($S$5:$S$304,MATCH(C2106,$R$5:$R$304,0))&amp;"","?"))</f>
        <v/>
      </c>
      <c r="N2106" s="2">
        <f>IF(E2106="","",IF(LEFT(E2106,7)="SUBSOLO",-1,IF(LEFT(E2106,6)="TÉRREO",0,IFERROR(VALUE(LEFT(E2106,FIND("º",SUBSTITUTE(E2106,"°","º"))-1)),""))))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M2107" s="2">
        <f>IF(C2107="","",IFERROR(INDEX($S$5:$S$304,MATCH(C2107,$R$5:$R$304,0))&amp;"","?"))</f>
        <v/>
      </c>
      <c r="N2107" s="2">
        <f>IF(E2107="","",IF(LEFT(E2107,7)="SUBSOLO",-1,IF(LEFT(E2107,6)="TÉRREO",0,IFERROR(VALUE(LEFT(E2107,FIND("º",SUBSTITUTE(E2107,"°","º"))-1)),""))))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M2108" s="2">
        <f>IF(C2108="","",IFERROR(INDEX($S$5:$S$304,MATCH(C2108,$R$5:$R$304,0))&amp;"","?"))</f>
        <v/>
      </c>
      <c r="N2108" s="2">
        <f>IF(E2108="","",IF(LEFT(E2108,7)="SUBSOLO",-1,IF(LEFT(E2108,6)="TÉRREO",0,IFERROR(VALUE(LEFT(E2108,FIND("º",SUBSTITUTE(E2108,"°","º"))-1)),""))))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M2109" s="2">
        <f>IF(C2109="","",IFERROR(INDEX($S$5:$S$304,MATCH(C2109,$R$5:$R$304,0))&amp;"","?"))</f>
        <v/>
      </c>
      <c r="N2109" s="2">
        <f>IF(E2109="","",IF(LEFT(E2109,7)="SUBSOLO",-1,IF(LEFT(E2109,6)="TÉRREO",0,IFERROR(VALUE(LEFT(E2109,FIND("º",SUBSTITUTE(E2109,"°","º"))-1)),""))))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M2110" s="2">
        <f>IF(C2110="","",IFERROR(INDEX($S$5:$S$304,MATCH(C2110,$R$5:$R$304,0))&amp;"","?"))</f>
        <v/>
      </c>
      <c r="N2110" s="2">
        <f>IF(E2110="","",IF(LEFT(E2110,7)="SUBSOLO",-1,IF(LEFT(E2110,6)="TÉRREO",0,IFERROR(VALUE(LEFT(E2110,FIND("º",SUBSTITUTE(E2110,"°","º"))-1)),""))))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M2111" s="2">
        <f>IF(C2111="","",IFERROR(INDEX($S$5:$S$304,MATCH(C2111,$R$5:$R$304,0))&amp;"","?"))</f>
        <v/>
      </c>
      <c r="N2111" s="2">
        <f>IF(E2111="","",IF(LEFT(E2111,7)="SUBSOLO",-1,IF(LEFT(E2111,6)="TÉRREO",0,IFERROR(VALUE(LEFT(E2111,FIND("º",SUBSTITUTE(E2111,"°","º"))-1)),""))))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M2112" s="2">
        <f>IF(C2112="","",IFERROR(INDEX($S$5:$S$304,MATCH(C2112,$R$5:$R$304,0))&amp;"","?"))</f>
        <v/>
      </c>
      <c r="N2112" s="2">
        <f>IF(E2112="","",IF(LEFT(E2112,7)="SUBSOLO",-1,IF(LEFT(E2112,6)="TÉRREO",0,IFERROR(VALUE(LEFT(E2112,FIND("º",SUBSTITUTE(E2112,"°","º"))-1)),""))))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M2113" s="2">
        <f>IF(C2113="","",IFERROR(INDEX($S$5:$S$304,MATCH(C2113,$R$5:$R$304,0))&amp;"","?"))</f>
        <v/>
      </c>
      <c r="N2113" s="2">
        <f>IF(E2113="","",IF(LEFT(E2113,7)="SUBSOLO",-1,IF(LEFT(E2113,6)="TÉRREO",0,IFERROR(VALUE(LEFT(E2113,FIND("º",SUBSTITUTE(E2113,"°","º"))-1)),""))))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M2114" s="2">
        <f>IF(C2114="","",IFERROR(INDEX($S$5:$S$304,MATCH(C2114,$R$5:$R$304,0))&amp;"","?"))</f>
        <v/>
      </c>
      <c r="N2114" s="2">
        <f>IF(E2114="","",IF(LEFT(E2114,7)="SUBSOLO",-1,IF(LEFT(E2114,6)="TÉRREO",0,IFERROR(VALUE(LEFT(E2114,FIND("º",SUBSTITUTE(E2114,"°","º"))-1)),""))))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M2115" s="2">
        <f>IF(C2115="","",IFERROR(INDEX($S$5:$S$304,MATCH(C2115,$R$5:$R$304,0))&amp;"","?"))</f>
        <v/>
      </c>
      <c r="N2115" s="2">
        <f>IF(E2115="","",IF(LEFT(E2115,7)="SUBSOLO",-1,IF(LEFT(E2115,6)="TÉRREO",0,IFERROR(VALUE(LEFT(E2115,FIND("º",SUBSTITUTE(E2115,"°","º"))-1)),""))))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M2116" s="2">
        <f>IF(C2116="","",IFERROR(INDEX($S$5:$S$304,MATCH(C2116,$R$5:$R$304,0))&amp;"","?"))</f>
        <v/>
      </c>
      <c r="N2116" s="2">
        <f>IF(E2116="","",IF(LEFT(E2116,7)="SUBSOLO",-1,IF(LEFT(E2116,6)="TÉRREO",0,IFERROR(VALUE(LEFT(E2116,FIND("º",SUBSTITUTE(E2116,"°","º"))-1)),""))))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M2117" s="2">
        <f>IF(C2117="","",IFERROR(INDEX($S$5:$S$304,MATCH(C2117,$R$5:$R$304,0))&amp;"","?"))</f>
        <v/>
      </c>
      <c r="N2117" s="2">
        <f>IF(E2117="","",IF(LEFT(E2117,7)="SUBSOLO",-1,IF(LEFT(E2117,6)="TÉRREO",0,IFERROR(VALUE(LEFT(E2117,FIND("º",SUBSTITUTE(E2117,"°","º"))-1)),""))))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M2118" s="2">
        <f>IF(C2118="","",IFERROR(INDEX($S$5:$S$304,MATCH(C2118,$R$5:$R$304,0))&amp;"","?"))</f>
        <v/>
      </c>
      <c r="N2118" s="2">
        <f>IF(E2118="","",IF(LEFT(E2118,7)="SUBSOLO",-1,IF(LEFT(E2118,6)="TÉRREO",0,IFERROR(VALUE(LEFT(E2118,FIND("º",SUBSTITUTE(E2118,"°","º"))-1)),""))))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M2119" s="2">
        <f>IF(C2119="","",IFERROR(INDEX($S$5:$S$304,MATCH(C2119,$R$5:$R$304,0))&amp;"","?"))</f>
        <v/>
      </c>
      <c r="N2119" s="2">
        <f>IF(E2119="","",IF(LEFT(E2119,7)="SUBSOLO",-1,IF(LEFT(E2119,6)="TÉRREO",0,IFERROR(VALUE(LEFT(E2119,FIND("º",SUBSTITUTE(E2119,"°","º"))-1)),""))))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M2120" s="2">
        <f>IF(C2120="","",IFERROR(INDEX($S$5:$S$304,MATCH(C2120,$R$5:$R$304,0))&amp;"","?"))</f>
        <v/>
      </c>
      <c r="N2120" s="2">
        <f>IF(E2120="","",IF(LEFT(E2120,7)="SUBSOLO",-1,IF(LEFT(E2120,6)="TÉRREO",0,IFERROR(VALUE(LEFT(E2120,FIND("º",SUBSTITUTE(E2120,"°","º"))-1)),""))))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M2121" s="2">
        <f>IF(C2121="","",IFERROR(INDEX($S$5:$S$304,MATCH(C2121,$R$5:$R$304,0))&amp;"","?"))</f>
        <v/>
      </c>
      <c r="N2121" s="2">
        <f>IF(E2121="","",IF(LEFT(E2121,7)="SUBSOLO",-1,IF(LEFT(E2121,6)="TÉRREO",0,IFERROR(VALUE(LEFT(E2121,FIND("º",SUBSTITUTE(E2121,"°","º"))-1)),""))))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M2122" s="2">
        <f>IF(C2122="","",IFERROR(INDEX($S$5:$S$304,MATCH(C2122,$R$5:$R$304,0))&amp;"","?"))</f>
        <v/>
      </c>
      <c r="N2122" s="2">
        <f>IF(E2122="","",IF(LEFT(E2122,7)="SUBSOLO",-1,IF(LEFT(E2122,6)="TÉRREO",0,IFERROR(VALUE(LEFT(E2122,FIND("º",SUBSTITUTE(E2122,"°","º"))-1)),""))))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M2123" s="2">
        <f>IF(C2123="","",IFERROR(INDEX($S$5:$S$304,MATCH(C2123,$R$5:$R$304,0))&amp;"","?"))</f>
        <v/>
      </c>
      <c r="N2123" s="2">
        <f>IF(E2123="","",IF(LEFT(E2123,7)="SUBSOLO",-1,IF(LEFT(E2123,6)="TÉRREO",0,IFERROR(VALUE(LEFT(E2123,FIND("º",SUBSTITUTE(E2123,"°","º"))-1)),""))))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M2124" s="2">
        <f>IF(C2124="","",IFERROR(INDEX($S$5:$S$304,MATCH(C2124,$R$5:$R$304,0))&amp;"","?"))</f>
        <v/>
      </c>
      <c r="N2124" s="2">
        <f>IF(E2124="","",IF(LEFT(E2124,7)="SUBSOLO",-1,IF(LEFT(E2124,6)="TÉRREO",0,IFERROR(VALUE(LEFT(E2124,FIND("º",SUBSTITUTE(E2124,"°","º"))-1)),""))))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M2125" s="2">
        <f>IF(C2125="","",IFERROR(INDEX($S$5:$S$304,MATCH(C2125,$R$5:$R$304,0))&amp;"","?"))</f>
        <v/>
      </c>
      <c r="N2125" s="2">
        <f>IF(E2125="","",IF(LEFT(E2125,7)="SUBSOLO",-1,IF(LEFT(E2125,6)="TÉRREO",0,IFERROR(VALUE(LEFT(E2125,FIND("º",SUBSTITUTE(E2125,"°","º"))-1)),""))))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M2126" s="2">
        <f>IF(C2126="","",IFERROR(INDEX($S$5:$S$304,MATCH(C2126,$R$5:$R$304,0))&amp;"","?"))</f>
        <v/>
      </c>
      <c r="N2126" s="2">
        <f>IF(E2126="","",IF(LEFT(E2126,7)="SUBSOLO",-1,IF(LEFT(E2126,6)="TÉRREO",0,IFERROR(VALUE(LEFT(E2126,FIND("º",SUBSTITUTE(E2126,"°","º"))-1)),""))))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M2127" s="2">
        <f>IF(C2127="","",IFERROR(INDEX($S$5:$S$304,MATCH(C2127,$R$5:$R$304,0))&amp;"","?"))</f>
        <v/>
      </c>
      <c r="N2127" s="2">
        <f>IF(E2127="","",IF(LEFT(E2127,7)="SUBSOLO",-1,IF(LEFT(E2127,6)="TÉRREO",0,IFERROR(VALUE(LEFT(E2127,FIND("º",SUBSTITUTE(E2127,"°","º"))-1)),""))))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M2128" s="2">
        <f>IF(C2128="","",IFERROR(INDEX($S$5:$S$304,MATCH(C2128,$R$5:$R$304,0))&amp;"","?"))</f>
        <v/>
      </c>
      <c r="N2128" s="2">
        <f>IF(E2128="","",IF(LEFT(E2128,7)="SUBSOLO",-1,IF(LEFT(E2128,6)="TÉRREO",0,IFERROR(VALUE(LEFT(E2128,FIND("º",SUBSTITUTE(E2128,"°","º"))-1)),""))))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M2129" s="2">
        <f>IF(C2129="","",IFERROR(INDEX($S$5:$S$304,MATCH(C2129,$R$5:$R$304,0))&amp;"","?"))</f>
        <v/>
      </c>
      <c r="N2129" s="2">
        <f>IF(E2129="","",IF(LEFT(E2129,7)="SUBSOLO",-1,IF(LEFT(E2129,6)="TÉRREO",0,IFERROR(VALUE(LEFT(E2129,FIND("º",SUBSTITUTE(E2129,"°","º"))-1)),""))))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M2130" s="2">
        <f>IF(C2130="","",IFERROR(INDEX($S$5:$S$304,MATCH(C2130,$R$5:$R$304,0))&amp;"","?"))</f>
        <v/>
      </c>
      <c r="N2130" s="2">
        <f>IF(E2130="","",IF(LEFT(E2130,7)="SUBSOLO",-1,IF(LEFT(E2130,6)="TÉRREO",0,IFERROR(VALUE(LEFT(E2130,FIND("º",SUBSTITUTE(E2130,"°","º"))-1)),""))))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M2131" s="2">
        <f>IF(C2131="","",IFERROR(INDEX($S$5:$S$304,MATCH(C2131,$R$5:$R$304,0))&amp;"","?"))</f>
        <v/>
      </c>
      <c r="N2131" s="2">
        <f>IF(E2131="","",IF(LEFT(E2131,7)="SUBSOLO",-1,IF(LEFT(E2131,6)="TÉRREO",0,IFERROR(VALUE(LEFT(E2131,FIND("º",SUBSTITUTE(E2131,"°","º"))-1)),""))))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M2132" s="2">
        <f>IF(C2132="","",IFERROR(INDEX($S$5:$S$304,MATCH(C2132,$R$5:$R$304,0))&amp;"","?"))</f>
        <v/>
      </c>
      <c r="N2132" s="2">
        <f>IF(E2132="","",IF(LEFT(E2132,7)="SUBSOLO",-1,IF(LEFT(E2132,6)="TÉRREO",0,IFERROR(VALUE(LEFT(E2132,FIND("º",SUBSTITUTE(E2132,"°","º"))-1)),""))))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M2133" s="2">
        <f>IF(C2133="","",IFERROR(INDEX($S$5:$S$304,MATCH(C2133,$R$5:$R$304,0))&amp;"","?"))</f>
        <v/>
      </c>
      <c r="N2133" s="2">
        <f>IF(E2133="","",IF(LEFT(E2133,7)="SUBSOLO",-1,IF(LEFT(E2133,6)="TÉRREO",0,IFERROR(VALUE(LEFT(E2133,FIND("º",SUBSTITUTE(E2133,"°","º"))-1)),""))))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M2134" s="2">
        <f>IF(C2134="","",IFERROR(INDEX($S$5:$S$304,MATCH(C2134,$R$5:$R$304,0))&amp;"","?"))</f>
        <v/>
      </c>
      <c r="N2134" s="2">
        <f>IF(E2134="","",IF(LEFT(E2134,7)="SUBSOLO",-1,IF(LEFT(E2134,6)="TÉRREO",0,IFERROR(VALUE(LEFT(E2134,FIND("º",SUBSTITUTE(E2134,"°","º"))-1)),""))))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M2135" s="2">
        <f>IF(C2135="","",IFERROR(INDEX($S$5:$S$304,MATCH(C2135,$R$5:$R$304,0))&amp;"","?"))</f>
        <v/>
      </c>
      <c r="N2135" s="2">
        <f>IF(E2135="","",IF(LEFT(E2135,7)="SUBSOLO",-1,IF(LEFT(E2135,6)="TÉRREO",0,IFERROR(VALUE(LEFT(E2135,FIND("º",SUBSTITUTE(E2135,"°","º"))-1)),""))))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M2136" s="2">
        <f>IF(C2136="","",IFERROR(INDEX($S$5:$S$304,MATCH(C2136,$R$5:$R$304,0))&amp;"","?"))</f>
        <v/>
      </c>
      <c r="N2136" s="2">
        <f>IF(E2136="","",IF(LEFT(E2136,7)="SUBSOLO",-1,IF(LEFT(E2136,6)="TÉRREO",0,IFERROR(VALUE(LEFT(E2136,FIND("º",SUBSTITUTE(E2136,"°","º"))-1)),""))))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M2137" s="2">
        <f>IF(C2137="","",IFERROR(INDEX($S$5:$S$304,MATCH(C2137,$R$5:$R$304,0))&amp;"","?"))</f>
        <v/>
      </c>
      <c r="N2137" s="2">
        <f>IF(E2137="","",IF(LEFT(E2137,7)="SUBSOLO",-1,IF(LEFT(E2137,6)="TÉRREO",0,IFERROR(VALUE(LEFT(E2137,FIND("º",SUBSTITUTE(E2137,"°","º"))-1)),""))))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M2138" s="2">
        <f>IF(C2138="","",IFERROR(INDEX($S$5:$S$304,MATCH(C2138,$R$5:$R$304,0))&amp;"","?"))</f>
        <v/>
      </c>
      <c r="N2138" s="2">
        <f>IF(E2138="","",IF(LEFT(E2138,7)="SUBSOLO",-1,IF(LEFT(E2138,6)="TÉRREO",0,IFERROR(VALUE(LEFT(E2138,FIND("º",SUBSTITUTE(E2138,"°","º"))-1)),""))))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M2139" s="2">
        <f>IF(C2139="","",IFERROR(INDEX($S$5:$S$304,MATCH(C2139,$R$5:$R$304,0))&amp;"","?"))</f>
        <v/>
      </c>
      <c r="N2139" s="2">
        <f>IF(E2139="","",IF(LEFT(E2139,7)="SUBSOLO",-1,IF(LEFT(E2139,6)="TÉRREO",0,IFERROR(VALUE(LEFT(E2139,FIND("º",SUBSTITUTE(E2139,"°","º"))-1)),""))))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M2140" s="2">
        <f>IF(C2140="","",IFERROR(INDEX($S$5:$S$304,MATCH(C2140,$R$5:$R$304,0))&amp;"","?"))</f>
        <v/>
      </c>
      <c r="N2140" s="2">
        <f>IF(E2140="","",IF(LEFT(E2140,7)="SUBSOLO",-1,IF(LEFT(E2140,6)="TÉRREO",0,IFERROR(VALUE(LEFT(E2140,FIND("º",SUBSTITUTE(E2140,"°","º"))-1)),""))))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M2141" s="2">
        <f>IF(C2141="","",IFERROR(INDEX($S$5:$S$304,MATCH(C2141,$R$5:$R$304,0))&amp;"","?"))</f>
        <v/>
      </c>
      <c r="N2141" s="2">
        <f>IF(E2141="","",IF(LEFT(E2141,7)="SUBSOLO",-1,IF(LEFT(E2141,6)="TÉRREO",0,IFERROR(VALUE(LEFT(E2141,FIND("º",SUBSTITUTE(E2141,"°","º"))-1)),""))))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M2142" s="2">
        <f>IF(C2142="","",IFERROR(INDEX($S$5:$S$304,MATCH(C2142,$R$5:$R$304,0))&amp;"","?"))</f>
        <v/>
      </c>
      <c r="N2142" s="2">
        <f>IF(E2142="","",IF(LEFT(E2142,7)="SUBSOLO",-1,IF(LEFT(E2142,6)="TÉRREO",0,IFERROR(VALUE(LEFT(E2142,FIND("º",SUBSTITUTE(E2142,"°","º"))-1)),""))))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M2143" s="2">
        <f>IF(C2143="","",IFERROR(INDEX($S$5:$S$304,MATCH(C2143,$R$5:$R$304,0))&amp;"","?"))</f>
        <v/>
      </c>
      <c r="N2143" s="2">
        <f>IF(E2143="","",IF(LEFT(E2143,7)="SUBSOLO",-1,IF(LEFT(E2143,6)="TÉRREO",0,IFERROR(VALUE(LEFT(E2143,FIND("º",SUBSTITUTE(E2143,"°","º"))-1)),""))))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M2144" s="2">
        <f>IF(C2144="","",IFERROR(INDEX($S$5:$S$304,MATCH(C2144,$R$5:$R$304,0))&amp;"","?"))</f>
        <v/>
      </c>
      <c r="N2144" s="2">
        <f>IF(E2144="","",IF(LEFT(E2144,7)="SUBSOLO",-1,IF(LEFT(E2144,6)="TÉRREO",0,IFERROR(VALUE(LEFT(E2144,FIND("º",SUBSTITUTE(E2144,"°","º"))-1)),""))))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M2145" s="2">
        <f>IF(C2145="","",IFERROR(INDEX($S$5:$S$304,MATCH(C2145,$R$5:$R$304,0))&amp;"","?"))</f>
        <v/>
      </c>
      <c r="N2145" s="2">
        <f>IF(E2145="","",IF(LEFT(E2145,7)="SUBSOLO",-1,IF(LEFT(E2145,6)="TÉRREO",0,IFERROR(VALUE(LEFT(E2145,FIND("º",SUBSTITUTE(E2145,"°","º"))-1)),""))))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M2146" s="2">
        <f>IF(C2146="","",IFERROR(INDEX($S$5:$S$304,MATCH(C2146,$R$5:$R$304,0))&amp;"","?"))</f>
        <v/>
      </c>
      <c r="N2146" s="2">
        <f>IF(E2146="","",IF(LEFT(E2146,7)="SUBSOLO",-1,IF(LEFT(E2146,6)="TÉRREO",0,IFERROR(VALUE(LEFT(E2146,FIND("º",SUBSTITUTE(E2146,"°","º"))-1)),""))))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M2147" s="2">
        <f>IF(C2147="","",IFERROR(INDEX($S$5:$S$304,MATCH(C2147,$R$5:$R$304,0))&amp;"","?"))</f>
        <v/>
      </c>
      <c r="N2147" s="2">
        <f>IF(E2147="","",IF(LEFT(E2147,7)="SUBSOLO",-1,IF(LEFT(E2147,6)="TÉRREO",0,IFERROR(VALUE(LEFT(E2147,FIND("º",SUBSTITUTE(E2147,"°","º"))-1)),""))))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M2148" s="2">
        <f>IF(C2148="","",IFERROR(INDEX($S$5:$S$304,MATCH(C2148,$R$5:$R$304,0))&amp;"","?"))</f>
        <v/>
      </c>
      <c r="N2148" s="2">
        <f>IF(E2148="","",IF(LEFT(E2148,7)="SUBSOLO",-1,IF(LEFT(E2148,6)="TÉRREO",0,IFERROR(VALUE(LEFT(E2148,FIND("º",SUBSTITUTE(E2148,"°","º"))-1)),""))))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M2149" s="2">
        <f>IF(C2149="","",IFERROR(INDEX($S$5:$S$304,MATCH(C2149,$R$5:$R$304,0))&amp;"","?"))</f>
        <v/>
      </c>
      <c r="N2149" s="2">
        <f>IF(E2149="","",IF(LEFT(E2149,7)="SUBSOLO",-1,IF(LEFT(E2149,6)="TÉRREO",0,IFERROR(VALUE(LEFT(E2149,FIND("º",SUBSTITUTE(E2149,"°","º"))-1)),""))))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M2150" s="2">
        <f>IF(C2150="","",IFERROR(INDEX($S$5:$S$304,MATCH(C2150,$R$5:$R$304,0))&amp;"","?"))</f>
        <v/>
      </c>
      <c r="N2150" s="2">
        <f>IF(E2150="","",IF(LEFT(E2150,7)="SUBSOLO",-1,IF(LEFT(E2150,6)="TÉRREO",0,IFERROR(VALUE(LEFT(E2150,FIND("º",SUBSTITUTE(E2150,"°","º"))-1)),""))))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M2151" s="2">
        <f>IF(C2151="","",IFERROR(INDEX($S$5:$S$304,MATCH(C2151,$R$5:$R$304,0))&amp;"","?"))</f>
        <v/>
      </c>
      <c r="N2151" s="2">
        <f>IF(E2151="","",IF(LEFT(E2151,7)="SUBSOLO",-1,IF(LEFT(E2151,6)="TÉRREO",0,IFERROR(VALUE(LEFT(E2151,FIND("º",SUBSTITUTE(E2151,"°","º"))-1)),""))))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M2152" s="2">
        <f>IF(C2152="","",IFERROR(INDEX($S$5:$S$304,MATCH(C2152,$R$5:$R$304,0))&amp;"","?"))</f>
        <v/>
      </c>
      <c r="N2152" s="2">
        <f>IF(E2152="","",IF(LEFT(E2152,7)="SUBSOLO",-1,IF(LEFT(E2152,6)="TÉRREO",0,IFERROR(VALUE(LEFT(E2152,FIND("º",SUBSTITUTE(E2152,"°","º"))-1)),""))))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M2153" s="2">
        <f>IF(C2153="","",IFERROR(INDEX($S$5:$S$304,MATCH(C2153,$R$5:$R$304,0))&amp;"","?"))</f>
        <v/>
      </c>
      <c r="N2153" s="2">
        <f>IF(E2153="","",IF(LEFT(E2153,7)="SUBSOLO",-1,IF(LEFT(E2153,6)="TÉRREO",0,IFERROR(VALUE(LEFT(E2153,FIND("º",SUBSTITUTE(E2153,"°","º"))-1)),""))))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M2154" s="2">
        <f>IF(C2154="","",IFERROR(INDEX($S$5:$S$304,MATCH(C2154,$R$5:$R$304,0))&amp;"","?"))</f>
        <v/>
      </c>
      <c r="N2154" s="2">
        <f>IF(E2154="","",IF(LEFT(E2154,7)="SUBSOLO",-1,IF(LEFT(E2154,6)="TÉRREO",0,IFERROR(VALUE(LEFT(E2154,FIND("º",SUBSTITUTE(E2154,"°","º"))-1)),""))))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M2155" s="2">
        <f>IF(C2155="","",IFERROR(INDEX($S$5:$S$304,MATCH(C2155,$R$5:$R$304,0))&amp;"","?"))</f>
        <v/>
      </c>
      <c r="N2155" s="2">
        <f>IF(E2155="","",IF(LEFT(E2155,7)="SUBSOLO",-1,IF(LEFT(E2155,6)="TÉRREO",0,IFERROR(VALUE(LEFT(E2155,FIND("º",SUBSTITUTE(E2155,"°","º"))-1)),""))))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M2156" s="2">
        <f>IF(C2156="","",IFERROR(INDEX($S$5:$S$304,MATCH(C2156,$R$5:$R$304,0))&amp;"","?"))</f>
        <v/>
      </c>
      <c r="N2156" s="2">
        <f>IF(E2156="","",IF(LEFT(E2156,7)="SUBSOLO",-1,IF(LEFT(E2156,6)="TÉRREO",0,IFERROR(VALUE(LEFT(E2156,FIND("º",SUBSTITUTE(E2156,"°","º"))-1)),""))))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M2157" s="2">
        <f>IF(C2157="","",IFERROR(INDEX($S$5:$S$304,MATCH(C2157,$R$5:$R$304,0))&amp;"","?"))</f>
        <v/>
      </c>
      <c r="N2157" s="2">
        <f>IF(E2157="","",IF(LEFT(E2157,7)="SUBSOLO",-1,IF(LEFT(E2157,6)="TÉRREO",0,IFERROR(VALUE(LEFT(E2157,FIND("º",SUBSTITUTE(E2157,"°","º"))-1)),""))))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M2158" s="2">
        <f>IF(C2158="","",IFERROR(INDEX($S$5:$S$304,MATCH(C2158,$R$5:$R$304,0))&amp;"","?"))</f>
        <v/>
      </c>
      <c r="N2158" s="2">
        <f>IF(E2158="","",IF(LEFT(E2158,7)="SUBSOLO",-1,IF(LEFT(E2158,6)="TÉRREO",0,IFERROR(VALUE(LEFT(E2158,FIND("º",SUBSTITUTE(E2158,"°","º"))-1)),""))))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M2159" s="2">
        <f>IF(C2159="","",IFERROR(INDEX($S$5:$S$304,MATCH(C2159,$R$5:$R$304,0))&amp;"","?"))</f>
        <v/>
      </c>
      <c r="N2159" s="2">
        <f>IF(E2159="","",IF(LEFT(E2159,7)="SUBSOLO",-1,IF(LEFT(E2159,6)="TÉRREO",0,IFERROR(VALUE(LEFT(E2159,FIND("º",SUBSTITUTE(E2159,"°","º"))-1)),""))))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M2160" s="2">
        <f>IF(C2160="","",IFERROR(INDEX($S$5:$S$304,MATCH(C2160,$R$5:$R$304,0))&amp;"","?"))</f>
        <v/>
      </c>
      <c r="N2160" s="2">
        <f>IF(E2160="","",IF(LEFT(E2160,7)="SUBSOLO",-1,IF(LEFT(E2160,6)="TÉRREO",0,IFERROR(VALUE(LEFT(E2160,FIND("º",SUBSTITUTE(E2160,"°","º"))-1)),""))))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M2161" s="2">
        <f>IF(C2161="","",IFERROR(INDEX($S$5:$S$304,MATCH(C2161,$R$5:$R$304,0))&amp;"","?"))</f>
        <v/>
      </c>
      <c r="N2161" s="2">
        <f>IF(E2161="","",IF(LEFT(E2161,7)="SUBSOLO",-1,IF(LEFT(E2161,6)="TÉRREO",0,IFERROR(VALUE(LEFT(E2161,FIND("º",SUBSTITUTE(E2161,"°","º"))-1)),""))))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M2162" s="2">
        <f>IF(C2162="","",IFERROR(INDEX($S$5:$S$304,MATCH(C2162,$R$5:$R$304,0))&amp;"","?"))</f>
        <v/>
      </c>
      <c r="N2162" s="2">
        <f>IF(E2162="","",IF(LEFT(E2162,7)="SUBSOLO",-1,IF(LEFT(E2162,6)="TÉRREO",0,IFERROR(VALUE(LEFT(E2162,FIND("º",SUBSTITUTE(E2162,"°","º"))-1)),""))))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M2163" s="2">
        <f>IF(C2163="","",IFERROR(INDEX($S$5:$S$304,MATCH(C2163,$R$5:$R$304,0))&amp;"","?"))</f>
        <v/>
      </c>
      <c r="N2163" s="2">
        <f>IF(E2163="","",IF(LEFT(E2163,7)="SUBSOLO",-1,IF(LEFT(E2163,6)="TÉRREO",0,IFERROR(VALUE(LEFT(E2163,FIND("º",SUBSTITUTE(E2163,"°","º"))-1)),""))))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M2164" s="2">
        <f>IF(C2164="","",IFERROR(INDEX($S$5:$S$304,MATCH(C2164,$R$5:$R$304,0))&amp;"","?"))</f>
        <v/>
      </c>
      <c r="N2164" s="2">
        <f>IF(E2164="","",IF(LEFT(E2164,7)="SUBSOLO",-1,IF(LEFT(E2164,6)="TÉRREO",0,IFERROR(VALUE(LEFT(E2164,FIND("º",SUBSTITUTE(E2164,"°","º"))-1)),""))))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M2165" s="2">
        <f>IF(C2165="","",IFERROR(INDEX($S$5:$S$304,MATCH(C2165,$R$5:$R$304,0))&amp;"","?"))</f>
        <v/>
      </c>
      <c r="N2165" s="2">
        <f>IF(E2165="","",IF(LEFT(E2165,7)="SUBSOLO",-1,IF(LEFT(E2165,6)="TÉRREO",0,IFERROR(VALUE(LEFT(E2165,FIND("º",SUBSTITUTE(E2165,"°","º"))-1)),""))))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M2166" s="2">
        <f>IF(C2166="","",IFERROR(INDEX($S$5:$S$304,MATCH(C2166,$R$5:$R$304,0))&amp;"","?"))</f>
        <v/>
      </c>
      <c r="N2166" s="2">
        <f>IF(E2166="","",IF(LEFT(E2166,7)="SUBSOLO",-1,IF(LEFT(E2166,6)="TÉRREO",0,IFERROR(VALUE(LEFT(E2166,FIND("º",SUBSTITUTE(E2166,"°","º"))-1)),""))))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M2167" s="2">
        <f>IF(C2167="","",IFERROR(INDEX($S$5:$S$304,MATCH(C2167,$R$5:$R$304,0))&amp;"","?"))</f>
        <v/>
      </c>
      <c r="N2167" s="2">
        <f>IF(E2167="","",IF(LEFT(E2167,7)="SUBSOLO",-1,IF(LEFT(E2167,6)="TÉRREO",0,IFERROR(VALUE(LEFT(E2167,FIND("º",SUBSTITUTE(E2167,"°","º"))-1)),""))))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M2168" s="2">
        <f>IF(C2168="","",IFERROR(INDEX($S$5:$S$304,MATCH(C2168,$R$5:$R$304,0))&amp;"","?"))</f>
        <v/>
      </c>
      <c r="N2168" s="2">
        <f>IF(E2168="","",IF(LEFT(E2168,7)="SUBSOLO",-1,IF(LEFT(E2168,6)="TÉRREO",0,IFERROR(VALUE(LEFT(E2168,FIND("º",SUBSTITUTE(E2168,"°","º"))-1)),""))))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M2169" s="2">
        <f>IF(C2169="","",IFERROR(INDEX($S$5:$S$304,MATCH(C2169,$R$5:$R$304,0))&amp;"","?"))</f>
        <v/>
      </c>
      <c r="N2169" s="2">
        <f>IF(E2169="","",IF(LEFT(E2169,7)="SUBSOLO",-1,IF(LEFT(E2169,6)="TÉRREO",0,IFERROR(VALUE(LEFT(E2169,FIND("º",SUBSTITUTE(E2169,"°","º"))-1)),""))))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M2170" s="2">
        <f>IF(C2170="","",IFERROR(INDEX($S$5:$S$304,MATCH(C2170,$R$5:$R$304,0))&amp;"","?"))</f>
        <v/>
      </c>
      <c r="N2170" s="2">
        <f>IF(E2170="","",IF(LEFT(E2170,7)="SUBSOLO",-1,IF(LEFT(E2170,6)="TÉRREO",0,IFERROR(VALUE(LEFT(E2170,FIND("º",SUBSTITUTE(E2170,"°","º"))-1)),""))))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M2171" s="2">
        <f>IF(C2171="","",IFERROR(INDEX($S$5:$S$304,MATCH(C2171,$R$5:$R$304,0))&amp;"","?"))</f>
        <v/>
      </c>
      <c r="N2171" s="2">
        <f>IF(E2171="","",IF(LEFT(E2171,7)="SUBSOLO",-1,IF(LEFT(E2171,6)="TÉRREO",0,IFERROR(VALUE(LEFT(E2171,FIND("º",SUBSTITUTE(E2171,"°","º"))-1)),""))))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M2172" s="2">
        <f>IF(C2172="","",IFERROR(INDEX($S$5:$S$304,MATCH(C2172,$R$5:$R$304,0))&amp;"","?"))</f>
        <v/>
      </c>
      <c r="N2172" s="2">
        <f>IF(E2172="","",IF(LEFT(E2172,7)="SUBSOLO",-1,IF(LEFT(E2172,6)="TÉRREO",0,IFERROR(VALUE(LEFT(E2172,FIND("º",SUBSTITUTE(E2172,"°","º"))-1)),""))))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M2173" s="2">
        <f>IF(C2173="","",IFERROR(INDEX($S$5:$S$304,MATCH(C2173,$R$5:$R$304,0))&amp;"","?"))</f>
        <v/>
      </c>
      <c r="N2173" s="2">
        <f>IF(E2173="","",IF(LEFT(E2173,7)="SUBSOLO",-1,IF(LEFT(E2173,6)="TÉRREO",0,IFERROR(VALUE(LEFT(E2173,FIND("º",SUBSTITUTE(E2173,"°","º"))-1)),""))))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M2174" s="2">
        <f>IF(C2174="","",IFERROR(INDEX($S$5:$S$304,MATCH(C2174,$R$5:$R$304,0))&amp;"","?"))</f>
        <v/>
      </c>
      <c r="N2174" s="2">
        <f>IF(E2174="","",IF(LEFT(E2174,7)="SUBSOLO",-1,IF(LEFT(E2174,6)="TÉRREO",0,IFERROR(VALUE(LEFT(E2174,FIND("º",SUBSTITUTE(E2174,"°","º"))-1)),""))))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M2175" s="2">
        <f>IF(C2175="","",IFERROR(INDEX($S$5:$S$304,MATCH(C2175,$R$5:$R$304,0))&amp;"","?"))</f>
        <v/>
      </c>
      <c r="N2175" s="2">
        <f>IF(E2175="","",IF(LEFT(E2175,7)="SUBSOLO",-1,IF(LEFT(E2175,6)="TÉRREO",0,IFERROR(VALUE(LEFT(E2175,FIND("º",SUBSTITUTE(E2175,"°","º"))-1)),""))))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M2176" s="2">
        <f>IF(C2176="","",IFERROR(INDEX($S$5:$S$304,MATCH(C2176,$R$5:$R$304,0))&amp;"","?"))</f>
        <v/>
      </c>
      <c r="N2176" s="2">
        <f>IF(E2176="","",IF(LEFT(E2176,7)="SUBSOLO",-1,IF(LEFT(E2176,6)="TÉRREO",0,IFERROR(VALUE(LEFT(E2176,FIND("º",SUBSTITUTE(E2176,"°","º"))-1)),""))))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M2177" s="2">
        <f>IF(C2177="","",IFERROR(INDEX($S$5:$S$304,MATCH(C2177,$R$5:$R$304,0))&amp;"","?"))</f>
        <v/>
      </c>
      <c r="N2177" s="2">
        <f>IF(E2177="","",IF(LEFT(E2177,7)="SUBSOLO",-1,IF(LEFT(E2177,6)="TÉRREO",0,IFERROR(VALUE(LEFT(E2177,FIND("º",SUBSTITUTE(E2177,"°","º"))-1)),""))))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M2178" s="2">
        <f>IF(C2178="","",IFERROR(INDEX($S$5:$S$304,MATCH(C2178,$R$5:$R$304,0))&amp;"","?"))</f>
        <v/>
      </c>
      <c r="N2178" s="2">
        <f>IF(E2178="","",IF(LEFT(E2178,7)="SUBSOLO",-1,IF(LEFT(E2178,6)="TÉRREO",0,IFERROR(VALUE(LEFT(E2178,FIND("º",SUBSTITUTE(E2178,"°","º"))-1)),""))))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M2179" s="2">
        <f>IF(C2179="","",IFERROR(INDEX($S$5:$S$304,MATCH(C2179,$R$5:$R$304,0))&amp;"","?"))</f>
        <v/>
      </c>
      <c r="N2179" s="2">
        <f>IF(E2179="","",IF(LEFT(E2179,7)="SUBSOLO",-1,IF(LEFT(E2179,6)="TÉRREO",0,IFERROR(VALUE(LEFT(E2179,FIND("º",SUBSTITUTE(E2179,"°","º"))-1)),""))))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M2180" s="2">
        <f>IF(C2180="","",IFERROR(INDEX($S$5:$S$304,MATCH(C2180,$R$5:$R$304,0))&amp;"","?"))</f>
        <v/>
      </c>
      <c r="N2180" s="2">
        <f>IF(E2180="","",IF(LEFT(E2180,7)="SUBSOLO",-1,IF(LEFT(E2180,6)="TÉRREO",0,IFERROR(VALUE(LEFT(E2180,FIND("º",SUBSTITUTE(E2180,"°","º"))-1)),""))))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M2181" s="2">
        <f>IF(C2181="","",IFERROR(INDEX($S$5:$S$304,MATCH(C2181,$R$5:$R$304,0))&amp;"","?"))</f>
        <v/>
      </c>
      <c r="N2181" s="2">
        <f>IF(E2181="","",IF(LEFT(E2181,7)="SUBSOLO",-1,IF(LEFT(E2181,6)="TÉRREO",0,IFERROR(VALUE(LEFT(E2181,FIND("º",SUBSTITUTE(E2181,"°","º"))-1)),""))))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M2182" s="2">
        <f>IF(C2182="","",IFERROR(INDEX($S$5:$S$304,MATCH(C2182,$R$5:$R$304,0))&amp;"","?"))</f>
        <v/>
      </c>
      <c r="N2182" s="2">
        <f>IF(E2182="","",IF(LEFT(E2182,7)="SUBSOLO",-1,IF(LEFT(E2182,6)="TÉRREO",0,IFERROR(VALUE(LEFT(E2182,FIND("º",SUBSTITUTE(E2182,"°","º"))-1)),""))))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M2183" s="2">
        <f>IF(C2183="","",IFERROR(INDEX($S$5:$S$304,MATCH(C2183,$R$5:$R$304,0))&amp;"","?"))</f>
        <v/>
      </c>
      <c r="N2183" s="2">
        <f>IF(E2183="","",IF(LEFT(E2183,7)="SUBSOLO",-1,IF(LEFT(E2183,6)="TÉRREO",0,IFERROR(VALUE(LEFT(E2183,FIND("º",SUBSTITUTE(E2183,"°","º"))-1)),""))))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M2184" s="2">
        <f>IF(C2184="","",IFERROR(INDEX($S$5:$S$304,MATCH(C2184,$R$5:$R$304,0))&amp;"","?"))</f>
        <v/>
      </c>
      <c r="N2184" s="2">
        <f>IF(E2184="","",IF(LEFT(E2184,7)="SUBSOLO",-1,IF(LEFT(E2184,6)="TÉRREO",0,IFERROR(VALUE(LEFT(E2184,FIND("º",SUBSTITUTE(E2184,"°","º"))-1)),""))))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M2185" s="2">
        <f>IF(C2185="","",IFERROR(INDEX($S$5:$S$304,MATCH(C2185,$R$5:$R$304,0))&amp;"","?"))</f>
        <v/>
      </c>
      <c r="N2185" s="2">
        <f>IF(E2185="","",IF(LEFT(E2185,7)="SUBSOLO",-1,IF(LEFT(E2185,6)="TÉRREO",0,IFERROR(VALUE(LEFT(E2185,FIND("º",SUBSTITUTE(E2185,"°","º"))-1)),""))))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M2186" s="2">
        <f>IF(C2186="","",IFERROR(INDEX($S$5:$S$304,MATCH(C2186,$R$5:$R$304,0))&amp;"","?"))</f>
        <v/>
      </c>
      <c r="N2186" s="2">
        <f>IF(E2186="","",IF(LEFT(E2186,7)="SUBSOLO",-1,IF(LEFT(E2186,6)="TÉRREO",0,IFERROR(VALUE(LEFT(E2186,FIND("º",SUBSTITUTE(E2186,"°","º"))-1)),""))))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M2187" s="2">
        <f>IF(C2187="","",IFERROR(INDEX($S$5:$S$304,MATCH(C2187,$R$5:$R$304,0))&amp;"","?"))</f>
        <v/>
      </c>
      <c r="N2187" s="2">
        <f>IF(E2187="","",IF(LEFT(E2187,7)="SUBSOLO",-1,IF(LEFT(E2187,6)="TÉRREO",0,IFERROR(VALUE(LEFT(E2187,FIND("º",SUBSTITUTE(E2187,"°","º"))-1)),""))))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M2188" s="2">
        <f>IF(C2188="","",IFERROR(INDEX($S$5:$S$304,MATCH(C2188,$R$5:$R$304,0))&amp;"","?"))</f>
        <v/>
      </c>
      <c r="N2188" s="2">
        <f>IF(E2188="","",IF(LEFT(E2188,7)="SUBSOLO",-1,IF(LEFT(E2188,6)="TÉRREO",0,IFERROR(VALUE(LEFT(E2188,FIND("º",SUBSTITUTE(E2188,"°","º"))-1)),""))))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M2189" s="2">
        <f>IF(C2189="","",IFERROR(INDEX($S$5:$S$304,MATCH(C2189,$R$5:$R$304,0))&amp;"","?"))</f>
        <v/>
      </c>
      <c r="N2189" s="2">
        <f>IF(E2189="","",IF(LEFT(E2189,7)="SUBSOLO",-1,IF(LEFT(E2189,6)="TÉRREO",0,IFERROR(VALUE(LEFT(E2189,FIND("º",SUBSTITUTE(E2189,"°","º"))-1)),""))))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M2190" s="2">
        <f>IF(C2190="","",IFERROR(INDEX($S$5:$S$304,MATCH(C2190,$R$5:$R$304,0))&amp;"","?"))</f>
        <v/>
      </c>
      <c r="N2190" s="2">
        <f>IF(E2190="","",IF(LEFT(E2190,7)="SUBSOLO",-1,IF(LEFT(E2190,6)="TÉRREO",0,IFERROR(VALUE(LEFT(E2190,FIND("º",SUBSTITUTE(E2190,"°","º"))-1)),""))))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M2191" s="2">
        <f>IF(C2191="","",IFERROR(INDEX($S$5:$S$304,MATCH(C2191,$R$5:$R$304,0))&amp;"","?"))</f>
        <v/>
      </c>
      <c r="N2191" s="2">
        <f>IF(E2191="","",IF(LEFT(E2191,7)="SUBSOLO",-1,IF(LEFT(E2191,6)="TÉRREO",0,IFERROR(VALUE(LEFT(E2191,FIND("º",SUBSTITUTE(E2191,"°","º"))-1)),""))))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M2192" s="2">
        <f>IF(C2192="","",IFERROR(INDEX($S$5:$S$304,MATCH(C2192,$R$5:$R$304,0))&amp;"","?"))</f>
        <v/>
      </c>
      <c r="N2192" s="2">
        <f>IF(E2192="","",IF(LEFT(E2192,7)="SUBSOLO",-1,IF(LEFT(E2192,6)="TÉRREO",0,IFERROR(VALUE(LEFT(E2192,FIND("º",SUBSTITUTE(E2192,"°","º"))-1)),""))))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M2193" s="2">
        <f>IF(C2193="","",IFERROR(INDEX($S$5:$S$304,MATCH(C2193,$R$5:$R$304,0))&amp;"","?"))</f>
        <v/>
      </c>
      <c r="N2193" s="2">
        <f>IF(E2193="","",IF(LEFT(E2193,7)="SUBSOLO",-1,IF(LEFT(E2193,6)="TÉRREO",0,IFERROR(VALUE(LEFT(E2193,FIND("º",SUBSTITUTE(E2193,"°","º"))-1)),""))))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M2194" s="2">
        <f>IF(C2194="","",IFERROR(INDEX($S$5:$S$304,MATCH(C2194,$R$5:$R$304,0))&amp;"","?"))</f>
        <v/>
      </c>
      <c r="N2194" s="2">
        <f>IF(E2194="","",IF(LEFT(E2194,7)="SUBSOLO",-1,IF(LEFT(E2194,6)="TÉRREO",0,IFERROR(VALUE(LEFT(E2194,FIND("º",SUBSTITUTE(E2194,"°","º"))-1)),""))))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M2195" s="2">
        <f>IF(C2195="","",IFERROR(INDEX($S$5:$S$304,MATCH(C2195,$R$5:$R$304,0))&amp;"","?"))</f>
        <v/>
      </c>
      <c r="N2195" s="2">
        <f>IF(E2195="","",IF(LEFT(E2195,7)="SUBSOLO",-1,IF(LEFT(E2195,6)="TÉRREO",0,IFERROR(VALUE(LEFT(E2195,FIND("º",SUBSTITUTE(E2195,"°","º"))-1)),""))))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M2196" s="2">
        <f>IF(C2196="","",IFERROR(INDEX($S$5:$S$304,MATCH(C2196,$R$5:$R$304,0))&amp;"","?"))</f>
        <v/>
      </c>
      <c r="N2196" s="2">
        <f>IF(E2196="","",IF(LEFT(E2196,7)="SUBSOLO",-1,IF(LEFT(E2196,6)="TÉRREO",0,IFERROR(VALUE(LEFT(E2196,FIND("º",SUBSTITUTE(E2196,"°","º"))-1)),""))))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M2197" s="2">
        <f>IF(C2197="","",IFERROR(INDEX($S$5:$S$304,MATCH(C2197,$R$5:$R$304,0))&amp;"","?"))</f>
        <v/>
      </c>
      <c r="N2197" s="2">
        <f>IF(E2197="","",IF(LEFT(E2197,7)="SUBSOLO",-1,IF(LEFT(E2197,6)="TÉRREO",0,IFERROR(VALUE(LEFT(E2197,FIND("º",SUBSTITUTE(E2197,"°","º"))-1)),""))))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M2198" s="2">
        <f>IF(C2198="","",IFERROR(INDEX($S$5:$S$304,MATCH(C2198,$R$5:$R$304,0))&amp;"","?"))</f>
        <v/>
      </c>
      <c r="N2198" s="2">
        <f>IF(E2198="","",IF(LEFT(E2198,7)="SUBSOLO",-1,IF(LEFT(E2198,6)="TÉRREO",0,IFERROR(VALUE(LEFT(E2198,FIND("º",SUBSTITUTE(E2198,"°","º"))-1)),""))))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M2199" s="2">
        <f>IF(C2199="","",IFERROR(INDEX($S$5:$S$304,MATCH(C2199,$R$5:$R$304,0))&amp;"","?"))</f>
        <v/>
      </c>
      <c r="N2199" s="2">
        <f>IF(E2199="","",IF(LEFT(E2199,7)="SUBSOLO",-1,IF(LEFT(E2199,6)="TÉRREO",0,IFERROR(VALUE(LEFT(E2199,FIND("º",SUBSTITUTE(E2199,"°","º"))-1)),""))))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M2200" s="2">
        <f>IF(C2200="","",IFERROR(INDEX($S$5:$S$304,MATCH(C2200,$R$5:$R$304,0))&amp;"","?"))</f>
        <v/>
      </c>
      <c r="N2200" s="2">
        <f>IF(E2200="","",IF(LEFT(E2200,7)="SUBSOLO",-1,IF(LEFT(E2200,6)="TÉRREO",0,IFERROR(VALUE(LEFT(E2200,FIND("º",SUBSTITUTE(E2200,"°","º"))-1)),""))))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M2201" s="2">
        <f>IF(C2201="","",IFERROR(INDEX($S$5:$S$304,MATCH(C2201,$R$5:$R$304,0))&amp;"","?"))</f>
        <v/>
      </c>
      <c r="N2201" s="2">
        <f>IF(E2201="","",IF(LEFT(E2201,7)="SUBSOLO",-1,IF(LEFT(E2201,6)="TÉRREO",0,IFERROR(VALUE(LEFT(E2201,FIND("º",SUBSTITUTE(E2201,"°","º"))-1)),""))))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M2202" s="2">
        <f>IF(C2202="","",IFERROR(INDEX($S$5:$S$304,MATCH(C2202,$R$5:$R$304,0))&amp;"","?"))</f>
        <v/>
      </c>
      <c r="N2202" s="2">
        <f>IF(E2202="","",IF(LEFT(E2202,7)="SUBSOLO",-1,IF(LEFT(E2202,6)="TÉRREO",0,IFERROR(VALUE(LEFT(E2202,FIND("º",SUBSTITUTE(E2202,"°","º"))-1)),""))))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M2203" s="2">
        <f>IF(C2203="","",IFERROR(INDEX($S$5:$S$304,MATCH(C2203,$R$5:$R$304,0))&amp;"","?"))</f>
        <v/>
      </c>
      <c r="N2203" s="2">
        <f>IF(E2203="","",IF(LEFT(E2203,7)="SUBSOLO",-1,IF(LEFT(E2203,6)="TÉRREO",0,IFERROR(VALUE(LEFT(E2203,FIND("º",SUBSTITUTE(E2203,"°","º"))-1)),""))))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M2204" s="2">
        <f>IF(C2204="","",IFERROR(INDEX($S$5:$S$304,MATCH(C2204,$R$5:$R$304,0))&amp;"","?"))</f>
        <v/>
      </c>
      <c r="N2204" s="2">
        <f>IF(E2204="","",IF(LEFT(E2204,7)="SUBSOLO",-1,IF(LEFT(E2204,6)="TÉRREO",0,IFERROR(VALUE(LEFT(E2204,FIND("º",SUBSTITUTE(E2204,"°","º"))-1)),""))))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M2205" s="2">
        <f>IF(C2205="","",IFERROR(INDEX($S$5:$S$304,MATCH(C2205,$R$5:$R$304,0))&amp;"","?"))</f>
        <v/>
      </c>
      <c r="N2205" s="2">
        <f>IF(E2205="","",IF(LEFT(E2205,7)="SUBSOLO",-1,IF(LEFT(E2205,6)="TÉRREO",0,IFERROR(VALUE(LEFT(E2205,FIND("º",SUBSTITUTE(E2205,"°","º"))-1)),""))))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M2206" s="2">
        <f>IF(C2206="","",IFERROR(INDEX($S$5:$S$304,MATCH(C2206,$R$5:$R$304,0))&amp;"","?"))</f>
        <v/>
      </c>
      <c r="N2206" s="2">
        <f>IF(E2206="","",IF(LEFT(E2206,7)="SUBSOLO",-1,IF(LEFT(E2206,6)="TÉRREO",0,IFERROR(VALUE(LEFT(E2206,FIND("º",SUBSTITUTE(E2206,"°","º"))-1)),""))))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M2207" s="2">
        <f>IF(C2207="","",IFERROR(INDEX($S$5:$S$304,MATCH(C2207,$R$5:$R$304,0))&amp;"","?"))</f>
        <v/>
      </c>
      <c r="N2207" s="2">
        <f>IF(E2207="","",IF(LEFT(E2207,7)="SUBSOLO",-1,IF(LEFT(E2207,6)="TÉRREO",0,IFERROR(VALUE(LEFT(E2207,FIND("º",SUBSTITUTE(E2207,"°","º"))-1)),""))))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M2208" s="2">
        <f>IF(C2208="","",IFERROR(INDEX($S$5:$S$304,MATCH(C2208,$R$5:$R$304,0))&amp;"","?"))</f>
        <v/>
      </c>
      <c r="N2208" s="2">
        <f>IF(E2208="","",IF(LEFT(E2208,7)="SUBSOLO",-1,IF(LEFT(E2208,6)="TÉRREO",0,IFERROR(VALUE(LEFT(E2208,FIND("º",SUBSTITUTE(E2208,"°","º"))-1)),""))))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M2209" s="2">
        <f>IF(C2209="","",IFERROR(INDEX($S$5:$S$304,MATCH(C2209,$R$5:$R$304,0))&amp;"","?"))</f>
        <v/>
      </c>
      <c r="N2209" s="2">
        <f>IF(E2209="","",IF(LEFT(E2209,7)="SUBSOLO",-1,IF(LEFT(E2209,6)="TÉRREO",0,IFERROR(VALUE(LEFT(E2209,FIND("º",SUBSTITUTE(E2209,"°","º"))-1)),""))))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M2210" s="2">
        <f>IF(C2210="","",IFERROR(INDEX($S$5:$S$304,MATCH(C2210,$R$5:$R$304,0))&amp;"","?"))</f>
        <v/>
      </c>
      <c r="N2210" s="2">
        <f>IF(E2210="","",IF(LEFT(E2210,7)="SUBSOLO",-1,IF(LEFT(E2210,6)="TÉRREO",0,IFERROR(VALUE(LEFT(E2210,FIND("º",SUBSTITUTE(E2210,"°","º"))-1)),""))))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M2211" s="2">
        <f>IF(C2211="","",IFERROR(INDEX($S$5:$S$304,MATCH(C2211,$R$5:$R$304,0))&amp;"","?"))</f>
        <v/>
      </c>
      <c r="N2211" s="2">
        <f>IF(E2211="","",IF(LEFT(E2211,7)="SUBSOLO",-1,IF(LEFT(E2211,6)="TÉRREO",0,IFERROR(VALUE(LEFT(E2211,FIND("º",SUBSTITUTE(E2211,"°","º"))-1)),""))))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M2212" s="2">
        <f>IF(C2212="","",IFERROR(INDEX($S$5:$S$304,MATCH(C2212,$R$5:$R$304,0))&amp;"","?"))</f>
        <v/>
      </c>
      <c r="N2212" s="2">
        <f>IF(E2212="","",IF(LEFT(E2212,7)="SUBSOLO",-1,IF(LEFT(E2212,6)="TÉRREO",0,IFERROR(VALUE(LEFT(E2212,FIND("º",SUBSTITUTE(E2212,"°","º"))-1)),""))))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M2213" s="2">
        <f>IF(C2213="","",IFERROR(INDEX($S$5:$S$304,MATCH(C2213,$R$5:$R$304,0))&amp;"","?"))</f>
        <v/>
      </c>
      <c r="N2213" s="2">
        <f>IF(E2213="","",IF(LEFT(E2213,7)="SUBSOLO",-1,IF(LEFT(E2213,6)="TÉRREO",0,IFERROR(VALUE(LEFT(E2213,FIND("º",SUBSTITUTE(E2213,"°","º"))-1)),""))))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M2214" s="2">
        <f>IF(C2214="","",IFERROR(INDEX($S$5:$S$304,MATCH(C2214,$R$5:$R$304,0))&amp;"","?"))</f>
        <v/>
      </c>
      <c r="N2214" s="2">
        <f>IF(E2214="","",IF(LEFT(E2214,7)="SUBSOLO",-1,IF(LEFT(E2214,6)="TÉRREO",0,IFERROR(VALUE(LEFT(E2214,FIND("º",SUBSTITUTE(E2214,"°","º"))-1)),""))))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M2215" s="2">
        <f>IF(C2215="","",IFERROR(INDEX($S$5:$S$304,MATCH(C2215,$R$5:$R$304,0))&amp;"","?"))</f>
        <v/>
      </c>
      <c r="N2215" s="2">
        <f>IF(E2215="","",IF(LEFT(E2215,7)="SUBSOLO",-1,IF(LEFT(E2215,6)="TÉRREO",0,IFERROR(VALUE(LEFT(E2215,FIND("º",SUBSTITUTE(E2215,"°","º"))-1)),""))))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M2216" s="2">
        <f>IF(C2216="","",IFERROR(INDEX($S$5:$S$304,MATCH(C2216,$R$5:$R$304,0))&amp;"","?"))</f>
        <v/>
      </c>
      <c r="N2216" s="2">
        <f>IF(E2216="","",IF(LEFT(E2216,7)="SUBSOLO",-1,IF(LEFT(E2216,6)="TÉRREO",0,IFERROR(VALUE(LEFT(E2216,FIND("º",SUBSTITUTE(E2216,"°","º"))-1)),""))))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M2217" s="2">
        <f>IF(C2217="","",IFERROR(INDEX($S$5:$S$304,MATCH(C2217,$R$5:$R$304,0))&amp;"","?"))</f>
        <v/>
      </c>
      <c r="N2217" s="2">
        <f>IF(E2217="","",IF(LEFT(E2217,7)="SUBSOLO",-1,IF(LEFT(E2217,6)="TÉRREO",0,IFERROR(VALUE(LEFT(E2217,FIND("º",SUBSTITUTE(E2217,"°","º"))-1)),""))))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M2218" s="2">
        <f>IF(C2218="","",IFERROR(INDEX($S$5:$S$304,MATCH(C2218,$R$5:$R$304,0))&amp;"","?"))</f>
        <v/>
      </c>
      <c r="N2218" s="2">
        <f>IF(E2218="","",IF(LEFT(E2218,7)="SUBSOLO",-1,IF(LEFT(E2218,6)="TÉRREO",0,IFERROR(VALUE(LEFT(E2218,FIND("º",SUBSTITUTE(E2218,"°","º"))-1)),""))))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M2219" s="2">
        <f>IF(C2219="","",IFERROR(INDEX($S$5:$S$304,MATCH(C2219,$R$5:$R$304,0))&amp;"","?"))</f>
        <v/>
      </c>
      <c r="N2219" s="2">
        <f>IF(E2219="","",IF(LEFT(E2219,7)="SUBSOLO",-1,IF(LEFT(E2219,6)="TÉRREO",0,IFERROR(VALUE(LEFT(E2219,FIND("º",SUBSTITUTE(E2219,"°","º"))-1)),""))))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M2220" s="2">
        <f>IF(C2220="","",IFERROR(INDEX($S$5:$S$304,MATCH(C2220,$R$5:$R$304,0))&amp;"","?"))</f>
        <v/>
      </c>
      <c r="N2220" s="2">
        <f>IF(E2220="","",IF(LEFT(E2220,7)="SUBSOLO",-1,IF(LEFT(E2220,6)="TÉRREO",0,IFERROR(VALUE(LEFT(E2220,FIND("º",SUBSTITUTE(E2220,"°","º"))-1)),""))))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M2221" s="2">
        <f>IF(C2221="","",IFERROR(INDEX($S$5:$S$304,MATCH(C2221,$R$5:$R$304,0))&amp;"","?"))</f>
        <v/>
      </c>
      <c r="N2221" s="2">
        <f>IF(E2221="","",IF(LEFT(E2221,7)="SUBSOLO",-1,IF(LEFT(E2221,6)="TÉRREO",0,IFERROR(VALUE(LEFT(E2221,FIND("º",SUBSTITUTE(E2221,"°","º"))-1)),""))))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M2222" s="2">
        <f>IF(C2222="","",IFERROR(INDEX($S$5:$S$304,MATCH(C2222,$R$5:$R$304,0))&amp;"","?"))</f>
        <v/>
      </c>
      <c r="N2222" s="2">
        <f>IF(E2222="","",IF(LEFT(E2222,7)="SUBSOLO",-1,IF(LEFT(E2222,6)="TÉRREO",0,IFERROR(VALUE(LEFT(E2222,FIND("º",SUBSTITUTE(E2222,"°","º"))-1)),""))))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M2223" s="2">
        <f>IF(C2223="","",IFERROR(INDEX($S$5:$S$304,MATCH(C2223,$R$5:$R$304,0))&amp;"","?"))</f>
        <v/>
      </c>
      <c r="N2223" s="2">
        <f>IF(E2223="","",IF(LEFT(E2223,7)="SUBSOLO",-1,IF(LEFT(E2223,6)="TÉRREO",0,IFERROR(VALUE(LEFT(E2223,FIND("º",SUBSTITUTE(E2223,"°","º"))-1)),""))))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M2224" s="2">
        <f>IF(C2224="","",IFERROR(INDEX($S$5:$S$304,MATCH(C2224,$R$5:$R$304,0))&amp;"","?"))</f>
        <v/>
      </c>
      <c r="N2224" s="2">
        <f>IF(E2224="","",IF(LEFT(E2224,7)="SUBSOLO",-1,IF(LEFT(E2224,6)="TÉRREO",0,IFERROR(VALUE(LEFT(E2224,FIND("º",SUBSTITUTE(E2224,"°","º"))-1)),""))))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M2225" s="2">
        <f>IF(C2225="","",IFERROR(INDEX($S$5:$S$304,MATCH(C2225,$R$5:$R$304,0))&amp;"","?"))</f>
        <v/>
      </c>
      <c r="N2225" s="2">
        <f>IF(E2225="","",IF(LEFT(E2225,7)="SUBSOLO",-1,IF(LEFT(E2225,6)="TÉRREO",0,IFERROR(VALUE(LEFT(E2225,FIND("º",SUBSTITUTE(E2225,"°","º"))-1)),""))))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M2226" s="2">
        <f>IF(C2226="","",IFERROR(INDEX($S$5:$S$304,MATCH(C2226,$R$5:$R$304,0))&amp;"","?"))</f>
        <v/>
      </c>
      <c r="N2226" s="2">
        <f>IF(E2226="","",IF(LEFT(E2226,7)="SUBSOLO",-1,IF(LEFT(E2226,6)="TÉRREO",0,IFERROR(VALUE(LEFT(E2226,FIND("º",SUBSTITUTE(E2226,"°","º"))-1)),""))))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M2227" s="2">
        <f>IF(C2227="","",IFERROR(INDEX($S$5:$S$304,MATCH(C2227,$R$5:$R$304,0))&amp;"","?"))</f>
        <v/>
      </c>
      <c r="N2227" s="2">
        <f>IF(E2227="","",IF(LEFT(E2227,7)="SUBSOLO",-1,IF(LEFT(E2227,6)="TÉRREO",0,IFERROR(VALUE(LEFT(E2227,FIND("º",SUBSTITUTE(E2227,"°","º"))-1)),""))))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M2228" s="2">
        <f>IF(C2228="","",IFERROR(INDEX($S$5:$S$304,MATCH(C2228,$R$5:$R$304,0))&amp;"","?"))</f>
        <v/>
      </c>
      <c r="N2228" s="2">
        <f>IF(E2228="","",IF(LEFT(E2228,7)="SUBSOLO",-1,IF(LEFT(E2228,6)="TÉRREO",0,IFERROR(VALUE(LEFT(E2228,FIND("º",SUBSTITUTE(E2228,"°","º"))-1)),""))))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M2229" s="2">
        <f>IF(C2229="","",IFERROR(INDEX($S$5:$S$304,MATCH(C2229,$R$5:$R$304,0))&amp;"","?"))</f>
        <v/>
      </c>
      <c r="N2229" s="2">
        <f>IF(E2229="","",IF(LEFT(E2229,7)="SUBSOLO",-1,IF(LEFT(E2229,6)="TÉRREO",0,IFERROR(VALUE(LEFT(E2229,FIND("º",SUBSTITUTE(E2229,"°","º"))-1)),""))))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M2230" s="2">
        <f>IF(C2230="","",IFERROR(INDEX($S$5:$S$304,MATCH(C2230,$R$5:$R$304,0))&amp;"","?"))</f>
        <v/>
      </c>
      <c r="N2230" s="2">
        <f>IF(E2230="","",IF(LEFT(E2230,7)="SUBSOLO",-1,IF(LEFT(E2230,6)="TÉRREO",0,IFERROR(VALUE(LEFT(E2230,FIND("º",SUBSTITUTE(E2230,"°","º"))-1)),""))))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M2231" s="2">
        <f>IF(C2231="","",IFERROR(INDEX($S$5:$S$304,MATCH(C2231,$R$5:$R$304,0))&amp;"","?"))</f>
        <v/>
      </c>
      <c r="N2231" s="2">
        <f>IF(E2231="","",IF(LEFT(E2231,7)="SUBSOLO",-1,IF(LEFT(E2231,6)="TÉRREO",0,IFERROR(VALUE(LEFT(E2231,FIND("º",SUBSTITUTE(E2231,"°","º"))-1)),""))))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M2232" s="2">
        <f>IF(C2232="","",IFERROR(INDEX($S$5:$S$304,MATCH(C2232,$R$5:$R$304,0))&amp;"","?"))</f>
        <v/>
      </c>
      <c r="N2232" s="2">
        <f>IF(E2232="","",IF(LEFT(E2232,7)="SUBSOLO",-1,IF(LEFT(E2232,6)="TÉRREO",0,IFERROR(VALUE(LEFT(E2232,FIND("º",SUBSTITUTE(E2232,"°","º"))-1)),""))))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M2233" s="2">
        <f>IF(C2233="","",IFERROR(INDEX($S$5:$S$304,MATCH(C2233,$R$5:$R$304,0))&amp;"","?"))</f>
        <v/>
      </c>
      <c r="N2233" s="2">
        <f>IF(E2233="","",IF(LEFT(E2233,7)="SUBSOLO",-1,IF(LEFT(E2233,6)="TÉRREO",0,IFERROR(VALUE(LEFT(E2233,FIND("º",SUBSTITUTE(E2233,"°","º"))-1)),""))))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M2234" s="2">
        <f>IF(C2234="","",IFERROR(INDEX($S$5:$S$304,MATCH(C2234,$R$5:$R$304,0))&amp;"","?"))</f>
        <v/>
      </c>
      <c r="N2234" s="2">
        <f>IF(E2234="","",IF(LEFT(E2234,7)="SUBSOLO",-1,IF(LEFT(E2234,6)="TÉRREO",0,IFERROR(VALUE(LEFT(E2234,FIND("º",SUBSTITUTE(E2234,"°","º"))-1)),""))))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M2235" s="2">
        <f>IF(C2235="","",IFERROR(INDEX($S$5:$S$304,MATCH(C2235,$R$5:$R$304,0))&amp;"","?"))</f>
        <v/>
      </c>
      <c r="N2235" s="2">
        <f>IF(E2235="","",IF(LEFT(E2235,7)="SUBSOLO",-1,IF(LEFT(E2235,6)="TÉRREO",0,IFERROR(VALUE(LEFT(E2235,FIND("º",SUBSTITUTE(E2235,"°","º"))-1)),""))))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M2236" s="2">
        <f>IF(C2236="","",IFERROR(INDEX($S$5:$S$304,MATCH(C2236,$R$5:$R$304,0))&amp;"","?"))</f>
        <v/>
      </c>
      <c r="N2236" s="2">
        <f>IF(E2236="","",IF(LEFT(E2236,7)="SUBSOLO",-1,IF(LEFT(E2236,6)="TÉRREO",0,IFERROR(VALUE(LEFT(E2236,FIND("º",SUBSTITUTE(E2236,"°","º"))-1)),""))))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M2237" s="2">
        <f>IF(C2237="","",IFERROR(INDEX($S$5:$S$304,MATCH(C2237,$R$5:$R$304,0))&amp;"","?"))</f>
        <v/>
      </c>
      <c r="N2237" s="2">
        <f>IF(E2237="","",IF(LEFT(E2237,7)="SUBSOLO",-1,IF(LEFT(E2237,6)="TÉRREO",0,IFERROR(VALUE(LEFT(E2237,FIND("º",SUBSTITUTE(E2237,"°","º"))-1)),""))))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M2238" s="2">
        <f>IF(C2238="","",IFERROR(INDEX($S$5:$S$304,MATCH(C2238,$R$5:$R$304,0))&amp;"","?"))</f>
        <v/>
      </c>
      <c r="N2238" s="2">
        <f>IF(E2238="","",IF(LEFT(E2238,7)="SUBSOLO",-1,IF(LEFT(E2238,6)="TÉRREO",0,IFERROR(VALUE(LEFT(E2238,FIND("º",SUBSTITUTE(E2238,"°","º"))-1)),""))))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M2239" s="2">
        <f>IF(C2239="","",IFERROR(INDEX($S$5:$S$304,MATCH(C2239,$R$5:$R$304,0))&amp;"","?"))</f>
        <v/>
      </c>
      <c r="N2239" s="2">
        <f>IF(E2239="","",IF(LEFT(E2239,7)="SUBSOLO",-1,IF(LEFT(E2239,6)="TÉRREO",0,IFERROR(VALUE(LEFT(E2239,FIND("º",SUBSTITUTE(E2239,"°","º"))-1)),""))))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M2240" s="2">
        <f>IF(C2240="","",IFERROR(INDEX($S$5:$S$304,MATCH(C2240,$R$5:$R$304,0))&amp;"","?"))</f>
        <v/>
      </c>
      <c r="N2240" s="2">
        <f>IF(E2240="","",IF(LEFT(E2240,7)="SUBSOLO",-1,IF(LEFT(E2240,6)="TÉRREO",0,IFERROR(VALUE(LEFT(E2240,FIND("º",SUBSTITUTE(E2240,"°","º"))-1)),""))))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M2241" s="2">
        <f>IF(C2241="","",IFERROR(INDEX($S$5:$S$304,MATCH(C2241,$R$5:$R$304,0))&amp;"","?"))</f>
        <v/>
      </c>
      <c r="N2241" s="2">
        <f>IF(E2241="","",IF(LEFT(E2241,7)="SUBSOLO",-1,IF(LEFT(E2241,6)="TÉRREO",0,IFERROR(VALUE(LEFT(E2241,FIND("º",SUBSTITUTE(E2241,"°","º"))-1)),""))))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M2242" s="2">
        <f>IF(C2242="","",IFERROR(INDEX($S$5:$S$304,MATCH(C2242,$R$5:$R$304,0))&amp;"","?"))</f>
        <v/>
      </c>
      <c r="N2242" s="2">
        <f>IF(E2242="","",IF(LEFT(E2242,7)="SUBSOLO",-1,IF(LEFT(E2242,6)="TÉRREO",0,IFERROR(VALUE(LEFT(E2242,FIND("º",SUBSTITUTE(E2242,"°","º"))-1)),""))))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M2243" s="2">
        <f>IF(C2243="","",IFERROR(INDEX($S$5:$S$304,MATCH(C2243,$R$5:$R$304,0))&amp;"","?"))</f>
        <v/>
      </c>
      <c r="N2243" s="2">
        <f>IF(E2243="","",IF(LEFT(E2243,7)="SUBSOLO",-1,IF(LEFT(E2243,6)="TÉRREO",0,IFERROR(VALUE(LEFT(E2243,FIND("º",SUBSTITUTE(E2243,"°","º"))-1)),""))))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M2244" s="2">
        <f>IF(C2244="","",IFERROR(INDEX($S$5:$S$304,MATCH(C2244,$R$5:$R$304,0))&amp;"","?"))</f>
        <v/>
      </c>
      <c r="N2244" s="2">
        <f>IF(E2244="","",IF(LEFT(E2244,7)="SUBSOLO",-1,IF(LEFT(E2244,6)="TÉRREO",0,IFERROR(VALUE(LEFT(E2244,FIND("º",SUBSTITUTE(E2244,"°","º"))-1)),""))))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M2245" s="2">
        <f>IF(C2245="","",IFERROR(INDEX($S$5:$S$304,MATCH(C2245,$R$5:$R$304,0))&amp;"","?"))</f>
        <v/>
      </c>
      <c r="N2245" s="2">
        <f>IF(E2245="","",IF(LEFT(E2245,7)="SUBSOLO",-1,IF(LEFT(E2245,6)="TÉRREO",0,IFERROR(VALUE(LEFT(E2245,FIND("º",SUBSTITUTE(E2245,"°","º"))-1)),""))))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M2246" s="2">
        <f>IF(C2246="","",IFERROR(INDEX($S$5:$S$304,MATCH(C2246,$R$5:$R$304,0))&amp;"","?"))</f>
        <v/>
      </c>
      <c r="N2246" s="2">
        <f>IF(E2246="","",IF(LEFT(E2246,7)="SUBSOLO",-1,IF(LEFT(E2246,6)="TÉRREO",0,IFERROR(VALUE(LEFT(E2246,FIND("º",SUBSTITUTE(E2246,"°","º"))-1)),""))))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M2247" s="2">
        <f>IF(C2247="","",IFERROR(INDEX($S$5:$S$304,MATCH(C2247,$R$5:$R$304,0))&amp;"","?"))</f>
        <v/>
      </c>
      <c r="N2247" s="2">
        <f>IF(E2247="","",IF(LEFT(E2247,7)="SUBSOLO",-1,IF(LEFT(E2247,6)="TÉRREO",0,IFERROR(VALUE(LEFT(E2247,FIND("º",SUBSTITUTE(E2247,"°","º"))-1)),""))))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M2248" s="2">
        <f>IF(C2248="","",IFERROR(INDEX($S$5:$S$304,MATCH(C2248,$R$5:$R$304,0))&amp;"","?"))</f>
        <v/>
      </c>
      <c r="N2248" s="2">
        <f>IF(E2248="","",IF(LEFT(E2248,7)="SUBSOLO",-1,IF(LEFT(E2248,6)="TÉRREO",0,IFERROR(VALUE(LEFT(E2248,FIND("º",SUBSTITUTE(E2248,"°","º"))-1)),""))))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M2249" s="2">
        <f>IF(C2249="","",IFERROR(INDEX($S$5:$S$304,MATCH(C2249,$R$5:$R$304,0))&amp;"","?"))</f>
        <v/>
      </c>
      <c r="N2249" s="2">
        <f>IF(E2249="","",IF(LEFT(E2249,7)="SUBSOLO",-1,IF(LEFT(E2249,6)="TÉRREO",0,IFERROR(VALUE(LEFT(E2249,FIND("º",SUBSTITUTE(E2249,"°","º"))-1)),""))))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M2250" s="2">
        <f>IF(C2250="","",IFERROR(INDEX($S$5:$S$304,MATCH(C2250,$R$5:$R$304,0))&amp;"","?"))</f>
        <v/>
      </c>
      <c r="N2250" s="2">
        <f>IF(E2250="","",IF(LEFT(E2250,7)="SUBSOLO",-1,IF(LEFT(E2250,6)="TÉRREO",0,IFERROR(VALUE(LEFT(E2250,FIND("º",SUBSTITUTE(E2250,"°","º"))-1)),""))))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M2251" s="2">
        <f>IF(C2251="","",IFERROR(INDEX($S$5:$S$304,MATCH(C2251,$R$5:$R$304,0))&amp;"","?"))</f>
        <v/>
      </c>
      <c r="N2251" s="2">
        <f>IF(E2251="","",IF(LEFT(E2251,7)="SUBSOLO",-1,IF(LEFT(E2251,6)="TÉRREO",0,IFERROR(VALUE(LEFT(E2251,FIND("º",SUBSTITUTE(E2251,"°","º"))-1)),""))))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M2252" s="2">
        <f>IF(C2252="","",IFERROR(INDEX($S$5:$S$304,MATCH(C2252,$R$5:$R$304,0))&amp;"","?"))</f>
        <v/>
      </c>
      <c r="N2252" s="2">
        <f>IF(E2252="","",IF(LEFT(E2252,7)="SUBSOLO",-1,IF(LEFT(E2252,6)="TÉRREO",0,IFERROR(VALUE(LEFT(E2252,FIND("º",SUBSTITUTE(E2252,"°","º"))-1)),""))))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M2253" s="2">
        <f>IF(C2253="","",IFERROR(INDEX($S$5:$S$304,MATCH(C2253,$R$5:$R$304,0))&amp;"","?"))</f>
        <v/>
      </c>
      <c r="N2253" s="2">
        <f>IF(E2253="","",IF(LEFT(E2253,7)="SUBSOLO",-1,IF(LEFT(E2253,6)="TÉRREO",0,IFERROR(VALUE(LEFT(E2253,FIND("º",SUBSTITUTE(E2253,"°","º"))-1)),""))))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M2254" s="2">
        <f>IF(C2254="","",IFERROR(INDEX($S$5:$S$304,MATCH(C2254,$R$5:$R$304,0))&amp;"","?"))</f>
        <v/>
      </c>
      <c r="N2254" s="2">
        <f>IF(E2254="","",IF(LEFT(E2254,7)="SUBSOLO",-1,IF(LEFT(E2254,6)="TÉRREO",0,IFERROR(VALUE(LEFT(E2254,FIND("º",SUBSTITUTE(E2254,"°","º"))-1)),""))))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M2255" s="2">
        <f>IF(C2255="","",IFERROR(INDEX($S$5:$S$304,MATCH(C2255,$R$5:$R$304,0))&amp;"","?"))</f>
        <v/>
      </c>
      <c r="N2255" s="2">
        <f>IF(E2255="","",IF(LEFT(E2255,7)="SUBSOLO",-1,IF(LEFT(E2255,6)="TÉRREO",0,IFERROR(VALUE(LEFT(E2255,FIND("º",SUBSTITUTE(E2255,"°","º"))-1)),""))))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M2256" s="2">
        <f>IF(C2256="","",IFERROR(INDEX($S$5:$S$304,MATCH(C2256,$R$5:$R$304,0))&amp;"","?"))</f>
        <v/>
      </c>
      <c r="N2256" s="2">
        <f>IF(E2256="","",IF(LEFT(E2256,7)="SUBSOLO",-1,IF(LEFT(E2256,6)="TÉRREO",0,IFERROR(VALUE(LEFT(E2256,FIND("º",SUBSTITUTE(E2256,"°","º"))-1)),""))))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M2257" s="2">
        <f>IF(C2257="","",IFERROR(INDEX($S$5:$S$304,MATCH(C2257,$R$5:$R$304,0))&amp;"","?"))</f>
        <v/>
      </c>
      <c r="N2257" s="2">
        <f>IF(E2257="","",IF(LEFT(E2257,7)="SUBSOLO",-1,IF(LEFT(E2257,6)="TÉRREO",0,IFERROR(VALUE(LEFT(E2257,FIND("º",SUBSTITUTE(E2257,"°","º"))-1)),""))))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IF(E2258="","",IF(LEFT(E2258,7)="SUBSOLO",-1,IF(LEFT(E2258,6)="TÉRREO",0,IFERROR(VALUE(LEFT(E2258,FIND("º",SUBSTITUTE(E2258,"°","º"))-1)),""))))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IF(E2259="","",IF(LEFT(E2259,7)="SUBSOLO",-1,IF(LEFT(E2259,6)="TÉRREO",0,IFERROR(VALUE(LEFT(E2259,FIND("º",SUBSTITUTE(E2259,"°","º"))-1)),""))))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IF(E2260="","",IF(LEFT(E2260,7)="SUBSOLO",-1,IF(LEFT(E2260,6)="TÉRREO",0,IFERROR(VALUE(LEFT(E2260,FIND("º",SUBSTITUTE(E2260,"°","º"))-1)),""))))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IF(E2261="","",IF(LEFT(E2261,7)="SUBSOLO",-1,IF(LEFT(E2261,6)="TÉRREO",0,IFERROR(VALUE(LEFT(E2261,FIND("º",SUBSTITUTE(E2261,"°","º"))-1)),""))))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IF(E2262="","",IF(LEFT(E2262,7)="SUBSOLO",-1,IF(LEFT(E2262,6)="TÉRREO",0,IFERROR(VALUE(LEFT(E2262,FIND("º",SUBSTITUTE(E2262,"°","º"))-1)),""))))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IF(E2263="","",IF(LEFT(E2263,7)="SUBSOLO",-1,IF(LEFT(E2263,6)="TÉRREO",0,IFERROR(VALUE(LEFT(E2263,FIND("º",SUBSTITUTE(E2263,"°","º"))-1)),""))))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IF(E2264="","",IF(LEFT(E2264,7)="SUBSOLO",-1,IF(LEFT(E2264,6)="TÉRREO",0,IFERROR(VALUE(LEFT(E2264,FIND("º",SUBSTITUTE(E2264,"°","º"))-1)),""))))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IF(E2265="","",IF(LEFT(E2265,7)="SUBSOLO",-1,IF(LEFT(E2265,6)="TÉRREO",0,IFERROR(VALUE(LEFT(E2265,FIND("º",SUBSTITUTE(E2265,"°","º"))-1)),""))))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IF(E2266="","",IF(LEFT(E2266,7)="SUBSOLO",-1,IF(LEFT(E2266,6)="TÉRREO",0,IFERROR(VALUE(LEFT(E2266,FIND("º",SUBSTITUTE(E2266,"°","º"))-1)),""))))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IF(E2267="","",IF(LEFT(E2267,7)="SUBSOLO",-1,IF(LEFT(E2267,6)="TÉRREO",0,IFERROR(VALUE(LEFT(E2267,FIND("º",SUBSTITUTE(E2267,"°","º"))-1)),""))))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IF(E2268="","",IF(LEFT(E2268,7)="SUBSOLO",-1,IF(LEFT(E2268,6)="TÉRREO",0,IFERROR(VALUE(LEFT(E2268,FIND("º",SUBSTITUTE(E2268,"°","º"))-1)),""))))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IF(E2269="","",IF(LEFT(E2269,7)="SUBSOLO",-1,IF(LEFT(E2269,6)="TÉRREO",0,IFERROR(VALUE(LEFT(E2269,FIND("º",SUBSTITUTE(E2269,"°","º"))-1)),""))))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IF(E2270="","",IF(LEFT(E2270,7)="SUBSOLO",-1,IF(LEFT(E2270,6)="TÉRREO",0,IFERROR(VALUE(LEFT(E2270,FIND("º",SUBSTITUTE(E2270,"°","º"))-1)),""))))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IF(E2271="","",IF(LEFT(E2271,7)="SUBSOLO",-1,IF(LEFT(E2271,6)="TÉRREO",0,IFERROR(VALUE(LEFT(E2271,FIND("º",SUBSTITUTE(E2271,"°","º"))-1)),""))))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IF(E2272="","",IF(LEFT(E2272,7)="SUBSOLO",-1,IF(LEFT(E2272,6)="TÉRREO",0,IFERROR(VALUE(LEFT(E2272,FIND("º",SUBSTITUTE(E2272,"°","º"))-1)),""))))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IF(E2273="","",IF(LEFT(E2273,7)="SUBSOLO",-1,IF(LEFT(E2273,6)="TÉRREO",0,IFERROR(VALUE(LEFT(E2273,FIND("º",SUBSTITUTE(E2273,"°","º"))-1)),""))))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IF(E2274="","",IF(LEFT(E2274,7)="SUBSOLO",-1,IF(LEFT(E2274,6)="TÉRREO",0,IFERROR(VALUE(LEFT(E2274,FIND("º",SUBSTITUTE(E2274,"°","º"))-1)),""))))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IF(E2275="","",IF(LEFT(E2275,7)="SUBSOLO",-1,IF(LEFT(E2275,6)="TÉRREO",0,IFERROR(VALUE(LEFT(E2275,FIND("º",SUBSTITUTE(E2275,"°","º"))-1)),""))))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IF(E2276="","",IF(LEFT(E2276,7)="SUBSOLO",-1,IF(LEFT(E2276,6)="TÉRREO",0,IFERROR(VALUE(LEFT(E2276,FIND("º",SUBSTITUTE(E2276,"°","º"))-1)),""))))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IF(E2277="","",IF(LEFT(E2277,7)="SUBSOLO",-1,IF(LEFT(E2277,6)="TÉRREO",0,IFERROR(VALUE(LEFT(E2277,FIND("º",SUBSTITUTE(E2277,"°","º"))-1)),""))))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IF(E2278="","",IF(LEFT(E2278,7)="SUBSOLO",-1,IF(LEFT(E2278,6)="TÉRREO",0,IFERROR(VALUE(LEFT(E2278,FIND("º",SUBSTITUTE(E2278,"°","º"))-1)),""))))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IF(E2279="","",IF(LEFT(E2279,7)="SUBSOLO",-1,IF(LEFT(E2279,6)="TÉRREO",0,IFERROR(VALUE(LEFT(E2279,FIND("º",SUBSTITUTE(E2279,"°","º"))-1)),""))))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IF(E2280="","",IF(LEFT(E2280,7)="SUBSOLO",-1,IF(LEFT(E2280,6)="TÉRREO",0,IFERROR(VALUE(LEFT(E2280,FIND("º",SUBSTITUTE(E2280,"°","º"))-1)),""))))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IF(E2281="","",IF(LEFT(E2281,7)="SUBSOLO",-1,IF(LEFT(E2281,6)="TÉRREO",0,IFERROR(VALUE(LEFT(E2281,FIND("º",SUBSTITUTE(E2281,"°","º"))-1)),""))))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IF(E2282="","",IF(LEFT(E2282,7)="SUBSOLO",-1,IF(LEFT(E2282,6)="TÉRREO",0,IFERROR(VALUE(LEFT(E2282,FIND("º",SUBSTITUTE(E2282,"°","º"))-1)),""))))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IF(E2283="","",IF(LEFT(E2283,7)="SUBSOLO",-1,IF(LEFT(E2283,6)="TÉRREO",0,IFERROR(VALUE(LEFT(E2283,FIND("º",SUBSTITUTE(E2283,"°","º"))-1)),""))))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IF(E2284="","",IF(LEFT(E2284,7)="SUBSOLO",-1,IF(LEFT(E2284,6)="TÉRREO",0,IFERROR(VALUE(LEFT(E2284,FIND("º",SUBSTITUTE(E2284,"°","º"))-1)),""))))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IF(E2285="","",IF(LEFT(E2285,7)="SUBSOLO",-1,IF(LEFT(E2285,6)="TÉRREO",0,IFERROR(VALUE(LEFT(E2285,FIND("º",SUBSTITUTE(E2285,"°","º"))-1)),""))))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IF(E2286="","",IF(LEFT(E2286,7)="SUBSOLO",-1,IF(LEFT(E2286,6)="TÉRREO",0,IFERROR(VALUE(LEFT(E2286,FIND("º",SUBSTITUTE(E2286,"°","º"))-1)),""))))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IF(E2287="","",IF(LEFT(E2287,7)="SUBSOLO",-1,IF(LEFT(E2287,6)="TÉRREO",0,IFERROR(VALUE(LEFT(E2287,FIND("º",SUBSTITUTE(E2287,"°","º"))-1)),""))))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IF(E2288="","",IF(LEFT(E2288,7)="SUBSOLO",-1,IF(LEFT(E2288,6)="TÉRREO",0,IFERROR(VALUE(LEFT(E2288,FIND("º",SUBSTITUTE(E2288,"°","º"))-1)),""))))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IF(E2289="","",IF(LEFT(E2289,7)="SUBSOLO",-1,IF(LEFT(E2289,6)="TÉRREO",0,IFERROR(VALUE(LEFT(E2289,FIND("º",SUBSTITUTE(E2289,"°","º"))-1)),""))))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IF(E2290="","",IF(LEFT(E2290,7)="SUBSOLO",-1,IF(LEFT(E2290,6)="TÉRREO",0,IFERROR(VALUE(LEFT(E2290,FIND("º",SUBSTITUTE(E2290,"°","º"))-1)),""))))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IF(E2291="","",IF(LEFT(E2291,7)="SUBSOLO",-1,IF(LEFT(E2291,6)="TÉRREO",0,IFERROR(VALUE(LEFT(E2291,FIND("º",SUBSTITUTE(E2291,"°","º"))-1)),""))))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IF(E2292="","",IF(LEFT(E2292,7)="SUBSOLO",-1,IF(LEFT(E2292,6)="TÉRREO",0,IFERROR(VALUE(LEFT(E2292,FIND("º",SUBSTITUTE(E2292,"°","º"))-1)),""))))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IF(E2293="","",IF(LEFT(E2293,7)="SUBSOLO",-1,IF(LEFT(E2293,6)="TÉRREO",0,IFERROR(VALUE(LEFT(E2293,FIND("º",SUBSTITUTE(E2293,"°","º"))-1)),""))))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IF(E2294="","",IF(LEFT(E2294,7)="SUBSOLO",-1,IF(LEFT(E2294,6)="TÉRREO",0,IFERROR(VALUE(LEFT(E2294,FIND("º",SUBSTITUTE(E2294,"°","º"))-1)),""))))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IF(E2295="","",IF(LEFT(E2295,7)="SUBSOLO",-1,IF(LEFT(E2295,6)="TÉRREO",0,IFERROR(VALUE(LEFT(E2295,FIND("º",SUBSTITUTE(E2295,"°","º"))-1)),""))))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IF(E2296="","",IF(LEFT(E2296,7)="SUBSOLO",-1,IF(LEFT(E2296,6)="TÉRREO",0,IFERROR(VALUE(LEFT(E2296,FIND("º",SUBSTITUTE(E2296,"°","º"))-1)),""))))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IF(E2297="","",IF(LEFT(E2297,7)="SUBSOLO",-1,IF(LEFT(E2297,6)="TÉRREO",0,IFERROR(VALUE(LEFT(E2297,FIND("º",SUBSTITUTE(E2297,"°","º"))-1)),""))))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IF(E2298="","",IF(LEFT(E2298,7)="SUBSOLO",-1,IF(LEFT(E2298,6)="TÉRREO",0,IFERROR(VALUE(LEFT(E2298,FIND("º",SUBSTITUTE(E2298,"°","º"))-1)),""))))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IF(E2299="","",IF(LEFT(E2299,7)="SUBSOLO",-1,IF(LEFT(E2299,6)="TÉRREO",0,IFERROR(VALUE(LEFT(E2299,FIND("º",SUBSTITUTE(E2299,"°","º"))-1)),""))))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IF(E2300="","",IF(LEFT(E2300,7)="SUBSOLO",-1,IF(LEFT(E2300,6)="TÉRREO",0,IFERROR(VALUE(LEFT(E2300,FIND("º",SUBSTITUTE(E2300,"°","º"))-1)),""))))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IF(E2301="","",IF(LEFT(E2301,7)="SUBSOLO",-1,IF(LEFT(E2301,6)="TÉRREO",0,IFERROR(VALUE(LEFT(E2301,FIND("º",SUBSTITUTE(E2301,"°","º"))-1)),""))))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IF(E2302="","",IF(LEFT(E2302,7)="SUBSOLO",-1,IF(LEFT(E2302,6)="TÉRREO",0,IFERROR(VALUE(LEFT(E2302,FIND("º",SUBSTITUTE(E2302,"°","º"))-1)),""))))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IF(E2303="","",IF(LEFT(E2303,7)="SUBSOLO",-1,IF(LEFT(E2303,6)="TÉRREO",0,IFERROR(VALUE(LEFT(E2303,FIND("º",SUBSTITUTE(E2303,"°","º"))-1)),""))))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IF(E2304="","",IF(LEFT(E2304,7)="SUBSOLO",-1,IF(LEFT(E2304,6)="TÉRREO",0,IFERROR(VALUE(LEFT(E2304,FIND("º",SUBSTITUTE(E2304,"°","º"))-1)),""))))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IF(E2305="","",IF(LEFT(E2305,7)="SUBSOLO",-1,IF(LEFT(E2305,6)="TÉRREO",0,IFERROR(VALUE(LEFT(E2305,FIND("º",SUBSTITUTE(E2305,"°","º"))-1)),""))))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IF(E2306="","",IF(LEFT(E2306,7)="SUBSOLO",-1,IF(LEFT(E2306,6)="TÉRREO",0,IFERROR(VALUE(LEFT(E2306,FIND("º",SUBSTITUTE(E2306,"°","º"))-1)),""))))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IF(E2307="","",IF(LEFT(E2307,7)="SUBSOLO",-1,IF(LEFT(E2307,6)="TÉRREO",0,IFERROR(VALUE(LEFT(E2307,FIND("º",SUBSTITUTE(E2307,"°","º"))-1)),""))))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IF(E2308="","",IF(LEFT(E2308,7)="SUBSOLO",-1,IF(LEFT(E2308,6)="TÉRREO",0,IFERROR(VALUE(LEFT(E2308,FIND("º",SUBSTITUTE(E2308,"°","º"))-1)),""))))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IF(E2309="","",IF(LEFT(E2309,7)="SUBSOLO",-1,IF(LEFT(E2309,6)="TÉRREO",0,IFERROR(VALUE(LEFT(E2309,FIND("º",SUBSTITUTE(E2309,"°","º"))-1)),""))))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IF(E2310="","",IF(LEFT(E2310,7)="SUBSOLO",-1,IF(LEFT(E2310,6)="TÉRREO",0,IFERROR(VALUE(LEFT(E2310,FIND("º",SUBSTITUTE(E2310,"°","º"))-1)),""))))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IF(E2311="","",IF(LEFT(E2311,7)="SUBSOLO",-1,IF(LEFT(E2311,6)="TÉRREO",0,IFERROR(VALUE(LEFT(E2311,FIND("º",SUBSTITUTE(E2311,"°","º"))-1)),""))))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IF(E2312="","",IF(LEFT(E2312,7)="SUBSOLO",-1,IF(LEFT(E2312,6)="TÉRREO",0,IFERROR(VALUE(LEFT(E2312,FIND("º",SUBSTITUTE(E2312,"°","º"))-1)),""))))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IF(E2313="","",IF(LEFT(E2313,7)="SUBSOLO",-1,IF(LEFT(E2313,6)="TÉRREO",0,IFERROR(VALUE(LEFT(E2313,FIND("º",SUBSTITUTE(E2313,"°","º"))-1)),""))))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IF(E2314="","",IF(LEFT(E2314,7)="SUBSOLO",-1,IF(LEFT(E2314,6)="TÉRREO",0,IFERROR(VALUE(LEFT(E2314,FIND("º",SUBSTITUTE(E2314,"°","º"))-1)),""))))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IF(E2315="","",IF(LEFT(E2315,7)="SUBSOLO",-1,IF(LEFT(E2315,6)="TÉRREO",0,IFERROR(VALUE(LEFT(E2315,FIND("º",SUBSTITUTE(E2315,"°","º"))-1)),""))))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IF(E2316="","",IF(LEFT(E2316,7)="SUBSOLO",-1,IF(LEFT(E2316,6)="TÉRREO",0,IFERROR(VALUE(LEFT(E2316,FIND("º",SUBSTITUTE(E2316,"°","º"))-1)),""))))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IF(E2317="","",IF(LEFT(E2317,7)="SUBSOLO",-1,IF(LEFT(E2317,6)="TÉRREO",0,IFERROR(VALUE(LEFT(E2317,FIND("º",SUBSTITUTE(E2317,"°","º"))-1)),""))))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IF(E2318="","",IF(LEFT(E2318,7)="SUBSOLO",-1,IF(LEFT(E2318,6)="TÉRREO",0,IFERROR(VALUE(LEFT(E2318,FIND("º",SUBSTITUTE(E2318,"°","º"))-1)),""))))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IF(E2319="","",IF(LEFT(E2319,7)="SUBSOLO",-1,IF(LEFT(E2319,6)="TÉRREO",0,IFERROR(VALUE(LEFT(E2319,FIND("º",SUBSTITUTE(E2319,"°","º"))-1)),""))))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IF(E2320="","",IF(LEFT(E2320,7)="SUBSOLO",-1,IF(LEFT(E2320,6)="TÉRREO",0,IFERROR(VALUE(LEFT(E2320,FIND("º",SUBSTITUTE(E2320,"°","º"))-1)),""))))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IF(E2321="","",IF(LEFT(E2321,7)="SUBSOLO",-1,IF(LEFT(E2321,6)="TÉRREO",0,IFERROR(VALUE(LEFT(E2321,FIND("º",SUBSTITUTE(E2321,"°","º"))-1)),""))))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IF(E2322="","",IF(LEFT(E2322,7)="SUBSOLO",-1,IF(LEFT(E2322,6)="TÉRREO",0,IFERROR(VALUE(LEFT(E2322,FIND("º",SUBSTITUTE(E2322,"°","º"))-1)),""))))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IF(E2323="","",IF(LEFT(E2323,7)="SUBSOLO",-1,IF(LEFT(E2323,6)="TÉRREO",0,IFERROR(VALUE(LEFT(E2323,FIND("º",SUBSTITUTE(E2323,"°","º"))-1)),""))))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IF(E2324="","",IF(LEFT(E2324,7)="SUBSOLO",-1,IF(LEFT(E2324,6)="TÉRREO",0,IFERROR(VALUE(LEFT(E2324,FIND("º",SUBSTITUTE(E2324,"°","º"))-1)),""))))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IF(E2325="","",IF(LEFT(E2325,7)="SUBSOLO",-1,IF(LEFT(E2325,6)="TÉRREO",0,IFERROR(VALUE(LEFT(E2325,FIND("º",SUBSTITUTE(E2325,"°","º"))-1)),""))))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IF(E2326="","",IF(LEFT(E2326,7)="SUBSOLO",-1,IF(LEFT(E2326,6)="TÉRREO",0,IFERROR(VALUE(LEFT(E2326,FIND("º",SUBSTITUTE(E2326,"°","º"))-1)),""))))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IF(E2327="","",IF(LEFT(E2327,7)="SUBSOLO",-1,IF(LEFT(E2327,6)="TÉRREO",0,IFERROR(VALUE(LEFT(E2327,FIND("º",SUBSTITUTE(E2327,"°","º"))-1)),""))))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IF(E2328="","",IF(LEFT(E2328,7)="SUBSOLO",-1,IF(LEFT(E2328,6)="TÉRREO",0,IFERROR(VALUE(LEFT(E2328,FIND("º",SUBSTITUTE(E2328,"°","º"))-1)),""))))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IF(E2329="","",IF(LEFT(E2329,7)="SUBSOLO",-1,IF(LEFT(E2329,6)="TÉRREO",0,IFERROR(VALUE(LEFT(E2329,FIND("º",SUBSTITUTE(E2329,"°","º"))-1)),""))))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IF(E2330="","",IF(LEFT(E2330,7)="SUBSOLO",-1,IF(LEFT(E2330,6)="TÉRREO",0,IFERROR(VALUE(LEFT(E2330,FIND("º",SUBSTITUTE(E2330,"°","º"))-1)),""))))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IF(E2331="","",IF(LEFT(E2331,7)="SUBSOLO",-1,IF(LEFT(E2331,6)="TÉRREO",0,IFERROR(VALUE(LEFT(E2331,FIND("º",SUBSTITUTE(E2331,"°","º"))-1)),""))))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IF(E2332="","",IF(LEFT(E2332,7)="SUBSOLO",-1,IF(LEFT(E2332,6)="TÉRREO",0,IFERROR(VALUE(LEFT(E2332,FIND("º",SUBSTITUTE(E2332,"°","º"))-1)),""))))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IF(E2333="","",IF(LEFT(E2333,7)="SUBSOLO",-1,IF(LEFT(E2333,6)="TÉRREO",0,IFERROR(VALUE(LEFT(E2333,FIND("º",SUBSTITUTE(E2333,"°","º"))-1)),""))))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IF(E2334="","",IF(LEFT(E2334,7)="SUBSOLO",-1,IF(LEFT(E2334,6)="TÉRREO",0,IFERROR(VALUE(LEFT(E2334,FIND("º",SUBSTITUTE(E2334,"°","º"))-1)),""))))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IF(E2335="","",IF(LEFT(E2335,7)="SUBSOLO",-1,IF(LEFT(E2335,6)="TÉRREO",0,IFERROR(VALUE(LEFT(E2335,FIND("º",SUBSTITUTE(E2335,"°","º"))-1)),""))))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IF(E2336="","",IF(LEFT(E2336,7)="SUBSOLO",-1,IF(LEFT(E2336,6)="TÉRREO",0,IFERROR(VALUE(LEFT(E2336,FIND("º",SUBSTITUTE(E2336,"°","º"))-1)),""))))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IF(E2337="","",IF(LEFT(E2337,7)="SUBSOLO",-1,IF(LEFT(E2337,6)="TÉRREO",0,IFERROR(VALUE(LEFT(E2337,FIND("º",SUBSTITUTE(E2337,"°","º"))-1)),""))))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IF(E2338="","",IF(LEFT(E2338,7)="SUBSOLO",-1,IF(LEFT(E2338,6)="TÉRREO",0,IFERROR(VALUE(LEFT(E2338,FIND("º",SUBSTITUTE(E2338,"°","º"))-1)),""))))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IF(E2339="","",IF(LEFT(E2339,7)="SUBSOLO",-1,IF(LEFT(E2339,6)="TÉRREO",0,IFERROR(VALUE(LEFT(E2339,FIND("º",SUBSTITUTE(E2339,"°","º"))-1)),""))))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IF(E2340="","",IF(LEFT(E2340,7)="SUBSOLO",-1,IF(LEFT(E2340,6)="TÉRREO",0,IFERROR(VALUE(LEFT(E2340,FIND("º",SUBSTITUTE(E2340,"°","º"))-1)),""))))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IF(E2341="","",IF(LEFT(E2341,7)="SUBSOLO",-1,IF(LEFT(E2341,6)="TÉRREO",0,IFERROR(VALUE(LEFT(E2341,FIND("º",SUBSTITUTE(E2341,"°","º"))-1)),""))))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IF(E2342="","",IF(LEFT(E2342,7)="SUBSOLO",-1,IF(LEFT(E2342,6)="TÉRREO",0,IFERROR(VALUE(LEFT(E2342,FIND("º",SUBSTITUTE(E2342,"°","º"))-1)),""))))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IF(E2343="","",IF(LEFT(E2343,7)="SUBSOLO",-1,IF(LEFT(E2343,6)="TÉRREO",0,IFERROR(VALUE(LEFT(E2343,FIND("º",SUBSTITUTE(E2343,"°","º"))-1)),""))))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IF(E2344="","",IF(LEFT(E2344,7)="SUBSOLO",-1,IF(LEFT(E2344,6)="TÉRREO",0,IFERROR(VALUE(LEFT(E2344,FIND("º",SUBSTITUTE(E2344,"°","º"))-1)),""))))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IF(E2345="","",IF(LEFT(E2345,7)="SUBSOLO",-1,IF(LEFT(E2345,6)="TÉRREO",0,IFERROR(VALUE(LEFT(E2345,FIND("º",SUBSTITUTE(E2345,"°","º"))-1)),""))))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IF(E2346="","",IF(LEFT(E2346,7)="SUBSOLO",-1,IF(LEFT(E2346,6)="TÉRREO",0,IFERROR(VALUE(LEFT(E2346,FIND("º",SUBSTITUTE(E2346,"°","º"))-1)),""))))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IF(E2347="","",IF(LEFT(E2347,7)="SUBSOLO",-1,IF(LEFT(E2347,6)="TÉRREO",0,IFERROR(VALUE(LEFT(E2347,FIND("º",SUBSTITUTE(E2347,"°","º"))-1)),""))))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IF(E2348="","",IF(LEFT(E2348,7)="SUBSOLO",-1,IF(LEFT(E2348,6)="TÉRREO",0,IFERROR(VALUE(LEFT(E2348,FIND("º",SUBSTITUTE(E2348,"°","º"))-1)),""))))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IF(E2349="","",IF(LEFT(E2349,7)="SUBSOLO",-1,IF(LEFT(E2349,6)="TÉRREO",0,IFERROR(VALUE(LEFT(E2349,FIND("º",SUBSTITUTE(E2349,"°","º"))-1)),""))))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IF(E2350="","",IF(LEFT(E2350,7)="SUBSOLO",-1,IF(LEFT(E2350,6)="TÉRREO",0,IFERROR(VALUE(LEFT(E2350,FIND("º",SUBSTITUTE(E2350,"°","º"))-1)),""))))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IF(E2351="","",IF(LEFT(E2351,7)="SUBSOLO",-1,IF(LEFT(E2351,6)="TÉRREO",0,IFERROR(VALUE(LEFT(E2351,FIND("º",SUBSTITUTE(E2351,"°","º"))-1)),""))))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IF(E2352="","",IF(LEFT(E2352,7)="SUBSOLO",-1,IF(LEFT(E2352,6)="TÉRREO",0,IFERROR(VALUE(LEFT(E2352,FIND("º",SUBSTITUTE(E2352,"°","º"))-1)),""))))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IF(E2353="","",IF(LEFT(E2353,7)="SUBSOLO",-1,IF(LEFT(E2353,6)="TÉRREO",0,IFERROR(VALUE(LEFT(E2353,FIND("º",SUBSTITUTE(E2353,"°","º"))-1)),""))))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IF(E2354="","",IF(LEFT(E2354,7)="SUBSOLO",-1,IF(LEFT(E2354,6)="TÉRREO",0,IFERROR(VALUE(LEFT(E2354,FIND("º",SUBSTITUTE(E2354,"°","º"))-1)),""))))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IF(E2355="","",IF(LEFT(E2355,7)="SUBSOLO",-1,IF(LEFT(E2355,6)="TÉRREO",0,IFERROR(VALUE(LEFT(E2355,FIND("º",SUBSTITUTE(E2355,"°","º"))-1)),""))))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IF(E2356="","",IF(LEFT(E2356,7)="SUBSOLO",-1,IF(LEFT(E2356,6)="TÉRREO",0,IFERROR(VALUE(LEFT(E2356,FIND("º",SUBSTITUTE(E2356,"°","º"))-1)),""))))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IF(E2357="","",IF(LEFT(E2357,7)="SUBSOLO",-1,IF(LEFT(E2357,6)="TÉRREO",0,IFERROR(VALUE(LEFT(E2357,FIND("º",SUBSTITUTE(E2357,"°","º"))-1)),""))))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IF(E2358="","",IF(LEFT(E2358,7)="SUBSOLO",-1,IF(LEFT(E2358,6)="TÉRREO",0,IFERROR(VALUE(LEFT(E2358,FIND("º",SUBSTITUTE(E2358,"°","º"))-1)),""))))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IF(E2359="","",IF(LEFT(E2359,7)="SUBSOLO",-1,IF(LEFT(E2359,6)="TÉRREO",0,IFERROR(VALUE(LEFT(E2359,FIND("º",SUBSTITUTE(E2359,"°","º"))-1)),""))))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IF(E2360="","",IF(LEFT(E2360,7)="SUBSOLO",-1,IF(LEFT(E2360,6)="TÉRREO",0,IFERROR(VALUE(LEFT(E2360,FIND("º",SUBSTITUTE(E2360,"°","º"))-1)),""))))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IF(E2361="","",IF(LEFT(E2361,7)="SUBSOLO",-1,IF(LEFT(E2361,6)="TÉRREO",0,IFERROR(VALUE(LEFT(E2361,FIND("º",SUBSTITUTE(E2361,"°","º"))-1)),""))))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IF(E2362="","",IF(LEFT(E2362,7)="SUBSOLO",-1,IF(LEFT(E2362,6)="TÉRREO",0,IFERROR(VALUE(LEFT(E2362,FIND("º",SUBSTITUTE(E2362,"°","º"))-1)),""))))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IF(E2363="","",IF(LEFT(E2363,7)="SUBSOLO",-1,IF(LEFT(E2363,6)="TÉRREO",0,IFERROR(VALUE(LEFT(E2363,FIND("º",SUBSTITUTE(E2363,"°","º"))-1)),""))))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IF(E2364="","",IF(LEFT(E2364,7)="SUBSOLO",-1,IF(LEFT(E2364,6)="TÉRREO",0,IFERROR(VALUE(LEFT(E2364,FIND("º",SUBSTITUTE(E2364,"°","º"))-1)),""))))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IF(E2365="","",IF(LEFT(E2365,7)="SUBSOLO",-1,IF(LEFT(E2365,6)="TÉRREO",0,IFERROR(VALUE(LEFT(E2365,FIND("º",SUBSTITUTE(E2365,"°","º"))-1)),""))))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IF(E2366="","",IF(LEFT(E2366,7)="SUBSOLO",-1,IF(LEFT(E2366,6)="TÉRREO",0,IFERROR(VALUE(LEFT(E2366,FIND("º",SUBSTITUTE(E2366,"°","º"))-1)),""))))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IF(E2367="","",IF(LEFT(E2367,7)="SUBSOLO",-1,IF(LEFT(E2367,6)="TÉRREO",0,IFERROR(VALUE(LEFT(E2367,FIND("º",SUBSTITUTE(E2367,"°","º"))-1)),""))))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IF(E2368="","",IF(LEFT(E2368,7)="SUBSOLO",-1,IF(LEFT(E2368,6)="TÉRREO",0,IFERROR(VALUE(LEFT(E2368,FIND("º",SUBSTITUTE(E2368,"°","º"))-1)),""))))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IF(E2369="","",IF(LEFT(E2369,7)="SUBSOLO",-1,IF(LEFT(E2369,6)="TÉRREO",0,IFERROR(VALUE(LEFT(E2369,FIND("º",SUBSTITUTE(E2369,"°","º"))-1)),""))))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IF(E2370="","",IF(LEFT(E2370,7)="SUBSOLO",-1,IF(LEFT(E2370,6)="TÉRREO",0,IFERROR(VALUE(LEFT(E2370,FIND("º",SUBSTITUTE(E2370,"°","º"))-1)),""))))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IF(E2371="","",IF(LEFT(E2371,7)="SUBSOLO",-1,IF(LEFT(E2371,6)="TÉRREO",0,IFERROR(VALUE(LEFT(E2371,FIND("º",SUBSTITUTE(E2371,"°","º"))-1)),""))))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IF(E2372="","",IF(LEFT(E2372,7)="SUBSOLO",-1,IF(LEFT(E2372,6)="TÉRREO",0,IFERROR(VALUE(LEFT(E2372,FIND("º",SUBSTITUTE(E2372,"°","º"))-1)),""))))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IF(E2373="","",IF(LEFT(E2373,7)="SUBSOLO",-1,IF(LEFT(E2373,6)="TÉRREO",0,IFERROR(VALUE(LEFT(E2373,FIND("º",SUBSTITUTE(E2373,"°","º"))-1)),""))))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IF(E2374="","",IF(LEFT(E2374,7)="SUBSOLO",-1,IF(LEFT(E2374,6)="TÉRREO",0,IFERROR(VALUE(LEFT(E2374,FIND("º",SUBSTITUTE(E2374,"°","º"))-1)),""))))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IF(E2375="","",IF(LEFT(E2375,7)="SUBSOLO",-1,IF(LEFT(E2375,6)="TÉRREO",0,IFERROR(VALUE(LEFT(E2375,FIND("º",SUBSTITUTE(E2375,"°","º"))-1)),""))))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IF(E2376="","",IF(LEFT(E2376,7)="SUBSOLO",-1,IF(LEFT(E2376,6)="TÉRREO",0,IFERROR(VALUE(LEFT(E2376,FIND("º",SUBSTITUTE(E2376,"°","º"))-1)),""))))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IF(E2377="","",IF(LEFT(E2377,7)="SUBSOLO",-1,IF(LEFT(E2377,6)="TÉRREO",0,IFERROR(VALUE(LEFT(E2377,FIND("º",SUBSTITUTE(E2377,"°","º"))-1)),""))))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IF(E2378="","",IF(LEFT(E2378,7)="SUBSOLO",-1,IF(LEFT(E2378,6)="TÉRREO",0,IFERROR(VALUE(LEFT(E2378,FIND("º",SUBSTITUTE(E2378,"°","º"))-1)),""))))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IF(E2379="","",IF(LEFT(E2379,7)="SUBSOLO",-1,IF(LEFT(E2379,6)="TÉRREO",0,IFERROR(VALUE(LEFT(E2379,FIND("º",SUBSTITUTE(E2379,"°","º"))-1)),""))))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IF(E2380="","",IF(LEFT(E2380,7)="SUBSOLO",-1,IF(LEFT(E2380,6)="TÉRREO",0,IFERROR(VALUE(LEFT(E2380,FIND("º",SUBSTITUTE(E2380,"°","º"))-1)),""))))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IF(E2381="","",IF(LEFT(E2381,7)="SUBSOLO",-1,IF(LEFT(E2381,6)="TÉRREO",0,IFERROR(VALUE(LEFT(E2381,FIND("º",SUBSTITUTE(E2381,"°","º"))-1)),""))))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IF(E2382="","",IF(LEFT(E2382,7)="SUBSOLO",-1,IF(LEFT(E2382,6)="TÉRREO",0,IFERROR(VALUE(LEFT(E2382,FIND("º",SUBSTITUTE(E2382,"°","º"))-1)),""))))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IF(E2383="","",IF(LEFT(E2383,7)="SUBSOLO",-1,IF(LEFT(E2383,6)="TÉRREO",0,IFERROR(VALUE(LEFT(E2383,FIND("º",SUBSTITUTE(E2383,"°","º"))-1)),""))))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IF(E2384="","",IF(LEFT(E2384,7)="SUBSOLO",-1,IF(LEFT(E2384,6)="TÉRREO",0,IFERROR(VALUE(LEFT(E2384,FIND("º",SUBSTITUTE(E2384,"°","º"))-1)),""))))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IF(E2385="","",IF(LEFT(E2385,7)="SUBSOLO",-1,IF(LEFT(E2385,6)="TÉRREO",0,IFERROR(VALUE(LEFT(E2385,FIND("º",SUBSTITUTE(E2385,"°","º"))-1)),""))))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IF(E2386="","",IF(LEFT(E2386,7)="SUBSOLO",-1,IF(LEFT(E2386,6)="TÉRREO",0,IFERROR(VALUE(LEFT(E2386,FIND("º",SUBSTITUTE(E2386,"°","º"))-1)),""))))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IF(E2387="","",IF(LEFT(E2387,7)="SUBSOLO",-1,IF(LEFT(E2387,6)="TÉRREO",0,IFERROR(VALUE(LEFT(E2387,FIND("º",SUBSTITUTE(E2387,"°","º"))-1)),""))))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IF(E2388="","",IF(LEFT(E2388,7)="SUBSOLO",-1,IF(LEFT(E2388,6)="TÉRREO",0,IFERROR(VALUE(LEFT(E2388,FIND("º",SUBSTITUTE(E2388,"°","º"))-1)),""))))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IF(E2389="","",IF(LEFT(E2389,7)="SUBSOLO",-1,IF(LEFT(E2389,6)="TÉRREO",0,IFERROR(VALUE(LEFT(E2389,FIND("º",SUBSTITUTE(E2389,"°","º"))-1)),""))))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IF(E2390="","",IF(LEFT(E2390,7)="SUBSOLO",-1,IF(LEFT(E2390,6)="TÉRREO",0,IFERROR(VALUE(LEFT(E2390,FIND("º",SUBSTITUTE(E2390,"°","º"))-1)),""))))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IF(E2391="","",IF(LEFT(E2391,7)="SUBSOLO",-1,IF(LEFT(E2391,6)="TÉRREO",0,IFERROR(VALUE(LEFT(E2391,FIND("º",SUBSTITUTE(E2391,"°","º"))-1)),""))))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IF(E2392="","",IF(LEFT(E2392,7)="SUBSOLO",-1,IF(LEFT(E2392,6)="TÉRREO",0,IFERROR(VALUE(LEFT(E2392,FIND("º",SUBSTITUTE(E2392,"°","º"))-1)),""))))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IF(E2393="","",IF(LEFT(E2393,7)="SUBSOLO",-1,IF(LEFT(E2393,6)="TÉRREO",0,IFERROR(VALUE(LEFT(E2393,FIND("º",SUBSTITUTE(E2393,"°","º"))-1)),""))))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IF(E2394="","",IF(LEFT(E2394,7)="SUBSOLO",-1,IF(LEFT(E2394,6)="TÉRREO",0,IFERROR(VALUE(LEFT(E2394,FIND("º",SUBSTITUTE(E2394,"°","º"))-1)),""))))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IF(E2395="","",IF(LEFT(E2395,7)="SUBSOLO",-1,IF(LEFT(E2395,6)="TÉRREO",0,IFERROR(VALUE(LEFT(E2395,FIND("º",SUBSTITUTE(E2395,"°","º"))-1)),""))))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IF(E2396="","",IF(LEFT(E2396,7)="SUBSOLO",-1,IF(LEFT(E2396,6)="TÉRREO",0,IFERROR(VALUE(LEFT(E2396,FIND("º",SUBSTITUTE(E2396,"°","º"))-1)),""))))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IF(E2397="","",IF(LEFT(E2397,7)="SUBSOLO",-1,IF(LEFT(E2397,6)="TÉRREO",0,IFERROR(VALUE(LEFT(E2397,FIND("º",SUBSTITUTE(E2397,"°","º"))-1)),""))))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IF(E2398="","",IF(LEFT(E2398,7)="SUBSOLO",-1,IF(LEFT(E2398,6)="TÉRREO",0,IFERROR(VALUE(LEFT(E2398,FIND("º",SUBSTITUTE(E2398,"°","º"))-1)),""))))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IF(E2399="","",IF(LEFT(E2399,7)="SUBSOLO",-1,IF(LEFT(E2399,6)="TÉRREO",0,IFERROR(VALUE(LEFT(E2399,FIND("º",SUBSTITUTE(E2399,"°","º"))-1)),""))))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IF(E2400="","",IF(LEFT(E2400,7)="SUBSOLO",-1,IF(LEFT(E2400,6)="TÉRREO",0,IFERROR(VALUE(LEFT(E2400,FIND("º",SUBSTITUTE(E2400,"°","º"))-1)),""))))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IF(E2401="","",IF(LEFT(E2401,7)="SUBSOLO",-1,IF(LEFT(E2401,6)="TÉRREO",0,IFERROR(VALUE(LEFT(E2401,FIND("º",SUBSTITUTE(E2401,"°","º"))-1)),""))))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IF(E2402="","",IF(LEFT(E2402,7)="SUBSOLO",-1,IF(LEFT(E2402,6)="TÉRREO",0,IFERROR(VALUE(LEFT(E2402,FIND("º",SUBSTITUTE(E2402,"°","º"))-1)),""))))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IF(E2403="","",IF(LEFT(E2403,7)="SUBSOLO",-1,IF(LEFT(E2403,6)="TÉRREO",0,IFERROR(VALUE(LEFT(E2403,FIND("º",SUBSTITUTE(E2403,"°","º"))-1)),""))))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IF(E2404="","",IF(LEFT(E2404,7)="SUBSOLO",-1,IF(LEFT(E2404,6)="TÉRREO",0,IFERROR(VALUE(LEFT(E2404,FIND("º",SUBSTITUTE(E2404,"°","º"))-1)),""))))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IF(E2405="","",IF(LEFT(E2405,7)="SUBSOLO",-1,IF(LEFT(E2405,6)="TÉRREO",0,IFERROR(VALUE(LEFT(E2405,FIND("º",SUBSTITUTE(E2405,"°","º"))-1)),""))))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IF(E2406="","",IF(LEFT(E2406,7)="SUBSOLO",-1,IF(LEFT(E2406,6)="TÉRREO",0,IFERROR(VALUE(LEFT(E2406,FIND("º",SUBSTITUTE(E2406,"°","º"))-1)),""))))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IF(E2407="","",IF(LEFT(E2407,7)="SUBSOLO",-1,IF(LEFT(E2407,6)="TÉRREO",0,IFERROR(VALUE(LEFT(E2407,FIND("º",SUBSTITUTE(E2407,"°","º"))-1)),""))))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IF(E2408="","",IF(LEFT(E2408,7)="SUBSOLO",-1,IF(LEFT(E2408,6)="TÉRREO",0,IFERROR(VALUE(LEFT(E2408,FIND("º",SUBSTITUTE(E2408,"°","º"))-1)),""))))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IF(E2409="","",IF(LEFT(E2409,7)="SUBSOLO",-1,IF(LEFT(E2409,6)="TÉRREO",0,IFERROR(VALUE(LEFT(E2409,FIND("º",SUBSTITUTE(E2409,"°","º"))-1)),""))))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IF(E2410="","",IF(LEFT(E2410,7)="SUBSOLO",-1,IF(LEFT(E2410,6)="TÉRREO",0,IFERROR(VALUE(LEFT(E2410,FIND("º",SUBSTITUTE(E2410,"°","º"))-1)),""))))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IF(E2411="","",IF(LEFT(E2411,7)="SUBSOLO",-1,IF(LEFT(E2411,6)="TÉRREO",0,IFERROR(VALUE(LEFT(E2411,FIND("º",SUBSTITUTE(E2411,"°","º"))-1)),""))))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IF(E2412="","",IF(LEFT(E2412,7)="SUBSOLO",-1,IF(LEFT(E2412,6)="TÉRREO",0,IFERROR(VALUE(LEFT(E2412,FIND("º",SUBSTITUTE(E2412,"°","º"))-1)),""))))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IF(E2413="","",IF(LEFT(E2413,7)="SUBSOLO",-1,IF(LEFT(E2413,6)="TÉRREO",0,IFERROR(VALUE(LEFT(E2413,FIND("º",SUBSTITUTE(E2413,"°","º"))-1)),""))))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IF(E2414="","",IF(LEFT(E2414,7)="SUBSOLO",-1,IF(LEFT(E2414,6)="TÉRREO",0,IFERROR(VALUE(LEFT(E2414,FIND("º",SUBSTITUTE(E2414,"°","º"))-1)),""))))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IF(E2415="","",IF(LEFT(E2415,7)="SUBSOLO",-1,IF(LEFT(E2415,6)="TÉRREO",0,IFERROR(VALUE(LEFT(E2415,FIND("º",SUBSTITUTE(E2415,"°","º"))-1)),""))))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IF(E2416="","",IF(LEFT(E2416,7)="SUBSOLO",-1,IF(LEFT(E2416,6)="TÉRREO",0,IFERROR(VALUE(LEFT(E2416,FIND("º",SUBSTITUTE(E2416,"°","º"))-1)),""))))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IF(E2417="","",IF(LEFT(E2417,7)="SUBSOLO",-1,IF(LEFT(E2417,6)="TÉRREO",0,IFERROR(VALUE(LEFT(E2417,FIND("º",SUBSTITUTE(E2417,"°","º"))-1)),""))))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IF(E2418="","",IF(LEFT(E2418,7)="SUBSOLO",-1,IF(LEFT(E2418,6)="TÉRREO",0,IFERROR(VALUE(LEFT(E2418,FIND("º",SUBSTITUTE(E2418,"°","º"))-1)),""))))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IF(E2419="","",IF(LEFT(E2419,7)="SUBSOLO",-1,IF(LEFT(E2419,6)="TÉRREO",0,IFERROR(VALUE(LEFT(E2419,FIND("º",SUBSTITUTE(E2419,"°","º"))-1)),""))))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IF(E2420="","",IF(LEFT(E2420,7)="SUBSOLO",-1,IF(LEFT(E2420,6)="TÉRREO",0,IFERROR(VALUE(LEFT(E2420,FIND("º",SUBSTITUTE(E2420,"°","º"))-1)),""))))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IF(E2421="","",IF(LEFT(E2421,7)="SUBSOLO",-1,IF(LEFT(E2421,6)="TÉRREO",0,IFERROR(VALUE(LEFT(E2421,FIND("º",SUBSTITUTE(E2421,"°","º"))-1)),""))))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IF(E2422="","",IF(LEFT(E2422,7)="SUBSOLO",-1,IF(LEFT(E2422,6)="TÉRREO",0,IFERROR(VALUE(LEFT(E2422,FIND("º",SUBSTITUTE(E2422,"°","º"))-1)),""))))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IF(E2423="","",IF(LEFT(E2423,7)="SUBSOLO",-1,IF(LEFT(E2423,6)="TÉRREO",0,IFERROR(VALUE(LEFT(E2423,FIND("º",SUBSTITUTE(E2423,"°","º"))-1)),""))))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IF(E2424="","",IF(LEFT(E2424,7)="SUBSOLO",-1,IF(LEFT(E2424,6)="TÉRREO",0,IFERROR(VALUE(LEFT(E2424,FIND("º",SUBSTITUTE(E2424,"°","º"))-1)),""))))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IF(E2425="","",IF(LEFT(E2425,7)="SUBSOLO",-1,IF(LEFT(E2425,6)="TÉRREO",0,IFERROR(VALUE(LEFT(E2425,FIND("º",SUBSTITUTE(E2425,"°","º"))-1)),""))))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IF(E2426="","",IF(LEFT(E2426,7)="SUBSOLO",-1,IF(LEFT(E2426,6)="TÉRREO",0,IFERROR(VALUE(LEFT(E2426,FIND("º",SUBSTITUTE(E2426,"°","º"))-1)),""))))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IF(E2427="","",IF(LEFT(E2427,7)="SUBSOLO",-1,IF(LEFT(E2427,6)="TÉRREO",0,IFERROR(VALUE(LEFT(E2427,FIND("º",SUBSTITUTE(E2427,"°","º"))-1)),""))))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IF(E2428="","",IF(LEFT(E2428,7)="SUBSOLO",-1,IF(LEFT(E2428,6)="TÉRREO",0,IFERROR(VALUE(LEFT(E2428,FIND("º",SUBSTITUTE(E2428,"°","º"))-1)),""))))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IF(E2429="","",IF(LEFT(E2429,7)="SUBSOLO",-1,IF(LEFT(E2429,6)="TÉRREO",0,IFERROR(VALUE(LEFT(E2429,FIND("º",SUBSTITUTE(E2429,"°","º"))-1)),""))))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IF(E2430="","",IF(LEFT(E2430,7)="SUBSOLO",-1,IF(LEFT(E2430,6)="TÉRREO",0,IFERROR(VALUE(LEFT(E2430,FIND("º",SUBSTITUTE(E2430,"°","º"))-1)),""))))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IF(E2431="","",IF(LEFT(E2431,7)="SUBSOLO",-1,IF(LEFT(E2431,6)="TÉRREO",0,IFERROR(VALUE(LEFT(E2431,FIND("º",SUBSTITUTE(E2431,"°","º"))-1)),""))))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IF(E2432="","",IF(LEFT(E2432,7)="SUBSOLO",-1,IF(LEFT(E2432,6)="TÉRREO",0,IFERROR(VALUE(LEFT(E2432,FIND("º",SUBSTITUTE(E2432,"°","º"))-1)),""))))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IF(E2433="","",IF(LEFT(E2433,7)="SUBSOLO",-1,IF(LEFT(E2433,6)="TÉRREO",0,IFERROR(VALUE(LEFT(E2433,FIND("º",SUBSTITUTE(E2433,"°","º"))-1)),""))))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IF(E2434="","",IF(LEFT(E2434,7)="SUBSOLO",-1,IF(LEFT(E2434,6)="TÉRREO",0,IFERROR(VALUE(LEFT(E2434,FIND("º",SUBSTITUTE(E2434,"°","º"))-1)),""))))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IF(E2435="","",IF(LEFT(E2435,7)="SUBSOLO",-1,IF(LEFT(E2435,6)="TÉRREO",0,IFERROR(VALUE(LEFT(E2435,FIND("º",SUBSTITUTE(E2435,"°","º"))-1)),""))))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IF(E2436="","",IF(LEFT(E2436,7)="SUBSOLO",-1,IF(LEFT(E2436,6)="TÉRREO",0,IFERROR(VALUE(LEFT(E2436,FIND("º",SUBSTITUTE(E2436,"°","º"))-1)),""))))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IF(E2437="","",IF(LEFT(E2437,7)="SUBSOLO",-1,IF(LEFT(E2437,6)="TÉRREO",0,IFERROR(VALUE(LEFT(E2437,FIND("º",SUBSTITUTE(E2437,"°","º"))-1)),""))))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IF(E2438="","",IF(LEFT(E2438,7)="SUBSOLO",-1,IF(LEFT(E2438,6)="TÉRREO",0,IFERROR(VALUE(LEFT(E2438,FIND("º",SUBSTITUTE(E2438,"°","º"))-1)),""))))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IF(E2439="","",IF(LEFT(E2439,7)="SUBSOLO",-1,IF(LEFT(E2439,6)="TÉRREO",0,IFERROR(VALUE(LEFT(E2439,FIND("º",SUBSTITUTE(E2439,"°","º"))-1)),""))))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IF(E2440="","",IF(LEFT(E2440,7)="SUBSOLO",-1,IF(LEFT(E2440,6)="TÉRREO",0,IFERROR(VALUE(LEFT(E2440,FIND("º",SUBSTITUTE(E2440,"°","º"))-1)),""))))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IF(E2441="","",IF(LEFT(E2441,7)="SUBSOLO",-1,IF(LEFT(E2441,6)="TÉRREO",0,IFERROR(VALUE(LEFT(E2441,FIND("º",SUBSTITUTE(E2441,"°","º"))-1)),""))))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IF(E2442="","",IF(LEFT(E2442,7)="SUBSOLO",-1,IF(LEFT(E2442,6)="TÉRREO",0,IFERROR(VALUE(LEFT(E2442,FIND("º",SUBSTITUTE(E2442,"°","º"))-1)),""))))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IF(E2443="","",IF(LEFT(E2443,7)="SUBSOLO",-1,IF(LEFT(E2443,6)="TÉRREO",0,IFERROR(VALUE(LEFT(E2443,FIND("º",SUBSTITUTE(E2443,"°","º"))-1)),""))))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IF(E2444="","",IF(LEFT(E2444,7)="SUBSOLO",-1,IF(LEFT(E2444,6)="TÉRREO",0,IFERROR(VALUE(LEFT(E2444,FIND("º",SUBSTITUTE(E2444,"°","º"))-1)),""))))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IF(E2445="","",IF(LEFT(E2445,7)="SUBSOLO",-1,IF(LEFT(E2445,6)="TÉRREO",0,IFERROR(VALUE(LEFT(E2445,FIND("º",SUBSTITUTE(E2445,"°","º"))-1)),""))))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IF(E2446="","",IF(LEFT(E2446,7)="SUBSOLO",-1,IF(LEFT(E2446,6)="TÉRREO",0,IFERROR(VALUE(LEFT(E2446,FIND("º",SUBSTITUTE(E2446,"°","º"))-1)),""))))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IF(E2447="","",IF(LEFT(E2447,7)="SUBSOLO",-1,IF(LEFT(E2447,6)="TÉRREO",0,IFERROR(VALUE(LEFT(E2447,FIND("º",SUBSTITUTE(E2447,"°","º"))-1)),""))))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IF(E2448="","",IF(LEFT(E2448,7)="SUBSOLO",-1,IF(LEFT(E2448,6)="TÉRREO",0,IFERROR(VALUE(LEFT(E2448,FIND("º",SUBSTITUTE(E2448,"°","º"))-1)),""))))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IF(E2449="","",IF(LEFT(E2449,7)="SUBSOLO",-1,IF(LEFT(E2449,6)="TÉRREO",0,IFERROR(VALUE(LEFT(E2449,FIND("º",SUBSTITUTE(E2449,"°","º"))-1)),""))))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IF(E2450="","",IF(LEFT(E2450,7)="SUBSOLO",-1,IF(LEFT(E2450,6)="TÉRREO",0,IFERROR(VALUE(LEFT(E2450,FIND("º",SUBSTITUTE(E2450,"°","º"))-1)),""))))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IF(E2451="","",IF(LEFT(E2451,7)="SUBSOLO",-1,IF(LEFT(E2451,6)="TÉRREO",0,IFERROR(VALUE(LEFT(E2451,FIND("º",SUBSTITUTE(E2451,"°","º"))-1)),""))))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IF(E2452="","",IF(LEFT(E2452,7)="SUBSOLO",-1,IF(LEFT(E2452,6)="TÉRREO",0,IFERROR(VALUE(LEFT(E2452,FIND("º",SUBSTITUTE(E2452,"°","º"))-1)),""))))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IF(E2453="","",IF(LEFT(E2453,7)="SUBSOLO",-1,IF(LEFT(E2453,6)="TÉRREO",0,IFERROR(VALUE(LEFT(E2453,FIND("º",SUBSTITUTE(E2453,"°","º"))-1)),""))))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IF(E2454="","",IF(LEFT(E2454,7)="SUBSOLO",-1,IF(LEFT(E2454,6)="TÉRREO",0,IFERROR(VALUE(LEFT(E2454,FIND("º",SUBSTITUTE(E2454,"°","º"))-1)),""))))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IF(E2455="","",IF(LEFT(E2455,7)="SUBSOLO",-1,IF(LEFT(E2455,6)="TÉRREO",0,IFERROR(VALUE(LEFT(E2455,FIND("º",SUBSTITUTE(E2455,"°","º"))-1)),""))))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IF(E2456="","",IF(LEFT(E2456,7)="SUBSOLO",-1,IF(LEFT(E2456,6)="TÉRREO",0,IFERROR(VALUE(LEFT(E2456,FIND("º",SUBSTITUTE(E2456,"°","º"))-1)),""))))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IF(E2457="","",IF(LEFT(E2457,7)="SUBSOLO",-1,IF(LEFT(E2457,6)="TÉRREO",0,IFERROR(VALUE(LEFT(E2457,FIND("º",SUBSTITUTE(E2457,"°","º"))-1)),""))))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IF(E2458="","",IF(LEFT(E2458,7)="SUBSOLO",-1,IF(LEFT(E2458,6)="TÉRREO",0,IFERROR(VALUE(LEFT(E2458,FIND("º",SUBSTITUTE(E2458,"°","º"))-1)),""))))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IF(E2459="","",IF(LEFT(E2459,7)="SUBSOLO",-1,IF(LEFT(E2459,6)="TÉRREO",0,IFERROR(VALUE(LEFT(E2459,FIND("º",SUBSTITUTE(E2459,"°","º"))-1)),""))))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IF(E2460="","",IF(LEFT(E2460,7)="SUBSOLO",-1,IF(LEFT(E2460,6)="TÉRREO",0,IFERROR(VALUE(LEFT(E2460,FIND("º",SUBSTITUTE(E2460,"°","º"))-1)),""))))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IF(E2461="","",IF(LEFT(E2461,7)="SUBSOLO",-1,IF(LEFT(E2461,6)="TÉRREO",0,IFERROR(VALUE(LEFT(E2461,FIND("º",SUBSTITUTE(E2461,"°","º"))-1)),""))))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IF(E2462="","",IF(LEFT(E2462,7)="SUBSOLO",-1,IF(LEFT(E2462,6)="TÉRREO",0,IFERROR(VALUE(LEFT(E2462,FIND("º",SUBSTITUTE(E2462,"°","º"))-1)),""))))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IF(E2463="","",IF(LEFT(E2463,7)="SUBSOLO",-1,IF(LEFT(E2463,6)="TÉRREO",0,IFERROR(VALUE(LEFT(E2463,FIND("º",SUBSTITUTE(E2463,"°","º"))-1)),""))))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IF(E2464="","",IF(LEFT(E2464,7)="SUBSOLO",-1,IF(LEFT(E2464,6)="TÉRREO",0,IFERROR(VALUE(LEFT(E2464,FIND("º",SUBSTITUTE(E2464,"°","º"))-1)),""))))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IF(E2465="","",IF(LEFT(E2465,7)="SUBSOLO",-1,IF(LEFT(E2465,6)="TÉRREO",0,IFERROR(VALUE(LEFT(E2465,FIND("º",SUBSTITUTE(E2465,"°","º"))-1)),""))))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IF(E2466="","",IF(LEFT(E2466,7)="SUBSOLO",-1,IF(LEFT(E2466,6)="TÉRREO",0,IFERROR(VALUE(LEFT(E2466,FIND("º",SUBSTITUTE(E2466,"°","º"))-1)),""))))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IF(E2467="","",IF(LEFT(E2467,7)="SUBSOLO",-1,IF(LEFT(E2467,6)="TÉRREO",0,IFERROR(VALUE(LEFT(E2467,FIND("º",SUBSTITUTE(E2467,"°","º"))-1)),""))))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IF(E2468="","",IF(LEFT(E2468,7)="SUBSOLO",-1,IF(LEFT(E2468,6)="TÉRREO",0,IFERROR(VALUE(LEFT(E2468,FIND("º",SUBSTITUTE(E2468,"°","º"))-1)),""))))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IF(E2469="","",IF(LEFT(E2469,7)="SUBSOLO",-1,IF(LEFT(E2469,6)="TÉRREO",0,IFERROR(VALUE(LEFT(E2469,FIND("º",SUBSTITUTE(E2469,"°","º"))-1)),""))))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IF(E2470="","",IF(LEFT(E2470,7)="SUBSOLO",-1,IF(LEFT(E2470,6)="TÉRREO",0,IFERROR(VALUE(LEFT(E2470,FIND("º",SUBSTITUTE(E2470,"°","º"))-1)),""))))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IF(E2471="","",IF(LEFT(E2471,7)="SUBSOLO",-1,IF(LEFT(E2471,6)="TÉRREO",0,IFERROR(VALUE(LEFT(E2471,FIND("º",SUBSTITUTE(E2471,"°","º"))-1)),""))))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IF(E2472="","",IF(LEFT(E2472,7)="SUBSOLO",-1,IF(LEFT(E2472,6)="TÉRREO",0,IFERROR(VALUE(LEFT(E2472,FIND("º",SUBSTITUTE(E2472,"°","º"))-1)),""))))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IF(E2473="","",IF(LEFT(E2473,7)="SUBSOLO",-1,IF(LEFT(E2473,6)="TÉRREO",0,IFERROR(VALUE(LEFT(E2473,FIND("º",SUBSTITUTE(E2473,"°","º"))-1)),""))))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IF(E2474="","",IF(LEFT(E2474,7)="SUBSOLO",-1,IF(LEFT(E2474,6)="TÉRREO",0,IFERROR(VALUE(LEFT(E2474,FIND("º",SUBSTITUTE(E2474,"°","º"))-1)),""))))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IF(E2475="","",IF(LEFT(E2475,7)="SUBSOLO",-1,IF(LEFT(E2475,6)="TÉRREO",0,IFERROR(VALUE(LEFT(E2475,FIND("º",SUBSTITUTE(E2475,"°","º"))-1)),""))))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IF(E2476="","",IF(LEFT(E2476,7)="SUBSOLO",-1,IF(LEFT(E2476,6)="TÉRREO",0,IFERROR(VALUE(LEFT(E2476,FIND("º",SUBSTITUTE(E2476,"°","º"))-1)),""))))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IF(E2477="","",IF(LEFT(E2477,7)="SUBSOLO",-1,IF(LEFT(E2477,6)="TÉRREO",0,IFERROR(VALUE(LEFT(E2477,FIND("º",SUBSTITUTE(E2477,"°","º"))-1)),""))))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IF(E2478="","",IF(LEFT(E2478,7)="SUBSOLO",-1,IF(LEFT(E2478,6)="TÉRREO",0,IFERROR(VALUE(LEFT(E2478,FIND("º",SUBSTITUTE(E2478,"°","º"))-1)),""))))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IF(E2479="","",IF(LEFT(E2479,7)="SUBSOLO",-1,IF(LEFT(E2479,6)="TÉRREO",0,IFERROR(VALUE(LEFT(E2479,FIND("º",SUBSTITUTE(E2479,"°","º"))-1)),""))))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IF(E2480="","",IF(LEFT(E2480,7)="SUBSOLO",-1,IF(LEFT(E2480,6)="TÉRREO",0,IFERROR(VALUE(LEFT(E2480,FIND("º",SUBSTITUTE(E2480,"°","º"))-1)),""))))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IF(E2481="","",IF(LEFT(E2481,7)="SUBSOLO",-1,IF(LEFT(E2481,6)="TÉRREO",0,IFERROR(VALUE(LEFT(E2481,FIND("º",SUBSTITUTE(E2481,"°","º"))-1)),""))))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IF(E2482="","",IF(LEFT(E2482,7)="SUBSOLO",-1,IF(LEFT(E2482,6)="TÉRREO",0,IFERROR(VALUE(LEFT(E2482,FIND("º",SUBSTITUTE(E2482,"°","º"))-1)),""))))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IF(E2483="","",IF(LEFT(E2483,7)="SUBSOLO",-1,IF(LEFT(E2483,6)="TÉRREO",0,IFERROR(VALUE(LEFT(E2483,FIND("º",SUBSTITUTE(E2483,"°","º"))-1)),""))))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IF(E2484="","",IF(LEFT(E2484,7)="SUBSOLO",-1,IF(LEFT(E2484,6)="TÉRREO",0,IFERROR(VALUE(LEFT(E2484,FIND("º",SUBSTITUTE(E2484,"°","º"))-1)),""))))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IF(E2485="","",IF(LEFT(E2485,7)="SUBSOLO",-1,IF(LEFT(E2485,6)="TÉRREO",0,IFERROR(VALUE(LEFT(E2485,FIND("º",SUBSTITUTE(E2485,"°","º"))-1)),""))))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IF(E2486="","",IF(LEFT(E2486,7)="SUBSOLO",-1,IF(LEFT(E2486,6)="TÉRREO",0,IFERROR(VALUE(LEFT(E2486,FIND("º",SUBSTITUTE(E2486,"°","º"))-1)),""))))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IF(E2487="","",IF(LEFT(E2487,7)="SUBSOLO",-1,IF(LEFT(E2487,6)="TÉRREO",0,IFERROR(VALUE(LEFT(E2487,FIND("º",SUBSTITUTE(E2487,"°","º"))-1)),""))))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IF(E2488="","",IF(LEFT(E2488,7)="SUBSOLO",-1,IF(LEFT(E2488,6)="TÉRREO",0,IFERROR(VALUE(LEFT(E2488,FIND("º",SUBSTITUTE(E2488,"°","º"))-1)),""))))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IF(E2489="","",IF(LEFT(E2489,7)="SUBSOLO",-1,IF(LEFT(E2489,6)="TÉRREO",0,IFERROR(VALUE(LEFT(E2489,FIND("º",SUBSTITUTE(E2489,"°","º"))-1)),""))))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IF(E2490="","",IF(LEFT(E2490,7)="SUBSOLO",-1,IF(LEFT(E2490,6)="TÉRREO",0,IFERROR(VALUE(LEFT(E2490,FIND("º",SUBSTITUTE(E2490,"°","º"))-1)),""))))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IF(E2491="","",IF(LEFT(E2491,7)="SUBSOLO",-1,IF(LEFT(E2491,6)="TÉRREO",0,IFERROR(VALUE(LEFT(E2491,FIND("º",SUBSTITUTE(E2491,"°","º"))-1)),""))))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IF(E2492="","",IF(LEFT(E2492,7)="SUBSOLO",-1,IF(LEFT(E2492,6)="TÉRREO",0,IFERROR(VALUE(LEFT(E2492,FIND("º",SUBSTITUTE(E2492,"°","º"))-1)),""))))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IF(E2493="","",IF(LEFT(E2493,7)="SUBSOLO",-1,IF(LEFT(E2493,6)="TÉRREO",0,IFERROR(VALUE(LEFT(E2493,FIND("º",SUBSTITUTE(E2493,"°","º"))-1)),""))))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IF(E2494="","",IF(LEFT(E2494,7)="SUBSOLO",-1,IF(LEFT(E2494,6)="TÉRREO",0,IFERROR(VALUE(LEFT(E2494,FIND("º",SUBSTITUTE(E2494,"°","º"))-1)),""))))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IF(E2495="","",IF(LEFT(E2495,7)="SUBSOLO",-1,IF(LEFT(E2495,6)="TÉRREO",0,IFERROR(VALUE(LEFT(E2495,FIND("º",SUBSTITUTE(E2495,"°","º"))-1)),""))))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IF(E2496="","",IF(LEFT(E2496,7)="SUBSOLO",-1,IF(LEFT(E2496,6)="TÉRREO",0,IFERROR(VALUE(LEFT(E2496,FIND("º",SUBSTITUTE(E2496,"°","º"))-1)),""))))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IF(E2497="","",IF(LEFT(E2497,7)="SUBSOLO",-1,IF(LEFT(E2497,6)="TÉRREO",0,IFERROR(VALUE(LEFT(E2497,FIND("º",SUBSTITUTE(E2497,"°","º"))-1)),""))))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IF(E2498="","",IF(LEFT(E2498,7)="SUBSOLO",-1,IF(LEFT(E2498,6)="TÉRREO",0,IFERROR(VALUE(LEFT(E2498,FIND("º",SUBSTITUTE(E2498,"°","º"))-1)),""))))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IF(E2499="","",IF(LEFT(E2499,7)="SUBSOLO",-1,IF(LEFT(E2499,6)="TÉRREO",0,IFERROR(VALUE(LEFT(E2499,FIND("º",SUBSTITUTE(E2499,"°","º"))-1)),""))))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IF(E2500="","",IF(LEFT(E2500,7)="SUBSOLO",-1,IF(LEFT(E2500,6)="TÉRREO",0,IFERROR(VALUE(LEFT(E2500,FIND("º",SUBSTITUTE(E2500,"°","º"))-1)),""))))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IF(E2501="","",IF(LEFT(E2501,7)="SUBSOLO",-1,IF(LEFT(E2501,6)="TÉRREO",0,IFERROR(VALUE(LEFT(E2501,FIND("º",SUBSTITUTE(E2501,"°","º"))-1)),""))))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IF(E2502="","",IF(LEFT(E2502,7)="SUBSOLO",-1,IF(LEFT(E2502,6)="TÉRREO",0,IFERROR(VALUE(LEFT(E2502,FIND("º",SUBSTITUTE(E2502,"°","º"))-1)),""))))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IF(E2503="","",IF(LEFT(E2503,7)="SUBSOLO",-1,IF(LEFT(E2503,6)="TÉRREO",0,IFERROR(VALUE(LEFT(E2503,FIND("º",SUBSTITUTE(E2503,"°","º"))-1)),""))))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IF(E2504="","",IF(LEFT(E2504,7)="SUBSOLO",-1,IF(LEFT(E2504,6)="TÉRREO",0,IFERROR(VALUE(LEFT(E2504,FIND("º",SUBSTITUTE(E2504,"°","º"))-1)),""))))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IF(E2505="","",IF(LEFT(E2505,7)="SUBSOLO",-1,IF(LEFT(E2505,6)="TÉRREO",0,IFERROR(VALUE(LEFT(E2505,FIND("º",SUBSTITUTE(E2505,"°","º"))-1)),""))))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IF(E2506="","",IF(LEFT(E2506,7)="SUBSOLO",-1,IF(LEFT(E2506,6)="TÉRREO",0,IFERROR(VALUE(LEFT(E2506,FIND("º",SUBSTITUTE(E2506,"°","º"))-1)),""))))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IF(E2507="","",IF(LEFT(E2507,7)="SUBSOLO",-1,IF(LEFT(E2507,6)="TÉRREO",0,IFERROR(VALUE(LEFT(E2507,FIND("º",SUBSTITUTE(E2507,"°","º"))-1)),""))))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IF(E2508="","",IF(LEFT(E2508,7)="SUBSOLO",-1,IF(LEFT(E2508,6)="TÉRREO",0,IFERROR(VALUE(LEFT(E2508,FIND("º",SUBSTITUTE(E2508,"°","º"))-1)),""))))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IF(E2509="","",IF(LEFT(E2509,7)="SUBSOLO",-1,IF(LEFT(E2509,6)="TÉRREO",0,IFERROR(VALUE(LEFT(E2509,FIND("º",SUBSTITUTE(E2509,"°","º"))-1)),""))))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IF(E2510="","",IF(LEFT(E2510,7)="SUBSOLO",-1,IF(LEFT(E2510,6)="TÉRREO",0,IFERROR(VALUE(LEFT(E2510,FIND("º",SUBSTITUTE(E2510,"°","º"))-1)),""))))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IF(E2511="","",IF(LEFT(E2511,7)="SUBSOLO",-1,IF(LEFT(E2511,6)="TÉRREO",0,IFERROR(VALUE(LEFT(E2511,FIND("º",SUBSTITUTE(E2511,"°","º"))-1)),""))))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IF(E2512="","",IF(LEFT(E2512,7)="SUBSOLO",-1,IF(LEFT(E2512,6)="TÉRREO",0,IFERROR(VALUE(LEFT(E2512,FIND("º",SUBSTITUTE(E2512,"°","º"))-1)),""))))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IF(E2513="","",IF(LEFT(E2513,7)="SUBSOLO",-1,IF(LEFT(E2513,6)="TÉRREO",0,IFERROR(VALUE(LEFT(E2513,FIND("º",SUBSTITUTE(E2513,"°","º"))-1)),""))))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IF(E2514="","",IF(LEFT(E2514,7)="SUBSOLO",-1,IF(LEFT(E2514,6)="TÉRREO",0,IFERROR(VALUE(LEFT(E2514,FIND("º",SUBSTITUTE(E2514,"°","º"))-1)),""))))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IF(E2515="","",IF(LEFT(E2515,7)="SUBSOLO",-1,IF(LEFT(E2515,6)="TÉRREO",0,IFERROR(VALUE(LEFT(E2515,FIND("º",SUBSTITUTE(E2515,"°","º"))-1)),""))))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IF(E2516="","",IF(LEFT(E2516,7)="SUBSOLO",-1,IF(LEFT(E2516,6)="TÉRREO",0,IFERROR(VALUE(LEFT(E2516,FIND("º",SUBSTITUTE(E2516,"°","º"))-1)),""))))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IF(E2517="","",IF(LEFT(E2517,7)="SUBSOLO",-1,IF(LEFT(E2517,6)="TÉRREO",0,IFERROR(VALUE(LEFT(E2517,FIND("º",SUBSTITUTE(E2517,"°","º"))-1)),""))))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IF(E2518="","",IF(LEFT(E2518,7)="SUBSOLO",-1,IF(LEFT(E2518,6)="TÉRREO",0,IFERROR(VALUE(LEFT(E2518,FIND("º",SUBSTITUTE(E2518,"°","º"))-1)),""))))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IF(E2519="","",IF(LEFT(E2519,7)="SUBSOLO",-1,IF(LEFT(E2519,6)="TÉRREO",0,IFERROR(VALUE(LEFT(E2519,FIND("º",SUBSTITUTE(E2519,"°","º"))-1)),""))))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IF(E2520="","",IF(LEFT(E2520,7)="SUBSOLO",-1,IF(LEFT(E2520,6)="TÉRREO",0,IFERROR(VALUE(LEFT(E2520,FIND("º",SUBSTITUTE(E2520,"°","º"))-1)),""))))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IF(E2521="","",IF(LEFT(E2521,7)="SUBSOLO",-1,IF(LEFT(E2521,6)="TÉRREO",0,IFERROR(VALUE(LEFT(E2521,FIND("º",SUBSTITUTE(E2521,"°","º"))-1)),""))))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IF(E2522="","",IF(LEFT(E2522,7)="SUBSOLO",-1,IF(LEFT(E2522,6)="TÉRREO",0,IFERROR(VALUE(LEFT(E2522,FIND("º",SUBSTITUTE(E2522,"°","º"))-1)),""))))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IF(E2523="","",IF(LEFT(E2523,7)="SUBSOLO",-1,IF(LEFT(E2523,6)="TÉRREO",0,IFERROR(VALUE(LEFT(E2523,FIND("º",SUBSTITUTE(E2523,"°","º"))-1)),""))))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IF(E2524="","",IF(LEFT(E2524,7)="SUBSOLO",-1,IF(LEFT(E2524,6)="TÉRREO",0,IFERROR(VALUE(LEFT(E2524,FIND("º",SUBSTITUTE(E2524,"°","º"))-1)),""))))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IF(E2525="","",IF(LEFT(E2525,7)="SUBSOLO",-1,IF(LEFT(E2525,6)="TÉRREO",0,IFERROR(VALUE(LEFT(E2525,FIND("º",SUBSTITUTE(E2525,"°","º"))-1)),""))))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IF(E2526="","",IF(LEFT(E2526,7)="SUBSOLO",-1,IF(LEFT(E2526,6)="TÉRREO",0,IFERROR(VALUE(LEFT(E2526,FIND("º",SUBSTITUTE(E2526,"°","º"))-1)),""))))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IF(E2527="","",IF(LEFT(E2527,7)="SUBSOLO",-1,IF(LEFT(E2527,6)="TÉRREO",0,IFERROR(VALUE(LEFT(E2527,FIND("º",SUBSTITUTE(E2527,"°","º"))-1)),""))))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IF(E2528="","",IF(LEFT(E2528,7)="SUBSOLO",-1,IF(LEFT(E2528,6)="TÉRREO",0,IFERROR(VALUE(LEFT(E2528,FIND("º",SUBSTITUTE(E2528,"°","º"))-1)),""))))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IF(E2529="","",IF(LEFT(E2529,7)="SUBSOLO",-1,IF(LEFT(E2529,6)="TÉRREO",0,IFERROR(VALUE(LEFT(E2529,FIND("º",SUBSTITUTE(E2529,"°","º"))-1)),""))))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IF(E2530="","",IF(LEFT(E2530,7)="SUBSOLO",-1,IF(LEFT(E2530,6)="TÉRREO",0,IFERROR(VALUE(LEFT(E2530,FIND("º",SUBSTITUTE(E2530,"°","º"))-1)),""))))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IF(E2531="","",IF(LEFT(E2531,7)="SUBSOLO",-1,IF(LEFT(E2531,6)="TÉRREO",0,IFERROR(VALUE(LEFT(E2531,FIND("º",SUBSTITUTE(E2531,"°","º"))-1)),""))))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IF(E2532="","",IF(LEFT(E2532,7)="SUBSOLO",-1,IF(LEFT(E2532,6)="TÉRREO",0,IFERROR(VALUE(LEFT(E2532,FIND("º",SUBSTITUTE(E2532,"°","º"))-1)),""))))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IF(E2533="","",IF(LEFT(E2533,7)="SUBSOLO",-1,IF(LEFT(E2533,6)="TÉRREO",0,IFERROR(VALUE(LEFT(E2533,FIND("º",SUBSTITUTE(E2533,"°","º"))-1)),""))))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IF(E2534="","",IF(LEFT(E2534,7)="SUBSOLO",-1,IF(LEFT(E2534,6)="TÉRREO",0,IFERROR(VALUE(LEFT(E2534,FIND("º",SUBSTITUTE(E2534,"°","º"))-1)),""))))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IF(E2535="","",IF(LEFT(E2535,7)="SUBSOLO",-1,IF(LEFT(E2535,6)="TÉRREO",0,IFERROR(VALUE(LEFT(E2535,FIND("º",SUBSTITUTE(E2535,"°","º"))-1)),""))))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IF(E2536="","",IF(LEFT(E2536,7)="SUBSOLO",-1,IF(LEFT(E2536,6)="TÉRREO",0,IFERROR(VALUE(LEFT(E2536,FIND("º",SUBSTITUTE(E2536,"°","º"))-1)),""))))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IF(E2537="","",IF(LEFT(E2537,7)="SUBSOLO",-1,IF(LEFT(E2537,6)="TÉRREO",0,IFERROR(VALUE(LEFT(E2537,FIND("º",SUBSTITUTE(E2537,"°","º"))-1)),""))))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IF(E2538="","",IF(LEFT(E2538,7)="SUBSOLO",-1,IF(LEFT(E2538,6)="TÉRREO",0,IFERROR(VALUE(LEFT(E2538,FIND("º",SUBSTITUTE(E2538,"°","º"))-1)),""))))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IF(E2539="","",IF(LEFT(E2539,7)="SUBSOLO",-1,IF(LEFT(E2539,6)="TÉRREO",0,IFERROR(VALUE(LEFT(E2539,FIND("º",SUBSTITUTE(E2539,"°","º"))-1)),""))))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IF(E2540="","",IF(LEFT(E2540,7)="SUBSOLO",-1,IF(LEFT(E2540,6)="TÉRREO",0,IFERROR(VALUE(LEFT(E2540,FIND("º",SUBSTITUTE(E2540,"°","º"))-1)),""))))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IF(E2541="","",IF(LEFT(E2541,7)="SUBSOLO",-1,IF(LEFT(E2541,6)="TÉRREO",0,IFERROR(VALUE(LEFT(E2541,FIND("º",SUBSTITUTE(E2541,"°","º"))-1)),""))))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IF(E2542="","",IF(LEFT(E2542,7)="SUBSOLO",-1,IF(LEFT(E2542,6)="TÉRREO",0,IFERROR(VALUE(LEFT(E2542,FIND("º",SUBSTITUTE(E2542,"°","º"))-1)),""))))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IF(E2543="","",IF(LEFT(E2543,7)="SUBSOLO",-1,IF(LEFT(E2543,6)="TÉRREO",0,IFERROR(VALUE(LEFT(E2543,FIND("º",SUBSTITUTE(E2543,"°","º"))-1)),""))))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IF(E2544="","",IF(LEFT(E2544,7)="SUBSOLO",-1,IF(LEFT(E2544,6)="TÉRREO",0,IFERROR(VALUE(LEFT(E2544,FIND("º",SUBSTITUTE(E2544,"°","º"))-1)),""))))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IF(E2545="","",IF(LEFT(E2545,7)="SUBSOLO",-1,IF(LEFT(E2545,6)="TÉRREO",0,IFERROR(VALUE(LEFT(E2545,FIND("º",SUBSTITUTE(E2545,"°","º"))-1)),""))))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IF(E2546="","",IF(LEFT(E2546,7)="SUBSOLO",-1,IF(LEFT(E2546,6)="TÉRREO",0,IFERROR(VALUE(LEFT(E2546,FIND("º",SUBSTITUTE(E2546,"°","º"))-1)),""))))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IF(E2547="","",IF(LEFT(E2547,7)="SUBSOLO",-1,IF(LEFT(E2547,6)="TÉRREO",0,IFERROR(VALUE(LEFT(E2547,FIND("º",SUBSTITUTE(E2547,"°","º"))-1)),""))))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IF(E2548="","",IF(LEFT(E2548,7)="SUBSOLO",-1,IF(LEFT(E2548,6)="TÉRREO",0,IFERROR(VALUE(LEFT(E2548,FIND("º",SUBSTITUTE(E2548,"°","º"))-1)),""))))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IF(E2549="","",IF(LEFT(E2549,7)="SUBSOLO",-1,IF(LEFT(E2549,6)="TÉRREO",0,IFERROR(VALUE(LEFT(E2549,FIND("º",SUBSTITUTE(E2549,"°","º"))-1)),""))))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IF(E2550="","",IF(LEFT(E2550,7)="SUBSOLO",-1,IF(LEFT(E2550,6)="TÉRREO",0,IFERROR(VALUE(LEFT(E2550,FIND("º",SUBSTITUTE(E2550,"°","º"))-1)),""))))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IF(E2551="","",IF(LEFT(E2551,7)="SUBSOLO",-1,IF(LEFT(E2551,6)="TÉRREO",0,IFERROR(VALUE(LEFT(E2551,FIND("º",SUBSTITUTE(E2551,"°","º"))-1)),""))))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IF(E2552="","",IF(LEFT(E2552,7)="SUBSOLO",-1,IF(LEFT(E2552,6)="TÉRREO",0,IFERROR(VALUE(LEFT(E2552,FIND("º",SUBSTITUTE(E2552,"°","º"))-1)),""))))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IF(E2553="","",IF(LEFT(E2553,7)="SUBSOLO",-1,IF(LEFT(E2553,6)="TÉRREO",0,IFERROR(VALUE(LEFT(E2553,FIND("º",SUBSTITUTE(E2553,"°","º"))-1)),""))))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IF(E2554="","",IF(LEFT(E2554,7)="SUBSOLO",-1,IF(LEFT(E2554,6)="TÉRREO",0,IFERROR(VALUE(LEFT(E2554,FIND("º",SUBSTITUTE(E2554,"°","º"))-1)),""))))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IF(E2555="","",IF(LEFT(E2555,7)="SUBSOLO",-1,IF(LEFT(E2555,6)="TÉRREO",0,IFERROR(VALUE(LEFT(E2555,FIND("º",SUBSTITUTE(E2555,"°","º"))-1)),""))))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IF(E2556="","",IF(LEFT(E2556,7)="SUBSOLO",-1,IF(LEFT(E2556,6)="TÉRREO",0,IFERROR(VALUE(LEFT(E2556,FIND("º",SUBSTITUTE(E2556,"°","º"))-1)),""))))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IF(E2557="","",IF(LEFT(E2557,7)="SUBSOLO",-1,IF(LEFT(E2557,6)="TÉRREO",0,IFERROR(VALUE(LEFT(E2557,FIND("º",SUBSTITUTE(E2557,"°","º"))-1)),""))))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IF(E2558="","",IF(LEFT(E2558,7)="SUBSOLO",-1,IF(LEFT(E2558,6)="TÉRREO",0,IFERROR(VALUE(LEFT(E2558,FIND("º",SUBSTITUTE(E2558,"°","º"))-1)),""))))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IF(E2559="","",IF(LEFT(E2559,7)="SUBSOLO",-1,IF(LEFT(E2559,6)="TÉRREO",0,IFERROR(VALUE(LEFT(E2559,FIND("º",SUBSTITUTE(E2559,"°","º"))-1)),""))))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IF(E2560="","",IF(LEFT(E2560,7)="SUBSOLO",-1,IF(LEFT(E2560,6)="TÉRREO",0,IFERROR(VALUE(LEFT(E2560,FIND("º",SUBSTITUTE(E2560,"°","º"))-1)),""))))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IF(E2561="","",IF(LEFT(E2561,7)="SUBSOLO",-1,IF(LEFT(E2561,6)="TÉRREO",0,IFERROR(VALUE(LEFT(E2561,FIND("º",SUBSTITUTE(E2561,"°","º"))-1)),""))))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IF(E2562="","",IF(LEFT(E2562,7)="SUBSOLO",-1,IF(LEFT(E2562,6)="TÉRREO",0,IFERROR(VALUE(LEFT(E2562,FIND("º",SUBSTITUTE(E2562,"°","º"))-1)),""))))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IF(E2563="","",IF(LEFT(E2563,7)="SUBSOLO",-1,IF(LEFT(E2563,6)="TÉRREO",0,IFERROR(VALUE(LEFT(E2563,FIND("º",SUBSTITUTE(E2563,"°","º"))-1)),""))))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IF(E2564="","",IF(LEFT(E2564,7)="SUBSOLO",-1,IF(LEFT(E2564,6)="TÉRREO",0,IFERROR(VALUE(LEFT(E2564,FIND("º",SUBSTITUTE(E2564,"°","º"))-1)),""))))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IF(E2565="","",IF(LEFT(E2565,7)="SUBSOLO",-1,IF(LEFT(E2565,6)="TÉRREO",0,IFERROR(VALUE(LEFT(E2565,FIND("º",SUBSTITUTE(E2565,"°","º"))-1)),""))))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IF(E2566="","",IF(LEFT(E2566,7)="SUBSOLO",-1,IF(LEFT(E2566,6)="TÉRREO",0,IFERROR(VALUE(LEFT(E2566,FIND("º",SUBSTITUTE(E2566,"°","º"))-1)),""))))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IF(E2567="","",IF(LEFT(E2567,7)="SUBSOLO",-1,IF(LEFT(E2567,6)="TÉRREO",0,IFERROR(VALUE(LEFT(E2567,FIND("º",SUBSTITUTE(E2567,"°","º"))-1)),""))))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IF(E2568="","",IF(LEFT(E2568,7)="SUBSOLO",-1,IF(LEFT(E2568,6)="TÉRREO",0,IFERROR(VALUE(LEFT(E2568,FIND("º",SUBSTITUTE(E2568,"°","º"))-1)),""))))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IF(E2569="","",IF(LEFT(E2569,7)="SUBSOLO",-1,IF(LEFT(E2569,6)="TÉRREO",0,IFERROR(VALUE(LEFT(E2569,FIND("º",SUBSTITUTE(E2569,"°","º"))-1)),""))))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IF(E2570="","",IF(LEFT(E2570,7)="SUBSOLO",-1,IF(LEFT(E2570,6)="TÉRREO",0,IFERROR(VALUE(LEFT(E2570,FIND("º",SUBSTITUTE(E2570,"°","º"))-1)),""))))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IF(E2571="","",IF(LEFT(E2571,7)="SUBSOLO",-1,IF(LEFT(E2571,6)="TÉRREO",0,IFERROR(VALUE(LEFT(E2571,FIND("º",SUBSTITUTE(E2571,"°","º"))-1)),""))))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IF(E2572="","",IF(LEFT(E2572,7)="SUBSOLO",-1,IF(LEFT(E2572,6)="TÉRREO",0,IFERROR(VALUE(LEFT(E2572,FIND("º",SUBSTITUTE(E2572,"°","º"))-1)),""))))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IF(E2573="","",IF(LEFT(E2573,7)="SUBSOLO",-1,IF(LEFT(E2573,6)="TÉRREO",0,IFERROR(VALUE(LEFT(E2573,FIND("º",SUBSTITUTE(E2573,"°","º"))-1)),""))))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IF(E2574="","",IF(LEFT(E2574,7)="SUBSOLO",-1,IF(LEFT(E2574,6)="TÉRREO",0,IFERROR(VALUE(LEFT(E2574,FIND("º",SUBSTITUTE(E2574,"°","º"))-1)),""))))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IF(E2575="","",IF(LEFT(E2575,7)="SUBSOLO",-1,IF(LEFT(E2575,6)="TÉRREO",0,IFERROR(VALUE(LEFT(E2575,FIND("º",SUBSTITUTE(E2575,"°","º"))-1)),""))))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IF(E2576="","",IF(LEFT(E2576,7)="SUBSOLO",-1,IF(LEFT(E2576,6)="TÉRREO",0,IFERROR(VALUE(LEFT(E2576,FIND("º",SUBSTITUTE(E2576,"°","º"))-1)),""))))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IF(E2577="","",IF(LEFT(E2577,7)="SUBSOLO",-1,IF(LEFT(E2577,6)="TÉRREO",0,IFERROR(VALUE(LEFT(E2577,FIND("º",SUBSTITUTE(E2577,"°","º"))-1)),""))))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IF(E2578="","",IF(LEFT(E2578,7)="SUBSOLO",-1,IF(LEFT(E2578,6)="TÉRREO",0,IFERROR(VALUE(LEFT(E2578,FIND("º",SUBSTITUTE(E2578,"°","º"))-1)),""))))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IF(E2579="","",IF(LEFT(E2579,7)="SUBSOLO",-1,IF(LEFT(E2579,6)="TÉRREO",0,IFERROR(VALUE(LEFT(E2579,FIND("º",SUBSTITUTE(E2579,"°","º"))-1)),""))))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IF(E2580="","",IF(LEFT(E2580,7)="SUBSOLO",-1,IF(LEFT(E2580,6)="TÉRREO",0,IFERROR(VALUE(LEFT(E2580,FIND("º",SUBSTITUTE(E2580,"°","º"))-1)),""))))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IF(E2581="","",IF(LEFT(E2581,7)="SUBSOLO",-1,IF(LEFT(E2581,6)="TÉRREO",0,IFERROR(VALUE(LEFT(E2581,FIND("º",SUBSTITUTE(E2581,"°","º"))-1)),""))))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IF(E2582="","",IF(LEFT(E2582,7)="SUBSOLO",-1,IF(LEFT(E2582,6)="TÉRREO",0,IFERROR(VALUE(LEFT(E2582,FIND("º",SUBSTITUTE(E2582,"°","º"))-1)),""))))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IF(E2583="","",IF(LEFT(E2583,7)="SUBSOLO",-1,IF(LEFT(E2583,6)="TÉRREO",0,IFERROR(VALUE(LEFT(E2583,FIND("º",SUBSTITUTE(E2583,"°","º"))-1)),""))))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IF(E2584="","",IF(LEFT(E2584,7)="SUBSOLO",-1,IF(LEFT(E2584,6)="TÉRREO",0,IFERROR(VALUE(LEFT(E2584,FIND("º",SUBSTITUTE(E2584,"°","º"))-1)),""))))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IF(E2585="","",IF(LEFT(E2585,7)="SUBSOLO",-1,IF(LEFT(E2585,6)="TÉRREO",0,IFERROR(VALUE(LEFT(E2585,FIND("º",SUBSTITUTE(E2585,"°","º"))-1)),""))))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IF(E2586="","",IF(LEFT(E2586,7)="SUBSOLO",-1,IF(LEFT(E2586,6)="TÉRREO",0,IFERROR(VALUE(LEFT(E2586,FIND("º",SUBSTITUTE(E2586,"°","º"))-1)),""))))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IF(E2587="","",IF(LEFT(E2587,7)="SUBSOLO",-1,IF(LEFT(E2587,6)="TÉRREO",0,IFERROR(VALUE(LEFT(E2587,FIND("º",SUBSTITUTE(E2587,"°","º"))-1)),""))))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IF(E2588="","",IF(LEFT(E2588,7)="SUBSOLO",-1,IF(LEFT(E2588,6)="TÉRREO",0,IFERROR(VALUE(LEFT(E2588,FIND("º",SUBSTITUTE(E2588,"°","º"))-1)),""))))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IF(E2589="","",IF(LEFT(E2589,7)="SUBSOLO",-1,IF(LEFT(E2589,6)="TÉRREO",0,IFERROR(VALUE(LEFT(E2589,FIND("º",SUBSTITUTE(E2589,"°","º"))-1)),""))))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IF(E2590="","",IF(LEFT(E2590,7)="SUBSOLO",-1,IF(LEFT(E2590,6)="TÉRREO",0,IFERROR(VALUE(LEFT(E2590,FIND("º",SUBSTITUTE(E2590,"°","º"))-1)),""))))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IF(E2591="","",IF(LEFT(E2591,7)="SUBSOLO",-1,IF(LEFT(E2591,6)="TÉRREO",0,IFERROR(VALUE(LEFT(E2591,FIND("º",SUBSTITUTE(E2591,"°","º"))-1)),""))))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IF(E2592="","",IF(LEFT(E2592,7)="SUBSOLO",-1,IF(LEFT(E2592,6)="TÉRREO",0,IFERROR(VALUE(LEFT(E2592,FIND("º",SUBSTITUTE(E2592,"°","º"))-1)),""))))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IF(E2593="","",IF(LEFT(E2593,7)="SUBSOLO",-1,IF(LEFT(E2593,6)="TÉRREO",0,IFERROR(VALUE(LEFT(E2593,FIND("º",SUBSTITUTE(E2593,"°","º"))-1)),""))))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IF(E2594="","",IF(LEFT(E2594,7)="SUBSOLO",-1,IF(LEFT(E2594,6)="TÉRREO",0,IFERROR(VALUE(LEFT(E2594,FIND("º",SUBSTITUTE(E2594,"°","º"))-1)),""))))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IF(E2595="","",IF(LEFT(E2595,7)="SUBSOLO",-1,IF(LEFT(E2595,6)="TÉRREO",0,IFERROR(VALUE(LEFT(E2595,FIND("º",SUBSTITUTE(E2595,"°","º"))-1)),""))))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IF(E2596="","",IF(LEFT(E2596,7)="SUBSOLO",-1,IF(LEFT(E2596,6)="TÉRREO",0,IFERROR(VALUE(LEFT(E2596,FIND("º",SUBSTITUTE(E2596,"°","º"))-1)),""))))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IF(E2597="","",IF(LEFT(E2597,7)="SUBSOLO",-1,IF(LEFT(E2597,6)="TÉRREO",0,IFERROR(VALUE(LEFT(E2597,FIND("º",SUBSTITUTE(E2597,"°","º"))-1)),""))))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IF(E2598="","",IF(LEFT(E2598,7)="SUBSOLO",-1,IF(LEFT(E2598,6)="TÉRREO",0,IFERROR(VALUE(LEFT(E2598,FIND("º",SUBSTITUTE(E2598,"°","º"))-1)),""))))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IF(E2599="","",IF(LEFT(E2599,7)="SUBSOLO",-1,IF(LEFT(E2599,6)="TÉRREO",0,IFERROR(VALUE(LEFT(E2599,FIND("º",SUBSTITUTE(E2599,"°","º"))-1)),""))))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IF(E2600="","",IF(LEFT(E2600,7)="SUBSOLO",-1,IF(LEFT(E2600,6)="TÉRREO",0,IFERROR(VALUE(LEFT(E2600,FIND("º",SUBSTITUTE(E2600,"°","º"))-1)),""))))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IF(E2601="","",IF(LEFT(E2601,7)="SUBSOLO",-1,IF(LEFT(E2601,6)="TÉRREO",0,IFERROR(VALUE(LEFT(E2601,FIND("º",SUBSTITUTE(E2601,"°","º"))-1)),""))))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IF(E2602="","",IF(LEFT(E2602,7)="SUBSOLO",-1,IF(LEFT(E2602,6)="TÉRREO",0,IFERROR(VALUE(LEFT(E2602,FIND("º",SUBSTITUTE(E2602,"°","º"))-1)),""))))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IF(E2603="","",IF(LEFT(E2603,7)="SUBSOLO",-1,IF(LEFT(E2603,6)="TÉRREO",0,IFERROR(VALUE(LEFT(E2603,FIND("º",SUBSTITUTE(E2603,"°","º"))-1)),""))))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IF(E2604="","",IF(LEFT(E2604,7)="SUBSOLO",-1,IF(LEFT(E2604,6)="TÉRREO",0,IFERROR(VALUE(LEFT(E2604,FIND("º",SUBSTITUTE(E2604,"°","º"))-1)),""))))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IF(E2605="","",IF(LEFT(E2605,7)="SUBSOLO",-1,IF(LEFT(E2605,6)="TÉRREO",0,IFERROR(VALUE(LEFT(E2605,FIND("º",SUBSTITUTE(E2605,"°","º"))-1)),""))))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IF(E2606="","",IF(LEFT(E2606,7)="SUBSOLO",-1,IF(LEFT(E2606,6)="TÉRREO",0,IFERROR(VALUE(LEFT(E2606,FIND("º",SUBSTITUTE(E2606,"°","º"))-1)),""))))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IF(E2607="","",IF(LEFT(E2607,7)="SUBSOLO",-1,IF(LEFT(E2607,6)="TÉRREO",0,IFERROR(VALUE(LEFT(E2607,FIND("º",SUBSTITUTE(E2607,"°","º"))-1)),""))))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IF(E2608="","",IF(LEFT(E2608,7)="SUBSOLO",-1,IF(LEFT(E2608,6)="TÉRREO",0,IFERROR(VALUE(LEFT(E2608,FIND("º",SUBSTITUTE(E2608,"°","º"))-1)),""))))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IF(E2609="","",IF(LEFT(E2609,7)="SUBSOLO",-1,IF(LEFT(E2609,6)="TÉRREO",0,IFERROR(VALUE(LEFT(E2609,FIND("º",SUBSTITUTE(E2609,"°","º"))-1)),""))))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IF(E2610="","",IF(LEFT(E2610,7)="SUBSOLO",-1,IF(LEFT(E2610,6)="TÉRREO",0,IFERROR(VALUE(LEFT(E2610,FIND("º",SUBSTITUTE(E2610,"°","º"))-1)),""))))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IF(E2611="","",IF(LEFT(E2611,7)="SUBSOLO",-1,IF(LEFT(E2611,6)="TÉRREO",0,IFERROR(VALUE(LEFT(E2611,FIND("º",SUBSTITUTE(E2611,"°","º"))-1)),""))))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IF(E2612="","",IF(LEFT(E2612,7)="SUBSOLO",-1,IF(LEFT(E2612,6)="TÉRREO",0,IFERROR(VALUE(LEFT(E2612,FIND("º",SUBSTITUTE(E2612,"°","º"))-1)),""))))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IF(E2613="","",IF(LEFT(E2613,7)="SUBSOLO",-1,IF(LEFT(E2613,6)="TÉRREO",0,IFERROR(VALUE(LEFT(E2613,FIND("º",SUBSTITUTE(E2613,"°","º"))-1)),""))))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IF(E2614="","",IF(LEFT(E2614,7)="SUBSOLO",-1,IF(LEFT(E2614,6)="TÉRREO",0,IFERROR(VALUE(LEFT(E2614,FIND("º",SUBSTITUTE(E2614,"°","º"))-1)),""))))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IF(E2615="","",IF(LEFT(E2615,7)="SUBSOLO",-1,IF(LEFT(E2615,6)="TÉRREO",0,IFERROR(VALUE(LEFT(E2615,FIND("º",SUBSTITUTE(E2615,"°","º"))-1)),""))))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IF(E2616="","",IF(LEFT(E2616,7)="SUBSOLO",-1,IF(LEFT(E2616,6)="TÉRREO",0,IFERROR(VALUE(LEFT(E2616,FIND("º",SUBSTITUTE(E2616,"°","º"))-1)),""))))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IF(E2617="","",IF(LEFT(E2617,7)="SUBSOLO",-1,IF(LEFT(E2617,6)="TÉRREO",0,IFERROR(VALUE(LEFT(E2617,FIND("º",SUBSTITUTE(E2617,"°","º"))-1)),""))))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IF(E2618="","",IF(LEFT(E2618,7)="SUBSOLO",-1,IF(LEFT(E2618,6)="TÉRREO",0,IFERROR(VALUE(LEFT(E2618,FIND("º",SUBSTITUTE(E2618,"°","º"))-1)),""))))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IF(E2619="","",IF(LEFT(E2619,7)="SUBSOLO",-1,IF(LEFT(E2619,6)="TÉRREO",0,IFERROR(VALUE(LEFT(E2619,FIND("º",SUBSTITUTE(E2619,"°","º"))-1)),""))))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IF(E2620="","",IF(LEFT(E2620,7)="SUBSOLO",-1,IF(LEFT(E2620,6)="TÉRREO",0,IFERROR(VALUE(LEFT(E2620,FIND("º",SUBSTITUTE(E2620,"°","º"))-1)),""))))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IF(E2621="","",IF(LEFT(E2621,7)="SUBSOLO",-1,IF(LEFT(E2621,6)="TÉRREO",0,IFERROR(VALUE(LEFT(E2621,FIND("º",SUBSTITUTE(E2621,"°","º"))-1)),""))))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IF(E2622="","",IF(LEFT(E2622,7)="SUBSOLO",-1,IF(LEFT(E2622,6)="TÉRREO",0,IFERROR(VALUE(LEFT(E2622,FIND("º",SUBSTITUTE(E2622,"°","º"))-1)),""))))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IF(E2623="","",IF(LEFT(E2623,7)="SUBSOLO",-1,IF(LEFT(E2623,6)="TÉRREO",0,IFERROR(VALUE(LEFT(E2623,FIND("º",SUBSTITUTE(E2623,"°","º"))-1)),""))))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IF(E2624="","",IF(LEFT(E2624,7)="SUBSOLO",-1,IF(LEFT(E2624,6)="TÉRREO",0,IFERROR(VALUE(LEFT(E2624,FIND("º",SUBSTITUTE(E2624,"°","º"))-1)),""))))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IF(E2625="","",IF(LEFT(E2625,7)="SUBSOLO",-1,IF(LEFT(E2625,6)="TÉRREO",0,IFERROR(VALUE(LEFT(E2625,FIND("º",SUBSTITUTE(E2625,"°","º"))-1)),""))))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IF(E2626="","",IF(LEFT(E2626,7)="SUBSOLO",-1,IF(LEFT(E2626,6)="TÉRREO",0,IFERROR(VALUE(LEFT(E2626,FIND("º",SUBSTITUTE(E2626,"°","º"))-1)),""))))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IF(E2627="","",IF(LEFT(E2627,7)="SUBSOLO",-1,IF(LEFT(E2627,6)="TÉRREO",0,IFERROR(VALUE(LEFT(E2627,FIND("º",SUBSTITUTE(E2627,"°","º"))-1)),""))))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IF(E2628="","",IF(LEFT(E2628,7)="SUBSOLO",-1,IF(LEFT(E2628,6)="TÉRREO",0,IFERROR(VALUE(LEFT(E2628,FIND("º",SUBSTITUTE(E2628,"°","º"))-1)),""))))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IF(E2629="","",IF(LEFT(E2629,7)="SUBSOLO",-1,IF(LEFT(E2629,6)="TÉRREO",0,IFERROR(VALUE(LEFT(E2629,FIND("º",SUBSTITUTE(E2629,"°","º"))-1)),""))))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IF(E2630="","",IF(LEFT(E2630,7)="SUBSOLO",-1,IF(LEFT(E2630,6)="TÉRREO",0,IFERROR(VALUE(LEFT(E2630,FIND("º",SUBSTITUTE(E2630,"°","º"))-1)),""))))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IF(E2631="","",IF(LEFT(E2631,7)="SUBSOLO",-1,IF(LEFT(E2631,6)="TÉRREO",0,IFERROR(VALUE(LEFT(E2631,FIND("º",SUBSTITUTE(E2631,"°","º"))-1)),""))))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IF(E2632="","",IF(LEFT(E2632,7)="SUBSOLO",-1,IF(LEFT(E2632,6)="TÉRREO",0,IFERROR(VALUE(LEFT(E2632,FIND("º",SUBSTITUTE(E2632,"°","º"))-1)),""))))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IF(E2633="","",IF(LEFT(E2633,7)="SUBSOLO",-1,IF(LEFT(E2633,6)="TÉRREO",0,IFERROR(VALUE(LEFT(E2633,FIND("º",SUBSTITUTE(E2633,"°","º"))-1)),""))))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IF(E2634="","",IF(LEFT(E2634,7)="SUBSOLO",-1,IF(LEFT(E2634,6)="TÉRREO",0,IFERROR(VALUE(LEFT(E2634,FIND("º",SUBSTITUTE(E2634,"°","º"))-1)),""))))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IF(E2635="","",IF(LEFT(E2635,7)="SUBSOLO",-1,IF(LEFT(E2635,6)="TÉRREO",0,IFERROR(VALUE(LEFT(E2635,FIND("º",SUBSTITUTE(E2635,"°","º"))-1)),""))))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IF(E2636="","",IF(LEFT(E2636,7)="SUBSOLO",-1,IF(LEFT(E2636,6)="TÉRREO",0,IFERROR(VALUE(LEFT(E2636,FIND("º",SUBSTITUTE(E2636,"°","º"))-1)),""))))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IF(E2637="","",IF(LEFT(E2637,7)="SUBSOLO",-1,IF(LEFT(E2637,6)="TÉRREO",0,IFERROR(VALUE(LEFT(E2637,FIND("º",SUBSTITUTE(E2637,"°","º"))-1)),""))))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IF(E2638="","",IF(LEFT(E2638,7)="SUBSOLO",-1,IF(LEFT(E2638,6)="TÉRREO",0,IFERROR(VALUE(LEFT(E2638,FIND("º",SUBSTITUTE(E2638,"°","º"))-1)),""))))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IF(E2639="","",IF(LEFT(E2639,7)="SUBSOLO",-1,IF(LEFT(E2639,6)="TÉRREO",0,IFERROR(VALUE(LEFT(E2639,FIND("º",SUBSTITUTE(E2639,"°","º"))-1)),""))))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IF(E2640="","",IF(LEFT(E2640,7)="SUBSOLO",-1,IF(LEFT(E2640,6)="TÉRREO",0,IFERROR(VALUE(LEFT(E2640,FIND("º",SUBSTITUTE(E2640,"°","º"))-1)),""))))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IF(E2641="","",IF(LEFT(E2641,7)="SUBSOLO",-1,IF(LEFT(E2641,6)="TÉRREO",0,IFERROR(VALUE(LEFT(E2641,FIND("º",SUBSTITUTE(E2641,"°","º"))-1)),""))))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IF(E2642="","",IF(LEFT(E2642,7)="SUBSOLO",-1,IF(LEFT(E2642,6)="TÉRREO",0,IFERROR(VALUE(LEFT(E2642,FIND("º",SUBSTITUTE(E2642,"°","º"))-1)),""))))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IF(E2643="","",IF(LEFT(E2643,7)="SUBSOLO",-1,IF(LEFT(E2643,6)="TÉRREO",0,IFERROR(VALUE(LEFT(E2643,FIND("º",SUBSTITUTE(E2643,"°","º"))-1)),""))))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IF(E2644="","",IF(LEFT(E2644,7)="SUBSOLO",-1,IF(LEFT(E2644,6)="TÉRREO",0,IFERROR(VALUE(LEFT(E2644,FIND("º",SUBSTITUTE(E2644,"°","º"))-1)),""))))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IF(E2645="","",IF(LEFT(E2645,7)="SUBSOLO",-1,IF(LEFT(E2645,6)="TÉRREO",0,IFERROR(VALUE(LEFT(E2645,FIND("º",SUBSTITUTE(E2645,"°","º"))-1)),""))))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IF(E2646="","",IF(LEFT(E2646,7)="SUBSOLO",-1,IF(LEFT(E2646,6)="TÉRREO",0,IFERROR(VALUE(LEFT(E2646,FIND("º",SUBSTITUTE(E2646,"°","º"))-1)),""))))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IF(E2647="","",IF(LEFT(E2647,7)="SUBSOLO",-1,IF(LEFT(E2647,6)="TÉRREO",0,IFERROR(VALUE(LEFT(E2647,FIND("º",SUBSTITUTE(E2647,"°","º"))-1)),""))))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IF(E2648="","",IF(LEFT(E2648,7)="SUBSOLO",-1,IF(LEFT(E2648,6)="TÉRREO",0,IFERROR(VALUE(LEFT(E2648,FIND("º",SUBSTITUTE(E2648,"°","º"))-1)),""))))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IF(E2649="","",IF(LEFT(E2649,7)="SUBSOLO",-1,IF(LEFT(E2649,6)="TÉRREO",0,IFERROR(VALUE(LEFT(E2649,FIND("º",SUBSTITUTE(E2649,"°","º"))-1)),""))))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IF(E2650="","",IF(LEFT(E2650,7)="SUBSOLO",-1,IF(LEFT(E2650,6)="TÉRREO",0,IFERROR(VALUE(LEFT(E2650,FIND("º",SUBSTITUTE(E2650,"°","º"))-1)),""))))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IF(E2651="","",IF(LEFT(E2651,7)="SUBSOLO",-1,IF(LEFT(E2651,6)="TÉRREO",0,IFERROR(VALUE(LEFT(E2651,FIND("º",SUBSTITUTE(E2651,"°","º"))-1)),""))))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IF(E2652="","",IF(LEFT(E2652,7)="SUBSOLO",-1,IF(LEFT(E2652,6)="TÉRREO",0,IFERROR(VALUE(LEFT(E2652,FIND("º",SUBSTITUTE(E2652,"°","º"))-1)),""))))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IF(E2653="","",IF(LEFT(E2653,7)="SUBSOLO",-1,IF(LEFT(E2653,6)="TÉRREO",0,IFERROR(VALUE(LEFT(E2653,FIND("º",SUBSTITUTE(E2653,"°","º"))-1)),""))))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IF(E2654="","",IF(LEFT(E2654,7)="SUBSOLO",-1,IF(LEFT(E2654,6)="TÉRREO",0,IFERROR(VALUE(LEFT(E2654,FIND("º",SUBSTITUTE(E2654,"°","º"))-1)),""))))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IF(E2655="","",IF(LEFT(E2655,7)="SUBSOLO",-1,IF(LEFT(E2655,6)="TÉRREO",0,IFERROR(VALUE(LEFT(E2655,FIND("º",SUBSTITUTE(E2655,"°","º"))-1)),""))))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IF(E2656="","",IF(LEFT(E2656,7)="SUBSOLO",-1,IF(LEFT(E2656,6)="TÉRREO",0,IFERROR(VALUE(LEFT(E2656,FIND("º",SUBSTITUTE(E2656,"°","º"))-1)),""))))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IF(E2657="","",IF(LEFT(E2657,7)="SUBSOLO",-1,IF(LEFT(E2657,6)="TÉRREO",0,IFERROR(VALUE(LEFT(E2657,FIND("º",SUBSTITUTE(E2657,"°","º"))-1)),""))))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IF(E2658="","",IF(LEFT(E2658,7)="SUBSOLO",-1,IF(LEFT(E2658,6)="TÉRREO",0,IFERROR(VALUE(LEFT(E2658,FIND("º",SUBSTITUTE(E2658,"°","º"))-1)),""))))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IF(E2659="","",IF(LEFT(E2659,7)="SUBSOLO",-1,IF(LEFT(E2659,6)="TÉRREO",0,IFERROR(VALUE(LEFT(E2659,FIND("º",SUBSTITUTE(E2659,"°","º"))-1)),""))))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IF(E2660="","",IF(LEFT(E2660,7)="SUBSOLO",-1,IF(LEFT(E2660,6)="TÉRREO",0,IFERROR(VALUE(LEFT(E2660,FIND("º",SUBSTITUTE(E2660,"°","º"))-1)),""))))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IF(E2661="","",IF(LEFT(E2661,7)="SUBSOLO",-1,IF(LEFT(E2661,6)="TÉRREO",0,IFERROR(VALUE(LEFT(E2661,FIND("º",SUBSTITUTE(E2661,"°","º"))-1)),""))))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IF(E2662="","",IF(LEFT(E2662,7)="SUBSOLO",-1,IF(LEFT(E2662,6)="TÉRREO",0,IFERROR(VALUE(LEFT(E2662,FIND("º",SUBSTITUTE(E2662,"°","º"))-1)),""))))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IF(E2663="","",IF(LEFT(E2663,7)="SUBSOLO",-1,IF(LEFT(E2663,6)="TÉRREO",0,IFERROR(VALUE(LEFT(E2663,FIND("º",SUBSTITUTE(E2663,"°","º"))-1)),""))))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IF(E2664="","",IF(LEFT(E2664,7)="SUBSOLO",-1,IF(LEFT(E2664,6)="TÉRREO",0,IFERROR(VALUE(LEFT(E2664,FIND("º",SUBSTITUTE(E2664,"°","º"))-1)),""))))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IF(E2665="","",IF(LEFT(E2665,7)="SUBSOLO",-1,IF(LEFT(E2665,6)="TÉRREO",0,IFERROR(VALUE(LEFT(E2665,FIND("º",SUBSTITUTE(E2665,"°","º"))-1)),""))))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IF(E2666="","",IF(LEFT(E2666,7)="SUBSOLO",-1,IF(LEFT(E2666,6)="TÉRREO",0,IFERROR(VALUE(LEFT(E2666,FIND("º",SUBSTITUTE(E2666,"°","º"))-1)),""))))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IF(E2667="","",IF(LEFT(E2667,7)="SUBSOLO",-1,IF(LEFT(E2667,6)="TÉRREO",0,IFERROR(VALUE(LEFT(E2667,FIND("º",SUBSTITUTE(E2667,"°","º"))-1)),""))))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IF(E2668="","",IF(LEFT(E2668,7)="SUBSOLO",-1,IF(LEFT(E2668,6)="TÉRREO",0,IFERROR(VALUE(LEFT(E2668,FIND("º",SUBSTITUTE(E2668,"°","º"))-1)),""))))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IF(E2669="","",IF(LEFT(E2669,7)="SUBSOLO",-1,IF(LEFT(E2669,6)="TÉRREO",0,IFERROR(VALUE(LEFT(E2669,FIND("º",SUBSTITUTE(E2669,"°","º"))-1)),""))))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IF(E2670="","",IF(LEFT(E2670,7)="SUBSOLO",-1,IF(LEFT(E2670,6)="TÉRREO",0,IFERROR(VALUE(LEFT(E2670,FIND("º",SUBSTITUTE(E2670,"°","º"))-1)),""))))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IF(E2671="","",IF(LEFT(E2671,7)="SUBSOLO",-1,IF(LEFT(E2671,6)="TÉRREO",0,IFERROR(VALUE(LEFT(E2671,FIND("º",SUBSTITUTE(E2671,"°","º"))-1)),""))))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IF(E2672="","",IF(LEFT(E2672,7)="SUBSOLO",-1,IF(LEFT(E2672,6)="TÉRREO",0,IFERROR(VALUE(LEFT(E2672,FIND("º",SUBSTITUTE(E2672,"°","º"))-1)),""))))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IF(E2673="","",IF(LEFT(E2673,7)="SUBSOLO",-1,IF(LEFT(E2673,6)="TÉRREO",0,IFERROR(VALUE(LEFT(E2673,FIND("º",SUBSTITUTE(E2673,"°","º"))-1)),""))))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IF(E2674="","",IF(LEFT(E2674,7)="SUBSOLO",-1,IF(LEFT(E2674,6)="TÉRREO",0,IFERROR(VALUE(LEFT(E2674,FIND("º",SUBSTITUTE(E2674,"°","º"))-1)),""))))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IF(E2675="","",IF(LEFT(E2675,7)="SUBSOLO",-1,IF(LEFT(E2675,6)="TÉRREO",0,IFERROR(VALUE(LEFT(E2675,FIND("º",SUBSTITUTE(E2675,"°","º"))-1)),""))))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IF(E2676="","",IF(LEFT(E2676,7)="SUBSOLO",-1,IF(LEFT(E2676,6)="TÉRREO",0,IFERROR(VALUE(LEFT(E2676,FIND("º",SUBSTITUTE(E2676,"°","º"))-1)),""))))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IF(E2677="","",IF(LEFT(E2677,7)="SUBSOLO",-1,IF(LEFT(E2677,6)="TÉRREO",0,IFERROR(VALUE(LEFT(E2677,FIND("º",SUBSTITUTE(E2677,"°","º"))-1)),""))))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IF(E2678="","",IF(LEFT(E2678,7)="SUBSOLO",-1,IF(LEFT(E2678,6)="TÉRREO",0,IFERROR(VALUE(LEFT(E2678,FIND("º",SUBSTITUTE(E2678,"°","º"))-1)),""))))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IF(E2679="","",IF(LEFT(E2679,7)="SUBSOLO",-1,IF(LEFT(E2679,6)="TÉRREO",0,IFERROR(VALUE(LEFT(E2679,FIND("º",SUBSTITUTE(E2679,"°","º"))-1)),""))))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IF(E2680="","",IF(LEFT(E2680,7)="SUBSOLO",-1,IF(LEFT(E2680,6)="TÉRREO",0,IFERROR(VALUE(LEFT(E2680,FIND("º",SUBSTITUTE(E2680,"°","º"))-1)),""))))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IF(E2681="","",IF(LEFT(E2681,7)="SUBSOLO",-1,IF(LEFT(E2681,6)="TÉRREO",0,IFERROR(VALUE(LEFT(E2681,FIND("º",SUBSTITUTE(E2681,"°","º"))-1)),""))))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IF(E2682="","",IF(LEFT(E2682,7)="SUBSOLO",-1,IF(LEFT(E2682,6)="TÉRREO",0,IFERROR(VALUE(LEFT(E2682,FIND("º",SUBSTITUTE(E2682,"°","º"))-1)),""))))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IF(E2683="","",IF(LEFT(E2683,7)="SUBSOLO",-1,IF(LEFT(E2683,6)="TÉRREO",0,IFERROR(VALUE(LEFT(E2683,FIND("º",SUBSTITUTE(E2683,"°","º"))-1)),""))))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IF(E2684="","",IF(LEFT(E2684,7)="SUBSOLO",-1,IF(LEFT(E2684,6)="TÉRREO",0,IFERROR(VALUE(LEFT(E2684,FIND("º",SUBSTITUTE(E2684,"°","º"))-1)),""))))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IF(E2685="","",IF(LEFT(E2685,7)="SUBSOLO",-1,IF(LEFT(E2685,6)="TÉRREO",0,IFERROR(VALUE(LEFT(E2685,FIND("º",SUBSTITUTE(E2685,"°","º"))-1)),""))))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IF(E2686="","",IF(LEFT(E2686,7)="SUBSOLO",-1,IF(LEFT(E2686,6)="TÉRREO",0,IFERROR(VALUE(LEFT(E2686,FIND("º",SUBSTITUTE(E2686,"°","º"))-1)),""))))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IF(E2687="","",IF(LEFT(E2687,7)="SUBSOLO",-1,IF(LEFT(E2687,6)="TÉRREO",0,IFERROR(VALUE(LEFT(E2687,FIND("º",SUBSTITUTE(E2687,"°","º"))-1)),""))))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IF(E2688="","",IF(LEFT(E2688,7)="SUBSOLO",-1,IF(LEFT(E2688,6)="TÉRREO",0,IFERROR(VALUE(LEFT(E2688,FIND("º",SUBSTITUTE(E2688,"°","º"))-1)),""))))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IF(E2689="","",IF(LEFT(E2689,7)="SUBSOLO",-1,IF(LEFT(E2689,6)="TÉRREO",0,IFERROR(VALUE(LEFT(E2689,FIND("º",SUBSTITUTE(E2689,"°","º"))-1)),""))))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IF(E2690="","",IF(LEFT(E2690,7)="SUBSOLO",-1,IF(LEFT(E2690,6)="TÉRREO",0,IFERROR(VALUE(LEFT(E2690,FIND("º",SUBSTITUTE(E2690,"°","º"))-1)),""))))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IF(E2691="","",IF(LEFT(E2691,7)="SUBSOLO",-1,IF(LEFT(E2691,6)="TÉRREO",0,IFERROR(VALUE(LEFT(E2691,FIND("º",SUBSTITUTE(E2691,"°","º"))-1)),""))))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IF(E2692="","",IF(LEFT(E2692,7)="SUBSOLO",-1,IF(LEFT(E2692,6)="TÉRREO",0,IFERROR(VALUE(LEFT(E2692,FIND("º",SUBSTITUTE(E2692,"°","º"))-1)),""))))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IF(E2693="","",IF(LEFT(E2693,7)="SUBSOLO",-1,IF(LEFT(E2693,6)="TÉRREO",0,IFERROR(VALUE(LEFT(E2693,FIND("º",SUBSTITUTE(E2693,"°","º"))-1)),""))))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IF(E2694="","",IF(LEFT(E2694,7)="SUBSOLO",-1,IF(LEFT(E2694,6)="TÉRREO",0,IFERROR(VALUE(LEFT(E2694,FIND("º",SUBSTITUTE(E2694,"°","º"))-1)),""))))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IF(E2695="","",IF(LEFT(E2695,7)="SUBSOLO",-1,IF(LEFT(E2695,6)="TÉRREO",0,IFERROR(VALUE(LEFT(E2695,FIND("º",SUBSTITUTE(E2695,"°","º"))-1)),""))))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IF(E2696="","",IF(LEFT(E2696,7)="SUBSOLO",-1,IF(LEFT(E2696,6)="TÉRREO",0,IFERROR(VALUE(LEFT(E2696,FIND("º",SUBSTITUTE(E2696,"°","º"))-1)),""))))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IF(E2697="","",IF(LEFT(E2697,7)="SUBSOLO",-1,IF(LEFT(E2697,6)="TÉRREO",0,IFERROR(VALUE(LEFT(E2697,FIND("º",SUBSTITUTE(E2697,"°","º"))-1)),""))))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IF(E2698="","",IF(LEFT(E2698,7)="SUBSOLO",-1,IF(LEFT(E2698,6)="TÉRREO",0,IFERROR(VALUE(LEFT(E2698,FIND("º",SUBSTITUTE(E2698,"°","º"))-1)),""))))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IF(E2699="","",IF(LEFT(E2699,7)="SUBSOLO",-1,IF(LEFT(E2699,6)="TÉRREO",0,IFERROR(VALUE(LEFT(E2699,FIND("º",SUBSTITUTE(E2699,"°","º"))-1)),""))))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IF(E2700="","",IF(LEFT(E2700,7)="SUBSOLO",-1,IF(LEFT(E2700,6)="TÉRREO",0,IFERROR(VALUE(LEFT(E2700,FIND("º",SUBSTITUTE(E2700,"°","º"))-1)),""))))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IF(E2701="","",IF(LEFT(E2701,7)="SUBSOLO",-1,IF(LEFT(E2701,6)="TÉRREO",0,IFERROR(VALUE(LEFT(E2701,FIND("º",SUBSTITUTE(E2701,"°","º"))-1)),""))))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IF(E2702="","",IF(LEFT(E2702,7)="SUBSOLO",-1,IF(LEFT(E2702,6)="TÉRREO",0,IFERROR(VALUE(LEFT(E2702,FIND("º",SUBSTITUTE(E2702,"°","º"))-1)),""))))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IF(E2703="","",IF(LEFT(E2703,7)="SUBSOLO",-1,IF(LEFT(E2703,6)="TÉRREO",0,IFERROR(VALUE(LEFT(E2703,FIND("º",SUBSTITUTE(E2703,"°","º"))-1)),""))))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IF(E2704="","",IF(LEFT(E2704,7)="SUBSOLO",-1,IF(LEFT(E2704,6)="TÉRREO",0,IFERROR(VALUE(LEFT(E2704,FIND("º",SUBSTITUTE(E2704,"°","º"))-1)),""))))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IF(E2705="","",IF(LEFT(E2705,7)="SUBSOLO",-1,IF(LEFT(E2705,6)="TÉRREO",0,IFERROR(VALUE(LEFT(E2705,FIND("º",SUBSTITUTE(E2705,"°","º"))-1)),""))))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IF(E2706="","",IF(LEFT(E2706,7)="SUBSOLO",-1,IF(LEFT(E2706,6)="TÉRREO",0,IFERROR(VALUE(LEFT(E2706,FIND("º",SUBSTITUTE(E2706,"°","º"))-1)),""))))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IF(E2707="","",IF(LEFT(E2707,7)="SUBSOLO",-1,IF(LEFT(E2707,6)="TÉRREO",0,IFERROR(VALUE(LEFT(E2707,FIND("º",SUBSTITUTE(E2707,"°","º"))-1)),""))))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IF(E2708="","",IF(LEFT(E2708,7)="SUBSOLO",-1,IF(LEFT(E2708,6)="TÉRREO",0,IFERROR(VALUE(LEFT(E2708,FIND("º",SUBSTITUTE(E2708,"°","º"))-1)),""))))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IF(E2709="","",IF(LEFT(E2709,7)="SUBSOLO",-1,IF(LEFT(E2709,6)="TÉRREO",0,IFERROR(VALUE(LEFT(E2709,FIND("º",SUBSTITUTE(E2709,"°","º"))-1)),""))))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IF(E2710="","",IF(LEFT(E2710,7)="SUBSOLO",-1,IF(LEFT(E2710,6)="TÉRREO",0,IFERROR(VALUE(LEFT(E2710,FIND("º",SUBSTITUTE(E2710,"°","º"))-1)),""))))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IF(E2711="","",IF(LEFT(E2711,7)="SUBSOLO",-1,IF(LEFT(E2711,6)="TÉRREO",0,IFERROR(VALUE(LEFT(E2711,FIND("º",SUBSTITUTE(E2711,"°","º"))-1)),""))))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IF(E2712="","",IF(LEFT(E2712,7)="SUBSOLO",-1,IF(LEFT(E2712,6)="TÉRREO",0,IFERROR(VALUE(LEFT(E2712,FIND("º",SUBSTITUTE(E2712,"°","º"))-1)),""))))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IF(E2713="","",IF(LEFT(E2713,7)="SUBSOLO",-1,IF(LEFT(E2713,6)="TÉRREO",0,IFERROR(VALUE(LEFT(E2713,FIND("º",SUBSTITUTE(E2713,"°","º"))-1)),""))))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IF(E2714="","",IF(LEFT(E2714,7)="SUBSOLO",-1,IF(LEFT(E2714,6)="TÉRREO",0,IFERROR(VALUE(LEFT(E2714,FIND("º",SUBSTITUTE(E2714,"°","º"))-1)),""))))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IF(E2715="","",IF(LEFT(E2715,7)="SUBSOLO",-1,IF(LEFT(E2715,6)="TÉRREO",0,IFERROR(VALUE(LEFT(E2715,FIND("º",SUBSTITUTE(E2715,"°","º"))-1)),""))))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IF(E2716="","",IF(LEFT(E2716,7)="SUBSOLO",-1,IF(LEFT(E2716,6)="TÉRREO",0,IFERROR(VALUE(LEFT(E2716,FIND("º",SUBSTITUTE(E2716,"°","º"))-1)),""))))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IF(E2717="","",IF(LEFT(E2717,7)="SUBSOLO",-1,IF(LEFT(E2717,6)="TÉRREO",0,IFERROR(VALUE(LEFT(E2717,FIND("º",SUBSTITUTE(E2717,"°","º"))-1)),""))))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IF(E2718="","",IF(LEFT(E2718,7)="SUBSOLO",-1,IF(LEFT(E2718,6)="TÉRREO",0,IFERROR(VALUE(LEFT(E2718,FIND("º",SUBSTITUTE(E2718,"°","º"))-1)),""))))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IF(E2719="","",IF(LEFT(E2719,7)="SUBSOLO",-1,IF(LEFT(E2719,6)="TÉRREO",0,IFERROR(VALUE(LEFT(E2719,FIND("º",SUBSTITUTE(E2719,"°","º"))-1)),""))))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IF(E2720="","",IF(LEFT(E2720,7)="SUBSOLO",-1,IF(LEFT(E2720,6)="TÉRREO",0,IFERROR(VALUE(LEFT(E2720,FIND("º",SUBSTITUTE(E2720,"°","º"))-1)),""))))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IF(E2721="","",IF(LEFT(E2721,7)="SUBSOLO",-1,IF(LEFT(E2721,6)="TÉRREO",0,IFERROR(VALUE(LEFT(E2721,FIND("º",SUBSTITUTE(E2721,"°","º"))-1)),""))))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IF(E2722="","",IF(LEFT(E2722,7)="SUBSOLO",-1,IF(LEFT(E2722,6)="TÉRREO",0,IFERROR(VALUE(LEFT(E2722,FIND("º",SUBSTITUTE(E2722,"°","º"))-1)),""))))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IF(E2723="","",IF(LEFT(E2723,7)="SUBSOLO",-1,IF(LEFT(E2723,6)="TÉRREO",0,IFERROR(VALUE(LEFT(E2723,FIND("º",SUBSTITUTE(E2723,"°","º"))-1)),""))))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IF(E2724="","",IF(LEFT(E2724,7)="SUBSOLO",-1,IF(LEFT(E2724,6)="TÉRREO",0,IFERROR(VALUE(LEFT(E2724,FIND("º",SUBSTITUTE(E2724,"°","º"))-1)),""))))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IF(E2725="","",IF(LEFT(E2725,7)="SUBSOLO",-1,IF(LEFT(E2725,6)="TÉRREO",0,IFERROR(VALUE(LEFT(E2725,FIND("º",SUBSTITUTE(E2725,"°","º"))-1)),""))))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IF(E2726="","",IF(LEFT(E2726,7)="SUBSOLO",-1,IF(LEFT(E2726,6)="TÉRREO",0,IFERROR(VALUE(LEFT(E2726,FIND("º",SUBSTITUTE(E2726,"°","º"))-1)),""))))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IF(E2727="","",IF(LEFT(E2727,7)="SUBSOLO",-1,IF(LEFT(E2727,6)="TÉRREO",0,IFERROR(VALUE(LEFT(E2727,FIND("º",SUBSTITUTE(E2727,"°","º"))-1)),""))))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IF(E2728="","",IF(LEFT(E2728,7)="SUBSOLO",-1,IF(LEFT(E2728,6)="TÉRREO",0,IFERROR(VALUE(LEFT(E2728,FIND("º",SUBSTITUTE(E2728,"°","º"))-1)),""))))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IF(E2729="","",IF(LEFT(E2729,7)="SUBSOLO",-1,IF(LEFT(E2729,6)="TÉRREO",0,IFERROR(VALUE(LEFT(E2729,FIND("º",SUBSTITUTE(E2729,"°","º"))-1)),""))))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IF(E2730="","",IF(LEFT(E2730,7)="SUBSOLO",-1,IF(LEFT(E2730,6)="TÉRREO",0,IFERROR(VALUE(LEFT(E2730,FIND("º",SUBSTITUTE(E2730,"°","º"))-1)),""))))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IF(E2731="","",IF(LEFT(E2731,7)="SUBSOLO",-1,IF(LEFT(E2731,6)="TÉRREO",0,IFERROR(VALUE(LEFT(E2731,FIND("º",SUBSTITUTE(E2731,"°","º"))-1)),""))))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IF(E2732="","",IF(LEFT(E2732,7)="SUBSOLO",-1,IF(LEFT(E2732,6)="TÉRREO",0,IFERROR(VALUE(LEFT(E2732,FIND("º",SUBSTITUTE(E2732,"°","º"))-1)),""))))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IF(E2733="","",IF(LEFT(E2733,7)="SUBSOLO",-1,IF(LEFT(E2733,6)="TÉRREO",0,IFERROR(VALUE(LEFT(E2733,FIND("º",SUBSTITUTE(E2733,"°","º"))-1)),""))))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IF(E2734="","",IF(LEFT(E2734,7)="SUBSOLO",-1,IF(LEFT(E2734,6)="TÉRREO",0,IFERROR(VALUE(LEFT(E2734,FIND("º",SUBSTITUTE(E2734,"°","º"))-1)),""))))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IF(E2735="","",IF(LEFT(E2735,7)="SUBSOLO",-1,IF(LEFT(E2735,6)="TÉRREO",0,IFERROR(VALUE(LEFT(E2735,FIND("º",SUBSTITUTE(E2735,"°","º"))-1)),""))))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IF(E2736="","",IF(LEFT(E2736,7)="SUBSOLO",-1,IF(LEFT(E2736,6)="TÉRREO",0,IFERROR(VALUE(LEFT(E2736,FIND("º",SUBSTITUTE(E2736,"°","º"))-1)),""))))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IF(E2737="","",IF(LEFT(E2737,7)="SUBSOLO",-1,IF(LEFT(E2737,6)="TÉRREO",0,IFERROR(VALUE(LEFT(E2737,FIND("º",SUBSTITUTE(E2737,"°","º"))-1)),""))))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IF(E2738="","",IF(LEFT(E2738,7)="SUBSOLO",-1,IF(LEFT(E2738,6)="TÉRREO",0,IFERROR(VALUE(LEFT(E2738,FIND("º",SUBSTITUTE(E2738,"°","º"))-1)),""))))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IF(E2739="","",IF(LEFT(E2739,7)="SUBSOLO",-1,IF(LEFT(E2739,6)="TÉRREO",0,IFERROR(VALUE(LEFT(E2739,FIND("º",SUBSTITUTE(E2739,"°","º"))-1)),""))))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IF(E2740="","",IF(LEFT(E2740,7)="SUBSOLO",-1,IF(LEFT(E2740,6)="TÉRREO",0,IFERROR(VALUE(LEFT(E2740,FIND("º",SUBSTITUTE(E2740,"°","º"))-1)),""))))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IF(E2741="","",IF(LEFT(E2741,7)="SUBSOLO",-1,IF(LEFT(E2741,6)="TÉRREO",0,IFERROR(VALUE(LEFT(E2741,FIND("º",SUBSTITUTE(E2741,"°","º"))-1)),""))))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IF(E2742="","",IF(LEFT(E2742,7)="SUBSOLO",-1,IF(LEFT(E2742,6)="TÉRREO",0,IFERROR(VALUE(LEFT(E2742,FIND("º",SUBSTITUTE(E2742,"°","º"))-1)),""))))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IF(E2743="","",IF(LEFT(E2743,7)="SUBSOLO",-1,IF(LEFT(E2743,6)="TÉRREO",0,IFERROR(VALUE(LEFT(E2743,FIND("º",SUBSTITUTE(E2743,"°","º"))-1)),""))))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IF(E2744="","",IF(LEFT(E2744,7)="SUBSOLO",-1,IF(LEFT(E2744,6)="TÉRREO",0,IFERROR(VALUE(LEFT(E2744,FIND("º",SUBSTITUTE(E2744,"°","º"))-1)),""))))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IF(E2745="","",IF(LEFT(E2745,7)="SUBSOLO",-1,IF(LEFT(E2745,6)="TÉRREO",0,IFERROR(VALUE(LEFT(E2745,FIND("º",SUBSTITUTE(E2745,"°","º"))-1)),""))))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IF(E2746="","",IF(LEFT(E2746,7)="SUBSOLO",-1,IF(LEFT(E2746,6)="TÉRREO",0,IFERROR(VALUE(LEFT(E2746,FIND("º",SUBSTITUTE(E2746,"°","º"))-1)),""))))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IF(E2747="","",IF(LEFT(E2747,7)="SUBSOLO",-1,IF(LEFT(E2747,6)="TÉRREO",0,IFERROR(VALUE(LEFT(E2747,FIND("º",SUBSTITUTE(E2747,"°","º"))-1)),""))))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IF(E2748="","",IF(LEFT(E2748,7)="SUBSOLO",-1,IF(LEFT(E2748,6)="TÉRREO",0,IFERROR(VALUE(LEFT(E2748,FIND("º",SUBSTITUTE(E2748,"°","º"))-1)),""))))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IF(E2749="","",IF(LEFT(E2749,7)="SUBSOLO",-1,IF(LEFT(E2749,6)="TÉRREO",0,IFERROR(VALUE(LEFT(E2749,FIND("º",SUBSTITUTE(E2749,"°","º"))-1)),""))))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IF(E2750="","",IF(LEFT(E2750,7)="SUBSOLO",-1,IF(LEFT(E2750,6)="TÉRREO",0,IFERROR(VALUE(LEFT(E2750,FIND("º",SUBSTITUTE(E2750,"°","º"))-1)),""))))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IF(E2751="","",IF(LEFT(E2751,7)="SUBSOLO",-1,IF(LEFT(E2751,6)="TÉRREO",0,IFERROR(VALUE(LEFT(E2751,FIND("º",SUBSTITUTE(E2751,"°","º"))-1)),""))))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IF(E2752="","",IF(LEFT(E2752,7)="SUBSOLO",-1,IF(LEFT(E2752,6)="TÉRREO",0,IFERROR(VALUE(LEFT(E2752,FIND("º",SUBSTITUTE(E2752,"°","º"))-1)),""))))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IF(E2753="","",IF(LEFT(E2753,7)="SUBSOLO",-1,IF(LEFT(E2753,6)="TÉRREO",0,IFERROR(VALUE(LEFT(E2753,FIND("º",SUBSTITUTE(E2753,"°","º"))-1)),""))))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IF(E2754="","",IF(LEFT(E2754,7)="SUBSOLO",-1,IF(LEFT(E2754,6)="TÉRREO",0,IFERROR(VALUE(LEFT(E2754,FIND("º",SUBSTITUTE(E2754,"°","º"))-1)),""))))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IF(E2755="","",IF(LEFT(E2755,7)="SUBSOLO",-1,IF(LEFT(E2755,6)="TÉRREO",0,IFERROR(VALUE(LEFT(E2755,FIND("º",SUBSTITUTE(E2755,"°","º"))-1)),""))))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IF(E2756="","",IF(LEFT(E2756,7)="SUBSOLO",-1,IF(LEFT(E2756,6)="TÉRREO",0,IFERROR(VALUE(LEFT(E2756,FIND("º",SUBSTITUTE(E2756,"°","º"))-1)),""))))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IF(E2757="","",IF(LEFT(E2757,7)="SUBSOLO",-1,IF(LEFT(E2757,6)="TÉRREO",0,IFERROR(VALUE(LEFT(E2757,FIND("º",SUBSTITUTE(E2757,"°","º"))-1)),""))))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IF(E2758="","",IF(LEFT(E2758,7)="SUBSOLO",-1,IF(LEFT(E2758,6)="TÉRREO",0,IFERROR(VALUE(LEFT(E2758,FIND("º",SUBSTITUTE(E2758,"°","º"))-1)),""))))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IF(E2759="","",IF(LEFT(E2759,7)="SUBSOLO",-1,IF(LEFT(E2759,6)="TÉRREO",0,IFERROR(VALUE(LEFT(E2759,FIND("º",SUBSTITUTE(E2759,"°","º"))-1)),""))))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IF(E2760="","",IF(LEFT(E2760,7)="SUBSOLO",-1,IF(LEFT(E2760,6)="TÉRREO",0,IFERROR(VALUE(LEFT(E2760,FIND("º",SUBSTITUTE(E2760,"°","º"))-1)),""))))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IF(E2761="","",IF(LEFT(E2761,7)="SUBSOLO",-1,IF(LEFT(E2761,6)="TÉRREO",0,IFERROR(VALUE(LEFT(E2761,FIND("º",SUBSTITUTE(E2761,"°","º"))-1)),""))))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IF(E2762="","",IF(LEFT(E2762,7)="SUBSOLO",-1,IF(LEFT(E2762,6)="TÉRREO",0,IFERROR(VALUE(LEFT(E2762,FIND("º",SUBSTITUTE(E2762,"°","º"))-1)),""))))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IF(E2763="","",IF(LEFT(E2763,7)="SUBSOLO",-1,IF(LEFT(E2763,6)="TÉRREO",0,IFERROR(VALUE(LEFT(E2763,FIND("º",SUBSTITUTE(E2763,"°","º"))-1)),""))))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IF(E2764="","",IF(LEFT(E2764,7)="SUBSOLO",-1,IF(LEFT(E2764,6)="TÉRREO",0,IFERROR(VALUE(LEFT(E2764,FIND("º",SUBSTITUTE(E2764,"°","º"))-1)),""))))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IF(E2765="","",IF(LEFT(E2765,7)="SUBSOLO",-1,IF(LEFT(E2765,6)="TÉRREO",0,IFERROR(VALUE(LEFT(E2765,FIND("º",SUBSTITUTE(E2765,"°","º"))-1)),""))))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IF(E2766="","",IF(LEFT(E2766,7)="SUBSOLO",-1,IF(LEFT(E2766,6)="TÉRREO",0,IFERROR(VALUE(LEFT(E2766,FIND("º",SUBSTITUTE(E2766,"°","º"))-1)),""))))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IF(E2767="","",IF(LEFT(E2767,7)="SUBSOLO",-1,IF(LEFT(E2767,6)="TÉRREO",0,IFERROR(VALUE(LEFT(E2767,FIND("º",SUBSTITUTE(E2767,"°","º"))-1)),""))))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IF(E2768="","",IF(LEFT(E2768,7)="SUBSOLO",-1,IF(LEFT(E2768,6)="TÉRREO",0,IFERROR(VALUE(LEFT(E2768,FIND("º",SUBSTITUTE(E2768,"°","º"))-1)),""))))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IF(E2769="","",IF(LEFT(E2769,7)="SUBSOLO",-1,IF(LEFT(E2769,6)="TÉRREO",0,IFERROR(VALUE(LEFT(E2769,FIND("º",SUBSTITUTE(E2769,"°","º"))-1)),""))))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IF(E2770="","",IF(LEFT(E2770,7)="SUBSOLO",-1,IF(LEFT(E2770,6)="TÉRREO",0,IFERROR(VALUE(LEFT(E2770,FIND("º",SUBSTITUTE(E2770,"°","º"))-1)),""))))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IF(E2771="","",IF(LEFT(E2771,7)="SUBSOLO",-1,IF(LEFT(E2771,6)="TÉRREO",0,IFERROR(VALUE(LEFT(E2771,FIND("º",SUBSTITUTE(E2771,"°","º"))-1)),""))))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IF(E2772="","",IF(LEFT(E2772,7)="SUBSOLO",-1,IF(LEFT(E2772,6)="TÉRREO",0,IFERROR(VALUE(LEFT(E2772,FIND("º",SUBSTITUTE(E2772,"°","º"))-1)),""))))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IF(E2773="","",IF(LEFT(E2773,7)="SUBSOLO",-1,IF(LEFT(E2773,6)="TÉRREO",0,IFERROR(VALUE(LEFT(E2773,FIND("º",SUBSTITUTE(E2773,"°","º"))-1)),""))))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IF(E2774="","",IF(LEFT(E2774,7)="SUBSOLO",-1,IF(LEFT(E2774,6)="TÉRREO",0,IFERROR(VALUE(LEFT(E2774,FIND("º",SUBSTITUTE(E2774,"°","º"))-1)),""))))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IF(E2775="","",IF(LEFT(E2775,7)="SUBSOLO",-1,IF(LEFT(E2775,6)="TÉRREO",0,IFERROR(VALUE(LEFT(E2775,FIND("º",SUBSTITUTE(E2775,"°","º"))-1)),""))))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IF(E2776="","",IF(LEFT(E2776,7)="SUBSOLO",-1,IF(LEFT(E2776,6)="TÉRREO",0,IFERROR(VALUE(LEFT(E2776,FIND("º",SUBSTITUTE(E2776,"°","º"))-1)),""))))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IF(E2777="","",IF(LEFT(E2777,7)="SUBSOLO",-1,IF(LEFT(E2777,6)="TÉRREO",0,IFERROR(VALUE(LEFT(E2777,FIND("º",SUBSTITUTE(E2777,"°","º"))-1)),""))))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IF(E2778="","",IF(LEFT(E2778,7)="SUBSOLO",-1,IF(LEFT(E2778,6)="TÉRREO",0,IFERROR(VALUE(LEFT(E2778,FIND("º",SUBSTITUTE(E2778,"°","º"))-1)),""))))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IF(E2779="","",IF(LEFT(E2779,7)="SUBSOLO",-1,IF(LEFT(E2779,6)="TÉRREO",0,IFERROR(VALUE(LEFT(E2779,FIND("º",SUBSTITUTE(E2779,"°","º"))-1)),""))))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IF(E2780="","",IF(LEFT(E2780,7)="SUBSOLO",-1,IF(LEFT(E2780,6)="TÉRREO",0,IFERROR(VALUE(LEFT(E2780,FIND("º",SUBSTITUTE(E2780,"°","º"))-1)),""))))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IF(E2781="","",IF(LEFT(E2781,7)="SUBSOLO",-1,IF(LEFT(E2781,6)="TÉRREO",0,IFERROR(VALUE(LEFT(E2781,FIND("º",SUBSTITUTE(E2781,"°","º"))-1)),""))))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IF(E2782="","",IF(LEFT(E2782,7)="SUBSOLO",-1,IF(LEFT(E2782,6)="TÉRREO",0,IFERROR(VALUE(LEFT(E2782,FIND("º",SUBSTITUTE(E2782,"°","º"))-1)),""))))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IF(E2783="","",IF(LEFT(E2783,7)="SUBSOLO",-1,IF(LEFT(E2783,6)="TÉRREO",0,IFERROR(VALUE(LEFT(E2783,FIND("º",SUBSTITUTE(E2783,"°","º"))-1)),""))))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IF(E2784="","",IF(LEFT(E2784,7)="SUBSOLO",-1,IF(LEFT(E2784,6)="TÉRREO",0,IFERROR(VALUE(LEFT(E2784,FIND("º",SUBSTITUTE(E2784,"°","º"))-1)),""))))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IF(E2785="","",IF(LEFT(E2785,7)="SUBSOLO",-1,IF(LEFT(E2785,6)="TÉRREO",0,IFERROR(VALUE(LEFT(E2785,FIND("º",SUBSTITUTE(E2785,"°","º"))-1)),""))))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IF(E2786="","",IF(LEFT(E2786,7)="SUBSOLO",-1,IF(LEFT(E2786,6)="TÉRREO",0,IFERROR(VALUE(LEFT(E2786,FIND("º",SUBSTITUTE(E2786,"°","º"))-1)),""))))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IF(E2787="","",IF(LEFT(E2787,7)="SUBSOLO",-1,IF(LEFT(E2787,6)="TÉRREO",0,IFERROR(VALUE(LEFT(E2787,FIND("º",SUBSTITUTE(E2787,"°","º"))-1)),""))))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IF(E2788="","",IF(LEFT(E2788,7)="SUBSOLO",-1,IF(LEFT(E2788,6)="TÉRREO",0,IFERROR(VALUE(LEFT(E2788,FIND("º",SUBSTITUTE(E2788,"°","º"))-1)),""))))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IF(E2789="","",IF(LEFT(E2789,7)="SUBSOLO",-1,IF(LEFT(E2789,6)="TÉRREO",0,IFERROR(VALUE(LEFT(E2789,FIND("º",SUBSTITUTE(E2789,"°","º"))-1)),""))))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IF(E2790="","",IF(LEFT(E2790,7)="SUBSOLO",-1,IF(LEFT(E2790,6)="TÉRREO",0,IFERROR(VALUE(LEFT(E2790,FIND("º",SUBSTITUTE(E2790,"°","º"))-1)),""))))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IF(E2791="","",IF(LEFT(E2791,7)="SUBSOLO",-1,IF(LEFT(E2791,6)="TÉRREO",0,IFERROR(VALUE(LEFT(E2791,FIND("º",SUBSTITUTE(E2791,"°","º"))-1)),""))))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IF(E2792="","",IF(LEFT(E2792,7)="SUBSOLO",-1,IF(LEFT(E2792,6)="TÉRREO",0,IFERROR(VALUE(LEFT(E2792,FIND("º",SUBSTITUTE(E2792,"°","º"))-1)),""))))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IF(E2793="","",IF(LEFT(E2793,7)="SUBSOLO",-1,IF(LEFT(E2793,6)="TÉRREO",0,IFERROR(VALUE(LEFT(E2793,FIND("º",SUBSTITUTE(E2793,"°","º"))-1)),""))))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IF(E2794="","",IF(LEFT(E2794,7)="SUBSOLO",-1,IF(LEFT(E2794,6)="TÉRREO",0,IFERROR(VALUE(LEFT(E2794,FIND("º",SUBSTITUTE(E2794,"°","º"))-1)),""))))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IF(E2795="","",IF(LEFT(E2795,7)="SUBSOLO",-1,IF(LEFT(E2795,6)="TÉRREO",0,IFERROR(VALUE(LEFT(E2795,FIND("º",SUBSTITUTE(E2795,"°","º"))-1)),""))))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IF(E2796="","",IF(LEFT(E2796,7)="SUBSOLO",-1,IF(LEFT(E2796,6)="TÉRREO",0,IFERROR(VALUE(LEFT(E2796,FIND("º",SUBSTITUTE(E2796,"°","º"))-1)),""))))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IF(E2797="","",IF(LEFT(E2797,7)="SUBSOLO",-1,IF(LEFT(E2797,6)="TÉRREO",0,IFERROR(VALUE(LEFT(E2797,FIND("º",SUBSTITUTE(E2797,"°","º"))-1)),""))))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IF(E2798="","",IF(LEFT(E2798,7)="SUBSOLO",-1,IF(LEFT(E2798,6)="TÉRREO",0,IFERROR(VALUE(LEFT(E2798,FIND("º",SUBSTITUTE(E2798,"°","º"))-1)),""))))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IF(E2799="","",IF(LEFT(E2799,7)="SUBSOLO",-1,IF(LEFT(E2799,6)="TÉRREO",0,IFERROR(VALUE(LEFT(E2799,FIND("º",SUBSTITUTE(E2799,"°","º"))-1)),""))))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IF(E2800="","",IF(LEFT(E2800,7)="SUBSOLO",-1,IF(LEFT(E2800,6)="TÉRREO",0,IFERROR(VALUE(LEFT(E2800,FIND("º",SUBSTITUTE(E2800,"°","º"))-1)),""))))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IF(E2801="","",IF(LEFT(E2801,7)="SUBSOLO",-1,IF(LEFT(E2801,6)="TÉRREO",0,IFERROR(VALUE(LEFT(E2801,FIND("º",SUBSTITUTE(E2801,"°","º"))-1)),""))))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IF(E2802="","",IF(LEFT(E2802,7)="SUBSOLO",-1,IF(LEFT(E2802,6)="TÉRREO",0,IFERROR(VALUE(LEFT(E2802,FIND("º",SUBSTITUTE(E2802,"°","º"))-1)),""))))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IF(E2803="","",IF(LEFT(E2803,7)="SUBSOLO",-1,IF(LEFT(E2803,6)="TÉRREO",0,IFERROR(VALUE(LEFT(E2803,FIND("º",SUBSTITUTE(E2803,"°","º"))-1)),""))))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IF(E2804="","",IF(LEFT(E2804,7)="SUBSOLO",-1,IF(LEFT(E2804,6)="TÉRREO",0,IFERROR(VALUE(LEFT(E2804,FIND("º",SUBSTITUTE(E2804,"°","º"))-1)),""))))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IF(E2805="","",IF(LEFT(E2805,7)="SUBSOLO",-1,IF(LEFT(E2805,6)="TÉRREO",0,IFERROR(VALUE(LEFT(E2805,FIND("º",SUBSTITUTE(E2805,"°","º"))-1)),""))))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IF(E2806="","",IF(LEFT(E2806,7)="SUBSOLO",-1,IF(LEFT(E2806,6)="TÉRREO",0,IFERROR(VALUE(LEFT(E2806,FIND("º",SUBSTITUTE(E2806,"°","º"))-1)),""))))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IF(E2807="","",IF(LEFT(E2807,7)="SUBSOLO",-1,IF(LEFT(E2807,6)="TÉRREO",0,IFERROR(VALUE(LEFT(E2807,FIND("º",SUBSTITUTE(E2807,"°","º"))-1)),""))))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IF(E2808="","",IF(LEFT(E2808,7)="SUBSOLO",-1,IF(LEFT(E2808,6)="TÉRREO",0,IFERROR(VALUE(LEFT(E2808,FIND("º",SUBSTITUTE(E2808,"°","º"))-1)),""))))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IF(E2809="","",IF(LEFT(E2809,7)="SUBSOLO",-1,IF(LEFT(E2809,6)="TÉRREO",0,IFERROR(VALUE(LEFT(E2809,FIND("º",SUBSTITUTE(E2809,"°","º"))-1)),""))))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IF(E2810="","",IF(LEFT(E2810,7)="SUBSOLO",-1,IF(LEFT(E2810,6)="TÉRREO",0,IFERROR(VALUE(LEFT(E2810,FIND("º",SUBSTITUTE(E2810,"°","º"))-1)),""))))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IF(E2811="","",IF(LEFT(E2811,7)="SUBSOLO",-1,IF(LEFT(E2811,6)="TÉRREO",0,IFERROR(VALUE(LEFT(E2811,FIND("º",SUBSTITUTE(E2811,"°","º"))-1)),""))))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IF(E2812="","",IF(LEFT(E2812,7)="SUBSOLO",-1,IF(LEFT(E2812,6)="TÉRREO",0,IFERROR(VALUE(LEFT(E2812,FIND("º",SUBSTITUTE(E2812,"°","º"))-1)),""))))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IF(E2813="","",IF(LEFT(E2813,7)="SUBSOLO",-1,IF(LEFT(E2813,6)="TÉRREO",0,IFERROR(VALUE(LEFT(E2813,FIND("º",SUBSTITUTE(E2813,"°","º"))-1)),""))))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IF(E2814="","",IF(LEFT(E2814,7)="SUBSOLO",-1,IF(LEFT(E2814,6)="TÉRREO",0,IFERROR(VALUE(LEFT(E2814,FIND("º",SUBSTITUTE(E2814,"°","º"))-1)),""))))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IF(E2815="","",IF(LEFT(E2815,7)="SUBSOLO",-1,IF(LEFT(E2815,6)="TÉRREO",0,IFERROR(VALUE(LEFT(E2815,FIND("º",SUBSTITUTE(E2815,"°","º"))-1)),""))))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IF(E2816="","",IF(LEFT(E2816,7)="SUBSOLO",-1,IF(LEFT(E2816,6)="TÉRREO",0,IFERROR(VALUE(LEFT(E2816,FIND("º",SUBSTITUTE(E2816,"°","º"))-1)),""))))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IF(E2817="","",IF(LEFT(E2817,7)="SUBSOLO",-1,IF(LEFT(E2817,6)="TÉRREO",0,IFERROR(VALUE(LEFT(E2817,FIND("º",SUBSTITUTE(E2817,"°","º"))-1)),""))))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IF(E2818="","",IF(LEFT(E2818,7)="SUBSOLO",-1,IF(LEFT(E2818,6)="TÉRREO",0,IFERROR(VALUE(LEFT(E2818,FIND("º",SUBSTITUTE(E2818,"°","º"))-1)),""))))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IF(E2819="","",IF(LEFT(E2819,7)="SUBSOLO",-1,IF(LEFT(E2819,6)="TÉRREO",0,IFERROR(VALUE(LEFT(E2819,FIND("º",SUBSTITUTE(E2819,"°","º"))-1)),""))))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IF(E2820="","",IF(LEFT(E2820,7)="SUBSOLO",-1,IF(LEFT(E2820,6)="TÉRREO",0,IFERROR(VALUE(LEFT(E2820,FIND("º",SUBSTITUTE(E2820,"°","º"))-1)),""))))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IF(E2821="","",IF(LEFT(E2821,7)="SUBSOLO",-1,IF(LEFT(E2821,6)="TÉRREO",0,IFERROR(VALUE(LEFT(E2821,FIND("º",SUBSTITUTE(E2821,"°","º"))-1)),""))))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IF(E2822="","",IF(LEFT(E2822,7)="SUBSOLO",-1,IF(LEFT(E2822,6)="TÉRREO",0,IFERROR(VALUE(LEFT(E2822,FIND("º",SUBSTITUTE(E2822,"°","º"))-1)),""))))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IF(E2823="","",IF(LEFT(E2823,7)="SUBSOLO",-1,IF(LEFT(E2823,6)="TÉRREO",0,IFERROR(VALUE(LEFT(E2823,FIND("º",SUBSTITUTE(E2823,"°","º"))-1)),""))))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IF(E2824="","",IF(LEFT(E2824,7)="SUBSOLO",-1,IF(LEFT(E2824,6)="TÉRREO",0,IFERROR(VALUE(LEFT(E2824,FIND("º",SUBSTITUTE(E2824,"°","º"))-1)),""))))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IF(E2825="","",IF(LEFT(E2825,7)="SUBSOLO",-1,IF(LEFT(E2825,6)="TÉRREO",0,IFERROR(VALUE(LEFT(E2825,FIND("º",SUBSTITUTE(E2825,"°","º"))-1)),""))))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IF(E2826="","",IF(LEFT(E2826,7)="SUBSOLO",-1,IF(LEFT(E2826,6)="TÉRREO",0,IFERROR(VALUE(LEFT(E2826,FIND("º",SUBSTITUTE(E2826,"°","º"))-1)),""))))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IF(E2827="","",IF(LEFT(E2827,7)="SUBSOLO",-1,IF(LEFT(E2827,6)="TÉRREO",0,IFERROR(VALUE(LEFT(E2827,FIND("º",SUBSTITUTE(E2827,"°","º"))-1)),""))))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IF(E2828="","",IF(LEFT(E2828,7)="SUBSOLO",-1,IF(LEFT(E2828,6)="TÉRREO",0,IFERROR(VALUE(LEFT(E2828,FIND("º",SUBSTITUTE(E2828,"°","º"))-1)),""))))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IF(E2829="","",IF(LEFT(E2829,7)="SUBSOLO",-1,IF(LEFT(E2829,6)="TÉRREO",0,IFERROR(VALUE(LEFT(E2829,FIND("º",SUBSTITUTE(E2829,"°","º"))-1)),""))))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IF(E2830="","",IF(LEFT(E2830,7)="SUBSOLO",-1,IF(LEFT(E2830,6)="TÉRREO",0,IFERROR(VALUE(LEFT(E2830,FIND("º",SUBSTITUTE(E2830,"°","º"))-1)),""))))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IF(E2831="","",IF(LEFT(E2831,7)="SUBSOLO",-1,IF(LEFT(E2831,6)="TÉRREO",0,IFERROR(VALUE(LEFT(E2831,FIND("º",SUBSTITUTE(E2831,"°","º"))-1)),""))))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IF(E2832="","",IF(LEFT(E2832,7)="SUBSOLO",-1,IF(LEFT(E2832,6)="TÉRREO",0,IFERROR(VALUE(LEFT(E2832,FIND("º",SUBSTITUTE(E2832,"°","º"))-1)),""))))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IF(E2833="","",IF(LEFT(E2833,7)="SUBSOLO",-1,IF(LEFT(E2833,6)="TÉRREO",0,IFERROR(VALUE(LEFT(E2833,FIND("º",SUBSTITUTE(E2833,"°","º"))-1)),""))))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IF(E2834="","",IF(LEFT(E2834,7)="SUBSOLO",-1,IF(LEFT(E2834,6)="TÉRREO",0,IFERROR(VALUE(LEFT(E2834,FIND("º",SUBSTITUTE(E2834,"°","º"))-1)),""))))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IF(E2835="","",IF(LEFT(E2835,7)="SUBSOLO",-1,IF(LEFT(E2835,6)="TÉRREO",0,IFERROR(VALUE(LEFT(E2835,FIND("º",SUBSTITUTE(E2835,"°","º"))-1)),""))))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IF(E2836="","",IF(LEFT(E2836,7)="SUBSOLO",-1,IF(LEFT(E2836,6)="TÉRREO",0,IFERROR(VALUE(LEFT(E2836,FIND("º",SUBSTITUTE(E2836,"°","º"))-1)),""))))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IF(E2837="","",IF(LEFT(E2837,7)="SUBSOLO",-1,IF(LEFT(E2837,6)="TÉRREO",0,IFERROR(VALUE(LEFT(E2837,FIND("º",SUBSTITUTE(E2837,"°","º"))-1)),""))))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IF(E2838="","",IF(LEFT(E2838,7)="SUBSOLO",-1,IF(LEFT(E2838,6)="TÉRREO",0,IFERROR(VALUE(LEFT(E2838,FIND("º",SUBSTITUTE(E2838,"°","º"))-1)),""))))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IF(E2839="","",IF(LEFT(E2839,7)="SUBSOLO",-1,IF(LEFT(E2839,6)="TÉRREO",0,IFERROR(VALUE(LEFT(E2839,FIND("º",SUBSTITUTE(E2839,"°","º"))-1)),""))))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IF(E2840="","",IF(LEFT(E2840,7)="SUBSOLO",-1,IF(LEFT(E2840,6)="TÉRREO",0,IFERROR(VALUE(LEFT(E2840,FIND("º",SUBSTITUTE(E2840,"°","º"))-1)),""))))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IF(E2841="","",IF(LEFT(E2841,7)="SUBSOLO",-1,IF(LEFT(E2841,6)="TÉRREO",0,IFERROR(VALUE(LEFT(E2841,FIND("º",SUBSTITUTE(E2841,"°","º"))-1)),""))))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IF(E2842="","",IF(LEFT(E2842,7)="SUBSOLO",-1,IF(LEFT(E2842,6)="TÉRREO",0,IFERROR(VALUE(LEFT(E2842,FIND("º",SUBSTITUTE(E2842,"°","º"))-1)),""))))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IF(E2843="","",IF(LEFT(E2843,7)="SUBSOLO",-1,IF(LEFT(E2843,6)="TÉRREO",0,IFERROR(VALUE(LEFT(E2843,FIND("º",SUBSTITUTE(E2843,"°","º"))-1)),""))))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IF(E2844="","",IF(LEFT(E2844,7)="SUBSOLO",-1,IF(LEFT(E2844,6)="TÉRREO",0,IFERROR(VALUE(LEFT(E2844,FIND("º",SUBSTITUTE(E2844,"°","º"))-1)),""))))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IF(E2845="","",IF(LEFT(E2845,7)="SUBSOLO",-1,IF(LEFT(E2845,6)="TÉRREO",0,IFERROR(VALUE(LEFT(E2845,FIND("º",SUBSTITUTE(E2845,"°","º"))-1)),""))))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IF(E2846="","",IF(LEFT(E2846,7)="SUBSOLO",-1,IF(LEFT(E2846,6)="TÉRREO",0,IFERROR(VALUE(LEFT(E2846,FIND("º",SUBSTITUTE(E2846,"°","º"))-1)),""))))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IF(E2847="","",IF(LEFT(E2847,7)="SUBSOLO",-1,IF(LEFT(E2847,6)="TÉRREO",0,IFERROR(VALUE(LEFT(E2847,FIND("º",SUBSTITUTE(E2847,"°","º"))-1)),""))))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IF(E2848="","",IF(LEFT(E2848,7)="SUBSOLO",-1,IF(LEFT(E2848,6)="TÉRREO",0,IFERROR(VALUE(LEFT(E2848,FIND("º",SUBSTITUTE(E2848,"°","º"))-1)),""))))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IF(E2849="","",IF(LEFT(E2849,7)="SUBSOLO",-1,IF(LEFT(E2849,6)="TÉRREO",0,IFERROR(VALUE(LEFT(E2849,FIND("º",SUBSTITUTE(E2849,"°","º"))-1)),""))))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IF(E2850="","",IF(LEFT(E2850,7)="SUBSOLO",-1,IF(LEFT(E2850,6)="TÉRREO",0,IFERROR(VALUE(LEFT(E2850,FIND("º",SUBSTITUTE(E2850,"°","º"))-1)),""))))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IF(E2851="","",IF(LEFT(E2851,7)="SUBSOLO",-1,IF(LEFT(E2851,6)="TÉRREO",0,IFERROR(VALUE(LEFT(E2851,FIND("º",SUBSTITUTE(E2851,"°","º"))-1)),""))))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IF(E2852="","",IF(LEFT(E2852,7)="SUBSOLO",-1,IF(LEFT(E2852,6)="TÉRREO",0,IFERROR(VALUE(LEFT(E2852,FIND("º",SUBSTITUTE(E2852,"°","º"))-1)),""))))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IF(E2853="","",IF(LEFT(E2853,7)="SUBSOLO",-1,IF(LEFT(E2853,6)="TÉRREO",0,IFERROR(VALUE(LEFT(E2853,FIND("º",SUBSTITUTE(E2853,"°","º"))-1)),""))))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IF(E2854="","",IF(LEFT(E2854,7)="SUBSOLO",-1,IF(LEFT(E2854,6)="TÉRREO",0,IFERROR(VALUE(LEFT(E2854,FIND("º",SUBSTITUTE(E2854,"°","º"))-1)),""))))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IF(E2855="","",IF(LEFT(E2855,7)="SUBSOLO",-1,IF(LEFT(E2855,6)="TÉRREO",0,IFERROR(VALUE(LEFT(E2855,FIND("º",SUBSTITUTE(E2855,"°","º"))-1)),""))))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IF(E2856="","",IF(LEFT(E2856,7)="SUBSOLO",-1,IF(LEFT(E2856,6)="TÉRREO",0,IFERROR(VALUE(LEFT(E2856,FIND("º",SUBSTITUTE(E2856,"°","º"))-1)),""))))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IF(E2857="","",IF(LEFT(E2857,7)="SUBSOLO",-1,IF(LEFT(E2857,6)="TÉRREO",0,IFERROR(VALUE(LEFT(E2857,FIND("º",SUBSTITUTE(E2857,"°","º"))-1)),""))))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IF(E2858="","",IF(LEFT(E2858,7)="SUBSOLO",-1,IF(LEFT(E2858,6)="TÉRREO",0,IFERROR(VALUE(LEFT(E2858,FIND("º",SUBSTITUTE(E2858,"°","º"))-1)),""))))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IF(E2859="","",IF(LEFT(E2859,7)="SUBSOLO",-1,IF(LEFT(E2859,6)="TÉRREO",0,IFERROR(VALUE(LEFT(E2859,FIND("º",SUBSTITUTE(E2859,"°","º"))-1)),""))))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IF(E2860="","",IF(LEFT(E2860,7)="SUBSOLO",-1,IF(LEFT(E2860,6)="TÉRREO",0,IFERROR(VALUE(LEFT(E2860,FIND("º",SUBSTITUTE(E2860,"°","º"))-1)),""))))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IF(E2861="","",IF(LEFT(E2861,7)="SUBSOLO",-1,IF(LEFT(E2861,6)="TÉRREO",0,IFERROR(VALUE(LEFT(E2861,FIND("º",SUBSTITUTE(E2861,"°","º"))-1)),""))))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IF(E2862="","",IF(LEFT(E2862,7)="SUBSOLO",-1,IF(LEFT(E2862,6)="TÉRREO",0,IFERROR(VALUE(LEFT(E2862,FIND("º",SUBSTITUTE(E2862,"°","º"))-1)),""))))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IF(E2863="","",IF(LEFT(E2863,7)="SUBSOLO",-1,IF(LEFT(E2863,6)="TÉRREO",0,IFERROR(VALUE(LEFT(E2863,FIND("º",SUBSTITUTE(E2863,"°","º"))-1)),""))))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IF(E2864="","",IF(LEFT(E2864,7)="SUBSOLO",-1,IF(LEFT(E2864,6)="TÉRREO",0,IFERROR(VALUE(LEFT(E2864,FIND("º",SUBSTITUTE(E2864,"°","º"))-1)),""))))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IF(E2865="","",IF(LEFT(E2865,7)="SUBSOLO",-1,IF(LEFT(E2865,6)="TÉRREO",0,IFERROR(VALUE(LEFT(E2865,FIND("º",SUBSTITUTE(E2865,"°","º"))-1)),""))))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IF(E2866="","",IF(LEFT(E2866,7)="SUBSOLO",-1,IF(LEFT(E2866,6)="TÉRREO",0,IFERROR(VALUE(LEFT(E2866,FIND("º",SUBSTITUTE(E2866,"°","º"))-1)),""))))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IF(E2867="","",IF(LEFT(E2867,7)="SUBSOLO",-1,IF(LEFT(E2867,6)="TÉRREO",0,IFERROR(VALUE(LEFT(E2867,FIND("º",SUBSTITUTE(E2867,"°","º"))-1)),""))))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IF(E2868="","",IF(LEFT(E2868,7)="SUBSOLO",-1,IF(LEFT(E2868,6)="TÉRREO",0,IFERROR(VALUE(LEFT(E2868,FIND("º",SUBSTITUTE(E2868,"°","º"))-1)),""))))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IF(E2869="","",IF(LEFT(E2869,7)="SUBSOLO",-1,IF(LEFT(E2869,6)="TÉRREO",0,IFERROR(VALUE(LEFT(E2869,FIND("º",SUBSTITUTE(E2869,"°","º"))-1)),""))))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IF(E2870="","",IF(LEFT(E2870,7)="SUBSOLO",-1,IF(LEFT(E2870,6)="TÉRREO",0,IFERROR(VALUE(LEFT(E2870,FIND("º",SUBSTITUTE(E2870,"°","º"))-1)),""))))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IF(E2871="","",IF(LEFT(E2871,7)="SUBSOLO",-1,IF(LEFT(E2871,6)="TÉRREO",0,IFERROR(VALUE(LEFT(E2871,FIND("º",SUBSTITUTE(E2871,"°","º"))-1)),""))))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IF(E2872="","",IF(LEFT(E2872,7)="SUBSOLO",-1,IF(LEFT(E2872,6)="TÉRREO",0,IFERROR(VALUE(LEFT(E2872,FIND("º",SUBSTITUTE(E2872,"°","º"))-1)),""))))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IF(E2873="","",IF(LEFT(E2873,7)="SUBSOLO",-1,IF(LEFT(E2873,6)="TÉRREO",0,IFERROR(VALUE(LEFT(E2873,FIND("º",SUBSTITUTE(E2873,"°","º"))-1)),""))))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IF(E2874="","",IF(LEFT(E2874,7)="SUBSOLO",-1,IF(LEFT(E2874,6)="TÉRREO",0,IFERROR(VALUE(LEFT(E2874,FIND("º",SUBSTITUTE(E2874,"°","º"))-1)),""))))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IF(E2875="","",IF(LEFT(E2875,7)="SUBSOLO",-1,IF(LEFT(E2875,6)="TÉRREO",0,IFERROR(VALUE(LEFT(E2875,FIND("º",SUBSTITUTE(E2875,"°","º"))-1)),""))))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IF(E2876="","",IF(LEFT(E2876,7)="SUBSOLO",-1,IF(LEFT(E2876,6)="TÉRREO",0,IFERROR(VALUE(LEFT(E2876,FIND("º",SUBSTITUTE(E2876,"°","º"))-1)),""))))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IF(E2877="","",IF(LEFT(E2877,7)="SUBSOLO",-1,IF(LEFT(E2877,6)="TÉRREO",0,IFERROR(VALUE(LEFT(E2877,FIND("º",SUBSTITUTE(E2877,"°","º"))-1)),""))))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IF(E2878="","",IF(LEFT(E2878,7)="SUBSOLO",-1,IF(LEFT(E2878,6)="TÉRREO",0,IFERROR(VALUE(LEFT(E2878,FIND("º",SUBSTITUTE(E2878,"°","º"))-1)),""))))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IF(E2879="","",IF(LEFT(E2879,7)="SUBSOLO",-1,IF(LEFT(E2879,6)="TÉRREO",0,IFERROR(VALUE(LEFT(E2879,FIND("º",SUBSTITUTE(E2879,"°","º"))-1)),""))))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IF(E2880="","",IF(LEFT(E2880,7)="SUBSOLO",-1,IF(LEFT(E2880,6)="TÉRREO",0,IFERROR(VALUE(LEFT(E2880,FIND("º",SUBSTITUTE(E2880,"°","º"))-1)),""))))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IF(E2881="","",IF(LEFT(E2881,7)="SUBSOLO",-1,IF(LEFT(E2881,6)="TÉRREO",0,IFERROR(VALUE(LEFT(E2881,FIND("º",SUBSTITUTE(E2881,"°","º"))-1)),""))))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IF(E2882="","",IF(LEFT(E2882,7)="SUBSOLO",-1,IF(LEFT(E2882,6)="TÉRREO",0,IFERROR(VALUE(LEFT(E2882,FIND("º",SUBSTITUTE(E2882,"°","º"))-1)),""))))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IF(E2883="","",IF(LEFT(E2883,7)="SUBSOLO",-1,IF(LEFT(E2883,6)="TÉRREO",0,IFERROR(VALUE(LEFT(E2883,FIND("º",SUBSTITUTE(E2883,"°","º"))-1)),""))))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IF(E2884="","",IF(LEFT(E2884,7)="SUBSOLO",-1,IF(LEFT(E2884,6)="TÉRREO",0,IFERROR(VALUE(LEFT(E2884,FIND("º",SUBSTITUTE(E2884,"°","º"))-1)),""))))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IF(E2885="","",IF(LEFT(E2885,7)="SUBSOLO",-1,IF(LEFT(E2885,6)="TÉRREO",0,IFERROR(VALUE(LEFT(E2885,FIND("º",SUBSTITUTE(E2885,"°","º"))-1)),""))))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IF(E2886="","",IF(LEFT(E2886,7)="SUBSOLO",-1,IF(LEFT(E2886,6)="TÉRREO",0,IFERROR(VALUE(LEFT(E2886,FIND("º",SUBSTITUTE(E2886,"°","º"))-1)),""))))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IF(E2887="","",IF(LEFT(E2887,7)="SUBSOLO",-1,IF(LEFT(E2887,6)="TÉRREO",0,IFERROR(VALUE(LEFT(E2887,FIND("º",SUBSTITUTE(E2887,"°","º"))-1)),""))))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IF(E2888="","",IF(LEFT(E2888,7)="SUBSOLO",-1,IF(LEFT(E2888,6)="TÉRREO",0,IFERROR(VALUE(LEFT(E2888,FIND("º",SUBSTITUTE(E2888,"°","º"))-1)),""))))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IF(E2889="","",IF(LEFT(E2889,7)="SUBSOLO",-1,IF(LEFT(E2889,6)="TÉRREO",0,IFERROR(VALUE(LEFT(E2889,FIND("º",SUBSTITUTE(E2889,"°","º"))-1)),""))))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IF(E2890="","",IF(LEFT(E2890,7)="SUBSOLO",-1,IF(LEFT(E2890,6)="TÉRREO",0,IFERROR(VALUE(LEFT(E2890,FIND("º",SUBSTITUTE(E2890,"°","º"))-1)),""))))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IF(E2891="","",IF(LEFT(E2891,7)="SUBSOLO",-1,IF(LEFT(E2891,6)="TÉRREO",0,IFERROR(VALUE(LEFT(E2891,FIND("º",SUBSTITUTE(E2891,"°","º"))-1)),""))))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IF(E2892="","",IF(LEFT(E2892,7)="SUBSOLO",-1,IF(LEFT(E2892,6)="TÉRREO",0,IFERROR(VALUE(LEFT(E2892,FIND("º",SUBSTITUTE(E2892,"°","º"))-1)),""))))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IF(E2893="","",IF(LEFT(E2893,7)="SUBSOLO",-1,IF(LEFT(E2893,6)="TÉRREO",0,IFERROR(VALUE(LEFT(E2893,FIND("º",SUBSTITUTE(E2893,"°","º"))-1)),""))))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IF(E2894="","",IF(LEFT(E2894,7)="SUBSOLO",-1,IF(LEFT(E2894,6)="TÉRREO",0,IFERROR(VALUE(LEFT(E2894,FIND("º",SUBSTITUTE(E2894,"°","º"))-1)),""))))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IF(E2895="","",IF(LEFT(E2895,7)="SUBSOLO",-1,IF(LEFT(E2895,6)="TÉRREO",0,IFERROR(VALUE(LEFT(E2895,FIND("º",SUBSTITUTE(E2895,"°","º"))-1)),""))))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IF(E2896="","",IF(LEFT(E2896,7)="SUBSOLO",-1,IF(LEFT(E2896,6)="TÉRREO",0,IFERROR(VALUE(LEFT(E2896,FIND("º",SUBSTITUTE(E2896,"°","º"))-1)),""))))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IF(E2897="","",IF(LEFT(E2897,7)="SUBSOLO",-1,IF(LEFT(E2897,6)="TÉRREO",0,IFERROR(VALUE(LEFT(E2897,FIND("º",SUBSTITUTE(E2897,"°","º"))-1)),""))))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IF(E2898="","",IF(LEFT(E2898,7)="SUBSOLO",-1,IF(LEFT(E2898,6)="TÉRREO",0,IFERROR(VALUE(LEFT(E2898,FIND("º",SUBSTITUTE(E2898,"°","º"))-1)),""))))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IF(E2899="","",IF(LEFT(E2899,7)="SUBSOLO",-1,IF(LEFT(E2899,6)="TÉRREO",0,IFERROR(VALUE(LEFT(E2899,FIND("º",SUBSTITUTE(E2899,"°","º"))-1)),""))))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IF(E2900="","",IF(LEFT(E2900,7)="SUBSOLO",-1,IF(LEFT(E2900,6)="TÉRREO",0,IFERROR(VALUE(LEFT(E2900,FIND("º",SUBSTITUTE(E2900,"°","º"))-1)),""))))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IF(E2901="","",IF(LEFT(E2901,7)="SUBSOLO",-1,IF(LEFT(E2901,6)="TÉRREO",0,IFERROR(VALUE(LEFT(E2901,FIND("º",SUBSTITUTE(E2901,"°","º"))-1)),""))))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IF(E2902="","",IF(LEFT(E2902,7)="SUBSOLO",-1,IF(LEFT(E2902,6)="TÉRREO",0,IFERROR(VALUE(LEFT(E2902,FIND("º",SUBSTITUTE(E2902,"°","º"))-1)),""))))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IF(E2903="","",IF(LEFT(E2903,7)="SUBSOLO",-1,IF(LEFT(E2903,6)="TÉRREO",0,IFERROR(VALUE(LEFT(E2903,FIND("º",SUBSTITUTE(E2903,"°","º"))-1)),""))))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IF(E2904="","",IF(LEFT(E2904,7)="SUBSOLO",-1,IF(LEFT(E2904,6)="TÉRREO",0,IFERROR(VALUE(LEFT(E2904,FIND("º",SUBSTITUTE(E2904,"°","º"))-1)),""))))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IF(E2905="","",IF(LEFT(E2905,7)="SUBSOLO",-1,IF(LEFT(E2905,6)="TÉRREO",0,IFERROR(VALUE(LEFT(E2905,FIND("º",SUBSTITUTE(E2905,"°","º"))-1)),""))))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IF(E2906="","",IF(LEFT(E2906,7)="SUBSOLO",-1,IF(LEFT(E2906,6)="TÉRREO",0,IFERROR(VALUE(LEFT(E2906,FIND("º",SUBSTITUTE(E2906,"°","º"))-1)),""))))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IF(E2907="","",IF(LEFT(E2907,7)="SUBSOLO",-1,IF(LEFT(E2907,6)="TÉRREO",0,IFERROR(VALUE(LEFT(E2907,FIND("º",SUBSTITUTE(E2907,"°","º"))-1)),""))))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IF(E2908="","",IF(LEFT(E2908,7)="SUBSOLO",-1,IF(LEFT(E2908,6)="TÉRREO",0,IFERROR(VALUE(LEFT(E2908,FIND("º",SUBSTITUTE(E2908,"°","º"))-1)),""))))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IF(E2909="","",IF(LEFT(E2909,7)="SUBSOLO",-1,IF(LEFT(E2909,6)="TÉRREO",0,IFERROR(VALUE(LEFT(E2909,FIND("º",SUBSTITUTE(E2909,"°","º"))-1)),""))))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IF(E2910="","",IF(LEFT(E2910,7)="SUBSOLO",-1,IF(LEFT(E2910,6)="TÉRREO",0,IFERROR(VALUE(LEFT(E2910,FIND("º",SUBSTITUTE(E2910,"°","º"))-1)),""))))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IF(E2911="","",IF(LEFT(E2911,7)="SUBSOLO",-1,IF(LEFT(E2911,6)="TÉRREO",0,IFERROR(VALUE(LEFT(E2911,FIND("º",SUBSTITUTE(E2911,"°","º"))-1)),""))))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IF(E2912="","",IF(LEFT(E2912,7)="SUBSOLO",-1,IF(LEFT(E2912,6)="TÉRREO",0,IFERROR(VALUE(LEFT(E2912,FIND("º",SUBSTITUTE(E2912,"°","º"))-1)),""))))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IF(E2913="","",IF(LEFT(E2913,7)="SUBSOLO",-1,IF(LEFT(E2913,6)="TÉRREO",0,IFERROR(VALUE(LEFT(E2913,FIND("º",SUBSTITUTE(E2913,"°","º"))-1)),""))))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IF(E2914="","",IF(LEFT(E2914,7)="SUBSOLO",-1,IF(LEFT(E2914,6)="TÉRREO",0,IFERROR(VALUE(LEFT(E2914,FIND("º",SUBSTITUTE(E2914,"°","º"))-1)),""))))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IF(E2915="","",IF(LEFT(E2915,7)="SUBSOLO",-1,IF(LEFT(E2915,6)="TÉRREO",0,IFERROR(VALUE(LEFT(E2915,FIND("º",SUBSTITUTE(E2915,"°","º"))-1)),""))))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IF(E2916="","",IF(LEFT(E2916,7)="SUBSOLO",-1,IF(LEFT(E2916,6)="TÉRREO",0,IFERROR(VALUE(LEFT(E2916,FIND("º",SUBSTITUTE(E2916,"°","º"))-1)),""))))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IF(E2917="","",IF(LEFT(E2917,7)="SUBSOLO",-1,IF(LEFT(E2917,6)="TÉRREO",0,IFERROR(VALUE(LEFT(E2917,FIND("º",SUBSTITUTE(E2917,"°","º"))-1)),""))))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IF(E2918="","",IF(LEFT(E2918,7)="SUBSOLO",-1,IF(LEFT(E2918,6)="TÉRREO",0,IFERROR(VALUE(LEFT(E2918,FIND("º",SUBSTITUTE(E2918,"°","º"))-1)),""))))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IF(E2919="","",IF(LEFT(E2919,7)="SUBSOLO",-1,IF(LEFT(E2919,6)="TÉRREO",0,IFERROR(VALUE(LEFT(E2919,FIND("º",SUBSTITUTE(E2919,"°","º"))-1)),""))))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IF(E2920="","",IF(LEFT(E2920,7)="SUBSOLO",-1,IF(LEFT(E2920,6)="TÉRREO",0,IFERROR(VALUE(LEFT(E2920,FIND("º",SUBSTITUTE(E2920,"°","º"))-1)),""))))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IF(E2921="","",IF(LEFT(E2921,7)="SUBSOLO",-1,IF(LEFT(E2921,6)="TÉRREO",0,IFERROR(VALUE(LEFT(E2921,FIND("º",SUBSTITUTE(E2921,"°","º"))-1)),""))))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IF(E2922="","",IF(LEFT(E2922,7)="SUBSOLO",-1,IF(LEFT(E2922,6)="TÉRREO",0,IFERROR(VALUE(LEFT(E2922,FIND("º",SUBSTITUTE(E2922,"°","º"))-1)),""))))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IF(E2923="","",IF(LEFT(E2923,7)="SUBSOLO",-1,IF(LEFT(E2923,6)="TÉRREO",0,IFERROR(VALUE(LEFT(E2923,FIND("º",SUBSTITUTE(E2923,"°","º"))-1)),""))))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IF(E2924="","",IF(LEFT(E2924,7)="SUBSOLO",-1,IF(LEFT(E2924,6)="TÉRREO",0,IFERROR(VALUE(LEFT(E2924,FIND("º",SUBSTITUTE(E2924,"°","º"))-1)),""))))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IF(E2925="","",IF(LEFT(E2925,7)="SUBSOLO",-1,IF(LEFT(E2925,6)="TÉRREO",0,IFERROR(VALUE(LEFT(E2925,FIND("º",SUBSTITUTE(E2925,"°","º"))-1)),""))))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IF(E2926="","",IF(LEFT(E2926,7)="SUBSOLO",-1,IF(LEFT(E2926,6)="TÉRREO",0,IFERROR(VALUE(LEFT(E2926,FIND("º",SUBSTITUTE(E2926,"°","º"))-1)),""))))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IF(E2927="","",IF(LEFT(E2927,7)="SUBSOLO",-1,IF(LEFT(E2927,6)="TÉRREO",0,IFERROR(VALUE(LEFT(E2927,FIND("º",SUBSTITUTE(E2927,"°","º"))-1)),""))))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IF(E2928="","",IF(LEFT(E2928,7)="SUBSOLO",-1,IF(LEFT(E2928,6)="TÉRREO",0,IFERROR(VALUE(LEFT(E2928,FIND("º",SUBSTITUTE(E2928,"°","º"))-1)),""))))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IF(E2929="","",IF(LEFT(E2929,7)="SUBSOLO",-1,IF(LEFT(E2929,6)="TÉRREO",0,IFERROR(VALUE(LEFT(E2929,FIND("º",SUBSTITUTE(E2929,"°","º"))-1)),""))))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IF(E2930="","",IF(LEFT(E2930,7)="SUBSOLO",-1,IF(LEFT(E2930,6)="TÉRREO",0,IFERROR(VALUE(LEFT(E2930,FIND("º",SUBSTITUTE(E2930,"°","º"))-1)),""))))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IF(E2931="","",IF(LEFT(E2931,7)="SUBSOLO",-1,IF(LEFT(E2931,6)="TÉRREO",0,IFERROR(VALUE(LEFT(E2931,FIND("º",SUBSTITUTE(E2931,"°","º"))-1)),""))))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IF(E2932="","",IF(LEFT(E2932,7)="SUBSOLO",-1,IF(LEFT(E2932,6)="TÉRREO",0,IFERROR(VALUE(LEFT(E2932,FIND("º",SUBSTITUTE(E2932,"°","º"))-1)),""))))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IF(E2933="","",IF(LEFT(E2933,7)="SUBSOLO",-1,IF(LEFT(E2933,6)="TÉRREO",0,IFERROR(VALUE(LEFT(E2933,FIND("º",SUBSTITUTE(E2933,"°","º"))-1)),""))))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IF(E2934="","",IF(LEFT(E2934,7)="SUBSOLO",-1,IF(LEFT(E2934,6)="TÉRREO",0,IFERROR(VALUE(LEFT(E2934,FIND("º",SUBSTITUTE(E2934,"°","º"))-1)),""))))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IF(E2935="","",IF(LEFT(E2935,7)="SUBSOLO",-1,IF(LEFT(E2935,6)="TÉRREO",0,IFERROR(VALUE(LEFT(E2935,FIND("º",SUBSTITUTE(E2935,"°","º"))-1)),""))))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IF(E2936="","",IF(LEFT(E2936,7)="SUBSOLO",-1,IF(LEFT(E2936,6)="TÉRREO",0,IFERROR(VALUE(LEFT(E2936,FIND("º",SUBSTITUTE(E2936,"°","º"))-1)),""))))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IF(E2937="","",IF(LEFT(E2937,7)="SUBSOLO",-1,IF(LEFT(E2937,6)="TÉRREO",0,IFERROR(VALUE(LEFT(E2937,FIND("º",SUBSTITUTE(E2937,"°","º"))-1)),""))))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IF(E2938="","",IF(LEFT(E2938,7)="SUBSOLO",-1,IF(LEFT(E2938,6)="TÉRREO",0,IFERROR(VALUE(LEFT(E2938,FIND("º",SUBSTITUTE(E2938,"°","º"))-1)),""))))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IF(E2939="","",IF(LEFT(E2939,7)="SUBSOLO",-1,IF(LEFT(E2939,6)="TÉRREO",0,IFERROR(VALUE(LEFT(E2939,FIND("º",SUBSTITUTE(E2939,"°","º"))-1)),""))))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IF(E2940="","",IF(LEFT(E2940,7)="SUBSOLO",-1,IF(LEFT(E2940,6)="TÉRREO",0,IFERROR(VALUE(LEFT(E2940,FIND("º",SUBSTITUTE(E2940,"°","º"))-1)),""))))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IF(E2941="","",IF(LEFT(E2941,7)="SUBSOLO",-1,IF(LEFT(E2941,6)="TÉRREO",0,IFERROR(VALUE(LEFT(E2941,FIND("º",SUBSTITUTE(E2941,"°","º"))-1)),""))))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IF(E2942="","",IF(LEFT(E2942,7)="SUBSOLO",-1,IF(LEFT(E2942,6)="TÉRREO",0,IFERROR(VALUE(LEFT(E2942,FIND("º",SUBSTITUTE(E2942,"°","º"))-1)),""))))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IF(E2943="","",IF(LEFT(E2943,7)="SUBSOLO",-1,IF(LEFT(E2943,6)="TÉRREO",0,IFERROR(VALUE(LEFT(E2943,FIND("º",SUBSTITUTE(E2943,"°","º"))-1)),""))))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IF(E2944="","",IF(LEFT(E2944,7)="SUBSOLO",-1,IF(LEFT(E2944,6)="TÉRREO",0,IFERROR(VALUE(LEFT(E2944,FIND("º",SUBSTITUTE(E2944,"°","º"))-1)),""))))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IF(E2945="","",IF(LEFT(E2945,7)="SUBSOLO",-1,IF(LEFT(E2945,6)="TÉRREO",0,IFERROR(VALUE(LEFT(E2945,FIND("º",SUBSTITUTE(E2945,"°","º"))-1)),""))))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IF(E2946="","",IF(LEFT(E2946,7)="SUBSOLO",-1,IF(LEFT(E2946,6)="TÉRREO",0,IFERROR(VALUE(LEFT(E2946,FIND("º",SUBSTITUTE(E2946,"°","º"))-1)),""))))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IF(E2947="","",IF(LEFT(E2947,7)="SUBSOLO",-1,IF(LEFT(E2947,6)="TÉRREO",0,IFERROR(VALUE(LEFT(E2947,FIND("º",SUBSTITUTE(E2947,"°","º"))-1)),""))))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IF(E2948="","",IF(LEFT(E2948,7)="SUBSOLO",-1,IF(LEFT(E2948,6)="TÉRREO",0,IFERROR(VALUE(LEFT(E2948,FIND("º",SUBSTITUTE(E2948,"°","º"))-1)),""))))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IF(E2949="","",IF(LEFT(E2949,7)="SUBSOLO",-1,IF(LEFT(E2949,6)="TÉRREO",0,IFERROR(VALUE(LEFT(E2949,FIND("º",SUBSTITUTE(E2949,"°","º"))-1)),""))))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IF(E2950="","",IF(LEFT(E2950,7)="SUBSOLO",-1,IF(LEFT(E2950,6)="TÉRREO",0,IFERROR(VALUE(LEFT(E2950,FIND("º",SUBSTITUTE(E2950,"°","º"))-1)),""))))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IF(E2951="","",IF(LEFT(E2951,7)="SUBSOLO",-1,IF(LEFT(E2951,6)="TÉRREO",0,IFERROR(VALUE(LEFT(E2951,FIND("º",SUBSTITUTE(E2951,"°","º"))-1)),""))))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IF(E2952="","",IF(LEFT(E2952,7)="SUBSOLO",-1,IF(LEFT(E2952,6)="TÉRREO",0,IFERROR(VALUE(LEFT(E2952,FIND("º",SUBSTITUTE(E2952,"°","º"))-1)),""))))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IF(E2953="","",IF(LEFT(E2953,7)="SUBSOLO",-1,IF(LEFT(E2953,6)="TÉRREO",0,IFERROR(VALUE(LEFT(E2953,FIND("º",SUBSTITUTE(E2953,"°","º"))-1)),""))))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IF(E2954="","",IF(LEFT(E2954,7)="SUBSOLO",-1,IF(LEFT(E2954,6)="TÉRREO",0,IFERROR(VALUE(LEFT(E2954,FIND("º",SUBSTITUTE(E2954,"°","º"))-1)),""))))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IF(E2955="","",IF(LEFT(E2955,7)="SUBSOLO",-1,IF(LEFT(E2955,6)="TÉRREO",0,IFERROR(VALUE(LEFT(E2955,FIND("º",SUBSTITUTE(E2955,"°","º"))-1)),""))))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IF(E2956="","",IF(LEFT(E2956,7)="SUBSOLO",-1,IF(LEFT(E2956,6)="TÉRREO",0,IFERROR(VALUE(LEFT(E2956,FIND("º",SUBSTITUTE(E2956,"°","º"))-1)),""))))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IF(E2957="","",IF(LEFT(E2957,7)="SUBSOLO",-1,IF(LEFT(E2957,6)="TÉRREO",0,IFERROR(VALUE(LEFT(E2957,FIND("º",SUBSTITUTE(E2957,"°","º"))-1)),""))))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IF(E2958="","",IF(LEFT(E2958,7)="SUBSOLO",-1,IF(LEFT(E2958,6)="TÉRREO",0,IFERROR(VALUE(LEFT(E2958,FIND("º",SUBSTITUTE(E2958,"°","º"))-1)),""))))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IF(E2959="","",IF(LEFT(E2959,7)="SUBSOLO",-1,IF(LEFT(E2959,6)="TÉRREO",0,IFERROR(VALUE(LEFT(E2959,FIND("º",SUBSTITUTE(E2959,"°","º"))-1)),""))))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IF(E2960="","",IF(LEFT(E2960,7)="SUBSOLO",-1,IF(LEFT(E2960,6)="TÉRREO",0,IFERROR(VALUE(LEFT(E2960,FIND("º",SUBSTITUTE(E2960,"°","º"))-1)),""))))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IF(E2961="","",IF(LEFT(E2961,7)="SUBSOLO",-1,IF(LEFT(E2961,6)="TÉRREO",0,IFERROR(VALUE(LEFT(E2961,FIND("º",SUBSTITUTE(E2961,"°","º"))-1)),""))))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IF(E2962="","",IF(LEFT(E2962,7)="SUBSOLO",-1,IF(LEFT(E2962,6)="TÉRREO",0,IFERROR(VALUE(LEFT(E2962,FIND("º",SUBSTITUTE(E2962,"°","º"))-1)),""))))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IF(E2963="","",IF(LEFT(E2963,7)="SUBSOLO",-1,IF(LEFT(E2963,6)="TÉRREO",0,IFERROR(VALUE(LEFT(E2963,FIND("º",SUBSTITUTE(E2963,"°","º"))-1)),""))))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IF(E2964="","",IF(LEFT(E2964,7)="SUBSOLO",-1,IF(LEFT(E2964,6)="TÉRREO",0,IFERROR(VALUE(LEFT(E2964,FIND("º",SUBSTITUTE(E2964,"°","º"))-1)),""))))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IF(E2965="","",IF(LEFT(E2965,7)="SUBSOLO",-1,IF(LEFT(E2965,6)="TÉRREO",0,IFERROR(VALUE(LEFT(E2965,FIND("º",SUBSTITUTE(E2965,"°","º"))-1)),""))))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IF(E2966="","",IF(LEFT(E2966,7)="SUBSOLO",-1,IF(LEFT(E2966,6)="TÉRREO",0,IFERROR(VALUE(LEFT(E2966,FIND("º",SUBSTITUTE(E2966,"°","º"))-1)),""))))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IF(E2967="","",IF(LEFT(E2967,7)="SUBSOLO",-1,IF(LEFT(E2967,6)="TÉRREO",0,IFERROR(VALUE(LEFT(E2967,FIND("º",SUBSTITUTE(E2967,"°","º"))-1)),""))))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IF(E2968="","",IF(LEFT(E2968,7)="SUBSOLO",-1,IF(LEFT(E2968,6)="TÉRREO",0,IFERROR(VALUE(LEFT(E2968,FIND("º",SUBSTITUTE(E2968,"°","º"))-1)),""))))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IF(E2969="","",IF(LEFT(E2969,7)="SUBSOLO",-1,IF(LEFT(E2969,6)="TÉRREO",0,IFERROR(VALUE(LEFT(E2969,FIND("º",SUBSTITUTE(E2969,"°","º"))-1)),""))))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IF(E2970="","",IF(LEFT(E2970,7)="SUBSOLO",-1,IF(LEFT(E2970,6)="TÉRREO",0,IFERROR(VALUE(LEFT(E2970,FIND("º",SUBSTITUTE(E2970,"°","º"))-1)),""))))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IF(E2971="","",IF(LEFT(E2971,7)="SUBSOLO",-1,IF(LEFT(E2971,6)="TÉRREO",0,IFERROR(VALUE(LEFT(E2971,FIND("º",SUBSTITUTE(E2971,"°","º"))-1)),""))))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IF(E2972="","",IF(LEFT(E2972,7)="SUBSOLO",-1,IF(LEFT(E2972,6)="TÉRREO",0,IFERROR(VALUE(LEFT(E2972,FIND("º",SUBSTITUTE(E2972,"°","º"))-1)),""))))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IF(E2973="","",IF(LEFT(E2973,7)="SUBSOLO",-1,IF(LEFT(E2973,6)="TÉRREO",0,IFERROR(VALUE(LEFT(E2973,FIND("º",SUBSTITUTE(E2973,"°","º"))-1)),""))))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IF(E2974="","",IF(LEFT(E2974,7)="SUBSOLO",-1,IF(LEFT(E2974,6)="TÉRREO",0,IFERROR(VALUE(LEFT(E2974,FIND("º",SUBSTITUTE(E2974,"°","º"))-1)),""))))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IF(E2975="","",IF(LEFT(E2975,7)="SUBSOLO",-1,IF(LEFT(E2975,6)="TÉRREO",0,IFERROR(VALUE(LEFT(E2975,FIND("º",SUBSTITUTE(E2975,"°","º"))-1)),""))))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IF(E2976="","",IF(LEFT(E2976,7)="SUBSOLO",-1,IF(LEFT(E2976,6)="TÉRREO",0,IFERROR(VALUE(LEFT(E2976,FIND("º",SUBSTITUTE(E2976,"°","º"))-1)),""))))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IF(E2977="","",IF(LEFT(E2977,7)="SUBSOLO",-1,IF(LEFT(E2977,6)="TÉRREO",0,IFERROR(VALUE(LEFT(E2977,FIND("º",SUBSTITUTE(E2977,"°","º"))-1)),""))))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IF(E2978="","",IF(LEFT(E2978,7)="SUBSOLO",-1,IF(LEFT(E2978,6)="TÉRREO",0,IFERROR(VALUE(LEFT(E2978,FIND("º",SUBSTITUTE(E2978,"°","º"))-1)),""))))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IF(E2979="","",IF(LEFT(E2979,7)="SUBSOLO",-1,IF(LEFT(E2979,6)="TÉRREO",0,IFERROR(VALUE(LEFT(E2979,FIND("º",SUBSTITUTE(E2979,"°","º"))-1)),""))))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IF(E2980="","",IF(LEFT(E2980,7)="SUBSOLO",-1,IF(LEFT(E2980,6)="TÉRREO",0,IFERROR(VALUE(LEFT(E2980,FIND("º",SUBSTITUTE(E2980,"°","º"))-1)),""))))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IF(E2981="","",IF(LEFT(E2981,7)="SUBSOLO",-1,IF(LEFT(E2981,6)="TÉRREO",0,IFERROR(VALUE(LEFT(E2981,FIND("º",SUBSTITUTE(E2981,"°","º"))-1)),""))))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IF(E2982="","",IF(LEFT(E2982,7)="SUBSOLO",-1,IF(LEFT(E2982,6)="TÉRREO",0,IFERROR(VALUE(LEFT(E2982,FIND("º",SUBSTITUTE(E2982,"°","º"))-1)),""))))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IF(E2983="","",IF(LEFT(E2983,7)="SUBSOLO",-1,IF(LEFT(E2983,6)="TÉRREO",0,IFERROR(VALUE(LEFT(E2983,FIND("º",SUBSTITUTE(E2983,"°","º"))-1)),""))))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IF(E2984="","",IF(LEFT(E2984,7)="SUBSOLO",-1,IF(LEFT(E2984,6)="TÉRREO",0,IFERROR(VALUE(LEFT(E2984,FIND("º",SUBSTITUTE(E2984,"°","º"))-1)),""))))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IF(E2985="","",IF(LEFT(E2985,7)="SUBSOLO",-1,IF(LEFT(E2985,6)="TÉRREO",0,IFERROR(VALUE(LEFT(E2985,FIND("º",SUBSTITUTE(E2985,"°","º"))-1)),""))))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IF(E2986="","",IF(LEFT(E2986,7)="SUBSOLO",-1,IF(LEFT(E2986,6)="TÉRREO",0,IFERROR(VALUE(LEFT(E2986,FIND("º",SUBSTITUTE(E2986,"°","º"))-1)),""))))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IF(E2987="","",IF(LEFT(E2987,7)="SUBSOLO",-1,IF(LEFT(E2987,6)="TÉRREO",0,IFERROR(VALUE(LEFT(E2987,FIND("º",SUBSTITUTE(E2987,"°","º"))-1)),""))))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IF(E2988="","",IF(LEFT(E2988,7)="SUBSOLO",-1,IF(LEFT(E2988,6)="TÉRREO",0,IFERROR(VALUE(LEFT(E2988,FIND("º",SUBSTITUTE(E2988,"°","º"))-1)),""))))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IF(E2989="","",IF(LEFT(E2989,7)="SUBSOLO",-1,IF(LEFT(E2989,6)="TÉRREO",0,IFERROR(VALUE(LEFT(E2989,FIND("º",SUBSTITUTE(E2989,"°","º"))-1)),""))))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IF(E2990="","",IF(LEFT(E2990,7)="SUBSOLO",-1,IF(LEFT(E2990,6)="TÉRREO",0,IFERROR(VALUE(LEFT(E2990,FIND("º",SUBSTITUTE(E2990,"°","º"))-1)),""))))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IF(E2991="","",IF(LEFT(E2991,7)="SUBSOLO",-1,IF(LEFT(E2991,6)="TÉRREO",0,IFERROR(VALUE(LEFT(E2991,FIND("º",SUBSTITUTE(E2991,"°","º"))-1)),""))))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IF(E2992="","",IF(LEFT(E2992,7)="SUBSOLO",-1,IF(LEFT(E2992,6)="TÉRREO",0,IFERROR(VALUE(LEFT(E2992,FIND("º",SUBSTITUTE(E2992,"°","º"))-1)),""))))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IF(E2993="","",IF(LEFT(E2993,7)="SUBSOLO",-1,IF(LEFT(E2993,6)="TÉRREO",0,IFERROR(VALUE(LEFT(E2993,FIND("º",SUBSTITUTE(E2993,"°","º"))-1)),""))))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IF(E2994="","",IF(LEFT(E2994,7)="SUBSOLO",-1,IF(LEFT(E2994,6)="TÉRREO",0,IFERROR(VALUE(LEFT(E2994,FIND("º",SUBSTITUTE(E2994,"°","º"))-1)),""))))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IF(E2995="","",IF(LEFT(E2995,7)="SUBSOLO",-1,IF(LEFT(E2995,6)="TÉRREO",0,IFERROR(VALUE(LEFT(E2995,FIND("º",SUBSTITUTE(E2995,"°","º"))-1)),""))))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IF(E2996="","",IF(LEFT(E2996,7)="SUBSOLO",-1,IF(LEFT(E2996,6)="TÉRREO",0,IFERROR(VALUE(LEFT(E2996,FIND("º",SUBSTITUTE(E2996,"°","º"))-1)),""))))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IF(E2997="","",IF(LEFT(E2997,7)="SUBSOLO",-1,IF(LEFT(E2997,6)="TÉRREO",0,IFERROR(VALUE(LEFT(E2997,FIND("º",SUBSTITUTE(E2997,"°","º"))-1)),""))))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IF(E2998="","",IF(LEFT(E2998,7)="SUBSOLO",-1,IF(LEFT(E2998,6)="TÉRREO",0,IFERROR(VALUE(LEFT(E2998,FIND("º",SUBSTITUTE(E2998,"°","º"))-1)),""))))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IF(E2999="","",IF(LEFT(E2999,7)="SUBSOLO",-1,IF(LEFT(E2999,6)="TÉRREO",0,IFERROR(VALUE(LEFT(E2999,FIND("º",SUBSTITUTE(E2999,"°","º"))-1)),""))))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IF(E3000="","",IF(LEFT(E3000,7)="SUBSOLO",-1,IF(LEFT(E3000,6)="TÉRREO",0,IFERROR(VALUE(LEFT(E3000,FIND("º",SUBSTITUTE(E3000,"°","º"))-1)),""))))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IF(E3001="","",IF(LEFT(E3001,7)="SUBSOLO",-1,IF(LEFT(E3001,6)="TÉRREO",0,IFERROR(VALUE(LEFT(E3001,FIND("º",SUBSTITUTE(E3001,"°","º"))-1)),""))))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IF(E3002="","",IF(LEFT(E3002,7)="SUBSOLO",-1,IF(LEFT(E3002,6)="TÉRREO",0,IFERROR(VALUE(LEFT(E3002,FIND("º",SUBSTITUTE(E3002,"°","º"))-1)),""))))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IF(E3003="","",IF(LEFT(E3003,7)="SUBSOLO",-1,IF(LEFT(E3003,6)="TÉRREO",0,IFERROR(VALUE(LEFT(E3003,FIND("º",SUBSTITUTE(E3003,"°","º"))-1)),""))))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IF(E3004="","",IF(LEFT(E3004,7)="SUBSOLO",-1,IF(LEFT(E3004,6)="TÉRREO",0,IFERROR(VALUE(LEFT(E3004,FIND("º",SUBSTITUTE(E3004,"°","º"))-1)),""))))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3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70">
        <f>COUNTIF('CURVA PREVISION'!$I$2:$KZ$2,"??/??/????")+COUNT('CURVA PREVISION'!$I$2:$KZ$2)</f>
        <v/>
      </c>
    </row>
    <row r="3">
      <c r="C3" s="116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9" t="inlineStr">
        <is>
          <t>PL</t>
        </is>
      </c>
      <c r="B4" s="59" t="inlineStr">
        <is>
          <t>DESCRIÇÃO</t>
        </is>
      </c>
      <c r="C4" s="59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1">
        <f>IF('VALOR POR PL'!Q11="",'VALOR POR PL'!C11,'VALOR POR PL'!Q11)</f>
        <v/>
      </c>
      <c r="B5" s="61">
        <f>'VALOR POR PL'!D11</f>
        <v/>
      </c>
      <c r="C5" s="70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1">
        <f>IF('VALOR POR PL'!Q12="",'VALOR POR PL'!C12,'VALOR POR PL'!Q12)</f>
        <v/>
      </c>
      <c r="B6" s="61">
        <f>'VALOR POR PL'!D12</f>
        <v/>
      </c>
      <c r="C6" s="70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1">
        <f>IF('VALOR POR PL'!Q13="",'VALOR POR PL'!C13,'VALOR POR PL'!Q13)</f>
        <v/>
      </c>
      <c r="B7" s="61">
        <f>'VALOR POR PL'!D13</f>
        <v/>
      </c>
      <c r="C7" s="70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1">
        <f>IF('VALOR POR PL'!Q14="",'VALOR POR PL'!C14,'VALOR POR PL'!Q14)</f>
        <v/>
      </c>
      <c r="B8" s="61">
        <f>'VALOR POR PL'!D14</f>
        <v/>
      </c>
      <c r="C8" s="70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1">
        <f>IF('VALOR POR PL'!Q15="",'VALOR POR PL'!C15,'VALOR POR PL'!Q15)</f>
        <v/>
      </c>
      <c r="B9" s="61">
        <f>'VALOR POR PL'!D15</f>
        <v/>
      </c>
      <c r="C9" s="70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1">
        <f>IF('VALOR POR PL'!Q16="",'VALOR POR PL'!C16,'VALOR POR PL'!Q16)</f>
        <v/>
      </c>
      <c r="B10" s="61">
        <f>'VALOR POR PL'!D16</f>
        <v/>
      </c>
      <c r="C10" s="70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1">
        <f>IF('VALOR POR PL'!Q17="",'VALOR POR PL'!C17,'VALOR POR PL'!Q17)</f>
        <v/>
      </c>
      <c r="B11" s="61">
        <f>'VALOR POR PL'!D17</f>
        <v/>
      </c>
      <c r="C11" s="70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1">
        <f>IF('VALOR POR PL'!Q18="",'VALOR POR PL'!C18,'VALOR POR PL'!Q18)</f>
        <v/>
      </c>
      <c r="B12" s="61">
        <f>'VALOR POR PL'!D18</f>
        <v/>
      </c>
      <c r="C12" s="70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1">
        <f>IF('VALOR POR PL'!Q19="",'VALOR POR PL'!C19,'VALOR POR PL'!Q19)</f>
        <v/>
      </c>
      <c r="B13" s="61">
        <f>'VALOR POR PL'!D19</f>
        <v/>
      </c>
      <c r="C13" s="70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1">
        <f>IF('VALOR POR PL'!Q20="",'VALOR POR PL'!C20,'VALOR POR PL'!Q20)</f>
        <v/>
      </c>
      <c r="B14" s="61">
        <f>'VALOR POR PL'!D20</f>
        <v/>
      </c>
      <c r="C14" s="70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1">
        <f>IF('VALOR POR PL'!Q21="",'VALOR POR PL'!C21,'VALOR POR PL'!Q21)</f>
        <v/>
      </c>
      <c r="B15" s="61">
        <f>'VALOR POR PL'!D21</f>
        <v/>
      </c>
      <c r="C15" s="70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1">
        <f>IF('VALOR POR PL'!Q22="",'VALOR POR PL'!C22,'VALOR POR PL'!Q22)</f>
        <v/>
      </c>
      <c r="B16" s="61">
        <f>'VALOR POR PL'!D22</f>
        <v/>
      </c>
      <c r="C16" s="70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1">
        <f>IF('VALOR POR PL'!Q23="",'VALOR POR PL'!C23,'VALOR POR PL'!Q23)</f>
        <v/>
      </c>
      <c r="B17" s="61">
        <f>'VALOR POR PL'!D23</f>
        <v/>
      </c>
      <c r="C17" s="70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1">
        <f>IF('VALOR POR PL'!Q24="",'VALOR POR PL'!C24,'VALOR POR PL'!Q24)</f>
        <v/>
      </c>
      <c r="B18" s="61">
        <f>'VALOR POR PL'!D24</f>
        <v/>
      </c>
      <c r="C18" s="70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1">
        <f>IF('VALOR POR PL'!Q25="",'VALOR POR PL'!C25,'VALOR POR PL'!Q25)</f>
        <v/>
      </c>
      <c r="B19" s="61">
        <f>'VALOR POR PL'!D25</f>
        <v/>
      </c>
      <c r="C19" s="70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1">
        <f>IF('VALOR POR PL'!Q26="",'VALOR POR PL'!C26,'VALOR POR PL'!Q26)</f>
        <v/>
      </c>
      <c r="B20" s="61">
        <f>'VALOR POR PL'!D26</f>
        <v/>
      </c>
      <c r="C20" s="70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1">
        <f>IF('VALOR POR PL'!Q27="",'VALOR POR PL'!C27,'VALOR POR PL'!Q27)</f>
        <v/>
      </c>
      <c r="B21" s="61">
        <f>'VALOR POR PL'!D27</f>
        <v/>
      </c>
      <c r="C21" s="70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1">
        <f>IF('VALOR POR PL'!Q28="",'VALOR POR PL'!C28,'VALOR POR PL'!Q28)</f>
        <v/>
      </c>
      <c r="B22" s="61">
        <f>'VALOR POR PL'!D28</f>
        <v/>
      </c>
      <c r="C22" s="70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1">
        <f>IF('VALOR POR PL'!Q29="",'VALOR POR PL'!C29,'VALOR POR PL'!Q29)</f>
        <v/>
      </c>
      <c r="B23" s="61">
        <f>'VALOR POR PL'!D29</f>
        <v/>
      </c>
      <c r="C23" s="70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1">
        <f>IF('VALOR POR PL'!Q30="",'VALOR POR PL'!C30,'VALOR POR PL'!Q30)</f>
        <v/>
      </c>
      <c r="B24" s="61">
        <f>'VALOR POR PL'!D30</f>
        <v/>
      </c>
      <c r="C24" s="70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1">
        <f>IF('VALOR POR PL'!Q31="",'VALOR POR PL'!C31,'VALOR POR PL'!Q31)</f>
        <v/>
      </c>
      <c r="B25" s="61">
        <f>'VALOR POR PL'!D31</f>
        <v/>
      </c>
      <c r="C25" s="70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1">
        <f>IF('VALOR POR PL'!Q32="",'VALOR POR PL'!C32,'VALOR POR PL'!Q32)</f>
        <v/>
      </c>
      <c r="B26" s="61">
        <f>'VALOR POR PL'!D32</f>
        <v/>
      </c>
      <c r="C26" s="70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1">
        <f>IF('VALOR POR PL'!Q33="",'VALOR POR PL'!C33,'VALOR POR PL'!Q33)</f>
        <v/>
      </c>
      <c r="B27" s="61">
        <f>'VALOR POR PL'!D33</f>
        <v/>
      </c>
      <c r="C27" s="70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1">
        <f>IF('VALOR POR PL'!Q34="",'VALOR POR PL'!C34,'VALOR POR PL'!Q34)</f>
        <v/>
      </c>
      <c r="B28" s="61">
        <f>'VALOR POR PL'!D34</f>
        <v/>
      </c>
      <c r="C28" s="70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1">
        <f>IF('VALOR POR PL'!Q35="",'VALOR POR PL'!C35,'VALOR POR PL'!Q35)</f>
        <v/>
      </c>
      <c r="B29" s="61">
        <f>'VALOR POR PL'!D35</f>
        <v/>
      </c>
      <c r="C29" s="70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1">
        <f>IF('VALOR POR PL'!Q36="",'VALOR POR PL'!C36,'VALOR POR PL'!Q36)</f>
        <v/>
      </c>
      <c r="B30" s="61">
        <f>'VALOR POR PL'!D36</f>
        <v/>
      </c>
      <c r="C30" s="70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1">
        <f>IF('VALOR POR PL'!Q37="",'VALOR POR PL'!C37,'VALOR POR PL'!Q37)</f>
        <v/>
      </c>
      <c r="B31" s="61">
        <f>'VALOR POR PL'!D37</f>
        <v/>
      </c>
      <c r="C31" s="70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1">
        <f>IF('VALOR POR PL'!Q38="",'VALOR POR PL'!C38,'VALOR POR PL'!Q38)</f>
        <v/>
      </c>
      <c r="B32" s="61">
        <f>'VALOR POR PL'!D38</f>
        <v/>
      </c>
      <c r="C32" s="70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1">
        <f>IF('VALOR POR PL'!Q39="",'VALOR POR PL'!C39,'VALOR POR PL'!Q39)</f>
        <v/>
      </c>
      <c r="B33" s="61">
        <f>'VALOR POR PL'!D39</f>
        <v/>
      </c>
      <c r="C33" s="70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1">
        <f>IF('VALOR POR PL'!Q40="",'VALOR POR PL'!C40,'VALOR POR PL'!Q40)</f>
        <v/>
      </c>
      <c r="B34" s="61">
        <f>'VALOR POR PL'!D40</f>
        <v/>
      </c>
      <c r="C34" s="70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1">
        <f>IF('VALOR POR PL'!Q41="",'VALOR POR PL'!C41,'VALOR POR PL'!Q41)</f>
        <v/>
      </c>
      <c r="B35" s="61">
        <f>'VALOR POR PL'!D41</f>
        <v/>
      </c>
      <c r="C35" s="70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1">
        <f>IF('VALOR POR PL'!Q42="",'VALOR POR PL'!C42,'VALOR POR PL'!Q42)</f>
        <v/>
      </c>
      <c r="B36" s="61">
        <f>'VALOR POR PL'!D42</f>
        <v/>
      </c>
      <c r="C36" s="70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1">
        <f>IF('VALOR POR PL'!Q43="",'VALOR POR PL'!C43,'VALOR POR PL'!Q43)</f>
        <v/>
      </c>
      <c r="B37" s="61">
        <f>'VALOR POR PL'!D43</f>
        <v/>
      </c>
      <c r="C37" s="70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1">
        <f>IF('VALOR POR PL'!Q44="",'VALOR POR PL'!C44,'VALOR POR PL'!Q44)</f>
        <v/>
      </c>
      <c r="B38" s="61">
        <f>'VALOR POR PL'!D44</f>
        <v/>
      </c>
      <c r="C38" s="70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1">
        <f>IF('VALOR POR PL'!Q45="",'VALOR POR PL'!C45,'VALOR POR PL'!Q45)</f>
        <v/>
      </c>
      <c r="B39" s="61">
        <f>'VALOR POR PL'!D45</f>
        <v/>
      </c>
      <c r="C39" s="70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1">
        <f>IF('VALOR POR PL'!Q46="",'VALOR POR PL'!C46,'VALOR POR PL'!Q46)</f>
        <v/>
      </c>
      <c r="B40" s="61">
        <f>'VALOR POR PL'!D46</f>
        <v/>
      </c>
      <c r="C40" s="70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1">
        <f>IF('VALOR POR PL'!Q47="",'VALOR POR PL'!C47,'VALOR POR PL'!Q47)</f>
        <v/>
      </c>
      <c r="B41" s="61">
        <f>'VALOR POR PL'!D47</f>
        <v/>
      </c>
      <c r="C41" s="70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1">
        <f>IF('VALOR POR PL'!Q48="",'VALOR POR PL'!C48,'VALOR POR PL'!Q48)</f>
        <v/>
      </c>
      <c r="B42" s="61">
        <f>'VALOR POR PL'!D48</f>
        <v/>
      </c>
      <c r="C42" s="70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9" t="inlineStr">
        <is>
          <t>PL</t>
        </is>
      </c>
      <c r="B46" s="59" t="inlineStr">
        <is>
          <t>DESCRIÇÃO</t>
        </is>
      </c>
      <c r="C46" s="59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52">
        <f>A5</f>
        <v/>
      </c>
      <c r="B47" s="52">
        <f>B5</f>
        <v/>
      </c>
      <c r="C47" s="69">
        <f>C5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52">
        <f>A6</f>
        <v/>
      </c>
      <c r="B48" s="52">
        <f>B6</f>
        <v/>
      </c>
      <c r="C48" s="69">
        <f>C6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52">
        <f>A7</f>
        <v/>
      </c>
      <c r="B49" s="52">
        <f>B7</f>
        <v/>
      </c>
      <c r="C49" s="69">
        <f>C7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52">
        <f>A8</f>
        <v/>
      </c>
      <c r="B50" s="52">
        <f>B8</f>
        <v/>
      </c>
      <c r="C50" s="69">
        <f>C8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52">
        <f>A9</f>
        <v/>
      </c>
      <c r="B51" s="52">
        <f>B9</f>
        <v/>
      </c>
      <c r="C51" s="69">
        <f>C9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52">
        <f>A10</f>
        <v/>
      </c>
      <c r="B52" s="52">
        <f>B10</f>
        <v/>
      </c>
      <c r="C52" s="69">
        <f>C10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52">
        <f>A11</f>
        <v/>
      </c>
      <c r="B53" s="52">
        <f>B11</f>
        <v/>
      </c>
      <c r="C53" s="69">
        <f>C11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52">
        <f>A12</f>
        <v/>
      </c>
      <c r="B54" s="52">
        <f>B12</f>
        <v/>
      </c>
      <c r="C54" s="69">
        <f>C12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52">
        <f>A13</f>
        <v/>
      </c>
      <c r="B55" s="52">
        <f>B13</f>
        <v/>
      </c>
      <c r="C55" s="69">
        <f>C13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52">
        <f>A14</f>
        <v/>
      </c>
      <c r="B56" s="52">
        <f>B14</f>
        <v/>
      </c>
      <c r="C56" s="69">
        <f>C14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52">
        <f>A15</f>
        <v/>
      </c>
      <c r="B57" s="52">
        <f>B15</f>
        <v/>
      </c>
      <c r="C57" s="69">
        <f>C15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52">
        <f>A16</f>
        <v/>
      </c>
      <c r="B58" s="52">
        <f>B16</f>
        <v/>
      </c>
      <c r="C58" s="69">
        <f>C16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52">
        <f>A17</f>
        <v/>
      </c>
      <c r="B59" s="52">
        <f>B17</f>
        <v/>
      </c>
      <c r="C59" s="69">
        <f>C17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52">
        <f>A18</f>
        <v/>
      </c>
      <c r="B60" s="52">
        <f>B18</f>
        <v/>
      </c>
      <c r="C60" s="69">
        <f>C18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52">
        <f>A19</f>
        <v/>
      </c>
      <c r="B61" s="52">
        <f>B19</f>
        <v/>
      </c>
      <c r="C61" s="69">
        <f>C19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52">
        <f>A20</f>
        <v/>
      </c>
      <c r="B62" s="52">
        <f>B20</f>
        <v/>
      </c>
      <c r="C62" s="69">
        <f>C20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52">
        <f>A21</f>
        <v/>
      </c>
      <c r="B63" s="52">
        <f>B21</f>
        <v/>
      </c>
      <c r="C63" s="69">
        <f>C21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52">
        <f>A22</f>
        <v/>
      </c>
      <c r="B64" s="52">
        <f>B22</f>
        <v/>
      </c>
      <c r="C64" s="69">
        <f>C22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52">
        <f>A23</f>
        <v/>
      </c>
      <c r="B65" s="52">
        <f>B23</f>
        <v/>
      </c>
      <c r="C65" s="69">
        <f>C23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52">
        <f>A24</f>
        <v/>
      </c>
      <c r="B66" s="52">
        <f>B24</f>
        <v/>
      </c>
      <c r="C66" s="69">
        <f>C24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52">
        <f>A25</f>
        <v/>
      </c>
      <c r="B67" s="52">
        <f>B25</f>
        <v/>
      </c>
      <c r="C67" s="69">
        <f>C25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52">
        <f>A26</f>
        <v/>
      </c>
      <c r="B68" s="52">
        <f>B26</f>
        <v/>
      </c>
      <c r="C68" s="69">
        <f>C26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52">
        <f>A27</f>
        <v/>
      </c>
      <c r="B69" s="52">
        <f>B27</f>
        <v/>
      </c>
      <c r="C69" s="69">
        <f>C27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52">
        <f>A28</f>
        <v/>
      </c>
      <c r="B70" s="52">
        <f>B28</f>
        <v/>
      </c>
      <c r="C70" s="69">
        <f>C28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52">
        <f>A29</f>
        <v/>
      </c>
      <c r="B71" s="52">
        <f>B29</f>
        <v/>
      </c>
      <c r="C71" s="69">
        <f>C29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52">
        <f>A30</f>
        <v/>
      </c>
      <c r="B72" s="52">
        <f>B30</f>
        <v/>
      </c>
      <c r="C72" s="69">
        <f>C30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52">
        <f>A31</f>
        <v/>
      </c>
      <c r="B73" s="52">
        <f>B31</f>
        <v/>
      </c>
      <c r="C73" s="69">
        <f>C31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52">
        <f>A32</f>
        <v/>
      </c>
      <c r="B74" s="52">
        <f>B32</f>
        <v/>
      </c>
      <c r="C74" s="69">
        <f>C32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52">
        <f>A33</f>
        <v/>
      </c>
      <c r="B75" s="52">
        <f>B33</f>
        <v/>
      </c>
      <c r="C75" s="69">
        <f>C33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52">
        <f>A34</f>
        <v/>
      </c>
      <c r="B76" s="52">
        <f>B34</f>
        <v/>
      </c>
      <c r="C76" s="69">
        <f>C34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52">
        <f>A35</f>
        <v/>
      </c>
      <c r="B77" s="52">
        <f>B35</f>
        <v/>
      </c>
      <c r="C77" s="69">
        <f>C35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52">
        <f>A36</f>
        <v/>
      </c>
      <c r="B78" s="52">
        <f>B36</f>
        <v/>
      </c>
      <c r="C78" s="69">
        <f>C36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52">
        <f>A37</f>
        <v/>
      </c>
      <c r="B79" s="52">
        <f>B37</f>
        <v/>
      </c>
      <c r="C79" s="69">
        <f>C37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52">
        <f>A38</f>
        <v/>
      </c>
      <c r="B80" s="52">
        <f>B38</f>
        <v/>
      </c>
      <c r="C80" s="69">
        <f>C38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52">
        <f>A39</f>
        <v/>
      </c>
      <c r="B81" s="52">
        <f>B39</f>
        <v/>
      </c>
      <c r="C81" s="69">
        <f>C39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52">
        <f>A40</f>
        <v/>
      </c>
      <c r="B82" s="52">
        <f>B40</f>
        <v/>
      </c>
      <c r="C82" s="69">
        <f>C40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52">
        <f>A41</f>
        <v/>
      </c>
      <c r="B83" s="52">
        <f>B41</f>
        <v/>
      </c>
      <c r="C83" s="69">
        <f>C41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52">
        <f>A42</f>
        <v/>
      </c>
      <c r="B84" s="52">
        <f>B42</f>
        <v/>
      </c>
      <c r="C84" s="69">
        <f>C42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3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</row>
    <row r="2">
      <c r="A2" s="2" t="inlineStr">
        <is>
          <t>Grupos do ERP sem correspondência →</t>
        </is>
      </c>
      <c r="C2" s="69">
        <f>SUMPRODUCT(('DADOS BRUTOS'!$A$3:$A$500&lt;&gt;"")*(COUNTIF($B$5:$C$42,'DADOS BRUTOS'!$A$3:$A$500)=0)*(COUNTIF($A$50:$A$69,'DADOS BRUTOS'!$A$3:$A$500)=0))</f>
        <v/>
      </c>
      <c r="CB2" s="116" t="inlineStr">
        <is>
          <t>CÁLCULO AUXILIAR — soma por coluna da aba DADOS BRUTOS (não editar)</t>
        </is>
      </c>
    </row>
    <row r="3">
      <c r="D3" s="116" t="inlineStr">
        <is>
          <t>Acu até →</t>
        </is>
      </c>
      <c r="CB3" s="116">
        <f>"B"</f>
        <v/>
      </c>
      <c r="CC3" s="116">
        <f>"C"</f>
        <v/>
      </c>
      <c r="CD3" s="116">
        <f>"D"</f>
        <v/>
      </c>
      <c r="CE3" s="116">
        <f>"E"</f>
        <v/>
      </c>
      <c r="CF3" s="116">
        <f>"F"</f>
        <v/>
      </c>
      <c r="CG3" s="116">
        <f>"G"</f>
        <v/>
      </c>
      <c r="CH3" s="116">
        <f>"H"</f>
        <v/>
      </c>
      <c r="CI3" s="116">
        <f>"I"</f>
        <v/>
      </c>
      <c r="CJ3" s="116">
        <f>"J"</f>
        <v/>
      </c>
      <c r="CK3" s="116">
        <f>"K"</f>
        <v/>
      </c>
      <c r="CL3" s="116">
        <f>"L"</f>
        <v/>
      </c>
      <c r="CM3" s="116">
        <f>"M"</f>
        <v/>
      </c>
      <c r="CN3" s="116">
        <f>"N"</f>
        <v/>
      </c>
      <c r="CO3" s="116">
        <f>"O"</f>
        <v/>
      </c>
      <c r="CP3" s="116">
        <f>"P"</f>
        <v/>
      </c>
      <c r="CQ3" s="116">
        <f>"Q"</f>
        <v/>
      </c>
      <c r="CR3" s="116">
        <f>"R"</f>
        <v/>
      </c>
      <c r="CS3" s="116">
        <f>"S"</f>
        <v/>
      </c>
      <c r="CT3" s="116">
        <f>"T"</f>
        <v/>
      </c>
      <c r="CU3" s="116">
        <f>"U"</f>
        <v/>
      </c>
      <c r="CV3" s="116">
        <f>"V"</f>
        <v/>
      </c>
      <c r="CW3" s="116">
        <f>"W"</f>
        <v/>
      </c>
      <c r="CX3" s="116">
        <f>"X"</f>
        <v/>
      </c>
      <c r="CY3" s="116">
        <f>"Y"</f>
        <v/>
      </c>
      <c r="CZ3" s="116">
        <f>"Z"</f>
        <v/>
      </c>
      <c r="DA3" s="116">
        <f>"AA"</f>
        <v/>
      </c>
      <c r="DB3" s="116">
        <f>"AB"</f>
        <v/>
      </c>
      <c r="DC3" s="116">
        <f>"AC"</f>
        <v/>
      </c>
      <c r="DD3" s="116">
        <f>"AD"</f>
        <v/>
      </c>
      <c r="DE3" s="116">
        <f>"AE"</f>
        <v/>
      </c>
      <c r="DF3" s="116">
        <f>"AF"</f>
        <v/>
      </c>
      <c r="DG3" s="116">
        <f>"AG"</f>
        <v/>
      </c>
      <c r="DH3" s="116">
        <f>"AH"</f>
        <v/>
      </c>
      <c r="DI3" s="116">
        <f>"AI"</f>
        <v/>
      </c>
      <c r="DJ3" s="116">
        <f>"AJ"</f>
        <v/>
      </c>
      <c r="DK3" s="116">
        <f>"AK"</f>
        <v/>
      </c>
      <c r="DL3" s="116">
        <f>"AL"</f>
        <v/>
      </c>
      <c r="DM3" s="116">
        <f>"AM"</f>
        <v/>
      </c>
      <c r="DN3" s="116">
        <f>"AN"</f>
        <v/>
      </c>
      <c r="DO3" s="116">
        <f>"AO"</f>
        <v/>
      </c>
      <c r="DP3" s="116">
        <f>"AP"</f>
        <v/>
      </c>
      <c r="DQ3" s="116">
        <f>"AQ"</f>
        <v/>
      </c>
      <c r="DR3" s="116">
        <f>"AR"</f>
        <v/>
      </c>
      <c r="DS3" s="116">
        <f>"AS"</f>
        <v/>
      </c>
      <c r="DT3" s="116">
        <f>"AT"</f>
        <v/>
      </c>
      <c r="DU3" s="116">
        <f>"AU"</f>
        <v/>
      </c>
      <c r="DV3" s="116">
        <f>"AV"</f>
        <v/>
      </c>
      <c r="DW3" s="116">
        <f>"AW"</f>
        <v/>
      </c>
      <c r="DX3" s="116">
        <f>"AX"</f>
        <v/>
      </c>
      <c r="DY3" s="116">
        <f>"AY"</f>
        <v/>
      </c>
      <c r="DZ3" s="116">
        <f>"AZ"</f>
        <v/>
      </c>
      <c r="EA3" s="116">
        <f>"BA"</f>
        <v/>
      </c>
      <c r="EB3" s="116">
        <f>"BB"</f>
        <v/>
      </c>
      <c r="EC3" s="116">
        <f>"BC"</f>
        <v/>
      </c>
      <c r="ED3" s="116">
        <f>"BD"</f>
        <v/>
      </c>
      <c r="EE3" s="116">
        <f>"BE"</f>
        <v/>
      </c>
      <c r="EF3" s="116">
        <f>"BF"</f>
        <v/>
      </c>
      <c r="EG3" s="116">
        <f>"BG"</f>
        <v/>
      </c>
      <c r="EH3" s="116">
        <f>"BH"</f>
        <v/>
      </c>
      <c r="EI3" s="116">
        <f>"BI"</f>
        <v/>
      </c>
      <c r="EJ3" s="116">
        <f>"BJ"</f>
        <v/>
      </c>
      <c r="EK3" s="116">
        <f>"BK"</f>
        <v/>
      </c>
      <c r="EL3" s="116">
        <f>"BL"</f>
        <v/>
      </c>
      <c r="EM3" s="116">
        <f>"BM"</f>
        <v/>
      </c>
      <c r="EN3" s="116">
        <f>"BN"</f>
        <v/>
      </c>
      <c r="EO3" s="116">
        <f>"BO"</f>
        <v/>
      </c>
      <c r="EP3" s="116">
        <f>"BP"</f>
        <v/>
      </c>
      <c r="EQ3" s="116">
        <f>"BQ"</f>
        <v/>
      </c>
      <c r="ER3" s="116">
        <f>"BR"</f>
        <v/>
      </c>
      <c r="ES3" s="116">
        <f>"BS"</f>
        <v/>
      </c>
      <c r="ET3" s="116">
        <f>"BT"</f>
        <v/>
      </c>
      <c r="EU3" s="116">
        <f>"BU"</f>
        <v/>
      </c>
      <c r="EV3" s="116">
        <f>"BV"</f>
        <v/>
      </c>
      <c r="EW3" s="116">
        <f>"BW"</f>
        <v/>
      </c>
      <c r="EX3" s="116">
        <f>"BX"</f>
        <v/>
      </c>
      <c r="EY3" s="116">
        <f>"BY"</f>
        <v/>
      </c>
      <c r="EZ3" s="116">
        <f>"BZ"</f>
        <v/>
      </c>
      <c r="FA3" s="116">
        <f>"CA"</f>
        <v/>
      </c>
      <c r="FB3" s="116">
        <f>"CB"</f>
        <v/>
      </c>
      <c r="FC3" s="116">
        <f>"CC"</f>
        <v/>
      </c>
      <c r="FD3" s="116">
        <f>"CD"</f>
        <v/>
      </c>
      <c r="FE3" s="116">
        <f>"CE"</f>
        <v/>
      </c>
      <c r="FF3" s="116">
        <f>"CF"</f>
        <v/>
      </c>
      <c r="FG3" s="116">
        <f>"CG"</f>
        <v/>
      </c>
      <c r="FH3" s="116">
        <f>"CH"</f>
        <v/>
      </c>
      <c r="FI3" s="116">
        <f>"CI"</f>
        <v/>
      </c>
      <c r="FJ3" s="116">
        <f>"CJ"</f>
        <v/>
      </c>
      <c r="FK3" s="116">
        <f>"CK"</f>
        <v/>
      </c>
      <c r="FL3" s="116">
        <f>"CL"</f>
        <v/>
      </c>
      <c r="FM3" s="116">
        <f>"CM"</f>
        <v/>
      </c>
      <c r="FN3" s="116">
        <f>"CN"</f>
        <v/>
      </c>
      <c r="FO3" s="116">
        <f>"CO"</f>
        <v/>
      </c>
      <c r="FP3" s="116">
        <f>"CP"</f>
        <v/>
      </c>
      <c r="FQ3" s="116">
        <f>"CQ"</f>
        <v/>
      </c>
      <c r="FR3" s="116">
        <f>"CR"</f>
        <v/>
      </c>
      <c r="FS3" s="116">
        <f>"CS"</f>
        <v/>
      </c>
      <c r="FT3" s="116">
        <f>"CT"</f>
        <v/>
      </c>
      <c r="FU3" s="116">
        <f>"CU"</f>
        <v/>
      </c>
      <c r="FV3" s="116">
        <f>"CV"</f>
        <v/>
      </c>
      <c r="FW3" s="116">
        <f>"CW"</f>
        <v/>
      </c>
      <c r="FX3" s="116">
        <f>"CX"</f>
        <v/>
      </c>
      <c r="FY3" s="116">
        <f>"CY"</f>
        <v/>
      </c>
      <c r="FZ3" s="116">
        <f>"CZ"</f>
        <v/>
      </c>
      <c r="GA3" s="116">
        <f>"DA"</f>
        <v/>
      </c>
      <c r="GB3" s="116">
        <f>"DB"</f>
        <v/>
      </c>
      <c r="GC3" s="116">
        <f>"DC"</f>
        <v/>
      </c>
      <c r="GD3" s="116">
        <f>"DD"</f>
        <v/>
      </c>
      <c r="GE3" s="116">
        <f>"DE"</f>
        <v/>
      </c>
      <c r="GF3" s="116">
        <f>"DF"</f>
        <v/>
      </c>
      <c r="GG3" s="116">
        <f>"DG"</f>
        <v/>
      </c>
      <c r="GH3" s="116">
        <f>"DH"</f>
        <v/>
      </c>
      <c r="GI3" s="116">
        <f>"DI"</f>
        <v/>
      </c>
      <c r="GJ3" s="116">
        <f>"DJ"</f>
        <v/>
      </c>
      <c r="GK3" s="116">
        <f>"DK"</f>
        <v/>
      </c>
      <c r="GL3" s="116">
        <f>"DL"</f>
        <v/>
      </c>
      <c r="GM3" s="116">
        <f>"DM"</f>
        <v/>
      </c>
      <c r="GN3" s="116">
        <f>"DN"</f>
        <v/>
      </c>
      <c r="GO3" s="116">
        <f>"DO"</f>
        <v/>
      </c>
      <c r="GP3" s="116">
        <f>"DP"</f>
        <v/>
      </c>
      <c r="GQ3" s="116">
        <f>"DQ"</f>
        <v/>
      </c>
      <c r="GR3" s="116">
        <f>"DR"</f>
        <v/>
      </c>
      <c r="GS3" s="116">
        <f>"DS"</f>
        <v/>
      </c>
      <c r="GT3" s="116">
        <f>"DT"</f>
        <v/>
      </c>
      <c r="GU3" s="116">
        <f>"DU"</f>
        <v/>
      </c>
      <c r="GV3" s="116">
        <f>"DV"</f>
        <v/>
      </c>
      <c r="GW3" s="116">
        <f>"DW"</f>
        <v/>
      </c>
      <c r="GX3" s="116">
        <f>"DX"</f>
        <v/>
      </c>
      <c r="GY3" s="116">
        <f>"DY"</f>
        <v/>
      </c>
      <c r="GZ3" s="116">
        <f>"DZ"</f>
        <v/>
      </c>
      <c r="HA3" s="116">
        <f>"EA"</f>
        <v/>
      </c>
      <c r="HB3" s="116">
        <f>"EB"</f>
        <v/>
      </c>
      <c r="HC3" s="116">
        <f>"EC"</f>
        <v/>
      </c>
      <c r="HD3" s="116">
        <f>"ED"</f>
        <v/>
      </c>
      <c r="HE3" s="116">
        <f>"EE"</f>
        <v/>
      </c>
      <c r="HF3" s="116">
        <f>"EF"</f>
        <v/>
      </c>
      <c r="HG3" s="116">
        <f>"EG"</f>
        <v/>
      </c>
      <c r="HH3" s="116">
        <f>"EH"</f>
        <v/>
      </c>
      <c r="HI3" s="116">
        <f>"EI"</f>
        <v/>
      </c>
      <c r="HJ3" s="116">
        <f>"EJ"</f>
        <v/>
      </c>
      <c r="HK3" s="116">
        <f>"EK"</f>
        <v/>
      </c>
      <c r="HL3" s="116">
        <f>"EL"</f>
        <v/>
      </c>
      <c r="HM3" s="116">
        <f>"EM"</f>
        <v/>
      </c>
      <c r="HN3" s="116">
        <f>"EN"</f>
        <v/>
      </c>
      <c r="HO3" s="116">
        <f>"EO"</f>
        <v/>
      </c>
      <c r="HP3" s="116">
        <f>"EP"</f>
        <v/>
      </c>
      <c r="HQ3" s="116">
        <f>"EQ"</f>
        <v/>
      </c>
      <c r="HR3" s="116">
        <f>"ER"</f>
        <v/>
      </c>
      <c r="HS3" s="116">
        <f>"ES"</f>
        <v/>
      </c>
      <c r="HT3" s="116">
        <f>"ET"</f>
        <v/>
      </c>
      <c r="HU3" s="116">
        <f>"EU"</f>
        <v/>
      </c>
      <c r="HV3" s="116">
        <f>"EV"</f>
        <v/>
      </c>
      <c r="HW3" s="116">
        <f>"EW"</f>
        <v/>
      </c>
      <c r="HX3" s="116">
        <f>"EX"</f>
        <v/>
      </c>
      <c r="HY3" s="116">
        <f>"EY"</f>
        <v/>
      </c>
      <c r="HZ3" s="116">
        <f>"EZ"</f>
        <v/>
      </c>
      <c r="IA3" s="116">
        <f>"FA"</f>
        <v/>
      </c>
      <c r="IB3" s="116">
        <f>"FB"</f>
        <v/>
      </c>
      <c r="IC3" s="116">
        <f>"FC"</f>
        <v/>
      </c>
      <c r="ID3" s="116">
        <f>"FD"</f>
        <v/>
      </c>
      <c r="IE3" s="116">
        <f>"FE"</f>
        <v/>
      </c>
      <c r="IF3" s="116">
        <f>"FF"</f>
        <v/>
      </c>
      <c r="IG3" s="116">
        <f>"FG"</f>
        <v/>
      </c>
      <c r="IH3" s="116">
        <f>"FH"</f>
        <v/>
      </c>
      <c r="II3" s="116">
        <f>"FI"</f>
        <v/>
      </c>
      <c r="IJ3" s="116">
        <f>"FJ"</f>
        <v/>
      </c>
      <c r="IK3" s="116">
        <f>"FK"</f>
        <v/>
      </c>
      <c r="IL3" s="116">
        <f>"FL"</f>
        <v/>
      </c>
      <c r="IM3" s="116">
        <f>"FM"</f>
        <v/>
      </c>
      <c r="IN3" s="116">
        <f>"FN"</f>
        <v/>
      </c>
      <c r="IO3" s="116">
        <f>"FO"</f>
        <v/>
      </c>
      <c r="IP3" s="116">
        <f>"FP"</f>
        <v/>
      </c>
      <c r="IQ3" s="116">
        <f>"FQ"</f>
        <v/>
      </c>
      <c r="IR3" s="116">
        <f>"FR"</f>
        <v/>
      </c>
      <c r="IS3" s="116">
        <f>"FS"</f>
        <v/>
      </c>
      <c r="IT3" s="116">
        <f>"FT"</f>
        <v/>
      </c>
      <c r="IU3" s="116">
        <f>"FU"</f>
        <v/>
      </c>
      <c r="IV3" s="116">
        <f>"FV"</f>
        <v/>
      </c>
      <c r="IW3" s="116">
        <f>"FW"</f>
        <v/>
      </c>
      <c r="IX3" s="116">
        <f>"FX"</f>
        <v/>
      </c>
      <c r="IY3" s="116">
        <f>"FY"</f>
        <v/>
      </c>
      <c r="IZ3" s="116">
        <f>"FZ"</f>
        <v/>
      </c>
      <c r="JA3" s="116">
        <f>"GA"</f>
        <v/>
      </c>
      <c r="JB3" s="116">
        <f>"GB"</f>
        <v/>
      </c>
      <c r="JC3" s="116">
        <f>"GC"</f>
        <v/>
      </c>
      <c r="JD3" s="116">
        <f>"GD"</f>
        <v/>
      </c>
      <c r="JE3" s="116">
        <f>"GE"</f>
        <v/>
      </c>
      <c r="JF3" s="116">
        <f>"GF"</f>
        <v/>
      </c>
      <c r="JG3" s="116">
        <f>"GG"</f>
        <v/>
      </c>
      <c r="JH3" s="116">
        <f>"GH"</f>
        <v/>
      </c>
      <c r="JI3" s="116">
        <f>"GI"</f>
        <v/>
      </c>
      <c r="JJ3" s="116">
        <f>"GJ"</f>
        <v/>
      </c>
      <c r="JK3" s="116">
        <f>"GK"</f>
        <v/>
      </c>
      <c r="JL3" s="116">
        <f>"GL"</f>
        <v/>
      </c>
      <c r="JM3" s="116">
        <f>"GM"</f>
        <v/>
      </c>
      <c r="JN3" s="116">
        <f>"GN"</f>
        <v/>
      </c>
      <c r="JO3" s="116">
        <f>"GO"</f>
        <v/>
      </c>
      <c r="JP3" s="116">
        <f>"GP"</f>
        <v/>
      </c>
      <c r="JQ3" s="116">
        <f>"GQ"</f>
        <v/>
      </c>
      <c r="JR3" s="116">
        <f>"GR"</f>
        <v/>
      </c>
      <c r="JS3" s="116">
        <f>"GS"</f>
        <v/>
      </c>
    </row>
    <row r="4">
      <c r="A4" s="59" t="inlineStr">
        <is>
          <t>ITEM</t>
        </is>
      </c>
      <c r="B4" s="59" t="inlineStr">
        <is>
          <t>NOME NO ERP (1)</t>
        </is>
      </c>
      <c r="C4" s="59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9" t="inlineStr">
        <is>
          <t>FORA DO
HORIZONTE</t>
        </is>
      </c>
      <c r="BY4" s="59" t="inlineStr">
        <is>
          <t>TOTAL NO ERP</t>
        </is>
      </c>
      <c r="CB4" s="112">
        <f>IF(ISNUMBER('DADOS BRUTOS'!B$2),DATE(YEAR('DADOS BRUTOS'!B$2),MONTH('DADOS BRUTOS'!B$2),1),"")</f>
        <v/>
      </c>
      <c r="CC4" s="112">
        <f>IF(ISNUMBER('DADOS BRUTOS'!C$2),DATE(YEAR('DADOS BRUTOS'!C$2),MONTH('DADOS BRUTOS'!C$2),1),"")</f>
        <v/>
      </c>
      <c r="CD4" s="112">
        <f>IF(ISNUMBER('DADOS BRUTOS'!D$2),DATE(YEAR('DADOS BRUTOS'!D$2),MONTH('DADOS BRUTOS'!D$2),1),"")</f>
        <v/>
      </c>
      <c r="CE4" s="112">
        <f>IF(ISNUMBER('DADOS BRUTOS'!E$2),DATE(YEAR('DADOS BRUTOS'!E$2),MONTH('DADOS BRUTOS'!E$2),1),"")</f>
        <v/>
      </c>
      <c r="CF4" s="112">
        <f>IF(ISNUMBER('DADOS BRUTOS'!F$2),DATE(YEAR('DADOS BRUTOS'!F$2),MONTH('DADOS BRUTOS'!F$2),1),"")</f>
        <v/>
      </c>
      <c r="CG4" s="112">
        <f>IF(ISNUMBER('DADOS BRUTOS'!G$2),DATE(YEAR('DADOS BRUTOS'!G$2),MONTH('DADOS BRUTOS'!G$2),1),"")</f>
        <v/>
      </c>
      <c r="CH4" s="112">
        <f>IF(ISNUMBER('DADOS BRUTOS'!H$2),DATE(YEAR('DADOS BRUTOS'!H$2),MONTH('DADOS BRUTOS'!H$2),1),"")</f>
        <v/>
      </c>
      <c r="CI4" s="112">
        <f>IF(ISNUMBER('DADOS BRUTOS'!I$2),DATE(YEAR('DADOS BRUTOS'!I$2),MONTH('DADOS BRUTOS'!I$2),1),"")</f>
        <v/>
      </c>
      <c r="CJ4" s="112">
        <f>IF(ISNUMBER('DADOS BRUTOS'!J$2),DATE(YEAR('DADOS BRUTOS'!J$2),MONTH('DADOS BRUTOS'!J$2),1),"")</f>
        <v/>
      </c>
      <c r="CK4" s="112">
        <f>IF(ISNUMBER('DADOS BRUTOS'!K$2),DATE(YEAR('DADOS BRUTOS'!K$2),MONTH('DADOS BRUTOS'!K$2),1),"")</f>
        <v/>
      </c>
      <c r="CL4" s="112">
        <f>IF(ISNUMBER('DADOS BRUTOS'!L$2),DATE(YEAR('DADOS BRUTOS'!L$2),MONTH('DADOS BRUTOS'!L$2),1),"")</f>
        <v/>
      </c>
      <c r="CM4" s="112">
        <f>IF(ISNUMBER('DADOS BRUTOS'!M$2),DATE(YEAR('DADOS BRUTOS'!M$2),MONTH('DADOS BRUTOS'!M$2),1),"")</f>
        <v/>
      </c>
      <c r="CN4" s="112">
        <f>IF(ISNUMBER('DADOS BRUTOS'!N$2),DATE(YEAR('DADOS BRUTOS'!N$2),MONTH('DADOS BRUTOS'!N$2),1),"")</f>
        <v/>
      </c>
      <c r="CO4" s="112">
        <f>IF(ISNUMBER('DADOS BRUTOS'!O$2),DATE(YEAR('DADOS BRUTOS'!O$2),MONTH('DADOS BRUTOS'!O$2),1),"")</f>
        <v/>
      </c>
      <c r="CP4" s="112">
        <f>IF(ISNUMBER('DADOS BRUTOS'!P$2),DATE(YEAR('DADOS BRUTOS'!P$2),MONTH('DADOS BRUTOS'!P$2),1),"")</f>
        <v/>
      </c>
      <c r="CQ4" s="112">
        <f>IF(ISNUMBER('DADOS BRUTOS'!Q$2),DATE(YEAR('DADOS BRUTOS'!Q$2),MONTH('DADOS BRUTOS'!Q$2),1),"")</f>
        <v/>
      </c>
      <c r="CR4" s="112">
        <f>IF(ISNUMBER('DADOS BRUTOS'!R$2),DATE(YEAR('DADOS BRUTOS'!R$2),MONTH('DADOS BRUTOS'!R$2),1),"")</f>
        <v/>
      </c>
      <c r="CS4" s="112">
        <f>IF(ISNUMBER('DADOS BRUTOS'!S$2),DATE(YEAR('DADOS BRUTOS'!S$2),MONTH('DADOS BRUTOS'!S$2),1),"")</f>
        <v/>
      </c>
      <c r="CT4" s="112">
        <f>IF(ISNUMBER('DADOS BRUTOS'!T$2),DATE(YEAR('DADOS BRUTOS'!T$2),MONTH('DADOS BRUTOS'!T$2),1),"")</f>
        <v/>
      </c>
      <c r="CU4" s="112">
        <f>IF(ISNUMBER('DADOS BRUTOS'!U$2),DATE(YEAR('DADOS BRUTOS'!U$2),MONTH('DADOS BRUTOS'!U$2),1),"")</f>
        <v/>
      </c>
      <c r="CV4" s="112">
        <f>IF(ISNUMBER('DADOS BRUTOS'!V$2),DATE(YEAR('DADOS BRUTOS'!V$2),MONTH('DADOS BRUTOS'!V$2),1),"")</f>
        <v/>
      </c>
      <c r="CW4" s="112">
        <f>IF(ISNUMBER('DADOS BRUTOS'!W$2),DATE(YEAR('DADOS BRUTOS'!W$2),MONTH('DADOS BRUTOS'!W$2),1),"")</f>
        <v/>
      </c>
      <c r="CX4" s="112">
        <f>IF(ISNUMBER('DADOS BRUTOS'!X$2),DATE(YEAR('DADOS BRUTOS'!X$2),MONTH('DADOS BRUTOS'!X$2),1),"")</f>
        <v/>
      </c>
      <c r="CY4" s="112">
        <f>IF(ISNUMBER('DADOS BRUTOS'!Y$2),DATE(YEAR('DADOS BRUTOS'!Y$2),MONTH('DADOS BRUTOS'!Y$2),1),"")</f>
        <v/>
      </c>
      <c r="CZ4" s="112">
        <f>IF(ISNUMBER('DADOS BRUTOS'!Z$2),DATE(YEAR('DADOS BRUTOS'!Z$2),MONTH('DADOS BRUTOS'!Z$2),1),"")</f>
        <v/>
      </c>
      <c r="DA4" s="112">
        <f>IF(ISNUMBER('DADOS BRUTOS'!AA$2),DATE(YEAR('DADOS BRUTOS'!AA$2),MONTH('DADOS BRUTOS'!AA$2),1),"")</f>
        <v/>
      </c>
      <c r="DB4" s="112">
        <f>IF(ISNUMBER('DADOS BRUTOS'!AB$2),DATE(YEAR('DADOS BRUTOS'!AB$2),MONTH('DADOS BRUTOS'!AB$2),1),"")</f>
        <v/>
      </c>
      <c r="DC4" s="112">
        <f>IF(ISNUMBER('DADOS BRUTOS'!AC$2),DATE(YEAR('DADOS BRUTOS'!AC$2),MONTH('DADOS BRUTOS'!AC$2),1),"")</f>
        <v/>
      </c>
      <c r="DD4" s="112">
        <f>IF(ISNUMBER('DADOS BRUTOS'!AD$2),DATE(YEAR('DADOS BRUTOS'!AD$2),MONTH('DADOS BRUTOS'!AD$2),1),"")</f>
        <v/>
      </c>
      <c r="DE4" s="112">
        <f>IF(ISNUMBER('DADOS BRUTOS'!AE$2),DATE(YEAR('DADOS BRUTOS'!AE$2),MONTH('DADOS BRUTOS'!AE$2),1),"")</f>
        <v/>
      </c>
      <c r="DF4" s="112">
        <f>IF(ISNUMBER('DADOS BRUTOS'!AF$2),DATE(YEAR('DADOS BRUTOS'!AF$2),MONTH('DADOS BRUTOS'!AF$2),1),"")</f>
        <v/>
      </c>
      <c r="DG4" s="112">
        <f>IF(ISNUMBER('DADOS BRUTOS'!AG$2),DATE(YEAR('DADOS BRUTOS'!AG$2),MONTH('DADOS BRUTOS'!AG$2),1),"")</f>
        <v/>
      </c>
      <c r="DH4" s="112">
        <f>IF(ISNUMBER('DADOS BRUTOS'!AH$2),DATE(YEAR('DADOS BRUTOS'!AH$2),MONTH('DADOS BRUTOS'!AH$2),1),"")</f>
        <v/>
      </c>
      <c r="DI4" s="112">
        <f>IF(ISNUMBER('DADOS BRUTOS'!AI$2),DATE(YEAR('DADOS BRUTOS'!AI$2),MONTH('DADOS BRUTOS'!AI$2),1),"")</f>
        <v/>
      </c>
      <c r="DJ4" s="112">
        <f>IF(ISNUMBER('DADOS BRUTOS'!AJ$2),DATE(YEAR('DADOS BRUTOS'!AJ$2),MONTH('DADOS BRUTOS'!AJ$2),1),"")</f>
        <v/>
      </c>
      <c r="DK4" s="112">
        <f>IF(ISNUMBER('DADOS BRUTOS'!AK$2),DATE(YEAR('DADOS BRUTOS'!AK$2),MONTH('DADOS BRUTOS'!AK$2),1),"")</f>
        <v/>
      </c>
      <c r="DL4" s="112">
        <f>IF(ISNUMBER('DADOS BRUTOS'!AL$2),DATE(YEAR('DADOS BRUTOS'!AL$2),MONTH('DADOS BRUTOS'!AL$2),1),"")</f>
        <v/>
      </c>
      <c r="DM4" s="112">
        <f>IF(ISNUMBER('DADOS BRUTOS'!AM$2),DATE(YEAR('DADOS BRUTOS'!AM$2),MONTH('DADOS BRUTOS'!AM$2),1),"")</f>
        <v/>
      </c>
      <c r="DN4" s="112">
        <f>IF(ISNUMBER('DADOS BRUTOS'!AN$2),DATE(YEAR('DADOS BRUTOS'!AN$2),MONTH('DADOS BRUTOS'!AN$2),1),"")</f>
        <v/>
      </c>
      <c r="DO4" s="112">
        <f>IF(ISNUMBER('DADOS BRUTOS'!AO$2),DATE(YEAR('DADOS BRUTOS'!AO$2),MONTH('DADOS BRUTOS'!AO$2),1),"")</f>
        <v/>
      </c>
      <c r="DP4" s="112">
        <f>IF(ISNUMBER('DADOS BRUTOS'!AP$2),DATE(YEAR('DADOS BRUTOS'!AP$2),MONTH('DADOS BRUTOS'!AP$2),1),"")</f>
        <v/>
      </c>
      <c r="DQ4" s="112">
        <f>IF(ISNUMBER('DADOS BRUTOS'!AQ$2),DATE(YEAR('DADOS BRUTOS'!AQ$2),MONTH('DADOS BRUTOS'!AQ$2),1),"")</f>
        <v/>
      </c>
      <c r="DR4" s="112">
        <f>IF(ISNUMBER('DADOS BRUTOS'!AR$2),DATE(YEAR('DADOS BRUTOS'!AR$2),MONTH('DADOS BRUTOS'!AR$2),1),"")</f>
        <v/>
      </c>
      <c r="DS4" s="112">
        <f>IF(ISNUMBER('DADOS BRUTOS'!AS$2),DATE(YEAR('DADOS BRUTOS'!AS$2),MONTH('DADOS BRUTOS'!AS$2),1),"")</f>
        <v/>
      </c>
      <c r="DT4" s="112">
        <f>IF(ISNUMBER('DADOS BRUTOS'!AT$2),DATE(YEAR('DADOS BRUTOS'!AT$2),MONTH('DADOS BRUTOS'!AT$2),1),"")</f>
        <v/>
      </c>
      <c r="DU4" s="112">
        <f>IF(ISNUMBER('DADOS BRUTOS'!AU$2),DATE(YEAR('DADOS BRUTOS'!AU$2),MONTH('DADOS BRUTOS'!AU$2),1),"")</f>
        <v/>
      </c>
      <c r="DV4" s="112">
        <f>IF(ISNUMBER('DADOS BRUTOS'!AV$2),DATE(YEAR('DADOS BRUTOS'!AV$2),MONTH('DADOS BRUTOS'!AV$2),1),"")</f>
        <v/>
      </c>
      <c r="DW4" s="112">
        <f>IF(ISNUMBER('DADOS BRUTOS'!AW$2),DATE(YEAR('DADOS BRUTOS'!AW$2),MONTH('DADOS BRUTOS'!AW$2),1),"")</f>
        <v/>
      </c>
      <c r="DX4" s="112">
        <f>IF(ISNUMBER('DADOS BRUTOS'!AX$2),DATE(YEAR('DADOS BRUTOS'!AX$2),MONTH('DADOS BRUTOS'!AX$2),1),"")</f>
        <v/>
      </c>
      <c r="DY4" s="112">
        <f>IF(ISNUMBER('DADOS BRUTOS'!AY$2),DATE(YEAR('DADOS BRUTOS'!AY$2),MONTH('DADOS BRUTOS'!AY$2),1),"")</f>
        <v/>
      </c>
      <c r="DZ4" s="112">
        <f>IF(ISNUMBER('DADOS BRUTOS'!AZ$2),DATE(YEAR('DADOS BRUTOS'!AZ$2),MONTH('DADOS BRUTOS'!AZ$2),1),"")</f>
        <v/>
      </c>
      <c r="EA4" s="112">
        <f>IF(ISNUMBER('DADOS BRUTOS'!BA$2),DATE(YEAR('DADOS BRUTOS'!BA$2),MONTH('DADOS BRUTOS'!BA$2),1),"")</f>
        <v/>
      </c>
      <c r="EB4" s="112">
        <f>IF(ISNUMBER('DADOS BRUTOS'!BB$2),DATE(YEAR('DADOS BRUTOS'!BB$2),MONTH('DADOS BRUTOS'!BB$2),1),"")</f>
        <v/>
      </c>
      <c r="EC4" s="112">
        <f>IF(ISNUMBER('DADOS BRUTOS'!BC$2),DATE(YEAR('DADOS BRUTOS'!BC$2),MONTH('DADOS BRUTOS'!BC$2),1),"")</f>
        <v/>
      </c>
      <c r="ED4" s="112">
        <f>IF(ISNUMBER('DADOS BRUTOS'!BD$2),DATE(YEAR('DADOS BRUTOS'!BD$2),MONTH('DADOS BRUTOS'!BD$2),1),"")</f>
        <v/>
      </c>
      <c r="EE4" s="112">
        <f>IF(ISNUMBER('DADOS BRUTOS'!BE$2),DATE(YEAR('DADOS BRUTOS'!BE$2),MONTH('DADOS BRUTOS'!BE$2),1),"")</f>
        <v/>
      </c>
      <c r="EF4" s="112">
        <f>IF(ISNUMBER('DADOS BRUTOS'!BF$2),DATE(YEAR('DADOS BRUTOS'!BF$2),MONTH('DADOS BRUTOS'!BF$2),1),"")</f>
        <v/>
      </c>
      <c r="EG4" s="112">
        <f>IF(ISNUMBER('DADOS BRUTOS'!BG$2),DATE(YEAR('DADOS BRUTOS'!BG$2),MONTH('DADOS BRUTOS'!BG$2),1),"")</f>
        <v/>
      </c>
      <c r="EH4" s="112">
        <f>IF(ISNUMBER('DADOS BRUTOS'!BH$2),DATE(YEAR('DADOS BRUTOS'!BH$2),MONTH('DADOS BRUTOS'!BH$2),1),"")</f>
        <v/>
      </c>
      <c r="EI4" s="112">
        <f>IF(ISNUMBER('DADOS BRUTOS'!BI$2),DATE(YEAR('DADOS BRUTOS'!BI$2),MONTH('DADOS BRUTOS'!BI$2),1),"")</f>
        <v/>
      </c>
      <c r="EJ4" s="112">
        <f>IF(ISNUMBER('DADOS BRUTOS'!BJ$2),DATE(YEAR('DADOS BRUTOS'!BJ$2),MONTH('DADOS BRUTOS'!BJ$2),1),"")</f>
        <v/>
      </c>
      <c r="EK4" s="112">
        <f>IF(ISNUMBER('DADOS BRUTOS'!BK$2),DATE(YEAR('DADOS BRUTOS'!BK$2),MONTH('DADOS BRUTOS'!BK$2),1),"")</f>
        <v/>
      </c>
      <c r="EL4" s="112">
        <f>IF(ISNUMBER('DADOS BRUTOS'!BL$2),DATE(YEAR('DADOS BRUTOS'!BL$2),MONTH('DADOS BRUTOS'!BL$2),1),"")</f>
        <v/>
      </c>
      <c r="EM4" s="112">
        <f>IF(ISNUMBER('DADOS BRUTOS'!BM$2),DATE(YEAR('DADOS BRUTOS'!BM$2),MONTH('DADOS BRUTOS'!BM$2),1),"")</f>
        <v/>
      </c>
      <c r="EN4" s="112">
        <f>IF(ISNUMBER('DADOS BRUTOS'!BN$2),DATE(YEAR('DADOS BRUTOS'!BN$2),MONTH('DADOS BRUTOS'!BN$2),1),"")</f>
        <v/>
      </c>
      <c r="EO4" s="112">
        <f>IF(ISNUMBER('DADOS BRUTOS'!BO$2),DATE(YEAR('DADOS BRUTOS'!BO$2),MONTH('DADOS BRUTOS'!BO$2),1),"")</f>
        <v/>
      </c>
      <c r="EP4" s="112">
        <f>IF(ISNUMBER('DADOS BRUTOS'!BP$2),DATE(YEAR('DADOS BRUTOS'!BP$2),MONTH('DADOS BRUTOS'!BP$2),1),"")</f>
        <v/>
      </c>
      <c r="EQ4" s="112">
        <f>IF(ISNUMBER('DADOS BRUTOS'!BQ$2),DATE(YEAR('DADOS BRUTOS'!BQ$2),MONTH('DADOS BRUTOS'!BQ$2),1),"")</f>
        <v/>
      </c>
      <c r="ER4" s="112">
        <f>IF(ISNUMBER('DADOS BRUTOS'!BR$2),DATE(YEAR('DADOS BRUTOS'!BR$2),MONTH('DADOS BRUTOS'!BR$2),1),"")</f>
        <v/>
      </c>
      <c r="ES4" s="112">
        <f>IF(ISNUMBER('DADOS BRUTOS'!BS$2),DATE(YEAR('DADOS BRUTOS'!BS$2),MONTH('DADOS BRUTOS'!BS$2),1),"")</f>
        <v/>
      </c>
      <c r="ET4" s="112">
        <f>IF(ISNUMBER('DADOS BRUTOS'!BT$2),DATE(YEAR('DADOS BRUTOS'!BT$2),MONTH('DADOS BRUTOS'!BT$2),1),"")</f>
        <v/>
      </c>
      <c r="EU4" s="112">
        <f>IF(ISNUMBER('DADOS BRUTOS'!BU$2),DATE(YEAR('DADOS BRUTOS'!BU$2),MONTH('DADOS BRUTOS'!BU$2),1),"")</f>
        <v/>
      </c>
      <c r="EV4" s="112">
        <f>IF(ISNUMBER('DADOS BRUTOS'!BV$2),DATE(YEAR('DADOS BRUTOS'!BV$2),MONTH('DADOS BRUTOS'!BV$2),1),"")</f>
        <v/>
      </c>
      <c r="EW4" s="112">
        <f>IF(ISNUMBER('DADOS BRUTOS'!BW$2),DATE(YEAR('DADOS BRUTOS'!BW$2),MONTH('DADOS BRUTOS'!BW$2),1),"")</f>
        <v/>
      </c>
      <c r="EX4" s="112">
        <f>IF(ISNUMBER('DADOS BRUTOS'!BX$2),DATE(YEAR('DADOS BRUTOS'!BX$2),MONTH('DADOS BRUTOS'!BX$2),1),"")</f>
        <v/>
      </c>
      <c r="EY4" s="112">
        <f>IF(ISNUMBER('DADOS BRUTOS'!BY$2),DATE(YEAR('DADOS BRUTOS'!BY$2),MONTH('DADOS BRUTOS'!BY$2),1),"")</f>
        <v/>
      </c>
      <c r="EZ4" s="112">
        <f>IF(ISNUMBER('DADOS BRUTOS'!BZ$2),DATE(YEAR('DADOS BRUTOS'!BZ$2),MONTH('DADOS BRUTOS'!BZ$2),1),"")</f>
        <v/>
      </c>
      <c r="FA4" s="112">
        <f>IF(ISNUMBER('DADOS BRUTOS'!CA$2),DATE(YEAR('DADOS BRUTOS'!CA$2),MONTH('DADOS BRUTOS'!CA$2),1),"")</f>
        <v/>
      </c>
      <c r="FB4" s="112">
        <f>IF(ISNUMBER('DADOS BRUTOS'!CB$2),DATE(YEAR('DADOS BRUTOS'!CB$2),MONTH('DADOS BRUTOS'!CB$2),1),"")</f>
        <v/>
      </c>
      <c r="FC4" s="112">
        <f>IF(ISNUMBER('DADOS BRUTOS'!CC$2),DATE(YEAR('DADOS BRUTOS'!CC$2),MONTH('DADOS BRUTOS'!CC$2),1),"")</f>
        <v/>
      </c>
      <c r="FD4" s="112">
        <f>IF(ISNUMBER('DADOS BRUTOS'!CD$2),DATE(YEAR('DADOS BRUTOS'!CD$2),MONTH('DADOS BRUTOS'!CD$2),1),"")</f>
        <v/>
      </c>
      <c r="FE4" s="112">
        <f>IF(ISNUMBER('DADOS BRUTOS'!CE$2),DATE(YEAR('DADOS BRUTOS'!CE$2),MONTH('DADOS BRUTOS'!CE$2),1),"")</f>
        <v/>
      </c>
      <c r="FF4" s="112">
        <f>IF(ISNUMBER('DADOS BRUTOS'!CF$2),DATE(YEAR('DADOS BRUTOS'!CF$2),MONTH('DADOS BRUTOS'!CF$2),1),"")</f>
        <v/>
      </c>
      <c r="FG4" s="112">
        <f>IF(ISNUMBER('DADOS BRUTOS'!CG$2),DATE(YEAR('DADOS BRUTOS'!CG$2),MONTH('DADOS BRUTOS'!CG$2),1),"")</f>
        <v/>
      </c>
      <c r="FH4" s="112">
        <f>IF(ISNUMBER('DADOS BRUTOS'!CH$2),DATE(YEAR('DADOS BRUTOS'!CH$2),MONTH('DADOS BRUTOS'!CH$2),1),"")</f>
        <v/>
      </c>
      <c r="FI4" s="112">
        <f>IF(ISNUMBER('DADOS BRUTOS'!CI$2),DATE(YEAR('DADOS BRUTOS'!CI$2),MONTH('DADOS BRUTOS'!CI$2),1),"")</f>
        <v/>
      </c>
      <c r="FJ4" s="112">
        <f>IF(ISNUMBER('DADOS BRUTOS'!CJ$2),DATE(YEAR('DADOS BRUTOS'!CJ$2),MONTH('DADOS BRUTOS'!CJ$2),1),"")</f>
        <v/>
      </c>
      <c r="FK4" s="112">
        <f>IF(ISNUMBER('DADOS BRUTOS'!CK$2),DATE(YEAR('DADOS BRUTOS'!CK$2),MONTH('DADOS BRUTOS'!CK$2),1),"")</f>
        <v/>
      </c>
      <c r="FL4" s="112">
        <f>IF(ISNUMBER('DADOS BRUTOS'!CL$2),DATE(YEAR('DADOS BRUTOS'!CL$2),MONTH('DADOS BRUTOS'!CL$2),1),"")</f>
        <v/>
      </c>
      <c r="FM4" s="112">
        <f>IF(ISNUMBER('DADOS BRUTOS'!CM$2),DATE(YEAR('DADOS BRUTOS'!CM$2),MONTH('DADOS BRUTOS'!CM$2),1),"")</f>
        <v/>
      </c>
      <c r="FN4" s="112">
        <f>IF(ISNUMBER('DADOS BRUTOS'!CN$2),DATE(YEAR('DADOS BRUTOS'!CN$2),MONTH('DADOS BRUTOS'!CN$2),1),"")</f>
        <v/>
      </c>
      <c r="FO4" s="112">
        <f>IF(ISNUMBER('DADOS BRUTOS'!CO$2),DATE(YEAR('DADOS BRUTOS'!CO$2),MONTH('DADOS BRUTOS'!CO$2),1),"")</f>
        <v/>
      </c>
      <c r="FP4" s="112">
        <f>IF(ISNUMBER('DADOS BRUTOS'!CP$2),DATE(YEAR('DADOS BRUTOS'!CP$2),MONTH('DADOS BRUTOS'!CP$2),1),"")</f>
        <v/>
      </c>
      <c r="FQ4" s="112">
        <f>IF(ISNUMBER('DADOS BRUTOS'!CQ$2),DATE(YEAR('DADOS BRUTOS'!CQ$2),MONTH('DADOS BRUTOS'!CQ$2),1),"")</f>
        <v/>
      </c>
      <c r="FR4" s="112">
        <f>IF(ISNUMBER('DADOS BRUTOS'!CR$2),DATE(YEAR('DADOS BRUTOS'!CR$2),MONTH('DADOS BRUTOS'!CR$2),1),"")</f>
        <v/>
      </c>
      <c r="FS4" s="112">
        <f>IF(ISNUMBER('DADOS BRUTOS'!CS$2),DATE(YEAR('DADOS BRUTOS'!CS$2),MONTH('DADOS BRUTOS'!CS$2),1),"")</f>
        <v/>
      </c>
      <c r="FT4" s="112">
        <f>IF(ISNUMBER('DADOS BRUTOS'!CT$2),DATE(YEAR('DADOS BRUTOS'!CT$2),MONTH('DADOS BRUTOS'!CT$2),1),"")</f>
        <v/>
      </c>
      <c r="FU4" s="112">
        <f>IF(ISNUMBER('DADOS BRUTOS'!CU$2),DATE(YEAR('DADOS BRUTOS'!CU$2),MONTH('DADOS BRUTOS'!CU$2),1),"")</f>
        <v/>
      </c>
      <c r="FV4" s="112">
        <f>IF(ISNUMBER('DADOS BRUTOS'!CV$2),DATE(YEAR('DADOS BRUTOS'!CV$2),MONTH('DADOS BRUTOS'!CV$2),1),"")</f>
        <v/>
      </c>
      <c r="FW4" s="112">
        <f>IF(ISNUMBER('DADOS BRUTOS'!CW$2),DATE(YEAR('DADOS BRUTOS'!CW$2),MONTH('DADOS BRUTOS'!CW$2),1),"")</f>
        <v/>
      </c>
      <c r="FX4" s="112">
        <f>IF(ISNUMBER('DADOS BRUTOS'!CX$2),DATE(YEAR('DADOS BRUTOS'!CX$2),MONTH('DADOS BRUTOS'!CX$2),1),"")</f>
        <v/>
      </c>
      <c r="FY4" s="112">
        <f>IF(ISNUMBER('DADOS BRUTOS'!CY$2),DATE(YEAR('DADOS BRUTOS'!CY$2),MONTH('DADOS BRUTOS'!CY$2),1),"")</f>
        <v/>
      </c>
      <c r="FZ4" s="112">
        <f>IF(ISNUMBER('DADOS BRUTOS'!CZ$2),DATE(YEAR('DADOS BRUTOS'!CZ$2),MONTH('DADOS BRUTOS'!CZ$2),1),"")</f>
        <v/>
      </c>
      <c r="GA4" s="112">
        <f>IF(ISNUMBER('DADOS BRUTOS'!DA$2),DATE(YEAR('DADOS BRUTOS'!DA$2),MONTH('DADOS BRUTOS'!DA$2),1),"")</f>
        <v/>
      </c>
      <c r="GB4" s="112">
        <f>IF(ISNUMBER('DADOS BRUTOS'!DB$2),DATE(YEAR('DADOS BRUTOS'!DB$2),MONTH('DADOS BRUTOS'!DB$2),1),"")</f>
        <v/>
      </c>
      <c r="GC4" s="112">
        <f>IF(ISNUMBER('DADOS BRUTOS'!DC$2),DATE(YEAR('DADOS BRUTOS'!DC$2),MONTH('DADOS BRUTOS'!DC$2),1),"")</f>
        <v/>
      </c>
      <c r="GD4" s="112">
        <f>IF(ISNUMBER('DADOS BRUTOS'!DD$2),DATE(YEAR('DADOS BRUTOS'!DD$2),MONTH('DADOS BRUTOS'!DD$2),1),"")</f>
        <v/>
      </c>
      <c r="GE4" s="112">
        <f>IF(ISNUMBER('DADOS BRUTOS'!DE$2),DATE(YEAR('DADOS BRUTOS'!DE$2),MONTH('DADOS BRUTOS'!DE$2),1),"")</f>
        <v/>
      </c>
      <c r="GF4" s="112">
        <f>IF(ISNUMBER('DADOS BRUTOS'!DF$2),DATE(YEAR('DADOS BRUTOS'!DF$2),MONTH('DADOS BRUTOS'!DF$2),1),"")</f>
        <v/>
      </c>
      <c r="GG4" s="112">
        <f>IF(ISNUMBER('DADOS BRUTOS'!DG$2),DATE(YEAR('DADOS BRUTOS'!DG$2),MONTH('DADOS BRUTOS'!DG$2),1),"")</f>
        <v/>
      </c>
      <c r="GH4" s="112">
        <f>IF(ISNUMBER('DADOS BRUTOS'!DH$2),DATE(YEAR('DADOS BRUTOS'!DH$2),MONTH('DADOS BRUTOS'!DH$2),1),"")</f>
        <v/>
      </c>
      <c r="GI4" s="112">
        <f>IF(ISNUMBER('DADOS BRUTOS'!DI$2),DATE(YEAR('DADOS BRUTOS'!DI$2),MONTH('DADOS BRUTOS'!DI$2),1),"")</f>
        <v/>
      </c>
      <c r="GJ4" s="112">
        <f>IF(ISNUMBER('DADOS BRUTOS'!DJ$2),DATE(YEAR('DADOS BRUTOS'!DJ$2),MONTH('DADOS BRUTOS'!DJ$2),1),"")</f>
        <v/>
      </c>
      <c r="GK4" s="112">
        <f>IF(ISNUMBER('DADOS BRUTOS'!DK$2),DATE(YEAR('DADOS BRUTOS'!DK$2),MONTH('DADOS BRUTOS'!DK$2),1),"")</f>
        <v/>
      </c>
      <c r="GL4" s="112">
        <f>IF(ISNUMBER('DADOS BRUTOS'!DL$2),DATE(YEAR('DADOS BRUTOS'!DL$2),MONTH('DADOS BRUTOS'!DL$2),1),"")</f>
        <v/>
      </c>
      <c r="GM4" s="112">
        <f>IF(ISNUMBER('DADOS BRUTOS'!DM$2),DATE(YEAR('DADOS BRUTOS'!DM$2),MONTH('DADOS BRUTOS'!DM$2),1),"")</f>
        <v/>
      </c>
      <c r="GN4" s="112">
        <f>IF(ISNUMBER('DADOS BRUTOS'!DN$2),DATE(YEAR('DADOS BRUTOS'!DN$2),MONTH('DADOS BRUTOS'!DN$2),1),"")</f>
        <v/>
      </c>
      <c r="GO4" s="112">
        <f>IF(ISNUMBER('DADOS BRUTOS'!DO$2),DATE(YEAR('DADOS BRUTOS'!DO$2),MONTH('DADOS BRUTOS'!DO$2),1),"")</f>
        <v/>
      </c>
      <c r="GP4" s="112">
        <f>IF(ISNUMBER('DADOS BRUTOS'!DP$2),DATE(YEAR('DADOS BRUTOS'!DP$2),MONTH('DADOS BRUTOS'!DP$2),1),"")</f>
        <v/>
      </c>
      <c r="GQ4" s="112">
        <f>IF(ISNUMBER('DADOS BRUTOS'!DQ$2),DATE(YEAR('DADOS BRUTOS'!DQ$2),MONTH('DADOS BRUTOS'!DQ$2),1),"")</f>
        <v/>
      </c>
      <c r="GR4" s="112">
        <f>IF(ISNUMBER('DADOS BRUTOS'!DR$2),DATE(YEAR('DADOS BRUTOS'!DR$2),MONTH('DADOS BRUTOS'!DR$2),1),"")</f>
        <v/>
      </c>
      <c r="GS4" s="112">
        <f>IF(ISNUMBER('DADOS BRUTOS'!DS$2),DATE(YEAR('DADOS BRUTOS'!DS$2),MONTH('DADOS BRUTOS'!DS$2),1),"")</f>
        <v/>
      </c>
      <c r="GT4" s="112">
        <f>IF(ISNUMBER('DADOS BRUTOS'!DT$2),DATE(YEAR('DADOS BRUTOS'!DT$2),MONTH('DADOS BRUTOS'!DT$2),1),"")</f>
        <v/>
      </c>
      <c r="GU4" s="112">
        <f>IF(ISNUMBER('DADOS BRUTOS'!DU$2),DATE(YEAR('DADOS BRUTOS'!DU$2),MONTH('DADOS BRUTOS'!DU$2),1),"")</f>
        <v/>
      </c>
      <c r="GV4" s="112">
        <f>IF(ISNUMBER('DADOS BRUTOS'!DV$2),DATE(YEAR('DADOS BRUTOS'!DV$2),MONTH('DADOS BRUTOS'!DV$2),1),"")</f>
        <v/>
      </c>
      <c r="GW4" s="112">
        <f>IF(ISNUMBER('DADOS BRUTOS'!DW$2),DATE(YEAR('DADOS BRUTOS'!DW$2),MONTH('DADOS BRUTOS'!DW$2),1),"")</f>
        <v/>
      </c>
      <c r="GX4" s="112">
        <f>IF(ISNUMBER('DADOS BRUTOS'!DX$2),DATE(YEAR('DADOS BRUTOS'!DX$2),MONTH('DADOS BRUTOS'!DX$2),1),"")</f>
        <v/>
      </c>
      <c r="GY4" s="112">
        <f>IF(ISNUMBER('DADOS BRUTOS'!DY$2),DATE(YEAR('DADOS BRUTOS'!DY$2),MONTH('DADOS BRUTOS'!DY$2),1),"")</f>
        <v/>
      </c>
      <c r="GZ4" s="112">
        <f>IF(ISNUMBER('DADOS BRUTOS'!DZ$2),DATE(YEAR('DADOS BRUTOS'!DZ$2),MONTH('DADOS BRUTOS'!DZ$2),1),"")</f>
        <v/>
      </c>
      <c r="HA4" s="112">
        <f>IF(ISNUMBER('DADOS BRUTOS'!EA$2),DATE(YEAR('DADOS BRUTOS'!EA$2),MONTH('DADOS BRUTOS'!EA$2),1),"")</f>
        <v/>
      </c>
      <c r="HB4" s="112">
        <f>IF(ISNUMBER('DADOS BRUTOS'!EB$2),DATE(YEAR('DADOS BRUTOS'!EB$2),MONTH('DADOS BRUTOS'!EB$2),1),"")</f>
        <v/>
      </c>
      <c r="HC4" s="112">
        <f>IF(ISNUMBER('DADOS BRUTOS'!EC$2),DATE(YEAR('DADOS BRUTOS'!EC$2),MONTH('DADOS BRUTOS'!EC$2),1),"")</f>
        <v/>
      </c>
      <c r="HD4" s="112">
        <f>IF(ISNUMBER('DADOS BRUTOS'!ED$2),DATE(YEAR('DADOS BRUTOS'!ED$2),MONTH('DADOS BRUTOS'!ED$2),1),"")</f>
        <v/>
      </c>
      <c r="HE4" s="112">
        <f>IF(ISNUMBER('DADOS BRUTOS'!EE$2),DATE(YEAR('DADOS BRUTOS'!EE$2),MONTH('DADOS BRUTOS'!EE$2),1),"")</f>
        <v/>
      </c>
      <c r="HF4" s="112">
        <f>IF(ISNUMBER('DADOS BRUTOS'!EF$2),DATE(YEAR('DADOS BRUTOS'!EF$2),MONTH('DADOS BRUTOS'!EF$2),1),"")</f>
        <v/>
      </c>
      <c r="HG4" s="112">
        <f>IF(ISNUMBER('DADOS BRUTOS'!EG$2),DATE(YEAR('DADOS BRUTOS'!EG$2),MONTH('DADOS BRUTOS'!EG$2),1),"")</f>
        <v/>
      </c>
      <c r="HH4" s="112">
        <f>IF(ISNUMBER('DADOS BRUTOS'!EH$2),DATE(YEAR('DADOS BRUTOS'!EH$2),MONTH('DADOS BRUTOS'!EH$2),1),"")</f>
        <v/>
      </c>
      <c r="HI4" s="112">
        <f>IF(ISNUMBER('DADOS BRUTOS'!EI$2),DATE(YEAR('DADOS BRUTOS'!EI$2),MONTH('DADOS BRUTOS'!EI$2),1),"")</f>
        <v/>
      </c>
      <c r="HJ4" s="112">
        <f>IF(ISNUMBER('DADOS BRUTOS'!EJ$2),DATE(YEAR('DADOS BRUTOS'!EJ$2),MONTH('DADOS BRUTOS'!EJ$2),1),"")</f>
        <v/>
      </c>
      <c r="HK4" s="112">
        <f>IF(ISNUMBER('DADOS BRUTOS'!EK$2),DATE(YEAR('DADOS BRUTOS'!EK$2),MONTH('DADOS BRUTOS'!EK$2),1),"")</f>
        <v/>
      </c>
      <c r="HL4" s="112">
        <f>IF(ISNUMBER('DADOS BRUTOS'!EL$2),DATE(YEAR('DADOS BRUTOS'!EL$2),MONTH('DADOS BRUTOS'!EL$2),1),"")</f>
        <v/>
      </c>
      <c r="HM4" s="112">
        <f>IF(ISNUMBER('DADOS BRUTOS'!EM$2),DATE(YEAR('DADOS BRUTOS'!EM$2),MONTH('DADOS BRUTOS'!EM$2),1),"")</f>
        <v/>
      </c>
      <c r="HN4" s="112">
        <f>IF(ISNUMBER('DADOS BRUTOS'!EN$2),DATE(YEAR('DADOS BRUTOS'!EN$2),MONTH('DADOS BRUTOS'!EN$2),1),"")</f>
        <v/>
      </c>
      <c r="HO4" s="112">
        <f>IF(ISNUMBER('DADOS BRUTOS'!EO$2),DATE(YEAR('DADOS BRUTOS'!EO$2),MONTH('DADOS BRUTOS'!EO$2),1),"")</f>
        <v/>
      </c>
      <c r="HP4" s="112">
        <f>IF(ISNUMBER('DADOS BRUTOS'!EP$2),DATE(YEAR('DADOS BRUTOS'!EP$2),MONTH('DADOS BRUTOS'!EP$2),1),"")</f>
        <v/>
      </c>
      <c r="HQ4" s="112">
        <f>IF(ISNUMBER('DADOS BRUTOS'!EQ$2),DATE(YEAR('DADOS BRUTOS'!EQ$2),MONTH('DADOS BRUTOS'!EQ$2),1),"")</f>
        <v/>
      </c>
      <c r="HR4" s="112">
        <f>IF(ISNUMBER('DADOS BRUTOS'!ER$2),DATE(YEAR('DADOS BRUTOS'!ER$2),MONTH('DADOS BRUTOS'!ER$2),1),"")</f>
        <v/>
      </c>
      <c r="HS4" s="112">
        <f>IF(ISNUMBER('DADOS BRUTOS'!ES$2),DATE(YEAR('DADOS BRUTOS'!ES$2),MONTH('DADOS BRUTOS'!ES$2),1),"")</f>
        <v/>
      </c>
      <c r="HT4" s="112">
        <f>IF(ISNUMBER('DADOS BRUTOS'!ET$2),DATE(YEAR('DADOS BRUTOS'!ET$2),MONTH('DADOS BRUTOS'!ET$2),1),"")</f>
        <v/>
      </c>
      <c r="HU4" s="112">
        <f>IF(ISNUMBER('DADOS BRUTOS'!EU$2),DATE(YEAR('DADOS BRUTOS'!EU$2),MONTH('DADOS BRUTOS'!EU$2),1),"")</f>
        <v/>
      </c>
      <c r="HV4" s="112">
        <f>IF(ISNUMBER('DADOS BRUTOS'!EV$2),DATE(YEAR('DADOS BRUTOS'!EV$2),MONTH('DADOS BRUTOS'!EV$2),1),"")</f>
        <v/>
      </c>
      <c r="HW4" s="112">
        <f>IF(ISNUMBER('DADOS BRUTOS'!EW$2),DATE(YEAR('DADOS BRUTOS'!EW$2),MONTH('DADOS BRUTOS'!EW$2),1),"")</f>
        <v/>
      </c>
      <c r="HX4" s="112">
        <f>IF(ISNUMBER('DADOS BRUTOS'!EX$2),DATE(YEAR('DADOS BRUTOS'!EX$2),MONTH('DADOS BRUTOS'!EX$2),1),"")</f>
        <v/>
      </c>
      <c r="HY4" s="112">
        <f>IF(ISNUMBER('DADOS BRUTOS'!EY$2),DATE(YEAR('DADOS BRUTOS'!EY$2),MONTH('DADOS BRUTOS'!EY$2),1),"")</f>
        <v/>
      </c>
      <c r="HZ4" s="112">
        <f>IF(ISNUMBER('DADOS BRUTOS'!EZ$2),DATE(YEAR('DADOS BRUTOS'!EZ$2),MONTH('DADOS BRUTOS'!EZ$2),1),"")</f>
        <v/>
      </c>
      <c r="IA4" s="112">
        <f>IF(ISNUMBER('DADOS BRUTOS'!FA$2),DATE(YEAR('DADOS BRUTOS'!FA$2),MONTH('DADOS BRUTOS'!FA$2),1),"")</f>
        <v/>
      </c>
      <c r="IB4" s="112">
        <f>IF(ISNUMBER('DADOS BRUTOS'!FB$2),DATE(YEAR('DADOS BRUTOS'!FB$2),MONTH('DADOS BRUTOS'!FB$2),1),"")</f>
        <v/>
      </c>
      <c r="IC4" s="112">
        <f>IF(ISNUMBER('DADOS BRUTOS'!FC$2),DATE(YEAR('DADOS BRUTOS'!FC$2),MONTH('DADOS BRUTOS'!FC$2),1),"")</f>
        <v/>
      </c>
      <c r="ID4" s="112">
        <f>IF(ISNUMBER('DADOS BRUTOS'!FD$2),DATE(YEAR('DADOS BRUTOS'!FD$2),MONTH('DADOS BRUTOS'!FD$2),1),"")</f>
        <v/>
      </c>
      <c r="IE4" s="112">
        <f>IF(ISNUMBER('DADOS BRUTOS'!FE$2),DATE(YEAR('DADOS BRUTOS'!FE$2),MONTH('DADOS BRUTOS'!FE$2),1),"")</f>
        <v/>
      </c>
      <c r="IF4" s="112">
        <f>IF(ISNUMBER('DADOS BRUTOS'!FF$2),DATE(YEAR('DADOS BRUTOS'!FF$2),MONTH('DADOS BRUTOS'!FF$2),1),"")</f>
        <v/>
      </c>
      <c r="IG4" s="112">
        <f>IF(ISNUMBER('DADOS BRUTOS'!FG$2),DATE(YEAR('DADOS BRUTOS'!FG$2),MONTH('DADOS BRUTOS'!FG$2),1),"")</f>
        <v/>
      </c>
      <c r="IH4" s="112">
        <f>IF(ISNUMBER('DADOS BRUTOS'!FH$2),DATE(YEAR('DADOS BRUTOS'!FH$2),MONTH('DADOS BRUTOS'!FH$2),1),"")</f>
        <v/>
      </c>
      <c r="II4" s="112">
        <f>IF(ISNUMBER('DADOS BRUTOS'!FI$2),DATE(YEAR('DADOS BRUTOS'!FI$2),MONTH('DADOS BRUTOS'!FI$2),1),"")</f>
        <v/>
      </c>
      <c r="IJ4" s="112">
        <f>IF(ISNUMBER('DADOS BRUTOS'!FJ$2),DATE(YEAR('DADOS BRUTOS'!FJ$2),MONTH('DADOS BRUTOS'!FJ$2),1),"")</f>
        <v/>
      </c>
      <c r="IK4" s="112">
        <f>IF(ISNUMBER('DADOS BRUTOS'!FK$2),DATE(YEAR('DADOS BRUTOS'!FK$2),MONTH('DADOS BRUTOS'!FK$2),1),"")</f>
        <v/>
      </c>
      <c r="IL4" s="112">
        <f>IF(ISNUMBER('DADOS BRUTOS'!FL$2),DATE(YEAR('DADOS BRUTOS'!FL$2),MONTH('DADOS BRUTOS'!FL$2),1),"")</f>
        <v/>
      </c>
      <c r="IM4" s="112">
        <f>IF(ISNUMBER('DADOS BRUTOS'!FM$2),DATE(YEAR('DADOS BRUTOS'!FM$2),MONTH('DADOS BRUTOS'!FM$2),1),"")</f>
        <v/>
      </c>
      <c r="IN4" s="112">
        <f>IF(ISNUMBER('DADOS BRUTOS'!FN$2),DATE(YEAR('DADOS BRUTOS'!FN$2),MONTH('DADOS BRUTOS'!FN$2),1),"")</f>
        <v/>
      </c>
      <c r="IO4" s="112">
        <f>IF(ISNUMBER('DADOS BRUTOS'!FO$2),DATE(YEAR('DADOS BRUTOS'!FO$2),MONTH('DADOS BRUTOS'!FO$2),1),"")</f>
        <v/>
      </c>
      <c r="IP4" s="112">
        <f>IF(ISNUMBER('DADOS BRUTOS'!FP$2),DATE(YEAR('DADOS BRUTOS'!FP$2),MONTH('DADOS BRUTOS'!FP$2),1),"")</f>
        <v/>
      </c>
      <c r="IQ4" s="112">
        <f>IF(ISNUMBER('DADOS BRUTOS'!FQ$2),DATE(YEAR('DADOS BRUTOS'!FQ$2),MONTH('DADOS BRUTOS'!FQ$2),1),"")</f>
        <v/>
      </c>
      <c r="IR4" s="112">
        <f>IF(ISNUMBER('DADOS BRUTOS'!FR$2),DATE(YEAR('DADOS BRUTOS'!FR$2),MONTH('DADOS BRUTOS'!FR$2),1),"")</f>
        <v/>
      </c>
      <c r="IS4" s="112">
        <f>IF(ISNUMBER('DADOS BRUTOS'!FS$2),DATE(YEAR('DADOS BRUTOS'!FS$2),MONTH('DADOS BRUTOS'!FS$2),1),"")</f>
        <v/>
      </c>
      <c r="IT4" s="112">
        <f>IF(ISNUMBER('DADOS BRUTOS'!FT$2),DATE(YEAR('DADOS BRUTOS'!FT$2),MONTH('DADOS BRUTOS'!FT$2),1),"")</f>
        <v/>
      </c>
      <c r="IU4" s="112">
        <f>IF(ISNUMBER('DADOS BRUTOS'!FU$2),DATE(YEAR('DADOS BRUTOS'!FU$2),MONTH('DADOS BRUTOS'!FU$2),1),"")</f>
        <v/>
      </c>
      <c r="IV4" s="112">
        <f>IF(ISNUMBER('DADOS BRUTOS'!FV$2),DATE(YEAR('DADOS BRUTOS'!FV$2),MONTH('DADOS BRUTOS'!FV$2),1),"")</f>
        <v/>
      </c>
      <c r="IW4" s="112">
        <f>IF(ISNUMBER('DADOS BRUTOS'!FW$2),DATE(YEAR('DADOS BRUTOS'!FW$2),MONTH('DADOS BRUTOS'!FW$2),1),"")</f>
        <v/>
      </c>
      <c r="IX4" s="112">
        <f>IF(ISNUMBER('DADOS BRUTOS'!FX$2),DATE(YEAR('DADOS BRUTOS'!FX$2),MONTH('DADOS BRUTOS'!FX$2),1),"")</f>
        <v/>
      </c>
      <c r="IY4" s="112">
        <f>IF(ISNUMBER('DADOS BRUTOS'!FY$2),DATE(YEAR('DADOS BRUTOS'!FY$2),MONTH('DADOS BRUTOS'!FY$2),1),"")</f>
        <v/>
      </c>
      <c r="IZ4" s="112">
        <f>IF(ISNUMBER('DADOS BRUTOS'!FZ$2),DATE(YEAR('DADOS BRUTOS'!FZ$2),MONTH('DADOS BRUTOS'!FZ$2),1),"")</f>
        <v/>
      </c>
      <c r="JA4" s="112">
        <f>IF(ISNUMBER('DADOS BRUTOS'!GA$2),DATE(YEAR('DADOS BRUTOS'!GA$2),MONTH('DADOS BRUTOS'!GA$2),1),"")</f>
        <v/>
      </c>
      <c r="JB4" s="112">
        <f>IF(ISNUMBER('DADOS BRUTOS'!GB$2),DATE(YEAR('DADOS BRUTOS'!GB$2),MONTH('DADOS BRUTOS'!GB$2),1),"")</f>
        <v/>
      </c>
      <c r="JC4" s="112">
        <f>IF(ISNUMBER('DADOS BRUTOS'!GC$2),DATE(YEAR('DADOS BRUTOS'!GC$2),MONTH('DADOS BRUTOS'!GC$2),1),"")</f>
        <v/>
      </c>
      <c r="JD4" s="112">
        <f>IF(ISNUMBER('DADOS BRUTOS'!GD$2),DATE(YEAR('DADOS BRUTOS'!GD$2),MONTH('DADOS BRUTOS'!GD$2),1),"")</f>
        <v/>
      </c>
      <c r="JE4" s="112">
        <f>IF(ISNUMBER('DADOS BRUTOS'!GE$2),DATE(YEAR('DADOS BRUTOS'!GE$2),MONTH('DADOS BRUTOS'!GE$2),1),"")</f>
        <v/>
      </c>
      <c r="JF4" s="112">
        <f>IF(ISNUMBER('DADOS BRUTOS'!GF$2),DATE(YEAR('DADOS BRUTOS'!GF$2),MONTH('DADOS BRUTOS'!GF$2),1),"")</f>
        <v/>
      </c>
      <c r="JG4" s="112">
        <f>IF(ISNUMBER('DADOS BRUTOS'!GG$2),DATE(YEAR('DADOS BRUTOS'!GG$2),MONTH('DADOS BRUTOS'!GG$2),1),"")</f>
        <v/>
      </c>
      <c r="JH4" s="112">
        <f>IF(ISNUMBER('DADOS BRUTOS'!GH$2),DATE(YEAR('DADOS BRUTOS'!GH$2),MONTH('DADOS BRUTOS'!GH$2),1),"")</f>
        <v/>
      </c>
      <c r="JI4" s="112">
        <f>IF(ISNUMBER('DADOS BRUTOS'!GI$2),DATE(YEAR('DADOS BRUTOS'!GI$2),MONTH('DADOS BRUTOS'!GI$2),1),"")</f>
        <v/>
      </c>
      <c r="JJ4" s="112">
        <f>IF(ISNUMBER('DADOS BRUTOS'!GJ$2),DATE(YEAR('DADOS BRUTOS'!GJ$2),MONTH('DADOS BRUTOS'!GJ$2),1),"")</f>
        <v/>
      </c>
      <c r="JK4" s="112">
        <f>IF(ISNUMBER('DADOS BRUTOS'!GK$2),DATE(YEAR('DADOS BRUTOS'!GK$2),MONTH('DADOS BRUTOS'!GK$2),1),"")</f>
        <v/>
      </c>
      <c r="JL4" s="112">
        <f>IF(ISNUMBER('DADOS BRUTOS'!GL$2),DATE(YEAR('DADOS BRUTOS'!GL$2),MONTH('DADOS BRUTOS'!GL$2),1),"")</f>
        <v/>
      </c>
      <c r="JM4" s="112">
        <f>IF(ISNUMBER('DADOS BRUTOS'!GM$2),DATE(YEAR('DADOS BRUTOS'!GM$2),MONTH('DADOS BRUTOS'!GM$2),1),"")</f>
        <v/>
      </c>
      <c r="JN4" s="112">
        <f>IF(ISNUMBER('DADOS BRUTOS'!GN$2),DATE(YEAR('DADOS BRUTOS'!GN$2),MONTH('DADOS BRUTOS'!GN$2),1),"")</f>
        <v/>
      </c>
      <c r="JO4" s="112">
        <f>IF(ISNUMBER('DADOS BRUTOS'!GO$2),DATE(YEAR('DADOS BRUTOS'!GO$2),MONTH('DADOS BRUTOS'!GO$2),1),"")</f>
        <v/>
      </c>
      <c r="JP4" s="112">
        <f>IF(ISNUMBER('DADOS BRUTOS'!GP$2),DATE(YEAR('DADOS BRUTOS'!GP$2),MONTH('DADOS BRUTOS'!GP$2),1),"")</f>
        <v/>
      </c>
      <c r="JQ4" s="112">
        <f>IF(ISNUMBER('DADOS BRUTOS'!GQ$2),DATE(YEAR('DADOS BRUTOS'!GQ$2),MONTH('DADOS BRUTOS'!GQ$2),1),"")</f>
        <v/>
      </c>
      <c r="JR4" s="112">
        <f>IF(ISNUMBER('DADOS BRUTOS'!GR$2),DATE(YEAR('DADOS BRUTOS'!GR$2),MONTH('DADOS BRUTOS'!GR$2),1),"")</f>
        <v/>
      </c>
      <c r="JS4" s="112">
        <f>IF(ISNUMBER('DADOS BRUTOS'!GS$2),DATE(YEAR('DADOS BRUTOS'!GS$2),MONTH('DADOS BRUTOS'!GS$2),1),"")</f>
        <v/>
      </c>
    </row>
    <row r="5">
      <c r="A5" s="61">
        <f>'VALOR POR PL'!D11</f>
        <v/>
      </c>
      <c r="B5" s="60" t="inlineStr">
        <is>
          <t>PROJETOS</t>
        </is>
      </c>
      <c r="C5" s="60" t="n"/>
      <c r="D5" s="55">
        <f>SUMIF($CB$4:$JS$4,"&lt;="&amp;D$4,$CB5:$JS5)</f>
        <v/>
      </c>
      <c r="E5" s="55">
        <f>SUMIF($CB$4:$JS$4,E$4,$CB5:$JS5)</f>
        <v/>
      </c>
      <c r="F5" s="55">
        <f>SUMIF($CB$4:$JS$4,F$4,$CB5:$JS5)</f>
        <v/>
      </c>
      <c r="G5" s="55">
        <f>SUMIF($CB$4:$JS$4,G$4,$CB5:$JS5)</f>
        <v/>
      </c>
      <c r="H5" s="55">
        <f>SUMIF($CB$4:$JS$4,H$4,$CB5:$JS5)</f>
        <v/>
      </c>
      <c r="I5" s="55">
        <f>SUMIF($CB$4:$JS$4,I$4,$CB5:$JS5)</f>
        <v/>
      </c>
      <c r="J5" s="55">
        <f>SUMIF($CB$4:$JS$4,J$4,$CB5:$JS5)</f>
        <v/>
      </c>
      <c r="K5" s="55">
        <f>SUMIF($CB$4:$JS$4,K$4,$CB5:$JS5)</f>
        <v/>
      </c>
      <c r="L5" s="55">
        <f>SUMIF($CB$4:$JS$4,L$4,$CB5:$JS5)</f>
        <v/>
      </c>
      <c r="M5" s="55">
        <f>SUMIF($CB$4:$JS$4,M$4,$CB5:$JS5)</f>
        <v/>
      </c>
      <c r="N5" s="55">
        <f>SUMIF($CB$4:$JS$4,N$4,$CB5:$JS5)</f>
        <v/>
      </c>
      <c r="O5" s="55">
        <f>SUMIF($CB$4:$JS$4,O$4,$CB5:$JS5)</f>
        <v/>
      </c>
      <c r="P5" s="55">
        <f>SUMIF($CB$4:$JS$4,P$4,$CB5:$JS5)</f>
        <v/>
      </c>
      <c r="Q5" s="55">
        <f>SUMIF($CB$4:$JS$4,Q$4,$CB5:$JS5)</f>
        <v/>
      </c>
      <c r="R5" s="55">
        <f>SUMIF($CB$4:$JS$4,R$4,$CB5:$JS5)</f>
        <v/>
      </c>
      <c r="S5" s="55">
        <f>SUMIF($CB$4:$JS$4,S$4,$CB5:$JS5)</f>
        <v/>
      </c>
      <c r="T5" s="55">
        <f>SUMIF($CB$4:$JS$4,T$4,$CB5:$JS5)</f>
        <v/>
      </c>
      <c r="U5" s="55">
        <f>SUMIF($CB$4:$JS$4,U$4,$CB5:$JS5)</f>
        <v/>
      </c>
      <c r="V5" s="55">
        <f>SUMIF($CB$4:$JS$4,V$4,$CB5:$JS5)</f>
        <v/>
      </c>
      <c r="W5" s="55">
        <f>SUMIF($CB$4:$JS$4,W$4,$CB5:$JS5)</f>
        <v/>
      </c>
      <c r="X5" s="55">
        <f>SUMIF($CB$4:$JS$4,X$4,$CB5:$JS5)</f>
        <v/>
      </c>
      <c r="Y5" s="55">
        <f>SUMIF($CB$4:$JS$4,Y$4,$CB5:$JS5)</f>
        <v/>
      </c>
      <c r="Z5" s="55">
        <f>SUMIF($CB$4:$JS$4,Z$4,$CB5:$JS5)</f>
        <v/>
      </c>
      <c r="AA5" s="55">
        <f>SUMIF($CB$4:$JS$4,AA$4,$CB5:$JS5)</f>
        <v/>
      </c>
      <c r="AB5" s="55">
        <f>SUMIF($CB$4:$JS$4,AB$4,$CB5:$JS5)</f>
        <v/>
      </c>
      <c r="AC5" s="55">
        <f>SUMIF($CB$4:$JS$4,AC$4,$CB5:$JS5)</f>
        <v/>
      </c>
      <c r="AD5" s="55">
        <f>SUMIF($CB$4:$JS$4,AD$4,$CB5:$JS5)</f>
        <v/>
      </c>
      <c r="AE5" s="55">
        <f>SUMIF($CB$4:$JS$4,AE$4,$CB5:$JS5)</f>
        <v/>
      </c>
      <c r="AF5" s="55">
        <f>SUMIF($CB$4:$JS$4,AF$4,$CB5:$JS5)</f>
        <v/>
      </c>
      <c r="AG5" s="55">
        <f>SUMIF($CB$4:$JS$4,AG$4,$CB5:$JS5)</f>
        <v/>
      </c>
      <c r="AH5" s="55">
        <f>SUMIF($CB$4:$JS$4,AH$4,$CB5:$JS5)</f>
        <v/>
      </c>
      <c r="AI5" s="55">
        <f>SUMIF($CB$4:$JS$4,AI$4,$CB5:$JS5)</f>
        <v/>
      </c>
      <c r="AJ5" s="55">
        <f>SUMIF($CB$4:$JS$4,AJ$4,$CB5:$JS5)</f>
        <v/>
      </c>
      <c r="AK5" s="55">
        <f>SUMIF($CB$4:$JS$4,AK$4,$CB5:$JS5)</f>
        <v/>
      </c>
      <c r="AL5" s="55">
        <f>SUMIF($CB$4:$JS$4,AL$4,$CB5:$JS5)</f>
        <v/>
      </c>
      <c r="AM5" s="55">
        <f>SUMIF($CB$4:$JS$4,AM$4,$CB5:$JS5)</f>
        <v/>
      </c>
      <c r="AN5" s="55">
        <f>SUMIF($CB$4:$JS$4,AN$4,$CB5:$JS5)</f>
        <v/>
      </c>
      <c r="AO5" s="55">
        <f>SUMIF($CB$4:$JS$4,AO$4,$CB5:$JS5)</f>
        <v/>
      </c>
      <c r="AP5" s="55">
        <f>SUMIF($CB$4:$JS$4,AP$4,$CB5:$JS5)</f>
        <v/>
      </c>
      <c r="AQ5" s="55">
        <f>SUMIF($CB$4:$JS$4,AQ$4,$CB5:$JS5)</f>
        <v/>
      </c>
      <c r="AR5" s="55">
        <f>SUMIF($CB$4:$JS$4,AR$4,$CB5:$JS5)</f>
        <v/>
      </c>
      <c r="AS5" s="55">
        <f>SUMIF($CB$4:$JS$4,AS$4,$CB5:$JS5)</f>
        <v/>
      </c>
      <c r="AT5" s="55">
        <f>SUMIF($CB$4:$JS$4,AT$4,$CB5:$JS5)</f>
        <v/>
      </c>
      <c r="AU5" s="55">
        <f>SUMIF($CB$4:$JS$4,AU$4,$CB5:$JS5)</f>
        <v/>
      </c>
      <c r="AV5" s="55">
        <f>SUMIF($CB$4:$JS$4,AV$4,$CB5:$JS5)</f>
        <v/>
      </c>
      <c r="AW5" s="55">
        <f>SUMIF($CB$4:$JS$4,AW$4,$CB5:$JS5)</f>
        <v/>
      </c>
      <c r="AX5" s="55">
        <f>SUMIF($CB$4:$JS$4,AX$4,$CB5:$JS5)</f>
        <v/>
      </c>
      <c r="AY5" s="55">
        <f>SUMIF($CB$4:$JS$4,AY$4,$CB5:$JS5)</f>
        <v/>
      </c>
      <c r="AZ5" s="55">
        <f>SUMIF($CB$4:$JS$4,AZ$4,$CB5:$JS5)</f>
        <v/>
      </c>
      <c r="BA5" s="55">
        <f>SUMIF($CB$4:$JS$4,BA$4,$CB5:$JS5)</f>
        <v/>
      </c>
      <c r="BB5" s="55">
        <f>SUMIF($CB$4:$JS$4,BB$4,$CB5:$JS5)</f>
        <v/>
      </c>
      <c r="BC5" s="55">
        <f>SUMIF($CB$4:$JS$4,BC$4,$CB5:$JS5)</f>
        <v/>
      </c>
      <c r="BD5" s="55">
        <f>SUMIF($CB$4:$JS$4,BD$4,$CB5:$JS5)</f>
        <v/>
      </c>
      <c r="BE5" s="55">
        <f>SUMIF($CB$4:$JS$4,BE$4,$CB5:$JS5)</f>
        <v/>
      </c>
      <c r="BF5" s="55">
        <f>SUMIF($CB$4:$JS$4,BF$4,$CB5:$JS5)</f>
        <v/>
      </c>
      <c r="BG5" s="55">
        <f>SUMIF($CB$4:$JS$4,BG$4,$CB5:$JS5)</f>
        <v/>
      </c>
      <c r="BH5" s="55">
        <f>SUMIF($CB$4:$JS$4,BH$4,$CB5:$JS5)</f>
        <v/>
      </c>
      <c r="BI5" s="55">
        <f>SUMIF($CB$4:$JS$4,BI$4,$CB5:$JS5)</f>
        <v/>
      </c>
      <c r="BJ5" s="55">
        <f>SUMIF($CB$4:$JS$4,BJ$4,$CB5:$JS5)</f>
        <v/>
      </c>
      <c r="BK5" s="55">
        <f>SUMIF($CB$4:$JS$4,BK$4,$CB5:$JS5)</f>
        <v/>
      </c>
      <c r="BL5" s="55">
        <f>SUMIF($CB$4:$JS$4,BL$4,$CB5:$JS5)</f>
        <v/>
      </c>
      <c r="BM5" s="55">
        <f>SUMIF($CB$4:$JS$4,BM$4,$CB5:$JS5)</f>
        <v/>
      </c>
      <c r="BN5" s="55">
        <f>SUMIF($CB$4:$JS$4,BN$4,$CB5:$JS5)</f>
        <v/>
      </c>
      <c r="BO5" s="55">
        <f>SUMIF($CB$4:$JS$4,BO$4,$CB5:$JS5)</f>
        <v/>
      </c>
      <c r="BP5" s="55">
        <f>SUMIF($CB$4:$JS$4,BP$4,$CB5:$JS5)</f>
        <v/>
      </c>
      <c r="BQ5" s="55">
        <f>SUMIF($CB$4:$JS$4,BQ$4,$CB5:$JS5)</f>
        <v/>
      </c>
      <c r="BR5" s="55">
        <f>SUMIF($CB$4:$JS$4,BR$4,$CB5:$JS5)</f>
        <v/>
      </c>
      <c r="BS5" s="55">
        <f>SUMIF($CB$4:$JS$4,BS$4,$CB5:$JS5)</f>
        <v/>
      </c>
      <c r="BT5" s="55">
        <f>SUMIF($CB$4:$JS$4,BT$4,$CB5:$JS5)</f>
        <v/>
      </c>
      <c r="BU5" s="55">
        <f>SUMIF($CB$4:$JS$4,BU$4,$CB5:$JS5)</f>
        <v/>
      </c>
      <c r="BV5" s="55">
        <f>SUMIF($CB$4:$JS$4,BV$4,$CB5:$JS5)</f>
        <v/>
      </c>
      <c r="BW5" s="55">
        <f>SUMIF($CB$4:$JS$4,BW$4,$CB5:$JS5)</f>
        <v/>
      </c>
      <c r="BX5" s="55">
        <f>SUMIF($CB$4:$JS$4,"&gt;"&amp;'VALOR POR PL'!$P$8,$CB5:$JS5)</f>
        <v/>
      </c>
      <c r="BY5" s="55">
        <f>SUM($CB5:$JS5)</f>
        <v/>
      </c>
      <c r="CB5" s="123">
        <f>IF(OR(CB$4="",$B5=""),0,SUMIF('DADOS BRUTOS'!$A$3:$A$500,$B5,'DADOS BRUTOS'!B$3:B$500)+IF($C5="",0,SUMIF('DADOS BRUTOS'!$A$3:$A$500,$C5,'DADOS BRUTOS'!B$3:B$500)))</f>
        <v/>
      </c>
      <c r="CC5" s="123">
        <f>IF(OR(CC$4="",$B5=""),0,SUMIF('DADOS BRUTOS'!$A$3:$A$500,$B5,'DADOS BRUTOS'!C$3:C$500)+IF($C5="",0,SUMIF('DADOS BRUTOS'!$A$3:$A$500,$C5,'DADOS BRUTOS'!C$3:C$500)))</f>
        <v/>
      </c>
      <c r="CD5" s="123">
        <f>IF(OR(CD$4="",$B5=""),0,SUMIF('DADOS BRUTOS'!$A$3:$A$500,$B5,'DADOS BRUTOS'!D$3:D$500)+IF($C5="",0,SUMIF('DADOS BRUTOS'!$A$3:$A$500,$C5,'DADOS BRUTOS'!D$3:D$500)))</f>
        <v/>
      </c>
      <c r="CE5" s="123">
        <f>IF(OR(CE$4="",$B5=""),0,SUMIF('DADOS BRUTOS'!$A$3:$A$500,$B5,'DADOS BRUTOS'!E$3:E$500)+IF($C5="",0,SUMIF('DADOS BRUTOS'!$A$3:$A$500,$C5,'DADOS BRUTOS'!E$3:E$500)))</f>
        <v/>
      </c>
      <c r="CF5" s="123">
        <f>IF(OR(CF$4="",$B5=""),0,SUMIF('DADOS BRUTOS'!$A$3:$A$500,$B5,'DADOS BRUTOS'!F$3:F$500)+IF($C5="",0,SUMIF('DADOS BRUTOS'!$A$3:$A$500,$C5,'DADOS BRUTOS'!F$3:F$500)))</f>
        <v/>
      </c>
      <c r="CG5" s="123">
        <f>IF(OR(CG$4="",$B5=""),0,SUMIF('DADOS BRUTOS'!$A$3:$A$500,$B5,'DADOS BRUTOS'!G$3:G$500)+IF($C5="",0,SUMIF('DADOS BRUTOS'!$A$3:$A$500,$C5,'DADOS BRUTOS'!G$3:G$500)))</f>
        <v/>
      </c>
      <c r="CH5" s="123">
        <f>IF(OR(CH$4="",$B5=""),0,SUMIF('DADOS BRUTOS'!$A$3:$A$500,$B5,'DADOS BRUTOS'!H$3:H$500)+IF($C5="",0,SUMIF('DADOS BRUTOS'!$A$3:$A$500,$C5,'DADOS BRUTOS'!H$3:H$500)))</f>
        <v/>
      </c>
      <c r="CI5" s="123">
        <f>IF(OR(CI$4="",$B5=""),0,SUMIF('DADOS BRUTOS'!$A$3:$A$500,$B5,'DADOS BRUTOS'!I$3:I$500)+IF($C5="",0,SUMIF('DADOS BRUTOS'!$A$3:$A$500,$C5,'DADOS BRUTOS'!I$3:I$500)))</f>
        <v/>
      </c>
      <c r="CJ5" s="123">
        <f>IF(OR(CJ$4="",$B5=""),0,SUMIF('DADOS BRUTOS'!$A$3:$A$500,$B5,'DADOS BRUTOS'!J$3:J$500)+IF($C5="",0,SUMIF('DADOS BRUTOS'!$A$3:$A$500,$C5,'DADOS BRUTOS'!J$3:J$500)))</f>
        <v/>
      </c>
      <c r="CK5" s="123">
        <f>IF(OR(CK$4="",$B5=""),0,SUMIF('DADOS BRUTOS'!$A$3:$A$500,$B5,'DADOS BRUTOS'!K$3:K$500)+IF($C5="",0,SUMIF('DADOS BRUTOS'!$A$3:$A$500,$C5,'DADOS BRUTOS'!K$3:K$500)))</f>
        <v/>
      </c>
      <c r="CL5" s="123">
        <f>IF(OR(CL$4="",$B5=""),0,SUMIF('DADOS BRUTOS'!$A$3:$A$500,$B5,'DADOS BRUTOS'!L$3:L$500)+IF($C5="",0,SUMIF('DADOS BRUTOS'!$A$3:$A$500,$C5,'DADOS BRUTOS'!L$3:L$500)))</f>
        <v/>
      </c>
      <c r="CM5" s="123">
        <f>IF(OR(CM$4="",$B5=""),0,SUMIF('DADOS BRUTOS'!$A$3:$A$500,$B5,'DADOS BRUTOS'!M$3:M$500)+IF($C5="",0,SUMIF('DADOS BRUTOS'!$A$3:$A$500,$C5,'DADOS BRUTOS'!M$3:M$500)))</f>
        <v/>
      </c>
      <c r="CN5" s="123">
        <f>IF(OR(CN$4="",$B5=""),0,SUMIF('DADOS BRUTOS'!$A$3:$A$500,$B5,'DADOS BRUTOS'!N$3:N$500)+IF($C5="",0,SUMIF('DADOS BRUTOS'!$A$3:$A$500,$C5,'DADOS BRUTOS'!N$3:N$500)))</f>
        <v/>
      </c>
      <c r="CO5" s="123">
        <f>IF(OR(CO$4="",$B5=""),0,SUMIF('DADOS BRUTOS'!$A$3:$A$500,$B5,'DADOS BRUTOS'!O$3:O$500)+IF($C5="",0,SUMIF('DADOS BRUTOS'!$A$3:$A$500,$C5,'DADOS BRUTOS'!O$3:O$500)))</f>
        <v/>
      </c>
      <c r="CP5" s="123">
        <f>IF(OR(CP$4="",$B5=""),0,SUMIF('DADOS BRUTOS'!$A$3:$A$500,$B5,'DADOS BRUTOS'!P$3:P$500)+IF($C5="",0,SUMIF('DADOS BRUTOS'!$A$3:$A$500,$C5,'DADOS BRUTOS'!P$3:P$500)))</f>
        <v/>
      </c>
      <c r="CQ5" s="123">
        <f>IF(OR(CQ$4="",$B5=""),0,SUMIF('DADOS BRUTOS'!$A$3:$A$500,$B5,'DADOS BRUTOS'!Q$3:Q$500)+IF($C5="",0,SUMIF('DADOS BRUTOS'!$A$3:$A$500,$C5,'DADOS BRUTOS'!Q$3:Q$500)))</f>
        <v/>
      </c>
      <c r="CR5" s="123">
        <f>IF(OR(CR$4="",$B5=""),0,SUMIF('DADOS BRUTOS'!$A$3:$A$500,$B5,'DADOS BRUTOS'!R$3:R$500)+IF($C5="",0,SUMIF('DADOS BRUTOS'!$A$3:$A$500,$C5,'DADOS BRUTOS'!R$3:R$500)))</f>
        <v/>
      </c>
      <c r="CS5" s="123">
        <f>IF(OR(CS$4="",$B5=""),0,SUMIF('DADOS BRUTOS'!$A$3:$A$500,$B5,'DADOS BRUTOS'!S$3:S$500)+IF($C5="",0,SUMIF('DADOS BRUTOS'!$A$3:$A$500,$C5,'DADOS BRUTOS'!S$3:S$500)))</f>
        <v/>
      </c>
      <c r="CT5" s="123">
        <f>IF(OR(CT$4="",$B5=""),0,SUMIF('DADOS BRUTOS'!$A$3:$A$500,$B5,'DADOS BRUTOS'!T$3:T$500)+IF($C5="",0,SUMIF('DADOS BRUTOS'!$A$3:$A$500,$C5,'DADOS BRUTOS'!T$3:T$500)))</f>
        <v/>
      </c>
      <c r="CU5" s="123">
        <f>IF(OR(CU$4="",$B5=""),0,SUMIF('DADOS BRUTOS'!$A$3:$A$500,$B5,'DADOS BRUTOS'!U$3:U$500)+IF($C5="",0,SUMIF('DADOS BRUTOS'!$A$3:$A$500,$C5,'DADOS BRUTOS'!U$3:U$500)))</f>
        <v/>
      </c>
      <c r="CV5" s="123">
        <f>IF(OR(CV$4="",$B5=""),0,SUMIF('DADOS BRUTOS'!$A$3:$A$500,$B5,'DADOS BRUTOS'!V$3:V$500)+IF($C5="",0,SUMIF('DADOS BRUTOS'!$A$3:$A$500,$C5,'DADOS BRUTOS'!V$3:V$500)))</f>
        <v/>
      </c>
      <c r="CW5" s="123">
        <f>IF(OR(CW$4="",$B5=""),0,SUMIF('DADOS BRUTOS'!$A$3:$A$500,$B5,'DADOS BRUTOS'!W$3:W$500)+IF($C5="",0,SUMIF('DADOS BRUTOS'!$A$3:$A$500,$C5,'DADOS BRUTOS'!W$3:W$500)))</f>
        <v/>
      </c>
      <c r="CX5" s="123">
        <f>IF(OR(CX$4="",$B5=""),0,SUMIF('DADOS BRUTOS'!$A$3:$A$500,$B5,'DADOS BRUTOS'!X$3:X$500)+IF($C5="",0,SUMIF('DADOS BRUTOS'!$A$3:$A$500,$C5,'DADOS BRUTOS'!X$3:X$500)))</f>
        <v/>
      </c>
      <c r="CY5" s="123">
        <f>IF(OR(CY$4="",$B5=""),0,SUMIF('DADOS BRUTOS'!$A$3:$A$500,$B5,'DADOS BRUTOS'!Y$3:Y$500)+IF($C5="",0,SUMIF('DADOS BRUTOS'!$A$3:$A$500,$C5,'DADOS BRUTOS'!Y$3:Y$500)))</f>
        <v/>
      </c>
      <c r="CZ5" s="123">
        <f>IF(OR(CZ$4="",$B5=""),0,SUMIF('DADOS BRUTOS'!$A$3:$A$500,$B5,'DADOS BRUTOS'!Z$3:Z$500)+IF($C5="",0,SUMIF('DADOS BRUTOS'!$A$3:$A$500,$C5,'DADOS BRUTOS'!Z$3:Z$500)))</f>
        <v/>
      </c>
      <c r="DA5" s="123">
        <f>IF(OR(DA$4="",$B5=""),0,SUMIF('DADOS BRUTOS'!$A$3:$A$500,$B5,'DADOS BRUTOS'!AA$3:AA$500)+IF($C5="",0,SUMIF('DADOS BRUTOS'!$A$3:$A$500,$C5,'DADOS BRUTOS'!AA$3:AA$500)))</f>
        <v/>
      </c>
      <c r="DB5" s="123">
        <f>IF(OR(DB$4="",$B5=""),0,SUMIF('DADOS BRUTOS'!$A$3:$A$500,$B5,'DADOS BRUTOS'!AB$3:AB$500)+IF($C5="",0,SUMIF('DADOS BRUTOS'!$A$3:$A$500,$C5,'DADOS BRUTOS'!AB$3:AB$500)))</f>
        <v/>
      </c>
      <c r="DC5" s="123">
        <f>IF(OR(DC$4="",$B5=""),0,SUMIF('DADOS BRUTOS'!$A$3:$A$500,$B5,'DADOS BRUTOS'!AC$3:AC$500)+IF($C5="",0,SUMIF('DADOS BRUTOS'!$A$3:$A$500,$C5,'DADOS BRUTOS'!AC$3:AC$500)))</f>
        <v/>
      </c>
      <c r="DD5" s="123">
        <f>IF(OR(DD$4="",$B5=""),0,SUMIF('DADOS BRUTOS'!$A$3:$A$500,$B5,'DADOS BRUTOS'!AD$3:AD$500)+IF($C5="",0,SUMIF('DADOS BRUTOS'!$A$3:$A$500,$C5,'DADOS BRUTOS'!AD$3:AD$500)))</f>
        <v/>
      </c>
      <c r="DE5" s="123">
        <f>IF(OR(DE$4="",$B5=""),0,SUMIF('DADOS BRUTOS'!$A$3:$A$500,$B5,'DADOS BRUTOS'!AE$3:AE$500)+IF($C5="",0,SUMIF('DADOS BRUTOS'!$A$3:$A$500,$C5,'DADOS BRUTOS'!AE$3:AE$500)))</f>
        <v/>
      </c>
      <c r="DF5" s="123">
        <f>IF(OR(DF$4="",$B5=""),0,SUMIF('DADOS BRUTOS'!$A$3:$A$500,$B5,'DADOS BRUTOS'!AF$3:AF$500)+IF($C5="",0,SUMIF('DADOS BRUTOS'!$A$3:$A$500,$C5,'DADOS BRUTOS'!AF$3:AF$500)))</f>
        <v/>
      </c>
      <c r="DG5" s="123">
        <f>IF(OR(DG$4="",$B5=""),0,SUMIF('DADOS BRUTOS'!$A$3:$A$500,$B5,'DADOS BRUTOS'!AG$3:AG$500)+IF($C5="",0,SUMIF('DADOS BRUTOS'!$A$3:$A$500,$C5,'DADOS BRUTOS'!AG$3:AG$500)))</f>
        <v/>
      </c>
      <c r="DH5" s="123">
        <f>IF(OR(DH$4="",$B5=""),0,SUMIF('DADOS BRUTOS'!$A$3:$A$500,$B5,'DADOS BRUTOS'!AH$3:AH$500)+IF($C5="",0,SUMIF('DADOS BRUTOS'!$A$3:$A$500,$C5,'DADOS BRUTOS'!AH$3:AH$500)))</f>
        <v/>
      </c>
      <c r="DI5" s="123">
        <f>IF(OR(DI$4="",$B5=""),0,SUMIF('DADOS BRUTOS'!$A$3:$A$500,$B5,'DADOS BRUTOS'!AI$3:AI$500)+IF($C5="",0,SUMIF('DADOS BRUTOS'!$A$3:$A$500,$C5,'DADOS BRUTOS'!AI$3:AI$500)))</f>
        <v/>
      </c>
      <c r="DJ5" s="123">
        <f>IF(OR(DJ$4="",$B5=""),0,SUMIF('DADOS BRUTOS'!$A$3:$A$500,$B5,'DADOS BRUTOS'!AJ$3:AJ$500)+IF($C5="",0,SUMIF('DADOS BRUTOS'!$A$3:$A$500,$C5,'DADOS BRUTOS'!AJ$3:AJ$500)))</f>
        <v/>
      </c>
      <c r="DK5" s="123">
        <f>IF(OR(DK$4="",$B5=""),0,SUMIF('DADOS BRUTOS'!$A$3:$A$500,$B5,'DADOS BRUTOS'!AK$3:AK$500)+IF($C5="",0,SUMIF('DADOS BRUTOS'!$A$3:$A$500,$C5,'DADOS BRUTOS'!AK$3:AK$500)))</f>
        <v/>
      </c>
      <c r="DL5" s="123">
        <f>IF(OR(DL$4="",$B5=""),0,SUMIF('DADOS BRUTOS'!$A$3:$A$500,$B5,'DADOS BRUTOS'!AL$3:AL$500)+IF($C5="",0,SUMIF('DADOS BRUTOS'!$A$3:$A$500,$C5,'DADOS BRUTOS'!AL$3:AL$500)))</f>
        <v/>
      </c>
      <c r="DM5" s="123">
        <f>IF(OR(DM$4="",$B5=""),0,SUMIF('DADOS BRUTOS'!$A$3:$A$500,$B5,'DADOS BRUTOS'!AM$3:AM$500)+IF($C5="",0,SUMIF('DADOS BRUTOS'!$A$3:$A$500,$C5,'DADOS BRUTOS'!AM$3:AM$500)))</f>
        <v/>
      </c>
      <c r="DN5" s="123">
        <f>IF(OR(DN$4="",$B5=""),0,SUMIF('DADOS BRUTOS'!$A$3:$A$500,$B5,'DADOS BRUTOS'!AN$3:AN$500)+IF($C5="",0,SUMIF('DADOS BRUTOS'!$A$3:$A$500,$C5,'DADOS BRUTOS'!AN$3:AN$500)))</f>
        <v/>
      </c>
      <c r="DO5" s="123">
        <f>IF(OR(DO$4="",$B5=""),0,SUMIF('DADOS BRUTOS'!$A$3:$A$500,$B5,'DADOS BRUTOS'!AO$3:AO$500)+IF($C5="",0,SUMIF('DADOS BRUTOS'!$A$3:$A$500,$C5,'DADOS BRUTOS'!AO$3:AO$500)))</f>
        <v/>
      </c>
      <c r="DP5" s="123">
        <f>IF(OR(DP$4="",$B5=""),0,SUMIF('DADOS BRUTOS'!$A$3:$A$500,$B5,'DADOS BRUTOS'!AP$3:AP$500)+IF($C5="",0,SUMIF('DADOS BRUTOS'!$A$3:$A$500,$C5,'DADOS BRUTOS'!AP$3:AP$500)))</f>
        <v/>
      </c>
      <c r="DQ5" s="123">
        <f>IF(OR(DQ$4="",$B5=""),0,SUMIF('DADOS BRUTOS'!$A$3:$A$500,$B5,'DADOS BRUTOS'!AQ$3:AQ$500)+IF($C5="",0,SUMIF('DADOS BRUTOS'!$A$3:$A$500,$C5,'DADOS BRUTOS'!AQ$3:AQ$500)))</f>
        <v/>
      </c>
      <c r="DR5" s="123">
        <f>IF(OR(DR$4="",$B5=""),0,SUMIF('DADOS BRUTOS'!$A$3:$A$500,$B5,'DADOS BRUTOS'!AR$3:AR$500)+IF($C5="",0,SUMIF('DADOS BRUTOS'!$A$3:$A$500,$C5,'DADOS BRUTOS'!AR$3:AR$500)))</f>
        <v/>
      </c>
      <c r="DS5" s="123">
        <f>IF(OR(DS$4="",$B5=""),0,SUMIF('DADOS BRUTOS'!$A$3:$A$500,$B5,'DADOS BRUTOS'!AS$3:AS$500)+IF($C5="",0,SUMIF('DADOS BRUTOS'!$A$3:$A$500,$C5,'DADOS BRUTOS'!AS$3:AS$500)))</f>
        <v/>
      </c>
      <c r="DT5" s="123">
        <f>IF(OR(DT$4="",$B5=""),0,SUMIF('DADOS BRUTOS'!$A$3:$A$500,$B5,'DADOS BRUTOS'!AT$3:AT$500)+IF($C5="",0,SUMIF('DADOS BRUTOS'!$A$3:$A$500,$C5,'DADOS BRUTOS'!AT$3:AT$500)))</f>
        <v/>
      </c>
      <c r="DU5" s="123">
        <f>IF(OR(DU$4="",$B5=""),0,SUMIF('DADOS BRUTOS'!$A$3:$A$500,$B5,'DADOS BRUTOS'!AU$3:AU$500)+IF($C5="",0,SUMIF('DADOS BRUTOS'!$A$3:$A$500,$C5,'DADOS BRUTOS'!AU$3:AU$500)))</f>
        <v/>
      </c>
      <c r="DV5" s="123">
        <f>IF(OR(DV$4="",$B5=""),0,SUMIF('DADOS BRUTOS'!$A$3:$A$500,$B5,'DADOS BRUTOS'!AV$3:AV$500)+IF($C5="",0,SUMIF('DADOS BRUTOS'!$A$3:$A$500,$C5,'DADOS BRUTOS'!AV$3:AV$500)))</f>
        <v/>
      </c>
      <c r="DW5" s="123">
        <f>IF(OR(DW$4="",$B5=""),0,SUMIF('DADOS BRUTOS'!$A$3:$A$500,$B5,'DADOS BRUTOS'!AW$3:AW$500)+IF($C5="",0,SUMIF('DADOS BRUTOS'!$A$3:$A$500,$C5,'DADOS BRUTOS'!AW$3:AW$500)))</f>
        <v/>
      </c>
      <c r="DX5" s="123">
        <f>IF(OR(DX$4="",$B5=""),0,SUMIF('DADOS BRUTOS'!$A$3:$A$500,$B5,'DADOS BRUTOS'!AX$3:AX$500)+IF($C5="",0,SUMIF('DADOS BRUTOS'!$A$3:$A$500,$C5,'DADOS BRUTOS'!AX$3:AX$500)))</f>
        <v/>
      </c>
      <c r="DY5" s="123">
        <f>IF(OR(DY$4="",$B5=""),0,SUMIF('DADOS BRUTOS'!$A$3:$A$500,$B5,'DADOS BRUTOS'!AY$3:AY$500)+IF($C5="",0,SUMIF('DADOS BRUTOS'!$A$3:$A$500,$C5,'DADOS BRUTOS'!AY$3:AY$500)))</f>
        <v/>
      </c>
      <c r="DZ5" s="123">
        <f>IF(OR(DZ$4="",$B5=""),0,SUMIF('DADOS BRUTOS'!$A$3:$A$500,$B5,'DADOS BRUTOS'!AZ$3:AZ$500)+IF($C5="",0,SUMIF('DADOS BRUTOS'!$A$3:$A$500,$C5,'DADOS BRUTOS'!AZ$3:AZ$500)))</f>
        <v/>
      </c>
      <c r="EA5" s="123">
        <f>IF(OR(EA$4="",$B5=""),0,SUMIF('DADOS BRUTOS'!$A$3:$A$500,$B5,'DADOS BRUTOS'!BA$3:BA$500)+IF($C5="",0,SUMIF('DADOS BRUTOS'!$A$3:$A$500,$C5,'DADOS BRUTOS'!BA$3:BA$500)))</f>
        <v/>
      </c>
      <c r="EB5" s="123">
        <f>IF(OR(EB$4="",$B5=""),0,SUMIF('DADOS BRUTOS'!$A$3:$A$500,$B5,'DADOS BRUTOS'!BB$3:BB$500)+IF($C5="",0,SUMIF('DADOS BRUTOS'!$A$3:$A$500,$C5,'DADOS BRUTOS'!BB$3:BB$500)))</f>
        <v/>
      </c>
      <c r="EC5" s="123">
        <f>IF(OR(EC$4="",$B5=""),0,SUMIF('DADOS BRUTOS'!$A$3:$A$500,$B5,'DADOS BRUTOS'!BC$3:BC$500)+IF($C5="",0,SUMIF('DADOS BRUTOS'!$A$3:$A$500,$C5,'DADOS BRUTOS'!BC$3:BC$500)))</f>
        <v/>
      </c>
      <c r="ED5" s="123">
        <f>IF(OR(ED$4="",$B5=""),0,SUMIF('DADOS BRUTOS'!$A$3:$A$500,$B5,'DADOS BRUTOS'!BD$3:BD$500)+IF($C5="",0,SUMIF('DADOS BRUTOS'!$A$3:$A$500,$C5,'DADOS BRUTOS'!BD$3:BD$500)))</f>
        <v/>
      </c>
      <c r="EE5" s="123">
        <f>IF(OR(EE$4="",$B5=""),0,SUMIF('DADOS BRUTOS'!$A$3:$A$500,$B5,'DADOS BRUTOS'!BE$3:BE$500)+IF($C5="",0,SUMIF('DADOS BRUTOS'!$A$3:$A$500,$C5,'DADOS BRUTOS'!BE$3:BE$500)))</f>
        <v/>
      </c>
      <c r="EF5" s="123">
        <f>IF(OR(EF$4="",$B5=""),0,SUMIF('DADOS BRUTOS'!$A$3:$A$500,$B5,'DADOS BRUTOS'!BF$3:BF$500)+IF($C5="",0,SUMIF('DADOS BRUTOS'!$A$3:$A$500,$C5,'DADOS BRUTOS'!BF$3:BF$500)))</f>
        <v/>
      </c>
      <c r="EG5" s="123">
        <f>IF(OR(EG$4="",$B5=""),0,SUMIF('DADOS BRUTOS'!$A$3:$A$500,$B5,'DADOS BRUTOS'!BG$3:BG$500)+IF($C5="",0,SUMIF('DADOS BRUTOS'!$A$3:$A$500,$C5,'DADOS BRUTOS'!BG$3:BG$500)))</f>
        <v/>
      </c>
      <c r="EH5" s="123">
        <f>IF(OR(EH$4="",$B5=""),0,SUMIF('DADOS BRUTOS'!$A$3:$A$500,$B5,'DADOS BRUTOS'!BH$3:BH$500)+IF($C5="",0,SUMIF('DADOS BRUTOS'!$A$3:$A$500,$C5,'DADOS BRUTOS'!BH$3:BH$500)))</f>
        <v/>
      </c>
      <c r="EI5" s="123">
        <f>IF(OR(EI$4="",$B5=""),0,SUMIF('DADOS BRUTOS'!$A$3:$A$500,$B5,'DADOS BRUTOS'!BI$3:BI$500)+IF($C5="",0,SUMIF('DADOS BRUTOS'!$A$3:$A$500,$C5,'DADOS BRUTOS'!BI$3:BI$500)))</f>
        <v/>
      </c>
      <c r="EJ5" s="123">
        <f>IF(OR(EJ$4="",$B5=""),0,SUMIF('DADOS BRUTOS'!$A$3:$A$500,$B5,'DADOS BRUTOS'!BJ$3:BJ$500)+IF($C5="",0,SUMIF('DADOS BRUTOS'!$A$3:$A$500,$C5,'DADOS BRUTOS'!BJ$3:BJ$500)))</f>
        <v/>
      </c>
      <c r="EK5" s="123">
        <f>IF(OR(EK$4="",$B5=""),0,SUMIF('DADOS BRUTOS'!$A$3:$A$500,$B5,'DADOS BRUTOS'!BK$3:BK$500)+IF($C5="",0,SUMIF('DADOS BRUTOS'!$A$3:$A$500,$C5,'DADOS BRUTOS'!BK$3:BK$500)))</f>
        <v/>
      </c>
      <c r="EL5" s="123">
        <f>IF(OR(EL$4="",$B5=""),0,SUMIF('DADOS BRUTOS'!$A$3:$A$500,$B5,'DADOS BRUTOS'!BL$3:BL$500)+IF($C5="",0,SUMIF('DADOS BRUTOS'!$A$3:$A$500,$C5,'DADOS BRUTOS'!BL$3:BL$500)))</f>
        <v/>
      </c>
      <c r="EM5" s="123">
        <f>IF(OR(EM$4="",$B5=""),0,SUMIF('DADOS BRUTOS'!$A$3:$A$500,$B5,'DADOS BRUTOS'!BM$3:BM$500)+IF($C5="",0,SUMIF('DADOS BRUTOS'!$A$3:$A$500,$C5,'DADOS BRUTOS'!BM$3:BM$500)))</f>
        <v/>
      </c>
      <c r="EN5" s="123">
        <f>IF(OR(EN$4="",$B5=""),0,SUMIF('DADOS BRUTOS'!$A$3:$A$500,$B5,'DADOS BRUTOS'!BN$3:BN$500)+IF($C5="",0,SUMIF('DADOS BRUTOS'!$A$3:$A$500,$C5,'DADOS BRUTOS'!BN$3:BN$500)))</f>
        <v/>
      </c>
      <c r="EO5" s="123">
        <f>IF(OR(EO$4="",$B5=""),0,SUMIF('DADOS BRUTOS'!$A$3:$A$500,$B5,'DADOS BRUTOS'!BO$3:BO$500)+IF($C5="",0,SUMIF('DADOS BRUTOS'!$A$3:$A$500,$C5,'DADOS BRUTOS'!BO$3:BO$500)))</f>
        <v/>
      </c>
      <c r="EP5" s="123">
        <f>IF(OR(EP$4="",$B5=""),0,SUMIF('DADOS BRUTOS'!$A$3:$A$500,$B5,'DADOS BRUTOS'!BP$3:BP$500)+IF($C5="",0,SUMIF('DADOS BRUTOS'!$A$3:$A$500,$C5,'DADOS BRUTOS'!BP$3:BP$500)))</f>
        <v/>
      </c>
      <c r="EQ5" s="123">
        <f>IF(OR(EQ$4="",$B5=""),0,SUMIF('DADOS BRUTOS'!$A$3:$A$500,$B5,'DADOS BRUTOS'!BQ$3:BQ$500)+IF($C5="",0,SUMIF('DADOS BRUTOS'!$A$3:$A$500,$C5,'DADOS BRUTOS'!BQ$3:BQ$500)))</f>
        <v/>
      </c>
      <c r="ER5" s="123">
        <f>IF(OR(ER$4="",$B5=""),0,SUMIF('DADOS BRUTOS'!$A$3:$A$500,$B5,'DADOS BRUTOS'!BR$3:BR$500)+IF($C5="",0,SUMIF('DADOS BRUTOS'!$A$3:$A$500,$C5,'DADOS BRUTOS'!BR$3:BR$500)))</f>
        <v/>
      </c>
      <c r="ES5" s="123">
        <f>IF(OR(ES$4="",$B5=""),0,SUMIF('DADOS BRUTOS'!$A$3:$A$500,$B5,'DADOS BRUTOS'!BS$3:BS$500)+IF($C5="",0,SUMIF('DADOS BRUTOS'!$A$3:$A$500,$C5,'DADOS BRUTOS'!BS$3:BS$500)))</f>
        <v/>
      </c>
      <c r="ET5" s="123">
        <f>IF(OR(ET$4="",$B5=""),0,SUMIF('DADOS BRUTOS'!$A$3:$A$500,$B5,'DADOS BRUTOS'!BT$3:BT$500)+IF($C5="",0,SUMIF('DADOS BRUTOS'!$A$3:$A$500,$C5,'DADOS BRUTOS'!BT$3:BT$500)))</f>
        <v/>
      </c>
      <c r="EU5" s="123">
        <f>IF(OR(EU$4="",$B5=""),0,SUMIF('DADOS BRUTOS'!$A$3:$A$500,$B5,'DADOS BRUTOS'!BU$3:BU$500)+IF($C5="",0,SUMIF('DADOS BRUTOS'!$A$3:$A$500,$C5,'DADOS BRUTOS'!BU$3:BU$500)))</f>
        <v/>
      </c>
      <c r="EV5" s="123">
        <f>IF(OR(EV$4="",$B5=""),0,SUMIF('DADOS BRUTOS'!$A$3:$A$500,$B5,'DADOS BRUTOS'!BV$3:BV$500)+IF($C5="",0,SUMIF('DADOS BRUTOS'!$A$3:$A$500,$C5,'DADOS BRUTOS'!BV$3:BV$500)))</f>
        <v/>
      </c>
      <c r="EW5" s="123">
        <f>IF(OR(EW$4="",$B5=""),0,SUMIF('DADOS BRUTOS'!$A$3:$A$500,$B5,'DADOS BRUTOS'!BW$3:BW$500)+IF($C5="",0,SUMIF('DADOS BRUTOS'!$A$3:$A$500,$C5,'DADOS BRUTOS'!BW$3:BW$500)))</f>
        <v/>
      </c>
      <c r="EX5" s="123">
        <f>IF(OR(EX$4="",$B5=""),0,SUMIF('DADOS BRUTOS'!$A$3:$A$500,$B5,'DADOS BRUTOS'!BX$3:BX$500)+IF($C5="",0,SUMIF('DADOS BRUTOS'!$A$3:$A$500,$C5,'DADOS BRUTOS'!BX$3:BX$500)))</f>
        <v/>
      </c>
      <c r="EY5" s="123">
        <f>IF(OR(EY$4="",$B5=""),0,SUMIF('DADOS BRUTOS'!$A$3:$A$500,$B5,'DADOS BRUTOS'!BY$3:BY$500)+IF($C5="",0,SUMIF('DADOS BRUTOS'!$A$3:$A$500,$C5,'DADOS BRUTOS'!BY$3:BY$500)))</f>
        <v/>
      </c>
      <c r="EZ5" s="123">
        <f>IF(OR(EZ$4="",$B5=""),0,SUMIF('DADOS BRUTOS'!$A$3:$A$500,$B5,'DADOS BRUTOS'!BZ$3:BZ$500)+IF($C5="",0,SUMIF('DADOS BRUTOS'!$A$3:$A$500,$C5,'DADOS BRUTOS'!BZ$3:BZ$500)))</f>
        <v/>
      </c>
      <c r="FA5" s="123">
        <f>IF(OR(FA$4="",$B5=""),0,SUMIF('DADOS BRUTOS'!$A$3:$A$500,$B5,'DADOS BRUTOS'!CA$3:CA$500)+IF($C5="",0,SUMIF('DADOS BRUTOS'!$A$3:$A$500,$C5,'DADOS BRUTOS'!CA$3:CA$500)))</f>
        <v/>
      </c>
      <c r="FB5" s="123">
        <f>IF(OR(FB$4="",$B5=""),0,SUMIF('DADOS BRUTOS'!$A$3:$A$500,$B5,'DADOS BRUTOS'!CB$3:CB$500)+IF($C5="",0,SUMIF('DADOS BRUTOS'!$A$3:$A$500,$C5,'DADOS BRUTOS'!CB$3:CB$500)))</f>
        <v/>
      </c>
      <c r="FC5" s="123">
        <f>IF(OR(FC$4="",$B5=""),0,SUMIF('DADOS BRUTOS'!$A$3:$A$500,$B5,'DADOS BRUTOS'!CC$3:CC$500)+IF($C5="",0,SUMIF('DADOS BRUTOS'!$A$3:$A$500,$C5,'DADOS BRUTOS'!CC$3:CC$500)))</f>
        <v/>
      </c>
      <c r="FD5" s="123">
        <f>IF(OR(FD$4="",$B5=""),0,SUMIF('DADOS BRUTOS'!$A$3:$A$500,$B5,'DADOS BRUTOS'!CD$3:CD$500)+IF($C5="",0,SUMIF('DADOS BRUTOS'!$A$3:$A$500,$C5,'DADOS BRUTOS'!CD$3:CD$500)))</f>
        <v/>
      </c>
      <c r="FE5" s="123">
        <f>IF(OR(FE$4="",$B5=""),0,SUMIF('DADOS BRUTOS'!$A$3:$A$500,$B5,'DADOS BRUTOS'!CE$3:CE$500)+IF($C5="",0,SUMIF('DADOS BRUTOS'!$A$3:$A$500,$C5,'DADOS BRUTOS'!CE$3:CE$500)))</f>
        <v/>
      </c>
      <c r="FF5" s="123">
        <f>IF(OR(FF$4="",$B5=""),0,SUMIF('DADOS BRUTOS'!$A$3:$A$500,$B5,'DADOS BRUTOS'!CF$3:CF$500)+IF($C5="",0,SUMIF('DADOS BRUTOS'!$A$3:$A$500,$C5,'DADOS BRUTOS'!CF$3:CF$500)))</f>
        <v/>
      </c>
      <c r="FG5" s="123">
        <f>IF(OR(FG$4="",$B5=""),0,SUMIF('DADOS BRUTOS'!$A$3:$A$500,$B5,'DADOS BRUTOS'!CG$3:CG$500)+IF($C5="",0,SUMIF('DADOS BRUTOS'!$A$3:$A$500,$C5,'DADOS BRUTOS'!CG$3:CG$500)))</f>
        <v/>
      </c>
      <c r="FH5" s="123">
        <f>IF(OR(FH$4="",$B5=""),0,SUMIF('DADOS BRUTOS'!$A$3:$A$500,$B5,'DADOS BRUTOS'!CH$3:CH$500)+IF($C5="",0,SUMIF('DADOS BRUTOS'!$A$3:$A$500,$C5,'DADOS BRUTOS'!CH$3:CH$500)))</f>
        <v/>
      </c>
      <c r="FI5" s="123">
        <f>IF(OR(FI$4="",$B5=""),0,SUMIF('DADOS BRUTOS'!$A$3:$A$500,$B5,'DADOS BRUTOS'!CI$3:CI$500)+IF($C5="",0,SUMIF('DADOS BRUTOS'!$A$3:$A$500,$C5,'DADOS BRUTOS'!CI$3:CI$500)))</f>
        <v/>
      </c>
      <c r="FJ5" s="123">
        <f>IF(OR(FJ$4="",$B5=""),0,SUMIF('DADOS BRUTOS'!$A$3:$A$500,$B5,'DADOS BRUTOS'!CJ$3:CJ$500)+IF($C5="",0,SUMIF('DADOS BRUTOS'!$A$3:$A$500,$C5,'DADOS BRUTOS'!CJ$3:CJ$500)))</f>
        <v/>
      </c>
      <c r="FK5" s="123">
        <f>IF(OR(FK$4="",$B5=""),0,SUMIF('DADOS BRUTOS'!$A$3:$A$500,$B5,'DADOS BRUTOS'!CK$3:CK$500)+IF($C5="",0,SUMIF('DADOS BRUTOS'!$A$3:$A$500,$C5,'DADOS BRUTOS'!CK$3:CK$500)))</f>
        <v/>
      </c>
      <c r="FL5" s="123">
        <f>IF(OR(FL$4="",$B5=""),0,SUMIF('DADOS BRUTOS'!$A$3:$A$500,$B5,'DADOS BRUTOS'!CL$3:CL$500)+IF($C5="",0,SUMIF('DADOS BRUTOS'!$A$3:$A$500,$C5,'DADOS BRUTOS'!CL$3:CL$500)))</f>
        <v/>
      </c>
      <c r="FM5" s="123">
        <f>IF(OR(FM$4="",$B5=""),0,SUMIF('DADOS BRUTOS'!$A$3:$A$500,$B5,'DADOS BRUTOS'!CM$3:CM$500)+IF($C5="",0,SUMIF('DADOS BRUTOS'!$A$3:$A$500,$C5,'DADOS BRUTOS'!CM$3:CM$500)))</f>
        <v/>
      </c>
      <c r="FN5" s="123">
        <f>IF(OR(FN$4="",$B5=""),0,SUMIF('DADOS BRUTOS'!$A$3:$A$500,$B5,'DADOS BRUTOS'!CN$3:CN$500)+IF($C5="",0,SUMIF('DADOS BRUTOS'!$A$3:$A$500,$C5,'DADOS BRUTOS'!CN$3:CN$500)))</f>
        <v/>
      </c>
      <c r="FO5" s="123">
        <f>IF(OR(FO$4="",$B5=""),0,SUMIF('DADOS BRUTOS'!$A$3:$A$500,$B5,'DADOS BRUTOS'!CO$3:CO$500)+IF($C5="",0,SUMIF('DADOS BRUTOS'!$A$3:$A$500,$C5,'DADOS BRUTOS'!CO$3:CO$500)))</f>
        <v/>
      </c>
      <c r="FP5" s="123">
        <f>IF(OR(FP$4="",$B5=""),0,SUMIF('DADOS BRUTOS'!$A$3:$A$500,$B5,'DADOS BRUTOS'!CP$3:CP$500)+IF($C5="",0,SUMIF('DADOS BRUTOS'!$A$3:$A$500,$C5,'DADOS BRUTOS'!CP$3:CP$500)))</f>
        <v/>
      </c>
      <c r="FQ5" s="123">
        <f>IF(OR(FQ$4="",$B5=""),0,SUMIF('DADOS BRUTOS'!$A$3:$A$500,$B5,'DADOS BRUTOS'!CQ$3:CQ$500)+IF($C5="",0,SUMIF('DADOS BRUTOS'!$A$3:$A$500,$C5,'DADOS BRUTOS'!CQ$3:CQ$500)))</f>
        <v/>
      </c>
      <c r="FR5" s="123">
        <f>IF(OR(FR$4="",$B5=""),0,SUMIF('DADOS BRUTOS'!$A$3:$A$500,$B5,'DADOS BRUTOS'!CR$3:CR$500)+IF($C5="",0,SUMIF('DADOS BRUTOS'!$A$3:$A$500,$C5,'DADOS BRUTOS'!CR$3:CR$500)))</f>
        <v/>
      </c>
      <c r="FS5" s="123">
        <f>IF(OR(FS$4="",$B5=""),0,SUMIF('DADOS BRUTOS'!$A$3:$A$500,$B5,'DADOS BRUTOS'!CS$3:CS$500)+IF($C5="",0,SUMIF('DADOS BRUTOS'!$A$3:$A$500,$C5,'DADOS BRUTOS'!CS$3:CS$500)))</f>
        <v/>
      </c>
      <c r="FT5" s="123">
        <f>IF(OR(FT$4="",$B5=""),0,SUMIF('DADOS BRUTOS'!$A$3:$A$500,$B5,'DADOS BRUTOS'!CT$3:CT$500)+IF($C5="",0,SUMIF('DADOS BRUTOS'!$A$3:$A$500,$C5,'DADOS BRUTOS'!CT$3:CT$500)))</f>
        <v/>
      </c>
      <c r="FU5" s="123">
        <f>IF(OR(FU$4="",$B5=""),0,SUMIF('DADOS BRUTOS'!$A$3:$A$500,$B5,'DADOS BRUTOS'!CU$3:CU$500)+IF($C5="",0,SUMIF('DADOS BRUTOS'!$A$3:$A$500,$C5,'DADOS BRUTOS'!CU$3:CU$500)))</f>
        <v/>
      </c>
      <c r="FV5" s="123">
        <f>IF(OR(FV$4="",$B5=""),0,SUMIF('DADOS BRUTOS'!$A$3:$A$500,$B5,'DADOS BRUTOS'!CV$3:CV$500)+IF($C5="",0,SUMIF('DADOS BRUTOS'!$A$3:$A$500,$C5,'DADOS BRUTOS'!CV$3:CV$500)))</f>
        <v/>
      </c>
      <c r="FW5" s="123">
        <f>IF(OR(FW$4="",$B5=""),0,SUMIF('DADOS BRUTOS'!$A$3:$A$500,$B5,'DADOS BRUTOS'!CW$3:CW$500)+IF($C5="",0,SUMIF('DADOS BRUTOS'!$A$3:$A$500,$C5,'DADOS BRUTOS'!CW$3:CW$500)))</f>
        <v/>
      </c>
      <c r="FX5" s="123">
        <f>IF(OR(FX$4="",$B5=""),0,SUMIF('DADOS BRUTOS'!$A$3:$A$500,$B5,'DADOS BRUTOS'!CX$3:CX$500)+IF($C5="",0,SUMIF('DADOS BRUTOS'!$A$3:$A$500,$C5,'DADOS BRUTOS'!CX$3:CX$500)))</f>
        <v/>
      </c>
      <c r="FY5" s="123">
        <f>IF(OR(FY$4="",$B5=""),0,SUMIF('DADOS BRUTOS'!$A$3:$A$500,$B5,'DADOS BRUTOS'!CY$3:CY$500)+IF($C5="",0,SUMIF('DADOS BRUTOS'!$A$3:$A$500,$C5,'DADOS BRUTOS'!CY$3:CY$500)))</f>
        <v/>
      </c>
      <c r="FZ5" s="123">
        <f>IF(OR(FZ$4="",$B5=""),0,SUMIF('DADOS BRUTOS'!$A$3:$A$500,$B5,'DADOS BRUTOS'!CZ$3:CZ$500)+IF($C5="",0,SUMIF('DADOS BRUTOS'!$A$3:$A$500,$C5,'DADOS BRUTOS'!CZ$3:CZ$500)))</f>
        <v/>
      </c>
      <c r="GA5" s="123">
        <f>IF(OR(GA$4="",$B5=""),0,SUMIF('DADOS BRUTOS'!$A$3:$A$500,$B5,'DADOS BRUTOS'!DA$3:DA$500)+IF($C5="",0,SUMIF('DADOS BRUTOS'!$A$3:$A$500,$C5,'DADOS BRUTOS'!DA$3:DA$500)))</f>
        <v/>
      </c>
      <c r="GB5" s="123">
        <f>IF(OR(GB$4="",$B5=""),0,SUMIF('DADOS BRUTOS'!$A$3:$A$500,$B5,'DADOS BRUTOS'!DB$3:DB$500)+IF($C5="",0,SUMIF('DADOS BRUTOS'!$A$3:$A$500,$C5,'DADOS BRUTOS'!DB$3:DB$500)))</f>
        <v/>
      </c>
      <c r="GC5" s="123">
        <f>IF(OR(GC$4="",$B5=""),0,SUMIF('DADOS BRUTOS'!$A$3:$A$500,$B5,'DADOS BRUTOS'!DC$3:DC$500)+IF($C5="",0,SUMIF('DADOS BRUTOS'!$A$3:$A$500,$C5,'DADOS BRUTOS'!DC$3:DC$500)))</f>
        <v/>
      </c>
      <c r="GD5" s="123">
        <f>IF(OR(GD$4="",$B5=""),0,SUMIF('DADOS BRUTOS'!$A$3:$A$500,$B5,'DADOS BRUTOS'!DD$3:DD$500)+IF($C5="",0,SUMIF('DADOS BRUTOS'!$A$3:$A$500,$C5,'DADOS BRUTOS'!DD$3:DD$500)))</f>
        <v/>
      </c>
      <c r="GE5" s="123">
        <f>IF(OR(GE$4="",$B5=""),0,SUMIF('DADOS BRUTOS'!$A$3:$A$500,$B5,'DADOS BRUTOS'!DE$3:DE$500)+IF($C5="",0,SUMIF('DADOS BRUTOS'!$A$3:$A$500,$C5,'DADOS BRUTOS'!DE$3:DE$500)))</f>
        <v/>
      </c>
      <c r="GF5" s="123">
        <f>IF(OR(GF$4="",$B5=""),0,SUMIF('DADOS BRUTOS'!$A$3:$A$500,$B5,'DADOS BRUTOS'!DF$3:DF$500)+IF($C5="",0,SUMIF('DADOS BRUTOS'!$A$3:$A$500,$C5,'DADOS BRUTOS'!DF$3:DF$500)))</f>
        <v/>
      </c>
      <c r="GG5" s="123">
        <f>IF(OR(GG$4="",$B5=""),0,SUMIF('DADOS BRUTOS'!$A$3:$A$500,$B5,'DADOS BRUTOS'!DG$3:DG$500)+IF($C5="",0,SUMIF('DADOS BRUTOS'!$A$3:$A$500,$C5,'DADOS BRUTOS'!DG$3:DG$500)))</f>
        <v/>
      </c>
      <c r="GH5" s="123">
        <f>IF(OR(GH$4="",$B5=""),0,SUMIF('DADOS BRUTOS'!$A$3:$A$500,$B5,'DADOS BRUTOS'!DH$3:DH$500)+IF($C5="",0,SUMIF('DADOS BRUTOS'!$A$3:$A$500,$C5,'DADOS BRUTOS'!DH$3:DH$500)))</f>
        <v/>
      </c>
      <c r="GI5" s="123">
        <f>IF(OR(GI$4="",$B5=""),0,SUMIF('DADOS BRUTOS'!$A$3:$A$500,$B5,'DADOS BRUTOS'!DI$3:DI$500)+IF($C5="",0,SUMIF('DADOS BRUTOS'!$A$3:$A$500,$C5,'DADOS BRUTOS'!DI$3:DI$500)))</f>
        <v/>
      </c>
      <c r="GJ5" s="123">
        <f>IF(OR(GJ$4="",$B5=""),0,SUMIF('DADOS BRUTOS'!$A$3:$A$500,$B5,'DADOS BRUTOS'!DJ$3:DJ$500)+IF($C5="",0,SUMIF('DADOS BRUTOS'!$A$3:$A$500,$C5,'DADOS BRUTOS'!DJ$3:DJ$500)))</f>
        <v/>
      </c>
      <c r="GK5" s="123">
        <f>IF(OR(GK$4="",$B5=""),0,SUMIF('DADOS BRUTOS'!$A$3:$A$500,$B5,'DADOS BRUTOS'!DK$3:DK$500)+IF($C5="",0,SUMIF('DADOS BRUTOS'!$A$3:$A$500,$C5,'DADOS BRUTOS'!DK$3:DK$500)))</f>
        <v/>
      </c>
      <c r="GL5" s="123">
        <f>IF(OR(GL$4="",$B5=""),0,SUMIF('DADOS BRUTOS'!$A$3:$A$500,$B5,'DADOS BRUTOS'!DL$3:DL$500)+IF($C5="",0,SUMIF('DADOS BRUTOS'!$A$3:$A$500,$C5,'DADOS BRUTOS'!DL$3:DL$500)))</f>
        <v/>
      </c>
      <c r="GM5" s="123">
        <f>IF(OR(GM$4="",$B5=""),0,SUMIF('DADOS BRUTOS'!$A$3:$A$500,$B5,'DADOS BRUTOS'!DM$3:DM$500)+IF($C5="",0,SUMIF('DADOS BRUTOS'!$A$3:$A$500,$C5,'DADOS BRUTOS'!DM$3:DM$500)))</f>
        <v/>
      </c>
      <c r="GN5" s="123">
        <f>IF(OR(GN$4="",$B5=""),0,SUMIF('DADOS BRUTOS'!$A$3:$A$500,$B5,'DADOS BRUTOS'!DN$3:DN$500)+IF($C5="",0,SUMIF('DADOS BRUTOS'!$A$3:$A$500,$C5,'DADOS BRUTOS'!DN$3:DN$500)))</f>
        <v/>
      </c>
      <c r="GO5" s="123">
        <f>IF(OR(GO$4="",$B5=""),0,SUMIF('DADOS BRUTOS'!$A$3:$A$500,$B5,'DADOS BRUTOS'!DO$3:DO$500)+IF($C5="",0,SUMIF('DADOS BRUTOS'!$A$3:$A$500,$C5,'DADOS BRUTOS'!DO$3:DO$500)))</f>
        <v/>
      </c>
      <c r="GP5" s="123">
        <f>IF(OR(GP$4="",$B5=""),0,SUMIF('DADOS BRUTOS'!$A$3:$A$500,$B5,'DADOS BRUTOS'!DP$3:DP$500)+IF($C5="",0,SUMIF('DADOS BRUTOS'!$A$3:$A$500,$C5,'DADOS BRUTOS'!DP$3:DP$500)))</f>
        <v/>
      </c>
      <c r="GQ5" s="123">
        <f>IF(OR(GQ$4="",$B5=""),0,SUMIF('DADOS BRUTOS'!$A$3:$A$500,$B5,'DADOS BRUTOS'!DQ$3:DQ$500)+IF($C5="",0,SUMIF('DADOS BRUTOS'!$A$3:$A$500,$C5,'DADOS BRUTOS'!DQ$3:DQ$500)))</f>
        <v/>
      </c>
      <c r="GR5" s="123">
        <f>IF(OR(GR$4="",$B5=""),0,SUMIF('DADOS BRUTOS'!$A$3:$A$500,$B5,'DADOS BRUTOS'!DR$3:DR$500)+IF($C5="",0,SUMIF('DADOS BRUTOS'!$A$3:$A$500,$C5,'DADOS BRUTOS'!DR$3:DR$500)))</f>
        <v/>
      </c>
      <c r="GS5" s="123">
        <f>IF(OR(GS$4="",$B5=""),0,SUMIF('DADOS BRUTOS'!$A$3:$A$500,$B5,'DADOS BRUTOS'!DS$3:DS$500)+IF($C5="",0,SUMIF('DADOS BRUTOS'!$A$3:$A$500,$C5,'DADOS BRUTOS'!DS$3:DS$500)))</f>
        <v/>
      </c>
      <c r="GT5" s="123">
        <f>IF(OR(GT$4="",$B5=""),0,SUMIF('DADOS BRUTOS'!$A$3:$A$500,$B5,'DADOS BRUTOS'!DT$3:DT$500)+IF($C5="",0,SUMIF('DADOS BRUTOS'!$A$3:$A$500,$C5,'DADOS BRUTOS'!DT$3:DT$500)))</f>
        <v/>
      </c>
      <c r="GU5" s="123">
        <f>IF(OR(GU$4="",$B5=""),0,SUMIF('DADOS BRUTOS'!$A$3:$A$500,$B5,'DADOS BRUTOS'!DU$3:DU$500)+IF($C5="",0,SUMIF('DADOS BRUTOS'!$A$3:$A$500,$C5,'DADOS BRUTOS'!DU$3:DU$500)))</f>
        <v/>
      </c>
      <c r="GV5" s="123">
        <f>IF(OR(GV$4="",$B5=""),0,SUMIF('DADOS BRUTOS'!$A$3:$A$500,$B5,'DADOS BRUTOS'!DV$3:DV$500)+IF($C5="",0,SUMIF('DADOS BRUTOS'!$A$3:$A$500,$C5,'DADOS BRUTOS'!DV$3:DV$500)))</f>
        <v/>
      </c>
      <c r="GW5" s="123">
        <f>IF(OR(GW$4="",$B5=""),0,SUMIF('DADOS BRUTOS'!$A$3:$A$500,$B5,'DADOS BRUTOS'!DW$3:DW$500)+IF($C5="",0,SUMIF('DADOS BRUTOS'!$A$3:$A$500,$C5,'DADOS BRUTOS'!DW$3:DW$500)))</f>
        <v/>
      </c>
      <c r="GX5" s="123">
        <f>IF(OR(GX$4="",$B5=""),0,SUMIF('DADOS BRUTOS'!$A$3:$A$500,$B5,'DADOS BRUTOS'!DX$3:DX$500)+IF($C5="",0,SUMIF('DADOS BRUTOS'!$A$3:$A$500,$C5,'DADOS BRUTOS'!DX$3:DX$500)))</f>
        <v/>
      </c>
      <c r="GY5" s="123">
        <f>IF(OR(GY$4="",$B5=""),0,SUMIF('DADOS BRUTOS'!$A$3:$A$500,$B5,'DADOS BRUTOS'!DY$3:DY$500)+IF($C5="",0,SUMIF('DADOS BRUTOS'!$A$3:$A$500,$C5,'DADOS BRUTOS'!DY$3:DY$500)))</f>
        <v/>
      </c>
      <c r="GZ5" s="123">
        <f>IF(OR(GZ$4="",$B5=""),0,SUMIF('DADOS BRUTOS'!$A$3:$A$500,$B5,'DADOS BRUTOS'!DZ$3:DZ$500)+IF($C5="",0,SUMIF('DADOS BRUTOS'!$A$3:$A$500,$C5,'DADOS BRUTOS'!DZ$3:DZ$500)))</f>
        <v/>
      </c>
      <c r="HA5" s="123">
        <f>IF(OR(HA$4="",$B5=""),0,SUMIF('DADOS BRUTOS'!$A$3:$A$500,$B5,'DADOS BRUTOS'!EA$3:EA$500)+IF($C5="",0,SUMIF('DADOS BRUTOS'!$A$3:$A$500,$C5,'DADOS BRUTOS'!EA$3:EA$500)))</f>
        <v/>
      </c>
      <c r="HB5" s="123">
        <f>IF(OR(HB$4="",$B5=""),0,SUMIF('DADOS BRUTOS'!$A$3:$A$500,$B5,'DADOS BRUTOS'!EB$3:EB$500)+IF($C5="",0,SUMIF('DADOS BRUTOS'!$A$3:$A$500,$C5,'DADOS BRUTOS'!EB$3:EB$500)))</f>
        <v/>
      </c>
      <c r="HC5" s="123">
        <f>IF(OR(HC$4="",$B5=""),0,SUMIF('DADOS BRUTOS'!$A$3:$A$500,$B5,'DADOS BRUTOS'!EC$3:EC$500)+IF($C5="",0,SUMIF('DADOS BRUTOS'!$A$3:$A$500,$C5,'DADOS BRUTOS'!EC$3:EC$500)))</f>
        <v/>
      </c>
      <c r="HD5" s="123">
        <f>IF(OR(HD$4="",$B5=""),0,SUMIF('DADOS BRUTOS'!$A$3:$A$500,$B5,'DADOS BRUTOS'!ED$3:ED$500)+IF($C5="",0,SUMIF('DADOS BRUTOS'!$A$3:$A$500,$C5,'DADOS BRUTOS'!ED$3:ED$500)))</f>
        <v/>
      </c>
      <c r="HE5" s="123">
        <f>IF(OR(HE$4="",$B5=""),0,SUMIF('DADOS BRUTOS'!$A$3:$A$500,$B5,'DADOS BRUTOS'!EE$3:EE$500)+IF($C5="",0,SUMIF('DADOS BRUTOS'!$A$3:$A$500,$C5,'DADOS BRUTOS'!EE$3:EE$500)))</f>
        <v/>
      </c>
      <c r="HF5" s="123">
        <f>IF(OR(HF$4="",$B5=""),0,SUMIF('DADOS BRUTOS'!$A$3:$A$500,$B5,'DADOS BRUTOS'!EF$3:EF$500)+IF($C5="",0,SUMIF('DADOS BRUTOS'!$A$3:$A$500,$C5,'DADOS BRUTOS'!EF$3:EF$500)))</f>
        <v/>
      </c>
      <c r="HG5" s="123">
        <f>IF(OR(HG$4="",$B5=""),0,SUMIF('DADOS BRUTOS'!$A$3:$A$500,$B5,'DADOS BRUTOS'!EG$3:EG$500)+IF($C5="",0,SUMIF('DADOS BRUTOS'!$A$3:$A$500,$C5,'DADOS BRUTOS'!EG$3:EG$500)))</f>
        <v/>
      </c>
      <c r="HH5" s="123">
        <f>IF(OR(HH$4="",$B5=""),0,SUMIF('DADOS BRUTOS'!$A$3:$A$500,$B5,'DADOS BRUTOS'!EH$3:EH$500)+IF($C5="",0,SUMIF('DADOS BRUTOS'!$A$3:$A$500,$C5,'DADOS BRUTOS'!EH$3:EH$500)))</f>
        <v/>
      </c>
      <c r="HI5" s="123">
        <f>IF(OR(HI$4="",$B5=""),0,SUMIF('DADOS BRUTOS'!$A$3:$A$500,$B5,'DADOS BRUTOS'!EI$3:EI$500)+IF($C5="",0,SUMIF('DADOS BRUTOS'!$A$3:$A$500,$C5,'DADOS BRUTOS'!EI$3:EI$500)))</f>
        <v/>
      </c>
      <c r="HJ5" s="123">
        <f>IF(OR(HJ$4="",$B5=""),0,SUMIF('DADOS BRUTOS'!$A$3:$A$500,$B5,'DADOS BRUTOS'!EJ$3:EJ$500)+IF($C5="",0,SUMIF('DADOS BRUTOS'!$A$3:$A$500,$C5,'DADOS BRUTOS'!EJ$3:EJ$500)))</f>
        <v/>
      </c>
      <c r="HK5" s="123">
        <f>IF(OR(HK$4="",$B5=""),0,SUMIF('DADOS BRUTOS'!$A$3:$A$500,$B5,'DADOS BRUTOS'!EK$3:EK$500)+IF($C5="",0,SUMIF('DADOS BRUTOS'!$A$3:$A$500,$C5,'DADOS BRUTOS'!EK$3:EK$500)))</f>
        <v/>
      </c>
      <c r="HL5" s="123">
        <f>IF(OR(HL$4="",$B5=""),0,SUMIF('DADOS BRUTOS'!$A$3:$A$500,$B5,'DADOS BRUTOS'!EL$3:EL$500)+IF($C5="",0,SUMIF('DADOS BRUTOS'!$A$3:$A$500,$C5,'DADOS BRUTOS'!EL$3:EL$500)))</f>
        <v/>
      </c>
      <c r="HM5" s="123">
        <f>IF(OR(HM$4="",$B5=""),0,SUMIF('DADOS BRUTOS'!$A$3:$A$500,$B5,'DADOS BRUTOS'!EM$3:EM$500)+IF($C5="",0,SUMIF('DADOS BRUTOS'!$A$3:$A$500,$C5,'DADOS BRUTOS'!EM$3:EM$500)))</f>
        <v/>
      </c>
      <c r="HN5" s="123">
        <f>IF(OR(HN$4="",$B5=""),0,SUMIF('DADOS BRUTOS'!$A$3:$A$500,$B5,'DADOS BRUTOS'!EN$3:EN$500)+IF($C5="",0,SUMIF('DADOS BRUTOS'!$A$3:$A$500,$C5,'DADOS BRUTOS'!EN$3:EN$500)))</f>
        <v/>
      </c>
      <c r="HO5" s="123">
        <f>IF(OR(HO$4="",$B5=""),0,SUMIF('DADOS BRUTOS'!$A$3:$A$500,$B5,'DADOS BRUTOS'!EO$3:EO$500)+IF($C5="",0,SUMIF('DADOS BRUTOS'!$A$3:$A$500,$C5,'DADOS BRUTOS'!EO$3:EO$500)))</f>
        <v/>
      </c>
      <c r="HP5" s="123">
        <f>IF(OR(HP$4="",$B5=""),0,SUMIF('DADOS BRUTOS'!$A$3:$A$500,$B5,'DADOS BRUTOS'!EP$3:EP$500)+IF($C5="",0,SUMIF('DADOS BRUTOS'!$A$3:$A$500,$C5,'DADOS BRUTOS'!EP$3:EP$500)))</f>
        <v/>
      </c>
      <c r="HQ5" s="123">
        <f>IF(OR(HQ$4="",$B5=""),0,SUMIF('DADOS BRUTOS'!$A$3:$A$500,$B5,'DADOS BRUTOS'!EQ$3:EQ$500)+IF($C5="",0,SUMIF('DADOS BRUTOS'!$A$3:$A$500,$C5,'DADOS BRUTOS'!EQ$3:EQ$500)))</f>
        <v/>
      </c>
      <c r="HR5" s="123">
        <f>IF(OR(HR$4="",$B5=""),0,SUMIF('DADOS BRUTOS'!$A$3:$A$500,$B5,'DADOS BRUTOS'!ER$3:ER$500)+IF($C5="",0,SUMIF('DADOS BRUTOS'!$A$3:$A$500,$C5,'DADOS BRUTOS'!ER$3:ER$500)))</f>
        <v/>
      </c>
      <c r="HS5" s="123">
        <f>IF(OR(HS$4="",$B5=""),0,SUMIF('DADOS BRUTOS'!$A$3:$A$500,$B5,'DADOS BRUTOS'!ES$3:ES$500)+IF($C5="",0,SUMIF('DADOS BRUTOS'!$A$3:$A$500,$C5,'DADOS BRUTOS'!ES$3:ES$500)))</f>
        <v/>
      </c>
      <c r="HT5" s="123">
        <f>IF(OR(HT$4="",$B5=""),0,SUMIF('DADOS BRUTOS'!$A$3:$A$500,$B5,'DADOS BRUTOS'!ET$3:ET$500)+IF($C5="",0,SUMIF('DADOS BRUTOS'!$A$3:$A$500,$C5,'DADOS BRUTOS'!ET$3:ET$500)))</f>
        <v/>
      </c>
      <c r="HU5" s="123">
        <f>IF(OR(HU$4="",$B5=""),0,SUMIF('DADOS BRUTOS'!$A$3:$A$500,$B5,'DADOS BRUTOS'!EU$3:EU$500)+IF($C5="",0,SUMIF('DADOS BRUTOS'!$A$3:$A$500,$C5,'DADOS BRUTOS'!EU$3:EU$500)))</f>
        <v/>
      </c>
      <c r="HV5" s="123">
        <f>IF(OR(HV$4="",$B5=""),0,SUMIF('DADOS BRUTOS'!$A$3:$A$500,$B5,'DADOS BRUTOS'!EV$3:EV$500)+IF($C5="",0,SUMIF('DADOS BRUTOS'!$A$3:$A$500,$C5,'DADOS BRUTOS'!EV$3:EV$500)))</f>
        <v/>
      </c>
      <c r="HW5" s="123">
        <f>IF(OR(HW$4="",$B5=""),0,SUMIF('DADOS BRUTOS'!$A$3:$A$500,$B5,'DADOS BRUTOS'!EW$3:EW$500)+IF($C5="",0,SUMIF('DADOS BRUTOS'!$A$3:$A$500,$C5,'DADOS BRUTOS'!EW$3:EW$500)))</f>
        <v/>
      </c>
      <c r="HX5" s="123">
        <f>IF(OR(HX$4="",$B5=""),0,SUMIF('DADOS BRUTOS'!$A$3:$A$500,$B5,'DADOS BRUTOS'!EX$3:EX$500)+IF($C5="",0,SUMIF('DADOS BRUTOS'!$A$3:$A$500,$C5,'DADOS BRUTOS'!EX$3:EX$500)))</f>
        <v/>
      </c>
      <c r="HY5" s="123">
        <f>IF(OR(HY$4="",$B5=""),0,SUMIF('DADOS BRUTOS'!$A$3:$A$500,$B5,'DADOS BRUTOS'!EY$3:EY$500)+IF($C5="",0,SUMIF('DADOS BRUTOS'!$A$3:$A$500,$C5,'DADOS BRUTOS'!EY$3:EY$500)))</f>
        <v/>
      </c>
      <c r="HZ5" s="123">
        <f>IF(OR(HZ$4="",$B5=""),0,SUMIF('DADOS BRUTOS'!$A$3:$A$500,$B5,'DADOS BRUTOS'!EZ$3:EZ$500)+IF($C5="",0,SUMIF('DADOS BRUTOS'!$A$3:$A$500,$C5,'DADOS BRUTOS'!EZ$3:EZ$500)))</f>
        <v/>
      </c>
      <c r="IA5" s="123">
        <f>IF(OR(IA$4="",$B5=""),0,SUMIF('DADOS BRUTOS'!$A$3:$A$500,$B5,'DADOS BRUTOS'!FA$3:FA$500)+IF($C5="",0,SUMIF('DADOS BRUTOS'!$A$3:$A$500,$C5,'DADOS BRUTOS'!FA$3:FA$500)))</f>
        <v/>
      </c>
      <c r="IB5" s="123">
        <f>IF(OR(IB$4="",$B5=""),0,SUMIF('DADOS BRUTOS'!$A$3:$A$500,$B5,'DADOS BRUTOS'!FB$3:FB$500)+IF($C5="",0,SUMIF('DADOS BRUTOS'!$A$3:$A$500,$C5,'DADOS BRUTOS'!FB$3:FB$500)))</f>
        <v/>
      </c>
      <c r="IC5" s="123">
        <f>IF(OR(IC$4="",$B5=""),0,SUMIF('DADOS BRUTOS'!$A$3:$A$500,$B5,'DADOS BRUTOS'!FC$3:FC$500)+IF($C5="",0,SUMIF('DADOS BRUTOS'!$A$3:$A$500,$C5,'DADOS BRUTOS'!FC$3:FC$500)))</f>
        <v/>
      </c>
      <c r="ID5" s="123">
        <f>IF(OR(ID$4="",$B5=""),0,SUMIF('DADOS BRUTOS'!$A$3:$A$500,$B5,'DADOS BRUTOS'!FD$3:FD$500)+IF($C5="",0,SUMIF('DADOS BRUTOS'!$A$3:$A$500,$C5,'DADOS BRUTOS'!FD$3:FD$500)))</f>
        <v/>
      </c>
      <c r="IE5" s="123">
        <f>IF(OR(IE$4="",$B5=""),0,SUMIF('DADOS BRUTOS'!$A$3:$A$500,$B5,'DADOS BRUTOS'!FE$3:FE$500)+IF($C5="",0,SUMIF('DADOS BRUTOS'!$A$3:$A$500,$C5,'DADOS BRUTOS'!FE$3:FE$500)))</f>
        <v/>
      </c>
      <c r="IF5" s="123">
        <f>IF(OR(IF$4="",$B5=""),0,SUMIF('DADOS BRUTOS'!$A$3:$A$500,$B5,'DADOS BRUTOS'!FF$3:FF$500)+IF($C5="",0,SUMIF('DADOS BRUTOS'!$A$3:$A$500,$C5,'DADOS BRUTOS'!FF$3:FF$500)))</f>
        <v/>
      </c>
      <c r="IG5" s="123">
        <f>IF(OR(IG$4="",$B5=""),0,SUMIF('DADOS BRUTOS'!$A$3:$A$500,$B5,'DADOS BRUTOS'!FG$3:FG$500)+IF($C5="",0,SUMIF('DADOS BRUTOS'!$A$3:$A$500,$C5,'DADOS BRUTOS'!FG$3:FG$500)))</f>
        <v/>
      </c>
      <c r="IH5" s="123">
        <f>IF(OR(IH$4="",$B5=""),0,SUMIF('DADOS BRUTOS'!$A$3:$A$500,$B5,'DADOS BRUTOS'!FH$3:FH$500)+IF($C5="",0,SUMIF('DADOS BRUTOS'!$A$3:$A$500,$C5,'DADOS BRUTOS'!FH$3:FH$500)))</f>
        <v/>
      </c>
      <c r="II5" s="123">
        <f>IF(OR(II$4="",$B5=""),0,SUMIF('DADOS BRUTOS'!$A$3:$A$500,$B5,'DADOS BRUTOS'!FI$3:FI$500)+IF($C5="",0,SUMIF('DADOS BRUTOS'!$A$3:$A$500,$C5,'DADOS BRUTOS'!FI$3:FI$500)))</f>
        <v/>
      </c>
      <c r="IJ5" s="123">
        <f>IF(OR(IJ$4="",$B5=""),0,SUMIF('DADOS BRUTOS'!$A$3:$A$500,$B5,'DADOS BRUTOS'!FJ$3:FJ$500)+IF($C5="",0,SUMIF('DADOS BRUTOS'!$A$3:$A$500,$C5,'DADOS BRUTOS'!FJ$3:FJ$500)))</f>
        <v/>
      </c>
      <c r="IK5" s="123">
        <f>IF(OR(IK$4="",$B5=""),0,SUMIF('DADOS BRUTOS'!$A$3:$A$500,$B5,'DADOS BRUTOS'!FK$3:FK$500)+IF($C5="",0,SUMIF('DADOS BRUTOS'!$A$3:$A$500,$C5,'DADOS BRUTOS'!FK$3:FK$500)))</f>
        <v/>
      </c>
      <c r="IL5" s="123">
        <f>IF(OR(IL$4="",$B5=""),0,SUMIF('DADOS BRUTOS'!$A$3:$A$500,$B5,'DADOS BRUTOS'!FL$3:FL$500)+IF($C5="",0,SUMIF('DADOS BRUTOS'!$A$3:$A$500,$C5,'DADOS BRUTOS'!FL$3:FL$500)))</f>
        <v/>
      </c>
      <c r="IM5" s="123">
        <f>IF(OR(IM$4="",$B5=""),0,SUMIF('DADOS BRUTOS'!$A$3:$A$500,$B5,'DADOS BRUTOS'!FM$3:FM$500)+IF($C5="",0,SUMIF('DADOS BRUTOS'!$A$3:$A$500,$C5,'DADOS BRUTOS'!FM$3:FM$500)))</f>
        <v/>
      </c>
      <c r="IN5" s="123">
        <f>IF(OR(IN$4="",$B5=""),0,SUMIF('DADOS BRUTOS'!$A$3:$A$500,$B5,'DADOS BRUTOS'!FN$3:FN$500)+IF($C5="",0,SUMIF('DADOS BRUTOS'!$A$3:$A$500,$C5,'DADOS BRUTOS'!FN$3:FN$500)))</f>
        <v/>
      </c>
      <c r="IO5" s="123">
        <f>IF(OR(IO$4="",$B5=""),0,SUMIF('DADOS BRUTOS'!$A$3:$A$500,$B5,'DADOS BRUTOS'!FO$3:FO$500)+IF($C5="",0,SUMIF('DADOS BRUTOS'!$A$3:$A$500,$C5,'DADOS BRUTOS'!FO$3:FO$500)))</f>
        <v/>
      </c>
      <c r="IP5" s="123">
        <f>IF(OR(IP$4="",$B5=""),0,SUMIF('DADOS BRUTOS'!$A$3:$A$500,$B5,'DADOS BRUTOS'!FP$3:FP$500)+IF($C5="",0,SUMIF('DADOS BRUTOS'!$A$3:$A$500,$C5,'DADOS BRUTOS'!FP$3:FP$500)))</f>
        <v/>
      </c>
      <c r="IQ5" s="123">
        <f>IF(OR(IQ$4="",$B5=""),0,SUMIF('DADOS BRUTOS'!$A$3:$A$500,$B5,'DADOS BRUTOS'!FQ$3:FQ$500)+IF($C5="",0,SUMIF('DADOS BRUTOS'!$A$3:$A$500,$C5,'DADOS BRUTOS'!FQ$3:FQ$500)))</f>
        <v/>
      </c>
      <c r="IR5" s="123">
        <f>IF(OR(IR$4="",$B5=""),0,SUMIF('DADOS BRUTOS'!$A$3:$A$500,$B5,'DADOS BRUTOS'!FR$3:FR$500)+IF($C5="",0,SUMIF('DADOS BRUTOS'!$A$3:$A$500,$C5,'DADOS BRUTOS'!FR$3:FR$500)))</f>
        <v/>
      </c>
      <c r="IS5" s="123">
        <f>IF(OR(IS$4="",$B5=""),0,SUMIF('DADOS BRUTOS'!$A$3:$A$500,$B5,'DADOS BRUTOS'!FS$3:FS$500)+IF($C5="",0,SUMIF('DADOS BRUTOS'!$A$3:$A$500,$C5,'DADOS BRUTOS'!FS$3:FS$500)))</f>
        <v/>
      </c>
      <c r="IT5" s="123">
        <f>IF(OR(IT$4="",$B5=""),0,SUMIF('DADOS BRUTOS'!$A$3:$A$500,$B5,'DADOS BRUTOS'!FT$3:FT$500)+IF($C5="",0,SUMIF('DADOS BRUTOS'!$A$3:$A$500,$C5,'DADOS BRUTOS'!FT$3:FT$500)))</f>
        <v/>
      </c>
      <c r="IU5" s="123">
        <f>IF(OR(IU$4="",$B5=""),0,SUMIF('DADOS BRUTOS'!$A$3:$A$500,$B5,'DADOS BRUTOS'!FU$3:FU$500)+IF($C5="",0,SUMIF('DADOS BRUTOS'!$A$3:$A$500,$C5,'DADOS BRUTOS'!FU$3:FU$500)))</f>
        <v/>
      </c>
      <c r="IV5" s="123">
        <f>IF(OR(IV$4="",$B5=""),0,SUMIF('DADOS BRUTOS'!$A$3:$A$500,$B5,'DADOS BRUTOS'!FV$3:FV$500)+IF($C5="",0,SUMIF('DADOS BRUTOS'!$A$3:$A$500,$C5,'DADOS BRUTOS'!FV$3:FV$500)))</f>
        <v/>
      </c>
      <c r="IW5" s="123">
        <f>IF(OR(IW$4="",$B5=""),0,SUMIF('DADOS BRUTOS'!$A$3:$A$500,$B5,'DADOS BRUTOS'!FW$3:FW$500)+IF($C5="",0,SUMIF('DADOS BRUTOS'!$A$3:$A$500,$C5,'DADOS BRUTOS'!FW$3:FW$500)))</f>
        <v/>
      </c>
      <c r="IX5" s="123">
        <f>IF(OR(IX$4="",$B5=""),0,SUMIF('DADOS BRUTOS'!$A$3:$A$500,$B5,'DADOS BRUTOS'!FX$3:FX$500)+IF($C5="",0,SUMIF('DADOS BRUTOS'!$A$3:$A$500,$C5,'DADOS BRUTOS'!FX$3:FX$500)))</f>
        <v/>
      </c>
      <c r="IY5" s="123">
        <f>IF(OR(IY$4="",$B5=""),0,SUMIF('DADOS BRUTOS'!$A$3:$A$500,$B5,'DADOS BRUTOS'!FY$3:FY$500)+IF($C5="",0,SUMIF('DADOS BRUTOS'!$A$3:$A$500,$C5,'DADOS BRUTOS'!FY$3:FY$500)))</f>
        <v/>
      </c>
      <c r="IZ5" s="123">
        <f>IF(OR(IZ$4="",$B5=""),0,SUMIF('DADOS BRUTOS'!$A$3:$A$500,$B5,'DADOS BRUTOS'!FZ$3:FZ$500)+IF($C5="",0,SUMIF('DADOS BRUTOS'!$A$3:$A$500,$C5,'DADOS BRUTOS'!FZ$3:FZ$500)))</f>
        <v/>
      </c>
      <c r="JA5" s="123">
        <f>IF(OR(JA$4="",$B5=""),0,SUMIF('DADOS BRUTOS'!$A$3:$A$500,$B5,'DADOS BRUTOS'!GA$3:GA$500)+IF($C5="",0,SUMIF('DADOS BRUTOS'!$A$3:$A$500,$C5,'DADOS BRUTOS'!GA$3:GA$500)))</f>
        <v/>
      </c>
      <c r="JB5" s="123">
        <f>IF(OR(JB$4="",$B5=""),0,SUMIF('DADOS BRUTOS'!$A$3:$A$500,$B5,'DADOS BRUTOS'!GB$3:GB$500)+IF($C5="",0,SUMIF('DADOS BRUTOS'!$A$3:$A$500,$C5,'DADOS BRUTOS'!GB$3:GB$500)))</f>
        <v/>
      </c>
      <c r="JC5" s="123">
        <f>IF(OR(JC$4="",$B5=""),0,SUMIF('DADOS BRUTOS'!$A$3:$A$500,$B5,'DADOS BRUTOS'!GC$3:GC$500)+IF($C5="",0,SUMIF('DADOS BRUTOS'!$A$3:$A$500,$C5,'DADOS BRUTOS'!GC$3:GC$500)))</f>
        <v/>
      </c>
      <c r="JD5" s="123">
        <f>IF(OR(JD$4="",$B5=""),0,SUMIF('DADOS BRUTOS'!$A$3:$A$500,$B5,'DADOS BRUTOS'!GD$3:GD$500)+IF($C5="",0,SUMIF('DADOS BRUTOS'!$A$3:$A$500,$C5,'DADOS BRUTOS'!GD$3:GD$500)))</f>
        <v/>
      </c>
      <c r="JE5" s="123">
        <f>IF(OR(JE$4="",$B5=""),0,SUMIF('DADOS BRUTOS'!$A$3:$A$500,$B5,'DADOS BRUTOS'!GE$3:GE$500)+IF($C5="",0,SUMIF('DADOS BRUTOS'!$A$3:$A$500,$C5,'DADOS BRUTOS'!GE$3:GE$500)))</f>
        <v/>
      </c>
      <c r="JF5" s="123">
        <f>IF(OR(JF$4="",$B5=""),0,SUMIF('DADOS BRUTOS'!$A$3:$A$500,$B5,'DADOS BRUTOS'!GF$3:GF$500)+IF($C5="",0,SUMIF('DADOS BRUTOS'!$A$3:$A$500,$C5,'DADOS BRUTOS'!GF$3:GF$500)))</f>
        <v/>
      </c>
      <c r="JG5" s="123">
        <f>IF(OR(JG$4="",$B5=""),0,SUMIF('DADOS BRUTOS'!$A$3:$A$500,$B5,'DADOS BRUTOS'!GG$3:GG$500)+IF($C5="",0,SUMIF('DADOS BRUTOS'!$A$3:$A$500,$C5,'DADOS BRUTOS'!GG$3:GG$500)))</f>
        <v/>
      </c>
      <c r="JH5" s="123">
        <f>IF(OR(JH$4="",$B5=""),0,SUMIF('DADOS BRUTOS'!$A$3:$A$500,$B5,'DADOS BRUTOS'!GH$3:GH$500)+IF($C5="",0,SUMIF('DADOS BRUTOS'!$A$3:$A$500,$C5,'DADOS BRUTOS'!GH$3:GH$500)))</f>
        <v/>
      </c>
      <c r="JI5" s="123">
        <f>IF(OR(JI$4="",$B5=""),0,SUMIF('DADOS BRUTOS'!$A$3:$A$500,$B5,'DADOS BRUTOS'!GI$3:GI$500)+IF($C5="",0,SUMIF('DADOS BRUTOS'!$A$3:$A$500,$C5,'DADOS BRUTOS'!GI$3:GI$500)))</f>
        <v/>
      </c>
      <c r="JJ5" s="123">
        <f>IF(OR(JJ$4="",$B5=""),0,SUMIF('DADOS BRUTOS'!$A$3:$A$500,$B5,'DADOS BRUTOS'!GJ$3:GJ$500)+IF($C5="",0,SUMIF('DADOS BRUTOS'!$A$3:$A$500,$C5,'DADOS BRUTOS'!GJ$3:GJ$500)))</f>
        <v/>
      </c>
      <c r="JK5" s="123">
        <f>IF(OR(JK$4="",$B5=""),0,SUMIF('DADOS BRUTOS'!$A$3:$A$500,$B5,'DADOS BRUTOS'!GK$3:GK$500)+IF($C5="",0,SUMIF('DADOS BRUTOS'!$A$3:$A$500,$C5,'DADOS BRUTOS'!GK$3:GK$500)))</f>
        <v/>
      </c>
      <c r="JL5" s="123">
        <f>IF(OR(JL$4="",$B5=""),0,SUMIF('DADOS BRUTOS'!$A$3:$A$500,$B5,'DADOS BRUTOS'!GL$3:GL$500)+IF($C5="",0,SUMIF('DADOS BRUTOS'!$A$3:$A$500,$C5,'DADOS BRUTOS'!GL$3:GL$500)))</f>
        <v/>
      </c>
      <c r="JM5" s="123">
        <f>IF(OR(JM$4="",$B5=""),0,SUMIF('DADOS BRUTOS'!$A$3:$A$500,$B5,'DADOS BRUTOS'!GM$3:GM$500)+IF($C5="",0,SUMIF('DADOS BRUTOS'!$A$3:$A$500,$C5,'DADOS BRUTOS'!GM$3:GM$500)))</f>
        <v/>
      </c>
      <c r="JN5" s="123">
        <f>IF(OR(JN$4="",$B5=""),0,SUMIF('DADOS BRUTOS'!$A$3:$A$500,$B5,'DADOS BRUTOS'!GN$3:GN$500)+IF($C5="",0,SUMIF('DADOS BRUTOS'!$A$3:$A$500,$C5,'DADOS BRUTOS'!GN$3:GN$500)))</f>
        <v/>
      </c>
      <c r="JO5" s="123">
        <f>IF(OR(JO$4="",$B5=""),0,SUMIF('DADOS BRUTOS'!$A$3:$A$500,$B5,'DADOS BRUTOS'!GO$3:GO$500)+IF($C5="",0,SUMIF('DADOS BRUTOS'!$A$3:$A$500,$C5,'DADOS BRUTOS'!GO$3:GO$500)))</f>
        <v/>
      </c>
      <c r="JP5" s="123">
        <f>IF(OR(JP$4="",$B5=""),0,SUMIF('DADOS BRUTOS'!$A$3:$A$500,$B5,'DADOS BRUTOS'!GP$3:GP$500)+IF($C5="",0,SUMIF('DADOS BRUTOS'!$A$3:$A$500,$C5,'DADOS BRUTOS'!GP$3:GP$500)))</f>
        <v/>
      </c>
      <c r="JQ5" s="123">
        <f>IF(OR(JQ$4="",$B5=""),0,SUMIF('DADOS BRUTOS'!$A$3:$A$500,$B5,'DADOS BRUTOS'!GQ$3:GQ$500)+IF($C5="",0,SUMIF('DADOS BRUTOS'!$A$3:$A$500,$C5,'DADOS BRUTOS'!GQ$3:GQ$500)))</f>
        <v/>
      </c>
      <c r="JR5" s="123">
        <f>IF(OR(JR$4="",$B5=""),0,SUMIF('DADOS BRUTOS'!$A$3:$A$500,$B5,'DADOS BRUTOS'!GR$3:GR$500)+IF($C5="",0,SUMIF('DADOS BRUTOS'!$A$3:$A$500,$C5,'DADOS BRUTOS'!GR$3:GR$500)))</f>
        <v/>
      </c>
      <c r="JS5" s="123">
        <f>IF(OR(JS$4="",$B5=""),0,SUMIF('DADOS BRUTOS'!$A$3:$A$500,$B5,'DADOS BRUTOS'!GS$3:GS$500)+IF($C5="",0,SUMIF('DADOS BRUTOS'!$A$3:$A$500,$C5,'DADOS BRUTOS'!GS$3:GS$500)))</f>
        <v/>
      </c>
    </row>
    <row r="6">
      <c r="A6" s="61">
        <f>'VALOR POR PL'!D12</f>
        <v/>
      </c>
      <c r="B6" s="60" t="inlineStr">
        <is>
          <t>SEGUROS</t>
        </is>
      </c>
      <c r="C6" s="60" t="n"/>
      <c r="D6" s="55">
        <f>SUMIF($CB$4:$JS$4,"&lt;="&amp;D$4,$CB6:$JS6)</f>
        <v/>
      </c>
      <c r="E6" s="55">
        <f>SUMIF($CB$4:$JS$4,E$4,$CB6:$JS6)</f>
        <v/>
      </c>
      <c r="F6" s="55">
        <f>SUMIF($CB$4:$JS$4,F$4,$CB6:$JS6)</f>
        <v/>
      </c>
      <c r="G6" s="55">
        <f>SUMIF($CB$4:$JS$4,G$4,$CB6:$JS6)</f>
        <v/>
      </c>
      <c r="H6" s="55">
        <f>SUMIF($CB$4:$JS$4,H$4,$CB6:$JS6)</f>
        <v/>
      </c>
      <c r="I6" s="55">
        <f>SUMIF($CB$4:$JS$4,I$4,$CB6:$JS6)</f>
        <v/>
      </c>
      <c r="J6" s="55">
        <f>SUMIF($CB$4:$JS$4,J$4,$CB6:$JS6)</f>
        <v/>
      </c>
      <c r="K6" s="55">
        <f>SUMIF($CB$4:$JS$4,K$4,$CB6:$JS6)</f>
        <v/>
      </c>
      <c r="L6" s="55">
        <f>SUMIF($CB$4:$JS$4,L$4,$CB6:$JS6)</f>
        <v/>
      </c>
      <c r="M6" s="55">
        <f>SUMIF($CB$4:$JS$4,M$4,$CB6:$JS6)</f>
        <v/>
      </c>
      <c r="N6" s="55">
        <f>SUMIF($CB$4:$JS$4,N$4,$CB6:$JS6)</f>
        <v/>
      </c>
      <c r="O6" s="55">
        <f>SUMIF($CB$4:$JS$4,O$4,$CB6:$JS6)</f>
        <v/>
      </c>
      <c r="P6" s="55">
        <f>SUMIF($CB$4:$JS$4,P$4,$CB6:$JS6)</f>
        <v/>
      </c>
      <c r="Q6" s="55">
        <f>SUMIF($CB$4:$JS$4,Q$4,$CB6:$JS6)</f>
        <v/>
      </c>
      <c r="R6" s="55">
        <f>SUMIF($CB$4:$JS$4,R$4,$CB6:$JS6)</f>
        <v/>
      </c>
      <c r="S6" s="55">
        <f>SUMIF($CB$4:$JS$4,S$4,$CB6:$JS6)</f>
        <v/>
      </c>
      <c r="T6" s="55">
        <f>SUMIF($CB$4:$JS$4,T$4,$CB6:$JS6)</f>
        <v/>
      </c>
      <c r="U6" s="55">
        <f>SUMIF($CB$4:$JS$4,U$4,$CB6:$JS6)</f>
        <v/>
      </c>
      <c r="V6" s="55">
        <f>SUMIF($CB$4:$JS$4,V$4,$CB6:$JS6)</f>
        <v/>
      </c>
      <c r="W6" s="55">
        <f>SUMIF($CB$4:$JS$4,W$4,$CB6:$JS6)</f>
        <v/>
      </c>
      <c r="X6" s="55">
        <f>SUMIF($CB$4:$JS$4,X$4,$CB6:$JS6)</f>
        <v/>
      </c>
      <c r="Y6" s="55">
        <f>SUMIF($CB$4:$JS$4,Y$4,$CB6:$JS6)</f>
        <v/>
      </c>
      <c r="Z6" s="55">
        <f>SUMIF($CB$4:$JS$4,Z$4,$CB6:$JS6)</f>
        <v/>
      </c>
      <c r="AA6" s="55">
        <f>SUMIF($CB$4:$JS$4,AA$4,$CB6:$JS6)</f>
        <v/>
      </c>
      <c r="AB6" s="55">
        <f>SUMIF($CB$4:$JS$4,AB$4,$CB6:$JS6)</f>
        <v/>
      </c>
      <c r="AC6" s="55">
        <f>SUMIF($CB$4:$JS$4,AC$4,$CB6:$JS6)</f>
        <v/>
      </c>
      <c r="AD6" s="55">
        <f>SUMIF($CB$4:$JS$4,AD$4,$CB6:$JS6)</f>
        <v/>
      </c>
      <c r="AE6" s="55">
        <f>SUMIF($CB$4:$JS$4,AE$4,$CB6:$JS6)</f>
        <v/>
      </c>
      <c r="AF6" s="55">
        <f>SUMIF($CB$4:$JS$4,AF$4,$CB6:$JS6)</f>
        <v/>
      </c>
      <c r="AG6" s="55">
        <f>SUMIF($CB$4:$JS$4,AG$4,$CB6:$JS6)</f>
        <v/>
      </c>
      <c r="AH6" s="55">
        <f>SUMIF($CB$4:$JS$4,AH$4,$CB6:$JS6)</f>
        <v/>
      </c>
      <c r="AI6" s="55">
        <f>SUMIF($CB$4:$JS$4,AI$4,$CB6:$JS6)</f>
        <v/>
      </c>
      <c r="AJ6" s="55">
        <f>SUMIF($CB$4:$JS$4,AJ$4,$CB6:$JS6)</f>
        <v/>
      </c>
      <c r="AK6" s="55">
        <f>SUMIF($CB$4:$JS$4,AK$4,$CB6:$JS6)</f>
        <v/>
      </c>
      <c r="AL6" s="55">
        <f>SUMIF($CB$4:$JS$4,AL$4,$CB6:$JS6)</f>
        <v/>
      </c>
      <c r="AM6" s="55">
        <f>SUMIF($CB$4:$JS$4,AM$4,$CB6:$JS6)</f>
        <v/>
      </c>
      <c r="AN6" s="55">
        <f>SUMIF($CB$4:$JS$4,AN$4,$CB6:$JS6)</f>
        <v/>
      </c>
      <c r="AO6" s="55">
        <f>SUMIF($CB$4:$JS$4,AO$4,$CB6:$JS6)</f>
        <v/>
      </c>
      <c r="AP6" s="55">
        <f>SUMIF($CB$4:$JS$4,AP$4,$CB6:$JS6)</f>
        <v/>
      </c>
      <c r="AQ6" s="55">
        <f>SUMIF($CB$4:$JS$4,AQ$4,$CB6:$JS6)</f>
        <v/>
      </c>
      <c r="AR6" s="55">
        <f>SUMIF($CB$4:$JS$4,AR$4,$CB6:$JS6)</f>
        <v/>
      </c>
      <c r="AS6" s="55">
        <f>SUMIF($CB$4:$JS$4,AS$4,$CB6:$JS6)</f>
        <v/>
      </c>
      <c r="AT6" s="55">
        <f>SUMIF($CB$4:$JS$4,AT$4,$CB6:$JS6)</f>
        <v/>
      </c>
      <c r="AU6" s="55">
        <f>SUMIF($CB$4:$JS$4,AU$4,$CB6:$JS6)</f>
        <v/>
      </c>
      <c r="AV6" s="55">
        <f>SUMIF($CB$4:$JS$4,AV$4,$CB6:$JS6)</f>
        <v/>
      </c>
      <c r="AW6" s="55">
        <f>SUMIF($CB$4:$JS$4,AW$4,$CB6:$JS6)</f>
        <v/>
      </c>
      <c r="AX6" s="55">
        <f>SUMIF($CB$4:$JS$4,AX$4,$CB6:$JS6)</f>
        <v/>
      </c>
      <c r="AY6" s="55">
        <f>SUMIF($CB$4:$JS$4,AY$4,$CB6:$JS6)</f>
        <v/>
      </c>
      <c r="AZ6" s="55">
        <f>SUMIF($CB$4:$JS$4,AZ$4,$CB6:$JS6)</f>
        <v/>
      </c>
      <c r="BA6" s="55">
        <f>SUMIF($CB$4:$JS$4,BA$4,$CB6:$JS6)</f>
        <v/>
      </c>
      <c r="BB6" s="55">
        <f>SUMIF($CB$4:$JS$4,BB$4,$CB6:$JS6)</f>
        <v/>
      </c>
      <c r="BC6" s="55">
        <f>SUMIF($CB$4:$JS$4,BC$4,$CB6:$JS6)</f>
        <v/>
      </c>
      <c r="BD6" s="55">
        <f>SUMIF($CB$4:$JS$4,BD$4,$CB6:$JS6)</f>
        <v/>
      </c>
      <c r="BE6" s="55">
        <f>SUMIF($CB$4:$JS$4,BE$4,$CB6:$JS6)</f>
        <v/>
      </c>
      <c r="BF6" s="55">
        <f>SUMIF($CB$4:$JS$4,BF$4,$CB6:$JS6)</f>
        <v/>
      </c>
      <c r="BG6" s="55">
        <f>SUMIF($CB$4:$JS$4,BG$4,$CB6:$JS6)</f>
        <v/>
      </c>
      <c r="BH6" s="55">
        <f>SUMIF($CB$4:$JS$4,BH$4,$CB6:$JS6)</f>
        <v/>
      </c>
      <c r="BI6" s="55">
        <f>SUMIF($CB$4:$JS$4,BI$4,$CB6:$JS6)</f>
        <v/>
      </c>
      <c r="BJ6" s="55">
        <f>SUMIF($CB$4:$JS$4,BJ$4,$CB6:$JS6)</f>
        <v/>
      </c>
      <c r="BK6" s="55">
        <f>SUMIF($CB$4:$JS$4,BK$4,$CB6:$JS6)</f>
        <v/>
      </c>
      <c r="BL6" s="55">
        <f>SUMIF($CB$4:$JS$4,BL$4,$CB6:$JS6)</f>
        <v/>
      </c>
      <c r="BM6" s="55">
        <f>SUMIF($CB$4:$JS$4,BM$4,$CB6:$JS6)</f>
        <v/>
      </c>
      <c r="BN6" s="55">
        <f>SUMIF($CB$4:$JS$4,BN$4,$CB6:$JS6)</f>
        <v/>
      </c>
      <c r="BO6" s="55">
        <f>SUMIF($CB$4:$JS$4,BO$4,$CB6:$JS6)</f>
        <v/>
      </c>
      <c r="BP6" s="55">
        <f>SUMIF($CB$4:$JS$4,BP$4,$CB6:$JS6)</f>
        <v/>
      </c>
      <c r="BQ6" s="55">
        <f>SUMIF($CB$4:$JS$4,BQ$4,$CB6:$JS6)</f>
        <v/>
      </c>
      <c r="BR6" s="55">
        <f>SUMIF($CB$4:$JS$4,BR$4,$CB6:$JS6)</f>
        <v/>
      </c>
      <c r="BS6" s="55">
        <f>SUMIF($CB$4:$JS$4,BS$4,$CB6:$JS6)</f>
        <v/>
      </c>
      <c r="BT6" s="55">
        <f>SUMIF($CB$4:$JS$4,BT$4,$CB6:$JS6)</f>
        <v/>
      </c>
      <c r="BU6" s="55">
        <f>SUMIF($CB$4:$JS$4,BU$4,$CB6:$JS6)</f>
        <v/>
      </c>
      <c r="BV6" s="55">
        <f>SUMIF($CB$4:$JS$4,BV$4,$CB6:$JS6)</f>
        <v/>
      </c>
      <c r="BW6" s="55">
        <f>SUMIF($CB$4:$JS$4,BW$4,$CB6:$JS6)</f>
        <v/>
      </c>
      <c r="BX6" s="55">
        <f>SUMIF($CB$4:$JS$4,"&gt;"&amp;'VALOR POR PL'!$P$8,$CB6:$JS6)</f>
        <v/>
      </c>
      <c r="BY6" s="55">
        <f>SUM($CB6:$JS6)</f>
        <v/>
      </c>
      <c r="CB6" s="123">
        <f>IF(OR(CB$4="",$B6=""),0,SUMIF('DADOS BRUTOS'!$A$3:$A$500,$B6,'DADOS BRUTOS'!B$3:B$500)+IF($C6="",0,SUMIF('DADOS BRUTOS'!$A$3:$A$500,$C6,'DADOS BRUTOS'!B$3:B$500)))</f>
        <v/>
      </c>
      <c r="CC6" s="123">
        <f>IF(OR(CC$4="",$B6=""),0,SUMIF('DADOS BRUTOS'!$A$3:$A$500,$B6,'DADOS BRUTOS'!C$3:C$500)+IF($C6="",0,SUMIF('DADOS BRUTOS'!$A$3:$A$500,$C6,'DADOS BRUTOS'!C$3:C$500)))</f>
        <v/>
      </c>
      <c r="CD6" s="123">
        <f>IF(OR(CD$4="",$B6=""),0,SUMIF('DADOS BRUTOS'!$A$3:$A$500,$B6,'DADOS BRUTOS'!D$3:D$500)+IF($C6="",0,SUMIF('DADOS BRUTOS'!$A$3:$A$500,$C6,'DADOS BRUTOS'!D$3:D$500)))</f>
        <v/>
      </c>
      <c r="CE6" s="123">
        <f>IF(OR(CE$4="",$B6=""),0,SUMIF('DADOS BRUTOS'!$A$3:$A$500,$B6,'DADOS BRUTOS'!E$3:E$500)+IF($C6="",0,SUMIF('DADOS BRUTOS'!$A$3:$A$500,$C6,'DADOS BRUTOS'!E$3:E$500)))</f>
        <v/>
      </c>
      <c r="CF6" s="123">
        <f>IF(OR(CF$4="",$B6=""),0,SUMIF('DADOS BRUTOS'!$A$3:$A$500,$B6,'DADOS BRUTOS'!F$3:F$500)+IF($C6="",0,SUMIF('DADOS BRUTOS'!$A$3:$A$500,$C6,'DADOS BRUTOS'!F$3:F$500)))</f>
        <v/>
      </c>
      <c r="CG6" s="123">
        <f>IF(OR(CG$4="",$B6=""),0,SUMIF('DADOS BRUTOS'!$A$3:$A$500,$B6,'DADOS BRUTOS'!G$3:G$500)+IF($C6="",0,SUMIF('DADOS BRUTOS'!$A$3:$A$500,$C6,'DADOS BRUTOS'!G$3:G$500)))</f>
        <v/>
      </c>
      <c r="CH6" s="123">
        <f>IF(OR(CH$4="",$B6=""),0,SUMIF('DADOS BRUTOS'!$A$3:$A$500,$B6,'DADOS BRUTOS'!H$3:H$500)+IF($C6="",0,SUMIF('DADOS BRUTOS'!$A$3:$A$500,$C6,'DADOS BRUTOS'!H$3:H$500)))</f>
        <v/>
      </c>
      <c r="CI6" s="123">
        <f>IF(OR(CI$4="",$B6=""),0,SUMIF('DADOS BRUTOS'!$A$3:$A$500,$B6,'DADOS BRUTOS'!I$3:I$500)+IF($C6="",0,SUMIF('DADOS BRUTOS'!$A$3:$A$500,$C6,'DADOS BRUTOS'!I$3:I$500)))</f>
        <v/>
      </c>
      <c r="CJ6" s="123">
        <f>IF(OR(CJ$4="",$B6=""),0,SUMIF('DADOS BRUTOS'!$A$3:$A$500,$B6,'DADOS BRUTOS'!J$3:J$500)+IF($C6="",0,SUMIF('DADOS BRUTOS'!$A$3:$A$500,$C6,'DADOS BRUTOS'!J$3:J$500)))</f>
        <v/>
      </c>
      <c r="CK6" s="123">
        <f>IF(OR(CK$4="",$B6=""),0,SUMIF('DADOS BRUTOS'!$A$3:$A$500,$B6,'DADOS BRUTOS'!K$3:K$500)+IF($C6="",0,SUMIF('DADOS BRUTOS'!$A$3:$A$500,$C6,'DADOS BRUTOS'!K$3:K$500)))</f>
        <v/>
      </c>
      <c r="CL6" s="123">
        <f>IF(OR(CL$4="",$B6=""),0,SUMIF('DADOS BRUTOS'!$A$3:$A$500,$B6,'DADOS BRUTOS'!L$3:L$500)+IF($C6="",0,SUMIF('DADOS BRUTOS'!$A$3:$A$500,$C6,'DADOS BRUTOS'!L$3:L$500)))</f>
        <v/>
      </c>
      <c r="CM6" s="123">
        <f>IF(OR(CM$4="",$B6=""),0,SUMIF('DADOS BRUTOS'!$A$3:$A$500,$B6,'DADOS BRUTOS'!M$3:M$500)+IF($C6="",0,SUMIF('DADOS BRUTOS'!$A$3:$A$500,$C6,'DADOS BRUTOS'!M$3:M$500)))</f>
        <v/>
      </c>
      <c r="CN6" s="123">
        <f>IF(OR(CN$4="",$B6=""),0,SUMIF('DADOS BRUTOS'!$A$3:$A$500,$B6,'DADOS BRUTOS'!N$3:N$500)+IF($C6="",0,SUMIF('DADOS BRUTOS'!$A$3:$A$500,$C6,'DADOS BRUTOS'!N$3:N$500)))</f>
        <v/>
      </c>
      <c r="CO6" s="123">
        <f>IF(OR(CO$4="",$B6=""),0,SUMIF('DADOS BRUTOS'!$A$3:$A$500,$B6,'DADOS BRUTOS'!O$3:O$500)+IF($C6="",0,SUMIF('DADOS BRUTOS'!$A$3:$A$500,$C6,'DADOS BRUTOS'!O$3:O$500)))</f>
        <v/>
      </c>
      <c r="CP6" s="123">
        <f>IF(OR(CP$4="",$B6=""),0,SUMIF('DADOS BRUTOS'!$A$3:$A$500,$B6,'DADOS BRUTOS'!P$3:P$500)+IF($C6="",0,SUMIF('DADOS BRUTOS'!$A$3:$A$500,$C6,'DADOS BRUTOS'!P$3:P$500)))</f>
        <v/>
      </c>
      <c r="CQ6" s="123">
        <f>IF(OR(CQ$4="",$B6=""),0,SUMIF('DADOS BRUTOS'!$A$3:$A$500,$B6,'DADOS BRUTOS'!Q$3:Q$500)+IF($C6="",0,SUMIF('DADOS BRUTOS'!$A$3:$A$500,$C6,'DADOS BRUTOS'!Q$3:Q$500)))</f>
        <v/>
      </c>
      <c r="CR6" s="123">
        <f>IF(OR(CR$4="",$B6=""),0,SUMIF('DADOS BRUTOS'!$A$3:$A$500,$B6,'DADOS BRUTOS'!R$3:R$500)+IF($C6="",0,SUMIF('DADOS BRUTOS'!$A$3:$A$500,$C6,'DADOS BRUTOS'!R$3:R$500)))</f>
        <v/>
      </c>
      <c r="CS6" s="123">
        <f>IF(OR(CS$4="",$B6=""),0,SUMIF('DADOS BRUTOS'!$A$3:$A$500,$B6,'DADOS BRUTOS'!S$3:S$500)+IF($C6="",0,SUMIF('DADOS BRUTOS'!$A$3:$A$500,$C6,'DADOS BRUTOS'!S$3:S$500)))</f>
        <v/>
      </c>
      <c r="CT6" s="123">
        <f>IF(OR(CT$4="",$B6=""),0,SUMIF('DADOS BRUTOS'!$A$3:$A$500,$B6,'DADOS BRUTOS'!T$3:T$500)+IF($C6="",0,SUMIF('DADOS BRUTOS'!$A$3:$A$500,$C6,'DADOS BRUTOS'!T$3:T$500)))</f>
        <v/>
      </c>
      <c r="CU6" s="123">
        <f>IF(OR(CU$4="",$B6=""),0,SUMIF('DADOS BRUTOS'!$A$3:$A$500,$B6,'DADOS BRUTOS'!U$3:U$500)+IF($C6="",0,SUMIF('DADOS BRUTOS'!$A$3:$A$500,$C6,'DADOS BRUTOS'!U$3:U$500)))</f>
        <v/>
      </c>
      <c r="CV6" s="123">
        <f>IF(OR(CV$4="",$B6=""),0,SUMIF('DADOS BRUTOS'!$A$3:$A$500,$B6,'DADOS BRUTOS'!V$3:V$500)+IF($C6="",0,SUMIF('DADOS BRUTOS'!$A$3:$A$500,$C6,'DADOS BRUTOS'!V$3:V$500)))</f>
        <v/>
      </c>
      <c r="CW6" s="123">
        <f>IF(OR(CW$4="",$B6=""),0,SUMIF('DADOS BRUTOS'!$A$3:$A$500,$B6,'DADOS BRUTOS'!W$3:W$500)+IF($C6="",0,SUMIF('DADOS BRUTOS'!$A$3:$A$500,$C6,'DADOS BRUTOS'!W$3:W$500)))</f>
        <v/>
      </c>
      <c r="CX6" s="123">
        <f>IF(OR(CX$4="",$B6=""),0,SUMIF('DADOS BRUTOS'!$A$3:$A$500,$B6,'DADOS BRUTOS'!X$3:X$500)+IF($C6="",0,SUMIF('DADOS BRUTOS'!$A$3:$A$500,$C6,'DADOS BRUTOS'!X$3:X$500)))</f>
        <v/>
      </c>
      <c r="CY6" s="123">
        <f>IF(OR(CY$4="",$B6=""),0,SUMIF('DADOS BRUTOS'!$A$3:$A$500,$B6,'DADOS BRUTOS'!Y$3:Y$500)+IF($C6="",0,SUMIF('DADOS BRUTOS'!$A$3:$A$500,$C6,'DADOS BRUTOS'!Y$3:Y$500)))</f>
        <v/>
      </c>
      <c r="CZ6" s="123">
        <f>IF(OR(CZ$4="",$B6=""),0,SUMIF('DADOS BRUTOS'!$A$3:$A$500,$B6,'DADOS BRUTOS'!Z$3:Z$500)+IF($C6="",0,SUMIF('DADOS BRUTOS'!$A$3:$A$500,$C6,'DADOS BRUTOS'!Z$3:Z$500)))</f>
        <v/>
      </c>
      <c r="DA6" s="123">
        <f>IF(OR(DA$4="",$B6=""),0,SUMIF('DADOS BRUTOS'!$A$3:$A$500,$B6,'DADOS BRUTOS'!AA$3:AA$500)+IF($C6="",0,SUMIF('DADOS BRUTOS'!$A$3:$A$500,$C6,'DADOS BRUTOS'!AA$3:AA$500)))</f>
        <v/>
      </c>
      <c r="DB6" s="123">
        <f>IF(OR(DB$4="",$B6=""),0,SUMIF('DADOS BRUTOS'!$A$3:$A$500,$B6,'DADOS BRUTOS'!AB$3:AB$500)+IF($C6="",0,SUMIF('DADOS BRUTOS'!$A$3:$A$500,$C6,'DADOS BRUTOS'!AB$3:AB$500)))</f>
        <v/>
      </c>
      <c r="DC6" s="123">
        <f>IF(OR(DC$4="",$B6=""),0,SUMIF('DADOS BRUTOS'!$A$3:$A$500,$B6,'DADOS BRUTOS'!AC$3:AC$500)+IF($C6="",0,SUMIF('DADOS BRUTOS'!$A$3:$A$500,$C6,'DADOS BRUTOS'!AC$3:AC$500)))</f>
        <v/>
      </c>
      <c r="DD6" s="123">
        <f>IF(OR(DD$4="",$B6=""),0,SUMIF('DADOS BRUTOS'!$A$3:$A$500,$B6,'DADOS BRUTOS'!AD$3:AD$500)+IF($C6="",0,SUMIF('DADOS BRUTOS'!$A$3:$A$500,$C6,'DADOS BRUTOS'!AD$3:AD$500)))</f>
        <v/>
      </c>
      <c r="DE6" s="123">
        <f>IF(OR(DE$4="",$B6=""),0,SUMIF('DADOS BRUTOS'!$A$3:$A$500,$B6,'DADOS BRUTOS'!AE$3:AE$500)+IF($C6="",0,SUMIF('DADOS BRUTOS'!$A$3:$A$500,$C6,'DADOS BRUTOS'!AE$3:AE$500)))</f>
        <v/>
      </c>
      <c r="DF6" s="123">
        <f>IF(OR(DF$4="",$B6=""),0,SUMIF('DADOS BRUTOS'!$A$3:$A$500,$B6,'DADOS BRUTOS'!AF$3:AF$500)+IF($C6="",0,SUMIF('DADOS BRUTOS'!$A$3:$A$500,$C6,'DADOS BRUTOS'!AF$3:AF$500)))</f>
        <v/>
      </c>
      <c r="DG6" s="123">
        <f>IF(OR(DG$4="",$B6=""),0,SUMIF('DADOS BRUTOS'!$A$3:$A$500,$B6,'DADOS BRUTOS'!AG$3:AG$500)+IF($C6="",0,SUMIF('DADOS BRUTOS'!$A$3:$A$500,$C6,'DADOS BRUTOS'!AG$3:AG$500)))</f>
        <v/>
      </c>
      <c r="DH6" s="123">
        <f>IF(OR(DH$4="",$B6=""),0,SUMIF('DADOS BRUTOS'!$A$3:$A$500,$B6,'DADOS BRUTOS'!AH$3:AH$500)+IF($C6="",0,SUMIF('DADOS BRUTOS'!$A$3:$A$500,$C6,'DADOS BRUTOS'!AH$3:AH$500)))</f>
        <v/>
      </c>
      <c r="DI6" s="123">
        <f>IF(OR(DI$4="",$B6=""),0,SUMIF('DADOS BRUTOS'!$A$3:$A$500,$B6,'DADOS BRUTOS'!AI$3:AI$500)+IF($C6="",0,SUMIF('DADOS BRUTOS'!$A$3:$A$500,$C6,'DADOS BRUTOS'!AI$3:AI$500)))</f>
        <v/>
      </c>
      <c r="DJ6" s="123">
        <f>IF(OR(DJ$4="",$B6=""),0,SUMIF('DADOS BRUTOS'!$A$3:$A$500,$B6,'DADOS BRUTOS'!AJ$3:AJ$500)+IF($C6="",0,SUMIF('DADOS BRUTOS'!$A$3:$A$500,$C6,'DADOS BRUTOS'!AJ$3:AJ$500)))</f>
        <v/>
      </c>
      <c r="DK6" s="123">
        <f>IF(OR(DK$4="",$B6=""),0,SUMIF('DADOS BRUTOS'!$A$3:$A$500,$B6,'DADOS BRUTOS'!AK$3:AK$500)+IF($C6="",0,SUMIF('DADOS BRUTOS'!$A$3:$A$500,$C6,'DADOS BRUTOS'!AK$3:AK$500)))</f>
        <v/>
      </c>
      <c r="DL6" s="123">
        <f>IF(OR(DL$4="",$B6=""),0,SUMIF('DADOS BRUTOS'!$A$3:$A$500,$B6,'DADOS BRUTOS'!AL$3:AL$500)+IF($C6="",0,SUMIF('DADOS BRUTOS'!$A$3:$A$500,$C6,'DADOS BRUTOS'!AL$3:AL$500)))</f>
        <v/>
      </c>
      <c r="DM6" s="123">
        <f>IF(OR(DM$4="",$B6=""),0,SUMIF('DADOS BRUTOS'!$A$3:$A$500,$B6,'DADOS BRUTOS'!AM$3:AM$500)+IF($C6="",0,SUMIF('DADOS BRUTOS'!$A$3:$A$500,$C6,'DADOS BRUTOS'!AM$3:AM$500)))</f>
        <v/>
      </c>
      <c r="DN6" s="123">
        <f>IF(OR(DN$4="",$B6=""),0,SUMIF('DADOS BRUTOS'!$A$3:$A$500,$B6,'DADOS BRUTOS'!AN$3:AN$500)+IF($C6="",0,SUMIF('DADOS BRUTOS'!$A$3:$A$500,$C6,'DADOS BRUTOS'!AN$3:AN$500)))</f>
        <v/>
      </c>
      <c r="DO6" s="123">
        <f>IF(OR(DO$4="",$B6=""),0,SUMIF('DADOS BRUTOS'!$A$3:$A$500,$B6,'DADOS BRUTOS'!AO$3:AO$500)+IF($C6="",0,SUMIF('DADOS BRUTOS'!$A$3:$A$500,$C6,'DADOS BRUTOS'!AO$3:AO$500)))</f>
        <v/>
      </c>
      <c r="DP6" s="123">
        <f>IF(OR(DP$4="",$B6=""),0,SUMIF('DADOS BRUTOS'!$A$3:$A$500,$B6,'DADOS BRUTOS'!AP$3:AP$500)+IF($C6="",0,SUMIF('DADOS BRUTOS'!$A$3:$A$500,$C6,'DADOS BRUTOS'!AP$3:AP$500)))</f>
        <v/>
      </c>
      <c r="DQ6" s="123">
        <f>IF(OR(DQ$4="",$B6=""),0,SUMIF('DADOS BRUTOS'!$A$3:$A$500,$B6,'DADOS BRUTOS'!AQ$3:AQ$500)+IF($C6="",0,SUMIF('DADOS BRUTOS'!$A$3:$A$500,$C6,'DADOS BRUTOS'!AQ$3:AQ$500)))</f>
        <v/>
      </c>
      <c r="DR6" s="123">
        <f>IF(OR(DR$4="",$B6=""),0,SUMIF('DADOS BRUTOS'!$A$3:$A$500,$B6,'DADOS BRUTOS'!AR$3:AR$500)+IF($C6="",0,SUMIF('DADOS BRUTOS'!$A$3:$A$500,$C6,'DADOS BRUTOS'!AR$3:AR$500)))</f>
        <v/>
      </c>
      <c r="DS6" s="123">
        <f>IF(OR(DS$4="",$B6=""),0,SUMIF('DADOS BRUTOS'!$A$3:$A$500,$B6,'DADOS BRUTOS'!AS$3:AS$500)+IF($C6="",0,SUMIF('DADOS BRUTOS'!$A$3:$A$500,$C6,'DADOS BRUTOS'!AS$3:AS$500)))</f>
        <v/>
      </c>
      <c r="DT6" s="123">
        <f>IF(OR(DT$4="",$B6=""),0,SUMIF('DADOS BRUTOS'!$A$3:$A$500,$B6,'DADOS BRUTOS'!AT$3:AT$500)+IF($C6="",0,SUMIF('DADOS BRUTOS'!$A$3:$A$500,$C6,'DADOS BRUTOS'!AT$3:AT$500)))</f>
        <v/>
      </c>
      <c r="DU6" s="123">
        <f>IF(OR(DU$4="",$B6=""),0,SUMIF('DADOS BRUTOS'!$A$3:$A$500,$B6,'DADOS BRUTOS'!AU$3:AU$500)+IF($C6="",0,SUMIF('DADOS BRUTOS'!$A$3:$A$500,$C6,'DADOS BRUTOS'!AU$3:AU$500)))</f>
        <v/>
      </c>
      <c r="DV6" s="123">
        <f>IF(OR(DV$4="",$B6=""),0,SUMIF('DADOS BRUTOS'!$A$3:$A$500,$B6,'DADOS BRUTOS'!AV$3:AV$500)+IF($C6="",0,SUMIF('DADOS BRUTOS'!$A$3:$A$500,$C6,'DADOS BRUTOS'!AV$3:AV$500)))</f>
        <v/>
      </c>
      <c r="DW6" s="123">
        <f>IF(OR(DW$4="",$B6=""),0,SUMIF('DADOS BRUTOS'!$A$3:$A$500,$B6,'DADOS BRUTOS'!AW$3:AW$500)+IF($C6="",0,SUMIF('DADOS BRUTOS'!$A$3:$A$500,$C6,'DADOS BRUTOS'!AW$3:AW$500)))</f>
        <v/>
      </c>
      <c r="DX6" s="123">
        <f>IF(OR(DX$4="",$B6=""),0,SUMIF('DADOS BRUTOS'!$A$3:$A$500,$B6,'DADOS BRUTOS'!AX$3:AX$500)+IF($C6="",0,SUMIF('DADOS BRUTOS'!$A$3:$A$500,$C6,'DADOS BRUTOS'!AX$3:AX$500)))</f>
        <v/>
      </c>
      <c r="DY6" s="123">
        <f>IF(OR(DY$4="",$B6=""),0,SUMIF('DADOS BRUTOS'!$A$3:$A$500,$B6,'DADOS BRUTOS'!AY$3:AY$500)+IF($C6="",0,SUMIF('DADOS BRUTOS'!$A$3:$A$500,$C6,'DADOS BRUTOS'!AY$3:AY$500)))</f>
        <v/>
      </c>
      <c r="DZ6" s="123">
        <f>IF(OR(DZ$4="",$B6=""),0,SUMIF('DADOS BRUTOS'!$A$3:$A$500,$B6,'DADOS BRUTOS'!AZ$3:AZ$500)+IF($C6="",0,SUMIF('DADOS BRUTOS'!$A$3:$A$500,$C6,'DADOS BRUTOS'!AZ$3:AZ$500)))</f>
        <v/>
      </c>
      <c r="EA6" s="123">
        <f>IF(OR(EA$4="",$B6=""),0,SUMIF('DADOS BRUTOS'!$A$3:$A$500,$B6,'DADOS BRUTOS'!BA$3:BA$500)+IF($C6="",0,SUMIF('DADOS BRUTOS'!$A$3:$A$500,$C6,'DADOS BRUTOS'!BA$3:BA$500)))</f>
        <v/>
      </c>
      <c r="EB6" s="123">
        <f>IF(OR(EB$4="",$B6=""),0,SUMIF('DADOS BRUTOS'!$A$3:$A$500,$B6,'DADOS BRUTOS'!BB$3:BB$500)+IF($C6="",0,SUMIF('DADOS BRUTOS'!$A$3:$A$500,$C6,'DADOS BRUTOS'!BB$3:BB$500)))</f>
        <v/>
      </c>
      <c r="EC6" s="123">
        <f>IF(OR(EC$4="",$B6=""),0,SUMIF('DADOS BRUTOS'!$A$3:$A$500,$B6,'DADOS BRUTOS'!BC$3:BC$500)+IF($C6="",0,SUMIF('DADOS BRUTOS'!$A$3:$A$500,$C6,'DADOS BRUTOS'!BC$3:BC$500)))</f>
        <v/>
      </c>
      <c r="ED6" s="123">
        <f>IF(OR(ED$4="",$B6=""),0,SUMIF('DADOS BRUTOS'!$A$3:$A$500,$B6,'DADOS BRUTOS'!BD$3:BD$500)+IF($C6="",0,SUMIF('DADOS BRUTOS'!$A$3:$A$500,$C6,'DADOS BRUTOS'!BD$3:BD$500)))</f>
        <v/>
      </c>
      <c r="EE6" s="123">
        <f>IF(OR(EE$4="",$B6=""),0,SUMIF('DADOS BRUTOS'!$A$3:$A$500,$B6,'DADOS BRUTOS'!BE$3:BE$500)+IF($C6="",0,SUMIF('DADOS BRUTOS'!$A$3:$A$500,$C6,'DADOS BRUTOS'!BE$3:BE$500)))</f>
        <v/>
      </c>
      <c r="EF6" s="123">
        <f>IF(OR(EF$4="",$B6=""),0,SUMIF('DADOS BRUTOS'!$A$3:$A$500,$B6,'DADOS BRUTOS'!BF$3:BF$500)+IF($C6="",0,SUMIF('DADOS BRUTOS'!$A$3:$A$500,$C6,'DADOS BRUTOS'!BF$3:BF$500)))</f>
        <v/>
      </c>
      <c r="EG6" s="123">
        <f>IF(OR(EG$4="",$B6=""),0,SUMIF('DADOS BRUTOS'!$A$3:$A$500,$B6,'DADOS BRUTOS'!BG$3:BG$500)+IF($C6="",0,SUMIF('DADOS BRUTOS'!$A$3:$A$500,$C6,'DADOS BRUTOS'!BG$3:BG$500)))</f>
        <v/>
      </c>
      <c r="EH6" s="123">
        <f>IF(OR(EH$4="",$B6=""),0,SUMIF('DADOS BRUTOS'!$A$3:$A$500,$B6,'DADOS BRUTOS'!BH$3:BH$500)+IF($C6="",0,SUMIF('DADOS BRUTOS'!$A$3:$A$500,$C6,'DADOS BRUTOS'!BH$3:BH$500)))</f>
        <v/>
      </c>
      <c r="EI6" s="123">
        <f>IF(OR(EI$4="",$B6=""),0,SUMIF('DADOS BRUTOS'!$A$3:$A$500,$B6,'DADOS BRUTOS'!BI$3:BI$500)+IF($C6="",0,SUMIF('DADOS BRUTOS'!$A$3:$A$500,$C6,'DADOS BRUTOS'!BI$3:BI$500)))</f>
        <v/>
      </c>
      <c r="EJ6" s="123">
        <f>IF(OR(EJ$4="",$B6=""),0,SUMIF('DADOS BRUTOS'!$A$3:$A$500,$B6,'DADOS BRUTOS'!BJ$3:BJ$500)+IF($C6="",0,SUMIF('DADOS BRUTOS'!$A$3:$A$500,$C6,'DADOS BRUTOS'!BJ$3:BJ$500)))</f>
        <v/>
      </c>
      <c r="EK6" s="123">
        <f>IF(OR(EK$4="",$B6=""),0,SUMIF('DADOS BRUTOS'!$A$3:$A$500,$B6,'DADOS BRUTOS'!BK$3:BK$500)+IF($C6="",0,SUMIF('DADOS BRUTOS'!$A$3:$A$500,$C6,'DADOS BRUTOS'!BK$3:BK$500)))</f>
        <v/>
      </c>
      <c r="EL6" s="123">
        <f>IF(OR(EL$4="",$B6=""),0,SUMIF('DADOS BRUTOS'!$A$3:$A$500,$B6,'DADOS BRUTOS'!BL$3:BL$500)+IF($C6="",0,SUMIF('DADOS BRUTOS'!$A$3:$A$500,$C6,'DADOS BRUTOS'!BL$3:BL$500)))</f>
        <v/>
      </c>
      <c r="EM6" s="123">
        <f>IF(OR(EM$4="",$B6=""),0,SUMIF('DADOS BRUTOS'!$A$3:$A$500,$B6,'DADOS BRUTOS'!BM$3:BM$500)+IF($C6="",0,SUMIF('DADOS BRUTOS'!$A$3:$A$500,$C6,'DADOS BRUTOS'!BM$3:BM$500)))</f>
        <v/>
      </c>
      <c r="EN6" s="123">
        <f>IF(OR(EN$4="",$B6=""),0,SUMIF('DADOS BRUTOS'!$A$3:$A$500,$B6,'DADOS BRUTOS'!BN$3:BN$500)+IF($C6="",0,SUMIF('DADOS BRUTOS'!$A$3:$A$500,$C6,'DADOS BRUTOS'!BN$3:BN$500)))</f>
        <v/>
      </c>
      <c r="EO6" s="123">
        <f>IF(OR(EO$4="",$B6=""),0,SUMIF('DADOS BRUTOS'!$A$3:$A$500,$B6,'DADOS BRUTOS'!BO$3:BO$500)+IF($C6="",0,SUMIF('DADOS BRUTOS'!$A$3:$A$500,$C6,'DADOS BRUTOS'!BO$3:BO$500)))</f>
        <v/>
      </c>
      <c r="EP6" s="123">
        <f>IF(OR(EP$4="",$B6=""),0,SUMIF('DADOS BRUTOS'!$A$3:$A$500,$B6,'DADOS BRUTOS'!BP$3:BP$500)+IF($C6="",0,SUMIF('DADOS BRUTOS'!$A$3:$A$500,$C6,'DADOS BRUTOS'!BP$3:BP$500)))</f>
        <v/>
      </c>
      <c r="EQ6" s="123">
        <f>IF(OR(EQ$4="",$B6=""),0,SUMIF('DADOS BRUTOS'!$A$3:$A$500,$B6,'DADOS BRUTOS'!BQ$3:BQ$500)+IF($C6="",0,SUMIF('DADOS BRUTOS'!$A$3:$A$500,$C6,'DADOS BRUTOS'!BQ$3:BQ$500)))</f>
        <v/>
      </c>
      <c r="ER6" s="123">
        <f>IF(OR(ER$4="",$B6=""),0,SUMIF('DADOS BRUTOS'!$A$3:$A$500,$B6,'DADOS BRUTOS'!BR$3:BR$500)+IF($C6="",0,SUMIF('DADOS BRUTOS'!$A$3:$A$500,$C6,'DADOS BRUTOS'!BR$3:BR$500)))</f>
        <v/>
      </c>
      <c r="ES6" s="123">
        <f>IF(OR(ES$4="",$B6=""),0,SUMIF('DADOS BRUTOS'!$A$3:$A$500,$B6,'DADOS BRUTOS'!BS$3:BS$500)+IF($C6="",0,SUMIF('DADOS BRUTOS'!$A$3:$A$500,$C6,'DADOS BRUTOS'!BS$3:BS$500)))</f>
        <v/>
      </c>
      <c r="ET6" s="123">
        <f>IF(OR(ET$4="",$B6=""),0,SUMIF('DADOS BRUTOS'!$A$3:$A$500,$B6,'DADOS BRUTOS'!BT$3:BT$500)+IF($C6="",0,SUMIF('DADOS BRUTOS'!$A$3:$A$500,$C6,'DADOS BRUTOS'!BT$3:BT$500)))</f>
        <v/>
      </c>
      <c r="EU6" s="123">
        <f>IF(OR(EU$4="",$B6=""),0,SUMIF('DADOS BRUTOS'!$A$3:$A$500,$B6,'DADOS BRUTOS'!BU$3:BU$500)+IF($C6="",0,SUMIF('DADOS BRUTOS'!$A$3:$A$500,$C6,'DADOS BRUTOS'!BU$3:BU$500)))</f>
        <v/>
      </c>
      <c r="EV6" s="123">
        <f>IF(OR(EV$4="",$B6=""),0,SUMIF('DADOS BRUTOS'!$A$3:$A$500,$B6,'DADOS BRUTOS'!BV$3:BV$500)+IF($C6="",0,SUMIF('DADOS BRUTOS'!$A$3:$A$500,$C6,'DADOS BRUTOS'!BV$3:BV$500)))</f>
        <v/>
      </c>
      <c r="EW6" s="123">
        <f>IF(OR(EW$4="",$B6=""),0,SUMIF('DADOS BRUTOS'!$A$3:$A$500,$B6,'DADOS BRUTOS'!BW$3:BW$500)+IF($C6="",0,SUMIF('DADOS BRUTOS'!$A$3:$A$500,$C6,'DADOS BRUTOS'!BW$3:BW$500)))</f>
        <v/>
      </c>
      <c r="EX6" s="123">
        <f>IF(OR(EX$4="",$B6=""),0,SUMIF('DADOS BRUTOS'!$A$3:$A$500,$B6,'DADOS BRUTOS'!BX$3:BX$500)+IF($C6="",0,SUMIF('DADOS BRUTOS'!$A$3:$A$500,$C6,'DADOS BRUTOS'!BX$3:BX$500)))</f>
        <v/>
      </c>
      <c r="EY6" s="123">
        <f>IF(OR(EY$4="",$B6=""),0,SUMIF('DADOS BRUTOS'!$A$3:$A$500,$B6,'DADOS BRUTOS'!BY$3:BY$500)+IF($C6="",0,SUMIF('DADOS BRUTOS'!$A$3:$A$500,$C6,'DADOS BRUTOS'!BY$3:BY$500)))</f>
        <v/>
      </c>
      <c r="EZ6" s="123">
        <f>IF(OR(EZ$4="",$B6=""),0,SUMIF('DADOS BRUTOS'!$A$3:$A$500,$B6,'DADOS BRUTOS'!BZ$3:BZ$500)+IF($C6="",0,SUMIF('DADOS BRUTOS'!$A$3:$A$500,$C6,'DADOS BRUTOS'!BZ$3:BZ$500)))</f>
        <v/>
      </c>
      <c r="FA6" s="123">
        <f>IF(OR(FA$4="",$B6=""),0,SUMIF('DADOS BRUTOS'!$A$3:$A$500,$B6,'DADOS BRUTOS'!CA$3:CA$500)+IF($C6="",0,SUMIF('DADOS BRUTOS'!$A$3:$A$500,$C6,'DADOS BRUTOS'!CA$3:CA$500)))</f>
        <v/>
      </c>
      <c r="FB6" s="123">
        <f>IF(OR(FB$4="",$B6=""),0,SUMIF('DADOS BRUTOS'!$A$3:$A$500,$B6,'DADOS BRUTOS'!CB$3:CB$500)+IF($C6="",0,SUMIF('DADOS BRUTOS'!$A$3:$A$500,$C6,'DADOS BRUTOS'!CB$3:CB$500)))</f>
        <v/>
      </c>
      <c r="FC6" s="123">
        <f>IF(OR(FC$4="",$B6=""),0,SUMIF('DADOS BRUTOS'!$A$3:$A$500,$B6,'DADOS BRUTOS'!CC$3:CC$500)+IF($C6="",0,SUMIF('DADOS BRUTOS'!$A$3:$A$500,$C6,'DADOS BRUTOS'!CC$3:CC$500)))</f>
        <v/>
      </c>
      <c r="FD6" s="123">
        <f>IF(OR(FD$4="",$B6=""),0,SUMIF('DADOS BRUTOS'!$A$3:$A$500,$B6,'DADOS BRUTOS'!CD$3:CD$500)+IF($C6="",0,SUMIF('DADOS BRUTOS'!$A$3:$A$500,$C6,'DADOS BRUTOS'!CD$3:CD$500)))</f>
        <v/>
      </c>
      <c r="FE6" s="123">
        <f>IF(OR(FE$4="",$B6=""),0,SUMIF('DADOS BRUTOS'!$A$3:$A$500,$B6,'DADOS BRUTOS'!CE$3:CE$500)+IF($C6="",0,SUMIF('DADOS BRUTOS'!$A$3:$A$500,$C6,'DADOS BRUTOS'!CE$3:CE$500)))</f>
        <v/>
      </c>
      <c r="FF6" s="123">
        <f>IF(OR(FF$4="",$B6=""),0,SUMIF('DADOS BRUTOS'!$A$3:$A$500,$B6,'DADOS BRUTOS'!CF$3:CF$500)+IF($C6="",0,SUMIF('DADOS BRUTOS'!$A$3:$A$500,$C6,'DADOS BRUTOS'!CF$3:CF$500)))</f>
        <v/>
      </c>
      <c r="FG6" s="123">
        <f>IF(OR(FG$4="",$B6=""),0,SUMIF('DADOS BRUTOS'!$A$3:$A$500,$B6,'DADOS BRUTOS'!CG$3:CG$500)+IF($C6="",0,SUMIF('DADOS BRUTOS'!$A$3:$A$500,$C6,'DADOS BRUTOS'!CG$3:CG$500)))</f>
        <v/>
      </c>
      <c r="FH6" s="123">
        <f>IF(OR(FH$4="",$B6=""),0,SUMIF('DADOS BRUTOS'!$A$3:$A$500,$B6,'DADOS BRUTOS'!CH$3:CH$500)+IF($C6="",0,SUMIF('DADOS BRUTOS'!$A$3:$A$500,$C6,'DADOS BRUTOS'!CH$3:CH$500)))</f>
        <v/>
      </c>
      <c r="FI6" s="123">
        <f>IF(OR(FI$4="",$B6=""),0,SUMIF('DADOS BRUTOS'!$A$3:$A$500,$B6,'DADOS BRUTOS'!CI$3:CI$500)+IF($C6="",0,SUMIF('DADOS BRUTOS'!$A$3:$A$500,$C6,'DADOS BRUTOS'!CI$3:CI$500)))</f>
        <v/>
      </c>
      <c r="FJ6" s="123">
        <f>IF(OR(FJ$4="",$B6=""),0,SUMIF('DADOS BRUTOS'!$A$3:$A$500,$B6,'DADOS BRUTOS'!CJ$3:CJ$500)+IF($C6="",0,SUMIF('DADOS BRUTOS'!$A$3:$A$500,$C6,'DADOS BRUTOS'!CJ$3:CJ$500)))</f>
        <v/>
      </c>
      <c r="FK6" s="123">
        <f>IF(OR(FK$4="",$B6=""),0,SUMIF('DADOS BRUTOS'!$A$3:$A$500,$B6,'DADOS BRUTOS'!CK$3:CK$500)+IF($C6="",0,SUMIF('DADOS BRUTOS'!$A$3:$A$500,$C6,'DADOS BRUTOS'!CK$3:CK$500)))</f>
        <v/>
      </c>
      <c r="FL6" s="123">
        <f>IF(OR(FL$4="",$B6=""),0,SUMIF('DADOS BRUTOS'!$A$3:$A$500,$B6,'DADOS BRUTOS'!CL$3:CL$500)+IF($C6="",0,SUMIF('DADOS BRUTOS'!$A$3:$A$500,$C6,'DADOS BRUTOS'!CL$3:CL$500)))</f>
        <v/>
      </c>
      <c r="FM6" s="123">
        <f>IF(OR(FM$4="",$B6=""),0,SUMIF('DADOS BRUTOS'!$A$3:$A$500,$B6,'DADOS BRUTOS'!CM$3:CM$500)+IF($C6="",0,SUMIF('DADOS BRUTOS'!$A$3:$A$500,$C6,'DADOS BRUTOS'!CM$3:CM$500)))</f>
        <v/>
      </c>
      <c r="FN6" s="123">
        <f>IF(OR(FN$4="",$B6=""),0,SUMIF('DADOS BRUTOS'!$A$3:$A$500,$B6,'DADOS BRUTOS'!CN$3:CN$500)+IF($C6="",0,SUMIF('DADOS BRUTOS'!$A$3:$A$500,$C6,'DADOS BRUTOS'!CN$3:CN$500)))</f>
        <v/>
      </c>
      <c r="FO6" s="123">
        <f>IF(OR(FO$4="",$B6=""),0,SUMIF('DADOS BRUTOS'!$A$3:$A$500,$B6,'DADOS BRUTOS'!CO$3:CO$500)+IF($C6="",0,SUMIF('DADOS BRUTOS'!$A$3:$A$500,$C6,'DADOS BRUTOS'!CO$3:CO$500)))</f>
        <v/>
      </c>
      <c r="FP6" s="123">
        <f>IF(OR(FP$4="",$B6=""),0,SUMIF('DADOS BRUTOS'!$A$3:$A$500,$B6,'DADOS BRUTOS'!CP$3:CP$500)+IF($C6="",0,SUMIF('DADOS BRUTOS'!$A$3:$A$500,$C6,'DADOS BRUTOS'!CP$3:CP$500)))</f>
        <v/>
      </c>
      <c r="FQ6" s="123">
        <f>IF(OR(FQ$4="",$B6=""),0,SUMIF('DADOS BRUTOS'!$A$3:$A$500,$B6,'DADOS BRUTOS'!CQ$3:CQ$500)+IF($C6="",0,SUMIF('DADOS BRUTOS'!$A$3:$A$500,$C6,'DADOS BRUTOS'!CQ$3:CQ$500)))</f>
        <v/>
      </c>
      <c r="FR6" s="123">
        <f>IF(OR(FR$4="",$B6=""),0,SUMIF('DADOS BRUTOS'!$A$3:$A$500,$B6,'DADOS BRUTOS'!CR$3:CR$500)+IF($C6="",0,SUMIF('DADOS BRUTOS'!$A$3:$A$500,$C6,'DADOS BRUTOS'!CR$3:CR$500)))</f>
        <v/>
      </c>
      <c r="FS6" s="123">
        <f>IF(OR(FS$4="",$B6=""),0,SUMIF('DADOS BRUTOS'!$A$3:$A$500,$B6,'DADOS BRUTOS'!CS$3:CS$500)+IF($C6="",0,SUMIF('DADOS BRUTOS'!$A$3:$A$500,$C6,'DADOS BRUTOS'!CS$3:CS$500)))</f>
        <v/>
      </c>
      <c r="FT6" s="123">
        <f>IF(OR(FT$4="",$B6=""),0,SUMIF('DADOS BRUTOS'!$A$3:$A$500,$B6,'DADOS BRUTOS'!CT$3:CT$500)+IF($C6="",0,SUMIF('DADOS BRUTOS'!$A$3:$A$500,$C6,'DADOS BRUTOS'!CT$3:CT$500)))</f>
        <v/>
      </c>
      <c r="FU6" s="123">
        <f>IF(OR(FU$4="",$B6=""),0,SUMIF('DADOS BRUTOS'!$A$3:$A$500,$B6,'DADOS BRUTOS'!CU$3:CU$500)+IF($C6="",0,SUMIF('DADOS BRUTOS'!$A$3:$A$500,$C6,'DADOS BRUTOS'!CU$3:CU$500)))</f>
        <v/>
      </c>
      <c r="FV6" s="123">
        <f>IF(OR(FV$4="",$B6=""),0,SUMIF('DADOS BRUTOS'!$A$3:$A$500,$B6,'DADOS BRUTOS'!CV$3:CV$500)+IF($C6="",0,SUMIF('DADOS BRUTOS'!$A$3:$A$500,$C6,'DADOS BRUTOS'!CV$3:CV$500)))</f>
        <v/>
      </c>
      <c r="FW6" s="123">
        <f>IF(OR(FW$4="",$B6=""),0,SUMIF('DADOS BRUTOS'!$A$3:$A$500,$B6,'DADOS BRUTOS'!CW$3:CW$500)+IF($C6="",0,SUMIF('DADOS BRUTOS'!$A$3:$A$500,$C6,'DADOS BRUTOS'!CW$3:CW$500)))</f>
        <v/>
      </c>
      <c r="FX6" s="123">
        <f>IF(OR(FX$4="",$B6=""),0,SUMIF('DADOS BRUTOS'!$A$3:$A$500,$B6,'DADOS BRUTOS'!CX$3:CX$500)+IF($C6="",0,SUMIF('DADOS BRUTOS'!$A$3:$A$500,$C6,'DADOS BRUTOS'!CX$3:CX$500)))</f>
        <v/>
      </c>
      <c r="FY6" s="123">
        <f>IF(OR(FY$4="",$B6=""),0,SUMIF('DADOS BRUTOS'!$A$3:$A$500,$B6,'DADOS BRUTOS'!CY$3:CY$500)+IF($C6="",0,SUMIF('DADOS BRUTOS'!$A$3:$A$500,$C6,'DADOS BRUTOS'!CY$3:CY$500)))</f>
        <v/>
      </c>
      <c r="FZ6" s="123">
        <f>IF(OR(FZ$4="",$B6=""),0,SUMIF('DADOS BRUTOS'!$A$3:$A$500,$B6,'DADOS BRUTOS'!CZ$3:CZ$500)+IF($C6="",0,SUMIF('DADOS BRUTOS'!$A$3:$A$500,$C6,'DADOS BRUTOS'!CZ$3:CZ$500)))</f>
        <v/>
      </c>
      <c r="GA6" s="123">
        <f>IF(OR(GA$4="",$B6=""),0,SUMIF('DADOS BRUTOS'!$A$3:$A$500,$B6,'DADOS BRUTOS'!DA$3:DA$500)+IF($C6="",0,SUMIF('DADOS BRUTOS'!$A$3:$A$500,$C6,'DADOS BRUTOS'!DA$3:DA$500)))</f>
        <v/>
      </c>
      <c r="GB6" s="123">
        <f>IF(OR(GB$4="",$B6=""),0,SUMIF('DADOS BRUTOS'!$A$3:$A$500,$B6,'DADOS BRUTOS'!DB$3:DB$500)+IF($C6="",0,SUMIF('DADOS BRUTOS'!$A$3:$A$500,$C6,'DADOS BRUTOS'!DB$3:DB$500)))</f>
        <v/>
      </c>
      <c r="GC6" s="123">
        <f>IF(OR(GC$4="",$B6=""),0,SUMIF('DADOS BRUTOS'!$A$3:$A$500,$B6,'DADOS BRUTOS'!DC$3:DC$500)+IF($C6="",0,SUMIF('DADOS BRUTOS'!$A$3:$A$500,$C6,'DADOS BRUTOS'!DC$3:DC$500)))</f>
        <v/>
      </c>
      <c r="GD6" s="123">
        <f>IF(OR(GD$4="",$B6=""),0,SUMIF('DADOS BRUTOS'!$A$3:$A$500,$B6,'DADOS BRUTOS'!DD$3:DD$500)+IF($C6="",0,SUMIF('DADOS BRUTOS'!$A$3:$A$500,$C6,'DADOS BRUTOS'!DD$3:DD$500)))</f>
        <v/>
      </c>
      <c r="GE6" s="123">
        <f>IF(OR(GE$4="",$B6=""),0,SUMIF('DADOS BRUTOS'!$A$3:$A$500,$B6,'DADOS BRUTOS'!DE$3:DE$500)+IF($C6="",0,SUMIF('DADOS BRUTOS'!$A$3:$A$500,$C6,'DADOS BRUTOS'!DE$3:DE$500)))</f>
        <v/>
      </c>
      <c r="GF6" s="123">
        <f>IF(OR(GF$4="",$B6=""),0,SUMIF('DADOS BRUTOS'!$A$3:$A$500,$B6,'DADOS BRUTOS'!DF$3:DF$500)+IF($C6="",0,SUMIF('DADOS BRUTOS'!$A$3:$A$500,$C6,'DADOS BRUTOS'!DF$3:DF$500)))</f>
        <v/>
      </c>
      <c r="GG6" s="123">
        <f>IF(OR(GG$4="",$B6=""),0,SUMIF('DADOS BRUTOS'!$A$3:$A$500,$B6,'DADOS BRUTOS'!DG$3:DG$500)+IF($C6="",0,SUMIF('DADOS BRUTOS'!$A$3:$A$500,$C6,'DADOS BRUTOS'!DG$3:DG$500)))</f>
        <v/>
      </c>
      <c r="GH6" s="123">
        <f>IF(OR(GH$4="",$B6=""),0,SUMIF('DADOS BRUTOS'!$A$3:$A$500,$B6,'DADOS BRUTOS'!DH$3:DH$500)+IF($C6="",0,SUMIF('DADOS BRUTOS'!$A$3:$A$500,$C6,'DADOS BRUTOS'!DH$3:DH$500)))</f>
        <v/>
      </c>
      <c r="GI6" s="123">
        <f>IF(OR(GI$4="",$B6=""),0,SUMIF('DADOS BRUTOS'!$A$3:$A$500,$B6,'DADOS BRUTOS'!DI$3:DI$500)+IF($C6="",0,SUMIF('DADOS BRUTOS'!$A$3:$A$500,$C6,'DADOS BRUTOS'!DI$3:DI$500)))</f>
        <v/>
      </c>
      <c r="GJ6" s="123">
        <f>IF(OR(GJ$4="",$B6=""),0,SUMIF('DADOS BRUTOS'!$A$3:$A$500,$B6,'DADOS BRUTOS'!DJ$3:DJ$500)+IF($C6="",0,SUMIF('DADOS BRUTOS'!$A$3:$A$500,$C6,'DADOS BRUTOS'!DJ$3:DJ$500)))</f>
        <v/>
      </c>
      <c r="GK6" s="123">
        <f>IF(OR(GK$4="",$B6=""),0,SUMIF('DADOS BRUTOS'!$A$3:$A$500,$B6,'DADOS BRUTOS'!DK$3:DK$500)+IF($C6="",0,SUMIF('DADOS BRUTOS'!$A$3:$A$500,$C6,'DADOS BRUTOS'!DK$3:DK$500)))</f>
        <v/>
      </c>
      <c r="GL6" s="123">
        <f>IF(OR(GL$4="",$B6=""),0,SUMIF('DADOS BRUTOS'!$A$3:$A$500,$B6,'DADOS BRUTOS'!DL$3:DL$500)+IF($C6="",0,SUMIF('DADOS BRUTOS'!$A$3:$A$500,$C6,'DADOS BRUTOS'!DL$3:DL$500)))</f>
        <v/>
      </c>
      <c r="GM6" s="123">
        <f>IF(OR(GM$4="",$B6=""),0,SUMIF('DADOS BRUTOS'!$A$3:$A$500,$B6,'DADOS BRUTOS'!DM$3:DM$500)+IF($C6="",0,SUMIF('DADOS BRUTOS'!$A$3:$A$500,$C6,'DADOS BRUTOS'!DM$3:DM$500)))</f>
        <v/>
      </c>
      <c r="GN6" s="123">
        <f>IF(OR(GN$4="",$B6=""),0,SUMIF('DADOS BRUTOS'!$A$3:$A$500,$B6,'DADOS BRUTOS'!DN$3:DN$500)+IF($C6="",0,SUMIF('DADOS BRUTOS'!$A$3:$A$500,$C6,'DADOS BRUTOS'!DN$3:DN$500)))</f>
        <v/>
      </c>
      <c r="GO6" s="123">
        <f>IF(OR(GO$4="",$B6=""),0,SUMIF('DADOS BRUTOS'!$A$3:$A$500,$B6,'DADOS BRUTOS'!DO$3:DO$500)+IF($C6="",0,SUMIF('DADOS BRUTOS'!$A$3:$A$500,$C6,'DADOS BRUTOS'!DO$3:DO$500)))</f>
        <v/>
      </c>
      <c r="GP6" s="123">
        <f>IF(OR(GP$4="",$B6=""),0,SUMIF('DADOS BRUTOS'!$A$3:$A$500,$B6,'DADOS BRUTOS'!DP$3:DP$500)+IF($C6="",0,SUMIF('DADOS BRUTOS'!$A$3:$A$500,$C6,'DADOS BRUTOS'!DP$3:DP$500)))</f>
        <v/>
      </c>
      <c r="GQ6" s="123">
        <f>IF(OR(GQ$4="",$B6=""),0,SUMIF('DADOS BRUTOS'!$A$3:$A$500,$B6,'DADOS BRUTOS'!DQ$3:DQ$500)+IF($C6="",0,SUMIF('DADOS BRUTOS'!$A$3:$A$500,$C6,'DADOS BRUTOS'!DQ$3:DQ$500)))</f>
        <v/>
      </c>
      <c r="GR6" s="123">
        <f>IF(OR(GR$4="",$B6=""),0,SUMIF('DADOS BRUTOS'!$A$3:$A$500,$B6,'DADOS BRUTOS'!DR$3:DR$500)+IF($C6="",0,SUMIF('DADOS BRUTOS'!$A$3:$A$500,$C6,'DADOS BRUTOS'!DR$3:DR$500)))</f>
        <v/>
      </c>
      <c r="GS6" s="123">
        <f>IF(OR(GS$4="",$B6=""),0,SUMIF('DADOS BRUTOS'!$A$3:$A$500,$B6,'DADOS BRUTOS'!DS$3:DS$500)+IF($C6="",0,SUMIF('DADOS BRUTOS'!$A$3:$A$500,$C6,'DADOS BRUTOS'!DS$3:DS$500)))</f>
        <v/>
      </c>
      <c r="GT6" s="123">
        <f>IF(OR(GT$4="",$B6=""),0,SUMIF('DADOS BRUTOS'!$A$3:$A$500,$B6,'DADOS BRUTOS'!DT$3:DT$500)+IF($C6="",0,SUMIF('DADOS BRUTOS'!$A$3:$A$500,$C6,'DADOS BRUTOS'!DT$3:DT$500)))</f>
        <v/>
      </c>
      <c r="GU6" s="123">
        <f>IF(OR(GU$4="",$B6=""),0,SUMIF('DADOS BRUTOS'!$A$3:$A$500,$B6,'DADOS BRUTOS'!DU$3:DU$500)+IF($C6="",0,SUMIF('DADOS BRUTOS'!$A$3:$A$500,$C6,'DADOS BRUTOS'!DU$3:DU$500)))</f>
        <v/>
      </c>
      <c r="GV6" s="123">
        <f>IF(OR(GV$4="",$B6=""),0,SUMIF('DADOS BRUTOS'!$A$3:$A$500,$B6,'DADOS BRUTOS'!DV$3:DV$500)+IF($C6="",0,SUMIF('DADOS BRUTOS'!$A$3:$A$500,$C6,'DADOS BRUTOS'!DV$3:DV$500)))</f>
        <v/>
      </c>
      <c r="GW6" s="123">
        <f>IF(OR(GW$4="",$B6=""),0,SUMIF('DADOS BRUTOS'!$A$3:$A$500,$B6,'DADOS BRUTOS'!DW$3:DW$500)+IF($C6="",0,SUMIF('DADOS BRUTOS'!$A$3:$A$500,$C6,'DADOS BRUTOS'!DW$3:DW$500)))</f>
        <v/>
      </c>
      <c r="GX6" s="123">
        <f>IF(OR(GX$4="",$B6=""),0,SUMIF('DADOS BRUTOS'!$A$3:$A$500,$B6,'DADOS BRUTOS'!DX$3:DX$500)+IF($C6="",0,SUMIF('DADOS BRUTOS'!$A$3:$A$500,$C6,'DADOS BRUTOS'!DX$3:DX$500)))</f>
        <v/>
      </c>
      <c r="GY6" s="123">
        <f>IF(OR(GY$4="",$B6=""),0,SUMIF('DADOS BRUTOS'!$A$3:$A$500,$B6,'DADOS BRUTOS'!DY$3:DY$500)+IF($C6="",0,SUMIF('DADOS BRUTOS'!$A$3:$A$500,$C6,'DADOS BRUTOS'!DY$3:DY$500)))</f>
        <v/>
      </c>
      <c r="GZ6" s="123">
        <f>IF(OR(GZ$4="",$B6=""),0,SUMIF('DADOS BRUTOS'!$A$3:$A$500,$B6,'DADOS BRUTOS'!DZ$3:DZ$500)+IF($C6="",0,SUMIF('DADOS BRUTOS'!$A$3:$A$500,$C6,'DADOS BRUTOS'!DZ$3:DZ$500)))</f>
        <v/>
      </c>
      <c r="HA6" s="123">
        <f>IF(OR(HA$4="",$B6=""),0,SUMIF('DADOS BRUTOS'!$A$3:$A$500,$B6,'DADOS BRUTOS'!EA$3:EA$500)+IF($C6="",0,SUMIF('DADOS BRUTOS'!$A$3:$A$500,$C6,'DADOS BRUTOS'!EA$3:EA$500)))</f>
        <v/>
      </c>
      <c r="HB6" s="123">
        <f>IF(OR(HB$4="",$B6=""),0,SUMIF('DADOS BRUTOS'!$A$3:$A$500,$B6,'DADOS BRUTOS'!EB$3:EB$500)+IF($C6="",0,SUMIF('DADOS BRUTOS'!$A$3:$A$500,$C6,'DADOS BRUTOS'!EB$3:EB$500)))</f>
        <v/>
      </c>
      <c r="HC6" s="123">
        <f>IF(OR(HC$4="",$B6=""),0,SUMIF('DADOS BRUTOS'!$A$3:$A$500,$B6,'DADOS BRUTOS'!EC$3:EC$500)+IF($C6="",0,SUMIF('DADOS BRUTOS'!$A$3:$A$500,$C6,'DADOS BRUTOS'!EC$3:EC$500)))</f>
        <v/>
      </c>
      <c r="HD6" s="123">
        <f>IF(OR(HD$4="",$B6=""),0,SUMIF('DADOS BRUTOS'!$A$3:$A$500,$B6,'DADOS BRUTOS'!ED$3:ED$500)+IF($C6="",0,SUMIF('DADOS BRUTOS'!$A$3:$A$500,$C6,'DADOS BRUTOS'!ED$3:ED$500)))</f>
        <v/>
      </c>
      <c r="HE6" s="123">
        <f>IF(OR(HE$4="",$B6=""),0,SUMIF('DADOS BRUTOS'!$A$3:$A$500,$B6,'DADOS BRUTOS'!EE$3:EE$500)+IF($C6="",0,SUMIF('DADOS BRUTOS'!$A$3:$A$500,$C6,'DADOS BRUTOS'!EE$3:EE$500)))</f>
        <v/>
      </c>
      <c r="HF6" s="123">
        <f>IF(OR(HF$4="",$B6=""),0,SUMIF('DADOS BRUTOS'!$A$3:$A$500,$B6,'DADOS BRUTOS'!EF$3:EF$500)+IF($C6="",0,SUMIF('DADOS BRUTOS'!$A$3:$A$500,$C6,'DADOS BRUTOS'!EF$3:EF$500)))</f>
        <v/>
      </c>
      <c r="HG6" s="123">
        <f>IF(OR(HG$4="",$B6=""),0,SUMIF('DADOS BRUTOS'!$A$3:$A$500,$B6,'DADOS BRUTOS'!EG$3:EG$500)+IF($C6="",0,SUMIF('DADOS BRUTOS'!$A$3:$A$500,$C6,'DADOS BRUTOS'!EG$3:EG$500)))</f>
        <v/>
      </c>
      <c r="HH6" s="123">
        <f>IF(OR(HH$4="",$B6=""),0,SUMIF('DADOS BRUTOS'!$A$3:$A$500,$B6,'DADOS BRUTOS'!EH$3:EH$500)+IF($C6="",0,SUMIF('DADOS BRUTOS'!$A$3:$A$500,$C6,'DADOS BRUTOS'!EH$3:EH$500)))</f>
        <v/>
      </c>
      <c r="HI6" s="123">
        <f>IF(OR(HI$4="",$B6=""),0,SUMIF('DADOS BRUTOS'!$A$3:$A$500,$B6,'DADOS BRUTOS'!EI$3:EI$500)+IF($C6="",0,SUMIF('DADOS BRUTOS'!$A$3:$A$500,$C6,'DADOS BRUTOS'!EI$3:EI$500)))</f>
        <v/>
      </c>
      <c r="HJ6" s="123">
        <f>IF(OR(HJ$4="",$B6=""),0,SUMIF('DADOS BRUTOS'!$A$3:$A$500,$B6,'DADOS BRUTOS'!EJ$3:EJ$500)+IF($C6="",0,SUMIF('DADOS BRUTOS'!$A$3:$A$500,$C6,'DADOS BRUTOS'!EJ$3:EJ$500)))</f>
        <v/>
      </c>
      <c r="HK6" s="123">
        <f>IF(OR(HK$4="",$B6=""),0,SUMIF('DADOS BRUTOS'!$A$3:$A$500,$B6,'DADOS BRUTOS'!EK$3:EK$500)+IF($C6="",0,SUMIF('DADOS BRUTOS'!$A$3:$A$500,$C6,'DADOS BRUTOS'!EK$3:EK$500)))</f>
        <v/>
      </c>
      <c r="HL6" s="123">
        <f>IF(OR(HL$4="",$B6=""),0,SUMIF('DADOS BRUTOS'!$A$3:$A$500,$B6,'DADOS BRUTOS'!EL$3:EL$500)+IF($C6="",0,SUMIF('DADOS BRUTOS'!$A$3:$A$500,$C6,'DADOS BRUTOS'!EL$3:EL$500)))</f>
        <v/>
      </c>
      <c r="HM6" s="123">
        <f>IF(OR(HM$4="",$B6=""),0,SUMIF('DADOS BRUTOS'!$A$3:$A$500,$B6,'DADOS BRUTOS'!EM$3:EM$500)+IF($C6="",0,SUMIF('DADOS BRUTOS'!$A$3:$A$500,$C6,'DADOS BRUTOS'!EM$3:EM$500)))</f>
        <v/>
      </c>
      <c r="HN6" s="123">
        <f>IF(OR(HN$4="",$B6=""),0,SUMIF('DADOS BRUTOS'!$A$3:$A$500,$B6,'DADOS BRUTOS'!EN$3:EN$500)+IF($C6="",0,SUMIF('DADOS BRUTOS'!$A$3:$A$500,$C6,'DADOS BRUTOS'!EN$3:EN$500)))</f>
        <v/>
      </c>
      <c r="HO6" s="123">
        <f>IF(OR(HO$4="",$B6=""),0,SUMIF('DADOS BRUTOS'!$A$3:$A$500,$B6,'DADOS BRUTOS'!EO$3:EO$500)+IF($C6="",0,SUMIF('DADOS BRUTOS'!$A$3:$A$500,$C6,'DADOS BRUTOS'!EO$3:EO$500)))</f>
        <v/>
      </c>
      <c r="HP6" s="123">
        <f>IF(OR(HP$4="",$B6=""),0,SUMIF('DADOS BRUTOS'!$A$3:$A$500,$B6,'DADOS BRUTOS'!EP$3:EP$500)+IF($C6="",0,SUMIF('DADOS BRUTOS'!$A$3:$A$500,$C6,'DADOS BRUTOS'!EP$3:EP$500)))</f>
        <v/>
      </c>
      <c r="HQ6" s="123">
        <f>IF(OR(HQ$4="",$B6=""),0,SUMIF('DADOS BRUTOS'!$A$3:$A$500,$B6,'DADOS BRUTOS'!EQ$3:EQ$500)+IF($C6="",0,SUMIF('DADOS BRUTOS'!$A$3:$A$500,$C6,'DADOS BRUTOS'!EQ$3:EQ$500)))</f>
        <v/>
      </c>
      <c r="HR6" s="123">
        <f>IF(OR(HR$4="",$B6=""),0,SUMIF('DADOS BRUTOS'!$A$3:$A$500,$B6,'DADOS BRUTOS'!ER$3:ER$500)+IF($C6="",0,SUMIF('DADOS BRUTOS'!$A$3:$A$500,$C6,'DADOS BRUTOS'!ER$3:ER$500)))</f>
        <v/>
      </c>
      <c r="HS6" s="123">
        <f>IF(OR(HS$4="",$B6=""),0,SUMIF('DADOS BRUTOS'!$A$3:$A$500,$B6,'DADOS BRUTOS'!ES$3:ES$500)+IF($C6="",0,SUMIF('DADOS BRUTOS'!$A$3:$A$500,$C6,'DADOS BRUTOS'!ES$3:ES$500)))</f>
        <v/>
      </c>
      <c r="HT6" s="123">
        <f>IF(OR(HT$4="",$B6=""),0,SUMIF('DADOS BRUTOS'!$A$3:$A$500,$B6,'DADOS BRUTOS'!ET$3:ET$500)+IF($C6="",0,SUMIF('DADOS BRUTOS'!$A$3:$A$500,$C6,'DADOS BRUTOS'!ET$3:ET$500)))</f>
        <v/>
      </c>
      <c r="HU6" s="123">
        <f>IF(OR(HU$4="",$B6=""),0,SUMIF('DADOS BRUTOS'!$A$3:$A$500,$B6,'DADOS BRUTOS'!EU$3:EU$500)+IF($C6="",0,SUMIF('DADOS BRUTOS'!$A$3:$A$500,$C6,'DADOS BRUTOS'!EU$3:EU$500)))</f>
        <v/>
      </c>
      <c r="HV6" s="123">
        <f>IF(OR(HV$4="",$B6=""),0,SUMIF('DADOS BRUTOS'!$A$3:$A$500,$B6,'DADOS BRUTOS'!EV$3:EV$500)+IF($C6="",0,SUMIF('DADOS BRUTOS'!$A$3:$A$500,$C6,'DADOS BRUTOS'!EV$3:EV$500)))</f>
        <v/>
      </c>
      <c r="HW6" s="123">
        <f>IF(OR(HW$4="",$B6=""),0,SUMIF('DADOS BRUTOS'!$A$3:$A$500,$B6,'DADOS BRUTOS'!EW$3:EW$500)+IF($C6="",0,SUMIF('DADOS BRUTOS'!$A$3:$A$500,$C6,'DADOS BRUTOS'!EW$3:EW$500)))</f>
        <v/>
      </c>
      <c r="HX6" s="123">
        <f>IF(OR(HX$4="",$B6=""),0,SUMIF('DADOS BRUTOS'!$A$3:$A$500,$B6,'DADOS BRUTOS'!EX$3:EX$500)+IF($C6="",0,SUMIF('DADOS BRUTOS'!$A$3:$A$500,$C6,'DADOS BRUTOS'!EX$3:EX$500)))</f>
        <v/>
      </c>
      <c r="HY6" s="123">
        <f>IF(OR(HY$4="",$B6=""),0,SUMIF('DADOS BRUTOS'!$A$3:$A$500,$B6,'DADOS BRUTOS'!EY$3:EY$500)+IF($C6="",0,SUMIF('DADOS BRUTOS'!$A$3:$A$500,$C6,'DADOS BRUTOS'!EY$3:EY$500)))</f>
        <v/>
      </c>
      <c r="HZ6" s="123">
        <f>IF(OR(HZ$4="",$B6=""),0,SUMIF('DADOS BRUTOS'!$A$3:$A$500,$B6,'DADOS BRUTOS'!EZ$3:EZ$500)+IF($C6="",0,SUMIF('DADOS BRUTOS'!$A$3:$A$500,$C6,'DADOS BRUTOS'!EZ$3:EZ$500)))</f>
        <v/>
      </c>
      <c r="IA6" s="123">
        <f>IF(OR(IA$4="",$B6=""),0,SUMIF('DADOS BRUTOS'!$A$3:$A$500,$B6,'DADOS BRUTOS'!FA$3:FA$500)+IF($C6="",0,SUMIF('DADOS BRUTOS'!$A$3:$A$500,$C6,'DADOS BRUTOS'!FA$3:FA$500)))</f>
        <v/>
      </c>
      <c r="IB6" s="123">
        <f>IF(OR(IB$4="",$B6=""),0,SUMIF('DADOS BRUTOS'!$A$3:$A$500,$B6,'DADOS BRUTOS'!FB$3:FB$500)+IF($C6="",0,SUMIF('DADOS BRUTOS'!$A$3:$A$500,$C6,'DADOS BRUTOS'!FB$3:FB$500)))</f>
        <v/>
      </c>
      <c r="IC6" s="123">
        <f>IF(OR(IC$4="",$B6=""),0,SUMIF('DADOS BRUTOS'!$A$3:$A$500,$B6,'DADOS BRUTOS'!FC$3:FC$500)+IF($C6="",0,SUMIF('DADOS BRUTOS'!$A$3:$A$500,$C6,'DADOS BRUTOS'!FC$3:FC$500)))</f>
        <v/>
      </c>
      <c r="ID6" s="123">
        <f>IF(OR(ID$4="",$B6=""),0,SUMIF('DADOS BRUTOS'!$A$3:$A$500,$B6,'DADOS BRUTOS'!FD$3:FD$500)+IF($C6="",0,SUMIF('DADOS BRUTOS'!$A$3:$A$500,$C6,'DADOS BRUTOS'!FD$3:FD$500)))</f>
        <v/>
      </c>
      <c r="IE6" s="123">
        <f>IF(OR(IE$4="",$B6=""),0,SUMIF('DADOS BRUTOS'!$A$3:$A$500,$B6,'DADOS BRUTOS'!FE$3:FE$500)+IF($C6="",0,SUMIF('DADOS BRUTOS'!$A$3:$A$500,$C6,'DADOS BRUTOS'!FE$3:FE$500)))</f>
        <v/>
      </c>
      <c r="IF6" s="123">
        <f>IF(OR(IF$4="",$B6=""),0,SUMIF('DADOS BRUTOS'!$A$3:$A$500,$B6,'DADOS BRUTOS'!FF$3:FF$500)+IF($C6="",0,SUMIF('DADOS BRUTOS'!$A$3:$A$500,$C6,'DADOS BRUTOS'!FF$3:FF$500)))</f>
        <v/>
      </c>
      <c r="IG6" s="123">
        <f>IF(OR(IG$4="",$B6=""),0,SUMIF('DADOS BRUTOS'!$A$3:$A$500,$B6,'DADOS BRUTOS'!FG$3:FG$500)+IF($C6="",0,SUMIF('DADOS BRUTOS'!$A$3:$A$500,$C6,'DADOS BRUTOS'!FG$3:FG$500)))</f>
        <v/>
      </c>
      <c r="IH6" s="123">
        <f>IF(OR(IH$4="",$B6=""),0,SUMIF('DADOS BRUTOS'!$A$3:$A$500,$B6,'DADOS BRUTOS'!FH$3:FH$500)+IF($C6="",0,SUMIF('DADOS BRUTOS'!$A$3:$A$500,$C6,'DADOS BRUTOS'!FH$3:FH$500)))</f>
        <v/>
      </c>
      <c r="II6" s="123">
        <f>IF(OR(II$4="",$B6=""),0,SUMIF('DADOS BRUTOS'!$A$3:$A$500,$B6,'DADOS BRUTOS'!FI$3:FI$500)+IF($C6="",0,SUMIF('DADOS BRUTOS'!$A$3:$A$500,$C6,'DADOS BRUTOS'!FI$3:FI$500)))</f>
        <v/>
      </c>
      <c r="IJ6" s="123">
        <f>IF(OR(IJ$4="",$B6=""),0,SUMIF('DADOS BRUTOS'!$A$3:$A$500,$B6,'DADOS BRUTOS'!FJ$3:FJ$500)+IF($C6="",0,SUMIF('DADOS BRUTOS'!$A$3:$A$500,$C6,'DADOS BRUTOS'!FJ$3:FJ$500)))</f>
        <v/>
      </c>
      <c r="IK6" s="123">
        <f>IF(OR(IK$4="",$B6=""),0,SUMIF('DADOS BRUTOS'!$A$3:$A$500,$B6,'DADOS BRUTOS'!FK$3:FK$500)+IF($C6="",0,SUMIF('DADOS BRUTOS'!$A$3:$A$500,$C6,'DADOS BRUTOS'!FK$3:FK$500)))</f>
        <v/>
      </c>
      <c r="IL6" s="123">
        <f>IF(OR(IL$4="",$B6=""),0,SUMIF('DADOS BRUTOS'!$A$3:$A$500,$B6,'DADOS BRUTOS'!FL$3:FL$500)+IF($C6="",0,SUMIF('DADOS BRUTOS'!$A$3:$A$500,$C6,'DADOS BRUTOS'!FL$3:FL$500)))</f>
        <v/>
      </c>
      <c r="IM6" s="123">
        <f>IF(OR(IM$4="",$B6=""),0,SUMIF('DADOS BRUTOS'!$A$3:$A$500,$B6,'DADOS BRUTOS'!FM$3:FM$500)+IF($C6="",0,SUMIF('DADOS BRUTOS'!$A$3:$A$500,$C6,'DADOS BRUTOS'!FM$3:FM$500)))</f>
        <v/>
      </c>
      <c r="IN6" s="123">
        <f>IF(OR(IN$4="",$B6=""),0,SUMIF('DADOS BRUTOS'!$A$3:$A$500,$B6,'DADOS BRUTOS'!FN$3:FN$500)+IF($C6="",0,SUMIF('DADOS BRUTOS'!$A$3:$A$500,$C6,'DADOS BRUTOS'!FN$3:FN$500)))</f>
        <v/>
      </c>
      <c r="IO6" s="123">
        <f>IF(OR(IO$4="",$B6=""),0,SUMIF('DADOS BRUTOS'!$A$3:$A$500,$B6,'DADOS BRUTOS'!FO$3:FO$500)+IF($C6="",0,SUMIF('DADOS BRUTOS'!$A$3:$A$500,$C6,'DADOS BRUTOS'!FO$3:FO$500)))</f>
        <v/>
      </c>
      <c r="IP6" s="123">
        <f>IF(OR(IP$4="",$B6=""),0,SUMIF('DADOS BRUTOS'!$A$3:$A$500,$B6,'DADOS BRUTOS'!FP$3:FP$500)+IF($C6="",0,SUMIF('DADOS BRUTOS'!$A$3:$A$500,$C6,'DADOS BRUTOS'!FP$3:FP$500)))</f>
        <v/>
      </c>
      <c r="IQ6" s="123">
        <f>IF(OR(IQ$4="",$B6=""),0,SUMIF('DADOS BRUTOS'!$A$3:$A$500,$B6,'DADOS BRUTOS'!FQ$3:FQ$500)+IF($C6="",0,SUMIF('DADOS BRUTOS'!$A$3:$A$500,$C6,'DADOS BRUTOS'!FQ$3:FQ$500)))</f>
        <v/>
      </c>
      <c r="IR6" s="123">
        <f>IF(OR(IR$4="",$B6=""),0,SUMIF('DADOS BRUTOS'!$A$3:$A$500,$B6,'DADOS BRUTOS'!FR$3:FR$500)+IF($C6="",0,SUMIF('DADOS BRUTOS'!$A$3:$A$500,$C6,'DADOS BRUTOS'!FR$3:FR$500)))</f>
        <v/>
      </c>
      <c r="IS6" s="123">
        <f>IF(OR(IS$4="",$B6=""),0,SUMIF('DADOS BRUTOS'!$A$3:$A$500,$B6,'DADOS BRUTOS'!FS$3:FS$500)+IF($C6="",0,SUMIF('DADOS BRUTOS'!$A$3:$A$500,$C6,'DADOS BRUTOS'!FS$3:FS$500)))</f>
        <v/>
      </c>
      <c r="IT6" s="123">
        <f>IF(OR(IT$4="",$B6=""),0,SUMIF('DADOS BRUTOS'!$A$3:$A$500,$B6,'DADOS BRUTOS'!FT$3:FT$500)+IF($C6="",0,SUMIF('DADOS BRUTOS'!$A$3:$A$500,$C6,'DADOS BRUTOS'!FT$3:FT$500)))</f>
        <v/>
      </c>
      <c r="IU6" s="123">
        <f>IF(OR(IU$4="",$B6=""),0,SUMIF('DADOS BRUTOS'!$A$3:$A$500,$B6,'DADOS BRUTOS'!FU$3:FU$500)+IF($C6="",0,SUMIF('DADOS BRUTOS'!$A$3:$A$500,$C6,'DADOS BRUTOS'!FU$3:FU$500)))</f>
        <v/>
      </c>
      <c r="IV6" s="123">
        <f>IF(OR(IV$4="",$B6=""),0,SUMIF('DADOS BRUTOS'!$A$3:$A$500,$B6,'DADOS BRUTOS'!FV$3:FV$500)+IF($C6="",0,SUMIF('DADOS BRUTOS'!$A$3:$A$500,$C6,'DADOS BRUTOS'!FV$3:FV$500)))</f>
        <v/>
      </c>
      <c r="IW6" s="123">
        <f>IF(OR(IW$4="",$B6=""),0,SUMIF('DADOS BRUTOS'!$A$3:$A$500,$B6,'DADOS BRUTOS'!FW$3:FW$500)+IF($C6="",0,SUMIF('DADOS BRUTOS'!$A$3:$A$500,$C6,'DADOS BRUTOS'!FW$3:FW$500)))</f>
        <v/>
      </c>
      <c r="IX6" s="123">
        <f>IF(OR(IX$4="",$B6=""),0,SUMIF('DADOS BRUTOS'!$A$3:$A$500,$B6,'DADOS BRUTOS'!FX$3:FX$500)+IF($C6="",0,SUMIF('DADOS BRUTOS'!$A$3:$A$500,$C6,'DADOS BRUTOS'!FX$3:FX$500)))</f>
        <v/>
      </c>
      <c r="IY6" s="123">
        <f>IF(OR(IY$4="",$B6=""),0,SUMIF('DADOS BRUTOS'!$A$3:$A$500,$B6,'DADOS BRUTOS'!FY$3:FY$500)+IF($C6="",0,SUMIF('DADOS BRUTOS'!$A$3:$A$500,$C6,'DADOS BRUTOS'!FY$3:FY$500)))</f>
        <v/>
      </c>
      <c r="IZ6" s="123">
        <f>IF(OR(IZ$4="",$B6=""),0,SUMIF('DADOS BRUTOS'!$A$3:$A$500,$B6,'DADOS BRUTOS'!FZ$3:FZ$500)+IF($C6="",0,SUMIF('DADOS BRUTOS'!$A$3:$A$500,$C6,'DADOS BRUTOS'!FZ$3:FZ$500)))</f>
        <v/>
      </c>
      <c r="JA6" s="123">
        <f>IF(OR(JA$4="",$B6=""),0,SUMIF('DADOS BRUTOS'!$A$3:$A$500,$B6,'DADOS BRUTOS'!GA$3:GA$500)+IF($C6="",0,SUMIF('DADOS BRUTOS'!$A$3:$A$500,$C6,'DADOS BRUTOS'!GA$3:GA$500)))</f>
        <v/>
      </c>
      <c r="JB6" s="123">
        <f>IF(OR(JB$4="",$B6=""),0,SUMIF('DADOS BRUTOS'!$A$3:$A$500,$B6,'DADOS BRUTOS'!GB$3:GB$500)+IF($C6="",0,SUMIF('DADOS BRUTOS'!$A$3:$A$500,$C6,'DADOS BRUTOS'!GB$3:GB$500)))</f>
        <v/>
      </c>
      <c r="JC6" s="123">
        <f>IF(OR(JC$4="",$B6=""),0,SUMIF('DADOS BRUTOS'!$A$3:$A$500,$B6,'DADOS BRUTOS'!GC$3:GC$500)+IF($C6="",0,SUMIF('DADOS BRUTOS'!$A$3:$A$500,$C6,'DADOS BRUTOS'!GC$3:GC$500)))</f>
        <v/>
      </c>
      <c r="JD6" s="123">
        <f>IF(OR(JD$4="",$B6=""),0,SUMIF('DADOS BRUTOS'!$A$3:$A$500,$B6,'DADOS BRUTOS'!GD$3:GD$500)+IF($C6="",0,SUMIF('DADOS BRUTOS'!$A$3:$A$500,$C6,'DADOS BRUTOS'!GD$3:GD$500)))</f>
        <v/>
      </c>
      <c r="JE6" s="123">
        <f>IF(OR(JE$4="",$B6=""),0,SUMIF('DADOS BRUTOS'!$A$3:$A$500,$B6,'DADOS BRUTOS'!GE$3:GE$500)+IF($C6="",0,SUMIF('DADOS BRUTOS'!$A$3:$A$500,$C6,'DADOS BRUTOS'!GE$3:GE$500)))</f>
        <v/>
      </c>
      <c r="JF6" s="123">
        <f>IF(OR(JF$4="",$B6=""),0,SUMIF('DADOS BRUTOS'!$A$3:$A$500,$B6,'DADOS BRUTOS'!GF$3:GF$500)+IF($C6="",0,SUMIF('DADOS BRUTOS'!$A$3:$A$500,$C6,'DADOS BRUTOS'!GF$3:GF$500)))</f>
        <v/>
      </c>
      <c r="JG6" s="123">
        <f>IF(OR(JG$4="",$B6=""),0,SUMIF('DADOS BRUTOS'!$A$3:$A$500,$B6,'DADOS BRUTOS'!GG$3:GG$500)+IF($C6="",0,SUMIF('DADOS BRUTOS'!$A$3:$A$500,$C6,'DADOS BRUTOS'!GG$3:GG$500)))</f>
        <v/>
      </c>
      <c r="JH6" s="123">
        <f>IF(OR(JH$4="",$B6=""),0,SUMIF('DADOS BRUTOS'!$A$3:$A$500,$B6,'DADOS BRUTOS'!GH$3:GH$500)+IF($C6="",0,SUMIF('DADOS BRUTOS'!$A$3:$A$500,$C6,'DADOS BRUTOS'!GH$3:GH$500)))</f>
        <v/>
      </c>
      <c r="JI6" s="123">
        <f>IF(OR(JI$4="",$B6=""),0,SUMIF('DADOS BRUTOS'!$A$3:$A$500,$B6,'DADOS BRUTOS'!GI$3:GI$500)+IF($C6="",0,SUMIF('DADOS BRUTOS'!$A$3:$A$500,$C6,'DADOS BRUTOS'!GI$3:GI$500)))</f>
        <v/>
      </c>
      <c r="JJ6" s="123">
        <f>IF(OR(JJ$4="",$B6=""),0,SUMIF('DADOS BRUTOS'!$A$3:$A$500,$B6,'DADOS BRUTOS'!GJ$3:GJ$500)+IF($C6="",0,SUMIF('DADOS BRUTOS'!$A$3:$A$500,$C6,'DADOS BRUTOS'!GJ$3:GJ$500)))</f>
        <v/>
      </c>
      <c r="JK6" s="123">
        <f>IF(OR(JK$4="",$B6=""),0,SUMIF('DADOS BRUTOS'!$A$3:$A$500,$B6,'DADOS BRUTOS'!GK$3:GK$500)+IF($C6="",0,SUMIF('DADOS BRUTOS'!$A$3:$A$500,$C6,'DADOS BRUTOS'!GK$3:GK$500)))</f>
        <v/>
      </c>
      <c r="JL6" s="123">
        <f>IF(OR(JL$4="",$B6=""),0,SUMIF('DADOS BRUTOS'!$A$3:$A$500,$B6,'DADOS BRUTOS'!GL$3:GL$500)+IF($C6="",0,SUMIF('DADOS BRUTOS'!$A$3:$A$500,$C6,'DADOS BRUTOS'!GL$3:GL$500)))</f>
        <v/>
      </c>
      <c r="JM6" s="123">
        <f>IF(OR(JM$4="",$B6=""),0,SUMIF('DADOS BRUTOS'!$A$3:$A$500,$B6,'DADOS BRUTOS'!GM$3:GM$500)+IF($C6="",0,SUMIF('DADOS BRUTOS'!$A$3:$A$500,$C6,'DADOS BRUTOS'!GM$3:GM$500)))</f>
        <v/>
      </c>
      <c r="JN6" s="123">
        <f>IF(OR(JN$4="",$B6=""),0,SUMIF('DADOS BRUTOS'!$A$3:$A$500,$B6,'DADOS BRUTOS'!GN$3:GN$500)+IF($C6="",0,SUMIF('DADOS BRUTOS'!$A$3:$A$500,$C6,'DADOS BRUTOS'!GN$3:GN$500)))</f>
        <v/>
      </c>
      <c r="JO6" s="123">
        <f>IF(OR(JO$4="",$B6=""),0,SUMIF('DADOS BRUTOS'!$A$3:$A$500,$B6,'DADOS BRUTOS'!GO$3:GO$500)+IF($C6="",0,SUMIF('DADOS BRUTOS'!$A$3:$A$500,$C6,'DADOS BRUTOS'!GO$3:GO$500)))</f>
        <v/>
      </c>
      <c r="JP6" s="123">
        <f>IF(OR(JP$4="",$B6=""),0,SUMIF('DADOS BRUTOS'!$A$3:$A$500,$B6,'DADOS BRUTOS'!GP$3:GP$500)+IF($C6="",0,SUMIF('DADOS BRUTOS'!$A$3:$A$500,$C6,'DADOS BRUTOS'!GP$3:GP$500)))</f>
        <v/>
      </c>
      <c r="JQ6" s="123">
        <f>IF(OR(JQ$4="",$B6=""),0,SUMIF('DADOS BRUTOS'!$A$3:$A$500,$B6,'DADOS BRUTOS'!GQ$3:GQ$500)+IF($C6="",0,SUMIF('DADOS BRUTOS'!$A$3:$A$500,$C6,'DADOS BRUTOS'!GQ$3:GQ$500)))</f>
        <v/>
      </c>
      <c r="JR6" s="123">
        <f>IF(OR(JR$4="",$B6=""),0,SUMIF('DADOS BRUTOS'!$A$3:$A$500,$B6,'DADOS BRUTOS'!GR$3:GR$500)+IF($C6="",0,SUMIF('DADOS BRUTOS'!$A$3:$A$500,$C6,'DADOS BRUTOS'!GR$3:GR$500)))</f>
        <v/>
      </c>
      <c r="JS6" s="123">
        <f>IF(OR(JS$4="",$B6=""),0,SUMIF('DADOS BRUTOS'!$A$3:$A$500,$B6,'DADOS BRUTOS'!GS$3:GS$500)+IF($C6="",0,SUMIF('DADOS BRUTOS'!$A$3:$A$500,$C6,'DADOS BRUTOS'!GS$3:GS$500)))</f>
        <v/>
      </c>
    </row>
    <row r="7">
      <c r="A7" s="61">
        <f>'VALOR POR PL'!D13</f>
        <v/>
      </c>
      <c r="B7" s="60" t="inlineStr">
        <is>
          <t>TAXAS DIVERSAS</t>
        </is>
      </c>
      <c r="C7" s="60" t="n"/>
      <c r="D7" s="55">
        <f>SUMIF($CB$4:$JS$4,"&lt;="&amp;D$4,$CB7:$JS7)</f>
        <v/>
      </c>
      <c r="E7" s="55">
        <f>SUMIF($CB$4:$JS$4,E$4,$CB7:$JS7)</f>
        <v/>
      </c>
      <c r="F7" s="55">
        <f>SUMIF($CB$4:$JS$4,F$4,$CB7:$JS7)</f>
        <v/>
      </c>
      <c r="G7" s="55">
        <f>SUMIF($CB$4:$JS$4,G$4,$CB7:$JS7)</f>
        <v/>
      </c>
      <c r="H7" s="55">
        <f>SUMIF($CB$4:$JS$4,H$4,$CB7:$JS7)</f>
        <v/>
      </c>
      <c r="I7" s="55">
        <f>SUMIF($CB$4:$JS$4,I$4,$CB7:$JS7)</f>
        <v/>
      </c>
      <c r="J7" s="55">
        <f>SUMIF($CB$4:$JS$4,J$4,$CB7:$JS7)</f>
        <v/>
      </c>
      <c r="K7" s="55">
        <f>SUMIF($CB$4:$JS$4,K$4,$CB7:$JS7)</f>
        <v/>
      </c>
      <c r="L7" s="55">
        <f>SUMIF($CB$4:$JS$4,L$4,$CB7:$JS7)</f>
        <v/>
      </c>
      <c r="M7" s="55">
        <f>SUMIF($CB$4:$JS$4,M$4,$CB7:$JS7)</f>
        <v/>
      </c>
      <c r="N7" s="55">
        <f>SUMIF($CB$4:$JS$4,N$4,$CB7:$JS7)</f>
        <v/>
      </c>
      <c r="O7" s="55">
        <f>SUMIF($CB$4:$JS$4,O$4,$CB7:$JS7)</f>
        <v/>
      </c>
      <c r="P7" s="55">
        <f>SUMIF($CB$4:$JS$4,P$4,$CB7:$JS7)</f>
        <v/>
      </c>
      <c r="Q7" s="55">
        <f>SUMIF($CB$4:$JS$4,Q$4,$CB7:$JS7)</f>
        <v/>
      </c>
      <c r="R7" s="55">
        <f>SUMIF($CB$4:$JS$4,R$4,$CB7:$JS7)</f>
        <v/>
      </c>
      <c r="S7" s="55">
        <f>SUMIF($CB$4:$JS$4,S$4,$CB7:$JS7)</f>
        <v/>
      </c>
      <c r="T7" s="55">
        <f>SUMIF($CB$4:$JS$4,T$4,$CB7:$JS7)</f>
        <v/>
      </c>
      <c r="U7" s="55">
        <f>SUMIF($CB$4:$JS$4,U$4,$CB7:$JS7)</f>
        <v/>
      </c>
      <c r="V7" s="55">
        <f>SUMIF($CB$4:$JS$4,V$4,$CB7:$JS7)</f>
        <v/>
      </c>
      <c r="W7" s="55">
        <f>SUMIF($CB$4:$JS$4,W$4,$CB7:$JS7)</f>
        <v/>
      </c>
      <c r="X7" s="55">
        <f>SUMIF($CB$4:$JS$4,X$4,$CB7:$JS7)</f>
        <v/>
      </c>
      <c r="Y7" s="55">
        <f>SUMIF($CB$4:$JS$4,Y$4,$CB7:$JS7)</f>
        <v/>
      </c>
      <c r="Z7" s="55">
        <f>SUMIF($CB$4:$JS$4,Z$4,$CB7:$JS7)</f>
        <v/>
      </c>
      <c r="AA7" s="55">
        <f>SUMIF($CB$4:$JS$4,AA$4,$CB7:$JS7)</f>
        <v/>
      </c>
      <c r="AB7" s="55">
        <f>SUMIF($CB$4:$JS$4,AB$4,$CB7:$JS7)</f>
        <v/>
      </c>
      <c r="AC7" s="55">
        <f>SUMIF($CB$4:$JS$4,AC$4,$CB7:$JS7)</f>
        <v/>
      </c>
      <c r="AD7" s="55">
        <f>SUMIF($CB$4:$JS$4,AD$4,$CB7:$JS7)</f>
        <v/>
      </c>
      <c r="AE7" s="55">
        <f>SUMIF($CB$4:$JS$4,AE$4,$CB7:$JS7)</f>
        <v/>
      </c>
      <c r="AF7" s="55">
        <f>SUMIF($CB$4:$JS$4,AF$4,$CB7:$JS7)</f>
        <v/>
      </c>
      <c r="AG7" s="55">
        <f>SUMIF($CB$4:$JS$4,AG$4,$CB7:$JS7)</f>
        <v/>
      </c>
      <c r="AH7" s="55">
        <f>SUMIF($CB$4:$JS$4,AH$4,$CB7:$JS7)</f>
        <v/>
      </c>
      <c r="AI7" s="55">
        <f>SUMIF($CB$4:$JS$4,AI$4,$CB7:$JS7)</f>
        <v/>
      </c>
      <c r="AJ7" s="55">
        <f>SUMIF($CB$4:$JS$4,AJ$4,$CB7:$JS7)</f>
        <v/>
      </c>
      <c r="AK7" s="55">
        <f>SUMIF($CB$4:$JS$4,AK$4,$CB7:$JS7)</f>
        <v/>
      </c>
      <c r="AL7" s="55">
        <f>SUMIF($CB$4:$JS$4,AL$4,$CB7:$JS7)</f>
        <v/>
      </c>
      <c r="AM7" s="55">
        <f>SUMIF($CB$4:$JS$4,AM$4,$CB7:$JS7)</f>
        <v/>
      </c>
      <c r="AN7" s="55">
        <f>SUMIF($CB$4:$JS$4,AN$4,$CB7:$JS7)</f>
        <v/>
      </c>
      <c r="AO7" s="55">
        <f>SUMIF($CB$4:$JS$4,AO$4,$CB7:$JS7)</f>
        <v/>
      </c>
      <c r="AP7" s="55">
        <f>SUMIF($CB$4:$JS$4,AP$4,$CB7:$JS7)</f>
        <v/>
      </c>
      <c r="AQ7" s="55">
        <f>SUMIF($CB$4:$JS$4,AQ$4,$CB7:$JS7)</f>
        <v/>
      </c>
      <c r="AR7" s="55">
        <f>SUMIF($CB$4:$JS$4,AR$4,$CB7:$JS7)</f>
        <v/>
      </c>
      <c r="AS7" s="55">
        <f>SUMIF($CB$4:$JS$4,AS$4,$CB7:$JS7)</f>
        <v/>
      </c>
      <c r="AT7" s="55">
        <f>SUMIF($CB$4:$JS$4,AT$4,$CB7:$JS7)</f>
        <v/>
      </c>
      <c r="AU7" s="55">
        <f>SUMIF($CB$4:$JS$4,AU$4,$CB7:$JS7)</f>
        <v/>
      </c>
      <c r="AV7" s="55">
        <f>SUMIF($CB$4:$JS$4,AV$4,$CB7:$JS7)</f>
        <v/>
      </c>
      <c r="AW7" s="55">
        <f>SUMIF($CB$4:$JS$4,AW$4,$CB7:$JS7)</f>
        <v/>
      </c>
      <c r="AX7" s="55">
        <f>SUMIF($CB$4:$JS$4,AX$4,$CB7:$JS7)</f>
        <v/>
      </c>
      <c r="AY7" s="55">
        <f>SUMIF($CB$4:$JS$4,AY$4,$CB7:$JS7)</f>
        <v/>
      </c>
      <c r="AZ7" s="55">
        <f>SUMIF($CB$4:$JS$4,AZ$4,$CB7:$JS7)</f>
        <v/>
      </c>
      <c r="BA7" s="55">
        <f>SUMIF($CB$4:$JS$4,BA$4,$CB7:$JS7)</f>
        <v/>
      </c>
      <c r="BB7" s="55">
        <f>SUMIF($CB$4:$JS$4,BB$4,$CB7:$JS7)</f>
        <v/>
      </c>
      <c r="BC7" s="55">
        <f>SUMIF($CB$4:$JS$4,BC$4,$CB7:$JS7)</f>
        <v/>
      </c>
      <c r="BD7" s="55">
        <f>SUMIF($CB$4:$JS$4,BD$4,$CB7:$JS7)</f>
        <v/>
      </c>
      <c r="BE7" s="55">
        <f>SUMIF($CB$4:$JS$4,BE$4,$CB7:$JS7)</f>
        <v/>
      </c>
      <c r="BF7" s="55">
        <f>SUMIF($CB$4:$JS$4,BF$4,$CB7:$JS7)</f>
        <v/>
      </c>
      <c r="BG7" s="55">
        <f>SUMIF($CB$4:$JS$4,BG$4,$CB7:$JS7)</f>
        <v/>
      </c>
      <c r="BH7" s="55">
        <f>SUMIF($CB$4:$JS$4,BH$4,$CB7:$JS7)</f>
        <v/>
      </c>
      <c r="BI7" s="55">
        <f>SUMIF($CB$4:$JS$4,BI$4,$CB7:$JS7)</f>
        <v/>
      </c>
      <c r="BJ7" s="55">
        <f>SUMIF($CB$4:$JS$4,BJ$4,$CB7:$JS7)</f>
        <v/>
      </c>
      <c r="BK7" s="55">
        <f>SUMIF($CB$4:$JS$4,BK$4,$CB7:$JS7)</f>
        <v/>
      </c>
      <c r="BL7" s="55">
        <f>SUMIF($CB$4:$JS$4,BL$4,$CB7:$JS7)</f>
        <v/>
      </c>
      <c r="BM7" s="55">
        <f>SUMIF($CB$4:$JS$4,BM$4,$CB7:$JS7)</f>
        <v/>
      </c>
      <c r="BN7" s="55">
        <f>SUMIF($CB$4:$JS$4,BN$4,$CB7:$JS7)</f>
        <v/>
      </c>
      <c r="BO7" s="55">
        <f>SUMIF($CB$4:$JS$4,BO$4,$CB7:$JS7)</f>
        <v/>
      </c>
      <c r="BP7" s="55">
        <f>SUMIF($CB$4:$JS$4,BP$4,$CB7:$JS7)</f>
        <v/>
      </c>
      <c r="BQ7" s="55">
        <f>SUMIF($CB$4:$JS$4,BQ$4,$CB7:$JS7)</f>
        <v/>
      </c>
      <c r="BR7" s="55">
        <f>SUMIF($CB$4:$JS$4,BR$4,$CB7:$JS7)</f>
        <v/>
      </c>
      <c r="BS7" s="55">
        <f>SUMIF($CB$4:$JS$4,BS$4,$CB7:$JS7)</f>
        <v/>
      </c>
      <c r="BT7" s="55">
        <f>SUMIF($CB$4:$JS$4,BT$4,$CB7:$JS7)</f>
        <v/>
      </c>
      <c r="BU7" s="55">
        <f>SUMIF($CB$4:$JS$4,BU$4,$CB7:$JS7)</f>
        <v/>
      </c>
      <c r="BV7" s="55">
        <f>SUMIF($CB$4:$JS$4,BV$4,$CB7:$JS7)</f>
        <v/>
      </c>
      <c r="BW7" s="55">
        <f>SUMIF($CB$4:$JS$4,BW$4,$CB7:$JS7)</f>
        <v/>
      </c>
      <c r="BX7" s="55">
        <f>SUMIF($CB$4:$JS$4,"&gt;"&amp;'VALOR POR PL'!$P$8,$CB7:$JS7)</f>
        <v/>
      </c>
      <c r="BY7" s="55">
        <f>SUM($CB7:$JS7)</f>
        <v/>
      </c>
      <c r="CB7" s="123">
        <f>IF(OR(CB$4="",$B7=""),0,SUMIF('DADOS BRUTOS'!$A$3:$A$500,$B7,'DADOS BRUTOS'!B$3:B$500)+IF($C7="",0,SUMIF('DADOS BRUTOS'!$A$3:$A$500,$C7,'DADOS BRUTOS'!B$3:B$500)))</f>
        <v/>
      </c>
      <c r="CC7" s="123">
        <f>IF(OR(CC$4="",$B7=""),0,SUMIF('DADOS BRUTOS'!$A$3:$A$500,$B7,'DADOS BRUTOS'!C$3:C$500)+IF($C7="",0,SUMIF('DADOS BRUTOS'!$A$3:$A$500,$C7,'DADOS BRUTOS'!C$3:C$500)))</f>
        <v/>
      </c>
      <c r="CD7" s="123">
        <f>IF(OR(CD$4="",$B7=""),0,SUMIF('DADOS BRUTOS'!$A$3:$A$500,$B7,'DADOS BRUTOS'!D$3:D$500)+IF($C7="",0,SUMIF('DADOS BRUTOS'!$A$3:$A$500,$C7,'DADOS BRUTOS'!D$3:D$500)))</f>
        <v/>
      </c>
      <c r="CE7" s="123">
        <f>IF(OR(CE$4="",$B7=""),0,SUMIF('DADOS BRUTOS'!$A$3:$A$500,$B7,'DADOS BRUTOS'!E$3:E$500)+IF($C7="",0,SUMIF('DADOS BRUTOS'!$A$3:$A$500,$C7,'DADOS BRUTOS'!E$3:E$500)))</f>
        <v/>
      </c>
      <c r="CF7" s="123">
        <f>IF(OR(CF$4="",$B7=""),0,SUMIF('DADOS BRUTOS'!$A$3:$A$500,$B7,'DADOS BRUTOS'!F$3:F$500)+IF($C7="",0,SUMIF('DADOS BRUTOS'!$A$3:$A$500,$C7,'DADOS BRUTOS'!F$3:F$500)))</f>
        <v/>
      </c>
      <c r="CG7" s="123">
        <f>IF(OR(CG$4="",$B7=""),0,SUMIF('DADOS BRUTOS'!$A$3:$A$500,$B7,'DADOS BRUTOS'!G$3:G$500)+IF($C7="",0,SUMIF('DADOS BRUTOS'!$A$3:$A$500,$C7,'DADOS BRUTOS'!G$3:G$500)))</f>
        <v/>
      </c>
      <c r="CH7" s="123">
        <f>IF(OR(CH$4="",$B7=""),0,SUMIF('DADOS BRUTOS'!$A$3:$A$500,$B7,'DADOS BRUTOS'!H$3:H$500)+IF($C7="",0,SUMIF('DADOS BRUTOS'!$A$3:$A$500,$C7,'DADOS BRUTOS'!H$3:H$500)))</f>
        <v/>
      </c>
      <c r="CI7" s="123">
        <f>IF(OR(CI$4="",$B7=""),0,SUMIF('DADOS BRUTOS'!$A$3:$A$500,$B7,'DADOS BRUTOS'!I$3:I$500)+IF($C7="",0,SUMIF('DADOS BRUTOS'!$A$3:$A$500,$C7,'DADOS BRUTOS'!I$3:I$500)))</f>
        <v/>
      </c>
      <c r="CJ7" s="123">
        <f>IF(OR(CJ$4="",$B7=""),0,SUMIF('DADOS BRUTOS'!$A$3:$A$500,$B7,'DADOS BRUTOS'!J$3:J$500)+IF($C7="",0,SUMIF('DADOS BRUTOS'!$A$3:$A$500,$C7,'DADOS BRUTOS'!J$3:J$500)))</f>
        <v/>
      </c>
      <c r="CK7" s="123">
        <f>IF(OR(CK$4="",$B7=""),0,SUMIF('DADOS BRUTOS'!$A$3:$A$500,$B7,'DADOS BRUTOS'!K$3:K$500)+IF($C7="",0,SUMIF('DADOS BRUTOS'!$A$3:$A$500,$C7,'DADOS BRUTOS'!K$3:K$500)))</f>
        <v/>
      </c>
      <c r="CL7" s="123">
        <f>IF(OR(CL$4="",$B7=""),0,SUMIF('DADOS BRUTOS'!$A$3:$A$500,$B7,'DADOS BRUTOS'!L$3:L$500)+IF($C7="",0,SUMIF('DADOS BRUTOS'!$A$3:$A$500,$C7,'DADOS BRUTOS'!L$3:L$500)))</f>
        <v/>
      </c>
      <c r="CM7" s="123">
        <f>IF(OR(CM$4="",$B7=""),0,SUMIF('DADOS BRUTOS'!$A$3:$A$500,$B7,'DADOS BRUTOS'!M$3:M$500)+IF($C7="",0,SUMIF('DADOS BRUTOS'!$A$3:$A$500,$C7,'DADOS BRUTOS'!M$3:M$500)))</f>
        <v/>
      </c>
      <c r="CN7" s="123">
        <f>IF(OR(CN$4="",$B7=""),0,SUMIF('DADOS BRUTOS'!$A$3:$A$500,$B7,'DADOS BRUTOS'!N$3:N$500)+IF($C7="",0,SUMIF('DADOS BRUTOS'!$A$3:$A$500,$C7,'DADOS BRUTOS'!N$3:N$500)))</f>
        <v/>
      </c>
      <c r="CO7" s="123">
        <f>IF(OR(CO$4="",$B7=""),0,SUMIF('DADOS BRUTOS'!$A$3:$A$500,$B7,'DADOS BRUTOS'!O$3:O$500)+IF($C7="",0,SUMIF('DADOS BRUTOS'!$A$3:$A$500,$C7,'DADOS BRUTOS'!O$3:O$500)))</f>
        <v/>
      </c>
      <c r="CP7" s="123">
        <f>IF(OR(CP$4="",$B7=""),0,SUMIF('DADOS BRUTOS'!$A$3:$A$500,$B7,'DADOS BRUTOS'!P$3:P$500)+IF($C7="",0,SUMIF('DADOS BRUTOS'!$A$3:$A$500,$C7,'DADOS BRUTOS'!P$3:P$500)))</f>
        <v/>
      </c>
      <c r="CQ7" s="123">
        <f>IF(OR(CQ$4="",$B7=""),0,SUMIF('DADOS BRUTOS'!$A$3:$A$500,$B7,'DADOS BRUTOS'!Q$3:Q$500)+IF($C7="",0,SUMIF('DADOS BRUTOS'!$A$3:$A$500,$C7,'DADOS BRUTOS'!Q$3:Q$500)))</f>
        <v/>
      </c>
      <c r="CR7" s="123">
        <f>IF(OR(CR$4="",$B7=""),0,SUMIF('DADOS BRUTOS'!$A$3:$A$500,$B7,'DADOS BRUTOS'!R$3:R$500)+IF($C7="",0,SUMIF('DADOS BRUTOS'!$A$3:$A$500,$C7,'DADOS BRUTOS'!R$3:R$500)))</f>
        <v/>
      </c>
      <c r="CS7" s="123">
        <f>IF(OR(CS$4="",$B7=""),0,SUMIF('DADOS BRUTOS'!$A$3:$A$500,$B7,'DADOS BRUTOS'!S$3:S$500)+IF($C7="",0,SUMIF('DADOS BRUTOS'!$A$3:$A$500,$C7,'DADOS BRUTOS'!S$3:S$500)))</f>
        <v/>
      </c>
      <c r="CT7" s="123">
        <f>IF(OR(CT$4="",$B7=""),0,SUMIF('DADOS BRUTOS'!$A$3:$A$500,$B7,'DADOS BRUTOS'!T$3:T$500)+IF($C7="",0,SUMIF('DADOS BRUTOS'!$A$3:$A$500,$C7,'DADOS BRUTOS'!T$3:T$500)))</f>
        <v/>
      </c>
      <c r="CU7" s="123">
        <f>IF(OR(CU$4="",$B7=""),0,SUMIF('DADOS BRUTOS'!$A$3:$A$500,$B7,'DADOS BRUTOS'!U$3:U$500)+IF($C7="",0,SUMIF('DADOS BRUTOS'!$A$3:$A$500,$C7,'DADOS BRUTOS'!U$3:U$500)))</f>
        <v/>
      </c>
      <c r="CV7" s="123">
        <f>IF(OR(CV$4="",$B7=""),0,SUMIF('DADOS BRUTOS'!$A$3:$A$500,$B7,'DADOS BRUTOS'!V$3:V$500)+IF($C7="",0,SUMIF('DADOS BRUTOS'!$A$3:$A$500,$C7,'DADOS BRUTOS'!V$3:V$500)))</f>
        <v/>
      </c>
      <c r="CW7" s="123">
        <f>IF(OR(CW$4="",$B7=""),0,SUMIF('DADOS BRUTOS'!$A$3:$A$500,$B7,'DADOS BRUTOS'!W$3:W$500)+IF($C7="",0,SUMIF('DADOS BRUTOS'!$A$3:$A$500,$C7,'DADOS BRUTOS'!W$3:W$500)))</f>
        <v/>
      </c>
      <c r="CX7" s="123">
        <f>IF(OR(CX$4="",$B7=""),0,SUMIF('DADOS BRUTOS'!$A$3:$A$500,$B7,'DADOS BRUTOS'!X$3:X$500)+IF($C7="",0,SUMIF('DADOS BRUTOS'!$A$3:$A$500,$C7,'DADOS BRUTOS'!X$3:X$500)))</f>
        <v/>
      </c>
      <c r="CY7" s="123">
        <f>IF(OR(CY$4="",$B7=""),0,SUMIF('DADOS BRUTOS'!$A$3:$A$500,$B7,'DADOS BRUTOS'!Y$3:Y$500)+IF($C7="",0,SUMIF('DADOS BRUTOS'!$A$3:$A$500,$C7,'DADOS BRUTOS'!Y$3:Y$500)))</f>
        <v/>
      </c>
      <c r="CZ7" s="123">
        <f>IF(OR(CZ$4="",$B7=""),0,SUMIF('DADOS BRUTOS'!$A$3:$A$500,$B7,'DADOS BRUTOS'!Z$3:Z$500)+IF($C7="",0,SUMIF('DADOS BRUTOS'!$A$3:$A$500,$C7,'DADOS BRUTOS'!Z$3:Z$500)))</f>
        <v/>
      </c>
      <c r="DA7" s="123">
        <f>IF(OR(DA$4="",$B7=""),0,SUMIF('DADOS BRUTOS'!$A$3:$A$500,$B7,'DADOS BRUTOS'!AA$3:AA$500)+IF($C7="",0,SUMIF('DADOS BRUTOS'!$A$3:$A$500,$C7,'DADOS BRUTOS'!AA$3:AA$500)))</f>
        <v/>
      </c>
      <c r="DB7" s="123">
        <f>IF(OR(DB$4="",$B7=""),0,SUMIF('DADOS BRUTOS'!$A$3:$A$500,$B7,'DADOS BRUTOS'!AB$3:AB$500)+IF($C7="",0,SUMIF('DADOS BRUTOS'!$A$3:$A$500,$C7,'DADOS BRUTOS'!AB$3:AB$500)))</f>
        <v/>
      </c>
      <c r="DC7" s="123">
        <f>IF(OR(DC$4="",$B7=""),0,SUMIF('DADOS BRUTOS'!$A$3:$A$500,$B7,'DADOS BRUTOS'!AC$3:AC$500)+IF($C7="",0,SUMIF('DADOS BRUTOS'!$A$3:$A$500,$C7,'DADOS BRUTOS'!AC$3:AC$500)))</f>
        <v/>
      </c>
      <c r="DD7" s="123">
        <f>IF(OR(DD$4="",$B7=""),0,SUMIF('DADOS BRUTOS'!$A$3:$A$500,$B7,'DADOS BRUTOS'!AD$3:AD$500)+IF($C7="",0,SUMIF('DADOS BRUTOS'!$A$3:$A$500,$C7,'DADOS BRUTOS'!AD$3:AD$500)))</f>
        <v/>
      </c>
      <c r="DE7" s="123">
        <f>IF(OR(DE$4="",$B7=""),0,SUMIF('DADOS BRUTOS'!$A$3:$A$500,$B7,'DADOS BRUTOS'!AE$3:AE$500)+IF($C7="",0,SUMIF('DADOS BRUTOS'!$A$3:$A$500,$C7,'DADOS BRUTOS'!AE$3:AE$500)))</f>
        <v/>
      </c>
      <c r="DF7" s="123">
        <f>IF(OR(DF$4="",$B7=""),0,SUMIF('DADOS BRUTOS'!$A$3:$A$500,$B7,'DADOS BRUTOS'!AF$3:AF$500)+IF($C7="",0,SUMIF('DADOS BRUTOS'!$A$3:$A$500,$C7,'DADOS BRUTOS'!AF$3:AF$500)))</f>
        <v/>
      </c>
      <c r="DG7" s="123">
        <f>IF(OR(DG$4="",$B7=""),0,SUMIF('DADOS BRUTOS'!$A$3:$A$500,$B7,'DADOS BRUTOS'!AG$3:AG$500)+IF($C7="",0,SUMIF('DADOS BRUTOS'!$A$3:$A$500,$C7,'DADOS BRUTOS'!AG$3:AG$500)))</f>
        <v/>
      </c>
      <c r="DH7" s="123">
        <f>IF(OR(DH$4="",$B7=""),0,SUMIF('DADOS BRUTOS'!$A$3:$A$500,$B7,'DADOS BRUTOS'!AH$3:AH$500)+IF($C7="",0,SUMIF('DADOS BRUTOS'!$A$3:$A$500,$C7,'DADOS BRUTOS'!AH$3:AH$500)))</f>
        <v/>
      </c>
      <c r="DI7" s="123">
        <f>IF(OR(DI$4="",$B7=""),0,SUMIF('DADOS BRUTOS'!$A$3:$A$500,$B7,'DADOS BRUTOS'!AI$3:AI$500)+IF($C7="",0,SUMIF('DADOS BRUTOS'!$A$3:$A$500,$C7,'DADOS BRUTOS'!AI$3:AI$500)))</f>
        <v/>
      </c>
      <c r="DJ7" s="123">
        <f>IF(OR(DJ$4="",$B7=""),0,SUMIF('DADOS BRUTOS'!$A$3:$A$500,$B7,'DADOS BRUTOS'!AJ$3:AJ$500)+IF($C7="",0,SUMIF('DADOS BRUTOS'!$A$3:$A$500,$C7,'DADOS BRUTOS'!AJ$3:AJ$500)))</f>
        <v/>
      </c>
      <c r="DK7" s="123">
        <f>IF(OR(DK$4="",$B7=""),0,SUMIF('DADOS BRUTOS'!$A$3:$A$500,$B7,'DADOS BRUTOS'!AK$3:AK$500)+IF($C7="",0,SUMIF('DADOS BRUTOS'!$A$3:$A$500,$C7,'DADOS BRUTOS'!AK$3:AK$500)))</f>
        <v/>
      </c>
      <c r="DL7" s="123">
        <f>IF(OR(DL$4="",$B7=""),0,SUMIF('DADOS BRUTOS'!$A$3:$A$500,$B7,'DADOS BRUTOS'!AL$3:AL$500)+IF($C7="",0,SUMIF('DADOS BRUTOS'!$A$3:$A$500,$C7,'DADOS BRUTOS'!AL$3:AL$500)))</f>
        <v/>
      </c>
      <c r="DM7" s="123">
        <f>IF(OR(DM$4="",$B7=""),0,SUMIF('DADOS BRUTOS'!$A$3:$A$500,$B7,'DADOS BRUTOS'!AM$3:AM$500)+IF($C7="",0,SUMIF('DADOS BRUTOS'!$A$3:$A$500,$C7,'DADOS BRUTOS'!AM$3:AM$500)))</f>
        <v/>
      </c>
      <c r="DN7" s="123">
        <f>IF(OR(DN$4="",$B7=""),0,SUMIF('DADOS BRUTOS'!$A$3:$A$500,$B7,'DADOS BRUTOS'!AN$3:AN$500)+IF($C7="",0,SUMIF('DADOS BRUTOS'!$A$3:$A$500,$C7,'DADOS BRUTOS'!AN$3:AN$500)))</f>
        <v/>
      </c>
      <c r="DO7" s="123">
        <f>IF(OR(DO$4="",$B7=""),0,SUMIF('DADOS BRUTOS'!$A$3:$A$500,$B7,'DADOS BRUTOS'!AO$3:AO$500)+IF($C7="",0,SUMIF('DADOS BRUTOS'!$A$3:$A$500,$C7,'DADOS BRUTOS'!AO$3:AO$500)))</f>
        <v/>
      </c>
      <c r="DP7" s="123">
        <f>IF(OR(DP$4="",$B7=""),0,SUMIF('DADOS BRUTOS'!$A$3:$A$500,$B7,'DADOS BRUTOS'!AP$3:AP$500)+IF($C7="",0,SUMIF('DADOS BRUTOS'!$A$3:$A$500,$C7,'DADOS BRUTOS'!AP$3:AP$500)))</f>
        <v/>
      </c>
      <c r="DQ7" s="123">
        <f>IF(OR(DQ$4="",$B7=""),0,SUMIF('DADOS BRUTOS'!$A$3:$A$500,$B7,'DADOS BRUTOS'!AQ$3:AQ$500)+IF($C7="",0,SUMIF('DADOS BRUTOS'!$A$3:$A$500,$C7,'DADOS BRUTOS'!AQ$3:AQ$500)))</f>
        <v/>
      </c>
      <c r="DR7" s="123">
        <f>IF(OR(DR$4="",$B7=""),0,SUMIF('DADOS BRUTOS'!$A$3:$A$500,$B7,'DADOS BRUTOS'!AR$3:AR$500)+IF($C7="",0,SUMIF('DADOS BRUTOS'!$A$3:$A$500,$C7,'DADOS BRUTOS'!AR$3:AR$500)))</f>
        <v/>
      </c>
      <c r="DS7" s="123">
        <f>IF(OR(DS$4="",$B7=""),0,SUMIF('DADOS BRUTOS'!$A$3:$A$500,$B7,'DADOS BRUTOS'!AS$3:AS$500)+IF($C7="",0,SUMIF('DADOS BRUTOS'!$A$3:$A$500,$C7,'DADOS BRUTOS'!AS$3:AS$500)))</f>
        <v/>
      </c>
      <c r="DT7" s="123">
        <f>IF(OR(DT$4="",$B7=""),0,SUMIF('DADOS BRUTOS'!$A$3:$A$500,$B7,'DADOS BRUTOS'!AT$3:AT$500)+IF($C7="",0,SUMIF('DADOS BRUTOS'!$A$3:$A$500,$C7,'DADOS BRUTOS'!AT$3:AT$500)))</f>
        <v/>
      </c>
      <c r="DU7" s="123">
        <f>IF(OR(DU$4="",$B7=""),0,SUMIF('DADOS BRUTOS'!$A$3:$A$500,$B7,'DADOS BRUTOS'!AU$3:AU$500)+IF($C7="",0,SUMIF('DADOS BRUTOS'!$A$3:$A$500,$C7,'DADOS BRUTOS'!AU$3:AU$500)))</f>
        <v/>
      </c>
      <c r="DV7" s="123">
        <f>IF(OR(DV$4="",$B7=""),0,SUMIF('DADOS BRUTOS'!$A$3:$A$500,$B7,'DADOS BRUTOS'!AV$3:AV$500)+IF($C7="",0,SUMIF('DADOS BRUTOS'!$A$3:$A$500,$C7,'DADOS BRUTOS'!AV$3:AV$500)))</f>
        <v/>
      </c>
      <c r="DW7" s="123">
        <f>IF(OR(DW$4="",$B7=""),0,SUMIF('DADOS BRUTOS'!$A$3:$A$500,$B7,'DADOS BRUTOS'!AW$3:AW$500)+IF($C7="",0,SUMIF('DADOS BRUTOS'!$A$3:$A$500,$C7,'DADOS BRUTOS'!AW$3:AW$500)))</f>
        <v/>
      </c>
      <c r="DX7" s="123">
        <f>IF(OR(DX$4="",$B7=""),0,SUMIF('DADOS BRUTOS'!$A$3:$A$500,$B7,'DADOS BRUTOS'!AX$3:AX$500)+IF($C7="",0,SUMIF('DADOS BRUTOS'!$A$3:$A$500,$C7,'DADOS BRUTOS'!AX$3:AX$500)))</f>
        <v/>
      </c>
      <c r="DY7" s="123">
        <f>IF(OR(DY$4="",$B7=""),0,SUMIF('DADOS BRUTOS'!$A$3:$A$500,$B7,'DADOS BRUTOS'!AY$3:AY$500)+IF($C7="",0,SUMIF('DADOS BRUTOS'!$A$3:$A$500,$C7,'DADOS BRUTOS'!AY$3:AY$500)))</f>
        <v/>
      </c>
      <c r="DZ7" s="123">
        <f>IF(OR(DZ$4="",$B7=""),0,SUMIF('DADOS BRUTOS'!$A$3:$A$500,$B7,'DADOS BRUTOS'!AZ$3:AZ$500)+IF($C7="",0,SUMIF('DADOS BRUTOS'!$A$3:$A$500,$C7,'DADOS BRUTOS'!AZ$3:AZ$500)))</f>
        <v/>
      </c>
      <c r="EA7" s="123">
        <f>IF(OR(EA$4="",$B7=""),0,SUMIF('DADOS BRUTOS'!$A$3:$A$500,$B7,'DADOS BRUTOS'!BA$3:BA$500)+IF($C7="",0,SUMIF('DADOS BRUTOS'!$A$3:$A$500,$C7,'DADOS BRUTOS'!BA$3:BA$500)))</f>
        <v/>
      </c>
      <c r="EB7" s="123">
        <f>IF(OR(EB$4="",$B7=""),0,SUMIF('DADOS BRUTOS'!$A$3:$A$500,$B7,'DADOS BRUTOS'!BB$3:BB$500)+IF($C7="",0,SUMIF('DADOS BRUTOS'!$A$3:$A$500,$C7,'DADOS BRUTOS'!BB$3:BB$500)))</f>
        <v/>
      </c>
      <c r="EC7" s="123">
        <f>IF(OR(EC$4="",$B7=""),0,SUMIF('DADOS BRUTOS'!$A$3:$A$500,$B7,'DADOS BRUTOS'!BC$3:BC$500)+IF($C7="",0,SUMIF('DADOS BRUTOS'!$A$3:$A$500,$C7,'DADOS BRUTOS'!BC$3:BC$500)))</f>
        <v/>
      </c>
      <c r="ED7" s="123">
        <f>IF(OR(ED$4="",$B7=""),0,SUMIF('DADOS BRUTOS'!$A$3:$A$500,$B7,'DADOS BRUTOS'!BD$3:BD$500)+IF($C7="",0,SUMIF('DADOS BRUTOS'!$A$3:$A$500,$C7,'DADOS BRUTOS'!BD$3:BD$500)))</f>
        <v/>
      </c>
      <c r="EE7" s="123">
        <f>IF(OR(EE$4="",$B7=""),0,SUMIF('DADOS BRUTOS'!$A$3:$A$500,$B7,'DADOS BRUTOS'!BE$3:BE$500)+IF($C7="",0,SUMIF('DADOS BRUTOS'!$A$3:$A$500,$C7,'DADOS BRUTOS'!BE$3:BE$500)))</f>
        <v/>
      </c>
      <c r="EF7" s="123">
        <f>IF(OR(EF$4="",$B7=""),0,SUMIF('DADOS BRUTOS'!$A$3:$A$500,$B7,'DADOS BRUTOS'!BF$3:BF$500)+IF($C7="",0,SUMIF('DADOS BRUTOS'!$A$3:$A$500,$C7,'DADOS BRUTOS'!BF$3:BF$500)))</f>
        <v/>
      </c>
      <c r="EG7" s="123">
        <f>IF(OR(EG$4="",$B7=""),0,SUMIF('DADOS BRUTOS'!$A$3:$A$500,$B7,'DADOS BRUTOS'!BG$3:BG$500)+IF($C7="",0,SUMIF('DADOS BRUTOS'!$A$3:$A$500,$C7,'DADOS BRUTOS'!BG$3:BG$500)))</f>
        <v/>
      </c>
      <c r="EH7" s="123">
        <f>IF(OR(EH$4="",$B7=""),0,SUMIF('DADOS BRUTOS'!$A$3:$A$500,$B7,'DADOS BRUTOS'!BH$3:BH$500)+IF($C7="",0,SUMIF('DADOS BRUTOS'!$A$3:$A$500,$C7,'DADOS BRUTOS'!BH$3:BH$500)))</f>
        <v/>
      </c>
      <c r="EI7" s="123">
        <f>IF(OR(EI$4="",$B7=""),0,SUMIF('DADOS BRUTOS'!$A$3:$A$500,$B7,'DADOS BRUTOS'!BI$3:BI$500)+IF($C7="",0,SUMIF('DADOS BRUTOS'!$A$3:$A$500,$C7,'DADOS BRUTOS'!BI$3:BI$500)))</f>
        <v/>
      </c>
      <c r="EJ7" s="123">
        <f>IF(OR(EJ$4="",$B7=""),0,SUMIF('DADOS BRUTOS'!$A$3:$A$500,$B7,'DADOS BRUTOS'!BJ$3:BJ$500)+IF($C7="",0,SUMIF('DADOS BRUTOS'!$A$3:$A$500,$C7,'DADOS BRUTOS'!BJ$3:BJ$500)))</f>
        <v/>
      </c>
      <c r="EK7" s="123">
        <f>IF(OR(EK$4="",$B7=""),0,SUMIF('DADOS BRUTOS'!$A$3:$A$500,$B7,'DADOS BRUTOS'!BK$3:BK$500)+IF($C7="",0,SUMIF('DADOS BRUTOS'!$A$3:$A$500,$C7,'DADOS BRUTOS'!BK$3:BK$500)))</f>
        <v/>
      </c>
      <c r="EL7" s="123">
        <f>IF(OR(EL$4="",$B7=""),0,SUMIF('DADOS BRUTOS'!$A$3:$A$500,$B7,'DADOS BRUTOS'!BL$3:BL$500)+IF($C7="",0,SUMIF('DADOS BRUTOS'!$A$3:$A$500,$C7,'DADOS BRUTOS'!BL$3:BL$500)))</f>
        <v/>
      </c>
      <c r="EM7" s="123">
        <f>IF(OR(EM$4="",$B7=""),0,SUMIF('DADOS BRUTOS'!$A$3:$A$500,$B7,'DADOS BRUTOS'!BM$3:BM$500)+IF($C7="",0,SUMIF('DADOS BRUTOS'!$A$3:$A$500,$C7,'DADOS BRUTOS'!BM$3:BM$500)))</f>
        <v/>
      </c>
      <c r="EN7" s="123">
        <f>IF(OR(EN$4="",$B7=""),0,SUMIF('DADOS BRUTOS'!$A$3:$A$500,$B7,'DADOS BRUTOS'!BN$3:BN$500)+IF($C7="",0,SUMIF('DADOS BRUTOS'!$A$3:$A$500,$C7,'DADOS BRUTOS'!BN$3:BN$500)))</f>
        <v/>
      </c>
      <c r="EO7" s="123">
        <f>IF(OR(EO$4="",$B7=""),0,SUMIF('DADOS BRUTOS'!$A$3:$A$500,$B7,'DADOS BRUTOS'!BO$3:BO$500)+IF($C7="",0,SUMIF('DADOS BRUTOS'!$A$3:$A$500,$C7,'DADOS BRUTOS'!BO$3:BO$500)))</f>
        <v/>
      </c>
      <c r="EP7" s="123">
        <f>IF(OR(EP$4="",$B7=""),0,SUMIF('DADOS BRUTOS'!$A$3:$A$500,$B7,'DADOS BRUTOS'!BP$3:BP$500)+IF($C7="",0,SUMIF('DADOS BRUTOS'!$A$3:$A$500,$C7,'DADOS BRUTOS'!BP$3:BP$500)))</f>
        <v/>
      </c>
      <c r="EQ7" s="123">
        <f>IF(OR(EQ$4="",$B7=""),0,SUMIF('DADOS BRUTOS'!$A$3:$A$500,$B7,'DADOS BRUTOS'!BQ$3:BQ$500)+IF($C7="",0,SUMIF('DADOS BRUTOS'!$A$3:$A$500,$C7,'DADOS BRUTOS'!BQ$3:BQ$500)))</f>
        <v/>
      </c>
      <c r="ER7" s="123">
        <f>IF(OR(ER$4="",$B7=""),0,SUMIF('DADOS BRUTOS'!$A$3:$A$500,$B7,'DADOS BRUTOS'!BR$3:BR$500)+IF($C7="",0,SUMIF('DADOS BRUTOS'!$A$3:$A$500,$C7,'DADOS BRUTOS'!BR$3:BR$500)))</f>
        <v/>
      </c>
      <c r="ES7" s="123">
        <f>IF(OR(ES$4="",$B7=""),0,SUMIF('DADOS BRUTOS'!$A$3:$A$500,$B7,'DADOS BRUTOS'!BS$3:BS$500)+IF($C7="",0,SUMIF('DADOS BRUTOS'!$A$3:$A$500,$C7,'DADOS BRUTOS'!BS$3:BS$500)))</f>
        <v/>
      </c>
      <c r="ET7" s="123">
        <f>IF(OR(ET$4="",$B7=""),0,SUMIF('DADOS BRUTOS'!$A$3:$A$500,$B7,'DADOS BRUTOS'!BT$3:BT$500)+IF($C7="",0,SUMIF('DADOS BRUTOS'!$A$3:$A$500,$C7,'DADOS BRUTOS'!BT$3:BT$500)))</f>
        <v/>
      </c>
      <c r="EU7" s="123">
        <f>IF(OR(EU$4="",$B7=""),0,SUMIF('DADOS BRUTOS'!$A$3:$A$500,$B7,'DADOS BRUTOS'!BU$3:BU$500)+IF($C7="",0,SUMIF('DADOS BRUTOS'!$A$3:$A$500,$C7,'DADOS BRUTOS'!BU$3:BU$500)))</f>
        <v/>
      </c>
      <c r="EV7" s="123">
        <f>IF(OR(EV$4="",$B7=""),0,SUMIF('DADOS BRUTOS'!$A$3:$A$500,$B7,'DADOS BRUTOS'!BV$3:BV$500)+IF($C7="",0,SUMIF('DADOS BRUTOS'!$A$3:$A$500,$C7,'DADOS BRUTOS'!BV$3:BV$500)))</f>
        <v/>
      </c>
      <c r="EW7" s="123">
        <f>IF(OR(EW$4="",$B7=""),0,SUMIF('DADOS BRUTOS'!$A$3:$A$500,$B7,'DADOS BRUTOS'!BW$3:BW$500)+IF($C7="",0,SUMIF('DADOS BRUTOS'!$A$3:$A$500,$C7,'DADOS BRUTOS'!BW$3:BW$500)))</f>
        <v/>
      </c>
      <c r="EX7" s="123">
        <f>IF(OR(EX$4="",$B7=""),0,SUMIF('DADOS BRUTOS'!$A$3:$A$500,$B7,'DADOS BRUTOS'!BX$3:BX$500)+IF($C7="",0,SUMIF('DADOS BRUTOS'!$A$3:$A$500,$C7,'DADOS BRUTOS'!BX$3:BX$500)))</f>
        <v/>
      </c>
      <c r="EY7" s="123">
        <f>IF(OR(EY$4="",$B7=""),0,SUMIF('DADOS BRUTOS'!$A$3:$A$500,$B7,'DADOS BRUTOS'!BY$3:BY$500)+IF($C7="",0,SUMIF('DADOS BRUTOS'!$A$3:$A$500,$C7,'DADOS BRUTOS'!BY$3:BY$500)))</f>
        <v/>
      </c>
      <c r="EZ7" s="123">
        <f>IF(OR(EZ$4="",$B7=""),0,SUMIF('DADOS BRUTOS'!$A$3:$A$500,$B7,'DADOS BRUTOS'!BZ$3:BZ$500)+IF($C7="",0,SUMIF('DADOS BRUTOS'!$A$3:$A$500,$C7,'DADOS BRUTOS'!BZ$3:BZ$500)))</f>
        <v/>
      </c>
      <c r="FA7" s="123">
        <f>IF(OR(FA$4="",$B7=""),0,SUMIF('DADOS BRUTOS'!$A$3:$A$500,$B7,'DADOS BRUTOS'!CA$3:CA$500)+IF($C7="",0,SUMIF('DADOS BRUTOS'!$A$3:$A$500,$C7,'DADOS BRUTOS'!CA$3:CA$500)))</f>
        <v/>
      </c>
      <c r="FB7" s="123">
        <f>IF(OR(FB$4="",$B7=""),0,SUMIF('DADOS BRUTOS'!$A$3:$A$500,$B7,'DADOS BRUTOS'!CB$3:CB$500)+IF($C7="",0,SUMIF('DADOS BRUTOS'!$A$3:$A$500,$C7,'DADOS BRUTOS'!CB$3:CB$500)))</f>
        <v/>
      </c>
      <c r="FC7" s="123">
        <f>IF(OR(FC$4="",$B7=""),0,SUMIF('DADOS BRUTOS'!$A$3:$A$500,$B7,'DADOS BRUTOS'!CC$3:CC$500)+IF($C7="",0,SUMIF('DADOS BRUTOS'!$A$3:$A$500,$C7,'DADOS BRUTOS'!CC$3:CC$500)))</f>
        <v/>
      </c>
      <c r="FD7" s="123">
        <f>IF(OR(FD$4="",$B7=""),0,SUMIF('DADOS BRUTOS'!$A$3:$A$500,$B7,'DADOS BRUTOS'!CD$3:CD$500)+IF($C7="",0,SUMIF('DADOS BRUTOS'!$A$3:$A$500,$C7,'DADOS BRUTOS'!CD$3:CD$500)))</f>
        <v/>
      </c>
      <c r="FE7" s="123">
        <f>IF(OR(FE$4="",$B7=""),0,SUMIF('DADOS BRUTOS'!$A$3:$A$500,$B7,'DADOS BRUTOS'!CE$3:CE$500)+IF($C7="",0,SUMIF('DADOS BRUTOS'!$A$3:$A$500,$C7,'DADOS BRUTOS'!CE$3:CE$500)))</f>
        <v/>
      </c>
      <c r="FF7" s="123">
        <f>IF(OR(FF$4="",$B7=""),0,SUMIF('DADOS BRUTOS'!$A$3:$A$500,$B7,'DADOS BRUTOS'!CF$3:CF$500)+IF($C7="",0,SUMIF('DADOS BRUTOS'!$A$3:$A$500,$C7,'DADOS BRUTOS'!CF$3:CF$500)))</f>
        <v/>
      </c>
      <c r="FG7" s="123">
        <f>IF(OR(FG$4="",$B7=""),0,SUMIF('DADOS BRUTOS'!$A$3:$A$500,$B7,'DADOS BRUTOS'!CG$3:CG$500)+IF($C7="",0,SUMIF('DADOS BRUTOS'!$A$3:$A$500,$C7,'DADOS BRUTOS'!CG$3:CG$500)))</f>
        <v/>
      </c>
      <c r="FH7" s="123">
        <f>IF(OR(FH$4="",$B7=""),0,SUMIF('DADOS BRUTOS'!$A$3:$A$500,$B7,'DADOS BRUTOS'!CH$3:CH$500)+IF($C7="",0,SUMIF('DADOS BRUTOS'!$A$3:$A$500,$C7,'DADOS BRUTOS'!CH$3:CH$500)))</f>
        <v/>
      </c>
      <c r="FI7" s="123">
        <f>IF(OR(FI$4="",$B7=""),0,SUMIF('DADOS BRUTOS'!$A$3:$A$500,$B7,'DADOS BRUTOS'!CI$3:CI$500)+IF($C7="",0,SUMIF('DADOS BRUTOS'!$A$3:$A$500,$C7,'DADOS BRUTOS'!CI$3:CI$500)))</f>
        <v/>
      </c>
      <c r="FJ7" s="123">
        <f>IF(OR(FJ$4="",$B7=""),0,SUMIF('DADOS BRUTOS'!$A$3:$A$500,$B7,'DADOS BRUTOS'!CJ$3:CJ$500)+IF($C7="",0,SUMIF('DADOS BRUTOS'!$A$3:$A$500,$C7,'DADOS BRUTOS'!CJ$3:CJ$500)))</f>
        <v/>
      </c>
      <c r="FK7" s="123">
        <f>IF(OR(FK$4="",$B7=""),0,SUMIF('DADOS BRUTOS'!$A$3:$A$500,$B7,'DADOS BRUTOS'!CK$3:CK$500)+IF($C7="",0,SUMIF('DADOS BRUTOS'!$A$3:$A$500,$C7,'DADOS BRUTOS'!CK$3:CK$500)))</f>
        <v/>
      </c>
      <c r="FL7" s="123">
        <f>IF(OR(FL$4="",$B7=""),0,SUMIF('DADOS BRUTOS'!$A$3:$A$500,$B7,'DADOS BRUTOS'!CL$3:CL$500)+IF($C7="",0,SUMIF('DADOS BRUTOS'!$A$3:$A$500,$C7,'DADOS BRUTOS'!CL$3:CL$500)))</f>
        <v/>
      </c>
      <c r="FM7" s="123">
        <f>IF(OR(FM$4="",$B7=""),0,SUMIF('DADOS BRUTOS'!$A$3:$A$500,$B7,'DADOS BRUTOS'!CM$3:CM$500)+IF($C7="",0,SUMIF('DADOS BRUTOS'!$A$3:$A$500,$C7,'DADOS BRUTOS'!CM$3:CM$500)))</f>
        <v/>
      </c>
      <c r="FN7" s="123">
        <f>IF(OR(FN$4="",$B7=""),0,SUMIF('DADOS BRUTOS'!$A$3:$A$500,$B7,'DADOS BRUTOS'!CN$3:CN$500)+IF($C7="",0,SUMIF('DADOS BRUTOS'!$A$3:$A$500,$C7,'DADOS BRUTOS'!CN$3:CN$500)))</f>
        <v/>
      </c>
      <c r="FO7" s="123">
        <f>IF(OR(FO$4="",$B7=""),0,SUMIF('DADOS BRUTOS'!$A$3:$A$500,$B7,'DADOS BRUTOS'!CO$3:CO$500)+IF($C7="",0,SUMIF('DADOS BRUTOS'!$A$3:$A$500,$C7,'DADOS BRUTOS'!CO$3:CO$500)))</f>
        <v/>
      </c>
      <c r="FP7" s="123">
        <f>IF(OR(FP$4="",$B7=""),0,SUMIF('DADOS BRUTOS'!$A$3:$A$500,$B7,'DADOS BRUTOS'!CP$3:CP$500)+IF($C7="",0,SUMIF('DADOS BRUTOS'!$A$3:$A$500,$C7,'DADOS BRUTOS'!CP$3:CP$500)))</f>
        <v/>
      </c>
      <c r="FQ7" s="123">
        <f>IF(OR(FQ$4="",$B7=""),0,SUMIF('DADOS BRUTOS'!$A$3:$A$500,$B7,'DADOS BRUTOS'!CQ$3:CQ$500)+IF($C7="",0,SUMIF('DADOS BRUTOS'!$A$3:$A$500,$C7,'DADOS BRUTOS'!CQ$3:CQ$500)))</f>
        <v/>
      </c>
      <c r="FR7" s="123">
        <f>IF(OR(FR$4="",$B7=""),0,SUMIF('DADOS BRUTOS'!$A$3:$A$500,$B7,'DADOS BRUTOS'!CR$3:CR$500)+IF($C7="",0,SUMIF('DADOS BRUTOS'!$A$3:$A$500,$C7,'DADOS BRUTOS'!CR$3:CR$500)))</f>
        <v/>
      </c>
      <c r="FS7" s="123">
        <f>IF(OR(FS$4="",$B7=""),0,SUMIF('DADOS BRUTOS'!$A$3:$A$500,$B7,'DADOS BRUTOS'!CS$3:CS$500)+IF($C7="",0,SUMIF('DADOS BRUTOS'!$A$3:$A$500,$C7,'DADOS BRUTOS'!CS$3:CS$500)))</f>
        <v/>
      </c>
      <c r="FT7" s="123">
        <f>IF(OR(FT$4="",$B7=""),0,SUMIF('DADOS BRUTOS'!$A$3:$A$500,$B7,'DADOS BRUTOS'!CT$3:CT$500)+IF($C7="",0,SUMIF('DADOS BRUTOS'!$A$3:$A$500,$C7,'DADOS BRUTOS'!CT$3:CT$500)))</f>
        <v/>
      </c>
      <c r="FU7" s="123">
        <f>IF(OR(FU$4="",$B7=""),0,SUMIF('DADOS BRUTOS'!$A$3:$A$500,$B7,'DADOS BRUTOS'!CU$3:CU$500)+IF($C7="",0,SUMIF('DADOS BRUTOS'!$A$3:$A$500,$C7,'DADOS BRUTOS'!CU$3:CU$500)))</f>
        <v/>
      </c>
      <c r="FV7" s="123">
        <f>IF(OR(FV$4="",$B7=""),0,SUMIF('DADOS BRUTOS'!$A$3:$A$500,$B7,'DADOS BRUTOS'!CV$3:CV$500)+IF($C7="",0,SUMIF('DADOS BRUTOS'!$A$3:$A$500,$C7,'DADOS BRUTOS'!CV$3:CV$500)))</f>
        <v/>
      </c>
      <c r="FW7" s="123">
        <f>IF(OR(FW$4="",$B7=""),0,SUMIF('DADOS BRUTOS'!$A$3:$A$500,$B7,'DADOS BRUTOS'!CW$3:CW$500)+IF($C7="",0,SUMIF('DADOS BRUTOS'!$A$3:$A$500,$C7,'DADOS BRUTOS'!CW$3:CW$500)))</f>
        <v/>
      </c>
      <c r="FX7" s="123">
        <f>IF(OR(FX$4="",$B7=""),0,SUMIF('DADOS BRUTOS'!$A$3:$A$500,$B7,'DADOS BRUTOS'!CX$3:CX$500)+IF($C7="",0,SUMIF('DADOS BRUTOS'!$A$3:$A$500,$C7,'DADOS BRUTOS'!CX$3:CX$500)))</f>
        <v/>
      </c>
      <c r="FY7" s="123">
        <f>IF(OR(FY$4="",$B7=""),0,SUMIF('DADOS BRUTOS'!$A$3:$A$500,$B7,'DADOS BRUTOS'!CY$3:CY$500)+IF($C7="",0,SUMIF('DADOS BRUTOS'!$A$3:$A$500,$C7,'DADOS BRUTOS'!CY$3:CY$500)))</f>
        <v/>
      </c>
      <c r="FZ7" s="123">
        <f>IF(OR(FZ$4="",$B7=""),0,SUMIF('DADOS BRUTOS'!$A$3:$A$500,$B7,'DADOS BRUTOS'!CZ$3:CZ$500)+IF($C7="",0,SUMIF('DADOS BRUTOS'!$A$3:$A$500,$C7,'DADOS BRUTOS'!CZ$3:CZ$500)))</f>
        <v/>
      </c>
      <c r="GA7" s="123">
        <f>IF(OR(GA$4="",$B7=""),0,SUMIF('DADOS BRUTOS'!$A$3:$A$500,$B7,'DADOS BRUTOS'!DA$3:DA$500)+IF($C7="",0,SUMIF('DADOS BRUTOS'!$A$3:$A$500,$C7,'DADOS BRUTOS'!DA$3:DA$500)))</f>
        <v/>
      </c>
      <c r="GB7" s="123">
        <f>IF(OR(GB$4="",$B7=""),0,SUMIF('DADOS BRUTOS'!$A$3:$A$500,$B7,'DADOS BRUTOS'!DB$3:DB$500)+IF($C7="",0,SUMIF('DADOS BRUTOS'!$A$3:$A$500,$C7,'DADOS BRUTOS'!DB$3:DB$500)))</f>
        <v/>
      </c>
      <c r="GC7" s="123">
        <f>IF(OR(GC$4="",$B7=""),0,SUMIF('DADOS BRUTOS'!$A$3:$A$500,$B7,'DADOS BRUTOS'!DC$3:DC$500)+IF($C7="",0,SUMIF('DADOS BRUTOS'!$A$3:$A$500,$C7,'DADOS BRUTOS'!DC$3:DC$500)))</f>
        <v/>
      </c>
      <c r="GD7" s="123">
        <f>IF(OR(GD$4="",$B7=""),0,SUMIF('DADOS BRUTOS'!$A$3:$A$500,$B7,'DADOS BRUTOS'!DD$3:DD$500)+IF($C7="",0,SUMIF('DADOS BRUTOS'!$A$3:$A$500,$C7,'DADOS BRUTOS'!DD$3:DD$500)))</f>
        <v/>
      </c>
      <c r="GE7" s="123">
        <f>IF(OR(GE$4="",$B7=""),0,SUMIF('DADOS BRUTOS'!$A$3:$A$500,$B7,'DADOS BRUTOS'!DE$3:DE$500)+IF($C7="",0,SUMIF('DADOS BRUTOS'!$A$3:$A$500,$C7,'DADOS BRUTOS'!DE$3:DE$500)))</f>
        <v/>
      </c>
      <c r="GF7" s="123">
        <f>IF(OR(GF$4="",$B7=""),0,SUMIF('DADOS BRUTOS'!$A$3:$A$500,$B7,'DADOS BRUTOS'!DF$3:DF$500)+IF($C7="",0,SUMIF('DADOS BRUTOS'!$A$3:$A$500,$C7,'DADOS BRUTOS'!DF$3:DF$500)))</f>
        <v/>
      </c>
      <c r="GG7" s="123">
        <f>IF(OR(GG$4="",$B7=""),0,SUMIF('DADOS BRUTOS'!$A$3:$A$500,$B7,'DADOS BRUTOS'!DG$3:DG$500)+IF($C7="",0,SUMIF('DADOS BRUTOS'!$A$3:$A$500,$C7,'DADOS BRUTOS'!DG$3:DG$500)))</f>
        <v/>
      </c>
      <c r="GH7" s="123">
        <f>IF(OR(GH$4="",$B7=""),0,SUMIF('DADOS BRUTOS'!$A$3:$A$500,$B7,'DADOS BRUTOS'!DH$3:DH$500)+IF($C7="",0,SUMIF('DADOS BRUTOS'!$A$3:$A$500,$C7,'DADOS BRUTOS'!DH$3:DH$500)))</f>
        <v/>
      </c>
      <c r="GI7" s="123">
        <f>IF(OR(GI$4="",$B7=""),0,SUMIF('DADOS BRUTOS'!$A$3:$A$500,$B7,'DADOS BRUTOS'!DI$3:DI$500)+IF($C7="",0,SUMIF('DADOS BRUTOS'!$A$3:$A$500,$C7,'DADOS BRUTOS'!DI$3:DI$500)))</f>
        <v/>
      </c>
      <c r="GJ7" s="123">
        <f>IF(OR(GJ$4="",$B7=""),0,SUMIF('DADOS BRUTOS'!$A$3:$A$500,$B7,'DADOS BRUTOS'!DJ$3:DJ$500)+IF($C7="",0,SUMIF('DADOS BRUTOS'!$A$3:$A$500,$C7,'DADOS BRUTOS'!DJ$3:DJ$500)))</f>
        <v/>
      </c>
      <c r="GK7" s="123">
        <f>IF(OR(GK$4="",$B7=""),0,SUMIF('DADOS BRUTOS'!$A$3:$A$500,$B7,'DADOS BRUTOS'!DK$3:DK$500)+IF($C7="",0,SUMIF('DADOS BRUTOS'!$A$3:$A$500,$C7,'DADOS BRUTOS'!DK$3:DK$500)))</f>
        <v/>
      </c>
      <c r="GL7" s="123">
        <f>IF(OR(GL$4="",$B7=""),0,SUMIF('DADOS BRUTOS'!$A$3:$A$500,$B7,'DADOS BRUTOS'!DL$3:DL$500)+IF($C7="",0,SUMIF('DADOS BRUTOS'!$A$3:$A$500,$C7,'DADOS BRUTOS'!DL$3:DL$500)))</f>
        <v/>
      </c>
      <c r="GM7" s="123">
        <f>IF(OR(GM$4="",$B7=""),0,SUMIF('DADOS BRUTOS'!$A$3:$A$500,$B7,'DADOS BRUTOS'!DM$3:DM$500)+IF($C7="",0,SUMIF('DADOS BRUTOS'!$A$3:$A$500,$C7,'DADOS BRUTOS'!DM$3:DM$500)))</f>
        <v/>
      </c>
      <c r="GN7" s="123">
        <f>IF(OR(GN$4="",$B7=""),0,SUMIF('DADOS BRUTOS'!$A$3:$A$500,$B7,'DADOS BRUTOS'!DN$3:DN$500)+IF($C7="",0,SUMIF('DADOS BRUTOS'!$A$3:$A$500,$C7,'DADOS BRUTOS'!DN$3:DN$500)))</f>
        <v/>
      </c>
      <c r="GO7" s="123">
        <f>IF(OR(GO$4="",$B7=""),0,SUMIF('DADOS BRUTOS'!$A$3:$A$500,$B7,'DADOS BRUTOS'!DO$3:DO$500)+IF($C7="",0,SUMIF('DADOS BRUTOS'!$A$3:$A$500,$C7,'DADOS BRUTOS'!DO$3:DO$500)))</f>
        <v/>
      </c>
      <c r="GP7" s="123">
        <f>IF(OR(GP$4="",$B7=""),0,SUMIF('DADOS BRUTOS'!$A$3:$A$500,$B7,'DADOS BRUTOS'!DP$3:DP$500)+IF($C7="",0,SUMIF('DADOS BRUTOS'!$A$3:$A$500,$C7,'DADOS BRUTOS'!DP$3:DP$500)))</f>
        <v/>
      </c>
      <c r="GQ7" s="123">
        <f>IF(OR(GQ$4="",$B7=""),0,SUMIF('DADOS BRUTOS'!$A$3:$A$500,$B7,'DADOS BRUTOS'!DQ$3:DQ$500)+IF($C7="",0,SUMIF('DADOS BRUTOS'!$A$3:$A$500,$C7,'DADOS BRUTOS'!DQ$3:DQ$500)))</f>
        <v/>
      </c>
      <c r="GR7" s="123">
        <f>IF(OR(GR$4="",$B7=""),0,SUMIF('DADOS BRUTOS'!$A$3:$A$500,$B7,'DADOS BRUTOS'!DR$3:DR$500)+IF($C7="",0,SUMIF('DADOS BRUTOS'!$A$3:$A$500,$C7,'DADOS BRUTOS'!DR$3:DR$500)))</f>
        <v/>
      </c>
      <c r="GS7" s="123">
        <f>IF(OR(GS$4="",$B7=""),0,SUMIF('DADOS BRUTOS'!$A$3:$A$500,$B7,'DADOS BRUTOS'!DS$3:DS$500)+IF($C7="",0,SUMIF('DADOS BRUTOS'!$A$3:$A$500,$C7,'DADOS BRUTOS'!DS$3:DS$500)))</f>
        <v/>
      </c>
      <c r="GT7" s="123">
        <f>IF(OR(GT$4="",$B7=""),0,SUMIF('DADOS BRUTOS'!$A$3:$A$500,$B7,'DADOS BRUTOS'!DT$3:DT$500)+IF($C7="",0,SUMIF('DADOS BRUTOS'!$A$3:$A$500,$C7,'DADOS BRUTOS'!DT$3:DT$500)))</f>
        <v/>
      </c>
      <c r="GU7" s="123">
        <f>IF(OR(GU$4="",$B7=""),0,SUMIF('DADOS BRUTOS'!$A$3:$A$500,$B7,'DADOS BRUTOS'!DU$3:DU$500)+IF($C7="",0,SUMIF('DADOS BRUTOS'!$A$3:$A$500,$C7,'DADOS BRUTOS'!DU$3:DU$500)))</f>
        <v/>
      </c>
      <c r="GV7" s="123">
        <f>IF(OR(GV$4="",$B7=""),0,SUMIF('DADOS BRUTOS'!$A$3:$A$500,$B7,'DADOS BRUTOS'!DV$3:DV$500)+IF($C7="",0,SUMIF('DADOS BRUTOS'!$A$3:$A$500,$C7,'DADOS BRUTOS'!DV$3:DV$500)))</f>
        <v/>
      </c>
      <c r="GW7" s="123">
        <f>IF(OR(GW$4="",$B7=""),0,SUMIF('DADOS BRUTOS'!$A$3:$A$500,$B7,'DADOS BRUTOS'!DW$3:DW$500)+IF($C7="",0,SUMIF('DADOS BRUTOS'!$A$3:$A$500,$C7,'DADOS BRUTOS'!DW$3:DW$500)))</f>
        <v/>
      </c>
      <c r="GX7" s="123">
        <f>IF(OR(GX$4="",$B7=""),0,SUMIF('DADOS BRUTOS'!$A$3:$A$500,$B7,'DADOS BRUTOS'!DX$3:DX$500)+IF($C7="",0,SUMIF('DADOS BRUTOS'!$A$3:$A$500,$C7,'DADOS BRUTOS'!DX$3:DX$500)))</f>
        <v/>
      </c>
      <c r="GY7" s="123">
        <f>IF(OR(GY$4="",$B7=""),0,SUMIF('DADOS BRUTOS'!$A$3:$A$500,$B7,'DADOS BRUTOS'!DY$3:DY$500)+IF($C7="",0,SUMIF('DADOS BRUTOS'!$A$3:$A$500,$C7,'DADOS BRUTOS'!DY$3:DY$500)))</f>
        <v/>
      </c>
      <c r="GZ7" s="123">
        <f>IF(OR(GZ$4="",$B7=""),0,SUMIF('DADOS BRUTOS'!$A$3:$A$500,$B7,'DADOS BRUTOS'!DZ$3:DZ$500)+IF($C7="",0,SUMIF('DADOS BRUTOS'!$A$3:$A$500,$C7,'DADOS BRUTOS'!DZ$3:DZ$500)))</f>
        <v/>
      </c>
      <c r="HA7" s="123">
        <f>IF(OR(HA$4="",$B7=""),0,SUMIF('DADOS BRUTOS'!$A$3:$A$500,$B7,'DADOS BRUTOS'!EA$3:EA$500)+IF($C7="",0,SUMIF('DADOS BRUTOS'!$A$3:$A$500,$C7,'DADOS BRUTOS'!EA$3:EA$500)))</f>
        <v/>
      </c>
      <c r="HB7" s="123">
        <f>IF(OR(HB$4="",$B7=""),0,SUMIF('DADOS BRUTOS'!$A$3:$A$500,$B7,'DADOS BRUTOS'!EB$3:EB$500)+IF($C7="",0,SUMIF('DADOS BRUTOS'!$A$3:$A$500,$C7,'DADOS BRUTOS'!EB$3:EB$500)))</f>
        <v/>
      </c>
      <c r="HC7" s="123">
        <f>IF(OR(HC$4="",$B7=""),0,SUMIF('DADOS BRUTOS'!$A$3:$A$500,$B7,'DADOS BRUTOS'!EC$3:EC$500)+IF($C7="",0,SUMIF('DADOS BRUTOS'!$A$3:$A$500,$C7,'DADOS BRUTOS'!EC$3:EC$500)))</f>
        <v/>
      </c>
      <c r="HD7" s="123">
        <f>IF(OR(HD$4="",$B7=""),0,SUMIF('DADOS BRUTOS'!$A$3:$A$500,$B7,'DADOS BRUTOS'!ED$3:ED$500)+IF($C7="",0,SUMIF('DADOS BRUTOS'!$A$3:$A$500,$C7,'DADOS BRUTOS'!ED$3:ED$500)))</f>
        <v/>
      </c>
      <c r="HE7" s="123">
        <f>IF(OR(HE$4="",$B7=""),0,SUMIF('DADOS BRUTOS'!$A$3:$A$500,$B7,'DADOS BRUTOS'!EE$3:EE$500)+IF($C7="",0,SUMIF('DADOS BRUTOS'!$A$3:$A$500,$C7,'DADOS BRUTOS'!EE$3:EE$500)))</f>
        <v/>
      </c>
      <c r="HF7" s="123">
        <f>IF(OR(HF$4="",$B7=""),0,SUMIF('DADOS BRUTOS'!$A$3:$A$500,$B7,'DADOS BRUTOS'!EF$3:EF$500)+IF($C7="",0,SUMIF('DADOS BRUTOS'!$A$3:$A$500,$C7,'DADOS BRUTOS'!EF$3:EF$500)))</f>
        <v/>
      </c>
      <c r="HG7" s="123">
        <f>IF(OR(HG$4="",$B7=""),0,SUMIF('DADOS BRUTOS'!$A$3:$A$500,$B7,'DADOS BRUTOS'!EG$3:EG$500)+IF($C7="",0,SUMIF('DADOS BRUTOS'!$A$3:$A$500,$C7,'DADOS BRUTOS'!EG$3:EG$500)))</f>
        <v/>
      </c>
      <c r="HH7" s="123">
        <f>IF(OR(HH$4="",$B7=""),0,SUMIF('DADOS BRUTOS'!$A$3:$A$500,$B7,'DADOS BRUTOS'!EH$3:EH$500)+IF($C7="",0,SUMIF('DADOS BRUTOS'!$A$3:$A$500,$C7,'DADOS BRUTOS'!EH$3:EH$500)))</f>
        <v/>
      </c>
      <c r="HI7" s="123">
        <f>IF(OR(HI$4="",$B7=""),0,SUMIF('DADOS BRUTOS'!$A$3:$A$500,$B7,'DADOS BRUTOS'!EI$3:EI$500)+IF($C7="",0,SUMIF('DADOS BRUTOS'!$A$3:$A$500,$C7,'DADOS BRUTOS'!EI$3:EI$500)))</f>
        <v/>
      </c>
      <c r="HJ7" s="123">
        <f>IF(OR(HJ$4="",$B7=""),0,SUMIF('DADOS BRUTOS'!$A$3:$A$500,$B7,'DADOS BRUTOS'!EJ$3:EJ$500)+IF($C7="",0,SUMIF('DADOS BRUTOS'!$A$3:$A$500,$C7,'DADOS BRUTOS'!EJ$3:EJ$500)))</f>
        <v/>
      </c>
      <c r="HK7" s="123">
        <f>IF(OR(HK$4="",$B7=""),0,SUMIF('DADOS BRUTOS'!$A$3:$A$500,$B7,'DADOS BRUTOS'!EK$3:EK$500)+IF($C7="",0,SUMIF('DADOS BRUTOS'!$A$3:$A$500,$C7,'DADOS BRUTOS'!EK$3:EK$500)))</f>
        <v/>
      </c>
      <c r="HL7" s="123">
        <f>IF(OR(HL$4="",$B7=""),0,SUMIF('DADOS BRUTOS'!$A$3:$A$500,$B7,'DADOS BRUTOS'!EL$3:EL$500)+IF($C7="",0,SUMIF('DADOS BRUTOS'!$A$3:$A$500,$C7,'DADOS BRUTOS'!EL$3:EL$500)))</f>
        <v/>
      </c>
      <c r="HM7" s="123">
        <f>IF(OR(HM$4="",$B7=""),0,SUMIF('DADOS BRUTOS'!$A$3:$A$500,$B7,'DADOS BRUTOS'!EM$3:EM$500)+IF($C7="",0,SUMIF('DADOS BRUTOS'!$A$3:$A$500,$C7,'DADOS BRUTOS'!EM$3:EM$500)))</f>
        <v/>
      </c>
      <c r="HN7" s="123">
        <f>IF(OR(HN$4="",$B7=""),0,SUMIF('DADOS BRUTOS'!$A$3:$A$500,$B7,'DADOS BRUTOS'!EN$3:EN$500)+IF($C7="",0,SUMIF('DADOS BRUTOS'!$A$3:$A$500,$C7,'DADOS BRUTOS'!EN$3:EN$500)))</f>
        <v/>
      </c>
      <c r="HO7" s="123">
        <f>IF(OR(HO$4="",$B7=""),0,SUMIF('DADOS BRUTOS'!$A$3:$A$500,$B7,'DADOS BRUTOS'!EO$3:EO$500)+IF($C7="",0,SUMIF('DADOS BRUTOS'!$A$3:$A$500,$C7,'DADOS BRUTOS'!EO$3:EO$500)))</f>
        <v/>
      </c>
      <c r="HP7" s="123">
        <f>IF(OR(HP$4="",$B7=""),0,SUMIF('DADOS BRUTOS'!$A$3:$A$500,$B7,'DADOS BRUTOS'!EP$3:EP$500)+IF($C7="",0,SUMIF('DADOS BRUTOS'!$A$3:$A$500,$C7,'DADOS BRUTOS'!EP$3:EP$500)))</f>
        <v/>
      </c>
      <c r="HQ7" s="123">
        <f>IF(OR(HQ$4="",$B7=""),0,SUMIF('DADOS BRUTOS'!$A$3:$A$500,$B7,'DADOS BRUTOS'!EQ$3:EQ$500)+IF($C7="",0,SUMIF('DADOS BRUTOS'!$A$3:$A$500,$C7,'DADOS BRUTOS'!EQ$3:EQ$500)))</f>
        <v/>
      </c>
      <c r="HR7" s="123">
        <f>IF(OR(HR$4="",$B7=""),0,SUMIF('DADOS BRUTOS'!$A$3:$A$500,$B7,'DADOS BRUTOS'!ER$3:ER$500)+IF($C7="",0,SUMIF('DADOS BRUTOS'!$A$3:$A$500,$C7,'DADOS BRUTOS'!ER$3:ER$500)))</f>
        <v/>
      </c>
      <c r="HS7" s="123">
        <f>IF(OR(HS$4="",$B7=""),0,SUMIF('DADOS BRUTOS'!$A$3:$A$500,$B7,'DADOS BRUTOS'!ES$3:ES$500)+IF($C7="",0,SUMIF('DADOS BRUTOS'!$A$3:$A$500,$C7,'DADOS BRUTOS'!ES$3:ES$500)))</f>
        <v/>
      </c>
      <c r="HT7" s="123">
        <f>IF(OR(HT$4="",$B7=""),0,SUMIF('DADOS BRUTOS'!$A$3:$A$500,$B7,'DADOS BRUTOS'!ET$3:ET$500)+IF($C7="",0,SUMIF('DADOS BRUTOS'!$A$3:$A$500,$C7,'DADOS BRUTOS'!ET$3:ET$500)))</f>
        <v/>
      </c>
      <c r="HU7" s="123">
        <f>IF(OR(HU$4="",$B7=""),0,SUMIF('DADOS BRUTOS'!$A$3:$A$500,$B7,'DADOS BRUTOS'!EU$3:EU$500)+IF($C7="",0,SUMIF('DADOS BRUTOS'!$A$3:$A$500,$C7,'DADOS BRUTOS'!EU$3:EU$500)))</f>
        <v/>
      </c>
      <c r="HV7" s="123">
        <f>IF(OR(HV$4="",$B7=""),0,SUMIF('DADOS BRUTOS'!$A$3:$A$500,$B7,'DADOS BRUTOS'!EV$3:EV$500)+IF($C7="",0,SUMIF('DADOS BRUTOS'!$A$3:$A$500,$C7,'DADOS BRUTOS'!EV$3:EV$500)))</f>
        <v/>
      </c>
      <c r="HW7" s="123">
        <f>IF(OR(HW$4="",$B7=""),0,SUMIF('DADOS BRUTOS'!$A$3:$A$500,$B7,'DADOS BRUTOS'!EW$3:EW$500)+IF($C7="",0,SUMIF('DADOS BRUTOS'!$A$3:$A$500,$C7,'DADOS BRUTOS'!EW$3:EW$500)))</f>
        <v/>
      </c>
      <c r="HX7" s="123">
        <f>IF(OR(HX$4="",$B7=""),0,SUMIF('DADOS BRUTOS'!$A$3:$A$500,$B7,'DADOS BRUTOS'!EX$3:EX$500)+IF($C7="",0,SUMIF('DADOS BRUTOS'!$A$3:$A$500,$C7,'DADOS BRUTOS'!EX$3:EX$500)))</f>
        <v/>
      </c>
      <c r="HY7" s="123">
        <f>IF(OR(HY$4="",$B7=""),0,SUMIF('DADOS BRUTOS'!$A$3:$A$500,$B7,'DADOS BRUTOS'!EY$3:EY$500)+IF($C7="",0,SUMIF('DADOS BRUTOS'!$A$3:$A$500,$C7,'DADOS BRUTOS'!EY$3:EY$500)))</f>
        <v/>
      </c>
      <c r="HZ7" s="123">
        <f>IF(OR(HZ$4="",$B7=""),0,SUMIF('DADOS BRUTOS'!$A$3:$A$500,$B7,'DADOS BRUTOS'!EZ$3:EZ$500)+IF($C7="",0,SUMIF('DADOS BRUTOS'!$A$3:$A$500,$C7,'DADOS BRUTOS'!EZ$3:EZ$500)))</f>
        <v/>
      </c>
      <c r="IA7" s="123">
        <f>IF(OR(IA$4="",$B7=""),0,SUMIF('DADOS BRUTOS'!$A$3:$A$500,$B7,'DADOS BRUTOS'!FA$3:FA$500)+IF($C7="",0,SUMIF('DADOS BRUTOS'!$A$3:$A$500,$C7,'DADOS BRUTOS'!FA$3:FA$500)))</f>
        <v/>
      </c>
      <c r="IB7" s="123">
        <f>IF(OR(IB$4="",$B7=""),0,SUMIF('DADOS BRUTOS'!$A$3:$A$500,$B7,'DADOS BRUTOS'!FB$3:FB$500)+IF($C7="",0,SUMIF('DADOS BRUTOS'!$A$3:$A$500,$C7,'DADOS BRUTOS'!FB$3:FB$500)))</f>
        <v/>
      </c>
      <c r="IC7" s="123">
        <f>IF(OR(IC$4="",$B7=""),0,SUMIF('DADOS BRUTOS'!$A$3:$A$500,$B7,'DADOS BRUTOS'!FC$3:FC$500)+IF($C7="",0,SUMIF('DADOS BRUTOS'!$A$3:$A$500,$C7,'DADOS BRUTOS'!FC$3:FC$500)))</f>
        <v/>
      </c>
      <c r="ID7" s="123">
        <f>IF(OR(ID$4="",$B7=""),0,SUMIF('DADOS BRUTOS'!$A$3:$A$500,$B7,'DADOS BRUTOS'!FD$3:FD$500)+IF($C7="",0,SUMIF('DADOS BRUTOS'!$A$3:$A$500,$C7,'DADOS BRUTOS'!FD$3:FD$500)))</f>
        <v/>
      </c>
      <c r="IE7" s="123">
        <f>IF(OR(IE$4="",$B7=""),0,SUMIF('DADOS BRUTOS'!$A$3:$A$500,$B7,'DADOS BRUTOS'!FE$3:FE$500)+IF($C7="",0,SUMIF('DADOS BRUTOS'!$A$3:$A$500,$C7,'DADOS BRUTOS'!FE$3:FE$500)))</f>
        <v/>
      </c>
      <c r="IF7" s="123">
        <f>IF(OR(IF$4="",$B7=""),0,SUMIF('DADOS BRUTOS'!$A$3:$A$500,$B7,'DADOS BRUTOS'!FF$3:FF$500)+IF($C7="",0,SUMIF('DADOS BRUTOS'!$A$3:$A$500,$C7,'DADOS BRUTOS'!FF$3:FF$500)))</f>
        <v/>
      </c>
      <c r="IG7" s="123">
        <f>IF(OR(IG$4="",$B7=""),0,SUMIF('DADOS BRUTOS'!$A$3:$A$500,$B7,'DADOS BRUTOS'!FG$3:FG$500)+IF($C7="",0,SUMIF('DADOS BRUTOS'!$A$3:$A$500,$C7,'DADOS BRUTOS'!FG$3:FG$500)))</f>
        <v/>
      </c>
      <c r="IH7" s="123">
        <f>IF(OR(IH$4="",$B7=""),0,SUMIF('DADOS BRUTOS'!$A$3:$A$500,$B7,'DADOS BRUTOS'!FH$3:FH$500)+IF($C7="",0,SUMIF('DADOS BRUTOS'!$A$3:$A$500,$C7,'DADOS BRUTOS'!FH$3:FH$500)))</f>
        <v/>
      </c>
      <c r="II7" s="123">
        <f>IF(OR(II$4="",$B7=""),0,SUMIF('DADOS BRUTOS'!$A$3:$A$500,$B7,'DADOS BRUTOS'!FI$3:FI$500)+IF($C7="",0,SUMIF('DADOS BRUTOS'!$A$3:$A$500,$C7,'DADOS BRUTOS'!FI$3:FI$500)))</f>
        <v/>
      </c>
      <c r="IJ7" s="123">
        <f>IF(OR(IJ$4="",$B7=""),0,SUMIF('DADOS BRUTOS'!$A$3:$A$500,$B7,'DADOS BRUTOS'!FJ$3:FJ$500)+IF($C7="",0,SUMIF('DADOS BRUTOS'!$A$3:$A$500,$C7,'DADOS BRUTOS'!FJ$3:FJ$500)))</f>
        <v/>
      </c>
      <c r="IK7" s="123">
        <f>IF(OR(IK$4="",$B7=""),0,SUMIF('DADOS BRUTOS'!$A$3:$A$500,$B7,'DADOS BRUTOS'!FK$3:FK$500)+IF($C7="",0,SUMIF('DADOS BRUTOS'!$A$3:$A$500,$C7,'DADOS BRUTOS'!FK$3:FK$500)))</f>
        <v/>
      </c>
      <c r="IL7" s="123">
        <f>IF(OR(IL$4="",$B7=""),0,SUMIF('DADOS BRUTOS'!$A$3:$A$500,$B7,'DADOS BRUTOS'!FL$3:FL$500)+IF($C7="",0,SUMIF('DADOS BRUTOS'!$A$3:$A$500,$C7,'DADOS BRUTOS'!FL$3:FL$500)))</f>
        <v/>
      </c>
      <c r="IM7" s="123">
        <f>IF(OR(IM$4="",$B7=""),0,SUMIF('DADOS BRUTOS'!$A$3:$A$500,$B7,'DADOS BRUTOS'!FM$3:FM$500)+IF($C7="",0,SUMIF('DADOS BRUTOS'!$A$3:$A$500,$C7,'DADOS BRUTOS'!FM$3:FM$500)))</f>
        <v/>
      </c>
      <c r="IN7" s="123">
        <f>IF(OR(IN$4="",$B7=""),0,SUMIF('DADOS BRUTOS'!$A$3:$A$500,$B7,'DADOS BRUTOS'!FN$3:FN$500)+IF($C7="",0,SUMIF('DADOS BRUTOS'!$A$3:$A$500,$C7,'DADOS BRUTOS'!FN$3:FN$500)))</f>
        <v/>
      </c>
      <c r="IO7" s="123">
        <f>IF(OR(IO$4="",$B7=""),0,SUMIF('DADOS BRUTOS'!$A$3:$A$500,$B7,'DADOS BRUTOS'!FO$3:FO$500)+IF($C7="",0,SUMIF('DADOS BRUTOS'!$A$3:$A$500,$C7,'DADOS BRUTOS'!FO$3:FO$500)))</f>
        <v/>
      </c>
      <c r="IP7" s="123">
        <f>IF(OR(IP$4="",$B7=""),0,SUMIF('DADOS BRUTOS'!$A$3:$A$500,$B7,'DADOS BRUTOS'!FP$3:FP$500)+IF($C7="",0,SUMIF('DADOS BRUTOS'!$A$3:$A$500,$C7,'DADOS BRUTOS'!FP$3:FP$500)))</f>
        <v/>
      </c>
      <c r="IQ7" s="123">
        <f>IF(OR(IQ$4="",$B7=""),0,SUMIF('DADOS BRUTOS'!$A$3:$A$500,$B7,'DADOS BRUTOS'!FQ$3:FQ$500)+IF($C7="",0,SUMIF('DADOS BRUTOS'!$A$3:$A$500,$C7,'DADOS BRUTOS'!FQ$3:FQ$500)))</f>
        <v/>
      </c>
      <c r="IR7" s="123">
        <f>IF(OR(IR$4="",$B7=""),0,SUMIF('DADOS BRUTOS'!$A$3:$A$500,$B7,'DADOS BRUTOS'!FR$3:FR$500)+IF($C7="",0,SUMIF('DADOS BRUTOS'!$A$3:$A$500,$C7,'DADOS BRUTOS'!FR$3:FR$500)))</f>
        <v/>
      </c>
      <c r="IS7" s="123">
        <f>IF(OR(IS$4="",$B7=""),0,SUMIF('DADOS BRUTOS'!$A$3:$A$500,$B7,'DADOS BRUTOS'!FS$3:FS$500)+IF($C7="",0,SUMIF('DADOS BRUTOS'!$A$3:$A$500,$C7,'DADOS BRUTOS'!FS$3:FS$500)))</f>
        <v/>
      </c>
      <c r="IT7" s="123">
        <f>IF(OR(IT$4="",$B7=""),0,SUMIF('DADOS BRUTOS'!$A$3:$A$500,$B7,'DADOS BRUTOS'!FT$3:FT$500)+IF($C7="",0,SUMIF('DADOS BRUTOS'!$A$3:$A$500,$C7,'DADOS BRUTOS'!FT$3:FT$500)))</f>
        <v/>
      </c>
      <c r="IU7" s="123">
        <f>IF(OR(IU$4="",$B7=""),0,SUMIF('DADOS BRUTOS'!$A$3:$A$500,$B7,'DADOS BRUTOS'!FU$3:FU$500)+IF($C7="",0,SUMIF('DADOS BRUTOS'!$A$3:$A$500,$C7,'DADOS BRUTOS'!FU$3:FU$500)))</f>
        <v/>
      </c>
      <c r="IV7" s="123">
        <f>IF(OR(IV$4="",$B7=""),0,SUMIF('DADOS BRUTOS'!$A$3:$A$500,$B7,'DADOS BRUTOS'!FV$3:FV$500)+IF($C7="",0,SUMIF('DADOS BRUTOS'!$A$3:$A$500,$C7,'DADOS BRUTOS'!FV$3:FV$500)))</f>
        <v/>
      </c>
      <c r="IW7" s="123">
        <f>IF(OR(IW$4="",$B7=""),0,SUMIF('DADOS BRUTOS'!$A$3:$A$500,$B7,'DADOS BRUTOS'!FW$3:FW$500)+IF($C7="",0,SUMIF('DADOS BRUTOS'!$A$3:$A$500,$C7,'DADOS BRUTOS'!FW$3:FW$500)))</f>
        <v/>
      </c>
      <c r="IX7" s="123">
        <f>IF(OR(IX$4="",$B7=""),0,SUMIF('DADOS BRUTOS'!$A$3:$A$500,$B7,'DADOS BRUTOS'!FX$3:FX$500)+IF($C7="",0,SUMIF('DADOS BRUTOS'!$A$3:$A$500,$C7,'DADOS BRUTOS'!FX$3:FX$500)))</f>
        <v/>
      </c>
      <c r="IY7" s="123">
        <f>IF(OR(IY$4="",$B7=""),0,SUMIF('DADOS BRUTOS'!$A$3:$A$500,$B7,'DADOS BRUTOS'!FY$3:FY$500)+IF($C7="",0,SUMIF('DADOS BRUTOS'!$A$3:$A$500,$C7,'DADOS BRUTOS'!FY$3:FY$500)))</f>
        <v/>
      </c>
      <c r="IZ7" s="123">
        <f>IF(OR(IZ$4="",$B7=""),0,SUMIF('DADOS BRUTOS'!$A$3:$A$500,$B7,'DADOS BRUTOS'!FZ$3:FZ$500)+IF($C7="",0,SUMIF('DADOS BRUTOS'!$A$3:$A$500,$C7,'DADOS BRUTOS'!FZ$3:FZ$500)))</f>
        <v/>
      </c>
      <c r="JA7" s="123">
        <f>IF(OR(JA$4="",$B7=""),0,SUMIF('DADOS BRUTOS'!$A$3:$A$500,$B7,'DADOS BRUTOS'!GA$3:GA$500)+IF($C7="",0,SUMIF('DADOS BRUTOS'!$A$3:$A$500,$C7,'DADOS BRUTOS'!GA$3:GA$500)))</f>
        <v/>
      </c>
      <c r="JB7" s="123">
        <f>IF(OR(JB$4="",$B7=""),0,SUMIF('DADOS BRUTOS'!$A$3:$A$500,$B7,'DADOS BRUTOS'!GB$3:GB$500)+IF($C7="",0,SUMIF('DADOS BRUTOS'!$A$3:$A$500,$C7,'DADOS BRUTOS'!GB$3:GB$500)))</f>
        <v/>
      </c>
      <c r="JC7" s="123">
        <f>IF(OR(JC$4="",$B7=""),0,SUMIF('DADOS BRUTOS'!$A$3:$A$500,$B7,'DADOS BRUTOS'!GC$3:GC$500)+IF($C7="",0,SUMIF('DADOS BRUTOS'!$A$3:$A$500,$C7,'DADOS BRUTOS'!GC$3:GC$500)))</f>
        <v/>
      </c>
      <c r="JD7" s="123">
        <f>IF(OR(JD$4="",$B7=""),0,SUMIF('DADOS BRUTOS'!$A$3:$A$500,$B7,'DADOS BRUTOS'!GD$3:GD$500)+IF($C7="",0,SUMIF('DADOS BRUTOS'!$A$3:$A$500,$C7,'DADOS BRUTOS'!GD$3:GD$500)))</f>
        <v/>
      </c>
      <c r="JE7" s="123">
        <f>IF(OR(JE$4="",$B7=""),0,SUMIF('DADOS BRUTOS'!$A$3:$A$500,$B7,'DADOS BRUTOS'!GE$3:GE$500)+IF($C7="",0,SUMIF('DADOS BRUTOS'!$A$3:$A$500,$C7,'DADOS BRUTOS'!GE$3:GE$500)))</f>
        <v/>
      </c>
      <c r="JF7" s="123">
        <f>IF(OR(JF$4="",$B7=""),0,SUMIF('DADOS BRUTOS'!$A$3:$A$500,$B7,'DADOS BRUTOS'!GF$3:GF$500)+IF($C7="",0,SUMIF('DADOS BRUTOS'!$A$3:$A$500,$C7,'DADOS BRUTOS'!GF$3:GF$500)))</f>
        <v/>
      </c>
      <c r="JG7" s="123">
        <f>IF(OR(JG$4="",$B7=""),0,SUMIF('DADOS BRUTOS'!$A$3:$A$500,$B7,'DADOS BRUTOS'!GG$3:GG$500)+IF($C7="",0,SUMIF('DADOS BRUTOS'!$A$3:$A$500,$C7,'DADOS BRUTOS'!GG$3:GG$500)))</f>
        <v/>
      </c>
      <c r="JH7" s="123">
        <f>IF(OR(JH$4="",$B7=""),0,SUMIF('DADOS BRUTOS'!$A$3:$A$500,$B7,'DADOS BRUTOS'!GH$3:GH$500)+IF($C7="",0,SUMIF('DADOS BRUTOS'!$A$3:$A$500,$C7,'DADOS BRUTOS'!GH$3:GH$500)))</f>
        <v/>
      </c>
      <c r="JI7" s="123">
        <f>IF(OR(JI$4="",$B7=""),0,SUMIF('DADOS BRUTOS'!$A$3:$A$500,$B7,'DADOS BRUTOS'!GI$3:GI$500)+IF($C7="",0,SUMIF('DADOS BRUTOS'!$A$3:$A$500,$C7,'DADOS BRUTOS'!GI$3:GI$500)))</f>
        <v/>
      </c>
      <c r="JJ7" s="123">
        <f>IF(OR(JJ$4="",$B7=""),0,SUMIF('DADOS BRUTOS'!$A$3:$A$500,$B7,'DADOS BRUTOS'!GJ$3:GJ$500)+IF($C7="",0,SUMIF('DADOS BRUTOS'!$A$3:$A$500,$C7,'DADOS BRUTOS'!GJ$3:GJ$500)))</f>
        <v/>
      </c>
      <c r="JK7" s="123">
        <f>IF(OR(JK$4="",$B7=""),0,SUMIF('DADOS BRUTOS'!$A$3:$A$500,$B7,'DADOS BRUTOS'!GK$3:GK$500)+IF($C7="",0,SUMIF('DADOS BRUTOS'!$A$3:$A$500,$C7,'DADOS BRUTOS'!GK$3:GK$500)))</f>
        <v/>
      </c>
      <c r="JL7" s="123">
        <f>IF(OR(JL$4="",$B7=""),0,SUMIF('DADOS BRUTOS'!$A$3:$A$500,$B7,'DADOS BRUTOS'!GL$3:GL$500)+IF($C7="",0,SUMIF('DADOS BRUTOS'!$A$3:$A$500,$C7,'DADOS BRUTOS'!GL$3:GL$500)))</f>
        <v/>
      </c>
      <c r="JM7" s="123">
        <f>IF(OR(JM$4="",$B7=""),0,SUMIF('DADOS BRUTOS'!$A$3:$A$500,$B7,'DADOS BRUTOS'!GM$3:GM$500)+IF($C7="",0,SUMIF('DADOS BRUTOS'!$A$3:$A$500,$C7,'DADOS BRUTOS'!GM$3:GM$500)))</f>
        <v/>
      </c>
      <c r="JN7" s="123">
        <f>IF(OR(JN$4="",$B7=""),0,SUMIF('DADOS BRUTOS'!$A$3:$A$500,$B7,'DADOS BRUTOS'!GN$3:GN$500)+IF($C7="",0,SUMIF('DADOS BRUTOS'!$A$3:$A$500,$C7,'DADOS BRUTOS'!GN$3:GN$500)))</f>
        <v/>
      </c>
      <c r="JO7" s="123">
        <f>IF(OR(JO$4="",$B7=""),0,SUMIF('DADOS BRUTOS'!$A$3:$A$500,$B7,'DADOS BRUTOS'!GO$3:GO$500)+IF($C7="",0,SUMIF('DADOS BRUTOS'!$A$3:$A$500,$C7,'DADOS BRUTOS'!GO$3:GO$500)))</f>
        <v/>
      </c>
      <c r="JP7" s="123">
        <f>IF(OR(JP$4="",$B7=""),0,SUMIF('DADOS BRUTOS'!$A$3:$A$500,$B7,'DADOS BRUTOS'!GP$3:GP$500)+IF($C7="",0,SUMIF('DADOS BRUTOS'!$A$3:$A$500,$C7,'DADOS BRUTOS'!GP$3:GP$500)))</f>
        <v/>
      </c>
      <c r="JQ7" s="123">
        <f>IF(OR(JQ$4="",$B7=""),0,SUMIF('DADOS BRUTOS'!$A$3:$A$500,$B7,'DADOS BRUTOS'!GQ$3:GQ$500)+IF($C7="",0,SUMIF('DADOS BRUTOS'!$A$3:$A$500,$C7,'DADOS BRUTOS'!GQ$3:GQ$500)))</f>
        <v/>
      </c>
      <c r="JR7" s="123">
        <f>IF(OR(JR$4="",$B7=""),0,SUMIF('DADOS BRUTOS'!$A$3:$A$500,$B7,'DADOS BRUTOS'!GR$3:GR$500)+IF($C7="",0,SUMIF('DADOS BRUTOS'!$A$3:$A$500,$C7,'DADOS BRUTOS'!GR$3:GR$500)))</f>
        <v/>
      </c>
      <c r="JS7" s="123">
        <f>IF(OR(JS$4="",$B7=""),0,SUMIF('DADOS BRUTOS'!$A$3:$A$500,$B7,'DADOS BRUTOS'!GS$3:GS$500)+IF($C7="",0,SUMIF('DADOS BRUTOS'!$A$3:$A$500,$C7,'DADOS BRUTOS'!GS$3:GS$500)))</f>
        <v/>
      </c>
    </row>
    <row r="8">
      <c r="A8" s="61">
        <f>'VALOR POR PL'!D14</f>
        <v/>
      </c>
      <c r="B8" s="60" t="inlineStr">
        <is>
          <t>BARRACAO DE OBRA</t>
        </is>
      </c>
      <c r="C8" s="60" t="n"/>
      <c r="D8" s="55">
        <f>SUMIF($CB$4:$JS$4,"&lt;="&amp;D$4,$CB8:$JS8)</f>
        <v/>
      </c>
      <c r="E8" s="55">
        <f>SUMIF($CB$4:$JS$4,E$4,$CB8:$JS8)</f>
        <v/>
      </c>
      <c r="F8" s="55">
        <f>SUMIF($CB$4:$JS$4,F$4,$CB8:$JS8)</f>
        <v/>
      </c>
      <c r="G8" s="55">
        <f>SUMIF($CB$4:$JS$4,G$4,$CB8:$JS8)</f>
        <v/>
      </c>
      <c r="H8" s="55">
        <f>SUMIF($CB$4:$JS$4,H$4,$CB8:$JS8)</f>
        <v/>
      </c>
      <c r="I8" s="55">
        <f>SUMIF($CB$4:$JS$4,I$4,$CB8:$JS8)</f>
        <v/>
      </c>
      <c r="J8" s="55">
        <f>SUMIF($CB$4:$JS$4,J$4,$CB8:$JS8)</f>
        <v/>
      </c>
      <c r="K8" s="55">
        <f>SUMIF($CB$4:$JS$4,K$4,$CB8:$JS8)</f>
        <v/>
      </c>
      <c r="L8" s="55">
        <f>SUMIF($CB$4:$JS$4,L$4,$CB8:$JS8)</f>
        <v/>
      </c>
      <c r="M8" s="55">
        <f>SUMIF($CB$4:$JS$4,M$4,$CB8:$JS8)</f>
        <v/>
      </c>
      <c r="N8" s="55">
        <f>SUMIF($CB$4:$JS$4,N$4,$CB8:$JS8)</f>
        <v/>
      </c>
      <c r="O8" s="55">
        <f>SUMIF($CB$4:$JS$4,O$4,$CB8:$JS8)</f>
        <v/>
      </c>
      <c r="P8" s="55">
        <f>SUMIF($CB$4:$JS$4,P$4,$CB8:$JS8)</f>
        <v/>
      </c>
      <c r="Q8" s="55">
        <f>SUMIF($CB$4:$JS$4,Q$4,$CB8:$JS8)</f>
        <v/>
      </c>
      <c r="R8" s="55">
        <f>SUMIF($CB$4:$JS$4,R$4,$CB8:$JS8)</f>
        <v/>
      </c>
      <c r="S8" s="55">
        <f>SUMIF($CB$4:$JS$4,S$4,$CB8:$JS8)</f>
        <v/>
      </c>
      <c r="T8" s="55">
        <f>SUMIF($CB$4:$JS$4,T$4,$CB8:$JS8)</f>
        <v/>
      </c>
      <c r="U8" s="55">
        <f>SUMIF($CB$4:$JS$4,U$4,$CB8:$JS8)</f>
        <v/>
      </c>
      <c r="V8" s="55">
        <f>SUMIF($CB$4:$JS$4,V$4,$CB8:$JS8)</f>
        <v/>
      </c>
      <c r="W8" s="55">
        <f>SUMIF($CB$4:$JS$4,W$4,$CB8:$JS8)</f>
        <v/>
      </c>
      <c r="X8" s="55">
        <f>SUMIF($CB$4:$JS$4,X$4,$CB8:$JS8)</f>
        <v/>
      </c>
      <c r="Y8" s="55">
        <f>SUMIF($CB$4:$JS$4,Y$4,$CB8:$JS8)</f>
        <v/>
      </c>
      <c r="Z8" s="55">
        <f>SUMIF($CB$4:$JS$4,Z$4,$CB8:$JS8)</f>
        <v/>
      </c>
      <c r="AA8" s="55">
        <f>SUMIF($CB$4:$JS$4,AA$4,$CB8:$JS8)</f>
        <v/>
      </c>
      <c r="AB8" s="55">
        <f>SUMIF($CB$4:$JS$4,AB$4,$CB8:$JS8)</f>
        <v/>
      </c>
      <c r="AC8" s="55">
        <f>SUMIF($CB$4:$JS$4,AC$4,$CB8:$JS8)</f>
        <v/>
      </c>
      <c r="AD8" s="55">
        <f>SUMIF($CB$4:$JS$4,AD$4,$CB8:$JS8)</f>
        <v/>
      </c>
      <c r="AE8" s="55">
        <f>SUMIF($CB$4:$JS$4,AE$4,$CB8:$JS8)</f>
        <v/>
      </c>
      <c r="AF8" s="55">
        <f>SUMIF($CB$4:$JS$4,AF$4,$CB8:$JS8)</f>
        <v/>
      </c>
      <c r="AG8" s="55">
        <f>SUMIF($CB$4:$JS$4,AG$4,$CB8:$JS8)</f>
        <v/>
      </c>
      <c r="AH8" s="55">
        <f>SUMIF($CB$4:$JS$4,AH$4,$CB8:$JS8)</f>
        <v/>
      </c>
      <c r="AI8" s="55">
        <f>SUMIF($CB$4:$JS$4,AI$4,$CB8:$JS8)</f>
        <v/>
      </c>
      <c r="AJ8" s="55">
        <f>SUMIF($CB$4:$JS$4,AJ$4,$CB8:$JS8)</f>
        <v/>
      </c>
      <c r="AK8" s="55">
        <f>SUMIF($CB$4:$JS$4,AK$4,$CB8:$JS8)</f>
        <v/>
      </c>
      <c r="AL8" s="55">
        <f>SUMIF($CB$4:$JS$4,AL$4,$CB8:$JS8)</f>
        <v/>
      </c>
      <c r="AM8" s="55">
        <f>SUMIF($CB$4:$JS$4,AM$4,$CB8:$JS8)</f>
        <v/>
      </c>
      <c r="AN8" s="55">
        <f>SUMIF($CB$4:$JS$4,AN$4,$CB8:$JS8)</f>
        <v/>
      </c>
      <c r="AO8" s="55">
        <f>SUMIF($CB$4:$JS$4,AO$4,$CB8:$JS8)</f>
        <v/>
      </c>
      <c r="AP8" s="55">
        <f>SUMIF($CB$4:$JS$4,AP$4,$CB8:$JS8)</f>
        <v/>
      </c>
      <c r="AQ8" s="55">
        <f>SUMIF($CB$4:$JS$4,AQ$4,$CB8:$JS8)</f>
        <v/>
      </c>
      <c r="AR8" s="55">
        <f>SUMIF($CB$4:$JS$4,AR$4,$CB8:$JS8)</f>
        <v/>
      </c>
      <c r="AS8" s="55">
        <f>SUMIF($CB$4:$JS$4,AS$4,$CB8:$JS8)</f>
        <v/>
      </c>
      <c r="AT8" s="55">
        <f>SUMIF($CB$4:$JS$4,AT$4,$CB8:$JS8)</f>
        <v/>
      </c>
      <c r="AU8" s="55">
        <f>SUMIF($CB$4:$JS$4,AU$4,$CB8:$JS8)</f>
        <v/>
      </c>
      <c r="AV8" s="55">
        <f>SUMIF($CB$4:$JS$4,AV$4,$CB8:$JS8)</f>
        <v/>
      </c>
      <c r="AW8" s="55">
        <f>SUMIF($CB$4:$JS$4,AW$4,$CB8:$JS8)</f>
        <v/>
      </c>
      <c r="AX8" s="55">
        <f>SUMIF($CB$4:$JS$4,AX$4,$CB8:$JS8)</f>
        <v/>
      </c>
      <c r="AY8" s="55">
        <f>SUMIF($CB$4:$JS$4,AY$4,$CB8:$JS8)</f>
        <v/>
      </c>
      <c r="AZ8" s="55">
        <f>SUMIF($CB$4:$JS$4,AZ$4,$CB8:$JS8)</f>
        <v/>
      </c>
      <c r="BA8" s="55">
        <f>SUMIF($CB$4:$JS$4,BA$4,$CB8:$JS8)</f>
        <v/>
      </c>
      <c r="BB8" s="55">
        <f>SUMIF($CB$4:$JS$4,BB$4,$CB8:$JS8)</f>
        <v/>
      </c>
      <c r="BC8" s="55">
        <f>SUMIF($CB$4:$JS$4,BC$4,$CB8:$JS8)</f>
        <v/>
      </c>
      <c r="BD8" s="55">
        <f>SUMIF($CB$4:$JS$4,BD$4,$CB8:$JS8)</f>
        <v/>
      </c>
      <c r="BE8" s="55">
        <f>SUMIF($CB$4:$JS$4,BE$4,$CB8:$JS8)</f>
        <v/>
      </c>
      <c r="BF8" s="55">
        <f>SUMIF($CB$4:$JS$4,BF$4,$CB8:$JS8)</f>
        <v/>
      </c>
      <c r="BG8" s="55">
        <f>SUMIF($CB$4:$JS$4,BG$4,$CB8:$JS8)</f>
        <v/>
      </c>
      <c r="BH8" s="55">
        <f>SUMIF($CB$4:$JS$4,BH$4,$CB8:$JS8)</f>
        <v/>
      </c>
      <c r="BI8" s="55">
        <f>SUMIF($CB$4:$JS$4,BI$4,$CB8:$JS8)</f>
        <v/>
      </c>
      <c r="BJ8" s="55">
        <f>SUMIF($CB$4:$JS$4,BJ$4,$CB8:$JS8)</f>
        <v/>
      </c>
      <c r="BK8" s="55">
        <f>SUMIF($CB$4:$JS$4,BK$4,$CB8:$JS8)</f>
        <v/>
      </c>
      <c r="BL8" s="55">
        <f>SUMIF($CB$4:$JS$4,BL$4,$CB8:$JS8)</f>
        <v/>
      </c>
      <c r="BM8" s="55">
        <f>SUMIF($CB$4:$JS$4,BM$4,$CB8:$JS8)</f>
        <v/>
      </c>
      <c r="BN8" s="55">
        <f>SUMIF($CB$4:$JS$4,BN$4,$CB8:$JS8)</f>
        <v/>
      </c>
      <c r="BO8" s="55">
        <f>SUMIF($CB$4:$JS$4,BO$4,$CB8:$JS8)</f>
        <v/>
      </c>
      <c r="BP8" s="55">
        <f>SUMIF($CB$4:$JS$4,BP$4,$CB8:$JS8)</f>
        <v/>
      </c>
      <c r="BQ8" s="55">
        <f>SUMIF($CB$4:$JS$4,BQ$4,$CB8:$JS8)</f>
        <v/>
      </c>
      <c r="BR8" s="55">
        <f>SUMIF($CB$4:$JS$4,BR$4,$CB8:$JS8)</f>
        <v/>
      </c>
      <c r="BS8" s="55">
        <f>SUMIF($CB$4:$JS$4,BS$4,$CB8:$JS8)</f>
        <v/>
      </c>
      <c r="BT8" s="55">
        <f>SUMIF($CB$4:$JS$4,BT$4,$CB8:$JS8)</f>
        <v/>
      </c>
      <c r="BU8" s="55">
        <f>SUMIF($CB$4:$JS$4,BU$4,$CB8:$JS8)</f>
        <v/>
      </c>
      <c r="BV8" s="55">
        <f>SUMIF($CB$4:$JS$4,BV$4,$CB8:$JS8)</f>
        <v/>
      </c>
      <c r="BW8" s="55">
        <f>SUMIF($CB$4:$JS$4,BW$4,$CB8:$JS8)</f>
        <v/>
      </c>
      <c r="BX8" s="55">
        <f>SUMIF($CB$4:$JS$4,"&gt;"&amp;'VALOR POR PL'!$P$8,$CB8:$JS8)</f>
        <v/>
      </c>
      <c r="BY8" s="55">
        <f>SUM($CB8:$JS8)</f>
        <v/>
      </c>
      <c r="CB8" s="123">
        <f>IF(OR(CB$4="",$B8=""),0,SUMIF('DADOS BRUTOS'!$A$3:$A$500,$B8,'DADOS BRUTOS'!B$3:B$500)+IF($C8="",0,SUMIF('DADOS BRUTOS'!$A$3:$A$500,$C8,'DADOS BRUTOS'!B$3:B$500)))</f>
        <v/>
      </c>
      <c r="CC8" s="123">
        <f>IF(OR(CC$4="",$B8=""),0,SUMIF('DADOS BRUTOS'!$A$3:$A$500,$B8,'DADOS BRUTOS'!C$3:C$500)+IF($C8="",0,SUMIF('DADOS BRUTOS'!$A$3:$A$500,$C8,'DADOS BRUTOS'!C$3:C$500)))</f>
        <v/>
      </c>
      <c r="CD8" s="123">
        <f>IF(OR(CD$4="",$B8=""),0,SUMIF('DADOS BRUTOS'!$A$3:$A$500,$B8,'DADOS BRUTOS'!D$3:D$500)+IF($C8="",0,SUMIF('DADOS BRUTOS'!$A$3:$A$500,$C8,'DADOS BRUTOS'!D$3:D$500)))</f>
        <v/>
      </c>
      <c r="CE8" s="123">
        <f>IF(OR(CE$4="",$B8=""),0,SUMIF('DADOS BRUTOS'!$A$3:$A$500,$B8,'DADOS BRUTOS'!E$3:E$500)+IF($C8="",0,SUMIF('DADOS BRUTOS'!$A$3:$A$500,$C8,'DADOS BRUTOS'!E$3:E$500)))</f>
        <v/>
      </c>
      <c r="CF8" s="123">
        <f>IF(OR(CF$4="",$B8=""),0,SUMIF('DADOS BRUTOS'!$A$3:$A$500,$B8,'DADOS BRUTOS'!F$3:F$500)+IF($C8="",0,SUMIF('DADOS BRUTOS'!$A$3:$A$500,$C8,'DADOS BRUTOS'!F$3:F$500)))</f>
        <v/>
      </c>
      <c r="CG8" s="123">
        <f>IF(OR(CG$4="",$B8=""),0,SUMIF('DADOS BRUTOS'!$A$3:$A$500,$B8,'DADOS BRUTOS'!G$3:G$500)+IF($C8="",0,SUMIF('DADOS BRUTOS'!$A$3:$A$500,$C8,'DADOS BRUTOS'!G$3:G$500)))</f>
        <v/>
      </c>
      <c r="CH8" s="123">
        <f>IF(OR(CH$4="",$B8=""),0,SUMIF('DADOS BRUTOS'!$A$3:$A$500,$B8,'DADOS BRUTOS'!H$3:H$500)+IF($C8="",0,SUMIF('DADOS BRUTOS'!$A$3:$A$500,$C8,'DADOS BRUTOS'!H$3:H$500)))</f>
        <v/>
      </c>
      <c r="CI8" s="123">
        <f>IF(OR(CI$4="",$B8=""),0,SUMIF('DADOS BRUTOS'!$A$3:$A$500,$B8,'DADOS BRUTOS'!I$3:I$500)+IF($C8="",0,SUMIF('DADOS BRUTOS'!$A$3:$A$500,$C8,'DADOS BRUTOS'!I$3:I$500)))</f>
        <v/>
      </c>
      <c r="CJ8" s="123">
        <f>IF(OR(CJ$4="",$B8=""),0,SUMIF('DADOS BRUTOS'!$A$3:$A$500,$B8,'DADOS BRUTOS'!J$3:J$500)+IF($C8="",0,SUMIF('DADOS BRUTOS'!$A$3:$A$500,$C8,'DADOS BRUTOS'!J$3:J$500)))</f>
        <v/>
      </c>
      <c r="CK8" s="123">
        <f>IF(OR(CK$4="",$B8=""),0,SUMIF('DADOS BRUTOS'!$A$3:$A$500,$B8,'DADOS BRUTOS'!K$3:K$500)+IF($C8="",0,SUMIF('DADOS BRUTOS'!$A$3:$A$500,$C8,'DADOS BRUTOS'!K$3:K$500)))</f>
        <v/>
      </c>
      <c r="CL8" s="123">
        <f>IF(OR(CL$4="",$B8=""),0,SUMIF('DADOS BRUTOS'!$A$3:$A$500,$B8,'DADOS BRUTOS'!L$3:L$500)+IF($C8="",0,SUMIF('DADOS BRUTOS'!$A$3:$A$500,$C8,'DADOS BRUTOS'!L$3:L$500)))</f>
        <v/>
      </c>
      <c r="CM8" s="123">
        <f>IF(OR(CM$4="",$B8=""),0,SUMIF('DADOS BRUTOS'!$A$3:$A$500,$B8,'DADOS BRUTOS'!M$3:M$500)+IF($C8="",0,SUMIF('DADOS BRUTOS'!$A$3:$A$500,$C8,'DADOS BRUTOS'!M$3:M$500)))</f>
        <v/>
      </c>
      <c r="CN8" s="123">
        <f>IF(OR(CN$4="",$B8=""),0,SUMIF('DADOS BRUTOS'!$A$3:$A$500,$B8,'DADOS BRUTOS'!N$3:N$500)+IF($C8="",0,SUMIF('DADOS BRUTOS'!$A$3:$A$500,$C8,'DADOS BRUTOS'!N$3:N$500)))</f>
        <v/>
      </c>
      <c r="CO8" s="123">
        <f>IF(OR(CO$4="",$B8=""),0,SUMIF('DADOS BRUTOS'!$A$3:$A$500,$B8,'DADOS BRUTOS'!O$3:O$500)+IF($C8="",0,SUMIF('DADOS BRUTOS'!$A$3:$A$500,$C8,'DADOS BRUTOS'!O$3:O$500)))</f>
        <v/>
      </c>
      <c r="CP8" s="123">
        <f>IF(OR(CP$4="",$B8=""),0,SUMIF('DADOS BRUTOS'!$A$3:$A$500,$B8,'DADOS BRUTOS'!P$3:P$500)+IF($C8="",0,SUMIF('DADOS BRUTOS'!$A$3:$A$500,$C8,'DADOS BRUTOS'!P$3:P$500)))</f>
        <v/>
      </c>
      <c r="CQ8" s="123">
        <f>IF(OR(CQ$4="",$B8=""),0,SUMIF('DADOS BRUTOS'!$A$3:$A$500,$B8,'DADOS BRUTOS'!Q$3:Q$500)+IF($C8="",0,SUMIF('DADOS BRUTOS'!$A$3:$A$500,$C8,'DADOS BRUTOS'!Q$3:Q$500)))</f>
        <v/>
      </c>
      <c r="CR8" s="123">
        <f>IF(OR(CR$4="",$B8=""),0,SUMIF('DADOS BRUTOS'!$A$3:$A$500,$B8,'DADOS BRUTOS'!R$3:R$500)+IF($C8="",0,SUMIF('DADOS BRUTOS'!$A$3:$A$500,$C8,'DADOS BRUTOS'!R$3:R$500)))</f>
        <v/>
      </c>
      <c r="CS8" s="123">
        <f>IF(OR(CS$4="",$B8=""),0,SUMIF('DADOS BRUTOS'!$A$3:$A$500,$B8,'DADOS BRUTOS'!S$3:S$500)+IF($C8="",0,SUMIF('DADOS BRUTOS'!$A$3:$A$500,$C8,'DADOS BRUTOS'!S$3:S$500)))</f>
        <v/>
      </c>
      <c r="CT8" s="123">
        <f>IF(OR(CT$4="",$B8=""),0,SUMIF('DADOS BRUTOS'!$A$3:$A$500,$B8,'DADOS BRUTOS'!T$3:T$500)+IF($C8="",0,SUMIF('DADOS BRUTOS'!$A$3:$A$500,$C8,'DADOS BRUTOS'!T$3:T$500)))</f>
        <v/>
      </c>
      <c r="CU8" s="123">
        <f>IF(OR(CU$4="",$B8=""),0,SUMIF('DADOS BRUTOS'!$A$3:$A$500,$B8,'DADOS BRUTOS'!U$3:U$500)+IF($C8="",0,SUMIF('DADOS BRUTOS'!$A$3:$A$500,$C8,'DADOS BRUTOS'!U$3:U$500)))</f>
        <v/>
      </c>
      <c r="CV8" s="123">
        <f>IF(OR(CV$4="",$B8=""),0,SUMIF('DADOS BRUTOS'!$A$3:$A$500,$B8,'DADOS BRUTOS'!V$3:V$500)+IF($C8="",0,SUMIF('DADOS BRUTOS'!$A$3:$A$500,$C8,'DADOS BRUTOS'!V$3:V$500)))</f>
        <v/>
      </c>
      <c r="CW8" s="123">
        <f>IF(OR(CW$4="",$B8=""),0,SUMIF('DADOS BRUTOS'!$A$3:$A$500,$B8,'DADOS BRUTOS'!W$3:W$500)+IF($C8="",0,SUMIF('DADOS BRUTOS'!$A$3:$A$500,$C8,'DADOS BRUTOS'!W$3:W$500)))</f>
        <v/>
      </c>
      <c r="CX8" s="123">
        <f>IF(OR(CX$4="",$B8=""),0,SUMIF('DADOS BRUTOS'!$A$3:$A$500,$B8,'DADOS BRUTOS'!X$3:X$500)+IF($C8="",0,SUMIF('DADOS BRUTOS'!$A$3:$A$500,$C8,'DADOS BRUTOS'!X$3:X$500)))</f>
        <v/>
      </c>
      <c r="CY8" s="123">
        <f>IF(OR(CY$4="",$B8=""),0,SUMIF('DADOS BRUTOS'!$A$3:$A$500,$B8,'DADOS BRUTOS'!Y$3:Y$500)+IF($C8="",0,SUMIF('DADOS BRUTOS'!$A$3:$A$500,$C8,'DADOS BRUTOS'!Y$3:Y$500)))</f>
        <v/>
      </c>
      <c r="CZ8" s="123">
        <f>IF(OR(CZ$4="",$B8=""),0,SUMIF('DADOS BRUTOS'!$A$3:$A$500,$B8,'DADOS BRUTOS'!Z$3:Z$500)+IF($C8="",0,SUMIF('DADOS BRUTOS'!$A$3:$A$500,$C8,'DADOS BRUTOS'!Z$3:Z$500)))</f>
        <v/>
      </c>
      <c r="DA8" s="123">
        <f>IF(OR(DA$4="",$B8=""),0,SUMIF('DADOS BRUTOS'!$A$3:$A$500,$B8,'DADOS BRUTOS'!AA$3:AA$500)+IF($C8="",0,SUMIF('DADOS BRUTOS'!$A$3:$A$500,$C8,'DADOS BRUTOS'!AA$3:AA$500)))</f>
        <v/>
      </c>
      <c r="DB8" s="123">
        <f>IF(OR(DB$4="",$B8=""),0,SUMIF('DADOS BRUTOS'!$A$3:$A$500,$B8,'DADOS BRUTOS'!AB$3:AB$500)+IF($C8="",0,SUMIF('DADOS BRUTOS'!$A$3:$A$500,$C8,'DADOS BRUTOS'!AB$3:AB$500)))</f>
        <v/>
      </c>
      <c r="DC8" s="123">
        <f>IF(OR(DC$4="",$B8=""),0,SUMIF('DADOS BRUTOS'!$A$3:$A$500,$B8,'DADOS BRUTOS'!AC$3:AC$500)+IF($C8="",0,SUMIF('DADOS BRUTOS'!$A$3:$A$500,$C8,'DADOS BRUTOS'!AC$3:AC$500)))</f>
        <v/>
      </c>
      <c r="DD8" s="123">
        <f>IF(OR(DD$4="",$B8=""),0,SUMIF('DADOS BRUTOS'!$A$3:$A$500,$B8,'DADOS BRUTOS'!AD$3:AD$500)+IF($C8="",0,SUMIF('DADOS BRUTOS'!$A$3:$A$500,$C8,'DADOS BRUTOS'!AD$3:AD$500)))</f>
        <v/>
      </c>
      <c r="DE8" s="123">
        <f>IF(OR(DE$4="",$B8=""),0,SUMIF('DADOS BRUTOS'!$A$3:$A$500,$B8,'DADOS BRUTOS'!AE$3:AE$500)+IF($C8="",0,SUMIF('DADOS BRUTOS'!$A$3:$A$500,$C8,'DADOS BRUTOS'!AE$3:AE$500)))</f>
        <v/>
      </c>
      <c r="DF8" s="123">
        <f>IF(OR(DF$4="",$B8=""),0,SUMIF('DADOS BRUTOS'!$A$3:$A$500,$B8,'DADOS BRUTOS'!AF$3:AF$500)+IF($C8="",0,SUMIF('DADOS BRUTOS'!$A$3:$A$500,$C8,'DADOS BRUTOS'!AF$3:AF$500)))</f>
        <v/>
      </c>
      <c r="DG8" s="123">
        <f>IF(OR(DG$4="",$B8=""),0,SUMIF('DADOS BRUTOS'!$A$3:$A$500,$B8,'DADOS BRUTOS'!AG$3:AG$500)+IF($C8="",0,SUMIF('DADOS BRUTOS'!$A$3:$A$500,$C8,'DADOS BRUTOS'!AG$3:AG$500)))</f>
        <v/>
      </c>
      <c r="DH8" s="123">
        <f>IF(OR(DH$4="",$B8=""),0,SUMIF('DADOS BRUTOS'!$A$3:$A$500,$B8,'DADOS BRUTOS'!AH$3:AH$500)+IF($C8="",0,SUMIF('DADOS BRUTOS'!$A$3:$A$500,$C8,'DADOS BRUTOS'!AH$3:AH$500)))</f>
        <v/>
      </c>
      <c r="DI8" s="123">
        <f>IF(OR(DI$4="",$B8=""),0,SUMIF('DADOS BRUTOS'!$A$3:$A$500,$B8,'DADOS BRUTOS'!AI$3:AI$500)+IF($C8="",0,SUMIF('DADOS BRUTOS'!$A$3:$A$500,$C8,'DADOS BRUTOS'!AI$3:AI$500)))</f>
        <v/>
      </c>
      <c r="DJ8" s="123">
        <f>IF(OR(DJ$4="",$B8=""),0,SUMIF('DADOS BRUTOS'!$A$3:$A$500,$B8,'DADOS BRUTOS'!AJ$3:AJ$500)+IF($C8="",0,SUMIF('DADOS BRUTOS'!$A$3:$A$500,$C8,'DADOS BRUTOS'!AJ$3:AJ$500)))</f>
        <v/>
      </c>
      <c r="DK8" s="123">
        <f>IF(OR(DK$4="",$B8=""),0,SUMIF('DADOS BRUTOS'!$A$3:$A$500,$B8,'DADOS BRUTOS'!AK$3:AK$500)+IF($C8="",0,SUMIF('DADOS BRUTOS'!$A$3:$A$500,$C8,'DADOS BRUTOS'!AK$3:AK$500)))</f>
        <v/>
      </c>
      <c r="DL8" s="123">
        <f>IF(OR(DL$4="",$B8=""),0,SUMIF('DADOS BRUTOS'!$A$3:$A$500,$B8,'DADOS BRUTOS'!AL$3:AL$500)+IF($C8="",0,SUMIF('DADOS BRUTOS'!$A$3:$A$500,$C8,'DADOS BRUTOS'!AL$3:AL$500)))</f>
        <v/>
      </c>
      <c r="DM8" s="123">
        <f>IF(OR(DM$4="",$B8=""),0,SUMIF('DADOS BRUTOS'!$A$3:$A$500,$B8,'DADOS BRUTOS'!AM$3:AM$500)+IF($C8="",0,SUMIF('DADOS BRUTOS'!$A$3:$A$500,$C8,'DADOS BRUTOS'!AM$3:AM$500)))</f>
        <v/>
      </c>
      <c r="DN8" s="123">
        <f>IF(OR(DN$4="",$B8=""),0,SUMIF('DADOS BRUTOS'!$A$3:$A$500,$B8,'DADOS BRUTOS'!AN$3:AN$500)+IF($C8="",0,SUMIF('DADOS BRUTOS'!$A$3:$A$500,$C8,'DADOS BRUTOS'!AN$3:AN$500)))</f>
        <v/>
      </c>
      <c r="DO8" s="123">
        <f>IF(OR(DO$4="",$B8=""),0,SUMIF('DADOS BRUTOS'!$A$3:$A$500,$B8,'DADOS BRUTOS'!AO$3:AO$500)+IF($C8="",0,SUMIF('DADOS BRUTOS'!$A$3:$A$500,$C8,'DADOS BRUTOS'!AO$3:AO$500)))</f>
        <v/>
      </c>
      <c r="DP8" s="123">
        <f>IF(OR(DP$4="",$B8=""),0,SUMIF('DADOS BRUTOS'!$A$3:$A$500,$B8,'DADOS BRUTOS'!AP$3:AP$500)+IF($C8="",0,SUMIF('DADOS BRUTOS'!$A$3:$A$500,$C8,'DADOS BRUTOS'!AP$3:AP$500)))</f>
        <v/>
      </c>
      <c r="DQ8" s="123">
        <f>IF(OR(DQ$4="",$B8=""),0,SUMIF('DADOS BRUTOS'!$A$3:$A$500,$B8,'DADOS BRUTOS'!AQ$3:AQ$500)+IF($C8="",0,SUMIF('DADOS BRUTOS'!$A$3:$A$500,$C8,'DADOS BRUTOS'!AQ$3:AQ$500)))</f>
        <v/>
      </c>
      <c r="DR8" s="123">
        <f>IF(OR(DR$4="",$B8=""),0,SUMIF('DADOS BRUTOS'!$A$3:$A$500,$B8,'DADOS BRUTOS'!AR$3:AR$500)+IF($C8="",0,SUMIF('DADOS BRUTOS'!$A$3:$A$500,$C8,'DADOS BRUTOS'!AR$3:AR$500)))</f>
        <v/>
      </c>
      <c r="DS8" s="123">
        <f>IF(OR(DS$4="",$B8=""),0,SUMIF('DADOS BRUTOS'!$A$3:$A$500,$B8,'DADOS BRUTOS'!AS$3:AS$500)+IF($C8="",0,SUMIF('DADOS BRUTOS'!$A$3:$A$500,$C8,'DADOS BRUTOS'!AS$3:AS$500)))</f>
        <v/>
      </c>
      <c r="DT8" s="123">
        <f>IF(OR(DT$4="",$B8=""),0,SUMIF('DADOS BRUTOS'!$A$3:$A$500,$B8,'DADOS BRUTOS'!AT$3:AT$500)+IF($C8="",0,SUMIF('DADOS BRUTOS'!$A$3:$A$500,$C8,'DADOS BRUTOS'!AT$3:AT$500)))</f>
        <v/>
      </c>
      <c r="DU8" s="123">
        <f>IF(OR(DU$4="",$B8=""),0,SUMIF('DADOS BRUTOS'!$A$3:$A$500,$B8,'DADOS BRUTOS'!AU$3:AU$500)+IF($C8="",0,SUMIF('DADOS BRUTOS'!$A$3:$A$500,$C8,'DADOS BRUTOS'!AU$3:AU$500)))</f>
        <v/>
      </c>
      <c r="DV8" s="123">
        <f>IF(OR(DV$4="",$B8=""),0,SUMIF('DADOS BRUTOS'!$A$3:$A$500,$B8,'DADOS BRUTOS'!AV$3:AV$500)+IF($C8="",0,SUMIF('DADOS BRUTOS'!$A$3:$A$500,$C8,'DADOS BRUTOS'!AV$3:AV$500)))</f>
        <v/>
      </c>
      <c r="DW8" s="123">
        <f>IF(OR(DW$4="",$B8=""),0,SUMIF('DADOS BRUTOS'!$A$3:$A$500,$B8,'DADOS BRUTOS'!AW$3:AW$500)+IF($C8="",0,SUMIF('DADOS BRUTOS'!$A$3:$A$500,$C8,'DADOS BRUTOS'!AW$3:AW$500)))</f>
        <v/>
      </c>
      <c r="DX8" s="123">
        <f>IF(OR(DX$4="",$B8=""),0,SUMIF('DADOS BRUTOS'!$A$3:$A$500,$B8,'DADOS BRUTOS'!AX$3:AX$500)+IF($C8="",0,SUMIF('DADOS BRUTOS'!$A$3:$A$500,$C8,'DADOS BRUTOS'!AX$3:AX$500)))</f>
        <v/>
      </c>
      <c r="DY8" s="123">
        <f>IF(OR(DY$4="",$B8=""),0,SUMIF('DADOS BRUTOS'!$A$3:$A$500,$B8,'DADOS BRUTOS'!AY$3:AY$500)+IF($C8="",0,SUMIF('DADOS BRUTOS'!$A$3:$A$500,$C8,'DADOS BRUTOS'!AY$3:AY$500)))</f>
        <v/>
      </c>
      <c r="DZ8" s="123">
        <f>IF(OR(DZ$4="",$B8=""),0,SUMIF('DADOS BRUTOS'!$A$3:$A$500,$B8,'DADOS BRUTOS'!AZ$3:AZ$500)+IF($C8="",0,SUMIF('DADOS BRUTOS'!$A$3:$A$500,$C8,'DADOS BRUTOS'!AZ$3:AZ$500)))</f>
        <v/>
      </c>
      <c r="EA8" s="123">
        <f>IF(OR(EA$4="",$B8=""),0,SUMIF('DADOS BRUTOS'!$A$3:$A$500,$B8,'DADOS BRUTOS'!BA$3:BA$500)+IF($C8="",0,SUMIF('DADOS BRUTOS'!$A$3:$A$500,$C8,'DADOS BRUTOS'!BA$3:BA$500)))</f>
        <v/>
      </c>
      <c r="EB8" s="123">
        <f>IF(OR(EB$4="",$B8=""),0,SUMIF('DADOS BRUTOS'!$A$3:$A$500,$B8,'DADOS BRUTOS'!BB$3:BB$500)+IF($C8="",0,SUMIF('DADOS BRUTOS'!$A$3:$A$500,$C8,'DADOS BRUTOS'!BB$3:BB$500)))</f>
        <v/>
      </c>
      <c r="EC8" s="123">
        <f>IF(OR(EC$4="",$B8=""),0,SUMIF('DADOS BRUTOS'!$A$3:$A$500,$B8,'DADOS BRUTOS'!BC$3:BC$500)+IF($C8="",0,SUMIF('DADOS BRUTOS'!$A$3:$A$500,$C8,'DADOS BRUTOS'!BC$3:BC$500)))</f>
        <v/>
      </c>
      <c r="ED8" s="123">
        <f>IF(OR(ED$4="",$B8=""),0,SUMIF('DADOS BRUTOS'!$A$3:$A$500,$B8,'DADOS BRUTOS'!BD$3:BD$500)+IF($C8="",0,SUMIF('DADOS BRUTOS'!$A$3:$A$500,$C8,'DADOS BRUTOS'!BD$3:BD$500)))</f>
        <v/>
      </c>
      <c r="EE8" s="123">
        <f>IF(OR(EE$4="",$B8=""),0,SUMIF('DADOS BRUTOS'!$A$3:$A$500,$B8,'DADOS BRUTOS'!BE$3:BE$500)+IF($C8="",0,SUMIF('DADOS BRUTOS'!$A$3:$A$500,$C8,'DADOS BRUTOS'!BE$3:BE$500)))</f>
        <v/>
      </c>
      <c r="EF8" s="123">
        <f>IF(OR(EF$4="",$B8=""),0,SUMIF('DADOS BRUTOS'!$A$3:$A$500,$B8,'DADOS BRUTOS'!BF$3:BF$500)+IF($C8="",0,SUMIF('DADOS BRUTOS'!$A$3:$A$500,$C8,'DADOS BRUTOS'!BF$3:BF$500)))</f>
        <v/>
      </c>
      <c r="EG8" s="123">
        <f>IF(OR(EG$4="",$B8=""),0,SUMIF('DADOS BRUTOS'!$A$3:$A$500,$B8,'DADOS BRUTOS'!BG$3:BG$500)+IF($C8="",0,SUMIF('DADOS BRUTOS'!$A$3:$A$500,$C8,'DADOS BRUTOS'!BG$3:BG$500)))</f>
        <v/>
      </c>
      <c r="EH8" s="123">
        <f>IF(OR(EH$4="",$B8=""),0,SUMIF('DADOS BRUTOS'!$A$3:$A$500,$B8,'DADOS BRUTOS'!BH$3:BH$500)+IF($C8="",0,SUMIF('DADOS BRUTOS'!$A$3:$A$500,$C8,'DADOS BRUTOS'!BH$3:BH$500)))</f>
        <v/>
      </c>
      <c r="EI8" s="123">
        <f>IF(OR(EI$4="",$B8=""),0,SUMIF('DADOS BRUTOS'!$A$3:$A$500,$B8,'DADOS BRUTOS'!BI$3:BI$500)+IF($C8="",0,SUMIF('DADOS BRUTOS'!$A$3:$A$500,$C8,'DADOS BRUTOS'!BI$3:BI$500)))</f>
        <v/>
      </c>
      <c r="EJ8" s="123">
        <f>IF(OR(EJ$4="",$B8=""),0,SUMIF('DADOS BRUTOS'!$A$3:$A$500,$B8,'DADOS BRUTOS'!BJ$3:BJ$500)+IF($C8="",0,SUMIF('DADOS BRUTOS'!$A$3:$A$500,$C8,'DADOS BRUTOS'!BJ$3:BJ$500)))</f>
        <v/>
      </c>
      <c r="EK8" s="123">
        <f>IF(OR(EK$4="",$B8=""),0,SUMIF('DADOS BRUTOS'!$A$3:$A$500,$B8,'DADOS BRUTOS'!BK$3:BK$500)+IF($C8="",0,SUMIF('DADOS BRUTOS'!$A$3:$A$500,$C8,'DADOS BRUTOS'!BK$3:BK$500)))</f>
        <v/>
      </c>
      <c r="EL8" s="123">
        <f>IF(OR(EL$4="",$B8=""),0,SUMIF('DADOS BRUTOS'!$A$3:$A$500,$B8,'DADOS BRUTOS'!BL$3:BL$500)+IF($C8="",0,SUMIF('DADOS BRUTOS'!$A$3:$A$500,$C8,'DADOS BRUTOS'!BL$3:BL$500)))</f>
        <v/>
      </c>
      <c r="EM8" s="123">
        <f>IF(OR(EM$4="",$B8=""),0,SUMIF('DADOS BRUTOS'!$A$3:$A$500,$B8,'DADOS BRUTOS'!BM$3:BM$500)+IF($C8="",0,SUMIF('DADOS BRUTOS'!$A$3:$A$500,$C8,'DADOS BRUTOS'!BM$3:BM$500)))</f>
        <v/>
      </c>
      <c r="EN8" s="123">
        <f>IF(OR(EN$4="",$B8=""),0,SUMIF('DADOS BRUTOS'!$A$3:$A$500,$B8,'DADOS BRUTOS'!BN$3:BN$500)+IF($C8="",0,SUMIF('DADOS BRUTOS'!$A$3:$A$500,$C8,'DADOS BRUTOS'!BN$3:BN$500)))</f>
        <v/>
      </c>
      <c r="EO8" s="123">
        <f>IF(OR(EO$4="",$B8=""),0,SUMIF('DADOS BRUTOS'!$A$3:$A$500,$B8,'DADOS BRUTOS'!BO$3:BO$500)+IF($C8="",0,SUMIF('DADOS BRUTOS'!$A$3:$A$500,$C8,'DADOS BRUTOS'!BO$3:BO$500)))</f>
        <v/>
      </c>
      <c r="EP8" s="123">
        <f>IF(OR(EP$4="",$B8=""),0,SUMIF('DADOS BRUTOS'!$A$3:$A$500,$B8,'DADOS BRUTOS'!BP$3:BP$500)+IF($C8="",0,SUMIF('DADOS BRUTOS'!$A$3:$A$500,$C8,'DADOS BRUTOS'!BP$3:BP$500)))</f>
        <v/>
      </c>
      <c r="EQ8" s="123">
        <f>IF(OR(EQ$4="",$B8=""),0,SUMIF('DADOS BRUTOS'!$A$3:$A$500,$B8,'DADOS BRUTOS'!BQ$3:BQ$500)+IF($C8="",0,SUMIF('DADOS BRUTOS'!$A$3:$A$500,$C8,'DADOS BRUTOS'!BQ$3:BQ$500)))</f>
        <v/>
      </c>
      <c r="ER8" s="123">
        <f>IF(OR(ER$4="",$B8=""),0,SUMIF('DADOS BRUTOS'!$A$3:$A$500,$B8,'DADOS BRUTOS'!BR$3:BR$500)+IF($C8="",0,SUMIF('DADOS BRUTOS'!$A$3:$A$500,$C8,'DADOS BRUTOS'!BR$3:BR$500)))</f>
        <v/>
      </c>
      <c r="ES8" s="123">
        <f>IF(OR(ES$4="",$B8=""),0,SUMIF('DADOS BRUTOS'!$A$3:$A$500,$B8,'DADOS BRUTOS'!BS$3:BS$500)+IF($C8="",0,SUMIF('DADOS BRUTOS'!$A$3:$A$500,$C8,'DADOS BRUTOS'!BS$3:BS$500)))</f>
        <v/>
      </c>
      <c r="ET8" s="123">
        <f>IF(OR(ET$4="",$B8=""),0,SUMIF('DADOS BRUTOS'!$A$3:$A$500,$B8,'DADOS BRUTOS'!BT$3:BT$500)+IF($C8="",0,SUMIF('DADOS BRUTOS'!$A$3:$A$500,$C8,'DADOS BRUTOS'!BT$3:BT$500)))</f>
        <v/>
      </c>
      <c r="EU8" s="123">
        <f>IF(OR(EU$4="",$B8=""),0,SUMIF('DADOS BRUTOS'!$A$3:$A$500,$B8,'DADOS BRUTOS'!BU$3:BU$500)+IF($C8="",0,SUMIF('DADOS BRUTOS'!$A$3:$A$500,$C8,'DADOS BRUTOS'!BU$3:BU$500)))</f>
        <v/>
      </c>
      <c r="EV8" s="123">
        <f>IF(OR(EV$4="",$B8=""),0,SUMIF('DADOS BRUTOS'!$A$3:$A$500,$B8,'DADOS BRUTOS'!BV$3:BV$500)+IF($C8="",0,SUMIF('DADOS BRUTOS'!$A$3:$A$500,$C8,'DADOS BRUTOS'!BV$3:BV$500)))</f>
        <v/>
      </c>
      <c r="EW8" s="123">
        <f>IF(OR(EW$4="",$B8=""),0,SUMIF('DADOS BRUTOS'!$A$3:$A$500,$B8,'DADOS BRUTOS'!BW$3:BW$500)+IF($C8="",0,SUMIF('DADOS BRUTOS'!$A$3:$A$500,$C8,'DADOS BRUTOS'!BW$3:BW$500)))</f>
        <v/>
      </c>
      <c r="EX8" s="123">
        <f>IF(OR(EX$4="",$B8=""),0,SUMIF('DADOS BRUTOS'!$A$3:$A$500,$B8,'DADOS BRUTOS'!BX$3:BX$500)+IF($C8="",0,SUMIF('DADOS BRUTOS'!$A$3:$A$500,$C8,'DADOS BRUTOS'!BX$3:BX$500)))</f>
        <v/>
      </c>
      <c r="EY8" s="123">
        <f>IF(OR(EY$4="",$B8=""),0,SUMIF('DADOS BRUTOS'!$A$3:$A$500,$B8,'DADOS BRUTOS'!BY$3:BY$500)+IF($C8="",0,SUMIF('DADOS BRUTOS'!$A$3:$A$500,$C8,'DADOS BRUTOS'!BY$3:BY$500)))</f>
        <v/>
      </c>
      <c r="EZ8" s="123">
        <f>IF(OR(EZ$4="",$B8=""),0,SUMIF('DADOS BRUTOS'!$A$3:$A$500,$B8,'DADOS BRUTOS'!BZ$3:BZ$500)+IF($C8="",0,SUMIF('DADOS BRUTOS'!$A$3:$A$500,$C8,'DADOS BRUTOS'!BZ$3:BZ$500)))</f>
        <v/>
      </c>
      <c r="FA8" s="123">
        <f>IF(OR(FA$4="",$B8=""),0,SUMIF('DADOS BRUTOS'!$A$3:$A$500,$B8,'DADOS BRUTOS'!CA$3:CA$500)+IF($C8="",0,SUMIF('DADOS BRUTOS'!$A$3:$A$500,$C8,'DADOS BRUTOS'!CA$3:CA$500)))</f>
        <v/>
      </c>
      <c r="FB8" s="123">
        <f>IF(OR(FB$4="",$B8=""),0,SUMIF('DADOS BRUTOS'!$A$3:$A$500,$B8,'DADOS BRUTOS'!CB$3:CB$500)+IF($C8="",0,SUMIF('DADOS BRUTOS'!$A$3:$A$500,$C8,'DADOS BRUTOS'!CB$3:CB$500)))</f>
        <v/>
      </c>
      <c r="FC8" s="123">
        <f>IF(OR(FC$4="",$B8=""),0,SUMIF('DADOS BRUTOS'!$A$3:$A$500,$B8,'DADOS BRUTOS'!CC$3:CC$500)+IF($C8="",0,SUMIF('DADOS BRUTOS'!$A$3:$A$500,$C8,'DADOS BRUTOS'!CC$3:CC$500)))</f>
        <v/>
      </c>
      <c r="FD8" s="123">
        <f>IF(OR(FD$4="",$B8=""),0,SUMIF('DADOS BRUTOS'!$A$3:$A$500,$B8,'DADOS BRUTOS'!CD$3:CD$500)+IF($C8="",0,SUMIF('DADOS BRUTOS'!$A$3:$A$500,$C8,'DADOS BRUTOS'!CD$3:CD$500)))</f>
        <v/>
      </c>
      <c r="FE8" s="123">
        <f>IF(OR(FE$4="",$B8=""),0,SUMIF('DADOS BRUTOS'!$A$3:$A$500,$B8,'DADOS BRUTOS'!CE$3:CE$500)+IF($C8="",0,SUMIF('DADOS BRUTOS'!$A$3:$A$500,$C8,'DADOS BRUTOS'!CE$3:CE$500)))</f>
        <v/>
      </c>
      <c r="FF8" s="123">
        <f>IF(OR(FF$4="",$B8=""),0,SUMIF('DADOS BRUTOS'!$A$3:$A$500,$B8,'DADOS BRUTOS'!CF$3:CF$500)+IF($C8="",0,SUMIF('DADOS BRUTOS'!$A$3:$A$500,$C8,'DADOS BRUTOS'!CF$3:CF$500)))</f>
        <v/>
      </c>
      <c r="FG8" s="123">
        <f>IF(OR(FG$4="",$B8=""),0,SUMIF('DADOS BRUTOS'!$A$3:$A$500,$B8,'DADOS BRUTOS'!CG$3:CG$500)+IF($C8="",0,SUMIF('DADOS BRUTOS'!$A$3:$A$500,$C8,'DADOS BRUTOS'!CG$3:CG$500)))</f>
        <v/>
      </c>
      <c r="FH8" s="123">
        <f>IF(OR(FH$4="",$B8=""),0,SUMIF('DADOS BRUTOS'!$A$3:$A$500,$B8,'DADOS BRUTOS'!CH$3:CH$500)+IF($C8="",0,SUMIF('DADOS BRUTOS'!$A$3:$A$500,$C8,'DADOS BRUTOS'!CH$3:CH$500)))</f>
        <v/>
      </c>
      <c r="FI8" s="123">
        <f>IF(OR(FI$4="",$B8=""),0,SUMIF('DADOS BRUTOS'!$A$3:$A$500,$B8,'DADOS BRUTOS'!CI$3:CI$500)+IF($C8="",0,SUMIF('DADOS BRUTOS'!$A$3:$A$500,$C8,'DADOS BRUTOS'!CI$3:CI$500)))</f>
        <v/>
      </c>
      <c r="FJ8" s="123">
        <f>IF(OR(FJ$4="",$B8=""),0,SUMIF('DADOS BRUTOS'!$A$3:$A$500,$B8,'DADOS BRUTOS'!CJ$3:CJ$500)+IF($C8="",0,SUMIF('DADOS BRUTOS'!$A$3:$A$500,$C8,'DADOS BRUTOS'!CJ$3:CJ$500)))</f>
        <v/>
      </c>
      <c r="FK8" s="123">
        <f>IF(OR(FK$4="",$B8=""),0,SUMIF('DADOS BRUTOS'!$A$3:$A$500,$B8,'DADOS BRUTOS'!CK$3:CK$500)+IF($C8="",0,SUMIF('DADOS BRUTOS'!$A$3:$A$500,$C8,'DADOS BRUTOS'!CK$3:CK$500)))</f>
        <v/>
      </c>
      <c r="FL8" s="123">
        <f>IF(OR(FL$4="",$B8=""),0,SUMIF('DADOS BRUTOS'!$A$3:$A$500,$B8,'DADOS BRUTOS'!CL$3:CL$500)+IF($C8="",0,SUMIF('DADOS BRUTOS'!$A$3:$A$500,$C8,'DADOS BRUTOS'!CL$3:CL$500)))</f>
        <v/>
      </c>
      <c r="FM8" s="123">
        <f>IF(OR(FM$4="",$B8=""),0,SUMIF('DADOS BRUTOS'!$A$3:$A$500,$B8,'DADOS BRUTOS'!CM$3:CM$500)+IF($C8="",0,SUMIF('DADOS BRUTOS'!$A$3:$A$500,$C8,'DADOS BRUTOS'!CM$3:CM$500)))</f>
        <v/>
      </c>
      <c r="FN8" s="123">
        <f>IF(OR(FN$4="",$B8=""),0,SUMIF('DADOS BRUTOS'!$A$3:$A$500,$B8,'DADOS BRUTOS'!CN$3:CN$500)+IF($C8="",0,SUMIF('DADOS BRUTOS'!$A$3:$A$500,$C8,'DADOS BRUTOS'!CN$3:CN$500)))</f>
        <v/>
      </c>
      <c r="FO8" s="123">
        <f>IF(OR(FO$4="",$B8=""),0,SUMIF('DADOS BRUTOS'!$A$3:$A$500,$B8,'DADOS BRUTOS'!CO$3:CO$500)+IF($C8="",0,SUMIF('DADOS BRUTOS'!$A$3:$A$500,$C8,'DADOS BRUTOS'!CO$3:CO$500)))</f>
        <v/>
      </c>
      <c r="FP8" s="123">
        <f>IF(OR(FP$4="",$B8=""),0,SUMIF('DADOS BRUTOS'!$A$3:$A$500,$B8,'DADOS BRUTOS'!CP$3:CP$500)+IF($C8="",0,SUMIF('DADOS BRUTOS'!$A$3:$A$500,$C8,'DADOS BRUTOS'!CP$3:CP$500)))</f>
        <v/>
      </c>
      <c r="FQ8" s="123">
        <f>IF(OR(FQ$4="",$B8=""),0,SUMIF('DADOS BRUTOS'!$A$3:$A$500,$B8,'DADOS BRUTOS'!CQ$3:CQ$500)+IF($C8="",0,SUMIF('DADOS BRUTOS'!$A$3:$A$500,$C8,'DADOS BRUTOS'!CQ$3:CQ$500)))</f>
        <v/>
      </c>
      <c r="FR8" s="123">
        <f>IF(OR(FR$4="",$B8=""),0,SUMIF('DADOS BRUTOS'!$A$3:$A$500,$B8,'DADOS BRUTOS'!CR$3:CR$500)+IF($C8="",0,SUMIF('DADOS BRUTOS'!$A$3:$A$500,$C8,'DADOS BRUTOS'!CR$3:CR$500)))</f>
        <v/>
      </c>
      <c r="FS8" s="123">
        <f>IF(OR(FS$4="",$B8=""),0,SUMIF('DADOS BRUTOS'!$A$3:$A$500,$B8,'DADOS BRUTOS'!CS$3:CS$500)+IF($C8="",0,SUMIF('DADOS BRUTOS'!$A$3:$A$500,$C8,'DADOS BRUTOS'!CS$3:CS$500)))</f>
        <v/>
      </c>
      <c r="FT8" s="123">
        <f>IF(OR(FT$4="",$B8=""),0,SUMIF('DADOS BRUTOS'!$A$3:$A$500,$B8,'DADOS BRUTOS'!CT$3:CT$500)+IF($C8="",0,SUMIF('DADOS BRUTOS'!$A$3:$A$500,$C8,'DADOS BRUTOS'!CT$3:CT$500)))</f>
        <v/>
      </c>
      <c r="FU8" s="123">
        <f>IF(OR(FU$4="",$B8=""),0,SUMIF('DADOS BRUTOS'!$A$3:$A$500,$B8,'DADOS BRUTOS'!CU$3:CU$500)+IF($C8="",0,SUMIF('DADOS BRUTOS'!$A$3:$A$500,$C8,'DADOS BRUTOS'!CU$3:CU$500)))</f>
        <v/>
      </c>
      <c r="FV8" s="123">
        <f>IF(OR(FV$4="",$B8=""),0,SUMIF('DADOS BRUTOS'!$A$3:$A$500,$B8,'DADOS BRUTOS'!CV$3:CV$500)+IF($C8="",0,SUMIF('DADOS BRUTOS'!$A$3:$A$500,$C8,'DADOS BRUTOS'!CV$3:CV$500)))</f>
        <v/>
      </c>
      <c r="FW8" s="123">
        <f>IF(OR(FW$4="",$B8=""),0,SUMIF('DADOS BRUTOS'!$A$3:$A$500,$B8,'DADOS BRUTOS'!CW$3:CW$500)+IF($C8="",0,SUMIF('DADOS BRUTOS'!$A$3:$A$500,$C8,'DADOS BRUTOS'!CW$3:CW$500)))</f>
        <v/>
      </c>
      <c r="FX8" s="123">
        <f>IF(OR(FX$4="",$B8=""),0,SUMIF('DADOS BRUTOS'!$A$3:$A$500,$B8,'DADOS BRUTOS'!CX$3:CX$500)+IF($C8="",0,SUMIF('DADOS BRUTOS'!$A$3:$A$500,$C8,'DADOS BRUTOS'!CX$3:CX$500)))</f>
        <v/>
      </c>
      <c r="FY8" s="123">
        <f>IF(OR(FY$4="",$B8=""),0,SUMIF('DADOS BRUTOS'!$A$3:$A$500,$B8,'DADOS BRUTOS'!CY$3:CY$500)+IF($C8="",0,SUMIF('DADOS BRUTOS'!$A$3:$A$500,$C8,'DADOS BRUTOS'!CY$3:CY$500)))</f>
        <v/>
      </c>
      <c r="FZ8" s="123">
        <f>IF(OR(FZ$4="",$B8=""),0,SUMIF('DADOS BRUTOS'!$A$3:$A$500,$B8,'DADOS BRUTOS'!CZ$3:CZ$500)+IF($C8="",0,SUMIF('DADOS BRUTOS'!$A$3:$A$500,$C8,'DADOS BRUTOS'!CZ$3:CZ$500)))</f>
        <v/>
      </c>
      <c r="GA8" s="123">
        <f>IF(OR(GA$4="",$B8=""),0,SUMIF('DADOS BRUTOS'!$A$3:$A$500,$B8,'DADOS BRUTOS'!DA$3:DA$500)+IF($C8="",0,SUMIF('DADOS BRUTOS'!$A$3:$A$500,$C8,'DADOS BRUTOS'!DA$3:DA$500)))</f>
        <v/>
      </c>
      <c r="GB8" s="123">
        <f>IF(OR(GB$4="",$B8=""),0,SUMIF('DADOS BRUTOS'!$A$3:$A$500,$B8,'DADOS BRUTOS'!DB$3:DB$500)+IF($C8="",0,SUMIF('DADOS BRUTOS'!$A$3:$A$500,$C8,'DADOS BRUTOS'!DB$3:DB$500)))</f>
        <v/>
      </c>
      <c r="GC8" s="123">
        <f>IF(OR(GC$4="",$B8=""),0,SUMIF('DADOS BRUTOS'!$A$3:$A$500,$B8,'DADOS BRUTOS'!DC$3:DC$500)+IF($C8="",0,SUMIF('DADOS BRUTOS'!$A$3:$A$500,$C8,'DADOS BRUTOS'!DC$3:DC$500)))</f>
        <v/>
      </c>
      <c r="GD8" s="123">
        <f>IF(OR(GD$4="",$B8=""),0,SUMIF('DADOS BRUTOS'!$A$3:$A$500,$B8,'DADOS BRUTOS'!DD$3:DD$500)+IF($C8="",0,SUMIF('DADOS BRUTOS'!$A$3:$A$500,$C8,'DADOS BRUTOS'!DD$3:DD$500)))</f>
        <v/>
      </c>
      <c r="GE8" s="123">
        <f>IF(OR(GE$4="",$B8=""),0,SUMIF('DADOS BRUTOS'!$A$3:$A$500,$B8,'DADOS BRUTOS'!DE$3:DE$500)+IF($C8="",0,SUMIF('DADOS BRUTOS'!$A$3:$A$500,$C8,'DADOS BRUTOS'!DE$3:DE$500)))</f>
        <v/>
      </c>
      <c r="GF8" s="123">
        <f>IF(OR(GF$4="",$B8=""),0,SUMIF('DADOS BRUTOS'!$A$3:$A$500,$B8,'DADOS BRUTOS'!DF$3:DF$500)+IF($C8="",0,SUMIF('DADOS BRUTOS'!$A$3:$A$500,$C8,'DADOS BRUTOS'!DF$3:DF$500)))</f>
        <v/>
      </c>
      <c r="GG8" s="123">
        <f>IF(OR(GG$4="",$B8=""),0,SUMIF('DADOS BRUTOS'!$A$3:$A$500,$B8,'DADOS BRUTOS'!DG$3:DG$500)+IF($C8="",0,SUMIF('DADOS BRUTOS'!$A$3:$A$500,$C8,'DADOS BRUTOS'!DG$3:DG$500)))</f>
        <v/>
      </c>
      <c r="GH8" s="123">
        <f>IF(OR(GH$4="",$B8=""),0,SUMIF('DADOS BRUTOS'!$A$3:$A$500,$B8,'DADOS BRUTOS'!DH$3:DH$500)+IF($C8="",0,SUMIF('DADOS BRUTOS'!$A$3:$A$500,$C8,'DADOS BRUTOS'!DH$3:DH$500)))</f>
        <v/>
      </c>
      <c r="GI8" s="123">
        <f>IF(OR(GI$4="",$B8=""),0,SUMIF('DADOS BRUTOS'!$A$3:$A$500,$B8,'DADOS BRUTOS'!DI$3:DI$500)+IF($C8="",0,SUMIF('DADOS BRUTOS'!$A$3:$A$500,$C8,'DADOS BRUTOS'!DI$3:DI$500)))</f>
        <v/>
      </c>
      <c r="GJ8" s="123">
        <f>IF(OR(GJ$4="",$B8=""),0,SUMIF('DADOS BRUTOS'!$A$3:$A$500,$B8,'DADOS BRUTOS'!DJ$3:DJ$500)+IF($C8="",0,SUMIF('DADOS BRUTOS'!$A$3:$A$500,$C8,'DADOS BRUTOS'!DJ$3:DJ$500)))</f>
        <v/>
      </c>
      <c r="GK8" s="123">
        <f>IF(OR(GK$4="",$B8=""),0,SUMIF('DADOS BRUTOS'!$A$3:$A$500,$B8,'DADOS BRUTOS'!DK$3:DK$500)+IF($C8="",0,SUMIF('DADOS BRUTOS'!$A$3:$A$500,$C8,'DADOS BRUTOS'!DK$3:DK$500)))</f>
        <v/>
      </c>
      <c r="GL8" s="123">
        <f>IF(OR(GL$4="",$B8=""),0,SUMIF('DADOS BRUTOS'!$A$3:$A$500,$B8,'DADOS BRUTOS'!DL$3:DL$500)+IF($C8="",0,SUMIF('DADOS BRUTOS'!$A$3:$A$500,$C8,'DADOS BRUTOS'!DL$3:DL$500)))</f>
        <v/>
      </c>
      <c r="GM8" s="123">
        <f>IF(OR(GM$4="",$B8=""),0,SUMIF('DADOS BRUTOS'!$A$3:$A$500,$B8,'DADOS BRUTOS'!DM$3:DM$500)+IF($C8="",0,SUMIF('DADOS BRUTOS'!$A$3:$A$500,$C8,'DADOS BRUTOS'!DM$3:DM$500)))</f>
        <v/>
      </c>
      <c r="GN8" s="123">
        <f>IF(OR(GN$4="",$B8=""),0,SUMIF('DADOS BRUTOS'!$A$3:$A$500,$B8,'DADOS BRUTOS'!DN$3:DN$500)+IF($C8="",0,SUMIF('DADOS BRUTOS'!$A$3:$A$500,$C8,'DADOS BRUTOS'!DN$3:DN$500)))</f>
        <v/>
      </c>
      <c r="GO8" s="123">
        <f>IF(OR(GO$4="",$B8=""),0,SUMIF('DADOS BRUTOS'!$A$3:$A$500,$B8,'DADOS BRUTOS'!DO$3:DO$500)+IF($C8="",0,SUMIF('DADOS BRUTOS'!$A$3:$A$500,$C8,'DADOS BRUTOS'!DO$3:DO$500)))</f>
        <v/>
      </c>
      <c r="GP8" s="123">
        <f>IF(OR(GP$4="",$B8=""),0,SUMIF('DADOS BRUTOS'!$A$3:$A$500,$B8,'DADOS BRUTOS'!DP$3:DP$500)+IF($C8="",0,SUMIF('DADOS BRUTOS'!$A$3:$A$500,$C8,'DADOS BRUTOS'!DP$3:DP$500)))</f>
        <v/>
      </c>
      <c r="GQ8" s="123">
        <f>IF(OR(GQ$4="",$B8=""),0,SUMIF('DADOS BRUTOS'!$A$3:$A$500,$B8,'DADOS BRUTOS'!DQ$3:DQ$500)+IF($C8="",0,SUMIF('DADOS BRUTOS'!$A$3:$A$500,$C8,'DADOS BRUTOS'!DQ$3:DQ$500)))</f>
        <v/>
      </c>
      <c r="GR8" s="123">
        <f>IF(OR(GR$4="",$B8=""),0,SUMIF('DADOS BRUTOS'!$A$3:$A$500,$B8,'DADOS BRUTOS'!DR$3:DR$500)+IF($C8="",0,SUMIF('DADOS BRUTOS'!$A$3:$A$500,$C8,'DADOS BRUTOS'!DR$3:DR$500)))</f>
        <v/>
      </c>
      <c r="GS8" s="123">
        <f>IF(OR(GS$4="",$B8=""),0,SUMIF('DADOS BRUTOS'!$A$3:$A$500,$B8,'DADOS BRUTOS'!DS$3:DS$500)+IF($C8="",0,SUMIF('DADOS BRUTOS'!$A$3:$A$500,$C8,'DADOS BRUTOS'!DS$3:DS$500)))</f>
        <v/>
      </c>
      <c r="GT8" s="123">
        <f>IF(OR(GT$4="",$B8=""),0,SUMIF('DADOS BRUTOS'!$A$3:$A$500,$B8,'DADOS BRUTOS'!DT$3:DT$500)+IF($C8="",0,SUMIF('DADOS BRUTOS'!$A$3:$A$500,$C8,'DADOS BRUTOS'!DT$3:DT$500)))</f>
        <v/>
      </c>
      <c r="GU8" s="123">
        <f>IF(OR(GU$4="",$B8=""),0,SUMIF('DADOS BRUTOS'!$A$3:$A$500,$B8,'DADOS BRUTOS'!DU$3:DU$500)+IF($C8="",0,SUMIF('DADOS BRUTOS'!$A$3:$A$500,$C8,'DADOS BRUTOS'!DU$3:DU$500)))</f>
        <v/>
      </c>
      <c r="GV8" s="123">
        <f>IF(OR(GV$4="",$B8=""),0,SUMIF('DADOS BRUTOS'!$A$3:$A$500,$B8,'DADOS BRUTOS'!DV$3:DV$500)+IF($C8="",0,SUMIF('DADOS BRUTOS'!$A$3:$A$500,$C8,'DADOS BRUTOS'!DV$3:DV$500)))</f>
        <v/>
      </c>
      <c r="GW8" s="123">
        <f>IF(OR(GW$4="",$B8=""),0,SUMIF('DADOS BRUTOS'!$A$3:$A$500,$B8,'DADOS BRUTOS'!DW$3:DW$500)+IF($C8="",0,SUMIF('DADOS BRUTOS'!$A$3:$A$500,$C8,'DADOS BRUTOS'!DW$3:DW$500)))</f>
        <v/>
      </c>
      <c r="GX8" s="123">
        <f>IF(OR(GX$4="",$B8=""),0,SUMIF('DADOS BRUTOS'!$A$3:$A$500,$B8,'DADOS BRUTOS'!DX$3:DX$500)+IF($C8="",0,SUMIF('DADOS BRUTOS'!$A$3:$A$500,$C8,'DADOS BRUTOS'!DX$3:DX$500)))</f>
        <v/>
      </c>
      <c r="GY8" s="123">
        <f>IF(OR(GY$4="",$B8=""),0,SUMIF('DADOS BRUTOS'!$A$3:$A$500,$B8,'DADOS BRUTOS'!DY$3:DY$500)+IF($C8="",0,SUMIF('DADOS BRUTOS'!$A$3:$A$500,$C8,'DADOS BRUTOS'!DY$3:DY$500)))</f>
        <v/>
      </c>
      <c r="GZ8" s="123">
        <f>IF(OR(GZ$4="",$B8=""),0,SUMIF('DADOS BRUTOS'!$A$3:$A$500,$B8,'DADOS BRUTOS'!DZ$3:DZ$500)+IF($C8="",0,SUMIF('DADOS BRUTOS'!$A$3:$A$500,$C8,'DADOS BRUTOS'!DZ$3:DZ$500)))</f>
        <v/>
      </c>
      <c r="HA8" s="123">
        <f>IF(OR(HA$4="",$B8=""),0,SUMIF('DADOS BRUTOS'!$A$3:$A$500,$B8,'DADOS BRUTOS'!EA$3:EA$500)+IF($C8="",0,SUMIF('DADOS BRUTOS'!$A$3:$A$500,$C8,'DADOS BRUTOS'!EA$3:EA$500)))</f>
        <v/>
      </c>
      <c r="HB8" s="123">
        <f>IF(OR(HB$4="",$B8=""),0,SUMIF('DADOS BRUTOS'!$A$3:$A$500,$B8,'DADOS BRUTOS'!EB$3:EB$500)+IF($C8="",0,SUMIF('DADOS BRUTOS'!$A$3:$A$500,$C8,'DADOS BRUTOS'!EB$3:EB$500)))</f>
        <v/>
      </c>
      <c r="HC8" s="123">
        <f>IF(OR(HC$4="",$B8=""),0,SUMIF('DADOS BRUTOS'!$A$3:$A$500,$B8,'DADOS BRUTOS'!EC$3:EC$500)+IF($C8="",0,SUMIF('DADOS BRUTOS'!$A$3:$A$500,$C8,'DADOS BRUTOS'!EC$3:EC$500)))</f>
        <v/>
      </c>
      <c r="HD8" s="123">
        <f>IF(OR(HD$4="",$B8=""),0,SUMIF('DADOS BRUTOS'!$A$3:$A$500,$B8,'DADOS BRUTOS'!ED$3:ED$500)+IF($C8="",0,SUMIF('DADOS BRUTOS'!$A$3:$A$500,$C8,'DADOS BRUTOS'!ED$3:ED$500)))</f>
        <v/>
      </c>
      <c r="HE8" s="123">
        <f>IF(OR(HE$4="",$B8=""),0,SUMIF('DADOS BRUTOS'!$A$3:$A$500,$B8,'DADOS BRUTOS'!EE$3:EE$500)+IF($C8="",0,SUMIF('DADOS BRUTOS'!$A$3:$A$500,$C8,'DADOS BRUTOS'!EE$3:EE$500)))</f>
        <v/>
      </c>
      <c r="HF8" s="123">
        <f>IF(OR(HF$4="",$B8=""),0,SUMIF('DADOS BRUTOS'!$A$3:$A$500,$B8,'DADOS BRUTOS'!EF$3:EF$500)+IF($C8="",0,SUMIF('DADOS BRUTOS'!$A$3:$A$500,$C8,'DADOS BRUTOS'!EF$3:EF$500)))</f>
        <v/>
      </c>
      <c r="HG8" s="123">
        <f>IF(OR(HG$4="",$B8=""),0,SUMIF('DADOS BRUTOS'!$A$3:$A$500,$B8,'DADOS BRUTOS'!EG$3:EG$500)+IF($C8="",0,SUMIF('DADOS BRUTOS'!$A$3:$A$500,$C8,'DADOS BRUTOS'!EG$3:EG$500)))</f>
        <v/>
      </c>
      <c r="HH8" s="123">
        <f>IF(OR(HH$4="",$B8=""),0,SUMIF('DADOS BRUTOS'!$A$3:$A$500,$B8,'DADOS BRUTOS'!EH$3:EH$500)+IF($C8="",0,SUMIF('DADOS BRUTOS'!$A$3:$A$500,$C8,'DADOS BRUTOS'!EH$3:EH$500)))</f>
        <v/>
      </c>
      <c r="HI8" s="123">
        <f>IF(OR(HI$4="",$B8=""),0,SUMIF('DADOS BRUTOS'!$A$3:$A$500,$B8,'DADOS BRUTOS'!EI$3:EI$500)+IF($C8="",0,SUMIF('DADOS BRUTOS'!$A$3:$A$500,$C8,'DADOS BRUTOS'!EI$3:EI$500)))</f>
        <v/>
      </c>
      <c r="HJ8" s="123">
        <f>IF(OR(HJ$4="",$B8=""),0,SUMIF('DADOS BRUTOS'!$A$3:$A$500,$B8,'DADOS BRUTOS'!EJ$3:EJ$500)+IF($C8="",0,SUMIF('DADOS BRUTOS'!$A$3:$A$500,$C8,'DADOS BRUTOS'!EJ$3:EJ$500)))</f>
        <v/>
      </c>
      <c r="HK8" s="123">
        <f>IF(OR(HK$4="",$B8=""),0,SUMIF('DADOS BRUTOS'!$A$3:$A$500,$B8,'DADOS BRUTOS'!EK$3:EK$500)+IF($C8="",0,SUMIF('DADOS BRUTOS'!$A$3:$A$500,$C8,'DADOS BRUTOS'!EK$3:EK$500)))</f>
        <v/>
      </c>
      <c r="HL8" s="123">
        <f>IF(OR(HL$4="",$B8=""),0,SUMIF('DADOS BRUTOS'!$A$3:$A$500,$B8,'DADOS BRUTOS'!EL$3:EL$500)+IF($C8="",0,SUMIF('DADOS BRUTOS'!$A$3:$A$500,$C8,'DADOS BRUTOS'!EL$3:EL$500)))</f>
        <v/>
      </c>
      <c r="HM8" s="123">
        <f>IF(OR(HM$4="",$B8=""),0,SUMIF('DADOS BRUTOS'!$A$3:$A$500,$B8,'DADOS BRUTOS'!EM$3:EM$500)+IF($C8="",0,SUMIF('DADOS BRUTOS'!$A$3:$A$500,$C8,'DADOS BRUTOS'!EM$3:EM$500)))</f>
        <v/>
      </c>
      <c r="HN8" s="123">
        <f>IF(OR(HN$4="",$B8=""),0,SUMIF('DADOS BRUTOS'!$A$3:$A$500,$B8,'DADOS BRUTOS'!EN$3:EN$500)+IF($C8="",0,SUMIF('DADOS BRUTOS'!$A$3:$A$500,$C8,'DADOS BRUTOS'!EN$3:EN$500)))</f>
        <v/>
      </c>
      <c r="HO8" s="123">
        <f>IF(OR(HO$4="",$B8=""),0,SUMIF('DADOS BRUTOS'!$A$3:$A$500,$B8,'DADOS BRUTOS'!EO$3:EO$500)+IF($C8="",0,SUMIF('DADOS BRUTOS'!$A$3:$A$500,$C8,'DADOS BRUTOS'!EO$3:EO$500)))</f>
        <v/>
      </c>
      <c r="HP8" s="123">
        <f>IF(OR(HP$4="",$B8=""),0,SUMIF('DADOS BRUTOS'!$A$3:$A$500,$B8,'DADOS BRUTOS'!EP$3:EP$500)+IF($C8="",0,SUMIF('DADOS BRUTOS'!$A$3:$A$500,$C8,'DADOS BRUTOS'!EP$3:EP$500)))</f>
        <v/>
      </c>
      <c r="HQ8" s="123">
        <f>IF(OR(HQ$4="",$B8=""),0,SUMIF('DADOS BRUTOS'!$A$3:$A$500,$B8,'DADOS BRUTOS'!EQ$3:EQ$500)+IF($C8="",0,SUMIF('DADOS BRUTOS'!$A$3:$A$500,$C8,'DADOS BRUTOS'!EQ$3:EQ$500)))</f>
        <v/>
      </c>
      <c r="HR8" s="123">
        <f>IF(OR(HR$4="",$B8=""),0,SUMIF('DADOS BRUTOS'!$A$3:$A$500,$B8,'DADOS BRUTOS'!ER$3:ER$500)+IF($C8="",0,SUMIF('DADOS BRUTOS'!$A$3:$A$500,$C8,'DADOS BRUTOS'!ER$3:ER$500)))</f>
        <v/>
      </c>
      <c r="HS8" s="123">
        <f>IF(OR(HS$4="",$B8=""),0,SUMIF('DADOS BRUTOS'!$A$3:$A$500,$B8,'DADOS BRUTOS'!ES$3:ES$500)+IF($C8="",0,SUMIF('DADOS BRUTOS'!$A$3:$A$500,$C8,'DADOS BRUTOS'!ES$3:ES$500)))</f>
        <v/>
      </c>
      <c r="HT8" s="123">
        <f>IF(OR(HT$4="",$B8=""),0,SUMIF('DADOS BRUTOS'!$A$3:$A$500,$B8,'DADOS BRUTOS'!ET$3:ET$500)+IF($C8="",0,SUMIF('DADOS BRUTOS'!$A$3:$A$500,$C8,'DADOS BRUTOS'!ET$3:ET$500)))</f>
        <v/>
      </c>
      <c r="HU8" s="123">
        <f>IF(OR(HU$4="",$B8=""),0,SUMIF('DADOS BRUTOS'!$A$3:$A$500,$B8,'DADOS BRUTOS'!EU$3:EU$500)+IF($C8="",0,SUMIF('DADOS BRUTOS'!$A$3:$A$500,$C8,'DADOS BRUTOS'!EU$3:EU$500)))</f>
        <v/>
      </c>
      <c r="HV8" s="123">
        <f>IF(OR(HV$4="",$B8=""),0,SUMIF('DADOS BRUTOS'!$A$3:$A$500,$B8,'DADOS BRUTOS'!EV$3:EV$500)+IF($C8="",0,SUMIF('DADOS BRUTOS'!$A$3:$A$500,$C8,'DADOS BRUTOS'!EV$3:EV$500)))</f>
        <v/>
      </c>
      <c r="HW8" s="123">
        <f>IF(OR(HW$4="",$B8=""),0,SUMIF('DADOS BRUTOS'!$A$3:$A$500,$B8,'DADOS BRUTOS'!EW$3:EW$500)+IF($C8="",0,SUMIF('DADOS BRUTOS'!$A$3:$A$500,$C8,'DADOS BRUTOS'!EW$3:EW$500)))</f>
        <v/>
      </c>
      <c r="HX8" s="123">
        <f>IF(OR(HX$4="",$B8=""),0,SUMIF('DADOS BRUTOS'!$A$3:$A$500,$B8,'DADOS BRUTOS'!EX$3:EX$500)+IF($C8="",0,SUMIF('DADOS BRUTOS'!$A$3:$A$500,$C8,'DADOS BRUTOS'!EX$3:EX$500)))</f>
        <v/>
      </c>
      <c r="HY8" s="123">
        <f>IF(OR(HY$4="",$B8=""),0,SUMIF('DADOS BRUTOS'!$A$3:$A$500,$B8,'DADOS BRUTOS'!EY$3:EY$500)+IF($C8="",0,SUMIF('DADOS BRUTOS'!$A$3:$A$500,$C8,'DADOS BRUTOS'!EY$3:EY$500)))</f>
        <v/>
      </c>
      <c r="HZ8" s="123">
        <f>IF(OR(HZ$4="",$B8=""),0,SUMIF('DADOS BRUTOS'!$A$3:$A$500,$B8,'DADOS BRUTOS'!EZ$3:EZ$500)+IF($C8="",0,SUMIF('DADOS BRUTOS'!$A$3:$A$500,$C8,'DADOS BRUTOS'!EZ$3:EZ$500)))</f>
        <v/>
      </c>
      <c r="IA8" s="123">
        <f>IF(OR(IA$4="",$B8=""),0,SUMIF('DADOS BRUTOS'!$A$3:$A$500,$B8,'DADOS BRUTOS'!FA$3:FA$500)+IF($C8="",0,SUMIF('DADOS BRUTOS'!$A$3:$A$500,$C8,'DADOS BRUTOS'!FA$3:FA$500)))</f>
        <v/>
      </c>
      <c r="IB8" s="123">
        <f>IF(OR(IB$4="",$B8=""),0,SUMIF('DADOS BRUTOS'!$A$3:$A$500,$B8,'DADOS BRUTOS'!FB$3:FB$500)+IF($C8="",0,SUMIF('DADOS BRUTOS'!$A$3:$A$500,$C8,'DADOS BRUTOS'!FB$3:FB$500)))</f>
        <v/>
      </c>
      <c r="IC8" s="123">
        <f>IF(OR(IC$4="",$B8=""),0,SUMIF('DADOS BRUTOS'!$A$3:$A$500,$B8,'DADOS BRUTOS'!FC$3:FC$500)+IF($C8="",0,SUMIF('DADOS BRUTOS'!$A$3:$A$500,$C8,'DADOS BRUTOS'!FC$3:FC$500)))</f>
        <v/>
      </c>
      <c r="ID8" s="123">
        <f>IF(OR(ID$4="",$B8=""),0,SUMIF('DADOS BRUTOS'!$A$3:$A$500,$B8,'DADOS BRUTOS'!FD$3:FD$500)+IF($C8="",0,SUMIF('DADOS BRUTOS'!$A$3:$A$500,$C8,'DADOS BRUTOS'!FD$3:FD$500)))</f>
        <v/>
      </c>
      <c r="IE8" s="123">
        <f>IF(OR(IE$4="",$B8=""),0,SUMIF('DADOS BRUTOS'!$A$3:$A$500,$B8,'DADOS BRUTOS'!FE$3:FE$500)+IF($C8="",0,SUMIF('DADOS BRUTOS'!$A$3:$A$500,$C8,'DADOS BRUTOS'!FE$3:FE$500)))</f>
        <v/>
      </c>
      <c r="IF8" s="123">
        <f>IF(OR(IF$4="",$B8=""),0,SUMIF('DADOS BRUTOS'!$A$3:$A$500,$B8,'DADOS BRUTOS'!FF$3:FF$500)+IF($C8="",0,SUMIF('DADOS BRUTOS'!$A$3:$A$500,$C8,'DADOS BRUTOS'!FF$3:FF$500)))</f>
        <v/>
      </c>
      <c r="IG8" s="123">
        <f>IF(OR(IG$4="",$B8=""),0,SUMIF('DADOS BRUTOS'!$A$3:$A$500,$B8,'DADOS BRUTOS'!FG$3:FG$500)+IF($C8="",0,SUMIF('DADOS BRUTOS'!$A$3:$A$500,$C8,'DADOS BRUTOS'!FG$3:FG$500)))</f>
        <v/>
      </c>
      <c r="IH8" s="123">
        <f>IF(OR(IH$4="",$B8=""),0,SUMIF('DADOS BRUTOS'!$A$3:$A$500,$B8,'DADOS BRUTOS'!FH$3:FH$500)+IF($C8="",0,SUMIF('DADOS BRUTOS'!$A$3:$A$500,$C8,'DADOS BRUTOS'!FH$3:FH$500)))</f>
        <v/>
      </c>
      <c r="II8" s="123">
        <f>IF(OR(II$4="",$B8=""),0,SUMIF('DADOS BRUTOS'!$A$3:$A$500,$B8,'DADOS BRUTOS'!FI$3:FI$500)+IF($C8="",0,SUMIF('DADOS BRUTOS'!$A$3:$A$500,$C8,'DADOS BRUTOS'!FI$3:FI$500)))</f>
        <v/>
      </c>
      <c r="IJ8" s="123">
        <f>IF(OR(IJ$4="",$B8=""),0,SUMIF('DADOS BRUTOS'!$A$3:$A$500,$B8,'DADOS BRUTOS'!FJ$3:FJ$500)+IF($C8="",0,SUMIF('DADOS BRUTOS'!$A$3:$A$500,$C8,'DADOS BRUTOS'!FJ$3:FJ$500)))</f>
        <v/>
      </c>
      <c r="IK8" s="123">
        <f>IF(OR(IK$4="",$B8=""),0,SUMIF('DADOS BRUTOS'!$A$3:$A$500,$B8,'DADOS BRUTOS'!FK$3:FK$500)+IF($C8="",0,SUMIF('DADOS BRUTOS'!$A$3:$A$500,$C8,'DADOS BRUTOS'!FK$3:FK$500)))</f>
        <v/>
      </c>
      <c r="IL8" s="123">
        <f>IF(OR(IL$4="",$B8=""),0,SUMIF('DADOS BRUTOS'!$A$3:$A$500,$B8,'DADOS BRUTOS'!FL$3:FL$500)+IF($C8="",0,SUMIF('DADOS BRUTOS'!$A$3:$A$500,$C8,'DADOS BRUTOS'!FL$3:FL$500)))</f>
        <v/>
      </c>
      <c r="IM8" s="123">
        <f>IF(OR(IM$4="",$B8=""),0,SUMIF('DADOS BRUTOS'!$A$3:$A$500,$B8,'DADOS BRUTOS'!FM$3:FM$500)+IF($C8="",0,SUMIF('DADOS BRUTOS'!$A$3:$A$500,$C8,'DADOS BRUTOS'!FM$3:FM$500)))</f>
        <v/>
      </c>
      <c r="IN8" s="123">
        <f>IF(OR(IN$4="",$B8=""),0,SUMIF('DADOS BRUTOS'!$A$3:$A$500,$B8,'DADOS BRUTOS'!FN$3:FN$500)+IF($C8="",0,SUMIF('DADOS BRUTOS'!$A$3:$A$500,$C8,'DADOS BRUTOS'!FN$3:FN$500)))</f>
        <v/>
      </c>
      <c r="IO8" s="123">
        <f>IF(OR(IO$4="",$B8=""),0,SUMIF('DADOS BRUTOS'!$A$3:$A$500,$B8,'DADOS BRUTOS'!FO$3:FO$500)+IF($C8="",0,SUMIF('DADOS BRUTOS'!$A$3:$A$500,$C8,'DADOS BRUTOS'!FO$3:FO$500)))</f>
        <v/>
      </c>
      <c r="IP8" s="123">
        <f>IF(OR(IP$4="",$B8=""),0,SUMIF('DADOS BRUTOS'!$A$3:$A$500,$B8,'DADOS BRUTOS'!FP$3:FP$500)+IF($C8="",0,SUMIF('DADOS BRUTOS'!$A$3:$A$500,$C8,'DADOS BRUTOS'!FP$3:FP$500)))</f>
        <v/>
      </c>
      <c r="IQ8" s="123">
        <f>IF(OR(IQ$4="",$B8=""),0,SUMIF('DADOS BRUTOS'!$A$3:$A$500,$B8,'DADOS BRUTOS'!FQ$3:FQ$500)+IF($C8="",0,SUMIF('DADOS BRUTOS'!$A$3:$A$500,$C8,'DADOS BRUTOS'!FQ$3:FQ$500)))</f>
        <v/>
      </c>
      <c r="IR8" s="123">
        <f>IF(OR(IR$4="",$B8=""),0,SUMIF('DADOS BRUTOS'!$A$3:$A$500,$B8,'DADOS BRUTOS'!FR$3:FR$500)+IF($C8="",0,SUMIF('DADOS BRUTOS'!$A$3:$A$500,$C8,'DADOS BRUTOS'!FR$3:FR$500)))</f>
        <v/>
      </c>
      <c r="IS8" s="123">
        <f>IF(OR(IS$4="",$B8=""),0,SUMIF('DADOS BRUTOS'!$A$3:$A$500,$B8,'DADOS BRUTOS'!FS$3:FS$500)+IF($C8="",0,SUMIF('DADOS BRUTOS'!$A$3:$A$500,$C8,'DADOS BRUTOS'!FS$3:FS$500)))</f>
        <v/>
      </c>
      <c r="IT8" s="123">
        <f>IF(OR(IT$4="",$B8=""),0,SUMIF('DADOS BRUTOS'!$A$3:$A$500,$B8,'DADOS BRUTOS'!FT$3:FT$500)+IF($C8="",0,SUMIF('DADOS BRUTOS'!$A$3:$A$500,$C8,'DADOS BRUTOS'!FT$3:FT$500)))</f>
        <v/>
      </c>
      <c r="IU8" s="123">
        <f>IF(OR(IU$4="",$B8=""),0,SUMIF('DADOS BRUTOS'!$A$3:$A$500,$B8,'DADOS BRUTOS'!FU$3:FU$500)+IF($C8="",0,SUMIF('DADOS BRUTOS'!$A$3:$A$500,$C8,'DADOS BRUTOS'!FU$3:FU$500)))</f>
        <v/>
      </c>
      <c r="IV8" s="123">
        <f>IF(OR(IV$4="",$B8=""),0,SUMIF('DADOS BRUTOS'!$A$3:$A$500,$B8,'DADOS BRUTOS'!FV$3:FV$500)+IF($C8="",0,SUMIF('DADOS BRUTOS'!$A$3:$A$500,$C8,'DADOS BRUTOS'!FV$3:FV$500)))</f>
        <v/>
      </c>
      <c r="IW8" s="123">
        <f>IF(OR(IW$4="",$B8=""),0,SUMIF('DADOS BRUTOS'!$A$3:$A$500,$B8,'DADOS BRUTOS'!FW$3:FW$500)+IF($C8="",0,SUMIF('DADOS BRUTOS'!$A$3:$A$500,$C8,'DADOS BRUTOS'!FW$3:FW$500)))</f>
        <v/>
      </c>
      <c r="IX8" s="123">
        <f>IF(OR(IX$4="",$B8=""),0,SUMIF('DADOS BRUTOS'!$A$3:$A$500,$B8,'DADOS BRUTOS'!FX$3:FX$500)+IF($C8="",0,SUMIF('DADOS BRUTOS'!$A$3:$A$500,$C8,'DADOS BRUTOS'!FX$3:FX$500)))</f>
        <v/>
      </c>
      <c r="IY8" s="123">
        <f>IF(OR(IY$4="",$B8=""),0,SUMIF('DADOS BRUTOS'!$A$3:$A$500,$B8,'DADOS BRUTOS'!FY$3:FY$500)+IF($C8="",0,SUMIF('DADOS BRUTOS'!$A$3:$A$500,$C8,'DADOS BRUTOS'!FY$3:FY$500)))</f>
        <v/>
      </c>
      <c r="IZ8" s="123">
        <f>IF(OR(IZ$4="",$B8=""),0,SUMIF('DADOS BRUTOS'!$A$3:$A$500,$B8,'DADOS BRUTOS'!FZ$3:FZ$500)+IF($C8="",0,SUMIF('DADOS BRUTOS'!$A$3:$A$500,$C8,'DADOS BRUTOS'!FZ$3:FZ$500)))</f>
        <v/>
      </c>
      <c r="JA8" s="123">
        <f>IF(OR(JA$4="",$B8=""),0,SUMIF('DADOS BRUTOS'!$A$3:$A$500,$B8,'DADOS BRUTOS'!GA$3:GA$500)+IF($C8="",0,SUMIF('DADOS BRUTOS'!$A$3:$A$500,$C8,'DADOS BRUTOS'!GA$3:GA$500)))</f>
        <v/>
      </c>
      <c r="JB8" s="123">
        <f>IF(OR(JB$4="",$B8=""),0,SUMIF('DADOS BRUTOS'!$A$3:$A$500,$B8,'DADOS BRUTOS'!GB$3:GB$500)+IF($C8="",0,SUMIF('DADOS BRUTOS'!$A$3:$A$500,$C8,'DADOS BRUTOS'!GB$3:GB$500)))</f>
        <v/>
      </c>
      <c r="JC8" s="123">
        <f>IF(OR(JC$4="",$B8=""),0,SUMIF('DADOS BRUTOS'!$A$3:$A$500,$B8,'DADOS BRUTOS'!GC$3:GC$500)+IF($C8="",0,SUMIF('DADOS BRUTOS'!$A$3:$A$500,$C8,'DADOS BRUTOS'!GC$3:GC$500)))</f>
        <v/>
      </c>
      <c r="JD8" s="123">
        <f>IF(OR(JD$4="",$B8=""),0,SUMIF('DADOS BRUTOS'!$A$3:$A$500,$B8,'DADOS BRUTOS'!GD$3:GD$500)+IF($C8="",0,SUMIF('DADOS BRUTOS'!$A$3:$A$500,$C8,'DADOS BRUTOS'!GD$3:GD$500)))</f>
        <v/>
      </c>
      <c r="JE8" s="123">
        <f>IF(OR(JE$4="",$B8=""),0,SUMIF('DADOS BRUTOS'!$A$3:$A$500,$B8,'DADOS BRUTOS'!GE$3:GE$500)+IF($C8="",0,SUMIF('DADOS BRUTOS'!$A$3:$A$500,$C8,'DADOS BRUTOS'!GE$3:GE$500)))</f>
        <v/>
      </c>
      <c r="JF8" s="123">
        <f>IF(OR(JF$4="",$B8=""),0,SUMIF('DADOS BRUTOS'!$A$3:$A$500,$B8,'DADOS BRUTOS'!GF$3:GF$500)+IF($C8="",0,SUMIF('DADOS BRUTOS'!$A$3:$A$500,$C8,'DADOS BRUTOS'!GF$3:GF$500)))</f>
        <v/>
      </c>
      <c r="JG8" s="123">
        <f>IF(OR(JG$4="",$B8=""),0,SUMIF('DADOS BRUTOS'!$A$3:$A$500,$B8,'DADOS BRUTOS'!GG$3:GG$500)+IF($C8="",0,SUMIF('DADOS BRUTOS'!$A$3:$A$500,$C8,'DADOS BRUTOS'!GG$3:GG$500)))</f>
        <v/>
      </c>
      <c r="JH8" s="123">
        <f>IF(OR(JH$4="",$B8=""),0,SUMIF('DADOS BRUTOS'!$A$3:$A$500,$B8,'DADOS BRUTOS'!GH$3:GH$500)+IF($C8="",0,SUMIF('DADOS BRUTOS'!$A$3:$A$500,$C8,'DADOS BRUTOS'!GH$3:GH$500)))</f>
        <v/>
      </c>
      <c r="JI8" s="123">
        <f>IF(OR(JI$4="",$B8=""),0,SUMIF('DADOS BRUTOS'!$A$3:$A$500,$B8,'DADOS BRUTOS'!GI$3:GI$500)+IF($C8="",0,SUMIF('DADOS BRUTOS'!$A$3:$A$500,$C8,'DADOS BRUTOS'!GI$3:GI$500)))</f>
        <v/>
      </c>
      <c r="JJ8" s="123">
        <f>IF(OR(JJ$4="",$B8=""),0,SUMIF('DADOS BRUTOS'!$A$3:$A$500,$B8,'DADOS BRUTOS'!GJ$3:GJ$500)+IF($C8="",0,SUMIF('DADOS BRUTOS'!$A$3:$A$500,$C8,'DADOS BRUTOS'!GJ$3:GJ$500)))</f>
        <v/>
      </c>
      <c r="JK8" s="123">
        <f>IF(OR(JK$4="",$B8=""),0,SUMIF('DADOS BRUTOS'!$A$3:$A$500,$B8,'DADOS BRUTOS'!GK$3:GK$500)+IF($C8="",0,SUMIF('DADOS BRUTOS'!$A$3:$A$500,$C8,'DADOS BRUTOS'!GK$3:GK$500)))</f>
        <v/>
      </c>
      <c r="JL8" s="123">
        <f>IF(OR(JL$4="",$B8=""),0,SUMIF('DADOS BRUTOS'!$A$3:$A$500,$B8,'DADOS BRUTOS'!GL$3:GL$500)+IF($C8="",0,SUMIF('DADOS BRUTOS'!$A$3:$A$500,$C8,'DADOS BRUTOS'!GL$3:GL$500)))</f>
        <v/>
      </c>
      <c r="JM8" s="123">
        <f>IF(OR(JM$4="",$B8=""),0,SUMIF('DADOS BRUTOS'!$A$3:$A$500,$B8,'DADOS BRUTOS'!GM$3:GM$500)+IF($C8="",0,SUMIF('DADOS BRUTOS'!$A$3:$A$500,$C8,'DADOS BRUTOS'!GM$3:GM$500)))</f>
        <v/>
      </c>
      <c r="JN8" s="123">
        <f>IF(OR(JN$4="",$B8=""),0,SUMIF('DADOS BRUTOS'!$A$3:$A$500,$B8,'DADOS BRUTOS'!GN$3:GN$500)+IF($C8="",0,SUMIF('DADOS BRUTOS'!$A$3:$A$500,$C8,'DADOS BRUTOS'!GN$3:GN$500)))</f>
        <v/>
      </c>
      <c r="JO8" s="123">
        <f>IF(OR(JO$4="",$B8=""),0,SUMIF('DADOS BRUTOS'!$A$3:$A$500,$B8,'DADOS BRUTOS'!GO$3:GO$500)+IF($C8="",0,SUMIF('DADOS BRUTOS'!$A$3:$A$500,$C8,'DADOS BRUTOS'!GO$3:GO$500)))</f>
        <v/>
      </c>
      <c r="JP8" s="123">
        <f>IF(OR(JP$4="",$B8=""),0,SUMIF('DADOS BRUTOS'!$A$3:$A$500,$B8,'DADOS BRUTOS'!GP$3:GP$500)+IF($C8="",0,SUMIF('DADOS BRUTOS'!$A$3:$A$500,$C8,'DADOS BRUTOS'!GP$3:GP$500)))</f>
        <v/>
      </c>
      <c r="JQ8" s="123">
        <f>IF(OR(JQ$4="",$B8=""),0,SUMIF('DADOS BRUTOS'!$A$3:$A$500,$B8,'DADOS BRUTOS'!GQ$3:GQ$500)+IF($C8="",0,SUMIF('DADOS BRUTOS'!$A$3:$A$500,$C8,'DADOS BRUTOS'!GQ$3:GQ$500)))</f>
        <v/>
      </c>
      <c r="JR8" s="123">
        <f>IF(OR(JR$4="",$B8=""),0,SUMIF('DADOS BRUTOS'!$A$3:$A$500,$B8,'DADOS BRUTOS'!GR$3:GR$500)+IF($C8="",0,SUMIF('DADOS BRUTOS'!$A$3:$A$500,$C8,'DADOS BRUTOS'!GR$3:GR$500)))</f>
        <v/>
      </c>
      <c r="JS8" s="123">
        <f>IF(OR(JS$4="",$B8=""),0,SUMIF('DADOS BRUTOS'!$A$3:$A$500,$B8,'DADOS BRUTOS'!GS$3:GS$500)+IF($C8="",0,SUMIF('DADOS BRUTOS'!$A$3:$A$500,$C8,'DADOS BRUTOS'!GS$3:GS$500)))</f>
        <v/>
      </c>
    </row>
    <row r="9">
      <c r="A9" s="61">
        <f>'VALOR POR PL'!D15</f>
        <v/>
      </c>
      <c r="B9" s="60" t="inlineStr">
        <is>
          <t>LIGAÇÕES PROVISÓRIAS AGUA, ENERGIA,TELEFONIA, ESGOTO</t>
        </is>
      </c>
      <c r="C9" s="60" t="n"/>
      <c r="D9" s="55">
        <f>SUMIF($CB$4:$JS$4,"&lt;="&amp;D$4,$CB9:$JS9)</f>
        <v/>
      </c>
      <c r="E9" s="55">
        <f>SUMIF($CB$4:$JS$4,E$4,$CB9:$JS9)</f>
        <v/>
      </c>
      <c r="F9" s="55">
        <f>SUMIF($CB$4:$JS$4,F$4,$CB9:$JS9)</f>
        <v/>
      </c>
      <c r="G9" s="55">
        <f>SUMIF($CB$4:$JS$4,G$4,$CB9:$JS9)</f>
        <v/>
      </c>
      <c r="H9" s="55">
        <f>SUMIF($CB$4:$JS$4,H$4,$CB9:$JS9)</f>
        <v/>
      </c>
      <c r="I9" s="55">
        <f>SUMIF($CB$4:$JS$4,I$4,$CB9:$JS9)</f>
        <v/>
      </c>
      <c r="J9" s="55">
        <f>SUMIF($CB$4:$JS$4,J$4,$CB9:$JS9)</f>
        <v/>
      </c>
      <c r="K9" s="55">
        <f>SUMIF($CB$4:$JS$4,K$4,$CB9:$JS9)</f>
        <v/>
      </c>
      <c r="L9" s="55">
        <f>SUMIF($CB$4:$JS$4,L$4,$CB9:$JS9)</f>
        <v/>
      </c>
      <c r="M9" s="55">
        <f>SUMIF($CB$4:$JS$4,M$4,$CB9:$JS9)</f>
        <v/>
      </c>
      <c r="N9" s="55">
        <f>SUMIF($CB$4:$JS$4,N$4,$CB9:$JS9)</f>
        <v/>
      </c>
      <c r="O9" s="55">
        <f>SUMIF($CB$4:$JS$4,O$4,$CB9:$JS9)</f>
        <v/>
      </c>
      <c r="P9" s="55">
        <f>SUMIF($CB$4:$JS$4,P$4,$CB9:$JS9)</f>
        <v/>
      </c>
      <c r="Q9" s="55">
        <f>SUMIF($CB$4:$JS$4,Q$4,$CB9:$JS9)</f>
        <v/>
      </c>
      <c r="R9" s="55">
        <f>SUMIF($CB$4:$JS$4,R$4,$CB9:$JS9)</f>
        <v/>
      </c>
      <c r="S9" s="55">
        <f>SUMIF($CB$4:$JS$4,S$4,$CB9:$JS9)</f>
        <v/>
      </c>
      <c r="T9" s="55">
        <f>SUMIF($CB$4:$JS$4,T$4,$CB9:$JS9)</f>
        <v/>
      </c>
      <c r="U9" s="55">
        <f>SUMIF($CB$4:$JS$4,U$4,$CB9:$JS9)</f>
        <v/>
      </c>
      <c r="V9" s="55">
        <f>SUMIF($CB$4:$JS$4,V$4,$CB9:$JS9)</f>
        <v/>
      </c>
      <c r="W9" s="55">
        <f>SUMIF($CB$4:$JS$4,W$4,$CB9:$JS9)</f>
        <v/>
      </c>
      <c r="X9" s="55">
        <f>SUMIF($CB$4:$JS$4,X$4,$CB9:$JS9)</f>
        <v/>
      </c>
      <c r="Y9" s="55">
        <f>SUMIF($CB$4:$JS$4,Y$4,$CB9:$JS9)</f>
        <v/>
      </c>
      <c r="Z9" s="55">
        <f>SUMIF($CB$4:$JS$4,Z$4,$CB9:$JS9)</f>
        <v/>
      </c>
      <c r="AA9" s="55">
        <f>SUMIF($CB$4:$JS$4,AA$4,$CB9:$JS9)</f>
        <v/>
      </c>
      <c r="AB9" s="55">
        <f>SUMIF($CB$4:$JS$4,AB$4,$CB9:$JS9)</f>
        <v/>
      </c>
      <c r="AC9" s="55">
        <f>SUMIF($CB$4:$JS$4,AC$4,$CB9:$JS9)</f>
        <v/>
      </c>
      <c r="AD9" s="55">
        <f>SUMIF($CB$4:$JS$4,AD$4,$CB9:$JS9)</f>
        <v/>
      </c>
      <c r="AE9" s="55">
        <f>SUMIF($CB$4:$JS$4,AE$4,$CB9:$JS9)</f>
        <v/>
      </c>
      <c r="AF9" s="55">
        <f>SUMIF($CB$4:$JS$4,AF$4,$CB9:$JS9)</f>
        <v/>
      </c>
      <c r="AG9" s="55">
        <f>SUMIF($CB$4:$JS$4,AG$4,$CB9:$JS9)</f>
        <v/>
      </c>
      <c r="AH9" s="55">
        <f>SUMIF($CB$4:$JS$4,AH$4,$CB9:$JS9)</f>
        <v/>
      </c>
      <c r="AI9" s="55">
        <f>SUMIF($CB$4:$JS$4,AI$4,$CB9:$JS9)</f>
        <v/>
      </c>
      <c r="AJ9" s="55">
        <f>SUMIF($CB$4:$JS$4,AJ$4,$CB9:$JS9)</f>
        <v/>
      </c>
      <c r="AK9" s="55">
        <f>SUMIF($CB$4:$JS$4,AK$4,$CB9:$JS9)</f>
        <v/>
      </c>
      <c r="AL9" s="55">
        <f>SUMIF($CB$4:$JS$4,AL$4,$CB9:$JS9)</f>
        <v/>
      </c>
      <c r="AM9" s="55">
        <f>SUMIF($CB$4:$JS$4,AM$4,$CB9:$JS9)</f>
        <v/>
      </c>
      <c r="AN9" s="55">
        <f>SUMIF($CB$4:$JS$4,AN$4,$CB9:$JS9)</f>
        <v/>
      </c>
      <c r="AO9" s="55">
        <f>SUMIF($CB$4:$JS$4,AO$4,$CB9:$JS9)</f>
        <v/>
      </c>
      <c r="AP9" s="55">
        <f>SUMIF($CB$4:$JS$4,AP$4,$CB9:$JS9)</f>
        <v/>
      </c>
      <c r="AQ9" s="55">
        <f>SUMIF($CB$4:$JS$4,AQ$4,$CB9:$JS9)</f>
        <v/>
      </c>
      <c r="AR9" s="55">
        <f>SUMIF($CB$4:$JS$4,AR$4,$CB9:$JS9)</f>
        <v/>
      </c>
      <c r="AS9" s="55">
        <f>SUMIF($CB$4:$JS$4,AS$4,$CB9:$JS9)</f>
        <v/>
      </c>
      <c r="AT9" s="55">
        <f>SUMIF($CB$4:$JS$4,AT$4,$CB9:$JS9)</f>
        <v/>
      </c>
      <c r="AU9" s="55">
        <f>SUMIF($CB$4:$JS$4,AU$4,$CB9:$JS9)</f>
        <v/>
      </c>
      <c r="AV9" s="55">
        <f>SUMIF($CB$4:$JS$4,AV$4,$CB9:$JS9)</f>
        <v/>
      </c>
      <c r="AW9" s="55">
        <f>SUMIF($CB$4:$JS$4,AW$4,$CB9:$JS9)</f>
        <v/>
      </c>
      <c r="AX9" s="55">
        <f>SUMIF($CB$4:$JS$4,AX$4,$CB9:$JS9)</f>
        <v/>
      </c>
      <c r="AY9" s="55">
        <f>SUMIF($CB$4:$JS$4,AY$4,$CB9:$JS9)</f>
        <v/>
      </c>
      <c r="AZ9" s="55">
        <f>SUMIF($CB$4:$JS$4,AZ$4,$CB9:$JS9)</f>
        <v/>
      </c>
      <c r="BA9" s="55">
        <f>SUMIF($CB$4:$JS$4,BA$4,$CB9:$JS9)</f>
        <v/>
      </c>
      <c r="BB9" s="55">
        <f>SUMIF($CB$4:$JS$4,BB$4,$CB9:$JS9)</f>
        <v/>
      </c>
      <c r="BC9" s="55">
        <f>SUMIF($CB$4:$JS$4,BC$4,$CB9:$JS9)</f>
        <v/>
      </c>
      <c r="BD9" s="55">
        <f>SUMIF($CB$4:$JS$4,BD$4,$CB9:$JS9)</f>
        <v/>
      </c>
      <c r="BE9" s="55">
        <f>SUMIF($CB$4:$JS$4,BE$4,$CB9:$JS9)</f>
        <v/>
      </c>
      <c r="BF9" s="55">
        <f>SUMIF($CB$4:$JS$4,BF$4,$CB9:$JS9)</f>
        <v/>
      </c>
      <c r="BG9" s="55">
        <f>SUMIF($CB$4:$JS$4,BG$4,$CB9:$JS9)</f>
        <v/>
      </c>
      <c r="BH9" s="55">
        <f>SUMIF($CB$4:$JS$4,BH$4,$CB9:$JS9)</f>
        <v/>
      </c>
      <c r="BI9" s="55">
        <f>SUMIF($CB$4:$JS$4,BI$4,$CB9:$JS9)</f>
        <v/>
      </c>
      <c r="BJ9" s="55">
        <f>SUMIF($CB$4:$JS$4,BJ$4,$CB9:$JS9)</f>
        <v/>
      </c>
      <c r="BK9" s="55">
        <f>SUMIF($CB$4:$JS$4,BK$4,$CB9:$JS9)</f>
        <v/>
      </c>
      <c r="BL9" s="55">
        <f>SUMIF($CB$4:$JS$4,BL$4,$CB9:$JS9)</f>
        <v/>
      </c>
      <c r="BM9" s="55">
        <f>SUMIF($CB$4:$JS$4,BM$4,$CB9:$JS9)</f>
        <v/>
      </c>
      <c r="BN9" s="55">
        <f>SUMIF($CB$4:$JS$4,BN$4,$CB9:$JS9)</f>
        <v/>
      </c>
      <c r="BO9" s="55">
        <f>SUMIF($CB$4:$JS$4,BO$4,$CB9:$JS9)</f>
        <v/>
      </c>
      <c r="BP9" s="55">
        <f>SUMIF($CB$4:$JS$4,BP$4,$CB9:$JS9)</f>
        <v/>
      </c>
      <c r="BQ9" s="55">
        <f>SUMIF($CB$4:$JS$4,BQ$4,$CB9:$JS9)</f>
        <v/>
      </c>
      <c r="BR9" s="55">
        <f>SUMIF($CB$4:$JS$4,BR$4,$CB9:$JS9)</f>
        <v/>
      </c>
      <c r="BS9" s="55">
        <f>SUMIF($CB$4:$JS$4,BS$4,$CB9:$JS9)</f>
        <v/>
      </c>
      <c r="BT9" s="55">
        <f>SUMIF($CB$4:$JS$4,BT$4,$CB9:$JS9)</f>
        <v/>
      </c>
      <c r="BU9" s="55">
        <f>SUMIF($CB$4:$JS$4,BU$4,$CB9:$JS9)</f>
        <v/>
      </c>
      <c r="BV9" s="55">
        <f>SUMIF($CB$4:$JS$4,BV$4,$CB9:$JS9)</f>
        <v/>
      </c>
      <c r="BW9" s="55">
        <f>SUMIF($CB$4:$JS$4,BW$4,$CB9:$JS9)</f>
        <v/>
      </c>
      <c r="BX9" s="55">
        <f>SUMIF($CB$4:$JS$4,"&gt;"&amp;'VALOR POR PL'!$P$8,$CB9:$JS9)</f>
        <v/>
      </c>
      <c r="BY9" s="55">
        <f>SUM($CB9:$JS9)</f>
        <v/>
      </c>
      <c r="CB9" s="123">
        <f>IF(OR(CB$4="",$B9=""),0,SUMIF('DADOS BRUTOS'!$A$3:$A$500,$B9,'DADOS BRUTOS'!B$3:B$500)+IF($C9="",0,SUMIF('DADOS BRUTOS'!$A$3:$A$500,$C9,'DADOS BRUTOS'!B$3:B$500)))</f>
        <v/>
      </c>
      <c r="CC9" s="123">
        <f>IF(OR(CC$4="",$B9=""),0,SUMIF('DADOS BRUTOS'!$A$3:$A$500,$B9,'DADOS BRUTOS'!C$3:C$500)+IF($C9="",0,SUMIF('DADOS BRUTOS'!$A$3:$A$500,$C9,'DADOS BRUTOS'!C$3:C$500)))</f>
        <v/>
      </c>
      <c r="CD9" s="123">
        <f>IF(OR(CD$4="",$B9=""),0,SUMIF('DADOS BRUTOS'!$A$3:$A$500,$B9,'DADOS BRUTOS'!D$3:D$500)+IF($C9="",0,SUMIF('DADOS BRUTOS'!$A$3:$A$500,$C9,'DADOS BRUTOS'!D$3:D$500)))</f>
        <v/>
      </c>
      <c r="CE9" s="123">
        <f>IF(OR(CE$4="",$B9=""),0,SUMIF('DADOS BRUTOS'!$A$3:$A$500,$B9,'DADOS BRUTOS'!E$3:E$500)+IF($C9="",0,SUMIF('DADOS BRUTOS'!$A$3:$A$500,$C9,'DADOS BRUTOS'!E$3:E$500)))</f>
        <v/>
      </c>
      <c r="CF9" s="123">
        <f>IF(OR(CF$4="",$B9=""),0,SUMIF('DADOS BRUTOS'!$A$3:$A$500,$B9,'DADOS BRUTOS'!F$3:F$500)+IF($C9="",0,SUMIF('DADOS BRUTOS'!$A$3:$A$500,$C9,'DADOS BRUTOS'!F$3:F$500)))</f>
        <v/>
      </c>
      <c r="CG9" s="123">
        <f>IF(OR(CG$4="",$B9=""),0,SUMIF('DADOS BRUTOS'!$A$3:$A$500,$B9,'DADOS BRUTOS'!G$3:G$500)+IF($C9="",0,SUMIF('DADOS BRUTOS'!$A$3:$A$500,$C9,'DADOS BRUTOS'!G$3:G$500)))</f>
        <v/>
      </c>
      <c r="CH9" s="123">
        <f>IF(OR(CH$4="",$B9=""),0,SUMIF('DADOS BRUTOS'!$A$3:$A$500,$B9,'DADOS BRUTOS'!H$3:H$500)+IF($C9="",0,SUMIF('DADOS BRUTOS'!$A$3:$A$500,$C9,'DADOS BRUTOS'!H$3:H$500)))</f>
        <v/>
      </c>
      <c r="CI9" s="123">
        <f>IF(OR(CI$4="",$B9=""),0,SUMIF('DADOS BRUTOS'!$A$3:$A$500,$B9,'DADOS BRUTOS'!I$3:I$500)+IF($C9="",0,SUMIF('DADOS BRUTOS'!$A$3:$A$500,$C9,'DADOS BRUTOS'!I$3:I$500)))</f>
        <v/>
      </c>
      <c r="CJ9" s="123">
        <f>IF(OR(CJ$4="",$B9=""),0,SUMIF('DADOS BRUTOS'!$A$3:$A$500,$B9,'DADOS BRUTOS'!J$3:J$500)+IF($C9="",0,SUMIF('DADOS BRUTOS'!$A$3:$A$500,$C9,'DADOS BRUTOS'!J$3:J$500)))</f>
        <v/>
      </c>
      <c r="CK9" s="123">
        <f>IF(OR(CK$4="",$B9=""),0,SUMIF('DADOS BRUTOS'!$A$3:$A$500,$B9,'DADOS BRUTOS'!K$3:K$500)+IF($C9="",0,SUMIF('DADOS BRUTOS'!$A$3:$A$500,$C9,'DADOS BRUTOS'!K$3:K$500)))</f>
        <v/>
      </c>
      <c r="CL9" s="123">
        <f>IF(OR(CL$4="",$B9=""),0,SUMIF('DADOS BRUTOS'!$A$3:$A$500,$B9,'DADOS BRUTOS'!L$3:L$500)+IF($C9="",0,SUMIF('DADOS BRUTOS'!$A$3:$A$500,$C9,'DADOS BRUTOS'!L$3:L$500)))</f>
        <v/>
      </c>
      <c r="CM9" s="123">
        <f>IF(OR(CM$4="",$B9=""),0,SUMIF('DADOS BRUTOS'!$A$3:$A$500,$B9,'DADOS BRUTOS'!M$3:M$500)+IF($C9="",0,SUMIF('DADOS BRUTOS'!$A$3:$A$500,$C9,'DADOS BRUTOS'!M$3:M$500)))</f>
        <v/>
      </c>
      <c r="CN9" s="123">
        <f>IF(OR(CN$4="",$B9=""),0,SUMIF('DADOS BRUTOS'!$A$3:$A$500,$B9,'DADOS BRUTOS'!N$3:N$500)+IF($C9="",0,SUMIF('DADOS BRUTOS'!$A$3:$A$500,$C9,'DADOS BRUTOS'!N$3:N$500)))</f>
        <v/>
      </c>
      <c r="CO9" s="123">
        <f>IF(OR(CO$4="",$B9=""),0,SUMIF('DADOS BRUTOS'!$A$3:$A$500,$B9,'DADOS BRUTOS'!O$3:O$500)+IF($C9="",0,SUMIF('DADOS BRUTOS'!$A$3:$A$500,$C9,'DADOS BRUTOS'!O$3:O$500)))</f>
        <v/>
      </c>
      <c r="CP9" s="123">
        <f>IF(OR(CP$4="",$B9=""),0,SUMIF('DADOS BRUTOS'!$A$3:$A$500,$B9,'DADOS BRUTOS'!P$3:P$500)+IF($C9="",0,SUMIF('DADOS BRUTOS'!$A$3:$A$500,$C9,'DADOS BRUTOS'!P$3:P$500)))</f>
        <v/>
      </c>
      <c r="CQ9" s="123">
        <f>IF(OR(CQ$4="",$B9=""),0,SUMIF('DADOS BRUTOS'!$A$3:$A$500,$B9,'DADOS BRUTOS'!Q$3:Q$500)+IF($C9="",0,SUMIF('DADOS BRUTOS'!$A$3:$A$500,$C9,'DADOS BRUTOS'!Q$3:Q$500)))</f>
        <v/>
      </c>
      <c r="CR9" s="123">
        <f>IF(OR(CR$4="",$B9=""),0,SUMIF('DADOS BRUTOS'!$A$3:$A$500,$B9,'DADOS BRUTOS'!R$3:R$500)+IF($C9="",0,SUMIF('DADOS BRUTOS'!$A$3:$A$500,$C9,'DADOS BRUTOS'!R$3:R$500)))</f>
        <v/>
      </c>
      <c r="CS9" s="123">
        <f>IF(OR(CS$4="",$B9=""),0,SUMIF('DADOS BRUTOS'!$A$3:$A$500,$B9,'DADOS BRUTOS'!S$3:S$500)+IF($C9="",0,SUMIF('DADOS BRUTOS'!$A$3:$A$500,$C9,'DADOS BRUTOS'!S$3:S$500)))</f>
        <v/>
      </c>
      <c r="CT9" s="123">
        <f>IF(OR(CT$4="",$B9=""),0,SUMIF('DADOS BRUTOS'!$A$3:$A$500,$B9,'DADOS BRUTOS'!T$3:T$500)+IF($C9="",0,SUMIF('DADOS BRUTOS'!$A$3:$A$500,$C9,'DADOS BRUTOS'!T$3:T$500)))</f>
        <v/>
      </c>
      <c r="CU9" s="123">
        <f>IF(OR(CU$4="",$B9=""),0,SUMIF('DADOS BRUTOS'!$A$3:$A$500,$B9,'DADOS BRUTOS'!U$3:U$500)+IF($C9="",0,SUMIF('DADOS BRUTOS'!$A$3:$A$500,$C9,'DADOS BRUTOS'!U$3:U$500)))</f>
        <v/>
      </c>
      <c r="CV9" s="123">
        <f>IF(OR(CV$4="",$B9=""),0,SUMIF('DADOS BRUTOS'!$A$3:$A$500,$B9,'DADOS BRUTOS'!V$3:V$500)+IF($C9="",0,SUMIF('DADOS BRUTOS'!$A$3:$A$500,$C9,'DADOS BRUTOS'!V$3:V$500)))</f>
        <v/>
      </c>
      <c r="CW9" s="123">
        <f>IF(OR(CW$4="",$B9=""),0,SUMIF('DADOS BRUTOS'!$A$3:$A$500,$B9,'DADOS BRUTOS'!W$3:W$500)+IF($C9="",0,SUMIF('DADOS BRUTOS'!$A$3:$A$500,$C9,'DADOS BRUTOS'!W$3:W$500)))</f>
        <v/>
      </c>
      <c r="CX9" s="123">
        <f>IF(OR(CX$4="",$B9=""),0,SUMIF('DADOS BRUTOS'!$A$3:$A$500,$B9,'DADOS BRUTOS'!X$3:X$500)+IF($C9="",0,SUMIF('DADOS BRUTOS'!$A$3:$A$500,$C9,'DADOS BRUTOS'!X$3:X$500)))</f>
        <v/>
      </c>
      <c r="CY9" s="123">
        <f>IF(OR(CY$4="",$B9=""),0,SUMIF('DADOS BRUTOS'!$A$3:$A$500,$B9,'DADOS BRUTOS'!Y$3:Y$500)+IF($C9="",0,SUMIF('DADOS BRUTOS'!$A$3:$A$500,$C9,'DADOS BRUTOS'!Y$3:Y$500)))</f>
        <v/>
      </c>
      <c r="CZ9" s="123">
        <f>IF(OR(CZ$4="",$B9=""),0,SUMIF('DADOS BRUTOS'!$A$3:$A$500,$B9,'DADOS BRUTOS'!Z$3:Z$500)+IF($C9="",0,SUMIF('DADOS BRUTOS'!$A$3:$A$500,$C9,'DADOS BRUTOS'!Z$3:Z$500)))</f>
        <v/>
      </c>
      <c r="DA9" s="123">
        <f>IF(OR(DA$4="",$B9=""),0,SUMIF('DADOS BRUTOS'!$A$3:$A$500,$B9,'DADOS BRUTOS'!AA$3:AA$500)+IF($C9="",0,SUMIF('DADOS BRUTOS'!$A$3:$A$500,$C9,'DADOS BRUTOS'!AA$3:AA$500)))</f>
        <v/>
      </c>
      <c r="DB9" s="123">
        <f>IF(OR(DB$4="",$B9=""),0,SUMIF('DADOS BRUTOS'!$A$3:$A$500,$B9,'DADOS BRUTOS'!AB$3:AB$500)+IF($C9="",0,SUMIF('DADOS BRUTOS'!$A$3:$A$500,$C9,'DADOS BRUTOS'!AB$3:AB$500)))</f>
        <v/>
      </c>
      <c r="DC9" s="123">
        <f>IF(OR(DC$4="",$B9=""),0,SUMIF('DADOS BRUTOS'!$A$3:$A$500,$B9,'DADOS BRUTOS'!AC$3:AC$500)+IF($C9="",0,SUMIF('DADOS BRUTOS'!$A$3:$A$500,$C9,'DADOS BRUTOS'!AC$3:AC$500)))</f>
        <v/>
      </c>
      <c r="DD9" s="123">
        <f>IF(OR(DD$4="",$B9=""),0,SUMIF('DADOS BRUTOS'!$A$3:$A$500,$B9,'DADOS BRUTOS'!AD$3:AD$500)+IF($C9="",0,SUMIF('DADOS BRUTOS'!$A$3:$A$500,$C9,'DADOS BRUTOS'!AD$3:AD$500)))</f>
        <v/>
      </c>
      <c r="DE9" s="123">
        <f>IF(OR(DE$4="",$B9=""),0,SUMIF('DADOS BRUTOS'!$A$3:$A$500,$B9,'DADOS BRUTOS'!AE$3:AE$500)+IF($C9="",0,SUMIF('DADOS BRUTOS'!$A$3:$A$500,$C9,'DADOS BRUTOS'!AE$3:AE$500)))</f>
        <v/>
      </c>
      <c r="DF9" s="123">
        <f>IF(OR(DF$4="",$B9=""),0,SUMIF('DADOS BRUTOS'!$A$3:$A$500,$B9,'DADOS BRUTOS'!AF$3:AF$500)+IF($C9="",0,SUMIF('DADOS BRUTOS'!$A$3:$A$500,$C9,'DADOS BRUTOS'!AF$3:AF$500)))</f>
        <v/>
      </c>
      <c r="DG9" s="123">
        <f>IF(OR(DG$4="",$B9=""),0,SUMIF('DADOS BRUTOS'!$A$3:$A$500,$B9,'DADOS BRUTOS'!AG$3:AG$500)+IF($C9="",0,SUMIF('DADOS BRUTOS'!$A$3:$A$500,$C9,'DADOS BRUTOS'!AG$3:AG$500)))</f>
        <v/>
      </c>
      <c r="DH9" s="123">
        <f>IF(OR(DH$4="",$B9=""),0,SUMIF('DADOS BRUTOS'!$A$3:$A$500,$B9,'DADOS BRUTOS'!AH$3:AH$500)+IF($C9="",0,SUMIF('DADOS BRUTOS'!$A$3:$A$500,$C9,'DADOS BRUTOS'!AH$3:AH$500)))</f>
        <v/>
      </c>
      <c r="DI9" s="123">
        <f>IF(OR(DI$4="",$B9=""),0,SUMIF('DADOS BRUTOS'!$A$3:$A$500,$B9,'DADOS BRUTOS'!AI$3:AI$500)+IF($C9="",0,SUMIF('DADOS BRUTOS'!$A$3:$A$500,$C9,'DADOS BRUTOS'!AI$3:AI$500)))</f>
        <v/>
      </c>
      <c r="DJ9" s="123">
        <f>IF(OR(DJ$4="",$B9=""),0,SUMIF('DADOS BRUTOS'!$A$3:$A$500,$B9,'DADOS BRUTOS'!AJ$3:AJ$500)+IF($C9="",0,SUMIF('DADOS BRUTOS'!$A$3:$A$500,$C9,'DADOS BRUTOS'!AJ$3:AJ$500)))</f>
        <v/>
      </c>
      <c r="DK9" s="123">
        <f>IF(OR(DK$4="",$B9=""),0,SUMIF('DADOS BRUTOS'!$A$3:$A$500,$B9,'DADOS BRUTOS'!AK$3:AK$500)+IF($C9="",0,SUMIF('DADOS BRUTOS'!$A$3:$A$500,$C9,'DADOS BRUTOS'!AK$3:AK$500)))</f>
        <v/>
      </c>
      <c r="DL9" s="123">
        <f>IF(OR(DL$4="",$B9=""),0,SUMIF('DADOS BRUTOS'!$A$3:$A$500,$B9,'DADOS BRUTOS'!AL$3:AL$500)+IF($C9="",0,SUMIF('DADOS BRUTOS'!$A$3:$A$500,$C9,'DADOS BRUTOS'!AL$3:AL$500)))</f>
        <v/>
      </c>
      <c r="DM9" s="123">
        <f>IF(OR(DM$4="",$B9=""),0,SUMIF('DADOS BRUTOS'!$A$3:$A$500,$B9,'DADOS BRUTOS'!AM$3:AM$500)+IF($C9="",0,SUMIF('DADOS BRUTOS'!$A$3:$A$500,$C9,'DADOS BRUTOS'!AM$3:AM$500)))</f>
        <v/>
      </c>
      <c r="DN9" s="123">
        <f>IF(OR(DN$4="",$B9=""),0,SUMIF('DADOS BRUTOS'!$A$3:$A$500,$B9,'DADOS BRUTOS'!AN$3:AN$500)+IF($C9="",0,SUMIF('DADOS BRUTOS'!$A$3:$A$500,$C9,'DADOS BRUTOS'!AN$3:AN$500)))</f>
        <v/>
      </c>
      <c r="DO9" s="123">
        <f>IF(OR(DO$4="",$B9=""),0,SUMIF('DADOS BRUTOS'!$A$3:$A$500,$B9,'DADOS BRUTOS'!AO$3:AO$500)+IF($C9="",0,SUMIF('DADOS BRUTOS'!$A$3:$A$500,$C9,'DADOS BRUTOS'!AO$3:AO$500)))</f>
        <v/>
      </c>
      <c r="DP9" s="123">
        <f>IF(OR(DP$4="",$B9=""),0,SUMIF('DADOS BRUTOS'!$A$3:$A$500,$B9,'DADOS BRUTOS'!AP$3:AP$500)+IF($C9="",0,SUMIF('DADOS BRUTOS'!$A$3:$A$500,$C9,'DADOS BRUTOS'!AP$3:AP$500)))</f>
        <v/>
      </c>
      <c r="DQ9" s="123">
        <f>IF(OR(DQ$4="",$B9=""),0,SUMIF('DADOS BRUTOS'!$A$3:$A$500,$B9,'DADOS BRUTOS'!AQ$3:AQ$500)+IF($C9="",0,SUMIF('DADOS BRUTOS'!$A$3:$A$500,$C9,'DADOS BRUTOS'!AQ$3:AQ$500)))</f>
        <v/>
      </c>
      <c r="DR9" s="123">
        <f>IF(OR(DR$4="",$B9=""),0,SUMIF('DADOS BRUTOS'!$A$3:$A$500,$B9,'DADOS BRUTOS'!AR$3:AR$500)+IF($C9="",0,SUMIF('DADOS BRUTOS'!$A$3:$A$500,$C9,'DADOS BRUTOS'!AR$3:AR$500)))</f>
        <v/>
      </c>
      <c r="DS9" s="123">
        <f>IF(OR(DS$4="",$B9=""),0,SUMIF('DADOS BRUTOS'!$A$3:$A$500,$B9,'DADOS BRUTOS'!AS$3:AS$500)+IF($C9="",0,SUMIF('DADOS BRUTOS'!$A$3:$A$500,$C9,'DADOS BRUTOS'!AS$3:AS$500)))</f>
        <v/>
      </c>
      <c r="DT9" s="123">
        <f>IF(OR(DT$4="",$B9=""),0,SUMIF('DADOS BRUTOS'!$A$3:$A$500,$B9,'DADOS BRUTOS'!AT$3:AT$500)+IF($C9="",0,SUMIF('DADOS BRUTOS'!$A$3:$A$500,$C9,'DADOS BRUTOS'!AT$3:AT$500)))</f>
        <v/>
      </c>
      <c r="DU9" s="123">
        <f>IF(OR(DU$4="",$B9=""),0,SUMIF('DADOS BRUTOS'!$A$3:$A$500,$B9,'DADOS BRUTOS'!AU$3:AU$500)+IF($C9="",0,SUMIF('DADOS BRUTOS'!$A$3:$A$500,$C9,'DADOS BRUTOS'!AU$3:AU$500)))</f>
        <v/>
      </c>
      <c r="DV9" s="123">
        <f>IF(OR(DV$4="",$B9=""),0,SUMIF('DADOS BRUTOS'!$A$3:$A$500,$B9,'DADOS BRUTOS'!AV$3:AV$500)+IF($C9="",0,SUMIF('DADOS BRUTOS'!$A$3:$A$500,$C9,'DADOS BRUTOS'!AV$3:AV$500)))</f>
        <v/>
      </c>
      <c r="DW9" s="123">
        <f>IF(OR(DW$4="",$B9=""),0,SUMIF('DADOS BRUTOS'!$A$3:$A$500,$B9,'DADOS BRUTOS'!AW$3:AW$500)+IF($C9="",0,SUMIF('DADOS BRUTOS'!$A$3:$A$500,$C9,'DADOS BRUTOS'!AW$3:AW$500)))</f>
        <v/>
      </c>
      <c r="DX9" s="123">
        <f>IF(OR(DX$4="",$B9=""),0,SUMIF('DADOS BRUTOS'!$A$3:$A$500,$B9,'DADOS BRUTOS'!AX$3:AX$500)+IF($C9="",0,SUMIF('DADOS BRUTOS'!$A$3:$A$500,$C9,'DADOS BRUTOS'!AX$3:AX$500)))</f>
        <v/>
      </c>
      <c r="DY9" s="123">
        <f>IF(OR(DY$4="",$B9=""),0,SUMIF('DADOS BRUTOS'!$A$3:$A$500,$B9,'DADOS BRUTOS'!AY$3:AY$500)+IF($C9="",0,SUMIF('DADOS BRUTOS'!$A$3:$A$500,$C9,'DADOS BRUTOS'!AY$3:AY$500)))</f>
        <v/>
      </c>
      <c r="DZ9" s="123">
        <f>IF(OR(DZ$4="",$B9=""),0,SUMIF('DADOS BRUTOS'!$A$3:$A$500,$B9,'DADOS BRUTOS'!AZ$3:AZ$500)+IF($C9="",0,SUMIF('DADOS BRUTOS'!$A$3:$A$500,$C9,'DADOS BRUTOS'!AZ$3:AZ$500)))</f>
        <v/>
      </c>
      <c r="EA9" s="123">
        <f>IF(OR(EA$4="",$B9=""),0,SUMIF('DADOS BRUTOS'!$A$3:$A$500,$B9,'DADOS BRUTOS'!BA$3:BA$500)+IF($C9="",0,SUMIF('DADOS BRUTOS'!$A$3:$A$500,$C9,'DADOS BRUTOS'!BA$3:BA$500)))</f>
        <v/>
      </c>
      <c r="EB9" s="123">
        <f>IF(OR(EB$4="",$B9=""),0,SUMIF('DADOS BRUTOS'!$A$3:$A$500,$B9,'DADOS BRUTOS'!BB$3:BB$500)+IF($C9="",0,SUMIF('DADOS BRUTOS'!$A$3:$A$500,$C9,'DADOS BRUTOS'!BB$3:BB$500)))</f>
        <v/>
      </c>
      <c r="EC9" s="123">
        <f>IF(OR(EC$4="",$B9=""),0,SUMIF('DADOS BRUTOS'!$A$3:$A$500,$B9,'DADOS BRUTOS'!BC$3:BC$500)+IF($C9="",0,SUMIF('DADOS BRUTOS'!$A$3:$A$500,$C9,'DADOS BRUTOS'!BC$3:BC$500)))</f>
        <v/>
      </c>
      <c r="ED9" s="123">
        <f>IF(OR(ED$4="",$B9=""),0,SUMIF('DADOS BRUTOS'!$A$3:$A$500,$B9,'DADOS BRUTOS'!BD$3:BD$500)+IF($C9="",0,SUMIF('DADOS BRUTOS'!$A$3:$A$500,$C9,'DADOS BRUTOS'!BD$3:BD$500)))</f>
        <v/>
      </c>
      <c r="EE9" s="123">
        <f>IF(OR(EE$4="",$B9=""),0,SUMIF('DADOS BRUTOS'!$A$3:$A$500,$B9,'DADOS BRUTOS'!BE$3:BE$500)+IF($C9="",0,SUMIF('DADOS BRUTOS'!$A$3:$A$500,$C9,'DADOS BRUTOS'!BE$3:BE$500)))</f>
        <v/>
      </c>
      <c r="EF9" s="123">
        <f>IF(OR(EF$4="",$B9=""),0,SUMIF('DADOS BRUTOS'!$A$3:$A$500,$B9,'DADOS BRUTOS'!BF$3:BF$500)+IF($C9="",0,SUMIF('DADOS BRUTOS'!$A$3:$A$500,$C9,'DADOS BRUTOS'!BF$3:BF$500)))</f>
        <v/>
      </c>
      <c r="EG9" s="123">
        <f>IF(OR(EG$4="",$B9=""),0,SUMIF('DADOS BRUTOS'!$A$3:$A$500,$B9,'DADOS BRUTOS'!BG$3:BG$500)+IF($C9="",0,SUMIF('DADOS BRUTOS'!$A$3:$A$500,$C9,'DADOS BRUTOS'!BG$3:BG$500)))</f>
        <v/>
      </c>
      <c r="EH9" s="123">
        <f>IF(OR(EH$4="",$B9=""),0,SUMIF('DADOS BRUTOS'!$A$3:$A$500,$B9,'DADOS BRUTOS'!BH$3:BH$500)+IF($C9="",0,SUMIF('DADOS BRUTOS'!$A$3:$A$500,$C9,'DADOS BRUTOS'!BH$3:BH$500)))</f>
        <v/>
      </c>
      <c r="EI9" s="123">
        <f>IF(OR(EI$4="",$B9=""),0,SUMIF('DADOS BRUTOS'!$A$3:$A$500,$B9,'DADOS BRUTOS'!BI$3:BI$500)+IF($C9="",0,SUMIF('DADOS BRUTOS'!$A$3:$A$500,$C9,'DADOS BRUTOS'!BI$3:BI$500)))</f>
        <v/>
      </c>
      <c r="EJ9" s="123">
        <f>IF(OR(EJ$4="",$B9=""),0,SUMIF('DADOS BRUTOS'!$A$3:$A$500,$B9,'DADOS BRUTOS'!BJ$3:BJ$500)+IF($C9="",0,SUMIF('DADOS BRUTOS'!$A$3:$A$500,$C9,'DADOS BRUTOS'!BJ$3:BJ$500)))</f>
        <v/>
      </c>
      <c r="EK9" s="123">
        <f>IF(OR(EK$4="",$B9=""),0,SUMIF('DADOS BRUTOS'!$A$3:$A$500,$B9,'DADOS BRUTOS'!BK$3:BK$500)+IF($C9="",0,SUMIF('DADOS BRUTOS'!$A$3:$A$500,$C9,'DADOS BRUTOS'!BK$3:BK$500)))</f>
        <v/>
      </c>
      <c r="EL9" s="123">
        <f>IF(OR(EL$4="",$B9=""),0,SUMIF('DADOS BRUTOS'!$A$3:$A$500,$B9,'DADOS BRUTOS'!BL$3:BL$500)+IF($C9="",0,SUMIF('DADOS BRUTOS'!$A$3:$A$500,$C9,'DADOS BRUTOS'!BL$3:BL$500)))</f>
        <v/>
      </c>
      <c r="EM9" s="123">
        <f>IF(OR(EM$4="",$B9=""),0,SUMIF('DADOS BRUTOS'!$A$3:$A$500,$B9,'DADOS BRUTOS'!BM$3:BM$500)+IF($C9="",0,SUMIF('DADOS BRUTOS'!$A$3:$A$500,$C9,'DADOS BRUTOS'!BM$3:BM$500)))</f>
        <v/>
      </c>
      <c r="EN9" s="123">
        <f>IF(OR(EN$4="",$B9=""),0,SUMIF('DADOS BRUTOS'!$A$3:$A$500,$B9,'DADOS BRUTOS'!BN$3:BN$500)+IF($C9="",0,SUMIF('DADOS BRUTOS'!$A$3:$A$500,$C9,'DADOS BRUTOS'!BN$3:BN$500)))</f>
        <v/>
      </c>
      <c r="EO9" s="123">
        <f>IF(OR(EO$4="",$B9=""),0,SUMIF('DADOS BRUTOS'!$A$3:$A$500,$B9,'DADOS BRUTOS'!BO$3:BO$500)+IF($C9="",0,SUMIF('DADOS BRUTOS'!$A$3:$A$500,$C9,'DADOS BRUTOS'!BO$3:BO$500)))</f>
        <v/>
      </c>
      <c r="EP9" s="123">
        <f>IF(OR(EP$4="",$B9=""),0,SUMIF('DADOS BRUTOS'!$A$3:$A$500,$B9,'DADOS BRUTOS'!BP$3:BP$500)+IF($C9="",0,SUMIF('DADOS BRUTOS'!$A$3:$A$500,$C9,'DADOS BRUTOS'!BP$3:BP$500)))</f>
        <v/>
      </c>
      <c r="EQ9" s="123">
        <f>IF(OR(EQ$4="",$B9=""),0,SUMIF('DADOS BRUTOS'!$A$3:$A$500,$B9,'DADOS BRUTOS'!BQ$3:BQ$500)+IF($C9="",0,SUMIF('DADOS BRUTOS'!$A$3:$A$500,$C9,'DADOS BRUTOS'!BQ$3:BQ$500)))</f>
        <v/>
      </c>
      <c r="ER9" s="123">
        <f>IF(OR(ER$4="",$B9=""),0,SUMIF('DADOS BRUTOS'!$A$3:$A$500,$B9,'DADOS BRUTOS'!BR$3:BR$500)+IF($C9="",0,SUMIF('DADOS BRUTOS'!$A$3:$A$500,$C9,'DADOS BRUTOS'!BR$3:BR$500)))</f>
        <v/>
      </c>
      <c r="ES9" s="123">
        <f>IF(OR(ES$4="",$B9=""),0,SUMIF('DADOS BRUTOS'!$A$3:$A$500,$B9,'DADOS BRUTOS'!BS$3:BS$500)+IF($C9="",0,SUMIF('DADOS BRUTOS'!$A$3:$A$500,$C9,'DADOS BRUTOS'!BS$3:BS$500)))</f>
        <v/>
      </c>
      <c r="ET9" s="123">
        <f>IF(OR(ET$4="",$B9=""),0,SUMIF('DADOS BRUTOS'!$A$3:$A$500,$B9,'DADOS BRUTOS'!BT$3:BT$500)+IF($C9="",0,SUMIF('DADOS BRUTOS'!$A$3:$A$500,$C9,'DADOS BRUTOS'!BT$3:BT$500)))</f>
        <v/>
      </c>
      <c r="EU9" s="123">
        <f>IF(OR(EU$4="",$B9=""),0,SUMIF('DADOS BRUTOS'!$A$3:$A$500,$B9,'DADOS BRUTOS'!BU$3:BU$500)+IF($C9="",0,SUMIF('DADOS BRUTOS'!$A$3:$A$500,$C9,'DADOS BRUTOS'!BU$3:BU$500)))</f>
        <v/>
      </c>
      <c r="EV9" s="123">
        <f>IF(OR(EV$4="",$B9=""),0,SUMIF('DADOS BRUTOS'!$A$3:$A$500,$B9,'DADOS BRUTOS'!BV$3:BV$500)+IF($C9="",0,SUMIF('DADOS BRUTOS'!$A$3:$A$500,$C9,'DADOS BRUTOS'!BV$3:BV$500)))</f>
        <v/>
      </c>
      <c r="EW9" s="123">
        <f>IF(OR(EW$4="",$B9=""),0,SUMIF('DADOS BRUTOS'!$A$3:$A$500,$B9,'DADOS BRUTOS'!BW$3:BW$500)+IF($C9="",0,SUMIF('DADOS BRUTOS'!$A$3:$A$500,$C9,'DADOS BRUTOS'!BW$3:BW$500)))</f>
        <v/>
      </c>
      <c r="EX9" s="123">
        <f>IF(OR(EX$4="",$B9=""),0,SUMIF('DADOS BRUTOS'!$A$3:$A$500,$B9,'DADOS BRUTOS'!BX$3:BX$500)+IF($C9="",0,SUMIF('DADOS BRUTOS'!$A$3:$A$500,$C9,'DADOS BRUTOS'!BX$3:BX$500)))</f>
        <v/>
      </c>
      <c r="EY9" s="123">
        <f>IF(OR(EY$4="",$B9=""),0,SUMIF('DADOS BRUTOS'!$A$3:$A$500,$B9,'DADOS BRUTOS'!BY$3:BY$500)+IF($C9="",0,SUMIF('DADOS BRUTOS'!$A$3:$A$500,$C9,'DADOS BRUTOS'!BY$3:BY$500)))</f>
        <v/>
      </c>
      <c r="EZ9" s="123">
        <f>IF(OR(EZ$4="",$B9=""),0,SUMIF('DADOS BRUTOS'!$A$3:$A$500,$B9,'DADOS BRUTOS'!BZ$3:BZ$500)+IF($C9="",0,SUMIF('DADOS BRUTOS'!$A$3:$A$500,$C9,'DADOS BRUTOS'!BZ$3:BZ$500)))</f>
        <v/>
      </c>
      <c r="FA9" s="123">
        <f>IF(OR(FA$4="",$B9=""),0,SUMIF('DADOS BRUTOS'!$A$3:$A$500,$B9,'DADOS BRUTOS'!CA$3:CA$500)+IF($C9="",0,SUMIF('DADOS BRUTOS'!$A$3:$A$500,$C9,'DADOS BRUTOS'!CA$3:CA$500)))</f>
        <v/>
      </c>
      <c r="FB9" s="123">
        <f>IF(OR(FB$4="",$B9=""),0,SUMIF('DADOS BRUTOS'!$A$3:$A$500,$B9,'DADOS BRUTOS'!CB$3:CB$500)+IF($C9="",0,SUMIF('DADOS BRUTOS'!$A$3:$A$500,$C9,'DADOS BRUTOS'!CB$3:CB$500)))</f>
        <v/>
      </c>
      <c r="FC9" s="123">
        <f>IF(OR(FC$4="",$B9=""),0,SUMIF('DADOS BRUTOS'!$A$3:$A$500,$B9,'DADOS BRUTOS'!CC$3:CC$500)+IF($C9="",0,SUMIF('DADOS BRUTOS'!$A$3:$A$500,$C9,'DADOS BRUTOS'!CC$3:CC$500)))</f>
        <v/>
      </c>
      <c r="FD9" s="123">
        <f>IF(OR(FD$4="",$B9=""),0,SUMIF('DADOS BRUTOS'!$A$3:$A$500,$B9,'DADOS BRUTOS'!CD$3:CD$500)+IF($C9="",0,SUMIF('DADOS BRUTOS'!$A$3:$A$500,$C9,'DADOS BRUTOS'!CD$3:CD$500)))</f>
        <v/>
      </c>
      <c r="FE9" s="123">
        <f>IF(OR(FE$4="",$B9=""),0,SUMIF('DADOS BRUTOS'!$A$3:$A$500,$B9,'DADOS BRUTOS'!CE$3:CE$500)+IF($C9="",0,SUMIF('DADOS BRUTOS'!$A$3:$A$500,$C9,'DADOS BRUTOS'!CE$3:CE$500)))</f>
        <v/>
      </c>
      <c r="FF9" s="123">
        <f>IF(OR(FF$4="",$B9=""),0,SUMIF('DADOS BRUTOS'!$A$3:$A$500,$B9,'DADOS BRUTOS'!CF$3:CF$500)+IF($C9="",0,SUMIF('DADOS BRUTOS'!$A$3:$A$500,$C9,'DADOS BRUTOS'!CF$3:CF$500)))</f>
        <v/>
      </c>
      <c r="FG9" s="123">
        <f>IF(OR(FG$4="",$B9=""),0,SUMIF('DADOS BRUTOS'!$A$3:$A$500,$B9,'DADOS BRUTOS'!CG$3:CG$500)+IF($C9="",0,SUMIF('DADOS BRUTOS'!$A$3:$A$500,$C9,'DADOS BRUTOS'!CG$3:CG$500)))</f>
        <v/>
      </c>
      <c r="FH9" s="123">
        <f>IF(OR(FH$4="",$B9=""),0,SUMIF('DADOS BRUTOS'!$A$3:$A$500,$B9,'DADOS BRUTOS'!CH$3:CH$500)+IF($C9="",0,SUMIF('DADOS BRUTOS'!$A$3:$A$500,$C9,'DADOS BRUTOS'!CH$3:CH$500)))</f>
        <v/>
      </c>
      <c r="FI9" s="123">
        <f>IF(OR(FI$4="",$B9=""),0,SUMIF('DADOS BRUTOS'!$A$3:$A$500,$B9,'DADOS BRUTOS'!CI$3:CI$500)+IF($C9="",0,SUMIF('DADOS BRUTOS'!$A$3:$A$500,$C9,'DADOS BRUTOS'!CI$3:CI$500)))</f>
        <v/>
      </c>
      <c r="FJ9" s="123">
        <f>IF(OR(FJ$4="",$B9=""),0,SUMIF('DADOS BRUTOS'!$A$3:$A$500,$B9,'DADOS BRUTOS'!CJ$3:CJ$500)+IF($C9="",0,SUMIF('DADOS BRUTOS'!$A$3:$A$500,$C9,'DADOS BRUTOS'!CJ$3:CJ$500)))</f>
        <v/>
      </c>
      <c r="FK9" s="123">
        <f>IF(OR(FK$4="",$B9=""),0,SUMIF('DADOS BRUTOS'!$A$3:$A$500,$B9,'DADOS BRUTOS'!CK$3:CK$500)+IF($C9="",0,SUMIF('DADOS BRUTOS'!$A$3:$A$500,$C9,'DADOS BRUTOS'!CK$3:CK$500)))</f>
        <v/>
      </c>
      <c r="FL9" s="123">
        <f>IF(OR(FL$4="",$B9=""),0,SUMIF('DADOS BRUTOS'!$A$3:$A$500,$B9,'DADOS BRUTOS'!CL$3:CL$500)+IF($C9="",0,SUMIF('DADOS BRUTOS'!$A$3:$A$500,$C9,'DADOS BRUTOS'!CL$3:CL$500)))</f>
        <v/>
      </c>
      <c r="FM9" s="123">
        <f>IF(OR(FM$4="",$B9=""),0,SUMIF('DADOS BRUTOS'!$A$3:$A$500,$B9,'DADOS BRUTOS'!CM$3:CM$500)+IF($C9="",0,SUMIF('DADOS BRUTOS'!$A$3:$A$500,$C9,'DADOS BRUTOS'!CM$3:CM$500)))</f>
        <v/>
      </c>
      <c r="FN9" s="123">
        <f>IF(OR(FN$4="",$B9=""),0,SUMIF('DADOS BRUTOS'!$A$3:$A$500,$B9,'DADOS BRUTOS'!CN$3:CN$500)+IF($C9="",0,SUMIF('DADOS BRUTOS'!$A$3:$A$500,$C9,'DADOS BRUTOS'!CN$3:CN$500)))</f>
        <v/>
      </c>
      <c r="FO9" s="123">
        <f>IF(OR(FO$4="",$B9=""),0,SUMIF('DADOS BRUTOS'!$A$3:$A$500,$B9,'DADOS BRUTOS'!CO$3:CO$500)+IF($C9="",0,SUMIF('DADOS BRUTOS'!$A$3:$A$500,$C9,'DADOS BRUTOS'!CO$3:CO$500)))</f>
        <v/>
      </c>
      <c r="FP9" s="123">
        <f>IF(OR(FP$4="",$B9=""),0,SUMIF('DADOS BRUTOS'!$A$3:$A$500,$B9,'DADOS BRUTOS'!CP$3:CP$500)+IF($C9="",0,SUMIF('DADOS BRUTOS'!$A$3:$A$500,$C9,'DADOS BRUTOS'!CP$3:CP$500)))</f>
        <v/>
      </c>
      <c r="FQ9" s="123">
        <f>IF(OR(FQ$4="",$B9=""),0,SUMIF('DADOS BRUTOS'!$A$3:$A$500,$B9,'DADOS BRUTOS'!CQ$3:CQ$500)+IF($C9="",0,SUMIF('DADOS BRUTOS'!$A$3:$A$500,$C9,'DADOS BRUTOS'!CQ$3:CQ$500)))</f>
        <v/>
      </c>
      <c r="FR9" s="123">
        <f>IF(OR(FR$4="",$B9=""),0,SUMIF('DADOS BRUTOS'!$A$3:$A$500,$B9,'DADOS BRUTOS'!CR$3:CR$500)+IF($C9="",0,SUMIF('DADOS BRUTOS'!$A$3:$A$500,$C9,'DADOS BRUTOS'!CR$3:CR$500)))</f>
        <v/>
      </c>
      <c r="FS9" s="123">
        <f>IF(OR(FS$4="",$B9=""),0,SUMIF('DADOS BRUTOS'!$A$3:$A$500,$B9,'DADOS BRUTOS'!CS$3:CS$500)+IF($C9="",0,SUMIF('DADOS BRUTOS'!$A$3:$A$500,$C9,'DADOS BRUTOS'!CS$3:CS$500)))</f>
        <v/>
      </c>
      <c r="FT9" s="123">
        <f>IF(OR(FT$4="",$B9=""),0,SUMIF('DADOS BRUTOS'!$A$3:$A$500,$B9,'DADOS BRUTOS'!CT$3:CT$500)+IF($C9="",0,SUMIF('DADOS BRUTOS'!$A$3:$A$500,$C9,'DADOS BRUTOS'!CT$3:CT$500)))</f>
        <v/>
      </c>
      <c r="FU9" s="123">
        <f>IF(OR(FU$4="",$B9=""),0,SUMIF('DADOS BRUTOS'!$A$3:$A$500,$B9,'DADOS BRUTOS'!CU$3:CU$500)+IF($C9="",0,SUMIF('DADOS BRUTOS'!$A$3:$A$500,$C9,'DADOS BRUTOS'!CU$3:CU$500)))</f>
        <v/>
      </c>
      <c r="FV9" s="123">
        <f>IF(OR(FV$4="",$B9=""),0,SUMIF('DADOS BRUTOS'!$A$3:$A$500,$B9,'DADOS BRUTOS'!CV$3:CV$500)+IF($C9="",0,SUMIF('DADOS BRUTOS'!$A$3:$A$500,$C9,'DADOS BRUTOS'!CV$3:CV$500)))</f>
        <v/>
      </c>
      <c r="FW9" s="123">
        <f>IF(OR(FW$4="",$B9=""),0,SUMIF('DADOS BRUTOS'!$A$3:$A$500,$B9,'DADOS BRUTOS'!CW$3:CW$500)+IF($C9="",0,SUMIF('DADOS BRUTOS'!$A$3:$A$500,$C9,'DADOS BRUTOS'!CW$3:CW$500)))</f>
        <v/>
      </c>
      <c r="FX9" s="123">
        <f>IF(OR(FX$4="",$B9=""),0,SUMIF('DADOS BRUTOS'!$A$3:$A$500,$B9,'DADOS BRUTOS'!CX$3:CX$500)+IF($C9="",0,SUMIF('DADOS BRUTOS'!$A$3:$A$500,$C9,'DADOS BRUTOS'!CX$3:CX$500)))</f>
        <v/>
      </c>
      <c r="FY9" s="123">
        <f>IF(OR(FY$4="",$B9=""),0,SUMIF('DADOS BRUTOS'!$A$3:$A$500,$B9,'DADOS BRUTOS'!CY$3:CY$500)+IF($C9="",0,SUMIF('DADOS BRUTOS'!$A$3:$A$500,$C9,'DADOS BRUTOS'!CY$3:CY$500)))</f>
        <v/>
      </c>
      <c r="FZ9" s="123">
        <f>IF(OR(FZ$4="",$B9=""),0,SUMIF('DADOS BRUTOS'!$A$3:$A$500,$B9,'DADOS BRUTOS'!CZ$3:CZ$500)+IF($C9="",0,SUMIF('DADOS BRUTOS'!$A$3:$A$500,$C9,'DADOS BRUTOS'!CZ$3:CZ$500)))</f>
        <v/>
      </c>
      <c r="GA9" s="123">
        <f>IF(OR(GA$4="",$B9=""),0,SUMIF('DADOS BRUTOS'!$A$3:$A$500,$B9,'DADOS BRUTOS'!DA$3:DA$500)+IF($C9="",0,SUMIF('DADOS BRUTOS'!$A$3:$A$500,$C9,'DADOS BRUTOS'!DA$3:DA$500)))</f>
        <v/>
      </c>
      <c r="GB9" s="123">
        <f>IF(OR(GB$4="",$B9=""),0,SUMIF('DADOS BRUTOS'!$A$3:$A$500,$B9,'DADOS BRUTOS'!DB$3:DB$500)+IF($C9="",0,SUMIF('DADOS BRUTOS'!$A$3:$A$500,$C9,'DADOS BRUTOS'!DB$3:DB$500)))</f>
        <v/>
      </c>
      <c r="GC9" s="123">
        <f>IF(OR(GC$4="",$B9=""),0,SUMIF('DADOS BRUTOS'!$A$3:$A$500,$B9,'DADOS BRUTOS'!DC$3:DC$500)+IF($C9="",0,SUMIF('DADOS BRUTOS'!$A$3:$A$500,$C9,'DADOS BRUTOS'!DC$3:DC$500)))</f>
        <v/>
      </c>
      <c r="GD9" s="123">
        <f>IF(OR(GD$4="",$B9=""),0,SUMIF('DADOS BRUTOS'!$A$3:$A$500,$B9,'DADOS BRUTOS'!DD$3:DD$500)+IF($C9="",0,SUMIF('DADOS BRUTOS'!$A$3:$A$500,$C9,'DADOS BRUTOS'!DD$3:DD$500)))</f>
        <v/>
      </c>
      <c r="GE9" s="123">
        <f>IF(OR(GE$4="",$B9=""),0,SUMIF('DADOS BRUTOS'!$A$3:$A$500,$B9,'DADOS BRUTOS'!DE$3:DE$500)+IF($C9="",0,SUMIF('DADOS BRUTOS'!$A$3:$A$500,$C9,'DADOS BRUTOS'!DE$3:DE$500)))</f>
        <v/>
      </c>
      <c r="GF9" s="123">
        <f>IF(OR(GF$4="",$B9=""),0,SUMIF('DADOS BRUTOS'!$A$3:$A$500,$B9,'DADOS BRUTOS'!DF$3:DF$500)+IF($C9="",0,SUMIF('DADOS BRUTOS'!$A$3:$A$500,$C9,'DADOS BRUTOS'!DF$3:DF$500)))</f>
        <v/>
      </c>
      <c r="GG9" s="123">
        <f>IF(OR(GG$4="",$B9=""),0,SUMIF('DADOS BRUTOS'!$A$3:$A$500,$B9,'DADOS BRUTOS'!DG$3:DG$500)+IF($C9="",0,SUMIF('DADOS BRUTOS'!$A$3:$A$500,$C9,'DADOS BRUTOS'!DG$3:DG$500)))</f>
        <v/>
      </c>
      <c r="GH9" s="123">
        <f>IF(OR(GH$4="",$B9=""),0,SUMIF('DADOS BRUTOS'!$A$3:$A$500,$B9,'DADOS BRUTOS'!DH$3:DH$500)+IF($C9="",0,SUMIF('DADOS BRUTOS'!$A$3:$A$500,$C9,'DADOS BRUTOS'!DH$3:DH$500)))</f>
        <v/>
      </c>
      <c r="GI9" s="123">
        <f>IF(OR(GI$4="",$B9=""),0,SUMIF('DADOS BRUTOS'!$A$3:$A$500,$B9,'DADOS BRUTOS'!DI$3:DI$500)+IF($C9="",0,SUMIF('DADOS BRUTOS'!$A$3:$A$500,$C9,'DADOS BRUTOS'!DI$3:DI$500)))</f>
        <v/>
      </c>
      <c r="GJ9" s="123">
        <f>IF(OR(GJ$4="",$B9=""),0,SUMIF('DADOS BRUTOS'!$A$3:$A$500,$B9,'DADOS BRUTOS'!DJ$3:DJ$500)+IF($C9="",0,SUMIF('DADOS BRUTOS'!$A$3:$A$500,$C9,'DADOS BRUTOS'!DJ$3:DJ$500)))</f>
        <v/>
      </c>
      <c r="GK9" s="123">
        <f>IF(OR(GK$4="",$B9=""),0,SUMIF('DADOS BRUTOS'!$A$3:$A$500,$B9,'DADOS BRUTOS'!DK$3:DK$500)+IF($C9="",0,SUMIF('DADOS BRUTOS'!$A$3:$A$500,$C9,'DADOS BRUTOS'!DK$3:DK$500)))</f>
        <v/>
      </c>
      <c r="GL9" s="123">
        <f>IF(OR(GL$4="",$B9=""),0,SUMIF('DADOS BRUTOS'!$A$3:$A$500,$B9,'DADOS BRUTOS'!DL$3:DL$500)+IF($C9="",0,SUMIF('DADOS BRUTOS'!$A$3:$A$500,$C9,'DADOS BRUTOS'!DL$3:DL$500)))</f>
        <v/>
      </c>
      <c r="GM9" s="123">
        <f>IF(OR(GM$4="",$B9=""),0,SUMIF('DADOS BRUTOS'!$A$3:$A$500,$B9,'DADOS BRUTOS'!DM$3:DM$500)+IF($C9="",0,SUMIF('DADOS BRUTOS'!$A$3:$A$500,$C9,'DADOS BRUTOS'!DM$3:DM$500)))</f>
        <v/>
      </c>
      <c r="GN9" s="123">
        <f>IF(OR(GN$4="",$B9=""),0,SUMIF('DADOS BRUTOS'!$A$3:$A$500,$B9,'DADOS BRUTOS'!DN$3:DN$500)+IF($C9="",0,SUMIF('DADOS BRUTOS'!$A$3:$A$500,$C9,'DADOS BRUTOS'!DN$3:DN$500)))</f>
        <v/>
      </c>
      <c r="GO9" s="123">
        <f>IF(OR(GO$4="",$B9=""),0,SUMIF('DADOS BRUTOS'!$A$3:$A$500,$B9,'DADOS BRUTOS'!DO$3:DO$500)+IF($C9="",0,SUMIF('DADOS BRUTOS'!$A$3:$A$500,$C9,'DADOS BRUTOS'!DO$3:DO$500)))</f>
        <v/>
      </c>
      <c r="GP9" s="123">
        <f>IF(OR(GP$4="",$B9=""),0,SUMIF('DADOS BRUTOS'!$A$3:$A$500,$B9,'DADOS BRUTOS'!DP$3:DP$500)+IF($C9="",0,SUMIF('DADOS BRUTOS'!$A$3:$A$500,$C9,'DADOS BRUTOS'!DP$3:DP$500)))</f>
        <v/>
      </c>
      <c r="GQ9" s="123">
        <f>IF(OR(GQ$4="",$B9=""),0,SUMIF('DADOS BRUTOS'!$A$3:$A$500,$B9,'DADOS BRUTOS'!DQ$3:DQ$500)+IF($C9="",0,SUMIF('DADOS BRUTOS'!$A$3:$A$500,$C9,'DADOS BRUTOS'!DQ$3:DQ$500)))</f>
        <v/>
      </c>
      <c r="GR9" s="123">
        <f>IF(OR(GR$4="",$B9=""),0,SUMIF('DADOS BRUTOS'!$A$3:$A$500,$B9,'DADOS BRUTOS'!DR$3:DR$500)+IF($C9="",0,SUMIF('DADOS BRUTOS'!$A$3:$A$500,$C9,'DADOS BRUTOS'!DR$3:DR$500)))</f>
        <v/>
      </c>
      <c r="GS9" s="123">
        <f>IF(OR(GS$4="",$B9=""),0,SUMIF('DADOS BRUTOS'!$A$3:$A$500,$B9,'DADOS BRUTOS'!DS$3:DS$500)+IF($C9="",0,SUMIF('DADOS BRUTOS'!$A$3:$A$500,$C9,'DADOS BRUTOS'!DS$3:DS$500)))</f>
        <v/>
      </c>
      <c r="GT9" s="123">
        <f>IF(OR(GT$4="",$B9=""),0,SUMIF('DADOS BRUTOS'!$A$3:$A$500,$B9,'DADOS BRUTOS'!DT$3:DT$500)+IF($C9="",0,SUMIF('DADOS BRUTOS'!$A$3:$A$500,$C9,'DADOS BRUTOS'!DT$3:DT$500)))</f>
        <v/>
      </c>
      <c r="GU9" s="123">
        <f>IF(OR(GU$4="",$B9=""),0,SUMIF('DADOS BRUTOS'!$A$3:$A$500,$B9,'DADOS BRUTOS'!DU$3:DU$500)+IF($C9="",0,SUMIF('DADOS BRUTOS'!$A$3:$A$500,$C9,'DADOS BRUTOS'!DU$3:DU$500)))</f>
        <v/>
      </c>
      <c r="GV9" s="123">
        <f>IF(OR(GV$4="",$B9=""),0,SUMIF('DADOS BRUTOS'!$A$3:$A$500,$B9,'DADOS BRUTOS'!DV$3:DV$500)+IF($C9="",0,SUMIF('DADOS BRUTOS'!$A$3:$A$500,$C9,'DADOS BRUTOS'!DV$3:DV$500)))</f>
        <v/>
      </c>
      <c r="GW9" s="123">
        <f>IF(OR(GW$4="",$B9=""),0,SUMIF('DADOS BRUTOS'!$A$3:$A$500,$B9,'DADOS BRUTOS'!DW$3:DW$500)+IF($C9="",0,SUMIF('DADOS BRUTOS'!$A$3:$A$500,$C9,'DADOS BRUTOS'!DW$3:DW$500)))</f>
        <v/>
      </c>
      <c r="GX9" s="123">
        <f>IF(OR(GX$4="",$B9=""),0,SUMIF('DADOS BRUTOS'!$A$3:$A$500,$B9,'DADOS BRUTOS'!DX$3:DX$500)+IF($C9="",0,SUMIF('DADOS BRUTOS'!$A$3:$A$500,$C9,'DADOS BRUTOS'!DX$3:DX$500)))</f>
        <v/>
      </c>
      <c r="GY9" s="123">
        <f>IF(OR(GY$4="",$B9=""),0,SUMIF('DADOS BRUTOS'!$A$3:$A$500,$B9,'DADOS BRUTOS'!DY$3:DY$500)+IF($C9="",0,SUMIF('DADOS BRUTOS'!$A$3:$A$500,$C9,'DADOS BRUTOS'!DY$3:DY$500)))</f>
        <v/>
      </c>
      <c r="GZ9" s="123">
        <f>IF(OR(GZ$4="",$B9=""),0,SUMIF('DADOS BRUTOS'!$A$3:$A$500,$B9,'DADOS BRUTOS'!DZ$3:DZ$500)+IF($C9="",0,SUMIF('DADOS BRUTOS'!$A$3:$A$500,$C9,'DADOS BRUTOS'!DZ$3:DZ$500)))</f>
        <v/>
      </c>
      <c r="HA9" s="123">
        <f>IF(OR(HA$4="",$B9=""),0,SUMIF('DADOS BRUTOS'!$A$3:$A$500,$B9,'DADOS BRUTOS'!EA$3:EA$500)+IF($C9="",0,SUMIF('DADOS BRUTOS'!$A$3:$A$500,$C9,'DADOS BRUTOS'!EA$3:EA$500)))</f>
        <v/>
      </c>
      <c r="HB9" s="123">
        <f>IF(OR(HB$4="",$B9=""),0,SUMIF('DADOS BRUTOS'!$A$3:$A$500,$B9,'DADOS BRUTOS'!EB$3:EB$500)+IF($C9="",0,SUMIF('DADOS BRUTOS'!$A$3:$A$500,$C9,'DADOS BRUTOS'!EB$3:EB$500)))</f>
        <v/>
      </c>
      <c r="HC9" s="123">
        <f>IF(OR(HC$4="",$B9=""),0,SUMIF('DADOS BRUTOS'!$A$3:$A$500,$B9,'DADOS BRUTOS'!EC$3:EC$500)+IF($C9="",0,SUMIF('DADOS BRUTOS'!$A$3:$A$500,$C9,'DADOS BRUTOS'!EC$3:EC$500)))</f>
        <v/>
      </c>
      <c r="HD9" s="123">
        <f>IF(OR(HD$4="",$B9=""),0,SUMIF('DADOS BRUTOS'!$A$3:$A$500,$B9,'DADOS BRUTOS'!ED$3:ED$500)+IF($C9="",0,SUMIF('DADOS BRUTOS'!$A$3:$A$500,$C9,'DADOS BRUTOS'!ED$3:ED$500)))</f>
        <v/>
      </c>
      <c r="HE9" s="123">
        <f>IF(OR(HE$4="",$B9=""),0,SUMIF('DADOS BRUTOS'!$A$3:$A$500,$B9,'DADOS BRUTOS'!EE$3:EE$500)+IF($C9="",0,SUMIF('DADOS BRUTOS'!$A$3:$A$500,$C9,'DADOS BRUTOS'!EE$3:EE$500)))</f>
        <v/>
      </c>
      <c r="HF9" s="123">
        <f>IF(OR(HF$4="",$B9=""),0,SUMIF('DADOS BRUTOS'!$A$3:$A$500,$B9,'DADOS BRUTOS'!EF$3:EF$500)+IF($C9="",0,SUMIF('DADOS BRUTOS'!$A$3:$A$500,$C9,'DADOS BRUTOS'!EF$3:EF$500)))</f>
        <v/>
      </c>
      <c r="HG9" s="123">
        <f>IF(OR(HG$4="",$B9=""),0,SUMIF('DADOS BRUTOS'!$A$3:$A$500,$B9,'DADOS BRUTOS'!EG$3:EG$500)+IF($C9="",0,SUMIF('DADOS BRUTOS'!$A$3:$A$500,$C9,'DADOS BRUTOS'!EG$3:EG$500)))</f>
        <v/>
      </c>
      <c r="HH9" s="123">
        <f>IF(OR(HH$4="",$B9=""),0,SUMIF('DADOS BRUTOS'!$A$3:$A$500,$B9,'DADOS BRUTOS'!EH$3:EH$500)+IF($C9="",0,SUMIF('DADOS BRUTOS'!$A$3:$A$500,$C9,'DADOS BRUTOS'!EH$3:EH$500)))</f>
        <v/>
      </c>
      <c r="HI9" s="123">
        <f>IF(OR(HI$4="",$B9=""),0,SUMIF('DADOS BRUTOS'!$A$3:$A$500,$B9,'DADOS BRUTOS'!EI$3:EI$500)+IF($C9="",0,SUMIF('DADOS BRUTOS'!$A$3:$A$500,$C9,'DADOS BRUTOS'!EI$3:EI$500)))</f>
        <v/>
      </c>
      <c r="HJ9" s="123">
        <f>IF(OR(HJ$4="",$B9=""),0,SUMIF('DADOS BRUTOS'!$A$3:$A$500,$B9,'DADOS BRUTOS'!EJ$3:EJ$500)+IF($C9="",0,SUMIF('DADOS BRUTOS'!$A$3:$A$500,$C9,'DADOS BRUTOS'!EJ$3:EJ$500)))</f>
        <v/>
      </c>
      <c r="HK9" s="123">
        <f>IF(OR(HK$4="",$B9=""),0,SUMIF('DADOS BRUTOS'!$A$3:$A$500,$B9,'DADOS BRUTOS'!EK$3:EK$500)+IF($C9="",0,SUMIF('DADOS BRUTOS'!$A$3:$A$500,$C9,'DADOS BRUTOS'!EK$3:EK$500)))</f>
        <v/>
      </c>
      <c r="HL9" s="123">
        <f>IF(OR(HL$4="",$B9=""),0,SUMIF('DADOS BRUTOS'!$A$3:$A$500,$B9,'DADOS BRUTOS'!EL$3:EL$500)+IF($C9="",0,SUMIF('DADOS BRUTOS'!$A$3:$A$500,$C9,'DADOS BRUTOS'!EL$3:EL$500)))</f>
        <v/>
      </c>
      <c r="HM9" s="123">
        <f>IF(OR(HM$4="",$B9=""),0,SUMIF('DADOS BRUTOS'!$A$3:$A$500,$B9,'DADOS BRUTOS'!EM$3:EM$500)+IF($C9="",0,SUMIF('DADOS BRUTOS'!$A$3:$A$500,$C9,'DADOS BRUTOS'!EM$3:EM$500)))</f>
        <v/>
      </c>
      <c r="HN9" s="123">
        <f>IF(OR(HN$4="",$B9=""),0,SUMIF('DADOS BRUTOS'!$A$3:$A$500,$B9,'DADOS BRUTOS'!EN$3:EN$500)+IF($C9="",0,SUMIF('DADOS BRUTOS'!$A$3:$A$500,$C9,'DADOS BRUTOS'!EN$3:EN$500)))</f>
        <v/>
      </c>
      <c r="HO9" s="123">
        <f>IF(OR(HO$4="",$B9=""),0,SUMIF('DADOS BRUTOS'!$A$3:$A$500,$B9,'DADOS BRUTOS'!EO$3:EO$500)+IF($C9="",0,SUMIF('DADOS BRUTOS'!$A$3:$A$500,$C9,'DADOS BRUTOS'!EO$3:EO$500)))</f>
        <v/>
      </c>
      <c r="HP9" s="123">
        <f>IF(OR(HP$4="",$B9=""),0,SUMIF('DADOS BRUTOS'!$A$3:$A$500,$B9,'DADOS BRUTOS'!EP$3:EP$500)+IF($C9="",0,SUMIF('DADOS BRUTOS'!$A$3:$A$500,$C9,'DADOS BRUTOS'!EP$3:EP$500)))</f>
        <v/>
      </c>
      <c r="HQ9" s="123">
        <f>IF(OR(HQ$4="",$B9=""),0,SUMIF('DADOS BRUTOS'!$A$3:$A$500,$B9,'DADOS BRUTOS'!EQ$3:EQ$500)+IF($C9="",0,SUMIF('DADOS BRUTOS'!$A$3:$A$500,$C9,'DADOS BRUTOS'!EQ$3:EQ$500)))</f>
        <v/>
      </c>
      <c r="HR9" s="123">
        <f>IF(OR(HR$4="",$B9=""),0,SUMIF('DADOS BRUTOS'!$A$3:$A$500,$B9,'DADOS BRUTOS'!ER$3:ER$500)+IF($C9="",0,SUMIF('DADOS BRUTOS'!$A$3:$A$500,$C9,'DADOS BRUTOS'!ER$3:ER$500)))</f>
        <v/>
      </c>
      <c r="HS9" s="123">
        <f>IF(OR(HS$4="",$B9=""),0,SUMIF('DADOS BRUTOS'!$A$3:$A$500,$B9,'DADOS BRUTOS'!ES$3:ES$500)+IF($C9="",0,SUMIF('DADOS BRUTOS'!$A$3:$A$500,$C9,'DADOS BRUTOS'!ES$3:ES$500)))</f>
        <v/>
      </c>
      <c r="HT9" s="123">
        <f>IF(OR(HT$4="",$B9=""),0,SUMIF('DADOS BRUTOS'!$A$3:$A$500,$B9,'DADOS BRUTOS'!ET$3:ET$500)+IF($C9="",0,SUMIF('DADOS BRUTOS'!$A$3:$A$500,$C9,'DADOS BRUTOS'!ET$3:ET$500)))</f>
        <v/>
      </c>
      <c r="HU9" s="123">
        <f>IF(OR(HU$4="",$B9=""),0,SUMIF('DADOS BRUTOS'!$A$3:$A$500,$B9,'DADOS BRUTOS'!EU$3:EU$500)+IF($C9="",0,SUMIF('DADOS BRUTOS'!$A$3:$A$500,$C9,'DADOS BRUTOS'!EU$3:EU$500)))</f>
        <v/>
      </c>
      <c r="HV9" s="123">
        <f>IF(OR(HV$4="",$B9=""),0,SUMIF('DADOS BRUTOS'!$A$3:$A$500,$B9,'DADOS BRUTOS'!EV$3:EV$500)+IF($C9="",0,SUMIF('DADOS BRUTOS'!$A$3:$A$500,$C9,'DADOS BRUTOS'!EV$3:EV$500)))</f>
        <v/>
      </c>
      <c r="HW9" s="123">
        <f>IF(OR(HW$4="",$B9=""),0,SUMIF('DADOS BRUTOS'!$A$3:$A$500,$B9,'DADOS BRUTOS'!EW$3:EW$500)+IF($C9="",0,SUMIF('DADOS BRUTOS'!$A$3:$A$500,$C9,'DADOS BRUTOS'!EW$3:EW$500)))</f>
        <v/>
      </c>
      <c r="HX9" s="123">
        <f>IF(OR(HX$4="",$B9=""),0,SUMIF('DADOS BRUTOS'!$A$3:$A$500,$B9,'DADOS BRUTOS'!EX$3:EX$500)+IF($C9="",0,SUMIF('DADOS BRUTOS'!$A$3:$A$500,$C9,'DADOS BRUTOS'!EX$3:EX$500)))</f>
        <v/>
      </c>
      <c r="HY9" s="123">
        <f>IF(OR(HY$4="",$B9=""),0,SUMIF('DADOS BRUTOS'!$A$3:$A$500,$B9,'DADOS BRUTOS'!EY$3:EY$500)+IF($C9="",0,SUMIF('DADOS BRUTOS'!$A$3:$A$500,$C9,'DADOS BRUTOS'!EY$3:EY$500)))</f>
        <v/>
      </c>
      <c r="HZ9" s="123">
        <f>IF(OR(HZ$4="",$B9=""),0,SUMIF('DADOS BRUTOS'!$A$3:$A$500,$B9,'DADOS BRUTOS'!EZ$3:EZ$500)+IF($C9="",0,SUMIF('DADOS BRUTOS'!$A$3:$A$500,$C9,'DADOS BRUTOS'!EZ$3:EZ$500)))</f>
        <v/>
      </c>
      <c r="IA9" s="123">
        <f>IF(OR(IA$4="",$B9=""),0,SUMIF('DADOS BRUTOS'!$A$3:$A$500,$B9,'DADOS BRUTOS'!FA$3:FA$500)+IF($C9="",0,SUMIF('DADOS BRUTOS'!$A$3:$A$500,$C9,'DADOS BRUTOS'!FA$3:FA$500)))</f>
        <v/>
      </c>
      <c r="IB9" s="123">
        <f>IF(OR(IB$4="",$B9=""),0,SUMIF('DADOS BRUTOS'!$A$3:$A$500,$B9,'DADOS BRUTOS'!FB$3:FB$500)+IF($C9="",0,SUMIF('DADOS BRUTOS'!$A$3:$A$500,$C9,'DADOS BRUTOS'!FB$3:FB$500)))</f>
        <v/>
      </c>
      <c r="IC9" s="123">
        <f>IF(OR(IC$4="",$B9=""),0,SUMIF('DADOS BRUTOS'!$A$3:$A$500,$B9,'DADOS BRUTOS'!FC$3:FC$500)+IF($C9="",0,SUMIF('DADOS BRUTOS'!$A$3:$A$500,$C9,'DADOS BRUTOS'!FC$3:FC$500)))</f>
        <v/>
      </c>
      <c r="ID9" s="123">
        <f>IF(OR(ID$4="",$B9=""),0,SUMIF('DADOS BRUTOS'!$A$3:$A$500,$B9,'DADOS BRUTOS'!FD$3:FD$500)+IF($C9="",0,SUMIF('DADOS BRUTOS'!$A$3:$A$500,$C9,'DADOS BRUTOS'!FD$3:FD$500)))</f>
        <v/>
      </c>
      <c r="IE9" s="123">
        <f>IF(OR(IE$4="",$B9=""),0,SUMIF('DADOS BRUTOS'!$A$3:$A$500,$B9,'DADOS BRUTOS'!FE$3:FE$500)+IF($C9="",0,SUMIF('DADOS BRUTOS'!$A$3:$A$500,$C9,'DADOS BRUTOS'!FE$3:FE$500)))</f>
        <v/>
      </c>
      <c r="IF9" s="123">
        <f>IF(OR(IF$4="",$B9=""),0,SUMIF('DADOS BRUTOS'!$A$3:$A$500,$B9,'DADOS BRUTOS'!FF$3:FF$500)+IF($C9="",0,SUMIF('DADOS BRUTOS'!$A$3:$A$500,$C9,'DADOS BRUTOS'!FF$3:FF$500)))</f>
        <v/>
      </c>
      <c r="IG9" s="123">
        <f>IF(OR(IG$4="",$B9=""),0,SUMIF('DADOS BRUTOS'!$A$3:$A$500,$B9,'DADOS BRUTOS'!FG$3:FG$500)+IF($C9="",0,SUMIF('DADOS BRUTOS'!$A$3:$A$500,$C9,'DADOS BRUTOS'!FG$3:FG$500)))</f>
        <v/>
      </c>
      <c r="IH9" s="123">
        <f>IF(OR(IH$4="",$B9=""),0,SUMIF('DADOS BRUTOS'!$A$3:$A$500,$B9,'DADOS BRUTOS'!FH$3:FH$500)+IF($C9="",0,SUMIF('DADOS BRUTOS'!$A$3:$A$500,$C9,'DADOS BRUTOS'!FH$3:FH$500)))</f>
        <v/>
      </c>
      <c r="II9" s="123">
        <f>IF(OR(II$4="",$B9=""),0,SUMIF('DADOS BRUTOS'!$A$3:$A$500,$B9,'DADOS BRUTOS'!FI$3:FI$500)+IF($C9="",0,SUMIF('DADOS BRUTOS'!$A$3:$A$500,$C9,'DADOS BRUTOS'!FI$3:FI$500)))</f>
        <v/>
      </c>
      <c r="IJ9" s="123">
        <f>IF(OR(IJ$4="",$B9=""),0,SUMIF('DADOS BRUTOS'!$A$3:$A$500,$B9,'DADOS BRUTOS'!FJ$3:FJ$500)+IF($C9="",0,SUMIF('DADOS BRUTOS'!$A$3:$A$500,$C9,'DADOS BRUTOS'!FJ$3:FJ$500)))</f>
        <v/>
      </c>
      <c r="IK9" s="123">
        <f>IF(OR(IK$4="",$B9=""),0,SUMIF('DADOS BRUTOS'!$A$3:$A$500,$B9,'DADOS BRUTOS'!FK$3:FK$500)+IF($C9="",0,SUMIF('DADOS BRUTOS'!$A$3:$A$500,$C9,'DADOS BRUTOS'!FK$3:FK$500)))</f>
        <v/>
      </c>
      <c r="IL9" s="123">
        <f>IF(OR(IL$4="",$B9=""),0,SUMIF('DADOS BRUTOS'!$A$3:$A$500,$B9,'DADOS BRUTOS'!FL$3:FL$500)+IF($C9="",0,SUMIF('DADOS BRUTOS'!$A$3:$A$500,$C9,'DADOS BRUTOS'!FL$3:FL$500)))</f>
        <v/>
      </c>
      <c r="IM9" s="123">
        <f>IF(OR(IM$4="",$B9=""),0,SUMIF('DADOS BRUTOS'!$A$3:$A$500,$B9,'DADOS BRUTOS'!FM$3:FM$500)+IF($C9="",0,SUMIF('DADOS BRUTOS'!$A$3:$A$500,$C9,'DADOS BRUTOS'!FM$3:FM$500)))</f>
        <v/>
      </c>
      <c r="IN9" s="123">
        <f>IF(OR(IN$4="",$B9=""),0,SUMIF('DADOS BRUTOS'!$A$3:$A$500,$B9,'DADOS BRUTOS'!FN$3:FN$500)+IF($C9="",0,SUMIF('DADOS BRUTOS'!$A$3:$A$500,$C9,'DADOS BRUTOS'!FN$3:FN$500)))</f>
        <v/>
      </c>
      <c r="IO9" s="123">
        <f>IF(OR(IO$4="",$B9=""),0,SUMIF('DADOS BRUTOS'!$A$3:$A$500,$B9,'DADOS BRUTOS'!FO$3:FO$500)+IF($C9="",0,SUMIF('DADOS BRUTOS'!$A$3:$A$500,$C9,'DADOS BRUTOS'!FO$3:FO$500)))</f>
        <v/>
      </c>
      <c r="IP9" s="123">
        <f>IF(OR(IP$4="",$B9=""),0,SUMIF('DADOS BRUTOS'!$A$3:$A$500,$B9,'DADOS BRUTOS'!FP$3:FP$500)+IF($C9="",0,SUMIF('DADOS BRUTOS'!$A$3:$A$500,$C9,'DADOS BRUTOS'!FP$3:FP$500)))</f>
        <v/>
      </c>
      <c r="IQ9" s="123">
        <f>IF(OR(IQ$4="",$B9=""),0,SUMIF('DADOS BRUTOS'!$A$3:$A$500,$B9,'DADOS BRUTOS'!FQ$3:FQ$500)+IF($C9="",0,SUMIF('DADOS BRUTOS'!$A$3:$A$500,$C9,'DADOS BRUTOS'!FQ$3:FQ$500)))</f>
        <v/>
      </c>
      <c r="IR9" s="123">
        <f>IF(OR(IR$4="",$B9=""),0,SUMIF('DADOS BRUTOS'!$A$3:$A$500,$B9,'DADOS BRUTOS'!FR$3:FR$500)+IF($C9="",0,SUMIF('DADOS BRUTOS'!$A$3:$A$500,$C9,'DADOS BRUTOS'!FR$3:FR$500)))</f>
        <v/>
      </c>
      <c r="IS9" s="123">
        <f>IF(OR(IS$4="",$B9=""),0,SUMIF('DADOS BRUTOS'!$A$3:$A$500,$B9,'DADOS BRUTOS'!FS$3:FS$500)+IF($C9="",0,SUMIF('DADOS BRUTOS'!$A$3:$A$500,$C9,'DADOS BRUTOS'!FS$3:FS$500)))</f>
        <v/>
      </c>
      <c r="IT9" s="123">
        <f>IF(OR(IT$4="",$B9=""),0,SUMIF('DADOS BRUTOS'!$A$3:$A$500,$B9,'DADOS BRUTOS'!FT$3:FT$500)+IF($C9="",0,SUMIF('DADOS BRUTOS'!$A$3:$A$500,$C9,'DADOS BRUTOS'!FT$3:FT$500)))</f>
        <v/>
      </c>
      <c r="IU9" s="123">
        <f>IF(OR(IU$4="",$B9=""),0,SUMIF('DADOS BRUTOS'!$A$3:$A$500,$B9,'DADOS BRUTOS'!FU$3:FU$500)+IF($C9="",0,SUMIF('DADOS BRUTOS'!$A$3:$A$500,$C9,'DADOS BRUTOS'!FU$3:FU$500)))</f>
        <v/>
      </c>
      <c r="IV9" s="123">
        <f>IF(OR(IV$4="",$B9=""),0,SUMIF('DADOS BRUTOS'!$A$3:$A$500,$B9,'DADOS BRUTOS'!FV$3:FV$500)+IF($C9="",0,SUMIF('DADOS BRUTOS'!$A$3:$A$500,$C9,'DADOS BRUTOS'!FV$3:FV$500)))</f>
        <v/>
      </c>
      <c r="IW9" s="123">
        <f>IF(OR(IW$4="",$B9=""),0,SUMIF('DADOS BRUTOS'!$A$3:$A$500,$B9,'DADOS BRUTOS'!FW$3:FW$500)+IF($C9="",0,SUMIF('DADOS BRUTOS'!$A$3:$A$500,$C9,'DADOS BRUTOS'!FW$3:FW$500)))</f>
        <v/>
      </c>
      <c r="IX9" s="123">
        <f>IF(OR(IX$4="",$B9=""),0,SUMIF('DADOS BRUTOS'!$A$3:$A$500,$B9,'DADOS BRUTOS'!FX$3:FX$500)+IF($C9="",0,SUMIF('DADOS BRUTOS'!$A$3:$A$500,$C9,'DADOS BRUTOS'!FX$3:FX$500)))</f>
        <v/>
      </c>
      <c r="IY9" s="123">
        <f>IF(OR(IY$4="",$B9=""),0,SUMIF('DADOS BRUTOS'!$A$3:$A$500,$B9,'DADOS BRUTOS'!FY$3:FY$500)+IF($C9="",0,SUMIF('DADOS BRUTOS'!$A$3:$A$500,$C9,'DADOS BRUTOS'!FY$3:FY$500)))</f>
        <v/>
      </c>
      <c r="IZ9" s="123">
        <f>IF(OR(IZ$4="",$B9=""),0,SUMIF('DADOS BRUTOS'!$A$3:$A$500,$B9,'DADOS BRUTOS'!FZ$3:FZ$500)+IF($C9="",0,SUMIF('DADOS BRUTOS'!$A$3:$A$500,$C9,'DADOS BRUTOS'!FZ$3:FZ$500)))</f>
        <v/>
      </c>
      <c r="JA9" s="123">
        <f>IF(OR(JA$4="",$B9=""),0,SUMIF('DADOS BRUTOS'!$A$3:$A$500,$B9,'DADOS BRUTOS'!GA$3:GA$500)+IF($C9="",0,SUMIF('DADOS BRUTOS'!$A$3:$A$500,$C9,'DADOS BRUTOS'!GA$3:GA$500)))</f>
        <v/>
      </c>
      <c r="JB9" s="123">
        <f>IF(OR(JB$4="",$B9=""),0,SUMIF('DADOS BRUTOS'!$A$3:$A$500,$B9,'DADOS BRUTOS'!GB$3:GB$500)+IF($C9="",0,SUMIF('DADOS BRUTOS'!$A$3:$A$500,$C9,'DADOS BRUTOS'!GB$3:GB$500)))</f>
        <v/>
      </c>
      <c r="JC9" s="123">
        <f>IF(OR(JC$4="",$B9=""),0,SUMIF('DADOS BRUTOS'!$A$3:$A$500,$B9,'DADOS BRUTOS'!GC$3:GC$500)+IF($C9="",0,SUMIF('DADOS BRUTOS'!$A$3:$A$500,$C9,'DADOS BRUTOS'!GC$3:GC$500)))</f>
        <v/>
      </c>
      <c r="JD9" s="123">
        <f>IF(OR(JD$4="",$B9=""),0,SUMIF('DADOS BRUTOS'!$A$3:$A$500,$B9,'DADOS BRUTOS'!GD$3:GD$500)+IF($C9="",0,SUMIF('DADOS BRUTOS'!$A$3:$A$500,$C9,'DADOS BRUTOS'!GD$3:GD$500)))</f>
        <v/>
      </c>
      <c r="JE9" s="123">
        <f>IF(OR(JE$4="",$B9=""),0,SUMIF('DADOS BRUTOS'!$A$3:$A$500,$B9,'DADOS BRUTOS'!GE$3:GE$500)+IF($C9="",0,SUMIF('DADOS BRUTOS'!$A$3:$A$500,$C9,'DADOS BRUTOS'!GE$3:GE$500)))</f>
        <v/>
      </c>
      <c r="JF9" s="123">
        <f>IF(OR(JF$4="",$B9=""),0,SUMIF('DADOS BRUTOS'!$A$3:$A$500,$B9,'DADOS BRUTOS'!GF$3:GF$500)+IF($C9="",0,SUMIF('DADOS BRUTOS'!$A$3:$A$500,$C9,'DADOS BRUTOS'!GF$3:GF$500)))</f>
        <v/>
      </c>
      <c r="JG9" s="123">
        <f>IF(OR(JG$4="",$B9=""),0,SUMIF('DADOS BRUTOS'!$A$3:$A$500,$B9,'DADOS BRUTOS'!GG$3:GG$500)+IF($C9="",0,SUMIF('DADOS BRUTOS'!$A$3:$A$500,$C9,'DADOS BRUTOS'!GG$3:GG$500)))</f>
        <v/>
      </c>
      <c r="JH9" s="123">
        <f>IF(OR(JH$4="",$B9=""),0,SUMIF('DADOS BRUTOS'!$A$3:$A$500,$B9,'DADOS BRUTOS'!GH$3:GH$500)+IF($C9="",0,SUMIF('DADOS BRUTOS'!$A$3:$A$500,$C9,'DADOS BRUTOS'!GH$3:GH$500)))</f>
        <v/>
      </c>
      <c r="JI9" s="123">
        <f>IF(OR(JI$4="",$B9=""),0,SUMIF('DADOS BRUTOS'!$A$3:$A$500,$B9,'DADOS BRUTOS'!GI$3:GI$500)+IF($C9="",0,SUMIF('DADOS BRUTOS'!$A$3:$A$500,$C9,'DADOS BRUTOS'!GI$3:GI$500)))</f>
        <v/>
      </c>
      <c r="JJ9" s="123">
        <f>IF(OR(JJ$4="",$B9=""),0,SUMIF('DADOS BRUTOS'!$A$3:$A$500,$B9,'DADOS BRUTOS'!GJ$3:GJ$500)+IF($C9="",0,SUMIF('DADOS BRUTOS'!$A$3:$A$500,$C9,'DADOS BRUTOS'!GJ$3:GJ$500)))</f>
        <v/>
      </c>
      <c r="JK9" s="123">
        <f>IF(OR(JK$4="",$B9=""),0,SUMIF('DADOS BRUTOS'!$A$3:$A$500,$B9,'DADOS BRUTOS'!GK$3:GK$500)+IF($C9="",0,SUMIF('DADOS BRUTOS'!$A$3:$A$500,$C9,'DADOS BRUTOS'!GK$3:GK$500)))</f>
        <v/>
      </c>
      <c r="JL9" s="123">
        <f>IF(OR(JL$4="",$B9=""),0,SUMIF('DADOS BRUTOS'!$A$3:$A$500,$B9,'DADOS BRUTOS'!GL$3:GL$500)+IF($C9="",0,SUMIF('DADOS BRUTOS'!$A$3:$A$500,$C9,'DADOS BRUTOS'!GL$3:GL$500)))</f>
        <v/>
      </c>
      <c r="JM9" s="123">
        <f>IF(OR(JM$4="",$B9=""),0,SUMIF('DADOS BRUTOS'!$A$3:$A$500,$B9,'DADOS BRUTOS'!GM$3:GM$500)+IF($C9="",0,SUMIF('DADOS BRUTOS'!$A$3:$A$500,$C9,'DADOS BRUTOS'!GM$3:GM$500)))</f>
        <v/>
      </c>
      <c r="JN9" s="123">
        <f>IF(OR(JN$4="",$B9=""),0,SUMIF('DADOS BRUTOS'!$A$3:$A$500,$B9,'DADOS BRUTOS'!GN$3:GN$500)+IF($C9="",0,SUMIF('DADOS BRUTOS'!$A$3:$A$500,$C9,'DADOS BRUTOS'!GN$3:GN$500)))</f>
        <v/>
      </c>
      <c r="JO9" s="123">
        <f>IF(OR(JO$4="",$B9=""),0,SUMIF('DADOS BRUTOS'!$A$3:$A$500,$B9,'DADOS BRUTOS'!GO$3:GO$500)+IF($C9="",0,SUMIF('DADOS BRUTOS'!$A$3:$A$500,$C9,'DADOS BRUTOS'!GO$3:GO$500)))</f>
        <v/>
      </c>
      <c r="JP9" s="123">
        <f>IF(OR(JP$4="",$B9=""),0,SUMIF('DADOS BRUTOS'!$A$3:$A$500,$B9,'DADOS BRUTOS'!GP$3:GP$500)+IF($C9="",0,SUMIF('DADOS BRUTOS'!$A$3:$A$500,$C9,'DADOS BRUTOS'!GP$3:GP$500)))</f>
        <v/>
      </c>
      <c r="JQ9" s="123">
        <f>IF(OR(JQ$4="",$B9=""),0,SUMIF('DADOS BRUTOS'!$A$3:$A$500,$B9,'DADOS BRUTOS'!GQ$3:GQ$500)+IF($C9="",0,SUMIF('DADOS BRUTOS'!$A$3:$A$500,$C9,'DADOS BRUTOS'!GQ$3:GQ$500)))</f>
        <v/>
      </c>
      <c r="JR9" s="123">
        <f>IF(OR(JR$4="",$B9=""),0,SUMIF('DADOS BRUTOS'!$A$3:$A$500,$B9,'DADOS BRUTOS'!GR$3:GR$500)+IF($C9="",0,SUMIF('DADOS BRUTOS'!$A$3:$A$500,$C9,'DADOS BRUTOS'!GR$3:GR$500)))</f>
        <v/>
      </c>
      <c r="JS9" s="123">
        <f>IF(OR(JS$4="",$B9=""),0,SUMIF('DADOS BRUTOS'!$A$3:$A$500,$B9,'DADOS BRUTOS'!GS$3:GS$500)+IF($C9="",0,SUMIF('DADOS BRUTOS'!$A$3:$A$500,$C9,'DADOS BRUTOS'!GS$3:GS$500)))</f>
        <v/>
      </c>
    </row>
    <row r="10">
      <c r="A10" s="61">
        <f>'VALOR POR PL'!D16</f>
        <v/>
      </c>
      <c r="B10" s="60" t="inlineStr">
        <is>
          <t>CONSUMO DE ÁGUA, ENERGIA, ETC.</t>
        </is>
      </c>
      <c r="C10" s="60" t="n"/>
      <c r="D10" s="55">
        <f>SUMIF($CB$4:$JS$4,"&lt;="&amp;D$4,$CB10:$JS10)</f>
        <v/>
      </c>
      <c r="E10" s="55">
        <f>SUMIF($CB$4:$JS$4,E$4,$CB10:$JS10)</f>
        <v/>
      </c>
      <c r="F10" s="55">
        <f>SUMIF($CB$4:$JS$4,F$4,$CB10:$JS10)</f>
        <v/>
      </c>
      <c r="G10" s="55">
        <f>SUMIF($CB$4:$JS$4,G$4,$CB10:$JS10)</f>
        <v/>
      </c>
      <c r="H10" s="55">
        <f>SUMIF($CB$4:$JS$4,H$4,$CB10:$JS10)</f>
        <v/>
      </c>
      <c r="I10" s="55">
        <f>SUMIF($CB$4:$JS$4,I$4,$CB10:$JS10)</f>
        <v/>
      </c>
      <c r="J10" s="55">
        <f>SUMIF($CB$4:$JS$4,J$4,$CB10:$JS10)</f>
        <v/>
      </c>
      <c r="K10" s="55">
        <f>SUMIF($CB$4:$JS$4,K$4,$CB10:$JS10)</f>
        <v/>
      </c>
      <c r="L10" s="55">
        <f>SUMIF($CB$4:$JS$4,L$4,$CB10:$JS10)</f>
        <v/>
      </c>
      <c r="M10" s="55">
        <f>SUMIF($CB$4:$JS$4,M$4,$CB10:$JS10)</f>
        <v/>
      </c>
      <c r="N10" s="55">
        <f>SUMIF($CB$4:$JS$4,N$4,$CB10:$JS10)</f>
        <v/>
      </c>
      <c r="O10" s="55">
        <f>SUMIF($CB$4:$JS$4,O$4,$CB10:$JS10)</f>
        <v/>
      </c>
      <c r="P10" s="55">
        <f>SUMIF($CB$4:$JS$4,P$4,$CB10:$JS10)</f>
        <v/>
      </c>
      <c r="Q10" s="55">
        <f>SUMIF($CB$4:$JS$4,Q$4,$CB10:$JS10)</f>
        <v/>
      </c>
      <c r="R10" s="55">
        <f>SUMIF($CB$4:$JS$4,R$4,$CB10:$JS10)</f>
        <v/>
      </c>
      <c r="S10" s="55">
        <f>SUMIF($CB$4:$JS$4,S$4,$CB10:$JS10)</f>
        <v/>
      </c>
      <c r="T10" s="55">
        <f>SUMIF($CB$4:$JS$4,T$4,$CB10:$JS10)</f>
        <v/>
      </c>
      <c r="U10" s="55">
        <f>SUMIF($CB$4:$JS$4,U$4,$CB10:$JS10)</f>
        <v/>
      </c>
      <c r="V10" s="55">
        <f>SUMIF($CB$4:$JS$4,V$4,$CB10:$JS10)</f>
        <v/>
      </c>
      <c r="W10" s="55">
        <f>SUMIF($CB$4:$JS$4,W$4,$CB10:$JS10)</f>
        <v/>
      </c>
      <c r="X10" s="55">
        <f>SUMIF($CB$4:$JS$4,X$4,$CB10:$JS10)</f>
        <v/>
      </c>
      <c r="Y10" s="55">
        <f>SUMIF($CB$4:$JS$4,Y$4,$CB10:$JS10)</f>
        <v/>
      </c>
      <c r="Z10" s="55">
        <f>SUMIF($CB$4:$JS$4,Z$4,$CB10:$JS10)</f>
        <v/>
      </c>
      <c r="AA10" s="55">
        <f>SUMIF($CB$4:$JS$4,AA$4,$CB10:$JS10)</f>
        <v/>
      </c>
      <c r="AB10" s="55">
        <f>SUMIF($CB$4:$JS$4,AB$4,$CB10:$JS10)</f>
        <v/>
      </c>
      <c r="AC10" s="55">
        <f>SUMIF($CB$4:$JS$4,AC$4,$CB10:$JS10)</f>
        <v/>
      </c>
      <c r="AD10" s="55">
        <f>SUMIF($CB$4:$JS$4,AD$4,$CB10:$JS10)</f>
        <v/>
      </c>
      <c r="AE10" s="55">
        <f>SUMIF($CB$4:$JS$4,AE$4,$CB10:$JS10)</f>
        <v/>
      </c>
      <c r="AF10" s="55">
        <f>SUMIF($CB$4:$JS$4,AF$4,$CB10:$JS10)</f>
        <v/>
      </c>
      <c r="AG10" s="55">
        <f>SUMIF($CB$4:$JS$4,AG$4,$CB10:$JS10)</f>
        <v/>
      </c>
      <c r="AH10" s="55">
        <f>SUMIF($CB$4:$JS$4,AH$4,$CB10:$JS10)</f>
        <v/>
      </c>
      <c r="AI10" s="55">
        <f>SUMIF($CB$4:$JS$4,AI$4,$CB10:$JS10)</f>
        <v/>
      </c>
      <c r="AJ10" s="55">
        <f>SUMIF($CB$4:$JS$4,AJ$4,$CB10:$JS10)</f>
        <v/>
      </c>
      <c r="AK10" s="55">
        <f>SUMIF($CB$4:$JS$4,AK$4,$CB10:$JS10)</f>
        <v/>
      </c>
      <c r="AL10" s="55">
        <f>SUMIF($CB$4:$JS$4,AL$4,$CB10:$JS10)</f>
        <v/>
      </c>
      <c r="AM10" s="55">
        <f>SUMIF($CB$4:$JS$4,AM$4,$CB10:$JS10)</f>
        <v/>
      </c>
      <c r="AN10" s="55">
        <f>SUMIF($CB$4:$JS$4,AN$4,$CB10:$JS10)</f>
        <v/>
      </c>
      <c r="AO10" s="55">
        <f>SUMIF($CB$4:$JS$4,AO$4,$CB10:$JS10)</f>
        <v/>
      </c>
      <c r="AP10" s="55">
        <f>SUMIF($CB$4:$JS$4,AP$4,$CB10:$JS10)</f>
        <v/>
      </c>
      <c r="AQ10" s="55">
        <f>SUMIF($CB$4:$JS$4,AQ$4,$CB10:$JS10)</f>
        <v/>
      </c>
      <c r="AR10" s="55">
        <f>SUMIF($CB$4:$JS$4,AR$4,$CB10:$JS10)</f>
        <v/>
      </c>
      <c r="AS10" s="55">
        <f>SUMIF($CB$4:$JS$4,AS$4,$CB10:$JS10)</f>
        <v/>
      </c>
      <c r="AT10" s="55">
        <f>SUMIF($CB$4:$JS$4,AT$4,$CB10:$JS10)</f>
        <v/>
      </c>
      <c r="AU10" s="55">
        <f>SUMIF($CB$4:$JS$4,AU$4,$CB10:$JS10)</f>
        <v/>
      </c>
      <c r="AV10" s="55">
        <f>SUMIF($CB$4:$JS$4,AV$4,$CB10:$JS10)</f>
        <v/>
      </c>
      <c r="AW10" s="55">
        <f>SUMIF($CB$4:$JS$4,AW$4,$CB10:$JS10)</f>
        <v/>
      </c>
      <c r="AX10" s="55">
        <f>SUMIF($CB$4:$JS$4,AX$4,$CB10:$JS10)</f>
        <v/>
      </c>
      <c r="AY10" s="55">
        <f>SUMIF($CB$4:$JS$4,AY$4,$CB10:$JS10)</f>
        <v/>
      </c>
      <c r="AZ10" s="55">
        <f>SUMIF($CB$4:$JS$4,AZ$4,$CB10:$JS10)</f>
        <v/>
      </c>
      <c r="BA10" s="55">
        <f>SUMIF($CB$4:$JS$4,BA$4,$CB10:$JS10)</f>
        <v/>
      </c>
      <c r="BB10" s="55">
        <f>SUMIF($CB$4:$JS$4,BB$4,$CB10:$JS10)</f>
        <v/>
      </c>
      <c r="BC10" s="55">
        <f>SUMIF($CB$4:$JS$4,BC$4,$CB10:$JS10)</f>
        <v/>
      </c>
      <c r="BD10" s="55">
        <f>SUMIF($CB$4:$JS$4,BD$4,$CB10:$JS10)</f>
        <v/>
      </c>
      <c r="BE10" s="55">
        <f>SUMIF($CB$4:$JS$4,BE$4,$CB10:$JS10)</f>
        <v/>
      </c>
      <c r="BF10" s="55">
        <f>SUMIF($CB$4:$JS$4,BF$4,$CB10:$JS10)</f>
        <v/>
      </c>
      <c r="BG10" s="55">
        <f>SUMIF($CB$4:$JS$4,BG$4,$CB10:$JS10)</f>
        <v/>
      </c>
      <c r="BH10" s="55">
        <f>SUMIF($CB$4:$JS$4,BH$4,$CB10:$JS10)</f>
        <v/>
      </c>
      <c r="BI10" s="55">
        <f>SUMIF($CB$4:$JS$4,BI$4,$CB10:$JS10)</f>
        <v/>
      </c>
      <c r="BJ10" s="55">
        <f>SUMIF($CB$4:$JS$4,BJ$4,$CB10:$JS10)</f>
        <v/>
      </c>
      <c r="BK10" s="55">
        <f>SUMIF($CB$4:$JS$4,BK$4,$CB10:$JS10)</f>
        <v/>
      </c>
      <c r="BL10" s="55">
        <f>SUMIF($CB$4:$JS$4,BL$4,$CB10:$JS10)</f>
        <v/>
      </c>
      <c r="BM10" s="55">
        <f>SUMIF($CB$4:$JS$4,BM$4,$CB10:$JS10)</f>
        <v/>
      </c>
      <c r="BN10" s="55">
        <f>SUMIF($CB$4:$JS$4,BN$4,$CB10:$JS10)</f>
        <v/>
      </c>
      <c r="BO10" s="55">
        <f>SUMIF($CB$4:$JS$4,BO$4,$CB10:$JS10)</f>
        <v/>
      </c>
      <c r="BP10" s="55">
        <f>SUMIF($CB$4:$JS$4,BP$4,$CB10:$JS10)</f>
        <v/>
      </c>
      <c r="BQ10" s="55">
        <f>SUMIF($CB$4:$JS$4,BQ$4,$CB10:$JS10)</f>
        <v/>
      </c>
      <c r="BR10" s="55">
        <f>SUMIF($CB$4:$JS$4,BR$4,$CB10:$JS10)</f>
        <v/>
      </c>
      <c r="BS10" s="55">
        <f>SUMIF($CB$4:$JS$4,BS$4,$CB10:$JS10)</f>
        <v/>
      </c>
      <c r="BT10" s="55">
        <f>SUMIF($CB$4:$JS$4,BT$4,$CB10:$JS10)</f>
        <v/>
      </c>
      <c r="BU10" s="55">
        <f>SUMIF($CB$4:$JS$4,BU$4,$CB10:$JS10)</f>
        <v/>
      </c>
      <c r="BV10" s="55">
        <f>SUMIF($CB$4:$JS$4,BV$4,$CB10:$JS10)</f>
        <v/>
      </c>
      <c r="BW10" s="55">
        <f>SUMIF($CB$4:$JS$4,BW$4,$CB10:$JS10)</f>
        <v/>
      </c>
      <c r="BX10" s="55">
        <f>SUMIF($CB$4:$JS$4,"&gt;"&amp;'VALOR POR PL'!$P$8,$CB10:$JS10)</f>
        <v/>
      </c>
      <c r="BY10" s="55">
        <f>SUM($CB10:$JS10)</f>
        <v/>
      </c>
      <c r="CB10" s="123">
        <f>IF(OR(CB$4="",$B10=""),0,SUMIF('DADOS BRUTOS'!$A$3:$A$500,$B10,'DADOS BRUTOS'!B$3:B$500)+IF($C10="",0,SUMIF('DADOS BRUTOS'!$A$3:$A$500,$C10,'DADOS BRUTOS'!B$3:B$500)))</f>
        <v/>
      </c>
      <c r="CC10" s="123">
        <f>IF(OR(CC$4="",$B10=""),0,SUMIF('DADOS BRUTOS'!$A$3:$A$500,$B10,'DADOS BRUTOS'!C$3:C$500)+IF($C10="",0,SUMIF('DADOS BRUTOS'!$A$3:$A$500,$C10,'DADOS BRUTOS'!C$3:C$500)))</f>
        <v/>
      </c>
      <c r="CD10" s="123">
        <f>IF(OR(CD$4="",$B10=""),0,SUMIF('DADOS BRUTOS'!$A$3:$A$500,$B10,'DADOS BRUTOS'!D$3:D$500)+IF($C10="",0,SUMIF('DADOS BRUTOS'!$A$3:$A$500,$C10,'DADOS BRUTOS'!D$3:D$500)))</f>
        <v/>
      </c>
      <c r="CE10" s="123">
        <f>IF(OR(CE$4="",$B10=""),0,SUMIF('DADOS BRUTOS'!$A$3:$A$500,$B10,'DADOS BRUTOS'!E$3:E$500)+IF($C10="",0,SUMIF('DADOS BRUTOS'!$A$3:$A$500,$C10,'DADOS BRUTOS'!E$3:E$500)))</f>
        <v/>
      </c>
      <c r="CF10" s="123">
        <f>IF(OR(CF$4="",$B10=""),0,SUMIF('DADOS BRUTOS'!$A$3:$A$500,$B10,'DADOS BRUTOS'!F$3:F$500)+IF($C10="",0,SUMIF('DADOS BRUTOS'!$A$3:$A$500,$C10,'DADOS BRUTOS'!F$3:F$500)))</f>
        <v/>
      </c>
      <c r="CG10" s="123">
        <f>IF(OR(CG$4="",$B10=""),0,SUMIF('DADOS BRUTOS'!$A$3:$A$500,$B10,'DADOS BRUTOS'!G$3:G$500)+IF($C10="",0,SUMIF('DADOS BRUTOS'!$A$3:$A$500,$C10,'DADOS BRUTOS'!G$3:G$500)))</f>
        <v/>
      </c>
      <c r="CH10" s="123">
        <f>IF(OR(CH$4="",$B10=""),0,SUMIF('DADOS BRUTOS'!$A$3:$A$500,$B10,'DADOS BRUTOS'!H$3:H$500)+IF($C10="",0,SUMIF('DADOS BRUTOS'!$A$3:$A$500,$C10,'DADOS BRUTOS'!H$3:H$500)))</f>
        <v/>
      </c>
      <c r="CI10" s="123">
        <f>IF(OR(CI$4="",$B10=""),0,SUMIF('DADOS BRUTOS'!$A$3:$A$500,$B10,'DADOS BRUTOS'!I$3:I$500)+IF($C10="",0,SUMIF('DADOS BRUTOS'!$A$3:$A$500,$C10,'DADOS BRUTOS'!I$3:I$500)))</f>
        <v/>
      </c>
      <c r="CJ10" s="123">
        <f>IF(OR(CJ$4="",$B10=""),0,SUMIF('DADOS BRUTOS'!$A$3:$A$500,$B10,'DADOS BRUTOS'!J$3:J$500)+IF($C10="",0,SUMIF('DADOS BRUTOS'!$A$3:$A$500,$C10,'DADOS BRUTOS'!J$3:J$500)))</f>
        <v/>
      </c>
      <c r="CK10" s="123">
        <f>IF(OR(CK$4="",$B10=""),0,SUMIF('DADOS BRUTOS'!$A$3:$A$500,$B10,'DADOS BRUTOS'!K$3:K$500)+IF($C10="",0,SUMIF('DADOS BRUTOS'!$A$3:$A$500,$C10,'DADOS BRUTOS'!K$3:K$500)))</f>
        <v/>
      </c>
      <c r="CL10" s="123">
        <f>IF(OR(CL$4="",$B10=""),0,SUMIF('DADOS BRUTOS'!$A$3:$A$500,$B10,'DADOS BRUTOS'!L$3:L$500)+IF($C10="",0,SUMIF('DADOS BRUTOS'!$A$3:$A$500,$C10,'DADOS BRUTOS'!L$3:L$500)))</f>
        <v/>
      </c>
      <c r="CM10" s="123">
        <f>IF(OR(CM$4="",$B10=""),0,SUMIF('DADOS BRUTOS'!$A$3:$A$500,$B10,'DADOS BRUTOS'!M$3:M$500)+IF($C10="",0,SUMIF('DADOS BRUTOS'!$A$3:$A$500,$C10,'DADOS BRUTOS'!M$3:M$500)))</f>
        <v/>
      </c>
      <c r="CN10" s="123">
        <f>IF(OR(CN$4="",$B10=""),0,SUMIF('DADOS BRUTOS'!$A$3:$A$500,$B10,'DADOS BRUTOS'!N$3:N$500)+IF($C10="",0,SUMIF('DADOS BRUTOS'!$A$3:$A$500,$C10,'DADOS BRUTOS'!N$3:N$500)))</f>
        <v/>
      </c>
      <c r="CO10" s="123">
        <f>IF(OR(CO$4="",$B10=""),0,SUMIF('DADOS BRUTOS'!$A$3:$A$500,$B10,'DADOS BRUTOS'!O$3:O$500)+IF($C10="",0,SUMIF('DADOS BRUTOS'!$A$3:$A$500,$C10,'DADOS BRUTOS'!O$3:O$500)))</f>
        <v/>
      </c>
      <c r="CP10" s="123">
        <f>IF(OR(CP$4="",$B10=""),0,SUMIF('DADOS BRUTOS'!$A$3:$A$500,$B10,'DADOS BRUTOS'!P$3:P$500)+IF($C10="",0,SUMIF('DADOS BRUTOS'!$A$3:$A$500,$C10,'DADOS BRUTOS'!P$3:P$500)))</f>
        <v/>
      </c>
      <c r="CQ10" s="123">
        <f>IF(OR(CQ$4="",$B10=""),0,SUMIF('DADOS BRUTOS'!$A$3:$A$500,$B10,'DADOS BRUTOS'!Q$3:Q$500)+IF($C10="",0,SUMIF('DADOS BRUTOS'!$A$3:$A$500,$C10,'DADOS BRUTOS'!Q$3:Q$500)))</f>
        <v/>
      </c>
      <c r="CR10" s="123">
        <f>IF(OR(CR$4="",$B10=""),0,SUMIF('DADOS BRUTOS'!$A$3:$A$500,$B10,'DADOS BRUTOS'!R$3:R$500)+IF($C10="",0,SUMIF('DADOS BRUTOS'!$A$3:$A$500,$C10,'DADOS BRUTOS'!R$3:R$500)))</f>
        <v/>
      </c>
      <c r="CS10" s="123">
        <f>IF(OR(CS$4="",$B10=""),0,SUMIF('DADOS BRUTOS'!$A$3:$A$500,$B10,'DADOS BRUTOS'!S$3:S$500)+IF($C10="",0,SUMIF('DADOS BRUTOS'!$A$3:$A$500,$C10,'DADOS BRUTOS'!S$3:S$500)))</f>
        <v/>
      </c>
      <c r="CT10" s="123">
        <f>IF(OR(CT$4="",$B10=""),0,SUMIF('DADOS BRUTOS'!$A$3:$A$500,$B10,'DADOS BRUTOS'!T$3:T$500)+IF($C10="",0,SUMIF('DADOS BRUTOS'!$A$3:$A$500,$C10,'DADOS BRUTOS'!T$3:T$500)))</f>
        <v/>
      </c>
      <c r="CU10" s="123">
        <f>IF(OR(CU$4="",$B10=""),0,SUMIF('DADOS BRUTOS'!$A$3:$A$500,$B10,'DADOS BRUTOS'!U$3:U$500)+IF($C10="",0,SUMIF('DADOS BRUTOS'!$A$3:$A$500,$C10,'DADOS BRUTOS'!U$3:U$500)))</f>
        <v/>
      </c>
      <c r="CV10" s="123">
        <f>IF(OR(CV$4="",$B10=""),0,SUMIF('DADOS BRUTOS'!$A$3:$A$500,$B10,'DADOS BRUTOS'!V$3:V$500)+IF($C10="",0,SUMIF('DADOS BRUTOS'!$A$3:$A$500,$C10,'DADOS BRUTOS'!V$3:V$500)))</f>
        <v/>
      </c>
      <c r="CW10" s="123">
        <f>IF(OR(CW$4="",$B10=""),0,SUMIF('DADOS BRUTOS'!$A$3:$A$500,$B10,'DADOS BRUTOS'!W$3:W$500)+IF($C10="",0,SUMIF('DADOS BRUTOS'!$A$3:$A$500,$C10,'DADOS BRUTOS'!W$3:W$500)))</f>
        <v/>
      </c>
      <c r="CX10" s="123">
        <f>IF(OR(CX$4="",$B10=""),0,SUMIF('DADOS BRUTOS'!$A$3:$A$500,$B10,'DADOS BRUTOS'!X$3:X$500)+IF($C10="",0,SUMIF('DADOS BRUTOS'!$A$3:$A$500,$C10,'DADOS BRUTOS'!X$3:X$500)))</f>
        <v/>
      </c>
      <c r="CY10" s="123">
        <f>IF(OR(CY$4="",$B10=""),0,SUMIF('DADOS BRUTOS'!$A$3:$A$500,$B10,'DADOS BRUTOS'!Y$3:Y$500)+IF($C10="",0,SUMIF('DADOS BRUTOS'!$A$3:$A$500,$C10,'DADOS BRUTOS'!Y$3:Y$500)))</f>
        <v/>
      </c>
      <c r="CZ10" s="123">
        <f>IF(OR(CZ$4="",$B10=""),0,SUMIF('DADOS BRUTOS'!$A$3:$A$500,$B10,'DADOS BRUTOS'!Z$3:Z$500)+IF($C10="",0,SUMIF('DADOS BRUTOS'!$A$3:$A$500,$C10,'DADOS BRUTOS'!Z$3:Z$500)))</f>
        <v/>
      </c>
      <c r="DA10" s="123">
        <f>IF(OR(DA$4="",$B10=""),0,SUMIF('DADOS BRUTOS'!$A$3:$A$500,$B10,'DADOS BRUTOS'!AA$3:AA$500)+IF($C10="",0,SUMIF('DADOS BRUTOS'!$A$3:$A$500,$C10,'DADOS BRUTOS'!AA$3:AA$500)))</f>
        <v/>
      </c>
      <c r="DB10" s="123">
        <f>IF(OR(DB$4="",$B10=""),0,SUMIF('DADOS BRUTOS'!$A$3:$A$500,$B10,'DADOS BRUTOS'!AB$3:AB$500)+IF($C10="",0,SUMIF('DADOS BRUTOS'!$A$3:$A$500,$C10,'DADOS BRUTOS'!AB$3:AB$500)))</f>
        <v/>
      </c>
      <c r="DC10" s="123">
        <f>IF(OR(DC$4="",$B10=""),0,SUMIF('DADOS BRUTOS'!$A$3:$A$500,$B10,'DADOS BRUTOS'!AC$3:AC$500)+IF($C10="",0,SUMIF('DADOS BRUTOS'!$A$3:$A$500,$C10,'DADOS BRUTOS'!AC$3:AC$500)))</f>
        <v/>
      </c>
      <c r="DD10" s="123">
        <f>IF(OR(DD$4="",$B10=""),0,SUMIF('DADOS BRUTOS'!$A$3:$A$500,$B10,'DADOS BRUTOS'!AD$3:AD$500)+IF($C10="",0,SUMIF('DADOS BRUTOS'!$A$3:$A$500,$C10,'DADOS BRUTOS'!AD$3:AD$500)))</f>
        <v/>
      </c>
      <c r="DE10" s="123">
        <f>IF(OR(DE$4="",$B10=""),0,SUMIF('DADOS BRUTOS'!$A$3:$A$500,$B10,'DADOS BRUTOS'!AE$3:AE$500)+IF($C10="",0,SUMIF('DADOS BRUTOS'!$A$3:$A$500,$C10,'DADOS BRUTOS'!AE$3:AE$500)))</f>
        <v/>
      </c>
      <c r="DF10" s="123">
        <f>IF(OR(DF$4="",$B10=""),0,SUMIF('DADOS BRUTOS'!$A$3:$A$500,$B10,'DADOS BRUTOS'!AF$3:AF$500)+IF($C10="",0,SUMIF('DADOS BRUTOS'!$A$3:$A$500,$C10,'DADOS BRUTOS'!AF$3:AF$500)))</f>
        <v/>
      </c>
      <c r="DG10" s="123">
        <f>IF(OR(DG$4="",$B10=""),0,SUMIF('DADOS BRUTOS'!$A$3:$A$500,$B10,'DADOS BRUTOS'!AG$3:AG$500)+IF($C10="",0,SUMIF('DADOS BRUTOS'!$A$3:$A$500,$C10,'DADOS BRUTOS'!AG$3:AG$500)))</f>
        <v/>
      </c>
      <c r="DH10" s="123">
        <f>IF(OR(DH$4="",$B10=""),0,SUMIF('DADOS BRUTOS'!$A$3:$A$500,$B10,'DADOS BRUTOS'!AH$3:AH$500)+IF($C10="",0,SUMIF('DADOS BRUTOS'!$A$3:$A$500,$C10,'DADOS BRUTOS'!AH$3:AH$500)))</f>
        <v/>
      </c>
      <c r="DI10" s="123">
        <f>IF(OR(DI$4="",$B10=""),0,SUMIF('DADOS BRUTOS'!$A$3:$A$500,$B10,'DADOS BRUTOS'!AI$3:AI$500)+IF($C10="",0,SUMIF('DADOS BRUTOS'!$A$3:$A$500,$C10,'DADOS BRUTOS'!AI$3:AI$500)))</f>
        <v/>
      </c>
      <c r="DJ10" s="123">
        <f>IF(OR(DJ$4="",$B10=""),0,SUMIF('DADOS BRUTOS'!$A$3:$A$500,$B10,'DADOS BRUTOS'!AJ$3:AJ$500)+IF($C10="",0,SUMIF('DADOS BRUTOS'!$A$3:$A$500,$C10,'DADOS BRUTOS'!AJ$3:AJ$500)))</f>
        <v/>
      </c>
      <c r="DK10" s="123">
        <f>IF(OR(DK$4="",$B10=""),0,SUMIF('DADOS BRUTOS'!$A$3:$A$500,$B10,'DADOS BRUTOS'!AK$3:AK$500)+IF($C10="",0,SUMIF('DADOS BRUTOS'!$A$3:$A$500,$C10,'DADOS BRUTOS'!AK$3:AK$500)))</f>
        <v/>
      </c>
      <c r="DL10" s="123">
        <f>IF(OR(DL$4="",$B10=""),0,SUMIF('DADOS BRUTOS'!$A$3:$A$500,$B10,'DADOS BRUTOS'!AL$3:AL$500)+IF($C10="",0,SUMIF('DADOS BRUTOS'!$A$3:$A$500,$C10,'DADOS BRUTOS'!AL$3:AL$500)))</f>
        <v/>
      </c>
      <c r="DM10" s="123">
        <f>IF(OR(DM$4="",$B10=""),0,SUMIF('DADOS BRUTOS'!$A$3:$A$500,$B10,'DADOS BRUTOS'!AM$3:AM$500)+IF($C10="",0,SUMIF('DADOS BRUTOS'!$A$3:$A$500,$C10,'DADOS BRUTOS'!AM$3:AM$500)))</f>
        <v/>
      </c>
      <c r="DN10" s="123">
        <f>IF(OR(DN$4="",$B10=""),0,SUMIF('DADOS BRUTOS'!$A$3:$A$500,$B10,'DADOS BRUTOS'!AN$3:AN$500)+IF($C10="",0,SUMIF('DADOS BRUTOS'!$A$3:$A$500,$C10,'DADOS BRUTOS'!AN$3:AN$500)))</f>
        <v/>
      </c>
      <c r="DO10" s="123">
        <f>IF(OR(DO$4="",$B10=""),0,SUMIF('DADOS BRUTOS'!$A$3:$A$500,$B10,'DADOS BRUTOS'!AO$3:AO$500)+IF($C10="",0,SUMIF('DADOS BRUTOS'!$A$3:$A$500,$C10,'DADOS BRUTOS'!AO$3:AO$500)))</f>
        <v/>
      </c>
      <c r="DP10" s="123">
        <f>IF(OR(DP$4="",$B10=""),0,SUMIF('DADOS BRUTOS'!$A$3:$A$500,$B10,'DADOS BRUTOS'!AP$3:AP$500)+IF($C10="",0,SUMIF('DADOS BRUTOS'!$A$3:$A$500,$C10,'DADOS BRUTOS'!AP$3:AP$500)))</f>
        <v/>
      </c>
      <c r="DQ10" s="123">
        <f>IF(OR(DQ$4="",$B10=""),0,SUMIF('DADOS BRUTOS'!$A$3:$A$500,$B10,'DADOS BRUTOS'!AQ$3:AQ$500)+IF($C10="",0,SUMIF('DADOS BRUTOS'!$A$3:$A$500,$C10,'DADOS BRUTOS'!AQ$3:AQ$500)))</f>
        <v/>
      </c>
      <c r="DR10" s="123">
        <f>IF(OR(DR$4="",$B10=""),0,SUMIF('DADOS BRUTOS'!$A$3:$A$500,$B10,'DADOS BRUTOS'!AR$3:AR$500)+IF($C10="",0,SUMIF('DADOS BRUTOS'!$A$3:$A$500,$C10,'DADOS BRUTOS'!AR$3:AR$500)))</f>
        <v/>
      </c>
      <c r="DS10" s="123">
        <f>IF(OR(DS$4="",$B10=""),0,SUMIF('DADOS BRUTOS'!$A$3:$A$500,$B10,'DADOS BRUTOS'!AS$3:AS$500)+IF($C10="",0,SUMIF('DADOS BRUTOS'!$A$3:$A$500,$C10,'DADOS BRUTOS'!AS$3:AS$500)))</f>
        <v/>
      </c>
      <c r="DT10" s="123">
        <f>IF(OR(DT$4="",$B10=""),0,SUMIF('DADOS BRUTOS'!$A$3:$A$500,$B10,'DADOS BRUTOS'!AT$3:AT$500)+IF($C10="",0,SUMIF('DADOS BRUTOS'!$A$3:$A$500,$C10,'DADOS BRUTOS'!AT$3:AT$500)))</f>
        <v/>
      </c>
      <c r="DU10" s="123">
        <f>IF(OR(DU$4="",$B10=""),0,SUMIF('DADOS BRUTOS'!$A$3:$A$500,$B10,'DADOS BRUTOS'!AU$3:AU$500)+IF($C10="",0,SUMIF('DADOS BRUTOS'!$A$3:$A$500,$C10,'DADOS BRUTOS'!AU$3:AU$500)))</f>
        <v/>
      </c>
      <c r="DV10" s="123">
        <f>IF(OR(DV$4="",$B10=""),0,SUMIF('DADOS BRUTOS'!$A$3:$A$500,$B10,'DADOS BRUTOS'!AV$3:AV$500)+IF($C10="",0,SUMIF('DADOS BRUTOS'!$A$3:$A$500,$C10,'DADOS BRUTOS'!AV$3:AV$500)))</f>
        <v/>
      </c>
      <c r="DW10" s="123">
        <f>IF(OR(DW$4="",$B10=""),0,SUMIF('DADOS BRUTOS'!$A$3:$A$500,$B10,'DADOS BRUTOS'!AW$3:AW$500)+IF($C10="",0,SUMIF('DADOS BRUTOS'!$A$3:$A$500,$C10,'DADOS BRUTOS'!AW$3:AW$500)))</f>
        <v/>
      </c>
      <c r="DX10" s="123">
        <f>IF(OR(DX$4="",$B10=""),0,SUMIF('DADOS BRUTOS'!$A$3:$A$500,$B10,'DADOS BRUTOS'!AX$3:AX$500)+IF($C10="",0,SUMIF('DADOS BRUTOS'!$A$3:$A$500,$C10,'DADOS BRUTOS'!AX$3:AX$500)))</f>
        <v/>
      </c>
      <c r="DY10" s="123">
        <f>IF(OR(DY$4="",$B10=""),0,SUMIF('DADOS BRUTOS'!$A$3:$A$500,$B10,'DADOS BRUTOS'!AY$3:AY$500)+IF($C10="",0,SUMIF('DADOS BRUTOS'!$A$3:$A$500,$C10,'DADOS BRUTOS'!AY$3:AY$500)))</f>
        <v/>
      </c>
      <c r="DZ10" s="123">
        <f>IF(OR(DZ$4="",$B10=""),0,SUMIF('DADOS BRUTOS'!$A$3:$A$500,$B10,'DADOS BRUTOS'!AZ$3:AZ$500)+IF($C10="",0,SUMIF('DADOS BRUTOS'!$A$3:$A$500,$C10,'DADOS BRUTOS'!AZ$3:AZ$500)))</f>
        <v/>
      </c>
      <c r="EA10" s="123">
        <f>IF(OR(EA$4="",$B10=""),0,SUMIF('DADOS BRUTOS'!$A$3:$A$500,$B10,'DADOS BRUTOS'!BA$3:BA$500)+IF($C10="",0,SUMIF('DADOS BRUTOS'!$A$3:$A$500,$C10,'DADOS BRUTOS'!BA$3:BA$500)))</f>
        <v/>
      </c>
      <c r="EB10" s="123">
        <f>IF(OR(EB$4="",$B10=""),0,SUMIF('DADOS BRUTOS'!$A$3:$A$500,$B10,'DADOS BRUTOS'!BB$3:BB$500)+IF($C10="",0,SUMIF('DADOS BRUTOS'!$A$3:$A$500,$C10,'DADOS BRUTOS'!BB$3:BB$500)))</f>
        <v/>
      </c>
      <c r="EC10" s="123">
        <f>IF(OR(EC$4="",$B10=""),0,SUMIF('DADOS BRUTOS'!$A$3:$A$500,$B10,'DADOS BRUTOS'!BC$3:BC$500)+IF($C10="",0,SUMIF('DADOS BRUTOS'!$A$3:$A$500,$C10,'DADOS BRUTOS'!BC$3:BC$500)))</f>
        <v/>
      </c>
      <c r="ED10" s="123">
        <f>IF(OR(ED$4="",$B10=""),0,SUMIF('DADOS BRUTOS'!$A$3:$A$500,$B10,'DADOS BRUTOS'!BD$3:BD$500)+IF($C10="",0,SUMIF('DADOS BRUTOS'!$A$3:$A$500,$C10,'DADOS BRUTOS'!BD$3:BD$500)))</f>
        <v/>
      </c>
      <c r="EE10" s="123">
        <f>IF(OR(EE$4="",$B10=""),0,SUMIF('DADOS BRUTOS'!$A$3:$A$500,$B10,'DADOS BRUTOS'!BE$3:BE$500)+IF($C10="",0,SUMIF('DADOS BRUTOS'!$A$3:$A$500,$C10,'DADOS BRUTOS'!BE$3:BE$500)))</f>
        <v/>
      </c>
      <c r="EF10" s="123">
        <f>IF(OR(EF$4="",$B10=""),0,SUMIF('DADOS BRUTOS'!$A$3:$A$500,$B10,'DADOS BRUTOS'!BF$3:BF$500)+IF($C10="",0,SUMIF('DADOS BRUTOS'!$A$3:$A$500,$C10,'DADOS BRUTOS'!BF$3:BF$500)))</f>
        <v/>
      </c>
      <c r="EG10" s="123">
        <f>IF(OR(EG$4="",$B10=""),0,SUMIF('DADOS BRUTOS'!$A$3:$A$500,$B10,'DADOS BRUTOS'!BG$3:BG$500)+IF($C10="",0,SUMIF('DADOS BRUTOS'!$A$3:$A$500,$C10,'DADOS BRUTOS'!BG$3:BG$500)))</f>
        <v/>
      </c>
      <c r="EH10" s="123">
        <f>IF(OR(EH$4="",$B10=""),0,SUMIF('DADOS BRUTOS'!$A$3:$A$500,$B10,'DADOS BRUTOS'!BH$3:BH$500)+IF($C10="",0,SUMIF('DADOS BRUTOS'!$A$3:$A$500,$C10,'DADOS BRUTOS'!BH$3:BH$500)))</f>
        <v/>
      </c>
      <c r="EI10" s="123">
        <f>IF(OR(EI$4="",$B10=""),0,SUMIF('DADOS BRUTOS'!$A$3:$A$500,$B10,'DADOS BRUTOS'!BI$3:BI$500)+IF($C10="",0,SUMIF('DADOS BRUTOS'!$A$3:$A$500,$C10,'DADOS BRUTOS'!BI$3:BI$500)))</f>
        <v/>
      </c>
      <c r="EJ10" s="123">
        <f>IF(OR(EJ$4="",$B10=""),0,SUMIF('DADOS BRUTOS'!$A$3:$A$500,$B10,'DADOS BRUTOS'!BJ$3:BJ$500)+IF($C10="",0,SUMIF('DADOS BRUTOS'!$A$3:$A$500,$C10,'DADOS BRUTOS'!BJ$3:BJ$500)))</f>
        <v/>
      </c>
      <c r="EK10" s="123">
        <f>IF(OR(EK$4="",$B10=""),0,SUMIF('DADOS BRUTOS'!$A$3:$A$500,$B10,'DADOS BRUTOS'!BK$3:BK$500)+IF($C10="",0,SUMIF('DADOS BRUTOS'!$A$3:$A$500,$C10,'DADOS BRUTOS'!BK$3:BK$500)))</f>
        <v/>
      </c>
      <c r="EL10" s="123">
        <f>IF(OR(EL$4="",$B10=""),0,SUMIF('DADOS BRUTOS'!$A$3:$A$500,$B10,'DADOS BRUTOS'!BL$3:BL$500)+IF($C10="",0,SUMIF('DADOS BRUTOS'!$A$3:$A$500,$C10,'DADOS BRUTOS'!BL$3:BL$500)))</f>
        <v/>
      </c>
      <c r="EM10" s="123">
        <f>IF(OR(EM$4="",$B10=""),0,SUMIF('DADOS BRUTOS'!$A$3:$A$500,$B10,'DADOS BRUTOS'!BM$3:BM$500)+IF($C10="",0,SUMIF('DADOS BRUTOS'!$A$3:$A$500,$C10,'DADOS BRUTOS'!BM$3:BM$500)))</f>
        <v/>
      </c>
      <c r="EN10" s="123">
        <f>IF(OR(EN$4="",$B10=""),0,SUMIF('DADOS BRUTOS'!$A$3:$A$500,$B10,'DADOS BRUTOS'!BN$3:BN$500)+IF($C10="",0,SUMIF('DADOS BRUTOS'!$A$3:$A$500,$C10,'DADOS BRUTOS'!BN$3:BN$500)))</f>
        <v/>
      </c>
      <c r="EO10" s="123">
        <f>IF(OR(EO$4="",$B10=""),0,SUMIF('DADOS BRUTOS'!$A$3:$A$500,$B10,'DADOS BRUTOS'!BO$3:BO$500)+IF($C10="",0,SUMIF('DADOS BRUTOS'!$A$3:$A$500,$C10,'DADOS BRUTOS'!BO$3:BO$500)))</f>
        <v/>
      </c>
      <c r="EP10" s="123">
        <f>IF(OR(EP$4="",$B10=""),0,SUMIF('DADOS BRUTOS'!$A$3:$A$500,$B10,'DADOS BRUTOS'!BP$3:BP$500)+IF($C10="",0,SUMIF('DADOS BRUTOS'!$A$3:$A$500,$C10,'DADOS BRUTOS'!BP$3:BP$500)))</f>
        <v/>
      </c>
      <c r="EQ10" s="123">
        <f>IF(OR(EQ$4="",$B10=""),0,SUMIF('DADOS BRUTOS'!$A$3:$A$500,$B10,'DADOS BRUTOS'!BQ$3:BQ$500)+IF($C10="",0,SUMIF('DADOS BRUTOS'!$A$3:$A$500,$C10,'DADOS BRUTOS'!BQ$3:BQ$500)))</f>
        <v/>
      </c>
      <c r="ER10" s="123">
        <f>IF(OR(ER$4="",$B10=""),0,SUMIF('DADOS BRUTOS'!$A$3:$A$500,$B10,'DADOS BRUTOS'!BR$3:BR$500)+IF($C10="",0,SUMIF('DADOS BRUTOS'!$A$3:$A$500,$C10,'DADOS BRUTOS'!BR$3:BR$500)))</f>
        <v/>
      </c>
      <c r="ES10" s="123">
        <f>IF(OR(ES$4="",$B10=""),0,SUMIF('DADOS BRUTOS'!$A$3:$A$500,$B10,'DADOS BRUTOS'!BS$3:BS$500)+IF($C10="",0,SUMIF('DADOS BRUTOS'!$A$3:$A$500,$C10,'DADOS BRUTOS'!BS$3:BS$500)))</f>
        <v/>
      </c>
      <c r="ET10" s="123">
        <f>IF(OR(ET$4="",$B10=""),0,SUMIF('DADOS BRUTOS'!$A$3:$A$500,$B10,'DADOS BRUTOS'!BT$3:BT$500)+IF($C10="",0,SUMIF('DADOS BRUTOS'!$A$3:$A$500,$C10,'DADOS BRUTOS'!BT$3:BT$500)))</f>
        <v/>
      </c>
      <c r="EU10" s="123">
        <f>IF(OR(EU$4="",$B10=""),0,SUMIF('DADOS BRUTOS'!$A$3:$A$500,$B10,'DADOS BRUTOS'!BU$3:BU$500)+IF($C10="",0,SUMIF('DADOS BRUTOS'!$A$3:$A$500,$C10,'DADOS BRUTOS'!BU$3:BU$500)))</f>
        <v/>
      </c>
      <c r="EV10" s="123">
        <f>IF(OR(EV$4="",$B10=""),0,SUMIF('DADOS BRUTOS'!$A$3:$A$500,$B10,'DADOS BRUTOS'!BV$3:BV$500)+IF($C10="",0,SUMIF('DADOS BRUTOS'!$A$3:$A$500,$C10,'DADOS BRUTOS'!BV$3:BV$500)))</f>
        <v/>
      </c>
      <c r="EW10" s="123">
        <f>IF(OR(EW$4="",$B10=""),0,SUMIF('DADOS BRUTOS'!$A$3:$A$500,$B10,'DADOS BRUTOS'!BW$3:BW$500)+IF($C10="",0,SUMIF('DADOS BRUTOS'!$A$3:$A$500,$C10,'DADOS BRUTOS'!BW$3:BW$500)))</f>
        <v/>
      </c>
      <c r="EX10" s="123">
        <f>IF(OR(EX$4="",$B10=""),0,SUMIF('DADOS BRUTOS'!$A$3:$A$500,$B10,'DADOS BRUTOS'!BX$3:BX$500)+IF($C10="",0,SUMIF('DADOS BRUTOS'!$A$3:$A$500,$C10,'DADOS BRUTOS'!BX$3:BX$500)))</f>
        <v/>
      </c>
      <c r="EY10" s="123">
        <f>IF(OR(EY$4="",$B10=""),0,SUMIF('DADOS BRUTOS'!$A$3:$A$500,$B10,'DADOS BRUTOS'!BY$3:BY$500)+IF($C10="",0,SUMIF('DADOS BRUTOS'!$A$3:$A$500,$C10,'DADOS BRUTOS'!BY$3:BY$500)))</f>
        <v/>
      </c>
      <c r="EZ10" s="123">
        <f>IF(OR(EZ$4="",$B10=""),0,SUMIF('DADOS BRUTOS'!$A$3:$A$500,$B10,'DADOS BRUTOS'!BZ$3:BZ$500)+IF($C10="",0,SUMIF('DADOS BRUTOS'!$A$3:$A$500,$C10,'DADOS BRUTOS'!BZ$3:BZ$500)))</f>
        <v/>
      </c>
      <c r="FA10" s="123">
        <f>IF(OR(FA$4="",$B10=""),0,SUMIF('DADOS BRUTOS'!$A$3:$A$500,$B10,'DADOS BRUTOS'!CA$3:CA$500)+IF($C10="",0,SUMIF('DADOS BRUTOS'!$A$3:$A$500,$C10,'DADOS BRUTOS'!CA$3:CA$500)))</f>
        <v/>
      </c>
      <c r="FB10" s="123">
        <f>IF(OR(FB$4="",$B10=""),0,SUMIF('DADOS BRUTOS'!$A$3:$A$500,$B10,'DADOS BRUTOS'!CB$3:CB$500)+IF($C10="",0,SUMIF('DADOS BRUTOS'!$A$3:$A$500,$C10,'DADOS BRUTOS'!CB$3:CB$500)))</f>
        <v/>
      </c>
      <c r="FC10" s="123">
        <f>IF(OR(FC$4="",$B10=""),0,SUMIF('DADOS BRUTOS'!$A$3:$A$500,$B10,'DADOS BRUTOS'!CC$3:CC$500)+IF($C10="",0,SUMIF('DADOS BRUTOS'!$A$3:$A$500,$C10,'DADOS BRUTOS'!CC$3:CC$500)))</f>
        <v/>
      </c>
      <c r="FD10" s="123">
        <f>IF(OR(FD$4="",$B10=""),0,SUMIF('DADOS BRUTOS'!$A$3:$A$500,$B10,'DADOS BRUTOS'!CD$3:CD$500)+IF($C10="",0,SUMIF('DADOS BRUTOS'!$A$3:$A$500,$C10,'DADOS BRUTOS'!CD$3:CD$500)))</f>
        <v/>
      </c>
      <c r="FE10" s="123">
        <f>IF(OR(FE$4="",$B10=""),0,SUMIF('DADOS BRUTOS'!$A$3:$A$500,$B10,'DADOS BRUTOS'!CE$3:CE$500)+IF($C10="",0,SUMIF('DADOS BRUTOS'!$A$3:$A$500,$C10,'DADOS BRUTOS'!CE$3:CE$500)))</f>
        <v/>
      </c>
      <c r="FF10" s="123">
        <f>IF(OR(FF$4="",$B10=""),0,SUMIF('DADOS BRUTOS'!$A$3:$A$500,$B10,'DADOS BRUTOS'!CF$3:CF$500)+IF($C10="",0,SUMIF('DADOS BRUTOS'!$A$3:$A$500,$C10,'DADOS BRUTOS'!CF$3:CF$500)))</f>
        <v/>
      </c>
      <c r="FG10" s="123">
        <f>IF(OR(FG$4="",$B10=""),0,SUMIF('DADOS BRUTOS'!$A$3:$A$500,$B10,'DADOS BRUTOS'!CG$3:CG$500)+IF($C10="",0,SUMIF('DADOS BRUTOS'!$A$3:$A$500,$C10,'DADOS BRUTOS'!CG$3:CG$500)))</f>
        <v/>
      </c>
      <c r="FH10" s="123">
        <f>IF(OR(FH$4="",$B10=""),0,SUMIF('DADOS BRUTOS'!$A$3:$A$500,$B10,'DADOS BRUTOS'!CH$3:CH$500)+IF($C10="",0,SUMIF('DADOS BRUTOS'!$A$3:$A$500,$C10,'DADOS BRUTOS'!CH$3:CH$500)))</f>
        <v/>
      </c>
      <c r="FI10" s="123">
        <f>IF(OR(FI$4="",$B10=""),0,SUMIF('DADOS BRUTOS'!$A$3:$A$500,$B10,'DADOS BRUTOS'!CI$3:CI$500)+IF($C10="",0,SUMIF('DADOS BRUTOS'!$A$3:$A$500,$C10,'DADOS BRUTOS'!CI$3:CI$500)))</f>
        <v/>
      </c>
      <c r="FJ10" s="123">
        <f>IF(OR(FJ$4="",$B10=""),0,SUMIF('DADOS BRUTOS'!$A$3:$A$500,$B10,'DADOS BRUTOS'!CJ$3:CJ$500)+IF($C10="",0,SUMIF('DADOS BRUTOS'!$A$3:$A$500,$C10,'DADOS BRUTOS'!CJ$3:CJ$500)))</f>
        <v/>
      </c>
      <c r="FK10" s="123">
        <f>IF(OR(FK$4="",$B10=""),0,SUMIF('DADOS BRUTOS'!$A$3:$A$500,$B10,'DADOS BRUTOS'!CK$3:CK$500)+IF($C10="",0,SUMIF('DADOS BRUTOS'!$A$3:$A$500,$C10,'DADOS BRUTOS'!CK$3:CK$500)))</f>
        <v/>
      </c>
      <c r="FL10" s="123">
        <f>IF(OR(FL$4="",$B10=""),0,SUMIF('DADOS BRUTOS'!$A$3:$A$500,$B10,'DADOS BRUTOS'!CL$3:CL$500)+IF($C10="",0,SUMIF('DADOS BRUTOS'!$A$3:$A$500,$C10,'DADOS BRUTOS'!CL$3:CL$500)))</f>
        <v/>
      </c>
      <c r="FM10" s="123">
        <f>IF(OR(FM$4="",$B10=""),0,SUMIF('DADOS BRUTOS'!$A$3:$A$500,$B10,'DADOS BRUTOS'!CM$3:CM$500)+IF($C10="",0,SUMIF('DADOS BRUTOS'!$A$3:$A$500,$C10,'DADOS BRUTOS'!CM$3:CM$500)))</f>
        <v/>
      </c>
      <c r="FN10" s="123">
        <f>IF(OR(FN$4="",$B10=""),0,SUMIF('DADOS BRUTOS'!$A$3:$A$500,$B10,'DADOS BRUTOS'!CN$3:CN$500)+IF($C10="",0,SUMIF('DADOS BRUTOS'!$A$3:$A$500,$C10,'DADOS BRUTOS'!CN$3:CN$500)))</f>
        <v/>
      </c>
      <c r="FO10" s="123">
        <f>IF(OR(FO$4="",$B10=""),0,SUMIF('DADOS BRUTOS'!$A$3:$A$500,$B10,'DADOS BRUTOS'!CO$3:CO$500)+IF($C10="",0,SUMIF('DADOS BRUTOS'!$A$3:$A$500,$C10,'DADOS BRUTOS'!CO$3:CO$500)))</f>
        <v/>
      </c>
      <c r="FP10" s="123">
        <f>IF(OR(FP$4="",$B10=""),0,SUMIF('DADOS BRUTOS'!$A$3:$A$500,$B10,'DADOS BRUTOS'!CP$3:CP$500)+IF($C10="",0,SUMIF('DADOS BRUTOS'!$A$3:$A$500,$C10,'DADOS BRUTOS'!CP$3:CP$500)))</f>
        <v/>
      </c>
      <c r="FQ10" s="123">
        <f>IF(OR(FQ$4="",$B10=""),0,SUMIF('DADOS BRUTOS'!$A$3:$A$500,$B10,'DADOS BRUTOS'!CQ$3:CQ$500)+IF($C10="",0,SUMIF('DADOS BRUTOS'!$A$3:$A$500,$C10,'DADOS BRUTOS'!CQ$3:CQ$500)))</f>
        <v/>
      </c>
      <c r="FR10" s="123">
        <f>IF(OR(FR$4="",$B10=""),0,SUMIF('DADOS BRUTOS'!$A$3:$A$500,$B10,'DADOS BRUTOS'!CR$3:CR$500)+IF($C10="",0,SUMIF('DADOS BRUTOS'!$A$3:$A$500,$C10,'DADOS BRUTOS'!CR$3:CR$500)))</f>
        <v/>
      </c>
      <c r="FS10" s="123">
        <f>IF(OR(FS$4="",$B10=""),0,SUMIF('DADOS BRUTOS'!$A$3:$A$500,$B10,'DADOS BRUTOS'!CS$3:CS$500)+IF($C10="",0,SUMIF('DADOS BRUTOS'!$A$3:$A$500,$C10,'DADOS BRUTOS'!CS$3:CS$500)))</f>
        <v/>
      </c>
      <c r="FT10" s="123">
        <f>IF(OR(FT$4="",$B10=""),0,SUMIF('DADOS BRUTOS'!$A$3:$A$500,$B10,'DADOS BRUTOS'!CT$3:CT$500)+IF($C10="",0,SUMIF('DADOS BRUTOS'!$A$3:$A$500,$C10,'DADOS BRUTOS'!CT$3:CT$500)))</f>
        <v/>
      </c>
      <c r="FU10" s="123">
        <f>IF(OR(FU$4="",$B10=""),0,SUMIF('DADOS BRUTOS'!$A$3:$A$500,$B10,'DADOS BRUTOS'!CU$3:CU$500)+IF($C10="",0,SUMIF('DADOS BRUTOS'!$A$3:$A$500,$C10,'DADOS BRUTOS'!CU$3:CU$500)))</f>
        <v/>
      </c>
      <c r="FV10" s="123">
        <f>IF(OR(FV$4="",$B10=""),0,SUMIF('DADOS BRUTOS'!$A$3:$A$500,$B10,'DADOS BRUTOS'!CV$3:CV$500)+IF($C10="",0,SUMIF('DADOS BRUTOS'!$A$3:$A$500,$C10,'DADOS BRUTOS'!CV$3:CV$500)))</f>
        <v/>
      </c>
      <c r="FW10" s="123">
        <f>IF(OR(FW$4="",$B10=""),0,SUMIF('DADOS BRUTOS'!$A$3:$A$500,$B10,'DADOS BRUTOS'!CW$3:CW$500)+IF($C10="",0,SUMIF('DADOS BRUTOS'!$A$3:$A$500,$C10,'DADOS BRUTOS'!CW$3:CW$500)))</f>
        <v/>
      </c>
      <c r="FX10" s="123">
        <f>IF(OR(FX$4="",$B10=""),0,SUMIF('DADOS BRUTOS'!$A$3:$A$500,$B10,'DADOS BRUTOS'!CX$3:CX$500)+IF($C10="",0,SUMIF('DADOS BRUTOS'!$A$3:$A$500,$C10,'DADOS BRUTOS'!CX$3:CX$500)))</f>
        <v/>
      </c>
      <c r="FY10" s="123">
        <f>IF(OR(FY$4="",$B10=""),0,SUMIF('DADOS BRUTOS'!$A$3:$A$500,$B10,'DADOS BRUTOS'!CY$3:CY$500)+IF($C10="",0,SUMIF('DADOS BRUTOS'!$A$3:$A$500,$C10,'DADOS BRUTOS'!CY$3:CY$500)))</f>
        <v/>
      </c>
      <c r="FZ10" s="123">
        <f>IF(OR(FZ$4="",$B10=""),0,SUMIF('DADOS BRUTOS'!$A$3:$A$500,$B10,'DADOS BRUTOS'!CZ$3:CZ$500)+IF($C10="",0,SUMIF('DADOS BRUTOS'!$A$3:$A$500,$C10,'DADOS BRUTOS'!CZ$3:CZ$500)))</f>
        <v/>
      </c>
      <c r="GA10" s="123">
        <f>IF(OR(GA$4="",$B10=""),0,SUMIF('DADOS BRUTOS'!$A$3:$A$500,$B10,'DADOS BRUTOS'!DA$3:DA$500)+IF($C10="",0,SUMIF('DADOS BRUTOS'!$A$3:$A$500,$C10,'DADOS BRUTOS'!DA$3:DA$500)))</f>
        <v/>
      </c>
      <c r="GB10" s="123">
        <f>IF(OR(GB$4="",$B10=""),0,SUMIF('DADOS BRUTOS'!$A$3:$A$500,$B10,'DADOS BRUTOS'!DB$3:DB$500)+IF($C10="",0,SUMIF('DADOS BRUTOS'!$A$3:$A$500,$C10,'DADOS BRUTOS'!DB$3:DB$500)))</f>
        <v/>
      </c>
      <c r="GC10" s="123">
        <f>IF(OR(GC$4="",$B10=""),0,SUMIF('DADOS BRUTOS'!$A$3:$A$500,$B10,'DADOS BRUTOS'!DC$3:DC$500)+IF($C10="",0,SUMIF('DADOS BRUTOS'!$A$3:$A$500,$C10,'DADOS BRUTOS'!DC$3:DC$500)))</f>
        <v/>
      </c>
      <c r="GD10" s="123">
        <f>IF(OR(GD$4="",$B10=""),0,SUMIF('DADOS BRUTOS'!$A$3:$A$500,$B10,'DADOS BRUTOS'!DD$3:DD$500)+IF($C10="",0,SUMIF('DADOS BRUTOS'!$A$3:$A$500,$C10,'DADOS BRUTOS'!DD$3:DD$500)))</f>
        <v/>
      </c>
      <c r="GE10" s="123">
        <f>IF(OR(GE$4="",$B10=""),0,SUMIF('DADOS BRUTOS'!$A$3:$A$500,$B10,'DADOS BRUTOS'!DE$3:DE$500)+IF($C10="",0,SUMIF('DADOS BRUTOS'!$A$3:$A$500,$C10,'DADOS BRUTOS'!DE$3:DE$500)))</f>
        <v/>
      </c>
      <c r="GF10" s="123">
        <f>IF(OR(GF$4="",$B10=""),0,SUMIF('DADOS BRUTOS'!$A$3:$A$500,$B10,'DADOS BRUTOS'!DF$3:DF$500)+IF($C10="",0,SUMIF('DADOS BRUTOS'!$A$3:$A$500,$C10,'DADOS BRUTOS'!DF$3:DF$500)))</f>
        <v/>
      </c>
      <c r="GG10" s="123">
        <f>IF(OR(GG$4="",$B10=""),0,SUMIF('DADOS BRUTOS'!$A$3:$A$500,$B10,'DADOS BRUTOS'!DG$3:DG$500)+IF($C10="",0,SUMIF('DADOS BRUTOS'!$A$3:$A$500,$C10,'DADOS BRUTOS'!DG$3:DG$500)))</f>
        <v/>
      </c>
      <c r="GH10" s="123">
        <f>IF(OR(GH$4="",$B10=""),0,SUMIF('DADOS BRUTOS'!$A$3:$A$500,$B10,'DADOS BRUTOS'!DH$3:DH$500)+IF($C10="",0,SUMIF('DADOS BRUTOS'!$A$3:$A$500,$C10,'DADOS BRUTOS'!DH$3:DH$500)))</f>
        <v/>
      </c>
      <c r="GI10" s="123">
        <f>IF(OR(GI$4="",$B10=""),0,SUMIF('DADOS BRUTOS'!$A$3:$A$500,$B10,'DADOS BRUTOS'!DI$3:DI$500)+IF($C10="",0,SUMIF('DADOS BRUTOS'!$A$3:$A$500,$C10,'DADOS BRUTOS'!DI$3:DI$500)))</f>
        <v/>
      </c>
      <c r="GJ10" s="123">
        <f>IF(OR(GJ$4="",$B10=""),0,SUMIF('DADOS BRUTOS'!$A$3:$A$500,$B10,'DADOS BRUTOS'!DJ$3:DJ$500)+IF($C10="",0,SUMIF('DADOS BRUTOS'!$A$3:$A$500,$C10,'DADOS BRUTOS'!DJ$3:DJ$500)))</f>
        <v/>
      </c>
      <c r="GK10" s="123">
        <f>IF(OR(GK$4="",$B10=""),0,SUMIF('DADOS BRUTOS'!$A$3:$A$500,$B10,'DADOS BRUTOS'!DK$3:DK$500)+IF($C10="",0,SUMIF('DADOS BRUTOS'!$A$3:$A$500,$C10,'DADOS BRUTOS'!DK$3:DK$500)))</f>
        <v/>
      </c>
      <c r="GL10" s="123">
        <f>IF(OR(GL$4="",$B10=""),0,SUMIF('DADOS BRUTOS'!$A$3:$A$500,$B10,'DADOS BRUTOS'!DL$3:DL$500)+IF($C10="",0,SUMIF('DADOS BRUTOS'!$A$3:$A$500,$C10,'DADOS BRUTOS'!DL$3:DL$500)))</f>
        <v/>
      </c>
      <c r="GM10" s="123">
        <f>IF(OR(GM$4="",$B10=""),0,SUMIF('DADOS BRUTOS'!$A$3:$A$500,$B10,'DADOS BRUTOS'!DM$3:DM$500)+IF($C10="",0,SUMIF('DADOS BRUTOS'!$A$3:$A$500,$C10,'DADOS BRUTOS'!DM$3:DM$500)))</f>
        <v/>
      </c>
      <c r="GN10" s="123">
        <f>IF(OR(GN$4="",$B10=""),0,SUMIF('DADOS BRUTOS'!$A$3:$A$500,$B10,'DADOS BRUTOS'!DN$3:DN$500)+IF($C10="",0,SUMIF('DADOS BRUTOS'!$A$3:$A$500,$C10,'DADOS BRUTOS'!DN$3:DN$500)))</f>
        <v/>
      </c>
      <c r="GO10" s="123">
        <f>IF(OR(GO$4="",$B10=""),0,SUMIF('DADOS BRUTOS'!$A$3:$A$500,$B10,'DADOS BRUTOS'!DO$3:DO$500)+IF($C10="",0,SUMIF('DADOS BRUTOS'!$A$3:$A$500,$C10,'DADOS BRUTOS'!DO$3:DO$500)))</f>
        <v/>
      </c>
      <c r="GP10" s="123">
        <f>IF(OR(GP$4="",$B10=""),0,SUMIF('DADOS BRUTOS'!$A$3:$A$500,$B10,'DADOS BRUTOS'!DP$3:DP$500)+IF($C10="",0,SUMIF('DADOS BRUTOS'!$A$3:$A$500,$C10,'DADOS BRUTOS'!DP$3:DP$500)))</f>
        <v/>
      </c>
      <c r="GQ10" s="123">
        <f>IF(OR(GQ$4="",$B10=""),0,SUMIF('DADOS BRUTOS'!$A$3:$A$500,$B10,'DADOS BRUTOS'!DQ$3:DQ$500)+IF($C10="",0,SUMIF('DADOS BRUTOS'!$A$3:$A$500,$C10,'DADOS BRUTOS'!DQ$3:DQ$500)))</f>
        <v/>
      </c>
      <c r="GR10" s="123">
        <f>IF(OR(GR$4="",$B10=""),0,SUMIF('DADOS BRUTOS'!$A$3:$A$500,$B10,'DADOS BRUTOS'!DR$3:DR$500)+IF($C10="",0,SUMIF('DADOS BRUTOS'!$A$3:$A$500,$C10,'DADOS BRUTOS'!DR$3:DR$500)))</f>
        <v/>
      </c>
      <c r="GS10" s="123">
        <f>IF(OR(GS$4="",$B10=""),0,SUMIF('DADOS BRUTOS'!$A$3:$A$500,$B10,'DADOS BRUTOS'!DS$3:DS$500)+IF($C10="",0,SUMIF('DADOS BRUTOS'!$A$3:$A$500,$C10,'DADOS BRUTOS'!DS$3:DS$500)))</f>
        <v/>
      </c>
      <c r="GT10" s="123">
        <f>IF(OR(GT$4="",$B10=""),0,SUMIF('DADOS BRUTOS'!$A$3:$A$500,$B10,'DADOS BRUTOS'!DT$3:DT$500)+IF($C10="",0,SUMIF('DADOS BRUTOS'!$A$3:$A$500,$C10,'DADOS BRUTOS'!DT$3:DT$500)))</f>
        <v/>
      </c>
      <c r="GU10" s="123">
        <f>IF(OR(GU$4="",$B10=""),0,SUMIF('DADOS BRUTOS'!$A$3:$A$500,$B10,'DADOS BRUTOS'!DU$3:DU$500)+IF($C10="",0,SUMIF('DADOS BRUTOS'!$A$3:$A$500,$C10,'DADOS BRUTOS'!DU$3:DU$500)))</f>
        <v/>
      </c>
      <c r="GV10" s="123">
        <f>IF(OR(GV$4="",$B10=""),0,SUMIF('DADOS BRUTOS'!$A$3:$A$500,$B10,'DADOS BRUTOS'!DV$3:DV$500)+IF($C10="",0,SUMIF('DADOS BRUTOS'!$A$3:$A$500,$C10,'DADOS BRUTOS'!DV$3:DV$500)))</f>
        <v/>
      </c>
      <c r="GW10" s="123">
        <f>IF(OR(GW$4="",$B10=""),0,SUMIF('DADOS BRUTOS'!$A$3:$A$500,$B10,'DADOS BRUTOS'!DW$3:DW$500)+IF($C10="",0,SUMIF('DADOS BRUTOS'!$A$3:$A$500,$C10,'DADOS BRUTOS'!DW$3:DW$500)))</f>
        <v/>
      </c>
      <c r="GX10" s="123">
        <f>IF(OR(GX$4="",$B10=""),0,SUMIF('DADOS BRUTOS'!$A$3:$A$500,$B10,'DADOS BRUTOS'!DX$3:DX$500)+IF($C10="",0,SUMIF('DADOS BRUTOS'!$A$3:$A$500,$C10,'DADOS BRUTOS'!DX$3:DX$500)))</f>
        <v/>
      </c>
      <c r="GY10" s="123">
        <f>IF(OR(GY$4="",$B10=""),0,SUMIF('DADOS BRUTOS'!$A$3:$A$500,$B10,'DADOS BRUTOS'!DY$3:DY$500)+IF($C10="",0,SUMIF('DADOS BRUTOS'!$A$3:$A$500,$C10,'DADOS BRUTOS'!DY$3:DY$500)))</f>
        <v/>
      </c>
      <c r="GZ10" s="123">
        <f>IF(OR(GZ$4="",$B10=""),0,SUMIF('DADOS BRUTOS'!$A$3:$A$500,$B10,'DADOS BRUTOS'!DZ$3:DZ$500)+IF($C10="",0,SUMIF('DADOS BRUTOS'!$A$3:$A$500,$C10,'DADOS BRUTOS'!DZ$3:DZ$500)))</f>
        <v/>
      </c>
      <c r="HA10" s="123">
        <f>IF(OR(HA$4="",$B10=""),0,SUMIF('DADOS BRUTOS'!$A$3:$A$500,$B10,'DADOS BRUTOS'!EA$3:EA$500)+IF($C10="",0,SUMIF('DADOS BRUTOS'!$A$3:$A$500,$C10,'DADOS BRUTOS'!EA$3:EA$500)))</f>
        <v/>
      </c>
      <c r="HB10" s="123">
        <f>IF(OR(HB$4="",$B10=""),0,SUMIF('DADOS BRUTOS'!$A$3:$A$500,$B10,'DADOS BRUTOS'!EB$3:EB$500)+IF($C10="",0,SUMIF('DADOS BRUTOS'!$A$3:$A$500,$C10,'DADOS BRUTOS'!EB$3:EB$500)))</f>
        <v/>
      </c>
      <c r="HC10" s="123">
        <f>IF(OR(HC$4="",$B10=""),0,SUMIF('DADOS BRUTOS'!$A$3:$A$500,$B10,'DADOS BRUTOS'!EC$3:EC$500)+IF($C10="",0,SUMIF('DADOS BRUTOS'!$A$3:$A$500,$C10,'DADOS BRUTOS'!EC$3:EC$500)))</f>
        <v/>
      </c>
      <c r="HD10" s="123">
        <f>IF(OR(HD$4="",$B10=""),0,SUMIF('DADOS BRUTOS'!$A$3:$A$500,$B10,'DADOS BRUTOS'!ED$3:ED$500)+IF($C10="",0,SUMIF('DADOS BRUTOS'!$A$3:$A$500,$C10,'DADOS BRUTOS'!ED$3:ED$500)))</f>
        <v/>
      </c>
      <c r="HE10" s="123">
        <f>IF(OR(HE$4="",$B10=""),0,SUMIF('DADOS BRUTOS'!$A$3:$A$500,$B10,'DADOS BRUTOS'!EE$3:EE$500)+IF($C10="",0,SUMIF('DADOS BRUTOS'!$A$3:$A$500,$C10,'DADOS BRUTOS'!EE$3:EE$500)))</f>
        <v/>
      </c>
      <c r="HF10" s="123">
        <f>IF(OR(HF$4="",$B10=""),0,SUMIF('DADOS BRUTOS'!$A$3:$A$500,$B10,'DADOS BRUTOS'!EF$3:EF$500)+IF($C10="",0,SUMIF('DADOS BRUTOS'!$A$3:$A$500,$C10,'DADOS BRUTOS'!EF$3:EF$500)))</f>
        <v/>
      </c>
      <c r="HG10" s="123">
        <f>IF(OR(HG$4="",$B10=""),0,SUMIF('DADOS BRUTOS'!$A$3:$A$500,$B10,'DADOS BRUTOS'!EG$3:EG$500)+IF($C10="",0,SUMIF('DADOS BRUTOS'!$A$3:$A$500,$C10,'DADOS BRUTOS'!EG$3:EG$500)))</f>
        <v/>
      </c>
      <c r="HH10" s="123">
        <f>IF(OR(HH$4="",$B10=""),0,SUMIF('DADOS BRUTOS'!$A$3:$A$500,$B10,'DADOS BRUTOS'!EH$3:EH$500)+IF($C10="",0,SUMIF('DADOS BRUTOS'!$A$3:$A$500,$C10,'DADOS BRUTOS'!EH$3:EH$500)))</f>
        <v/>
      </c>
      <c r="HI10" s="123">
        <f>IF(OR(HI$4="",$B10=""),0,SUMIF('DADOS BRUTOS'!$A$3:$A$500,$B10,'DADOS BRUTOS'!EI$3:EI$500)+IF($C10="",0,SUMIF('DADOS BRUTOS'!$A$3:$A$500,$C10,'DADOS BRUTOS'!EI$3:EI$500)))</f>
        <v/>
      </c>
      <c r="HJ10" s="123">
        <f>IF(OR(HJ$4="",$B10=""),0,SUMIF('DADOS BRUTOS'!$A$3:$A$500,$B10,'DADOS BRUTOS'!EJ$3:EJ$500)+IF($C10="",0,SUMIF('DADOS BRUTOS'!$A$3:$A$500,$C10,'DADOS BRUTOS'!EJ$3:EJ$500)))</f>
        <v/>
      </c>
      <c r="HK10" s="123">
        <f>IF(OR(HK$4="",$B10=""),0,SUMIF('DADOS BRUTOS'!$A$3:$A$500,$B10,'DADOS BRUTOS'!EK$3:EK$500)+IF($C10="",0,SUMIF('DADOS BRUTOS'!$A$3:$A$500,$C10,'DADOS BRUTOS'!EK$3:EK$500)))</f>
        <v/>
      </c>
      <c r="HL10" s="123">
        <f>IF(OR(HL$4="",$B10=""),0,SUMIF('DADOS BRUTOS'!$A$3:$A$500,$B10,'DADOS BRUTOS'!EL$3:EL$500)+IF($C10="",0,SUMIF('DADOS BRUTOS'!$A$3:$A$500,$C10,'DADOS BRUTOS'!EL$3:EL$500)))</f>
        <v/>
      </c>
      <c r="HM10" s="123">
        <f>IF(OR(HM$4="",$B10=""),0,SUMIF('DADOS BRUTOS'!$A$3:$A$500,$B10,'DADOS BRUTOS'!EM$3:EM$500)+IF($C10="",0,SUMIF('DADOS BRUTOS'!$A$3:$A$500,$C10,'DADOS BRUTOS'!EM$3:EM$500)))</f>
        <v/>
      </c>
      <c r="HN10" s="123">
        <f>IF(OR(HN$4="",$B10=""),0,SUMIF('DADOS BRUTOS'!$A$3:$A$500,$B10,'DADOS BRUTOS'!EN$3:EN$500)+IF($C10="",0,SUMIF('DADOS BRUTOS'!$A$3:$A$500,$C10,'DADOS BRUTOS'!EN$3:EN$500)))</f>
        <v/>
      </c>
      <c r="HO10" s="123">
        <f>IF(OR(HO$4="",$B10=""),0,SUMIF('DADOS BRUTOS'!$A$3:$A$500,$B10,'DADOS BRUTOS'!EO$3:EO$500)+IF($C10="",0,SUMIF('DADOS BRUTOS'!$A$3:$A$500,$C10,'DADOS BRUTOS'!EO$3:EO$500)))</f>
        <v/>
      </c>
      <c r="HP10" s="123">
        <f>IF(OR(HP$4="",$B10=""),0,SUMIF('DADOS BRUTOS'!$A$3:$A$500,$B10,'DADOS BRUTOS'!EP$3:EP$500)+IF($C10="",0,SUMIF('DADOS BRUTOS'!$A$3:$A$500,$C10,'DADOS BRUTOS'!EP$3:EP$500)))</f>
        <v/>
      </c>
      <c r="HQ10" s="123">
        <f>IF(OR(HQ$4="",$B10=""),0,SUMIF('DADOS BRUTOS'!$A$3:$A$500,$B10,'DADOS BRUTOS'!EQ$3:EQ$500)+IF($C10="",0,SUMIF('DADOS BRUTOS'!$A$3:$A$500,$C10,'DADOS BRUTOS'!EQ$3:EQ$500)))</f>
        <v/>
      </c>
      <c r="HR10" s="123">
        <f>IF(OR(HR$4="",$B10=""),0,SUMIF('DADOS BRUTOS'!$A$3:$A$500,$B10,'DADOS BRUTOS'!ER$3:ER$500)+IF($C10="",0,SUMIF('DADOS BRUTOS'!$A$3:$A$500,$C10,'DADOS BRUTOS'!ER$3:ER$500)))</f>
        <v/>
      </c>
      <c r="HS10" s="123">
        <f>IF(OR(HS$4="",$B10=""),0,SUMIF('DADOS BRUTOS'!$A$3:$A$500,$B10,'DADOS BRUTOS'!ES$3:ES$500)+IF($C10="",0,SUMIF('DADOS BRUTOS'!$A$3:$A$500,$C10,'DADOS BRUTOS'!ES$3:ES$500)))</f>
        <v/>
      </c>
      <c r="HT10" s="123">
        <f>IF(OR(HT$4="",$B10=""),0,SUMIF('DADOS BRUTOS'!$A$3:$A$500,$B10,'DADOS BRUTOS'!ET$3:ET$500)+IF($C10="",0,SUMIF('DADOS BRUTOS'!$A$3:$A$500,$C10,'DADOS BRUTOS'!ET$3:ET$500)))</f>
        <v/>
      </c>
      <c r="HU10" s="123">
        <f>IF(OR(HU$4="",$B10=""),0,SUMIF('DADOS BRUTOS'!$A$3:$A$500,$B10,'DADOS BRUTOS'!EU$3:EU$500)+IF($C10="",0,SUMIF('DADOS BRUTOS'!$A$3:$A$500,$C10,'DADOS BRUTOS'!EU$3:EU$500)))</f>
        <v/>
      </c>
      <c r="HV10" s="123">
        <f>IF(OR(HV$4="",$B10=""),0,SUMIF('DADOS BRUTOS'!$A$3:$A$500,$B10,'DADOS BRUTOS'!EV$3:EV$500)+IF($C10="",0,SUMIF('DADOS BRUTOS'!$A$3:$A$500,$C10,'DADOS BRUTOS'!EV$3:EV$500)))</f>
        <v/>
      </c>
      <c r="HW10" s="123">
        <f>IF(OR(HW$4="",$B10=""),0,SUMIF('DADOS BRUTOS'!$A$3:$A$500,$B10,'DADOS BRUTOS'!EW$3:EW$500)+IF($C10="",0,SUMIF('DADOS BRUTOS'!$A$3:$A$500,$C10,'DADOS BRUTOS'!EW$3:EW$500)))</f>
        <v/>
      </c>
      <c r="HX10" s="123">
        <f>IF(OR(HX$4="",$B10=""),0,SUMIF('DADOS BRUTOS'!$A$3:$A$500,$B10,'DADOS BRUTOS'!EX$3:EX$500)+IF($C10="",0,SUMIF('DADOS BRUTOS'!$A$3:$A$500,$C10,'DADOS BRUTOS'!EX$3:EX$500)))</f>
        <v/>
      </c>
      <c r="HY10" s="123">
        <f>IF(OR(HY$4="",$B10=""),0,SUMIF('DADOS BRUTOS'!$A$3:$A$500,$B10,'DADOS BRUTOS'!EY$3:EY$500)+IF($C10="",0,SUMIF('DADOS BRUTOS'!$A$3:$A$500,$C10,'DADOS BRUTOS'!EY$3:EY$500)))</f>
        <v/>
      </c>
      <c r="HZ10" s="123">
        <f>IF(OR(HZ$4="",$B10=""),0,SUMIF('DADOS BRUTOS'!$A$3:$A$500,$B10,'DADOS BRUTOS'!EZ$3:EZ$500)+IF($C10="",0,SUMIF('DADOS BRUTOS'!$A$3:$A$500,$C10,'DADOS BRUTOS'!EZ$3:EZ$500)))</f>
        <v/>
      </c>
      <c r="IA10" s="123">
        <f>IF(OR(IA$4="",$B10=""),0,SUMIF('DADOS BRUTOS'!$A$3:$A$500,$B10,'DADOS BRUTOS'!FA$3:FA$500)+IF($C10="",0,SUMIF('DADOS BRUTOS'!$A$3:$A$500,$C10,'DADOS BRUTOS'!FA$3:FA$500)))</f>
        <v/>
      </c>
      <c r="IB10" s="123">
        <f>IF(OR(IB$4="",$B10=""),0,SUMIF('DADOS BRUTOS'!$A$3:$A$500,$B10,'DADOS BRUTOS'!FB$3:FB$500)+IF($C10="",0,SUMIF('DADOS BRUTOS'!$A$3:$A$500,$C10,'DADOS BRUTOS'!FB$3:FB$500)))</f>
        <v/>
      </c>
      <c r="IC10" s="123">
        <f>IF(OR(IC$4="",$B10=""),0,SUMIF('DADOS BRUTOS'!$A$3:$A$500,$B10,'DADOS BRUTOS'!FC$3:FC$500)+IF($C10="",0,SUMIF('DADOS BRUTOS'!$A$3:$A$500,$C10,'DADOS BRUTOS'!FC$3:FC$500)))</f>
        <v/>
      </c>
      <c r="ID10" s="123">
        <f>IF(OR(ID$4="",$B10=""),0,SUMIF('DADOS BRUTOS'!$A$3:$A$500,$B10,'DADOS BRUTOS'!FD$3:FD$500)+IF($C10="",0,SUMIF('DADOS BRUTOS'!$A$3:$A$500,$C10,'DADOS BRUTOS'!FD$3:FD$500)))</f>
        <v/>
      </c>
      <c r="IE10" s="123">
        <f>IF(OR(IE$4="",$B10=""),0,SUMIF('DADOS BRUTOS'!$A$3:$A$500,$B10,'DADOS BRUTOS'!FE$3:FE$500)+IF($C10="",0,SUMIF('DADOS BRUTOS'!$A$3:$A$500,$C10,'DADOS BRUTOS'!FE$3:FE$500)))</f>
        <v/>
      </c>
      <c r="IF10" s="123">
        <f>IF(OR(IF$4="",$B10=""),0,SUMIF('DADOS BRUTOS'!$A$3:$A$500,$B10,'DADOS BRUTOS'!FF$3:FF$500)+IF($C10="",0,SUMIF('DADOS BRUTOS'!$A$3:$A$500,$C10,'DADOS BRUTOS'!FF$3:FF$500)))</f>
        <v/>
      </c>
      <c r="IG10" s="123">
        <f>IF(OR(IG$4="",$B10=""),0,SUMIF('DADOS BRUTOS'!$A$3:$A$500,$B10,'DADOS BRUTOS'!FG$3:FG$500)+IF($C10="",0,SUMIF('DADOS BRUTOS'!$A$3:$A$500,$C10,'DADOS BRUTOS'!FG$3:FG$500)))</f>
        <v/>
      </c>
      <c r="IH10" s="123">
        <f>IF(OR(IH$4="",$B10=""),0,SUMIF('DADOS BRUTOS'!$A$3:$A$500,$B10,'DADOS BRUTOS'!FH$3:FH$500)+IF($C10="",0,SUMIF('DADOS BRUTOS'!$A$3:$A$500,$C10,'DADOS BRUTOS'!FH$3:FH$500)))</f>
        <v/>
      </c>
      <c r="II10" s="123">
        <f>IF(OR(II$4="",$B10=""),0,SUMIF('DADOS BRUTOS'!$A$3:$A$500,$B10,'DADOS BRUTOS'!FI$3:FI$500)+IF($C10="",0,SUMIF('DADOS BRUTOS'!$A$3:$A$500,$C10,'DADOS BRUTOS'!FI$3:FI$500)))</f>
        <v/>
      </c>
      <c r="IJ10" s="123">
        <f>IF(OR(IJ$4="",$B10=""),0,SUMIF('DADOS BRUTOS'!$A$3:$A$500,$B10,'DADOS BRUTOS'!FJ$3:FJ$500)+IF($C10="",0,SUMIF('DADOS BRUTOS'!$A$3:$A$500,$C10,'DADOS BRUTOS'!FJ$3:FJ$500)))</f>
        <v/>
      </c>
      <c r="IK10" s="123">
        <f>IF(OR(IK$4="",$B10=""),0,SUMIF('DADOS BRUTOS'!$A$3:$A$500,$B10,'DADOS BRUTOS'!FK$3:FK$500)+IF($C10="",0,SUMIF('DADOS BRUTOS'!$A$3:$A$500,$C10,'DADOS BRUTOS'!FK$3:FK$500)))</f>
        <v/>
      </c>
      <c r="IL10" s="123">
        <f>IF(OR(IL$4="",$B10=""),0,SUMIF('DADOS BRUTOS'!$A$3:$A$500,$B10,'DADOS BRUTOS'!FL$3:FL$500)+IF($C10="",0,SUMIF('DADOS BRUTOS'!$A$3:$A$500,$C10,'DADOS BRUTOS'!FL$3:FL$500)))</f>
        <v/>
      </c>
      <c r="IM10" s="123">
        <f>IF(OR(IM$4="",$B10=""),0,SUMIF('DADOS BRUTOS'!$A$3:$A$500,$B10,'DADOS BRUTOS'!FM$3:FM$500)+IF($C10="",0,SUMIF('DADOS BRUTOS'!$A$3:$A$500,$C10,'DADOS BRUTOS'!FM$3:FM$500)))</f>
        <v/>
      </c>
      <c r="IN10" s="123">
        <f>IF(OR(IN$4="",$B10=""),0,SUMIF('DADOS BRUTOS'!$A$3:$A$500,$B10,'DADOS BRUTOS'!FN$3:FN$500)+IF($C10="",0,SUMIF('DADOS BRUTOS'!$A$3:$A$500,$C10,'DADOS BRUTOS'!FN$3:FN$500)))</f>
        <v/>
      </c>
      <c r="IO10" s="123">
        <f>IF(OR(IO$4="",$B10=""),0,SUMIF('DADOS BRUTOS'!$A$3:$A$500,$B10,'DADOS BRUTOS'!FO$3:FO$500)+IF($C10="",0,SUMIF('DADOS BRUTOS'!$A$3:$A$500,$C10,'DADOS BRUTOS'!FO$3:FO$500)))</f>
        <v/>
      </c>
      <c r="IP10" s="123">
        <f>IF(OR(IP$4="",$B10=""),0,SUMIF('DADOS BRUTOS'!$A$3:$A$500,$B10,'DADOS BRUTOS'!FP$3:FP$500)+IF($C10="",0,SUMIF('DADOS BRUTOS'!$A$3:$A$500,$C10,'DADOS BRUTOS'!FP$3:FP$500)))</f>
        <v/>
      </c>
      <c r="IQ10" s="123">
        <f>IF(OR(IQ$4="",$B10=""),0,SUMIF('DADOS BRUTOS'!$A$3:$A$500,$B10,'DADOS BRUTOS'!FQ$3:FQ$500)+IF($C10="",0,SUMIF('DADOS BRUTOS'!$A$3:$A$500,$C10,'DADOS BRUTOS'!FQ$3:FQ$500)))</f>
        <v/>
      </c>
      <c r="IR10" s="123">
        <f>IF(OR(IR$4="",$B10=""),0,SUMIF('DADOS BRUTOS'!$A$3:$A$500,$B10,'DADOS BRUTOS'!FR$3:FR$500)+IF($C10="",0,SUMIF('DADOS BRUTOS'!$A$3:$A$500,$C10,'DADOS BRUTOS'!FR$3:FR$500)))</f>
        <v/>
      </c>
      <c r="IS10" s="123">
        <f>IF(OR(IS$4="",$B10=""),0,SUMIF('DADOS BRUTOS'!$A$3:$A$500,$B10,'DADOS BRUTOS'!FS$3:FS$500)+IF($C10="",0,SUMIF('DADOS BRUTOS'!$A$3:$A$500,$C10,'DADOS BRUTOS'!FS$3:FS$500)))</f>
        <v/>
      </c>
      <c r="IT10" s="123">
        <f>IF(OR(IT$4="",$B10=""),0,SUMIF('DADOS BRUTOS'!$A$3:$A$500,$B10,'DADOS BRUTOS'!FT$3:FT$500)+IF($C10="",0,SUMIF('DADOS BRUTOS'!$A$3:$A$500,$C10,'DADOS BRUTOS'!FT$3:FT$500)))</f>
        <v/>
      </c>
      <c r="IU10" s="123">
        <f>IF(OR(IU$4="",$B10=""),0,SUMIF('DADOS BRUTOS'!$A$3:$A$500,$B10,'DADOS BRUTOS'!FU$3:FU$500)+IF($C10="",0,SUMIF('DADOS BRUTOS'!$A$3:$A$500,$C10,'DADOS BRUTOS'!FU$3:FU$500)))</f>
        <v/>
      </c>
      <c r="IV10" s="123">
        <f>IF(OR(IV$4="",$B10=""),0,SUMIF('DADOS BRUTOS'!$A$3:$A$500,$B10,'DADOS BRUTOS'!FV$3:FV$500)+IF($C10="",0,SUMIF('DADOS BRUTOS'!$A$3:$A$500,$C10,'DADOS BRUTOS'!FV$3:FV$500)))</f>
        <v/>
      </c>
      <c r="IW10" s="123">
        <f>IF(OR(IW$4="",$B10=""),0,SUMIF('DADOS BRUTOS'!$A$3:$A$500,$B10,'DADOS BRUTOS'!FW$3:FW$500)+IF($C10="",0,SUMIF('DADOS BRUTOS'!$A$3:$A$500,$C10,'DADOS BRUTOS'!FW$3:FW$500)))</f>
        <v/>
      </c>
      <c r="IX10" s="123">
        <f>IF(OR(IX$4="",$B10=""),0,SUMIF('DADOS BRUTOS'!$A$3:$A$500,$B10,'DADOS BRUTOS'!FX$3:FX$500)+IF($C10="",0,SUMIF('DADOS BRUTOS'!$A$3:$A$500,$C10,'DADOS BRUTOS'!FX$3:FX$500)))</f>
        <v/>
      </c>
      <c r="IY10" s="123">
        <f>IF(OR(IY$4="",$B10=""),0,SUMIF('DADOS BRUTOS'!$A$3:$A$500,$B10,'DADOS BRUTOS'!FY$3:FY$500)+IF($C10="",0,SUMIF('DADOS BRUTOS'!$A$3:$A$500,$C10,'DADOS BRUTOS'!FY$3:FY$500)))</f>
        <v/>
      </c>
      <c r="IZ10" s="123">
        <f>IF(OR(IZ$4="",$B10=""),0,SUMIF('DADOS BRUTOS'!$A$3:$A$500,$B10,'DADOS BRUTOS'!FZ$3:FZ$500)+IF($C10="",0,SUMIF('DADOS BRUTOS'!$A$3:$A$500,$C10,'DADOS BRUTOS'!FZ$3:FZ$500)))</f>
        <v/>
      </c>
      <c r="JA10" s="123">
        <f>IF(OR(JA$4="",$B10=""),0,SUMIF('DADOS BRUTOS'!$A$3:$A$500,$B10,'DADOS BRUTOS'!GA$3:GA$500)+IF($C10="",0,SUMIF('DADOS BRUTOS'!$A$3:$A$500,$C10,'DADOS BRUTOS'!GA$3:GA$500)))</f>
        <v/>
      </c>
      <c r="JB10" s="123">
        <f>IF(OR(JB$4="",$B10=""),0,SUMIF('DADOS BRUTOS'!$A$3:$A$500,$B10,'DADOS BRUTOS'!GB$3:GB$500)+IF($C10="",0,SUMIF('DADOS BRUTOS'!$A$3:$A$500,$C10,'DADOS BRUTOS'!GB$3:GB$500)))</f>
        <v/>
      </c>
      <c r="JC10" s="123">
        <f>IF(OR(JC$4="",$B10=""),0,SUMIF('DADOS BRUTOS'!$A$3:$A$500,$B10,'DADOS BRUTOS'!GC$3:GC$500)+IF($C10="",0,SUMIF('DADOS BRUTOS'!$A$3:$A$500,$C10,'DADOS BRUTOS'!GC$3:GC$500)))</f>
        <v/>
      </c>
      <c r="JD10" s="123">
        <f>IF(OR(JD$4="",$B10=""),0,SUMIF('DADOS BRUTOS'!$A$3:$A$500,$B10,'DADOS BRUTOS'!GD$3:GD$500)+IF($C10="",0,SUMIF('DADOS BRUTOS'!$A$3:$A$500,$C10,'DADOS BRUTOS'!GD$3:GD$500)))</f>
        <v/>
      </c>
      <c r="JE10" s="123">
        <f>IF(OR(JE$4="",$B10=""),0,SUMIF('DADOS BRUTOS'!$A$3:$A$500,$B10,'DADOS BRUTOS'!GE$3:GE$500)+IF($C10="",0,SUMIF('DADOS BRUTOS'!$A$3:$A$500,$C10,'DADOS BRUTOS'!GE$3:GE$500)))</f>
        <v/>
      </c>
      <c r="JF10" s="123">
        <f>IF(OR(JF$4="",$B10=""),0,SUMIF('DADOS BRUTOS'!$A$3:$A$500,$B10,'DADOS BRUTOS'!GF$3:GF$500)+IF($C10="",0,SUMIF('DADOS BRUTOS'!$A$3:$A$500,$C10,'DADOS BRUTOS'!GF$3:GF$500)))</f>
        <v/>
      </c>
      <c r="JG10" s="123">
        <f>IF(OR(JG$4="",$B10=""),0,SUMIF('DADOS BRUTOS'!$A$3:$A$500,$B10,'DADOS BRUTOS'!GG$3:GG$500)+IF($C10="",0,SUMIF('DADOS BRUTOS'!$A$3:$A$500,$C10,'DADOS BRUTOS'!GG$3:GG$500)))</f>
        <v/>
      </c>
      <c r="JH10" s="123">
        <f>IF(OR(JH$4="",$B10=""),0,SUMIF('DADOS BRUTOS'!$A$3:$A$500,$B10,'DADOS BRUTOS'!GH$3:GH$500)+IF($C10="",0,SUMIF('DADOS BRUTOS'!$A$3:$A$500,$C10,'DADOS BRUTOS'!GH$3:GH$500)))</f>
        <v/>
      </c>
      <c r="JI10" s="123">
        <f>IF(OR(JI$4="",$B10=""),0,SUMIF('DADOS BRUTOS'!$A$3:$A$500,$B10,'DADOS BRUTOS'!GI$3:GI$500)+IF($C10="",0,SUMIF('DADOS BRUTOS'!$A$3:$A$500,$C10,'DADOS BRUTOS'!GI$3:GI$500)))</f>
        <v/>
      </c>
      <c r="JJ10" s="123">
        <f>IF(OR(JJ$4="",$B10=""),0,SUMIF('DADOS BRUTOS'!$A$3:$A$500,$B10,'DADOS BRUTOS'!GJ$3:GJ$500)+IF($C10="",0,SUMIF('DADOS BRUTOS'!$A$3:$A$500,$C10,'DADOS BRUTOS'!GJ$3:GJ$500)))</f>
        <v/>
      </c>
      <c r="JK10" s="123">
        <f>IF(OR(JK$4="",$B10=""),0,SUMIF('DADOS BRUTOS'!$A$3:$A$500,$B10,'DADOS BRUTOS'!GK$3:GK$500)+IF($C10="",0,SUMIF('DADOS BRUTOS'!$A$3:$A$500,$C10,'DADOS BRUTOS'!GK$3:GK$500)))</f>
        <v/>
      </c>
      <c r="JL10" s="123">
        <f>IF(OR(JL$4="",$B10=""),0,SUMIF('DADOS BRUTOS'!$A$3:$A$500,$B10,'DADOS BRUTOS'!GL$3:GL$500)+IF($C10="",0,SUMIF('DADOS BRUTOS'!$A$3:$A$500,$C10,'DADOS BRUTOS'!GL$3:GL$500)))</f>
        <v/>
      </c>
      <c r="JM10" s="123">
        <f>IF(OR(JM$4="",$B10=""),0,SUMIF('DADOS BRUTOS'!$A$3:$A$500,$B10,'DADOS BRUTOS'!GM$3:GM$500)+IF($C10="",0,SUMIF('DADOS BRUTOS'!$A$3:$A$500,$C10,'DADOS BRUTOS'!GM$3:GM$500)))</f>
        <v/>
      </c>
      <c r="JN10" s="123">
        <f>IF(OR(JN$4="",$B10=""),0,SUMIF('DADOS BRUTOS'!$A$3:$A$500,$B10,'DADOS BRUTOS'!GN$3:GN$500)+IF($C10="",0,SUMIF('DADOS BRUTOS'!$A$3:$A$500,$C10,'DADOS BRUTOS'!GN$3:GN$500)))</f>
        <v/>
      </c>
      <c r="JO10" s="123">
        <f>IF(OR(JO$4="",$B10=""),0,SUMIF('DADOS BRUTOS'!$A$3:$A$500,$B10,'DADOS BRUTOS'!GO$3:GO$500)+IF($C10="",0,SUMIF('DADOS BRUTOS'!$A$3:$A$500,$C10,'DADOS BRUTOS'!GO$3:GO$500)))</f>
        <v/>
      </c>
      <c r="JP10" s="123">
        <f>IF(OR(JP$4="",$B10=""),0,SUMIF('DADOS BRUTOS'!$A$3:$A$500,$B10,'DADOS BRUTOS'!GP$3:GP$500)+IF($C10="",0,SUMIF('DADOS BRUTOS'!$A$3:$A$500,$C10,'DADOS BRUTOS'!GP$3:GP$500)))</f>
        <v/>
      </c>
      <c r="JQ10" s="123">
        <f>IF(OR(JQ$4="",$B10=""),0,SUMIF('DADOS BRUTOS'!$A$3:$A$500,$B10,'DADOS BRUTOS'!GQ$3:GQ$500)+IF($C10="",0,SUMIF('DADOS BRUTOS'!$A$3:$A$500,$C10,'DADOS BRUTOS'!GQ$3:GQ$500)))</f>
        <v/>
      </c>
      <c r="JR10" s="123">
        <f>IF(OR(JR$4="",$B10=""),0,SUMIF('DADOS BRUTOS'!$A$3:$A$500,$B10,'DADOS BRUTOS'!GR$3:GR$500)+IF($C10="",0,SUMIF('DADOS BRUTOS'!$A$3:$A$500,$C10,'DADOS BRUTOS'!GR$3:GR$500)))</f>
        <v/>
      </c>
      <c r="JS10" s="123">
        <f>IF(OR(JS$4="",$B10=""),0,SUMIF('DADOS BRUTOS'!$A$3:$A$500,$B10,'DADOS BRUTOS'!GS$3:GS$500)+IF($C10="",0,SUMIF('DADOS BRUTOS'!$A$3:$A$500,$C10,'DADOS BRUTOS'!GS$3:GS$500)))</f>
        <v/>
      </c>
    </row>
    <row r="11">
      <c r="A11" s="61">
        <f>'VALOR POR PL'!D17</f>
        <v/>
      </c>
      <c r="B11" s="60" t="inlineStr">
        <is>
          <t>DIVERSOS</t>
        </is>
      </c>
      <c r="C11" s="60" t="inlineStr">
        <is>
          <t>SERVIÇOS TERCEIRIZADOS</t>
        </is>
      </c>
      <c r="D11" s="55">
        <f>SUMIF($CB$4:$JS$4,"&lt;="&amp;D$4,$CB11:$JS11)</f>
        <v/>
      </c>
      <c r="E11" s="55">
        <f>SUMIF($CB$4:$JS$4,E$4,$CB11:$JS11)</f>
        <v/>
      </c>
      <c r="F11" s="55">
        <f>SUMIF($CB$4:$JS$4,F$4,$CB11:$JS11)</f>
        <v/>
      </c>
      <c r="G11" s="55">
        <f>SUMIF($CB$4:$JS$4,G$4,$CB11:$JS11)</f>
        <v/>
      </c>
      <c r="H11" s="55">
        <f>SUMIF($CB$4:$JS$4,H$4,$CB11:$JS11)</f>
        <v/>
      </c>
      <c r="I11" s="55">
        <f>SUMIF($CB$4:$JS$4,I$4,$CB11:$JS11)</f>
        <v/>
      </c>
      <c r="J11" s="55">
        <f>SUMIF($CB$4:$JS$4,J$4,$CB11:$JS11)</f>
        <v/>
      </c>
      <c r="K11" s="55">
        <f>SUMIF($CB$4:$JS$4,K$4,$CB11:$JS11)</f>
        <v/>
      </c>
      <c r="L11" s="55">
        <f>SUMIF($CB$4:$JS$4,L$4,$CB11:$JS11)</f>
        <v/>
      </c>
      <c r="M11" s="55">
        <f>SUMIF($CB$4:$JS$4,M$4,$CB11:$JS11)</f>
        <v/>
      </c>
      <c r="N11" s="55">
        <f>SUMIF($CB$4:$JS$4,N$4,$CB11:$JS11)</f>
        <v/>
      </c>
      <c r="O11" s="55">
        <f>SUMIF($CB$4:$JS$4,O$4,$CB11:$JS11)</f>
        <v/>
      </c>
      <c r="P11" s="55">
        <f>SUMIF($CB$4:$JS$4,P$4,$CB11:$JS11)</f>
        <v/>
      </c>
      <c r="Q11" s="55">
        <f>SUMIF($CB$4:$JS$4,Q$4,$CB11:$JS11)</f>
        <v/>
      </c>
      <c r="R11" s="55">
        <f>SUMIF($CB$4:$JS$4,R$4,$CB11:$JS11)</f>
        <v/>
      </c>
      <c r="S11" s="55">
        <f>SUMIF($CB$4:$JS$4,S$4,$CB11:$JS11)</f>
        <v/>
      </c>
      <c r="T11" s="55">
        <f>SUMIF($CB$4:$JS$4,T$4,$CB11:$JS11)</f>
        <v/>
      </c>
      <c r="U11" s="55">
        <f>SUMIF($CB$4:$JS$4,U$4,$CB11:$JS11)</f>
        <v/>
      </c>
      <c r="V11" s="55">
        <f>SUMIF($CB$4:$JS$4,V$4,$CB11:$JS11)</f>
        <v/>
      </c>
      <c r="W11" s="55">
        <f>SUMIF($CB$4:$JS$4,W$4,$CB11:$JS11)</f>
        <v/>
      </c>
      <c r="X11" s="55">
        <f>SUMIF($CB$4:$JS$4,X$4,$CB11:$JS11)</f>
        <v/>
      </c>
      <c r="Y11" s="55">
        <f>SUMIF($CB$4:$JS$4,Y$4,$CB11:$JS11)</f>
        <v/>
      </c>
      <c r="Z11" s="55">
        <f>SUMIF($CB$4:$JS$4,Z$4,$CB11:$JS11)</f>
        <v/>
      </c>
      <c r="AA11" s="55">
        <f>SUMIF($CB$4:$JS$4,AA$4,$CB11:$JS11)</f>
        <v/>
      </c>
      <c r="AB11" s="55">
        <f>SUMIF($CB$4:$JS$4,AB$4,$CB11:$JS11)</f>
        <v/>
      </c>
      <c r="AC11" s="55">
        <f>SUMIF($CB$4:$JS$4,AC$4,$CB11:$JS11)</f>
        <v/>
      </c>
      <c r="AD11" s="55">
        <f>SUMIF($CB$4:$JS$4,AD$4,$CB11:$JS11)</f>
        <v/>
      </c>
      <c r="AE11" s="55">
        <f>SUMIF($CB$4:$JS$4,AE$4,$CB11:$JS11)</f>
        <v/>
      </c>
      <c r="AF11" s="55">
        <f>SUMIF($CB$4:$JS$4,AF$4,$CB11:$JS11)</f>
        <v/>
      </c>
      <c r="AG11" s="55">
        <f>SUMIF($CB$4:$JS$4,AG$4,$CB11:$JS11)</f>
        <v/>
      </c>
      <c r="AH11" s="55">
        <f>SUMIF($CB$4:$JS$4,AH$4,$CB11:$JS11)</f>
        <v/>
      </c>
      <c r="AI11" s="55">
        <f>SUMIF($CB$4:$JS$4,AI$4,$CB11:$JS11)</f>
        <v/>
      </c>
      <c r="AJ11" s="55">
        <f>SUMIF($CB$4:$JS$4,AJ$4,$CB11:$JS11)</f>
        <v/>
      </c>
      <c r="AK11" s="55">
        <f>SUMIF($CB$4:$JS$4,AK$4,$CB11:$JS11)</f>
        <v/>
      </c>
      <c r="AL11" s="55">
        <f>SUMIF($CB$4:$JS$4,AL$4,$CB11:$JS11)</f>
        <v/>
      </c>
      <c r="AM11" s="55">
        <f>SUMIF($CB$4:$JS$4,AM$4,$CB11:$JS11)</f>
        <v/>
      </c>
      <c r="AN11" s="55">
        <f>SUMIF($CB$4:$JS$4,AN$4,$CB11:$JS11)</f>
        <v/>
      </c>
      <c r="AO11" s="55">
        <f>SUMIF($CB$4:$JS$4,AO$4,$CB11:$JS11)</f>
        <v/>
      </c>
      <c r="AP11" s="55">
        <f>SUMIF($CB$4:$JS$4,AP$4,$CB11:$JS11)</f>
        <v/>
      </c>
      <c r="AQ11" s="55">
        <f>SUMIF($CB$4:$JS$4,AQ$4,$CB11:$JS11)</f>
        <v/>
      </c>
      <c r="AR11" s="55">
        <f>SUMIF($CB$4:$JS$4,AR$4,$CB11:$JS11)</f>
        <v/>
      </c>
      <c r="AS11" s="55">
        <f>SUMIF($CB$4:$JS$4,AS$4,$CB11:$JS11)</f>
        <v/>
      </c>
      <c r="AT11" s="55">
        <f>SUMIF($CB$4:$JS$4,AT$4,$CB11:$JS11)</f>
        <v/>
      </c>
      <c r="AU11" s="55">
        <f>SUMIF($CB$4:$JS$4,AU$4,$CB11:$JS11)</f>
        <v/>
      </c>
      <c r="AV11" s="55">
        <f>SUMIF($CB$4:$JS$4,AV$4,$CB11:$JS11)</f>
        <v/>
      </c>
      <c r="AW11" s="55">
        <f>SUMIF($CB$4:$JS$4,AW$4,$CB11:$JS11)</f>
        <v/>
      </c>
      <c r="AX11" s="55">
        <f>SUMIF($CB$4:$JS$4,AX$4,$CB11:$JS11)</f>
        <v/>
      </c>
      <c r="AY11" s="55">
        <f>SUMIF($CB$4:$JS$4,AY$4,$CB11:$JS11)</f>
        <v/>
      </c>
      <c r="AZ11" s="55">
        <f>SUMIF($CB$4:$JS$4,AZ$4,$CB11:$JS11)</f>
        <v/>
      </c>
      <c r="BA11" s="55">
        <f>SUMIF($CB$4:$JS$4,BA$4,$CB11:$JS11)</f>
        <v/>
      </c>
      <c r="BB11" s="55">
        <f>SUMIF($CB$4:$JS$4,BB$4,$CB11:$JS11)</f>
        <v/>
      </c>
      <c r="BC11" s="55">
        <f>SUMIF($CB$4:$JS$4,BC$4,$CB11:$JS11)</f>
        <v/>
      </c>
      <c r="BD11" s="55">
        <f>SUMIF($CB$4:$JS$4,BD$4,$CB11:$JS11)</f>
        <v/>
      </c>
      <c r="BE11" s="55">
        <f>SUMIF($CB$4:$JS$4,BE$4,$CB11:$JS11)</f>
        <v/>
      </c>
      <c r="BF11" s="55">
        <f>SUMIF($CB$4:$JS$4,BF$4,$CB11:$JS11)</f>
        <v/>
      </c>
      <c r="BG11" s="55">
        <f>SUMIF($CB$4:$JS$4,BG$4,$CB11:$JS11)</f>
        <v/>
      </c>
      <c r="BH11" s="55">
        <f>SUMIF($CB$4:$JS$4,BH$4,$CB11:$JS11)</f>
        <v/>
      </c>
      <c r="BI11" s="55">
        <f>SUMIF($CB$4:$JS$4,BI$4,$CB11:$JS11)</f>
        <v/>
      </c>
      <c r="BJ11" s="55">
        <f>SUMIF($CB$4:$JS$4,BJ$4,$CB11:$JS11)</f>
        <v/>
      </c>
      <c r="BK11" s="55">
        <f>SUMIF($CB$4:$JS$4,BK$4,$CB11:$JS11)</f>
        <v/>
      </c>
      <c r="BL11" s="55">
        <f>SUMIF($CB$4:$JS$4,BL$4,$CB11:$JS11)</f>
        <v/>
      </c>
      <c r="BM11" s="55">
        <f>SUMIF($CB$4:$JS$4,BM$4,$CB11:$JS11)</f>
        <v/>
      </c>
      <c r="BN11" s="55">
        <f>SUMIF($CB$4:$JS$4,BN$4,$CB11:$JS11)</f>
        <v/>
      </c>
      <c r="BO11" s="55">
        <f>SUMIF($CB$4:$JS$4,BO$4,$CB11:$JS11)</f>
        <v/>
      </c>
      <c r="BP11" s="55">
        <f>SUMIF($CB$4:$JS$4,BP$4,$CB11:$JS11)</f>
        <v/>
      </c>
      <c r="BQ11" s="55">
        <f>SUMIF($CB$4:$JS$4,BQ$4,$CB11:$JS11)</f>
        <v/>
      </c>
      <c r="BR11" s="55">
        <f>SUMIF($CB$4:$JS$4,BR$4,$CB11:$JS11)</f>
        <v/>
      </c>
      <c r="BS11" s="55">
        <f>SUMIF($CB$4:$JS$4,BS$4,$CB11:$JS11)</f>
        <v/>
      </c>
      <c r="BT11" s="55">
        <f>SUMIF($CB$4:$JS$4,BT$4,$CB11:$JS11)</f>
        <v/>
      </c>
      <c r="BU11" s="55">
        <f>SUMIF($CB$4:$JS$4,BU$4,$CB11:$JS11)</f>
        <v/>
      </c>
      <c r="BV11" s="55">
        <f>SUMIF($CB$4:$JS$4,BV$4,$CB11:$JS11)</f>
        <v/>
      </c>
      <c r="BW11" s="55">
        <f>SUMIF($CB$4:$JS$4,BW$4,$CB11:$JS11)</f>
        <v/>
      </c>
      <c r="BX11" s="55">
        <f>SUMIF($CB$4:$JS$4,"&gt;"&amp;'VALOR POR PL'!$P$8,$CB11:$JS11)</f>
        <v/>
      </c>
      <c r="BY11" s="55">
        <f>SUM($CB11:$JS11)</f>
        <v/>
      </c>
      <c r="CB11" s="123">
        <f>IF(OR(CB$4="",$B11=""),0,SUMIF('DADOS BRUTOS'!$A$3:$A$500,$B11,'DADOS BRUTOS'!B$3:B$500)+IF($C11="",0,SUMIF('DADOS BRUTOS'!$A$3:$A$500,$C11,'DADOS BRUTOS'!B$3:B$500)))</f>
        <v/>
      </c>
      <c r="CC11" s="123">
        <f>IF(OR(CC$4="",$B11=""),0,SUMIF('DADOS BRUTOS'!$A$3:$A$500,$B11,'DADOS BRUTOS'!C$3:C$500)+IF($C11="",0,SUMIF('DADOS BRUTOS'!$A$3:$A$500,$C11,'DADOS BRUTOS'!C$3:C$500)))</f>
        <v/>
      </c>
      <c r="CD11" s="123">
        <f>IF(OR(CD$4="",$B11=""),0,SUMIF('DADOS BRUTOS'!$A$3:$A$500,$B11,'DADOS BRUTOS'!D$3:D$500)+IF($C11="",0,SUMIF('DADOS BRUTOS'!$A$3:$A$500,$C11,'DADOS BRUTOS'!D$3:D$500)))</f>
        <v/>
      </c>
      <c r="CE11" s="123">
        <f>IF(OR(CE$4="",$B11=""),0,SUMIF('DADOS BRUTOS'!$A$3:$A$500,$B11,'DADOS BRUTOS'!E$3:E$500)+IF($C11="",0,SUMIF('DADOS BRUTOS'!$A$3:$A$500,$C11,'DADOS BRUTOS'!E$3:E$500)))</f>
        <v/>
      </c>
      <c r="CF11" s="123">
        <f>IF(OR(CF$4="",$B11=""),0,SUMIF('DADOS BRUTOS'!$A$3:$A$500,$B11,'DADOS BRUTOS'!F$3:F$500)+IF($C11="",0,SUMIF('DADOS BRUTOS'!$A$3:$A$500,$C11,'DADOS BRUTOS'!F$3:F$500)))</f>
        <v/>
      </c>
      <c r="CG11" s="123">
        <f>IF(OR(CG$4="",$B11=""),0,SUMIF('DADOS BRUTOS'!$A$3:$A$500,$B11,'DADOS BRUTOS'!G$3:G$500)+IF($C11="",0,SUMIF('DADOS BRUTOS'!$A$3:$A$500,$C11,'DADOS BRUTOS'!G$3:G$500)))</f>
        <v/>
      </c>
      <c r="CH11" s="123">
        <f>IF(OR(CH$4="",$B11=""),0,SUMIF('DADOS BRUTOS'!$A$3:$A$500,$B11,'DADOS BRUTOS'!H$3:H$500)+IF($C11="",0,SUMIF('DADOS BRUTOS'!$A$3:$A$500,$C11,'DADOS BRUTOS'!H$3:H$500)))</f>
        <v/>
      </c>
      <c r="CI11" s="123">
        <f>IF(OR(CI$4="",$B11=""),0,SUMIF('DADOS BRUTOS'!$A$3:$A$500,$B11,'DADOS BRUTOS'!I$3:I$500)+IF($C11="",0,SUMIF('DADOS BRUTOS'!$A$3:$A$500,$C11,'DADOS BRUTOS'!I$3:I$500)))</f>
        <v/>
      </c>
      <c r="CJ11" s="123">
        <f>IF(OR(CJ$4="",$B11=""),0,SUMIF('DADOS BRUTOS'!$A$3:$A$500,$B11,'DADOS BRUTOS'!J$3:J$500)+IF($C11="",0,SUMIF('DADOS BRUTOS'!$A$3:$A$500,$C11,'DADOS BRUTOS'!J$3:J$500)))</f>
        <v/>
      </c>
      <c r="CK11" s="123">
        <f>IF(OR(CK$4="",$B11=""),0,SUMIF('DADOS BRUTOS'!$A$3:$A$500,$B11,'DADOS BRUTOS'!K$3:K$500)+IF($C11="",0,SUMIF('DADOS BRUTOS'!$A$3:$A$500,$C11,'DADOS BRUTOS'!K$3:K$500)))</f>
        <v/>
      </c>
      <c r="CL11" s="123">
        <f>IF(OR(CL$4="",$B11=""),0,SUMIF('DADOS BRUTOS'!$A$3:$A$500,$B11,'DADOS BRUTOS'!L$3:L$500)+IF($C11="",0,SUMIF('DADOS BRUTOS'!$A$3:$A$500,$C11,'DADOS BRUTOS'!L$3:L$500)))</f>
        <v/>
      </c>
      <c r="CM11" s="123">
        <f>IF(OR(CM$4="",$B11=""),0,SUMIF('DADOS BRUTOS'!$A$3:$A$500,$B11,'DADOS BRUTOS'!M$3:M$500)+IF($C11="",0,SUMIF('DADOS BRUTOS'!$A$3:$A$500,$C11,'DADOS BRUTOS'!M$3:M$500)))</f>
        <v/>
      </c>
      <c r="CN11" s="123">
        <f>IF(OR(CN$4="",$B11=""),0,SUMIF('DADOS BRUTOS'!$A$3:$A$500,$B11,'DADOS BRUTOS'!N$3:N$500)+IF($C11="",0,SUMIF('DADOS BRUTOS'!$A$3:$A$500,$C11,'DADOS BRUTOS'!N$3:N$500)))</f>
        <v/>
      </c>
      <c r="CO11" s="123">
        <f>IF(OR(CO$4="",$B11=""),0,SUMIF('DADOS BRUTOS'!$A$3:$A$500,$B11,'DADOS BRUTOS'!O$3:O$500)+IF($C11="",0,SUMIF('DADOS BRUTOS'!$A$3:$A$500,$C11,'DADOS BRUTOS'!O$3:O$500)))</f>
        <v/>
      </c>
      <c r="CP11" s="123">
        <f>IF(OR(CP$4="",$B11=""),0,SUMIF('DADOS BRUTOS'!$A$3:$A$500,$B11,'DADOS BRUTOS'!P$3:P$500)+IF($C11="",0,SUMIF('DADOS BRUTOS'!$A$3:$A$500,$C11,'DADOS BRUTOS'!P$3:P$500)))</f>
        <v/>
      </c>
      <c r="CQ11" s="123">
        <f>IF(OR(CQ$4="",$B11=""),0,SUMIF('DADOS BRUTOS'!$A$3:$A$500,$B11,'DADOS BRUTOS'!Q$3:Q$500)+IF($C11="",0,SUMIF('DADOS BRUTOS'!$A$3:$A$500,$C11,'DADOS BRUTOS'!Q$3:Q$500)))</f>
        <v/>
      </c>
      <c r="CR11" s="123">
        <f>IF(OR(CR$4="",$B11=""),0,SUMIF('DADOS BRUTOS'!$A$3:$A$500,$B11,'DADOS BRUTOS'!R$3:R$500)+IF($C11="",0,SUMIF('DADOS BRUTOS'!$A$3:$A$500,$C11,'DADOS BRUTOS'!R$3:R$500)))</f>
        <v/>
      </c>
      <c r="CS11" s="123">
        <f>IF(OR(CS$4="",$B11=""),0,SUMIF('DADOS BRUTOS'!$A$3:$A$500,$B11,'DADOS BRUTOS'!S$3:S$500)+IF($C11="",0,SUMIF('DADOS BRUTOS'!$A$3:$A$500,$C11,'DADOS BRUTOS'!S$3:S$500)))</f>
        <v/>
      </c>
      <c r="CT11" s="123">
        <f>IF(OR(CT$4="",$B11=""),0,SUMIF('DADOS BRUTOS'!$A$3:$A$500,$B11,'DADOS BRUTOS'!T$3:T$500)+IF($C11="",0,SUMIF('DADOS BRUTOS'!$A$3:$A$500,$C11,'DADOS BRUTOS'!T$3:T$500)))</f>
        <v/>
      </c>
      <c r="CU11" s="123">
        <f>IF(OR(CU$4="",$B11=""),0,SUMIF('DADOS BRUTOS'!$A$3:$A$500,$B11,'DADOS BRUTOS'!U$3:U$500)+IF($C11="",0,SUMIF('DADOS BRUTOS'!$A$3:$A$500,$C11,'DADOS BRUTOS'!U$3:U$500)))</f>
        <v/>
      </c>
      <c r="CV11" s="123">
        <f>IF(OR(CV$4="",$B11=""),0,SUMIF('DADOS BRUTOS'!$A$3:$A$500,$B11,'DADOS BRUTOS'!V$3:V$500)+IF($C11="",0,SUMIF('DADOS BRUTOS'!$A$3:$A$500,$C11,'DADOS BRUTOS'!V$3:V$500)))</f>
        <v/>
      </c>
      <c r="CW11" s="123">
        <f>IF(OR(CW$4="",$B11=""),0,SUMIF('DADOS BRUTOS'!$A$3:$A$500,$B11,'DADOS BRUTOS'!W$3:W$500)+IF($C11="",0,SUMIF('DADOS BRUTOS'!$A$3:$A$500,$C11,'DADOS BRUTOS'!W$3:W$500)))</f>
        <v/>
      </c>
      <c r="CX11" s="123">
        <f>IF(OR(CX$4="",$B11=""),0,SUMIF('DADOS BRUTOS'!$A$3:$A$500,$B11,'DADOS BRUTOS'!X$3:X$500)+IF($C11="",0,SUMIF('DADOS BRUTOS'!$A$3:$A$500,$C11,'DADOS BRUTOS'!X$3:X$500)))</f>
        <v/>
      </c>
      <c r="CY11" s="123">
        <f>IF(OR(CY$4="",$B11=""),0,SUMIF('DADOS BRUTOS'!$A$3:$A$500,$B11,'DADOS BRUTOS'!Y$3:Y$500)+IF($C11="",0,SUMIF('DADOS BRUTOS'!$A$3:$A$500,$C11,'DADOS BRUTOS'!Y$3:Y$500)))</f>
        <v/>
      </c>
      <c r="CZ11" s="123">
        <f>IF(OR(CZ$4="",$B11=""),0,SUMIF('DADOS BRUTOS'!$A$3:$A$500,$B11,'DADOS BRUTOS'!Z$3:Z$500)+IF($C11="",0,SUMIF('DADOS BRUTOS'!$A$3:$A$500,$C11,'DADOS BRUTOS'!Z$3:Z$500)))</f>
        <v/>
      </c>
      <c r="DA11" s="123">
        <f>IF(OR(DA$4="",$B11=""),0,SUMIF('DADOS BRUTOS'!$A$3:$A$500,$B11,'DADOS BRUTOS'!AA$3:AA$500)+IF($C11="",0,SUMIF('DADOS BRUTOS'!$A$3:$A$500,$C11,'DADOS BRUTOS'!AA$3:AA$500)))</f>
        <v/>
      </c>
      <c r="DB11" s="123">
        <f>IF(OR(DB$4="",$B11=""),0,SUMIF('DADOS BRUTOS'!$A$3:$A$500,$B11,'DADOS BRUTOS'!AB$3:AB$500)+IF($C11="",0,SUMIF('DADOS BRUTOS'!$A$3:$A$500,$C11,'DADOS BRUTOS'!AB$3:AB$500)))</f>
        <v/>
      </c>
      <c r="DC11" s="123">
        <f>IF(OR(DC$4="",$B11=""),0,SUMIF('DADOS BRUTOS'!$A$3:$A$500,$B11,'DADOS BRUTOS'!AC$3:AC$500)+IF($C11="",0,SUMIF('DADOS BRUTOS'!$A$3:$A$500,$C11,'DADOS BRUTOS'!AC$3:AC$500)))</f>
        <v/>
      </c>
      <c r="DD11" s="123">
        <f>IF(OR(DD$4="",$B11=""),0,SUMIF('DADOS BRUTOS'!$A$3:$A$500,$B11,'DADOS BRUTOS'!AD$3:AD$500)+IF($C11="",0,SUMIF('DADOS BRUTOS'!$A$3:$A$500,$C11,'DADOS BRUTOS'!AD$3:AD$500)))</f>
        <v/>
      </c>
      <c r="DE11" s="123">
        <f>IF(OR(DE$4="",$B11=""),0,SUMIF('DADOS BRUTOS'!$A$3:$A$500,$B11,'DADOS BRUTOS'!AE$3:AE$500)+IF($C11="",0,SUMIF('DADOS BRUTOS'!$A$3:$A$500,$C11,'DADOS BRUTOS'!AE$3:AE$500)))</f>
        <v/>
      </c>
      <c r="DF11" s="123">
        <f>IF(OR(DF$4="",$B11=""),0,SUMIF('DADOS BRUTOS'!$A$3:$A$500,$B11,'DADOS BRUTOS'!AF$3:AF$500)+IF($C11="",0,SUMIF('DADOS BRUTOS'!$A$3:$A$500,$C11,'DADOS BRUTOS'!AF$3:AF$500)))</f>
        <v/>
      </c>
      <c r="DG11" s="123">
        <f>IF(OR(DG$4="",$B11=""),0,SUMIF('DADOS BRUTOS'!$A$3:$A$500,$B11,'DADOS BRUTOS'!AG$3:AG$500)+IF($C11="",0,SUMIF('DADOS BRUTOS'!$A$3:$A$500,$C11,'DADOS BRUTOS'!AG$3:AG$500)))</f>
        <v/>
      </c>
      <c r="DH11" s="123">
        <f>IF(OR(DH$4="",$B11=""),0,SUMIF('DADOS BRUTOS'!$A$3:$A$500,$B11,'DADOS BRUTOS'!AH$3:AH$500)+IF($C11="",0,SUMIF('DADOS BRUTOS'!$A$3:$A$500,$C11,'DADOS BRUTOS'!AH$3:AH$500)))</f>
        <v/>
      </c>
      <c r="DI11" s="123">
        <f>IF(OR(DI$4="",$B11=""),0,SUMIF('DADOS BRUTOS'!$A$3:$A$500,$B11,'DADOS BRUTOS'!AI$3:AI$500)+IF($C11="",0,SUMIF('DADOS BRUTOS'!$A$3:$A$500,$C11,'DADOS BRUTOS'!AI$3:AI$500)))</f>
        <v/>
      </c>
      <c r="DJ11" s="123">
        <f>IF(OR(DJ$4="",$B11=""),0,SUMIF('DADOS BRUTOS'!$A$3:$A$500,$B11,'DADOS BRUTOS'!AJ$3:AJ$500)+IF($C11="",0,SUMIF('DADOS BRUTOS'!$A$3:$A$500,$C11,'DADOS BRUTOS'!AJ$3:AJ$500)))</f>
        <v/>
      </c>
      <c r="DK11" s="123">
        <f>IF(OR(DK$4="",$B11=""),0,SUMIF('DADOS BRUTOS'!$A$3:$A$500,$B11,'DADOS BRUTOS'!AK$3:AK$500)+IF($C11="",0,SUMIF('DADOS BRUTOS'!$A$3:$A$500,$C11,'DADOS BRUTOS'!AK$3:AK$500)))</f>
        <v/>
      </c>
      <c r="DL11" s="123">
        <f>IF(OR(DL$4="",$B11=""),0,SUMIF('DADOS BRUTOS'!$A$3:$A$500,$B11,'DADOS BRUTOS'!AL$3:AL$500)+IF($C11="",0,SUMIF('DADOS BRUTOS'!$A$3:$A$500,$C11,'DADOS BRUTOS'!AL$3:AL$500)))</f>
        <v/>
      </c>
      <c r="DM11" s="123">
        <f>IF(OR(DM$4="",$B11=""),0,SUMIF('DADOS BRUTOS'!$A$3:$A$500,$B11,'DADOS BRUTOS'!AM$3:AM$500)+IF($C11="",0,SUMIF('DADOS BRUTOS'!$A$3:$A$500,$C11,'DADOS BRUTOS'!AM$3:AM$500)))</f>
        <v/>
      </c>
      <c r="DN11" s="123">
        <f>IF(OR(DN$4="",$B11=""),0,SUMIF('DADOS BRUTOS'!$A$3:$A$500,$B11,'DADOS BRUTOS'!AN$3:AN$500)+IF($C11="",0,SUMIF('DADOS BRUTOS'!$A$3:$A$500,$C11,'DADOS BRUTOS'!AN$3:AN$500)))</f>
        <v/>
      </c>
      <c r="DO11" s="123">
        <f>IF(OR(DO$4="",$B11=""),0,SUMIF('DADOS BRUTOS'!$A$3:$A$500,$B11,'DADOS BRUTOS'!AO$3:AO$500)+IF($C11="",0,SUMIF('DADOS BRUTOS'!$A$3:$A$500,$C11,'DADOS BRUTOS'!AO$3:AO$500)))</f>
        <v/>
      </c>
      <c r="DP11" s="123">
        <f>IF(OR(DP$4="",$B11=""),0,SUMIF('DADOS BRUTOS'!$A$3:$A$500,$B11,'DADOS BRUTOS'!AP$3:AP$500)+IF($C11="",0,SUMIF('DADOS BRUTOS'!$A$3:$A$500,$C11,'DADOS BRUTOS'!AP$3:AP$500)))</f>
        <v/>
      </c>
      <c r="DQ11" s="123">
        <f>IF(OR(DQ$4="",$B11=""),0,SUMIF('DADOS BRUTOS'!$A$3:$A$500,$B11,'DADOS BRUTOS'!AQ$3:AQ$500)+IF($C11="",0,SUMIF('DADOS BRUTOS'!$A$3:$A$500,$C11,'DADOS BRUTOS'!AQ$3:AQ$500)))</f>
        <v/>
      </c>
      <c r="DR11" s="123">
        <f>IF(OR(DR$4="",$B11=""),0,SUMIF('DADOS BRUTOS'!$A$3:$A$500,$B11,'DADOS BRUTOS'!AR$3:AR$500)+IF($C11="",0,SUMIF('DADOS BRUTOS'!$A$3:$A$500,$C11,'DADOS BRUTOS'!AR$3:AR$500)))</f>
        <v/>
      </c>
      <c r="DS11" s="123">
        <f>IF(OR(DS$4="",$B11=""),0,SUMIF('DADOS BRUTOS'!$A$3:$A$500,$B11,'DADOS BRUTOS'!AS$3:AS$500)+IF($C11="",0,SUMIF('DADOS BRUTOS'!$A$3:$A$500,$C11,'DADOS BRUTOS'!AS$3:AS$500)))</f>
        <v/>
      </c>
      <c r="DT11" s="123">
        <f>IF(OR(DT$4="",$B11=""),0,SUMIF('DADOS BRUTOS'!$A$3:$A$500,$B11,'DADOS BRUTOS'!AT$3:AT$500)+IF($C11="",0,SUMIF('DADOS BRUTOS'!$A$3:$A$500,$C11,'DADOS BRUTOS'!AT$3:AT$500)))</f>
        <v/>
      </c>
      <c r="DU11" s="123">
        <f>IF(OR(DU$4="",$B11=""),0,SUMIF('DADOS BRUTOS'!$A$3:$A$500,$B11,'DADOS BRUTOS'!AU$3:AU$500)+IF($C11="",0,SUMIF('DADOS BRUTOS'!$A$3:$A$500,$C11,'DADOS BRUTOS'!AU$3:AU$500)))</f>
        <v/>
      </c>
      <c r="DV11" s="123">
        <f>IF(OR(DV$4="",$B11=""),0,SUMIF('DADOS BRUTOS'!$A$3:$A$500,$B11,'DADOS BRUTOS'!AV$3:AV$500)+IF($C11="",0,SUMIF('DADOS BRUTOS'!$A$3:$A$500,$C11,'DADOS BRUTOS'!AV$3:AV$500)))</f>
        <v/>
      </c>
      <c r="DW11" s="123">
        <f>IF(OR(DW$4="",$B11=""),0,SUMIF('DADOS BRUTOS'!$A$3:$A$500,$B11,'DADOS BRUTOS'!AW$3:AW$500)+IF($C11="",0,SUMIF('DADOS BRUTOS'!$A$3:$A$500,$C11,'DADOS BRUTOS'!AW$3:AW$500)))</f>
        <v/>
      </c>
      <c r="DX11" s="123">
        <f>IF(OR(DX$4="",$B11=""),0,SUMIF('DADOS BRUTOS'!$A$3:$A$500,$B11,'DADOS BRUTOS'!AX$3:AX$500)+IF($C11="",0,SUMIF('DADOS BRUTOS'!$A$3:$A$500,$C11,'DADOS BRUTOS'!AX$3:AX$500)))</f>
        <v/>
      </c>
      <c r="DY11" s="123">
        <f>IF(OR(DY$4="",$B11=""),0,SUMIF('DADOS BRUTOS'!$A$3:$A$500,$B11,'DADOS BRUTOS'!AY$3:AY$500)+IF($C11="",0,SUMIF('DADOS BRUTOS'!$A$3:$A$500,$C11,'DADOS BRUTOS'!AY$3:AY$500)))</f>
        <v/>
      </c>
      <c r="DZ11" s="123">
        <f>IF(OR(DZ$4="",$B11=""),0,SUMIF('DADOS BRUTOS'!$A$3:$A$500,$B11,'DADOS BRUTOS'!AZ$3:AZ$500)+IF($C11="",0,SUMIF('DADOS BRUTOS'!$A$3:$A$500,$C11,'DADOS BRUTOS'!AZ$3:AZ$500)))</f>
        <v/>
      </c>
      <c r="EA11" s="123">
        <f>IF(OR(EA$4="",$B11=""),0,SUMIF('DADOS BRUTOS'!$A$3:$A$500,$B11,'DADOS BRUTOS'!BA$3:BA$500)+IF($C11="",0,SUMIF('DADOS BRUTOS'!$A$3:$A$500,$C11,'DADOS BRUTOS'!BA$3:BA$500)))</f>
        <v/>
      </c>
      <c r="EB11" s="123">
        <f>IF(OR(EB$4="",$B11=""),0,SUMIF('DADOS BRUTOS'!$A$3:$A$500,$B11,'DADOS BRUTOS'!BB$3:BB$500)+IF($C11="",0,SUMIF('DADOS BRUTOS'!$A$3:$A$500,$C11,'DADOS BRUTOS'!BB$3:BB$500)))</f>
        <v/>
      </c>
      <c r="EC11" s="123">
        <f>IF(OR(EC$4="",$B11=""),0,SUMIF('DADOS BRUTOS'!$A$3:$A$500,$B11,'DADOS BRUTOS'!BC$3:BC$500)+IF($C11="",0,SUMIF('DADOS BRUTOS'!$A$3:$A$500,$C11,'DADOS BRUTOS'!BC$3:BC$500)))</f>
        <v/>
      </c>
      <c r="ED11" s="123">
        <f>IF(OR(ED$4="",$B11=""),0,SUMIF('DADOS BRUTOS'!$A$3:$A$500,$B11,'DADOS BRUTOS'!BD$3:BD$500)+IF($C11="",0,SUMIF('DADOS BRUTOS'!$A$3:$A$500,$C11,'DADOS BRUTOS'!BD$3:BD$500)))</f>
        <v/>
      </c>
      <c r="EE11" s="123">
        <f>IF(OR(EE$4="",$B11=""),0,SUMIF('DADOS BRUTOS'!$A$3:$A$500,$B11,'DADOS BRUTOS'!BE$3:BE$500)+IF($C11="",0,SUMIF('DADOS BRUTOS'!$A$3:$A$500,$C11,'DADOS BRUTOS'!BE$3:BE$500)))</f>
        <v/>
      </c>
      <c r="EF11" s="123">
        <f>IF(OR(EF$4="",$B11=""),0,SUMIF('DADOS BRUTOS'!$A$3:$A$500,$B11,'DADOS BRUTOS'!BF$3:BF$500)+IF($C11="",0,SUMIF('DADOS BRUTOS'!$A$3:$A$500,$C11,'DADOS BRUTOS'!BF$3:BF$500)))</f>
        <v/>
      </c>
      <c r="EG11" s="123">
        <f>IF(OR(EG$4="",$B11=""),0,SUMIF('DADOS BRUTOS'!$A$3:$A$500,$B11,'DADOS BRUTOS'!BG$3:BG$500)+IF($C11="",0,SUMIF('DADOS BRUTOS'!$A$3:$A$500,$C11,'DADOS BRUTOS'!BG$3:BG$500)))</f>
        <v/>
      </c>
      <c r="EH11" s="123">
        <f>IF(OR(EH$4="",$B11=""),0,SUMIF('DADOS BRUTOS'!$A$3:$A$500,$B11,'DADOS BRUTOS'!BH$3:BH$500)+IF($C11="",0,SUMIF('DADOS BRUTOS'!$A$3:$A$500,$C11,'DADOS BRUTOS'!BH$3:BH$500)))</f>
        <v/>
      </c>
      <c r="EI11" s="123">
        <f>IF(OR(EI$4="",$B11=""),0,SUMIF('DADOS BRUTOS'!$A$3:$A$500,$B11,'DADOS BRUTOS'!BI$3:BI$500)+IF($C11="",0,SUMIF('DADOS BRUTOS'!$A$3:$A$500,$C11,'DADOS BRUTOS'!BI$3:BI$500)))</f>
        <v/>
      </c>
      <c r="EJ11" s="123">
        <f>IF(OR(EJ$4="",$B11=""),0,SUMIF('DADOS BRUTOS'!$A$3:$A$500,$B11,'DADOS BRUTOS'!BJ$3:BJ$500)+IF($C11="",0,SUMIF('DADOS BRUTOS'!$A$3:$A$500,$C11,'DADOS BRUTOS'!BJ$3:BJ$500)))</f>
        <v/>
      </c>
      <c r="EK11" s="123">
        <f>IF(OR(EK$4="",$B11=""),0,SUMIF('DADOS BRUTOS'!$A$3:$A$500,$B11,'DADOS BRUTOS'!BK$3:BK$500)+IF($C11="",0,SUMIF('DADOS BRUTOS'!$A$3:$A$500,$C11,'DADOS BRUTOS'!BK$3:BK$500)))</f>
        <v/>
      </c>
      <c r="EL11" s="123">
        <f>IF(OR(EL$4="",$B11=""),0,SUMIF('DADOS BRUTOS'!$A$3:$A$500,$B11,'DADOS BRUTOS'!BL$3:BL$500)+IF($C11="",0,SUMIF('DADOS BRUTOS'!$A$3:$A$500,$C11,'DADOS BRUTOS'!BL$3:BL$500)))</f>
        <v/>
      </c>
      <c r="EM11" s="123">
        <f>IF(OR(EM$4="",$B11=""),0,SUMIF('DADOS BRUTOS'!$A$3:$A$500,$B11,'DADOS BRUTOS'!BM$3:BM$500)+IF($C11="",0,SUMIF('DADOS BRUTOS'!$A$3:$A$500,$C11,'DADOS BRUTOS'!BM$3:BM$500)))</f>
        <v/>
      </c>
      <c r="EN11" s="123">
        <f>IF(OR(EN$4="",$B11=""),0,SUMIF('DADOS BRUTOS'!$A$3:$A$500,$B11,'DADOS BRUTOS'!BN$3:BN$500)+IF($C11="",0,SUMIF('DADOS BRUTOS'!$A$3:$A$500,$C11,'DADOS BRUTOS'!BN$3:BN$500)))</f>
        <v/>
      </c>
      <c r="EO11" s="123">
        <f>IF(OR(EO$4="",$B11=""),0,SUMIF('DADOS BRUTOS'!$A$3:$A$500,$B11,'DADOS BRUTOS'!BO$3:BO$500)+IF($C11="",0,SUMIF('DADOS BRUTOS'!$A$3:$A$500,$C11,'DADOS BRUTOS'!BO$3:BO$500)))</f>
        <v/>
      </c>
      <c r="EP11" s="123">
        <f>IF(OR(EP$4="",$B11=""),0,SUMIF('DADOS BRUTOS'!$A$3:$A$500,$B11,'DADOS BRUTOS'!BP$3:BP$500)+IF($C11="",0,SUMIF('DADOS BRUTOS'!$A$3:$A$500,$C11,'DADOS BRUTOS'!BP$3:BP$500)))</f>
        <v/>
      </c>
      <c r="EQ11" s="123">
        <f>IF(OR(EQ$4="",$B11=""),0,SUMIF('DADOS BRUTOS'!$A$3:$A$500,$B11,'DADOS BRUTOS'!BQ$3:BQ$500)+IF($C11="",0,SUMIF('DADOS BRUTOS'!$A$3:$A$500,$C11,'DADOS BRUTOS'!BQ$3:BQ$500)))</f>
        <v/>
      </c>
      <c r="ER11" s="123">
        <f>IF(OR(ER$4="",$B11=""),0,SUMIF('DADOS BRUTOS'!$A$3:$A$500,$B11,'DADOS BRUTOS'!BR$3:BR$500)+IF($C11="",0,SUMIF('DADOS BRUTOS'!$A$3:$A$500,$C11,'DADOS BRUTOS'!BR$3:BR$500)))</f>
        <v/>
      </c>
      <c r="ES11" s="123">
        <f>IF(OR(ES$4="",$B11=""),0,SUMIF('DADOS BRUTOS'!$A$3:$A$500,$B11,'DADOS BRUTOS'!BS$3:BS$500)+IF($C11="",0,SUMIF('DADOS BRUTOS'!$A$3:$A$500,$C11,'DADOS BRUTOS'!BS$3:BS$500)))</f>
        <v/>
      </c>
      <c r="ET11" s="123">
        <f>IF(OR(ET$4="",$B11=""),0,SUMIF('DADOS BRUTOS'!$A$3:$A$500,$B11,'DADOS BRUTOS'!BT$3:BT$500)+IF($C11="",0,SUMIF('DADOS BRUTOS'!$A$3:$A$500,$C11,'DADOS BRUTOS'!BT$3:BT$500)))</f>
        <v/>
      </c>
      <c r="EU11" s="123">
        <f>IF(OR(EU$4="",$B11=""),0,SUMIF('DADOS BRUTOS'!$A$3:$A$500,$B11,'DADOS BRUTOS'!BU$3:BU$500)+IF($C11="",0,SUMIF('DADOS BRUTOS'!$A$3:$A$500,$C11,'DADOS BRUTOS'!BU$3:BU$500)))</f>
        <v/>
      </c>
      <c r="EV11" s="123">
        <f>IF(OR(EV$4="",$B11=""),0,SUMIF('DADOS BRUTOS'!$A$3:$A$500,$B11,'DADOS BRUTOS'!BV$3:BV$500)+IF($C11="",0,SUMIF('DADOS BRUTOS'!$A$3:$A$500,$C11,'DADOS BRUTOS'!BV$3:BV$500)))</f>
        <v/>
      </c>
      <c r="EW11" s="123">
        <f>IF(OR(EW$4="",$B11=""),0,SUMIF('DADOS BRUTOS'!$A$3:$A$500,$B11,'DADOS BRUTOS'!BW$3:BW$500)+IF($C11="",0,SUMIF('DADOS BRUTOS'!$A$3:$A$500,$C11,'DADOS BRUTOS'!BW$3:BW$500)))</f>
        <v/>
      </c>
      <c r="EX11" s="123">
        <f>IF(OR(EX$4="",$B11=""),0,SUMIF('DADOS BRUTOS'!$A$3:$A$500,$B11,'DADOS BRUTOS'!BX$3:BX$500)+IF($C11="",0,SUMIF('DADOS BRUTOS'!$A$3:$A$500,$C11,'DADOS BRUTOS'!BX$3:BX$500)))</f>
        <v/>
      </c>
      <c r="EY11" s="123">
        <f>IF(OR(EY$4="",$B11=""),0,SUMIF('DADOS BRUTOS'!$A$3:$A$500,$B11,'DADOS BRUTOS'!BY$3:BY$500)+IF($C11="",0,SUMIF('DADOS BRUTOS'!$A$3:$A$500,$C11,'DADOS BRUTOS'!BY$3:BY$500)))</f>
        <v/>
      </c>
      <c r="EZ11" s="123">
        <f>IF(OR(EZ$4="",$B11=""),0,SUMIF('DADOS BRUTOS'!$A$3:$A$500,$B11,'DADOS BRUTOS'!BZ$3:BZ$500)+IF($C11="",0,SUMIF('DADOS BRUTOS'!$A$3:$A$500,$C11,'DADOS BRUTOS'!BZ$3:BZ$500)))</f>
        <v/>
      </c>
      <c r="FA11" s="123">
        <f>IF(OR(FA$4="",$B11=""),0,SUMIF('DADOS BRUTOS'!$A$3:$A$500,$B11,'DADOS BRUTOS'!CA$3:CA$500)+IF($C11="",0,SUMIF('DADOS BRUTOS'!$A$3:$A$500,$C11,'DADOS BRUTOS'!CA$3:CA$500)))</f>
        <v/>
      </c>
      <c r="FB11" s="123">
        <f>IF(OR(FB$4="",$B11=""),0,SUMIF('DADOS BRUTOS'!$A$3:$A$500,$B11,'DADOS BRUTOS'!CB$3:CB$500)+IF($C11="",0,SUMIF('DADOS BRUTOS'!$A$3:$A$500,$C11,'DADOS BRUTOS'!CB$3:CB$500)))</f>
        <v/>
      </c>
      <c r="FC11" s="123">
        <f>IF(OR(FC$4="",$B11=""),0,SUMIF('DADOS BRUTOS'!$A$3:$A$500,$B11,'DADOS BRUTOS'!CC$3:CC$500)+IF($C11="",0,SUMIF('DADOS BRUTOS'!$A$3:$A$500,$C11,'DADOS BRUTOS'!CC$3:CC$500)))</f>
        <v/>
      </c>
      <c r="FD11" s="123">
        <f>IF(OR(FD$4="",$B11=""),0,SUMIF('DADOS BRUTOS'!$A$3:$A$500,$B11,'DADOS BRUTOS'!CD$3:CD$500)+IF($C11="",0,SUMIF('DADOS BRUTOS'!$A$3:$A$500,$C11,'DADOS BRUTOS'!CD$3:CD$500)))</f>
        <v/>
      </c>
      <c r="FE11" s="123">
        <f>IF(OR(FE$4="",$B11=""),0,SUMIF('DADOS BRUTOS'!$A$3:$A$500,$B11,'DADOS BRUTOS'!CE$3:CE$500)+IF($C11="",0,SUMIF('DADOS BRUTOS'!$A$3:$A$500,$C11,'DADOS BRUTOS'!CE$3:CE$500)))</f>
        <v/>
      </c>
      <c r="FF11" s="123">
        <f>IF(OR(FF$4="",$B11=""),0,SUMIF('DADOS BRUTOS'!$A$3:$A$500,$B11,'DADOS BRUTOS'!CF$3:CF$500)+IF($C11="",0,SUMIF('DADOS BRUTOS'!$A$3:$A$500,$C11,'DADOS BRUTOS'!CF$3:CF$500)))</f>
        <v/>
      </c>
      <c r="FG11" s="123">
        <f>IF(OR(FG$4="",$B11=""),0,SUMIF('DADOS BRUTOS'!$A$3:$A$500,$B11,'DADOS BRUTOS'!CG$3:CG$500)+IF($C11="",0,SUMIF('DADOS BRUTOS'!$A$3:$A$500,$C11,'DADOS BRUTOS'!CG$3:CG$500)))</f>
        <v/>
      </c>
      <c r="FH11" s="123">
        <f>IF(OR(FH$4="",$B11=""),0,SUMIF('DADOS BRUTOS'!$A$3:$A$500,$B11,'DADOS BRUTOS'!CH$3:CH$500)+IF($C11="",0,SUMIF('DADOS BRUTOS'!$A$3:$A$500,$C11,'DADOS BRUTOS'!CH$3:CH$500)))</f>
        <v/>
      </c>
      <c r="FI11" s="123">
        <f>IF(OR(FI$4="",$B11=""),0,SUMIF('DADOS BRUTOS'!$A$3:$A$500,$B11,'DADOS BRUTOS'!CI$3:CI$500)+IF($C11="",0,SUMIF('DADOS BRUTOS'!$A$3:$A$500,$C11,'DADOS BRUTOS'!CI$3:CI$500)))</f>
        <v/>
      </c>
      <c r="FJ11" s="123">
        <f>IF(OR(FJ$4="",$B11=""),0,SUMIF('DADOS BRUTOS'!$A$3:$A$500,$B11,'DADOS BRUTOS'!CJ$3:CJ$500)+IF($C11="",0,SUMIF('DADOS BRUTOS'!$A$3:$A$500,$C11,'DADOS BRUTOS'!CJ$3:CJ$500)))</f>
        <v/>
      </c>
      <c r="FK11" s="123">
        <f>IF(OR(FK$4="",$B11=""),0,SUMIF('DADOS BRUTOS'!$A$3:$A$500,$B11,'DADOS BRUTOS'!CK$3:CK$500)+IF($C11="",0,SUMIF('DADOS BRUTOS'!$A$3:$A$500,$C11,'DADOS BRUTOS'!CK$3:CK$500)))</f>
        <v/>
      </c>
      <c r="FL11" s="123">
        <f>IF(OR(FL$4="",$B11=""),0,SUMIF('DADOS BRUTOS'!$A$3:$A$500,$B11,'DADOS BRUTOS'!CL$3:CL$500)+IF($C11="",0,SUMIF('DADOS BRUTOS'!$A$3:$A$500,$C11,'DADOS BRUTOS'!CL$3:CL$500)))</f>
        <v/>
      </c>
      <c r="FM11" s="123">
        <f>IF(OR(FM$4="",$B11=""),0,SUMIF('DADOS BRUTOS'!$A$3:$A$500,$B11,'DADOS BRUTOS'!CM$3:CM$500)+IF($C11="",0,SUMIF('DADOS BRUTOS'!$A$3:$A$500,$C11,'DADOS BRUTOS'!CM$3:CM$500)))</f>
        <v/>
      </c>
      <c r="FN11" s="123">
        <f>IF(OR(FN$4="",$B11=""),0,SUMIF('DADOS BRUTOS'!$A$3:$A$500,$B11,'DADOS BRUTOS'!CN$3:CN$500)+IF($C11="",0,SUMIF('DADOS BRUTOS'!$A$3:$A$500,$C11,'DADOS BRUTOS'!CN$3:CN$500)))</f>
        <v/>
      </c>
      <c r="FO11" s="123">
        <f>IF(OR(FO$4="",$B11=""),0,SUMIF('DADOS BRUTOS'!$A$3:$A$500,$B11,'DADOS BRUTOS'!CO$3:CO$500)+IF($C11="",0,SUMIF('DADOS BRUTOS'!$A$3:$A$500,$C11,'DADOS BRUTOS'!CO$3:CO$500)))</f>
        <v/>
      </c>
      <c r="FP11" s="123">
        <f>IF(OR(FP$4="",$B11=""),0,SUMIF('DADOS BRUTOS'!$A$3:$A$500,$B11,'DADOS BRUTOS'!CP$3:CP$500)+IF($C11="",0,SUMIF('DADOS BRUTOS'!$A$3:$A$500,$C11,'DADOS BRUTOS'!CP$3:CP$500)))</f>
        <v/>
      </c>
      <c r="FQ11" s="123">
        <f>IF(OR(FQ$4="",$B11=""),0,SUMIF('DADOS BRUTOS'!$A$3:$A$500,$B11,'DADOS BRUTOS'!CQ$3:CQ$500)+IF($C11="",0,SUMIF('DADOS BRUTOS'!$A$3:$A$500,$C11,'DADOS BRUTOS'!CQ$3:CQ$500)))</f>
        <v/>
      </c>
      <c r="FR11" s="123">
        <f>IF(OR(FR$4="",$B11=""),0,SUMIF('DADOS BRUTOS'!$A$3:$A$500,$B11,'DADOS BRUTOS'!CR$3:CR$500)+IF($C11="",0,SUMIF('DADOS BRUTOS'!$A$3:$A$500,$C11,'DADOS BRUTOS'!CR$3:CR$500)))</f>
        <v/>
      </c>
      <c r="FS11" s="123">
        <f>IF(OR(FS$4="",$B11=""),0,SUMIF('DADOS BRUTOS'!$A$3:$A$500,$B11,'DADOS BRUTOS'!CS$3:CS$500)+IF($C11="",0,SUMIF('DADOS BRUTOS'!$A$3:$A$500,$C11,'DADOS BRUTOS'!CS$3:CS$500)))</f>
        <v/>
      </c>
      <c r="FT11" s="123">
        <f>IF(OR(FT$4="",$B11=""),0,SUMIF('DADOS BRUTOS'!$A$3:$A$500,$B11,'DADOS BRUTOS'!CT$3:CT$500)+IF($C11="",0,SUMIF('DADOS BRUTOS'!$A$3:$A$500,$C11,'DADOS BRUTOS'!CT$3:CT$500)))</f>
        <v/>
      </c>
      <c r="FU11" s="123">
        <f>IF(OR(FU$4="",$B11=""),0,SUMIF('DADOS BRUTOS'!$A$3:$A$500,$B11,'DADOS BRUTOS'!CU$3:CU$500)+IF($C11="",0,SUMIF('DADOS BRUTOS'!$A$3:$A$500,$C11,'DADOS BRUTOS'!CU$3:CU$500)))</f>
        <v/>
      </c>
      <c r="FV11" s="123">
        <f>IF(OR(FV$4="",$B11=""),0,SUMIF('DADOS BRUTOS'!$A$3:$A$500,$B11,'DADOS BRUTOS'!CV$3:CV$500)+IF($C11="",0,SUMIF('DADOS BRUTOS'!$A$3:$A$500,$C11,'DADOS BRUTOS'!CV$3:CV$500)))</f>
        <v/>
      </c>
      <c r="FW11" s="123">
        <f>IF(OR(FW$4="",$B11=""),0,SUMIF('DADOS BRUTOS'!$A$3:$A$500,$B11,'DADOS BRUTOS'!CW$3:CW$500)+IF($C11="",0,SUMIF('DADOS BRUTOS'!$A$3:$A$500,$C11,'DADOS BRUTOS'!CW$3:CW$500)))</f>
        <v/>
      </c>
      <c r="FX11" s="123">
        <f>IF(OR(FX$4="",$B11=""),0,SUMIF('DADOS BRUTOS'!$A$3:$A$500,$B11,'DADOS BRUTOS'!CX$3:CX$500)+IF($C11="",0,SUMIF('DADOS BRUTOS'!$A$3:$A$500,$C11,'DADOS BRUTOS'!CX$3:CX$500)))</f>
        <v/>
      </c>
      <c r="FY11" s="123">
        <f>IF(OR(FY$4="",$B11=""),0,SUMIF('DADOS BRUTOS'!$A$3:$A$500,$B11,'DADOS BRUTOS'!CY$3:CY$500)+IF($C11="",0,SUMIF('DADOS BRUTOS'!$A$3:$A$500,$C11,'DADOS BRUTOS'!CY$3:CY$500)))</f>
        <v/>
      </c>
      <c r="FZ11" s="123">
        <f>IF(OR(FZ$4="",$B11=""),0,SUMIF('DADOS BRUTOS'!$A$3:$A$500,$B11,'DADOS BRUTOS'!CZ$3:CZ$500)+IF($C11="",0,SUMIF('DADOS BRUTOS'!$A$3:$A$500,$C11,'DADOS BRUTOS'!CZ$3:CZ$500)))</f>
        <v/>
      </c>
      <c r="GA11" s="123">
        <f>IF(OR(GA$4="",$B11=""),0,SUMIF('DADOS BRUTOS'!$A$3:$A$500,$B11,'DADOS BRUTOS'!DA$3:DA$500)+IF($C11="",0,SUMIF('DADOS BRUTOS'!$A$3:$A$500,$C11,'DADOS BRUTOS'!DA$3:DA$500)))</f>
        <v/>
      </c>
      <c r="GB11" s="123">
        <f>IF(OR(GB$4="",$B11=""),0,SUMIF('DADOS BRUTOS'!$A$3:$A$500,$B11,'DADOS BRUTOS'!DB$3:DB$500)+IF($C11="",0,SUMIF('DADOS BRUTOS'!$A$3:$A$500,$C11,'DADOS BRUTOS'!DB$3:DB$500)))</f>
        <v/>
      </c>
      <c r="GC11" s="123">
        <f>IF(OR(GC$4="",$B11=""),0,SUMIF('DADOS BRUTOS'!$A$3:$A$500,$B11,'DADOS BRUTOS'!DC$3:DC$500)+IF($C11="",0,SUMIF('DADOS BRUTOS'!$A$3:$A$500,$C11,'DADOS BRUTOS'!DC$3:DC$500)))</f>
        <v/>
      </c>
      <c r="GD11" s="123">
        <f>IF(OR(GD$4="",$B11=""),0,SUMIF('DADOS BRUTOS'!$A$3:$A$500,$B11,'DADOS BRUTOS'!DD$3:DD$500)+IF($C11="",0,SUMIF('DADOS BRUTOS'!$A$3:$A$500,$C11,'DADOS BRUTOS'!DD$3:DD$500)))</f>
        <v/>
      </c>
      <c r="GE11" s="123">
        <f>IF(OR(GE$4="",$B11=""),0,SUMIF('DADOS BRUTOS'!$A$3:$A$500,$B11,'DADOS BRUTOS'!DE$3:DE$500)+IF($C11="",0,SUMIF('DADOS BRUTOS'!$A$3:$A$500,$C11,'DADOS BRUTOS'!DE$3:DE$500)))</f>
        <v/>
      </c>
      <c r="GF11" s="123">
        <f>IF(OR(GF$4="",$B11=""),0,SUMIF('DADOS BRUTOS'!$A$3:$A$500,$B11,'DADOS BRUTOS'!DF$3:DF$500)+IF($C11="",0,SUMIF('DADOS BRUTOS'!$A$3:$A$500,$C11,'DADOS BRUTOS'!DF$3:DF$500)))</f>
        <v/>
      </c>
      <c r="GG11" s="123">
        <f>IF(OR(GG$4="",$B11=""),0,SUMIF('DADOS BRUTOS'!$A$3:$A$500,$B11,'DADOS BRUTOS'!DG$3:DG$500)+IF($C11="",0,SUMIF('DADOS BRUTOS'!$A$3:$A$500,$C11,'DADOS BRUTOS'!DG$3:DG$500)))</f>
        <v/>
      </c>
      <c r="GH11" s="123">
        <f>IF(OR(GH$4="",$B11=""),0,SUMIF('DADOS BRUTOS'!$A$3:$A$500,$B11,'DADOS BRUTOS'!DH$3:DH$500)+IF($C11="",0,SUMIF('DADOS BRUTOS'!$A$3:$A$500,$C11,'DADOS BRUTOS'!DH$3:DH$500)))</f>
        <v/>
      </c>
      <c r="GI11" s="123">
        <f>IF(OR(GI$4="",$B11=""),0,SUMIF('DADOS BRUTOS'!$A$3:$A$500,$B11,'DADOS BRUTOS'!DI$3:DI$500)+IF($C11="",0,SUMIF('DADOS BRUTOS'!$A$3:$A$500,$C11,'DADOS BRUTOS'!DI$3:DI$500)))</f>
        <v/>
      </c>
      <c r="GJ11" s="123">
        <f>IF(OR(GJ$4="",$B11=""),0,SUMIF('DADOS BRUTOS'!$A$3:$A$500,$B11,'DADOS BRUTOS'!DJ$3:DJ$500)+IF($C11="",0,SUMIF('DADOS BRUTOS'!$A$3:$A$500,$C11,'DADOS BRUTOS'!DJ$3:DJ$500)))</f>
        <v/>
      </c>
      <c r="GK11" s="123">
        <f>IF(OR(GK$4="",$B11=""),0,SUMIF('DADOS BRUTOS'!$A$3:$A$500,$B11,'DADOS BRUTOS'!DK$3:DK$500)+IF($C11="",0,SUMIF('DADOS BRUTOS'!$A$3:$A$500,$C11,'DADOS BRUTOS'!DK$3:DK$500)))</f>
        <v/>
      </c>
      <c r="GL11" s="123">
        <f>IF(OR(GL$4="",$B11=""),0,SUMIF('DADOS BRUTOS'!$A$3:$A$500,$B11,'DADOS BRUTOS'!DL$3:DL$500)+IF($C11="",0,SUMIF('DADOS BRUTOS'!$A$3:$A$500,$C11,'DADOS BRUTOS'!DL$3:DL$500)))</f>
        <v/>
      </c>
      <c r="GM11" s="123">
        <f>IF(OR(GM$4="",$B11=""),0,SUMIF('DADOS BRUTOS'!$A$3:$A$500,$B11,'DADOS BRUTOS'!DM$3:DM$500)+IF($C11="",0,SUMIF('DADOS BRUTOS'!$A$3:$A$500,$C11,'DADOS BRUTOS'!DM$3:DM$500)))</f>
        <v/>
      </c>
      <c r="GN11" s="123">
        <f>IF(OR(GN$4="",$B11=""),0,SUMIF('DADOS BRUTOS'!$A$3:$A$500,$B11,'DADOS BRUTOS'!DN$3:DN$500)+IF($C11="",0,SUMIF('DADOS BRUTOS'!$A$3:$A$500,$C11,'DADOS BRUTOS'!DN$3:DN$500)))</f>
        <v/>
      </c>
      <c r="GO11" s="123">
        <f>IF(OR(GO$4="",$B11=""),0,SUMIF('DADOS BRUTOS'!$A$3:$A$500,$B11,'DADOS BRUTOS'!DO$3:DO$500)+IF($C11="",0,SUMIF('DADOS BRUTOS'!$A$3:$A$500,$C11,'DADOS BRUTOS'!DO$3:DO$500)))</f>
        <v/>
      </c>
      <c r="GP11" s="123">
        <f>IF(OR(GP$4="",$B11=""),0,SUMIF('DADOS BRUTOS'!$A$3:$A$500,$B11,'DADOS BRUTOS'!DP$3:DP$500)+IF($C11="",0,SUMIF('DADOS BRUTOS'!$A$3:$A$500,$C11,'DADOS BRUTOS'!DP$3:DP$500)))</f>
        <v/>
      </c>
      <c r="GQ11" s="123">
        <f>IF(OR(GQ$4="",$B11=""),0,SUMIF('DADOS BRUTOS'!$A$3:$A$500,$B11,'DADOS BRUTOS'!DQ$3:DQ$500)+IF($C11="",0,SUMIF('DADOS BRUTOS'!$A$3:$A$500,$C11,'DADOS BRUTOS'!DQ$3:DQ$500)))</f>
        <v/>
      </c>
      <c r="GR11" s="123">
        <f>IF(OR(GR$4="",$B11=""),0,SUMIF('DADOS BRUTOS'!$A$3:$A$500,$B11,'DADOS BRUTOS'!DR$3:DR$500)+IF($C11="",0,SUMIF('DADOS BRUTOS'!$A$3:$A$500,$C11,'DADOS BRUTOS'!DR$3:DR$500)))</f>
        <v/>
      </c>
      <c r="GS11" s="123">
        <f>IF(OR(GS$4="",$B11=""),0,SUMIF('DADOS BRUTOS'!$A$3:$A$500,$B11,'DADOS BRUTOS'!DS$3:DS$500)+IF($C11="",0,SUMIF('DADOS BRUTOS'!$A$3:$A$500,$C11,'DADOS BRUTOS'!DS$3:DS$500)))</f>
        <v/>
      </c>
      <c r="GT11" s="123">
        <f>IF(OR(GT$4="",$B11=""),0,SUMIF('DADOS BRUTOS'!$A$3:$A$500,$B11,'DADOS BRUTOS'!DT$3:DT$500)+IF($C11="",0,SUMIF('DADOS BRUTOS'!$A$3:$A$500,$C11,'DADOS BRUTOS'!DT$3:DT$500)))</f>
        <v/>
      </c>
      <c r="GU11" s="123">
        <f>IF(OR(GU$4="",$B11=""),0,SUMIF('DADOS BRUTOS'!$A$3:$A$500,$B11,'DADOS BRUTOS'!DU$3:DU$500)+IF($C11="",0,SUMIF('DADOS BRUTOS'!$A$3:$A$500,$C11,'DADOS BRUTOS'!DU$3:DU$500)))</f>
        <v/>
      </c>
      <c r="GV11" s="123">
        <f>IF(OR(GV$4="",$B11=""),0,SUMIF('DADOS BRUTOS'!$A$3:$A$500,$B11,'DADOS BRUTOS'!DV$3:DV$500)+IF($C11="",0,SUMIF('DADOS BRUTOS'!$A$3:$A$500,$C11,'DADOS BRUTOS'!DV$3:DV$500)))</f>
        <v/>
      </c>
      <c r="GW11" s="123">
        <f>IF(OR(GW$4="",$B11=""),0,SUMIF('DADOS BRUTOS'!$A$3:$A$500,$B11,'DADOS BRUTOS'!DW$3:DW$500)+IF($C11="",0,SUMIF('DADOS BRUTOS'!$A$3:$A$500,$C11,'DADOS BRUTOS'!DW$3:DW$500)))</f>
        <v/>
      </c>
      <c r="GX11" s="123">
        <f>IF(OR(GX$4="",$B11=""),0,SUMIF('DADOS BRUTOS'!$A$3:$A$500,$B11,'DADOS BRUTOS'!DX$3:DX$500)+IF($C11="",0,SUMIF('DADOS BRUTOS'!$A$3:$A$500,$C11,'DADOS BRUTOS'!DX$3:DX$500)))</f>
        <v/>
      </c>
      <c r="GY11" s="123">
        <f>IF(OR(GY$4="",$B11=""),0,SUMIF('DADOS BRUTOS'!$A$3:$A$500,$B11,'DADOS BRUTOS'!DY$3:DY$500)+IF($C11="",0,SUMIF('DADOS BRUTOS'!$A$3:$A$500,$C11,'DADOS BRUTOS'!DY$3:DY$500)))</f>
        <v/>
      </c>
      <c r="GZ11" s="123">
        <f>IF(OR(GZ$4="",$B11=""),0,SUMIF('DADOS BRUTOS'!$A$3:$A$500,$B11,'DADOS BRUTOS'!DZ$3:DZ$500)+IF($C11="",0,SUMIF('DADOS BRUTOS'!$A$3:$A$500,$C11,'DADOS BRUTOS'!DZ$3:DZ$500)))</f>
        <v/>
      </c>
      <c r="HA11" s="123">
        <f>IF(OR(HA$4="",$B11=""),0,SUMIF('DADOS BRUTOS'!$A$3:$A$500,$B11,'DADOS BRUTOS'!EA$3:EA$500)+IF($C11="",0,SUMIF('DADOS BRUTOS'!$A$3:$A$500,$C11,'DADOS BRUTOS'!EA$3:EA$500)))</f>
        <v/>
      </c>
      <c r="HB11" s="123">
        <f>IF(OR(HB$4="",$B11=""),0,SUMIF('DADOS BRUTOS'!$A$3:$A$500,$B11,'DADOS BRUTOS'!EB$3:EB$500)+IF($C11="",0,SUMIF('DADOS BRUTOS'!$A$3:$A$500,$C11,'DADOS BRUTOS'!EB$3:EB$500)))</f>
        <v/>
      </c>
      <c r="HC11" s="123">
        <f>IF(OR(HC$4="",$B11=""),0,SUMIF('DADOS BRUTOS'!$A$3:$A$500,$B11,'DADOS BRUTOS'!EC$3:EC$500)+IF($C11="",0,SUMIF('DADOS BRUTOS'!$A$3:$A$500,$C11,'DADOS BRUTOS'!EC$3:EC$500)))</f>
        <v/>
      </c>
      <c r="HD11" s="123">
        <f>IF(OR(HD$4="",$B11=""),0,SUMIF('DADOS BRUTOS'!$A$3:$A$500,$B11,'DADOS BRUTOS'!ED$3:ED$500)+IF($C11="",0,SUMIF('DADOS BRUTOS'!$A$3:$A$500,$C11,'DADOS BRUTOS'!ED$3:ED$500)))</f>
        <v/>
      </c>
      <c r="HE11" s="123">
        <f>IF(OR(HE$4="",$B11=""),0,SUMIF('DADOS BRUTOS'!$A$3:$A$500,$B11,'DADOS BRUTOS'!EE$3:EE$500)+IF($C11="",0,SUMIF('DADOS BRUTOS'!$A$3:$A$500,$C11,'DADOS BRUTOS'!EE$3:EE$500)))</f>
        <v/>
      </c>
      <c r="HF11" s="123">
        <f>IF(OR(HF$4="",$B11=""),0,SUMIF('DADOS BRUTOS'!$A$3:$A$500,$B11,'DADOS BRUTOS'!EF$3:EF$500)+IF($C11="",0,SUMIF('DADOS BRUTOS'!$A$3:$A$500,$C11,'DADOS BRUTOS'!EF$3:EF$500)))</f>
        <v/>
      </c>
      <c r="HG11" s="123">
        <f>IF(OR(HG$4="",$B11=""),0,SUMIF('DADOS BRUTOS'!$A$3:$A$500,$B11,'DADOS BRUTOS'!EG$3:EG$500)+IF($C11="",0,SUMIF('DADOS BRUTOS'!$A$3:$A$500,$C11,'DADOS BRUTOS'!EG$3:EG$500)))</f>
        <v/>
      </c>
      <c r="HH11" s="123">
        <f>IF(OR(HH$4="",$B11=""),0,SUMIF('DADOS BRUTOS'!$A$3:$A$500,$B11,'DADOS BRUTOS'!EH$3:EH$500)+IF($C11="",0,SUMIF('DADOS BRUTOS'!$A$3:$A$500,$C11,'DADOS BRUTOS'!EH$3:EH$500)))</f>
        <v/>
      </c>
      <c r="HI11" s="123">
        <f>IF(OR(HI$4="",$B11=""),0,SUMIF('DADOS BRUTOS'!$A$3:$A$500,$B11,'DADOS BRUTOS'!EI$3:EI$500)+IF($C11="",0,SUMIF('DADOS BRUTOS'!$A$3:$A$500,$C11,'DADOS BRUTOS'!EI$3:EI$500)))</f>
        <v/>
      </c>
      <c r="HJ11" s="123">
        <f>IF(OR(HJ$4="",$B11=""),0,SUMIF('DADOS BRUTOS'!$A$3:$A$500,$B11,'DADOS BRUTOS'!EJ$3:EJ$500)+IF($C11="",0,SUMIF('DADOS BRUTOS'!$A$3:$A$500,$C11,'DADOS BRUTOS'!EJ$3:EJ$500)))</f>
        <v/>
      </c>
      <c r="HK11" s="123">
        <f>IF(OR(HK$4="",$B11=""),0,SUMIF('DADOS BRUTOS'!$A$3:$A$500,$B11,'DADOS BRUTOS'!EK$3:EK$500)+IF($C11="",0,SUMIF('DADOS BRUTOS'!$A$3:$A$500,$C11,'DADOS BRUTOS'!EK$3:EK$500)))</f>
        <v/>
      </c>
      <c r="HL11" s="123">
        <f>IF(OR(HL$4="",$B11=""),0,SUMIF('DADOS BRUTOS'!$A$3:$A$500,$B11,'DADOS BRUTOS'!EL$3:EL$500)+IF($C11="",0,SUMIF('DADOS BRUTOS'!$A$3:$A$500,$C11,'DADOS BRUTOS'!EL$3:EL$500)))</f>
        <v/>
      </c>
      <c r="HM11" s="123">
        <f>IF(OR(HM$4="",$B11=""),0,SUMIF('DADOS BRUTOS'!$A$3:$A$500,$B11,'DADOS BRUTOS'!EM$3:EM$500)+IF($C11="",0,SUMIF('DADOS BRUTOS'!$A$3:$A$500,$C11,'DADOS BRUTOS'!EM$3:EM$500)))</f>
        <v/>
      </c>
      <c r="HN11" s="123">
        <f>IF(OR(HN$4="",$B11=""),0,SUMIF('DADOS BRUTOS'!$A$3:$A$500,$B11,'DADOS BRUTOS'!EN$3:EN$500)+IF($C11="",0,SUMIF('DADOS BRUTOS'!$A$3:$A$500,$C11,'DADOS BRUTOS'!EN$3:EN$500)))</f>
        <v/>
      </c>
      <c r="HO11" s="123">
        <f>IF(OR(HO$4="",$B11=""),0,SUMIF('DADOS BRUTOS'!$A$3:$A$500,$B11,'DADOS BRUTOS'!EO$3:EO$500)+IF($C11="",0,SUMIF('DADOS BRUTOS'!$A$3:$A$500,$C11,'DADOS BRUTOS'!EO$3:EO$500)))</f>
        <v/>
      </c>
      <c r="HP11" s="123">
        <f>IF(OR(HP$4="",$B11=""),0,SUMIF('DADOS BRUTOS'!$A$3:$A$500,$B11,'DADOS BRUTOS'!EP$3:EP$500)+IF($C11="",0,SUMIF('DADOS BRUTOS'!$A$3:$A$500,$C11,'DADOS BRUTOS'!EP$3:EP$500)))</f>
        <v/>
      </c>
      <c r="HQ11" s="123">
        <f>IF(OR(HQ$4="",$B11=""),0,SUMIF('DADOS BRUTOS'!$A$3:$A$500,$B11,'DADOS BRUTOS'!EQ$3:EQ$500)+IF($C11="",0,SUMIF('DADOS BRUTOS'!$A$3:$A$500,$C11,'DADOS BRUTOS'!EQ$3:EQ$500)))</f>
        <v/>
      </c>
      <c r="HR11" s="123">
        <f>IF(OR(HR$4="",$B11=""),0,SUMIF('DADOS BRUTOS'!$A$3:$A$500,$B11,'DADOS BRUTOS'!ER$3:ER$500)+IF($C11="",0,SUMIF('DADOS BRUTOS'!$A$3:$A$500,$C11,'DADOS BRUTOS'!ER$3:ER$500)))</f>
        <v/>
      </c>
      <c r="HS11" s="123">
        <f>IF(OR(HS$4="",$B11=""),0,SUMIF('DADOS BRUTOS'!$A$3:$A$500,$B11,'DADOS BRUTOS'!ES$3:ES$500)+IF($C11="",0,SUMIF('DADOS BRUTOS'!$A$3:$A$500,$C11,'DADOS BRUTOS'!ES$3:ES$500)))</f>
        <v/>
      </c>
      <c r="HT11" s="123">
        <f>IF(OR(HT$4="",$B11=""),0,SUMIF('DADOS BRUTOS'!$A$3:$A$500,$B11,'DADOS BRUTOS'!ET$3:ET$500)+IF($C11="",0,SUMIF('DADOS BRUTOS'!$A$3:$A$500,$C11,'DADOS BRUTOS'!ET$3:ET$500)))</f>
        <v/>
      </c>
      <c r="HU11" s="123">
        <f>IF(OR(HU$4="",$B11=""),0,SUMIF('DADOS BRUTOS'!$A$3:$A$500,$B11,'DADOS BRUTOS'!EU$3:EU$500)+IF($C11="",0,SUMIF('DADOS BRUTOS'!$A$3:$A$500,$C11,'DADOS BRUTOS'!EU$3:EU$500)))</f>
        <v/>
      </c>
      <c r="HV11" s="123">
        <f>IF(OR(HV$4="",$B11=""),0,SUMIF('DADOS BRUTOS'!$A$3:$A$500,$B11,'DADOS BRUTOS'!EV$3:EV$500)+IF($C11="",0,SUMIF('DADOS BRUTOS'!$A$3:$A$500,$C11,'DADOS BRUTOS'!EV$3:EV$500)))</f>
        <v/>
      </c>
      <c r="HW11" s="123">
        <f>IF(OR(HW$4="",$B11=""),0,SUMIF('DADOS BRUTOS'!$A$3:$A$500,$B11,'DADOS BRUTOS'!EW$3:EW$500)+IF($C11="",0,SUMIF('DADOS BRUTOS'!$A$3:$A$500,$C11,'DADOS BRUTOS'!EW$3:EW$500)))</f>
        <v/>
      </c>
      <c r="HX11" s="123">
        <f>IF(OR(HX$4="",$B11=""),0,SUMIF('DADOS BRUTOS'!$A$3:$A$500,$B11,'DADOS BRUTOS'!EX$3:EX$500)+IF($C11="",0,SUMIF('DADOS BRUTOS'!$A$3:$A$500,$C11,'DADOS BRUTOS'!EX$3:EX$500)))</f>
        <v/>
      </c>
      <c r="HY11" s="123">
        <f>IF(OR(HY$4="",$B11=""),0,SUMIF('DADOS BRUTOS'!$A$3:$A$500,$B11,'DADOS BRUTOS'!EY$3:EY$500)+IF($C11="",0,SUMIF('DADOS BRUTOS'!$A$3:$A$500,$C11,'DADOS BRUTOS'!EY$3:EY$500)))</f>
        <v/>
      </c>
      <c r="HZ11" s="123">
        <f>IF(OR(HZ$4="",$B11=""),0,SUMIF('DADOS BRUTOS'!$A$3:$A$500,$B11,'DADOS BRUTOS'!EZ$3:EZ$500)+IF($C11="",0,SUMIF('DADOS BRUTOS'!$A$3:$A$500,$C11,'DADOS BRUTOS'!EZ$3:EZ$500)))</f>
        <v/>
      </c>
      <c r="IA11" s="123">
        <f>IF(OR(IA$4="",$B11=""),0,SUMIF('DADOS BRUTOS'!$A$3:$A$500,$B11,'DADOS BRUTOS'!FA$3:FA$500)+IF($C11="",0,SUMIF('DADOS BRUTOS'!$A$3:$A$500,$C11,'DADOS BRUTOS'!FA$3:FA$500)))</f>
        <v/>
      </c>
      <c r="IB11" s="123">
        <f>IF(OR(IB$4="",$B11=""),0,SUMIF('DADOS BRUTOS'!$A$3:$A$500,$B11,'DADOS BRUTOS'!FB$3:FB$500)+IF($C11="",0,SUMIF('DADOS BRUTOS'!$A$3:$A$500,$C11,'DADOS BRUTOS'!FB$3:FB$500)))</f>
        <v/>
      </c>
      <c r="IC11" s="123">
        <f>IF(OR(IC$4="",$B11=""),0,SUMIF('DADOS BRUTOS'!$A$3:$A$500,$B11,'DADOS BRUTOS'!FC$3:FC$500)+IF($C11="",0,SUMIF('DADOS BRUTOS'!$A$3:$A$500,$C11,'DADOS BRUTOS'!FC$3:FC$500)))</f>
        <v/>
      </c>
      <c r="ID11" s="123">
        <f>IF(OR(ID$4="",$B11=""),0,SUMIF('DADOS BRUTOS'!$A$3:$A$500,$B11,'DADOS BRUTOS'!FD$3:FD$500)+IF($C11="",0,SUMIF('DADOS BRUTOS'!$A$3:$A$500,$C11,'DADOS BRUTOS'!FD$3:FD$500)))</f>
        <v/>
      </c>
      <c r="IE11" s="123">
        <f>IF(OR(IE$4="",$B11=""),0,SUMIF('DADOS BRUTOS'!$A$3:$A$500,$B11,'DADOS BRUTOS'!FE$3:FE$500)+IF($C11="",0,SUMIF('DADOS BRUTOS'!$A$3:$A$500,$C11,'DADOS BRUTOS'!FE$3:FE$500)))</f>
        <v/>
      </c>
      <c r="IF11" s="123">
        <f>IF(OR(IF$4="",$B11=""),0,SUMIF('DADOS BRUTOS'!$A$3:$A$500,$B11,'DADOS BRUTOS'!FF$3:FF$500)+IF($C11="",0,SUMIF('DADOS BRUTOS'!$A$3:$A$500,$C11,'DADOS BRUTOS'!FF$3:FF$500)))</f>
        <v/>
      </c>
      <c r="IG11" s="123">
        <f>IF(OR(IG$4="",$B11=""),0,SUMIF('DADOS BRUTOS'!$A$3:$A$500,$B11,'DADOS BRUTOS'!FG$3:FG$500)+IF($C11="",0,SUMIF('DADOS BRUTOS'!$A$3:$A$500,$C11,'DADOS BRUTOS'!FG$3:FG$500)))</f>
        <v/>
      </c>
      <c r="IH11" s="123">
        <f>IF(OR(IH$4="",$B11=""),0,SUMIF('DADOS BRUTOS'!$A$3:$A$500,$B11,'DADOS BRUTOS'!FH$3:FH$500)+IF($C11="",0,SUMIF('DADOS BRUTOS'!$A$3:$A$500,$C11,'DADOS BRUTOS'!FH$3:FH$500)))</f>
        <v/>
      </c>
      <c r="II11" s="123">
        <f>IF(OR(II$4="",$B11=""),0,SUMIF('DADOS BRUTOS'!$A$3:$A$500,$B11,'DADOS BRUTOS'!FI$3:FI$500)+IF($C11="",0,SUMIF('DADOS BRUTOS'!$A$3:$A$500,$C11,'DADOS BRUTOS'!FI$3:FI$500)))</f>
        <v/>
      </c>
      <c r="IJ11" s="123">
        <f>IF(OR(IJ$4="",$B11=""),0,SUMIF('DADOS BRUTOS'!$A$3:$A$500,$B11,'DADOS BRUTOS'!FJ$3:FJ$500)+IF($C11="",0,SUMIF('DADOS BRUTOS'!$A$3:$A$500,$C11,'DADOS BRUTOS'!FJ$3:FJ$500)))</f>
        <v/>
      </c>
      <c r="IK11" s="123">
        <f>IF(OR(IK$4="",$B11=""),0,SUMIF('DADOS BRUTOS'!$A$3:$A$500,$B11,'DADOS BRUTOS'!FK$3:FK$500)+IF($C11="",0,SUMIF('DADOS BRUTOS'!$A$3:$A$500,$C11,'DADOS BRUTOS'!FK$3:FK$500)))</f>
        <v/>
      </c>
      <c r="IL11" s="123">
        <f>IF(OR(IL$4="",$B11=""),0,SUMIF('DADOS BRUTOS'!$A$3:$A$500,$B11,'DADOS BRUTOS'!FL$3:FL$500)+IF($C11="",0,SUMIF('DADOS BRUTOS'!$A$3:$A$500,$C11,'DADOS BRUTOS'!FL$3:FL$500)))</f>
        <v/>
      </c>
      <c r="IM11" s="123">
        <f>IF(OR(IM$4="",$B11=""),0,SUMIF('DADOS BRUTOS'!$A$3:$A$500,$B11,'DADOS BRUTOS'!FM$3:FM$500)+IF($C11="",0,SUMIF('DADOS BRUTOS'!$A$3:$A$500,$C11,'DADOS BRUTOS'!FM$3:FM$500)))</f>
        <v/>
      </c>
      <c r="IN11" s="123">
        <f>IF(OR(IN$4="",$B11=""),0,SUMIF('DADOS BRUTOS'!$A$3:$A$500,$B11,'DADOS BRUTOS'!FN$3:FN$500)+IF($C11="",0,SUMIF('DADOS BRUTOS'!$A$3:$A$500,$C11,'DADOS BRUTOS'!FN$3:FN$500)))</f>
        <v/>
      </c>
      <c r="IO11" s="123">
        <f>IF(OR(IO$4="",$B11=""),0,SUMIF('DADOS BRUTOS'!$A$3:$A$500,$B11,'DADOS BRUTOS'!FO$3:FO$500)+IF($C11="",0,SUMIF('DADOS BRUTOS'!$A$3:$A$500,$C11,'DADOS BRUTOS'!FO$3:FO$500)))</f>
        <v/>
      </c>
      <c r="IP11" s="123">
        <f>IF(OR(IP$4="",$B11=""),0,SUMIF('DADOS BRUTOS'!$A$3:$A$500,$B11,'DADOS BRUTOS'!FP$3:FP$500)+IF($C11="",0,SUMIF('DADOS BRUTOS'!$A$3:$A$500,$C11,'DADOS BRUTOS'!FP$3:FP$500)))</f>
        <v/>
      </c>
      <c r="IQ11" s="123">
        <f>IF(OR(IQ$4="",$B11=""),0,SUMIF('DADOS BRUTOS'!$A$3:$A$500,$B11,'DADOS BRUTOS'!FQ$3:FQ$500)+IF($C11="",0,SUMIF('DADOS BRUTOS'!$A$3:$A$500,$C11,'DADOS BRUTOS'!FQ$3:FQ$500)))</f>
        <v/>
      </c>
      <c r="IR11" s="123">
        <f>IF(OR(IR$4="",$B11=""),0,SUMIF('DADOS BRUTOS'!$A$3:$A$500,$B11,'DADOS BRUTOS'!FR$3:FR$500)+IF($C11="",0,SUMIF('DADOS BRUTOS'!$A$3:$A$500,$C11,'DADOS BRUTOS'!FR$3:FR$500)))</f>
        <v/>
      </c>
      <c r="IS11" s="123">
        <f>IF(OR(IS$4="",$B11=""),0,SUMIF('DADOS BRUTOS'!$A$3:$A$500,$B11,'DADOS BRUTOS'!FS$3:FS$500)+IF($C11="",0,SUMIF('DADOS BRUTOS'!$A$3:$A$500,$C11,'DADOS BRUTOS'!FS$3:FS$500)))</f>
        <v/>
      </c>
      <c r="IT11" s="123">
        <f>IF(OR(IT$4="",$B11=""),0,SUMIF('DADOS BRUTOS'!$A$3:$A$500,$B11,'DADOS BRUTOS'!FT$3:FT$500)+IF($C11="",0,SUMIF('DADOS BRUTOS'!$A$3:$A$500,$C11,'DADOS BRUTOS'!FT$3:FT$500)))</f>
        <v/>
      </c>
      <c r="IU11" s="123">
        <f>IF(OR(IU$4="",$B11=""),0,SUMIF('DADOS BRUTOS'!$A$3:$A$500,$B11,'DADOS BRUTOS'!FU$3:FU$500)+IF($C11="",0,SUMIF('DADOS BRUTOS'!$A$3:$A$500,$C11,'DADOS BRUTOS'!FU$3:FU$500)))</f>
        <v/>
      </c>
      <c r="IV11" s="123">
        <f>IF(OR(IV$4="",$B11=""),0,SUMIF('DADOS BRUTOS'!$A$3:$A$500,$B11,'DADOS BRUTOS'!FV$3:FV$500)+IF($C11="",0,SUMIF('DADOS BRUTOS'!$A$3:$A$500,$C11,'DADOS BRUTOS'!FV$3:FV$500)))</f>
        <v/>
      </c>
      <c r="IW11" s="123">
        <f>IF(OR(IW$4="",$B11=""),0,SUMIF('DADOS BRUTOS'!$A$3:$A$500,$B11,'DADOS BRUTOS'!FW$3:FW$500)+IF($C11="",0,SUMIF('DADOS BRUTOS'!$A$3:$A$500,$C11,'DADOS BRUTOS'!FW$3:FW$500)))</f>
        <v/>
      </c>
      <c r="IX11" s="123">
        <f>IF(OR(IX$4="",$B11=""),0,SUMIF('DADOS BRUTOS'!$A$3:$A$500,$B11,'DADOS BRUTOS'!FX$3:FX$500)+IF($C11="",0,SUMIF('DADOS BRUTOS'!$A$3:$A$500,$C11,'DADOS BRUTOS'!FX$3:FX$500)))</f>
        <v/>
      </c>
      <c r="IY11" s="123">
        <f>IF(OR(IY$4="",$B11=""),0,SUMIF('DADOS BRUTOS'!$A$3:$A$500,$B11,'DADOS BRUTOS'!FY$3:FY$500)+IF($C11="",0,SUMIF('DADOS BRUTOS'!$A$3:$A$500,$C11,'DADOS BRUTOS'!FY$3:FY$500)))</f>
        <v/>
      </c>
      <c r="IZ11" s="123">
        <f>IF(OR(IZ$4="",$B11=""),0,SUMIF('DADOS BRUTOS'!$A$3:$A$500,$B11,'DADOS BRUTOS'!FZ$3:FZ$500)+IF($C11="",0,SUMIF('DADOS BRUTOS'!$A$3:$A$500,$C11,'DADOS BRUTOS'!FZ$3:FZ$500)))</f>
        <v/>
      </c>
      <c r="JA11" s="123">
        <f>IF(OR(JA$4="",$B11=""),0,SUMIF('DADOS BRUTOS'!$A$3:$A$500,$B11,'DADOS BRUTOS'!GA$3:GA$500)+IF($C11="",0,SUMIF('DADOS BRUTOS'!$A$3:$A$500,$C11,'DADOS BRUTOS'!GA$3:GA$500)))</f>
        <v/>
      </c>
      <c r="JB11" s="123">
        <f>IF(OR(JB$4="",$B11=""),0,SUMIF('DADOS BRUTOS'!$A$3:$A$500,$B11,'DADOS BRUTOS'!GB$3:GB$500)+IF($C11="",0,SUMIF('DADOS BRUTOS'!$A$3:$A$500,$C11,'DADOS BRUTOS'!GB$3:GB$500)))</f>
        <v/>
      </c>
      <c r="JC11" s="123">
        <f>IF(OR(JC$4="",$B11=""),0,SUMIF('DADOS BRUTOS'!$A$3:$A$500,$B11,'DADOS BRUTOS'!GC$3:GC$500)+IF($C11="",0,SUMIF('DADOS BRUTOS'!$A$3:$A$500,$C11,'DADOS BRUTOS'!GC$3:GC$500)))</f>
        <v/>
      </c>
      <c r="JD11" s="123">
        <f>IF(OR(JD$4="",$B11=""),0,SUMIF('DADOS BRUTOS'!$A$3:$A$500,$B11,'DADOS BRUTOS'!GD$3:GD$500)+IF($C11="",0,SUMIF('DADOS BRUTOS'!$A$3:$A$500,$C11,'DADOS BRUTOS'!GD$3:GD$500)))</f>
        <v/>
      </c>
      <c r="JE11" s="123">
        <f>IF(OR(JE$4="",$B11=""),0,SUMIF('DADOS BRUTOS'!$A$3:$A$500,$B11,'DADOS BRUTOS'!GE$3:GE$500)+IF($C11="",0,SUMIF('DADOS BRUTOS'!$A$3:$A$500,$C11,'DADOS BRUTOS'!GE$3:GE$500)))</f>
        <v/>
      </c>
      <c r="JF11" s="123">
        <f>IF(OR(JF$4="",$B11=""),0,SUMIF('DADOS BRUTOS'!$A$3:$A$500,$B11,'DADOS BRUTOS'!GF$3:GF$500)+IF($C11="",0,SUMIF('DADOS BRUTOS'!$A$3:$A$500,$C11,'DADOS BRUTOS'!GF$3:GF$500)))</f>
        <v/>
      </c>
      <c r="JG11" s="123">
        <f>IF(OR(JG$4="",$B11=""),0,SUMIF('DADOS BRUTOS'!$A$3:$A$500,$B11,'DADOS BRUTOS'!GG$3:GG$500)+IF($C11="",0,SUMIF('DADOS BRUTOS'!$A$3:$A$500,$C11,'DADOS BRUTOS'!GG$3:GG$500)))</f>
        <v/>
      </c>
      <c r="JH11" s="123">
        <f>IF(OR(JH$4="",$B11=""),0,SUMIF('DADOS BRUTOS'!$A$3:$A$500,$B11,'DADOS BRUTOS'!GH$3:GH$500)+IF($C11="",0,SUMIF('DADOS BRUTOS'!$A$3:$A$500,$C11,'DADOS BRUTOS'!GH$3:GH$500)))</f>
        <v/>
      </c>
      <c r="JI11" s="123">
        <f>IF(OR(JI$4="",$B11=""),0,SUMIF('DADOS BRUTOS'!$A$3:$A$500,$B11,'DADOS BRUTOS'!GI$3:GI$500)+IF($C11="",0,SUMIF('DADOS BRUTOS'!$A$3:$A$500,$C11,'DADOS BRUTOS'!GI$3:GI$500)))</f>
        <v/>
      </c>
      <c r="JJ11" s="123">
        <f>IF(OR(JJ$4="",$B11=""),0,SUMIF('DADOS BRUTOS'!$A$3:$A$500,$B11,'DADOS BRUTOS'!GJ$3:GJ$500)+IF($C11="",0,SUMIF('DADOS BRUTOS'!$A$3:$A$500,$C11,'DADOS BRUTOS'!GJ$3:GJ$500)))</f>
        <v/>
      </c>
      <c r="JK11" s="123">
        <f>IF(OR(JK$4="",$B11=""),0,SUMIF('DADOS BRUTOS'!$A$3:$A$500,$B11,'DADOS BRUTOS'!GK$3:GK$500)+IF($C11="",0,SUMIF('DADOS BRUTOS'!$A$3:$A$500,$C11,'DADOS BRUTOS'!GK$3:GK$500)))</f>
        <v/>
      </c>
      <c r="JL11" s="123">
        <f>IF(OR(JL$4="",$B11=""),0,SUMIF('DADOS BRUTOS'!$A$3:$A$500,$B11,'DADOS BRUTOS'!GL$3:GL$500)+IF($C11="",0,SUMIF('DADOS BRUTOS'!$A$3:$A$500,$C11,'DADOS BRUTOS'!GL$3:GL$500)))</f>
        <v/>
      </c>
      <c r="JM11" s="123">
        <f>IF(OR(JM$4="",$B11=""),0,SUMIF('DADOS BRUTOS'!$A$3:$A$500,$B11,'DADOS BRUTOS'!GM$3:GM$500)+IF($C11="",0,SUMIF('DADOS BRUTOS'!$A$3:$A$500,$C11,'DADOS BRUTOS'!GM$3:GM$500)))</f>
        <v/>
      </c>
      <c r="JN11" s="123">
        <f>IF(OR(JN$4="",$B11=""),0,SUMIF('DADOS BRUTOS'!$A$3:$A$500,$B11,'DADOS BRUTOS'!GN$3:GN$500)+IF($C11="",0,SUMIF('DADOS BRUTOS'!$A$3:$A$500,$C11,'DADOS BRUTOS'!GN$3:GN$500)))</f>
        <v/>
      </c>
      <c r="JO11" s="123">
        <f>IF(OR(JO$4="",$B11=""),0,SUMIF('DADOS BRUTOS'!$A$3:$A$500,$B11,'DADOS BRUTOS'!GO$3:GO$500)+IF($C11="",0,SUMIF('DADOS BRUTOS'!$A$3:$A$500,$C11,'DADOS BRUTOS'!GO$3:GO$500)))</f>
        <v/>
      </c>
      <c r="JP11" s="123">
        <f>IF(OR(JP$4="",$B11=""),0,SUMIF('DADOS BRUTOS'!$A$3:$A$500,$B11,'DADOS BRUTOS'!GP$3:GP$500)+IF($C11="",0,SUMIF('DADOS BRUTOS'!$A$3:$A$500,$C11,'DADOS BRUTOS'!GP$3:GP$500)))</f>
        <v/>
      </c>
      <c r="JQ11" s="123">
        <f>IF(OR(JQ$4="",$B11=""),0,SUMIF('DADOS BRUTOS'!$A$3:$A$500,$B11,'DADOS BRUTOS'!GQ$3:GQ$500)+IF($C11="",0,SUMIF('DADOS BRUTOS'!$A$3:$A$500,$C11,'DADOS BRUTOS'!GQ$3:GQ$500)))</f>
        <v/>
      </c>
      <c r="JR11" s="123">
        <f>IF(OR(JR$4="",$B11=""),0,SUMIF('DADOS BRUTOS'!$A$3:$A$500,$B11,'DADOS BRUTOS'!GR$3:GR$500)+IF($C11="",0,SUMIF('DADOS BRUTOS'!$A$3:$A$500,$C11,'DADOS BRUTOS'!GR$3:GR$500)))</f>
        <v/>
      </c>
      <c r="JS11" s="123">
        <f>IF(OR(JS$4="",$B11=""),0,SUMIF('DADOS BRUTOS'!$A$3:$A$500,$B11,'DADOS BRUTOS'!GS$3:GS$500)+IF($C11="",0,SUMIF('DADOS BRUTOS'!$A$3:$A$500,$C11,'DADOS BRUTOS'!GS$3:GS$500)))</f>
        <v/>
      </c>
    </row>
    <row r="12">
      <c r="A12" s="61">
        <f>'VALOR POR PL'!D18</f>
        <v/>
      </c>
      <c r="B12" s="60" t="inlineStr">
        <is>
          <t>TRANSPORTES</t>
        </is>
      </c>
      <c r="C12" s="60" t="n"/>
      <c r="D12" s="55">
        <f>SUMIF($CB$4:$JS$4,"&lt;="&amp;D$4,$CB12:$JS12)</f>
        <v/>
      </c>
      <c r="E12" s="55">
        <f>SUMIF($CB$4:$JS$4,E$4,$CB12:$JS12)</f>
        <v/>
      </c>
      <c r="F12" s="55">
        <f>SUMIF($CB$4:$JS$4,F$4,$CB12:$JS12)</f>
        <v/>
      </c>
      <c r="G12" s="55">
        <f>SUMIF($CB$4:$JS$4,G$4,$CB12:$JS12)</f>
        <v/>
      </c>
      <c r="H12" s="55">
        <f>SUMIF($CB$4:$JS$4,H$4,$CB12:$JS12)</f>
        <v/>
      </c>
      <c r="I12" s="55">
        <f>SUMIF($CB$4:$JS$4,I$4,$CB12:$JS12)</f>
        <v/>
      </c>
      <c r="J12" s="55">
        <f>SUMIF($CB$4:$JS$4,J$4,$CB12:$JS12)</f>
        <v/>
      </c>
      <c r="K12" s="55">
        <f>SUMIF($CB$4:$JS$4,K$4,$CB12:$JS12)</f>
        <v/>
      </c>
      <c r="L12" s="55">
        <f>SUMIF($CB$4:$JS$4,L$4,$CB12:$JS12)</f>
        <v/>
      </c>
      <c r="M12" s="55">
        <f>SUMIF($CB$4:$JS$4,M$4,$CB12:$JS12)</f>
        <v/>
      </c>
      <c r="N12" s="55">
        <f>SUMIF($CB$4:$JS$4,N$4,$CB12:$JS12)</f>
        <v/>
      </c>
      <c r="O12" s="55">
        <f>SUMIF($CB$4:$JS$4,O$4,$CB12:$JS12)</f>
        <v/>
      </c>
      <c r="P12" s="55">
        <f>SUMIF($CB$4:$JS$4,P$4,$CB12:$JS12)</f>
        <v/>
      </c>
      <c r="Q12" s="55">
        <f>SUMIF($CB$4:$JS$4,Q$4,$CB12:$JS12)</f>
        <v/>
      </c>
      <c r="R12" s="55">
        <f>SUMIF($CB$4:$JS$4,R$4,$CB12:$JS12)</f>
        <v/>
      </c>
      <c r="S12" s="55">
        <f>SUMIF($CB$4:$JS$4,S$4,$CB12:$JS12)</f>
        <v/>
      </c>
      <c r="T12" s="55">
        <f>SUMIF($CB$4:$JS$4,T$4,$CB12:$JS12)</f>
        <v/>
      </c>
      <c r="U12" s="55">
        <f>SUMIF($CB$4:$JS$4,U$4,$CB12:$JS12)</f>
        <v/>
      </c>
      <c r="V12" s="55">
        <f>SUMIF($CB$4:$JS$4,V$4,$CB12:$JS12)</f>
        <v/>
      </c>
      <c r="W12" s="55">
        <f>SUMIF($CB$4:$JS$4,W$4,$CB12:$JS12)</f>
        <v/>
      </c>
      <c r="X12" s="55">
        <f>SUMIF($CB$4:$JS$4,X$4,$CB12:$JS12)</f>
        <v/>
      </c>
      <c r="Y12" s="55">
        <f>SUMIF($CB$4:$JS$4,Y$4,$CB12:$JS12)</f>
        <v/>
      </c>
      <c r="Z12" s="55">
        <f>SUMIF($CB$4:$JS$4,Z$4,$CB12:$JS12)</f>
        <v/>
      </c>
      <c r="AA12" s="55">
        <f>SUMIF($CB$4:$JS$4,AA$4,$CB12:$JS12)</f>
        <v/>
      </c>
      <c r="AB12" s="55">
        <f>SUMIF($CB$4:$JS$4,AB$4,$CB12:$JS12)</f>
        <v/>
      </c>
      <c r="AC12" s="55">
        <f>SUMIF($CB$4:$JS$4,AC$4,$CB12:$JS12)</f>
        <v/>
      </c>
      <c r="AD12" s="55">
        <f>SUMIF($CB$4:$JS$4,AD$4,$CB12:$JS12)</f>
        <v/>
      </c>
      <c r="AE12" s="55">
        <f>SUMIF($CB$4:$JS$4,AE$4,$CB12:$JS12)</f>
        <v/>
      </c>
      <c r="AF12" s="55">
        <f>SUMIF($CB$4:$JS$4,AF$4,$CB12:$JS12)</f>
        <v/>
      </c>
      <c r="AG12" s="55">
        <f>SUMIF($CB$4:$JS$4,AG$4,$CB12:$JS12)</f>
        <v/>
      </c>
      <c r="AH12" s="55">
        <f>SUMIF($CB$4:$JS$4,AH$4,$CB12:$JS12)</f>
        <v/>
      </c>
      <c r="AI12" s="55">
        <f>SUMIF($CB$4:$JS$4,AI$4,$CB12:$JS12)</f>
        <v/>
      </c>
      <c r="AJ12" s="55">
        <f>SUMIF($CB$4:$JS$4,AJ$4,$CB12:$JS12)</f>
        <v/>
      </c>
      <c r="AK12" s="55">
        <f>SUMIF($CB$4:$JS$4,AK$4,$CB12:$JS12)</f>
        <v/>
      </c>
      <c r="AL12" s="55">
        <f>SUMIF($CB$4:$JS$4,AL$4,$CB12:$JS12)</f>
        <v/>
      </c>
      <c r="AM12" s="55">
        <f>SUMIF($CB$4:$JS$4,AM$4,$CB12:$JS12)</f>
        <v/>
      </c>
      <c r="AN12" s="55">
        <f>SUMIF($CB$4:$JS$4,AN$4,$CB12:$JS12)</f>
        <v/>
      </c>
      <c r="AO12" s="55">
        <f>SUMIF($CB$4:$JS$4,AO$4,$CB12:$JS12)</f>
        <v/>
      </c>
      <c r="AP12" s="55">
        <f>SUMIF($CB$4:$JS$4,AP$4,$CB12:$JS12)</f>
        <v/>
      </c>
      <c r="AQ12" s="55">
        <f>SUMIF($CB$4:$JS$4,AQ$4,$CB12:$JS12)</f>
        <v/>
      </c>
      <c r="AR12" s="55">
        <f>SUMIF($CB$4:$JS$4,AR$4,$CB12:$JS12)</f>
        <v/>
      </c>
      <c r="AS12" s="55">
        <f>SUMIF($CB$4:$JS$4,AS$4,$CB12:$JS12)</f>
        <v/>
      </c>
      <c r="AT12" s="55">
        <f>SUMIF($CB$4:$JS$4,AT$4,$CB12:$JS12)</f>
        <v/>
      </c>
      <c r="AU12" s="55">
        <f>SUMIF($CB$4:$JS$4,AU$4,$CB12:$JS12)</f>
        <v/>
      </c>
      <c r="AV12" s="55">
        <f>SUMIF($CB$4:$JS$4,AV$4,$CB12:$JS12)</f>
        <v/>
      </c>
      <c r="AW12" s="55">
        <f>SUMIF($CB$4:$JS$4,AW$4,$CB12:$JS12)</f>
        <v/>
      </c>
      <c r="AX12" s="55">
        <f>SUMIF($CB$4:$JS$4,AX$4,$CB12:$JS12)</f>
        <v/>
      </c>
      <c r="AY12" s="55">
        <f>SUMIF($CB$4:$JS$4,AY$4,$CB12:$JS12)</f>
        <v/>
      </c>
      <c r="AZ12" s="55">
        <f>SUMIF($CB$4:$JS$4,AZ$4,$CB12:$JS12)</f>
        <v/>
      </c>
      <c r="BA12" s="55">
        <f>SUMIF($CB$4:$JS$4,BA$4,$CB12:$JS12)</f>
        <v/>
      </c>
      <c r="BB12" s="55">
        <f>SUMIF($CB$4:$JS$4,BB$4,$CB12:$JS12)</f>
        <v/>
      </c>
      <c r="BC12" s="55">
        <f>SUMIF($CB$4:$JS$4,BC$4,$CB12:$JS12)</f>
        <v/>
      </c>
      <c r="BD12" s="55">
        <f>SUMIF($CB$4:$JS$4,BD$4,$CB12:$JS12)</f>
        <v/>
      </c>
      <c r="BE12" s="55">
        <f>SUMIF($CB$4:$JS$4,BE$4,$CB12:$JS12)</f>
        <v/>
      </c>
      <c r="BF12" s="55">
        <f>SUMIF($CB$4:$JS$4,BF$4,$CB12:$JS12)</f>
        <v/>
      </c>
      <c r="BG12" s="55">
        <f>SUMIF($CB$4:$JS$4,BG$4,$CB12:$JS12)</f>
        <v/>
      </c>
      <c r="BH12" s="55">
        <f>SUMIF($CB$4:$JS$4,BH$4,$CB12:$JS12)</f>
        <v/>
      </c>
      <c r="BI12" s="55">
        <f>SUMIF($CB$4:$JS$4,BI$4,$CB12:$JS12)</f>
        <v/>
      </c>
      <c r="BJ12" s="55">
        <f>SUMIF($CB$4:$JS$4,BJ$4,$CB12:$JS12)</f>
        <v/>
      </c>
      <c r="BK12" s="55">
        <f>SUMIF($CB$4:$JS$4,BK$4,$CB12:$JS12)</f>
        <v/>
      </c>
      <c r="BL12" s="55">
        <f>SUMIF($CB$4:$JS$4,BL$4,$CB12:$JS12)</f>
        <v/>
      </c>
      <c r="BM12" s="55">
        <f>SUMIF($CB$4:$JS$4,BM$4,$CB12:$JS12)</f>
        <v/>
      </c>
      <c r="BN12" s="55">
        <f>SUMIF($CB$4:$JS$4,BN$4,$CB12:$JS12)</f>
        <v/>
      </c>
      <c r="BO12" s="55">
        <f>SUMIF($CB$4:$JS$4,BO$4,$CB12:$JS12)</f>
        <v/>
      </c>
      <c r="BP12" s="55">
        <f>SUMIF($CB$4:$JS$4,BP$4,$CB12:$JS12)</f>
        <v/>
      </c>
      <c r="BQ12" s="55">
        <f>SUMIF($CB$4:$JS$4,BQ$4,$CB12:$JS12)</f>
        <v/>
      </c>
      <c r="BR12" s="55">
        <f>SUMIF($CB$4:$JS$4,BR$4,$CB12:$JS12)</f>
        <v/>
      </c>
      <c r="BS12" s="55">
        <f>SUMIF($CB$4:$JS$4,BS$4,$CB12:$JS12)</f>
        <v/>
      </c>
      <c r="BT12" s="55">
        <f>SUMIF($CB$4:$JS$4,BT$4,$CB12:$JS12)</f>
        <v/>
      </c>
      <c r="BU12" s="55">
        <f>SUMIF($CB$4:$JS$4,BU$4,$CB12:$JS12)</f>
        <v/>
      </c>
      <c r="BV12" s="55">
        <f>SUMIF($CB$4:$JS$4,BV$4,$CB12:$JS12)</f>
        <v/>
      </c>
      <c r="BW12" s="55">
        <f>SUMIF($CB$4:$JS$4,BW$4,$CB12:$JS12)</f>
        <v/>
      </c>
      <c r="BX12" s="55">
        <f>SUMIF($CB$4:$JS$4,"&gt;"&amp;'VALOR POR PL'!$P$8,$CB12:$JS12)</f>
        <v/>
      </c>
      <c r="BY12" s="55">
        <f>SUM($CB12:$JS12)</f>
        <v/>
      </c>
      <c r="CB12" s="123">
        <f>IF(OR(CB$4="",$B12=""),0,SUMIF('DADOS BRUTOS'!$A$3:$A$500,$B12,'DADOS BRUTOS'!B$3:B$500)+IF($C12="",0,SUMIF('DADOS BRUTOS'!$A$3:$A$500,$C12,'DADOS BRUTOS'!B$3:B$500)))</f>
        <v/>
      </c>
      <c r="CC12" s="123">
        <f>IF(OR(CC$4="",$B12=""),0,SUMIF('DADOS BRUTOS'!$A$3:$A$500,$B12,'DADOS BRUTOS'!C$3:C$500)+IF($C12="",0,SUMIF('DADOS BRUTOS'!$A$3:$A$500,$C12,'DADOS BRUTOS'!C$3:C$500)))</f>
        <v/>
      </c>
      <c r="CD12" s="123">
        <f>IF(OR(CD$4="",$B12=""),0,SUMIF('DADOS BRUTOS'!$A$3:$A$500,$B12,'DADOS BRUTOS'!D$3:D$500)+IF($C12="",0,SUMIF('DADOS BRUTOS'!$A$3:$A$500,$C12,'DADOS BRUTOS'!D$3:D$500)))</f>
        <v/>
      </c>
      <c r="CE12" s="123">
        <f>IF(OR(CE$4="",$B12=""),0,SUMIF('DADOS BRUTOS'!$A$3:$A$500,$B12,'DADOS BRUTOS'!E$3:E$500)+IF($C12="",0,SUMIF('DADOS BRUTOS'!$A$3:$A$500,$C12,'DADOS BRUTOS'!E$3:E$500)))</f>
        <v/>
      </c>
      <c r="CF12" s="123">
        <f>IF(OR(CF$4="",$B12=""),0,SUMIF('DADOS BRUTOS'!$A$3:$A$500,$B12,'DADOS BRUTOS'!F$3:F$500)+IF($C12="",0,SUMIF('DADOS BRUTOS'!$A$3:$A$500,$C12,'DADOS BRUTOS'!F$3:F$500)))</f>
        <v/>
      </c>
      <c r="CG12" s="123">
        <f>IF(OR(CG$4="",$B12=""),0,SUMIF('DADOS BRUTOS'!$A$3:$A$500,$B12,'DADOS BRUTOS'!G$3:G$500)+IF($C12="",0,SUMIF('DADOS BRUTOS'!$A$3:$A$500,$C12,'DADOS BRUTOS'!G$3:G$500)))</f>
        <v/>
      </c>
      <c r="CH12" s="123">
        <f>IF(OR(CH$4="",$B12=""),0,SUMIF('DADOS BRUTOS'!$A$3:$A$500,$B12,'DADOS BRUTOS'!H$3:H$500)+IF($C12="",0,SUMIF('DADOS BRUTOS'!$A$3:$A$500,$C12,'DADOS BRUTOS'!H$3:H$500)))</f>
        <v/>
      </c>
      <c r="CI12" s="123">
        <f>IF(OR(CI$4="",$B12=""),0,SUMIF('DADOS BRUTOS'!$A$3:$A$500,$B12,'DADOS BRUTOS'!I$3:I$500)+IF($C12="",0,SUMIF('DADOS BRUTOS'!$A$3:$A$500,$C12,'DADOS BRUTOS'!I$3:I$500)))</f>
        <v/>
      </c>
      <c r="CJ12" s="123">
        <f>IF(OR(CJ$4="",$B12=""),0,SUMIF('DADOS BRUTOS'!$A$3:$A$500,$B12,'DADOS BRUTOS'!J$3:J$500)+IF($C12="",0,SUMIF('DADOS BRUTOS'!$A$3:$A$500,$C12,'DADOS BRUTOS'!J$3:J$500)))</f>
        <v/>
      </c>
      <c r="CK12" s="123">
        <f>IF(OR(CK$4="",$B12=""),0,SUMIF('DADOS BRUTOS'!$A$3:$A$500,$B12,'DADOS BRUTOS'!K$3:K$500)+IF($C12="",0,SUMIF('DADOS BRUTOS'!$A$3:$A$500,$C12,'DADOS BRUTOS'!K$3:K$500)))</f>
        <v/>
      </c>
      <c r="CL12" s="123">
        <f>IF(OR(CL$4="",$B12=""),0,SUMIF('DADOS BRUTOS'!$A$3:$A$500,$B12,'DADOS BRUTOS'!L$3:L$500)+IF($C12="",0,SUMIF('DADOS BRUTOS'!$A$3:$A$500,$C12,'DADOS BRUTOS'!L$3:L$500)))</f>
        <v/>
      </c>
      <c r="CM12" s="123">
        <f>IF(OR(CM$4="",$B12=""),0,SUMIF('DADOS BRUTOS'!$A$3:$A$500,$B12,'DADOS BRUTOS'!M$3:M$500)+IF($C12="",0,SUMIF('DADOS BRUTOS'!$A$3:$A$500,$C12,'DADOS BRUTOS'!M$3:M$500)))</f>
        <v/>
      </c>
      <c r="CN12" s="123">
        <f>IF(OR(CN$4="",$B12=""),0,SUMIF('DADOS BRUTOS'!$A$3:$A$500,$B12,'DADOS BRUTOS'!N$3:N$500)+IF($C12="",0,SUMIF('DADOS BRUTOS'!$A$3:$A$500,$C12,'DADOS BRUTOS'!N$3:N$500)))</f>
        <v/>
      </c>
      <c r="CO12" s="123">
        <f>IF(OR(CO$4="",$B12=""),0,SUMIF('DADOS BRUTOS'!$A$3:$A$500,$B12,'DADOS BRUTOS'!O$3:O$500)+IF($C12="",0,SUMIF('DADOS BRUTOS'!$A$3:$A$500,$C12,'DADOS BRUTOS'!O$3:O$500)))</f>
        <v/>
      </c>
      <c r="CP12" s="123">
        <f>IF(OR(CP$4="",$B12=""),0,SUMIF('DADOS BRUTOS'!$A$3:$A$500,$B12,'DADOS BRUTOS'!P$3:P$500)+IF($C12="",0,SUMIF('DADOS BRUTOS'!$A$3:$A$500,$C12,'DADOS BRUTOS'!P$3:P$500)))</f>
        <v/>
      </c>
      <c r="CQ12" s="123">
        <f>IF(OR(CQ$4="",$B12=""),0,SUMIF('DADOS BRUTOS'!$A$3:$A$500,$B12,'DADOS BRUTOS'!Q$3:Q$500)+IF($C12="",0,SUMIF('DADOS BRUTOS'!$A$3:$A$500,$C12,'DADOS BRUTOS'!Q$3:Q$500)))</f>
        <v/>
      </c>
      <c r="CR12" s="123">
        <f>IF(OR(CR$4="",$B12=""),0,SUMIF('DADOS BRUTOS'!$A$3:$A$500,$B12,'DADOS BRUTOS'!R$3:R$500)+IF($C12="",0,SUMIF('DADOS BRUTOS'!$A$3:$A$500,$C12,'DADOS BRUTOS'!R$3:R$500)))</f>
        <v/>
      </c>
      <c r="CS12" s="123">
        <f>IF(OR(CS$4="",$B12=""),0,SUMIF('DADOS BRUTOS'!$A$3:$A$500,$B12,'DADOS BRUTOS'!S$3:S$500)+IF($C12="",0,SUMIF('DADOS BRUTOS'!$A$3:$A$500,$C12,'DADOS BRUTOS'!S$3:S$500)))</f>
        <v/>
      </c>
      <c r="CT12" s="123">
        <f>IF(OR(CT$4="",$B12=""),0,SUMIF('DADOS BRUTOS'!$A$3:$A$500,$B12,'DADOS BRUTOS'!T$3:T$500)+IF($C12="",0,SUMIF('DADOS BRUTOS'!$A$3:$A$500,$C12,'DADOS BRUTOS'!T$3:T$500)))</f>
        <v/>
      </c>
      <c r="CU12" s="123">
        <f>IF(OR(CU$4="",$B12=""),0,SUMIF('DADOS BRUTOS'!$A$3:$A$500,$B12,'DADOS BRUTOS'!U$3:U$500)+IF($C12="",0,SUMIF('DADOS BRUTOS'!$A$3:$A$500,$C12,'DADOS BRUTOS'!U$3:U$500)))</f>
        <v/>
      </c>
      <c r="CV12" s="123">
        <f>IF(OR(CV$4="",$B12=""),0,SUMIF('DADOS BRUTOS'!$A$3:$A$500,$B12,'DADOS BRUTOS'!V$3:V$500)+IF($C12="",0,SUMIF('DADOS BRUTOS'!$A$3:$A$500,$C12,'DADOS BRUTOS'!V$3:V$500)))</f>
        <v/>
      </c>
      <c r="CW12" s="123">
        <f>IF(OR(CW$4="",$B12=""),0,SUMIF('DADOS BRUTOS'!$A$3:$A$500,$B12,'DADOS BRUTOS'!W$3:W$500)+IF($C12="",0,SUMIF('DADOS BRUTOS'!$A$3:$A$500,$C12,'DADOS BRUTOS'!W$3:W$500)))</f>
        <v/>
      </c>
      <c r="CX12" s="123">
        <f>IF(OR(CX$4="",$B12=""),0,SUMIF('DADOS BRUTOS'!$A$3:$A$500,$B12,'DADOS BRUTOS'!X$3:X$500)+IF($C12="",0,SUMIF('DADOS BRUTOS'!$A$3:$A$500,$C12,'DADOS BRUTOS'!X$3:X$500)))</f>
        <v/>
      </c>
      <c r="CY12" s="123">
        <f>IF(OR(CY$4="",$B12=""),0,SUMIF('DADOS BRUTOS'!$A$3:$A$500,$B12,'DADOS BRUTOS'!Y$3:Y$500)+IF($C12="",0,SUMIF('DADOS BRUTOS'!$A$3:$A$500,$C12,'DADOS BRUTOS'!Y$3:Y$500)))</f>
        <v/>
      </c>
      <c r="CZ12" s="123">
        <f>IF(OR(CZ$4="",$B12=""),0,SUMIF('DADOS BRUTOS'!$A$3:$A$500,$B12,'DADOS BRUTOS'!Z$3:Z$500)+IF($C12="",0,SUMIF('DADOS BRUTOS'!$A$3:$A$500,$C12,'DADOS BRUTOS'!Z$3:Z$500)))</f>
        <v/>
      </c>
      <c r="DA12" s="123">
        <f>IF(OR(DA$4="",$B12=""),0,SUMIF('DADOS BRUTOS'!$A$3:$A$500,$B12,'DADOS BRUTOS'!AA$3:AA$500)+IF($C12="",0,SUMIF('DADOS BRUTOS'!$A$3:$A$500,$C12,'DADOS BRUTOS'!AA$3:AA$500)))</f>
        <v/>
      </c>
      <c r="DB12" s="123">
        <f>IF(OR(DB$4="",$B12=""),0,SUMIF('DADOS BRUTOS'!$A$3:$A$500,$B12,'DADOS BRUTOS'!AB$3:AB$500)+IF($C12="",0,SUMIF('DADOS BRUTOS'!$A$3:$A$500,$C12,'DADOS BRUTOS'!AB$3:AB$500)))</f>
        <v/>
      </c>
      <c r="DC12" s="123">
        <f>IF(OR(DC$4="",$B12=""),0,SUMIF('DADOS BRUTOS'!$A$3:$A$500,$B12,'DADOS BRUTOS'!AC$3:AC$500)+IF($C12="",0,SUMIF('DADOS BRUTOS'!$A$3:$A$500,$C12,'DADOS BRUTOS'!AC$3:AC$500)))</f>
        <v/>
      </c>
      <c r="DD12" s="123">
        <f>IF(OR(DD$4="",$B12=""),0,SUMIF('DADOS BRUTOS'!$A$3:$A$500,$B12,'DADOS BRUTOS'!AD$3:AD$500)+IF($C12="",0,SUMIF('DADOS BRUTOS'!$A$3:$A$500,$C12,'DADOS BRUTOS'!AD$3:AD$500)))</f>
        <v/>
      </c>
      <c r="DE12" s="123">
        <f>IF(OR(DE$4="",$B12=""),0,SUMIF('DADOS BRUTOS'!$A$3:$A$500,$B12,'DADOS BRUTOS'!AE$3:AE$500)+IF($C12="",0,SUMIF('DADOS BRUTOS'!$A$3:$A$500,$C12,'DADOS BRUTOS'!AE$3:AE$500)))</f>
        <v/>
      </c>
      <c r="DF12" s="123">
        <f>IF(OR(DF$4="",$B12=""),0,SUMIF('DADOS BRUTOS'!$A$3:$A$500,$B12,'DADOS BRUTOS'!AF$3:AF$500)+IF($C12="",0,SUMIF('DADOS BRUTOS'!$A$3:$A$500,$C12,'DADOS BRUTOS'!AF$3:AF$500)))</f>
        <v/>
      </c>
      <c r="DG12" s="123">
        <f>IF(OR(DG$4="",$B12=""),0,SUMIF('DADOS BRUTOS'!$A$3:$A$500,$B12,'DADOS BRUTOS'!AG$3:AG$500)+IF($C12="",0,SUMIF('DADOS BRUTOS'!$A$3:$A$500,$C12,'DADOS BRUTOS'!AG$3:AG$500)))</f>
        <v/>
      </c>
      <c r="DH12" s="123">
        <f>IF(OR(DH$4="",$B12=""),0,SUMIF('DADOS BRUTOS'!$A$3:$A$500,$B12,'DADOS BRUTOS'!AH$3:AH$500)+IF($C12="",0,SUMIF('DADOS BRUTOS'!$A$3:$A$500,$C12,'DADOS BRUTOS'!AH$3:AH$500)))</f>
        <v/>
      </c>
      <c r="DI12" s="123">
        <f>IF(OR(DI$4="",$B12=""),0,SUMIF('DADOS BRUTOS'!$A$3:$A$500,$B12,'DADOS BRUTOS'!AI$3:AI$500)+IF($C12="",0,SUMIF('DADOS BRUTOS'!$A$3:$A$500,$C12,'DADOS BRUTOS'!AI$3:AI$500)))</f>
        <v/>
      </c>
      <c r="DJ12" s="123">
        <f>IF(OR(DJ$4="",$B12=""),0,SUMIF('DADOS BRUTOS'!$A$3:$A$500,$B12,'DADOS BRUTOS'!AJ$3:AJ$500)+IF($C12="",0,SUMIF('DADOS BRUTOS'!$A$3:$A$500,$C12,'DADOS BRUTOS'!AJ$3:AJ$500)))</f>
        <v/>
      </c>
      <c r="DK12" s="123">
        <f>IF(OR(DK$4="",$B12=""),0,SUMIF('DADOS BRUTOS'!$A$3:$A$500,$B12,'DADOS BRUTOS'!AK$3:AK$500)+IF($C12="",0,SUMIF('DADOS BRUTOS'!$A$3:$A$500,$C12,'DADOS BRUTOS'!AK$3:AK$500)))</f>
        <v/>
      </c>
      <c r="DL12" s="123">
        <f>IF(OR(DL$4="",$B12=""),0,SUMIF('DADOS BRUTOS'!$A$3:$A$500,$B12,'DADOS BRUTOS'!AL$3:AL$500)+IF($C12="",0,SUMIF('DADOS BRUTOS'!$A$3:$A$500,$C12,'DADOS BRUTOS'!AL$3:AL$500)))</f>
        <v/>
      </c>
      <c r="DM12" s="123">
        <f>IF(OR(DM$4="",$B12=""),0,SUMIF('DADOS BRUTOS'!$A$3:$A$500,$B12,'DADOS BRUTOS'!AM$3:AM$500)+IF($C12="",0,SUMIF('DADOS BRUTOS'!$A$3:$A$500,$C12,'DADOS BRUTOS'!AM$3:AM$500)))</f>
        <v/>
      </c>
      <c r="DN12" s="123">
        <f>IF(OR(DN$4="",$B12=""),0,SUMIF('DADOS BRUTOS'!$A$3:$A$500,$B12,'DADOS BRUTOS'!AN$3:AN$500)+IF($C12="",0,SUMIF('DADOS BRUTOS'!$A$3:$A$500,$C12,'DADOS BRUTOS'!AN$3:AN$500)))</f>
        <v/>
      </c>
      <c r="DO12" s="123">
        <f>IF(OR(DO$4="",$B12=""),0,SUMIF('DADOS BRUTOS'!$A$3:$A$500,$B12,'DADOS BRUTOS'!AO$3:AO$500)+IF($C12="",0,SUMIF('DADOS BRUTOS'!$A$3:$A$500,$C12,'DADOS BRUTOS'!AO$3:AO$500)))</f>
        <v/>
      </c>
      <c r="DP12" s="123">
        <f>IF(OR(DP$4="",$B12=""),0,SUMIF('DADOS BRUTOS'!$A$3:$A$500,$B12,'DADOS BRUTOS'!AP$3:AP$500)+IF($C12="",0,SUMIF('DADOS BRUTOS'!$A$3:$A$500,$C12,'DADOS BRUTOS'!AP$3:AP$500)))</f>
        <v/>
      </c>
      <c r="DQ12" s="123">
        <f>IF(OR(DQ$4="",$B12=""),0,SUMIF('DADOS BRUTOS'!$A$3:$A$500,$B12,'DADOS BRUTOS'!AQ$3:AQ$500)+IF($C12="",0,SUMIF('DADOS BRUTOS'!$A$3:$A$500,$C12,'DADOS BRUTOS'!AQ$3:AQ$500)))</f>
        <v/>
      </c>
      <c r="DR12" s="123">
        <f>IF(OR(DR$4="",$B12=""),0,SUMIF('DADOS BRUTOS'!$A$3:$A$500,$B12,'DADOS BRUTOS'!AR$3:AR$500)+IF($C12="",0,SUMIF('DADOS BRUTOS'!$A$3:$A$500,$C12,'DADOS BRUTOS'!AR$3:AR$500)))</f>
        <v/>
      </c>
      <c r="DS12" s="123">
        <f>IF(OR(DS$4="",$B12=""),0,SUMIF('DADOS BRUTOS'!$A$3:$A$500,$B12,'DADOS BRUTOS'!AS$3:AS$500)+IF($C12="",0,SUMIF('DADOS BRUTOS'!$A$3:$A$500,$C12,'DADOS BRUTOS'!AS$3:AS$500)))</f>
        <v/>
      </c>
      <c r="DT12" s="123">
        <f>IF(OR(DT$4="",$B12=""),0,SUMIF('DADOS BRUTOS'!$A$3:$A$500,$B12,'DADOS BRUTOS'!AT$3:AT$500)+IF($C12="",0,SUMIF('DADOS BRUTOS'!$A$3:$A$500,$C12,'DADOS BRUTOS'!AT$3:AT$500)))</f>
        <v/>
      </c>
      <c r="DU12" s="123">
        <f>IF(OR(DU$4="",$B12=""),0,SUMIF('DADOS BRUTOS'!$A$3:$A$500,$B12,'DADOS BRUTOS'!AU$3:AU$500)+IF($C12="",0,SUMIF('DADOS BRUTOS'!$A$3:$A$500,$C12,'DADOS BRUTOS'!AU$3:AU$500)))</f>
        <v/>
      </c>
      <c r="DV12" s="123">
        <f>IF(OR(DV$4="",$B12=""),0,SUMIF('DADOS BRUTOS'!$A$3:$A$500,$B12,'DADOS BRUTOS'!AV$3:AV$500)+IF($C12="",0,SUMIF('DADOS BRUTOS'!$A$3:$A$500,$C12,'DADOS BRUTOS'!AV$3:AV$500)))</f>
        <v/>
      </c>
      <c r="DW12" s="123">
        <f>IF(OR(DW$4="",$B12=""),0,SUMIF('DADOS BRUTOS'!$A$3:$A$500,$B12,'DADOS BRUTOS'!AW$3:AW$500)+IF($C12="",0,SUMIF('DADOS BRUTOS'!$A$3:$A$500,$C12,'DADOS BRUTOS'!AW$3:AW$500)))</f>
        <v/>
      </c>
      <c r="DX12" s="123">
        <f>IF(OR(DX$4="",$B12=""),0,SUMIF('DADOS BRUTOS'!$A$3:$A$500,$B12,'DADOS BRUTOS'!AX$3:AX$500)+IF($C12="",0,SUMIF('DADOS BRUTOS'!$A$3:$A$500,$C12,'DADOS BRUTOS'!AX$3:AX$500)))</f>
        <v/>
      </c>
      <c r="DY12" s="123">
        <f>IF(OR(DY$4="",$B12=""),0,SUMIF('DADOS BRUTOS'!$A$3:$A$500,$B12,'DADOS BRUTOS'!AY$3:AY$500)+IF($C12="",0,SUMIF('DADOS BRUTOS'!$A$3:$A$500,$C12,'DADOS BRUTOS'!AY$3:AY$500)))</f>
        <v/>
      </c>
      <c r="DZ12" s="123">
        <f>IF(OR(DZ$4="",$B12=""),0,SUMIF('DADOS BRUTOS'!$A$3:$A$500,$B12,'DADOS BRUTOS'!AZ$3:AZ$500)+IF($C12="",0,SUMIF('DADOS BRUTOS'!$A$3:$A$500,$C12,'DADOS BRUTOS'!AZ$3:AZ$500)))</f>
        <v/>
      </c>
      <c r="EA12" s="123">
        <f>IF(OR(EA$4="",$B12=""),0,SUMIF('DADOS BRUTOS'!$A$3:$A$500,$B12,'DADOS BRUTOS'!BA$3:BA$500)+IF($C12="",0,SUMIF('DADOS BRUTOS'!$A$3:$A$500,$C12,'DADOS BRUTOS'!BA$3:BA$500)))</f>
        <v/>
      </c>
      <c r="EB12" s="123">
        <f>IF(OR(EB$4="",$B12=""),0,SUMIF('DADOS BRUTOS'!$A$3:$A$500,$B12,'DADOS BRUTOS'!BB$3:BB$500)+IF($C12="",0,SUMIF('DADOS BRUTOS'!$A$3:$A$500,$C12,'DADOS BRUTOS'!BB$3:BB$500)))</f>
        <v/>
      </c>
      <c r="EC12" s="123">
        <f>IF(OR(EC$4="",$B12=""),0,SUMIF('DADOS BRUTOS'!$A$3:$A$500,$B12,'DADOS BRUTOS'!BC$3:BC$500)+IF($C12="",0,SUMIF('DADOS BRUTOS'!$A$3:$A$500,$C12,'DADOS BRUTOS'!BC$3:BC$500)))</f>
        <v/>
      </c>
      <c r="ED12" s="123">
        <f>IF(OR(ED$4="",$B12=""),0,SUMIF('DADOS BRUTOS'!$A$3:$A$500,$B12,'DADOS BRUTOS'!BD$3:BD$500)+IF($C12="",0,SUMIF('DADOS BRUTOS'!$A$3:$A$500,$C12,'DADOS BRUTOS'!BD$3:BD$500)))</f>
        <v/>
      </c>
      <c r="EE12" s="123">
        <f>IF(OR(EE$4="",$B12=""),0,SUMIF('DADOS BRUTOS'!$A$3:$A$500,$B12,'DADOS BRUTOS'!BE$3:BE$500)+IF($C12="",0,SUMIF('DADOS BRUTOS'!$A$3:$A$500,$C12,'DADOS BRUTOS'!BE$3:BE$500)))</f>
        <v/>
      </c>
      <c r="EF12" s="123">
        <f>IF(OR(EF$4="",$B12=""),0,SUMIF('DADOS BRUTOS'!$A$3:$A$500,$B12,'DADOS BRUTOS'!BF$3:BF$500)+IF($C12="",0,SUMIF('DADOS BRUTOS'!$A$3:$A$500,$C12,'DADOS BRUTOS'!BF$3:BF$500)))</f>
        <v/>
      </c>
      <c r="EG12" s="123">
        <f>IF(OR(EG$4="",$B12=""),0,SUMIF('DADOS BRUTOS'!$A$3:$A$500,$B12,'DADOS BRUTOS'!BG$3:BG$500)+IF($C12="",0,SUMIF('DADOS BRUTOS'!$A$3:$A$500,$C12,'DADOS BRUTOS'!BG$3:BG$500)))</f>
        <v/>
      </c>
      <c r="EH12" s="123">
        <f>IF(OR(EH$4="",$B12=""),0,SUMIF('DADOS BRUTOS'!$A$3:$A$500,$B12,'DADOS BRUTOS'!BH$3:BH$500)+IF($C12="",0,SUMIF('DADOS BRUTOS'!$A$3:$A$500,$C12,'DADOS BRUTOS'!BH$3:BH$500)))</f>
        <v/>
      </c>
      <c r="EI12" s="123">
        <f>IF(OR(EI$4="",$B12=""),0,SUMIF('DADOS BRUTOS'!$A$3:$A$500,$B12,'DADOS BRUTOS'!BI$3:BI$500)+IF($C12="",0,SUMIF('DADOS BRUTOS'!$A$3:$A$500,$C12,'DADOS BRUTOS'!BI$3:BI$500)))</f>
        <v/>
      </c>
      <c r="EJ12" s="123">
        <f>IF(OR(EJ$4="",$B12=""),0,SUMIF('DADOS BRUTOS'!$A$3:$A$500,$B12,'DADOS BRUTOS'!BJ$3:BJ$500)+IF($C12="",0,SUMIF('DADOS BRUTOS'!$A$3:$A$500,$C12,'DADOS BRUTOS'!BJ$3:BJ$500)))</f>
        <v/>
      </c>
      <c r="EK12" s="123">
        <f>IF(OR(EK$4="",$B12=""),0,SUMIF('DADOS BRUTOS'!$A$3:$A$500,$B12,'DADOS BRUTOS'!BK$3:BK$500)+IF($C12="",0,SUMIF('DADOS BRUTOS'!$A$3:$A$500,$C12,'DADOS BRUTOS'!BK$3:BK$500)))</f>
        <v/>
      </c>
      <c r="EL12" s="123">
        <f>IF(OR(EL$4="",$B12=""),0,SUMIF('DADOS BRUTOS'!$A$3:$A$500,$B12,'DADOS BRUTOS'!BL$3:BL$500)+IF($C12="",0,SUMIF('DADOS BRUTOS'!$A$3:$A$500,$C12,'DADOS BRUTOS'!BL$3:BL$500)))</f>
        <v/>
      </c>
      <c r="EM12" s="123">
        <f>IF(OR(EM$4="",$B12=""),0,SUMIF('DADOS BRUTOS'!$A$3:$A$500,$B12,'DADOS BRUTOS'!BM$3:BM$500)+IF($C12="",0,SUMIF('DADOS BRUTOS'!$A$3:$A$500,$C12,'DADOS BRUTOS'!BM$3:BM$500)))</f>
        <v/>
      </c>
      <c r="EN12" s="123">
        <f>IF(OR(EN$4="",$B12=""),0,SUMIF('DADOS BRUTOS'!$A$3:$A$500,$B12,'DADOS BRUTOS'!BN$3:BN$500)+IF($C12="",0,SUMIF('DADOS BRUTOS'!$A$3:$A$500,$C12,'DADOS BRUTOS'!BN$3:BN$500)))</f>
        <v/>
      </c>
      <c r="EO12" s="123">
        <f>IF(OR(EO$4="",$B12=""),0,SUMIF('DADOS BRUTOS'!$A$3:$A$500,$B12,'DADOS BRUTOS'!BO$3:BO$500)+IF($C12="",0,SUMIF('DADOS BRUTOS'!$A$3:$A$500,$C12,'DADOS BRUTOS'!BO$3:BO$500)))</f>
        <v/>
      </c>
      <c r="EP12" s="123">
        <f>IF(OR(EP$4="",$B12=""),0,SUMIF('DADOS BRUTOS'!$A$3:$A$500,$B12,'DADOS BRUTOS'!BP$3:BP$500)+IF($C12="",0,SUMIF('DADOS BRUTOS'!$A$3:$A$500,$C12,'DADOS BRUTOS'!BP$3:BP$500)))</f>
        <v/>
      </c>
      <c r="EQ12" s="123">
        <f>IF(OR(EQ$4="",$B12=""),0,SUMIF('DADOS BRUTOS'!$A$3:$A$500,$B12,'DADOS BRUTOS'!BQ$3:BQ$500)+IF($C12="",0,SUMIF('DADOS BRUTOS'!$A$3:$A$500,$C12,'DADOS BRUTOS'!BQ$3:BQ$500)))</f>
        <v/>
      </c>
      <c r="ER12" s="123">
        <f>IF(OR(ER$4="",$B12=""),0,SUMIF('DADOS BRUTOS'!$A$3:$A$500,$B12,'DADOS BRUTOS'!BR$3:BR$500)+IF($C12="",0,SUMIF('DADOS BRUTOS'!$A$3:$A$500,$C12,'DADOS BRUTOS'!BR$3:BR$500)))</f>
        <v/>
      </c>
      <c r="ES12" s="123">
        <f>IF(OR(ES$4="",$B12=""),0,SUMIF('DADOS BRUTOS'!$A$3:$A$500,$B12,'DADOS BRUTOS'!BS$3:BS$500)+IF($C12="",0,SUMIF('DADOS BRUTOS'!$A$3:$A$500,$C12,'DADOS BRUTOS'!BS$3:BS$500)))</f>
        <v/>
      </c>
      <c r="ET12" s="123">
        <f>IF(OR(ET$4="",$B12=""),0,SUMIF('DADOS BRUTOS'!$A$3:$A$500,$B12,'DADOS BRUTOS'!BT$3:BT$500)+IF($C12="",0,SUMIF('DADOS BRUTOS'!$A$3:$A$500,$C12,'DADOS BRUTOS'!BT$3:BT$500)))</f>
        <v/>
      </c>
      <c r="EU12" s="123">
        <f>IF(OR(EU$4="",$B12=""),0,SUMIF('DADOS BRUTOS'!$A$3:$A$500,$B12,'DADOS BRUTOS'!BU$3:BU$500)+IF($C12="",0,SUMIF('DADOS BRUTOS'!$A$3:$A$500,$C12,'DADOS BRUTOS'!BU$3:BU$500)))</f>
        <v/>
      </c>
      <c r="EV12" s="123">
        <f>IF(OR(EV$4="",$B12=""),0,SUMIF('DADOS BRUTOS'!$A$3:$A$500,$B12,'DADOS BRUTOS'!BV$3:BV$500)+IF($C12="",0,SUMIF('DADOS BRUTOS'!$A$3:$A$500,$C12,'DADOS BRUTOS'!BV$3:BV$500)))</f>
        <v/>
      </c>
      <c r="EW12" s="123">
        <f>IF(OR(EW$4="",$B12=""),0,SUMIF('DADOS BRUTOS'!$A$3:$A$500,$B12,'DADOS BRUTOS'!BW$3:BW$500)+IF($C12="",0,SUMIF('DADOS BRUTOS'!$A$3:$A$500,$C12,'DADOS BRUTOS'!BW$3:BW$500)))</f>
        <v/>
      </c>
      <c r="EX12" s="123">
        <f>IF(OR(EX$4="",$B12=""),0,SUMIF('DADOS BRUTOS'!$A$3:$A$500,$B12,'DADOS BRUTOS'!BX$3:BX$500)+IF($C12="",0,SUMIF('DADOS BRUTOS'!$A$3:$A$500,$C12,'DADOS BRUTOS'!BX$3:BX$500)))</f>
        <v/>
      </c>
      <c r="EY12" s="123">
        <f>IF(OR(EY$4="",$B12=""),0,SUMIF('DADOS BRUTOS'!$A$3:$A$500,$B12,'DADOS BRUTOS'!BY$3:BY$500)+IF($C12="",0,SUMIF('DADOS BRUTOS'!$A$3:$A$500,$C12,'DADOS BRUTOS'!BY$3:BY$500)))</f>
        <v/>
      </c>
      <c r="EZ12" s="123">
        <f>IF(OR(EZ$4="",$B12=""),0,SUMIF('DADOS BRUTOS'!$A$3:$A$500,$B12,'DADOS BRUTOS'!BZ$3:BZ$500)+IF($C12="",0,SUMIF('DADOS BRUTOS'!$A$3:$A$500,$C12,'DADOS BRUTOS'!BZ$3:BZ$500)))</f>
        <v/>
      </c>
      <c r="FA12" s="123">
        <f>IF(OR(FA$4="",$B12=""),0,SUMIF('DADOS BRUTOS'!$A$3:$A$500,$B12,'DADOS BRUTOS'!CA$3:CA$500)+IF($C12="",0,SUMIF('DADOS BRUTOS'!$A$3:$A$500,$C12,'DADOS BRUTOS'!CA$3:CA$500)))</f>
        <v/>
      </c>
      <c r="FB12" s="123">
        <f>IF(OR(FB$4="",$B12=""),0,SUMIF('DADOS BRUTOS'!$A$3:$A$500,$B12,'DADOS BRUTOS'!CB$3:CB$500)+IF($C12="",0,SUMIF('DADOS BRUTOS'!$A$3:$A$500,$C12,'DADOS BRUTOS'!CB$3:CB$500)))</f>
        <v/>
      </c>
      <c r="FC12" s="123">
        <f>IF(OR(FC$4="",$B12=""),0,SUMIF('DADOS BRUTOS'!$A$3:$A$500,$B12,'DADOS BRUTOS'!CC$3:CC$500)+IF($C12="",0,SUMIF('DADOS BRUTOS'!$A$3:$A$500,$C12,'DADOS BRUTOS'!CC$3:CC$500)))</f>
        <v/>
      </c>
      <c r="FD12" s="123">
        <f>IF(OR(FD$4="",$B12=""),0,SUMIF('DADOS BRUTOS'!$A$3:$A$500,$B12,'DADOS BRUTOS'!CD$3:CD$500)+IF($C12="",0,SUMIF('DADOS BRUTOS'!$A$3:$A$500,$C12,'DADOS BRUTOS'!CD$3:CD$500)))</f>
        <v/>
      </c>
      <c r="FE12" s="123">
        <f>IF(OR(FE$4="",$B12=""),0,SUMIF('DADOS BRUTOS'!$A$3:$A$500,$B12,'DADOS BRUTOS'!CE$3:CE$500)+IF($C12="",0,SUMIF('DADOS BRUTOS'!$A$3:$A$500,$C12,'DADOS BRUTOS'!CE$3:CE$500)))</f>
        <v/>
      </c>
      <c r="FF12" s="123">
        <f>IF(OR(FF$4="",$B12=""),0,SUMIF('DADOS BRUTOS'!$A$3:$A$500,$B12,'DADOS BRUTOS'!CF$3:CF$500)+IF($C12="",0,SUMIF('DADOS BRUTOS'!$A$3:$A$500,$C12,'DADOS BRUTOS'!CF$3:CF$500)))</f>
        <v/>
      </c>
      <c r="FG12" s="123">
        <f>IF(OR(FG$4="",$B12=""),0,SUMIF('DADOS BRUTOS'!$A$3:$A$500,$B12,'DADOS BRUTOS'!CG$3:CG$500)+IF($C12="",0,SUMIF('DADOS BRUTOS'!$A$3:$A$500,$C12,'DADOS BRUTOS'!CG$3:CG$500)))</f>
        <v/>
      </c>
      <c r="FH12" s="123">
        <f>IF(OR(FH$4="",$B12=""),0,SUMIF('DADOS BRUTOS'!$A$3:$A$500,$B12,'DADOS BRUTOS'!CH$3:CH$500)+IF($C12="",0,SUMIF('DADOS BRUTOS'!$A$3:$A$500,$C12,'DADOS BRUTOS'!CH$3:CH$500)))</f>
        <v/>
      </c>
      <c r="FI12" s="123">
        <f>IF(OR(FI$4="",$B12=""),0,SUMIF('DADOS BRUTOS'!$A$3:$A$500,$B12,'DADOS BRUTOS'!CI$3:CI$500)+IF($C12="",0,SUMIF('DADOS BRUTOS'!$A$3:$A$500,$C12,'DADOS BRUTOS'!CI$3:CI$500)))</f>
        <v/>
      </c>
      <c r="FJ12" s="123">
        <f>IF(OR(FJ$4="",$B12=""),0,SUMIF('DADOS BRUTOS'!$A$3:$A$500,$B12,'DADOS BRUTOS'!CJ$3:CJ$500)+IF($C12="",0,SUMIF('DADOS BRUTOS'!$A$3:$A$500,$C12,'DADOS BRUTOS'!CJ$3:CJ$500)))</f>
        <v/>
      </c>
      <c r="FK12" s="123">
        <f>IF(OR(FK$4="",$B12=""),0,SUMIF('DADOS BRUTOS'!$A$3:$A$500,$B12,'DADOS BRUTOS'!CK$3:CK$500)+IF($C12="",0,SUMIF('DADOS BRUTOS'!$A$3:$A$500,$C12,'DADOS BRUTOS'!CK$3:CK$500)))</f>
        <v/>
      </c>
      <c r="FL12" s="123">
        <f>IF(OR(FL$4="",$B12=""),0,SUMIF('DADOS BRUTOS'!$A$3:$A$500,$B12,'DADOS BRUTOS'!CL$3:CL$500)+IF($C12="",0,SUMIF('DADOS BRUTOS'!$A$3:$A$500,$C12,'DADOS BRUTOS'!CL$3:CL$500)))</f>
        <v/>
      </c>
      <c r="FM12" s="123">
        <f>IF(OR(FM$4="",$B12=""),0,SUMIF('DADOS BRUTOS'!$A$3:$A$500,$B12,'DADOS BRUTOS'!CM$3:CM$500)+IF($C12="",0,SUMIF('DADOS BRUTOS'!$A$3:$A$500,$C12,'DADOS BRUTOS'!CM$3:CM$500)))</f>
        <v/>
      </c>
      <c r="FN12" s="123">
        <f>IF(OR(FN$4="",$B12=""),0,SUMIF('DADOS BRUTOS'!$A$3:$A$500,$B12,'DADOS BRUTOS'!CN$3:CN$500)+IF($C12="",0,SUMIF('DADOS BRUTOS'!$A$3:$A$500,$C12,'DADOS BRUTOS'!CN$3:CN$500)))</f>
        <v/>
      </c>
      <c r="FO12" s="123">
        <f>IF(OR(FO$4="",$B12=""),0,SUMIF('DADOS BRUTOS'!$A$3:$A$500,$B12,'DADOS BRUTOS'!CO$3:CO$500)+IF($C12="",0,SUMIF('DADOS BRUTOS'!$A$3:$A$500,$C12,'DADOS BRUTOS'!CO$3:CO$500)))</f>
        <v/>
      </c>
      <c r="FP12" s="123">
        <f>IF(OR(FP$4="",$B12=""),0,SUMIF('DADOS BRUTOS'!$A$3:$A$500,$B12,'DADOS BRUTOS'!CP$3:CP$500)+IF($C12="",0,SUMIF('DADOS BRUTOS'!$A$3:$A$500,$C12,'DADOS BRUTOS'!CP$3:CP$500)))</f>
        <v/>
      </c>
      <c r="FQ12" s="123">
        <f>IF(OR(FQ$4="",$B12=""),0,SUMIF('DADOS BRUTOS'!$A$3:$A$500,$B12,'DADOS BRUTOS'!CQ$3:CQ$500)+IF($C12="",0,SUMIF('DADOS BRUTOS'!$A$3:$A$500,$C12,'DADOS BRUTOS'!CQ$3:CQ$500)))</f>
        <v/>
      </c>
      <c r="FR12" s="123">
        <f>IF(OR(FR$4="",$B12=""),0,SUMIF('DADOS BRUTOS'!$A$3:$A$500,$B12,'DADOS BRUTOS'!CR$3:CR$500)+IF($C12="",0,SUMIF('DADOS BRUTOS'!$A$3:$A$500,$C12,'DADOS BRUTOS'!CR$3:CR$500)))</f>
        <v/>
      </c>
      <c r="FS12" s="123">
        <f>IF(OR(FS$4="",$B12=""),0,SUMIF('DADOS BRUTOS'!$A$3:$A$500,$B12,'DADOS BRUTOS'!CS$3:CS$500)+IF($C12="",0,SUMIF('DADOS BRUTOS'!$A$3:$A$500,$C12,'DADOS BRUTOS'!CS$3:CS$500)))</f>
        <v/>
      </c>
      <c r="FT12" s="123">
        <f>IF(OR(FT$4="",$B12=""),0,SUMIF('DADOS BRUTOS'!$A$3:$A$500,$B12,'DADOS BRUTOS'!CT$3:CT$500)+IF($C12="",0,SUMIF('DADOS BRUTOS'!$A$3:$A$500,$C12,'DADOS BRUTOS'!CT$3:CT$500)))</f>
        <v/>
      </c>
      <c r="FU12" s="123">
        <f>IF(OR(FU$4="",$B12=""),0,SUMIF('DADOS BRUTOS'!$A$3:$A$500,$B12,'DADOS BRUTOS'!CU$3:CU$500)+IF($C12="",0,SUMIF('DADOS BRUTOS'!$A$3:$A$500,$C12,'DADOS BRUTOS'!CU$3:CU$500)))</f>
        <v/>
      </c>
      <c r="FV12" s="123">
        <f>IF(OR(FV$4="",$B12=""),0,SUMIF('DADOS BRUTOS'!$A$3:$A$500,$B12,'DADOS BRUTOS'!CV$3:CV$500)+IF($C12="",0,SUMIF('DADOS BRUTOS'!$A$3:$A$500,$C12,'DADOS BRUTOS'!CV$3:CV$500)))</f>
        <v/>
      </c>
      <c r="FW12" s="123">
        <f>IF(OR(FW$4="",$B12=""),0,SUMIF('DADOS BRUTOS'!$A$3:$A$500,$B12,'DADOS BRUTOS'!CW$3:CW$500)+IF($C12="",0,SUMIF('DADOS BRUTOS'!$A$3:$A$500,$C12,'DADOS BRUTOS'!CW$3:CW$500)))</f>
        <v/>
      </c>
      <c r="FX12" s="123">
        <f>IF(OR(FX$4="",$B12=""),0,SUMIF('DADOS BRUTOS'!$A$3:$A$500,$B12,'DADOS BRUTOS'!CX$3:CX$500)+IF($C12="",0,SUMIF('DADOS BRUTOS'!$A$3:$A$500,$C12,'DADOS BRUTOS'!CX$3:CX$500)))</f>
        <v/>
      </c>
      <c r="FY12" s="123">
        <f>IF(OR(FY$4="",$B12=""),0,SUMIF('DADOS BRUTOS'!$A$3:$A$500,$B12,'DADOS BRUTOS'!CY$3:CY$500)+IF($C12="",0,SUMIF('DADOS BRUTOS'!$A$3:$A$500,$C12,'DADOS BRUTOS'!CY$3:CY$500)))</f>
        <v/>
      </c>
      <c r="FZ12" s="123">
        <f>IF(OR(FZ$4="",$B12=""),0,SUMIF('DADOS BRUTOS'!$A$3:$A$500,$B12,'DADOS BRUTOS'!CZ$3:CZ$500)+IF($C12="",0,SUMIF('DADOS BRUTOS'!$A$3:$A$500,$C12,'DADOS BRUTOS'!CZ$3:CZ$500)))</f>
        <v/>
      </c>
      <c r="GA12" s="123">
        <f>IF(OR(GA$4="",$B12=""),0,SUMIF('DADOS BRUTOS'!$A$3:$A$500,$B12,'DADOS BRUTOS'!DA$3:DA$500)+IF($C12="",0,SUMIF('DADOS BRUTOS'!$A$3:$A$500,$C12,'DADOS BRUTOS'!DA$3:DA$500)))</f>
        <v/>
      </c>
      <c r="GB12" s="123">
        <f>IF(OR(GB$4="",$B12=""),0,SUMIF('DADOS BRUTOS'!$A$3:$A$500,$B12,'DADOS BRUTOS'!DB$3:DB$500)+IF($C12="",0,SUMIF('DADOS BRUTOS'!$A$3:$A$500,$C12,'DADOS BRUTOS'!DB$3:DB$500)))</f>
        <v/>
      </c>
      <c r="GC12" s="123">
        <f>IF(OR(GC$4="",$B12=""),0,SUMIF('DADOS BRUTOS'!$A$3:$A$500,$B12,'DADOS BRUTOS'!DC$3:DC$500)+IF($C12="",0,SUMIF('DADOS BRUTOS'!$A$3:$A$500,$C12,'DADOS BRUTOS'!DC$3:DC$500)))</f>
        <v/>
      </c>
      <c r="GD12" s="123">
        <f>IF(OR(GD$4="",$B12=""),0,SUMIF('DADOS BRUTOS'!$A$3:$A$500,$B12,'DADOS BRUTOS'!DD$3:DD$500)+IF($C12="",0,SUMIF('DADOS BRUTOS'!$A$3:$A$500,$C12,'DADOS BRUTOS'!DD$3:DD$500)))</f>
        <v/>
      </c>
      <c r="GE12" s="123">
        <f>IF(OR(GE$4="",$B12=""),0,SUMIF('DADOS BRUTOS'!$A$3:$A$500,$B12,'DADOS BRUTOS'!DE$3:DE$500)+IF($C12="",0,SUMIF('DADOS BRUTOS'!$A$3:$A$500,$C12,'DADOS BRUTOS'!DE$3:DE$500)))</f>
        <v/>
      </c>
      <c r="GF12" s="123">
        <f>IF(OR(GF$4="",$B12=""),0,SUMIF('DADOS BRUTOS'!$A$3:$A$500,$B12,'DADOS BRUTOS'!DF$3:DF$500)+IF($C12="",0,SUMIF('DADOS BRUTOS'!$A$3:$A$500,$C12,'DADOS BRUTOS'!DF$3:DF$500)))</f>
        <v/>
      </c>
      <c r="GG12" s="123">
        <f>IF(OR(GG$4="",$B12=""),0,SUMIF('DADOS BRUTOS'!$A$3:$A$500,$B12,'DADOS BRUTOS'!DG$3:DG$500)+IF($C12="",0,SUMIF('DADOS BRUTOS'!$A$3:$A$500,$C12,'DADOS BRUTOS'!DG$3:DG$500)))</f>
        <v/>
      </c>
      <c r="GH12" s="123">
        <f>IF(OR(GH$4="",$B12=""),0,SUMIF('DADOS BRUTOS'!$A$3:$A$500,$B12,'DADOS BRUTOS'!DH$3:DH$500)+IF($C12="",0,SUMIF('DADOS BRUTOS'!$A$3:$A$500,$C12,'DADOS BRUTOS'!DH$3:DH$500)))</f>
        <v/>
      </c>
      <c r="GI12" s="123">
        <f>IF(OR(GI$4="",$B12=""),0,SUMIF('DADOS BRUTOS'!$A$3:$A$500,$B12,'DADOS BRUTOS'!DI$3:DI$500)+IF($C12="",0,SUMIF('DADOS BRUTOS'!$A$3:$A$500,$C12,'DADOS BRUTOS'!DI$3:DI$500)))</f>
        <v/>
      </c>
      <c r="GJ12" s="123">
        <f>IF(OR(GJ$4="",$B12=""),0,SUMIF('DADOS BRUTOS'!$A$3:$A$500,$B12,'DADOS BRUTOS'!DJ$3:DJ$500)+IF($C12="",0,SUMIF('DADOS BRUTOS'!$A$3:$A$500,$C12,'DADOS BRUTOS'!DJ$3:DJ$500)))</f>
        <v/>
      </c>
      <c r="GK12" s="123">
        <f>IF(OR(GK$4="",$B12=""),0,SUMIF('DADOS BRUTOS'!$A$3:$A$500,$B12,'DADOS BRUTOS'!DK$3:DK$500)+IF($C12="",0,SUMIF('DADOS BRUTOS'!$A$3:$A$500,$C12,'DADOS BRUTOS'!DK$3:DK$500)))</f>
        <v/>
      </c>
      <c r="GL12" s="123">
        <f>IF(OR(GL$4="",$B12=""),0,SUMIF('DADOS BRUTOS'!$A$3:$A$500,$B12,'DADOS BRUTOS'!DL$3:DL$500)+IF($C12="",0,SUMIF('DADOS BRUTOS'!$A$3:$A$500,$C12,'DADOS BRUTOS'!DL$3:DL$500)))</f>
        <v/>
      </c>
      <c r="GM12" s="123">
        <f>IF(OR(GM$4="",$B12=""),0,SUMIF('DADOS BRUTOS'!$A$3:$A$500,$B12,'DADOS BRUTOS'!DM$3:DM$500)+IF($C12="",0,SUMIF('DADOS BRUTOS'!$A$3:$A$500,$C12,'DADOS BRUTOS'!DM$3:DM$500)))</f>
        <v/>
      </c>
      <c r="GN12" s="123">
        <f>IF(OR(GN$4="",$B12=""),0,SUMIF('DADOS BRUTOS'!$A$3:$A$500,$B12,'DADOS BRUTOS'!DN$3:DN$500)+IF($C12="",0,SUMIF('DADOS BRUTOS'!$A$3:$A$500,$C12,'DADOS BRUTOS'!DN$3:DN$500)))</f>
        <v/>
      </c>
      <c r="GO12" s="123">
        <f>IF(OR(GO$4="",$B12=""),0,SUMIF('DADOS BRUTOS'!$A$3:$A$500,$B12,'DADOS BRUTOS'!DO$3:DO$500)+IF($C12="",0,SUMIF('DADOS BRUTOS'!$A$3:$A$500,$C12,'DADOS BRUTOS'!DO$3:DO$500)))</f>
        <v/>
      </c>
      <c r="GP12" s="123">
        <f>IF(OR(GP$4="",$B12=""),0,SUMIF('DADOS BRUTOS'!$A$3:$A$500,$B12,'DADOS BRUTOS'!DP$3:DP$500)+IF($C12="",0,SUMIF('DADOS BRUTOS'!$A$3:$A$500,$C12,'DADOS BRUTOS'!DP$3:DP$500)))</f>
        <v/>
      </c>
      <c r="GQ12" s="123">
        <f>IF(OR(GQ$4="",$B12=""),0,SUMIF('DADOS BRUTOS'!$A$3:$A$500,$B12,'DADOS BRUTOS'!DQ$3:DQ$500)+IF($C12="",0,SUMIF('DADOS BRUTOS'!$A$3:$A$500,$C12,'DADOS BRUTOS'!DQ$3:DQ$500)))</f>
        <v/>
      </c>
      <c r="GR12" s="123">
        <f>IF(OR(GR$4="",$B12=""),0,SUMIF('DADOS BRUTOS'!$A$3:$A$500,$B12,'DADOS BRUTOS'!DR$3:DR$500)+IF($C12="",0,SUMIF('DADOS BRUTOS'!$A$3:$A$500,$C12,'DADOS BRUTOS'!DR$3:DR$500)))</f>
        <v/>
      </c>
      <c r="GS12" s="123">
        <f>IF(OR(GS$4="",$B12=""),0,SUMIF('DADOS BRUTOS'!$A$3:$A$500,$B12,'DADOS BRUTOS'!DS$3:DS$500)+IF($C12="",0,SUMIF('DADOS BRUTOS'!$A$3:$A$500,$C12,'DADOS BRUTOS'!DS$3:DS$500)))</f>
        <v/>
      </c>
      <c r="GT12" s="123">
        <f>IF(OR(GT$4="",$B12=""),0,SUMIF('DADOS BRUTOS'!$A$3:$A$500,$B12,'DADOS BRUTOS'!DT$3:DT$500)+IF($C12="",0,SUMIF('DADOS BRUTOS'!$A$3:$A$500,$C12,'DADOS BRUTOS'!DT$3:DT$500)))</f>
        <v/>
      </c>
      <c r="GU12" s="123">
        <f>IF(OR(GU$4="",$B12=""),0,SUMIF('DADOS BRUTOS'!$A$3:$A$500,$B12,'DADOS BRUTOS'!DU$3:DU$500)+IF($C12="",0,SUMIF('DADOS BRUTOS'!$A$3:$A$500,$C12,'DADOS BRUTOS'!DU$3:DU$500)))</f>
        <v/>
      </c>
      <c r="GV12" s="123">
        <f>IF(OR(GV$4="",$B12=""),0,SUMIF('DADOS BRUTOS'!$A$3:$A$500,$B12,'DADOS BRUTOS'!DV$3:DV$500)+IF($C12="",0,SUMIF('DADOS BRUTOS'!$A$3:$A$500,$C12,'DADOS BRUTOS'!DV$3:DV$500)))</f>
        <v/>
      </c>
      <c r="GW12" s="123">
        <f>IF(OR(GW$4="",$B12=""),0,SUMIF('DADOS BRUTOS'!$A$3:$A$500,$B12,'DADOS BRUTOS'!DW$3:DW$500)+IF($C12="",0,SUMIF('DADOS BRUTOS'!$A$3:$A$500,$C12,'DADOS BRUTOS'!DW$3:DW$500)))</f>
        <v/>
      </c>
      <c r="GX12" s="123">
        <f>IF(OR(GX$4="",$B12=""),0,SUMIF('DADOS BRUTOS'!$A$3:$A$500,$B12,'DADOS BRUTOS'!DX$3:DX$500)+IF($C12="",0,SUMIF('DADOS BRUTOS'!$A$3:$A$500,$C12,'DADOS BRUTOS'!DX$3:DX$500)))</f>
        <v/>
      </c>
      <c r="GY12" s="123">
        <f>IF(OR(GY$4="",$B12=""),0,SUMIF('DADOS BRUTOS'!$A$3:$A$500,$B12,'DADOS BRUTOS'!DY$3:DY$500)+IF($C12="",0,SUMIF('DADOS BRUTOS'!$A$3:$A$500,$C12,'DADOS BRUTOS'!DY$3:DY$500)))</f>
        <v/>
      </c>
      <c r="GZ12" s="123">
        <f>IF(OR(GZ$4="",$B12=""),0,SUMIF('DADOS BRUTOS'!$A$3:$A$500,$B12,'DADOS BRUTOS'!DZ$3:DZ$500)+IF($C12="",0,SUMIF('DADOS BRUTOS'!$A$3:$A$500,$C12,'DADOS BRUTOS'!DZ$3:DZ$500)))</f>
        <v/>
      </c>
      <c r="HA12" s="123">
        <f>IF(OR(HA$4="",$B12=""),0,SUMIF('DADOS BRUTOS'!$A$3:$A$500,$B12,'DADOS BRUTOS'!EA$3:EA$500)+IF($C12="",0,SUMIF('DADOS BRUTOS'!$A$3:$A$500,$C12,'DADOS BRUTOS'!EA$3:EA$500)))</f>
        <v/>
      </c>
      <c r="HB12" s="123">
        <f>IF(OR(HB$4="",$B12=""),0,SUMIF('DADOS BRUTOS'!$A$3:$A$500,$B12,'DADOS BRUTOS'!EB$3:EB$500)+IF($C12="",0,SUMIF('DADOS BRUTOS'!$A$3:$A$500,$C12,'DADOS BRUTOS'!EB$3:EB$500)))</f>
        <v/>
      </c>
      <c r="HC12" s="123">
        <f>IF(OR(HC$4="",$B12=""),0,SUMIF('DADOS BRUTOS'!$A$3:$A$500,$B12,'DADOS BRUTOS'!EC$3:EC$500)+IF($C12="",0,SUMIF('DADOS BRUTOS'!$A$3:$A$500,$C12,'DADOS BRUTOS'!EC$3:EC$500)))</f>
        <v/>
      </c>
      <c r="HD12" s="123">
        <f>IF(OR(HD$4="",$B12=""),0,SUMIF('DADOS BRUTOS'!$A$3:$A$500,$B12,'DADOS BRUTOS'!ED$3:ED$500)+IF($C12="",0,SUMIF('DADOS BRUTOS'!$A$3:$A$500,$C12,'DADOS BRUTOS'!ED$3:ED$500)))</f>
        <v/>
      </c>
      <c r="HE12" s="123">
        <f>IF(OR(HE$4="",$B12=""),0,SUMIF('DADOS BRUTOS'!$A$3:$A$500,$B12,'DADOS BRUTOS'!EE$3:EE$500)+IF($C12="",0,SUMIF('DADOS BRUTOS'!$A$3:$A$500,$C12,'DADOS BRUTOS'!EE$3:EE$500)))</f>
        <v/>
      </c>
      <c r="HF12" s="123">
        <f>IF(OR(HF$4="",$B12=""),0,SUMIF('DADOS BRUTOS'!$A$3:$A$500,$B12,'DADOS BRUTOS'!EF$3:EF$500)+IF($C12="",0,SUMIF('DADOS BRUTOS'!$A$3:$A$500,$C12,'DADOS BRUTOS'!EF$3:EF$500)))</f>
        <v/>
      </c>
      <c r="HG12" s="123">
        <f>IF(OR(HG$4="",$B12=""),0,SUMIF('DADOS BRUTOS'!$A$3:$A$500,$B12,'DADOS BRUTOS'!EG$3:EG$500)+IF($C12="",0,SUMIF('DADOS BRUTOS'!$A$3:$A$500,$C12,'DADOS BRUTOS'!EG$3:EG$500)))</f>
        <v/>
      </c>
      <c r="HH12" s="123">
        <f>IF(OR(HH$4="",$B12=""),0,SUMIF('DADOS BRUTOS'!$A$3:$A$500,$B12,'DADOS BRUTOS'!EH$3:EH$500)+IF($C12="",0,SUMIF('DADOS BRUTOS'!$A$3:$A$500,$C12,'DADOS BRUTOS'!EH$3:EH$500)))</f>
        <v/>
      </c>
      <c r="HI12" s="123">
        <f>IF(OR(HI$4="",$B12=""),0,SUMIF('DADOS BRUTOS'!$A$3:$A$500,$B12,'DADOS BRUTOS'!EI$3:EI$500)+IF($C12="",0,SUMIF('DADOS BRUTOS'!$A$3:$A$500,$C12,'DADOS BRUTOS'!EI$3:EI$500)))</f>
        <v/>
      </c>
      <c r="HJ12" s="123">
        <f>IF(OR(HJ$4="",$B12=""),0,SUMIF('DADOS BRUTOS'!$A$3:$A$500,$B12,'DADOS BRUTOS'!EJ$3:EJ$500)+IF($C12="",0,SUMIF('DADOS BRUTOS'!$A$3:$A$500,$C12,'DADOS BRUTOS'!EJ$3:EJ$500)))</f>
        <v/>
      </c>
      <c r="HK12" s="123">
        <f>IF(OR(HK$4="",$B12=""),0,SUMIF('DADOS BRUTOS'!$A$3:$A$500,$B12,'DADOS BRUTOS'!EK$3:EK$500)+IF($C12="",0,SUMIF('DADOS BRUTOS'!$A$3:$A$500,$C12,'DADOS BRUTOS'!EK$3:EK$500)))</f>
        <v/>
      </c>
      <c r="HL12" s="123">
        <f>IF(OR(HL$4="",$B12=""),0,SUMIF('DADOS BRUTOS'!$A$3:$A$500,$B12,'DADOS BRUTOS'!EL$3:EL$500)+IF($C12="",0,SUMIF('DADOS BRUTOS'!$A$3:$A$500,$C12,'DADOS BRUTOS'!EL$3:EL$500)))</f>
        <v/>
      </c>
      <c r="HM12" s="123">
        <f>IF(OR(HM$4="",$B12=""),0,SUMIF('DADOS BRUTOS'!$A$3:$A$500,$B12,'DADOS BRUTOS'!EM$3:EM$500)+IF($C12="",0,SUMIF('DADOS BRUTOS'!$A$3:$A$500,$C12,'DADOS BRUTOS'!EM$3:EM$500)))</f>
        <v/>
      </c>
      <c r="HN12" s="123">
        <f>IF(OR(HN$4="",$B12=""),0,SUMIF('DADOS BRUTOS'!$A$3:$A$500,$B12,'DADOS BRUTOS'!EN$3:EN$500)+IF($C12="",0,SUMIF('DADOS BRUTOS'!$A$3:$A$500,$C12,'DADOS BRUTOS'!EN$3:EN$500)))</f>
        <v/>
      </c>
      <c r="HO12" s="123">
        <f>IF(OR(HO$4="",$B12=""),0,SUMIF('DADOS BRUTOS'!$A$3:$A$500,$B12,'DADOS BRUTOS'!EO$3:EO$500)+IF($C12="",0,SUMIF('DADOS BRUTOS'!$A$3:$A$500,$C12,'DADOS BRUTOS'!EO$3:EO$500)))</f>
        <v/>
      </c>
      <c r="HP12" s="123">
        <f>IF(OR(HP$4="",$B12=""),0,SUMIF('DADOS BRUTOS'!$A$3:$A$500,$B12,'DADOS BRUTOS'!EP$3:EP$500)+IF($C12="",0,SUMIF('DADOS BRUTOS'!$A$3:$A$500,$C12,'DADOS BRUTOS'!EP$3:EP$500)))</f>
        <v/>
      </c>
      <c r="HQ12" s="123">
        <f>IF(OR(HQ$4="",$B12=""),0,SUMIF('DADOS BRUTOS'!$A$3:$A$500,$B12,'DADOS BRUTOS'!EQ$3:EQ$500)+IF($C12="",0,SUMIF('DADOS BRUTOS'!$A$3:$A$500,$C12,'DADOS BRUTOS'!EQ$3:EQ$500)))</f>
        <v/>
      </c>
      <c r="HR12" s="123">
        <f>IF(OR(HR$4="",$B12=""),0,SUMIF('DADOS BRUTOS'!$A$3:$A$500,$B12,'DADOS BRUTOS'!ER$3:ER$500)+IF($C12="",0,SUMIF('DADOS BRUTOS'!$A$3:$A$500,$C12,'DADOS BRUTOS'!ER$3:ER$500)))</f>
        <v/>
      </c>
      <c r="HS12" s="123">
        <f>IF(OR(HS$4="",$B12=""),0,SUMIF('DADOS BRUTOS'!$A$3:$A$500,$B12,'DADOS BRUTOS'!ES$3:ES$500)+IF($C12="",0,SUMIF('DADOS BRUTOS'!$A$3:$A$500,$C12,'DADOS BRUTOS'!ES$3:ES$500)))</f>
        <v/>
      </c>
      <c r="HT12" s="123">
        <f>IF(OR(HT$4="",$B12=""),0,SUMIF('DADOS BRUTOS'!$A$3:$A$500,$B12,'DADOS BRUTOS'!ET$3:ET$500)+IF($C12="",0,SUMIF('DADOS BRUTOS'!$A$3:$A$500,$C12,'DADOS BRUTOS'!ET$3:ET$500)))</f>
        <v/>
      </c>
      <c r="HU12" s="123">
        <f>IF(OR(HU$4="",$B12=""),0,SUMIF('DADOS BRUTOS'!$A$3:$A$500,$B12,'DADOS BRUTOS'!EU$3:EU$500)+IF($C12="",0,SUMIF('DADOS BRUTOS'!$A$3:$A$500,$C12,'DADOS BRUTOS'!EU$3:EU$500)))</f>
        <v/>
      </c>
      <c r="HV12" s="123">
        <f>IF(OR(HV$4="",$B12=""),0,SUMIF('DADOS BRUTOS'!$A$3:$A$500,$B12,'DADOS BRUTOS'!EV$3:EV$500)+IF($C12="",0,SUMIF('DADOS BRUTOS'!$A$3:$A$500,$C12,'DADOS BRUTOS'!EV$3:EV$500)))</f>
        <v/>
      </c>
      <c r="HW12" s="123">
        <f>IF(OR(HW$4="",$B12=""),0,SUMIF('DADOS BRUTOS'!$A$3:$A$500,$B12,'DADOS BRUTOS'!EW$3:EW$500)+IF($C12="",0,SUMIF('DADOS BRUTOS'!$A$3:$A$500,$C12,'DADOS BRUTOS'!EW$3:EW$500)))</f>
        <v/>
      </c>
      <c r="HX12" s="123">
        <f>IF(OR(HX$4="",$B12=""),0,SUMIF('DADOS BRUTOS'!$A$3:$A$500,$B12,'DADOS BRUTOS'!EX$3:EX$500)+IF($C12="",0,SUMIF('DADOS BRUTOS'!$A$3:$A$500,$C12,'DADOS BRUTOS'!EX$3:EX$500)))</f>
        <v/>
      </c>
      <c r="HY12" s="123">
        <f>IF(OR(HY$4="",$B12=""),0,SUMIF('DADOS BRUTOS'!$A$3:$A$500,$B12,'DADOS BRUTOS'!EY$3:EY$500)+IF($C12="",0,SUMIF('DADOS BRUTOS'!$A$3:$A$500,$C12,'DADOS BRUTOS'!EY$3:EY$500)))</f>
        <v/>
      </c>
      <c r="HZ12" s="123">
        <f>IF(OR(HZ$4="",$B12=""),0,SUMIF('DADOS BRUTOS'!$A$3:$A$500,$B12,'DADOS BRUTOS'!EZ$3:EZ$500)+IF($C12="",0,SUMIF('DADOS BRUTOS'!$A$3:$A$500,$C12,'DADOS BRUTOS'!EZ$3:EZ$500)))</f>
        <v/>
      </c>
      <c r="IA12" s="123">
        <f>IF(OR(IA$4="",$B12=""),0,SUMIF('DADOS BRUTOS'!$A$3:$A$500,$B12,'DADOS BRUTOS'!FA$3:FA$500)+IF($C12="",0,SUMIF('DADOS BRUTOS'!$A$3:$A$500,$C12,'DADOS BRUTOS'!FA$3:FA$500)))</f>
        <v/>
      </c>
      <c r="IB12" s="123">
        <f>IF(OR(IB$4="",$B12=""),0,SUMIF('DADOS BRUTOS'!$A$3:$A$500,$B12,'DADOS BRUTOS'!FB$3:FB$500)+IF($C12="",0,SUMIF('DADOS BRUTOS'!$A$3:$A$500,$C12,'DADOS BRUTOS'!FB$3:FB$500)))</f>
        <v/>
      </c>
      <c r="IC12" s="123">
        <f>IF(OR(IC$4="",$B12=""),0,SUMIF('DADOS BRUTOS'!$A$3:$A$500,$B12,'DADOS BRUTOS'!FC$3:FC$500)+IF($C12="",0,SUMIF('DADOS BRUTOS'!$A$3:$A$500,$C12,'DADOS BRUTOS'!FC$3:FC$500)))</f>
        <v/>
      </c>
      <c r="ID12" s="123">
        <f>IF(OR(ID$4="",$B12=""),0,SUMIF('DADOS BRUTOS'!$A$3:$A$500,$B12,'DADOS BRUTOS'!FD$3:FD$500)+IF($C12="",0,SUMIF('DADOS BRUTOS'!$A$3:$A$500,$C12,'DADOS BRUTOS'!FD$3:FD$500)))</f>
        <v/>
      </c>
      <c r="IE12" s="123">
        <f>IF(OR(IE$4="",$B12=""),0,SUMIF('DADOS BRUTOS'!$A$3:$A$500,$B12,'DADOS BRUTOS'!FE$3:FE$500)+IF($C12="",0,SUMIF('DADOS BRUTOS'!$A$3:$A$500,$C12,'DADOS BRUTOS'!FE$3:FE$500)))</f>
        <v/>
      </c>
      <c r="IF12" s="123">
        <f>IF(OR(IF$4="",$B12=""),0,SUMIF('DADOS BRUTOS'!$A$3:$A$500,$B12,'DADOS BRUTOS'!FF$3:FF$500)+IF($C12="",0,SUMIF('DADOS BRUTOS'!$A$3:$A$500,$C12,'DADOS BRUTOS'!FF$3:FF$500)))</f>
        <v/>
      </c>
      <c r="IG12" s="123">
        <f>IF(OR(IG$4="",$B12=""),0,SUMIF('DADOS BRUTOS'!$A$3:$A$500,$B12,'DADOS BRUTOS'!FG$3:FG$500)+IF($C12="",0,SUMIF('DADOS BRUTOS'!$A$3:$A$500,$C12,'DADOS BRUTOS'!FG$3:FG$500)))</f>
        <v/>
      </c>
      <c r="IH12" s="123">
        <f>IF(OR(IH$4="",$B12=""),0,SUMIF('DADOS BRUTOS'!$A$3:$A$500,$B12,'DADOS BRUTOS'!FH$3:FH$500)+IF($C12="",0,SUMIF('DADOS BRUTOS'!$A$3:$A$500,$C12,'DADOS BRUTOS'!FH$3:FH$500)))</f>
        <v/>
      </c>
      <c r="II12" s="123">
        <f>IF(OR(II$4="",$B12=""),0,SUMIF('DADOS BRUTOS'!$A$3:$A$500,$B12,'DADOS BRUTOS'!FI$3:FI$500)+IF($C12="",0,SUMIF('DADOS BRUTOS'!$A$3:$A$500,$C12,'DADOS BRUTOS'!FI$3:FI$500)))</f>
        <v/>
      </c>
      <c r="IJ12" s="123">
        <f>IF(OR(IJ$4="",$B12=""),0,SUMIF('DADOS BRUTOS'!$A$3:$A$500,$B12,'DADOS BRUTOS'!FJ$3:FJ$500)+IF($C12="",0,SUMIF('DADOS BRUTOS'!$A$3:$A$500,$C12,'DADOS BRUTOS'!FJ$3:FJ$500)))</f>
        <v/>
      </c>
      <c r="IK12" s="123">
        <f>IF(OR(IK$4="",$B12=""),0,SUMIF('DADOS BRUTOS'!$A$3:$A$500,$B12,'DADOS BRUTOS'!FK$3:FK$500)+IF($C12="",0,SUMIF('DADOS BRUTOS'!$A$3:$A$500,$C12,'DADOS BRUTOS'!FK$3:FK$500)))</f>
        <v/>
      </c>
      <c r="IL12" s="123">
        <f>IF(OR(IL$4="",$B12=""),0,SUMIF('DADOS BRUTOS'!$A$3:$A$500,$B12,'DADOS BRUTOS'!FL$3:FL$500)+IF($C12="",0,SUMIF('DADOS BRUTOS'!$A$3:$A$500,$C12,'DADOS BRUTOS'!FL$3:FL$500)))</f>
        <v/>
      </c>
      <c r="IM12" s="123">
        <f>IF(OR(IM$4="",$B12=""),0,SUMIF('DADOS BRUTOS'!$A$3:$A$500,$B12,'DADOS BRUTOS'!FM$3:FM$500)+IF($C12="",0,SUMIF('DADOS BRUTOS'!$A$3:$A$500,$C12,'DADOS BRUTOS'!FM$3:FM$500)))</f>
        <v/>
      </c>
      <c r="IN12" s="123">
        <f>IF(OR(IN$4="",$B12=""),0,SUMIF('DADOS BRUTOS'!$A$3:$A$500,$B12,'DADOS BRUTOS'!FN$3:FN$500)+IF($C12="",0,SUMIF('DADOS BRUTOS'!$A$3:$A$500,$C12,'DADOS BRUTOS'!FN$3:FN$500)))</f>
        <v/>
      </c>
      <c r="IO12" s="123">
        <f>IF(OR(IO$4="",$B12=""),0,SUMIF('DADOS BRUTOS'!$A$3:$A$500,$B12,'DADOS BRUTOS'!FO$3:FO$500)+IF($C12="",0,SUMIF('DADOS BRUTOS'!$A$3:$A$500,$C12,'DADOS BRUTOS'!FO$3:FO$500)))</f>
        <v/>
      </c>
      <c r="IP12" s="123">
        <f>IF(OR(IP$4="",$B12=""),0,SUMIF('DADOS BRUTOS'!$A$3:$A$500,$B12,'DADOS BRUTOS'!FP$3:FP$500)+IF($C12="",0,SUMIF('DADOS BRUTOS'!$A$3:$A$500,$C12,'DADOS BRUTOS'!FP$3:FP$500)))</f>
        <v/>
      </c>
      <c r="IQ12" s="123">
        <f>IF(OR(IQ$4="",$B12=""),0,SUMIF('DADOS BRUTOS'!$A$3:$A$500,$B12,'DADOS BRUTOS'!FQ$3:FQ$500)+IF($C12="",0,SUMIF('DADOS BRUTOS'!$A$3:$A$500,$C12,'DADOS BRUTOS'!FQ$3:FQ$500)))</f>
        <v/>
      </c>
      <c r="IR12" s="123">
        <f>IF(OR(IR$4="",$B12=""),0,SUMIF('DADOS BRUTOS'!$A$3:$A$500,$B12,'DADOS BRUTOS'!FR$3:FR$500)+IF($C12="",0,SUMIF('DADOS BRUTOS'!$A$3:$A$500,$C12,'DADOS BRUTOS'!FR$3:FR$500)))</f>
        <v/>
      </c>
      <c r="IS12" s="123">
        <f>IF(OR(IS$4="",$B12=""),0,SUMIF('DADOS BRUTOS'!$A$3:$A$500,$B12,'DADOS BRUTOS'!FS$3:FS$500)+IF($C12="",0,SUMIF('DADOS BRUTOS'!$A$3:$A$500,$C12,'DADOS BRUTOS'!FS$3:FS$500)))</f>
        <v/>
      </c>
      <c r="IT12" s="123">
        <f>IF(OR(IT$4="",$B12=""),0,SUMIF('DADOS BRUTOS'!$A$3:$A$500,$B12,'DADOS BRUTOS'!FT$3:FT$500)+IF($C12="",0,SUMIF('DADOS BRUTOS'!$A$3:$A$500,$C12,'DADOS BRUTOS'!FT$3:FT$500)))</f>
        <v/>
      </c>
      <c r="IU12" s="123">
        <f>IF(OR(IU$4="",$B12=""),0,SUMIF('DADOS BRUTOS'!$A$3:$A$500,$B12,'DADOS BRUTOS'!FU$3:FU$500)+IF($C12="",0,SUMIF('DADOS BRUTOS'!$A$3:$A$500,$C12,'DADOS BRUTOS'!FU$3:FU$500)))</f>
        <v/>
      </c>
      <c r="IV12" s="123">
        <f>IF(OR(IV$4="",$B12=""),0,SUMIF('DADOS BRUTOS'!$A$3:$A$500,$B12,'DADOS BRUTOS'!FV$3:FV$500)+IF($C12="",0,SUMIF('DADOS BRUTOS'!$A$3:$A$500,$C12,'DADOS BRUTOS'!FV$3:FV$500)))</f>
        <v/>
      </c>
      <c r="IW12" s="123">
        <f>IF(OR(IW$4="",$B12=""),0,SUMIF('DADOS BRUTOS'!$A$3:$A$500,$B12,'DADOS BRUTOS'!FW$3:FW$500)+IF($C12="",0,SUMIF('DADOS BRUTOS'!$A$3:$A$500,$C12,'DADOS BRUTOS'!FW$3:FW$500)))</f>
        <v/>
      </c>
      <c r="IX12" s="123">
        <f>IF(OR(IX$4="",$B12=""),0,SUMIF('DADOS BRUTOS'!$A$3:$A$500,$B12,'DADOS BRUTOS'!FX$3:FX$500)+IF($C12="",0,SUMIF('DADOS BRUTOS'!$A$3:$A$500,$C12,'DADOS BRUTOS'!FX$3:FX$500)))</f>
        <v/>
      </c>
      <c r="IY12" s="123">
        <f>IF(OR(IY$4="",$B12=""),0,SUMIF('DADOS BRUTOS'!$A$3:$A$500,$B12,'DADOS BRUTOS'!FY$3:FY$500)+IF($C12="",0,SUMIF('DADOS BRUTOS'!$A$3:$A$500,$C12,'DADOS BRUTOS'!FY$3:FY$500)))</f>
        <v/>
      </c>
      <c r="IZ12" s="123">
        <f>IF(OR(IZ$4="",$B12=""),0,SUMIF('DADOS BRUTOS'!$A$3:$A$500,$B12,'DADOS BRUTOS'!FZ$3:FZ$500)+IF($C12="",0,SUMIF('DADOS BRUTOS'!$A$3:$A$500,$C12,'DADOS BRUTOS'!FZ$3:FZ$500)))</f>
        <v/>
      </c>
      <c r="JA12" s="123">
        <f>IF(OR(JA$4="",$B12=""),0,SUMIF('DADOS BRUTOS'!$A$3:$A$500,$B12,'DADOS BRUTOS'!GA$3:GA$500)+IF($C12="",0,SUMIF('DADOS BRUTOS'!$A$3:$A$500,$C12,'DADOS BRUTOS'!GA$3:GA$500)))</f>
        <v/>
      </c>
      <c r="JB12" s="123">
        <f>IF(OR(JB$4="",$B12=""),0,SUMIF('DADOS BRUTOS'!$A$3:$A$500,$B12,'DADOS BRUTOS'!GB$3:GB$500)+IF($C12="",0,SUMIF('DADOS BRUTOS'!$A$3:$A$500,$C12,'DADOS BRUTOS'!GB$3:GB$500)))</f>
        <v/>
      </c>
      <c r="JC12" s="123">
        <f>IF(OR(JC$4="",$B12=""),0,SUMIF('DADOS BRUTOS'!$A$3:$A$500,$B12,'DADOS BRUTOS'!GC$3:GC$500)+IF($C12="",0,SUMIF('DADOS BRUTOS'!$A$3:$A$500,$C12,'DADOS BRUTOS'!GC$3:GC$500)))</f>
        <v/>
      </c>
      <c r="JD12" s="123">
        <f>IF(OR(JD$4="",$B12=""),0,SUMIF('DADOS BRUTOS'!$A$3:$A$500,$B12,'DADOS BRUTOS'!GD$3:GD$500)+IF($C12="",0,SUMIF('DADOS BRUTOS'!$A$3:$A$500,$C12,'DADOS BRUTOS'!GD$3:GD$500)))</f>
        <v/>
      </c>
      <c r="JE12" s="123">
        <f>IF(OR(JE$4="",$B12=""),0,SUMIF('DADOS BRUTOS'!$A$3:$A$500,$B12,'DADOS BRUTOS'!GE$3:GE$500)+IF($C12="",0,SUMIF('DADOS BRUTOS'!$A$3:$A$500,$C12,'DADOS BRUTOS'!GE$3:GE$500)))</f>
        <v/>
      </c>
      <c r="JF12" s="123">
        <f>IF(OR(JF$4="",$B12=""),0,SUMIF('DADOS BRUTOS'!$A$3:$A$500,$B12,'DADOS BRUTOS'!GF$3:GF$500)+IF($C12="",0,SUMIF('DADOS BRUTOS'!$A$3:$A$500,$C12,'DADOS BRUTOS'!GF$3:GF$500)))</f>
        <v/>
      </c>
      <c r="JG12" s="123">
        <f>IF(OR(JG$4="",$B12=""),0,SUMIF('DADOS BRUTOS'!$A$3:$A$500,$B12,'DADOS BRUTOS'!GG$3:GG$500)+IF($C12="",0,SUMIF('DADOS BRUTOS'!$A$3:$A$500,$C12,'DADOS BRUTOS'!GG$3:GG$500)))</f>
        <v/>
      </c>
      <c r="JH12" s="123">
        <f>IF(OR(JH$4="",$B12=""),0,SUMIF('DADOS BRUTOS'!$A$3:$A$500,$B12,'DADOS BRUTOS'!GH$3:GH$500)+IF($C12="",0,SUMIF('DADOS BRUTOS'!$A$3:$A$500,$C12,'DADOS BRUTOS'!GH$3:GH$500)))</f>
        <v/>
      </c>
      <c r="JI12" s="123">
        <f>IF(OR(JI$4="",$B12=""),0,SUMIF('DADOS BRUTOS'!$A$3:$A$500,$B12,'DADOS BRUTOS'!GI$3:GI$500)+IF($C12="",0,SUMIF('DADOS BRUTOS'!$A$3:$A$500,$C12,'DADOS BRUTOS'!GI$3:GI$500)))</f>
        <v/>
      </c>
      <c r="JJ12" s="123">
        <f>IF(OR(JJ$4="",$B12=""),0,SUMIF('DADOS BRUTOS'!$A$3:$A$500,$B12,'DADOS BRUTOS'!GJ$3:GJ$500)+IF($C12="",0,SUMIF('DADOS BRUTOS'!$A$3:$A$500,$C12,'DADOS BRUTOS'!GJ$3:GJ$500)))</f>
        <v/>
      </c>
      <c r="JK12" s="123">
        <f>IF(OR(JK$4="",$B12=""),0,SUMIF('DADOS BRUTOS'!$A$3:$A$500,$B12,'DADOS BRUTOS'!GK$3:GK$500)+IF($C12="",0,SUMIF('DADOS BRUTOS'!$A$3:$A$500,$C12,'DADOS BRUTOS'!GK$3:GK$500)))</f>
        <v/>
      </c>
      <c r="JL12" s="123">
        <f>IF(OR(JL$4="",$B12=""),0,SUMIF('DADOS BRUTOS'!$A$3:$A$500,$B12,'DADOS BRUTOS'!GL$3:GL$500)+IF($C12="",0,SUMIF('DADOS BRUTOS'!$A$3:$A$500,$C12,'DADOS BRUTOS'!GL$3:GL$500)))</f>
        <v/>
      </c>
      <c r="JM12" s="123">
        <f>IF(OR(JM$4="",$B12=""),0,SUMIF('DADOS BRUTOS'!$A$3:$A$500,$B12,'DADOS BRUTOS'!GM$3:GM$500)+IF($C12="",0,SUMIF('DADOS BRUTOS'!$A$3:$A$500,$C12,'DADOS BRUTOS'!GM$3:GM$500)))</f>
        <v/>
      </c>
      <c r="JN12" s="123">
        <f>IF(OR(JN$4="",$B12=""),0,SUMIF('DADOS BRUTOS'!$A$3:$A$500,$B12,'DADOS BRUTOS'!GN$3:GN$500)+IF($C12="",0,SUMIF('DADOS BRUTOS'!$A$3:$A$500,$C12,'DADOS BRUTOS'!GN$3:GN$500)))</f>
        <v/>
      </c>
      <c r="JO12" s="123">
        <f>IF(OR(JO$4="",$B12=""),0,SUMIF('DADOS BRUTOS'!$A$3:$A$500,$B12,'DADOS BRUTOS'!GO$3:GO$500)+IF($C12="",0,SUMIF('DADOS BRUTOS'!$A$3:$A$500,$C12,'DADOS BRUTOS'!GO$3:GO$500)))</f>
        <v/>
      </c>
      <c r="JP12" s="123">
        <f>IF(OR(JP$4="",$B12=""),0,SUMIF('DADOS BRUTOS'!$A$3:$A$500,$B12,'DADOS BRUTOS'!GP$3:GP$500)+IF($C12="",0,SUMIF('DADOS BRUTOS'!$A$3:$A$500,$C12,'DADOS BRUTOS'!GP$3:GP$500)))</f>
        <v/>
      </c>
      <c r="JQ12" s="123">
        <f>IF(OR(JQ$4="",$B12=""),0,SUMIF('DADOS BRUTOS'!$A$3:$A$500,$B12,'DADOS BRUTOS'!GQ$3:GQ$500)+IF($C12="",0,SUMIF('DADOS BRUTOS'!$A$3:$A$500,$C12,'DADOS BRUTOS'!GQ$3:GQ$500)))</f>
        <v/>
      </c>
      <c r="JR12" s="123">
        <f>IF(OR(JR$4="",$B12=""),0,SUMIF('DADOS BRUTOS'!$A$3:$A$500,$B12,'DADOS BRUTOS'!GR$3:GR$500)+IF($C12="",0,SUMIF('DADOS BRUTOS'!$A$3:$A$500,$C12,'DADOS BRUTOS'!GR$3:GR$500)))</f>
        <v/>
      </c>
      <c r="JS12" s="123">
        <f>IF(OR(JS$4="",$B12=""),0,SUMIF('DADOS BRUTOS'!$A$3:$A$500,$B12,'DADOS BRUTOS'!GS$3:GS$500)+IF($C12="",0,SUMIF('DADOS BRUTOS'!$A$3:$A$500,$C12,'DADOS BRUTOS'!GS$3:GS$500)))</f>
        <v/>
      </c>
    </row>
    <row r="13">
      <c r="A13" s="61">
        <f>'VALOR POR PL'!D19</f>
        <v/>
      </c>
      <c r="B13" s="60" t="inlineStr">
        <is>
          <t>CONSULTORIAS (OBRAS)</t>
        </is>
      </c>
      <c r="C13" s="60" t="n"/>
      <c r="D13" s="55">
        <f>SUMIF($CB$4:$JS$4,"&lt;="&amp;D$4,$CB13:$JS13)</f>
        <v/>
      </c>
      <c r="E13" s="55">
        <f>SUMIF($CB$4:$JS$4,E$4,$CB13:$JS13)</f>
        <v/>
      </c>
      <c r="F13" s="55">
        <f>SUMIF($CB$4:$JS$4,F$4,$CB13:$JS13)</f>
        <v/>
      </c>
      <c r="G13" s="55">
        <f>SUMIF($CB$4:$JS$4,G$4,$CB13:$JS13)</f>
        <v/>
      </c>
      <c r="H13" s="55">
        <f>SUMIF($CB$4:$JS$4,H$4,$CB13:$JS13)</f>
        <v/>
      </c>
      <c r="I13" s="55">
        <f>SUMIF($CB$4:$JS$4,I$4,$CB13:$JS13)</f>
        <v/>
      </c>
      <c r="J13" s="55">
        <f>SUMIF($CB$4:$JS$4,J$4,$CB13:$JS13)</f>
        <v/>
      </c>
      <c r="K13" s="55">
        <f>SUMIF($CB$4:$JS$4,K$4,$CB13:$JS13)</f>
        <v/>
      </c>
      <c r="L13" s="55">
        <f>SUMIF($CB$4:$JS$4,L$4,$CB13:$JS13)</f>
        <v/>
      </c>
      <c r="M13" s="55">
        <f>SUMIF($CB$4:$JS$4,M$4,$CB13:$JS13)</f>
        <v/>
      </c>
      <c r="N13" s="55">
        <f>SUMIF($CB$4:$JS$4,N$4,$CB13:$JS13)</f>
        <v/>
      </c>
      <c r="O13" s="55">
        <f>SUMIF($CB$4:$JS$4,O$4,$CB13:$JS13)</f>
        <v/>
      </c>
      <c r="P13" s="55">
        <f>SUMIF($CB$4:$JS$4,P$4,$CB13:$JS13)</f>
        <v/>
      </c>
      <c r="Q13" s="55">
        <f>SUMIF($CB$4:$JS$4,Q$4,$CB13:$JS13)</f>
        <v/>
      </c>
      <c r="R13" s="55">
        <f>SUMIF($CB$4:$JS$4,R$4,$CB13:$JS13)</f>
        <v/>
      </c>
      <c r="S13" s="55">
        <f>SUMIF($CB$4:$JS$4,S$4,$CB13:$JS13)</f>
        <v/>
      </c>
      <c r="T13" s="55">
        <f>SUMIF($CB$4:$JS$4,T$4,$CB13:$JS13)</f>
        <v/>
      </c>
      <c r="U13" s="55">
        <f>SUMIF($CB$4:$JS$4,U$4,$CB13:$JS13)</f>
        <v/>
      </c>
      <c r="V13" s="55">
        <f>SUMIF($CB$4:$JS$4,V$4,$CB13:$JS13)</f>
        <v/>
      </c>
      <c r="W13" s="55">
        <f>SUMIF($CB$4:$JS$4,W$4,$CB13:$JS13)</f>
        <v/>
      </c>
      <c r="X13" s="55">
        <f>SUMIF($CB$4:$JS$4,X$4,$CB13:$JS13)</f>
        <v/>
      </c>
      <c r="Y13" s="55">
        <f>SUMIF($CB$4:$JS$4,Y$4,$CB13:$JS13)</f>
        <v/>
      </c>
      <c r="Z13" s="55">
        <f>SUMIF($CB$4:$JS$4,Z$4,$CB13:$JS13)</f>
        <v/>
      </c>
      <c r="AA13" s="55">
        <f>SUMIF($CB$4:$JS$4,AA$4,$CB13:$JS13)</f>
        <v/>
      </c>
      <c r="AB13" s="55">
        <f>SUMIF($CB$4:$JS$4,AB$4,$CB13:$JS13)</f>
        <v/>
      </c>
      <c r="AC13" s="55">
        <f>SUMIF($CB$4:$JS$4,AC$4,$CB13:$JS13)</f>
        <v/>
      </c>
      <c r="AD13" s="55">
        <f>SUMIF($CB$4:$JS$4,AD$4,$CB13:$JS13)</f>
        <v/>
      </c>
      <c r="AE13" s="55">
        <f>SUMIF($CB$4:$JS$4,AE$4,$CB13:$JS13)</f>
        <v/>
      </c>
      <c r="AF13" s="55">
        <f>SUMIF($CB$4:$JS$4,AF$4,$CB13:$JS13)</f>
        <v/>
      </c>
      <c r="AG13" s="55">
        <f>SUMIF($CB$4:$JS$4,AG$4,$CB13:$JS13)</f>
        <v/>
      </c>
      <c r="AH13" s="55">
        <f>SUMIF($CB$4:$JS$4,AH$4,$CB13:$JS13)</f>
        <v/>
      </c>
      <c r="AI13" s="55">
        <f>SUMIF($CB$4:$JS$4,AI$4,$CB13:$JS13)</f>
        <v/>
      </c>
      <c r="AJ13" s="55">
        <f>SUMIF($CB$4:$JS$4,AJ$4,$CB13:$JS13)</f>
        <v/>
      </c>
      <c r="AK13" s="55">
        <f>SUMIF($CB$4:$JS$4,AK$4,$CB13:$JS13)</f>
        <v/>
      </c>
      <c r="AL13" s="55">
        <f>SUMIF($CB$4:$JS$4,AL$4,$CB13:$JS13)</f>
        <v/>
      </c>
      <c r="AM13" s="55">
        <f>SUMIF($CB$4:$JS$4,AM$4,$CB13:$JS13)</f>
        <v/>
      </c>
      <c r="AN13" s="55">
        <f>SUMIF($CB$4:$JS$4,AN$4,$CB13:$JS13)</f>
        <v/>
      </c>
      <c r="AO13" s="55">
        <f>SUMIF($CB$4:$JS$4,AO$4,$CB13:$JS13)</f>
        <v/>
      </c>
      <c r="AP13" s="55">
        <f>SUMIF($CB$4:$JS$4,AP$4,$CB13:$JS13)</f>
        <v/>
      </c>
      <c r="AQ13" s="55">
        <f>SUMIF($CB$4:$JS$4,AQ$4,$CB13:$JS13)</f>
        <v/>
      </c>
      <c r="AR13" s="55">
        <f>SUMIF($CB$4:$JS$4,AR$4,$CB13:$JS13)</f>
        <v/>
      </c>
      <c r="AS13" s="55">
        <f>SUMIF($CB$4:$JS$4,AS$4,$CB13:$JS13)</f>
        <v/>
      </c>
      <c r="AT13" s="55">
        <f>SUMIF($CB$4:$JS$4,AT$4,$CB13:$JS13)</f>
        <v/>
      </c>
      <c r="AU13" s="55">
        <f>SUMIF($CB$4:$JS$4,AU$4,$CB13:$JS13)</f>
        <v/>
      </c>
      <c r="AV13" s="55">
        <f>SUMIF($CB$4:$JS$4,AV$4,$CB13:$JS13)</f>
        <v/>
      </c>
      <c r="AW13" s="55">
        <f>SUMIF($CB$4:$JS$4,AW$4,$CB13:$JS13)</f>
        <v/>
      </c>
      <c r="AX13" s="55">
        <f>SUMIF($CB$4:$JS$4,AX$4,$CB13:$JS13)</f>
        <v/>
      </c>
      <c r="AY13" s="55">
        <f>SUMIF($CB$4:$JS$4,AY$4,$CB13:$JS13)</f>
        <v/>
      </c>
      <c r="AZ13" s="55">
        <f>SUMIF($CB$4:$JS$4,AZ$4,$CB13:$JS13)</f>
        <v/>
      </c>
      <c r="BA13" s="55">
        <f>SUMIF($CB$4:$JS$4,BA$4,$CB13:$JS13)</f>
        <v/>
      </c>
      <c r="BB13" s="55">
        <f>SUMIF($CB$4:$JS$4,BB$4,$CB13:$JS13)</f>
        <v/>
      </c>
      <c r="BC13" s="55">
        <f>SUMIF($CB$4:$JS$4,BC$4,$CB13:$JS13)</f>
        <v/>
      </c>
      <c r="BD13" s="55">
        <f>SUMIF($CB$4:$JS$4,BD$4,$CB13:$JS13)</f>
        <v/>
      </c>
      <c r="BE13" s="55">
        <f>SUMIF($CB$4:$JS$4,BE$4,$CB13:$JS13)</f>
        <v/>
      </c>
      <c r="BF13" s="55">
        <f>SUMIF($CB$4:$JS$4,BF$4,$CB13:$JS13)</f>
        <v/>
      </c>
      <c r="BG13" s="55">
        <f>SUMIF($CB$4:$JS$4,BG$4,$CB13:$JS13)</f>
        <v/>
      </c>
      <c r="BH13" s="55">
        <f>SUMIF($CB$4:$JS$4,BH$4,$CB13:$JS13)</f>
        <v/>
      </c>
      <c r="BI13" s="55">
        <f>SUMIF($CB$4:$JS$4,BI$4,$CB13:$JS13)</f>
        <v/>
      </c>
      <c r="BJ13" s="55">
        <f>SUMIF($CB$4:$JS$4,BJ$4,$CB13:$JS13)</f>
        <v/>
      </c>
      <c r="BK13" s="55">
        <f>SUMIF($CB$4:$JS$4,BK$4,$CB13:$JS13)</f>
        <v/>
      </c>
      <c r="BL13" s="55">
        <f>SUMIF($CB$4:$JS$4,BL$4,$CB13:$JS13)</f>
        <v/>
      </c>
      <c r="BM13" s="55">
        <f>SUMIF($CB$4:$JS$4,BM$4,$CB13:$JS13)</f>
        <v/>
      </c>
      <c r="BN13" s="55">
        <f>SUMIF($CB$4:$JS$4,BN$4,$CB13:$JS13)</f>
        <v/>
      </c>
      <c r="BO13" s="55">
        <f>SUMIF($CB$4:$JS$4,BO$4,$CB13:$JS13)</f>
        <v/>
      </c>
      <c r="BP13" s="55">
        <f>SUMIF($CB$4:$JS$4,BP$4,$CB13:$JS13)</f>
        <v/>
      </c>
      <c r="BQ13" s="55">
        <f>SUMIF($CB$4:$JS$4,BQ$4,$CB13:$JS13)</f>
        <v/>
      </c>
      <c r="BR13" s="55">
        <f>SUMIF($CB$4:$JS$4,BR$4,$CB13:$JS13)</f>
        <v/>
      </c>
      <c r="BS13" s="55">
        <f>SUMIF($CB$4:$JS$4,BS$4,$CB13:$JS13)</f>
        <v/>
      </c>
      <c r="BT13" s="55">
        <f>SUMIF($CB$4:$JS$4,BT$4,$CB13:$JS13)</f>
        <v/>
      </c>
      <c r="BU13" s="55">
        <f>SUMIF($CB$4:$JS$4,BU$4,$CB13:$JS13)</f>
        <v/>
      </c>
      <c r="BV13" s="55">
        <f>SUMIF($CB$4:$JS$4,BV$4,$CB13:$JS13)</f>
        <v/>
      </c>
      <c r="BW13" s="55">
        <f>SUMIF($CB$4:$JS$4,BW$4,$CB13:$JS13)</f>
        <v/>
      </c>
      <c r="BX13" s="55">
        <f>SUMIF($CB$4:$JS$4,"&gt;"&amp;'VALOR POR PL'!$P$8,$CB13:$JS13)</f>
        <v/>
      </c>
      <c r="BY13" s="55">
        <f>SUM($CB13:$JS13)</f>
        <v/>
      </c>
      <c r="CB13" s="123">
        <f>IF(OR(CB$4="",$B13=""),0,SUMIF('DADOS BRUTOS'!$A$3:$A$500,$B13,'DADOS BRUTOS'!B$3:B$500)+IF($C13="",0,SUMIF('DADOS BRUTOS'!$A$3:$A$500,$C13,'DADOS BRUTOS'!B$3:B$500)))</f>
        <v/>
      </c>
      <c r="CC13" s="123">
        <f>IF(OR(CC$4="",$B13=""),0,SUMIF('DADOS BRUTOS'!$A$3:$A$500,$B13,'DADOS BRUTOS'!C$3:C$500)+IF($C13="",0,SUMIF('DADOS BRUTOS'!$A$3:$A$500,$C13,'DADOS BRUTOS'!C$3:C$500)))</f>
        <v/>
      </c>
      <c r="CD13" s="123">
        <f>IF(OR(CD$4="",$B13=""),0,SUMIF('DADOS BRUTOS'!$A$3:$A$500,$B13,'DADOS BRUTOS'!D$3:D$500)+IF($C13="",0,SUMIF('DADOS BRUTOS'!$A$3:$A$500,$C13,'DADOS BRUTOS'!D$3:D$500)))</f>
        <v/>
      </c>
      <c r="CE13" s="123">
        <f>IF(OR(CE$4="",$B13=""),0,SUMIF('DADOS BRUTOS'!$A$3:$A$500,$B13,'DADOS BRUTOS'!E$3:E$500)+IF($C13="",0,SUMIF('DADOS BRUTOS'!$A$3:$A$500,$C13,'DADOS BRUTOS'!E$3:E$500)))</f>
        <v/>
      </c>
      <c r="CF13" s="123">
        <f>IF(OR(CF$4="",$B13=""),0,SUMIF('DADOS BRUTOS'!$A$3:$A$500,$B13,'DADOS BRUTOS'!F$3:F$500)+IF($C13="",0,SUMIF('DADOS BRUTOS'!$A$3:$A$500,$C13,'DADOS BRUTOS'!F$3:F$500)))</f>
        <v/>
      </c>
      <c r="CG13" s="123">
        <f>IF(OR(CG$4="",$B13=""),0,SUMIF('DADOS BRUTOS'!$A$3:$A$500,$B13,'DADOS BRUTOS'!G$3:G$500)+IF($C13="",0,SUMIF('DADOS BRUTOS'!$A$3:$A$500,$C13,'DADOS BRUTOS'!G$3:G$500)))</f>
        <v/>
      </c>
      <c r="CH13" s="123">
        <f>IF(OR(CH$4="",$B13=""),0,SUMIF('DADOS BRUTOS'!$A$3:$A$500,$B13,'DADOS BRUTOS'!H$3:H$500)+IF($C13="",0,SUMIF('DADOS BRUTOS'!$A$3:$A$500,$C13,'DADOS BRUTOS'!H$3:H$500)))</f>
        <v/>
      </c>
      <c r="CI13" s="123">
        <f>IF(OR(CI$4="",$B13=""),0,SUMIF('DADOS BRUTOS'!$A$3:$A$500,$B13,'DADOS BRUTOS'!I$3:I$500)+IF($C13="",0,SUMIF('DADOS BRUTOS'!$A$3:$A$500,$C13,'DADOS BRUTOS'!I$3:I$500)))</f>
        <v/>
      </c>
      <c r="CJ13" s="123">
        <f>IF(OR(CJ$4="",$B13=""),0,SUMIF('DADOS BRUTOS'!$A$3:$A$500,$B13,'DADOS BRUTOS'!J$3:J$500)+IF($C13="",0,SUMIF('DADOS BRUTOS'!$A$3:$A$500,$C13,'DADOS BRUTOS'!J$3:J$500)))</f>
        <v/>
      </c>
      <c r="CK13" s="123">
        <f>IF(OR(CK$4="",$B13=""),0,SUMIF('DADOS BRUTOS'!$A$3:$A$500,$B13,'DADOS BRUTOS'!K$3:K$500)+IF($C13="",0,SUMIF('DADOS BRUTOS'!$A$3:$A$500,$C13,'DADOS BRUTOS'!K$3:K$500)))</f>
        <v/>
      </c>
      <c r="CL13" s="123">
        <f>IF(OR(CL$4="",$B13=""),0,SUMIF('DADOS BRUTOS'!$A$3:$A$500,$B13,'DADOS BRUTOS'!L$3:L$500)+IF($C13="",0,SUMIF('DADOS BRUTOS'!$A$3:$A$500,$C13,'DADOS BRUTOS'!L$3:L$500)))</f>
        <v/>
      </c>
      <c r="CM13" s="123">
        <f>IF(OR(CM$4="",$B13=""),0,SUMIF('DADOS BRUTOS'!$A$3:$A$500,$B13,'DADOS BRUTOS'!M$3:M$500)+IF($C13="",0,SUMIF('DADOS BRUTOS'!$A$3:$A$500,$C13,'DADOS BRUTOS'!M$3:M$500)))</f>
        <v/>
      </c>
      <c r="CN13" s="123">
        <f>IF(OR(CN$4="",$B13=""),0,SUMIF('DADOS BRUTOS'!$A$3:$A$500,$B13,'DADOS BRUTOS'!N$3:N$500)+IF($C13="",0,SUMIF('DADOS BRUTOS'!$A$3:$A$500,$C13,'DADOS BRUTOS'!N$3:N$500)))</f>
        <v/>
      </c>
      <c r="CO13" s="123">
        <f>IF(OR(CO$4="",$B13=""),0,SUMIF('DADOS BRUTOS'!$A$3:$A$500,$B13,'DADOS BRUTOS'!O$3:O$500)+IF($C13="",0,SUMIF('DADOS BRUTOS'!$A$3:$A$500,$C13,'DADOS BRUTOS'!O$3:O$500)))</f>
        <v/>
      </c>
      <c r="CP13" s="123">
        <f>IF(OR(CP$4="",$B13=""),0,SUMIF('DADOS BRUTOS'!$A$3:$A$500,$B13,'DADOS BRUTOS'!P$3:P$500)+IF($C13="",0,SUMIF('DADOS BRUTOS'!$A$3:$A$500,$C13,'DADOS BRUTOS'!P$3:P$500)))</f>
        <v/>
      </c>
      <c r="CQ13" s="123">
        <f>IF(OR(CQ$4="",$B13=""),0,SUMIF('DADOS BRUTOS'!$A$3:$A$500,$B13,'DADOS BRUTOS'!Q$3:Q$500)+IF($C13="",0,SUMIF('DADOS BRUTOS'!$A$3:$A$500,$C13,'DADOS BRUTOS'!Q$3:Q$500)))</f>
        <v/>
      </c>
      <c r="CR13" s="123">
        <f>IF(OR(CR$4="",$B13=""),0,SUMIF('DADOS BRUTOS'!$A$3:$A$500,$B13,'DADOS BRUTOS'!R$3:R$500)+IF($C13="",0,SUMIF('DADOS BRUTOS'!$A$3:$A$500,$C13,'DADOS BRUTOS'!R$3:R$500)))</f>
        <v/>
      </c>
      <c r="CS13" s="123">
        <f>IF(OR(CS$4="",$B13=""),0,SUMIF('DADOS BRUTOS'!$A$3:$A$500,$B13,'DADOS BRUTOS'!S$3:S$500)+IF($C13="",0,SUMIF('DADOS BRUTOS'!$A$3:$A$500,$C13,'DADOS BRUTOS'!S$3:S$500)))</f>
        <v/>
      </c>
      <c r="CT13" s="123">
        <f>IF(OR(CT$4="",$B13=""),0,SUMIF('DADOS BRUTOS'!$A$3:$A$500,$B13,'DADOS BRUTOS'!T$3:T$500)+IF($C13="",0,SUMIF('DADOS BRUTOS'!$A$3:$A$500,$C13,'DADOS BRUTOS'!T$3:T$500)))</f>
        <v/>
      </c>
      <c r="CU13" s="123">
        <f>IF(OR(CU$4="",$B13=""),0,SUMIF('DADOS BRUTOS'!$A$3:$A$500,$B13,'DADOS BRUTOS'!U$3:U$500)+IF($C13="",0,SUMIF('DADOS BRUTOS'!$A$3:$A$500,$C13,'DADOS BRUTOS'!U$3:U$500)))</f>
        <v/>
      </c>
      <c r="CV13" s="123">
        <f>IF(OR(CV$4="",$B13=""),0,SUMIF('DADOS BRUTOS'!$A$3:$A$500,$B13,'DADOS BRUTOS'!V$3:V$500)+IF($C13="",0,SUMIF('DADOS BRUTOS'!$A$3:$A$500,$C13,'DADOS BRUTOS'!V$3:V$500)))</f>
        <v/>
      </c>
      <c r="CW13" s="123">
        <f>IF(OR(CW$4="",$B13=""),0,SUMIF('DADOS BRUTOS'!$A$3:$A$500,$B13,'DADOS BRUTOS'!W$3:W$500)+IF($C13="",0,SUMIF('DADOS BRUTOS'!$A$3:$A$500,$C13,'DADOS BRUTOS'!W$3:W$500)))</f>
        <v/>
      </c>
      <c r="CX13" s="123">
        <f>IF(OR(CX$4="",$B13=""),0,SUMIF('DADOS BRUTOS'!$A$3:$A$500,$B13,'DADOS BRUTOS'!X$3:X$500)+IF($C13="",0,SUMIF('DADOS BRUTOS'!$A$3:$A$500,$C13,'DADOS BRUTOS'!X$3:X$500)))</f>
        <v/>
      </c>
      <c r="CY13" s="123">
        <f>IF(OR(CY$4="",$B13=""),0,SUMIF('DADOS BRUTOS'!$A$3:$A$500,$B13,'DADOS BRUTOS'!Y$3:Y$500)+IF($C13="",0,SUMIF('DADOS BRUTOS'!$A$3:$A$500,$C13,'DADOS BRUTOS'!Y$3:Y$500)))</f>
        <v/>
      </c>
      <c r="CZ13" s="123">
        <f>IF(OR(CZ$4="",$B13=""),0,SUMIF('DADOS BRUTOS'!$A$3:$A$500,$B13,'DADOS BRUTOS'!Z$3:Z$500)+IF($C13="",0,SUMIF('DADOS BRUTOS'!$A$3:$A$500,$C13,'DADOS BRUTOS'!Z$3:Z$500)))</f>
        <v/>
      </c>
      <c r="DA13" s="123">
        <f>IF(OR(DA$4="",$B13=""),0,SUMIF('DADOS BRUTOS'!$A$3:$A$500,$B13,'DADOS BRUTOS'!AA$3:AA$500)+IF($C13="",0,SUMIF('DADOS BRUTOS'!$A$3:$A$500,$C13,'DADOS BRUTOS'!AA$3:AA$500)))</f>
        <v/>
      </c>
      <c r="DB13" s="123">
        <f>IF(OR(DB$4="",$B13=""),0,SUMIF('DADOS BRUTOS'!$A$3:$A$500,$B13,'DADOS BRUTOS'!AB$3:AB$500)+IF($C13="",0,SUMIF('DADOS BRUTOS'!$A$3:$A$500,$C13,'DADOS BRUTOS'!AB$3:AB$500)))</f>
        <v/>
      </c>
      <c r="DC13" s="123">
        <f>IF(OR(DC$4="",$B13=""),0,SUMIF('DADOS BRUTOS'!$A$3:$A$500,$B13,'DADOS BRUTOS'!AC$3:AC$500)+IF($C13="",0,SUMIF('DADOS BRUTOS'!$A$3:$A$500,$C13,'DADOS BRUTOS'!AC$3:AC$500)))</f>
        <v/>
      </c>
      <c r="DD13" s="123">
        <f>IF(OR(DD$4="",$B13=""),0,SUMIF('DADOS BRUTOS'!$A$3:$A$500,$B13,'DADOS BRUTOS'!AD$3:AD$500)+IF($C13="",0,SUMIF('DADOS BRUTOS'!$A$3:$A$500,$C13,'DADOS BRUTOS'!AD$3:AD$500)))</f>
        <v/>
      </c>
      <c r="DE13" s="123">
        <f>IF(OR(DE$4="",$B13=""),0,SUMIF('DADOS BRUTOS'!$A$3:$A$500,$B13,'DADOS BRUTOS'!AE$3:AE$500)+IF($C13="",0,SUMIF('DADOS BRUTOS'!$A$3:$A$500,$C13,'DADOS BRUTOS'!AE$3:AE$500)))</f>
        <v/>
      </c>
      <c r="DF13" s="123">
        <f>IF(OR(DF$4="",$B13=""),0,SUMIF('DADOS BRUTOS'!$A$3:$A$500,$B13,'DADOS BRUTOS'!AF$3:AF$500)+IF($C13="",0,SUMIF('DADOS BRUTOS'!$A$3:$A$500,$C13,'DADOS BRUTOS'!AF$3:AF$500)))</f>
        <v/>
      </c>
      <c r="DG13" s="123">
        <f>IF(OR(DG$4="",$B13=""),0,SUMIF('DADOS BRUTOS'!$A$3:$A$500,$B13,'DADOS BRUTOS'!AG$3:AG$500)+IF($C13="",0,SUMIF('DADOS BRUTOS'!$A$3:$A$500,$C13,'DADOS BRUTOS'!AG$3:AG$500)))</f>
        <v/>
      </c>
      <c r="DH13" s="123">
        <f>IF(OR(DH$4="",$B13=""),0,SUMIF('DADOS BRUTOS'!$A$3:$A$500,$B13,'DADOS BRUTOS'!AH$3:AH$500)+IF($C13="",0,SUMIF('DADOS BRUTOS'!$A$3:$A$500,$C13,'DADOS BRUTOS'!AH$3:AH$500)))</f>
        <v/>
      </c>
      <c r="DI13" s="123">
        <f>IF(OR(DI$4="",$B13=""),0,SUMIF('DADOS BRUTOS'!$A$3:$A$500,$B13,'DADOS BRUTOS'!AI$3:AI$500)+IF($C13="",0,SUMIF('DADOS BRUTOS'!$A$3:$A$500,$C13,'DADOS BRUTOS'!AI$3:AI$500)))</f>
        <v/>
      </c>
      <c r="DJ13" s="123">
        <f>IF(OR(DJ$4="",$B13=""),0,SUMIF('DADOS BRUTOS'!$A$3:$A$500,$B13,'DADOS BRUTOS'!AJ$3:AJ$500)+IF($C13="",0,SUMIF('DADOS BRUTOS'!$A$3:$A$500,$C13,'DADOS BRUTOS'!AJ$3:AJ$500)))</f>
        <v/>
      </c>
      <c r="DK13" s="123">
        <f>IF(OR(DK$4="",$B13=""),0,SUMIF('DADOS BRUTOS'!$A$3:$A$500,$B13,'DADOS BRUTOS'!AK$3:AK$500)+IF($C13="",0,SUMIF('DADOS BRUTOS'!$A$3:$A$500,$C13,'DADOS BRUTOS'!AK$3:AK$500)))</f>
        <v/>
      </c>
      <c r="DL13" s="123">
        <f>IF(OR(DL$4="",$B13=""),0,SUMIF('DADOS BRUTOS'!$A$3:$A$500,$B13,'DADOS BRUTOS'!AL$3:AL$500)+IF($C13="",0,SUMIF('DADOS BRUTOS'!$A$3:$A$500,$C13,'DADOS BRUTOS'!AL$3:AL$500)))</f>
        <v/>
      </c>
      <c r="DM13" s="123">
        <f>IF(OR(DM$4="",$B13=""),0,SUMIF('DADOS BRUTOS'!$A$3:$A$500,$B13,'DADOS BRUTOS'!AM$3:AM$500)+IF($C13="",0,SUMIF('DADOS BRUTOS'!$A$3:$A$500,$C13,'DADOS BRUTOS'!AM$3:AM$500)))</f>
        <v/>
      </c>
      <c r="DN13" s="123">
        <f>IF(OR(DN$4="",$B13=""),0,SUMIF('DADOS BRUTOS'!$A$3:$A$500,$B13,'DADOS BRUTOS'!AN$3:AN$500)+IF($C13="",0,SUMIF('DADOS BRUTOS'!$A$3:$A$500,$C13,'DADOS BRUTOS'!AN$3:AN$500)))</f>
        <v/>
      </c>
      <c r="DO13" s="123">
        <f>IF(OR(DO$4="",$B13=""),0,SUMIF('DADOS BRUTOS'!$A$3:$A$500,$B13,'DADOS BRUTOS'!AO$3:AO$500)+IF($C13="",0,SUMIF('DADOS BRUTOS'!$A$3:$A$500,$C13,'DADOS BRUTOS'!AO$3:AO$500)))</f>
        <v/>
      </c>
      <c r="DP13" s="123">
        <f>IF(OR(DP$4="",$B13=""),0,SUMIF('DADOS BRUTOS'!$A$3:$A$500,$B13,'DADOS BRUTOS'!AP$3:AP$500)+IF($C13="",0,SUMIF('DADOS BRUTOS'!$A$3:$A$500,$C13,'DADOS BRUTOS'!AP$3:AP$500)))</f>
        <v/>
      </c>
      <c r="DQ13" s="123">
        <f>IF(OR(DQ$4="",$B13=""),0,SUMIF('DADOS BRUTOS'!$A$3:$A$500,$B13,'DADOS BRUTOS'!AQ$3:AQ$500)+IF($C13="",0,SUMIF('DADOS BRUTOS'!$A$3:$A$500,$C13,'DADOS BRUTOS'!AQ$3:AQ$500)))</f>
        <v/>
      </c>
      <c r="DR13" s="123">
        <f>IF(OR(DR$4="",$B13=""),0,SUMIF('DADOS BRUTOS'!$A$3:$A$500,$B13,'DADOS BRUTOS'!AR$3:AR$500)+IF($C13="",0,SUMIF('DADOS BRUTOS'!$A$3:$A$500,$C13,'DADOS BRUTOS'!AR$3:AR$500)))</f>
        <v/>
      </c>
      <c r="DS13" s="123">
        <f>IF(OR(DS$4="",$B13=""),0,SUMIF('DADOS BRUTOS'!$A$3:$A$500,$B13,'DADOS BRUTOS'!AS$3:AS$500)+IF($C13="",0,SUMIF('DADOS BRUTOS'!$A$3:$A$500,$C13,'DADOS BRUTOS'!AS$3:AS$500)))</f>
        <v/>
      </c>
      <c r="DT13" s="123">
        <f>IF(OR(DT$4="",$B13=""),0,SUMIF('DADOS BRUTOS'!$A$3:$A$500,$B13,'DADOS BRUTOS'!AT$3:AT$500)+IF($C13="",0,SUMIF('DADOS BRUTOS'!$A$3:$A$500,$C13,'DADOS BRUTOS'!AT$3:AT$500)))</f>
        <v/>
      </c>
      <c r="DU13" s="123">
        <f>IF(OR(DU$4="",$B13=""),0,SUMIF('DADOS BRUTOS'!$A$3:$A$500,$B13,'DADOS BRUTOS'!AU$3:AU$500)+IF($C13="",0,SUMIF('DADOS BRUTOS'!$A$3:$A$500,$C13,'DADOS BRUTOS'!AU$3:AU$500)))</f>
        <v/>
      </c>
      <c r="DV13" s="123">
        <f>IF(OR(DV$4="",$B13=""),0,SUMIF('DADOS BRUTOS'!$A$3:$A$500,$B13,'DADOS BRUTOS'!AV$3:AV$500)+IF($C13="",0,SUMIF('DADOS BRUTOS'!$A$3:$A$500,$C13,'DADOS BRUTOS'!AV$3:AV$500)))</f>
        <v/>
      </c>
      <c r="DW13" s="123">
        <f>IF(OR(DW$4="",$B13=""),0,SUMIF('DADOS BRUTOS'!$A$3:$A$500,$B13,'DADOS BRUTOS'!AW$3:AW$500)+IF($C13="",0,SUMIF('DADOS BRUTOS'!$A$3:$A$500,$C13,'DADOS BRUTOS'!AW$3:AW$500)))</f>
        <v/>
      </c>
      <c r="DX13" s="123">
        <f>IF(OR(DX$4="",$B13=""),0,SUMIF('DADOS BRUTOS'!$A$3:$A$500,$B13,'DADOS BRUTOS'!AX$3:AX$500)+IF($C13="",0,SUMIF('DADOS BRUTOS'!$A$3:$A$500,$C13,'DADOS BRUTOS'!AX$3:AX$500)))</f>
        <v/>
      </c>
      <c r="DY13" s="123">
        <f>IF(OR(DY$4="",$B13=""),0,SUMIF('DADOS BRUTOS'!$A$3:$A$500,$B13,'DADOS BRUTOS'!AY$3:AY$500)+IF($C13="",0,SUMIF('DADOS BRUTOS'!$A$3:$A$500,$C13,'DADOS BRUTOS'!AY$3:AY$500)))</f>
        <v/>
      </c>
      <c r="DZ13" s="123">
        <f>IF(OR(DZ$4="",$B13=""),0,SUMIF('DADOS BRUTOS'!$A$3:$A$500,$B13,'DADOS BRUTOS'!AZ$3:AZ$500)+IF($C13="",0,SUMIF('DADOS BRUTOS'!$A$3:$A$500,$C13,'DADOS BRUTOS'!AZ$3:AZ$500)))</f>
        <v/>
      </c>
      <c r="EA13" s="123">
        <f>IF(OR(EA$4="",$B13=""),0,SUMIF('DADOS BRUTOS'!$A$3:$A$500,$B13,'DADOS BRUTOS'!BA$3:BA$500)+IF($C13="",0,SUMIF('DADOS BRUTOS'!$A$3:$A$500,$C13,'DADOS BRUTOS'!BA$3:BA$500)))</f>
        <v/>
      </c>
      <c r="EB13" s="123">
        <f>IF(OR(EB$4="",$B13=""),0,SUMIF('DADOS BRUTOS'!$A$3:$A$500,$B13,'DADOS BRUTOS'!BB$3:BB$500)+IF($C13="",0,SUMIF('DADOS BRUTOS'!$A$3:$A$500,$C13,'DADOS BRUTOS'!BB$3:BB$500)))</f>
        <v/>
      </c>
      <c r="EC13" s="123">
        <f>IF(OR(EC$4="",$B13=""),0,SUMIF('DADOS BRUTOS'!$A$3:$A$500,$B13,'DADOS BRUTOS'!BC$3:BC$500)+IF($C13="",0,SUMIF('DADOS BRUTOS'!$A$3:$A$500,$C13,'DADOS BRUTOS'!BC$3:BC$500)))</f>
        <v/>
      </c>
      <c r="ED13" s="123">
        <f>IF(OR(ED$4="",$B13=""),0,SUMIF('DADOS BRUTOS'!$A$3:$A$500,$B13,'DADOS BRUTOS'!BD$3:BD$500)+IF($C13="",0,SUMIF('DADOS BRUTOS'!$A$3:$A$500,$C13,'DADOS BRUTOS'!BD$3:BD$500)))</f>
        <v/>
      </c>
      <c r="EE13" s="123">
        <f>IF(OR(EE$4="",$B13=""),0,SUMIF('DADOS BRUTOS'!$A$3:$A$500,$B13,'DADOS BRUTOS'!BE$3:BE$500)+IF($C13="",0,SUMIF('DADOS BRUTOS'!$A$3:$A$500,$C13,'DADOS BRUTOS'!BE$3:BE$500)))</f>
        <v/>
      </c>
      <c r="EF13" s="123">
        <f>IF(OR(EF$4="",$B13=""),0,SUMIF('DADOS BRUTOS'!$A$3:$A$500,$B13,'DADOS BRUTOS'!BF$3:BF$500)+IF($C13="",0,SUMIF('DADOS BRUTOS'!$A$3:$A$500,$C13,'DADOS BRUTOS'!BF$3:BF$500)))</f>
        <v/>
      </c>
      <c r="EG13" s="123">
        <f>IF(OR(EG$4="",$B13=""),0,SUMIF('DADOS BRUTOS'!$A$3:$A$500,$B13,'DADOS BRUTOS'!BG$3:BG$500)+IF($C13="",0,SUMIF('DADOS BRUTOS'!$A$3:$A$500,$C13,'DADOS BRUTOS'!BG$3:BG$500)))</f>
        <v/>
      </c>
      <c r="EH13" s="123">
        <f>IF(OR(EH$4="",$B13=""),0,SUMIF('DADOS BRUTOS'!$A$3:$A$500,$B13,'DADOS BRUTOS'!BH$3:BH$500)+IF($C13="",0,SUMIF('DADOS BRUTOS'!$A$3:$A$500,$C13,'DADOS BRUTOS'!BH$3:BH$500)))</f>
        <v/>
      </c>
      <c r="EI13" s="123">
        <f>IF(OR(EI$4="",$B13=""),0,SUMIF('DADOS BRUTOS'!$A$3:$A$500,$B13,'DADOS BRUTOS'!BI$3:BI$500)+IF($C13="",0,SUMIF('DADOS BRUTOS'!$A$3:$A$500,$C13,'DADOS BRUTOS'!BI$3:BI$500)))</f>
        <v/>
      </c>
      <c r="EJ13" s="123">
        <f>IF(OR(EJ$4="",$B13=""),0,SUMIF('DADOS BRUTOS'!$A$3:$A$500,$B13,'DADOS BRUTOS'!BJ$3:BJ$500)+IF($C13="",0,SUMIF('DADOS BRUTOS'!$A$3:$A$500,$C13,'DADOS BRUTOS'!BJ$3:BJ$500)))</f>
        <v/>
      </c>
      <c r="EK13" s="123">
        <f>IF(OR(EK$4="",$B13=""),0,SUMIF('DADOS BRUTOS'!$A$3:$A$500,$B13,'DADOS BRUTOS'!BK$3:BK$500)+IF($C13="",0,SUMIF('DADOS BRUTOS'!$A$3:$A$500,$C13,'DADOS BRUTOS'!BK$3:BK$500)))</f>
        <v/>
      </c>
      <c r="EL13" s="123">
        <f>IF(OR(EL$4="",$B13=""),0,SUMIF('DADOS BRUTOS'!$A$3:$A$500,$B13,'DADOS BRUTOS'!BL$3:BL$500)+IF($C13="",0,SUMIF('DADOS BRUTOS'!$A$3:$A$500,$C13,'DADOS BRUTOS'!BL$3:BL$500)))</f>
        <v/>
      </c>
      <c r="EM13" s="123">
        <f>IF(OR(EM$4="",$B13=""),0,SUMIF('DADOS BRUTOS'!$A$3:$A$500,$B13,'DADOS BRUTOS'!BM$3:BM$500)+IF($C13="",0,SUMIF('DADOS BRUTOS'!$A$3:$A$500,$C13,'DADOS BRUTOS'!BM$3:BM$500)))</f>
        <v/>
      </c>
      <c r="EN13" s="123">
        <f>IF(OR(EN$4="",$B13=""),0,SUMIF('DADOS BRUTOS'!$A$3:$A$500,$B13,'DADOS BRUTOS'!BN$3:BN$500)+IF($C13="",0,SUMIF('DADOS BRUTOS'!$A$3:$A$500,$C13,'DADOS BRUTOS'!BN$3:BN$500)))</f>
        <v/>
      </c>
      <c r="EO13" s="123">
        <f>IF(OR(EO$4="",$B13=""),0,SUMIF('DADOS BRUTOS'!$A$3:$A$500,$B13,'DADOS BRUTOS'!BO$3:BO$500)+IF($C13="",0,SUMIF('DADOS BRUTOS'!$A$3:$A$500,$C13,'DADOS BRUTOS'!BO$3:BO$500)))</f>
        <v/>
      </c>
      <c r="EP13" s="123">
        <f>IF(OR(EP$4="",$B13=""),0,SUMIF('DADOS BRUTOS'!$A$3:$A$500,$B13,'DADOS BRUTOS'!BP$3:BP$500)+IF($C13="",0,SUMIF('DADOS BRUTOS'!$A$3:$A$500,$C13,'DADOS BRUTOS'!BP$3:BP$500)))</f>
        <v/>
      </c>
      <c r="EQ13" s="123">
        <f>IF(OR(EQ$4="",$B13=""),0,SUMIF('DADOS BRUTOS'!$A$3:$A$500,$B13,'DADOS BRUTOS'!BQ$3:BQ$500)+IF($C13="",0,SUMIF('DADOS BRUTOS'!$A$3:$A$500,$C13,'DADOS BRUTOS'!BQ$3:BQ$500)))</f>
        <v/>
      </c>
      <c r="ER13" s="123">
        <f>IF(OR(ER$4="",$B13=""),0,SUMIF('DADOS BRUTOS'!$A$3:$A$500,$B13,'DADOS BRUTOS'!BR$3:BR$500)+IF($C13="",0,SUMIF('DADOS BRUTOS'!$A$3:$A$500,$C13,'DADOS BRUTOS'!BR$3:BR$500)))</f>
        <v/>
      </c>
      <c r="ES13" s="123">
        <f>IF(OR(ES$4="",$B13=""),0,SUMIF('DADOS BRUTOS'!$A$3:$A$500,$B13,'DADOS BRUTOS'!BS$3:BS$500)+IF($C13="",0,SUMIF('DADOS BRUTOS'!$A$3:$A$500,$C13,'DADOS BRUTOS'!BS$3:BS$500)))</f>
        <v/>
      </c>
      <c r="ET13" s="123">
        <f>IF(OR(ET$4="",$B13=""),0,SUMIF('DADOS BRUTOS'!$A$3:$A$500,$B13,'DADOS BRUTOS'!BT$3:BT$500)+IF($C13="",0,SUMIF('DADOS BRUTOS'!$A$3:$A$500,$C13,'DADOS BRUTOS'!BT$3:BT$500)))</f>
        <v/>
      </c>
      <c r="EU13" s="123">
        <f>IF(OR(EU$4="",$B13=""),0,SUMIF('DADOS BRUTOS'!$A$3:$A$500,$B13,'DADOS BRUTOS'!BU$3:BU$500)+IF($C13="",0,SUMIF('DADOS BRUTOS'!$A$3:$A$500,$C13,'DADOS BRUTOS'!BU$3:BU$500)))</f>
        <v/>
      </c>
      <c r="EV13" s="123">
        <f>IF(OR(EV$4="",$B13=""),0,SUMIF('DADOS BRUTOS'!$A$3:$A$500,$B13,'DADOS BRUTOS'!BV$3:BV$500)+IF($C13="",0,SUMIF('DADOS BRUTOS'!$A$3:$A$500,$C13,'DADOS BRUTOS'!BV$3:BV$500)))</f>
        <v/>
      </c>
      <c r="EW13" s="123">
        <f>IF(OR(EW$4="",$B13=""),0,SUMIF('DADOS BRUTOS'!$A$3:$A$500,$B13,'DADOS BRUTOS'!BW$3:BW$500)+IF($C13="",0,SUMIF('DADOS BRUTOS'!$A$3:$A$500,$C13,'DADOS BRUTOS'!BW$3:BW$500)))</f>
        <v/>
      </c>
      <c r="EX13" s="123">
        <f>IF(OR(EX$4="",$B13=""),0,SUMIF('DADOS BRUTOS'!$A$3:$A$500,$B13,'DADOS BRUTOS'!BX$3:BX$500)+IF($C13="",0,SUMIF('DADOS BRUTOS'!$A$3:$A$500,$C13,'DADOS BRUTOS'!BX$3:BX$500)))</f>
        <v/>
      </c>
      <c r="EY13" s="123">
        <f>IF(OR(EY$4="",$B13=""),0,SUMIF('DADOS BRUTOS'!$A$3:$A$500,$B13,'DADOS BRUTOS'!BY$3:BY$500)+IF($C13="",0,SUMIF('DADOS BRUTOS'!$A$3:$A$500,$C13,'DADOS BRUTOS'!BY$3:BY$500)))</f>
        <v/>
      </c>
      <c r="EZ13" s="123">
        <f>IF(OR(EZ$4="",$B13=""),0,SUMIF('DADOS BRUTOS'!$A$3:$A$500,$B13,'DADOS BRUTOS'!BZ$3:BZ$500)+IF($C13="",0,SUMIF('DADOS BRUTOS'!$A$3:$A$500,$C13,'DADOS BRUTOS'!BZ$3:BZ$500)))</f>
        <v/>
      </c>
      <c r="FA13" s="123">
        <f>IF(OR(FA$4="",$B13=""),0,SUMIF('DADOS BRUTOS'!$A$3:$A$500,$B13,'DADOS BRUTOS'!CA$3:CA$500)+IF($C13="",0,SUMIF('DADOS BRUTOS'!$A$3:$A$500,$C13,'DADOS BRUTOS'!CA$3:CA$500)))</f>
        <v/>
      </c>
      <c r="FB13" s="123">
        <f>IF(OR(FB$4="",$B13=""),0,SUMIF('DADOS BRUTOS'!$A$3:$A$500,$B13,'DADOS BRUTOS'!CB$3:CB$500)+IF($C13="",0,SUMIF('DADOS BRUTOS'!$A$3:$A$500,$C13,'DADOS BRUTOS'!CB$3:CB$500)))</f>
        <v/>
      </c>
      <c r="FC13" s="123">
        <f>IF(OR(FC$4="",$B13=""),0,SUMIF('DADOS BRUTOS'!$A$3:$A$500,$B13,'DADOS BRUTOS'!CC$3:CC$500)+IF($C13="",0,SUMIF('DADOS BRUTOS'!$A$3:$A$500,$C13,'DADOS BRUTOS'!CC$3:CC$500)))</f>
        <v/>
      </c>
      <c r="FD13" s="123">
        <f>IF(OR(FD$4="",$B13=""),0,SUMIF('DADOS BRUTOS'!$A$3:$A$500,$B13,'DADOS BRUTOS'!CD$3:CD$500)+IF($C13="",0,SUMIF('DADOS BRUTOS'!$A$3:$A$500,$C13,'DADOS BRUTOS'!CD$3:CD$500)))</f>
        <v/>
      </c>
      <c r="FE13" s="123">
        <f>IF(OR(FE$4="",$B13=""),0,SUMIF('DADOS BRUTOS'!$A$3:$A$500,$B13,'DADOS BRUTOS'!CE$3:CE$500)+IF($C13="",0,SUMIF('DADOS BRUTOS'!$A$3:$A$500,$C13,'DADOS BRUTOS'!CE$3:CE$500)))</f>
        <v/>
      </c>
      <c r="FF13" s="123">
        <f>IF(OR(FF$4="",$B13=""),0,SUMIF('DADOS BRUTOS'!$A$3:$A$500,$B13,'DADOS BRUTOS'!CF$3:CF$500)+IF($C13="",0,SUMIF('DADOS BRUTOS'!$A$3:$A$500,$C13,'DADOS BRUTOS'!CF$3:CF$500)))</f>
        <v/>
      </c>
      <c r="FG13" s="123">
        <f>IF(OR(FG$4="",$B13=""),0,SUMIF('DADOS BRUTOS'!$A$3:$A$500,$B13,'DADOS BRUTOS'!CG$3:CG$500)+IF($C13="",0,SUMIF('DADOS BRUTOS'!$A$3:$A$500,$C13,'DADOS BRUTOS'!CG$3:CG$500)))</f>
        <v/>
      </c>
      <c r="FH13" s="123">
        <f>IF(OR(FH$4="",$B13=""),0,SUMIF('DADOS BRUTOS'!$A$3:$A$500,$B13,'DADOS BRUTOS'!CH$3:CH$500)+IF($C13="",0,SUMIF('DADOS BRUTOS'!$A$3:$A$500,$C13,'DADOS BRUTOS'!CH$3:CH$500)))</f>
        <v/>
      </c>
      <c r="FI13" s="123">
        <f>IF(OR(FI$4="",$B13=""),0,SUMIF('DADOS BRUTOS'!$A$3:$A$500,$B13,'DADOS BRUTOS'!CI$3:CI$500)+IF($C13="",0,SUMIF('DADOS BRUTOS'!$A$3:$A$500,$C13,'DADOS BRUTOS'!CI$3:CI$500)))</f>
        <v/>
      </c>
      <c r="FJ13" s="123">
        <f>IF(OR(FJ$4="",$B13=""),0,SUMIF('DADOS BRUTOS'!$A$3:$A$500,$B13,'DADOS BRUTOS'!CJ$3:CJ$500)+IF($C13="",0,SUMIF('DADOS BRUTOS'!$A$3:$A$500,$C13,'DADOS BRUTOS'!CJ$3:CJ$500)))</f>
        <v/>
      </c>
      <c r="FK13" s="123">
        <f>IF(OR(FK$4="",$B13=""),0,SUMIF('DADOS BRUTOS'!$A$3:$A$500,$B13,'DADOS BRUTOS'!CK$3:CK$500)+IF($C13="",0,SUMIF('DADOS BRUTOS'!$A$3:$A$500,$C13,'DADOS BRUTOS'!CK$3:CK$500)))</f>
        <v/>
      </c>
      <c r="FL13" s="123">
        <f>IF(OR(FL$4="",$B13=""),0,SUMIF('DADOS BRUTOS'!$A$3:$A$500,$B13,'DADOS BRUTOS'!CL$3:CL$500)+IF($C13="",0,SUMIF('DADOS BRUTOS'!$A$3:$A$500,$C13,'DADOS BRUTOS'!CL$3:CL$500)))</f>
        <v/>
      </c>
      <c r="FM13" s="123">
        <f>IF(OR(FM$4="",$B13=""),0,SUMIF('DADOS BRUTOS'!$A$3:$A$500,$B13,'DADOS BRUTOS'!CM$3:CM$500)+IF($C13="",0,SUMIF('DADOS BRUTOS'!$A$3:$A$500,$C13,'DADOS BRUTOS'!CM$3:CM$500)))</f>
        <v/>
      </c>
      <c r="FN13" s="123">
        <f>IF(OR(FN$4="",$B13=""),0,SUMIF('DADOS BRUTOS'!$A$3:$A$500,$B13,'DADOS BRUTOS'!CN$3:CN$500)+IF($C13="",0,SUMIF('DADOS BRUTOS'!$A$3:$A$500,$C13,'DADOS BRUTOS'!CN$3:CN$500)))</f>
        <v/>
      </c>
      <c r="FO13" s="123">
        <f>IF(OR(FO$4="",$B13=""),0,SUMIF('DADOS BRUTOS'!$A$3:$A$500,$B13,'DADOS BRUTOS'!CO$3:CO$500)+IF($C13="",0,SUMIF('DADOS BRUTOS'!$A$3:$A$500,$C13,'DADOS BRUTOS'!CO$3:CO$500)))</f>
        <v/>
      </c>
      <c r="FP13" s="123">
        <f>IF(OR(FP$4="",$B13=""),0,SUMIF('DADOS BRUTOS'!$A$3:$A$500,$B13,'DADOS BRUTOS'!CP$3:CP$500)+IF($C13="",0,SUMIF('DADOS BRUTOS'!$A$3:$A$500,$C13,'DADOS BRUTOS'!CP$3:CP$500)))</f>
        <v/>
      </c>
      <c r="FQ13" s="123">
        <f>IF(OR(FQ$4="",$B13=""),0,SUMIF('DADOS BRUTOS'!$A$3:$A$500,$B13,'DADOS BRUTOS'!CQ$3:CQ$500)+IF($C13="",0,SUMIF('DADOS BRUTOS'!$A$3:$A$500,$C13,'DADOS BRUTOS'!CQ$3:CQ$500)))</f>
        <v/>
      </c>
      <c r="FR13" s="123">
        <f>IF(OR(FR$4="",$B13=""),0,SUMIF('DADOS BRUTOS'!$A$3:$A$500,$B13,'DADOS BRUTOS'!CR$3:CR$500)+IF($C13="",0,SUMIF('DADOS BRUTOS'!$A$3:$A$500,$C13,'DADOS BRUTOS'!CR$3:CR$500)))</f>
        <v/>
      </c>
      <c r="FS13" s="123">
        <f>IF(OR(FS$4="",$B13=""),0,SUMIF('DADOS BRUTOS'!$A$3:$A$500,$B13,'DADOS BRUTOS'!CS$3:CS$500)+IF($C13="",0,SUMIF('DADOS BRUTOS'!$A$3:$A$500,$C13,'DADOS BRUTOS'!CS$3:CS$500)))</f>
        <v/>
      </c>
      <c r="FT13" s="123">
        <f>IF(OR(FT$4="",$B13=""),0,SUMIF('DADOS BRUTOS'!$A$3:$A$500,$B13,'DADOS BRUTOS'!CT$3:CT$500)+IF($C13="",0,SUMIF('DADOS BRUTOS'!$A$3:$A$500,$C13,'DADOS BRUTOS'!CT$3:CT$500)))</f>
        <v/>
      </c>
      <c r="FU13" s="123">
        <f>IF(OR(FU$4="",$B13=""),0,SUMIF('DADOS BRUTOS'!$A$3:$A$500,$B13,'DADOS BRUTOS'!CU$3:CU$500)+IF($C13="",0,SUMIF('DADOS BRUTOS'!$A$3:$A$500,$C13,'DADOS BRUTOS'!CU$3:CU$500)))</f>
        <v/>
      </c>
      <c r="FV13" s="123">
        <f>IF(OR(FV$4="",$B13=""),0,SUMIF('DADOS BRUTOS'!$A$3:$A$500,$B13,'DADOS BRUTOS'!CV$3:CV$500)+IF($C13="",0,SUMIF('DADOS BRUTOS'!$A$3:$A$500,$C13,'DADOS BRUTOS'!CV$3:CV$500)))</f>
        <v/>
      </c>
      <c r="FW13" s="123">
        <f>IF(OR(FW$4="",$B13=""),0,SUMIF('DADOS BRUTOS'!$A$3:$A$500,$B13,'DADOS BRUTOS'!CW$3:CW$500)+IF($C13="",0,SUMIF('DADOS BRUTOS'!$A$3:$A$500,$C13,'DADOS BRUTOS'!CW$3:CW$500)))</f>
        <v/>
      </c>
      <c r="FX13" s="123">
        <f>IF(OR(FX$4="",$B13=""),0,SUMIF('DADOS BRUTOS'!$A$3:$A$500,$B13,'DADOS BRUTOS'!CX$3:CX$500)+IF($C13="",0,SUMIF('DADOS BRUTOS'!$A$3:$A$500,$C13,'DADOS BRUTOS'!CX$3:CX$500)))</f>
        <v/>
      </c>
      <c r="FY13" s="123">
        <f>IF(OR(FY$4="",$B13=""),0,SUMIF('DADOS BRUTOS'!$A$3:$A$500,$B13,'DADOS BRUTOS'!CY$3:CY$500)+IF($C13="",0,SUMIF('DADOS BRUTOS'!$A$3:$A$500,$C13,'DADOS BRUTOS'!CY$3:CY$500)))</f>
        <v/>
      </c>
      <c r="FZ13" s="123">
        <f>IF(OR(FZ$4="",$B13=""),0,SUMIF('DADOS BRUTOS'!$A$3:$A$500,$B13,'DADOS BRUTOS'!CZ$3:CZ$500)+IF($C13="",0,SUMIF('DADOS BRUTOS'!$A$3:$A$500,$C13,'DADOS BRUTOS'!CZ$3:CZ$500)))</f>
        <v/>
      </c>
      <c r="GA13" s="123">
        <f>IF(OR(GA$4="",$B13=""),0,SUMIF('DADOS BRUTOS'!$A$3:$A$500,$B13,'DADOS BRUTOS'!DA$3:DA$500)+IF($C13="",0,SUMIF('DADOS BRUTOS'!$A$3:$A$500,$C13,'DADOS BRUTOS'!DA$3:DA$500)))</f>
        <v/>
      </c>
      <c r="GB13" s="123">
        <f>IF(OR(GB$4="",$B13=""),0,SUMIF('DADOS BRUTOS'!$A$3:$A$500,$B13,'DADOS BRUTOS'!DB$3:DB$500)+IF($C13="",0,SUMIF('DADOS BRUTOS'!$A$3:$A$500,$C13,'DADOS BRUTOS'!DB$3:DB$500)))</f>
        <v/>
      </c>
      <c r="GC13" s="123">
        <f>IF(OR(GC$4="",$B13=""),0,SUMIF('DADOS BRUTOS'!$A$3:$A$500,$B13,'DADOS BRUTOS'!DC$3:DC$500)+IF($C13="",0,SUMIF('DADOS BRUTOS'!$A$3:$A$500,$C13,'DADOS BRUTOS'!DC$3:DC$500)))</f>
        <v/>
      </c>
      <c r="GD13" s="123">
        <f>IF(OR(GD$4="",$B13=""),0,SUMIF('DADOS BRUTOS'!$A$3:$A$500,$B13,'DADOS BRUTOS'!DD$3:DD$500)+IF($C13="",0,SUMIF('DADOS BRUTOS'!$A$3:$A$500,$C13,'DADOS BRUTOS'!DD$3:DD$500)))</f>
        <v/>
      </c>
      <c r="GE13" s="123">
        <f>IF(OR(GE$4="",$B13=""),0,SUMIF('DADOS BRUTOS'!$A$3:$A$500,$B13,'DADOS BRUTOS'!DE$3:DE$500)+IF($C13="",0,SUMIF('DADOS BRUTOS'!$A$3:$A$500,$C13,'DADOS BRUTOS'!DE$3:DE$500)))</f>
        <v/>
      </c>
      <c r="GF13" s="123">
        <f>IF(OR(GF$4="",$B13=""),0,SUMIF('DADOS BRUTOS'!$A$3:$A$500,$B13,'DADOS BRUTOS'!DF$3:DF$500)+IF($C13="",0,SUMIF('DADOS BRUTOS'!$A$3:$A$500,$C13,'DADOS BRUTOS'!DF$3:DF$500)))</f>
        <v/>
      </c>
      <c r="GG13" s="123">
        <f>IF(OR(GG$4="",$B13=""),0,SUMIF('DADOS BRUTOS'!$A$3:$A$500,$B13,'DADOS BRUTOS'!DG$3:DG$500)+IF($C13="",0,SUMIF('DADOS BRUTOS'!$A$3:$A$500,$C13,'DADOS BRUTOS'!DG$3:DG$500)))</f>
        <v/>
      </c>
      <c r="GH13" s="123">
        <f>IF(OR(GH$4="",$B13=""),0,SUMIF('DADOS BRUTOS'!$A$3:$A$500,$B13,'DADOS BRUTOS'!DH$3:DH$500)+IF($C13="",0,SUMIF('DADOS BRUTOS'!$A$3:$A$500,$C13,'DADOS BRUTOS'!DH$3:DH$500)))</f>
        <v/>
      </c>
      <c r="GI13" s="123">
        <f>IF(OR(GI$4="",$B13=""),0,SUMIF('DADOS BRUTOS'!$A$3:$A$500,$B13,'DADOS BRUTOS'!DI$3:DI$500)+IF($C13="",0,SUMIF('DADOS BRUTOS'!$A$3:$A$500,$C13,'DADOS BRUTOS'!DI$3:DI$500)))</f>
        <v/>
      </c>
      <c r="GJ13" s="123">
        <f>IF(OR(GJ$4="",$B13=""),0,SUMIF('DADOS BRUTOS'!$A$3:$A$500,$B13,'DADOS BRUTOS'!DJ$3:DJ$500)+IF($C13="",0,SUMIF('DADOS BRUTOS'!$A$3:$A$500,$C13,'DADOS BRUTOS'!DJ$3:DJ$500)))</f>
        <v/>
      </c>
      <c r="GK13" s="123">
        <f>IF(OR(GK$4="",$B13=""),0,SUMIF('DADOS BRUTOS'!$A$3:$A$500,$B13,'DADOS BRUTOS'!DK$3:DK$500)+IF($C13="",0,SUMIF('DADOS BRUTOS'!$A$3:$A$500,$C13,'DADOS BRUTOS'!DK$3:DK$500)))</f>
        <v/>
      </c>
      <c r="GL13" s="123">
        <f>IF(OR(GL$4="",$B13=""),0,SUMIF('DADOS BRUTOS'!$A$3:$A$500,$B13,'DADOS BRUTOS'!DL$3:DL$500)+IF($C13="",0,SUMIF('DADOS BRUTOS'!$A$3:$A$500,$C13,'DADOS BRUTOS'!DL$3:DL$500)))</f>
        <v/>
      </c>
      <c r="GM13" s="123">
        <f>IF(OR(GM$4="",$B13=""),0,SUMIF('DADOS BRUTOS'!$A$3:$A$500,$B13,'DADOS BRUTOS'!DM$3:DM$500)+IF($C13="",0,SUMIF('DADOS BRUTOS'!$A$3:$A$500,$C13,'DADOS BRUTOS'!DM$3:DM$500)))</f>
        <v/>
      </c>
      <c r="GN13" s="123">
        <f>IF(OR(GN$4="",$B13=""),0,SUMIF('DADOS BRUTOS'!$A$3:$A$500,$B13,'DADOS BRUTOS'!DN$3:DN$500)+IF($C13="",0,SUMIF('DADOS BRUTOS'!$A$3:$A$500,$C13,'DADOS BRUTOS'!DN$3:DN$500)))</f>
        <v/>
      </c>
      <c r="GO13" s="123">
        <f>IF(OR(GO$4="",$B13=""),0,SUMIF('DADOS BRUTOS'!$A$3:$A$500,$B13,'DADOS BRUTOS'!DO$3:DO$500)+IF($C13="",0,SUMIF('DADOS BRUTOS'!$A$3:$A$500,$C13,'DADOS BRUTOS'!DO$3:DO$500)))</f>
        <v/>
      </c>
      <c r="GP13" s="123">
        <f>IF(OR(GP$4="",$B13=""),0,SUMIF('DADOS BRUTOS'!$A$3:$A$500,$B13,'DADOS BRUTOS'!DP$3:DP$500)+IF($C13="",0,SUMIF('DADOS BRUTOS'!$A$3:$A$500,$C13,'DADOS BRUTOS'!DP$3:DP$500)))</f>
        <v/>
      </c>
      <c r="GQ13" s="123">
        <f>IF(OR(GQ$4="",$B13=""),0,SUMIF('DADOS BRUTOS'!$A$3:$A$500,$B13,'DADOS BRUTOS'!DQ$3:DQ$500)+IF($C13="",0,SUMIF('DADOS BRUTOS'!$A$3:$A$500,$C13,'DADOS BRUTOS'!DQ$3:DQ$500)))</f>
        <v/>
      </c>
      <c r="GR13" s="123">
        <f>IF(OR(GR$4="",$B13=""),0,SUMIF('DADOS BRUTOS'!$A$3:$A$500,$B13,'DADOS BRUTOS'!DR$3:DR$500)+IF($C13="",0,SUMIF('DADOS BRUTOS'!$A$3:$A$500,$C13,'DADOS BRUTOS'!DR$3:DR$500)))</f>
        <v/>
      </c>
      <c r="GS13" s="123">
        <f>IF(OR(GS$4="",$B13=""),0,SUMIF('DADOS BRUTOS'!$A$3:$A$500,$B13,'DADOS BRUTOS'!DS$3:DS$500)+IF($C13="",0,SUMIF('DADOS BRUTOS'!$A$3:$A$500,$C13,'DADOS BRUTOS'!DS$3:DS$500)))</f>
        <v/>
      </c>
      <c r="GT13" s="123">
        <f>IF(OR(GT$4="",$B13=""),0,SUMIF('DADOS BRUTOS'!$A$3:$A$500,$B13,'DADOS BRUTOS'!DT$3:DT$500)+IF($C13="",0,SUMIF('DADOS BRUTOS'!$A$3:$A$500,$C13,'DADOS BRUTOS'!DT$3:DT$500)))</f>
        <v/>
      </c>
      <c r="GU13" s="123">
        <f>IF(OR(GU$4="",$B13=""),0,SUMIF('DADOS BRUTOS'!$A$3:$A$500,$B13,'DADOS BRUTOS'!DU$3:DU$500)+IF($C13="",0,SUMIF('DADOS BRUTOS'!$A$3:$A$500,$C13,'DADOS BRUTOS'!DU$3:DU$500)))</f>
        <v/>
      </c>
      <c r="GV13" s="123">
        <f>IF(OR(GV$4="",$B13=""),0,SUMIF('DADOS BRUTOS'!$A$3:$A$500,$B13,'DADOS BRUTOS'!DV$3:DV$500)+IF($C13="",0,SUMIF('DADOS BRUTOS'!$A$3:$A$500,$C13,'DADOS BRUTOS'!DV$3:DV$500)))</f>
        <v/>
      </c>
      <c r="GW13" s="123">
        <f>IF(OR(GW$4="",$B13=""),0,SUMIF('DADOS BRUTOS'!$A$3:$A$500,$B13,'DADOS BRUTOS'!DW$3:DW$500)+IF($C13="",0,SUMIF('DADOS BRUTOS'!$A$3:$A$500,$C13,'DADOS BRUTOS'!DW$3:DW$500)))</f>
        <v/>
      </c>
      <c r="GX13" s="123">
        <f>IF(OR(GX$4="",$B13=""),0,SUMIF('DADOS BRUTOS'!$A$3:$A$500,$B13,'DADOS BRUTOS'!DX$3:DX$500)+IF($C13="",0,SUMIF('DADOS BRUTOS'!$A$3:$A$500,$C13,'DADOS BRUTOS'!DX$3:DX$500)))</f>
        <v/>
      </c>
      <c r="GY13" s="123">
        <f>IF(OR(GY$4="",$B13=""),0,SUMIF('DADOS BRUTOS'!$A$3:$A$500,$B13,'DADOS BRUTOS'!DY$3:DY$500)+IF($C13="",0,SUMIF('DADOS BRUTOS'!$A$3:$A$500,$C13,'DADOS BRUTOS'!DY$3:DY$500)))</f>
        <v/>
      </c>
      <c r="GZ13" s="123">
        <f>IF(OR(GZ$4="",$B13=""),0,SUMIF('DADOS BRUTOS'!$A$3:$A$500,$B13,'DADOS BRUTOS'!DZ$3:DZ$500)+IF($C13="",0,SUMIF('DADOS BRUTOS'!$A$3:$A$500,$C13,'DADOS BRUTOS'!DZ$3:DZ$500)))</f>
        <v/>
      </c>
      <c r="HA13" s="123">
        <f>IF(OR(HA$4="",$B13=""),0,SUMIF('DADOS BRUTOS'!$A$3:$A$500,$B13,'DADOS BRUTOS'!EA$3:EA$500)+IF($C13="",0,SUMIF('DADOS BRUTOS'!$A$3:$A$500,$C13,'DADOS BRUTOS'!EA$3:EA$500)))</f>
        <v/>
      </c>
      <c r="HB13" s="123">
        <f>IF(OR(HB$4="",$B13=""),0,SUMIF('DADOS BRUTOS'!$A$3:$A$500,$B13,'DADOS BRUTOS'!EB$3:EB$500)+IF($C13="",0,SUMIF('DADOS BRUTOS'!$A$3:$A$500,$C13,'DADOS BRUTOS'!EB$3:EB$500)))</f>
        <v/>
      </c>
      <c r="HC13" s="123">
        <f>IF(OR(HC$4="",$B13=""),0,SUMIF('DADOS BRUTOS'!$A$3:$A$500,$B13,'DADOS BRUTOS'!EC$3:EC$500)+IF($C13="",0,SUMIF('DADOS BRUTOS'!$A$3:$A$500,$C13,'DADOS BRUTOS'!EC$3:EC$500)))</f>
        <v/>
      </c>
      <c r="HD13" s="123">
        <f>IF(OR(HD$4="",$B13=""),0,SUMIF('DADOS BRUTOS'!$A$3:$A$500,$B13,'DADOS BRUTOS'!ED$3:ED$500)+IF($C13="",0,SUMIF('DADOS BRUTOS'!$A$3:$A$500,$C13,'DADOS BRUTOS'!ED$3:ED$500)))</f>
        <v/>
      </c>
      <c r="HE13" s="123">
        <f>IF(OR(HE$4="",$B13=""),0,SUMIF('DADOS BRUTOS'!$A$3:$A$500,$B13,'DADOS BRUTOS'!EE$3:EE$500)+IF($C13="",0,SUMIF('DADOS BRUTOS'!$A$3:$A$500,$C13,'DADOS BRUTOS'!EE$3:EE$500)))</f>
        <v/>
      </c>
      <c r="HF13" s="123">
        <f>IF(OR(HF$4="",$B13=""),0,SUMIF('DADOS BRUTOS'!$A$3:$A$500,$B13,'DADOS BRUTOS'!EF$3:EF$500)+IF($C13="",0,SUMIF('DADOS BRUTOS'!$A$3:$A$500,$C13,'DADOS BRUTOS'!EF$3:EF$500)))</f>
        <v/>
      </c>
      <c r="HG13" s="123">
        <f>IF(OR(HG$4="",$B13=""),0,SUMIF('DADOS BRUTOS'!$A$3:$A$500,$B13,'DADOS BRUTOS'!EG$3:EG$500)+IF($C13="",0,SUMIF('DADOS BRUTOS'!$A$3:$A$500,$C13,'DADOS BRUTOS'!EG$3:EG$500)))</f>
        <v/>
      </c>
      <c r="HH13" s="123">
        <f>IF(OR(HH$4="",$B13=""),0,SUMIF('DADOS BRUTOS'!$A$3:$A$500,$B13,'DADOS BRUTOS'!EH$3:EH$500)+IF($C13="",0,SUMIF('DADOS BRUTOS'!$A$3:$A$500,$C13,'DADOS BRUTOS'!EH$3:EH$500)))</f>
        <v/>
      </c>
      <c r="HI13" s="123">
        <f>IF(OR(HI$4="",$B13=""),0,SUMIF('DADOS BRUTOS'!$A$3:$A$500,$B13,'DADOS BRUTOS'!EI$3:EI$500)+IF($C13="",0,SUMIF('DADOS BRUTOS'!$A$3:$A$500,$C13,'DADOS BRUTOS'!EI$3:EI$500)))</f>
        <v/>
      </c>
      <c r="HJ13" s="123">
        <f>IF(OR(HJ$4="",$B13=""),0,SUMIF('DADOS BRUTOS'!$A$3:$A$500,$B13,'DADOS BRUTOS'!EJ$3:EJ$500)+IF($C13="",0,SUMIF('DADOS BRUTOS'!$A$3:$A$500,$C13,'DADOS BRUTOS'!EJ$3:EJ$500)))</f>
        <v/>
      </c>
      <c r="HK13" s="123">
        <f>IF(OR(HK$4="",$B13=""),0,SUMIF('DADOS BRUTOS'!$A$3:$A$500,$B13,'DADOS BRUTOS'!EK$3:EK$500)+IF($C13="",0,SUMIF('DADOS BRUTOS'!$A$3:$A$500,$C13,'DADOS BRUTOS'!EK$3:EK$500)))</f>
        <v/>
      </c>
      <c r="HL13" s="123">
        <f>IF(OR(HL$4="",$B13=""),0,SUMIF('DADOS BRUTOS'!$A$3:$A$500,$B13,'DADOS BRUTOS'!EL$3:EL$500)+IF($C13="",0,SUMIF('DADOS BRUTOS'!$A$3:$A$500,$C13,'DADOS BRUTOS'!EL$3:EL$500)))</f>
        <v/>
      </c>
      <c r="HM13" s="123">
        <f>IF(OR(HM$4="",$B13=""),0,SUMIF('DADOS BRUTOS'!$A$3:$A$500,$B13,'DADOS BRUTOS'!EM$3:EM$500)+IF($C13="",0,SUMIF('DADOS BRUTOS'!$A$3:$A$500,$C13,'DADOS BRUTOS'!EM$3:EM$500)))</f>
        <v/>
      </c>
      <c r="HN13" s="123">
        <f>IF(OR(HN$4="",$B13=""),0,SUMIF('DADOS BRUTOS'!$A$3:$A$500,$B13,'DADOS BRUTOS'!EN$3:EN$500)+IF($C13="",0,SUMIF('DADOS BRUTOS'!$A$3:$A$500,$C13,'DADOS BRUTOS'!EN$3:EN$500)))</f>
        <v/>
      </c>
      <c r="HO13" s="123">
        <f>IF(OR(HO$4="",$B13=""),0,SUMIF('DADOS BRUTOS'!$A$3:$A$500,$B13,'DADOS BRUTOS'!EO$3:EO$500)+IF($C13="",0,SUMIF('DADOS BRUTOS'!$A$3:$A$500,$C13,'DADOS BRUTOS'!EO$3:EO$500)))</f>
        <v/>
      </c>
      <c r="HP13" s="123">
        <f>IF(OR(HP$4="",$B13=""),0,SUMIF('DADOS BRUTOS'!$A$3:$A$500,$B13,'DADOS BRUTOS'!EP$3:EP$500)+IF($C13="",0,SUMIF('DADOS BRUTOS'!$A$3:$A$500,$C13,'DADOS BRUTOS'!EP$3:EP$500)))</f>
        <v/>
      </c>
      <c r="HQ13" s="123">
        <f>IF(OR(HQ$4="",$B13=""),0,SUMIF('DADOS BRUTOS'!$A$3:$A$500,$B13,'DADOS BRUTOS'!EQ$3:EQ$500)+IF($C13="",0,SUMIF('DADOS BRUTOS'!$A$3:$A$500,$C13,'DADOS BRUTOS'!EQ$3:EQ$500)))</f>
        <v/>
      </c>
      <c r="HR13" s="123">
        <f>IF(OR(HR$4="",$B13=""),0,SUMIF('DADOS BRUTOS'!$A$3:$A$500,$B13,'DADOS BRUTOS'!ER$3:ER$500)+IF($C13="",0,SUMIF('DADOS BRUTOS'!$A$3:$A$500,$C13,'DADOS BRUTOS'!ER$3:ER$500)))</f>
        <v/>
      </c>
      <c r="HS13" s="123">
        <f>IF(OR(HS$4="",$B13=""),0,SUMIF('DADOS BRUTOS'!$A$3:$A$500,$B13,'DADOS BRUTOS'!ES$3:ES$500)+IF($C13="",0,SUMIF('DADOS BRUTOS'!$A$3:$A$500,$C13,'DADOS BRUTOS'!ES$3:ES$500)))</f>
        <v/>
      </c>
      <c r="HT13" s="123">
        <f>IF(OR(HT$4="",$B13=""),0,SUMIF('DADOS BRUTOS'!$A$3:$A$500,$B13,'DADOS BRUTOS'!ET$3:ET$500)+IF($C13="",0,SUMIF('DADOS BRUTOS'!$A$3:$A$500,$C13,'DADOS BRUTOS'!ET$3:ET$500)))</f>
        <v/>
      </c>
      <c r="HU13" s="123">
        <f>IF(OR(HU$4="",$B13=""),0,SUMIF('DADOS BRUTOS'!$A$3:$A$500,$B13,'DADOS BRUTOS'!EU$3:EU$500)+IF($C13="",0,SUMIF('DADOS BRUTOS'!$A$3:$A$500,$C13,'DADOS BRUTOS'!EU$3:EU$500)))</f>
        <v/>
      </c>
      <c r="HV13" s="123">
        <f>IF(OR(HV$4="",$B13=""),0,SUMIF('DADOS BRUTOS'!$A$3:$A$500,$B13,'DADOS BRUTOS'!EV$3:EV$500)+IF($C13="",0,SUMIF('DADOS BRUTOS'!$A$3:$A$500,$C13,'DADOS BRUTOS'!EV$3:EV$500)))</f>
        <v/>
      </c>
      <c r="HW13" s="123">
        <f>IF(OR(HW$4="",$B13=""),0,SUMIF('DADOS BRUTOS'!$A$3:$A$500,$B13,'DADOS BRUTOS'!EW$3:EW$500)+IF($C13="",0,SUMIF('DADOS BRUTOS'!$A$3:$A$500,$C13,'DADOS BRUTOS'!EW$3:EW$500)))</f>
        <v/>
      </c>
      <c r="HX13" s="123">
        <f>IF(OR(HX$4="",$B13=""),0,SUMIF('DADOS BRUTOS'!$A$3:$A$500,$B13,'DADOS BRUTOS'!EX$3:EX$500)+IF($C13="",0,SUMIF('DADOS BRUTOS'!$A$3:$A$500,$C13,'DADOS BRUTOS'!EX$3:EX$500)))</f>
        <v/>
      </c>
      <c r="HY13" s="123">
        <f>IF(OR(HY$4="",$B13=""),0,SUMIF('DADOS BRUTOS'!$A$3:$A$500,$B13,'DADOS BRUTOS'!EY$3:EY$500)+IF($C13="",0,SUMIF('DADOS BRUTOS'!$A$3:$A$500,$C13,'DADOS BRUTOS'!EY$3:EY$500)))</f>
        <v/>
      </c>
      <c r="HZ13" s="123">
        <f>IF(OR(HZ$4="",$B13=""),0,SUMIF('DADOS BRUTOS'!$A$3:$A$500,$B13,'DADOS BRUTOS'!EZ$3:EZ$500)+IF($C13="",0,SUMIF('DADOS BRUTOS'!$A$3:$A$500,$C13,'DADOS BRUTOS'!EZ$3:EZ$500)))</f>
        <v/>
      </c>
      <c r="IA13" s="123">
        <f>IF(OR(IA$4="",$B13=""),0,SUMIF('DADOS BRUTOS'!$A$3:$A$500,$B13,'DADOS BRUTOS'!FA$3:FA$500)+IF($C13="",0,SUMIF('DADOS BRUTOS'!$A$3:$A$500,$C13,'DADOS BRUTOS'!FA$3:FA$500)))</f>
        <v/>
      </c>
      <c r="IB13" s="123">
        <f>IF(OR(IB$4="",$B13=""),0,SUMIF('DADOS BRUTOS'!$A$3:$A$500,$B13,'DADOS BRUTOS'!FB$3:FB$500)+IF($C13="",0,SUMIF('DADOS BRUTOS'!$A$3:$A$500,$C13,'DADOS BRUTOS'!FB$3:FB$500)))</f>
        <v/>
      </c>
      <c r="IC13" s="123">
        <f>IF(OR(IC$4="",$B13=""),0,SUMIF('DADOS BRUTOS'!$A$3:$A$500,$B13,'DADOS BRUTOS'!FC$3:FC$500)+IF($C13="",0,SUMIF('DADOS BRUTOS'!$A$3:$A$500,$C13,'DADOS BRUTOS'!FC$3:FC$500)))</f>
        <v/>
      </c>
      <c r="ID13" s="123">
        <f>IF(OR(ID$4="",$B13=""),0,SUMIF('DADOS BRUTOS'!$A$3:$A$500,$B13,'DADOS BRUTOS'!FD$3:FD$500)+IF($C13="",0,SUMIF('DADOS BRUTOS'!$A$3:$A$500,$C13,'DADOS BRUTOS'!FD$3:FD$500)))</f>
        <v/>
      </c>
      <c r="IE13" s="123">
        <f>IF(OR(IE$4="",$B13=""),0,SUMIF('DADOS BRUTOS'!$A$3:$A$500,$B13,'DADOS BRUTOS'!FE$3:FE$500)+IF($C13="",0,SUMIF('DADOS BRUTOS'!$A$3:$A$500,$C13,'DADOS BRUTOS'!FE$3:FE$500)))</f>
        <v/>
      </c>
      <c r="IF13" s="123">
        <f>IF(OR(IF$4="",$B13=""),0,SUMIF('DADOS BRUTOS'!$A$3:$A$500,$B13,'DADOS BRUTOS'!FF$3:FF$500)+IF($C13="",0,SUMIF('DADOS BRUTOS'!$A$3:$A$500,$C13,'DADOS BRUTOS'!FF$3:FF$500)))</f>
        <v/>
      </c>
      <c r="IG13" s="123">
        <f>IF(OR(IG$4="",$B13=""),0,SUMIF('DADOS BRUTOS'!$A$3:$A$500,$B13,'DADOS BRUTOS'!FG$3:FG$500)+IF($C13="",0,SUMIF('DADOS BRUTOS'!$A$3:$A$500,$C13,'DADOS BRUTOS'!FG$3:FG$500)))</f>
        <v/>
      </c>
      <c r="IH13" s="123">
        <f>IF(OR(IH$4="",$B13=""),0,SUMIF('DADOS BRUTOS'!$A$3:$A$500,$B13,'DADOS BRUTOS'!FH$3:FH$500)+IF($C13="",0,SUMIF('DADOS BRUTOS'!$A$3:$A$500,$C13,'DADOS BRUTOS'!FH$3:FH$500)))</f>
        <v/>
      </c>
      <c r="II13" s="123">
        <f>IF(OR(II$4="",$B13=""),0,SUMIF('DADOS BRUTOS'!$A$3:$A$500,$B13,'DADOS BRUTOS'!FI$3:FI$500)+IF($C13="",0,SUMIF('DADOS BRUTOS'!$A$3:$A$500,$C13,'DADOS BRUTOS'!FI$3:FI$500)))</f>
        <v/>
      </c>
      <c r="IJ13" s="123">
        <f>IF(OR(IJ$4="",$B13=""),0,SUMIF('DADOS BRUTOS'!$A$3:$A$500,$B13,'DADOS BRUTOS'!FJ$3:FJ$500)+IF($C13="",0,SUMIF('DADOS BRUTOS'!$A$3:$A$500,$C13,'DADOS BRUTOS'!FJ$3:FJ$500)))</f>
        <v/>
      </c>
      <c r="IK13" s="123">
        <f>IF(OR(IK$4="",$B13=""),0,SUMIF('DADOS BRUTOS'!$A$3:$A$500,$B13,'DADOS BRUTOS'!FK$3:FK$500)+IF($C13="",0,SUMIF('DADOS BRUTOS'!$A$3:$A$500,$C13,'DADOS BRUTOS'!FK$3:FK$500)))</f>
        <v/>
      </c>
      <c r="IL13" s="123">
        <f>IF(OR(IL$4="",$B13=""),0,SUMIF('DADOS BRUTOS'!$A$3:$A$500,$B13,'DADOS BRUTOS'!FL$3:FL$500)+IF($C13="",0,SUMIF('DADOS BRUTOS'!$A$3:$A$500,$C13,'DADOS BRUTOS'!FL$3:FL$500)))</f>
        <v/>
      </c>
      <c r="IM13" s="123">
        <f>IF(OR(IM$4="",$B13=""),0,SUMIF('DADOS BRUTOS'!$A$3:$A$500,$B13,'DADOS BRUTOS'!FM$3:FM$500)+IF($C13="",0,SUMIF('DADOS BRUTOS'!$A$3:$A$500,$C13,'DADOS BRUTOS'!FM$3:FM$500)))</f>
        <v/>
      </c>
      <c r="IN13" s="123">
        <f>IF(OR(IN$4="",$B13=""),0,SUMIF('DADOS BRUTOS'!$A$3:$A$500,$B13,'DADOS BRUTOS'!FN$3:FN$500)+IF($C13="",0,SUMIF('DADOS BRUTOS'!$A$3:$A$500,$C13,'DADOS BRUTOS'!FN$3:FN$500)))</f>
        <v/>
      </c>
      <c r="IO13" s="123">
        <f>IF(OR(IO$4="",$B13=""),0,SUMIF('DADOS BRUTOS'!$A$3:$A$500,$B13,'DADOS BRUTOS'!FO$3:FO$500)+IF($C13="",0,SUMIF('DADOS BRUTOS'!$A$3:$A$500,$C13,'DADOS BRUTOS'!FO$3:FO$500)))</f>
        <v/>
      </c>
      <c r="IP13" s="123">
        <f>IF(OR(IP$4="",$B13=""),0,SUMIF('DADOS BRUTOS'!$A$3:$A$500,$B13,'DADOS BRUTOS'!FP$3:FP$500)+IF($C13="",0,SUMIF('DADOS BRUTOS'!$A$3:$A$500,$C13,'DADOS BRUTOS'!FP$3:FP$500)))</f>
        <v/>
      </c>
      <c r="IQ13" s="123">
        <f>IF(OR(IQ$4="",$B13=""),0,SUMIF('DADOS BRUTOS'!$A$3:$A$500,$B13,'DADOS BRUTOS'!FQ$3:FQ$500)+IF($C13="",0,SUMIF('DADOS BRUTOS'!$A$3:$A$500,$C13,'DADOS BRUTOS'!FQ$3:FQ$500)))</f>
        <v/>
      </c>
      <c r="IR13" s="123">
        <f>IF(OR(IR$4="",$B13=""),0,SUMIF('DADOS BRUTOS'!$A$3:$A$500,$B13,'DADOS BRUTOS'!FR$3:FR$500)+IF($C13="",0,SUMIF('DADOS BRUTOS'!$A$3:$A$500,$C13,'DADOS BRUTOS'!FR$3:FR$500)))</f>
        <v/>
      </c>
      <c r="IS13" s="123">
        <f>IF(OR(IS$4="",$B13=""),0,SUMIF('DADOS BRUTOS'!$A$3:$A$500,$B13,'DADOS BRUTOS'!FS$3:FS$500)+IF($C13="",0,SUMIF('DADOS BRUTOS'!$A$3:$A$500,$C13,'DADOS BRUTOS'!FS$3:FS$500)))</f>
        <v/>
      </c>
      <c r="IT13" s="123">
        <f>IF(OR(IT$4="",$B13=""),0,SUMIF('DADOS BRUTOS'!$A$3:$A$500,$B13,'DADOS BRUTOS'!FT$3:FT$500)+IF($C13="",0,SUMIF('DADOS BRUTOS'!$A$3:$A$500,$C13,'DADOS BRUTOS'!FT$3:FT$500)))</f>
        <v/>
      </c>
      <c r="IU13" s="123">
        <f>IF(OR(IU$4="",$B13=""),0,SUMIF('DADOS BRUTOS'!$A$3:$A$500,$B13,'DADOS BRUTOS'!FU$3:FU$500)+IF($C13="",0,SUMIF('DADOS BRUTOS'!$A$3:$A$500,$C13,'DADOS BRUTOS'!FU$3:FU$500)))</f>
        <v/>
      </c>
      <c r="IV13" s="123">
        <f>IF(OR(IV$4="",$B13=""),0,SUMIF('DADOS BRUTOS'!$A$3:$A$500,$B13,'DADOS BRUTOS'!FV$3:FV$500)+IF($C13="",0,SUMIF('DADOS BRUTOS'!$A$3:$A$500,$C13,'DADOS BRUTOS'!FV$3:FV$500)))</f>
        <v/>
      </c>
      <c r="IW13" s="123">
        <f>IF(OR(IW$4="",$B13=""),0,SUMIF('DADOS BRUTOS'!$A$3:$A$500,$B13,'DADOS BRUTOS'!FW$3:FW$500)+IF($C13="",0,SUMIF('DADOS BRUTOS'!$A$3:$A$500,$C13,'DADOS BRUTOS'!FW$3:FW$500)))</f>
        <v/>
      </c>
      <c r="IX13" s="123">
        <f>IF(OR(IX$4="",$B13=""),0,SUMIF('DADOS BRUTOS'!$A$3:$A$500,$B13,'DADOS BRUTOS'!FX$3:FX$500)+IF($C13="",0,SUMIF('DADOS BRUTOS'!$A$3:$A$500,$C13,'DADOS BRUTOS'!FX$3:FX$500)))</f>
        <v/>
      </c>
      <c r="IY13" s="123">
        <f>IF(OR(IY$4="",$B13=""),0,SUMIF('DADOS BRUTOS'!$A$3:$A$500,$B13,'DADOS BRUTOS'!FY$3:FY$500)+IF($C13="",0,SUMIF('DADOS BRUTOS'!$A$3:$A$500,$C13,'DADOS BRUTOS'!FY$3:FY$500)))</f>
        <v/>
      </c>
      <c r="IZ13" s="123">
        <f>IF(OR(IZ$4="",$B13=""),0,SUMIF('DADOS BRUTOS'!$A$3:$A$500,$B13,'DADOS BRUTOS'!FZ$3:FZ$500)+IF($C13="",0,SUMIF('DADOS BRUTOS'!$A$3:$A$500,$C13,'DADOS BRUTOS'!FZ$3:FZ$500)))</f>
        <v/>
      </c>
      <c r="JA13" s="123">
        <f>IF(OR(JA$4="",$B13=""),0,SUMIF('DADOS BRUTOS'!$A$3:$A$500,$B13,'DADOS BRUTOS'!GA$3:GA$500)+IF($C13="",0,SUMIF('DADOS BRUTOS'!$A$3:$A$500,$C13,'DADOS BRUTOS'!GA$3:GA$500)))</f>
        <v/>
      </c>
      <c r="JB13" s="123">
        <f>IF(OR(JB$4="",$B13=""),0,SUMIF('DADOS BRUTOS'!$A$3:$A$500,$B13,'DADOS BRUTOS'!GB$3:GB$500)+IF($C13="",0,SUMIF('DADOS BRUTOS'!$A$3:$A$500,$C13,'DADOS BRUTOS'!GB$3:GB$500)))</f>
        <v/>
      </c>
      <c r="JC13" s="123">
        <f>IF(OR(JC$4="",$B13=""),0,SUMIF('DADOS BRUTOS'!$A$3:$A$500,$B13,'DADOS BRUTOS'!GC$3:GC$500)+IF($C13="",0,SUMIF('DADOS BRUTOS'!$A$3:$A$500,$C13,'DADOS BRUTOS'!GC$3:GC$500)))</f>
        <v/>
      </c>
      <c r="JD13" s="123">
        <f>IF(OR(JD$4="",$B13=""),0,SUMIF('DADOS BRUTOS'!$A$3:$A$500,$B13,'DADOS BRUTOS'!GD$3:GD$500)+IF($C13="",0,SUMIF('DADOS BRUTOS'!$A$3:$A$500,$C13,'DADOS BRUTOS'!GD$3:GD$500)))</f>
        <v/>
      </c>
      <c r="JE13" s="123">
        <f>IF(OR(JE$4="",$B13=""),0,SUMIF('DADOS BRUTOS'!$A$3:$A$500,$B13,'DADOS BRUTOS'!GE$3:GE$500)+IF($C13="",0,SUMIF('DADOS BRUTOS'!$A$3:$A$500,$C13,'DADOS BRUTOS'!GE$3:GE$500)))</f>
        <v/>
      </c>
      <c r="JF13" s="123">
        <f>IF(OR(JF$4="",$B13=""),0,SUMIF('DADOS BRUTOS'!$A$3:$A$500,$B13,'DADOS BRUTOS'!GF$3:GF$500)+IF($C13="",0,SUMIF('DADOS BRUTOS'!$A$3:$A$500,$C13,'DADOS BRUTOS'!GF$3:GF$500)))</f>
        <v/>
      </c>
      <c r="JG13" s="123">
        <f>IF(OR(JG$4="",$B13=""),0,SUMIF('DADOS BRUTOS'!$A$3:$A$500,$B13,'DADOS BRUTOS'!GG$3:GG$500)+IF($C13="",0,SUMIF('DADOS BRUTOS'!$A$3:$A$500,$C13,'DADOS BRUTOS'!GG$3:GG$500)))</f>
        <v/>
      </c>
      <c r="JH13" s="123">
        <f>IF(OR(JH$4="",$B13=""),0,SUMIF('DADOS BRUTOS'!$A$3:$A$500,$B13,'DADOS BRUTOS'!GH$3:GH$500)+IF($C13="",0,SUMIF('DADOS BRUTOS'!$A$3:$A$500,$C13,'DADOS BRUTOS'!GH$3:GH$500)))</f>
        <v/>
      </c>
      <c r="JI13" s="123">
        <f>IF(OR(JI$4="",$B13=""),0,SUMIF('DADOS BRUTOS'!$A$3:$A$500,$B13,'DADOS BRUTOS'!GI$3:GI$500)+IF($C13="",0,SUMIF('DADOS BRUTOS'!$A$3:$A$500,$C13,'DADOS BRUTOS'!GI$3:GI$500)))</f>
        <v/>
      </c>
      <c r="JJ13" s="123">
        <f>IF(OR(JJ$4="",$B13=""),0,SUMIF('DADOS BRUTOS'!$A$3:$A$500,$B13,'DADOS BRUTOS'!GJ$3:GJ$500)+IF($C13="",0,SUMIF('DADOS BRUTOS'!$A$3:$A$500,$C13,'DADOS BRUTOS'!GJ$3:GJ$500)))</f>
        <v/>
      </c>
      <c r="JK13" s="123">
        <f>IF(OR(JK$4="",$B13=""),0,SUMIF('DADOS BRUTOS'!$A$3:$A$500,$B13,'DADOS BRUTOS'!GK$3:GK$500)+IF($C13="",0,SUMIF('DADOS BRUTOS'!$A$3:$A$500,$C13,'DADOS BRUTOS'!GK$3:GK$500)))</f>
        <v/>
      </c>
      <c r="JL13" s="123">
        <f>IF(OR(JL$4="",$B13=""),0,SUMIF('DADOS BRUTOS'!$A$3:$A$500,$B13,'DADOS BRUTOS'!GL$3:GL$500)+IF($C13="",0,SUMIF('DADOS BRUTOS'!$A$3:$A$500,$C13,'DADOS BRUTOS'!GL$3:GL$500)))</f>
        <v/>
      </c>
      <c r="JM13" s="123">
        <f>IF(OR(JM$4="",$B13=""),0,SUMIF('DADOS BRUTOS'!$A$3:$A$500,$B13,'DADOS BRUTOS'!GM$3:GM$500)+IF($C13="",0,SUMIF('DADOS BRUTOS'!$A$3:$A$500,$C13,'DADOS BRUTOS'!GM$3:GM$500)))</f>
        <v/>
      </c>
      <c r="JN13" s="123">
        <f>IF(OR(JN$4="",$B13=""),0,SUMIF('DADOS BRUTOS'!$A$3:$A$500,$B13,'DADOS BRUTOS'!GN$3:GN$500)+IF($C13="",0,SUMIF('DADOS BRUTOS'!$A$3:$A$500,$C13,'DADOS BRUTOS'!GN$3:GN$500)))</f>
        <v/>
      </c>
      <c r="JO13" s="123">
        <f>IF(OR(JO$4="",$B13=""),0,SUMIF('DADOS BRUTOS'!$A$3:$A$500,$B13,'DADOS BRUTOS'!GO$3:GO$500)+IF($C13="",0,SUMIF('DADOS BRUTOS'!$A$3:$A$500,$C13,'DADOS BRUTOS'!GO$3:GO$500)))</f>
        <v/>
      </c>
      <c r="JP13" s="123">
        <f>IF(OR(JP$4="",$B13=""),0,SUMIF('DADOS BRUTOS'!$A$3:$A$500,$B13,'DADOS BRUTOS'!GP$3:GP$500)+IF($C13="",0,SUMIF('DADOS BRUTOS'!$A$3:$A$500,$C13,'DADOS BRUTOS'!GP$3:GP$500)))</f>
        <v/>
      </c>
      <c r="JQ13" s="123">
        <f>IF(OR(JQ$4="",$B13=""),0,SUMIF('DADOS BRUTOS'!$A$3:$A$500,$B13,'DADOS BRUTOS'!GQ$3:GQ$500)+IF($C13="",0,SUMIF('DADOS BRUTOS'!$A$3:$A$500,$C13,'DADOS BRUTOS'!GQ$3:GQ$500)))</f>
        <v/>
      </c>
      <c r="JR13" s="123">
        <f>IF(OR(JR$4="",$B13=""),0,SUMIF('DADOS BRUTOS'!$A$3:$A$500,$B13,'DADOS BRUTOS'!GR$3:GR$500)+IF($C13="",0,SUMIF('DADOS BRUTOS'!$A$3:$A$500,$C13,'DADOS BRUTOS'!GR$3:GR$500)))</f>
        <v/>
      </c>
      <c r="JS13" s="123">
        <f>IF(OR(JS$4="",$B13=""),0,SUMIF('DADOS BRUTOS'!$A$3:$A$500,$B13,'DADOS BRUTOS'!GS$3:GS$500)+IF($C13="",0,SUMIF('DADOS BRUTOS'!$A$3:$A$500,$C13,'DADOS BRUTOS'!GS$3:GS$500)))</f>
        <v/>
      </c>
    </row>
    <row r="14">
      <c r="A14" s="61">
        <f>'VALOR POR PL'!D20</f>
        <v/>
      </c>
      <c r="B14" s="60" t="inlineStr">
        <is>
          <t>MÃO DE OBRA PRÓPRIA</t>
        </is>
      </c>
      <c r="C14" s="60" t="n"/>
      <c r="D14" s="55">
        <f>SUMIF($CB$4:$JS$4,"&lt;="&amp;D$4,$CB14:$JS14)</f>
        <v/>
      </c>
      <c r="E14" s="55">
        <f>SUMIF($CB$4:$JS$4,E$4,$CB14:$JS14)</f>
        <v/>
      </c>
      <c r="F14" s="55">
        <f>SUMIF($CB$4:$JS$4,F$4,$CB14:$JS14)</f>
        <v/>
      </c>
      <c r="G14" s="55">
        <f>SUMIF($CB$4:$JS$4,G$4,$CB14:$JS14)</f>
        <v/>
      </c>
      <c r="H14" s="55">
        <f>SUMIF($CB$4:$JS$4,H$4,$CB14:$JS14)</f>
        <v/>
      </c>
      <c r="I14" s="55">
        <f>SUMIF($CB$4:$JS$4,I$4,$CB14:$JS14)</f>
        <v/>
      </c>
      <c r="J14" s="55">
        <f>SUMIF($CB$4:$JS$4,J$4,$CB14:$JS14)</f>
        <v/>
      </c>
      <c r="K14" s="55">
        <f>SUMIF($CB$4:$JS$4,K$4,$CB14:$JS14)</f>
        <v/>
      </c>
      <c r="L14" s="55">
        <f>SUMIF($CB$4:$JS$4,L$4,$CB14:$JS14)</f>
        <v/>
      </c>
      <c r="M14" s="55">
        <f>SUMIF($CB$4:$JS$4,M$4,$CB14:$JS14)</f>
        <v/>
      </c>
      <c r="N14" s="55">
        <f>SUMIF($CB$4:$JS$4,N$4,$CB14:$JS14)</f>
        <v/>
      </c>
      <c r="O14" s="55">
        <f>SUMIF($CB$4:$JS$4,O$4,$CB14:$JS14)</f>
        <v/>
      </c>
      <c r="P14" s="55">
        <f>SUMIF($CB$4:$JS$4,P$4,$CB14:$JS14)</f>
        <v/>
      </c>
      <c r="Q14" s="55">
        <f>SUMIF($CB$4:$JS$4,Q$4,$CB14:$JS14)</f>
        <v/>
      </c>
      <c r="R14" s="55">
        <f>SUMIF($CB$4:$JS$4,R$4,$CB14:$JS14)</f>
        <v/>
      </c>
      <c r="S14" s="55">
        <f>SUMIF($CB$4:$JS$4,S$4,$CB14:$JS14)</f>
        <v/>
      </c>
      <c r="T14" s="55">
        <f>SUMIF($CB$4:$JS$4,T$4,$CB14:$JS14)</f>
        <v/>
      </c>
      <c r="U14" s="55">
        <f>SUMIF($CB$4:$JS$4,U$4,$CB14:$JS14)</f>
        <v/>
      </c>
      <c r="V14" s="55">
        <f>SUMIF($CB$4:$JS$4,V$4,$CB14:$JS14)</f>
        <v/>
      </c>
      <c r="W14" s="55">
        <f>SUMIF($CB$4:$JS$4,W$4,$CB14:$JS14)</f>
        <v/>
      </c>
      <c r="X14" s="55">
        <f>SUMIF($CB$4:$JS$4,X$4,$CB14:$JS14)</f>
        <v/>
      </c>
      <c r="Y14" s="55">
        <f>SUMIF($CB$4:$JS$4,Y$4,$CB14:$JS14)</f>
        <v/>
      </c>
      <c r="Z14" s="55">
        <f>SUMIF($CB$4:$JS$4,Z$4,$CB14:$JS14)</f>
        <v/>
      </c>
      <c r="AA14" s="55">
        <f>SUMIF($CB$4:$JS$4,AA$4,$CB14:$JS14)</f>
        <v/>
      </c>
      <c r="AB14" s="55">
        <f>SUMIF($CB$4:$JS$4,AB$4,$CB14:$JS14)</f>
        <v/>
      </c>
      <c r="AC14" s="55">
        <f>SUMIF($CB$4:$JS$4,AC$4,$CB14:$JS14)</f>
        <v/>
      </c>
      <c r="AD14" s="55">
        <f>SUMIF($CB$4:$JS$4,AD$4,$CB14:$JS14)</f>
        <v/>
      </c>
      <c r="AE14" s="55">
        <f>SUMIF($CB$4:$JS$4,AE$4,$CB14:$JS14)</f>
        <v/>
      </c>
      <c r="AF14" s="55">
        <f>SUMIF($CB$4:$JS$4,AF$4,$CB14:$JS14)</f>
        <v/>
      </c>
      <c r="AG14" s="55">
        <f>SUMIF($CB$4:$JS$4,AG$4,$CB14:$JS14)</f>
        <v/>
      </c>
      <c r="AH14" s="55">
        <f>SUMIF($CB$4:$JS$4,AH$4,$CB14:$JS14)</f>
        <v/>
      </c>
      <c r="AI14" s="55">
        <f>SUMIF($CB$4:$JS$4,AI$4,$CB14:$JS14)</f>
        <v/>
      </c>
      <c r="AJ14" s="55">
        <f>SUMIF($CB$4:$JS$4,AJ$4,$CB14:$JS14)</f>
        <v/>
      </c>
      <c r="AK14" s="55">
        <f>SUMIF($CB$4:$JS$4,AK$4,$CB14:$JS14)</f>
        <v/>
      </c>
      <c r="AL14" s="55">
        <f>SUMIF($CB$4:$JS$4,AL$4,$CB14:$JS14)</f>
        <v/>
      </c>
      <c r="AM14" s="55">
        <f>SUMIF($CB$4:$JS$4,AM$4,$CB14:$JS14)</f>
        <v/>
      </c>
      <c r="AN14" s="55">
        <f>SUMIF($CB$4:$JS$4,AN$4,$CB14:$JS14)</f>
        <v/>
      </c>
      <c r="AO14" s="55">
        <f>SUMIF($CB$4:$JS$4,AO$4,$CB14:$JS14)</f>
        <v/>
      </c>
      <c r="AP14" s="55">
        <f>SUMIF($CB$4:$JS$4,AP$4,$CB14:$JS14)</f>
        <v/>
      </c>
      <c r="AQ14" s="55">
        <f>SUMIF($CB$4:$JS$4,AQ$4,$CB14:$JS14)</f>
        <v/>
      </c>
      <c r="AR14" s="55">
        <f>SUMIF($CB$4:$JS$4,AR$4,$CB14:$JS14)</f>
        <v/>
      </c>
      <c r="AS14" s="55">
        <f>SUMIF($CB$4:$JS$4,AS$4,$CB14:$JS14)</f>
        <v/>
      </c>
      <c r="AT14" s="55">
        <f>SUMIF($CB$4:$JS$4,AT$4,$CB14:$JS14)</f>
        <v/>
      </c>
      <c r="AU14" s="55">
        <f>SUMIF($CB$4:$JS$4,AU$4,$CB14:$JS14)</f>
        <v/>
      </c>
      <c r="AV14" s="55">
        <f>SUMIF($CB$4:$JS$4,AV$4,$CB14:$JS14)</f>
        <v/>
      </c>
      <c r="AW14" s="55">
        <f>SUMIF($CB$4:$JS$4,AW$4,$CB14:$JS14)</f>
        <v/>
      </c>
      <c r="AX14" s="55">
        <f>SUMIF($CB$4:$JS$4,AX$4,$CB14:$JS14)</f>
        <v/>
      </c>
      <c r="AY14" s="55">
        <f>SUMIF($CB$4:$JS$4,AY$4,$CB14:$JS14)</f>
        <v/>
      </c>
      <c r="AZ14" s="55">
        <f>SUMIF($CB$4:$JS$4,AZ$4,$CB14:$JS14)</f>
        <v/>
      </c>
      <c r="BA14" s="55">
        <f>SUMIF($CB$4:$JS$4,BA$4,$CB14:$JS14)</f>
        <v/>
      </c>
      <c r="BB14" s="55">
        <f>SUMIF($CB$4:$JS$4,BB$4,$CB14:$JS14)</f>
        <v/>
      </c>
      <c r="BC14" s="55">
        <f>SUMIF($CB$4:$JS$4,BC$4,$CB14:$JS14)</f>
        <v/>
      </c>
      <c r="BD14" s="55">
        <f>SUMIF($CB$4:$JS$4,BD$4,$CB14:$JS14)</f>
        <v/>
      </c>
      <c r="BE14" s="55">
        <f>SUMIF($CB$4:$JS$4,BE$4,$CB14:$JS14)</f>
        <v/>
      </c>
      <c r="BF14" s="55">
        <f>SUMIF($CB$4:$JS$4,BF$4,$CB14:$JS14)</f>
        <v/>
      </c>
      <c r="BG14" s="55">
        <f>SUMIF($CB$4:$JS$4,BG$4,$CB14:$JS14)</f>
        <v/>
      </c>
      <c r="BH14" s="55">
        <f>SUMIF($CB$4:$JS$4,BH$4,$CB14:$JS14)</f>
        <v/>
      </c>
      <c r="BI14" s="55">
        <f>SUMIF($CB$4:$JS$4,BI$4,$CB14:$JS14)</f>
        <v/>
      </c>
      <c r="BJ14" s="55">
        <f>SUMIF($CB$4:$JS$4,BJ$4,$CB14:$JS14)</f>
        <v/>
      </c>
      <c r="BK14" s="55">
        <f>SUMIF($CB$4:$JS$4,BK$4,$CB14:$JS14)</f>
        <v/>
      </c>
      <c r="BL14" s="55">
        <f>SUMIF($CB$4:$JS$4,BL$4,$CB14:$JS14)</f>
        <v/>
      </c>
      <c r="BM14" s="55">
        <f>SUMIF($CB$4:$JS$4,BM$4,$CB14:$JS14)</f>
        <v/>
      </c>
      <c r="BN14" s="55">
        <f>SUMIF($CB$4:$JS$4,BN$4,$CB14:$JS14)</f>
        <v/>
      </c>
      <c r="BO14" s="55">
        <f>SUMIF($CB$4:$JS$4,BO$4,$CB14:$JS14)</f>
        <v/>
      </c>
      <c r="BP14" s="55">
        <f>SUMIF($CB$4:$JS$4,BP$4,$CB14:$JS14)</f>
        <v/>
      </c>
      <c r="BQ14" s="55">
        <f>SUMIF($CB$4:$JS$4,BQ$4,$CB14:$JS14)</f>
        <v/>
      </c>
      <c r="BR14" s="55">
        <f>SUMIF($CB$4:$JS$4,BR$4,$CB14:$JS14)</f>
        <v/>
      </c>
      <c r="BS14" s="55">
        <f>SUMIF($CB$4:$JS$4,BS$4,$CB14:$JS14)</f>
        <v/>
      </c>
      <c r="BT14" s="55">
        <f>SUMIF($CB$4:$JS$4,BT$4,$CB14:$JS14)</f>
        <v/>
      </c>
      <c r="BU14" s="55">
        <f>SUMIF($CB$4:$JS$4,BU$4,$CB14:$JS14)</f>
        <v/>
      </c>
      <c r="BV14" s="55">
        <f>SUMIF($CB$4:$JS$4,BV$4,$CB14:$JS14)</f>
        <v/>
      </c>
      <c r="BW14" s="55">
        <f>SUMIF($CB$4:$JS$4,BW$4,$CB14:$JS14)</f>
        <v/>
      </c>
      <c r="BX14" s="55">
        <f>SUMIF($CB$4:$JS$4,"&gt;"&amp;'VALOR POR PL'!$P$8,$CB14:$JS14)</f>
        <v/>
      </c>
      <c r="BY14" s="55">
        <f>SUM($CB14:$JS14)</f>
        <v/>
      </c>
      <c r="CB14" s="123">
        <f>IF(OR(CB$4="",$B14=""),0,SUMIF('DADOS BRUTOS'!$A$3:$A$500,$B14,'DADOS BRUTOS'!B$3:B$500)+IF($C14="",0,SUMIF('DADOS BRUTOS'!$A$3:$A$500,$C14,'DADOS BRUTOS'!B$3:B$500)))</f>
        <v/>
      </c>
      <c r="CC14" s="123">
        <f>IF(OR(CC$4="",$B14=""),0,SUMIF('DADOS BRUTOS'!$A$3:$A$500,$B14,'DADOS BRUTOS'!C$3:C$500)+IF($C14="",0,SUMIF('DADOS BRUTOS'!$A$3:$A$500,$C14,'DADOS BRUTOS'!C$3:C$500)))</f>
        <v/>
      </c>
      <c r="CD14" s="123">
        <f>IF(OR(CD$4="",$B14=""),0,SUMIF('DADOS BRUTOS'!$A$3:$A$500,$B14,'DADOS BRUTOS'!D$3:D$500)+IF($C14="",0,SUMIF('DADOS BRUTOS'!$A$3:$A$500,$C14,'DADOS BRUTOS'!D$3:D$500)))</f>
        <v/>
      </c>
      <c r="CE14" s="123">
        <f>IF(OR(CE$4="",$B14=""),0,SUMIF('DADOS BRUTOS'!$A$3:$A$500,$B14,'DADOS BRUTOS'!E$3:E$500)+IF($C14="",0,SUMIF('DADOS BRUTOS'!$A$3:$A$500,$C14,'DADOS BRUTOS'!E$3:E$500)))</f>
        <v/>
      </c>
      <c r="CF14" s="123">
        <f>IF(OR(CF$4="",$B14=""),0,SUMIF('DADOS BRUTOS'!$A$3:$A$500,$B14,'DADOS BRUTOS'!F$3:F$500)+IF($C14="",0,SUMIF('DADOS BRUTOS'!$A$3:$A$500,$C14,'DADOS BRUTOS'!F$3:F$500)))</f>
        <v/>
      </c>
      <c r="CG14" s="123">
        <f>IF(OR(CG$4="",$B14=""),0,SUMIF('DADOS BRUTOS'!$A$3:$A$500,$B14,'DADOS BRUTOS'!G$3:G$500)+IF($C14="",0,SUMIF('DADOS BRUTOS'!$A$3:$A$500,$C14,'DADOS BRUTOS'!G$3:G$500)))</f>
        <v/>
      </c>
      <c r="CH14" s="123">
        <f>IF(OR(CH$4="",$B14=""),0,SUMIF('DADOS BRUTOS'!$A$3:$A$500,$B14,'DADOS BRUTOS'!H$3:H$500)+IF($C14="",0,SUMIF('DADOS BRUTOS'!$A$3:$A$500,$C14,'DADOS BRUTOS'!H$3:H$500)))</f>
        <v/>
      </c>
      <c r="CI14" s="123">
        <f>IF(OR(CI$4="",$B14=""),0,SUMIF('DADOS BRUTOS'!$A$3:$A$500,$B14,'DADOS BRUTOS'!I$3:I$500)+IF($C14="",0,SUMIF('DADOS BRUTOS'!$A$3:$A$500,$C14,'DADOS BRUTOS'!I$3:I$500)))</f>
        <v/>
      </c>
      <c r="CJ14" s="123">
        <f>IF(OR(CJ$4="",$B14=""),0,SUMIF('DADOS BRUTOS'!$A$3:$A$500,$B14,'DADOS BRUTOS'!J$3:J$500)+IF($C14="",0,SUMIF('DADOS BRUTOS'!$A$3:$A$500,$C14,'DADOS BRUTOS'!J$3:J$500)))</f>
        <v/>
      </c>
      <c r="CK14" s="123">
        <f>IF(OR(CK$4="",$B14=""),0,SUMIF('DADOS BRUTOS'!$A$3:$A$500,$B14,'DADOS BRUTOS'!K$3:K$500)+IF($C14="",0,SUMIF('DADOS BRUTOS'!$A$3:$A$500,$C14,'DADOS BRUTOS'!K$3:K$500)))</f>
        <v/>
      </c>
      <c r="CL14" s="123">
        <f>IF(OR(CL$4="",$B14=""),0,SUMIF('DADOS BRUTOS'!$A$3:$A$500,$B14,'DADOS BRUTOS'!L$3:L$500)+IF($C14="",0,SUMIF('DADOS BRUTOS'!$A$3:$A$500,$C14,'DADOS BRUTOS'!L$3:L$500)))</f>
        <v/>
      </c>
      <c r="CM14" s="123">
        <f>IF(OR(CM$4="",$B14=""),0,SUMIF('DADOS BRUTOS'!$A$3:$A$500,$B14,'DADOS BRUTOS'!M$3:M$500)+IF($C14="",0,SUMIF('DADOS BRUTOS'!$A$3:$A$500,$C14,'DADOS BRUTOS'!M$3:M$500)))</f>
        <v/>
      </c>
      <c r="CN14" s="123">
        <f>IF(OR(CN$4="",$B14=""),0,SUMIF('DADOS BRUTOS'!$A$3:$A$500,$B14,'DADOS BRUTOS'!N$3:N$500)+IF($C14="",0,SUMIF('DADOS BRUTOS'!$A$3:$A$500,$C14,'DADOS BRUTOS'!N$3:N$500)))</f>
        <v/>
      </c>
      <c r="CO14" s="123">
        <f>IF(OR(CO$4="",$B14=""),0,SUMIF('DADOS BRUTOS'!$A$3:$A$500,$B14,'DADOS BRUTOS'!O$3:O$500)+IF($C14="",0,SUMIF('DADOS BRUTOS'!$A$3:$A$500,$C14,'DADOS BRUTOS'!O$3:O$500)))</f>
        <v/>
      </c>
      <c r="CP14" s="123">
        <f>IF(OR(CP$4="",$B14=""),0,SUMIF('DADOS BRUTOS'!$A$3:$A$500,$B14,'DADOS BRUTOS'!P$3:P$500)+IF($C14="",0,SUMIF('DADOS BRUTOS'!$A$3:$A$500,$C14,'DADOS BRUTOS'!P$3:P$500)))</f>
        <v/>
      </c>
      <c r="CQ14" s="123">
        <f>IF(OR(CQ$4="",$B14=""),0,SUMIF('DADOS BRUTOS'!$A$3:$A$500,$B14,'DADOS BRUTOS'!Q$3:Q$500)+IF($C14="",0,SUMIF('DADOS BRUTOS'!$A$3:$A$500,$C14,'DADOS BRUTOS'!Q$3:Q$500)))</f>
        <v/>
      </c>
      <c r="CR14" s="123">
        <f>IF(OR(CR$4="",$B14=""),0,SUMIF('DADOS BRUTOS'!$A$3:$A$500,$B14,'DADOS BRUTOS'!R$3:R$500)+IF($C14="",0,SUMIF('DADOS BRUTOS'!$A$3:$A$500,$C14,'DADOS BRUTOS'!R$3:R$500)))</f>
        <v/>
      </c>
      <c r="CS14" s="123">
        <f>IF(OR(CS$4="",$B14=""),0,SUMIF('DADOS BRUTOS'!$A$3:$A$500,$B14,'DADOS BRUTOS'!S$3:S$500)+IF($C14="",0,SUMIF('DADOS BRUTOS'!$A$3:$A$500,$C14,'DADOS BRUTOS'!S$3:S$500)))</f>
        <v/>
      </c>
      <c r="CT14" s="123">
        <f>IF(OR(CT$4="",$B14=""),0,SUMIF('DADOS BRUTOS'!$A$3:$A$500,$B14,'DADOS BRUTOS'!T$3:T$500)+IF($C14="",0,SUMIF('DADOS BRUTOS'!$A$3:$A$500,$C14,'DADOS BRUTOS'!T$3:T$500)))</f>
        <v/>
      </c>
      <c r="CU14" s="123">
        <f>IF(OR(CU$4="",$B14=""),0,SUMIF('DADOS BRUTOS'!$A$3:$A$500,$B14,'DADOS BRUTOS'!U$3:U$500)+IF($C14="",0,SUMIF('DADOS BRUTOS'!$A$3:$A$500,$C14,'DADOS BRUTOS'!U$3:U$500)))</f>
        <v/>
      </c>
      <c r="CV14" s="123">
        <f>IF(OR(CV$4="",$B14=""),0,SUMIF('DADOS BRUTOS'!$A$3:$A$500,$B14,'DADOS BRUTOS'!V$3:V$500)+IF($C14="",0,SUMIF('DADOS BRUTOS'!$A$3:$A$500,$C14,'DADOS BRUTOS'!V$3:V$500)))</f>
        <v/>
      </c>
      <c r="CW14" s="123">
        <f>IF(OR(CW$4="",$B14=""),0,SUMIF('DADOS BRUTOS'!$A$3:$A$500,$B14,'DADOS BRUTOS'!W$3:W$500)+IF($C14="",0,SUMIF('DADOS BRUTOS'!$A$3:$A$500,$C14,'DADOS BRUTOS'!W$3:W$500)))</f>
        <v/>
      </c>
      <c r="CX14" s="123">
        <f>IF(OR(CX$4="",$B14=""),0,SUMIF('DADOS BRUTOS'!$A$3:$A$500,$B14,'DADOS BRUTOS'!X$3:X$500)+IF($C14="",0,SUMIF('DADOS BRUTOS'!$A$3:$A$500,$C14,'DADOS BRUTOS'!X$3:X$500)))</f>
        <v/>
      </c>
      <c r="CY14" s="123">
        <f>IF(OR(CY$4="",$B14=""),0,SUMIF('DADOS BRUTOS'!$A$3:$A$500,$B14,'DADOS BRUTOS'!Y$3:Y$500)+IF($C14="",0,SUMIF('DADOS BRUTOS'!$A$3:$A$500,$C14,'DADOS BRUTOS'!Y$3:Y$500)))</f>
        <v/>
      </c>
      <c r="CZ14" s="123">
        <f>IF(OR(CZ$4="",$B14=""),0,SUMIF('DADOS BRUTOS'!$A$3:$A$500,$B14,'DADOS BRUTOS'!Z$3:Z$500)+IF($C14="",0,SUMIF('DADOS BRUTOS'!$A$3:$A$500,$C14,'DADOS BRUTOS'!Z$3:Z$500)))</f>
        <v/>
      </c>
      <c r="DA14" s="123">
        <f>IF(OR(DA$4="",$B14=""),0,SUMIF('DADOS BRUTOS'!$A$3:$A$500,$B14,'DADOS BRUTOS'!AA$3:AA$500)+IF($C14="",0,SUMIF('DADOS BRUTOS'!$A$3:$A$500,$C14,'DADOS BRUTOS'!AA$3:AA$500)))</f>
        <v/>
      </c>
      <c r="DB14" s="123">
        <f>IF(OR(DB$4="",$B14=""),0,SUMIF('DADOS BRUTOS'!$A$3:$A$500,$B14,'DADOS BRUTOS'!AB$3:AB$500)+IF($C14="",0,SUMIF('DADOS BRUTOS'!$A$3:$A$500,$C14,'DADOS BRUTOS'!AB$3:AB$500)))</f>
        <v/>
      </c>
      <c r="DC14" s="123">
        <f>IF(OR(DC$4="",$B14=""),0,SUMIF('DADOS BRUTOS'!$A$3:$A$500,$B14,'DADOS BRUTOS'!AC$3:AC$500)+IF($C14="",0,SUMIF('DADOS BRUTOS'!$A$3:$A$500,$C14,'DADOS BRUTOS'!AC$3:AC$500)))</f>
        <v/>
      </c>
      <c r="DD14" s="123">
        <f>IF(OR(DD$4="",$B14=""),0,SUMIF('DADOS BRUTOS'!$A$3:$A$500,$B14,'DADOS BRUTOS'!AD$3:AD$500)+IF($C14="",0,SUMIF('DADOS BRUTOS'!$A$3:$A$500,$C14,'DADOS BRUTOS'!AD$3:AD$500)))</f>
        <v/>
      </c>
      <c r="DE14" s="123">
        <f>IF(OR(DE$4="",$B14=""),0,SUMIF('DADOS BRUTOS'!$A$3:$A$500,$B14,'DADOS BRUTOS'!AE$3:AE$500)+IF($C14="",0,SUMIF('DADOS BRUTOS'!$A$3:$A$500,$C14,'DADOS BRUTOS'!AE$3:AE$500)))</f>
        <v/>
      </c>
      <c r="DF14" s="123">
        <f>IF(OR(DF$4="",$B14=""),0,SUMIF('DADOS BRUTOS'!$A$3:$A$500,$B14,'DADOS BRUTOS'!AF$3:AF$500)+IF($C14="",0,SUMIF('DADOS BRUTOS'!$A$3:$A$500,$C14,'DADOS BRUTOS'!AF$3:AF$500)))</f>
        <v/>
      </c>
      <c r="DG14" s="123">
        <f>IF(OR(DG$4="",$B14=""),0,SUMIF('DADOS BRUTOS'!$A$3:$A$500,$B14,'DADOS BRUTOS'!AG$3:AG$500)+IF($C14="",0,SUMIF('DADOS BRUTOS'!$A$3:$A$500,$C14,'DADOS BRUTOS'!AG$3:AG$500)))</f>
        <v/>
      </c>
      <c r="DH14" s="123">
        <f>IF(OR(DH$4="",$B14=""),0,SUMIF('DADOS BRUTOS'!$A$3:$A$500,$B14,'DADOS BRUTOS'!AH$3:AH$500)+IF($C14="",0,SUMIF('DADOS BRUTOS'!$A$3:$A$500,$C14,'DADOS BRUTOS'!AH$3:AH$500)))</f>
        <v/>
      </c>
      <c r="DI14" s="123">
        <f>IF(OR(DI$4="",$B14=""),0,SUMIF('DADOS BRUTOS'!$A$3:$A$500,$B14,'DADOS BRUTOS'!AI$3:AI$500)+IF($C14="",0,SUMIF('DADOS BRUTOS'!$A$3:$A$500,$C14,'DADOS BRUTOS'!AI$3:AI$500)))</f>
        <v/>
      </c>
      <c r="DJ14" s="123">
        <f>IF(OR(DJ$4="",$B14=""),0,SUMIF('DADOS BRUTOS'!$A$3:$A$500,$B14,'DADOS BRUTOS'!AJ$3:AJ$500)+IF($C14="",0,SUMIF('DADOS BRUTOS'!$A$3:$A$500,$C14,'DADOS BRUTOS'!AJ$3:AJ$500)))</f>
        <v/>
      </c>
      <c r="DK14" s="123">
        <f>IF(OR(DK$4="",$B14=""),0,SUMIF('DADOS BRUTOS'!$A$3:$A$500,$B14,'DADOS BRUTOS'!AK$3:AK$500)+IF($C14="",0,SUMIF('DADOS BRUTOS'!$A$3:$A$500,$C14,'DADOS BRUTOS'!AK$3:AK$500)))</f>
        <v/>
      </c>
      <c r="DL14" s="123">
        <f>IF(OR(DL$4="",$B14=""),0,SUMIF('DADOS BRUTOS'!$A$3:$A$500,$B14,'DADOS BRUTOS'!AL$3:AL$500)+IF($C14="",0,SUMIF('DADOS BRUTOS'!$A$3:$A$500,$C14,'DADOS BRUTOS'!AL$3:AL$500)))</f>
        <v/>
      </c>
      <c r="DM14" s="123">
        <f>IF(OR(DM$4="",$B14=""),0,SUMIF('DADOS BRUTOS'!$A$3:$A$500,$B14,'DADOS BRUTOS'!AM$3:AM$500)+IF($C14="",0,SUMIF('DADOS BRUTOS'!$A$3:$A$500,$C14,'DADOS BRUTOS'!AM$3:AM$500)))</f>
        <v/>
      </c>
      <c r="DN14" s="123">
        <f>IF(OR(DN$4="",$B14=""),0,SUMIF('DADOS BRUTOS'!$A$3:$A$500,$B14,'DADOS BRUTOS'!AN$3:AN$500)+IF($C14="",0,SUMIF('DADOS BRUTOS'!$A$3:$A$500,$C14,'DADOS BRUTOS'!AN$3:AN$500)))</f>
        <v/>
      </c>
      <c r="DO14" s="123">
        <f>IF(OR(DO$4="",$B14=""),0,SUMIF('DADOS BRUTOS'!$A$3:$A$500,$B14,'DADOS BRUTOS'!AO$3:AO$500)+IF($C14="",0,SUMIF('DADOS BRUTOS'!$A$3:$A$500,$C14,'DADOS BRUTOS'!AO$3:AO$500)))</f>
        <v/>
      </c>
      <c r="DP14" s="123">
        <f>IF(OR(DP$4="",$B14=""),0,SUMIF('DADOS BRUTOS'!$A$3:$A$500,$B14,'DADOS BRUTOS'!AP$3:AP$500)+IF($C14="",0,SUMIF('DADOS BRUTOS'!$A$3:$A$500,$C14,'DADOS BRUTOS'!AP$3:AP$500)))</f>
        <v/>
      </c>
      <c r="DQ14" s="123">
        <f>IF(OR(DQ$4="",$B14=""),0,SUMIF('DADOS BRUTOS'!$A$3:$A$500,$B14,'DADOS BRUTOS'!AQ$3:AQ$500)+IF($C14="",0,SUMIF('DADOS BRUTOS'!$A$3:$A$500,$C14,'DADOS BRUTOS'!AQ$3:AQ$500)))</f>
        <v/>
      </c>
      <c r="DR14" s="123">
        <f>IF(OR(DR$4="",$B14=""),0,SUMIF('DADOS BRUTOS'!$A$3:$A$500,$B14,'DADOS BRUTOS'!AR$3:AR$500)+IF($C14="",0,SUMIF('DADOS BRUTOS'!$A$3:$A$500,$C14,'DADOS BRUTOS'!AR$3:AR$500)))</f>
        <v/>
      </c>
      <c r="DS14" s="123">
        <f>IF(OR(DS$4="",$B14=""),0,SUMIF('DADOS BRUTOS'!$A$3:$A$500,$B14,'DADOS BRUTOS'!AS$3:AS$500)+IF($C14="",0,SUMIF('DADOS BRUTOS'!$A$3:$A$500,$C14,'DADOS BRUTOS'!AS$3:AS$500)))</f>
        <v/>
      </c>
      <c r="DT14" s="123">
        <f>IF(OR(DT$4="",$B14=""),0,SUMIF('DADOS BRUTOS'!$A$3:$A$500,$B14,'DADOS BRUTOS'!AT$3:AT$500)+IF($C14="",0,SUMIF('DADOS BRUTOS'!$A$3:$A$500,$C14,'DADOS BRUTOS'!AT$3:AT$500)))</f>
        <v/>
      </c>
      <c r="DU14" s="123">
        <f>IF(OR(DU$4="",$B14=""),0,SUMIF('DADOS BRUTOS'!$A$3:$A$500,$B14,'DADOS BRUTOS'!AU$3:AU$500)+IF($C14="",0,SUMIF('DADOS BRUTOS'!$A$3:$A$500,$C14,'DADOS BRUTOS'!AU$3:AU$500)))</f>
        <v/>
      </c>
      <c r="DV14" s="123">
        <f>IF(OR(DV$4="",$B14=""),0,SUMIF('DADOS BRUTOS'!$A$3:$A$500,$B14,'DADOS BRUTOS'!AV$3:AV$500)+IF($C14="",0,SUMIF('DADOS BRUTOS'!$A$3:$A$500,$C14,'DADOS BRUTOS'!AV$3:AV$500)))</f>
        <v/>
      </c>
      <c r="DW14" s="123">
        <f>IF(OR(DW$4="",$B14=""),0,SUMIF('DADOS BRUTOS'!$A$3:$A$500,$B14,'DADOS BRUTOS'!AW$3:AW$500)+IF($C14="",0,SUMIF('DADOS BRUTOS'!$A$3:$A$500,$C14,'DADOS BRUTOS'!AW$3:AW$500)))</f>
        <v/>
      </c>
      <c r="DX14" s="123">
        <f>IF(OR(DX$4="",$B14=""),0,SUMIF('DADOS BRUTOS'!$A$3:$A$500,$B14,'DADOS BRUTOS'!AX$3:AX$500)+IF($C14="",0,SUMIF('DADOS BRUTOS'!$A$3:$A$500,$C14,'DADOS BRUTOS'!AX$3:AX$500)))</f>
        <v/>
      </c>
      <c r="DY14" s="123">
        <f>IF(OR(DY$4="",$B14=""),0,SUMIF('DADOS BRUTOS'!$A$3:$A$500,$B14,'DADOS BRUTOS'!AY$3:AY$500)+IF($C14="",0,SUMIF('DADOS BRUTOS'!$A$3:$A$500,$C14,'DADOS BRUTOS'!AY$3:AY$500)))</f>
        <v/>
      </c>
      <c r="DZ14" s="123">
        <f>IF(OR(DZ$4="",$B14=""),0,SUMIF('DADOS BRUTOS'!$A$3:$A$500,$B14,'DADOS BRUTOS'!AZ$3:AZ$500)+IF($C14="",0,SUMIF('DADOS BRUTOS'!$A$3:$A$500,$C14,'DADOS BRUTOS'!AZ$3:AZ$500)))</f>
        <v/>
      </c>
      <c r="EA14" s="123">
        <f>IF(OR(EA$4="",$B14=""),0,SUMIF('DADOS BRUTOS'!$A$3:$A$500,$B14,'DADOS BRUTOS'!BA$3:BA$500)+IF($C14="",0,SUMIF('DADOS BRUTOS'!$A$3:$A$500,$C14,'DADOS BRUTOS'!BA$3:BA$500)))</f>
        <v/>
      </c>
      <c r="EB14" s="123">
        <f>IF(OR(EB$4="",$B14=""),0,SUMIF('DADOS BRUTOS'!$A$3:$A$500,$B14,'DADOS BRUTOS'!BB$3:BB$500)+IF($C14="",0,SUMIF('DADOS BRUTOS'!$A$3:$A$500,$C14,'DADOS BRUTOS'!BB$3:BB$500)))</f>
        <v/>
      </c>
      <c r="EC14" s="123">
        <f>IF(OR(EC$4="",$B14=""),0,SUMIF('DADOS BRUTOS'!$A$3:$A$500,$B14,'DADOS BRUTOS'!BC$3:BC$500)+IF($C14="",0,SUMIF('DADOS BRUTOS'!$A$3:$A$500,$C14,'DADOS BRUTOS'!BC$3:BC$500)))</f>
        <v/>
      </c>
      <c r="ED14" s="123">
        <f>IF(OR(ED$4="",$B14=""),0,SUMIF('DADOS BRUTOS'!$A$3:$A$500,$B14,'DADOS BRUTOS'!BD$3:BD$500)+IF($C14="",0,SUMIF('DADOS BRUTOS'!$A$3:$A$500,$C14,'DADOS BRUTOS'!BD$3:BD$500)))</f>
        <v/>
      </c>
      <c r="EE14" s="123">
        <f>IF(OR(EE$4="",$B14=""),0,SUMIF('DADOS BRUTOS'!$A$3:$A$500,$B14,'DADOS BRUTOS'!BE$3:BE$500)+IF($C14="",0,SUMIF('DADOS BRUTOS'!$A$3:$A$500,$C14,'DADOS BRUTOS'!BE$3:BE$500)))</f>
        <v/>
      </c>
      <c r="EF14" s="123">
        <f>IF(OR(EF$4="",$B14=""),0,SUMIF('DADOS BRUTOS'!$A$3:$A$500,$B14,'DADOS BRUTOS'!BF$3:BF$500)+IF($C14="",0,SUMIF('DADOS BRUTOS'!$A$3:$A$500,$C14,'DADOS BRUTOS'!BF$3:BF$500)))</f>
        <v/>
      </c>
      <c r="EG14" s="123">
        <f>IF(OR(EG$4="",$B14=""),0,SUMIF('DADOS BRUTOS'!$A$3:$A$500,$B14,'DADOS BRUTOS'!BG$3:BG$500)+IF($C14="",0,SUMIF('DADOS BRUTOS'!$A$3:$A$500,$C14,'DADOS BRUTOS'!BG$3:BG$500)))</f>
        <v/>
      </c>
      <c r="EH14" s="123">
        <f>IF(OR(EH$4="",$B14=""),0,SUMIF('DADOS BRUTOS'!$A$3:$A$500,$B14,'DADOS BRUTOS'!BH$3:BH$500)+IF($C14="",0,SUMIF('DADOS BRUTOS'!$A$3:$A$500,$C14,'DADOS BRUTOS'!BH$3:BH$500)))</f>
        <v/>
      </c>
      <c r="EI14" s="123">
        <f>IF(OR(EI$4="",$B14=""),0,SUMIF('DADOS BRUTOS'!$A$3:$A$500,$B14,'DADOS BRUTOS'!BI$3:BI$500)+IF($C14="",0,SUMIF('DADOS BRUTOS'!$A$3:$A$500,$C14,'DADOS BRUTOS'!BI$3:BI$500)))</f>
        <v/>
      </c>
      <c r="EJ14" s="123">
        <f>IF(OR(EJ$4="",$B14=""),0,SUMIF('DADOS BRUTOS'!$A$3:$A$500,$B14,'DADOS BRUTOS'!BJ$3:BJ$500)+IF($C14="",0,SUMIF('DADOS BRUTOS'!$A$3:$A$500,$C14,'DADOS BRUTOS'!BJ$3:BJ$500)))</f>
        <v/>
      </c>
      <c r="EK14" s="123">
        <f>IF(OR(EK$4="",$B14=""),0,SUMIF('DADOS BRUTOS'!$A$3:$A$500,$B14,'DADOS BRUTOS'!BK$3:BK$500)+IF($C14="",0,SUMIF('DADOS BRUTOS'!$A$3:$A$500,$C14,'DADOS BRUTOS'!BK$3:BK$500)))</f>
        <v/>
      </c>
      <c r="EL14" s="123">
        <f>IF(OR(EL$4="",$B14=""),0,SUMIF('DADOS BRUTOS'!$A$3:$A$500,$B14,'DADOS BRUTOS'!BL$3:BL$500)+IF($C14="",0,SUMIF('DADOS BRUTOS'!$A$3:$A$500,$C14,'DADOS BRUTOS'!BL$3:BL$500)))</f>
        <v/>
      </c>
      <c r="EM14" s="123">
        <f>IF(OR(EM$4="",$B14=""),0,SUMIF('DADOS BRUTOS'!$A$3:$A$500,$B14,'DADOS BRUTOS'!BM$3:BM$500)+IF($C14="",0,SUMIF('DADOS BRUTOS'!$A$3:$A$500,$C14,'DADOS BRUTOS'!BM$3:BM$500)))</f>
        <v/>
      </c>
      <c r="EN14" s="123">
        <f>IF(OR(EN$4="",$B14=""),0,SUMIF('DADOS BRUTOS'!$A$3:$A$500,$B14,'DADOS BRUTOS'!BN$3:BN$500)+IF($C14="",0,SUMIF('DADOS BRUTOS'!$A$3:$A$500,$C14,'DADOS BRUTOS'!BN$3:BN$500)))</f>
        <v/>
      </c>
      <c r="EO14" s="123">
        <f>IF(OR(EO$4="",$B14=""),0,SUMIF('DADOS BRUTOS'!$A$3:$A$500,$B14,'DADOS BRUTOS'!BO$3:BO$500)+IF($C14="",0,SUMIF('DADOS BRUTOS'!$A$3:$A$500,$C14,'DADOS BRUTOS'!BO$3:BO$500)))</f>
        <v/>
      </c>
      <c r="EP14" s="123">
        <f>IF(OR(EP$4="",$B14=""),0,SUMIF('DADOS BRUTOS'!$A$3:$A$500,$B14,'DADOS BRUTOS'!BP$3:BP$500)+IF($C14="",0,SUMIF('DADOS BRUTOS'!$A$3:$A$500,$C14,'DADOS BRUTOS'!BP$3:BP$500)))</f>
        <v/>
      </c>
      <c r="EQ14" s="123">
        <f>IF(OR(EQ$4="",$B14=""),0,SUMIF('DADOS BRUTOS'!$A$3:$A$500,$B14,'DADOS BRUTOS'!BQ$3:BQ$500)+IF($C14="",0,SUMIF('DADOS BRUTOS'!$A$3:$A$500,$C14,'DADOS BRUTOS'!BQ$3:BQ$500)))</f>
        <v/>
      </c>
      <c r="ER14" s="123">
        <f>IF(OR(ER$4="",$B14=""),0,SUMIF('DADOS BRUTOS'!$A$3:$A$500,$B14,'DADOS BRUTOS'!BR$3:BR$500)+IF($C14="",0,SUMIF('DADOS BRUTOS'!$A$3:$A$500,$C14,'DADOS BRUTOS'!BR$3:BR$500)))</f>
        <v/>
      </c>
      <c r="ES14" s="123">
        <f>IF(OR(ES$4="",$B14=""),0,SUMIF('DADOS BRUTOS'!$A$3:$A$500,$B14,'DADOS BRUTOS'!BS$3:BS$500)+IF($C14="",0,SUMIF('DADOS BRUTOS'!$A$3:$A$500,$C14,'DADOS BRUTOS'!BS$3:BS$500)))</f>
        <v/>
      </c>
      <c r="ET14" s="123">
        <f>IF(OR(ET$4="",$B14=""),0,SUMIF('DADOS BRUTOS'!$A$3:$A$500,$B14,'DADOS BRUTOS'!BT$3:BT$500)+IF($C14="",0,SUMIF('DADOS BRUTOS'!$A$3:$A$500,$C14,'DADOS BRUTOS'!BT$3:BT$500)))</f>
        <v/>
      </c>
      <c r="EU14" s="123">
        <f>IF(OR(EU$4="",$B14=""),0,SUMIF('DADOS BRUTOS'!$A$3:$A$500,$B14,'DADOS BRUTOS'!BU$3:BU$500)+IF($C14="",0,SUMIF('DADOS BRUTOS'!$A$3:$A$500,$C14,'DADOS BRUTOS'!BU$3:BU$500)))</f>
        <v/>
      </c>
      <c r="EV14" s="123">
        <f>IF(OR(EV$4="",$B14=""),0,SUMIF('DADOS BRUTOS'!$A$3:$A$500,$B14,'DADOS BRUTOS'!BV$3:BV$500)+IF($C14="",0,SUMIF('DADOS BRUTOS'!$A$3:$A$500,$C14,'DADOS BRUTOS'!BV$3:BV$500)))</f>
        <v/>
      </c>
      <c r="EW14" s="123">
        <f>IF(OR(EW$4="",$B14=""),0,SUMIF('DADOS BRUTOS'!$A$3:$A$500,$B14,'DADOS BRUTOS'!BW$3:BW$500)+IF($C14="",0,SUMIF('DADOS BRUTOS'!$A$3:$A$500,$C14,'DADOS BRUTOS'!BW$3:BW$500)))</f>
        <v/>
      </c>
      <c r="EX14" s="123">
        <f>IF(OR(EX$4="",$B14=""),0,SUMIF('DADOS BRUTOS'!$A$3:$A$500,$B14,'DADOS BRUTOS'!BX$3:BX$500)+IF($C14="",0,SUMIF('DADOS BRUTOS'!$A$3:$A$500,$C14,'DADOS BRUTOS'!BX$3:BX$500)))</f>
        <v/>
      </c>
      <c r="EY14" s="123">
        <f>IF(OR(EY$4="",$B14=""),0,SUMIF('DADOS BRUTOS'!$A$3:$A$500,$B14,'DADOS BRUTOS'!BY$3:BY$500)+IF($C14="",0,SUMIF('DADOS BRUTOS'!$A$3:$A$500,$C14,'DADOS BRUTOS'!BY$3:BY$500)))</f>
        <v/>
      </c>
      <c r="EZ14" s="123">
        <f>IF(OR(EZ$4="",$B14=""),0,SUMIF('DADOS BRUTOS'!$A$3:$A$500,$B14,'DADOS BRUTOS'!BZ$3:BZ$500)+IF($C14="",0,SUMIF('DADOS BRUTOS'!$A$3:$A$500,$C14,'DADOS BRUTOS'!BZ$3:BZ$500)))</f>
        <v/>
      </c>
      <c r="FA14" s="123">
        <f>IF(OR(FA$4="",$B14=""),0,SUMIF('DADOS BRUTOS'!$A$3:$A$500,$B14,'DADOS BRUTOS'!CA$3:CA$500)+IF($C14="",0,SUMIF('DADOS BRUTOS'!$A$3:$A$500,$C14,'DADOS BRUTOS'!CA$3:CA$500)))</f>
        <v/>
      </c>
      <c r="FB14" s="123">
        <f>IF(OR(FB$4="",$B14=""),0,SUMIF('DADOS BRUTOS'!$A$3:$A$500,$B14,'DADOS BRUTOS'!CB$3:CB$500)+IF($C14="",0,SUMIF('DADOS BRUTOS'!$A$3:$A$500,$C14,'DADOS BRUTOS'!CB$3:CB$500)))</f>
        <v/>
      </c>
      <c r="FC14" s="123">
        <f>IF(OR(FC$4="",$B14=""),0,SUMIF('DADOS BRUTOS'!$A$3:$A$500,$B14,'DADOS BRUTOS'!CC$3:CC$500)+IF($C14="",0,SUMIF('DADOS BRUTOS'!$A$3:$A$500,$C14,'DADOS BRUTOS'!CC$3:CC$500)))</f>
        <v/>
      </c>
      <c r="FD14" s="123">
        <f>IF(OR(FD$4="",$B14=""),0,SUMIF('DADOS BRUTOS'!$A$3:$A$500,$B14,'DADOS BRUTOS'!CD$3:CD$500)+IF($C14="",0,SUMIF('DADOS BRUTOS'!$A$3:$A$500,$C14,'DADOS BRUTOS'!CD$3:CD$500)))</f>
        <v/>
      </c>
      <c r="FE14" s="123">
        <f>IF(OR(FE$4="",$B14=""),0,SUMIF('DADOS BRUTOS'!$A$3:$A$500,$B14,'DADOS BRUTOS'!CE$3:CE$500)+IF($C14="",0,SUMIF('DADOS BRUTOS'!$A$3:$A$500,$C14,'DADOS BRUTOS'!CE$3:CE$500)))</f>
        <v/>
      </c>
      <c r="FF14" s="123">
        <f>IF(OR(FF$4="",$B14=""),0,SUMIF('DADOS BRUTOS'!$A$3:$A$500,$B14,'DADOS BRUTOS'!CF$3:CF$500)+IF($C14="",0,SUMIF('DADOS BRUTOS'!$A$3:$A$500,$C14,'DADOS BRUTOS'!CF$3:CF$500)))</f>
        <v/>
      </c>
      <c r="FG14" s="123">
        <f>IF(OR(FG$4="",$B14=""),0,SUMIF('DADOS BRUTOS'!$A$3:$A$500,$B14,'DADOS BRUTOS'!CG$3:CG$500)+IF($C14="",0,SUMIF('DADOS BRUTOS'!$A$3:$A$500,$C14,'DADOS BRUTOS'!CG$3:CG$500)))</f>
        <v/>
      </c>
      <c r="FH14" s="123">
        <f>IF(OR(FH$4="",$B14=""),0,SUMIF('DADOS BRUTOS'!$A$3:$A$500,$B14,'DADOS BRUTOS'!CH$3:CH$500)+IF($C14="",0,SUMIF('DADOS BRUTOS'!$A$3:$A$500,$C14,'DADOS BRUTOS'!CH$3:CH$500)))</f>
        <v/>
      </c>
      <c r="FI14" s="123">
        <f>IF(OR(FI$4="",$B14=""),0,SUMIF('DADOS BRUTOS'!$A$3:$A$500,$B14,'DADOS BRUTOS'!CI$3:CI$500)+IF($C14="",0,SUMIF('DADOS BRUTOS'!$A$3:$A$500,$C14,'DADOS BRUTOS'!CI$3:CI$500)))</f>
        <v/>
      </c>
      <c r="FJ14" s="123">
        <f>IF(OR(FJ$4="",$B14=""),0,SUMIF('DADOS BRUTOS'!$A$3:$A$500,$B14,'DADOS BRUTOS'!CJ$3:CJ$500)+IF($C14="",0,SUMIF('DADOS BRUTOS'!$A$3:$A$500,$C14,'DADOS BRUTOS'!CJ$3:CJ$500)))</f>
        <v/>
      </c>
      <c r="FK14" s="123">
        <f>IF(OR(FK$4="",$B14=""),0,SUMIF('DADOS BRUTOS'!$A$3:$A$500,$B14,'DADOS BRUTOS'!CK$3:CK$500)+IF($C14="",0,SUMIF('DADOS BRUTOS'!$A$3:$A$500,$C14,'DADOS BRUTOS'!CK$3:CK$500)))</f>
        <v/>
      </c>
      <c r="FL14" s="123">
        <f>IF(OR(FL$4="",$B14=""),0,SUMIF('DADOS BRUTOS'!$A$3:$A$500,$B14,'DADOS BRUTOS'!CL$3:CL$500)+IF($C14="",0,SUMIF('DADOS BRUTOS'!$A$3:$A$500,$C14,'DADOS BRUTOS'!CL$3:CL$500)))</f>
        <v/>
      </c>
      <c r="FM14" s="123">
        <f>IF(OR(FM$4="",$B14=""),0,SUMIF('DADOS BRUTOS'!$A$3:$A$500,$B14,'DADOS BRUTOS'!CM$3:CM$500)+IF($C14="",0,SUMIF('DADOS BRUTOS'!$A$3:$A$500,$C14,'DADOS BRUTOS'!CM$3:CM$500)))</f>
        <v/>
      </c>
      <c r="FN14" s="123">
        <f>IF(OR(FN$4="",$B14=""),0,SUMIF('DADOS BRUTOS'!$A$3:$A$500,$B14,'DADOS BRUTOS'!CN$3:CN$500)+IF($C14="",0,SUMIF('DADOS BRUTOS'!$A$3:$A$500,$C14,'DADOS BRUTOS'!CN$3:CN$500)))</f>
        <v/>
      </c>
      <c r="FO14" s="123">
        <f>IF(OR(FO$4="",$B14=""),0,SUMIF('DADOS BRUTOS'!$A$3:$A$500,$B14,'DADOS BRUTOS'!CO$3:CO$500)+IF($C14="",0,SUMIF('DADOS BRUTOS'!$A$3:$A$500,$C14,'DADOS BRUTOS'!CO$3:CO$500)))</f>
        <v/>
      </c>
      <c r="FP14" s="123">
        <f>IF(OR(FP$4="",$B14=""),0,SUMIF('DADOS BRUTOS'!$A$3:$A$500,$B14,'DADOS BRUTOS'!CP$3:CP$500)+IF($C14="",0,SUMIF('DADOS BRUTOS'!$A$3:$A$500,$C14,'DADOS BRUTOS'!CP$3:CP$500)))</f>
        <v/>
      </c>
      <c r="FQ14" s="123">
        <f>IF(OR(FQ$4="",$B14=""),0,SUMIF('DADOS BRUTOS'!$A$3:$A$500,$B14,'DADOS BRUTOS'!CQ$3:CQ$500)+IF($C14="",0,SUMIF('DADOS BRUTOS'!$A$3:$A$500,$C14,'DADOS BRUTOS'!CQ$3:CQ$500)))</f>
        <v/>
      </c>
      <c r="FR14" s="123">
        <f>IF(OR(FR$4="",$B14=""),0,SUMIF('DADOS BRUTOS'!$A$3:$A$500,$B14,'DADOS BRUTOS'!CR$3:CR$500)+IF($C14="",0,SUMIF('DADOS BRUTOS'!$A$3:$A$500,$C14,'DADOS BRUTOS'!CR$3:CR$500)))</f>
        <v/>
      </c>
      <c r="FS14" s="123">
        <f>IF(OR(FS$4="",$B14=""),0,SUMIF('DADOS BRUTOS'!$A$3:$A$500,$B14,'DADOS BRUTOS'!CS$3:CS$500)+IF($C14="",0,SUMIF('DADOS BRUTOS'!$A$3:$A$500,$C14,'DADOS BRUTOS'!CS$3:CS$500)))</f>
        <v/>
      </c>
      <c r="FT14" s="123">
        <f>IF(OR(FT$4="",$B14=""),0,SUMIF('DADOS BRUTOS'!$A$3:$A$500,$B14,'DADOS BRUTOS'!CT$3:CT$500)+IF($C14="",0,SUMIF('DADOS BRUTOS'!$A$3:$A$500,$C14,'DADOS BRUTOS'!CT$3:CT$500)))</f>
        <v/>
      </c>
      <c r="FU14" s="123">
        <f>IF(OR(FU$4="",$B14=""),0,SUMIF('DADOS BRUTOS'!$A$3:$A$500,$B14,'DADOS BRUTOS'!CU$3:CU$500)+IF($C14="",0,SUMIF('DADOS BRUTOS'!$A$3:$A$500,$C14,'DADOS BRUTOS'!CU$3:CU$500)))</f>
        <v/>
      </c>
      <c r="FV14" s="123">
        <f>IF(OR(FV$4="",$B14=""),0,SUMIF('DADOS BRUTOS'!$A$3:$A$500,$B14,'DADOS BRUTOS'!CV$3:CV$500)+IF($C14="",0,SUMIF('DADOS BRUTOS'!$A$3:$A$500,$C14,'DADOS BRUTOS'!CV$3:CV$500)))</f>
        <v/>
      </c>
      <c r="FW14" s="123">
        <f>IF(OR(FW$4="",$B14=""),0,SUMIF('DADOS BRUTOS'!$A$3:$A$500,$B14,'DADOS BRUTOS'!CW$3:CW$500)+IF($C14="",0,SUMIF('DADOS BRUTOS'!$A$3:$A$500,$C14,'DADOS BRUTOS'!CW$3:CW$500)))</f>
        <v/>
      </c>
      <c r="FX14" s="123">
        <f>IF(OR(FX$4="",$B14=""),0,SUMIF('DADOS BRUTOS'!$A$3:$A$500,$B14,'DADOS BRUTOS'!CX$3:CX$500)+IF($C14="",0,SUMIF('DADOS BRUTOS'!$A$3:$A$500,$C14,'DADOS BRUTOS'!CX$3:CX$500)))</f>
        <v/>
      </c>
      <c r="FY14" s="123">
        <f>IF(OR(FY$4="",$B14=""),0,SUMIF('DADOS BRUTOS'!$A$3:$A$500,$B14,'DADOS BRUTOS'!CY$3:CY$500)+IF($C14="",0,SUMIF('DADOS BRUTOS'!$A$3:$A$500,$C14,'DADOS BRUTOS'!CY$3:CY$500)))</f>
        <v/>
      </c>
      <c r="FZ14" s="123">
        <f>IF(OR(FZ$4="",$B14=""),0,SUMIF('DADOS BRUTOS'!$A$3:$A$500,$B14,'DADOS BRUTOS'!CZ$3:CZ$500)+IF($C14="",0,SUMIF('DADOS BRUTOS'!$A$3:$A$500,$C14,'DADOS BRUTOS'!CZ$3:CZ$500)))</f>
        <v/>
      </c>
      <c r="GA14" s="123">
        <f>IF(OR(GA$4="",$B14=""),0,SUMIF('DADOS BRUTOS'!$A$3:$A$500,$B14,'DADOS BRUTOS'!DA$3:DA$500)+IF($C14="",0,SUMIF('DADOS BRUTOS'!$A$3:$A$500,$C14,'DADOS BRUTOS'!DA$3:DA$500)))</f>
        <v/>
      </c>
      <c r="GB14" s="123">
        <f>IF(OR(GB$4="",$B14=""),0,SUMIF('DADOS BRUTOS'!$A$3:$A$500,$B14,'DADOS BRUTOS'!DB$3:DB$500)+IF($C14="",0,SUMIF('DADOS BRUTOS'!$A$3:$A$500,$C14,'DADOS BRUTOS'!DB$3:DB$500)))</f>
        <v/>
      </c>
      <c r="GC14" s="123">
        <f>IF(OR(GC$4="",$B14=""),0,SUMIF('DADOS BRUTOS'!$A$3:$A$500,$B14,'DADOS BRUTOS'!DC$3:DC$500)+IF($C14="",0,SUMIF('DADOS BRUTOS'!$A$3:$A$500,$C14,'DADOS BRUTOS'!DC$3:DC$500)))</f>
        <v/>
      </c>
      <c r="GD14" s="123">
        <f>IF(OR(GD$4="",$B14=""),0,SUMIF('DADOS BRUTOS'!$A$3:$A$500,$B14,'DADOS BRUTOS'!DD$3:DD$500)+IF($C14="",0,SUMIF('DADOS BRUTOS'!$A$3:$A$500,$C14,'DADOS BRUTOS'!DD$3:DD$500)))</f>
        <v/>
      </c>
      <c r="GE14" s="123">
        <f>IF(OR(GE$4="",$B14=""),0,SUMIF('DADOS BRUTOS'!$A$3:$A$500,$B14,'DADOS BRUTOS'!DE$3:DE$500)+IF($C14="",0,SUMIF('DADOS BRUTOS'!$A$3:$A$500,$C14,'DADOS BRUTOS'!DE$3:DE$500)))</f>
        <v/>
      </c>
      <c r="GF14" s="123">
        <f>IF(OR(GF$4="",$B14=""),0,SUMIF('DADOS BRUTOS'!$A$3:$A$500,$B14,'DADOS BRUTOS'!DF$3:DF$500)+IF($C14="",0,SUMIF('DADOS BRUTOS'!$A$3:$A$500,$C14,'DADOS BRUTOS'!DF$3:DF$500)))</f>
        <v/>
      </c>
      <c r="GG14" s="123">
        <f>IF(OR(GG$4="",$B14=""),0,SUMIF('DADOS BRUTOS'!$A$3:$A$500,$B14,'DADOS BRUTOS'!DG$3:DG$500)+IF($C14="",0,SUMIF('DADOS BRUTOS'!$A$3:$A$500,$C14,'DADOS BRUTOS'!DG$3:DG$500)))</f>
        <v/>
      </c>
      <c r="GH14" s="123">
        <f>IF(OR(GH$4="",$B14=""),0,SUMIF('DADOS BRUTOS'!$A$3:$A$500,$B14,'DADOS BRUTOS'!DH$3:DH$500)+IF($C14="",0,SUMIF('DADOS BRUTOS'!$A$3:$A$500,$C14,'DADOS BRUTOS'!DH$3:DH$500)))</f>
        <v/>
      </c>
      <c r="GI14" s="123">
        <f>IF(OR(GI$4="",$B14=""),0,SUMIF('DADOS BRUTOS'!$A$3:$A$500,$B14,'DADOS BRUTOS'!DI$3:DI$500)+IF($C14="",0,SUMIF('DADOS BRUTOS'!$A$3:$A$500,$C14,'DADOS BRUTOS'!DI$3:DI$500)))</f>
        <v/>
      </c>
      <c r="GJ14" s="123">
        <f>IF(OR(GJ$4="",$B14=""),0,SUMIF('DADOS BRUTOS'!$A$3:$A$500,$B14,'DADOS BRUTOS'!DJ$3:DJ$500)+IF($C14="",0,SUMIF('DADOS BRUTOS'!$A$3:$A$500,$C14,'DADOS BRUTOS'!DJ$3:DJ$500)))</f>
        <v/>
      </c>
      <c r="GK14" s="123">
        <f>IF(OR(GK$4="",$B14=""),0,SUMIF('DADOS BRUTOS'!$A$3:$A$500,$B14,'DADOS BRUTOS'!DK$3:DK$500)+IF($C14="",0,SUMIF('DADOS BRUTOS'!$A$3:$A$500,$C14,'DADOS BRUTOS'!DK$3:DK$500)))</f>
        <v/>
      </c>
      <c r="GL14" s="123">
        <f>IF(OR(GL$4="",$B14=""),0,SUMIF('DADOS BRUTOS'!$A$3:$A$500,$B14,'DADOS BRUTOS'!DL$3:DL$500)+IF($C14="",0,SUMIF('DADOS BRUTOS'!$A$3:$A$500,$C14,'DADOS BRUTOS'!DL$3:DL$500)))</f>
        <v/>
      </c>
      <c r="GM14" s="123">
        <f>IF(OR(GM$4="",$B14=""),0,SUMIF('DADOS BRUTOS'!$A$3:$A$500,$B14,'DADOS BRUTOS'!DM$3:DM$500)+IF($C14="",0,SUMIF('DADOS BRUTOS'!$A$3:$A$500,$C14,'DADOS BRUTOS'!DM$3:DM$500)))</f>
        <v/>
      </c>
      <c r="GN14" s="123">
        <f>IF(OR(GN$4="",$B14=""),0,SUMIF('DADOS BRUTOS'!$A$3:$A$500,$B14,'DADOS BRUTOS'!DN$3:DN$500)+IF($C14="",0,SUMIF('DADOS BRUTOS'!$A$3:$A$500,$C14,'DADOS BRUTOS'!DN$3:DN$500)))</f>
        <v/>
      </c>
      <c r="GO14" s="123">
        <f>IF(OR(GO$4="",$B14=""),0,SUMIF('DADOS BRUTOS'!$A$3:$A$500,$B14,'DADOS BRUTOS'!DO$3:DO$500)+IF($C14="",0,SUMIF('DADOS BRUTOS'!$A$3:$A$500,$C14,'DADOS BRUTOS'!DO$3:DO$500)))</f>
        <v/>
      </c>
      <c r="GP14" s="123">
        <f>IF(OR(GP$4="",$B14=""),0,SUMIF('DADOS BRUTOS'!$A$3:$A$500,$B14,'DADOS BRUTOS'!DP$3:DP$500)+IF($C14="",0,SUMIF('DADOS BRUTOS'!$A$3:$A$500,$C14,'DADOS BRUTOS'!DP$3:DP$500)))</f>
        <v/>
      </c>
      <c r="GQ14" s="123">
        <f>IF(OR(GQ$4="",$B14=""),0,SUMIF('DADOS BRUTOS'!$A$3:$A$500,$B14,'DADOS BRUTOS'!DQ$3:DQ$500)+IF($C14="",0,SUMIF('DADOS BRUTOS'!$A$3:$A$500,$C14,'DADOS BRUTOS'!DQ$3:DQ$500)))</f>
        <v/>
      </c>
      <c r="GR14" s="123">
        <f>IF(OR(GR$4="",$B14=""),0,SUMIF('DADOS BRUTOS'!$A$3:$A$500,$B14,'DADOS BRUTOS'!DR$3:DR$500)+IF($C14="",0,SUMIF('DADOS BRUTOS'!$A$3:$A$500,$C14,'DADOS BRUTOS'!DR$3:DR$500)))</f>
        <v/>
      </c>
      <c r="GS14" s="123">
        <f>IF(OR(GS$4="",$B14=""),0,SUMIF('DADOS BRUTOS'!$A$3:$A$500,$B14,'DADOS BRUTOS'!DS$3:DS$500)+IF($C14="",0,SUMIF('DADOS BRUTOS'!$A$3:$A$500,$C14,'DADOS BRUTOS'!DS$3:DS$500)))</f>
        <v/>
      </c>
      <c r="GT14" s="123">
        <f>IF(OR(GT$4="",$B14=""),0,SUMIF('DADOS BRUTOS'!$A$3:$A$500,$B14,'DADOS BRUTOS'!DT$3:DT$500)+IF($C14="",0,SUMIF('DADOS BRUTOS'!$A$3:$A$500,$C14,'DADOS BRUTOS'!DT$3:DT$500)))</f>
        <v/>
      </c>
      <c r="GU14" s="123">
        <f>IF(OR(GU$4="",$B14=""),0,SUMIF('DADOS BRUTOS'!$A$3:$A$500,$B14,'DADOS BRUTOS'!DU$3:DU$500)+IF($C14="",0,SUMIF('DADOS BRUTOS'!$A$3:$A$500,$C14,'DADOS BRUTOS'!DU$3:DU$500)))</f>
        <v/>
      </c>
      <c r="GV14" s="123">
        <f>IF(OR(GV$4="",$B14=""),0,SUMIF('DADOS BRUTOS'!$A$3:$A$500,$B14,'DADOS BRUTOS'!DV$3:DV$500)+IF($C14="",0,SUMIF('DADOS BRUTOS'!$A$3:$A$500,$C14,'DADOS BRUTOS'!DV$3:DV$500)))</f>
        <v/>
      </c>
      <c r="GW14" s="123">
        <f>IF(OR(GW$4="",$B14=""),0,SUMIF('DADOS BRUTOS'!$A$3:$A$500,$B14,'DADOS BRUTOS'!DW$3:DW$500)+IF($C14="",0,SUMIF('DADOS BRUTOS'!$A$3:$A$500,$C14,'DADOS BRUTOS'!DW$3:DW$500)))</f>
        <v/>
      </c>
      <c r="GX14" s="123">
        <f>IF(OR(GX$4="",$B14=""),0,SUMIF('DADOS BRUTOS'!$A$3:$A$500,$B14,'DADOS BRUTOS'!DX$3:DX$500)+IF($C14="",0,SUMIF('DADOS BRUTOS'!$A$3:$A$500,$C14,'DADOS BRUTOS'!DX$3:DX$500)))</f>
        <v/>
      </c>
      <c r="GY14" s="123">
        <f>IF(OR(GY$4="",$B14=""),0,SUMIF('DADOS BRUTOS'!$A$3:$A$500,$B14,'DADOS BRUTOS'!DY$3:DY$500)+IF($C14="",0,SUMIF('DADOS BRUTOS'!$A$3:$A$500,$C14,'DADOS BRUTOS'!DY$3:DY$500)))</f>
        <v/>
      </c>
      <c r="GZ14" s="123">
        <f>IF(OR(GZ$4="",$B14=""),0,SUMIF('DADOS BRUTOS'!$A$3:$A$500,$B14,'DADOS BRUTOS'!DZ$3:DZ$500)+IF($C14="",0,SUMIF('DADOS BRUTOS'!$A$3:$A$500,$C14,'DADOS BRUTOS'!DZ$3:DZ$500)))</f>
        <v/>
      </c>
      <c r="HA14" s="123">
        <f>IF(OR(HA$4="",$B14=""),0,SUMIF('DADOS BRUTOS'!$A$3:$A$500,$B14,'DADOS BRUTOS'!EA$3:EA$500)+IF($C14="",0,SUMIF('DADOS BRUTOS'!$A$3:$A$500,$C14,'DADOS BRUTOS'!EA$3:EA$500)))</f>
        <v/>
      </c>
      <c r="HB14" s="123">
        <f>IF(OR(HB$4="",$B14=""),0,SUMIF('DADOS BRUTOS'!$A$3:$A$500,$B14,'DADOS BRUTOS'!EB$3:EB$500)+IF($C14="",0,SUMIF('DADOS BRUTOS'!$A$3:$A$500,$C14,'DADOS BRUTOS'!EB$3:EB$500)))</f>
        <v/>
      </c>
      <c r="HC14" s="123">
        <f>IF(OR(HC$4="",$B14=""),0,SUMIF('DADOS BRUTOS'!$A$3:$A$500,$B14,'DADOS BRUTOS'!EC$3:EC$500)+IF($C14="",0,SUMIF('DADOS BRUTOS'!$A$3:$A$500,$C14,'DADOS BRUTOS'!EC$3:EC$500)))</f>
        <v/>
      </c>
      <c r="HD14" s="123">
        <f>IF(OR(HD$4="",$B14=""),0,SUMIF('DADOS BRUTOS'!$A$3:$A$500,$B14,'DADOS BRUTOS'!ED$3:ED$500)+IF($C14="",0,SUMIF('DADOS BRUTOS'!$A$3:$A$500,$C14,'DADOS BRUTOS'!ED$3:ED$500)))</f>
        <v/>
      </c>
      <c r="HE14" s="123">
        <f>IF(OR(HE$4="",$B14=""),0,SUMIF('DADOS BRUTOS'!$A$3:$A$500,$B14,'DADOS BRUTOS'!EE$3:EE$500)+IF($C14="",0,SUMIF('DADOS BRUTOS'!$A$3:$A$500,$C14,'DADOS BRUTOS'!EE$3:EE$500)))</f>
        <v/>
      </c>
      <c r="HF14" s="123">
        <f>IF(OR(HF$4="",$B14=""),0,SUMIF('DADOS BRUTOS'!$A$3:$A$500,$B14,'DADOS BRUTOS'!EF$3:EF$500)+IF($C14="",0,SUMIF('DADOS BRUTOS'!$A$3:$A$500,$C14,'DADOS BRUTOS'!EF$3:EF$500)))</f>
        <v/>
      </c>
      <c r="HG14" s="123">
        <f>IF(OR(HG$4="",$B14=""),0,SUMIF('DADOS BRUTOS'!$A$3:$A$500,$B14,'DADOS BRUTOS'!EG$3:EG$500)+IF($C14="",0,SUMIF('DADOS BRUTOS'!$A$3:$A$500,$C14,'DADOS BRUTOS'!EG$3:EG$500)))</f>
        <v/>
      </c>
      <c r="HH14" s="123">
        <f>IF(OR(HH$4="",$B14=""),0,SUMIF('DADOS BRUTOS'!$A$3:$A$500,$B14,'DADOS BRUTOS'!EH$3:EH$500)+IF($C14="",0,SUMIF('DADOS BRUTOS'!$A$3:$A$500,$C14,'DADOS BRUTOS'!EH$3:EH$500)))</f>
        <v/>
      </c>
      <c r="HI14" s="123">
        <f>IF(OR(HI$4="",$B14=""),0,SUMIF('DADOS BRUTOS'!$A$3:$A$500,$B14,'DADOS BRUTOS'!EI$3:EI$500)+IF($C14="",0,SUMIF('DADOS BRUTOS'!$A$3:$A$500,$C14,'DADOS BRUTOS'!EI$3:EI$500)))</f>
        <v/>
      </c>
      <c r="HJ14" s="123">
        <f>IF(OR(HJ$4="",$B14=""),0,SUMIF('DADOS BRUTOS'!$A$3:$A$500,$B14,'DADOS BRUTOS'!EJ$3:EJ$500)+IF($C14="",0,SUMIF('DADOS BRUTOS'!$A$3:$A$500,$C14,'DADOS BRUTOS'!EJ$3:EJ$500)))</f>
        <v/>
      </c>
      <c r="HK14" s="123">
        <f>IF(OR(HK$4="",$B14=""),0,SUMIF('DADOS BRUTOS'!$A$3:$A$500,$B14,'DADOS BRUTOS'!EK$3:EK$500)+IF($C14="",0,SUMIF('DADOS BRUTOS'!$A$3:$A$500,$C14,'DADOS BRUTOS'!EK$3:EK$500)))</f>
        <v/>
      </c>
      <c r="HL14" s="123">
        <f>IF(OR(HL$4="",$B14=""),0,SUMIF('DADOS BRUTOS'!$A$3:$A$500,$B14,'DADOS BRUTOS'!EL$3:EL$500)+IF($C14="",0,SUMIF('DADOS BRUTOS'!$A$3:$A$500,$C14,'DADOS BRUTOS'!EL$3:EL$500)))</f>
        <v/>
      </c>
      <c r="HM14" s="123">
        <f>IF(OR(HM$4="",$B14=""),0,SUMIF('DADOS BRUTOS'!$A$3:$A$500,$B14,'DADOS BRUTOS'!EM$3:EM$500)+IF($C14="",0,SUMIF('DADOS BRUTOS'!$A$3:$A$500,$C14,'DADOS BRUTOS'!EM$3:EM$500)))</f>
        <v/>
      </c>
      <c r="HN14" s="123">
        <f>IF(OR(HN$4="",$B14=""),0,SUMIF('DADOS BRUTOS'!$A$3:$A$500,$B14,'DADOS BRUTOS'!EN$3:EN$500)+IF($C14="",0,SUMIF('DADOS BRUTOS'!$A$3:$A$500,$C14,'DADOS BRUTOS'!EN$3:EN$500)))</f>
        <v/>
      </c>
      <c r="HO14" s="123">
        <f>IF(OR(HO$4="",$B14=""),0,SUMIF('DADOS BRUTOS'!$A$3:$A$500,$B14,'DADOS BRUTOS'!EO$3:EO$500)+IF($C14="",0,SUMIF('DADOS BRUTOS'!$A$3:$A$500,$C14,'DADOS BRUTOS'!EO$3:EO$500)))</f>
        <v/>
      </c>
      <c r="HP14" s="123">
        <f>IF(OR(HP$4="",$B14=""),0,SUMIF('DADOS BRUTOS'!$A$3:$A$500,$B14,'DADOS BRUTOS'!EP$3:EP$500)+IF($C14="",0,SUMIF('DADOS BRUTOS'!$A$3:$A$500,$C14,'DADOS BRUTOS'!EP$3:EP$500)))</f>
        <v/>
      </c>
      <c r="HQ14" s="123">
        <f>IF(OR(HQ$4="",$B14=""),0,SUMIF('DADOS BRUTOS'!$A$3:$A$500,$B14,'DADOS BRUTOS'!EQ$3:EQ$500)+IF($C14="",0,SUMIF('DADOS BRUTOS'!$A$3:$A$500,$C14,'DADOS BRUTOS'!EQ$3:EQ$500)))</f>
        <v/>
      </c>
      <c r="HR14" s="123">
        <f>IF(OR(HR$4="",$B14=""),0,SUMIF('DADOS BRUTOS'!$A$3:$A$500,$B14,'DADOS BRUTOS'!ER$3:ER$500)+IF($C14="",0,SUMIF('DADOS BRUTOS'!$A$3:$A$500,$C14,'DADOS BRUTOS'!ER$3:ER$500)))</f>
        <v/>
      </c>
      <c r="HS14" s="123">
        <f>IF(OR(HS$4="",$B14=""),0,SUMIF('DADOS BRUTOS'!$A$3:$A$500,$B14,'DADOS BRUTOS'!ES$3:ES$500)+IF($C14="",0,SUMIF('DADOS BRUTOS'!$A$3:$A$500,$C14,'DADOS BRUTOS'!ES$3:ES$500)))</f>
        <v/>
      </c>
      <c r="HT14" s="123">
        <f>IF(OR(HT$4="",$B14=""),0,SUMIF('DADOS BRUTOS'!$A$3:$A$500,$B14,'DADOS BRUTOS'!ET$3:ET$500)+IF($C14="",0,SUMIF('DADOS BRUTOS'!$A$3:$A$500,$C14,'DADOS BRUTOS'!ET$3:ET$500)))</f>
        <v/>
      </c>
      <c r="HU14" s="123">
        <f>IF(OR(HU$4="",$B14=""),0,SUMIF('DADOS BRUTOS'!$A$3:$A$500,$B14,'DADOS BRUTOS'!EU$3:EU$500)+IF($C14="",0,SUMIF('DADOS BRUTOS'!$A$3:$A$500,$C14,'DADOS BRUTOS'!EU$3:EU$500)))</f>
        <v/>
      </c>
      <c r="HV14" s="123">
        <f>IF(OR(HV$4="",$B14=""),0,SUMIF('DADOS BRUTOS'!$A$3:$A$500,$B14,'DADOS BRUTOS'!EV$3:EV$500)+IF($C14="",0,SUMIF('DADOS BRUTOS'!$A$3:$A$500,$C14,'DADOS BRUTOS'!EV$3:EV$500)))</f>
        <v/>
      </c>
      <c r="HW14" s="123">
        <f>IF(OR(HW$4="",$B14=""),0,SUMIF('DADOS BRUTOS'!$A$3:$A$500,$B14,'DADOS BRUTOS'!EW$3:EW$500)+IF($C14="",0,SUMIF('DADOS BRUTOS'!$A$3:$A$500,$C14,'DADOS BRUTOS'!EW$3:EW$500)))</f>
        <v/>
      </c>
      <c r="HX14" s="123">
        <f>IF(OR(HX$4="",$B14=""),0,SUMIF('DADOS BRUTOS'!$A$3:$A$500,$B14,'DADOS BRUTOS'!EX$3:EX$500)+IF($C14="",0,SUMIF('DADOS BRUTOS'!$A$3:$A$500,$C14,'DADOS BRUTOS'!EX$3:EX$500)))</f>
        <v/>
      </c>
      <c r="HY14" s="123">
        <f>IF(OR(HY$4="",$B14=""),0,SUMIF('DADOS BRUTOS'!$A$3:$A$500,$B14,'DADOS BRUTOS'!EY$3:EY$500)+IF($C14="",0,SUMIF('DADOS BRUTOS'!$A$3:$A$500,$C14,'DADOS BRUTOS'!EY$3:EY$500)))</f>
        <v/>
      </c>
      <c r="HZ14" s="123">
        <f>IF(OR(HZ$4="",$B14=""),0,SUMIF('DADOS BRUTOS'!$A$3:$A$500,$B14,'DADOS BRUTOS'!EZ$3:EZ$500)+IF($C14="",0,SUMIF('DADOS BRUTOS'!$A$3:$A$500,$C14,'DADOS BRUTOS'!EZ$3:EZ$500)))</f>
        <v/>
      </c>
      <c r="IA14" s="123">
        <f>IF(OR(IA$4="",$B14=""),0,SUMIF('DADOS BRUTOS'!$A$3:$A$500,$B14,'DADOS BRUTOS'!FA$3:FA$500)+IF($C14="",0,SUMIF('DADOS BRUTOS'!$A$3:$A$500,$C14,'DADOS BRUTOS'!FA$3:FA$500)))</f>
        <v/>
      </c>
      <c r="IB14" s="123">
        <f>IF(OR(IB$4="",$B14=""),0,SUMIF('DADOS BRUTOS'!$A$3:$A$500,$B14,'DADOS BRUTOS'!FB$3:FB$500)+IF($C14="",0,SUMIF('DADOS BRUTOS'!$A$3:$A$500,$C14,'DADOS BRUTOS'!FB$3:FB$500)))</f>
        <v/>
      </c>
      <c r="IC14" s="123">
        <f>IF(OR(IC$4="",$B14=""),0,SUMIF('DADOS BRUTOS'!$A$3:$A$500,$B14,'DADOS BRUTOS'!FC$3:FC$500)+IF($C14="",0,SUMIF('DADOS BRUTOS'!$A$3:$A$500,$C14,'DADOS BRUTOS'!FC$3:FC$500)))</f>
        <v/>
      </c>
      <c r="ID14" s="123">
        <f>IF(OR(ID$4="",$B14=""),0,SUMIF('DADOS BRUTOS'!$A$3:$A$500,$B14,'DADOS BRUTOS'!FD$3:FD$500)+IF($C14="",0,SUMIF('DADOS BRUTOS'!$A$3:$A$500,$C14,'DADOS BRUTOS'!FD$3:FD$500)))</f>
        <v/>
      </c>
      <c r="IE14" s="123">
        <f>IF(OR(IE$4="",$B14=""),0,SUMIF('DADOS BRUTOS'!$A$3:$A$500,$B14,'DADOS BRUTOS'!FE$3:FE$500)+IF($C14="",0,SUMIF('DADOS BRUTOS'!$A$3:$A$500,$C14,'DADOS BRUTOS'!FE$3:FE$500)))</f>
        <v/>
      </c>
      <c r="IF14" s="123">
        <f>IF(OR(IF$4="",$B14=""),0,SUMIF('DADOS BRUTOS'!$A$3:$A$500,$B14,'DADOS BRUTOS'!FF$3:FF$500)+IF($C14="",0,SUMIF('DADOS BRUTOS'!$A$3:$A$500,$C14,'DADOS BRUTOS'!FF$3:FF$500)))</f>
        <v/>
      </c>
      <c r="IG14" s="123">
        <f>IF(OR(IG$4="",$B14=""),0,SUMIF('DADOS BRUTOS'!$A$3:$A$500,$B14,'DADOS BRUTOS'!FG$3:FG$500)+IF($C14="",0,SUMIF('DADOS BRUTOS'!$A$3:$A$500,$C14,'DADOS BRUTOS'!FG$3:FG$500)))</f>
        <v/>
      </c>
      <c r="IH14" s="123">
        <f>IF(OR(IH$4="",$B14=""),0,SUMIF('DADOS BRUTOS'!$A$3:$A$500,$B14,'DADOS BRUTOS'!FH$3:FH$500)+IF($C14="",0,SUMIF('DADOS BRUTOS'!$A$3:$A$500,$C14,'DADOS BRUTOS'!FH$3:FH$500)))</f>
        <v/>
      </c>
      <c r="II14" s="123">
        <f>IF(OR(II$4="",$B14=""),0,SUMIF('DADOS BRUTOS'!$A$3:$A$500,$B14,'DADOS BRUTOS'!FI$3:FI$500)+IF($C14="",0,SUMIF('DADOS BRUTOS'!$A$3:$A$500,$C14,'DADOS BRUTOS'!FI$3:FI$500)))</f>
        <v/>
      </c>
      <c r="IJ14" s="123">
        <f>IF(OR(IJ$4="",$B14=""),0,SUMIF('DADOS BRUTOS'!$A$3:$A$500,$B14,'DADOS BRUTOS'!FJ$3:FJ$500)+IF($C14="",0,SUMIF('DADOS BRUTOS'!$A$3:$A$500,$C14,'DADOS BRUTOS'!FJ$3:FJ$500)))</f>
        <v/>
      </c>
      <c r="IK14" s="123">
        <f>IF(OR(IK$4="",$B14=""),0,SUMIF('DADOS BRUTOS'!$A$3:$A$500,$B14,'DADOS BRUTOS'!FK$3:FK$500)+IF($C14="",0,SUMIF('DADOS BRUTOS'!$A$3:$A$500,$C14,'DADOS BRUTOS'!FK$3:FK$500)))</f>
        <v/>
      </c>
      <c r="IL14" s="123">
        <f>IF(OR(IL$4="",$B14=""),0,SUMIF('DADOS BRUTOS'!$A$3:$A$500,$B14,'DADOS BRUTOS'!FL$3:FL$500)+IF($C14="",0,SUMIF('DADOS BRUTOS'!$A$3:$A$500,$C14,'DADOS BRUTOS'!FL$3:FL$500)))</f>
        <v/>
      </c>
      <c r="IM14" s="123">
        <f>IF(OR(IM$4="",$B14=""),0,SUMIF('DADOS BRUTOS'!$A$3:$A$500,$B14,'DADOS BRUTOS'!FM$3:FM$500)+IF($C14="",0,SUMIF('DADOS BRUTOS'!$A$3:$A$500,$C14,'DADOS BRUTOS'!FM$3:FM$500)))</f>
        <v/>
      </c>
      <c r="IN14" s="123">
        <f>IF(OR(IN$4="",$B14=""),0,SUMIF('DADOS BRUTOS'!$A$3:$A$500,$B14,'DADOS BRUTOS'!FN$3:FN$500)+IF($C14="",0,SUMIF('DADOS BRUTOS'!$A$3:$A$500,$C14,'DADOS BRUTOS'!FN$3:FN$500)))</f>
        <v/>
      </c>
      <c r="IO14" s="123">
        <f>IF(OR(IO$4="",$B14=""),0,SUMIF('DADOS BRUTOS'!$A$3:$A$500,$B14,'DADOS BRUTOS'!FO$3:FO$500)+IF($C14="",0,SUMIF('DADOS BRUTOS'!$A$3:$A$500,$C14,'DADOS BRUTOS'!FO$3:FO$500)))</f>
        <v/>
      </c>
      <c r="IP14" s="123">
        <f>IF(OR(IP$4="",$B14=""),0,SUMIF('DADOS BRUTOS'!$A$3:$A$500,$B14,'DADOS BRUTOS'!FP$3:FP$500)+IF($C14="",0,SUMIF('DADOS BRUTOS'!$A$3:$A$500,$C14,'DADOS BRUTOS'!FP$3:FP$500)))</f>
        <v/>
      </c>
      <c r="IQ14" s="123">
        <f>IF(OR(IQ$4="",$B14=""),0,SUMIF('DADOS BRUTOS'!$A$3:$A$500,$B14,'DADOS BRUTOS'!FQ$3:FQ$500)+IF($C14="",0,SUMIF('DADOS BRUTOS'!$A$3:$A$500,$C14,'DADOS BRUTOS'!FQ$3:FQ$500)))</f>
        <v/>
      </c>
      <c r="IR14" s="123">
        <f>IF(OR(IR$4="",$B14=""),0,SUMIF('DADOS BRUTOS'!$A$3:$A$500,$B14,'DADOS BRUTOS'!FR$3:FR$500)+IF($C14="",0,SUMIF('DADOS BRUTOS'!$A$3:$A$500,$C14,'DADOS BRUTOS'!FR$3:FR$500)))</f>
        <v/>
      </c>
      <c r="IS14" s="123">
        <f>IF(OR(IS$4="",$B14=""),0,SUMIF('DADOS BRUTOS'!$A$3:$A$500,$B14,'DADOS BRUTOS'!FS$3:FS$500)+IF($C14="",0,SUMIF('DADOS BRUTOS'!$A$3:$A$500,$C14,'DADOS BRUTOS'!FS$3:FS$500)))</f>
        <v/>
      </c>
      <c r="IT14" s="123">
        <f>IF(OR(IT$4="",$B14=""),0,SUMIF('DADOS BRUTOS'!$A$3:$A$500,$B14,'DADOS BRUTOS'!FT$3:FT$500)+IF($C14="",0,SUMIF('DADOS BRUTOS'!$A$3:$A$500,$C14,'DADOS BRUTOS'!FT$3:FT$500)))</f>
        <v/>
      </c>
      <c r="IU14" s="123">
        <f>IF(OR(IU$4="",$B14=""),0,SUMIF('DADOS BRUTOS'!$A$3:$A$500,$B14,'DADOS BRUTOS'!FU$3:FU$500)+IF($C14="",0,SUMIF('DADOS BRUTOS'!$A$3:$A$500,$C14,'DADOS BRUTOS'!FU$3:FU$500)))</f>
        <v/>
      </c>
      <c r="IV14" s="123">
        <f>IF(OR(IV$4="",$B14=""),0,SUMIF('DADOS BRUTOS'!$A$3:$A$500,$B14,'DADOS BRUTOS'!FV$3:FV$500)+IF($C14="",0,SUMIF('DADOS BRUTOS'!$A$3:$A$500,$C14,'DADOS BRUTOS'!FV$3:FV$500)))</f>
        <v/>
      </c>
      <c r="IW14" s="123">
        <f>IF(OR(IW$4="",$B14=""),0,SUMIF('DADOS BRUTOS'!$A$3:$A$500,$B14,'DADOS BRUTOS'!FW$3:FW$500)+IF($C14="",0,SUMIF('DADOS BRUTOS'!$A$3:$A$500,$C14,'DADOS BRUTOS'!FW$3:FW$500)))</f>
        <v/>
      </c>
      <c r="IX14" s="123">
        <f>IF(OR(IX$4="",$B14=""),0,SUMIF('DADOS BRUTOS'!$A$3:$A$500,$B14,'DADOS BRUTOS'!FX$3:FX$500)+IF($C14="",0,SUMIF('DADOS BRUTOS'!$A$3:$A$500,$C14,'DADOS BRUTOS'!FX$3:FX$500)))</f>
        <v/>
      </c>
      <c r="IY14" s="123">
        <f>IF(OR(IY$4="",$B14=""),0,SUMIF('DADOS BRUTOS'!$A$3:$A$500,$B14,'DADOS BRUTOS'!FY$3:FY$500)+IF($C14="",0,SUMIF('DADOS BRUTOS'!$A$3:$A$500,$C14,'DADOS BRUTOS'!FY$3:FY$500)))</f>
        <v/>
      </c>
      <c r="IZ14" s="123">
        <f>IF(OR(IZ$4="",$B14=""),0,SUMIF('DADOS BRUTOS'!$A$3:$A$500,$B14,'DADOS BRUTOS'!FZ$3:FZ$500)+IF($C14="",0,SUMIF('DADOS BRUTOS'!$A$3:$A$500,$C14,'DADOS BRUTOS'!FZ$3:FZ$500)))</f>
        <v/>
      </c>
      <c r="JA14" s="123">
        <f>IF(OR(JA$4="",$B14=""),0,SUMIF('DADOS BRUTOS'!$A$3:$A$500,$B14,'DADOS BRUTOS'!GA$3:GA$500)+IF($C14="",0,SUMIF('DADOS BRUTOS'!$A$3:$A$500,$C14,'DADOS BRUTOS'!GA$3:GA$500)))</f>
        <v/>
      </c>
      <c r="JB14" s="123">
        <f>IF(OR(JB$4="",$B14=""),0,SUMIF('DADOS BRUTOS'!$A$3:$A$500,$B14,'DADOS BRUTOS'!GB$3:GB$500)+IF($C14="",0,SUMIF('DADOS BRUTOS'!$A$3:$A$500,$C14,'DADOS BRUTOS'!GB$3:GB$500)))</f>
        <v/>
      </c>
      <c r="JC14" s="123">
        <f>IF(OR(JC$4="",$B14=""),0,SUMIF('DADOS BRUTOS'!$A$3:$A$500,$B14,'DADOS BRUTOS'!GC$3:GC$500)+IF($C14="",0,SUMIF('DADOS BRUTOS'!$A$3:$A$500,$C14,'DADOS BRUTOS'!GC$3:GC$500)))</f>
        <v/>
      </c>
      <c r="JD14" s="123">
        <f>IF(OR(JD$4="",$B14=""),0,SUMIF('DADOS BRUTOS'!$A$3:$A$500,$B14,'DADOS BRUTOS'!GD$3:GD$500)+IF($C14="",0,SUMIF('DADOS BRUTOS'!$A$3:$A$500,$C14,'DADOS BRUTOS'!GD$3:GD$500)))</f>
        <v/>
      </c>
      <c r="JE14" s="123">
        <f>IF(OR(JE$4="",$B14=""),0,SUMIF('DADOS BRUTOS'!$A$3:$A$500,$B14,'DADOS BRUTOS'!GE$3:GE$500)+IF($C14="",0,SUMIF('DADOS BRUTOS'!$A$3:$A$500,$C14,'DADOS BRUTOS'!GE$3:GE$500)))</f>
        <v/>
      </c>
      <c r="JF14" s="123">
        <f>IF(OR(JF$4="",$B14=""),0,SUMIF('DADOS BRUTOS'!$A$3:$A$500,$B14,'DADOS BRUTOS'!GF$3:GF$500)+IF($C14="",0,SUMIF('DADOS BRUTOS'!$A$3:$A$500,$C14,'DADOS BRUTOS'!GF$3:GF$500)))</f>
        <v/>
      </c>
      <c r="JG14" s="123">
        <f>IF(OR(JG$4="",$B14=""),0,SUMIF('DADOS BRUTOS'!$A$3:$A$500,$B14,'DADOS BRUTOS'!GG$3:GG$500)+IF($C14="",0,SUMIF('DADOS BRUTOS'!$A$3:$A$500,$C14,'DADOS BRUTOS'!GG$3:GG$500)))</f>
        <v/>
      </c>
      <c r="JH14" s="123">
        <f>IF(OR(JH$4="",$B14=""),0,SUMIF('DADOS BRUTOS'!$A$3:$A$500,$B14,'DADOS BRUTOS'!GH$3:GH$500)+IF($C14="",0,SUMIF('DADOS BRUTOS'!$A$3:$A$500,$C14,'DADOS BRUTOS'!GH$3:GH$500)))</f>
        <v/>
      </c>
      <c r="JI14" s="123">
        <f>IF(OR(JI$4="",$B14=""),0,SUMIF('DADOS BRUTOS'!$A$3:$A$500,$B14,'DADOS BRUTOS'!GI$3:GI$500)+IF($C14="",0,SUMIF('DADOS BRUTOS'!$A$3:$A$500,$C14,'DADOS BRUTOS'!GI$3:GI$500)))</f>
        <v/>
      </c>
      <c r="JJ14" s="123">
        <f>IF(OR(JJ$4="",$B14=""),0,SUMIF('DADOS BRUTOS'!$A$3:$A$500,$B14,'DADOS BRUTOS'!GJ$3:GJ$500)+IF($C14="",0,SUMIF('DADOS BRUTOS'!$A$3:$A$500,$C14,'DADOS BRUTOS'!GJ$3:GJ$500)))</f>
        <v/>
      </c>
      <c r="JK14" s="123">
        <f>IF(OR(JK$4="",$B14=""),0,SUMIF('DADOS BRUTOS'!$A$3:$A$500,$B14,'DADOS BRUTOS'!GK$3:GK$500)+IF($C14="",0,SUMIF('DADOS BRUTOS'!$A$3:$A$500,$C14,'DADOS BRUTOS'!GK$3:GK$500)))</f>
        <v/>
      </c>
      <c r="JL14" s="123">
        <f>IF(OR(JL$4="",$B14=""),0,SUMIF('DADOS BRUTOS'!$A$3:$A$500,$B14,'DADOS BRUTOS'!GL$3:GL$500)+IF($C14="",0,SUMIF('DADOS BRUTOS'!$A$3:$A$500,$C14,'DADOS BRUTOS'!GL$3:GL$500)))</f>
        <v/>
      </c>
      <c r="JM14" s="123">
        <f>IF(OR(JM$4="",$B14=""),0,SUMIF('DADOS BRUTOS'!$A$3:$A$500,$B14,'DADOS BRUTOS'!GM$3:GM$500)+IF($C14="",0,SUMIF('DADOS BRUTOS'!$A$3:$A$500,$C14,'DADOS BRUTOS'!GM$3:GM$500)))</f>
        <v/>
      </c>
      <c r="JN14" s="123">
        <f>IF(OR(JN$4="",$B14=""),0,SUMIF('DADOS BRUTOS'!$A$3:$A$500,$B14,'DADOS BRUTOS'!GN$3:GN$500)+IF($C14="",0,SUMIF('DADOS BRUTOS'!$A$3:$A$500,$C14,'DADOS BRUTOS'!GN$3:GN$500)))</f>
        <v/>
      </c>
      <c r="JO14" s="123">
        <f>IF(OR(JO$4="",$B14=""),0,SUMIF('DADOS BRUTOS'!$A$3:$A$500,$B14,'DADOS BRUTOS'!GO$3:GO$500)+IF($C14="",0,SUMIF('DADOS BRUTOS'!$A$3:$A$500,$C14,'DADOS BRUTOS'!GO$3:GO$500)))</f>
        <v/>
      </c>
      <c r="JP14" s="123">
        <f>IF(OR(JP$4="",$B14=""),0,SUMIF('DADOS BRUTOS'!$A$3:$A$500,$B14,'DADOS BRUTOS'!GP$3:GP$500)+IF($C14="",0,SUMIF('DADOS BRUTOS'!$A$3:$A$500,$C14,'DADOS BRUTOS'!GP$3:GP$500)))</f>
        <v/>
      </c>
      <c r="JQ14" s="123">
        <f>IF(OR(JQ$4="",$B14=""),0,SUMIF('DADOS BRUTOS'!$A$3:$A$500,$B14,'DADOS BRUTOS'!GQ$3:GQ$500)+IF($C14="",0,SUMIF('DADOS BRUTOS'!$A$3:$A$500,$C14,'DADOS BRUTOS'!GQ$3:GQ$500)))</f>
        <v/>
      </c>
      <c r="JR14" s="123">
        <f>IF(OR(JR$4="",$B14=""),0,SUMIF('DADOS BRUTOS'!$A$3:$A$500,$B14,'DADOS BRUTOS'!GR$3:GR$500)+IF($C14="",0,SUMIF('DADOS BRUTOS'!$A$3:$A$500,$C14,'DADOS BRUTOS'!GR$3:GR$500)))</f>
        <v/>
      </c>
      <c r="JS14" s="123">
        <f>IF(OR(JS$4="",$B14=""),0,SUMIF('DADOS BRUTOS'!$A$3:$A$500,$B14,'DADOS BRUTOS'!GS$3:GS$500)+IF($C14="",0,SUMIF('DADOS BRUTOS'!$A$3:$A$500,$C14,'DADOS BRUTOS'!GS$3:GS$500)))</f>
        <v/>
      </c>
    </row>
    <row r="15">
      <c r="A15" s="61">
        <f>'VALOR POR PL'!D21</f>
        <v/>
      </c>
      <c r="B15" s="60" t="inlineStr">
        <is>
          <t>EQUIPAMENTOS E FERRAMENTAS</t>
        </is>
      </c>
      <c r="C15" s="60" t="n"/>
      <c r="D15" s="55">
        <f>SUMIF($CB$4:$JS$4,"&lt;="&amp;D$4,$CB15:$JS15)</f>
        <v/>
      </c>
      <c r="E15" s="55">
        <f>SUMIF($CB$4:$JS$4,E$4,$CB15:$JS15)</f>
        <v/>
      </c>
      <c r="F15" s="55">
        <f>SUMIF($CB$4:$JS$4,F$4,$CB15:$JS15)</f>
        <v/>
      </c>
      <c r="G15" s="55">
        <f>SUMIF($CB$4:$JS$4,G$4,$CB15:$JS15)</f>
        <v/>
      </c>
      <c r="H15" s="55">
        <f>SUMIF($CB$4:$JS$4,H$4,$CB15:$JS15)</f>
        <v/>
      </c>
      <c r="I15" s="55">
        <f>SUMIF($CB$4:$JS$4,I$4,$CB15:$JS15)</f>
        <v/>
      </c>
      <c r="J15" s="55">
        <f>SUMIF($CB$4:$JS$4,J$4,$CB15:$JS15)</f>
        <v/>
      </c>
      <c r="K15" s="55">
        <f>SUMIF($CB$4:$JS$4,K$4,$CB15:$JS15)</f>
        <v/>
      </c>
      <c r="L15" s="55">
        <f>SUMIF($CB$4:$JS$4,L$4,$CB15:$JS15)</f>
        <v/>
      </c>
      <c r="M15" s="55">
        <f>SUMIF($CB$4:$JS$4,M$4,$CB15:$JS15)</f>
        <v/>
      </c>
      <c r="N15" s="55">
        <f>SUMIF($CB$4:$JS$4,N$4,$CB15:$JS15)</f>
        <v/>
      </c>
      <c r="O15" s="55">
        <f>SUMIF($CB$4:$JS$4,O$4,$CB15:$JS15)</f>
        <v/>
      </c>
      <c r="P15" s="55">
        <f>SUMIF($CB$4:$JS$4,P$4,$CB15:$JS15)</f>
        <v/>
      </c>
      <c r="Q15" s="55">
        <f>SUMIF($CB$4:$JS$4,Q$4,$CB15:$JS15)</f>
        <v/>
      </c>
      <c r="R15" s="55">
        <f>SUMIF($CB$4:$JS$4,R$4,$CB15:$JS15)</f>
        <v/>
      </c>
      <c r="S15" s="55">
        <f>SUMIF($CB$4:$JS$4,S$4,$CB15:$JS15)</f>
        <v/>
      </c>
      <c r="T15" s="55">
        <f>SUMIF($CB$4:$JS$4,T$4,$CB15:$JS15)</f>
        <v/>
      </c>
      <c r="U15" s="55">
        <f>SUMIF($CB$4:$JS$4,U$4,$CB15:$JS15)</f>
        <v/>
      </c>
      <c r="V15" s="55">
        <f>SUMIF($CB$4:$JS$4,V$4,$CB15:$JS15)</f>
        <v/>
      </c>
      <c r="W15" s="55">
        <f>SUMIF($CB$4:$JS$4,W$4,$CB15:$JS15)</f>
        <v/>
      </c>
      <c r="X15" s="55">
        <f>SUMIF($CB$4:$JS$4,X$4,$CB15:$JS15)</f>
        <v/>
      </c>
      <c r="Y15" s="55">
        <f>SUMIF($CB$4:$JS$4,Y$4,$CB15:$JS15)</f>
        <v/>
      </c>
      <c r="Z15" s="55">
        <f>SUMIF($CB$4:$JS$4,Z$4,$CB15:$JS15)</f>
        <v/>
      </c>
      <c r="AA15" s="55">
        <f>SUMIF($CB$4:$JS$4,AA$4,$CB15:$JS15)</f>
        <v/>
      </c>
      <c r="AB15" s="55">
        <f>SUMIF($CB$4:$JS$4,AB$4,$CB15:$JS15)</f>
        <v/>
      </c>
      <c r="AC15" s="55">
        <f>SUMIF($CB$4:$JS$4,AC$4,$CB15:$JS15)</f>
        <v/>
      </c>
      <c r="AD15" s="55">
        <f>SUMIF($CB$4:$JS$4,AD$4,$CB15:$JS15)</f>
        <v/>
      </c>
      <c r="AE15" s="55">
        <f>SUMIF($CB$4:$JS$4,AE$4,$CB15:$JS15)</f>
        <v/>
      </c>
      <c r="AF15" s="55">
        <f>SUMIF($CB$4:$JS$4,AF$4,$CB15:$JS15)</f>
        <v/>
      </c>
      <c r="AG15" s="55">
        <f>SUMIF($CB$4:$JS$4,AG$4,$CB15:$JS15)</f>
        <v/>
      </c>
      <c r="AH15" s="55">
        <f>SUMIF($CB$4:$JS$4,AH$4,$CB15:$JS15)</f>
        <v/>
      </c>
      <c r="AI15" s="55">
        <f>SUMIF($CB$4:$JS$4,AI$4,$CB15:$JS15)</f>
        <v/>
      </c>
      <c r="AJ15" s="55">
        <f>SUMIF($CB$4:$JS$4,AJ$4,$CB15:$JS15)</f>
        <v/>
      </c>
      <c r="AK15" s="55">
        <f>SUMIF($CB$4:$JS$4,AK$4,$CB15:$JS15)</f>
        <v/>
      </c>
      <c r="AL15" s="55">
        <f>SUMIF($CB$4:$JS$4,AL$4,$CB15:$JS15)</f>
        <v/>
      </c>
      <c r="AM15" s="55">
        <f>SUMIF($CB$4:$JS$4,AM$4,$CB15:$JS15)</f>
        <v/>
      </c>
      <c r="AN15" s="55">
        <f>SUMIF($CB$4:$JS$4,AN$4,$CB15:$JS15)</f>
        <v/>
      </c>
      <c r="AO15" s="55">
        <f>SUMIF($CB$4:$JS$4,AO$4,$CB15:$JS15)</f>
        <v/>
      </c>
      <c r="AP15" s="55">
        <f>SUMIF($CB$4:$JS$4,AP$4,$CB15:$JS15)</f>
        <v/>
      </c>
      <c r="AQ15" s="55">
        <f>SUMIF($CB$4:$JS$4,AQ$4,$CB15:$JS15)</f>
        <v/>
      </c>
      <c r="AR15" s="55">
        <f>SUMIF($CB$4:$JS$4,AR$4,$CB15:$JS15)</f>
        <v/>
      </c>
      <c r="AS15" s="55">
        <f>SUMIF($CB$4:$JS$4,AS$4,$CB15:$JS15)</f>
        <v/>
      </c>
      <c r="AT15" s="55">
        <f>SUMIF($CB$4:$JS$4,AT$4,$CB15:$JS15)</f>
        <v/>
      </c>
      <c r="AU15" s="55">
        <f>SUMIF($CB$4:$JS$4,AU$4,$CB15:$JS15)</f>
        <v/>
      </c>
      <c r="AV15" s="55">
        <f>SUMIF($CB$4:$JS$4,AV$4,$CB15:$JS15)</f>
        <v/>
      </c>
      <c r="AW15" s="55">
        <f>SUMIF($CB$4:$JS$4,AW$4,$CB15:$JS15)</f>
        <v/>
      </c>
      <c r="AX15" s="55">
        <f>SUMIF($CB$4:$JS$4,AX$4,$CB15:$JS15)</f>
        <v/>
      </c>
      <c r="AY15" s="55">
        <f>SUMIF($CB$4:$JS$4,AY$4,$CB15:$JS15)</f>
        <v/>
      </c>
      <c r="AZ15" s="55">
        <f>SUMIF($CB$4:$JS$4,AZ$4,$CB15:$JS15)</f>
        <v/>
      </c>
      <c r="BA15" s="55">
        <f>SUMIF($CB$4:$JS$4,BA$4,$CB15:$JS15)</f>
        <v/>
      </c>
      <c r="BB15" s="55">
        <f>SUMIF($CB$4:$JS$4,BB$4,$CB15:$JS15)</f>
        <v/>
      </c>
      <c r="BC15" s="55">
        <f>SUMIF($CB$4:$JS$4,BC$4,$CB15:$JS15)</f>
        <v/>
      </c>
      <c r="BD15" s="55">
        <f>SUMIF($CB$4:$JS$4,BD$4,$CB15:$JS15)</f>
        <v/>
      </c>
      <c r="BE15" s="55">
        <f>SUMIF($CB$4:$JS$4,BE$4,$CB15:$JS15)</f>
        <v/>
      </c>
      <c r="BF15" s="55">
        <f>SUMIF($CB$4:$JS$4,BF$4,$CB15:$JS15)</f>
        <v/>
      </c>
      <c r="BG15" s="55">
        <f>SUMIF($CB$4:$JS$4,BG$4,$CB15:$JS15)</f>
        <v/>
      </c>
      <c r="BH15" s="55">
        <f>SUMIF($CB$4:$JS$4,BH$4,$CB15:$JS15)</f>
        <v/>
      </c>
      <c r="BI15" s="55">
        <f>SUMIF($CB$4:$JS$4,BI$4,$CB15:$JS15)</f>
        <v/>
      </c>
      <c r="BJ15" s="55">
        <f>SUMIF($CB$4:$JS$4,BJ$4,$CB15:$JS15)</f>
        <v/>
      </c>
      <c r="BK15" s="55">
        <f>SUMIF($CB$4:$JS$4,BK$4,$CB15:$JS15)</f>
        <v/>
      </c>
      <c r="BL15" s="55">
        <f>SUMIF($CB$4:$JS$4,BL$4,$CB15:$JS15)</f>
        <v/>
      </c>
      <c r="BM15" s="55">
        <f>SUMIF($CB$4:$JS$4,BM$4,$CB15:$JS15)</f>
        <v/>
      </c>
      <c r="BN15" s="55">
        <f>SUMIF($CB$4:$JS$4,BN$4,$CB15:$JS15)</f>
        <v/>
      </c>
      <c r="BO15" s="55">
        <f>SUMIF($CB$4:$JS$4,BO$4,$CB15:$JS15)</f>
        <v/>
      </c>
      <c r="BP15" s="55">
        <f>SUMIF($CB$4:$JS$4,BP$4,$CB15:$JS15)</f>
        <v/>
      </c>
      <c r="BQ15" s="55">
        <f>SUMIF($CB$4:$JS$4,BQ$4,$CB15:$JS15)</f>
        <v/>
      </c>
      <c r="BR15" s="55">
        <f>SUMIF($CB$4:$JS$4,BR$4,$CB15:$JS15)</f>
        <v/>
      </c>
      <c r="BS15" s="55">
        <f>SUMIF($CB$4:$JS$4,BS$4,$CB15:$JS15)</f>
        <v/>
      </c>
      <c r="BT15" s="55">
        <f>SUMIF($CB$4:$JS$4,BT$4,$CB15:$JS15)</f>
        <v/>
      </c>
      <c r="BU15" s="55">
        <f>SUMIF($CB$4:$JS$4,BU$4,$CB15:$JS15)</f>
        <v/>
      </c>
      <c r="BV15" s="55">
        <f>SUMIF($CB$4:$JS$4,BV$4,$CB15:$JS15)</f>
        <v/>
      </c>
      <c r="BW15" s="55">
        <f>SUMIF($CB$4:$JS$4,BW$4,$CB15:$JS15)</f>
        <v/>
      </c>
      <c r="BX15" s="55">
        <f>SUMIF($CB$4:$JS$4,"&gt;"&amp;'VALOR POR PL'!$P$8,$CB15:$JS15)</f>
        <v/>
      </c>
      <c r="BY15" s="55">
        <f>SUM($CB15:$JS15)</f>
        <v/>
      </c>
      <c r="CB15" s="123">
        <f>IF(OR(CB$4="",$B15=""),0,SUMIF('DADOS BRUTOS'!$A$3:$A$500,$B15,'DADOS BRUTOS'!B$3:B$500)+IF($C15="",0,SUMIF('DADOS BRUTOS'!$A$3:$A$500,$C15,'DADOS BRUTOS'!B$3:B$500)))</f>
        <v/>
      </c>
      <c r="CC15" s="123">
        <f>IF(OR(CC$4="",$B15=""),0,SUMIF('DADOS BRUTOS'!$A$3:$A$500,$B15,'DADOS BRUTOS'!C$3:C$500)+IF($C15="",0,SUMIF('DADOS BRUTOS'!$A$3:$A$500,$C15,'DADOS BRUTOS'!C$3:C$500)))</f>
        <v/>
      </c>
      <c r="CD15" s="123">
        <f>IF(OR(CD$4="",$B15=""),0,SUMIF('DADOS BRUTOS'!$A$3:$A$500,$B15,'DADOS BRUTOS'!D$3:D$500)+IF($C15="",0,SUMIF('DADOS BRUTOS'!$A$3:$A$500,$C15,'DADOS BRUTOS'!D$3:D$500)))</f>
        <v/>
      </c>
      <c r="CE15" s="123">
        <f>IF(OR(CE$4="",$B15=""),0,SUMIF('DADOS BRUTOS'!$A$3:$A$500,$B15,'DADOS BRUTOS'!E$3:E$500)+IF($C15="",0,SUMIF('DADOS BRUTOS'!$A$3:$A$500,$C15,'DADOS BRUTOS'!E$3:E$500)))</f>
        <v/>
      </c>
      <c r="CF15" s="123">
        <f>IF(OR(CF$4="",$B15=""),0,SUMIF('DADOS BRUTOS'!$A$3:$A$500,$B15,'DADOS BRUTOS'!F$3:F$500)+IF($C15="",0,SUMIF('DADOS BRUTOS'!$A$3:$A$500,$C15,'DADOS BRUTOS'!F$3:F$500)))</f>
        <v/>
      </c>
      <c r="CG15" s="123">
        <f>IF(OR(CG$4="",$B15=""),0,SUMIF('DADOS BRUTOS'!$A$3:$A$500,$B15,'DADOS BRUTOS'!G$3:G$500)+IF($C15="",0,SUMIF('DADOS BRUTOS'!$A$3:$A$500,$C15,'DADOS BRUTOS'!G$3:G$500)))</f>
        <v/>
      </c>
      <c r="CH15" s="123">
        <f>IF(OR(CH$4="",$B15=""),0,SUMIF('DADOS BRUTOS'!$A$3:$A$500,$B15,'DADOS BRUTOS'!H$3:H$500)+IF($C15="",0,SUMIF('DADOS BRUTOS'!$A$3:$A$500,$C15,'DADOS BRUTOS'!H$3:H$500)))</f>
        <v/>
      </c>
      <c r="CI15" s="123">
        <f>IF(OR(CI$4="",$B15=""),0,SUMIF('DADOS BRUTOS'!$A$3:$A$500,$B15,'DADOS BRUTOS'!I$3:I$500)+IF($C15="",0,SUMIF('DADOS BRUTOS'!$A$3:$A$500,$C15,'DADOS BRUTOS'!I$3:I$500)))</f>
        <v/>
      </c>
      <c r="CJ15" s="123">
        <f>IF(OR(CJ$4="",$B15=""),0,SUMIF('DADOS BRUTOS'!$A$3:$A$500,$B15,'DADOS BRUTOS'!J$3:J$500)+IF($C15="",0,SUMIF('DADOS BRUTOS'!$A$3:$A$500,$C15,'DADOS BRUTOS'!J$3:J$500)))</f>
        <v/>
      </c>
      <c r="CK15" s="123">
        <f>IF(OR(CK$4="",$B15=""),0,SUMIF('DADOS BRUTOS'!$A$3:$A$500,$B15,'DADOS BRUTOS'!K$3:K$500)+IF($C15="",0,SUMIF('DADOS BRUTOS'!$A$3:$A$500,$C15,'DADOS BRUTOS'!K$3:K$500)))</f>
        <v/>
      </c>
      <c r="CL15" s="123">
        <f>IF(OR(CL$4="",$B15=""),0,SUMIF('DADOS BRUTOS'!$A$3:$A$500,$B15,'DADOS BRUTOS'!L$3:L$500)+IF($C15="",0,SUMIF('DADOS BRUTOS'!$A$3:$A$500,$C15,'DADOS BRUTOS'!L$3:L$500)))</f>
        <v/>
      </c>
      <c r="CM15" s="123">
        <f>IF(OR(CM$4="",$B15=""),0,SUMIF('DADOS BRUTOS'!$A$3:$A$500,$B15,'DADOS BRUTOS'!M$3:M$500)+IF($C15="",0,SUMIF('DADOS BRUTOS'!$A$3:$A$500,$C15,'DADOS BRUTOS'!M$3:M$500)))</f>
        <v/>
      </c>
      <c r="CN15" s="123">
        <f>IF(OR(CN$4="",$B15=""),0,SUMIF('DADOS BRUTOS'!$A$3:$A$500,$B15,'DADOS BRUTOS'!N$3:N$500)+IF($C15="",0,SUMIF('DADOS BRUTOS'!$A$3:$A$500,$C15,'DADOS BRUTOS'!N$3:N$500)))</f>
        <v/>
      </c>
      <c r="CO15" s="123">
        <f>IF(OR(CO$4="",$B15=""),0,SUMIF('DADOS BRUTOS'!$A$3:$A$500,$B15,'DADOS BRUTOS'!O$3:O$500)+IF($C15="",0,SUMIF('DADOS BRUTOS'!$A$3:$A$500,$C15,'DADOS BRUTOS'!O$3:O$500)))</f>
        <v/>
      </c>
      <c r="CP15" s="123">
        <f>IF(OR(CP$4="",$B15=""),0,SUMIF('DADOS BRUTOS'!$A$3:$A$500,$B15,'DADOS BRUTOS'!P$3:P$500)+IF($C15="",0,SUMIF('DADOS BRUTOS'!$A$3:$A$500,$C15,'DADOS BRUTOS'!P$3:P$500)))</f>
        <v/>
      </c>
      <c r="CQ15" s="123">
        <f>IF(OR(CQ$4="",$B15=""),0,SUMIF('DADOS BRUTOS'!$A$3:$A$500,$B15,'DADOS BRUTOS'!Q$3:Q$500)+IF($C15="",0,SUMIF('DADOS BRUTOS'!$A$3:$A$500,$C15,'DADOS BRUTOS'!Q$3:Q$500)))</f>
        <v/>
      </c>
      <c r="CR15" s="123">
        <f>IF(OR(CR$4="",$B15=""),0,SUMIF('DADOS BRUTOS'!$A$3:$A$500,$B15,'DADOS BRUTOS'!R$3:R$500)+IF($C15="",0,SUMIF('DADOS BRUTOS'!$A$3:$A$500,$C15,'DADOS BRUTOS'!R$3:R$500)))</f>
        <v/>
      </c>
      <c r="CS15" s="123">
        <f>IF(OR(CS$4="",$B15=""),0,SUMIF('DADOS BRUTOS'!$A$3:$A$500,$B15,'DADOS BRUTOS'!S$3:S$500)+IF($C15="",0,SUMIF('DADOS BRUTOS'!$A$3:$A$500,$C15,'DADOS BRUTOS'!S$3:S$500)))</f>
        <v/>
      </c>
      <c r="CT15" s="123">
        <f>IF(OR(CT$4="",$B15=""),0,SUMIF('DADOS BRUTOS'!$A$3:$A$500,$B15,'DADOS BRUTOS'!T$3:T$500)+IF($C15="",0,SUMIF('DADOS BRUTOS'!$A$3:$A$500,$C15,'DADOS BRUTOS'!T$3:T$500)))</f>
        <v/>
      </c>
      <c r="CU15" s="123">
        <f>IF(OR(CU$4="",$B15=""),0,SUMIF('DADOS BRUTOS'!$A$3:$A$500,$B15,'DADOS BRUTOS'!U$3:U$500)+IF($C15="",0,SUMIF('DADOS BRUTOS'!$A$3:$A$500,$C15,'DADOS BRUTOS'!U$3:U$500)))</f>
        <v/>
      </c>
      <c r="CV15" s="123">
        <f>IF(OR(CV$4="",$B15=""),0,SUMIF('DADOS BRUTOS'!$A$3:$A$500,$B15,'DADOS BRUTOS'!V$3:V$500)+IF($C15="",0,SUMIF('DADOS BRUTOS'!$A$3:$A$500,$C15,'DADOS BRUTOS'!V$3:V$500)))</f>
        <v/>
      </c>
      <c r="CW15" s="123">
        <f>IF(OR(CW$4="",$B15=""),0,SUMIF('DADOS BRUTOS'!$A$3:$A$500,$B15,'DADOS BRUTOS'!W$3:W$500)+IF($C15="",0,SUMIF('DADOS BRUTOS'!$A$3:$A$500,$C15,'DADOS BRUTOS'!W$3:W$500)))</f>
        <v/>
      </c>
      <c r="CX15" s="123">
        <f>IF(OR(CX$4="",$B15=""),0,SUMIF('DADOS BRUTOS'!$A$3:$A$500,$B15,'DADOS BRUTOS'!X$3:X$500)+IF($C15="",0,SUMIF('DADOS BRUTOS'!$A$3:$A$500,$C15,'DADOS BRUTOS'!X$3:X$500)))</f>
        <v/>
      </c>
      <c r="CY15" s="123">
        <f>IF(OR(CY$4="",$B15=""),0,SUMIF('DADOS BRUTOS'!$A$3:$A$500,$B15,'DADOS BRUTOS'!Y$3:Y$500)+IF($C15="",0,SUMIF('DADOS BRUTOS'!$A$3:$A$500,$C15,'DADOS BRUTOS'!Y$3:Y$500)))</f>
        <v/>
      </c>
      <c r="CZ15" s="123">
        <f>IF(OR(CZ$4="",$B15=""),0,SUMIF('DADOS BRUTOS'!$A$3:$A$500,$B15,'DADOS BRUTOS'!Z$3:Z$500)+IF($C15="",0,SUMIF('DADOS BRUTOS'!$A$3:$A$500,$C15,'DADOS BRUTOS'!Z$3:Z$500)))</f>
        <v/>
      </c>
      <c r="DA15" s="123">
        <f>IF(OR(DA$4="",$B15=""),0,SUMIF('DADOS BRUTOS'!$A$3:$A$500,$B15,'DADOS BRUTOS'!AA$3:AA$500)+IF($C15="",0,SUMIF('DADOS BRUTOS'!$A$3:$A$500,$C15,'DADOS BRUTOS'!AA$3:AA$500)))</f>
        <v/>
      </c>
      <c r="DB15" s="123">
        <f>IF(OR(DB$4="",$B15=""),0,SUMIF('DADOS BRUTOS'!$A$3:$A$500,$B15,'DADOS BRUTOS'!AB$3:AB$500)+IF($C15="",0,SUMIF('DADOS BRUTOS'!$A$3:$A$500,$C15,'DADOS BRUTOS'!AB$3:AB$500)))</f>
        <v/>
      </c>
      <c r="DC15" s="123">
        <f>IF(OR(DC$4="",$B15=""),0,SUMIF('DADOS BRUTOS'!$A$3:$A$500,$B15,'DADOS BRUTOS'!AC$3:AC$500)+IF($C15="",0,SUMIF('DADOS BRUTOS'!$A$3:$A$500,$C15,'DADOS BRUTOS'!AC$3:AC$500)))</f>
        <v/>
      </c>
      <c r="DD15" s="123">
        <f>IF(OR(DD$4="",$B15=""),0,SUMIF('DADOS BRUTOS'!$A$3:$A$500,$B15,'DADOS BRUTOS'!AD$3:AD$500)+IF($C15="",0,SUMIF('DADOS BRUTOS'!$A$3:$A$500,$C15,'DADOS BRUTOS'!AD$3:AD$500)))</f>
        <v/>
      </c>
      <c r="DE15" s="123">
        <f>IF(OR(DE$4="",$B15=""),0,SUMIF('DADOS BRUTOS'!$A$3:$A$500,$B15,'DADOS BRUTOS'!AE$3:AE$500)+IF($C15="",0,SUMIF('DADOS BRUTOS'!$A$3:$A$500,$C15,'DADOS BRUTOS'!AE$3:AE$500)))</f>
        <v/>
      </c>
      <c r="DF15" s="123">
        <f>IF(OR(DF$4="",$B15=""),0,SUMIF('DADOS BRUTOS'!$A$3:$A$500,$B15,'DADOS BRUTOS'!AF$3:AF$500)+IF($C15="",0,SUMIF('DADOS BRUTOS'!$A$3:$A$500,$C15,'DADOS BRUTOS'!AF$3:AF$500)))</f>
        <v/>
      </c>
      <c r="DG15" s="123">
        <f>IF(OR(DG$4="",$B15=""),0,SUMIF('DADOS BRUTOS'!$A$3:$A$500,$B15,'DADOS BRUTOS'!AG$3:AG$500)+IF($C15="",0,SUMIF('DADOS BRUTOS'!$A$3:$A$500,$C15,'DADOS BRUTOS'!AG$3:AG$500)))</f>
        <v/>
      </c>
      <c r="DH15" s="123">
        <f>IF(OR(DH$4="",$B15=""),0,SUMIF('DADOS BRUTOS'!$A$3:$A$500,$B15,'DADOS BRUTOS'!AH$3:AH$500)+IF($C15="",0,SUMIF('DADOS BRUTOS'!$A$3:$A$500,$C15,'DADOS BRUTOS'!AH$3:AH$500)))</f>
        <v/>
      </c>
      <c r="DI15" s="123">
        <f>IF(OR(DI$4="",$B15=""),0,SUMIF('DADOS BRUTOS'!$A$3:$A$500,$B15,'DADOS BRUTOS'!AI$3:AI$500)+IF($C15="",0,SUMIF('DADOS BRUTOS'!$A$3:$A$500,$C15,'DADOS BRUTOS'!AI$3:AI$500)))</f>
        <v/>
      </c>
      <c r="DJ15" s="123">
        <f>IF(OR(DJ$4="",$B15=""),0,SUMIF('DADOS BRUTOS'!$A$3:$A$500,$B15,'DADOS BRUTOS'!AJ$3:AJ$500)+IF($C15="",0,SUMIF('DADOS BRUTOS'!$A$3:$A$500,$C15,'DADOS BRUTOS'!AJ$3:AJ$500)))</f>
        <v/>
      </c>
      <c r="DK15" s="123">
        <f>IF(OR(DK$4="",$B15=""),0,SUMIF('DADOS BRUTOS'!$A$3:$A$500,$B15,'DADOS BRUTOS'!AK$3:AK$500)+IF($C15="",0,SUMIF('DADOS BRUTOS'!$A$3:$A$500,$C15,'DADOS BRUTOS'!AK$3:AK$500)))</f>
        <v/>
      </c>
      <c r="DL15" s="123">
        <f>IF(OR(DL$4="",$B15=""),0,SUMIF('DADOS BRUTOS'!$A$3:$A$500,$B15,'DADOS BRUTOS'!AL$3:AL$500)+IF($C15="",0,SUMIF('DADOS BRUTOS'!$A$3:$A$500,$C15,'DADOS BRUTOS'!AL$3:AL$500)))</f>
        <v/>
      </c>
      <c r="DM15" s="123">
        <f>IF(OR(DM$4="",$B15=""),0,SUMIF('DADOS BRUTOS'!$A$3:$A$500,$B15,'DADOS BRUTOS'!AM$3:AM$500)+IF($C15="",0,SUMIF('DADOS BRUTOS'!$A$3:$A$500,$C15,'DADOS BRUTOS'!AM$3:AM$500)))</f>
        <v/>
      </c>
      <c r="DN15" s="123">
        <f>IF(OR(DN$4="",$B15=""),0,SUMIF('DADOS BRUTOS'!$A$3:$A$500,$B15,'DADOS BRUTOS'!AN$3:AN$500)+IF($C15="",0,SUMIF('DADOS BRUTOS'!$A$3:$A$500,$C15,'DADOS BRUTOS'!AN$3:AN$500)))</f>
        <v/>
      </c>
      <c r="DO15" s="123">
        <f>IF(OR(DO$4="",$B15=""),0,SUMIF('DADOS BRUTOS'!$A$3:$A$500,$B15,'DADOS BRUTOS'!AO$3:AO$500)+IF($C15="",0,SUMIF('DADOS BRUTOS'!$A$3:$A$500,$C15,'DADOS BRUTOS'!AO$3:AO$500)))</f>
        <v/>
      </c>
      <c r="DP15" s="123">
        <f>IF(OR(DP$4="",$B15=""),0,SUMIF('DADOS BRUTOS'!$A$3:$A$500,$B15,'DADOS BRUTOS'!AP$3:AP$500)+IF($C15="",0,SUMIF('DADOS BRUTOS'!$A$3:$A$500,$C15,'DADOS BRUTOS'!AP$3:AP$500)))</f>
        <v/>
      </c>
      <c r="DQ15" s="123">
        <f>IF(OR(DQ$4="",$B15=""),0,SUMIF('DADOS BRUTOS'!$A$3:$A$500,$B15,'DADOS BRUTOS'!AQ$3:AQ$500)+IF($C15="",0,SUMIF('DADOS BRUTOS'!$A$3:$A$500,$C15,'DADOS BRUTOS'!AQ$3:AQ$500)))</f>
        <v/>
      </c>
      <c r="DR15" s="123">
        <f>IF(OR(DR$4="",$B15=""),0,SUMIF('DADOS BRUTOS'!$A$3:$A$500,$B15,'DADOS BRUTOS'!AR$3:AR$500)+IF($C15="",0,SUMIF('DADOS BRUTOS'!$A$3:$A$500,$C15,'DADOS BRUTOS'!AR$3:AR$500)))</f>
        <v/>
      </c>
      <c r="DS15" s="123">
        <f>IF(OR(DS$4="",$B15=""),0,SUMIF('DADOS BRUTOS'!$A$3:$A$500,$B15,'DADOS BRUTOS'!AS$3:AS$500)+IF($C15="",0,SUMIF('DADOS BRUTOS'!$A$3:$A$500,$C15,'DADOS BRUTOS'!AS$3:AS$500)))</f>
        <v/>
      </c>
      <c r="DT15" s="123">
        <f>IF(OR(DT$4="",$B15=""),0,SUMIF('DADOS BRUTOS'!$A$3:$A$500,$B15,'DADOS BRUTOS'!AT$3:AT$500)+IF($C15="",0,SUMIF('DADOS BRUTOS'!$A$3:$A$500,$C15,'DADOS BRUTOS'!AT$3:AT$500)))</f>
        <v/>
      </c>
      <c r="DU15" s="123">
        <f>IF(OR(DU$4="",$B15=""),0,SUMIF('DADOS BRUTOS'!$A$3:$A$500,$B15,'DADOS BRUTOS'!AU$3:AU$500)+IF($C15="",0,SUMIF('DADOS BRUTOS'!$A$3:$A$500,$C15,'DADOS BRUTOS'!AU$3:AU$500)))</f>
        <v/>
      </c>
      <c r="DV15" s="123">
        <f>IF(OR(DV$4="",$B15=""),0,SUMIF('DADOS BRUTOS'!$A$3:$A$500,$B15,'DADOS BRUTOS'!AV$3:AV$500)+IF($C15="",0,SUMIF('DADOS BRUTOS'!$A$3:$A$500,$C15,'DADOS BRUTOS'!AV$3:AV$500)))</f>
        <v/>
      </c>
      <c r="DW15" s="123">
        <f>IF(OR(DW$4="",$B15=""),0,SUMIF('DADOS BRUTOS'!$A$3:$A$500,$B15,'DADOS BRUTOS'!AW$3:AW$500)+IF($C15="",0,SUMIF('DADOS BRUTOS'!$A$3:$A$500,$C15,'DADOS BRUTOS'!AW$3:AW$500)))</f>
        <v/>
      </c>
      <c r="DX15" s="123">
        <f>IF(OR(DX$4="",$B15=""),0,SUMIF('DADOS BRUTOS'!$A$3:$A$500,$B15,'DADOS BRUTOS'!AX$3:AX$500)+IF($C15="",0,SUMIF('DADOS BRUTOS'!$A$3:$A$500,$C15,'DADOS BRUTOS'!AX$3:AX$500)))</f>
        <v/>
      </c>
      <c r="DY15" s="123">
        <f>IF(OR(DY$4="",$B15=""),0,SUMIF('DADOS BRUTOS'!$A$3:$A$500,$B15,'DADOS BRUTOS'!AY$3:AY$500)+IF($C15="",0,SUMIF('DADOS BRUTOS'!$A$3:$A$500,$C15,'DADOS BRUTOS'!AY$3:AY$500)))</f>
        <v/>
      </c>
      <c r="DZ15" s="123">
        <f>IF(OR(DZ$4="",$B15=""),0,SUMIF('DADOS BRUTOS'!$A$3:$A$500,$B15,'DADOS BRUTOS'!AZ$3:AZ$500)+IF($C15="",0,SUMIF('DADOS BRUTOS'!$A$3:$A$500,$C15,'DADOS BRUTOS'!AZ$3:AZ$500)))</f>
        <v/>
      </c>
      <c r="EA15" s="123">
        <f>IF(OR(EA$4="",$B15=""),0,SUMIF('DADOS BRUTOS'!$A$3:$A$500,$B15,'DADOS BRUTOS'!BA$3:BA$500)+IF($C15="",0,SUMIF('DADOS BRUTOS'!$A$3:$A$500,$C15,'DADOS BRUTOS'!BA$3:BA$500)))</f>
        <v/>
      </c>
      <c r="EB15" s="123">
        <f>IF(OR(EB$4="",$B15=""),0,SUMIF('DADOS BRUTOS'!$A$3:$A$500,$B15,'DADOS BRUTOS'!BB$3:BB$500)+IF($C15="",0,SUMIF('DADOS BRUTOS'!$A$3:$A$500,$C15,'DADOS BRUTOS'!BB$3:BB$500)))</f>
        <v/>
      </c>
      <c r="EC15" s="123">
        <f>IF(OR(EC$4="",$B15=""),0,SUMIF('DADOS BRUTOS'!$A$3:$A$500,$B15,'DADOS BRUTOS'!BC$3:BC$500)+IF($C15="",0,SUMIF('DADOS BRUTOS'!$A$3:$A$500,$C15,'DADOS BRUTOS'!BC$3:BC$500)))</f>
        <v/>
      </c>
      <c r="ED15" s="123">
        <f>IF(OR(ED$4="",$B15=""),0,SUMIF('DADOS BRUTOS'!$A$3:$A$500,$B15,'DADOS BRUTOS'!BD$3:BD$500)+IF($C15="",0,SUMIF('DADOS BRUTOS'!$A$3:$A$500,$C15,'DADOS BRUTOS'!BD$3:BD$500)))</f>
        <v/>
      </c>
      <c r="EE15" s="123">
        <f>IF(OR(EE$4="",$B15=""),0,SUMIF('DADOS BRUTOS'!$A$3:$A$500,$B15,'DADOS BRUTOS'!BE$3:BE$500)+IF($C15="",0,SUMIF('DADOS BRUTOS'!$A$3:$A$500,$C15,'DADOS BRUTOS'!BE$3:BE$500)))</f>
        <v/>
      </c>
      <c r="EF15" s="123">
        <f>IF(OR(EF$4="",$B15=""),0,SUMIF('DADOS BRUTOS'!$A$3:$A$500,$B15,'DADOS BRUTOS'!BF$3:BF$500)+IF($C15="",0,SUMIF('DADOS BRUTOS'!$A$3:$A$500,$C15,'DADOS BRUTOS'!BF$3:BF$500)))</f>
        <v/>
      </c>
      <c r="EG15" s="123">
        <f>IF(OR(EG$4="",$B15=""),0,SUMIF('DADOS BRUTOS'!$A$3:$A$500,$B15,'DADOS BRUTOS'!BG$3:BG$500)+IF($C15="",0,SUMIF('DADOS BRUTOS'!$A$3:$A$500,$C15,'DADOS BRUTOS'!BG$3:BG$500)))</f>
        <v/>
      </c>
      <c r="EH15" s="123">
        <f>IF(OR(EH$4="",$B15=""),0,SUMIF('DADOS BRUTOS'!$A$3:$A$500,$B15,'DADOS BRUTOS'!BH$3:BH$500)+IF($C15="",0,SUMIF('DADOS BRUTOS'!$A$3:$A$500,$C15,'DADOS BRUTOS'!BH$3:BH$500)))</f>
        <v/>
      </c>
      <c r="EI15" s="123">
        <f>IF(OR(EI$4="",$B15=""),0,SUMIF('DADOS BRUTOS'!$A$3:$A$500,$B15,'DADOS BRUTOS'!BI$3:BI$500)+IF($C15="",0,SUMIF('DADOS BRUTOS'!$A$3:$A$500,$C15,'DADOS BRUTOS'!BI$3:BI$500)))</f>
        <v/>
      </c>
      <c r="EJ15" s="123">
        <f>IF(OR(EJ$4="",$B15=""),0,SUMIF('DADOS BRUTOS'!$A$3:$A$500,$B15,'DADOS BRUTOS'!BJ$3:BJ$500)+IF($C15="",0,SUMIF('DADOS BRUTOS'!$A$3:$A$500,$C15,'DADOS BRUTOS'!BJ$3:BJ$500)))</f>
        <v/>
      </c>
      <c r="EK15" s="123">
        <f>IF(OR(EK$4="",$B15=""),0,SUMIF('DADOS BRUTOS'!$A$3:$A$500,$B15,'DADOS BRUTOS'!BK$3:BK$500)+IF($C15="",0,SUMIF('DADOS BRUTOS'!$A$3:$A$500,$C15,'DADOS BRUTOS'!BK$3:BK$500)))</f>
        <v/>
      </c>
      <c r="EL15" s="123">
        <f>IF(OR(EL$4="",$B15=""),0,SUMIF('DADOS BRUTOS'!$A$3:$A$500,$B15,'DADOS BRUTOS'!BL$3:BL$500)+IF($C15="",0,SUMIF('DADOS BRUTOS'!$A$3:$A$500,$C15,'DADOS BRUTOS'!BL$3:BL$500)))</f>
        <v/>
      </c>
      <c r="EM15" s="123">
        <f>IF(OR(EM$4="",$B15=""),0,SUMIF('DADOS BRUTOS'!$A$3:$A$500,$B15,'DADOS BRUTOS'!BM$3:BM$500)+IF($C15="",0,SUMIF('DADOS BRUTOS'!$A$3:$A$500,$C15,'DADOS BRUTOS'!BM$3:BM$500)))</f>
        <v/>
      </c>
      <c r="EN15" s="123">
        <f>IF(OR(EN$4="",$B15=""),0,SUMIF('DADOS BRUTOS'!$A$3:$A$500,$B15,'DADOS BRUTOS'!BN$3:BN$500)+IF($C15="",0,SUMIF('DADOS BRUTOS'!$A$3:$A$500,$C15,'DADOS BRUTOS'!BN$3:BN$500)))</f>
        <v/>
      </c>
      <c r="EO15" s="123">
        <f>IF(OR(EO$4="",$B15=""),0,SUMIF('DADOS BRUTOS'!$A$3:$A$500,$B15,'DADOS BRUTOS'!BO$3:BO$500)+IF($C15="",0,SUMIF('DADOS BRUTOS'!$A$3:$A$500,$C15,'DADOS BRUTOS'!BO$3:BO$500)))</f>
        <v/>
      </c>
      <c r="EP15" s="123">
        <f>IF(OR(EP$4="",$B15=""),0,SUMIF('DADOS BRUTOS'!$A$3:$A$500,$B15,'DADOS BRUTOS'!BP$3:BP$500)+IF($C15="",0,SUMIF('DADOS BRUTOS'!$A$3:$A$500,$C15,'DADOS BRUTOS'!BP$3:BP$500)))</f>
        <v/>
      </c>
      <c r="EQ15" s="123">
        <f>IF(OR(EQ$4="",$B15=""),0,SUMIF('DADOS BRUTOS'!$A$3:$A$500,$B15,'DADOS BRUTOS'!BQ$3:BQ$500)+IF($C15="",0,SUMIF('DADOS BRUTOS'!$A$3:$A$500,$C15,'DADOS BRUTOS'!BQ$3:BQ$500)))</f>
        <v/>
      </c>
      <c r="ER15" s="123">
        <f>IF(OR(ER$4="",$B15=""),0,SUMIF('DADOS BRUTOS'!$A$3:$A$500,$B15,'DADOS BRUTOS'!BR$3:BR$500)+IF($C15="",0,SUMIF('DADOS BRUTOS'!$A$3:$A$500,$C15,'DADOS BRUTOS'!BR$3:BR$500)))</f>
        <v/>
      </c>
      <c r="ES15" s="123">
        <f>IF(OR(ES$4="",$B15=""),0,SUMIF('DADOS BRUTOS'!$A$3:$A$500,$B15,'DADOS BRUTOS'!BS$3:BS$500)+IF($C15="",0,SUMIF('DADOS BRUTOS'!$A$3:$A$500,$C15,'DADOS BRUTOS'!BS$3:BS$500)))</f>
        <v/>
      </c>
      <c r="ET15" s="123">
        <f>IF(OR(ET$4="",$B15=""),0,SUMIF('DADOS BRUTOS'!$A$3:$A$500,$B15,'DADOS BRUTOS'!BT$3:BT$500)+IF($C15="",0,SUMIF('DADOS BRUTOS'!$A$3:$A$500,$C15,'DADOS BRUTOS'!BT$3:BT$500)))</f>
        <v/>
      </c>
      <c r="EU15" s="123">
        <f>IF(OR(EU$4="",$B15=""),0,SUMIF('DADOS BRUTOS'!$A$3:$A$500,$B15,'DADOS BRUTOS'!BU$3:BU$500)+IF($C15="",0,SUMIF('DADOS BRUTOS'!$A$3:$A$500,$C15,'DADOS BRUTOS'!BU$3:BU$500)))</f>
        <v/>
      </c>
      <c r="EV15" s="123">
        <f>IF(OR(EV$4="",$B15=""),0,SUMIF('DADOS BRUTOS'!$A$3:$A$500,$B15,'DADOS BRUTOS'!BV$3:BV$500)+IF($C15="",0,SUMIF('DADOS BRUTOS'!$A$3:$A$500,$C15,'DADOS BRUTOS'!BV$3:BV$500)))</f>
        <v/>
      </c>
      <c r="EW15" s="123">
        <f>IF(OR(EW$4="",$B15=""),0,SUMIF('DADOS BRUTOS'!$A$3:$A$500,$B15,'DADOS BRUTOS'!BW$3:BW$500)+IF($C15="",0,SUMIF('DADOS BRUTOS'!$A$3:$A$500,$C15,'DADOS BRUTOS'!BW$3:BW$500)))</f>
        <v/>
      </c>
      <c r="EX15" s="123">
        <f>IF(OR(EX$4="",$B15=""),0,SUMIF('DADOS BRUTOS'!$A$3:$A$500,$B15,'DADOS BRUTOS'!BX$3:BX$500)+IF($C15="",0,SUMIF('DADOS BRUTOS'!$A$3:$A$500,$C15,'DADOS BRUTOS'!BX$3:BX$500)))</f>
        <v/>
      </c>
      <c r="EY15" s="123">
        <f>IF(OR(EY$4="",$B15=""),0,SUMIF('DADOS BRUTOS'!$A$3:$A$500,$B15,'DADOS BRUTOS'!BY$3:BY$500)+IF($C15="",0,SUMIF('DADOS BRUTOS'!$A$3:$A$500,$C15,'DADOS BRUTOS'!BY$3:BY$500)))</f>
        <v/>
      </c>
      <c r="EZ15" s="123">
        <f>IF(OR(EZ$4="",$B15=""),0,SUMIF('DADOS BRUTOS'!$A$3:$A$500,$B15,'DADOS BRUTOS'!BZ$3:BZ$500)+IF($C15="",0,SUMIF('DADOS BRUTOS'!$A$3:$A$500,$C15,'DADOS BRUTOS'!BZ$3:BZ$500)))</f>
        <v/>
      </c>
      <c r="FA15" s="123">
        <f>IF(OR(FA$4="",$B15=""),0,SUMIF('DADOS BRUTOS'!$A$3:$A$500,$B15,'DADOS BRUTOS'!CA$3:CA$500)+IF($C15="",0,SUMIF('DADOS BRUTOS'!$A$3:$A$500,$C15,'DADOS BRUTOS'!CA$3:CA$500)))</f>
        <v/>
      </c>
      <c r="FB15" s="123">
        <f>IF(OR(FB$4="",$B15=""),0,SUMIF('DADOS BRUTOS'!$A$3:$A$500,$B15,'DADOS BRUTOS'!CB$3:CB$500)+IF($C15="",0,SUMIF('DADOS BRUTOS'!$A$3:$A$500,$C15,'DADOS BRUTOS'!CB$3:CB$500)))</f>
        <v/>
      </c>
      <c r="FC15" s="123">
        <f>IF(OR(FC$4="",$B15=""),0,SUMIF('DADOS BRUTOS'!$A$3:$A$500,$B15,'DADOS BRUTOS'!CC$3:CC$500)+IF($C15="",0,SUMIF('DADOS BRUTOS'!$A$3:$A$500,$C15,'DADOS BRUTOS'!CC$3:CC$500)))</f>
        <v/>
      </c>
      <c r="FD15" s="123">
        <f>IF(OR(FD$4="",$B15=""),0,SUMIF('DADOS BRUTOS'!$A$3:$A$500,$B15,'DADOS BRUTOS'!CD$3:CD$500)+IF($C15="",0,SUMIF('DADOS BRUTOS'!$A$3:$A$500,$C15,'DADOS BRUTOS'!CD$3:CD$500)))</f>
        <v/>
      </c>
      <c r="FE15" s="123">
        <f>IF(OR(FE$4="",$B15=""),0,SUMIF('DADOS BRUTOS'!$A$3:$A$500,$B15,'DADOS BRUTOS'!CE$3:CE$500)+IF($C15="",0,SUMIF('DADOS BRUTOS'!$A$3:$A$500,$C15,'DADOS BRUTOS'!CE$3:CE$500)))</f>
        <v/>
      </c>
      <c r="FF15" s="123">
        <f>IF(OR(FF$4="",$B15=""),0,SUMIF('DADOS BRUTOS'!$A$3:$A$500,$B15,'DADOS BRUTOS'!CF$3:CF$500)+IF($C15="",0,SUMIF('DADOS BRUTOS'!$A$3:$A$500,$C15,'DADOS BRUTOS'!CF$3:CF$500)))</f>
        <v/>
      </c>
      <c r="FG15" s="123">
        <f>IF(OR(FG$4="",$B15=""),0,SUMIF('DADOS BRUTOS'!$A$3:$A$500,$B15,'DADOS BRUTOS'!CG$3:CG$500)+IF($C15="",0,SUMIF('DADOS BRUTOS'!$A$3:$A$500,$C15,'DADOS BRUTOS'!CG$3:CG$500)))</f>
        <v/>
      </c>
      <c r="FH15" s="123">
        <f>IF(OR(FH$4="",$B15=""),0,SUMIF('DADOS BRUTOS'!$A$3:$A$500,$B15,'DADOS BRUTOS'!CH$3:CH$500)+IF($C15="",0,SUMIF('DADOS BRUTOS'!$A$3:$A$500,$C15,'DADOS BRUTOS'!CH$3:CH$500)))</f>
        <v/>
      </c>
      <c r="FI15" s="123">
        <f>IF(OR(FI$4="",$B15=""),0,SUMIF('DADOS BRUTOS'!$A$3:$A$500,$B15,'DADOS BRUTOS'!CI$3:CI$500)+IF($C15="",0,SUMIF('DADOS BRUTOS'!$A$3:$A$500,$C15,'DADOS BRUTOS'!CI$3:CI$500)))</f>
        <v/>
      </c>
      <c r="FJ15" s="123">
        <f>IF(OR(FJ$4="",$B15=""),0,SUMIF('DADOS BRUTOS'!$A$3:$A$500,$B15,'DADOS BRUTOS'!CJ$3:CJ$500)+IF($C15="",0,SUMIF('DADOS BRUTOS'!$A$3:$A$500,$C15,'DADOS BRUTOS'!CJ$3:CJ$500)))</f>
        <v/>
      </c>
      <c r="FK15" s="123">
        <f>IF(OR(FK$4="",$B15=""),0,SUMIF('DADOS BRUTOS'!$A$3:$A$500,$B15,'DADOS BRUTOS'!CK$3:CK$500)+IF($C15="",0,SUMIF('DADOS BRUTOS'!$A$3:$A$500,$C15,'DADOS BRUTOS'!CK$3:CK$500)))</f>
        <v/>
      </c>
      <c r="FL15" s="123">
        <f>IF(OR(FL$4="",$B15=""),0,SUMIF('DADOS BRUTOS'!$A$3:$A$500,$B15,'DADOS BRUTOS'!CL$3:CL$500)+IF($C15="",0,SUMIF('DADOS BRUTOS'!$A$3:$A$500,$C15,'DADOS BRUTOS'!CL$3:CL$500)))</f>
        <v/>
      </c>
      <c r="FM15" s="123">
        <f>IF(OR(FM$4="",$B15=""),0,SUMIF('DADOS BRUTOS'!$A$3:$A$500,$B15,'DADOS BRUTOS'!CM$3:CM$500)+IF($C15="",0,SUMIF('DADOS BRUTOS'!$A$3:$A$500,$C15,'DADOS BRUTOS'!CM$3:CM$500)))</f>
        <v/>
      </c>
      <c r="FN15" s="123">
        <f>IF(OR(FN$4="",$B15=""),0,SUMIF('DADOS BRUTOS'!$A$3:$A$500,$B15,'DADOS BRUTOS'!CN$3:CN$500)+IF($C15="",0,SUMIF('DADOS BRUTOS'!$A$3:$A$500,$C15,'DADOS BRUTOS'!CN$3:CN$500)))</f>
        <v/>
      </c>
      <c r="FO15" s="123">
        <f>IF(OR(FO$4="",$B15=""),0,SUMIF('DADOS BRUTOS'!$A$3:$A$500,$B15,'DADOS BRUTOS'!CO$3:CO$500)+IF($C15="",0,SUMIF('DADOS BRUTOS'!$A$3:$A$500,$C15,'DADOS BRUTOS'!CO$3:CO$500)))</f>
        <v/>
      </c>
      <c r="FP15" s="123">
        <f>IF(OR(FP$4="",$B15=""),0,SUMIF('DADOS BRUTOS'!$A$3:$A$500,$B15,'DADOS BRUTOS'!CP$3:CP$500)+IF($C15="",0,SUMIF('DADOS BRUTOS'!$A$3:$A$500,$C15,'DADOS BRUTOS'!CP$3:CP$500)))</f>
        <v/>
      </c>
      <c r="FQ15" s="123">
        <f>IF(OR(FQ$4="",$B15=""),0,SUMIF('DADOS BRUTOS'!$A$3:$A$500,$B15,'DADOS BRUTOS'!CQ$3:CQ$500)+IF($C15="",0,SUMIF('DADOS BRUTOS'!$A$3:$A$500,$C15,'DADOS BRUTOS'!CQ$3:CQ$500)))</f>
        <v/>
      </c>
      <c r="FR15" s="123">
        <f>IF(OR(FR$4="",$B15=""),0,SUMIF('DADOS BRUTOS'!$A$3:$A$500,$B15,'DADOS BRUTOS'!CR$3:CR$500)+IF($C15="",0,SUMIF('DADOS BRUTOS'!$A$3:$A$500,$C15,'DADOS BRUTOS'!CR$3:CR$500)))</f>
        <v/>
      </c>
      <c r="FS15" s="123">
        <f>IF(OR(FS$4="",$B15=""),0,SUMIF('DADOS BRUTOS'!$A$3:$A$500,$B15,'DADOS BRUTOS'!CS$3:CS$500)+IF($C15="",0,SUMIF('DADOS BRUTOS'!$A$3:$A$500,$C15,'DADOS BRUTOS'!CS$3:CS$500)))</f>
        <v/>
      </c>
      <c r="FT15" s="123">
        <f>IF(OR(FT$4="",$B15=""),0,SUMIF('DADOS BRUTOS'!$A$3:$A$500,$B15,'DADOS BRUTOS'!CT$3:CT$500)+IF($C15="",0,SUMIF('DADOS BRUTOS'!$A$3:$A$500,$C15,'DADOS BRUTOS'!CT$3:CT$500)))</f>
        <v/>
      </c>
      <c r="FU15" s="123">
        <f>IF(OR(FU$4="",$B15=""),0,SUMIF('DADOS BRUTOS'!$A$3:$A$500,$B15,'DADOS BRUTOS'!CU$3:CU$500)+IF($C15="",0,SUMIF('DADOS BRUTOS'!$A$3:$A$500,$C15,'DADOS BRUTOS'!CU$3:CU$500)))</f>
        <v/>
      </c>
      <c r="FV15" s="123">
        <f>IF(OR(FV$4="",$B15=""),0,SUMIF('DADOS BRUTOS'!$A$3:$A$500,$B15,'DADOS BRUTOS'!CV$3:CV$500)+IF($C15="",0,SUMIF('DADOS BRUTOS'!$A$3:$A$500,$C15,'DADOS BRUTOS'!CV$3:CV$500)))</f>
        <v/>
      </c>
      <c r="FW15" s="123">
        <f>IF(OR(FW$4="",$B15=""),0,SUMIF('DADOS BRUTOS'!$A$3:$A$500,$B15,'DADOS BRUTOS'!CW$3:CW$500)+IF($C15="",0,SUMIF('DADOS BRUTOS'!$A$3:$A$500,$C15,'DADOS BRUTOS'!CW$3:CW$500)))</f>
        <v/>
      </c>
      <c r="FX15" s="123">
        <f>IF(OR(FX$4="",$B15=""),0,SUMIF('DADOS BRUTOS'!$A$3:$A$500,$B15,'DADOS BRUTOS'!CX$3:CX$500)+IF($C15="",0,SUMIF('DADOS BRUTOS'!$A$3:$A$500,$C15,'DADOS BRUTOS'!CX$3:CX$500)))</f>
        <v/>
      </c>
      <c r="FY15" s="123">
        <f>IF(OR(FY$4="",$B15=""),0,SUMIF('DADOS BRUTOS'!$A$3:$A$500,$B15,'DADOS BRUTOS'!CY$3:CY$500)+IF($C15="",0,SUMIF('DADOS BRUTOS'!$A$3:$A$500,$C15,'DADOS BRUTOS'!CY$3:CY$500)))</f>
        <v/>
      </c>
      <c r="FZ15" s="123">
        <f>IF(OR(FZ$4="",$B15=""),0,SUMIF('DADOS BRUTOS'!$A$3:$A$500,$B15,'DADOS BRUTOS'!CZ$3:CZ$500)+IF($C15="",0,SUMIF('DADOS BRUTOS'!$A$3:$A$500,$C15,'DADOS BRUTOS'!CZ$3:CZ$500)))</f>
        <v/>
      </c>
      <c r="GA15" s="123">
        <f>IF(OR(GA$4="",$B15=""),0,SUMIF('DADOS BRUTOS'!$A$3:$A$500,$B15,'DADOS BRUTOS'!DA$3:DA$500)+IF($C15="",0,SUMIF('DADOS BRUTOS'!$A$3:$A$500,$C15,'DADOS BRUTOS'!DA$3:DA$500)))</f>
        <v/>
      </c>
      <c r="GB15" s="123">
        <f>IF(OR(GB$4="",$B15=""),0,SUMIF('DADOS BRUTOS'!$A$3:$A$500,$B15,'DADOS BRUTOS'!DB$3:DB$500)+IF($C15="",0,SUMIF('DADOS BRUTOS'!$A$3:$A$500,$C15,'DADOS BRUTOS'!DB$3:DB$500)))</f>
        <v/>
      </c>
      <c r="GC15" s="123">
        <f>IF(OR(GC$4="",$B15=""),0,SUMIF('DADOS BRUTOS'!$A$3:$A$500,$B15,'DADOS BRUTOS'!DC$3:DC$500)+IF($C15="",0,SUMIF('DADOS BRUTOS'!$A$3:$A$500,$C15,'DADOS BRUTOS'!DC$3:DC$500)))</f>
        <v/>
      </c>
      <c r="GD15" s="123">
        <f>IF(OR(GD$4="",$B15=""),0,SUMIF('DADOS BRUTOS'!$A$3:$A$500,$B15,'DADOS BRUTOS'!DD$3:DD$500)+IF($C15="",0,SUMIF('DADOS BRUTOS'!$A$3:$A$500,$C15,'DADOS BRUTOS'!DD$3:DD$500)))</f>
        <v/>
      </c>
      <c r="GE15" s="123">
        <f>IF(OR(GE$4="",$B15=""),0,SUMIF('DADOS BRUTOS'!$A$3:$A$500,$B15,'DADOS BRUTOS'!DE$3:DE$500)+IF($C15="",0,SUMIF('DADOS BRUTOS'!$A$3:$A$500,$C15,'DADOS BRUTOS'!DE$3:DE$500)))</f>
        <v/>
      </c>
      <c r="GF15" s="123">
        <f>IF(OR(GF$4="",$B15=""),0,SUMIF('DADOS BRUTOS'!$A$3:$A$500,$B15,'DADOS BRUTOS'!DF$3:DF$500)+IF($C15="",0,SUMIF('DADOS BRUTOS'!$A$3:$A$500,$C15,'DADOS BRUTOS'!DF$3:DF$500)))</f>
        <v/>
      </c>
      <c r="GG15" s="123">
        <f>IF(OR(GG$4="",$B15=""),0,SUMIF('DADOS BRUTOS'!$A$3:$A$500,$B15,'DADOS BRUTOS'!DG$3:DG$500)+IF($C15="",0,SUMIF('DADOS BRUTOS'!$A$3:$A$500,$C15,'DADOS BRUTOS'!DG$3:DG$500)))</f>
        <v/>
      </c>
      <c r="GH15" s="123">
        <f>IF(OR(GH$4="",$B15=""),0,SUMIF('DADOS BRUTOS'!$A$3:$A$500,$B15,'DADOS BRUTOS'!DH$3:DH$500)+IF($C15="",0,SUMIF('DADOS BRUTOS'!$A$3:$A$500,$C15,'DADOS BRUTOS'!DH$3:DH$500)))</f>
        <v/>
      </c>
      <c r="GI15" s="123">
        <f>IF(OR(GI$4="",$B15=""),0,SUMIF('DADOS BRUTOS'!$A$3:$A$500,$B15,'DADOS BRUTOS'!DI$3:DI$500)+IF($C15="",0,SUMIF('DADOS BRUTOS'!$A$3:$A$500,$C15,'DADOS BRUTOS'!DI$3:DI$500)))</f>
        <v/>
      </c>
      <c r="GJ15" s="123">
        <f>IF(OR(GJ$4="",$B15=""),0,SUMIF('DADOS BRUTOS'!$A$3:$A$500,$B15,'DADOS BRUTOS'!DJ$3:DJ$500)+IF($C15="",0,SUMIF('DADOS BRUTOS'!$A$3:$A$500,$C15,'DADOS BRUTOS'!DJ$3:DJ$500)))</f>
        <v/>
      </c>
      <c r="GK15" s="123">
        <f>IF(OR(GK$4="",$B15=""),0,SUMIF('DADOS BRUTOS'!$A$3:$A$500,$B15,'DADOS BRUTOS'!DK$3:DK$500)+IF($C15="",0,SUMIF('DADOS BRUTOS'!$A$3:$A$500,$C15,'DADOS BRUTOS'!DK$3:DK$500)))</f>
        <v/>
      </c>
      <c r="GL15" s="123">
        <f>IF(OR(GL$4="",$B15=""),0,SUMIF('DADOS BRUTOS'!$A$3:$A$500,$B15,'DADOS BRUTOS'!DL$3:DL$500)+IF($C15="",0,SUMIF('DADOS BRUTOS'!$A$3:$A$500,$C15,'DADOS BRUTOS'!DL$3:DL$500)))</f>
        <v/>
      </c>
      <c r="GM15" s="123">
        <f>IF(OR(GM$4="",$B15=""),0,SUMIF('DADOS BRUTOS'!$A$3:$A$500,$B15,'DADOS BRUTOS'!DM$3:DM$500)+IF($C15="",0,SUMIF('DADOS BRUTOS'!$A$3:$A$500,$C15,'DADOS BRUTOS'!DM$3:DM$500)))</f>
        <v/>
      </c>
      <c r="GN15" s="123">
        <f>IF(OR(GN$4="",$B15=""),0,SUMIF('DADOS BRUTOS'!$A$3:$A$500,$B15,'DADOS BRUTOS'!DN$3:DN$500)+IF($C15="",0,SUMIF('DADOS BRUTOS'!$A$3:$A$500,$C15,'DADOS BRUTOS'!DN$3:DN$500)))</f>
        <v/>
      </c>
      <c r="GO15" s="123">
        <f>IF(OR(GO$4="",$B15=""),0,SUMIF('DADOS BRUTOS'!$A$3:$A$500,$B15,'DADOS BRUTOS'!DO$3:DO$500)+IF($C15="",0,SUMIF('DADOS BRUTOS'!$A$3:$A$500,$C15,'DADOS BRUTOS'!DO$3:DO$500)))</f>
        <v/>
      </c>
      <c r="GP15" s="123">
        <f>IF(OR(GP$4="",$B15=""),0,SUMIF('DADOS BRUTOS'!$A$3:$A$500,$B15,'DADOS BRUTOS'!DP$3:DP$500)+IF($C15="",0,SUMIF('DADOS BRUTOS'!$A$3:$A$500,$C15,'DADOS BRUTOS'!DP$3:DP$500)))</f>
        <v/>
      </c>
      <c r="GQ15" s="123">
        <f>IF(OR(GQ$4="",$B15=""),0,SUMIF('DADOS BRUTOS'!$A$3:$A$500,$B15,'DADOS BRUTOS'!DQ$3:DQ$500)+IF($C15="",0,SUMIF('DADOS BRUTOS'!$A$3:$A$500,$C15,'DADOS BRUTOS'!DQ$3:DQ$500)))</f>
        <v/>
      </c>
      <c r="GR15" s="123">
        <f>IF(OR(GR$4="",$B15=""),0,SUMIF('DADOS BRUTOS'!$A$3:$A$500,$B15,'DADOS BRUTOS'!DR$3:DR$500)+IF($C15="",0,SUMIF('DADOS BRUTOS'!$A$3:$A$500,$C15,'DADOS BRUTOS'!DR$3:DR$500)))</f>
        <v/>
      </c>
      <c r="GS15" s="123">
        <f>IF(OR(GS$4="",$B15=""),0,SUMIF('DADOS BRUTOS'!$A$3:$A$500,$B15,'DADOS BRUTOS'!DS$3:DS$500)+IF($C15="",0,SUMIF('DADOS BRUTOS'!$A$3:$A$500,$C15,'DADOS BRUTOS'!DS$3:DS$500)))</f>
        <v/>
      </c>
      <c r="GT15" s="123">
        <f>IF(OR(GT$4="",$B15=""),0,SUMIF('DADOS BRUTOS'!$A$3:$A$500,$B15,'DADOS BRUTOS'!DT$3:DT$500)+IF($C15="",0,SUMIF('DADOS BRUTOS'!$A$3:$A$500,$C15,'DADOS BRUTOS'!DT$3:DT$500)))</f>
        <v/>
      </c>
      <c r="GU15" s="123">
        <f>IF(OR(GU$4="",$B15=""),0,SUMIF('DADOS BRUTOS'!$A$3:$A$500,$B15,'DADOS BRUTOS'!DU$3:DU$500)+IF($C15="",0,SUMIF('DADOS BRUTOS'!$A$3:$A$500,$C15,'DADOS BRUTOS'!DU$3:DU$500)))</f>
        <v/>
      </c>
      <c r="GV15" s="123">
        <f>IF(OR(GV$4="",$B15=""),0,SUMIF('DADOS BRUTOS'!$A$3:$A$500,$B15,'DADOS BRUTOS'!DV$3:DV$500)+IF($C15="",0,SUMIF('DADOS BRUTOS'!$A$3:$A$500,$C15,'DADOS BRUTOS'!DV$3:DV$500)))</f>
        <v/>
      </c>
      <c r="GW15" s="123">
        <f>IF(OR(GW$4="",$B15=""),0,SUMIF('DADOS BRUTOS'!$A$3:$A$500,$B15,'DADOS BRUTOS'!DW$3:DW$500)+IF($C15="",0,SUMIF('DADOS BRUTOS'!$A$3:$A$500,$C15,'DADOS BRUTOS'!DW$3:DW$500)))</f>
        <v/>
      </c>
      <c r="GX15" s="123">
        <f>IF(OR(GX$4="",$B15=""),0,SUMIF('DADOS BRUTOS'!$A$3:$A$500,$B15,'DADOS BRUTOS'!DX$3:DX$500)+IF($C15="",0,SUMIF('DADOS BRUTOS'!$A$3:$A$500,$C15,'DADOS BRUTOS'!DX$3:DX$500)))</f>
        <v/>
      </c>
      <c r="GY15" s="123">
        <f>IF(OR(GY$4="",$B15=""),0,SUMIF('DADOS BRUTOS'!$A$3:$A$500,$B15,'DADOS BRUTOS'!DY$3:DY$500)+IF($C15="",0,SUMIF('DADOS BRUTOS'!$A$3:$A$500,$C15,'DADOS BRUTOS'!DY$3:DY$500)))</f>
        <v/>
      </c>
      <c r="GZ15" s="123">
        <f>IF(OR(GZ$4="",$B15=""),0,SUMIF('DADOS BRUTOS'!$A$3:$A$500,$B15,'DADOS BRUTOS'!DZ$3:DZ$500)+IF($C15="",0,SUMIF('DADOS BRUTOS'!$A$3:$A$500,$C15,'DADOS BRUTOS'!DZ$3:DZ$500)))</f>
        <v/>
      </c>
      <c r="HA15" s="123">
        <f>IF(OR(HA$4="",$B15=""),0,SUMIF('DADOS BRUTOS'!$A$3:$A$500,$B15,'DADOS BRUTOS'!EA$3:EA$500)+IF($C15="",0,SUMIF('DADOS BRUTOS'!$A$3:$A$500,$C15,'DADOS BRUTOS'!EA$3:EA$500)))</f>
        <v/>
      </c>
      <c r="HB15" s="123">
        <f>IF(OR(HB$4="",$B15=""),0,SUMIF('DADOS BRUTOS'!$A$3:$A$500,$B15,'DADOS BRUTOS'!EB$3:EB$500)+IF($C15="",0,SUMIF('DADOS BRUTOS'!$A$3:$A$500,$C15,'DADOS BRUTOS'!EB$3:EB$500)))</f>
        <v/>
      </c>
      <c r="HC15" s="123">
        <f>IF(OR(HC$4="",$B15=""),0,SUMIF('DADOS BRUTOS'!$A$3:$A$500,$B15,'DADOS BRUTOS'!EC$3:EC$500)+IF($C15="",0,SUMIF('DADOS BRUTOS'!$A$3:$A$500,$C15,'DADOS BRUTOS'!EC$3:EC$500)))</f>
        <v/>
      </c>
      <c r="HD15" s="123">
        <f>IF(OR(HD$4="",$B15=""),0,SUMIF('DADOS BRUTOS'!$A$3:$A$500,$B15,'DADOS BRUTOS'!ED$3:ED$500)+IF($C15="",0,SUMIF('DADOS BRUTOS'!$A$3:$A$500,$C15,'DADOS BRUTOS'!ED$3:ED$500)))</f>
        <v/>
      </c>
      <c r="HE15" s="123">
        <f>IF(OR(HE$4="",$B15=""),0,SUMIF('DADOS BRUTOS'!$A$3:$A$500,$B15,'DADOS BRUTOS'!EE$3:EE$500)+IF($C15="",0,SUMIF('DADOS BRUTOS'!$A$3:$A$500,$C15,'DADOS BRUTOS'!EE$3:EE$500)))</f>
        <v/>
      </c>
      <c r="HF15" s="123">
        <f>IF(OR(HF$4="",$B15=""),0,SUMIF('DADOS BRUTOS'!$A$3:$A$500,$B15,'DADOS BRUTOS'!EF$3:EF$500)+IF($C15="",0,SUMIF('DADOS BRUTOS'!$A$3:$A$500,$C15,'DADOS BRUTOS'!EF$3:EF$500)))</f>
        <v/>
      </c>
      <c r="HG15" s="123">
        <f>IF(OR(HG$4="",$B15=""),0,SUMIF('DADOS BRUTOS'!$A$3:$A$500,$B15,'DADOS BRUTOS'!EG$3:EG$500)+IF($C15="",0,SUMIF('DADOS BRUTOS'!$A$3:$A$500,$C15,'DADOS BRUTOS'!EG$3:EG$500)))</f>
        <v/>
      </c>
      <c r="HH15" s="123">
        <f>IF(OR(HH$4="",$B15=""),0,SUMIF('DADOS BRUTOS'!$A$3:$A$500,$B15,'DADOS BRUTOS'!EH$3:EH$500)+IF($C15="",0,SUMIF('DADOS BRUTOS'!$A$3:$A$500,$C15,'DADOS BRUTOS'!EH$3:EH$500)))</f>
        <v/>
      </c>
      <c r="HI15" s="123">
        <f>IF(OR(HI$4="",$B15=""),0,SUMIF('DADOS BRUTOS'!$A$3:$A$500,$B15,'DADOS BRUTOS'!EI$3:EI$500)+IF($C15="",0,SUMIF('DADOS BRUTOS'!$A$3:$A$500,$C15,'DADOS BRUTOS'!EI$3:EI$500)))</f>
        <v/>
      </c>
      <c r="HJ15" s="123">
        <f>IF(OR(HJ$4="",$B15=""),0,SUMIF('DADOS BRUTOS'!$A$3:$A$500,$B15,'DADOS BRUTOS'!EJ$3:EJ$500)+IF($C15="",0,SUMIF('DADOS BRUTOS'!$A$3:$A$500,$C15,'DADOS BRUTOS'!EJ$3:EJ$500)))</f>
        <v/>
      </c>
      <c r="HK15" s="123">
        <f>IF(OR(HK$4="",$B15=""),0,SUMIF('DADOS BRUTOS'!$A$3:$A$500,$B15,'DADOS BRUTOS'!EK$3:EK$500)+IF($C15="",0,SUMIF('DADOS BRUTOS'!$A$3:$A$500,$C15,'DADOS BRUTOS'!EK$3:EK$500)))</f>
        <v/>
      </c>
      <c r="HL15" s="123">
        <f>IF(OR(HL$4="",$B15=""),0,SUMIF('DADOS BRUTOS'!$A$3:$A$500,$B15,'DADOS BRUTOS'!EL$3:EL$500)+IF($C15="",0,SUMIF('DADOS BRUTOS'!$A$3:$A$500,$C15,'DADOS BRUTOS'!EL$3:EL$500)))</f>
        <v/>
      </c>
      <c r="HM15" s="123">
        <f>IF(OR(HM$4="",$B15=""),0,SUMIF('DADOS BRUTOS'!$A$3:$A$500,$B15,'DADOS BRUTOS'!EM$3:EM$500)+IF($C15="",0,SUMIF('DADOS BRUTOS'!$A$3:$A$500,$C15,'DADOS BRUTOS'!EM$3:EM$500)))</f>
        <v/>
      </c>
      <c r="HN15" s="123">
        <f>IF(OR(HN$4="",$B15=""),0,SUMIF('DADOS BRUTOS'!$A$3:$A$500,$B15,'DADOS BRUTOS'!EN$3:EN$500)+IF($C15="",0,SUMIF('DADOS BRUTOS'!$A$3:$A$500,$C15,'DADOS BRUTOS'!EN$3:EN$500)))</f>
        <v/>
      </c>
      <c r="HO15" s="123">
        <f>IF(OR(HO$4="",$B15=""),0,SUMIF('DADOS BRUTOS'!$A$3:$A$500,$B15,'DADOS BRUTOS'!EO$3:EO$500)+IF($C15="",0,SUMIF('DADOS BRUTOS'!$A$3:$A$500,$C15,'DADOS BRUTOS'!EO$3:EO$500)))</f>
        <v/>
      </c>
      <c r="HP15" s="123">
        <f>IF(OR(HP$4="",$B15=""),0,SUMIF('DADOS BRUTOS'!$A$3:$A$500,$B15,'DADOS BRUTOS'!EP$3:EP$500)+IF($C15="",0,SUMIF('DADOS BRUTOS'!$A$3:$A$500,$C15,'DADOS BRUTOS'!EP$3:EP$500)))</f>
        <v/>
      </c>
      <c r="HQ15" s="123">
        <f>IF(OR(HQ$4="",$B15=""),0,SUMIF('DADOS BRUTOS'!$A$3:$A$500,$B15,'DADOS BRUTOS'!EQ$3:EQ$500)+IF($C15="",0,SUMIF('DADOS BRUTOS'!$A$3:$A$500,$C15,'DADOS BRUTOS'!EQ$3:EQ$500)))</f>
        <v/>
      </c>
      <c r="HR15" s="123">
        <f>IF(OR(HR$4="",$B15=""),0,SUMIF('DADOS BRUTOS'!$A$3:$A$500,$B15,'DADOS BRUTOS'!ER$3:ER$500)+IF($C15="",0,SUMIF('DADOS BRUTOS'!$A$3:$A$500,$C15,'DADOS BRUTOS'!ER$3:ER$500)))</f>
        <v/>
      </c>
      <c r="HS15" s="123">
        <f>IF(OR(HS$4="",$B15=""),0,SUMIF('DADOS BRUTOS'!$A$3:$A$500,$B15,'DADOS BRUTOS'!ES$3:ES$500)+IF($C15="",0,SUMIF('DADOS BRUTOS'!$A$3:$A$500,$C15,'DADOS BRUTOS'!ES$3:ES$500)))</f>
        <v/>
      </c>
      <c r="HT15" s="123">
        <f>IF(OR(HT$4="",$B15=""),0,SUMIF('DADOS BRUTOS'!$A$3:$A$500,$B15,'DADOS BRUTOS'!ET$3:ET$500)+IF($C15="",0,SUMIF('DADOS BRUTOS'!$A$3:$A$500,$C15,'DADOS BRUTOS'!ET$3:ET$500)))</f>
        <v/>
      </c>
      <c r="HU15" s="123">
        <f>IF(OR(HU$4="",$B15=""),0,SUMIF('DADOS BRUTOS'!$A$3:$A$500,$B15,'DADOS BRUTOS'!EU$3:EU$500)+IF($C15="",0,SUMIF('DADOS BRUTOS'!$A$3:$A$500,$C15,'DADOS BRUTOS'!EU$3:EU$500)))</f>
        <v/>
      </c>
      <c r="HV15" s="123">
        <f>IF(OR(HV$4="",$B15=""),0,SUMIF('DADOS BRUTOS'!$A$3:$A$500,$B15,'DADOS BRUTOS'!EV$3:EV$500)+IF($C15="",0,SUMIF('DADOS BRUTOS'!$A$3:$A$500,$C15,'DADOS BRUTOS'!EV$3:EV$500)))</f>
        <v/>
      </c>
      <c r="HW15" s="123">
        <f>IF(OR(HW$4="",$B15=""),0,SUMIF('DADOS BRUTOS'!$A$3:$A$500,$B15,'DADOS BRUTOS'!EW$3:EW$500)+IF($C15="",0,SUMIF('DADOS BRUTOS'!$A$3:$A$500,$C15,'DADOS BRUTOS'!EW$3:EW$500)))</f>
        <v/>
      </c>
      <c r="HX15" s="123">
        <f>IF(OR(HX$4="",$B15=""),0,SUMIF('DADOS BRUTOS'!$A$3:$A$500,$B15,'DADOS BRUTOS'!EX$3:EX$500)+IF($C15="",0,SUMIF('DADOS BRUTOS'!$A$3:$A$500,$C15,'DADOS BRUTOS'!EX$3:EX$500)))</f>
        <v/>
      </c>
      <c r="HY15" s="123">
        <f>IF(OR(HY$4="",$B15=""),0,SUMIF('DADOS BRUTOS'!$A$3:$A$500,$B15,'DADOS BRUTOS'!EY$3:EY$500)+IF($C15="",0,SUMIF('DADOS BRUTOS'!$A$3:$A$500,$C15,'DADOS BRUTOS'!EY$3:EY$500)))</f>
        <v/>
      </c>
      <c r="HZ15" s="123">
        <f>IF(OR(HZ$4="",$B15=""),0,SUMIF('DADOS BRUTOS'!$A$3:$A$500,$B15,'DADOS BRUTOS'!EZ$3:EZ$500)+IF($C15="",0,SUMIF('DADOS BRUTOS'!$A$3:$A$500,$C15,'DADOS BRUTOS'!EZ$3:EZ$500)))</f>
        <v/>
      </c>
      <c r="IA15" s="123">
        <f>IF(OR(IA$4="",$B15=""),0,SUMIF('DADOS BRUTOS'!$A$3:$A$500,$B15,'DADOS BRUTOS'!FA$3:FA$500)+IF($C15="",0,SUMIF('DADOS BRUTOS'!$A$3:$A$500,$C15,'DADOS BRUTOS'!FA$3:FA$500)))</f>
        <v/>
      </c>
      <c r="IB15" s="123">
        <f>IF(OR(IB$4="",$B15=""),0,SUMIF('DADOS BRUTOS'!$A$3:$A$500,$B15,'DADOS BRUTOS'!FB$3:FB$500)+IF($C15="",0,SUMIF('DADOS BRUTOS'!$A$3:$A$500,$C15,'DADOS BRUTOS'!FB$3:FB$500)))</f>
        <v/>
      </c>
      <c r="IC15" s="123">
        <f>IF(OR(IC$4="",$B15=""),0,SUMIF('DADOS BRUTOS'!$A$3:$A$500,$B15,'DADOS BRUTOS'!FC$3:FC$500)+IF($C15="",0,SUMIF('DADOS BRUTOS'!$A$3:$A$500,$C15,'DADOS BRUTOS'!FC$3:FC$500)))</f>
        <v/>
      </c>
      <c r="ID15" s="123">
        <f>IF(OR(ID$4="",$B15=""),0,SUMIF('DADOS BRUTOS'!$A$3:$A$500,$B15,'DADOS BRUTOS'!FD$3:FD$500)+IF($C15="",0,SUMIF('DADOS BRUTOS'!$A$3:$A$500,$C15,'DADOS BRUTOS'!FD$3:FD$500)))</f>
        <v/>
      </c>
      <c r="IE15" s="123">
        <f>IF(OR(IE$4="",$B15=""),0,SUMIF('DADOS BRUTOS'!$A$3:$A$500,$B15,'DADOS BRUTOS'!FE$3:FE$500)+IF($C15="",0,SUMIF('DADOS BRUTOS'!$A$3:$A$500,$C15,'DADOS BRUTOS'!FE$3:FE$500)))</f>
        <v/>
      </c>
      <c r="IF15" s="123">
        <f>IF(OR(IF$4="",$B15=""),0,SUMIF('DADOS BRUTOS'!$A$3:$A$500,$B15,'DADOS BRUTOS'!FF$3:FF$500)+IF($C15="",0,SUMIF('DADOS BRUTOS'!$A$3:$A$500,$C15,'DADOS BRUTOS'!FF$3:FF$500)))</f>
        <v/>
      </c>
      <c r="IG15" s="123">
        <f>IF(OR(IG$4="",$B15=""),0,SUMIF('DADOS BRUTOS'!$A$3:$A$500,$B15,'DADOS BRUTOS'!FG$3:FG$500)+IF($C15="",0,SUMIF('DADOS BRUTOS'!$A$3:$A$500,$C15,'DADOS BRUTOS'!FG$3:FG$500)))</f>
        <v/>
      </c>
      <c r="IH15" s="123">
        <f>IF(OR(IH$4="",$B15=""),0,SUMIF('DADOS BRUTOS'!$A$3:$A$500,$B15,'DADOS BRUTOS'!FH$3:FH$500)+IF($C15="",0,SUMIF('DADOS BRUTOS'!$A$3:$A$500,$C15,'DADOS BRUTOS'!FH$3:FH$500)))</f>
        <v/>
      </c>
      <c r="II15" s="123">
        <f>IF(OR(II$4="",$B15=""),0,SUMIF('DADOS BRUTOS'!$A$3:$A$500,$B15,'DADOS BRUTOS'!FI$3:FI$500)+IF($C15="",0,SUMIF('DADOS BRUTOS'!$A$3:$A$500,$C15,'DADOS BRUTOS'!FI$3:FI$500)))</f>
        <v/>
      </c>
      <c r="IJ15" s="123">
        <f>IF(OR(IJ$4="",$B15=""),0,SUMIF('DADOS BRUTOS'!$A$3:$A$500,$B15,'DADOS BRUTOS'!FJ$3:FJ$500)+IF($C15="",0,SUMIF('DADOS BRUTOS'!$A$3:$A$500,$C15,'DADOS BRUTOS'!FJ$3:FJ$500)))</f>
        <v/>
      </c>
      <c r="IK15" s="123">
        <f>IF(OR(IK$4="",$B15=""),0,SUMIF('DADOS BRUTOS'!$A$3:$A$500,$B15,'DADOS BRUTOS'!FK$3:FK$500)+IF($C15="",0,SUMIF('DADOS BRUTOS'!$A$3:$A$500,$C15,'DADOS BRUTOS'!FK$3:FK$500)))</f>
        <v/>
      </c>
      <c r="IL15" s="123">
        <f>IF(OR(IL$4="",$B15=""),0,SUMIF('DADOS BRUTOS'!$A$3:$A$500,$B15,'DADOS BRUTOS'!FL$3:FL$500)+IF($C15="",0,SUMIF('DADOS BRUTOS'!$A$3:$A$500,$C15,'DADOS BRUTOS'!FL$3:FL$500)))</f>
        <v/>
      </c>
      <c r="IM15" s="123">
        <f>IF(OR(IM$4="",$B15=""),0,SUMIF('DADOS BRUTOS'!$A$3:$A$500,$B15,'DADOS BRUTOS'!FM$3:FM$500)+IF($C15="",0,SUMIF('DADOS BRUTOS'!$A$3:$A$500,$C15,'DADOS BRUTOS'!FM$3:FM$500)))</f>
        <v/>
      </c>
      <c r="IN15" s="123">
        <f>IF(OR(IN$4="",$B15=""),0,SUMIF('DADOS BRUTOS'!$A$3:$A$500,$B15,'DADOS BRUTOS'!FN$3:FN$500)+IF($C15="",0,SUMIF('DADOS BRUTOS'!$A$3:$A$500,$C15,'DADOS BRUTOS'!FN$3:FN$500)))</f>
        <v/>
      </c>
      <c r="IO15" s="123">
        <f>IF(OR(IO$4="",$B15=""),0,SUMIF('DADOS BRUTOS'!$A$3:$A$500,$B15,'DADOS BRUTOS'!FO$3:FO$500)+IF($C15="",0,SUMIF('DADOS BRUTOS'!$A$3:$A$500,$C15,'DADOS BRUTOS'!FO$3:FO$500)))</f>
        <v/>
      </c>
      <c r="IP15" s="123">
        <f>IF(OR(IP$4="",$B15=""),0,SUMIF('DADOS BRUTOS'!$A$3:$A$500,$B15,'DADOS BRUTOS'!FP$3:FP$500)+IF($C15="",0,SUMIF('DADOS BRUTOS'!$A$3:$A$500,$C15,'DADOS BRUTOS'!FP$3:FP$500)))</f>
        <v/>
      </c>
      <c r="IQ15" s="123">
        <f>IF(OR(IQ$4="",$B15=""),0,SUMIF('DADOS BRUTOS'!$A$3:$A$500,$B15,'DADOS BRUTOS'!FQ$3:FQ$500)+IF($C15="",0,SUMIF('DADOS BRUTOS'!$A$3:$A$500,$C15,'DADOS BRUTOS'!FQ$3:FQ$500)))</f>
        <v/>
      </c>
      <c r="IR15" s="123">
        <f>IF(OR(IR$4="",$B15=""),0,SUMIF('DADOS BRUTOS'!$A$3:$A$500,$B15,'DADOS BRUTOS'!FR$3:FR$500)+IF($C15="",0,SUMIF('DADOS BRUTOS'!$A$3:$A$500,$C15,'DADOS BRUTOS'!FR$3:FR$500)))</f>
        <v/>
      </c>
      <c r="IS15" s="123">
        <f>IF(OR(IS$4="",$B15=""),0,SUMIF('DADOS BRUTOS'!$A$3:$A$500,$B15,'DADOS BRUTOS'!FS$3:FS$500)+IF($C15="",0,SUMIF('DADOS BRUTOS'!$A$3:$A$500,$C15,'DADOS BRUTOS'!FS$3:FS$500)))</f>
        <v/>
      </c>
      <c r="IT15" s="123">
        <f>IF(OR(IT$4="",$B15=""),0,SUMIF('DADOS BRUTOS'!$A$3:$A$500,$B15,'DADOS BRUTOS'!FT$3:FT$500)+IF($C15="",0,SUMIF('DADOS BRUTOS'!$A$3:$A$500,$C15,'DADOS BRUTOS'!FT$3:FT$500)))</f>
        <v/>
      </c>
      <c r="IU15" s="123">
        <f>IF(OR(IU$4="",$B15=""),0,SUMIF('DADOS BRUTOS'!$A$3:$A$500,$B15,'DADOS BRUTOS'!FU$3:FU$500)+IF($C15="",0,SUMIF('DADOS BRUTOS'!$A$3:$A$500,$C15,'DADOS BRUTOS'!FU$3:FU$500)))</f>
        <v/>
      </c>
      <c r="IV15" s="123">
        <f>IF(OR(IV$4="",$B15=""),0,SUMIF('DADOS BRUTOS'!$A$3:$A$500,$B15,'DADOS BRUTOS'!FV$3:FV$500)+IF($C15="",0,SUMIF('DADOS BRUTOS'!$A$3:$A$500,$C15,'DADOS BRUTOS'!FV$3:FV$500)))</f>
        <v/>
      </c>
      <c r="IW15" s="123">
        <f>IF(OR(IW$4="",$B15=""),0,SUMIF('DADOS BRUTOS'!$A$3:$A$500,$B15,'DADOS BRUTOS'!FW$3:FW$500)+IF($C15="",0,SUMIF('DADOS BRUTOS'!$A$3:$A$500,$C15,'DADOS BRUTOS'!FW$3:FW$500)))</f>
        <v/>
      </c>
      <c r="IX15" s="123">
        <f>IF(OR(IX$4="",$B15=""),0,SUMIF('DADOS BRUTOS'!$A$3:$A$500,$B15,'DADOS BRUTOS'!FX$3:FX$500)+IF($C15="",0,SUMIF('DADOS BRUTOS'!$A$3:$A$500,$C15,'DADOS BRUTOS'!FX$3:FX$500)))</f>
        <v/>
      </c>
      <c r="IY15" s="123">
        <f>IF(OR(IY$4="",$B15=""),0,SUMIF('DADOS BRUTOS'!$A$3:$A$500,$B15,'DADOS BRUTOS'!FY$3:FY$500)+IF($C15="",0,SUMIF('DADOS BRUTOS'!$A$3:$A$500,$C15,'DADOS BRUTOS'!FY$3:FY$500)))</f>
        <v/>
      </c>
      <c r="IZ15" s="123">
        <f>IF(OR(IZ$4="",$B15=""),0,SUMIF('DADOS BRUTOS'!$A$3:$A$500,$B15,'DADOS BRUTOS'!FZ$3:FZ$500)+IF($C15="",0,SUMIF('DADOS BRUTOS'!$A$3:$A$500,$C15,'DADOS BRUTOS'!FZ$3:FZ$500)))</f>
        <v/>
      </c>
      <c r="JA15" s="123">
        <f>IF(OR(JA$4="",$B15=""),0,SUMIF('DADOS BRUTOS'!$A$3:$A$500,$B15,'DADOS BRUTOS'!GA$3:GA$500)+IF($C15="",0,SUMIF('DADOS BRUTOS'!$A$3:$A$500,$C15,'DADOS BRUTOS'!GA$3:GA$500)))</f>
        <v/>
      </c>
      <c r="JB15" s="123">
        <f>IF(OR(JB$4="",$B15=""),0,SUMIF('DADOS BRUTOS'!$A$3:$A$500,$B15,'DADOS BRUTOS'!GB$3:GB$500)+IF($C15="",0,SUMIF('DADOS BRUTOS'!$A$3:$A$500,$C15,'DADOS BRUTOS'!GB$3:GB$500)))</f>
        <v/>
      </c>
      <c r="JC15" s="123">
        <f>IF(OR(JC$4="",$B15=""),0,SUMIF('DADOS BRUTOS'!$A$3:$A$500,$B15,'DADOS BRUTOS'!GC$3:GC$500)+IF($C15="",0,SUMIF('DADOS BRUTOS'!$A$3:$A$500,$C15,'DADOS BRUTOS'!GC$3:GC$500)))</f>
        <v/>
      </c>
      <c r="JD15" s="123">
        <f>IF(OR(JD$4="",$B15=""),0,SUMIF('DADOS BRUTOS'!$A$3:$A$500,$B15,'DADOS BRUTOS'!GD$3:GD$500)+IF($C15="",0,SUMIF('DADOS BRUTOS'!$A$3:$A$500,$C15,'DADOS BRUTOS'!GD$3:GD$500)))</f>
        <v/>
      </c>
      <c r="JE15" s="123">
        <f>IF(OR(JE$4="",$B15=""),0,SUMIF('DADOS BRUTOS'!$A$3:$A$500,$B15,'DADOS BRUTOS'!GE$3:GE$500)+IF($C15="",0,SUMIF('DADOS BRUTOS'!$A$3:$A$500,$C15,'DADOS BRUTOS'!GE$3:GE$500)))</f>
        <v/>
      </c>
      <c r="JF15" s="123">
        <f>IF(OR(JF$4="",$B15=""),0,SUMIF('DADOS BRUTOS'!$A$3:$A$500,$B15,'DADOS BRUTOS'!GF$3:GF$500)+IF($C15="",0,SUMIF('DADOS BRUTOS'!$A$3:$A$500,$C15,'DADOS BRUTOS'!GF$3:GF$500)))</f>
        <v/>
      </c>
      <c r="JG15" s="123">
        <f>IF(OR(JG$4="",$B15=""),0,SUMIF('DADOS BRUTOS'!$A$3:$A$500,$B15,'DADOS BRUTOS'!GG$3:GG$500)+IF($C15="",0,SUMIF('DADOS BRUTOS'!$A$3:$A$500,$C15,'DADOS BRUTOS'!GG$3:GG$500)))</f>
        <v/>
      </c>
      <c r="JH15" s="123">
        <f>IF(OR(JH$4="",$B15=""),0,SUMIF('DADOS BRUTOS'!$A$3:$A$500,$B15,'DADOS BRUTOS'!GH$3:GH$500)+IF($C15="",0,SUMIF('DADOS BRUTOS'!$A$3:$A$500,$C15,'DADOS BRUTOS'!GH$3:GH$500)))</f>
        <v/>
      </c>
      <c r="JI15" s="123">
        <f>IF(OR(JI$4="",$B15=""),0,SUMIF('DADOS BRUTOS'!$A$3:$A$500,$B15,'DADOS BRUTOS'!GI$3:GI$500)+IF($C15="",0,SUMIF('DADOS BRUTOS'!$A$3:$A$500,$C15,'DADOS BRUTOS'!GI$3:GI$500)))</f>
        <v/>
      </c>
      <c r="JJ15" s="123">
        <f>IF(OR(JJ$4="",$B15=""),0,SUMIF('DADOS BRUTOS'!$A$3:$A$500,$B15,'DADOS BRUTOS'!GJ$3:GJ$500)+IF($C15="",0,SUMIF('DADOS BRUTOS'!$A$3:$A$500,$C15,'DADOS BRUTOS'!GJ$3:GJ$500)))</f>
        <v/>
      </c>
      <c r="JK15" s="123">
        <f>IF(OR(JK$4="",$B15=""),0,SUMIF('DADOS BRUTOS'!$A$3:$A$500,$B15,'DADOS BRUTOS'!GK$3:GK$500)+IF($C15="",0,SUMIF('DADOS BRUTOS'!$A$3:$A$500,$C15,'DADOS BRUTOS'!GK$3:GK$500)))</f>
        <v/>
      </c>
      <c r="JL15" s="123">
        <f>IF(OR(JL$4="",$B15=""),0,SUMIF('DADOS BRUTOS'!$A$3:$A$500,$B15,'DADOS BRUTOS'!GL$3:GL$500)+IF($C15="",0,SUMIF('DADOS BRUTOS'!$A$3:$A$500,$C15,'DADOS BRUTOS'!GL$3:GL$500)))</f>
        <v/>
      </c>
      <c r="JM15" s="123">
        <f>IF(OR(JM$4="",$B15=""),0,SUMIF('DADOS BRUTOS'!$A$3:$A$500,$B15,'DADOS BRUTOS'!GM$3:GM$500)+IF($C15="",0,SUMIF('DADOS BRUTOS'!$A$3:$A$500,$C15,'DADOS BRUTOS'!GM$3:GM$500)))</f>
        <v/>
      </c>
      <c r="JN15" s="123">
        <f>IF(OR(JN$4="",$B15=""),0,SUMIF('DADOS BRUTOS'!$A$3:$A$500,$B15,'DADOS BRUTOS'!GN$3:GN$500)+IF($C15="",0,SUMIF('DADOS BRUTOS'!$A$3:$A$500,$C15,'DADOS BRUTOS'!GN$3:GN$500)))</f>
        <v/>
      </c>
      <c r="JO15" s="123">
        <f>IF(OR(JO$4="",$B15=""),0,SUMIF('DADOS BRUTOS'!$A$3:$A$500,$B15,'DADOS BRUTOS'!GO$3:GO$500)+IF($C15="",0,SUMIF('DADOS BRUTOS'!$A$3:$A$500,$C15,'DADOS BRUTOS'!GO$3:GO$500)))</f>
        <v/>
      </c>
      <c r="JP15" s="123">
        <f>IF(OR(JP$4="",$B15=""),0,SUMIF('DADOS BRUTOS'!$A$3:$A$500,$B15,'DADOS BRUTOS'!GP$3:GP$500)+IF($C15="",0,SUMIF('DADOS BRUTOS'!$A$3:$A$500,$C15,'DADOS BRUTOS'!GP$3:GP$500)))</f>
        <v/>
      </c>
      <c r="JQ15" s="123">
        <f>IF(OR(JQ$4="",$B15=""),0,SUMIF('DADOS BRUTOS'!$A$3:$A$500,$B15,'DADOS BRUTOS'!GQ$3:GQ$500)+IF($C15="",0,SUMIF('DADOS BRUTOS'!$A$3:$A$500,$C15,'DADOS BRUTOS'!GQ$3:GQ$500)))</f>
        <v/>
      </c>
      <c r="JR15" s="123">
        <f>IF(OR(JR$4="",$B15=""),0,SUMIF('DADOS BRUTOS'!$A$3:$A$500,$B15,'DADOS BRUTOS'!GR$3:GR$500)+IF($C15="",0,SUMIF('DADOS BRUTOS'!$A$3:$A$500,$C15,'DADOS BRUTOS'!GR$3:GR$500)))</f>
        <v/>
      </c>
      <c r="JS15" s="123">
        <f>IF(OR(JS$4="",$B15=""),0,SUMIF('DADOS BRUTOS'!$A$3:$A$500,$B15,'DADOS BRUTOS'!GS$3:GS$500)+IF($C15="",0,SUMIF('DADOS BRUTOS'!$A$3:$A$500,$C15,'DADOS BRUTOS'!GS$3:GS$500)))</f>
        <v/>
      </c>
    </row>
    <row r="16">
      <c r="A16" s="61">
        <f>'VALOR POR PL'!D22</f>
        <v/>
      </c>
      <c r="B16" s="60" t="inlineStr">
        <is>
          <t>SERVIÇOS INICIAIS</t>
        </is>
      </c>
      <c r="C16" s="60" t="n"/>
      <c r="D16" s="55">
        <f>SUMIF($CB$4:$JS$4,"&lt;="&amp;D$4,$CB16:$JS16)</f>
        <v/>
      </c>
      <c r="E16" s="55">
        <f>SUMIF($CB$4:$JS$4,E$4,$CB16:$JS16)</f>
        <v/>
      </c>
      <c r="F16" s="55">
        <f>SUMIF($CB$4:$JS$4,F$4,$CB16:$JS16)</f>
        <v/>
      </c>
      <c r="G16" s="55">
        <f>SUMIF($CB$4:$JS$4,G$4,$CB16:$JS16)</f>
        <v/>
      </c>
      <c r="H16" s="55">
        <f>SUMIF($CB$4:$JS$4,H$4,$CB16:$JS16)</f>
        <v/>
      </c>
      <c r="I16" s="55">
        <f>SUMIF($CB$4:$JS$4,I$4,$CB16:$JS16)</f>
        <v/>
      </c>
      <c r="J16" s="55">
        <f>SUMIF($CB$4:$JS$4,J$4,$CB16:$JS16)</f>
        <v/>
      </c>
      <c r="K16" s="55">
        <f>SUMIF($CB$4:$JS$4,K$4,$CB16:$JS16)</f>
        <v/>
      </c>
      <c r="L16" s="55">
        <f>SUMIF($CB$4:$JS$4,L$4,$CB16:$JS16)</f>
        <v/>
      </c>
      <c r="M16" s="55">
        <f>SUMIF($CB$4:$JS$4,M$4,$CB16:$JS16)</f>
        <v/>
      </c>
      <c r="N16" s="55">
        <f>SUMIF($CB$4:$JS$4,N$4,$CB16:$JS16)</f>
        <v/>
      </c>
      <c r="O16" s="55">
        <f>SUMIF($CB$4:$JS$4,O$4,$CB16:$JS16)</f>
        <v/>
      </c>
      <c r="P16" s="55">
        <f>SUMIF($CB$4:$JS$4,P$4,$CB16:$JS16)</f>
        <v/>
      </c>
      <c r="Q16" s="55">
        <f>SUMIF($CB$4:$JS$4,Q$4,$CB16:$JS16)</f>
        <v/>
      </c>
      <c r="R16" s="55">
        <f>SUMIF($CB$4:$JS$4,R$4,$CB16:$JS16)</f>
        <v/>
      </c>
      <c r="S16" s="55">
        <f>SUMIF($CB$4:$JS$4,S$4,$CB16:$JS16)</f>
        <v/>
      </c>
      <c r="T16" s="55">
        <f>SUMIF($CB$4:$JS$4,T$4,$CB16:$JS16)</f>
        <v/>
      </c>
      <c r="U16" s="55">
        <f>SUMIF($CB$4:$JS$4,U$4,$CB16:$JS16)</f>
        <v/>
      </c>
      <c r="V16" s="55">
        <f>SUMIF($CB$4:$JS$4,V$4,$CB16:$JS16)</f>
        <v/>
      </c>
      <c r="W16" s="55">
        <f>SUMIF($CB$4:$JS$4,W$4,$CB16:$JS16)</f>
        <v/>
      </c>
      <c r="X16" s="55">
        <f>SUMIF($CB$4:$JS$4,X$4,$CB16:$JS16)</f>
        <v/>
      </c>
      <c r="Y16" s="55">
        <f>SUMIF($CB$4:$JS$4,Y$4,$CB16:$JS16)</f>
        <v/>
      </c>
      <c r="Z16" s="55">
        <f>SUMIF($CB$4:$JS$4,Z$4,$CB16:$JS16)</f>
        <v/>
      </c>
      <c r="AA16" s="55">
        <f>SUMIF($CB$4:$JS$4,AA$4,$CB16:$JS16)</f>
        <v/>
      </c>
      <c r="AB16" s="55">
        <f>SUMIF($CB$4:$JS$4,AB$4,$CB16:$JS16)</f>
        <v/>
      </c>
      <c r="AC16" s="55">
        <f>SUMIF($CB$4:$JS$4,AC$4,$CB16:$JS16)</f>
        <v/>
      </c>
      <c r="AD16" s="55">
        <f>SUMIF($CB$4:$JS$4,AD$4,$CB16:$JS16)</f>
        <v/>
      </c>
      <c r="AE16" s="55">
        <f>SUMIF($CB$4:$JS$4,AE$4,$CB16:$JS16)</f>
        <v/>
      </c>
      <c r="AF16" s="55">
        <f>SUMIF($CB$4:$JS$4,AF$4,$CB16:$JS16)</f>
        <v/>
      </c>
      <c r="AG16" s="55">
        <f>SUMIF($CB$4:$JS$4,AG$4,$CB16:$JS16)</f>
        <v/>
      </c>
      <c r="AH16" s="55">
        <f>SUMIF($CB$4:$JS$4,AH$4,$CB16:$JS16)</f>
        <v/>
      </c>
      <c r="AI16" s="55">
        <f>SUMIF($CB$4:$JS$4,AI$4,$CB16:$JS16)</f>
        <v/>
      </c>
      <c r="AJ16" s="55">
        <f>SUMIF($CB$4:$JS$4,AJ$4,$CB16:$JS16)</f>
        <v/>
      </c>
      <c r="AK16" s="55">
        <f>SUMIF($CB$4:$JS$4,AK$4,$CB16:$JS16)</f>
        <v/>
      </c>
      <c r="AL16" s="55">
        <f>SUMIF($CB$4:$JS$4,AL$4,$CB16:$JS16)</f>
        <v/>
      </c>
      <c r="AM16" s="55">
        <f>SUMIF($CB$4:$JS$4,AM$4,$CB16:$JS16)</f>
        <v/>
      </c>
      <c r="AN16" s="55">
        <f>SUMIF($CB$4:$JS$4,AN$4,$CB16:$JS16)</f>
        <v/>
      </c>
      <c r="AO16" s="55">
        <f>SUMIF($CB$4:$JS$4,AO$4,$CB16:$JS16)</f>
        <v/>
      </c>
      <c r="AP16" s="55">
        <f>SUMIF($CB$4:$JS$4,AP$4,$CB16:$JS16)</f>
        <v/>
      </c>
      <c r="AQ16" s="55">
        <f>SUMIF($CB$4:$JS$4,AQ$4,$CB16:$JS16)</f>
        <v/>
      </c>
      <c r="AR16" s="55">
        <f>SUMIF($CB$4:$JS$4,AR$4,$CB16:$JS16)</f>
        <v/>
      </c>
      <c r="AS16" s="55">
        <f>SUMIF($CB$4:$JS$4,AS$4,$CB16:$JS16)</f>
        <v/>
      </c>
      <c r="AT16" s="55">
        <f>SUMIF($CB$4:$JS$4,AT$4,$CB16:$JS16)</f>
        <v/>
      </c>
      <c r="AU16" s="55">
        <f>SUMIF($CB$4:$JS$4,AU$4,$CB16:$JS16)</f>
        <v/>
      </c>
      <c r="AV16" s="55">
        <f>SUMIF($CB$4:$JS$4,AV$4,$CB16:$JS16)</f>
        <v/>
      </c>
      <c r="AW16" s="55">
        <f>SUMIF($CB$4:$JS$4,AW$4,$CB16:$JS16)</f>
        <v/>
      </c>
      <c r="AX16" s="55">
        <f>SUMIF($CB$4:$JS$4,AX$4,$CB16:$JS16)</f>
        <v/>
      </c>
      <c r="AY16" s="55">
        <f>SUMIF($CB$4:$JS$4,AY$4,$CB16:$JS16)</f>
        <v/>
      </c>
      <c r="AZ16" s="55">
        <f>SUMIF($CB$4:$JS$4,AZ$4,$CB16:$JS16)</f>
        <v/>
      </c>
      <c r="BA16" s="55">
        <f>SUMIF($CB$4:$JS$4,BA$4,$CB16:$JS16)</f>
        <v/>
      </c>
      <c r="BB16" s="55">
        <f>SUMIF($CB$4:$JS$4,BB$4,$CB16:$JS16)</f>
        <v/>
      </c>
      <c r="BC16" s="55">
        <f>SUMIF($CB$4:$JS$4,BC$4,$CB16:$JS16)</f>
        <v/>
      </c>
      <c r="BD16" s="55">
        <f>SUMIF($CB$4:$JS$4,BD$4,$CB16:$JS16)</f>
        <v/>
      </c>
      <c r="BE16" s="55">
        <f>SUMIF($CB$4:$JS$4,BE$4,$CB16:$JS16)</f>
        <v/>
      </c>
      <c r="BF16" s="55">
        <f>SUMIF($CB$4:$JS$4,BF$4,$CB16:$JS16)</f>
        <v/>
      </c>
      <c r="BG16" s="55">
        <f>SUMIF($CB$4:$JS$4,BG$4,$CB16:$JS16)</f>
        <v/>
      </c>
      <c r="BH16" s="55">
        <f>SUMIF($CB$4:$JS$4,BH$4,$CB16:$JS16)</f>
        <v/>
      </c>
      <c r="BI16" s="55">
        <f>SUMIF($CB$4:$JS$4,BI$4,$CB16:$JS16)</f>
        <v/>
      </c>
      <c r="BJ16" s="55">
        <f>SUMIF($CB$4:$JS$4,BJ$4,$CB16:$JS16)</f>
        <v/>
      </c>
      <c r="BK16" s="55">
        <f>SUMIF($CB$4:$JS$4,BK$4,$CB16:$JS16)</f>
        <v/>
      </c>
      <c r="BL16" s="55">
        <f>SUMIF($CB$4:$JS$4,BL$4,$CB16:$JS16)</f>
        <v/>
      </c>
      <c r="BM16" s="55">
        <f>SUMIF($CB$4:$JS$4,BM$4,$CB16:$JS16)</f>
        <v/>
      </c>
      <c r="BN16" s="55">
        <f>SUMIF($CB$4:$JS$4,BN$4,$CB16:$JS16)</f>
        <v/>
      </c>
      <c r="BO16" s="55">
        <f>SUMIF($CB$4:$JS$4,BO$4,$CB16:$JS16)</f>
        <v/>
      </c>
      <c r="BP16" s="55">
        <f>SUMIF($CB$4:$JS$4,BP$4,$CB16:$JS16)</f>
        <v/>
      </c>
      <c r="BQ16" s="55">
        <f>SUMIF($CB$4:$JS$4,BQ$4,$CB16:$JS16)</f>
        <v/>
      </c>
      <c r="BR16" s="55">
        <f>SUMIF($CB$4:$JS$4,BR$4,$CB16:$JS16)</f>
        <v/>
      </c>
      <c r="BS16" s="55">
        <f>SUMIF($CB$4:$JS$4,BS$4,$CB16:$JS16)</f>
        <v/>
      </c>
      <c r="BT16" s="55">
        <f>SUMIF($CB$4:$JS$4,BT$4,$CB16:$JS16)</f>
        <v/>
      </c>
      <c r="BU16" s="55">
        <f>SUMIF($CB$4:$JS$4,BU$4,$CB16:$JS16)</f>
        <v/>
      </c>
      <c r="BV16" s="55">
        <f>SUMIF($CB$4:$JS$4,BV$4,$CB16:$JS16)</f>
        <v/>
      </c>
      <c r="BW16" s="55">
        <f>SUMIF($CB$4:$JS$4,BW$4,$CB16:$JS16)</f>
        <v/>
      </c>
      <c r="BX16" s="55">
        <f>SUMIF($CB$4:$JS$4,"&gt;"&amp;'VALOR POR PL'!$P$8,$CB16:$JS16)</f>
        <v/>
      </c>
      <c r="BY16" s="55">
        <f>SUM($CB16:$JS16)</f>
        <v/>
      </c>
      <c r="CB16" s="123">
        <f>IF(OR(CB$4="",$B16=""),0,SUMIF('DADOS BRUTOS'!$A$3:$A$500,$B16,'DADOS BRUTOS'!B$3:B$500)+IF($C16="",0,SUMIF('DADOS BRUTOS'!$A$3:$A$500,$C16,'DADOS BRUTOS'!B$3:B$500)))</f>
        <v/>
      </c>
      <c r="CC16" s="123">
        <f>IF(OR(CC$4="",$B16=""),0,SUMIF('DADOS BRUTOS'!$A$3:$A$500,$B16,'DADOS BRUTOS'!C$3:C$500)+IF($C16="",0,SUMIF('DADOS BRUTOS'!$A$3:$A$500,$C16,'DADOS BRUTOS'!C$3:C$500)))</f>
        <v/>
      </c>
      <c r="CD16" s="123">
        <f>IF(OR(CD$4="",$B16=""),0,SUMIF('DADOS BRUTOS'!$A$3:$A$500,$B16,'DADOS BRUTOS'!D$3:D$500)+IF($C16="",0,SUMIF('DADOS BRUTOS'!$A$3:$A$500,$C16,'DADOS BRUTOS'!D$3:D$500)))</f>
        <v/>
      </c>
      <c r="CE16" s="123">
        <f>IF(OR(CE$4="",$B16=""),0,SUMIF('DADOS BRUTOS'!$A$3:$A$500,$B16,'DADOS BRUTOS'!E$3:E$500)+IF($C16="",0,SUMIF('DADOS BRUTOS'!$A$3:$A$500,$C16,'DADOS BRUTOS'!E$3:E$500)))</f>
        <v/>
      </c>
      <c r="CF16" s="123">
        <f>IF(OR(CF$4="",$B16=""),0,SUMIF('DADOS BRUTOS'!$A$3:$A$500,$B16,'DADOS BRUTOS'!F$3:F$500)+IF($C16="",0,SUMIF('DADOS BRUTOS'!$A$3:$A$500,$C16,'DADOS BRUTOS'!F$3:F$500)))</f>
        <v/>
      </c>
      <c r="CG16" s="123">
        <f>IF(OR(CG$4="",$B16=""),0,SUMIF('DADOS BRUTOS'!$A$3:$A$500,$B16,'DADOS BRUTOS'!G$3:G$500)+IF($C16="",0,SUMIF('DADOS BRUTOS'!$A$3:$A$500,$C16,'DADOS BRUTOS'!G$3:G$500)))</f>
        <v/>
      </c>
      <c r="CH16" s="123">
        <f>IF(OR(CH$4="",$B16=""),0,SUMIF('DADOS BRUTOS'!$A$3:$A$500,$B16,'DADOS BRUTOS'!H$3:H$500)+IF($C16="",0,SUMIF('DADOS BRUTOS'!$A$3:$A$500,$C16,'DADOS BRUTOS'!H$3:H$500)))</f>
        <v/>
      </c>
      <c r="CI16" s="123">
        <f>IF(OR(CI$4="",$B16=""),0,SUMIF('DADOS BRUTOS'!$A$3:$A$500,$B16,'DADOS BRUTOS'!I$3:I$500)+IF($C16="",0,SUMIF('DADOS BRUTOS'!$A$3:$A$500,$C16,'DADOS BRUTOS'!I$3:I$500)))</f>
        <v/>
      </c>
      <c r="CJ16" s="123">
        <f>IF(OR(CJ$4="",$B16=""),0,SUMIF('DADOS BRUTOS'!$A$3:$A$500,$B16,'DADOS BRUTOS'!J$3:J$500)+IF($C16="",0,SUMIF('DADOS BRUTOS'!$A$3:$A$500,$C16,'DADOS BRUTOS'!J$3:J$500)))</f>
        <v/>
      </c>
      <c r="CK16" s="123">
        <f>IF(OR(CK$4="",$B16=""),0,SUMIF('DADOS BRUTOS'!$A$3:$A$500,$B16,'DADOS BRUTOS'!K$3:K$500)+IF($C16="",0,SUMIF('DADOS BRUTOS'!$A$3:$A$500,$C16,'DADOS BRUTOS'!K$3:K$500)))</f>
        <v/>
      </c>
      <c r="CL16" s="123">
        <f>IF(OR(CL$4="",$B16=""),0,SUMIF('DADOS BRUTOS'!$A$3:$A$500,$B16,'DADOS BRUTOS'!L$3:L$500)+IF($C16="",0,SUMIF('DADOS BRUTOS'!$A$3:$A$500,$C16,'DADOS BRUTOS'!L$3:L$500)))</f>
        <v/>
      </c>
      <c r="CM16" s="123">
        <f>IF(OR(CM$4="",$B16=""),0,SUMIF('DADOS BRUTOS'!$A$3:$A$500,$B16,'DADOS BRUTOS'!M$3:M$500)+IF($C16="",0,SUMIF('DADOS BRUTOS'!$A$3:$A$500,$C16,'DADOS BRUTOS'!M$3:M$500)))</f>
        <v/>
      </c>
      <c r="CN16" s="123">
        <f>IF(OR(CN$4="",$B16=""),0,SUMIF('DADOS BRUTOS'!$A$3:$A$500,$B16,'DADOS BRUTOS'!N$3:N$500)+IF($C16="",0,SUMIF('DADOS BRUTOS'!$A$3:$A$500,$C16,'DADOS BRUTOS'!N$3:N$500)))</f>
        <v/>
      </c>
      <c r="CO16" s="123">
        <f>IF(OR(CO$4="",$B16=""),0,SUMIF('DADOS BRUTOS'!$A$3:$A$500,$B16,'DADOS BRUTOS'!O$3:O$500)+IF($C16="",0,SUMIF('DADOS BRUTOS'!$A$3:$A$500,$C16,'DADOS BRUTOS'!O$3:O$500)))</f>
        <v/>
      </c>
      <c r="CP16" s="123">
        <f>IF(OR(CP$4="",$B16=""),0,SUMIF('DADOS BRUTOS'!$A$3:$A$500,$B16,'DADOS BRUTOS'!P$3:P$500)+IF($C16="",0,SUMIF('DADOS BRUTOS'!$A$3:$A$500,$C16,'DADOS BRUTOS'!P$3:P$500)))</f>
        <v/>
      </c>
      <c r="CQ16" s="123">
        <f>IF(OR(CQ$4="",$B16=""),0,SUMIF('DADOS BRUTOS'!$A$3:$A$500,$B16,'DADOS BRUTOS'!Q$3:Q$500)+IF($C16="",0,SUMIF('DADOS BRUTOS'!$A$3:$A$500,$C16,'DADOS BRUTOS'!Q$3:Q$500)))</f>
        <v/>
      </c>
      <c r="CR16" s="123">
        <f>IF(OR(CR$4="",$B16=""),0,SUMIF('DADOS BRUTOS'!$A$3:$A$500,$B16,'DADOS BRUTOS'!R$3:R$500)+IF($C16="",0,SUMIF('DADOS BRUTOS'!$A$3:$A$500,$C16,'DADOS BRUTOS'!R$3:R$500)))</f>
        <v/>
      </c>
      <c r="CS16" s="123">
        <f>IF(OR(CS$4="",$B16=""),0,SUMIF('DADOS BRUTOS'!$A$3:$A$500,$B16,'DADOS BRUTOS'!S$3:S$500)+IF($C16="",0,SUMIF('DADOS BRUTOS'!$A$3:$A$500,$C16,'DADOS BRUTOS'!S$3:S$500)))</f>
        <v/>
      </c>
      <c r="CT16" s="123">
        <f>IF(OR(CT$4="",$B16=""),0,SUMIF('DADOS BRUTOS'!$A$3:$A$500,$B16,'DADOS BRUTOS'!T$3:T$500)+IF($C16="",0,SUMIF('DADOS BRUTOS'!$A$3:$A$500,$C16,'DADOS BRUTOS'!T$3:T$500)))</f>
        <v/>
      </c>
      <c r="CU16" s="123">
        <f>IF(OR(CU$4="",$B16=""),0,SUMIF('DADOS BRUTOS'!$A$3:$A$500,$B16,'DADOS BRUTOS'!U$3:U$500)+IF($C16="",0,SUMIF('DADOS BRUTOS'!$A$3:$A$500,$C16,'DADOS BRUTOS'!U$3:U$500)))</f>
        <v/>
      </c>
      <c r="CV16" s="123">
        <f>IF(OR(CV$4="",$B16=""),0,SUMIF('DADOS BRUTOS'!$A$3:$A$500,$B16,'DADOS BRUTOS'!V$3:V$500)+IF($C16="",0,SUMIF('DADOS BRUTOS'!$A$3:$A$500,$C16,'DADOS BRUTOS'!V$3:V$500)))</f>
        <v/>
      </c>
      <c r="CW16" s="123">
        <f>IF(OR(CW$4="",$B16=""),0,SUMIF('DADOS BRUTOS'!$A$3:$A$500,$B16,'DADOS BRUTOS'!W$3:W$500)+IF($C16="",0,SUMIF('DADOS BRUTOS'!$A$3:$A$500,$C16,'DADOS BRUTOS'!W$3:W$500)))</f>
        <v/>
      </c>
      <c r="CX16" s="123">
        <f>IF(OR(CX$4="",$B16=""),0,SUMIF('DADOS BRUTOS'!$A$3:$A$500,$B16,'DADOS BRUTOS'!X$3:X$500)+IF($C16="",0,SUMIF('DADOS BRUTOS'!$A$3:$A$500,$C16,'DADOS BRUTOS'!X$3:X$500)))</f>
        <v/>
      </c>
      <c r="CY16" s="123">
        <f>IF(OR(CY$4="",$B16=""),0,SUMIF('DADOS BRUTOS'!$A$3:$A$500,$B16,'DADOS BRUTOS'!Y$3:Y$500)+IF($C16="",0,SUMIF('DADOS BRUTOS'!$A$3:$A$500,$C16,'DADOS BRUTOS'!Y$3:Y$500)))</f>
        <v/>
      </c>
      <c r="CZ16" s="123">
        <f>IF(OR(CZ$4="",$B16=""),0,SUMIF('DADOS BRUTOS'!$A$3:$A$500,$B16,'DADOS BRUTOS'!Z$3:Z$500)+IF($C16="",0,SUMIF('DADOS BRUTOS'!$A$3:$A$500,$C16,'DADOS BRUTOS'!Z$3:Z$500)))</f>
        <v/>
      </c>
      <c r="DA16" s="123">
        <f>IF(OR(DA$4="",$B16=""),0,SUMIF('DADOS BRUTOS'!$A$3:$A$500,$B16,'DADOS BRUTOS'!AA$3:AA$500)+IF($C16="",0,SUMIF('DADOS BRUTOS'!$A$3:$A$500,$C16,'DADOS BRUTOS'!AA$3:AA$500)))</f>
        <v/>
      </c>
      <c r="DB16" s="123">
        <f>IF(OR(DB$4="",$B16=""),0,SUMIF('DADOS BRUTOS'!$A$3:$A$500,$B16,'DADOS BRUTOS'!AB$3:AB$500)+IF($C16="",0,SUMIF('DADOS BRUTOS'!$A$3:$A$500,$C16,'DADOS BRUTOS'!AB$3:AB$500)))</f>
        <v/>
      </c>
      <c r="DC16" s="123">
        <f>IF(OR(DC$4="",$B16=""),0,SUMIF('DADOS BRUTOS'!$A$3:$A$500,$B16,'DADOS BRUTOS'!AC$3:AC$500)+IF($C16="",0,SUMIF('DADOS BRUTOS'!$A$3:$A$500,$C16,'DADOS BRUTOS'!AC$3:AC$500)))</f>
        <v/>
      </c>
      <c r="DD16" s="123">
        <f>IF(OR(DD$4="",$B16=""),0,SUMIF('DADOS BRUTOS'!$A$3:$A$500,$B16,'DADOS BRUTOS'!AD$3:AD$500)+IF($C16="",0,SUMIF('DADOS BRUTOS'!$A$3:$A$500,$C16,'DADOS BRUTOS'!AD$3:AD$500)))</f>
        <v/>
      </c>
      <c r="DE16" s="123">
        <f>IF(OR(DE$4="",$B16=""),0,SUMIF('DADOS BRUTOS'!$A$3:$A$500,$B16,'DADOS BRUTOS'!AE$3:AE$500)+IF($C16="",0,SUMIF('DADOS BRUTOS'!$A$3:$A$500,$C16,'DADOS BRUTOS'!AE$3:AE$500)))</f>
        <v/>
      </c>
      <c r="DF16" s="123">
        <f>IF(OR(DF$4="",$B16=""),0,SUMIF('DADOS BRUTOS'!$A$3:$A$500,$B16,'DADOS BRUTOS'!AF$3:AF$500)+IF($C16="",0,SUMIF('DADOS BRUTOS'!$A$3:$A$500,$C16,'DADOS BRUTOS'!AF$3:AF$500)))</f>
        <v/>
      </c>
      <c r="DG16" s="123">
        <f>IF(OR(DG$4="",$B16=""),0,SUMIF('DADOS BRUTOS'!$A$3:$A$500,$B16,'DADOS BRUTOS'!AG$3:AG$500)+IF($C16="",0,SUMIF('DADOS BRUTOS'!$A$3:$A$500,$C16,'DADOS BRUTOS'!AG$3:AG$500)))</f>
        <v/>
      </c>
      <c r="DH16" s="123">
        <f>IF(OR(DH$4="",$B16=""),0,SUMIF('DADOS BRUTOS'!$A$3:$A$500,$B16,'DADOS BRUTOS'!AH$3:AH$500)+IF($C16="",0,SUMIF('DADOS BRUTOS'!$A$3:$A$500,$C16,'DADOS BRUTOS'!AH$3:AH$500)))</f>
        <v/>
      </c>
      <c r="DI16" s="123">
        <f>IF(OR(DI$4="",$B16=""),0,SUMIF('DADOS BRUTOS'!$A$3:$A$500,$B16,'DADOS BRUTOS'!AI$3:AI$500)+IF($C16="",0,SUMIF('DADOS BRUTOS'!$A$3:$A$500,$C16,'DADOS BRUTOS'!AI$3:AI$500)))</f>
        <v/>
      </c>
      <c r="DJ16" s="123">
        <f>IF(OR(DJ$4="",$B16=""),0,SUMIF('DADOS BRUTOS'!$A$3:$A$500,$B16,'DADOS BRUTOS'!AJ$3:AJ$500)+IF($C16="",0,SUMIF('DADOS BRUTOS'!$A$3:$A$500,$C16,'DADOS BRUTOS'!AJ$3:AJ$500)))</f>
        <v/>
      </c>
      <c r="DK16" s="123">
        <f>IF(OR(DK$4="",$B16=""),0,SUMIF('DADOS BRUTOS'!$A$3:$A$500,$B16,'DADOS BRUTOS'!AK$3:AK$500)+IF($C16="",0,SUMIF('DADOS BRUTOS'!$A$3:$A$500,$C16,'DADOS BRUTOS'!AK$3:AK$500)))</f>
        <v/>
      </c>
      <c r="DL16" s="123">
        <f>IF(OR(DL$4="",$B16=""),0,SUMIF('DADOS BRUTOS'!$A$3:$A$500,$B16,'DADOS BRUTOS'!AL$3:AL$500)+IF($C16="",0,SUMIF('DADOS BRUTOS'!$A$3:$A$500,$C16,'DADOS BRUTOS'!AL$3:AL$500)))</f>
        <v/>
      </c>
      <c r="DM16" s="123">
        <f>IF(OR(DM$4="",$B16=""),0,SUMIF('DADOS BRUTOS'!$A$3:$A$500,$B16,'DADOS BRUTOS'!AM$3:AM$500)+IF($C16="",0,SUMIF('DADOS BRUTOS'!$A$3:$A$500,$C16,'DADOS BRUTOS'!AM$3:AM$500)))</f>
        <v/>
      </c>
      <c r="DN16" s="123">
        <f>IF(OR(DN$4="",$B16=""),0,SUMIF('DADOS BRUTOS'!$A$3:$A$500,$B16,'DADOS BRUTOS'!AN$3:AN$500)+IF($C16="",0,SUMIF('DADOS BRUTOS'!$A$3:$A$500,$C16,'DADOS BRUTOS'!AN$3:AN$500)))</f>
        <v/>
      </c>
      <c r="DO16" s="123">
        <f>IF(OR(DO$4="",$B16=""),0,SUMIF('DADOS BRUTOS'!$A$3:$A$500,$B16,'DADOS BRUTOS'!AO$3:AO$500)+IF($C16="",0,SUMIF('DADOS BRUTOS'!$A$3:$A$500,$C16,'DADOS BRUTOS'!AO$3:AO$500)))</f>
        <v/>
      </c>
      <c r="DP16" s="123">
        <f>IF(OR(DP$4="",$B16=""),0,SUMIF('DADOS BRUTOS'!$A$3:$A$500,$B16,'DADOS BRUTOS'!AP$3:AP$500)+IF($C16="",0,SUMIF('DADOS BRUTOS'!$A$3:$A$500,$C16,'DADOS BRUTOS'!AP$3:AP$500)))</f>
        <v/>
      </c>
      <c r="DQ16" s="123">
        <f>IF(OR(DQ$4="",$B16=""),0,SUMIF('DADOS BRUTOS'!$A$3:$A$500,$B16,'DADOS BRUTOS'!AQ$3:AQ$500)+IF($C16="",0,SUMIF('DADOS BRUTOS'!$A$3:$A$500,$C16,'DADOS BRUTOS'!AQ$3:AQ$500)))</f>
        <v/>
      </c>
      <c r="DR16" s="123">
        <f>IF(OR(DR$4="",$B16=""),0,SUMIF('DADOS BRUTOS'!$A$3:$A$500,$B16,'DADOS BRUTOS'!AR$3:AR$500)+IF($C16="",0,SUMIF('DADOS BRUTOS'!$A$3:$A$500,$C16,'DADOS BRUTOS'!AR$3:AR$500)))</f>
        <v/>
      </c>
      <c r="DS16" s="123">
        <f>IF(OR(DS$4="",$B16=""),0,SUMIF('DADOS BRUTOS'!$A$3:$A$500,$B16,'DADOS BRUTOS'!AS$3:AS$500)+IF($C16="",0,SUMIF('DADOS BRUTOS'!$A$3:$A$500,$C16,'DADOS BRUTOS'!AS$3:AS$500)))</f>
        <v/>
      </c>
      <c r="DT16" s="123">
        <f>IF(OR(DT$4="",$B16=""),0,SUMIF('DADOS BRUTOS'!$A$3:$A$500,$B16,'DADOS BRUTOS'!AT$3:AT$500)+IF($C16="",0,SUMIF('DADOS BRUTOS'!$A$3:$A$500,$C16,'DADOS BRUTOS'!AT$3:AT$500)))</f>
        <v/>
      </c>
      <c r="DU16" s="123">
        <f>IF(OR(DU$4="",$B16=""),0,SUMIF('DADOS BRUTOS'!$A$3:$A$500,$B16,'DADOS BRUTOS'!AU$3:AU$500)+IF($C16="",0,SUMIF('DADOS BRUTOS'!$A$3:$A$500,$C16,'DADOS BRUTOS'!AU$3:AU$500)))</f>
        <v/>
      </c>
      <c r="DV16" s="123">
        <f>IF(OR(DV$4="",$B16=""),0,SUMIF('DADOS BRUTOS'!$A$3:$A$500,$B16,'DADOS BRUTOS'!AV$3:AV$500)+IF($C16="",0,SUMIF('DADOS BRUTOS'!$A$3:$A$500,$C16,'DADOS BRUTOS'!AV$3:AV$500)))</f>
        <v/>
      </c>
      <c r="DW16" s="123">
        <f>IF(OR(DW$4="",$B16=""),0,SUMIF('DADOS BRUTOS'!$A$3:$A$500,$B16,'DADOS BRUTOS'!AW$3:AW$500)+IF($C16="",0,SUMIF('DADOS BRUTOS'!$A$3:$A$500,$C16,'DADOS BRUTOS'!AW$3:AW$500)))</f>
        <v/>
      </c>
      <c r="DX16" s="123">
        <f>IF(OR(DX$4="",$B16=""),0,SUMIF('DADOS BRUTOS'!$A$3:$A$500,$B16,'DADOS BRUTOS'!AX$3:AX$500)+IF($C16="",0,SUMIF('DADOS BRUTOS'!$A$3:$A$500,$C16,'DADOS BRUTOS'!AX$3:AX$500)))</f>
        <v/>
      </c>
      <c r="DY16" s="123">
        <f>IF(OR(DY$4="",$B16=""),0,SUMIF('DADOS BRUTOS'!$A$3:$A$500,$B16,'DADOS BRUTOS'!AY$3:AY$500)+IF($C16="",0,SUMIF('DADOS BRUTOS'!$A$3:$A$500,$C16,'DADOS BRUTOS'!AY$3:AY$500)))</f>
        <v/>
      </c>
      <c r="DZ16" s="123">
        <f>IF(OR(DZ$4="",$B16=""),0,SUMIF('DADOS BRUTOS'!$A$3:$A$500,$B16,'DADOS BRUTOS'!AZ$3:AZ$500)+IF($C16="",0,SUMIF('DADOS BRUTOS'!$A$3:$A$500,$C16,'DADOS BRUTOS'!AZ$3:AZ$500)))</f>
        <v/>
      </c>
      <c r="EA16" s="123">
        <f>IF(OR(EA$4="",$B16=""),0,SUMIF('DADOS BRUTOS'!$A$3:$A$500,$B16,'DADOS BRUTOS'!BA$3:BA$500)+IF($C16="",0,SUMIF('DADOS BRUTOS'!$A$3:$A$500,$C16,'DADOS BRUTOS'!BA$3:BA$500)))</f>
        <v/>
      </c>
      <c r="EB16" s="123">
        <f>IF(OR(EB$4="",$B16=""),0,SUMIF('DADOS BRUTOS'!$A$3:$A$500,$B16,'DADOS BRUTOS'!BB$3:BB$500)+IF($C16="",0,SUMIF('DADOS BRUTOS'!$A$3:$A$500,$C16,'DADOS BRUTOS'!BB$3:BB$500)))</f>
        <v/>
      </c>
      <c r="EC16" s="123">
        <f>IF(OR(EC$4="",$B16=""),0,SUMIF('DADOS BRUTOS'!$A$3:$A$500,$B16,'DADOS BRUTOS'!BC$3:BC$500)+IF($C16="",0,SUMIF('DADOS BRUTOS'!$A$3:$A$500,$C16,'DADOS BRUTOS'!BC$3:BC$500)))</f>
        <v/>
      </c>
      <c r="ED16" s="123">
        <f>IF(OR(ED$4="",$B16=""),0,SUMIF('DADOS BRUTOS'!$A$3:$A$500,$B16,'DADOS BRUTOS'!BD$3:BD$500)+IF($C16="",0,SUMIF('DADOS BRUTOS'!$A$3:$A$500,$C16,'DADOS BRUTOS'!BD$3:BD$500)))</f>
        <v/>
      </c>
      <c r="EE16" s="123">
        <f>IF(OR(EE$4="",$B16=""),0,SUMIF('DADOS BRUTOS'!$A$3:$A$500,$B16,'DADOS BRUTOS'!BE$3:BE$500)+IF($C16="",0,SUMIF('DADOS BRUTOS'!$A$3:$A$500,$C16,'DADOS BRUTOS'!BE$3:BE$500)))</f>
        <v/>
      </c>
      <c r="EF16" s="123">
        <f>IF(OR(EF$4="",$B16=""),0,SUMIF('DADOS BRUTOS'!$A$3:$A$500,$B16,'DADOS BRUTOS'!BF$3:BF$500)+IF($C16="",0,SUMIF('DADOS BRUTOS'!$A$3:$A$500,$C16,'DADOS BRUTOS'!BF$3:BF$500)))</f>
        <v/>
      </c>
      <c r="EG16" s="123">
        <f>IF(OR(EG$4="",$B16=""),0,SUMIF('DADOS BRUTOS'!$A$3:$A$500,$B16,'DADOS BRUTOS'!BG$3:BG$500)+IF($C16="",0,SUMIF('DADOS BRUTOS'!$A$3:$A$500,$C16,'DADOS BRUTOS'!BG$3:BG$500)))</f>
        <v/>
      </c>
      <c r="EH16" s="123">
        <f>IF(OR(EH$4="",$B16=""),0,SUMIF('DADOS BRUTOS'!$A$3:$A$500,$B16,'DADOS BRUTOS'!BH$3:BH$500)+IF($C16="",0,SUMIF('DADOS BRUTOS'!$A$3:$A$500,$C16,'DADOS BRUTOS'!BH$3:BH$500)))</f>
        <v/>
      </c>
      <c r="EI16" s="123">
        <f>IF(OR(EI$4="",$B16=""),0,SUMIF('DADOS BRUTOS'!$A$3:$A$500,$B16,'DADOS BRUTOS'!BI$3:BI$500)+IF($C16="",0,SUMIF('DADOS BRUTOS'!$A$3:$A$500,$C16,'DADOS BRUTOS'!BI$3:BI$500)))</f>
        <v/>
      </c>
      <c r="EJ16" s="123">
        <f>IF(OR(EJ$4="",$B16=""),0,SUMIF('DADOS BRUTOS'!$A$3:$A$500,$B16,'DADOS BRUTOS'!BJ$3:BJ$500)+IF($C16="",0,SUMIF('DADOS BRUTOS'!$A$3:$A$500,$C16,'DADOS BRUTOS'!BJ$3:BJ$500)))</f>
        <v/>
      </c>
      <c r="EK16" s="123">
        <f>IF(OR(EK$4="",$B16=""),0,SUMIF('DADOS BRUTOS'!$A$3:$A$500,$B16,'DADOS BRUTOS'!BK$3:BK$500)+IF($C16="",0,SUMIF('DADOS BRUTOS'!$A$3:$A$500,$C16,'DADOS BRUTOS'!BK$3:BK$500)))</f>
        <v/>
      </c>
      <c r="EL16" s="123">
        <f>IF(OR(EL$4="",$B16=""),0,SUMIF('DADOS BRUTOS'!$A$3:$A$500,$B16,'DADOS BRUTOS'!BL$3:BL$500)+IF($C16="",0,SUMIF('DADOS BRUTOS'!$A$3:$A$500,$C16,'DADOS BRUTOS'!BL$3:BL$500)))</f>
        <v/>
      </c>
      <c r="EM16" s="123">
        <f>IF(OR(EM$4="",$B16=""),0,SUMIF('DADOS BRUTOS'!$A$3:$A$500,$B16,'DADOS BRUTOS'!BM$3:BM$500)+IF($C16="",0,SUMIF('DADOS BRUTOS'!$A$3:$A$500,$C16,'DADOS BRUTOS'!BM$3:BM$500)))</f>
        <v/>
      </c>
      <c r="EN16" s="123">
        <f>IF(OR(EN$4="",$B16=""),0,SUMIF('DADOS BRUTOS'!$A$3:$A$500,$B16,'DADOS BRUTOS'!BN$3:BN$500)+IF($C16="",0,SUMIF('DADOS BRUTOS'!$A$3:$A$500,$C16,'DADOS BRUTOS'!BN$3:BN$500)))</f>
        <v/>
      </c>
      <c r="EO16" s="123">
        <f>IF(OR(EO$4="",$B16=""),0,SUMIF('DADOS BRUTOS'!$A$3:$A$500,$B16,'DADOS BRUTOS'!BO$3:BO$500)+IF($C16="",0,SUMIF('DADOS BRUTOS'!$A$3:$A$500,$C16,'DADOS BRUTOS'!BO$3:BO$500)))</f>
        <v/>
      </c>
      <c r="EP16" s="123">
        <f>IF(OR(EP$4="",$B16=""),0,SUMIF('DADOS BRUTOS'!$A$3:$A$500,$B16,'DADOS BRUTOS'!BP$3:BP$500)+IF($C16="",0,SUMIF('DADOS BRUTOS'!$A$3:$A$500,$C16,'DADOS BRUTOS'!BP$3:BP$500)))</f>
        <v/>
      </c>
      <c r="EQ16" s="123">
        <f>IF(OR(EQ$4="",$B16=""),0,SUMIF('DADOS BRUTOS'!$A$3:$A$500,$B16,'DADOS BRUTOS'!BQ$3:BQ$500)+IF($C16="",0,SUMIF('DADOS BRUTOS'!$A$3:$A$500,$C16,'DADOS BRUTOS'!BQ$3:BQ$500)))</f>
        <v/>
      </c>
      <c r="ER16" s="123">
        <f>IF(OR(ER$4="",$B16=""),0,SUMIF('DADOS BRUTOS'!$A$3:$A$500,$B16,'DADOS BRUTOS'!BR$3:BR$500)+IF($C16="",0,SUMIF('DADOS BRUTOS'!$A$3:$A$500,$C16,'DADOS BRUTOS'!BR$3:BR$500)))</f>
        <v/>
      </c>
      <c r="ES16" s="123">
        <f>IF(OR(ES$4="",$B16=""),0,SUMIF('DADOS BRUTOS'!$A$3:$A$500,$B16,'DADOS BRUTOS'!BS$3:BS$500)+IF($C16="",0,SUMIF('DADOS BRUTOS'!$A$3:$A$500,$C16,'DADOS BRUTOS'!BS$3:BS$500)))</f>
        <v/>
      </c>
      <c r="ET16" s="123">
        <f>IF(OR(ET$4="",$B16=""),0,SUMIF('DADOS BRUTOS'!$A$3:$A$500,$B16,'DADOS BRUTOS'!BT$3:BT$500)+IF($C16="",0,SUMIF('DADOS BRUTOS'!$A$3:$A$500,$C16,'DADOS BRUTOS'!BT$3:BT$500)))</f>
        <v/>
      </c>
      <c r="EU16" s="123">
        <f>IF(OR(EU$4="",$B16=""),0,SUMIF('DADOS BRUTOS'!$A$3:$A$500,$B16,'DADOS BRUTOS'!BU$3:BU$500)+IF($C16="",0,SUMIF('DADOS BRUTOS'!$A$3:$A$500,$C16,'DADOS BRUTOS'!BU$3:BU$500)))</f>
        <v/>
      </c>
      <c r="EV16" s="123">
        <f>IF(OR(EV$4="",$B16=""),0,SUMIF('DADOS BRUTOS'!$A$3:$A$500,$B16,'DADOS BRUTOS'!BV$3:BV$500)+IF($C16="",0,SUMIF('DADOS BRUTOS'!$A$3:$A$500,$C16,'DADOS BRUTOS'!BV$3:BV$500)))</f>
        <v/>
      </c>
      <c r="EW16" s="123">
        <f>IF(OR(EW$4="",$B16=""),0,SUMIF('DADOS BRUTOS'!$A$3:$A$500,$B16,'DADOS BRUTOS'!BW$3:BW$500)+IF($C16="",0,SUMIF('DADOS BRUTOS'!$A$3:$A$500,$C16,'DADOS BRUTOS'!BW$3:BW$500)))</f>
        <v/>
      </c>
      <c r="EX16" s="123">
        <f>IF(OR(EX$4="",$B16=""),0,SUMIF('DADOS BRUTOS'!$A$3:$A$500,$B16,'DADOS BRUTOS'!BX$3:BX$500)+IF($C16="",0,SUMIF('DADOS BRUTOS'!$A$3:$A$500,$C16,'DADOS BRUTOS'!BX$3:BX$500)))</f>
        <v/>
      </c>
      <c r="EY16" s="123">
        <f>IF(OR(EY$4="",$B16=""),0,SUMIF('DADOS BRUTOS'!$A$3:$A$500,$B16,'DADOS BRUTOS'!BY$3:BY$500)+IF($C16="",0,SUMIF('DADOS BRUTOS'!$A$3:$A$500,$C16,'DADOS BRUTOS'!BY$3:BY$500)))</f>
        <v/>
      </c>
      <c r="EZ16" s="123">
        <f>IF(OR(EZ$4="",$B16=""),0,SUMIF('DADOS BRUTOS'!$A$3:$A$500,$B16,'DADOS BRUTOS'!BZ$3:BZ$500)+IF($C16="",0,SUMIF('DADOS BRUTOS'!$A$3:$A$500,$C16,'DADOS BRUTOS'!BZ$3:BZ$500)))</f>
        <v/>
      </c>
      <c r="FA16" s="123">
        <f>IF(OR(FA$4="",$B16=""),0,SUMIF('DADOS BRUTOS'!$A$3:$A$500,$B16,'DADOS BRUTOS'!CA$3:CA$500)+IF($C16="",0,SUMIF('DADOS BRUTOS'!$A$3:$A$500,$C16,'DADOS BRUTOS'!CA$3:CA$500)))</f>
        <v/>
      </c>
      <c r="FB16" s="123">
        <f>IF(OR(FB$4="",$B16=""),0,SUMIF('DADOS BRUTOS'!$A$3:$A$500,$B16,'DADOS BRUTOS'!CB$3:CB$500)+IF($C16="",0,SUMIF('DADOS BRUTOS'!$A$3:$A$500,$C16,'DADOS BRUTOS'!CB$3:CB$500)))</f>
        <v/>
      </c>
      <c r="FC16" s="123">
        <f>IF(OR(FC$4="",$B16=""),0,SUMIF('DADOS BRUTOS'!$A$3:$A$500,$B16,'DADOS BRUTOS'!CC$3:CC$500)+IF($C16="",0,SUMIF('DADOS BRUTOS'!$A$3:$A$500,$C16,'DADOS BRUTOS'!CC$3:CC$500)))</f>
        <v/>
      </c>
      <c r="FD16" s="123">
        <f>IF(OR(FD$4="",$B16=""),0,SUMIF('DADOS BRUTOS'!$A$3:$A$500,$B16,'DADOS BRUTOS'!CD$3:CD$500)+IF($C16="",0,SUMIF('DADOS BRUTOS'!$A$3:$A$500,$C16,'DADOS BRUTOS'!CD$3:CD$500)))</f>
        <v/>
      </c>
      <c r="FE16" s="123">
        <f>IF(OR(FE$4="",$B16=""),0,SUMIF('DADOS BRUTOS'!$A$3:$A$500,$B16,'DADOS BRUTOS'!CE$3:CE$500)+IF($C16="",0,SUMIF('DADOS BRUTOS'!$A$3:$A$500,$C16,'DADOS BRUTOS'!CE$3:CE$500)))</f>
        <v/>
      </c>
      <c r="FF16" s="123">
        <f>IF(OR(FF$4="",$B16=""),0,SUMIF('DADOS BRUTOS'!$A$3:$A$500,$B16,'DADOS BRUTOS'!CF$3:CF$500)+IF($C16="",0,SUMIF('DADOS BRUTOS'!$A$3:$A$500,$C16,'DADOS BRUTOS'!CF$3:CF$500)))</f>
        <v/>
      </c>
      <c r="FG16" s="123">
        <f>IF(OR(FG$4="",$B16=""),0,SUMIF('DADOS BRUTOS'!$A$3:$A$500,$B16,'DADOS BRUTOS'!CG$3:CG$500)+IF($C16="",0,SUMIF('DADOS BRUTOS'!$A$3:$A$500,$C16,'DADOS BRUTOS'!CG$3:CG$500)))</f>
        <v/>
      </c>
      <c r="FH16" s="123">
        <f>IF(OR(FH$4="",$B16=""),0,SUMIF('DADOS BRUTOS'!$A$3:$A$500,$B16,'DADOS BRUTOS'!CH$3:CH$500)+IF($C16="",0,SUMIF('DADOS BRUTOS'!$A$3:$A$500,$C16,'DADOS BRUTOS'!CH$3:CH$500)))</f>
        <v/>
      </c>
      <c r="FI16" s="123">
        <f>IF(OR(FI$4="",$B16=""),0,SUMIF('DADOS BRUTOS'!$A$3:$A$500,$B16,'DADOS BRUTOS'!CI$3:CI$500)+IF($C16="",0,SUMIF('DADOS BRUTOS'!$A$3:$A$500,$C16,'DADOS BRUTOS'!CI$3:CI$500)))</f>
        <v/>
      </c>
      <c r="FJ16" s="123">
        <f>IF(OR(FJ$4="",$B16=""),0,SUMIF('DADOS BRUTOS'!$A$3:$A$500,$B16,'DADOS BRUTOS'!CJ$3:CJ$500)+IF($C16="",0,SUMIF('DADOS BRUTOS'!$A$3:$A$500,$C16,'DADOS BRUTOS'!CJ$3:CJ$500)))</f>
        <v/>
      </c>
      <c r="FK16" s="123">
        <f>IF(OR(FK$4="",$B16=""),0,SUMIF('DADOS BRUTOS'!$A$3:$A$500,$B16,'DADOS BRUTOS'!CK$3:CK$500)+IF($C16="",0,SUMIF('DADOS BRUTOS'!$A$3:$A$500,$C16,'DADOS BRUTOS'!CK$3:CK$500)))</f>
        <v/>
      </c>
      <c r="FL16" s="123">
        <f>IF(OR(FL$4="",$B16=""),0,SUMIF('DADOS BRUTOS'!$A$3:$A$500,$B16,'DADOS BRUTOS'!CL$3:CL$500)+IF($C16="",0,SUMIF('DADOS BRUTOS'!$A$3:$A$500,$C16,'DADOS BRUTOS'!CL$3:CL$500)))</f>
        <v/>
      </c>
      <c r="FM16" s="123">
        <f>IF(OR(FM$4="",$B16=""),0,SUMIF('DADOS BRUTOS'!$A$3:$A$500,$B16,'DADOS BRUTOS'!CM$3:CM$500)+IF($C16="",0,SUMIF('DADOS BRUTOS'!$A$3:$A$500,$C16,'DADOS BRUTOS'!CM$3:CM$500)))</f>
        <v/>
      </c>
      <c r="FN16" s="123">
        <f>IF(OR(FN$4="",$B16=""),0,SUMIF('DADOS BRUTOS'!$A$3:$A$500,$B16,'DADOS BRUTOS'!CN$3:CN$500)+IF($C16="",0,SUMIF('DADOS BRUTOS'!$A$3:$A$500,$C16,'DADOS BRUTOS'!CN$3:CN$500)))</f>
        <v/>
      </c>
      <c r="FO16" s="123">
        <f>IF(OR(FO$4="",$B16=""),0,SUMIF('DADOS BRUTOS'!$A$3:$A$500,$B16,'DADOS BRUTOS'!CO$3:CO$500)+IF($C16="",0,SUMIF('DADOS BRUTOS'!$A$3:$A$500,$C16,'DADOS BRUTOS'!CO$3:CO$500)))</f>
        <v/>
      </c>
      <c r="FP16" s="123">
        <f>IF(OR(FP$4="",$B16=""),0,SUMIF('DADOS BRUTOS'!$A$3:$A$500,$B16,'DADOS BRUTOS'!CP$3:CP$500)+IF($C16="",0,SUMIF('DADOS BRUTOS'!$A$3:$A$500,$C16,'DADOS BRUTOS'!CP$3:CP$500)))</f>
        <v/>
      </c>
      <c r="FQ16" s="123">
        <f>IF(OR(FQ$4="",$B16=""),0,SUMIF('DADOS BRUTOS'!$A$3:$A$500,$B16,'DADOS BRUTOS'!CQ$3:CQ$500)+IF($C16="",0,SUMIF('DADOS BRUTOS'!$A$3:$A$500,$C16,'DADOS BRUTOS'!CQ$3:CQ$500)))</f>
        <v/>
      </c>
      <c r="FR16" s="123">
        <f>IF(OR(FR$4="",$B16=""),0,SUMIF('DADOS BRUTOS'!$A$3:$A$500,$B16,'DADOS BRUTOS'!CR$3:CR$500)+IF($C16="",0,SUMIF('DADOS BRUTOS'!$A$3:$A$500,$C16,'DADOS BRUTOS'!CR$3:CR$500)))</f>
        <v/>
      </c>
      <c r="FS16" s="123">
        <f>IF(OR(FS$4="",$B16=""),0,SUMIF('DADOS BRUTOS'!$A$3:$A$500,$B16,'DADOS BRUTOS'!CS$3:CS$500)+IF($C16="",0,SUMIF('DADOS BRUTOS'!$A$3:$A$500,$C16,'DADOS BRUTOS'!CS$3:CS$500)))</f>
        <v/>
      </c>
      <c r="FT16" s="123">
        <f>IF(OR(FT$4="",$B16=""),0,SUMIF('DADOS BRUTOS'!$A$3:$A$500,$B16,'DADOS BRUTOS'!CT$3:CT$500)+IF($C16="",0,SUMIF('DADOS BRUTOS'!$A$3:$A$500,$C16,'DADOS BRUTOS'!CT$3:CT$500)))</f>
        <v/>
      </c>
      <c r="FU16" s="123">
        <f>IF(OR(FU$4="",$B16=""),0,SUMIF('DADOS BRUTOS'!$A$3:$A$500,$B16,'DADOS BRUTOS'!CU$3:CU$500)+IF($C16="",0,SUMIF('DADOS BRUTOS'!$A$3:$A$500,$C16,'DADOS BRUTOS'!CU$3:CU$500)))</f>
        <v/>
      </c>
      <c r="FV16" s="123">
        <f>IF(OR(FV$4="",$B16=""),0,SUMIF('DADOS BRUTOS'!$A$3:$A$500,$B16,'DADOS BRUTOS'!CV$3:CV$500)+IF($C16="",0,SUMIF('DADOS BRUTOS'!$A$3:$A$500,$C16,'DADOS BRUTOS'!CV$3:CV$500)))</f>
        <v/>
      </c>
      <c r="FW16" s="123">
        <f>IF(OR(FW$4="",$B16=""),0,SUMIF('DADOS BRUTOS'!$A$3:$A$500,$B16,'DADOS BRUTOS'!CW$3:CW$500)+IF($C16="",0,SUMIF('DADOS BRUTOS'!$A$3:$A$500,$C16,'DADOS BRUTOS'!CW$3:CW$500)))</f>
        <v/>
      </c>
      <c r="FX16" s="123">
        <f>IF(OR(FX$4="",$B16=""),0,SUMIF('DADOS BRUTOS'!$A$3:$A$500,$B16,'DADOS BRUTOS'!CX$3:CX$500)+IF($C16="",0,SUMIF('DADOS BRUTOS'!$A$3:$A$500,$C16,'DADOS BRUTOS'!CX$3:CX$500)))</f>
        <v/>
      </c>
      <c r="FY16" s="123">
        <f>IF(OR(FY$4="",$B16=""),0,SUMIF('DADOS BRUTOS'!$A$3:$A$500,$B16,'DADOS BRUTOS'!CY$3:CY$500)+IF($C16="",0,SUMIF('DADOS BRUTOS'!$A$3:$A$500,$C16,'DADOS BRUTOS'!CY$3:CY$500)))</f>
        <v/>
      </c>
      <c r="FZ16" s="123">
        <f>IF(OR(FZ$4="",$B16=""),0,SUMIF('DADOS BRUTOS'!$A$3:$A$500,$B16,'DADOS BRUTOS'!CZ$3:CZ$500)+IF($C16="",0,SUMIF('DADOS BRUTOS'!$A$3:$A$500,$C16,'DADOS BRUTOS'!CZ$3:CZ$500)))</f>
        <v/>
      </c>
      <c r="GA16" s="123">
        <f>IF(OR(GA$4="",$B16=""),0,SUMIF('DADOS BRUTOS'!$A$3:$A$500,$B16,'DADOS BRUTOS'!DA$3:DA$500)+IF($C16="",0,SUMIF('DADOS BRUTOS'!$A$3:$A$500,$C16,'DADOS BRUTOS'!DA$3:DA$500)))</f>
        <v/>
      </c>
      <c r="GB16" s="123">
        <f>IF(OR(GB$4="",$B16=""),0,SUMIF('DADOS BRUTOS'!$A$3:$A$500,$B16,'DADOS BRUTOS'!DB$3:DB$500)+IF($C16="",0,SUMIF('DADOS BRUTOS'!$A$3:$A$500,$C16,'DADOS BRUTOS'!DB$3:DB$500)))</f>
        <v/>
      </c>
      <c r="GC16" s="123">
        <f>IF(OR(GC$4="",$B16=""),0,SUMIF('DADOS BRUTOS'!$A$3:$A$500,$B16,'DADOS BRUTOS'!DC$3:DC$500)+IF($C16="",0,SUMIF('DADOS BRUTOS'!$A$3:$A$500,$C16,'DADOS BRUTOS'!DC$3:DC$500)))</f>
        <v/>
      </c>
      <c r="GD16" s="123">
        <f>IF(OR(GD$4="",$B16=""),0,SUMIF('DADOS BRUTOS'!$A$3:$A$500,$B16,'DADOS BRUTOS'!DD$3:DD$500)+IF($C16="",0,SUMIF('DADOS BRUTOS'!$A$3:$A$500,$C16,'DADOS BRUTOS'!DD$3:DD$500)))</f>
        <v/>
      </c>
      <c r="GE16" s="123">
        <f>IF(OR(GE$4="",$B16=""),0,SUMIF('DADOS BRUTOS'!$A$3:$A$500,$B16,'DADOS BRUTOS'!DE$3:DE$500)+IF($C16="",0,SUMIF('DADOS BRUTOS'!$A$3:$A$500,$C16,'DADOS BRUTOS'!DE$3:DE$500)))</f>
        <v/>
      </c>
      <c r="GF16" s="123">
        <f>IF(OR(GF$4="",$B16=""),0,SUMIF('DADOS BRUTOS'!$A$3:$A$500,$B16,'DADOS BRUTOS'!DF$3:DF$500)+IF($C16="",0,SUMIF('DADOS BRUTOS'!$A$3:$A$500,$C16,'DADOS BRUTOS'!DF$3:DF$500)))</f>
        <v/>
      </c>
      <c r="GG16" s="123">
        <f>IF(OR(GG$4="",$B16=""),0,SUMIF('DADOS BRUTOS'!$A$3:$A$500,$B16,'DADOS BRUTOS'!DG$3:DG$500)+IF($C16="",0,SUMIF('DADOS BRUTOS'!$A$3:$A$500,$C16,'DADOS BRUTOS'!DG$3:DG$500)))</f>
        <v/>
      </c>
      <c r="GH16" s="123">
        <f>IF(OR(GH$4="",$B16=""),0,SUMIF('DADOS BRUTOS'!$A$3:$A$500,$B16,'DADOS BRUTOS'!DH$3:DH$500)+IF($C16="",0,SUMIF('DADOS BRUTOS'!$A$3:$A$500,$C16,'DADOS BRUTOS'!DH$3:DH$500)))</f>
        <v/>
      </c>
      <c r="GI16" s="123">
        <f>IF(OR(GI$4="",$B16=""),0,SUMIF('DADOS BRUTOS'!$A$3:$A$500,$B16,'DADOS BRUTOS'!DI$3:DI$500)+IF($C16="",0,SUMIF('DADOS BRUTOS'!$A$3:$A$500,$C16,'DADOS BRUTOS'!DI$3:DI$500)))</f>
        <v/>
      </c>
      <c r="GJ16" s="123">
        <f>IF(OR(GJ$4="",$B16=""),0,SUMIF('DADOS BRUTOS'!$A$3:$A$500,$B16,'DADOS BRUTOS'!DJ$3:DJ$500)+IF($C16="",0,SUMIF('DADOS BRUTOS'!$A$3:$A$500,$C16,'DADOS BRUTOS'!DJ$3:DJ$500)))</f>
        <v/>
      </c>
      <c r="GK16" s="123">
        <f>IF(OR(GK$4="",$B16=""),0,SUMIF('DADOS BRUTOS'!$A$3:$A$500,$B16,'DADOS BRUTOS'!DK$3:DK$500)+IF($C16="",0,SUMIF('DADOS BRUTOS'!$A$3:$A$500,$C16,'DADOS BRUTOS'!DK$3:DK$500)))</f>
        <v/>
      </c>
      <c r="GL16" s="123">
        <f>IF(OR(GL$4="",$B16=""),0,SUMIF('DADOS BRUTOS'!$A$3:$A$500,$B16,'DADOS BRUTOS'!DL$3:DL$500)+IF($C16="",0,SUMIF('DADOS BRUTOS'!$A$3:$A$500,$C16,'DADOS BRUTOS'!DL$3:DL$500)))</f>
        <v/>
      </c>
      <c r="GM16" s="123">
        <f>IF(OR(GM$4="",$B16=""),0,SUMIF('DADOS BRUTOS'!$A$3:$A$500,$B16,'DADOS BRUTOS'!DM$3:DM$500)+IF($C16="",0,SUMIF('DADOS BRUTOS'!$A$3:$A$500,$C16,'DADOS BRUTOS'!DM$3:DM$500)))</f>
        <v/>
      </c>
      <c r="GN16" s="123">
        <f>IF(OR(GN$4="",$B16=""),0,SUMIF('DADOS BRUTOS'!$A$3:$A$500,$B16,'DADOS BRUTOS'!DN$3:DN$500)+IF($C16="",0,SUMIF('DADOS BRUTOS'!$A$3:$A$500,$C16,'DADOS BRUTOS'!DN$3:DN$500)))</f>
        <v/>
      </c>
      <c r="GO16" s="123">
        <f>IF(OR(GO$4="",$B16=""),0,SUMIF('DADOS BRUTOS'!$A$3:$A$500,$B16,'DADOS BRUTOS'!DO$3:DO$500)+IF($C16="",0,SUMIF('DADOS BRUTOS'!$A$3:$A$500,$C16,'DADOS BRUTOS'!DO$3:DO$500)))</f>
        <v/>
      </c>
      <c r="GP16" s="123">
        <f>IF(OR(GP$4="",$B16=""),0,SUMIF('DADOS BRUTOS'!$A$3:$A$500,$B16,'DADOS BRUTOS'!DP$3:DP$500)+IF($C16="",0,SUMIF('DADOS BRUTOS'!$A$3:$A$500,$C16,'DADOS BRUTOS'!DP$3:DP$500)))</f>
        <v/>
      </c>
      <c r="GQ16" s="123">
        <f>IF(OR(GQ$4="",$B16=""),0,SUMIF('DADOS BRUTOS'!$A$3:$A$500,$B16,'DADOS BRUTOS'!DQ$3:DQ$500)+IF($C16="",0,SUMIF('DADOS BRUTOS'!$A$3:$A$500,$C16,'DADOS BRUTOS'!DQ$3:DQ$500)))</f>
        <v/>
      </c>
      <c r="GR16" s="123">
        <f>IF(OR(GR$4="",$B16=""),0,SUMIF('DADOS BRUTOS'!$A$3:$A$500,$B16,'DADOS BRUTOS'!DR$3:DR$500)+IF($C16="",0,SUMIF('DADOS BRUTOS'!$A$3:$A$500,$C16,'DADOS BRUTOS'!DR$3:DR$500)))</f>
        <v/>
      </c>
      <c r="GS16" s="123">
        <f>IF(OR(GS$4="",$B16=""),0,SUMIF('DADOS BRUTOS'!$A$3:$A$500,$B16,'DADOS BRUTOS'!DS$3:DS$500)+IF($C16="",0,SUMIF('DADOS BRUTOS'!$A$3:$A$500,$C16,'DADOS BRUTOS'!DS$3:DS$500)))</f>
        <v/>
      </c>
      <c r="GT16" s="123">
        <f>IF(OR(GT$4="",$B16=""),0,SUMIF('DADOS BRUTOS'!$A$3:$A$500,$B16,'DADOS BRUTOS'!DT$3:DT$500)+IF($C16="",0,SUMIF('DADOS BRUTOS'!$A$3:$A$500,$C16,'DADOS BRUTOS'!DT$3:DT$500)))</f>
        <v/>
      </c>
      <c r="GU16" s="123">
        <f>IF(OR(GU$4="",$B16=""),0,SUMIF('DADOS BRUTOS'!$A$3:$A$500,$B16,'DADOS BRUTOS'!DU$3:DU$500)+IF($C16="",0,SUMIF('DADOS BRUTOS'!$A$3:$A$500,$C16,'DADOS BRUTOS'!DU$3:DU$500)))</f>
        <v/>
      </c>
      <c r="GV16" s="123">
        <f>IF(OR(GV$4="",$B16=""),0,SUMIF('DADOS BRUTOS'!$A$3:$A$500,$B16,'DADOS BRUTOS'!DV$3:DV$500)+IF($C16="",0,SUMIF('DADOS BRUTOS'!$A$3:$A$500,$C16,'DADOS BRUTOS'!DV$3:DV$500)))</f>
        <v/>
      </c>
      <c r="GW16" s="123">
        <f>IF(OR(GW$4="",$B16=""),0,SUMIF('DADOS BRUTOS'!$A$3:$A$500,$B16,'DADOS BRUTOS'!DW$3:DW$500)+IF($C16="",0,SUMIF('DADOS BRUTOS'!$A$3:$A$500,$C16,'DADOS BRUTOS'!DW$3:DW$500)))</f>
        <v/>
      </c>
      <c r="GX16" s="123">
        <f>IF(OR(GX$4="",$B16=""),0,SUMIF('DADOS BRUTOS'!$A$3:$A$500,$B16,'DADOS BRUTOS'!DX$3:DX$500)+IF($C16="",0,SUMIF('DADOS BRUTOS'!$A$3:$A$500,$C16,'DADOS BRUTOS'!DX$3:DX$500)))</f>
        <v/>
      </c>
      <c r="GY16" s="123">
        <f>IF(OR(GY$4="",$B16=""),0,SUMIF('DADOS BRUTOS'!$A$3:$A$500,$B16,'DADOS BRUTOS'!DY$3:DY$500)+IF($C16="",0,SUMIF('DADOS BRUTOS'!$A$3:$A$500,$C16,'DADOS BRUTOS'!DY$3:DY$500)))</f>
        <v/>
      </c>
      <c r="GZ16" s="123">
        <f>IF(OR(GZ$4="",$B16=""),0,SUMIF('DADOS BRUTOS'!$A$3:$A$500,$B16,'DADOS BRUTOS'!DZ$3:DZ$500)+IF($C16="",0,SUMIF('DADOS BRUTOS'!$A$3:$A$500,$C16,'DADOS BRUTOS'!DZ$3:DZ$500)))</f>
        <v/>
      </c>
      <c r="HA16" s="123">
        <f>IF(OR(HA$4="",$B16=""),0,SUMIF('DADOS BRUTOS'!$A$3:$A$500,$B16,'DADOS BRUTOS'!EA$3:EA$500)+IF($C16="",0,SUMIF('DADOS BRUTOS'!$A$3:$A$500,$C16,'DADOS BRUTOS'!EA$3:EA$500)))</f>
        <v/>
      </c>
      <c r="HB16" s="123">
        <f>IF(OR(HB$4="",$B16=""),0,SUMIF('DADOS BRUTOS'!$A$3:$A$500,$B16,'DADOS BRUTOS'!EB$3:EB$500)+IF($C16="",0,SUMIF('DADOS BRUTOS'!$A$3:$A$500,$C16,'DADOS BRUTOS'!EB$3:EB$500)))</f>
        <v/>
      </c>
      <c r="HC16" s="123">
        <f>IF(OR(HC$4="",$B16=""),0,SUMIF('DADOS BRUTOS'!$A$3:$A$500,$B16,'DADOS BRUTOS'!EC$3:EC$500)+IF($C16="",0,SUMIF('DADOS BRUTOS'!$A$3:$A$500,$C16,'DADOS BRUTOS'!EC$3:EC$500)))</f>
        <v/>
      </c>
      <c r="HD16" s="123">
        <f>IF(OR(HD$4="",$B16=""),0,SUMIF('DADOS BRUTOS'!$A$3:$A$500,$B16,'DADOS BRUTOS'!ED$3:ED$500)+IF($C16="",0,SUMIF('DADOS BRUTOS'!$A$3:$A$500,$C16,'DADOS BRUTOS'!ED$3:ED$500)))</f>
        <v/>
      </c>
      <c r="HE16" s="123">
        <f>IF(OR(HE$4="",$B16=""),0,SUMIF('DADOS BRUTOS'!$A$3:$A$500,$B16,'DADOS BRUTOS'!EE$3:EE$500)+IF($C16="",0,SUMIF('DADOS BRUTOS'!$A$3:$A$500,$C16,'DADOS BRUTOS'!EE$3:EE$500)))</f>
        <v/>
      </c>
      <c r="HF16" s="123">
        <f>IF(OR(HF$4="",$B16=""),0,SUMIF('DADOS BRUTOS'!$A$3:$A$500,$B16,'DADOS BRUTOS'!EF$3:EF$500)+IF($C16="",0,SUMIF('DADOS BRUTOS'!$A$3:$A$500,$C16,'DADOS BRUTOS'!EF$3:EF$500)))</f>
        <v/>
      </c>
      <c r="HG16" s="123">
        <f>IF(OR(HG$4="",$B16=""),0,SUMIF('DADOS BRUTOS'!$A$3:$A$500,$B16,'DADOS BRUTOS'!EG$3:EG$500)+IF($C16="",0,SUMIF('DADOS BRUTOS'!$A$3:$A$500,$C16,'DADOS BRUTOS'!EG$3:EG$500)))</f>
        <v/>
      </c>
      <c r="HH16" s="123">
        <f>IF(OR(HH$4="",$B16=""),0,SUMIF('DADOS BRUTOS'!$A$3:$A$500,$B16,'DADOS BRUTOS'!EH$3:EH$500)+IF($C16="",0,SUMIF('DADOS BRUTOS'!$A$3:$A$500,$C16,'DADOS BRUTOS'!EH$3:EH$500)))</f>
        <v/>
      </c>
      <c r="HI16" s="123">
        <f>IF(OR(HI$4="",$B16=""),0,SUMIF('DADOS BRUTOS'!$A$3:$A$500,$B16,'DADOS BRUTOS'!EI$3:EI$500)+IF($C16="",0,SUMIF('DADOS BRUTOS'!$A$3:$A$500,$C16,'DADOS BRUTOS'!EI$3:EI$500)))</f>
        <v/>
      </c>
      <c r="HJ16" s="123">
        <f>IF(OR(HJ$4="",$B16=""),0,SUMIF('DADOS BRUTOS'!$A$3:$A$500,$B16,'DADOS BRUTOS'!EJ$3:EJ$500)+IF($C16="",0,SUMIF('DADOS BRUTOS'!$A$3:$A$500,$C16,'DADOS BRUTOS'!EJ$3:EJ$500)))</f>
        <v/>
      </c>
      <c r="HK16" s="123">
        <f>IF(OR(HK$4="",$B16=""),0,SUMIF('DADOS BRUTOS'!$A$3:$A$500,$B16,'DADOS BRUTOS'!EK$3:EK$500)+IF($C16="",0,SUMIF('DADOS BRUTOS'!$A$3:$A$500,$C16,'DADOS BRUTOS'!EK$3:EK$500)))</f>
        <v/>
      </c>
      <c r="HL16" s="123">
        <f>IF(OR(HL$4="",$B16=""),0,SUMIF('DADOS BRUTOS'!$A$3:$A$500,$B16,'DADOS BRUTOS'!EL$3:EL$500)+IF($C16="",0,SUMIF('DADOS BRUTOS'!$A$3:$A$500,$C16,'DADOS BRUTOS'!EL$3:EL$500)))</f>
        <v/>
      </c>
      <c r="HM16" s="123">
        <f>IF(OR(HM$4="",$B16=""),0,SUMIF('DADOS BRUTOS'!$A$3:$A$500,$B16,'DADOS BRUTOS'!EM$3:EM$500)+IF($C16="",0,SUMIF('DADOS BRUTOS'!$A$3:$A$500,$C16,'DADOS BRUTOS'!EM$3:EM$500)))</f>
        <v/>
      </c>
      <c r="HN16" s="123">
        <f>IF(OR(HN$4="",$B16=""),0,SUMIF('DADOS BRUTOS'!$A$3:$A$500,$B16,'DADOS BRUTOS'!EN$3:EN$500)+IF($C16="",0,SUMIF('DADOS BRUTOS'!$A$3:$A$500,$C16,'DADOS BRUTOS'!EN$3:EN$500)))</f>
        <v/>
      </c>
      <c r="HO16" s="123">
        <f>IF(OR(HO$4="",$B16=""),0,SUMIF('DADOS BRUTOS'!$A$3:$A$500,$B16,'DADOS BRUTOS'!EO$3:EO$500)+IF($C16="",0,SUMIF('DADOS BRUTOS'!$A$3:$A$500,$C16,'DADOS BRUTOS'!EO$3:EO$500)))</f>
        <v/>
      </c>
      <c r="HP16" s="123">
        <f>IF(OR(HP$4="",$B16=""),0,SUMIF('DADOS BRUTOS'!$A$3:$A$500,$B16,'DADOS BRUTOS'!EP$3:EP$500)+IF($C16="",0,SUMIF('DADOS BRUTOS'!$A$3:$A$500,$C16,'DADOS BRUTOS'!EP$3:EP$500)))</f>
        <v/>
      </c>
      <c r="HQ16" s="123">
        <f>IF(OR(HQ$4="",$B16=""),0,SUMIF('DADOS BRUTOS'!$A$3:$A$500,$B16,'DADOS BRUTOS'!EQ$3:EQ$500)+IF($C16="",0,SUMIF('DADOS BRUTOS'!$A$3:$A$500,$C16,'DADOS BRUTOS'!EQ$3:EQ$500)))</f>
        <v/>
      </c>
      <c r="HR16" s="123">
        <f>IF(OR(HR$4="",$B16=""),0,SUMIF('DADOS BRUTOS'!$A$3:$A$500,$B16,'DADOS BRUTOS'!ER$3:ER$500)+IF($C16="",0,SUMIF('DADOS BRUTOS'!$A$3:$A$500,$C16,'DADOS BRUTOS'!ER$3:ER$500)))</f>
        <v/>
      </c>
      <c r="HS16" s="123">
        <f>IF(OR(HS$4="",$B16=""),0,SUMIF('DADOS BRUTOS'!$A$3:$A$500,$B16,'DADOS BRUTOS'!ES$3:ES$500)+IF($C16="",0,SUMIF('DADOS BRUTOS'!$A$3:$A$500,$C16,'DADOS BRUTOS'!ES$3:ES$500)))</f>
        <v/>
      </c>
      <c r="HT16" s="123">
        <f>IF(OR(HT$4="",$B16=""),0,SUMIF('DADOS BRUTOS'!$A$3:$A$500,$B16,'DADOS BRUTOS'!ET$3:ET$500)+IF($C16="",0,SUMIF('DADOS BRUTOS'!$A$3:$A$500,$C16,'DADOS BRUTOS'!ET$3:ET$500)))</f>
        <v/>
      </c>
      <c r="HU16" s="123">
        <f>IF(OR(HU$4="",$B16=""),0,SUMIF('DADOS BRUTOS'!$A$3:$A$500,$B16,'DADOS BRUTOS'!EU$3:EU$500)+IF($C16="",0,SUMIF('DADOS BRUTOS'!$A$3:$A$500,$C16,'DADOS BRUTOS'!EU$3:EU$500)))</f>
        <v/>
      </c>
      <c r="HV16" s="123">
        <f>IF(OR(HV$4="",$B16=""),0,SUMIF('DADOS BRUTOS'!$A$3:$A$500,$B16,'DADOS BRUTOS'!EV$3:EV$500)+IF($C16="",0,SUMIF('DADOS BRUTOS'!$A$3:$A$500,$C16,'DADOS BRUTOS'!EV$3:EV$500)))</f>
        <v/>
      </c>
      <c r="HW16" s="123">
        <f>IF(OR(HW$4="",$B16=""),0,SUMIF('DADOS BRUTOS'!$A$3:$A$500,$B16,'DADOS BRUTOS'!EW$3:EW$500)+IF($C16="",0,SUMIF('DADOS BRUTOS'!$A$3:$A$500,$C16,'DADOS BRUTOS'!EW$3:EW$500)))</f>
        <v/>
      </c>
      <c r="HX16" s="123">
        <f>IF(OR(HX$4="",$B16=""),0,SUMIF('DADOS BRUTOS'!$A$3:$A$500,$B16,'DADOS BRUTOS'!EX$3:EX$500)+IF($C16="",0,SUMIF('DADOS BRUTOS'!$A$3:$A$500,$C16,'DADOS BRUTOS'!EX$3:EX$500)))</f>
        <v/>
      </c>
      <c r="HY16" s="123">
        <f>IF(OR(HY$4="",$B16=""),0,SUMIF('DADOS BRUTOS'!$A$3:$A$500,$B16,'DADOS BRUTOS'!EY$3:EY$500)+IF($C16="",0,SUMIF('DADOS BRUTOS'!$A$3:$A$500,$C16,'DADOS BRUTOS'!EY$3:EY$500)))</f>
        <v/>
      </c>
      <c r="HZ16" s="123">
        <f>IF(OR(HZ$4="",$B16=""),0,SUMIF('DADOS BRUTOS'!$A$3:$A$500,$B16,'DADOS BRUTOS'!EZ$3:EZ$500)+IF($C16="",0,SUMIF('DADOS BRUTOS'!$A$3:$A$500,$C16,'DADOS BRUTOS'!EZ$3:EZ$500)))</f>
        <v/>
      </c>
      <c r="IA16" s="123">
        <f>IF(OR(IA$4="",$B16=""),0,SUMIF('DADOS BRUTOS'!$A$3:$A$500,$B16,'DADOS BRUTOS'!FA$3:FA$500)+IF($C16="",0,SUMIF('DADOS BRUTOS'!$A$3:$A$500,$C16,'DADOS BRUTOS'!FA$3:FA$500)))</f>
        <v/>
      </c>
      <c r="IB16" s="123">
        <f>IF(OR(IB$4="",$B16=""),0,SUMIF('DADOS BRUTOS'!$A$3:$A$500,$B16,'DADOS BRUTOS'!FB$3:FB$500)+IF($C16="",0,SUMIF('DADOS BRUTOS'!$A$3:$A$500,$C16,'DADOS BRUTOS'!FB$3:FB$500)))</f>
        <v/>
      </c>
      <c r="IC16" s="123">
        <f>IF(OR(IC$4="",$B16=""),0,SUMIF('DADOS BRUTOS'!$A$3:$A$500,$B16,'DADOS BRUTOS'!FC$3:FC$500)+IF($C16="",0,SUMIF('DADOS BRUTOS'!$A$3:$A$500,$C16,'DADOS BRUTOS'!FC$3:FC$500)))</f>
        <v/>
      </c>
      <c r="ID16" s="123">
        <f>IF(OR(ID$4="",$B16=""),0,SUMIF('DADOS BRUTOS'!$A$3:$A$500,$B16,'DADOS BRUTOS'!FD$3:FD$500)+IF($C16="",0,SUMIF('DADOS BRUTOS'!$A$3:$A$500,$C16,'DADOS BRUTOS'!FD$3:FD$500)))</f>
        <v/>
      </c>
      <c r="IE16" s="123">
        <f>IF(OR(IE$4="",$B16=""),0,SUMIF('DADOS BRUTOS'!$A$3:$A$500,$B16,'DADOS BRUTOS'!FE$3:FE$500)+IF($C16="",0,SUMIF('DADOS BRUTOS'!$A$3:$A$500,$C16,'DADOS BRUTOS'!FE$3:FE$500)))</f>
        <v/>
      </c>
      <c r="IF16" s="123">
        <f>IF(OR(IF$4="",$B16=""),0,SUMIF('DADOS BRUTOS'!$A$3:$A$500,$B16,'DADOS BRUTOS'!FF$3:FF$500)+IF($C16="",0,SUMIF('DADOS BRUTOS'!$A$3:$A$500,$C16,'DADOS BRUTOS'!FF$3:FF$500)))</f>
        <v/>
      </c>
      <c r="IG16" s="123">
        <f>IF(OR(IG$4="",$B16=""),0,SUMIF('DADOS BRUTOS'!$A$3:$A$500,$B16,'DADOS BRUTOS'!FG$3:FG$500)+IF($C16="",0,SUMIF('DADOS BRUTOS'!$A$3:$A$500,$C16,'DADOS BRUTOS'!FG$3:FG$500)))</f>
        <v/>
      </c>
      <c r="IH16" s="123">
        <f>IF(OR(IH$4="",$B16=""),0,SUMIF('DADOS BRUTOS'!$A$3:$A$500,$B16,'DADOS BRUTOS'!FH$3:FH$500)+IF($C16="",0,SUMIF('DADOS BRUTOS'!$A$3:$A$500,$C16,'DADOS BRUTOS'!FH$3:FH$500)))</f>
        <v/>
      </c>
      <c r="II16" s="123">
        <f>IF(OR(II$4="",$B16=""),0,SUMIF('DADOS BRUTOS'!$A$3:$A$500,$B16,'DADOS BRUTOS'!FI$3:FI$500)+IF($C16="",0,SUMIF('DADOS BRUTOS'!$A$3:$A$500,$C16,'DADOS BRUTOS'!FI$3:FI$500)))</f>
        <v/>
      </c>
      <c r="IJ16" s="123">
        <f>IF(OR(IJ$4="",$B16=""),0,SUMIF('DADOS BRUTOS'!$A$3:$A$500,$B16,'DADOS BRUTOS'!FJ$3:FJ$500)+IF($C16="",0,SUMIF('DADOS BRUTOS'!$A$3:$A$500,$C16,'DADOS BRUTOS'!FJ$3:FJ$500)))</f>
        <v/>
      </c>
      <c r="IK16" s="123">
        <f>IF(OR(IK$4="",$B16=""),0,SUMIF('DADOS BRUTOS'!$A$3:$A$500,$B16,'DADOS BRUTOS'!FK$3:FK$500)+IF($C16="",0,SUMIF('DADOS BRUTOS'!$A$3:$A$500,$C16,'DADOS BRUTOS'!FK$3:FK$500)))</f>
        <v/>
      </c>
      <c r="IL16" s="123">
        <f>IF(OR(IL$4="",$B16=""),0,SUMIF('DADOS BRUTOS'!$A$3:$A$500,$B16,'DADOS BRUTOS'!FL$3:FL$500)+IF($C16="",0,SUMIF('DADOS BRUTOS'!$A$3:$A$500,$C16,'DADOS BRUTOS'!FL$3:FL$500)))</f>
        <v/>
      </c>
      <c r="IM16" s="123">
        <f>IF(OR(IM$4="",$B16=""),0,SUMIF('DADOS BRUTOS'!$A$3:$A$500,$B16,'DADOS BRUTOS'!FM$3:FM$500)+IF($C16="",0,SUMIF('DADOS BRUTOS'!$A$3:$A$500,$C16,'DADOS BRUTOS'!FM$3:FM$500)))</f>
        <v/>
      </c>
      <c r="IN16" s="123">
        <f>IF(OR(IN$4="",$B16=""),0,SUMIF('DADOS BRUTOS'!$A$3:$A$500,$B16,'DADOS BRUTOS'!FN$3:FN$500)+IF($C16="",0,SUMIF('DADOS BRUTOS'!$A$3:$A$500,$C16,'DADOS BRUTOS'!FN$3:FN$500)))</f>
        <v/>
      </c>
      <c r="IO16" s="123">
        <f>IF(OR(IO$4="",$B16=""),0,SUMIF('DADOS BRUTOS'!$A$3:$A$500,$B16,'DADOS BRUTOS'!FO$3:FO$500)+IF($C16="",0,SUMIF('DADOS BRUTOS'!$A$3:$A$500,$C16,'DADOS BRUTOS'!FO$3:FO$500)))</f>
        <v/>
      </c>
      <c r="IP16" s="123">
        <f>IF(OR(IP$4="",$B16=""),0,SUMIF('DADOS BRUTOS'!$A$3:$A$500,$B16,'DADOS BRUTOS'!FP$3:FP$500)+IF($C16="",0,SUMIF('DADOS BRUTOS'!$A$3:$A$500,$C16,'DADOS BRUTOS'!FP$3:FP$500)))</f>
        <v/>
      </c>
      <c r="IQ16" s="123">
        <f>IF(OR(IQ$4="",$B16=""),0,SUMIF('DADOS BRUTOS'!$A$3:$A$500,$B16,'DADOS BRUTOS'!FQ$3:FQ$500)+IF($C16="",0,SUMIF('DADOS BRUTOS'!$A$3:$A$500,$C16,'DADOS BRUTOS'!FQ$3:FQ$500)))</f>
        <v/>
      </c>
      <c r="IR16" s="123">
        <f>IF(OR(IR$4="",$B16=""),0,SUMIF('DADOS BRUTOS'!$A$3:$A$500,$B16,'DADOS BRUTOS'!FR$3:FR$500)+IF($C16="",0,SUMIF('DADOS BRUTOS'!$A$3:$A$500,$C16,'DADOS BRUTOS'!FR$3:FR$500)))</f>
        <v/>
      </c>
      <c r="IS16" s="123">
        <f>IF(OR(IS$4="",$B16=""),0,SUMIF('DADOS BRUTOS'!$A$3:$A$500,$B16,'DADOS BRUTOS'!FS$3:FS$500)+IF($C16="",0,SUMIF('DADOS BRUTOS'!$A$3:$A$500,$C16,'DADOS BRUTOS'!FS$3:FS$500)))</f>
        <v/>
      </c>
      <c r="IT16" s="123">
        <f>IF(OR(IT$4="",$B16=""),0,SUMIF('DADOS BRUTOS'!$A$3:$A$500,$B16,'DADOS BRUTOS'!FT$3:FT$500)+IF($C16="",0,SUMIF('DADOS BRUTOS'!$A$3:$A$500,$C16,'DADOS BRUTOS'!FT$3:FT$500)))</f>
        <v/>
      </c>
      <c r="IU16" s="123">
        <f>IF(OR(IU$4="",$B16=""),0,SUMIF('DADOS BRUTOS'!$A$3:$A$500,$B16,'DADOS BRUTOS'!FU$3:FU$500)+IF($C16="",0,SUMIF('DADOS BRUTOS'!$A$3:$A$500,$C16,'DADOS BRUTOS'!FU$3:FU$500)))</f>
        <v/>
      </c>
      <c r="IV16" s="123">
        <f>IF(OR(IV$4="",$B16=""),0,SUMIF('DADOS BRUTOS'!$A$3:$A$500,$B16,'DADOS BRUTOS'!FV$3:FV$500)+IF($C16="",0,SUMIF('DADOS BRUTOS'!$A$3:$A$500,$C16,'DADOS BRUTOS'!FV$3:FV$500)))</f>
        <v/>
      </c>
      <c r="IW16" s="123">
        <f>IF(OR(IW$4="",$B16=""),0,SUMIF('DADOS BRUTOS'!$A$3:$A$500,$B16,'DADOS BRUTOS'!FW$3:FW$500)+IF($C16="",0,SUMIF('DADOS BRUTOS'!$A$3:$A$500,$C16,'DADOS BRUTOS'!FW$3:FW$500)))</f>
        <v/>
      </c>
      <c r="IX16" s="123">
        <f>IF(OR(IX$4="",$B16=""),0,SUMIF('DADOS BRUTOS'!$A$3:$A$500,$B16,'DADOS BRUTOS'!FX$3:FX$500)+IF($C16="",0,SUMIF('DADOS BRUTOS'!$A$3:$A$500,$C16,'DADOS BRUTOS'!FX$3:FX$500)))</f>
        <v/>
      </c>
      <c r="IY16" s="123">
        <f>IF(OR(IY$4="",$B16=""),0,SUMIF('DADOS BRUTOS'!$A$3:$A$500,$B16,'DADOS BRUTOS'!FY$3:FY$500)+IF($C16="",0,SUMIF('DADOS BRUTOS'!$A$3:$A$500,$C16,'DADOS BRUTOS'!FY$3:FY$500)))</f>
        <v/>
      </c>
      <c r="IZ16" s="123">
        <f>IF(OR(IZ$4="",$B16=""),0,SUMIF('DADOS BRUTOS'!$A$3:$A$500,$B16,'DADOS BRUTOS'!FZ$3:FZ$500)+IF($C16="",0,SUMIF('DADOS BRUTOS'!$A$3:$A$500,$C16,'DADOS BRUTOS'!FZ$3:FZ$500)))</f>
        <v/>
      </c>
      <c r="JA16" s="123">
        <f>IF(OR(JA$4="",$B16=""),0,SUMIF('DADOS BRUTOS'!$A$3:$A$500,$B16,'DADOS BRUTOS'!GA$3:GA$500)+IF($C16="",0,SUMIF('DADOS BRUTOS'!$A$3:$A$500,$C16,'DADOS BRUTOS'!GA$3:GA$500)))</f>
        <v/>
      </c>
      <c r="JB16" s="123">
        <f>IF(OR(JB$4="",$B16=""),0,SUMIF('DADOS BRUTOS'!$A$3:$A$500,$B16,'DADOS BRUTOS'!GB$3:GB$500)+IF($C16="",0,SUMIF('DADOS BRUTOS'!$A$3:$A$500,$C16,'DADOS BRUTOS'!GB$3:GB$500)))</f>
        <v/>
      </c>
      <c r="JC16" s="123">
        <f>IF(OR(JC$4="",$B16=""),0,SUMIF('DADOS BRUTOS'!$A$3:$A$500,$B16,'DADOS BRUTOS'!GC$3:GC$500)+IF($C16="",0,SUMIF('DADOS BRUTOS'!$A$3:$A$500,$C16,'DADOS BRUTOS'!GC$3:GC$500)))</f>
        <v/>
      </c>
      <c r="JD16" s="123">
        <f>IF(OR(JD$4="",$B16=""),0,SUMIF('DADOS BRUTOS'!$A$3:$A$500,$B16,'DADOS BRUTOS'!GD$3:GD$500)+IF($C16="",0,SUMIF('DADOS BRUTOS'!$A$3:$A$500,$C16,'DADOS BRUTOS'!GD$3:GD$500)))</f>
        <v/>
      </c>
      <c r="JE16" s="123">
        <f>IF(OR(JE$4="",$B16=""),0,SUMIF('DADOS BRUTOS'!$A$3:$A$500,$B16,'DADOS BRUTOS'!GE$3:GE$500)+IF($C16="",0,SUMIF('DADOS BRUTOS'!$A$3:$A$500,$C16,'DADOS BRUTOS'!GE$3:GE$500)))</f>
        <v/>
      </c>
      <c r="JF16" s="123">
        <f>IF(OR(JF$4="",$B16=""),0,SUMIF('DADOS BRUTOS'!$A$3:$A$500,$B16,'DADOS BRUTOS'!GF$3:GF$500)+IF($C16="",0,SUMIF('DADOS BRUTOS'!$A$3:$A$500,$C16,'DADOS BRUTOS'!GF$3:GF$500)))</f>
        <v/>
      </c>
      <c r="JG16" s="123">
        <f>IF(OR(JG$4="",$B16=""),0,SUMIF('DADOS BRUTOS'!$A$3:$A$500,$B16,'DADOS BRUTOS'!GG$3:GG$500)+IF($C16="",0,SUMIF('DADOS BRUTOS'!$A$3:$A$500,$C16,'DADOS BRUTOS'!GG$3:GG$500)))</f>
        <v/>
      </c>
      <c r="JH16" s="123">
        <f>IF(OR(JH$4="",$B16=""),0,SUMIF('DADOS BRUTOS'!$A$3:$A$500,$B16,'DADOS BRUTOS'!GH$3:GH$500)+IF($C16="",0,SUMIF('DADOS BRUTOS'!$A$3:$A$500,$C16,'DADOS BRUTOS'!GH$3:GH$500)))</f>
        <v/>
      </c>
      <c r="JI16" s="123">
        <f>IF(OR(JI$4="",$B16=""),0,SUMIF('DADOS BRUTOS'!$A$3:$A$500,$B16,'DADOS BRUTOS'!GI$3:GI$500)+IF($C16="",0,SUMIF('DADOS BRUTOS'!$A$3:$A$500,$C16,'DADOS BRUTOS'!GI$3:GI$500)))</f>
        <v/>
      </c>
      <c r="JJ16" s="123">
        <f>IF(OR(JJ$4="",$B16=""),0,SUMIF('DADOS BRUTOS'!$A$3:$A$500,$B16,'DADOS BRUTOS'!GJ$3:GJ$500)+IF($C16="",0,SUMIF('DADOS BRUTOS'!$A$3:$A$500,$C16,'DADOS BRUTOS'!GJ$3:GJ$500)))</f>
        <v/>
      </c>
      <c r="JK16" s="123">
        <f>IF(OR(JK$4="",$B16=""),0,SUMIF('DADOS BRUTOS'!$A$3:$A$500,$B16,'DADOS BRUTOS'!GK$3:GK$500)+IF($C16="",0,SUMIF('DADOS BRUTOS'!$A$3:$A$500,$C16,'DADOS BRUTOS'!GK$3:GK$500)))</f>
        <v/>
      </c>
      <c r="JL16" s="123">
        <f>IF(OR(JL$4="",$B16=""),0,SUMIF('DADOS BRUTOS'!$A$3:$A$500,$B16,'DADOS BRUTOS'!GL$3:GL$500)+IF($C16="",0,SUMIF('DADOS BRUTOS'!$A$3:$A$500,$C16,'DADOS BRUTOS'!GL$3:GL$500)))</f>
        <v/>
      </c>
      <c r="JM16" s="123">
        <f>IF(OR(JM$4="",$B16=""),0,SUMIF('DADOS BRUTOS'!$A$3:$A$500,$B16,'DADOS BRUTOS'!GM$3:GM$500)+IF($C16="",0,SUMIF('DADOS BRUTOS'!$A$3:$A$500,$C16,'DADOS BRUTOS'!GM$3:GM$500)))</f>
        <v/>
      </c>
      <c r="JN16" s="123">
        <f>IF(OR(JN$4="",$B16=""),0,SUMIF('DADOS BRUTOS'!$A$3:$A$500,$B16,'DADOS BRUTOS'!GN$3:GN$500)+IF($C16="",0,SUMIF('DADOS BRUTOS'!$A$3:$A$500,$C16,'DADOS BRUTOS'!GN$3:GN$500)))</f>
        <v/>
      </c>
      <c r="JO16" s="123">
        <f>IF(OR(JO$4="",$B16=""),0,SUMIF('DADOS BRUTOS'!$A$3:$A$500,$B16,'DADOS BRUTOS'!GO$3:GO$500)+IF($C16="",0,SUMIF('DADOS BRUTOS'!$A$3:$A$500,$C16,'DADOS BRUTOS'!GO$3:GO$500)))</f>
        <v/>
      </c>
      <c r="JP16" s="123">
        <f>IF(OR(JP$4="",$B16=""),0,SUMIF('DADOS BRUTOS'!$A$3:$A$500,$B16,'DADOS BRUTOS'!GP$3:GP$500)+IF($C16="",0,SUMIF('DADOS BRUTOS'!$A$3:$A$500,$C16,'DADOS BRUTOS'!GP$3:GP$500)))</f>
        <v/>
      </c>
      <c r="JQ16" s="123">
        <f>IF(OR(JQ$4="",$B16=""),0,SUMIF('DADOS BRUTOS'!$A$3:$A$500,$B16,'DADOS BRUTOS'!GQ$3:GQ$500)+IF($C16="",0,SUMIF('DADOS BRUTOS'!$A$3:$A$500,$C16,'DADOS BRUTOS'!GQ$3:GQ$500)))</f>
        <v/>
      </c>
      <c r="JR16" s="123">
        <f>IF(OR(JR$4="",$B16=""),0,SUMIF('DADOS BRUTOS'!$A$3:$A$500,$B16,'DADOS BRUTOS'!GR$3:GR$500)+IF($C16="",0,SUMIF('DADOS BRUTOS'!$A$3:$A$500,$C16,'DADOS BRUTOS'!GR$3:GR$500)))</f>
        <v/>
      </c>
      <c r="JS16" s="123">
        <f>IF(OR(JS$4="",$B16=""),0,SUMIF('DADOS BRUTOS'!$A$3:$A$500,$B16,'DADOS BRUTOS'!GS$3:GS$500)+IF($C16="",0,SUMIF('DADOS BRUTOS'!$A$3:$A$500,$C16,'DADOS BRUTOS'!GS$3:GS$500)))</f>
        <v/>
      </c>
    </row>
    <row r="17">
      <c r="A17" s="61">
        <f>'VALOR POR PL'!D23</f>
        <v/>
      </c>
      <c r="B17" s="60" t="inlineStr">
        <is>
          <t>CONTENÇÃO</t>
        </is>
      </c>
      <c r="C17" s="60" t="n"/>
      <c r="D17" s="55">
        <f>SUMIF($CB$4:$JS$4,"&lt;="&amp;D$4,$CB17:$JS17)</f>
        <v/>
      </c>
      <c r="E17" s="55">
        <f>SUMIF($CB$4:$JS$4,E$4,$CB17:$JS17)</f>
        <v/>
      </c>
      <c r="F17" s="55">
        <f>SUMIF($CB$4:$JS$4,F$4,$CB17:$JS17)</f>
        <v/>
      </c>
      <c r="G17" s="55">
        <f>SUMIF($CB$4:$JS$4,G$4,$CB17:$JS17)</f>
        <v/>
      </c>
      <c r="H17" s="55">
        <f>SUMIF($CB$4:$JS$4,H$4,$CB17:$JS17)</f>
        <v/>
      </c>
      <c r="I17" s="55">
        <f>SUMIF($CB$4:$JS$4,I$4,$CB17:$JS17)</f>
        <v/>
      </c>
      <c r="J17" s="55">
        <f>SUMIF($CB$4:$JS$4,J$4,$CB17:$JS17)</f>
        <v/>
      </c>
      <c r="K17" s="55">
        <f>SUMIF($CB$4:$JS$4,K$4,$CB17:$JS17)</f>
        <v/>
      </c>
      <c r="L17" s="55">
        <f>SUMIF($CB$4:$JS$4,L$4,$CB17:$JS17)</f>
        <v/>
      </c>
      <c r="M17" s="55">
        <f>SUMIF($CB$4:$JS$4,M$4,$CB17:$JS17)</f>
        <v/>
      </c>
      <c r="N17" s="55">
        <f>SUMIF($CB$4:$JS$4,N$4,$CB17:$JS17)</f>
        <v/>
      </c>
      <c r="O17" s="55">
        <f>SUMIF($CB$4:$JS$4,O$4,$CB17:$JS17)</f>
        <v/>
      </c>
      <c r="P17" s="55">
        <f>SUMIF($CB$4:$JS$4,P$4,$CB17:$JS17)</f>
        <v/>
      </c>
      <c r="Q17" s="55">
        <f>SUMIF($CB$4:$JS$4,Q$4,$CB17:$JS17)</f>
        <v/>
      </c>
      <c r="R17" s="55">
        <f>SUMIF($CB$4:$JS$4,R$4,$CB17:$JS17)</f>
        <v/>
      </c>
      <c r="S17" s="55">
        <f>SUMIF($CB$4:$JS$4,S$4,$CB17:$JS17)</f>
        <v/>
      </c>
      <c r="T17" s="55">
        <f>SUMIF($CB$4:$JS$4,T$4,$CB17:$JS17)</f>
        <v/>
      </c>
      <c r="U17" s="55">
        <f>SUMIF($CB$4:$JS$4,U$4,$CB17:$JS17)</f>
        <v/>
      </c>
      <c r="V17" s="55">
        <f>SUMIF($CB$4:$JS$4,V$4,$CB17:$JS17)</f>
        <v/>
      </c>
      <c r="W17" s="55">
        <f>SUMIF($CB$4:$JS$4,W$4,$CB17:$JS17)</f>
        <v/>
      </c>
      <c r="X17" s="55">
        <f>SUMIF($CB$4:$JS$4,X$4,$CB17:$JS17)</f>
        <v/>
      </c>
      <c r="Y17" s="55">
        <f>SUMIF($CB$4:$JS$4,Y$4,$CB17:$JS17)</f>
        <v/>
      </c>
      <c r="Z17" s="55">
        <f>SUMIF($CB$4:$JS$4,Z$4,$CB17:$JS17)</f>
        <v/>
      </c>
      <c r="AA17" s="55">
        <f>SUMIF($CB$4:$JS$4,AA$4,$CB17:$JS17)</f>
        <v/>
      </c>
      <c r="AB17" s="55">
        <f>SUMIF($CB$4:$JS$4,AB$4,$CB17:$JS17)</f>
        <v/>
      </c>
      <c r="AC17" s="55">
        <f>SUMIF($CB$4:$JS$4,AC$4,$CB17:$JS17)</f>
        <v/>
      </c>
      <c r="AD17" s="55">
        <f>SUMIF($CB$4:$JS$4,AD$4,$CB17:$JS17)</f>
        <v/>
      </c>
      <c r="AE17" s="55">
        <f>SUMIF($CB$4:$JS$4,AE$4,$CB17:$JS17)</f>
        <v/>
      </c>
      <c r="AF17" s="55">
        <f>SUMIF($CB$4:$JS$4,AF$4,$CB17:$JS17)</f>
        <v/>
      </c>
      <c r="AG17" s="55">
        <f>SUMIF($CB$4:$JS$4,AG$4,$CB17:$JS17)</f>
        <v/>
      </c>
      <c r="AH17" s="55">
        <f>SUMIF($CB$4:$JS$4,AH$4,$CB17:$JS17)</f>
        <v/>
      </c>
      <c r="AI17" s="55">
        <f>SUMIF($CB$4:$JS$4,AI$4,$CB17:$JS17)</f>
        <v/>
      </c>
      <c r="AJ17" s="55">
        <f>SUMIF($CB$4:$JS$4,AJ$4,$CB17:$JS17)</f>
        <v/>
      </c>
      <c r="AK17" s="55">
        <f>SUMIF($CB$4:$JS$4,AK$4,$CB17:$JS17)</f>
        <v/>
      </c>
      <c r="AL17" s="55">
        <f>SUMIF($CB$4:$JS$4,AL$4,$CB17:$JS17)</f>
        <v/>
      </c>
      <c r="AM17" s="55">
        <f>SUMIF($CB$4:$JS$4,AM$4,$CB17:$JS17)</f>
        <v/>
      </c>
      <c r="AN17" s="55">
        <f>SUMIF($CB$4:$JS$4,AN$4,$CB17:$JS17)</f>
        <v/>
      </c>
      <c r="AO17" s="55">
        <f>SUMIF($CB$4:$JS$4,AO$4,$CB17:$JS17)</f>
        <v/>
      </c>
      <c r="AP17" s="55">
        <f>SUMIF($CB$4:$JS$4,AP$4,$CB17:$JS17)</f>
        <v/>
      </c>
      <c r="AQ17" s="55">
        <f>SUMIF($CB$4:$JS$4,AQ$4,$CB17:$JS17)</f>
        <v/>
      </c>
      <c r="AR17" s="55">
        <f>SUMIF($CB$4:$JS$4,AR$4,$CB17:$JS17)</f>
        <v/>
      </c>
      <c r="AS17" s="55">
        <f>SUMIF($CB$4:$JS$4,AS$4,$CB17:$JS17)</f>
        <v/>
      </c>
      <c r="AT17" s="55">
        <f>SUMIF($CB$4:$JS$4,AT$4,$CB17:$JS17)</f>
        <v/>
      </c>
      <c r="AU17" s="55">
        <f>SUMIF($CB$4:$JS$4,AU$4,$CB17:$JS17)</f>
        <v/>
      </c>
      <c r="AV17" s="55">
        <f>SUMIF($CB$4:$JS$4,AV$4,$CB17:$JS17)</f>
        <v/>
      </c>
      <c r="AW17" s="55">
        <f>SUMIF($CB$4:$JS$4,AW$4,$CB17:$JS17)</f>
        <v/>
      </c>
      <c r="AX17" s="55">
        <f>SUMIF($CB$4:$JS$4,AX$4,$CB17:$JS17)</f>
        <v/>
      </c>
      <c r="AY17" s="55">
        <f>SUMIF($CB$4:$JS$4,AY$4,$CB17:$JS17)</f>
        <v/>
      </c>
      <c r="AZ17" s="55">
        <f>SUMIF($CB$4:$JS$4,AZ$4,$CB17:$JS17)</f>
        <v/>
      </c>
      <c r="BA17" s="55">
        <f>SUMIF($CB$4:$JS$4,BA$4,$CB17:$JS17)</f>
        <v/>
      </c>
      <c r="BB17" s="55">
        <f>SUMIF($CB$4:$JS$4,BB$4,$CB17:$JS17)</f>
        <v/>
      </c>
      <c r="BC17" s="55">
        <f>SUMIF($CB$4:$JS$4,BC$4,$CB17:$JS17)</f>
        <v/>
      </c>
      <c r="BD17" s="55">
        <f>SUMIF($CB$4:$JS$4,BD$4,$CB17:$JS17)</f>
        <v/>
      </c>
      <c r="BE17" s="55">
        <f>SUMIF($CB$4:$JS$4,BE$4,$CB17:$JS17)</f>
        <v/>
      </c>
      <c r="BF17" s="55">
        <f>SUMIF($CB$4:$JS$4,BF$4,$CB17:$JS17)</f>
        <v/>
      </c>
      <c r="BG17" s="55">
        <f>SUMIF($CB$4:$JS$4,BG$4,$CB17:$JS17)</f>
        <v/>
      </c>
      <c r="BH17" s="55">
        <f>SUMIF($CB$4:$JS$4,BH$4,$CB17:$JS17)</f>
        <v/>
      </c>
      <c r="BI17" s="55">
        <f>SUMIF($CB$4:$JS$4,BI$4,$CB17:$JS17)</f>
        <v/>
      </c>
      <c r="BJ17" s="55">
        <f>SUMIF($CB$4:$JS$4,BJ$4,$CB17:$JS17)</f>
        <v/>
      </c>
      <c r="BK17" s="55">
        <f>SUMIF($CB$4:$JS$4,BK$4,$CB17:$JS17)</f>
        <v/>
      </c>
      <c r="BL17" s="55">
        <f>SUMIF($CB$4:$JS$4,BL$4,$CB17:$JS17)</f>
        <v/>
      </c>
      <c r="BM17" s="55">
        <f>SUMIF($CB$4:$JS$4,BM$4,$CB17:$JS17)</f>
        <v/>
      </c>
      <c r="BN17" s="55">
        <f>SUMIF($CB$4:$JS$4,BN$4,$CB17:$JS17)</f>
        <v/>
      </c>
      <c r="BO17" s="55">
        <f>SUMIF($CB$4:$JS$4,BO$4,$CB17:$JS17)</f>
        <v/>
      </c>
      <c r="BP17" s="55">
        <f>SUMIF($CB$4:$JS$4,BP$4,$CB17:$JS17)</f>
        <v/>
      </c>
      <c r="BQ17" s="55">
        <f>SUMIF($CB$4:$JS$4,BQ$4,$CB17:$JS17)</f>
        <v/>
      </c>
      <c r="BR17" s="55">
        <f>SUMIF($CB$4:$JS$4,BR$4,$CB17:$JS17)</f>
        <v/>
      </c>
      <c r="BS17" s="55">
        <f>SUMIF($CB$4:$JS$4,BS$4,$CB17:$JS17)</f>
        <v/>
      </c>
      <c r="BT17" s="55">
        <f>SUMIF($CB$4:$JS$4,BT$4,$CB17:$JS17)</f>
        <v/>
      </c>
      <c r="BU17" s="55">
        <f>SUMIF($CB$4:$JS$4,BU$4,$CB17:$JS17)</f>
        <v/>
      </c>
      <c r="BV17" s="55">
        <f>SUMIF($CB$4:$JS$4,BV$4,$CB17:$JS17)</f>
        <v/>
      </c>
      <c r="BW17" s="55">
        <f>SUMIF($CB$4:$JS$4,BW$4,$CB17:$JS17)</f>
        <v/>
      </c>
      <c r="BX17" s="55">
        <f>SUMIF($CB$4:$JS$4,"&gt;"&amp;'VALOR POR PL'!$P$8,$CB17:$JS17)</f>
        <v/>
      </c>
      <c r="BY17" s="55">
        <f>SUM($CB17:$JS17)</f>
        <v/>
      </c>
      <c r="CB17" s="123">
        <f>IF(OR(CB$4="",$B17=""),0,SUMIF('DADOS BRUTOS'!$A$3:$A$500,$B17,'DADOS BRUTOS'!B$3:B$500)+IF($C17="",0,SUMIF('DADOS BRUTOS'!$A$3:$A$500,$C17,'DADOS BRUTOS'!B$3:B$500)))</f>
        <v/>
      </c>
      <c r="CC17" s="123">
        <f>IF(OR(CC$4="",$B17=""),0,SUMIF('DADOS BRUTOS'!$A$3:$A$500,$B17,'DADOS BRUTOS'!C$3:C$500)+IF($C17="",0,SUMIF('DADOS BRUTOS'!$A$3:$A$500,$C17,'DADOS BRUTOS'!C$3:C$500)))</f>
        <v/>
      </c>
      <c r="CD17" s="123">
        <f>IF(OR(CD$4="",$B17=""),0,SUMIF('DADOS BRUTOS'!$A$3:$A$500,$B17,'DADOS BRUTOS'!D$3:D$500)+IF($C17="",0,SUMIF('DADOS BRUTOS'!$A$3:$A$500,$C17,'DADOS BRUTOS'!D$3:D$500)))</f>
        <v/>
      </c>
      <c r="CE17" s="123">
        <f>IF(OR(CE$4="",$B17=""),0,SUMIF('DADOS BRUTOS'!$A$3:$A$500,$B17,'DADOS BRUTOS'!E$3:E$500)+IF($C17="",0,SUMIF('DADOS BRUTOS'!$A$3:$A$500,$C17,'DADOS BRUTOS'!E$3:E$500)))</f>
        <v/>
      </c>
      <c r="CF17" s="123">
        <f>IF(OR(CF$4="",$B17=""),0,SUMIF('DADOS BRUTOS'!$A$3:$A$500,$B17,'DADOS BRUTOS'!F$3:F$500)+IF($C17="",0,SUMIF('DADOS BRUTOS'!$A$3:$A$500,$C17,'DADOS BRUTOS'!F$3:F$500)))</f>
        <v/>
      </c>
      <c r="CG17" s="123">
        <f>IF(OR(CG$4="",$B17=""),0,SUMIF('DADOS BRUTOS'!$A$3:$A$500,$B17,'DADOS BRUTOS'!G$3:G$500)+IF($C17="",0,SUMIF('DADOS BRUTOS'!$A$3:$A$500,$C17,'DADOS BRUTOS'!G$3:G$500)))</f>
        <v/>
      </c>
      <c r="CH17" s="123">
        <f>IF(OR(CH$4="",$B17=""),0,SUMIF('DADOS BRUTOS'!$A$3:$A$500,$B17,'DADOS BRUTOS'!H$3:H$500)+IF($C17="",0,SUMIF('DADOS BRUTOS'!$A$3:$A$500,$C17,'DADOS BRUTOS'!H$3:H$500)))</f>
        <v/>
      </c>
      <c r="CI17" s="123">
        <f>IF(OR(CI$4="",$B17=""),0,SUMIF('DADOS BRUTOS'!$A$3:$A$500,$B17,'DADOS BRUTOS'!I$3:I$500)+IF($C17="",0,SUMIF('DADOS BRUTOS'!$A$3:$A$500,$C17,'DADOS BRUTOS'!I$3:I$500)))</f>
        <v/>
      </c>
      <c r="CJ17" s="123">
        <f>IF(OR(CJ$4="",$B17=""),0,SUMIF('DADOS BRUTOS'!$A$3:$A$500,$B17,'DADOS BRUTOS'!J$3:J$500)+IF($C17="",0,SUMIF('DADOS BRUTOS'!$A$3:$A$500,$C17,'DADOS BRUTOS'!J$3:J$500)))</f>
        <v/>
      </c>
      <c r="CK17" s="123">
        <f>IF(OR(CK$4="",$B17=""),0,SUMIF('DADOS BRUTOS'!$A$3:$A$500,$B17,'DADOS BRUTOS'!K$3:K$500)+IF($C17="",0,SUMIF('DADOS BRUTOS'!$A$3:$A$500,$C17,'DADOS BRUTOS'!K$3:K$500)))</f>
        <v/>
      </c>
      <c r="CL17" s="123">
        <f>IF(OR(CL$4="",$B17=""),0,SUMIF('DADOS BRUTOS'!$A$3:$A$500,$B17,'DADOS BRUTOS'!L$3:L$500)+IF($C17="",0,SUMIF('DADOS BRUTOS'!$A$3:$A$500,$C17,'DADOS BRUTOS'!L$3:L$500)))</f>
        <v/>
      </c>
      <c r="CM17" s="123">
        <f>IF(OR(CM$4="",$B17=""),0,SUMIF('DADOS BRUTOS'!$A$3:$A$500,$B17,'DADOS BRUTOS'!M$3:M$500)+IF($C17="",0,SUMIF('DADOS BRUTOS'!$A$3:$A$500,$C17,'DADOS BRUTOS'!M$3:M$500)))</f>
        <v/>
      </c>
      <c r="CN17" s="123">
        <f>IF(OR(CN$4="",$B17=""),0,SUMIF('DADOS BRUTOS'!$A$3:$A$500,$B17,'DADOS BRUTOS'!N$3:N$500)+IF($C17="",0,SUMIF('DADOS BRUTOS'!$A$3:$A$500,$C17,'DADOS BRUTOS'!N$3:N$500)))</f>
        <v/>
      </c>
      <c r="CO17" s="123">
        <f>IF(OR(CO$4="",$B17=""),0,SUMIF('DADOS BRUTOS'!$A$3:$A$500,$B17,'DADOS BRUTOS'!O$3:O$500)+IF($C17="",0,SUMIF('DADOS BRUTOS'!$A$3:$A$500,$C17,'DADOS BRUTOS'!O$3:O$500)))</f>
        <v/>
      </c>
      <c r="CP17" s="123">
        <f>IF(OR(CP$4="",$B17=""),0,SUMIF('DADOS BRUTOS'!$A$3:$A$500,$B17,'DADOS BRUTOS'!P$3:P$500)+IF($C17="",0,SUMIF('DADOS BRUTOS'!$A$3:$A$500,$C17,'DADOS BRUTOS'!P$3:P$500)))</f>
        <v/>
      </c>
      <c r="CQ17" s="123">
        <f>IF(OR(CQ$4="",$B17=""),0,SUMIF('DADOS BRUTOS'!$A$3:$A$500,$B17,'DADOS BRUTOS'!Q$3:Q$500)+IF($C17="",0,SUMIF('DADOS BRUTOS'!$A$3:$A$500,$C17,'DADOS BRUTOS'!Q$3:Q$500)))</f>
        <v/>
      </c>
      <c r="CR17" s="123">
        <f>IF(OR(CR$4="",$B17=""),0,SUMIF('DADOS BRUTOS'!$A$3:$A$500,$B17,'DADOS BRUTOS'!R$3:R$500)+IF($C17="",0,SUMIF('DADOS BRUTOS'!$A$3:$A$500,$C17,'DADOS BRUTOS'!R$3:R$500)))</f>
        <v/>
      </c>
      <c r="CS17" s="123">
        <f>IF(OR(CS$4="",$B17=""),0,SUMIF('DADOS BRUTOS'!$A$3:$A$500,$B17,'DADOS BRUTOS'!S$3:S$500)+IF($C17="",0,SUMIF('DADOS BRUTOS'!$A$3:$A$500,$C17,'DADOS BRUTOS'!S$3:S$500)))</f>
        <v/>
      </c>
      <c r="CT17" s="123">
        <f>IF(OR(CT$4="",$B17=""),0,SUMIF('DADOS BRUTOS'!$A$3:$A$500,$B17,'DADOS BRUTOS'!T$3:T$500)+IF($C17="",0,SUMIF('DADOS BRUTOS'!$A$3:$A$500,$C17,'DADOS BRUTOS'!T$3:T$500)))</f>
        <v/>
      </c>
      <c r="CU17" s="123">
        <f>IF(OR(CU$4="",$B17=""),0,SUMIF('DADOS BRUTOS'!$A$3:$A$500,$B17,'DADOS BRUTOS'!U$3:U$500)+IF($C17="",0,SUMIF('DADOS BRUTOS'!$A$3:$A$500,$C17,'DADOS BRUTOS'!U$3:U$500)))</f>
        <v/>
      </c>
      <c r="CV17" s="123">
        <f>IF(OR(CV$4="",$B17=""),0,SUMIF('DADOS BRUTOS'!$A$3:$A$500,$B17,'DADOS BRUTOS'!V$3:V$500)+IF($C17="",0,SUMIF('DADOS BRUTOS'!$A$3:$A$500,$C17,'DADOS BRUTOS'!V$3:V$500)))</f>
        <v/>
      </c>
      <c r="CW17" s="123">
        <f>IF(OR(CW$4="",$B17=""),0,SUMIF('DADOS BRUTOS'!$A$3:$A$500,$B17,'DADOS BRUTOS'!W$3:W$500)+IF($C17="",0,SUMIF('DADOS BRUTOS'!$A$3:$A$500,$C17,'DADOS BRUTOS'!W$3:W$500)))</f>
        <v/>
      </c>
      <c r="CX17" s="123">
        <f>IF(OR(CX$4="",$B17=""),0,SUMIF('DADOS BRUTOS'!$A$3:$A$500,$B17,'DADOS BRUTOS'!X$3:X$500)+IF($C17="",0,SUMIF('DADOS BRUTOS'!$A$3:$A$500,$C17,'DADOS BRUTOS'!X$3:X$500)))</f>
        <v/>
      </c>
      <c r="CY17" s="123">
        <f>IF(OR(CY$4="",$B17=""),0,SUMIF('DADOS BRUTOS'!$A$3:$A$500,$B17,'DADOS BRUTOS'!Y$3:Y$500)+IF($C17="",0,SUMIF('DADOS BRUTOS'!$A$3:$A$500,$C17,'DADOS BRUTOS'!Y$3:Y$500)))</f>
        <v/>
      </c>
      <c r="CZ17" s="123">
        <f>IF(OR(CZ$4="",$B17=""),0,SUMIF('DADOS BRUTOS'!$A$3:$A$500,$B17,'DADOS BRUTOS'!Z$3:Z$500)+IF($C17="",0,SUMIF('DADOS BRUTOS'!$A$3:$A$500,$C17,'DADOS BRUTOS'!Z$3:Z$500)))</f>
        <v/>
      </c>
      <c r="DA17" s="123">
        <f>IF(OR(DA$4="",$B17=""),0,SUMIF('DADOS BRUTOS'!$A$3:$A$500,$B17,'DADOS BRUTOS'!AA$3:AA$500)+IF($C17="",0,SUMIF('DADOS BRUTOS'!$A$3:$A$500,$C17,'DADOS BRUTOS'!AA$3:AA$500)))</f>
        <v/>
      </c>
      <c r="DB17" s="123">
        <f>IF(OR(DB$4="",$B17=""),0,SUMIF('DADOS BRUTOS'!$A$3:$A$500,$B17,'DADOS BRUTOS'!AB$3:AB$500)+IF($C17="",0,SUMIF('DADOS BRUTOS'!$A$3:$A$500,$C17,'DADOS BRUTOS'!AB$3:AB$500)))</f>
        <v/>
      </c>
      <c r="DC17" s="123">
        <f>IF(OR(DC$4="",$B17=""),0,SUMIF('DADOS BRUTOS'!$A$3:$A$500,$B17,'DADOS BRUTOS'!AC$3:AC$500)+IF($C17="",0,SUMIF('DADOS BRUTOS'!$A$3:$A$500,$C17,'DADOS BRUTOS'!AC$3:AC$500)))</f>
        <v/>
      </c>
      <c r="DD17" s="123">
        <f>IF(OR(DD$4="",$B17=""),0,SUMIF('DADOS BRUTOS'!$A$3:$A$500,$B17,'DADOS BRUTOS'!AD$3:AD$500)+IF($C17="",0,SUMIF('DADOS BRUTOS'!$A$3:$A$500,$C17,'DADOS BRUTOS'!AD$3:AD$500)))</f>
        <v/>
      </c>
      <c r="DE17" s="123">
        <f>IF(OR(DE$4="",$B17=""),0,SUMIF('DADOS BRUTOS'!$A$3:$A$500,$B17,'DADOS BRUTOS'!AE$3:AE$500)+IF($C17="",0,SUMIF('DADOS BRUTOS'!$A$3:$A$500,$C17,'DADOS BRUTOS'!AE$3:AE$500)))</f>
        <v/>
      </c>
      <c r="DF17" s="123">
        <f>IF(OR(DF$4="",$B17=""),0,SUMIF('DADOS BRUTOS'!$A$3:$A$500,$B17,'DADOS BRUTOS'!AF$3:AF$500)+IF($C17="",0,SUMIF('DADOS BRUTOS'!$A$3:$A$500,$C17,'DADOS BRUTOS'!AF$3:AF$500)))</f>
        <v/>
      </c>
      <c r="DG17" s="123">
        <f>IF(OR(DG$4="",$B17=""),0,SUMIF('DADOS BRUTOS'!$A$3:$A$500,$B17,'DADOS BRUTOS'!AG$3:AG$500)+IF($C17="",0,SUMIF('DADOS BRUTOS'!$A$3:$A$500,$C17,'DADOS BRUTOS'!AG$3:AG$500)))</f>
        <v/>
      </c>
      <c r="DH17" s="123">
        <f>IF(OR(DH$4="",$B17=""),0,SUMIF('DADOS BRUTOS'!$A$3:$A$500,$B17,'DADOS BRUTOS'!AH$3:AH$500)+IF($C17="",0,SUMIF('DADOS BRUTOS'!$A$3:$A$500,$C17,'DADOS BRUTOS'!AH$3:AH$500)))</f>
        <v/>
      </c>
      <c r="DI17" s="123">
        <f>IF(OR(DI$4="",$B17=""),0,SUMIF('DADOS BRUTOS'!$A$3:$A$500,$B17,'DADOS BRUTOS'!AI$3:AI$500)+IF($C17="",0,SUMIF('DADOS BRUTOS'!$A$3:$A$500,$C17,'DADOS BRUTOS'!AI$3:AI$500)))</f>
        <v/>
      </c>
      <c r="DJ17" s="123">
        <f>IF(OR(DJ$4="",$B17=""),0,SUMIF('DADOS BRUTOS'!$A$3:$A$500,$B17,'DADOS BRUTOS'!AJ$3:AJ$500)+IF($C17="",0,SUMIF('DADOS BRUTOS'!$A$3:$A$500,$C17,'DADOS BRUTOS'!AJ$3:AJ$500)))</f>
        <v/>
      </c>
      <c r="DK17" s="123">
        <f>IF(OR(DK$4="",$B17=""),0,SUMIF('DADOS BRUTOS'!$A$3:$A$500,$B17,'DADOS BRUTOS'!AK$3:AK$500)+IF($C17="",0,SUMIF('DADOS BRUTOS'!$A$3:$A$500,$C17,'DADOS BRUTOS'!AK$3:AK$500)))</f>
        <v/>
      </c>
      <c r="DL17" s="123">
        <f>IF(OR(DL$4="",$B17=""),0,SUMIF('DADOS BRUTOS'!$A$3:$A$500,$B17,'DADOS BRUTOS'!AL$3:AL$500)+IF($C17="",0,SUMIF('DADOS BRUTOS'!$A$3:$A$500,$C17,'DADOS BRUTOS'!AL$3:AL$500)))</f>
        <v/>
      </c>
      <c r="DM17" s="123">
        <f>IF(OR(DM$4="",$B17=""),0,SUMIF('DADOS BRUTOS'!$A$3:$A$500,$B17,'DADOS BRUTOS'!AM$3:AM$500)+IF($C17="",0,SUMIF('DADOS BRUTOS'!$A$3:$A$500,$C17,'DADOS BRUTOS'!AM$3:AM$500)))</f>
        <v/>
      </c>
      <c r="DN17" s="123">
        <f>IF(OR(DN$4="",$B17=""),0,SUMIF('DADOS BRUTOS'!$A$3:$A$500,$B17,'DADOS BRUTOS'!AN$3:AN$500)+IF($C17="",0,SUMIF('DADOS BRUTOS'!$A$3:$A$500,$C17,'DADOS BRUTOS'!AN$3:AN$500)))</f>
        <v/>
      </c>
      <c r="DO17" s="123">
        <f>IF(OR(DO$4="",$B17=""),0,SUMIF('DADOS BRUTOS'!$A$3:$A$500,$B17,'DADOS BRUTOS'!AO$3:AO$500)+IF($C17="",0,SUMIF('DADOS BRUTOS'!$A$3:$A$500,$C17,'DADOS BRUTOS'!AO$3:AO$500)))</f>
        <v/>
      </c>
      <c r="DP17" s="123">
        <f>IF(OR(DP$4="",$B17=""),0,SUMIF('DADOS BRUTOS'!$A$3:$A$500,$B17,'DADOS BRUTOS'!AP$3:AP$500)+IF($C17="",0,SUMIF('DADOS BRUTOS'!$A$3:$A$500,$C17,'DADOS BRUTOS'!AP$3:AP$500)))</f>
        <v/>
      </c>
      <c r="DQ17" s="123">
        <f>IF(OR(DQ$4="",$B17=""),0,SUMIF('DADOS BRUTOS'!$A$3:$A$500,$B17,'DADOS BRUTOS'!AQ$3:AQ$500)+IF($C17="",0,SUMIF('DADOS BRUTOS'!$A$3:$A$500,$C17,'DADOS BRUTOS'!AQ$3:AQ$500)))</f>
        <v/>
      </c>
      <c r="DR17" s="123">
        <f>IF(OR(DR$4="",$B17=""),0,SUMIF('DADOS BRUTOS'!$A$3:$A$500,$B17,'DADOS BRUTOS'!AR$3:AR$500)+IF($C17="",0,SUMIF('DADOS BRUTOS'!$A$3:$A$500,$C17,'DADOS BRUTOS'!AR$3:AR$500)))</f>
        <v/>
      </c>
      <c r="DS17" s="123">
        <f>IF(OR(DS$4="",$B17=""),0,SUMIF('DADOS BRUTOS'!$A$3:$A$500,$B17,'DADOS BRUTOS'!AS$3:AS$500)+IF($C17="",0,SUMIF('DADOS BRUTOS'!$A$3:$A$500,$C17,'DADOS BRUTOS'!AS$3:AS$500)))</f>
        <v/>
      </c>
      <c r="DT17" s="123">
        <f>IF(OR(DT$4="",$B17=""),0,SUMIF('DADOS BRUTOS'!$A$3:$A$500,$B17,'DADOS BRUTOS'!AT$3:AT$500)+IF($C17="",0,SUMIF('DADOS BRUTOS'!$A$3:$A$500,$C17,'DADOS BRUTOS'!AT$3:AT$500)))</f>
        <v/>
      </c>
      <c r="DU17" s="123">
        <f>IF(OR(DU$4="",$B17=""),0,SUMIF('DADOS BRUTOS'!$A$3:$A$500,$B17,'DADOS BRUTOS'!AU$3:AU$500)+IF($C17="",0,SUMIF('DADOS BRUTOS'!$A$3:$A$500,$C17,'DADOS BRUTOS'!AU$3:AU$500)))</f>
        <v/>
      </c>
      <c r="DV17" s="123">
        <f>IF(OR(DV$4="",$B17=""),0,SUMIF('DADOS BRUTOS'!$A$3:$A$500,$B17,'DADOS BRUTOS'!AV$3:AV$500)+IF($C17="",0,SUMIF('DADOS BRUTOS'!$A$3:$A$500,$C17,'DADOS BRUTOS'!AV$3:AV$500)))</f>
        <v/>
      </c>
      <c r="DW17" s="123">
        <f>IF(OR(DW$4="",$B17=""),0,SUMIF('DADOS BRUTOS'!$A$3:$A$500,$B17,'DADOS BRUTOS'!AW$3:AW$500)+IF($C17="",0,SUMIF('DADOS BRUTOS'!$A$3:$A$500,$C17,'DADOS BRUTOS'!AW$3:AW$500)))</f>
        <v/>
      </c>
      <c r="DX17" s="123">
        <f>IF(OR(DX$4="",$B17=""),0,SUMIF('DADOS BRUTOS'!$A$3:$A$500,$B17,'DADOS BRUTOS'!AX$3:AX$500)+IF($C17="",0,SUMIF('DADOS BRUTOS'!$A$3:$A$500,$C17,'DADOS BRUTOS'!AX$3:AX$500)))</f>
        <v/>
      </c>
      <c r="DY17" s="123">
        <f>IF(OR(DY$4="",$B17=""),0,SUMIF('DADOS BRUTOS'!$A$3:$A$500,$B17,'DADOS BRUTOS'!AY$3:AY$500)+IF($C17="",0,SUMIF('DADOS BRUTOS'!$A$3:$A$500,$C17,'DADOS BRUTOS'!AY$3:AY$500)))</f>
        <v/>
      </c>
      <c r="DZ17" s="123">
        <f>IF(OR(DZ$4="",$B17=""),0,SUMIF('DADOS BRUTOS'!$A$3:$A$500,$B17,'DADOS BRUTOS'!AZ$3:AZ$500)+IF($C17="",0,SUMIF('DADOS BRUTOS'!$A$3:$A$500,$C17,'DADOS BRUTOS'!AZ$3:AZ$500)))</f>
        <v/>
      </c>
      <c r="EA17" s="123">
        <f>IF(OR(EA$4="",$B17=""),0,SUMIF('DADOS BRUTOS'!$A$3:$A$500,$B17,'DADOS BRUTOS'!BA$3:BA$500)+IF($C17="",0,SUMIF('DADOS BRUTOS'!$A$3:$A$500,$C17,'DADOS BRUTOS'!BA$3:BA$500)))</f>
        <v/>
      </c>
      <c r="EB17" s="123">
        <f>IF(OR(EB$4="",$B17=""),0,SUMIF('DADOS BRUTOS'!$A$3:$A$500,$B17,'DADOS BRUTOS'!BB$3:BB$500)+IF($C17="",0,SUMIF('DADOS BRUTOS'!$A$3:$A$500,$C17,'DADOS BRUTOS'!BB$3:BB$500)))</f>
        <v/>
      </c>
      <c r="EC17" s="123">
        <f>IF(OR(EC$4="",$B17=""),0,SUMIF('DADOS BRUTOS'!$A$3:$A$500,$B17,'DADOS BRUTOS'!BC$3:BC$500)+IF($C17="",0,SUMIF('DADOS BRUTOS'!$A$3:$A$500,$C17,'DADOS BRUTOS'!BC$3:BC$500)))</f>
        <v/>
      </c>
      <c r="ED17" s="123">
        <f>IF(OR(ED$4="",$B17=""),0,SUMIF('DADOS BRUTOS'!$A$3:$A$500,$B17,'DADOS BRUTOS'!BD$3:BD$500)+IF($C17="",0,SUMIF('DADOS BRUTOS'!$A$3:$A$500,$C17,'DADOS BRUTOS'!BD$3:BD$500)))</f>
        <v/>
      </c>
      <c r="EE17" s="123">
        <f>IF(OR(EE$4="",$B17=""),0,SUMIF('DADOS BRUTOS'!$A$3:$A$500,$B17,'DADOS BRUTOS'!BE$3:BE$500)+IF($C17="",0,SUMIF('DADOS BRUTOS'!$A$3:$A$500,$C17,'DADOS BRUTOS'!BE$3:BE$500)))</f>
        <v/>
      </c>
      <c r="EF17" s="123">
        <f>IF(OR(EF$4="",$B17=""),0,SUMIF('DADOS BRUTOS'!$A$3:$A$500,$B17,'DADOS BRUTOS'!BF$3:BF$500)+IF($C17="",0,SUMIF('DADOS BRUTOS'!$A$3:$A$500,$C17,'DADOS BRUTOS'!BF$3:BF$500)))</f>
        <v/>
      </c>
      <c r="EG17" s="123">
        <f>IF(OR(EG$4="",$B17=""),0,SUMIF('DADOS BRUTOS'!$A$3:$A$500,$B17,'DADOS BRUTOS'!BG$3:BG$500)+IF($C17="",0,SUMIF('DADOS BRUTOS'!$A$3:$A$500,$C17,'DADOS BRUTOS'!BG$3:BG$500)))</f>
        <v/>
      </c>
      <c r="EH17" s="123">
        <f>IF(OR(EH$4="",$B17=""),0,SUMIF('DADOS BRUTOS'!$A$3:$A$500,$B17,'DADOS BRUTOS'!BH$3:BH$500)+IF($C17="",0,SUMIF('DADOS BRUTOS'!$A$3:$A$500,$C17,'DADOS BRUTOS'!BH$3:BH$500)))</f>
        <v/>
      </c>
      <c r="EI17" s="123">
        <f>IF(OR(EI$4="",$B17=""),0,SUMIF('DADOS BRUTOS'!$A$3:$A$500,$B17,'DADOS BRUTOS'!BI$3:BI$500)+IF($C17="",0,SUMIF('DADOS BRUTOS'!$A$3:$A$500,$C17,'DADOS BRUTOS'!BI$3:BI$500)))</f>
        <v/>
      </c>
      <c r="EJ17" s="123">
        <f>IF(OR(EJ$4="",$B17=""),0,SUMIF('DADOS BRUTOS'!$A$3:$A$500,$B17,'DADOS BRUTOS'!BJ$3:BJ$500)+IF($C17="",0,SUMIF('DADOS BRUTOS'!$A$3:$A$500,$C17,'DADOS BRUTOS'!BJ$3:BJ$500)))</f>
        <v/>
      </c>
      <c r="EK17" s="123">
        <f>IF(OR(EK$4="",$B17=""),0,SUMIF('DADOS BRUTOS'!$A$3:$A$500,$B17,'DADOS BRUTOS'!BK$3:BK$500)+IF($C17="",0,SUMIF('DADOS BRUTOS'!$A$3:$A$500,$C17,'DADOS BRUTOS'!BK$3:BK$500)))</f>
        <v/>
      </c>
      <c r="EL17" s="123">
        <f>IF(OR(EL$4="",$B17=""),0,SUMIF('DADOS BRUTOS'!$A$3:$A$500,$B17,'DADOS BRUTOS'!BL$3:BL$500)+IF($C17="",0,SUMIF('DADOS BRUTOS'!$A$3:$A$500,$C17,'DADOS BRUTOS'!BL$3:BL$500)))</f>
        <v/>
      </c>
      <c r="EM17" s="123">
        <f>IF(OR(EM$4="",$B17=""),0,SUMIF('DADOS BRUTOS'!$A$3:$A$500,$B17,'DADOS BRUTOS'!BM$3:BM$500)+IF($C17="",0,SUMIF('DADOS BRUTOS'!$A$3:$A$500,$C17,'DADOS BRUTOS'!BM$3:BM$500)))</f>
        <v/>
      </c>
      <c r="EN17" s="123">
        <f>IF(OR(EN$4="",$B17=""),0,SUMIF('DADOS BRUTOS'!$A$3:$A$500,$B17,'DADOS BRUTOS'!BN$3:BN$500)+IF($C17="",0,SUMIF('DADOS BRUTOS'!$A$3:$A$500,$C17,'DADOS BRUTOS'!BN$3:BN$500)))</f>
        <v/>
      </c>
      <c r="EO17" s="123">
        <f>IF(OR(EO$4="",$B17=""),0,SUMIF('DADOS BRUTOS'!$A$3:$A$500,$B17,'DADOS BRUTOS'!BO$3:BO$500)+IF($C17="",0,SUMIF('DADOS BRUTOS'!$A$3:$A$500,$C17,'DADOS BRUTOS'!BO$3:BO$500)))</f>
        <v/>
      </c>
      <c r="EP17" s="123">
        <f>IF(OR(EP$4="",$B17=""),0,SUMIF('DADOS BRUTOS'!$A$3:$A$500,$B17,'DADOS BRUTOS'!BP$3:BP$500)+IF($C17="",0,SUMIF('DADOS BRUTOS'!$A$3:$A$500,$C17,'DADOS BRUTOS'!BP$3:BP$500)))</f>
        <v/>
      </c>
      <c r="EQ17" s="123">
        <f>IF(OR(EQ$4="",$B17=""),0,SUMIF('DADOS BRUTOS'!$A$3:$A$500,$B17,'DADOS BRUTOS'!BQ$3:BQ$500)+IF($C17="",0,SUMIF('DADOS BRUTOS'!$A$3:$A$500,$C17,'DADOS BRUTOS'!BQ$3:BQ$500)))</f>
        <v/>
      </c>
      <c r="ER17" s="123">
        <f>IF(OR(ER$4="",$B17=""),0,SUMIF('DADOS BRUTOS'!$A$3:$A$500,$B17,'DADOS BRUTOS'!BR$3:BR$500)+IF($C17="",0,SUMIF('DADOS BRUTOS'!$A$3:$A$500,$C17,'DADOS BRUTOS'!BR$3:BR$500)))</f>
        <v/>
      </c>
      <c r="ES17" s="123">
        <f>IF(OR(ES$4="",$B17=""),0,SUMIF('DADOS BRUTOS'!$A$3:$A$500,$B17,'DADOS BRUTOS'!BS$3:BS$500)+IF($C17="",0,SUMIF('DADOS BRUTOS'!$A$3:$A$500,$C17,'DADOS BRUTOS'!BS$3:BS$500)))</f>
        <v/>
      </c>
      <c r="ET17" s="123">
        <f>IF(OR(ET$4="",$B17=""),0,SUMIF('DADOS BRUTOS'!$A$3:$A$500,$B17,'DADOS BRUTOS'!BT$3:BT$500)+IF($C17="",0,SUMIF('DADOS BRUTOS'!$A$3:$A$500,$C17,'DADOS BRUTOS'!BT$3:BT$500)))</f>
        <v/>
      </c>
      <c r="EU17" s="123">
        <f>IF(OR(EU$4="",$B17=""),0,SUMIF('DADOS BRUTOS'!$A$3:$A$500,$B17,'DADOS BRUTOS'!BU$3:BU$500)+IF($C17="",0,SUMIF('DADOS BRUTOS'!$A$3:$A$500,$C17,'DADOS BRUTOS'!BU$3:BU$500)))</f>
        <v/>
      </c>
      <c r="EV17" s="123">
        <f>IF(OR(EV$4="",$B17=""),0,SUMIF('DADOS BRUTOS'!$A$3:$A$500,$B17,'DADOS BRUTOS'!BV$3:BV$500)+IF($C17="",0,SUMIF('DADOS BRUTOS'!$A$3:$A$500,$C17,'DADOS BRUTOS'!BV$3:BV$500)))</f>
        <v/>
      </c>
      <c r="EW17" s="123">
        <f>IF(OR(EW$4="",$B17=""),0,SUMIF('DADOS BRUTOS'!$A$3:$A$500,$B17,'DADOS BRUTOS'!BW$3:BW$500)+IF($C17="",0,SUMIF('DADOS BRUTOS'!$A$3:$A$500,$C17,'DADOS BRUTOS'!BW$3:BW$500)))</f>
        <v/>
      </c>
      <c r="EX17" s="123">
        <f>IF(OR(EX$4="",$B17=""),0,SUMIF('DADOS BRUTOS'!$A$3:$A$500,$B17,'DADOS BRUTOS'!BX$3:BX$500)+IF($C17="",0,SUMIF('DADOS BRUTOS'!$A$3:$A$500,$C17,'DADOS BRUTOS'!BX$3:BX$500)))</f>
        <v/>
      </c>
      <c r="EY17" s="123">
        <f>IF(OR(EY$4="",$B17=""),0,SUMIF('DADOS BRUTOS'!$A$3:$A$500,$B17,'DADOS BRUTOS'!BY$3:BY$500)+IF($C17="",0,SUMIF('DADOS BRUTOS'!$A$3:$A$500,$C17,'DADOS BRUTOS'!BY$3:BY$500)))</f>
        <v/>
      </c>
      <c r="EZ17" s="123">
        <f>IF(OR(EZ$4="",$B17=""),0,SUMIF('DADOS BRUTOS'!$A$3:$A$500,$B17,'DADOS BRUTOS'!BZ$3:BZ$500)+IF($C17="",0,SUMIF('DADOS BRUTOS'!$A$3:$A$500,$C17,'DADOS BRUTOS'!BZ$3:BZ$500)))</f>
        <v/>
      </c>
      <c r="FA17" s="123">
        <f>IF(OR(FA$4="",$B17=""),0,SUMIF('DADOS BRUTOS'!$A$3:$A$500,$B17,'DADOS BRUTOS'!CA$3:CA$500)+IF($C17="",0,SUMIF('DADOS BRUTOS'!$A$3:$A$500,$C17,'DADOS BRUTOS'!CA$3:CA$500)))</f>
        <v/>
      </c>
      <c r="FB17" s="123">
        <f>IF(OR(FB$4="",$B17=""),0,SUMIF('DADOS BRUTOS'!$A$3:$A$500,$B17,'DADOS BRUTOS'!CB$3:CB$500)+IF($C17="",0,SUMIF('DADOS BRUTOS'!$A$3:$A$500,$C17,'DADOS BRUTOS'!CB$3:CB$500)))</f>
        <v/>
      </c>
      <c r="FC17" s="123">
        <f>IF(OR(FC$4="",$B17=""),0,SUMIF('DADOS BRUTOS'!$A$3:$A$500,$B17,'DADOS BRUTOS'!CC$3:CC$500)+IF($C17="",0,SUMIF('DADOS BRUTOS'!$A$3:$A$500,$C17,'DADOS BRUTOS'!CC$3:CC$500)))</f>
        <v/>
      </c>
      <c r="FD17" s="123">
        <f>IF(OR(FD$4="",$B17=""),0,SUMIF('DADOS BRUTOS'!$A$3:$A$500,$B17,'DADOS BRUTOS'!CD$3:CD$500)+IF($C17="",0,SUMIF('DADOS BRUTOS'!$A$3:$A$500,$C17,'DADOS BRUTOS'!CD$3:CD$500)))</f>
        <v/>
      </c>
      <c r="FE17" s="123">
        <f>IF(OR(FE$4="",$B17=""),0,SUMIF('DADOS BRUTOS'!$A$3:$A$500,$B17,'DADOS BRUTOS'!CE$3:CE$500)+IF($C17="",0,SUMIF('DADOS BRUTOS'!$A$3:$A$500,$C17,'DADOS BRUTOS'!CE$3:CE$500)))</f>
        <v/>
      </c>
      <c r="FF17" s="123">
        <f>IF(OR(FF$4="",$B17=""),0,SUMIF('DADOS BRUTOS'!$A$3:$A$500,$B17,'DADOS BRUTOS'!CF$3:CF$500)+IF($C17="",0,SUMIF('DADOS BRUTOS'!$A$3:$A$500,$C17,'DADOS BRUTOS'!CF$3:CF$500)))</f>
        <v/>
      </c>
      <c r="FG17" s="123">
        <f>IF(OR(FG$4="",$B17=""),0,SUMIF('DADOS BRUTOS'!$A$3:$A$500,$B17,'DADOS BRUTOS'!CG$3:CG$500)+IF($C17="",0,SUMIF('DADOS BRUTOS'!$A$3:$A$500,$C17,'DADOS BRUTOS'!CG$3:CG$500)))</f>
        <v/>
      </c>
      <c r="FH17" s="123">
        <f>IF(OR(FH$4="",$B17=""),0,SUMIF('DADOS BRUTOS'!$A$3:$A$500,$B17,'DADOS BRUTOS'!CH$3:CH$500)+IF($C17="",0,SUMIF('DADOS BRUTOS'!$A$3:$A$500,$C17,'DADOS BRUTOS'!CH$3:CH$500)))</f>
        <v/>
      </c>
      <c r="FI17" s="123">
        <f>IF(OR(FI$4="",$B17=""),0,SUMIF('DADOS BRUTOS'!$A$3:$A$500,$B17,'DADOS BRUTOS'!CI$3:CI$500)+IF($C17="",0,SUMIF('DADOS BRUTOS'!$A$3:$A$500,$C17,'DADOS BRUTOS'!CI$3:CI$500)))</f>
        <v/>
      </c>
      <c r="FJ17" s="123">
        <f>IF(OR(FJ$4="",$B17=""),0,SUMIF('DADOS BRUTOS'!$A$3:$A$500,$B17,'DADOS BRUTOS'!CJ$3:CJ$500)+IF($C17="",0,SUMIF('DADOS BRUTOS'!$A$3:$A$500,$C17,'DADOS BRUTOS'!CJ$3:CJ$500)))</f>
        <v/>
      </c>
      <c r="FK17" s="123">
        <f>IF(OR(FK$4="",$B17=""),0,SUMIF('DADOS BRUTOS'!$A$3:$A$500,$B17,'DADOS BRUTOS'!CK$3:CK$500)+IF($C17="",0,SUMIF('DADOS BRUTOS'!$A$3:$A$500,$C17,'DADOS BRUTOS'!CK$3:CK$500)))</f>
        <v/>
      </c>
      <c r="FL17" s="123">
        <f>IF(OR(FL$4="",$B17=""),0,SUMIF('DADOS BRUTOS'!$A$3:$A$500,$B17,'DADOS BRUTOS'!CL$3:CL$500)+IF($C17="",0,SUMIF('DADOS BRUTOS'!$A$3:$A$500,$C17,'DADOS BRUTOS'!CL$3:CL$500)))</f>
        <v/>
      </c>
      <c r="FM17" s="123">
        <f>IF(OR(FM$4="",$B17=""),0,SUMIF('DADOS BRUTOS'!$A$3:$A$500,$B17,'DADOS BRUTOS'!CM$3:CM$500)+IF($C17="",0,SUMIF('DADOS BRUTOS'!$A$3:$A$500,$C17,'DADOS BRUTOS'!CM$3:CM$500)))</f>
        <v/>
      </c>
      <c r="FN17" s="123">
        <f>IF(OR(FN$4="",$B17=""),0,SUMIF('DADOS BRUTOS'!$A$3:$A$500,$B17,'DADOS BRUTOS'!CN$3:CN$500)+IF($C17="",0,SUMIF('DADOS BRUTOS'!$A$3:$A$500,$C17,'DADOS BRUTOS'!CN$3:CN$500)))</f>
        <v/>
      </c>
      <c r="FO17" s="123">
        <f>IF(OR(FO$4="",$B17=""),0,SUMIF('DADOS BRUTOS'!$A$3:$A$500,$B17,'DADOS BRUTOS'!CO$3:CO$500)+IF($C17="",0,SUMIF('DADOS BRUTOS'!$A$3:$A$500,$C17,'DADOS BRUTOS'!CO$3:CO$500)))</f>
        <v/>
      </c>
      <c r="FP17" s="123">
        <f>IF(OR(FP$4="",$B17=""),0,SUMIF('DADOS BRUTOS'!$A$3:$A$500,$B17,'DADOS BRUTOS'!CP$3:CP$500)+IF($C17="",0,SUMIF('DADOS BRUTOS'!$A$3:$A$500,$C17,'DADOS BRUTOS'!CP$3:CP$500)))</f>
        <v/>
      </c>
      <c r="FQ17" s="123">
        <f>IF(OR(FQ$4="",$B17=""),0,SUMIF('DADOS BRUTOS'!$A$3:$A$500,$B17,'DADOS BRUTOS'!CQ$3:CQ$500)+IF($C17="",0,SUMIF('DADOS BRUTOS'!$A$3:$A$500,$C17,'DADOS BRUTOS'!CQ$3:CQ$500)))</f>
        <v/>
      </c>
      <c r="FR17" s="123">
        <f>IF(OR(FR$4="",$B17=""),0,SUMIF('DADOS BRUTOS'!$A$3:$A$500,$B17,'DADOS BRUTOS'!CR$3:CR$500)+IF($C17="",0,SUMIF('DADOS BRUTOS'!$A$3:$A$500,$C17,'DADOS BRUTOS'!CR$3:CR$500)))</f>
        <v/>
      </c>
      <c r="FS17" s="123">
        <f>IF(OR(FS$4="",$B17=""),0,SUMIF('DADOS BRUTOS'!$A$3:$A$500,$B17,'DADOS BRUTOS'!CS$3:CS$500)+IF($C17="",0,SUMIF('DADOS BRUTOS'!$A$3:$A$500,$C17,'DADOS BRUTOS'!CS$3:CS$500)))</f>
        <v/>
      </c>
      <c r="FT17" s="123">
        <f>IF(OR(FT$4="",$B17=""),0,SUMIF('DADOS BRUTOS'!$A$3:$A$500,$B17,'DADOS BRUTOS'!CT$3:CT$500)+IF($C17="",0,SUMIF('DADOS BRUTOS'!$A$3:$A$500,$C17,'DADOS BRUTOS'!CT$3:CT$500)))</f>
        <v/>
      </c>
      <c r="FU17" s="123">
        <f>IF(OR(FU$4="",$B17=""),0,SUMIF('DADOS BRUTOS'!$A$3:$A$500,$B17,'DADOS BRUTOS'!CU$3:CU$500)+IF($C17="",0,SUMIF('DADOS BRUTOS'!$A$3:$A$500,$C17,'DADOS BRUTOS'!CU$3:CU$500)))</f>
        <v/>
      </c>
      <c r="FV17" s="123">
        <f>IF(OR(FV$4="",$B17=""),0,SUMIF('DADOS BRUTOS'!$A$3:$A$500,$B17,'DADOS BRUTOS'!CV$3:CV$500)+IF($C17="",0,SUMIF('DADOS BRUTOS'!$A$3:$A$500,$C17,'DADOS BRUTOS'!CV$3:CV$500)))</f>
        <v/>
      </c>
      <c r="FW17" s="123">
        <f>IF(OR(FW$4="",$B17=""),0,SUMIF('DADOS BRUTOS'!$A$3:$A$500,$B17,'DADOS BRUTOS'!CW$3:CW$500)+IF($C17="",0,SUMIF('DADOS BRUTOS'!$A$3:$A$500,$C17,'DADOS BRUTOS'!CW$3:CW$500)))</f>
        <v/>
      </c>
      <c r="FX17" s="123">
        <f>IF(OR(FX$4="",$B17=""),0,SUMIF('DADOS BRUTOS'!$A$3:$A$500,$B17,'DADOS BRUTOS'!CX$3:CX$500)+IF($C17="",0,SUMIF('DADOS BRUTOS'!$A$3:$A$500,$C17,'DADOS BRUTOS'!CX$3:CX$500)))</f>
        <v/>
      </c>
      <c r="FY17" s="123">
        <f>IF(OR(FY$4="",$B17=""),0,SUMIF('DADOS BRUTOS'!$A$3:$A$500,$B17,'DADOS BRUTOS'!CY$3:CY$500)+IF($C17="",0,SUMIF('DADOS BRUTOS'!$A$3:$A$500,$C17,'DADOS BRUTOS'!CY$3:CY$500)))</f>
        <v/>
      </c>
      <c r="FZ17" s="123">
        <f>IF(OR(FZ$4="",$B17=""),0,SUMIF('DADOS BRUTOS'!$A$3:$A$500,$B17,'DADOS BRUTOS'!CZ$3:CZ$500)+IF($C17="",0,SUMIF('DADOS BRUTOS'!$A$3:$A$500,$C17,'DADOS BRUTOS'!CZ$3:CZ$500)))</f>
        <v/>
      </c>
      <c r="GA17" s="123">
        <f>IF(OR(GA$4="",$B17=""),0,SUMIF('DADOS BRUTOS'!$A$3:$A$500,$B17,'DADOS BRUTOS'!DA$3:DA$500)+IF($C17="",0,SUMIF('DADOS BRUTOS'!$A$3:$A$500,$C17,'DADOS BRUTOS'!DA$3:DA$500)))</f>
        <v/>
      </c>
      <c r="GB17" s="123">
        <f>IF(OR(GB$4="",$B17=""),0,SUMIF('DADOS BRUTOS'!$A$3:$A$500,$B17,'DADOS BRUTOS'!DB$3:DB$500)+IF($C17="",0,SUMIF('DADOS BRUTOS'!$A$3:$A$500,$C17,'DADOS BRUTOS'!DB$3:DB$500)))</f>
        <v/>
      </c>
      <c r="GC17" s="123">
        <f>IF(OR(GC$4="",$B17=""),0,SUMIF('DADOS BRUTOS'!$A$3:$A$500,$B17,'DADOS BRUTOS'!DC$3:DC$500)+IF($C17="",0,SUMIF('DADOS BRUTOS'!$A$3:$A$500,$C17,'DADOS BRUTOS'!DC$3:DC$500)))</f>
        <v/>
      </c>
      <c r="GD17" s="123">
        <f>IF(OR(GD$4="",$B17=""),0,SUMIF('DADOS BRUTOS'!$A$3:$A$500,$B17,'DADOS BRUTOS'!DD$3:DD$500)+IF($C17="",0,SUMIF('DADOS BRUTOS'!$A$3:$A$500,$C17,'DADOS BRUTOS'!DD$3:DD$500)))</f>
        <v/>
      </c>
      <c r="GE17" s="123">
        <f>IF(OR(GE$4="",$B17=""),0,SUMIF('DADOS BRUTOS'!$A$3:$A$500,$B17,'DADOS BRUTOS'!DE$3:DE$500)+IF($C17="",0,SUMIF('DADOS BRUTOS'!$A$3:$A$500,$C17,'DADOS BRUTOS'!DE$3:DE$500)))</f>
        <v/>
      </c>
      <c r="GF17" s="123">
        <f>IF(OR(GF$4="",$B17=""),0,SUMIF('DADOS BRUTOS'!$A$3:$A$500,$B17,'DADOS BRUTOS'!DF$3:DF$500)+IF($C17="",0,SUMIF('DADOS BRUTOS'!$A$3:$A$500,$C17,'DADOS BRUTOS'!DF$3:DF$500)))</f>
        <v/>
      </c>
      <c r="GG17" s="123">
        <f>IF(OR(GG$4="",$B17=""),0,SUMIF('DADOS BRUTOS'!$A$3:$A$500,$B17,'DADOS BRUTOS'!DG$3:DG$500)+IF($C17="",0,SUMIF('DADOS BRUTOS'!$A$3:$A$500,$C17,'DADOS BRUTOS'!DG$3:DG$500)))</f>
        <v/>
      </c>
      <c r="GH17" s="123">
        <f>IF(OR(GH$4="",$B17=""),0,SUMIF('DADOS BRUTOS'!$A$3:$A$500,$B17,'DADOS BRUTOS'!DH$3:DH$500)+IF($C17="",0,SUMIF('DADOS BRUTOS'!$A$3:$A$500,$C17,'DADOS BRUTOS'!DH$3:DH$500)))</f>
        <v/>
      </c>
      <c r="GI17" s="123">
        <f>IF(OR(GI$4="",$B17=""),0,SUMIF('DADOS BRUTOS'!$A$3:$A$500,$B17,'DADOS BRUTOS'!DI$3:DI$500)+IF($C17="",0,SUMIF('DADOS BRUTOS'!$A$3:$A$500,$C17,'DADOS BRUTOS'!DI$3:DI$500)))</f>
        <v/>
      </c>
      <c r="GJ17" s="123">
        <f>IF(OR(GJ$4="",$B17=""),0,SUMIF('DADOS BRUTOS'!$A$3:$A$500,$B17,'DADOS BRUTOS'!DJ$3:DJ$500)+IF($C17="",0,SUMIF('DADOS BRUTOS'!$A$3:$A$500,$C17,'DADOS BRUTOS'!DJ$3:DJ$500)))</f>
        <v/>
      </c>
      <c r="GK17" s="123">
        <f>IF(OR(GK$4="",$B17=""),0,SUMIF('DADOS BRUTOS'!$A$3:$A$500,$B17,'DADOS BRUTOS'!DK$3:DK$500)+IF($C17="",0,SUMIF('DADOS BRUTOS'!$A$3:$A$500,$C17,'DADOS BRUTOS'!DK$3:DK$500)))</f>
        <v/>
      </c>
      <c r="GL17" s="123">
        <f>IF(OR(GL$4="",$B17=""),0,SUMIF('DADOS BRUTOS'!$A$3:$A$500,$B17,'DADOS BRUTOS'!DL$3:DL$500)+IF($C17="",0,SUMIF('DADOS BRUTOS'!$A$3:$A$500,$C17,'DADOS BRUTOS'!DL$3:DL$500)))</f>
        <v/>
      </c>
      <c r="GM17" s="123">
        <f>IF(OR(GM$4="",$B17=""),0,SUMIF('DADOS BRUTOS'!$A$3:$A$500,$B17,'DADOS BRUTOS'!DM$3:DM$500)+IF($C17="",0,SUMIF('DADOS BRUTOS'!$A$3:$A$500,$C17,'DADOS BRUTOS'!DM$3:DM$500)))</f>
        <v/>
      </c>
      <c r="GN17" s="123">
        <f>IF(OR(GN$4="",$B17=""),0,SUMIF('DADOS BRUTOS'!$A$3:$A$500,$B17,'DADOS BRUTOS'!DN$3:DN$500)+IF($C17="",0,SUMIF('DADOS BRUTOS'!$A$3:$A$500,$C17,'DADOS BRUTOS'!DN$3:DN$500)))</f>
        <v/>
      </c>
      <c r="GO17" s="123">
        <f>IF(OR(GO$4="",$B17=""),0,SUMIF('DADOS BRUTOS'!$A$3:$A$500,$B17,'DADOS BRUTOS'!DO$3:DO$500)+IF($C17="",0,SUMIF('DADOS BRUTOS'!$A$3:$A$500,$C17,'DADOS BRUTOS'!DO$3:DO$500)))</f>
        <v/>
      </c>
      <c r="GP17" s="123">
        <f>IF(OR(GP$4="",$B17=""),0,SUMIF('DADOS BRUTOS'!$A$3:$A$500,$B17,'DADOS BRUTOS'!DP$3:DP$500)+IF($C17="",0,SUMIF('DADOS BRUTOS'!$A$3:$A$500,$C17,'DADOS BRUTOS'!DP$3:DP$500)))</f>
        <v/>
      </c>
      <c r="GQ17" s="123">
        <f>IF(OR(GQ$4="",$B17=""),0,SUMIF('DADOS BRUTOS'!$A$3:$A$500,$B17,'DADOS BRUTOS'!DQ$3:DQ$500)+IF($C17="",0,SUMIF('DADOS BRUTOS'!$A$3:$A$500,$C17,'DADOS BRUTOS'!DQ$3:DQ$500)))</f>
        <v/>
      </c>
      <c r="GR17" s="123">
        <f>IF(OR(GR$4="",$B17=""),0,SUMIF('DADOS BRUTOS'!$A$3:$A$500,$B17,'DADOS BRUTOS'!DR$3:DR$500)+IF($C17="",0,SUMIF('DADOS BRUTOS'!$A$3:$A$500,$C17,'DADOS BRUTOS'!DR$3:DR$500)))</f>
        <v/>
      </c>
      <c r="GS17" s="123">
        <f>IF(OR(GS$4="",$B17=""),0,SUMIF('DADOS BRUTOS'!$A$3:$A$500,$B17,'DADOS BRUTOS'!DS$3:DS$500)+IF($C17="",0,SUMIF('DADOS BRUTOS'!$A$3:$A$500,$C17,'DADOS BRUTOS'!DS$3:DS$500)))</f>
        <v/>
      </c>
      <c r="GT17" s="123">
        <f>IF(OR(GT$4="",$B17=""),0,SUMIF('DADOS BRUTOS'!$A$3:$A$500,$B17,'DADOS BRUTOS'!DT$3:DT$500)+IF($C17="",0,SUMIF('DADOS BRUTOS'!$A$3:$A$500,$C17,'DADOS BRUTOS'!DT$3:DT$500)))</f>
        <v/>
      </c>
      <c r="GU17" s="123">
        <f>IF(OR(GU$4="",$B17=""),0,SUMIF('DADOS BRUTOS'!$A$3:$A$500,$B17,'DADOS BRUTOS'!DU$3:DU$500)+IF($C17="",0,SUMIF('DADOS BRUTOS'!$A$3:$A$500,$C17,'DADOS BRUTOS'!DU$3:DU$500)))</f>
        <v/>
      </c>
      <c r="GV17" s="123">
        <f>IF(OR(GV$4="",$B17=""),0,SUMIF('DADOS BRUTOS'!$A$3:$A$500,$B17,'DADOS BRUTOS'!DV$3:DV$500)+IF($C17="",0,SUMIF('DADOS BRUTOS'!$A$3:$A$500,$C17,'DADOS BRUTOS'!DV$3:DV$500)))</f>
        <v/>
      </c>
      <c r="GW17" s="123">
        <f>IF(OR(GW$4="",$B17=""),0,SUMIF('DADOS BRUTOS'!$A$3:$A$500,$B17,'DADOS BRUTOS'!DW$3:DW$500)+IF($C17="",0,SUMIF('DADOS BRUTOS'!$A$3:$A$500,$C17,'DADOS BRUTOS'!DW$3:DW$500)))</f>
        <v/>
      </c>
      <c r="GX17" s="123">
        <f>IF(OR(GX$4="",$B17=""),0,SUMIF('DADOS BRUTOS'!$A$3:$A$500,$B17,'DADOS BRUTOS'!DX$3:DX$500)+IF($C17="",0,SUMIF('DADOS BRUTOS'!$A$3:$A$500,$C17,'DADOS BRUTOS'!DX$3:DX$500)))</f>
        <v/>
      </c>
      <c r="GY17" s="123">
        <f>IF(OR(GY$4="",$B17=""),0,SUMIF('DADOS BRUTOS'!$A$3:$A$500,$B17,'DADOS BRUTOS'!DY$3:DY$500)+IF($C17="",0,SUMIF('DADOS BRUTOS'!$A$3:$A$500,$C17,'DADOS BRUTOS'!DY$3:DY$500)))</f>
        <v/>
      </c>
      <c r="GZ17" s="123">
        <f>IF(OR(GZ$4="",$B17=""),0,SUMIF('DADOS BRUTOS'!$A$3:$A$500,$B17,'DADOS BRUTOS'!DZ$3:DZ$500)+IF($C17="",0,SUMIF('DADOS BRUTOS'!$A$3:$A$500,$C17,'DADOS BRUTOS'!DZ$3:DZ$500)))</f>
        <v/>
      </c>
      <c r="HA17" s="123">
        <f>IF(OR(HA$4="",$B17=""),0,SUMIF('DADOS BRUTOS'!$A$3:$A$500,$B17,'DADOS BRUTOS'!EA$3:EA$500)+IF($C17="",0,SUMIF('DADOS BRUTOS'!$A$3:$A$500,$C17,'DADOS BRUTOS'!EA$3:EA$500)))</f>
        <v/>
      </c>
      <c r="HB17" s="123">
        <f>IF(OR(HB$4="",$B17=""),0,SUMIF('DADOS BRUTOS'!$A$3:$A$500,$B17,'DADOS BRUTOS'!EB$3:EB$500)+IF($C17="",0,SUMIF('DADOS BRUTOS'!$A$3:$A$500,$C17,'DADOS BRUTOS'!EB$3:EB$500)))</f>
        <v/>
      </c>
      <c r="HC17" s="123">
        <f>IF(OR(HC$4="",$B17=""),0,SUMIF('DADOS BRUTOS'!$A$3:$A$500,$B17,'DADOS BRUTOS'!EC$3:EC$500)+IF($C17="",0,SUMIF('DADOS BRUTOS'!$A$3:$A$500,$C17,'DADOS BRUTOS'!EC$3:EC$500)))</f>
        <v/>
      </c>
      <c r="HD17" s="123">
        <f>IF(OR(HD$4="",$B17=""),0,SUMIF('DADOS BRUTOS'!$A$3:$A$500,$B17,'DADOS BRUTOS'!ED$3:ED$500)+IF($C17="",0,SUMIF('DADOS BRUTOS'!$A$3:$A$500,$C17,'DADOS BRUTOS'!ED$3:ED$500)))</f>
        <v/>
      </c>
      <c r="HE17" s="123">
        <f>IF(OR(HE$4="",$B17=""),0,SUMIF('DADOS BRUTOS'!$A$3:$A$500,$B17,'DADOS BRUTOS'!EE$3:EE$500)+IF($C17="",0,SUMIF('DADOS BRUTOS'!$A$3:$A$500,$C17,'DADOS BRUTOS'!EE$3:EE$500)))</f>
        <v/>
      </c>
      <c r="HF17" s="123">
        <f>IF(OR(HF$4="",$B17=""),0,SUMIF('DADOS BRUTOS'!$A$3:$A$500,$B17,'DADOS BRUTOS'!EF$3:EF$500)+IF($C17="",0,SUMIF('DADOS BRUTOS'!$A$3:$A$500,$C17,'DADOS BRUTOS'!EF$3:EF$500)))</f>
        <v/>
      </c>
      <c r="HG17" s="123">
        <f>IF(OR(HG$4="",$B17=""),0,SUMIF('DADOS BRUTOS'!$A$3:$A$500,$B17,'DADOS BRUTOS'!EG$3:EG$500)+IF($C17="",0,SUMIF('DADOS BRUTOS'!$A$3:$A$500,$C17,'DADOS BRUTOS'!EG$3:EG$500)))</f>
        <v/>
      </c>
      <c r="HH17" s="123">
        <f>IF(OR(HH$4="",$B17=""),0,SUMIF('DADOS BRUTOS'!$A$3:$A$500,$B17,'DADOS BRUTOS'!EH$3:EH$500)+IF($C17="",0,SUMIF('DADOS BRUTOS'!$A$3:$A$500,$C17,'DADOS BRUTOS'!EH$3:EH$500)))</f>
        <v/>
      </c>
      <c r="HI17" s="123">
        <f>IF(OR(HI$4="",$B17=""),0,SUMIF('DADOS BRUTOS'!$A$3:$A$500,$B17,'DADOS BRUTOS'!EI$3:EI$500)+IF($C17="",0,SUMIF('DADOS BRUTOS'!$A$3:$A$500,$C17,'DADOS BRUTOS'!EI$3:EI$500)))</f>
        <v/>
      </c>
      <c r="HJ17" s="123">
        <f>IF(OR(HJ$4="",$B17=""),0,SUMIF('DADOS BRUTOS'!$A$3:$A$500,$B17,'DADOS BRUTOS'!EJ$3:EJ$500)+IF($C17="",0,SUMIF('DADOS BRUTOS'!$A$3:$A$500,$C17,'DADOS BRUTOS'!EJ$3:EJ$500)))</f>
        <v/>
      </c>
      <c r="HK17" s="123">
        <f>IF(OR(HK$4="",$B17=""),0,SUMIF('DADOS BRUTOS'!$A$3:$A$500,$B17,'DADOS BRUTOS'!EK$3:EK$500)+IF($C17="",0,SUMIF('DADOS BRUTOS'!$A$3:$A$500,$C17,'DADOS BRUTOS'!EK$3:EK$500)))</f>
        <v/>
      </c>
      <c r="HL17" s="123">
        <f>IF(OR(HL$4="",$B17=""),0,SUMIF('DADOS BRUTOS'!$A$3:$A$500,$B17,'DADOS BRUTOS'!EL$3:EL$500)+IF($C17="",0,SUMIF('DADOS BRUTOS'!$A$3:$A$500,$C17,'DADOS BRUTOS'!EL$3:EL$500)))</f>
        <v/>
      </c>
      <c r="HM17" s="123">
        <f>IF(OR(HM$4="",$B17=""),0,SUMIF('DADOS BRUTOS'!$A$3:$A$500,$B17,'DADOS BRUTOS'!EM$3:EM$500)+IF($C17="",0,SUMIF('DADOS BRUTOS'!$A$3:$A$500,$C17,'DADOS BRUTOS'!EM$3:EM$500)))</f>
        <v/>
      </c>
      <c r="HN17" s="123">
        <f>IF(OR(HN$4="",$B17=""),0,SUMIF('DADOS BRUTOS'!$A$3:$A$500,$B17,'DADOS BRUTOS'!EN$3:EN$500)+IF($C17="",0,SUMIF('DADOS BRUTOS'!$A$3:$A$500,$C17,'DADOS BRUTOS'!EN$3:EN$500)))</f>
        <v/>
      </c>
      <c r="HO17" s="123">
        <f>IF(OR(HO$4="",$B17=""),0,SUMIF('DADOS BRUTOS'!$A$3:$A$500,$B17,'DADOS BRUTOS'!EO$3:EO$500)+IF($C17="",0,SUMIF('DADOS BRUTOS'!$A$3:$A$500,$C17,'DADOS BRUTOS'!EO$3:EO$500)))</f>
        <v/>
      </c>
      <c r="HP17" s="123">
        <f>IF(OR(HP$4="",$B17=""),0,SUMIF('DADOS BRUTOS'!$A$3:$A$500,$B17,'DADOS BRUTOS'!EP$3:EP$500)+IF($C17="",0,SUMIF('DADOS BRUTOS'!$A$3:$A$500,$C17,'DADOS BRUTOS'!EP$3:EP$500)))</f>
        <v/>
      </c>
      <c r="HQ17" s="123">
        <f>IF(OR(HQ$4="",$B17=""),0,SUMIF('DADOS BRUTOS'!$A$3:$A$500,$B17,'DADOS BRUTOS'!EQ$3:EQ$500)+IF($C17="",0,SUMIF('DADOS BRUTOS'!$A$3:$A$500,$C17,'DADOS BRUTOS'!EQ$3:EQ$500)))</f>
        <v/>
      </c>
      <c r="HR17" s="123">
        <f>IF(OR(HR$4="",$B17=""),0,SUMIF('DADOS BRUTOS'!$A$3:$A$500,$B17,'DADOS BRUTOS'!ER$3:ER$500)+IF($C17="",0,SUMIF('DADOS BRUTOS'!$A$3:$A$500,$C17,'DADOS BRUTOS'!ER$3:ER$500)))</f>
        <v/>
      </c>
      <c r="HS17" s="123">
        <f>IF(OR(HS$4="",$B17=""),0,SUMIF('DADOS BRUTOS'!$A$3:$A$500,$B17,'DADOS BRUTOS'!ES$3:ES$500)+IF($C17="",0,SUMIF('DADOS BRUTOS'!$A$3:$A$500,$C17,'DADOS BRUTOS'!ES$3:ES$500)))</f>
        <v/>
      </c>
      <c r="HT17" s="123">
        <f>IF(OR(HT$4="",$B17=""),0,SUMIF('DADOS BRUTOS'!$A$3:$A$500,$B17,'DADOS BRUTOS'!ET$3:ET$500)+IF($C17="",0,SUMIF('DADOS BRUTOS'!$A$3:$A$500,$C17,'DADOS BRUTOS'!ET$3:ET$500)))</f>
        <v/>
      </c>
      <c r="HU17" s="123">
        <f>IF(OR(HU$4="",$B17=""),0,SUMIF('DADOS BRUTOS'!$A$3:$A$500,$B17,'DADOS BRUTOS'!EU$3:EU$500)+IF($C17="",0,SUMIF('DADOS BRUTOS'!$A$3:$A$500,$C17,'DADOS BRUTOS'!EU$3:EU$500)))</f>
        <v/>
      </c>
      <c r="HV17" s="123">
        <f>IF(OR(HV$4="",$B17=""),0,SUMIF('DADOS BRUTOS'!$A$3:$A$500,$B17,'DADOS BRUTOS'!EV$3:EV$500)+IF($C17="",0,SUMIF('DADOS BRUTOS'!$A$3:$A$500,$C17,'DADOS BRUTOS'!EV$3:EV$500)))</f>
        <v/>
      </c>
      <c r="HW17" s="123">
        <f>IF(OR(HW$4="",$B17=""),0,SUMIF('DADOS BRUTOS'!$A$3:$A$500,$B17,'DADOS BRUTOS'!EW$3:EW$500)+IF($C17="",0,SUMIF('DADOS BRUTOS'!$A$3:$A$500,$C17,'DADOS BRUTOS'!EW$3:EW$500)))</f>
        <v/>
      </c>
      <c r="HX17" s="123">
        <f>IF(OR(HX$4="",$B17=""),0,SUMIF('DADOS BRUTOS'!$A$3:$A$500,$B17,'DADOS BRUTOS'!EX$3:EX$500)+IF($C17="",0,SUMIF('DADOS BRUTOS'!$A$3:$A$500,$C17,'DADOS BRUTOS'!EX$3:EX$500)))</f>
        <v/>
      </c>
      <c r="HY17" s="123">
        <f>IF(OR(HY$4="",$B17=""),0,SUMIF('DADOS BRUTOS'!$A$3:$A$500,$B17,'DADOS BRUTOS'!EY$3:EY$500)+IF($C17="",0,SUMIF('DADOS BRUTOS'!$A$3:$A$500,$C17,'DADOS BRUTOS'!EY$3:EY$500)))</f>
        <v/>
      </c>
      <c r="HZ17" s="123">
        <f>IF(OR(HZ$4="",$B17=""),0,SUMIF('DADOS BRUTOS'!$A$3:$A$500,$B17,'DADOS BRUTOS'!EZ$3:EZ$500)+IF($C17="",0,SUMIF('DADOS BRUTOS'!$A$3:$A$500,$C17,'DADOS BRUTOS'!EZ$3:EZ$500)))</f>
        <v/>
      </c>
      <c r="IA17" s="123">
        <f>IF(OR(IA$4="",$B17=""),0,SUMIF('DADOS BRUTOS'!$A$3:$A$500,$B17,'DADOS BRUTOS'!FA$3:FA$500)+IF($C17="",0,SUMIF('DADOS BRUTOS'!$A$3:$A$500,$C17,'DADOS BRUTOS'!FA$3:FA$500)))</f>
        <v/>
      </c>
      <c r="IB17" s="123">
        <f>IF(OR(IB$4="",$B17=""),0,SUMIF('DADOS BRUTOS'!$A$3:$A$500,$B17,'DADOS BRUTOS'!FB$3:FB$500)+IF($C17="",0,SUMIF('DADOS BRUTOS'!$A$3:$A$500,$C17,'DADOS BRUTOS'!FB$3:FB$500)))</f>
        <v/>
      </c>
      <c r="IC17" s="123">
        <f>IF(OR(IC$4="",$B17=""),0,SUMIF('DADOS BRUTOS'!$A$3:$A$500,$B17,'DADOS BRUTOS'!FC$3:FC$500)+IF($C17="",0,SUMIF('DADOS BRUTOS'!$A$3:$A$500,$C17,'DADOS BRUTOS'!FC$3:FC$500)))</f>
        <v/>
      </c>
      <c r="ID17" s="123">
        <f>IF(OR(ID$4="",$B17=""),0,SUMIF('DADOS BRUTOS'!$A$3:$A$500,$B17,'DADOS BRUTOS'!FD$3:FD$500)+IF($C17="",0,SUMIF('DADOS BRUTOS'!$A$3:$A$500,$C17,'DADOS BRUTOS'!FD$3:FD$500)))</f>
        <v/>
      </c>
      <c r="IE17" s="123">
        <f>IF(OR(IE$4="",$B17=""),0,SUMIF('DADOS BRUTOS'!$A$3:$A$500,$B17,'DADOS BRUTOS'!FE$3:FE$500)+IF($C17="",0,SUMIF('DADOS BRUTOS'!$A$3:$A$500,$C17,'DADOS BRUTOS'!FE$3:FE$500)))</f>
        <v/>
      </c>
      <c r="IF17" s="123">
        <f>IF(OR(IF$4="",$B17=""),0,SUMIF('DADOS BRUTOS'!$A$3:$A$500,$B17,'DADOS BRUTOS'!FF$3:FF$500)+IF($C17="",0,SUMIF('DADOS BRUTOS'!$A$3:$A$500,$C17,'DADOS BRUTOS'!FF$3:FF$500)))</f>
        <v/>
      </c>
      <c r="IG17" s="123">
        <f>IF(OR(IG$4="",$B17=""),0,SUMIF('DADOS BRUTOS'!$A$3:$A$500,$B17,'DADOS BRUTOS'!FG$3:FG$500)+IF($C17="",0,SUMIF('DADOS BRUTOS'!$A$3:$A$500,$C17,'DADOS BRUTOS'!FG$3:FG$500)))</f>
        <v/>
      </c>
      <c r="IH17" s="123">
        <f>IF(OR(IH$4="",$B17=""),0,SUMIF('DADOS BRUTOS'!$A$3:$A$500,$B17,'DADOS BRUTOS'!FH$3:FH$500)+IF($C17="",0,SUMIF('DADOS BRUTOS'!$A$3:$A$500,$C17,'DADOS BRUTOS'!FH$3:FH$500)))</f>
        <v/>
      </c>
      <c r="II17" s="123">
        <f>IF(OR(II$4="",$B17=""),0,SUMIF('DADOS BRUTOS'!$A$3:$A$500,$B17,'DADOS BRUTOS'!FI$3:FI$500)+IF($C17="",0,SUMIF('DADOS BRUTOS'!$A$3:$A$500,$C17,'DADOS BRUTOS'!FI$3:FI$500)))</f>
        <v/>
      </c>
      <c r="IJ17" s="123">
        <f>IF(OR(IJ$4="",$B17=""),0,SUMIF('DADOS BRUTOS'!$A$3:$A$500,$B17,'DADOS BRUTOS'!FJ$3:FJ$500)+IF($C17="",0,SUMIF('DADOS BRUTOS'!$A$3:$A$500,$C17,'DADOS BRUTOS'!FJ$3:FJ$500)))</f>
        <v/>
      </c>
      <c r="IK17" s="123">
        <f>IF(OR(IK$4="",$B17=""),0,SUMIF('DADOS BRUTOS'!$A$3:$A$500,$B17,'DADOS BRUTOS'!FK$3:FK$500)+IF($C17="",0,SUMIF('DADOS BRUTOS'!$A$3:$A$500,$C17,'DADOS BRUTOS'!FK$3:FK$500)))</f>
        <v/>
      </c>
      <c r="IL17" s="123">
        <f>IF(OR(IL$4="",$B17=""),0,SUMIF('DADOS BRUTOS'!$A$3:$A$500,$B17,'DADOS BRUTOS'!FL$3:FL$500)+IF($C17="",0,SUMIF('DADOS BRUTOS'!$A$3:$A$500,$C17,'DADOS BRUTOS'!FL$3:FL$500)))</f>
        <v/>
      </c>
      <c r="IM17" s="123">
        <f>IF(OR(IM$4="",$B17=""),0,SUMIF('DADOS BRUTOS'!$A$3:$A$500,$B17,'DADOS BRUTOS'!FM$3:FM$500)+IF($C17="",0,SUMIF('DADOS BRUTOS'!$A$3:$A$500,$C17,'DADOS BRUTOS'!FM$3:FM$500)))</f>
        <v/>
      </c>
      <c r="IN17" s="123">
        <f>IF(OR(IN$4="",$B17=""),0,SUMIF('DADOS BRUTOS'!$A$3:$A$500,$B17,'DADOS BRUTOS'!FN$3:FN$500)+IF($C17="",0,SUMIF('DADOS BRUTOS'!$A$3:$A$500,$C17,'DADOS BRUTOS'!FN$3:FN$500)))</f>
        <v/>
      </c>
      <c r="IO17" s="123">
        <f>IF(OR(IO$4="",$B17=""),0,SUMIF('DADOS BRUTOS'!$A$3:$A$500,$B17,'DADOS BRUTOS'!FO$3:FO$500)+IF($C17="",0,SUMIF('DADOS BRUTOS'!$A$3:$A$500,$C17,'DADOS BRUTOS'!FO$3:FO$500)))</f>
        <v/>
      </c>
      <c r="IP17" s="123">
        <f>IF(OR(IP$4="",$B17=""),0,SUMIF('DADOS BRUTOS'!$A$3:$A$500,$B17,'DADOS BRUTOS'!FP$3:FP$500)+IF($C17="",0,SUMIF('DADOS BRUTOS'!$A$3:$A$500,$C17,'DADOS BRUTOS'!FP$3:FP$500)))</f>
        <v/>
      </c>
      <c r="IQ17" s="123">
        <f>IF(OR(IQ$4="",$B17=""),0,SUMIF('DADOS BRUTOS'!$A$3:$A$500,$B17,'DADOS BRUTOS'!FQ$3:FQ$500)+IF($C17="",0,SUMIF('DADOS BRUTOS'!$A$3:$A$500,$C17,'DADOS BRUTOS'!FQ$3:FQ$500)))</f>
        <v/>
      </c>
      <c r="IR17" s="123">
        <f>IF(OR(IR$4="",$B17=""),0,SUMIF('DADOS BRUTOS'!$A$3:$A$500,$B17,'DADOS BRUTOS'!FR$3:FR$500)+IF($C17="",0,SUMIF('DADOS BRUTOS'!$A$3:$A$500,$C17,'DADOS BRUTOS'!FR$3:FR$500)))</f>
        <v/>
      </c>
      <c r="IS17" s="123">
        <f>IF(OR(IS$4="",$B17=""),0,SUMIF('DADOS BRUTOS'!$A$3:$A$500,$B17,'DADOS BRUTOS'!FS$3:FS$500)+IF($C17="",0,SUMIF('DADOS BRUTOS'!$A$3:$A$500,$C17,'DADOS BRUTOS'!FS$3:FS$500)))</f>
        <v/>
      </c>
      <c r="IT17" s="123">
        <f>IF(OR(IT$4="",$B17=""),0,SUMIF('DADOS BRUTOS'!$A$3:$A$500,$B17,'DADOS BRUTOS'!FT$3:FT$500)+IF($C17="",0,SUMIF('DADOS BRUTOS'!$A$3:$A$500,$C17,'DADOS BRUTOS'!FT$3:FT$500)))</f>
        <v/>
      </c>
      <c r="IU17" s="123">
        <f>IF(OR(IU$4="",$B17=""),0,SUMIF('DADOS BRUTOS'!$A$3:$A$500,$B17,'DADOS BRUTOS'!FU$3:FU$500)+IF($C17="",0,SUMIF('DADOS BRUTOS'!$A$3:$A$500,$C17,'DADOS BRUTOS'!FU$3:FU$500)))</f>
        <v/>
      </c>
      <c r="IV17" s="123">
        <f>IF(OR(IV$4="",$B17=""),0,SUMIF('DADOS BRUTOS'!$A$3:$A$500,$B17,'DADOS BRUTOS'!FV$3:FV$500)+IF($C17="",0,SUMIF('DADOS BRUTOS'!$A$3:$A$500,$C17,'DADOS BRUTOS'!FV$3:FV$500)))</f>
        <v/>
      </c>
      <c r="IW17" s="123">
        <f>IF(OR(IW$4="",$B17=""),0,SUMIF('DADOS BRUTOS'!$A$3:$A$500,$B17,'DADOS BRUTOS'!FW$3:FW$500)+IF($C17="",0,SUMIF('DADOS BRUTOS'!$A$3:$A$500,$C17,'DADOS BRUTOS'!FW$3:FW$500)))</f>
        <v/>
      </c>
      <c r="IX17" s="123">
        <f>IF(OR(IX$4="",$B17=""),0,SUMIF('DADOS BRUTOS'!$A$3:$A$500,$B17,'DADOS BRUTOS'!FX$3:FX$500)+IF($C17="",0,SUMIF('DADOS BRUTOS'!$A$3:$A$500,$C17,'DADOS BRUTOS'!FX$3:FX$500)))</f>
        <v/>
      </c>
      <c r="IY17" s="123">
        <f>IF(OR(IY$4="",$B17=""),0,SUMIF('DADOS BRUTOS'!$A$3:$A$500,$B17,'DADOS BRUTOS'!FY$3:FY$500)+IF($C17="",0,SUMIF('DADOS BRUTOS'!$A$3:$A$500,$C17,'DADOS BRUTOS'!FY$3:FY$500)))</f>
        <v/>
      </c>
      <c r="IZ17" s="123">
        <f>IF(OR(IZ$4="",$B17=""),0,SUMIF('DADOS BRUTOS'!$A$3:$A$500,$B17,'DADOS BRUTOS'!FZ$3:FZ$500)+IF($C17="",0,SUMIF('DADOS BRUTOS'!$A$3:$A$500,$C17,'DADOS BRUTOS'!FZ$3:FZ$500)))</f>
        <v/>
      </c>
      <c r="JA17" s="123">
        <f>IF(OR(JA$4="",$B17=""),0,SUMIF('DADOS BRUTOS'!$A$3:$A$500,$B17,'DADOS BRUTOS'!GA$3:GA$500)+IF($C17="",0,SUMIF('DADOS BRUTOS'!$A$3:$A$500,$C17,'DADOS BRUTOS'!GA$3:GA$500)))</f>
        <v/>
      </c>
      <c r="JB17" s="123">
        <f>IF(OR(JB$4="",$B17=""),0,SUMIF('DADOS BRUTOS'!$A$3:$A$500,$B17,'DADOS BRUTOS'!GB$3:GB$500)+IF($C17="",0,SUMIF('DADOS BRUTOS'!$A$3:$A$500,$C17,'DADOS BRUTOS'!GB$3:GB$500)))</f>
        <v/>
      </c>
      <c r="JC17" s="123">
        <f>IF(OR(JC$4="",$B17=""),0,SUMIF('DADOS BRUTOS'!$A$3:$A$500,$B17,'DADOS BRUTOS'!GC$3:GC$500)+IF($C17="",0,SUMIF('DADOS BRUTOS'!$A$3:$A$500,$C17,'DADOS BRUTOS'!GC$3:GC$500)))</f>
        <v/>
      </c>
      <c r="JD17" s="123">
        <f>IF(OR(JD$4="",$B17=""),0,SUMIF('DADOS BRUTOS'!$A$3:$A$500,$B17,'DADOS BRUTOS'!GD$3:GD$500)+IF($C17="",0,SUMIF('DADOS BRUTOS'!$A$3:$A$500,$C17,'DADOS BRUTOS'!GD$3:GD$500)))</f>
        <v/>
      </c>
      <c r="JE17" s="123">
        <f>IF(OR(JE$4="",$B17=""),0,SUMIF('DADOS BRUTOS'!$A$3:$A$500,$B17,'DADOS BRUTOS'!GE$3:GE$500)+IF($C17="",0,SUMIF('DADOS BRUTOS'!$A$3:$A$500,$C17,'DADOS BRUTOS'!GE$3:GE$500)))</f>
        <v/>
      </c>
      <c r="JF17" s="123">
        <f>IF(OR(JF$4="",$B17=""),0,SUMIF('DADOS BRUTOS'!$A$3:$A$500,$B17,'DADOS BRUTOS'!GF$3:GF$500)+IF($C17="",0,SUMIF('DADOS BRUTOS'!$A$3:$A$500,$C17,'DADOS BRUTOS'!GF$3:GF$500)))</f>
        <v/>
      </c>
      <c r="JG17" s="123">
        <f>IF(OR(JG$4="",$B17=""),0,SUMIF('DADOS BRUTOS'!$A$3:$A$500,$B17,'DADOS BRUTOS'!GG$3:GG$500)+IF($C17="",0,SUMIF('DADOS BRUTOS'!$A$3:$A$500,$C17,'DADOS BRUTOS'!GG$3:GG$500)))</f>
        <v/>
      </c>
      <c r="JH17" s="123">
        <f>IF(OR(JH$4="",$B17=""),0,SUMIF('DADOS BRUTOS'!$A$3:$A$500,$B17,'DADOS BRUTOS'!GH$3:GH$500)+IF($C17="",0,SUMIF('DADOS BRUTOS'!$A$3:$A$500,$C17,'DADOS BRUTOS'!GH$3:GH$500)))</f>
        <v/>
      </c>
      <c r="JI17" s="123">
        <f>IF(OR(JI$4="",$B17=""),0,SUMIF('DADOS BRUTOS'!$A$3:$A$500,$B17,'DADOS BRUTOS'!GI$3:GI$500)+IF($C17="",0,SUMIF('DADOS BRUTOS'!$A$3:$A$500,$C17,'DADOS BRUTOS'!GI$3:GI$500)))</f>
        <v/>
      </c>
      <c r="JJ17" s="123">
        <f>IF(OR(JJ$4="",$B17=""),0,SUMIF('DADOS BRUTOS'!$A$3:$A$500,$B17,'DADOS BRUTOS'!GJ$3:GJ$500)+IF($C17="",0,SUMIF('DADOS BRUTOS'!$A$3:$A$500,$C17,'DADOS BRUTOS'!GJ$3:GJ$500)))</f>
        <v/>
      </c>
      <c r="JK17" s="123">
        <f>IF(OR(JK$4="",$B17=""),0,SUMIF('DADOS BRUTOS'!$A$3:$A$500,$B17,'DADOS BRUTOS'!GK$3:GK$500)+IF($C17="",0,SUMIF('DADOS BRUTOS'!$A$3:$A$500,$C17,'DADOS BRUTOS'!GK$3:GK$500)))</f>
        <v/>
      </c>
      <c r="JL17" s="123">
        <f>IF(OR(JL$4="",$B17=""),0,SUMIF('DADOS BRUTOS'!$A$3:$A$500,$B17,'DADOS BRUTOS'!GL$3:GL$500)+IF($C17="",0,SUMIF('DADOS BRUTOS'!$A$3:$A$500,$C17,'DADOS BRUTOS'!GL$3:GL$500)))</f>
        <v/>
      </c>
      <c r="JM17" s="123">
        <f>IF(OR(JM$4="",$B17=""),0,SUMIF('DADOS BRUTOS'!$A$3:$A$500,$B17,'DADOS BRUTOS'!GM$3:GM$500)+IF($C17="",0,SUMIF('DADOS BRUTOS'!$A$3:$A$500,$C17,'DADOS BRUTOS'!GM$3:GM$500)))</f>
        <v/>
      </c>
      <c r="JN17" s="123">
        <f>IF(OR(JN$4="",$B17=""),0,SUMIF('DADOS BRUTOS'!$A$3:$A$500,$B17,'DADOS BRUTOS'!GN$3:GN$500)+IF($C17="",0,SUMIF('DADOS BRUTOS'!$A$3:$A$500,$C17,'DADOS BRUTOS'!GN$3:GN$500)))</f>
        <v/>
      </c>
      <c r="JO17" s="123">
        <f>IF(OR(JO$4="",$B17=""),0,SUMIF('DADOS BRUTOS'!$A$3:$A$500,$B17,'DADOS BRUTOS'!GO$3:GO$500)+IF($C17="",0,SUMIF('DADOS BRUTOS'!$A$3:$A$500,$C17,'DADOS BRUTOS'!GO$3:GO$500)))</f>
        <v/>
      </c>
      <c r="JP17" s="123">
        <f>IF(OR(JP$4="",$B17=""),0,SUMIF('DADOS BRUTOS'!$A$3:$A$500,$B17,'DADOS BRUTOS'!GP$3:GP$500)+IF($C17="",0,SUMIF('DADOS BRUTOS'!$A$3:$A$500,$C17,'DADOS BRUTOS'!GP$3:GP$500)))</f>
        <v/>
      </c>
      <c r="JQ17" s="123">
        <f>IF(OR(JQ$4="",$B17=""),0,SUMIF('DADOS BRUTOS'!$A$3:$A$500,$B17,'DADOS BRUTOS'!GQ$3:GQ$500)+IF($C17="",0,SUMIF('DADOS BRUTOS'!$A$3:$A$500,$C17,'DADOS BRUTOS'!GQ$3:GQ$500)))</f>
        <v/>
      </c>
      <c r="JR17" s="123">
        <f>IF(OR(JR$4="",$B17=""),0,SUMIF('DADOS BRUTOS'!$A$3:$A$500,$B17,'DADOS BRUTOS'!GR$3:GR$500)+IF($C17="",0,SUMIF('DADOS BRUTOS'!$A$3:$A$500,$C17,'DADOS BRUTOS'!GR$3:GR$500)))</f>
        <v/>
      </c>
      <c r="JS17" s="123">
        <f>IF(OR(JS$4="",$B17=""),0,SUMIF('DADOS BRUTOS'!$A$3:$A$500,$B17,'DADOS BRUTOS'!GS$3:GS$500)+IF($C17="",0,SUMIF('DADOS BRUTOS'!$A$3:$A$500,$C17,'DADOS BRUTOS'!GS$3:GS$500)))</f>
        <v/>
      </c>
    </row>
    <row r="18">
      <c r="A18" s="61">
        <f>'VALOR POR PL'!D24</f>
        <v/>
      </c>
      <c r="B18" s="60" t="inlineStr">
        <is>
          <t>TERRAPLENAGEM</t>
        </is>
      </c>
      <c r="C18" s="60" t="n"/>
      <c r="D18" s="55">
        <f>SUMIF($CB$4:$JS$4,"&lt;="&amp;D$4,$CB18:$JS18)</f>
        <v/>
      </c>
      <c r="E18" s="55">
        <f>SUMIF($CB$4:$JS$4,E$4,$CB18:$JS18)</f>
        <v/>
      </c>
      <c r="F18" s="55">
        <f>SUMIF($CB$4:$JS$4,F$4,$CB18:$JS18)</f>
        <v/>
      </c>
      <c r="G18" s="55">
        <f>SUMIF($CB$4:$JS$4,G$4,$CB18:$JS18)</f>
        <v/>
      </c>
      <c r="H18" s="55">
        <f>SUMIF($CB$4:$JS$4,H$4,$CB18:$JS18)</f>
        <v/>
      </c>
      <c r="I18" s="55">
        <f>SUMIF($CB$4:$JS$4,I$4,$CB18:$JS18)</f>
        <v/>
      </c>
      <c r="J18" s="55">
        <f>SUMIF($CB$4:$JS$4,J$4,$CB18:$JS18)</f>
        <v/>
      </c>
      <c r="K18" s="55">
        <f>SUMIF($CB$4:$JS$4,K$4,$CB18:$JS18)</f>
        <v/>
      </c>
      <c r="L18" s="55">
        <f>SUMIF($CB$4:$JS$4,L$4,$CB18:$JS18)</f>
        <v/>
      </c>
      <c r="M18" s="55">
        <f>SUMIF($CB$4:$JS$4,M$4,$CB18:$JS18)</f>
        <v/>
      </c>
      <c r="N18" s="55">
        <f>SUMIF($CB$4:$JS$4,N$4,$CB18:$JS18)</f>
        <v/>
      </c>
      <c r="O18" s="55">
        <f>SUMIF($CB$4:$JS$4,O$4,$CB18:$JS18)</f>
        <v/>
      </c>
      <c r="P18" s="55">
        <f>SUMIF($CB$4:$JS$4,P$4,$CB18:$JS18)</f>
        <v/>
      </c>
      <c r="Q18" s="55">
        <f>SUMIF($CB$4:$JS$4,Q$4,$CB18:$JS18)</f>
        <v/>
      </c>
      <c r="R18" s="55">
        <f>SUMIF($CB$4:$JS$4,R$4,$CB18:$JS18)</f>
        <v/>
      </c>
      <c r="S18" s="55">
        <f>SUMIF($CB$4:$JS$4,S$4,$CB18:$JS18)</f>
        <v/>
      </c>
      <c r="T18" s="55">
        <f>SUMIF($CB$4:$JS$4,T$4,$CB18:$JS18)</f>
        <v/>
      </c>
      <c r="U18" s="55">
        <f>SUMIF($CB$4:$JS$4,U$4,$CB18:$JS18)</f>
        <v/>
      </c>
      <c r="V18" s="55">
        <f>SUMIF($CB$4:$JS$4,V$4,$CB18:$JS18)</f>
        <v/>
      </c>
      <c r="W18" s="55">
        <f>SUMIF($CB$4:$JS$4,W$4,$CB18:$JS18)</f>
        <v/>
      </c>
      <c r="X18" s="55">
        <f>SUMIF($CB$4:$JS$4,X$4,$CB18:$JS18)</f>
        <v/>
      </c>
      <c r="Y18" s="55">
        <f>SUMIF($CB$4:$JS$4,Y$4,$CB18:$JS18)</f>
        <v/>
      </c>
      <c r="Z18" s="55">
        <f>SUMIF($CB$4:$JS$4,Z$4,$CB18:$JS18)</f>
        <v/>
      </c>
      <c r="AA18" s="55">
        <f>SUMIF($CB$4:$JS$4,AA$4,$CB18:$JS18)</f>
        <v/>
      </c>
      <c r="AB18" s="55">
        <f>SUMIF($CB$4:$JS$4,AB$4,$CB18:$JS18)</f>
        <v/>
      </c>
      <c r="AC18" s="55">
        <f>SUMIF($CB$4:$JS$4,AC$4,$CB18:$JS18)</f>
        <v/>
      </c>
      <c r="AD18" s="55">
        <f>SUMIF($CB$4:$JS$4,AD$4,$CB18:$JS18)</f>
        <v/>
      </c>
      <c r="AE18" s="55">
        <f>SUMIF($CB$4:$JS$4,AE$4,$CB18:$JS18)</f>
        <v/>
      </c>
      <c r="AF18" s="55">
        <f>SUMIF($CB$4:$JS$4,AF$4,$CB18:$JS18)</f>
        <v/>
      </c>
      <c r="AG18" s="55">
        <f>SUMIF($CB$4:$JS$4,AG$4,$CB18:$JS18)</f>
        <v/>
      </c>
      <c r="AH18" s="55">
        <f>SUMIF($CB$4:$JS$4,AH$4,$CB18:$JS18)</f>
        <v/>
      </c>
      <c r="AI18" s="55">
        <f>SUMIF($CB$4:$JS$4,AI$4,$CB18:$JS18)</f>
        <v/>
      </c>
      <c r="AJ18" s="55">
        <f>SUMIF($CB$4:$JS$4,AJ$4,$CB18:$JS18)</f>
        <v/>
      </c>
      <c r="AK18" s="55">
        <f>SUMIF($CB$4:$JS$4,AK$4,$CB18:$JS18)</f>
        <v/>
      </c>
      <c r="AL18" s="55">
        <f>SUMIF($CB$4:$JS$4,AL$4,$CB18:$JS18)</f>
        <v/>
      </c>
      <c r="AM18" s="55">
        <f>SUMIF($CB$4:$JS$4,AM$4,$CB18:$JS18)</f>
        <v/>
      </c>
      <c r="AN18" s="55">
        <f>SUMIF($CB$4:$JS$4,AN$4,$CB18:$JS18)</f>
        <v/>
      </c>
      <c r="AO18" s="55">
        <f>SUMIF($CB$4:$JS$4,AO$4,$CB18:$JS18)</f>
        <v/>
      </c>
      <c r="AP18" s="55">
        <f>SUMIF($CB$4:$JS$4,AP$4,$CB18:$JS18)</f>
        <v/>
      </c>
      <c r="AQ18" s="55">
        <f>SUMIF($CB$4:$JS$4,AQ$4,$CB18:$JS18)</f>
        <v/>
      </c>
      <c r="AR18" s="55">
        <f>SUMIF($CB$4:$JS$4,AR$4,$CB18:$JS18)</f>
        <v/>
      </c>
      <c r="AS18" s="55">
        <f>SUMIF($CB$4:$JS$4,AS$4,$CB18:$JS18)</f>
        <v/>
      </c>
      <c r="AT18" s="55">
        <f>SUMIF($CB$4:$JS$4,AT$4,$CB18:$JS18)</f>
        <v/>
      </c>
      <c r="AU18" s="55">
        <f>SUMIF($CB$4:$JS$4,AU$4,$CB18:$JS18)</f>
        <v/>
      </c>
      <c r="AV18" s="55">
        <f>SUMIF($CB$4:$JS$4,AV$4,$CB18:$JS18)</f>
        <v/>
      </c>
      <c r="AW18" s="55">
        <f>SUMIF($CB$4:$JS$4,AW$4,$CB18:$JS18)</f>
        <v/>
      </c>
      <c r="AX18" s="55">
        <f>SUMIF($CB$4:$JS$4,AX$4,$CB18:$JS18)</f>
        <v/>
      </c>
      <c r="AY18" s="55">
        <f>SUMIF($CB$4:$JS$4,AY$4,$CB18:$JS18)</f>
        <v/>
      </c>
      <c r="AZ18" s="55">
        <f>SUMIF($CB$4:$JS$4,AZ$4,$CB18:$JS18)</f>
        <v/>
      </c>
      <c r="BA18" s="55">
        <f>SUMIF($CB$4:$JS$4,BA$4,$CB18:$JS18)</f>
        <v/>
      </c>
      <c r="BB18" s="55">
        <f>SUMIF($CB$4:$JS$4,BB$4,$CB18:$JS18)</f>
        <v/>
      </c>
      <c r="BC18" s="55">
        <f>SUMIF($CB$4:$JS$4,BC$4,$CB18:$JS18)</f>
        <v/>
      </c>
      <c r="BD18" s="55">
        <f>SUMIF($CB$4:$JS$4,BD$4,$CB18:$JS18)</f>
        <v/>
      </c>
      <c r="BE18" s="55">
        <f>SUMIF($CB$4:$JS$4,BE$4,$CB18:$JS18)</f>
        <v/>
      </c>
      <c r="BF18" s="55">
        <f>SUMIF($CB$4:$JS$4,BF$4,$CB18:$JS18)</f>
        <v/>
      </c>
      <c r="BG18" s="55">
        <f>SUMIF($CB$4:$JS$4,BG$4,$CB18:$JS18)</f>
        <v/>
      </c>
      <c r="BH18" s="55">
        <f>SUMIF($CB$4:$JS$4,BH$4,$CB18:$JS18)</f>
        <v/>
      </c>
      <c r="BI18" s="55">
        <f>SUMIF($CB$4:$JS$4,BI$4,$CB18:$JS18)</f>
        <v/>
      </c>
      <c r="BJ18" s="55">
        <f>SUMIF($CB$4:$JS$4,BJ$4,$CB18:$JS18)</f>
        <v/>
      </c>
      <c r="BK18" s="55">
        <f>SUMIF($CB$4:$JS$4,BK$4,$CB18:$JS18)</f>
        <v/>
      </c>
      <c r="BL18" s="55">
        <f>SUMIF($CB$4:$JS$4,BL$4,$CB18:$JS18)</f>
        <v/>
      </c>
      <c r="BM18" s="55">
        <f>SUMIF($CB$4:$JS$4,BM$4,$CB18:$JS18)</f>
        <v/>
      </c>
      <c r="BN18" s="55">
        <f>SUMIF($CB$4:$JS$4,BN$4,$CB18:$JS18)</f>
        <v/>
      </c>
      <c r="BO18" s="55">
        <f>SUMIF($CB$4:$JS$4,BO$4,$CB18:$JS18)</f>
        <v/>
      </c>
      <c r="BP18" s="55">
        <f>SUMIF($CB$4:$JS$4,BP$4,$CB18:$JS18)</f>
        <v/>
      </c>
      <c r="BQ18" s="55">
        <f>SUMIF($CB$4:$JS$4,BQ$4,$CB18:$JS18)</f>
        <v/>
      </c>
      <c r="BR18" s="55">
        <f>SUMIF($CB$4:$JS$4,BR$4,$CB18:$JS18)</f>
        <v/>
      </c>
      <c r="BS18" s="55">
        <f>SUMIF($CB$4:$JS$4,BS$4,$CB18:$JS18)</f>
        <v/>
      </c>
      <c r="BT18" s="55">
        <f>SUMIF($CB$4:$JS$4,BT$4,$CB18:$JS18)</f>
        <v/>
      </c>
      <c r="BU18" s="55">
        <f>SUMIF($CB$4:$JS$4,BU$4,$CB18:$JS18)</f>
        <v/>
      </c>
      <c r="BV18" s="55">
        <f>SUMIF($CB$4:$JS$4,BV$4,$CB18:$JS18)</f>
        <v/>
      </c>
      <c r="BW18" s="55">
        <f>SUMIF($CB$4:$JS$4,BW$4,$CB18:$JS18)</f>
        <v/>
      </c>
      <c r="BX18" s="55">
        <f>SUMIF($CB$4:$JS$4,"&gt;"&amp;'VALOR POR PL'!$P$8,$CB18:$JS18)</f>
        <v/>
      </c>
      <c r="BY18" s="55">
        <f>SUM($CB18:$JS18)</f>
        <v/>
      </c>
      <c r="CB18" s="123">
        <f>IF(OR(CB$4="",$B18=""),0,SUMIF('DADOS BRUTOS'!$A$3:$A$500,$B18,'DADOS BRUTOS'!B$3:B$500)+IF($C18="",0,SUMIF('DADOS BRUTOS'!$A$3:$A$500,$C18,'DADOS BRUTOS'!B$3:B$500)))</f>
        <v/>
      </c>
      <c r="CC18" s="123">
        <f>IF(OR(CC$4="",$B18=""),0,SUMIF('DADOS BRUTOS'!$A$3:$A$500,$B18,'DADOS BRUTOS'!C$3:C$500)+IF($C18="",0,SUMIF('DADOS BRUTOS'!$A$3:$A$500,$C18,'DADOS BRUTOS'!C$3:C$500)))</f>
        <v/>
      </c>
      <c r="CD18" s="123">
        <f>IF(OR(CD$4="",$B18=""),0,SUMIF('DADOS BRUTOS'!$A$3:$A$500,$B18,'DADOS BRUTOS'!D$3:D$500)+IF($C18="",0,SUMIF('DADOS BRUTOS'!$A$3:$A$500,$C18,'DADOS BRUTOS'!D$3:D$500)))</f>
        <v/>
      </c>
      <c r="CE18" s="123">
        <f>IF(OR(CE$4="",$B18=""),0,SUMIF('DADOS BRUTOS'!$A$3:$A$500,$B18,'DADOS BRUTOS'!E$3:E$500)+IF($C18="",0,SUMIF('DADOS BRUTOS'!$A$3:$A$500,$C18,'DADOS BRUTOS'!E$3:E$500)))</f>
        <v/>
      </c>
      <c r="CF18" s="123">
        <f>IF(OR(CF$4="",$B18=""),0,SUMIF('DADOS BRUTOS'!$A$3:$A$500,$B18,'DADOS BRUTOS'!F$3:F$500)+IF($C18="",0,SUMIF('DADOS BRUTOS'!$A$3:$A$500,$C18,'DADOS BRUTOS'!F$3:F$500)))</f>
        <v/>
      </c>
      <c r="CG18" s="123">
        <f>IF(OR(CG$4="",$B18=""),0,SUMIF('DADOS BRUTOS'!$A$3:$A$500,$B18,'DADOS BRUTOS'!G$3:G$500)+IF($C18="",0,SUMIF('DADOS BRUTOS'!$A$3:$A$500,$C18,'DADOS BRUTOS'!G$3:G$500)))</f>
        <v/>
      </c>
      <c r="CH18" s="123">
        <f>IF(OR(CH$4="",$B18=""),0,SUMIF('DADOS BRUTOS'!$A$3:$A$500,$B18,'DADOS BRUTOS'!H$3:H$500)+IF($C18="",0,SUMIF('DADOS BRUTOS'!$A$3:$A$500,$C18,'DADOS BRUTOS'!H$3:H$500)))</f>
        <v/>
      </c>
      <c r="CI18" s="123">
        <f>IF(OR(CI$4="",$B18=""),0,SUMIF('DADOS BRUTOS'!$A$3:$A$500,$B18,'DADOS BRUTOS'!I$3:I$500)+IF($C18="",0,SUMIF('DADOS BRUTOS'!$A$3:$A$500,$C18,'DADOS BRUTOS'!I$3:I$500)))</f>
        <v/>
      </c>
      <c r="CJ18" s="123">
        <f>IF(OR(CJ$4="",$B18=""),0,SUMIF('DADOS BRUTOS'!$A$3:$A$500,$B18,'DADOS BRUTOS'!J$3:J$500)+IF($C18="",0,SUMIF('DADOS BRUTOS'!$A$3:$A$500,$C18,'DADOS BRUTOS'!J$3:J$500)))</f>
        <v/>
      </c>
      <c r="CK18" s="123">
        <f>IF(OR(CK$4="",$B18=""),0,SUMIF('DADOS BRUTOS'!$A$3:$A$500,$B18,'DADOS BRUTOS'!K$3:K$500)+IF($C18="",0,SUMIF('DADOS BRUTOS'!$A$3:$A$500,$C18,'DADOS BRUTOS'!K$3:K$500)))</f>
        <v/>
      </c>
      <c r="CL18" s="123">
        <f>IF(OR(CL$4="",$B18=""),0,SUMIF('DADOS BRUTOS'!$A$3:$A$500,$B18,'DADOS BRUTOS'!L$3:L$500)+IF($C18="",0,SUMIF('DADOS BRUTOS'!$A$3:$A$500,$C18,'DADOS BRUTOS'!L$3:L$500)))</f>
        <v/>
      </c>
      <c r="CM18" s="123">
        <f>IF(OR(CM$4="",$B18=""),0,SUMIF('DADOS BRUTOS'!$A$3:$A$500,$B18,'DADOS BRUTOS'!M$3:M$500)+IF($C18="",0,SUMIF('DADOS BRUTOS'!$A$3:$A$500,$C18,'DADOS BRUTOS'!M$3:M$500)))</f>
        <v/>
      </c>
      <c r="CN18" s="123">
        <f>IF(OR(CN$4="",$B18=""),0,SUMIF('DADOS BRUTOS'!$A$3:$A$500,$B18,'DADOS BRUTOS'!N$3:N$500)+IF($C18="",0,SUMIF('DADOS BRUTOS'!$A$3:$A$500,$C18,'DADOS BRUTOS'!N$3:N$500)))</f>
        <v/>
      </c>
      <c r="CO18" s="123">
        <f>IF(OR(CO$4="",$B18=""),0,SUMIF('DADOS BRUTOS'!$A$3:$A$500,$B18,'DADOS BRUTOS'!O$3:O$500)+IF($C18="",0,SUMIF('DADOS BRUTOS'!$A$3:$A$500,$C18,'DADOS BRUTOS'!O$3:O$500)))</f>
        <v/>
      </c>
      <c r="CP18" s="123">
        <f>IF(OR(CP$4="",$B18=""),0,SUMIF('DADOS BRUTOS'!$A$3:$A$500,$B18,'DADOS BRUTOS'!P$3:P$500)+IF($C18="",0,SUMIF('DADOS BRUTOS'!$A$3:$A$500,$C18,'DADOS BRUTOS'!P$3:P$500)))</f>
        <v/>
      </c>
      <c r="CQ18" s="123">
        <f>IF(OR(CQ$4="",$B18=""),0,SUMIF('DADOS BRUTOS'!$A$3:$A$500,$B18,'DADOS BRUTOS'!Q$3:Q$500)+IF($C18="",0,SUMIF('DADOS BRUTOS'!$A$3:$A$500,$C18,'DADOS BRUTOS'!Q$3:Q$500)))</f>
        <v/>
      </c>
      <c r="CR18" s="123">
        <f>IF(OR(CR$4="",$B18=""),0,SUMIF('DADOS BRUTOS'!$A$3:$A$500,$B18,'DADOS BRUTOS'!R$3:R$500)+IF($C18="",0,SUMIF('DADOS BRUTOS'!$A$3:$A$500,$C18,'DADOS BRUTOS'!R$3:R$500)))</f>
        <v/>
      </c>
      <c r="CS18" s="123">
        <f>IF(OR(CS$4="",$B18=""),0,SUMIF('DADOS BRUTOS'!$A$3:$A$500,$B18,'DADOS BRUTOS'!S$3:S$500)+IF($C18="",0,SUMIF('DADOS BRUTOS'!$A$3:$A$500,$C18,'DADOS BRUTOS'!S$3:S$500)))</f>
        <v/>
      </c>
      <c r="CT18" s="123">
        <f>IF(OR(CT$4="",$B18=""),0,SUMIF('DADOS BRUTOS'!$A$3:$A$500,$B18,'DADOS BRUTOS'!T$3:T$500)+IF($C18="",0,SUMIF('DADOS BRUTOS'!$A$3:$A$500,$C18,'DADOS BRUTOS'!T$3:T$500)))</f>
        <v/>
      </c>
      <c r="CU18" s="123">
        <f>IF(OR(CU$4="",$B18=""),0,SUMIF('DADOS BRUTOS'!$A$3:$A$500,$B18,'DADOS BRUTOS'!U$3:U$500)+IF($C18="",0,SUMIF('DADOS BRUTOS'!$A$3:$A$500,$C18,'DADOS BRUTOS'!U$3:U$500)))</f>
        <v/>
      </c>
      <c r="CV18" s="123">
        <f>IF(OR(CV$4="",$B18=""),0,SUMIF('DADOS BRUTOS'!$A$3:$A$500,$B18,'DADOS BRUTOS'!V$3:V$500)+IF($C18="",0,SUMIF('DADOS BRUTOS'!$A$3:$A$500,$C18,'DADOS BRUTOS'!V$3:V$500)))</f>
        <v/>
      </c>
      <c r="CW18" s="123">
        <f>IF(OR(CW$4="",$B18=""),0,SUMIF('DADOS BRUTOS'!$A$3:$A$500,$B18,'DADOS BRUTOS'!W$3:W$500)+IF($C18="",0,SUMIF('DADOS BRUTOS'!$A$3:$A$500,$C18,'DADOS BRUTOS'!W$3:W$500)))</f>
        <v/>
      </c>
      <c r="CX18" s="123">
        <f>IF(OR(CX$4="",$B18=""),0,SUMIF('DADOS BRUTOS'!$A$3:$A$500,$B18,'DADOS BRUTOS'!X$3:X$500)+IF($C18="",0,SUMIF('DADOS BRUTOS'!$A$3:$A$500,$C18,'DADOS BRUTOS'!X$3:X$500)))</f>
        <v/>
      </c>
      <c r="CY18" s="123">
        <f>IF(OR(CY$4="",$B18=""),0,SUMIF('DADOS BRUTOS'!$A$3:$A$500,$B18,'DADOS BRUTOS'!Y$3:Y$500)+IF($C18="",0,SUMIF('DADOS BRUTOS'!$A$3:$A$500,$C18,'DADOS BRUTOS'!Y$3:Y$500)))</f>
        <v/>
      </c>
      <c r="CZ18" s="123">
        <f>IF(OR(CZ$4="",$B18=""),0,SUMIF('DADOS BRUTOS'!$A$3:$A$500,$B18,'DADOS BRUTOS'!Z$3:Z$500)+IF($C18="",0,SUMIF('DADOS BRUTOS'!$A$3:$A$500,$C18,'DADOS BRUTOS'!Z$3:Z$500)))</f>
        <v/>
      </c>
      <c r="DA18" s="123">
        <f>IF(OR(DA$4="",$B18=""),0,SUMIF('DADOS BRUTOS'!$A$3:$A$500,$B18,'DADOS BRUTOS'!AA$3:AA$500)+IF($C18="",0,SUMIF('DADOS BRUTOS'!$A$3:$A$500,$C18,'DADOS BRUTOS'!AA$3:AA$500)))</f>
        <v/>
      </c>
      <c r="DB18" s="123">
        <f>IF(OR(DB$4="",$B18=""),0,SUMIF('DADOS BRUTOS'!$A$3:$A$500,$B18,'DADOS BRUTOS'!AB$3:AB$500)+IF($C18="",0,SUMIF('DADOS BRUTOS'!$A$3:$A$500,$C18,'DADOS BRUTOS'!AB$3:AB$500)))</f>
        <v/>
      </c>
      <c r="DC18" s="123">
        <f>IF(OR(DC$4="",$B18=""),0,SUMIF('DADOS BRUTOS'!$A$3:$A$500,$B18,'DADOS BRUTOS'!AC$3:AC$500)+IF($C18="",0,SUMIF('DADOS BRUTOS'!$A$3:$A$500,$C18,'DADOS BRUTOS'!AC$3:AC$500)))</f>
        <v/>
      </c>
      <c r="DD18" s="123">
        <f>IF(OR(DD$4="",$B18=""),0,SUMIF('DADOS BRUTOS'!$A$3:$A$500,$B18,'DADOS BRUTOS'!AD$3:AD$500)+IF($C18="",0,SUMIF('DADOS BRUTOS'!$A$3:$A$500,$C18,'DADOS BRUTOS'!AD$3:AD$500)))</f>
        <v/>
      </c>
      <c r="DE18" s="123">
        <f>IF(OR(DE$4="",$B18=""),0,SUMIF('DADOS BRUTOS'!$A$3:$A$500,$B18,'DADOS BRUTOS'!AE$3:AE$500)+IF($C18="",0,SUMIF('DADOS BRUTOS'!$A$3:$A$500,$C18,'DADOS BRUTOS'!AE$3:AE$500)))</f>
        <v/>
      </c>
      <c r="DF18" s="123">
        <f>IF(OR(DF$4="",$B18=""),0,SUMIF('DADOS BRUTOS'!$A$3:$A$500,$B18,'DADOS BRUTOS'!AF$3:AF$500)+IF($C18="",0,SUMIF('DADOS BRUTOS'!$A$3:$A$500,$C18,'DADOS BRUTOS'!AF$3:AF$500)))</f>
        <v/>
      </c>
      <c r="DG18" s="123">
        <f>IF(OR(DG$4="",$B18=""),0,SUMIF('DADOS BRUTOS'!$A$3:$A$500,$B18,'DADOS BRUTOS'!AG$3:AG$500)+IF($C18="",0,SUMIF('DADOS BRUTOS'!$A$3:$A$500,$C18,'DADOS BRUTOS'!AG$3:AG$500)))</f>
        <v/>
      </c>
      <c r="DH18" s="123">
        <f>IF(OR(DH$4="",$B18=""),0,SUMIF('DADOS BRUTOS'!$A$3:$A$500,$B18,'DADOS BRUTOS'!AH$3:AH$500)+IF($C18="",0,SUMIF('DADOS BRUTOS'!$A$3:$A$500,$C18,'DADOS BRUTOS'!AH$3:AH$500)))</f>
        <v/>
      </c>
      <c r="DI18" s="123">
        <f>IF(OR(DI$4="",$B18=""),0,SUMIF('DADOS BRUTOS'!$A$3:$A$500,$B18,'DADOS BRUTOS'!AI$3:AI$500)+IF($C18="",0,SUMIF('DADOS BRUTOS'!$A$3:$A$500,$C18,'DADOS BRUTOS'!AI$3:AI$500)))</f>
        <v/>
      </c>
      <c r="DJ18" s="123">
        <f>IF(OR(DJ$4="",$B18=""),0,SUMIF('DADOS BRUTOS'!$A$3:$A$500,$B18,'DADOS BRUTOS'!AJ$3:AJ$500)+IF($C18="",0,SUMIF('DADOS BRUTOS'!$A$3:$A$500,$C18,'DADOS BRUTOS'!AJ$3:AJ$500)))</f>
        <v/>
      </c>
      <c r="DK18" s="123">
        <f>IF(OR(DK$4="",$B18=""),0,SUMIF('DADOS BRUTOS'!$A$3:$A$500,$B18,'DADOS BRUTOS'!AK$3:AK$500)+IF($C18="",0,SUMIF('DADOS BRUTOS'!$A$3:$A$500,$C18,'DADOS BRUTOS'!AK$3:AK$500)))</f>
        <v/>
      </c>
      <c r="DL18" s="123">
        <f>IF(OR(DL$4="",$B18=""),0,SUMIF('DADOS BRUTOS'!$A$3:$A$500,$B18,'DADOS BRUTOS'!AL$3:AL$500)+IF($C18="",0,SUMIF('DADOS BRUTOS'!$A$3:$A$500,$C18,'DADOS BRUTOS'!AL$3:AL$500)))</f>
        <v/>
      </c>
      <c r="DM18" s="123">
        <f>IF(OR(DM$4="",$B18=""),0,SUMIF('DADOS BRUTOS'!$A$3:$A$500,$B18,'DADOS BRUTOS'!AM$3:AM$500)+IF($C18="",0,SUMIF('DADOS BRUTOS'!$A$3:$A$500,$C18,'DADOS BRUTOS'!AM$3:AM$500)))</f>
        <v/>
      </c>
      <c r="DN18" s="123">
        <f>IF(OR(DN$4="",$B18=""),0,SUMIF('DADOS BRUTOS'!$A$3:$A$500,$B18,'DADOS BRUTOS'!AN$3:AN$500)+IF($C18="",0,SUMIF('DADOS BRUTOS'!$A$3:$A$500,$C18,'DADOS BRUTOS'!AN$3:AN$500)))</f>
        <v/>
      </c>
      <c r="DO18" s="123">
        <f>IF(OR(DO$4="",$B18=""),0,SUMIF('DADOS BRUTOS'!$A$3:$A$500,$B18,'DADOS BRUTOS'!AO$3:AO$500)+IF($C18="",0,SUMIF('DADOS BRUTOS'!$A$3:$A$500,$C18,'DADOS BRUTOS'!AO$3:AO$500)))</f>
        <v/>
      </c>
      <c r="DP18" s="123">
        <f>IF(OR(DP$4="",$B18=""),0,SUMIF('DADOS BRUTOS'!$A$3:$A$500,$B18,'DADOS BRUTOS'!AP$3:AP$500)+IF($C18="",0,SUMIF('DADOS BRUTOS'!$A$3:$A$500,$C18,'DADOS BRUTOS'!AP$3:AP$500)))</f>
        <v/>
      </c>
      <c r="DQ18" s="123">
        <f>IF(OR(DQ$4="",$B18=""),0,SUMIF('DADOS BRUTOS'!$A$3:$A$500,$B18,'DADOS BRUTOS'!AQ$3:AQ$500)+IF($C18="",0,SUMIF('DADOS BRUTOS'!$A$3:$A$500,$C18,'DADOS BRUTOS'!AQ$3:AQ$500)))</f>
        <v/>
      </c>
      <c r="DR18" s="123">
        <f>IF(OR(DR$4="",$B18=""),0,SUMIF('DADOS BRUTOS'!$A$3:$A$500,$B18,'DADOS BRUTOS'!AR$3:AR$500)+IF($C18="",0,SUMIF('DADOS BRUTOS'!$A$3:$A$500,$C18,'DADOS BRUTOS'!AR$3:AR$500)))</f>
        <v/>
      </c>
      <c r="DS18" s="123">
        <f>IF(OR(DS$4="",$B18=""),0,SUMIF('DADOS BRUTOS'!$A$3:$A$500,$B18,'DADOS BRUTOS'!AS$3:AS$500)+IF($C18="",0,SUMIF('DADOS BRUTOS'!$A$3:$A$500,$C18,'DADOS BRUTOS'!AS$3:AS$500)))</f>
        <v/>
      </c>
      <c r="DT18" s="123">
        <f>IF(OR(DT$4="",$B18=""),0,SUMIF('DADOS BRUTOS'!$A$3:$A$500,$B18,'DADOS BRUTOS'!AT$3:AT$500)+IF($C18="",0,SUMIF('DADOS BRUTOS'!$A$3:$A$500,$C18,'DADOS BRUTOS'!AT$3:AT$500)))</f>
        <v/>
      </c>
      <c r="DU18" s="123">
        <f>IF(OR(DU$4="",$B18=""),0,SUMIF('DADOS BRUTOS'!$A$3:$A$500,$B18,'DADOS BRUTOS'!AU$3:AU$500)+IF($C18="",0,SUMIF('DADOS BRUTOS'!$A$3:$A$500,$C18,'DADOS BRUTOS'!AU$3:AU$500)))</f>
        <v/>
      </c>
      <c r="DV18" s="123">
        <f>IF(OR(DV$4="",$B18=""),0,SUMIF('DADOS BRUTOS'!$A$3:$A$500,$B18,'DADOS BRUTOS'!AV$3:AV$500)+IF($C18="",0,SUMIF('DADOS BRUTOS'!$A$3:$A$500,$C18,'DADOS BRUTOS'!AV$3:AV$500)))</f>
        <v/>
      </c>
      <c r="DW18" s="123">
        <f>IF(OR(DW$4="",$B18=""),0,SUMIF('DADOS BRUTOS'!$A$3:$A$500,$B18,'DADOS BRUTOS'!AW$3:AW$500)+IF($C18="",0,SUMIF('DADOS BRUTOS'!$A$3:$A$500,$C18,'DADOS BRUTOS'!AW$3:AW$500)))</f>
        <v/>
      </c>
      <c r="DX18" s="123">
        <f>IF(OR(DX$4="",$B18=""),0,SUMIF('DADOS BRUTOS'!$A$3:$A$500,$B18,'DADOS BRUTOS'!AX$3:AX$500)+IF($C18="",0,SUMIF('DADOS BRUTOS'!$A$3:$A$500,$C18,'DADOS BRUTOS'!AX$3:AX$500)))</f>
        <v/>
      </c>
      <c r="DY18" s="123">
        <f>IF(OR(DY$4="",$B18=""),0,SUMIF('DADOS BRUTOS'!$A$3:$A$500,$B18,'DADOS BRUTOS'!AY$3:AY$500)+IF($C18="",0,SUMIF('DADOS BRUTOS'!$A$3:$A$500,$C18,'DADOS BRUTOS'!AY$3:AY$500)))</f>
        <v/>
      </c>
      <c r="DZ18" s="123">
        <f>IF(OR(DZ$4="",$B18=""),0,SUMIF('DADOS BRUTOS'!$A$3:$A$500,$B18,'DADOS BRUTOS'!AZ$3:AZ$500)+IF($C18="",0,SUMIF('DADOS BRUTOS'!$A$3:$A$500,$C18,'DADOS BRUTOS'!AZ$3:AZ$500)))</f>
        <v/>
      </c>
      <c r="EA18" s="123">
        <f>IF(OR(EA$4="",$B18=""),0,SUMIF('DADOS BRUTOS'!$A$3:$A$500,$B18,'DADOS BRUTOS'!BA$3:BA$500)+IF($C18="",0,SUMIF('DADOS BRUTOS'!$A$3:$A$500,$C18,'DADOS BRUTOS'!BA$3:BA$500)))</f>
        <v/>
      </c>
      <c r="EB18" s="123">
        <f>IF(OR(EB$4="",$B18=""),0,SUMIF('DADOS BRUTOS'!$A$3:$A$500,$B18,'DADOS BRUTOS'!BB$3:BB$500)+IF($C18="",0,SUMIF('DADOS BRUTOS'!$A$3:$A$500,$C18,'DADOS BRUTOS'!BB$3:BB$500)))</f>
        <v/>
      </c>
      <c r="EC18" s="123">
        <f>IF(OR(EC$4="",$B18=""),0,SUMIF('DADOS BRUTOS'!$A$3:$A$500,$B18,'DADOS BRUTOS'!BC$3:BC$500)+IF($C18="",0,SUMIF('DADOS BRUTOS'!$A$3:$A$500,$C18,'DADOS BRUTOS'!BC$3:BC$500)))</f>
        <v/>
      </c>
      <c r="ED18" s="123">
        <f>IF(OR(ED$4="",$B18=""),0,SUMIF('DADOS BRUTOS'!$A$3:$A$500,$B18,'DADOS BRUTOS'!BD$3:BD$500)+IF($C18="",0,SUMIF('DADOS BRUTOS'!$A$3:$A$500,$C18,'DADOS BRUTOS'!BD$3:BD$500)))</f>
        <v/>
      </c>
      <c r="EE18" s="123">
        <f>IF(OR(EE$4="",$B18=""),0,SUMIF('DADOS BRUTOS'!$A$3:$A$500,$B18,'DADOS BRUTOS'!BE$3:BE$500)+IF($C18="",0,SUMIF('DADOS BRUTOS'!$A$3:$A$500,$C18,'DADOS BRUTOS'!BE$3:BE$500)))</f>
        <v/>
      </c>
      <c r="EF18" s="123">
        <f>IF(OR(EF$4="",$B18=""),0,SUMIF('DADOS BRUTOS'!$A$3:$A$500,$B18,'DADOS BRUTOS'!BF$3:BF$500)+IF($C18="",0,SUMIF('DADOS BRUTOS'!$A$3:$A$500,$C18,'DADOS BRUTOS'!BF$3:BF$500)))</f>
        <v/>
      </c>
      <c r="EG18" s="123">
        <f>IF(OR(EG$4="",$B18=""),0,SUMIF('DADOS BRUTOS'!$A$3:$A$500,$B18,'DADOS BRUTOS'!BG$3:BG$500)+IF($C18="",0,SUMIF('DADOS BRUTOS'!$A$3:$A$500,$C18,'DADOS BRUTOS'!BG$3:BG$500)))</f>
        <v/>
      </c>
      <c r="EH18" s="123">
        <f>IF(OR(EH$4="",$B18=""),0,SUMIF('DADOS BRUTOS'!$A$3:$A$500,$B18,'DADOS BRUTOS'!BH$3:BH$500)+IF($C18="",0,SUMIF('DADOS BRUTOS'!$A$3:$A$500,$C18,'DADOS BRUTOS'!BH$3:BH$500)))</f>
        <v/>
      </c>
      <c r="EI18" s="123">
        <f>IF(OR(EI$4="",$B18=""),0,SUMIF('DADOS BRUTOS'!$A$3:$A$500,$B18,'DADOS BRUTOS'!BI$3:BI$500)+IF($C18="",0,SUMIF('DADOS BRUTOS'!$A$3:$A$500,$C18,'DADOS BRUTOS'!BI$3:BI$500)))</f>
        <v/>
      </c>
      <c r="EJ18" s="123">
        <f>IF(OR(EJ$4="",$B18=""),0,SUMIF('DADOS BRUTOS'!$A$3:$A$500,$B18,'DADOS BRUTOS'!BJ$3:BJ$500)+IF($C18="",0,SUMIF('DADOS BRUTOS'!$A$3:$A$500,$C18,'DADOS BRUTOS'!BJ$3:BJ$500)))</f>
        <v/>
      </c>
      <c r="EK18" s="123">
        <f>IF(OR(EK$4="",$B18=""),0,SUMIF('DADOS BRUTOS'!$A$3:$A$500,$B18,'DADOS BRUTOS'!BK$3:BK$500)+IF($C18="",0,SUMIF('DADOS BRUTOS'!$A$3:$A$500,$C18,'DADOS BRUTOS'!BK$3:BK$500)))</f>
        <v/>
      </c>
      <c r="EL18" s="123">
        <f>IF(OR(EL$4="",$B18=""),0,SUMIF('DADOS BRUTOS'!$A$3:$A$500,$B18,'DADOS BRUTOS'!BL$3:BL$500)+IF($C18="",0,SUMIF('DADOS BRUTOS'!$A$3:$A$500,$C18,'DADOS BRUTOS'!BL$3:BL$500)))</f>
        <v/>
      </c>
      <c r="EM18" s="123">
        <f>IF(OR(EM$4="",$B18=""),0,SUMIF('DADOS BRUTOS'!$A$3:$A$500,$B18,'DADOS BRUTOS'!BM$3:BM$500)+IF($C18="",0,SUMIF('DADOS BRUTOS'!$A$3:$A$500,$C18,'DADOS BRUTOS'!BM$3:BM$500)))</f>
        <v/>
      </c>
      <c r="EN18" s="123">
        <f>IF(OR(EN$4="",$B18=""),0,SUMIF('DADOS BRUTOS'!$A$3:$A$500,$B18,'DADOS BRUTOS'!BN$3:BN$500)+IF($C18="",0,SUMIF('DADOS BRUTOS'!$A$3:$A$500,$C18,'DADOS BRUTOS'!BN$3:BN$500)))</f>
        <v/>
      </c>
      <c r="EO18" s="123">
        <f>IF(OR(EO$4="",$B18=""),0,SUMIF('DADOS BRUTOS'!$A$3:$A$500,$B18,'DADOS BRUTOS'!BO$3:BO$500)+IF($C18="",0,SUMIF('DADOS BRUTOS'!$A$3:$A$500,$C18,'DADOS BRUTOS'!BO$3:BO$500)))</f>
        <v/>
      </c>
      <c r="EP18" s="123">
        <f>IF(OR(EP$4="",$B18=""),0,SUMIF('DADOS BRUTOS'!$A$3:$A$500,$B18,'DADOS BRUTOS'!BP$3:BP$500)+IF($C18="",0,SUMIF('DADOS BRUTOS'!$A$3:$A$500,$C18,'DADOS BRUTOS'!BP$3:BP$500)))</f>
        <v/>
      </c>
      <c r="EQ18" s="123">
        <f>IF(OR(EQ$4="",$B18=""),0,SUMIF('DADOS BRUTOS'!$A$3:$A$500,$B18,'DADOS BRUTOS'!BQ$3:BQ$500)+IF($C18="",0,SUMIF('DADOS BRUTOS'!$A$3:$A$500,$C18,'DADOS BRUTOS'!BQ$3:BQ$500)))</f>
        <v/>
      </c>
      <c r="ER18" s="123">
        <f>IF(OR(ER$4="",$B18=""),0,SUMIF('DADOS BRUTOS'!$A$3:$A$500,$B18,'DADOS BRUTOS'!BR$3:BR$500)+IF($C18="",0,SUMIF('DADOS BRUTOS'!$A$3:$A$500,$C18,'DADOS BRUTOS'!BR$3:BR$500)))</f>
        <v/>
      </c>
      <c r="ES18" s="123">
        <f>IF(OR(ES$4="",$B18=""),0,SUMIF('DADOS BRUTOS'!$A$3:$A$500,$B18,'DADOS BRUTOS'!BS$3:BS$500)+IF($C18="",0,SUMIF('DADOS BRUTOS'!$A$3:$A$500,$C18,'DADOS BRUTOS'!BS$3:BS$500)))</f>
        <v/>
      </c>
      <c r="ET18" s="123">
        <f>IF(OR(ET$4="",$B18=""),0,SUMIF('DADOS BRUTOS'!$A$3:$A$500,$B18,'DADOS BRUTOS'!BT$3:BT$500)+IF($C18="",0,SUMIF('DADOS BRUTOS'!$A$3:$A$500,$C18,'DADOS BRUTOS'!BT$3:BT$500)))</f>
        <v/>
      </c>
      <c r="EU18" s="123">
        <f>IF(OR(EU$4="",$B18=""),0,SUMIF('DADOS BRUTOS'!$A$3:$A$500,$B18,'DADOS BRUTOS'!BU$3:BU$500)+IF($C18="",0,SUMIF('DADOS BRUTOS'!$A$3:$A$500,$C18,'DADOS BRUTOS'!BU$3:BU$500)))</f>
        <v/>
      </c>
      <c r="EV18" s="123">
        <f>IF(OR(EV$4="",$B18=""),0,SUMIF('DADOS BRUTOS'!$A$3:$A$500,$B18,'DADOS BRUTOS'!BV$3:BV$500)+IF($C18="",0,SUMIF('DADOS BRUTOS'!$A$3:$A$500,$C18,'DADOS BRUTOS'!BV$3:BV$500)))</f>
        <v/>
      </c>
      <c r="EW18" s="123">
        <f>IF(OR(EW$4="",$B18=""),0,SUMIF('DADOS BRUTOS'!$A$3:$A$500,$B18,'DADOS BRUTOS'!BW$3:BW$500)+IF($C18="",0,SUMIF('DADOS BRUTOS'!$A$3:$A$500,$C18,'DADOS BRUTOS'!BW$3:BW$500)))</f>
        <v/>
      </c>
      <c r="EX18" s="123">
        <f>IF(OR(EX$4="",$B18=""),0,SUMIF('DADOS BRUTOS'!$A$3:$A$500,$B18,'DADOS BRUTOS'!BX$3:BX$500)+IF($C18="",0,SUMIF('DADOS BRUTOS'!$A$3:$A$500,$C18,'DADOS BRUTOS'!BX$3:BX$500)))</f>
        <v/>
      </c>
      <c r="EY18" s="123">
        <f>IF(OR(EY$4="",$B18=""),0,SUMIF('DADOS BRUTOS'!$A$3:$A$500,$B18,'DADOS BRUTOS'!BY$3:BY$500)+IF($C18="",0,SUMIF('DADOS BRUTOS'!$A$3:$A$500,$C18,'DADOS BRUTOS'!BY$3:BY$500)))</f>
        <v/>
      </c>
      <c r="EZ18" s="123">
        <f>IF(OR(EZ$4="",$B18=""),0,SUMIF('DADOS BRUTOS'!$A$3:$A$500,$B18,'DADOS BRUTOS'!BZ$3:BZ$500)+IF($C18="",0,SUMIF('DADOS BRUTOS'!$A$3:$A$500,$C18,'DADOS BRUTOS'!BZ$3:BZ$500)))</f>
        <v/>
      </c>
      <c r="FA18" s="123">
        <f>IF(OR(FA$4="",$B18=""),0,SUMIF('DADOS BRUTOS'!$A$3:$A$500,$B18,'DADOS BRUTOS'!CA$3:CA$500)+IF($C18="",0,SUMIF('DADOS BRUTOS'!$A$3:$A$500,$C18,'DADOS BRUTOS'!CA$3:CA$500)))</f>
        <v/>
      </c>
      <c r="FB18" s="123">
        <f>IF(OR(FB$4="",$B18=""),0,SUMIF('DADOS BRUTOS'!$A$3:$A$500,$B18,'DADOS BRUTOS'!CB$3:CB$500)+IF($C18="",0,SUMIF('DADOS BRUTOS'!$A$3:$A$500,$C18,'DADOS BRUTOS'!CB$3:CB$500)))</f>
        <v/>
      </c>
      <c r="FC18" s="123">
        <f>IF(OR(FC$4="",$B18=""),0,SUMIF('DADOS BRUTOS'!$A$3:$A$500,$B18,'DADOS BRUTOS'!CC$3:CC$500)+IF($C18="",0,SUMIF('DADOS BRUTOS'!$A$3:$A$500,$C18,'DADOS BRUTOS'!CC$3:CC$500)))</f>
        <v/>
      </c>
      <c r="FD18" s="123">
        <f>IF(OR(FD$4="",$B18=""),0,SUMIF('DADOS BRUTOS'!$A$3:$A$500,$B18,'DADOS BRUTOS'!CD$3:CD$500)+IF($C18="",0,SUMIF('DADOS BRUTOS'!$A$3:$A$500,$C18,'DADOS BRUTOS'!CD$3:CD$500)))</f>
        <v/>
      </c>
      <c r="FE18" s="123">
        <f>IF(OR(FE$4="",$B18=""),0,SUMIF('DADOS BRUTOS'!$A$3:$A$500,$B18,'DADOS BRUTOS'!CE$3:CE$500)+IF($C18="",0,SUMIF('DADOS BRUTOS'!$A$3:$A$500,$C18,'DADOS BRUTOS'!CE$3:CE$500)))</f>
        <v/>
      </c>
      <c r="FF18" s="123">
        <f>IF(OR(FF$4="",$B18=""),0,SUMIF('DADOS BRUTOS'!$A$3:$A$500,$B18,'DADOS BRUTOS'!CF$3:CF$500)+IF($C18="",0,SUMIF('DADOS BRUTOS'!$A$3:$A$500,$C18,'DADOS BRUTOS'!CF$3:CF$500)))</f>
        <v/>
      </c>
      <c r="FG18" s="123">
        <f>IF(OR(FG$4="",$B18=""),0,SUMIF('DADOS BRUTOS'!$A$3:$A$500,$B18,'DADOS BRUTOS'!CG$3:CG$500)+IF($C18="",0,SUMIF('DADOS BRUTOS'!$A$3:$A$500,$C18,'DADOS BRUTOS'!CG$3:CG$500)))</f>
        <v/>
      </c>
      <c r="FH18" s="123">
        <f>IF(OR(FH$4="",$B18=""),0,SUMIF('DADOS BRUTOS'!$A$3:$A$500,$B18,'DADOS BRUTOS'!CH$3:CH$500)+IF($C18="",0,SUMIF('DADOS BRUTOS'!$A$3:$A$500,$C18,'DADOS BRUTOS'!CH$3:CH$500)))</f>
        <v/>
      </c>
      <c r="FI18" s="123">
        <f>IF(OR(FI$4="",$B18=""),0,SUMIF('DADOS BRUTOS'!$A$3:$A$500,$B18,'DADOS BRUTOS'!CI$3:CI$500)+IF($C18="",0,SUMIF('DADOS BRUTOS'!$A$3:$A$500,$C18,'DADOS BRUTOS'!CI$3:CI$500)))</f>
        <v/>
      </c>
      <c r="FJ18" s="123">
        <f>IF(OR(FJ$4="",$B18=""),0,SUMIF('DADOS BRUTOS'!$A$3:$A$500,$B18,'DADOS BRUTOS'!CJ$3:CJ$500)+IF($C18="",0,SUMIF('DADOS BRUTOS'!$A$3:$A$500,$C18,'DADOS BRUTOS'!CJ$3:CJ$500)))</f>
        <v/>
      </c>
      <c r="FK18" s="123">
        <f>IF(OR(FK$4="",$B18=""),0,SUMIF('DADOS BRUTOS'!$A$3:$A$500,$B18,'DADOS BRUTOS'!CK$3:CK$500)+IF($C18="",0,SUMIF('DADOS BRUTOS'!$A$3:$A$500,$C18,'DADOS BRUTOS'!CK$3:CK$500)))</f>
        <v/>
      </c>
      <c r="FL18" s="123">
        <f>IF(OR(FL$4="",$B18=""),0,SUMIF('DADOS BRUTOS'!$A$3:$A$500,$B18,'DADOS BRUTOS'!CL$3:CL$500)+IF($C18="",0,SUMIF('DADOS BRUTOS'!$A$3:$A$500,$C18,'DADOS BRUTOS'!CL$3:CL$500)))</f>
        <v/>
      </c>
      <c r="FM18" s="123">
        <f>IF(OR(FM$4="",$B18=""),0,SUMIF('DADOS BRUTOS'!$A$3:$A$500,$B18,'DADOS BRUTOS'!CM$3:CM$500)+IF($C18="",0,SUMIF('DADOS BRUTOS'!$A$3:$A$500,$C18,'DADOS BRUTOS'!CM$3:CM$500)))</f>
        <v/>
      </c>
      <c r="FN18" s="123">
        <f>IF(OR(FN$4="",$B18=""),0,SUMIF('DADOS BRUTOS'!$A$3:$A$500,$B18,'DADOS BRUTOS'!CN$3:CN$500)+IF($C18="",0,SUMIF('DADOS BRUTOS'!$A$3:$A$500,$C18,'DADOS BRUTOS'!CN$3:CN$500)))</f>
        <v/>
      </c>
      <c r="FO18" s="123">
        <f>IF(OR(FO$4="",$B18=""),0,SUMIF('DADOS BRUTOS'!$A$3:$A$500,$B18,'DADOS BRUTOS'!CO$3:CO$500)+IF($C18="",0,SUMIF('DADOS BRUTOS'!$A$3:$A$500,$C18,'DADOS BRUTOS'!CO$3:CO$500)))</f>
        <v/>
      </c>
      <c r="FP18" s="123">
        <f>IF(OR(FP$4="",$B18=""),0,SUMIF('DADOS BRUTOS'!$A$3:$A$500,$B18,'DADOS BRUTOS'!CP$3:CP$500)+IF($C18="",0,SUMIF('DADOS BRUTOS'!$A$3:$A$500,$C18,'DADOS BRUTOS'!CP$3:CP$500)))</f>
        <v/>
      </c>
      <c r="FQ18" s="123">
        <f>IF(OR(FQ$4="",$B18=""),0,SUMIF('DADOS BRUTOS'!$A$3:$A$500,$B18,'DADOS BRUTOS'!CQ$3:CQ$500)+IF($C18="",0,SUMIF('DADOS BRUTOS'!$A$3:$A$500,$C18,'DADOS BRUTOS'!CQ$3:CQ$500)))</f>
        <v/>
      </c>
      <c r="FR18" s="123">
        <f>IF(OR(FR$4="",$B18=""),0,SUMIF('DADOS BRUTOS'!$A$3:$A$500,$B18,'DADOS BRUTOS'!CR$3:CR$500)+IF($C18="",0,SUMIF('DADOS BRUTOS'!$A$3:$A$500,$C18,'DADOS BRUTOS'!CR$3:CR$500)))</f>
        <v/>
      </c>
      <c r="FS18" s="123">
        <f>IF(OR(FS$4="",$B18=""),0,SUMIF('DADOS BRUTOS'!$A$3:$A$500,$B18,'DADOS BRUTOS'!CS$3:CS$500)+IF($C18="",0,SUMIF('DADOS BRUTOS'!$A$3:$A$500,$C18,'DADOS BRUTOS'!CS$3:CS$500)))</f>
        <v/>
      </c>
      <c r="FT18" s="123">
        <f>IF(OR(FT$4="",$B18=""),0,SUMIF('DADOS BRUTOS'!$A$3:$A$500,$B18,'DADOS BRUTOS'!CT$3:CT$500)+IF($C18="",0,SUMIF('DADOS BRUTOS'!$A$3:$A$500,$C18,'DADOS BRUTOS'!CT$3:CT$500)))</f>
        <v/>
      </c>
      <c r="FU18" s="123">
        <f>IF(OR(FU$4="",$B18=""),0,SUMIF('DADOS BRUTOS'!$A$3:$A$500,$B18,'DADOS BRUTOS'!CU$3:CU$500)+IF($C18="",0,SUMIF('DADOS BRUTOS'!$A$3:$A$500,$C18,'DADOS BRUTOS'!CU$3:CU$500)))</f>
        <v/>
      </c>
      <c r="FV18" s="123">
        <f>IF(OR(FV$4="",$B18=""),0,SUMIF('DADOS BRUTOS'!$A$3:$A$500,$B18,'DADOS BRUTOS'!CV$3:CV$500)+IF($C18="",0,SUMIF('DADOS BRUTOS'!$A$3:$A$500,$C18,'DADOS BRUTOS'!CV$3:CV$500)))</f>
        <v/>
      </c>
      <c r="FW18" s="123">
        <f>IF(OR(FW$4="",$B18=""),0,SUMIF('DADOS BRUTOS'!$A$3:$A$500,$B18,'DADOS BRUTOS'!CW$3:CW$500)+IF($C18="",0,SUMIF('DADOS BRUTOS'!$A$3:$A$500,$C18,'DADOS BRUTOS'!CW$3:CW$500)))</f>
        <v/>
      </c>
      <c r="FX18" s="123">
        <f>IF(OR(FX$4="",$B18=""),0,SUMIF('DADOS BRUTOS'!$A$3:$A$500,$B18,'DADOS BRUTOS'!CX$3:CX$500)+IF($C18="",0,SUMIF('DADOS BRUTOS'!$A$3:$A$500,$C18,'DADOS BRUTOS'!CX$3:CX$500)))</f>
        <v/>
      </c>
      <c r="FY18" s="123">
        <f>IF(OR(FY$4="",$B18=""),0,SUMIF('DADOS BRUTOS'!$A$3:$A$500,$B18,'DADOS BRUTOS'!CY$3:CY$500)+IF($C18="",0,SUMIF('DADOS BRUTOS'!$A$3:$A$500,$C18,'DADOS BRUTOS'!CY$3:CY$500)))</f>
        <v/>
      </c>
      <c r="FZ18" s="123">
        <f>IF(OR(FZ$4="",$B18=""),0,SUMIF('DADOS BRUTOS'!$A$3:$A$500,$B18,'DADOS BRUTOS'!CZ$3:CZ$500)+IF($C18="",0,SUMIF('DADOS BRUTOS'!$A$3:$A$500,$C18,'DADOS BRUTOS'!CZ$3:CZ$500)))</f>
        <v/>
      </c>
      <c r="GA18" s="123">
        <f>IF(OR(GA$4="",$B18=""),0,SUMIF('DADOS BRUTOS'!$A$3:$A$500,$B18,'DADOS BRUTOS'!DA$3:DA$500)+IF($C18="",0,SUMIF('DADOS BRUTOS'!$A$3:$A$500,$C18,'DADOS BRUTOS'!DA$3:DA$500)))</f>
        <v/>
      </c>
      <c r="GB18" s="123">
        <f>IF(OR(GB$4="",$B18=""),0,SUMIF('DADOS BRUTOS'!$A$3:$A$500,$B18,'DADOS BRUTOS'!DB$3:DB$500)+IF($C18="",0,SUMIF('DADOS BRUTOS'!$A$3:$A$500,$C18,'DADOS BRUTOS'!DB$3:DB$500)))</f>
        <v/>
      </c>
      <c r="GC18" s="123">
        <f>IF(OR(GC$4="",$B18=""),0,SUMIF('DADOS BRUTOS'!$A$3:$A$500,$B18,'DADOS BRUTOS'!DC$3:DC$500)+IF($C18="",0,SUMIF('DADOS BRUTOS'!$A$3:$A$500,$C18,'DADOS BRUTOS'!DC$3:DC$500)))</f>
        <v/>
      </c>
      <c r="GD18" s="123">
        <f>IF(OR(GD$4="",$B18=""),0,SUMIF('DADOS BRUTOS'!$A$3:$A$500,$B18,'DADOS BRUTOS'!DD$3:DD$500)+IF($C18="",0,SUMIF('DADOS BRUTOS'!$A$3:$A$500,$C18,'DADOS BRUTOS'!DD$3:DD$500)))</f>
        <v/>
      </c>
      <c r="GE18" s="123">
        <f>IF(OR(GE$4="",$B18=""),0,SUMIF('DADOS BRUTOS'!$A$3:$A$500,$B18,'DADOS BRUTOS'!DE$3:DE$500)+IF($C18="",0,SUMIF('DADOS BRUTOS'!$A$3:$A$500,$C18,'DADOS BRUTOS'!DE$3:DE$500)))</f>
        <v/>
      </c>
      <c r="GF18" s="123">
        <f>IF(OR(GF$4="",$B18=""),0,SUMIF('DADOS BRUTOS'!$A$3:$A$500,$B18,'DADOS BRUTOS'!DF$3:DF$500)+IF($C18="",0,SUMIF('DADOS BRUTOS'!$A$3:$A$500,$C18,'DADOS BRUTOS'!DF$3:DF$500)))</f>
        <v/>
      </c>
      <c r="GG18" s="123">
        <f>IF(OR(GG$4="",$B18=""),0,SUMIF('DADOS BRUTOS'!$A$3:$A$500,$B18,'DADOS BRUTOS'!DG$3:DG$500)+IF($C18="",0,SUMIF('DADOS BRUTOS'!$A$3:$A$500,$C18,'DADOS BRUTOS'!DG$3:DG$500)))</f>
        <v/>
      </c>
      <c r="GH18" s="123">
        <f>IF(OR(GH$4="",$B18=""),0,SUMIF('DADOS BRUTOS'!$A$3:$A$500,$B18,'DADOS BRUTOS'!DH$3:DH$500)+IF($C18="",0,SUMIF('DADOS BRUTOS'!$A$3:$A$500,$C18,'DADOS BRUTOS'!DH$3:DH$500)))</f>
        <v/>
      </c>
      <c r="GI18" s="123">
        <f>IF(OR(GI$4="",$B18=""),0,SUMIF('DADOS BRUTOS'!$A$3:$A$500,$B18,'DADOS BRUTOS'!DI$3:DI$500)+IF($C18="",0,SUMIF('DADOS BRUTOS'!$A$3:$A$500,$C18,'DADOS BRUTOS'!DI$3:DI$500)))</f>
        <v/>
      </c>
      <c r="GJ18" s="123">
        <f>IF(OR(GJ$4="",$B18=""),0,SUMIF('DADOS BRUTOS'!$A$3:$A$500,$B18,'DADOS BRUTOS'!DJ$3:DJ$500)+IF($C18="",0,SUMIF('DADOS BRUTOS'!$A$3:$A$500,$C18,'DADOS BRUTOS'!DJ$3:DJ$500)))</f>
        <v/>
      </c>
      <c r="GK18" s="123">
        <f>IF(OR(GK$4="",$B18=""),0,SUMIF('DADOS BRUTOS'!$A$3:$A$500,$B18,'DADOS BRUTOS'!DK$3:DK$500)+IF($C18="",0,SUMIF('DADOS BRUTOS'!$A$3:$A$500,$C18,'DADOS BRUTOS'!DK$3:DK$500)))</f>
        <v/>
      </c>
      <c r="GL18" s="123">
        <f>IF(OR(GL$4="",$B18=""),0,SUMIF('DADOS BRUTOS'!$A$3:$A$500,$B18,'DADOS BRUTOS'!DL$3:DL$500)+IF($C18="",0,SUMIF('DADOS BRUTOS'!$A$3:$A$500,$C18,'DADOS BRUTOS'!DL$3:DL$500)))</f>
        <v/>
      </c>
      <c r="GM18" s="123">
        <f>IF(OR(GM$4="",$B18=""),0,SUMIF('DADOS BRUTOS'!$A$3:$A$500,$B18,'DADOS BRUTOS'!DM$3:DM$500)+IF($C18="",0,SUMIF('DADOS BRUTOS'!$A$3:$A$500,$C18,'DADOS BRUTOS'!DM$3:DM$500)))</f>
        <v/>
      </c>
      <c r="GN18" s="123">
        <f>IF(OR(GN$4="",$B18=""),0,SUMIF('DADOS BRUTOS'!$A$3:$A$500,$B18,'DADOS BRUTOS'!DN$3:DN$500)+IF($C18="",0,SUMIF('DADOS BRUTOS'!$A$3:$A$500,$C18,'DADOS BRUTOS'!DN$3:DN$500)))</f>
        <v/>
      </c>
      <c r="GO18" s="123">
        <f>IF(OR(GO$4="",$B18=""),0,SUMIF('DADOS BRUTOS'!$A$3:$A$500,$B18,'DADOS BRUTOS'!DO$3:DO$500)+IF($C18="",0,SUMIF('DADOS BRUTOS'!$A$3:$A$500,$C18,'DADOS BRUTOS'!DO$3:DO$500)))</f>
        <v/>
      </c>
      <c r="GP18" s="123">
        <f>IF(OR(GP$4="",$B18=""),0,SUMIF('DADOS BRUTOS'!$A$3:$A$500,$B18,'DADOS BRUTOS'!DP$3:DP$500)+IF($C18="",0,SUMIF('DADOS BRUTOS'!$A$3:$A$500,$C18,'DADOS BRUTOS'!DP$3:DP$500)))</f>
        <v/>
      </c>
      <c r="GQ18" s="123">
        <f>IF(OR(GQ$4="",$B18=""),0,SUMIF('DADOS BRUTOS'!$A$3:$A$500,$B18,'DADOS BRUTOS'!DQ$3:DQ$500)+IF($C18="",0,SUMIF('DADOS BRUTOS'!$A$3:$A$500,$C18,'DADOS BRUTOS'!DQ$3:DQ$500)))</f>
        <v/>
      </c>
      <c r="GR18" s="123">
        <f>IF(OR(GR$4="",$B18=""),0,SUMIF('DADOS BRUTOS'!$A$3:$A$500,$B18,'DADOS BRUTOS'!DR$3:DR$500)+IF($C18="",0,SUMIF('DADOS BRUTOS'!$A$3:$A$500,$C18,'DADOS BRUTOS'!DR$3:DR$500)))</f>
        <v/>
      </c>
      <c r="GS18" s="123">
        <f>IF(OR(GS$4="",$B18=""),0,SUMIF('DADOS BRUTOS'!$A$3:$A$500,$B18,'DADOS BRUTOS'!DS$3:DS$500)+IF($C18="",0,SUMIF('DADOS BRUTOS'!$A$3:$A$500,$C18,'DADOS BRUTOS'!DS$3:DS$500)))</f>
        <v/>
      </c>
      <c r="GT18" s="123">
        <f>IF(OR(GT$4="",$B18=""),0,SUMIF('DADOS BRUTOS'!$A$3:$A$500,$B18,'DADOS BRUTOS'!DT$3:DT$500)+IF($C18="",0,SUMIF('DADOS BRUTOS'!$A$3:$A$500,$C18,'DADOS BRUTOS'!DT$3:DT$500)))</f>
        <v/>
      </c>
      <c r="GU18" s="123">
        <f>IF(OR(GU$4="",$B18=""),0,SUMIF('DADOS BRUTOS'!$A$3:$A$500,$B18,'DADOS BRUTOS'!DU$3:DU$500)+IF($C18="",0,SUMIF('DADOS BRUTOS'!$A$3:$A$500,$C18,'DADOS BRUTOS'!DU$3:DU$500)))</f>
        <v/>
      </c>
      <c r="GV18" s="123">
        <f>IF(OR(GV$4="",$B18=""),0,SUMIF('DADOS BRUTOS'!$A$3:$A$500,$B18,'DADOS BRUTOS'!DV$3:DV$500)+IF($C18="",0,SUMIF('DADOS BRUTOS'!$A$3:$A$500,$C18,'DADOS BRUTOS'!DV$3:DV$500)))</f>
        <v/>
      </c>
      <c r="GW18" s="123">
        <f>IF(OR(GW$4="",$B18=""),0,SUMIF('DADOS BRUTOS'!$A$3:$A$500,$B18,'DADOS BRUTOS'!DW$3:DW$500)+IF($C18="",0,SUMIF('DADOS BRUTOS'!$A$3:$A$500,$C18,'DADOS BRUTOS'!DW$3:DW$500)))</f>
        <v/>
      </c>
      <c r="GX18" s="123">
        <f>IF(OR(GX$4="",$B18=""),0,SUMIF('DADOS BRUTOS'!$A$3:$A$500,$B18,'DADOS BRUTOS'!DX$3:DX$500)+IF($C18="",0,SUMIF('DADOS BRUTOS'!$A$3:$A$500,$C18,'DADOS BRUTOS'!DX$3:DX$500)))</f>
        <v/>
      </c>
      <c r="GY18" s="123">
        <f>IF(OR(GY$4="",$B18=""),0,SUMIF('DADOS BRUTOS'!$A$3:$A$500,$B18,'DADOS BRUTOS'!DY$3:DY$500)+IF($C18="",0,SUMIF('DADOS BRUTOS'!$A$3:$A$500,$C18,'DADOS BRUTOS'!DY$3:DY$500)))</f>
        <v/>
      </c>
      <c r="GZ18" s="123">
        <f>IF(OR(GZ$4="",$B18=""),0,SUMIF('DADOS BRUTOS'!$A$3:$A$500,$B18,'DADOS BRUTOS'!DZ$3:DZ$500)+IF($C18="",0,SUMIF('DADOS BRUTOS'!$A$3:$A$500,$C18,'DADOS BRUTOS'!DZ$3:DZ$500)))</f>
        <v/>
      </c>
      <c r="HA18" s="123">
        <f>IF(OR(HA$4="",$B18=""),0,SUMIF('DADOS BRUTOS'!$A$3:$A$500,$B18,'DADOS BRUTOS'!EA$3:EA$500)+IF($C18="",0,SUMIF('DADOS BRUTOS'!$A$3:$A$500,$C18,'DADOS BRUTOS'!EA$3:EA$500)))</f>
        <v/>
      </c>
      <c r="HB18" s="123">
        <f>IF(OR(HB$4="",$B18=""),0,SUMIF('DADOS BRUTOS'!$A$3:$A$500,$B18,'DADOS BRUTOS'!EB$3:EB$500)+IF($C18="",0,SUMIF('DADOS BRUTOS'!$A$3:$A$500,$C18,'DADOS BRUTOS'!EB$3:EB$500)))</f>
        <v/>
      </c>
      <c r="HC18" s="123">
        <f>IF(OR(HC$4="",$B18=""),0,SUMIF('DADOS BRUTOS'!$A$3:$A$500,$B18,'DADOS BRUTOS'!EC$3:EC$500)+IF($C18="",0,SUMIF('DADOS BRUTOS'!$A$3:$A$500,$C18,'DADOS BRUTOS'!EC$3:EC$500)))</f>
        <v/>
      </c>
      <c r="HD18" s="123">
        <f>IF(OR(HD$4="",$B18=""),0,SUMIF('DADOS BRUTOS'!$A$3:$A$500,$B18,'DADOS BRUTOS'!ED$3:ED$500)+IF($C18="",0,SUMIF('DADOS BRUTOS'!$A$3:$A$500,$C18,'DADOS BRUTOS'!ED$3:ED$500)))</f>
        <v/>
      </c>
      <c r="HE18" s="123">
        <f>IF(OR(HE$4="",$B18=""),0,SUMIF('DADOS BRUTOS'!$A$3:$A$500,$B18,'DADOS BRUTOS'!EE$3:EE$500)+IF($C18="",0,SUMIF('DADOS BRUTOS'!$A$3:$A$500,$C18,'DADOS BRUTOS'!EE$3:EE$500)))</f>
        <v/>
      </c>
      <c r="HF18" s="123">
        <f>IF(OR(HF$4="",$B18=""),0,SUMIF('DADOS BRUTOS'!$A$3:$A$500,$B18,'DADOS BRUTOS'!EF$3:EF$500)+IF($C18="",0,SUMIF('DADOS BRUTOS'!$A$3:$A$500,$C18,'DADOS BRUTOS'!EF$3:EF$500)))</f>
        <v/>
      </c>
      <c r="HG18" s="123">
        <f>IF(OR(HG$4="",$B18=""),0,SUMIF('DADOS BRUTOS'!$A$3:$A$500,$B18,'DADOS BRUTOS'!EG$3:EG$500)+IF($C18="",0,SUMIF('DADOS BRUTOS'!$A$3:$A$500,$C18,'DADOS BRUTOS'!EG$3:EG$500)))</f>
        <v/>
      </c>
      <c r="HH18" s="123">
        <f>IF(OR(HH$4="",$B18=""),0,SUMIF('DADOS BRUTOS'!$A$3:$A$500,$B18,'DADOS BRUTOS'!EH$3:EH$500)+IF($C18="",0,SUMIF('DADOS BRUTOS'!$A$3:$A$500,$C18,'DADOS BRUTOS'!EH$3:EH$500)))</f>
        <v/>
      </c>
      <c r="HI18" s="123">
        <f>IF(OR(HI$4="",$B18=""),0,SUMIF('DADOS BRUTOS'!$A$3:$A$500,$B18,'DADOS BRUTOS'!EI$3:EI$500)+IF($C18="",0,SUMIF('DADOS BRUTOS'!$A$3:$A$500,$C18,'DADOS BRUTOS'!EI$3:EI$500)))</f>
        <v/>
      </c>
      <c r="HJ18" s="123">
        <f>IF(OR(HJ$4="",$B18=""),0,SUMIF('DADOS BRUTOS'!$A$3:$A$500,$B18,'DADOS BRUTOS'!EJ$3:EJ$500)+IF($C18="",0,SUMIF('DADOS BRUTOS'!$A$3:$A$500,$C18,'DADOS BRUTOS'!EJ$3:EJ$500)))</f>
        <v/>
      </c>
      <c r="HK18" s="123">
        <f>IF(OR(HK$4="",$B18=""),0,SUMIF('DADOS BRUTOS'!$A$3:$A$500,$B18,'DADOS BRUTOS'!EK$3:EK$500)+IF($C18="",0,SUMIF('DADOS BRUTOS'!$A$3:$A$500,$C18,'DADOS BRUTOS'!EK$3:EK$500)))</f>
        <v/>
      </c>
      <c r="HL18" s="123">
        <f>IF(OR(HL$4="",$B18=""),0,SUMIF('DADOS BRUTOS'!$A$3:$A$500,$B18,'DADOS BRUTOS'!EL$3:EL$500)+IF($C18="",0,SUMIF('DADOS BRUTOS'!$A$3:$A$500,$C18,'DADOS BRUTOS'!EL$3:EL$500)))</f>
        <v/>
      </c>
      <c r="HM18" s="123">
        <f>IF(OR(HM$4="",$B18=""),0,SUMIF('DADOS BRUTOS'!$A$3:$A$500,$B18,'DADOS BRUTOS'!EM$3:EM$500)+IF($C18="",0,SUMIF('DADOS BRUTOS'!$A$3:$A$500,$C18,'DADOS BRUTOS'!EM$3:EM$500)))</f>
        <v/>
      </c>
      <c r="HN18" s="123">
        <f>IF(OR(HN$4="",$B18=""),0,SUMIF('DADOS BRUTOS'!$A$3:$A$500,$B18,'DADOS BRUTOS'!EN$3:EN$500)+IF($C18="",0,SUMIF('DADOS BRUTOS'!$A$3:$A$500,$C18,'DADOS BRUTOS'!EN$3:EN$500)))</f>
        <v/>
      </c>
      <c r="HO18" s="123">
        <f>IF(OR(HO$4="",$B18=""),0,SUMIF('DADOS BRUTOS'!$A$3:$A$500,$B18,'DADOS BRUTOS'!EO$3:EO$500)+IF($C18="",0,SUMIF('DADOS BRUTOS'!$A$3:$A$500,$C18,'DADOS BRUTOS'!EO$3:EO$500)))</f>
        <v/>
      </c>
      <c r="HP18" s="123">
        <f>IF(OR(HP$4="",$B18=""),0,SUMIF('DADOS BRUTOS'!$A$3:$A$500,$B18,'DADOS BRUTOS'!EP$3:EP$500)+IF($C18="",0,SUMIF('DADOS BRUTOS'!$A$3:$A$500,$C18,'DADOS BRUTOS'!EP$3:EP$500)))</f>
        <v/>
      </c>
      <c r="HQ18" s="123">
        <f>IF(OR(HQ$4="",$B18=""),0,SUMIF('DADOS BRUTOS'!$A$3:$A$500,$B18,'DADOS BRUTOS'!EQ$3:EQ$500)+IF($C18="",0,SUMIF('DADOS BRUTOS'!$A$3:$A$500,$C18,'DADOS BRUTOS'!EQ$3:EQ$500)))</f>
        <v/>
      </c>
      <c r="HR18" s="123">
        <f>IF(OR(HR$4="",$B18=""),0,SUMIF('DADOS BRUTOS'!$A$3:$A$500,$B18,'DADOS BRUTOS'!ER$3:ER$500)+IF($C18="",0,SUMIF('DADOS BRUTOS'!$A$3:$A$500,$C18,'DADOS BRUTOS'!ER$3:ER$500)))</f>
        <v/>
      </c>
      <c r="HS18" s="123">
        <f>IF(OR(HS$4="",$B18=""),0,SUMIF('DADOS BRUTOS'!$A$3:$A$500,$B18,'DADOS BRUTOS'!ES$3:ES$500)+IF($C18="",0,SUMIF('DADOS BRUTOS'!$A$3:$A$500,$C18,'DADOS BRUTOS'!ES$3:ES$500)))</f>
        <v/>
      </c>
      <c r="HT18" s="123">
        <f>IF(OR(HT$4="",$B18=""),0,SUMIF('DADOS BRUTOS'!$A$3:$A$500,$B18,'DADOS BRUTOS'!ET$3:ET$500)+IF($C18="",0,SUMIF('DADOS BRUTOS'!$A$3:$A$500,$C18,'DADOS BRUTOS'!ET$3:ET$500)))</f>
        <v/>
      </c>
      <c r="HU18" s="123">
        <f>IF(OR(HU$4="",$B18=""),0,SUMIF('DADOS BRUTOS'!$A$3:$A$500,$B18,'DADOS BRUTOS'!EU$3:EU$500)+IF($C18="",0,SUMIF('DADOS BRUTOS'!$A$3:$A$500,$C18,'DADOS BRUTOS'!EU$3:EU$500)))</f>
        <v/>
      </c>
      <c r="HV18" s="123">
        <f>IF(OR(HV$4="",$B18=""),0,SUMIF('DADOS BRUTOS'!$A$3:$A$500,$B18,'DADOS BRUTOS'!EV$3:EV$500)+IF($C18="",0,SUMIF('DADOS BRUTOS'!$A$3:$A$500,$C18,'DADOS BRUTOS'!EV$3:EV$500)))</f>
        <v/>
      </c>
      <c r="HW18" s="123">
        <f>IF(OR(HW$4="",$B18=""),0,SUMIF('DADOS BRUTOS'!$A$3:$A$500,$B18,'DADOS BRUTOS'!EW$3:EW$500)+IF($C18="",0,SUMIF('DADOS BRUTOS'!$A$3:$A$500,$C18,'DADOS BRUTOS'!EW$3:EW$500)))</f>
        <v/>
      </c>
      <c r="HX18" s="123">
        <f>IF(OR(HX$4="",$B18=""),0,SUMIF('DADOS BRUTOS'!$A$3:$A$500,$B18,'DADOS BRUTOS'!EX$3:EX$500)+IF($C18="",0,SUMIF('DADOS BRUTOS'!$A$3:$A$500,$C18,'DADOS BRUTOS'!EX$3:EX$500)))</f>
        <v/>
      </c>
      <c r="HY18" s="123">
        <f>IF(OR(HY$4="",$B18=""),0,SUMIF('DADOS BRUTOS'!$A$3:$A$500,$B18,'DADOS BRUTOS'!EY$3:EY$500)+IF($C18="",0,SUMIF('DADOS BRUTOS'!$A$3:$A$500,$C18,'DADOS BRUTOS'!EY$3:EY$500)))</f>
        <v/>
      </c>
      <c r="HZ18" s="123">
        <f>IF(OR(HZ$4="",$B18=""),0,SUMIF('DADOS BRUTOS'!$A$3:$A$500,$B18,'DADOS BRUTOS'!EZ$3:EZ$500)+IF($C18="",0,SUMIF('DADOS BRUTOS'!$A$3:$A$500,$C18,'DADOS BRUTOS'!EZ$3:EZ$500)))</f>
        <v/>
      </c>
      <c r="IA18" s="123">
        <f>IF(OR(IA$4="",$B18=""),0,SUMIF('DADOS BRUTOS'!$A$3:$A$500,$B18,'DADOS BRUTOS'!FA$3:FA$500)+IF($C18="",0,SUMIF('DADOS BRUTOS'!$A$3:$A$500,$C18,'DADOS BRUTOS'!FA$3:FA$500)))</f>
        <v/>
      </c>
      <c r="IB18" s="123">
        <f>IF(OR(IB$4="",$B18=""),0,SUMIF('DADOS BRUTOS'!$A$3:$A$500,$B18,'DADOS BRUTOS'!FB$3:FB$500)+IF($C18="",0,SUMIF('DADOS BRUTOS'!$A$3:$A$500,$C18,'DADOS BRUTOS'!FB$3:FB$500)))</f>
        <v/>
      </c>
      <c r="IC18" s="123">
        <f>IF(OR(IC$4="",$B18=""),0,SUMIF('DADOS BRUTOS'!$A$3:$A$500,$B18,'DADOS BRUTOS'!FC$3:FC$500)+IF($C18="",0,SUMIF('DADOS BRUTOS'!$A$3:$A$500,$C18,'DADOS BRUTOS'!FC$3:FC$500)))</f>
        <v/>
      </c>
      <c r="ID18" s="123">
        <f>IF(OR(ID$4="",$B18=""),0,SUMIF('DADOS BRUTOS'!$A$3:$A$500,$B18,'DADOS BRUTOS'!FD$3:FD$500)+IF($C18="",0,SUMIF('DADOS BRUTOS'!$A$3:$A$500,$C18,'DADOS BRUTOS'!FD$3:FD$500)))</f>
        <v/>
      </c>
      <c r="IE18" s="123">
        <f>IF(OR(IE$4="",$B18=""),0,SUMIF('DADOS BRUTOS'!$A$3:$A$500,$B18,'DADOS BRUTOS'!FE$3:FE$500)+IF($C18="",0,SUMIF('DADOS BRUTOS'!$A$3:$A$500,$C18,'DADOS BRUTOS'!FE$3:FE$500)))</f>
        <v/>
      </c>
      <c r="IF18" s="123">
        <f>IF(OR(IF$4="",$B18=""),0,SUMIF('DADOS BRUTOS'!$A$3:$A$500,$B18,'DADOS BRUTOS'!FF$3:FF$500)+IF($C18="",0,SUMIF('DADOS BRUTOS'!$A$3:$A$500,$C18,'DADOS BRUTOS'!FF$3:FF$500)))</f>
        <v/>
      </c>
      <c r="IG18" s="123">
        <f>IF(OR(IG$4="",$B18=""),0,SUMIF('DADOS BRUTOS'!$A$3:$A$500,$B18,'DADOS BRUTOS'!FG$3:FG$500)+IF($C18="",0,SUMIF('DADOS BRUTOS'!$A$3:$A$500,$C18,'DADOS BRUTOS'!FG$3:FG$500)))</f>
        <v/>
      </c>
      <c r="IH18" s="123">
        <f>IF(OR(IH$4="",$B18=""),0,SUMIF('DADOS BRUTOS'!$A$3:$A$500,$B18,'DADOS BRUTOS'!FH$3:FH$500)+IF($C18="",0,SUMIF('DADOS BRUTOS'!$A$3:$A$500,$C18,'DADOS BRUTOS'!FH$3:FH$500)))</f>
        <v/>
      </c>
      <c r="II18" s="123">
        <f>IF(OR(II$4="",$B18=""),0,SUMIF('DADOS BRUTOS'!$A$3:$A$500,$B18,'DADOS BRUTOS'!FI$3:FI$500)+IF($C18="",0,SUMIF('DADOS BRUTOS'!$A$3:$A$500,$C18,'DADOS BRUTOS'!FI$3:FI$500)))</f>
        <v/>
      </c>
      <c r="IJ18" s="123">
        <f>IF(OR(IJ$4="",$B18=""),0,SUMIF('DADOS BRUTOS'!$A$3:$A$500,$B18,'DADOS BRUTOS'!FJ$3:FJ$500)+IF($C18="",0,SUMIF('DADOS BRUTOS'!$A$3:$A$500,$C18,'DADOS BRUTOS'!FJ$3:FJ$500)))</f>
        <v/>
      </c>
      <c r="IK18" s="123">
        <f>IF(OR(IK$4="",$B18=""),0,SUMIF('DADOS BRUTOS'!$A$3:$A$500,$B18,'DADOS BRUTOS'!FK$3:FK$500)+IF($C18="",0,SUMIF('DADOS BRUTOS'!$A$3:$A$500,$C18,'DADOS BRUTOS'!FK$3:FK$500)))</f>
        <v/>
      </c>
      <c r="IL18" s="123">
        <f>IF(OR(IL$4="",$B18=""),0,SUMIF('DADOS BRUTOS'!$A$3:$A$500,$B18,'DADOS BRUTOS'!FL$3:FL$500)+IF($C18="",0,SUMIF('DADOS BRUTOS'!$A$3:$A$500,$C18,'DADOS BRUTOS'!FL$3:FL$500)))</f>
        <v/>
      </c>
      <c r="IM18" s="123">
        <f>IF(OR(IM$4="",$B18=""),0,SUMIF('DADOS BRUTOS'!$A$3:$A$500,$B18,'DADOS BRUTOS'!FM$3:FM$500)+IF($C18="",0,SUMIF('DADOS BRUTOS'!$A$3:$A$500,$C18,'DADOS BRUTOS'!FM$3:FM$500)))</f>
        <v/>
      </c>
      <c r="IN18" s="123">
        <f>IF(OR(IN$4="",$B18=""),0,SUMIF('DADOS BRUTOS'!$A$3:$A$500,$B18,'DADOS BRUTOS'!FN$3:FN$500)+IF($C18="",0,SUMIF('DADOS BRUTOS'!$A$3:$A$500,$C18,'DADOS BRUTOS'!FN$3:FN$500)))</f>
        <v/>
      </c>
      <c r="IO18" s="123">
        <f>IF(OR(IO$4="",$B18=""),0,SUMIF('DADOS BRUTOS'!$A$3:$A$500,$B18,'DADOS BRUTOS'!FO$3:FO$500)+IF($C18="",0,SUMIF('DADOS BRUTOS'!$A$3:$A$500,$C18,'DADOS BRUTOS'!FO$3:FO$500)))</f>
        <v/>
      </c>
      <c r="IP18" s="123">
        <f>IF(OR(IP$4="",$B18=""),0,SUMIF('DADOS BRUTOS'!$A$3:$A$500,$B18,'DADOS BRUTOS'!FP$3:FP$500)+IF($C18="",0,SUMIF('DADOS BRUTOS'!$A$3:$A$500,$C18,'DADOS BRUTOS'!FP$3:FP$500)))</f>
        <v/>
      </c>
      <c r="IQ18" s="123">
        <f>IF(OR(IQ$4="",$B18=""),0,SUMIF('DADOS BRUTOS'!$A$3:$A$500,$B18,'DADOS BRUTOS'!FQ$3:FQ$500)+IF($C18="",0,SUMIF('DADOS BRUTOS'!$A$3:$A$500,$C18,'DADOS BRUTOS'!FQ$3:FQ$500)))</f>
        <v/>
      </c>
      <c r="IR18" s="123">
        <f>IF(OR(IR$4="",$B18=""),0,SUMIF('DADOS BRUTOS'!$A$3:$A$500,$B18,'DADOS BRUTOS'!FR$3:FR$500)+IF($C18="",0,SUMIF('DADOS BRUTOS'!$A$3:$A$500,$C18,'DADOS BRUTOS'!FR$3:FR$500)))</f>
        <v/>
      </c>
      <c r="IS18" s="123">
        <f>IF(OR(IS$4="",$B18=""),0,SUMIF('DADOS BRUTOS'!$A$3:$A$500,$B18,'DADOS BRUTOS'!FS$3:FS$500)+IF($C18="",0,SUMIF('DADOS BRUTOS'!$A$3:$A$500,$C18,'DADOS BRUTOS'!FS$3:FS$500)))</f>
        <v/>
      </c>
      <c r="IT18" s="123">
        <f>IF(OR(IT$4="",$B18=""),0,SUMIF('DADOS BRUTOS'!$A$3:$A$500,$B18,'DADOS BRUTOS'!FT$3:FT$500)+IF($C18="",0,SUMIF('DADOS BRUTOS'!$A$3:$A$500,$C18,'DADOS BRUTOS'!FT$3:FT$500)))</f>
        <v/>
      </c>
      <c r="IU18" s="123">
        <f>IF(OR(IU$4="",$B18=""),0,SUMIF('DADOS BRUTOS'!$A$3:$A$500,$B18,'DADOS BRUTOS'!FU$3:FU$500)+IF($C18="",0,SUMIF('DADOS BRUTOS'!$A$3:$A$500,$C18,'DADOS BRUTOS'!FU$3:FU$500)))</f>
        <v/>
      </c>
      <c r="IV18" s="123">
        <f>IF(OR(IV$4="",$B18=""),0,SUMIF('DADOS BRUTOS'!$A$3:$A$500,$B18,'DADOS BRUTOS'!FV$3:FV$500)+IF($C18="",0,SUMIF('DADOS BRUTOS'!$A$3:$A$500,$C18,'DADOS BRUTOS'!FV$3:FV$500)))</f>
        <v/>
      </c>
      <c r="IW18" s="123">
        <f>IF(OR(IW$4="",$B18=""),0,SUMIF('DADOS BRUTOS'!$A$3:$A$500,$B18,'DADOS BRUTOS'!FW$3:FW$500)+IF($C18="",0,SUMIF('DADOS BRUTOS'!$A$3:$A$500,$C18,'DADOS BRUTOS'!FW$3:FW$500)))</f>
        <v/>
      </c>
      <c r="IX18" s="123">
        <f>IF(OR(IX$4="",$B18=""),0,SUMIF('DADOS BRUTOS'!$A$3:$A$500,$B18,'DADOS BRUTOS'!FX$3:FX$500)+IF($C18="",0,SUMIF('DADOS BRUTOS'!$A$3:$A$500,$C18,'DADOS BRUTOS'!FX$3:FX$500)))</f>
        <v/>
      </c>
      <c r="IY18" s="123">
        <f>IF(OR(IY$4="",$B18=""),0,SUMIF('DADOS BRUTOS'!$A$3:$A$500,$B18,'DADOS BRUTOS'!FY$3:FY$500)+IF($C18="",0,SUMIF('DADOS BRUTOS'!$A$3:$A$500,$C18,'DADOS BRUTOS'!FY$3:FY$500)))</f>
        <v/>
      </c>
      <c r="IZ18" s="123">
        <f>IF(OR(IZ$4="",$B18=""),0,SUMIF('DADOS BRUTOS'!$A$3:$A$500,$B18,'DADOS BRUTOS'!FZ$3:FZ$500)+IF($C18="",0,SUMIF('DADOS BRUTOS'!$A$3:$A$500,$C18,'DADOS BRUTOS'!FZ$3:FZ$500)))</f>
        <v/>
      </c>
      <c r="JA18" s="123">
        <f>IF(OR(JA$4="",$B18=""),0,SUMIF('DADOS BRUTOS'!$A$3:$A$500,$B18,'DADOS BRUTOS'!GA$3:GA$500)+IF($C18="",0,SUMIF('DADOS BRUTOS'!$A$3:$A$500,$C18,'DADOS BRUTOS'!GA$3:GA$500)))</f>
        <v/>
      </c>
      <c r="JB18" s="123">
        <f>IF(OR(JB$4="",$B18=""),0,SUMIF('DADOS BRUTOS'!$A$3:$A$500,$B18,'DADOS BRUTOS'!GB$3:GB$500)+IF($C18="",0,SUMIF('DADOS BRUTOS'!$A$3:$A$500,$C18,'DADOS BRUTOS'!GB$3:GB$500)))</f>
        <v/>
      </c>
      <c r="JC18" s="123">
        <f>IF(OR(JC$4="",$B18=""),0,SUMIF('DADOS BRUTOS'!$A$3:$A$500,$B18,'DADOS BRUTOS'!GC$3:GC$500)+IF($C18="",0,SUMIF('DADOS BRUTOS'!$A$3:$A$500,$C18,'DADOS BRUTOS'!GC$3:GC$500)))</f>
        <v/>
      </c>
      <c r="JD18" s="123">
        <f>IF(OR(JD$4="",$B18=""),0,SUMIF('DADOS BRUTOS'!$A$3:$A$500,$B18,'DADOS BRUTOS'!GD$3:GD$500)+IF($C18="",0,SUMIF('DADOS BRUTOS'!$A$3:$A$500,$C18,'DADOS BRUTOS'!GD$3:GD$500)))</f>
        <v/>
      </c>
      <c r="JE18" s="123">
        <f>IF(OR(JE$4="",$B18=""),0,SUMIF('DADOS BRUTOS'!$A$3:$A$500,$B18,'DADOS BRUTOS'!GE$3:GE$500)+IF($C18="",0,SUMIF('DADOS BRUTOS'!$A$3:$A$500,$C18,'DADOS BRUTOS'!GE$3:GE$500)))</f>
        <v/>
      </c>
      <c r="JF18" s="123">
        <f>IF(OR(JF$4="",$B18=""),0,SUMIF('DADOS BRUTOS'!$A$3:$A$500,$B18,'DADOS BRUTOS'!GF$3:GF$500)+IF($C18="",0,SUMIF('DADOS BRUTOS'!$A$3:$A$500,$C18,'DADOS BRUTOS'!GF$3:GF$500)))</f>
        <v/>
      </c>
      <c r="JG18" s="123">
        <f>IF(OR(JG$4="",$B18=""),0,SUMIF('DADOS BRUTOS'!$A$3:$A$500,$B18,'DADOS BRUTOS'!GG$3:GG$500)+IF($C18="",0,SUMIF('DADOS BRUTOS'!$A$3:$A$500,$C18,'DADOS BRUTOS'!GG$3:GG$500)))</f>
        <v/>
      </c>
      <c r="JH18" s="123">
        <f>IF(OR(JH$4="",$B18=""),0,SUMIF('DADOS BRUTOS'!$A$3:$A$500,$B18,'DADOS BRUTOS'!GH$3:GH$500)+IF($C18="",0,SUMIF('DADOS BRUTOS'!$A$3:$A$500,$C18,'DADOS BRUTOS'!GH$3:GH$500)))</f>
        <v/>
      </c>
      <c r="JI18" s="123">
        <f>IF(OR(JI$4="",$B18=""),0,SUMIF('DADOS BRUTOS'!$A$3:$A$500,$B18,'DADOS BRUTOS'!GI$3:GI$500)+IF($C18="",0,SUMIF('DADOS BRUTOS'!$A$3:$A$500,$C18,'DADOS BRUTOS'!GI$3:GI$500)))</f>
        <v/>
      </c>
      <c r="JJ18" s="123">
        <f>IF(OR(JJ$4="",$B18=""),0,SUMIF('DADOS BRUTOS'!$A$3:$A$500,$B18,'DADOS BRUTOS'!GJ$3:GJ$500)+IF($C18="",0,SUMIF('DADOS BRUTOS'!$A$3:$A$500,$C18,'DADOS BRUTOS'!GJ$3:GJ$500)))</f>
        <v/>
      </c>
      <c r="JK18" s="123">
        <f>IF(OR(JK$4="",$B18=""),0,SUMIF('DADOS BRUTOS'!$A$3:$A$500,$B18,'DADOS BRUTOS'!GK$3:GK$500)+IF($C18="",0,SUMIF('DADOS BRUTOS'!$A$3:$A$500,$C18,'DADOS BRUTOS'!GK$3:GK$500)))</f>
        <v/>
      </c>
      <c r="JL18" s="123">
        <f>IF(OR(JL$4="",$B18=""),0,SUMIF('DADOS BRUTOS'!$A$3:$A$500,$B18,'DADOS BRUTOS'!GL$3:GL$500)+IF($C18="",0,SUMIF('DADOS BRUTOS'!$A$3:$A$500,$C18,'DADOS BRUTOS'!GL$3:GL$500)))</f>
        <v/>
      </c>
      <c r="JM18" s="123">
        <f>IF(OR(JM$4="",$B18=""),0,SUMIF('DADOS BRUTOS'!$A$3:$A$500,$B18,'DADOS BRUTOS'!GM$3:GM$500)+IF($C18="",0,SUMIF('DADOS BRUTOS'!$A$3:$A$500,$C18,'DADOS BRUTOS'!GM$3:GM$500)))</f>
        <v/>
      </c>
      <c r="JN18" s="123">
        <f>IF(OR(JN$4="",$B18=""),0,SUMIF('DADOS BRUTOS'!$A$3:$A$500,$B18,'DADOS BRUTOS'!GN$3:GN$500)+IF($C18="",0,SUMIF('DADOS BRUTOS'!$A$3:$A$500,$C18,'DADOS BRUTOS'!GN$3:GN$500)))</f>
        <v/>
      </c>
      <c r="JO18" s="123">
        <f>IF(OR(JO$4="",$B18=""),0,SUMIF('DADOS BRUTOS'!$A$3:$A$500,$B18,'DADOS BRUTOS'!GO$3:GO$500)+IF($C18="",0,SUMIF('DADOS BRUTOS'!$A$3:$A$500,$C18,'DADOS BRUTOS'!GO$3:GO$500)))</f>
        <v/>
      </c>
      <c r="JP18" s="123">
        <f>IF(OR(JP$4="",$B18=""),0,SUMIF('DADOS BRUTOS'!$A$3:$A$500,$B18,'DADOS BRUTOS'!GP$3:GP$500)+IF($C18="",0,SUMIF('DADOS BRUTOS'!$A$3:$A$500,$C18,'DADOS BRUTOS'!GP$3:GP$500)))</f>
        <v/>
      </c>
      <c r="JQ18" s="123">
        <f>IF(OR(JQ$4="",$B18=""),0,SUMIF('DADOS BRUTOS'!$A$3:$A$500,$B18,'DADOS BRUTOS'!GQ$3:GQ$500)+IF($C18="",0,SUMIF('DADOS BRUTOS'!$A$3:$A$500,$C18,'DADOS BRUTOS'!GQ$3:GQ$500)))</f>
        <v/>
      </c>
      <c r="JR18" s="123">
        <f>IF(OR(JR$4="",$B18=""),0,SUMIF('DADOS BRUTOS'!$A$3:$A$500,$B18,'DADOS BRUTOS'!GR$3:GR$500)+IF($C18="",0,SUMIF('DADOS BRUTOS'!$A$3:$A$500,$C18,'DADOS BRUTOS'!GR$3:GR$500)))</f>
        <v/>
      </c>
      <c r="JS18" s="123">
        <f>IF(OR(JS$4="",$B18=""),0,SUMIF('DADOS BRUTOS'!$A$3:$A$500,$B18,'DADOS BRUTOS'!GS$3:GS$500)+IF($C18="",0,SUMIF('DADOS BRUTOS'!$A$3:$A$500,$C18,'DADOS BRUTOS'!GS$3:GS$500)))</f>
        <v/>
      </c>
    </row>
    <row r="19">
      <c r="A19" s="61">
        <f>'VALOR POR PL'!D25</f>
        <v/>
      </c>
      <c r="B19" s="60" t="inlineStr">
        <is>
          <t>FUNDAÇÃO PROFUNDA</t>
        </is>
      </c>
      <c r="C19" s="60" t="n"/>
      <c r="D19" s="55">
        <f>SUMIF($CB$4:$JS$4,"&lt;="&amp;D$4,$CB19:$JS19)</f>
        <v/>
      </c>
      <c r="E19" s="55">
        <f>SUMIF($CB$4:$JS$4,E$4,$CB19:$JS19)</f>
        <v/>
      </c>
      <c r="F19" s="55">
        <f>SUMIF($CB$4:$JS$4,F$4,$CB19:$JS19)</f>
        <v/>
      </c>
      <c r="G19" s="55">
        <f>SUMIF($CB$4:$JS$4,G$4,$CB19:$JS19)</f>
        <v/>
      </c>
      <c r="H19" s="55">
        <f>SUMIF($CB$4:$JS$4,H$4,$CB19:$JS19)</f>
        <v/>
      </c>
      <c r="I19" s="55">
        <f>SUMIF($CB$4:$JS$4,I$4,$CB19:$JS19)</f>
        <v/>
      </c>
      <c r="J19" s="55">
        <f>SUMIF($CB$4:$JS$4,J$4,$CB19:$JS19)</f>
        <v/>
      </c>
      <c r="K19" s="55">
        <f>SUMIF($CB$4:$JS$4,K$4,$CB19:$JS19)</f>
        <v/>
      </c>
      <c r="L19" s="55">
        <f>SUMIF($CB$4:$JS$4,L$4,$CB19:$JS19)</f>
        <v/>
      </c>
      <c r="M19" s="55">
        <f>SUMIF($CB$4:$JS$4,M$4,$CB19:$JS19)</f>
        <v/>
      </c>
      <c r="N19" s="55">
        <f>SUMIF($CB$4:$JS$4,N$4,$CB19:$JS19)</f>
        <v/>
      </c>
      <c r="O19" s="55">
        <f>SUMIF($CB$4:$JS$4,O$4,$CB19:$JS19)</f>
        <v/>
      </c>
      <c r="P19" s="55">
        <f>SUMIF($CB$4:$JS$4,P$4,$CB19:$JS19)</f>
        <v/>
      </c>
      <c r="Q19" s="55">
        <f>SUMIF($CB$4:$JS$4,Q$4,$CB19:$JS19)</f>
        <v/>
      </c>
      <c r="R19" s="55">
        <f>SUMIF($CB$4:$JS$4,R$4,$CB19:$JS19)</f>
        <v/>
      </c>
      <c r="S19" s="55">
        <f>SUMIF($CB$4:$JS$4,S$4,$CB19:$JS19)</f>
        <v/>
      </c>
      <c r="T19" s="55">
        <f>SUMIF($CB$4:$JS$4,T$4,$CB19:$JS19)</f>
        <v/>
      </c>
      <c r="U19" s="55">
        <f>SUMIF($CB$4:$JS$4,U$4,$CB19:$JS19)</f>
        <v/>
      </c>
      <c r="V19" s="55">
        <f>SUMIF($CB$4:$JS$4,V$4,$CB19:$JS19)</f>
        <v/>
      </c>
      <c r="W19" s="55">
        <f>SUMIF($CB$4:$JS$4,W$4,$CB19:$JS19)</f>
        <v/>
      </c>
      <c r="X19" s="55">
        <f>SUMIF($CB$4:$JS$4,X$4,$CB19:$JS19)</f>
        <v/>
      </c>
      <c r="Y19" s="55">
        <f>SUMIF($CB$4:$JS$4,Y$4,$CB19:$JS19)</f>
        <v/>
      </c>
      <c r="Z19" s="55">
        <f>SUMIF($CB$4:$JS$4,Z$4,$CB19:$JS19)</f>
        <v/>
      </c>
      <c r="AA19" s="55">
        <f>SUMIF($CB$4:$JS$4,AA$4,$CB19:$JS19)</f>
        <v/>
      </c>
      <c r="AB19" s="55">
        <f>SUMIF($CB$4:$JS$4,AB$4,$CB19:$JS19)</f>
        <v/>
      </c>
      <c r="AC19" s="55">
        <f>SUMIF($CB$4:$JS$4,AC$4,$CB19:$JS19)</f>
        <v/>
      </c>
      <c r="AD19" s="55">
        <f>SUMIF($CB$4:$JS$4,AD$4,$CB19:$JS19)</f>
        <v/>
      </c>
      <c r="AE19" s="55">
        <f>SUMIF($CB$4:$JS$4,AE$4,$CB19:$JS19)</f>
        <v/>
      </c>
      <c r="AF19" s="55">
        <f>SUMIF($CB$4:$JS$4,AF$4,$CB19:$JS19)</f>
        <v/>
      </c>
      <c r="AG19" s="55">
        <f>SUMIF($CB$4:$JS$4,AG$4,$CB19:$JS19)</f>
        <v/>
      </c>
      <c r="AH19" s="55">
        <f>SUMIF($CB$4:$JS$4,AH$4,$CB19:$JS19)</f>
        <v/>
      </c>
      <c r="AI19" s="55">
        <f>SUMIF($CB$4:$JS$4,AI$4,$CB19:$JS19)</f>
        <v/>
      </c>
      <c r="AJ19" s="55">
        <f>SUMIF($CB$4:$JS$4,AJ$4,$CB19:$JS19)</f>
        <v/>
      </c>
      <c r="AK19" s="55">
        <f>SUMIF($CB$4:$JS$4,AK$4,$CB19:$JS19)</f>
        <v/>
      </c>
      <c r="AL19" s="55">
        <f>SUMIF($CB$4:$JS$4,AL$4,$CB19:$JS19)</f>
        <v/>
      </c>
      <c r="AM19" s="55">
        <f>SUMIF($CB$4:$JS$4,AM$4,$CB19:$JS19)</f>
        <v/>
      </c>
      <c r="AN19" s="55">
        <f>SUMIF($CB$4:$JS$4,AN$4,$CB19:$JS19)</f>
        <v/>
      </c>
      <c r="AO19" s="55">
        <f>SUMIF($CB$4:$JS$4,AO$4,$CB19:$JS19)</f>
        <v/>
      </c>
      <c r="AP19" s="55">
        <f>SUMIF($CB$4:$JS$4,AP$4,$CB19:$JS19)</f>
        <v/>
      </c>
      <c r="AQ19" s="55">
        <f>SUMIF($CB$4:$JS$4,AQ$4,$CB19:$JS19)</f>
        <v/>
      </c>
      <c r="AR19" s="55">
        <f>SUMIF($CB$4:$JS$4,AR$4,$CB19:$JS19)</f>
        <v/>
      </c>
      <c r="AS19" s="55">
        <f>SUMIF($CB$4:$JS$4,AS$4,$CB19:$JS19)</f>
        <v/>
      </c>
      <c r="AT19" s="55">
        <f>SUMIF($CB$4:$JS$4,AT$4,$CB19:$JS19)</f>
        <v/>
      </c>
      <c r="AU19" s="55">
        <f>SUMIF($CB$4:$JS$4,AU$4,$CB19:$JS19)</f>
        <v/>
      </c>
      <c r="AV19" s="55">
        <f>SUMIF($CB$4:$JS$4,AV$4,$CB19:$JS19)</f>
        <v/>
      </c>
      <c r="AW19" s="55">
        <f>SUMIF($CB$4:$JS$4,AW$4,$CB19:$JS19)</f>
        <v/>
      </c>
      <c r="AX19" s="55">
        <f>SUMIF($CB$4:$JS$4,AX$4,$CB19:$JS19)</f>
        <v/>
      </c>
      <c r="AY19" s="55">
        <f>SUMIF($CB$4:$JS$4,AY$4,$CB19:$JS19)</f>
        <v/>
      </c>
      <c r="AZ19" s="55">
        <f>SUMIF($CB$4:$JS$4,AZ$4,$CB19:$JS19)</f>
        <v/>
      </c>
      <c r="BA19" s="55">
        <f>SUMIF($CB$4:$JS$4,BA$4,$CB19:$JS19)</f>
        <v/>
      </c>
      <c r="BB19" s="55">
        <f>SUMIF($CB$4:$JS$4,BB$4,$CB19:$JS19)</f>
        <v/>
      </c>
      <c r="BC19" s="55">
        <f>SUMIF($CB$4:$JS$4,BC$4,$CB19:$JS19)</f>
        <v/>
      </c>
      <c r="BD19" s="55">
        <f>SUMIF($CB$4:$JS$4,BD$4,$CB19:$JS19)</f>
        <v/>
      </c>
      <c r="BE19" s="55">
        <f>SUMIF($CB$4:$JS$4,BE$4,$CB19:$JS19)</f>
        <v/>
      </c>
      <c r="BF19" s="55">
        <f>SUMIF($CB$4:$JS$4,BF$4,$CB19:$JS19)</f>
        <v/>
      </c>
      <c r="BG19" s="55">
        <f>SUMIF($CB$4:$JS$4,BG$4,$CB19:$JS19)</f>
        <v/>
      </c>
      <c r="BH19" s="55">
        <f>SUMIF($CB$4:$JS$4,BH$4,$CB19:$JS19)</f>
        <v/>
      </c>
      <c r="BI19" s="55">
        <f>SUMIF($CB$4:$JS$4,BI$4,$CB19:$JS19)</f>
        <v/>
      </c>
      <c r="BJ19" s="55">
        <f>SUMIF($CB$4:$JS$4,BJ$4,$CB19:$JS19)</f>
        <v/>
      </c>
      <c r="BK19" s="55">
        <f>SUMIF($CB$4:$JS$4,BK$4,$CB19:$JS19)</f>
        <v/>
      </c>
      <c r="BL19" s="55">
        <f>SUMIF($CB$4:$JS$4,BL$4,$CB19:$JS19)</f>
        <v/>
      </c>
      <c r="BM19" s="55">
        <f>SUMIF($CB$4:$JS$4,BM$4,$CB19:$JS19)</f>
        <v/>
      </c>
      <c r="BN19" s="55">
        <f>SUMIF($CB$4:$JS$4,BN$4,$CB19:$JS19)</f>
        <v/>
      </c>
      <c r="BO19" s="55">
        <f>SUMIF($CB$4:$JS$4,BO$4,$CB19:$JS19)</f>
        <v/>
      </c>
      <c r="BP19" s="55">
        <f>SUMIF($CB$4:$JS$4,BP$4,$CB19:$JS19)</f>
        <v/>
      </c>
      <c r="BQ19" s="55">
        <f>SUMIF($CB$4:$JS$4,BQ$4,$CB19:$JS19)</f>
        <v/>
      </c>
      <c r="BR19" s="55">
        <f>SUMIF($CB$4:$JS$4,BR$4,$CB19:$JS19)</f>
        <v/>
      </c>
      <c r="BS19" s="55">
        <f>SUMIF($CB$4:$JS$4,BS$4,$CB19:$JS19)</f>
        <v/>
      </c>
      <c r="BT19" s="55">
        <f>SUMIF($CB$4:$JS$4,BT$4,$CB19:$JS19)</f>
        <v/>
      </c>
      <c r="BU19" s="55">
        <f>SUMIF($CB$4:$JS$4,BU$4,$CB19:$JS19)</f>
        <v/>
      </c>
      <c r="BV19" s="55">
        <f>SUMIF($CB$4:$JS$4,BV$4,$CB19:$JS19)</f>
        <v/>
      </c>
      <c r="BW19" s="55">
        <f>SUMIF($CB$4:$JS$4,BW$4,$CB19:$JS19)</f>
        <v/>
      </c>
      <c r="BX19" s="55">
        <f>SUMIF($CB$4:$JS$4,"&gt;"&amp;'VALOR POR PL'!$P$8,$CB19:$JS19)</f>
        <v/>
      </c>
      <c r="BY19" s="55">
        <f>SUM($CB19:$JS19)</f>
        <v/>
      </c>
      <c r="CB19" s="123">
        <f>IF(OR(CB$4="",$B19=""),0,SUMIF('DADOS BRUTOS'!$A$3:$A$500,$B19,'DADOS BRUTOS'!B$3:B$500)+IF($C19="",0,SUMIF('DADOS BRUTOS'!$A$3:$A$500,$C19,'DADOS BRUTOS'!B$3:B$500)))</f>
        <v/>
      </c>
      <c r="CC19" s="123">
        <f>IF(OR(CC$4="",$B19=""),0,SUMIF('DADOS BRUTOS'!$A$3:$A$500,$B19,'DADOS BRUTOS'!C$3:C$500)+IF($C19="",0,SUMIF('DADOS BRUTOS'!$A$3:$A$500,$C19,'DADOS BRUTOS'!C$3:C$500)))</f>
        <v/>
      </c>
      <c r="CD19" s="123">
        <f>IF(OR(CD$4="",$B19=""),0,SUMIF('DADOS BRUTOS'!$A$3:$A$500,$B19,'DADOS BRUTOS'!D$3:D$500)+IF($C19="",0,SUMIF('DADOS BRUTOS'!$A$3:$A$500,$C19,'DADOS BRUTOS'!D$3:D$500)))</f>
        <v/>
      </c>
      <c r="CE19" s="123">
        <f>IF(OR(CE$4="",$B19=""),0,SUMIF('DADOS BRUTOS'!$A$3:$A$500,$B19,'DADOS BRUTOS'!E$3:E$500)+IF($C19="",0,SUMIF('DADOS BRUTOS'!$A$3:$A$500,$C19,'DADOS BRUTOS'!E$3:E$500)))</f>
        <v/>
      </c>
      <c r="CF19" s="123">
        <f>IF(OR(CF$4="",$B19=""),0,SUMIF('DADOS BRUTOS'!$A$3:$A$500,$B19,'DADOS BRUTOS'!F$3:F$500)+IF($C19="",0,SUMIF('DADOS BRUTOS'!$A$3:$A$500,$C19,'DADOS BRUTOS'!F$3:F$500)))</f>
        <v/>
      </c>
      <c r="CG19" s="123">
        <f>IF(OR(CG$4="",$B19=""),0,SUMIF('DADOS BRUTOS'!$A$3:$A$500,$B19,'DADOS BRUTOS'!G$3:G$500)+IF($C19="",0,SUMIF('DADOS BRUTOS'!$A$3:$A$500,$C19,'DADOS BRUTOS'!G$3:G$500)))</f>
        <v/>
      </c>
      <c r="CH19" s="123">
        <f>IF(OR(CH$4="",$B19=""),0,SUMIF('DADOS BRUTOS'!$A$3:$A$500,$B19,'DADOS BRUTOS'!H$3:H$500)+IF($C19="",0,SUMIF('DADOS BRUTOS'!$A$3:$A$500,$C19,'DADOS BRUTOS'!H$3:H$500)))</f>
        <v/>
      </c>
      <c r="CI19" s="123">
        <f>IF(OR(CI$4="",$B19=""),0,SUMIF('DADOS BRUTOS'!$A$3:$A$500,$B19,'DADOS BRUTOS'!I$3:I$500)+IF($C19="",0,SUMIF('DADOS BRUTOS'!$A$3:$A$500,$C19,'DADOS BRUTOS'!I$3:I$500)))</f>
        <v/>
      </c>
      <c r="CJ19" s="123">
        <f>IF(OR(CJ$4="",$B19=""),0,SUMIF('DADOS BRUTOS'!$A$3:$A$500,$B19,'DADOS BRUTOS'!J$3:J$500)+IF($C19="",0,SUMIF('DADOS BRUTOS'!$A$3:$A$500,$C19,'DADOS BRUTOS'!J$3:J$500)))</f>
        <v/>
      </c>
      <c r="CK19" s="123">
        <f>IF(OR(CK$4="",$B19=""),0,SUMIF('DADOS BRUTOS'!$A$3:$A$500,$B19,'DADOS BRUTOS'!K$3:K$500)+IF($C19="",0,SUMIF('DADOS BRUTOS'!$A$3:$A$500,$C19,'DADOS BRUTOS'!K$3:K$500)))</f>
        <v/>
      </c>
      <c r="CL19" s="123">
        <f>IF(OR(CL$4="",$B19=""),0,SUMIF('DADOS BRUTOS'!$A$3:$A$500,$B19,'DADOS BRUTOS'!L$3:L$500)+IF($C19="",0,SUMIF('DADOS BRUTOS'!$A$3:$A$500,$C19,'DADOS BRUTOS'!L$3:L$500)))</f>
        <v/>
      </c>
      <c r="CM19" s="123">
        <f>IF(OR(CM$4="",$B19=""),0,SUMIF('DADOS BRUTOS'!$A$3:$A$500,$B19,'DADOS BRUTOS'!M$3:M$500)+IF($C19="",0,SUMIF('DADOS BRUTOS'!$A$3:$A$500,$C19,'DADOS BRUTOS'!M$3:M$500)))</f>
        <v/>
      </c>
      <c r="CN19" s="123">
        <f>IF(OR(CN$4="",$B19=""),0,SUMIF('DADOS BRUTOS'!$A$3:$A$500,$B19,'DADOS BRUTOS'!N$3:N$500)+IF($C19="",0,SUMIF('DADOS BRUTOS'!$A$3:$A$500,$C19,'DADOS BRUTOS'!N$3:N$500)))</f>
        <v/>
      </c>
      <c r="CO19" s="123">
        <f>IF(OR(CO$4="",$B19=""),0,SUMIF('DADOS BRUTOS'!$A$3:$A$500,$B19,'DADOS BRUTOS'!O$3:O$500)+IF($C19="",0,SUMIF('DADOS BRUTOS'!$A$3:$A$500,$C19,'DADOS BRUTOS'!O$3:O$500)))</f>
        <v/>
      </c>
      <c r="CP19" s="123">
        <f>IF(OR(CP$4="",$B19=""),0,SUMIF('DADOS BRUTOS'!$A$3:$A$500,$B19,'DADOS BRUTOS'!P$3:P$500)+IF($C19="",0,SUMIF('DADOS BRUTOS'!$A$3:$A$500,$C19,'DADOS BRUTOS'!P$3:P$500)))</f>
        <v/>
      </c>
      <c r="CQ19" s="123">
        <f>IF(OR(CQ$4="",$B19=""),0,SUMIF('DADOS BRUTOS'!$A$3:$A$500,$B19,'DADOS BRUTOS'!Q$3:Q$500)+IF($C19="",0,SUMIF('DADOS BRUTOS'!$A$3:$A$500,$C19,'DADOS BRUTOS'!Q$3:Q$500)))</f>
        <v/>
      </c>
      <c r="CR19" s="123">
        <f>IF(OR(CR$4="",$B19=""),0,SUMIF('DADOS BRUTOS'!$A$3:$A$500,$B19,'DADOS BRUTOS'!R$3:R$500)+IF($C19="",0,SUMIF('DADOS BRUTOS'!$A$3:$A$500,$C19,'DADOS BRUTOS'!R$3:R$500)))</f>
        <v/>
      </c>
      <c r="CS19" s="123">
        <f>IF(OR(CS$4="",$B19=""),0,SUMIF('DADOS BRUTOS'!$A$3:$A$500,$B19,'DADOS BRUTOS'!S$3:S$500)+IF($C19="",0,SUMIF('DADOS BRUTOS'!$A$3:$A$500,$C19,'DADOS BRUTOS'!S$3:S$500)))</f>
        <v/>
      </c>
      <c r="CT19" s="123">
        <f>IF(OR(CT$4="",$B19=""),0,SUMIF('DADOS BRUTOS'!$A$3:$A$500,$B19,'DADOS BRUTOS'!T$3:T$500)+IF($C19="",0,SUMIF('DADOS BRUTOS'!$A$3:$A$500,$C19,'DADOS BRUTOS'!T$3:T$500)))</f>
        <v/>
      </c>
      <c r="CU19" s="123">
        <f>IF(OR(CU$4="",$B19=""),0,SUMIF('DADOS BRUTOS'!$A$3:$A$500,$B19,'DADOS BRUTOS'!U$3:U$500)+IF($C19="",0,SUMIF('DADOS BRUTOS'!$A$3:$A$500,$C19,'DADOS BRUTOS'!U$3:U$500)))</f>
        <v/>
      </c>
      <c r="CV19" s="123">
        <f>IF(OR(CV$4="",$B19=""),0,SUMIF('DADOS BRUTOS'!$A$3:$A$500,$B19,'DADOS BRUTOS'!V$3:V$500)+IF($C19="",0,SUMIF('DADOS BRUTOS'!$A$3:$A$500,$C19,'DADOS BRUTOS'!V$3:V$500)))</f>
        <v/>
      </c>
      <c r="CW19" s="123">
        <f>IF(OR(CW$4="",$B19=""),0,SUMIF('DADOS BRUTOS'!$A$3:$A$500,$B19,'DADOS BRUTOS'!W$3:W$500)+IF($C19="",0,SUMIF('DADOS BRUTOS'!$A$3:$A$500,$C19,'DADOS BRUTOS'!W$3:W$500)))</f>
        <v/>
      </c>
      <c r="CX19" s="123">
        <f>IF(OR(CX$4="",$B19=""),0,SUMIF('DADOS BRUTOS'!$A$3:$A$500,$B19,'DADOS BRUTOS'!X$3:X$500)+IF($C19="",0,SUMIF('DADOS BRUTOS'!$A$3:$A$500,$C19,'DADOS BRUTOS'!X$3:X$500)))</f>
        <v/>
      </c>
      <c r="CY19" s="123">
        <f>IF(OR(CY$4="",$B19=""),0,SUMIF('DADOS BRUTOS'!$A$3:$A$500,$B19,'DADOS BRUTOS'!Y$3:Y$500)+IF($C19="",0,SUMIF('DADOS BRUTOS'!$A$3:$A$500,$C19,'DADOS BRUTOS'!Y$3:Y$500)))</f>
        <v/>
      </c>
      <c r="CZ19" s="123">
        <f>IF(OR(CZ$4="",$B19=""),0,SUMIF('DADOS BRUTOS'!$A$3:$A$500,$B19,'DADOS BRUTOS'!Z$3:Z$500)+IF($C19="",0,SUMIF('DADOS BRUTOS'!$A$3:$A$500,$C19,'DADOS BRUTOS'!Z$3:Z$500)))</f>
        <v/>
      </c>
      <c r="DA19" s="123">
        <f>IF(OR(DA$4="",$B19=""),0,SUMIF('DADOS BRUTOS'!$A$3:$A$500,$B19,'DADOS BRUTOS'!AA$3:AA$500)+IF($C19="",0,SUMIF('DADOS BRUTOS'!$A$3:$A$500,$C19,'DADOS BRUTOS'!AA$3:AA$500)))</f>
        <v/>
      </c>
      <c r="DB19" s="123">
        <f>IF(OR(DB$4="",$B19=""),0,SUMIF('DADOS BRUTOS'!$A$3:$A$500,$B19,'DADOS BRUTOS'!AB$3:AB$500)+IF($C19="",0,SUMIF('DADOS BRUTOS'!$A$3:$A$500,$C19,'DADOS BRUTOS'!AB$3:AB$500)))</f>
        <v/>
      </c>
      <c r="DC19" s="123">
        <f>IF(OR(DC$4="",$B19=""),0,SUMIF('DADOS BRUTOS'!$A$3:$A$500,$B19,'DADOS BRUTOS'!AC$3:AC$500)+IF($C19="",0,SUMIF('DADOS BRUTOS'!$A$3:$A$500,$C19,'DADOS BRUTOS'!AC$3:AC$500)))</f>
        <v/>
      </c>
      <c r="DD19" s="123">
        <f>IF(OR(DD$4="",$B19=""),0,SUMIF('DADOS BRUTOS'!$A$3:$A$500,$B19,'DADOS BRUTOS'!AD$3:AD$500)+IF($C19="",0,SUMIF('DADOS BRUTOS'!$A$3:$A$500,$C19,'DADOS BRUTOS'!AD$3:AD$500)))</f>
        <v/>
      </c>
      <c r="DE19" s="123">
        <f>IF(OR(DE$4="",$B19=""),0,SUMIF('DADOS BRUTOS'!$A$3:$A$500,$B19,'DADOS BRUTOS'!AE$3:AE$500)+IF($C19="",0,SUMIF('DADOS BRUTOS'!$A$3:$A$500,$C19,'DADOS BRUTOS'!AE$3:AE$500)))</f>
        <v/>
      </c>
      <c r="DF19" s="123">
        <f>IF(OR(DF$4="",$B19=""),0,SUMIF('DADOS BRUTOS'!$A$3:$A$500,$B19,'DADOS BRUTOS'!AF$3:AF$500)+IF($C19="",0,SUMIF('DADOS BRUTOS'!$A$3:$A$500,$C19,'DADOS BRUTOS'!AF$3:AF$500)))</f>
        <v/>
      </c>
      <c r="DG19" s="123">
        <f>IF(OR(DG$4="",$B19=""),0,SUMIF('DADOS BRUTOS'!$A$3:$A$500,$B19,'DADOS BRUTOS'!AG$3:AG$500)+IF($C19="",0,SUMIF('DADOS BRUTOS'!$A$3:$A$500,$C19,'DADOS BRUTOS'!AG$3:AG$500)))</f>
        <v/>
      </c>
      <c r="DH19" s="123">
        <f>IF(OR(DH$4="",$B19=""),0,SUMIF('DADOS BRUTOS'!$A$3:$A$500,$B19,'DADOS BRUTOS'!AH$3:AH$500)+IF($C19="",0,SUMIF('DADOS BRUTOS'!$A$3:$A$500,$C19,'DADOS BRUTOS'!AH$3:AH$500)))</f>
        <v/>
      </c>
      <c r="DI19" s="123">
        <f>IF(OR(DI$4="",$B19=""),0,SUMIF('DADOS BRUTOS'!$A$3:$A$500,$B19,'DADOS BRUTOS'!AI$3:AI$500)+IF($C19="",0,SUMIF('DADOS BRUTOS'!$A$3:$A$500,$C19,'DADOS BRUTOS'!AI$3:AI$500)))</f>
        <v/>
      </c>
      <c r="DJ19" s="123">
        <f>IF(OR(DJ$4="",$B19=""),0,SUMIF('DADOS BRUTOS'!$A$3:$A$500,$B19,'DADOS BRUTOS'!AJ$3:AJ$500)+IF($C19="",0,SUMIF('DADOS BRUTOS'!$A$3:$A$500,$C19,'DADOS BRUTOS'!AJ$3:AJ$500)))</f>
        <v/>
      </c>
      <c r="DK19" s="123">
        <f>IF(OR(DK$4="",$B19=""),0,SUMIF('DADOS BRUTOS'!$A$3:$A$500,$B19,'DADOS BRUTOS'!AK$3:AK$500)+IF($C19="",0,SUMIF('DADOS BRUTOS'!$A$3:$A$500,$C19,'DADOS BRUTOS'!AK$3:AK$500)))</f>
        <v/>
      </c>
      <c r="DL19" s="123">
        <f>IF(OR(DL$4="",$B19=""),0,SUMIF('DADOS BRUTOS'!$A$3:$A$500,$B19,'DADOS BRUTOS'!AL$3:AL$500)+IF($C19="",0,SUMIF('DADOS BRUTOS'!$A$3:$A$500,$C19,'DADOS BRUTOS'!AL$3:AL$500)))</f>
        <v/>
      </c>
      <c r="DM19" s="123">
        <f>IF(OR(DM$4="",$B19=""),0,SUMIF('DADOS BRUTOS'!$A$3:$A$500,$B19,'DADOS BRUTOS'!AM$3:AM$500)+IF($C19="",0,SUMIF('DADOS BRUTOS'!$A$3:$A$500,$C19,'DADOS BRUTOS'!AM$3:AM$500)))</f>
        <v/>
      </c>
      <c r="DN19" s="123">
        <f>IF(OR(DN$4="",$B19=""),0,SUMIF('DADOS BRUTOS'!$A$3:$A$500,$B19,'DADOS BRUTOS'!AN$3:AN$500)+IF($C19="",0,SUMIF('DADOS BRUTOS'!$A$3:$A$500,$C19,'DADOS BRUTOS'!AN$3:AN$500)))</f>
        <v/>
      </c>
      <c r="DO19" s="123">
        <f>IF(OR(DO$4="",$B19=""),0,SUMIF('DADOS BRUTOS'!$A$3:$A$500,$B19,'DADOS BRUTOS'!AO$3:AO$500)+IF($C19="",0,SUMIF('DADOS BRUTOS'!$A$3:$A$500,$C19,'DADOS BRUTOS'!AO$3:AO$500)))</f>
        <v/>
      </c>
      <c r="DP19" s="123">
        <f>IF(OR(DP$4="",$B19=""),0,SUMIF('DADOS BRUTOS'!$A$3:$A$500,$B19,'DADOS BRUTOS'!AP$3:AP$500)+IF($C19="",0,SUMIF('DADOS BRUTOS'!$A$3:$A$500,$C19,'DADOS BRUTOS'!AP$3:AP$500)))</f>
        <v/>
      </c>
      <c r="DQ19" s="123">
        <f>IF(OR(DQ$4="",$B19=""),0,SUMIF('DADOS BRUTOS'!$A$3:$A$500,$B19,'DADOS BRUTOS'!AQ$3:AQ$500)+IF($C19="",0,SUMIF('DADOS BRUTOS'!$A$3:$A$500,$C19,'DADOS BRUTOS'!AQ$3:AQ$500)))</f>
        <v/>
      </c>
      <c r="DR19" s="123">
        <f>IF(OR(DR$4="",$B19=""),0,SUMIF('DADOS BRUTOS'!$A$3:$A$500,$B19,'DADOS BRUTOS'!AR$3:AR$500)+IF($C19="",0,SUMIF('DADOS BRUTOS'!$A$3:$A$500,$C19,'DADOS BRUTOS'!AR$3:AR$500)))</f>
        <v/>
      </c>
      <c r="DS19" s="123">
        <f>IF(OR(DS$4="",$B19=""),0,SUMIF('DADOS BRUTOS'!$A$3:$A$500,$B19,'DADOS BRUTOS'!AS$3:AS$500)+IF($C19="",0,SUMIF('DADOS BRUTOS'!$A$3:$A$500,$C19,'DADOS BRUTOS'!AS$3:AS$500)))</f>
        <v/>
      </c>
      <c r="DT19" s="123">
        <f>IF(OR(DT$4="",$B19=""),0,SUMIF('DADOS BRUTOS'!$A$3:$A$500,$B19,'DADOS BRUTOS'!AT$3:AT$500)+IF($C19="",0,SUMIF('DADOS BRUTOS'!$A$3:$A$500,$C19,'DADOS BRUTOS'!AT$3:AT$500)))</f>
        <v/>
      </c>
      <c r="DU19" s="123">
        <f>IF(OR(DU$4="",$B19=""),0,SUMIF('DADOS BRUTOS'!$A$3:$A$500,$B19,'DADOS BRUTOS'!AU$3:AU$500)+IF($C19="",0,SUMIF('DADOS BRUTOS'!$A$3:$A$500,$C19,'DADOS BRUTOS'!AU$3:AU$500)))</f>
        <v/>
      </c>
      <c r="DV19" s="123">
        <f>IF(OR(DV$4="",$B19=""),0,SUMIF('DADOS BRUTOS'!$A$3:$A$500,$B19,'DADOS BRUTOS'!AV$3:AV$500)+IF($C19="",0,SUMIF('DADOS BRUTOS'!$A$3:$A$500,$C19,'DADOS BRUTOS'!AV$3:AV$500)))</f>
        <v/>
      </c>
      <c r="DW19" s="123">
        <f>IF(OR(DW$4="",$B19=""),0,SUMIF('DADOS BRUTOS'!$A$3:$A$500,$B19,'DADOS BRUTOS'!AW$3:AW$500)+IF($C19="",0,SUMIF('DADOS BRUTOS'!$A$3:$A$500,$C19,'DADOS BRUTOS'!AW$3:AW$500)))</f>
        <v/>
      </c>
      <c r="DX19" s="123">
        <f>IF(OR(DX$4="",$B19=""),0,SUMIF('DADOS BRUTOS'!$A$3:$A$500,$B19,'DADOS BRUTOS'!AX$3:AX$500)+IF($C19="",0,SUMIF('DADOS BRUTOS'!$A$3:$A$500,$C19,'DADOS BRUTOS'!AX$3:AX$500)))</f>
        <v/>
      </c>
      <c r="DY19" s="123">
        <f>IF(OR(DY$4="",$B19=""),0,SUMIF('DADOS BRUTOS'!$A$3:$A$500,$B19,'DADOS BRUTOS'!AY$3:AY$500)+IF($C19="",0,SUMIF('DADOS BRUTOS'!$A$3:$A$500,$C19,'DADOS BRUTOS'!AY$3:AY$500)))</f>
        <v/>
      </c>
      <c r="DZ19" s="123">
        <f>IF(OR(DZ$4="",$B19=""),0,SUMIF('DADOS BRUTOS'!$A$3:$A$500,$B19,'DADOS BRUTOS'!AZ$3:AZ$500)+IF($C19="",0,SUMIF('DADOS BRUTOS'!$A$3:$A$500,$C19,'DADOS BRUTOS'!AZ$3:AZ$500)))</f>
        <v/>
      </c>
      <c r="EA19" s="123">
        <f>IF(OR(EA$4="",$B19=""),0,SUMIF('DADOS BRUTOS'!$A$3:$A$500,$B19,'DADOS BRUTOS'!BA$3:BA$500)+IF($C19="",0,SUMIF('DADOS BRUTOS'!$A$3:$A$500,$C19,'DADOS BRUTOS'!BA$3:BA$500)))</f>
        <v/>
      </c>
      <c r="EB19" s="123">
        <f>IF(OR(EB$4="",$B19=""),0,SUMIF('DADOS BRUTOS'!$A$3:$A$500,$B19,'DADOS BRUTOS'!BB$3:BB$500)+IF($C19="",0,SUMIF('DADOS BRUTOS'!$A$3:$A$500,$C19,'DADOS BRUTOS'!BB$3:BB$500)))</f>
        <v/>
      </c>
      <c r="EC19" s="123">
        <f>IF(OR(EC$4="",$B19=""),0,SUMIF('DADOS BRUTOS'!$A$3:$A$500,$B19,'DADOS BRUTOS'!BC$3:BC$500)+IF($C19="",0,SUMIF('DADOS BRUTOS'!$A$3:$A$500,$C19,'DADOS BRUTOS'!BC$3:BC$500)))</f>
        <v/>
      </c>
      <c r="ED19" s="123">
        <f>IF(OR(ED$4="",$B19=""),0,SUMIF('DADOS BRUTOS'!$A$3:$A$500,$B19,'DADOS BRUTOS'!BD$3:BD$500)+IF($C19="",0,SUMIF('DADOS BRUTOS'!$A$3:$A$500,$C19,'DADOS BRUTOS'!BD$3:BD$500)))</f>
        <v/>
      </c>
      <c r="EE19" s="123">
        <f>IF(OR(EE$4="",$B19=""),0,SUMIF('DADOS BRUTOS'!$A$3:$A$500,$B19,'DADOS BRUTOS'!BE$3:BE$500)+IF($C19="",0,SUMIF('DADOS BRUTOS'!$A$3:$A$500,$C19,'DADOS BRUTOS'!BE$3:BE$500)))</f>
        <v/>
      </c>
      <c r="EF19" s="123">
        <f>IF(OR(EF$4="",$B19=""),0,SUMIF('DADOS BRUTOS'!$A$3:$A$500,$B19,'DADOS BRUTOS'!BF$3:BF$500)+IF($C19="",0,SUMIF('DADOS BRUTOS'!$A$3:$A$500,$C19,'DADOS BRUTOS'!BF$3:BF$500)))</f>
        <v/>
      </c>
      <c r="EG19" s="123">
        <f>IF(OR(EG$4="",$B19=""),0,SUMIF('DADOS BRUTOS'!$A$3:$A$500,$B19,'DADOS BRUTOS'!BG$3:BG$500)+IF($C19="",0,SUMIF('DADOS BRUTOS'!$A$3:$A$500,$C19,'DADOS BRUTOS'!BG$3:BG$500)))</f>
        <v/>
      </c>
      <c r="EH19" s="123">
        <f>IF(OR(EH$4="",$B19=""),0,SUMIF('DADOS BRUTOS'!$A$3:$A$500,$B19,'DADOS BRUTOS'!BH$3:BH$500)+IF($C19="",0,SUMIF('DADOS BRUTOS'!$A$3:$A$500,$C19,'DADOS BRUTOS'!BH$3:BH$500)))</f>
        <v/>
      </c>
      <c r="EI19" s="123">
        <f>IF(OR(EI$4="",$B19=""),0,SUMIF('DADOS BRUTOS'!$A$3:$A$500,$B19,'DADOS BRUTOS'!BI$3:BI$500)+IF($C19="",0,SUMIF('DADOS BRUTOS'!$A$3:$A$500,$C19,'DADOS BRUTOS'!BI$3:BI$500)))</f>
        <v/>
      </c>
      <c r="EJ19" s="123">
        <f>IF(OR(EJ$4="",$B19=""),0,SUMIF('DADOS BRUTOS'!$A$3:$A$500,$B19,'DADOS BRUTOS'!BJ$3:BJ$500)+IF($C19="",0,SUMIF('DADOS BRUTOS'!$A$3:$A$500,$C19,'DADOS BRUTOS'!BJ$3:BJ$500)))</f>
        <v/>
      </c>
      <c r="EK19" s="123">
        <f>IF(OR(EK$4="",$B19=""),0,SUMIF('DADOS BRUTOS'!$A$3:$A$500,$B19,'DADOS BRUTOS'!BK$3:BK$500)+IF($C19="",0,SUMIF('DADOS BRUTOS'!$A$3:$A$500,$C19,'DADOS BRUTOS'!BK$3:BK$500)))</f>
        <v/>
      </c>
      <c r="EL19" s="123">
        <f>IF(OR(EL$4="",$B19=""),0,SUMIF('DADOS BRUTOS'!$A$3:$A$500,$B19,'DADOS BRUTOS'!BL$3:BL$500)+IF($C19="",0,SUMIF('DADOS BRUTOS'!$A$3:$A$500,$C19,'DADOS BRUTOS'!BL$3:BL$500)))</f>
        <v/>
      </c>
      <c r="EM19" s="123">
        <f>IF(OR(EM$4="",$B19=""),0,SUMIF('DADOS BRUTOS'!$A$3:$A$500,$B19,'DADOS BRUTOS'!BM$3:BM$500)+IF($C19="",0,SUMIF('DADOS BRUTOS'!$A$3:$A$500,$C19,'DADOS BRUTOS'!BM$3:BM$500)))</f>
        <v/>
      </c>
      <c r="EN19" s="123">
        <f>IF(OR(EN$4="",$B19=""),0,SUMIF('DADOS BRUTOS'!$A$3:$A$500,$B19,'DADOS BRUTOS'!BN$3:BN$500)+IF($C19="",0,SUMIF('DADOS BRUTOS'!$A$3:$A$500,$C19,'DADOS BRUTOS'!BN$3:BN$500)))</f>
        <v/>
      </c>
      <c r="EO19" s="123">
        <f>IF(OR(EO$4="",$B19=""),0,SUMIF('DADOS BRUTOS'!$A$3:$A$500,$B19,'DADOS BRUTOS'!BO$3:BO$500)+IF($C19="",0,SUMIF('DADOS BRUTOS'!$A$3:$A$500,$C19,'DADOS BRUTOS'!BO$3:BO$500)))</f>
        <v/>
      </c>
      <c r="EP19" s="123">
        <f>IF(OR(EP$4="",$B19=""),0,SUMIF('DADOS BRUTOS'!$A$3:$A$500,$B19,'DADOS BRUTOS'!BP$3:BP$500)+IF($C19="",0,SUMIF('DADOS BRUTOS'!$A$3:$A$500,$C19,'DADOS BRUTOS'!BP$3:BP$500)))</f>
        <v/>
      </c>
      <c r="EQ19" s="123">
        <f>IF(OR(EQ$4="",$B19=""),0,SUMIF('DADOS BRUTOS'!$A$3:$A$500,$B19,'DADOS BRUTOS'!BQ$3:BQ$500)+IF($C19="",0,SUMIF('DADOS BRUTOS'!$A$3:$A$500,$C19,'DADOS BRUTOS'!BQ$3:BQ$500)))</f>
        <v/>
      </c>
      <c r="ER19" s="123">
        <f>IF(OR(ER$4="",$B19=""),0,SUMIF('DADOS BRUTOS'!$A$3:$A$500,$B19,'DADOS BRUTOS'!BR$3:BR$500)+IF($C19="",0,SUMIF('DADOS BRUTOS'!$A$3:$A$500,$C19,'DADOS BRUTOS'!BR$3:BR$500)))</f>
        <v/>
      </c>
      <c r="ES19" s="123">
        <f>IF(OR(ES$4="",$B19=""),0,SUMIF('DADOS BRUTOS'!$A$3:$A$500,$B19,'DADOS BRUTOS'!BS$3:BS$500)+IF($C19="",0,SUMIF('DADOS BRUTOS'!$A$3:$A$500,$C19,'DADOS BRUTOS'!BS$3:BS$500)))</f>
        <v/>
      </c>
      <c r="ET19" s="123">
        <f>IF(OR(ET$4="",$B19=""),0,SUMIF('DADOS BRUTOS'!$A$3:$A$500,$B19,'DADOS BRUTOS'!BT$3:BT$500)+IF($C19="",0,SUMIF('DADOS BRUTOS'!$A$3:$A$500,$C19,'DADOS BRUTOS'!BT$3:BT$500)))</f>
        <v/>
      </c>
      <c r="EU19" s="123">
        <f>IF(OR(EU$4="",$B19=""),0,SUMIF('DADOS BRUTOS'!$A$3:$A$500,$B19,'DADOS BRUTOS'!BU$3:BU$500)+IF($C19="",0,SUMIF('DADOS BRUTOS'!$A$3:$A$500,$C19,'DADOS BRUTOS'!BU$3:BU$500)))</f>
        <v/>
      </c>
      <c r="EV19" s="123">
        <f>IF(OR(EV$4="",$B19=""),0,SUMIF('DADOS BRUTOS'!$A$3:$A$500,$B19,'DADOS BRUTOS'!BV$3:BV$500)+IF($C19="",0,SUMIF('DADOS BRUTOS'!$A$3:$A$500,$C19,'DADOS BRUTOS'!BV$3:BV$500)))</f>
        <v/>
      </c>
      <c r="EW19" s="123">
        <f>IF(OR(EW$4="",$B19=""),0,SUMIF('DADOS BRUTOS'!$A$3:$A$500,$B19,'DADOS BRUTOS'!BW$3:BW$500)+IF($C19="",0,SUMIF('DADOS BRUTOS'!$A$3:$A$500,$C19,'DADOS BRUTOS'!BW$3:BW$500)))</f>
        <v/>
      </c>
      <c r="EX19" s="123">
        <f>IF(OR(EX$4="",$B19=""),0,SUMIF('DADOS BRUTOS'!$A$3:$A$500,$B19,'DADOS BRUTOS'!BX$3:BX$500)+IF($C19="",0,SUMIF('DADOS BRUTOS'!$A$3:$A$500,$C19,'DADOS BRUTOS'!BX$3:BX$500)))</f>
        <v/>
      </c>
      <c r="EY19" s="123">
        <f>IF(OR(EY$4="",$B19=""),0,SUMIF('DADOS BRUTOS'!$A$3:$A$500,$B19,'DADOS BRUTOS'!BY$3:BY$500)+IF($C19="",0,SUMIF('DADOS BRUTOS'!$A$3:$A$500,$C19,'DADOS BRUTOS'!BY$3:BY$500)))</f>
        <v/>
      </c>
      <c r="EZ19" s="123">
        <f>IF(OR(EZ$4="",$B19=""),0,SUMIF('DADOS BRUTOS'!$A$3:$A$500,$B19,'DADOS BRUTOS'!BZ$3:BZ$500)+IF($C19="",0,SUMIF('DADOS BRUTOS'!$A$3:$A$500,$C19,'DADOS BRUTOS'!BZ$3:BZ$500)))</f>
        <v/>
      </c>
      <c r="FA19" s="123">
        <f>IF(OR(FA$4="",$B19=""),0,SUMIF('DADOS BRUTOS'!$A$3:$A$500,$B19,'DADOS BRUTOS'!CA$3:CA$500)+IF($C19="",0,SUMIF('DADOS BRUTOS'!$A$3:$A$500,$C19,'DADOS BRUTOS'!CA$3:CA$500)))</f>
        <v/>
      </c>
      <c r="FB19" s="123">
        <f>IF(OR(FB$4="",$B19=""),0,SUMIF('DADOS BRUTOS'!$A$3:$A$500,$B19,'DADOS BRUTOS'!CB$3:CB$500)+IF($C19="",0,SUMIF('DADOS BRUTOS'!$A$3:$A$500,$C19,'DADOS BRUTOS'!CB$3:CB$500)))</f>
        <v/>
      </c>
      <c r="FC19" s="123">
        <f>IF(OR(FC$4="",$B19=""),0,SUMIF('DADOS BRUTOS'!$A$3:$A$500,$B19,'DADOS BRUTOS'!CC$3:CC$500)+IF($C19="",0,SUMIF('DADOS BRUTOS'!$A$3:$A$500,$C19,'DADOS BRUTOS'!CC$3:CC$500)))</f>
        <v/>
      </c>
      <c r="FD19" s="123">
        <f>IF(OR(FD$4="",$B19=""),0,SUMIF('DADOS BRUTOS'!$A$3:$A$500,$B19,'DADOS BRUTOS'!CD$3:CD$500)+IF($C19="",0,SUMIF('DADOS BRUTOS'!$A$3:$A$500,$C19,'DADOS BRUTOS'!CD$3:CD$500)))</f>
        <v/>
      </c>
      <c r="FE19" s="123">
        <f>IF(OR(FE$4="",$B19=""),0,SUMIF('DADOS BRUTOS'!$A$3:$A$500,$B19,'DADOS BRUTOS'!CE$3:CE$500)+IF($C19="",0,SUMIF('DADOS BRUTOS'!$A$3:$A$500,$C19,'DADOS BRUTOS'!CE$3:CE$500)))</f>
        <v/>
      </c>
      <c r="FF19" s="123">
        <f>IF(OR(FF$4="",$B19=""),0,SUMIF('DADOS BRUTOS'!$A$3:$A$500,$B19,'DADOS BRUTOS'!CF$3:CF$500)+IF($C19="",0,SUMIF('DADOS BRUTOS'!$A$3:$A$500,$C19,'DADOS BRUTOS'!CF$3:CF$500)))</f>
        <v/>
      </c>
      <c r="FG19" s="123">
        <f>IF(OR(FG$4="",$B19=""),0,SUMIF('DADOS BRUTOS'!$A$3:$A$500,$B19,'DADOS BRUTOS'!CG$3:CG$500)+IF($C19="",0,SUMIF('DADOS BRUTOS'!$A$3:$A$500,$C19,'DADOS BRUTOS'!CG$3:CG$500)))</f>
        <v/>
      </c>
      <c r="FH19" s="123">
        <f>IF(OR(FH$4="",$B19=""),0,SUMIF('DADOS BRUTOS'!$A$3:$A$500,$B19,'DADOS BRUTOS'!CH$3:CH$500)+IF($C19="",0,SUMIF('DADOS BRUTOS'!$A$3:$A$500,$C19,'DADOS BRUTOS'!CH$3:CH$500)))</f>
        <v/>
      </c>
      <c r="FI19" s="123">
        <f>IF(OR(FI$4="",$B19=""),0,SUMIF('DADOS BRUTOS'!$A$3:$A$500,$B19,'DADOS BRUTOS'!CI$3:CI$500)+IF($C19="",0,SUMIF('DADOS BRUTOS'!$A$3:$A$500,$C19,'DADOS BRUTOS'!CI$3:CI$500)))</f>
        <v/>
      </c>
      <c r="FJ19" s="123">
        <f>IF(OR(FJ$4="",$B19=""),0,SUMIF('DADOS BRUTOS'!$A$3:$A$500,$B19,'DADOS BRUTOS'!CJ$3:CJ$500)+IF($C19="",0,SUMIF('DADOS BRUTOS'!$A$3:$A$500,$C19,'DADOS BRUTOS'!CJ$3:CJ$500)))</f>
        <v/>
      </c>
      <c r="FK19" s="123">
        <f>IF(OR(FK$4="",$B19=""),0,SUMIF('DADOS BRUTOS'!$A$3:$A$500,$B19,'DADOS BRUTOS'!CK$3:CK$500)+IF($C19="",0,SUMIF('DADOS BRUTOS'!$A$3:$A$500,$C19,'DADOS BRUTOS'!CK$3:CK$500)))</f>
        <v/>
      </c>
      <c r="FL19" s="123">
        <f>IF(OR(FL$4="",$B19=""),0,SUMIF('DADOS BRUTOS'!$A$3:$A$500,$B19,'DADOS BRUTOS'!CL$3:CL$500)+IF($C19="",0,SUMIF('DADOS BRUTOS'!$A$3:$A$500,$C19,'DADOS BRUTOS'!CL$3:CL$500)))</f>
        <v/>
      </c>
      <c r="FM19" s="123">
        <f>IF(OR(FM$4="",$B19=""),0,SUMIF('DADOS BRUTOS'!$A$3:$A$500,$B19,'DADOS BRUTOS'!CM$3:CM$500)+IF($C19="",0,SUMIF('DADOS BRUTOS'!$A$3:$A$500,$C19,'DADOS BRUTOS'!CM$3:CM$500)))</f>
        <v/>
      </c>
      <c r="FN19" s="123">
        <f>IF(OR(FN$4="",$B19=""),0,SUMIF('DADOS BRUTOS'!$A$3:$A$500,$B19,'DADOS BRUTOS'!CN$3:CN$500)+IF($C19="",0,SUMIF('DADOS BRUTOS'!$A$3:$A$500,$C19,'DADOS BRUTOS'!CN$3:CN$500)))</f>
        <v/>
      </c>
      <c r="FO19" s="123">
        <f>IF(OR(FO$4="",$B19=""),0,SUMIF('DADOS BRUTOS'!$A$3:$A$500,$B19,'DADOS BRUTOS'!CO$3:CO$500)+IF($C19="",0,SUMIF('DADOS BRUTOS'!$A$3:$A$500,$C19,'DADOS BRUTOS'!CO$3:CO$500)))</f>
        <v/>
      </c>
      <c r="FP19" s="123">
        <f>IF(OR(FP$4="",$B19=""),0,SUMIF('DADOS BRUTOS'!$A$3:$A$500,$B19,'DADOS BRUTOS'!CP$3:CP$500)+IF($C19="",0,SUMIF('DADOS BRUTOS'!$A$3:$A$500,$C19,'DADOS BRUTOS'!CP$3:CP$500)))</f>
        <v/>
      </c>
      <c r="FQ19" s="123">
        <f>IF(OR(FQ$4="",$B19=""),0,SUMIF('DADOS BRUTOS'!$A$3:$A$500,$B19,'DADOS BRUTOS'!CQ$3:CQ$500)+IF($C19="",0,SUMIF('DADOS BRUTOS'!$A$3:$A$500,$C19,'DADOS BRUTOS'!CQ$3:CQ$500)))</f>
        <v/>
      </c>
      <c r="FR19" s="123">
        <f>IF(OR(FR$4="",$B19=""),0,SUMIF('DADOS BRUTOS'!$A$3:$A$500,$B19,'DADOS BRUTOS'!CR$3:CR$500)+IF($C19="",0,SUMIF('DADOS BRUTOS'!$A$3:$A$500,$C19,'DADOS BRUTOS'!CR$3:CR$500)))</f>
        <v/>
      </c>
      <c r="FS19" s="123">
        <f>IF(OR(FS$4="",$B19=""),0,SUMIF('DADOS BRUTOS'!$A$3:$A$500,$B19,'DADOS BRUTOS'!CS$3:CS$500)+IF($C19="",0,SUMIF('DADOS BRUTOS'!$A$3:$A$500,$C19,'DADOS BRUTOS'!CS$3:CS$500)))</f>
        <v/>
      </c>
      <c r="FT19" s="123">
        <f>IF(OR(FT$4="",$B19=""),0,SUMIF('DADOS BRUTOS'!$A$3:$A$500,$B19,'DADOS BRUTOS'!CT$3:CT$500)+IF($C19="",0,SUMIF('DADOS BRUTOS'!$A$3:$A$500,$C19,'DADOS BRUTOS'!CT$3:CT$500)))</f>
        <v/>
      </c>
      <c r="FU19" s="123">
        <f>IF(OR(FU$4="",$B19=""),0,SUMIF('DADOS BRUTOS'!$A$3:$A$500,$B19,'DADOS BRUTOS'!CU$3:CU$500)+IF($C19="",0,SUMIF('DADOS BRUTOS'!$A$3:$A$500,$C19,'DADOS BRUTOS'!CU$3:CU$500)))</f>
        <v/>
      </c>
      <c r="FV19" s="123">
        <f>IF(OR(FV$4="",$B19=""),0,SUMIF('DADOS BRUTOS'!$A$3:$A$500,$B19,'DADOS BRUTOS'!CV$3:CV$500)+IF($C19="",0,SUMIF('DADOS BRUTOS'!$A$3:$A$500,$C19,'DADOS BRUTOS'!CV$3:CV$500)))</f>
        <v/>
      </c>
      <c r="FW19" s="123">
        <f>IF(OR(FW$4="",$B19=""),0,SUMIF('DADOS BRUTOS'!$A$3:$A$500,$B19,'DADOS BRUTOS'!CW$3:CW$500)+IF($C19="",0,SUMIF('DADOS BRUTOS'!$A$3:$A$500,$C19,'DADOS BRUTOS'!CW$3:CW$500)))</f>
        <v/>
      </c>
      <c r="FX19" s="123">
        <f>IF(OR(FX$4="",$B19=""),0,SUMIF('DADOS BRUTOS'!$A$3:$A$500,$B19,'DADOS BRUTOS'!CX$3:CX$500)+IF($C19="",0,SUMIF('DADOS BRUTOS'!$A$3:$A$500,$C19,'DADOS BRUTOS'!CX$3:CX$500)))</f>
        <v/>
      </c>
      <c r="FY19" s="123">
        <f>IF(OR(FY$4="",$B19=""),0,SUMIF('DADOS BRUTOS'!$A$3:$A$500,$B19,'DADOS BRUTOS'!CY$3:CY$500)+IF($C19="",0,SUMIF('DADOS BRUTOS'!$A$3:$A$500,$C19,'DADOS BRUTOS'!CY$3:CY$500)))</f>
        <v/>
      </c>
      <c r="FZ19" s="123">
        <f>IF(OR(FZ$4="",$B19=""),0,SUMIF('DADOS BRUTOS'!$A$3:$A$500,$B19,'DADOS BRUTOS'!CZ$3:CZ$500)+IF($C19="",0,SUMIF('DADOS BRUTOS'!$A$3:$A$500,$C19,'DADOS BRUTOS'!CZ$3:CZ$500)))</f>
        <v/>
      </c>
      <c r="GA19" s="123">
        <f>IF(OR(GA$4="",$B19=""),0,SUMIF('DADOS BRUTOS'!$A$3:$A$500,$B19,'DADOS BRUTOS'!DA$3:DA$500)+IF($C19="",0,SUMIF('DADOS BRUTOS'!$A$3:$A$500,$C19,'DADOS BRUTOS'!DA$3:DA$500)))</f>
        <v/>
      </c>
      <c r="GB19" s="123">
        <f>IF(OR(GB$4="",$B19=""),0,SUMIF('DADOS BRUTOS'!$A$3:$A$500,$B19,'DADOS BRUTOS'!DB$3:DB$500)+IF($C19="",0,SUMIF('DADOS BRUTOS'!$A$3:$A$500,$C19,'DADOS BRUTOS'!DB$3:DB$500)))</f>
        <v/>
      </c>
      <c r="GC19" s="123">
        <f>IF(OR(GC$4="",$B19=""),0,SUMIF('DADOS BRUTOS'!$A$3:$A$500,$B19,'DADOS BRUTOS'!DC$3:DC$500)+IF($C19="",0,SUMIF('DADOS BRUTOS'!$A$3:$A$500,$C19,'DADOS BRUTOS'!DC$3:DC$500)))</f>
        <v/>
      </c>
      <c r="GD19" s="123">
        <f>IF(OR(GD$4="",$B19=""),0,SUMIF('DADOS BRUTOS'!$A$3:$A$500,$B19,'DADOS BRUTOS'!DD$3:DD$500)+IF($C19="",0,SUMIF('DADOS BRUTOS'!$A$3:$A$500,$C19,'DADOS BRUTOS'!DD$3:DD$500)))</f>
        <v/>
      </c>
      <c r="GE19" s="123">
        <f>IF(OR(GE$4="",$B19=""),0,SUMIF('DADOS BRUTOS'!$A$3:$A$500,$B19,'DADOS BRUTOS'!DE$3:DE$500)+IF($C19="",0,SUMIF('DADOS BRUTOS'!$A$3:$A$500,$C19,'DADOS BRUTOS'!DE$3:DE$500)))</f>
        <v/>
      </c>
      <c r="GF19" s="123">
        <f>IF(OR(GF$4="",$B19=""),0,SUMIF('DADOS BRUTOS'!$A$3:$A$500,$B19,'DADOS BRUTOS'!DF$3:DF$500)+IF($C19="",0,SUMIF('DADOS BRUTOS'!$A$3:$A$500,$C19,'DADOS BRUTOS'!DF$3:DF$500)))</f>
        <v/>
      </c>
      <c r="GG19" s="123">
        <f>IF(OR(GG$4="",$B19=""),0,SUMIF('DADOS BRUTOS'!$A$3:$A$500,$B19,'DADOS BRUTOS'!DG$3:DG$500)+IF($C19="",0,SUMIF('DADOS BRUTOS'!$A$3:$A$500,$C19,'DADOS BRUTOS'!DG$3:DG$500)))</f>
        <v/>
      </c>
      <c r="GH19" s="123">
        <f>IF(OR(GH$4="",$B19=""),0,SUMIF('DADOS BRUTOS'!$A$3:$A$500,$B19,'DADOS BRUTOS'!DH$3:DH$500)+IF($C19="",0,SUMIF('DADOS BRUTOS'!$A$3:$A$500,$C19,'DADOS BRUTOS'!DH$3:DH$500)))</f>
        <v/>
      </c>
      <c r="GI19" s="123">
        <f>IF(OR(GI$4="",$B19=""),0,SUMIF('DADOS BRUTOS'!$A$3:$A$500,$B19,'DADOS BRUTOS'!DI$3:DI$500)+IF($C19="",0,SUMIF('DADOS BRUTOS'!$A$3:$A$500,$C19,'DADOS BRUTOS'!DI$3:DI$500)))</f>
        <v/>
      </c>
      <c r="GJ19" s="123">
        <f>IF(OR(GJ$4="",$B19=""),0,SUMIF('DADOS BRUTOS'!$A$3:$A$500,$B19,'DADOS BRUTOS'!DJ$3:DJ$500)+IF($C19="",0,SUMIF('DADOS BRUTOS'!$A$3:$A$500,$C19,'DADOS BRUTOS'!DJ$3:DJ$500)))</f>
        <v/>
      </c>
      <c r="GK19" s="123">
        <f>IF(OR(GK$4="",$B19=""),0,SUMIF('DADOS BRUTOS'!$A$3:$A$500,$B19,'DADOS BRUTOS'!DK$3:DK$500)+IF($C19="",0,SUMIF('DADOS BRUTOS'!$A$3:$A$500,$C19,'DADOS BRUTOS'!DK$3:DK$500)))</f>
        <v/>
      </c>
      <c r="GL19" s="123">
        <f>IF(OR(GL$4="",$B19=""),0,SUMIF('DADOS BRUTOS'!$A$3:$A$500,$B19,'DADOS BRUTOS'!DL$3:DL$500)+IF($C19="",0,SUMIF('DADOS BRUTOS'!$A$3:$A$500,$C19,'DADOS BRUTOS'!DL$3:DL$500)))</f>
        <v/>
      </c>
      <c r="GM19" s="123">
        <f>IF(OR(GM$4="",$B19=""),0,SUMIF('DADOS BRUTOS'!$A$3:$A$500,$B19,'DADOS BRUTOS'!DM$3:DM$500)+IF($C19="",0,SUMIF('DADOS BRUTOS'!$A$3:$A$500,$C19,'DADOS BRUTOS'!DM$3:DM$500)))</f>
        <v/>
      </c>
      <c r="GN19" s="123">
        <f>IF(OR(GN$4="",$B19=""),0,SUMIF('DADOS BRUTOS'!$A$3:$A$500,$B19,'DADOS BRUTOS'!DN$3:DN$500)+IF($C19="",0,SUMIF('DADOS BRUTOS'!$A$3:$A$500,$C19,'DADOS BRUTOS'!DN$3:DN$500)))</f>
        <v/>
      </c>
      <c r="GO19" s="123">
        <f>IF(OR(GO$4="",$B19=""),0,SUMIF('DADOS BRUTOS'!$A$3:$A$500,$B19,'DADOS BRUTOS'!DO$3:DO$500)+IF($C19="",0,SUMIF('DADOS BRUTOS'!$A$3:$A$500,$C19,'DADOS BRUTOS'!DO$3:DO$500)))</f>
        <v/>
      </c>
      <c r="GP19" s="123">
        <f>IF(OR(GP$4="",$B19=""),0,SUMIF('DADOS BRUTOS'!$A$3:$A$500,$B19,'DADOS BRUTOS'!DP$3:DP$500)+IF($C19="",0,SUMIF('DADOS BRUTOS'!$A$3:$A$500,$C19,'DADOS BRUTOS'!DP$3:DP$500)))</f>
        <v/>
      </c>
      <c r="GQ19" s="123">
        <f>IF(OR(GQ$4="",$B19=""),0,SUMIF('DADOS BRUTOS'!$A$3:$A$500,$B19,'DADOS BRUTOS'!DQ$3:DQ$500)+IF($C19="",0,SUMIF('DADOS BRUTOS'!$A$3:$A$500,$C19,'DADOS BRUTOS'!DQ$3:DQ$500)))</f>
        <v/>
      </c>
      <c r="GR19" s="123">
        <f>IF(OR(GR$4="",$B19=""),0,SUMIF('DADOS BRUTOS'!$A$3:$A$500,$B19,'DADOS BRUTOS'!DR$3:DR$500)+IF($C19="",0,SUMIF('DADOS BRUTOS'!$A$3:$A$500,$C19,'DADOS BRUTOS'!DR$3:DR$500)))</f>
        <v/>
      </c>
      <c r="GS19" s="123">
        <f>IF(OR(GS$4="",$B19=""),0,SUMIF('DADOS BRUTOS'!$A$3:$A$500,$B19,'DADOS BRUTOS'!DS$3:DS$500)+IF($C19="",0,SUMIF('DADOS BRUTOS'!$A$3:$A$500,$C19,'DADOS BRUTOS'!DS$3:DS$500)))</f>
        <v/>
      </c>
      <c r="GT19" s="123">
        <f>IF(OR(GT$4="",$B19=""),0,SUMIF('DADOS BRUTOS'!$A$3:$A$500,$B19,'DADOS BRUTOS'!DT$3:DT$500)+IF($C19="",0,SUMIF('DADOS BRUTOS'!$A$3:$A$500,$C19,'DADOS BRUTOS'!DT$3:DT$500)))</f>
        <v/>
      </c>
      <c r="GU19" s="123">
        <f>IF(OR(GU$4="",$B19=""),0,SUMIF('DADOS BRUTOS'!$A$3:$A$500,$B19,'DADOS BRUTOS'!DU$3:DU$500)+IF($C19="",0,SUMIF('DADOS BRUTOS'!$A$3:$A$500,$C19,'DADOS BRUTOS'!DU$3:DU$500)))</f>
        <v/>
      </c>
      <c r="GV19" s="123">
        <f>IF(OR(GV$4="",$B19=""),0,SUMIF('DADOS BRUTOS'!$A$3:$A$500,$B19,'DADOS BRUTOS'!DV$3:DV$500)+IF($C19="",0,SUMIF('DADOS BRUTOS'!$A$3:$A$500,$C19,'DADOS BRUTOS'!DV$3:DV$500)))</f>
        <v/>
      </c>
      <c r="GW19" s="123">
        <f>IF(OR(GW$4="",$B19=""),0,SUMIF('DADOS BRUTOS'!$A$3:$A$500,$B19,'DADOS BRUTOS'!DW$3:DW$500)+IF($C19="",0,SUMIF('DADOS BRUTOS'!$A$3:$A$500,$C19,'DADOS BRUTOS'!DW$3:DW$500)))</f>
        <v/>
      </c>
      <c r="GX19" s="123">
        <f>IF(OR(GX$4="",$B19=""),0,SUMIF('DADOS BRUTOS'!$A$3:$A$500,$B19,'DADOS BRUTOS'!DX$3:DX$500)+IF($C19="",0,SUMIF('DADOS BRUTOS'!$A$3:$A$500,$C19,'DADOS BRUTOS'!DX$3:DX$500)))</f>
        <v/>
      </c>
      <c r="GY19" s="123">
        <f>IF(OR(GY$4="",$B19=""),0,SUMIF('DADOS BRUTOS'!$A$3:$A$500,$B19,'DADOS BRUTOS'!DY$3:DY$500)+IF($C19="",0,SUMIF('DADOS BRUTOS'!$A$3:$A$500,$C19,'DADOS BRUTOS'!DY$3:DY$500)))</f>
        <v/>
      </c>
      <c r="GZ19" s="123">
        <f>IF(OR(GZ$4="",$B19=""),0,SUMIF('DADOS BRUTOS'!$A$3:$A$500,$B19,'DADOS BRUTOS'!DZ$3:DZ$500)+IF($C19="",0,SUMIF('DADOS BRUTOS'!$A$3:$A$500,$C19,'DADOS BRUTOS'!DZ$3:DZ$500)))</f>
        <v/>
      </c>
      <c r="HA19" s="123">
        <f>IF(OR(HA$4="",$B19=""),0,SUMIF('DADOS BRUTOS'!$A$3:$A$500,$B19,'DADOS BRUTOS'!EA$3:EA$500)+IF($C19="",0,SUMIF('DADOS BRUTOS'!$A$3:$A$500,$C19,'DADOS BRUTOS'!EA$3:EA$500)))</f>
        <v/>
      </c>
      <c r="HB19" s="123">
        <f>IF(OR(HB$4="",$B19=""),0,SUMIF('DADOS BRUTOS'!$A$3:$A$500,$B19,'DADOS BRUTOS'!EB$3:EB$500)+IF($C19="",0,SUMIF('DADOS BRUTOS'!$A$3:$A$500,$C19,'DADOS BRUTOS'!EB$3:EB$500)))</f>
        <v/>
      </c>
      <c r="HC19" s="123">
        <f>IF(OR(HC$4="",$B19=""),0,SUMIF('DADOS BRUTOS'!$A$3:$A$500,$B19,'DADOS BRUTOS'!EC$3:EC$500)+IF($C19="",0,SUMIF('DADOS BRUTOS'!$A$3:$A$500,$C19,'DADOS BRUTOS'!EC$3:EC$500)))</f>
        <v/>
      </c>
      <c r="HD19" s="123">
        <f>IF(OR(HD$4="",$B19=""),0,SUMIF('DADOS BRUTOS'!$A$3:$A$500,$B19,'DADOS BRUTOS'!ED$3:ED$500)+IF($C19="",0,SUMIF('DADOS BRUTOS'!$A$3:$A$500,$C19,'DADOS BRUTOS'!ED$3:ED$500)))</f>
        <v/>
      </c>
      <c r="HE19" s="123">
        <f>IF(OR(HE$4="",$B19=""),0,SUMIF('DADOS BRUTOS'!$A$3:$A$500,$B19,'DADOS BRUTOS'!EE$3:EE$500)+IF($C19="",0,SUMIF('DADOS BRUTOS'!$A$3:$A$500,$C19,'DADOS BRUTOS'!EE$3:EE$500)))</f>
        <v/>
      </c>
      <c r="HF19" s="123">
        <f>IF(OR(HF$4="",$B19=""),0,SUMIF('DADOS BRUTOS'!$A$3:$A$500,$B19,'DADOS BRUTOS'!EF$3:EF$500)+IF($C19="",0,SUMIF('DADOS BRUTOS'!$A$3:$A$500,$C19,'DADOS BRUTOS'!EF$3:EF$500)))</f>
        <v/>
      </c>
      <c r="HG19" s="123">
        <f>IF(OR(HG$4="",$B19=""),0,SUMIF('DADOS BRUTOS'!$A$3:$A$500,$B19,'DADOS BRUTOS'!EG$3:EG$500)+IF($C19="",0,SUMIF('DADOS BRUTOS'!$A$3:$A$500,$C19,'DADOS BRUTOS'!EG$3:EG$500)))</f>
        <v/>
      </c>
      <c r="HH19" s="123">
        <f>IF(OR(HH$4="",$B19=""),0,SUMIF('DADOS BRUTOS'!$A$3:$A$500,$B19,'DADOS BRUTOS'!EH$3:EH$500)+IF($C19="",0,SUMIF('DADOS BRUTOS'!$A$3:$A$500,$C19,'DADOS BRUTOS'!EH$3:EH$500)))</f>
        <v/>
      </c>
      <c r="HI19" s="123">
        <f>IF(OR(HI$4="",$B19=""),0,SUMIF('DADOS BRUTOS'!$A$3:$A$500,$B19,'DADOS BRUTOS'!EI$3:EI$500)+IF($C19="",0,SUMIF('DADOS BRUTOS'!$A$3:$A$500,$C19,'DADOS BRUTOS'!EI$3:EI$500)))</f>
        <v/>
      </c>
      <c r="HJ19" s="123">
        <f>IF(OR(HJ$4="",$B19=""),0,SUMIF('DADOS BRUTOS'!$A$3:$A$500,$B19,'DADOS BRUTOS'!EJ$3:EJ$500)+IF($C19="",0,SUMIF('DADOS BRUTOS'!$A$3:$A$500,$C19,'DADOS BRUTOS'!EJ$3:EJ$500)))</f>
        <v/>
      </c>
      <c r="HK19" s="123">
        <f>IF(OR(HK$4="",$B19=""),0,SUMIF('DADOS BRUTOS'!$A$3:$A$500,$B19,'DADOS BRUTOS'!EK$3:EK$500)+IF($C19="",0,SUMIF('DADOS BRUTOS'!$A$3:$A$500,$C19,'DADOS BRUTOS'!EK$3:EK$500)))</f>
        <v/>
      </c>
      <c r="HL19" s="123">
        <f>IF(OR(HL$4="",$B19=""),0,SUMIF('DADOS BRUTOS'!$A$3:$A$500,$B19,'DADOS BRUTOS'!EL$3:EL$500)+IF($C19="",0,SUMIF('DADOS BRUTOS'!$A$3:$A$500,$C19,'DADOS BRUTOS'!EL$3:EL$500)))</f>
        <v/>
      </c>
      <c r="HM19" s="123">
        <f>IF(OR(HM$4="",$B19=""),0,SUMIF('DADOS BRUTOS'!$A$3:$A$500,$B19,'DADOS BRUTOS'!EM$3:EM$500)+IF($C19="",0,SUMIF('DADOS BRUTOS'!$A$3:$A$500,$C19,'DADOS BRUTOS'!EM$3:EM$500)))</f>
        <v/>
      </c>
      <c r="HN19" s="123">
        <f>IF(OR(HN$4="",$B19=""),0,SUMIF('DADOS BRUTOS'!$A$3:$A$500,$B19,'DADOS BRUTOS'!EN$3:EN$500)+IF($C19="",0,SUMIF('DADOS BRUTOS'!$A$3:$A$500,$C19,'DADOS BRUTOS'!EN$3:EN$500)))</f>
        <v/>
      </c>
      <c r="HO19" s="123">
        <f>IF(OR(HO$4="",$B19=""),0,SUMIF('DADOS BRUTOS'!$A$3:$A$500,$B19,'DADOS BRUTOS'!EO$3:EO$500)+IF($C19="",0,SUMIF('DADOS BRUTOS'!$A$3:$A$500,$C19,'DADOS BRUTOS'!EO$3:EO$500)))</f>
        <v/>
      </c>
      <c r="HP19" s="123">
        <f>IF(OR(HP$4="",$B19=""),0,SUMIF('DADOS BRUTOS'!$A$3:$A$500,$B19,'DADOS BRUTOS'!EP$3:EP$500)+IF($C19="",0,SUMIF('DADOS BRUTOS'!$A$3:$A$500,$C19,'DADOS BRUTOS'!EP$3:EP$500)))</f>
        <v/>
      </c>
      <c r="HQ19" s="123">
        <f>IF(OR(HQ$4="",$B19=""),0,SUMIF('DADOS BRUTOS'!$A$3:$A$500,$B19,'DADOS BRUTOS'!EQ$3:EQ$500)+IF($C19="",0,SUMIF('DADOS BRUTOS'!$A$3:$A$500,$C19,'DADOS BRUTOS'!EQ$3:EQ$500)))</f>
        <v/>
      </c>
      <c r="HR19" s="123">
        <f>IF(OR(HR$4="",$B19=""),0,SUMIF('DADOS BRUTOS'!$A$3:$A$500,$B19,'DADOS BRUTOS'!ER$3:ER$500)+IF($C19="",0,SUMIF('DADOS BRUTOS'!$A$3:$A$500,$C19,'DADOS BRUTOS'!ER$3:ER$500)))</f>
        <v/>
      </c>
      <c r="HS19" s="123">
        <f>IF(OR(HS$4="",$B19=""),0,SUMIF('DADOS BRUTOS'!$A$3:$A$500,$B19,'DADOS BRUTOS'!ES$3:ES$500)+IF($C19="",0,SUMIF('DADOS BRUTOS'!$A$3:$A$500,$C19,'DADOS BRUTOS'!ES$3:ES$500)))</f>
        <v/>
      </c>
      <c r="HT19" s="123">
        <f>IF(OR(HT$4="",$B19=""),0,SUMIF('DADOS BRUTOS'!$A$3:$A$500,$B19,'DADOS BRUTOS'!ET$3:ET$500)+IF($C19="",0,SUMIF('DADOS BRUTOS'!$A$3:$A$500,$C19,'DADOS BRUTOS'!ET$3:ET$500)))</f>
        <v/>
      </c>
      <c r="HU19" s="123">
        <f>IF(OR(HU$4="",$B19=""),0,SUMIF('DADOS BRUTOS'!$A$3:$A$500,$B19,'DADOS BRUTOS'!EU$3:EU$500)+IF($C19="",0,SUMIF('DADOS BRUTOS'!$A$3:$A$500,$C19,'DADOS BRUTOS'!EU$3:EU$500)))</f>
        <v/>
      </c>
      <c r="HV19" s="123">
        <f>IF(OR(HV$4="",$B19=""),0,SUMIF('DADOS BRUTOS'!$A$3:$A$500,$B19,'DADOS BRUTOS'!EV$3:EV$500)+IF($C19="",0,SUMIF('DADOS BRUTOS'!$A$3:$A$500,$C19,'DADOS BRUTOS'!EV$3:EV$500)))</f>
        <v/>
      </c>
      <c r="HW19" s="123">
        <f>IF(OR(HW$4="",$B19=""),0,SUMIF('DADOS BRUTOS'!$A$3:$A$500,$B19,'DADOS BRUTOS'!EW$3:EW$500)+IF($C19="",0,SUMIF('DADOS BRUTOS'!$A$3:$A$500,$C19,'DADOS BRUTOS'!EW$3:EW$500)))</f>
        <v/>
      </c>
      <c r="HX19" s="123">
        <f>IF(OR(HX$4="",$B19=""),0,SUMIF('DADOS BRUTOS'!$A$3:$A$500,$B19,'DADOS BRUTOS'!EX$3:EX$500)+IF($C19="",0,SUMIF('DADOS BRUTOS'!$A$3:$A$500,$C19,'DADOS BRUTOS'!EX$3:EX$500)))</f>
        <v/>
      </c>
      <c r="HY19" s="123">
        <f>IF(OR(HY$4="",$B19=""),0,SUMIF('DADOS BRUTOS'!$A$3:$A$500,$B19,'DADOS BRUTOS'!EY$3:EY$500)+IF($C19="",0,SUMIF('DADOS BRUTOS'!$A$3:$A$500,$C19,'DADOS BRUTOS'!EY$3:EY$500)))</f>
        <v/>
      </c>
      <c r="HZ19" s="123">
        <f>IF(OR(HZ$4="",$B19=""),0,SUMIF('DADOS BRUTOS'!$A$3:$A$500,$B19,'DADOS BRUTOS'!EZ$3:EZ$500)+IF($C19="",0,SUMIF('DADOS BRUTOS'!$A$3:$A$500,$C19,'DADOS BRUTOS'!EZ$3:EZ$500)))</f>
        <v/>
      </c>
      <c r="IA19" s="123">
        <f>IF(OR(IA$4="",$B19=""),0,SUMIF('DADOS BRUTOS'!$A$3:$A$500,$B19,'DADOS BRUTOS'!FA$3:FA$500)+IF($C19="",0,SUMIF('DADOS BRUTOS'!$A$3:$A$500,$C19,'DADOS BRUTOS'!FA$3:FA$500)))</f>
        <v/>
      </c>
      <c r="IB19" s="123">
        <f>IF(OR(IB$4="",$B19=""),0,SUMIF('DADOS BRUTOS'!$A$3:$A$500,$B19,'DADOS BRUTOS'!FB$3:FB$500)+IF($C19="",0,SUMIF('DADOS BRUTOS'!$A$3:$A$500,$C19,'DADOS BRUTOS'!FB$3:FB$500)))</f>
        <v/>
      </c>
      <c r="IC19" s="123">
        <f>IF(OR(IC$4="",$B19=""),0,SUMIF('DADOS BRUTOS'!$A$3:$A$500,$B19,'DADOS BRUTOS'!FC$3:FC$500)+IF($C19="",0,SUMIF('DADOS BRUTOS'!$A$3:$A$500,$C19,'DADOS BRUTOS'!FC$3:FC$500)))</f>
        <v/>
      </c>
      <c r="ID19" s="123">
        <f>IF(OR(ID$4="",$B19=""),0,SUMIF('DADOS BRUTOS'!$A$3:$A$500,$B19,'DADOS BRUTOS'!FD$3:FD$500)+IF($C19="",0,SUMIF('DADOS BRUTOS'!$A$3:$A$500,$C19,'DADOS BRUTOS'!FD$3:FD$500)))</f>
        <v/>
      </c>
      <c r="IE19" s="123">
        <f>IF(OR(IE$4="",$B19=""),0,SUMIF('DADOS BRUTOS'!$A$3:$A$500,$B19,'DADOS BRUTOS'!FE$3:FE$500)+IF($C19="",0,SUMIF('DADOS BRUTOS'!$A$3:$A$500,$C19,'DADOS BRUTOS'!FE$3:FE$500)))</f>
        <v/>
      </c>
      <c r="IF19" s="123">
        <f>IF(OR(IF$4="",$B19=""),0,SUMIF('DADOS BRUTOS'!$A$3:$A$500,$B19,'DADOS BRUTOS'!FF$3:FF$500)+IF($C19="",0,SUMIF('DADOS BRUTOS'!$A$3:$A$500,$C19,'DADOS BRUTOS'!FF$3:FF$500)))</f>
        <v/>
      </c>
      <c r="IG19" s="123">
        <f>IF(OR(IG$4="",$B19=""),0,SUMIF('DADOS BRUTOS'!$A$3:$A$500,$B19,'DADOS BRUTOS'!FG$3:FG$500)+IF($C19="",0,SUMIF('DADOS BRUTOS'!$A$3:$A$500,$C19,'DADOS BRUTOS'!FG$3:FG$500)))</f>
        <v/>
      </c>
      <c r="IH19" s="123">
        <f>IF(OR(IH$4="",$B19=""),0,SUMIF('DADOS BRUTOS'!$A$3:$A$500,$B19,'DADOS BRUTOS'!FH$3:FH$500)+IF($C19="",0,SUMIF('DADOS BRUTOS'!$A$3:$A$500,$C19,'DADOS BRUTOS'!FH$3:FH$500)))</f>
        <v/>
      </c>
      <c r="II19" s="123">
        <f>IF(OR(II$4="",$B19=""),0,SUMIF('DADOS BRUTOS'!$A$3:$A$500,$B19,'DADOS BRUTOS'!FI$3:FI$500)+IF($C19="",0,SUMIF('DADOS BRUTOS'!$A$3:$A$500,$C19,'DADOS BRUTOS'!FI$3:FI$500)))</f>
        <v/>
      </c>
      <c r="IJ19" s="123">
        <f>IF(OR(IJ$4="",$B19=""),0,SUMIF('DADOS BRUTOS'!$A$3:$A$500,$B19,'DADOS BRUTOS'!FJ$3:FJ$500)+IF($C19="",0,SUMIF('DADOS BRUTOS'!$A$3:$A$500,$C19,'DADOS BRUTOS'!FJ$3:FJ$500)))</f>
        <v/>
      </c>
      <c r="IK19" s="123">
        <f>IF(OR(IK$4="",$B19=""),0,SUMIF('DADOS BRUTOS'!$A$3:$A$500,$B19,'DADOS BRUTOS'!FK$3:FK$500)+IF($C19="",0,SUMIF('DADOS BRUTOS'!$A$3:$A$500,$C19,'DADOS BRUTOS'!FK$3:FK$500)))</f>
        <v/>
      </c>
      <c r="IL19" s="123">
        <f>IF(OR(IL$4="",$B19=""),0,SUMIF('DADOS BRUTOS'!$A$3:$A$500,$B19,'DADOS BRUTOS'!FL$3:FL$500)+IF($C19="",0,SUMIF('DADOS BRUTOS'!$A$3:$A$500,$C19,'DADOS BRUTOS'!FL$3:FL$500)))</f>
        <v/>
      </c>
      <c r="IM19" s="123">
        <f>IF(OR(IM$4="",$B19=""),0,SUMIF('DADOS BRUTOS'!$A$3:$A$500,$B19,'DADOS BRUTOS'!FM$3:FM$500)+IF($C19="",0,SUMIF('DADOS BRUTOS'!$A$3:$A$500,$C19,'DADOS BRUTOS'!FM$3:FM$500)))</f>
        <v/>
      </c>
      <c r="IN19" s="123">
        <f>IF(OR(IN$4="",$B19=""),0,SUMIF('DADOS BRUTOS'!$A$3:$A$500,$B19,'DADOS BRUTOS'!FN$3:FN$500)+IF($C19="",0,SUMIF('DADOS BRUTOS'!$A$3:$A$500,$C19,'DADOS BRUTOS'!FN$3:FN$500)))</f>
        <v/>
      </c>
      <c r="IO19" s="123">
        <f>IF(OR(IO$4="",$B19=""),0,SUMIF('DADOS BRUTOS'!$A$3:$A$500,$B19,'DADOS BRUTOS'!FO$3:FO$500)+IF($C19="",0,SUMIF('DADOS BRUTOS'!$A$3:$A$500,$C19,'DADOS BRUTOS'!FO$3:FO$500)))</f>
        <v/>
      </c>
      <c r="IP19" s="123">
        <f>IF(OR(IP$4="",$B19=""),0,SUMIF('DADOS BRUTOS'!$A$3:$A$500,$B19,'DADOS BRUTOS'!FP$3:FP$500)+IF($C19="",0,SUMIF('DADOS BRUTOS'!$A$3:$A$500,$C19,'DADOS BRUTOS'!FP$3:FP$500)))</f>
        <v/>
      </c>
      <c r="IQ19" s="123">
        <f>IF(OR(IQ$4="",$B19=""),0,SUMIF('DADOS BRUTOS'!$A$3:$A$500,$B19,'DADOS BRUTOS'!FQ$3:FQ$500)+IF($C19="",0,SUMIF('DADOS BRUTOS'!$A$3:$A$500,$C19,'DADOS BRUTOS'!FQ$3:FQ$500)))</f>
        <v/>
      </c>
      <c r="IR19" s="123">
        <f>IF(OR(IR$4="",$B19=""),0,SUMIF('DADOS BRUTOS'!$A$3:$A$500,$B19,'DADOS BRUTOS'!FR$3:FR$500)+IF($C19="",0,SUMIF('DADOS BRUTOS'!$A$3:$A$500,$C19,'DADOS BRUTOS'!FR$3:FR$500)))</f>
        <v/>
      </c>
      <c r="IS19" s="123">
        <f>IF(OR(IS$4="",$B19=""),0,SUMIF('DADOS BRUTOS'!$A$3:$A$500,$B19,'DADOS BRUTOS'!FS$3:FS$500)+IF($C19="",0,SUMIF('DADOS BRUTOS'!$A$3:$A$500,$C19,'DADOS BRUTOS'!FS$3:FS$500)))</f>
        <v/>
      </c>
      <c r="IT19" s="123">
        <f>IF(OR(IT$4="",$B19=""),0,SUMIF('DADOS BRUTOS'!$A$3:$A$500,$B19,'DADOS BRUTOS'!FT$3:FT$500)+IF($C19="",0,SUMIF('DADOS BRUTOS'!$A$3:$A$500,$C19,'DADOS BRUTOS'!FT$3:FT$500)))</f>
        <v/>
      </c>
      <c r="IU19" s="123">
        <f>IF(OR(IU$4="",$B19=""),0,SUMIF('DADOS BRUTOS'!$A$3:$A$500,$B19,'DADOS BRUTOS'!FU$3:FU$500)+IF($C19="",0,SUMIF('DADOS BRUTOS'!$A$3:$A$500,$C19,'DADOS BRUTOS'!FU$3:FU$500)))</f>
        <v/>
      </c>
      <c r="IV19" s="123">
        <f>IF(OR(IV$4="",$B19=""),0,SUMIF('DADOS BRUTOS'!$A$3:$A$500,$B19,'DADOS BRUTOS'!FV$3:FV$500)+IF($C19="",0,SUMIF('DADOS BRUTOS'!$A$3:$A$500,$C19,'DADOS BRUTOS'!FV$3:FV$500)))</f>
        <v/>
      </c>
      <c r="IW19" s="123">
        <f>IF(OR(IW$4="",$B19=""),0,SUMIF('DADOS BRUTOS'!$A$3:$A$500,$B19,'DADOS BRUTOS'!FW$3:FW$500)+IF($C19="",0,SUMIF('DADOS BRUTOS'!$A$3:$A$500,$C19,'DADOS BRUTOS'!FW$3:FW$500)))</f>
        <v/>
      </c>
      <c r="IX19" s="123">
        <f>IF(OR(IX$4="",$B19=""),0,SUMIF('DADOS BRUTOS'!$A$3:$A$500,$B19,'DADOS BRUTOS'!FX$3:FX$500)+IF($C19="",0,SUMIF('DADOS BRUTOS'!$A$3:$A$500,$C19,'DADOS BRUTOS'!FX$3:FX$500)))</f>
        <v/>
      </c>
      <c r="IY19" s="123">
        <f>IF(OR(IY$4="",$B19=""),0,SUMIF('DADOS BRUTOS'!$A$3:$A$500,$B19,'DADOS BRUTOS'!FY$3:FY$500)+IF($C19="",0,SUMIF('DADOS BRUTOS'!$A$3:$A$500,$C19,'DADOS BRUTOS'!FY$3:FY$500)))</f>
        <v/>
      </c>
      <c r="IZ19" s="123">
        <f>IF(OR(IZ$4="",$B19=""),0,SUMIF('DADOS BRUTOS'!$A$3:$A$500,$B19,'DADOS BRUTOS'!FZ$3:FZ$500)+IF($C19="",0,SUMIF('DADOS BRUTOS'!$A$3:$A$500,$C19,'DADOS BRUTOS'!FZ$3:FZ$500)))</f>
        <v/>
      </c>
      <c r="JA19" s="123">
        <f>IF(OR(JA$4="",$B19=""),0,SUMIF('DADOS BRUTOS'!$A$3:$A$500,$B19,'DADOS BRUTOS'!GA$3:GA$500)+IF($C19="",0,SUMIF('DADOS BRUTOS'!$A$3:$A$500,$C19,'DADOS BRUTOS'!GA$3:GA$500)))</f>
        <v/>
      </c>
      <c r="JB19" s="123">
        <f>IF(OR(JB$4="",$B19=""),0,SUMIF('DADOS BRUTOS'!$A$3:$A$500,$B19,'DADOS BRUTOS'!GB$3:GB$500)+IF($C19="",0,SUMIF('DADOS BRUTOS'!$A$3:$A$500,$C19,'DADOS BRUTOS'!GB$3:GB$500)))</f>
        <v/>
      </c>
      <c r="JC19" s="123">
        <f>IF(OR(JC$4="",$B19=""),0,SUMIF('DADOS BRUTOS'!$A$3:$A$500,$B19,'DADOS BRUTOS'!GC$3:GC$500)+IF($C19="",0,SUMIF('DADOS BRUTOS'!$A$3:$A$500,$C19,'DADOS BRUTOS'!GC$3:GC$500)))</f>
        <v/>
      </c>
      <c r="JD19" s="123">
        <f>IF(OR(JD$4="",$B19=""),0,SUMIF('DADOS BRUTOS'!$A$3:$A$500,$B19,'DADOS BRUTOS'!GD$3:GD$500)+IF($C19="",0,SUMIF('DADOS BRUTOS'!$A$3:$A$500,$C19,'DADOS BRUTOS'!GD$3:GD$500)))</f>
        <v/>
      </c>
      <c r="JE19" s="123">
        <f>IF(OR(JE$4="",$B19=""),0,SUMIF('DADOS BRUTOS'!$A$3:$A$500,$B19,'DADOS BRUTOS'!GE$3:GE$500)+IF($C19="",0,SUMIF('DADOS BRUTOS'!$A$3:$A$500,$C19,'DADOS BRUTOS'!GE$3:GE$500)))</f>
        <v/>
      </c>
      <c r="JF19" s="123">
        <f>IF(OR(JF$4="",$B19=""),0,SUMIF('DADOS BRUTOS'!$A$3:$A$500,$B19,'DADOS BRUTOS'!GF$3:GF$500)+IF($C19="",0,SUMIF('DADOS BRUTOS'!$A$3:$A$500,$C19,'DADOS BRUTOS'!GF$3:GF$500)))</f>
        <v/>
      </c>
      <c r="JG19" s="123">
        <f>IF(OR(JG$4="",$B19=""),0,SUMIF('DADOS BRUTOS'!$A$3:$A$500,$B19,'DADOS BRUTOS'!GG$3:GG$500)+IF($C19="",0,SUMIF('DADOS BRUTOS'!$A$3:$A$500,$C19,'DADOS BRUTOS'!GG$3:GG$500)))</f>
        <v/>
      </c>
      <c r="JH19" s="123">
        <f>IF(OR(JH$4="",$B19=""),0,SUMIF('DADOS BRUTOS'!$A$3:$A$500,$B19,'DADOS BRUTOS'!GH$3:GH$500)+IF($C19="",0,SUMIF('DADOS BRUTOS'!$A$3:$A$500,$C19,'DADOS BRUTOS'!GH$3:GH$500)))</f>
        <v/>
      </c>
      <c r="JI19" s="123">
        <f>IF(OR(JI$4="",$B19=""),0,SUMIF('DADOS BRUTOS'!$A$3:$A$500,$B19,'DADOS BRUTOS'!GI$3:GI$500)+IF($C19="",0,SUMIF('DADOS BRUTOS'!$A$3:$A$500,$C19,'DADOS BRUTOS'!GI$3:GI$500)))</f>
        <v/>
      </c>
      <c r="JJ19" s="123">
        <f>IF(OR(JJ$4="",$B19=""),0,SUMIF('DADOS BRUTOS'!$A$3:$A$500,$B19,'DADOS BRUTOS'!GJ$3:GJ$500)+IF($C19="",0,SUMIF('DADOS BRUTOS'!$A$3:$A$500,$C19,'DADOS BRUTOS'!GJ$3:GJ$500)))</f>
        <v/>
      </c>
      <c r="JK19" s="123">
        <f>IF(OR(JK$4="",$B19=""),0,SUMIF('DADOS BRUTOS'!$A$3:$A$500,$B19,'DADOS BRUTOS'!GK$3:GK$500)+IF($C19="",0,SUMIF('DADOS BRUTOS'!$A$3:$A$500,$C19,'DADOS BRUTOS'!GK$3:GK$500)))</f>
        <v/>
      </c>
      <c r="JL19" s="123">
        <f>IF(OR(JL$4="",$B19=""),0,SUMIF('DADOS BRUTOS'!$A$3:$A$500,$B19,'DADOS BRUTOS'!GL$3:GL$500)+IF($C19="",0,SUMIF('DADOS BRUTOS'!$A$3:$A$500,$C19,'DADOS BRUTOS'!GL$3:GL$500)))</f>
        <v/>
      </c>
      <c r="JM19" s="123">
        <f>IF(OR(JM$4="",$B19=""),0,SUMIF('DADOS BRUTOS'!$A$3:$A$500,$B19,'DADOS BRUTOS'!GM$3:GM$500)+IF($C19="",0,SUMIF('DADOS BRUTOS'!$A$3:$A$500,$C19,'DADOS BRUTOS'!GM$3:GM$500)))</f>
        <v/>
      </c>
      <c r="JN19" s="123">
        <f>IF(OR(JN$4="",$B19=""),0,SUMIF('DADOS BRUTOS'!$A$3:$A$500,$B19,'DADOS BRUTOS'!GN$3:GN$500)+IF($C19="",0,SUMIF('DADOS BRUTOS'!$A$3:$A$500,$C19,'DADOS BRUTOS'!GN$3:GN$500)))</f>
        <v/>
      </c>
      <c r="JO19" s="123">
        <f>IF(OR(JO$4="",$B19=""),0,SUMIF('DADOS BRUTOS'!$A$3:$A$500,$B19,'DADOS BRUTOS'!GO$3:GO$500)+IF($C19="",0,SUMIF('DADOS BRUTOS'!$A$3:$A$500,$C19,'DADOS BRUTOS'!GO$3:GO$500)))</f>
        <v/>
      </c>
      <c r="JP19" s="123">
        <f>IF(OR(JP$4="",$B19=""),0,SUMIF('DADOS BRUTOS'!$A$3:$A$500,$B19,'DADOS BRUTOS'!GP$3:GP$500)+IF($C19="",0,SUMIF('DADOS BRUTOS'!$A$3:$A$500,$C19,'DADOS BRUTOS'!GP$3:GP$500)))</f>
        <v/>
      </c>
      <c r="JQ19" s="123">
        <f>IF(OR(JQ$4="",$B19=""),0,SUMIF('DADOS BRUTOS'!$A$3:$A$500,$B19,'DADOS BRUTOS'!GQ$3:GQ$500)+IF($C19="",0,SUMIF('DADOS BRUTOS'!$A$3:$A$500,$C19,'DADOS BRUTOS'!GQ$3:GQ$500)))</f>
        <v/>
      </c>
      <c r="JR19" s="123">
        <f>IF(OR(JR$4="",$B19=""),0,SUMIF('DADOS BRUTOS'!$A$3:$A$500,$B19,'DADOS BRUTOS'!GR$3:GR$500)+IF($C19="",0,SUMIF('DADOS BRUTOS'!$A$3:$A$500,$C19,'DADOS BRUTOS'!GR$3:GR$500)))</f>
        <v/>
      </c>
      <c r="JS19" s="123">
        <f>IF(OR(JS$4="",$B19=""),0,SUMIF('DADOS BRUTOS'!$A$3:$A$500,$B19,'DADOS BRUTOS'!GS$3:GS$500)+IF($C19="",0,SUMIF('DADOS BRUTOS'!$A$3:$A$500,$C19,'DADOS BRUTOS'!GS$3:GS$500)))</f>
        <v/>
      </c>
    </row>
    <row r="20">
      <c r="A20" s="61">
        <f>'VALOR POR PL'!D26</f>
        <v/>
      </c>
      <c r="B20" s="60" t="inlineStr">
        <is>
          <t>FUNDAÇÃO SUPERFICIAL</t>
        </is>
      </c>
      <c r="C20" s="60" t="n"/>
      <c r="D20" s="55">
        <f>SUMIF($CB$4:$JS$4,"&lt;="&amp;D$4,$CB20:$JS20)</f>
        <v/>
      </c>
      <c r="E20" s="55">
        <f>SUMIF($CB$4:$JS$4,E$4,$CB20:$JS20)</f>
        <v/>
      </c>
      <c r="F20" s="55">
        <f>SUMIF($CB$4:$JS$4,F$4,$CB20:$JS20)</f>
        <v/>
      </c>
      <c r="G20" s="55">
        <f>SUMIF($CB$4:$JS$4,G$4,$CB20:$JS20)</f>
        <v/>
      </c>
      <c r="H20" s="55">
        <f>SUMIF($CB$4:$JS$4,H$4,$CB20:$JS20)</f>
        <v/>
      </c>
      <c r="I20" s="55">
        <f>SUMIF($CB$4:$JS$4,I$4,$CB20:$JS20)</f>
        <v/>
      </c>
      <c r="J20" s="55">
        <f>SUMIF($CB$4:$JS$4,J$4,$CB20:$JS20)</f>
        <v/>
      </c>
      <c r="K20" s="55">
        <f>SUMIF($CB$4:$JS$4,K$4,$CB20:$JS20)</f>
        <v/>
      </c>
      <c r="L20" s="55">
        <f>SUMIF($CB$4:$JS$4,L$4,$CB20:$JS20)</f>
        <v/>
      </c>
      <c r="M20" s="55">
        <f>SUMIF($CB$4:$JS$4,M$4,$CB20:$JS20)</f>
        <v/>
      </c>
      <c r="N20" s="55">
        <f>SUMIF($CB$4:$JS$4,N$4,$CB20:$JS20)</f>
        <v/>
      </c>
      <c r="O20" s="55">
        <f>SUMIF($CB$4:$JS$4,O$4,$CB20:$JS20)</f>
        <v/>
      </c>
      <c r="P20" s="55">
        <f>SUMIF($CB$4:$JS$4,P$4,$CB20:$JS20)</f>
        <v/>
      </c>
      <c r="Q20" s="55">
        <f>SUMIF($CB$4:$JS$4,Q$4,$CB20:$JS20)</f>
        <v/>
      </c>
      <c r="R20" s="55">
        <f>SUMIF($CB$4:$JS$4,R$4,$CB20:$JS20)</f>
        <v/>
      </c>
      <c r="S20" s="55">
        <f>SUMIF($CB$4:$JS$4,S$4,$CB20:$JS20)</f>
        <v/>
      </c>
      <c r="T20" s="55">
        <f>SUMIF($CB$4:$JS$4,T$4,$CB20:$JS20)</f>
        <v/>
      </c>
      <c r="U20" s="55">
        <f>SUMIF($CB$4:$JS$4,U$4,$CB20:$JS20)</f>
        <v/>
      </c>
      <c r="V20" s="55">
        <f>SUMIF($CB$4:$JS$4,V$4,$CB20:$JS20)</f>
        <v/>
      </c>
      <c r="W20" s="55">
        <f>SUMIF($CB$4:$JS$4,W$4,$CB20:$JS20)</f>
        <v/>
      </c>
      <c r="X20" s="55">
        <f>SUMIF($CB$4:$JS$4,X$4,$CB20:$JS20)</f>
        <v/>
      </c>
      <c r="Y20" s="55">
        <f>SUMIF($CB$4:$JS$4,Y$4,$CB20:$JS20)</f>
        <v/>
      </c>
      <c r="Z20" s="55">
        <f>SUMIF($CB$4:$JS$4,Z$4,$CB20:$JS20)</f>
        <v/>
      </c>
      <c r="AA20" s="55">
        <f>SUMIF($CB$4:$JS$4,AA$4,$CB20:$JS20)</f>
        <v/>
      </c>
      <c r="AB20" s="55">
        <f>SUMIF($CB$4:$JS$4,AB$4,$CB20:$JS20)</f>
        <v/>
      </c>
      <c r="AC20" s="55">
        <f>SUMIF($CB$4:$JS$4,AC$4,$CB20:$JS20)</f>
        <v/>
      </c>
      <c r="AD20" s="55">
        <f>SUMIF($CB$4:$JS$4,AD$4,$CB20:$JS20)</f>
        <v/>
      </c>
      <c r="AE20" s="55">
        <f>SUMIF($CB$4:$JS$4,AE$4,$CB20:$JS20)</f>
        <v/>
      </c>
      <c r="AF20" s="55">
        <f>SUMIF($CB$4:$JS$4,AF$4,$CB20:$JS20)</f>
        <v/>
      </c>
      <c r="AG20" s="55">
        <f>SUMIF($CB$4:$JS$4,AG$4,$CB20:$JS20)</f>
        <v/>
      </c>
      <c r="AH20" s="55">
        <f>SUMIF($CB$4:$JS$4,AH$4,$CB20:$JS20)</f>
        <v/>
      </c>
      <c r="AI20" s="55">
        <f>SUMIF($CB$4:$JS$4,AI$4,$CB20:$JS20)</f>
        <v/>
      </c>
      <c r="AJ20" s="55">
        <f>SUMIF($CB$4:$JS$4,AJ$4,$CB20:$JS20)</f>
        <v/>
      </c>
      <c r="AK20" s="55">
        <f>SUMIF($CB$4:$JS$4,AK$4,$CB20:$JS20)</f>
        <v/>
      </c>
      <c r="AL20" s="55">
        <f>SUMIF($CB$4:$JS$4,AL$4,$CB20:$JS20)</f>
        <v/>
      </c>
      <c r="AM20" s="55">
        <f>SUMIF($CB$4:$JS$4,AM$4,$CB20:$JS20)</f>
        <v/>
      </c>
      <c r="AN20" s="55">
        <f>SUMIF($CB$4:$JS$4,AN$4,$CB20:$JS20)</f>
        <v/>
      </c>
      <c r="AO20" s="55">
        <f>SUMIF($CB$4:$JS$4,AO$4,$CB20:$JS20)</f>
        <v/>
      </c>
      <c r="AP20" s="55">
        <f>SUMIF($CB$4:$JS$4,AP$4,$CB20:$JS20)</f>
        <v/>
      </c>
      <c r="AQ20" s="55">
        <f>SUMIF($CB$4:$JS$4,AQ$4,$CB20:$JS20)</f>
        <v/>
      </c>
      <c r="AR20" s="55">
        <f>SUMIF($CB$4:$JS$4,AR$4,$CB20:$JS20)</f>
        <v/>
      </c>
      <c r="AS20" s="55">
        <f>SUMIF($CB$4:$JS$4,AS$4,$CB20:$JS20)</f>
        <v/>
      </c>
      <c r="AT20" s="55">
        <f>SUMIF($CB$4:$JS$4,AT$4,$CB20:$JS20)</f>
        <v/>
      </c>
      <c r="AU20" s="55">
        <f>SUMIF($CB$4:$JS$4,AU$4,$CB20:$JS20)</f>
        <v/>
      </c>
      <c r="AV20" s="55">
        <f>SUMIF($CB$4:$JS$4,AV$4,$CB20:$JS20)</f>
        <v/>
      </c>
      <c r="AW20" s="55">
        <f>SUMIF($CB$4:$JS$4,AW$4,$CB20:$JS20)</f>
        <v/>
      </c>
      <c r="AX20" s="55">
        <f>SUMIF($CB$4:$JS$4,AX$4,$CB20:$JS20)</f>
        <v/>
      </c>
      <c r="AY20" s="55">
        <f>SUMIF($CB$4:$JS$4,AY$4,$CB20:$JS20)</f>
        <v/>
      </c>
      <c r="AZ20" s="55">
        <f>SUMIF($CB$4:$JS$4,AZ$4,$CB20:$JS20)</f>
        <v/>
      </c>
      <c r="BA20" s="55">
        <f>SUMIF($CB$4:$JS$4,BA$4,$CB20:$JS20)</f>
        <v/>
      </c>
      <c r="BB20" s="55">
        <f>SUMIF($CB$4:$JS$4,BB$4,$CB20:$JS20)</f>
        <v/>
      </c>
      <c r="BC20" s="55">
        <f>SUMIF($CB$4:$JS$4,BC$4,$CB20:$JS20)</f>
        <v/>
      </c>
      <c r="BD20" s="55">
        <f>SUMIF($CB$4:$JS$4,BD$4,$CB20:$JS20)</f>
        <v/>
      </c>
      <c r="BE20" s="55">
        <f>SUMIF($CB$4:$JS$4,BE$4,$CB20:$JS20)</f>
        <v/>
      </c>
      <c r="BF20" s="55">
        <f>SUMIF($CB$4:$JS$4,BF$4,$CB20:$JS20)</f>
        <v/>
      </c>
      <c r="BG20" s="55">
        <f>SUMIF($CB$4:$JS$4,BG$4,$CB20:$JS20)</f>
        <v/>
      </c>
      <c r="BH20" s="55">
        <f>SUMIF($CB$4:$JS$4,BH$4,$CB20:$JS20)</f>
        <v/>
      </c>
      <c r="BI20" s="55">
        <f>SUMIF($CB$4:$JS$4,BI$4,$CB20:$JS20)</f>
        <v/>
      </c>
      <c r="BJ20" s="55">
        <f>SUMIF($CB$4:$JS$4,BJ$4,$CB20:$JS20)</f>
        <v/>
      </c>
      <c r="BK20" s="55">
        <f>SUMIF($CB$4:$JS$4,BK$4,$CB20:$JS20)</f>
        <v/>
      </c>
      <c r="BL20" s="55">
        <f>SUMIF($CB$4:$JS$4,BL$4,$CB20:$JS20)</f>
        <v/>
      </c>
      <c r="BM20" s="55">
        <f>SUMIF($CB$4:$JS$4,BM$4,$CB20:$JS20)</f>
        <v/>
      </c>
      <c r="BN20" s="55">
        <f>SUMIF($CB$4:$JS$4,BN$4,$CB20:$JS20)</f>
        <v/>
      </c>
      <c r="BO20" s="55">
        <f>SUMIF($CB$4:$JS$4,BO$4,$CB20:$JS20)</f>
        <v/>
      </c>
      <c r="BP20" s="55">
        <f>SUMIF($CB$4:$JS$4,BP$4,$CB20:$JS20)</f>
        <v/>
      </c>
      <c r="BQ20" s="55">
        <f>SUMIF($CB$4:$JS$4,BQ$4,$CB20:$JS20)</f>
        <v/>
      </c>
      <c r="BR20" s="55">
        <f>SUMIF($CB$4:$JS$4,BR$4,$CB20:$JS20)</f>
        <v/>
      </c>
      <c r="BS20" s="55">
        <f>SUMIF($CB$4:$JS$4,BS$4,$CB20:$JS20)</f>
        <v/>
      </c>
      <c r="BT20" s="55">
        <f>SUMIF($CB$4:$JS$4,BT$4,$CB20:$JS20)</f>
        <v/>
      </c>
      <c r="BU20" s="55">
        <f>SUMIF($CB$4:$JS$4,BU$4,$CB20:$JS20)</f>
        <v/>
      </c>
      <c r="BV20" s="55">
        <f>SUMIF($CB$4:$JS$4,BV$4,$CB20:$JS20)</f>
        <v/>
      </c>
      <c r="BW20" s="55">
        <f>SUMIF($CB$4:$JS$4,BW$4,$CB20:$JS20)</f>
        <v/>
      </c>
      <c r="BX20" s="55">
        <f>SUMIF($CB$4:$JS$4,"&gt;"&amp;'VALOR POR PL'!$P$8,$CB20:$JS20)</f>
        <v/>
      </c>
      <c r="BY20" s="55">
        <f>SUM($CB20:$JS20)</f>
        <v/>
      </c>
      <c r="CB20" s="123">
        <f>IF(OR(CB$4="",$B20=""),0,SUMIF('DADOS BRUTOS'!$A$3:$A$500,$B20,'DADOS BRUTOS'!B$3:B$500)+IF($C20="",0,SUMIF('DADOS BRUTOS'!$A$3:$A$500,$C20,'DADOS BRUTOS'!B$3:B$500)))</f>
        <v/>
      </c>
      <c r="CC20" s="123">
        <f>IF(OR(CC$4="",$B20=""),0,SUMIF('DADOS BRUTOS'!$A$3:$A$500,$B20,'DADOS BRUTOS'!C$3:C$500)+IF($C20="",0,SUMIF('DADOS BRUTOS'!$A$3:$A$500,$C20,'DADOS BRUTOS'!C$3:C$500)))</f>
        <v/>
      </c>
      <c r="CD20" s="123">
        <f>IF(OR(CD$4="",$B20=""),0,SUMIF('DADOS BRUTOS'!$A$3:$A$500,$B20,'DADOS BRUTOS'!D$3:D$500)+IF($C20="",0,SUMIF('DADOS BRUTOS'!$A$3:$A$500,$C20,'DADOS BRUTOS'!D$3:D$500)))</f>
        <v/>
      </c>
      <c r="CE20" s="123">
        <f>IF(OR(CE$4="",$B20=""),0,SUMIF('DADOS BRUTOS'!$A$3:$A$500,$B20,'DADOS BRUTOS'!E$3:E$500)+IF($C20="",0,SUMIF('DADOS BRUTOS'!$A$3:$A$500,$C20,'DADOS BRUTOS'!E$3:E$500)))</f>
        <v/>
      </c>
      <c r="CF20" s="123">
        <f>IF(OR(CF$4="",$B20=""),0,SUMIF('DADOS BRUTOS'!$A$3:$A$500,$B20,'DADOS BRUTOS'!F$3:F$500)+IF($C20="",0,SUMIF('DADOS BRUTOS'!$A$3:$A$500,$C20,'DADOS BRUTOS'!F$3:F$500)))</f>
        <v/>
      </c>
      <c r="CG20" s="123">
        <f>IF(OR(CG$4="",$B20=""),0,SUMIF('DADOS BRUTOS'!$A$3:$A$500,$B20,'DADOS BRUTOS'!G$3:G$500)+IF($C20="",0,SUMIF('DADOS BRUTOS'!$A$3:$A$500,$C20,'DADOS BRUTOS'!G$3:G$500)))</f>
        <v/>
      </c>
      <c r="CH20" s="123">
        <f>IF(OR(CH$4="",$B20=""),0,SUMIF('DADOS BRUTOS'!$A$3:$A$500,$B20,'DADOS BRUTOS'!H$3:H$500)+IF($C20="",0,SUMIF('DADOS BRUTOS'!$A$3:$A$500,$C20,'DADOS BRUTOS'!H$3:H$500)))</f>
        <v/>
      </c>
      <c r="CI20" s="123">
        <f>IF(OR(CI$4="",$B20=""),0,SUMIF('DADOS BRUTOS'!$A$3:$A$500,$B20,'DADOS BRUTOS'!I$3:I$500)+IF($C20="",0,SUMIF('DADOS BRUTOS'!$A$3:$A$500,$C20,'DADOS BRUTOS'!I$3:I$500)))</f>
        <v/>
      </c>
      <c r="CJ20" s="123">
        <f>IF(OR(CJ$4="",$B20=""),0,SUMIF('DADOS BRUTOS'!$A$3:$A$500,$B20,'DADOS BRUTOS'!J$3:J$500)+IF($C20="",0,SUMIF('DADOS BRUTOS'!$A$3:$A$500,$C20,'DADOS BRUTOS'!J$3:J$500)))</f>
        <v/>
      </c>
      <c r="CK20" s="123">
        <f>IF(OR(CK$4="",$B20=""),0,SUMIF('DADOS BRUTOS'!$A$3:$A$500,$B20,'DADOS BRUTOS'!K$3:K$500)+IF($C20="",0,SUMIF('DADOS BRUTOS'!$A$3:$A$500,$C20,'DADOS BRUTOS'!K$3:K$500)))</f>
        <v/>
      </c>
      <c r="CL20" s="123">
        <f>IF(OR(CL$4="",$B20=""),0,SUMIF('DADOS BRUTOS'!$A$3:$A$500,$B20,'DADOS BRUTOS'!L$3:L$500)+IF($C20="",0,SUMIF('DADOS BRUTOS'!$A$3:$A$500,$C20,'DADOS BRUTOS'!L$3:L$500)))</f>
        <v/>
      </c>
      <c r="CM20" s="123">
        <f>IF(OR(CM$4="",$B20=""),0,SUMIF('DADOS BRUTOS'!$A$3:$A$500,$B20,'DADOS BRUTOS'!M$3:M$500)+IF($C20="",0,SUMIF('DADOS BRUTOS'!$A$3:$A$500,$C20,'DADOS BRUTOS'!M$3:M$500)))</f>
        <v/>
      </c>
      <c r="CN20" s="123">
        <f>IF(OR(CN$4="",$B20=""),0,SUMIF('DADOS BRUTOS'!$A$3:$A$500,$B20,'DADOS BRUTOS'!N$3:N$500)+IF($C20="",0,SUMIF('DADOS BRUTOS'!$A$3:$A$500,$C20,'DADOS BRUTOS'!N$3:N$500)))</f>
        <v/>
      </c>
      <c r="CO20" s="123">
        <f>IF(OR(CO$4="",$B20=""),0,SUMIF('DADOS BRUTOS'!$A$3:$A$500,$B20,'DADOS BRUTOS'!O$3:O$500)+IF($C20="",0,SUMIF('DADOS BRUTOS'!$A$3:$A$500,$C20,'DADOS BRUTOS'!O$3:O$500)))</f>
        <v/>
      </c>
      <c r="CP20" s="123">
        <f>IF(OR(CP$4="",$B20=""),0,SUMIF('DADOS BRUTOS'!$A$3:$A$500,$B20,'DADOS BRUTOS'!P$3:P$500)+IF($C20="",0,SUMIF('DADOS BRUTOS'!$A$3:$A$500,$C20,'DADOS BRUTOS'!P$3:P$500)))</f>
        <v/>
      </c>
      <c r="CQ20" s="123">
        <f>IF(OR(CQ$4="",$B20=""),0,SUMIF('DADOS BRUTOS'!$A$3:$A$500,$B20,'DADOS BRUTOS'!Q$3:Q$500)+IF($C20="",0,SUMIF('DADOS BRUTOS'!$A$3:$A$500,$C20,'DADOS BRUTOS'!Q$3:Q$500)))</f>
        <v/>
      </c>
      <c r="CR20" s="123">
        <f>IF(OR(CR$4="",$B20=""),0,SUMIF('DADOS BRUTOS'!$A$3:$A$500,$B20,'DADOS BRUTOS'!R$3:R$500)+IF($C20="",0,SUMIF('DADOS BRUTOS'!$A$3:$A$500,$C20,'DADOS BRUTOS'!R$3:R$500)))</f>
        <v/>
      </c>
      <c r="CS20" s="123">
        <f>IF(OR(CS$4="",$B20=""),0,SUMIF('DADOS BRUTOS'!$A$3:$A$500,$B20,'DADOS BRUTOS'!S$3:S$500)+IF($C20="",0,SUMIF('DADOS BRUTOS'!$A$3:$A$500,$C20,'DADOS BRUTOS'!S$3:S$500)))</f>
        <v/>
      </c>
      <c r="CT20" s="123">
        <f>IF(OR(CT$4="",$B20=""),0,SUMIF('DADOS BRUTOS'!$A$3:$A$500,$B20,'DADOS BRUTOS'!T$3:T$500)+IF($C20="",0,SUMIF('DADOS BRUTOS'!$A$3:$A$500,$C20,'DADOS BRUTOS'!T$3:T$500)))</f>
        <v/>
      </c>
      <c r="CU20" s="123">
        <f>IF(OR(CU$4="",$B20=""),0,SUMIF('DADOS BRUTOS'!$A$3:$A$500,$B20,'DADOS BRUTOS'!U$3:U$500)+IF($C20="",0,SUMIF('DADOS BRUTOS'!$A$3:$A$500,$C20,'DADOS BRUTOS'!U$3:U$500)))</f>
        <v/>
      </c>
      <c r="CV20" s="123">
        <f>IF(OR(CV$4="",$B20=""),0,SUMIF('DADOS BRUTOS'!$A$3:$A$500,$B20,'DADOS BRUTOS'!V$3:V$500)+IF($C20="",0,SUMIF('DADOS BRUTOS'!$A$3:$A$500,$C20,'DADOS BRUTOS'!V$3:V$500)))</f>
        <v/>
      </c>
      <c r="CW20" s="123">
        <f>IF(OR(CW$4="",$B20=""),0,SUMIF('DADOS BRUTOS'!$A$3:$A$500,$B20,'DADOS BRUTOS'!W$3:W$500)+IF($C20="",0,SUMIF('DADOS BRUTOS'!$A$3:$A$500,$C20,'DADOS BRUTOS'!W$3:W$500)))</f>
        <v/>
      </c>
      <c r="CX20" s="123">
        <f>IF(OR(CX$4="",$B20=""),0,SUMIF('DADOS BRUTOS'!$A$3:$A$500,$B20,'DADOS BRUTOS'!X$3:X$500)+IF($C20="",0,SUMIF('DADOS BRUTOS'!$A$3:$A$500,$C20,'DADOS BRUTOS'!X$3:X$500)))</f>
        <v/>
      </c>
      <c r="CY20" s="123">
        <f>IF(OR(CY$4="",$B20=""),0,SUMIF('DADOS BRUTOS'!$A$3:$A$500,$B20,'DADOS BRUTOS'!Y$3:Y$500)+IF($C20="",0,SUMIF('DADOS BRUTOS'!$A$3:$A$500,$C20,'DADOS BRUTOS'!Y$3:Y$500)))</f>
        <v/>
      </c>
      <c r="CZ20" s="123">
        <f>IF(OR(CZ$4="",$B20=""),0,SUMIF('DADOS BRUTOS'!$A$3:$A$500,$B20,'DADOS BRUTOS'!Z$3:Z$500)+IF($C20="",0,SUMIF('DADOS BRUTOS'!$A$3:$A$500,$C20,'DADOS BRUTOS'!Z$3:Z$500)))</f>
        <v/>
      </c>
      <c r="DA20" s="123">
        <f>IF(OR(DA$4="",$B20=""),0,SUMIF('DADOS BRUTOS'!$A$3:$A$500,$B20,'DADOS BRUTOS'!AA$3:AA$500)+IF($C20="",0,SUMIF('DADOS BRUTOS'!$A$3:$A$500,$C20,'DADOS BRUTOS'!AA$3:AA$500)))</f>
        <v/>
      </c>
      <c r="DB20" s="123">
        <f>IF(OR(DB$4="",$B20=""),0,SUMIF('DADOS BRUTOS'!$A$3:$A$500,$B20,'DADOS BRUTOS'!AB$3:AB$500)+IF($C20="",0,SUMIF('DADOS BRUTOS'!$A$3:$A$500,$C20,'DADOS BRUTOS'!AB$3:AB$500)))</f>
        <v/>
      </c>
      <c r="DC20" s="123">
        <f>IF(OR(DC$4="",$B20=""),0,SUMIF('DADOS BRUTOS'!$A$3:$A$500,$B20,'DADOS BRUTOS'!AC$3:AC$500)+IF($C20="",0,SUMIF('DADOS BRUTOS'!$A$3:$A$500,$C20,'DADOS BRUTOS'!AC$3:AC$500)))</f>
        <v/>
      </c>
      <c r="DD20" s="123">
        <f>IF(OR(DD$4="",$B20=""),0,SUMIF('DADOS BRUTOS'!$A$3:$A$500,$B20,'DADOS BRUTOS'!AD$3:AD$500)+IF($C20="",0,SUMIF('DADOS BRUTOS'!$A$3:$A$500,$C20,'DADOS BRUTOS'!AD$3:AD$500)))</f>
        <v/>
      </c>
      <c r="DE20" s="123">
        <f>IF(OR(DE$4="",$B20=""),0,SUMIF('DADOS BRUTOS'!$A$3:$A$500,$B20,'DADOS BRUTOS'!AE$3:AE$500)+IF($C20="",0,SUMIF('DADOS BRUTOS'!$A$3:$A$500,$C20,'DADOS BRUTOS'!AE$3:AE$500)))</f>
        <v/>
      </c>
      <c r="DF20" s="123">
        <f>IF(OR(DF$4="",$B20=""),0,SUMIF('DADOS BRUTOS'!$A$3:$A$500,$B20,'DADOS BRUTOS'!AF$3:AF$500)+IF($C20="",0,SUMIF('DADOS BRUTOS'!$A$3:$A$500,$C20,'DADOS BRUTOS'!AF$3:AF$500)))</f>
        <v/>
      </c>
      <c r="DG20" s="123">
        <f>IF(OR(DG$4="",$B20=""),0,SUMIF('DADOS BRUTOS'!$A$3:$A$500,$B20,'DADOS BRUTOS'!AG$3:AG$500)+IF($C20="",0,SUMIF('DADOS BRUTOS'!$A$3:$A$500,$C20,'DADOS BRUTOS'!AG$3:AG$500)))</f>
        <v/>
      </c>
      <c r="DH20" s="123">
        <f>IF(OR(DH$4="",$B20=""),0,SUMIF('DADOS BRUTOS'!$A$3:$A$500,$B20,'DADOS BRUTOS'!AH$3:AH$500)+IF($C20="",0,SUMIF('DADOS BRUTOS'!$A$3:$A$500,$C20,'DADOS BRUTOS'!AH$3:AH$500)))</f>
        <v/>
      </c>
      <c r="DI20" s="123">
        <f>IF(OR(DI$4="",$B20=""),0,SUMIF('DADOS BRUTOS'!$A$3:$A$500,$B20,'DADOS BRUTOS'!AI$3:AI$500)+IF($C20="",0,SUMIF('DADOS BRUTOS'!$A$3:$A$500,$C20,'DADOS BRUTOS'!AI$3:AI$500)))</f>
        <v/>
      </c>
      <c r="DJ20" s="123">
        <f>IF(OR(DJ$4="",$B20=""),0,SUMIF('DADOS BRUTOS'!$A$3:$A$500,$B20,'DADOS BRUTOS'!AJ$3:AJ$500)+IF($C20="",0,SUMIF('DADOS BRUTOS'!$A$3:$A$500,$C20,'DADOS BRUTOS'!AJ$3:AJ$500)))</f>
        <v/>
      </c>
      <c r="DK20" s="123">
        <f>IF(OR(DK$4="",$B20=""),0,SUMIF('DADOS BRUTOS'!$A$3:$A$500,$B20,'DADOS BRUTOS'!AK$3:AK$500)+IF($C20="",0,SUMIF('DADOS BRUTOS'!$A$3:$A$500,$C20,'DADOS BRUTOS'!AK$3:AK$500)))</f>
        <v/>
      </c>
      <c r="DL20" s="123">
        <f>IF(OR(DL$4="",$B20=""),0,SUMIF('DADOS BRUTOS'!$A$3:$A$500,$B20,'DADOS BRUTOS'!AL$3:AL$500)+IF($C20="",0,SUMIF('DADOS BRUTOS'!$A$3:$A$500,$C20,'DADOS BRUTOS'!AL$3:AL$500)))</f>
        <v/>
      </c>
      <c r="DM20" s="123">
        <f>IF(OR(DM$4="",$B20=""),0,SUMIF('DADOS BRUTOS'!$A$3:$A$500,$B20,'DADOS BRUTOS'!AM$3:AM$500)+IF($C20="",0,SUMIF('DADOS BRUTOS'!$A$3:$A$500,$C20,'DADOS BRUTOS'!AM$3:AM$500)))</f>
        <v/>
      </c>
      <c r="DN20" s="123">
        <f>IF(OR(DN$4="",$B20=""),0,SUMIF('DADOS BRUTOS'!$A$3:$A$500,$B20,'DADOS BRUTOS'!AN$3:AN$500)+IF($C20="",0,SUMIF('DADOS BRUTOS'!$A$3:$A$500,$C20,'DADOS BRUTOS'!AN$3:AN$500)))</f>
        <v/>
      </c>
      <c r="DO20" s="123">
        <f>IF(OR(DO$4="",$B20=""),0,SUMIF('DADOS BRUTOS'!$A$3:$A$500,$B20,'DADOS BRUTOS'!AO$3:AO$500)+IF($C20="",0,SUMIF('DADOS BRUTOS'!$A$3:$A$500,$C20,'DADOS BRUTOS'!AO$3:AO$500)))</f>
        <v/>
      </c>
      <c r="DP20" s="123">
        <f>IF(OR(DP$4="",$B20=""),0,SUMIF('DADOS BRUTOS'!$A$3:$A$500,$B20,'DADOS BRUTOS'!AP$3:AP$500)+IF($C20="",0,SUMIF('DADOS BRUTOS'!$A$3:$A$500,$C20,'DADOS BRUTOS'!AP$3:AP$500)))</f>
        <v/>
      </c>
      <c r="DQ20" s="123">
        <f>IF(OR(DQ$4="",$B20=""),0,SUMIF('DADOS BRUTOS'!$A$3:$A$500,$B20,'DADOS BRUTOS'!AQ$3:AQ$500)+IF($C20="",0,SUMIF('DADOS BRUTOS'!$A$3:$A$500,$C20,'DADOS BRUTOS'!AQ$3:AQ$500)))</f>
        <v/>
      </c>
      <c r="DR20" s="123">
        <f>IF(OR(DR$4="",$B20=""),0,SUMIF('DADOS BRUTOS'!$A$3:$A$500,$B20,'DADOS BRUTOS'!AR$3:AR$500)+IF($C20="",0,SUMIF('DADOS BRUTOS'!$A$3:$A$500,$C20,'DADOS BRUTOS'!AR$3:AR$500)))</f>
        <v/>
      </c>
      <c r="DS20" s="123">
        <f>IF(OR(DS$4="",$B20=""),0,SUMIF('DADOS BRUTOS'!$A$3:$A$500,$B20,'DADOS BRUTOS'!AS$3:AS$500)+IF($C20="",0,SUMIF('DADOS BRUTOS'!$A$3:$A$500,$C20,'DADOS BRUTOS'!AS$3:AS$500)))</f>
        <v/>
      </c>
      <c r="DT20" s="123">
        <f>IF(OR(DT$4="",$B20=""),0,SUMIF('DADOS BRUTOS'!$A$3:$A$500,$B20,'DADOS BRUTOS'!AT$3:AT$500)+IF($C20="",0,SUMIF('DADOS BRUTOS'!$A$3:$A$500,$C20,'DADOS BRUTOS'!AT$3:AT$500)))</f>
        <v/>
      </c>
      <c r="DU20" s="123">
        <f>IF(OR(DU$4="",$B20=""),0,SUMIF('DADOS BRUTOS'!$A$3:$A$500,$B20,'DADOS BRUTOS'!AU$3:AU$500)+IF($C20="",0,SUMIF('DADOS BRUTOS'!$A$3:$A$500,$C20,'DADOS BRUTOS'!AU$3:AU$500)))</f>
        <v/>
      </c>
      <c r="DV20" s="123">
        <f>IF(OR(DV$4="",$B20=""),0,SUMIF('DADOS BRUTOS'!$A$3:$A$500,$B20,'DADOS BRUTOS'!AV$3:AV$500)+IF($C20="",0,SUMIF('DADOS BRUTOS'!$A$3:$A$500,$C20,'DADOS BRUTOS'!AV$3:AV$500)))</f>
        <v/>
      </c>
      <c r="DW20" s="123">
        <f>IF(OR(DW$4="",$B20=""),0,SUMIF('DADOS BRUTOS'!$A$3:$A$500,$B20,'DADOS BRUTOS'!AW$3:AW$500)+IF($C20="",0,SUMIF('DADOS BRUTOS'!$A$3:$A$500,$C20,'DADOS BRUTOS'!AW$3:AW$500)))</f>
        <v/>
      </c>
      <c r="DX20" s="123">
        <f>IF(OR(DX$4="",$B20=""),0,SUMIF('DADOS BRUTOS'!$A$3:$A$500,$B20,'DADOS BRUTOS'!AX$3:AX$500)+IF($C20="",0,SUMIF('DADOS BRUTOS'!$A$3:$A$500,$C20,'DADOS BRUTOS'!AX$3:AX$500)))</f>
        <v/>
      </c>
      <c r="DY20" s="123">
        <f>IF(OR(DY$4="",$B20=""),0,SUMIF('DADOS BRUTOS'!$A$3:$A$500,$B20,'DADOS BRUTOS'!AY$3:AY$500)+IF($C20="",0,SUMIF('DADOS BRUTOS'!$A$3:$A$500,$C20,'DADOS BRUTOS'!AY$3:AY$500)))</f>
        <v/>
      </c>
      <c r="DZ20" s="123">
        <f>IF(OR(DZ$4="",$B20=""),0,SUMIF('DADOS BRUTOS'!$A$3:$A$500,$B20,'DADOS BRUTOS'!AZ$3:AZ$500)+IF($C20="",0,SUMIF('DADOS BRUTOS'!$A$3:$A$500,$C20,'DADOS BRUTOS'!AZ$3:AZ$500)))</f>
        <v/>
      </c>
      <c r="EA20" s="123">
        <f>IF(OR(EA$4="",$B20=""),0,SUMIF('DADOS BRUTOS'!$A$3:$A$500,$B20,'DADOS BRUTOS'!BA$3:BA$500)+IF($C20="",0,SUMIF('DADOS BRUTOS'!$A$3:$A$500,$C20,'DADOS BRUTOS'!BA$3:BA$500)))</f>
        <v/>
      </c>
      <c r="EB20" s="123">
        <f>IF(OR(EB$4="",$B20=""),0,SUMIF('DADOS BRUTOS'!$A$3:$A$500,$B20,'DADOS BRUTOS'!BB$3:BB$500)+IF($C20="",0,SUMIF('DADOS BRUTOS'!$A$3:$A$500,$C20,'DADOS BRUTOS'!BB$3:BB$500)))</f>
        <v/>
      </c>
      <c r="EC20" s="123">
        <f>IF(OR(EC$4="",$B20=""),0,SUMIF('DADOS BRUTOS'!$A$3:$A$500,$B20,'DADOS BRUTOS'!BC$3:BC$500)+IF($C20="",0,SUMIF('DADOS BRUTOS'!$A$3:$A$500,$C20,'DADOS BRUTOS'!BC$3:BC$500)))</f>
        <v/>
      </c>
      <c r="ED20" s="123">
        <f>IF(OR(ED$4="",$B20=""),0,SUMIF('DADOS BRUTOS'!$A$3:$A$500,$B20,'DADOS BRUTOS'!BD$3:BD$500)+IF($C20="",0,SUMIF('DADOS BRUTOS'!$A$3:$A$500,$C20,'DADOS BRUTOS'!BD$3:BD$500)))</f>
        <v/>
      </c>
      <c r="EE20" s="123">
        <f>IF(OR(EE$4="",$B20=""),0,SUMIF('DADOS BRUTOS'!$A$3:$A$500,$B20,'DADOS BRUTOS'!BE$3:BE$500)+IF($C20="",0,SUMIF('DADOS BRUTOS'!$A$3:$A$500,$C20,'DADOS BRUTOS'!BE$3:BE$500)))</f>
        <v/>
      </c>
      <c r="EF20" s="123">
        <f>IF(OR(EF$4="",$B20=""),0,SUMIF('DADOS BRUTOS'!$A$3:$A$500,$B20,'DADOS BRUTOS'!BF$3:BF$500)+IF($C20="",0,SUMIF('DADOS BRUTOS'!$A$3:$A$500,$C20,'DADOS BRUTOS'!BF$3:BF$500)))</f>
        <v/>
      </c>
      <c r="EG20" s="123">
        <f>IF(OR(EG$4="",$B20=""),0,SUMIF('DADOS BRUTOS'!$A$3:$A$500,$B20,'DADOS BRUTOS'!BG$3:BG$500)+IF($C20="",0,SUMIF('DADOS BRUTOS'!$A$3:$A$500,$C20,'DADOS BRUTOS'!BG$3:BG$500)))</f>
        <v/>
      </c>
      <c r="EH20" s="123">
        <f>IF(OR(EH$4="",$B20=""),0,SUMIF('DADOS BRUTOS'!$A$3:$A$500,$B20,'DADOS BRUTOS'!BH$3:BH$500)+IF($C20="",0,SUMIF('DADOS BRUTOS'!$A$3:$A$500,$C20,'DADOS BRUTOS'!BH$3:BH$500)))</f>
        <v/>
      </c>
      <c r="EI20" s="123">
        <f>IF(OR(EI$4="",$B20=""),0,SUMIF('DADOS BRUTOS'!$A$3:$A$500,$B20,'DADOS BRUTOS'!BI$3:BI$500)+IF($C20="",0,SUMIF('DADOS BRUTOS'!$A$3:$A$500,$C20,'DADOS BRUTOS'!BI$3:BI$500)))</f>
        <v/>
      </c>
      <c r="EJ20" s="123">
        <f>IF(OR(EJ$4="",$B20=""),0,SUMIF('DADOS BRUTOS'!$A$3:$A$500,$B20,'DADOS BRUTOS'!BJ$3:BJ$500)+IF($C20="",0,SUMIF('DADOS BRUTOS'!$A$3:$A$500,$C20,'DADOS BRUTOS'!BJ$3:BJ$500)))</f>
        <v/>
      </c>
      <c r="EK20" s="123">
        <f>IF(OR(EK$4="",$B20=""),0,SUMIF('DADOS BRUTOS'!$A$3:$A$500,$B20,'DADOS BRUTOS'!BK$3:BK$500)+IF($C20="",0,SUMIF('DADOS BRUTOS'!$A$3:$A$500,$C20,'DADOS BRUTOS'!BK$3:BK$500)))</f>
        <v/>
      </c>
      <c r="EL20" s="123">
        <f>IF(OR(EL$4="",$B20=""),0,SUMIF('DADOS BRUTOS'!$A$3:$A$500,$B20,'DADOS BRUTOS'!BL$3:BL$500)+IF($C20="",0,SUMIF('DADOS BRUTOS'!$A$3:$A$500,$C20,'DADOS BRUTOS'!BL$3:BL$500)))</f>
        <v/>
      </c>
      <c r="EM20" s="123">
        <f>IF(OR(EM$4="",$B20=""),0,SUMIF('DADOS BRUTOS'!$A$3:$A$500,$B20,'DADOS BRUTOS'!BM$3:BM$500)+IF($C20="",0,SUMIF('DADOS BRUTOS'!$A$3:$A$500,$C20,'DADOS BRUTOS'!BM$3:BM$500)))</f>
        <v/>
      </c>
      <c r="EN20" s="123">
        <f>IF(OR(EN$4="",$B20=""),0,SUMIF('DADOS BRUTOS'!$A$3:$A$500,$B20,'DADOS BRUTOS'!BN$3:BN$500)+IF($C20="",0,SUMIF('DADOS BRUTOS'!$A$3:$A$500,$C20,'DADOS BRUTOS'!BN$3:BN$500)))</f>
        <v/>
      </c>
      <c r="EO20" s="123">
        <f>IF(OR(EO$4="",$B20=""),0,SUMIF('DADOS BRUTOS'!$A$3:$A$500,$B20,'DADOS BRUTOS'!BO$3:BO$500)+IF($C20="",0,SUMIF('DADOS BRUTOS'!$A$3:$A$500,$C20,'DADOS BRUTOS'!BO$3:BO$500)))</f>
        <v/>
      </c>
      <c r="EP20" s="123">
        <f>IF(OR(EP$4="",$B20=""),0,SUMIF('DADOS BRUTOS'!$A$3:$A$500,$B20,'DADOS BRUTOS'!BP$3:BP$500)+IF($C20="",0,SUMIF('DADOS BRUTOS'!$A$3:$A$500,$C20,'DADOS BRUTOS'!BP$3:BP$500)))</f>
        <v/>
      </c>
      <c r="EQ20" s="123">
        <f>IF(OR(EQ$4="",$B20=""),0,SUMIF('DADOS BRUTOS'!$A$3:$A$500,$B20,'DADOS BRUTOS'!BQ$3:BQ$500)+IF($C20="",0,SUMIF('DADOS BRUTOS'!$A$3:$A$500,$C20,'DADOS BRUTOS'!BQ$3:BQ$500)))</f>
        <v/>
      </c>
      <c r="ER20" s="123">
        <f>IF(OR(ER$4="",$B20=""),0,SUMIF('DADOS BRUTOS'!$A$3:$A$500,$B20,'DADOS BRUTOS'!BR$3:BR$500)+IF($C20="",0,SUMIF('DADOS BRUTOS'!$A$3:$A$500,$C20,'DADOS BRUTOS'!BR$3:BR$500)))</f>
        <v/>
      </c>
      <c r="ES20" s="123">
        <f>IF(OR(ES$4="",$B20=""),0,SUMIF('DADOS BRUTOS'!$A$3:$A$500,$B20,'DADOS BRUTOS'!BS$3:BS$500)+IF($C20="",0,SUMIF('DADOS BRUTOS'!$A$3:$A$500,$C20,'DADOS BRUTOS'!BS$3:BS$500)))</f>
        <v/>
      </c>
      <c r="ET20" s="123">
        <f>IF(OR(ET$4="",$B20=""),0,SUMIF('DADOS BRUTOS'!$A$3:$A$500,$B20,'DADOS BRUTOS'!BT$3:BT$500)+IF($C20="",0,SUMIF('DADOS BRUTOS'!$A$3:$A$500,$C20,'DADOS BRUTOS'!BT$3:BT$500)))</f>
        <v/>
      </c>
      <c r="EU20" s="123">
        <f>IF(OR(EU$4="",$B20=""),0,SUMIF('DADOS BRUTOS'!$A$3:$A$500,$B20,'DADOS BRUTOS'!BU$3:BU$500)+IF($C20="",0,SUMIF('DADOS BRUTOS'!$A$3:$A$500,$C20,'DADOS BRUTOS'!BU$3:BU$500)))</f>
        <v/>
      </c>
      <c r="EV20" s="123">
        <f>IF(OR(EV$4="",$B20=""),0,SUMIF('DADOS BRUTOS'!$A$3:$A$500,$B20,'DADOS BRUTOS'!BV$3:BV$500)+IF($C20="",0,SUMIF('DADOS BRUTOS'!$A$3:$A$500,$C20,'DADOS BRUTOS'!BV$3:BV$500)))</f>
        <v/>
      </c>
      <c r="EW20" s="123">
        <f>IF(OR(EW$4="",$B20=""),0,SUMIF('DADOS BRUTOS'!$A$3:$A$500,$B20,'DADOS BRUTOS'!BW$3:BW$500)+IF($C20="",0,SUMIF('DADOS BRUTOS'!$A$3:$A$500,$C20,'DADOS BRUTOS'!BW$3:BW$500)))</f>
        <v/>
      </c>
      <c r="EX20" s="123">
        <f>IF(OR(EX$4="",$B20=""),0,SUMIF('DADOS BRUTOS'!$A$3:$A$500,$B20,'DADOS BRUTOS'!BX$3:BX$500)+IF($C20="",0,SUMIF('DADOS BRUTOS'!$A$3:$A$500,$C20,'DADOS BRUTOS'!BX$3:BX$500)))</f>
        <v/>
      </c>
      <c r="EY20" s="123">
        <f>IF(OR(EY$4="",$B20=""),0,SUMIF('DADOS BRUTOS'!$A$3:$A$500,$B20,'DADOS BRUTOS'!BY$3:BY$500)+IF($C20="",0,SUMIF('DADOS BRUTOS'!$A$3:$A$500,$C20,'DADOS BRUTOS'!BY$3:BY$500)))</f>
        <v/>
      </c>
      <c r="EZ20" s="123">
        <f>IF(OR(EZ$4="",$B20=""),0,SUMIF('DADOS BRUTOS'!$A$3:$A$500,$B20,'DADOS BRUTOS'!BZ$3:BZ$500)+IF($C20="",0,SUMIF('DADOS BRUTOS'!$A$3:$A$500,$C20,'DADOS BRUTOS'!BZ$3:BZ$500)))</f>
        <v/>
      </c>
      <c r="FA20" s="123">
        <f>IF(OR(FA$4="",$B20=""),0,SUMIF('DADOS BRUTOS'!$A$3:$A$500,$B20,'DADOS BRUTOS'!CA$3:CA$500)+IF($C20="",0,SUMIF('DADOS BRUTOS'!$A$3:$A$500,$C20,'DADOS BRUTOS'!CA$3:CA$500)))</f>
        <v/>
      </c>
      <c r="FB20" s="123">
        <f>IF(OR(FB$4="",$B20=""),0,SUMIF('DADOS BRUTOS'!$A$3:$A$500,$B20,'DADOS BRUTOS'!CB$3:CB$500)+IF($C20="",0,SUMIF('DADOS BRUTOS'!$A$3:$A$500,$C20,'DADOS BRUTOS'!CB$3:CB$500)))</f>
        <v/>
      </c>
      <c r="FC20" s="123">
        <f>IF(OR(FC$4="",$B20=""),0,SUMIF('DADOS BRUTOS'!$A$3:$A$500,$B20,'DADOS BRUTOS'!CC$3:CC$500)+IF($C20="",0,SUMIF('DADOS BRUTOS'!$A$3:$A$500,$C20,'DADOS BRUTOS'!CC$3:CC$500)))</f>
        <v/>
      </c>
      <c r="FD20" s="123">
        <f>IF(OR(FD$4="",$B20=""),0,SUMIF('DADOS BRUTOS'!$A$3:$A$500,$B20,'DADOS BRUTOS'!CD$3:CD$500)+IF($C20="",0,SUMIF('DADOS BRUTOS'!$A$3:$A$500,$C20,'DADOS BRUTOS'!CD$3:CD$500)))</f>
        <v/>
      </c>
      <c r="FE20" s="123">
        <f>IF(OR(FE$4="",$B20=""),0,SUMIF('DADOS BRUTOS'!$A$3:$A$500,$B20,'DADOS BRUTOS'!CE$3:CE$500)+IF($C20="",0,SUMIF('DADOS BRUTOS'!$A$3:$A$500,$C20,'DADOS BRUTOS'!CE$3:CE$500)))</f>
        <v/>
      </c>
      <c r="FF20" s="123">
        <f>IF(OR(FF$4="",$B20=""),0,SUMIF('DADOS BRUTOS'!$A$3:$A$500,$B20,'DADOS BRUTOS'!CF$3:CF$500)+IF($C20="",0,SUMIF('DADOS BRUTOS'!$A$3:$A$500,$C20,'DADOS BRUTOS'!CF$3:CF$500)))</f>
        <v/>
      </c>
      <c r="FG20" s="123">
        <f>IF(OR(FG$4="",$B20=""),0,SUMIF('DADOS BRUTOS'!$A$3:$A$500,$B20,'DADOS BRUTOS'!CG$3:CG$500)+IF($C20="",0,SUMIF('DADOS BRUTOS'!$A$3:$A$500,$C20,'DADOS BRUTOS'!CG$3:CG$500)))</f>
        <v/>
      </c>
      <c r="FH20" s="123">
        <f>IF(OR(FH$4="",$B20=""),0,SUMIF('DADOS BRUTOS'!$A$3:$A$500,$B20,'DADOS BRUTOS'!CH$3:CH$500)+IF($C20="",0,SUMIF('DADOS BRUTOS'!$A$3:$A$500,$C20,'DADOS BRUTOS'!CH$3:CH$500)))</f>
        <v/>
      </c>
      <c r="FI20" s="123">
        <f>IF(OR(FI$4="",$B20=""),0,SUMIF('DADOS BRUTOS'!$A$3:$A$500,$B20,'DADOS BRUTOS'!CI$3:CI$500)+IF($C20="",0,SUMIF('DADOS BRUTOS'!$A$3:$A$500,$C20,'DADOS BRUTOS'!CI$3:CI$500)))</f>
        <v/>
      </c>
      <c r="FJ20" s="123">
        <f>IF(OR(FJ$4="",$B20=""),0,SUMIF('DADOS BRUTOS'!$A$3:$A$500,$B20,'DADOS BRUTOS'!CJ$3:CJ$500)+IF($C20="",0,SUMIF('DADOS BRUTOS'!$A$3:$A$500,$C20,'DADOS BRUTOS'!CJ$3:CJ$500)))</f>
        <v/>
      </c>
      <c r="FK20" s="123">
        <f>IF(OR(FK$4="",$B20=""),0,SUMIF('DADOS BRUTOS'!$A$3:$A$500,$B20,'DADOS BRUTOS'!CK$3:CK$500)+IF($C20="",0,SUMIF('DADOS BRUTOS'!$A$3:$A$500,$C20,'DADOS BRUTOS'!CK$3:CK$500)))</f>
        <v/>
      </c>
      <c r="FL20" s="123">
        <f>IF(OR(FL$4="",$B20=""),0,SUMIF('DADOS BRUTOS'!$A$3:$A$500,$B20,'DADOS BRUTOS'!CL$3:CL$500)+IF($C20="",0,SUMIF('DADOS BRUTOS'!$A$3:$A$500,$C20,'DADOS BRUTOS'!CL$3:CL$500)))</f>
        <v/>
      </c>
      <c r="FM20" s="123">
        <f>IF(OR(FM$4="",$B20=""),0,SUMIF('DADOS BRUTOS'!$A$3:$A$500,$B20,'DADOS BRUTOS'!CM$3:CM$500)+IF($C20="",0,SUMIF('DADOS BRUTOS'!$A$3:$A$500,$C20,'DADOS BRUTOS'!CM$3:CM$500)))</f>
        <v/>
      </c>
      <c r="FN20" s="123">
        <f>IF(OR(FN$4="",$B20=""),0,SUMIF('DADOS BRUTOS'!$A$3:$A$500,$B20,'DADOS BRUTOS'!CN$3:CN$500)+IF($C20="",0,SUMIF('DADOS BRUTOS'!$A$3:$A$500,$C20,'DADOS BRUTOS'!CN$3:CN$500)))</f>
        <v/>
      </c>
      <c r="FO20" s="123">
        <f>IF(OR(FO$4="",$B20=""),0,SUMIF('DADOS BRUTOS'!$A$3:$A$500,$B20,'DADOS BRUTOS'!CO$3:CO$500)+IF($C20="",0,SUMIF('DADOS BRUTOS'!$A$3:$A$500,$C20,'DADOS BRUTOS'!CO$3:CO$500)))</f>
        <v/>
      </c>
      <c r="FP20" s="123">
        <f>IF(OR(FP$4="",$B20=""),0,SUMIF('DADOS BRUTOS'!$A$3:$A$500,$B20,'DADOS BRUTOS'!CP$3:CP$500)+IF($C20="",0,SUMIF('DADOS BRUTOS'!$A$3:$A$500,$C20,'DADOS BRUTOS'!CP$3:CP$500)))</f>
        <v/>
      </c>
      <c r="FQ20" s="123">
        <f>IF(OR(FQ$4="",$B20=""),0,SUMIF('DADOS BRUTOS'!$A$3:$A$500,$B20,'DADOS BRUTOS'!CQ$3:CQ$500)+IF($C20="",0,SUMIF('DADOS BRUTOS'!$A$3:$A$500,$C20,'DADOS BRUTOS'!CQ$3:CQ$500)))</f>
        <v/>
      </c>
      <c r="FR20" s="123">
        <f>IF(OR(FR$4="",$B20=""),0,SUMIF('DADOS BRUTOS'!$A$3:$A$500,$B20,'DADOS BRUTOS'!CR$3:CR$500)+IF($C20="",0,SUMIF('DADOS BRUTOS'!$A$3:$A$500,$C20,'DADOS BRUTOS'!CR$3:CR$500)))</f>
        <v/>
      </c>
      <c r="FS20" s="123">
        <f>IF(OR(FS$4="",$B20=""),0,SUMIF('DADOS BRUTOS'!$A$3:$A$500,$B20,'DADOS BRUTOS'!CS$3:CS$500)+IF($C20="",0,SUMIF('DADOS BRUTOS'!$A$3:$A$500,$C20,'DADOS BRUTOS'!CS$3:CS$500)))</f>
        <v/>
      </c>
      <c r="FT20" s="123">
        <f>IF(OR(FT$4="",$B20=""),0,SUMIF('DADOS BRUTOS'!$A$3:$A$500,$B20,'DADOS BRUTOS'!CT$3:CT$500)+IF($C20="",0,SUMIF('DADOS BRUTOS'!$A$3:$A$500,$C20,'DADOS BRUTOS'!CT$3:CT$500)))</f>
        <v/>
      </c>
      <c r="FU20" s="123">
        <f>IF(OR(FU$4="",$B20=""),0,SUMIF('DADOS BRUTOS'!$A$3:$A$500,$B20,'DADOS BRUTOS'!CU$3:CU$500)+IF($C20="",0,SUMIF('DADOS BRUTOS'!$A$3:$A$500,$C20,'DADOS BRUTOS'!CU$3:CU$500)))</f>
        <v/>
      </c>
      <c r="FV20" s="123">
        <f>IF(OR(FV$4="",$B20=""),0,SUMIF('DADOS BRUTOS'!$A$3:$A$500,$B20,'DADOS BRUTOS'!CV$3:CV$500)+IF($C20="",0,SUMIF('DADOS BRUTOS'!$A$3:$A$500,$C20,'DADOS BRUTOS'!CV$3:CV$500)))</f>
        <v/>
      </c>
      <c r="FW20" s="123">
        <f>IF(OR(FW$4="",$B20=""),0,SUMIF('DADOS BRUTOS'!$A$3:$A$500,$B20,'DADOS BRUTOS'!CW$3:CW$500)+IF($C20="",0,SUMIF('DADOS BRUTOS'!$A$3:$A$500,$C20,'DADOS BRUTOS'!CW$3:CW$500)))</f>
        <v/>
      </c>
      <c r="FX20" s="123">
        <f>IF(OR(FX$4="",$B20=""),0,SUMIF('DADOS BRUTOS'!$A$3:$A$500,$B20,'DADOS BRUTOS'!CX$3:CX$500)+IF($C20="",0,SUMIF('DADOS BRUTOS'!$A$3:$A$500,$C20,'DADOS BRUTOS'!CX$3:CX$500)))</f>
        <v/>
      </c>
      <c r="FY20" s="123">
        <f>IF(OR(FY$4="",$B20=""),0,SUMIF('DADOS BRUTOS'!$A$3:$A$500,$B20,'DADOS BRUTOS'!CY$3:CY$500)+IF($C20="",0,SUMIF('DADOS BRUTOS'!$A$3:$A$500,$C20,'DADOS BRUTOS'!CY$3:CY$500)))</f>
        <v/>
      </c>
      <c r="FZ20" s="123">
        <f>IF(OR(FZ$4="",$B20=""),0,SUMIF('DADOS BRUTOS'!$A$3:$A$500,$B20,'DADOS BRUTOS'!CZ$3:CZ$500)+IF($C20="",0,SUMIF('DADOS BRUTOS'!$A$3:$A$500,$C20,'DADOS BRUTOS'!CZ$3:CZ$500)))</f>
        <v/>
      </c>
      <c r="GA20" s="123">
        <f>IF(OR(GA$4="",$B20=""),0,SUMIF('DADOS BRUTOS'!$A$3:$A$500,$B20,'DADOS BRUTOS'!DA$3:DA$500)+IF($C20="",0,SUMIF('DADOS BRUTOS'!$A$3:$A$500,$C20,'DADOS BRUTOS'!DA$3:DA$500)))</f>
        <v/>
      </c>
      <c r="GB20" s="123">
        <f>IF(OR(GB$4="",$B20=""),0,SUMIF('DADOS BRUTOS'!$A$3:$A$500,$B20,'DADOS BRUTOS'!DB$3:DB$500)+IF($C20="",0,SUMIF('DADOS BRUTOS'!$A$3:$A$500,$C20,'DADOS BRUTOS'!DB$3:DB$500)))</f>
        <v/>
      </c>
      <c r="GC20" s="123">
        <f>IF(OR(GC$4="",$B20=""),0,SUMIF('DADOS BRUTOS'!$A$3:$A$500,$B20,'DADOS BRUTOS'!DC$3:DC$500)+IF($C20="",0,SUMIF('DADOS BRUTOS'!$A$3:$A$500,$C20,'DADOS BRUTOS'!DC$3:DC$500)))</f>
        <v/>
      </c>
      <c r="GD20" s="123">
        <f>IF(OR(GD$4="",$B20=""),0,SUMIF('DADOS BRUTOS'!$A$3:$A$500,$B20,'DADOS BRUTOS'!DD$3:DD$500)+IF($C20="",0,SUMIF('DADOS BRUTOS'!$A$3:$A$500,$C20,'DADOS BRUTOS'!DD$3:DD$500)))</f>
        <v/>
      </c>
      <c r="GE20" s="123">
        <f>IF(OR(GE$4="",$B20=""),0,SUMIF('DADOS BRUTOS'!$A$3:$A$500,$B20,'DADOS BRUTOS'!DE$3:DE$500)+IF($C20="",0,SUMIF('DADOS BRUTOS'!$A$3:$A$500,$C20,'DADOS BRUTOS'!DE$3:DE$500)))</f>
        <v/>
      </c>
      <c r="GF20" s="123">
        <f>IF(OR(GF$4="",$B20=""),0,SUMIF('DADOS BRUTOS'!$A$3:$A$500,$B20,'DADOS BRUTOS'!DF$3:DF$500)+IF($C20="",0,SUMIF('DADOS BRUTOS'!$A$3:$A$500,$C20,'DADOS BRUTOS'!DF$3:DF$500)))</f>
        <v/>
      </c>
      <c r="GG20" s="123">
        <f>IF(OR(GG$4="",$B20=""),0,SUMIF('DADOS BRUTOS'!$A$3:$A$500,$B20,'DADOS BRUTOS'!DG$3:DG$500)+IF($C20="",0,SUMIF('DADOS BRUTOS'!$A$3:$A$500,$C20,'DADOS BRUTOS'!DG$3:DG$500)))</f>
        <v/>
      </c>
      <c r="GH20" s="123">
        <f>IF(OR(GH$4="",$B20=""),0,SUMIF('DADOS BRUTOS'!$A$3:$A$500,$B20,'DADOS BRUTOS'!DH$3:DH$500)+IF($C20="",0,SUMIF('DADOS BRUTOS'!$A$3:$A$500,$C20,'DADOS BRUTOS'!DH$3:DH$500)))</f>
        <v/>
      </c>
      <c r="GI20" s="123">
        <f>IF(OR(GI$4="",$B20=""),0,SUMIF('DADOS BRUTOS'!$A$3:$A$500,$B20,'DADOS BRUTOS'!DI$3:DI$500)+IF($C20="",0,SUMIF('DADOS BRUTOS'!$A$3:$A$500,$C20,'DADOS BRUTOS'!DI$3:DI$500)))</f>
        <v/>
      </c>
      <c r="GJ20" s="123">
        <f>IF(OR(GJ$4="",$B20=""),0,SUMIF('DADOS BRUTOS'!$A$3:$A$500,$B20,'DADOS BRUTOS'!DJ$3:DJ$500)+IF($C20="",0,SUMIF('DADOS BRUTOS'!$A$3:$A$500,$C20,'DADOS BRUTOS'!DJ$3:DJ$500)))</f>
        <v/>
      </c>
      <c r="GK20" s="123">
        <f>IF(OR(GK$4="",$B20=""),0,SUMIF('DADOS BRUTOS'!$A$3:$A$500,$B20,'DADOS BRUTOS'!DK$3:DK$500)+IF($C20="",0,SUMIF('DADOS BRUTOS'!$A$3:$A$500,$C20,'DADOS BRUTOS'!DK$3:DK$500)))</f>
        <v/>
      </c>
      <c r="GL20" s="123">
        <f>IF(OR(GL$4="",$B20=""),0,SUMIF('DADOS BRUTOS'!$A$3:$A$500,$B20,'DADOS BRUTOS'!DL$3:DL$500)+IF($C20="",0,SUMIF('DADOS BRUTOS'!$A$3:$A$500,$C20,'DADOS BRUTOS'!DL$3:DL$500)))</f>
        <v/>
      </c>
      <c r="GM20" s="123">
        <f>IF(OR(GM$4="",$B20=""),0,SUMIF('DADOS BRUTOS'!$A$3:$A$500,$B20,'DADOS BRUTOS'!DM$3:DM$500)+IF($C20="",0,SUMIF('DADOS BRUTOS'!$A$3:$A$500,$C20,'DADOS BRUTOS'!DM$3:DM$500)))</f>
        <v/>
      </c>
      <c r="GN20" s="123">
        <f>IF(OR(GN$4="",$B20=""),0,SUMIF('DADOS BRUTOS'!$A$3:$A$500,$B20,'DADOS BRUTOS'!DN$3:DN$500)+IF($C20="",0,SUMIF('DADOS BRUTOS'!$A$3:$A$500,$C20,'DADOS BRUTOS'!DN$3:DN$500)))</f>
        <v/>
      </c>
      <c r="GO20" s="123">
        <f>IF(OR(GO$4="",$B20=""),0,SUMIF('DADOS BRUTOS'!$A$3:$A$500,$B20,'DADOS BRUTOS'!DO$3:DO$500)+IF($C20="",0,SUMIF('DADOS BRUTOS'!$A$3:$A$500,$C20,'DADOS BRUTOS'!DO$3:DO$500)))</f>
        <v/>
      </c>
      <c r="GP20" s="123">
        <f>IF(OR(GP$4="",$B20=""),0,SUMIF('DADOS BRUTOS'!$A$3:$A$500,$B20,'DADOS BRUTOS'!DP$3:DP$500)+IF($C20="",0,SUMIF('DADOS BRUTOS'!$A$3:$A$500,$C20,'DADOS BRUTOS'!DP$3:DP$500)))</f>
        <v/>
      </c>
      <c r="GQ20" s="123">
        <f>IF(OR(GQ$4="",$B20=""),0,SUMIF('DADOS BRUTOS'!$A$3:$A$500,$B20,'DADOS BRUTOS'!DQ$3:DQ$500)+IF($C20="",0,SUMIF('DADOS BRUTOS'!$A$3:$A$500,$C20,'DADOS BRUTOS'!DQ$3:DQ$500)))</f>
        <v/>
      </c>
      <c r="GR20" s="123">
        <f>IF(OR(GR$4="",$B20=""),0,SUMIF('DADOS BRUTOS'!$A$3:$A$500,$B20,'DADOS BRUTOS'!DR$3:DR$500)+IF($C20="",0,SUMIF('DADOS BRUTOS'!$A$3:$A$500,$C20,'DADOS BRUTOS'!DR$3:DR$500)))</f>
        <v/>
      </c>
      <c r="GS20" s="123">
        <f>IF(OR(GS$4="",$B20=""),0,SUMIF('DADOS BRUTOS'!$A$3:$A$500,$B20,'DADOS BRUTOS'!DS$3:DS$500)+IF($C20="",0,SUMIF('DADOS BRUTOS'!$A$3:$A$500,$C20,'DADOS BRUTOS'!DS$3:DS$500)))</f>
        <v/>
      </c>
      <c r="GT20" s="123">
        <f>IF(OR(GT$4="",$B20=""),0,SUMIF('DADOS BRUTOS'!$A$3:$A$500,$B20,'DADOS BRUTOS'!DT$3:DT$500)+IF($C20="",0,SUMIF('DADOS BRUTOS'!$A$3:$A$500,$C20,'DADOS BRUTOS'!DT$3:DT$500)))</f>
        <v/>
      </c>
      <c r="GU20" s="123">
        <f>IF(OR(GU$4="",$B20=""),0,SUMIF('DADOS BRUTOS'!$A$3:$A$500,$B20,'DADOS BRUTOS'!DU$3:DU$500)+IF($C20="",0,SUMIF('DADOS BRUTOS'!$A$3:$A$500,$C20,'DADOS BRUTOS'!DU$3:DU$500)))</f>
        <v/>
      </c>
      <c r="GV20" s="123">
        <f>IF(OR(GV$4="",$B20=""),0,SUMIF('DADOS BRUTOS'!$A$3:$A$500,$B20,'DADOS BRUTOS'!DV$3:DV$500)+IF($C20="",0,SUMIF('DADOS BRUTOS'!$A$3:$A$500,$C20,'DADOS BRUTOS'!DV$3:DV$500)))</f>
        <v/>
      </c>
      <c r="GW20" s="123">
        <f>IF(OR(GW$4="",$B20=""),0,SUMIF('DADOS BRUTOS'!$A$3:$A$500,$B20,'DADOS BRUTOS'!DW$3:DW$500)+IF($C20="",0,SUMIF('DADOS BRUTOS'!$A$3:$A$500,$C20,'DADOS BRUTOS'!DW$3:DW$500)))</f>
        <v/>
      </c>
      <c r="GX20" s="123">
        <f>IF(OR(GX$4="",$B20=""),0,SUMIF('DADOS BRUTOS'!$A$3:$A$500,$B20,'DADOS BRUTOS'!DX$3:DX$500)+IF($C20="",0,SUMIF('DADOS BRUTOS'!$A$3:$A$500,$C20,'DADOS BRUTOS'!DX$3:DX$500)))</f>
        <v/>
      </c>
      <c r="GY20" s="123">
        <f>IF(OR(GY$4="",$B20=""),0,SUMIF('DADOS BRUTOS'!$A$3:$A$500,$B20,'DADOS BRUTOS'!DY$3:DY$500)+IF($C20="",0,SUMIF('DADOS BRUTOS'!$A$3:$A$500,$C20,'DADOS BRUTOS'!DY$3:DY$500)))</f>
        <v/>
      </c>
      <c r="GZ20" s="123">
        <f>IF(OR(GZ$4="",$B20=""),0,SUMIF('DADOS BRUTOS'!$A$3:$A$500,$B20,'DADOS BRUTOS'!DZ$3:DZ$500)+IF($C20="",0,SUMIF('DADOS BRUTOS'!$A$3:$A$500,$C20,'DADOS BRUTOS'!DZ$3:DZ$500)))</f>
        <v/>
      </c>
      <c r="HA20" s="123">
        <f>IF(OR(HA$4="",$B20=""),0,SUMIF('DADOS BRUTOS'!$A$3:$A$500,$B20,'DADOS BRUTOS'!EA$3:EA$500)+IF($C20="",0,SUMIF('DADOS BRUTOS'!$A$3:$A$500,$C20,'DADOS BRUTOS'!EA$3:EA$500)))</f>
        <v/>
      </c>
      <c r="HB20" s="123">
        <f>IF(OR(HB$4="",$B20=""),0,SUMIF('DADOS BRUTOS'!$A$3:$A$500,$B20,'DADOS BRUTOS'!EB$3:EB$500)+IF($C20="",0,SUMIF('DADOS BRUTOS'!$A$3:$A$500,$C20,'DADOS BRUTOS'!EB$3:EB$500)))</f>
        <v/>
      </c>
      <c r="HC20" s="123">
        <f>IF(OR(HC$4="",$B20=""),0,SUMIF('DADOS BRUTOS'!$A$3:$A$500,$B20,'DADOS BRUTOS'!EC$3:EC$500)+IF($C20="",0,SUMIF('DADOS BRUTOS'!$A$3:$A$500,$C20,'DADOS BRUTOS'!EC$3:EC$500)))</f>
        <v/>
      </c>
      <c r="HD20" s="123">
        <f>IF(OR(HD$4="",$B20=""),0,SUMIF('DADOS BRUTOS'!$A$3:$A$500,$B20,'DADOS BRUTOS'!ED$3:ED$500)+IF($C20="",0,SUMIF('DADOS BRUTOS'!$A$3:$A$500,$C20,'DADOS BRUTOS'!ED$3:ED$500)))</f>
        <v/>
      </c>
      <c r="HE20" s="123">
        <f>IF(OR(HE$4="",$B20=""),0,SUMIF('DADOS BRUTOS'!$A$3:$A$500,$B20,'DADOS BRUTOS'!EE$3:EE$500)+IF($C20="",0,SUMIF('DADOS BRUTOS'!$A$3:$A$500,$C20,'DADOS BRUTOS'!EE$3:EE$500)))</f>
        <v/>
      </c>
      <c r="HF20" s="123">
        <f>IF(OR(HF$4="",$B20=""),0,SUMIF('DADOS BRUTOS'!$A$3:$A$500,$B20,'DADOS BRUTOS'!EF$3:EF$500)+IF($C20="",0,SUMIF('DADOS BRUTOS'!$A$3:$A$500,$C20,'DADOS BRUTOS'!EF$3:EF$500)))</f>
        <v/>
      </c>
      <c r="HG20" s="123">
        <f>IF(OR(HG$4="",$B20=""),0,SUMIF('DADOS BRUTOS'!$A$3:$A$500,$B20,'DADOS BRUTOS'!EG$3:EG$500)+IF($C20="",0,SUMIF('DADOS BRUTOS'!$A$3:$A$500,$C20,'DADOS BRUTOS'!EG$3:EG$500)))</f>
        <v/>
      </c>
      <c r="HH20" s="123">
        <f>IF(OR(HH$4="",$B20=""),0,SUMIF('DADOS BRUTOS'!$A$3:$A$500,$B20,'DADOS BRUTOS'!EH$3:EH$500)+IF($C20="",0,SUMIF('DADOS BRUTOS'!$A$3:$A$500,$C20,'DADOS BRUTOS'!EH$3:EH$500)))</f>
        <v/>
      </c>
      <c r="HI20" s="123">
        <f>IF(OR(HI$4="",$B20=""),0,SUMIF('DADOS BRUTOS'!$A$3:$A$500,$B20,'DADOS BRUTOS'!EI$3:EI$500)+IF($C20="",0,SUMIF('DADOS BRUTOS'!$A$3:$A$500,$C20,'DADOS BRUTOS'!EI$3:EI$500)))</f>
        <v/>
      </c>
      <c r="HJ20" s="123">
        <f>IF(OR(HJ$4="",$B20=""),0,SUMIF('DADOS BRUTOS'!$A$3:$A$500,$B20,'DADOS BRUTOS'!EJ$3:EJ$500)+IF($C20="",0,SUMIF('DADOS BRUTOS'!$A$3:$A$500,$C20,'DADOS BRUTOS'!EJ$3:EJ$500)))</f>
        <v/>
      </c>
      <c r="HK20" s="123">
        <f>IF(OR(HK$4="",$B20=""),0,SUMIF('DADOS BRUTOS'!$A$3:$A$500,$B20,'DADOS BRUTOS'!EK$3:EK$500)+IF($C20="",0,SUMIF('DADOS BRUTOS'!$A$3:$A$500,$C20,'DADOS BRUTOS'!EK$3:EK$500)))</f>
        <v/>
      </c>
      <c r="HL20" s="123">
        <f>IF(OR(HL$4="",$B20=""),0,SUMIF('DADOS BRUTOS'!$A$3:$A$500,$B20,'DADOS BRUTOS'!EL$3:EL$500)+IF($C20="",0,SUMIF('DADOS BRUTOS'!$A$3:$A$500,$C20,'DADOS BRUTOS'!EL$3:EL$500)))</f>
        <v/>
      </c>
      <c r="HM20" s="123">
        <f>IF(OR(HM$4="",$B20=""),0,SUMIF('DADOS BRUTOS'!$A$3:$A$500,$B20,'DADOS BRUTOS'!EM$3:EM$500)+IF($C20="",0,SUMIF('DADOS BRUTOS'!$A$3:$A$500,$C20,'DADOS BRUTOS'!EM$3:EM$500)))</f>
        <v/>
      </c>
      <c r="HN20" s="123">
        <f>IF(OR(HN$4="",$B20=""),0,SUMIF('DADOS BRUTOS'!$A$3:$A$500,$B20,'DADOS BRUTOS'!EN$3:EN$500)+IF($C20="",0,SUMIF('DADOS BRUTOS'!$A$3:$A$500,$C20,'DADOS BRUTOS'!EN$3:EN$500)))</f>
        <v/>
      </c>
      <c r="HO20" s="123">
        <f>IF(OR(HO$4="",$B20=""),0,SUMIF('DADOS BRUTOS'!$A$3:$A$500,$B20,'DADOS BRUTOS'!EO$3:EO$500)+IF($C20="",0,SUMIF('DADOS BRUTOS'!$A$3:$A$500,$C20,'DADOS BRUTOS'!EO$3:EO$500)))</f>
        <v/>
      </c>
      <c r="HP20" s="123">
        <f>IF(OR(HP$4="",$B20=""),0,SUMIF('DADOS BRUTOS'!$A$3:$A$500,$B20,'DADOS BRUTOS'!EP$3:EP$500)+IF($C20="",0,SUMIF('DADOS BRUTOS'!$A$3:$A$500,$C20,'DADOS BRUTOS'!EP$3:EP$500)))</f>
        <v/>
      </c>
      <c r="HQ20" s="123">
        <f>IF(OR(HQ$4="",$B20=""),0,SUMIF('DADOS BRUTOS'!$A$3:$A$500,$B20,'DADOS BRUTOS'!EQ$3:EQ$500)+IF($C20="",0,SUMIF('DADOS BRUTOS'!$A$3:$A$500,$C20,'DADOS BRUTOS'!EQ$3:EQ$500)))</f>
        <v/>
      </c>
      <c r="HR20" s="123">
        <f>IF(OR(HR$4="",$B20=""),0,SUMIF('DADOS BRUTOS'!$A$3:$A$500,$B20,'DADOS BRUTOS'!ER$3:ER$500)+IF($C20="",0,SUMIF('DADOS BRUTOS'!$A$3:$A$500,$C20,'DADOS BRUTOS'!ER$3:ER$500)))</f>
        <v/>
      </c>
      <c r="HS20" s="123">
        <f>IF(OR(HS$4="",$B20=""),0,SUMIF('DADOS BRUTOS'!$A$3:$A$500,$B20,'DADOS BRUTOS'!ES$3:ES$500)+IF($C20="",0,SUMIF('DADOS BRUTOS'!$A$3:$A$500,$C20,'DADOS BRUTOS'!ES$3:ES$500)))</f>
        <v/>
      </c>
      <c r="HT20" s="123">
        <f>IF(OR(HT$4="",$B20=""),0,SUMIF('DADOS BRUTOS'!$A$3:$A$500,$B20,'DADOS BRUTOS'!ET$3:ET$500)+IF($C20="",0,SUMIF('DADOS BRUTOS'!$A$3:$A$500,$C20,'DADOS BRUTOS'!ET$3:ET$500)))</f>
        <v/>
      </c>
      <c r="HU20" s="123">
        <f>IF(OR(HU$4="",$B20=""),0,SUMIF('DADOS BRUTOS'!$A$3:$A$500,$B20,'DADOS BRUTOS'!EU$3:EU$500)+IF($C20="",0,SUMIF('DADOS BRUTOS'!$A$3:$A$500,$C20,'DADOS BRUTOS'!EU$3:EU$500)))</f>
        <v/>
      </c>
      <c r="HV20" s="123">
        <f>IF(OR(HV$4="",$B20=""),0,SUMIF('DADOS BRUTOS'!$A$3:$A$500,$B20,'DADOS BRUTOS'!EV$3:EV$500)+IF($C20="",0,SUMIF('DADOS BRUTOS'!$A$3:$A$500,$C20,'DADOS BRUTOS'!EV$3:EV$500)))</f>
        <v/>
      </c>
      <c r="HW20" s="123">
        <f>IF(OR(HW$4="",$B20=""),0,SUMIF('DADOS BRUTOS'!$A$3:$A$500,$B20,'DADOS BRUTOS'!EW$3:EW$500)+IF($C20="",0,SUMIF('DADOS BRUTOS'!$A$3:$A$500,$C20,'DADOS BRUTOS'!EW$3:EW$500)))</f>
        <v/>
      </c>
      <c r="HX20" s="123">
        <f>IF(OR(HX$4="",$B20=""),0,SUMIF('DADOS BRUTOS'!$A$3:$A$500,$B20,'DADOS BRUTOS'!EX$3:EX$500)+IF($C20="",0,SUMIF('DADOS BRUTOS'!$A$3:$A$500,$C20,'DADOS BRUTOS'!EX$3:EX$500)))</f>
        <v/>
      </c>
      <c r="HY20" s="123">
        <f>IF(OR(HY$4="",$B20=""),0,SUMIF('DADOS BRUTOS'!$A$3:$A$500,$B20,'DADOS BRUTOS'!EY$3:EY$500)+IF($C20="",0,SUMIF('DADOS BRUTOS'!$A$3:$A$500,$C20,'DADOS BRUTOS'!EY$3:EY$500)))</f>
        <v/>
      </c>
      <c r="HZ20" s="123">
        <f>IF(OR(HZ$4="",$B20=""),0,SUMIF('DADOS BRUTOS'!$A$3:$A$500,$B20,'DADOS BRUTOS'!EZ$3:EZ$500)+IF($C20="",0,SUMIF('DADOS BRUTOS'!$A$3:$A$500,$C20,'DADOS BRUTOS'!EZ$3:EZ$500)))</f>
        <v/>
      </c>
      <c r="IA20" s="123">
        <f>IF(OR(IA$4="",$B20=""),0,SUMIF('DADOS BRUTOS'!$A$3:$A$500,$B20,'DADOS BRUTOS'!FA$3:FA$500)+IF($C20="",0,SUMIF('DADOS BRUTOS'!$A$3:$A$500,$C20,'DADOS BRUTOS'!FA$3:FA$500)))</f>
        <v/>
      </c>
      <c r="IB20" s="123">
        <f>IF(OR(IB$4="",$B20=""),0,SUMIF('DADOS BRUTOS'!$A$3:$A$500,$B20,'DADOS BRUTOS'!FB$3:FB$500)+IF($C20="",0,SUMIF('DADOS BRUTOS'!$A$3:$A$500,$C20,'DADOS BRUTOS'!FB$3:FB$500)))</f>
        <v/>
      </c>
      <c r="IC20" s="123">
        <f>IF(OR(IC$4="",$B20=""),0,SUMIF('DADOS BRUTOS'!$A$3:$A$500,$B20,'DADOS BRUTOS'!FC$3:FC$500)+IF($C20="",0,SUMIF('DADOS BRUTOS'!$A$3:$A$500,$C20,'DADOS BRUTOS'!FC$3:FC$500)))</f>
        <v/>
      </c>
      <c r="ID20" s="123">
        <f>IF(OR(ID$4="",$B20=""),0,SUMIF('DADOS BRUTOS'!$A$3:$A$500,$B20,'DADOS BRUTOS'!FD$3:FD$500)+IF($C20="",0,SUMIF('DADOS BRUTOS'!$A$3:$A$500,$C20,'DADOS BRUTOS'!FD$3:FD$500)))</f>
        <v/>
      </c>
      <c r="IE20" s="123">
        <f>IF(OR(IE$4="",$B20=""),0,SUMIF('DADOS BRUTOS'!$A$3:$A$500,$B20,'DADOS BRUTOS'!FE$3:FE$500)+IF($C20="",0,SUMIF('DADOS BRUTOS'!$A$3:$A$500,$C20,'DADOS BRUTOS'!FE$3:FE$500)))</f>
        <v/>
      </c>
      <c r="IF20" s="123">
        <f>IF(OR(IF$4="",$B20=""),0,SUMIF('DADOS BRUTOS'!$A$3:$A$500,$B20,'DADOS BRUTOS'!FF$3:FF$500)+IF($C20="",0,SUMIF('DADOS BRUTOS'!$A$3:$A$500,$C20,'DADOS BRUTOS'!FF$3:FF$500)))</f>
        <v/>
      </c>
      <c r="IG20" s="123">
        <f>IF(OR(IG$4="",$B20=""),0,SUMIF('DADOS BRUTOS'!$A$3:$A$500,$B20,'DADOS BRUTOS'!FG$3:FG$500)+IF($C20="",0,SUMIF('DADOS BRUTOS'!$A$3:$A$500,$C20,'DADOS BRUTOS'!FG$3:FG$500)))</f>
        <v/>
      </c>
      <c r="IH20" s="123">
        <f>IF(OR(IH$4="",$B20=""),0,SUMIF('DADOS BRUTOS'!$A$3:$A$500,$B20,'DADOS BRUTOS'!FH$3:FH$500)+IF($C20="",0,SUMIF('DADOS BRUTOS'!$A$3:$A$500,$C20,'DADOS BRUTOS'!FH$3:FH$500)))</f>
        <v/>
      </c>
      <c r="II20" s="123">
        <f>IF(OR(II$4="",$B20=""),0,SUMIF('DADOS BRUTOS'!$A$3:$A$500,$B20,'DADOS BRUTOS'!FI$3:FI$500)+IF($C20="",0,SUMIF('DADOS BRUTOS'!$A$3:$A$500,$C20,'DADOS BRUTOS'!FI$3:FI$500)))</f>
        <v/>
      </c>
      <c r="IJ20" s="123">
        <f>IF(OR(IJ$4="",$B20=""),0,SUMIF('DADOS BRUTOS'!$A$3:$A$500,$B20,'DADOS BRUTOS'!FJ$3:FJ$500)+IF($C20="",0,SUMIF('DADOS BRUTOS'!$A$3:$A$500,$C20,'DADOS BRUTOS'!FJ$3:FJ$500)))</f>
        <v/>
      </c>
      <c r="IK20" s="123">
        <f>IF(OR(IK$4="",$B20=""),0,SUMIF('DADOS BRUTOS'!$A$3:$A$500,$B20,'DADOS BRUTOS'!FK$3:FK$500)+IF($C20="",0,SUMIF('DADOS BRUTOS'!$A$3:$A$500,$C20,'DADOS BRUTOS'!FK$3:FK$500)))</f>
        <v/>
      </c>
      <c r="IL20" s="123">
        <f>IF(OR(IL$4="",$B20=""),0,SUMIF('DADOS BRUTOS'!$A$3:$A$500,$B20,'DADOS BRUTOS'!FL$3:FL$500)+IF($C20="",0,SUMIF('DADOS BRUTOS'!$A$3:$A$500,$C20,'DADOS BRUTOS'!FL$3:FL$500)))</f>
        <v/>
      </c>
      <c r="IM20" s="123">
        <f>IF(OR(IM$4="",$B20=""),0,SUMIF('DADOS BRUTOS'!$A$3:$A$500,$B20,'DADOS BRUTOS'!FM$3:FM$500)+IF($C20="",0,SUMIF('DADOS BRUTOS'!$A$3:$A$500,$C20,'DADOS BRUTOS'!FM$3:FM$500)))</f>
        <v/>
      </c>
      <c r="IN20" s="123">
        <f>IF(OR(IN$4="",$B20=""),0,SUMIF('DADOS BRUTOS'!$A$3:$A$500,$B20,'DADOS BRUTOS'!FN$3:FN$500)+IF($C20="",0,SUMIF('DADOS BRUTOS'!$A$3:$A$500,$C20,'DADOS BRUTOS'!FN$3:FN$500)))</f>
        <v/>
      </c>
      <c r="IO20" s="123">
        <f>IF(OR(IO$4="",$B20=""),0,SUMIF('DADOS BRUTOS'!$A$3:$A$500,$B20,'DADOS BRUTOS'!FO$3:FO$500)+IF($C20="",0,SUMIF('DADOS BRUTOS'!$A$3:$A$500,$C20,'DADOS BRUTOS'!FO$3:FO$500)))</f>
        <v/>
      </c>
      <c r="IP20" s="123">
        <f>IF(OR(IP$4="",$B20=""),0,SUMIF('DADOS BRUTOS'!$A$3:$A$500,$B20,'DADOS BRUTOS'!FP$3:FP$500)+IF($C20="",0,SUMIF('DADOS BRUTOS'!$A$3:$A$500,$C20,'DADOS BRUTOS'!FP$3:FP$500)))</f>
        <v/>
      </c>
      <c r="IQ20" s="123">
        <f>IF(OR(IQ$4="",$B20=""),0,SUMIF('DADOS BRUTOS'!$A$3:$A$500,$B20,'DADOS BRUTOS'!FQ$3:FQ$500)+IF($C20="",0,SUMIF('DADOS BRUTOS'!$A$3:$A$500,$C20,'DADOS BRUTOS'!FQ$3:FQ$500)))</f>
        <v/>
      </c>
      <c r="IR20" s="123">
        <f>IF(OR(IR$4="",$B20=""),0,SUMIF('DADOS BRUTOS'!$A$3:$A$500,$B20,'DADOS BRUTOS'!FR$3:FR$500)+IF($C20="",0,SUMIF('DADOS BRUTOS'!$A$3:$A$500,$C20,'DADOS BRUTOS'!FR$3:FR$500)))</f>
        <v/>
      </c>
      <c r="IS20" s="123">
        <f>IF(OR(IS$4="",$B20=""),0,SUMIF('DADOS BRUTOS'!$A$3:$A$500,$B20,'DADOS BRUTOS'!FS$3:FS$500)+IF($C20="",0,SUMIF('DADOS BRUTOS'!$A$3:$A$500,$C20,'DADOS BRUTOS'!FS$3:FS$500)))</f>
        <v/>
      </c>
      <c r="IT20" s="123">
        <f>IF(OR(IT$4="",$B20=""),0,SUMIF('DADOS BRUTOS'!$A$3:$A$500,$B20,'DADOS BRUTOS'!FT$3:FT$500)+IF($C20="",0,SUMIF('DADOS BRUTOS'!$A$3:$A$500,$C20,'DADOS BRUTOS'!FT$3:FT$500)))</f>
        <v/>
      </c>
      <c r="IU20" s="123">
        <f>IF(OR(IU$4="",$B20=""),0,SUMIF('DADOS BRUTOS'!$A$3:$A$500,$B20,'DADOS BRUTOS'!FU$3:FU$500)+IF($C20="",0,SUMIF('DADOS BRUTOS'!$A$3:$A$500,$C20,'DADOS BRUTOS'!FU$3:FU$500)))</f>
        <v/>
      </c>
      <c r="IV20" s="123">
        <f>IF(OR(IV$4="",$B20=""),0,SUMIF('DADOS BRUTOS'!$A$3:$A$500,$B20,'DADOS BRUTOS'!FV$3:FV$500)+IF($C20="",0,SUMIF('DADOS BRUTOS'!$A$3:$A$500,$C20,'DADOS BRUTOS'!FV$3:FV$500)))</f>
        <v/>
      </c>
      <c r="IW20" s="123">
        <f>IF(OR(IW$4="",$B20=""),0,SUMIF('DADOS BRUTOS'!$A$3:$A$500,$B20,'DADOS BRUTOS'!FW$3:FW$500)+IF($C20="",0,SUMIF('DADOS BRUTOS'!$A$3:$A$500,$C20,'DADOS BRUTOS'!FW$3:FW$500)))</f>
        <v/>
      </c>
      <c r="IX20" s="123">
        <f>IF(OR(IX$4="",$B20=""),0,SUMIF('DADOS BRUTOS'!$A$3:$A$500,$B20,'DADOS BRUTOS'!FX$3:FX$500)+IF($C20="",0,SUMIF('DADOS BRUTOS'!$A$3:$A$500,$C20,'DADOS BRUTOS'!FX$3:FX$500)))</f>
        <v/>
      </c>
      <c r="IY20" s="123">
        <f>IF(OR(IY$4="",$B20=""),0,SUMIF('DADOS BRUTOS'!$A$3:$A$500,$B20,'DADOS BRUTOS'!FY$3:FY$500)+IF($C20="",0,SUMIF('DADOS BRUTOS'!$A$3:$A$500,$C20,'DADOS BRUTOS'!FY$3:FY$500)))</f>
        <v/>
      </c>
      <c r="IZ20" s="123">
        <f>IF(OR(IZ$4="",$B20=""),0,SUMIF('DADOS BRUTOS'!$A$3:$A$500,$B20,'DADOS BRUTOS'!FZ$3:FZ$500)+IF($C20="",0,SUMIF('DADOS BRUTOS'!$A$3:$A$500,$C20,'DADOS BRUTOS'!FZ$3:FZ$500)))</f>
        <v/>
      </c>
      <c r="JA20" s="123">
        <f>IF(OR(JA$4="",$B20=""),0,SUMIF('DADOS BRUTOS'!$A$3:$A$500,$B20,'DADOS BRUTOS'!GA$3:GA$500)+IF($C20="",0,SUMIF('DADOS BRUTOS'!$A$3:$A$500,$C20,'DADOS BRUTOS'!GA$3:GA$500)))</f>
        <v/>
      </c>
      <c r="JB20" s="123">
        <f>IF(OR(JB$4="",$B20=""),0,SUMIF('DADOS BRUTOS'!$A$3:$A$500,$B20,'DADOS BRUTOS'!GB$3:GB$500)+IF($C20="",0,SUMIF('DADOS BRUTOS'!$A$3:$A$500,$C20,'DADOS BRUTOS'!GB$3:GB$500)))</f>
        <v/>
      </c>
      <c r="JC20" s="123">
        <f>IF(OR(JC$4="",$B20=""),0,SUMIF('DADOS BRUTOS'!$A$3:$A$500,$B20,'DADOS BRUTOS'!GC$3:GC$500)+IF($C20="",0,SUMIF('DADOS BRUTOS'!$A$3:$A$500,$C20,'DADOS BRUTOS'!GC$3:GC$500)))</f>
        <v/>
      </c>
      <c r="JD20" s="123">
        <f>IF(OR(JD$4="",$B20=""),0,SUMIF('DADOS BRUTOS'!$A$3:$A$500,$B20,'DADOS BRUTOS'!GD$3:GD$500)+IF($C20="",0,SUMIF('DADOS BRUTOS'!$A$3:$A$500,$C20,'DADOS BRUTOS'!GD$3:GD$500)))</f>
        <v/>
      </c>
      <c r="JE20" s="123">
        <f>IF(OR(JE$4="",$B20=""),0,SUMIF('DADOS BRUTOS'!$A$3:$A$500,$B20,'DADOS BRUTOS'!GE$3:GE$500)+IF($C20="",0,SUMIF('DADOS BRUTOS'!$A$3:$A$500,$C20,'DADOS BRUTOS'!GE$3:GE$500)))</f>
        <v/>
      </c>
      <c r="JF20" s="123">
        <f>IF(OR(JF$4="",$B20=""),0,SUMIF('DADOS BRUTOS'!$A$3:$A$500,$B20,'DADOS BRUTOS'!GF$3:GF$500)+IF($C20="",0,SUMIF('DADOS BRUTOS'!$A$3:$A$500,$C20,'DADOS BRUTOS'!GF$3:GF$500)))</f>
        <v/>
      </c>
      <c r="JG20" s="123">
        <f>IF(OR(JG$4="",$B20=""),0,SUMIF('DADOS BRUTOS'!$A$3:$A$500,$B20,'DADOS BRUTOS'!GG$3:GG$500)+IF($C20="",0,SUMIF('DADOS BRUTOS'!$A$3:$A$500,$C20,'DADOS BRUTOS'!GG$3:GG$500)))</f>
        <v/>
      </c>
      <c r="JH20" s="123">
        <f>IF(OR(JH$4="",$B20=""),0,SUMIF('DADOS BRUTOS'!$A$3:$A$500,$B20,'DADOS BRUTOS'!GH$3:GH$500)+IF($C20="",0,SUMIF('DADOS BRUTOS'!$A$3:$A$500,$C20,'DADOS BRUTOS'!GH$3:GH$500)))</f>
        <v/>
      </c>
      <c r="JI20" s="123">
        <f>IF(OR(JI$4="",$B20=""),0,SUMIF('DADOS BRUTOS'!$A$3:$A$500,$B20,'DADOS BRUTOS'!GI$3:GI$500)+IF($C20="",0,SUMIF('DADOS BRUTOS'!$A$3:$A$500,$C20,'DADOS BRUTOS'!GI$3:GI$500)))</f>
        <v/>
      </c>
      <c r="JJ20" s="123">
        <f>IF(OR(JJ$4="",$B20=""),0,SUMIF('DADOS BRUTOS'!$A$3:$A$500,$B20,'DADOS BRUTOS'!GJ$3:GJ$500)+IF($C20="",0,SUMIF('DADOS BRUTOS'!$A$3:$A$500,$C20,'DADOS BRUTOS'!GJ$3:GJ$500)))</f>
        <v/>
      </c>
      <c r="JK20" s="123">
        <f>IF(OR(JK$4="",$B20=""),0,SUMIF('DADOS BRUTOS'!$A$3:$A$500,$B20,'DADOS BRUTOS'!GK$3:GK$500)+IF($C20="",0,SUMIF('DADOS BRUTOS'!$A$3:$A$500,$C20,'DADOS BRUTOS'!GK$3:GK$500)))</f>
        <v/>
      </c>
      <c r="JL20" s="123">
        <f>IF(OR(JL$4="",$B20=""),0,SUMIF('DADOS BRUTOS'!$A$3:$A$500,$B20,'DADOS BRUTOS'!GL$3:GL$500)+IF($C20="",0,SUMIF('DADOS BRUTOS'!$A$3:$A$500,$C20,'DADOS BRUTOS'!GL$3:GL$500)))</f>
        <v/>
      </c>
      <c r="JM20" s="123">
        <f>IF(OR(JM$4="",$B20=""),0,SUMIF('DADOS BRUTOS'!$A$3:$A$500,$B20,'DADOS BRUTOS'!GM$3:GM$500)+IF($C20="",0,SUMIF('DADOS BRUTOS'!$A$3:$A$500,$C20,'DADOS BRUTOS'!GM$3:GM$500)))</f>
        <v/>
      </c>
      <c r="JN20" s="123">
        <f>IF(OR(JN$4="",$B20=""),0,SUMIF('DADOS BRUTOS'!$A$3:$A$500,$B20,'DADOS BRUTOS'!GN$3:GN$500)+IF($C20="",0,SUMIF('DADOS BRUTOS'!$A$3:$A$500,$C20,'DADOS BRUTOS'!GN$3:GN$500)))</f>
        <v/>
      </c>
      <c r="JO20" s="123">
        <f>IF(OR(JO$4="",$B20=""),0,SUMIF('DADOS BRUTOS'!$A$3:$A$500,$B20,'DADOS BRUTOS'!GO$3:GO$500)+IF($C20="",0,SUMIF('DADOS BRUTOS'!$A$3:$A$500,$C20,'DADOS BRUTOS'!GO$3:GO$500)))</f>
        <v/>
      </c>
      <c r="JP20" s="123">
        <f>IF(OR(JP$4="",$B20=""),0,SUMIF('DADOS BRUTOS'!$A$3:$A$500,$B20,'DADOS BRUTOS'!GP$3:GP$500)+IF($C20="",0,SUMIF('DADOS BRUTOS'!$A$3:$A$500,$C20,'DADOS BRUTOS'!GP$3:GP$500)))</f>
        <v/>
      </c>
      <c r="JQ20" s="123">
        <f>IF(OR(JQ$4="",$B20=""),0,SUMIF('DADOS BRUTOS'!$A$3:$A$500,$B20,'DADOS BRUTOS'!GQ$3:GQ$500)+IF($C20="",0,SUMIF('DADOS BRUTOS'!$A$3:$A$500,$C20,'DADOS BRUTOS'!GQ$3:GQ$500)))</f>
        <v/>
      </c>
      <c r="JR20" s="123">
        <f>IF(OR(JR$4="",$B20=""),0,SUMIF('DADOS BRUTOS'!$A$3:$A$500,$B20,'DADOS BRUTOS'!GR$3:GR$500)+IF($C20="",0,SUMIF('DADOS BRUTOS'!$A$3:$A$500,$C20,'DADOS BRUTOS'!GR$3:GR$500)))</f>
        <v/>
      </c>
      <c r="JS20" s="123">
        <f>IF(OR(JS$4="",$B20=""),0,SUMIF('DADOS BRUTOS'!$A$3:$A$500,$B20,'DADOS BRUTOS'!GS$3:GS$500)+IF($C20="",0,SUMIF('DADOS BRUTOS'!$A$3:$A$500,$C20,'DADOS BRUTOS'!GS$3:GS$500)))</f>
        <v/>
      </c>
    </row>
    <row r="21">
      <c r="A21" s="61">
        <f>'VALOR POR PL'!D27</f>
        <v/>
      </c>
      <c r="B21" s="60" t="inlineStr">
        <is>
          <t>ESTRUTURA EM CONCRETO ARMADO</t>
        </is>
      </c>
      <c r="C21" s="60" t="inlineStr">
        <is>
          <t>ESTRUTURA EM CONTRETO ARMADO</t>
        </is>
      </c>
      <c r="D21" s="55">
        <f>SUMIF($CB$4:$JS$4,"&lt;="&amp;D$4,$CB21:$JS21)</f>
        <v/>
      </c>
      <c r="E21" s="55">
        <f>SUMIF($CB$4:$JS$4,E$4,$CB21:$JS21)</f>
        <v/>
      </c>
      <c r="F21" s="55">
        <f>SUMIF($CB$4:$JS$4,F$4,$CB21:$JS21)</f>
        <v/>
      </c>
      <c r="G21" s="55">
        <f>SUMIF($CB$4:$JS$4,G$4,$CB21:$JS21)</f>
        <v/>
      </c>
      <c r="H21" s="55">
        <f>SUMIF($CB$4:$JS$4,H$4,$CB21:$JS21)</f>
        <v/>
      </c>
      <c r="I21" s="55">
        <f>SUMIF($CB$4:$JS$4,I$4,$CB21:$JS21)</f>
        <v/>
      </c>
      <c r="J21" s="55">
        <f>SUMIF($CB$4:$JS$4,J$4,$CB21:$JS21)</f>
        <v/>
      </c>
      <c r="K21" s="55">
        <f>SUMIF($CB$4:$JS$4,K$4,$CB21:$JS21)</f>
        <v/>
      </c>
      <c r="L21" s="55">
        <f>SUMIF($CB$4:$JS$4,L$4,$CB21:$JS21)</f>
        <v/>
      </c>
      <c r="M21" s="55">
        <f>SUMIF($CB$4:$JS$4,M$4,$CB21:$JS21)</f>
        <v/>
      </c>
      <c r="N21" s="55">
        <f>SUMIF($CB$4:$JS$4,N$4,$CB21:$JS21)</f>
        <v/>
      </c>
      <c r="O21" s="55">
        <f>SUMIF($CB$4:$JS$4,O$4,$CB21:$JS21)</f>
        <v/>
      </c>
      <c r="P21" s="55">
        <f>SUMIF($CB$4:$JS$4,P$4,$CB21:$JS21)</f>
        <v/>
      </c>
      <c r="Q21" s="55">
        <f>SUMIF($CB$4:$JS$4,Q$4,$CB21:$JS21)</f>
        <v/>
      </c>
      <c r="R21" s="55">
        <f>SUMIF($CB$4:$JS$4,R$4,$CB21:$JS21)</f>
        <v/>
      </c>
      <c r="S21" s="55">
        <f>SUMIF($CB$4:$JS$4,S$4,$CB21:$JS21)</f>
        <v/>
      </c>
      <c r="T21" s="55">
        <f>SUMIF($CB$4:$JS$4,T$4,$CB21:$JS21)</f>
        <v/>
      </c>
      <c r="U21" s="55">
        <f>SUMIF($CB$4:$JS$4,U$4,$CB21:$JS21)</f>
        <v/>
      </c>
      <c r="V21" s="55">
        <f>SUMIF($CB$4:$JS$4,V$4,$CB21:$JS21)</f>
        <v/>
      </c>
      <c r="W21" s="55">
        <f>SUMIF($CB$4:$JS$4,W$4,$CB21:$JS21)</f>
        <v/>
      </c>
      <c r="X21" s="55">
        <f>SUMIF($CB$4:$JS$4,X$4,$CB21:$JS21)</f>
        <v/>
      </c>
      <c r="Y21" s="55">
        <f>SUMIF($CB$4:$JS$4,Y$4,$CB21:$JS21)</f>
        <v/>
      </c>
      <c r="Z21" s="55">
        <f>SUMIF($CB$4:$JS$4,Z$4,$CB21:$JS21)</f>
        <v/>
      </c>
      <c r="AA21" s="55">
        <f>SUMIF($CB$4:$JS$4,AA$4,$CB21:$JS21)</f>
        <v/>
      </c>
      <c r="AB21" s="55">
        <f>SUMIF($CB$4:$JS$4,AB$4,$CB21:$JS21)</f>
        <v/>
      </c>
      <c r="AC21" s="55">
        <f>SUMIF($CB$4:$JS$4,AC$4,$CB21:$JS21)</f>
        <v/>
      </c>
      <c r="AD21" s="55">
        <f>SUMIF($CB$4:$JS$4,AD$4,$CB21:$JS21)</f>
        <v/>
      </c>
      <c r="AE21" s="55">
        <f>SUMIF($CB$4:$JS$4,AE$4,$CB21:$JS21)</f>
        <v/>
      </c>
      <c r="AF21" s="55">
        <f>SUMIF($CB$4:$JS$4,AF$4,$CB21:$JS21)</f>
        <v/>
      </c>
      <c r="AG21" s="55">
        <f>SUMIF($CB$4:$JS$4,AG$4,$CB21:$JS21)</f>
        <v/>
      </c>
      <c r="AH21" s="55">
        <f>SUMIF($CB$4:$JS$4,AH$4,$CB21:$JS21)</f>
        <v/>
      </c>
      <c r="AI21" s="55">
        <f>SUMIF($CB$4:$JS$4,AI$4,$CB21:$JS21)</f>
        <v/>
      </c>
      <c r="AJ21" s="55">
        <f>SUMIF($CB$4:$JS$4,AJ$4,$CB21:$JS21)</f>
        <v/>
      </c>
      <c r="AK21" s="55">
        <f>SUMIF($CB$4:$JS$4,AK$4,$CB21:$JS21)</f>
        <v/>
      </c>
      <c r="AL21" s="55">
        <f>SUMIF($CB$4:$JS$4,AL$4,$CB21:$JS21)</f>
        <v/>
      </c>
      <c r="AM21" s="55">
        <f>SUMIF($CB$4:$JS$4,AM$4,$CB21:$JS21)</f>
        <v/>
      </c>
      <c r="AN21" s="55">
        <f>SUMIF($CB$4:$JS$4,AN$4,$CB21:$JS21)</f>
        <v/>
      </c>
      <c r="AO21" s="55">
        <f>SUMIF($CB$4:$JS$4,AO$4,$CB21:$JS21)</f>
        <v/>
      </c>
      <c r="AP21" s="55">
        <f>SUMIF($CB$4:$JS$4,AP$4,$CB21:$JS21)</f>
        <v/>
      </c>
      <c r="AQ21" s="55">
        <f>SUMIF($CB$4:$JS$4,AQ$4,$CB21:$JS21)</f>
        <v/>
      </c>
      <c r="AR21" s="55">
        <f>SUMIF($CB$4:$JS$4,AR$4,$CB21:$JS21)</f>
        <v/>
      </c>
      <c r="AS21" s="55">
        <f>SUMIF($CB$4:$JS$4,AS$4,$CB21:$JS21)</f>
        <v/>
      </c>
      <c r="AT21" s="55">
        <f>SUMIF($CB$4:$JS$4,AT$4,$CB21:$JS21)</f>
        <v/>
      </c>
      <c r="AU21" s="55">
        <f>SUMIF($CB$4:$JS$4,AU$4,$CB21:$JS21)</f>
        <v/>
      </c>
      <c r="AV21" s="55">
        <f>SUMIF($CB$4:$JS$4,AV$4,$CB21:$JS21)</f>
        <v/>
      </c>
      <c r="AW21" s="55">
        <f>SUMIF($CB$4:$JS$4,AW$4,$CB21:$JS21)</f>
        <v/>
      </c>
      <c r="AX21" s="55">
        <f>SUMIF($CB$4:$JS$4,AX$4,$CB21:$JS21)</f>
        <v/>
      </c>
      <c r="AY21" s="55">
        <f>SUMIF($CB$4:$JS$4,AY$4,$CB21:$JS21)</f>
        <v/>
      </c>
      <c r="AZ21" s="55">
        <f>SUMIF($CB$4:$JS$4,AZ$4,$CB21:$JS21)</f>
        <v/>
      </c>
      <c r="BA21" s="55">
        <f>SUMIF($CB$4:$JS$4,BA$4,$CB21:$JS21)</f>
        <v/>
      </c>
      <c r="BB21" s="55">
        <f>SUMIF($CB$4:$JS$4,BB$4,$CB21:$JS21)</f>
        <v/>
      </c>
      <c r="BC21" s="55">
        <f>SUMIF($CB$4:$JS$4,BC$4,$CB21:$JS21)</f>
        <v/>
      </c>
      <c r="BD21" s="55">
        <f>SUMIF($CB$4:$JS$4,BD$4,$CB21:$JS21)</f>
        <v/>
      </c>
      <c r="BE21" s="55">
        <f>SUMIF($CB$4:$JS$4,BE$4,$CB21:$JS21)</f>
        <v/>
      </c>
      <c r="BF21" s="55">
        <f>SUMIF($CB$4:$JS$4,BF$4,$CB21:$JS21)</f>
        <v/>
      </c>
      <c r="BG21" s="55">
        <f>SUMIF($CB$4:$JS$4,BG$4,$CB21:$JS21)</f>
        <v/>
      </c>
      <c r="BH21" s="55">
        <f>SUMIF($CB$4:$JS$4,BH$4,$CB21:$JS21)</f>
        <v/>
      </c>
      <c r="BI21" s="55">
        <f>SUMIF($CB$4:$JS$4,BI$4,$CB21:$JS21)</f>
        <v/>
      </c>
      <c r="BJ21" s="55">
        <f>SUMIF($CB$4:$JS$4,BJ$4,$CB21:$JS21)</f>
        <v/>
      </c>
      <c r="BK21" s="55">
        <f>SUMIF($CB$4:$JS$4,BK$4,$CB21:$JS21)</f>
        <v/>
      </c>
      <c r="BL21" s="55">
        <f>SUMIF($CB$4:$JS$4,BL$4,$CB21:$JS21)</f>
        <v/>
      </c>
      <c r="BM21" s="55">
        <f>SUMIF($CB$4:$JS$4,BM$4,$CB21:$JS21)</f>
        <v/>
      </c>
      <c r="BN21" s="55">
        <f>SUMIF($CB$4:$JS$4,BN$4,$CB21:$JS21)</f>
        <v/>
      </c>
      <c r="BO21" s="55">
        <f>SUMIF($CB$4:$JS$4,BO$4,$CB21:$JS21)</f>
        <v/>
      </c>
      <c r="BP21" s="55">
        <f>SUMIF($CB$4:$JS$4,BP$4,$CB21:$JS21)</f>
        <v/>
      </c>
      <c r="BQ21" s="55">
        <f>SUMIF($CB$4:$JS$4,BQ$4,$CB21:$JS21)</f>
        <v/>
      </c>
      <c r="BR21" s="55">
        <f>SUMIF($CB$4:$JS$4,BR$4,$CB21:$JS21)</f>
        <v/>
      </c>
      <c r="BS21" s="55">
        <f>SUMIF($CB$4:$JS$4,BS$4,$CB21:$JS21)</f>
        <v/>
      </c>
      <c r="BT21" s="55">
        <f>SUMIF($CB$4:$JS$4,BT$4,$CB21:$JS21)</f>
        <v/>
      </c>
      <c r="BU21" s="55">
        <f>SUMIF($CB$4:$JS$4,BU$4,$CB21:$JS21)</f>
        <v/>
      </c>
      <c r="BV21" s="55">
        <f>SUMIF($CB$4:$JS$4,BV$4,$CB21:$JS21)</f>
        <v/>
      </c>
      <c r="BW21" s="55">
        <f>SUMIF($CB$4:$JS$4,BW$4,$CB21:$JS21)</f>
        <v/>
      </c>
      <c r="BX21" s="55">
        <f>SUMIF($CB$4:$JS$4,"&gt;"&amp;'VALOR POR PL'!$P$8,$CB21:$JS21)</f>
        <v/>
      </c>
      <c r="BY21" s="55">
        <f>SUM($CB21:$JS21)</f>
        <v/>
      </c>
      <c r="CB21" s="123">
        <f>IF(OR(CB$4="",$B21=""),0,SUMIF('DADOS BRUTOS'!$A$3:$A$500,$B21,'DADOS BRUTOS'!B$3:B$500)+IF($C21="",0,SUMIF('DADOS BRUTOS'!$A$3:$A$500,$C21,'DADOS BRUTOS'!B$3:B$500)))</f>
        <v/>
      </c>
      <c r="CC21" s="123">
        <f>IF(OR(CC$4="",$B21=""),0,SUMIF('DADOS BRUTOS'!$A$3:$A$500,$B21,'DADOS BRUTOS'!C$3:C$500)+IF($C21="",0,SUMIF('DADOS BRUTOS'!$A$3:$A$500,$C21,'DADOS BRUTOS'!C$3:C$500)))</f>
        <v/>
      </c>
      <c r="CD21" s="123">
        <f>IF(OR(CD$4="",$B21=""),0,SUMIF('DADOS BRUTOS'!$A$3:$A$500,$B21,'DADOS BRUTOS'!D$3:D$500)+IF($C21="",0,SUMIF('DADOS BRUTOS'!$A$3:$A$500,$C21,'DADOS BRUTOS'!D$3:D$500)))</f>
        <v/>
      </c>
      <c r="CE21" s="123">
        <f>IF(OR(CE$4="",$B21=""),0,SUMIF('DADOS BRUTOS'!$A$3:$A$500,$B21,'DADOS BRUTOS'!E$3:E$500)+IF($C21="",0,SUMIF('DADOS BRUTOS'!$A$3:$A$500,$C21,'DADOS BRUTOS'!E$3:E$500)))</f>
        <v/>
      </c>
      <c r="CF21" s="123">
        <f>IF(OR(CF$4="",$B21=""),0,SUMIF('DADOS BRUTOS'!$A$3:$A$500,$B21,'DADOS BRUTOS'!F$3:F$500)+IF($C21="",0,SUMIF('DADOS BRUTOS'!$A$3:$A$500,$C21,'DADOS BRUTOS'!F$3:F$500)))</f>
        <v/>
      </c>
      <c r="CG21" s="123">
        <f>IF(OR(CG$4="",$B21=""),0,SUMIF('DADOS BRUTOS'!$A$3:$A$500,$B21,'DADOS BRUTOS'!G$3:G$500)+IF($C21="",0,SUMIF('DADOS BRUTOS'!$A$3:$A$500,$C21,'DADOS BRUTOS'!G$3:G$500)))</f>
        <v/>
      </c>
      <c r="CH21" s="123">
        <f>IF(OR(CH$4="",$B21=""),0,SUMIF('DADOS BRUTOS'!$A$3:$A$500,$B21,'DADOS BRUTOS'!H$3:H$500)+IF($C21="",0,SUMIF('DADOS BRUTOS'!$A$3:$A$500,$C21,'DADOS BRUTOS'!H$3:H$500)))</f>
        <v/>
      </c>
      <c r="CI21" s="123">
        <f>IF(OR(CI$4="",$B21=""),0,SUMIF('DADOS BRUTOS'!$A$3:$A$500,$B21,'DADOS BRUTOS'!I$3:I$500)+IF($C21="",0,SUMIF('DADOS BRUTOS'!$A$3:$A$500,$C21,'DADOS BRUTOS'!I$3:I$500)))</f>
        <v/>
      </c>
      <c r="CJ21" s="123">
        <f>IF(OR(CJ$4="",$B21=""),0,SUMIF('DADOS BRUTOS'!$A$3:$A$500,$B21,'DADOS BRUTOS'!J$3:J$500)+IF($C21="",0,SUMIF('DADOS BRUTOS'!$A$3:$A$500,$C21,'DADOS BRUTOS'!J$3:J$500)))</f>
        <v/>
      </c>
      <c r="CK21" s="123">
        <f>IF(OR(CK$4="",$B21=""),0,SUMIF('DADOS BRUTOS'!$A$3:$A$500,$B21,'DADOS BRUTOS'!K$3:K$500)+IF($C21="",0,SUMIF('DADOS BRUTOS'!$A$3:$A$500,$C21,'DADOS BRUTOS'!K$3:K$500)))</f>
        <v/>
      </c>
      <c r="CL21" s="123">
        <f>IF(OR(CL$4="",$B21=""),0,SUMIF('DADOS BRUTOS'!$A$3:$A$500,$B21,'DADOS BRUTOS'!L$3:L$500)+IF($C21="",0,SUMIF('DADOS BRUTOS'!$A$3:$A$500,$C21,'DADOS BRUTOS'!L$3:L$500)))</f>
        <v/>
      </c>
      <c r="CM21" s="123">
        <f>IF(OR(CM$4="",$B21=""),0,SUMIF('DADOS BRUTOS'!$A$3:$A$500,$B21,'DADOS BRUTOS'!M$3:M$500)+IF($C21="",0,SUMIF('DADOS BRUTOS'!$A$3:$A$500,$C21,'DADOS BRUTOS'!M$3:M$500)))</f>
        <v/>
      </c>
      <c r="CN21" s="123">
        <f>IF(OR(CN$4="",$B21=""),0,SUMIF('DADOS BRUTOS'!$A$3:$A$500,$B21,'DADOS BRUTOS'!N$3:N$500)+IF($C21="",0,SUMIF('DADOS BRUTOS'!$A$3:$A$500,$C21,'DADOS BRUTOS'!N$3:N$500)))</f>
        <v/>
      </c>
      <c r="CO21" s="123">
        <f>IF(OR(CO$4="",$B21=""),0,SUMIF('DADOS BRUTOS'!$A$3:$A$500,$B21,'DADOS BRUTOS'!O$3:O$500)+IF($C21="",0,SUMIF('DADOS BRUTOS'!$A$3:$A$500,$C21,'DADOS BRUTOS'!O$3:O$500)))</f>
        <v/>
      </c>
      <c r="CP21" s="123">
        <f>IF(OR(CP$4="",$B21=""),0,SUMIF('DADOS BRUTOS'!$A$3:$A$500,$B21,'DADOS BRUTOS'!P$3:P$500)+IF($C21="",0,SUMIF('DADOS BRUTOS'!$A$3:$A$500,$C21,'DADOS BRUTOS'!P$3:P$500)))</f>
        <v/>
      </c>
      <c r="CQ21" s="123">
        <f>IF(OR(CQ$4="",$B21=""),0,SUMIF('DADOS BRUTOS'!$A$3:$A$500,$B21,'DADOS BRUTOS'!Q$3:Q$500)+IF($C21="",0,SUMIF('DADOS BRUTOS'!$A$3:$A$500,$C21,'DADOS BRUTOS'!Q$3:Q$500)))</f>
        <v/>
      </c>
      <c r="CR21" s="123">
        <f>IF(OR(CR$4="",$B21=""),0,SUMIF('DADOS BRUTOS'!$A$3:$A$500,$B21,'DADOS BRUTOS'!R$3:R$500)+IF($C21="",0,SUMIF('DADOS BRUTOS'!$A$3:$A$500,$C21,'DADOS BRUTOS'!R$3:R$500)))</f>
        <v/>
      </c>
      <c r="CS21" s="123">
        <f>IF(OR(CS$4="",$B21=""),0,SUMIF('DADOS BRUTOS'!$A$3:$A$500,$B21,'DADOS BRUTOS'!S$3:S$500)+IF($C21="",0,SUMIF('DADOS BRUTOS'!$A$3:$A$500,$C21,'DADOS BRUTOS'!S$3:S$500)))</f>
        <v/>
      </c>
      <c r="CT21" s="123">
        <f>IF(OR(CT$4="",$B21=""),0,SUMIF('DADOS BRUTOS'!$A$3:$A$500,$B21,'DADOS BRUTOS'!T$3:T$500)+IF($C21="",0,SUMIF('DADOS BRUTOS'!$A$3:$A$500,$C21,'DADOS BRUTOS'!T$3:T$500)))</f>
        <v/>
      </c>
      <c r="CU21" s="123">
        <f>IF(OR(CU$4="",$B21=""),0,SUMIF('DADOS BRUTOS'!$A$3:$A$500,$B21,'DADOS BRUTOS'!U$3:U$500)+IF($C21="",0,SUMIF('DADOS BRUTOS'!$A$3:$A$500,$C21,'DADOS BRUTOS'!U$3:U$500)))</f>
        <v/>
      </c>
      <c r="CV21" s="123">
        <f>IF(OR(CV$4="",$B21=""),0,SUMIF('DADOS BRUTOS'!$A$3:$A$500,$B21,'DADOS BRUTOS'!V$3:V$500)+IF($C21="",0,SUMIF('DADOS BRUTOS'!$A$3:$A$500,$C21,'DADOS BRUTOS'!V$3:V$500)))</f>
        <v/>
      </c>
      <c r="CW21" s="123">
        <f>IF(OR(CW$4="",$B21=""),0,SUMIF('DADOS BRUTOS'!$A$3:$A$500,$B21,'DADOS BRUTOS'!W$3:W$500)+IF($C21="",0,SUMIF('DADOS BRUTOS'!$A$3:$A$500,$C21,'DADOS BRUTOS'!W$3:W$500)))</f>
        <v/>
      </c>
      <c r="CX21" s="123">
        <f>IF(OR(CX$4="",$B21=""),0,SUMIF('DADOS BRUTOS'!$A$3:$A$500,$B21,'DADOS BRUTOS'!X$3:X$500)+IF($C21="",0,SUMIF('DADOS BRUTOS'!$A$3:$A$500,$C21,'DADOS BRUTOS'!X$3:X$500)))</f>
        <v/>
      </c>
      <c r="CY21" s="123">
        <f>IF(OR(CY$4="",$B21=""),0,SUMIF('DADOS BRUTOS'!$A$3:$A$500,$B21,'DADOS BRUTOS'!Y$3:Y$500)+IF($C21="",0,SUMIF('DADOS BRUTOS'!$A$3:$A$500,$C21,'DADOS BRUTOS'!Y$3:Y$500)))</f>
        <v/>
      </c>
      <c r="CZ21" s="123">
        <f>IF(OR(CZ$4="",$B21=""),0,SUMIF('DADOS BRUTOS'!$A$3:$A$500,$B21,'DADOS BRUTOS'!Z$3:Z$500)+IF($C21="",0,SUMIF('DADOS BRUTOS'!$A$3:$A$500,$C21,'DADOS BRUTOS'!Z$3:Z$500)))</f>
        <v/>
      </c>
      <c r="DA21" s="123">
        <f>IF(OR(DA$4="",$B21=""),0,SUMIF('DADOS BRUTOS'!$A$3:$A$500,$B21,'DADOS BRUTOS'!AA$3:AA$500)+IF($C21="",0,SUMIF('DADOS BRUTOS'!$A$3:$A$500,$C21,'DADOS BRUTOS'!AA$3:AA$500)))</f>
        <v/>
      </c>
      <c r="DB21" s="123">
        <f>IF(OR(DB$4="",$B21=""),0,SUMIF('DADOS BRUTOS'!$A$3:$A$500,$B21,'DADOS BRUTOS'!AB$3:AB$500)+IF($C21="",0,SUMIF('DADOS BRUTOS'!$A$3:$A$500,$C21,'DADOS BRUTOS'!AB$3:AB$500)))</f>
        <v/>
      </c>
      <c r="DC21" s="123">
        <f>IF(OR(DC$4="",$B21=""),0,SUMIF('DADOS BRUTOS'!$A$3:$A$500,$B21,'DADOS BRUTOS'!AC$3:AC$500)+IF($C21="",0,SUMIF('DADOS BRUTOS'!$A$3:$A$500,$C21,'DADOS BRUTOS'!AC$3:AC$500)))</f>
        <v/>
      </c>
      <c r="DD21" s="123">
        <f>IF(OR(DD$4="",$B21=""),0,SUMIF('DADOS BRUTOS'!$A$3:$A$500,$B21,'DADOS BRUTOS'!AD$3:AD$500)+IF($C21="",0,SUMIF('DADOS BRUTOS'!$A$3:$A$500,$C21,'DADOS BRUTOS'!AD$3:AD$500)))</f>
        <v/>
      </c>
      <c r="DE21" s="123">
        <f>IF(OR(DE$4="",$B21=""),0,SUMIF('DADOS BRUTOS'!$A$3:$A$500,$B21,'DADOS BRUTOS'!AE$3:AE$500)+IF($C21="",0,SUMIF('DADOS BRUTOS'!$A$3:$A$500,$C21,'DADOS BRUTOS'!AE$3:AE$500)))</f>
        <v/>
      </c>
      <c r="DF21" s="123">
        <f>IF(OR(DF$4="",$B21=""),0,SUMIF('DADOS BRUTOS'!$A$3:$A$500,$B21,'DADOS BRUTOS'!AF$3:AF$500)+IF($C21="",0,SUMIF('DADOS BRUTOS'!$A$3:$A$500,$C21,'DADOS BRUTOS'!AF$3:AF$500)))</f>
        <v/>
      </c>
      <c r="DG21" s="123">
        <f>IF(OR(DG$4="",$B21=""),0,SUMIF('DADOS BRUTOS'!$A$3:$A$500,$B21,'DADOS BRUTOS'!AG$3:AG$500)+IF($C21="",0,SUMIF('DADOS BRUTOS'!$A$3:$A$500,$C21,'DADOS BRUTOS'!AG$3:AG$500)))</f>
        <v/>
      </c>
      <c r="DH21" s="123">
        <f>IF(OR(DH$4="",$B21=""),0,SUMIF('DADOS BRUTOS'!$A$3:$A$500,$B21,'DADOS BRUTOS'!AH$3:AH$500)+IF($C21="",0,SUMIF('DADOS BRUTOS'!$A$3:$A$500,$C21,'DADOS BRUTOS'!AH$3:AH$500)))</f>
        <v/>
      </c>
      <c r="DI21" s="123">
        <f>IF(OR(DI$4="",$B21=""),0,SUMIF('DADOS BRUTOS'!$A$3:$A$500,$B21,'DADOS BRUTOS'!AI$3:AI$500)+IF($C21="",0,SUMIF('DADOS BRUTOS'!$A$3:$A$500,$C21,'DADOS BRUTOS'!AI$3:AI$500)))</f>
        <v/>
      </c>
      <c r="DJ21" s="123">
        <f>IF(OR(DJ$4="",$B21=""),0,SUMIF('DADOS BRUTOS'!$A$3:$A$500,$B21,'DADOS BRUTOS'!AJ$3:AJ$500)+IF($C21="",0,SUMIF('DADOS BRUTOS'!$A$3:$A$500,$C21,'DADOS BRUTOS'!AJ$3:AJ$500)))</f>
        <v/>
      </c>
      <c r="DK21" s="123">
        <f>IF(OR(DK$4="",$B21=""),0,SUMIF('DADOS BRUTOS'!$A$3:$A$500,$B21,'DADOS BRUTOS'!AK$3:AK$500)+IF($C21="",0,SUMIF('DADOS BRUTOS'!$A$3:$A$500,$C21,'DADOS BRUTOS'!AK$3:AK$500)))</f>
        <v/>
      </c>
      <c r="DL21" s="123">
        <f>IF(OR(DL$4="",$B21=""),0,SUMIF('DADOS BRUTOS'!$A$3:$A$500,$B21,'DADOS BRUTOS'!AL$3:AL$500)+IF($C21="",0,SUMIF('DADOS BRUTOS'!$A$3:$A$500,$C21,'DADOS BRUTOS'!AL$3:AL$500)))</f>
        <v/>
      </c>
      <c r="DM21" s="123">
        <f>IF(OR(DM$4="",$B21=""),0,SUMIF('DADOS BRUTOS'!$A$3:$A$500,$B21,'DADOS BRUTOS'!AM$3:AM$500)+IF($C21="",0,SUMIF('DADOS BRUTOS'!$A$3:$A$500,$C21,'DADOS BRUTOS'!AM$3:AM$500)))</f>
        <v/>
      </c>
      <c r="DN21" s="123">
        <f>IF(OR(DN$4="",$B21=""),0,SUMIF('DADOS BRUTOS'!$A$3:$A$500,$B21,'DADOS BRUTOS'!AN$3:AN$500)+IF($C21="",0,SUMIF('DADOS BRUTOS'!$A$3:$A$500,$C21,'DADOS BRUTOS'!AN$3:AN$500)))</f>
        <v/>
      </c>
      <c r="DO21" s="123">
        <f>IF(OR(DO$4="",$B21=""),0,SUMIF('DADOS BRUTOS'!$A$3:$A$500,$B21,'DADOS BRUTOS'!AO$3:AO$500)+IF($C21="",0,SUMIF('DADOS BRUTOS'!$A$3:$A$500,$C21,'DADOS BRUTOS'!AO$3:AO$500)))</f>
        <v/>
      </c>
      <c r="DP21" s="123">
        <f>IF(OR(DP$4="",$B21=""),0,SUMIF('DADOS BRUTOS'!$A$3:$A$500,$B21,'DADOS BRUTOS'!AP$3:AP$500)+IF($C21="",0,SUMIF('DADOS BRUTOS'!$A$3:$A$500,$C21,'DADOS BRUTOS'!AP$3:AP$500)))</f>
        <v/>
      </c>
      <c r="DQ21" s="123">
        <f>IF(OR(DQ$4="",$B21=""),0,SUMIF('DADOS BRUTOS'!$A$3:$A$500,$B21,'DADOS BRUTOS'!AQ$3:AQ$500)+IF($C21="",0,SUMIF('DADOS BRUTOS'!$A$3:$A$500,$C21,'DADOS BRUTOS'!AQ$3:AQ$500)))</f>
        <v/>
      </c>
      <c r="DR21" s="123">
        <f>IF(OR(DR$4="",$B21=""),0,SUMIF('DADOS BRUTOS'!$A$3:$A$500,$B21,'DADOS BRUTOS'!AR$3:AR$500)+IF($C21="",0,SUMIF('DADOS BRUTOS'!$A$3:$A$500,$C21,'DADOS BRUTOS'!AR$3:AR$500)))</f>
        <v/>
      </c>
      <c r="DS21" s="123">
        <f>IF(OR(DS$4="",$B21=""),0,SUMIF('DADOS BRUTOS'!$A$3:$A$500,$B21,'DADOS BRUTOS'!AS$3:AS$500)+IF($C21="",0,SUMIF('DADOS BRUTOS'!$A$3:$A$500,$C21,'DADOS BRUTOS'!AS$3:AS$500)))</f>
        <v/>
      </c>
      <c r="DT21" s="123">
        <f>IF(OR(DT$4="",$B21=""),0,SUMIF('DADOS BRUTOS'!$A$3:$A$500,$B21,'DADOS BRUTOS'!AT$3:AT$500)+IF($C21="",0,SUMIF('DADOS BRUTOS'!$A$3:$A$500,$C21,'DADOS BRUTOS'!AT$3:AT$500)))</f>
        <v/>
      </c>
      <c r="DU21" s="123">
        <f>IF(OR(DU$4="",$B21=""),0,SUMIF('DADOS BRUTOS'!$A$3:$A$500,$B21,'DADOS BRUTOS'!AU$3:AU$500)+IF($C21="",0,SUMIF('DADOS BRUTOS'!$A$3:$A$500,$C21,'DADOS BRUTOS'!AU$3:AU$500)))</f>
        <v/>
      </c>
      <c r="DV21" s="123">
        <f>IF(OR(DV$4="",$B21=""),0,SUMIF('DADOS BRUTOS'!$A$3:$A$500,$B21,'DADOS BRUTOS'!AV$3:AV$500)+IF($C21="",0,SUMIF('DADOS BRUTOS'!$A$3:$A$500,$C21,'DADOS BRUTOS'!AV$3:AV$500)))</f>
        <v/>
      </c>
      <c r="DW21" s="123">
        <f>IF(OR(DW$4="",$B21=""),0,SUMIF('DADOS BRUTOS'!$A$3:$A$500,$B21,'DADOS BRUTOS'!AW$3:AW$500)+IF($C21="",0,SUMIF('DADOS BRUTOS'!$A$3:$A$500,$C21,'DADOS BRUTOS'!AW$3:AW$500)))</f>
        <v/>
      </c>
      <c r="DX21" s="123">
        <f>IF(OR(DX$4="",$B21=""),0,SUMIF('DADOS BRUTOS'!$A$3:$A$500,$B21,'DADOS BRUTOS'!AX$3:AX$500)+IF($C21="",0,SUMIF('DADOS BRUTOS'!$A$3:$A$500,$C21,'DADOS BRUTOS'!AX$3:AX$500)))</f>
        <v/>
      </c>
      <c r="DY21" s="123">
        <f>IF(OR(DY$4="",$B21=""),0,SUMIF('DADOS BRUTOS'!$A$3:$A$500,$B21,'DADOS BRUTOS'!AY$3:AY$500)+IF($C21="",0,SUMIF('DADOS BRUTOS'!$A$3:$A$500,$C21,'DADOS BRUTOS'!AY$3:AY$500)))</f>
        <v/>
      </c>
      <c r="DZ21" s="123">
        <f>IF(OR(DZ$4="",$B21=""),0,SUMIF('DADOS BRUTOS'!$A$3:$A$500,$B21,'DADOS BRUTOS'!AZ$3:AZ$500)+IF($C21="",0,SUMIF('DADOS BRUTOS'!$A$3:$A$500,$C21,'DADOS BRUTOS'!AZ$3:AZ$500)))</f>
        <v/>
      </c>
      <c r="EA21" s="123">
        <f>IF(OR(EA$4="",$B21=""),0,SUMIF('DADOS BRUTOS'!$A$3:$A$500,$B21,'DADOS BRUTOS'!BA$3:BA$500)+IF($C21="",0,SUMIF('DADOS BRUTOS'!$A$3:$A$500,$C21,'DADOS BRUTOS'!BA$3:BA$500)))</f>
        <v/>
      </c>
      <c r="EB21" s="123">
        <f>IF(OR(EB$4="",$B21=""),0,SUMIF('DADOS BRUTOS'!$A$3:$A$500,$B21,'DADOS BRUTOS'!BB$3:BB$500)+IF($C21="",0,SUMIF('DADOS BRUTOS'!$A$3:$A$500,$C21,'DADOS BRUTOS'!BB$3:BB$500)))</f>
        <v/>
      </c>
      <c r="EC21" s="123">
        <f>IF(OR(EC$4="",$B21=""),0,SUMIF('DADOS BRUTOS'!$A$3:$A$500,$B21,'DADOS BRUTOS'!BC$3:BC$500)+IF($C21="",0,SUMIF('DADOS BRUTOS'!$A$3:$A$500,$C21,'DADOS BRUTOS'!BC$3:BC$500)))</f>
        <v/>
      </c>
      <c r="ED21" s="123">
        <f>IF(OR(ED$4="",$B21=""),0,SUMIF('DADOS BRUTOS'!$A$3:$A$500,$B21,'DADOS BRUTOS'!BD$3:BD$500)+IF($C21="",0,SUMIF('DADOS BRUTOS'!$A$3:$A$500,$C21,'DADOS BRUTOS'!BD$3:BD$500)))</f>
        <v/>
      </c>
      <c r="EE21" s="123">
        <f>IF(OR(EE$4="",$B21=""),0,SUMIF('DADOS BRUTOS'!$A$3:$A$500,$B21,'DADOS BRUTOS'!BE$3:BE$500)+IF($C21="",0,SUMIF('DADOS BRUTOS'!$A$3:$A$500,$C21,'DADOS BRUTOS'!BE$3:BE$500)))</f>
        <v/>
      </c>
      <c r="EF21" s="123">
        <f>IF(OR(EF$4="",$B21=""),0,SUMIF('DADOS BRUTOS'!$A$3:$A$500,$B21,'DADOS BRUTOS'!BF$3:BF$500)+IF($C21="",0,SUMIF('DADOS BRUTOS'!$A$3:$A$500,$C21,'DADOS BRUTOS'!BF$3:BF$500)))</f>
        <v/>
      </c>
      <c r="EG21" s="123">
        <f>IF(OR(EG$4="",$B21=""),0,SUMIF('DADOS BRUTOS'!$A$3:$A$500,$B21,'DADOS BRUTOS'!BG$3:BG$500)+IF($C21="",0,SUMIF('DADOS BRUTOS'!$A$3:$A$500,$C21,'DADOS BRUTOS'!BG$3:BG$500)))</f>
        <v/>
      </c>
      <c r="EH21" s="123">
        <f>IF(OR(EH$4="",$B21=""),0,SUMIF('DADOS BRUTOS'!$A$3:$A$500,$B21,'DADOS BRUTOS'!BH$3:BH$500)+IF($C21="",0,SUMIF('DADOS BRUTOS'!$A$3:$A$500,$C21,'DADOS BRUTOS'!BH$3:BH$500)))</f>
        <v/>
      </c>
      <c r="EI21" s="123">
        <f>IF(OR(EI$4="",$B21=""),0,SUMIF('DADOS BRUTOS'!$A$3:$A$500,$B21,'DADOS BRUTOS'!BI$3:BI$500)+IF($C21="",0,SUMIF('DADOS BRUTOS'!$A$3:$A$500,$C21,'DADOS BRUTOS'!BI$3:BI$500)))</f>
        <v/>
      </c>
      <c r="EJ21" s="123">
        <f>IF(OR(EJ$4="",$B21=""),0,SUMIF('DADOS BRUTOS'!$A$3:$A$500,$B21,'DADOS BRUTOS'!BJ$3:BJ$500)+IF($C21="",0,SUMIF('DADOS BRUTOS'!$A$3:$A$500,$C21,'DADOS BRUTOS'!BJ$3:BJ$500)))</f>
        <v/>
      </c>
      <c r="EK21" s="123">
        <f>IF(OR(EK$4="",$B21=""),0,SUMIF('DADOS BRUTOS'!$A$3:$A$500,$B21,'DADOS BRUTOS'!BK$3:BK$500)+IF($C21="",0,SUMIF('DADOS BRUTOS'!$A$3:$A$500,$C21,'DADOS BRUTOS'!BK$3:BK$500)))</f>
        <v/>
      </c>
      <c r="EL21" s="123">
        <f>IF(OR(EL$4="",$B21=""),0,SUMIF('DADOS BRUTOS'!$A$3:$A$500,$B21,'DADOS BRUTOS'!BL$3:BL$500)+IF($C21="",0,SUMIF('DADOS BRUTOS'!$A$3:$A$500,$C21,'DADOS BRUTOS'!BL$3:BL$500)))</f>
        <v/>
      </c>
      <c r="EM21" s="123">
        <f>IF(OR(EM$4="",$B21=""),0,SUMIF('DADOS BRUTOS'!$A$3:$A$500,$B21,'DADOS BRUTOS'!BM$3:BM$500)+IF($C21="",0,SUMIF('DADOS BRUTOS'!$A$3:$A$500,$C21,'DADOS BRUTOS'!BM$3:BM$500)))</f>
        <v/>
      </c>
      <c r="EN21" s="123">
        <f>IF(OR(EN$4="",$B21=""),0,SUMIF('DADOS BRUTOS'!$A$3:$A$500,$B21,'DADOS BRUTOS'!BN$3:BN$500)+IF($C21="",0,SUMIF('DADOS BRUTOS'!$A$3:$A$500,$C21,'DADOS BRUTOS'!BN$3:BN$500)))</f>
        <v/>
      </c>
      <c r="EO21" s="123">
        <f>IF(OR(EO$4="",$B21=""),0,SUMIF('DADOS BRUTOS'!$A$3:$A$500,$B21,'DADOS BRUTOS'!BO$3:BO$500)+IF($C21="",0,SUMIF('DADOS BRUTOS'!$A$3:$A$500,$C21,'DADOS BRUTOS'!BO$3:BO$500)))</f>
        <v/>
      </c>
      <c r="EP21" s="123">
        <f>IF(OR(EP$4="",$B21=""),0,SUMIF('DADOS BRUTOS'!$A$3:$A$500,$B21,'DADOS BRUTOS'!BP$3:BP$500)+IF($C21="",0,SUMIF('DADOS BRUTOS'!$A$3:$A$500,$C21,'DADOS BRUTOS'!BP$3:BP$500)))</f>
        <v/>
      </c>
      <c r="EQ21" s="123">
        <f>IF(OR(EQ$4="",$B21=""),0,SUMIF('DADOS BRUTOS'!$A$3:$A$500,$B21,'DADOS BRUTOS'!BQ$3:BQ$500)+IF($C21="",0,SUMIF('DADOS BRUTOS'!$A$3:$A$500,$C21,'DADOS BRUTOS'!BQ$3:BQ$500)))</f>
        <v/>
      </c>
      <c r="ER21" s="123">
        <f>IF(OR(ER$4="",$B21=""),0,SUMIF('DADOS BRUTOS'!$A$3:$A$500,$B21,'DADOS BRUTOS'!BR$3:BR$500)+IF($C21="",0,SUMIF('DADOS BRUTOS'!$A$3:$A$500,$C21,'DADOS BRUTOS'!BR$3:BR$500)))</f>
        <v/>
      </c>
      <c r="ES21" s="123">
        <f>IF(OR(ES$4="",$B21=""),0,SUMIF('DADOS BRUTOS'!$A$3:$A$500,$B21,'DADOS BRUTOS'!BS$3:BS$500)+IF($C21="",0,SUMIF('DADOS BRUTOS'!$A$3:$A$500,$C21,'DADOS BRUTOS'!BS$3:BS$500)))</f>
        <v/>
      </c>
      <c r="ET21" s="123">
        <f>IF(OR(ET$4="",$B21=""),0,SUMIF('DADOS BRUTOS'!$A$3:$A$500,$B21,'DADOS BRUTOS'!BT$3:BT$500)+IF($C21="",0,SUMIF('DADOS BRUTOS'!$A$3:$A$500,$C21,'DADOS BRUTOS'!BT$3:BT$500)))</f>
        <v/>
      </c>
      <c r="EU21" s="123">
        <f>IF(OR(EU$4="",$B21=""),0,SUMIF('DADOS BRUTOS'!$A$3:$A$500,$B21,'DADOS BRUTOS'!BU$3:BU$500)+IF($C21="",0,SUMIF('DADOS BRUTOS'!$A$3:$A$500,$C21,'DADOS BRUTOS'!BU$3:BU$500)))</f>
        <v/>
      </c>
      <c r="EV21" s="123">
        <f>IF(OR(EV$4="",$B21=""),0,SUMIF('DADOS BRUTOS'!$A$3:$A$500,$B21,'DADOS BRUTOS'!BV$3:BV$500)+IF($C21="",0,SUMIF('DADOS BRUTOS'!$A$3:$A$500,$C21,'DADOS BRUTOS'!BV$3:BV$500)))</f>
        <v/>
      </c>
      <c r="EW21" s="123">
        <f>IF(OR(EW$4="",$B21=""),0,SUMIF('DADOS BRUTOS'!$A$3:$A$500,$B21,'DADOS BRUTOS'!BW$3:BW$500)+IF($C21="",0,SUMIF('DADOS BRUTOS'!$A$3:$A$500,$C21,'DADOS BRUTOS'!BW$3:BW$500)))</f>
        <v/>
      </c>
      <c r="EX21" s="123">
        <f>IF(OR(EX$4="",$B21=""),0,SUMIF('DADOS BRUTOS'!$A$3:$A$500,$B21,'DADOS BRUTOS'!BX$3:BX$500)+IF($C21="",0,SUMIF('DADOS BRUTOS'!$A$3:$A$500,$C21,'DADOS BRUTOS'!BX$3:BX$500)))</f>
        <v/>
      </c>
      <c r="EY21" s="123">
        <f>IF(OR(EY$4="",$B21=""),0,SUMIF('DADOS BRUTOS'!$A$3:$A$500,$B21,'DADOS BRUTOS'!BY$3:BY$500)+IF($C21="",0,SUMIF('DADOS BRUTOS'!$A$3:$A$500,$C21,'DADOS BRUTOS'!BY$3:BY$500)))</f>
        <v/>
      </c>
      <c r="EZ21" s="123">
        <f>IF(OR(EZ$4="",$B21=""),0,SUMIF('DADOS BRUTOS'!$A$3:$A$500,$B21,'DADOS BRUTOS'!BZ$3:BZ$500)+IF($C21="",0,SUMIF('DADOS BRUTOS'!$A$3:$A$500,$C21,'DADOS BRUTOS'!BZ$3:BZ$500)))</f>
        <v/>
      </c>
      <c r="FA21" s="123">
        <f>IF(OR(FA$4="",$B21=""),0,SUMIF('DADOS BRUTOS'!$A$3:$A$500,$B21,'DADOS BRUTOS'!CA$3:CA$500)+IF($C21="",0,SUMIF('DADOS BRUTOS'!$A$3:$A$500,$C21,'DADOS BRUTOS'!CA$3:CA$500)))</f>
        <v/>
      </c>
      <c r="FB21" s="123">
        <f>IF(OR(FB$4="",$B21=""),0,SUMIF('DADOS BRUTOS'!$A$3:$A$500,$B21,'DADOS BRUTOS'!CB$3:CB$500)+IF($C21="",0,SUMIF('DADOS BRUTOS'!$A$3:$A$500,$C21,'DADOS BRUTOS'!CB$3:CB$500)))</f>
        <v/>
      </c>
      <c r="FC21" s="123">
        <f>IF(OR(FC$4="",$B21=""),0,SUMIF('DADOS BRUTOS'!$A$3:$A$500,$B21,'DADOS BRUTOS'!CC$3:CC$500)+IF($C21="",0,SUMIF('DADOS BRUTOS'!$A$3:$A$500,$C21,'DADOS BRUTOS'!CC$3:CC$500)))</f>
        <v/>
      </c>
      <c r="FD21" s="123">
        <f>IF(OR(FD$4="",$B21=""),0,SUMIF('DADOS BRUTOS'!$A$3:$A$500,$B21,'DADOS BRUTOS'!CD$3:CD$500)+IF($C21="",0,SUMIF('DADOS BRUTOS'!$A$3:$A$500,$C21,'DADOS BRUTOS'!CD$3:CD$500)))</f>
        <v/>
      </c>
      <c r="FE21" s="123">
        <f>IF(OR(FE$4="",$B21=""),0,SUMIF('DADOS BRUTOS'!$A$3:$A$500,$B21,'DADOS BRUTOS'!CE$3:CE$500)+IF($C21="",0,SUMIF('DADOS BRUTOS'!$A$3:$A$500,$C21,'DADOS BRUTOS'!CE$3:CE$500)))</f>
        <v/>
      </c>
      <c r="FF21" s="123">
        <f>IF(OR(FF$4="",$B21=""),0,SUMIF('DADOS BRUTOS'!$A$3:$A$500,$B21,'DADOS BRUTOS'!CF$3:CF$500)+IF($C21="",0,SUMIF('DADOS BRUTOS'!$A$3:$A$500,$C21,'DADOS BRUTOS'!CF$3:CF$500)))</f>
        <v/>
      </c>
      <c r="FG21" s="123">
        <f>IF(OR(FG$4="",$B21=""),0,SUMIF('DADOS BRUTOS'!$A$3:$A$500,$B21,'DADOS BRUTOS'!CG$3:CG$500)+IF($C21="",0,SUMIF('DADOS BRUTOS'!$A$3:$A$500,$C21,'DADOS BRUTOS'!CG$3:CG$500)))</f>
        <v/>
      </c>
      <c r="FH21" s="123">
        <f>IF(OR(FH$4="",$B21=""),0,SUMIF('DADOS BRUTOS'!$A$3:$A$500,$B21,'DADOS BRUTOS'!CH$3:CH$500)+IF($C21="",0,SUMIF('DADOS BRUTOS'!$A$3:$A$500,$C21,'DADOS BRUTOS'!CH$3:CH$500)))</f>
        <v/>
      </c>
      <c r="FI21" s="123">
        <f>IF(OR(FI$4="",$B21=""),0,SUMIF('DADOS BRUTOS'!$A$3:$A$500,$B21,'DADOS BRUTOS'!CI$3:CI$500)+IF($C21="",0,SUMIF('DADOS BRUTOS'!$A$3:$A$500,$C21,'DADOS BRUTOS'!CI$3:CI$500)))</f>
        <v/>
      </c>
      <c r="FJ21" s="123">
        <f>IF(OR(FJ$4="",$B21=""),0,SUMIF('DADOS BRUTOS'!$A$3:$A$500,$B21,'DADOS BRUTOS'!CJ$3:CJ$500)+IF($C21="",0,SUMIF('DADOS BRUTOS'!$A$3:$A$500,$C21,'DADOS BRUTOS'!CJ$3:CJ$500)))</f>
        <v/>
      </c>
      <c r="FK21" s="123">
        <f>IF(OR(FK$4="",$B21=""),0,SUMIF('DADOS BRUTOS'!$A$3:$A$500,$B21,'DADOS BRUTOS'!CK$3:CK$500)+IF($C21="",0,SUMIF('DADOS BRUTOS'!$A$3:$A$500,$C21,'DADOS BRUTOS'!CK$3:CK$500)))</f>
        <v/>
      </c>
      <c r="FL21" s="123">
        <f>IF(OR(FL$4="",$B21=""),0,SUMIF('DADOS BRUTOS'!$A$3:$A$500,$B21,'DADOS BRUTOS'!CL$3:CL$500)+IF($C21="",0,SUMIF('DADOS BRUTOS'!$A$3:$A$500,$C21,'DADOS BRUTOS'!CL$3:CL$500)))</f>
        <v/>
      </c>
      <c r="FM21" s="123">
        <f>IF(OR(FM$4="",$B21=""),0,SUMIF('DADOS BRUTOS'!$A$3:$A$500,$B21,'DADOS BRUTOS'!CM$3:CM$500)+IF($C21="",0,SUMIF('DADOS BRUTOS'!$A$3:$A$500,$C21,'DADOS BRUTOS'!CM$3:CM$500)))</f>
        <v/>
      </c>
      <c r="FN21" s="123">
        <f>IF(OR(FN$4="",$B21=""),0,SUMIF('DADOS BRUTOS'!$A$3:$A$500,$B21,'DADOS BRUTOS'!CN$3:CN$500)+IF($C21="",0,SUMIF('DADOS BRUTOS'!$A$3:$A$500,$C21,'DADOS BRUTOS'!CN$3:CN$500)))</f>
        <v/>
      </c>
      <c r="FO21" s="123">
        <f>IF(OR(FO$4="",$B21=""),0,SUMIF('DADOS BRUTOS'!$A$3:$A$500,$B21,'DADOS BRUTOS'!CO$3:CO$500)+IF($C21="",0,SUMIF('DADOS BRUTOS'!$A$3:$A$500,$C21,'DADOS BRUTOS'!CO$3:CO$500)))</f>
        <v/>
      </c>
      <c r="FP21" s="123">
        <f>IF(OR(FP$4="",$B21=""),0,SUMIF('DADOS BRUTOS'!$A$3:$A$500,$B21,'DADOS BRUTOS'!CP$3:CP$500)+IF($C21="",0,SUMIF('DADOS BRUTOS'!$A$3:$A$500,$C21,'DADOS BRUTOS'!CP$3:CP$500)))</f>
        <v/>
      </c>
      <c r="FQ21" s="123">
        <f>IF(OR(FQ$4="",$B21=""),0,SUMIF('DADOS BRUTOS'!$A$3:$A$500,$B21,'DADOS BRUTOS'!CQ$3:CQ$500)+IF($C21="",0,SUMIF('DADOS BRUTOS'!$A$3:$A$500,$C21,'DADOS BRUTOS'!CQ$3:CQ$500)))</f>
        <v/>
      </c>
      <c r="FR21" s="123">
        <f>IF(OR(FR$4="",$B21=""),0,SUMIF('DADOS BRUTOS'!$A$3:$A$500,$B21,'DADOS BRUTOS'!CR$3:CR$500)+IF($C21="",0,SUMIF('DADOS BRUTOS'!$A$3:$A$500,$C21,'DADOS BRUTOS'!CR$3:CR$500)))</f>
        <v/>
      </c>
      <c r="FS21" s="123">
        <f>IF(OR(FS$4="",$B21=""),0,SUMIF('DADOS BRUTOS'!$A$3:$A$500,$B21,'DADOS BRUTOS'!CS$3:CS$500)+IF($C21="",0,SUMIF('DADOS BRUTOS'!$A$3:$A$500,$C21,'DADOS BRUTOS'!CS$3:CS$500)))</f>
        <v/>
      </c>
      <c r="FT21" s="123">
        <f>IF(OR(FT$4="",$B21=""),0,SUMIF('DADOS BRUTOS'!$A$3:$A$500,$B21,'DADOS BRUTOS'!CT$3:CT$500)+IF($C21="",0,SUMIF('DADOS BRUTOS'!$A$3:$A$500,$C21,'DADOS BRUTOS'!CT$3:CT$500)))</f>
        <v/>
      </c>
      <c r="FU21" s="123">
        <f>IF(OR(FU$4="",$B21=""),0,SUMIF('DADOS BRUTOS'!$A$3:$A$500,$B21,'DADOS BRUTOS'!CU$3:CU$500)+IF($C21="",0,SUMIF('DADOS BRUTOS'!$A$3:$A$500,$C21,'DADOS BRUTOS'!CU$3:CU$500)))</f>
        <v/>
      </c>
      <c r="FV21" s="123">
        <f>IF(OR(FV$4="",$B21=""),0,SUMIF('DADOS BRUTOS'!$A$3:$A$500,$B21,'DADOS BRUTOS'!CV$3:CV$500)+IF($C21="",0,SUMIF('DADOS BRUTOS'!$A$3:$A$500,$C21,'DADOS BRUTOS'!CV$3:CV$500)))</f>
        <v/>
      </c>
      <c r="FW21" s="123">
        <f>IF(OR(FW$4="",$B21=""),0,SUMIF('DADOS BRUTOS'!$A$3:$A$500,$B21,'DADOS BRUTOS'!CW$3:CW$500)+IF($C21="",0,SUMIF('DADOS BRUTOS'!$A$3:$A$500,$C21,'DADOS BRUTOS'!CW$3:CW$500)))</f>
        <v/>
      </c>
      <c r="FX21" s="123">
        <f>IF(OR(FX$4="",$B21=""),0,SUMIF('DADOS BRUTOS'!$A$3:$A$500,$B21,'DADOS BRUTOS'!CX$3:CX$500)+IF($C21="",0,SUMIF('DADOS BRUTOS'!$A$3:$A$500,$C21,'DADOS BRUTOS'!CX$3:CX$500)))</f>
        <v/>
      </c>
      <c r="FY21" s="123">
        <f>IF(OR(FY$4="",$B21=""),0,SUMIF('DADOS BRUTOS'!$A$3:$A$500,$B21,'DADOS BRUTOS'!CY$3:CY$500)+IF($C21="",0,SUMIF('DADOS BRUTOS'!$A$3:$A$500,$C21,'DADOS BRUTOS'!CY$3:CY$500)))</f>
        <v/>
      </c>
      <c r="FZ21" s="123">
        <f>IF(OR(FZ$4="",$B21=""),0,SUMIF('DADOS BRUTOS'!$A$3:$A$500,$B21,'DADOS BRUTOS'!CZ$3:CZ$500)+IF($C21="",0,SUMIF('DADOS BRUTOS'!$A$3:$A$500,$C21,'DADOS BRUTOS'!CZ$3:CZ$500)))</f>
        <v/>
      </c>
      <c r="GA21" s="123">
        <f>IF(OR(GA$4="",$B21=""),0,SUMIF('DADOS BRUTOS'!$A$3:$A$500,$B21,'DADOS BRUTOS'!DA$3:DA$500)+IF($C21="",0,SUMIF('DADOS BRUTOS'!$A$3:$A$500,$C21,'DADOS BRUTOS'!DA$3:DA$500)))</f>
        <v/>
      </c>
      <c r="GB21" s="123">
        <f>IF(OR(GB$4="",$B21=""),0,SUMIF('DADOS BRUTOS'!$A$3:$A$500,$B21,'DADOS BRUTOS'!DB$3:DB$500)+IF($C21="",0,SUMIF('DADOS BRUTOS'!$A$3:$A$500,$C21,'DADOS BRUTOS'!DB$3:DB$500)))</f>
        <v/>
      </c>
      <c r="GC21" s="123">
        <f>IF(OR(GC$4="",$B21=""),0,SUMIF('DADOS BRUTOS'!$A$3:$A$500,$B21,'DADOS BRUTOS'!DC$3:DC$500)+IF($C21="",0,SUMIF('DADOS BRUTOS'!$A$3:$A$500,$C21,'DADOS BRUTOS'!DC$3:DC$500)))</f>
        <v/>
      </c>
      <c r="GD21" s="123">
        <f>IF(OR(GD$4="",$B21=""),0,SUMIF('DADOS BRUTOS'!$A$3:$A$500,$B21,'DADOS BRUTOS'!DD$3:DD$500)+IF($C21="",0,SUMIF('DADOS BRUTOS'!$A$3:$A$500,$C21,'DADOS BRUTOS'!DD$3:DD$500)))</f>
        <v/>
      </c>
      <c r="GE21" s="123">
        <f>IF(OR(GE$4="",$B21=""),0,SUMIF('DADOS BRUTOS'!$A$3:$A$500,$B21,'DADOS BRUTOS'!DE$3:DE$500)+IF($C21="",0,SUMIF('DADOS BRUTOS'!$A$3:$A$500,$C21,'DADOS BRUTOS'!DE$3:DE$500)))</f>
        <v/>
      </c>
      <c r="GF21" s="123">
        <f>IF(OR(GF$4="",$B21=""),0,SUMIF('DADOS BRUTOS'!$A$3:$A$500,$B21,'DADOS BRUTOS'!DF$3:DF$500)+IF($C21="",0,SUMIF('DADOS BRUTOS'!$A$3:$A$500,$C21,'DADOS BRUTOS'!DF$3:DF$500)))</f>
        <v/>
      </c>
      <c r="GG21" s="123">
        <f>IF(OR(GG$4="",$B21=""),0,SUMIF('DADOS BRUTOS'!$A$3:$A$500,$B21,'DADOS BRUTOS'!DG$3:DG$500)+IF($C21="",0,SUMIF('DADOS BRUTOS'!$A$3:$A$500,$C21,'DADOS BRUTOS'!DG$3:DG$500)))</f>
        <v/>
      </c>
      <c r="GH21" s="123">
        <f>IF(OR(GH$4="",$B21=""),0,SUMIF('DADOS BRUTOS'!$A$3:$A$500,$B21,'DADOS BRUTOS'!DH$3:DH$500)+IF($C21="",0,SUMIF('DADOS BRUTOS'!$A$3:$A$500,$C21,'DADOS BRUTOS'!DH$3:DH$500)))</f>
        <v/>
      </c>
      <c r="GI21" s="123">
        <f>IF(OR(GI$4="",$B21=""),0,SUMIF('DADOS BRUTOS'!$A$3:$A$500,$B21,'DADOS BRUTOS'!DI$3:DI$500)+IF($C21="",0,SUMIF('DADOS BRUTOS'!$A$3:$A$500,$C21,'DADOS BRUTOS'!DI$3:DI$500)))</f>
        <v/>
      </c>
      <c r="GJ21" s="123">
        <f>IF(OR(GJ$4="",$B21=""),0,SUMIF('DADOS BRUTOS'!$A$3:$A$500,$B21,'DADOS BRUTOS'!DJ$3:DJ$500)+IF($C21="",0,SUMIF('DADOS BRUTOS'!$A$3:$A$500,$C21,'DADOS BRUTOS'!DJ$3:DJ$500)))</f>
        <v/>
      </c>
      <c r="GK21" s="123">
        <f>IF(OR(GK$4="",$B21=""),0,SUMIF('DADOS BRUTOS'!$A$3:$A$500,$B21,'DADOS BRUTOS'!DK$3:DK$500)+IF($C21="",0,SUMIF('DADOS BRUTOS'!$A$3:$A$500,$C21,'DADOS BRUTOS'!DK$3:DK$500)))</f>
        <v/>
      </c>
      <c r="GL21" s="123">
        <f>IF(OR(GL$4="",$B21=""),0,SUMIF('DADOS BRUTOS'!$A$3:$A$500,$B21,'DADOS BRUTOS'!DL$3:DL$500)+IF($C21="",0,SUMIF('DADOS BRUTOS'!$A$3:$A$500,$C21,'DADOS BRUTOS'!DL$3:DL$500)))</f>
        <v/>
      </c>
      <c r="GM21" s="123">
        <f>IF(OR(GM$4="",$B21=""),0,SUMIF('DADOS BRUTOS'!$A$3:$A$500,$B21,'DADOS BRUTOS'!DM$3:DM$500)+IF($C21="",0,SUMIF('DADOS BRUTOS'!$A$3:$A$500,$C21,'DADOS BRUTOS'!DM$3:DM$500)))</f>
        <v/>
      </c>
      <c r="GN21" s="123">
        <f>IF(OR(GN$4="",$B21=""),0,SUMIF('DADOS BRUTOS'!$A$3:$A$500,$B21,'DADOS BRUTOS'!DN$3:DN$500)+IF($C21="",0,SUMIF('DADOS BRUTOS'!$A$3:$A$500,$C21,'DADOS BRUTOS'!DN$3:DN$500)))</f>
        <v/>
      </c>
      <c r="GO21" s="123">
        <f>IF(OR(GO$4="",$B21=""),0,SUMIF('DADOS BRUTOS'!$A$3:$A$500,$B21,'DADOS BRUTOS'!DO$3:DO$500)+IF($C21="",0,SUMIF('DADOS BRUTOS'!$A$3:$A$500,$C21,'DADOS BRUTOS'!DO$3:DO$500)))</f>
        <v/>
      </c>
      <c r="GP21" s="123">
        <f>IF(OR(GP$4="",$B21=""),0,SUMIF('DADOS BRUTOS'!$A$3:$A$500,$B21,'DADOS BRUTOS'!DP$3:DP$500)+IF($C21="",0,SUMIF('DADOS BRUTOS'!$A$3:$A$500,$C21,'DADOS BRUTOS'!DP$3:DP$500)))</f>
        <v/>
      </c>
      <c r="GQ21" s="123">
        <f>IF(OR(GQ$4="",$B21=""),0,SUMIF('DADOS BRUTOS'!$A$3:$A$500,$B21,'DADOS BRUTOS'!DQ$3:DQ$500)+IF($C21="",0,SUMIF('DADOS BRUTOS'!$A$3:$A$500,$C21,'DADOS BRUTOS'!DQ$3:DQ$500)))</f>
        <v/>
      </c>
      <c r="GR21" s="123">
        <f>IF(OR(GR$4="",$B21=""),0,SUMIF('DADOS BRUTOS'!$A$3:$A$500,$B21,'DADOS BRUTOS'!DR$3:DR$500)+IF($C21="",0,SUMIF('DADOS BRUTOS'!$A$3:$A$500,$C21,'DADOS BRUTOS'!DR$3:DR$500)))</f>
        <v/>
      </c>
      <c r="GS21" s="123">
        <f>IF(OR(GS$4="",$B21=""),0,SUMIF('DADOS BRUTOS'!$A$3:$A$500,$B21,'DADOS BRUTOS'!DS$3:DS$500)+IF($C21="",0,SUMIF('DADOS BRUTOS'!$A$3:$A$500,$C21,'DADOS BRUTOS'!DS$3:DS$500)))</f>
        <v/>
      </c>
      <c r="GT21" s="123">
        <f>IF(OR(GT$4="",$B21=""),0,SUMIF('DADOS BRUTOS'!$A$3:$A$500,$B21,'DADOS BRUTOS'!DT$3:DT$500)+IF($C21="",0,SUMIF('DADOS BRUTOS'!$A$3:$A$500,$C21,'DADOS BRUTOS'!DT$3:DT$500)))</f>
        <v/>
      </c>
      <c r="GU21" s="123">
        <f>IF(OR(GU$4="",$B21=""),0,SUMIF('DADOS BRUTOS'!$A$3:$A$500,$B21,'DADOS BRUTOS'!DU$3:DU$500)+IF($C21="",0,SUMIF('DADOS BRUTOS'!$A$3:$A$500,$C21,'DADOS BRUTOS'!DU$3:DU$500)))</f>
        <v/>
      </c>
      <c r="GV21" s="123">
        <f>IF(OR(GV$4="",$B21=""),0,SUMIF('DADOS BRUTOS'!$A$3:$A$500,$B21,'DADOS BRUTOS'!DV$3:DV$500)+IF($C21="",0,SUMIF('DADOS BRUTOS'!$A$3:$A$500,$C21,'DADOS BRUTOS'!DV$3:DV$500)))</f>
        <v/>
      </c>
      <c r="GW21" s="123">
        <f>IF(OR(GW$4="",$B21=""),0,SUMIF('DADOS BRUTOS'!$A$3:$A$500,$B21,'DADOS BRUTOS'!DW$3:DW$500)+IF($C21="",0,SUMIF('DADOS BRUTOS'!$A$3:$A$500,$C21,'DADOS BRUTOS'!DW$3:DW$500)))</f>
        <v/>
      </c>
      <c r="GX21" s="123">
        <f>IF(OR(GX$4="",$B21=""),0,SUMIF('DADOS BRUTOS'!$A$3:$A$500,$B21,'DADOS BRUTOS'!DX$3:DX$500)+IF($C21="",0,SUMIF('DADOS BRUTOS'!$A$3:$A$500,$C21,'DADOS BRUTOS'!DX$3:DX$500)))</f>
        <v/>
      </c>
      <c r="GY21" s="123">
        <f>IF(OR(GY$4="",$B21=""),0,SUMIF('DADOS BRUTOS'!$A$3:$A$500,$B21,'DADOS BRUTOS'!DY$3:DY$500)+IF($C21="",0,SUMIF('DADOS BRUTOS'!$A$3:$A$500,$C21,'DADOS BRUTOS'!DY$3:DY$500)))</f>
        <v/>
      </c>
      <c r="GZ21" s="123">
        <f>IF(OR(GZ$4="",$B21=""),0,SUMIF('DADOS BRUTOS'!$A$3:$A$500,$B21,'DADOS BRUTOS'!DZ$3:DZ$500)+IF($C21="",0,SUMIF('DADOS BRUTOS'!$A$3:$A$500,$C21,'DADOS BRUTOS'!DZ$3:DZ$500)))</f>
        <v/>
      </c>
      <c r="HA21" s="123">
        <f>IF(OR(HA$4="",$B21=""),0,SUMIF('DADOS BRUTOS'!$A$3:$A$500,$B21,'DADOS BRUTOS'!EA$3:EA$500)+IF($C21="",0,SUMIF('DADOS BRUTOS'!$A$3:$A$500,$C21,'DADOS BRUTOS'!EA$3:EA$500)))</f>
        <v/>
      </c>
      <c r="HB21" s="123">
        <f>IF(OR(HB$4="",$B21=""),0,SUMIF('DADOS BRUTOS'!$A$3:$A$500,$B21,'DADOS BRUTOS'!EB$3:EB$500)+IF($C21="",0,SUMIF('DADOS BRUTOS'!$A$3:$A$500,$C21,'DADOS BRUTOS'!EB$3:EB$500)))</f>
        <v/>
      </c>
      <c r="HC21" s="123">
        <f>IF(OR(HC$4="",$B21=""),0,SUMIF('DADOS BRUTOS'!$A$3:$A$500,$B21,'DADOS BRUTOS'!EC$3:EC$500)+IF($C21="",0,SUMIF('DADOS BRUTOS'!$A$3:$A$500,$C21,'DADOS BRUTOS'!EC$3:EC$500)))</f>
        <v/>
      </c>
      <c r="HD21" s="123">
        <f>IF(OR(HD$4="",$B21=""),0,SUMIF('DADOS BRUTOS'!$A$3:$A$500,$B21,'DADOS BRUTOS'!ED$3:ED$500)+IF($C21="",0,SUMIF('DADOS BRUTOS'!$A$3:$A$500,$C21,'DADOS BRUTOS'!ED$3:ED$500)))</f>
        <v/>
      </c>
      <c r="HE21" s="123">
        <f>IF(OR(HE$4="",$B21=""),0,SUMIF('DADOS BRUTOS'!$A$3:$A$500,$B21,'DADOS BRUTOS'!EE$3:EE$500)+IF($C21="",0,SUMIF('DADOS BRUTOS'!$A$3:$A$500,$C21,'DADOS BRUTOS'!EE$3:EE$500)))</f>
        <v/>
      </c>
      <c r="HF21" s="123">
        <f>IF(OR(HF$4="",$B21=""),0,SUMIF('DADOS BRUTOS'!$A$3:$A$500,$B21,'DADOS BRUTOS'!EF$3:EF$500)+IF($C21="",0,SUMIF('DADOS BRUTOS'!$A$3:$A$500,$C21,'DADOS BRUTOS'!EF$3:EF$500)))</f>
        <v/>
      </c>
      <c r="HG21" s="123">
        <f>IF(OR(HG$4="",$B21=""),0,SUMIF('DADOS BRUTOS'!$A$3:$A$500,$B21,'DADOS BRUTOS'!EG$3:EG$500)+IF($C21="",0,SUMIF('DADOS BRUTOS'!$A$3:$A$500,$C21,'DADOS BRUTOS'!EG$3:EG$500)))</f>
        <v/>
      </c>
      <c r="HH21" s="123">
        <f>IF(OR(HH$4="",$B21=""),0,SUMIF('DADOS BRUTOS'!$A$3:$A$500,$B21,'DADOS BRUTOS'!EH$3:EH$500)+IF($C21="",0,SUMIF('DADOS BRUTOS'!$A$3:$A$500,$C21,'DADOS BRUTOS'!EH$3:EH$500)))</f>
        <v/>
      </c>
      <c r="HI21" s="123">
        <f>IF(OR(HI$4="",$B21=""),0,SUMIF('DADOS BRUTOS'!$A$3:$A$500,$B21,'DADOS BRUTOS'!EI$3:EI$500)+IF($C21="",0,SUMIF('DADOS BRUTOS'!$A$3:$A$500,$C21,'DADOS BRUTOS'!EI$3:EI$500)))</f>
        <v/>
      </c>
      <c r="HJ21" s="123">
        <f>IF(OR(HJ$4="",$B21=""),0,SUMIF('DADOS BRUTOS'!$A$3:$A$500,$B21,'DADOS BRUTOS'!EJ$3:EJ$500)+IF($C21="",0,SUMIF('DADOS BRUTOS'!$A$3:$A$500,$C21,'DADOS BRUTOS'!EJ$3:EJ$500)))</f>
        <v/>
      </c>
      <c r="HK21" s="123">
        <f>IF(OR(HK$4="",$B21=""),0,SUMIF('DADOS BRUTOS'!$A$3:$A$500,$B21,'DADOS BRUTOS'!EK$3:EK$500)+IF($C21="",0,SUMIF('DADOS BRUTOS'!$A$3:$A$500,$C21,'DADOS BRUTOS'!EK$3:EK$500)))</f>
        <v/>
      </c>
      <c r="HL21" s="123">
        <f>IF(OR(HL$4="",$B21=""),0,SUMIF('DADOS BRUTOS'!$A$3:$A$500,$B21,'DADOS BRUTOS'!EL$3:EL$500)+IF($C21="",0,SUMIF('DADOS BRUTOS'!$A$3:$A$500,$C21,'DADOS BRUTOS'!EL$3:EL$500)))</f>
        <v/>
      </c>
      <c r="HM21" s="123">
        <f>IF(OR(HM$4="",$B21=""),0,SUMIF('DADOS BRUTOS'!$A$3:$A$500,$B21,'DADOS BRUTOS'!EM$3:EM$500)+IF($C21="",0,SUMIF('DADOS BRUTOS'!$A$3:$A$500,$C21,'DADOS BRUTOS'!EM$3:EM$500)))</f>
        <v/>
      </c>
      <c r="HN21" s="123">
        <f>IF(OR(HN$4="",$B21=""),0,SUMIF('DADOS BRUTOS'!$A$3:$A$500,$B21,'DADOS BRUTOS'!EN$3:EN$500)+IF($C21="",0,SUMIF('DADOS BRUTOS'!$A$3:$A$500,$C21,'DADOS BRUTOS'!EN$3:EN$500)))</f>
        <v/>
      </c>
      <c r="HO21" s="123">
        <f>IF(OR(HO$4="",$B21=""),0,SUMIF('DADOS BRUTOS'!$A$3:$A$500,$B21,'DADOS BRUTOS'!EO$3:EO$500)+IF($C21="",0,SUMIF('DADOS BRUTOS'!$A$3:$A$500,$C21,'DADOS BRUTOS'!EO$3:EO$500)))</f>
        <v/>
      </c>
      <c r="HP21" s="123">
        <f>IF(OR(HP$4="",$B21=""),0,SUMIF('DADOS BRUTOS'!$A$3:$A$500,$B21,'DADOS BRUTOS'!EP$3:EP$500)+IF($C21="",0,SUMIF('DADOS BRUTOS'!$A$3:$A$500,$C21,'DADOS BRUTOS'!EP$3:EP$500)))</f>
        <v/>
      </c>
      <c r="HQ21" s="123">
        <f>IF(OR(HQ$4="",$B21=""),0,SUMIF('DADOS BRUTOS'!$A$3:$A$500,$B21,'DADOS BRUTOS'!EQ$3:EQ$500)+IF($C21="",0,SUMIF('DADOS BRUTOS'!$A$3:$A$500,$C21,'DADOS BRUTOS'!EQ$3:EQ$500)))</f>
        <v/>
      </c>
      <c r="HR21" s="123">
        <f>IF(OR(HR$4="",$B21=""),0,SUMIF('DADOS BRUTOS'!$A$3:$A$500,$B21,'DADOS BRUTOS'!ER$3:ER$500)+IF($C21="",0,SUMIF('DADOS BRUTOS'!$A$3:$A$500,$C21,'DADOS BRUTOS'!ER$3:ER$500)))</f>
        <v/>
      </c>
      <c r="HS21" s="123">
        <f>IF(OR(HS$4="",$B21=""),0,SUMIF('DADOS BRUTOS'!$A$3:$A$500,$B21,'DADOS BRUTOS'!ES$3:ES$500)+IF($C21="",0,SUMIF('DADOS BRUTOS'!$A$3:$A$500,$C21,'DADOS BRUTOS'!ES$3:ES$500)))</f>
        <v/>
      </c>
      <c r="HT21" s="123">
        <f>IF(OR(HT$4="",$B21=""),0,SUMIF('DADOS BRUTOS'!$A$3:$A$500,$B21,'DADOS BRUTOS'!ET$3:ET$500)+IF($C21="",0,SUMIF('DADOS BRUTOS'!$A$3:$A$500,$C21,'DADOS BRUTOS'!ET$3:ET$500)))</f>
        <v/>
      </c>
      <c r="HU21" s="123">
        <f>IF(OR(HU$4="",$B21=""),0,SUMIF('DADOS BRUTOS'!$A$3:$A$500,$B21,'DADOS BRUTOS'!EU$3:EU$500)+IF($C21="",0,SUMIF('DADOS BRUTOS'!$A$3:$A$500,$C21,'DADOS BRUTOS'!EU$3:EU$500)))</f>
        <v/>
      </c>
      <c r="HV21" s="123">
        <f>IF(OR(HV$4="",$B21=""),0,SUMIF('DADOS BRUTOS'!$A$3:$A$500,$B21,'DADOS BRUTOS'!EV$3:EV$500)+IF($C21="",0,SUMIF('DADOS BRUTOS'!$A$3:$A$500,$C21,'DADOS BRUTOS'!EV$3:EV$500)))</f>
        <v/>
      </c>
      <c r="HW21" s="123">
        <f>IF(OR(HW$4="",$B21=""),0,SUMIF('DADOS BRUTOS'!$A$3:$A$500,$B21,'DADOS BRUTOS'!EW$3:EW$500)+IF($C21="",0,SUMIF('DADOS BRUTOS'!$A$3:$A$500,$C21,'DADOS BRUTOS'!EW$3:EW$500)))</f>
        <v/>
      </c>
      <c r="HX21" s="123">
        <f>IF(OR(HX$4="",$B21=""),0,SUMIF('DADOS BRUTOS'!$A$3:$A$500,$B21,'DADOS BRUTOS'!EX$3:EX$500)+IF($C21="",0,SUMIF('DADOS BRUTOS'!$A$3:$A$500,$C21,'DADOS BRUTOS'!EX$3:EX$500)))</f>
        <v/>
      </c>
      <c r="HY21" s="123">
        <f>IF(OR(HY$4="",$B21=""),0,SUMIF('DADOS BRUTOS'!$A$3:$A$500,$B21,'DADOS BRUTOS'!EY$3:EY$500)+IF($C21="",0,SUMIF('DADOS BRUTOS'!$A$3:$A$500,$C21,'DADOS BRUTOS'!EY$3:EY$500)))</f>
        <v/>
      </c>
      <c r="HZ21" s="123">
        <f>IF(OR(HZ$4="",$B21=""),0,SUMIF('DADOS BRUTOS'!$A$3:$A$500,$B21,'DADOS BRUTOS'!EZ$3:EZ$500)+IF($C21="",0,SUMIF('DADOS BRUTOS'!$A$3:$A$500,$C21,'DADOS BRUTOS'!EZ$3:EZ$500)))</f>
        <v/>
      </c>
      <c r="IA21" s="123">
        <f>IF(OR(IA$4="",$B21=""),0,SUMIF('DADOS BRUTOS'!$A$3:$A$500,$B21,'DADOS BRUTOS'!FA$3:FA$500)+IF($C21="",0,SUMIF('DADOS BRUTOS'!$A$3:$A$500,$C21,'DADOS BRUTOS'!FA$3:FA$500)))</f>
        <v/>
      </c>
      <c r="IB21" s="123">
        <f>IF(OR(IB$4="",$B21=""),0,SUMIF('DADOS BRUTOS'!$A$3:$A$500,$B21,'DADOS BRUTOS'!FB$3:FB$500)+IF($C21="",0,SUMIF('DADOS BRUTOS'!$A$3:$A$500,$C21,'DADOS BRUTOS'!FB$3:FB$500)))</f>
        <v/>
      </c>
      <c r="IC21" s="123">
        <f>IF(OR(IC$4="",$B21=""),0,SUMIF('DADOS BRUTOS'!$A$3:$A$500,$B21,'DADOS BRUTOS'!FC$3:FC$500)+IF($C21="",0,SUMIF('DADOS BRUTOS'!$A$3:$A$500,$C21,'DADOS BRUTOS'!FC$3:FC$500)))</f>
        <v/>
      </c>
      <c r="ID21" s="123">
        <f>IF(OR(ID$4="",$B21=""),0,SUMIF('DADOS BRUTOS'!$A$3:$A$500,$B21,'DADOS BRUTOS'!FD$3:FD$500)+IF($C21="",0,SUMIF('DADOS BRUTOS'!$A$3:$A$500,$C21,'DADOS BRUTOS'!FD$3:FD$500)))</f>
        <v/>
      </c>
      <c r="IE21" s="123">
        <f>IF(OR(IE$4="",$B21=""),0,SUMIF('DADOS BRUTOS'!$A$3:$A$500,$B21,'DADOS BRUTOS'!FE$3:FE$500)+IF($C21="",0,SUMIF('DADOS BRUTOS'!$A$3:$A$500,$C21,'DADOS BRUTOS'!FE$3:FE$500)))</f>
        <v/>
      </c>
      <c r="IF21" s="123">
        <f>IF(OR(IF$4="",$B21=""),0,SUMIF('DADOS BRUTOS'!$A$3:$A$500,$B21,'DADOS BRUTOS'!FF$3:FF$500)+IF($C21="",0,SUMIF('DADOS BRUTOS'!$A$3:$A$500,$C21,'DADOS BRUTOS'!FF$3:FF$500)))</f>
        <v/>
      </c>
      <c r="IG21" s="123">
        <f>IF(OR(IG$4="",$B21=""),0,SUMIF('DADOS BRUTOS'!$A$3:$A$500,$B21,'DADOS BRUTOS'!FG$3:FG$500)+IF($C21="",0,SUMIF('DADOS BRUTOS'!$A$3:$A$500,$C21,'DADOS BRUTOS'!FG$3:FG$500)))</f>
        <v/>
      </c>
      <c r="IH21" s="123">
        <f>IF(OR(IH$4="",$B21=""),0,SUMIF('DADOS BRUTOS'!$A$3:$A$500,$B21,'DADOS BRUTOS'!FH$3:FH$500)+IF($C21="",0,SUMIF('DADOS BRUTOS'!$A$3:$A$500,$C21,'DADOS BRUTOS'!FH$3:FH$500)))</f>
        <v/>
      </c>
      <c r="II21" s="123">
        <f>IF(OR(II$4="",$B21=""),0,SUMIF('DADOS BRUTOS'!$A$3:$A$500,$B21,'DADOS BRUTOS'!FI$3:FI$500)+IF($C21="",0,SUMIF('DADOS BRUTOS'!$A$3:$A$500,$C21,'DADOS BRUTOS'!FI$3:FI$500)))</f>
        <v/>
      </c>
      <c r="IJ21" s="123">
        <f>IF(OR(IJ$4="",$B21=""),0,SUMIF('DADOS BRUTOS'!$A$3:$A$500,$B21,'DADOS BRUTOS'!FJ$3:FJ$500)+IF($C21="",0,SUMIF('DADOS BRUTOS'!$A$3:$A$500,$C21,'DADOS BRUTOS'!FJ$3:FJ$500)))</f>
        <v/>
      </c>
      <c r="IK21" s="123">
        <f>IF(OR(IK$4="",$B21=""),0,SUMIF('DADOS BRUTOS'!$A$3:$A$500,$B21,'DADOS BRUTOS'!FK$3:FK$500)+IF($C21="",0,SUMIF('DADOS BRUTOS'!$A$3:$A$500,$C21,'DADOS BRUTOS'!FK$3:FK$500)))</f>
        <v/>
      </c>
      <c r="IL21" s="123">
        <f>IF(OR(IL$4="",$B21=""),0,SUMIF('DADOS BRUTOS'!$A$3:$A$500,$B21,'DADOS BRUTOS'!FL$3:FL$500)+IF($C21="",0,SUMIF('DADOS BRUTOS'!$A$3:$A$500,$C21,'DADOS BRUTOS'!FL$3:FL$500)))</f>
        <v/>
      </c>
      <c r="IM21" s="123">
        <f>IF(OR(IM$4="",$B21=""),0,SUMIF('DADOS BRUTOS'!$A$3:$A$500,$B21,'DADOS BRUTOS'!FM$3:FM$500)+IF($C21="",0,SUMIF('DADOS BRUTOS'!$A$3:$A$500,$C21,'DADOS BRUTOS'!FM$3:FM$500)))</f>
        <v/>
      </c>
      <c r="IN21" s="123">
        <f>IF(OR(IN$4="",$B21=""),0,SUMIF('DADOS BRUTOS'!$A$3:$A$500,$B21,'DADOS BRUTOS'!FN$3:FN$500)+IF($C21="",0,SUMIF('DADOS BRUTOS'!$A$3:$A$500,$C21,'DADOS BRUTOS'!FN$3:FN$500)))</f>
        <v/>
      </c>
      <c r="IO21" s="123">
        <f>IF(OR(IO$4="",$B21=""),0,SUMIF('DADOS BRUTOS'!$A$3:$A$500,$B21,'DADOS BRUTOS'!FO$3:FO$500)+IF($C21="",0,SUMIF('DADOS BRUTOS'!$A$3:$A$500,$C21,'DADOS BRUTOS'!FO$3:FO$500)))</f>
        <v/>
      </c>
      <c r="IP21" s="123">
        <f>IF(OR(IP$4="",$B21=""),0,SUMIF('DADOS BRUTOS'!$A$3:$A$500,$B21,'DADOS BRUTOS'!FP$3:FP$500)+IF($C21="",0,SUMIF('DADOS BRUTOS'!$A$3:$A$500,$C21,'DADOS BRUTOS'!FP$3:FP$500)))</f>
        <v/>
      </c>
      <c r="IQ21" s="123">
        <f>IF(OR(IQ$4="",$B21=""),0,SUMIF('DADOS BRUTOS'!$A$3:$A$500,$B21,'DADOS BRUTOS'!FQ$3:FQ$500)+IF($C21="",0,SUMIF('DADOS BRUTOS'!$A$3:$A$500,$C21,'DADOS BRUTOS'!FQ$3:FQ$500)))</f>
        <v/>
      </c>
      <c r="IR21" s="123">
        <f>IF(OR(IR$4="",$B21=""),0,SUMIF('DADOS BRUTOS'!$A$3:$A$500,$B21,'DADOS BRUTOS'!FR$3:FR$500)+IF($C21="",0,SUMIF('DADOS BRUTOS'!$A$3:$A$500,$C21,'DADOS BRUTOS'!FR$3:FR$500)))</f>
        <v/>
      </c>
      <c r="IS21" s="123">
        <f>IF(OR(IS$4="",$B21=""),0,SUMIF('DADOS BRUTOS'!$A$3:$A$500,$B21,'DADOS BRUTOS'!FS$3:FS$500)+IF($C21="",0,SUMIF('DADOS BRUTOS'!$A$3:$A$500,$C21,'DADOS BRUTOS'!FS$3:FS$500)))</f>
        <v/>
      </c>
      <c r="IT21" s="123">
        <f>IF(OR(IT$4="",$B21=""),0,SUMIF('DADOS BRUTOS'!$A$3:$A$500,$B21,'DADOS BRUTOS'!FT$3:FT$500)+IF($C21="",0,SUMIF('DADOS BRUTOS'!$A$3:$A$500,$C21,'DADOS BRUTOS'!FT$3:FT$500)))</f>
        <v/>
      </c>
      <c r="IU21" s="123">
        <f>IF(OR(IU$4="",$B21=""),0,SUMIF('DADOS BRUTOS'!$A$3:$A$500,$B21,'DADOS BRUTOS'!FU$3:FU$500)+IF($C21="",0,SUMIF('DADOS BRUTOS'!$A$3:$A$500,$C21,'DADOS BRUTOS'!FU$3:FU$500)))</f>
        <v/>
      </c>
      <c r="IV21" s="123">
        <f>IF(OR(IV$4="",$B21=""),0,SUMIF('DADOS BRUTOS'!$A$3:$A$500,$B21,'DADOS BRUTOS'!FV$3:FV$500)+IF($C21="",0,SUMIF('DADOS BRUTOS'!$A$3:$A$500,$C21,'DADOS BRUTOS'!FV$3:FV$500)))</f>
        <v/>
      </c>
      <c r="IW21" s="123">
        <f>IF(OR(IW$4="",$B21=""),0,SUMIF('DADOS BRUTOS'!$A$3:$A$500,$B21,'DADOS BRUTOS'!FW$3:FW$500)+IF($C21="",0,SUMIF('DADOS BRUTOS'!$A$3:$A$500,$C21,'DADOS BRUTOS'!FW$3:FW$500)))</f>
        <v/>
      </c>
      <c r="IX21" s="123">
        <f>IF(OR(IX$4="",$B21=""),0,SUMIF('DADOS BRUTOS'!$A$3:$A$500,$B21,'DADOS BRUTOS'!FX$3:FX$500)+IF($C21="",0,SUMIF('DADOS BRUTOS'!$A$3:$A$500,$C21,'DADOS BRUTOS'!FX$3:FX$500)))</f>
        <v/>
      </c>
      <c r="IY21" s="123">
        <f>IF(OR(IY$4="",$B21=""),0,SUMIF('DADOS BRUTOS'!$A$3:$A$500,$B21,'DADOS BRUTOS'!FY$3:FY$500)+IF($C21="",0,SUMIF('DADOS BRUTOS'!$A$3:$A$500,$C21,'DADOS BRUTOS'!FY$3:FY$500)))</f>
        <v/>
      </c>
      <c r="IZ21" s="123">
        <f>IF(OR(IZ$4="",$B21=""),0,SUMIF('DADOS BRUTOS'!$A$3:$A$500,$B21,'DADOS BRUTOS'!FZ$3:FZ$500)+IF($C21="",0,SUMIF('DADOS BRUTOS'!$A$3:$A$500,$C21,'DADOS BRUTOS'!FZ$3:FZ$500)))</f>
        <v/>
      </c>
      <c r="JA21" s="123">
        <f>IF(OR(JA$4="",$B21=""),0,SUMIF('DADOS BRUTOS'!$A$3:$A$500,$B21,'DADOS BRUTOS'!GA$3:GA$500)+IF($C21="",0,SUMIF('DADOS BRUTOS'!$A$3:$A$500,$C21,'DADOS BRUTOS'!GA$3:GA$500)))</f>
        <v/>
      </c>
      <c r="JB21" s="123">
        <f>IF(OR(JB$4="",$B21=""),0,SUMIF('DADOS BRUTOS'!$A$3:$A$500,$B21,'DADOS BRUTOS'!GB$3:GB$500)+IF($C21="",0,SUMIF('DADOS BRUTOS'!$A$3:$A$500,$C21,'DADOS BRUTOS'!GB$3:GB$500)))</f>
        <v/>
      </c>
      <c r="JC21" s="123">
        <f>IF(OR(JC$4="",$B21=""),0,SUMIF('DADOS BRUTOS'!$A$3:$A$500,$B21,'DADOS BRUTOS'!GC$3:GC$500)+IF($C21="",0,SUMIF('DADOS BRUTOS'!$A$3:$A$500,$C21,'DADOS BRUTOS'!GC$3:GC$500)))</f>
        <v/>
      </c>
      <c r="JD21" s="123">
        <f>IF(OR(JD$4="",$B21=""),0,SUMIF('DADOS BRUTOS'!$A$3:$A$500,$B21,'DADOS BRUTOS'!GD$3:GD$500)+IF($C21="",0,SUMIF('DADOS BRUTOS'!$A$3:$A$500,$C21,'DADOS BRUTOS'!GD$3:GD$500)))</f>
        <v/>
      </c>
      <c r="JE21" s="123">
        <f>IF(OR(JE$4="",$B21=""),0,SUMIF('DADOS BRUTOS'!$A$3:$A$500,$B21,'DADOS BRUTOS'!GE$3:GE$500)+IF($C21="",0,SUMIF('DADOS BRUTOS'!$A$3:$A$500,$C21,'DADOS BRUTOS'!GE$3:GE$500)))</f>
        <v/>
      </c>
      <c r="JF21" s="123">
        <f>IF(OR(JF$4="",$B21=""),0,SUMIF('DADOS BRUTOS'!$A$3:$A$500,$B21,'DADOS BRUTOS'!GF$3:GF$500)+IF($C21="",0,SUMIF('DADOS BRUTOS'!$A$3:$A$500,$C21,'DADOS BRUTOS'!GF$3:GF$500)))</f>
        <v/>
      </c>
      <c r="JG21" s="123">
        <f>IF(OR(JG$4="",$B21=""),0,SUMIF('DADOS BRUTOS'!$A$3:$A$500,$B21,'DADOS BRUTOS'!GG$3:GG$500)+IF($C21="",0,SUMIF('DADOS BRUTOS'!$A$3:$A$500,$C21,'DADOS BRUTOS'!GG$3:GG$500)))</f>
        <v/>
      </c>
      <c r="JH21" s="123">
        <f>IF(OR(JH$4="",$B21=""),0,SUMIF('DADOS BRUTOS'!$A$3:$A$500,$B21,'DADOS BRUTOS'!GH$3:GH$500)+IF($C21="",0,SUMIF('DADOS BRUTOS'!$A$3:$A$500,$C21,'DADOS BRUTOS'!GH$3:GH$500)))</f>
        <v/>
      </c>
      <c r="JI21" s="123">
        <f>IF(OR(JI$4="",$B21=""),0,SUMIF('DADOS BRUTOS'!$A$3:$A$500,$B21,'DADOS BRUTOS'!GI$3:GI$500)+IF($C21="",0,SUMIF('DADOS BRUTOS'!$A$3:$A$500,$C21,'DADOS BRUTOS'!GI$3:GI$500)))</f>
        <v/>
      </c>
      <c r="JJ21" s="123">
        <f>IF(OR(JJ$4="",$B21=""),0,SUMIF('DADOS BRUTOS'!$A$3:$A$500,$B21,'DADOS BRUTOS'!GJ$3:GJ$500)+IF($C21="",0,SUMIF('DADOS BRUTOS'!$A$3:$A$500,$C21,'DADOS BRUTOS'!GJ$3:GJ$500)))</f>
        <v/>
      </c>
      <c r="JK21" s="123">
        <f>IF(OR(JK$4="",$B21=""),0,SUMIF('DADOS BRUTOS'!$A$3:$A$500,$B21,'DADOS BRUTOS'!GK$3:GK$500)+IF($C21="",0,SUMIF('DADOS BRUTOS'!$A$3:$A$500,$C21,'DADOS BRUTOS'!GK$3:GK$500)))</f>
        <v/>
      </c>
      <c r="JL21" s="123">
        <f>IF(OR(JL$4="",$B21=""),0,SUMIF('DADOS BRUTOS'!$A$3:$A$500,$B21,'DADOS BRUTOS'!GL$3:GL$500)+IF($C21="",0,SUMIF('DADOS BRUTOS'!$A$3:$A$500,$C21,'DADOS BRUTOS'!GL$3:GL$500)))</f>
        <v/>
      </c>
      <c r="JM21" s="123">
        <f>IF(OR(JM$4="",$B21=""),0,SUMIF('DADOS BRUTOS'!$A$3:$A$500,$B21,'DADOS BRUTOS'!GM$3:GM$500)+IF($C21="",0,SUMIF('DADOS BRUTOS'!$A$3:$A$500,$C21,'DADOS BRUTOS'!GM$3:GM$500)))</f>
        <v/>
      </c>
      <c r="JN21" s="123">
        <f>IF(OR(JN$4="",$B21=""),0,SUMIF('DADOS BRUTOS'!$A$3:$A$500,$B21,'DADOS BRUTOS'!GN$3:GN$500)+IF($C21="",0,SUMIF('DADOS BRUTOS'!$A$3:$A$500,$C21,'DADOS BRUTOS'!GN$3:GN$500)))</f>
        <v/>
      </c>
      <c r="JO21" s="123">
        <f>IF(OR(JO$4="",$B21=""),0,SUMIF('DADOS BRUTOS'!$A$3:$A$500,$B21,'DADOS BRUTOS'!GO$3:GO$500)+IF($C21="",0,SUMIF('DADOS BRUTOS'!$A$3:$A$500,$C21,'DADOS BRUTOS'!GO$3:GO$500)))</f>
        <v/>
      </c>
      <c r="JP21" s="123">
        <f>IF(OR(JP$4="",$B21=""),0,SUMIF('DADOS BRUTOS'!$A$3:$A$500,$B21,'DADOS BRUTOS'!GP$3:GP$500)+IF($C21="",0,SUMIF('DADOS BRUTOS'!$A$3:$A$500,$C21,'DADOS BRUTOS'!GP$3:GP$500)))</f>
        <v/>
      </c>
      <c r="JQ21" s="123">
        <f>IF(OR(JQ$4="",$B21=""),0,SUMIF('DADOS BRUTOS'!$A$3:$A$500,$B21,'DADOS BRUTOS'!GQ$3:GQ$500)+IF($C21="",0,SUMIF('DADOS BRUTOS'!$A$3:$A$500,$C21,'DADOS BRUTOS'!GQ$3:GQ$500)))</f>
        <v/>
      </c>
      <c r="JR21" s="123">
        <f>IF(OR(JR$4="",$B21=""),0,SUMIF('DADOS BRUTOS'!$A$3:$A$500,$B21,'DADOS BRUTOS'!GR$3:GR$500)+IF($C21="",0,SUMIF('DADOS BRUTOS'!$A$3:$A$500,$C21,'DADOS BRUTOS'!GR$3:GR$500)))</f>
        <v/>
      </c>
      <c r="JS21" s="123">
        <f>IF(OR(JS$4="",$B21=""),0,SUMIF('DADOS BRUTOS'!$A$3:$A$500,$B21,'DADOS BRUTOS'!GS$3:GS$500)+IF($C21="",0,SUMIF('DADOS BRUTOS'!$A$3:$A$500,$C21,'DADOS BRUTOS'!GS$3:GS$500)))</f>
        <v/>
      </c>
    </row>
    <row r="22">
      <c r="A22" s="61">
        <f>'VALOR POR PL'!D28</f>
        <v/>
      </c>
      <c r="B22" s="60" t="inlineStr">
        <is>
          <t>ALVENARIA</t>
        </is>
      </c>
      <c r="C22" s="60" t="n"/>
      <c r="D22" s="55">
        <f>SUMIF($CB$4:$JS$4,"&lt;="&amp;D$4,$CB22:$JS22)</f>
        <v/>
      </c>
      <c r="E22" s="55">
        <f>SUMIF($CB$4:$JS$4,E$4,$CB22:$JS22)</f>
        <v/>
      </c>
      <c r="F22" s="55">
        <f>SUMIF($CB$4:$JS$4,F$4,$CB22:$JS22)</f>
        <v/>
      </c>
      <c r="G22" s="55">
        <f>SUMIF($CB$4:$JS$4,G$4,$CB22:$JS22)</f>
        <v/>
      </c>
      <c r="H22" s="55">
        <f>SUMIF($CB$4:$JS$4,H$4,$CB22:$JS22)</f>
        <v/>
      </c>
      <c r="I22" s="55">
        <f>SUMIF($CB$4:$JS$4,I$4,$CB22:$JS22)</f>
        <v/>
      </c>
      <c r="J22" s="55">
        <f>SUMIF($CB$4:$JS$4,J$4,$CB22:$JS22)</f>
        <v/>
      </c>
      <c r="K22" s="55">
        <f>SUMIF($CB$4:$JS$4,K$4,$CB22:$JS22)</f>
        <v/>
      </c>
      <c r="L22" s="55">
        <f>SUMIF($CB$4:$JS$4,L$4,$CB22:$JS22)</f>
        <v/>
      </c>
      <c r="M22" s="55">
        <f>SUMIF($CB$4:$JS$4,M$4,$CB22:$JS22)</f>
        <v/>
      </c>
      <c r="N22" s="55">
        <f>SUMIF($CB$4:$JS$4,N$4,$CB22:$JS22)</f>
        <v/>
      </c>
      <c r="O22" s="55">
        <f>SUMIF($CB$4:$JS$4,O$4,$CB22:$JS22)</f>
        <v/>
      </c>
      <c r="P22" s="55">
        <f>SUMIF($CB$4:$JS$4,P$4,$CB22:$JS22)</f>
        <v/>
      </c>
      <c r="Q22" s="55">
        <f>SUMIF($CB$4:$JS$4,Q$4,$CB22:$JS22)</f>
        <v/>
      </c>
      <c r="R22" s="55">
        <f>SUMIF($CB$4:$JS$4,R$4,$CB22:$JS22)</f>
        <v/>
      </c>
      <c r="S22" s="55">
        <f>SUMIF($CB$4:$JS$4,S$4,$CB22:$JS22)</f>
        <v/>
      </c>
      <c r="T22" s="55">
        <f>SUMIF($CB$4:$JS$4,T$4,$CB22:$JS22)</f>
        <v/>
      </c>
      <c r="U22" s="55">
        <f>SUMIF($CB$4:$JS$4,U$4,$CB22:$JS22)</f>
        <v/>
      </c>
      <c r="V22" s="55">
        <f>SUMIF($CB$4:$JS$4,V$4,$CB22:$JS22)</f>
        <v/>
      </c>
      <c r="W22" s="55">
        <f>SUMIF($CB$4:$JS$4,W$4,$CB22:$JS22)</f>
        <v/>
      </c>
      <c r="X22" s="55">
        <f>SUMIF($CB$4:$JS$4,X$4,$CB22:$JS22)</f>
        <v/>
      </c>
      <c r="Y22" s="55">
        <f>SUMIF($CB$4:$JS$4,Y$4,$CB22:$JS22)</f>
        <v/>
      </c>
      <c r="Z22" s="55">
        <f>SUMIF($CB$4:$JS$4,Z$4,$CB22:$JS22)</f>
        <v/>
      </c>
      <c r="AA22" s="55">
        <f>SUMIF($CB$4:$JS$4,AA$4,$CB22:$JS22)</f>
        <v/>
      </c>
      <c r="AB22" s="55">
        <f>SUMIF($CB$4:$JS$4,AB$4,$CB22:$JS22)</f>
        <v/>
      </c>
      <c r="AC22" s="55">
        <f>SUMIF($CB$4:$JS$4,AC$4,$CB22:$JS22)</f>
        <v/>
      </c>
      <c r="AD22" s="55">
        <f>SUMIF($CB$4:$JS$4,AD$4,$CB22:$JS22)</f>
        <v/>
      </c>
      <c r="AE22" s="55">
        <f>SUMIF($CB$4:$JS$4,AE$4,$CB22:$JS22)</f>
        <v/>
      </c>
      <c r="AF22" s="55">
        <f>SUMIF($CB$4:$JS$4,AF$4,$CB22:$JS22)</f>
        <v/>
      </c>
      <c r="AG22" s="55">
        <f>SUMIF($CB$4:$JS$4,AG$4,$CB22:$JS22)</f>
        <v/>
      </c>
      <c r="AH22" s="55">
        <f>SUMIF($CB$4:$JS$4,AH$4,$CB22:$JS22)</f>
        <v/>
      </c>
      <c r="AI22" s="55">
        <f>SUMIF($CB$4:$JS$4,AI$4,$CB22:$JS22)</f>
        <v/>
      </c>
      <c r="AJ22" s="55">
        <f>SUMIF($CB$4:$JS$4,AJ$4,$CB22:$JS22)</f>
        <v/>
      </c>
      <c r="AK22" s="55">
        <f>SUMIF($CB$4:$JS$4,AK$4,$CB22:$JS22)</f>
        <v/>
      </c>
      <c r="AL22" s="55">
        <f>SUMIF($CB$4:$JS$4,AL$4,$CB22:$JS22)</f>
        <v/>
      </c>
      <c r="AM22" s="55">
        <f>SUMIF($CB$4:$JS$4,AM$4,$CB22:$JS22)</f>
        <v/>
      </c>
      <c r="AN22" s="55">
        <f>SUMIF($CB$4:$JS$4,AN$4,$CB22:$JS22)</f>
        <v/>
      </c>
      <c r="AO22" s="55">
        <f>SUMIF($CB$4:$JS$4,AO$4,$CB22:$JS22)</f>
        <v/>
      </c>
      <c r="AP22" s="55">
        <f>SUMIF($CB$4:$JS$4,AP$4,$CB22:$JS22)</f>
        <v/>
      </c>
      <c r="AQ22" s="55">
        <f>SUMIF($CB$4:$JS$4,AQ$4,$CB22:$JS22)</f>
        <v/>
      </c>
      <c r="AR22" s="55">
        <f>SUMIF($CB$4:$JS$4,AR$4,$CB22:$JS22)</f>
        <v/>
      </c>
      <c r="AS22" s="55">
        <f>SUMIF($CB$4:$JS$4,AS$4,$CB22:$JS22)</f>
        <v/>
      </c>
      <c r="AT22" s="55">
        <f>SUMIF($CB$4:$JS$4,AT$4,$CB22:$JS22)</f>
        <v/>
      </c>
      <c r="AU22" s="55">
        <f>SUMIF($CB$4:$JS$4,AU$4,$CB22:$JS22)</f>
        <v/>
      </c>
      <c r="AV22" s="55">
        <f>SUMIF($CB$4:$JS$4,AV$4,$CB22:$JS22)</f>
        <v/>
      </c>
      <c r="AW22" s="55">
        <f>SUMIF($CB$4:$JS$4,AW$4,$CB22:$JS22)</f>
        <v/>
      </c>
      <c r="AX22" s="55">
        <f>SUMIF($CB$4:$JS$4,AX$4,$CB22:$JS22)</f>
        <v/>
      </c>
      <c r="AY22" s="55">
        <f>SUMIF($CB$4:$JS$4,AY$4,$CB22:$JS22)</f>
        <v/>
      </c>
      <c r="AZ22" s="55">
        <f>SUMIF($CB$4:$JS$4,AZ$4,$CB22:$JS22)</f>
        <v/>
      </c>
      <c r="BA22" s="55">
        <f>SUMIF($CB$4:$JS$4,BA$4,$CB22:$JS22)</f>
        <v/>
      </c>
      <c r="BB22" s="55">
        <f>SUMIF($CB$4:$JS$4,BB$4,$CB22:$JS22)</f>
        <v/>
      </c>
      <c r="BC22" s="55">
        <f>SUMIF($CB$4:$JS$4,BC$4,$CB22:$JS22)</f>
        <v/>
      </c>
      <c r="BD22" s="55">
        <f>SUMIF($CB$4:$JS$4,BD$4,$CB22:$JS22)</f>
        <v/>
      </c>
      <c r="BE22" s="55">
        <f>SUMIF($CB$4:$JS$4,BE$4,$CB22:$JS22)</f>
        <v/>
      </c>
      <c r="BF22" s="55">
        <f>SUMIF($CB$4:$JS$4,BF$4,$CB22:$JS22)</f>
        <v/>
      </c>
      <c r="BG22" s="55">
        <f>SUMIF($CB$4:$JS$4,BG$4,$CB22:$JS22)</f>
        <v/>
      </c>
      <c r="BH22" s="55">
        <f>SUMIF($CB$4:$JS$4,BH$4,$CB22:$JS22)</f>
        <v/>
      </c>
      <c r="BI22" s="55">
        <f>SUMIF($CB$4:$JS$4,BI$4,$CB22:$JS22)</f>
        <v/>
      </c>
      <c r="BJ22" s="55">
        <f>SUMIF($CB$4:$JS$4,BJ$4,$CB22:$JS22)</f>
        <v/>
      </c>
      <c r="BK22" s="55">
        <f>SUMIF($CB$4:$JS$4,BK$4,$CB22:$JS22)</f>
        <v/>
      </c>
      <c r="BL22" s="55">
        <f>SUMIF($CB$4:$JS$4,BL$4,$CB22:$JS22)</f>
        <v/>
      </c>
      <c r="BM22" s="55">
        <f>SUMIF($CB$4:$JS$4,BM$4,$CB22:$JS22)</f>
        <v/>
      </c>
      <c r="BN22" s="55">
        <f>SUMIF($CB$4:$JS$4,BN$4,$CB22:$JS22)</f>
        <v/>
      </c>
      <c r="BO22" s="55">
        <f>SUMIF($CB$4:$JS$4,BO$4,$CB22:$JS22)</f>
        <v/>
      </c>
      <c r="BP22" s="55">
        <f>SUMIF($CB$4:$JS$4,BP$4,$CB22:$JS22)</f>
        <v/>
      </c>
      <c r="BQ22" s="55">
        <f>SUMIF($CB$4:$JS$4,BQ$4,$CB22:$JS22)</f>
        <v/>
      </c>
      <c r="BR22" s="55">
        <f>SUMIF($CB$4:$JS$4,BR$4,$CB22:$JS22)</f>
        <v/>
      </c>
      <c r="BS22" s="55">
        <f>SUMIF($CB$4:$JS$4,BS$4,$CB22:$JS22)</f>
        <v/>
      </c>
      <c r="BT22" s="55">
        <f>SUMIF($CB$4:$JS$4,BT$4,$CB22:$JS22)</f>
        <v/>
      </c>
      <c r="BU22" s="55">
        <f>SUMIF($CB$4:$JS$4,BU$4,$CB22:$JS22)</f>
        <v/>
      </c>
      <c r="BV22" s="55">
        <f>SUMIF($CB$4:$JS$4,BV$4,$CB22:$JS22)</f>
        <v/>
      </c>
      <c r="BW22" s="55">
        <f>SUMIF($CB$4:$JS$4,BW$4,$CB22:$JS22)</f>
        <v/>
      </c>
      <c r="BX22" s="55">
        <f>SUMIF($CB$4:$JS$4,"&gt;"&amp;'VALOR POR PL'!$P$8,$CB22:$JS22)</f>
        <v/>
      </c>
      <c r="BY22" s="55">
        <f>SUM($CB22:$JS22)</f>
        <v/>
      </c>
      <c r="CB22" s="123">
        <f>IF(OR(CB$4="",$B22=""),0,SUMIF('DADOS BRUTOS'!$A$3:$A$500,$B22,'DADOS BRUTOS'!B$3:B$500)+IF($C22="",0,SUMIF('DADOS BRUTOS'!$A$3:$A$500,$C22,'DADOS BRUTOS'!B$3:B$500)))</f>
        <v/>
      </c>
      <c r="CC22" s="123">
        <f>IF(OR(CC$4="",$B22=""),0,SUMIF('DADOS BRUTOS'!$A$3:$A$500,$B22,'DADOS BRUTOS'!C$3:C$500)+IF($C22="",0,SUMIF('DADOS BRUTOS'!$A$3:$A$500,$C22,'DADOS BRUTOS'!C$3:C$500)))</f>
        <v/>
      </c>
      <c r="CD22" s="123">
        <f>IF(OR(CD$4="",$B22=""),0,SUMIF('DADOS BRUTOS'!$A$3:$A$500,$B22,'DADOS BRUTOS'!D$3:D$500)+IF($C22="",0,SUMIF('DADOS BRUTOS'!$A$3:$A$500,$C22,'DADOS BRUTOS'!D$3:D$500)))</f>
        <v/>
      </c>
      <c r="CE22" s="123">
        <f>IF(OR(CE$4="",$B22=""),0,SUMIF('DADOS BRUTOS'!$A$3:$A$500,$B22,'DADOS BRUTOS'!E$3:E$500)+IF($C22="",0,SUMIF('DADOS BRUTOS'!$A$3:$A$500,$C22,'DADOS BRUTOS'!E$3:E$500)))</f>
        <v/>
      </c>
      <c r="CF22" s="123">
        <f>IF(OR(CF$4="",$B22=""),0,SUMIF('DADOS BRUTOS'!$A$3:$A$500,$B22,'DADOS BRUTOS'!F$3:F$500)+IF($C22="",0,SUMIF('DADOS BRUTOS'!$A$3:$A$500,$C22,'DADOS BRUTOS'!F$3:F$500)))</f>
        <v/>
      </c>
      <c r="CG22" s="123">
        <f>IF(OR(CG$4="",$B22=""),0,SUMIF('DADOS BRUTOS'!$A$3:$A$500,$B22,'DADOS BRUTOS'!G$3:G$500)+IF($C22="",0,SUMIF('DADOS BRUTOS'!$A$3:$A$500,$C22,'DADOS BRUTOS'!G$3:G$500)))</f>
        <v/>
      </c>
      <c r="CH22" s="123">
        <f>IF(OR(CH$4="",$B22=""),0,SUMIF('DADOS BRUTOS'!$A$3:$A$500,$B22,'DADOS BRUTOS'!H$3:H$500)+IF($C22="",0,SUMIF('DADOS BRUTOS'!$A$3:$A$500,$C22,'DADOS BRUTOS'!H$3:H$500)))</f>
        <v/>
      </c>
      <c r="CI22" s="123">
        <f>IF(OR(CI$4="",$B22=""),0,SUMIF('DADOS BRUTOS'!$A$3:$A$500,$B22,'DADOS BRUTOS'!I$3:I$500)+IF($C22="",0,SUMIF('DADOS BRUTOS'!$A$3:$A$500,$C22,'DADOS BRUTOS'!I$3:I$500)))</f>
        <v/>
      </c>
      <c r="CJ22" s="123">
        <f>IF(OR(CJ$4="",$B22=""),0,SUMIF('DADOS BRUTOS'!$A$3:$A$500,$B22,'DADOS BRUTOS'!J$3:J$500)+IF($C22="",0,SUMIF('DADOS BRUTOS'!$A$3:$A$500,$C22,'DADOS BRUTOS'!J$3:J$500)))</f>
        <v/>
      </c>
      <c r="CK22" s="123">
        <f>IF(OR(CK$4="",$B22=""),0,SUMIF('DADOS BRUTOS'!$A$3:$A$500,$B22,'DADOS BRUTOS'!K$3:K$500)+IF($C22="",0,SUMIF('DADOS BRUTOS'!$A$3:$A$500,$C22,'DADOS BRUTOS'!K$3:K$500)))</f>
        <v/>
      </c>
      <c r="CL22" s="123">
        <f>IF(OR(CL$4="",$B22=""),0,SUMIF('DADOS BRUTOS'!$A$3:$A$500,$B22,'DADOS BRUTOS'!L$3:L$500)+IF($C22="",0,SUMIF('DADOS BRUTOS'!$A$3:$A$500,$C22,'DADOS BRUTOS'!L$3:L$500)))</f>
        <v/>
      </c>
      <c r="CM22" s="123">
        <f>IF(OR(CM$4="",$B22=""),0,SUMIF('DADOS BRUTOS'!$A$3:$A$500,$B22,'DADOS BRUTOS'!M$3:M$500)+IF($C22="",0,SUMIF('DADOS BRUTOS'!$A$3:$A$500,$C22,'DADOS BRUTOS'!M$3:M$500)))</f>
        <v/>
      </c>
      <c r="CN22" s="123">
        <f>IF(OR(CN$4="",$B22=""),0,SUMIF('DADOS BRUTOS'!$A$3:$A$500,$B22,'DADOS BRUTOS'!N$3:N$500)+IF($C22="",0,SUMIF('DADOS BRUTOS'!$A$3:$A$500,$C22,'DADOS BRUTOS'!N$3:N$500)))</f>
        <v/>
      </c>
      <c r="CO22" s="123">
        <f>IF(OR(CO$4="",$B22=""),0,SUMIF('DADOS BRUTOS'!$A$3:$A$500,$B22,'DADOS BRUTOS'!O$3:O$500)+IF($C22="",0,SUMIF('DADOS BRUTOS'!$A$3:$A$500,$C22,'DADOS BRUTOS'!O$3:O$500)))</f>
        <v/>
      </c>
      <c r="CP22" s="123">
        <f>IF(OR(CP$4="",$B22=""),0,SUMIF('DADOS BRUTOS'!$A$3:$A$500,$B22,'DADOS BRUTOS'!P$3:P$500)+IF($C22="",0,SUMIF('DADOS BRUTOS'!$A$3:$A$500,$C22,'DADOS BRUTOS'!P$3:P$500)))</f>
        <v/>
      </c>
      <c r="CQ22" s="123">
        <f>IF(OR(CQ$4="",$B22=""),0,SUMIF('DADOS BRUTOS'!$A$3:$A$500,$B22,'DADOS BRUTOS'!Q$3:Q$500)+IF($C22="",0,SUMIF('DADOS BRUTOS'!$A$3:$A$500,$C22,'DADOS BRUTOS'!Q$3:Q$500)))</f>
        <v/>
      </c>
      <c r="CR22" s="123">
        <f>IF(OR(CR$4="",$B22=""),0,SUMIF('DADOS BRUTOS'!$A$3:$A$500,$B22,'DADOS BRUTOS'!R$3:R$500)+IF($C22="",0,SUMIF('DADOS BRUTOS'!$A$3:$A$500,$C22,'DADOS BRUTOS'!R$3:R$500)))</f>
        <v/>
      </c>
      <c r="CS22" s="123">
        <f>IF(OR(CS$4="",$B22=""),0,SUMIF('DADOS BRUTOS'!$A$3:$A$500,$B22,'DADOS BRUTOS'!S$3:S$500)+IF($C22="",0,SUMIF('DADOS BRUTOS'!$A$3:$A$500,$C22,'DADOS BRUTOS'!S$3:S$500)))</f>
        <v/>
      </c>
      <c r="CT22" s="123">
        <f>IF(OR(CT$4="",$B22=""),0,SUMIF('DADOS BRUTOS'!$A$3:$A$500,$B22,'DADOS BRUTOS'!T$3:T$500)+IF($C22="",0,SUMIF('DADOS BRUTOS'!$A$3:$A$500,$C22,'DADOS BRUTOS'!T$3:T$500)))</f>
        <v/>
      </c>
      <c r="CU22" s="123">
        <f>IF(OR(CU$4="",$B22=""),0,SUMIF('DADOS BRUTOS'!$A$3:$A$500,$B22,'DADOS BRUTOS'!U$3:U$500)+IF($C22="",0,SUMIF('DADOS BRUTOS'!$A$3:$A$500,$C22,'DADOS BRUTOS'!U$3:U$500)))</f>
        <v/>
      </c>
      <c r="CV22" s="123">
        <f>IF(OR(CV$4="",$B22=""),0,SUMIF('DADOS BRUTOS'!$A$3:$A$500,$B22,'DADOS BRUTOS'!V$3:V$500)+IF($C22="",0,SUMIF('DADOS BRUTOS'!$A$3:$A$500,$C22,'DADOS BRUTOS'!V$3:V$500)))</f>
        <v/>
      </c>
      <c r="CW22" s="123">
        <f>IF(OR(CW$4="",$B22=""),0,SUMIF('DADOS BRUTOS'!$A$3:$A$500,$B22,'DADOS BRUTOS'!W$3:W$500)+IF($C22="",0,SUMIF('DADOS BRUTOS'!$A$3:$A$500,$C22,'DADOS BRUTOS'!W$3:W$500)))</f>
        <v/>
      </c>
      <c r="CX22" s="123">
        <f>IF(OR(CX$4="",$B22=""),0,SUMIF('DADOS BRUTOS'!$A$3:$A$500,$B22,'DADOS BRUTOS'!X$3:X$500)+IF($C22="",0,SUMIF('DADOS BRUTOS'!$A$3:$A$500,$C22,'DADOS BRUTOS'!X$3:X$500)))</f>
        <v/>
      </c>
      <c r="CY22" s="123">
        <f>IF(OR(CY$4="",$B22=""),0,SUMIF('DADOS BRUTOS'!$A$3:$A$500,$B22,'DADOS BRUTOS'!Y$3:Y$500)+IF($C22="",0,SUMIF('DADOS BRUTOS'!$A$3:$A$500,$C22,'DADOS BRUTOS'!Y$3:Y$500)))</f>
        <v/>
      </c>
      <c r="CZ22" s="123">
        <f>IF(OR(CZ$4="",$B22=""),0,SUMIF('DADOS BRUTOS'!$A$3:$A$500,$B22,'DADOS BRUTOS'!Z$3:Z$500)+IF($C22="",0,SUMIF('DADOS BRUTOS'!$A$3:$A$500,$C22,'DADOS BRUTOS'!Z$3:Z$500)))</f>
        <v/>
      </c>
      <c r="DA22" s="123">
        <f>IF(OR(DA$4="",$B22=""),0,SUMIF('DADOS BRUTOS'!$A$3:$A$500,$B22,'DADOS BRUTOS'!AA$3:AA$500)+IF($C22="",0,SUMIF('DADOS BRUTOS'!$A$3:$A$500,$C22,'DADOS BRUTOS'!AA$3:AA$500)))</f>
        <v/>
      </c>
      <c r="DB22" s="123">
        <f>IF(OR(DB$4="",$B22=""),0,SUMIF('DADOS BRUTOS'!$A$3:$A$500,$B22,'DADOS BRUTOS'!AB$3:AB$500)+IF($C22="",0,SUMIF('DADOS BRUTOS'!$A$3:$A$500,$C22,'DADOS BRUTOS'!AB$3:AB$500)))</f>
        <v/>
      </c>
      <c r="DC22" s="123">
        <f>IF(OR(DC$4="",$B22=""),0,SUMIF('DADOS BRUTOS'!$A$3:$A$500,$B22,'DADOS BRUTOS'!AC$3:AC$500)+IF($C22="",0,SUMIF('DADOS BRUTOS'!$A$3:$A$500,$C22,'DADOS BRUTOS'!AC$3:AC$500)))</f>
        <v/>
      </c>
      <c r="DD22" s="123">
        <f>IF(OR(DD$4="",$B22=""),0,SUMIF('DADOS BRUTOS'!$A$3:$A$500,$B22,'DADOS BRUTOS'!AD$3:AD$500)+IF($C22="",0,SUMIF('DADOS BRUTOS'!$A$3:$A$500,$C22,'DADOS BRUTOS'!AD$3:AD$500)))</f>
        <v/>
      </c>
      <c r="DE22" s="123">
        <f>IF(OR(DE$4="",$B22=""),0,SUMIF('DADOS BRUTOS'!$A$3:$A$500,$B22,'DADOS BRUTOS'!AE$3:AE$500)+IF($C22="",0,SUMIF('DADOS BRUTOS'!$A$3:$A$500,$C22,'DADOS BRUTOS'!AE$3:AE$500)))</f>
        <v/>
      </c>
      <c r="DF22" s="123">
        <f>IF(OR(DF$4="",$B22=""),0,SUMIF('DADOS BRUTOS'!$A$3:$A$500,$B22,'DADOS BRUTOS'!AF$3:AF$500)+IF($C22="",0,SUMIF('DADOS BRUTOS'!$A$3:$A$500,$C22,'DADOS BRUTOS'!AF$3:AF$500)))</f>
        <v/>
      </c>
      <c r="DG22" s="123">
        <f>IF(OR(DG$4="",$B22=""),0,SUMIF('DADOS BRUTOS'!$A$3:$A$500,$B22,'DADOS BRUTOS'!AG$3:AG$500)+IF($C22="",0,SUMIF('DADOS BRUTOS'!$A$3:$A$500,$C22,'DADOS BRUTOS'!AG$3:AG$500)))</f>
        <v/>
      </c>
      <c r="DH22" s="123">
        <f>IF(OR(DH$4="",$B22=""),0,SUMIF('DADOS BRUTOS'!$A$3:$A$500,$B22,'DADOS BRUTOS'!AH$3:AH$500)+IF($C22="",0,SUMIF('DADOS BRUTOS'!$A$3:$A$500,$C22,'DADOS BRUTOS'!AH$3:AH$500)))</f>
        <v/>
      </c>
      <c r="DI22" s="123">
        <f>IF(OR(DI$4="",$B22=""),0,SUMIF('DADOS BRUTOS'!$A$3:$A$500,$B22,'DADOS BRUTOS'!AI$3:AI$500)+IF($C22="",0,SUMIF('DADOS BRUTOS'!$A$3:$A$500,$C22,'DADOS BRUTOS'!AI$3:AI$500)))</f>
        <v/>
      </c>
      <c r="DJ22" s="123">
        <f>IF(OR(DJ$4="",$B22=""),0,SUMIF('DADOS BRUTOS'!$A$3:$A$500,$B22,'DADOS BRUTOS'!AJ$3:AJ$500)+IF($C22="",0,SUMIF('DADOS BRUTOS'!$A$3:$A$500,$C22,'DADOS BRUTOS'!AJ$3:AJ$500)))</f>
        <v/>
      </c>
      <c r="DK22" s="123">
        <f>IF(OR(DK$4="",$B22=""),0,SUMIF('DADOS BRUTOS'!$A$3:$A$500,$B22,'DADOS BRUTOS'!AK$3:AK$500)+IF($C22="",0,SUMIF('DADOS BRUTOS'!$A$3:$A$500,$C22,'DADOS BRUTOS'!AK$3:AK$500)))</f>
        <v/>
      </c>
      <c r="DL22" s="123">
        <f>IF(OR(DL$4="",$B22=""),0,SUMIF('DADOS BRUTOS'!$A$3:$A$500,$B22,'DADOS BRUTOS'!AL$3:AL$500)+IF($C22="",0,SUMIF('DADOS BRUTOS'!$A$3:$A$500,$C22,'DADOS BRUTOS'!AL$3:AL$500)))</f>
        <v/>
      </c>
      <c r="DM22" s="123">
        <f>IF(OR(DM$4="",$B22=""),0,SUMIF('DADOS BRUTOS'!$A$3:$A$500,$B22,'DADOS BRUTOS'!AM$3:AM$500)+IF($C22="",0,SUMIF('DADOS BRUTOS'!$A$3:$A$500,$C22,'DADOS BRUTOS'!AM$3:AM$500)))</f>
        <v/>
      </c>
      <c r="DN22" s="123">
        <f>IF(OR(DN$4="",$B22=""),0,SUMIF('DADOS BRUTOS'!$A$3:$A$500,$B22,'DADOS BRUTOS'!AN$3:AN$500)+IF($C22="",0,SUMIF('DADOS BRUTOS'!$A$3:$A$500,$C22,'DADOS BRUTOS'!AN$3:AN$500)))</f>
        <v/>
      </c>
      <c r="DO22" s="123">
        <f>IF(OR(DO$4="",$B22=""),0,SUMIF('DADOS BRUTOS'!$A$3:$A$500,$B22,'DADOS BRUTOS'!AO$3:AO$500)+IF($C22="",0,SUMIF('DADOS BRUTOS'!$A$3:$A$500,$C22,'DADOS BRUTOS'!AO$3:AO$500)))</f>
        <v/>
      </c>
      <c r="DP22" s="123">
        <f>IF(OR(DP$4="",$B22=""),0,SUMIF('DADOS BRUTOS'!$A$3:$A$500,$B22,'DADOS BRUTOS'!AP$3:AP$500)+IF($C22="",0,SUMIF('DADOS BRUTOS'!$A$3:$A$500,$C22,'DADOS BRUTOS'!AP$3:AP$500)))</f>
        <v/>
      </c>
      <c r="DQ22" s="123">
        <f>IF(OR(DQ$4="",$B22=""),0,SUMIF('DADOS BRUTOS'!$A$3:$A$500,$B22,'DADOS BRUTOS'!AQ$3:AQ$500)+IF($C22="",0,SUMIF('DADOS BRUTOS'!$A$3:$A$500,$C22,'DADOS BRUTOS'!AQ$3:AQ$500)))</f>
        <v/>
      </c>
      <c r="DR22" s="123">
        <f>IF(OR(DR$4="",$B22=""),0,SUMIF('DADOS BRUTOS'!$A$3:$A$500,$B22,'DADOS BRUTOS'!AR$3:AR$500)+IF($C22="",0,SUMIF('DADOS BRUTOS'!$A$3:$A$500,$C22,'DADOS BRUTOS'!AR$3:AR$500)))</f>
        <v/>
      </c>
      <c r="DS22" s="123">
        <f>IF(OR(DS$4="",$B22=""),0,SUMIF('DADOS BRUTOS'!$A$3:$A$500,$B22,'DADOS BRUTOS'!AS$3:AS$500)+IF($C22="",0,SUMIF('DADOS BRUTOS'!$A$3:$A$500,$C22,'DADOS BRUTOS'!AS$3:AS$500)))</f>
        <v/>
      </c>
      <c r="DT22" s="123">
        <f>IF(OR(DT$4="",$B22=""),0,SUMIF('DADOS BRUTOS'!$A$3:$A$500,$B22,'DADOS BRUTOS'!AT$3:AT$500)+IF($C22="",0,SUMIF('DADOS BRUTOS'!$A$3:$A$500,$C22,'DADOS BRUTOS'!AT$3:AT$500)))</f>
        <v/>
      </c>
      <c r="DU22" s="123">
        <f>IF(OR(DU$4="",$B22=""),0,SUMIF('DADOS BRUTOS'!$A$3:$A$500,$B22,'DADOS BRUTOS'!AU$3:AU$500)+IF($C22="",0,SUMIF('DADOS BRUTOS'!$A$3:$A$500,$C22,'DADOS BRUTOS'!AU$3:AU$500)))</f>
        <v/>
      </c>
      <c r="DV22" s="123">
        <f>IF(OR(DV$4="",$B22=""),0,SUMIF('DADOS BRUTOS'!$A$3:$A$500,$B22,'DADOS BRUTOS'!AV$3:AV$500)+IF($C22="",0,SUMIF('DADOS BRUTOS'!$A$3:$A$500,$C22,'DADOS BRUTOS'!AV$3:AV$500)))</f>
        <v/>
      </c>
      <c r="DW22" s="123">
        <f>IF(OR(DW$4="",$B22=""),0,SUMIF('DADOS BRUTOS'!$A$3:$A$500,$B22,'DADOS BRUTOS'!AW$3:AW$500)+IF($C22="",0,SUMIF('DADOS BRUTOS'!$A$3:$A$500,$C22,'DADOS BRUTOS'!AW$3:AW$500)))</f>
        <v/>
      </c>
      <c r="DX22" s="123">
        <f>IF(OR(DX$4="",$B22=""),0,SUMIF('DADOS BRUTOS'!$A$3:$A$500,$B22,'DADOS BRUTOS'!AX$3:AX$500)+IF($C22="",0,SUMIF('DADOS BRUTOS'!$A$3:$A$500,$C22,'DADOS BRUTOS'!AX$3:AX$500)))</f>
        <v/>
      </c>
      <c r="DY22" s="123">
        <f>IF(OR(DY$4="",$B22=""),0,SUMIF('DADOS BRUTOS'!$A$3:$A$500,$B22,'DADOS BRUTOS'!AY$3:AY$500)+IF($C22="",0,SUMIF('DADOS BRUTOS'!$A$3:$A$500,$C22,'DADOS BRUTOS'!AY$3:AY$500)))</f>
        <v/>
      </c>
      <c r="DZ22" s="123">
        <f>IF(OR(DZ$4="",$B22=""),0,SUMIF('DADOS BRUTOS'!$A$3:$A$500,$B22,'DADOS BRUTOS'!AZ$3:AZ$500)+IF($C22="",0,SUMIF('DADOS BRUTOS'!$A$3:$A$500,$C22,'DADOS BRUTOS'!AZ$3:AZ$500)))</f>
        <v/>
      </c>
      <c r="EA22" s="123">
        <f>IF(OR(EA$4="",$B22=""),0,SUMIF('DADOS BRUTOS'!$A$3:$A$500,$B22,'DADOS BRUTOS'!BA$3:BA$500)+IF($C22="",0,SUMIF('DADOS BRUTOS'!$A$3:$A$500,$C22,'DADOS BRUTOS'!BA$3:BA$500)))</f>
        <v/>
      </c>
      <c r="EB22" s="123">
        <f>IF(OR(EB$4="",$B22=""),0,SUMIF('DADOS BRUTOS'!$A$3:$A$500,$B22,'DADOS BRUTOS'!BB$3:BB$500)+IF($C22="",0,SUMIF('DADOS BRUTOS'!$A$3:$A$500,$C22,'DADOS BRUTOS'!BB$3:BB$500)))</f>
        <v/>
      </c>
      <c r="EC22" s="123">
        <f>IF(OR(EC$4="",$B22=""),0,SUMIF('DADOS BRUTOS'!$A$3:$A$500,$B22,'DADOS BRUTOS'!BC$3:BC$500)+IF($C22="",0,SUMIF('DADOS BRUTOS'!$A$3:$A$500,$C22,'DADOS BRUTOS'!BC$3:BC$500)))</f>
        <v/>
      </c>
      <c r="ED22" s="123">
        <f>IF(OR(ED$4="",$B22=""),0,SUMIF('DADOS BRUTOS'!$A$3:$A$500,$B22,'DADOS BRUTOS'!BD$3:BD$500)+IF($C22="",0,SUMIF('DADOS BRUTOS'!$A$3:$A$500,$C22,'DADOS BRUTOS'!BD$3:BD$500)))</f>
        <v/>
      </c>
      <c r="EE22" s="123">
        <f>IF(OR(EE$4="",$B22=""),0,SUMIF('DADOS BRUTOS'!$A$3:$A$500,$B22,'DADOS BRUTOS'!BE$3:BE$500)+IF($C22="",0,SUMIF('DADOS BRUTOS'!$A$3:$A$500,$C22,'DADOS BRUTOS'!BE$3:BE$500)))</f>
        <v/>
      </c>
      <c r="EF22" s="123">
        <f>IF(OR(EF$4="",$B22=""),0,SUMIF('DADOS BRUTOS'!$A$3:$A$500,$B22,'DADOS BRUTOS'!BF$3:BF$500)+IF($C22="",0,SUMIF('DADOS BRUTOS'!$A$3:$A$500,$C22,'DADOS BRUTOS'!BF$3:BF$500)))</f>
        <v/>
      </c>
      <c r="EG22" s="123">
        <f>IF(OR(EG$4="",$B22=""),0,SUMIF('DADOS BRUTOS'!$A$3:$A$500,$B22,'DADOS BRUTOS'!BG$3:BG$500)+IF($C22="",0,SUMIF('DADOS BRUTOS'!$A$3:$A$500,$C22,'DADOS BRUTOS'!BG$3:BG$500)))</f>
        <v/>
      </c>
      <c r="EH22" s="123">
        <f>IF(OR(EH$4="",$B22=""),0,SUMIF('DADOS BRUTOS'!$A$3:$A$500,$B22,'DADOS BRUTOS'!BH$3:BH$500)+IF($C22="",0,SUMIF('DADOS BRUTOS'!$A$3:$A$500,$C22,'DADOS BRUTOS'!BH$3:BH$500)))</f>
        <v/>
      </c>
      <c r="EI22" s="123">
        <f>IF(OR(EI$4="",$B22=""),0,SUMIF('DADOS BRUTOS'!$A$3:$A$500,$B22,'DADOS BRUTOS'!BI$3:BI$500)+IF($C22="",0,SUMIF('DADOS BRUTOS'!$A$3:$A$500,$C22,'DADOS BRUTOS'!BI$3:BI$500)))</f>
        <v/>
      </c>
      <c r="EJ22" s="123">
        <f>IF(OR(EJ$4="",$B22=""),0,SUMIF('DADOS BRUTOS'!$A$3:$A$500,$B22,'DADOS BRUTOS'!BJ$3:BJ$500)+IF($C22="",0,SUMIF('DADOS BRUTOS'!$A$3:$A$500,$C22,'DADOS BRUTOS'!BJ$3:BJ$500)))</f>
        <v/>
      </c>
      <c r="EK22" s="123">
        <f>IF(OR(EK$4="",$B22=""),0,SUMIF('DADOS BRUTOS'!$A$3:$A$500,$B22,'DADOS BRUTOS'!BK$3:BK$500)+IF($C22="",0,SUMIF('DADOS BRUTOS'!$A$3:$A$500,$C22,'DADOS BRUTOS'!BK$3:BK$500)))</f>
        <v/>
      </c>
      <c r="EL22" s="123">
        <f>IF(OR(EL$4="",$B22=""),0,SUMIF('DADOS BRUTOS'!$A$3:$A$500,$B22,'DADOS BRUTOS'!BL$3:BL$500)+IF($C22="",0,SUMIF('DADOS BRUTOS'!$A$3:$A$500,$C22,'DADOS BRUTOS'!BL$3:BL$500)))</f>
        <v/>
      </c>
      <c r="EM22" s="123">
        <f>IF(OR(EM$4="",$B22=""),0,SUMIF('DADOS BRUTOS'!$A$3:$A$500,$B22,'DADOS BRUTOS'!BM$3:BM$500)+IF($C22="",0,SUMIF('DADOS BRUTOS'!$A$3:$A$500,$C22,'DADOS BRUTOS'!BM$3:BM$500)))</f>
        <v/>
      </c>
      <c r="EN22" s="123">
        <f>IF(OR(EN$4="",$B22=""),0,SUMIF('DADOS BRUTOS'!$A$3:$A$500,$B22,'DADOS BRUTOS'!BN$3:BN$500)+IF($C22="",0,SUMIF('DADOS BRUTOS'!$A$3:$A$500,$C22,'DADOS BRUTOS'!BN$3:BN$500)))</f>
        <v/>
      </c>
      <c r="EO22" s="123">
        <f>IF(OR(EO$4="",$B22=""),0,SUMIF('DADOS BRUTOS'!$A$3:$A$500,$B22,'DADOS BRUTOS'!BO$3:BO$500)+IF($C22="",0,SUMIF('DADOS BRUTOS'!$A$3:$A$500,$C22,'DADOS BRUTOS'!BO$3:BO$500)))</f>
        <v/>
      </c>
      <c r="EP22" s="123">
        <f>IF(OR(EP$4="",$B22=""),0,SUMIF('DADOS BRUTOS'!$A$3:$A$500,$B22,'DADOS BRUTOS'!BP$3:BP$500)+IF($C22="",0,SUMIF('DADOS BRUTOS'!$A$3:$A$500,$C22,'DADOS BRUTOS'!BP$3:BP$500)))</f>
        <v/>
      </c>
      <c r="EQ22" s="123">
        <f>IF(OR(EQ$4="",$B22=""),0,SUMIF('DADOS BRUTOS'!$A$3:$A$500,$B22,'DADOS BRUTOS'!BQ$3:BQ$500)+IF($C22="",0,SUMIF('DADOS BRUTOS'!$A$3:$A$500,$C22,'DADOS BRUTOS'!BQ$3:BQ$500)))</f>
        <v/>
      </c>
      <c r="ER22" s="123">
        <f>IF(OR(ER$4="",$B22=""),0,SUMIF('DADOS BRUTOS'!$A$3:$A$500,$B22,'DADOS BRUTOS'!BR$3:BR$500)+IF($C22="",0,SUMIF('DADOS BRUTOS'!$A$3:$A$500,$C22,'DADOS BRUTOS'!BR$3:BR$500)))</f>
        <v/>
      </c>
      <c r="ES22" s="123">
        <f>IF(OR(ES$4="",$B22=""),0,SUMIF('DADOS BRUTOS'!$A$3:$A$500,$B22,'DADOS BRUTOS'!BS$3:BS$500)+IF($C22="",0,SUMIF('DADOS BRUTOS'!$A$3:$A$500,$C22,'DADOS BRUTOS'!BS$3:BS$500)))</f>
        <v/>
      </c>
      <c r="ET22" s="123">
        <f>IF(OR(ET$4="",$B22=""),0,SUMIF('DADOS BRUTOS'!$A$3:$A$500,$B22,'DADOS BRUTOS'!BT$3:BT$500)+IF($C22="",0,SUMIF('DADOS BRUTOS'!$A$3:$A$500,$C22,'DADOS BRUTOS'!BT$3:BT$500)))</f>
        <v/>
      </c>
      <c r="EU22" s="123">
        <f>IF(OR(EU$4="",$B22=""),0,SUMIF('DADOS BRUTOS'!$A$3:$A$500,$B22,'DADOS BRUTOS'!BU$3:BU$500)+IF($C22="",0,SUMIF('DADOS BRUTOS'!$A$3:$A$500,$C22,'DADOS BRUTOS'!BU$3:BU$500)))</f>
        <v/>
      </c>
      <c r="EV22" s="123">
        <f>IF(OR(EV$4="",$B22=""),0,SUMIF('DADOS BRUTOS'!$A$3:$A$500,$B22,'DADOS BRUTOS'!BV$3:BV$500)+IF($C22="",0,SUMIF('DADOS BRUTOS'!$A$3:$A$500,$C22,'DADOS BRUTOS'!BV$3:BV$500)))</f>
        <v/>
      </c>
      <c r="EW22" s="123">
        <f>IF(OR(EW$4="",$B22=""),0,SUMIF('DADOS BRUTOS'!$A$3:$A$500,$B22,'DADOS BRUTOS'!BW$3:BW$500)+IF($C22="",0,SUMIF('DADOS BRUTOS'!$A$3:$A$500,$C22,'DADOS BRUTOS'!BW$3:BW$500)))</f>
        <v/>
      </c>
      <c r="EX22" s="123">
        <f>IF(OR(EX$4="",$B22=""),0,SUMIF('DADOS BRUTOS'!$A$3:$A$500,$B22,'DADOS BRUTOS'!BX$3:BX$500)+IF($C22="",0,SUMIF('DADOS BRUTOS'!$A$3:$A$500,$C22,'DADOS BRUTOS'!BX$3:BX$500)))</f>
        <v/>
      </c>
      <c r="EY22" s="123">
        <f>IF(OR(EY$4="",$B22=""),0,SUMIF('DADOS BRUTOS'!$A$3:$A$500,$B22,'DADOS BRUTOS'!BY$3:BY$500)+IF($C22="",0,SUMIF('DADOS BRUTOS'!$A$3:$A$500,$C22,'DADOS BRUTOS'!BY$3:BY$500)))</f>
        <v/>
      </c>
      <c r="EZ22" s="123">
        <f>IF(OR(EZ$4="",$B22=""),0,SUMIF('DADOS BRUTOS'!$A$3:$A$500,$B22,'DADOS BRUTOS'!BZ$3:BZ$500)+IF($C22="",0,SUMIF('DADOS BRUTOS'!$A$3:$A$500,$C22,'DADOS BRUTOS'!BZ$3:BZ$500)))</f>
        <v/>
      </c>
      <c r="FA22" s="123">
        <f>IF(OR(FA$4="",$B22=""),0,SUMIF('DADOS BRUTOS'!$A$3:$A$500,$B22,'DADOS BRUTOS'!CA$3:CA$500)+IF($C22="",0,SUMIF('DADOS BRUTOS'!$A$3:$A$500,$C22,'DADOS BRUTOS'!CA$3:CA$500)))</f>
        <v/>
      </c>
      <c r="FB22" s="123">
        <f>IF(OR(FB$4="",$B22=""),0,SUMIF('DADOS BRUTOS'!$A$3:$A$500,$B22,'DADOS BRUTOS'!CB$3:CB$500)+IF($C22="",0,SUMIF('DADOS BRUTOS'!$A$3:$A$500,$C22,'DADOS BRUTOS'!CB$3:CB$500)))</f>
        <v/>
      </c>
      <c r="FC22" s="123">
        <f>IF(OR(FC$4="",$B22=""),0,SUMIF('DADOS BRUTOS'!$A$3:$A$500,$B22,'DADOS BRUTOS'!CC$3:CC$500)+IF($C22="",0,SUMIF('DADOS BRUTOS'!$A$3:$A$500,$C22,'DADOS BRUTOS'!CC$3:CC$500)))</f>
        <v/>
      </c>
      <c r="FD22" s="123">
        <f>IF(OR(FD$4="",$B22=""),0,SUMIF('DADOS BRUTOS'!$A$3:$A$500,$B22,'DADOS BRUTOS'!CD$3:CD$500)+IF($C22="",0,SUMIF('DADOS BRUTOS'!$A$3:$A$500,$C22,'DADOS BRUTOS'!CD$3:CD$500)))</f>
        <v/>
      </c>
      <c r="FE22" s="123">
        <f>IF(OR(FE$4="",$B22=""),0,SUMIF('DADOS BRUTOS'!$A$3:$A$500,$B22,'DADOS BRUTOS'!CE$3:CE$500)+IF($C22="",0,SUMIF('DADOS BRUTOS'!$A$3:$A$500,$C22,'DADOS BRUTOS'!CE$3:CE$500)))</f>
        <v/>
      </c>
      <c r="FF22" s="123">
        <f>IF(OR(FF$4="",$B22=""),0,SUMIF('DADOS BRUTOS'!$A$3:$A$500,$B22,'DADOS BRUTOS'!CF$3:CF$500)+IF($C22="",0,SUMIF('DADOS BRUTOS'!$A$3:$A$500,$C22,'DADOS BRUTOS'!CF$3:CF$500)))</f>
        <v/>
      </c>
      <c r="FG22" s="123">
        <f>IF(OR(FG$4="",$B22=""),0,SUMIF('DADOS BRUTOS'!$A$3:$A$500,$B22,'DADOS BRUTOS'!CG$3:CG$500)+IF($C22="",0,SUMIF('DADOS BRUTOS'!$A$3:$A$500,$C22,'DADOS BRUTOS'!CG$3:CG$500)))</f>
        <v/>
      </c>
      <c r="FH22" s="123">
        <f>IF(OR(FH$4="",$B22=""),0,SUMIF('DADOS BRUTOS'!$A$3:$A$500,$B22,'DADOS BRUTOS'!CH$3:CH$500)+IF($C22="",0,SUMIF('DADOS BRUTOS'!$A$3:$A$500,$C22,'DADOS BRUTOS'!CH$3:CH$500)))</f>
        <v/>
      </c>
      <c r="FI22" s="123">
        <f>IF(OR(FI$4="",$B22=""),0,SUMIF('DADOS BRUTOS'!$A$3:$A$500,$B22,'DADOS BRUTOS'!CI$3:CI$500)+IF($C22="",0,SUMIF('DADOS BRUTOS'!$A$3:$A$500,$C22,'DADOS BRUTOS'!CI$3:CI$500)))</f>
        <v/>
      </c>
      <c r="FJ22" s="123">
        <f>IF(OR(FJ$4="",$B22=""),0,SUMIF('DADOS BRUTOS'!$A$3:$A$500,$B22,'DADOS BRUTOS'!CJ$3:CJ$500)+IF($C22="",0,SUMIF('DADOS BRUTOS'!$A$3:$A$500,$C22,'DADOS BRUTOS'!CJ$3:CJ$500)))</f>
        <v/>
      </c>
      <c r="FK22" s="123">
        <f>IF(OR(FK$4="",$B22=""),0,SUMIF('DADOS BRUTOS'!$A$3:$A$500,$B22,'DADOS BRUTOS'!CK$3:CK$500)+IF($C22="",0,SUMIF('DADOS BRUTOS'!$A$3:$A$500,$C22,'DADOS BRUTOS'!CK$3:CK$500)))</f>
        <v/>
      </c>
      <c r="FL22" s="123">
        <f>IF(OR(FL$4="",$B22=""),0,SUMIF('DADOS BRUTOS'!$A$3:$A$500,$B22,'DADOS BRUTOS'!CL$3:CL$500)+IF($C22="",0,SUMIF('DADOS BRUTOS'!$A$3:$A$500,$C22,'DADOS BRUTOS'!CL$3:CL$500)))</f>
        <v/>
      </c>
      <c r="FM22" s="123">
        <f>IF(OR(FM$4="",$B22=""),0,SUMIF('DADOS BRUTOS'!$A$3:$A$500,$B22,'DADOS BRUTOS'!CM$3:CM$500)+IF($C22="",0,SUMIF('DADOS BRUTOS'!$A$3:$A$500,$C22,'DADOS BRUTOS'!CM$3:CM$500)))</f>
        <v/>
      </c>
      <c r="FN22" s="123">
        <f>IF(OR(FN$4="",$B22=""),0,SUMIF('DADOS BRUTOS'!$A$3:$A$500,$B22,'DADOS BRUTOS'!CN$3:CN$500)+IF($C22="",0,SUMIF('DADOS BRUTOS'!$A$3:$A$500,$C22,'DADOS BRUTOS'!CN$3:CN$500)))</f>
        <v/>
      </c>
      <c r="FO22" s="123">
        <f>IF(OR(FO$4="",$B22=""),0,SUMIF('DADOS BRUTOS'!$A$3:$A$500,$B22,'DADOS BRUTOS'!CO$3:CO$500)+IF($C22="",0,SUMIF('DADOS BRUTOS'!$A$3:$A$500,$C22,'DADOS BRUTOS'!CO$3:CO$500)))</f>
        <v/>
      </c>
      <c r="FP22" s="123">
        <f>IF(OR(FP$4="",$B22=""),0,SUMIF('DADOS BRUTOS'!$A$3:$A$500,$B22,'DADOS BRUTOS'!CP$3:CP$500)+IF($C22="",0,SUMIF('DADOS BRUTOS'!$A$3:$A$500,$C22,'DADOS BRUTOS'!CP$3:CP$500)))</f>
        <v/>
      </c>
      <c r="FQ22" s="123">
        <f>IF(OR(FQ$4="",$B22=""),0,SUMIF('DADOS BRUTOS'!$A$3:$A$500,$B22,'DADOS BRUTOS'!CQ$3:CQ$500)+IF($C22="",0,SUMIF('DADOS BRUTOS'!$A$3:$A$500,$C22,'DADOS BRUTOS'!CQ$3:CQ$500)))</f>
        <v/>
      </c>
      <c r="FR22" s="123">
        <f>IF(OR(FR$4="",$B22=""),0,SUMIF('DADOS BRUTOS'!$A$3:$A$500,$B22,'DADOS BRUTOS'!CR$3:CR$500)+IF($C22="",0,SUMIF('DADOS BRUTOS'!$A$3:$A$500,$C22,'DADOS BRUTOS'!CR$3:CR$500)))</f>
        <v/>
      </c>
      <c r="FS22" s="123">
        <f>IF(OR(FS$4="",$B22=""),0,SUMIF('DADOS BRUTOS'!$A$3:$A$500,$B22,'DADOS BRUTOS'!CS$3:CS$500)+IF($C22="",0,SUMIF('DADOS BRUTOS'!$A$3:$A$500,$C22,'DADOS BRUTOS'!CS$3:CS$500)))</f>
        <v/>
      </c>
      <c r="FT22" s="123">
        <f>IF(OR(FT$4="",$B22=""),0,SUMIF('DADOS BRUTOS'!$A$3:$A$500,$B22,'DADOS BRUTOS'!CT$3:CT$500)+IF($C22="",0,SUMIF('DADOS BRUTOS'!$A$3:$A$500,$C22,'DADOS BRUTOS'!CT$3:CT$500)))</f>
        <v/>
      </c>
      <c r="FU22" s="123">
        <f>IF(OR(FU$4="",$B22=""),0,SUMIF('DADOS BRUTOS'!$A$3:$A$500,$B22,'DADOS BRUTOS'!CU$3:CU$500)+IF($C22="",0,SUMIF('DADOS BRUTOS'!$A$3:$A$500,$C22,'DADOS BRUTOS'!CU$3:CU$500)))</f>
        <v/>
      </c>
      <c r="FV22" s="123">
        <f>IF(OR(FV$4="",$B22=""),0,SUMIF('DADOS BRUTOS'!$A$3:$A$500,$B22,'DADOS BRUTOS'!CV$3:CV$500)+IF($C22="",0,SUMIF('DADOS BRUTOS'!$A$3:$A$500,$C22,'DADOS BRUTOS'!CV$3:CV$500)))</f>
        <v/>
      </c>
      <c r="FW22" s="123">
        <f>IF(OR(FW$4="",$B22=""),0,SUMIF('DADOS BRUTOS'!$A$3:$A$500,$B22,'DADOS BRUTOS'!CW$3:CW$500)+IF($C22="",0,SUMIF('DADOS BRUTOS'!$A$3:$A$500,$C22,'DADOS BRUTOS'!CW$3:CW$500)))</f>
        <v/>
      </c>
      <c r="FX22" s="123">
        <f>IF(OR(FX$4="",$B22=""),0,SUMIF('DADOS BRUTOS'!$A$3:$A$500,$B22,'DADOS BRUTOS'!CX$3:CX$500)+IF($C22="",0,SUMIF('DADOS BRUTOS'!$A$3:$A$500,$C22,'DADOS BRUTOS'!CX$3:CX$500)))</f>
        <v/>
      </c>
      <c r="FY22" s="123">
        <f>IF(OR(FY$4="",$B22=""),0,SUMIF('DADOS BRUTOS'!$A$3:$A$500,$B22,'DADOS BRUTOS'!CY$3:CY$500)+IF($C22="",0,SUMIF('DADOS BRUTOS'!$A$3:$A$500,$C22,'DADOS BRUTOS'!CY$3:CY$500)))</f>
        <v/>
      </c>
      <c r="FZ22" s="123">
        <f>IF(OR(FZ$4="",$B22=""),0,SUMIF('DADOS BRUTOS'!$A$3:$A$500,$B22,'DADOS BRUTOS'!CZ$3:CZ$500)+IF($C22="",0,SUMIF('DADOS BRUTOS'!$A$3:$A$500,$C22,'DADOS BRUTOS'!CZ$3:CZ$500)))</f>
        <v/>
      </c>
      <c r="GA22" s="123">
        <f>IF(OR(GA$4="",$B22=""),0,SUMIF('DADOS BRUTOS'!$A$3:$A$500,$B22,'DADOS BRUTOS'!DA$3:DA$500)+IF($C22="",0,SUMIF('DADOS BRUTOS'!$A$3:$A$500,$C22,'DADOS BRUTOS'!DA$3:DA$500)))</f>
        <v/>
      </c>
      <c r="GB22" s="123">
        <f>IF(OR(GB$4="",$B22=""),0,SUMIF('DADOS BRUTOS'!$A$3:$A$500,$B22,'DADOS BRUTOS'!DB$3:DB$500)+IF($C22="",0,SUMIF('DADOS BRUTOS'!$A$3:$A$500,$C22,'DADOS BRUTOS'!DB$3:DB$500)))</f>
        <v/>
      </c>
      <c r="GC22" s="123">
        <f>IF(OR(GC$4="",$B22=""),0,SUMIF('DADOS BRUTOS'!$A$3:$A$500,$B22,'DADOS BRUTOS'!DC$3:DC$500)+IF($C22="",0,SUMIF('DADOS BRUTOS'!$A$3:$A$500,$C22,'DADOS BRUTOS'!DC$3:DC$500)))</f>
        <v/>
      </c>
      <c r="GD22" s="123">
        <f>IF(OR(GD$4="",$B22=""),0,SUMIF('DADOS BRUTOS'!$A$3:$A$500,$B22,'DADOS BRUTOS'!DD$3:DD$500)+IF($C22="",0,SUMIF('DADOS BRUTOS'!$A$3:$A$500,$C22,'DADOS BRUTOS'!DD$3:DD$500)))</f>
        <v/>
      </c>
      <c r="GE22" s="123">
        <f>IF(OR(GE$4="",$B22=""),0,SUMIF('DADOS BRUTOS'!$A$3:$A$500,$B22,'DADOS BRUTOS'!DE$3:DE$500)+IF($C22="",0,SUMIF('DADOS BRUTOS'!$A$3:$A$500,$C22,'DADOS BRUTOS'!DE$3:DE$500)))</f>
        <v/>
      </c>
      <c r="GF22" s="123">
        <f>IF(OR(GF$4="",$B22=""),0,SUMIF('DADOS BRUTOS'!$A$3:$A$500,$B22,'DADOS BRUTOS'!DF$3:DF$500)+IF($C22="",0,SUMIF('DADOS BRUTOS'!$A$3:$A$500,$C22,'DADOS BRUTOS'!DF$3:DF$500)))</f>
        <v/>
      </c>
      <c r="GG22" s="123">
        <f>IF(OR(GG$4="",$B22=""),0,SUMIF('DADOS BRUTOS'!$A$3:$A$500,$B22,'DADOS BRUTOS'!DG$3:DG$500)+IF($C22="",0,SUMIF('DADOS BRUTOS'!$A$3:$A$500,$C22,'DADOS BRUTOS'!DG$3:DG$500)))</f>
        <v/>
      </c>
      <c r="GH22" s="123">
        <f>IF(OR(GH$4="",$B22=""),0,SUMIF('DADOS BRUTOS'!$A$3:$A$500,$B22,'DADOS BRUTOS'!DH$3:DH$500)+IF($C22="",0,SUMIF('DADOS BRUTOS'!$A$3:$A$500,$C22,'DADOS BRUTOS'!DH$3:DH$500)))</f>
        <v/>
      </c>
      <c r="GI22" s="123">
        <f>IF(OR(GI$4="",$B22=""),0,SUMIF('DADOS BRUTOS'!$A$3:$A$500,$B22,'DADOS BRUTOS'!DI$3:DI$500)+IF($C22="",0,SUMIF('DADOS BRUTOS'!$A$3:$A$500,$C22,'DADOS BRUTOS'!DI$3:DI$500)))</f>
        <v/>
      </c>
      <c r="GJ22" s="123">
        <f>IF(OR(GJ$4="",$B22=""),0,SUMIF('DADOS BRUTOS'!$A$3:$A$500,$B22,'DADOS BRUTOS'!DJ$3:DJ$500)+IF($C22="",0,SUMIF('DADOS BRUTOS'!$A$3:$A$500,$C22,'DADOS BRUTOS'!DJ$3:DJ$500)))</f>
        <v/>
      </c>
      <c r="GK22" s="123">
        <f>IF(OR(GK$4="",$B22=""),0,SUMIF('DADOS BRUTOS'!$A$3:$A$500,$B22,'DADOS BRUTOS'!DK$3:DK$500)+IF($C22="",0,SUMIF('DADOS BRUTOS'!$A$3:$A$500,$C22,'DADOS BRUTOS'!DK$3:DK$500)))</f>
        <v/>
      </c>
      <c r="GL22" s="123">
        <f>IF(OR(GL$4="",$B22=""),0,SUMIF('DADOS BRUTOS'!$A$3:$A$500,$B22,'DADOS BRUTOS'!DL$3:DL$500)+IF($C22="",0,SUMIF('DADOS BRUTOS'!$A$3:$A$500,$C22,'DADOS BRUTOS'!DL$3:DL$500)))</f>
        <v/>
      </c>
      <c r="GM22" s="123">
        <f>IF(OR(GM$4="",$B22=""),0,SUMIF('DADOS BRUTOS'!$A$3:$A$500,$B22,'DADOS BRUTOS'!DM$3:DM$500)+IF($C22="",0,SUMIF('DADOS BRUTOS'!$A$3:$A$500,$C22,'DADOS BRUTOS'!DM$3:DM$500)))</f>
        <v/>
      </c>
      <c r="GN22" s="123">
        <f>IF(OR(GN$4="",$B22=""),0,SUMIF('DADOS BRUTOS'!$A$3:$A$500,$B22,'DADOS BRUTOS'!DN$3:DN$500)+IF($C22="",0,SUMIF('DADOS BRUTOS'!$A$3:$A$500,$C22,'DADOS BRUTOS'!DN$3:DN$500)))</f>
        <v/>
      </c>
      <c r="GO22" s="123">
        <f>IF(OR(GO$4="",$B22=""),0,SUMIF('DADOS BRUTOS'!$A$3:$A$500,$B22,'DADOS BRUTOS'!DO$3:DO$500)+IF($C22="",0,SUMIF('DADOS BRUTOS'!$A$3:$A$500,$C22,'DADOS BRUTOS'!DO$3:DO$500)))</f>
        <v/>
      </c>
      <c r="GP22" s="123">
        <f>IF(OR(GP$4="",$B22=""),0,SUMIF('DADOS BRUTOS'!$A$3:$A$500,$B22,'DADOS BRUTOS'!DP$3:DP$500)+IF($C22="",0,SUMIF('DADOS BRUTOS'!$A$3:$A$500,$C22,'DADOS BRUTOS'!DP$3:DP$500)))</f>
        <v/>
      </c>
      <c r="GQ22" s="123">
        <f>IF(OR(GQ$4="",$B22=""),0,SUMIF('DADOS BRUTOS'!$A$3:$A$500,$B22,'DADOS BRUTOS'!DQ$3:DQ$500)+IF($C22="",0,SUMIF('DADOS BRUTOS'!$A$3:$A$500,$C22,'DADOS BRUTOS'!DQ$3:DQ$500)))</f>
        <v/>
      </c>
      <c r="GR22" s="123">
        <f>IF(OR(GR$4="",$B22=""),0,SUMIF('DADOS BRUTOS'!$A$3:$A$500,$B22,'DADOS BRUTOS'!DR$3:DR$500)+IF($C22="",0,SUMIF('DADOS BRUTOS'!$A$3:$A$500,$C22,'DADOS BRUTOS'!DR$3:DR$500)))</f>
        <v/>
      </c>
      <c r="GS22" s="123">
        <f>IF(OR(GS$4="",$B22=""),0,SUMIF('DADOS BRUTOS'!$A$3:$A$500,$B22,'DADOS BRUTOS'!DS$3:DS$500)+IF($C22="",0,SUMIF('DADOS BRUTOS'!$A$3:$A$500,$C22,'DADOS BRUTOS'!DS$3:DS$500)))</f>
        <v/>
      </c>
      <c r="GT22" s="123">
        <f>IF(OR(GT$4="",$B22=""),0,SUMIF('DADOS BRUTOS'!$A$3:$A$500,$B22,'DADOS BRUTOS'!DT$3:DT$500)+IF($C22="",0,SUMIF('DADOS BRUTOS'!$A$3:$A$500,$C22,'DADOS BRUTOS'!DT$3:DT$500)))</f>
        <v/>
      </c>
      <c r="GU22" s="123">
        <f>IF(OR(GU$4="",$B22=""),0,SUMIF('DADOS BRUTOS'!$A$3:$A$500,$B22,'DADOS BRUTOS'!DU$3:DU$500)+IF($C22="",0,SUMIF('DADOS BRUTOS'!$A$3:$A$500,$C22,'DADOS BRUTOS'!DU$3:DU$500)))</f>
        <v/>
      </c>
      <c r="GV22" s="123">
        <f>IF(OR(GV$4="",$B22=""),0,SUMIF('DADOS BRUTOS'!$A$3:$A$500,$B22,'DADOS BRUTOS'!DV$3:DV$500)+IF($C22="",0,SUMIF('DADOS BRUTOS'!$A$3:$A$500,$C22,'DADOS BRUTOS'!DV$3:DV$500)))</f>
        <v/>
      </c>
      <c r="GW22" s="123">
        <f>IF(OR(GW$4="",$B22=""),0,SUMIF('DADOS BRUTOS'!$A$3:$A$500,$B22,'DADOS BRUTOS'!DW$3:DW$500)+IF($C22="",0,SUMIF('DADOS BRUTOS'!$A$3:$A$500,$C22,'DADOS BRUTOS'!DW$3:DW$500)))</f>
        <v/>
      </c>
      <c r="GX22" s="123">
        <f>IF(OR(GX$4="",$B22=""),0,SUMIF('DADOS BRUTOS'!$A$3:$A$500,$B22,'DADOS BRUTOS'!DX$3:DX$500)+IF($C22="",0,SUMIF('DADOS BRUTOS'!$A$3:$A$500,$C22,'DADOS BRUTOS'!DX$3:DX$500)))</f>
        <v/>
      </c>
      <c r="GY22" s="123">
        <f>IF(OR(GY$4="",$B22=""),0,SUMIF('DADOS BRUTOS'!$A$3:$A$500,$B22,'DADOS BRUTOS'!DY$3:DY$500)+IF($C22="",0,SUMIF('DADOS BRUTOS'!$A$3:$A$500,$C22,'DADOS BRUTOS'!DY$3:DY$500)))</f>
        <v/>
      </c>
      <c r="GZ22" s="123">
        <f>IF(OR(GZ$4="",$B22=""),0,SUMIF('DADOS BRUTOS'!$A$3:$A$500,$B22,'DADOS BRUTOS'!DZ$3:DZ$500)+IF($C22="",0,SUMIF('DADOS BRUTOS'!$A$3:$A$500,$C22,'DADOS BRUTOS'!DZ$3:DZ$500)))</f>
        <v/>
      </c>
      <c r="HA22" s="123">
        <f>IF(OR(HA$4="",$B22=""),0,SUMIF('DADOS BRUTOS'!$A$3:$A$500,$B22,'DADOS BRUTOS'!EA$3:EA$500)+IF($C22="",0,SUMIF('DADOS BRUTOS'!$A$3:$A$500,$C22,'DADOS BRUTOS'!EA$3:EA$500)))</f>
        <v/>
      </c>
      <c r="HB22" s="123">
        <f>IF(OR(HB$4="",$B22=""),0,SUMIF('DADOS BRUTOS'!$A$3:$A$500,$B22,'DADOS BRUTOS'!EB$3:EB$500)+IF($C22="",0,SUMIF('DADOS BRUTOS'!$A$3:$A$500,$C22,'DADOS BRUTOS'!EB$3:EB$500)))</f>
        <v/>
      </c>
      <c r="HC22" s="123">
        <f>IF(OR(HC$4="",$B22=""),0,SUMIF('DADOS BRUTOS'!$A$3:$A$500,$B22,'DADOS BRUTOS'!EC$3:EC$500)+IF($C22="",0,SUMIF('DADOS BRUTOS'!$A$3:$A$500,$C22,'DADOS BRUTOS'!EC$3:EC$500)))</f>
        <v/>
      </c>
      <c r="HD22" s="123">
        <f>IF(OR(HD$4="",$B22=""),0,SUMIF('DADOS BRUTOS'!$A$3:$A$500,$B22,'DADOS BRUTOS'!ED$3:ED$500)+IF($C22="",0,SUMIF('DADOS BRUTOS'!$A$3:$A$500,$C22,'DADOS BRUTOS'!ED$3:ED$500)))</f>
        <v/>
      </c>
      <c r="HE22" s="123">
        <f>IF(OR(HE$4="",$B22=""),0,SUMIF('DADOS BRUTOS'!$A$3:$A$500,$B22,'DADOS BRUTOS'!EE$3:EE$500)+IF($C22="",0,SUMIF('DADOS BRUTOS'!$A$3:$A$500,$C22,'DADOS BRUTOS'!EE$3:EE$500)))</f>
        <v/>
      </c>
      <c r="HF22" s="123">
        <f>IF(OR(HF$4="",$B22=""),0,SUMIF('DADOS BRUTOS'!$A$3:$A$500,$B22,'DADOS BRUTOS'!EF$3:EF$500)+IF($C22="",0,SUMIF('DADOS BRUTOS'!$A$3:$A$500,$C22,'DADOS BRUTOS'!EF$3:EF$500)))</f>
        <v/>
      </c>
      <c r="HG22" s="123">
        <f>IF(OR(HG$4="",$B22=""),0,SUMIF('DADOS BRUTOS'!$A$3:$A$500,$B22,'DADOS BRUTOS'!EG$3:EG$500)+IF($C22="",0,SUMIF('DADOS BRUTOS'!$A$3:$A$500,$C22,'DADOS BRUTOS'!EG$3:EG$500)))</f>
        <v/>
      </c>
      <c r="HH22" s="123">
        <f>IF(OR(HH$4="",$B22=""),0,SUMIF('DADOS BRUTOS'!$A$3:$A$500,$B22,'DADOS BRUTOS'!EH$3:EH$500)+IF($C22="",0,SUMIF('DADOS BRUTOS'!$A$3:$A$500,$C22,'DADOS BRUTOS'!EH$3:EH$500)))</f>
        <v/>
      </c>
      <c r="HI22" s="123">
        <f>IF(OR(HI$4="",$B22=""),0,SUMIF('DADOS BRUTOS'!$A$3:$A$500,$B22,'DADOS BRUTOS'!EI$3:EI$500)+IF($C22="",0,SUMIF('DADOS BRUTOS'!$A$3:$A$500,$C22,'DADOS BRUTOS'!EI$3:EI$500)))</f>
        <v/>
      </c>
      <c r="HJ22" s="123">
        <f>IF(OR(HJ$4="",$B22=""),0,SUMIF('DADOS BRUTOS'!$A$3:$A$500,$B22,'DADOS BRUTOS'!EJ$3:EJ$500)+IF($C22="",0,SUMIF('DADOS BRUTOS'!$A$3:$A$500,$C22,'DADOS BRUTOS'!EJ$3:EJ$500)))</f>
        <v/>
      </c>
      <c r="HK22" s="123">
        <f>IF(OR(HK$4="",$B22=""),0,SUMIF('DADOS BRUTOS'!$A$3:$A$500,$B22,'DADOS BRUTOS'!EK$3:EK$500)+IF($C22="",0,SUMIF('DADOS BRUTOS'!$A$3:$A$500,$C22,'DADOS BRUTOS'!EK$3:EK$500)))</f>
        <v/>
      </c>
      <c r="HL22" s="123">
        <f>IF(OR(HL$4="",$B22=""),0,SUMIF('DADOS BRUTOS'!$A$3:$A$500,$B22,'DADOS BRUTOS'!EL$3:EL$500)+IF($C22="",0,SUMIF('DADOS BRUTOS'!$A$3:$A$500,$C22,'DADOS BRUTOS'!EL$3:EL$500)))</f>
        <v/>
      </c>
      <c r="HM22" s="123">
        <f>IF(OR(HM$4="",$B22=""),0,SUMIF('DADOS BRUTOS'!$A$3:$A$500,$B22,'DADOS BRUTOS'!EM$3:EM$500)+IF($C22="",0,SUMIF('DADOS BRUTOS'!$A$3:$A$500,$C22,'DADOS BRUTOS'!EM$3:EM$500)))</f>
        <v/>
      </c>
      <c r="HN22" s="123">
        <f>IF(OR(HN$4="",$B22=""),0,SUMIF('DADOS BRUTOS'!$A$3:$A$500,$B22,'DADOS BRUTOS'!EN$3:EN$500)+IF($C22="",0,SUMIF('DADOS BRUTOS'!$A$3:$A$500,$C22,'DADOS BRUTOS'!EN$3:EN$500)))</f>
        <v/>
      </c>
      <c r="HO22" s="123">
        <f>IF(OR(HO$4="",$B22=""),0,SUMIF('DADOS BRUTOS'!$A$3:$A$500,$B22,'DADOS BRUTOS'!EO$3:EO$500)+IF($C22="",0,SUMIF('DADOS BRUTOS'!$A$3:$A$500,$C22,'DADOS BRUTOS'!EO$3:EO$500)))</f>
        <v/>
      </c>
      <c r="HP22" s="123">
        <f>IF(OR(HP$4="",$B22=""),0,SUMIF('DADOS BRUTOS'!$A$3:$A$500,$B22,'DADOS BRUTOS'!EP$3:EP$500)+IF($C22="",0,SUMIF('DADOS BRUTOS'!$A$3:$A$500,$C22,'DADOS BRUTOS'!EP$3:EP$500)))</f>
        <v/>
      </c>
      <c r="HQ22" s="123">
        <f>IF(OR(HQ$4="",$B22=""),0,SUMIF('DADOS BRUTOS'!$A$3:$A$500,$B22,'DADOS BRUTOS'!EQ$3:EQ$500)+IF($C22="",0,SUMIF('DADOS BRUTOS'!$A$3:$A$500,$C22,'DADOS BRUTOS'!EQ$3:EQ$500)))</f>
        <v/>
      </c>
      <c r="HR22" s="123">
        <f>IF(OR(HR$4="",$B22=""),0,SUMIF('DADOS BRUTOS'!$A$3:$A$500,$B22,'DADOS BRUTOS'!ER$3:ER$500)+IF($C22="",0,SUMIF('DADOS BRUTOS'!$A$3:$A$500,$C22,'DADOS BRUTOS'!ER$3:ER$500)))</f>
        <v/>
      </c>
      <c r="HS22" s="123">
        <f>IF(OR(HS$4="",$B22=""),0,SUMIF('DADOS BRUTOS'!$A$3:$A$500,$B22,'DADOS BRUTOS'!ES$3:ES$500)+IF($C22="",0,SUMIF('DADOS BRUTOS'!$A$3:$A$500,$C22,'DADOS BRUTOS'!ES$3:ES$500)))</f>
        <v/>
      </c>
      <c r="HT22" s="123">
        <f>IF(OR(HT$4="",$B22=""),0,SUMIF('DADOS BRUTOS'!$A$3:$A$500,$B22,'DADOS BRUTOS'!ET$3:ET$500)+IF($C22="",0,SUMIF('DADOS BRUTOS'!$A$3:$A$500,$C22,'DADOS BRUTOS'!ET$3:ET$500)))</f>
        <v/>
      </c>
      <c r="HU22" s="123">
        <f>IF(OR(HU$4="",$B22=""),0,SUMIF('DADOS BRUTOS'!$A$3:$A$500,$B22,'DADOS BRUTOS'!EU$3:EU$500)+IF($C22="",0,SUMIF('DADOS BRUTOS'!$A$3:$A$500,$C22,'DADOS BRUTOS'!EU$3:EU$500)))</f>
        <v/>
      </c>
      <c r="HV22" s="123">
        <f>IF(OR(HV$4="",$B22=""),0,SUMIF('DADOS BRUTOS'!$A$3:$A$500,$B22,'DADOS BRUTOS'!EV$3:EV$500)+IF($C22="",0,SUMIF('DADOS BRUTOS'!$A$3:$A$500,$C22,'DADOS BRUTOS'!EV$3:EV$500)))</f>
        <v/>
      </c>
      <c r="HW22" s="123">
        <f>IF(OR(HW$4="",$B22=""),0,SUMIF('DADOS BRUTOS'!$A$3:$A$500,$B22,'DADOS BRUTOS'!EW$3:EW$500)+IF($C22="",0,SUMIF('DADOS BRUTOS'!$A$3:$A$500,$C22,'DADOS BRUTOS'!EW$3:EW$500)))</f>
        <v/>
      </c>
      <c r="HX22" s="123">
        <f>IF(OR(HX$4="",$B22=""),0,SUMIF('DADOS BRUTOS'!$A$3:$A$500,$B22,'DADOS BRUTOS'!EX$3:EX$500)+IF($C22="",0,SUMIF('DADOS BRUTOS'!$A$3:$A$500,$C22,'DADOS BRUTOS'!EX$3:EX$500)))</f>
        <v/>
      </c>
      <c r="HY22" s="123">
        <f>IF(OR(HY$4="",$B22=""),0,SUMIF('DADOS BRUTOS'!$A$3:$A$500,$B22,'DADOS BRUTOS'!EY$3:EY$500)+IF($C22="",0,SUMIF('DADOS BRUTOS'!$A$3:$A$500,$C22,'DADOS BRUTOS'!EY$3:EY$500)))</f>
        <v/>
      </c>
      <c r="HZ22" s="123">
        <f>IF(OR(HZ$4="",$B22=""),0,SUMIF('DADOS BRUTOS'!$A$3:$A$500,$B22,'DADOS BRUTOS'!EZ$3:EZ$500)+IF($C22="",0,SUMIF('DADOS BRUTOS'!$A$3:$A$500,$C22,'DADOS BRUTOS'!EZ$3:EZ$500)))</f>
        <v/>
      </c>
      <c r="IA22" s="123">
        <f>IF(OR(IA$4="",$B22=""),0,SUMIF('DADOS BRUTOS'!$A$3:$A$500,$B22,'DADOS BRUTOS'!FA$3:FA$500)+IF($C22="",0,SUMIF('DADOS BRUTOS'!$A$3:$A$500,$C22,'DADOS BRUTOS'!FA$3:FA$500)))</f>
        <v/>
      </c>
      <c r="IB22" s="123">
        <f>IF(OR(IB$4="",$B22=""),0,SUMIF('DADOS BRUTOS'!$A$3:$A$500,$B22,'DADOS BRUTOS'!FB$3:FB$500)+IF($C22="",0,SUMIF('DADOS BRUTOS'!$A$3:$A$500,$C22,'DADOS BRUTOS'!FB$3:FB$500)))</f>
        <v/>
      </c>
      <c r="IC22" s="123">
        <f>IF(OR(IC$4="",$B22=""),0,SUMIF('DADOS BRUTOS'!$A$3:$A$500,$B22,'DADOS BRUTOS'!FC$3:FC$500)+IF($C22="",0,SUMIF('DADOS BRUTOS'!$A$3:$A$500,$C22,'DADOS BRUTOS'!FC$3:FC$500)))</f>
        <v/>
      </c>
      <c r="ID22" s="123">
        <f>IF(OR(ID$4="",$B22=""),0,SUMIF('DADOS BRUTOS'!$A$3:$A$500,$B22,'DADOS BRUTOS'!FD$3:FD$500)+IF($C22="",0,SUMIF('DADOS BRUTOS'!$A$3:$A$500,$C22,'DADOS BRUTOS'!FD$3:FD$500)))</f>
        <v/>
      </c>
      <c r="IE22" s="123">
        <f>IF(OR(IE$4="",$B22=""),0,SUMIF('DADOS BRUTOS'!$A$3:$A$500,$B22,'DADOS BRUTOS'!FE$3:FE$500)+IF($C22="",0,SUMIF('DADOS BRUTOS'!$A$3:$A$500,$C22,'DADOS BRUTOS'!FE$3:FE$500)))</f>
        <v/>
      </c>
      <c r="IF22" s="123">
        <f>IF(OR(IF$4="",$B22=""),0,SUMIF('DADOS BRUTOS'!$A$3:$A$500,$B22,'DADOS BRUTOS'!FF$3:FF$500)+IF($C22="",0,SUMIF('DADOS BRUTOS'!$A$3:$A$500,$C22,'DADOS BRUTOS'!FF$3:FF$500)))</f>
        <v/>
      </c>
      <c r="IG22" s="123">
        <f>IF(OR(IG$4="",$B22=""),0,SUMIF('DADOS BRUTOS'!$A$3:$A$500,$B22,'DADOS BRUTOS'!FG$3:FG$500)+IF($C22="",0,SUMIF('DADOS BRUTOS'!$A$3:$A$500,$C22,'DADOS BRUTOS'!FG$3:FG$500)))</f>
        <v/>
      </c>
      <c r="IH22" s="123">
        <f>IF(OR(IH$4="",$B22=""),0,SUMIF('DADOS BRUTOS'!$A$3:$A$500,$B22,'DADOS BRUTOS'!FH$3:FH$500)+IF($C22="",0,SUMIF('DADOS BRUTOS'!$A$3:$A$500,$C22,'DADOS BRUTOS'!FH$3:FH$500)))</f>
        <v/>
      </c>
      <c r="II22" s="123">
        <f>IF(OR(II$4="",$B22=""),0,SUMIF('DADOS BRUTOS'!$A$3:$A$500,$B22,'DADOS BRUTOS'!FI$3:FI$500)+IF($C22="",0,SUMIF('DADOS BRUTOS'!$A$3:$A$500,$C22,'DADOS BRUTOS'!FI$3:FI$500)))</f>
        <v/>
      </c>
      <c r="IJ22" s="123">
        <f>IF(OR(IJ$4="",$B22=""),0,SUMIF('DADOS BRUTOS'!$A$3:$A$500,$B22,'DADOS BRUTOS'!FJ$3:FJ$500)+IF($C22="",0,SUMIF('DADOS BRUTOS'!$A$3:$A$500,$C22,'DADOS BRUTOS'!FJ$3:FJ$500)))</f>
        <v/>
      </c>
      <c r="IK22" s="123">
        <f>IF(OR(IK$4="",$B22=""),0,SUMIF('DADOS BRUTOS'!$A$3:$A$500,$B22,'DADOS BRUTOS'!FK$3:FK$500)+IF($C22="",0,SUMIF('DADOS BRUTOS'!$A$3:$A$500,$C22,'DADOS BRUTOS'!FK$3:FK$500)))</f>
        <v/>
      </c>
      <c r="IL22" s="123">
        <f>IF(OR(IL$4="",$B22=""),0,SUMIF('DADOS BRUTOS'!$A$3:$A$500,$B22,'DADOS BRUTOS'!FL$3:FL$500)+IF($C22="",0,SUMIF('DADOS BRUTOS'!$A$3:$A$500,$C22,'DADOS BRUTOS'!FL$3:FL$500)))</f>
        <v/>
      </c>
      <c r="IM22" s="123">
        <f>IF(OR(IM$4="",$B22=""),0,SUMIF('DADOS BRUTOS'!$A$3:$A$500,$B22,'DADOS BRUTOS'!FM$3:FM$500)+IF($C22="",0,SUMIF('DADOS BRUTOS'!$A$3:$A$500,$C22,'DADOS BRUTOS'!FM$3:FM$500)))</f>
        <v/>
      </c>
      <c r="IN22" s="123">
        <f>IF(OR(IN$4="",$B22=""),0,SUMIF('DADOS BRUTOS'!$A$3:$A$500,$B22,'DADOS BRUTOS'!FN$3:FN$500)+IF($C22="",0,SUMIF('DADOS BRUTOS'!$A$3:$A$500,$C22,'DADOS BRUTOS'!FN$3:FN$500)))</f>
        <v/>
      </c>
      <c r="IO22" s="123">
        <f>IF(OR(IO$4="",$B22=""),0,SUMIF('DADOS BRUTOS'!$A$3:$A$500,$B22,'DADOS BRUTOS'!FO$3:FO$500)+IF($C22="",0,SUMIF('DADOS BRUTOS'!$A$3:$A$500,$C22,'DADOS BRUTOS'!FO$3:FO$500)))</f>
        <v/>
      </c>
      <c r="IP22" s="123">
        <f>IF(OR(IP$4="",$B22=""),0,SUMIF('DADOS BRUTOS'!$A$3:$A$500,$B22,'DADOS BRUTOS'!FP$3:FP$500)+IF($C22="",0,SUMIF('DADOS BRUTOS'!$A$3:$A$500,$C22,'DADOS BRUTOS'!FP$3:FP$500)))</f>
        <v/>
      </c>
      <c r="IQ22" s="123">
        <f>IF(OR(IQ$4="",$B22=""),0,SUMIF('DADOS BRUTOS'!$A$3:$A$500,$B22,'DADOS BRUTOS'!FQ$3:FQ$500)+IF($C22="",0,SUMIF('DADOS BRUTOS'!$A$3:$A$500,$C22,'DADOS BRUTOS'!FQ$3:FQ$500)))</f>
        <v/>
      </c>
      <c r="IR22" s="123">
        <f>IF(OR(IR$4="",$B22=""),0,SUMIF('DADOS BRUTOS'!$A$3:$A$500,$B22,'DADOS BRUTOS'!FR$3:FR$500)+IF($C22="",0,SUMIF('DADOS BRUTOS'!$A$3:$A$500,$C22,'DADOS BRUTOS'!FR$3:FR$500)))</f>
        <v/>
      </c>
      <c r="IS22" s="123">
        <f>IF(OR(IS$4="",$B22=""),0,SUMIF('DADOS BRUTOS'!$A$3:$A$500,$B22,'DADOS BRUTOS'!FS$3:FS$500)+IF($C22="",0,SUMIF('DADOS BRUTOS'!$A$3:$A$500,$C22,'DADOS BRUTOS'!FS$3:FS$500)))</f>
        <v/>
      </c>
      <c r="IT22" s="123">
        <f>IF(OR(IT$4="",$B22=""),0,SUMIF('DADOS BRUTOS'!$A$3:$A$500,$B22,'DADOS BRUTOS'!FT$3:FT$500)+IF($C22="",0,SUMIF('DADOS BRUTOS'!$A$3:$A$500,$C22,'DADOS BRUTOS'!FT$3:FT$500)))</f>
        <v/>
      </c>
      <c r="IU22" s="123">
        <f>IF(OR(IU$4="",$B22=""),0,SUMIF('DADOS BRUTOS'!$A$3:$A$500,$B22,'DADOS BRUTOS'!FU$3:FU$500)+IF($C22="",0,SUMIF('DADOS BRUTOS'!$A$3:$A$500,$C22,'DADOS BRUTOS'!FU$3:FU$500)))</f>
        <v/>
      </c>
      <c r="IV22" s="123">
        <f>IF(OR(IV$4="",$B22=""),0,SUMIF('DADOS BRUTOS'!$A$3:$A$500,$B22,'DADOS BRUTOS'!FV$3:FV$500)+IF($C22="",0,SUMIF('DADOS BRUTOS'!$A$3:$A$500,$C22,'DADOS BRUTOS'!FV$3:FV$500)))</f>
        <v/>
      </c>
      <c r="IW22" s="123">
        <f>IF(OR(IW$4="",$B22=""),0,SUMIF('DADOS BRUTOS'!$A$3:$A$500,$B22,'DADOS BRUTOS'!FW$3:FW$500)+IF($C22="",0,SUMIF('DADOS BRUTOS'!$A$3:$A$500,$C22,'DADOS BRUTOS'!FW$3:FW$500)))</f>
        <v/>
      </c>
      <c r="IX22" s="123">
        <f>IF(OR(IX$4="",$B22=""),0,SUMIF('DADOS BRUTOS'!$A$3:$A$500,$B22,'DADOS BRUTOS'!FX$3:FX$500)+IF($C22="",0,SUMIF('DADOS BRUTOS'!$A$3:$A$500,$C22,'DADOS BRUTOS'!FX$3:FX$500)))</f>
        <v/>
      </c>
      <c r="IY22" s="123">
        <f>IF(OR(IY$4="",$B22=""),0,SUMIF('DADOS BRUTOS'!$A$3:$A$500,$B22,'DADOS BRUTOS'!FY$3:FY$500)+IF($C22="",0,SUMIF('DADOS BRUTOS'!$A$3:$A$500,$C22,'DADOS BRUTOS'!FY$3:FY$500)))</f>
        <v/>
      </c>
      <c r="IZ22" s="123">
        <f>IF(OR(IZ$4="",$B22=""),0,SUMIF('DADOS BRUTOS'!$A$3:$A$500,$B22,'DADOS BRUTOS'!FZ$3:FZ$500)+IF($C22="",0,SUMIF('DADOS BRUTOS'!$A$3:$A$500,$C22,'DADOS BRUTOS'!FZ$3:FZ$500)))</f>
        <v/>
      </c>
      <c r="JA22" s="123">
        <f>IF(OR(JA$4="",$B22=""),0,SUMIF('DADOS BRUTOS'!$A$3:$A$500,$B22,'DADOS BRUTOS'!GA$3:GA$500)+IF($C22="",0,SUMIF('DADOS BRUTOS'!$A$3:$A$500,$C22,'DADOS BRUTOS'!GA$3:GA$500)))</f>
        <v/>
      </c>
      <c r="JB22" s="123">
        <f>IF(OR(JB$4="",$B22=""),0,SUMIF('DADOS BRUTOS'!$A$3:$A$500,$B22,'DADOS BRUTOS'!GB$3:GB$500)+IF($C22="",0,SUMIF('DADOS BRUTOS'!$A$3:$A$500,$C22,'DADOS BRUTOS'!GB$3:GB$500)))</f>
        <v/>
      </c>
      <c r="JC22" s="123">
        <f>IF(OR(JC$4="",$B22=""),0,SUMIF('DADOS BRUTOS'!$A$3:$A$500,$B22,'DADOS BRUTOS'!GC$3:GC$500)+IF($C22="",0,SUMIF('DADOS BRUTOS'!$A$3:$A$500,$C22,'DADOS BRUTOS'!GC$3:GC$500)))</f>
        <v/>
      </c>
      <c r="JD22" s="123">
        <f>IF(OR(JD$4="",$B22=""),0,SUMIF('DADOS BRUTOS'!$A$3:$A$500,$B22,'DADOS BRUTOS'!GD$3:GD$500)+IF($C22="",0,SUMIF('DADOS BRUTOS'!$A$3:$A$500,$C22,'DADOS BRUTOS'!GD$3:GD$500)))</f>
        <v/>
      </c>
      <c r="JE22" s="123">
        <f>IF(OR(JE$4="",$B22=""),0,SUMIF('DADOS BRUTOS'!$A$3:$A$500,$B22,'DADOS BRUTOS'!GE$3:GE$500)+IF($C22="",0,SUMIF('DADOS BRUTOS'!$A$3:$A$500,$C22,'DADOS BRUTOS'!GE$3:GE$500)))</f>
        <v/>
      </c>
      <c r="JF22" s="123">
        <f>IF(OR(JF$4="",$B22=""),0,SUMIF('DADOS BRUTOS'!$A$3:$A$500,$B22,'DADOS BRUTOS'!GF$3:GF$500)+IF($C22="",0,SUMIF('DADOS BRUTOS'!$A$3:$A$500,$C22,'DADOS BRUTOS'!GF$3:GF$500)))</f>
        <v/>
      </c>
      <c r="JG22" s="123">
        <f>IF(OR(JG$4="",$B22=""),0,SUMIF('DADOS BRUTOS'!$A$3:$A$500,$B22,'DADOS BRUTOS'!GG$3:GG$500)+IF($C22="",0,SUMIF('DADOS BRUTOS'!$A$3:$A$500,$C22,'DADOS BRUTOS'!GG$3:GG$500)))</f>
        <v/>
      </c>
      <c r="JH22" s="123">
        <f>IF(OR(JH$4="",$B22=""),0,SUMIF('DADOS BRUTOS'!$A$3:$A$500,$B22,'DADOS BRUTOS'!GH$3:GH$500)+IF($C22="",0,SUMIF('DADOS BRUTOS'!$A$3:$A$500,$C22,'DADOS BRUTOS'!GH$3:GH$500)))</f>
        <v/>
      </c>
      <c r="JI22" s="123">
        <f>IF(OR(JI$4="",$B22=""),0,SUMIF('DADOS BRUTOS'!$A$3:$A$500,$B22,'DADOS BRUTOS'!GI$3:GI$500)+IF($C22="",0,SUMIF('DADOS BRUTOS'!$A$3:$A$500,$C22,'DADOS BRUTOS'!GI$3:GI$500)))</f>
        <v/>
      </c>
      <c r="JJ22" s="123">
        <f>IF(OR(JJ$4="",$B22=""),0,SUMIF('DADOS BRUTOS'!$A$3:$A$500,$B22,'DADOS BRUTOS'!GJ$3:GJ$500)+IF($C22="",0,SUMIF('DADOS BRUTOS'!$A$3:$A$500,$C22,'DADOS BRUTOS'!GJ$3:GJ$500)))</f>
        <v/>
      </c>
      <c r="JK22" s="123">
        <f>IF(OR(JK$4="",$B22=""),0,SUMIF('DADOS BRUTOS'!$A$3:$A$500,$B22,'DADOS BRUTOS'!GK$3:GK$500)+IF($C22="",0,SUMIF('DADOS BRUTOS'!$A$3:$A$500,$C22,'DADOS BRUTOS'!GK$3:GK$500)))</f>
        <v/>
      </c>
      <c r="JL22" s="123">
        <f>IF(OR(JL$4="",$B22=""),0,SUMIF('DADOS BRUTOS'!$A$3:$A$500,$B22,'DADOS BRUTOS'!GL$3:GL$500)+IF($C22="",0,SUMIF('DADOS BRUTOS'!$A$3:$A$500,$C22,'DADOS BRUTOS'!GL$3:GL$500)))</f>
        <v/>
      </c>
      <c r="JM22" s="123">
        <f>IF(OR(JM$4="",$B22=""),0,SUMIF('DADOS BRUTOS'!$A$3:$A$500,$B22,'DADOS BRUTOS'!GM$3:GM$500)+IF($C22="",0,SUMIF('DADOS BRUTOS'!$A$3:$A$500,$C22,'DADOS BRUTOS'!GM$3:GM$500)))</f>
        <v/>
      </c>
      <c r="JN22" s="123">
        <f>IF(OR(JN$4="",$B22=""),0,SUMIF('DADOS BRUTOS'!$A$3:$A$500,$B22,'DADOS BRUTOS'!GN$3:GN$500)+IF($C22="",0,SUMIF('DADOS BRUTOS'!$A$3:$A$500,$C22,'DADOS BRUTOS'!GN$3:GN$500)))</f>
        <v/>
      </c>
      <c r="JO22" s="123">
        <f>IF(OR(JO$4="",$B22=""),0,SUMIF('DADOS BRUTOS'!$A$3:$A$500,$B22,'DADOS BRUTOS'!GO$3:GO$500)+IF($C22="",0,SUMIF('DADOS BRUTOS'!$A$3:$A$500,$C22,'DADOS BRUTOS'!GO$3:GO$500)))</f>
        <v/>
      </c>
      <c r="JP22" s="123">
        <f>IF(OR(JP$4="",$B22=""),0,SUMIF('DADOS BRUTOS'!$A$3:$A$500,$B22,'DADOS BRUTOS'!GP$3:GP$500)+IF($C22="",0,SUMIF('DADOS BRUTOS'!$A$3:$A$500,$C22,'DADOS BRUTOS'!GP$3:GP$500)))</f>
        <v/>
      </c>
      <c r="JQ22" s="123">
        <f>IF(OR(JQ$4="",$B22=""),0,SUMIF('DADOS BRUTOS'!$A$3:$A$500,$B22,'DADOS BRUTOS'!GQ$3:GQ$500)+IF($C22="",0,SUMIF('DADOS BRUTOS'!$A$3:$A$500,$C22,'DADOS BRUTOS'!GQ$3:GQ$500)))</f>
        <v/>
      </c>
      <c r="JR22" s="123">
        <f>IF(OR(JR$4="",$B22=""),0,SUMIF('DADOS BRUTOS'!$A$3:$A$500,$B22,'DADOS BRUTOS'!GR$3:GR$500)+IF($C22="",0,SUMIF('DADOS BRUTOS'!$A$3:$A$500,$C22,'DADOS BRUTOS'!GR$3:GR$500)))</f>
        <v/>
      </c>
      <c r="JS22" s="123">
        <f>IF(OR(JS$4="",$B22=""),0,SUMIF('DADOS BRUTOS'!$A$3:$A$500,$B22,'DADOS BRUTOS'!GS$3:GS$500)+IF($C22="",0,SUMIF('DADOS BRUTOS'!$A$3:$A$500,$C22,'DADOS BRUTOS'!GS$3:GS$500)))</f>
        <v/>
      </c>
    </row>
    <row r="23">
      <c r="A23" s="61">
        <f>'VALOR POR PL'!D29</f>
        <v/>
      </c>
      <c r="B23" s="60" t="inlineStr">
        <is>
          <t>IMPERMEABILIZAÇÃO</t>
        </is>
      </c>
      <c r="C23" s="60" t="n"/>
      <c r="D23" s="55">
        <f>SUMIF($CB$4:$JS$4,"&lt;="&amp;D$4,$CB23:$JS23)</f>
        <v/>
      </c>
      <c r="E23" s="55">
        <f>SUMIF($CB$4:$JS$4,E$4,$CB23:$JS23)</f>
        <v/>
      </c>
      <c r="F23" s="55">
        <f>SUMIF($CB$4:$JS$4,F$4,$CB23:$JS23)</f>
        <v/>
      </c>
      <c r="G23" s="55">
        <f>SUMIF($CB$4:$JS$4,G$4,$CB23:$JS23)</f>
        <v/>
      </c>
      <c r="H23" s="55">
        <f>SUMIF($CB$4:$JS$4,H$4,$CB23:$JS23)</f>
        <v/>
      </c>
      <c r="I23" s="55">
        <f>SUMIF($CB$4:$JS$4,I$4,$CB23:$JS23)</f>
        <v/>
      </c>
      <c r="J23" s="55">
        <f>SUMIF($CB$4:$JS$4,J$4,$CB23:$JS23)</f>
        <v/>
      </c>
      <c r="K23" s="55">
        <f>SUMIF($CB$4:$JS$4,K$4,$CB23:$JS23)</f>
        <v/>
      </c>
      <c r="L23" s="55">
        <f>SUMIF($CB$4:$JS$4,L$4,$CB23:$JS23)</f>
        <v/>
      </c>
      <c r="M23" s="55">
        <f>SUMIF($CB$4:$JS$4,M$4,$CB23:$JS23)</f>
        <v/>
      </c>
      <c r="N23" s="55">
        <f>SUMIF($CB$4:$JS$4,N$4,$CB23:$JS23)</f>
        <v/>
      </c>
      <c r="O23" s="55">
        <f>SUMIF($CB$4:$JS$4,O$4,$CB23:$JS23)</f>
        <v/>
      </c>
      <c r="P23" s="55">
        <f>SUMIF($CB$4:$JS$4,P$4,$CB23:$JS23)</f>
        <v/>
      </c>
      <c r="Q23" s="55">
        <f>SUMIF($CB$4:$JS$4,Q$4,$CB23:$JS23)</f>
        <v/>
      </c>
      <c r="R23" s="55">
        <f>SUMIF($CB$4:$JS$4,R$4,$CB23:$JS23)</f>
        <v/>
      </c>
      <c r="S23" s="55">
        <f>SUMIF($CB$4:$JS$4,S$4,$CB23:$JS23)</f>
        <v/>
      </c>
      <c r="T23" s="55">
        <f>SUMIF($CB$4:$JS$4,T$4,$CB23:$JS23)</f>
        <v/>
      </c>
      <c r="U23" s="55">
        <f>SUMIF($CB$4:$JS$4,U$4,$CB23:$JS23)</f>
        <v/>
      </c>
      <c r="V23" s="55">
        <f>SUMIF($CB$4:$JS$4,V$4,$CB23:$JS23)</f>
        <v/>
      </c>
      <c r="W23" s="55">
        <f>SUMIF($CB$4:$JS$4,W$4,$CB23:$JS23)</f>
        <v/>
      </c>
      <c r="X23" s="55">
        <f>SUMIF($CB$4:$JS$4,X$4,$CB23:$JS23)</f>
        <v/>
      </c>
      <c r="Y23" s="55">
        <f>SUMIF($CB$4:$JS$4,Y$4,$CB23:$JS23)</f>
        <v/>
      </c>
      <c r="Z23" s="55">
        <f>SUMIF($CB$4:$JS$4,Z$4,$CB23:$JS23)</f>
        <v/>
      </c>
      <c r="AA23" s="55">
        <f>SUMIF($CB$4:$JS$4,AA$4,$CB23:$JS23)</f>
        <v/>
      </c>
      <c r="AB23" s="55">
        <f>SUMIF($CB$4:$JS$4,AB$4,$CB23:$JS23)</f>
        <v/>
      </c>
      <c r="AC23" s="55">
        <f>SUMIF($CB$4:$JS$4,AC$4,$CB23:$JS23)</f>
        <v/>
      </c>
      <c r="AD23" s="55">
        <f>SUMIF($CB$4:$JS$4,AD$4,$CB23:$JS23)</f>
        <v/>
      </c>
      <c r="AE23" s="55">
        <f>SUMIF($CB$4:$JS$4,AE$4,$CB23:$JS23)</f>
        <v/>
      </c>
      <c r="AF23" s="55">
        <f>SUMIF($CB$4:$JS$4,AF$4,$CB23:$JS23)</f>
        <v/>
      </c>
      <c r="AG23" s="55">
        <f>SUMIF($CB$4:$JS$4,AG$4,$CB23:$JS23)</f>
        <v/>
      </c>
      <c r="AH23" s="55">
        <f>SUMIF($CB$4:$JS$4,AH$4,$CB23:$JS23)</f>
        <v/>
      </c>
      <c r="AI23" s="55">
        <f>SUMIF($CB$4:$JS$4,AI$4,$CB23:$JS23)</f>
        <v/>
      </c>
      <c r="AJ23" s="55">
        <f>SUMIF($CB$4:$JS$4,AJ$4,$CB23:$JS23)</f>
        <v/>
      </c>
      <c r="AK23" s="55">
        <f>SUMIF($CB$4:$JS$4,AK$4,$CB23:$JS23)</f>
        <v/>
      </c>
      <c r="AL23" s="55">
        <f>SUMIF($CB$4:$JS$4,AL$4,$CB23:$JS23)</f>
        <v/>
      </c>
      <c r="AM23" s="55">
        <f>SUMIF($CB$4:$JS$4,AM$4,$CB23:$JS23)</f>
        <v/>
      </c>
      <c r="AN23" s="55">
        <f>SUMIF($CB$4:$JS$4,AN$4,$CB23:$JS23)</f>
        <v/>
      </c>
      <c r="AO23" s="55">
        <f>SUMIF($CB$4:$JS$4,AO$4,$CB23:$JS23)</f>
        <v/>
      </c>
      <c r="AP23" s="55">
        <f>SUMIF($CB$4:$JS$4,AP$4,$CB23:$JS23)</f>
        <v/>
      </c>
      <c r="AQ23" s="55">
        <f>SUMIF($CB$4:$JS$4,AQ$4,$CB23:$JS23)</f>
        <v/>
      </c>
      <c r="AR23" s="55">
        <f>SUMIF($CB$4:$JS$4,AR$4,$CB23:$JS23)</f>
        <v/>
      </c>
      <c r="AS23" s="55">
        <f>SUMIF($CB$4:$JS$4,AS$4,$CB23:$JS23)</f>
        <v/>
      </c>
      <c r="AT23" s="55">
        <f>SUMIF($CB$4:$JS$4,AT$4,$CB23:$JS23)</f>
        <v/>
      </c>
      <c r="AU23" s="55">
        <f>SUMIF($CB$4:$JS$4,AU$4,$CB23:$JS23)</f>
        <v/>
      </c>
      <c r="AV23" s="55">
        <f>SUMIF($CB$4:$JS$4,AV$4,$CB23:$JS23)</f>
        <v/>
      </c>
      <c r="AW23" s="55">
        <f>SUMIF($CB$4:$JS$4,AW$4,$CB23:$JS23)</f>
        <v/>
      </c>
      <c r="AX23" s="55">
        <f>SUMIF($CB$4:$JS$4,AX$4,$CB23:$JS23)</f>
        <v/>
      </c>
      <c r="AY23" s="55">
        <f>SUMIF($CB$4:$JS$4,AY$4,$CB23:$JS23)</f>
        <v/>
      </c>
      <c r="AZ23" s="55">
        <f>SUMIF($CB$4:$JS$4,AZ$4,$CB23:$JS23)</f>
        <v/>
      </c>
      <c r="BA23" s="55">
        <f>SUMIF($CB$4:$JS$4,BA$4,$CB23:$JS23)</f>
        <v/>
      </c>
      <c r="BB23" s="55">
        <f>SUMIF($CB$4:$JS$4,BB$4,$CB23:$JS23)</f>
        <v/>
      </c>
      <c r="BC23" s="55">
        <f>SUMIF($CB$4:$JS$4,BC$4,$CB23:$JS23)</f>
        <v/>
      </c>
      <c r="BD23" s="55">
        <f>SUMIF($CB$4:$JS$4,BD$4,$CB23:$JS23)</f>
        <v/>
      </c>
      <c r="BE23" s="55">
        <f>SUMIF($CB$4:$JS$4,BE$4,$CB23:$JS23)</f>
        <v/>
      </c>
      <c r="BF23" s="55">
        <f>SUMIF($CB$4:$JS$4,BF$4,$CB23:$JS23)</f>
        <v/>
      </c>
      <c r="BG23" s="55">
        <f>SUMIF($CB$4:$JS$4,BG$4,$CB23:$JS23)</f>
        <v/>
      </c>
      <c r="BH23" s="55">
        <f>SUMIF($CB$4:$JS$4,BH$4,$CB23:$JS23)</f>
        <v/>
      </c>
      <c r="BI23" s="55">
        <f>SUMIF($CB$4:$JS$4,BI$4,$CB23:$JS23)</f>
        <v/>
      </c>
      <c r="BJ23" s="55">
        <f>SUMIF($CB$4:$JS$4,BJ$4,$CB23:$JS23)</f>
        <v/>
      </c>
      <c r="BK23" s="55">
        <f>SUMIF($CB$4:$JS$4,BK$4,$CB23:$JS23)</f>
        <v/>
      </c>
      <c r="BL23" s="55">
        <f>SUMIF($CB$4:$JS$4,BL$4,$CB23:$JS23)</f>
        <v/>
      </c>
      <c r="BM23" s="55">
        <f>SUMIF($CB$4:$JS$4,BM$4,$CB23:$JS23)</f>
        <v/>
      </c>
      <c r="BN23" s="55">
        <f>SUMIF($CB$4:$JS$4,BN$4,$CB23:$JS23)</f>
        <v/>
      </c>
      <c r="BO23" s="55">
        <f>SUMIF($CB$4:$JS$4,BO$4,$CB23:$JS23)</f>
        <v/>
      </c>
      <c r="BP23" s="55">
        <f>SUMIF($CB$4:$JS$4,BP$4,$CB23:$JS23)</f>
        <v/>
      </c>
      <c r="BQ23" s="55">
        <f>SUMIF($CB$4:$JS$4,BQ$4,$CB23:$JS23)</f>
        <v/>
      </c>
      <c r="BR23" s="55">
        <f>SUMIF($CB$4:$JS$4,BR$4,$CB23:$JS23)</f>
        <v/>
      </c>
      <c r="BS23" s="55">
        <f>SUMIF($CB$4:$JS$4,BS$4,$CB23:$JS23)</f>
        <v/>
      </c>
      <c r="BT23" s="55">
        <f>SUMIF($CB$4:$JS$4,BT$4,$CB23:$JS23)</f>
        <v/>
      </c>
      <c r="BU23" s="55">
        <f>SUMIF($CB$4:$JS$4,BU$4,$CB23:$JS23)</f>
        <v/>
      </c>
      <c r="BV23" s="55">
        <f>SUMIF($CB$4:$JS$4,BV$4,$CB23:$JS23)</f>
        <v/>
      </c>
      <c r="BW23" s="55">
        <f>SUMIF($CB$4:$JS$4,BW$4,$CB23:$JS23)</f>
        <v/>
      </c>
      <c r="BX23" s="55">
        <f>SUMIF($CB$4:$JS$4,"&gt;"&amp;'VALOR POR PL'!$P$8,$CB23:$JS23)</f>
        <v/>
      </c>
      <c r="BY23" s="55">
        <f>SUM($CB23:$JS23)</f>
        <v/>
      </c>
      <c r="CB23" s="123">
        <f>IF(OR(CB$4="",$B23=""),0,SUMIF('DADOS BRUTOS'!$A$3:$A$500,$B23,'DADOS BRUTOS'!B$3:B$500)+IF($C23="",0,SUMIF('DADOS BRUTOS'!$A$3:$A$500,$C23,'DADOS BRUTOS'!B$3:B$500)))</f>
        <v/>
      </c>
      <c r="CC23" s="123">
        <f>IF(OR(CC$4="",$B23=""),0,SUMIF('DADOS BRUTOS'!$A$3:$A$500,$B23,'DADOS BRUTOS'!C$3:C$500)+IF($C23="",0,SUMIF('DADOS BRUTOS'!$A$3:$A$500,$C23,'DADOS BRUTOS'!C$3:C$500)))</f>
        <v/>
      </c>
      <c r="CD23" s="123">
        <f>IF(OR(CD$4="",$B23=""),0,SUMIF('DADOS BRUTOS'!$A$3:$A$500,$B23,'DADOS BRUTOS'!D$3:D$500)+IF($C23="",0,SUMIF('DADOS BRUTOS'!$A$3:$A$500,$C23,'DADOS BRUTOS'!D$3:D$500)))</f>
        <v/>
      </c>
      <c r="CE23" s="123">
        <f>IF(OR(CE$4="",$B23=""),0,SUMIF('DADOS BRUTOS'!$A$3:$A$500,$B23,'DADOS BRUTOS'!E$3:E$500)+IF($C23="",0,SUMIF('DADOS BRUTOS'!$A$3:$A$500,$C23,'DADOS BRUTOS'!E$3:E$500)))</f>
        <v/>
      </c>
      <c r="CF23" s="123">
        <f>IF(OR(CF$4="",$B23=""),0,SUMIF('DADOS BRUTOS'!$A$3:$A$500,$B23,'DADOS BRUTOS'!F$3:F$500)+IF($C23="",0,SUMIF('DADOS BRUTOS'!$A$3:$A$500,$C23,'DADOS BRUTOS'!F$3:F$500)))</f>
        <v/>
      </c>
      <c r="CG23" s="123">
        <f>IF(OR(CG$4="",$B23=""),0,SUMIF('DADOS BRUTOS'!$A$3:$A$500,$B23,'DADOS BRUTOS'!G$3:G$500)+IF($C23="",0,SUMIF('DADOS BRUTOS'!$A$3:$A$500,$C23,'DADOS BRUTOS'!G$3:G$500)))</f>
        <v/>
      </c>
      <c r="CH23" s="123">
        <f>IF(OR(CH$4="",$B23=""),0,SUMIF('DADOS BRUTOS'!$A$3:$A$500,$B23,'DADOS BRUTOS'!H$3:H$500)+IF($C23="",0,SUMIF('DADOS BRUTOS'!$A$3:$A$500,$C23,'DADOS BRUTOS'!H$3:H$500)))</f>
        <v/>
      </c>
      <c r="CI23" s="123">
        <f>IF(OR(CI$4="",$B23=""),0,SUMIF('DADOS BRUTOS'!$A$3:$A$500,$B23,'DADOS BRUTOS'!I$3:I$500)+IF($C23="",0,SUMIF('DADOS BRUTOS'!$A$3:$A$500,$C23,'DADOS BRUTOS'!I$3:I$500)))</f>
        <v/>
      </c>
      <c r="CJ23" s="123">
        <f>IF(OR(CJ$4="",$B23=""),0,SUMIF('DADOS BRUTOS'!$A$3:$A$500,$B23,'DADOS BRUTOS'!J$3:J$500)+IF($C23="",0,SUMIF('DADOS BRUTOS'!$A$3:$A$500,$C23,'DADOS BRUTOS'!J$3:J$500)))</f>
        <v/>
      </c>
      <c r="CK23" s="123">
        <f>IF(OR(CK$4="",$B23=""),0,SUMIF('DADOS BRUTOS'!$A$3:$A$500,$B23,'DADOS BRUTOS'!K$3:K$500)+IF($C23="",0,SUMIF('DADOS BRUTOS'!$A$3:$A$500,$C23,'DADOS BRUTOS'!K$3:K$500)))</f>
        <v/>
      </c>
      <c r="CL23" s="123">
        <f>IF(OR(CL$4="",$B23=""),0,SUMIF('DADOS BRUTOS'!$A$3:$A$500,$B23,'DADOS BRUTOS'!L$3:L$500)+IF($C23="",0,SUMIF('DADOS BRUTOS'!$A$3:$A$500,$C23,'DADOS BRUTOS'!L$3:L$500)))</f>
        <v/>
      </c>
      <c r="CM23" s="123">
        <f>IF(OR(CM$4="",$B23=""),0,SUMIF('DADOS BRUTOS'!$A$3:$A$500,$B23,'DADOS BRUTOS'!M$3:M$500)+IF($C23="",0,SUMIF('DADOS BRUTOS'!$A$3:$A$500,$C23,'DADOS BRUTOS'!M$3:M$500)))</f>
        <v/>
      </c>
      <c r="CN23" s="123">
        <f>IF(OR(CN$4="",$B23=""),0,SUMIF('DADOS BRUTOS'!$A$3:$A$500,$B23,'DADOS BRUTOS'!N$3:N$500)+IF($C23="",0,SUMIF('DADOS BRUTOS'!$A$3:$A$500,$C23,'DADOS BRUTOS'!N$3:N$500)))</f>
        <v/>
      </c>
      <c r="CO23" s="123">
        <f>IF(OR(CO$4="",$B23=""),0,SUMIF('DADOS BRUTOS'!$A$3:$A$500,$B23,'DADOS BRUTOS'!O$3:O$500)+IF($C23="",0,SUMIF('DADOS BRUTOS'!$A$3:$A$500,$C23,'DADOS BRUTOS'!O$3:O$500)))</f>
        <v/>
      </c>
      <c r="CP23" s="123">
        <f>IF(OR(CP$4="",$B23=""),0,SUMIF('DADOS BRUTOS'!$A$3:$A$500,$B23,'DADOS BRUTOS'!P$3:P$500)+IF($C23="",0,SUMIF('DADOS BRUTOS'!$A$3:$A$500,$C23,'DADOS BRUTOS'!P$3:P$500)))</f>
        <v/>
      </c>
      <c r="CQ23" s="123">
        <f>IF(OR(CQ$4="",$B23=""),0,SUMIF('DADOS BRUTOS'!$A$3:$A$500,$B23,'DADOS BRUTOS'!Q$3:Q$500)+IF($C23="",0,SUMIF('DADOS BRUTOS'!$A$3:$A$500,$C23,'DADOS BRUTOS'!Q$3:Q$500)))</f>
        <v/>
      </c>
      <c r="CR23" s="123">
        <f>IF(OR(CR$4="",$B23=""),0,SUMIF('DADOS BRUTOS'!$A$3:$A$500,$B23,'DADOS BRUTOS'!R$3:R$500)+IF($C23="",0,SUMIF('DADOS BRUTOS'!$A$3:$A$500,$C23,'DADOS BRUTOS'!R$3:R$500)))</f>
        <v/>
      </c>
      <c r="CS23" s="123">
        <f>IF(OR(CS$4="",$B23=""),0,SUMIF('DADOS BRUTOS'!$A$3:$A$500,$B23,'DADOS BRUTOS'!S$3:S$500)+IF($C23="",0,SUMIF('DADOS BRUTOS'!$A$3:$A$500,$C23,'DADOS BRUTOS'!S$3:S$500)))</f>
        <v/>
      </c>
      <c r="CT23" s="123">
        <f>IF(OR(CT$4="",$B23=""),0,SUMIF('DADOS BRUTOS'!$A$3:$A$500,$B23,'DADOS BRUTOS'!T$3:T$500)+IF($C23="",0,SUMIF('DADOS BRUTOS'!$A$3:$A$500,$C23,'DADOS BRUTOS'!T$3:T$500)))</f>
        <v/>
      </c>
      <c r="CU23" s="123">
        <f>IF(OR(CU$4="",$B23=""),0,SUMIF('DADOS BRUTOS'!$A$3:$A$500,$B23,'DADOS BRUTOS'!U$3:U$500)+IF($C23="",0,SUMIF('DADOS BRUTOS'!$A$3:$A$500,$C23,'DADOS BRUTOS'!U$3:U$500)))</f>
        <v/>
      </c>
      <c r="CV23" s="123">
        <f>IF(OR(CV$4="",$B23=""),0,SUMIF('DADOS BRUTOS'!$A$3:$A$500,$B23,'DADOS BRUTOS'!V$3:V$500)+IF($C23="",0,SUMIF('DADOS BRUTOS'!$A$3:$A$500,$C23,'DADOS BRUTOS'!V$3:V$500)))</f>
        <v/>
      </c>
      <c r="CW23" s="123">
        <f>IF(OR(CW$4="",$B23=""),0,SUMIF('DADOS BRUTOS'!$A$3:$A$500,$B23,'DADOS BRUTOS'!W$3:W$500)+IF($C23="",0,SUMIF('DADOS BRUTOS'!$A$3:$A$500,$C23,'DADOS BRUTOS'!W$3:W$500)))</f>
        <v/>
      </c>
      <c r="CX23" s="123">
        <f>IF(OR(CX$4="",$B23=""),0,SUMIF('DADOS BRUTOS'!$A$3:$A$500,$B23,'DADOS BRUTOS'!X$3:X$500)+IF($C23="",0,SUMIF('DADOS BRUTOS'!$A$3:$A$500,$C23,'DADOS BRUTOS'!X$3:X$500)))</f>
        <v/>
      </c>
      <c r="CY23" s="123">
        <f>IF(OR(CY$4="",$B23=""),0,SUMIF('DADOS BRUTOS'!$A$3:$A$500,$B23,'DADOS BRUTOS'!Y$3:Y$500)+IF($C23="",0,SUMIF('DADOS BRUTOS'!$A$3:$A$500,$C23,'DADOS BRUTOS'!Y$3:Y$500)))</f>
        <v/>
      </c>
      <c r="CZ23" s="123">
        <f>IF(OR(CZ$4="",$B23=""),0,SUMIF('DADOS BRUTOS'!$A$3:$A$500,$B23,'DADOS BRUTOS'!Z$3:Z$500)+IF($C23="",0,SUMIF('DADOS BRUTOS'!$A$3:$A$500,$C23,'DADOS BRUTOS'!Z$3:Z$500)))</f>
        <v/>
      </c>
      <c r="DA23" s="123">
        <f>IF(OR(DA$4="",$B23=""),0,SUMIF('DADOS BRUTOS'!$A$3:$A$500,$B23,'DADOS BRUTOS'!AA$3:AA$500)+IF($C23="",0,SUMIF('DADOS BRUTOS'!$A$3:$A$500,$C23,'DADOS BRUTOS'!AA$3:AA$500)))</f>
        <v/>
      </c>
      <c r="DB23" s="123">
        <f>IF(OR(DB$4="",$B23=""),0,SUMIF('DADOS BRUTOS'!$A$3:$A$500,$B23,'DADOS BRUTOS'!AB$3:AB$500)+IF($C23="",0,SUMIF('DADOS BRUTOS'!$A$3:$A$500,$C23,'DADOS BRUTOS'!AB$3:AB$500)))</f>
        <v/>
      </c>
      <c r="DC23" s="123">
        <f>IF(OR(DC$4="",$B23=""),0,SUMIF('DADOS BRUTOS'!$A$3:$A$500,$B23,'DADOS BRUTOS'!AC$3:AC$500)+IF($C23="",0,SUMIF('DADOS BRUTOS'!$A$3:$A$500,$C23,'DADOS BRUTOS'!AC$3:AC$500)))</f>
        <v/>
      </c>
      <c r="DD23" s="123">
        <f>IF(OR(DD$4="",$B23=""),0,SUMIF('DADOS BRUTOS'!$A$3:$A$500,$B23,'DADOS BRUTOS'!AD$3:AD$500)+IF($C23="",0,SUMIF('DADOS BRUTOS'!$A$3:$A$500,$C23,'DADOS BRUTOS'!AD$3:AD$500)))</f>
        <v/>
      </c>
      <c r="DE23" s="123">
        <f>IF(OR(DE$4="",$B23=""),0,SUMIF('DADOS BRUTOS'!$A$3:$A$500,$B23,'DADOS BRUTOS'!AE$3:AE$500)+IF($C23="",0,SUMIF('DADOS BRUTOS'!$A$3:$A$500,$C23,'DADOS BRUTOS'!AE$3:AE$500)))</f>
        <v/>
      </c>
      <c r="DF23" s="123">
        <f>IF(OR(DF$4="",$B23=""),0,SUMIF('DADOS BRUTOS'!$A$3:$A$500,$B23,'DADOS BRUTOS'!AF$3:AF$500)+IF($C23="",0,SUMIF('DADOS BRUTOS'!$A$3:$A$500,$C23,'DADOS BRUTOS'!AF$3:AF$500)))</f>
        <v/>
      </c>
      <c r="DG23" s="123">
        <f>IF(OR(DG$4="",$B23=""),0,SUMIF('DADOS BRUTOS'!$A$3:$A$500,$B23,'DADOS BRUTOS'!AG$3:AG$500)+IF($C23="",0,SUMIF('DADOS BRUTOS'!$A$3:$A$500,$C23,'DADOS BRUTOS'!AG$3:AG$500)))</f>
        <v/>
      </c>
      <c r="DH23" s="123">
        <f>IF(OR(DH$4="",$B23=""),0,SUMIF('DADOS BRUTOS'!$A$3:$A$500,$B23,'DADOS BRUTOS'!AH$3:AH$500)+IF($C23="",0,SUMIF('DADOS BRUTOS'!$A$3:$A$500,$C23,'DADOS BRUTOS'!AH$3:AH$500)))</f>
        <v/>
      </c>
      <c r="DI23" s="123">
        <f>IF(OR(DI$4="",$B23=""),0,SUMIF('DADOS BRUTOS'!$A$3:$A$500,$B23,'DADOS BRUTOS'!AI$3:AI$500)+IF($C23="",0,SUMIF('DADOS BRUTOS'!$A$3:$A$500,$C23,'DADOS BRUTOS'!AI$3:AI$500)))</f>
        <v/>
      </c>
      <c r="DJ23" s="123">
        <f>IF(OR(DJ$4="",$B23=""),0,SUMIF('DADOS BRUTOS'!$A$3:$A$500,$B23,'DADOS BRUTOS'!AJ$3:AJ$500)+IF($C23="",0,SUMIF('DADOS BRUTOS'!$A$3:$A$500,$C23,'DADOS BRUTOS'!AJ$3:AJ$500)))</f>
        <v/>
      </c>
      <c r="DK23" s="123">
        <f>IF(OR(DK$4="",$B23=""),0,SUMIF('DADOS BRUTOS'!$A$3:$A$500,$B23,'DADOS BRUTOS'!AK$3:AK$500)+IF($C23="",0,SUMIF('DADOS BRUTOS'!$A$3:$A$500,$C23,'DADOS BRUTOS'!AK$3:AK$500)))</f>
        <v/>
      </c>
      <c r="DL23" s="123">
        <f>IF(OR(DL$4="",$B23=""),0,SUMIF('DADOS BRUTOS'!$A$3:$A$500,$B23,'DADOS BRUTOS'!AL$3:AL$500)+IF($C23="",0,SUMIF('DADOS BRUTOS'!$A$3:$A$500,$C23,'DADOS BRUTOS'!AL$3:AL$500)))</f>
        <v/>
      </c>
      <c r="DM23" s="123">
        <f>IF(OR(DM$4="",$B23=""),0,SUMIF('DADOS BRUTOS'!$A$3:$A$500,$B23,'DADOS BRUTOS'!AM$3:AM$500)+IF($C23="",0,SUMIF('DADOS BRUTOS'!$A$3:$A$500,$C23,'DADOS BRUTOS'!AM$3:AM$500)))</f>
        <v/>
      </c>
      <c r="DN23" s="123">
        <f>IF(OR(DN$4="",$B23=""),0,SUMIF('DADOS BRUTOS'!$A$3:$A$500,$B23,'DADOS BRUTOS'!AN$3:AN$500)+IF($C23="",0,SUMIF('DADOS BRUTOS'!$A$3:$A$500,$C23,'DADOS BRUTOS'!AN$3:AN$500)))</f>
        <v/>
      </c>
      <c r="DO23" s="123">
        <f>IF(OR(DO$4="",$B23=""),0,SUMIF('DADOS BRUTOS'!$A$3:$A$500,$B23,'DADOS BRUTOS'!AO$3:AO$500)+IF($C23="",0,SUMIF('DADOS BRUTOS'!$A$3:$A$500,$C23,'DADOS BRUTOS'!AO$3:AO$500)))</f>
        <v/>
      </c>
      <c r="DP23" s="123">
        <f>IF(OR(DP$4="",$B23=""),0,SUMIF('DADOS BRUTOS'!$A$3:$A$500,$B23,'DADOS BRUTOS'!AP$3:AP$500)+IF($C23="",0,SUMIF('DADOS BRUTOS'!$A$3:$A$500,$C23,'DADOS BRUTOS'!AP$3:AP$500)))</f>
        <v/>
      </c>
      <c r="DQ23" s="123">
        <f>IF(OR(DQ$4="",$B23=""),0,SUMIF('DADOS BRUTOS'!$A$3:$A$500,$B23,'DADOS BRUTOS'!AQ$3:AQ$500)+IF($C23="",0,SUMIF('DADOS BRUTOS'!$A$3:$A$500,$C23,'DADOS BRUTOS'!AQ$3:AQ$500)))</f>
        <v/>
      </c>
      <c r="DR23" s="123">
        <f>IF(OR(DR$4="",$B23=""),0,SUMIF('DADOS BRUTOS'!$A$3:$A$500,$B23,'DADOS BRUTOS'!AR$3:AR$500)+IF($C23="",0,SUMIF('DADOS BRUTOS'!$A$3:$A$500,$C23,'DADOS BRUTOS'!AR$3:AR$500)))</f>
        <v/>
      </c>
      <c r="DS23" s="123">
        <f>IF(OR(DS$4="",$B23=""),0,SUMIF('DADOS BRUTOS'!$A$3:$A$500,$B23,'DADOS BRUTOS'!AS$3:AS$500)+IF($C23="",0,SUMIF('DADOS BRUTOS'!$A$3:$A$500,$C23,'DADOS BRUTOS'!AS$3:AS$500)))</f>
        <v/>
      </c>
      <c r="DT23" s="123">
        <f>IF(OR(DT$4="",$B23=""),0,SUMIF('DADOS BRUTOS'!$A$3:$A$500,$B23,'DADOS BRUTOS'!AT$3:AT$500)+IF($C23="",0,SUMIF('DADOS BRUTOS'!$A$3:$A$500,$C23,'DADOS BRUTOS'!AT$3:AT$500)))</f>
        <v/>
      </c>
      <c r="DU23" s="123">
        <f>IF(OR(DU$4="",$B23=""),0,SUMIF('DADOS BRUTOS'!$A$3:$A$500,$B23,'DADOS BRUTOS'!AU$3:AU$500)+IF($C23="",0,SUMIF('DADOS BRUTOS'!$A$3:$A$500,$C23,'DADOS BRUTOS'!AU$3:AU$500)))</f>
        <v/>
      </c>
      <c r="DV23" s="123">
        <f>IF(OR(DV$4="",$B23=""),0,SUMIF('DADOS BRUTOS'!$A$3:$A$500,$B23,'DADOS BRUTOS'!AV$3:AV$500)+IF($C23="",0,SUMIF('DADOS BRUTOS'!$A$3:$A$500,$C23,'DADOS BRUTOS'!AV$3:AV$500)))</f>
        <v/>
      </c>
      <c r="DW23" s="123">
        <f>IF(OR(DW$4="",$B23=""),0,SUMIF('DADOS BRUTOS'!$A$3:$A$500,$B23,'DADOS BRUTOS'!AW$3:AW$500)+IF($C23="",0,SUMIF('DADOS BRUTOS'!$A$3:$A$500,$C23,'DADOS BRUTOS'!AW$3:AW$500)))</f>
        <v/>
      </c>
      <c r="DX23" s="123">
        <f>IF(OR(DX$4="",$B23=""),0,SUMIF('DADOS BRUTOS'!$A$3:$A$500,$B23,'DADOS BRUTOS'!AX$3:AX$500)+IF($C23="",0,SUMIF('DADOS BRUTOS'!$A$3:$A$500,$C23,'DADOS BRUTOS'!AX$3:AX$500)))</f>
        <v/>
      </c>
      <c r="DY23" s="123">
        <f>IF(OR(DY$4="",$B23=""),0,SUMIF('DADOS BRUTOS'!$A$3:$A$500,$B23,'DADOS BRUTOS'!AY$3:AY$500)+IF($C23="",0,SUMIF('DADOS BRUTOS'!$A$3:$A$500,$C23,'DADOS BRUTOS'!AY$3:AY$500)))</f>
        <v/>
      </c>
      <c r="DZ23" s="123">
        <f>IF(OR(DZ$4="",$B23=""),0,SUMIF('DADOS BRUTOS'!$A$3:$A$500,$B23,'DADOS BRUTOS'!AZ$3:AZ$500)+IF($C23="",0,SUMIF('DADOS BRUTOS'!$A$3:$A$500,$C23,'DADOS BRUTOS'!AZ$3:AZ$500)))</f>
        <v/>
      </c>
      <c r="EA23" s="123">
        <f>IF(OR(EA$4="",$B23=""),0,SUMIF('DADOS BRUTOS'!$A$3:$A$500,$B23,'DADOS BRUTOS'!BA$3:BA$500)+IF($C23="",0,SUMIF('DADOS BRUTOS'!$A$3:$A$500,$C23,'DADOS BRUTOS'!BA$3:BA$500)))</f>
        <v/>
      </c>
      <c r="EB23" s="123">
        <f>IF(OR(EB$4="",$B23=""),0,SUMIF('DADOS BRUTOS'!$A$3:$A$500,$B23,'DADOS BRUTOS'!BB$3:BB$500)+IF($C23="",0,SUMIF('DADOS BRUTOS'!$A$3:$A$500,$C23,'DADOS BRUTOS'!BB$3:BB$500)))</f>
        <v/>
      </c>
      <c r="EC23" s="123">
        <f>IF(OR(EC$4="",$B23=""),0,SUMIF('DADOS BRUTOS'!$A$3:$A$500,$B23,'DADOS BRUTOS'!BC$3:BC$500)+IF($C23="",0,SUMIF('DADOS BRUTOS'!$A$3:$A$500,$C23,'DADOS BRUTOS'!BC$3:BC$500)))</f>
        <v/>
      </c>
      <c r="ED23" s="123">
        <f>IF(OR(ED$4="",$B23=""),0,SUMIF('DADOS BRUTOS'!$A$3:$A$500,$B23,'DADOS BRUTOS'!BD$3:BD$500)+IF($C23="",0,SUMIF('DADOS BRUTOS'!$A$3:$A$500,$C23,'DADOS BRUTOS'!BD$3:BD$500)))</f>
        <v/>
      </c>
      <c r="EE23" s="123">
        <f>IF(OR(EE$4="",$B23=""),0,SUMIF('DADOS BRUTOS'!$A$3:$A$500,$B23,'DADOS BRUTOS'!BE$3:BE$500)+IF($C23="",0,SUMIF('DADOS BRUTOS'!$A$3:$A$500,$C23,'DADOS BRUTOS'!BE$3:BE$500)))</f>
        <v/>
      </c>
      <c r="EF23" s="123">
        <f>IF(OR(EF$4="",$B23=""),0,SUMIF('DADOS BRUTOS'!$A$3:$A$500,$B23,'DADOS BRUTOS'!BF$3:BF$500)+IF($C23="",0,SUMIF('DADOS BRUTOS'!$A$3:$A$500,$C23,'DADOS BRUTOS'!BF$3:BF$500)))</f>
        <v/>
      </c>
      <c r="EG23" s="123">
        <f>IF(OR(EG$4="",$B23=""),0,SUMIF('DADOS BRUTOS'!$A$3:$A$500,$B23,'DADOS BRUTOS'!BG$3:BG$500)+IF($C23="",0,SUMIF('DADOS BRUTOS'!$A$3:$A$500,$C23,'DADOS BRUTOS'!BG$3:BG$500)))</f>
        <v/>
      </c>
      <c r="EH23" s="123">
        <f>IF(OR(EH$4="",$B23=""),0,SUMIF('DADOS BRUTOS'!$A$3:$A$500,$B23,'DADOS BRUTOS'!BH$3:BH$500)+IF($C23="",0,SUMIF('DADOS BRUTOS'!$A$3:$A$500,$C23,'DADOS BRUTOS'!BH$3:BH$500)))</f>
        <v/>
      </c>
      <c r="EI23" s="123">
        <f>IF(OR(EI$4="",$B23=""),0,SUMIF('DADOS BRUTOS'!$A$3:$A$500,$B23,'DADOS BRUTOS'!BI$3:BI$500)+IF($C23="",0,SUMIF('DADOS BRUTOS'!$A$3:$A$500,$C23,'DADOS BRUTOS'!BI$3:BI$500)))</f>
        <v/>
      </c>
      <c r="EJ23" s="123">
        <f>IF(OR(EJ$4="",$B23=""),0,SUMIF('DADOS BRUTOS'!$A$3:$A$500,$B23,'DADOS BRUTOS'!BJ$3:BJ$500)+IF($C23="",0,SUMIF('DADOS BRUTOS'!$A$3:$A$500,$C23,'DADOS BRUTOS'!BJ$3:BJ$500)))</f>
        <v/>
      </c>
      <c r="EK23" s="123">
        <f>IF(OR(EK$4="",$B23=""),0,SUMIF('DADOS BRUTOS'!$A$3:$A$500,$B23,'DADOS BRUTOS'!BK$3:BK$500)+IF($C23="",0,SUMIF('DADOS BRUTOS'!$A$3:$A$500,$C23,'DADOS BRUTOS'!BK$3:BK$500)))</f>
        <v/>
      </c>
      <c r="EL23" s="123">
        <f>IF(OR(EL$4="",$B23=""),0,SUMIF('DADOS BRUTOS'!$A$3:$A$500,$B23,'DADOS BRUTOS'!BL$3:BL$500)+IF($C23="",0,SUMIF('DADOS BRUTOS'!$A$3:$A$500,$C23,'DADOS BRUTOS'!BL$3:BL$500)))</f>
        <v/>
      </c>
      <c r="EM23" s="123">
        <f>IF(OR(EM$4="",$B23=""),0,SUMIF('DADOS BRUTOS'!$A$3:$A$500,$B23,'DADOS BRUTOS'!BM$3:BM$500)+IF($C23="",0,SUMIF('DADOS BRUTOS'!$A$3:$A$500,$C23,'DADOS BRUTOS'!BM$3:BM$500)))</f>
        <v/>
      </c>
      <c r="EN23" s="123">
        <f>IF(OR(EN$4="",$B23=""),0,SUMIF('DADOS BRUTOS'!$A$3:$A$500,$B23,'DADOS BRUTOS'!BN$3:BN$500)+IF($C23="",0,SUMIF('DADOS BRUTOS'!$A$3:$A$500,$C23,'DADOS BRUTOS'!BN$3:BN$500)))</f>
        <v/>
      </c>
      <c r="EO23" s="123">
        <f>IF(OR(EO$4="",$B23=""),0,SUMIF('DADOS BRUTOS'!$A$3:$A$500,$B23,'DADOS BRUTOS'!BO$3:BO$500)+IF($C23="",0,SUMIF('DADOS BRUTOS'!$A$3:$A$500,$C23,'DADOS BRUTOS'!BO$3:BO$500)))</f>
        <v/>
      </c>
      <c r="EP23" s="123">
        <f>IF(OR(EP$4="",$B23=""),0,SUMIF('DADOS BRUTOS'!$A$3:$A$500,$B23,'DADOS BRUTOS'!BP$3:BP$500)+IF($C23="",0,SUMIF('DADOS BRUTOS'!$A$3:$A$500,$C23,'DADOS BRUTOS'!BP$3:BP$500)))</f>
        <v/>
      </c>
      <c r="EQ23" s="123">
        <f>IF(OR(EQ$4="",$B23=""),0,SUMIF('DADOS BRUTOS'!$A$3:$A$500,$B23,'DADOS BRUTOS'!BQ$3:BQ$500)+IF($C23="",0,SUMIF('DADOS BRUTOS'!$A$3:$A$500,$C23,'DADOS BRUTOS'!BQ$3:BQ$500)))</f>
        <v/>
      </c>
      <c r="ER23" s="123">
        <f>IF(OR(ER$4="",$B23=""),0,SUMIF('DADOS BRUTOS'!$A$3:$A$500,$B23,'DADOS BRUTOS'!BR$3:BR$500)+IF($C23="",0,SUMIF('DADOS BRUTOS'!$A$3:$A$500,$C23,'DADOS BRUTOS'!BR$3:BR$500)))</f>
        <v/>
      </c>
      <c r="ES23" s="123">
        <f>IF(OR(ES$4="",$B23=""),0,SUMIF('DADOS BRUTOS'!$A$3:$A$500,$B23,'DADOS BRUTOS'!BS$3:BS$500)+IF($C23="",0,SUMIF('DADOS BRUTOS'!$A$3:$A$500,$C23,'DADOS BRUTOS'!BS$3:BS$500)))</f>
        <v/>
      </c>
      <c r="ET23" s="123">
        <f>IF(OR(ET$4="",$B23=""),0,SUMIF('DADOS BRUTOS'!$A$3:$A$500,$B23,'DADOS BRUTOS'!BT$3:BT$500)+IF($C23="",0,SUMIF('DADOS BRUTOS'!$A$3:$A$500,$C23,'DADOS BRUTOS'!BT$3:BT$500)))</f>
        <v/>
      </c>
      <c r="EU23" s="123">
        <f>IF(OR(EU$4="",$B23=""),0,SUMIF('DADOS BRUTOS'!$A$3:$A$500,$B23,'DADOS BRUTOS'!BU$3:BU$500)+IF($C23="",0,SUMIF('DADOS BRUTOS'!$A$3:$A$500,$C23,'DADOS BRUTOS'!BU$3:BU$500)))</f>
        <v/>
      </c>
      <c r="EV23" s="123">
        <f>IF(OR(EV$4="",$B23=""),0,SUMIF('DADOS BRUTOS'!$A$3:$A$500,$B23,'DADOS BRUTOS'!BV$3:BV$500)+IF($C23="",0,SUMIF('DADOS BRUTOS'!$A$3:$A$500,$C23,'DADOS BRUTOS'!BV$3:BV$500)))</f>
        <v/>
      </c>
      <c r="EW23" s="123">
        <f>IF(OR(EW$4="",$B23=""),0,SUMIF('DADOS BRUTOS'!$A$3:$A$500,$B23,'DADOS BRUTOS'!BW$3:BW$500)+IF($C23="",0,SUMIF('DADOS BRUTOS'!$A$3:$A$500,$C23,'DADOS BRUTOS'!BW$3:BW$500)))</f>
        <v/>
      </c>
      <c r="EX23" s="123">
        <f>IF(OR(EX$4="",$B23=""),0,SUMIF('DADOS BRUTOS'!$A$3:$A$500,$B23,'DADOS BRUTOS'!BX$3:BX$500)+IF($C23="",0,SUMIF('DADOS BRUTOS'!$A$3:$A$500,$C23,'DADOS BRUTOS'!BX$3:BX$500)))</f>
        <v/>
      </c>
      <c r="EY23" s="123">
        <f>IF(OR(EY$4="",$B23=""),0,SUMIF('DADOS BRUTOS'!$A$3:$A$500,$B23,'DADOS BRUTOS'!BY$3:BY$500)+IF($C23="",0,SUMIF('DADOS BRUTOS'!$A$3:$A$500,$C23,'DADOS BRUTOS'!BY$3:BY$500)))</f>
        <v/>
      </c>
      <c r="EZ23" s="123">
        <f>IF(OR(EZ$4="",$B23=""),0,SUMIF('DADOS BRUTOS'!$A$3:$A$500,$B23,'DADOS BRUTOS'!BZ$3:BZ$500)+IF($C23="",0,SUMIF('DADOS BRUTOS'!$A$3:$A$500,$C23,'DADOS BRUTOS'!BZ$3:BZ$500)))</f>
        <v/>
      </c>
      <c r="FA23" s="123">
        <f>IF(OR(FA$4="",$B23=""),0,SUMIF('DADOS BRUTOS'!$A$3:$A$500,$B23,'DADOS BRUTOS'!CA$3:CA$500)+IF($C23="",0,SUMIF('DADOS BRUTOS'!$A$3:$A$500,$C23,'DADOS BRUTOS'!CA$3:CA$500)))</f>
        <v/>
      </c>
      <c r="FB23" s="123">
        <f>IF(OR(FB$4="",$B23=""),0,SUMIF('DADOS BRUTOS'!$A$3:$A$500,$B23,'DADOS BRUTOS'!CB$3:CB$500)+IF($C23="",0,SUMIF('DADOS BRUTOS'!$A$3:$A$500,$C23,'DADOS BRUTOS'!CB$3:CB$500)))</f>
        <v/>
      </c>
      <c r="FC23" s="123">
        <f>IF(OR(FC$4="",$B23=""),0,SUMIF('DADOS BRUTOS'!$A$3:$A$500,$B23,'DADOS BRUTOS'!CC$3:CC$500)+IF($C23="",0,SUMIF('DADOS BRUTOS'!$A$3:$A$500,$C23,'DADOS BRUTOS'!CC$3:CC$500)))</f>
        <v/>
      </c>
      <c r="FD23" s="123">
        <f>IF(OR(FD$4="",$B23=""),0,SUMIF('DADOS BRUTOS'!$A$3:$A$500,$B23,'DADOS BRUTOS'!CD$3:CD$500)+IF($C23="",0,SUMIF('DADOS BRUTOS'!$A$3:$A$500,$C23,'DADOS BRUTOS'!CD$3:CD$500)))</f>
        <v/>
      </c>
      <c r="FE23" s="123">
        <f>IF(OR(FE$4="",$B23=""),0,SUMIF('DADOS BRUTOS'!$A$3:$A$500,$B23,'DADOS BRUTOS'!CE$3:CE$500)+IF($C23="",0,SUMIF('DADOS BRUTOS'!$A$3:$A$500,$C23,'DADOS BRUTOS'!CE$3:CE$500)))</f>
        <v/>
      </c>
      <c r="FF23" s="123">
        <f>IF(OR(FF$4="",$B23=""),0,SUMIF('DADOS BRUTOS'!$A$3:$A$500,$B23,'DADOS BRUTOS'!CF$3:CF$500)+IF($C23="",0,SUMIF('DADOS BRUTOS'!$A$3:$A$500,$C23,'DADOS BRUTOS'!CF$3:CF$500)))</f>
        <v/>
      </c>
      <c r="FG23" s="123">
        <f>IF(OR(FG$4="",$B23=""),0,SUMIF('DADOS BRUTOS'!$A$3:$A$500,$B23,'DADOS BRUTOS'!CG$3:CG$500)+IF($C23="",0,SUMIF('DADOS BRUTOS'!$A$3:$A$500,$C23,'DADOS BRUTOS'!CG$3:CG$500)))</f>
        <v/>
      </c>
      <c r="FH23" s="123">
        <f>IF(OR(FH$4="",$B23=""),0,SUMIF('DADOS BRUTOS'!$A$3:$A$500,$B23,'DADOS BRUTOS'!CH$3:CH$500)+IF($C23="",0,SUMIF('DADOS BRUTOS'!$A$3:$A$500,$C23,'DADOS BRUTOS'!CH$3:CH$500)))</f>
        <v/>
      </c>
      <c r="FI23" s="123">
        <f>IF(OR(FI$4="",$B23=""),0,SUMIF('DADOS BRUTOS'!$A$3:$A$500,$B23,'DADOS BRUTOS'!CI$3:CI$500)+IF($C23="",0,SUMIF('DADOS BRUTOS'!$A$3:$A$500,$C23,'DADOS BRUTOS'!CI$3:CI$500)))</f>
        <v/>
      </c>
      <c r="FJ23" s="123">
        <f>IF(OR(FJ$4="",$B23=""),0,SUMIF('DADOS BRUTOS'!$A$3:$A$500,$B23,'DADOS BRUTOS'!CJ$3:CJ$500)+IF($C23="",0,SUMIF('DADOS BRUTOS'!$A$3:$A$500,$C23,'DADOS BRUTOS'!CJ$3:CJ$500)))</f>
        <v/>
      </c>
      <c r="FK23" s="123">
        <f>IF(OR(FK$4="",$B23=""),0,SUMIF('DADOS BRUTOS'!$A$3:$A$500,$B23,'DADOS BRUTOS'!CK$3:CK$500)+IF($C23="",0,SUMIF('DADOS BRUTOS'!$A$3:$A$500,$C23,'DADOS BRUTOS'!CK$3:CK$500)))</f>
        <v/>
      </c>
      <c r="FL23" s="123">
        <f>IF(OR(FL$4="",$B23=""),0,SUMIF('DADOS BRUTOS'!$A$3:$A$500,$B23,'DADOS BRUTOS'!CL$3:CL$500)+IF($C23="",0,SUMIF('DADOS BRUTOS'!$A$3:$A$500,$C23,'DADOS BRUTOS'!CL$3:CL$500)))</f>
        <v/>
      </c>
      <c r="FM23" s="123">
        <f>IF(OR(FM$4="",$B23=""),0,SUMIF('DADOS BRUTOS'!$A$3:$A$500,$B23,'DADOS BRUTOS'!CM$3:CM$500)+IF($C23="",0,SUMIF('DADOS BRUTOS'!$A$3:$A$500,$C23,'DADOS BRUTOS'!CM$3:CM$500)))</f>
        <v/>
      </c>
      <c r="FN23" s="123">
        <f>IF(OR(FN$4="",$B23=""),0,SUMIF('DADOS BRUTOS'!$A$3:$A$500,$B23,'DADOS BRUTOS'!CN$3:CN$500)+IF($C23="",0,SUMIF('DADOS BRUTOS'!$A$3:$A$500,$C23,'DADOS BRUTOS'!CN$3:CN$500)))</f>
        <v/>
      </c>
      <c r="FO23" s="123">
        <f>IF(OR(FO$4="",$B23=""),0,SUMIF('DADOS BRUTOS'!$A$3:$A$500,$B23,'DADOS BRUTOS'!CO$3:CO$500)+IF($C23="",0,SUMIF('DADOS BRUTOS'!$A$3:$A$500,$C23,'DADOS BRUTOS'!CO$3:CO$500)))</f>
        <v/>
      </c>
      <c r="FP23" s="123">
        <f>IF(OR(FP$4="",$B23=""),0,SUMIF('DADOS BRUTOS'!$A$3:$A$500,$B23,'DADOS BRUTOS'!CP$3:CP$500)+IF($C23="",0,SUMIF('DADOS BRUTOS'!$A$3:$A$500,$C23,'DADOS BRUTOS'!CP$3:CP$500)))</f>
        <v/>
      </c>
      <c r="FQ23" s="123">
        <f>IF(OR(FQ$4="",$B23=""),0,SUMIF('DADOS BRUTOS'!$A$3:$A$500,$B23,'DADOS BRUTOS'!CQ$3:CQ$500)+IF($C23="",0,SUMIF('DADOS BRUTOS'!$A$3:$A$500,$C23,'DADOS BRUTOS'!CQ$3:CQ$500)))</f>
        <v/>
      </c>
      <c r="FR23" s="123">
        <f>IF(OR(FR$4="",$B23=""),0,SUMIF('DADOS BRUTOS'!$A$3:$A$500,$B23,'DADOS BRUTOS'!CR$3:CR$500)+IF($C23="",0,SUMIF('DADOS BRUTOS'!$A$3:$A$500,$C23,'DADOS BRUTOS'!CR$3:CR$500)))</f>
        <v/>
      </c>
      <c r="FS23" s="123">
        <f>IF(OR(FS$4="",$B23=""),0,SUMIF('DADOS BRUTOS'!$A$3:$A$500,$B23,'DADOS BRUTOS'!CS$3:CS$500)+IF($C23="",0,SUMIF('DADOS BRUTOS'!$A$3:$A$500,$C23,'DADOS BRUTOS'!CS$3:CS$500)))</f>
        <v/>
      </c>
      <c r="FT23" s="123">
        <f>IF(OR(FT$4="",$B23=""),0,SUMIF('DADOS BRUTOS'!$A$3:$A$500,$B23,'DADOS BRUTOS'!CT$3:CT$500)+IF($C23="",0,SUMIF('DADOS BRUTOS'!$A$3:$A$500,$C23,'DADOS BRUTOS'!CT$3:CT$500)))</f>
        <v/>
      </c>
      <c r="FU23" s="123">
        <f>IF(OR(FU$4="",$B23=""),0,SUMIF('DADOS BRUTOS'!$A$3:$A$500,$B23,'DADOS BRUTOS'!CU$3:CU$500)+IF($C23="",0,SUMIF('DADOS BRUTOS'!$A$3:$A$500,$C23,'DADOS BRUTOS'!CU$3:CU$500)))</f>
        <v/>
      </c>
      <c r="FV23" s="123">
        <f>IF(OR(FV$4="",$B23=""),0,SUMIF('DADOS BRUTOS'!$A$3:$A$500,$B23,'DADOS BRUTOS'!CV$3:CV$500)+IF($C23="",0,SUMIF('DADOS BRUTOS'!$A$3:$A$500,$C23,'DADOS BRUTOS'!CV$3:CV$500)))</f>
        <v/>
      </c>
      <c r="FW23" s="123">
        <f>IF(OR(FW$4="",$B23=""),0,SUMIF('DADOS BRUTOS'!$A$3:$A$500,$B23,'DADOS BRUTOS'!CW$3:CW$500)+IF($C23="",0,SUMIF('DADOS BRUTOS'!$A$3:$A$500,$C23,'DADOS BRUTOS'!CW$3:CW$500)))</f>
        <v/>
      </c>
      <c r="FX23" s="123">
        <f>IF(OR(FX$4="",$B23=""),0,SUMIF('DADOS BRUTOS'!$A$3:$A$500,$B23,'DADOS BRUTOS'!CX$3:CX$500)+IF($C23="",0,SUMIF('DADOS BRUTOS'!$A$3:$A$500,$C23,'DADOS BRUTOS'!CX$3:CX$500)))</f>
        <v/>
      </c>
      <c r="FY23" s="123">
        <f>IF(OR(FY$4="",$B23=""),0,SUMIF('DADOS BRUTOS'!$A$3:$A$500,$B23,'DADOS BRUTOS'!CY$3:CY$500)+IF($C23="",0,SUMIF('DADOS BRUTOS'!$A$3:$A$500,$C23,'DADOS BRUTOS'!CY$3:CY$500)))</f>
        <v/>
      </c>
      <c r="FZ23" s="123">
        <f>IF(OR(FZ$4="",$B23=""),0,SUMIF('DADOS BRUTOS'!$A$3:$A$500,$B23,'DADOS BRUTOS'!CZ$3:CZ$500)+IF($C23="",0,SUMIF('DADOS BRUTOS'!$A$3:$A$500,$C23,'DADOS BRUTOS'!CZ$3:CZ$500)))</f>
        <v/>
      </c>
      <c r="GA23" s="123">
        <f>IF(OR(GA$4="",$B23=""),0,SUMIF('DADOS BRUTOS'!$A$3:$A$500,$B23,'DADOS BRUTOS'!DA$3:DA$500)+IF($C23="",0,SUMIF('DADOS BRUTOS'!$A$3:$A$500,$C23,'DADOS BRUTOS'!DA$3:DA$500)))</f>
        <v/>
      </c>
      <c r="GB23" s="123">
        <f>IF(OR(GB$4="",$B23=""),0,SUMIF('DADOS BRUTOS'!$A$3:$A$500,$B23,'DADOS BRUTOS'!DB$3:DB$500)+IF($C23="",0,SUMIF('DADOS BRUTOS'!$A$3:$A$500,$C23,'DADOS BRUTOS'!DB$3:DB$500)))</f>
        <v/>
      </c>
      <c r="GC23" s="123">
        <f>IF(OR(GC$4="",$B23=""),0,SUMIF('DADOS BRUTOS'!$A$3:$A$500,$B23,'DADOS BRUTOS'!DC$3:DC$500)+IF($C23="",0,SUMIF('DADOS BRUTOS'!$A$3:$A$500,$C23,'DADOS BRUTOS'!DC$3:DC$500)))</f>
        <v/>
      </c>
      <c r="GD23" s="123">
        <f>IF(OR(GD$4="",$B23=""),0,SUMIF('DADOS BRUTOS'!$A$3:$A$500,$B23,'DADOS BRUTOS'!DD$3:DD$500)+IF($C23="",0,SUMIF('DADOS BRUTOS'!$A$3:$A$500,$C23,'DADOS BRUTOS'!DD$3:DD$500)))</f>
        <v/>
      </c>
      <c r="GE23" s="123">
        <f>IF(OR(GE$4="",$B23=""),0,SUMIF('DADOS BRUTOS'!$A$3:$A$500,$B23,'DADOS BRUTOS'!DE$3:DE$500)+IF($C23="",0,SUMIF('DADOS BRUTOS'!$A$3:$A$500,$C23,'DADOS BRUTOS'!DE$3:DE$500)))</f>
        <v/>
      </c>
      <c r="GF23" s="123">
        <f>IF(OR(GF$4="",$B23=""),0,SUMIF('DADOS BRUTOS'!$A$3:$A$500,$B23,'DADOS BRUTOS'!DF$3:DF$500)+IF($C23="",0,SUMIF('DADOS BRUTOS'!$A$3:$A$500,$C23,'DADOS BRUTOS'!DF$3:DF$500)))</f>
        <v/>
      </c>
      <c r="GG23" s="123">
        <f>IF(OR(GG$4="",$B23=""),0,SUMIF('DADOS BRUTOS'!$A$3:$A$500,$B23,'DADOS BRUTOS'!DG$3:DG$500)+IF($C23="",0,SUMIF('DADOS BRUTOS'!$A$3:$A$500,$C23,'DADOS BRUTOS'!DG$3:DG$500)))</f>
        <v/>
      </c>
      <c r="GH23" s="123">
        <f>IF(OR(GH$4="",$B23=""),0,SUMIF('DADOS BRUTOS'!$A$3:$A$500,$B23,'DADOS BRUTOS'!DH$3:DH$500)+IF($C23="",0,SUMIF('DADOS BRUTOS'!$A$3:$A$500,$C23,'DADOS BRUTOS'!DH$3:DH$500)))</f>
        <v/>
      </c>
      <c r="GI23" s="123">
        <f>IF(OR(GI$4="",$B23=""),0,SUMIF('DADOS BRUTOS'!$A$3:$A$500,$B23,'DADOS BRUTOS'!DI$3:DI$500)+IF($C23="",0,SUMIF('DADOS BRUTOS'!$A$3:$A$500,$C23,'DADOS BRUTOS'!DI$3:DI$500)))</f>
        <v/>
      </c>
      <c r="GJ23" s="123">
        <f>IF(OR(GJ$4="",$B23=""),0,SUMIF('DADOS BRUTOS'!$A$3:$A$500,$B23,'DADOS BRUTOS'!DJ$3:DJ$500)+IF($C23="",0,SUMIF('DADOS BRUTOS'!$A$3:$A$500,$C23,'DADOS BRUTOS'!DJ$3:DJ$500)))</f>
        <v/>
      </c>
      <c r="GK23" s="123">
        <f>IF(OR(GK$4="",$B23=""),0,SUMIF('DADOS BRUTOS'!$A$3:$A$500,$B23,'DADOS BRUTOS'!DK$3:DK$500)+IF($C23="",0,SUMIF('DADOS BRUTOS'!$A$3:$A$500,$C23,'DADOS BRUTOS'!DK$3:DK$500)))</f>
        <v/>
      </c>
      <c r="GL23" s="123">
        <f>IF(OR(GL$4="",$B23=""),0,SUMIF('DADOS BRUTOS'!$A$3:$A$500,$B23,'DADOS BRUTOS'!DL$3:DL$500)+IF($C23="",0,SUMIF('DADOS BRUTOS'!$A$3:$A$500,$C23,'DADOS BRUTOS'!DL$3:DL$500)))</f>
        <v/>
      </c>
      <c r="GM23" s="123">
        <f>IF(OR(GM$4="",$B23=""),0,SUMIF('DADOS BRUTOS'!$A$3:$A$500,$B23,'DADOS BRUTOS'!DM$3:DM$500)+IF($C23="",0,SUMIF('DADOS BRUTOS'!$A$3:$A$500,$C23,'DADOS BRUTOS'!DM$3:DM$500)))</f>
        <v/>
      </c>
      <c r="GN23" s="123">
        <f>IF(OR(GN$4="",$B23=""),0,SUMIF('DADOS BRUTOS'!$A$3:$A$500,$B23,'DADOS BRUTOS'!DN$3:DN$500)+IF($C23="",0,SUMIF('DADOS BRUTOS'!$A$3:$A$500,$C23,'DADOS BRUTOS'!DN$3:DN$500)))</f>
        <v/>
      </c>
      <c r="GO23" s="123">
        <f>IF(OR(GO$4="",$B23=""),0,SUMIF('DADOS BRUTOS'!$A$3:$A$500,$B23,'DADOS BRUTOS'!DO$3:DO$500)+IF($C23="",0,SUMIF('DADOS BRUTOS'!$A$3:$A$500,$C23,'DADOS BRUTOS'!DO$3:DO$500)))</f>
        <v/>
      </c>
      <c r="GP23" s="123">
        <f>IF(OR(GP$4="",$B23=""),0,SUMIF('DADOS BRUTOS'!$A$3:$A$500,$B23,'DADOS BRUTOS'!DP$3:DP$500)+IF($C23="",0,SUMIF('DADOS BRUTOS'!$A$3:$A$500,$C23,'DADOS BRUTOS'!DP$3:DP$500)))</f>
        <v/>
      </c>
      <c r="GQ23" s="123">
        <f>IF(OR(GQ$4="",$B23=""),0,SUMIF('DADOS BRUTOS'!$A$3:$A$500,$B23,'DADOS BRUTOS'!DQ$3:DQ$500)+IF($C23="",0,SUMIF('DADOS BRUTOS'!$A$3:$A$500,$C23,'DADOS BRUTOS'!DQ$3:DQ$500)))</f>
        <v/>
      </c>
      <c r="GR23" s="123">
        <f>IF(OR(GR$4="",$B23=""),0,SUMIF('DADOS BRUTOS'!$A$3:$A$500,$B23,'DADOS BRUTOS'!DR$3:DR$500)+IF($C23="",0,SUMIF('DADOS BRUTOS'!$A$3:$A$500,$C23,'DADOS BRUTOS'!DR$3:DR$500)))</f>
        <v/>
      </c>
      <c r="GS23" s="123">
        <f>IF(OR(GS$4="",$B23=""),0,SUMIF('DADOS BRUTOS'!$A$3:$A$500,$B23,'DADOS BRUTOS'!DS$3:DS$500)+IF($C23="",0,SUMIF('DADOS BRUTOS'!$A$3:$A$500,$C23,'DADOS BRUTOS'!DS$3:DS$500)))</f>
        <v/>
      </c>
      <c r="GT23" s="123">
        <f>IF(OR(GT$4="",$B23=""),0,SUMIF('DADOS BRUTOS'!$A$3:$A$500,$B23,'DADOS BRUTOS'!DT$3:DT$500)+IF($C23="",0,SUMIF('DADOS BRUTOS'!$A$3:$A$500,$C23,'DADOS BRUTOS'!DT$3:DT$500)))</f>
        <v/>
      </c>
      <c r="GU23" s="123">
        <f>IF(OR(GU$4="",$B23=""),0,SUMIF('DADOS BRUTOS'!$A$3:$A$500,$B23,'DADOS BRUTOS'!DU$3:DU$500)+IF($C23="",0,SUMIF('DADOS BRUTOS'!$A$3:$A$500,$C23,'DADOS BRUTOS'!DU$3:DU$500)))</f>
        <v/>
      </c>
      <c r="GV23" s="123">
        <f>IF(OR(GV$4="",$B23=""),0,SUMIF('DADOS BRUTOS'!$A$3:$A$500,$B23,'DADOS BRUTOS'!DV$3:DV$500)+IF($C23="",0,SUMIF('DADOS BRUTOS'!$A$3:$A$500,$C23,'DADOS BRUTOS'!DV$3:DV$500)))</f>
        <v/>
      </c>
      <c r="GW23" s="123">
        <f>IF(OR(GW$4="",$B23=""),0,SUMIF('DADOS BRUTOS'!$A$3:$A$500,$B23,'DADOS BRUTOS'!DW$3:DW$500)+IF($C23="",0,SUMIF('DADOS BRUTOS'!$A$3:$A$500,$C23,'DADOS BRUTOS'!DW$3:DW$500)))</f>
        <v/>
      </c>
      <c r="GX23" s="123">
        <f>IF(OR(GX$4="",$B23=""),0,SUMIF('DADOS BRUTOS'!$A$3:$A$500,$B23,'DADOS BRUTOS'!DX$3:DX$500)+IF($C23="",0,SUMIF('DADOS BRUTOS'!$A$3:$A$500,$C23,'DADOS BRUTOS'!DX$3:DX$500)))</f>
        <v/>
      </c>
      <c r="GY23" s="123">
        <f>IF(OR(GY$4="",$B23=""),0,SUMIF('DADOS BRUTOS'!$A$3:$A$500,$B23,'DADOS BRUTOS'!DY$3:DY$500)+IF($C23="",0,SUMIF('DADOS BRUTOS'!$A$3:$A$500,$C23,'DADOS BRUTOS'!DY$3:DY$500)))</f>
        <v/>
      </c>
      <c r="GZ23" s="123">
        <f>IF(OR(GZ$4="",$B23=""),0,SUMIF('DADOS BRUTOS'!$A$3:$A$500,$B23,'DADOS BRUTOS'!DZ$3:DZ$500)+IF($C23="",0,SUMIF('DADOS BRUTOS'!$A$3:$A$500,$C23,'DADOS BRUTOS'!DZ$3:DZ$500)))</f>
        <v/>
      </c>
      <c r="HA23" s="123">
        <f>IF(OR(HA$4="",$B23=""),0,SUMIF('DADOS BRUTOS'!$A$3:$A$500,$B23,'DADOS BRUTOS'!EA$3:EA$500)+IF($C23="",0,SUMIF('DADOS BRUTOS'!$A$3:$A$500,$C23,'DADOS BRUTOS'!EA$3:EA$500)))</f>
        <v/>
      </c>
      <c r="HB23" s="123">
        <f>IF(OR(HB$4="",$B23=""),0,SUMIF('DADOS BRUTOS'!$A$3:$A$500,$B23,'DADOS BRUTOS'!EB$3:EB$500)+IF($C23="",0,SUMIF('DADOS BRUTOS'!$A$3:$A$500,$C23,'DADOS BRUTOS'!EB$3:EB$500)))</f>
        <v/>
      </c>
      <c r="HC23" s="123">
        <f>IF(OR(HC$4="",$B23=""),0,SUMIF('DADOS BRUTOS'!$A$3:$A$500,$B23,'DADOS BRUTOS'!EC$3:EC$500)+IF($C23="",0,SUMIF('DADOS BRUTOS'!$A$3:$A$500,$C23,'DADOS BRUTOS'!EC$3:EC$500)))</f>
        <v/>
      </c>
      <c r="HD23" s="123">
        <f>IF(OR(HD$4="",$B23=""),0,SUMIF('DADOS BRUTOS'!$A$3:$A$500,$B23,'DADOS BRUTOS'!ED$3:ED$500)+IF($C23="",0,SUMIF('DADOS BRUTOS'!$A$3:$A$500,$C23,'DADOS BRUTOS'!ED$3:ED$500)))</f>
        <v/>
      </c>
      <c r="HE23" s="123">
        <f>IF(OR(HE$4="",$B23=""),0,SUMIF('DADOS BRUTOS'!$A$3:$A$500,$B23,'DADOS BRUTOS'!EE$3:EE$500)+IF($C23="",0,SUMIF('DADOS BRUTOS'!$A$3:$A$500,$C23,'DADOS BRUTOS'!EE$3:EE$500)))</f>
        <v/>
      </c>
      <c r="HF23" s="123">
        <f>IF(OR(HF$4="",$B23=""),0,SUMIF('DADOS BRUTOS'!$A$3:$A$500,$B23,'DADOS BRUTOS'!EF$3:EF$500)+IF($C23="",0,SUMIF('DADOS BRUTOS'!$A$3:$A$500,$C23,'DADOS BRUTOS'!EF$3:EF$500)))</f>
        <v/>
      </c>
      <c r="HG23" s="123">
        <f>IF(OR(HG$4="",$B23=""),0,SUMIF('DADOS BRUTOS'!$A$3:$A$500,$B23,'DADOS BRUTOS'!EG$3:EG$500)+IF($C23="",0,SUMIF('DADOS BRUTOS'!$A$3:$A$500,$C23,'DADOS BRUTOS'!EG$3:EG$500)))</f>
        <v/>
      </c>
      <c r="HH23" s="123">
        <f>IF(OR(HH$4="",$B23=""),0,SUMIF('DADOS BRUTOS'!$A$3:$A$500,$B23,'DADOS BRUTOS'!EH$3:EH$500)+IF($C23="",0,SUMIF('DADOS BRUTOS'!$A$3:$A$500,$C23,'DADOS BRUTOS'!EH$3:EH$500)))</f>
        <v/>
      </c>
      <c r="HI23" s="123">
        <f>IF(OR(HI$4="",$B23=""),0,SUMIF('DADOS BRUTOS'!$A$3:$A$500,$B23,'DADOS BRUTOS'!EI$3:EI$500)+IF($C23="",0,SUMIF('DADOS BRUTOS'!$A$3:$A$500,$C23,'DADOS BRUTOS'!EI$3:EI$500)))</f>
        <v/>
      </c>
      <c r="HJ23" s="123">
        <f>IF(OR(HJ$4="",$B23=""),0,SUMIF('DADOS BRUTOS'!$A$3:$A$500,$B23,'DADOS BRUTOS'!EJ$3:EJ$500)+IF($C23="",0,SUMIF('DADOS BRUTOS'!$A$3:$A$500,$C23,'DADOS BRUTOS'!EJ$3:EJ$500)))</f>
        <v/>
      </c>
      <c r="HK23" s="123">
        <f>IF(OR(HK$4="",$B23=""),0,SUMIF('DADOS BRUTOS'!$A$3:$A$500,$B23,'DADOS BRUTOS'!EK$3:EK$500)+IF($C23="",0,SUMIF('DADOS BRUTOS'!$A$3:$A$500,$C23,'DADOS BRUTOS'!EK$3:EK$500)))</f>
        <v/>
      </c>
      <c r="HL23" s="123">
        <f>IF(OR(HL$4="",$B23=""),0,SUMIF('DADOS BRUTOS'!$A$3:$A$500,$B23,'DADOS BRUTOS'!EL$3:EL$500)+IF($C23="",0,SUMIF('DADOS BRUTOS'!$A$3:$A$500,$C23,'DADOS BRUTOS'!EL$3:EL$500)))</f>
        <v/>
      </c>
      <c r="HM23" s="123">
        <f>IF(OR(HM$4="",$B23=""),0,SUMIF('DADOS BRUTOS'!$A$3:$A$500,$B23,'DADOS BRUTOS'!EM$3:EM$500)+IF($C23="",0,SUMIF('DADOS BRUTOS'!$A$3:$A$500,$C23,'DADOS BRUTOS'!EM$3:EM$500)))</f>
        <v/>
      </c>
      <c r="HN23" s="123">
        <f>IF(OR(HN$4="",$B23=""),0,SUMIF('DADOS BRUTOS'!$A$3:$A$500,$B23,'DADOS BRUTOS'!EN$3:EN$500)+IF($C23="",0,SUMIF('DADOS BRUTOS'!$A$3:$A$500,$C23,'DADOS BRUTOS'!EN$3:EN$500)))</f>
        <v/>
      </c>
      <c r="HO23" s="123">
        <f>IF(OR(HO$4="",$B23=""),0,SUMIF('DADOS BRUTOS'!$A$3:$A$500,$B23,'DADOS BRUTOS'!EO$3:EO$500)+IF($C23="",0,SUMIF('DADOS BRUTOS'!$A$3:$A$500,$C23,'DADOS BRUTOS'!EO$3:EO$500)))</f>
        <v/>
      </c>
      <c r="HP23" s="123">
        <f>IF(OR(HP$4="",$B23=""),0,SUMIF('DADOS BRUTOS'!$A$3:$A$500,$B23,'DADOS BRUTOS'!EP$3:EP$500)+IF($C23="",0,SUMIF('DADOS BRUTOS'!$A$3:$A$500,$C23,'DADOS BRUTOS'!EP$3:EP$500)))</f>
        <v/>
      </c>
      <c r="HQ23" s="123">
        <f>IF(OR(HQ$4="",$B23=""),0,SUMIF('DADOS BRUTOS'!$A$3:$A$500,$B23,'DADOS BRUTOS'!EQ$3:EQ$500)+IF($C23="",0,SUMIF('DADOS BRUTOS'!$A$3:$A$500,$C23,'DADOS BRUTOS'!EQ$3:EQ$500)))</f>
        <v/>
      </c>
      <c r="HR23" s="123">
        <f>IF(OR(HR$4="",$B23=""),0,SUMIF('DADOS BRUTOS'!$A$3:$A$500,$B23,'DADOS BRUTOS'!ER$3:ER$500)+IF($C23="",0,SUMIF('DADOS BRUTOS'!$A$3:$A$500,$C23,'DADOS BRUTOS'!ER$3:ER$500)))</f>
        <v/>
      </c>
      <c r="HS23" s="123">
        <f>IF(OR(HS$4="",$B23=""),0,SUMIF('DADOS BRUTOS'!$A$3:$A$500,$B23,'DADOS BRUTOS'!ES$3:ES$500)+IF($C23="",0,SUMIF('DADOS BRUTOS'!$A$3:$A$500,$C23,'DADOS BRUTOS'!ES$3:ES$500)))</f>
        <v/>
      </c>
      <c r="HT23" s="123">
        <f>IF(OR(HT$4="",$B23=""),0,SUMIF('DADOS BRUTOS'!$A$3:$A$500,$B23,'DADOS BRUTOS'!ET$3:ET$500)+IF($C23="",0,SUMIF('DADOS BRUTOS'!$A$3:$A$500,$C23,'DADOS BRUTOS'!ET$3:ET$500)))</f>
        <v/>
      </c>
      <c r="HU23" s="123">
        <f>IF(OR(HU$4="",$B23=""),0,SUMIF('DADOS BRUTOS'!$A$3:$A$500,$B23,'DADOS BRUTOS'!EU$3:EU$500)+IF($C23="",0,SUMIF('DADOS BRUTOS'!$A$3:$A$500,$C23,'DADOS BRUTOS'!EU$3:EU$500)))</f>
        <v/>
      </c>
      <c r="HV23" s="123">
        <f>IF(OR(HV$4="",$B23=""),0,SUMIF('DADOS BRUTOS'!$A$3:$A$500,$B23,'DADOS BRUTOS'!EV$3:EV$500)+IF($C23="",0,SUMIF('DADOS BRUTOS'!$A$3:$A$500,$C23,'DADOS BRUTOS'!EV$3:EV$500)))</f>
        <v/>
      </c>
      <c r="HW23" s="123">
        <f>IF(OR(HW$4="",$B23=""),0,SUMIF('DADOS BRUTOS'!$A$3:$A$500,$B23,'DADOS BRUTOS'!EW$3:EW$500)+IF($C23="",0,SUMIF('DADOS BRUTOS'!$A$3:$A$500,$C23,'DADOS BRUTOS'!EW$3:EW$500)))</f>
        <v/>
      </c>
      <c r="HX23" s="123">
        <f>IF(OR(HX$4="",$B23=""),0,SUMIF('DADOS BRUTOS'!$A$3:$A$500,$B23,'DADOS BRUTOS'!EX$3:EX$500)+IF($C23="",0,SUMIF('DADOS BRUTOS'!$A$3:$A$500,$C23,'DADOS BRUTOS'!EX$3:EX$500)))</f>
        <v/>
      </c>
      <c r="HY23" s="123">
        <f>IF(OR(HY$4="",$B23=""),0,SUMIF('DADOS BRUTOS'!$A$3:$A$500,$B23,'DADOS BRUTOS'!EY$3:EY$500)+IF($C23="",0,SUMIF('DADOS BRUTOS'!$A$3:$A$500,$C23,'DADOS BRUTOS'!EY$3:EY$500)))</f>
        <v/>
      </c>
      <c r="HZ23" s="123">
        <f>IF(OR(HZ$4="",$B23=""),0,SUMIF('DADOS BRUTOS'!$A$3:$A$500,$B23,'DADOS BRUTOS'!EZ$3:EZ$500)+IF($C23="",0,SUMIF('DADOS BRUTOS'!$A$3:$A$500,$C23,'DADOS BRUTOS'!EZ$3:EZ$500)))</f>
        <v/>
      </c>
      <c r="IA23" s="123">
        <f>IF(OR(IA$4="",$B23=""),0,SUMIF('DADOS BRUTOS'!$A$3:$A$500,$B23,'DADOS BRUTOS'!FA$3:FA$500)+IF($C23="",0,SUMIF('DADOS BRUTOS'!$A$3:$A$500,$C23,'DADOS BRUTOS'!FA$3:FA$500)))</f>
        <v/>
      </c>
      <c r="IB23" s="123">
        <f>IF(OR(IB$4="",$B23=""),0,SUMIF('DADOS BRUTOS'!$A$3:$A$500,$B23,'DADOS BRUTOS'!FB$3:FB$500)+IF($C23="",0,SUMIF('DADOS BRUTOS'!$A$3:$A$500,$C23,'DADOS BRUTOS'!FB$3:FB$500)))</f>
        <v/>
      </c>
      <c r="IC23" s="123">
        <f>IF(OR(IC$4="",$B23=""),0,SUMIF('DADOS BRUTOS'!$A$3:$A$500,$B23,'DADOS BRUTOS'!FC$3:FC$500)+IF($C23="",0,SUMIF('DADOS BRUTOS'!$A$3:$A$500,$C23,'DADOS BRUTOS'!FC$3:FC$500)))</f>
        <v/>
      </c>
      <c r="ID23" s="123">
        <f>IF(OR(ID$4="",$B23=""),0,SUMIF('DADOS BRUTOS'!$A$3:$A$500,$B23,'DADOS BRUTOS'!FD$3:FD$500)+IF($C23="",0,SUMIF('DADOS BRUTOS'!$A$3:$A$500,$C23,'DADOS BRUTOS'!FD$3:FD$500)))</f>
        <v/>
      </c>
      <c r="IE23" s="123">
        <f>IF(OR(IE$4="",$B23=""),0,SUMIF('DADOS BRUTOS'!$A$3:$A$500,$B23,'DADOS BRUTOS'!FE$3:FE$500)+IF($C23="",0,SUMIF('DADOS BRUTOS'!$A$3:$A$500,$C23,'DADOS BRUTOS'!FE$3:FE$500)))</f>
        <v/>
      </c>
      <c r="IF23" s="123">
        <f>IF(OR(IF$4="",$B23=""),0,SUMIF('DADOS BRUTOS'!$A$3:$A$500,$B23,'DADOS BRUTOS'!FF$3:FF$500)+IF($C23="",0,SUMIF('DADOS BRUTOS'!$A$3:$A$500,$C23,'DADOS BRUTOS'!FF$3:FF$500)))</f>
        <v/>
      </c>
      <c r="IG23" s="123">
        <f>IF(OR(IG$4="",$B23=""),0,SUMIF('DADOS BRUTOS'!$A$3:$A$500,$B23,'DADOS BRUTOS'!FG$3:FG$500)+IF($C23="",0,SUMIF('DADOS BRUTOS'!$A$3:$A$500,$C23,'DADOS BRUTOS'!FG$3:FG$500)))</f>
        <v/>
      </c>
      <c r="IH23" s="123">
        <f>IF(OR(IH$4="",$B23=""),0,SUMIF('DADOS BRUTOS'!$A$3:$A$500,$B23,'DADOS BRUTOS'!FH$3:FH$500)+IF($C23="",0,SUMIF('DADOS BRUTOS'!$A$3:$A$500,$C23,'DADOS BRUTOS'!FH$3:FH$500)))</f>
        <v/>
      </c>
      <c r="II23" s="123">
        <f>IF(OR(II$4="",$B23=""),0,SUMIF('DADOS BRUTOS'!$A$3:$A$500,$B23,'DADOS BRUTOS'!FI$3:FI$500)+IF($C23="",0,SUMIF('DADOS BRUTOS'!$A$3:$A$500,$C23,'DADOS BRUTOS'!FI$3:FI$500)))</f>
        <v/>
      </c>
      <c r="IJ23" s="123">
        <f>IF(OR(IJ$4="",$B23=""),0,SUMIF('DADOS BRUTOS'!$A$3:$A$500,$B23,'DADOS BRUTOS'!FJ$3:FJ$500)+IF($C23="",0,SUMIF('DADOS BRUTOS'!$A$3:$A$500,$C23,'DADOS BRUTOS'!FJ$3:FJ$500)))</f>
        <v/>
      </c>
      <c r="IK23" s="123">
        <f>IF(OR(IK$4="",$B23=""),0,SUMIF('DADOS BRUTOS'!$A$3:$A$500,$B23,'DADOS BRUTOS'!FK$3:FK$500)+IF($C23="",0,SUMIF('DADOS BRUTOS'!$A$3:$A$500,$C23,'DADOS BRUTOS'!FK$3:FK$500)))</f>
        <v/>
      </c>
      <c r="IL23" s="123">
        <f>IF(OR(IL$4="",$B23=""),0,SUMIF('DADOS BRUTOS'!$A$3:$A$500,$B23,'DADOS BRUTOS'!FL$3:FL$500)+IF($C23="",0,SUMIF('DADOS BRUTOS'!$A$3:$A$500,$C23,'DADOS BRUTOS'!FL$3:FL$500)))</f>
        <v/>
      </c>
      <c r="IM23" s="123">
        <f>IF(OR(IM$4="",$B23=""),0,SUMIF('DADOS BRUTOS'!$A$3:$A$500,$B23,'DADOS BRUTOS'!FM$3:FM$500)+IF($C23="",0,SUMIF('DADOS BRUTOS'!$A$3:$A$500,$C23,'DADOS BRUTOS'!FM$3:FM$500)))</f>
        <v/>
      </c>
      <c r="IN23" s="123">
        <f>IF(OR(IN$4="",$B23=""),0,SUMIF('DADOS BRUTOS'!$A$3:$A$500,$B23,'DADOS BRUTOS'!FN$3:FN$500)+IF($C23="",0,SUMIF('DADOS BRUTOS'!$A$3:$A$500,$C23,'DADOS BRUTOS'!FN$3:FN$500)))</f>
        <v/>
      </c>
      <c r="IO23" s="123">
        <f>IF(OR(IO$4="",$B23=""),0,SUMIF('DADOS BRUTOS'!$A$3:$A$500,$B23,'DADOS BRUTOS'!FO$3:FO$500)+IF($C23="",0,SUMIF('DADOS BRUTOS'!$A$3:$A$500,$C23,'DADOS BRUTOS'!FO$3:FO$500)))</f>
        <v/>
      </c>
      <c r="IP23" s="123">
        <f>IF(OR(IP$4="",$B23=""),0,SUMIF('DADOS BRUTOS'!$A$3:$A$500,$B23,'DADOS BRUTOS'!FP$3:FP$500)+IF($C23="",0,SUMIF('DADOS BRUTOS'!$A$3:$A$500,$C23,'DADOS BRUTOS'!FP$3:FP$500)))</f>
        <v/>
      </c>
      <c r="IQ23" s="123">
        <f>IF(OR(IQ$4="",$B23=""),0,SUMIF('DADOS BRUTOS'!$A$3:$A$500,$B23,'DADOS BRUTOS'!FQ$3:FQ$500)+IF($C23="",0,SUMIF('DADOS BRUTOS'!$A$3:$A$500,$C23,'DADOS BRUTOS'!FQ$3:FQ$500)))</f>
        <v/>
      </c>
      <c r="IR23" s="123">
        <f>IF(OR(IR$4="",$B23=""),0,SUMIF('DADOS BRUTOS'!$A$3:$A$500,$B23,'DADOS BRUTOS'!FR$3:FR$500)+IF($C23="",0,SUMIF('DADOS BRUTOS'!$A$3:$A$500,$C23,'DADOS BRUTOS'!FR$3:FR$500)))</f>
        <v/>
      </c>
      <c r="IS23" s="123">
        <f>IF(OR(IS$4="",$B23=""),0,SUMIF('DADOS BRUTOS'!$A$3:$A$500,$B23,'DADOS BRUTOS'!FS$3:FS$500)+IF($C23="",0,SUMIF('DADOS BRUTOS'!$A$3:$A$500,$C23,'DADOS BRUTOS'!FS$3:FS$500)))</f>
        <v/>
      </c>
      <c r="IT23" s="123">
        <f>IF(OR(IT$4="",$B23=""),0,SUMIF('DADOS BRUTOS'!$A$3:$A$500,$B23,'DADOS BRUTOS'!FT$3:FT$500)+IF($C23="",0,SUMIF('DADOS BRUTOS'!$A$3:$A$500,$C23,'DADOS BRUTOS'!FT$3:FT$500)))</f>
        <v/>
      </c>
      <c r="IU23" s="123">
        <f>IF(OR(IU$4="",$B23=""),0,SUMIF('DADOS BRUTOS'!$A$3:$A$500,$B23,'DADOS BRUTOS'!FU$3:FU$500)+IF($C23="",0,SUMIF('DADOS BRUTOS'!$A$3:$A$500,$C23,'DADOS BRUTOS'!FU$3:FU$500)))</f>
        <v/>
      </c>
      <c r="IV23" s="123">
        <f>IF(OR(IV$4="",$B23=""),0,SUMIF('DADOS BRUTOS'!$A$3:$A$500,$B23,'DADOS BRUTOS'!FV$3:FV$500)+IF($C23="",0,SUMIF('DADOS BRUTOS'!$A$3:$A$500,$C23,'DADOS BRUTOS'!FV$3:FV$500)))</f>
        <v/>
      </c>
      <c r="IW23" s="123">
        <f>IF(OR(IW$4="",$B23=""),0,SUMIF('DADOS BRUTOS'!$A$3:$A$500,$B23,'DADOS BRUTOS'!FW$3:FW$500)+IF($C23="",0,SUMIF('DADOS BRUTOS'!$A$3:$A$500,$C23,'DADOS BRUTOS'!FW$3:FW$500)))</f>
        <v/>
      </c>
      <c r="IX23" s="123">
        <f>IF(OR(IX$4="",$B23=""),0,SUMIF('DADOS BRUTOS'!$A$3:$A$500,$B23,'DADOS BRUTOS'!FX$3:FX$500)+IF($C23="",0,SUMIF('DADOS BRUTOS'!$A$3:$A$500,$C23,'DADOS BRUTOS'!FX$3:FX$500)))</f>
        <v/>
      </c>
      <c r="IY23" s="123">
        <f>IF(OR(IY$4="",$B23=""),0,SUMIF('DADOS BRUTOS'!$A$3:$A$500,$B23,'DADOS BRUTOS'!FY$3:FY$500)+IF($C23="",0,SUMIF('DADOS BRUTOS'!$A$3:$A$500,$C23,'DADOS BRUTOS'!FY$3:FY$500)))</f>
        <v/>
      </c>
      <c r="IZ23" s="123">
        <f>IF(OR(IZ$4="",$B23=""),0,SUMIF('DADOS BRUTOS'!$A$3:$A$500,$B23,'DADOS BRUTOS'!FZ$3:FZ$500)+IF($C23="",0,SUMIF('DADOS BRUTOS'!$A$3:$A$500,$C23,'DADOS BRUTOS'!FZ$3:FZ$500)))</f>
        <v/>
      </c>
      <c r="JA23" s="123">
        <f>IF(OR(JA$4="",$B23=""),0,SUMIF('DADOS BRUTOS'!$A$3:$A$500,$B23,'DADOS BRUTOS'!GA$3:GA$500)+IF($C23="",0,SUMIF('DADOS BRUTOS'!$A$3:$A$500,$C23,'DADOS BRUTOS'!GA$3:GA$500)))</f>
        <v/>
      </c>
      <c r="JB23" s="123">
        <f>IF(OR(JB$4="",$B23=""),0,SUMIF('DADOS BRUTOS'!$A$3:$A$500,$B23,'DADOS BRUTOS'!GB$3:GB$500)+IF($C23="",0,SUMIF('DADOS BRUTOS'!$A$3:$A$500,$C23,'DADOS BRUTOS'!GB$3:GB$500)))</f>
        <v/>
      </c>
      <c r="JC23" s="123">
        <f>IF(OR(JC$4="",$B23=""),0,SUMIF('DADOS BRUTOS'!$A$3:$A$500,$B23,'DADOS BRUTOS'!GC$3:GC$500)+IF($C23="",0,SUMIF('DADOS BRUTOS'!$A$3:$A$500,$C23,'DADOS BRUTOS'!GC$3:GC$500)))</f>
        <v/>
      </c>
      <c r="JD23" s="123">
        <f>IF(OR(JD$4="",$B23=""),0,SUMIF('DADOS BRUTOS'!$A$3:$A$500,$B23,'DADOS BRUTOS'!GD$3:GD$500)+IF($C23="",0,SUMIF('DADOS BRUTOS'!$A$3:$A$500,$C23,'DADOS BRUTOS'!GD$3:GD$500)))</f>
        <v/>
      </c>
      <c r="JE23" s="123">
        <f>IF(OR(JE$4="",$B23=""),0,SUMIF('DADOS BRUTOS'!$A$3:$A$500,$B23,'DADOS BRUTOS'!GE$3:GE$500)+IF($C23="",0,SUMIF('DADOS BRUTOS'!$A$3:$A$500,$C23,'DADOS BRUTOS'!GE$3:GE$500)))</f>
        <v/>
      </c>
      <c r="JF23" s="123">
        <f>IF(OR(JF$4="",$B23=""),0,SUMIF('DADOS BRUTOS'!$A$3:$A$500,$B23,'DADOS BRUTOS'!GF$3:GF$500)+IF($C23="",0,SUMIF('DADOS BRUTOS'!$A$3:$A$500,$C23,'DADOS BRUTOS'!GF$3:GF$500)))</f>
        <v/>
      </c>
      <c r="JG23" s="123">
        <f>IF(OR(JG$4="",$B23=""),0,SUMIF('DADOS BRUTOS'!$A$3:$A$500,$B23,'DADOS BRUTOS'!GG$3:GG$500)+IF($C23="",0,SUMIF('DADOS BRUTOS'!$A$3:$A$500,$C23,'DADOS BRUTOS'!GG$3:GG$500)))</f>
        <v/>
      </c>
      <c r="JH23" s="123">
        <f>IF(OR(JH$4="",$B23=""),0,SUMIF('DADOS BRUTOS'!$A$3:$A$500,$B23,'DADOS BRUTOS'!GH$3:GH$500)+IF($C23="",0,SUMIF('DADOS BRUTOS'!$A$3:$A$500,$C23,'DADOS BRUTOS'!GH$3:GH$500)))</f>
        <v/>
      </c>
      <c r="JI23" s="123">
        <f>IF(OR(JI$4="",$B23=""),0,SUMIF('DADOS BRUTOS'!$A$3:$A$500,$B23,'DADOS BRUTOS'!GI$3:GI$500)+IF($C23="",0,SUMIF('DADOS BRUTOS'!$A$3:$A$500,$C23,'DADOS BRUTOS'!GI$3:GI$500)))</f>
        <v/>
      </c>
      <c r="JJ23" s="123">
        <f>IF(OR(JJ$4="",$B23=""),0,SUMIF('DADOS BRUTOS'!$A$3:$A$500,$B23,'DADOS BRUTOS'!GJ$3:GJ$500)+IF($C23="",0,SUMIF('DADOS BRUTOS'!$A$3:$A$500,$C23,'DADOS BRUTOS'!GJ$3:GJ$500)))</f>
        <v/>
      </c>
      <c r="JK23" s="123">
        <f>IF(OR(JK$4="",$B23=""),0,SUMIF('DADOS BRUTOS'!$A$3:$A$500,$B23,'DADOS BRUTOS'!GK$3:GK$500)+IF($C23="",0,SUMIF('DADOS BRUTOS'!$A$3:$A$500,$C23,'DADOS BRUTOS'!GK$3:GK$500)))</f>
        <v/>
      </c>
      <c r="JL23" s="123">
        <f>IF(OR(JL$4="",$B23=""),0,SUMIF('DADOS BRUTOS'!$A$3:$A$500,$B23,'DADOS BRUTOS'!GL$3:GL$500)+IF($C23="",0,SUMIF('DADOS BRUTOS'!$A$3:$A$500,$C23,'DADOS BRUTOS'!GL$3:GL$500)))</f>
        <v/>
      </c>
      <c r="JM23" s="123">
        <f>IF(OR(JM$4="",$B23=""),0,SUMIF('DADOS BRUTOS'!$A$3:$A$500,$B23,'DADOS BRUTOS'!GM$3:GM$500)+IF($C23="",0,SUMIF('DADOS BRUTOS'!$A$3:$A$500,$C23,'DADOS BRUTOS'!GM$3:GM$500)))</f>
        <v/>
      </c>
      <c r="JN23" s="123">
        <f>IF(OR(JN$4="",$B23=""),0,SUMIF('DADOS BRUTOS'!$A$3:$A$500,$B23,'DADOS BRUTOS'!GN$3:GN$500)+IF($C23="",0,SUMIF('DADOS BRUTOS'!$A$3:$A$500,$C23,'DADOS BRUTOS'!GN$3:GN$500)))</f>
        <v/>
      </c>
      <c r="JO23" s="123">
        <f>IF(OR(JO$4="",$B23=""),0,SUMIF('DADOS BRUTOS'!$A$3:$A$500,$B23,'DADOS BRUTOS'!GO$3:GO$500)+IF($C23="",0,SUMIF('DADOS BRUTOS'!$A$3:$A$500,$C23,'DADOS BRUTOS'!GO$3:GO$500)))</f>
        <v/>
      </c>
      <c r="JP23" s="123">
        <f>IF(OR(JP$4="",$B23=""),0,SUMIF('DADOS BRUTOS'!$A$3:$A$500,$B23,'DADOS BRUTOS'!GP$3:GP$500)+IF($C23="",0,SUMIF('DADOS BRUTOS'!$A$3:$A$500,$C23,'DADOS BRUTOS'!GP$3:GP$500)))</f>
        <v/>
      </c>
      <c r="JQ23" s="123">
        <f>IF(OR(JQ$4="",$B23=""),0,SUMIF('DADOS BRUTOS'!$A$3:$A$500,$B23,'DADOS BRUTOS'!GQ$3:GQ$500)+IF($C23="",0,SUMIF('DADOS BRUTOS'!$A$3:$A$500,$C23,'DADOS BRUTOS'!GQ$3:GQ$500)))</f>
        <v/>
      </c>
      <c r="JR23" s="123">
        <f>IF(OR(JR$4="",$B23=""),0,SUMIF('DADOS BRUTOS'!$A$3:$A$500,$B23,'DADOS BRUTOS'!GR$3:GR$500)+IF($C23="",0,SUMIF('DADOS BRUTOS'!$A$3:$A$500,$C23,'DADOS BRUTOS'!GR$3:GR$500)))</f>
        <v/>
      </c>
      <c r="JS23" s="123">
        <f>IF(OR(JS$4="",$B23=""),0,SUMIF('DADOS BRUTOS'!$A$3:$A$500,$B23,'DADOS BRUTOS'!GS$3:GS$500)+IF($C23="",0,SUMIF('DADOS BRUTOS'!$A$3:$A$500,$C23,'DADOS BRUTOS'!GS$3:GS$500)))</f>
        <v/>
      </c>
    </row>
    <row r="24">
      <c r="A24" s="61">
        <f>'VALOR POR PL'!D30</f>
        <v/>
      </c>
      <c r="B24" s="60" t="inlineStr">
        <is>
          <t>INSTALAÇÕES ELÉTRICAS</t>
        </is>
      </c>
      <c r="C24" s="60" t="n"/>
      <c r="D24" s="55">
        <f>SUMIF($CB$4:$JS$4,"&lt;="&amp;D$4,$CB24:$JS24)</f>
        <v/>
      </c>
      <c r="E24" s="55">
        <f>SUMIF($CB$4:$JS$4,E$4,$CB24:$JS24)</f>
        <v/>
      </c>
      <c r="F24" s="55">
        <f>SUMIF($CB$4:$JS$4,F$4,$CB24:$JS24)</f>
        <v/>
      </c>
      <c r="G24" s="55">
        <f>SUMIF($CB$4:$JS$4,G$4,$CB24:$JS24)</f>
        <v/>
      </c>
      <c r="H24" s="55">
        <f>SUMIF($CB$4:$JS$4,H$4,$CB24:$JS24)</f>
        <v/>
      </c>
      <c r="I24" s="55">
        <f>SUMIF($CB$4:$JS$4,I$4,$CB24:$JS24)</f>
        <v/>
      </c>
      <c r="J24" s="55">
        <f>SUMIF($CB$4:$JS$4,J$4,$CB24:$JS24)</f>
        <v/>
      </c>
      <c r="K24" s="55">
        <f>SUMIF($CB$4:$JS$4,K$4,$CB24:$JS24)</f>
        <v/>
      </c>
      <c r="L24" s="55">
        <f>SUMIF($CB$4:$JS$4,L$4,$CB24:$JS24)</f>
        <v/>
      </c>
      <c r="M24" s="55">
        <f>SUMIF($CB$4:$JS$4,M$4,$CB24:$JS24)</f>
        <v/>
      </c>
      <c r="N24" s="55">
        <f>SUMIF($CB$4:$JS$4,N$4,$CB24:$JS24)</f>
        <v/>
      </c>
      <c r="O24" s="55">
        <f>SUMIF($CB$4:$JS$4,O$4,$CB24:$JS24)</f>
        <v/>
      </c>
      <c r="P24" s="55">
        <f>SUMIF($CB$4:$JS$4,P$4,$CB24:$JS24)</f>
        <v/>
      </c>
      <c r="Q24" s="55">
        <f>SUMIF($CB$4:$JS$4,Q$4,$CB24:$JS24)</f>
        <v/>
      </c>
      <c r="R24" s="55">
        <f>SUMIF($CB$4:$JS$4,R$4,$CB24:$JS24)</f>
        <v/>
      </c>
      <c r="S24" s="55">
        <f>SUMIF($CB$4:$JS$4,S$4,$CB24:$JS24)</f>
        <v/>
      </c>
      <c r="T24" s="55">
        <f>SUMIF($CB$4:$JS$4,T$4,$CB24:$JS24)</f>
        <v/>
      </c>
      <c r="U24" s="55">
        <f>SUMIF($CB$4:$JS$4,U$4,$CB24:$JS24)</f>
        <v/>
      </c>
      <c r="V24" s="55">
        <f>SUMIF($CB$4:$JS$4,V$4,$CB24:$JS24)</f>
        <v/>
      </c>
      <c r="W24" s="55">
        <f>SUMIF($CB$4:$JS$4,W$4,$CB24:$JS24)</f>
        <v/>
      </c>
      <c r="X24" s="55">
        <f>SUMIF($CB$4:$JS$4,X$4,$CB24:$JS24)</f>
        <v/>
      </c>
      <c r="Y24" s="55">
        <f>SUMIF($CB$4:$JS$4,Y$4,$CB24:$JS24)</f>
        <v/>
      </c>
      <c r="Z24" s="55">
        <f>SUMIF($CB$4:$JS$4,Z$4,$CB24:$JS24)</f>
        <v/>
      </c>
      <c r="AA24" s="55">
        <f>SUMIF($CB$4:$JS$4,AA$4,$CB24:$JS24)</f>
        <v/>
      </c>
      <c r="AB24" s="55">
        <f>SUMIF($CB$4:$JS$4,AB$4,$CB24:$JS24)</f>
        <v/>
      </c>
      <c r="AC24" s="55">
        <f>SUMIF($CB$4:$JS$4,AC$4,$CB24:$JS24)</f>
        <v/>
      </c>
      <c r="AD24" s="55">
        <f>SUMIF($CB$4:$JS$4,AD$4,$CB24:$JS24)</f>
        <v/>
      </c>
      <c r="AE24" s="55">
        <f>SUMIF($CB$4:$JS$4,AE$4,$CB24:$JS24)</f>
        <v/>
      </c>
      <c r="AF24" s="55">
        <f>SUMIF($CB$4:$JS$4,AF$4,$CB24:$JS24)</f>
        <v/>
      </c>
      <c r="AG24" s="55">
        <f>SUMIF($CB$4:$JS$4,AG$4,$CB24:$JS24)</f>
        <v/>
      </c>
      <c r="AH24" s="55">
        <f>SUMIF($CB$4:$JS$4,AH$4,$CB24:$JS24)</f>
        <v/>
      </c>
      <c r="AI24" s="55">
        <f>SUMIF($CB$4:$JS$4,AI$4,$CB24:$JS24)</f>
        <v/>
      </c>
      <c r="AJ24" s="55">
        <f>SUMIF($CB$4:$JS$4,AJ$4,$CB24:$JS24)</f>
        <v/>
      </c>
      <c r="AK24" s="55">
        <f>SUMIF($CB$4:$JS$4,AK$4,$CB24:$JS24)</f>
        <v/>
      </c>
      <c r="AL24" s="55">
        <f>SUMIF($CB$4:$JS$4,AL$4,$CB24:$JS24)</f>
        <v/>
      </c>
      <c r="AM24" s="55">
        <f>SUMIF($CB$4:$JS$4,AM$4,$CB24:$JS24)</f>
        <v/>
      </c>
      <c r="AN24" s="55">
        <f>SUMIF($CB$4:$JS$4,AN$4,$CB24:$JS24)</f>
        <v/>
      </c>
      <c r="AO24" s="55">
        <f>SUMIF($CB$4:$JS$4,AO$4,$CB24:$JS24)</f>
        <v/>
      </c>
      <c r="AP24" s="55">
        <f>SUMIF($CB$4:$JS$4,AP$4,$CB24:$JS24)</f>
        <v/>
      </c>
      <c r="AQ24" s="55">
        <f>SUMIF($CB$4:$JS$4,AQ$4,$CB24:$JS24)</f>
        <v/>
      </c>
      <c r="AR24" s="55">
        <f>SUMIF($CB$4:$JS$4,AR$4,$CB24:$JS24)</f>
        <v/>
      </c>
      <c r="AS24" s="55">
        <f>SUMIF($CB$4:$JS$4,AS$4,$CB24:$JS24)</f>
        <v/>
      </c>
      <c r="AT24" s="55">
        <f>SUMIF($CB$4:$JS$4,AT$4,$CB24:$JS24)</f>
        <v/>
      </c>
      <c r="AU24" s="55">
        <f>SUMIF($CB$4:$JS$4,AU$4,$CB24:$JS24)</f>
        <v/>
      </c>
      <c r="AV24" s="55">
        <f>SUMIF($CB$4:$JS$4,AV$4,$CB24:$JS24)</f>
        <v/>
      </c>
      <c r="AW24" s="55">
        <f>SUMIF($CB$4:$JS$4,AW$4,$CB24:$JS24)</f>
        <v/>
      </c>
      <c r="AX24" s="55">
        <f>SUMIF($CB$4:$JS$4,AX$4,$CB24:$JS24)</f>
        <v/>
      </c>
      <c r="AY24" s="55">
        <f>SUMIF($CB$4:$JS$4,AY$4,$CB24:$JS24)</f>
        <v/>
      </c>
      <c r="AZ24" s="55">
        <f>SUMIF($CB$4:$JS$4,AZ$4,$CB24:$JS24)</f>
        <v/>
      </c>
      <c r="BA24" s="55">
        <f>SUMIF($CB$4:$JS$4,BA$4,$CB24:$JS24)</f>
        <v/>
      </c>
      <c r="BB24" s="55">
        <f>SUMIF($CB$4:$JS$4,BB$4,$CB24:$JS24)</f>
        <v/>
      </c>
      <c r="BC24" s="55">
        <f>SUMIF($CB$4:$JS$4,BC$4,$CB24:$JS24)</f>
        <v/>
      </c>
      <c r="BD24" s="55">
        <f>SUMIF($CB$4:$JS$4,BD$4,$CB24:$JS24)</f>
        <v/>
      </c>
      <c r="BE24" s="55">
        <f>SUMIF($CB$4:$JS$4,BE$4,$CB24:$JS24)</f>
        <v/>
      </c>
      <c r="BF24" s="55">
        <f>SUMIF($CB$4:$JS$4,BF$4,$CB24:$JS24)</f>
        <v/>
      </c>
      <c r="BG24" s="55">
        <f>SUMIF($CB$4:$JS$4,BG$4,$CB24:$JS24)</f>
        <v/>
      </c>
      <c r="BH24" s="55">
        <f>SUMIF($CB$4:$JS$4,BH$4,$CB24:$JS24)</f>
        <v/>
      </c>
      <c r="BI24" s="55">
        <f>SUMIF($CB$4:$JS$4,BI$4,$CB24:$JS24)</f>
        <v/>
      </c>
      <c r="BJ24" s="55">
        <f>SUMIF($CB$4:$JS$4,BJ$4,$CB24:$JS24)</f>
        <v/>
      </c>
      <c r="BK24" s="55">
        <f>SUMIF($CB$4:$JS$4,BK$4,$CB24:$JS24)</f>
        <v/>
      </c>
      <c r="BL24" s="55">
        <f>SUMIF($CB$4:$JS$4,BL$4,$CB24:$JS24)</f>
        <v/>
      </c>
      <c r="BM24" s="55">
        <f>SUMIF($CB$4:$JS$4,BM$4,$CB24:$JS24)</f>
        <v/>
      </c>
      <c r="BN24" s="55">
        <f>SUMIF($CB$4:$JS$4,BN$4,$CB24:$JS24)</f>
        <v/>
      </c>
      <c r="BO24" s="55">
        <f>SUMIF($CB$4:$JS$4,BO$4,$CB24:$JS24)</f>
        <v/>
      </c>
      <c r="BP24" s="55">
        <f>SUMIF($CB$4:$JS$4,BP$4,$CB24:$JS24)</f>
        <v/>
      </c>
      <c r="BQ24" s="55">
        <f>SUMIF($CB$4:$JS$4,BQ$4,$CB24:$JS24)</f>
        <v/>
      </c>
      <c r="BR24" s="55">
        <f>SUMIF($CB$4:$JS$4,BR$4,$CB24:$JS24)</f>
        <v/>
      </c>
      <c r="BS24" s="55">
        <f>SUMIF($CB$4:$JS$4,BS$4,$CB24:$JS24)</f>
        <v/>
      </c>
      <c r="BT24" s="55">
        <f>SUMIF($CB$4:$JS$4,BT$4,$CB24:$JS24)</f>
        <v/>
      </c>
      <c r="BU24" s="55">
        <f>SUMIF($CB$4:$JS$4,BU$4,$CB24:$JS24)</f>
        <v/>
      </c>
      <c r="BV24" s="55">
        <f>SUMIF($CB$4:$JS$4,BV$4,$CB24:$JS24)</f>
        <v/>
      </c>
      <c r="BW24" s="55">
        <f>SUMIF($CB$4:$JS$4,BW$4,$CB24:$JS24)</f>
        <v/>
      </c>
      <c r="BX24" s="55">
        <f>SUMIF($CB$4:$JS$4,"&gt;"&amp;'VALOR POR PL'!$P$8,$CB24:$JS24)</f>
        <v/>
      </c>
      <c r="BY24" s="55">
        <f>SUM($CB24:$JS24)</f>
        <v/>
      </c>
      <c r="CB24" s="123">
        <f>IF(OR(CB$4="",$B24=""),0,SUMIF('DADOS BRUTOS'!$A$3:$A$500,$B24,'DADOS BRUTOS'!B$3:B$500)+IF($C24="",0,SUMIF('DADOS BRUTOS'!$A$3:$A$500,$C24,'DADOS BRUTOS'!B$3:B$500)))</f>
        <v/>
      </c>
      <c r="CC24" s="123">
        <f>IF(OR(CC$4="",$B24=""),0,SUMIF('DADOS BRUTOS'!$A$3:$A$500,$B24,'DADOS BRUTOS'!C$3:C$500)+IF($C24="",0,SUMIF('DADOS BRUTOS'!$A$3:$A$500,$C24,'DADOS BRUTOS'!C$3:C$500)))</f>
        <v/>
      </c>
      <c r="CD24" s="123">
        <f>IF(OR(CD$4="",$B24=""),0,SUMIF('DADOS BRUTOS'!$A$3:$A$500,$B24,'DADOS BRUTOS'!D$3:D$500)+IF($C24="",0,SUMIF('DADOS BRUTOS'!$A$3:$A$500,$C24,'DADOS BRUTOS'!D$3:D$500)))</f>
        <v/>
      </c>
      <c r="CE24" s="123">
        <f>IF(OR(CE$4="",$B24=""),0,SUMIF('DADOS BRUTOS'!$A$3:$A$500,$B24,'DADOS BRUTOS'!E$3:E$500)+IF($C24="",0,SUMIF('DADOS BRUTOS'!$A$3:$A$500,$C24,'DADOS BRUTOS'!E$3:E$500)))</f>
        <v/>
      </c>
      <c r="CF24" s="123">
        <f>IF(OR(CF$4="",$B24=""),0,SUMIF('DADOS BRUTOS'!$A$3:$A$500,$B24,'DADOS BRUTOS'!F$3:F$500)+IF($C24="",0,SUMIF('DADOS BRUTOS'!$A$3:$A$500,$C24,'DADOS BRUTOS'!F$3:F$500)))</f>
        <v/>
      </c>
      <c r="CG24" s="123">
        <f>IF(OR(CG$4="",$B24=""),0,SUMIF('DADOS BRUTOS'!$A$3:$A$500,$B24,'DADOS BRUTOS'!G$3:G$500)+IF($C24="",0,SUMIF('DADOS BRUTOS'!$A$3:$A$500,$C24,'DADOS BRUTOS'!G$3:G$500)))</f>
        <v/>
      </c>
      <c r="CH24" s="123">
        <f>IF(OR(CH$4="",$B24=""),0,SUMIF('DADOS BRUTOS'!$A$3:$A$500,$B24,'DADOS BRUTOS'!H$3:H$500)+IF($C24="",0,SUMIF('DADOS BRUTOS'!$A$3:$A$500,$C24,'DADOS BRUTOS'!H$3:H$500)))</f>
        <v/>
      </c>
      <c r="CI24" s="123">
        <f>IF(OR(CI$4="",$B24=""),0,SUMIF('DADOS BRUTOS'!$A$3:$A$500,$B24,'DADOS BRUTOS'!I$3:I$500)+IF($C24="",0,SUMIF('DADOS BRUTOS'!$A$3:$A$500,$C24,'DADOS BRUTOS'!I$3:I$500)))</f>
        <v/>
      </c>
      <c r="CJ24" s="123">
        <f>IF(OR(CJ$4="",$B24=""),0,SUMIF('DADOS BRUTOS'!$A$3:$A$500,$B24,'DADOS BRUTOS'!J$3:J$500)+IF($C24="",0,SUMIF('DADOS BRUTOS'!$A$3:$A$500,$C24,'DADOS BRUTOS'!J$3:J$500)))</f>
        <v/>
      </c>
      <c r="CK24" s="123">
        <f>IF(OR(CK$4="",$B24=""),0,SUMIF('DADOS BRUTOS'!$A$3:$A$500,$B24,'DADOS BRUTOS'!K$3:K$500)+IF($C24="",0,SUMIF('DADOS BRUTOS'!$A$3:$A$500,$C24,'DADOS BRUTOS'!K$3:K$500)))</f>
        <v/>
      </c>
      <c r="CL24" s="123">
        <f>IF(OR(CL$4="",$B24=""),0,SUMIF('DADOS BRUTOS'!$A$3:$A$500,$B24,'DADOS BRUTOS'!L$3:L$500)+IF($C24="",0,SUMIF('DADOS BRUTOS'!$A$3:$A$500,$C24,'DADOS BRUTOS'!L$3:L$500)))</f>
        <v/>
      </c>
      <c r="CM24" s="123">
        <f>IF(OR(CM$4="",$B24=""),0,SUMIF('DADOS BRUTOS'!$A$3:$A$500,$B24,'DADOS BRUTOS'!M$3:M$500)+IF($C24="",0,SUMIF('DADOS BRUTOS'!$A$3:$A$500,$C24,'DADOS BRUTOS'!M$3:M$500)))</f>
        <v/>
      </c>
      <c r="CN24" s="123">
        <f>IF(OR(CN$4="",$B24=""),0,SUMIF('DADOS BRUTOS'!$A$3:$A$500,$B24,'DADOS BRUTOS'!N$3:N$500)+IF($C24="",0,SUMIF('DADOS BRUTOS'!$A$3:$A$500,$C24,'DADOS BRUTOS'!N$3:N$500)))</f>
        <v/>
      </c>
      <c r="CO24" s="123">
        <f>IF(OR(CO$4="",$B24=""),0,SUMIF('DADOS BRUTOS'!$A$3:$A$500,$B24,'DADOS BRUTOS'!O$3:O$500)+IF($C24="",0,SUMIF('DADOS BRUTOS'!$A$3:$A$500,$C24,'DADOS BRUTOS'!O$3:O$500)))</f>
        <v/>
      </c>
      <c r="CP24" s="123">
        <f>IF(OR(CP$4="",$B24=""),0,SUMIF('DADOS BRUTOS'!$A$3:$A$500,$B24,'DADOS BRUTOS'!P$3:P$500)+IF($C24="",0,SUMIF('DADOS BRUTOS'!$A$3:$A$500,$C24,'DADOS BRUTOS'!P$3:P$500)))</f>
        <v/>
      </c>
      <c r="CQ24" s="123">
        <f>IF(OR(CQ$4="",$B24=""),0,SUMIF('DADOS BRUTOS'!$A$3:$A$500,$B24,'DADOS BRUTOS'!Q$3:Q$500)+IF($C24="",0,SUMIF('DADOS BRUTOS'!$A$3:$A$500,$C24,'DADOS BRUTOS'!Q$3:Q$500)))</f>
        <v/>
      </c>
      <c r="CR24" s="123">
        <f>IF(OR(CR$4="",$B24=""),0,SUMIF('DADOS BRUTOS'!$A$3:$A$500,$B24,'DADOS BRUTOS'!R$3:R$500)+IF($C24="",0,SUMIF('DADOS BRUTOS'!$A$3:$A$500,$C24,'DADOS BRUTOS'!R$3:R$500)))</f>
        <v/>
      </c>
      <c r="CS24" s="123">
        <f>IF(OR(CS$4="",$B24=""),0,SUMIF('DADOS BRUTOS'!$A$3:$A$500,$B24,'DADOS BRUTOS'!S$3:S$500)+IF($C24="",0,SUMIF('DADOS BRUTOS'!$A$3:$A$500,$C24,'DADOS BRUTOS'!S$3:S$500)))</f>
        <v/>
      </c>
      <c r="CT24" s="123">
        <f>IF(OR(CT$4="",$B24=""),0,SUMIF('DADOS BRUTOS'!$A$3:$A$500,$B24,'DADOS BRUTOS'!T$3:T$500)+IF($C24="",0,SUMIF('DADOS BRUTOS'!$A$3:$A$500,$C24,'DADOS BRUTOS'!T$3:T$500)))</f>
        <v/>
      </c>
      <c r="CU24" s="123">
        <f>IF(OR(CU$4="",$B24=""),0,SUMIF('DADOS BRUTOS'!$A$3:$A$500,$B24,'DADOS BRUTOS'!U$3:U$500)+IF($C24="",0,SUMIF('DADOS BRUTOS'!$A$3:$A$500,$C24,'DADOS BRUTOS'!U$3:U$500)))</f>
        <v/>
      </c>
      <c r="CV24" s="123">
        <f>IF(OR(CV$4="",$B24=""),0,SUMIF('DADOS BRUTOS'!$A$3:$A$500,$B24,'DADOS BRUTOS'!V$3:V$500)+IF($C24="",0,SUMIF('DADOS BRUTOS'!$A$3:$A$500,$C24,'DADOS BRUTOS'!V$3:V$500)))</f>
        <v/>
      </c>
      <c r="CW24" s="123">
        <f>IF(OR(CW$4="",$B24=""),0,SUMIF('DADOS BRUTOS'!$A$3:$A$500,$B24,'DADOS BRUTOS'!W$3:W$500)+IF($C24="",0,SUMIF('DADOS BRUTOS'!$A$3:$A$500,$C24,'DADOS BRUTOS'!W$3:W$500)))</f>
        <v/>
      </c>
      <c r="CX24" s="123">
        <f>IF(OR(CX$4="",$B24=""),0,SUMIF('DADOS BRUTOS'!$A$3:$A$500,$B24,'DADOS BRUTOS'!X$3:X$500)+IF($C24="",0,SUMIF('DADOS BRUTOS'!$A$3:$A$500,$C24,'DADOS BRUTOS'!X$3:X$500)))</f>
        <v/>
      </c>
      <c r="CY24" s="123">
        <f>IF(OR(CY$4="",$B24=""),0,SUMIF('DADOS BRUTOS'!$A$3:$A$500,$B24,'DADOS BRUTOS'!Y$3:Y$500)+IF($C24="",0,SUMIF('DADOS BRUTOS'!$A$3:$A$500,$C24,'DADOS BRUTOS'!Y$3:Y$500)))</f>
        <v/>
      </c>
      <c r="CZ24" s="123">
        <f>IF(OR(CZ$4="",$B24=""),0,SUMIF('DADOS BRUTOS'!$A$3:$A$500,$B24,'DADOS BRUTOS'!Z$3:Z$500)+IF($C24="",0,SUMIF('DADOS BRUTOS'!$A$3:$A$500,$C24,'DADOS BRUTOS'!Z$3:Z$500)))</f>
        <v/>
      </c>
      <c r="DA24" s="123">
        <f>IF(OR(DA$4="",$B24=""),0,SUMIF('DADOS BRUTOS'!$A$3:$A$500,$B24,'DADOS BRUTOS'!AA$3:AA$500)+IF($C24="",0,SUMIF('DADOS BRUTOS'!$A$3:$A$500,$C24,'DADOS BRUTOS'!AA$3:AA$500)))</f>
        <v/>
      </c>
      <c r="DB24" s="123">
        <f>IF(OR(DB$4="",$B24=""),0,SUMIF('DADOS BRUTOS'!$A$3:$A$500,$B24,'DADOS BRUTOS'!AB$3:AB$500)+IF($C24="",0,SUMIF('DADOS BRUTOS'!$A$3:$A$500,$C24,'DADOS BRUTOS'!AB$3:AB$500)))</f>
        <v/>
      </c>
      <c r="DC24" s="123">
        <f>IF(OR(DC$4="",$B24=""),0,SUMIF('DADOS BRUTOS'!$A$3:$A$500,$B24,'DADOS BRUTOS'!AC$3:AC$500)+IF($C24="",0,SUMIF('DADOS BRUTOS'!$A$3:$A$500,$C24,'DADOS BRUTOS'!AC$3:AC$500)))</f>
        <v/>
      </c>
      <c r="DD24" s="123">
        <f>IF(OR(DD$4="",$B24=""),0,SUMIF('DADOS BRUTOS'!$A$3:$A$500,$B24,'DADOS BRUTOS'!AD$3:AD$500)+IF($C24="",0,SUMIF('DADOS BRUTOS'!$A$3:$A$500,$C24,'DADOS BRUTOS'!AD$3:AD$500)))</f>
        <v/>
      </c>
      <c r="DE24" s="123">
        <f>IF(OR(DE$4="",$B24=""),0,SUMIF('DADOS BRUTOS'!$A$3:$A$500,$B24,'DADOS BRUTOS'!AE$3:AE$500)+IF($C24="",0,SUMIF('DADOS BRUTOS'!$A$3:$A$500,$C24,'DADOS BRUTOS'!AE$3:AE$500)))</f>
        <v/>
      </c>
      <c r="DF24" s="123">
        <f>IF(OR(DF$4="",$B24=""),0,SUMIF('DADOS BRUTOS'!$A$3:$A$500,$B24,'DADOS BRUTOS'!AF$3:AF$500)+IF($C24="",0,SUMIF('DADOS BRUTOS'!$A$3:$A$500,$C24,'DADOS BRUTOS'!AF$3:AF$500)))</f>
        <v/>
      </c>
      <c r="DG24" s="123">
        <f>IF(OR(DG$4="",$B24=""),0,SUMIF('DADOS BRUTOS'!$A$3:$A$500,$B24,'DADOS BRUTOS'!AG$3:AG$500)+IF($C24="",0,SUMIF('DADOS BRUTOS'!$A$3:$A$500,$C24,'DADOS BRUTOS'!AG$3:AG$500)))</f>
        <v/>
      </c>
      <c r="DH24" s="123">
        <f>IF(OR(DH$4="",$B24=""),0,SUMIF('DADOS BRUTOS'!$A$3:$A$500,$B24,'DADOS BRUTOS'!AH$3:AH$500)+IF($C24="",0,SUMIF('DADOS BRUTOS'!$A$3:$A$500,$C24,'DADOS BRUTOS'!AH$3:AH$500)))</f>
        <v/>
      </c>
      <c r="DI24" s="123">
        <f>IF(OR(DI$4="",$B24=""),0,SUMIF('DADOS BRUTOS'!$A$3:$A$500,$B24,'DADOS BRUTOS'!AI$3:AI$500)+IF($C24="",0,SUMIF('DADOS BRUTOS'!$A$3:$A$500,$C24,'DADOS BRUTOS'!AI$3:AI$500)))</f>
        <v/>
      </c>
      <c r="DJ24" s="123">
        <f>IF(OR(DJ$4="",$B24=""),0,SUMIF('DADOS BRUTOS'!$A$3:$A$500,$B24,'DADOS BRUTOS'!AJ$3:AJ$500)+IF($C24="",0,SUMIF('DADOS BRUTOS'!$A$3:$A$500,$C24,'DADOS BRUTOS'!AJ$3:AJ$500)))</f>
        <v/>
      </c>
      <c r="DK24" s="123">
        <f>IF(OR(DK$4="",$B24=""),0,SUMIF('DADOS BRUTOS'!$A$3:$A$500,$B24,'DADOS BRUTOS'!AK$3:AK$500)+IF($C24="",0,SUMIF('DADOS BRUTOS'!$A$3:$A$500,$C24,'DADOS BRUTOS'!AK$3:AK$500)))</f>
        <v/>
      </c>
      <c r="DL24" s="123">
        <f>IF(OR(DL$4="",$B24=""),0,SUMIF('DADOS BRUTOS'!$A$3:$A$500,$B24,'DADOS BRUTOS'!AL$3:AL$500)+IF($C24="",0,SUMIF('DADOS BRUTOS'!$A$3:$A$500,$C24,'DADOS BRUTOS'!AL$3:AL$500)))</f>
        <v/>
      </c>
      <c r="DM24" s="123">
        <f>IF(OR(DM$4="",$B24=""),0,SUMIF('DADOS BRUTOS'!$A$3:$A$500,$B24,'DADOS BRUTOS'!AM$3:AM$500)+IF($C24="",0,SUMIF('DADOS BRUTOS'!$A$3:$A$500,$C24,'DADOS BRUTOS'!AM$3:AM$500)))</f>
        <v/>
      </c>
      <c r="DN24" s="123">
        <f>IF(OR(DN$4="",$B24=""),0,SUMIF('DADOS BRUTOS'!$A$3:$A$500,$B24,'DADOS BRUTOS'!AN$3:AN$500)+IF($C24="",0,SUMIF('DADOS BRUTOS'!$A$3:$A$500,$C24,'DADOS BRUTOS'!AN$3:AN$500)))</f>
        <v/>
      </c>
      <c r="DO24" s="123">
        <f>IF(OR(DO$4="",$B24=""),0,SUMIF('DADOS BRUTOS'!$A$3:$A$500,$B24,'DADOS BRUTOS'!AO$3:AO$500)+IF($C24="",0,SUMIF('DADOS BRUTOS'!$A$3:$A$500,$C24,'DADOS BRUTOS'!AO$3:AO$500)))</f>
        <v/>
      </c>
      <c r="DP24" s="123">
        <f>IF(OR(DP$4="",$B24=""),0,SUMIF('DADOS BRUTOS'!$A$3:$A$500,$B24,'DADOS BRUTOS'!AP$3:AP$500)+IF($C24="",0,SUMIF('DADOS BRUTOS'!$A$3:$A$500,$C24,'DADOS BRUTOS'!AP$3:AP$500)))</f>
        <v/>
      </c>
      <c r="DQ24" s="123">
        <f>IF(OR(DQ$4="",$B24=""),0,SUMIF('DADOS BRUTOS'!$A$3:$A$500,$B24,'DADOS BRUTOS'!AQ$3:AQ$500)+IF($C24="",0,SUMIF('DADOS BRUTOS'!$A$3:$A$500,$C24,'DADOS BRUTOS'!AQ$3:AQ$500)))</f>
        <v/>
      </c>
      <c r="DR24" s="123">
        <f>IF(OR(DR$4="",$B24=""),0,SUMIF('DADOS BRUTOS'!$A$3:$A$500,$B24,'DADOS BRUTOS'!AR$3:AR$500)+IF($C24="",0,SUMIF('DADOS BRUTOS'!$A$3:$A$500,$C24,'DADOS BRUTOS'!AR$3:AR$500)))</f>
        <v/>
      </c>
      <c r="DS24" s="123">
        <f>IF(OR(DS$4="",$B24=""),0,SUMIF('DADOS BRUTOS'!$A$3:$A$500,$B24,'DADOS BRUTOS'!AS$3:AS$500)+IF($C24="",0,SUMIF('DADOS BRUTOS'!$A$3:$A$500,$C24,'DADOS BRUTOS'!AS$3:AS$500)))</f>
        <v/>
      </c>
      <c r="DT24" s="123">
        <f>IF(OR(DT$4="",$B24=""),0,SUMIF('DADOS BRUTOS'!$A$3:$A$500,$B24,'DADOS BRUTOS'!AT$3:AT$500)+IF($C24="",0,SUMIF('DADOS BRUTOS'!$A$3:$A$500,$C24,'DADOS BRUTOS'!AT$3:AT$500)))</f>
        <v/>
      </c>
      <c r="DU24" s="123">
        <f>IF(OR(DU$4="",$B24=""),0,SUMIF('DADOS BRUTOS'!$A$3:$A$500,$B24,'DADOS BRUTOS'!AU$3:AU$500)+IF($C24="",0,SUMIF('DADOS BRUTOS'!$A$3:$A$500,$C24,'DADOS BRUTOS'!AU$3:AU$500)))</f>
        <v/>
      </c>
      <c r="DV24" s="123">
        <f>IF(OR(DV$4="",$B24=""),0,SUMIF('DADOS BRUTOS'!$A$3:$A$500,$B24,'DADOS BRUTOS'!AV$3:AV$500)+IF($C24="",0,SUMIF('DADOS BRUTOS'!$A$3:$A$500,$C24,'DADOS BRUTOS'!AV$3:AV$500)))</f>
        <v/>
      </c>
      <c r="DW24" s="123">
        <f>IF(OR(DW$4="",$B24=""),0,SUMIF('DADOS BRUTOS'!$A$3:$A$500,$B24,'DADOS BRUTOS'!AW$3:AW$500)+IF($C24="",0,SUMIF('DADOS BRUTOS'!$A$3:$A$500,$C24,'DADOS BRUTOS'!AW$3:AW$500)))</f>
        <v/>
      </c>
      <c r="DX24" s="123">
        <f>IF(OR(DX$4="",$B24=""),0,SUMIF('DADOS BRUTOS'!$A$3:$A$500,$B24,'DADOS BRUTOS'!AX$3:AX$500)+IF($C24="",0,SUMIF('DADOS BRUTOS'!$A$3:$A$500,$C24,'DADOS BRUTOS'!AX$3:AX$500)))</f>
        <v/>
      </c>
      <c r="DY24" s="123">
        <f>IF(OR(DY$4="",$B24=""),0,SUMIF('DADOS BRUTOS'!$A$3:$A$500,$B24,'DADOS BRUTOS'!AY$3:AY$500)+IF($C24="",0,SUMIF('DADOS BRUTOS'!$A$3:$A$500,$C24,'DADOS BRUTOS'!AY$3:AY$500)))</f>
        <v/>
      </c>
      <c r="DZ24" s="123">
        <f>IF(OR(DZ$4="",$B24=""),0,SUMIF('DADOS BRUTOS'!$A$3:$A$500,$B24,'DADOS BRUTOS'!AZ$3:AZ$500)+IF($C24="",0,SUMIF('DADOS BRUTOS'!$A$3:$A$500,$C24,'DADOS BRUTOS'!AZ$3:AZ$500)))</f>
        <v/>
      </c>
      <c r="EA24" s="123">
        <f>IF(OR(EA$4="",$B24=""),0,SUMIF('DADOS BRUTOS'!$A$3:$A$500,$B24,'DADOS BRUTOS'!BA$3:BA$500)+IF($C24="",0,SUMIF('DADOS BRUTOS'!$A$3:$A$500,$C24,'DADOS BRUTOS'!BA$3:BA$500)))</f>
        <v/>
      </c>
      <c r="EB24" s="123">
        <f>IF(OR(EB$4="",$B24=""),0,SUMIF('DADOS BRUTOS'!$A$3:$A$500,$B24,'DADOS BRUTOS'!BB$3:BB$500)+IF($C24="",0,SUMIF('DADOS BRUTOS'!$A$3:$A$500,$C24,'DADOS BRUTOS'!BB$3:BB$500)))</f>
        <v/>
      </c>
      <c r="EC24" s="123">
        <f>IF(OR(EC$4="",$B24=""),0,SUMIF('DADOS BRUTOS'!$A$3:$A$500,$B24,'DADOS BRUTOS'!BC$3:BC$500)+IF($C24="",0,SUMIF('DADOS BRUTOS'!$A$3:$A$500,$C24,'DADOS BRUTOS'!BC$3:BC$500)))</f>
        <v/>
      </c>
      <c r="ED24" s="123">
        <f>IF(OR(ED$4="",$B24=""),0,SUMIF('DADOS BRUTOS'!$A$3:$A$500,$B24,'DADOS BRUTOS'!BD$3:BD$500)+IF($C24="",0,SUMIF('DADOS BRUTOS'!$A$3:$A$500,$C24,'DADOS BRUTOS'!BD$3:BD$500)))</f>
        <v/>
      </c>
      <c r="EE24" s="123">
        <f>IF(OR(EE$4="",$B24=""),0,SUMIF('DADOS BRUTOS'!$A$3:$A$500,$B24,'DADOS BRUTOS'!BE$3:BE$500)+IF($C24="",0,SUMIF('DADOS BRUTOS'!$A$3:$A$500,$C24,'DADOS BRUTOS'!BE$3:BE$500)))</f>
        <v/>
      </c>
      <c r="EF24" s="123">
        <f>IF(OR(EF$4="",$B24=""),0,SUMIF('DADOS BRUTOS'!$A$3:$A$500,$B24,'DADOS BRUTOS'!BF$3:BF$500)+IF($C24="",0,SUMIF('DADOS BRUTOS'!$A$3:$A$500,$C24,'DADOS BRUTOS'!BF$3:BF$500)))</f>
        <v/>
      </c>
      <c r="EG24" s="123">
        <f>IF(OR(EG$4="",$B24=""),0,SUMIF('DADOS BRUTOS'!$A$3:$A$500,$B24,'DADOS BRUTOS'!BG$3:BG$500)+IF($C24="",0,SUMIF('DADOS BRUTOS'!$A$3:$A$500,$C24,'DADOS BRUTOS'!BG$3:BG$500)))</f>
        <v/>
      </c>
      <c r="EH24" s="123">
        <f>IF(OR(EH$4="",$B24=""),0,SUMIF('DADOS BRUTOS'!$A$3:$A$500,$B24,'DADOS BRUTOS'!BH$3:BH$500)+IF($C24="",0,SUMIF('DADOS BRUTOS'!$A$3:$A$500,$C24,'DADOS BRUTOS'!BH$3:BH$500)))</f>
        <v/>
      </c>
      <c r="EI24" s="123">
        <f>IF(OR(EI$4="",$B24=""),0,SUMIF('DADOS BRUTOS'!$A$3:$A$500,$B24,'DADOS BRUTOS'!BI$3:BI$500)+IF($C24="",0,SUMIF('DADOS BRUTOS'!$A$3:$A$500,$C24,'DADOS BRUTOS'!BI$3:BI$500)))</f>
        <v/>
      </c>
      <c r="EJ24" s="123">
        <f>IF(OR(EJ$4="",$B24=""),0,SUMIF('DADOS BRUTOS'!$A$3:$A$500,$B24,'DADOS BRUTOS'!BJ$3:BJ$500)+IF($C24="",0,SUMIF('DADOS BRUTOS'!$A$3:$A$500,$C24,'DADOS BRUTOS'!BJ$3:BJ$500)))</f>
        <v/>
      </c>
      <c r="EK24" s="123">
        <f>IF(OR(EK$4="",$B24=""),0,SUMIF('DADOS BRUTOS'!$A$3:$A$500,$B24,'DADOS BRUTOS'!BK$3:BK$500)+IF($C24="",0,SUMIF('DADOS BRUTOS'!$A$3:$A$500,$C24,'DADOS BRUTOS'!BK$3:BK$500)))</f>
        <v/>
      </c>
      <c r="EL24" s="123">
        <f>IF(OR(EL$4="",$B24=""),0,SUMIF('DADOS BRUTOS'!$A$3:$A$500,$B24,'DADOS BRUTOS'!BL$3:BL$500)+IF($C24="",0,SUMIF('DADOS BRUTOS'!$A$3:$A$500,$C24,'DADOS BRUTOS'!BL$3:BL$500)))</f>
        <v/>
      </c>
      <c r="EM24" s="123">
        <f>IF(OR(EM$4="",$B24=""),0,SUMIF('DADOS BRUTOS'!$A$3:$A$500,$B24,'DADOS BRUTOS'!BM$3:BM$500)+IF($C24="",0,SUMIF('DADOS BRUTOS'!$A$3:$A$500,$C24,'DADOS BRUTOS'!BM$3:BM$500)))</f>
        <v/>
      </c>
      <c r="EN24" s="123">
        <f>IF(OR(EN$4="",$B24=""),0,SUMIF('DADOS BRUTOS'!$A$3:$A$500,$B24,'DADOS BRUTOS'!BN$3:BN$500)+IF($C24="",0,SUMIF('DADOS BRUTOS'!$A$3:$A$500,$C24,'DADOS BRUTOS'!BN$3:BN$500)))</f>
        <v/>
      </c>
      <c r="EO24" s="123">
        <f>IF(OR(EO$4="",$B24=""),0,SUMIF('DADOS BRUTOS'!$A$3:$A$500,$B24,'DADOS BRUTOS'!BO$3:BO$500)+IF($C24="",0,SUMIF('DADOS BRUTOS'!$A$3:$A$500,$C24,'DADOS BRUTOS'!BO$3:BO$500)))</f>
        <v/>
      </c>
      <c r="EP24" s="123">
        <f>IF(OR(EP$4="",$B24=""),0,SUMIF('DADOS BRUTOS'!$A$3:$A$500,$B24,'DADOS BRUTOS'!BP$3:BP$500)+IF($C24="",0,SUMIF('DADOS BRUTOS'!$A$3:$A$500,$C24,'DADOS BRUTOS'!BP$3:BP$500)))</f>
        <v/>
      </c>
      <c r="EQ24" s="123">
        <f>IF(OR(EQ$4="",$B24=""),0,SUMIF('DADOS BRUTOS'!$A$3:$A$500,$B24,'DADOS BRUTOS'!BQ$3:BQ$500)+IF($C24="",0,SUMIF('DADOS BRUTOS'!$A$3:$A$500,$C24,'DADOS BRUTOS'!BQ$3:BQ$500)))</f>
        <v/>
      </c>
      <c r="ER24" s="123">
        <f>IF(OR(ER$4="",$B24=""),0,SUMIF('DADOS BRUTOS'!$A$3:$A$500,$B24,'DADOS BRUTOS'!BR$3:BR$500)+IF($C24="",0,SUMIF('DADOS BRUTOS'!$A$3:$A$500,$C24,'DADOS BRUTOS'!BR$3:BR$500)))</f>
        <v/>
      </c>
      <c r="ES24" s="123">
        <f>IF(OR(ES$4="",$B24=""),0,SUMIF('DADOS BRUTOS'!$A$3:$A$500,$B24,'DADOS BRUTOS'!BS$3:BS$500)+IF($C24="",0,SUMIF('DADOS BRUTOS'!$A$3:$A$500,$C24,'DADOS BRUTOS'!BS$3:BS$500)))</f>
        <v/>
      </c>
      <c r="ET24" s="123">
        <f>IF(OR(ET$4="",$B24=""),0,SUMIF('DADOS BRUTOS'!$A$3:$A$500,$B24,'DADOS BRUTOS'!BT$3:BT$500)+IF($C24="",0,SUMIF('DADOS BRUTOS'!$A$3:$A$500,$C24,'DADOS BRUTOS'!BT$3:BT$500)))</f>
        <v/>
      </c>
      <c r="EU24" s="123">
        <f>IF(OR(EU$4="",$B24=""),0,SUMIF('DADOS BRUTOS'!$A$3:$A$500,$B24,'DADOS BRUTOS'!BU$3:BU$500)+IF($C24="",0,SUMIF('DADOS BRUTOS'!$A$3:$A$500,$C24,'DADOS BRUTOS'!BU$3:BU$500)))</f>
        <v/>
      </c>
      <c r="EV24" s="123">
        <f>IF(OR(EV$4="",$B24=""),0,SUMIF('DADOS BRUTOS'!$A$3:$A$500,$B24,'DADOS BRUTOS'!BV$3:BV$500)+IF($C24="",0,SUMIF('DADOS BRUTOS'!$A$3:$A$500,$C24,'DADOS BRUTOS'!BV$3:BV$500)))</f>
        <v/>
      </c>
      <c r="EW24" s="123">
        <f>IF(OR(EW$4="",$B24=""),0,SUMIF('DADOS BRUTOS'!$A$3:$A$500,$B24,'DADOS BRUTOS'!BW$3:BW$500)+IF($C24="",0,SUMIF('DADOS BRUTOS'!$A$3:$A$500,$C24,'DADOS BRUTOS'!BW$3:BW$500)))</f>
        <v/>
      </c>
      <c r="EX24" s="123">
        <f>IF(OR(EX$4="",$B24=""),0,SUMIF('DADOS BRUTOS'!$A$3:$A$500,$B24,'DADOS BRUTOS'!BX$3:BX$500)+IF($C24="",0,SUMIF('DADOS BRUTOS'!$A$3:$A$500,$C24,'DADOS BRUTOS'!BX$3:BX$500)))</f>
        <v/>
      </c>
      <c r="EY24" s="123">
        <f>IF(OR(EY$4="",$B24=""),0,SUMIF('DADOS BRUTOS'!$A$3:$A$500,$B24,'DADOS BRUTOS'!BY$3:BY$500)+IF($C24="",0,SUMIF('DADOS BRUTOS'!$A$3:$A$500,$C24,'DADOS BRUTOS'!BY$3:BY$500)))</f>
        <v/>
      </c>
      <c r="EZ24" s="123">
        <f>IF(OR(EZ$4="",$B24=""),0,SUMIF('DADOS BRUTOS'!$A$3:$A$500,$B24,'DADOS BRUTOS'!BZ$3:BZ$500)+IF($C24="",0,SUMIF('DADOS BRUTOS'!$A$3:$A$500,$C24,'DADOS BRUTOS'!BZ$3:BZ$500)))</f>
        <v/>
      </c>
      <c r="FA24" s="123">
        <f>IF(OR(FA$4="",$B24=""),0,SUMIF('DADOS BRUTOS'!$A$3:$A$500,$B24,'DADOS BRUTOS'!CA$3:CA$500)+IF($C24="",0,SUMIF('DADOS BRUTOS'!$A$3:$A$500,$C24,'DADOS BRUTOS'!CA$3:CA$500)))</f>
        <v/>
      </c>
      <c r="FB24" s="123">
        <f>IF(OR(FB$4="",$B24=""),0,SUMIF('DADOS BRUTOS'!$A$3:$A$500,$B24,'DADOS BRUTOS'!CB$3:CB$500)+IF($C24="",0,SUMIF('DADOS BRUTOS'!$A$3:$A$500,$C24,'DADOS BRUTOS'!CB$3:CB$500)))</f>
        <v/>
      </c>
      <c r="FC24" s="123">
        <f>IF(OR(FC$4="",$B24=""),0,SUMIF('DADOS BRUTOS'!$A$3:$A$500,$B24,'DADOS BRUTOS'!CC$3:CC$500)+IF($C24="",0,SUMIF('DADOS BRUTOS'!$A$3:$A$500,$C24,'DADOS BRUTOS'!CC$3:CC$500)))</f>
        <v/>
      </c>
      <c r="FD24" s="123">
        <f>IF(OR(FD$4="",$B24=""),0,SUMIF('DADOS BRUTOS'!$A$3:$A$500,$B24,'DADOS BRUTOS'!CD$3:CD$500)+IF($C24="",0,SUMIF('DADOS BRUTOS'!$A$3:$A$500,$C24,'DADOS BRUTOS'!CD$3:CD$500)))</f>
        <v/>
      </c>
      <c r="FE24" s="123">
        <f>IF(OR(FE$4="",$B24=""),0,SUMIF('DADOS BRUTOS'!$A$3:$A$500,$B24,'DADOS BRUTOS'!CE$3:CE$500)+IF($C24="",0,SUMIF('DADOS BRUTOS'!$A$3:$A$500,$C24,'DADOS BRUTOS'!CE$3:CE$500)))</f>
        <v/>
      </c>
      <c r="FF24" s="123">
        <f>IF(OR(FF$4="",$B24=""),0,SUMIF('DADOS BRUTOS'!$A$3:$A$500,$B24,'DADOS BRUTOS'!CF$3:CF$500)+IF($C24="",0,SUMIF('DADOS BRUTOS'!$A$3:$A$500,$C24,'DADOS BRUTOS'!CF$3:CF$500)))</f>
        <v/>
      </c>
      <c r="FG24" s="123">
        <f>IF(OR(FG$4="",$B24=""),0,SUMIF('DADOS BRUTOS'!$A$3:$A$500,$B24,'DADOS BRUTOS'!CG$3:CG$500)+IF($C24="",0,SUMIF('DADOS BRUTOS'!$A$3:$A$500,$C24,'DADOS BRUTOS'!CG$3:CG$500)))</f>
        <v/>
      </c>
      <c r="FH24" s="123">
        <f>IF(OR(FH$4="",$B24=""),0,SUMIF('DADOS BRUTOS'!$A$3:$A$500,$B24,'DADOS BRUTOS'!CH$3:CH$500)+IF($C24="",0,SUMIF('DADOS BRUTOS'!$A$3:$A$500,$C24,'DADOS BRUTOS'!CH$3:CH$500)))</f>
        <v/>
      </c>
      <c r="FI24" s="123">
        <f>IF(OR(FI$4="",$B24=""),0,SUMIF('DADOS BRUTOS'!$A$3:$A$500,$B24,'DADOS BRUTOS'!CI$3:CI$500)+IF($C24="",0,SUMIF('DADOS BRUTOS'!$A$3:$A$500,$C24,'DADOS BRUTOS'!CI$3:CI$500)))</f>
        <v/>
      </c>
      <c r="FJ24" s="123">
        <f>IF(OR(FJ$4="",$B24=""),0,SUMIF('DADOS BRUTOS'!$A$3:$A$500,$B24,'DADOS BRUTOS'!CJ$3:CJ$500)+IF($C24="",0,SUMIF('DADOS BRUTOS'!$A$3:$A$500,$C24,'DADOS BRUTOS'!CJ$3:CJ$500)))</f>
        <v/>
      </c>
      <c r="FK24" s="123">
        <f>IF(OR(FK$4="",$B24=""),0,SUMIF('DADOS BRUTOS'!$A$3:$A$500,$B24,'DADOS BRUTOS'!CK$3:CK$500)+IF($C24="",0,SUMIF('DADOS BRUTOS'!$A$3:$A$500,$C24,'DADOS BRUTOS'!CK$3:CK$500)))</f>
        <v/>
      </c>
      <c r="FL24" s="123">
        <f>IF(OR(FL$4="",$B24=""),0,SUMIF('DADOS BRUTOS'!$A$3:$A$500,$B24,'DADOS BRUTOS'!CL$3:CL$500)+IF($C24="",0,SUMIF('DADOS BRUTOS'!$A$3:$A$500,$C24,'DADOS BRUTOS'!CL$3:CL$500)))</f>
        <v/>
      </c>
      <c r="FM24" s="123">
        <f>IF(OR(FM$4="",$B24=""),0,SUMIF('DADOS BRUTOS'!$A$3:$A$500,$B24,'DADOS BRUTOS'!CM$3:CM$500)+IF($C24="",0,SUMIF('DADOS BRUTOS'!$A$3:$A$500,$C24,'DADOS BRUTOS'!CM$3:CM$500)))</f>
        <v/>
      </c>
      <c r="FN24" s="123">
        <f>IF(OR(FN$4="",$B24=""),0,SUMIF('DADOS BRUTOS'!$A$3:$A$500,$B24,'DADOS BRUTOS'!CN$3:CN$500)+IF($C24="",0,SUMIF('DADOS BRUTOS'!$A$3:$A$500,$C24,'DADOS BRUTOS'!CN$3:CN$500)))</f>
        <v/>
      </c>
      <c r="FO24" s="123">
        <f>IF(OR(FO$4="",$B24=""),0,SUMIF('DADOS BRUTOS'!$A$3:$A$500,$B24,'DADOS BRUTOS'!CO$3:CO$500)+IF($C24="",0,SUMIF('DADOS BRUTOS'!$A$3:$A$500,$C24,'DADOS BRUTOS'!CO$3:CO$500)))</f>
        <v/>
      </c>
      <c r="FP24" s="123">
        <f>IF(OR(FP$4="",$B24=""),0,SUMIF('DADOS BRUTOS'!$A$3:$A$500,$B24,'DADOS BRUTOS'!CP$3:CP$500)+IF($C24="",0,SUMIF('DADOS BRUTOS'!$A$3:$A$500,$C24,'DADOS BRUTOS'!CP$3:CP$500)))</f>
        <v/>
      </c>
      <c r="FQ24" s="123">
        <f>IF(OR(FQ$4="",$B24=""),0,SUMIF('DADOS BRUTOS'!$A$3:$A$500,$B24,'DADOS BRUTOS'!CQ$3:CQ$500)+IF($C24="",0,SUMIF('DADOS BRUTOS'!$A$3:$A$500,$C24,'DADOS BRUTOS'!CQ$3:CQ$500)))</f>
        <v/>
      </c>
      <c r="FR24" s="123">
        <f>IF(OR(FR$4="",$B24=""),0,SUMIF('DADOS BRUTOS'!$A$3:$A$500,$B24,'DADOS BRUTOS'!CR$3:CR$500)+IF($C24="",0,SUMIF('DADOS BRUTOS'!$A$3:$A$500,$C24,'DADOS BRUTOS'!CR$3:CR$500)))</f>
        <v/>
      </c>
      <c r="FS24" s="123">
        <f>IF(OR(FS$4="",$B24=""),0,SUMIF('DADOS BRUTOS'!$A$3:$A$500,$B24,'DADOS BRUTOS'!CS$3:CS$500)+IF($C24="",0,SUMIF('DADOS BRUTOS'!$A$3:$A$500,$C24,'DADOS BRUTOS'!CS$3:CS$500)))</f>
        <v/>
      </c>
      <c r="FT24" s="123">
        <f>IF(OR(FT$4="",$B24=""),0,SUMIF('DADOS BRUTOS'!$A$3:$A$500,$B24,'DADOS BRUTOS'!CT$3:CT$500)+IF($C24="",0,SUMIF('DADOS BRUTOS'!$A$3:$A$500,$C24,'DADOS BRUTOS'!CT$3:CT$500)))</f>
        <v/>
      </c>
      <c r="FU24" s="123">
        <f>IF(OR(FU$4="",$B24=""),0,SUMIF('DADOS BRUTOS'!$A$3:$A$500,$B24,'DADOS BRUTOS'!CU$3:CU$500)+IF($C24="",0,SUMIF('DADOS BRUTOS'!$A$3:$A$500,$C24,'DADOS BRUTOS'!CU$3:CU$500)))</f>
        <v/>
      </c>
      <c r="FV24" s="123">
        <f>IF(OR(FV$4="",$B24=""),0,SUMIF('DADOS BRUTOS'!$A$3:$A$500,$B24,'DADOS BRUTOS'!CV$3:CV$500)+IF($C24="",0,SUMIF('DADOS BRUTOS'!$A$3:$A$500,$C24,'DADOS BRUTOS'!CV$3:CV$500)))</f>
        <v/>
      </c>
      <c r="FW24" s="123">
        <f>IF(OR(FW$4="",$B24=""),0,SUMIF('DADOS BRUTOS'!$A$3:$A$500,$B24,'DADOS BRUTOS'!CW$3:CW$500)+IF($C24="",0,SUMIF('DADOS BRUTOS'!$A$3:$A$500,$C24,'DADOS BRUTOS'!CW$3:CW$500)))</f>
        <v/>
      </c>
      <c r="FX24" s="123">
        <f>IF(OR(FX$4="",$B24=""),0,SUMIF('DADOS BRUTOS'!$A$3:$A$500,$B24,'DADOS BRUTOS'!CX$3:CX$500)+IF($C24="",0,SUMIF('DADOS BRUTOS'!$A$3:$A$500,$C24,'DADOS BRUTOS'!CX$3:CX$500)))</f>
        <v/>
      </c>
      <c r="FY24" s="123">
        <f>IF(OR(FY$4="",$B24=""),0,SUMIF('DADOS BRUTOS'!$A$3:$A$500,$B24,'DADOS BRUTOS'!CY$3:CY$500)+IF($C24="",0,SUMIF('DADOS BRUTOS'!$A$3:$A$500,$C24,'DADOS BRUTOS'!CY$3:CY$500)))</f>
        <v/>
      </c>
      <c r="FZ24" s="123">
        <f>IF(OR(FZ$4="",$B24=""),0,SUMIF('DADOS BRUTOS'!$A$3:$A$500,$B24,'DADOS BRUTOS'!CZ$3:CZ$500)+IF($C24="",0,SUMIF('DADOS BRUTOS'!$A$3:$A$500,$C24,'DADOS BRUTOS'!CZ$3:CZ$500)))</f>
        <v/>
      </c>
      <c r="GA24" s="123">
        <f>IF(OR(GA$4="",$B24=""),0,SUMIF('DADOS BRUTOS'!$A$3:$A$500,$B24,'DADOS BRUTOS'!DA$3:DA$500)+IF($C24="",0,SUMIF('DADOS BRUTOS'!$A$3:$A$500,$C24,'DADOS BRUTOS'!DA$3:DA$500)))</f>
        <v/>
      </c>
      <c r="GB24" s="123">
        <f>IF(OR(GB$4="",$B24=""),0,SUMIF('DADOS BRUTOS'!$A$3:$A$500,$B24,'DADOS BRUTOS'!DB$3:DB$500)+IF($C24="",0,SUMIF('DADOS BRUTOS'!$A$3:$A$500,$C24,'DADOS BRUTOS'!DB$3:DB$500)))</f>
        <v/>
      </c>
      <c r="GC24" s="123">
        <f>IF(OR(GC$4="",$B24=""),0,SUMIF('DADOS BRUTOS'!$A$3:$A$500,$B24,'DADOS BRUTOS'!DC$3:DC$500)+IF($C24="",0,SUMIF('DADOS BRUTOS'!$A$3:$A$500,$C24,'DADOS BRUTOS'!DC$3:DC$500)))</f>
        <v/>
      </c>
      <c r="GD24" s="123">
        <f>IF(OR(GD$4="",$B24=""),0,SUMIF('DADOS BRUTOS'!$A$3:$A$500,$B24,'DADOS BRUTOS'!DD$3:DD$500)+IF($C24="",0,SUMIF('DADOS BRUTOS'!$A$3:$A$500,$C24,'DADOS BRUTOS'!DD$3:DD$500)))</f>
        <v/>
      </c>
      <c r="GE24" s="123">
        <f>IF(OR(GE$4="",$B24=""),0,SUMIF('DADOS BRUTOS'!$A$3:$A$500,$B24,'DADOS BRUTOS'!DE$3:DE$500)+IF($C24="",0,SUMIF('DADOS BRUTOS'!$A$3:$A$500,$C24,'DADOS BRUTOS'!DE$3:DE$500)))</f>
        <v/>
      </c>
      <c r="GF24" s="123">
        <f>IF(OR(GF$4="",$B24=""),0,SUMIF('DADOS BRUTOS'!$A$3:$A$500,$B24,'DADOS BRUTOS'!DF$3:DF$500)+IF($C24="",0,SUMIF('DADOS BRUTOS'!$A$3:$A$500,$C24,'DADOS BRUTOS'!DF$3:DF$500)))</f>
        <v/>
      </c>
      <c r="GG24" s="123">
        <f>IF(OR(GG$4="",$B24=""),0,SUMIF('DADOS BRUTOS'!$A$3:$A$500,$B24,'DADOS BRUTOS'!DG$3:DG$500)+IF($C24="",0,SUMIF('DADOS BRUTOS'!$A$3:$A$500,$C24,'DADOS BRUTOS'!DG$3:DG$500)))</f>
        <v/>
      </c>
      <c r="GH24" s="123">
        <f>IF(OR(GH$4="",$B24=""),0,SUMIF('DADOS BRUTOS'!$A$3:$A$500,$B24,'DADOS BRUTOS'!DH$3:DH$500)+IF($C24="",0,SUMIF('DADOS BRUTOS'!$A$3:$A$500,$C24,'DADOS BRUTOS'!DH$3:DH$500)))</f>
        <v/>
      </c>
      <c r="GI24" s="123">
        <f>IF(OR(GI$4="",$B24=""),0,SUMIF('DADOS BRUTOS'!$A$3:$A$500,$B24,'DADOS BRUTOS'!DI$3:DI$500)+IF($C24="",0,SUMIF('DADOS BRUTOS'!$A$3:$A$500,$C24,'DADOS BRUTOS'!DI$3:DI$500)))</f>
        <v/>
      </c>
      <c r="GJ24" s="123">
        <f>IF(OR(GJ$4="",$B24=""),0,SUMIF('DADOS BRUTOS'!$A$3:$A$500,$B24,'DADOS BRUTOS'!DJ$3:DJ$500)+IF($C24="",0,SUMIF('DADOS BRUTOS'!$A$3:$A$500,$C24,'DADOS BRUTOS'!DJ$3:DJ$500)))</f>
        <v/>
      </c>
      <c r="GK24" s="123">
        <f>IF(OR(GK$4="",$B24=""),0,SUMIF('DADOS BRUTOS'!$A$3:$A$500,$B24,'DADOS BRUTOS'!DK$3:DK$500)+IF($C24="",0,SUMIF('DADOS BRUTOS'!$A$3:$A$500,$C24,'DADOS BRUTOS'!DK$3:DK$500)))</f>
        <v/>
      </c>
      <c r="GL24" s="123">
        <f>IF(OR(GL$4="",$B24=""),0,SUMIF('DADOS BRUTOS'!$A$3:$A$500,$B24,'DADOS BRUTOS'!DL$3:DL$500)+IF($C24="",0,SUMIF('DADOS BRUTOS'!$A$3:$A$500,$C24,'DADOS BRUTOS'!DL$3:DL$500)))</f>
        <v/>
      </c>
      <c r="GM24" s="123">
        <f>IF(OR(GM$4="",$B24=""),0,SUMIF('DADOS BRUTOS'!$A$3:$A$500,$B24,'DADOS BRUTOS'!DM$3:DM$500)+IF($C24="",0,SUMIF('DADOS BRUTOS'!$A$3:$A$500,$C24,'DADOS BRUTOS'!DM$3:DM$500)))</f>
        <v/>
      </c>
      <c r="GN24" s="123">
        <f>IF(OR(GN$4="",$B24=""),0,SUMIF('DADOS BRUTOS'!$A$3:$A$500,$B24,'DADOS BRUTOS'!DN$3:DN$500)+IF($C24="",0,SUMIF('DADOS BRUTOS'!$A$3:$A$500,$C24,'DADOS BRUTOS'!DN$3:DN$500)))</f>
        <v/>
      </c>
      <c r="GO24" s="123">
        <f>IF(OR(GO$4="",$B24=""),0,SUMIF('DADOS BRUTOS'!$A$3:$A$500,$B24,'DADOS BRUTOS'!DO$3:DO$500)+IF($C24="",0,SUMIF('DADOS BRUTOS'!$A$3:$A$500,$C24,'DADOS BRUTOS'!DO$3:DO$500)))</f>
        <v/>
      </c>
      <c r="GP24" s="123">
        <f>IF(OR(GP$4="",$B24=""),0,SUMIF('DADOS BRUTOS'!$A$3:$A$500,$B24,'DADOS BRUTOS'!DP$3:DP$500)+IF($C24="",0,SUMIF('DADOS BRUTOS'!$A$3:$A$500,$C24,'DADOS BRUTOS'!DP$3:DP$500)))</f>
        <v/>
      </c>
      <c r="GQ24" s="123">
        <f>IF(OR(GQ$4="",$B24=""),0,SUMIF('DADOS BRUTOS'!$A$3:$A$500,$B24,'DADOS BRUTOS'!DQ$3:DQ$500)+IF($C24="",0,SUMIF('DADOS BRUTOS'!$A$3:$A$500,$C24,'DADOS BRUTOS'!DQ$3:DQ$500)))</f>
        <v/>
      </c>
      <c r="GR24" s="123">
        <f>IF(OR(GR$4="",$B24=""),0,SUMIF('DADOS BRUTOS'!$A$3:$A$500,$B24,'DADOS BRUTOS'!DR$3:DR$500)+IF($C24="",0,SUMIF('DADOS BRUTOS'!$A$3:$A$500,$C24,'DADOS BRUTOS'!DR$3:DR$500)))</f>
        <v/>
      </c>
      <c r="GS24" s="123">
        <f>IF(OR(GS$4="",$B24=""),0,SUMIF('DADOS BRUTOS'!$A$3:$A$500,$B24,'DADOS BRUTOS'!DS$3:DS$500)+IF($C24="",0,SUMIF('DADOS BRUTOS'!$A$3:$A$500,$C24,'DADOS BRUTOS'!DS$3:DS$500)))</f>
        <v/>
      </c>
      <c r="GT24" s="123">
        <f>IF(OR(GT$4="",$B24=""),0,SUMIF('DADOS BRUTOS'!$A$3:$A$500,$B24,'DADOS BRUTOS'!DT$3:DT$500)+IF($C24="",0,SUMIF('DADOS BRUTOS'!$A$3:$A$500,$C24,'DADOS BRUTOS'!DT$3:DT$500)))</f>
        <v/>
      </c>
      <c r="GU24" s="123">
        <f>IF(OR(GU$4="",$B24=""),0,SUMIF('DADOS BRUTOS'!$A$3:$A$500,$B24,'DADOS BRUTOS'!DU$3:DU$500)+IF($C24="",0,SUMIF('DADOS BRUTOS'!$A$3:$A$500,$C24,'DADOS BRUTOS'!DU$3:DU$500)))</f>
        <v/>
      </c>
      <c r="GV24" s="123">
        <f>IF(OR(GV$4="",$B24=""),0,SUMIF('DADOS BRUTOS'!$A$3:$A$500,$B24,'DADOS BRUTOS'!DV$3:DV$500)+IF($C24="",0,SUMIF('DADOS BRUTOS'!$A$3:$A$500,$C24,'DADOS BRUTOS'!DV$3:DV$500)))</f>
        <v/>
      </c>
      <c r="GW24" s="123">
        <f>IF(OR(GW$4="",$B24=""),0,SUMIF('DADOS BRUTOS'!$A$3:$A$500,$B24,'DADOS BRUTOS'!DW$3:DW$500)+IF($C24="",0,SUMIF('DADOS BRUTOS'!$A$3:$A$500,$C24,'DADOS BRUTOS'!DW$3:DW$500)))</f>
        <v/>
      </c>
      <c r="GX24" s="123">
        <f>IF(OR(GX$4="",$B24=""),0,SUMIF('DADOS BRUTOS'!$A$3:$A$500,$B24,'DADOS BRUTOS'!DX$3:DX$500)+IF($C24="",0,SUMIF('DADOS BRUTOS'!$A$3:$A$500,$C24,'DADOS BRUTOS'!DX$3:DX$500)))</f>
        <v/>
      </c>
      <c r="GY24" s="123">
        <f>IF(OR(GY$4="",$B24=""),0,SUMIF('DADOS BRUTOS'!$A$3:$A$500,$B24,'DADOS BRUTOS'!DY$3:DY$500)+IF($C24="",0,SUMIF('DADOS BRUTOS'!$A$3:$A$500,$C24,'DADOS BRUTOS'!DY$3:DY$500)))</f>
        <v/>
      </c>
      <c r="GZ24" s="123">
        <f>IF(OR(GZ$4="",$B24=""),0,SUMIF('DADOS BRUTOS'!$A$3:$A$500,$B24,'DADOS BRUTOS'!DZ$3:DZ$500)+IF($C24="",0,SUMIF('DADOS BRUTOS'!$A$3:$A$500,$C24,'DADOS BRUTOS'!DZ$3:DZ$500)))</f>
        <v/>
      </c>
      <c r="HA24" s="123">
        <f>IF(OR(HA$4="",$B24=""),0,SUMIF('DADOS BRUTOS'!$A$3:$A$500,$B24,'DADOS BRUTOS'!EA$3:EA$500)+IF($C24="",0,SUMIF('DADOS BRUTOS'!$A$3:$A$500,$C24,'DADOS BRUTOS'!EA$3:EA$500)))</f>
        <v/>
      </c>
      <c r="HB24" s="123">
        <f>IF(OR(HB$4="",$B24=""),0,SUMIF('DADOS BRUTOS'!$A$3:$A$500,$B24,'DADOS BRUTOS'!EB$3:EB$500)+IF($C24="",0,SUMIF('DADOS BRUTOS'!$A$3:$A$500,$C24,'DADOS BRUTOS'!EB$3:EB$500)))</f>
        <v/>
      </c>
      <c r="HC24" s="123">
        <f>IF(OR(HC$4="",$B24=""),0,SUMIF('DADOS BRUTOS'!$A$3:$A$500,$B24,'DADOS BRUTOS'!EC$3:EC$500)+IF($C24="",0,SUMIF('DADOS BRUTOS'!$A$3:$A$500,$C24,'DADOS BRUTOS'!EC$3:EC$500)))</f>
        <v/>
      </c>
      <c r="HD24" s="123">
        <f>IF(OR(HD$4="",$B24=""),0,SUMIF('DADOS BRUTOS'!$A$3:$A$500,$B24,'DADOS BRUTOS'!ED$3:ED$500)+IF($C24="",0,SUMIF('DADOS BRUTOS'!$A$3:$A$500,$C24,'DADOS BRUTOS'!ED$3:ED$500)))</f>
        <v/>
      </c>
      <c r="HE24" s="123">
        <f>IF(OR(HE$4="",$B24=""),0,SUMIF('DADOS BRUTOS'!$A$3:$A$500,$B24,'DADOS BRUTOS'!EE$3:EE$500)+IF($C24="",0,SUMIF('DADOS BRUTOS'!$A$3:$A$500,$C24,'DADOS BRUTOS'!EE$3:EE$500)))</f>
        <v/>
      </c>
      <c r="HF24" s="123">
        <f>IF(OR(HF$4="",$B24=""),0,SUMIF('DADOS BRUTOS'!$A$3:$A$500,$B24,'DADOS BRUTOS'!EF$3:EF$500)+IF($C24="",0,SUMIF('DADOS BRUTOS'!$A$3:$A$500,$C24,'DADOS BRUTOS'!EF$3:EF$500)))</f>
        <v/>
      </c>
      <c r="HG24" s="123">
        <f>IF(OR(HG$4="",$B24=""),0,SUMIF('DADOS BRUTOS'!$A$3:$A$500,$B24,'DADOS BRUTOS'!EG$3:EG$500)+IF($C24="",0,SUMIF('DADOS BRUTOS'!$A$3:$A$500,$C24,'DADOS BRUTOS'!EG$3:EG$500)))</f>
        <v/>
      </c>
      <c r="HH24" s="123">
        <f>IF(OR(HH$4="",$B24=""),0,SUMIF('DADOS BRUTOS'!$A$3:$A$500,$B24,'DADOS BRUTOS'!EH$3:EH$500)+IF($C24="",0,SUMIF('DADOS BRUTOS'!$A$3:$A$500,$C24,'DADOS BRUTOS'!EH$3:EH$500)))</f>
        <v/>
      </c>
      <c r="HI24" s="123">
        <f>IF(OR(HI$4="",$B24=""),0,SUMIF('DADOS BRUTOS'!$A$3:$A$500,$B24,'DADOS BRUTOS'!EI$3:EI$500)+IF($C24="",0,SUMIF('DADOS BRUTOS'!$A$3:$A$500,$C24,'DADOS BRUTOS'!EI$3:EI$500)))</f>
        <v/>
      </c>
      <c r="HJ24" s="123">
        <f>IF(OR(HJ$4="",$B24=""),0,SUMIF('DADOS BRUTOS'!$A$3:$A$500,$B24,'DADOS BRUTOS'!EJ$3:EJ$500)+IF($C24="",0,SUMIF('DADOS BRUTOS'!$A$3:$A$500,$C24,'DADOS BRUTOS'!EJ$3:EJ$500)))</f>
        <v/>
      </c>
      <c r="HK24" s="123">
        <f>IF(OR(HK$4="",$B24=""),0,SUMIF('DADOS BRUTOS'!$A$3:$A$500,$B24,'DADOS BRUTOS'!EK$3:EK$500)+IF($C24="",0,SUMIF('DADOS BRUTOS'!$A$3:$A$500,$C24,'DADOS BRUTOS'!EK$3:EK$500)))</f>
        <v/>
      </c>
      <c r="HL24" s="123">
        <f>IF(OR(HL$4="",$B24=""),0,SUMIF('DADOS BRUTOS'!$A$3:$A$500,$B24,'DADOS BRUTOS'!EL$3:EL$500)+IF($C24="",0,SUMIF('DADOS BRUTOS'!$A$3:$A$500,$C24,'DADOS BRUTOS'!EL$3:EL$500)))</f>
        <v/>
      </c>
      <c r="HM24" s="123">
        <f>IF(OR(HM$4="",$B24=""),0,SUMIF('DADOS BRUTOS'!$A$3:$A$500,$B24,'DADOS BRUTOS'!EM$3:EM$500)+IF($C24="",0,SUMIF('DADOS BRUTOS'!$A$3:$A$500,$C24,'DADOS BRUTOS'!EM$3:EM$500)))</f>
        <v/>
      </c>
      <c r="HN24" s="123">
        <f>IF(OR(HN$4="",$B24=""),0,SUMIF('DADOS BRUTOS'!$A$3:$A$500,$B24,'DADOS BRUTOS'!EN$3:EN$500)+IF($C24="",0,SUMIF('DADOS BRUTOS'!$A$3:$A$500,$C24,'DADOS BRUTOS'!EN$3:EN$500)))</f>
        <v/>
      </c>
      <c r="HO24" s="123">
        <f>IF(OR(HO$4="",$B24=""),0,SUMIF('DADOS BRUTOS'!$A$3:$A$500,$B24,'DADOS BRUTOS'!EO$3:EO$500)+IF($C24="",0,SUMIF('DADOS BRUTOS'!$A$3:$A$500,$C24,'DADOS BRUTOS'!EO$3:EO$500)))</f>
        <v/>
      </c>
      <c r="HP24" s="123">
        <f>IF(OR(HP$4="",$B24=""),0,SUMIF('DADOS BRUTOS'!$A$3:$A$500,$B24,'DADOS BRUTOS'!EP$3:EP$500)+IF($C24="",0,SUMIF('DADOS BRUTOS'!$A$3:$A$500,$C24,'DADOS BRUTOS'!EP$3:EP$500)))</f>
        <v/>
      </c>
      <c r="HQ24" s="123">
        <f>IF(OR(HQ$4="",$B24=""),0,SUMIF('DADOS BRUTOS'!$A$3:$A$500,$B24,'DADOS BRUTOS'!EQ$3:EQ$500)+IF($C24="",0,SUMIF('DADOS BRUTOS'!$A$3:$A$500,$C24,'DADOS BRUTOS'!EQ$3:EQ$500)))</f>
        <v/>
      </c>
      <c r="HR24" s="123">
        <f>IF(OR(HR$4="",$B24=""),0,SUMIF('DADOS BRUTOS'!$A$3:$A$500,$B24,'DADOS BRUTOS'!ER$3:ER$500)+IF($C24="",0,SUMIF('DADOS BRUTOS'!$A$3:$A$500,$C24,'DADOS BRUTOS'!ER$3:ER$500)))</f>
        <v/>
      </c>
      <c r="HS24" s="123">
        <f>IF(OR(HS$4="",$B24=""),0,SUMIF('DADOS BRUTOS'!$A$3:$A$500,$B24,'DADOS BRUTOS'!ES$3:ES$500)+IF($C24="",0,SUMIF('DADOS BRUTOS'!$A$3:$A$500,$C24,'DADOS BRUTOS'!ES$3:ES$500)))</f>
        <v/>
      </c>
      <c r="HT24" s="123">
        <f>IF(OR(HT$4="",$B24=""),0,SUMIF('DADOS BRUTOS'!$A$3:$A$500,$B24,'DADOS BRUTOS'!ET$3:ET$500)+IF($C24="",0,SUMIF('DADOS BRUTOS'!$A$3:$A$500,$C24,'DADOS BRUTOS'!ET$3:ET$500)))</f>
        <v/>
      </c>
      <c r="HU24" s="123">
        <f>IF(OR(HU$4="",$B24=""),0,SUMIF('DADOS BRUTOS'!$A$3:$A$500,$B24,'DADOS BRUTOS'!EU$3:EU$500)+IF($C24="",0,SUMIF('DADOS BRUTOS'!$A$3:$A$500,$C24,'DADOS BRUTOS'!EU$3:EU$500)))</f>
        <v/>
      </c>
      <c r="HV24" s="123">
        <f>IF(OR(HV$4="",$B24=""),0,SUMIF('DADOS BRUTOS'!$A$3:$A$500,$B24,'DADOS BRUTOS'!EV$3:EV$500)+IF($C24="",0,SUMIF('DADOS BRUTOS'!$A$3:$A$500,$C24,'DADOS BRUTOS'!EV$3:EV$500)))</f>
        <v/>
      </c>
      <c r="HW24" s="123">
        <f>IF(OR(HW$4="",$B24=""),0,SUMIF('DADOS BRUTOS'!$A$3:$A$500,$B24,'DADOS BRUTOS'!EW$3:EW$500)+IF($C24="",0,SUMIF('DADOS BRUTOS'!$A$3:$A$500,$C24,'DADOS BRUTOS'!EW$3:EW$500)))</f>
        <v/>
      </c>
      <c r="HX24" s="123">
        <f>IF(OR(HX$4="",$B24=""),0,SUMIF('DADOS BRUTOS'!$A$3:$A$500,$B24,'DADOS BRUTOS'!EX$3:EX$500)+IF($C24="",0,SUMIF('DADOS BRUTOS'!$A$3:$A$500,$C24,'DADOS BRUTOS'!EX$3:EX$500)))</f>
        <v/>
      </c>
      <c r="HY24" s="123">
        <f>IF(OR(HY$4="",$B24=""),0,SUMIF('DADOS BRUTOS'!$A$3:$A$500,$B24,'DADOS BRUTOS'!EY$3:EY$500)+IF($C24="",0,SUMIF('DADOS BRUTOS'!$A$3:$A$500,$C24,'DADOS BRUTOS'!EY$3:EY$500)))</f>
        <v/>
      </c>
      <c r="HZ24" s="123">
        <f>IF(OR(HZ$4="",$B24=""),0,SUMIF('DADOS BRUTOS'!$A$3:$A$500,$B24,'DADOS BRUTOS'!EZ$3:EZ$500)+IF($C24="",0,SUMIF('DADOS BRUTOS'!$A$3:$A$500,$C24,'DADOS BRUTOS'!EZ$3:EZ$500)))</f>
        <v/>
      </c>
      <c r="IA24" s="123">
        <f>IF(OR(IA$4="",$B24=""),0,SUMIF('DADOS BRUTOS'!$A$3:$A$500,$B24,'DADOS BRUTOS'!FA$3:FA$500)+IF($C24="",0,SUMIF('DADOS BRUTOS'!$A$3:$A$500,$C24,'DADOS BRUTOS'!FA$3:FA$500)))</f>
        <v/>
      </c>
      <c r="IB24" s="123">
        <f>IF(OR(IB$4="",$B24=""),0,SUMIF('DADOS BRUTOS'!$A$3:$A$500,$B24,'DADOS BRUTOS'!FB$3:FB$500)+IF($C24="",0,SUMIF('DADOS BRUTOS'!$A$3:$A$500,$C24,'DADOS BRUTOS'!FB$3:FB$500)))</f>
        <v/>
      </c>
      <c r="IC24" s="123">
        <f>IF(OR(IC$4="",$B24=""),0,SUMIF('DADOS BRUTOS'!$A$3:$A$500,$B24,'DADOS BRUTOS'!FC$3:FC$500)+IF($C24="",0,SUMIF('DADOS BRUTOS'!$A$3:$A$500,$C24,'DADOS BRUTOS'!FC$3:FC$500)))</f>
        <v/>
      </c>
      <c r="ID24" s="123">
        <f>IF(OR(ID$4="",$B24=""),0,SUMIF('DADOS BRUTOS'!$A$3:$A$500,$B24,'DADOS BRUTOS'!FD$3:FD$500)+IF($C24="",0,SUMIF('DADOS BRUTOS'!$A$3:$A$500,$C24,'DADOS BRUTOS'!FD$3:FD$500)))</f>
        <v/>
      </c>
      <c r="IE24" s="123">
        <f>IF(OR(IE$4="",$B24=""),0,SUMIF('DADOS BRUTOS'!$A$3:$A$500,$B24,'DADOS BRUTOS'!FE$3:FE$500)+IF($C24="",0,SUMIF('DADOS BRUTOS'!$A$3:$A$500,$C24,'DADOS BRUTOS'!FE$3:FE$500)))</f>
        <v/>
      </c>
      <c r="IF24" s="123">
        <f>IF(OR(IF$4="",$B24=""),0,SUMIF('DADOS BRUTOS'!$A$3:$A$500,$B24,'DADOS BRUTOS'!FF$3:FF$500)+IF($C24="",0,SUMIF('DADOS BRUTOS'!$A$3:$A$500,$C24,'DADOS BRUTOS'!FF$3:FF$500)))</f>
        <v/>
      </c>
      <c r="IG24" s="123">
        <f>IF(OR(IG$4="",$B24=""),0,SUMIF('DADOS BRUTOS'!$A$3:$A$500,$B24,'DADOS BRUTOS'!FG$3:FG$500)+IF($C24="",0,SUMIF('DADOS BRUTOS'!$A$3:$A$500,$C24,'DADOS BRUTOS'!FG$3:FG$500)))</f>
        <v/>
      </c>
      <c r="IH24" s="123">
        <f>IF(OR(IH$4="",$B24=""),0,SUMIF('DADOS BRUTOS'!$A$3:$A$500,$B24,'DADOS BRUTOS'!FH$3:FH$500)+IF($C24="",0,SUMIF('DADOS BRUTOS'!$A$3:$A$500,$C24,'DADOS BRUTOS'!FH$3:FH$500)))</f>
        <v/>
      </c>
      <c r="II24" s="123">
        <f>IF(OR(II$4="",$B24=""),0,SUMIF('DADOS BRUTOS'!$A$3:$A$500,$B24,'DADOS BRUTOS'!FI$3:FI$500)+IF($C24="",0,SUMIF('DADOS BRUTOS'!$A$3:$A$500,$C24,'DADOS BRUTOS'!FI$3:FI$500)))</f>
        <v/>
      </c>
      <c r="IJ24" s="123">
        <f>IF(OR(IJ$4="",$B24=""),0,SUMIF('DADOS BRUTOS'!$A$3:$A$500,$B24,'DADOS BRUTOS'!FJ$3:FJ$500)+IF($C24="",0,SUMIF('DADOS BRUTOS'!$A$3:$A$500,$C24,'DADOS BRUTOS'!FJ$3:FJ$500)))</f>
        <v/>
      </c>
      <c r="IK24" s="123">
        <f>IF(OR(IK$4="",$B24=""),0,SUMIF('DADOS BRUTOS'!$A$3:$A$500,$B24,'DADOS BRUTOS'!FK$3:FK$500)+IF($C24="",0,SUMIF('DADOS BRUTOS'!$A$3:$A$500,$C24,'DADOS BRUTOS'!FK$3:FK$500)))</f>
        <v/>
      </c>
      <c r="IL24" s="123">
        <f>IF(OR(IL$4="",$B24=""),0,SUMIF('DADOS BRUTOS'!$A$3:$A$500,$B24,'DADOS BRUTOS'!FL$3:FL$500)+IF($C24="",0,SUMIF('DADOS BRUTOS'!$A$3:$A$500,$C24,'DADOS BRUTOS'!FL$3:FL$500)))</f>
        <v/>
      </c>
      <c r="IM24" s="123">
        <f>IF(OR(IM$4="",$B24=""),0,SUMIF('DADOS BRUTOS'!$A$3:$A$500,$B24,'DADOS BRUTOS'!FM$3:FM$500)+IF($C24="",0,SUMIF('DADOS BRUTOS'!$A$3:$A$500,$C24,'DADOS BRUTOS'!FM$3:FM$500)))</f>
        <v/>
      </c>
      <c r="IN24" s="123">
        <f>IF(OR(IN$4="",$B24=""),0,SUMIF('DADOS BRUTOS'!$A$3:$A$500,$B24,'DADOS BRUTOS'!FN$3:FN$500)+IF($C24="",0,SUMIF('DADOS BRUTOS'!$A$3:$A$500,$C24,'DADOS BRUTOS'!FN$3:FN$500)))</f>
        <v/>
      </c>
      <c r="IO24" s="123">
        <f>IF(OR(IO$4="",$B24=""),0,SUMIF('DADOS BRUTOS'!$A$3:$A$500,$B24,'DADOS BRUTOS'!FO$3:FO$500)+IF($C24="",0,SUMIF('DADOS BRUTOS'!$A$3:$A$500,$C24,'DADOS BRUTOS'!FO$3:FO$500)))</f>
        <v/>
      </c>
      <c r="IP24" s="123">
        <f>IF(OR(IP$4="",$B24=""),0,SUMIF('DADOS BRUTOS'!$A$3:$A$500,$B24,'DADOS BRUTOS'!FP$3:FP$500)+IF($C24="",0,SUMIF('DADOS BRUTOS'!$A$3:$A$500,$C24,'DADOS BRUTOS'!FP$3:FP$500)))</f>
        <v/>
      </c>
      <c r="IQ24" s="123">
        <f>IF(OR(IQ$4="",$B24=""),0,SUMIF('DADOS BRUTOS'!$A$3:$A$500,$B24,'DADOS BRUTOS'!FQ$3:FQ$500)+IF($C24="",0,SUMIF('DADOS BRUTOS'!$A$3:$A$500,$C24,'DADOS BRUTOS'!FQ$3:FQ$500)))</f>
        <v/>
      </c>
      <c r="IR24" s="123">
        <f>IF(OR(IR$4="",$B24=""),0,SUMIF('DADOS BRUTOS'!$A$3:$A$500,$B24,'DADOS BRUTOS'!FR$3:FR$500)+IF($C24="",0,SUMIF('DADOS BRUTOS'!$A$3:$A$500,$C24,'DADOS BRUTOS'!FR$3:FR$500)))</f>
        <v/>
      </c>
      <c r="IS24" s="123">
        <f>IF(OR(IS$4="",$B24=""),0,SUMIF('DADOS BRUTOS'!$A$3:$A$500,$B24,'DADOS BRUTOS'!FS$3:FS$500)+IF($C24="",0,SUMIF('DADOS BRUTOS'!$A$3:$A$500,$C24,'DADOS BRUTOS'!FS$3:FS$500)))</f>
        <v/>
      </c>
      <c r="IT24" s="123">
        <f>IF(OR(IT$4="",$B24=""),0,SUMIF('DADOS BRUTOS'!$A$3:$A$500,$B24,'DADOS BRUTOS'!FT$3:FT$500)+IF($C24="",0,SUMIF('DADOS BRUTOS'!$A$3:$A$500,$C24,'DADOS BRUTOS'!FT$3:FT$500)))</f>
        <v/>
      </c>
      <c r="IU24" s="123">
        <f>IF(OR(IU$4="",$B24=""),0,SUMIF('DADOS BRUTOS'!$A$3:$A$500,$B24,'DADOS BRUTOS'!FU$3:FU$500)+IF($C24="",0,SUMIF('DADOS BRUTOS'!$A$3:$A$500,$C24,'DADOS BRUTOS'!FU$3:FU$500)))</f>
        <v/>
      </c>
      <c r="IV24" s="123">
        <f>IF(OR(IV$4="",$B24=""),0,SUMIF('DADOS BRUTOS'!$A$3:$A$500,$B24,'DADOS BRUTOS'!FV$3:FV$500)+IF($C24="",0,SUMIF('DADOS BRUTOS'!$A$3:$A$500,$C24,'DADOS BRUTOS'!FV$3:FV$500)))</f>
        <v/>
      </c>
      <c r="IW24" s="123">
        <f>IF(OR(IW$4="",$B24=""),0,SUMIF('DADOS BRUTOS'!$A$3:$A$500,$B24,'DADOS BRUTOS'!FW$3:FW$500)+IF($C24="",0,SUMIF('DADOS BRUTOS'!$A$3:$A$500,$C24,'DADOS BRUTOS'!FW$3:FW$500)))</f>
        <v/>
      </c>
      <c r="IX24" s="123">
        <f>IF(OR(IX$4="",$B24=""),0,SUMIF('DADOS BRUTOS'!$A$3:$A$500,$B24,'DADOS BRUTOS'!FX$3:FX$500)+IF($C24="",0,SUMIF('DADOS BRUTOS'!$A$3:$A$500,$C24,'DADOS BRUTOS'!FX$3:FX$500)))</f>
        <v/>
      </c>
      <c r="IY24" s="123">
        <f>IF(OR(IY$4="",$B24=""),0,SUMIF('DADOS BRUTOS'!$A$3:$A$500,$B24,'DADOS BRUTOS'!FY$3:FY$500)+IF($C24="",0,SUMIF('DADOS BRUTOS'!$A$3:$A$500,$C24,'DADOS BRUTOS'!FY$3:FY$500)))</f>
        <v/>
      </c>
      <c r="IZ24" s="123">
        <f>IF(OR(IZ$4="",$B24=""),0,SUMIF('DADOS BRUTOS'!$A$3:$A$500,$B24,'DADOS BRUTOS'!FZ$3:FZ$500)+IF($C24="",0,SUMIF('DADOS BRUTOS'!$A$3:$A$500,$C24,'DADOS BRUTOS'!FZ$3:FZ$500)))</f>
        <v/>
      </c>
      <c r="JA24" s="123">
        <f>IF(OR(JA$4="",$B24=""),0,SUMIF('DADOS BRUTOS'!$A$3:$A$500,$B24,'DADOS BRUTOS'!GA$3:GA$500)+IF($C24="",0,SUMIF('DADOS BRUTOS'!$A$3:$A$500,$C24,'DADOS BRUTOS'!GA$3:GA$500)))</f>
        <v/>
      </c>
      <c r="JB24" s="123">
        <f>IF(OR(JB$4="",$B24=""),0,SUMIF('DADOS BRUTOS'!$A$3:$A$500,$B24,'DADOS BRUTOS'!GB$3:GB$500)+IF($C24="",0,SUMIF('DADOS BRUTOS'!$A$3:$A$500,$C24,'DADOS BRUTOS'!GB$3:GB$500)))</f>
        <v/>
      </c>
      <c r="JC24" s="123">
        <f>IF(OR(JC$4="",$B24=""),0,SUMIF('DADOS BRUTOS'!$A$3:$A$500,$B24,'DADOS BRUTOS'!GC$3:GC$500)+IF($C24="",0,SUMIF('DADOS BRUTOS'!$A$3:$A$500,$C24,'DADOS BRUTOS'!GC$3:GC$500)))</f>
        <v/>
      </c>
      <c r="JD24" s="123">
        <f>IF(OR(JD$4="",$B24=""),0,SUMIF('DADOS BRUTOS'!$A$3:$A$500,$B24,'DADOS BRUTOS'!GD$3:GD$500)+IF($C24="",0,SUMIF('DADOS BRUTOS'!$A$3:$A$500,$C24,'DADOS BRUTOS'!GD$3:GD$500)))</f>
        <v/>
      </c>
      <c r="JE24" s="123">
        <f>IF(OR(JE$4="",$B24=""),0,SUMIF('DADOS BRUTOS'!$A$3:$A$500,$B24,'DADOS BRUTOS'!GE$3:GE$500)+IF($C24="",0,SUMIF('DADOS BRUTOS'!$A$3:$A$500,$C24,'DADOS BRUTOS'!GE$3:GE$500)))</f>
        <v/>
      </c>
      <c r="JF24" s="123">
        <f>IF(OR(JF$4="",$B24=""),0,SUMIF('DADOS BRUTOS'!$A$3:$A$500,$B24,'DADOS BRUTOS'!GF$3:GF$500)+IF($C24="",0,SUMIF('DADOS BRUTOS'!$A$3:$A$500,$C24,'DADOS BRUTOS'!GF$3:GF$500)))</f>
        <v/>
      </c>
      <c r="JG24" s="123">
        <f>IF(OR(JG$4="",$B24=""),0,SUMIF('DADOS BRUTOS'!$A$3:$A$500,$B24,'DADOS BRUTOS'!GG$3:GG$500)+IF($C24="",0,SUMIF('DADOS BRUTOS'!$A$3:$A$500,$C24,'DADOS BRUTOS'!GG$3:GG$500)))</f>
        <v/>
      </c>
      <c r="JH24" s="123">
        <f>IF(OR(JH$4="",$B24=""),0,SUMIF('DADOS BRUTOS'!$A$3:$A$500,$B24,'DADOS BRUTOS'!GH$3:GH$500)+IF($C24="",0,SUMIF('DADOS BRUTOS'!$A$3:$A$500,$C24,'DADOS BRUTOS'!GH$3:GH$500)))</f>
        <v/>
      </c>
      <c r="JI24" s="123">
        <f>IF(OR(JI$4="",$B24=""),0,SUMIF('DADOS BRUTOS'!$A$3:$A$500,$B24,'DADOS BRUTOS'!GI$3:GI$500)+IF($C24="",0,SUMIF('DADOS BRUTOS'!$A$3:$A$500,$C24,'DADOS BRUTOS'!GI$3:GI$500)))</f>
        <v/>
      </c>
      <c r="JJ24" s="123">
        <f>IF(OR(JJ$4="",$B24=""),0,SUMIF('DADOS BRUTOS'!$A$3:$A$500,$B24,'DADOS BRUTOS'!GJ$3:GJ$500)+IF($C24="",0,SUMIF('DADOS BRUTOS'!$A$3:$A$500,$C24,'DADOS BRUTOS'!GJ$3:GJ$500)))</f>
        <v/>
      </c>
      <c r="JK24" s="123">
        <f>IF(OR(JK$4="",$B24=""),0,SUMIF('DADOS BRUTOS'!$A$3:$A$500,$B24,'DADOS BRUTOS'!GK$3:GK$500)+IF($C24="",0,SUMIF('DADOS BRUTOS'!$A$3:$A$500,$C24,'DADOS BRUTOS'!GK$3:GK$500)))</f>
        <v/>
      </c>
      <c r="JL24" s="123">
        <f>IF(OR(JL$4="",$B24=""),0,SUMIF('DADOS BRUTOS'!$A$3:$A$500,$B24,'DADOS BRUTOS'!GL$3:GL$500)+IF($C24="",0,SUMIF('DADOS BRUTOS'!$A$3:$A$500,$C24,'DADOS BRUTOS'!GL$3:GL$500)))</f>
        <v/>
      </c>
      <c r="JM24" s="123">
        <f>IF(OR(JM$4="",$B24=""),0,SUMIF('DADOS BRUTOS'!$A$3:$A$500,$B24,'DADOS BRUTOS'!GM$3:GM$500)+IF($C24="",0,SUMIF('DADOS BRUTOS'!$A$3:$A$500,$C24,'DADOS BRUTOS'!GM$3:GM$500)))</f>
        <v/>
      </c>
      <c r="JN24" s="123">
        <f>IF(OR(JN$4="",$B24=""),0,SUMIF('DADOS BRUTOS'!$A$3:$A$500,$B24,'DADOS BRUTOS'!GN$3:GN$500)+IF($C24="",0,SUMIF('DADOS BRUTOS'!$A$3:$A$500,$C24,'DADOS BRUTOS'!GN$3:GN$500)))</f>
        <v/>
      </c>
      <c r="JO24" s="123">
        <f>IF(OR(JO$4="",$B24=""),0,SUMIF('DADOS BRUTOS'!$A$3:$A$500,$B24,'DADOS BRUTOS'!GO$3:GO$500)+IF($C24="",0,SUMIF('DADOS BRUTOS'!$A$3:$A$500,$C24,'DADOS BRUTOS'!GO$3:GO$500)))</f>
        <v/>
      </c>
      <c r="JP24" s="123">
        <f>IF(OR(JP$4="",$B24=""),0,SUMIF('DADOS BRUTOS'!$A$3:$A$500,$B24,'DADOS BRUTOS'!GP$3:GP$500)+IF($C24="",0,SUMIF('DADOS BRUTOS'!$A$3:$A$500,$C24,'DADOS BRUTOS'!GP$3:GP$500)))</f>
        <v/>
      </c>
      <c r="JQ24" s="123">
        <f>IF(OR(JQ$4="",$B24=""),0,SUMIF('DADOS BRUTOS'!$A$3:$A$500,$B24,'DADOS BRUTOS'!GQ$3:GQ$500)+IF($C24="",0,SUMIF('DADOS BRUTOS'!$A$3:$A$500,$C24,'DADOS BRUTOS'!GQ$3:GQ$500)))</f>
        <v/>
      </c>
      <c r="JR24" s="123">
        <f>IF(OR(JR$4="",$B24=""),0,SUMIF('DADOS BRUTOS'!$A$3:$A$500,$B24,'DADOS BRUTOS'!GR$3:GR$500)+IF($C24="",0,SUMIF('DADOS BRUTOS'!$A$3:$A$500,$C24,'DADOS BRUTOS'!GR$3:GR$500)))</f>
        <v/>
      </c>
      <c r="JS24" s="123">
        <f>IF(OR(JS$4="",$B24=""),0,SUMIF('DADOS BRUTOS'!$A$3:$A$500,$B24,'DADOS BRUTOS'!GS$3:GS$500)+IF($C24="",0,SUMIF('DADOS BRUTOS'!$A$3:$A$500,$C24,'DADOS BRUTOS'!GS$3:GS$500)))</f>
        <v/>
      </c>
    </row>
    <row r="25">
      <c r="A25" s="61">
        <f>'VALOR POR PL'!D31</f>
        <v/>
      </c>
      <c r="B25" s="60" t="inlineStr">
        <is>
          <t>INSTALAÇÕES HIDROSANITÁRIAS</t>
        </is>
      </c>
      <c r="C25" s="60" t="n"/>
      <c r="D25" s="55">
        <f>SUMIF($CB$4:$JS$4,"&lt;="&amp;D$4,$CB25:$JS25)</f>
        <v/>
      </c>
      <c r="E25" s="55">
        <f>SUMIF($CB$4:$JS$4,E$4,$CB25:$JS25)</f>
        <v/>
      </c>
      <c r="F25" s="55">
        <f>SUMIF($CB$4:$JS$4,F$4,$CB25:$JS25)</f>
        <v/>
      </c>
      <c r="G25" s="55">
        <f>SUMIF($CB$4:$JS$4,G$4,$CB25:$JS25)</f>
        <v/>
      </c>
      <c r="H25" s="55">
        <f>SUMIF($CB$4:$JS$4,H$4,$CB25:$JS25)</f>
        <v/>
      </c>
      <c r="I25" s="55">
        <f>SUMIF($CB$4:$JS$4,I$4,$CB25:$JS25)</f>
        <v/>
      </c>
      <c r="J25" s="55">
        <f>SUMIF($CB$4:$JS$4,J$4,$CB25:$JS25)</f>
        <v/>
      </c>
      <c r="K25" s="55">
        <f>SUMIF($CB$4:$JS$4,K$4,$CB25:$JS25)</f>
        <v/>
      </c>
      <c r="L25" s="55">
        <f>SUMIF($CB$4:$JS$4,L$4,$CB25:$JS25)</f>
        <v/>
      </c>
      <c r="M25" s="55">
        <f>SUMIF($CB$4:$JS$4,M$4,$CB25:$JS25)</f>
        <v/>
      </c>
      <c r="N25" s="55">
        <f>SUMIF($CB$4:$JS$4,N$4,$CB25:$JS25)</f>
        <v/>
      </c>
      <c r="O25" s="55">
        <f>SUMIF($CB$4:$JS$4,O$4,$CB25:$JS25)</f>
        <v/>
      </c>
      <c r="P25" s="55">
        <f>SUMIF($CB$4:$JS$4,P$4,$CB25:$JS25)</f>
        <v/>
      </c>
      <c r="Q25" s="55">
        <f>SUMIF($CB$4:$JS$4,Q$4,$CB25:$JS25)</f>
        <v/>
      </c>
      <c r="R25" s="55">
        <f>SUMIF($CB$4:$JS$4,R$4,$CB25:$JS25)</f>
        <v/>
      </c>
      <c r="S25" s="55">
        <f>SUMIF($CB$4:$JS$4,S$4,$CB25:$JS25)</f>
        <v/>
      </c>
      <c r="T25" s="55">
        <f>SUMIF($CB$4:$JS$4,T$4,$CB25:$JS25)</f>
        <v/>
      </c>
      <c r="U25" s="55">
        <f>SUMIF($CB$4:$JS$4,U$4,$CB25:$JS25)</f>
        <v/>
      </c>
      <c r="V25" s="55">
        <f>SUMIF($CB$4:$JS$4,V$4,$CB25:$JS25)</f>
        <v/>
      </c>
      <c r="W25" s="55">
        <f>SUMIF($CB$4:$JS$4,W$4,$CB25:$JS25)</f>
        <v/>
      </c>
      <c r="X25" s="55">
        <f>SUMIF($CB$4:$JS$4,X$4,$CB25:$JS25)</f>
        <v/>
      </c>
      <c r="Y25" s="55">
        <f>SUMIF($CB$4:$JS$4,Y$4,$CB25:$JS25)</f>
        <v/>
      </c>
      <c r="Z25" s="55">
        <f>SUMIF($CB$4:$JS$4,Z$4,$CB25:$JS25)</f>
        <v/>
      </c>
      <c r="AA25" s="55">
        <f>SUMIF($CB$4:$JS$4,AA$4,$CB25:$JS25)</f>
        <v/>
      </c>
      <c r="AB25" s="55">
        <f>SUMIF($CB$4:$JS$4,AB$4,$CB25:$JS25)</f>
        <v/>
      </c>
      <c r="AC25" s="55">
        <f>SUMIF($CB$4:$JS$4,AC$4,$CB25:$JS25)</f>
        <v/>
      </c>
      <c r="AD25" s="55">
        <f>SUMIF($CB$4:$JS$4,AD$4,$CB25:$JS25)</f>
        <v/>
      </c>
      <c r="AE25" s="55">
        <f>SUMIF($CB$4:$JS$4,AE$4,$CB25:$JS25)</f>
        <v/>
      </c>
      <c r="AF25" s="55">
        <f>SUMIF($CB$4:$JS$4,AF$4,$CB25:$JS25)</f>
        <v/>
      </c>
      <c r="AG25" s="55">
        <f>SUMIF($CB$4:$JS$4,AG$4,$CB25:$JS25)</f>
        <v/>
      </c>
      <c r="AH25" s="55">
        <f>SUMIF($CB$4:$JS$4,AH$4,$CB25:$JS25)</f>
        <v/>
      </c>
      <c r="AI25" s="55">
        <f>SUMIF($CB$4:$JS$4,AI$4,$CB25:$JS25)</f>
        <v/>
      </c>
      <c r="AJ25" s="55">
        <f>SUMIF($CB$4:$JS$4,AJ$4,$CB25:$JS25)</f>
        <v/>
      </c>
      <c r="AK25" s="55">
        <f>SUMIF($CB$4:$JS$4,AK$4,$CB25:$JS25)</f>
        <v/>
      </c>
      <c r="AL25" s="55">
        <f>SUMIF($CB$4:$JS$4,AL$4,$CB25:$JS25)</f>
        <v/>
      </c>
      <c r="AM25" s="55">
        <f>SUMIF($CB$4:$JS$4,AM$4,$CB25:$JS25)</f>
        <v/>
      </c>
      <c r="AN25" s="55">
        <f>SUMIF($CB$4:$JS$4,AN$4,$CB25:$JS25)</f>
        <v/>
      </c>
      <c r="AO25" s="55">
        <f>SUMIF($CB$4:$JS$4,AO$4,$CB25:$JS25)</f>
        <v/>
      </c>
      <c r="AP25" s="55">
        <f>SUMIF($CB$4:$JS$4,AP$4,$CB25:$JS25)</f>
        <v/>
      </c>
      <c r="AQ25" s="55">
        <f>SUMIF($CB$4:$JS$4,AQ$4,$CB25:$JS25)</f>
        <v/>
      </c>
      <c r="AR25" s="55">
        <f>SUMIF($CB$4:$JS$4,AR$4,$CB25:$JS25)</f>
        <v/>
      </c>
      <c r="AS25" s="55">
        <f>SUMIF($CB$4:$JS$4,AS$4,$CB25:$JS25)</f>
        <v/>
      </c>
      <c r="AT25" s="55">
        <f>SUMIF($CB$4:$JS$4,AT$4,$CB25:$JS25)</f>
        <v/>
      </c>
      <c r="AU25" s="55">
        <f>SUMIF($CB$4:$JS$4,AU$4,$CB25:$JS25)</f>
        <v/>
      </c>
      <c r="AV25" s="55">
        <f>SUMIF($CB$4:$JS$4,AV$4,$CB25:$JS25)</f>
        <v/>
      </c>
      <c r="AW25" s="55">
        <f>SUMIF($CB$4:$JS$4,AW$4,$CB25:$JS25)</f>
        <v/>
      </c>
      <c r="AX25" s="55">
        <f>SUMIF($CB$4:$JS$4,AX$4,$CB25:$JS25)</f>
        <v/>
      </c>
      <c r="AY25" s="55">
        <f>SUMIF($CB$4:$JS$4,AY$4,$CB25:$JS25)</f>
        <v/>
      </c>
      <c r="AZ25" s="55">
        <f>SUMIF($CB$4:$JS$4,AZ$4,$CB25:$JS25)</f>
        <v/>
      </c>
      <c r="BA25" s="55">
        <f>SUMIF($CB$4:$JS$4,BA$4,$CB25:$JS25)</f>
        <v/>
      </c>
      <c r="BB25" s="55">
        <f>SUMIF($CB$4:$JS$4,BB$4,$CB25:$JS25)</f>
        <v/>
      </c>
      <c r="BC25" s="55">
        <f>SUMIF($CB$4:$JS$4,BC$4,$CB25:$JS25)</f>
        <v/>
      </c>
      <c r="BD25" s="55">
        <f>SUMIF($CB$4:$JS$4,BD$4,$CB25:$JS25)</f>
        <v/>
      </c>
      <c r="BE25" s="55">
        <f>SUMIF($CB$4:$JS$4,BE$4,$CB25:$JS25)</f>
        <v/>
      </c>
      <c r="BF25" s="55">
        <f>SUMIF($CB$4:$JS$4,BF$4,$CB25:$JS25)</f>
        <v/>
      </c>
      <c r="BG25" s="55">
        <f>SUMIF($CB$4:$JS$4,BG$4,$CB25:$JS25)</f>
        <v/>
      </c>
      <c r="BH25" s="55">
        <f>SUMIF($CB$4:$JS$4,BH$4,$CB25:$JS25)</f>
        <v/>
      </c>
      <c r="BI25" s="55">
        <f>SUMIF($CB$4:$JS$4,BI$4,$CB25:$JS25)</f>
        <v/>
      </c>
      <c r="BJ25" s="55">
        <f>SUMIF($CB$4:$JS$4,BJ$4,$CB25:$JS25)</f>
        <v/>
      </c>
      <c r="BK25" s="55">
        <f>SUMIF($CB$4:$JS$4,BK$4,$CB25:$JS25)</f>
        <v/>
      </c>
      <c r="BL25" s="55">
        <f>SUMIF($CB$4:$JS$4,BL$4,$CB25:$JS25)</f>
        <v/>
      </c>
      <c r="BM25" s="55">
        <f>SUMIF($CB$4:$JS$4,BM$4,$CB25:$JS25)</f>
        <v/>
      </c>
      <c r="BN25" s="55">
        <f>SUMIF($CB$4:$JS$4,BN$4,$CB25:$JS25)</f>
        <v/>
      </c>
      <c r="BO25" s="55">
        <f>SUMIF($CB$4:$JS$4,BO$4,$CB25:$JS25)</f>
        <v/>
      </c>
      <c r="BP25" s="55">
        <f>SUMIF($CB$4:$JS$4,BP$4,$CB25:$JS25)</f>
        <v/>
      </c>
      <c r="BQ25" s="55">
        <f>SUMIF($CB$4:$JS$4,BQ$4,$CB25:$JS25)</f>
        <v/>
      </c>
      <c r="BR25" s="55">
        <f>SUMIF($CB$4:$JS$4,BR$4,$CB25:$JS25)</f>
        <v/>
      </c>
      <c r="BS25" s="55">
        <f>SUMIF($CB$4:$JS$4,BS$4,$CB25:$JS25)</f>
        <v/>
      </c>
      <c r="BT25" s="55">
        <f>SUMIF($CB$4:$JS$4,BT$4,$CB25:$JS25)</f>
        <v/>
      </c>
      <c r="BU25" s="55">
        <f>SUMIF($CB$4:$JS$4,BU$4,$CB25:$JS25)</f>
        <v/>
      </c>
      <c r="BV25" s="55">
        <f>SUMIF($CB$4:$JS$4,BV$4,$CB25:$JS25)</f>
        <v/>
      </c>
      <c r="BW25" s="55">
        <f>SUMIF($CB$4:$JS$4,BW$4,$CB25:$JS25)</f>
        <v/>
      </c>
      <c r="BX25" s="55">
        <f>SUMIF($CB$4:$JS$4,"&gt;"&amp;'VALOR POR PL'!$P$8,$CB25:$JS25)</f>
        <v/>
      </c>
      <c r="BY25" s="55">
        <f>SUM($CB25:$JS25)</f>
        <v/>
      </c>
      <c r="CB25" s="123">
        <f>IF(OR(CB$4="",$B25=""),0,SUMIF('DADOS BRUTOS'!$A$3:$A$500,$B25,'DADOS BRUTOS'!B$3:B$500)+IF($C25="",0,SUMIF('DADOS BRUTOS'!$A$3:$A$500,$C25,'DADOS BRUTOS'!B$3:B$500)))</f>
        <v/>
      </c>
      <c r="CC25" s="123">
        <f>IF(OR(CC$4="",$B25=""),0,SUMIF('DADOS BRUTOS'!$A$3:$A$500,$B25,'DADOS BRUTOS'!C$3:C$500)+IF($C25="",0,SUMIF('DADOS BRUTOS'!$A$3:$A$500,$C25,'DADOS BRUTOS'!C$3:C$500)))</f>
        <v/>
      </c>
      <c r="CD25" s="123">
        <f>IF(OR(CD$4="",$B25=""),0,SUMIF('DADOS BRUTOS'!$A$3:$A$500,$B25,'DADOS BRUTOS'!D$3:D$500)+IF($C25="",0,SUMIF('DADOS BRUTOS'!$A$3:$A$500,$C25,'DADOS BRUTOS'!D$3:D$500)))</f>
        <v/>
      </c>
      <c r="CE25" s="123">
        <f>IF(OR(CE$4="",$B25=""),0,SUMIF('DADOS BRUTOS'!$A$3:$A$500,$B25,'DADOS BRUTOS'!E$3:E$500)+IF($C25="",0,SUMIF('DADOS BRUTOS'!$A$3:$A$500,$C25,'DADOS BRUTOS'!E$3:E$500)))</f>
        <v/>
      </c>
      <c r="CF25" s="123">
        <f>IF(OR(CF$4="",$B25=""),0,SUMIF('DADOS BRUTOS'!$A$3:$A$500,$B25,'DADOS BRUTOS'!F$3:F$500)+IF($C25="",0,SUMIF('DADOS BRUTOS'!$A$3:$A$500,$C25,'DADOS BRUTOS'!F$3:F$500)))</f>
        <v/>
      </c>
      <c r="CG25" s="123">
        <f>IF(OR(CG$4="",$B25=""),0,SUMIF('DADOS BRUTOS'!$A$3:$A$500,$B25,'DADOS BRUTOS'!G$3:G$500)+IF($C25="",0,SUMIF('DADOS BRUTOS'!$A$3:$A$500,$C25,'DADOS BRUTOS'!G$3:G$500)))</f>
        <v/>
      </c>
      <c r="CH25" s="123">
        <f>IF(OR(CH$4="",$B25=""),0,SUMIF('DADOS BRUTOS'!$A$3:$A$500,$B25,'DADOS BRUTOS'!H$3:H$500)+IF($C25="",0,SUMIF('DADOS BRUTOS'!$A$3:$A$500,$C25,'DADOS BRUTOS'!H$3:H$500)))</f>
        <v/>
      </c>
      <c r="CI25" s="123">
        <f>IF(OR(CI$4="",$B25=""),0,SUMIF('DADOS BRUTOS'!$A$3:$A$500,$B25,'DADOS BRUTOS'!I$3:I$500)+IF($C25="",0,SUMIF('DADOS BRUTOS'!$A$3:$A$500,$C25,'DADOS BRUTOS'!I$3:I$500)))</f>
        <v/>
      </c>
      <c r="CJ25" s="123">
        <f>IF(OR(CJ$4="",$B25=""),0,SUMIF('DADOS BRUTOS'!$A$3:$A$500,$B25,'DADOS BRUTOS'!J$3:J$500)+IF($C25="",0,SUMIF('DADOS BRUTOS'!$A$3:$A$500,$C25,'DADOS BRUTOS'!J$3:J$500)))</f>
        <v/>
      </c>
      <c r="CK25" s="123">
        <f>IF(OR(CK$4="",$B25=""),0,SUMIF('DADOS BRUTOS'!$A$3:$A$500,$B25,'DADOS BRUTOS'!K$3:K$500)+IF($C25="",0,SUMIF('DADOS BRUTOS'!$A$3:$A$500,$C25,'DADOS BRUTOS'!K$3:K$500)))</f>
        <v/>
      </c>
      <c r="CL25" s="123">
        <f>IF(OR(CL$4="",$B25=""),0,SUMIF('DADOS BRUTOS'!$A$3:$A$500,$B25,'DADOS BRUTOS'!L$3:L$500)+IF($C25="",0,SUMIF('DADOS BRUTOS'!$A$3:$A$500,$C25,'DADOS BRUTOS'!L$3:L$500)))</f>
        <v/>
      </c>
      <c r="CM25" s="123">
        <f>IF(OR(CM$4="",$B25=""),0,SUMIF('DADOS BRUTOS'!$A$3:$A$500,$B25,'DADOS BRUTOS'!M$3:M$500)+IF($C25="",0,SUMIF('DADOS BRUTOS'!$A$3:$A$500,$C25,'DADOS BRUTOS'!M$3:M$500)))</f>
        <v/>
      </c>
      <c r="CN25" s="123">
        <f>IF(OR(CN$4="",$B25=""),0,SUMIF('DADOS BRUTOS'!$A$3:$A$500,$B25,'DADOS BRUTOS'!N$3:N$500)+IF($C25="",0,SUMIF('DADOS BRUTOS'!$A$3:$A$500,$C25,'DADOS BRUTOS'!N$3:N$500)))</f>
        <v/>
      </c>
      <c r="CO25" s="123">
        <f>IF(OR(CO$4="",$B25=""),0,SUMIF('DADOS BRUTOS'!$A$3:$A$500,$B25,'DADOS BRUTOS'!O$3:O$500)+IF($C25="",0,SUMIF('DADOS BRUTOS'!$A$3:$A$500,$C25,'DADOS BRUTOS'!O$3:O$500)))</f>
        <v/>
      </c>
      <c r="CP25" s="123">
        <f>IF(OR(CP$4="",$B25=""),0,SUMIF('DADOS BRUTOS'!$A$3:$A$500,$B25,'DADOS BRUTOS'!P$3:P$500)+IF($C25="",0,SUMIF('DADOS BRUTOS'!$A$3:$A$500,$C25,'DADOS BRUTOS'!P$3:P$500)))</f>
        <v/>
      </c>
      <c r="CQ25" s="123">
        <f>IF(OR(CQ$4="",$B25=""),0,SUMIF('DADOS BRUTOS'!$A$3:$A$500,$B25,'DADOS BRUTOS'!Q$3:Q$500)+IF($C25="",0,SUMIF('DADOS BRUTOS'!$A$3:$A$500,$C25,'DADOS BRUTOS'!Q$3:Q$500)))</f>
        <v/>
      </c>
      <c r="CR25" s="123">
        <f>IF(OR(CR$4="",$B25=""),0,SUMIF('DADOS BRUTOS'!$A$3:$A$500,$B25,'DADOS BRUTOS'!R$3:R$500)+IF($C25="",0,SUMIF('DADOS BRUTOS'!$A$3:$A$500,$C25,'DADOS BRUTOS'!R$3:R$500)))</f>
        <v/>
      </c>
      <c r="CS25" s="123">
        <f>IF(OR(CS$4="",$B25=""),0,SUMIF('DADOS BRUTOS'!$A$3:$A$500,$B25,'DADOS BRUTOS'!S$3:S$500)+IF($C25="",0,SUMIF('DADOS BRUTOS'!$A$3:$A$500,$C25,'DADOS BRUTOS'!S$3:S$500)))</f>
        <v/>
      </c>
      <c r="CT25" s="123">
        <f>IF(OR(CT$4="",$B25=""),0,SUMIF('DADOS BRUTOS'!$A$3:$A$500,$B25,'DADOS BRUTOS'!T$3:T$500)+IF($C25="",0,SUMIF('DADOS BRUTOS'!$A$3:$A$500,$C25,'DADOS BRUTOS'!T$3:T$500)))</f>
        <v/>
      </c>
      <c r="CU25" s="123">
        <f>IF(OR(CU$4="",$B25=""),0,SUMIF('DADOS BRUTOS'!$A$3:$A$500,$B25,'DADOS BRUTOS'!U$3:U$500)+IF($C25="",0,SUMIF('DADOS BRUTOS'!$A$3:$A$500,$C25,'DADOS BRUTOS'!U$3:U$500)))</f>
        <v/>
      </c>
      <c r="CV25" s="123">
        <f>IF(OR(CV$4="",$B25=""),0,SUMIF('DADOS BRUTOS'!$A$3:$A$500,$B25,'DADOS BRUTOS'!V$3:V$500)+IF($C25="",0,SUMIF('DADOS BRUTOS'!$A$3:$A$500,$C25,'DADOS BRUTOS'!V$3:V$500)))</f>
        <v/>
      </c>
      <c r="CW25" s="123">
        <f>IF(OR(CW$4="",$B25=""),0,SUMIF('DADOS BRUTOS'!$A$3:$A$500,$B25,'DADOS BRUTOS'!W$3:W$500)+IF($C25="",0,SUMIF('DADOS BRUTOS'!$A$3:$A$500,$C25,'DADOS BRUTOS'!W$3:W$500)))</f>
        <v/>
      </c>
      <c r="CX25" s="123">
        <f>IF(OR(CX$4="",$B25=""),0,SUMIF('DADOS BRUTOS'!$A$3:$A$500,$B25,'DADOS BRUTOS'!X$3:X$500)+IF($C25="",0,SUMIF('DADOS BRUTOS'!$A$3:$A$500,$C25,'DADOS BRUTOS'!X$3:X$500)))</f>
        <v/>
      </c>
      <c r="CY25" s="123">
        <f>IF(OR(CY$4="",$B25=""),0,SUMIF('DADOS BRUTOS'!$A$3:$A$500,$B25,'DADOS BRUTOS'!Y$3:Y$500)+IF($C25="",0,SUMIF('DADOS BRUTOS'!$A$3:$A$500,$C25,'DADOS BRUTOS'!Y$3:Y$500)))</f>
        <v/>
      </c>
      <c r="CZ25" s="123">
        <f>IF(OR(CZ$4="",$B25=""),0,SUMIF('DADOS BRUTOS'!$A$3:$A$500,$B25,'DADOS BRUTOS'!Z$3:Z$500)+IF($C25="",0,SUMIF('DADOS BRUTOS'!$A$3:$A$500,$C25,'DADOS BRUTOS'!Z$3:Z$500)))</f>
        <v/>
      </c>
      <c r="DA25" s="123">
        <f>IF(OR(DA$4="",$B25=""),0,SUMIF('DADOS BRUTOS'!$A$3:$A$500,$B25,'DADOS BRUTOS'!AA$3:AA$500)+IF($C25="",0,SUMIF('DADOS BRUTOS'!$A$3:$A$500,$C25,'DADOS BRUTOS'!AA$3:AA$500)))</f>
        <v/>
      </c>
      <c r="DB25" s="123">
        <f>IF(OR(DB$4="",$B25=""),0,SUMIF('DADOS BRUTOS'!$A$3:$A$500,$B25,'DADOS BRUTOS'!AB$3:AB$500)+IF($C25="",0,SUMIF('DADOS BRUTOS'!$A$3:$A$500,$C25,'DADOS BRUTOS'!AB$3:AB$500)))</f>
        <v/>
      </c>
      <c r="DC25" s="123">
        <f>IF(OR(DC$4="",$B25=""),0,SUMIF('DADOS BRUTOS'!$A$3:$A$500,$B25,'DADOS BRUTOS'!AC$3:AC$500)+IF($C25="",0,SUMIF('DADOS BRUTOS'!$A$3:$A$500,$C25,'DADOS BRUTOS'!AC$3:AC$500)))</f>
        <v/>
      </c>
      <c r="DD25" s="123">
        <f>IF(OR(DD$4="",$B25=""),0,SUMIF('DADOS BRUTOS'!$A$3:$A$500,$B25,'DADOS BRUTOS'!AD$3:AD$500)+IF($C25="",0,SUMIF('DADOS BRUTOS'!$A$3:$A$500,$C25,'DADOS BRUTOS'!AD$3:AD$500)))</f>
        <v/>
      </c>
      <c r="DE25" s="123">
        <f>IF(OR(DE$4="",$B25=""),0,SUMIF('DADOS BRUTOS'!$A$3:$A$500,$B25,'DADOS BRUTOS'!AE$3:AE$500)+IF($C25="",0,SUMIF('DADOS BRUTOS'!$A$3:$A$500,$C25,'DADOS BRUTOS'!AE$3:AE$500)))</f>
        <v/>
      </c>
      <c r="DF25" s="123">
        <f>IF(OR(DF$4="",$B25=""),0,SUMIF('DADOS BRUTOS'!$A$3:$A$500,$B25,'DADOS BRUTOS'!AF$3:AF$500)+IF($C25="",0,SUMIF('DADOS BRUTOS'!$A$3:$A$500,$C25,'DADOS BRUTOS'!AF$3:AF$500)))</f>
        <v/>
      </c>
      <c r="DG25" s="123">
        <f>IF(OR(DG$4="",$B25=""),0,SUMIF('DADOS BRUTOS'!$A$3:$A$500,$B25,'DADOS BRUTOS'!AG$3:AG$500)+IF($C25="",0,SUMIF('DADOS BRUTOS'!$A$3:$A$500,$C25,'DADOS BRUTOS'!AG$3:AG$500)))</f>
        <v/>
      </c>
      <c r="DH25" s="123">
        <f>IF(OR(DH$4="",$B25=""),0,SUMIF('DADOS BRUTOS'!$A$3:$A$500,$B25,'DADOS BRUTOS'!AH$3:AH$500)+IF($C25="",0,SUMIF('DADOS BRUTOS'!$A$3:$A$500,$C25,'DADOS BRUTOS'!AH$3:AH$500)))</f>
        <v/>
      </c>
      <c r="DI25" s="123">
        <f>IF(OR(DI$4="",$B25=""),0,SUMIF('DADOS BRUTOS'!$A$3:$A$500,$B25,'DADOS BRUTOS'!AI$3:AI$500)+IF($C25="",0,SUMIF('DADOS BRUTOS'!$A$3:$A$500,$C25,'DADOS BRUTOS'!AI$3:AI$500)))</f>
        <v/>
      </c>
      <c r="DJ25" s="123">
        <f>IF(OR(DJ$4="",$B25=""),0,SUMIF('DADOS BRUTOS'!$A$3:$A$500,$B25,'DADOS BRUTOS'!AJ$3:AJ$500)+IF($C25="",0,SUMIF('DADOS BRUTOS'!$A$3:$A$500,$C25,'DADOS BRUTOS'!AJ$3:AJ$500)))</f>
        <v/>
      </c>
      <c r="DK25" s="123">
        <f>IF(OR(DK$4="",$B25=""),0,SUMIF('DADOS BRUTOS'!$A$3:$A$500,$B25,'DADOS BRUTOS'!AK$3:AK$500)+IF($C25="",0,SUMIF('DADOS BRUTOS'!$A$3:$A$500,$C25,'DADOS BRUTOS'!AK$3:AK$500)))</f>
        <v/>
      </c>
      <c r="DL25" s="123">
        <f>IF(OR(DL$4="",$B25=""),0,SUMIF('DADOS BRUTOS'!$A$3:$A$500,$B25,'DADOS BRUTOS'!AL$3:AL$500)+IF($C25="",0,SUMIF('DADOS BRUTOS'!$A$3:$A$500,$C25,'DADOS BRUTOS'!AL$3:AL$500)))</f>
        <v/>
      </c>
      <c r="DM25" s="123">
        <f>IF(OR(DM$4="",$B25=""),0,SUMIF('DADOS BRUTOS'!$A$3:$A$500,$B25,'DADOS BRUTOS'!AM$3:AM$500)+IF($C25="",0,SUMIF('DADOS BRUTOS'!$A$3:$A$500,$C25,'DADOS BRUTOS'!AM$3:AM$500)))</f>
        <v/>
      </c>
      <c r="DN25" s="123">
        <f>IF(OR(DN$4="",$B25=""),0,SUMIF('DADOS BRUTOS'!$A$3:$A$500,$B25,'DADOS BRUTOS'!AN$3:AN$500)+IF($C25="",0,SUMIF('DADOS BRUTOS'!$A$3:$A$500,$C25,'DADOS BRUTOS'!AN$3:AN$500)))</f>
        <v/>
      </c>
      <c r="DO25" s="123">
        <f>IF(OR(DO$4="",$B25=""),0,SUMIF('DADOS BRUTOS'!$A$3:$A$500,$B25,'DADOS BRUTOS'!AO$3:AO$500)+IF($C25="",0,SUMIF('DADOS BRUTOS'!$A$3:$A$500,$C25,'DADOS BRUTOS'!AO$3:AO$500)))</f>
        <v/>
      </c>
      <c r="DP25" s="123">
        <f>IF(OR(DP$4="",$B25=""),0,SUMIF('DADOS BRUTOS'!$A$3:$A$500,$B25,'DADOS BRUTOS'!AP$3:AP$500)+IF($C25="",0,SUMIF('DADOS BRUTOS'!$A$3:$A$500,$C25,'DADOS BRUTOS'!AP$3:AP$500)))</f>
        <v/>
      </c>
      <c r="DQ25" s="123">
        <f>IF(OR(DQ$4="",$B25=""),0,SUMIF('DADOS BRUTOS'!$A$3:$A$500,$B25,'DADOS BRUTOS'!AQ$3:AQ$500)+IF($C25="",0,SUMIF('DADOS BRUTOS'!$A$3:$A$500,$C25,'DADOS BRUTOS'!AQ$3:AQ$500)))</f>
        <v/>
      </c>
      <c r="DR25" s="123">
        <f>IF(OR(DR$4="",$B25=""),0,SUMIF('DADOS BRUTOS'!$A$3:$A$500,$B25,'DADOS BRUTOS'!AR$3:AR$500)+IF($C25="",0,SUMIF('DADOS BRUTOS'!$A$3:$A$500,$C25,'DADOS BRUTOS'!AR$3:AR$500)))</f>
        <v/>
      </c>
      <c r="DS25" s="123">
        <f>IF(OR(DS$4="",$B25=""),0,SUMIF('DADOS BRUTOS'!$A$3:$A$500,$B25,'DADOS BRUTOS'!AS$3:AS$500)+IF($C25="",0,SUMIF('DADOS BRUTOS'!$A$3:$A$500,$C25,'DADOS BRUTOS'!AS$3:AS$500)))</f>
        <v/>
      </c>
      <c r="DT25" s="123">
        <f>IF(OR(DT$4="",$B25=""),0,SUMIF('DADOS BRUTOS'!$A$3:$A$500,$B25,'DADOS BRUTOS'!AT$3:AT$500)+IF($C25="",0,SUMIF('DADOS BRUTOS'!$A$3:$A$500,$C25,'DADOS BRUTOS'!AT$3:AT$500)))</f>
        <v/>
      </c>
      <c r="DU25" s="123">
        <f>IF(OR(DU$4="",$B25=""),0,SUMIF('DADOS BRUTOS'!$A$3:$A$500,$B25,'DADOS BRUTOS'!AU$3:AU$500)+IF($C25="",0,SUMIF('DADOS BRUTOS'!$A$3:$A$500,$C25,'DADOS BRUTOS'!AU$3:AU$500)))</f>
        <v/>
      </c>
      <c r="DV25" s="123">
        <f>IF(OR(DV$4="",$B25=""),0,SUMIF('DADOS BRUTOS'!$A$3:$A$500,$B25,'DADOS BRUTOS'!AV$3:AV$500)+IF($C25="",0,SUMIF('DADOS BRUTOS'!$A$3:$A$500,$C25,'DADOS BRUTOS'!AV$3:AV$500)))</f>
        <v/>
      </c>
      <c r="DW25" s="123">
        <f>IF(OR(DW$4="",$B25=""),0,SUMIF('DADOS BRUTOS'!$A$3:$A$500,$B25,'DADOS BRUTOS'!AW$3:AW$500)+IF($C25="",0,SUMIF('DADOS BRUTOS'!$A$3:$A$500,$C25,'DADOS BRUTOS'!AW$3:AW$500)))</f>
        <v/>
      </c>
      <c r="DX25" s="123">
        <f>IF(OR(DX$4="",$B25=""),0,SUMIF('DADOS BRUTOS'!$A$3:$A$500,$B25,'DADOS BRUTOS'!AX$3:AX$500)+IF($C25="",0,SUMIF('DADOS BRUTOS'!$A$3:$A$500,$C25,'DADOS BRUTOS'!AX$3:AX$500)))</f>
        <v/>
      </c>
      <c r="DY25" s="123">
        <f>IF(OR(DY$4="",$B25=""),0,SUMIF('DADOS BRUTOS'!$A$3:$A$500,$B25,'DADOS BRUTOS'!AY$3:AY$500)+IF($C25="",0,SUMIF('DADOS BRUTOS'!$A$3:$A$500,$C25,'DADOS BRUTOS'!AY$3:AY$500)))</f>
        <v/>
      </c>
      <c r="DZ25" s="123">
        <f>IF(OR(DZ$4="",$B25=""),0,SUMIF('DADOS BRUTOS'!$A$3:$A$500,$B25,'DADOS BRUTOS'!AZ$3:AZ$500)+IF($C25="",0,SUMIF('DADOS BRUTOS'!$A$3:$A$500,$C25,'DADOS BRUTOS'!AZ$3:AZ$500)))</f>
        <v/>
      </c>
      <c r="EA25" s="123">
        <f>IF(OR(EA$4="",$B25=""),0,SUMIF('DADOS BRUTOS'!$A$3:$A$500,$B25,'DADOS BRUTOS'!BA$3:BA$500)+IF($C25="",0,SUMIF('DADOS BRUTOS'!$A$3:$A$500,$C25,'DADOS BRUTOS'!BA$3:BA$500)))</f>
        <v/>
      </c>
      <c r="EB25" s="123">
        <f>IF(OR(EB$4="",$B25=""),0,SUMIF('DADOS BRUTOS'!$A$3:$A$500,$B25,'DADOS BRUTOS'!BB$3:BB$500)+IF($C25="",0,SUMIF('DADOS BRUTOS'!$A$3:$A$500,$C25,'DADOS BRUTOS'!BB$3:BB$500)))</f>
        <v/>
      </c>
      <c r="EC25" s="123">
        <f>IF(OR(EC$4="",$B25=""),0,SUMIF('DADOS BRUTOS'!$A$3:$A$500,$B25,'DADOS BRUTOS'!BC$3:BC$500)+IF($C25="",0,SUMIF('DADOS BRUTOS'!$A$3:$A$500,$C25,'DADOS BRUTOS'!BC$3:BC$500)))</f>
        <v/>
      </c>
      <c r="ED25" s="123">
        <f>IF(OR(ED$4="",$B25=""),0,SUMIF('DADOS BRUTOS'!$A$3:$A$500,$B25,'DADOS BRUTOS'!BD$3:BD$500)+IF($C25="",0,SUMIF('DADOS BRUTOS'!$A$3:$A$500,$C25,'DADOS BRUTOS'!BD$3:BD$500)))</f>
        <v/>
      </c>
      <c r="EE25" s="123">
        <f>IF(OR(EE$4="",$B25=""),0,SUMIF('DADOS BRUTOS'!$A$3:$A$500,$B25,'DADOS BRUTOS'!BE$3:BE$500)+IF($C25="",0,SUMIF('DADOS BRUTOS'!$A$3:$A$500,$C25,'DADOS BRUTOS'!BE$3:BE$500)))</f>
        <v/>
      </c>
      <c r="EF25" s="123">
        <f>IF(OR(EF$4="",$B25=""),0,SUMIF('DADOS BRUTOS'!$A$3:$A$500,$B25,'DADOS BRUTOS'!BF$3:BF$500)+IF($C25="",0,SUMIF('DADOS BRUTOS'!$A$3:$A$500,$C25,'DADOS BRUTOS'!BF$3:BF$500)))</f>
        <v/>
      </c>
      <c r="EG25" s="123">
        <f>IF(OR(EG$4="",$B25=""),0,SUMIF('DADOS BRUTOS'!$A$3:$A$500,$B25,'DADOS BRUTOS'!BG$3:BG$500)+IF($C25="",0,SUMIF('DADOS BRUTOS'!$A$3:$A$500,$C25,'DADOS BRUTOS'!BG$3:BG$500)))</f>
        <v/>
      </c>
      <c r="EH25" s="123">
        <f>IF(OR(EH$4="",$B25=""),0,SUMIF('DADOS BRUTOS'!$A$3:$A$500,$B25,'DADOS BRUTOS'!BH$3:BH$500)+IF($C25="",0,SUMIF('DADOS BRUTOS'!$A$3:$A$500,$C25,'DADOS BRUTOS'!BH$3:BH$500)))</f>
        <v/>
      </c>
      <c r="EI25" s="123">
        <f>IF(OR(EI$4="",$B25=""),0,SUMIF('DADOS BRUTOS'!$A$3:$A$500,$B25,'DADOS BRUTOS'!BI$3:BI$500)+IF($C25="",0,SUMIF('DADOS BRUTOS'!$A$3:$A$500,$C25,'DADOS BRUTOS'!BI$3:BI$500)))</f>
        <v/>
      </c>
      <c r="EJ25" s="123">
        <f>IF(OR(EJ$4="",$B25=""),0,SUMIF('DADOS BRUTOS'!$A$3:$A$500,$B25,'DADOS BRUTOS'!BJ$3:BJ$500)+IF($C25="",0,SUMIF('DADOS BRUTOS'!$A$3:$A$500,$C25,'DADOS BRUTOS'!BJ$3:BJ$500)))</f>
        <v/>
      </c>
      <c r="EK25" s="123">
        <f>IF(OR(EK$4="",$B25=""),0,SUMIF('DADOS BRUTOS'!$A$3:$A$500,$B25,'DADOS BRUTOS'!BK$3:BK$500)+IF($C25="",0,SUMIF('DADOS BRUTOS'!$A$3:$A$500,$C25,'DADOS BRUTOS'!BK$3:BK$500)))</f>
        <v/>
      </c>
      <c r="EL25" s="123">
        <f>IF(OR(EL$4="",$B25=""),0,SUMIF('DADOS BRUTOS'!$A$3:$A$500,$B25,'DADOS BRUTOS'!BL$3:BL$500)+IF($C25="",0,SUMIF('DADOS BRUTOS'!$A$3:$A$500,$C25,'DADOS BRUTOS'!BL$3:BL$500)))</f>
        <v/>
      </c>
      <c r="EM25" s="123">
        <f>IF(OR(EM$4="",$B25=""),0,SUMIF('DADOS BRUTOS'!$A$3:$A$500,$B25,'DADOS BRUTOS'!BM$3:BM$500)+IF($C25="",0,SUMIF('DADOS BRUTOS'!$A$3:$A$500,$C25,'DADOS BRUTOS'!BM$3:BM$500)))</f>
        <v/>
      </c>
      <c r="EN25" s="123">
        <f>IF(OR(EN$4="",$B25=""),0,SUMIF('DADOS BRUTOS'!$A$3:$A$500,$B25,'DADOS BRUTOS'!BN$3:BN$500)+IF($C25="",0,SUMIF('DADOS BRUTOS'!$A$3:$A$500,$C25,'DADOS BRUTOS'!BN$3:BN$500)))</f>
        <v/>
      </c>
      <c r="EO25" s="123">
        <f>IF(OR(EO$4="",$B25=""),0,SUMIF('DADOS BRUTOS'!$A$3:$A$500,$B25,'DADOS BRUTOS'!BO$3:BO$500)+IF($C25="",0,SUMIF('DADOS BRUTOS'!$A$3:$A$500,$C25,'DADOS BRUTOS'!BO$3:BO$500)))</f>
        <v/>
      </c>
      <c r="EP25" s="123">
        <f>IF(OR(EP$4="",$B25=""),0,SUMIF('DADOS BRUTOS'!$A$3:$A$500,$B25,'DADOS BRUTOS'!BP$3:BP$500)+IF($C25="",0,SUMIF('DADOS BRUTOS'!$A$3:$A$500,$C25,'DADOS BRUTOS'!BP$3:BP$500)))</f>
        <v/>
      </c>
      <c r="EQ25" s="123">
        <f>IF(OR(EQ$4="",$B25=""),0,SUMIF('DADOS BRUTOS'!$A$3:$A$500,$B25,'DADOS BRUTOS'!BQ$3:BQ$500)+IF($C25="",0,SUMIF('DADOS BRUTOS'!$A$3:$A$500,$C25,'DADOS BRUTOS'!BQ$3:BQ$500)))</f>
        <v/>
      </c>
      <c r="ER25" s="123">
        <f>IF(OR(ER$4="",$B25=""),0,SUMIF('DADOS BRUTOS'!$A$3:$A$500,$B25,'DADOS BRUTOS'!BR$3:BR$500)+IF($C25="",0,SUMIF('DADOS BRUTOS'!$A$3:$A$500,$C25,'DADOS BRUTOS'!BR$3:BR$500)))</f>
        <v/>
      </c>
      <c r="ES25" s="123">
        <f>IF(OR(ES$4="",$B25=""),0,SUMIF('DADOS BRUTOS'!$A$3:$A$500,$B25,'DADOS BRUTOS'!BS$3:BS$500)+IF($C25="",0,SUMIF('DADOS BRUTOS'!$A$3:$A$500,$C25,'DADOS BRUTOS'!BS$3:BS$500)))</f>
        <v/>
      </c>
      <c r="ET25" s="123">
        <f>IF(OR(ET$4="",$B25=""),0,SUMIF('DADOS BRUTOS'!$A$3:$A$500,$B25,'DADOS BRUTOS'!BT$3:BT$500)+IF($C25="",0,SUMIF('DADOS BRUTOS'!$A$3:$A$500,$C25,'DADOS BRUTOS'!BT$3:BT$500)))</f>
        <v/>
      </c>
      <c r="EU25" s="123">
        <f>IF(OR(EU$4="",$B25=""),0,SUMIF('DADOS BRUTOS'!$A$3:$A$500,$B25,'DADOS BRUTOS'!BU$3:BU$500)+IF($C25="",0,SUMIF('DADOS BRUTOS'!$A$3:$A$500,$C25,'DADOS BRUTOS'!BU$3:BU$500)))</f>
        <v/>
      </c>
      <c r="EV25" s="123">
        <f>IF(OR(EV$4="",$B25=""),0,SUMIF('DADOS BRUTOS'!$A$3:$A$500,$B25,'DADOS BRUTOS'!BV$3:BV$500)+IF($C25="",0,SUMIF('DADOS BRUTOS'!$A$3:$A$500,$C25,'DADOS BRUTOS'!BV$3:BV$500)))</f>
        <v/>
      </c>
      <c r="EW25" s="123">
        <f>IF(OR(EW$4="",$B25=""),0,SUMIF('DADOS BRUTOS'!$A$3:$A$500,$B25,'DADOS BRUTOS'!BW$3:BW$500)+IF($C25="",0,SUMIF('DADOS BRUTOS'!$A$3:$A$500,$C25,'DADOS BRUTOS'!BW$3:BW$500)))</f>
        <v/>
      </c>
      <c r="EX25" s="123">
        <f>IF(OR(EX$4="",$B25=""),0,SUMIF('DADOS BRUTOS'!$A$3:$A$500,$B25,'DADOS BRUTOS'!BX$3:BX$500)+IF($C25="",0,SUMIF('DADOS BRUTOS'!$A$3:$A$500,$C25,'DADOS BRUTOS'!BX$3:BX$500)))</f>
        <v/>
      </c>
      <c r="EY25" s="123">
        <f>IF(OR(EY$4="",$B25=""),0,SUMIF('DADOS BRUTOS'!$A$3:$A$500,$B25,'DADOS BRUTOS'!BY$3:BY$500)+IF($C25="",0,SUMIF('DADOS BRUTOS'!$A$3:$A$500,$C25,'DADOS BRUTOS'!BY$3:BY$500)))</f>
        <v/>
      </c>
      <c r="EZ25" s="123">
        <f>IF(OR(EZ$4="",$B25=""),0,SUMIF('DADOS BRUTOS'!$A$3:$A$500,$B25,'DADOS BRUTOS'!BZ$3:BZ$500)+IF($C25="",0,SUMIF('DADOS BRUTOS'!$A$3:$A$500,$C25,'DADOS BRUTOS'!BZ$3:BZ$500)))</f>
        <v/>
      </c>
      <c r="FA25" s="123">
        <f>IF(OR(FA$4="",$B25=""),0,SUMIF('DADOS BRUTOS'!$A$3:$A$500,$B25,'DADOS BRUTOS'!CA$3:CA$500)+IF($C25="",0,SUMIF('DADOS BRUTOS'!$A$3:$A$500,$C25,'DADOS BRUTOS'!CA$3:CA$500)))</f>
        <v/>
      </c>
      <c r="FB25" s="123">
        <f>IF(OR(FB$4="",$B25=""),0,SUMIF('DADOS BRUTOS'!$A$3:$A$500,$B25,'DADOS BRUTOS'!CB$3:CB$500)+IF($C25="",0,SUMIF('DADOS BRUTOS'!$A$3:$A$500,$C25,'DADOS BRUTOS'!CB$3:CB$500)))</f>
        <v/>
      </c>
      <c r="FC25" s="123">
        <f>IF(OR(FC$4="",$B25=""),0,SUMIF('DADOS BRUTOS'!$A$3:$A$500,$B25,'DADOS BRUTOS'!CC$3:CC$500)+IF($C25="",0,SUMIF('DADOS BRUTOS'!$A$3:$A$500,$C25,'DADOS BRUTOS'!CC$3:CC$500)))</f>
        <v/>
      </c>
      <c r="FD25" s="123">
        <f>IF(OR(FD$4="",$B25=""),0,SUMIF('DADOS BRUTOS'!$A$3:$A$500,$B25,'DADOS BRUTOS'!CD$3:CD$500)+IF($C25="",0,SUMIF('DADOS BRUTOS'!$A$3:$A$500,$C25,'DADOS BRUTOS'!CD$3:CD$500)))</f>
        <v/>
      </c>
      <c r="FE25" s="123">
        <f>IF(OR(FE$4="",$B25=""),0,SUMIF('DADOS BRUTOS'!$A$3:$A$500,$B25,'DADOS BRUTOS'!CE$3:CE$500)+IF($C25="",0,SUMIF('DADOS BRUTOS'!$A$3:$A$500,$C25,'DADOS BRUTOS'!CE$3:CE$500)))</f>
        <v/>
      </c>
      <c r="FF25" s="123">
        <f>IF(OR(FF$4="",$B25=""),0,SUMIF('DADOS BRUTOS'!$A$3:$A$500,$B25,'DADOS BRUTOS'!CF$3:CF$500)+IF($C25="",0,SUMIF('DADOS BRUTOS'!$A$3:$A$500,$C25,'DADOS BRUTOS'!CF$3:CF$500)))</f>
        <v/>
      </c>
      <c r="FG25" s="123">
        <f>IF(OR(FG$4="",$B25=""),0,SUMIF('DADOS BRUTOS'!$A$3:$A$500,$B25,'DADOS BRUTOS'!CG$3:CG$500)+IF($C25="",0,SUMIF('DADOS BRUTOS'!$A$3:$A$500,$C25,'DADOS BRUTOS'!CG$3:CG$500)))</f>
        <v/>
      </c>
      <c r="FH25" s="123">
        <f>IF(OR(FH$4="",$B25=""),0,SUMIF('DADOS BRUTOS'!$A$3:$A$500,$B25,'DADOS BRUTOS'!CH$3:CH$500)+IF($C25="",0,SUMIF('DADOS BRUTOS'!$A$3:$A$500,$C25,'DADOS BRUTOS'!CH$3:CH$500)))</f>
        <v/>
      </c>
      <c r="FI25" s="123">
        <f>IF(OR(FI$4="",$B25=""),0,SUMIF('DADOS BRUTOS'!$A$3:$A$500,$B25,'DADOS BRUTOS'!CI$3:CI$500)+IF($C25="",0,SUMIF('DADOS BRUTOS'!$A$3:$A$500,$C25,'DADOS BRUTOS'!CI$3:CI$500)))</f>
        <v/>
      </c>
      <c r="FJ25" s="123">
        <f>IF(OR(FJ$4="",$B25=""),0,SUMIF('DADOS BRUTOS'!$A$3:$A$500,$B25,'DADOS BRUTOS'!CJ$3:CJ$500)+IF($C25="",0,SUMIF('DADOS BRUTOS'!$A$3:$A$500,$C25,'DADOS BRUTOS'!CJ$3:CJ$500)))</f>
        <v/>
      </c>
      <c r="FK25" s="123">
        <f>IF(OR(FK$4="",$B25=""),0,SUMIF('DADOS BRUTOS'!$A$3:$A$500,$B25,'DADOS BRUTOS'!CK$3:CK$500)+IF($C25="",0,SUMIF('DADOS BRUTOS'!$A$3:$A$500,$C25,'DADOS BRUTOS'!CK$3:CK$500)))</f>
        <v/>
      </c>
      <c r="FL25" s="123">
        <f>IF(OR(FL$4="",$B25=""),0,SUMIF('DADOS BRUTOS'!$A$3:$A$500,$B25,'DADOS BRUTOS'!CL$3:CL$500)+IF($C25="",0,SUMIF('DADOS BRUTOS'!$A$3:$A$500,$C25,'DADOS BRUTOS'!CL$3:CL$500)))</f>
        <v/>
      </c>
      <c r="FM25" s="123">
        <f>IF(OR(FM$4="",$B25=""),0,SUMIF('DADOS BRUTOS'!$A$3:$A$500,$B25,'DADOS BRUTOS'!CM$3:CM$500)+IF($C25="",0,SUMIF('DADOS BRUTOS'!$A$3:$A$500,$C25,'DADOS BRUTOS'!CM$3:CM$500)))</f>
        <v/>
      </c>
      <c r="FN25" s="123">
        <f>IF(OR(FN$4="",$B25=""),0,SUMIF('DADOS BRUTOS'!$A$3:$A$500,$B25,'DADOS BRUTOS'!CN$3:CN$500)+IF($C25="",0,SUMIF('DADOS BRUTOS'!$A$3:$A$500,$C25,'DADOS BRUTOS'!CN$3:CN$500)))</f>
        <v/>
      </c>
      <c r="FO25" s="123">
        <f>IF(OR(FO$4="",$B25=""),0,SUMIF('DADOS BRUTOS'!$A$3:$A$500,$B25,'DADOS BRUTOS'!CO$3:CO$500)+IF($C25="",0,SUMIF('DADOS BRUTOS'!$A$3:$A$500,$C25,'DADOS BRUTOS'!CO$3:CO$500)))</f>
        <v/>
      </c>
      <c r="FP25" s="123">
        <f>IF(OR(FP$4="",$B25=""),0,SUMIF('DADOS BRUTOS'!$A$3:$A$500,$B25,'DADOS BRUTOS'!CP$3:CP$500)+IF($C25="",0,SUMIF('DADOS BRUTOS'!$A$3:$A$500,$C25,'DADOS BRUTOS'!CP$3:CP$500)))</f>
        <v/>
      </c>
      <c r="FQ25" s="123">
        <f>IF(OR(FQ$4="",$B25=""),0,SUMIF('DADOS BRUTOS'!$A$3:$A$500,$B25,'DADOS BRUTOS'!CQ$3:CQ$500)+IF($C25="",0,SUMIF('DADOS BRUTOS'!$A$3:$A$500,$C25,'DADOS BRUTOS'!CQ$3:CQ$500)))</f>
        <v/>
      </c>
      <c r="FR25" s="123">
        <f>IF(OR(FR$4="",$B25=""),0,SUMIF('DADOS BRUTOS'!$A$3:$A$500,$B25,'DADOS BRUTOS'!CR$3:CR$500)+IF($C25="",0,SUMIF('DADOS BRUTOS'!$A$3:$A$500,$C25,'DADOS BRUTOS'!CR$3:CR$500)))</f>
        <v/>
      </c>
      <c r="FS25" s="123">
        <f>IF(OR(FS$4="",$B25=""),0,SUMIF('DADOS BRUTOS'!$A$3:$A$500,$B25,'DADOS BRUTOS'!CS$3:CS$500)+IF($C25="",0,SUMIF('DADOS BRUTOS'!$A$3:$A$500,$C25,'DADOS BRUTOS'!CS$3:CS$500)))</f>
        <v/>
      </c>
      <c r="FT25" s="123">
        <f>IF(OR(FT$4="",$B25=""),0,SUMIF('DADOS BRUTOS'!$A$3:$A$500,$B25,'DADOS BRUTOS'!CT$3:CT$500)+IF($C25="",0,SUMIF('DADOS BRUTOS'!$A$3:$A$500,$C25,'DADOS BRUTOS'!CT$3:CT$500)))</f>
        <v/>
      </c>
      <c r="FU25" s="123">
        <f>IF(OR(FU$4="",$B25=""),0,SUMIF('DADOS BRUTOS'!$A$3:$A$500,$B25,'DADOS BRUTOS'!CU$3:CU$500)+IF($C25="",0,SUMIF('DADOS BRUTOS'!$A$3:$A$500,$C25,'DADOS BRUTOS'!CU$3:CU$500)))</f>
        <v/>
      </c>
      <c r="FV25" s="123">
        <f>IF(OR(FV$4="",$B25=""),0,SUMIF('DADOS BRUTOS'!$A$3:$A$500,$B25,'DADOS BRUTOS'!CV$3:CV$500)+IF($C25="",0,SUMIF('DADOS BRUTOS'!$A$3:$A$500,$C25,'DADOS BRUTOS'!CV$3:CV$500)))</f>
        <v/>
      </c>
      <c r="FW25" s="123">
        <f>IF(OR(FW$4="",$B25=""),0,SUMIF('DADOS BRUTOS'!$A$3:$A$500,$B25,'DADOS BRUTOS'!CW$3:CW$500)+IF($C25="",0,SUMIF('DADOS BRUTOS'!$A$3:$A$500,$C25,'DADOS BRUTOS'!CW$3:CW$500)))</f>
        <v/>
      </c>
      <c r="FX25" s="123">
        <f>IF(OR(FX$4="",$B25=""),0,SUMIF('DADOS BRUTOS'!$A$3:$A$500,$B25,'DADOS BRUTOS'!CX$3:CX$500)+IF($C25="",0,SUMIF('DADOS BRUTOS'!$A$3:$A$500,$C25,'DADOS BRUTOS'!CX$3:CX$500)))</f>
        <v/>
      </c>
      <c r="FY25" s="123">
        <f>IF(OR(FY$4="",$B25=""),0,SUMIF('DADOS BRUTOS'!$A$3:$A$500,$B25,'DADOS BRUTOS'!CY$3:CY$500)+IF($C25="",0,SUMIF('DADOS BRUTOS'!$A$3:$A$500,$C25,'DADOS BRUTOS'!CY$3:CY$500)))</f>
        <v/>
      </c>
      <c r="FZ25" s="123">
        <f>IF(OR(FZ$4="",$B25=""),0,SUMIF('DADOS BRUTOS'!$A$3:$A$500,$B25,'DADOS BRUTOS'!CZ$3:CZ$500)+IF($C25="",0,SUMIF('DADOS BRUTOS'!$A$3:$A$500,$C25,'DADOS BRUTOS'!CZ$3:CZ$500)))</f>
        <v/>
      </c>
      <c r="GA25" s="123">
        <f>IF(OR(GA$4="",$B25=""),0,SUMIF('DADOS BRUTOS'!$A$3:$A$500,$B25,'DADOS BRUTOS'!DA$3:DA$500)+IF($C25="",0,SUMIF('DADOS BRUTOS'!$A$3:$A$500,$C25,'DADOS BRUTOS'!DA$3:DA$500)))</f>
        <v/>
      </c>
      <c r="GB25" s="123">
        <f>IF(OR(GB$4="",$B25=""),0,SUMIF('DADOS BRUTOS'!$A$3:$A$500,$B25,'DADOS BRUTOS'!DB$3:DB$500)+IF($C25="",0,SUMIF('DADOS BRUTOS'!$A$3:$A$500,$C25,'DADOS BRUTOS'!DB$3:DB$500)))</f>
        <v/>
      </c>
      <c r="GC25" s="123">
        <f>IF(OR(GC$4="",$B25=""),0,SUMIF('DADOS BRUTOS'!$A$3:$A$500,$B25,'DADOS BRUTOS'!DC$3:DC$500)+IF($C25="",0,SUMIF('DADOS BRUTOS'!$A$3:$A$500,$C25,'DADOS BRUTOS'!DC$3:DC$500)))</f>
        <v/>
      </c>
      <c r="GD25" s="123">
        <f>IF(OR(GD$4="",$B25=""),0,SUMIF('DADOS BRUTOS'!$A$3:$A$500,$B25,'DADOS BRUTOS'!DD$3:DD$500)+IF($C25="",0,SUMIF('DADOS BRUTOS'!$A$3:$A$500,$C25,'DADOS BRUTOS'!DD$3:DD$500)))</f>
        <v/>
      </c>
      <c r="GE25" s="123">
        <f>IF(OR(GE$4="",$B25=""),0,SUMIF('DADOS BRUTOS'!$A$3:$A$500,$B25,'DADOS BRUTOS'!DE$3:DE$500)+IF($C25="",0,SUMIF('DADOS BRUTOS'!$A$3:$A$500,$C25,'DADOS BRUTOS'!DE$3:DE$500)))</f>
        <v/>
      </c>
      <c r="GF25" s="123">
        <f>IF(OR(GF$4="",$B25=""),0,SUMIF('DADOS BRUTOS'!$A$3:$A$500,$B25,'DADOS BRUTOS'!DF$3:DF$500)+IF($C25="",0,SUMIF('DADOS BRUTOS'!$A$3:$A$500,$C25,'DADOS BRUTOS'!DF$3:DF$500)))</f>
        <v/>
      </c>
      <c r="GG25" s="123">
        <f>IF(OR(GG$4="",$B25=""),0,SUMIF('DADOS BRUTOS'!$A$3:$A$500,$B25,'DADOS BRUTOS'!DG$3:DG$500)+IF($C25="",0,SUMIF('DADOS BRUTOS'!$A$3:$A$500,$C25,'DADOS BRUTOS'!DG$3:DG$500)))</f>
        <v/>
      </c>
      <c r="GH25" s="123">
        <f>IF(OR(GH$4="",$B25=""),0,SUMIF('DADOS BRUTOS'!$A$3:$A$500,$B25,'DADOS BRUTOS'!DH$3:DH$500)+IF($C25="",0,SUMIF('DADOS BRUTOS'!$A$3:$A$500,$C25,'DADOS BRUTOS'!DH$3:DH$500)))</f>
        <v/>
      </c>
      <c r="GI25" s="123">
        <f>IF(OR(GI$4="",$B25=""),0,SUMIF('DADOS BRUTOS'!$A$3:$A$500,$B25,'DADOS BRUTOS'!DI$3:DI$500)+IF($C25="",0,SUMIF('DADOS BRUTOS'!$A$3:$A$500,$C25,'DADOS BRUTOS'!DI$3:DI$500)))</f>
        <v/>
      </c>
      <c r="GJ25" s="123">
        <f>IF(OR(GJ$4="",$B25=""),0,SUMIF('DADOS BRUTOS'!$A$3:$A$500,$B25,'DADOS BRUTOS'!DJ$3:DJ$500)+IF($C25="",0,SUMIF('DADOS BRUTOS'!$A$3:$A$500,$C25,'DADOS BRUTOS'!DJ$3:DJ$500)))</f>
        <v/>
      </c>
      <c r="GK25" s="123">
        <f>IF(OR(GK$4="",$B25=""),0,SUMIF('DADOS BRUTOS'!$A$3:$A$500,$B25,'DADOS BRUTOS'!DK$3:DK$500)+IF($C25="",0,SUMIF('DADOS BRUTOS'!$A$3:$A$500,$C25,'DADOS BRUTOS'!DK$3:DK$500)))</f>
        <v/>
      </c>
      <c r="GL25" s="123">
        <f>IF(OR(GL$4="",$B25=""),0,SUMIF('DADOS BRUTOS'!$A$3:$A$500,$B25,'DADOS BRUTOS'!DL$3:DL$500)+IF($C25="",0,SUMIF('DADOS BRUTOS'!$A$3:$A$500,$C25,'DADOS BRUTOS'!DL$3:DL$500)))</f>
        <v/>
      </c>
      <c r="GM25" s="123">
        <f>IF(OR(GM$4="",$B25=""),0,SUMIF('DADOS BRUTOS'!$A$3:$A$500,$B25,'DADOS BRUTOS'!DM$3:DM$500)+IF($C25="",0,SUMIF('DADOS BRUTOS'!$A$3:$A$500,$C25,'DADOS BRUTOS'!DM$3:DM$500)))</f>
        <v/>
      </c>
      <c r="GN25" s="123">
        <f>IF(OR(GN$4="",$B25=""),0,SUMIF('DADOS BRUTOS'!$A$3:$A$500,$B25,'DADOS BRUTOS'!DN$3:DN$500)+IF($C25="",0,SUMIF('DADOS BRUTOS'!$A$3:$A$500,$C25,'DADOS BRUTOS'!DN$3:DN$500)))</f>
        <v/>
      </c>
      <c r="GO25" s="123">
        <f>IF(OR(GO$4="",$B25=""),0,SUMIF('DADOS BRUTOS'!$A$3:$A$500,$B25,'DADOS BRUTOS'!DO$3:DO$500)+IF($C25="",0,SUMIF('DADOS BRUTOS'!$A$3:$A$500,$C25,'DADOS BRUTOS'!DO$3:DO$500)))</f>
        <v/>
      </c>
      <c r="GP25" s="123">
        <f>IF(OR(GP$4="",$B25=""),0,SUMIF('DADOS BRUTOS'!$A$3:$A$500,$B25,'DADOS BRUTOS'!DP$3:DP$500)+IF($C25="",0,SUMIF('DADOS BRUTOS'!$A$3:$A$500,$C25,'DADOS BRUTOS'!DP$3:DP$500)))</f>
        <v/>
      </c>
      <c r="GQ25" s="123">
        <f>IF(OR(GQ$4="",$B25=""),0,SUMIF('DADOS BRUTOS'!$A$3:$A$500,$B25,'DADOS BRUTOS'!DQ$3:DQ$500)+IF($C25="",0,SUMIF('DADOS BRUTOS'!$A$3:$A$500,$C25,'DADOS BRUTOS'!DQ$3:DQ$500)))</f>
        <v/>
      </c>
      <c r="GR25" s="123">
        <f>IF(OR(GR$4="",$B25=""),0,SUMIF('DADOS BRUTOS'!$A$3:$A$500,$B25,'DADOS BRUTOS'!DR$3:DR$500)+IF($C25="",0,SUMIF('DADOS BRUTOS'!$A$3:$A$500,$C25,'DADOS BRUTOS'!DR$3:DR$500)))</f>
        <v/>
      </c>
      <c r="GS25" s="123">
        <f>IF(OR(GS$4="",$B25=""),0,SUMIF('DADOS BRUTOS'!$A$3:$A$500,$B25,'DADOS BRUTOS'!DS$3:DS$500)+IF($C25="",0,SUMIF('DADOS BRUTOS'!$A$3:$A$500,$C25,'DADOS BRUTOS'!DS$3:DS$500)))</f>
        <v/>
      </c>
      <c r="GT25" s="123">
        <f>IF(OR(GT$4="",$B25=""),0,SUMIF('DADOS BRUTOS'!$A$3:$A$500,$B25,'DADOS BRUTOS'!DT$3:DT$500)+IF($C25="",0,SUMIF('DADOS BRUTOS'!$A$3:$A$500,$C25,'DADOS BRUTOS'!DT$3:DT$500)))</f>
        <v/>
      </c>
      <c r="GU25" s="123">
        <f>IF(OR(GU$4="",$B25=""),0,SUMIF('DADOS BRUTOS'!$A$3:$A$500,$B25,'DADOS BRUTOS'!DU$3:DU$500)+IF($C25="",0,SUMIF('DADOS BRUTOS'!$A$3:$A$500,$C25,'DADOS BRUTOS'!DU$3:DU$500)))</f>
        <v/>
      </c>
      <c r="GV25" s="123">
        <f>IF(OR(GV$4="",$B25=""),0,SUMIF('DADOS BRUTOS'!$A$3:$A$500,$B25,'DADOS BRUTOS'!DV$3:DV$500)+IF($C25="",0,SUMIF('DADOS BRUTOS'!$A$3:$A$500,$C25,'DADOS BRUTOS'!DV$3:DV$500)))</f>
        <v/>
      </c>
      <c r="GW25" s="123">
        <f>IF(OR(GW$4="",$B25=""),0,SUMIF('DADOS BRUTOS'!$A$3:$A$500,$B25,'DADOS BRUTOS'!DW$3:DW$500)+IF($C25="",0,SUMIF('DADOS BRUTOS'!$A$3:$A$500,$C25,'DADOS BRUTOS'!DW$3:DW$500)))</f>
        <v/>
      </c>
      <c r="GX25" s="123">
        <f>IF(OR(GX$4="",$B25=""),0,SUMIF('DADOS BRUTOS'!$A$3:$A$500,$B25,'DADOS BRUTOS'!DX$3:DX$500)+IF($C25="",0,SUMIF('DADOS BRUTOS'!$A$3:$A$500,$C25,'DADOS BRUTOS'!DX$3:DX$500)))</f>
        <v/>
      </c>
      <c r="GY25" s="123">
        <f>IF(OR(GY$4="",$B25=""),0,SUMIF('DADOS BRUTOS'!$A$3:$A$500,$B25,'DADOS BRUTOS'!DY$3:DY$500)+IF($C25="",0,SUMIF('DADOS BRUTOS'!$A$3:$A$500,$C25,'DADOS BRUTOS'!DY$3:DY$500)))</f>
        <v/>
      </c>
      <c r="GZ25" s="123">
        <f>IF(OR(GZ$4="",$B25=""),0,SUMIF('DADOS BRUTOS'!$A$3:$A$500,$B25,'DADOS BRUTOS'!DZ$3:DZ$500)+IF($C25="",0,SUMIF('DADOS BRUTOS'!$A$3:$A$500,$C25,'DADOS BRUTOS'!DZ$3:DZ$500)))</f>
        <v/>
      </c>
      <c r="HA25" s="123">
        <f>IF(OR(HA$4="",$B25=""),0,SUMIF('DADOS BRUTOS'!$A$3:$A$500,$B25,'DADOS BRUTOS'!EA$3:EA$500)+IF($C25="",0,SUMIF('DADOS BRUTOS'!$A$3:$A$500,$C25,'DADOS BRUTOS'!EA$3:EA$500)))</f>
        <v/>
      </c>
      <c r="HB25" s="123">
        <f>IF(OR(HB$4="",$B25=""),0,SUMIF('DADOS BRUTOS'!$A$3:$A$500,$B25,'DADOS BRUTOS'!EB$3:EB$500)+IF($C25="",0,SUMIF('DADOS BRUTOS'!$A$3:$A$500,$C25,'DADOS BRUTOS'!EB$3:EB$500)))</f>
        <v/>
      </c>
      <c r="HC25" s="123">
        <f>IF(OR(HC$4="",$B25=""),0,SUMIF('DADOS BRUTOS'!$A$3:$A$500,$B25,'DADOS BRUTOS'!EC$3:EC$500)+IF($C25="",0,SUMIF('DADOS BRUTOS'!$A$3:$A$500,$C25,'DADOS BRUTOS'!EC$3:EC$500)))</f>
        <v/>
      </c>
      <c r="HD25" s="123">
        <f>IF(OR(HD$4="",$B25=""),0,SUMIF('DADOS BRUTOS'!$A$3:$A$500,$B25,'DADOS BRUTOS'!ED$3:ED$500)+IF($C25="",0,SUMIF('DADOS BRUTOS'!$A$3:$A$500,$C25,'DADOS BRUTOS'!ED$3:ED$500)))</f>
        <v/>
      </c>
      <c r="HE25" s="123">
        <f>IF(OR(HE$4="",$B25=""),0,SUMIF('DADOS BRUTOS'!$A$3:$A$500,$B25,'DADOS BRUTOS'!EE$3:EE$500)+IF($C25="",0,SUMIF('DADOS BRUTOS'!$A$3:$A$500,$C25,'DADOS BRUTOS'!EE$3:EE$500)))</f>
        <v/>
      </c>
      <c r="HF25" s="123">
        <f>IF(OR(HF$4="",$B25=""),0,SUMIF('DADOS BRUTOS'!$A$3:$A$500,$B25,'DADOS BRUTOS'!EF$3:EF$500)+IF($C25="",0,SUMIF('DADOS BRUTOS'!$A$3:$A$500,$C25,'DADOS BRUTOS'!EF$3:EF$500)))</f>
        <v/>
      </c>
      <c r="HG25" s="123">
        <f>IF(OR(HG$4="",$B25=""),0,SUMIF('DADOS BRUTOS'!$A$3:$A$500,$B25,'DADOS BRUTOS'!EG$3:EG$500)+IF($C25="",0,SUMIF('DADOS BRUTOS'!$A$3:$A$500,$C25,'DADOS BRUTOS'!EG$3:EG$500)))</f>
        <v/>
      </c>
      <c r="HH25" s="123">
        <f>IF(OR(HH$4="",$B25=""),0,SUMIF('DADOS BRUTOS'!$A$3:$A$500,$B25,'DADOS BRUTOS'!EH$3:EH$500)+IF($C25="",0,SUMIF('DADOS BRUTOS'!$A$3:$A$500,$C25,'DADOS BRUTOS'!EH$3:EH$500)))</f>
        <v/>
      </c>
      <c r="HI25" s="123">
        <f>IF(OR(HI$4="",$B25=""),0,SUMIF('DADOS BRUTOS'!$A$3:$A$500,$B25,'DADOS BRUTOS'!EI$3:EI$500)+IF($C25="",0,SUMIF('DADOS BRUTOS'!$A$3:$A$500,$C25,'DADOS BRUTOS'!EI$3:EI$500)))</f>
        <v/>
      </c>
      <c r="HJ25" s="123">
        <f>IF(OR(HJ$4="",$B25=""),0,SUMIF('DADOS BRUTOS'!$A$3:$A$500,$B25,'DADOS BRUTOS'!EJ$3:EJ$500)+IF($C25="",0,SUMIF('DADOS BRUTOS'!$A$3:$A$500,$C25,'DADOS BRUTOS'!EJ$3:EJ$500)))</f>
        <v/>
      </c>
      <c r="HK25" s="123">
        <f>IF(OR(HK$4="",$B25=""),0,SUMIF('DADOS BRUTOS'!$A$3:$A$500,$B25,'DADOS BRUTOS'!EK$3:EK$500)+IF($C25="",0,SUMIF('DADOS BRUTOS'!$A$3:$A$500,$C25,'DADOS BRUTOS'!EK$3:EK$500)))</f>
        <v/>
      </c>
      <c r="HL25" s="123">
        <f>IF(OR(HL$4="",$B25=""),0,SUMIF('DADOS BRUTOS'!$A$3:$A$500,$B25,'DADOS BRUTOS'!EL$3:EL$500)+IF($C25="",0,SUMIF('DADOS BRUTOS'!$A$3:$A$500,$C25,'DADOS BRUTOS'!EL$3:EL$500)))</f>
        <v/>
      </c>
      <c r="HM25" s="123">
        <f>IF(OR(HM$4="",$B25=""),0,SUMIF('DADOS BRUTOS'!$A$3:$A$500,$B25,'DADOS BRUTOS'!EM$3:EM$500)+IF($C25="",0,SUMIF('DADOS BRUTOS'!$A$3:$A$500,$C25,'DADOS BRUTOS'!EM$3:EM$500)))</f>
        <v/>
      </c>
      <c r="HN25" s="123">
        <f>IF(OR(HN$4="",$B25=""),0,SUMIF('DADOS BRUTOS'!$A$3:$A$500,$B25,'DADOS BRUTOS'!EN$3:EN$500)+IF($C25="",0,SUMIF('DADOS BRUTOS'!$A$3:$A$500,$C25,'DADOS BRUTOS'!EN$3:EN$500)))</f>
        <v/>
      </c>
      <c r="HO25" s="123">
        <f>IF(OR(HO$4="",$B25=""),0,SUMIF('DADOS BRUTOS'!$A$3:$A$500,$B25,'DADOS BRUTOS'!EO$3:EO$500)+IF($C25="",0,SUMIF('DADOS BRUTOS'!$A$3:$A$500,$C25,'DADOS BRUTOS'!EO$3:EO$500)))</f>
        <v/>
      </c>
      <c r="HP25" s="123">
        <f>IF(OR(HP$4="",$B25=""),0,SUMIF('DADOS BRUTOS'!$A$3:$A$500,$B25,'DADOS BRUTOS'!EP$3:EP$500)+IF($C25="",0,SUMIF('DADOS BRUTOS'!$A$3:$A$500,$C25,'DADOS BRUTOS'!EP$3:EP$500)))</f>
        <v/>
      </c>
      <c r="HQ25" s="123">
        <f>IF(OR(HQ$4="",$B25=""),0,SUMIF('DADOS BRUTOS'!$A$3:$A$500,$B25,'DADOS BRUTOS'!EQ$3:EQ$500)+IF($C25="",0,SUMIF('DADOS BRUTOS'!$A$3:$A$500,$C25,'DADOS BRUTOS'!EQ$3:EQ$500)))</f>
        <v/>
      </c>
      <c r="HR25" s="123">
        <f>IF(OR(HR$4="",$B25=""),0,SUMIF('DADOS BRUTOS'!$A$3:$A$500,$B25,'DADOS BRUTOS'!ER$3:ER$500)+IF($C25="",0,SUMIF('DADOS BRUTOS'!$A$3:$A$500,$C25,'DADOS BRUTOS'!ER$3:ER$500)))</f>
        <v/>
      </c>
      <c r="HS25" s="123">
        <f>IF(OR(HS$4="",$B25=""),0,SUMIF('DADOS BRUTOS'!$A$3:$A$500,$B25,'DADOS BRUTOS'!ES$3:ES$500)+IF($C25="",0,SUMIF('DADOS BRUTOS'!$A$3:$A$500,$C25,'DADOS BRUTOS'!ES$3:ES$500)))</f>
        <v/>
      </c>
      <c r="HT25" s="123">
        <f>IF(OR(HT$4="",$B25=""),0,SUMIF('DADOS BRUTOS'!$A$3:$A$500,$B25,'DADOS BRUTOS'!ET$3:ET$500)+IF($C25="",0,SUMIF('DADOS BRUTOS'!$A$3:$A$500,$C25,'DADOS BRUTOS'!ET$3:ET$500)))</f>
        <v/>
      </c>
      <c r="HU25" s="123">
        <f>IF(OR(HU$4="",$B25=""),0,SUMIF('DADOS BRUTOS'!$A$3:$A$500,$B25,'DADOS BRUTOS'!EU$3:EU$500)+IF($C25="",0,SUMIF('DADOS BRUTOS'!$A$3:$A$500,$C25,'DADOS BRUTOS'!EU$3:EU$500)))</f>
        <v/>
      </c>
      <c r="HV25" s="123">
        <f>IF(OR(HV$4="",$B25=""),0,SUMIF('DADOS BRUTOS'!$A$3:$A$500,$B25,'DADOS BRUTOS'!EV$3:EV$500)+IF($C25="",0,SUMIF('DADOS BRUTOS'!$A$3:$A$500,$C25,'DADOS BRUTOS'!EV$3:EV$500)))</f>
        <v/>
      </c>
      <c r="HW25" s="123">
        <f>IF(OR(HW$4="",$B25=""),0,SUMIF('DADOS BRUTOS'!$A$3:$A$500,$B25,'DADOS BRUTOS'!EW$3:EW$500)+IF($C25="",0,SUMIF('DADOS BRUTOS'!$A$3:$A$500,$C25,'DADOS BRUTOS'!EW$3:EW$500)))</f>
        <v/>
      </c>
      <c r="HX25" s="123">
        <f>IF(OR(HX$4="",$B25=""),0,SUMIF('DADOS BRUTOS'!$A$3:$A$500,$B25,'DADOS BRUTOS'!EX$3:EX$500)+IF($C25="",0,SUMIF('DADOS BRUTOS'!$A$3:$A$500,$C25,'DADOS BRUTOS'!EX$3:EX$500)))</f>
        <v/>
      </c>
      <c r="HY25" s="123">
        <f>IF(OR(HY$4="",$B25=""),0,SUMIF('DADOS BRUTOS'!$A$3:$A$500,$B25,'DADOS BRUTOS'!EY$3:EY$500)+IF($C25="",0,SUMIF('DADOS BRUTOS'!$A$3:$A$500,$C25,'DADOS BRUTOS'!EY$3:EY$500)))</f>
        <v/>
      </c>
      <c r="HZ25" s="123">
        <f>IF(OR(HZ$4="",$B25=""),0,SUMIF('DADOS BRUTOS'!$A$3:$A$500,$B25,'DADOS BRUTOS'!EZ$3:EZ$500)+IF($C25="",0,SUMIF('DADOS BRUTOS'!$A$3:$A$500,$C25,'DADOS BRUTOS'!EZ$3:EZ$500)))</f>
        <v/>
      </c>
      <c r="IA25" s="123">
        <f>IF(OR(IA$4="",$B25=""),0,SUMIF('DADOS BRUTOS'!$A$3:$A$500,$B25,'DADOS BRUTOS'!FA$3:FA$500)+IF($C25="",0,SUMIF('DADOS BRUTOS'!$A$3:$A$500,$C25,'DADOS BRUTOS'!FA$3:FA$500)))</f>
        <v/>
      </c>
      <c r="IB25" s="123">
        <f>IF(OR(IB$4="",$B25=""),0,SUMIF('DADOS BRUTOS'!$A$3:$A$500,$B25,'DADOS BRUTOS'!FB$3:FB$500)+IF($C25="",0,SUMIF('DADOS BRUTOS'!$A$3:$A$500,$C25,'DADOS BRUTOS'!FB$3:FB$500)))</f>
        <v/>
      </c>
      <c r="IC25" s="123">
        <f>IF(OR(IC$4="",$B25=""),0,SUMIF('DADOS BRUTOS'!$A$3:$A$500,$B25,'DADOS BRUTOS'!FC$3:FC$500)+IF($C25="",0,SUMIF('DADOS BRUTOS'!$A$3:$A$500,$C25,'DADOS BRUTOS'!FC$3:FC$500)))</f>
        <v/>
      </c>
      <c r="ID25" s="123">
        <f>IF(OR(ID$4="",$B25=""),0,SUMIF('DADOS BRUTOS'!$A$3:$A$500,$B25,'DADOS BRUTOS'!FD$3:FD$500)+IF($C25="",0,SUMIF('DADOS BRUTOS'!$A$3:$A$500,$C25,'DADOS BRUTOS'!FD$3:FD$500)))</f>
        <v/>
      </c>
      <c r="IE25" s="123">
        <f>IF(OR(IE$4="",$B25=""),0,SUMIF('DADOS BRUTOS'!$A$3:$A$500,$B25,'DADOS BRUTOS'!FE$3:FE$500)+IF($C25="",0,SUMIF('DADOS BRUTOS'!$A$3:$A$500,$C25,'DADOS BRUTOS'!FE$3:FE$500)))</f>
        <v/>
      </c>
      <c r="IF25" s="123">
        <f>IF(OR(IF$4="",$B25=""),0,SUMIF('DADOS BRUTOS'!$A$3:$A$500,$B25,'DADOS BRUTOS'!FF$3:FF$500)+IF($C25="",0,SUMIF('DADOS BRUTOS'!$A$3:$A$500,$C25,'DADOS BRUTOS'!FF$3:FF$500)))</f>
        <v/>
      </c>
      <c r="IG25" s="123">
        <f>IF(OR(IG$4="",$B25=""),0,SUMIF('DADOS BRUTOS'!$A$3:$A$500,$B25,'DADOS BRUTOS'!FG$3:FG$500)+IF($C25="",0,SUMIF('DADOS BRUTOS'!$A$3:$A$500,$C25,'DADOS BRUTOS'!FG$3:FG$500)))</f>
        <v/>
      </c>
      <c r="IH25" s="123">
        <f>IF(OR(IH$4="",$B25=""),0,SUMIF('DADOS BRUTOS'!$A$3:$A$500,$B25,'DADOS BRUTOS'!FH$3:FH$500)+IF($C25="",0,SUMIF('DADOS BRUTOS'!$A$3:$A$500,$C25,'DADOS BRUTOS'!FH$3:FH$500)))</f>
        <v/>
      </c>
      <c r="II25" s="123">
        <f>IF(OR(II$4="",$B25=""),0,SUMIF('DADOS BRUTOS'!$A$3:$A$500,$B25,'DADOS BRUTOS'!FI$3:FI$500)+IF($C25="",0,SUMIF('DADOS BRUTOS'!$A$3:$A$500,$C25,'DADOS BRUTOS'!FI$3:FI$500)))</f>
        <v/>
      </c>
      <c r="IJ25" s="123">
        <f>IF(OR(IJ$4="",$B25=""),0,SUMIF('DADOS BRUTOS'!$A$3:$A$500,$B25,'DADOS BRUTOS'!FJ$3:FJ$500)+IF($C25="",0,SUMIF('DADOS BRUTOS'!$A$3:$A$500,$C25,'DADOS BRUTOS'!FJ$3:FJ$500)))</f>
        <v/>
      </c>
      <c r="IK25" s="123">
        <f>IF(OR(IK$4="",$B25=""),0,SUMIF('DADOS BRUTOS'!$A$3:$A$500,$B25,'DADOS BRUTOS'!FK$3:FK$500)+IF($C25="",0,SUMIF('DADOS BRUTOS'!$A$3:$A$500,$C25,'DADOS BRUTOS'!FK$3:FK$500)))</f>
        <v/>
      </c>
      <c r="IL25" s="123">
        <f>IF(OR(IL$4="",$B25=""),0,SUMIF('DADOS BRUTOS'!$A$3:$A$500,$B25,'DADOS BRUTOS'!FL$3:FL$500)+IF($C25="",0,SUMIF('DADOS BRUTOS'!$A$3:$A$500,$C25,'DADOS BRUTOS'!FL$3:FL$500)))</f>
        <v/>
      </c>
      <c r="IM25" s="123">
        <f>IF(OR(IM$4="",$B25=""),0,SUMIF('DADOS BRUTOS'!$A$3:$A$500,$B25,'DADOS BRUTOS'!FM$3:FM$500)+IF($C25="",0,SUMIF('DADOS BRUTOS'!$A$3:$A$500,$C25,'DADOS BRUTOS'!FM$3:FM$500)))</f>
        <v/>
      </c>
      <c r="IN25" s="123">
        <f>IF(OR(IN$4="",$B25=""),0,SUMIF('DADOS BRUTOS'!$A$3:$A$500,$B25,'DADOS BRUTOS'!FN$3:FN$500)+IF($C25="",0,SUMIF('DADOS BRUTOS'!$A$3:$A$500,$C25,'DADOS BRUTOS'!FN$3:FN$500)))</f>
        <v/>
      </c>
      <c r="IO25" s="123">
        <f>IF(OR(IO$4="",$B25=""),0,SUMIF('DADOS BRUTOS'!$A$3:$A$500,$B25,'DADOS BRUTOS'!FO$3:FO$500)+IF($C25="",0,SUMIF('DADOS BRUTOS'!$A$3:$A$500,$C25,'DADOS BRUTOS'!FO$3:FO$500)))</f>
        <v/>
      </c>
      <c r="IP25" s="123">
        <f>IF(OR(IP$4="",$B25=""),0,SUMIF('DADOS BRUTOS'!$A$3:$A$500,$B25,'DADOS BRUTOS'!FP$3:FP$500)+IF($C25="",0,SUMIF('DADOS BRUTOS'!$A$3:$A$500,$C25,'DADOS BRUTOS'!FP$3:FP$500)))</f>
        <v/>
      </c>
      <c r="IQ25" s="123">
        <f>IF(OR(IQ$4="",$B25=""),0,SUMIF('DADOS BRUTOS'!$A$3:$A$500,$B25,'DADOS BRUTOS'!FQ$3:FQ$500)+IF($C25="",0,SUMIF('DADOS BRUTOS'!$A$3:$A$500,$C25,'DADOS BRUTOS'!FQ$3:FQ$500)))</f>
        <v/>
      </c>
      <c r="IR25" s="123">
        <f>IF(OR(IR$4="",$B25=""),0,SUMIF('DADOS BRUTOS'!$A$3:$A$500,$B25,'DADOS BRUTOS'!FR$3:FR$500)+IF($C25="",0,SUMIF('DADOS BRUTOS'!$A$3:$A$500,$C25,'DADOS BRUTOS'!FR$3:FR$500)))</f>
        <v/>
      </c>
      <c r="IS25" s="123">
        <f>IF(OR(IS$4="",$B25=""),0,SUMIF('DADOS BRUTOS'!$A$3:$A$500,$B25,'DADOS BRUTOS'!FS$3:FS$500)+IF($C25="",0,SUMIF('DADOS BRUTOS'!$A$3:$A$500,$C25,'DADOS BRUTOS'!FS$3:FS$500)))</f>
        <v/>
      </c>
      <c r="IT25" s="123">
        <f>IF(OR(IT$4="",$B25=""),0,SUMIF('DADOS BRUTOS'!$A$3:$A$500,$B25,'DADOS BRUTOS'!FT$3:FT$500)+IF($C25="",0,SUMIF('DADOS BRUTOS'!$A$3:$A$500,$C25,'DADOS BRUTOS'!FT$3:FT$500)))</f>
        <v/>
      </c>
      <c r="IU25" s="123">
        <f>IF(OR(IU$4="",$B25=""),0,SUMIF('DADOS BRUTOS'!$A$3:$A$500,$B25,'DADOS BRUTOS'!FU$3:FU$500)+IF($C25="",0,SUMIF('DADOS BRUTOS'!$A$3:$A$500,$C25,'DADOS BRUTOS'!FU$3:FU$500)))</f>
        <v/>
      </c>
      <c r="IV25" s="123">
        <f>IF(OR(IV$4="",$B25=""),0,SUMIF('DADOS BRUTOS'!$A$3:$A$500,$B25,'DADOS BRUTOS'!FV$3:FV$500)+IF($C25="",0,SUMIF('DADOS BRUTOS'!$A$3:$A$500,$C25,'DADOS BRUTOS'!FV$3:FV$500)))</f>
        <v/>
      </c>
      <c r="IW25" s="123">
        <f>IF(OR(IW$4="",$B25=""),0,SUMIF('DADOS BRUTOS'!$A$3:$A$500,$B25,'DADOS BRUTOS'!FW$3:FW$500)+IF($C25="",0,SUMIF('DADOS BRUTOS'!$A$3:$A$500,$C25,'DADOS BRUTOS'!FW$3:FW$500)))</f>
        <v/>
      </c>
      <c r="IX25" s="123">
        <f>IF(OR(IX$4="",$B25=""),0,SUMIF('DADOS BRUTOS'!$A$3:$A$500,$B25,'DADOS BRUTOS'!FX$3:FX$500)+IF($C25="",0,SUMIF('DADOS BRUTOS'!$A$3:$A$500,$C25,'DADOS BRUTOS'!FX$3:FX$500)))</f>
        <v/>
      </c>
      <c r="IY25" s="123">
        <f>IF(OR(IY$4="",$B25=""),0,SUMIF('DADOS BRUTOS'!$A$3:$A$500,$B25,'DADOS BRUTOS'!FY$3:FY$500)+IF($C25="",0,SUMIF('DADOS BRUTOS'!$A$3:$A$500,$C25,'DADOS BRUTOS'!FY$3:FY$500)))</f>
        <v/>
      </c>
      <c r="IZ25" s="123">
        <f>IF(OR(IZ$4="",$B25=""),0,SUMIF('DADOS BRUTOS'!$A$3:$A$500,$B25,'DADOS BRUTOS'!FZ$3:FZ$500)+IF($C25="",0,SUMIF('DADOS BRUTOS'!$A$3:$A$500,$C25,'DADOS BRUTOS'!FZ$3:FZ$500)))</f>
        <v/>
      </c>
      <c r="JA25" s="123">
        <f>IF(OR(JA$4="",$B25=""),0,SUMIF('DADOS BRUTOS'!$A$3:$A$500,$B25,'DADOS BRUTOS'!GA$3:GA$500)+IF($C25="",0,SUMIF('DADOS BRUTOS'!$A$3:$A$500,$C25,'DADOS BRUTOS'!GA$3:GA$500)))</f>
        <v/>
      </c>
      <c r="JB25" s="123">
        <f>IF(OR(JB$4="",$B25=""),0,SUMIF('DADOS BRUTOS'!$A$3:$A$500,$B25,'DADOS BRUTOS'!GB$3:GB$500)+IF($C25="",0,SUMIF('DADOS BRUTOS'!$A$3:$A$500,$C25,'DADOS BRUTOS'!GB$3:GB$500)))</f>
        <v/>
      </c>
      <c r="JC25" s="123">
        <f>IF(OR(JC$4="",$B25=""),0,SUMIF('DADOS BRUTOS'!$A$3:$A$500,$B25,'DADOS BRUTOS'!GC$3:GC$500)+IF($C25="",0,SUMIF('DADOS BRUTOS'!$A$3:$A$500,$C25,'DADOS BRUTOS'!GC$3:GC$500)))</f>
        <v/>
      </c>
      <c r="JD25" s="123">
        <f>IF(OR(JD$4="",$B25=""),0,SUMIF('DADOS BRUTOS'!$A$3:$A$500,$B25,'DADOS BRUTOS'!GD$3:GD$500)+IF($C25="",0,SUMIF('DADOS BRUTOS'!$A$3:$A$500,$C25,'DADOS BRUTOS'!GD$3:GD$500)))</f>
        <v/>
      </c>
      <c r="JE25" s="123">
        <f>IF(OR(JE$4="",$B25=""),0,SUMIF('DADOS BRUTOS'!$A$3:$A$500,$B25,'DADOS BRUTOS'!GE$3:GE$500)+IF($C25="",0,SUMIF('DADOS BRUTOS'!$A$3:$A$500,$C25,'DADOS BRUTOS'!GE$3:GE$500)))</f>
        <v/>
      </c>
      <c r="JF25" s="123">
        <f>IF(OR(JF$4="",$B25=""),0,SUMIF('DADOS BRUTOS'!$A$3:$A$500,$B25,'DADOS BRUTOS'!GF$3:GF$500)+IF($C25="",0,SUMIF('DADOS BRUTOS'!$A$3:$A$500,$C25,'DADOS BRUTOS'!GF$3:GF$500)))</f>
        <v/>
      </c>
      <c r="JG25" s="123">
        <f>IF(OR(JG$4="",$B25=""),0,SUMIF('DADOS BRUTOS'!$A$3:$A$500,$B25,'DADOS BRUTOS'!GG$3:GG$500)+IF($C25="",0,SUMIF('DADOS BRUTOS'!$A$3:$A$500,$C25,'DADOS BRUTOS'!GG$3:GG$500)))</f>
        <v/>
      </c>
      <c r="JH25" s="123">
        <f>IF(OR(JH$4="",$B25=""),0,SUMIF('DADOS BRUTOS'!$A$3:$A$500,$B25,'DADOS BRUTOS'!GH$3:GH$500)+IF($C25="",0,SUMIF('DADOS BRUTOS'!$A$3:$A$500,$C25,'DADOS BRUTOS'!GH$3:GH$500)))</f>
        <v/>
      </c>
      <c r="JI25" s="123">
        <f>IF(OR(JI$4="",$B25=""),0,SUMIF('DADOS BRUTOS'!$A$3:$A$500,$B25,'DADOS BRUTOS'!GI$3:GI$500)+IF($C25="",0,SUMIF('DADOS BRUTOS'!$A$3:$A$500,$C25,'DADOS BRUTOS'!GI$3:GI$500)))</f>
        <v/>
      </c>
      <c r="JJ25" s="123">
        <f>IF(OR(JJ$4="",$B25=""),0,SUMIF('DADOS BRUTOS'!$A$3:$A$500,$B25,'DADOS BRUTOS'!GJ$3:GJ$500)+IF($C25="",0,SUMIF('DADOS BRUTOS'!$A$3:$A$500,$C25,'DADOS BRUTOS'!GJ$3:GJ$500)))</f>
        <v/>
      </c>
      <c r="JK25" s="123">
        <f>IF(OR(JK$4="",$B25=""),0,SUMIF('DADOS BRUTOS'!$A$3:$A$500,$B25,'DADOS BRUTOS'!GK$3:GK$500)+IF($C25="",0,SUMIF('DADOS BRUTOS'!$A$3:$A$500,$C25,'DADOS BRUTOS'!GK$3:GK$500)))</f>
        <v/>
      </c>
      <c r="JL25" s="123">
        <f>IF(OR(JL$4="",$B25=""),0,SUMIF('DADOS BRUTOS'!$A$3:$A$500,$B25,'DADOS BRUTOS'!GL$3:GL$500)+IF($C25="",0,SUMIF('DADOS BRUTOS'!$A$3:$A$500,$C25,'DADOS BRUTOS'!GL$3:GL$500)))</f>
        <v/>
      </c>
      <c r="JM25" s="123">
        <f>IF(OR(JM$4="",$B25=""),0,SUMIF('DADOS BRUTOS'!$A$3:$A$500,$B25,'DADOS BRUTOS'!GM$3:GM$500)+IF($C25="",0,SUMIF('DADOS BRUTOS'!$A$3:$A$500,$C25,'DADOS BRUTOS'!GM$3:GM$500)))</f>
        <v/>
      </c>
      <c r="JN25" s="123">
        <f>IF(OR(JN$4="",$B25=""),0,SUMIF('DADOS BRUTOS'!$A$3:$A$500,$B25,'DADOS BRUTOS'!GN$3:GN$500)+IF($C25="",0,SUMIF('DADOS BRUTOS'!$A$3:$A$500,$C25,'DADOS BRUTOS'!GN$3:GN$500)))</f>
        <v/>
      </c>
      <c r="JO25" s="123">
        <f>IF(OR(JO$4="",$B25=""),0,SUMIF('DADOS BRUTOS'!$A$3:$A$500,$B25,'DADOS BRUTOS'!GO$3:GO$500)+IF($C25="",0,SUMIF('DADOS BRUTOS'!$A$3:$A$500,$C25,'DADOS BRUTOS'!GO$3:GO$500)))</f>
        <v/>
      </c>
      <c r="JP25" s="123">
        <f>IF(OR(JP$4="",$B25=""),0,SUMIF('DADOS BRUTOS'!$A$3:$A$500,$B25,'DADOS BRUTOS'!GP$3:GP$500)+IF($C25="",0,SUMIF('DADOS BRUTOS'!$A$3:$A$500,$C25,'DADOS BRUTOS'!GP$3:GP$500)))</f>
        <v/>
      </c>
      <c r="JQ25" s="123">
        <f>IF(OR(JQ$4="",$B25=""),0,SUMIF('DADOS BRUTOS'!$A$3:$A$500,$B25,'DADOS BRUTOS'!GQ$3:GQ$500)+IF($C25="",0,SUMIF('DADOS BRUTOS'!$A$3:$A$500,$C25,'DADOS BRUTOS'!GQ$3:GQ$500)))</f>
        <v/>
      </c>
      <c r="JR25" s="123">
        <f>IF(OR(JR$4="",$B25=""),0,SUMIF('DADOS BRUTOS'!$A$3:$A$500,$B25,'DADOS BRUTOS'!GR$3:GR$500)+IF($C25="",0,SUMIF('DADOS BRUTOS'!$A$3:$A$500,$C25,'DADOS BRUTOS'!GR$3:GR$500)))</f>
        <v/>
      </c>
      <c r="JS25" s="123">
        <f>IF(OR(JS$4="",$B25=""),0,SUMIF('DADOS BRUTOS'!$A$3:$A$500,$B25,'DADOS BRUTOS'!GS$3:GS$500)+IF($C25="",0,SUMIF('DADOS BRUTOS'!$A$3:$A$500,$C25,'DADOS BRUTOS'!GS$3:GS$500)))</f>
        <v/>
      </c>
    </row>
    <row r="26">
      <c r="A26" s="61">
        <f>'VALOR POR PL'!D32</f>
        <v/>
      </c>
      <c r="B26" s="60" t="inlineStr">
        <is>
          <t>INSTALAÇÕES COMBATE INCÊNDIO</t>
        </is>
      </c>
      <c r="C26" s="60" t="n"/>
      <c r="D26" s="55">
        <f>SUMIF($CB$4:$JS$4,"&lt;="&amp;D$4,$CB26:$JS26)</f>
        <v/>
      </c>
      <c r="E26" s="55">
        <f>SUMIF($CB$4:$JS$4,E$4,$CB26:$JS26)</f>
        <v/>
      </c>
      <c r="F26" s="55">
        <f>SUMIF($CB$4:$JS$4,F$4,$CB26:$JS26)</f>
        <v/>
      </c>
      <c r="G26" s="55">
        <f>SUMIF($CB$4:$JS$4,G$4,$CB26:$JS26)</f>
        <v/>
      </c>
      <c r="H26" s="55">
        <f>SUMIF($CB$4:$JS$4,H$4,$CB26:$JS26)</f>
        <v/>
      </c>
      <c r="I26" s="55">
        <f>SUMIF($CB$4:$JS$4,I$4,$CB26:$JS26)</f>
        <v/>
      </c>
      <c r="J26" s="55">
        <f>SUMIF($CB$4:$JS$4,J$4,$CB26:$JS26)</f>
        <v/>
      </c>
      <c r="K26" s="55">
        <f>SUMIF($CB$4:$JS$4,K$4,$CB26:$JS26)</f>
        <v/>
      </c>
      <c r="L26" s="55">
        <f>SUMIF($CB$4:$JS$4,L$4,$CB26:$JS26)</f>
        <v/>
      </c>
      <c r="M26" s="55">
        <f>SUMIF($CB$4:$JS$4,M$4,$CB26:$JS26)</f>
        <v/>
      </c>
      <c r="N26" s="55">
        <f>SUMIF($CB$4:$JS$4,N$4,$CB26:$JS26)</f>
        <v/>
      </c>
      <c r="O26" s="55">
        <f>SUMIF($CB$4:$JS$4,O$4,$CB26:$JS26)</f>
        <v/>
      </c>
      <c r="P26" s="55">
        <f>SUMIF($CB$4:$JS$4,P$4,$CB26:$JS26)</f>
        <v/>
      </c>
      <c r="Q26" s="55">
        <f>SUMIF($CB$4:$JS$4,Q$4,$CB26:$JS26)</f>
        <v/>
      </c>
      <c r="R26" s="55">
        <f>SUMIF($CB$4:$JS$4,R$4,$CB26:$JS26)</f>
        <v/>
      </c>
      <c r="S26" s="55">
        <f>SUMIF($CB$4:$JS$4,S$4,$CB26:$JS26)</f>
        <v/>
      </c>
      <c r="T26" s="55">
        <f>SUMIF($CB$4:$JS$4,T$4,$CB26:$JS26)</f>
        <v/>
      </c>
      <c r="U26" s="55">
        <f>SUMIF($CB$4:$JS$4,U$4,$CB26:$JS26)</f>
        <v/>
      </c>
      <c r="V26" s="55">
        <f>SUMIF($CB$4:$JS$4,V$4,$CB26:$JS26)</f>
        <v/>
      </c>
      <c r="W26" s="55">
        <f>SUMIF($CB$4:$JS$4,W$4,$CB26:$JS26)</f>
        <v/>
      </c>
      <c r="X26" s="55">
        <f>SUMIF($CB$4:$JS$4,X$4,$CB26:$JS26)</f>
        <v/>
      </c>
      <c r="Y26" s="55">
        <f>SUMIF($CB$4:$JS$4,Y$4,$CB26:$JS26)</f>
        <v/>
      </c>
      <c r="Z26" s="55">
        <f>SUMIF($CB$4:$JS$4,Z$4,$CB26:$JS26)</f>
        <v/>
      </c>
      <c r="AA26" s="55">
        <f>SUMIF($CB$4:$JS$4,AA$4,$CB26:$JS26)</f>
        <v/>
      </c>
      <c r="AB26" s="55">
        <f>SUMIF($CB$4:$JS$4,AB$4,$CB26:$JS26)</f>
        <v/>
      </c>
      <c r="AC26" s="55">
        <f>SUMIF($CB$4:$JS$4,AC$4,$CB26:$JS26)</f>
        <v/>
      </c>
      <c r="AD26" s="55">
        <f>SUMIF($CB$4:$JS$4,AD$4,$CB26:$JS26)</f>
        <v/>
      </c>
      <c r="AE26" s="55">
        <f>SUMIF($CB$4:$JS$4,AE$4,$CB26:$JS26)</f>
        <v/>
      </c>
      <c r="AF26" s="55">
        <f>SUMIF($CB$4:$JS$4,AF$4,$CB26:$JS26)</f>
        <v/>
      </c>
      <c r="AG26" s="55">
        <f>SUMIF($CB$4:$JS$4,AG$4,$CB26:$JS26)</f>
        <v/>
      </c>
      <c r="AH26" s="55">
        <f>SUMIF($CB$4:$JS$4,AH$4,$CB26:$JS26)</f>
        <v/>
      </c>
      <c r="AI26" s="55">
        <f>SUMIF($CB$4:$JS$4,AI$4,$CB26:$JS26)</f>
        <v/>
      </c>
      <c r="AJ26" s="55">
        <f>SUMIF($CB$4:$JS$4,AJ$4,$CB26:$JS26)</f>
        <v/>
      </c>
      <c r="AK26" s="55">
        <f>SUMIF($CB$4:$JS$4,AK$4,$CB26:$JS26)</f>
        <v/>
      </c>
      <c r="AL26" s="55">
        <f>SUMIF($CB$4:$JS$4,AL$4,$CB26:$JS26)</f>
        <v/>
      </c>
      <c r="AM26" s="55">
        <f>SUMIF($CB$4:$JS$4,AM$4,$CB26:$JS26)</f>
        <v/>
      </c>
      <c r="AN26" s="55">
        <f>SUMIF($CB$4:$JS$4,AN$4,$CB26:$JS26)</f>
        <v/>
      </c>
      <c r="AO26" s="55">
        <f>SUMIF($CB$4:$JS$4,AO$4,$CB26:$JS26)</f>
        <v/>
      </c>
      <c r="AP26" s="55">
        <f>SUMIF($CB$4:$JS$4,AP$4,$CB26:$JS26)</f>
        <v/>
      </c>
      <c r="AQ26" s="55">
        <f>SUMIF($CB$4:$JS$4,AQ$4,$CB26:$JS26)</f>
        <v/>
      </c>
      <c r="AR26" s="55">
        <f>SUMIF($CB$4:$JS$4,AR$4,$CB26:$JS26)</f>
        <v/>
      </c>
      <c r="AS26" s="55">
        <f>SUMIF($CB$4:$JS$4,AS$4,$CB26:$JS26)</f>
        <v/>
      </c>
      <c r="AT26" s="55">
        <f>SUMIF($CB$4:$JS$4,AT$4,$CB26:$JS26)</f>
        <v/>
      </c>
      <c r="AU26" s="55">
        <f>SUMIF($CB$4:$JS$4,AU$4,$CB26:$JS26)</f>
        <v/>
      </c>
      <c r="AV26" s="55">
        <f>SUMIF($CB$4:$JS$4,AV$4,$CB26:$JS26)</f>
        <v/>
      </c>
      <c r="AW26" s="55">
        <f>SUMIF($CB$4:$JS$4,AW$4,$CB26:$JS26)</f>
        <v/>
      </c>
      <c r="AX26" s="55">
        <f>SUMIF($CB$4:$JS$4,AX$4,$CB26:$JS26)</f>
        <v/>
      </c>
      <c r="AY26" s="55">
        <f>SUMIF($CB$4:$JS$4,AY$4,$CB26:$JS26)</f>
        <v/>
      </c>
      <c r="AZ26" s="55">
        <f>SUMIF($CB$4:$JS$4,AZ$4,$CB26:$JS26)</f>
        <v/>
      </c>
      <c r="BA26" s="55">
        <f>SUMIF($CB$4:$JS$4,BA$4,$CB26:$JS26)</f>
        <v/>
      </c>
      <c r="BB26" s="55">
        <f>SUMIF($CB$4:$JS$4,BB$4,$CB26:$JS26)</f>
        <v/>
      </c>
      <c r="BC26" s="55">
        <f>SUMIF($CB$4:$JS$4,BC$4,$CB26:$JS26)</f>
        <v/>
      </c>
      <c r="BD26" s="55">
        <f>SUMIF($CB$4:$JS$4,BD$4,$CB26:$JS26)</f>
        <v/>
      </c>
      <c r="BE26" s="55">
        <f>SUMIF($CB$4:$JS$4,BE$4,$CB26:$JS26)</f>
        <v/>
      </c>
      <c r="BF26" s="55">
        <f>SUMIF($CB$4:$JS$4,BF$4,$CB26:$JS26)</f>
        <v/>
      </c>
      <c r="BG26" s="55">
        <f>SUMIF($CB$4:$JS$4,BG$4,$CB26:$JS26)</f>
        <v/>
      </c>
      <c r="BH26" s="55">
        <f>SUMIF($CB$4:$JS$4,BH$4,$CB26:$JS26)</f>
        <v/>
      </c>
      <c r="BI26" s="55">
        <f>SUMIF($CB$4:$JS$4,BI$4,$CB26:$JS26)</f>
        <v/>
      </c>
      <c r="BJ26" s="55">
        <f>SUMIF($CB$4:$JS$4,BJ$4,$CB26:$JS26)</f>
        <v/>
      </c>
      <c r="BK26" s="55">
        <f>SUMIF($CB$4:$JS$4,BK$4,$CB26:$JS26)</f>
        <v/>
      </c>
      <c r="BL26" s="55">
        <f>SUMIF($CB$4:$JS$4,BL$4,$CB26:$JS26)</f>
        <v/>
      </c>
      <c r="BM26" s="55">
        <f>SUMIF($CB$4:$JS$4,BM$4,$CB26:$JS26)</f>
        <v/>
      </c>
      <c r="BN26" s="55">
        <f>SUMIF($CB$4:$JS$4,BN$4,$CB26:$JS26)</f>
        <v/>
      </c>
      <c r="BO26" s="55">
        <f>SUMIF($CB$4:$JS$4,BO$4,$CB26:$JS26)</f>
        <v/>
      </c>
      <c r="BP26" s="55">
        <f>SUMIF($CB$4:$JS$4,BP$4,$CB26:$JS26)</f>
        <v/>
      </c>
      <c r="BQ26" s="55">
        <f>SUMIF($CB$4:$JS$4,BQ$4,$CB26:$JS26)</f>
        <v/>
      </c>
      <c r="BR26" s="55">
        <f>SUMIF($CB$4:$JS$4,BR$4,$CB26:$JS26)</f>
        <v/>
      </c>
      <c r="BS26" s="55">
        <f>SUMIF($CB$4:$JS$4,BS$4,$CB26:$JS26)</f>
        <v/>
      </c>
      <c r="BT26" s="55">
        <f>SUMIF($CB$4:$JS$4,BT$4,$CB26:$JS26)</f>
        <v/>
      </c>
      <c r="BU26" s="55">
        <f>SUMIF($CB$4:$JS$4,BU$4,$CB26:$JS26)</f>
        <v/>
      </c>
      <c r="BV26" s="55">
        <f>SUMIF($CB$4:$JS$4,BV$4,$CB26:$JS26)</f>
        <v/>
      </c>
      <c r="BW26" s="55">
        <f>SUMIF($CB$4:$JS$4,BW$4,$CB26:$JS26)</f>
        <v/>
      </c>
      <c r="BX26" s="55">
        <f>SUMIF($CB$4:$JS$4,"&gt;"&amp;'VALOR POR PL'!$P$8,$CB26:$JS26)</f>
        <v/>
      </c>
      <c r="BY26" s="55">
        <f>SUM($CB26:$JS26)</f>
        <v/>
      </c>
      <c r="CB26" s="123">
        <f>IF(OR(CB$4="",$B26=""),0,SUMIF('DADOS BRUTOS'!$A$3:$A$500,$B26,'DADOS BRUTOS'!B$3:B$500)+IF($C26="",0,SUMIF('DADOS BRUTOS'!$A$3:$A$500,$C26,'DADOS BRUTOS'!B$3:B$500)))</f>
        <v/>
      </c>
      <c r="CC26" s="123">
        <f>IF(OR(CC$4="",$B26=""),0,SUMIF('DADOS BRUTOS'!$A$3:$A$500,$B26,'DADOS BRUTOS'!C$3:C$500)+IF($C26="",0,SUMIF('DADOS BRUTOS'!$A$3:$A$500,$C26,'DADOS BRUTOS'!C$3:C$500)))</f>
        <v/>
      </c>
      <c r="CD26" s="123">
        <f>IF(OR(CD$4="",$B26=""),0,SUMIF('DADOS BRUTOS'!$A$3:$A$500,$B26,'DADOS BRUTOS'!D$3:D$500)+IF($C26="",0,SUMIF('DADOS BRUTOS'!$A$3:$A$500,$C26,'DADOS BRUTOS'!D$3:D$500)))</f>
        <v/>
      </c>
      <c r="CE26" s="123">
        <f>IF(OR(CE$4="",$B26=""),0,SUMIF('DADOS BRUTOS'!$A$3:$A$500,$B26,'DADOS BRUTOS'!E$3:E$500)+IF($C26="",0,SUMIF('DADOS BRUTOS'!$A$3:$A$500,$C26,'DADOS BRUTOS'!E$3:E$500)))</f>
        <v/>
      </c>
      <c r="CF26" s="123">
        <f>IF(OR(CF$4="",$B26=""),0,SUMIF('DADOS BRUTOS'!$A$3:$A$500,$B26,'DADOS BRUTOS'!F$3:F$500)+IF($C26="",0,SUMIF('DADOS BRUTOS'!$A$3:$A$500,$C26,'DADOS BRUTOS'!F$3:F$500)))</f>
        <v/>
      </c>
      <c r="CG26" s="123">
        <f>IF(OR(CG$4="",$B26=""),0,SUMIF('DADOS BRUTOS'!$A$3:$A$500,$B26,'DADOS BRUTOS'!G$3:G$500)+IF($C26="",0,SUMIF('DADOS BRUTOS'!$A$3:$A$500,$C26,'DADOS BRUTOS'!G$3:G$500)))</f>
        <v/>
      </c>
      <c r="CH26" s="123">
        <f>IF(OR(CH$4="",$B26=""),0,SUMIF('DADOS BRUTOS'!$A$3:$A$500,$B26,'DADOS BRUTOS'!H$3:H$500)+IF($C26="",0,SUMIF('DADOS BRUTOS'!$A$3:$A$500,$C26,'DADOS BRUTOS'!H$3:H$500)))</f>
        <v/>
      </c>
      <c r="CI26" s="123">
        <f>IF(OR(CI$4="",$B26=""),0,SUMIF('DADOS BRUTOS'!$A$3:$A$500,$B26,'DADOS BRUTOS'!I$3:I$500)+IF($C26="",0,SUMIF('DADOS BRUTOS'!$A$3:$A$500,$C26,'DADOS BRUTOS'!I$3:I$500)))</f>
        <v/>
      </c>
      <c r="CJ26" s="123">
        <f>IF(OR(CJ$4="",$B26=""),0,SUMIF('DADOS BRUTOS'!$A$3:$A$500,$B26,'DADOS BRUTOS'!J$3:J$500)+IF($C26="",0,SUMIF('DADOS BRUTOS'!$A$3:$A$500,$C26,'DADOS BRUTOS'!J$3:J$500)))</f>
        <v/>
      </c>
      <c r="CK26" s="123">
        <f>IF(OR(CK$4="",$B26=""),0,SUMIF('DADOS BRUTOS'!$A$3:$A$500,$B26,'DADOS BRUTOS'!K$3:K$500)+IF($C26="",0,SUMIF('DADOS BRUTOS'!$A$3:$A$500,$C26,'DADOS BRUTOS'!K$3:K$500)))</f>
        <v/>
      </c>
      <c r="CL26" s="123">
        <f>IF(OR(CL$4="",$B26=""),0,SUMIF('DADOS BRUTOS'!$A$3:$A$500,$B26,'DADOS BRUTOS'!L$3:L$500)+IF($C26="",0,SUMIF('DADOS BRUTOS'!$A$3:$A$500,$C26,'DADOS BRUTOS'!L$3:L$500)))</f>
        <v/>
      </c>
      <c r="CM26" s="123">
        <f>IF(OR(CM$4="",$B26=""),0,SUMIF('DADOS BRUTOS'!$A$3:$A$500,$B26,'DADOS BRUTOS'!M$3:M$500)+IF($C26="",0,SUMIF('DADOS BRUTOS'!$A$3:$A$500,$C26,'DADOS BRUTOS'!M$3:M$500)))</f>
        <v/>
      </c>
      <c r="CN26" s="123">
        <f>IF(OR(CN$4="",$B26=""),0,SUMIF('DADOS BRUTOS'!$A$3:$A$500,$B26,'DADOS BRUTOS'!N$3:N$500)+IF($C26="",0,SUMIF('DADOS BRUTOS'!$A$3:$A$500,$C26,'DADOS BRUTOS'!N$3:N$500)))</f>
        <v/>
      </c>
      <c r="CO26" s="123">
        <f>IF(OR(CO$4="",$B26=""),0,SUMIF('DADOS BRUTOS'!$A$3:$A$500,$B26,'DADOS BRUTOS'!O$3:O$500)+IF($C26="",0,SUMIF('DADOS BRUTOS'!$A$3:$A$500,$C26,'DADOS BRUTOS'!O$3:O$500)))</f>
        <v/>
      </c>
      <c r="CP26" s="123">
        <f>IF(OR(CP$4="",$B26=""),0,SUMIF('DADOS BRUTOS'!$A$3:$A$500,$B26,'DADOS BRUTOS'!P$3:P$500)+IF($C26="",0,SUMIF('DADOS BRUTOS'!$A$3:$A$500,$C26,'DADOS BRUTOS'!P$3:P$500)))</f>
        <v/>
      </c>
      <c r="CQ26" s="123">
        <f>IF(OR(CQ$4="",$B26=""),0,SUMIF('DADOS BRUTOS'!$A$3:$A$500,$B26,'DADOS BRUTOS'!Q$3:Q$500)+IF($C26="",0,SUMIF('DADOS BRUTOS'!$A$3:$A$500,$C26,'DADOS BRUTOS'!Q$3:Q$500)))</f>
        <v/>
      </c>
      <c r="CR26" s="123">
        <f>IF(OR(CR$4="",$B26=""),0,SUMIF('DADOS BRUTOS'!$A$3:$A$500,$B26,'DADOS BRUTOS'!R$3:R$500)+IF($C26="",0,SUMIF('DADOS BRUTOS'!$A$3:$A$500,$C26,'DADOS BRUTOS'!R$3:R$500)))</f>
        <v/>
      </c>
      <c r="CS26" s="123">
        <f>IF(OR(CS$4="",$B26=""),0,SUMIF('DADOS BRUTOS'!$A$3:$A$500,$B26,'DADOS BRUTOS'!S$3:S$500)+IF($C26="",0,SUMIF('DADOS BRUTOS'!$A$3:$A$500,$C26,'DADOS BRUTOS'!S$3:S$500)))</f>
        <v/>
      </c>
      <c r="CT26" s="123">
        <f>IF(OR(CT$4="",$B26=""),0,SUMIF('DADOS BRUTOS'!$A$3:$A$500,$B26,'DADOS BRUTOS'!T$3:T$500)+IF($C26="",0,SUMIF('DADOS BRUTOS'!$A$3:$A$500,$C26,'DADOS BRUTOS'!T$3:T$500)))</f>
        <v/>
      </c>
      <c r="CU26" s="123">
        <f>IF(OR(CU$4="",$B26=""),0,SUMIF('DADOS BRUTOS'!$A$3:$A$500,$B26,'DADOS BRUTOS'!U$3:U$500)+IF($C26="",0,SUMIF('DADOS BRUTOS'!$A$3:$A$500,$C26,'DADOS BRUTOS'!U$3:U$500)))</f>
        <v/>
      </c>
      <c r="CV26" s="123">
        <f>IF(OR(CV$4="",$B26=""),0,SUMIF('DADOS BRUTOS'!$A$3:$A$500,$B26,'DADOS BRUTOS'!V$3:V$500)+IF($C26="",0,SUMIF('DADOS BRUTOS'!$A$3:$A$500,$C26,'DADOS BRUTOS'!V$3:V$500)))</f>
        <v/>
      </c>
      <c r="CW26" s="123">
        <f>IF(OR(CW$4="",$B26=""),0,SUMIF('DADOS BRUTOS'!$A$3:$A$500,$B26,'DADOS BRUTOS'!W$3:W$500)+IF($C26="",0,SUMIF('DADOS BRUTOS'!$A$3:$A$500,$C26,'DADOS BRUTOS'!W$3:W$500)))</f>
        <v/>
      </c>
      <c r="CX26" s="123">
        <f>IF(OR(CX$4="",$B26=""),0,SUMIF('DADOS BRUTOS'!$A$3:$A$500,$B26,'DADOS BRUTOS'!X$3:X$500)+IF($C26="",0,SUMIF('DADOS BRUTOS'!$A$3:$A$500,$C26,'DADOS BRUTOS'!X$3:X$500)))</f>
        <v/>
      </c>
      <c r="CY26" s="123">
        <f>IF(OR(CY$4="",$B26=""),0,SUMIF('DADOS BRUTOS'!$A$3:$A$500,$B26,'DADOS BRUTOS'!Y$3:Y$500)+IF($C26="",0,SUMIF('DADOS BRUTOS'!$A$3:$A$500,$C26,'DADOS BRUTOS'!Y$3:Y$500)))</f>
        <v/>
      </c>
      <c r="CZ26" s="123">
        <f>IF(OR(CZ$4="",$B26=""),0,SUMIF('DADOS BRUTOS'!$A$3:$A$500,$B26,'DADOS BRUTOS'!Z$3:Z$500)+IF($C26="",0,SUMIF('DADOS BRUTOS'!$A$3:$A$500,$C26,'DADOS BRUTOS'!Z$3:Z$500)))</f>
        <v/>
      </c>
      <c r="DA26" s="123">
        <f>IF(OR(DA$4="",$B26=""),0,SUMIF('DADOS BRUTOS'!$A$3:$A$500,$B26,'DADOS BRUTOS'!AA$3:AA$500)+IF($C26="",0,SUMIF('DADOS BRUTOS'!$A$3:$A$500,$C26,'DADOS BRUTOS'!AA$3:AA$500)))</f>
        <v/>
      </c>
      <c r="DB26" s="123">
        <f>IF(OR(DB$4="",$B26=""),0,SUMIF('DADOS BRUTOS'!$A$3:$A$500,$B26,'DADOS BRUTOS'!AB$3:AB$500)+IF($C26="",0,SUMIF('DADOS BRUTOS'!$A$3:$A$500,$C26,'DADOS BRUTOS'!AB$3:AB$500)))</f>
        <v/>
      </c>
      <c r="DC26" s="123">
        <f>IF(OR(DC$4="",$B26=""),0,SUMIF('DADOS BRUTOS'!$A$3:$A$500,$B26,'DADOS BRUTOS'!AC$3:AC$500)+IF($C26="",0,SUMIF('DADOS BRUTOS'!$A$3:$A$500,$C26,'DADOS BRUTOS'!AC$3:AC$500)))</f>
        <v/>
      </c>
      <c r="DD26" s="123">
        <f>IF(OR(DD$4="",$B26=""),0,SUMIF('DADOS BRUTOS'!$A$3:$A$500,$B26,'DADOS BRUTOS'!AD$3:AD$500)+IF($C26="",0,SUMIF('DADOS BRUTOS'!$A$3:$A$500,$C26,'DADOS BRUTOS'!AD$3:AD$500)))</f>
        <v/>
      </c>
      <c r="DE26" s="123">
        <f>IF(OR(DE$4="",$B26=""),0,SUMIF('DADOS BRUTOS'!$A$3:$A$500,$B26,'DADOS BRUTOS'!AE$3:AE$500)+IF($C26="",0,SUMIF('DADOS BRUTOS'!$A$3:$A$500,$C26,'DADOS BRUTOS'!AE$3:AE$500)))</f>
        <v/>
      </c>
      <c r="DF26" s="123">
        <f>IF(OR(DF$4="",$B26=""),0,SUMIF('DADOS BRUTOS'!$A$3:$A$500,$B26,'DADOS BRUTOS'!AF$3:AF$500)+IF($C26="",0,SUMIF('DADOS BRUTOS'!$A$3:$A$500,$C26,'DADOS BRUTOS'!AF$3:AF$500)))</f>
        <v/>
      </c>
      <c r="DG26" s="123">
        <f>IF(OR(DG$4="",$B26=""),0,SUMIF('DADOS BRUTOS'!$A$3:$A$500,$B26,'DADOS BRUTOS'!AG$3:AG$500)+IF($C26="",0,SUMIF('DADOS BRUTOS'!$A$3:$A$500,$C26,'DADOS BRUTOS'!AG$3:AG$500)))</f>
        <v/>
      </c>
      <c r="DH26" s="123">
        <f>IF(OR(DH$4="",$B26=""),0,SUMIF('DADOS BRUTOS'!$A$3:$A$500,$B26,'DADOS BRUTOS'!AH$3:AH$500)+IF($C26="",0,SUMIF('DADOS BRUTOS'!$A$3:$A$500,$C26,'DADOS BRUTOS'!AH$3:AH$500)))</f>
        <v/>
      </c>
      <c r="DI26" s="123">
        <f>IF(OR(DI$4="",$B26=""),0,SUMIF('DADOS BRUTOS'!$A$3:$A$500,$B26,'DADOS BRUTOS'!AI$3:AI$500)+IF($C26="",0,SUMIF('DADOS BRUTOS'!$A$3:$A$500,$C26,'DADOS BRUTOS'!AI$3:AI$500)))</f>
        <v/>
      </c>
      <c r="DJ26" s="123">
        <f>IF(OR(DJ$4="",$B26=""),0,SUMIF('DADOS BRUTOS'!$A$3:$A$500,$B26,'DADOS BRUTOS'!AJ$3:AJ$500)+IF($C26="",0,SUMIF('DADOS BRUTOS'!$A$3:$A$500,$C26,'DADOS BRUTOS'!AJ$3:AJ$500)))</f>
        <v/>
      </c>
      <c r="DK26" s="123">
        <f>IF(OR(DK$4="",$B26=""),0,SUMIF('DADOS BRUTOS'!$A$3:$A$500,$B26,'DADOS BRUTOS'!AK$3:AK$500)+IF($C26="",0,SUMIF('DADOS BRUTOS'!$A$3:$A$500,$C26,'DADOS BRUTOS'!AK$3:AK$500)))</f>
        <v/>
      </c>
      <c r="DL26" s="123">
        <f>IF(OR(DL$4="",$B26=""),0,SUMIF('DADOS BRUTOS'!$A$3:$A$500,$B26,'DADOS BRUTOS'!AL$3:AL$500)+IF($C26="",0,SUMIF('DADOS BRUTOS'!$A$3:$A$500,$C26,'DADOS BRUTOS'!AL$3:AL$500)))</f>
        <v/>
      </c>
      <c r="DM26" s="123">
        <f>IF(OR(DM$4="",$B26=""),0,SUMIF('DADOS BRUTOS'!$A$3:$A$500,$B26,'DADOS BRUTOS'!AM$3:AM$500)+IF($C26="",0,SUMIF('DADOS BRUTOS'!$A$3:$A$500,$C26,'DADOS BRUTOS'!AM$3:AM$500)))</f>
        <v/>
      </c>
      <c r="DN26" s="123">
        <f>IF(OR(DN$4="",$B26=""),0,SUMIF('DADOS BRUTOS'!$A$3:$A$500,$B26,'DADOS BRUTOS'!AN$3:AN$500)+IF($C26="",0,SUMIF('DADOS BRUTOS'!$A$3:$A$500,$C26,'DADOS BRUTOS'!AN$3:AN$500)))</f>
        <v/>
      </c>
      <c r="DO26" s="123">
        <f>IF(OR(DO$4="",$B26=""),0,SUMIF('DADOS BRUTOS'!$A$3:$A$500,$B26,'DADOS BRUTOS'!AO$3:AO$500)+IF($C26="",0,SUMIF('DADOS BRUTOS'!$A$3:$A$500,$C26,'DADOS BRUTOS'!AO$3:AO$500)))</f>
        <v/>
      </c>
      <c r="DP26" s="123">
        <f>IF(OR(DP$4="",$B26=""),0,SUMIF('DADOS BRUTOS'!$A$3:$A$500,$B26,'DADOS BRUTOS'!AP$3:AP$500)+IF($C26="",0,SUMIF('DADOS BRUTOS'!$A$3:$A$500,$C26,'DADOS BRUTOS'!AP$3:AP$500)))</f>
        <v/>
      </c>
      <c r="DQ26" s="123">
        <f>IF(OR(DQ$4="",$B26=""),0,SUMIF('DADOS BRUTOS'!$A$3:$A$500,$B26,'DADOS BRUTOS'!AQ$3:AQ$500)+IF($C26="",0,SUMIF('DADOS BRUTOS'!$A$3:$A$500,$C26,'DADOS BRUTOS'!AQ$3:AQ$500)))</f>
        <v/>
      </c>
      <c r="DR26" s="123">
        <f>IF(OR(DR$4="",$B26=""),0,SUMIF('DADOS BRUTOS'!$A$3:$A$500,$B26,'DADOS BRUTOS'!AR$3:AR$500)+IF($C26="",0,SUMIF('DADOS BRUTOS'!$A$3:$A$500,$C26,'DADOS BRUTOS'!AR$3:AR$500)))</f>
        <v/>
      </c>
      <c r="DS26" s="123">
        <f>IF(OR(DS$4="",$B26=""),0,SUMIF('DADOS BRUTOS'!$A$3:$A$500,$B26,'DADOS BRUTOS'!AS$3:AS$500)+IF($C26="",0,SUMIF('DADOS BRUTOS'!$A$3:$A$500,$C26,'DADOS BRUTOS'!AS$3:AS$500)))</f>
        <v/>
      </c>
      <c r="DT26" s="123">
        <f>IF(OR(DT$4="",$B26=""),0,SUMIF('DADOS BRUTOS'!$A$3:$A$500,$B26,'DADOS BRUTOS'!AT$3:AT$500)+IF($C26="",0,SUMIF('DADOS BRUTOS'!$A$3:$A$500,$C26,'DADOS BRUTOS'!AT$3:AT$500)))</f>
        <v/>
      </c>
      <c r="DU26" s="123">
        <f>IF(OR(DU$4="",$B26=""),0,SUMIF('DADOS BRUTOS'!$A$3:$A$500,$B26,'DADOS BRUTOS'!AU$3:AU$500)+IF($C26="",0,SUMIF('DADOS BRUTOS'!$A$3:$A$500,$C26,'DADOS BRUTOS'!AU$3:AU$500)))</f>
        <v/>
      </c>
      <c r="DV26" s="123">
        <f>IF(OR(DV$4="",$B26=""),0,SUMIF('DADOS BRUTOS'!$A$3:$A$500,$B26,'DADOS BRUTOS'!AV$3:AV$500)+IF($C26="",0,SUMIF('DADOS BRUTOS'!$A$3:$A$500,$C26,'DADOS BRUTOS'!AV$3:AV$500)))</f>
        <v/>
      </c>
      <c r="DW26" s="123">
        <f>IF(OR(DW$4="",$B26=""),0,SUMIF('DADOS BRUTOS'!$A$3:$A$500,$B26,'DADOS BRUTOS'!AW$3:AW$500)+IF($C26="",0,SUMIF('DADOS BRUTOS'!$A$3:$A$500,$C26,'DADOS BRUTOS'!AW$3:AW$500)))</f>
        <v/>
      </c>
      <c r="DX26" s="123">
        <f>IF(OR(DX$4="",$B26=""),0,SUMIF('DADOS BRUTOS'!$A$3:$A$500,$B26,'DADOS BRUTOS'!AX$3:AX$500)+IF($C26="",0,SUMIF('DADOS BRUTOS'!$A$3:$A$500,$C26,'DADOS BRUTOS'!AX$3:AX$500)))</f>
        <v/>
      </c>
      <c r="DY26" s="123">
        <f>IF(OR(DY$4="",$B26=""),0,SUMIF('DADOS BRUTOS'!$A$3:$A$500,$B26,'DADOS BRUTOS'!AY$3:AY$500)+IF($C26="",0,SUMIF('DADOS BRUTOS'!$A$3:$A$500,$C26,'DADOS BRUTOS'!AY$3:AY$500)))</f>
        <v/>
      </c>
      <c r="DZ26" s="123">
        <f>IF(OR(DZ$4="",$B26=""),0,SUMIF('DADOS BRUTOS'!$A$3:$A$500,$B26,'DADOS BRUTOS'!AZ$3:AZ$500)+IF($C26="",0,SUMIF('DADOS BRUTOS'!$A$3:$A$500,$C26,'DADOS BRUTOS'!AZ$3:AZ$500)))</f>
        <v/>
      </c>
      <c r="EA26" s="123">
        <f>IF(OR(EA$4="",$B26=""),0,SUMIF('DADOS BRUTOS'!$A$3:$A$500,$B26,'DADOS BRUTOS'!BA$3:BA$500)+IF($C26="",0,SUMIF('DADOS BRUTOS'!$A$3:$A$500,$C26,'DADOS BRUTOS'!BA$3:BA$500)))</f>
        <v/>
      </c>
      <c r="EB26" s="123">
        <f>IF(OR(EB$4="",$B26=""),0,SUMIF('DADOS BRUTOS'!$A$3:$A$500,$B26,'DADOS BRUTOS'!BB$3:BB$500)+IF($C26="",0,SUMIF('DADOS BRUTOS'!$A$3:$A$500,$C26,'DADOS BRUTOS'!BB$3:BB$500)))</f>
        <v/>
      </c>
      <c r="EC26" s="123">
        <f>IF(OR(EC$4="",$B26=""),0,SUMIF('DADOS BRUTOS'!$A$3:$A$500,$B26,'DADOS BRUTOS'!BC$3:BC$500)+IF($C26="",0,SUMIF('DADOS BRUTOS'!$A$3:$A$500,$C26,'DADOS BRUTOS'!BC$3:BC$500)))</f>
        <v/>
      </c>
      <c r="ED26" s="123">
        <f>IF(OR(ED$4="",$B26=""),0,SUMIF('DADOS BRUTOS'!$A$3:$A$500,$B26,'DADOS BRUTOS'!BD$3:BD$500)+IF($C26="",0,SUMIF('DADOS BRUTOS'!$A$3:$A$500,$C26,'DADOS BRUTOS'!BD$3:BD$500)))</f>
        <v/>
      </c>
      <c r="EE26" s="123">
        <f>IF(OR(EE$4="",$B26=""),0,SUMIF('DADOS BRUTOS'!$A$3:$A$500,$B26,'DADOS BRUTOS'!BE$3:BE$500)+IF($C26="",0,SUMIF('DADOS BRUTOS'!$A$3:$A$500,$C26,'DADOS BRUTOS'!BE$3:BE$500)))</f>
        <v/>
      </c>
      <c r="EF26" s="123">
        <f>IF(OR(EF$4="",$B26=""),0,SUMIF('DADOS BRUTOS'!$A$3:$A$500,$B26,'DADOS BRUTOS'!BF$3:BF$500)+IF($C26="",0,SUMIF('DADOS BRUTOS'!$A$3:$A$500,$C26,'DADOS BRUTOS'!BF$3:BF$500)))</f>
        <v/>
      </c>
      <c r="EG26" s="123">
        <f>IF(OR(EG$4="",$B26=""),0,SUMIF('DADOS BRUTOS'!$A$3:$A$500,$B26,'DADOS BRUTOS'!BG$3:BG$500)+IF($C26="",0,SUMIF('DADOS BRUTOS'!$A$3:$A$500,$C26,'DADOS BRUTOS'!BG$3:BG$500)))</f>
        <v/>
      </c>
      <c r="EH26" s="123">
        <f>IF(OR(EH$4="",$B26=""),0,SUMIF('DADOS BRUTOS'!$A$3:$A$500,$B26,'DADOS BRUTOS'!BH$3:BH$500)+IF($C26="",0,SUMIF('DADOS BRUTOS'!$A$3:$A$500,$C26,'DADOS BRUTOS'!BH$3:BH$500)))</f>
        <v/>
      </c>
      <c r="EI26" s="123">
        <f>IF(OR(EI$4="",$B26=""),0,SUMIF('DADOS BRUTOS'!$A$3:$A$500,$B26,'DADOS BRUTOS'!BI$3:BI$500)+IF($C26="",0,SUMIF('DADOS BRUTOS'!$A$3:$A$500,$C26,'DADOS BRUTOS'!BI$3:BI$500)))</f>
        <v/>
      </c>
      <c r="EJ26" s="123">
        <f>IF(OR(EJ$4="",$B26=""),0,SUMIF('DADOS BRUTOS'!$A$3:$A$500,$B26,'DADOS BRUTOS'!BJ$3:BJ$500)+IF($C26="",0,SUMIF('DADOS BRUTOS'!$A$3:$A$500,$C26,'DADOS BRUTOS'!BJ$3:BJ$500)))</f>
        <v/>
      </c>
      <c r="EK26" s="123">
        <f>IF(OR(EK$4="",$B26=""),0,SUMIF('DADOS BRUTOS'!$A$3:$A$500,$B26,'DADOS BRUTOS'!BK$3:BK$500)+IF($C26="",0,SUMIF('DADOS BRUTOS'!$A$3:$A$500,$C26,'DADOS BRUTOS'!BK$3:BK$500)))</f>
        <v/>
      </c>
      <c r="EL26" s="123">
        <f>IF(OR(EL$4="",$B26=""),0,SUMIF('DADOS BRUTOS'!$A$3:$A$500,$B26,'DADOS BRUTOS'!BL$3:BL$500)+IF($C26="",0,SUMIF('DADOS BRUTOS'!$A$3:$A$500,$C26,'DADOS BRUTOS'!BL$3:BL$500)))</f>
        <v/>
      </c>
      <c r="EM26" s="123">
        <f>IF(OR(EM$4="",$B26=""),0,SUMIF('DADOS BRUTOS'!$A$3:$A$500,$B26,'DADOS BRUTOS'!BM$3:BM$500)+IF($C26="",0,SUMIF('DADOS BRUTOS'!$A$3:$A$500,$C26,'DADOS BRUTOS'!BM$3:BM$500)))</f>
        <v/>
      </c>
      <c r="EN26" s="123">
        <f>IF(OR(EN$4="",$B26=""),0,SUMIF('DADOS BRUTOS'!$A$3:$A$500,$B26,'DADOS BRUTOS'!BN$3:BN$500)+IF($C26="",0,SUMIF('DADOS BRUTOS'!$A$3:$A$500,$C26,'DADOS BRUTOS'!BN$3:BN$500)))</f>
        <v/>
      </c>
      <c r="EO26" s="123">
        <f>IF(OR(EO$4="",$B26=""),0,SUMIF('DADOS BRUTOS'!$A$3:$A$500,$B26,'DADOS BRUTOS'!BO$3:BO$500)+IF($C26="",0,SUMIF('DADOS BRUTOS'!$A$3:$A$500,$C26,'DADOS BRUTOS'!BO$3:BO$500)))</f>
        <v/>
      </c>
      <c r="EP26" s="123">
        <f>IF(OR(EP$4="",$B26=""),0,SUMIF('DADOS BRUTOS'!$A$3:$A$500,$B26,'DADOS BRUTOS'!BP$3:BP$500)+IF($C26="",0,SUMIF('DADOS BRUTOS'!$A$3:$A$500,$C26,'DADOS BRUTOS'!BP$3:BP$500)))</f>
        <v/>
      </c>
      <c r="EQ26" s="123">
        <f>IF(OR(EQ$4="",$B26=""),0,SUMIF('DADOS BRUTOS'!$A$3:$A$500,$B26,'DADOS BRUTOS'!BQ$3:BQ$500)+IF($C26="",0,SUMIF('DADOS BRUTOS'!$A$3:$A$500,$C26,'DADOS BRUTOS'!BQ$3:BQ$500)))</f>
        <v/>
      </c>
      <c r="ER26" s="123">
        <f>IF(OR(ER$4="",$B26=""),0,SUMIF('DADOS BRUTOS'!$A$3:$A$500,$B26,'DADOS BRUTOS'!BR$3:BR$500)+IF($C26="",0,SUMIF('DADOS BRUTOS'!$A$3:$A$500,$C26,'DADOS BRUTOS'!BR$3:BR$500)))</f>
        <v/>
      </c>
      <c r="ES26" s="123">
        <f>IF(OR(ES$4="",$B26=""),0,SUMIF('DADOS BRUTOS'!$A$3:$A$500,$B26,'DADOS BRUTOS'!BS$3:BS$500)+IF($C26="",0,SUMIF('DADOS BRUTOS'!$A$3:$A$500,$C26,'DADOS BRUTOS'!BS$3:BS$500)))</f>
        <v/>
      </c>
      <c r="ET26" s="123">
        <f>IF(OR(ET$4="",$B26=""),0,SUMIF('DADOS BRUTOS'!$A$3:$A$500,$B26,'DADOS BRUTOS'!BT$3:BT$500)+IF($C26="",0,SUMIF('DADOS BRUTOS'!$A$3:$A$500,$C26,'DADOS BRUTOS'!BT$3:BT$500)))</f>
        <v/>
      </c>
      <c r="EU26" s="123">
        <f>IF(OR(EU$4="",$B26=""),0,SUMIF('DADOS BRUTOS'!$A$3:$A$500,$B26,'DADOS BRUTOS'!BU$3:BU$500)+IF($C26="",0,SUMIF('DADOS BRUTOS'!$A$3:$A$500,$C26,'DADOS BRUTOS'!BU$3:BU$500)))</f>
        <v/>
      </c>
      <c r="EV26" s="123">
        <f>IF(OR(EV$4="",$B26=""),0,SUMIF('DADOS BRUTOS'!$A$3:$A$500,$B26,'DADOS BRUTOS'!BV$3:BV$500)+IF($C26="",0,SUMIF('DADOS BRUTOS'!$A$3:$A$500,$C26,'DADOS BRUTOS'!BV$3:BV$500)))</f>
        <v/>
      </c>
      <c r="EW26" s="123">
        <f>IF(OR(EW$4="",$B26=""),0,SUMIF('DADOS BRUTOS'!$A$3:$A$500,$B26,'DADOS BRUTOS'!BW$3:BW$500)+IF($C26="",0,SUMIF('DADOS BRUTOS'!$A$3:$A$500,$C26,'DADOS BRUTOS'!BW$3:BW$500)))</f>
        <v/>
      </c>
      <c r="EX26" s="123">
        <f>IF(OR(EX$4="",$B26=""),0,SUMIF('DADOS BRUTOS'!$A$3:$A$500,$B26,'DADOS BRUTOS'!BX$3:BX$500)+IF($C26="",0,SUMIF('DADOS BRUTOS'!$A$3:$A$500,$C26,'DADOS BRUTOS'!BX$3:BX$500)))</f>
        <v/>
      </c>
      <c r="EY26" s="123">
        <f>IF(OR(EY$4="",$B26=""),0,SUMIF('DADOS BRUTOS'!$A$3:$A$500,$B26,'DADOS BRUTOS'!BY$3:BY$500)+IF($C26="",0,SUMIF('DADOS BRUTOS'!$A$3:$A$500,$C26,'DADOS BRUTOS'!BY$3:BY$500)))</f>
        <v/>
      </c>
      <c r="EZ26" s="123">
        <f>IF(OR(EZ$4="",$B26=""),0,SUMIF('DADOS BRUTOS'!$A$3:$A$500,$B26,'DADOS BRUTOS'!BZ$3:BZ$500)+IF($C26="",0,SUMIF('DADOS BRUTOS'!$A$3:$A$500,$C26,'DADOS BRUTOS'!BZ$3:BZ$500)))</f>
        <v/>
      </c>
      <c r="FA26" s="123">
        <f>IF(OR(FA$4="",$B26=""),0,SUMIF('DADOS BRUTOS'!$A$3:$A$500,$B26,'DADOS BRUTOS'!CA$3:CA$500)+IF($C26="",0,SUMIF('DADOS BRUTOS'!$A$3:$A$500,$C26,'DADOS BRUTOS'!CA$3:CA$500)))</f>
        <v/>
      </c>
      <c r="FB26" s="123">
        <f>IF(OR(FB$4="",$B26=""),0,SUMIF('DADOS BRUTOS'!$A$3:$A$500,$B26,'DADOS BRUTOS'!CB$3:CB$500)+IF($C26="",0,SUMIF('DADOS BRUTOS'!$A$3:$A$500,$C26,'DADOS BRUTOS'!CB$3:CB$500)))</f>
        <v/>
      </c>
      <c r="FC26" s="123">
        <f>IF(OR(FC$4="",$B26=""),0,SUMIF('DADOS BRUTOS'!$A$3:$A$500,$B26,'DADOS BRUTOS'!CC$3:CC$500)+IF($C26="",0,SUMIF('DADOS BRUTOS'!$A$3:$A$500,$C26,'DADOS BRUTOS'!CC$3:CC$500)))</f>
        <v/>
      </c>
      <c r="FD26" s="123">
        <f>IF(OR(FD$4="",$B26=""),0,SUMIF('DADOS BRUTOS'!$A$3:$A$500,$B26,'DADOS BRUTOS'!CD$3:CD$500)+IF($C26="",0,SUMIF('DADOS BRUTOS'!$A$3:$A$500,$C26,'DADOS BRUTOS'!CD$3:CD$500)))</f>
        <v/>
      </c>
      <c r="FE26" s="123">
        <f>IF(OR(FE$4="",$B26=""),0,SUMIF('DADOS BRUTOS'!$A$3:$A$500,$B26,'DADOS BRUTOS'!CE$3:CE$500)+IF($C26="",0,SUMIF('DADOS BRUTOS'!$A$3:$A$500,$C26,'DADOS BRUTOS'!CE$3:CE$500)))</f>
        <v/>
      </c>
      <c r="FF26" s="123">
        <f>IF(OR(FF$4="",$B26=""),0,SUMIF('DADOS BRUTOS'!$A$3:$A$500,$B26,'DADOS BRUTOS'!CF$3:CF$500)+IF($C26="",0,SUMIF('DADOS BRUTOS'!$A$3:$A$500,$C26,'DADOS BRUTOS'!CF$3:CF$500)))</f>
        <v/>
      </c>
      <c r="FG26" s="123">
        <f>IF(OR(FG$4="",$B26=""),0,SUMIF('DADOS BRUTOS'!$A$3:$A$500,$B26,'DADOS BRUTOS'!CG$3:CG$500)+IF($C26="",0,SUMIF('DADOS BRUTOS'!$A$3:$A$500,$C26,'DADOS BRUTOS'!CG$3:CG$500)))</f>
        <v/>
      </c>
      <c r="FH26" s="123">
        <f>IF(OR(FH$4="",$B26=""),0,SUMIF('DADOS BRUTOS'!$A$3:$A$500,$B26,'DADOS BRUTOS'!CH$3:CH$500)+IF($C26="",0,SUMIF('DADOS BRUTOS'!$A$3:$A$500,$C26,'DADOS BRUTOS'!CH$3:CH$500)))</f>
        <v/>
      </c>
      <c r="FI26" s="123">
        <f>IF(OR(FI$4="",$B26=""),0,SUMIF('DADOS BRUTOS'!$A$3:$A$500,$B26,'DADOS BRUTOS'!CI$3:CI$500)+IF($C26="",0,SUMIF('DADOS BRUTOS'!$A$3:$A$500,$C26,'DADOS BRUTOS'!CI$3:CI$500)))</f>
        <v/>
      </c>
      <c r="FJ26" s="123">
        <f>IF(OR(FJ$4="",$B26=""),0,SUMIF('DADOS BRUTOS'!$A$3:$A$500,$B26,'DADOS BRUTOS'!CJ$3:CJ$500)+IF($C26="",0,SUMIF('DADOS BRUTOS'!$A$3:$A$500,$C26,'DADOS BRUTOS'!CJ$3:CJ$500)))</f>
        <v/>
      </c>
      <c r="FK26" s="123">
        <f>IF(OR(FK$4="",$B26=""),0,SUMIF('DADOS BRUTOS'!$A$3:$A$500,$B26,'DADOS BRUTOS'!CK$3:CK$500)+IF($C26="",0,SUMIF('DADOS BRUTOS'!$A$3:$A$500,$C26,'DADOS BRUTOS'!CK$3:CK$500)))</f>
        <v/>
      </c>
      <c r="FL26" s="123">
        <f>IF(OR(FL$4="",$B26=""),0,SUMIF('DADOS BRUTOS'!$A$3:$A$500,$B26,'DADOS BRUTOS'!CL$3:CL$500)+IF($C26="",0,SUMIF('DADOS BRUTOS'!$A$3:$A$500,$C26,'DADOS BRUTOS'!CL$3:CL$500)))</f>
        <v/>
      </c>
      <c r="FM26" s="123">
        <f>IF(OR(FM$4="",$B26=""),0,SUMIF('DADOS BRUTOS'!$A$3:$A$500,$B26,'DADOS BRUTOS'!CM$3:CM$500)+IF($C26="",0,SUMIF('DADOS BRUTOS'!$A$3:$A$500,$C26,'DADOS BRUTOS'!CM$3:CM$500)))</f>
        <v/>
      </c>
      <c r="FN26" s="123">
        <f>IF(OR(FN$4="",$B26=""),0,SUMIF('DADOS BRUTOS'!$A$3:$A$500,$B26,'DADOS BRUTOS'!CN$3:CN$500)+IF($C26="",0,SUMIF('DADOS BRUTOS'!$A$3:$A$500,$C26,'DADOS BRUTOS'!CN$3:CN$500)))</f>
        <v/>
      </c>
      <c r="FO26" s="123">
        <f>IF(OR(FO$4="",$B26=""),0,SUMIF('DADOS BRUTOS'!$A$3:$A$500,$B26,'DADOS BRUTOS'!CO$3:CO$500)+IF($C26="",0,SUMIF('DADOS BRUTOS'!$A$3:$A$500,$C26,'DADOS BRUTOS'!CO$3:CO$500)))</f>
        <v/>
      </c>
      <c r="FP26" s="123">
        <f>IF(OR(FP$4="",$B26=""),0,SUMIF('DADOS BRUTOS'!$A$3:$A$500,$B26,'DADOS BRUTOS'!CP$3:CP$500)+IF($C26="",0,SUMIF('DADOS BRUTOS'!$A$3:$A$500,$C26,'DADOS BRUTOS'!CP$3:CP$500)))</f>
        <v/>
      </c>
      <c r="FQ26" s="123">
        <f>IF(OR(FQ$4="",$B26=""),0,SUMIF('DADOS BRUTOS'!$A$3:$A$500,$B26,'DADOS BRUTOS'!CQ$3:CQ$500)+IF($C26="",0,SUMIF('DADOS BRUTOS'!$A$3:$A$500,$C26,'DADOS BRUTOS'!CQ$3:CQ$500)))</f>
        <v/>
      </c>
      <c r="FR26" s="123">
        <f>IF(OR(FR$4="",$B26=""),0,SUMIF('DADOS BRUTOS'!$A$3:$A$500,$B26,'DADOS BRUTOS'!CR$3:CR$500)+IF($C26="",0,SUMIF('DADOS BRUTOS'!$A$3:$A$500,$C26,'DADOS BRUTOS'!CR$3:CR$500)))</f>
        <v/>
      </c>
      <c r="FS26" s="123">
        <f>IF(OR(FS$4="",$B26=""),0,SUMIF('DADOS BRUTOS'!$A$3:$A$500,$B26,'DADOS BRUTOS'!CS$3:CS$500)+IF($C26="",0,SUMIF('DADOS BRUTOS'!$A$3:$A$500,$C26,'DADOS BRUTOS'!CS$3:CS$500)))</f>
        <v/>
      </c>
      <c r="FT26" s="123">
        <f>IF(OR(FT$4="",$B26=""),0,SUMIF('DADOS BRUTOS'!$A$3:$A$500,$B26,'DADOS BRUTOS'!CT$3:CT$500)+IF($C26="",0,SUMIF('DADOS BRUTOS'!$A$3:$A$500,$C26,'DADOS BRUTOS'!CT$3:CT$500)))</f>
        <v/>
      </c>
      <c r="FU26" s="123">
        <f>IF(OR(FU$4="",$B26=""),0,SUMIF('DADOS BRUTOS'!$A$3:$A$500,$B26,'DADOS BRUTOS'!CU$3:CU$500)+IF($C26="",0,SUMIF('DADOS BRUTOS'!$A$3:$A$500,$C26,'DADOS BRUTOS'!CU$3:CU$500)))</f>
        <v/>
      </c>
      <c r="FV26" s="123">
        <f>IF(OR(FV$4="",$B26=""),0,SUMIF('DADOS BRUTOS'!$A$3:$A$500,$B26,'DADOS BRUTOS'!CV$3:CV$500)+IF($C26="",0,SUMIF('DADOS BRUTOS'!$A$3:$A$500,$C26,'DADOS BRUTOS'!CV$3:CV$500)))</f>
        <v/>
      </c>
      <c r="FW26" s="123">
        <f>IF(OR(FW$4="",$B26=""),0,SUMIF('DADOS BRUTOS'!$A$3:$A$500,$B26,'DADOS BRUTOS'!CW$3:CW$500)+IF($C26="",0,SUMIF('DADOS BRUTOS'!$A$3:$A$500,$C26,'DADOS BRUTOS'!CW$3:CW$500)))</f>
        <v/>
      </c>
      <c r="FX26" s="123">
        <f>IF(OR(FX$4="",$B26=""),0,SUMIF('DADOS BRUTOS'!$A$3:$A$500,$B26,'DADOS BRUTOS'!CX$3:CX$500)+IF($C26="",0,SUMIF('DADOS BRUTOS'!$A$3:$A$500,$C26,'DADOS BRUTOS'!CX$3:CX$500)))</f>
        <v/>
      </c>
      <c r="FY26" s="123">
        <f>IF(OR(FY$4="",$B26=""),0,SUMIF('DADOS BRUTOS'!$A$3:$A$500,$B26,'DADOS BRUTOS'!CY$3:CY$500)+IF($C26="",0,SUMIF('DADOS BRUTOS'!$A$3:$A$500,$C26,'DADOS BRUTOS'!CY$3:CY$500)))</f>
        <v/>
      </c>
      <c r="FZ26" s="123">
        <f>IF(OR(FZ$4="",$B26=""),0,SUMIF('DADOS BRUTOS'!$A$3:$A$500,$B26,'DADOS BRUTOS'!CZ$3:CZ$500)+IF($C26="",0,SUMIF('DADOS BRUTOS'!$A$3:$A$500,$C26,'DADOS BRUTOS'!CZ$3:CZ$500)))</f>
        <v/>
      </c>
      <c r="GA26" s="123">
        <f>IF(OR(GA$4="",$B26=""),0,SUMIF('DADOS BRUTOS'!$A$3:$A$500,$B26,'DADOS BRUTOS'!DA$3:DA$500)+IF($C26="",0,SUMIF('DADOS BRUTOS'!$A$3:$A$500,$C26,'DADOS BRUTOS'!DA$3:DA$500)))</f>
        <v/>
      </c>
      <c r="GB26" s="123">
        <f>IF(OR(GB$4="",$B26=""),0,SUMIF('DADOS BRUTOS'!$A$3:$A$500,$B26,'DADOS BRUTOS'!DB$3:DB$500)+IF($C26="",0,SUMIF('DADOS BRUTOS'!$A$3:$A$500,$C26,'DADOS BRUTOS'!DB$3:DB$500)))</f>
        <v/>
      </c>
      <c r="GC26" s="123">
        <f>IF(OR(GC$4="",$B26=""),0,SUMIF('DADOS BRUTOS'!$A$3:$A$500,$B26,'DADOS BRUTOS'!DC$3:DC$500)+IF($C26="",0,SUMIF('DADOS BRUTOS'!$A$3:$A$500,$C26,'DADOS BRUTOS'!DC$3:DC$500)))</f>
        <v/>
      </c>
      <c r="GD26" s="123">
        <f>IF(OR(GD$4="",$B26=""),0,SUMIF('DADOS BRUTOS'!$A$3:$A$500,$B26,'DADOS BRUTOS'!DD$3:DD$500)+IF($C26="",0,SUMIF('DADOS BRUTOS'!$A$3:$A$500,$C26,'DADOS BRUTOS'!DD$3:DD$500)))</f>
        <v/>
      </c>
      <c r="GE26" s="123">
        <f>IF(OR(GE$4="",$B26=""),0,SUMIF('DADOS BRUTOS'!$A$3:$A$500,$B26,'DADOS BRUTOS'!DE$3:DE$500)+IF($C26="",0,SUMIF('DADOS BRUTOS'!$A$3:$A$500,$C26,'DADOS BRUTOS'!DE$3:DE$500)))</f>
        <v/>
      </c>
      <c r="GF26" s="123">
        <f>IF(OR(GF$4="",$B26=""),0,SUMIF('DADOS BRUTOS'!$A$3:$A$500,$B26,'DADOS BRUTOS'!DF$3:DF$500)+IF($C26="",0,SUMIF('DADOS BRUTOS'!$A$3:$A$500,$C26,'DADOS BRUTOS'!DF$3:DF$500)))</f>
        <v/>
      </c>
      <c r="GG26" s="123">
        <f>IF(OR(GG$4="",$B26=""),0,SUMIF('DADOS BRUTOS'!$A$3:$A$500,$B26,'DADOS BRUTOS'!DG$3:DG$500)+IF($C26="",0,SUMIF('DADOS BRUTOS'!$A$3:$A$500,$C26,'DADOS BRUTOS'!DG$3:DG$500)))</f>
        <v/>
      </c>
      <c r="GH26" s="123">
        <f>IF(OR(GH$4="",$B26=""),0,SUMIF('DADOS BRUTOS'!$A$3:$A$500,$B26,'DADOS BRUTOS'!DH$3:DH$500)+IF($C26="",0,SUMIF('DADOS BRUTOS'!$A$3:$A$500,$C26,'DADOS BRUTOS'!DH$3:DH$500)))</f>
        <v/>
      </c>
      <c r="GI26" s="123">
        <f>IF(OR(GI$4="",$B26=""),0,SUMIF('DADOS BRUTOS'!$A$3:$A$500,$B26,'DADOS BRUTOS'!DI$3:DI$500)+IF($C26="",0,SUMIF('DADOS BRUTOS'!$A$3:$A$500,$C26,'DADOS BRUTOS'!DI$3:DI$500)))</f>
        <v/>
      </c>
      <c r="GJ26" s="123">
        <f>IF(OR(GJ$4="",$B26=""),0,SUMIF('DADOS BRUTOS'!$A$3:$A$500,$B26,'DADOS BRUTOS'!DJ$3:DJ$500)+IF($C26="",0,SUMIF('DADOS BRUTOS'!$A$3:$A$500,$C26,'DADOS BRUTOS'!DJ$3:DJ$500)))</f>
        <v/>
      </c>
      <c r="GK26" s="123">
        <f>IF(OR(GK$4="",$B26=""),0,SUMIF('DADOS BRUTOS'!$A$3:$A$500,$B26,'DADOS BRUTOS'!DK$3:DK$500)+IF($C26="",0,SUMIF('DADOS BRUTOS'!$A$3:$A$500,$C26,'DADOS BRUTOS'!DK$3:DK$500)))</f>
        <v/>
      </c>
      <c r="GL26" s="123">
        <f>IF(OR(GL$4="",$B26=""),0,SUMIF('DADOS BRUTOS'!$A$3:$A$500,$B26,'DADOS BRUTOS'!DL$3:DL$500)+IF($C26="",0,SUMIF('DADOS BRUTOS'!$A$3:$A$500,$C26,'DADOS BRUTOS'!DL$3:DL$500)))</f>
        <v/>
      </c>
      <c r="GM26" s="123">
        <f>IF(OR(GM$4="",$B26=""),0,SUMIF('DADOS BRUTOS'!$A$3:$A$500,$B26,'DADOS BRUTOS'!DM$3:DM$500)+IF($C26="",0,SUMIF('DADOS BRUTOS'!$A$3:$A$500,$C26,'DADOS BRUTOS'!DM$3:DM$500)))</f>
        <v/>
      </c>
      <c r="GN26" s="123">
        <f>IF(OR(GN$4="",$B26=""),0,SUMIF('DADOS BRUTOS'!$A$3:$A$500,$B26,'DADOS BRUTOS'!DN$3:DN$500)+IF($C26="",0,SUMIF('DADOS BRUTOS'!$A$3:$A$500,$C26,'DADOS BRUTOS'!DN$3:DN$500)))</f>
        <v/>
      </c>
      <c r="GO26" s="123">
        <f>IF(OR(GO$4="",$B26=""),0,SUMIF('DADOS BRUTOS'!$A$3:$A$500,$B26,'DADOS BRUTOS'!DO$3:DO$500)+IF($C26="",0,SUMIF('DADOS BRUTOS'!$A$3:$A$500,$C26,'DADOS BRUTOS'!DO$3:DO$500)))</f>
        <v/>
      </c>
      <c r="GP26" s="123">
        <f>IF(OR(GP$4="",$B26=""),0,SUMIF('DADOS BRUTOS'!$A$3:$A$500,$B26,'DADOS BRUTOS'!DP$3:DP$500)+IF($C26="",0,SUMIF('DADOS BRUTOS'!$A$3:$A$500,$C26,'DADOS BRUTOS'!DP$3:DP$500)))</f>
        <v/>
      </c>
      <c r="GQ26" s="123">
        <f>IF(OR(GQ$4="",$B26=""),0,SUMIF('DADOS BRUTOS'!$A$3:$A$500,$B26,'DADOS BRUTOS'!DQ$3:DQ$500)+IF($C26="",0,SUMIF('DADOS BRUTOS'!$A$3:$A$500,$C26,'DADOS BRUTOS'!DQ$3:DQ$500)))</f>
        <v/>
      </c>
      <c r="GR26" s="123">
        <f>IF(OR(GR$4="",$B26=""),0,SUMIF('DADOS BRUTOS'!$A$3:$A$500,$B26,'DADOS BRUTOS'!DR$3:DR$500)+IF($C26="",0,SUMIF('DADOS BRUTOS'!$A$3:$A$500,$C26,'DADOS BRUTOS'!DR$3:DR$500)))</f>
        <v/>
      </c>
      <c r="GS26" s="123">
        <f>IF(OR(GS$4="",$B26=""),0,SUMIF('DADOS BRUTOS'!$A$3:$A$500,$B26,'DADOS BRUTOS'!DS$3:DS$500)+IF($C26="",0,SUMIF('DADOS BRUTOS'!$A$3:$A$500,$C26,'DADOS BRUTOS'!DS$3:DS$500)))</f>
        <v/>
      </c>
      <c r="GT26" s="123">
        <f>IF(OR(GT$4="",$B26=""),0,SUMIF('DADOS BRUTOS'!$A$3:$A$500,$B26,'DADOS BRUTOS'!DT$3:DT$500)+IF($C26="",0,SUMIF('DADOS BRUTOS'!$A$3:$A$500,$C26,'DADOS BRUTOS'!DT$3:DT$500)))</f>
        <v/>
      </c>
      <c r="GU26" s="123">
        <f>IF(OR(GU$4="",$B26=""),0,SUMIF('DADOS BRUTOS'!$A$3:$A$500,$B26,'DADOS BRUTOS'!DU$3:DU$500)+IF($C26="",0,SUMIF('DADOS BRUTOS'!$A$3:$A$500,$C26,'DADOS BRUTOS'!DU$3:DU$500)))</f>
        <v/>
      </c>
      <c r="GV26" s="123">
        <f>IF(OR(GV$4="",$B26=""),0,SUMIF('DADOS BRUTOS'!$A$3:$A$500,$B26,'DADOS BRUTOS'!DV$3:DV$500)+IF($C26="",0,SUMIF('DADOS BRUTOS'!$A$3:$A$500,$C26,'DADOS BRUTOS'!DV$3:DV$500)))</f>
        <v/>
      </c>
      <c r="GW26" s="123">
        <f>IF(OR(GW$4="",$B26=""),0,SUMIF('DADOS BRUTOS'!$A$3:$A$500,$B26,'DADOS BRUTOS'!DW$3:DW$500)+IF($C26="",0,SUMIF('DADOS BRUTOS'!$A$3:$A$500,$C26,'DADOS BRUTOS'!DW$3:DW$500)))</f>
        <v/>
      </c>
      <c r="GX26" s="123">
        <f>IF(OR(GX$4="",$B26=""),0,SUMIF('DADOS BRUTOS'!$A$3:$A$500,$B26,'DADOS BRUTOS'!DX$3:DX$500)+IF($C26="",0,SUMIF('DADOS BRUTOS'!$A$3:$A$500,$C26,'DADOS BRUTOS'!DX$3:DX$500)))</f>
        <v/>
      </c>
      <c r="GY26" s="123">
        <f>IF(OR(GY$4="",$B26=""),0,SUMIF('DADOS BRUTOS'!$A$3:$A$500,$B26,'DADOS BRUTOS'!DY$3:DY$500)+IF($C26="",0,SUMIF('DADOS BRUTOS'!$A$3:$A$500,$C26,'DADOS BRUTOS'!DY$3:DY$500)))</f>
        <v/>
      </c>
      <c r="GZ26" s="123">
        <f>IF(OR(GZ$4="",$B26=""),0,SUMIF('DADOS BRUTOS'!$A$3:$A$500,$B26,'DADOS BRUTOS'!DZ$3:DZ$500)+IF($C26="",0,SUMIF('DADOS BRUTOS'!$A$3:$A$500,$C26,'DADOS BRUTOS'!DZ$3:DZ$500)))</f>
        <v/>
      </c>
      <c r="HA26" s="123">
        <f>IF(OR(HA$4="",$B26=""),0,SUMIF('DADOS BRUTOS'!$A$3:$A$500,$B26,'DADOS BRUTOS'!EA$3:EA$500)+IF($C26="",0,SUMIF('DADOS BRUTOS'!$A$3:$A$500,$C26,'DADOS BRUTOS'!EA$3:EA$500)))</f>
        <v/>
      </c>
      <c r="HB26" s="123">
        <f>IF(OR(HB$4="",$B26=""),0,SUMIF('DADOS BRUTOS'!$A$3:$A$500,$B26,'DADOS BRUTOS'!EB$3:EB$500)+IF($C26="",0,SUMIF('DADOS BRUTOS'!$A$3:$A$500,$C26,'DADOS BRUTOS'!EB$3:EB$500)))</f>
        <v/>
      </c>
      <c r="HC26" s="123">
        <f>IF(OR(HC$4="",$B26=""),0,SUMIF('DADOS BRUTOS'!$A$3:$A$500,$B26,'DADOS BRUTOS'!EC$3:EC$500)+IF($C26="",0,SUMIF('DADOS BRUTOS'!$A$3:$A$500,$C26,'DADOS BRUTOS'!EC$3:EC$500)))</f>
        <v/>
      </c>
      <c r="HD26" s="123">
        <f>IF(OR(HD$4="",$B26=""),0,SUMIF('DADOS BRUTOS'!$A$3:$A$500,$B26,'DADOS BRUTOS'!ED$3:ED$500)+IF($C26="",0,SUMIF('DADOS BRUTOS'!$A$3:$A$500,$C26,'DADOS BRUTOS'!ED$3:ED$500)))</f>
        <v/>
      </c>
      <c r="HE26" s="123">
        <f>IF(OR(HE$4="",$B26=""),0,SUMIF('DADOS BRUTOS'!$A$3:$A$500,$B26,'DADOS BRUTOS'!EE$3:EE$500)+IF($C26="",0,SUMIF('DADOS BRUTOS'!$A$3:$A$500,$C26,'DADOS BRUTOS'!EE$3:EE$500)))</f>
        <v/>
      </c>
      <c r="HF26" s="123">
        <f>IF(OR(HF$4="",$B26=""),0,SUMIF('DADOS BRUTOS'!$A$3:$A$500,$B26,'DADOS BRUTOS'!EF$3:EF$500)+IF($C26="",0,SUMIF('DADOS BRUTOS'!$A$3:$A$500,$C26,'DADOS BRUTOS'!EF$3:EF$500)))</f>
        <v/>
      </c>
      <c r="HG26" s="123">
        <f>IF(OR(HG$4="",$B26=""),0,SUMIF('DADOS BRUTOS'!$A$3:$A$500,$B26,'DADOS BRUTOS'!EG$3:EG$500)+IF($C26="",0,SUMIF('DADOS BRUTOS'!$A$3:$A$500,$C26,'DADOS BRUTOS'!EG$3:EG$500)))</f>
        <v/>
      </c>
      <c r="HH26" s="123">
        <f>IF(OR(HH$4="",$B26=""),0,SUMIF('DADOS BRUTOS'!$A$3:$A$500,$B26,'DADOS BRUTOS'!EH$3:EH$500)+IF($C26="",0,SUMIF('DADOS BRUTOS'!$A$3:$A$500,$C26,'DADOS BRUTOS'!EH$3:EH$500)))</f>
        <v/>
      </c>
      <c r="HI26" s="123">
        <f>IF(OR(HI$4="",$B26=""),0,SUMIF('DADOS BRUTOS'!$A$3:$A$500,$B26,'DADOS BRUTOS'!EI$3:EI$500)+IF($C26="",0,SUMIF('DADOS BRUTOS'!$A$3:$A$500,$C26,'DADOS BRUTOS'!EI$3:EI$500)))</f>
        <v/>
      </c>
      <c r="HJ26" s="123">
        <f>IF(OR(HJ$4="",$B26=""),0,SUMIF('DADOS BRUTOS'!$A$3:$A$500,$B26,'DADOS BRUTOS'!EJ$3:EJ$500)+IF($C26="",0,SUMIF('DADOS BRUTOS'!$A$3:$A$500,$C26,'DADOS BRUTOS'!EJ$3:EJ$500)))</f>
        <v/>
      </c>
      <c r="HK26" s="123">
        <f>IF(OR(HK$4="",$B26=""),0,SUMIF('DADOS BRUTOS'!$A$3:$A$500,$B26,'DADOS BRUTOS'!EK$3:EK$500)+IF($C26="",0,SUMIF('DADOS BRUTOS'!$A$3:$A$500,$C26,'DADOS BRUTOS'!EK$3:EK$500)))</f>
        <v/>
      </c>
      <c r="HL26" s="123">
        <f>IF(OR(HL$4="",$B26=""),0,SUMIF('DADOS BRUTOS'!$A$3:$A$500,$B26,'DADOS BRUTOS'!EL$3:EL$500)+IF($C26="",0,SUMIF('DADOS BRUTOS'!$A$3:$A$500,$C26,'DADOS BRUTOS'!EL$3:EL$500)))</f>
        <v/>
      </c>
      <c r="HM26" s="123">
        <f>IF(OR(HM$4="",$B26=""),0,SUMIF('DADOS BRUTOS'!$A$3:$A$500,$B26,'DADOS BRUTOS'!EM$3:EM$500)+IF($C26="",0,SUMIF('DADOS BRUTOS'!$A$3:$A$500,$C26,'DADOS BRUTOS'!EM$3:EM$500)))</f>
        <v/>
      </c>
      <c r="HN26" s="123">
        <f>IF(OR(HN$4="",$B26=""),0,SUMIF('DADOS BRUTOS'!$A$3:$A$500,$B26,'DADOS BRUTOS'!EN$3:EN$500)+IF($C26="",0,SUMIF('DADOS BRUTOS'!$A$3:$A$500,$C26,'DADOS BRUTOS'!EN$3:EN$500)))</f>
        <v/>
      </c>
      <c r="HO26" s="123">
        <f>IF(OR(HO$4="",$B26=""),0,SUMIF('DADOS BRUTOS'!$A$3:$A$500,$B26,'DADOS BRUTOS'!EO$3:EO$500)+IF($C26="",0,SUMIF('DADOS BRUTOS'!$A$3:$A$500,$C26,'DADOS BRUTOS'!EO$3:EO$500)))</f>
        <v/>
      </c>
      <c r="HP26" s="123">
        <f>IF(OR(HP$4="",$B26=""),0,SUMIF('DADOS BRUTOS'!$A$3:$A$500,$B26,'DADOS BRUTOS'!EP$3:EP$500)+IF($C26="",0,SUMIF('DADOS BRUTOS'!$A$3:$A$500,$C26,'DADOS BRUTOS'!EP$3:EP$500)))</f>
        <v/>
      </c>
      <c r="HQ26" s="123">
        <f>IF(OR(HQ$4="",$B26=""),0,SUMIF('DADOS BRUTOS'!$A$3:$A$500,$B26,'DADOS BRUTOS'!EQ$3:EQ$500)+IF($C26="",0,SUMIF('DADOS BRUTOS'!$A$3:$A$500,$C26,'DADOS BRUTOS'!EQ$3:EQ$500)))</f>
        <v/>
      </c>
      <c r="HR26" s="123">
        <f>IF(OR(HR$4="",$B26=""),0,SUMIF('DADOS BRUTOS'!$A$3:$A$500,$B26,'DADOS BRUTOS'!ER$3:ER$500)+IF($C26="",0,SUMIF('DADOS BRUTOS'!$A$3:$A$500,$C26,'DADOS BRUTOS'!ER$3:ER$500)))</f>
        <v/>
      </c>
      <c r="HS26" s="123">
        <f>IF(OR(HS$4="",$B26=""),0,SUMIF('DADOS BRUTOS'!$A$3:$A$500,$B26,'DADOS BRUTOS'!ES$3:ES$500)+IF($C26="",0,SUMIF('DADOS BRUTOS'!$A$3:$A$500,$C26,'DADOS BRUTOS'!ES$3:ES$500)))</f>
        <v/>
      </c>
      <c r="HT26" s="123">
        <f>IF(OR(HT$4="",$B26=""),0,SUMIF('DADOS BRUTOS'!$A$3:$A$500,$B26,'DADOS BRUTOS'!ET$3:ET$500)+IF($C26="",0,SUMIF('DADOS BRUTOS'!$A$3:$A$500,$C26,'DADOS BRUTOS'!ET$3:ET$500)))</f>
        <v/>
      </c>
      <c r="HU26" s="123">
        <f>IF(OR(HU$4="",$B26=""),0,SUMIF('DADOS BRUTOS'!$A$3:$A$500,$B26,'DADOS BRUTOS'!EU$3:EU$500)+IF($C26="",0,SUMIF('DADOS BRUTOS'!$A$3:$A$500,$C26,'DADOS BRUTOS'!EU$3:EU$500)))</f>
        <v/>
      </c>
      <c r="HV26" s="123">
        <f>IF(OR(HV$4="",$B26=""),0,SUMIF('DADOS BRUTOS'!$A$3:$A$500,$B26,'DADOS BRUTOS'!EV$3:EV$500)+IF($C26="",0,SUMIF('DADOS BRUTOS'!$A$3:$A$500,$C26,'DADOS BRUTOS'!EV$3:EV$500)))</f>
        <v/>
      </c>
      <c r="HW26" s="123">
        <f>IF(OR(HW$4="",$B26=""),0,SUMIF('DADOS BRUTOS'!$A$3:$A$500,$B26,'DADOS BRUTOS'!EW$3:EW$500)+IF($C26="",0,SUMIF('DADOS BRUTOS'!$A$3:$A$500,$C26,'DADOS BRUTOS'!EW$3:EW$500)))</f>
        <v/>
      </c>
      <c r="HX26" s="123">
        <f>IF(OR(HX$4="",$B26=""),0,SUMIF('DADOS BRUTOS'!$A$3:$A$500,$B26,'DADOS BRUTOS'!EX$3:EX$500)+IF($C26="",0,SUMIF('DADOS BRUTOS'!$A$3:$A$500,$C26,'DADOS BRUTOS'!EX$3:EX$500)))</f>
        <v/>
      </c>
      <c r="HY26" s="123">
        <f>IF(OR(HY$4="",$B26=""),0,SUMIF('DADOS BRUTOS'!$A$3:$A$500,$B26,'DADOS BRUTOS'!EY$3:EY$500)+IF($C26="",0,SUMIF('DADOS BRUTOS'!$A$3:$A$500,$C26,'DADOS BRUTOS'!EY$3:EY$500)))</f>
        <v/>
      </c>
      <c r="HZ26" s="123">
        <f>IF(OR(HZ$4="",$B26=""),0,SUMIF('DADOS BRUTOS'!$A$3:$A$500,$B26,'DADOS BRUTOS'!EZ$3:EZ$500)+IF($C26="",0,SUMIF('DADOS BRUTOS'!$A$3:$A$500,$C26,'DADOS BRUTOS'!EZ$3:EZ$500)))</f>
        <v/>
      </c>
      <c r="IA26" s="123">
        <f>IF(OR(IA$4="",$B26=""),0,SUMIF('DADOS BRUTOS'!$A$3:$A$500,$B26,'DADOS BRUTOS'!FA$3:FA$500)+IF($C26="",0,SUMIF('DADOS BRUTOS'!$A$3:$A$500,$C26,'DADOS BRUTOS'!FA$3:FA$500)))</f>
        <v/>
      </c>
      <c r="IB26" s="123">
        <f>IF(OR(IB$4="",$B26=""),0,SUMIF('DADOS BRUTOS'!$A$3:$A$500,$B26,'DADOS BRUTOS'!FB$3:FB$500)+IF($C26="",0,SUMIF('DADOS BRUTOS'!$A$3:$A$500,$C26,'DADOS BRUTOS'!FB$3:FB$500)))</f>
        <v/>
      </c>
      <c r="IC26" s="123">
        <f>IF(OR(IC$4="",$B26=""),0,SUMIF('DADOS BRUTOS'!$A$3:$A$500,$B26,'DADOS BRUTOS'!FC$3:FC$500)+IF($C26="",0,SUMIF('DADOS BRUTOS'!$A$3:$A$500,$C26,'DADOS BRUTOS'!FC$3:FC$500)))</f>
        <v/>
      </c>
      <c r="ID26" s="123">
        <f>IF(OR(ID$4="",$B26=""),0,SUMIF('DADOS BRUTOS'!$A$3:$A$500,$B26,'DADOS BRUTOS'!FD$3:FD$500)+IF($C26="",0,SUMIF('DADOS BRUTOS'!$A$3:$A$500,$C26,'DADOS BRUTOS'!FD$3:FD$500)))</f>
        <v/>
      </c>
      <c r="IE26" s="123">
        <f>IF(OR(IE$4="",$B26=""),0,SUMIF('DADOS BRUTOS'!$A$3:$A$500,$B26,'DADOS BRUTOS'!FE$3:FE$500)+IF($C26="",0,SUMIF('DADOS BRUTOS'!$A$3:$A$500,$C26,'DADOS BRUTOS'!FE$3:FE$500)))</f>
        <v/>
      </c>
      <c r="IF26" s="123">
        <f>IF(OR(IF$4="",$B26=""),0,SUMIF('DADOS BRUTOS'!$A$3:$A$500,$B26,'DADOS BRUTOS'!FF$3:FF$500)+IF($C26="",0,SUMIF('DADOS BRUTOS'!$A$3:$A$500,$C26,'DADOS BRUTOS'!FF$3:FF$500)))</f>
        <v/>
      </c>
      <c r="IG26" s="123">
        <f>IF(OR(IG$4="",$B26=""),0,SUMIF('DADOS BRUTOS'!$A$3:$A$500,$B26,'DADOS BRUTOS'!FG$3:FG$500)+IF($C26="",0,SUMIF('DADOS BRUTOS'!$A$3:$A$500,$C26,'DADOS BRUTOS'!FG$3:FG$500)))</f>
        <v/>
      </c>
      <c r="IH26" s="123">
        <f>IF(OR(IH$4="",$B26=""),0,SUMIF('DADOS BRUTOS'!$A$3:$A$500,$B26,'DADOS BRUTOS'!FH$3:FH$500)+IF($C26="",0,SUMIF('DADOS BRUTOS'!$A$3:$A$500,$C26,'DADOS BRUTOS'!FH$3:FH$500)))</f>
        <v/>
      </c>
      <c r="II26" s="123">
        <f>IF(OR(II$4="",$B26=""),0,SUMIF('DADOS BRUTOS'!$A$3:$A$500,$B26,'DADOS BRUTOS'!FI$3:FI$500)+IF($C26="",0,SUMIF('DADOS BRUTOS'!$A$3:$A$500,$C26,'DADOS BRUTOS'!FI$3:FI$500)))</f>
        <v/>
      </c>
      <c r="IJ26" s="123">
        <f>IF(OR(IJ$4="",$B26=""),0,SUMIF('DADOS BRUTOS'!$A$3:$A$500,$B26,'DADOS BRUTOS'!FJ$3:FJ$500)+IF($C26="",0,SUMIF('DADOS BRUTOS'!$A$3:$A$500,$C26,'DADOS BRUTOS'!FJ$3:FJ$500)))</f>
        <v/>
      </c>
      <c r="IK26" s="123">
        <f>IF(OR(IK$4="",$B26=""),0,SUMIF('DADOS BRUTOS'!$A$3:$A$500,$B26,'DADOS BRUTOS'!FK$3:FK$500)+IF($C26="",0,SUMIF('DADOS BRUTOS'!$A$3:$A$500,$C26,'DADOS BRUTOS'!FK$3:FK$500)))</f>
        <v/>
      </c>
      <c r="IL26" s="123">
        <f>IF(OR(IL$4="",$B26=""),0,SUMIF('DADOS BRUTOS'!$A$3:$A$500,$B26,'DADOS BRUTOS'!FL$3:FL$500)+IF($C26="",0,SUMIF('DADOS BRUTOS'!$A$3:$A$500,$C26,'DADOS BRUTOS'!FL$3:FL$500)))</f>
        <v/>
      </c>
      <c r="IM26" s="123">
        <f>IF(OR(IM$4="",$B26=""),0,SUMIF('DADOS BRUTOS'!$A$3:$A$500,$B26,'DADOS BRUTOS'!FM$3:FM$500)+IF($C26="",0,SUMIF('DADOS BRUTOS'!$A$3:$A$500,$C26,'DADOS BRUTOS'!FM$3:FM$500)))</f>
        <v/>
      </c>
      <c r="IN26" s="123">
        <f>IF(OR(IN$4="",$B26=""),0,SUMIF('DADOS BRUTOS'!$A$3:$A$500,$B26,'DADOS BRUTOS'!FN$3:FN$500)+IF($C26="",0,SUMIF('DADOS BRUTOS'!$A$3:$A$500,$C26,'DADOS BRUTOS'!FN$3:FN$500)))</f>
        <v/>
      </c>
      <c r="IO26" s="123">
        <f>IF(OR(IO$4="",$B26=""),0,SUMIF('DADOS BRUTOS'!$A$3:$A$500,$B26,'DADOS BRUTOS'!FO$3:FO$500)+IF($C26="",0,SUMIF('DADOS BRUTOS'!$A$3:$A$500,$C26,'DADOS BRUTOS'!FO$3:FO$500)))</f>
        <v/>
      </c>
      <c r="IP26" s="123">
        <f>IF(OR(IP$4="",$B26=""),0,SUMIF('DADOS BRUTOS'!$A$3:$A$500,$B26,'DADOS BRUTOS'!FP$3:FP$500)+IF($C26="",0,SUMIF('DADOS BRUTOS'!$A$3:$A$500,$C26,'DADOS BRUTOS'!FP$3:FP$500)))</f>
        <v/>
      </c>
      <c r="IQ26" s="123">
        <f>IF(OR(IQ$4="",$B26=""),0,SUMIF('DADOS BRUTOS'!$A$3:$A$500,$B26,'DADOS BRUTOS'!FQ$3:FQ$500)+IF($C26="",0,SUMIF('DADOS BRUTOS'!$A$3:$A$500,$C26,'DADOS BRUTOS'!FQ$3:FQ$500)))</f>
        <v/>
      </c>
      <c r="IR26" s="123">
        <f>IF(OR(IR$4="",$B26=""),0,SUMIF('DADOS BRUTOS'!$A$3:$A$500,$B26,'DADOS BRUTOS'!FR$3:FR$500)+IF($C26="",0,SUMIF('DADOS BRUTOS'!$A$3:$A$500,$C26,'DADOS BRUTOS'!FR$3:FR$500)))</f>
        <v/>
      </c>
      <c r="IS26" s="123">
        <f>IF(OR(IS$4="",$B26=""),0,SUMIF('DADOS BRUTOS'!$A$3:$A$500,$B26,'DADOS BRUTOS'!FS$3:FS$500)+IF($C26="",0,SUMIF('DADOS BRUTOS'!$A$3:$A$500,$C26,'DADOS BRUTOS'!FS$3:FS$500)))</f>
        <v/>
      </c>
      <c r="IT26" s="123">
        <f>IF(OR(IT$4="",$B26=""),0,SUMIF('DADOS BRUTOS'!$A$3:$A$500,$B26,'DADOS BRUTOS'!FT$3:FT$500)+IF($C26="",0,SUMIF('DADOS BRUTOS'!$A$3:$A$500,$C26,'DADOS BRUTOS'!FT$3:FT$500)))</f>
        <v/>
      </c>
      <c r="IU26" s="123">
        <f>IF(OR(IU$4="",$B26=""),0,SUMIF('DADOS BRUTOS'!$A$3:$A$500,$B26,'DADOS BRUTOS'!FU$3:FU$500)+IF($C26="",0,SUMIF('DADOS BRUTOS'!$A$3:$A$500,$C26,'DADOS BRUTOS'!FU$3:FU$500)))</f>
        <v/>
      </c>
      <c r="IV26" s="123">
        <f>IF(OR(IV$4="",$B26=""),0,SUMIF('DADOS BRUTOS'!$A$3:$A$500,$B26,'DADOS BRUTOS'!FV$3:FV$500)+IF($C26="",0,SUMIF('DADOS BRUTOS'!$A$3:$A$500,$C26,'DADOS BRUTOS'!FV$3:FV$500)))</f>
        <v/>
      </c>
      <c r="IW26" s="123">
        <f>IF(OR(IW$4="",$B26=""),0,SUMIF('DADOS BRUTOS'!$A$3:$A$500,$B26,'DADOS BRUTOS'!FW$3:FW$500)+IF($C26="",0,SUMIF('DADOS BRUTOS'!$A$3:$A$500,$C26,'DADOS BRUTOS'!FW$3:FW$500)))</f>
        <v/>
      </c>
      <c r="IX26" s="123">
        <f>IF(OR(IX$4="",$B26=""),0,SUMIF('DADOS BRUTOS'!$A$3:$A$500,$B26,'DADOS BRUTOS'!FX$3:FX$500)+IF($C26="",0,SUMIF('DADOS BRUTOS'!$A$3:$A$500,$C26,'DADOS BRUTOS'!FX$3:FX$500)))</f>
        <v/>
      </c>
      <c r="IY26" s="123">
        <f>IF(OR(IY$4="",$B26=""),0,SUMIF('DADOS BRUTOS'!$A$3:$A$500,$B26,'DADOS BRUTOS'!FY$3:FY$500)+IF($C26="",0,SUMIF('DADOS BRUTOS'!$A$3:$A$500,$C26,'DADOS BRUTOS'!FY$3:FY$500)))</f>
        <v/>
      </c>
      <c r="IZ26" s="123">
        <f>IF(OR(IZ$4="",$B26=""),0,SUMIF('DADOS BRUTOS'!$A$3:$A$500,$B26,'DADOS BRUTOS'!FZ$3:FZ$500)+IF($C26="",0,SUMIF('DADOS BRUTOS'!$A$3:$A$500,$C26,'DADOS BRUTOS'!FZ$3:FZ$500)))</f>
        <v/>
      </c>
      <c r="JA26" s="123">
        <f>IF(OR(JA$4="",$B26=""),0,SUMIF('DADOS BRUTOS'!$A$3:$A$500,$B26,'DADOS BRUTOS'!GA$3:GA$500)+IF($C26="",0,SUMIF('DADOS BRUTOS'!$A$3:$A$500,$C26,'DADOS BRUTOS'!GA$3:GA$500)))</f>
        <v/>
      </c>
      <c r="JB26" s="123">
        <f>IF(OR(JB$4="",$B26=""),0,SUMIF('DADOS BRUTOS'!$A$3:$A$500,$B26,'DADOS BRUTOS'!GB$3:GB$500)+IF($C26="",0,SUMIF('DADOS BRUTOS'!$A$3:$A$500,$C26,'DADOS BRUTOS'!GB$3:GB$500)))</f>
        <v/>
      </c>
      <c r="JC26" s="123">
        <f>IF(OR(JC$4="",$B26=""),0,SUMIF('DADOS BRUTOS'!$A$3:$A$500,$B26,'DADOS BRUTOS'!GC$3:GC$500)+IF($C26="",0,SUMIF('DADOS BRUTOS'!$A$3:$A$500,$C26,'DADOS BRUTOS'!GC$3:GC$500)))</f>
        <v/>
      </c>
      <c r="JD26" s="123">
        <f>IF(OR(JD$4="",$B26=""),0,SUMIF('DADOS BRUTOS'!$A$3:$A$500,$B26,'DADOS BRUTOS'!GD$3:GD$500)+IF($C26="",0,SUMIF('DADOS BRUTOS'!$A$3:$A$500,$C26,'DADOS BRUTOS'!GD$3:GD$500)))</f>
        <v/>
      </c>
      <c r="JE26" s="123">
        <f>IF(OR(JE$4="",$B26=""),0,SUMIF('DADOS BRUTOS'!$A$3:$A$500,$B26,'DADOS BRUTOS'!GE$3:GE$500)+IF($C26="",0,SUMIF('DADOS BRUTOS'!$A$3:$A$500,$C26,'DADOS BRUTOS'!GE$3:GE$500)))</f>
        <v/>
      </c>
      <c r="JF26" s="123">
        <f>IF(OR(JF$4="",$B26=""),0,SUMIF('DADOS BRUTOS'!$A$3:$A$500,$B26,'DADOS BRUTOS'!GF$3:GF$500)+IF($C26="",0,SUMIF('DADOS BRUTOS'!$A$3:$A$500,$C26,'DADOS BRUTOS'!GF$3:GF$500)))</f>
        <v/>
      </c>
      <c r="JG26" s="123">
        <f>IF(OR(JG$4="",$B26=""),0,SUMIF('DADOS BRUTOS'!$A$3:$A$500,$B26,'DADOS BRUTOS'!GG$3:GG$500)+IF($C26="",0,SUMIF('DADOS BRUTOS'!$A$3:$A$500,$C26,'DADOS BRUTOS'!GG$3:GG$500)))</f>
        <v/>
      </c>
      <c r="JH26" s="123">
        <f>IF(OR(JH$4="",$B26=""),0,SUMIF('DADOS BRUTOS'!$A$3:$A$500,$B26,'DADOS BRUTOS'!GH$3:GH$500)+IF($C26="",0,SUMIF('DADOS BRUTOS'!$A$3:$A$500,$C26,'DADOS BRUTOS'!GH$3:GH$500)))</f>
        <v/>
      </c>
      <c r="JI26" s="123">
        <f>IF(OR(JI$4="",$B26=""),0,SUMIF('DADOS BRUTOS'!$A$3:$A$500,$B26,'DADOS BRUTOS'!GI$3:GI$500)+IF($C26="",0,SUMIF('DADOS BRUTOS'!$A$3:$A$500,$C26,'DADOS BRUTOS'!GI$3:GI$500)))</f>
        <v/>
      </c>
      <c r="JJ26" s="123">
        <f>IF(OR(JJ$4="",$B26=""),0,SUMIF('DADOS BRUTOS'!$A$3:$A$500,$B26,'DADOS BRUTOS'!GJ$3:GJ$500)+IF($C26="",0,SUMIF('DADOS BRUTOS'!$A$3:$A$500,$C26,'DADOS BRUTOS'!GJ$3:GJ$500)))</f>
        <v/>
      </c>
      <c r="JK26" s="123">
        <f>IF(OR(JK$4="",$B26=""),0,SUMIF('DADOS BRUTOS'!$A$3:$A$500,$B26,'DADOS BRUTOS'!GK$3:GK$500)+IF($C26="",0,SUMIF('DADOS BRUTOS'!$A$3:$A$500,$C26,'DADOS BRUTOS'!GK$3:GK$500)))</f>
        <v/>
      </c>
      <c r="JL26" s="123">
        <f>IF(OR(JL$4="",$B26=""),0,SUMIF('DADOS BRUTOS'!$A$3:$A$500,$B26,'DADOS BRUTOS'!GL$3:GL$500)+IF($C26="",0,SUMIF('DADOS BRUTOS'!$A$3:$A$500,$C26,'DADOS BRUTOS'!GL$3:GL$500)))</f>
        <v/>
      </c>
      <c r="JM26" s="123">
        <f>IF(OR(JM$4="",$B26=""),0,SUMIF('DADOS BRUTOS'!$A$3:$A$500,$B26,'DADOS BRUTOS'!GM$3:GM$500)+IF($C26="",0,SUMIF('DADOS BRUTOS'!$A$3:$A$500,$C26,'DADOS BRUTOS'!GM$3:GM$500)))</f>
        <v/>
      </c>
      <c r="JN26" s="123">
        <f>IF(OR(JN$4="",$B26=""),0,SUMIF('DADOS BRUTOS'!$A$3:$A$500,$B26,'DADOS BRUTOS'!GN$3:GN$500)+IF($C26="",0,SUMIF('DADOS BRUTOS'!$A$3:$A$500,$C26,'DADOS BRUTOS'!GN$3:GN$500)))</f>
        <v/>
      </c>
      <c r="JO26" s="123">
        <f>IF(OR(JO$4="",$B26=""),0,SUMIF('DADOS BRUTOS'!$A$3:$A$500,$B26,'DADOS BRUTOS'!GO$3:GO$500)+IF($C26="",0,SUMIF('DADOS BRUTOS'!$A$3:$A$500,$C26,'DADOS BRUTOS'!GO$3:GO$500)))</f>
        <v/>
      </c>
      <c r="JP26" s="123">
        <f>IF(OR(JP$4="",$B26=""),0,SUMIF('DADOS BRUTOS'!$A$3:$A$500,$B26,'DADOS BRUTOS'!GP$3:GP$500)+IF($C26="",0,SUMIF('DADOS BRUTOS'!$A$3:$A$500,$C26,'DADOS BRUTOS'!GP$3:GP$500)))</f>
        <v/>
      </c>
      <c r="JQ26" s="123">
        <f>IF(OR(JQ$4="",$B26=""),0,SUMIF('DADOS BRUTOS'!$A$3:$A$500,$B26,'DADOS BRUTOS'!GQ$3:GQ$500)+IF($C26="",0,SUMIF('DADOS BRUTOS'!$A$3:$A$500,$C26,'DADOS BRUTOS'!GQ$3:GQ$500)))</f>
        <v/>
      </c>
      <c r="JR26" s="123">
        <f>IF(OR(JR$4="",$B26=""),0,SUMIF('DADOS BRUTOS'!$A$3:$A$500,$B26,'DADOS BRUTOS'!GR$3:GR$500)+IF($C26="",0,SUMIF('DADOS BRUTOS'!$A$3:$A$500,$C26,'DADOS BRUTOS'!GR$3:GR$500)))</f>
        <v/>
      </c>
      <c r="JS26" s="123">
        <f>IF(OR(JS$4="",$B26=""),0,SUMIF('DADOS BRUTOS'!$A$3:$A$500,$B26,'DADOS BRUTOS'!GS$3:GS$500)+IF($C26="",0,SUMIF('DADOS BRUTOS'!$A$3:$A$500,$C26,'DADOS BRUTOS'!GS$3:GS$500)))</f>
        <v/>
      </c>
    </row>
    <row r="27">
      <c r="A27" s="61">
        <f>'VALOR POR PL'!D33</f>
        <v/>
      </c>
      <c r="B27" s="60" t="inlineStr">
        <is>
          <t>INSTALAÇÕES ESPECIAIS</t>
        </is>
      </c>
      <c r="C27" s="60" t="n"/>
      <c r="D27" s="55">
        <f>SUMIF($CB$4:$JS$4,"&lt;="&amp;D$4,$CB27:$JS27)</f>
        <v/>
      </c>
      <c r="E27" s="55">
        <f>SUMIF($CB$4:$JS$4,E$4,$CB27:$JS27)</f>
        <v/>
      </c>
      <c r="F27" s="55">
        <f>SUMIF($CB$4:$JS$4,F$4,$CB27:$JS27)</f>
        <v/>
      </c>
      <c r="G27" s="55">
        <f>SUMIF($CB$4:$JS$4,G$4,$CB27:$JS27)</f>
        <v/>
      </c>
      <c r="H27" s="55">
        <f>SUMIF($CB$4:$JS$4,H$4,$CB27:$JS27)</f>
        <v/>
      </c>
      <c r="I27" s="55">
        <f>SUMIF($CB$4:$JS$4,I$4,$CB27:$JS27)</f>
        <v/>
      </c>
      <c r="J27" s="55">
        <f>SUMIF($CB$4:$JS$4,J$4,$CB27:$JS27)</f>
        <v/>
      </c>
      <c r="K27" s="55">
        <f>SUMIF($CB$4:$JS$4,K$4,$CB27:$JS27)</f>
        <v/>
      </c>
      <c r="L27" s="55">
        <f>SUMIF($CB$4:$JS$4,L$4,$CB27:$JS27)</f>
        <v/>
      </c>
      <c r="M27" s="55">
        <f>SUMIF($CB$4:$JS$4,M$4,$CB27:$JS27)</f>
        <v/>
      </c>
      <c r="N27" s="55">
        <f>SUMIF($CB$4:$JS$4,N$4,$CB27:$JS27)</f>
        <v/>
      </c>
      <c r="O27" s="55">
        <f>SUMIF($CB$4:$JS$4,O$4,$CB27:$JS27)</f>
        <v/>
      </c>
      <c r="P27" s="55">
        <f>SUMIF($CB$4:$JS$4,P$4,$CB27:$JS27)</f>
        <v/>
      </c>
      <c r="Q27" s="55">
        <f>SUMIF($CB$4:$JS$4,Q$4,$CB27:$JS27)</f>
        <v/>
      </c>
      <c r="R27" s="55">
        <f>SUMIF($CB$4:$JS$4,R$4,$CB27:$JS27)</f>
        <v/>
      </c>
      <c r="S27" s="55">
        <f>SUMIF($CB$4:$JS$4,S$4,$CB27:$JS27)</f>
        <v/>
      </c>
      <c r="T27" s="55">
        <f>SUMIF($CB$4:$JS$4,T$4,$CB27:$JS27)</f>
        <v/>
      </c>
      <c r="U27" s="55">
        <f>SUMIF($CB$4:$JS$4,U$4,$CB27:$JS27)</f>
        <v/>
      </c>
      <c r="V27" s="55">
        <f>SUMIF($CB$4:$JS$4,V$4,$CB27:$JS27)</f>
        <v/>
      </c>
      <c r="W27" s="55">
        <f>SUMIF($CB$4:$JS$4,W$4,$CB27:$JS27)</f>
        <v/>
      </c>
      <c r="X27" s="55">
        <f>SUMIF($CB$4:$JS$4,X$4,$CB27:$JS27)</f>
        <v/>
      </c>
      <c r="Y27" s="55">
        <f>SUMIF($CB$4:$JS$4,Y$4,$CB27:$JS27)</f>
        <v/>
      </c>
      <c r="Z27" s="55">
        <f>SUMIF($CB$4:$JS$4,Z$4,$CB27:$JS27)</f>
        <v/>
      </c>
      <c r="AA27" s="55">
        <f>SUMIF($CB$4:$JS$4,AA$4,$CB27:$JS27)</f>
        <v/>
      </c>
      <c r="AB27" s="55">
        <f>SUMIF($CB$4:$JS$4,AB$4,$CB27:$JS27)</f>
        <v/>
      </c>
      <c r="AC27" s="55">
        <f>SUMIF($CB$4:$JS$4,AC$4,$CB27:$JS27)</f>
        <v/>
      </c>
      <c r="AD27" s="55">
        <f>SUMIF($CB$4:$JS$4,AD$4,$CB27:$JS27)</f>
        <v/>
      </c>
      <c r="AE27" s="55">
        <f>SUMIF($CB$4:$JS$4,AE$4,$CB27:$JS27)</f>
        <v/>
      </c>
      <c r="AF27" s="55">
        <f>SUMIF($CB$4:$JS$4,AF$4,$CB27:$JS27)</f>
        <v/>
      </c>
      <c r="AG27" s="55">
        <f>SUMIF($CB$4:$JS$4,AG$4,$CB27:$JS27)</f>
        <v/>
      </c>
      <c r="AH27" s="55">
        <f>SUMIF($CB$4:$JS$4,AH$4,$CB27:$JS27)</f>
        <v/>
      </c>
      <c r="AI27" s="55">
        <f>SUMIF($CB$4:$JS$4,AI$4,$CB27:$JS27)</f>
        <v/>
      </c>
      <c r="AJ27" s="55">
        <f>SUMIF($CB$4:$JS$4,AJ$4,$CB27:$JS27)</f>
        <v/>
      </c>
      <c r="AK27" s="55">
        <f>SUMIF($CB$4:$JS$4,AK$4,$CB27:$JS27)</f>
        <v/>
      </c>
      <c r="AL27" s="55">
        <f>SUMIF($CB$4:$JS$4,AL$4,$CB27:$JS27)</f>
        <v/>
      </c>
      <c r="AM27" s="55">
        <f>SUMIF($CB$4:$JS$4,AM$4,$CB27:$JS27)</f>
        <v/>
      </c>
      <c r="AN27" s="55">
        <f>SUMIF($CB$4:$JS$4,AN$4,$CB27:$JS27)</f>
        <v/>
      </c>
      <c r="AO27" s="55">
        <f>SUMIF($CB$4:$JS$4,AO$4,$CB27:$JS27)</f>
        <v/>
      </c>
      <c r="AP27" s="55">
        <f>SUMIF($CB$4:$JS$4,AP$4,$CB27:$JS27)</f>
        <v/>
      </c>
      <c r="AQ27" s="55">
        <f>SUMIF($CB$4:$JS$4,AQ$4,$CB27:$JS27)</f>
        <v/>
      </c>
      <c r="AR27" s="55">
        <f>SUMIF($CB$4:$JS$4,AR$4,$CB27:$JS27)</f>
        <v/>
      </c>
      <c r="AS27" s="55">
        <f>SUMIF($CB$4:$JS$4,AS$4,$CB27:$JS27)</f>
        <v/>
      </c>
      <c r="AT27" s="55">
        <f>SUMIF($CB$4:$JS$4,AT$4,$CB27:$JS27)</f>
        <v/>
      </c>
      <c r="AU27" s="55">
        <f>SUMIF($CB$4:$JS$4,AU$4,$CB27:$JS27)</f>
        <v/>
      </c>
      <c r="AV27" s="55">
        <f>SUMIF($CB$4:$JS$4,AV$4,$CB27:$JS27)</f>
        <v/>
      </c>
      <c r="AW27" s="55">
        <f>SUMIF($CB$4:$JS$4,AW$4,$CB27:$JS27)</f>
        <v/>
      </c>
      <c r="AX27" s="55">
        <f>SUMIF($CB$4:$JS$4,AX$4,$CB27:$JS27)</f>
        <v/>
      </c>
      <c r="AY27" s="55">
        <f>SUMIF($CB$4:$JS$4,AY$4,$CB27:$JS27)</f>
        <v/>
      </c>
      <c r="AZ27" s="55">
        <f>SUMIF($CB$4:$JS$4,AZ$4,$CB27:$JS27)</f>
        <v/>
      </c>
      <c r="BA27" s="55">
        <f>SUMIF($CB$4:$JS$4,BA$4,$CB27:$JS27)</f>
        <v/>
      </c>
      <c r="BB27" s="55">
        <f>SUMIF($CB$4:$JS$4,BB$4,$CB27:$JS27)</f>
        <v/>
      </c>
      <c r="BC27" s="55">
        <f>SUMIF($CB$4:$JS$4,BC$4,$CB27:$JS27)</f>
        <v/>
      </c>
      <c r="BD27" s="55">
        <f>SUMIF($CB$4:$JS$4,BD$4,$CB27:$JS27)</f>
        <v/>
      </c>
      <c r="BE27" s="55">
        <f>SUMIF($CB$4:$JS$4,BE$4,$CB27:$JS27)</f>
        <v/>
      </c>
      <c r="BF27" s="55">
        <f>SUMIF($CB$4:$JS$4,BF$4,$CB27:$JS27)</f>
        <v/>
      </c>
      <c r="BG27" s="55">
        <f>SUMIF($CB$4:$JS$4,BG$4,$CB27:$JS27)</f>
        <v/>
      </c>
      <c r="BH27" s="55">
        <f>SUMIF($CB$4:$JS$4,BH$4,$CB27:$JS27)</f>
        <v/>
      </c>
      <c r="BI27" s="55">
        <f>SUMIF($CB$4:$JS$4,BI$4,$CB27:$JS27)</f>
        <v/>
      </c>
      <c r="BJ27" s="55">
        <f>SUMIF($CB$4:$JS$4,BJ$4,$CB27:$JS27)</f>
        <v/>
      </c>
      <c r="BK27" s="55">
        <f>SUMIF($CB$4:$JS$4,BK$4,$CB27:$JS27)</f>
        <v/>
      </c>
      <c r="BL27" s="55">
        <f>SUMIF($CB$4:$JS$4,BL$4,$CB27:$JS27)</f>
        <v/>
      </c>
      <c r="BM27" s="55">
        <f>SUMIF($CB$4:$JS$4,BM$4,$CB27:$JS27)</f>
        <v/>
      </c>
      <c r="BN27" s="55">
        <f>SUMIF($CB$4:$JS$4,BN$4,$CB27:$JS27)</f>
        <v/>
      </c>
      <c r="BO27" s="55">
        <f>SUMIF($CB$4:$JS$4,BO$4,$CB27:$JS27)</f>
        <v/>
      </c>
      <c r="BP27" s="55">
        <f>SUMIF($CB$4:$JS$4,BP$4,$CB27:$JS27)</f>
        <v/>
      </c>
      <c r="BQ27" s="55">
        <f>SUMIF($CB$4:$JS$4,BQ$4,$CB27:$JS27)</f>
        <v/>
      </c>
      <c r="BR27" s="55">
        <f>SUMIF($CB$4:$JS$4,BR$4,$CB27:$JS27)</f>
        <v/>
      </c>
      <c r="BS27" s="55">
        <f>SUMIF($CB$4:$JS$4,BS$4,$CB27:$JS27)</f>
        <v/>
      </c>
      <c r="BT27" s="55">
        <f>SUMIF($CB$4:$JS$4,BT$4,$CB27:$JS27)</f>
        <v/>
      </c>
      <c r="BU27" s="55">
        <f>SUMIF($CB$4:$JS$4,BU$4,$CB27:$JS27)</f>
        <v/>
      </c>
      <c r="BV27" s="55">
        <f>SUMIF($CB$4:$JS$4,BV$4,$CB27:$JS27)</f>
        <v/>
      </c>
      <c r="BW27" s="55">
        <f>SUMIF($CB$4:$JS$4,BW$4,$CB27:$JS27)</f>
        <v/>
      </c>
      <c r="BX27" s="55">
        <f>SUMIF($CB$4:$JS$4,"&gt;"&amp;'VALOR POR PL'!$P$8,$CB27:$JS27)</f>
        <v/>
      </c>
      <c r="BY27" s="55">
        <f>SUM($CB27:$JS27)</f>
        <v/>
      </c>
      <c r="CB27" s="123">
        <f>IF(OR(CB$4="",$B27=""),0,SUMIF('DADOS BRUTOS'!$A$3:$A$500,$B27,'DADOS BRUTOS'!B$3:B$500)+IF($C27="",0,SUMIF('DADOS BRUTOS'!$A$3:$A$500,$C27,'DADOS BRUTOS'!B$3:B$500)))</f>
        <v/>
      </c>
      <c r="CC27" s="123">
        <f>IF(OR(CC$4="",$B27=""),0,SUMIF('DADOS BRUTOS'!$A$3:$A$500,$B27,'DADOS BRUTOS'!C$3:C$500)+IF($C27="",0,SUMIF('DADOS BRUTOS'!$A$3:$A$500,$C27,'DADOS BRUTOS'!C$3:C$500)))</f>
        <v/>
      </c>
      <c r="CD27" s="123">
        <f>IF(OR(CD$4="",$B27=""),0,SUMIF('DADOS BRUTOS'!$A$3:$A$500,$B27,'DADOS BRUTOS'!D$3:D$500)+IF($C27="",0,SUMIF('DADOS BRUTOS'!$A$3:$A$500,$C27,'DADOS BRUTOS'!D$3:D$500)))</f>
        <v/>
      </c>
      <c r="CE27" s="123">
        <f>IF(OR(CE$4="",$B27=""),0,SUMIF('DADOS BRUTOS'!$A$3:$A$500,$B27,'DADOS BRUTOS'!E$3:E$500)+IF($C27="",0,SUMIF('DADOS BRUTOS'!$A$3:$A$500,$C27,'DADOS BRUTOS'!E$3:E$500)))</f>
        <v/>
      </c>
      <c r="CF27" s="123">
        <f>IF(OR(CF$4="",$B27=""),0,SUMIF('DADOS BRUTOS'!$A$3:$A$500,$B27,'DADOS BRUTOS'!F$3:F$500)+IF($C27="",0,SUMIF('DADOS BRUTOS'!$A$3:$A$500,$C27,'DADOS BRUTOS'!F$3:F$500)))</f>
        <v/>
      </c>
      <c r="CG27" s="123">
        <f>IF(OR(CG$4="",$B27=""),0,SUMIF('DADOS BRUTOS'!$A$3:$A$500,$B27,'DADOS BRUTOS'!G$3:G$500)+IF($C27="",0,SUMIF('DADOS BRUTOS'!$A$3:$A$500,$C27,'DADOS BRUTOS'!G$3:G$500)))</f>
        <v/>
      </c>
      <c r="CH27" s="123">
        <f>IF(OR(CH$4="",$B27=""),0,SUMIF('DADOS BRUTOS'!$A$3:$A$500,$B27,'DADOS BRUTOS'!H$3:H$500)+IF($C27="",0,SUMIF('DADOS BRUTOS'!$A$3:$A$500,$C27,'DADOS BRUTOS'!H$3:H$500)))</f>
        <v/>
      </c>
      <c r="CI27" s="123">
        <f>IF(OR(CI$4="",$B27=""),0,SUMIF('DADOS BRUTOS'!$A$3:$A$500,$B27,'DADOS BRUTOS'!I$3:I$500)+IF($C27="",0,SUMIF('DADOS BRUTOS'!$A$3:$A$500,$C27,'DADOS BRUTOS'!I$3:I$500)))</f>
        <v/>
      </c>
      <c r="CJ27" s="123">
        <f>IF(OR(CJ$4="",$B27=""),0,SUMIF('DADOS BRUTOS'!$A$3:$A$500,$B27,'DADOS BRUTOS'!J$3:J$500)+IF($C27="",0,SUMIF('DADOS BRUTOS'!$A$3:$A$500,$C27,'DADOS BRUTOS'!J$3:J$500)))</f>
        <v/>
      </c>
      <c r="CK27" s="123">
        <f>IF(OR(CK$4="",$B27=""),0,SUMIF('DADOS BRUTOS'!$A$3:$A$500,$B27,'DADOS BRUTOS'!K$3:K$500)+IF($C27="",0,SUMIF('DADOS BRUTOS'!$A$3:$A$500,$C27,'DADOS BRUTOS'!K$3:K$500)))</f>
        <v/>
      </c>
      <c r="CL27" s="123">
        <f>IF(OR(CL$4="",$B27=""),0,SUMIF('DADOS BRUTOS'!$A$3:$A$500,$B27,'DADOS BRUTOS'!L$3:L$500)+IF($C27="",0,SUMIF('DADOS BRUTOS'!$A$3:$A$500,$C27,'DADOS BRUTOS'!L$3:L$500)))</f>
        <v/>
      </c>
      <c r="CM27" s="123">
        <f>IF(OR(CM$4="",$B27=""),0,SUMIF('DADOS BRUTOS'!$A$3:$A$500,$B27,'DADOS BRUTOS'!M$3:M$500)+IF($C27="",0,SUMIF('DADOS BRUTOS'!$A$3:$A$500,$C27,'DADOS BRUTOS'!M$3:M$500)))</f>
        <v/>
      </c>
      <c r="CN27" s="123">
        <f>IF(OR(CN$4="",$B27=""),0,SUMIF('DADOS BRUTOS'!$A$3:$A$500,$B27,'DADOS BRUTOS'!N$3:N$500)+IF($C27="",0,SUMIF('DADOS BRUTOS'!$A$3:$A$500,$C27,'DADOS BRUTOS'!N$3:N$500)))</f>
        <v/>
      </c>
      <c r="CO27" s="123">
        <f>IF(OR(CO$4="",$B27=""),0,SUMIF('DADOS BRUTOS'!$A$3:$A$500,$B27,'DADOS BRUTOS'!O$3:O$500)+IF($C27="",0,SUMIF('DADOS BRUTOS'!$A$3:$A$500,$C27,'DADOS BRUTOS'!O$3:O$500)))</f>
        <v/>
      </c>
      <c r="CP27" s="123">
        <f>IF(OR(CP$4="",$B27=""),0,SUMIF('DADOS BRUTOS'!$A$3:$A$500,$B27,'DADOS BRUTOS'!P$3:P$500)+IF($C27="",0,SUMIF('DADOS BRUTOS'!$A$3:$A$500,$C27,'DADOS BRUTOS'!P$3:P$500)))</f>
        <v/>
      </c>
      <c r="CQ27" s="123">
        <f>IF(OR(CQ$4="",$B27=""),0,SUMIF('DADOS BRUTOS'!$A$3:$A$500,$B27,'DADOS BRUTOS'!Q$3:Q$500)+IF($C27="",0,SUMIF('DADOS BRUTOS'!$A$3:$A$500,$C27,'DADOS BRUTOS'!Q$3:Q$500)))</f>
        <v/>
      </c>
      <c r="CR27" s="123">
        <f>IF(OR(CR$4="",$B27=""),0,SUMIF('DADOS BRUTOS'!$A$3:$A$500,$B27,'DADOS BRUTOS'!R$3:R$500)+IF($C27="",0,SUMIF('DADOS BRUTOS'!$A$3:$A$500,$C27,'DADOS BRUTOS'!R$3:R$500)))</f>
        <v/>
      </c>
      <c r="CS27" s="123">
        <f>IF(OR(CS$4="",$B27=""),0,SUMIF('DADOS BRUTOS'!$A$3:$A$500,$B27,'DADOS BRUTOS'!S$3:S$500)+IF($C27="",0,SUMIF('DADOS BRUTOS'!$A$3:$A$500,$C27,'DADOS BRUTOS'!S$3:S$500)))</f>
        <v/>
      </c>
      <c r="CT27" s="123">
        <f>IF(OR(CT$4="",$B27=""),0,SUMIF('DADOS BRUTOS'!$A$3:$A$500,$B27,'DADOS BRUTOS'!T$3:T$500)+IF($C27="",0,SUMIF('DADOS BRUTOS'!$A$3:$A$500,$C27,'DADOS BRUTOS'!T$3:T$500)))</f>
        <v/>
      </c>
      <c r="CU27" s="123">
        <f>IF(OR(CU$4="",$B27=""),0,SUMIF('DADOS BRUTOS'!$A$3:$A$500,$B27,'DADOS BRUTOS'!U$3:U$500)+IF($C27="",0,SUMIF('DADOS BRUTOS'!$A$3:$A$500,$C27,'DADOS BRUTOS'!U$3:U$500)))</f>
        <v/>
      </c>
      <c r="CV27" s="123">
        <f>IF(OR(CV$4="",$B27=""),0,SUMIF('DADOS BRUTOS'!$A$3:$A$500,$B27,'DADOS BRUTOS'!V$3:V$500)+IF($C27="",0,SUMIF('DADOS BRUTOS'!$A$3:$A$500,$C27,'DADOS BRUTOS'!V$3:V$500)))</f>
        <v/>
      </c>
      <c r="CW27" s="123">
        <f>IF(OR(CW$4="",$B27=""),0,SUMIF('DADOS BRUTOS'!$A$3:$A$500,$B27,'DADOS BRUTOS'!W$3:W$500)+IF($C27="",0,SUMIF('DADOS BRUTOS'!$A$3:$A$500,$C27,'DADOS BRUTOS'!W$3:W$500)))</f>
        <v/>
      </c>
      <c r="CX27" s="123">
        <f>IF(OR(CX$4="",$B27=""),0,SUMIF('DADOS BRUTOS'!$A$3:$A$500,$B27,'DADOS BRUTOS'!X$3:X$500)+IF($C27="",0,SUMIF('DADOS BRUTOS'!$A$3:$A$500,$C27,'DADOS BRUTOS'!X$3:X$500)))</f>
        <v/>
      </c>
      <c r="CY27" s="123">
        <f>IF(OR(CY$4="",$B27=""),0,SUMIF('DADOS BRUTOS'!$A$3:$A$500,$B27,'DADOS BRUTOS'!Y$3:Y$500)+IF($C27="",0,SUMIF('DADOS BRUTOS'!$A$3:$A$500,$C27,'DADOS BRUTOS'!Y$3:Y$500)))</f>
        <v/>
      </c>
      <c r="CZ27" s="123">
        <f>IF(OR(CZ$4="",$B27=""),0,SUMIF('DADOS BRUTOS'!$A$3:$A$500,$B27,'DADOS BRUTOS'!Z$3:Z$500)+IF($C27="",0,SUMIF('DADOS BRUTOS'!$A$3:$A$500,$C27,'DADOS BRUTOS'!Z$3:Z$500)))</f>
        <v/>
      </c>
      <c r="DA27" s="123">
        <f>IF(OR(DA$4="",$B27=""),0,SUMIF('DADOS BRUTOS'!$A$3:$A$500,$B27,'DADOS BRUTOS'!AA$3:AA$500)+IF($C27="",0,SUMIF('DADOS BRUTOS'!$A$3:$A$500,$C27,'DADOS BRUTOS'!AA$3:AA$500)))</f>
        <v/>
      </c>
      <c r="DB27" s="123">
        <f>IF(OR(DB$4="",$B27=""),0,SUMIF('DADOS BRUTOS'!$A$3:$A$500,$B27,'DADOS BRUTOS'!AB$3:AB$500)+IF($C27="",0,SUMIF('DADOS BRUTOS'!$A$3:$A$500,$C27,'DADOS BRUTOS'!AB$3:AB$500)))</f>
        <v/>
      </c>
      <c r="DC27" s="123">
        <f>IF(OR(DC$4="",$B27=""),0,SUMIF('DADOS BRUTOS'!$A$3:$A$500,$B27,'DADOS BRUTOS'!AC$3:AC$500)+IF($C27="",0,SUMIF('DADOS BRUTOS'!$A$3:$A$500,$C27,'DADOS BRUTOS'!AC$3:AC$500)))</f>
        <v/>
      </c>
      <c r="DD27" s="123">
        <f>IF(OR(DD$4="",$B27=""),0,SUMIF('DADOS BRUTOS'!$A$3:$A$500,$B27,'DADOS BRUTOS'!AD$3:AD$500)+IF($C27="",0,SUMIF('DADOS BRUTOS'!$A$3:$A$500,$C27,'DADOS BRUTOS'!AD$3:AD$500)))</f>
        <v/>
      </c>
      <c r="DE27" s="123">
        <f>IF(OR(DE$4="",$B27=""),0,SUMIF('DADOS BRUTOS'!$A$3:$A$500,$B27,'DADOS BRUTOS'!AE$3:AE$500)+IF($C27="",0,SUMIF('DADOS BRUTOS'!$A$3:$A$500,$C27,'DADOS BRUTOS'!AE$3:AE$500)))</f>
        <v/>
      </c>
      <c r="DF27" s="123">
        <f>IF(OR(DF$4="",$B27=""),0,SUMIF('DADOS BRUTOS'!$A$3:$A$500,$B27,'DADOS BRUTOS'!AF$3:AF$500)+IF($C27="",0,SUMIF('DADOS BRUTOS'!$A$3:$A$500,$C27,'DADOS BRUTOS'!AF$3:AF$500)))</f>
        <v/>
      </c>
      <c r="DG27" s="123">
        <f>IF(OR(DG$4="",$B27=""),0,SUMIF('DADOS BRUTOS'!$A$3:$A$500,$B27,'DADOS BRUTOS'!AG$3:AG$500)+IF($C27="",0,SUMIF('DADOS BRUTOS'!$A$3:$A$500,$C27,'DADOS BRUTOS'!AG$3:AG$500)))</f>
        <v/>
      </c>
      <c r="DH27" s="123">
        <f>IF(OR(DH$4="",$B27=""),0,SUMIF('DADOS BRUTOS'!$A$3:$A$500,$B27,'DADOS BRUTOS'!AH$3:AH$500)+IF($C27="",0,SUMIF('DADOS BRUTOS'!$A$3:$A$500,$C27,'DADOS BRUTOS'!AH$3:AH$500)))</f>
        <v/>
      </c>
      <c r="DI27" s="123">
        <f>IF(OR(DI$4="",$B27=""),0,SUMIF('DADOS BRUTOS'!$A$3:$A$500,$B27,'DADOS BRUTOS'!AI$3:AI$500)+IF($C27="",0,SUMIF('DADOS BRUTOS'!$A$3:$A$500,$C27,'DADOS BRUTOS'!AI$3:AI$500)))</f>
        <v/>
      </c>
      <c r="DJ27" s="123">
        <f>IF(OR(DJ$4="",$B27=""),0,SUMIF('DADOS BRUTOS'!$A$3:$A$500,$B27,'DADOS BRUTOS'!AJ$3:AJ$500)+IF($C27="",0,SUMIF('DADOS BRUTOS'!$A$3:$A$500,$C27,'DADOS BRUTOS'!AJ$3:AJ$500)))</f>
        <v/>
      </c>
      <c r="DK27" s="123">
        <f>IF(OR(DK$4="",$B27=""),0,SUMIF('DADOS BRUTOS'!$A$3:$A$500,$B27,'DADOS BRUTOS'!AK$3:AK$500)+IF($C27="",0,SUMIF('DADOS BRUTOS'!$A$3:$A$500,$C27,'DADOS BRUTOS'!AK$3:AK$500)))</f>
        <v/>
      </c>
      <c r="DL27" s="123">
        <f>IF(OR(DL$4="",$B27=""),0,SUMIF('DADOS BRUTOS'!$A$3:$A$500,$B27,'DADOS BRUTOS'!AL$3:AL$500)+IF($C27="",0,SUMIF('DADOS BRUTOS'!$A$3:$A$500,$C27,'DADOS BRUTOS'!AL$3:AL$500)))</f>
        <v/>
      </c>
      <c r="DM27" s="123">
        <f>IF(OR(DM$4="",$B27=""),0,SUMIF('DADOS BRUTOS'!$A$3:$A$500,$B27,'DADOS BRUTOS'!AM$3:AM$500)+IF($C27="",0,SUMIF('DADOS BRUTOS'!$A$3:$A$500,$C27,'DADOS BRUTOS'!AM$3:AM$500)))</f>
        <v/>
      </c>
      <c r="DN27" s="123">
        <f>IF(OR(DN$4="",$B27=""),0,SUMIF('DADOS BRUTOS'!$A$3:$A$500,$B27,'DADOS BRUTOS'!AN$3:AN$500)+IF($C27="",0,SUMIF('DADOS BRUTOS'!$A$3:$A$500,$C27,'DADOS BRUTOS'!AN$3:AN$500)))</f>
        <v/>
      </c>
      <c r="DO27" s="123">
        <f>IF(OR(DO$4="",$B27=""),0,SUMIF('DADOS BRUTOS'!$A$3:$A$500,$B27,'DADOS BRUTOS'!AO$3:AO$500)+IF($C27="",0,SUMIF('DADOS BRUTOS'!$A$3:$A$500,$C27,'DADOS BRUTOS'!AO$3:AO$500)))</f>
        <v/>
      </c>
      <c r="DP27" s="123">
        <f>IF(OR(DP$4="",$B27=""),0,SUMIF('DADOS BRUTOS'!$A$3:$A$500,$B27,'DADOS BRUTOS'!AP$3:AP$500)+IF($C27="",0,SUMIF('DADOS BRUTOS'!$A$3:$A$500,$C27,'DADOS BRUTOS'!AP$3:AP$500)))</f>
        <v/>
      </c>
      <c r="DQ27" s="123">
        <f>IF(OR(DQ$4="",$B27=""),0,SUMIF('DADOS BRUTOS'!$A$3:$A$500,$B27,'DADOS BRUTOS'!AQ$3:AQ$500)+IF($C27="",0,SUMIF('DADOS BRUTOS'!$A$3:$A$500,$C27,'DADOS BRUTOS'!AQ$3:AQ$500)))</f>
        <v/>
      </c>
      <c r="DR27" s="123">
        <f>IF(OR(DR$4="",$B27=""),0,SUMIF('DADOS BRUTOS'!$A$3:$A$500,$B27,'DADOS BRUTOS'!AR$3:AR$500)+IF($C27="",0,SUMIF('DADOS BRUTOS'!$A$3:$A$500,$C27,'DADOS BRUTOS'!AR$3:AR$500)))</f>
        <v/>
      </c>
      <c r="DS27" s="123">
        <f>IF(OR(DS$4="",$B27=""),0,SUMIF('DADOS BRUTOS'!$A$3:$A$500,$B27,'DADOS BRUTOS'!AS$3:AS$500)+IF($C27="",0,SUMIF('DADOS BRUTOS'!$A$3:$A$500,$C27,'DADOS BRUTOS'!AS$3:AS$500)))</f>
        <v/>
      </c>
      <c r="DT27" s="123">
        <f>IF(OR(DT$4="",$B27=""),0,SUMIF('DADOS BRUTOS'!$A$3:$A$500,$B27,'DADOS BRUTOS'!AT$3:AT$500)+IF($C27="",0,SUMIF('DADOS BRUTOS'!$A$3:$A$500,$C27,'DADOS BRUTOS'!AT$3:AT$500)))</f>
        <v/>
      </c>
      <c r="DU27" s="123">
        <f>IF(OR(DU$4="",$B27=""),0,SUMIF('DADOS BRUTOS'!$A$3:$A$500,$B27,'DADOS BRUTOS'!AU$3:AU$500)+IF($C27="",0,SUMIF('DADOS BRUTOS'!$A$3:$A$500,$C27,'DADOS BRUTOS'!AU$3:AU$500)))</f>
        <v/>
      </c>
      <c r="DV27" s="123">
        <f>IF(OR(DV$4="",$B27=""),0,SUMIF('DADOS BRUTOS'!$A$3:$A$500,$B27,'DADOS BRUTOS'!AV$3:AV$500)+IF($C27="",0,SUMIF('DADOS BRUTOS'!$A$3:$A$500,$C27,'DADOS BRUTOS'!AV$3:AV$500)))</f>
        <v/>
      </c>
      <c r="DW27" s="123">
        <f>IF(OR(DW$4="",$B27=""),0,SUMIF('DADOS BRUTOS'!$A$3:$A$500,$B27,'DADOS BRUTOS'!AW$3:AW$500)+IF($C27="",0,SUMIF('DADOS BRUTOS'!$A$3:$A$500,$C27,'DADOS BRUTOS'!AW$3:AW$500)))</f>
        <v/>
      </c>
      <c r="DX27" s="123">
        <f>IF(OR(DX$4="",$B27=""),0,SUMIF('DADOS BRUTOS'!$A$3:$A$500,$B27,'DADOS BRUTOS'!AX$3:AX$500)+IF($C27="",0,SUMIF('DADOS BRUTOS'!$A$3:$A$500,$C27,'DADOS BRUTOS'!AX$3:AX$500)))</f>
        <v/>
      </c>
      <c r="DY27" s="123">
        <f>IF(OR(DY$4="",$B27=""),0,SUMIF('DADOS BRUTOS'!$A$3:$A$500,$B27,'DADOS BRUTOS'!AY$3:AY$500)+IF($C27="",0,SUMIF('DADOS BRUTOS'!$A$3:$A$500,$C27,'DADOS BRUTOS'!AY$3:AY$500)))</f>
        <v/>
      </c>
      <c r="DZ27" s="123">
        <f>IF(OR(DZ$4="",$B27=""),0,SUMIF('DADOS BRUTOS'!$A$3:$A$500,$B27,'DADOS BRUTOS'!AZ$3:AZ$500)+IF($C27="",0,SUMIF('DADOS BRUTOS'!$A$3:$A$500,$C27,'DADOS BRUTOS'!AZ$3:AZ$500)))</f>
        <v/>
      </c>
      <c r="EA27" s="123">
        <f>IF(OR(EA$4="",$B27=""),0,SUMIF('DADOS BRUTOS'!$A$3:$A$500,$B27,'DADOS BRUTOS'!BA$3:BA$500)+IF($C27="",0,SUMIF('DADOS BRUTOS'!$A$3:$A$500,$C27,'DADOS BRUTOS'!BA$3:BA$500)))</f>
        <v/>
      </c>
      <c r="EB27" s="123">
        <f>IF(OR(EB$4="",$B27=""),0,SUMIF('DADOS BRUTOS'!$A$3:$A$500,$B27,'DADOS BRUTOS'!BB$3:BB$500)+IF($C27="",0,SUMIF('DADOS BRUTOS'!$A$3:$A$500,$C27,'DADOS BRUTOS'!BB$3:BB$500)))</f>
        <v/>
      </c>
      <c r="EC27" s="123">
        <f>IF(OR(EC$4="",$B27=""),0,SUMIF('DADOS BRUTOS'!$A$3:$A$500,$B27,'DADOS BRUTOS'!BC$3:BC$500)+IF($C27="",0,SUMIF('DADOS BRUTOS'!$A$3:$A$500,$C27,'DADOS BRUTOS'!BC$3:BC$500)))</f>
        <v/>
      </c>
      <c r="ED27" s="123">
        <f>IF(OR(ED$4="",$B27=""),0,SUMIF('DADOS BRUTOS'!$A$3:$A$500,$B27,'DADOS BRUTOS'!BD$3:BD$500)+IF($C27="",0,SUMIF('DADOS BRUTOS'!$A$3:$A$500,$C27,'DADOS BRUTOS'!BD$3:BD$500)))</f>
        <v/>
      </c>
      <c r="EE27" s="123">
        <f>IF(OR(EE$4="",$B27=""),0,SUMIF('DADOS BRUTOS'!$A$3:$A$500,$B27,'DADOS BRUTOS'!BE$3:BE$500)+IF($C27="",0,SUMIF('DADOS BRUTOS'!$A$3:$A$500,$C27,'DADOS BRUTOS'!BE$3:BE$500)))</f>
        <v/>
      </c>
      <c r="EF27" s="123">
        <f>IF(OR(EF$4="",$B27=""),0,SUMIF('DADOS BRUTOS'!$A$3:$A$500,$B27,'DADOS BRUTOS'!BF$3:BF$500)+IF($C27="",0,SUMIF('DADOS BRUTOS'!$A$3:$A$500,$C27,'DADOS BRUTOS'!BF$3:BF$500)))</f>
        <v/>
      </c>
      <c r="EG27" s="123">
        <f>IF(OR(EG$4="",$B27=""),0,SUMIF('DADOS BRUTOS'!$A$3:$A$500,$B27,'DADOS BRUTOS'!BG$3:BG$500)+IF($C27="",0,SUMIF('DADOS BRUTOS'!$A$3:$A$500,$C27,'DADOS BRUTOS'!BG$3:BG$500)))</f>
        <v/>
      </c>
      <c r="EH27" s="123">
        <f>IF(OR(EH$4="",$B27=""),0,SUMIF('DADOS BRUTOS'!$A$3:$A$500,$B27,'DADOS BRUTOS'!BH$3:BH$500)+IF($C27="",0,SUMIF('DADOS BRUTOS'!$A$3:$A$500,$C27,'DADOS BRUTOS'!BH$3:BH$500)))</f>
        <v/>
      </c>
      <c r="EI27" s="123">
        <f>IF(OR(EI$4="",$B27=""),0,SUMIF('DADOS BRUTOS'!$A$3:$A$500,$B27,'DADOS BRUTOS'!BI$3:BI$500)+IF($C27="",0,SUMIF('DADOS BRUTOS'!$A$3:$A$500,$C27,'DADOS BRUTOS'!BI$3:BI$500)))</f>
        <v/>
      </c>
      <c r="EJ27" s="123">
        <f>IF(OR(EJ$4="",$B27=""),0,SUMIF('DADOS BRUTOS'!$A$3:$A$500,$B27,'DADOS BRUTOS'!BJ$3:BJ$500)+IF($C27="",0,SUMIF('DADOS BRUTOS'!$A$3:$A$500,$C27,'DADOS BRUTOS'!BJ$3:BJ$500)))</f>
        <v/>
      </c>
      <c r="EK27" s="123">
        <f>IF(OR(EK$4="",$B27=""),0,SUMIF('DADOS BRUTOS'!$A$3:$A$500,$B27,'DADOS BRUTOS'!BK$3:BK$500)+IF($C27="",0,SUMIF('DADOS BRUTOS'!$A$3:$A$500,$C27,'DADOS BRUTOS'!BK$3:BK$500)))</f>
        <v/>
      </c>
      <c r="EL27" s="123">
        <f>IF(OR(EL$4="",$B27=""),0,SUMIF('DADOS BRUTOS'!$A$3:$A$500,$B27,'DADOS BRUTOS'!BL$3:BL$500)+IF($C27="",0,SUMIF('DADOS BRUTOS'!$A$3:$A$500,$C27,'DADOS BRUTOS'!BL$3:BL$500)))</f>
        <v/>
      </c>
      <c r="EM27" s="123">
        <f>IF(OR(EM$4="",$B27=""),0,SUMIF('DADOS BRUTOS'!$A$3:$A$500,$B27,'DADOS BRUTOS'!BM$3:BM$500)+IF($C27="",0,SUMIF('DADOS BRUTOS'!$A$3:$A$500,$C27,'DADOS BRUTOS'!BM$3:BM$500)))</f>
        <v/>
      </c>
      <c r="EN27" s="123">
        <f>IF(OR(EN$4="",$B27=""),0,SUMIF('DADOS BRUTOS'!$A$3:$A$500,$B27,'DADOS BRUTOS'!BN$3:BN$500)+IF($C27="",0,SUMIF('DADOS BRUTOS'!$A$3:$A$500,$C27,'DADOS BRUTOS'!BN$3:BN$500)))</f>
        <v/>
      </c>
      <c r="EO27" s="123">
        <f>IF(OR(EO$4="",$B27=""),0,SUMIF('DADOS BRUTOS'!$A$3:$A$500,$B27,'DADOS BRUTOS'!BO$3:BO$500)+IF($C27="",0,SUMIF('DADOS BRUTOS'!$A$3:$A$500,$C27,'DADOS BRUTOS'!BO$3:BO$500)))</f>
        <v/>
      </c>
      <c r="EP27" s="123">
        <f>IF(OR(EP$4="",$B27=""),0,SUMIF('DADOS BRUTOS'!$A$3:$A$500,$B27,'DADOS BRUTOS'!BP$3:BP$500)+IF($C27="",0,SUMIF('DADOS BRUTOS'!$A$3:$A$500,$C27,'DADOS BRUTOS'!BP$3:BP$500)))</f>
        <v/>
      </c>
      <c r="EQ27" s="123">
        <f>IF(OR(EQ$4="",$B27=""),0,SUMIF('DADOS BRUTOS'!$A$3:$A$500,$B27,'DADOS BRUTOS'!BQ$3:BQ$500)+IF($C27="",0,SUMIF('DADOS BRUTOS'!$A$3:$A$500,$C27,'DADOS BRUTOS'!BQ$3:BQ$500)))</f>
        <v/>
      </c>
      <c r="ER27" s="123">
        <f>IF(OR(ER$4="",$B27=""),0,SUMIF('DADOS BRUTOS'!$A$3:$A$500,$B27,'DADOS BRUTOS'!BR$3:BR$500)+IF($C27="",0,SUMIF('DADOS BRUTOS'!$A$3:$A$500,$C27,'DADOS BRUTOS'!BR$3:BR$500)))</f>
        <v/>
      </c>
      <c r="ES27" s="123">
        <f>IF(OR(ES$4="",$B27=""),0,SUMIF('DADOS BRUTOS'!$A$3:$A$500,$B27,'DADOS BRUTOS'!BS$3:BS$500)+IF($C27="",0,SUMIF('DADOS BRUTOS'!$A$3:$A$500,$C27,'DADOS BRUTOS'!BS$3:BS$500)))</f>
        <v/>
      </c>
      <c r="ET27" s="123">
        <f>IF(OR(ET$4="",$B27=""),0,SUMIF('DADOS BRUTOS'!$A$3:$A$500,$B27,'DADOS BRUTOS'!BT$3:BT$500)+IF($C27="",0,SUMIF('DADOS BRUTOS'!$A$3:$A$500,$C27,'DADOS BRUTOS'!BT$3:BT$500)))</f>
        <v/>
      </c>
      <c r="EU27" s="123">
        <f>IF(OR(EU$4="",$B27=""),0,SUMIF('DADOS BRUTOS'!$A$3:$A$500,$B27,'DADOS BRUTOS'!BU$3:BU$500)+IF($C27="",0,SUMIF('DADOS BRUTOS'!$A$3:$A$500,$C27,'DADOS BRUTOS'!BU$3:BU$500)))</f>
        <v/>
      </c>
      <c r="EV27" s="123">
        <f>IF(OR(EV$4="",$B27=""),0,SUMIF('DADOS BRUTOS'!$A$3:$A$500,$B27,'DADOS BRUTOS'!BV$3:BV$500)+IF($C27="",0,SUMIF('DADOS BRUTOS'!$A$3:$A$500,$C27,'DADOS BRUTOS'!BV$3:BV$500)))</f>
        <v/>
      </c>
      <c r="EW27" s="123">
        <f>IF(OR(EW$4="",$B27=""),0,SUMIF('DADOS BRUTOS'!$A$3:$A$500,$B27,'DADOS BRUTOS'!BW$3:BW$500)+IF($C27="",0,SUMIF('DADOS BRUTOS'!$A$3:$A$500,$C27,'DADOS BRUTOS'!BW$3:BW$500)))</f>
        <v/>
      </c>
      <c r="EX27" s="123">
        <f>IF(OR(EX$4="",$B27=""),0,SUMIF('DADOS BRUTOS'!$A$3:$A$500,$B27,'DADOS BRUTOS'!BX$3:BX$500)+IF($C27="",0,SUMIF('DADOS BRUTOS'!$A$3:$A$500,$C27,'DADOS BRUTOS'!BX$3:BX$500)))</f>
        <v/>
      </c>
      <c r="EY27" s="123">
        <f>IF(OR(EY$4="",$B27=""),0,SUMIF('DADOS BRUTOS'!$A$3:$A$500,$B27,'DADOS BRUTOS'!BY$3:BY$500)+IF($C27="",0,SUMIF('DADOS BRUTOS'!$A$3:$A$500,$C27,'DADOS BRUTOS'!BY$3:BY$500)))</f>
        <v/>
      </c>
      <c r="EZ27" s="123">
        <f>IF(OR(EZ$4="",$B27=""),0,SUMIF('DADOS BRUTOS'!$A$3:$A$500,$B27,'DADOS BRUTOS'!BZ$3:BZ$500)+IF($C27="",0,SUMIF('DADOS BRUTOS'!$A$3:$A$500,$C27,'DADOS BRUTOS'!BZ$3:BZ$500)))</f>
        <v/>
      </c>
      <c r="FA27" s="123">
        <f>IF(OR(FA$4="",$B27=""),0,SUMIF('DADOS BRUTOS'!$A$3:$A$500,$B27,'DADOS BRUTOS'!CA$3:CA$500)+IF($C27="",0,SUMIF('DADOS BRUTOS'!$A$3:$A$500,$C27,'DADOS BRUTOS'!CA$3:CA$500)))</f>
        <v/>
      </c>
      <c r="FB27" s="123">
        <f>IF(OR(FB$4="",$B27=""),0,SUMIF('DADOS BRUTOS'!$A$3:$A$500,$B27,'DADOS BRUTOS'!CB$3:CB$500)+IF($C27="",0,SUMIF('DADOS BRUTOS'!$A$3:$A$500,$C27,'DADOS BRUTOS'!CB$3:CB$500)))</f>
        <v/>
      </c>
      <c r="FC27" s="123">
        <f>IF(OR(FC$4="",$B27=""),0,SUMIF('DADOS BRUTOS'!$A$3:$A$500,$B27,'DADOS BRUTOS'!CC$3:CC$500)+IF($C27="",0,SUMIF('DADOS BRUTOS'!$A$3:$A$500,$C27,'DADOS BRUTOS'!CC$3:CC$500)))</f>
        <v/>
      </c>
      <c r="FD27" s="123">
        <f>IF(OR(FD$4="",$B27=""),0,SUMIF('DADOS BRUTOS'!$A$3:$A$500,$B27,'DADOS BRUTOS'!CD$3:CD$500)+IF($C27="",0,SUMIF('DADOS BRUTOS'!$A$3:$A$500,$C27,'DADOS BRUTOS'!CD$3:CD$500)))</f>
        <v/>
      </c>
      <c r="FE27" s="123">
        <f>IF(OR(FE$4="",$B27=""),0,SUMIF('DADOS BRUTOS'!$A$3:$A$500,$B27,'DADOS BRUTOS'!CE$3:CE$500)+IF($C27="",0,SUMIF('DADOS BRUTOS'!$A$3:$A$500,$C27,'DADOS BRUTOS'!CE$3:CE$500)))</f>
        <v/>
      </c>
      <c r="FF27" s="123">
        <f>IF(OR(FF$4="",$B27=""),0,SUMIF('DADOS BRUTOS'!$A$3:$A$500,$B27,'DADOS BRUTOS'!CF$3:CF$500)+IF($C27="",0,SUMIF('DADOS BRUTOS'!$A$3:$A$500,$C27,'DADOS BRUTOS'!CF$3:CF$500)))</f>
        <v/>
      </c>
      <c r="FG27" s="123">
        <f>IF(OR(FG$4="",$B27=""),0,SUMIF('DADOS BRUTOS'!$A$3:$A$500,$B27,'DADOS BRUTOS'!CG$3:CG$500)+IF($C27="",0,SUMIF('DADOS BRUTOS'!$A$3:$A$500,$C27,'DADOS BRUTOS'!CG$3:CG$500)))</f>
        <v/>
      </c>
      <c r="FH27" s="123">
        <f>IF(OR(FH$4="",$B27=""),0,SUMIF('DADOS BRUTOS'!$A$3:$A$500,$B27,'DADOS BRUTOS'!CH$3:CH$500)+IF($C27="",0,SUMIF('DADOS BRUTOS'!$A$3:$A$500,$C27,'DADOS BRUTOS'!CH$3:CH$500)))</f>
        <v/>
      </c>
      <c r="FI27" s="123">
        <f>IF(OR(FI$4="",$B27=""),0,SUMIF('DADOS BRUTOS'!$A$3:$A$500,$B27,'DADOS BRUTOS'!CI$3:CI$500)+IF($C27="",0,SUMIF('DADOS BRUTOS'!$A$3:$A$500,$C27,'DADOS BRUTOS'!CI$3:CI$500)))</f>
        <v/>
      </c>
      <c r="FJ27" s="123">
        <f>IF(OR(FJ$4="",$B27=""),0,SUMIF('DADOS BRUTOS'!$A$3:$A$500,$B27,'DADOS BRUTOS'!CJ$3:CJ$500)+IF($C27="",0,SUMIF('DADOS BRUTOS'!$A$3:$A$500,$C27,'DADOS BRUTOS'!CJ$3:CJ$500)))</f>
        <v/>
      </c>
      <c r="FK27" s="123">
        <f>IF(OR(FK$4="",$B27=""),0,SUMIF('DADOS BRUTOS'!$A$3:$A$500,$B27,'DADOS BRUTOS'!CK$3:CK$500)+IF($C27="",0,SUMIF('DADOS BRUTOS'!$A$3:$A$500,$C27,'DADOS BRUTOS'!CK$3:CK$500)))</f>
        <v/>
      </c>
      <c r="FL27" s="123">
        <f>IF(OR(FL$4="",$B27=""),0,SUMIF('DADOS BRUTOS'!$A$3:$A$500,$B27,'DADOS BRUTOS'!CL$3:CL$500)+IF($C27="",0,SUMIF('DADOS BRUTOS'!$A$3:$A$500,$C27,'DADOS BRUTOS'!CL$3:CL$500)))</f>
        <v/>
      </c>
      <c r="FM27" s="123">
        <f>IF(OR(FM$4="",$B27=""),0,SUMIF('DADOS BRUTOS'!$A$3:$A$500,$B27,'DADOS BRUTOS'!CM$3:CM$500)+IF($C27="",0,SUMIF('DADOS BRUTOS'!$A$3:$A$500,$C27,'DADOS BRUTOS'!CM$3:CM$500)))</f>
        <v/>
      </c>
      <c r="FN27" s="123">
        <f>IF(OR(FN$4="",$B27=""),0,SUMIF('DADOS BRUTOS'!$A$3:$A$500,$B27,'DADOS BRUTOS'!CN$3:CN$500)+IF($C27="",0,SUMIF('DADOS BRUTOS'!$A$3:$A$500,$C27,'DADOS BRUTOS'!CN$3:CN$500)))</f>
        <v/>
      </c>
      <c r="FO27" s="123">
        <f>IF(OR(FO$4="",$B27=""),0,SUMIF('DADOS BRUTOS'!$A$3:$A$500,$B27,'DADOS BRUTOS'!CO$3:CO$500)+IF($C27="",0,SUMIF('DADOS BRUTOS'!$A$3:$A$500,$C27,'DADOS BRUTOS'!CO$3:CO$500)))</f>
        <v/>
      </c>
      <c r="FP27" s="123">
        <f>IF(OR(FP$4="",$B27=""),0,SUMIF('DADOS BRUTOS'!$A$3:$A$500,$B27,'DADOS BRUTOS'!CP$3:CP$500)+IF($C27="",0,SUMIF('DADOS BRUTOS'!$A$3:$A$500,$C27,'DADOS BRUTOS'!CP$3:CP$500)))</f>
        <v/>
      </c>
      <c r="FQ27" s="123">
        <f>IF(OR(FQ$4="",$B27=""),0,SUMIF('DADOS BRUTOS'!$A$3:$A$500,$B27,'DADOS BRUTOS'!CQ$3:CQ$500)+IF($C27="",0,SUMIF('DADOS BRUTOS'!$A$3:$A$500,$C27,'DADOS BRUTOS'!CQ$3:CQ$500)))</f>
        <v/>
      </c>
      <c r="FR27" s="123">
        <f>IF(OR(FR$4="",$B27=""),0,SUMIF('DADOS BRUTOS'!$A$3:$A$500,$B27,'DADOS BRUTOS'!CR$3:CR$500)+IF($C27="",0,SUMIF('DADOS BRUTOS'!$A$3:$A$500,$C27,'DADOS BRUTOS'!CR$3:CR$500)))</f>
        <v/>
      </c>
      <c r="FS27" s="123">
        <f>IF(OR(FS$4="",$B27=""),0,SUMIF('DADOS BRUTOS'!$A$3:$A$500,$B27,'DADOS BRUTOS'!CS$3:CS$500)+IF($C27="",0,SUMIF('DADOS BRUTOS'!$A$3:$A$500,$C27,'DADOS BRUTOS'!CS$3:CS$500)))</f>
        <v/>
      </c>
      <c r="FT27" s="123">
        <f>IF(OR(FT$4="",$B27=""),0,SUMIF('DADOS BRUTOS'!$A$3:$A$500,$B27,'DADOS BRUTOS'!CT$3:CT$500)+IF($C27="",0,SUMIF('DADOS BRUTOS'!$A$3:$A$500,$C27,'DADOS BRUTOS'!CT$3:CT$500)))</f>
        <v/>
      </c>
      <c r="FU27" s="123">
        <f>IF(OR(FU$4="",$B27=""),0,SUMIF('DADOS BRUTOS'!$A$3:$A$500,$B27,'DADOS BRUTOS'!CU$3:CU$500)+IF($C27="",0,SUMIF('DADOS BRUTOS'!$A$3:$A$500,$C27,'DADOS BRUTOS'!CU$3:CU$500)))</f>
        <v/>
      </c>
      <c r="FV27" s="123">
        <f>IF(OR(FV$4="",$B27=""),0,SUMIF('DADOS BRUTOS'!$A$3:$A$500,$B27,'DADOS BRUTOS'!CV$3:CV$500)+IF($C27="",0,SUMIF('DADOS BRUTOS'!$A$3:$A$500,$C27,'DADOS BRUTOS'!CV$3:CV$500)))</f>
        <v/>
      </c>
      <c r="FW27" s="123">
        <f>IF(OR(FW$4="",$B27=""),0,SUMIF('DADOS BRUTOS'!$A$3:$A$500,$B27,'DADOS BRUTOS'!CW$3:CW$500)+IF($C27="",0,SUMIF('DADOS BRUTOS'!$A$3:$A$500,$C27,'DADOS BRUTOS'!CW$3:CW$500)))</f>
        <v/>
      </c>
      <c r="FX27" s="123">
        <f>IF(OR(FX$4="",$B27=""),0,SUMIF('DADOS BRUTOS'!$A$3:$A$500,$B27,'DADOS BRUTOS'!CX$3:CX$500)+IF($C27="",0,SUMIF('DADOS BRUTOS'!$A$3:$A$500,$C27,'DADOS BRUTOS'!CX$3:CX$500)))</f>
        <v/>
      </c>
      <c r="FY27" s="123">
        <f>IF(OR(FY$4="",$B27=""),0,SUMIF('DADOS BRUTOS'!$A$3:$A$500,$B27,'DADOS BRUTOS'!CY$3:CY$500)+IF($C27="",0,SUMIF('DADOS BRUTOS'!$A$3:$A$500,$C27,'DADOS BRUTOS'!CY$3:CY$500)))</f>
        <v/>
      </c>
      <c r="FZ27" s="123">
        <f>IF(OR(FZ$4="",$B27=""),0,SUMIF('DADOS BRUTOS'!$A$3:$A$500,$B27,'DADOS BRUTOS'!CZ$3:CZ$500)+IF($C27="",0,SUMIF('DADOS BRUTOS'!$A$3:$A$500,$C27,'DADOS BRUTOS'!CZ$3:CZ$500)))</f>
        <v/>
      </c>
      <c r="GA27" s="123">
        <f>IF(OR(GA$4="",$B27=""),0,SUMIF('DADOS BRUTOS'!$A$3:$A$500,$B27,'DADOS BRUTOS'!DA$3:DA$500)+IF($C27="",0,SUMIF('DADOS BRUTOS'!$A$3:$A$500,$C27,'DADOS BRUTOS'!DA$3:DA$500)))</f>
        <v/>
      </c>
      <c r="GB27" s="123">
        <f>IF(OR(GB$4="",$B27=""),0,SUMIF('DADOS BRUTOS'!$A$3:$A$500,$B27,'DADOS BRUTOS'!DB$3:DB$500)+IF($C27="",0,SUMIF('DADOS BRUTOS'!$A$3:$A$500,$C27,'DADOS BRUTOS'!DB$3:DB$500)))</f>
        <v/>
      </c>
      <c r="GC27" s="123">
        <f>IF(OR(GC$4="",$B27=""),0,SUMIF('DADOS BRUTOS'!$A$3:$A$500,$B27,'DADOS BRUTOS'!DC$3:DC$500)+IF($C27="",0,SUMIF('DADOS BRUTOS'!$A$3:$A$500,$C27,'DADOS BRUTOS'!DC$3:DC$500)))</f>
        <v/>
      </c>
      <c r="GD27" s="123">
        <f>IF(OR(GD$4="",$B27=""),0,SUMIF('DADOS BRUTOS'!$A$3:$A$500,$B27,'DADOS BRUTOS'!DD$3:DD$500)+IF($C27="",0,SUMIF('DADOS BRUTOS'!$A$3:$A$500,$C27,'DADOS BRUTOS'!DD$3:DD$500)))</f>
        <v/>
      </c>
      <c r="GE27" s="123">
        <f>IF(OR(GE$4="",$B27=""),0,SUMIF('DADOS BRUTOS'!$A$3:$A$500,$B27,'DADOS BRUTOS'!DE$3:DE$500)+IF($C27="",0,SUMIF('DADOS BRUTOS'!$A$3:$A$500,$C27,'DADOS BRUTOS'!DE$3:DE$500)))</f>
        <v/>
      </c>
      <c r="GF27" s="123">
        <f>IF(OR(GF$4="",$B27=""),0,SUMIF('DADOS BRUTOS'!$A$3:$A$500,$B27,'DADOS BRUTOS'!DF$3:DF$500)+IF($C27="",0,SUMIF('DADOS BRUTOS'!$A$3:$A$500,$C27,'DADOS BRUTOS'!DF$3:DF$500)))</f>
        <v/>
      </c>
      <c r="GG27" s="123">
        <f>IF(OR(GG$4="",$B27=""),0,SUMIF('DADOS BRUTOS'!$A$3:$A$500,$B27,'DADOS BRUTOS'!DG$3:DG$500)+IF($C27="",0,SUMIF('DADOS BRUTOS'!$A$3:$A$500,$C27,'DADOS BRUTOS'!DG$3:DG$500)))</f>
        <v/>
      </c>
      <c r="GH27" s="123">
        <f>IF(OR(GH$4="",$B27=""),0,SUMIF('DADOS BRUTOS'!$A$3:$A$500,$B27,'DADOS BRUTOS'!DH$3:DH$500)+IF($C27="",0,SUMIF('DADOS BRUTOS'!$A$3:$A$500,$C27,'DADOS BRUTOS'!DH$3:DH$500)))</f>
        <v/>
      </c>
      <c r="GI27" s="123">
        <f>IF(OR(GI$4="",$B27=""),0,SUMIF('DADOS BRUTOS'!$A$3:$A$500,$B27,'DADOS BRUTOS'!DI$3:DI$500)+IF($C27="",0,SUMIF('DADOS BRUTOS'!$A$3:$A$500,$C27,'DADOS BRUTOS'!DI$3:DI$500)))</f>
        <v/>
      </c>
      <c r="GJ27" s="123">
        <f>IF(OR(GJ$4="",$B27=""),0,SUMIF('DADOS BRUTOS'!$A$3:$A$500,$B27,'DADOS BRUTOS'!DJ$3:DJ$500)+IF($C27="",0,SUMIF('DADOS BRUTOS'!$A$3:$A$500,$C27,'DADOS BRUTOS'!DJ$3:DJ$500)))</f>
        <v/>
      </c>
      <c r="GK27" s="123">
        <f>IF(OR(GK$4="",$B27=""),0,SUMIF('DADOS BRUTOS'!$A$3:$A$500,$B27,'DADOS BRUTOS'!DK$3:DK$500)+IF($C27="",0,SUMIF('DADOS BRUTOS'!$A$3:$A$500,$C27,'DADOS BRUTOS'!DK$3:DK$500)))</f>
        <v/>
      </c>
      <c r="GL27" s="123">
        <f>IF(OR(GL$4="",$B27=""),0,SUMIF('DADOS BRUTOS'!$A$3:$A$500,$B27,'DADOS BRUTOS'!DL$3:DL$500)+IF($C27="",0,SUMIF('DADOS BRUTOS'!$A$3:$A$500,$C27,'DADOS BRUTOS'!DL$3:DL$500)))</f>
        <v/>
      </c>
      <c r="GM27" s="123">
        <f>IF(OR(GM$4="",$B27=""),0,SUMIF('DADOS BRUTOS'!$A$3:$A$500,$B27,'DADOS BRUTOS'!DM$3:DM$500)+IF($C27="",0,SUMIF('DADOS BRUTOS'!$A$3:$A$500,$C27,'DADOS BRUTOS'!DM$3:DM$500)))</f>
        <v/>
      </c>
      <c r="GN27" s="123">
        <f>IF(OR(GN$4="",$B27=""),0,SUMIF('DADOS BRUTOS'!$A$3:$A$500,$B27,'DADOS BRUTOS'!DN$3:DN$500)+IF($C27="",0,SUMIF('DADOS BRUTOS'!$A$3:$A$500,$C27,'DADOS BRUTOS'!DN$3:DN$500)))</f>
        <v/>
      </c>
      <c r="GO27" s="123">
        <f>IF(OR(GO$4="",$B27=""),0,SUMIF('DADOS BRUTOS'!$A$3:$A$500,$B27,'DADOS BRUTOS'!DO$3:DO$500)+IF($C27="",0,SUMIF('DADOS BRUTOS'!$A$3:$A$500,$C27,'DADOS BRUTOS'!DO$3:DO$500)))</f>
        <v/>
      </c>
      <c r="GP27" s="123">
        <f>IF(OR(GP$4="",$B27=""),0,SUMIF('DADOS BRUTOS'!$A$3:$A$500,$B27,'DADOS BRUTOS'!DP$3:DP$500)+IF($C27="",0,SUMIF('DADOS BRUTOS'!$A$3:$A$500,$C27,'DADOS BRUTOS'!DP$3:DP$500)))</f>
        <v/>
      </c>
      <c r="GQ27" s="123">
        <f>IF(OR(GQ$4="",$B27=""),0,SUMIF('DADOS BRUTOS'!$A$3:$A$500,$B27,'DADOS BRUTOS'!DQ$3:DQ$500)+IF($C27="",0,SUMIF('DADOS BRUTOS'!$A$3:$A$500,$C27,'DADOS BRUTOS'!DQ$3:DQ$500)))</f>
        <v/>
      </c>
      <c r="GR27" s="123">
        <f>IF(OR(GR$4="",$B27=""),0,SUMIF('DADOS BRUTOS'!$A$3:$A$500,$B27,'DADOS BRUTOS'!DR$3:DR$500)+IF($C27="",0,SUMIF('DADOS BRUTOS'!$A$3:$A$500,$C27,'DADOS BRUTOS'!DR$3:DR$500)))</f>
        <v/>
      </c>
      <c r="GS27" s="123">
        <f>IF(OR(GS$4="",$B27=""),0,SUMIF('DADOS BRUTOS'!$A$3:$A$500,$B27,'DADOS BRUTOS'!DS$3:DS$500)+IF($C27="",0,SUMIF('DADOS BRUTOS'!$A$3:$A$500,$C27,'DADOS BRUTOS'!DS$3:DS$500)))</f>
        <v/>
      </c>
      <c r="GT27" s="123">
        <f>IF(OR(GT$4="",$B27=""),0,SUMIF('DADOS BRUTOS'!$A$3:$A$500,$B27,'DADOS BRUTOS'!DT$3:DT$500)+IF($C27="",0,SUMIF('DADOS BRUTOS'!$A$3:$A$500,$C27,'DADOS BRUTOS'!DT$3:DT$500)))</f>
        <v/>
      </c>
      <c r="GU27" s="123">
        <f>IF(OR(GU$4="",$B27=""),0,SUMIF('DADOS BRUTOS'!$A$3:$A$500,$B27,'DADOS BRUTOS'!DU$3:DU$500)+IF($C27="",0,SUMIF('DADOS BRUTOS'!$A$3:$A$500,$C27,'DADOS BRUTOS'!DU$3:DU$500)))</f>
        <v/>
      </c>
      <c r="GV27" s="123">
        <f>IF(OR(GV$4="",$B27=""),0,SUMIF('DADOS BRUTOS'!$A$3:$A$500,$B27,'DADOS BRUTOS'!DV$3:DV$500)+IF($C27="",0,SUMIF('DADOS BRUTOS'!$A$3:$A$500,$C27,'DADOS BRUTOS'!DV$3:DV$500)))</f>
        <v/>
      </c>
      <c r="GW27" s="123">
        <f>IF(OR(GW$4="",$B27=""),0,SUMIF('DADOS BRUTOS'!$A$3:$A$500,$B27,'DADOS BRUTOS'!DW$3:DW$500)+IF($C27="",0,SUMIF('DADOS BRUTOS'!$A$3:$A$500,$C27,'DADOS BRUTOS'!DW$3:DW$500)))</f>
        <v/>
      </c>
      <c r="GX27" s="123">
        <f>IF(OR(GX$4="",$B27=""),0,SUMIF('DADOS BRUTOS'!$A$3:$A$500,$B27,'DADOS BRUTOS'!DX$3:DX$500)+IF($C27="",0,SUMIF('DADOS BRUTOS'!$A$3:$A$500,$C27,'DADOS BRUTOS'!DX$3:DX$500)))</f>
        <v/>
      </c>
      <c r="GY27" s="123">
        <f>IF(OR(GY$4="",$B27=""),0,SUMIF('DADOS BRUTOS'!$A$3:$A$500,$B27,'DADOS BRUTOS'!DY$3:DY$500)+IF($C27="",0,SUMIF('DADOS BRUTOS'!$A$3:$A$500,$C27,'DADOS BRUTOS'!DY$3:DY$500)))</f>
        <v/>
      </c>
      <c r="GZ27" s="123">
        <f>IF(OR(GZ$4="",$B27=""),0,SUMIF('DADOS BRUTOS'!$A$3:$A$500,$B27,'DADOS BRUTOS'!DZ$3:DZ$500)+IF($C27="",0,SUMIF('DADOS BRUTOS'!$A$3:$A$500,$C27,'DADOS BRUTOS'!DZ$3:DZ$500)))</f>
        <v/>
      </c>
      <c r="HA27" s="123">
        <f>IF(OR(HA$4="",$B27=""),0,SUMIF('DADOS BRUTOS'!$A$3:$A$500,$B27,'DADOS BRUTOS'!EA$3:EA$500)+IF($C27="",0,SUMIF('DADOS BRUTOS'!$A$3:$A$500,$C27,'DADOS BRUTOS'!EA$3:EA$500)))</f>
        <v/>
      </c>
      <c r="HB27" s="123">
        <f>IF(OR(HB$4="",$B27=""),0,SUMIF('DADOS BRUTOS'!$A$3:$A$500,$B27,'DADOS BRUTOS'!EB$3:EB$500)+IF($C27="",0,SUMIF('DADOS BRUTOS'!$A$3:$A$500,$C27,'DADOS BRUTOS'!EB$3:EB$500)))</f>
        <v/>
      </c>
      <c r="HC27" s="123">
        <f>IF(OR(HC$4="",$B27=""),0,SUMIF('DADOS BRUTOS'!$A$3:$A$500,$B27,'DADOS BRUTOS'!EC$3:EC$500)+IF($C27="",0,SUMIF('DADOS BRUTOS'!$A$3:$A$500,$C27,'DADOS BRUTOS'!EC$3:EC$500)))</f>
        <v/>
      </c>
      <c r="HD27" s="123">
        <f>IF(OR(HD$4="",$B27=""),0,SUMIF('DADOS BRUTOS'!$A$3:$A$500,$B27,'DADOS BRUTOS'!ED$3:ED$500)+IF($C27="",0,SUMIF('DADOS BRUTOS'!$A$3:$A$500,$C27,'DADOS BRUTOS'!ED$3:ED$500)))</f>
        <v/>
      </c>
      <c r="HE27" s="123">
        <f>IF(OR(HE$4="",$B27=""),0,SUMIF('DADOS BRUTOS'!$A$3:$A$500,$B27,'DADOS BRUTOS'!EE$3:EE$500)+IF($C27="",0,SUMIF('DADOS BRUTOS'!$A$3:$A$500,$C27,'DADOS BRUTOS'!EE$3:EE$500)))</f>
        <v/>
      </c>
      <c r="HF27" s="123">
        <f>IF(OR(HF$4="",$B27=""),0,SUMIF('DADOS BRUTOS'!$A$3:$A$500,$B27,'DADOS BRUTOS'!EF$3:EF$500)+IF($C27="",0,SUMIF('DADOS BRUTOS'!$A$3:$A$500,$C27,'DADOS BRUTOS'!EF$3:EF$500)))</f>
        <v/>
      </c>
      <c r="HG27" s="123">
        <f>IF(OR(HG$4="",$B27=""),0,SUMIF('DADOS BRUTOS'!$A$3:$A$500,$B27,'DADOS BRUTOS'!EG$3:EG$500)+IF($C27="",0,SUMIF('DADOS BRUTOS'!$A$3:$A$500,$C27,'DADOS BRUTOS'!EG$3:EG$500)))</f>
        <v/>
      </c>
      <c r="HH27" s="123">
        <f>IF(OR(HH$4="",$B27=""),0,SUMIF('DADOS BRUTOS'!$A$3:$A$500,$B27,'DADOS BRUTOS'!EH$3:EH$500)+IF($C27="",0,SUMIF('DADOS BRUTOS'!$A$3:$A$500,$C27,'DADOS BRUTOS'!EH$3:EH$500)))</f>
        <v/>
      </c>
      <c r="HI27" s="123">
        <f>IF(OR(HI$4="",$B27=""),0,SUMIF('DADOS BRUTOS'!$A$3:$A$500,$B27,'DADOS BRUTOS'!EI$3:EI$500)+IF($C27="",0,SUMIF('DADOS BRUTOS'!$A$3:$A$500,$C27,'DADOS BRUTOS'!EI$3:EI$500)))</f>
        <v/>
      </c>
      <c r="HJ27" s="123">
        <f>IF(OR(HJ$4="",$B27=""),0,SUMIF('DADOS BRUTOS'!$A$3:$A$500,$B27,'DADOS BRUTOS'!EJ$3:EJ$500)+IF($C27="",0,SUMIF('DADOS BRUTOS'!$A$3:$A$500,$C27,'DADOS BRUTOS'!EJ$3:EJ$500)))</f>
        <v/>
      </c>
      <c r="HK27" s="123">
        <f>IF(OR(HK$4="",$B27=""),0,SUMIF('DADOS BRUTOS'!$A$3:$A$500,$B27,'DADOS BRUTOS'!EK$3:EK$500)+IF($C27="",0,SUMIF('DADOS BRUTOS'!$A$3:$A$500,$C27,'DADOS BRUTOS'!EK$3:EK$500)))</f>
        <v/>
      </c>
      <c r="HL27" s="123">
        <f>IF(OR(HL$4="",$B27=""),0,SUMIF('DADOS BRUTOS'!$A$3:$A$500,$B27,'DADOS BRUTOS'!EL$3:EL$500)+IF($C27="",0,SUMIF('DADOS BRUTOS'!$A$3:$A$500,$C27,'DADOS BRUTOS'!EL$3:EL$500)))</f>
        <v/>
      </c>
      <c r="HM27" s="123">
        <f>IF(OR(HM$4="",$B27=""),0,SUMIF('DADOS BRUTOS'!$A$3:$A$500,$B27,'DADOS BRUTOS'!EM$3:EM$500)+IF($C27="",0,SUMIF('DADOS BRUTOS'!$A$3:$A$500,$C27,'DADOS BRUTOS'!EM$3:EM$500)))</f>
        <v/>
      </c>
      <c r="HN27" s="123">
        <f>IF(OR(HN$4="",$B27=""),0,SUMIF('DADOS BRUTOS'!$A$3:$A$500,$B27,'DADOS BRUTOS'!EN$3:EN$500)+IF($C27="",0,SUMIF('DADOS BRUTOS'!$A$3:$A$500,$C27,'DADOS BRUTOS'!EN$3:EN$500)))</f>
        <v/>
      </c>
      <c r="HO27" s="123">
        <f>IF(OR(HO$4="",$B27=""),0,SUMIF('DADOS BRUTOS'!$A$3:$A$500,$B27,'DADOS BRUTOS'!EO$3:EO$500)+IF($C27="",0,SUMIF('DADOS BRUTOS'!$A$3:$A$500,$C27,'DADOS BRUTOS'!EO$3:EO$500)))</f>
        <v/>
      </c>
      <c r="HP27" s="123">
        <f>IF(OR(HP$4="",$B27=""),0,SUMIF('DADOS BRUTOS'!$A$3:$A$500,$B27,'DADOS BRUTOS'!EP$3:EP$500)+IF($C27="",0,SUMIF('DADOS BRUTOS'!$A$3:$A$500,$C27,'DADOS BRUTOS'!EP$3:EP$500)))</f>
        <v/>
      </c>
      <c r="HQ27" s="123">
        <f>IF(OR(HQ$4="",$B27=""),0,SUMIF('DADOS BRUTOS'!$A$3:$A$500,$B27,'DADOS BRUTOS'!EQ$3:EQ$500)+IF($C27="",0,SUMIF('DADOS BRUTOS'!$A$3:$A$500,$C27,'DADOS BRUTOS'!EQ$3:EQ$500)))</f>
        <v/>
      </c>
      <c r="HR27" s="123">
        <f>IF(OR(HR$4="",$B27=""),0,SUMIF('DADOS BRUTOS'!$A$3:$A$500,$B27,'DADOS BRUTOS'!ER$3:ER$500)+IF($C27="",0,SUMIF('DADOS BRUTOS'!$A$3:$A$500,$C27,'DADOS BRUTOS'!ER$3:ER$500)))</f>
        <v/>
      </c>
      <c r="HS27" s="123">
        <f>IF(OR(HS$4="",$B27=""),0,SUMIF('DADOS BRUTOS'!$A$3:$A$500,$B27,'DADOS BRUTOS'!ES$3:ES$500)+IF($C27="",0,SUMIF('DADOS BRUTOS'!$A$3:$A$500,$C27,'DADOS BRUTOS'!ES$3:ES$500)))</f>
        <v/>
      </c>
      <c r="HT27" s="123">
        <f>IF(OR(HT$4="",$B27=""),0,SUMIF('DADOS BRUTOS'!$A$3:$A$500,$B27,'DADOS BRUTOS'!ET$3:ET$500)+IF($C27="",0,SUMIF('DADOS BRUTOS'!$A$3:$A$500,$C27,'DADOS BRUTOS'!ET$3:ET$500)))</f>
        <v/>
      </c>
      <c r="HU27" s="123">
        <f>IF(OR(HU$4="",$B27=""),0,SUMIF('DADOS BRUTOS'!$A$3:$A$500,$B27,'DADOS BRUTOS'!EU$3:EU$500)+IF($C27="",0,SUMIF('DADOS BRUTOS'!$A$3:$A$500,$C27,'DADOS BRUTOS'!EU$3:EU$500)))</f>
        <v/>
      </c>
      <c r="HV27" s="123">
        <f>IF(OR(HV$4="",$B27=""),0,SUMIF('DADOS BRUTOS'!$A$3:$A$500,$B27,'DADOS BRUTOS'!EV$3:EV$500)+IF($C27="",0,SUMIF('DADOS BRUTOS'!$A$3:$A$500,$C27,'DADOS BRUTOS'!EV$3:EV$500)))</f>
        <v/>
      </c>
      <c r="HW27" s="123">
        <f>IF(OR(HW$4="",$B27=""),0,SUMIF('DADOS BRUTOS'!$A$3:$A$500,$B27,'DADOS BRUTOS'!EW$3:EW$500)+IF($C27="",0,SUMIF('DADOS BRUTOS'!$A$3:$A$500,$C27,'DADOS BRUTOS'!EW$3:EW$500)))</f>
        <v/>
      </c>
      <c r="HX27" s="123">
        <f>IF(OR(HX$4="",$B27=""),0,SUMIF('DADOS BRUTOS'!$A$3:$A$500,$B27,'DADOS BRUTOS'!EX$3:EX$500)+IF($C27="",0,SUMIF('DADOS BRUTOS'!$A$3:$A$500,$C27,'DADOS BRUTOS'!EX$3:EX$500)))</f>
        <v/>
      </c>
      <c r="HY27" s="123">
        <f>IF(OR(HY$4="",$B27=""),0,SUMIF('DADOS BRUTOS'!$A$3:$A$500,$B27,'DADOS BRUTOS'!EY$3:EY$500)+IF($C27="",0,SUMIF('DADOS BRUTOS'!$A$3:$A$500,$C27,'DADOS BRUTOS'!EY$3:EY$500)))</f>
        <v/>
      </c>
      <c r="HZ27" s="123">
        <f>IF(OR(HZ$4="",$B27=""),0,SUMIF('DADOS BRUTOS'!$A$3:$A$500,$B27,'DADOS BRUTOS'!EZ$3:EZ$500)+IF($C27="",0,SUMIF('DADOS BRUTOS'!$A$3:$A$500,$C27,'DADOS BRUTOS'!EZ$3:EZ$500)))</f>
        <v/>
      </c>
      <c r="IA27" s="123">
        <f>IF(OR(IA$4="",$B27=""),0,SUMIF('DADOS BRUTOS'!$A$3:$A$500,$B27,'DADOS BRUTOS'!FA$3:FA$500)+IF($C27="",0,SUMIF('DADOS BRUTOS'!$A$3:$A$500,$C27,'DADOS BRUTOS'!FA$3:FA$500)))</f>
        <v/>
      </c>
      <c r="IB27" s="123">
        <f>IF(OR(IB$4="",$B27=""),0,SUMIF('DADOS BRUTOS'!$A$3:$A$500,$B27,'DADOS BRUTOS'!FB$3:FB$500)+IF($C27="",0,SUMIF('DADOS BRUTOS'!$A$3:$A$500,$C27,'DADOS BRUTOS'!FB$3:FB$500)))</f>
        <v/>
      </c>
      <c r="IC27" s="123">
        <f>IF(OR(IC$4="",$B27=""),0,SUMIF('DADOS BRUTOS'!$A$3:$A$500,$B27,'DADOS BRUTOS'!FC$3:FC$500)+IF($C27="",0,SUMIF('DADOS BRUTOS'!$A$3:$A$500,$C27,'DADOS BRUTOS'!FC$3:FC$500)))</f>
        <v/>
      </c>
      <c r="ID27" s="123">
        <f>IF(OR(ID$4="",$B27=""),0,SUMIF('DADOS BRUTOS'!$A$3:$A$500,$B27,'DADOS BRUTOS'!FD$3:FD$500)+IF($C27="",0,SUMIF('DADOS BRUTOS'!$A$3:$A$500,$C27,'DADOS BRUTOS'!FD$3:FD$500)))</f>
        <v/>
      </c>
      <c r="IE27" s="123">
        <f>IF(OR(IE$4="",$B27=""),0,SUMIF('DADOS BRUTOS'!$A$3:$A$500,$B27,'DADOS BRUTOS'!FE$3:FE$500)+IF($C27="",0,SUMIF('DADOS BRUTOS'!$A$3:$A$500,$C27,'DADOS BRUTOS'!FE$3:FE$500)))</f>
        <v/>
      </c>
      <c r="IF27" s="123">
        <f>IF(OR(IF$4="",$B27=""),0,SUMIF('DADOS BRUTOS'!$A$3:$A$500,$B27,'DADOS BRUTOS'!FF$3:FF$500)+IF($C27="",0,SUMIF('DADOS BRUTOS'!$A$3:$A$500,$C27,'DADOS BRUTOS'!FF$3:FF$500)))</f>
        <v/>
      </c>
      <c r="IG27" s="123">
        <f>IF(OR(IG$4="",$B27=""),0,SUMIF('DADOS BRUTOS'!$A$3:$A$500,$B27,'DADOS BRUTOS'!FG$3:FG$500)+IF($C27="",0,SUMIF('DADOS BRUTOS'!$A$3:$A$500,$C27,'DADOS BRUTOS'!FG$3:FG$500)))</f>
        <v/>
      </c>
      <c r="IH27" s="123">
        <f>IF(OR(IH$4="",$B27=""),0,SUMIF('DADOS BRUTOS'!$A$3:$A$500,$B27,'DADOS BRUTOS'!FH$3:FH$500)+IF($C27="",0,SUMIF('DADOS BRUTOS'!$A$3:$A$500,$C27,'DADOS BRUTOS'!FH$3:FH$500)))</f>
        <v/>
      </c>
      <c r="II27" s="123">
        <f>IF(OR(II$4="",$B27=""),0,SUMIF('DADOS BRUTOS'!$A$3:$A$500,$B27,'DADOS BRUTOS'!FI$3:FI$500)+IF($C27="",0,SUMIF('DADOS BRUTOS'!$A$3:$A$500,$C27,'DADOS BRUTOS'!FI$3:FI$500)))</f>
        <v/>
      </c>
      <c r="IJ27" s="123">
        <f>IF(OR(IJ$4="",$B27=""),0,SUMIF('DADOS BRUTOS'!$A$3:$A$500,$B27,'DADOS BRUTOS'!FJ$3:FJ$500)+IF($C27="",0,SUMIF('DADOS BRUTOS'!$A$3:$A$500,$C27,'DADOS BRUTOS'!FJ$3:FJ$500)))</f>
        <v/>
      </c>
      <c r="IK27" s="123">
        <f>IF(OR(IK$4="",$B27=""),0,SUMIF('DADOS BRUTOS'!$A$3:$A$500,$B27,'DADOS BRUTOS'!FK$3:FK$500)+IF($C27="",0,SUMIF('DADOS BRUTOS'!$A$3:$A$500,$C27,'DADOS BRUTOS'!FK$3:FK$500)))</f>
        <v/>
      </c>
      <c r="IL27" s="123">
        <f>IF(OR(IL$4="",$B27=""),0,SUMIF('DADOS BRUTOS'!$A$3:$A$500,$B27,'DADOS BRUTOS'!FL$3:FL$500)+IF($C27="",0,SUMIF('DADOS BRUTOS'!$A$3:$A$500,$C27,'DADOS BRUTOS'!FL$3:FL$500)))</f>
        <v/>
      </c>
      <c r="IM27" s="123">
        <f>IF(OR(IM$4="",$B27=""),0,SUMIF('DADOS BRUTOS'!$A$3:$A$500,$B27,'DADOS BRUTOS'!FM$3:FM$500)+IF($C27="",0,SUMIF('DADOS BRUTOS'!$A$3:$A$500,$C27,'DADOS BRUTOS'!FM$3:FM$500)))</f>
        <v/>
      </c>
      <c r="IN27" s="123">
        <f>IF(OR(IN$4="",$B27=""),0,SUMIF('DADOS BRUTOS'!$A$3:$A$500,$B27,'DADOS BRUTOS'!FN$3:FN$500)+IF($C27="",0,SUMIF('DADOS BRUTOS'!$A$3:$A$500,$C27,'DADOS BRUTOS'!FN$3:FN$500)))</f>
        <v/>
      </c>
      <c r="IO27" s="123">
        <f>IF(OR(IO$4="",$B27=""),0,SUMIF('DADOS BRUTOS'!$A$3:$A$500,$B27,'DADOS BRUTOS'!FO$3:FO$500)+IF($C27="",0,SUMIF('DADOS BRUTOS'!$A$3:$A$500,$C27,'DADOS BRUTOS'!FO$3:FO$500)))</f>
        <v/>
      </c>
      <c r="IP27" s="123">
        <f>IF(OR(IP$4="",$B27=""),0,SUMIF('DADOS BRUTOS'!$A$3:$A$500,$B27,'DADOS BRUTOS'!FP$3:FP$500)+IF($C27="",0,SUMIF('DADOS BRUTOS'!$A$3:$A$500,$C27,'DADOS BRUTOS'!FP$3:FP$500)))</f>
        <v/>
      </c>
      <c r="IQ27" s="123">
        <f>IF(OR(IQ$4="",$B27=""),0,SUMIF('DADOS BRUTOS'!$A$3:$A$500,$B27,'DADOS BRUTOS'!FQ$3:FQ$500)+IF($C27="",0,SUMIF('DADOS BRUTOS'!$A$3:$A$500,$C27,'DADOS BRUTOS'!FQ$3:FQ$500)))</f>
        <v/>
      </c>
      <c r="IR27" s="123">
        <f>IF(OR(IR$4="",$B27=""),0,SUMIF('DADOS BRUTOS'!$A$3:$A$500,$B27,'DADOS BRUTOS'!FR$3:FR$500)+IF($C27="",0,SUMIF('DADOS BRUTOS'!$A$3:$A$500,$C27,'DADOS BRUTOS'!FR$3:FR$500)))</f>
        <v/>
      </c>
      <c r="IS27" s="123">
        <f>IF(OR(IS$4="",$B27=""),0,SUMIF('DADOS BRUTOS'!$A$3:$A$500,$B27,'DADOS BRUTOS'!FS$3:FS$500)+IF($C27="",0,SUMIF('DADOS BRUTOS'!$A$3:$A$500,$C27,'DADOS BRUTOS'!FS$3:FS$500)))</f>
        <v/>
      </c>
      <c r="IT27" s="123">
        <f>IF(OR(IT$4="",$B27=""),0,SUMIF('DADOS BRUTOS'!$A$3:$A$500,$B27,'DADOS BRUTOS'!FT$3:FT$500)+IF($C27="",0,SUMIF('DADOS BRUTOS'!$A$3:$A$500,$C27,'DADOS BRUTOS'!FT$3:FT$500)))</f>
        <v/>
      </c>
      <c r="IU27" s="123">
        <f>IF(OR(IU$4="",$B27=""),0,SUMIF('DADOS BRUTOS'!$A$3:$A$500,$B27,'DADOS BRUTOS'!FU$3:FU$500)+IF($C27="",0,SUMIF('DADOS BRUTOS'!$A$3:$A$500,$C27,'DADOS BRUTOS'!FU$3:FU$500)))</f>
        <v/>
      </c>
      <c r="IV27" s="123">
        <f>IF(OR(IV$4="",$B27=""),0,SUMIF('DADOS BRUTOS'!$A$3:$A$500,$B27,'DADOS BRUTOS'!FV$3:FV$500)+IF($C27="",0,SUMIF('DADOS BRUTOS'!$A$3:$A$500,$C27,'DADOS BRUTOS'!FV$3:FV$500)))</f>
        <v/>
      </c>
      <c r="IW27" s="123">
        <f>IF(OR(IW$4="",$B27=""),0,SUMIF('DADOS BRUTOS'!$A$3:$A$500,$B27,'DADOS BRUTOS'!FW$3:FW$500)+IF($C27="",0,SUMIF('DADOS BRUTOS'!$A$3:$A$500,$C27,'DADOS BRUTOS'!FW$3:FW$500)))</f>
        <v/>
      </c>
      <c r="IX27" s="123">
        <f>IF(OR(IX$4="",$B27=""),0,SUMIF('DADOS BRUTOS'!$A$3:$A$500,$B27,'DADOS BRUTOS'!FX$3:FX$500)+IF($C27="",0,SUMIF('DADOS BRUTOS'!$A$3:$A$500,$C27,'DADOS BRUTOS'!FX$3:FX$500)))</f>
        <v/>
      </c>
      <c r="IY27" s="123">
        <f>IF(OR(IY$4="",$B27=""),0,SUMIF('DADOS BRUTOS'!$A$3:$A$500,$B27,'DADOS BRUTOS'!FY$3:FY$500)+IF($C27="",0,SUMIF('DADOS BRUTOS'!$A$3:$A$500,$C27,'DADOS BRUTOS'!FY$3:FY$500)))</f>
        <v/>
      </c>
      <c r="IZ27" s="123">
        <f>IF(OR(IZ$4="",$B27=""),0,SUMIF('DADOS BRUTOS'!$A$3:$A$500,$B27,'DADOS BRUTOS'!FZ$3:FZ$500)+IF($C27="",0,SUMIF('DADOS BRUTOS'!$A$3:$A$500,$C27,'DADOS BRUTOS'!FZ$3:FZ$500)))</f>
        <v/>
      </c>
      <c r="JA27" s="123">
        <f>IF(OR(JA$4="",$B27=""),0,SUMIF('DADOS BRUTOS'!$A$3:$A$500,$B27,'DADOS BRUTOS'!GA$3:GA$500)+IF($C27="",0,SUMIF('DADOS BRUTOS'!$A$3:$A$500,$C27,'DADOS BRUTOS'!GA$3:GA$500)))</f>
        <v/>
      </c>
      <c r="JB27" s="123">
        <f>IF(OR(JB$4="",$B27=""),0,SUMIF('DADOS BRUTOS'!$A$3:$A$500,$B27,'DADOS BRUTOS'!GB$3:GB$500)+IF($C27="",0,SUMIF('DADOS BRUTOS'!$A$3:$A$500,$C27,'DADOS BRUTOS'!GB$3:GB$500)))</f>
        <v/>
      </c>
      <c r="JC27" s="123">
        <f>IF(OR(JC$4="",$B27=""),0,SUMIF('DADOS BRUTOS'!$A$3:$A$500,$B27,'DADOS BRUTOS'!GC$3:GC$500)+IF($C27="",0,SUMIF('DADOS BRUTOS'!$A$3:$A$500,$C27,'DADOS BRUTOS'!GC$3:GC$500)))</f>
        <v/>
      </c>
      <c r="JD27" s="123">
        <f>IF(OR(JD$4="",$B27=""),0,SUMIF('DADOS BRUTOS'!$A$3:$A$500,$B27,'DADOS BRUTOS'!GD$3:GD$500)+IF($C27="",0,SUMIF('DADOS BRUTOS'!$A$3:$A$500,$C27,'DADOS BRUTOS'!GD$3:GD$500)))</f>
        <v/>
      </c>
      <c r="JE27" s="123">
        <f>IF(OR(JE$4="",$B27=""),0,SUMIF('DADOS BRUTOS'!$A$3:$A$500,$B27,'DADOS BRUTOS'!GE$3:GE$500)+IF($C27="",0,SUMIF('DADOS BRUTOS'!$A$3:$A$500,$C27,'DADOS BRUTOS'!GE$3:GE$500)))</f>
        <v/>
      </c>
      <c r="JF27" s="123">
        <f>IF(OR(JF$4="",$B27=""),0,SUMIF('DADOS BRUTOS'!$A$3:$A$500,$B27,'DADOS BRUTOS'!GF$3:GF$500)+IF($C27="",0,SUMIF('DADOS BRUTOS'!$A$3:$A$500,$C27,'DADOS BRUTOS'!GF$3:GF$500)))</f>
        <v/>
      </c>
      <c r="JG27" s="123">
        <f>IF(OR(JG$4="",$B27=""),0,SUMIF('DADOS BRUTOS'!$A$3:$A$500,$B27,'DADOS BRUTOS'!GG$3:GG$500)+IF($C27="",0,SUMIF('DADOS BRUTOS'!$A$3:$A$500,$C27,'DADOS BRUTOS'!GG$3:GG$500)))</f>
        <v/>
      </c>
      <c r="JH27" s="123">
        <f>IF(OR(JH$4="",$B27=""),0,SUMIF('DADOS BRUTOS'!$A$3:$A$500,$B27,'DADOS BRUTOS'!GH$3:GH$500)+IF($C27="",0,SUMIF('DADOS BRUTOS'!$A$3:$A$500,$C27,'DADOS BRUTOS'!GH$3:GH$500)))</f>
        <v/>
      </c>
      <c r="JI27" s="123">
        <f>IF(OR(JI$4="",$B27=""),0,SUMIF('DADOS BRUTOS'!$A$3:$A$500,$B27,'DADOS BRUTOS'!GI$3:GI$500)+IF($C27="",0,SUMIF('DADOS BRUTOS'!$A$3:$A$500,$C27,'DADOS BRUTOS'!GI$3:GI$500)))</f>
        <v/>
      </c>
      <c r="JJ27" s="123">
        <f>IF(OR(JJ$4="",$B27=""),0,SUMIF('DADOS BRUTOS'!$A$3:$A$500,$B27,'DADOS BRUTOS'!GJ$3:GJ$500)+IF($C27="",0,SUMIF('DADOS BRUTOS'!$A$3:$A$500,$C27,'DADOS BRUTOS'!GJ$3:GJ$500)))</f>
        <v/>
      </c>
      <c r="JK27" s="123">
        <f>IF(OR(JK$4="",$B27=""),0,SUMIF('DADOS BRUTOS'!$A$3:$A$500,$B27,'DADOS BRUTOS'!GK$3:GK$500)+IF($C27="",0,SUMIF('DADOS BRUTOS'!$A$3:$A$500,$C27,'DADOS BRUTOS'!GK$3:GK$500)))</f>
        <v/>
      </c>
      <c r="JL27" s="123">
        <f>IF(OR(JL$4="",$B27=""),0,SUMIF('DADOS BRUTOS'!$A$3:$A$500,$B27,'DADOS BRUTOS'!GL$3:GL$500)+IF($C27="",0,SUMIF('DADOS BRUTOS'!$A$3:$A$500,$C27,'DADOS BRUTOS'!GL$3:GL$500)))</f>
        <v/>
      </c>
      <c r="JM27" s="123">
        <f>IF(OR(JM$4="",$B27=""),0,SUMIF('DADOS BRUTOS'!$A$3:$A$500,$B27,'DADOS BRUTOS'!GM$3:GM$500)+IF($C27="",0,SUMIF('DADOS BRUTOS'!$A$3:$A$500,$C27,'DADOS BRUTOS'!GM$3:GM$500)))</f>
        <v/>
      </c>
      <c r="JN27" s="123">
        <f>IF(OR(JN$4="",$B27=""),0,SUMIF('DADOS BRUTOS'!$A$3:$A$500,$B27,'DADOS BRUTOS'!GN$3:GN$500)+IF($C27="",0,SUMIF('DADOS BRUTOS'!$A$3:$A$500,$C27,'DADOS BRUTOS'!GN$3:GN$500)))</f>
        <v/>
      </c>
      <c r="JO27" s="123">
        <f>IF(OR(JO$4="",$B27=""),0,SUMIF('DADOS BRUTOS'!$A$3:$A$500,$B27,'DADOS BRUTOS'!GO$3:GO$500)+IF($C27="",0,SUMIF('DADOS BRUTOS'!$A$3:$A$500,$C27,'DADOS BRUTOS'!GO$3:GO$500)))</f>
        <v/>
      </c>
      <c r="JP27" s="123">
        <f>IF(OR(JP$4="",$B27=""),0,SUMIF('DADOS BRUTOS'!$A$3:$A$500,$B27,'DADOS BRUTOS'!GP$3:GP$500)+IF($C27="",0,SUMIF('DADOS BRUTOS'!$A$3:$A$500,$C27,'DADOS BRUTOS'!GP$3:GP$500)))</f>
        <v/>
      </c>
      <c r="JQ27" s="123">
        <f>IF(OR(JQ$4="",$B27=""),0,SUMIF('DADOS BRUTOS'!$A$3:$A$500,$B27,'DADOS BRUTOS'!GQ$3:GQ$500)+IF($C27="",0,SUMIF('DADOS BRUTOS'!$A$3:$A$500,$C27,'DADOS BRUTOS'!GQ$3:GQ$500)))</f>
        <v/>
      </c>
      <c r="JR27" s="123">
        <f>IF(OR(JR$4="",$B27=""),0,SUMIF('DADOS BRUTOS'!$A$3:$A$500,$B27,'DADOS BRUTOS'!GR$3:GR$500)+IF($C27="",0,SUMIF('DADOS BRUTOS'!$A$3:$A$500,$C27,'DADOS BRUTOS'!GR$3:GR$500)))</f>
        <v/>
      </c>
      <c r="JS27" s="123">
        <f>IF(OR(JS$4="",$B27=""),0,SUMIF('DADOS BRUTOS'!$A$3:$A$500,$B27,'DADOS BRUTOS'!GS$3:GS$500)+IF($C27="",0,SUMIF('DADOS BRUTOS'!$A$3:$A$500,$C27,'DADOS BRUTOS'!GS$3:GS$500)))</f>
        <v/>
      </c>
    </row>
    <row r="28">
      <c r="A28" s="61">
        <f>'VALOR POR PL'!D34</f>
        <v/>
      </c>
      <c r="B28" s="60" t="inlineStr">
        <is>
          <t>ELEVADORES</t>
        </is>
      </c>
      <c r="C28" s="60" t="n"/>
      <c r="D28" s="55">
        <f>SUMIF($CB$4:$JS$4,"&lt;="&amp;D$4,$CB28:$JS28)</f>
        <v/>
      </c>
      <c r="E28" s="55">
        <f>SUMIF($CB$4:$JS$4,E$4,$CB28:$JS28)</f>
        <v/>
      </c>
      <c r="F28" s="55">
        <f>SUMIF($CB$4:$JS$4,F$4,$CB28:$JS28)</f>
        <v/>
      </c>
      <c r="G28" s="55">
        <f>SUMIF($CB$4:$JS$4,G$4,$CB28:$JS28)</f>
        <v/>
      </c>
      <c r="H28" s="55">
        <f>SUMIF($CB$4:$JS$4,H$4,$CB28:$JS28)</f>
        <v/>
      </c>
      <c r="I28" s="55">
        <f>SUMIF($CB$4:$JS$4,I$4,$CB28:$JS28)</f>
        <v/>
      </c>
      <c r="J28" s="55">
        <f>SUMIF($CB$4:$JS$4,J$4,$CB28:$JS28)</f>
        <v/>
      </c>
      <c r="K28" s="55">
        <f>SUMIF($CB$4:$JS$4,K$4,$CB28:$JS28)</f>
        <v/>
      </c>
      <c r="L28" s="55">
        <f>SUMIF($CB$4:$JS$4,L$4,$CB28:$JS28)</f>
        <v/>
      </c>
      <c r="M28" s="55">
        <f>SUMIF($CB$4:$JS$4,M$4,$CB28:$JS28)</f>
        <v/>
      </c>
      <c r="N28" s="55">
        <f>SUMIF($CB$4:$JS$4,N$4,$CB28:$JS28)</f>
        <v/>
      </c>
      <c r="O28" s="55">
        <f>SUMIF($CB$4:$JS$4,O$4,$CB28:$JS28)</f>
        <v/>
      </c>
      <c r="P28" s="55">
        <f>SUMIF($CB$4:$JS$4,P$4,$CB28:$JS28)</f>
        <v/>
      </c>
      <c r="Q28" s="55">
        <f>SUMIF($CB$4:$JS$4,Q$4,$CB28:$JS28)</f>
        <v/>
      </c>
      <c r="R28" s="55">
        <f>SUMIF($CB$4:$JS$4,R$4,$CB28:$JS28)</f>
        <v/>
      </c>
      <c r="S28" s="55">
        <f>SUMIF($CB$4:$JS$4,S$4,$CB28:$JS28)</f>
        <v/>
      </c>
      <c r="T28" s="55">
        <f>SUMIF($CB$4:$JS$4,T$4,$CB28:$JS28)</f>
        <v/>
      </c>
      <c r="U28" s="55">
        <f>SUMIF($CB$4:$JS$4,U$4,$CB28:$JS28)</f>
        <v/>
      </c>
      <c r="V28" s="55">
        <f>SUMIF($CB$4:$JS$4,V$4,$CB28:$JS28)</f>
        <v/>
      </c>
      <c r="W28" s="55">
        <f>SUMIF($CB$4:$JS$4,W$4,$CB28:$JS28)</f>
        <v/>
      </c>
      <c r="X28" s="55">
        <f>SUMIF($CB$4:$JS$4,X$4,$CB28:$JS28)</f>
        <v/>
      </c>
      <c r="Y28" s="55">
        <f>SUMIF($CB$4:$JS$4,Y$4,$CB28:$JS28)</f>
        <v/>
      </c>
      <c r="Z28" s="55">
        <f>SUMIF($CB$4:$JS$4,Z$4,$CB28:$JS28)</f>
        <v/>
      </c>
      <c r="AA28" s="55">
        <f>SUMIF($CB$4:$JS$4,AA$4,$CB28:$JS28)</f>
        <v/>
      </c>
      <c r="AB28" s="55">
        <f>SUMIF($CB$4:$JS$4,AB$4,$CB28:$JS28)</f>
        <v/>
      </c>
      <c r="AC28" s="55">
        <f>SUMIF($CB$4:$JS$4,AC$4,$CB28:$JS28)</f>
        <v/>
      </c>
      <c r="AD28" s="55">
        <f>SUMIF($CB$4:$JS$4,AD$4,$CB28:$JS28)</f>
        <v/>
      </c>
      <c r="AE28" s="55">
        <f>SUMIF($CB$4:$JS$4,AE$4,$CB28:$JS28)</f>
        <v/>
      </c>
      <c r="AF28" s="55">
        <f>SUMIF($CB$4:$JS$4,AF$4,$CB28:$JS28)</f>
        <v/>
      </c>
      <c r="AG28" s="55">
        <f>SUMIF($CB$4:$JS$4,AG$4,$CB28:$JS28)</f>
        <v/>
      </c>
      <c r="AH28" s="55">
        <f>SUMIF($CB$4:$JS$4,AH$4,$CB28:$JS28)</f>
        <v/>
      </c>
      <c r="AI28" s="55">
        <f>SUMIF($CB$4:$JS$4,AI$4,$CB28:$JS28)</f>
        <v/>
      </c>
      <c r="AJ28" s="55">
        <f>SUMIF($CB$4:$JS$4,AJ$4,$CB28:$JS28)</f>
        <v/>
      </c>
      <c r="AK28" s="55">
        <f>SUMIF($CB$4:$JS$4,AK$4,$CB28:$JS28)</f>
        <v/>
      </c>
      <c r="AL28" s="55">
        <f>SUMIF($CB$4:$JS$4,AL$4,$CB28:$JS28)</f>
        <v/>
      </c>
      <c r="AM28" s="55">
        <f>SUMIF($CB$4:$JS$4,AM$4,$CB28:$JS28)</f>
        <v/>
      </c>
      <c r="AN28" s="55">
        <f>SUMIF($CB$4:$JS$4,AN$4,$CB28:$JS28)</f>
        <v/>
      </c>
      <c r="AO28" s="55">
        <f>SUMIF($CB$4:$JS$4,AO$4,$CB28:$JS28)</f>
        <v/>
      </c>
      <c r="AP28" s="55">
        <f>SUMIF($CB$4:$JS$4,AP$4,$CB28:$JS28)</f>
        <v/>
      </c>
      <c r="AQ28" s="55">
        <f>SUMIF($CB$4:$JS$4,AQ$4,$CB28:$JS28)</f>
        <v/>
      </c>
      <c r="AR28" s="55">
        <f>SUMIF($CB$4:$JS$4,AR$4,$CB28:$JS28)</f>
        <v/>
      </c>
      <c r="AS28" s="55">
        <f>SUMIF($CB$4:$JS$4,AS$4,$CB28:$JS28)</f>
        <v/>
      </c>
      <c r="AT28" s="55">
        <f>SUMIF($CB$4:$JS$4,AT$4,$CB28:$JS28)</f>
        <v/>
      </c>
      <c r="AU28" s="55">
        <f>SUMIF($CB$4:$JS$4,AU$4,$CB28:$JS28)</f>
        <v/>
      </c>
      <c r="AV28" s="55">
        <f>SUMIF($CB$4:$JS$4,AV$4,$CB28:$JS28)</f>
        <v/>
      </c>
      <c r="AW28" s="55">
        <f>SUMIF($CB$4:$JS$4,AW$4,$CB28:$JS28)</f>
        <v/>
      </c>
      <c r="AX28" s="55">
        <f>SUMIF($CB$4:$JS$4,AX$4,$CB28:$JS28)</f>
        <v/>
      </c>
      <c r="AY28" s="55">
        <f>SUMIF($CB$4:$JS$4,AY$4,$CB28:$JS28)</f>
        <v/>
      </c>
      <c r="AZ28" s="55">
        <f>SUMIF($CB$4:$JS$4,AZ$4,$CB28:$JS28)</f>
        <v/>
      </c>
      <c r="BA28" s="55">
        <f>SUMIF($CB$4:$JS$4,BA$4,$CB28:$JS28)</f>
        <v/>
      </c>
      <c r="BB28" s="55">
        <f>SUMIF($CB$4:$JS$4,BB$4,$CB28:$JS28)</f>
        <v/>
      </c>
      <c r="BC28" s="55">
        <f>SUMIF($CB$4:$JS$4,BC$4,$CB28:$JS28)</f>
        <v/>
      </c>
      <c r="BD28" s="55">
        <f>SUMIF($CB$4:$JS$4,BD$4,$CB28:$JS28)</f>
        <v/>
      </c>
      <c r="BE28" s="55">
        <f>SUMIF($CB$4:$JS$4,BE$4,$CB28:$JS28)</f>
        <v/>
      </c>
      <c r="BF28" s="55">
        <f>SUMIF($CB$4:$JS$4,BF$4,$CB28:$JS28)</f>
        <v/>
      </c>
      <c r="BG28" s="55">
        <f>SUMIF($CB$4:$JS$4,BG$4,$CB28:$JS28)</f>
        <v/>
      </c>
      <c r="BH28" s="55">
        <f>SUMIF($CB$4:$JS$4,BH$4,$CB28:$JS28)</f>
        <v/>
      </c>
      <c r="BI28" s="55">
        <f>SUMIF($CB$4:$JS$4,BI$4,$CB28:$JS28)</f>
        <v/>
      </c>
      <c r="BJ28" s="55">
        <f>SUMIF($CB$4:$JS$4,BJ$4,$CB28:$JS28)</f>
        <v/>
      </c>
      <c r="BK28" s="55">
        <f>SUMIF($CB$4:$JS$4,BK$4,$CB28:$JS28)</f>
        <v/>
      </c>
      <c r="BL28" s="55">
        <f>SUMIF($CB$4:$JS$4,BL$4,$CB28:$JS28)</f>
        <v/>
      </c>
      <c r="BM28" s="55">
        <f>SUMIF($CB$4:$JS$4,BM$4,$CB28:$JS28)</f>
        <v/>
      </c>
      <c r="BN28" s="55">
        <f>SUMIF($CB$4:$JS$4,BN$4,$CB28:$JS28)</f>
        <v/>
      </c>
      <c r="BO28" s="55">
        <f>SUMIF($CB$4:$JS$4,BO$4,$CB28:$JS28)</f>
        <v/>
      </c>
      <c r="BP28" s="55">
        <f>SUMIF($CB$4:$JS$4,BP$4,$CB28:$JS28)</f>
        <v/>
      </c>
      <c r="BQ28" s="55">
        <f>SUMIF($CB$4:$JS$4,BQ$4,$CB28:$JS28)</f>
        <v/>
      </c>
      <c r="BR28" s="55">
        <f>SUMIF($CB$4:$JS$4,BR$4,$CB28:$JS28)</f>
        <v/>
      </c>
      <c r="BS28" s="55">
        <f>SUMIF($CB$4:$JS$4,BS$4,$CB28:$JS28)</f>
        <v/>
      </c>
      <c r="BT28" s="55">
        <f>SUMIF($CB$4:$JS$4,BT$4,$CB28:$JS28)</f>
        <v/>
      </c>
      <c r="BU28" s="55">
        <f>SUMIF($CB$4:$JS$4,BU$4,$CB28:$JS28)</f>
        <v/>
      </c>
      <c r="BV28" s="55">
        <f>SUMIF($CB$4:$JS$4,BV$4,$CB28:$JS28)</f>
        <v/>
      </c>
      <c r="BW28" s="55">
        <f>SUMIF($CB$4:$JS$4,BW$4,$CB28:$JS28)</f>
        <v/>
      </c>
      <c r="BX28" s="55">
        <f>SUMIF($CB$4:$JS$4,"&gt;"&amp;'VALOR POR PL'!$P$8,$CB28:$JS28)</f>
        <v/>
      </c>
      <c r="BY28" s="55">
        <f>SUM($CB28:$JS28)</f>
        <v/>
      </c>
      <c r="CB28" s="123">
        <f>IF(OR(CB$4="",$B28=""),0,SUMIF('DADOS BRUTOS'!$A$3:$A$500,$B28,'DADOS BRUTOS'!B$3:B$500)+IF($C28="",0,SUMIF('DADOS BRUTOS'!$A$3:$A$500,$C28,'DADOS BRUTOS'!B$3:B$500)))</f>
        <v/>
      </c>
      <c r="CC28" s="123">
        <f>IF(OR(CC$4="",$B28=""),0,SUMIF('DADOS BRUTOS'!$A$3:$A$500,$B28,'DADOS BRUTOS'!C$3:C$500)+IF($C28="",0,SUMIF('DADOS BRUTOS'!$A$3:$A$500,$C28,'DADOS BRUTOS'!C$3:C$500)))</f>
        <v/>
      </c>
      <c r="CD28" s="123">
        <f>IF(OR(CD$4="",$B28=""),0,SUMIF('DADOS BRUTOS'!$A$3:$A$500,$B28,'DADOS BRUTOS'!D$3:D$500)+IF($C28="",0,SUMIF('DADOS BRUTOS'!$A$3:$A$500,$C28,'DADOS BRUTOS'!D$3:D$500)))</f>
        <v/>
      </c>
      <c r="CE28" s="123">
        <f>IF(OR(CE$4="",$B28=""),0,SUMIF('DADOS BRUTOS'!$A$3:$A$500,$B28,'DADOS BRUTOS'!E$3:E$500)+IF($C28="",0,SUMIF('DADOS BRUTOS'!$A$3:$A$500,$C28,'DADOS BRUTOS'!E$3:E$500)))</f>
        <v/>
      </c>
      <c r="CF28" s="123">
        <f>IF(OR(CF$4="",$B28=""),0,SUMIF('DADOS BRUTOS'!$A$3:$A$500,$B28,'DADOS BRUTOS'!F$3:F$500)+IF($C28="",0,SUMIF('DADOS BRUTOS'!$A$3:$A$500,$C28,'DADOS BRUTOS'!F$3:F$500)))</f>
        <v/>
      </c>
      <c r="CG28" s="123">
        <f>IF(OR(CG$4="",$B28=""),0,SUMIF('DADOS BRUTOS'!$A$3:$A$500,$B28,'DADOS BRUTOS'!G$3:G$500)+IF($C28="",0,SUMIF('DADOS BRUTOS'!$A$3:$A$500,$C28,'DADOS BRUTOS'!G$3:G$500)))</f>
        <v/>
      </c>
      <c r="CH28" s="123">
        <f>IF(OR(CH$4="",$B28=""),0,SUMIF('DADOS BRUTOS'!$A$3:$A$500,$B28,'DADOS BRUTOS'!H$3:H$500)+IF($C28="",0,SUMIF('DADOS BRUTOS'!$A$3:$A$500,$C28,'DADOS BRUTOS'!H$3:H$500)))</f>
        <v/>
      </c>
      <c r="CI28" s="123">
        <f>IF(OR(CI$4="",$B28=""),0,SUMIF('DADOS BRUTOS'!$A$3:$A$500,$B28,'DADOS BRUTOS'!I$3:I$500)+IF($C28="",0,SUMIF('DADOS BRUTOS'!$A$3:$A$500,$C28,'DADOS BRUTOS'!I$3:I$500)))</f>
        <v/>
      </c>
      <c r="CJ28" s="123">
        <f>IF(OR(CJ$4="",$B28=""),0,SUMIF('DADOS BRUTOS'!$A$3:$A$500,$B28,'DADOS BRUTOS'!J$3:J$500)+IF($C28="",0,SUMIF('DADOS BRUTOS'!$A$3:$A$500,$C28,'DADOS BRUTOS'!J$3:J$500)))</f>
        <v/>
      </c>
      <c r="CK28" s="123">
        <f>IF(OR(CK$4="",$B28=""),0,SUMIF('DADOS BRUTOS'!$A$3:$A$500,$B28,'DADOS BRUTOS'!K$3:K$500)+IF($C28="",0,SUMIF('DADOS BRUTOS'!$A$3:$A$500,$C28,'DADOS BRUTOS'!K$3:K$500)))</f>
        <v/>
      </c>
      <c r="CL28" s="123">
        <f>IF(OR(CL$4="",$B28=""),0,SUMIF('DADOS BRUTOS'!$A$3:$A$500,$B28,'DADOS BRUTOS'!L$3:L$500)+IF($C28="",0,SUMIF('DADOS BRUTOS'!$A$3:$A$500,$C28,'DADOS BRUTOS'!L$3:L$500)))</f>
        <v/>
      </c>
      <c r="CM28" s="123">
        <f>IF(OR(CM$4="",$B28=""),0,SUMIF('DADOS BRUTOS'!$A$3:$A$500,$B28,'DADOS BRUTOS'!M$3:M$500)+IF($C28="",0,SUMIF('DADOS BRUTOS'!$A$3:$A$500,$C28,'DADOS BRUTOS'!M$3:M$500)))</f>
        <v/>
      </c>
      <c r="CN28" s="123">
        <f>IF(OR(CN$4="",$B28=""),0,SUMIF('DADOS BRUTOS'!$A$3:$A$500,$B28,'DADOS BRUTOS'!N$3:N$500)+IF($C28="",0,SUMIF('DADOS BRUTOS'!$A$3:$A$500,$C28,'DADOS BRUTOS'!N$3:N$500)))</f>
        <v/>
      </c>
      <c r="CO28" s="123">
        <f>IF(OR(CO$4="",$B28=""),0,SUMIF('DADOS BRUTOS'!$A$3:$A$500,$B28,'DADOS BRUTOS'!O$3:O$500)+IF($C28="",0,SUMIF('DADOS BRUTOS'!$A$3:$A$500,$C28,'DADOS BRUTOS'!O$3:O$500)))</f>
        <v/>
      </c>
      <c r="CP28" s="123">
        <f>IF(OR(CP$4="",$B28=""),0,SUMIF('DADOS BRUTOS'!$A$3:$A$500,$B28,'DADOS BRUTOS'!P$3:P$500)+IF($C28="",0,SUMIF('DADOS BRUTOS'!$A$3:$A$500,$C28,'DADOS BRUTOS'!P$3:P$500)))</f>
        <v/>
      </c>
      <c r="CQ28" s="123">
        <f>IF(OR(CQ$4="",$B28=""),0,SUMIF('DADOS BRUTOS'!$A$3:$A$500,$B28,'DADOS BRUTOS'!Q$3:Q$500)+IF($C28="",0,SUMIF('DADOS BRUTOS'!$A$3:$A$500,$C28,'DADOS BRUTOS'!Q$3:Q$500)))</f>
        <v/>
      </c>
      <c r="CR28" s="123">
        <f>IF(OR(CR$4="",$B28=""),0,SUMIF('DADOS BRUTOS'!$A$3:$A$500,$B28,'DADOS BRUTOS'!R$3:R$500)+IF($C28="",0,SUMIF('DADOS BRUTOS'!$A$3:$A$500,$C28,'DADOS BRUTOS'!R$3:R$500)))</f>
        <v/>
      </c>
      <c r="CS28" s="123">
        <f>IF(OR(CS$4="",$B28=""),0,SUMIF('DADOS BRUTOS'!$A$3:$A$500,$B28,'DADOS BRUTOS'!S$3:S$500)+IF($C28="",0,SUMIF('DADOS BRUTOS'!$A$3:$A$500,$C28,'DADOS BRUTOS'!S$3:S$500)))</f>
        <v/>
      </c>
      <c r="CT28" s="123">
        <f>IF(OR(CT$4="",$B28=""),0,SUMIF('DADOS BRUTOS'!$A$3:$A$500,$B28,'DADOS BRUTOS'!T$3:T$500)+IF($C28="",0,SUMIF('DADOS BRUTOS'!$A$3:$A$500,$C28,'DADOS BRUTOS'!T$3:T$500)))</f>
        <v/>
      </c>
      <c r="CU28" s="123">
        <f>IF(OR(CU$4="",$B28=""),0,SUMIF('DADOS BRUTOS'!$A$3:$A$500,$B28,'DADOS BRUTOS'!U$3:U$500)+IF($C28="",0,SUMIF('DADOS BRUTOS'!$A$3:$A$500,$C28,'DADOS BRUTOS'!U$3:U$500)))</f>
        <v/>
      </c>
      <c r="CV28" s="123">
        <f>IF(OR(CV$4="",$B28=""),0,SUMIF('DADOS BRUTOS'!$A$3:$A$500,$B28,'DADOS BRUTOS'!V$3:V$500)+IF($C28="",0,SUMIF('DADOS BRUTOS'!$A$3:$A$500,$C28,'DADOS BRUTOS'!V$3:V$500)))</f>
        <v/>
      </c>
      <c r="CW28" s="123">
        <f>IF(OR(CW$4="",$B28=""),0,SUMIF('DADOS BRUTOS'!$A$3:$A$500,$B28,'DADOS BRUTOS'!W$3:W$500)+IF($C28="",0,SUMIF('DADOS BRUTOS'!$A$3:$A$500,$C28,'DADOS BRUTOS'!W$3:W$500)))</f>
        <v/>
      </c>
      <c r="CX28" s="123">
        <f>IF(OR(CX$4="",$B28=""),0,SUMIF('DADOS BRUTOS'!$A$3:$A$500,$B28,'DADOS BRUTOS'!X$3:X$500)+IF($C28="",0,SUMIF('DADOS BRUTOS'!$A$3:$A$500,$C28,'DADOS BRUTOS'!X$3:X$500)))</f>
        <v/>
      </c>
      <c r="CY28" s="123">
        <f>IF(OR(CY$4="",$B28=""),0,SUMIF('DADOS BRUTOS'!$A$3:$A$500,$B28,'DADOS BRUTOS'!Y$3:Y$500)+IF($C28="",0,SUMIF('DADOS BRUTOS'!$A$3:$A$500,$C28,'DADOS BRUTOS'!Y$3:Y$500)))</f>
        <v/>
      </c>
      <c r="CZ28" s="123">
        <f>IF(OR(CZ$4="",$B28=""),0,SUMIF('DADOS BRUTOS'!$A$3:$A$500,$B28,'DADOS BRUTOS'!Z$3:Z$500)+IF($C28="",0,SUMIF('DADOS BRUTOS'!$A$3:$A$500,$C28,'DADOS BRUTOS'!Z$3:Z$500)))</f>
        <v/>
      </c>
      <c r="DA28" s="123">
        <f>IF(OR(DA$4="",$B28=""),0,SUMIF('DADOS BRUTOS'!$A$3:$A$500,$B28,'DADOS BRUTOS'!AA$3:AA$500)+IF($C28="",0,SUMIF('DADOS BRUTOS'!$A$3:$A$500,$C28,'DADOS BRUTOS'!AA$3:AA$500)))</f>
        <v/>
      </c>
      <c r="DB28" s="123">
        <f>IF(OR(DB$4="",$B28=""),0,SUMIF('DADOS BRUTOS'!$A$3:$A$500,$B28,'DADOS BRUTOS'!AB$3:AB$500)+IF($C28="",0,SUMIF('DADOS BRUTOS'!$A$3:$A$500,$C28,'DADOS BRUTOS'!AB$3:AB$500)))</f>
        <v/>
      </c>
      <c r="DC28" s="123">
        <f>IF(OR(DC$4="",$B28=""),0,SUMIF('DADOS BRUTOS'!$A$3:$A$500,$B28,'DADOS BRUTOS'!AC$3:AC$500)+IF($C28="",0,SUMIF('DADOS BRUTOS'!$A$3:$A$500,$C28,'DADOS BRUTOS'!AC$3:AC$500)))</f>
        <v/>
      </c>
      <c r="DD28" s="123">
        <f>IF(OR(DD$4="",$B28=""),0,SUMIF('DADOS BRUTOS'!$A$3:$A$500,$B28,'DADOS BRUTOS'!AD$3:AD$500)+IF($C28="",0,SUMIF('DADOS BRUTOS'!$A$3:$A$500,$C28,'DADOS BRUTOS'!AD$3:AD$500)))</f>
        <v/>
      </c>
      <c r="DE28" s="123">
        <f>IF(OR(DE$4="",$B28=""),0,SUMIF('DADOS BRUTOS'!$A$3:$A$500,$B28,'DADOS BRUTOS'!AE$3:AE$500)+IF($C28="",0,SUMIF('DADOS BRUTOS'!$A$3:$A$500,$C28,'DADOS BRUTOS'!AE$3:AE$500)))</f>
        <v/>
      </c>
      <c r="DF28" s="123">
        <f>IF(OR(DF$4="",$B28=""),0,SUMIF('DADOS BRUTOS'!$A$3:$A$500,$B28,'DADOS BRUTOS'!AF$3:AF$500)+IF($C28="",0,SUMIF('DADOS BRUTOS'!$A$3:$A$500,$C28,'DADOS BRUTOS'!AF$3:AF$500)))</f>
        <v/>
      </c>
      <c r="DG28" s="123">
        <f>IF(OR(DG$4="",$B28=""),0,SUMIF('DADOS BRUTOS'!$A$3:$A$500,$B28,'DADOS BRUTOS'!AG$3:AG$500)+IF($C28="",0,SUMIF('DADOS BRUTOS'!$A$3:$A$500,$C28,'DADOS BRUTOS'!AG$3:AG$500)))</f>
        <v/>
      </c>
      <c r="DH28" s="123">
        <f>IF(OR(DH$4="",$B28=""),0,SUMIF('DADOS BRUTOS'!$A$3:$A$500,$B28,'DADOS BRUTOS'!AH$3:AH$500)+IF($C28="",0,SUMIF('DADOS BRUTOS'!$A$3:$A$500,$C28,'DADOS BRUTOS'!AH$3:AH$500)))</f>
        <v/>
      </c>
      <c r="DI28" s="123">
        <f>IF(OR(DI$4="",$B28=""),0,SUMIF('DADOS BRUTOS'!$A$3:$A$500,$B28,'DADOS BRUTOS'!AI$3:AI$500)+IF($C28="",0,SUMIF('DADOS BRUTOS'!$A$3:$A$500,$C28,'DADOS BRUTOS'!AI$3:AI$500)))</f>
        <v/>
      </c>
      <c r="DJ28" s="123">
        <f>IF(OR(DJ$4="",$B28=""),0,SUMIF('DADOS BRUTOS'!$A$3:$A$500,$B28,'DADOS BRUTOS'!AJ$3:AJ$500)+IF($C28="",0,SUMIF('DADOS BRUTOS'!$A$3:$A$500,$C28,'DADOS BRUTOS'!AJ$3:AJ$500)))</f>
        <v/>
      </c>
      <c r="DK28" s="123">
        <f>IF(OR(DK$4="",$B28=""),0,SUMIF('DADOS BRUTOS'!$A$3:$A$500,$B28,'DADOS BRUTOS'!AK$3:AK$500)+IF($C28="",0,SUMIF('DADOS BRUTOS'!$A$3:$A$500,$C28,'DADOS BRUTOS'!AK$3:AK$500)))</f>
        <v/>
      </c>
      <c r="DL28" s="123">
        <f>IF(OR(DL$4="",$B28=""),0,SUMIF('DADOS BRUTOS'!$A$3:$A$500,$B28,'DADOS BRUTOS'!AL$3:AL$500)+IF($C28="",0,SUMIF('DADOS BRUTOS'!$A$3:$A$500,$C28,'DADOS BRUTOS'!AL$3:AL$500)))</f>
        <v/>
      </c>
      <c r="DM28" s="123">
        <f>IF(OR(DM$4="",$B28=""),0,SUMIF('DADOS BRUTOS'!$A$3:$A$500,$B28,'DADOS BRUTOS'!AM$3:AM$500)+IF($C28="",0,SUMIF('DADOS BRUTOS'!$A$3:$A$500,$C28,'DADOS BRUTOS'!AM$3:AM$500)))</f>
        <v/>
      </c>
      <c r="DN28" s="123">
        <f>IF(OR(DN$4="",$B28=""),0,SUMIF('DADOS BRUTOS'!$A$3:$A$500,$B28,'DADOS BRUTOS'!AN$3:AN$500)+IF($C28="",0,SUMIF('DADOS BRUTOS'!$A$3:$A$500,$C28,'DADOS BRUTOS'!AN$3:AN$500)))</f>
        <v/>
      </c>
      <c r="DO28" s="123">
        <f>IF(OR(DO$4="",$B28=""),0,SUMIF('DADOS BRUTOS'!$A$3:$A$500,$B28,'DADOS BRUTOS'!AO$3:AO$500)+IF($C28="",0,SUMIF('DADOS BRUTOS'!$A$3:$A$500,$C28,'DADOS BRUTOS'!AO$3:AO$500)))</f>
        <v/>
      </c>
      <c r="DP28" s="123">
        <f>IF(OR(DP$4="",$B28=""),0,SUMIF('DADOS BRUTOS'!$A$3:$A$500,$B28,'DADOS BRUTOS'!AP$3:AP$500)+IF($C28="",0,SUMIF('DADOS BRUTOS'!$A$3:$A$500,$C28,'DADOS BRUTOS'!AP$3:AP$500)))</f>
        <v/>
      </c>
      <c r="DQ28" s="123">
        <f>IF(OR(DQ$4="",$B28=""),0,SUMIF('DADOS BRUTOS'!$A$3:$A$500,$B28,'DADOS BRUTOS'!AQ$3:AQ$500)+IF($C28="",0,SUMIF('DADOS BRUTOS'!$A$3:$A$500,$C28,'DADOS BRUTOS'!AQ$3:AQ$500)))</f>
        <v/>
      </c>
      <c r="DR28" s="123">
        <f>IF(OR(DR$4="",$B28=""),0,SUMIF('DADOS BRUTOS'!$A$3:$A$500,$B28,'DADOS BRUTOS'!AR$3:AR$500)+IF($C28="",0,SUMIF('DADOS BRUTOS'!$A$3:$A$500,$C28,'DADOS BRUTOS'!AR$3:AR$500)))</f>
        <v/>
      </c>
      <c r="DS28" s="123">
        <f>IF(OR(DS$4="",$B28=""),0,SUMIF('DADOS BRUTOS'!$A$3:$A$500,$B28,'DADOS BRUTOS'!AS$3:AS$500)+IF($C28="",0,SUMIF('DADOS BRUTOS'!$A$3:$A$500,$C28,'DADOS BRUTOS'!AS$3:AS$500)))</f>
        <v/>
      </c>
      <c r="DT28" s="123">
        <f>IF(OR(DT$4="",$B28=""),0,SUMIF('DADOS BRUTOS'!$A$3:$A$500,$B28,'DADOS BRUTOS'!AT$3:AT$500)+IF($C28="",0,SUMIF('DADOS BRUTOS'!$A$3:$A$500,$C28,'DADOS BRUTOS'!AT$3:AT$500)))</f>
        <v/>
      </c>
      <c r="DU28" s="123">
        <f>IF(OR(DU$4="",$B28=""),0,SUMIF('DADOS BRUTOS'!$A$3:$A$500,$B28,'DADOS BRUTOS'!AU$3:AU$500)+IF($C28="",0,SUMIF('DADOS BRUTOS'!$A$3:$A$500,$C28,'DADOS BRUTOS'!AU$3:AU$500)))</f>
        <v/>
      </c>
      <c r="DV28" s="123">
        <f>IF(OR(DV$4="",$B28=""),0,SUMIF('DADOS BRUTOS'!$A$3:$A$500,$B28,'DADOS BRUTOS'!AV$3:AV$500)+IF($C28="",0,SUMIF('DADOS BRUTOS'!$A$3:$A$500,$C28,'DADOS BRUTOS'!AV$3:AV$500)))</f>
        <v/>
      </c>
      <c r="DW28" s="123">
        <f>IF(OR(DW$4="",$B28=""),0,SUMIF('DADOS BRUTOS'!$A$3:$A$500,$B28,'DADOS BRUTOS'!AW$3:AW$500)+IF($C28="",0,SUMIF('DADOS BRUTOS'!$A$3:$A$500,$C28,'DADOS BRUTOS'!AW$3:AW$500)))</f>
        <v/>
      </c>
      <c r="DX28" s="123">
        <f>IF(OR(DX$4="",$B28=""),0,SUMIF('DADOS BRUTOS'!$A$3:$A$500,$B28,'DADOS BRUTOS'!AX$3:AX$500)+IF($C28="",0,SUMIF('DADOS BRUTOS'!$A$3:$A$500,$C28,'DADOS BRUTOS'!AX$3:AX$500)))</f>
        <v/>
      </c>
      <c r="DY28" s="123">
        <f>IF(OR(DY$4="",$B28=""),0,SUMIF('DADOS BRUTOS'!$A$3:$A$500,$B28,'DADOS BRUTOS'!AY$3:AY$500)+IF($C28="",0,SUMIF('DADOS BRUTOS'!$A$3:$A$500,$C28,'DADOS BRUTOS'!AY$3:AY$500)))</f>
        <v/>
      </c>
      <c r="DZ28" s="123">
        <f>IF(OR(DZ$4="",$B28=""),0,SUMIF('DADOS BRUTOS'!$A$3:$A$500,$B28,'DADOS BRUTOS'!AZ$3:AZ$500)+IF($C28="",0,SUMIF('DADOS BRUTOS'!$A$3:$A$500,$C28,'DADOS BRUTOS'!AZ$3:AZ$500)))</f>
        <v/>
      </c>
      <c r="EA28" s="123">
        <f>IF(OR(EA$4="",$B28=""),0,SUMIF('DADOS BRUTOS'!$A$3:$A$500,$B28,'DADOS BRUTOS'!BA$3:BA$500)+IF($C28="",0,SUMIF('DADOS BRUTOS'!$A$3:$A$500,$C28,'DADOS BRUTOS'!BA$3:BA$500)))</f>
        <v/>
      </c>
      <c r="EB28" s="123">
        <f>IF(OR(EB$4="",$B28=""),0,SUMIF('DADOS BRUTOS'!$A$3:$A$500,$B28,'DADOS BRUTOS'!BB$3:BB$500)+IF($C28="",0,SUMIF('DADOS BRUTOS'!$A$3:$A$500,$C28,'DADOS BRUTOS'!BB$3:BB$500)))</f>
        <v/>
      </c>
      <c r="EC28" s="123">
        <f>IF(OR(EC$4="",$B28=""),0,SUMIF('DADOS BRUTOS'!$A$3:$A$500,$B28,'DADOS BRUTOS'!BC$3:BC$500)+IF($C28="",0,SUMIF('DADOS BRUTOS'!$A$3:$A$500,$C28,'DADOS BRUTOS'!BC$3:BC$500)))</f>
        <v/>
      </c>
      <c r="ED28" s="123">
        <f>IF(OR(ED$4="",$B28=""),0,SUMIF('DADOS BRUTOS'!$A$3:$A$500,$B28,'DADOS BRUTOS'!BD$3:BD$500)+IF($C28="",0,SUMIF('DADOS BRUTOS'!$A$3:$A$500,$C28,'DADOS BRUTOS'!BD$3:BD$500)))</f>
        <v/>
      </c>
      <c r="EE28" s="123">
        <f>IF(OR(EE$4="",$B28=""),0,SUMIF('DADOS BRUTOS'!$A$3:$A$500,$B28,'DADOS BRUTOS'!BE$3:BE$500)+IF($C28="",0,SUMIF('DADOS BRUTOS'!$A$3:$A$500,$C28,'DADOS BRUTOS'!BE$3:BE$500)))</f>
        <v/>
      </c>
      <c r="EF28" s="123">
        <f>IF(OR(EF$4="",$B28=""),0,SUMIF('DADOS BRUTOS'!$A$3:$A$500,$B28,'DADOS BRUTOS'!BF$3:BF$500)+IF($C28="",0,SUMIF('DADOS BRUTOS'!$A$3:$A$500,$C28,'DADOS BRUTOS'!BF$3:BF$500)))</f>
        <v/>
      </c>
      <c r="EG28" s="123">
        <f>IF(OR(EG$4="",$B28=""),0,SUMIF('DADOS BRUTOS'!$A$3:$A$500,$B28,'DADOS BRUTOS'!BG$3:BG$500)+IF($C28="",0,SUMIF('DADOS BRUTOS'!$A$3:$A$500,$C28,'DADOS BRUTOS'!BG$3:BG$500)))</f>
        <v/>
      </c>
      <c r="EH28" s="123">
        <f>IF(OR(EH$4="",$B28=""),0,SUMIF('DADOS BRUTOS'!$A$3:$A$500,$B28,'DADOS BRUTOS'!BH$3:BH$500)+IF($C28="",0,SUMIF('DADOS BRUTOS'!$A$3:$A$500,$C28,'DADOS BRUTOS'!BH$3:BH$500)))</f>
        <v/>
      </c>
      <c r="EI28" s="123">
        <f>IF(OR(EI$4="",$B28=""),0,SUMIF('DADOS BRUTOS'!$A$3:$A$500,$B28,'DADOS BRUTOS'!BI$3:BI$500)+IF($C28="",0,SUMIF('DADOS BRUTOS'!$A$3:$A$500,$C28,'DADOS BRUTOS'!BI$3:BI$500)))</f>
        <v/>
      </c>
      <c r="EJ28" s="123">
        <f>IF(OR(EJ$4="",$B28=""),0,SUMIF('DADOS BRUTOS'!$A$3:$A$500,$B28,'DADOS BRUTOS'!BJ$3:BJ$500)+IF($C28="",0,SUMIF('DADOS BRUTOS'!$A$3:$A$500,$C28,'DADOS BRUTOS'!BJ$3:BJ$500)))</f>
        <v/>
      </c>
      <c r="EK28" s="123">
        <f>IF(OR(EK$4="",$B28=""),0,SUMIF('DADOS BRUTOS'!$A$3:$A$500,$B28,'DADOS BRUTOS'!BK$3:BK$500)+IF($C28="",0,SUMIF('DADOS BRUTOS'!$A$3:$A$500,$C28,'DADOS BRUTOS'!BK$3:BK$500)))</f>
        <v/>
      </c>
      <c r="EL28" s="123">
        <f>IF(OR(EL$4="",$B28=""),0,SUMIF('DADOS BRUTOS'!$A$3:$A$500,$B28,'DADOS BRUTOS'!BL$3:BL$500)+IF($C28="",0,SUMIF('DADOS BRUTOS'!$A$3:$A$500,$C28,'DADOS BRUTOS'!BL$3:BL$500)))</f>
        <v/>
      </c>
      <c r="EM28" s="123">
        <f>IF(OR(EM$4="",$B28=""),0,SUMIF('DADOS BRUTOS'!$A$3:$A$500,$B28,'DADOS BRUTOS'!BM$3:BM$500)+IF($C28="",0,SUMIF('DADOS BRUTOS'!$A$3:$A$500,$C28,'DADOS BRUTOS'!BM$3:BM$500)))</f>
        <v/>
      </c>
      <c r="EN28" s="123">
        <f>IF(OR(EN$4="",$B28=""),0,SUMIF('DADOS BRUTOS'!$A$3:$A$500,$B28,'DADOS BRUTOS'!BN$3:BN$500)+IF($C28="",0,SUMIF('DADOS BRUTOS'!$A$3:$A$500,$C28,'DADOS BRUTOS'!BN$3:BN$500)))</f>
        <v/>
      </c>
      <c r="EO28" s="123">
        <f>IF(OR(EO$4="",$B28=""),0,SUMIF('DADOS BRUTOS'!$A$3:$A$500,$B28,'DADOS BRUTOS'!BO$3:BO$500)+IF($C28="",0,SUMIF('DADOS BRUTOS'!$A$3:$A$500,$C28,'DADOS BRUTOS'!BO$3:BO$500)))</f>
        <v/>
      </c>
      <c r="EP28" s="123">
        <f>IF(OR(EP$4="",$B28=""),0,SUMIF('DADOS BRUTOS'!$A$3:$A$500,$B28,'DADOS BRUTOS'!BP$3:BP$500)+IF($C28="",0,SUMIF('DADOS BRUTOS'!$A$3:$A$500,$C28,'DADOS BRUTOS'!BP$3:BP$500)))</f>
        <v/>
      </c>
      <c r="EQ28" s="123">
        <f>IF(OR(EQ$4="",$B28=""),0,SUMIF('DADOS BRUTOS'!$A$3:$A$500,$B28,'DADOS BRUTOS'!BQ$3:BQ$500)+IF($C28="",0,SUMIF('DADOS BRUTOS'!$A$3:$A$500,$C28,'DADOS BRUTOS'!BQ$3:BQ$500)))</f>
        <v/>
      </c>
      <c r="ER28" s="123">
        <f>IF(OR(ER$4="",$B28=""),0,SUMIF('DADOS BRUTOS'!$A$3:$A$500,$B28,'DADOS BRUTOS'!BR$3:BR$500)+IF($C28="",0,SUMIF('DADOS BRUTOS'!$A$3:$A$500,$C28,'DADOS BRUTOS'!BR$3:BR$500)))</f>
        <v/>
      </c>
      <c r="ES28" s="123">
        <f>IF(OR(ES$4="",$B28=""),0,SUMIF('DADOS BRUTOS'!$A$3:$A$500,$B28,'DADOS BRUTOS'!BS$3:BS$500)+IF($C28="",0,SUMIF('DADOS BRUTOS'!$A$3:$A$500,$C28,'DADOS BRUTOS'!BS$3:BS$500)))</f>
        <v/>
      </c>
      <c r="ET28" s="123">
        <f>IF(OR(ET$4="",$B28=""),0,SUMIF('DADOS BRUTOS'!$A$3:$A$500,$B28,'DADOS BRUTOS'!BT$3:BT$500)+IF($C28="",0,SUMIF('DADOS BRUTOS'!$A$3:$A$500,$C28,'DADOS BRUTOS'!BT$3:BT$500)))</f>
        <v/>
      </c>
      <c r="EU28" s="123">
        <f>IF(OR(EU$4="",$B28=""),0,SUMIF('DADOS BRUTOS'!$A$3:$A$500,$B28,'DADOS BRUTOS'!BU$3:BU$500)+IF($C28="",0,SUMIF('DADOS BRUTOS'!$A$3:$A$500,$C28,'DADOS BRUTOS'!BU$3:BU$500)))</f>
        <v/>
      </c>
      <c r="EV28" s="123">
        <f>IF(OR(EV$4="",$B28=""),0,SUMIF('DADOS BRUTOS'!$A$3:$A$500,$B28,'DADOS BRUTOS'!BV$3:BV$500)+IF($C28="",0,SUMIF('DADOS BRUTOS'!$A$3:$A$500,$C28,'DADOS BRUTOS'!BV$3:BV$500)))</f>
        <v/>
      </c>
      <c r="EW28" s="123">
        <f>IF(OR(EW$4="",$B28=""),0,SUMIF('DADOS BRUTOS'!$A$3:$A$500,$B28,'DADOS BRUTOS'!BW$3:BW$500)+IF($C28="",0,SUMIF('DADOS BRUTOS'!$A$3:$A$500,$C28,'DADOS BRUTOS'!BW$3:BW$500)))</f>
        <v/>
      </c>
      <c r="EX28" s="123">
        <f>IF(OR(EX$4="",$B28=""),0,SUMIF('DADOS BRUTOS'!$A$3:$A$500,$B28,'DADOS BRUTOS'!BX$3:BX$500)+IF($C28="",0,SUMIF('DADOS BRUTOS'!$A$3:$A$500,$C28,'DADOS BRUTOS'!BX$3:BX$500)))</f>
        <v/>
      </c>
      <c r="EY28" s="123">
        <f>IF(OR(EY$4="",$B28=""),0,SUMIF('DADOS BRUTOS'!$A$3:$A$500,$B28,'DADOS BRUTOS'!BY$3:BY$500)+IF($C28="",0,SUMIF('DADOS BRUTOS'!$A$3:$A$500,$C28,'DADOS BRUTOS'!BY$3:BY$500)))</f>
        <v/>
      </c>
      <c r="EZ28" s="123">
        <f>IF(OR(EZ$4="",$B28=""),0,SUMIF('DADOS BRUTOS'!$A$3:$A$500,$B28,'DADOS BRUTOS'!BZ$3:BZ$500)+IF($C28="",0,SUMIF('DADOS BRUTOS'!$A$3:$A$500,$C28,'DADOS BRUTOS'!BZ$3:BZ$500)))</f>
        <v/>
      </c>
      <c r="FA28" s="123">
        <f>IF(OR(FA$4="",$B28=""),0,SUMIF('DADOS BRUTOS'!$A$3:$A$500,$B28,'DADOS BRUTOS'!CA$3:CA$500)+IF($C28="",0,SUMIF('DADOS BRUTOS'!$A$3:$A$500,$C28,'DADOS BRUTOS'!CA$3:CA$500)))</f>
        <v/>
      </c>
      <c r="FB28" s="123">
        <f>IF(OR(FB$4="",$B28=""),0,SUMIF('DADOS BRUTOS'!$A$3:$A$500,$B28,'DADOS BRUTOS'!CB$3:CB$500)+IF($C28="",0,SUMIF('DADOS BRUTOS'!$A$3:$A$500,$C28,'DADOS BRUTOS'!CB$3:CB$500)))</f>
        <v/>
      </c>
      <c r="FC28" s="123">
        <f>IF(OR(FC$4="",$B28=""),0,SUMIF('DADOS BRUTOS'!$A$3:$A$500,$B28,'DADOS BRUTOS'!CC$3:CC$500)+IF($C28="",0,SUMIF('DADOS BRUTOS'!$A$3:$A$500,$C28,'DADOS BRUTOS'!CC$3:CC$500)))</f>
        <v/>
      </c>
      <c r="FD28" s="123">
        <f>IF(OR(FD$4="",$B28=""),0,SUMIF('DADOS BRUTOS'!$A$3:$A$500,$B28,'DADOS BRUTOS'!CD$3:CD$500)+IF($C28="",0,SUMIF('DADOS BRUTOS'!$A$3:$A$500,$C28,'DADOS BRUTOS'!CD$3:CD$500)))</f>
        <v/>
      </c>
      <c r="FE28" s="123">
        <f>IF(OR(FE$4="",$B28=""),0,SUMIF('DADOS BRUTOS'!$A$3:$A$500,$B28,'DADOS BRUTOS'!CE$3:CE$500)+IF($C28="",0,SUMIF('DADOS BRUTOS'!$A$3:$A$500,$C28,'DADOS BRUTOS'!CE$3:CE$500)))</f>
        <v/>
      </c>
      <c r="FF28" s="123">
        <f>IF(OR(FF$4="",$B28=""),0,SUMIF('DADOS BRUTOS'!$A$3:$A$500,$B28,'DADOS BRUTOS'!CF$3:CF$500)+IF($C28="",0,SUMIF('DADOS BRUTOS'!$A$3:$A$500,$C28,'DADOS BRUTOS'!CF$3:CF$500)))</f>
        <v/>
      </c>
      <c r="FG28" s="123">
        <f>IF(OR(FG$4="",$B28=""),0,SUMIF('DADOS BRUTOS'!$A$3:$A$500,$B28,'DADOS BRUTOS'!CG$3:CG$500)+IF($C28="",0,SUMIF('DADOS BRUTOS'!$A$3:$A$500,$C28,'DADOS BRUTOS'!CG$3:CG$500)))</f>
        <v/>
      </c>
      <c r="FH28" s="123">
        <f>IF(OR(FH$4="",$B28=""),0,SUMIF('DADOS BRUTOS'!$A$3:$A$500,$B28,'DADOS BRUTOS'!CH$3:CH$500)+IF($C28="",0,SUMIF('DADOS BRUTOS'!$A$3:$A$500,$C28,'DADOS BRUTOS'!CH$3:CH$500)))</f>
        <v/>
      </c>
      <c r="FI28" s="123">
        <f>IF(OR(FI$4="",$B28=""),0,SUMIF('DADOS BRUTOS'!$A$3:$A$500,$B28,'DADOS BRUTOS'!CI$3:CI$500)+IF($C28="",0,SUMIF('DADOS BRUTOS'!$A$3:$A$500,$C28,'DADOS BRUTOS'!CI$3:CI$500)))</f>
        <v/>
      </c>
      <c r="FJ28" s="123">
        <f>IF(OR(FJ$4="",$B28=""),0,SUMIF('DADOS BRUTOS'!$A$3:$A$500,$B28,'DADOS BRUTOS'!CJ$3:CJ$500)+IF($C28="",0,SUMIF('DADOS BRUTOS'!$A$3:$A$500,$C28,'DADOS BRUTOS'!CJ$3:CJ$500)))</f>
        <v/>
      </c>
      <c r="FK28" s="123">
        <f>IF(OR(FK$4="",$B28=""),0,SUMIF('DADOS BRUTOS'!$A$3:$A$500,$B28,'DADOS BRUTOS'!CK$3:CK$500)+IF($C28="",0,SUMIF('DADOS BRUTOS'!$A$3:$A$500,$C28,'DADOS BRUTOS'!CK$3:CK$500)))</f>
        <v/>
      </c>
      <c r="FL28" s="123">
        <f>IF(OR(FL$4="",$B28=""),0,SUMIF('DADOS BRUTOS'!$A$3:$A$500,$B28,'DADOS BRUTOS'!CL$3:CL$500)+IF($C28="",0,SUMIF('DADOS BRUTOS'!$A$3:$A$500,$C28,'DADOS BRUTOS'!CL$3:CL$500)))</f>
        <v/>
      </c>
      <c r="FM28" s="123">
        <f>IF(OR(FM$4="",$B28=""),0,SUMIF('DADOS BRUTOS'!$A$3:$A$500,$B28,'DADOS BRUTOS'!CM$3:CM$500)+IF($C28="",0,SUMIF('DADOS BRUTOS'!$A$3:$A$500,$C28,'DADOS BRUTOS'!CM$3:CM$500)))</f>
        <v/>
      </c>
      <c r="FN28" s="123">
        <f>IF(OR(FN$4="",$B28=""),0,SUMIF('DADOS BRUTOS'!$A$3:$A$500,$B28,'DADOS BRUTOS'!CN$3:CN$500)+IF($C28="",0,SUMIF('DADOS BRUTOS'!$A$3:$A$500,$C28,'DADOS BRUTOS'!CN$3:CN$500)))</f>
        <v/>
      </c>
      <c r="FO28" s="123">
        <f>IF(OR(FO$4="",$B28=""),0,SUMIF('DADOS BRUTOS'!$A$3:$A$500,$B28,'DADOS BRUTOS'!CO$3:CO$500)+IF($C28="",0,SUMIF('DADOS BRUTOS'!$A$3:$A$500,$C28,'DADOS BRUTOS'!CO$3:CO$500)))</f>
        <v/>
      </c>
      <c r="FP28" s="123">
        <f>IF(OR(FP$4="",$B28=""),0,SUMIF('DADOS BRUTOS'!$A$3:$A$500,$B28,'DADOS BRUTOS'!CP$3:CP$500)+IF($C28="",0,SUMIF('DADOS BRUTOS'!$A$3:$A$500,$C28,'DADOS BRUTOS'!CP$3:CP$500)))</f>
        <v/>
      </c>
      <c r="FQ28" s="123">
        <f>IF(OR(FQ$4="",$B28=""),0,SUMIF('DADOS BRUTOS'!$A$3:$A$500,$B28,'DADOS BRUTOS'!CQ$3:CQ$500)+IF($C28="",0,SUMIF('DADOS BRUTOS'!$A$3:$A$500,$C28,'DADOS BRUTOS'!CQ$3:CQ$500)))</f>
        <v/>
      </c>
      <c r="FR28" s="123">
        <f>IF(OR(FR$4="",$B28=""),0,SUMIF('DADOS BRUTOS'!$A$3:$A$500,$B28,'DADOS BRUTOS'!CR$3:CR$500)+IF($C28="",0,SUMIF('DADOS BRUTOS'!$A$3:$A$500,$C28,'DADOS BRUTOS'!CR$3:CR$500)))</f>
        <v/>
      </c>
      <c r="FS28" s="123">
        <f>IF(OR(FS$4="",$B28=""),0,SUMIF('DADOS BRUTOS'!$A$3:$A$500,$B28,'DADOS BRUTOS'!CS$3:CS$500)+IF($C28="",0,SUMIF('DADOS BRUTOS'!$A$3:$A$500,$C28,'DADOS BRUTOS'!CS$3:CS$500)))</f>
        <v/>
      </c>
      <c r="FT28" s="123">
        <f>IF(OR(FT$4="",$B28=""),0,SUMIF('DADOS BRUTOS'!$A$3:$A$500,$B28,'DADOS BRUTOS'!CT$3:CT$500)+IF($C28="",0,SUMIF('DADOS BRUTOS'!$A$3:$A$500,$C28,'DADOS BRUTOS'!CT$3:CT$500)))</f>
        <v/>
      </c>
      <c r="FU28" s="123">
        <f>IF(OR(FU$4="",$B28=""),0,SUMIF('DADOS BRUTOS'!$A$3:$A$500,$B28,'DADOS BRUTOS'!CU$3:CU$500)+IF($C28="",0,SUMIF('DADOS BRUTOS'!$A$3:$A$500,$C28,'DADOS BRUTOS'!CU$3:CU$500)))</f>
        <v/>
      </c>
      <c r="FV28" s="123">
        <f>IF(OR(FV$4="",$B28=""),0,SUMIF('DADOS BRUTOS'!$A$3:$A$500,$B28,'DADOS BRUTOS'!CV$3:CV$500)+IF($C28="",0,SUMIF('DADOS BRUTOS'!$A$3:$A$500,$C28,'DADOS BRUTOS'!CV$3:CV$500)))</f>
        <v/>
      </c>
      <c r="FW28" s="123">
        <f>IF(OR(FW$4="",$B28=""),0,SUMIF('DADOS BRUTOS'!$A$3:$A$500,$B28,'DADOS BRUTOS'!CW$3:CW$500)+IF($C28="",0,SUMIF('DADOS BRUTOS'!$A$3:$A$500,$C28,'DADOS BRUTOS'!CW$3:CW$500)))</f>
        <v/>
      </c>
      <c r="FX28" s="123">
        <f>IF(OR(FX$4="",$B28=""),0,SUMIF('DADOS BRUTOS'!$A$3:$A$500,$B28,'DADOS BRUTOS'!CX$3:CX$500)+IF($C28="",0,SUMIF('DADOS BRUTOS'!$A$3:$A$500,$C28,'DADOS BRUTOS'!CX$3:CX$500)))</f>
        <v/>
      </c>
      <c r="FY28" s="123">
        <f>IF(OR(FY$4="",$B28=""),0,SUMIF('DADOS BRUTOS'!$A$3:$A$500,$B28,'DADOS BRUTOS'!CY$3:CY$500)+IF($C28="",0,SUMIF('DADOS BRUTOS'!$A$3:$A$500,$C28,'DADOS BRUTOS'!CY$3:CY$500)))</f>
        <v/>
      </c>
      <c r="FZ28" s="123">
        <f>IF(OR(FZ$4="",$B28=""),0,SUMIF('DADOS BRUTOS'!$A$3:$A$500,$B28,'DADOS BRUTOS'!CZ$3:CZ$500)+IF($C28="",0,SUMIF('DADOS BRUTOS'!$A$3:$A$500,$C28,'DADOS BRUTOS'!CZ$3:CZ$500)))</f>
        <v/>
      </c>
      <c r="GA28" s="123">
        <f>IF(OR(GA$4="",$B28=""),0,SUMIF('DADOS BRUTOS'!$A$3:$A$500,$B28,'DADOS BRUTOS'!DA$3:DA$500)+IF($C28="",0,SUMIF('DADOS BRUTOS'!$A$3:$A$500,$C28,'DADOS BRUTOS'!DA$3:DA$500)))</f>
        <v/>
      </c>
      <c r="GB28" s="123">
        <f>IF(OR(GB$4="",$B28=""),0,SUMIF('DADOS BRUTOS'!$A$3:$A$500,$B28,'DADOS BRUTOS'!DB$3:DB$500)+IF($C28="",0,SUMIF('DADOS BRUTOS'!$A$3:$A$500,$C28,'DADOS BRUTOS'!DB$3:DB$500)))</f>
        <v/>
      </c>
      <c r="GC28" s="123">
        <f>IF(OR(GC$4="",$B28=""),0,SUMIF('DADOS BRUTOS'!$A$3:$A$500,$B28,'DADOS BRUTOS'!DC$3:DC$500)+IF($C28="",0,SUMIF('DADOS BRUTOS'!$A$3:$A$500,$C28,'DADOS BRUTOS'!DC$3:DC$500)))</f>
        <v/>
      </c>
      <c r="GD28" s="123">
        <f>IF(OR(GD$4="",$B28=""),0,SUMIF('DADOS BRUTOS'!$A$3:$A$500,$B28,'DADOS BRUTOS'!DD$3:DD$500)+IF($C28="",0,SUMIF('DADOS BRUTOS'!$A$3:$A$500,$C28,'DADOS BRUTOS'!DD$3:DD$500)))</f>
        <v/>
      </c>
      <c r="GE28" s="123">
        <f>IF(OR(GE$4="",$B28=""),0,SUMIF('DADOS BRUTOS'!$A$3:$A$500,$B28,'DADOS BRUTOS'!DE$3:DE$500)+IF($C28="",0,SUMIF('DADOS BRUTOS'!$A$3:$A$500,$C28,'DADOS BRUTOS'!DE$3:DE$500)))</f>
        <v/>
      </c>
      <c r="GF28" s="123">
        <f>IF(OR(GF$4="",$B28=""),0,SUMIF('DADOS BRUTOS'!$A$3:$A$500,$B28,'DADOS BRUTOS'!DF$3:DF$500)+IF($C28="",0,SUMIF('DADOS BRUTOS'!$A$3:$A$500,$C28,'DADOS BRUTOS'!DF$3:DF$500)))</f>
        <v/>
      </c>
      <c r="GG28" s="123">
        <f>IF(OR(GG$4="",$B28=""),0,SUMIF('DADOS BRUTOS'!$A$3:$A$500,$B28,'DADOS BRUTOS'!DG$3:DG$500)+IF($C28="",0,SUMIF('DADOS BRUTOS'!$A$3:$A$500,$C28,'DADOS BRUTOS'!DG$3:DG$500)))</f>
        <v/>
      </c>
      <c r="GH28" s="123">
        <f>IF(OR(GH$4="",$B28=""),0,SUMIF('DADOS BRUTOS'!$A$3:$A$500,$B28,'DADOS BRUTOS'!DH$3:DH$500)+IF($C28="",0,SUMIF('DADOS BRUTOS'!$A$3:$A$500,$C28,'DADOS BRUTOS'!DH$3:DH$500)))</f>
        <v/>
      </c>
      <c r="GI28" s="123">
        <f>IF(OR(GI$4="",$B28=""),0,SUMIF('DADOS BRUTOS'!$A$3:$A$500,$B28,'DADOS BRUTOS'!DI$3:DI$500)+IF($C28="",0,SUMIF('DADOS BRUTOS'!$A$3:$A$500,$C28,'DADOS BRUTOS'!DI$3:DI$500)))</f>
        <v/>
      </c>
      <c r="GJ28" s="123">
        <f>IF(OR(GJ$4="",$B28=""),0,SUMIF('DADOS BRUTOS'!$A$3:$A$500,$B28,'DADOS BRUTOS'!DJ$3:DJ$500)+IF($C28="",0,SUMIF('DADOS BRUTOS'!$A$3:$A$500,$C28,'DADOS BRUTOS'!DJ$3:DJ$500)))</f>
        <v/>
      </c>
      <c r="GK28" s="123">
        <f>IF(OR(GK$4="",$B28=""),0,SUMIF('DADOS BRUTOS'!$A$3:$A$500,$B28,'DADOS BRUTOS'!DK$3:DK$500)+IF($C28="",0,SUMIF('DADOS BRUTOS'!$A$3:$A$500,$C28,'DADOS BRUTOS'!DK$3:DK$500)))</f>
        <v/>
      </c>
      <c r="GL28" s="123">
        <f>IF(OR(GL$4="",$B28=""),0,SUMIF('DADOS BRUTOS'!$A$3:$A$500,$B28,'DADOS BRUTOS'!DL$3:DL$500)+IF($C28="",0,SUMIF('DADOS BRUTOS'!$A$3:$A$500,$C28,'DADOS BRUTOS'!DL$3:DL$500)))</f>
        <v/>
      </c>
      <c r="GM28" s="123">
        <f>IF(OR(GM$4="",$B28=""),0,SUMIF('DADOS BRUTOS'!$A$3:$A$500,$B28,'DADOS BRUTOS'!DM$3:DM$500)+IF($C28="",0,SUMIF('DADOS BRUTOS'!$A$3:$A$500,$C28,'DADOS BRUTOS'!DM$3:DM$500)))</f>
        <v/>
      </c>
      <c r="GN28" s="123">
        <f>IF(OR(GN$4="",$B28=""),0,SUMIF('DADOS BRUTOS'!$A$3:$A$500,$B28,'DADOS BRUTOS'!DN$3:DN$500)+IF($C28="",0,SUMIF('DADOS BRUTOS'!$A$3:$A$500,$C28,'DADOS BRUTOS'!DN$3:DN$500)))</f>
        <v/>
      </c>
      <c r="GO28" s="123">
        <f>IF(OR(GO$4="",$B28=""),0,SUMIF('DADOS BRUTOS'!$A$3:$A$500,$B28,'DADOS BRUTOS'!DO$3:DO$500)+IF($C28="",0,SUMIF('DADOS BRUTOS'!$A$3:$A$500,$C28,'DADOS BRUTOS'!DO$3:DO$500)))</f>
        <v/>
      </c>
      <c r="GP28" s="123">
        <f>IF(OR(GP$4="",$B28=""),0,SUMIF('DADOS BRUTOS'!$A$3:$A$500,$B28,'DADOS BRUTOS'!DP$3:DP$500)+IF($C28="",0,SUMIF('DADOS BRUTOS'!$A$3:$A$500,$C28,'DADOS BRUTOS'!DP$3:DP$500)))</f>
        <v/>
      </c>
      <c r="GQ28" s="123">
        <f>IF(OR(GQ$4="",$B28=""),0,SUMIF('DADOS BRUTOS'!$A$3:$A$500,$B28,'DADOS BRUTOS'!DQ$3:DQ$500)+IF($C28="",0,SUMIF('DADOS BRUTOS'!$A$3:$A$500,$C28,'DADOS BRUTOS'!DQ$3:DQ$500)))</f>
        <v/>
      </c>
      <c r="GR28" s="123">
        <f>IF(OR(GR$4="",$B28=""),0,SUMIF('DADOS BRUTOS'!$A$3:$A$500,$B28,'DADOS BRUTOS'!DR$3:DR$500)+IF($C28="",0,SUMIF('DADOS BRUTOS'!$A$3:$A$500,$C28,'DADOS BRUTOS'!DR$3:DR$500)))</f>
        <v/>
      </c>
      <c r="GS28" s="123">
        <f>IF(OR(GS$4="",$B28=""),0,SUMIF('DADOS BRUTOS'!$A$3:$A$500,$B28,'DADOS BRUTOS'!DS$3:DS$500)+IF($C28="",0,SUMIF('DADOS BRUTOS'!$A$3:$A$500,$C28,'DADOS BRUTOS'!DS$3:DS$500)))</f>
        <v/>
      </c>
      <c r="GT28" s="123">
        <f>IF(OR(GT$4="",$B28=""),0,SUMIF('DADOS BRUTOS'!$A$3:$A$500,$B28,'DADOS BRUTOS'!DT$3:DT$500)+IF($C28="",0,SUMIF('DADOS BRUTOS'!$A$3:$A$500,$C28,'DADOS BRUTOS'!DT$3:DT$500)))</f>
        <v/>
      </c>
      <c r="GU28" s="123">
        <f>IF(OR(GU$4="",$B28=""),0,SUMIF('DADOS BRUTOS'!$A$3:$A$500,$B28,'DADOS BRUTOS'!DU$3:DU$500)+IF($C28="",0,SUMIF('DADOS BRUTOS'!$A$3:$A$500,$C28,'DADOS BRUTOS'!DU$3:DU$500)))</f>
        <v/>
      </c>
      <c r="GV28" s="123">
        <f>IF(OR(GV$4="",$B28=""),0,SUMIF('DADOS BRUTOS'!$A$3:$A$500,$B28,'DADOS BRUTOS'!DV$3:DV$500)+IF($C28="",0,SUMIF('DADOS BRUTOS'!$A$3:$A$500,$C28,'DADOS BRUTOS'!DV$3:DV$500)))</f>
        <v/>
      </c>
      <c r="GW28" s="123">
        <f>IF(OR(GW$4="",$B28=""),0,SUMIF('DADOS BRUTOS'!$A$3:$A$500,$B28,'DADOS BRUTOS'!DW$3:DW$500)+IF($C28="",0,SUMIF('DADOS BRUTOS'!$A$3:$A$500,$C28,'DADOS BRUTOS'!DW$3:DW$500)))</f>
        <v/>
      </c>
      <c r="GX28" s="123">
        <f>IF(OR(GX$4="",$B28=""),0,SUMIF('DADOS BRUTOS'!$A$3:$A$500,$B28,'DADOS BRUTOS'!DX$3:DX$500)+IF($C28="",0,SUMIF('DADOS BRUTOS'!$A$3:$A$500,$C28,'DADOS BRUTOS'!DX$3:DX$500)))</f>
        <v/>
      </c>
      <c r="GY28" s="123">
        <f>IF(OR(GY$4="",$B28=""),0,SUMIF('DADOS BRUTOS'!$A$3:$A$500,$B28,'DADOS BRUTOS'!DY$3:DY$500)+IF($C28="",0,SUMIF('DADOS BRUTOS'!$A$3:$A$500,$C28,'DADOS BRUTOS'!DY$3:DY$500)))</f>
        <v/>
      </c>
      <c r="GZ28" s="123">
        <f>IF(OR(GZ$4="",$B28=""),0,SUMIF('DADOS BRUTOS'!$A$3:$A$500,$B28,'DADOS BRUTOS'!DZ$3:DZ$500)+IF($C28="",0,SUMIF('DADOS BRUTOS'!$A$3:$A$500,$C28,'DADOS BRUTOS'!DZ$3:DZ$500)))</f>
        <v/>
      </c>
      <c r="HA28" s="123">
        <f>IF(OR(HA$4="",$B28=""),0,SUMIF('DADOS BRUTOS'!$A$3:$A$500,$B28,'DADOS BRUTOS'!EA$3:EA$500)+IF($C28="",0,SUMIF('DADOS BRUTOS'!$A$3:$A$500,$C28,'DADOS BRUTOS'!EA$3:EA$500)))</f>
        <v/>
      </c>
      <c r="HB28" s="123">
        <f>IF(OR(HB$4="",$B28=""),0,SUMIF('DADOS BRUTOS'!$A$3:$A$500,$B28,'DADOS BRUTOS'!EB$3:EB$500)+IF($C28="",0,SUMIF('DADOS BRUTOS'!$A$3:$A$500,$C28,'DADOS BRUTOS'!EB$3:EB$500)))</f>
        <v/>
      </c>
      <c r="HC28" s="123">
        <f>IF(OR(HC$4="",$B28=""),0,SUMIF('DADOS BRUTOS'!$A$3:$A$500,$B28,'DADOS BRUTOS'!EC$3:EC$500)+IF($C28="",0,SUMIF('DADOS BRUTOS'!$A$3:$A$500,$C28,'DADOS BRUTOS'!EC$3:EC$500)))</f>
        <v/>
      </c>
      <c r="HD28" s="123">
        <f>IF(OR(HD$4="",$B28=""),0,SUMIF('DADOS BRUTOS'!$A$3:$A$500,$B28,'DADOS BRUTOS'!ED$3:ED$500)+IF($C28="",0,SUMIF('DADOS BRUTOS'!$A$3:$A$500,$C28,'DADOS BRUTOS'!ED$3:ED$500)))</f>
        <v/>
      </c>
      <c r="HE28" s="123">
        <f>IF(OR(HE$4="",$B28=""),0,SUMIF('DADOS BRUTOS'!$A$3:$A$500,$B28,'DADOS BRUTOS'!EE$3:EE$500)+IF($C28="",0,SUMIF('DADOS BRUTOS'!$A$3:$A$500,$C28,'DADOS BRUTOS'!EE$3:EE$500)))</f>
        <v/>
      </c>
      <c r="HF28" s="123">
        <f>IF(OR(HF$4="",$B28=""),0,SUMIF('DADOS BRUTOS'!$A$3:$A$500,$B28,'DADOS BRUTOS'!EF$3:EF$500)+IF($C28="",0,SUMIF('DADOS BRUTOS'!$A$3:$A$500,$C28,'DADOS BRUTOS'!EF$3:EF$500)))</f>
        <v/>
      </c>
      <c r="HG28" s="123">
        <f>IF(OR(HG$4="",$B28=""),0,SUMIF('DADOS BRUTOS'!$A$3:$A$500,$B28,'DADOS BRUTOS'!EG$3:EG$500)+IF($C28="",0,SUMIF('DADOS BRUTOS'!$A$3:$A$500,$C28,'DADOS BRUTOS'!EG$3:EG$500)))</f>
        <v/>
      </c>
      <c r="HH28" s="123">
        <f>IF(OR(HH$4="",$B28=""),0,SUMIF('DADOS BRUTOS'!$A$3:$A$500,$B28,'DADOS BRUTOS'!EH$3:EH$500)+IF($C28="",0,SUMIF('DADOS BRUTOS'!$A$3:$A$500,$C28,'DADOS BRUTOS'!EH$3:EH$500)))</f>
        <v/>
      </c>
      <c r="HI28" s="123">
        <f>IF(OR(HI$4="",$B28=""),0,SUMIF('DADOS BRUTOS'!$A$3:$A$500,$B28,'DADOS BRUTOS'!EI$3:EI$500)+IF($C28="",0,SUMIF('DADOS BRUTOS'!$A$3:$A$500,$C28,'DADOS BRUTOS'!EI$3:EI$500)))</f>
        <v/>
      </c>
      <c r="HJ28" s="123">
        <f>IF(OR(HJ$4="",$B28=""),0,SUMIF('DADOS BRUTOS'!$A$3:$A$500,$B28,'DADOS BRUTOS'!EJ$3:EJ$500)+IF($C28="",0,SUMIF('DADOS BRUTOS'!$A$3:$A$500,$C28,'DADOS BRUTOS'!EJ$3:EJ$500)))</f>
        <v/>
      </c>
      <c r="HK28" s="123">
        <f>IF(OR(HK$4="",$B28=""),0,SUMIF('DADOS BRUTOS'!$A$3:$A$500,$B28,'DADOS BRUTOS'!EK$3:EK$500)+IF($C28="",0,SUMIF('DADOS BRUTOS'!$A$3:$A$500,$C28,'DADOS BRUTOS'!EK$3:EK$500)))</f>
        <v/>
      </c>
      <c r="HL28" s="123">
        <f>IF(OR(HL$4="",$B28=""),0,SUMIF('DADOS BRUTOS'!$A$3:$A$500,$B28,'DADOS BRUTOS'!EL$3:EL$500)+IF($C28="",0,SUMIF('DADOS BRUTOS'!$A$3:$A$500,$C28,'DADOS BRUTOS'!EL$3:EL$500)))</f>
        <v/>
      </c>
      <c r="HM28" s="123">
        <f>IF(OR(HM$4="",$B28=""),0,SUMIF('DADOS BRUTOS'!$A$3:$A$500,$B28,'DADOS BRUTOS'!EM$3:EM$500)+IF($C28="",0,SUMIF('DADOS BRUTOS'!$A$3:$A$500,$C28,'DADOS BRUTOS'!EM$3:EM$500)))</f>
        <v/>
      </c>
      <c r="HN28" s="123">
        <f>IF(OR(HN$4="",$B28=""),0,SUMIF('DADOS BRUTOS'!$A$3:$A$500,$B28,'DADOS BRUTOS'!EN$3:EN$500)+IF($C28="",0,SUMIF('DADOS BRUTOS'!$A$3:$A$500,$C28,'DADOS BRUTOS'!EN$3:EN$500)))</f>
        <v/>
      </c>
      <c r="HO28" s="123">
        <f>IF(OR(HO$4="",$B28=""),0,SUMIF('DADOS BRUTOS'!$A$3:$A$500,$B28,'DADOS BRUTOS'!EO$3:EO$500)+IF($C28="",0,SUMIF('DADOS BRUTOS'!$A$3:$A$500,$C28,'DADOS BRUTOS'!EO$3:EO$500)))</f>
        <v/>
      </c>
      <c r="HP28" s="123">
        <f>IF(OR(HP$4="",$B28=""),0,SUMIF('DADOS BRUTOS'!$A$3:$A$500,$B28,'DADOS BRUTOS'!EP$3:EP$500)+IF($C28="",0,SUMIF('DADOS BRUTOS'!$A$3:$A$500,$C28,'DADOS BRUTOS'!EP$3:EP$500)))</f>
        <v/>
      </c>
      <c r="HQ28" s="123">
        <f>IF(OR(HQ$4="",$B28=""),0,SUMIF('DADOS BRUTOS'!$A$3:$A$500,$B28,'DADOS BRUTOS'!EQ$3:EQ$500)+IF($C28="",0,SUMIF('DADOS BRUTOS'!$A$3:$A$500,$C28,'DADOS BRUTOS'!EQ$3:EQ$500)))</f>
        <v/>
      </c>
      <c r="HR28" s="123">
        <f>IF(OR(HR$4="",$B28=""),0,SUMIF('DADOS BRUTOS'!$A$3:$A$500,$B28,'DADOS BRUTOS'!ER$3:ER$500)+IF($C28="",0,SUMIF('DADOS BRUTOS'!$A$3:$A$500,$C28,'DADOS BRUTOS'!ER$3:ER$500)))</f>
        <v/>
      </c>
      <c r="HS28" s="123">
        <f>IF(OR(HS$4="",$B28=""),0,SUMIF('DADOS BRUTOS'!$A$3:$A$500,$B28,'DADOS BRUTOS'!ES$3:ES$500)+IF($C28="",0,SUMIF('DADOS BRUTOS'!$A$3:$A$500,$C28,'DADOS BRUTOS'!ES$3:ES$500)))</f>
        <v/>
      </c>
      <c r="HT28" s="123">
        <f>IF(OR(HT$4="",$B28=""),0,SUMIF('DADOS BRUTOS'!$A$3:$A$500,$B28,'DADOS BRUTOS'!ET$3:ET$500)+IF($C28="",0,SUMIF('DADOS BRUTOS'!$A$3:$A$500,$C28,'DADOS BRUTOS'!ET$3:ET$500)))</f>
        <v/>
      </c>
      <c r="HU28" s="123">
        <f>IF(OR(HU$4="",$B28=""),0,SUMIF('DADOS BRUTOS'!$A$3:$A$500,$B28,'DADOS BRUTOS'!EU$3:EU$500)+IF($C28="",0,SUMIF('DADOS BRUTOS'!$A$3:$A$500,$C28,'DADOS BRUTOS'!EU$3:EU$500)))</f>
        <v/>
      </c>
      <c r="HV28" s="123">
        <f>IF(OR(HV$4="",$B28=""),0,SUMIF('DADOS BRUTOS'!$A$3:$A$500,$B28,'DADOS BRUTOS'!EV$3:EV$500)+IF($C28="",0,SUMIF('DADOS BRUTOS'!$A$3:$A$500,$C28,'DADOS BRUTOS'!EV$3:EV$500)))</f>
        <v/>
      </c>
      <c r="HW28" s="123">
        <f>IF(OR(HW$4="",$B28=""),0,SUMIF('DADOS BRUTOS'!$A$3:$A$500,$B28,'DADOS BRUTOS'!EW$3:EW$500)+IF($C28="",0,SUMIF('DADOS BRUTOS'!$A$3:$A$500,$C28,'DADOS BRUTOS'!EW$3:EW$500)))</f>
        <v/>
      </c>
      <c r="HX28" s="123">
        <f>IF(OR(HX$4="",$B28=""),0,SUMIF('DADOS BRUTOS'!$A$3:$A$500,$B28,'DADOS BRUTOS'!EX$3:EX$500)+IF($C28="",0,SUMIF('DADOS BRUTOS'!$A$3:$A$500,$C28,'DADOS BRUTOS'!EX$3:EX$500)))</f>
        <v/>
      </c>
      <c r="HY28" s="123">
        <f>IF(OR(HY$4="",$B28=""),0,SUMIF('DADOS BRUTOS'!$A$3:$A$500,$B28,'DADOS BRUTOS'!EY$3:EY$500)+IF($C28="",0,SUMIF('DADOS BRUTOS'!$A$3:$A$500,$C28,'DADOS BRUTOS'!EY$3:EY$500)))</f>
        <v/>
      </c>
      <c r="HZ28" s="123">
        <f>IF(OR(HZ$4="",$B28=""),0,SUMIF('DADOS BRUTOS'!$A$3:$A$500,$B28,'DADOS BRUTOS'!EZ$3:EZ$500)+IF($C28="",0,SUMIF('DADOS BRUTOS'!$A$3:$A$500,$C28,'DADOS BRUTOS'!EZ$3:EZ$500)))</f>
        <v/>
      </c>
      <c r="IA28" s="123">
        <f>IF(OR(IA$4="",$B28=""),0,SUMIF('DADOS BRUTOS'!$A$3:$A$500,$B28,'DADOS BRUTOS'!FA$3:FA$500)+IF($C28="",0,SUMIF('DADOS BRUTOS'!$A$3:$A$500,$C28,'DADOS BRUTOS'!FA$3:FA$500)))</f>
        <v/>
      </c>
      <c r="IB28" s="123">
        <f>IF(OR(IB$4="",$B28=""),0,SUMIF('DADOS BRUTOS'!$A$3:$A$500,$B28,'DADOS BRUTOS'!FB$3:FB$500)+IF($C28="",0,SUMIF('DADOS BRUTOS'!$A$3:$A$500,$C28,'DADOS BRUTOS'!FB$3:FB$500)))</f>
        <v/>
      </c>
      <c r="IC28" s="123">
        <f>IF(OR(IC$4="",$B28=""),0,SUMIF('DADOS BRUTOS'!$A$3:$A$500,$B28,'DADOS BRUTOS'!FC$3:FC$500)+IF($C28="",0,SUMIF('DADOS BRUTOS'!$A$3:$A$500,$C28,'DADOS BRUTOS'!FC$3:FC$500)))</f>
        <v/>
      </c>
      <c r="ID28" s="123">
        <f>IF(OR(ID$4="",$B28=""),0,SUMIF('DADOS BRUTOS'!$A$3:$A$500,$B28,'DADOS BRUTOS'!FD$3:FD$500)+IF($C28="",0,SUMIF('DADOS BRUTOS'!$A$3:$A$500,$C28,'DADOS BRUTOS'!FD$3:FD$500)))</f>
        <v/>
      </c>
      <c r="IE28" s="123">
        <f>IF(OR(IE$4="",$B28=""),0,SUMIF('DADOS BRUTOS'!$A$3:$A$500,$B28,'DADOS BRUTOS'!FE$3:FE$500)+IF($C28="",0,SUMIF('DADOS BRUTOS'!$A$3:$A$500,$C28,'DADOS BRUTOS'!FE$3:FE$500)))</f>
        <v/>
      </c>
      <c r="IF28" s="123">
        <f>IF(OR(IF$4="",$B28=""),0,SUMIF('DADOS BRUTOS'!$A$3:$A$500,$B28,'DADOS BRUTOS'!FF$3:FF$500)+IF($C28="",0,SUMIF('DADOS BRUTOS'!$A$3:$A$500,$C28,'DADOS BRUTOS'!FF$3:FF$500)))</f>
        <v/>
      </c>
      <c r="IG28" s="123">
        <f>IF(OR(IG$4="",$B28=""),0,SUMIF('DADOS BRUTOS'!$A$3:$A$500,$B28,'DADOS BRUTOS'!FG$3:FG$500)+IF($C28="",0,SUMIF('DADOS BRUTOS'!$A$3:$A$500,$C28,'DADOS BRUTOS'!FG$3:FG$500)))</f>
        <v/>
      </c>
      <c r="IH28" s="123">
        <f>IF(OR(IH$4="",$B28=""),0,SUMIF('DADOS BRUTOS'!$A$3:$A$500,$B28,'DADOS BRUTOS'!FH$3:FH$500)+IF($C28="",0,SUMIF('DADOS BRUTOS'!$A$3:$A$500,$C28,'DADOS BRUTOS'!FH$3:FH$500)))</f>
        <v/>
      </c>
      <c r="II28" s="123">
        <f>IF(OR(II$4="",$B28=""),0,SUMIF('DADOS BRUTOS'!$A$3:$A$500,$B28,'DADOS BRUTOS'!FI$3:FI$500)+IF($C28="",0,SUMIF('DADOS BRUTOS'!$A$3:$A$500,$C28,'DADOS BRUTOS'!FI$3:FI$500)))</f>
        <v/>
      </c>
      <c r="IJ28" s="123">
        <f>IF(OR(IJ$4="",$B28=""),0,SUMIF('DADOS BRUTOS'!$A$3:$A$500,$B28,'DADOS BRUTOS'!FJ$3:FJ$500)+IF($C28="",0,SUMIF('DADOS BRUTOS'!$A$3:$A$500,$C28,'DADOS BRUTOS'!FJ$3:FJ$500)))</f>
        <v/>
      </c>
      <c r="IK28" s="123">
        <f>IF(OR(IK$4="",$B28=""),0,SUMIF('DADOS BRUTOS'!$A$3:$A$500,$B28,'DADOS BRUTOS'!FK$3:FK$500)+IF($C28="",0,SUMIF('DADOS BRUTOS'!$A$3:$A$500,$C28,'DADOS BRUTOS'!FK$3:FK$500)))</f>
        <v/>
      </c>
      <c r="IL28" s="123">
        <f>IF(OR(IL$4="",$B28=""),0,SUMIF('DADOS BRUTOS'!$A$3:$A$500,$B28,'DADOS BRUTOS'!FL$3:FL$500)+IF($C28="",0,SUMIF('DADOS BRUTOS'!$A$3:$A$500,$C28,'DADOS BRUTOS'!FL$3:FL$500)))</f>
        <v/>
      </c>
      <c r="IM28" s="123">
        <f>IF(OR(IM$4="",$B28=""),0,SUMIF('DADOS BRUTOS'!$A$3:$A$500,$B28,'DADOS BRUTOS'!FM$3:FM$500)+IF($C28="",0,SUMIF('DADOS BRUTOS'!$A$3:$A$500,$C28,'DADOS BRUTOS'!FM$3:FM$500)))</f>
        <v/>
      </c>
      <c r="IN28" s="123">
        <f>IF(OR(IN$4="",$B28=""),0,SUMIF('DADOS BRUTOS'!$A$3:$A$500,$B28,'DADOS BRUTOS'!FN$3:FN$500)+IF($C28="",0,SUMIF('DADOS BRUTOS'!$A$3:$A$500,$C28,'DADOS BRUTOS'!FN$3:FN$500)))</f>
        <v/>
      </c>
      <c r="IO28" s="123">
        <f>IF(OR(IO$4="",$B28=""),0,SUMIF('DADOS BRUTOS'!$A$3:$A$500,$B28,'DADOS BRUTOS'!FO$3:FO$500)+IF($C28="",0,SUMIF('DADOS BRUTOS'!$A$3:$A$500,$C28,'DADOS BRUTOS'!FO$3:FO$500)))</f>
        <v/>
      </c>
      <c r="IP28" s="123">
        <f>IF(OR(IP$4="",$B28=""),0,SUMIF('DADOS BRUTOS'!$A$3:$A$500,$B28,'DADOS BRUTOS'!FP$3:FP$500)+IF($C28="",0,SUMIF('DADOS BRUTOS'!$A$3:$A$500,$C28,'DADOS BRUTOS'!FP$3:FP$500)))</f>
        <v/>
      </c>
      <c r="IQ28" s="123">
        <f>IF(OR(IQ$4="",$B28=""),0,SUMIF('DADOS BRUTOS'!$A$3:$A$500,$B28,'DADOS BRUTOS'!FQ$3:FQ$500)+IF($C28="",0,SUMIF('DADOS BRUTOS'!$A$3:$A$500,$C28,'DADOS BRUTOS'!FQ$3:FQ$500)))</f>
        <v/>
      </c>
      <c r="IR28" s="123">
        <f>IF(OR(IR$4="",$B28=""),0,SUMIF('DADOS BRUTOS'!$A$3:$A$500,$B28,'DADOS BRUTOS'!FR$3:FR$500)+IF($C28="",0,SUMIF('DADOS BRUTOS'!$A$3:$A$500,$C28,'DADOS BRUTOS'!FR$3:FR$500)))</f>
        <v/>
      </c>
      <c r="IS28" s="123">
        <f>IF(OR(IS$4="",$B28=""),0,SUMIF('DADOS BRUTOS'!$A$3:$A$500,$B28,'DADOS BRUTOS'!FS$3:FS$500)+IF($C28="",0,SUMIF('DADOS BRUTOS'!$A$3:$A$500,$C28,'DADOS BRUTOS'!FS$3:FS$500)))</f>
        <v/>
      </c>
      <c r="IT28" s="123">
        <f>IF(OR(IT$4="",$B28=""),0,SUMIF('DADOS BRUTOS'!$A$3:$A$500,$B28,'DADOS BRUTOS'!FT$3:FT$500)+IF($C28="",0,SUMIF('DADOS BRUTOS'!$A$3:$A$500,$C28,'DADOS BRUTOS'!FT$3:FT$500)))</f>
        <v/>
      </c>
      <c r="IU28" s="123">
        <f>IF(OR(IU$4="",$B28=""),0,SUMIF('DADOS BRUTOS'!$A$3:$A$500,$B28,'DADOS BRUTOS'!FU$3:FU$500)+IF($C28="",0,SUMIF('DADOS BRUTOS'!$A$3:$A$500,$C28,'DADOS BRUTOS'!FU$3:FU$500)))</f>
        <v/>
      </c>
      <c r="IV28" s="123">
        <f>IF(OR(IV$4="",$B28=""),0,SUMIF('DADOS BRUTOS'!$A$3:$A$500,$B28,'DADOS BRUTOS'!FV$3:FV$500)+IF($C28="",0,SUMIF('DADOS BRUTOS'!$A$3:$A$500,$C28,'DADOS BRUTOS'!FV$3:FV$500)))</f>
        <v/>
      </c>
      <c r="IW28" s="123">
        <f>IF(OR(IW$4="",$B28=""),0,SUMIF('DADOS BRUTOS'!$A$3:$A$500,$B28,'DADOS BRUTOS'!FW$3:FW$500)+IF($C28="",0,SUMIF('DADOS BRUTOS'!$A$3:$A$500,$C28,'DADOS BRUTOS'!FW$3:FW$500)))</f>
        <v/>
      </c>
      <c r="IX28" s="123">
        <f>IF(OR(IX$4="",$B28=""),0,SUMIF('DADOS BRUTOS'!$A$3:$A$500,$B28,'DADOS BRUTOS'!FX$3:FX$500)+IF($C28="",0,SUMIF('DADOS BRUTOS'!$A$3:$A$500,$C28,'DADOS BRUTOS'!FX$3:FX$500)))</f>
        <v/>
      </c>
      <c r="IY28" s="123">
        <f>IF(OR(IY$4="",$B28=""),0,SUMIF('DADOS BRUTOS'!$A$3:$A$500,$B28,'DADOS BRUTOS'!FY$3:FY$500)+IF($C28="",0,SUMIF('DADOS BRUTOS'!$A$3:$A$500,$C28,'DADOS BRUTOS'!FY$3:FY$500)))</f>
        <v/>
      </c>
      <c r="IZ28" s="123">
        <f>IF(OR(IZ$4="",$B28=""),0,SUMIF('DADOS BRUTOS'!$A$3:$A$500,$B28,'DADOS BRUTOS'!FZ$3:FZ$500)+IF($C28="",0,SUMIF('DADOS BRUTOS'!$A$3:$A$500,$C28,'DADOS BRUTOS'!FZ$3:FZ$500)))</f>
        <v/>
      </c>
      <c r="JA28" s="123">
        <f>IF(OR(JA$4="",$B28=""),0,SUMIF('DADOS BRUTOS'!$A$3:$A$500,$B28,'DADOS BRUTOS'!GA$3:GA$500)+IF($C28="",0,SUMIF('DADOS BRUTOS'!$A$3:$A$500,$C28,'DADOS BRUTOS'!GA$3:GA$500)))</f>
        <v/>
      </c>
      <c r="JB28" s="123">
        <f>IF(OR(JB$4="",$B28=""),0,SUMIF('DADOS BRUTOS'!$A$3:$A$500,$B28,'DADOS BRUTOS'!GB$3:GB$500)+IF($C28="",0,SUMIF('DADOS BRUTOS'!$A$3:$A$500,$C28,'DADOS BRUTOS'!GB$3:GB$500)))</f>
        <v/>
      </c>
      <c r="JC28" s="123">
        <f>IF(OR(JC$4="",$B28=""),0,SUMIF('DADOS BRUTOS'!$A$3:$A$500,$B28,'DADOS BRUTOS'!GC$3:GC$500)+IF($C28="",0,SUMIF('DADOS BRUTOS'!$A$3:$A$500,$C28,'DADOS BRUTOS'!GC$3:GC$500)))</f>
        <v/>
      </c>
      <c r="JD28" s="123">
        <f>IF(OR(JD$4="",$B28=""),0,SUMIF('DADOS BRUTOS'!$A$3:$A$500,$B28,'DADOS BRUTOS'!GD$3:GD$500)+IF($C28="",0,SUMIF('DADOS BRUTOS'!$A$3:$A$500,$C28,'DADOS BRUTOS'!GD$3:GD$500)))</f>
        <v/>
      </c>
      <c r="JE28" s="123">
        <f>IF(OR(JE$4="",$B28=""),0,SUMIF('DADOS BRUTOS'!$A$3:$A$500,$B28,'DADOS BRUTOS'!GE$3:GE$500)+IF($C28="",0,SUMIF('DADOS BRUTOS'!$A$3:$A$500,$C28,'DADOS BRUTOS'!GE$3:GE$500)))</f>
        <v/>
      </c>
      <c r="JF28" s="123">
        <f>IF(OR(JF$4="",$B28=""),0,SUMIF('DADOS BRUTOS'!$A$3:$A$500,$B28,'DADOS BRUTOS'!GF$3:GF$500)+IF($C28="",0,SUMIF('DADOS BRUTOS'!$A$3:$A$500,$C28,'DADOS BRUTOS'!GF$3:GF$500)))</f>
        <v/>
      </c>
      <c r="JG28" s="123">
        <f>IF(OR(JG$4="",$B28=""),0,SUMIF('DADOS BRUTOS'!$A$3:$A$500,$B28,'DADOS BRUTOS'!GG$3:GG$500)+IF($C28="",0,SUMIF('DADOS BRUTOS'!$A$3:$A$500,$C28,'DADOS BRUTOS'!GG$3:GG$500)))</f>
        <v/>
      </c>
      <c r="JH28" s="123">
        <f>IF(OR(JH$4="",$B28=""),0,SUMIF('DADOS BRUTOS'!$A$3:$A$500,$B28,'DADOS BRUTOS'!GH$3:GH$500)+IF($C28="",0,SUMIF('DADOS BRUTOS'!$A$3:$A$500,$C28,'DADOS BRUTOS'!GH$3:GH$500)))</f>
        <v/>
      </c>
      <c r="JI28" s="123">
        <f>IF(OR(JI$4="",$B28=""),0,SUMIF('DADOS BRUTOS'!$A$3:$A$500,$B28,'DADOS BRUTOS'!GI$3:GI$500)+IF($C28="",0,SUMIF('DADOS BRUTOS'!$A$3:$A$500,$C28,'DADOS BRUTOS'!GI$3:GI$500)))</f>
        <v/>
      </c>
      <c r="JJ28" s="123">
        <f>IF(OR(JJ$4="",$B28=""),0,SUMIF('DADOS BRUTOS'!$A$3:$A$500,$B28,'DADOS BRUTOS'!GJ$3:GJ$500)+IF($C28="",0,SUMIF('DADOS BRUTOS'!$A$3:$A$500,$C28,'DADOS BRUTOS'!GJ$3:GJ$500)))</f>
        <v/>
      </c>
      <c r="JK28" s="123">
        <f>IF(OR(JK$4="",$B28=""),0,SUMIF('DADOS BRUTOS'!$A$3:$A$500,$B28,'DADOS BRUTOS'!GK$3:GK$500)+IF($C28="",0,SUMIF('DADOS BRUTOS'!$A$3:$A$500,$C28,'DADOS BRUTOS'!GK$3:GK$500)))</f>
        <v/>
      </c>
      <c r="JL28" s="123">
        <f>IF(OR(JL$4="",$B28=""),0,SUMIF('DADOS BRUTOS'!$A$3:$A$500,$B28,'DADOS BRUTOS'!GL$3:GL$500)+IF($C28="",0,SUMIF('DADOS BRUTOS'!$A$3:$A$500,$C28,'DADOS BRUTOS'!GL$3:GL$500)))</f>
        <v/>
      </c>
      <c r="JM28" s="123">
        <f>IF(OR(JM$4="",$B28=""),0,SUMIF('DADOS BRUTOS'!$A$3:$A$500,$B28,'DADOS BRUTOS'!GM$3:GM$500)+IF($C28="",0,SUMIF('DADOS BRUTOS'!$A$3:$A$500,$C28,'DADOS BRUTOS'!GM$3:GM$500)))</f>
        <v/>
      </c>
      <c r="JN28" s="123">
        <f>IF(OR(JN$4="",$B28=""),0,SUMIF('DADOS BRUTOS'!$A$3:$A$500,$B28,'DADOS BRUTOS'!GN$3:GN$500)+IF($C28="",0,SUMIF('DADOS BRUTOS'!$A$3:$A$500,$C28,'DADOS BRUTOS'!GN$3:GN$500)))</f>
        <v/>
      </c>
      <c r="JO28" s="123">
        <f>IF(OR(JO$4="",$B28=""),0,SUMIF('DADOS BRUTOS'!$A$3:$A$500,$B28,'DADOS BRUTOS'!GO$3:GO$500)+IF($C28="",0,SUMIF('DADOS BRUTOS'!$A$3:$A$500,$C28,'DADOS BRUTOS'!GO$3:GO$500)))</f>
        <v/>
      </c>
      <c r="JP28" s="123">
        <f>IF(OR(JP$4="",$B28=""),0,SUMIF('DADOS BRUTOS'!$A$3:$A$500,$B28,'DADOS BRUTOS'!GP$3:GP$500)+IF($C28="",0,SUMIF('DADOS BRUTOS'!$A$3:$A$500,$C28,'DADOS BRUTOS'!GP$3:GP$500)))</f>
        <v/>
      </c>
      <c r="JQ28" s="123">
        <f>IF(OR(JQ$4="",$B28=""),0,SUMIF('DADOS BRUTOS'!$A$3:$A$500,$B28,'DADOS BRUTOS'!GQ$3:GQ$500)+IF($C28="",0,SUMIF('DADOS BRUTOS'!$A$3:$A$500,$C28,'DADOS BRUTOS'!GQ$3:GQ$500)))</f>
        <v/>
      </c>
      <c r="JR28" s="123">
        <f>IF(OR(JR$4="",$B28=""),0,SUMIF('DADOS BRUTOS'!$A$3:$A$500,$B28,'DADOS BRUTOS'!GR$3:GR$500)+IF($C28="",0,SUMIF('DADOS BRUTOS'!$A$3:$A$500,$C28,'DADOS BRUTOS'!GR$3:GR$500)))</f>
        <v/>
      </c>
      <c r="JS28" s="123">
        <f>IF(OR(JS$4="",$B28=""),0,SUMIF('DADOS BRUTOS'!$A$3:$A$500,$B28,'DADOS BRUTOS'!GS$3:GS$500)+IF($C28="",0,SUMIF('DADOS BRUTOS'!$A$3:$A$500,$C28,'DADOS BRUTOS'!GS$3:GS$500)))</f>
        <v/>
      </c>
    </row>
    <row r="29">
      <c r="A29" s="61">
        <f>'VALOR POR PL'!D35</f>
        <v/>
      </c>
      <c r="B29" s="60" t="inlineStr">
        <is>
          <t>ESQUADRIAS</t>
        </is>
      </c>
      <c r="C29" s="60" t="n"/>
      <c r="D29" s="55">
        <f>SUMIF($CB$4:$JS$4,"&lt;="&amp;D$4,$CB29:$JS29)</f>
        <v/>
      </c>
      <c r="E29" s="55">
        <f>SUMIF($CB$4:$JS$4,E$4,$CB29:$JS29)</f>
        <v/>
      </c>
      <c r="F29" s="55">
        <f>SUMIF($CB$4:$JS$4,F$4,$CB29:$JS29)</f>
        <v/>
      </c>
      <c r="G29" s="55">
        <f>SUMIF($CB$4:$JS$4,G$4,$CB29:$JS29)</f>
        <v/>
      </c>
      <c r="H29" s="55">
        <f>SUMIF($CB$4:$JS$4,H$4,$CB29:$JS29)</f>
        <v/>
      </c>
      <c r="I29" s="55">
        <f>SUMIF($CB$4:$JS$4,I$4,$CB29:$JS29)</f>
        <v/>
      </c>
      <c r="J29" s="55">
        <f>SUMIF($CB$4:$JS$4,J$4,$CB29:$JS29)</f>
        <v/>
      </c>
      <c r="K29" s="55">
        <f>SUMIF($CB$4:$JS$4,K$4,$CB29:$JS29)</f>
        <v/>
      </c>
      <c r="L29" s="55">
        <f>SUMIF($CB$4:$JS$4,L$4,$CB29:$JS29)</f>
        <v/>
      </c>
      <c r="M29" s="55">
        <f>SUMIF($CB$4:$JS$4,M$4,$CB29:$JS29)</f>
        <v/>
      </c>
      <c r="N29" s="55">
        <f>SUMIF($CB$4:$JS$4,N$4,$CB29:$JS29)</f>
        <v/>
      </c>
      <c r="O29" s="55">
        <f>SUMIF($CB$4:$JS$4,O$4,$CB29:$JS29)</f>
        <v/>
      </c>
      <c r="P29" s="55">
        <f>SUMIF($CB$4:$JS$4,P$4,$CB29:$JS29)</f>
        <v/>
      </c>
      <c r="Q29" s="55">
        <f>SUMIF($CB$4:$JS$4,Q$4,$CB29:$JS29)</f>
        <v/>
      </c>
      <c r="R29" s="55">
        <f>SUMIF($CB$4:$JS$4,R$4,$CB29:$JS29)</f>
        <v/>
      </c>
      <c r="S29" s="55">
        <f>SUMIF($CB$4:$JS$4,S$4,$CB29:$JS29)</f>
        <v/>
      </c>
      <c r="T29" s="55">
        <f>SUMIF($CB$4:$JS$4,T$4,$CB29:$JS29)</f>
        <v/>
      </c>
      <c r="U29" s="55">
        <f>SUMIF($CB$4:$JS$4,U$4,$CB29:$JS29)</f>
        <v/>
      </c>
      <c r="V29" s="55">
        <f>SUMIF($CB$4:$JS$4,V$4,$CB29:$JS29)</f>
        <v/>
      </c>
      <c r="W29" s="55">
        <f>SUMIF($CB$4:$JS$4,W$4,$CB29:$JS29)</f>
        <v/>
      </c>
      <c r="X29" s="55">
        <f>SUMIF($CB$4:$JS$4,X$4,$CB29:$JS29)</f>
        <v/>
      </c>
      <c r="Y29" s="55">
        <f>SUMIF($CB$4:$JS$4,Y$4,$CB29:$JS29)</f>
        <v/>
      </c>
      <c r="Z29" s="55">
        <f>SUMIF($CB$4:$JS$4,Z$4,$CB29:$JS29)</f>
        <v/>
      </c>
      <c r="AA29" s="55">
        <f>SUMIF($CB$4:$JS$4,AA$4,$CB29:$JS29)</f>
        <v/>
      </c>
      <c r="AB29" s="55">
        <f>SUMIF($CB$4:$JS$4,AB$4,$CB29:$JS29)</f>
        <v/>
      </c>
      <c r="AC29" s="55">
        <f>SUMIF($CB$4:$JS$4,AC$4,$CB29:$JS29)</f>
        <v/>
      </c>
      <c r="AD29" s="55">
        <f>SUMIF($CB$4:$JS$4,AD$4,$CB29:$JS29)</f>
        <v/>
      </c>
      <c r="AE29" s="55">
        <f>SUMIF($CB$4:$JS$4,AE$4,$CB29:$JS29)</f>
        <v/>
      </c>
      <c r="AF29" s="55">
        <f>SUMIF($CB$4:$JS$4,AF$4,$CB29:$JS29)</f>
        <v/>
      </c>
      <c r="AG29" s="55">
        <f>SUMIF($CB$4:$JS$4,AG$4,$CB29:$JS29)</f>
        <v/>
      </c>
      <c r="AH29" s="55">
        <f>SUMIF($CB$4:$JS$4,AH$4,$CB29:$JS29)</f>
        <v/>
      </c>
      <c r="AI29" s="55">
        <f>SUMIF($CB$4:$JS$4,AI$4,$CB29:$JS29)</f>
        <v/>
      </c>
      <c r="AJ29" s="55">
        <f>SUMIF($CB$4:$JS$4,AJ$4,$CB29:$JS29)</f>
        <v/>
      </c>
      <c r="AK29" s="55">
        <f>SUMIF($CB$4:$JS$4,AK$4,$CB29:$JS29)</f>
        <v/>
      </c>
      <c r="AL29" s="55">
        <f>SUMIF($CB$4:$JS$4,AL$4,$CB29:$JS29)</f>
        <v/>
      </c>
      <c r="AM29" s="55">
        <f>SUMIF($CB$4:$JS$4,AM$4,$CB29:$JS29)</f>
        <v/>
      </c>
      <c r="AN29" s="55">
        <f>SUMIF($CB$4:$JS$4,AN$4,$CB29:$JS29)</f>
        <v/>
      </c>
      <c r="AO29" s="55">
        <f>SUMIF($CB$4:$JS$4,AO$4,$CB29:$JS29)</f>
        <v/>
      </c>
      <c r="AP29" s="55">
        <f>SUMIF($CB$4:$JS$4,AP$4,$CB29:$JS29)</f>
        <v/>
      </c>
      <c r="AQ29" s="55">
        <f>SUMIF($CB$4:$JS$4,AQ$4,$CB29:$JS29)</f>
        <v/>
      </c>
      <c r="AR29" s="55">
        <f>SUMIF($CB$4:$JS$4,AR$4,$CB29:$JS29)</f>
        <v/>
      </c>
      <c r="AS29" s="55">
        <f>SUMIF($CB$4:$JS$4,AS$4,$CB29:$JS29)</f>
        <v/>
      </c>
      <c r="AT29" s="55">
        <f>SUMIF($CB$4:$JS$4,AT$4,$CB29:$JS29)</f>
        <v/>
      </c>
      <c r="AU29" s="55">
        <f>SUMIF($CB$4:$JS$4,AU$4,$CB29:$JS29)</f>
        <v/>
      </c>
      <c r="AV29" s="55">
        <f>SUMIF($CB$4:$JS$4,AV$4,$CB29:$JS29)</f>
        <v/>
      </c>
      <c r="AW29" s="55">
        <f>SUMIF($CB$4:$JS$4,AW$4,$CB29:$JS29)</f>
        <v/>
      </c>
      <c r="AX29" s="55">
        <f>SUMIF($CB$4:$JS$4,AX$4,$CB29:$JS29)</f>
        <v/>
      </c>
      <c r="AY29" s="55">
        <f>SUMIF($CB$4:$JS$4,AY$4,$CB29:$JS29)</f>
        <v/>
      </c>
      <c r="AZ29" s="55">
        <f>SUMIF($CB$4:$JS$4,AZ$4,$CB29:$JS29)</f>
        <v/>
      </c>
      <c r="BA29" s="55">
        <f>SUMIF($CB$4:$JS$4,BA$4,$CB29:$JS29)</f>
        <v/>
      </c>
      <c r="BB29" s="55">
        <f>SUMIF($CB$4:$JS$4,BB$4,$CB29:$JS29)</f>
        <v/>
      </c>
      <c r="BC29" s="55">
        <f>SUMIF($CB$4:$JS$4,BC$4,$CB29:$JS29)</f>
        <v/>
      </c>
      <c r="BD29" s="55">
        <f>SUMIF($CB$4:$JS$4,BD$4,$CB29:$JS29)</f>
        <v/>
      </c>
      <c r="BE29" s="55">
        <f>SUMIF($CB$4:$JS$4,BE$4,$CB29:$JS29)</f>
        <v/>
      </c>
      <c r="BF29" s="55">
        <f>SUMIF($CB$4:$JS$4,BF$4,$CB29:$JS29)</f>
        <v/>
      </c>
      <c r="BG29" s="55">
        <f>SUMIF($CB$4:$JS$4,BG$4,$CB29:$JS29)</f>
        <v/>
      </c>
      <c r="BH29" s="55">
        <f>SUMIF($CB$4:$JS$4,BH$4,$CB29:$JS29)</f>
        <v/>
      </c>
      <c r="BI29" s="55">
        <f>SUMIF($CB$4:$JS$4,BI$4,$CB29:$JS29)</f>
        <v/>
      </c>
      <c r="BJ29" s="55">
        <f>SUMIF($CB$4:$JS$4,BJ$4,$CB29:$JS29)</f>
        <v/>
      </c>
      <c r="BK29" s="55">
        <f>SUMIF($CB$4:$JS$4,BK$4,$CB29:$JS29)</f>
        <v/>
      </c>
      <c r="BL29" s="55">
        <f>SUMIF($CB$4:$JS$4,BL$4,$CB29:$JS29)</f>
        <v/>
      </c>
      <c r="BM29" s="55">
        <f>SUMIF($CB$4:$JS$4,BM$4,$CB29:$JS29)</f>
        <v/>
      </c>
      <c r="BN29" s="55">
        <f>SUMIF($CB$4:$JS$4,BN$4,$CB29:$JS29)</f>
        <v/>
      </c>
      <c r="BO29" s="55">
        <f>SUMIF($CB$4:$JS$4,BO$4,$CB29:$JS29)</f>
        <v/>
      </c>
      <c r="BP29" s="55">
        <f>SUMIF($CB$4:$JS$4,BP$4,$CB29:$JS29)</f>
        <v/>
      </c>
      <c r="BQ29" s="55">
        <f>SUMIF($CB$4:$JS$4,BQ$4,$CB29:$JS29)</f>
        <v/>
      </c>
      <c r="BR29" s="55">
        <f>SUMIF($CB$4:$JS$4,BR$4,$CB29:$JS29)</f>
        <v/>
      </c>
      <c r="BS29" s="55">
        <f>SUMIF($CB$4:$JS$4,BS$4,$CB29:$JS29)</f>
        <v/>
      </c>
      <c r="BT29" s="55">
        <f>SUMIF($CB$4:$JS$4,BT$4,$CB29:$JS29)</f>
        <v/>
      </c>
      <c r="BU29" s="55">
        <f>SUMIF($CB$4:$JS$4,BU$4,$CB29:$JS29)</f>
        <v/>
      </c>
      <c r="BV29" s="55">
        <f>SUMIF($CB$4:$JS$4,BV$4,$CB29:$JS29)</f>
        <v/>
      </c>
      <c r="BW29" s="55">
        <f>SUMIF($CB$4:$JS$4,BW$4,$CB29:$JS29)</f>
        <v/>
      </c>
      <c r="BX29" s="55">
        <f>SUMIF($CB$4:$JS$4,"&gt;"&amp;'VALOR POR PL'!$P$8,$CB29:$JS29)</f>
        <v/>
      </c>
      <c r="BY29" s="55">
        <f>SUM($CB29:$JS29)</f>
        <v/>
      </c>
      <c r="CB29" s="123">
        <f>IF(OR(CB$4="",$B29=""),0,SUMIF('DADOS BRUTOS'!$A$3:$A$500,$B29,'DADOS BRUTOS'!B$3:B$500)+IF($C29="",0,SUMIF('DADOS BRUTOS'!$A$3:$A$500,$C29,'DADOS BRUTOS'!B$3:B$500)))</f>
        <v/>
      </c>
      <c r="CC29" s="123">
        <f>IF(OR(CC$4="",$B29=""),0,SUMIF('DADOS BRUTOS'!$A$3:$A$500,$B29,'DADOS BRUTOS'!C$3:C$500)+IF($C29="",0,SUMIF('DADOS BRUTOS'!$A$3:$A$500,$C29,'DADOS BRUTOS'!C$3:C$500)))</f>
        <v/>
      </c>
      <c r="CD29" s="123">
        <f>IF(OR(CD$4="",$B29=""),0,SUMIF('DADOS BRUTOS'!$A$3:$A$500,$B29,'DADOS BRUTOS'!D$3:D$500)+IF($C29="",0,SUMIF('DADOS BRUTOS'!$A$3:$A$500,$C29,'DADOS BRUTOS'!D$3:D$500)))</f>
        <v/>
      </c>
      <c r="CE29" s="123">
        <f>IF(OR(CE$4="",$B29=""),0,SUMIF('DADOS BRUTOS'!$A$3:$A$500,$B29,'DADOS BRUTOS'!E$3:E$500)+IF($C29="",0,SUMIF('DADOS BRUTOS'!$A$3:$A$500,$C29,'DADOS BRUTOS'!E$3:E$500)))</f>
        <v/>
      </c>
      <c r="CF29" s="123">
        <f>IF(OR(CF$4="",$B29=""),0,SUMIF('DADOS BRUTOS'!$A$3:$A$500,$B29,'DADOS BRUTOS'!F$3:F$500)+IF($C29="",0,SUMIF('DADOS BRUTOS'!$A$3:$A$500,$C29,'DADOS BRUTOS'!F$3:F$500)))</f>
        <v/>
      </c>
      <c r="CG29" s="123">
        <f>IF(OR(CG$4="",$B29=""),0,SUMIF('DADOS BRUTOS'!$A$3:$A$500,$B29,'DADOS BRUTOS'!G$3:G$500)+IF($C29="",0,SUMIF('DADOS BRUTOS'!$A$3:$A$500,$C29,'DADOS BRUTOS'!G$3:G$500)))</f>
        <v/>
      </c>
      <c r="CH29" s="123">
        <f>IF(OR(CH$4="",$B29=""),0,SUMIF('DADOS BRUTOS'!$A$3:$A$500,$B29,'DADOS BRUTOS'!H$3:H$500)+IF($C29="",0,SUMIF('DADOS BRUTOS'!$A$3:$A$500,$C29,'DADOS BRUTOS'!H$3:H$500)))</f>
        <v/>
      </c>
      <c r="CI29" s="123">
        <f>IF(OR(CI$4="",$B29=""),0,SUMIF('DADOS BRUTOS'!$A$3:$A$500,$B29,'DADOS BRUTOS'!I$3:I$500)+IF($C29="",0,SUMIF('DADOS BRUTOS'!$A$3:$A$500,$C29,'DADOS BRUTOS'!I$3:I$500)))</f>
        <v/>
      </c>
      <c r="CJ29" s="123">
        <f>IF(OR(CJ$4="",$B29=""),0,SUMIF('DADOS BRUTOS'!$A$3:$A$500,$B29,'DADOS BRUTOS'!J$3:J$500)+IF($C29="",0,SUMIF('DADOS BRUTOS'!$A$3:$A$500,$C29,'DADOS BRUTOS'!J$3:J$500)))</f>
        <v/>
      </c>
      <c r="CK29" s="123">
        <f>IF(OR(CK$4="",$B29=""),0,SUMIF('DADOS BRUTOS'!$A$3:$A$500,$B29,'DADOS BRUTOS'!K$3:K$500)+IF($C29="",0,SUMIF('DADOS BRUTOS'!$A$3:$A$500,$C29,'DADOS BRUTOS'!K$3:K$500)))</f>
        <v/>
      </c>
      <c r="CL29" s="123">
        <f>IF(OR(CL$4="",$B29=""),0,SUMIF('DADOS BRUTOS'!$A$3:$A$500,$B29,'DADOS BRUTOS'!L$3:L$500)+IF($C29="",0,SUMIF('DADOS BRUTOS'!$A$3:$A$500,$C29,'DADOS BRUTOS'!L$3:L$500)))</f>
        <v/>
      </c>
      <c r="CM29" s="123">
        <f>IF(OR(CM$4="",$B29=""),0,SUMIF('DADOS BRUTOS'!$A$3:$A$500,$B29,'DADOS BRUTOS'!M$3:M$500)+IF($C29="",0,SUMIF('DADOS BRUTOS'!$A$3:$A$500,$C29,'DADOS BRUTOS'!M$3:M$500)))</f>
        <v/>
      </c>
      <c r="CN29" s="123">
        <f>IF(OR(CN$4="",$B29=""),0,SUMIF('DADOS BRUTOS'!$A$3:$A$500,$B29,'DADOS BRUTOS'!N$3:N$500)+IF($C29="",0,SUMIF('DADOS BRUTOS'!$A$3:$A$500,$C29,'DADOS BRUTOS'!N$3:N$500)))</f>
        <v/>
      </c>
      <c r="CO29" s="123">
        <f>IF(OR(CO$4="",$B29=""),0,SUMIF('DADOS BRUTOS'!$A$3:$A$500,$B29,'DADOS BRUTOS'!O$3:O$500)+IF($C29="",0,SUMIF('DADOS BRUTOS'!$A$3:$A$500,$C29,'DADOS BRUTOS'!O$3:O$500)))</f>
        <v/>
      </c>
      <c r="CP29" s="123">
        <f>IF(OR(CP$4="",$B29=""),0,SUMIF('DADOS BRUTOS'!$A$3:$A$500,$B29,'DADOS BRUTOS'!P$3:P$500)+IF($C29="",0,SUMIF('DADOS BRUTOS'!$A$3:$A$500,$C29,'DADOS BRUTOS'!P$3:P$500)))</f>
        <v/>
      </c>
      <c r="CQ29" s="123">
        <f>IF(OR(CQ$4="",$B29=""),0,SUMIF('DADOS BRUTOS'!$A$3:$A$500,$B29,'DADOS BRUTOS'!Q$3:Q$500)+IF($C29="",0,SUMIF('DADOS BRUTOS'!$A$3:$A$500,$C29,'DADOS BRUTOS'!Q$3:Q$500)))</f>
        <v/>
      </c>
      <c r="CR29" s="123">
        <f>IF(OR(CR$4="",$B29=""),0,SUMIF('DADOS BRUTOS'!$A$3:$A$500,$B29,'DADOS BRUTOS'!R$3:R$500)+IF($C29="",0,SUMIF('DADOS BRUTOS'!$A$3:$A$500,$C29,'DADOS BRUTOS'!R$3:R$500)))</f>
        <v/>
      </c>
      <c r="CS29" s="123">
        <f>IF(OR(CS$4="",$B29=""),0,SUMIF('DADOS BRUTOS'!$A$3:$A$500,$B29,'DADOS BRUTOS'!S$3:S$500)+IF($C29="",0,SUMIF('DADOS BRUTOS'!$A$3:$A$500,$C29,'DADOS BRUTOS'!S$3:S$500)))</f>
        <v/>
      </c>
      <c r="CT29" s="123">
        <f>IF(OR(CT$4="",$B29=""),0,SUMIF('DADOS BRUTOS'!$A$3:$A$500,$B29,'DADOS BRUTOS'!T$3:T$500)+IF($C29="",0,SUMIF('DADOS BRUTOS'!$A$3:$A$500,$C29,'DADOS BRUTOS'!T$3:T$500)))</f>
        <v/>
      </c>
      <c r="CU29" s="123">
        <f>IF(OR(CU$4="",$B29=""),0,SUMIF('DADOS BRUTOS'!$A$3:$A$500,$B29,'DADOS BRUTOS'!U$3:U$500)+IF($C29="",0,SUMIF('DADOS BRUTOS'!$A$3:$A$500,$C29,'DADOS BRUTOS'!U$3:U$500)))</f>
        <v/>
      </c>
      <c r="CV29" s="123">
        <f>IF(OR(CV$4="",$B29=""),0,SUMIF('DADOS BRUTOS'!$A$3:$A$500,$B29,'DADOS BRUTOS'!V$3:V$500)+IF($C29="",0,SUMIF('DADOS BRUTOS'!$A$3:$A$500,$C29,'DADOS BRUTOS'!V$3:V$500)))</f>
        <v/>
      </c>
      <c r="CW29" s="123">
        <f>IF(OR(CW$4="",$B29=""),0,SUMIF('DADOS BRUTOS'!$A$3:$A$500,$B29,'DADOS BRUTOS'!W$3:W$500)+IF($C29="",0,SUMIF('DADOS BRUTOS'!$A$3:$A$500,$C29,'DADOS BRUTOS'!W$3:W$500)))</f>
        <v/>
      </c>
      <c r="CX29" s="123">
        <f>IF(OR(CX$4="",$B29=""),0,SUMIF('DADOS BRUTOS'!$A$3:$A$500,$B29,'DADOS BRUTOS'!X$3:X$500)+IF($C29="",0,SUMIF('DADOS BRUTOS'!$A$3:$A$500,$C29,'DADOS BRUTOS'!X$3:X$500)))</f>
        <v/>
      </c>
      <c r="CY29" s="123">
        <f>IF(OR(CY$4="",$B29=""),0,SUMIF('DADOS BRUTOS'!$A$3:$A$500,$B29,'DADOS BRUTOS'!Y$3:Y$500)+IF($C29="",0,SUMIF('DADOS BRUTOS'!$A$3:$A$500,$C29,'DADOS BRUTOS'!Y$3:Y$500)))</f>
        <v/>
      </c>
      <c r="CZ29" s="123">
        <f>IF(OR(CZ$4="",$B29=""),0,SUMIF('DADOS BRUTOS'!$A$3:$A$500,$B29,'DADOS BRUTOS'!Z$3:Z$500)+IF($C29="",0,SUMIF('DADOS BRUTOS'!$A$3:$A$500,$C29,'DADOS BRUTOS'!Z$3:Z$500)))</f>
        <v/>
      </c>
      <c r="DA29" s="123">
        <f>IF(OR(DA$4="",$B29=""),0,SUMIF('DADOS BRUTOS'!$A$3:$A$500,$B29,'DADOS BRUTOS'!AA$3:AA$500)+IF($C29="",0,SUMIF('DADOS BRUTOS'!$A$3:$A$500,$C29,'DADOS BRUTOS'!AA$3:AA$500)))</f>
        <v/>
      </c>
      <c r="DB29" s="123">
        <f>IF(OR(DB$4="",$B29=""),0,SUMIF('DADOS BRUTOS'!$A$3:$A$500,$B29,'DADOS BRUTOS'!AB$3:AB$500)+IF($C29="",0,SUMIF('DADOS BRUTOS'!$A$3:$A$500,$C29,'DADOS BRUTOS'!AB$3:AB$500)))</f>
        <v/>
      </c>
      <c r="DC29" s="123">
        <f>IF(OR(DC$4="",$B29=""),0,SUMIF('DADOS BRUTOS'!$A$3:$A$500,$B29,'DADOS BRUTOS'!AC$3:AC$500)+IF($C29="",0,SUMIF('DADOS BRUTOS'!$A$3:$A$500,$C29,'DADOS BRUTOS'!AC$3:AC$500)))</f>
        <v/>
      </c>
      <c r="DD29" s="123">
        <f>IF(OR(DD$4="",$B29=""),0,SUMIF('DADOS BRUTOS'!$A$3:$A$500,$B29,'DADOS BRUTOS'!AD$3:AD$500)+IF($C29="",0,SUMIF('DADOS BRUTOS'!$A$3:$A$500,$C29,'DADOS BRUTOS'!AD$3:AD$500)))</f>
        <v/>
      </c>
      <c r="DE29" s="123">
        <f>IF(OR(DE$4="",$B29=""),0,SUMIF('DADOS BRUTOS'!$A$3:$A$500,$B29,'DADOS BRUTOS'!AE$3:AE$500)+IF($C29="",0,SUMIF('DADOS BRUTOS'!$A$3:$A$500,$C29,'DADOS BRUTOS'!AE$3:AE$500)))</f>
        <v/>
      </c>
      <c r="DF29" s="123">
        <f>IF(OR(DF$4="",$B29=""),0,SUMIF('DADOS BRUTOS'!$A$3:$A$500,$B29,'DADOS BRUTOS'!AF$3:AF$500)+IF($C29="",0,SUMIF('DADOS BRUTOS'!$A$3:$A$500,$C29,'DADOS BRUTOS'!AF$3:AF$500)))</f>
        <v/>
      </c>
      <c r="DG29" s="123">
        <f>IF(OR(DG$4="",$B29=""),0,SUMIF('DADOS BRUTOS'!$A$3:$A$500,$B29,'DADOS BRUTOS'!AG$3:AG$500)+IF($C29="",0,SUMIF('DADOS BRUTOS'!$A$3:$A$500,$C29,'DADOS BRUTOS'!AG$3:AG$500)))</f>
        <v/>
      </c>
      <c r="DH29" s="123">
        <f>IF(OR(DH$4="",$B29=""),0,SUMIF('DADOS BRUTOS'!$A$3:$A$500,$B29,'DADOS BRUTOS'!AH$3:AH$500)+IF($C29="",0,SUMIF('DADOS BRUTOS'!$A$3:$A$500,$C29,'DADOS BRUTOS'!AH$3:AH$500)))</f>
        <v/>
      </c>
      <c r="DI29" s="123">
        <f>IF(OR(DI$4="",$B29=""),0,SUMIF('DADOS BRUTOS'!$A$3:$A$500,$B29,'DADOS BRUTOS'!AI$3:AI$500)+IF($C29="",0,SUMIF('DADOS BRUTOS'!$A$3:$A$500,$C29,'DADOS BRUTOS'!AI$3:AI$500)))</f>
        <v/>
      </c>
      <c r="DJ29" s="123">
        <f>IF(OR(DJ$4="",$B29=""),0,SUMIF('DADOS BRUTOS'!$A$3:$A$500,$B29,'DADOS BRUTOS'!AJ$3:AJ$500)+IF($C29="",0,SUMIF('DADOS BRUTOS'!$A$3:$A$500,$C29,'DADOS BRUTOS'!AJ$3:AJ$500)))</f>
        <v/>
      </c>
      <c r="DK29" s="123">
        <f>IF(OR(DK$4="",$B29=""),0,SUMIF('DADOS BRUTOS'!$A$3:$A$500,$B29,'DADOS BRUTOS'!AK$3:AK$500)+IF($C29="",0,SUMIF('DADOS BRUTOS'!$A$3:$A$500,$C29,'DADOS BRUTOS'!AK$3:AK$500)))</f>
        <v/>
      </c>
      <c r="DL29" s="123">
        <f>IF(OR(DL$4="",$B29=""),0,SUMIF('DADOS BRUTOS'!$A$3:$A$500,$B29,'DADOS BRUTOS'!AL$3:AL$500)+IF($C29="",0,SUMIF('DADOS BRUTOS'!$A$3:$A$500,$C29,'DADOS BRUTOS'!AL$3:AL$500)))</f>
        <v/>
      </c>
      <c r="DM29" s="123">
        <f>IF(OR(DM$4="",$B29=""),0,SUMIF('DADOS BRUTOS'!$A$3:$A$500,$B29,'DADOS BRUTOS'!AM$3:AM$500)+IF($C29="",0,SUMIF('DADOS BRUTOS'!$A$3:$A$500,$C29,'DADOS BRUTOS'!AM$3:AM$500)))</f>
        <v/>
      </c>
      <c r="DN29" s="123">
        <f>IF(OR(DN$4="",$B29=""),0,SUMIF('DADOS BRUTOS'!$A$3:$A$500,$B29,'DADOS BRUTOS'!AN$3:AN$500)+IF($C29="",0,SUMIF('DADOS BRUTOS'!$A$3:$A$500,$C29,'DADOS BRUTOS'!AN$3:AN$500)))</f>
        <v/>
      </c>
      <c r="DO29" s="123">
        <f>IF(OR(DO$4="",$B29=""),0,SUMIF('DADOS BRUTOS'!$A$3:$A$500,$B29,'DADOS BRUTOS'!AO$3:AO$500)+IF($C29="",0,SUMIF('DADOS BRUTOS'!$A$3:$A$500,$C29,'DADOS BRUTOS'!AO$3:AO$500)))</f>
        <v/>
      </c>
      <c r="DP29" s="123">
        <f>IF(OR(DP$4="",$B29=""),0,SUMIF('DADOS BRUTOS'!$A$3:$A$500,$B29,'DADOS BRUTOS'!AP$3:AP$500)+IF($C29="",0,SUMIF('DADOS BRUTOS'!$A$3:$A$500,$C29,'DADOS BRUTOS'!AP$3:AP$500)))</f>
        <v/>
      </c>
      <c r="DQ29" s="123">
        <f>IF(OR(DQ$4="",$B29=""),0,SUMIF('DADOS BRUTOS'!$A$3:$A$500,$B29,'DADOS BRUTOS'!AQ$3:AQ$500)+IF($C29="",0,SUMIF('DADOS BRUTOS'!$A$3:$A$500,$C29,'DADOS BRUTOS'!AQ$3:AQ$500)))</f>
        <v/>
      </c>
      <c r="DR29" s="123">
        <f>IF(OR(DR$4="",$B29=""),0,SUMIF('DADOS BRUTOS'!$A$3:$A$500,$B29,'DADOS BRUTOS'!AR$3:AR$500)+IF($C29="",0,SUMIF('DADOS BRUTOS'!$A$3:$A$500,$C29,'DADOS BRUTOS'!AR$3:AR$500)))</f>
        <v/>
      </c>
      <c r="DS29" s="123">
        <f>IF(OR(DS$4="",$B29=""),0,SUMIF('DADOS BRUTOS'!$A$3:$A$500,$B29,'DADOS BRUTOS'!AS$3:AS$500)+IF($C29="",0,SUMIF('DADOS BRUTOS'!$A$3:$A$500,$C29,'DADOS BRUTOS'!AS$3:AS$500)))</f>
        <v/>
      </c>
      <c r="DT29" s="123">
        <f>IF(OR(DT$4="",$B29=""),0,SUMIF('DADOS BRUTOS'!$A$3:$A$500,$B29,'DADOS BRUTOS'!AT$3:AT$500)+IF($C29="",0,SUMIF('DADOS BRUTOS'!$A$3:$A$500,$C29,'DADOS BRUTOS'!AT$3:AT$500)))</f>
        <v/>
      </c>
      <c r="DU29" s="123">
        <f>IF(OR(DU$4="",$B29=""),0,SUMIF('DADOS BRUTOS'!$A$3:$A$500,$B29,'DADOS BRUTOS'!AU$3:AU$500)+IF($C29="",0,SUMIF('DADOS BRUTOS'!$A$3:$A$500,$C29,'DADOS BRUTOS'!AU$3:AU$500)))</f>
        <v/>
      </c>
      <c r="DV29" s="123">
        <f>IF(OR(DV$4="",$B29=""),0,SUMIF('DADOS BRUTOS'!$A$3:$A$500,$B29,'DADOS BRUTOS'!AV$3:AV$500)+IF($C29="",0,SUMIF('DADOS BRUTOS'!$A$3:$A$500,$C29,'DADOS BRUTOS'!AV$3:AV$500)))</f>
        <v/>
      </c>
      <c r="DW29" s="123">
        <f>IF(OR(DW$4="",$B29=""),0,SUMIF('DADOS BRUTOS'!$A$3:$A$500,$B29,'DADOS BRUTOS'!AW$3:AW$500)+IF($C29="",0,SUMIF('DADOS BRUTOS'!$A$3:$A$500,$C29,'DADOS BRUTOS'!AW$3:AW$500)))</f>
        <v/>
      </c>
      <c r="DX29" s="123">
        <f>IF(OR(DX$4="",$B29=""),0,SUMIF('DADOS BRUTOS'!$A$3:$A$500,$B29,'DADOS BRUTOS'!AX$3:AX$500)+IF($C29="",0,SUMIF('DADOS BRUTOS'!$A$3:$A$500,$C29,'DADOS BRUTOS'!AX$3:AX$500)))</f>
        <v/>
      </c>
      <c r="DY29" s="123">
        <f>IF(OR(DY$4="",$B29=""),0,SUMIF('DADOS BRUTOS'!$A$3:$A$500,$B29,'DADOS BRUTOS'!AY$3:AY$500)+IF($C29="",0,SUMIF('DADOS BRUTOS'!$A$3:$A$500,$C29,'DADOS BRUTOS'!AY$3:AY$500)))</f>
        <v/>
      </c>
      <c r="DZ29" s="123">
        <f>IF(OR(DZ$4="",$B29=""),0,SUMIF('DADOS BRUTOS'!$A$3:$A$500,$B29,'DADOS BRUTOS'!AZ$3:AZ$500)+IF($C29="",0,SUMIF('DADOS BRUTOS'!$A$3:$A$500,$C29,'DADOS BRUTOS'!AZ$3:AZ$500)))</f>
        <v/>
      </c>
      <c r="EA29" s="123">
        <f>IF(OR(EA$4="",$B29=""),0,SUMIF('DADOS BRUTOS'!$A$3:$A$500,$B29,'DADOS BRUTOS'!BA$3:BA$500)+IF($C29="",0,SUMIF('DADOS BRUTOS'!$A$3:$A$500,$C29,'DADOS BRUTOS'!BA$3:BA$500)))</f>
        <v/>
      </c>
      <c r="EB29" s="123">
        <f>IF(OR(EB$4="",$B29=""),0,SUMIF('DADOS BRUTOS'!$A$3:$A$500,$B29,'DADOS BRUTOS'!BB$3:BB$500)+IF($C29="",0,SUMIF('DADOS BRUTOS'!$A$3:$A$500,$C29,'DADOS BRUTOS'!BB$3:BB$500)))</f>
        <v/>
      </c>
      <c r="EC29" s="123">
        <f>IF(OR(EC$4="",$B29=""),0,SUMIF('DADOS BRUTOS'!$A$3:$A$500,$B29,'DADOS BRUTOS'!BC$3:BC$500)+IF($C29="",0,SUMIF('DADOS BRUTOS'!$A$3:$A$500,$C29,'DADOS BRUTOS'!BC$3:BC$500)))</f>
        <v/>
      </c>
      <c r="ED29" s="123">
        <f>IF(OR(ED$4="",$B29=""),0,SUMIF('DADOS BRUTOS'!$A$3:$A$500,$B29,'DADOS BRUTOS'!BD$3:BD$500)+IF($C29="",0,SUMIF('DADOS BRUTOS'!$A$3:$A$500,$C29,'DADOS BRUTOS'!BD$3:BD$500)))</f>
        <v/>
      </c>
      <c r="EE29" s="123">
        <f>IF(OR(EE$4="",$B29=""),0,SUMIF('DADOS BRUTOS'!$A$3:$A$500,$B29,'DADOS BRUTOS'!BE$3:BE$500)+IF($C29="",0,SUMIF('DADOS BRUTOS'!$A$3:$A$500,$C29,'DADOS BRUTOS'!BE$3:BE$500)))</f>
        <v/>
      </c>
      <c r="EF29" s="123">
        <f>IF(OR(EF$4="",$B29=""),0,SUMIF('DADOS BRUTOS'!$A$3:$A$500,$B29,'DADOS BRUTOS'!BF$3:BF$500)+IF($C29="",0,SUMIF('DADOS BRUTOS'!$A$3:$A$500,$C29,'DADOS BRUTOS'!BF$3:BF$500)))</f>
        <v/>
      </c>
      <c r="EG29" s="123">
        <f>IF(OR(EG$4="",$B29=""),0,SUMIF('DADOS BRUTOS'!$A$3:$A$500,$B29,'DADOS BRUTOS'!BG$3:BG$500)+IF($C29="",0,SUMIF('DADOS BRUTOS'!$A$3:$A$500,$C29,'DADOS BRUTOS'!BG$3:BG$500)))</f>
        <v/>
      </c>
      <c r="EH29" s="123">
        <f>IF(OR(EH$4="",$B29=""),0,SUMIF('DADOS BRUTOS'!$A$3:$A$500,$B29,'DADOS BRUTOS'!BH$3:BH$500)+IF($C29="",0,SUMIF('DADOS BRUTOS'!$A$3:$A$500,$C29,'DADOS BRUTOS'!BH$3:BH$500)))</f>
        <v/>
      </c>
      <c r="EI29" s="123">
        <f>IF(OR(EI$4="",$B29=""),0,SUMIF('DADOS BRUTOS'!$A$3:$A$500,$B29,'DADOS BRUTOS'!BI$3:BI$500)+IF($C29="",0,SUMIF('DADOS BRUTOS'!$A$3:$A$500,$C29,'DADOS BRUTOS'!BI$3:BI$500)))</f>
        <v/>
      </c>
      <c r="EJ29" s="123">
        <f>IF(OR(EJ$4="",$B29=""),0,SUMIF('DADOS BRUTOS'!$A$3:$A$500,$B29,'DADOS BRUTOS'!BJ$3:BJ$500)+IF($C29="",0,SUMIF('DADOS BRUTOS'!$A$3:$A$500,$C29,'DADOS BRUTOS'!BJ$3:BJ$500)))</f>
        <v/>
      </c>
      <c r="EK29" s="123">
        <f>IF(OR(EK$4="",$B29=""),0,SUMIF('DADOS BRUTOS'!$A$3:$A$500,$B29,'DADOS BRUTOS'!BK$3:BK$500)+IF($C29="",0,SUMIF('DADOS BRUTOS'!$A$3:$A$500,$C29,'DADOS BRUTOS'!BK$3:BK$500)))</f>
        <v/>
      </c>
      <c r="EL29" s="123">
        <f>IF(OR(EL$4="",$B29=""),0,SUMIF('DADOS BRUTOS'!$A$3:$A$500,$B29,'DADOS BRUTOS'!BL$3:BL$500)+IF($C29="",0,SUMIF('DADOS BRUTOS'!$A$3:$A$500,$C29,'DADOS BRUTOS'!BL$3:BL$500)))</f>
        <v/>
      </c>
      <c r="EM29" s="123">
        <f>IF(OR(EM$4="",$B29=""),0,SUMIF('DADOS BRUTOS'!$A$3:$A$500,$B29,'DADOS BRUTOS'!BM$3:BM$500)+IF($C29="",0,SUMIF('DADOS BRUTOS'!$A$3:$A$500,$C29,'DADOS BRUTOS'!BM$3:BM$500)))</f>
        <v/>
      </c>
      <c r="EN29" s="123">
        <f>IF(OR(EN$4="",$B29=""),0,SUMIF('DADOS BRUTOS'!$A$3:$A$500,$B29,'DADOS BRUTOS'!BN$3:BN$500)+IF($C29="",0,SUMIF('DADOS BRUTOS'!$A$3:$A$500,$C29,'DADOS BRUTOS'!BN$3:BN$500)))</f>
        <v/>
      </c>
      <c r="EO29" s="123">
        <f>IF(OR(EO$4="",$B29=""),0,SUMIF('DADOS BRUTOS'!$A$3:$A$500,$B29,'DADOS BRUTOS'!BO$3:BO$500)+IF($C29="",0,SUMIF('DADOS BRUTOS'!$A$3:$A$500,$C29,'DADOS BRUTOS'!BO$3:BO$500)))</f>
        <v/>
      </c>
      <c r="EP29" s="123">
        <f>IF(OR(EP$4="",$B29=""),0,SUMIF('DADOS BRUTOS'!$A$3:$A$500,$B29,'DADOS BRUTOS'!BP$3:BP$500)+IF($C29="",0,SUMIF('DADOS BRUTOS'!$A$3:$A$500,$C29,'DADOS BRUTOS'!BP$3:BP$500)))</f>
        <v/>
      </c>
      <c r="EQ29" s="123">
        <f>IF(OR(EQ$4="",$B29=""),0,SUMIF('DADOS BRUTOS'!$A$3:$A$500,$B29,'DADOS BRUTOS'!BQ$3:BQ$500)+IF($C29="",0,SUMIF('DADOS BRUTOS'!$A$3:$A$500,$C29,'DADOS BRUTOS'!BQ$3:BQ$500)))</f>
        <v/>
      </c>
      <c r="ER29" s="123">
        <f>IF(OR(ER$4="",$B29=""),0,SUMIF('DADOS BRUTOS'!$A$3:$A$500,$B29,'DADOS BRUTOS'!BR$3:BR$500)+IF($C29="",0,SUMIF('DADOS BRUTOS'!$A$3:$A$500,$C29,'DADOS BRUTOS'!BR$3:BR$500)))</f>
        <v/>
      </c>
      <c r="ES29" s="123">
        <f>IF(OR(ES$4="",$B29=""),0,SUMIF('DADOS BRUTOS'!$A$3:$A$500,$B29,'DADOS BRUTOS'!BS$3:BS$500)+IF($C29="",0,SUMIF('DADOS BRUTOS'!$A$3:$A$500,$C29,'DADOS BRUTOS'!BS$3:BS$500)))</f>
        <v/>
      </c>
      <c r="ET29" s="123">
        <f>IF(OR(ET$4="",$B29=""),0,SUMIF('DADOS BRUTOS'!$A$3:$A$500,$B29,'DADOS BRUTOS'!BT$3:BT$500)+IF($C29="",0,SUMIF('DADOS BRUTOS'!$A$3:$A$500,$C29,'DADOS BRUTOS'!BT$3:BT$500)))</f>
        <v/>
      </c>
      <c r="EU29" s="123">
        <f>IF(OR(EU$4="",$B29=""),0,SUMIF('DADOS BRUTOS'!$A$3:$A$500,$B29,'DADOS BRUTOS'!BU$3:BU$500)+IF($C29="",0,SUMIF('DADOS BRUTOS'!$A$3:$A$500,$C29,'DADOS BRUTOS'!BU$3:BU$500)))</f>
        <v/>
      </c>
      <c r="EV29" s="123">
        <f>IF(OR(EV$4="",$B29=""),0,SUMIF('DADOS BRUTOS'!$A$3:$A$500,$B29,'DADOS BRUTOS'!BV$3:BV$500)+IF($C29="",0,SUMIF('DADOS BRUTOS'!$A$3:$A$500,$C29,'DADOS BRUTOS'!BV$3:BV$500)))</f>
        <v/>
      </c>
      <c r="EW29" s="123">
        <f>IF(OR(EW$4="",$B29=""),0,SUMIF('DADOS BRUTOS'!$A$3:$A$500,$B29,'DADOS BRUTOS'!BW$3:BW$500)+IF($C29="",0,SUMIF('DADOS BRUTOS'!$A$3:$A$500,$C29,'DADOS BRUTOS'!BW$3:BW$500)))</f>
        <v/>
      </c>
      <c r="EX29" s="123">
        <f>IF(OR(EX$4="",$B29=""),0,SUMIF('DADOS BRUTOS'!$A$3:$A$500,$B29,'DADOS BRUTOS'!BX$3:BX$500)+IF($C29="",0,SUMIF('DADOS BRUTOS'!$A$3:$A$500,$C29,'DADOS BRUTOS'!BX$3:BX$500)))</f>
        <v/>
      </c>
      <c r="EY29" s="123">
        <f>IF(OR(EY$4="",$B29=""),0,SUMIF('DADOS BRUTOS'!$A$3:$A$500,$B29,'DADOS BRUTOS'!BY$3:BY$500)+IF($C29="",0,SUMIF('DADOS BRUTOS'!$A$3:$A$500,$C29,'DADOS BRUTOS'!BY$3:BY$500)))</f>
        <v/>
      </c>
      <c r="EZ29" s="123">
        <f>IF(OR(EZ$4="",$B29=""),0,SUMIF('DADOS BRUTOS'!$A$3:$A$500,$B29,'DADOS BRUTOS'!BZ$3:BZ$500)+IF($C29="",0,SUMIF('DADOS BRUTOS'!$A$3:$A$500,$C29,'DADOS BRUTOS'!BZ$3:BZ$500)))</f>
        <v/>
      </c>
      <c r="FA29" s="123">
        <f>IF(OR(FA$4="",$B29=""),0,SUMIF('DADOS BRUTOS'!$A$3:$A$500,$B29,'DADOS BRUTOS'!CA$3:CA$500)+IF($C29="",0,SUMIF('DADOS BRUTOS'!$A$3:$A$500,$C29,'DADOS BRUTOS'!CA$3:CA$500)))</f>
        <v/>
      </c>
      <c r="FB29" s="123">
        <f>IF(OR(FB$4="",$B29=""),0,SUMIF('DADOS BRUTOS'!$A$3:$A$500,$B29,'DADOS BRUTOS'!CB$3:CB$500)+IF($C29="",0,SUMIF('DADOS BRUTOS'!$A$3:$A$500,$C29,'DADOS BRUTOS'!CB$3:CB$500)))</f>
        <v/>
      </c>
      <c r="FC29" s="123">
        <f>IF(OR(FC$4="",$B29=""),0,SUMIF('DADOS BRUTOS'!$A$3:$A$500,$B29,'DADOS BRUTOS'!CC$3:CC$500)+IF($C29="",0,SUMIF('DADOS BRUTOS'!$A$3:$A$500,$C29,'DADOS BRUTOS'!CC$3:CC$500)))</f>
        <v/>
      </c>
      <c r="FD29" s="123">
        <f>IF(OR(FD$4="",$B29=""),0,SUMIF('DADOS BRUTOS'!$A$3:$A$500,$B29,'DADOS BRUTOS'!CD$3:CD$500)+IF($C29="",0,SUMIF('DADOS BRUTOS'!$A$3:$A$500,$C29,'DADOS BRUTOS'!CD$3:CD$500)))</f>
        <v/>
      </c>
      <c r="FE29" s="123">
        <f>IF(OR(FE$4="",$B29=""),0,SUMIF('DADOS BRUTOS'!$A$3:$A$500,$B29,'DADOS BRUTOS'!CE$3:CE$500)+IF($C29="",0,SUMIF('DADOS BRUTOS'!$A$3:$A$500,$C29,'DADOS BRUTOS'!CE$3:CE$500)))</f>
        <v/>
      </c>
      <c r="FF29" s="123">
        <f>IF(OR(FF$4="",$B29=""),0,SUMIF('DADOS BRUTOS'!$A$3:$A$500,$B29,'DADOS BRUTOS'!CF$3:CF$500)+IF($C29="",0,SUMIF('DADOS BRUTOS'!$A$3:$A$500,$C29,'DADOS BRUTOS'!CF$3:CF$500)))</f>
        <v/>
      </c>
      <c r="FG29" s="123">
        <f>IF(OR(FG$4="",$B29=""),0,SUMIF('DADOS BRUTOS'!$A$3:$A$500,$B29,'DADOS BRUTOS'!CG$3:CG$500)+IF($C29="",0,SUMIF('DADOS BRUTOS'!$A$3:$A$500,$C29,'DADOS BRUTOS'!CG$3:CG$500)))</f>
        <v/>
      </c>
      <c r="FH29" s="123">
        <f>IF(OR(FH$4="",$B29=""),0,SUMIF('DADOS BRUTOS'!$A$3:$A$500,$B29,'DADOS BRUTOS'!CH$3:CH$500)+IF($C29="",0,SUMIF('DADOS BRUTOS'!$A$3:$A$500,$C29,'DADOS BRUTOS'!CH$3:CH$500)))</f>
        <v/>
      </c>
      <c r="FI29" s="123">
        <f>IF(OR(FI$4="",$B29=""),0,SUMIF('DADOS BRUTOS'!$A$3:$A$500,$B29,'DADOS BRUTOS'!CI$3:CI$500)+IF($C29="",0,SUMIF('DADOS BRUTOS'!$A$3:$A$500,$C29,'DADOS BRUTOS'!CI$3:CI$500)))</f>
        <v/>
      </c>
      <c r="FJ29" s="123">
        <f>IF(OR(FJ$4="",$B29=""),0,SUMIF('DADOS BRUTOS'!$A$3:$A$500,$B29,'DADOS BRUTOS'!CJ$3:CJ$500)+IF($C29="",0,SUMIF('DADOS BRUTOS'!$A$3:$A$500,$C29,'DADOS BRUTOS'!CJ$3:CJ$500)))</f>
        <v/>
      </c>
      <c r="FK29" s="123">
        <f>IF(OR(FK$4="",$B29=""),0,SUMIF('DADOS BRUTOS'!$A$3:$A$500,$B29,'DADOS BRUTOS'!CK$3:CK$500)+IF($C29="",0,SUMIF('DADOS BRUTOS'!$A$3:$A$500,$C29,'DADOS BRUTOS'!CK$3:CK$500)))</f>
        <v/>
      </c>
      <c r="FL29" s="123">
        <f>IF(OR(FL$4="",$B29=""),0,SUMIF('DADOS BRUTOS'!$A$3:$A$500,$B29,'DADOS BRUTOS'!CL$3:CL$500)+IF($C29="",0,SUMIF('DADOS BRUTOS'!$A$3:$A$500,$C29,'DADOS BRUTOS'!CL$3:CL$500)))</f>
        <v/>
      </c>
      <c r="FM29" s="123">
        <f>IF(OR(FM$4="",$B29=""),0,SUMIF('DADOS BRUTOS'!$A$3:$A$500,$B29,'DADOS BRUTOS'!CM$3:CM$500)+IF($C29="",0,SUMIF('DADOS BRUTOS'!$A$3:$A$500,$C29,'DADOS BRUTOS'!CM$3:CM$500)))</f>
        <v/>
      </c>
      <c r="FN29" s="123">
        <f>IF(OR(FN$4="",$B29=""),0,SUMIF('DADOS BRUTOS'!$A$3:$A$500,$B29,'DADOS BRUTOS'!CN$3:CN$500)+IF($C29="",0,SUMIF('DADOS BRUTOS'!$A$3:$A$500,$C29,'DADOS BRUTOS'!CN$3:CN$500)))</f>
        <v/>
      </c>
      <c r="FO29" s="123">
        <f>IF(OR(FO$4="",$B29=""),0,SUMIF('DADOS BRUTOS'!$A$3:$A$500,$B29,'DADOS BRUTOS'!CO$3:CO$500)+IF($C29="",0,SUMIF('DADOS BRUTOS'!$A$3:$A$500,$C29,'DADOS BRUTOS'!CO$3:CO$500)))</f>
        <v/>
      </c>
      <c r="FP29" s="123">
        <f>IF(OR(FP$4="",$B29=""),0,SUMIF('DADOS BRUTOS'!$A$3:$A$500,$B29,'DADOS BRUTOS'!CP$3:CP$500)+IF($C29="",0,SUMIF('DADOS BRUTOS'!$A$3:$A$500,$C29,'DADOS BRUTOS'!CP$3:CP$500)))</f>
        <v/>
      </c>
      <c r="FQ29" s="123">
        <f>IF(OR(FQ$4="",$B29=""),0,SUMIF('DADOS BRUTOS'!$A$3:$A$500,$B29,'DADOS BRUTOS'!CQ$3:CQ$500)+IF($C29="",0,SUMIF('DADOS BRUTOS'!$A$3:$A$500,$C29,'DADOS BRUTOS'!CQ$3:CQ$500)))</f>
        <v/>
      </c>
      <c r="FR29" s="123">
        <f>IF(OR(FR$4="",$B29=""),0,SUMIF('DADOS BRUTOS'!$A$3:$A$500,$B29,'DADOS BRUTOS'!CR$3:CR$500)+IF($C29="",0,SUMIF('DADOS BRUTOS'!$A$3:$A$500,$C29,'DADOS BRUTOS'!CR$3:CR$500)))</f>
        <v/>
      </c>
      <c r="FS29" s="123">
        <f>IF(OR(FS$4="",$B29=""),0,SUMIF('DADOS BRUTOS'!$A$3:$A$500,$B29,'DADOS BRUTOS'!CS$3:CS$500)+IF($C29="",0,SUMIF('DADOS BRUTOS'!$A$3:$A$500,$C29,'DADOS BRUTOS'!CS$3:CS$500)))</f>
        <v/>
      </c>
      <c r="FT29" s="123">
        <f>IF(OR(FT$4="",$B29=""),0,SUMIF('DADOS BRUTOS'!$A$3:$A$500,$B29,'DADOS BRUTOS'!CT$3:CT$500)+IF($C29="",0,SUMIF('DADOS BRUTOS'!$A$3:$A$500,$C29,'DADOS BRUTOS'!CT$3:CT$500)))</f>
        <v/>
      </c>
      <c r="FU29" s="123">
        <f>IF(OR(FU$4="",$B29=""),0,SUMIF('DADOS BRUTOS'!$A$3:$A$500,$B29,'DADOS BRUTOS'!CU$3:CU$500)+IF($C29="",0,SUMIF('DADOS BRUTOS'!$A$3:$A$500,$C29,'DADOS BRUTOS'!CU$3:CU$500)))</f>
        <v/>
      </c>
      <c r="FV29" s="123">
        <f>IF(OR(FV$4="",$B29=""),0,SUMIF('DADOS BRUTOS'!$A$3:$A$500,$B29,'DADOS BRUTOS'!CV$3:CV$500)+IF($C29="",0,SUMIF('DADOS BRUTOS'!$A$3:$A$500,$C29,'DADOS BRUTOS'!CV$3:CV$500)))</f>
        <v/>
      </c>
      <c r="FW29" s="123">
        <f>IF(OR(FW$4="",$B29=""),0,SUMIF('DADOS BRUTOS'!$A$3:$A$500,$B29,'DADOS BRUTOS'!CW$3:CW$500)+IF($C29="",0,SUMIF('DADOS BRUTOS'!$A$3:$A$500,$C29,'DADOS BRUTOS'!CW$3:CW$500)))</f>
        <v/>
      </c>
      <c r="FX29" s="123">
        <f>IF(OR(FX$4="",$B29=""),0,SUMIF('DADOS BRUTOS'!$A$3:$A$500,$B29,'DADOS BRUTOS'!CX$3:CX$500)+IF($C29="",0,SUMIF('DADOS BRUTOS'!$A$3:$A$500,$C29,'DADOS BRUTOS'!CX$3:CX$500)))</f>
        <v/>
      </c>
      <c r="FY29" s="123">
        <f>IF(OR(FY$4="",$B29=""),0,SUMIF('DADOS BRUTOS'!$A$3:$A$500,$B29,'DADOS BRUTOS'!CY$3:CY$500)+IF($C29="",0,SUMIF('DADOS BRUTOS'!$A$3:$A$500,$C29,'DADOS BRUTOS'!CY$3:CY$500)))</f>
        <v/>
      </c>
      <c r="FZ29" s="123">
        <f>IF(OR(FZ$4="",$B29=""),0,SUMIF('DADOS BRUTOS'!$A$3:$A$500,$B29,'DADOS BRUTOS'!CZ$3:CZ$500)+IF($C29="",0,SUMIF('DADOS BRUTOS'!$A$3:$A$500,$C29,'DADOS BRUTOS'!CZ$3:CZ$500)))</f>
        <v/>
      </c>
      <c r="GA29" s="123">
        <f>IF(OR(GA$4="",$B29=""),0,SUMIF('DADOS BRUTOS'!$A$3:$A$500,$B29,'DADOS BRUTOS'!DA$3:DA$500)+IF($C29="",0,SUMIF('DADOS BRUTOS'!$A$3:$A$500,$C29,'DADOS BRUTOS'!DA$3:DA$500)))</f>
        <v/>
      </c>
      <c r="GB29" s="123">
        <f>IF(OR(GB$4="",$B29=""),0,SUMIF('DADOS BRUTOS'!$A$3:$A$500,$B29,'DADOS BRUTOS'!DB$3:DB$500)+IF($C29="",0,SUMIF('DADOS BRUTOS'!$A$3:$A$500,$C29,'DADOS BRUTOS'!DB$3:DB$500)))</f>
        <v/>
      </c>
      <c r="GC29" s="123">
        <f>IF(OR(GC$4="",$B29=""),0,SUMIF('DADOS BRUTOS'!$A$3:$A$500,$B29,'DADOS BRUTOS'!DC$3:DC$500)+IF($C29="",0,SUMIF('DADOS BRUTOS'!$A$3:$A$500,$C29,'DADOS BRUTOS'!DC$3:DC$500)))</f>
        <v/>
      </c>
      <c r="GD29" s="123">
        <f>IF(OR(GD$4="",$B29=""),0,SUMIF('DADOS BRUTOS'!$A$3:$A$500,$B29,'DADOS BRUTOS'!DD$3:DD$500)+IF($C29="",0,SUMIF('DADOS BRUTOS'!$A$3:$A$500,$C29,'DADOS BRUTOS'!DD$3:DD$500)))</f>
        <v/>
      </c>
      <c r="GE29" s="123">
        <f>IF(OR(GE$4="",$B29=""),0,SUMIF('DADOS BRUTOS'!$A$3:$A$500,$B29,'DADOS BRUTOS'!DE$3:DE$500)+IF($C29="",0,SUMIF('DADOS BRUTOS'!$A$3:$A$500,$C29,'DADOS BRUTOS'!DE$3:DE$500)))</f>
        <v/>
      </c>
      <c r="GF29" s="123">
        <f>IF(OR(GF$4="",$B29=""),0,SUMIF('DADOS BRUTOS'!$A$3:$A$500,$B29,'DADOS BRUTOS'!DF$3:DF$500)+IF($C29="",0,SUMIF('DADOS BRUTOS'!$A$3:$A$500,$C29,'DADOS BRUTOS'!DF$3:DF$500)))</f>
        <v/>
      </c>
      <c r="GG29" s="123">
        <f>IF(OR(GG$4="",$B29=""),0,SUMIF('DADOS BRUTOS'!$A$3:$A$500,$B29,'DADOS BRUTOS'!DG$3:DG$500)+IF($C29="",0,SUMIF('DADOS BRUTOS'!$A$3:$A$500,$C29,'DADOS BRUTOS'!DG$3:DG$500)))</f>
        <v/>
      </c>
      <c r="GH29" s="123">
        <f>IF(OR(GH$4="",$B29=""),0,SUMIF('DADOS BRUTOS'!$A$3:$A$500,$B29,'DADOS BRUTOS'!DH$3:DH$500)+IF($C29="",0,SUMIF('DADOS BRUTOS'!$A$3:$A$500,$C29,'DADOS BRUTOS'!DH$3:DH$500)))</f>
        <v/>
      </c>
      <c r="GI29" s="123">
        <f>IF(OR(GI$4="",$B29=""),0,SUMIF('DADOS BRUTOS'!$A$3:$A$500,$B29,'DADOS BRUTOS'!DI$3:DI$500)+IF($C29="",0,SUMIF('DADOS BRUTOS'!$A$3:$A$500,$C29,'DADOS BRUTOS'!DI$3:DI$500)))</f>
        <v/>
      </c>
      <c r="GJ29" s="123">
        <f>IF(OR(GJ$4="",$B29=""),0,SUMIF('DADOS BRUTOS'!$A$3:$A$500,$B29,'DADOS BRUTOS'!DJ$3:DJ$500)+IF($C29="",0,SUMIF('DADOS BRUTOS'!$A$3:$A$500,$C29,'DADOS BRUTOS'!DJ$3:DJ$500)))</f>
        <v/>
      </c>
      <c r="GK29" s="123">
        <f>IF(OR(GK$4="",$B29=""),0,SUMIF('DADOS BRUTOS'!$A$3:$A$500,$B29,'DADOS BRUTOS'!DK$3:DK$500)+IF($C29="",0,SUMIF('DADOS BRUTOS'!$A$3:$A$500,$C29,'DADOS BRUTOS'!DK$3:DK$500)))</f>
        <v/>
      </c>
      <c r="GL29" s="123">
        <f>IF(OR(GL$4="",$B29=""),0,SUMIF('DADOS BRUTOS'!$A$3:$A$500,$B29,'DADOS BRUTOS'!DL$3:DL$500)+IF($C29="",0,SUMIF('DADOS BRUTOS'!$A$3:$A$500,$C29,'DADOS BRUTOS'!DL$3:DL$500)))</f>
        <v/>
      </c>
      <c r="GM29" s="123">
        <f>IF(OR(GM$4="",$B29=""),0,SUMIF('DADOS BRUTOS'!$A$3:$A$500,$B29,'DADOS BRUTOS'!DM$3:DM$500)+IF($C29="",0,SUMIF('DADOS BRUTOS'!$A$3:$A$500,$C29,'DADOS BRUTOS'!DM$3:DM$500)))</f>
        <v/>
      </c>
      <c r="GN29" s="123">
        <f>IF(OR(GN$4="",$B29=""),0,SUMIF('DADOS BRUTOS'!$A$3:$A$500,$B29,'DADOS BRUTOS'!DN$3:DN$500)+IF($C29="",0,SUMIF('DADOS BRUTOS'!$A$3:$A$500,$C29,'DADOS BRUTOS'!DN$3:DN$500)))</f>
        <v/>
      </c>
      <c r="GO29" s="123">
        <f>IF(OR(GO$4="",$B29=""),0,SUMIF('DADOS BRUTOS'!$A$3:$A$500,$B29,'DADOS BRUTOS'!DO$3:DO$500)+IF($C29="",0,SUMIF('DADOS BRUTOS'!$A$3:$A$500,$C29,'DADOS BRUTOS'!DO$3:DO$500)))</f>
        <v/>
      </c>
      <c r="GP29" s="123">
        <f>IF(OR(GP$4="",$B29=""),0,SUMIF('DADOS BRUTOS'!$A$3:$A$500,$B29,'DADOS BRUTOS'!DP$3:DP$500)+IF($C29="",0,SUMIF('DADOS BRUTOS'!$A$3:$A$500,$C29,'DADOS BRUTOS'!DP$3:DP$500)))</f>
        <v/>
      </c>
      <c r="GQ29" s="123">
        <f>IF(OR(GQ$4="",$B29=""),0,SUMIF('DADOS BRUTOS'!$A$3:$A$500,$B29,'DADOS BRUTOS'!DQ$3:DQ$500)+IF($C29="",0,SUMIF('DADOS BRUTOS'!$A$3:$A$500,$C29,'DADOS BRUTOS'!DQ$3:DQ$500)))</f>
        <v/>
      </c>
      <c r="GR29" s="123">
        <f>IF(OR(GR$4="",$B29=""),0,SUMIF('DADOS BRUTOS'!$A$3:$A$500,$B29,'DADOS BRUTOS'!DR$3:DR$500)+IF($C29="",0,SUMIF('DADOS BRUTOS'!$A$3:$A$500,$C29,'DADOS BRUTOS'!DR$3:DR$500)))</f>
        <v/>
      </c>
      <c r="GS29" s="123">
        <f>IF(OR(GS$4="",$B29=""),0,SUMIF('DADOS BRUTOS'!$A$3:$A$500,$B29,'DADOS BRUTOS'!DS$3:DS$500)+IF($C29="",0,SUMIF('DADOS BRUTOS'!$A$3:$A$500,$C29,'DADOS BRUTOS'!DS$3:DS$500)))</f>
        <v/>
      </c>
      <c r="GT29" s="123">
        <f>IF(OR(GT$4="",$B29=""),0,SUMIF('DADOS BRUTOS'!$A$3:$A$500,$B29,'DADOS BRUTOS'!DT$3:DT$500)+IF($C29="",0,SUMIF('DADOS BRUTOS'!$A$3:$A$500,$C29,'DADOS BRUTOS'!DT$3:DT$500)))</f>
        <v/>
      </c>
      <c r="GU29" s="123">
        <f>IF(OR(GU$4="",$B29=""),0,SUMIF('DADOS BRUTOS'!$A$3:$A$500,$B29,'DADOS BRUTOS'!DU$3:DU$500)+IF($C29="",0,SUMIF('DADOS BRUTOS'!$A$3:$A$500,$C29,'DADOS BRUTOS'!DU$3:DU$500)))</f>
        <v/>
      </c>
      <c r="GV29" s="123">
        <f>IF(OR(GV$4="",$B29=""),0,SUMIF('DADOS BRUTOS'!$A$3:$A$500,$B29,'DADOS BRUTOS'!DV$3:DV$500)+IF($C29="",0,SUMIF('DADOS BRUTOS'!$A$3:$A$500,$C29,'DADOS BRUTOS'!DV$3:DV$500)))</f>
        <v/>
      </c>
      <c r="GW29" s="123">
        <f>IF(OR(GW$4="",$B29=""),0,SUMIF('DADOS BRUTOS'!$A$3:$A$500,$B29,'DADOS BRUTOS'!DW$3:DW$500)+IF($C29="",0,SUMIF('DADOS BRUTOS'!$A$3:$A$500,$C29,'DADOS BRUTOS'!DW$3:DW$500)))</f>
        <v/>
      </c>
      <c r="GX29" s="123">
        <f>IF(OR(GX$4="",$B29=""),0,SUMIF('DADOS BRUTOS'!$A$3:$A$500,$B29,'DADOS BRUTOS'!DX$3:DX$500)+IF($C29="",0,SUMIF('DADOS BRUTOS'!$A$3:$A$500,$C29,'DADOS BRUTOS'!DX$3:DX$500)))</f>
        <v/>
      </c>
      <c r="GY29" s="123">
        <f>IF(OR(GY$4="",$B29=""),0,SUMIF('DADOS BRUTOS'!$A$3:$A$500,$B29,'DADOS BRUTOS'!DY$3:DY$500)+IF($C29="",0,SUMIF('DADOS BRUTOS'!$A$3:$A$500,$C29,'DADOS BRUTOS'!DY$3:DY$500)))</f>
        <v/>
      </c>
      <c r="GZ29" s="123">
        <f>IF(OR(GZ$4="",$B29=""),0,SUMIF('DADOS BRUTOS'!$A$3:$A$500,$B29,'DADOS BRUTOS'!DZ$3:DZ$500)+IF($C29="",0,SUMIF('DADOS BRUTOS'!$A$3:$A$500,$C29,'DADOS BRUTOS'!DZ$3:DZ$500)))</f>
        <v/>
      </c>
      <c r="HA29" s="123">
        <f>IF(OR(HA$4="",$B29=""),0,SUMIF('DADOS BRUTOS'!$A$3:$A$500,$B29,'DADOS BRUTOS'!EA$3:EA$500)+IF($C29="",0,SUMIF('DADOS BRUTOS'!$A$3:$A$500,$C29,'DADOS BRUTOS'!EA$3:EA$500)))</f>
        <v/>
      </c>
      <c r="HB29" s="123">
        <f>IF(OR(HB$4="",$B29=""),0,SUMIF('DADOS BRUTOS'!$A$3:$A$500,$B29,'DADOS BRUTOS'!EB$3:EB$500)+IF($C29="",0,SUMIF('DADOS BRUTOS'!$A$3:$A$500,$C29,'DADOS BRUTOS'!EB$3:EB$500)))</f>
        <v/>
      </c>
      <c r="HC29" s="123">
        <f>IF(OR(HC$4="",$B29=""),0,SUMIF('DADOS BRUTOS'!$A$3:$A$500,$B29,'DADOS BRUTOS'!EC$3:EC$500)+IF($C29="",0,SUMIF('DADOS BRUTOS'!$A$3:$A$500,$C29,'DADOS BRUTOS'!EC$3:EC$500)))</f>
        <v/>
      </c>
      <c r="HD29" s="123">
        <f>IF(OR(HD$4="",$B29=""),0,SUMIF('DADOS BRUTOS'!$A$3:$A$500,$B29,'DADOS BRUTOS'!ED$3:ED$500)+IF($C29="",0,SUMIF('DADOS BRUTOS'!$A$3:$A$500,$C29,'DADOS BRUTOS'!ED$3:ED$500)))</f>
        <v/>
      </c>
      <c r="HE29" s="123">
        <f>IF(OR(HE$4="",$B29=""),0,SUMIF('DADOS BRUTOS'!$A$3:$A$500,$B29,'DADOS BRUTOS'!EE$3:EE$500)+IF($C29="",0,SUMIF('DADOS BRUTOS'!$A$3:$A$500,$C29,'DADOS BRUTOS'!EE$3:EE$500)))</f>
        <v/>
      </c>
      <c r="HF29" s="123">
        <f>IF(OR(HF$4="",$B29=""),0,SUMIF('DADOS BRUTOS'!$A$3:$A$500,$B29,'DADOS BRUTOS'!EF$3:EF$500)+IF($C29="",0,SUMIF('DADOS BRUTOS'!$A$3:$A$500,$C29,'DADOS BRUTOS'!EF$3:EF$500)))</f>
        <v/>
      </c>
      <c r="HG29" s="123">
        <f>IF(OR(HG$4="",$B29=""),0,SUMIF('DADOS BRUTOS'!$A$3:$A$500,$B29,'DADOS BRUTOS'!EG$3:EG$500)+IF($C29="",0,SUMIF('DADOS BRUTOS'!$A$3:$A$500,$C29,'DADOS BRUTOS'!EG$3:EG$500)))</f>
        <v/>
      </c>
      <c r="HH29" s="123">
        <f>IF(OR(HH$4="",$B29=""),0,SUMIF('DADOS BRUTOS'!$A$3:$A$500,$B29,'DADOS BRUTOS'!EH$3:EH$500)+IF($C29="",0,SUMIF('DADOS BRUTOS'!$A$3:$A$500,$C29,'DADOS BRUTOS'!EH$3:EH$500)))</f>
        <v/>
      </c>
      <c r="HI29" s="123">
        <f>IF(OR(HI$4="",$B29=""),0,SUMIF('DADOS BRUTOS'!$A$3:$A$500,$B29,'DADOS BRUTOS'!EI$3:EI$500)+IF($C29="",0,SUMIF('DADOS BRUTOS'!$A$3:$A$500,$C29,'DADOS BRUTOS'!EI$3:EI$500)))</f>
        <v/>
      </c>
      <c r="HJ29" s="123">
        <f>IF(OR(HJ$4="",$B29=""),0,SUMIF('DADOS BRUTOS'!$A$3:$A$500,$B29,'DADOS BRUTOS'!EJ$3:EJ$500)+IF($C29="",0,SUMIF('DADOS BRUTOS'!$A$3:$A$500,$C29,'DADOS BRUTOS'!EJ$3:EJ$500)))</f>
        <v/>
      </c>
      <c r="HK29" s="123">
        <f>IF(OR(HK$4="",$B29=""),0,SUMIF('DADOS BRUTOS'!$A$3:$A$500,$B29,'DADOS BRUTOS'!EK$3:EK$500)+IF($C29="",0,SUMIF('DADOS BRUTOS'!$A$3:$A$500,$C29,'DADOS BRUTOS'!EK$3:EK$500)))</f>
        <v/>
      </c>
      <c r="HL29" s="123">
        <f>IF(OR(HL$4="",$B29=""),0,SUMIF('DADOS BRUTOS'!$A$3:$A$500,$B29,'DADOS BRUTOS'!EL$3:EL$500)+IF($C29="",0,SUMIF('DADOS BRUTOS'!$A$3:$A$500,$C29,'DADOS BRUTOS'!EL$3:EL$500)))</f>
        <v/>
      </c>
      <c r="HM29" s="123">
        <f>IF(OR(HM$4="",$B29=""),0,SUMIF('DADOS BRUTOS'!$A$3:$A$500,$B29,'DADOS BRUTOS'!EM$3:EM$500)+IF($C29="",0,SUMIF('DADOS BRUTOS'!$A$3:$A$500,$C29,'DADOS BRUTOS'!EM$3:EM$500)))</f>
        <v/>
      </c>
      <c r="HN29" s="123">
        <f>IF(OR(HN$4="",$B29=""),0,SUMIF('DADOS BRUTOS'!$A$3:$A$500,$B29,'DADOS BRUTOS'!EN$3:EN$500)+IF($C29="",0,SUMIF('DADOS BRUTOS'!$A$3:$A$500,$C29,'DADOS BRUTOS'!EN$3:EN$500)))</f>
        <v/>
      </c>
      <c r="HO29" s="123">
        <f>IF(OR(HO$4="",$B29=""),0,SUMIF('DADOS BRUTOS'!$A$3:$A$500,$B29,'DADOS BRUTOS'!EO$3:EO$500)+IF($C29="",0,SUMIF('DADOS BRUTOS'!$A$3:$A$500,$C29,'DADOS BRUTOS'!EO$3:EO$500)))</f>
        <v/>
      </c>
      <c r="HP29" s="123">
        <f>IF(OR(HP$4="",$B29=""),0,SUMIF('DADOS BRUTOS'!$A$3:$A$500,$B29,'DADOS BRUTOS'!EP$3:EP$500)+IF($C29="",0,SUMIF('DADOS BRUTOS'!$A$3:$A$500,$C29,'DADOS BRUTOS'!EP$3:EP$500)))</f>
        <v/>
      </c>
      <c r="HQ29" s="123">
        <f>IF(OR(HQ$4="",$B29=""),0,SUMIF('DADOS BRUTOS'!$A$3:$A$500,$B29,'DADOS BRUTOS'!EQ$3:EQ$500)+IF($C29="",0,SUMIF('DADOS BRUTOS'!$A$3:$A$500,$C29,'DADOS BRUTOS'!EQ$3:EQ$500)))</f>
        <v/>
      </c>
      <c r="HR29" s="123">
        <f>IF(OR(HR$4="",$B29=""),0,SUMIF('DADOS BRUTOS'!$A$3:$A$500,$B29,'DADOS BRUTOS'!ER$3:ER$500)+IF($C29="",0,SUMIF('DADOS BRUTOS'!$A$3:$A$500,$C29,'DADOS BRUTOS'!ER$3:ER$500)))</f>
        <v/>
      </c>
      <c r="HS29" s="123">
        <f>IF(OR(HS$4="",$B29=""),0,SUMIF('DADOS BRUTOS'!$A$3:$A$500,$B29,'DADOS BRUTOS'!ES$3:ES$500)+IF($C29="",0,SUMIF('DADOS BRUTOS'!$A$3:$A$500,$C29,'DADOS BRUTOS'!ES$3:ES$500)))</f>
        <v/>
      </c>
      <c r="HT29" s="123">
        <f>IF(OR(HT$4="",$B29=""),0,SUMIF('DADOS BRUTOS'!$A$3:$A$500,$B29,'DADOS BRUTOS'!ET$3:ET$500)+IF($C29="",0,SUMIF('DADOS BRUTOS'!$A$3:$A$500,$C29,'DADOS BRUTOS'!ET$3:ET$500)))</f>
        <v/>
      </c>
      <c r="HU29" s="123">
        <f>IF(OR(HU$4="",$B29=""),0,SUMIF('DADOS BRUTOS'!$A$3:$A$500,$B29,'DADOS BRUTOS'!EU$3:EU$500)+IF($C29="",0,SUMIF('DADOS BRUTOS'!$A$3:$A$500,$C29,'DADOS BRUTOS'!EU$3:EU$500)))</f>
        <v/>
      </c>
      <c r="HV29" s="123">
        <f>IF(OR(HV$4="",$B29=""),0,SUMIF('DADOS BRUTOS'!$A$3:$A$500,$B29,'DADOS BRUTOS'!EV$3:EV$500)+IF($C29="",0,SUMIF('DADOS BRUTOS'!$A$3:$A$500,$C29,'DADOS BRUTOS'!EV$3:EV$500)))</f>
        <v/>
      </c>
      <c r="HW29" s="123">
        <f>IF(OR(HW$4="",$B29=""),0,SUMIF('DADOS BRUTOS'!$A$3:$A$500,$B29,'DADOS BRUTOS'!EW$3:EW$500)+IF($C29="",0,SUMIF('DADOS BRUTOS'!$A$3:$A$500,$C29,'DADOS BRUTOS'!EW$3:EW$500)))</f>
        <v/>
      </c>
      <c r="HX29" s="123">
        <f>IF(OR(HX$4="",$B29=""),0,SUMIF('DADOS BRUTOS'!$A$3:$A$500,$B29,'DADOS BRUTOS'!EX$3:EX$500)+IF($C29="",0,SUMIF('DADOS BRUTOS'!$A$3:$A$500,$C29,'DADOS BRUTOS'!EX$3:EX$500)))</f>
        <v/>
      </c>
      <c r="HY29" s="123">
        <f>IF(OR(HY$4="",$B29=""),0,SUMIF('DADOS BRUTOS'!$A$3:$A$500,$B29,'DADOS BRUTOS'!EY$3:EY$500)+IF($C29="",0,SUMIF('DADOS BRUTOS'!$A$3:$A$500,$C29,'DADOS BRUTOS'!EY$3:EY$500)))</f>
        <v/>
      </c>
      <c r="HZ29" s="123">
        <f>IF(OR(HZ$4="",$B29=""),0,SUMIF('DADOS BRUTOS'!$A$3:$A$500,$B29,'DADOS BRUTOS'!EZ$3:EZ$500)+IF($C29="",0,SUMIF('DADOS BRUTOS'!$A$3:$A$500,$C29,'DADOS BRUTOS'!EZ$3:EZ$500)))</f>
        <v/>
      </c>
      <c r="IA29" s="123">
        <f>IF(OR(IA$4="",$B29=""),0,SUMIF('DADOS BRUTOS'!$A$3:$A$500,$B29,'DADOS BRUTOS'!FA$3:FA$500)+IF($C29="",0,SUMIF('DADOS BRUTOS'!$A$3:$A$500,$C29,'DADOS BRUTOS'!FA$3:FA$500)))</f>
        <v/>
      </c>
      <c r="IB29" s="123">
        <f>IF(OR(IB$4="",$B29=""),0,SUMIF('DADOS BRUTOS'!$A$3:$A$500,$B29,'DADOS BRUTOS'!FB$3:FB$500)+IF($C29="",0,SUMIF('DADOS BRUTOS'!$A$3:$A$500,$C29,'DADOS BRUTOS'!FB$3:FB$500)))</f>
        <v/>
      </c>
      <c r="IC29" s="123">
        <f>IF(OR(IC$4="",$B29=""),0,SUMIF('DADOS BRUTOS'!$A$3:$A$500,$B29,'DADOS BRUTOS'!FC$3:FC$500)+IF($C29="",0,SUMIF('DADOS BRUTOS'!$A$3:$A$500,$C29,'DADOS BRUTOS'!FC$3:FC$500)))</f>
        <v/>
      </c>
      <c r="ID29" s="123">
        <f>IF(OR(ID$4="",$B29=""),0,SUMIF('DADOS BRUTOS'!$A$3:$A$500,$B29,'DADOS BRUTOS'!FD$3:FD$500)+IF($C29="",0,SUMIF('DADOS BRUTOS'!$A$3:$A$500,$C29,'DADOS BRUTOS'!FD$3:FD$500)))</f>
        <v/>
      </c>
      <c r="IE29" s="123">
        <f>IF(OR(IE$4="",$B29=""),0,SUMIF('DADOS BRUTOS'!$A$3:$A$500,$B29,'DADOS BRUTOS'!FE$3:FE$500)+IF($C29="",0,SUMIF('DADOS BRUTOS'!$A$3:$A$500,$C29,'DADOS BRUTOS'!FE$3:FE$500)))</f>
        <v/>
      </c>
      <c r="IF29" s="123">
        <f>IF(OR(IF$4="",$B29=""),0,SUMIF('DADOS BRUTOS'!$A$3:$A$500,$B29,'DADOS BRUTOS'!FF$3:FF$500)+IF($C29="",0,SUMIF('DADOS BRUTOS'!$A$3:$A$500,$C29,'DADOS BRUTOS'!FF$3:FF$500)))</f>
        <v/>
      </c>
      <c r="IG29" s="123">
        <f>IF(OR(IG$4="",$B29=""),0,SUMIF('DADOS BRUTOS'!$A$3:$A$500,$B29,'DADOS BRUTOS'!FG$3:FG$500)+IF($C29="",0,SUMIF('DADOS BRUTOS'!$A$3:$A$500,$C29,'DADOS BRUTOS'!FG$3:FG$500)))</f>
        <v/>
      </c>
      <c r="IH29" s="123">
        <f>IF(OR(IH$4="",$B29=""),0,SUMIF('DADOS BRUTOS'!$A$3:$A$500,$B29,'DADOS BRUTOS'!FH$3:FH$500)+IF($C29="",0,SUMIF('DADOS BRUTOS'!$A$3:$A$500,$C29,'DADOS BRUTOS'!FH$3:FH$500)))</f>
        <v/>
      </c>
      <c r="II29" s="123">
        <f>IF(OR(II$4="",$B29=""),0,SUMIF('DADOS BRUTOS'!$A$3:$A$500,$B29,'DADOS BRUTOS'!FI$3:FI$500)+IF($C29="",0,SUMIF('DADOS BRUTOS'!$A$3:$A$500,$C29,'DADOS BRUTOS'!FI$3:FI$500)))</f>
        <v/>
      </c>
      <c r="IJ29" s="123">
        <f>IF(OR(IJ$4="",$B29=""),0,SUMIF('DADOS BRUTOS'!$A$3:$A$500,$B29,'DADOS BRUTOS'!FJ$3:FJ$500)+IF($C29="",0,SUMIF('DADOS BRUTOS'!$A$3:$A$500,$C29,'DADOS BRUTOS'!FJ$3:FJ$500)))</f>
        <v/>
      </c>
      <c r="IK29" s="123">
        <f>IF(OR(IK$4="",$B29=""),0,SUMIF('DADOS BRUTOS'!$A$3:$A$500,$B29,'DADOS BRUTOS'!FK$3:FK$500)+IF($C29="",0,SUMIF('DADOS BRUTOS'!$A$3:$A$500,$C29,'DADOS BRUTOS'!FK$3:FK$500)))</f>
        <v/>
      </c>
      <c r="IL29" s="123">
        <f>IF(OR(IL$4="",$B29=""),0,SUMIF('DADOS BRUTOS'!$A$3:$A$500,$B29,'DADOS BRUTOS'!FL$3:FL$500)+IF($C29="",0,SUMIF('DADOS BRUTOS'!$A$3:$A$500,$C29,'DADOS BRUTOS'!FL$3:FL$500)))</f>
        <v/>
      </c>
      <c r="IM29" s="123">
        <f>IF(OR(IM$4="",$B29=""),0,SUMIF('DADOS BRUTOS'!$A$3:$A$500,$B29,'DADOS BRUTOS'!FM$3:FM$500)+IF($C29="",0,SUMIF('DADOS BRUTOS'!$A$3:$A$500,$C29,'DADOS BRUTOS'!FM$3:FM$500)))</f>
        <v/>
      </c>
      <c r="IN29" s="123">
        <f>IF(OR(IN$4="",$B29=""),0,SUMIF('DADOS BRUTOS'!$A$3:$A$500,$B29,'DADOS BRUTOS'!FN$3:FN$500)+IF($C29="",0,SUMIF('DADOS BRUTOS'!$A$3:$A$500,$C29,'DADOS BRUTOS'!FN$3:FN$500)))</f>
        <v/>
      </c>
      <c r="IO29" s="123">
        <f>IF(OR(IO$4="",$B29=""),0,SUMIF('DADOS BRUTOS'!$A$3:$A$500,$B29,'DADOS BRUTOS'!FO$3:FO$500)+IF($C29="",0,SUMIF('DADOS BRUTOS'!$A$3:$A$500,$C29,'DADOS BRUTOS'!FO$3:FO$500)))</f>
        <v/>
      </c>
      <c r="IP29" s="123">
        <f>IF(OR(IP$4="",$B29=""),0,SUMIF('DADOS BRUTOS'!$A$3:$A$500,$B29,'DADOS BRUTOS'!FP$3:FP$500)+IF($C29="",0,SUMIF('DADOS BRUTOS'!$A$3:$A$500,$C29,'DADOS BRUTOS'!FP$3:FP$500)))</f>
        <v/>
      </c>
      <c r="IQ29" s="123">
        <f>IF(OR(IQ$4="",$B29=""),0,SUMIF('DADOS BRUTOS'!$A$3:$A$500,$B29,'DADOS BRUTOS'!FQ$3:FQ$500)+IF($C29="",0,SUMIF('DADOS BRUTOS'!$A$3:$A$500,$C29,'DADOS BRUTOS'!FQ$3:FQ$500)))</f>
        <v/>
      </c>
      <c r="IR29" s="123">
        <f>IF(OR(IR$4="",$B29=""),0,SUMIF('DADOS BRUTOS'!$A$3:$A$500,$B29,'DADOS BRUTOS'!FR$3:FR$500)+IF($C29="",0,SUMIF('DADOS BRUTOS'!$A$3:$A$500,$C29,'DADOS BRUTOS'!FR$3:FR$500)))</f>
        <v/>
      </c>
      <c r="IS29" s="123">
        <f>IF(OR(IS$4="",$B29=""),0,SUMIF('DADOS BRUTOS'!$A$3:$A$500,$B29,'DADOS BRUTOS'!FS$3:FS$500)+IF($C29="",0,SUMIF('DADOS BRUTOS'!$A$3:$A$500,$C29,'DADOS BRUTOS'!FS$3:FS$500)))</f>
        <v/>
      </c>
      <c r="IT29" s="123">
        <f>IF(OR(IT$4="",$B29=""),0,SUMIF('DADOS BRUTOS'!$A$3:$A$500,$B29,'DADOS BRUTOS'!FT$3:FT$500)+IF($C29="",0,SUMIF('DADOS BRUTOS'!$A$3:$A$500,$C29,'DADOS BRUTOS'!FT$3:FT$500)))</f>
        <v/>
      </c>
      <c r="IU29" s="123">
        <f>IF(OR(IU$4="",$B29=""),0,SUMIF('DADOS BRUTOS'!$A$3:$A$500,$B29,'DADOS BRUTOS'!FU$3:FU$500)+IF($C29="",0,SUMIF('DADOS BRUTOS'!$A$3:$A$500,$C29,'DADOS BRUTOS'!FU$3:FU$500)))</f>
        <v/>
      </c>
      <c r="IV29" s="123">
        <f>IF(OR(IV$4="",$B29=""),0,SUMIF('DADOS BRUTOS'!$A$3:$A$500,$B29,'DADOS BRUTOS'!FV$3:FV$500)+IF($C29="",0,SUMIF('DADOS BRUTOS'!$A$3:$A$500,$C29,'DADOS BRUTOS'!FV$3:FV$500)))</f>
        <v/>
      </c>
      <c r="IW29" s="123">
        <f>IF(OR(IW$4="",$B29=""),0,SUMIF('DADOS BRUTOS'!$A$3:$A$500,$B29,'DADOS BRUTOS'!FW$3:FW$500)+IF($C29="",0,SUMIF('DADOS BRUTOS'!$A$3:$A$500,$C29,'DADOS BRUTOS'!FW$3:FW$500)))</f>
        <v/>
      </c>
      <c r="IX29" s="123">
        <f>IF(OR(IX$4="",$B29=""),0,SUMIF('DADOS BRUTOS'!$A$3:$A$500,$B29,'DADOS BRUTOS'!FX$3:FX$500)+IF($C29="",0,SUMIF('DADOS BRUTOS'!$A$3:$A$500,$C29,'DADOS BRUTOS'!FX$3:FX$500)))</f>
        <v/>
      </c>
      <c r="IY29" s="123">
        <f>IF(OR(IY$4="",$B29=""),0,SUMIF('DADOS BRUTOS'!$A$3:$A$500,$B29,'DADOS BRUTOS'!FY$3:FY$500)+IF($C29="",0,SUMIF('DADOS BRUTOS'!$A$3:$A$500,$C29,'DADOS BRUTOS'!FY$3:FY$500)))</f>
        <v/>
      </c>
      <c r="IZ29" s="123">
        <f>IF(OR(IZ$4="",$B29=""),0,SUMIF('DADOS BRUTOS'!$A$3:$A$500,$B29,'DADOS BRUTOS'!FZ$3:FZ$500)+IF($C29="",0,SUMIF('DADOS BRUTOS'!$A$3:$A$500,$C29,'DADOS BRUTOS'!FZ$3:FZ$500)))</f>
        <v/>
      </c>
      <c r="JA29" s="123">
        <f>IF(OR(JA$4="",$B29=""),0,SUMIF('DADOS BRUTOS'!$A$3:$A$500,$B29,'DADOS BRUTOS'!GA$3:GA$500)+IF($C29="",0,SUMIF('DADOS BRUTOS'!$A$3:$A$500,$C29,'DADOS BRUTOS'!GA$3:GA$500)))</f>
        <v/>
      </c>
      <c r="JB29" s="123">
        <f>IF(OR(JB$4="",$B29=""),0,SUMIF('DADOS BRUTOS'!$A$3:$A$500,$B29,'DADOS BRUTOS'!GB$3:GB$500)+IF($C29="",0,SUMIF('DADOS BRUTOS'!$A$3:$A$500,$C29,'DADOS BRUTOS'!GB$3:GB$500)))</f>
        <v/>
      </c>
      <c r="JC29" s="123">
        <f>IF(OR(JC$4="",$B29=""),0,SUMIF('DADOS BRUTOS'!$A$3:$A$500,$B29,'DADOS BRUTOS'!GC$3:GC$500)+IF($C29="",0,SUMIF('DADOS BRUTOS'!$A$3:$A$500,$C29,'DADOS BRUTOS'!GC$3:GC$500)))</f>
        <v/>
      </c>
      <c r="JD29" s="123">
        <f>IF(OR(JD$4="",$B29=""),0,SUMIF('DADOS BRUTOS'!$A$3:$A$500,$B29,'DADOS BRUTOS'!GD$3:GD$500)+IF($C29="",0,SUMIF('DADOS BRUTOS'!$A$3:$A$500,$C29,'DADOS BRUTOS'!GD$3:GD$500)))</f>
        <v/>
      </c>
      <c r="JE29" s="123">
        <f>IF(OR(JE$4="",$B29=""),0,SUMIF('DADOS BRUTOS'!$A$3:$A$500,$B29,'DADOS BRUTOS'!GE$3:GE$500)+IF($C29="",0,SUMIF('DADOS BRUTOS'!$A$3:$A$500,$C29,'DADOS BRUTOS'!GE$3:GE$500)))</f>
        <v/>
      </c>
      <c r="JF29" s="123">
        <f>IF(OR(JF$4="",$B29=""),0,SUMIF('DADOS BRUTOS'!$A$3:$A$500,$B29,'DADOS BRUTOS'!GF$3:GF$500)+IF($C29="",0,SUMIF('DADOS BRUTOS'!$A$3:$A$500,$C29,'DADOS BRUTOS'!GF$3:GF$500)))</f>
        <v/>
      </c>
      <c r="JG29" s="123">
        <f>IF(OR(JG$4="",$B29=""),0,SUMIF('DADOS BRUTOS'!$A$3:$A$500,$B29,'DADOS BRUTOS'!GG$3:GG$500)+IF($C29="",0,SUMIF('DADOS BRUTOS'!$A$3:$A$500,$C29,'DADOS BRUTOS'!GG$3:GG$500)))</f>
        <v/>
      </c>
      <c r="JH29" s="123">
        <f>IF(OR(JH$4="",$B29=""),0,SUMIF('DADOS BRUTOS'!$A$3:$A$500,$B29,'DADOS BRUTOS'!GH$3:GH$500)+IF($C29="",0,SUMIF('DADOS BRUTOS'!$A$3:$A$500,$C29,'DADOS BRUTOS'!GH$3:GH$500)))</f>
        <v/>
      </c>
      <c r="JI29" s="123">
        <f>IF(OR(JI$4="",$B29=""),0,SUMIF('DADOS BRUTOS'!$A$3:$A$500,$B29,'DADOS BRUTOS'!GI$3:GI$500)+IF($C29="",0,SUMIF('DADOS BRUTOS'!$A$3:$A$500,$C29,'DADOS BRUTOS'!GI$3:GI$500)))</f>
        <v/>
      </c>
      <c r="JJ29" s="123">
        <f>IF(OR(JJ$4="",$B29=""),0,SUMIF('DADOS BRUTOS'!$A$3:$A$500,$B29,'DADOS BRUTOS'!GJ$3:GJ$500)+IF($C29="",0,SUMIF('DADOS BRUTOS'!$A$3:$A$500,$C29,'DADOS BRUTOS'!GJ$3:GJ$500)))</f>
        <v/>
      </c>
      <c r="JK29" s="123">
        <f>IF(OR(JK$4="",$B29=""),0,SUMIF('DADOS BRUTOS'!$A$3:$A$500,$B29,'DADOS BRUTOS'!GK$3:GK$500)+IF($C29="",0,SUMIF('DADOS BRUTOS'!$A$3:$A$500,$C29,'DADOS BRUTOS'!GK$3:GK$500)))</f>
        <v/>
      </c>
      <c r="JL29" s="123">
        <f>IF(OR(JL$4="",$B29=""),0,SUMIF('DADOS BRUTOS'!$A$3:$A$500,$B29,'DADOS BRUTOS'!GL$3:GL$500)+IF($C29="",0,SUMIF('DADOS BRUTOS'!$A$3:$A$500,$C29,'DADOS BRUTOS'!GL$3:GL$500)))</f>
        <v/>
      </c>
      <c r="JM29" s="123">
        <f>IF(OR(JM$4="",$B29=""),0,SUMIF('DADOS BRUTOS'!$A$3:$A$500,$B29,'DADOS BRUTOS'!GM$3:GM$500)+IF($C29="",0,SUMIF('DADOS BRUTOS'!$A$3:$A$500,$C29,'DADOS BRUTOS'!GM$3:GM$500)))</f>
        <v/>
      </c>
      <c r="JN29" s="123">
        <f>IF(OR(JN$4="",$B29=""),0,SUMIF('DADOS BRUTOS'!$A$3:$A$500,$B29,'DADOS BRUTOS'!GN$3:GN$500)+IF($C29="",0,SUMIF('DADOS BRUTOS'!$A$3:$A$500,$C29,'DADOS BRUTOS'!GN$3:GN$500)))</f>
        <v/>
      </c>
      <c r="JO29" s="123">
        <f>IF(OR(JO$4="",$B29=""),0,SUMIF('DADOS BRUTOS'!$A$3:$A$500,$B29,'DADOS BRUTOS'!GO$3:GO$500)+IF($C29="",0,SUMIF('DADOS BRUTOS'!$A$3:$A$500,$C29,'DADOS BRUTOS'!GO$3:GO$500)))</f>
        <v/>
      </c>
      <c r="JP29" s="123">
        <f>IF(OR(JP$4="",$B29=""),0,SUMIF('DADOS BRUTOS'!$A$3:$A$500,$B29,'DADOS BRUTOS'!GP$3:GP$500)+IF($C29="",0,SUMIF('DADOS BRUTOS'!$A$3:$A$500,$C29,'DADOS BRUTOS'!GP$3:GP$500)))</f>
        <v/>
      </c>
      <c r="JQ29" s="123">
        <f>IF(OR(JQ$4="",$B29=""),0,SUMIF('DADOS BRUTOS'!$A$3:$A$500,$B29,'DADOS BRUTOS'!GQ$3:GQ$500)+IF($C29="",0,SUMIF('DADOS BRUTOS'!$A$3:$A$500,$C29,'DADOS BRUTOS'!GQ$3:GQ$500)))</f>
        <v/>
      </c>
      <c r="JR29" s="123">
        <f>IF(OR(JR$4="",$B29=""),0,SUMIF('DADOS BRUTOS'!$A$3:$A$500,$B29,'DADOS BRUTOS'!GR$3:GR$500)+IF($C29="",0,SUMIF('DADOS BRUTOS'!$A$3:$A$500,$C29,'DADOS BRUTOS'!GR$3:GR$500)))</f>
        <v/>
      </c>
      <c r="JS29" s="123">
        <f>IF(OR(JS$4="",$B29=""),0,SUMIF('DADOS BRUTOS'!$A$3:$A$500,$B29,'DADOS BRUTOS'!GS$3:GS$500)+IF($C29="",0,SUMIF('DADOS BRUTOS'!$A$3:$A$500,$C29,'DADOS BRUTOS'!GS$3:GS$500)))</f>
        <v/>
      </c>
    </row>
    <row r="30">
      <c r="A30" s="61">
        <f>'VALOR POR PL'!D36</f>
        <v/>
      </c>
      <c r="B30" s="60" t="inlineStr">
        <is>
          <t>SERRALHERIA</t>
        </is>
      </c>
      <c r="C30" s="60" t="n"/>
      <c r="D30" s="55">
        <f>SUMIF($CB$4:$JS$4,"&lt;="&amp;D$4,$CB30:$JS30)</f>
        <v/>
      </c>
      <c r="E30" s="55">
        <f>SUMIF($CB$4:$JS$4,E$4,$CB30:$JS30)</f>
        <v/>
      </c>
      <c r="F30" s="55">
        <f>SUMIF($CB$4:$JS$4,F$4,$CB30:$JS30)</f>
        <v/>
      </c>
      <c r="G30" s="55">
        <f>SUMIF($CB$4:$JS$4,G$4,$CB30:$JS30)</f>
        <v/>
      </c>
      <c r="H30" s="55">
        <f>SUMIF($CB$4:$JS$4,H$4,$CB30:$JS30)</f>
        <v/>
      </c>
      <c r="I30" s="55">
        <f>SUMIF($CB$4:$JS$4,I$4,$CB30:$JS30)</f>
        <v/>
      </c>
      <c r="J30" s="55">
        <f>SUMIF($CB$4:$JS$4,J$4,$CB30:$JS30)</f>
        <v/>
      </c>
      <c r="K30" s="55">
        <f>SUMIF($CB$4:$JS$4,K$4,$CB30:$JS30)</f>
        <v/>
      </c>
      <c r="L30" s="55">
        <f>SUMIF($CB$4:$JS$4,L$4,$CB30:$JS30)</f>
        <v/>
      </c>
      <c r="M30" s="55">
        <f>SUMIF($CB$4:$JS$4,M$4,$CB30:$JS30)</f>
        <v/>
      </c>
      <c r="N30" s="55">
        <f>SUMIF($CB$4:$JS$4,N$4,$CB30:$JS30)</f>
        <v/>
      </c>
      <c r="O30" s="55">
        <f>SUMIF($CB$4:$JS$4,O$4,$CB30:$JS30)</f>
        <v/>
      </c>
      <c r="P30" s="55">
        <f>SUMIF($CB$4:$JS$4,P$4,$CB30:$JS30)</f>
        <v/>
      </c>
      <c r="Q30" s="55">
        <f>SUMIF($CB$4:$JS$4,Q$4,$CB30:$JS30)</f>
        <v/>
      </c>
      <c r="R30" s="55">
        <f>SUMIF($CB$4:$JS$4,R$4,$CB30:$JS30)</f>
        <v/>
      </c>
      <c r="S30" s="55">
        <f>SUMIF($CB$4:$JS$4,S$4,$CB30:$JS30)</f>
        <v/>
      </c>
      <c r="T30" s="55">
        <f>SUMIF($CB$4:$JS$4,T$4,$CB30:$JS30)</f>
        <v/>
      </c>
      <c r="U30" s="55">
        <f>SUMIF($CB$4:$JS$4,U$4,$CB30:$JS30)</f>
        <v/>
      </c>
      <c r="V30" s="55">
        <f>SUMIF($CB$4:$JS$4,V$4,$CB30:$JS30)</f>
        <v/>
      </c>
      <c r="W30" s="55">
        <f>SUMIF($CB$4:$JS$4,W$4,$CB30:$JS30)</f>
        <v/>
      </c>
      <c r="X30" s="55">
        <f>SUMIF($CB$4:$JS$4,X$4,$CB30:$JS30)</f>
        <v/>
      </c>
      <c r="Y30" s="55">
        <f>SUMIF($CB$4:$JS$4,Y$4,$CB30:$JS30)</f>
        <v/>
      </c>
      <c r="Z30" s="55">
        <f>SUMIF($CB$4:$JS$4,Z$4,$CB30:$JS30)</f>
        <v/>
      </c>
      <c r="AA30" s="55">
        <f>SUMIF($CB$4:$JS$4,AA$4,$CB30:$JS30)</f>
        <v/>
      </c>
      <c r="AB30" s="55">
        <f>SUMIF($CB$4:$JS$4,AB$4,$CB30:$JS30)</f>
        <v/>
      </c>
      <c r="AC30" s="55">
        <f>SUMIF($CB$4:$JS$4,AC$4,$CB30:$JS30)</f>
        <v/>
      </c>
      <c r="AD30" s="55">
        <f>SUMIF($CB$4:$JS$4,AD$4,$CB30:$JS30)</f>
        <v/>
      </c>
      <c r="AE30" s="55">
        <f>SUMIF($CB$4:$JS$4,AE$4,$CB30:$JS30)</f>
        <v/>
      </c>
      <c r="AF30" s="55">
        <f>SUMIF($CB$4:$JS$4,AF$4,$CB30:$JS30)</f>
        <v/>
      </c>
      <c r="AG30" s="55">
        <f>SUMIF($CB$4:$JS$4,AG$4,$CB30:$JS30)</f>
        <v/>
      </c>
      <c r="AH30" s="55">
        <f>SUMIF($CB$4:$JS$4,AH$4,$CB30:$JS30)</f>
        <v/>
      </c>
      <c r="AI30" s="55">
        <f>SUMIF($CB$4:$JS$4,AI$4,$CB30:$JS30)</f>
        <v/>
      </c>
      <c r="AJ30" s="55">
        <f>SUMIF($CB$4:$JS$4,AJ$4,$CB30:$JS30)</f>
        <v/>
      </c>
      <c r="AK30" s="55">
        <f>SUMIF($CB$4:$JS$4,AK$4,$CB30:$JS30)</f>
        <v/>
      </c>
      <c r="AL30" s="55">
        <f>SUMIF($CB$4:$JS$4,AL$4,$CB30:$JS30)</f>
        <v/>
      </c>
      <c r="AM30" s="55">
        <f>SUMIF($CB$4:$JS$4,AM$4,$CB30:$JS30)</f>
        <v/>
      </c>
      <c r="AN30" s="55">
        <f>SUMIF($CB$4:$JS$4,AN$4,$CB30:$JS30)</f>
        <v/>
      </c>
      <c r="AO30" s="55">
        <f>SUMIF($CB$4:$JS$4,AO$4,$CB30:$JS30)</f>
        <v/>
      </c>
      <c r="AP30" s="55">
        <f>SUMIF($CB$4:$JS$4,AP$4,$CB30:$JS30)</f>
        <v/>
      </c>
      <c r="AQ30" s="55">
        <f>SUMIF($CB$4:$JS$4,AQ$4,$CB30:$JS30)</f>
        <v/>
      </c>
      <c r="AR30" s="55">
        <f>SUMIF($CB$4:$JS$4,AR$4,$CB30:$JS30)</f>
        <v/>
      </c>
      <c r="AS30" s="55">
        <f>SUMIF($CB$4:$JS$4,AS$4,$CB30:$JS30)</f>
        <v/>
      </c>
      <c r="AT30" s="55">
        <f>SUMIF($CB$4:$JS$4,AT$4,$CB30:$JS30)</f>
        <v/>
      </c>
      <c r="AU30" s="55">
        <f>SUMIF($CB$4:$JS$4,AU$4,$CB30:$JS30)</f>
        <v/>
      </c>
      <c r="AV30" s="55">
        <f>SUMIF($CB$4:$JS$4,AV$4,$CB30:$JS30)</f>
        <v/>
      </c>
      <c r="AW30" s="55">
        <f>SUMIF($CB$4:$JS$4,AW$4,$CB30:$JS30)</f>
        <v/>
      </c>
      <c r="AX30" s="55">
        <f>SUMIF($CB$4:$JS$4,AX$4,$CB30:$JS30)</f>
        <v/>
      </c>
      <c r="AY30" s="55">
        <f>SUMIF($CB$4:$JS$4,AY$4,$CB30:$JS30)</f>
        <v/>
      </c>
      <c r="AZ30" s="55">
        <f>SUMIF($CB$4:$JS$4,AZ$4,$CB30:$JS30)</f>
        <v/>
      </c>
      <c r="BA30" s="55">
        <f>SUMIF($CB$4:$JS$4,BA$4,$CB30:$JS30)</f>
        <v/>
      </c>
      <c r="BB30" s="55">
        <f>SUMIF($CB$4:$JS$4,BB$4,$CB30:$JS30)</f>
        <v/>
      </c>
      <c r="BC30" s="55">
        <f>SUMIF($CB$4:$JS$4,BC$4,$CB30:$JS30)</f>
        <v/>
      </c>
      <c r="BD30" s="55">
        <f>SUMIF($CB$4:$JS$4,BD$4,$CB30:$JS30)</f>
        <v/>
      </c>
      <c r="BE30" s="55">
        <f>SUMIF($CB$4:$JS$4,BE$4,$CB30:$JS30)</f>
        <v/>
      </c>
      <c r="BF30" s="55">
        <f>SUMIF($CB$4:$JS$4,BF$4,$CB30:$JS30)</f>
        <v/>
      </c>
      <c r="BG30" s="55">
        <f>SUMIF($CB$4:$JS$4,BG$4,$CB30:$JS30)</f>
        <v/>
      </c>
      <c r="BH30" s="55">
        <f>SUMIF($CB$4:$JS$4,BH$4,$CB30:$JS30)</f>
        <v/>
      </c>
      <c r="BI30" s="55">
        <f>SUMIF($CB$4:$JS$4,BI$4,$CB30:$JS30)</f>
        <v/>
      </c>
      <c r="BJ30" s="55">
        <f>SUMIF($CB$4:$JS$4,BJ$4,$CB30:$JS30)</f>
        <v/>
      </c>
      <c r="BK30" s="55">
        <f>SUMIF($CB$4:$JS$4,BK$4,$CB30:$JS30)</f>
        <v/>
      </c>
      <c r="BL30" s="55">
        <f>SUMIF($CB$4:$JS$4,BL$4,$CB30:$JS30)</f>
        <v/>
      </c>
      <c r="BM30" s="55">
        <f>SUMIF($CB$4:$JS$4,BM$4,$CB30:$JS30)</f>
        <v/>
      </c>
      <c r="BN30" s="55">
        <f>SUMIF($CB$4:$JS$4,BN$4,$CB30:$JS30)</f>
        <v/>
      </c>
      <c r="BO30" s="55">
        <f>SUMIF($CB$4:$JS$4,BO$4,$CB30:$JS30)</f>
        <v/>
      </c>
      <c r="BP30" s="55">
        <f>SUMIF($CB$4:$JS$4,BP$4,$CB30:$JS30)</f>
        <v/>
      </c>
      <c r="BQ30" s="55">
        <f>SUMIF($CB$4:$JS$4,BQ$4,$CB30:$JS30)</f>
        <v/>
      </c>
      <c r="BR30" s="55">
        <f>SUMIF($CB$4:$JS$4,BR$4,$CB30:$JS30)</f>
        <v/>
      </c>
      <c r="BS30" s="55">
        <f>SUMIF($CB$4:$JS$4,BS$4,$CB30:$JS30)</f>
        <v/>
      </c>
      <c r="BT30" s="55">
        <f>SUMIF($CB$4:$JS$4,BT$4,$CB30:$JS30)</f>
        <v/>
      </c>
      <c r="BU30" s="55">
        <f>SUMIF($CB$4:$JS$4,BU$4,$CB30:$JS30)</f>
        <v/>
      </c>
      <c r="BV30" s="55">
        <f>SUMIF($CB$4:$JS$4,BV$4,$CB30:$JS30)</f>
        <v/>
      </c>
      <c r="BW30" s="55">
        <f>SUMIF($CB$4:$JS$4,BW$4,$CB30:$JS30)</f>
        <v/>
      </c>
      <c r="BX30" s="55">
        <f>SUMIF($CB$4:$JS$4,"&gt;"&amp;'VALOR POR PL'!$P$8,$CB30:$JS30)</f>
        <v/>
      </c>
      <c r="BY30" s="55">
        <f>SUM($CB30:$JS30)</f>
        <v/>
      </c>
      <c r="CB30" s="123">
        <f>IF(OR(CB$4="",$B30=""),0,SUMIF('DADOS BRUTOS'!$A$3:$A$500,$B30,'DADOS BRUTOS'!B$3:B$500)+IF($C30="",0,SUMIF('DADOS BRUTOS'!$A$3:$A$500,$C30,'DADOS BRUTOS'!B$3:B$500)))</f>
        <v/>
      </c>
      <c r="CC30" s="123">
        <f>IF(OR(CC$4="",$B30=""),0,SUMIF('DADOS BRUTOS'!$A$3:$A$500,$B30,'DADOS BRUTOS'!C$3:C$500)+IF($C30="",0,SUMIF('DADOS BRUTOS'!$A$3:$A$500,$C30,'DADOS BRUTOS'!C$3:C$500)))</f>
        <v/>
      </c>
      <c r="CD30" s="123">
        <f>IF(OR(CD$4="",$B30=""),0,SUMIF('DADOS BRUTOS'!$A$3:$A$500,$B30,'DADOS BRUTOS'!D$3:D$500)+IF($C30="",0,SUMIF('DADOS BRUTOS'!$A$3:$A$500,$C30,'DADOS BRUTOS'!D$3:D$500)))</f>
        <v/>
      </c>
      <c r="CE30" s="123">
        <f>IF(OR(CE$4="",$B30=""),0,SUMIF('DADOS BRUTOS'!$A$3:$A$500,$B30,'DADOS BRUTOS'!E$3:E$500)+IF($C30="",0,SUMIF('DADOS BRUTOS'!$A$3:$A$500,$C30,'DADOS BRUTOS'!E$3:E$500)))</f>
        <v/>
      </c>
      <c r="CF30" s="123">
        <f>IF(OR(CF$4="",$B30=""),0,SUMIF('DADOS BRUTOS'!$A$3:$A$500,$B30,'DADOS BRUTOS'!F$3:F$500)+IF($C30="",0,SUMIF('DADOS BRUTOS'!$A$3:$A$500,$C30,'DADOS BRUTOS'!F$3:F$500)))</f>
        <v/>
      </c>
      <c r="CG30" s="123">
        <f>IF(OR(CG$4="",$B30=""),0,SUMIF('DADOS BRUTOS'!$A$3:$A$500,$B30,'DADOS BRUTOS'!G$3:G$500)+IF($C30="",0,SUMIF('DADOS BRUTOS'!$A$3:$A$500,$C30,'DADOS BRUTOS'!G$3:G$500)))</f>
        <v/>
      </c>
      <c r="CH30" s="123">
        <f>IF(OR(CH$4="",$B30=""),0,SUMIF('DADOS BRUTOS'!$A$3:$A$500,$B30,'DADOS BRUTOS'!H$3:H$500)+IF($C30="",0,SUMIF('DADOS BRUTOS'!$A$3:$A$500,$C30,'DADOS BRUTOS'!H$3:H$500)))</f>
        <v/>
      </c>
      <c r="CI30" s="123">
        <f>IF(OR(CI$4="",$B30=""),0,SUMIF('DADOS BRUTOS'!$A$3:$A$500,$B30,'DADOS BRUTOS'!I$3:I$500)+IF($C30="",0,SUMIF('DADOS BRUTOS'!$A$3:$A$500,$C30,'DADOS BRUTOS'!I$3:I$500)))</f>
        <v/>
      </c>
      <c r="CJ30" s="123">
        <f>IF(OR(CJ$4="",$B30=""),0,SUMIF('DADOS BRUTOS'!$A$3:$A$500,$B30,'DADOS BRUTOS'!J$3:J$500)+IF($C30="",0,SUMIF('DADOS BRUTOS'!$A$3:$A$500,$C30,'DADOS BRUTOS'!J$3:J$500)))</f>
        <v/>
      </c>
      <c r="CK30" s="123">
        <f>IF(OR(CK$4="",$B30=""),0,SUMIF('DADOS BRUTOS'!$A$3:$A$500,$B30,'DADOS BRUTOS'!K$3:K$500)+IF($C30="",0,SUMIF('DADOS BRUTOS'!$A$3:$A$500,$C30,'DADOS BRUTOS'!K$3:K$500)))</f>
        <v/>
      </c>
      <c r="CL30" s="123">
        <f>IF(OR(CL$4="",$B30=""),0,SUMIF('DADOS BRUTOS'!$A$3:$A$500,$B30,'DADOS BRUTOS'!L$3:L$500)+IF($C30="",0,SUMIF('DADOS BRUTOS'!$A$3:$A$500,$C30,'DADOS BRUTOS'!L$3:L$500)))</f>
        <v/>
      </c>
      <c r="CM30" s="123">
        <f>IF(OR(CM$4="",$B30=""),0,SUMIF('DADOS BRUTOS'!$A$3:$A$500,$B30,'DADOS BRUTOS'!M$3:M$500)+IF($C30="",0,SUMIF('DADOS BRUTOS'!$A$3:$A$500,$C30,'DADOS BRUTOS'!M$3:M$500)))</f>
        <v/>
      </c>
      <c r="CN30" s="123">
        <f>IF(OR(CN$4="",$B30=""),0,SUMIF('DADOS BRUTOS'!$A$3:$A$500,$B30,'DADOS BRUTOS'!N$3:N$500)+IF($C30="",0,SUMIF('DADOS BRUTOS'!$A$3:$A$500,$C30,'DADOS BRUTOS'!N$3:N$500)))</f>
        <v/>
      </c>
      <c r="CO30" s="123">
        <f>IF(OR(CO$4="",$B30=""),0,SUMIF('DADOS BRUTOS'!$A$3:$A$500,$B30,'DADOS BRUTOS'!O$3:O$500)+IF($C30="",0,SUMIF('DADOS BRUTOS'!$A$3:$A$500,$C30,'DADOS BRUTOS'!O$3:O$500)))</f>
        <v/>
      </c>
      <c r="CP30" s="123">
        <f>IF(OR(CP$4="",$B30=""),0,SUMIF('DADOS BRUTOS'!$A$3:$A$500,$B30,'DADOS BRUTOS'!P$3:P$500)+IF($C30="",0,SUMIF('DADOS BRUTOS'!$A$3:$A$500,$C30,'DADOS BRUTOS'!P$3:P$500)))</f>
        <v/>
      </c>
      <c r="CQ30" s="123">
        <f>IF(OR(CQ$4="",$B30=""),0,SUMIF('DADOS BRUTOS'!$A$3:$A$500,$B30,'DADOS BRUTOS'!Q$3:Q$500)+IF($C30="",0,SUMIF('DADOS BRUTOS'!$A$3:$A$500,$C30,'DADOS BRUTOS'!Q$3:Q$500)))</f>
        <v/>
      </c>
      <c r="CR30" s="123">
        <f>IF(OR(CR$4="",$B30=""),0,SUMIF('DADOS BRUTOS'!$A$3:$A$500,$B30,'DADOS BRUTOS'!R$3:R$500)+IF($C30="",0,SUMIF('DADOS BRUTOS'!$A$3:$A$500,$C30,'DADOS BRUTOS'!R$3:R$500)))</f>
        <v/>
      </c>
      <c r="CS30" s="123">
        <f>IF(OR(CS$4="",$B30=""),0,SUMIF('DADOS BRUTOS'!$A$3:$A$500,$B30,'DADOS BRUTOS'!S$3:S$500)+IF($C30="",0,SUMIF('DADOS BRUTOS'!$A$3:$A$500,$C30,'DADOS BRUTOS'!S$3:S$500)))</f>
        <v/>
      </c>
      <c r="CT30" s="123">
        <f>IF(OR(CT$4="",$B30=""),0,SUMIF('DADOS BRUTOS'!$A$3:$A$500,$B30,'DADOS BRUTOS'!T$3:T$500)+IF($C30="",0,SUMIF('DADOS BRUTOS'!$A$3:$A$500,$C30,'DADOS BRUTOS'!T$3:T$500)))</f>
        <v/>
      </c>
      <c r="CU30" s="123">
        <f>IF(OR(CU$4="",$B30=""),0,SUMIF('DADOS BRUTOS'!$A$3:$A$500,$B30,'DADOS BRUTOS'!U$3:U$500)+IF($C30="",0,SUMIF('DADOS BRUTOS'!$A$3:$A$500,$C30,'DADOS BRUTOS'!U$3:U$500)))</f>
        <v/>
      </c>
      <c r="CV30" s="123">
        <f>IF(OR(CV$4="",$B30=""),0,SUMIF('DADOS BRUTOS'!$A$3:$A$500,$B30,'DADOS BRUTOS'!V$3:V$500)+IF($C30="",0,SUMIF('DADOS BRUTOS'!$A$3:$A$500,$C30,'DADOS BRUTOS'!V$3:V$500)))</f>
        <v/>
      </c>
      <c r="CW30" s="123">
        <f>IF(OR(CW$4="",$B30=""),0,SUMIF('DADOS BRUTOS'!$A$3:$A$500,$B30,'DADOS BRUTOS'!W$3:W$500)+IF($C30="",0,SUMIF('DADOS BRUTOS'!$A$3:$A$500,$C30,'DADOS BRUTOS'!W$3:W$500)))</f>
        <v/>
      </c>
      <c r="CX30" s="123">
        <f>IF(OR(CX$4="",$B30=""),0,SUMIF('DADOS BRUTOS'!$A$3:$A$500,$B30,'DADOS BRUTOS'!X$3:X$500)+IF($C30="",0,SUMIF('DADOS BRUTOS'!$A$3:$A$500,$C30,'DADOS BRUTOS'!X$3:X$500)))</f>
        <v/>
      </c>
      <c r="CY30" s="123">
        <f>IF(OR(CY$4="",$B30=""),0,SUMIF('DADOS BRUTOS'!$A$3:$A$500,$B30,'DADOS BRUTOS'!Y$3:Y$500)+IF($C30="",0,SUMIF('DADOS BRUTOS'!$A$3:$A$500,$C30,'DADOS BRUTOS'!Y$3:Y$500)))</f>
        <v/>
      </c>
      <c r="CZ30" s="123">
        <f>IF(OR(CZ$4="",$B30=""),0,SUMIF('DADOS BRUTOS'!$A$3:$A$500,$B30,'DADOS BRUTOS'!Z$3:Z$500)+IF($C30="",0,SUMIF('DADOS BRUTOS'!$A$3:$A$500,$C30,'DADOS BRUTOS'!Z$3:Z$500)))</f>
        <v/>
      </c>
      <c r="DA30" s="123">
        <f>IF(OR(DA$4="",$B30=""),0,SUMIF('DADOS BRUTOS'!$A$3:$A$500,$B30,'DADOS BRUTOS'!AA$3:AA$500)+IF($C30="",0,SUMIF('DADOS BRUTOS'!$A$3:$A$500,$C30,'DADOS BRUTOS'!AA$3:AA$500)))</f>
        <v/>
      </c>
      <c r="DB30" s="123">
        <f>IF(OR(DB$4="",$B30=""),0,SUMIF('DADOS BRUTOS'!$A$3:$A$500,$B30,'DADOS BRUTOS'!AB$3:AB$500)+IF($C30="",0,SUMIF('DADOS BRUTOS'!$A$3:$A$500,$C30,'DADOS BRUTOS'!AB$3:AB$500)))</f>
        <v/>
      </c>
      <c r="DC30" s="123">
        <f>IF(OR(DC$4="",$B30=""),0,SUMIF('DADOS BRUTOS'!$A$3:$A$500,$B30,'DADOS BRUTOS'!AC$3:AC$500)+IF($C30="",0,SUMIF('DADOS BRUTOS'!$A$3:$A$500,$C30,'DADOS BRUTOS'!AC$3:AC$500)))</f>
        <v/>
      </c>
      <c r="DD30" s="123">
        <f>IF(OR(DD$4="",$B30=""),0,SUMIF('DADOS BRUTOS'!$A$3:$A$500,$B30,'DADOS BRUTOS'!AD$3:AD$500)+IF($C30="",0,SUMIF('DADOS BRUTOS'!$A$3:$A$500,$C30,'DADOS BRUTOS'!AD$3:AD$500)))</f>
        <v/>
      </c>
      <c r="DE30" s="123">
        <f>IF(OR(DE$4="",$B30=""),0,SUMIF('DADOS BRUTOS'!$A$3:$A$500,$B30,'DADOS BRUTOS'!AE$3:AE$500)+IF($C30="",0,SUMIF('DADOS BRUTOS'!$A$3:$A$500,$C30,'DADOS BRUTOS'!AE$3:AE$500)))</f>
        <v/>
      </c>
      <c r="DF30" s="123">
        <f>IF(OR(DF$4="",$B30=""),0,SUMIF('DADOS BRUTOS'!$A$3:$A$500,$B30,'DADOS BRUTOS'!AF$3:AF$500)+IF($C30="",0,SUMIF('DADOS BRUTOS'!$A$3:$A$500,$C30,'DADOS BRUTOS'!AF$3:AF$500)))</f>
        <v/>
      </c>
      <c r="DG30" s="123">
        <f>IF(OR(DG$4="",$B30=""),0,SUMIF('DADOS BRUTOS'!$A$3:$A$500,$B30,'DADOS BRUTOS'!AG$3:AG$500)+IF($C30="",0,SUMIF('DADOS BRUTOS'!$A$3:$A$500,$C30,'DADOS BRUTOS'!AG$3:AG$500)))</f>
        <v/>
      </c>
      <c r="DH30" s="123">
        <f>IF(OR(DH$4="",$B30=""),0,SUMIF('DADOS BRUTOS'!$A$3:$A$500,$B30,'DADOS BRUTOS'!AH$3:AH$500)+IF($C30="",0,SUMIF('DADOS BRUTOS'!$A$3:$A$500,$C30,'DADOS BRUTOS'!AH$3:AH$500)))</f>
        <v/>
      </c>
      <c r="DI30" s="123">
        <f>IF(OR(DI$4="",$B30=""),0,SUMIF('DADOS BRUTOS'!$A$3:$A$500,$B30,'DADOS BRUTOS'!AI$3:AI$500)+IF($C30="",0,SUMIF('DADOS BRUTOS'!$A$3:$A$500,$C30,'DADOS BRUTOS'!AI$3:AI$500)))</f>
        <v/>
      </c>
      <c r="DJ30" s="123">
        <f>IF(OR(DJ$4="",$B30=""),0,SUMIF('DADOS BRUTOS'!$A$3:$A$500,$B30,'DADOS BRUTOS'!AJ$3:AJ$500)+IF($C30="",0,SUMIF('DADOS BRUTOS'!$A$3:$A$500,$C30,'DADOS BRUTOS'!AJ$3:AJ$500)))</f>
        <v/>
      </c>
      <c r="DK30" s="123">
        <f>IF(OR(DK$4="",$B30=""),0,SUMIF('DADOS BRUTOS'!$A$3:$A$500,$B30,'DADOS BRUTOS'!AK$3:AK$500)+IF($C30="",0,SUMIF('DADOS BRUTOS'!$A$3:$A$500,$C30,'DADOS BRUTOS'!AK$3:AK$500)))</f>
        <v/>
      </c>
      <c r="DL30" s="123">
        <f>IF(OR(DL$4="",$B30=""),0,SUMIF('DADOS BRUTOS'!$A$3:$A$500,$B30,'DADOS BRUTOS'!AL$3:AL$500)+IF($C30="",0,SUMIF('DADOS BRUTOS'!$A$3:$A$500,$C30,'DADOS BRUTOS'!AL$3:AL$500)))</f>
        <v/>
      </c>
      <c r="DM30" s="123">
        <f>IF(OR(DM$4="",$B30=""),0,SUMIF('DADOS BRUTOS'!$A$3:$A$500,$B30,'DADOS BRUTOS'!AM$3:AM$500)+IF($C30="",0,SUMIF('DADOS BRUTOS'!$A$3:$A$500,$C30,'DADOS BRUTOS'!AM$3:AM$500)))</f>
        <v/>
      </c>
      <c r="DN30" s="123">
        <f>IF(OR(DN$4="",$B30=""),0,SUMIF('DADOS BRUTOS'!$A$3:$A$500,$B30,'DADOS BRUTOS'!AN$3:AN$500)+IF($C30="",0,SUMIF('DADOS BRUTOS'!$A$3:$A$500,$C30,'DADOS BRUTOS'!AN$3:AN$500)))</f>
        <v/>
      </c>
      <c r="DO30" s="123">
        <f>IF(OR(DO$4="",$B30=""),0,SUMIF('DADOS BRUTOS'!$A$3:$A$500,$B30,'DADOS BRUTOS'!AO$3:AO$500)+IF($C30="",0,SUMIF('DADOS BRUTOS'!$A$3:$A$500,$C30,'DADOS BRUTOS'!AO$3:AO$500)))</f>
        <v/>
      </c>
      <c r="DP30" s="123">
        <f>IF(OR(DP$4="",$B30=""),0,SUMIF('DADOS BRUTOS'!$A$3:$A$500,$B30,'DADOS BRUTOS'!AP$3:AP$500)+IF($C30="",0,SUMIF('DADOS BRUTOS'!$A$3:$A$500,$C30,'DADOS BRUTOS'!AP$3:AP$500)))</f>
        <v/>
      </c>
      <c r="DQ30" s="123">
        <f>IF(OR(DQ$4="",$B30=""),0,SUMIF('DADOS BRUTOS'!$A$3:$A$500,$B30,'DADOS BRUTOS'!AQ$3:AQ$500)+IF($C30="",0,SUMIF('DADOS BRUTOS'!$A$3:$A$500,$C30,'DADOS BRUTOS'!AQ$3:AQ$500)))</f>
        <v/>
      </c>
      <c r="DR30" s="123">
        <f>IF(OR(DR$4="",$B30=""),0,SUMIF('DADOS BRUTOS'!$A$3:$A$500,$B30,'DADOS BRUTOS'!AR$3:AR$500)+IF($C30="",0,SUMIF('DADOS BRUTOS'!$A$3:$A$500,$C30,'DADOS BRUTOS'!AR$3:AR$500)))</f>
        <v/>
      </c>
      <c r="DS30" s="123">
        <f>IF(OR(DS$4="",$B30=""),0,SUMIF('DADOS BRUTOS'!$A$3:$A$500,$B30,'DADOS BRUTOS'!AS$3:AS$500)+IF($C30="",0,SUMIF('DADOS BRUTOS'!$A$3:$A$500,$C30,'DADOS BRUTOS'!AS$3:AS$500)))</f>
        <v/>
      </c>
      <c r="DT30" s="123">
        <f>IF(OR(DT$4="",$B30=""),0,SUMIF('DADOS BRUTOS'!$A$3:$A$500,$B30,'DADOS BRUTOS'!AT$3:AT$500)+IF($C30="",0,SUMIF('DADOS BRUTOS'!$A$3:$A$500,$C30,'DADOS BRUTOS'!AT$3:AT$500)))</f>
        <v/>
      </c>
      <c r="DU30" s="123">
        <f>IF(OR(DU$4="",$B30=""),0,SUMIF('DADOS BRUTOS'!$A$3:$A$500,$B30,'DADOS BRUTOS'!AU$3:AU$500)+IF($C30="",0,SUMIF('DADOS BRUTOS'!$A$3:$A$500,$C30,'DADOS BRUTOS'!AU$3:AU$500)))</f>
        <v/>
      </c>
      <c r="DV30" s="123">
        <f>IF(OR(DV$4="",$B30=""),0,SUMIF('DADOS BRUTOS'!$A$3:$A$500,$B30,'DADOS BRUTOS'!AV$3:AV$500)+IF($C30="",0,SUMIF('DADOS BRUTOS'!$A$3:$A$500,$C30,'DADOS BRUTOS'!AV$3:AV$500)))</f>
        <v/>
      </c>
      <c r="DW30" s="123">
        <f>IF(OR(DW$4="",$B30=""),0,SUMIF('DADOS BRUTOS'!$A$3:$A$500,$B30,'DADOS BRUTOS'!AW$3:AW$500)+IF($C30="",0,SUMIF('DADOS BRUTOS'!$A$3:$A$500,$C30,'DADOS BRUTOS'!AW$3:AW$500)))</f>
        <v/>
      </c>
      <c r="DX30" s="123">
        <f>IF(OR(DX$4="",$B30=""),0,SUMIF('DADOS BRUTOS'!$A$3:$A$500,$B30,'DADOS BRUTOS'!AX$3:AX$500)+IF($C30="",0,SUMIF('DADOS BRUTOS'!$A$3:$A$500,$C30,'DADOS BRUTOS'!AX$3:AX$500)))</f>
        <v/>
      </c>
      <c r="DY30" s="123">
        <f>IF(OR(DY$4="",$B30=""),0,SUMIF('DADOS BRUTOS'!$A$3:$A$500,$B30,'DADOS BRUTOS'!AY$3:AY$500)+IF($C30="",0,SUMIF('DADOS BRUTOS'!$A$3:$A$500,$C30,'DADOS BRUTOS'!AY$3:AY$500)))</f>
        <v/>
      </c>
      <c r="DZ30" s="123">
        <f>IF(OR(DZ$4="",$B30=""),0,SUMIF('DADOS BRUTOS'!$A$3:$A$500,$B30,'DADOS BRUTOS'!AZ$3:AZ$500)+IF($C30="",0,SUMIF('DADOS BRUTOS'!$A$3:$A$500,$C30,'DADOS BRUTOS'!AZ$3:AZ$500)))</f>
        <v/>
      </c>
      <c r="EA30" s="123">
        <f>IF(OR(EA$4="",$B30=""),0,SUMIF('DADOS BRUTOS'!$A$3:$A$500,$B30,'DADOS BRUTOS'!BA$3:BA$500)+IF($C30="",0,SUMIF('DADOS BRUTOS'!$A$3:$A$500,$C30,'DADOS BRUTOS'!BA$3:BA$500)))</f>
        <v/>
      </c>
      <c r="EB30" s="123">
        <f>IF(OR(EB$4="",$B30=""),0,SUMIF('DADOS BRUTOS'!$A$3:$A$500,$B30,'DADOS BRUTOS'!BB$3:BB$500)+IF($C30="",0,SUMIF('DADOS BRUTOS'!$A$3:$A$500,$C30,'DADOS BRUTOS'!BB$3:BB$500)))</f>
        <v/>
      </c>
      <c r="EC30" s="123">
        <f>IF(OR(EC$4="",$B30=""),0,SUMIF('DADOS BRUTOS'!$A$3:$A$500,$B30,'DADOS BRUTOS'!BC$3:BC$500)+IF($C30="",0,SUMIF('DADOS BRUTOS'!$A$3:$A$500,$C30,'DADOS BRUTOS'!BC$3:BC$500)))</f>
        <v/>
      </c>
      <c r="ED30" s="123">
        <f>IF(OR(ED$4="",$B30=""),0,SUMIF('DADOS BRUTOS'!$A$3:$A$500,$B30,'DADOS BRUTOS'!BD$3:BD$500)+IF($C30="",0,SUMIF('DADOS BRUTOS'!$A$3:$A$500,$C30,'DADOS BRUTOS'!BD$3:BD$500)))</f>
        <v/>
      </c>
      <c r="EE30" s="123">
        <f>IF(OR(EE$4="",$B30=""),0,SUMIF('DADOS BRUTOS'!$A$3:$A$500,$B30,'DADOS BRUTOS'!BE$3:BE$500)+IF($C30="",0,SUMIF('DADOS BRUTOS'!$A$3:$A$500,$C30,'DADOS BRUTOS'!BE$3:BE$500)))</f>
        <v/>
      </c>
      <c r="EF30" s="123">
        <f>IF(OR(EF$4="",$B30=""),0,SUMIF('DADOS BRUTOS'!$A$3:$A$500,$B30,'DADOS BRUTOS'!BF$3:BF$500)+IF($C30="",0,SUMIF('DADOS BRUTOS'!$A$3:$A$500,$C30,'DADOS BRUTOS'!BF$3:BF$500)))</f>
        <v/>
      </c>
      <c r="EG30" s="123">
        <f>IF(OR(EG$4="",$B30=""),0,SUMIF('DADOS BRUTOS'!$A$3:$A$500,$B30,'DADOS BRUTOS'!BG$3:BG$500)+IF($C30="",0,SUMIF('DADOS BRUTOS'!$A$3:$A$500,$C30,'DADOS BRUTOS'!BG$3:BG$500)))</f>
        <v/>
      </c>
      <c r="EH30" s="123">
        <f>IF(OR(EH$4="",$B30=""),0,SUMIF('DADOS BRUTOS'!$A$3:$A$500,$B30,'DADOS BRUTOS'!BH$3:BH$500)+IF($C30="",0,SUMIF('DADOS BRUTOS'!$A$3:$A$500,$C30,'DADOS BRUTOS'!BH$3:BH$500)))</f>
        <v/>
      </c>
      <c r="EI30" s="123">
        <f>IF(OR(EI$4="",$B30=""),0,SUMIF('DADOS BRUTOS'!$A$3:$A$500,$B30,'DADOS BRUTOS'!BI$3:BI$500)+IF($C30="",0,SUMIF('DADOS BRUTOS'!$A$3:$A$500,$C30,'DADOS BRUTOS'!BI$3:BI$500)))</f>
        <v/>
      </c>
      <c r="EJ30" s="123">
        <f>IF(OR(EJ$4="",$B30=""),0,SUMIF('DADOS BRUTOS'!$A$3:$A$500,$B30,'DADOS BRUTOS'!BJ$3:BJ$500)+IF($C30="",0,SUMIF('DADOS BRUTOS'!$A$3:$A$500,$C30,'DADOS BRUTOS'!BJ$3:BJ$500)))</f>
        <v/>
      </c>
      <c r="EK30" s="123">
        <f>IF(OR(EK$4="",$B30=""),0,SUMIF('DADOS BRUTOS'!$A$3:$A$500,$B30,'DADOS BRUTOS'!BK$3:BK$500)+IF($C30="",0,SUMIF('DADOS BRUTOS'!$A$3:$A$500,$C30,'DADOS BRUTOS'!BK$3:BK$500)))</f>
        <v/>
      </c>
      <c r="EL30" s="123">
        <f>IF(OR(EL$4="",$B30=""),0,SUMIF('DADOS BRUTOS'!$A$3:$A$500,$B30,'DADOS BRUTOS'!BL$3:BL$500)+IF($C30="",0,SUMIF('DADOS BRUTOS'!$A$3:$A$500,$C30,'DADOS BRUTOS'!BL$3:BL$500)))</f>
        <v/>
      </c>
      <c r="EM30" s="123">
        <f>IF(OR(EM$4="",$B30=""),0,SUMIF('DADOS BRUTOS'!$A$3:$A$500,$B30,'DADOS BRUTOS'!BM$3:BM$500)+IF($C30="",0,SUMIF('DADOS BRUTOS'!$A$3:$A$500,$C30,'DADOS BRUTOS'!BM$3:BM$500)))</f>
        <v/>
      </c>
      <c r="EN30" s="123">
        <f>IF(OR(EN$4="",$B30=""),0,SUMIF('DADOS BRUTOS'!$A$3:$A$500,$B30,'DADOS BRUTOS'!BN$3:BN$500)+IF($C30="",0,SUMIF('DADOS BRUTOS'!$A$3:$A$500,$C30,'DADOS BRUTOS'!BN$3:BN$500)))</f>
        <v/>
      </c>
      <c r="EO30" s="123">
        <f>IF(OR(EO$4="",$B30=""),0,SUMIF('DADOS BRUTOS'!$A$3:$A$500,$B30,'DADOS BRUTOS'!BO$3:BO$500)+IF($C30="",0,SUMIF('DADOS BRUTOS'!$A$3:$A$500,$C30,'DADOS BRUTOS'!BO$3:BO$500)))</f>
        <v/>
      </c>
      <c r="EP30" s="123">
        <f>IF(OR(EP$4="",$B30=""),0,SUMIF('DADOS BRUTOS'!$A$3:$A$500,$B30,'DADOS BRUTOS'!BP$3:BP$500)+IF($C30="",0,SUMIF('DADOS BRUTOS'!$A$3:$A$500,$C30,'DADOS BRUTOS'!BP$3:BP$500)))</f>
        <v/>
      </c>
      <c r="EQ30" s="123">
        <f>IF(OR(EQ$4="",$B30=""),0,SUMIF('DADOS BRUTOS'!$A$3:$A$500,$B30,'DADOS BRUTOS'!BQ$3:BQ$500)+IF($C30="",0,SUMIF('DADOS BRUTOS'!$A$3:$A$500,$C30,'DADOS BRUTOS'!BQ$3:BQ$500)))</f>
        <v/>
      </c>
      <c r="ER30" s="123">
        <f>IF(OR(ER$4="",$B30=""),0,SUMIF('DADOS BRUTOS'!$A$3:$A$500,$B30,'DADOS BRUTOS'!BR$3:BR$500)+IF($C30="",0,SUMIF('DADOS BRUTOS'!$A$3:$A$500,$C30,'DADOS BRUTOS'!BR$3:BR$500)))</f>
        <v/>
      </c>
      <c r="ES30" s="123">
        <f>IF(OR(ES$4="",$B30=""),0,SUMIF('DADOS BRUTOS'!$A$3:$A$500,$B30,'DADOS BRUTOS'!BS$3:BS$500)+IF($C30="",0,SUMIF('DADOS BRUTOS'!$A$3:$A$500,$C30,'DADOS BRUTOS'!BS$3:BS$500)))</f>
        <v/>
      </c>
      <c r="ET30" s="123">
        <f>IF(OR(ET$4="",$B30=""),0,SUMIF('DADOS BRUTOS'!$A$3:$A$500,$B30,'DADOS BRUTOS'!BT$3:BT$500)+IF($C30="",0,SUMIF('DADOS BRUTOS'!$A$3:$A$500,$C30,'DADOS BRUTOS'!BT$3:BT$500)))</f>
        <v/>
      </c>
      <c r="EU30" s="123">
        <f>IF(OR(EU$4="",$B30=""),0,SUMIF('DADOS BRUTOS'!$A$3:$A$500,$B30,'DADOS BRUTOS'!BU$3:BU$500)+IF($C30="",0,SUMIF('DADOS BRUTOS'!$A$3:$A$500,$C30,'DADOS BRUTOS'!BU$3:BU$500)))</f>
        <v/>
      </c>
      <c r="EV30" s="123">
        <f>IF(OR(EV$4="",$B30=""),0,SUMIF('DADOS BRUTOS'!$A$3:$A$500,$B30,'DADOS BRUTOS'!BV$3:BV$500)+IF($C30="",0,SUMIF('DADOS BRUTOS'!$A$3:$A$500,$C30,'DADOS BRUTOS'!BV$3:BV$500)))</f>
        <v/>
      </c>
      <c r="EW30" s="123">
        <f>IF(OR(EW$4="",$B30=""),0,SUMIF('DADOS BRUTOS'!$A$3:$A$500,$B30,'DADOS BRUTOS'!BW$3:BW$500)+IF($C30="",0,SUMIF('DADOS BRUTOS'!$A$3:$A$500,$C30,'DADOS BRUTOS'!BW$3:BW$500)))</f>
        <v/>
      </c>
      <c r="EX30" s="123">
        <f>IF(OR(EX$4="",$B30=""),0,SUMIF('DADOS BRUTOS'!$A$3:$A$500,$B30,'DADOS BRUTOS'!BX$3:BX$500)+IF($C30="",0,SUMIF('DADOS BRUTOS'!$A$3:$A$500,$C30,'DADOS BRUTOS'!BX$3:BX$500)))</f>
        <v/>
      </c>
      <c r="EY30" s="123">
        <f>IF(OR(EY$4="",$B30=""),0,SUMIF('DADOS BRUTOS'!$A$3:$A$500,$B30,'DADOS BRUTOS'!BY$3:BY$500)+IF($C30="",0,SUMIF('DADOS BRUTOS'!$A$3:$A$500,$C30,'DADOS BRUTOS'!BY$3:BY$500)))</f>
        <v/>
      </c>
      <c r="EZ30" s="123">
        <f>IF(OR(EZ$4="",$B30=""),0,SUMIF('DADOS BRUTOS'!$A$3:$A$500,$B30,'DADOS BRUTOS'!BZ$3:BZ$500)+IF($C30="",0,SUMIF('DADOS BRUTOS'!$A$3:$A$500,$C30,'DADOS BRUTOS'!BZ$3:BZ$500)))</f>
        <v/>
      </c>
      <c r="FA30" s="123">
        <f>IF(OR(FA$4="",$B30=""),0,SUMIF('DADOS BRUTOS'!$A$3:$A$500,$B30,'DADOS BRUTOS'!CA$3:CA$500)+IF($C30="",0,SUMIF('DADOS BRUTOS'!$A$3:$A$500,$C30,'DADOS BRUTOS'!CA$3:CA$500)))</f>
        <v/>
      </c>
      <c r="FB30" s="123">
        <f>IF(OR(FB$4="",$B30=""),0,SUMIF('DADOS BRUTOS'!$A$3:$A$500,$B30,'DADOS BRUTOS'!CB$3:CB$500)+IF($C30="",0,SUMIF('DADOS BRUTOS'!$A$3:$A$500,$C30,'DADOS BRUTOS'!CB$3:CB$500)))</f>
        <v/>
      </c>
      <c r="FC30" s="123">
        <f>IF(OR(FC$4="",$B30=""),0,SUMIF('DADOS BRUTOS'!$A$3:$A$500,$B30,'DADOS BRUTOS'!CC$3:CC$500)+IF($C30="",0,SUMIF('DADOS BRUTOS'!$A$3:$A$500,$C30,'DADOS BRUTOS'!CC$3:CC$500)))</f>
        <v/>
      </c>
      <c r="FD30" s="123">
        <f>IF(OR(FD$4="",$B30=""),0,SUMIF('DADOS BRUTOS'!$A$3:$A$500,$B30,'DADOS BRUTOS'!CD$3:CD$500)+IF($C30="",0,SUMIF('DADOS BRUTOS'!$A$3:$A$500,$C30,'DADOS BRUTOS'!CD$3:CD$500)))</f>
        <v/>
      </c>
      <c r="FE30" s="123">
        <f>IF(OR(FE$4="",$B30=""),0,SUMIF('DADOS BRUTOS'!$A$3:$A$500,$B30,'DADOS BRUTOS'!CE$3:CE$500)+IF($C30="",0,SUMIF('DADOS BRUTOS'!$A$3:$A$500,$C30,'DADOS BRUTOS'!CE$3:CE$500)))</f>
        <v/>
      </c>
      <c r="FF30" s="123">
        <f>IF(OR(FF$4="",$B30=""),0,SUMIF('DADOS BRUTOS'!$A$3:$A$500,$B30,'DADOS BRUTOS'!CF$3:CF$500)+IF($C30="",0,SUMIF('DADOS BRUTOS'!$A$3:$A$500,$C30,'DADOS BRUTOS'!CF$3:CF$500)))</f>
        <v/>
      </c>
      <c r="FG30" s="123">
        <f>IF(OR(FG$4="",$B30=""),0,SUMIF('DADOS BRUTOS'!$A$3:$A$500,$B30,'DADOS BRUTOS'!CG$3:CG$500)+IF($C30="",0,SUMIF('DADOS BRUTOS'!$A$3:$A$500,$C30,'DADOS BRUTOS'!CG$3:CG$500)))</f>
        <v/>
      </c>
      <c r="FH30" s="123">
        <f>IF(OR(FH$4="",$B30=""),0,SUMIF('DADOS BRUTOS'!$A$3:$A$500,$B30,'DADOS BRUTOS'!CH$3:CH$500)+IF($C30="",0,SUMIF('DADOS BRUTOS'!$A$3:$A$500,$C30,'DADOS BRUTOS'!CH$3:CH$500)))</f>
        <v/>
      </c>
      <c r="FI30" s="123">
        <f>IF(OR(FI$4="",$B30=""),0,SUMIF('DADOS BRUTOS'!$A$3:$A$500,$B30,'DADOS BRUTOS'!CI$3:CI$500)+IF($C30="",0,SUMIF('DADOS BRUTOS'!$A$3:$A$500,$C30,'DADOS BRUTOS'!CI$3:CI$500)))</f>
        <v/>
      </c>
      <c r="FJ30" s="123">
        <f>IF(OR(FJ$4="",$B30=""),0,SUMIF('DADOS BRUTOS'!$A$3:$A$500,$B30,'DADOS BRUTOS'!CJ$3:CJ$500)+IF($C30="",0,SUMIF('DADOS BRUTOS'!$A$3:$A$500,$C30,'DADOS BRUTOS'!CJ$3:CJ$500)))</f>
        <v/>
      </c>
      <c r="FK30" s="123">
        <f>IF(OR(FK$4="",$B30=""),0,SUMIF('DADOS BRUTOS'!$A$3:$A$500,$B30,'DADOS BRUTOS'!CK$3:CK$500)+IF($C30="",0,SUMIF('DADOS BRUTOS'!$A$3:$A$500,$C30,'DADOS BRUTOS'!CK$3:CK$500)))</f>
        <v/>
      </c>
      <c r="FL30" s="123">
        <f>IF(OR(FL$4="",$B30=""),0,SUMIF('DADOS BRUTOS'!$A$3:$A$500,$B30,'DADOS BRUTOS'!CL$3:CL$500)+IF($C30="",0,SUMIF('DADOS BRUTOS'!$A$3:$A$500,$C30,'DADOS BRUTOS'!CL$3:CL$500)))</f>
        <v/>
      </c>
      <c r="FM30" s="123">
        <f>IF(OR(FM$4="",$B30=""),0,SUMIF('DADOS BRUTOS'!$A$3:$A$500,$B30,'DADOS BRUTOS'!CM$3:CM$500)+IF($C30="",0,SUMIF('DADOS BRUTOS'!$A$3:$A$500,$C30,'DADOS BRUTOS'!CM$3:CM$500)))</f>
        <v/>
      </c>
      <c r="FN30" s="123">
        <f>IF(OR(FN$4="",$B30=""),0,SUMIF('DADOS BRUTOS'!$A$3:$A$500,$B30,'DADOS BRUTOS'!CN$3:CN$500)+IF($C30="",0,SUMIF('DADOS BRUTOS'!$A$3:$A$500,$C30,'DADOS BRUTOS'!CN$3:CN$500)))</f>
        <v/>
      </c>
      <c r="FO30" s="123">
        <f>IF(OR(FO$4="",$B30=""),0,SUMIF('DADOS BRUTOS'!$A$3:$A$500,$B30,'DADOS BRUTOS'!CO$3:CO$500)+IF($C30="",0,SUMIF('DADOS BRUTOS'!$A$3:$A$500,$C30,'DADOS BRUTOS'!CO$3:CO$500)))</f>
        <v/>
      </c>
      <c r="FP30" s="123">
        <f>IF(OR(FP$4="",$B30=""),0,SUMIF('DADOS BRUTOS'!$A$3:$A$500,$B30,'DADOS BRUTOS'!CP$3:CP$500)+IF($C30="",0,SUMIF('DADOS BRUTOS'!$A$3:$A$500,$C30,'DADOS BRUTOS'!CP$3:CP$500)))</f>
        <v/>
      </c>
      <c r="FQ30" s="123">
        <f>IF(OR(FQ$4="",$B30=""),0,SUMIF('DADOS BRUTOS'!$A$3:$A$500,$B30,'DADOS BRUTOS'!CQ$3:CQ$500)+IF($C30="",0,SUMIF('DADOS BRUTOS'!$A$3:$A$500,$C30,'DADOS BRUTOS'!CQ$3:CQ$500)))</f>
        <v/>
      </c>
      <c r="FR30" s="123">
        <f>IF(OR(FR$4="",$B30=""),0,SUMIF('DADOS BRUTOS'!$A$3:$A$500,$B30,'DADOS BRUTOS'!CR$3:CR$500)+IF($C30="",0,SUMIF('DADOS BRUTOS'!$A$3:$A$500,$C30,'DADOS BRUTOS'!CR$3:CR$500)))</f>
        <v/>
      </c>
      <c r="FS30" s="123">
        <f>IF(OR(FS$4="",$B30=""),0,SUMIF('DADOS BRUTOS'!$A$3:$A$500,$B30,'DADOS BRUTOS'!CS$3:CS$500)+IF($C30="",0,SUMIF('DADOS BRUTOS'!$A$3:$A$500,$C30,'DADOS BRUTOS'!CS$3:CS$500)))</f>
        <v/>
      </c>
      <c r="FT30" s="123">
        <f>IF(OR(FT$4="",$B30=""),0,SUMIF('DADOS BRUTOS'!$A$3:$A$500,$B30,'DADOS BRUTOS'!CT$3:CT$500)+IF($C30="",0,SUMIF('DADOS BRUTOS'!$A$3:$A$500,$C30,'DADOS BRUTOS'!CT$3:CT$500)))</f>
        <v/>
      </c>
      <c r="FU30" s="123">
        <f>IF(OR(FU$4="",$B30=""),0,SUMIF('DADOS BRUTOS'!$A$3:$A$500,$B30,'DADOS BRUTOS'!CU$3:CU$500)+IF($C30="",0,SUMIF('DADOS BRUTOS'!$A$3:$A$500,$C30,'DADOS BRUTOS'!CU$3:CU$500)))</f>
        <v/>
      </c>
      <c r="FV30" s="123">
        <f>IF(OR(FV$4="",$B30=""),0,SUMIF('DADOS BRUTOS'!$A$3:$A$500,$B30,'DADOS BRUTOS'!CV$3:CV$500)+IF($C30="",0,SUMIF('DADOS BRUTOS'!$A$3:$A$500,$C30,'DADOS BRUTOS'!CV$3:CV$500)))</f>
        <v/>
      </c>
      <c r="FW30" s="123">
        <f>IF(OR(FW$4="",$B30=""),0,SUMIF('DADOS BRUTOS'!$A$3:$A$500,$B30,'DADOS BRUTOS'!CW$3:CW$500)+IF($C30="",0,SUMIF('DADOS BRUTOS'!$A$3:$A$500,$C30,'DADOS BRUTOS'!CW$3:CW$500)))</f>
        <v/>
      </c>
      <c r="FX30" s="123">
        <f>IF(OR(FX$4="",$B30=""),0,SUMIF('DADOS BRUTOS'!$A$3:$A$500,$B30,'DADOS BRUTOS'!CX$3:CX$500)+IF($C30="",0,SUMIF('DADOS BRUTOS'!$A$3:$A$500,$C30,'DADOS BRUTOS'!CX$3:CX$500)))</f>
        <v/>
      </c>
      <c r="FY30" s="123">
        <f>IF(OR(FY$4="",$B30=""),0,SUMIF('DADOS BRUTOS'!$A$3:$A$500,$B30,'DADOS BRUTOS'!CY$3:CY$500)+IF($C30="",0,SUMIF('DADOS BRUTOS'!$A$3:$A$500,$C30,'DADOS BRUTOS'!CY$3:CY$500)))</f>
        <v/>
      </c>
      <c r="FZ30" s="123">
        <f>IF(OR(FZ$4="",$B30=""),0,SUMIF('DADOS BRUTOS'!$A$3:$A$500,$B30,'DADOS BRUTOS'!CZ$3:CZ$500)+IF($C30="",0,SUMIF('DADOS BRUTOS'!$A$3:$A$500,$C30,'DADOS BRUTOS'!CZ$3:CZ$500)))</f>
        <v/>
      </c>
      <c r="GA30" s="123">
        <f>IF(OR(GA$4="",$B30=""),0,SUMIF('DADOS BRUTOS'!$A$3:$A$500,$B30,'DADOS BRUTOS'!DA$3:DA$500)+IF($C30="",0,SUMIF('DADOS BRUTOS'!$A$3:$A$500,$C30,'DADOS BRUTOS'!DA$3:DA$500)))</f>
        <v/>
      </c>
      <c r="GB30" s="123">
        <f>IF(OR(GB$4="",$B30=""),0,SUMIF('DADOS BRUTOS'!$A$3:$A$500,$B30,'DADOS BRUTOS'!DB$3:DB$500)+IF($C30="",0,SUMIF('DADOS BRUTOS'!$A$3:$A$500,$C30,'DADOS BRUTOS'!DB$3:DB$500)))</f>
        <v/>
      </c>
      <c r="GC30" s="123">
        <f>IF(OR(GC$4="",$B30=""),0,SUMIF('DADOS BRUTOS'!$A$3:$A$500,$B30,'DADOS BRUTOS'!DC$3:DC$500)+IF($C30="",0,SUMIF('DADOS BRUTOS'!$A$3:$A$500,$C30,'DADOS BRUTOS'!DC$3:DC$500)))</f>
        <v/>
      </c>
      <c r="GD30" s="123">
        <f>IF(OR(GD$4="",$B30=""),0,SUMIF('DADOS BRUTOS'!$A$3:$A$500,$B30,'DADOS BRUTOS'!DD$3:DD$500)+IF($C30="",0,SUMIF('DADOS BRUTOS'!$A$3:$A$500,$C30,'DADOS BRUTOS'!DD$3:DD$500)))</f>
        <v/>
      </c>
      <c r="GE30" s="123">
        <f>IF(OR(GE$4="",$B30=""),0,SUMIF('DADOS BRUTOS'!$A$3:$A$500,$B30,'DADOS BRUTOS'!DE$3:DE$500)+IF($C30="",0,SUMIF('DADOS BRUTOS'!$A$3:$A$500,$C30,'DADOS BRUTOS'!DE$3:DE$500)))</f>
        <v/>
      </c>
      <c r="GF30" s="123">
        <f>IF(OR(GF$4="",$B30=""),0,SUMIF('DADOS BRUTOS'!$A$3:$A$500,$B30,'DADOS BRUTOS'!DF$3:DF$500)+IF($C30="",0,SUMIF('DADOS BRUTOS'!$A$3:$A$500,$C30,'DADOS BRUTOS'!DF$3:DF$500)))</f>
        <v/>
      </c>
      <c r="GG30" s="123">
        <f>IF(OR(GG$4="",$B30=""),0,SUMIF('DADOS BRUTOS'!$A$3:$A$500,$B30,'DADOS BRUTOS'!DG$3:DG$500)+IF($C30="",0,SUMIF('DADOS BRUTOS'!$A$3:$A$500,$C30,'DADOS BRUTOS'!DG$3:DG$500)))</f>
        <v/>
      </c>
      <c r="GH30" s="123">
        <f>IF(OR(GH$4="",$B30=""),0,SUMIF('DADOS BRUTOS'!$A$3:$A$500,$B30,'DADOS BRUTOS'!DH$3:DH$500)+IF($C30="",0,SUMIF('DADOS BRUTOS'!$A$3:$A$500,$C30,'DADOS BRUTOS'!DH$3:DH$500)))</f>
        <v/>
      </c>
      <c r="GI30" s="123">
        <f>IF(OR(GI$4="",$B30=""),0,SUMIF('DADOS BRUTOS'!$A$3:$A$500,$B30,'DADOS BRUTOS'!DI$3:DI$500)+IF($C30="",0,SUMIF('DADOS BRUTOS'!$A$3:$A$500,$C30,'DADOS BRUTOS'!DI$3:DI$500)))</f>
        <v/>
      </c>
      <c r="GJ30" s="123">
        <f>IF(OR(GJ$4="",$B30=""),0,SUMIF('DADOS BRUTOS'!$A$3:$A$500,$B30,'DADOS BRUTOS'!DJ$3:DJ$500)+IF($C30="",0,SUMIF('DADOS BRUTOS'!$A$3:$A$500,$C30,'DADOS BRUTOS'!DJ$3:DJ$500)))</f>
        <v/>
      </c>
      <c r="GK30" s="123">
        <f>IF(OR(GK$4="",$B30=""),0,SUMIF('DADOS BRUTOS'!$A$3:$A$500,$B30,'DADOS BRUTOS'!DK$3:DK$500)+IF($C30="",0,SUMIF('DADOS BRUTOS'!$A$3:$A$500,$C30,'DADOS BRUTOS'!DK$3:DK$500)))</f>
        <v/>
      </c>
      <c r="GL30" s="123">
        <f>IF(OR(GL$4="",$B30=""),0,SUMIF('DADOS BRUTOS'!$A$3:$A$500,$B30,'DADOS BRUTOS'!DL$3:DL$500)+IF($C30="",0,SUMIF('DADOS BRUTOS'!$A$3:$A$500,$C30,'DADOS BRUTOS'!DL$3:DL$500)))</f>
        <v/>
      </c>
      <c r="GM30" s="123">
        <f>IF(OR(GM$4="",$B30=""),0,SUMIF('DADOS BRUTOS'!$A$3:$A$500,$B30,'DADOS BRUTOS'!DM$3:DM$500)+IF($C30="",0,SUMIF('DADOS BRUTOS'!$A$3:$A$500,$C30,'DADOS BRUTOS'!DM$3:DM$500)))</f>
        <v/>
      </c>
      <c r="GN30" s="123">
        <f>IF(OR(GN$4="",$B30=""),0,SUMIF('DADOS BRUTOS'!$A$3:$A$500,$B30,'DADOS BRUTOS'!DN$3:DN$500)+IF($C30="",0,SUMIF('DADOS BRUTOS'!$A$3:$A$500,$C30,'DADOS BRUTOS'!DN$3:DN$500)))</f>
        <v/>
      </c>
      <c r="GO30" s="123">
        <f>IF(OR(GO$4="",$B30=""),0,SUMIF('DADOS BRUTOS'!$A$3:$A$500,$B30,'DADOS BRUTOS'!DO$3:DO$500)+IF($C30="",0,SUMIF('DADOS BRUTOS'!$A$3:$A$500,$C30,'DADOS BRUTOS'!DO$3:DO$500)))</f>
        <v/>
      </c>
      <c r="GP30" s="123">
        <f>IF(OR(GP$4="",$B30=""),0,SUMIF('DADOS BRUTOS'!$A$3:$A$500,$B30,'DADOS BRUTOS'!DP$3:DP$500)+IF($C30="",0,SUMIF('DADOS BRUTOS'!$A$3:$A$500,$C30,'DADOS BRUTOS'!DP$3:DP$500)))</f>
        <v/>
      </c>
      <c r="GQ30" s="123">
        <f>IF(OR(GQ$4="",$B30=""),0,SUMIF('DADOS BRUTOS'!$A$3:$A$500,$B30,'DADOS BRUTOS'!DQ$3:DQ$500)+IF($C30="",0,SUMIF('DADOS BRUTOS'!$A$3:$A$500,$C30,'DADOS BRUTOS'!DQ$3:DQ$500)))</f>
        <v/>
      </c>
      <c r="GR30" s="123">
        <f>IF(OR(GR$4="",$B30=""),0,SUMIF('DADOS BRUTOS'!$A$3:$A$500,$B30,'DADOS BRUTOS'!DR$3:DR$500)+IF($C30="",0,SUMIF('DADOS BRUTOS'!$A$3:$A$500,$C30,'DADOS BRUTOS'!DR$3:DR$500)))</f>
        <v/>
      </c>
      <c r="GS30" s="123">
        <f>IF(OR(GS$4="",$B30=""),0,SUMIF('DADOS BRUTOS'!$A$3:$A$500,$B30,'DADOS BRUTOS'!DS$3:DS$500)+IF($C30="",0,SUMIF('DADOS BRUTOS'!$A$3:$A$500,$C30,'DADOS BRUTOS'!DS$3:DS$500)))</f>
        <v/>
      </c>
      <c r="GT30" s="123">
        <f>IF(OR(GT$4="",$B30=""),0,SUMIF('DADOS BRUTOS'!$A$3:$A$500,$B30,'DADOS BRUTOS'!DT$3:DT$500)+IF($C30="",0,SUMIF('DADOS BRUTOS'!$A$3:$A$500,$C30,'DADOS BRUTOS'!DT$3:DT$500)))</f>
        <v/>
      </c>
      <c r="GU30" s="123">
        <f>IF(OR(GU$4="",$B30=""),0,SUMIF('DADOS BRUTOS'!$A$3:$A$500,$B30,'DADOS BRUTOS'!DU$3:DU$500)+IF($C30="",0,SUMIF('DADOS BRUTOS'!$A$3:$A$500,$C30,'DADOS BRUTOS'!DU$3:DU$500)))</f>
        <v/>
      </c>
      <c r="GV30" s="123">
        <f>IF(OR(GV$4="",$B30=""),0,SUMIF('DADOS BRUTOS'!$A$3:$A$500,$B30,'DADOS BRUTOS'!DV$3:DV$500)+IF($C30="",0,SUMIF('DADOS BRUTOS'!$A$3:$A$500,$C30,'DADOS BRUTOS'!DV$3:DV$500)))</f>
        <v/>
      </c>
      <c r="GW30" s="123">
        <f>IF(OR(GW$4="",$B30=""),0,SUMIF('DADOS BRUTOS'!$A$3:$A$500,$B30,'DADOS BRUTOS'!DW$3:DW$500)+IF($C30="",0,SUMIF('DADOS BRUTOS'!$A$3:$A$500,$C30,'DADOS BRUTOS'!DW$3:DW$500)))</f>
        <v/>
      </c>
      <c r="GX30" s="123">
        <f>IF(OR(GX$4="",$B30=""),0,SUMIF('DADOS BRUTOS'!$A$3:$A$500,$B30,'DADOS BRUTOS'!DX$3:DX$500)+IF($C30="",0,SUMIF('DADOS BRUTOS'!$A$3:$A$500,$C30,'DADOS BRUTOS'!DX$3:DX$500)))</f>
        <v/>
      </c>
      <c r="GY30" s="123">
        <f>IF(OR(GY$4="",$B30=""),0,SUMIF('DADOS BRUTOS'!$A$3:$A$500,$B30,'DADOS BRUTOS'!DY$3:DY$500)+IF($C30="",0,SUMIF('DADOS BRUTOS'!$A$3:$A$500,$C30,'DADOS BRUTOS'!DY$3:DY$500)))</f>
        <v/>
      </c>
      <c r="GZ30" s="123">
        <f>IF(OR(GZ$4="",$B30=""),0,SUMIF('DADOS BRUTOS'!$A$3:$A$500,$B30,'DADOS BRUTOS'!DZ$3:DZ$500)+IF($C30="",0,SUMIF('DADOS BRUTOS'!$A$3:$A$500,$C30,'DADOS BRUTOS'!DZ$3:DZ$500)))</f>
        <v/>
      </c>
      <c r="HA30" s="123">
        <f>IF(OR(HA$4="",$B30=""),0,SUMIF('DADOS BRUTOS'!$A$3:$A$500,$B30,'DADOS BRUTOS'!EA$3:EA$500)+IF($C30="",0,SUMIF('DADOS BRUTOS'!$A$3:$A$500,$C30,'DADOS BRUTOS'!EA$3:EA$500)))</f>
        <v/>
      </c>
      <c r="HB30" s="123">
        <f>IF(OR(HB$4="",$B30=""),0,SUMIF('DADOS BRUTOS'!$A$3:$A$500,$B30,'DADOS BRUTOS'!EB$3:EB$500)+IF($C30="",0,SUMIF('DADOS BRUTOS'!$A$3:$A$500,$C30,'DADOS BRUTOS'!EB$3:EB$500)))</f>
        <v/>
      </c>
      <c r="HC30" s="123">
        <f>IF(OR(HC$4="",$B30=""),0,SUMIF('DADOS BRUTOS'!$A$3:$A$500,$B30,'DADOS BRUTOS'!EC$3:EC$500)+IF($C30="",0,SUMIF('DADOS BRUTOS'!$A$3:$A$500,$C30,'DADOS BRUTOS'!EC$3:EC$500)))</f>
        <v/>
      </c>
      <c r="HD30" s="123">
        <f>IF(OR(HD$4="",$B30=""),0,SUMIF('DADOS BRUTOS'!$A$3:$A$500,$B30,'DADOS BRUTOS'!ED$3:ED$500)+IF($C30="",0,SUMIF('DADOS BRUTOS'!$A$3:$A$500,$C30,'DADOS BRUTOS'!ED$3:ED$500)))</f>
        <v/>
      </c>
      <c r="HE30" s="123">
        <f>IF(OR(HE$4="",$B30=""),0,SUMIF('DADOS BRUTOS'!$A$3:$A$500,$B30,'DADOS BRUTOS'!EE$3:EE$500)+IF($C30="",0,SUMIF('DADOS BRUTOS'!$A$3:$A$500,$C30,'DADOS BRUTOS'!EE$3:EE$500)))</f>
        <v/>
      </c>
      <c r="HF30" s="123">
        <f>IF(OR(HF$4="",$B30=""),0,SUMIF('DADOS BRUTOS'!$A$3:$A$500,$B30,'DADOS BRUTOS'!EF$3:EF$500)+IF($C30="",0,SUMIF('DADOS BRUTOS'!$A$3:$A$500,$C30,'DADOS BRUTOS'!EF$3:EF$500)))</f>
        <v/>
      </c>
      <c r="HG30" s="123">
        <f>IF(OR(HG$4="",$B30=""),0,SUMIF('DADOS BRUTOS'!$A$3:$A$500,$B30,'DADOS BRUTOS'!EG$3:EG$500)+IF($C30="",0,SUMIF('DADOS BRUTOS'!$A$3:$A$500,$C30,'DADOS BRUTOS'!EG$3:EG$500)))</f>
        <v/>
      </c>
      <c r="HH30" s="123">
        <f>IF(OR(HH$4="",$B30=""),0,SUMIF('DADOS BRUTOS'!$A$3:$A$500,$B30,'DADOS BRUTOS'!EH$3:EH$500)+IF($C30="",0,SUMIF('DADOS BRUTOS'!$A$3:$A$500,$C30,'DADOS BRUTOS'!EH$3:EH$500)))</f>
        <v/>
      </c>
      <c r="HI30" s="123">
        <f>IF(OR(HI$4="",$B30=""),0,SUMIF('DADOS BRUTOS'!$A$3:$A$500,$B30,'DADOS BRUTOS'!EI$3:EI$500)+IF($C30="",0,SUMIF('DADOS BRUTOS'!$A$3:$A$500,$C30,'DADOS BRUTOS'!EI$3:EI$500)))</f>
        <v/>
      </c>
      <c r="HJ30" s="123">
        <f>IF(OR(HJ$4="",$B30=""),0,SUMIF('DADOS BRUTOS'!$A$3:$A$500,$B30,'DADOS BRUTOS'!EJ$3:EJ$500)+IF($C30="",0,SUMIF('DADOS BRUTOS'!$A$3:$A$500,$C30,'DADOS BRUTOS'!EJ$3:EJ$500)))</f>
        <v/>
      </c>
      <c r="HK30" s="123">
        <f>IF(OR(HK$4="",$B30=""),0,SUMIF('DADOS BRUTOS'!$A$3:$A$500,$B30,'DADOS BRUTOS'!EK$3:EK$500)+IF($C30="",0,SUMIF('DADOS BRUTOS'!$A$3:$A$500,$C30,'DADOS BRUTOS'!EK$3:EK$500)))</f>
        <v/>
      </c>
      <c r="HL30" s="123">
        <f>IF(OR(HL$4="",$B30=""),0,SUMIF('DADOS BRUTOS'!$A$3:$A$500,$B30,'DADOS BRUTOS'!EL$3:EL$500)+IF($C30="",0,SUMIF('DADOS BRUTOS'!$A$3:$A$500,$C30,'DADOS BRUTOS'!EL$3:EL$500)))</f>
        <v/>
      </c>
      <c r="HM30" s="123">
        <f>IF(OR(HM$4="",$B30=""),0,SUMIF('DADOS BRUTOS'!$A$3:$A$500,$B30,'DADOS BRUTOS'!EM$3:EM$500)+IF($C30="",0,SUMIF('DADOS BRUTOS'!$A$3:$A$500,$C30,'DADOS BRUTOS'!EM$3:EM$500)))</f>
        <v/>
      </c>
      <c r="HN30" s="123">
        <f>IF(OR(HN$4="",$B30=""),0,SUMIF('DADOS BRUTOS'!$A$3:$A$500,$B30,'DADOS BRUTOS'!EN$3:EN$500)+IF($C30="",0,SUMIF('DADOS BRUTOS'!$A$3:$A$500,$C30,'DADOS BRUTOS'!EN$3:EN$500)))</f>
        <v/>
      </c>
      <c r="HO30" s="123">
        <f>IF(OR(HO$4="",$B30=""),0,SUMIF('DADOS BRUTOS'!$A$3:$A$500,$B30,'DADOS BRUTOS'!EO$3:EO$500)+IF($C30="",0,SUMIF('DADOS BRUTOS'!$A$3:$A$500,$C30,'DADOS BRUTOS'!EO$3:EO$500)))</f>
        <v/>
      </c>
      <c r="HP30" s="123">
        <f>IF(OR(HP$4="",$B30=""),0,SUMIF('DADOS BRUTOS'!$A$3:$A$500,$B30,'DADOS BRUTOS'!EP$3:EP$500)+IF($C30="",0,SUMIF('DADOS BRUTOS'!$A$3:$A$500,$C30,'DADOS BRUTOS'!EP$3:EP$500)))</f>
        <v/>
      </c>
      <c r="HQ30" s="123">
        <f>IF(OR(HQ$4="",$B30=""),0,SUMIF('DADOS BRUTOS'!$A$3:$A$500,$B30,'DADOS BRUTOS'!EQ$3:EQ$500)+IF($C30="",0,SUMIF('DADOS BRUTOS'!$A$3:$A$500,$C30,'DADOS BRUTOS'!EQ$3:EQ$500)))</f>
        <v/>
      </c>
      <c r="HR30" s="123">
        <f>IF(OR(HR$4="",$B30=""),0,SUMIF('DADOS BRUTOS'!$A$3:$A$500,$B30,'DADOS BRUTOS'!ER$3:ER$500)+IF($C30="",0,SUMIF('DADOS BRUTOS'!$A$3:$A$500,$C30,'DADOS BRUTOS'!ER$3:ER$500)))</f>
        <v/>
      </c>
      <c r="HS30" s="123">
        <f>IF(OR(HS$4="",$B30=""),0,SUMIF('DADOS BRUTOS'!$A$3:$A$500,$B30,'DADOS BRUTOS'!ES$3:ES$500)+IF($C30="",0,SUMIF('DADOS BRUTOS'!$A$3:$A$500,$C30,'DADOS BRUTOS'!ES$3:ES$500)))</f>
        <v/>
      </c>
      <c r="HT30" s="123">
        <f>IF(OR(HT$4="",$B30=""),0,SUMIF('DADOS BRUTOS'!$A$3:$A$500,$B30,'DADOS BRUTOS'!ET$3:ET$500)+IF($C30="",0,SUMIF('DADOS BRUTOS'!$A$3:$A$500,$C30,'DADOS BRUTOS'!ET$3:ET$500)))</f>
        <v/>
      </c>
      <c r="HU30" s="123">
        <f>IF(OR(HU$4="",$B30=""),0,SUMIF('DADOS BRUTOS'!$A$3:$A$500,$B30,'DADOS BRUTOS'!EU$3:EU$500)+IF($C30="",0,SUMIF('DADOS BRUTOS'!$A$3:$A$500,$C30,'DADOS BRUTOS'!EU$3:EU$500)))</f>
        <v/>
      </c>
      <c r="HV30" s="123">
        <f>IF(OR(HV$4="",$B30=""),0,SUMIF('DADOS BRUTOS'!$A$3:$A$500,$B30,'DADOS BRUTOS'!EV$3:EV$500)+IF($C30="",0,SUMIF('DADOS BRUTOS'!$A$3:$A$500,$C30,'DADOS BRUTOS'!EV$3:EV$500)))</f>
        <v/>
      </c>
      <c r="HW30" s="123">
        <f>IF(OR(HW$4="",$B30=""),0,SUMIF('DADOS BRUTOS'!$A$3:$A$500,$B30,'DADOS BRUTOS'!EW$3:EW$500)+IF($C30="",0,SUMIF('DADOS BRUTOS'!$A$3:$A$500,$C30,'DADOS BRUTOS'!EW$3:EW$500)))</f>
        <v/>
      </c>
      <c r="HX30" s="123">
        <f>IF(OR(HX$4="",$B30=""),0,SUMIF('DADOS BRUTOS'!$A$3:$A$500,$B30,'DADOS BRUTOS'!EX$3:EX$500)+IF($C30="",0,SUMIF('DADOS BRUTOS'!$A$3:$A$500,$C30,'DADOS BRUTOS'!EX$3:EX$500)))</f>
        <v/>
      </c>
      <c r="HY30" s="123">
        <f>IF(OR(HY$4="",$B30=""),0,SUMIF('DADOS BRUTOS'!$A$3:$A$500,$B30,'DADOS BRUTOS'!EY$3:EY$500)+IF($C30="",0,SUMIF('DADOS BRUTOS'!$A$3:$A$500,$C30,'DADOS BRUTOS'!EY$3:EY$500)))</f>
        <v/>
      </c>
      <c r="HZ30" s="123">
        <f>IF(OR(HZ$4="",$B30=""),0,SUMIF('DADOS BRUTOS'!$A$3:$A$500,$B30,'DADOS BRUTOS'!EZ$3:EZ$500)+IF($C30="",0,SUMIF('DADOS BRUTOS'!$A$3:$A$500,$C30,'DADOS BRUTOS'!EZ$3:EZ$500)))</f>
        <v/>
      </c>
      <c r="IA30" s="123">
        <f>IF(OR(IA$4="",$B30=""),0,SUMIF('DADOS BRUTOS'!$A$3:$A$500,$B30,'DADOS BRUTOS'!FA$3:FA$500)+IF($C30="",0,SUMIF('DADOS BRUTOS'!$A$3:$A$500,$C30,'DADOS BRUTOS'!FA$3:FA$500)))</f>
        <v/>
      </c>
      <c r="IB30" s="123">
        <f>IF(OR(IB$4="",$B30=""),0,SUMIF('DADOS BRUTOS'!$A$3:$A$500,$B30,'DADOS BRUTOS'!FB$3:FB$500)+IF($C30="",0,SUMIF('DADOS BRUTOS'!$A$3:$A$500,$C30,'DADOS BRUTOS'!FB$3:FB$500)))</f>
        <v/>
      </c>
      <c r="IC30" s="123">
        <f>IF(OR(IC$4="",$B30=""),0,SUMIF('DADOS BRUTOS'!$A$3:$A$500,$B30,'DADOS BRUTOS'!FC$3:FC$500)+IF($C30="",0,SUMIF('DADOS BRUTOS'!$A$3:$A$500,$C30,'DADOS BRUTOS'!FC$3:FC$500)))</f>
        <v/>
      </c>
      <c r="ID30" s="123">
        <f>IF(OR(ID$4="",$B30=""),0,SUMIF('DADOS BRUTOS'!$A$3:$A$500,$B30,'DADOS BRUTOS'!FD$3:FD$500)+IF($C30="",0,SUMIF('DADOS BRUTOS'!$A$3:$A$500,$C30,'DADOS BRUTOS'!FD$3:FD$500)))</f>
        <v/>
      </c>
      <c r="IE30" s="123">
        <f>IF(OR(IE$4="",$B30=""),0,SUMIF('DADOS BRUTOS'!$A$3:$A$500,$B30,'DADOS BRUTOS'!FE$3:FE$500)+IF($C30="",0,SUMIF('DADOS BRUTOS'!$A$3:$A$500,$C30,'DADOS BRUTOS'!FE$3:FE$500)))</f>
        <v/>
      </c>
      <c r="IF30" s="123">
        <f>IF(OR(IF$4="",$B30=""),0,SUMIF('DADOS BRUTOS'!$A$3:$A$500,$B30,'DADOS BRUTOS'!FF$3:FF$500)+IF($C30="",0,SUMIF('DADOS BRUTOS'!$A$3:$A$500,$C30,'DADOS BRUTOS'!FF$3:FF$500)))</f>
        <v/>
      </c>
      <c r="IG30" s="123">
        <f>IF(OR(IG$4="",$B30=""),0,SUMIF('DADOS BRUTOS'!$A$3:$A$500,$B30,'DADOS BRUTOS'!FG$3:FG$500)+IF($C30="",0,SUMIF('DADOS BRUTOS'!$A$3:$A$500,$C30,'DADOS BRUTOS'!FG$3:FG$500)))</f>
        <v/>
      </c>
      <c r="IH30" s="123">
        <f>IF(OR(IH$4="",$B30=""),0,SUMIF('DADOS BRUTOS'!$A$3:$A$500,$B30,'DADOS BRUTOS'!FH$3:FH$500)+IF($C30="",0,SUMIF('DADOS BRUTOS'!$A$3:$A$500,$C30,'DADOS BRUTOS'!FH$3:FH$500)))</f>
        <v/>
      </c>
      <c r="II30" s="123">
        <f>IF(OR(II$4="",$B30=""),0,SUMIF('DADOS BRUTOS'!$A$3:$A$500,$B30,'DADOS BRUTOS'!FI$3:FI$500)+IF($C30="",0,SUMIF('DADOS BRUTOS'!$A$3:$A$500,$C30,'DADOS BRUTOS'!FI$3:FI$500)))</f>
        <v/>
      </c>
      <c r="IJ30" s="123">
        <f>IF(OR(IJ$4="",$B30=""),0,SUMIF('DADOS BRUTOS'!$A$3:$A$500,$B30,'DADOS BRUTOS'!FJ$3:FJ$500)+IF($C30="",0,SUMIF('DADOS BRUTOS'!$A$3:$A$500,$C30,'DADOS BRUTOS'!FJ$3:FJ$500)))</f>
        <v/>
      </c>
      <c r="IK30" s="123">
        <f>IF(OR(IK$4="",$B30=""),0,SUMIF('DADOS BRUTOS'!$A$3:$A$500,$B30,'DADOS BRUTOS'!FK$3:FK$500)+IF($C30="",0,SUMIF('DADOS BRUTOS'!$A$3:$A$500,$C30,'DADOS BRUTOS'!FK$3:FK$500)))</f>
        <v/>
      </c>
      <c r="IL30" s="123">
        <f>IF(OR(IL$4="",$B30=""),0,SUMIF('DADOS BRUTOS'!$A$3:$A$500,$B30,'DADOS BRUTOS'!FL$3:FL$500)+IF($C30="",0,SUMIF('DADOS BRUTOS'!$A$3:$A$500,$C30,'DADOS BRUTOS'!FL$3:FL$500)))</f>
        <v/>
      </c>
      <c r="IM30" s="123">
        <f>IF(OR(IM$4="",$B30=""),0,SUMIF('DADOS BRUTOS'!$A$3:$A$500,$B30,'DADOS BRUTOS'!FM$3:FM$500)+IF($C30="",0,SUMIF('DADOS BRUTOS'!$A$3:$A$500,$C30,'DADOS BRUTOS'!FM$3:FM$500)))</f>
        <v/>
      </c>
      <c r="IN30" s="123">
        <f>IF(OR(IN$4="",$B30=""),0,SUMIF('DADOS BRUTOS'!$A$3:$A$500,$B30,'DADOS BRUTOS'!FN$3:FN$500)+IF($C30="",0,SUMIF('DADOS BRUTOS'!$A$3:$A$500,$C30,'DADOS BRUTOS'!FN$3:FN$500)))</f>
        <v/>
      </c>
      <c r="IO30" s="123">
        <f>IF(OR(IO$4="",$B30=""),0,SUMIF('DADOS BRUTOS'!$A$3:$A$500,$B30,'DADOS BRUTOS'!FO$3:FO$500)+IF($C30="",0,SUMIF('DADOS BRUTOS'!$A$3:$A$500,$C30,'DADOS BRUTOS'!FO$3:FO$500)))</f>
        <v/>
      </c>
      <c r="IP30" s="123">
        <f>IF(OR(IP$4="",$B30=""),0,SUMIF('DADOS BRUTOS'!$A$3:$A$500,$B30,'DADOS BRUTOS'!FP$3:FP$500)+IF($C30="",0,SUMIF('DADOS BRUTOS'!$A$3:$A$500,$C30,'DADOS BRUTOS'!FP$3:FP$500)))</f>
        <v/>
      </c>
      <c r="IQ30" s="123">
        <f>IF(OR(IQ$4="",$B30=""),0,SUMIF('DADOS BRUTOS'!$A$3:$A$500,$B30,'DADOS BRUTOS'!FQ$3:FQ$500)+IF($C30="",0,SUMIF('DADOS BRUTOS'!$A$3:$A$500,$C30,'DADOS BRUTOS'!FQ$3:FQ$500)))</f>
        <v/>
      </c>
      <c r="IR30" s="123">
        <f>IF(OR(IR$4="",$B30=""),0,SUMIF('DADOS BRUTOS'!$A$3:$A$500,$B30,'DADOS BRUTOS'!FR$3:FR$500)+IF($C30="",0,SUMIF('DADOS BRUTOS'!$A$3:$A$500,$C30,'DADOS BRUTOS'!FR$3:FR$500)))</f>
        <v/>
      </c>
      <c r="IS30" s="123">
        <f>IF(OR(IS$4="",$B30=""),0,SUMIF('DADOS BRUTOS'!$A$3:$A$500,$B30,'DADOS BRUTOS'!FS$3:FS$500)+IF($C30="",0,SUMIF('DADOS BRUTOS'!$A$3:$A$500,$C30,'DADOS BRUTOS'!FS$3:FS$500)))</f>
        <v/>
      </c>
      <c r="IT30" s="123">
        <f>IF(OR(IT$4="",$B30=""),0,SUMIF('DADOS BRUTOS'!$A$3:$A$500,$B30,'DADOS BRUTOS'!FT$3:FT$500)+IF($C30="",0,SUMIF('DADOS BRUTOS'!$A$3:$A$500,$C30,'DADOS BRUTOS'!FT$3:FT$500)))</f>
        <v/>
      </c>
      <c r="IU30" s="123">
        <f>IF(OR(IU$4="",$B30=""),0,SUMIF('DADOS BRUTOS'!$A$3:$A$500,$B30,'DADOS BRUTOS'!FU$3:FU$500)+IF($C30="",0,SUMIF('DADOS BRUTOS'!$A$3:$A$500,$C30,'DADOS BRUTOS'!FU$3:FU$500)))</f>
        <v/>
      </c>
      <c r="IV30" s="123">
        <f>IF(OR(IV$4="",$B30=""),0,SUMIF('DADOS BRUTOS'!$A$3:$A$500,$B30,'DADOS BRUTOS'!FV$3:FV$500)+IF($C30="",0,SUMIF('DADOS BRUTOS'!$A$3:$A$500,$C30,'DADOS BRUTOS'!FV$3:FV$500)))</f>
        <v/>
      </c>
      <c r="IW30" s="123">
        <f>IF(OR(IW$4="",$B30=""),0,SUMIF('DADOS BRUTOS'!$A$3:$A$500,$B30,'DADOS BRUTOS'!FW$3:FW$500)+IF($C30="",0,SUMIF('DADOS BRUTOS'!$A$3:$A$500,$C30,'DADOS BRUTOS'!FW$3:FW$500)))</f>
        <v/>
      </c>
      <c r="IX30" s="123">
        <f>IF(OR(IX$4="",$B30=""),0,SUMIF('DADOS BRUTOS'!$A$3:$A$500,$B30,'DADOS BRUTOS'!FX$3:FX$500)+IF($C30="",0,SUMIF('DADOS BRUTOS'!$A$3:$A$500,$C30,'DADOS BRUTOS'!FX$3:FX$500)))</f>
        <v/>
      </c>
      <c r="IY30" s="123">
        <f>IF(OR(IY$4="",$B30=""),0,SUMIF('DADOS BRUTOS'!$A$3:$A$500,$B30,'DADOS BRUTOS'!FY$3:FY$500)+IF($C30="",0,SUMIF('DADOS BRUTOS'!$A$3:$A$500,$C30,'DADOS BRUTOS'!FY$3:FY$500)))</f>
        <v/>
      </c>
      <c r="IZ30" s="123">
        <f>IF(OR(IZ$4="",$B30=""),0,SUMIF('DADOS BRUTOS'!$A$3:$A$500,$B30,'DADOS BRUTOS'!FZ$3:FZ$500)+IF($C30="",0,SUMIF('DADOS BRUTOS'!$A$3:$A$500,$C30,'DADOS BRUTOS'!FZ$3:FZ$500)))</f>
        <v/>
      </c>
      <c r="JA30" s="123">
        <f>IF(OR(JA$4="",$B30=""),0,SUMIF('DADOS BRUTOS'!$A$3:$A$500,$B30,'DADOS BRUTOS'!GA$3:GA$500)+IF($C30="",0,SUMIF('DADOS BRUTOS'!$A$3:$A$500,$C30,'DADOS BRUTOS'!GA$3:GA$500)))</f>
        <v/>
      </c>
      <c r="JB30" s="123">
        <f>IF(OR(JB$4="",$B30=""),0,SUMIF('DADOS BRUTOS'!$A$3:$A$500,$B30,'DADOS BRUTOS'!GB$3:GB$500)+IF($C30="",0,SUMIF('DADOS BRUTOS'!$A$3:$A$500,$C30,'DADOS BRUTOS'!GB$3:GB$500)))</f>
        <v/>
      </c>
      <c r="JC30" s="123">
        <f>IF(OR(JC$4="",$B30=""),0,SUMIF('DADOS BRUTOS'!$A$3:$A$500,$B30,'DADOS BRUTOS'!GC$3:GC$500)+IF($C30="",0,SUMIF('DADOS BRUTOS'!$A$3:$A$500,$C30,'DADOS BRUTOS'!GC$3:GC$500)))</f>
        <v/>
      </c>
      <c r="JD30" s="123">
        <f>IF(OR(JD$4="",$B30=""),0,SUMIF('DADOS BRUTOS'!$A$3:$A$500,$B30,'DADOS BRUTOS'!GD$3:GD$500)+IF($C30="",0,SUMIF('DADOS BRUTOS'!$A$3:$A$500,$C30,'DADOS BRUTOS'!GD$3:GD$500)))</f>
        <v/>
      </c>
      <c r="JE30" s="123">
        <f>IF(OR(JE$4="",$B30=""),0,SUMIF('DADOS BRUTOS'!$A$3:$A$500,$B30,'DADOS BRUTOS'!GE$3:GE$500)+IF($C30="",0,SUMIF('DADOS BRUTOS'!$A$3:$A$500,$C30,'DADOS BRUTOS'!GE$3:GE$500)))</f>
        <v/>
      </c>
      <c r="JF30" s="123">
        <f>IF(OR(JF$4="",$B30=""),0,SUMIF('DADOS BRUTOS'!$A$3:$A$500,$B30,'DADOS BRUTOS'!GF$3:GF$500)+IF($C30="",0,SUMIF('DADOS BRUTOS'!$A$3:$A$500,$C30,'DADOS BRUTOS'!GF$3:GF$500)))</f>
        <v/>
      </c>
      <c r="JG30" s="123">
        <f>IF(OR(JG$4="",$B30=""),0,SUMIF('DADOS BRUTOS'!$A$3:$A$500,$B30,'DADOS BRUTOS'!GG$3:GG$500)+IF($C30="",0,SUMIF('DADOS BRUTOS'!$A$3:$A$500,$C30,'DADOS BRUTOS'!GG$3:GG$500)))</f>
        <v/>
      </c>
      <c r="JH30" s="123">
        <f>IF(OR(JH$4="",$B30=""),0,SUMIF('DADOS BRUTOS'!$A$3:$A$500,$B30,'DADOS BRUTOS'!GH$3:GH$500)+IF($C30="",0,SUMIF('DADOS BRUTOS'!$A$3:$A$500,$C30,'DADOS BRUTOS'!GH$3:GH$500)))</f>
        <v/>
      </c>
      <c r="JI30" s="123">
        <f>IF(OR(JI$4="",$B30=""),0,SUMIF('DADOS BRUTOS'!$A$3:$A$500,$B30,'DADOS BRUTOS'!GI$3:GI$500)+IF($C30="",0,SUMIF('DADOS BRUTOS'!$A$3:$A$500,$C30,'DADOS BRUTOS'!GI$3:GI$500)))</f>
        <v/>
      </c>
      <c r="JJ30" s="123">
        <f>IF(OR(JJ$4="",$B30=""),0,SUMIF('DADOS BRUTOS'!$A$3:$A$500,$B30,'DADOS BRUTOS'!GJ$3:GJ$500)+IF($C30="",0,SUMIF('DADOS BRUTOS'!$A$3:$A$500,$C30,'DADOS BRUTOS'!GJ$3:GJ$500)))</f>
        <v/>
      </c>
      <c r="JK30" s="123">
        <f>IF(OR(JK$4="",$B30=""),0,SUMIF('DADOS BRUTOS'!$A$3:$A$500,$B30,'DADOS BRUTOS'!GK$3:GK$500)+IF($C30="",0,SUMIF('DADOS BRUTOS'!$A$3:$A$500,$C30,'DADOS BRUTOS'!GK$3:GK$500)))</f>
        <v/>
      </c>
      <c r="JL30" s="123">
        <f>IF(OR(JL$4="",$B30=""),0,SUMIF('DADOS BRUTOS'!$A$3:$A$500,$B30,'DADOS BRUTOS'!GL$3:GL$500)+IF($C30="",0,SUMIF('DADOS BRUTOS'!$A$3:$A$500,$C30,'DADOS BRUTOS'!GL$3:GL$500)))</f>
        <v/>
      </c>
      <c r="JM30" s="123">
        <f>IF(OR(JM$4="",$B30=""),0,SUMIF('DADOS BRUTOS'!$A$3:$A$500,$B30,'DADOS BRUTOS'!GM$3:GM$500)+IF($C30="",0,SUMIF('DADOS BRUTOS'!$A$3:$A$500,$C30,'DADOS BRUTOS'!GM$3:GM$500)))</f>
        <v/>
      </c>
      <c r="JN30" s="123">
        <f>IF(OR(JN$4="",$B30=""),0,SUMIF('DADOS BRUTOS'!$A$3:$A$500,$B30,'DADOS BRUTOS'!GN$3:GN$500)+IF($C30="",0,SUMIF('DADOS BRUTOS'!$A$3:$A$500,$C30,'DADOS BRUTOS'!GN$3:GN$500)))</f>
        <v/>
      </c>
      <c r="JO30" s="123">
        <f>IF(OR(JO$4="",$B30=""),0,SUMIF('DADOS BRUTOS'!$A$3:$A$500,$B30,'DADOS BRUTOS'!GO$3:GO$500)+IF($C30="",0,SUMIF('DADOS BRUTOS'!$A$3:$A$500,$C30,'DADOS BRUTOS'!GO$3:GO$500)))</f>
        <v/>
      </c>
      <c r="JP30" s="123">
        <f>IF(OR(JP$4="",$B30=""),0,SUMIF('DADOS BRUTOS'!$A$3:$A$500,$B30,'DADOS BRUTOS'!GP$3:GP$500)+IF($C30="",0,SUMIF('DADOS BRUTOS'!$A$3:$A$500,$C30,'DADOS BRUTOS'!GP$3:GP$500)))</f>
        <v/>
      </c>
      <c r="JQ30" s="123">
        <f>IF(OR(JQ$4="",$B30=""),0,SUMIF('DADOS BRUTOS'!$A$3:$A$500,$B30,'DADOS BRUTOS'!GQ$3:GQ$500)+IF($C30="",0,SUMIF('DADOS BRUTOS'!$A$3:$A$500,$C30,'DADOS BRUTOS'!GQ$3:GQ$500)))</f>
        <v/>
      </c>
      <c r="JR30" s="123">
        <f>IF(OR(JR$4="",$B30=""),0,SUMIF('DADOS BRUTOS'!$A$3:$A$500,$B30,'DADOS BRUTOS'!GR$3:GR$500)+IF($C30="",0,SUMIF('DADOS BRUTOS'!$A$3:$A$500,$C30,'DADOS BRUTOS'!GR$3:GR$500)))</f>
        <v/>
      </c>
      <c r="JS30" s="123">
        <f>IF(OR(JS$4="",$B30=""),0,SUMIF('DADOS BRUTOS'!$A$3:$A$500,$B30,'DADOS BRUTOS'!GS$3:GS$500)+IF($C30="",0,SUMIF('DADOS BRUTOS'!$A$3:$A$500,$C30,'DADOS BRUTOS'!GS$3:GS$500)))</f>
        <v/>
      </c>
    </row>
    <row r="31">
      <c r="A31" s="61">
        <f>'VALOR POR PL'!D37</f>
        <v/>
      </c>
      <c r="B31" s="60" t="inlineStr">
        <is>
          <t>MARCENARIA</t>
        </is>
      </c>
      <c r="C31" s="60" t="n"/>
      <c r="D31" s="55">
        <f>SUMIF($CB$4:$JS$4,"&lt;="&amp;D$4,$CB31:$JS31)</f>
        <v/>
      </c>
      <c r="E31" s="55">
        <f>SUMIF($CB$4:$JS$4,E$4,$CB31:$JS31)</f>
        <v/>
      </c>
      <c r="F31" s="55">
        <f>SUMIF($CB$4:$JS$4,F$4,$CB31:$JS31)</f>
        <v/>
      </c>
      <c r="G31" s="55">
        <f>SUMIF($CB$4:$JS$4,G$4,$CB31:$JS31)</f>
        <v/>
      </c>
      <c r="H31" s="55">
        <f>SUMIF($CB$4:$JS$4,H$4,$CB31:$JS31)</f>
        <v/>
      </c>
      <c r="I31" s="55">
        <f>SUMIF($CB$4:$JS$4,I$4,$CB31:$JS31)</f>
        <v/>
      </c>
      <c r="J31" s="55">
        <f>SUMIF($CB$4:$JS$4,J$4,$CB31:$JS31)</f>
        <v/>
      </c>
      <c r="K31" s="55">
        <f>SUMIF($CB$4:$JS$4,K$4,$CB31:$JS31)</f>
        <v/>
      </c>
      <c r="L31" s="55">
        <f>SUMIF($CB$4:$JS$4,L$4,$CB31:$JS31)</f>
        <v/>
      </c>
      <c r="M31" s="55">
        <f>SUMIF($CB$4:$JS$4,M$4,$CB31:$JS31)</f>
        <v/>
      </c>
      <c r="N31" s="55">
        <f>SUMIF($CB$4:$JS$4,N$4,$CB31:$JS31)</f>
        <v/>
      </c>
      <c r="O31" s="55">
        <f>SUMIF($CB$4:$JS$4,O$4,$CB31:$JS31)</f>
        <v/>
      </c>
      <c r="P31" s="55">
        <f>SUMIF($CB$4:$JS$4,P$4,$CB31:$JS31)</f>
        <v/>
      </c>
      <c r="Q31" s="55">
        <f>SUMIF($CB$4:$JS$4,Q$4,$CB31:$JS31)</f>
        <v/>
      </c>
      <c r="R31" s="55">
        <f>SUMIF($CB$4:$JS$4,R$4,$CB31:$JS31)</f>
        <v/>
      </c>
      <c r="S31" s="55">
        <f>SUMIF($CB$4:$JS$4,S$4,$CB31:$JS31)</f>
        <v/>
      </c>
      <c r="T31" s="55">
        <f>SUMIF($CB$4:$JS$4,T$4,$CB31:$JS31)</f>
        <v/>
      </c>
      <c r="U31" s="55">
        <f>SUMIF($CB$4:$JS$4,U$4,$CB31:$JS31)</f>
        <v/>
      </c>
      <c r="V31" s="55">
        <f>SUMIF($CB$4:$JS$4,V$4,$CB31:$JS31)</f>
        <v/>
      </c>
      <c r="W31" s="55">
        <f>SUMIF($CB$4:$JS$4,W$4,$CB31:$JS31)</f>
        <v/>
      </c>
      <c r="X31" s="55">
        <f>SUMIF($CB$4:$JS$4,X$4,$CB31:$JS31)</f>
        <v/>
      </c>
      <c r="Y31" s="55">
        <f>SUMIF($CB$4:$JS$4,Y$4,$CB31:$JS31)</f>
        <v/>
      </c>
      <c r="Z31" s="55">
        <f>SUMIF($CB$4:$JS$4,Z$4,$CB31:$JS31)</f>
        <v/>
      </c>
      <c r="AA31" s="55">
        <f>SUMIF($CB$4:$JS$4,AA$4,$CB31:$JS31)</f>
        <v/>
      </c>
      <c r="AB31" s="55">
        <f>SUMIF($CB$4:$JS$4,AB$4,$CB31:$JS31)</f>
        <v/>
      </c>
      <c r="AC31" s="55">
        <f>SUMIF($CB$4:$JS$4,AC$4,$CB31:$JS31)</f>
        <v/>
      </c>
      <c r="AD31" s="55">
        <f>SUMIF($CB$4:$JS$4,AD$4,$CB31:$JS31)</f>
        <v/>
      </c>
      <c r="AE31" s="55">
        <f>SUMIF($CB$4:$JS$4,AE$4,$CB31:$JS31)</f>
        <v/>
      </c>
      <c r="AF31" s="55">
        <f>SUMIF($CB$4:$JS$4,AF$4,$CB31:$JS31)</f>
        <v/>
      </c>
      <c r="AG31" s="55">
        <f>SUMIF($CB$4:$JS$4,AG$4,$CB31:$JS31)</f>
        <v/>
      </c>
      <c r="AH31" s="55">
        <f>SUMIF($CB$4:$JS$4,AH$4,$CB31:$JS31)</f>
        <v/>
      </c>
      <c r="AI31" s="55">
        <f>SUMIF($CB$4:$JS$4,AI$4,$CB31:$JS31)</f>
        <v/>
      </c>
      <c r="AJ31" s="55">
        <f>SUMIF($CB$4:$JS$4,AJ$4,$CB31:$JS31)</f>
        <v/>
      </c>
      <c r="AK31" s="55">
        <f>SUMIF($CB$4:$JS$4,AK$4,$CB31:$JS31)</f>
        <v/>
      </c>
      <c r="AL31" s="55">
        <f>SUMIF($CB$4:$JS$4,AL$4,$CB31:$JS31)</f>
        <v/>
      </c>
      <c r="AM31" s="55">
        <f>SUMIF($CB$4:$JS$4,AM$4,$CB31:$JS31)</f>
        <v/>
      </c>
      <c r="AN31" s="55">
        <f>SUMIF($CB$4:$JS$4,AN$4,$CB31:$JS31)</f>
        <v/>
      </c>
      <c r="AO31" s="55">
        <f>SUMIF($CB$4:$JS$4,AO$4,$CB31:$JS31)</f>
        <v/>
      </c>
      <c r="AP31" s="55">
        <f>SUMIF($CB$4:$JS$4,AP$4,$CB31:$JS31)</f>
        <v/>
      </c>
      <c r="AQ31" s="55">
        <f>SUMIF($CB$4:$JS$4,AQ$4,$CB31:$JS31)</f>
        <v/>
      </c>
      <c r="AR31" s="55">
        <f>SUMIF($CB$4:$JS$4,AR$4,$CB31:$JS31)</f>
        <v/>
      </c>
      <c r="AS31" s="55">
        <f>SUMIF($CB$4:$JS$4,AS$4,$CB31:$JS31)</f>
        <v/>
      </c>
      <c r="AT31" s="55">
        <f>SUMIF($CB$4:$JS$4,AT$4,$CB31:$JS31)</f>
        <v/>
      </c>
      <c r="AU31" s="55">
        <f>SUMIF($CB$4:$JS$4,AU$4,$CB31:$JS31)</f>
        <v/>
      </c>
      <c r="AV31" s="55">
        <f>SUMIF($CB$4:$JS$4,AV$4,$CB31:$JS31)</f>
        <v/>
      </c>
      <c r="AW31" s="55">
        <f>SUMIF($CB$4:$JS$4,AW$4,$CB31:$JS31)</f>
        <v/>
      </c>
      <c r="AX31" s="55">
        <f>SUMIF($CB$4:$JS$4,AX$4,$CB31:$JS31)</f>
        <v/>
      </c>
      <c r="AY31" s="55">
        <f>SUMIF($CB$4:$JS$4,AY$4,$CB31:$JS31)</f>
        <v/>
      </c>
      <c r="AZ31" s="55">
        <f>SUMIF($CB$4:$JS$4,AZ$4,$CB31:$JS31)</f>
        <v/>
      </c>
      <c r="BA31" s="55">
        <f>SUMIF($CB$4:$JS$4,BA$4,$CB31:$JS31)</f>
        <v/>
      </c>
      <c r="BB31" s="55">
        <f>SUMIF($CB$4:$JS$4,BB$4,$CB31:$JS31)</f>
        <v/>
      </c>
      <c r="BC31" s="55">
        <f>SUMIF($CB$4:$JS$4,BC$4,$CB31:$JS31)</f>
        <v/>
      </c>
      <c r="BD31" s="55">
        <f>SUMIF($CB$4:$JS$4,BD$4,$CB31:$JS31)</f>
        <v/>
      </c>
      <c r="BE31" s="55">
        <f>SUMIF($CB$4:$JS$4,BE$4,$CB31:$JS31)</f>
        <v/>
      </c>
      <c r="BF31" s="55">
        <f>SUMIF($CB$4:$JS$4,BF$4,$CB31:$JS31)</f>
        <v/>
      </c>
      <c r="BG31" s="55">
        <f>SUMIF($CB$4:$JS$4,BG$4,$CB31:$JS31)</f>
        <v/>
      </c>
      <c r="BH31" s="55">
        <f>SUMIF($CB$4:$JS$4,BH$4,$CB31:$JS31)</f>
        <v/>
      </c>
      <c r="BI31" s="55">
        <f>SUMIF($CB$4:$JS$4,BI$4,$CB31:$JS31)</f>
        <v/>
      </c>
      <c r="BJ31" s="55">
        <f>SUMIF($CB$4:$JS$4,BJ$4,$CB31:$JS31)</f>
        <v/>
      </c>
      <c r="BK31" s="55">
        <f>SUMIF($CB$4:$JS$4,BK$4,$CB31:$JS31)</f>
        <v/>
      </c>
      <c r="BL31" s="55">
        <f>SUMIF($CB$4:$JS$4,BL$4,$CB31:$JS31)</f>
        <v/>
      </c>
      <c r="BM31" s="55">
        <f>SUMIF($CB$4:$JS$4,BM$4,$CB31:$JS31)</f>
        <v/>
      </c>
      <c r="BN31" s="55">
        <f>SUMIF($CB$4:$JS$4,BN$4,$CB31:$JS31)</f>
        <v/>
      </c>
      <c r="BO31" s="55">
        <f>SUMIF($CB$4:$JS$4,BO$4,$CB31:$JS31)</f>
        <v/>
      </c>
      <c r="BP31" s="55">
        <f>SUMIF($CB$4:$JS$4,BP$4,$CB31:$JS31)</f>
        <v/>
      </c>
      <c r="BQ31" s="55">
        <f>SUMIF($CB$4:$JS$4,BQ$4,$CB31:$JS31)</f>
        <v/>
      </c>
      <c r="BR31" s="55">
        <f>SUMIF($CB$4:$JS$4,BR$4,$CB31:$JS31)</f>
        <v/>
      </c>
      <c r="BS31" s="55">
        <f>SUMIF($CB$4:$JS$4,BS$4,$CB31:$JS31)</f>
        <v/>
      </c>
      <c r="BT31" s="55">
        <f>SUMIF($CB$4:$JS$4,BT$4,$CB31:$JS31)</f>
        <v/>
      </c>
      <c r="BU31" s="55">
        <f>SUMIF($CB$4:$JS$4,BU$4,$CB31:$JS31)</f>
        <v/>
      </c>
      <c r="BV31" s="55">
        <f>SUMIF($CB$4:$JS$4,BV$4,$CB31:$JS31)</f>
        <v/>
      </c>
      <c r="BW31" s="55">
        <f>SUMIF($CB$4:$JS$4,BW$4,$CB31:$JS31)</f>
        <v/>
      </c>
      <c r="BX31" s="55">
        <f>SUMIF($CB$4:$JS$4,"&gt;"&amp;'VALOR POR PL'!$P$8,$CB31:$JS31)</f>
        <v/>
      </c>
      <c r="BY31" s="55">
        <f>SUM($CB31:$JS31)</f>
        <v/>
      </c>
      <c r="CB31" s="123">
        <f>IF(OR(CB$4="",$B31=""),0,SUMIF('DADOS BRUTOS'!$A$3:$A$500,$B31,'DADOS BRUTOS'!B$3:B$500)+IF($C31="",0,SUMIF('DADOS BRUTOS'!$A$3:$A$500,$C31,'DADOS BRUTOS'!B$3:B$500)))</f>
        <v/>
      </c>
      <c r="CC31" s="123">
        <f>IF(OR(CC$4="",$B31=""),0,SUMIF('DADOS BRUTOS'!$A$3:$A$500,$B31,'DADOS BRUTOS'!C$3:C$500)+IF($C31="",0,SUMIF('DADOS BRUTOS'!$A$3:$A$500,$C31,'DADOS BRUTOS'!C$3:C$500)))</f>
        <v/>
      </c>
      <c r="CD31" s="123">
        <f>IF(OR(CD$4="",$B31=""),0,SUMIF('DADOS BRUTOS'!$A$3:$A$500,$B31,'DADOS BRUTOS'!D$3:D$500)+IF($C31="",0,SUMIF('DADOS BRUTOS'!$A$3:$A$500,$C31,'DADOS BRUTOS'!D$3:D$500)))</f>
        <v/>
      </c>
      <c r="CE31" s="123">
        <f>IF(OR(CE$4="",$B31=""),0,SUMIF('DADOS BRUTOS'!$A$3:$A$500,$B31,'DADOS BRUTOS'!E$3:E$500)+IF($C31="",0,SUMIF('DADOS BRUTOS'!$A$3:$A$500,$C31,'DADOS BRUTOS'!E$3:E$500)))</f>
        <v/>
      </c>
      <c r="CF31" s="123">
        <f>IF(OR(CF$4="",$B31=""),0,SUMIF('DADOS BRUTOS'!$A$3:$A$500,$B31,'DADOS BRUTOS'!F$3:F$500)+IF($C31="",0,SUMIF('DADOS BRUTOS'!$A$3:$A$500,$C31,'DADOS BRUTOS'!F$3:F$500)))</f>
        <v/>
      </c>
      <c r="CG31" s="123">
        <f>IF(OR(CG$4="",$B31=""),0,SUMIF('DADOS BRUTOS'!$A$3:$A$500,$B31,'DADOS BRUTOS'!G$3:G$500)+IF($C31="",0,SUMIF('DADOS BRUTOS'!$A$3:$A$500,$C31,'DADOS BRUTOS'!G$3:G$500)))</f>
        <v/>
      </c>
      <c r="CH31" s="123">
        <f>IF(OR(CH$4="",$B31=""),0,SUMIF('DADOS BRUTOS'!$A$3:$A$500,$B31,'DADOS BRUTOS'!H$3:H$500)+IF($C31="",0,SUMIF('DADOS BRUTOS'!$A$3:$A$500,$C31,'DADOS BRUTOS'!H$3:H$500)))</f>
        <v/>
      </c>
      <c r="CI31" s="123">
        <f>IF(OR(CI$4="",$B31=""),0,SUMIF('DADOS BRUTOS'!$A$3:$A$500,$B31,'DADOS BRUTOS'!I$3:I$500)+IF($C31="",0,SUMIF('DADOS BRUTOS'!$A$3:$A$500,$C31,'DADOS BRUTOS'!I$3:I$500)))</f>
        <v/>
      </c>
      <c r="CJ31" s="123">
        <f>IF(OR(CJ$4="",$B31=""),0,SUMIF('DADOS BRUTOS'!$A$3:$A$500,$B31,'DADOS BRUTOS'!J$3:J$500)+IF($C31="",0,SUMIF('DADOS BRUTOS'!$A$3:$A$500,$C31,'DADOS BRUTOS'!J$3:J$500)))</f>
        <v/>
      </c>
      <c r="CK31" s="123">
        <f>IF(OR(CK$4="",$B31=""),0,SUMIF('DADOS BRUTOS'!$A$3:$A$500,$B31,'DADOS BRUTOS'!K$3:K$500)+IF($C31="",0,SUMIF('DADOS BRUTOS'!$A$3:$A$500,$C31,'DADOS BRUTOS'!K$3:K$500)))</f>
        <v/>
      </c>
      <c r="CL31" s="123">
        <f>IF(OR(CL$4="",$B31=""),0,SUMIF('DADOS BRUTOS'!$A$3:$A$500,$B31,'DADOS BRUTOS'!L$3:L$500)+IF($C31="",0,SUMIF('DADOS BRUTOS'!$A$3:$A$500,$C31,'DADOS BRUTOS'!L$3:L$500)))</f>
        <v/>
      </c>
      <c r="CM31" s="123">
        <f>IF(OR(CM$4="",$B31=""),0,SUMIF('DADOS BRUTOS'!$A$3:$A$500,$B31,'DADOS BRUTOS'!M$3:M$500)+IF($C31="",0,SUMIF('DADOS BRUTOS'!$A$3:$A$500,$C31,'DADOS BRUTOS'!M$3:M$500)))</f>
        <v/>
      </c>
      <c r="CN31" s="123">
        <f>IF(OR(CN$4="",$B31=""),0,SUMIF('DADOS BRUTOS'!$A$3:$A$500,$B31,'DADOS BRUTOS'!N$3:N$500)+IF($C31="",0,SUMIF('DADOS BRUTOS'!$A$3:$A$500,$C31,'DADOS BRUTOS'!N$3:N$500)))</f>
        <v/>
      </c>
      <c r="CO31" s="123">
        <f>IF(OR(CO$4="",$B31=""),0,SUMIF('DADOS BRUTOS'!$A$3:$A$500,$B31,'DADOS BRUTOS'!O$3:O$500)+IF($C31="",0,SUMIF('DADOS BRUTOS'!$A$3:$A$500,$C31,'DADOS BRUTOS'!O$3:O$500)))</f>
        <v/>
      </c>
      <c r="CP31" s="123">
        <f>IF(OR(CP$4="",$B31=""),0,SUMIF('DADOS BRUTOS'!$A$3:$A$500,$B31,'DADOS BRUTOS'!P$3:P$500)+IF($C31="",0,SUMIF('DADOS BRUTOS'!$A$3:$A$500,$C31,'DADOS BRUTOS'!P$3:P$500)))</f>
        <v/>
      </c>
      <c r="CQ31" s="123">
        <f>IF(OR(CQ$4="",$B31=""),0,SUMIF('DADOS BRUTOS'!$A$3:$A$500,$B31,'DADOS BRUTOS'!Q$3:Q$500)+IF($C31="",0,SUMIF('DADOS BRUTOS'!$A$3:$A$500,$C31,'DADOS BRUTOS'!Q$3:Q$500)))</f>
        <v/>
      </c>
      <c r="CR31" s="123">
        <f>IF(OR(CR$4="",$B31=""),0,SUMIF('DADOS BRUTOS'!$A$3:$A$500,$B31,'DADOS BRUTOS'!R$3:R$500)+IF($C31="",0,SUMIF('DADOS BRUTOS'!$A$3:$A$500,$C31,'DADOS BRUTOS'!R$3:R$500)))</f>
        <v/>
      </c>
      <c r="CS31" s="123">
        <f>IF(OR(CS$4="",$B31=""),0,SUMIF('DADOS BRUTOS'!$A$3:$A$500,$B31,'DADOS BRUTOS'!S$3:S$500)+IF($C31="",0,SUMIF('DADOS BRUTOS'!$A$3:$A$500,$C31,'DADOS BRUTOS'!S$3:S$500)))</f>
        <v/>
      </c>
      <c r="CT31" s="123">
        <f>IF(OR(CT$4="",$B31=""),0,SUMIF('DADOS BRUTOS'!$A$3:$A$500,$B31,'DADOS BRUTOS'!T$3:T$500)+IF($C31="",0,SUMIF('DADOS BRUTOS'!$A$3:$A$500,$C31,'DADOS BRUTOS'!T$3:T$500)))</f>
        <v/>
      </c>
      <c r="CU31" s="123">
        <f>IF(OR(CU$4="",$B31=""),0,SUMIF('DADOS BRUTOS'!$A$3:$A$500,$B31,'DADOS BRUTOS'!U$3:U$500)+IF($C31="",0,SUMIF('DADOS BRUTOS'!$A$3:$A$500,$C31,'DADOS BRUTOS'!U$3:U$500)))</f>
        <v/>
      </c>
      <c r="CV31" s="123">
        <f>IF(OR(CV$4="",$B31=""),0,SUMIF('DADOS BRUTOS'!$A$3:$A$500,$B31,'DADOS BRUTOS'!V$3:V$500)+IF($C31="",0,SUMIF('DADOS BRUTOS'!$A$3:$A$500,$C31,'DADOS BRUTOS'!V$3:V$500)))</f>
        <v/>
      </c>
      <c r="CW31" s="123">
        <f>IF(OR(CW$4="",$B31=""),0,SUMIF('DADOS BRUTOS'!$A$3:$A$500,$B31,'DADOS BRUTOS'!W$3:W$500)+IF($C31="",0,SUMIF('DADOS BRUTOS'!$A$3:$A$500,$C31,'DADOS BRUTOS'!W$3:W$500)))</f>
        <v/>
      </c>
      <c r="CX31" s="123">
        <f>IF(OR(CX$4="",$B31=""),0,SUMIF('DADOS BRUTOS'!$A$3:$A$500,$B31,'DADOS BRUTOS'!X$3:X$500)+IF($C31="",0,SUMIF('DADOS BRUTOS'!$A$3:$A$500,$C31,'DADOS BRUTOS'!X$3:X$500)))</f>
        <v/>
      </c>
      <c r="CY31" s="123">
        <f>IF(OR(CY$4="",$B31=""),0,SUMIF('DADOS BRUTOS'!$A$3:$A$500,$B31,'DADOS BRUTOS'!Y$3:Y$500)+IF($C31="",0,SUMIF('DADOS BRUTOS'!$A$3:$A$500,$C31,'DADOS BRUTOS'!Y$3:Y$500)))</f>
        <v/>
      </c>
      <c r="CZ31" s="123">
        <f>IF(OR(CZ$4="",$B31=""),0,SUMIF('DADOS BRUTOS'!$A$3:$A$500,$B31,'DADOS BRUTOS'!Z$3:Z$500)+IF($C31="",0,SUMIF('DADOS BRUTOS'!$A$3:$A$500,$C31,'DADOS BRUTOS'!Z$3:Z$500)))</f>
        <v/>
      </c>
      <c r="DA31" s="123">
        <f>IF(OR(DA$4="",$B31=""),0,SUMIF('DADOS BRUTOS'!$A$3:$A$500,$B31,'DADOS BRUTOS'!AA$3:AA$500)+IF($C31="",0,SUMIF('DADOS BRUTOS'!$A$3:$A$500,$C31,'DADOS BRUTOS'!AA$3:AA$500)))</f>
        <v/>
      </c>
      <c r="DB31" s="123">
        <f>IF(OR(DB$4="",$B31=""),0,SUMIF('DADOS BRUTOS'!$A$3:$A$500,$B31,'DADOS BRUTOS'!AB$3:AB$500)+IF($C31="",0,SUMIF('DADOS BRUTOS'!$A$3:$A$500,$C31,'DADOS BRUTOS'!AB$3:AB$500)))</f>
        <v/>
      </c>
      <c r="DC31" s="123">
        <f>IF(OR(DC$4="",$B31=""),0,SUMIF('DADOS BRUTOS'!$A$3:$A$500,$B31,'DADOS BRUTOS'!AC$3:AC$500)+IF($C31="",0,SUMIF('DADOS BRUTOS'!$A$3:$A$500,$C31,'DADOS BRUTOS'!AC$3:AC$500)))</f>
        <v/>
      </c>
      <c r="DD31" s="123">
        <f>IF(OR(DD$4="",$B31=""),0,SUMIF('DADOS BRUTOS'!$A$3:$A$500,$B31,'DADOS BRUTOS'!AD$3:AD$500)+IF($C31="",0,SUMIF('DADOS BRUTOS'!$A$3:$A$500,$C31,'DADOS BRUTOS'!AD$3:AD$500)))</f>
        <v/>
      </c>
      <c r="DE31" s="123">
        <f>IF(OR(DE$4="",$B31=""),0,SUMIF('DADOS BRUTOS'!$A$3:$A$500,$B31,'DADOS BRUTOS'!AE$3:AE$500)+IF($C31="",0,SUMIF('DADOS BRUTOS'!$A$3:$A$500,$C31,'DADOS BRUTOS'!AE$3:AE$500)))</f>
        <v/>
      </c>
      <c r="DF31" s="123">
        <f>IF(OR(DF$4="",$B31=""),0,SUMIF('DADOS BRUTOS'!$A$3:$A$500,$B31,'DADOS BRUTOS'!AF$3:AF$500)+IF($C31="",0,SUMIF('DADOS BRUTOS'!$A$3:$A$500,$C31,'DADOS BRUTOS'!AF$3:AF$500)))</f>
        <v/>
      </c>
      <c r="DG31" s="123">
        <f>IF(OR(DG$4="",$B31=""),0,SUMIF('DADOS BRUTOS'!$A$3:$A$500,$B31,'DADOS BRUTOS'!AG$3:AG$500)+IF($C31="",0,SUMIF('DADOS BRUTOS'!$A$3:$A$500,$C31,'DADOS BRUTOS'!AG$3:AG$500)))</f>
        <v/>
      </c>
      <c r="DH31" s="123">
        <f>IF(OR(DH$4="",$B31=""),0,SUMIF('DADOS BRUTOS'!$A$3:$A$500,$B31,'DADOS BRUTOS'!AH$3:AH$500)+IF($C31="",0,SUMIF('DADOS BRUTOS'!$A$3:$A$500,$C31,'DADOS BRUTOS'!AH$3:AH$500)))</f>
        <v/>
      </c>
      <c r="DI31" s="123">
        <f>IF(OR(DI$4="",$B31=""),0,SUMIF('DADOS BRUTOS'!$A$3:$A$500,$B31,'DADOS BRUTOS'!AI$3:AI$500)+IF($C31="",0,SUMIF('DADOS BRUTOS'!$A$3:$A$500,$C31,'DADOS BRUTOS'!AI$3:AI$500)))</f>
        <v/>
      </c>
      <c r="DJ31" s="123">
        <f>IF(OR(DJ$4="",$B31=""),0,SUMIF('DADOS BRUTOS'!$A$3:$A$500,$B31,'DADOS BRUTOS'!AJ$3:AJ$500)+IF($C31="",0,SUMIF('DADOS BRUTOS'!$A$3:$A$500,$C31,'DADOS BRUTOS'!AJ$3:AJ$500)))</f>
        <v/>
      </c>
      <c r="DK31" s="123">
        <f>IF(OR(DK$4="",$B31=""),0,SUMIF('DADOS BRUTOS'!$A$3:$A$500,$B31,'DADOS BRUTOS'!AK$3:AK$500)+IF($C31="",0,SUMIF('DADOS BRUTOS'!$A$3:$A$500,$C31,'DADOS BRUTOS'!AK$3:AK$500)))</f>
        <v/>
      </c>
      <c r="DL31" s="123">
        <f>IF(OR(DL$4="",$B31=""),0,SUMIF('DADOS BRUTOS'!$A$3:$A$500,$B31,'DADOS BRUTOS'!AL$3:AL$500)+IF($C31="",0,SUMIF('DADOS BRUTOS'!$A$3:$A$500,$C31,'DADOS BRUTOS'!AL$3:AL$500)))</f>
        <v/>
      </c>
      <c r="DM31" s="123">
        <f>IF(OR(DM$4="",$B31=""),0,SUMIF('DADOS BRUTOS'!$A$3:$A$500,$B31,'DADOS BRUTOS'!AM$3:AM$500)+IF($C31="",0,SUMIF('DADOS BRUTOS'!$A$3:$A$500,$C31,'DADOS BRUTOS'!AM$3:AM$500)))</f>
        <v/>
      </c>
      <c r="DN31" s="123">
        <f>IF(OR(DN$4="",$B31=""),0,SUMIF('DADOS BRUTOS'!$A$3:$A$500,$B31,'DADOS BRUTOS'!AN$3:AN$500)+IF($C31="",0,SUMIF('DADOS BRUTOS'!$A$3:$A$500,$C31,'DADOS BRUTOS'!AN$3:AN$500)))</f>
        <v/>
      </c>
      <c r="DO31" s="123">
        <f>IF(OR(DO$4="",$B31=""),0,SUMIF('DADOS BRUTOS'!$A$3:$A$500,$B31,'DADOS BRUTOS'!AO$3:AO$500)+IF($C31="",0,SUMIF('DADOS BRUTOS'!$A$3:$A$500,$C31,'DADOS BRUTOS'!AO$3:AO$500)))</f>
        <v/>
      </c>
      <c r="DP31" s="123">
        <f>IF(OR(DP$4="",$B31=""),0,SUMIF('DADOS BRUTOS'!$A$3:$A$500,$B31,'DADOS BRUTOS'!AP$3:AP$500)+IF($C31="",0,SUMIF('DADOS BRUTOS'!$A$3:$A$500,$C31,'DADOS BRUTOS'!AP$3:AP$500)))</f>
        <v/>
      </c>
      <c r="DQ31" s="123">
        <f>IF(OR(DQ$4="",$B31=""),0,SUMIF('DADOS BRUTOS'!$A$3:$A$500,$B31,'DADOS BRUTOS'!AQ$3:AQ$500)+IF($C31="",0,SUMIF('DADOS BRUTOS'!$A$3:$A$500,$C31,'DADOS BRUTOS'!AQ$3:AQ$500)))</f>
        <v/>
      </c>
      <c r="DR31" s="123">
        <f>IF(OR(DR$4="",$B31=""),0,SUMIF('DADOS BRUTOS'!$A$3:$A$500,$B31,'DADOS BRUTOS'!AR$3:AR$500)+IF($C31="",0,SUMIF('DADOS BRUTOS'!$A$3:$A$500,$C31,'DADOS BRUTOS'!AR$3:AR$500)))</f>
        <v/>
      </c>
      <c r="DS31" s="123">
        <f>IF(OR(DS$4="",$B31=""),0,SUMIF('DADOS BRUTOS'!$A$3:$A$500,$B31,'DADOS BRUTOS'!AS$3:AS$500)+IF($C31="",0,SUMIF('DADOS BRUTOS'!$A$3:$A$500,$C31,'DADOS BRUTOS'!AS$3:AS$500)))</f>
        <v/>
      </c>
      <c r="DT31" s="123">
        <f>IF(OR(DT$4="",$B31=""),0,SUMIF('DADOS BRUTOS'!$A$3:$A$500,$B31,'DADOS BRUTOS'!AT$3:AT$500)+IF($C31="",0,SUMIF('DADOS BRUTOS'!$A$3:$A$500,$C31,'DADOS BRUTOS'!AT$3:AT$500)))</f>
        <v/>
      </c>
      <c r="DU31" s="123">
        <f>IF(OR(DU$4="",$B31=""),0,SUMIF('DADOS BRUTOS'!$A$3:$A$500,$B31,'DADOS BRUTOS'!AU$3:AU$500)+IF($C31="",0,SUMIF('DADOS BRUTOS'!$A$3:$A$500,$C31,'DADOS BRUTOS'!AU$3:AU$500)))</f>
        <v/>
      </c>
      <c r="DV31" s="123">
        <f>IF(OR(DV$4="",$B31=""),0,SUMIF('DADOS BRUTOS'!$A$3:$A$500,$B31,'DADOS BRUTOS'!AV$3:AV$500)+IF($C31="",0,SUMIF('DADOS BRUTOS'!$A$3:$A$500,$C31,'DADOS BRUTOS'!AV$3:AV$500)))</f>
        <v/>
      </c>
      <c r="DW31" s="123">
        <f>IF(OR(DW$4="",$B31=""),0,SUMIF('DADOS BRUTOS'!$A$3:$A$500,$B31,'DADOS BRUTOS'!AW$3:AW$500)+IF($C31="",0,SUMIF('DADOS BRUTOS'!$A$3:$A$500,$C31,'DADOS BRUTOS'!AW$3:AW$500)))</f>
        <v/>
      </c>
      <c r="DX31" s="123">
        <f>IF(OR(DX$4="",$B31=""),0,SUMIF('DADOS BRUTOS'!$A$3:$A$500,$B31,'DADOS BRUTOS'!AX$3:AX$500)+IF($C31="",0,SUMIF('DADOS BRUTOS'!$A$3:$A$500,$C31,'DADOS BRUTOS'!AX$3:AX$500)))</f>
        <v/>
      </c>
      <c r="DY31" s="123">
        <f>IF(OR(DY$4="",$B31=""),0,SUMIF('DADOS BRUTOS'!$A$3:$A$500,$B31,'DADOS BRUTOS'!AY$3:AY$500)+IF($C31="",0,SUMIF('DADOS BRUTOS'!$A$3:$A$500,$C31,'DADOS BRUTOS'!AY$3:AY$500)))</f>
        <v/>
      </c>
      <c r="DZ31" s="123">
        <f>IF(OR(DZ$4="",$B31=""),0,SUMIF('DADOS BRUTOS'!$A$3:$A$500,$B31,'DADOS BRUTOS'!AZ$3:AZ$500)+IF($C31="",0,SUMIF('DADOS BRUTOS'!$A$3:$A$500,$C31,'DADOS BRUTOS'!AZ$3:AZ$500)))</f>
        <v/>
      </c>
      <c r="EA31" s="123">
        <f>IF(OR(EA$4="",$B31=""),0,SUMIF('DADOS BRUTOS'!$A$3:$A$500,$B31,'DADOS BRUTOS'!BA$3:BA$500)+IF($C31="",0,SUMIF('DADOS BRUTOS'!$A$3:$A$500,$C31,'DADOS BRUTOS'!BA$3:BA$500)))</f>
        <v/>
      </c>
      <c r="EB31" s="123">
        <f>IF(OR(EB$4="",$B31=""),0,SUMIF('DADOS BRUTOS'!$A$3:$A$500,$B31,'DADOS BRUTOS'!BB$3:BB$500)+IF($C31="",0,SUMIF('DADOS BRUTOS'!$A$3:$A$500,$C31,'DADOS BRUTOS'!BB$3:BB$500)))</f>
        <v/>
      </c>
      <c r="EC31" s="123">
        <f>IF(OR(EC$4="",$B31=""),0,SUMIF('DADOS BRUTOS'!$A$3:$A$500,$B31,'DADOS BRUTOS'!BC$3:BC$500)+IF($C31="",0,SUMIF('DADOS BRUTOS'!$A$3:$A$500,$C31,'DADOS BRUTOS'!BC$3:BC$500)))</f>
        <v/>
      </c>
      <c r="ED31" s="123">
        <f>IF(OR(ED$4="",$B31=""),0,SUMIF('DADOS BRUTOS'!$A$3:$A$500,$B31,'DADOS BRUTOS'!BD$3:BD$500)+IF($C31="",0,SUMIF('DADOS BRUTOS'!$A$3:$A$500,$C31,'DADOS BRUTOS'!BD$3:BD$500)))</f>
        <v/>
      </c>
      <c r="EE31" s="123">
        <f>IF(OR(EE$4="",$B31=""),0,SUMIF('DADOS BRUTOS'!$A$3:$A$500,$B31,'DADOS BRUTOS'!BE$3:BE$500)+IF($C31="",0,SUMIF('DADOS BRUTOS'!$A$3:$A$500,$C31,'DADOS BRUTOS'!BE$3:BE$500)))</f>
        <v/>
      </c>
      <c r="EF31" s="123">
        <f>IF(OR(EF$4="",$B31=""),0,SUMIF('DADOS BRUTOS'!$A$3:$A$500,$B31,'DADOS BRUTOS'!BF$3:BF$500)+IF($C31="",0,SUMIF('DADOS BRUTOS'!$A$3:$A$500,$C31,'DADOS BRUTOS'!BF$3:BF$500)))</f>
        <v/>
      </c>
      <c r="EG31" s="123">
        <f>IF(OR(EG$4="",$B31=""),0,SUMIF('DADOS BRUTOS'!$A$3:$A$500,$B31,'DADOS BRUTOS'!BG$3:BG$500)+IF($C31="",0,SUMIF('DADOS BRUTOS'!$A$3:$A$500,$C31,'DADOS BRUTOS'!BG$3:BG$500)))</f>
        <v/>
      </c>
      <c r="EH31" s="123">
        <f>IF(OR(EH$4="",$B31=""),0,SUMIF('DADOS BRUTOS'!$A$3:$A$500,$B31,'DADOS BRUTOS'!BH$3:BH$500)+IF($C31="",0,SUMIF('DADOS BRUTOS'!$A$3:$A$500,$C31,'DADOS BRUTOS'!BH$3:BH$500)))</f>
        <v/>
      </c>
      <c r="EI31" s="123">
        <f>IF(OR(EI$4="",$B31=""),0,SUMIF('DADOS BRUTOS'!$A$3:$A$500,$B31,'DADOS BRUTOS'!BI$3:BI$500)+IF($C31="",0,SUMIF('DADOS BRUTOS'!$A$3:$A$500,$C31,'DADOS BRUTOS'!BI$3:BI$500)))</f>
        <v/>
      </c>
      <c r="EJ31" s="123">
        <f>IF(OR(EJ$4="",$B31=""),0,SUMIF('DADOS BRUTOS'!$A$3:$A$500,$B31,'DADOS BRUTOS'!BJ$3:BJ$500)+IF($C31="",0,SUMIF('DADOS BRUTOS'!$A$3:$A$500,$C31,'DADOS BRUTOS'!BJ$3:BJ$500)))</f>
        <v/>
      </c>
      <c r="EK31" s="123">
        <f>IF(OR(EK$4="",$B31=""),0,SUMIF('DADOS BRUTOS'!$A$3:$A$500,$B31,'DADOS BRUTOS'!BK$3:BK$500)+IF($C31="",0,SUMIF('DADOS BRUTOS'!$A$3:$A$500,$C31,'DADOS BRUTOS'!BK$3:BK$500)))</f>
        <v/>
      </c>
      <c r="EL31" s="123">
        <f>IF(OR(EL$4="",$B31=""),0,SUMIF('DADOS BRUTOS'!$A$3:$A$500,$B31,'DADOS BRUTOS'!BL$3:BL$500)+IF($C31="",0,SUMIF('DADOS BRUTOS'!$A$3:$A$500,$C31,'DADOS BRUTOS'!BL$3:BL$500)))</f>
        <v/>
      </c>
      <c r="EM31" s="123">
        <f>IF(OR(EM$4="",$B31=""),0,SUMIF('DADOS BRUTOS'!$A$3:$A$500,$B31,'DADOS BRUTOS'!BM$3:BM$500)+IF($C31="",0,SUMIF('DADOS BRUTOS'!$A$3:$A$500,$C31,'DADOS BRUTOS'!BM$3:BM$500)))</f>
        <v/>
      </c>
      <c r="EN31" s="123">
        <f>IF(OR(EN$4="",$B31=""),0,SUMIF('DADOS BRUTOS'!$A$3:$A$500,$B31,'DADOS BRUTOS'!BN$3:BN$500)+IF($C31="",0,SUMIF('DADOS BRUTOS'!$A$3:$A$500,$C31,'DADOS BRUTOS'!BN$3:BN$500)))</f>
        <v/>
      </c>
      <c r="EO31" s="123">
        <f>IF(OR(EO$4="",$B31=""),0,SUMIF('DADOS BRUTOS'!$A$3:$A$500,$B31,'DADOS BRUTOS'!BO$3:BO$500)+IF($C31="",0,SUMIF('DADOS BRUTOS'!$A$3:$A$500,$C31,'DADOS BRUTOS'!BO$3:BO$500)))</f>
        <v/>
      </c>
      <c r="EP31" s="123">
        <f>IF(OR(EP$4="",$B31=""),0,SUMIF('DADOS BRUTOS'!$A$3:$A$500,$B31,'DADOS BRUTOS'!BP$3:BP$500)+IF($C31="",0,SUMIF('DADOS BRUTOS'!$A$3:$A$500,$C31,'DADOS BRUTOS'!BP$3:BP$500)))</f>
        <v/>
      </c>
      <c r="EQ31" s="123">
        <f>IF(OR(EQ$4="",$B31=""),0,SUMIF('DADOS BRUTOS'!$A$3:$A$500,$B31,'DADOS BRUTOS'!BQ$3:BQ$500)+IF($C31="",0,SUMIF('DADOS BRUTOS'!$A$3:$A$500,$C31,'DADOS BRUTOS'!BQ$3:BQ$500)))</f>
        <v/>
      </c>
      <c r="ER31" s="123">
        <f>IF(OR(ER$4="",$B31=""),0,SUMIF('DADOS BRUTOS'!$A$3:$A$500,$B31,'DADOS BRUTOS'!BR$3:BR$500)+IF($C31="",0,SUMIF('DADOS BRUTOS'!$A$3:$A$500,$C31,'DADOS BRUTOS'!BR$3:BR$500)))</f>
        <v/>
      </c>
      <c r="ES31" s="123">
        <f>IF(OR(ES$4="",$B31=""),0,SUMIF('DADOS BRUTOS'!$A$3:$A$500,$B31,'DADOS BRUTOS'!BS$3:BS$500)+IF($C31="",0,SUMIF('DADOS BRUTOS'!$A$3:$A$500,$C31,'DADOS BRUTOS'!BS$3:BS$500)))</f>
        <v/>
      </c>
      <c r="ET31" s="123">
        <f>IF(OR(ET$4="",$B31=""),0,SUMIF('DADOS BRUTOS'!$A$3:$A$500,$B31,'DADOS BRUTOS'!BT$3:BT$500)+IF($C31="",0,SUMIF('DADOS BRUTOS'!$A$3:$A$500,$C31,'DADOS BRUTOS'!BT$3:BT$500)))</f>
        <v/>
      </c>
      <c r="EU31" s="123">
        <f>IF(OR(EU$4="",$B31=""),0,SUMIF('DADOS BRUTOS'!$A$3:$A$500,$B31,'DADOS BRUTOS'!BU$3:BU$500)+IF($C31="",0,SUMIF('DADOS BRUTOS'!$A$3:$A$500,$C31,'DADOS BRUTOS'!BU$3:BU$500)))</f>
        <v/>
      </c>
      <c r="EV31" s="123">
        <f>IF(OR(EV$4="",$B31=""),0,SUMIF('DADOS BRUTOS'!$A$3:$A$500,$B31,'DADOS BRUTOS'!BV$3:BV$500)+IF($C31="",0,SUMIF('DADOS BRUTOS'!$A$3:$A$500,$C31,'DADOS BRUTOS'!BV$3:BV$500)))</f>
        <v/>
      </c>
      <c r="EW31" s="123">
        <f>IF(OR(EW$4="",$B31=""),0,SUMIF('DADOS BRUTOS'!$A$3:$A$500,$B31,'DADOS BRUTOS'!BW$3:BW$500)+IF($C31="",0,SUMIF('DADOS BRUTOS'!$A$3:$A$500,$C31,'DADOS BRUTOS'!BW$3:BW$500)))</f>
        <v/>
      </c>
      <c r="EX31" s="123">
        <f>IF(OR(EX$4="",$B31=""),0,SUMIF('DADOS BRUTOS'!$A$3:$A$500,$B31,'DADOS BRUTOS'!BX$3:BX$500)+IF($C31="",0,SUMIF('DADOS BRUTOS'!$A$3:$A$500,$C31,'DADOS BRUTOS'!BX$3:BX$500)))</f>
        <v/>
      </c>
      <c r="EY31" s="123">
        <f>IF(OR(EY$4="",$B31=""),0,SUMIF('DADOS BRUTOS'!$A$3:$A$500,$B31,'DADOS BRUTOS'!BY$3:BY$500)+IF($C31="",0,SUMIF('DADOS BRUTOS'!$A$3:$A$500,$C31,'DADOS BRUTOS'!BY$3:BY$500)))</f>
        <v/>
      </c>
      <c r="EZ31" s="123">
        <f>IF(OR(EZ$4="",$B31=""),0,SUMIF('DADOS BRUTOS'!$A$3:$A$500,$B31,'DADOS BRUTOS'!BZ$3:BZ$500)+IF($C31="",0,SUMIF('DADOS BRUTOS'!$A$3:$A$500,$C31,'DADOS BRUTOS'!BZ$3:BZ$500)))</f>
        <v/>
      </c>
      <c r="FA31" s="123">
        <f>IF(OR(FA$4="",$B31=""),0,SUMIF('DADOS BRUTOS'!$A$3:$A$500,$B31,'DADOS BRUTOS'!CA$3:CA$500)+IF($C31="",0,SUMIF('DADOS BRUTOS'!$A$3:$A$500,$C31,'DADOS BRUTOS'!CA$3:CA$500)))</f>
        <v/>
      </c>
      <c r="FB31" s="123">
        <f>IF(OR(FB$4="",$B31=""),0,SUMIF('DADOS BRUTOS'!$A$3:$A$500,$B31,'DADOS BRUTOS'!CB$3:CB$500)+IF($C31="",0,SUMIF('DADOS BRUTOS'!$A$3:$A$500,$C31,'DADOS BRUTOS'!CB$3:CB$500)))</f>
        <v/>
      </c>
      <c r="FC31" s="123">
        <f>IF(OR(FC$4="",$B31=""),0,SUMIF('DADOS BRUTOS'!$A$3:$A$500,$B31,'DADOS BRUTOS'!CC$3:CC$500)+IF($C31="",0,SUMIF('DADOS BRUTOS'!$A$3:$A$500,$C31,'DADOS BRUTOS'!CC$3:CC$500)))</f>
        <v/>
      </c>
      <c r="FD31" s="123">
        <f>IF(OR(FD$4="",$B31=""),0,SUMIF('DADOS BRUTOS'!$A$3:$A$500,$B31,'DADOS BRUTOS'!CD$3:CD$500)+IF($C31="",0,SUMIF('DADOS BRUTOS'!$A$3:$A$500,$C31,'DADOS BRUTOS'!CD$3:CD$500)))</f>
        <v/>
      </c>
      <c r="FE31" s="123">
        <f>IF(OR(FE$4="",$B31=""),0,SUMIF('DADOS BRUTOS'!$A$3:$A$500,$B31,'DADOS BRUTOS'!CE$3:CE$500)+IF($C31="",0,SUMIF('DADOS BRUTOS'!$A$3:$A$500,$C31,'DADOS BRUTOS'!CE$3:CE$500)))</f>
        <v/>
      </c>
      <c r="FF31" s="123">
        <f>IF(OR(FF$4="",$B31=""),0,SUMIF('DADOS BRUTOS'!$A$3:$A$500,$B31,'DADOS BRUTOS'!CF$3:CF$500)+IF($C31="",0,SUMIF('DADOS BRUTOS'!$A$3:$A$500,$C31,'DADOS BRUTOS'!CF$3:CF$500)))</f>
        <v/>
      </c>
      <c r="FG31" s="123">
        <f>IF(OR(FG$4="",$B31=""),0,SUMIF('DADOS BRUTOS'!$A$3:$A$500,$B31,'DADOS BRUTOS'!CG$3:CG$500)+IF($C31="",0,SUMIF('DADOS BRUTOS'!$A$3:$A$500,$C31,'DADOS BRUTOS'!CG$3:CG$500)))</f>
        <v/>
      </c>
      <c r="FH31" s="123">
        <f>IF(OR(FH$4="",$B31=""),0,SUMIF('DADOS BRUTOS'!$A$3:$A$500,$B31,'DADOS BRUTOS'!CH$3:CH$500)+IF($C31="",0,SUMIF('DADOS BRUTOS'!$A$3:$A$500,$C31,'DADOS BRUTOS'!CH$3:CH$500)))</f>
        <v/>
      </c>
      <c r="FI31" s="123">
        <f>IF(OR(FI$4="",$B31=""),0,SUMIF('DADOS BRUTOS'!$A$3:$A$500,$B31,'DADOS BRUTOS'!CI$3:CI$500)+IF($C31="",0,SUMIF('DADOS BRUTOS'!$A$3:$A$500,$C31,'DADOS BRUTOS'!CI$3:CI$500)))</f>
        <v/>
      </c>
      <c r="FJ31" s="123">
        <f>IF(OR(FJ$4="",$B31=""),0,SUMIF('DADOS BRUTOS'!$A$3:$A$500,$B31,'DADOS BRUTOS'!CJ$3:CJ$500)+IF($C31="",0,SUMIF('DADOS BRUTOS'!$A$3:$A$500,$C31,'DADOS BRUTOS'!CJ$3:CJ$500)))</f>
        <v/>
      </c>
      <c r="FK31" s="123">
        <f>IF(OR(FK$4="",$B31=""),0,SUMIF('DADOS BRUTOS'!$A$3:$A$500,$B31,'DADOS BRUTOS'!CK$3:CK$500)+IF($C31="",0,SUMIF('DADOS BRUTOS'!$A$3:$A$500,$C31,'DADOS BRUTOS'!CK$3:CK$500)))</f>
        <v/>
      </c>
      <c r="FL31" s="123">
        <f>IF(OR(FL$4="",$B31=""),0,SUMIF('DADOS BRUTOS'!$A$3:$A$500,$B31,'DADOS BRUTOS'!CL$3:CL$500)+IF($C31="",0,SUMIF('DADOS BRUTOS'!$A$3:$A$500,$C31,'DADOS BRUTOS'!CL$3:CL$500)))</f>
        <v/>
      </c>
      <c r="FM31" s="123">
        <f>IF(OR(FM$4="",$B31=""),0,SUMIF('DADOS BRUTOS'!$A$3:$A$500,$B31,'DADOS BRUTOS'!CM$3:CM$500)+IF($C31="",0,SUMIF('DADOS BRUTOS'!$A$3:$A$500,$C31,'DADOS BRUTOS'!CM$3:CM$500)))</f>
        <v/>
      </c>
      <c r="FN31" s="123">
        <f>IF(OR(FN$4="",$B31=""),0,SUMIF('DADOS BRUTOS'!$A$3:$A$500,$B31,'DADOS BRUTOS'!CN$3:CN$500)+IF($C31="",0,SUMIF('DADOS BRUTOS'!$A$3:$A$500,$C31,'DADOS BRUTOS'!CN$3:CN$500)))</f>
        <v/>
      </c>
      <c r="FO31" s="123">
        <f>IF(OR(FO$4="",$B31=""),0,SUMIF('DADOS BRUTOS'!$A$3:$A$500,$B31,'DADOS BRUTOS'!CO$3:CO$500)+IF($C31="",0,SUMIF('DADOS BRUTOS'!$A$3:$A$500,$C31,'DADOS BRUTOS'!CO$3:CO$500)))</f>
        <v/>
      </c>
      <c r="FP31" s="123">
        <f>IF(OR(FP$4="",$B31=""),0,SUMIF('DADOS BRUTOS'!$A$3:$A$500,$B31,'DADOS BRUTOS'!CP$3:CP$500)+IF($C31="",0,SUMIF('DADOS BRUTOS'!$A$3:$A$500,$C31,'DADOS BRUTOS'!CP$3:CP$500)))</f>
        <v/>
      </c>
      <c r="FQ31" s="123">
        <f>IF(OR(FQ$4="",$B31=""),0,SUMIF('DADOS BRUTOS'!$A$3:$A$500,$B31,'DADOS BRUTOS'!CQ$3:CQ$500)+IF($C31="",0,SUMIF('DADOS BRUTOS'!$A$3:$A$500,$C31,'DADOS BRUTOS'!CQ$3:CQ$500)))</f>
        <v/>
      </c>
      <c r="FR31" s="123">
        <f>IF(OR(FR$4="",$B31=""),0,SUMIF('DADOS BRUTOS'!$A$3:$A$500,$B31,'DADOS BRUTOS'!CR$3:CR$500)+IF($C31="",0,SUMIF('DADOS BRUTOS'!$A$3:$A$500,$C31,'DADOS BRUTOS'!CR$3:CR$500)))</f>
        <v/>
      </c>
      <c r="FS31" s="123">
        <f>IF(OR(FS$4="",$B31=""),0,SUMIF('DADOS BRUTOS'!$A$3:$A$500,$B31,'DADOS BRUTOS'!CS$3:CS$500)+IF($C31="",0,SUMIF('DADOS BRUTOS'!$A$3:$A$500,$C31,'DADOS BRUTOS'!CS$3:CS$500)))</f>
        <v/>
      </c>
      <c r="FT31" s="123">
        <f>IF(OR(FT$4="",$B31=""),0,SUMIF('DADOS BRUTOS'!$A$3:$A$500,$B31,'DADOS BRUTOS'!CT$3:CT$500)+IF($C31="",0,SUMIF('DADOS BRUTOS'!$A$3:$A$500,$C31,'DADOS BRUTOS'!CT$3:CT$500)))</f>
        <v/>
      </c>
      <c r="FU31" s="123">
        <f>IF(OR(FU$4="",$B31=""),0,SUMIF('DADOS BRUTOS'!$A$3:$A$500,$B31,'DADOS BRUTOS'!CU$3:CU$500)+IF($C31="",0,SUMIF('DADOS BRUTOS'!$A$3:$A$500,$C31,'DADOS BRUTOS'!CU$3:CU$500)))</f>
        <v/>
      </c>
      <c r="FV31" s="123">
        <f>IF(OR(FV$4="",$B31=""),0,SUMIF('DADOS BRUTOS'!$A$3:$A$500,$B31,'DADOS BRUTOS'!CV$3:CV$500)+IF($C31="",0,SUMIF('DADOS BRUTOS'!$A$3:$A$500,$C31,'DADOS BRUTOS'!CV$3:CV$500)))</f>
        <v/>
      </c>
      <c r="FW31" s="123">
        <f>IF(OR(FW$4="",$B31=""),0,SUMIF('DADOS BRUTOS'!$A$3:$A$500,$B31,'DADOS BRUTOS'!CW$3:CW$500)+IF($C31="",0,SUMIF('DADOS BRUTOS'!$A$3:$A$500,$C31,'DADOS BRUTOS'!CW$3:CW$500)))</f>
        <v/>
      </c>
      <c r="FX31" s="123">
        <f>IF(OR(FX$4="",$B31=""),0,SUMIF('DADOS BRUTOS'!$A$3:$A$500,$B31,'DADOS BRUTOS'!CX$3:CX$500)+IF($C31="",0,SUMIF('DADOS BRUTOS'!$A$3:$A$500,$C31,'DADOS BRUTOS'!CX$3:CX$500)))</f>
        <v/>
      </c>
      <c r="FY31" s="123">
        <f>IF(OR(FY$4="",$B31=""),0,SUMIF('DADOS BRUTOS'!$A$3:$A$500,$B31,'DADOS BRUTOS'!CY$3:CY$500)+IF($C31="",0,SUMIF('DADOS BRUTOS'!$A$3:$A$500,$C31,'DADOS BRUTOS'!CY$3:CY$500)))</f>
        <v/>
      </c>
      <c r="FZ31" s="123">
        <f>IF(OR(FZ$4="",$B31=""),0,SUMIF('DADOS BRUTOS'!$A$3:$A$500,$B31,'DADOS BRUTOS'!CZ$3:CZ$500)+IF($C31="",0,SUMIF('DADOS BRUTOS'!$A$3:$A$500,$C31,'DADOS BRUTOS'!CZ$3:CZ$500)))</f>
        <v/>
      </c>
      <c r="GA31" s="123">
        <f>IF(OR(GA$4="",$B31=""),0,SUMIF('DADOS BRUTOS'!$A$3:$A$500,$B31,'DADOS BRUTOS'!DA$3:DA$500)+IF($C31="",0,SUMIF('DADOS BRUTOS'!$A$3:$A$500,$C31,'DADOS BRUTOS'!DA$3:DA$500)))</f>
        <v/>
      </c>
      <c r="GB31" s="123">
        <f>IF(OR(GB$4="",$B31=""),0,SUMIF('DADOS BRUTOS'!$A$3:$A$500,$B31,'DADOS BRUTOS'!DB$3:DB$500)+IF($C31="",0,SUMIF('DADOS BRUTOS'!$A$3:$A$500,$C31,'DADOS BRUTOS'!DB$3:DB$500)))</f>
        <v/>
      </c>
      <c r="GC31" s="123">
        <f>IF(OR(GC$4="",$B31=""),0,SUMIF('DADOS BRUTOS'!$A$3:$A$500,$B31,'DADOS BRUTOS'!DC$3:DC$500)+IF($C31="",0,SUMIF('DADOS BRUTOS'!$A$3:$A$500,$C31,'DADOS BRUTOS'!DC$3:DC$500)))</f>
        <v/>
      </c>
      <c r="GD31" s="123">
        <f>IF(OR(GD$4="",$B31=""),0,SUMIF('DADOS BRUTOS'!$A$3:$A$500,$B31,'DADOS BRUTOS'!DD$3:DD$500)+IF($C31="",0,SUMIF('DADOS BRUTOS'!$A$3:$A$500,$C31,'DADOS BRUTOS'!DD$3:DD$500)))</f>
        <v/>
      </c>
      <c r="GE31" s="123">
        <f>IF(OR(GE$4="",$B31=""),0,SUMIF('DADOS BRUTOS'!$A$3:$A$500,$B31,'DADOS BRUTOS'!DE$3:DE$500)+IF($C31="",0,SUMIF('DADOS BRUTOS'!$A$3:$A$500,$C31,'DADOS BRUTOS'!DE$3:DE$500)))</f>
        <v/>
      </c>
      <c r="GF31" s="123">
        <f>IF(OR(GF$4="",$B31=""),0,SUMIF('DADOS BRUTOS'!$A$3:$A$500,$B31,'DADOS BRUTOS'!DF$3:DF$500)+IF($C31="",0,SUMIF('DADOS BRUTOS'!$A$3:$A$500,$C31,'DADOS BRUTOS'!DF$3:DF$500)))</f>
        <v/>
      </c>
      <c r="GG31" s="123">
        <f>IF(OR(GG$4="",$B31=""),0,SUMIF('DADOS BRUTOS'!$A$3:$A$500,$B31,'DADOS BRUTOS'!DG$3:DG$500)+IF($C31="",0,SUMIF('DADOS BRUTOS'!$A$3:$A$500,$C31,'DADOS BRUTOS'!DG$3:DG$500)))</f>
        <v/>
      </c>
      <c r="GH31" s="123">
        <f>IF(OR(GH$4="",$B31=""),0,SUMIF('DADOS BRUTOS'!$A$3:$A$500,$B31,'DADOS BRUTOS'!DH$3:DH$500)+IF($C31="",0,SUMIF('DADOS BRUTOS'!$A$3:$A$500,$C31,'DADOS BRUTOS'!DH$3:DH$500)))</f>
        <v/>
      </c>
      <c r="GI31" s="123">
        <f>IF(OR(GI$4="",$B31=""),0,SUMIF('DADOS BRUTOS'!$A$3:$A$500,$B31,'DADOS BRUTOS'!DI$3:DI$500)+IF($C31="",0,SUMIF('DADOS BRUTOS'!$A$3:$A$500,$C31,'DADOS BRUTOS'!DI$3:DI$500)))</f>
        <v/>
      </c>
      <c r="GJ31" s="123">
        <f>IF(OR(GJ$4="",$B31=""),0,SUMIF('DADOS BRUTOS'!$A$3:$A$500,$B31,'DADOS BRUTOS'!DJ$3:DJ$500)+IF($C31="",0,SUMIF('DADOS BRUTOS'!$A$3:$A$500,$C31,'DADOS BRUTOS'!DJ$3:DJ$500)))</f>
        <v/>
      </c>
      <c r="GK31" s="123">
        <f>IF(OR(GK$4="",$B31=""),0,SUMIF('DADOS BRUTOS'!$A$3:$A$500,$B31,'DADOS BRUTOS'!DK$3:DK$500)+IF($C31="",0,SUMIF('DADOS BRUTOS'!$A$3:$A$500,$C31,'DADOS BRUTOS'!DK$3:DK$500)))</f>
        <v/>
      </c>
      <c r="GL31" s="123">
        <f>IF(OR(GL$4="",$B31=""),0,SUMIF('DADOS BRUTOS'!$A$3:$A$500,$B31,'DADOS BRUTOS'!DL$3:DL$500)+IF($C31="",0,SUMIF('DADOS BRUTOS'!$A$3:$A$500,$C31,'DADOS BRUTOS'!DL$3:DL$500)))</f>
        <v/>
      </c>
      <c r="GM31" s="123">
        <f>IF(OR(GM$4="",$B31=""),0,SUMIF('DADOS BRUTOS'!$A$3:$A$500,$B31,'DADOS BRUTOS'!DM$3:DM$500)+IF($C31="",0,SUMIF('DADOS BRUTOS'!$A$3:$A$500,$C31,'DADOS BRUTOS'!DM$3:DM$500)))</f>
        <v/>
      </c>
      <c r="GN31" s="123">
        <f>IF(OR(GN$4="",$B31=""),0,SUMIF('DADOS BRUTOS'!$A$3:$A$500,$B31,'DADOS BRUTOS'!DN$3:DN$500)+IF($C31="",0,SUMIF('DADOS BRUTOS'!$A$3:$A$500,$C31,'DADOS BRUTOS'!DN$3:DN$500)))</f>
        <v/>
      </c>
      <c r="GO31" s="123">
        <f>IF(OR(GO$4="",$B31=""),0,SUMIF('DADOS BRUTOS'!$A$3:$A$500,$B31,'DADOS BRUTOS'!DO$3:DO$500)+IF($C31="",0,SUMIF('DADOS BRUTOS'!$A$3:$A$500,$C31,'DADOS BRUTOS'!DO$3:DO$500)))</f>
        <v/>
      </c>
      <c r="GP31" s="123">
        <f>IF(OR(GP$4="",$B31=""),0,SUMIF('DADOS BRUTOS'!$A$3:$A$500,$B31,'DADOS BRUTOS'!DP$3:DP$500)+IF($C31="",0,SUMIF('DADOS BRUTOS'!$A$3:$A$500,$C31,'DADOS BRUTOS'!DP$3:DP$500)))</f>
        <v/>
      </c>
      <c r="GQ31" s="123">
        <f>IF(OR(GQ$4="",$B31=""),0,SUMIF('DADOS BRUTOS'!$A$3:$A$500,$B31,'DADOS BRUTOS'!DQ$3:DQ$500)+IF($C31="",0,SUMIF('DADOS BRUTOS'!$A$3:$A$500,$C31,'DADOS BRUTOS'!DQ$3:DQ$500)))</f>
        <v/>
      </c>
      <c r="GR31" s="123">
        <f>IF(OR(GR$4="",$B31=""),0,SUMIF('DADOS BRUTOS'!$A$3:$A$500,$B31,'DADOS BRUTOS'!DR$3:DR$500)+IF($C31="",0,SUMIF('DADOS BRUTOS'!$A$3:$A$500,$C31,'DADOS BRUTOS'!DR$3:DR$500)))</f>
        <v/>
      </c>
      <c r="GS31" s="123">
        <f>IF(OR(GS$4="",$B31=""),0,SUMIF('DADOS BRUTOS'!$A$3:$A$500,$B31,'DADOS BRUTOS'!DS$3:DS$500)+IF($C31="",0,SUMIF('DADOS BRUTOS'!$A$3:$A$500,$C31,'DADOS BRUTOS'!DS$3:DS$500)))</f>
        <v/>
      </c>
      <c r="GT31" s="123">
        <f>IF(OR(GT$4="",$B31=""),0,SUMIF('DADOS BRUTOS'!$A$3:$A$500,$B31,'DADOS BRUTOS'!DT$3:DT$500)+IF($C31="",0,SUMIF('DADOS BRUTOS'!$A$3:$A$500,$C31,'DADOS BRUTOS'!DT$3:DT$500)))</f>
        <v/>
      </c>
      <c r="GU31" s="123">
        <f>IF(OR(GU$4="",$B31=""),0,SUMIF('DADOS BRUTOS'!$A$3:$A$500,$B31,'DADOS BRUTOS'!DU$3:DU$500)+IF($C31="",0,SUMIF('DADOS BRUTOS'!$A$3:$A$500,$C31,'DADOS BRUTOS'!DU$3:DU$500)))</f>
        <v/>
      </c>
      <c r="GV31" s="123">
        <f>IF(OR(GV$4="",$B31=""),0,SUMIF('DADOS BRUTOS'!$A$3:$A$500,$B31,'DADOS BRUTOS'!DV$3:DV$500)+IF($C31="",0,SUMIF('DADOS BRUTOS'!$A$3:$A$500,$C31,'DADOS BRUTOS'!DV$3:DV$500)))</f>
        <v/>
      </c>
      <c r="GW31" s="123">
        <f>IF(OR(GW$4="",$B31=""),0,SUMIF('DADOS BRUTOS'!$A$3:$A$500,$B31,'DADOS BRUTOS'!DW$3:DW$500)+IF($C31="",0,SUMIF('DADOS BRUTOS'!$A$3:$A$500,$C31,'DADOS BRUTOS'!DW$3:DW$500)))</f>
        <v/>
      </c>
      <c r="GX31" s="123">
        <f>IF(OR(GX$4="",$B31=""),0,SUMIF('DADOS BRUTOS'!$A$3:$A$500,$B31,'DADOS BRUTOS'!DX$3:DX$500)+IF($C31="",0,SUMIF('DADOS BRUTOS'!$A$3:$A$500,$C31,'DADOS BRUTOS'!DX$3:DX$500)))</f>
        <v/>
      </c>
      <c r="GY31" s="123">
        <f>IF(OR(GY$4="",$B31=""),0,SUMIF('DADOS BRUTOS'!$A$3:$A$500,$B31,'DADOS BRUTOS'!DY$3:DY$500)+IF($C31="",0,SUMIF('DADOS BRUTOS'!$A$3:$A$500,$C31,'DADOS BRUTOS'!DY$3:DY$500)))</f>
        <v/>
      </c>
      <c r="GZ31" s="123">
        <f>IF(OR(GZ$4="",$B31=""),0,SUMIF('DADOS BRUTOS'!$A$3:$A$500,$B31,'DADOS BRUTOS'!DZ$3:DZ$500)+IF($C31="",0,SUMIF('DADOS BRUTOS'!$A$3:$A$500,$C31,'DADOS BRUTOS'!DZ$3:DZ$500)))</f>
        <v/>
      </c>
      <c r="HA31" s="123">
        <f>IF(OR(HA$4="",$B31=""),0,SUMIF('DADOS BRUTOS'!$A$3:$A$500,$B31,'DADOS BRUTOS'!EA$3:EA$500)+IF($C31="",0,SUMIF('DADOS BRUTOS'!$A$3:$A$500,$C31,'DADOS BRUTOS'!EA$3:EA$500)))</f>
        <v/>
      </c>
      <c r="HB31" s="123">
        <f>IF(OR(HB$4="",$B31=""),0,SUMIF('DADOS BRUTOS'!$A$3:$A$500,$B31,'DADOS BRUTOS'!EB$3:EB$500)+IF($C31="",0,SUMIF('DADOS BRUTOS'!$A$3:$A$500,$C31,'DADOS BRUTOS'!EB$3:EB$500)))</f>
        <v/>
      </c>
      <c r="HC31" s="123">
        <f>IF(OR(HC$4="",$B31=""),0,SUMIF('DADOS BRUTOS'!$A$3:$A$500,$B31,'DADOS BRUTOS'!EC$3:EC$500)+IF($C31="",0,SUMIF('DADOS BRUTOS'!$A$3:$A$500,$C31,'DADOS BRUTOS'!EC$3:EC$500)))</f>
        <v/>
      </c>
      <c r="HD31" s="123">
        <f>IF(OR(HD$4="",$B31=""),0,SUMIF('DADOS BRUTOS'!$A$3:$A$500,$B31,'DADOS BRUTOS'!ED$3:ED$500)+IF($C31="",0,SUMIF('DADOS BRUTOS'!$A$3:$A$500,$C31,'DADOS BRUTOS'!ED$3:ED$500)))</f>
        <v/>
      </c>
      <c r="HE31" s="123">
        <f>IF(OR(HE$4="",$B31=""),0,SUMIF('DADOS BRUTOS'!$A$3:$A$500,$B31,'DADOS BRUTOS'!EE$3:EE$500)+IF($C31="",0,SUMIF('DADOS BRUTOS'!$A$3:$A$500,$C31,'DADOS BRUTOS'!EE$3:EE$500)))</f>
        <v/>
      </c>
      <c r="HF31" s="123">
        <f>IF(OR(HF$4="",$B31=""),0,SUMIF('DADOS BRUTOS'!$A$3:$A$500,$B31,'DADOS BRUTOS'!EF$3:EF$500)+IF($C31="",0,SUMIF('DADOS BRUTOS'!$A$3:$A$500,$C31,'DADOS BRUTOS'!EF$3:EF$500)))</f>
        <v/>
      </c>
      <c r="HG31" s="123">
        <f>IF(OR(HG$4="",$B31=""),0,SUMIF('DADOS BRUTOS'!$A$3:$A$500,$B31,'DADOS BRUTOS'!EG$3:EG$500)+IF($C31="",0,SUMIF('DADOS BRUTOS'!$A$3:$A$500,$C31,'DADOS BRUTOS'!EG$3:EG$500)))</f>
        <v/>
      </c>
      <c r="HH31" s="123">
        <f>IF(OR(HH$4="",$B31=""),0,SUMIF('DADOS BRUTOS'!$A$3:$A$500,$B31,'DADOS BRUTOS'!EH$3:EH$500)+IF($C31="",0,SUMIF('DADOS BRUTOS'!$A$3:$A$500,$C31,'DADOS BRUTOS'!EH$3:EH$500)))</f>
        <v/>
      </c>
      <c r="HI31" s="123">
        <f>IF(OR(HI$4="",$B31=""),0,SUMIF('DADOS BRUTOS'!$A$3:$A$500,$B31,'DADOS BRUTOS'!EI$3:EI$500)+IF($C31="",0,SUMIF('DADOS BRUTOS'!$A$3:$A$500,$C31,'DADOS BRUTOS'!EI$3:EI$500)))</f>
        <v/>
      </c>
      <c r="HJ31" s="123">
        <f>IF(OR(HJ$4="",$B31=""),0,SUMIF('DADOS BRUTOS'!$A$3:$A$500,$B31,'DADOS BRUTOS'!EJ$3:EJ$500)+IF($C31="",0,SUMIF('DADOS BRUTOS'!$A$3:$A$500,$C31,'DADOS BRUTOS'!EJ$3:EJ$500)))</f>
        <v/>
      </c>
      <c r="HK31" s="123">
        <f>IF(OR(HK$4="",$B31=""),0,SUMIF('DADOS BRUTOS'!$A$3:$A$500,$B31,'DADOS BRUTOS'!EK$3:EK$500)+IF($C31="",0,SUMIF('DADOS BRUTOS'!$A$3:$A$500,$C31,'DADOS BRUTOS'!EK$3:EK$500)))</f>
        <v/>
      </c>
      <c r="HL31" s="123">
        <f>IF(OR(HL$4="",$B31=""),0,SUMIF('DADOS BRUTOS'!$A$3:$A$500,$B31,'DADOS BRUTOS'!EL$3:EL$500)+IF($C31="",0,SUMIF('DADOS BRUTOS'!$A$3:$A$500,$C31,'DADOS BRUTOS'!EL$3:EL$500)))</f>
        <v/>
      </c>
      <c r="HM31" s="123">
        <f>IF(OR(HM$4="",$B31=""),0,SUMIF('DADOS BRUTOS'!$A$3:$A$500,$B31,'DADOS BRUTOS'!EM$3:EM$500)+IF($C31="",0,SUMIF('DADOS BRUTOS'!$A$3:$A$500,$C31,'DADOS BRUTOS'!EM$3:EM$500)))</f>
        <v/>
      </c>
      <c r="HN31" s="123">
        <f>IF(OR(HN$4="",$B31=""),0,SUMIF('DADOS BRUTOS'!$A$3:$A$500,$B31,'DADOS BRUTOS'!EN$3:EN$500)+IF($C31="",0,SUMIF('DADOS BRUTOS'!$A$3:$A$500,$C31,'DADOS BRUTOS'!EN$3:EN$500)))</f>
        <v/>
      </c>
      <c r="HO31" s="123">
        <f>IF(OR(HO$4="",$B31=""),0,SUMIF('DADOS BRUTOS'!$A$3:$A$500,$B31,'DADOS BRUTOS'!EO$3:EO$500)+IF($C31="",0,SUMIF('DADOS BRUTOS'!$A$3:$A$500,$C31,'DADOS BRUTOS'!EO$3:EO$500)))</f>
        <v/>
      </c>
      <c r="HP31" s="123">
        <f>IF(OR(HP$4="",$B31=""),0,SUMIF('DADOS BRUTOS'!$A$3:$A$500,$B31,'DADOS BRUTOS'!EP$3:EP$500)+IF($C31="",0,SUMIF('DADOS BRUTOS'!$A$3:$A$500,$C31,'DADOS BRUTOS'!EP$3:EP$500)))</f>
        <v/>
      </c>
      <c r="HQ31" s="123">
        <f>IF(OR(HQ$4="",$B31=""),0,SUMIF('DADOS BRUTOS'!$A$3:$A$500,$B31,'DADOS BRUTOS'!EQ$3:EQ$500)+IF($C31="",0,SUMIF('DADOS BRUTOS'!$A$3:$A$500,$C31,'DADOS BRUTOS'!EQ$3:EQ$500)))</f>
        <v/>
      </c>
      <c r="HR31" s="123">
        <f>IF(OR(HR$4="",$B31=""),0,SUMIF('DADOS BRUTOS'!$A$3:$A$500,$B31,'DADOS BRUTOS'!ER$3:ER$500)+IF($C31="",0,SUMIF('DADOS BRUTOS'!$A$3:$A$500,$C31,'DADOS BRUTOS'!ER$3:ER$500)))</f>
        <v/>
      </c>
      <c r="HS31" s="123">
        <f>IF(OR(HS$4="",$B31=""),0,SUMIF('DADOS BRUTOS'!$A$3:$A$500,$B31,'DADOS BRUTOS'!ES$3:ES$500)+IF($C31="",0,SUMIF('DADOS BRUTOS'!$A$3:$A$500,$C31,'DADOS BRUTOS'!ES$3:ES$500)))</f>
        <v/>
      </c>
      <c r="HT31" s="123">
        <f>IF(OR(HT$4="",$B31=""),0,SUMIF('DADOS BRUTOS'!$A$3:$A$500,$B31,'DADOS BRUTOS'!ET$3:ET$500)+IF($C31="",0,SUMIF('DADOS BRUTOS'!$A$3:$A$500,$C31,'DADOS BRUTOS'!ET$3:ET$500)))</f>
        <v/>
      </c>
      <c r="HU31" s="123">
        <f>IF(OR(HU$4="",$B31=""),0,SUMIF('DADOS BRUTOS'!$A$3:$A$500,$B31,'DADOS BRUTOS'!EU$3:EU$500)+IF($C31="",0,SUMIF('DADOS BRUTOS'!$A$3:$A$500,$C31,'DADOS BRUTOS'!EU$3:EU$500)))</f>
        <v/>
      </c>
      <c r="HV31" s="123">
        <f>IF(OR(HV$4="",$B31=""),0,SUMIF('DADOS BRUTOS'!$A$3:$A$500,$B31,'DADOS BRUTOS'!EV$3:EV$500)+IF($C31="",0,SUMIF('DADOS BRUTOS'!$A$3:$A$500,$C31,'DADOS BRUTOS'!EV$3:EV$500)))</f>
        <v/>
      </c>
      <c r="HW31" s="123">
        <f>IF(OR(HW$4="",$B31=""),0,SUMIF('DADOS BRUTOS'!$A$3:$A$500,$B31,'DADOS BRUTOS'!EW$3:EW$500)+IF($C31="",0,SUMIF('DADOS BRUTOS'!$A$3:$A$500,$C31,'DADOS BRUTOS'!EW$3:EW$500)))</f>
        <v/>
      </c>
      <c r="HX31" s="123">
        <f>IF(OR(HX$4="",$B31=""),0,SUMIF('DADOS BRUTOS'!$A$3:$A$500,$B31,'DADOS BRUTOS'!EX$3:EX$500)+IF($C31="",0,SUMIF('DADOS BRUTOS'!$A$3:$A$500,$C31,'DADOS BRUTOS'!EX$3:EX$500)))</f>
        <v/>
      </c>
      <c r="HY31" s="123">
        <f>IF(OR(HY$4="",$B31=""),0,SUMIF('DADOS BRUTOS'!$A$3:$A$500,$B31,'DADOS BRUTOS'!EY$3:EY$500)+IF($C31="",0,SUMIF('DADOS BRUTOS'!$A$3:$A$500,$C31,'DADOS BRUTOS'!EY$3:EY$500)))</f>
        <v/>
      </c>
      <c r="HZ31" s="123">
        <f>IF(OR(HZ$4="",$B31=""),0,SUMIF('DADOS BRUTOS'!$A$3:$A$500,$B31,'DADOS BRUTOS'!EZ$3:EZ$500)+IF($C31="",0,SUMIF('DADOS BRUTOS'!$A$3:$A$500,$C31,'DADOS BRUTOS'!EZ$3:EZ$500)))</f>
        <v/>
      </c>
      <c r="IA31" s="123">
        <f>IF(OR(IA$4="",$B31=""),0,SUMIF('DADOS BRUTOS'!$A$3:$A$500,$B31,'DADOS BRUTOS'!FA$3:FA$500)+IF($C31="",0,SUMIF('DADOS BRUTOS'!$A$3:$A$500,$C31,'DADOS BRUTOS'!FA$3:FA$500)))</f>
        <v/>
      </c>
      <c r="IB31" s="123">
        <f>IF(OR(IB$4="",$B31=""),0,SUMIF('DADOS BRUTOS'!$A$3:$A$500,$B31,'DADOS BRUTOS'!FB$3:FB$500)+IF($C31="",0,SUMIF('DADOS BRUTOS'!$A$3:$A$500,$C31,'DADOS BRUTOS'!FB$3:FB$500)))</f>
        <v/>
      </c>
      <c r="IC31" s="123">
        <f>IF(OR(IC$4="",$B31=""),0,SUMIF('DADOS BRUTOS'!$A$3:$A$500,$B31,'DADOS BRUTOS'!FC$3:FC$500)+IF($C31="",0,SUMIF('DADOS BRUTOS'!$A$3:$A$500,$C31,'DADOS BRUTOS'!FC$3:FC$500)))</f>
        <v/>
      </c>
      <c r="ID31" s="123">
        <f>IF(OR(ID$4="",$B31=""),0,SUMIF('DADOS BRUTOS'!$A$3:$A$500,$B31,'DADOS BRUTOS'!FD$3:FD$500)+IF($C31="",0,SUMIF('DADOS BRUTOS'!$A$3:$A$500,$C31,'DADOS BRUTOS'!FD$3:FD$500)))</f>
        <v/>
      </c>
      <c r="IE31" s="123">
        <f>IF(OR(IE$4="",$B31=""),0,SUMIF('DADOS BRUTOS'!$A$3:$A$500,$B31,'DADOS BRUTOS'!FE$3:FE$500)+IF($C31="",0,SUMIF('DADOS BRUTOS'!$A$3:$A$500,$C31,'DADOS BRUTOS'!FE$3:FE$500)))</f>
        <v/>
      </c>
      <c r="IF31" s="123">
        <f>IF(OR(IF$4="",$B31=""),0,SUMIF('DADOS BRUTOS'!$A$3:$A$500,$B31,'DADOS BRUTOS'!FF$3:FF$500)+IF($C31="",0,SUMIF('DADOS BRUTOS'!$A$3:$A$500,$C31,'DADOS BRUTOS'!FF$3:FF$500)))</f>
        <v/>
      </c>
      <c r="IG31" s="123">
        <f>IF(OR(IG$4="",$B31=""),0,SUMIF('DADOS BRUTOS'!$A$3:$A$500,$B31,'DADOS BRUTOS'!FG$3:FG$500)+IF($C31="",0,SUMIF('DADOS BRUTOS'!$A$3:$A$500,$C31,'DADOS BRUTOS'!FG$3:FG$500)))</f>
        <v/>
      </c>
      <c r="IH31" s="123">
        <f>IF(OR(IH$4="",$B31=""),0,SUMIF('DADOS BRUTOS'!$A$3:$A$500,$B31,'DADOS BRUTOS'!FH$3:FH$500)+IF($C31="",0,SUMIF('DADOS BRUTOS'!$A$3:$A$500,$C31,'DADOS BRUTOS'!FH$3:FH$500)))</f>
        <v/>
      </c>
      <c r="II31" s="123">
        <f>IF(OR(II$4="",$B31=""),0,SUMIF('DADOS BRUTOS'!$A$3:$A$500,$B31,'DADOS BRUTOS'!FI$3:FI$500)+IF($C31="",0,SUMIF('DADOS BRUTOS'!$A$3:$A$500,$C31,'DADOS BRUTOS'!FI$3:FI$500)))</f>
        <v/>
      </c>
      <c r="IJ31" s="123">
        <f>IF(OR(IJ$4="",$B31=""),0,SUMIF('DADOS BRUTOS'!$A$3:$A$500,$B31,'DADOS BRUTOS'!FJ$3:FJ$500)+IF($C31="",0,SUMIF('DADOS BRUTOS'!$A$3:$A$500,$C31,'DADOS BRUTOS'!FJ$3:FJ$500)))</f>
        <v/>
      </c>
      <c r="IK31" s="123">
        <f>IF(OR(IK$4="",$B31=""),0,SUMIF('DADOS BRUTOS'!$A$3:$A$500,$B31,'DADOS BRUTOS'!FK$3:FK$500)+IF($C31="",0,SUMIF('DADOS BRUTOS'!$A$3:$A$500,$C31,'DADOS BRUTOS'!FK$3:FK$500)))</f>
        <v/>
      </c>
      <c r="IL31" s="123">
        <f>IF(OR(IL$4="",$B31=""),0,SUMIF('DADOS BRUTOS'!$A$3:$A$500,$B31,'DADOS BRUTOS'!FL$3:FL$500)+IF($C31="",0,SUMIF('DADOS BRUTOS'!$A$3:$A$500,$C31,'DADOS BRUTOS'!FL$3:FL$500)))</f>
        <v/>
      </c>
      <c r="IM31" s="123">
        <f>IF(OR(IM$4="",$B31=""),0,SUMIF('DADOS BRUTOS'!$A$3:$A$500,$B31,'DADOS BRUTOS'!FM$3:FM$500)+IF($C31="",0,SUMIF('DADOS BRUTOS'!$A$3:$A$500,$C31,'DADOS BRUTOS'!FM$3:FM$500)))</f>
        <v/>
      </c>
      <c r="IN31" s="123">
        <f>IF(OR(IN$4="",$B31=""),0,SUMIF('DADOS BRUTOS'!$A$3:$A$500,$B31,'DADOS BRUTOS'!FN$3:FN$500)+IF($C31="",0,SUMIF('DADOS BRUTOS'!$A$3:$A$500,$C31,'DADOS BRUTOS'!FN$3:FN$500)))</f>
        <v/>
      </c>
      <c r="IO31" s="123">
        <f>IF(OR(IO$4="",$B31=""),0,SUMIF('DADOS BRUTOS'!$A$3:$A$500,$B31,'DADOS BRUTOS'!FO$3:FO$500)+IF($C31="",0,SUMIF('DADOS BRUTOS'!$A$3:$A$500,$C31,'DADOS BRUTOS'!FO$3:FO$500)))</f>
        <v/>
      </c>
      <c r="IP31" s="123">
        <f>IF(OR(IP$4="",$B31=""),0,SUMIF('DADOS BRUTOS'!$A$3:$A$500,$B31,'DADOS BRUTOS'!FP$3:FP$500)+IF($C31="",0,SUMIF('DADOS BRUTOS'!$A$3:$A$500,$C31,'DADOS BRUTOS'!FP$3:FP$500)))</f>
        <v/>
      </c>
      <c r="IQ31" s="123">
        <f>IF(OR(IQ$4="",$B31=""),0,SUMIF('DADOS BRUTOS'!$A$3:$A$500,$B31,'DADOS BRUTOS'!FQ$3:FQ$500)+IF($C31="",0,SUMIF('DADOS BRUTOS'!$A$3:$A$500,$C31,'DADOS BRUTOS'!FQ$3:FQ$500)))</f>
        <v/>
      </c>
      <c r="IR31" s="123">
        <f>IF(OR(IR$4="",$B31=""),0,SUMIF('DADOS BRUTOS'!$A$3:$A$500,$B31,'DADOS BRUTOS'!FR$3:FR$500)+IF($C31="",0,SUMIF('DADOS BRUTOS'!$A$3:$A$500,$C31,'DADOS BRUTOS'!FR$3:FR$500)))</f>
        <v/>
      </c>
      <c r="IS31" s="123">
        <f>IF(OR(IS$4="",$B31=""),0,SUMIF('DADOS BRUTOS'!$A$3:$A$500,$B31,'DADOS BRUTOS'!FS$3:FS$500)+IF($C31="",0,SUMIF('DADOS BRUTOS'!$A$3:$A$500,$C31,'DADOS BRUTOS'!FS$3:FS$500)))</f>
        <v/>
      </c>
      <c r="IT31" s="123">
        <f>IF(OR(IT$4="",$B31=""),0,SUMIF('DADOS BRUTOS'!$A$3:$A$500,$B31,'DADOS BRUTOS'!FT$3:FT$500)+IF($C31="",0,SUMIF('DADOS BRUTOS'!$A$3:$A$500,$C31,'DADOS BRUTOS'!FT$3:FT$500)))</f>
        <v/>
      </c>
      <c r="IU31" s="123">
        <f>IF(OR(IU$4="",$B31=""),0,SUMIF('DADOS BRUTOS'!$A$3:$A$500,$B31,'DADOS BRUTOS'!FU$3:FU$500)+IF($C31="",0,SUMIF('DADOS BRUTOS'!$A$3:$A$500,$C31,'DADOS BRUTOS'!FU$3:FU$500)))</f>
        <v/>
      </c>
      <c r="IV31" s="123">
        <f>IF(OR(IV$4="",$B31=""),0,SUMIF('DADOS BRUTOS'!$A$3:$A$500,$B31,'DADOS BRUTOS'!FV$3:FV$500)+IF($C31="",0,SUMIF('DADOS BRUTOS'!$A$3:$A$500,$C31,'DADOS BRUTOS'!FV$3:FV$500)))</f>
        <v/>
      </c>
      <c r="IW31" s="123">
        <f>IF(OR(IW$4="",$B31=""),0,SUMIF('DADOS BRUTOS'!$A$3:$A$500,$B31,'DADOS BRUTOS'!FW$3:FW$500)+IF($C31="",0,SUMIF('DADOS BRUTOS'!$A$3:$A$500,$C31,'DADOS BRUTOS'!FW$3:FW$500)))</f>
        <v/>
      </c>
      <c r="IX31" s="123">
        <f>IF(OR(IX$4="",$B31=""),0,SUMIF('DADOS BRUTOS'!$A$3:$A$500,$B31,'DADOS BRUTOS'!FX$3:FX$500)+IF($C31="",0,SUMIF('DADOS BRUTOS'!$A$3:$A$500,$C31,'DADOS BRUTOS'!FX$3:FX$500)))</f>
        <v/>
      </c>
      <c r="IY31" s="123">
        <f>IF(OR(IY$4="",$B31=""),0,SUMIF('DADOS BRUTOS'!$A$3:$A$500,$B31,'DADOS BRUTOS'!FY$3:FY$500)+IF($C31="",0,SUMIF('DADOS BRUTOS'!$A$3:$A$500,$C31,'DADOS BRUTOS'!FY$3:FY$500)))</f>
        <v/>
      </c>
      <c r="IZ31" s="123">
        <f>IF(OR(IZ$4="",$B31=""),0,SUMIF('DADOS BRUTOS'!$A$3:$A$500,$B31,'DADOS BRUTOS'!FZ$3:FZ$500)+IF($C31="",0,SUMIF('DADOS BRUTOS'!$A$3:$A$500,$C31,'DADOS BRUTOS'!FZ$3:FZ$500)))</f>
        <v/>
      </c>
      <c r="JA31" s="123">
        <f>IF(OR(JA$4="",$B31=""),0,SUMIF('DADOS BRUTOS'!$A$3:$A$500,$B31,'DADOS BRUTOS'!GA$3:GA$500)+IF($C31="",0,SUMIF('DADOS BRUTOS'!$A$3:$A$500,$C31,'DADOS BRUTOS'!GA$3:GA$500)))</f>
        <v/>
      </c>
      <c r="JB31" s="123">
        <f>IF(OR(JB$4="",$B31=""),0,SUMIF('DADOS BRUTOS'!$A$3:$A$500,$B31,'DADOS BRUTOS'!GB$3:GB$500)+IF($C31="",0,SUMIF('DADOS BRUTOS'!$A$3:$A$500,$C31,'DADOS BRUTOS'!GB$3:GB$500)))</f>
        <v/>
      </c>
      <c r="JC31" s="123">
        <f>IF(OR(JC$4="",$B31=""),0,SUMIF('DADOS BRUTOS'!$A$3:$A$500,$B31,'DADOS BRUTOS'!GC$3:GC$500)+IF($C31="",0,SUMIF('DADOS BRUTOS'!$A$3:$A$500,$C31,'DADOS BRUTOS'!GC$3:GC$500)))</f>
        <v/>
      </c>
      <c r="JD31" s="123">
        <f>IF(OR(JD$4="",$B31=""),0,SUMIF('DADOS BRUTOS'!$A$3:$A$500,$B31,'DADOS BRUTOS'!GD$3:GD$500)+IF($C31="",0,SUMIF('DADOS BRUTOS'!$A$3:$A$500,$C31,'DADOS BRUTOS'!GD$3:GD$500)))</f>
        <v/>
      </c>
      <c r="JE31" s="123">
        <f>IF(OR(JE$4="",$B31=""),0,SUMIF('DADOS BRUTOS'!$A$3:$A$500,$B31,'DADOS BRUTOS'!GE$3:GE$500)+IF($C31="",0,SUMIF('DADOS BRUTOS'!$A$3:$A$500,$C31,'DADOS BRUTOS'!GE$3:GE$500)))</f>
        <v/>
      </c>
      <c r="JF31" s="123">
        <f>IF(OR(JF$4="",$B31=""),0,SUMIF('DADOS BRUTOS'!$A$3:$A$500,$B31,'DADOS BRUTOS'!GF$3:GF$500)+IF($C31="",0,SUMIF('DADOS BRUTOS'!$A$3:$A$500,$C31,'DADOS BRUTOS'!GF$3:GF$500)))</f>
        <v/>
      </c>
      <c r="JG31" s="123">
        <f>IF(OR(JG$4="",$B31=""),0,SUMIF('DADOS BRUTOS'!$A$3:$A$500,$B31,'DADOS BRUTOS'!GG$3:GG$500)+IF($C31="",0,SUMIF('DADOS BRUTOS'!$A$3:$A$500,$C31,'DADOS BRUTOS'!GG$3:GG$500)))</f>
        <v/>
      </c>
      <c r="JH31" s="123">
        <f>IF(OR(JH$4="",$B31=""),0,SUMIF('DADOS BRUTOS'!$A$3:$A$500,$B31,'DADOS BRUTOS'!GH$3:GH$500)+IF($C31="",0,SUMIF('DADOS BRUTOS'!$A$3:$A$500,$C31,'DADOS BRUTOS'!GH$3:GH$500)))</f>
        <v/>
      </c>
      <c r="JI31" s="123">
        <f>IF(OR(JI$4="",$B31=""),0,SUMIF('DADOS BRUTOS'!$A$3:$A$500,$B31,'DADOS BRUTOS'!GI$3:GI$500)+IF($C31="",0,SUMIF('DADOS BRUTOS'!$A$3:$A$500,$C31,'DADOS BRUTOS'!GI$3:GI$500)))</f>
        <v/>
      </c>
      <c r="JJ31" s="123">
        <f>IF(OR(JJ$4="",$B31=""),0,SUMIF('DADOS BRUTOS'!$A$3:$A$500,$B31,'DADOS BRUTOS'!GJ$3:GJ$500)+IF($C31="",0,SUMIF('DADOS BRUTOS'!$A$3:$A$500,$C31,'DADOS BRUTOS'!GJ$3:GJ$500)))</f>
        <v/>
      </c>
      <c r="JK31" s="123">
        <f>IF(OR(JK$4="",$B31=""),0,SUMIF('DADOS BRUTOS'!$A$3:$A$500,$B31,'DADOS BRUTOS'!GK$3:GK$500)+IF($C31="",0,SUMIF('DADOS BRUTOS'!$A$3:$A$500,$C31,'DADOS BRUTOS'!GK$3:GK$500)))</f>
        <v/>
      </c>
      <c r="JL31" s="123">
        <f>IF(OR(JL$4="",$B31=""),0,SUMIF('DADOS BRUTOS'!$A$3:$A$500,$B31,'DADOS BRUTOS'!GL$3:GL$500)+IF($C31="",0,SUMIF('DADOS BRUTOS'!$A$3:$A$500,$C31,'DADOS BRUTOS'!GL$3:GL$500)))</f>
        <v/>
      </c>
      <c r="JM31" s="123">
        <f>IF(OR(JM$4="",$B31=""),0,SUMIF('DADOS BRUTOS'!$A$3:$A$500,$B31,'DADOS BRUTOS'!GM$3:GM$500)+IF($C31="",0,SUMIF('DADOS BRUTOS'!$A$3:$A$500,$C31,'DADOS BRUTOS'!GM$3:GM$500)))</f>
        <v/>
      </c>
      <c r="JN31" s="123">
        <f>IF(OR(JN$4="",$B31=""),0,SUMIF('DADOS BRUTOS'!$A$3:$A$500,$B31,'DADOS BRUTOS'!GN$3:GN$500)+IF($C31="",0,SUMIF('DADOS BRUTOS'!$A$3:$A$500,$C31,'DADOS BRUTOS'!GN$3:GN$500)))</f>
        <v/>
      </c>
      <c r="JO31" s="123">
        <f>IF(OR(JO$4="",$B31=""),0,SUMIF('DADOS BRUTOS'!$A$3:$A$500,$B31,'DADOS BRUTOS'!GO$3:GO$500)+IF($C31="",0,SUMIF('DADOS BRUTOS'!$A$3:$A$500,$C31,'DADOS BRUTOS'!GO$3:GO$500)))</f>
        <v/>
      </c>
      <c r="JP31" s="123">
        <f>IF(OR(JP$4="",$B31=""),0,SUMIF('DADOS BRUTOS'!$A$3:$A$500,$B31,'DADOS BRUTOS'!GP$3:GP$500)+IF($C31="",0,SUMIF('DADOS BRUTOS'!$A$3:$A$500,$C31,'DADOS BRUTOS'!GP$3:GP$500)))</f>
        <v/>
      </c>
      <c r="JQ31" s="123">
        <f>IF(OR(JQ$4="",$B31=""),0,SUMIF('DADOS BRUTOS'!$A$3:$A$500,$B31,'DADOS BRUTOS'!GQ$3:GQ$500)+IF($C31="",0,SUMIF('DADOS BRUTOS'!$A$3:$A$500,$C31,'DADOS BRUTOS'!GQ$3:GQ$500)))</f>
        <v/>
      </c>
      <c r="JR31" s="123">
        <f>IF(OR(JR$4="",$B31=""),0,SUMIF('DADOS BRUTOS'!$A$3:$A$500,$B31,'DADOS BRUTOS'!GR$3:GR$500)+IF($C31="",0,SUMIF('DADOS BRUTOS'!$A$3:$A$500,$C31,'DADOS BRUTOS'!GR$3:GR$500)))</f>
        <v/>
      </c>
      <c r="JS31" s="123">
        <f>IF(OR(JS$4="",$B31=""),0,SUMIF('DADOS BRUTOS'!$A$3:$A$500,$B31,'DADOS BRUTOS'!GS$3:GS$500)+IF($C31="",0,SUMIF('DADOS BRUTOS'!$A$3:$A$500,$C31,'DADOS BRUTOS'!GS$3:GS$500)))</f>
        <v/>
      </c>
    </row>
    <row r="32">
      <c r="A32" s="61">
        <f>'VALOR POR PL'!D38</f>
        <v/>
      </c>
      <c r="B32" s="60" t="inlineStr">
        <is>
          <t>REVESTIMENTOS DE MASSA EM PISOS</t>
        </is>
      </c>
      <c r="C32" s="60" t="n"/>
      <c r="D32" s="55">
        <f>SUMIF($CB$4:$JS$4,"&lt;="&amp;D$4,$CB32:$JS32)</f>
        <v/>
      </c>
      <c r="E32" s="55">
        <f>SUMIF($CB$4:$JS$4,E$4,$CB32:$JS32)</f>
        <v/>
      </c>
      <c r="F32" s="55">
        <f>SUMIF($CB$4:$JS$4,F$4,$CB32:$JS32)</f>
        <v/>
      </c>
      <c r="G32" s="55">
        <f>SUMIF($CB$4:$JS$4,G$4,$CB32:$JS32)</f>
        <v/>
      </c>
      <c r="H32" s="55">
        <f>SUMIF($CB$4:$JS$4,H$4,$CB32:$JS32)</f>
        <v/>
      </c>
      <c r="I32" s="55">
        <f>SUMIF($CB$4:$JS$4,I$4,$CB32:$JS32)</f>
        <v/>
      </c>
      <c r="J32" s="55">
        <f>SUMIF($CB$4:$JS$4,J$4,$CB32:$JS32)</f>
        <v/>
      </c>
      <c r="K32" s="55">
        <f>SUMIF($CB$4:$JS$4,K$4,$CB32:$JS32)</f>
        <v/>
      </c>
      <c r="L32" s="55">
        <f>SUMIF($CB$4:$JS$4,L$4,$CB32:$JS32)</f>
        <v/>
      </c>
      <c r="M32" s="55">
        <f>SUMIF($CB$4:$JS$4,M$4,$CB32:$JS32)</f>
        <v/>
      </c>
      <c r="N32" s="55">
        <f>SUMIF($CB$4:$JS$4,N$4,$CB32:$JS32)</f>
        <v/>
      </c>
      <c r="O32" s="55">
        <f>SUMIF($CB$4:$JS$4,O$4,$CB32:$JS32)</f>
        <v/>
      </c>
      <c r="P32" s="55">
        <f>SUMIF($CB$4:$JS$4,P$4,$CB32:$JS32)</f>
        <v/>
      </c>
      <c r="Q32" s="55">
        <f>SUMIF($CB$4:$JS$4,Q$4,$CB32:$JS32)</f>
        <v/>
      </c>
      <c r="R32" s="55">
        <f>SUMIF($CB$4:$JS$4,R$4,$CB32:$JS32)</f>
        <v/>
      </c>
      <c r="S32" s="55">
        <f>SUMIF($CB$4:$JS$4,S$4,$CB32:$JS32)</f>
        <v/>
      </c>
      <c r="T32" s="55">
        <f>SUMIF($CB$4:$JS$4,T$4,$CB32:$JS32)</f>
        <v/>
      </c>
      <c r="U32" s="55">
        <f>SUMIF($CB$4:$JS$4,U$4,$CB32:$JS32)</f>
        <v/>
      </c>
      <c r="V32" s="55">
        <f>SUMIF($CB$4:$JS$4,V$4,$CB32:$JS32)</f>
        <v/>
      </c>
      <c r="W32" s="55">
        <f>SUMIF($CB$4:$JS$4,W$4,$CB32:$JS32)</f>
        <v/>
      </c>
      <c r="X32" s="55">
        <f>SUMIF($CB$4:$JS$4,X$4,$CB32:$JS32)</f>
        <v/>
      </c>
      <c r="Y32" s="55">
        <f>SUMIF($CB$4:$JS$4,Y$4,$CB32:$JS32)</f>
        <v/>
      </c>
      <c r="Z32" s="55">
        <f>SUMIF($CB$4:$JS$4,Z$4,$CB32:$JS32)</f>
        <v/>
      </c>
      <c r="AA32" s="55">
        <f>SUMIF($CB$4:$JS$4,AA$4,$CB32:$JS32)</f>
        <v/>
      </c>
      <c r="AB32" s="55">
        <f>SUMIF($CB$4:$JS$4,AB$4,$CB32:$JS32)</f>
        <v/>
      </c>
      <c r="AC32" s="55">
        <f>SUMIF($CB$4:$JS$4,AC$4,$CB32:$JS32)</f>
        <v/>
      </c>
      <c r="AD32" s="55">
        <f>SUMIF($CB$4:$JS$4,AD$4,$CB32:$JS32)</f>
        <v/>
      </c>
      <c r="AE32" s="55">
        <f>SUMIF($CB$4:$JS$4,AE$4,$CB32:$JS32)</f>
        <v/>
      </c>
      <c r="AF32" s="55">
        <f>SUMIF($CB$4:$JS$4,AF$4,$CB32:$JS32)</f>
        <v/>
      </c>
      <c r="AG32" s="55">
        <f>SUMIF($CB$4:$JS$4,AG$4,$CB32:$JS32)</f>
        <v/>
      </c>
      <c r="AH32" s="55">
        <f>SUMIF($CB$4:$JS$4,AH$4,$CB32:$JS32)</f>
        <v/>
      </c>
      <c r="AI32" s="55">
        <f>SUMIF($CB$4:$JS$4,AI$4,$CB32:$JS32)</f>
        <v/>
      </c>
      <c r="AJ32" s="55">
        <f>SUMIF($CB$4:$JS$4,AJ$4,$CB32:$JS32)</f>
        <v/>
      </c>
      <c r="AK32" s="55">
        <f>SUMIF($CB$4:$JS$4,AK$4,$CB32:$JS32)</f>
        <v/>
      </c>
      <c r="AL32" s="55">
        <f>SUMIF($CB$4:$JS$4,AL$4,$CB32:$JS32)</f>
        <v/>
      </c>
      <c r="AM32" s="55">
        <f>SUMIF($CB$4:$JS$4,AM$4,$CB32:$JS32)</f>
        <v/>
      </c>
      <c r="AN32" s="55">
        <f>SUMIF($CB$4:$JS$4,AN$4,$CB32:$JS32)</f>
        <v/>
      </c>
      <c r="AO32" s="55">
        <f>SUMIF($CB$4:$JS$4,AO$4,$CB32:$JS32)</f>
        <v/>
      </c>
      <c r="AP32" s="55">
        <f>SUMIF($CB$4:$JS$4,AP$4,$CB32:$JS32)</f>
        <v/>
      </c>
      <c r="AQ32" s="55">
        <f>SUMIF($CB$4:$JS$4,AQ$4,$CB32:$JS32)</f>
        <v/>
      </c>
      <c r="AR32" s="55">
        <f>SUMIF($CB$4:$JS$4,AR$4,$CB32:$JS32)</f>
        <v/>
      </c>
      <c r="AS32" s="55">
        <f>SUMIF($CB$4:$JS$4,AS$4,$CB32:$JS32)</f>
        <v/>
      </c>
      <c r="AT32" s="55">
        <f>SUMIF($CB$4:$JS$4,AT$4,$CB32:$JS32)</f>
        <v/>
      </c>
      <c r="AU32" s="55">
        <f>SUMIF($CB$4:$JS$4,AU$4,$CB32:$JS32)</f>
        <v/>
      </c>
      <c r="AV32" s="55">
        <f>SUMIF($CB$4:$JS$4,AV$4,$CB32:$JS32)</f>
        <v/>
      </c>
      <c r="AW32" s="55">
        <f>SUMIF($CB$4:$JS$4,AW$4,$CB32:$JS32)</f>
        <v/>
      </c>
      <c r="AX32" s="55">
        <f>SUMIF($CB$4:$JS$4,AX$4,$CB32:$JS32)</f>
        <v/>
      </c>
      <c r="AY32" s="55">
        <f>SUMIF($CB$4:$JS$4,AY$4,$CB32:$JS32)</f>
        <v/>
      </c>
      <c r="AZ32" s="55">
        <f>SUMIF($CB$4:$JS$4,AZ$4,$CB32:$JS32)</f>
        <v/>
      </c>
      <c r="BA32" s="55">
        <f>SUMIF($CB$4:$JS$4,BA$4,$CB32:$JS32)</f>
        <v/>
      </c>
      <c r="BB32" s="55">
        <f>SUMIF($CB$4:$JS$4,BB$4,$CB32:$JS32)</f>
        <v/>
      </c>
      <c r="BC32" s="55">
        <f>SUMIF($CB$4:$JS$4,BC$4,$CB32:$JS32)</f>
        <v/>
      </c>
      <c r="BD32" s="55">
        <f>SUMIF($CB$4:$JS$4,BD$4,$CB32:$JS32)</f>
        <v/>
      </c>
      <c r="BE32" s="55">
        <f>SUMIF($CB$4:$JS$4,BE$4,$CB32:$JS32)</f>
        <v/>
      </c>
      <c r="BF32" s="55">
        <f>SUMIF($CB$4:$JS$4,BF$4,$CB32:$JS32)</f>
        <v/>
      </c>
      <c r="BG32" s="55">
        <f>SUMIF($CB$4:$JS$4,BG$4,$CB32:$JS32)</f>
        <v/>
      </c>
      <c r="BH32" s="55">
        <f>SUMIF($CB$4:$JS$4,BH$4,$CB32:$JS32)</f>
        <v/>
      </c>
      <c r="BI32" s="55">
        <f>SUMIF($CB$4:$JS$4,BI$4,$CB32:$JS32)</f>
        <v/>
      </c>
      <c r="BJ32" s="55">
        <f>SUMIF($CB$4:$JS$4,BJ$4,$CB32:$JS32)</f>
        <v/>
      </c>
      <c r="BK32" s="55">
        <f>SUMIF($CB$4:$JS$4,BK$4,$CB32:$JS32)</f>
        <v/>
      </c>
      <c r="BL32" s="55">
        <f>SUMIF($CB$4:$JS$4,BL$4,$CB32:$JS32)</f>
        <v/>
      </c>
      <c r="BM32" s="55">
        <f>SUMIF($CB$4:$JS$4,BM$4,$CB32:$JS32)</f>
        <v/>
      </c>
      <c r="BN32" s="55">
        <f>SUMIF($CB$4:$JS$4,BN$4,$CB32:$JS32)</f>
        <v/>
      </c>
      <c r="BO32" s="55">
        <f>SUMIF($CB$4:$JS$4,BO$4,$CB32:$JS32)</f>
        <v/>
      </c>
      <c r="BP32" s="55">
        <f>SUMIF($CB$4:$JS$4,BP$4,$CB32:$JS32)</f>
        <v/>
      </c>
      <c r="BQ32" s="55">
        <f>SUMIF($CB$4:$JS$4,BQ$4,$CB32:$JS32)</f>
        <v/>
      </c>
      <c r="BR32" s="55">
        <f>SUMIF($CB$4:$JS$4,BR$4,$CB32:$JS32)</f>
        <v/>
      </c>
      <c r="BS32" s="55">
        <f>SUMIF($CB$4:$JS$4,BS$4,$CB32:$JS32)</f>
        <v/>
      </c>
      <c r="BT32" s="55">
        <f>SUMIF($CB$4:$JS$4,BT$4,$CB32:$JS32)</f>
        <v/>
      </c>
      <c r="BU32" s="55">
        <f>SUMIF($CB$4:$JS$4,BU$4,$CB32:$JS32)</f>
        <v/>
      </c>
      <c r="BV32" s="55">
        <f>SUMIF($CB$4:$JS$4,BV$4,$CB32:$JS32)</f>
        <v/>
      </c>
      <c r="BW32" s="55">
        <f>SUMIF($CB$4:$JS$4,BW$4,$CB32:$JS32)</f>
        <v/>
      </c>
      <c r="BX32" s="55">
        <f>SUMIF($CB$4:$JS$4,"&gt;"&amp;'VALOR POR PL'!$P$8,$CB32:$JS32)</f>
        <v/>
      </c>
      <c r="BY32" s="55">
        <f>SUM($CB32:$JS32)</f>
        <v/>
      </c>
      <c r="CB32" s="123">
        <f>IF(OR(CB$4="",$B32=""),0,SUMIF('DADOS BRUTOS'!$A$3:$A$500,$B32,'DADOS BRUTOS'!B$3:B$500)+IF($C32="",0,SUMIF('DADOS BRUTOS'!$A$3:$A$500,$C32,'DADOS BRUTOS'!B$3:B$500)))</f>
        <v/>
      </c>
      <c r="CC32" s="123">
        <f>IF(OR(CC$4="",$B32=""),0,SUMIF('DADOS BRUTOS'!$A$3:$A$500,$B32,'DADOS BRUTOS'!C$3:C$500)+IF($C32="",0,SUMIF('DADOS BRUTOS'!$A$3:$A$500,$C32,'DADOS BRUTOS'!C$3:C$500)))</f>
        <v/>
      </c>
      <c r="CD32" s="123">
        <f>IF(OR(CD$4="",$B32=""),0,SUMIF('DADOS BRUTOS'!$A$3:$A$500,$B32,'DADOS BRUTOS'!D$3:D$500)+IF($C32="",0,SUMIF('DADOS BRUTOS'!$A$3:$A$500,$C32,'DADOS BRUTOS'!D$3:D$500)))</f>
        <v/>
      </c>
      <c r="CE32" s="123">
        <f>IF(OR(CE$4="",$B32=""),0,SUMIF('DADOS BRUTOS'!$A$3:$A$500,$B32,'DADOS BRUTOS'!E$3:E$500)+IF($C32="",0,SUMIF('DADOS BRUTOS'!$A$3:$A$500,$C32,'DADOS BRUTOS'!E$3:E$500)))</f>
        <v/>
      </c>
      <c r="CF32" s="123">
        <f>IF(OR(CF$4="",$B32=""),0,SUMIF('DADOS BRUTOS'!$A$3:$A$500,$B32,'DADOS BRUTOS'!F$3:F$500)+IF($C32="",0,SUMIF('DADOS BRUTOS'!$A$3:$A$500,$C32,'DADOS BRUTOS'!F$3:F$500)))</f>
        <v/>
      </c>
      <c r="CG32" s="123">
        <f>IF(OR(CG$4="",$B32=""),0,SUMIF('DADOS BRUTOS'!$A$3:$A$500,$B32,'DADOS BRUTOS'!G$3:G$500)+IF($C32="",0,SUMIF('DADOS BRUTOS'!$A$3:$A$500,$C32,'DADOS BRUTOS'!G$3:G$500)))</f>
        <v/>
      </c>
      <c r="CH32" s="123">
        <f>IF(OR(CH$4="",$B32=""),0,SUMIF('DADOS BRUTOS'!$A$3:$A$500,$B32,'DADOS BRUTOS'!H$3:H$500)+IF($C32="",0,SUMIF('DADOS BRUTOS'!$A$3:$A$500,$C32,'DADOS BRUTOS'!H$3:H$500)))</f>
        <v/>
      </c>
      <c r="CI32" s="123">
        <f>IF(OR(CI$4="",$B32=""),0,SUMIF('DADOS BRUTOS'!$A$3:$A$500,$B32,'DADOS BRUTOS'!I$3:I$500)+IF($C32="",0,SUMIF('DADOS BRUTOS'!$A$3:$A$500,$C32,'DADOS BRUTOS'!I$3:I$500)))</f>
        <v/>
      </c>
      <c r="CJ32" s="123">
        <f>IF(OR(CJ$4="",$B32=""),0,SUMIF('DADOS BRUTOS'!$A$3:$A$500,$B32,'DADOS BRUTOS'!J$3:J$500)+IF($C32="",0,SUMIF('DADOS BRUTOS'!$A$3:$A$500,$C32,'DADOS BRUTOS'!J$3:J$500)))</f>
        <v/>
      </c>
      <c r="CK32" s="123">
        <f>IF(OR(CK$4="",$B32=""),0,SUMIF('DADOS BRUTOS'!$A$3:$A$500,$B32,'DADOS BRUTOS'!K$3:K$500)+IF($C32="",0,SUMIF('DADOS BRUTOS'!$A$3:$A$500,$C32,'DADOS BRUTOS'!K$3:K$500)))</f>
        <v/>
      </c>
      <c r="CL32" s="123">
        <f>IF(OR(CL$4="",$B32=""),0,SUMIF('DADOS BRUTOS'!$A$3:$A$500,$B32,'DADOS BRUTOS'!L$3:L$500)+IF($C32="",0,SUMIF('DADOS BRUTOS'!$A$3:$A$500,$C32,'DADOS BRUTOS'!L$3:L$500)))</f>
        <v/>
      </c>
      <c r="CM32" s="123">
        <f>IF(OR(CM$4="",$B32=""),0,SUMIF('DADOS BRUTOS'!$A$3:$A$500,$B32,'DADOS BRUTOS'!M$3:M$500)+IF($C32="",0,SUMIF('DADOS BRUTOS'!$A$3:$A$500,$C32,'DADOS BRUTOS'!M$3:M$500)))</f>
        <v/>
      </c>
      <c r="CN32" s="123">
        <f>IF(OR(CN$4="",$B32=""),0,SUMIF('DADOS BRUTOS'!$A$3:$A$500,$B32,'DADOS BRUTOS'!N$3:N$500)+IF($C32="",0,SUMIF('DADOS BRUTOS'!$A$3:$A$500,$C32,'DADOS BRUTOS'!N$3:N$500)))</f>
        <v/>
      </c>
      <c r="CO32" s="123">
        <f>IF(OR(CO$4="",$B32=""),0,SUMIF('DADOS BRUTOS'!$A$3:$A$500,$B32,'DADOS BRUTOS'!O$3:O$500)+IF($C32="",0,SUMIF('DADOS BRUTOS'!$A$3:$A$500,$C32,'DADOS BRUTOS'!O$3:O$500)))</f>
        <v/>
      </c>
      <c r="CP32" s="123">
        <f>IF(OR(CP$4="",$B32=""),0,SUMIF('DADOS BRUTOS'!$A$3:$A$500,$B32,'DADOS BRUTOS'!P$3:P$500)+IF($C32="",0,SUMIF('DADOS BRUTOS'!$A$3:$A$500,$C32,'DADOS BRUTOS'!P$3:P$500)))</f>
        <v/>
      </c>
      <c r="CQ32" s="123">
        <f>IF(OR(CQ$4="",$B32=""),0,SUMIF('DADOS BRUTOS'!$A$3:$A$500,$B32,'DADOS BRUTOS'!Q$3:Q$500)+IF($C32="",0,SUMIF('DADOS BRUTOS'!$A$3:$A$500,$C32,'DADOS BRUTOS'!Q$3:Q$500)))</f>
        <v/>
      </c>
      <c r="CR32" s="123">
        <f>IF(OR(CR$4="",$B32=""),0,SUMIF('DADOS BRUTOS'!$A$3:$A$500,$B32,'DADOS BRUTOS'!R$3:R$500)+IF($C32="",0,SUMIF('DADOS BRUTOS'!$A$3:$A$500,$C32,'DADOS BRUTOS'!R$3:R$500)))</f>
        <v/>
      </c>
      <c r="CS32" s="123">
        <f>IF(OR(CS$4="",$B32=""),0,SUMIF('DADOS BRUTOS'!$A$3:$A$500,$B32,'DADOS BRUTOS'!S$3:S$500)+IF($C32="",0,SUMIF('DADOS BRUTOS'!$A$3:$A$500,$C32,'DADOS BRUTOS'!S$3:S$500)))</f>
        <v/>
      </c>
      <c r="CT32" s="123">
        <f>IF(OR(CT$4="",$B32=""),0,SUMIF('DADOS BRUTOS'!$A$3:$A$500,$B32,'DADOS BRUTOS'!T$3:T$500)+IF($C32="",0,SUMIF('DADOS BRUTOS'!$A$3:$A$500,$C32,'DADOS BRUTOS'!T$3:T$500)))</f>
        <v/>
      </c>
      <c r="CU32" s="123">
        <f>IF(OR(CU$4="",$B32=""),0,SUMIF('DADOS BRUTOS'!$A$3:$A$500,$B32,'DADOS BRUTOS'!U$3:U$500)+IF($C32="",0,SUMIF('DADOS BRUTOS'!$A$3:$A$500,$C32,'DADOS BRUTOS'!U$3:U$500)))</f>
        <v/>
      </c>
      <c r="CV32" s="123">
        <f>IF(OR(CV$4="",$B32=""),0,SUMIF('DADOS BRUTOS'!$A$3:$A$500,$B32,'DADOS BRUTOS'!V$3:V$500)+IF($C32="",0,SUMIF('DADOS BRUTOS'!$A$3:$A$500,$C32,'DADOS BRUTOS'!V$3:V$500)))</f>
        <v/>
      </c>
      <c r="CW32" s="123">
        <f>IF(OR(CW$4="",$B32=""),0,SUMIF('DADOS BRUTOS'!$A$3:$A$500,$B32,'DADOS BRUTOS'!W$3:W$500)+IF($C32="",0,SUMIF('DADOS BRUTOS'!$A$3:$A$500,$C32,'DADOS BRUTOS'!W$3:W$500)))</f>
        <v/>
      </c>
      <c r="CX32" s="123">
        <f>IF(OR(CX$4="",$B32=""),0,SUMIF('DADOS BRUTOS'!$A$3:$A$500,$B32,'DADOS BRUTOS'!X$3:X$500)+IF($C32="",0,SUMIF('DADOS BRUTOS'!$A$3:$A$500,$C32,'DADOS BRUTOS'!X$3:X$500)))</f>
        <v/>
      </c>
      <c r="CY32" s="123">
        <f>IF(OR(CY$4="",$B32=""),0,SUMIF('DADOS BRUTOS'!$A$3:$A$500,$B32,'DADOS BRUTOS'!Y$3:Y$500)+IF($C32="",0,SUMIF('DADOS BRUTOS'!$A$3:$A$500,$C32,'DADOS BRUTOS'!Y$3:Y$500)))</f>
        <v/>
      </c>
      <c r="CZ32" s="123">
        <f>IF(OR(CZ$4="",$B32=""),0,SUMIF('DADOS BRUTOS'!$A$3:$A$500,$B32,'DADOS BRUTOS'!Z$3:Z$500)+IF($C32="",0,SUMIF('DADOS BRUTOS'!$A$3:$A$500,$C32,'DADOS BRUTOS'!Z$3:Z$500)))</f>
        <v/>
      </c>
      <c r="DA32" s="123">
        <f>IF(OR(DA$4="",$B32=""),0,SUMIF('DADOS BRUTOS'!$A$3:$A$500,$B32,'DADOS BRUTOS'!AA$3:AA$500)+IF($C32="",0,SUMIF('DADOS BRUTOS'!$A$3:$A$500,$C32,'DADOS BRUTOS'!AA$3:AA$500)))</f>
        <v/>
      </c>
      <c r="DB32" s="123">
        <f>IF(OR(DB$4="",$B32=""),0,SUMIF('DADOS BRUTOS'!$A$3:$A$500,$B32,'DADOS BRUTOS'!AB$3:AB$500)+IF($C32="",0,SUMIF('DADOS BRUTOS'!$A$3:$A$500,$C32,'DADOS BRUTOS'!AB$3:AB$500)))</f>
        <v/>
      </c>
      <c r="DC32" s="123">
        <f>IF(OR(DC$4="",$B32=""),0,SUMIF('DADOS BRUTOS'!$A$3:$A$500,$B32,'DADOS BRUTOS'!AC$3:AC$500)+IF($C32="",0,SUMIF('DADOS BRUTOS'!$A$3:$A$500,$C32,'DADOS BRUTOS'!AC$3:AC$500)))</f>
        <v/>
      </c>
      <c r="DD32" s="123">
        <f>IF(OR(DD$4="",$B32=""),0,SUMIF('DADOS BRUTOS'!$A$3:$A$500,$B32,'DADOS BRUTOS'!AD$3:AD$500)+IF($C32="",0,SUMIF('DADOS BRUTOS'!$A$3:$A$500,$C32,'DADOS BRUTOS'!AD$3:AD$500)))</f>
        <v/>
      </c>
      <c r="DE32" s="123">
        <f>IF(OR(DE$4="",$B32=""),0,SUMIF('DADOS BRUTOS'!$A$3:$A$500,$B32,'DADOS BRUTOS'!AE$3:AE$500)+IF($C32="",0,SUMIF('DADOS BRUTOS'!$A$3:$A$500,$C32,'DADOS BRUTOS'!AE$3:AE$500)))</f>
        <v/>
      </c>
      <c r="DF32" s="123">
        <f>IF(OR(DF$4="",$B32=""),0,SUMIF('DADOS BRUTOS'!$A$3:$A$500,$B32,'DADOS BRUTOS'!AF$3:AF$500)+IF($C32="",0,SUMIF('DADOS BRUTOS'!$A$3:$A$500,$C32,'DADOS BRUTOS'!AF$3:AF$500)))</f>
        <v/>
      </c>
      <c r="DG32" s="123">
        <f>IF(OR(DG$4="",$B32=""),0,SUMIF('DADOS BRUTOS'!$A$3:$A$500,$B32,'DADOS BRUTOS'!AG$3:AG$500)+IF($C32="",0,SUMIF('DADOS BRUTOS'!$A$3:$A$500,$C32,'DADOS BRUTOS'!AG$3:AG$500)))</f>
        <v/>
      </c>
      <c r="DH32" s="123">
        <f>IF(OR(DH$4="",$B32=""),0,SUMIF('DADOS BRUTOS'!$A$3:$A$500,$B32,'DADOS BRUTOS'!AH$3:AH$500)+IF($C32="",0,SUMIF('DADOS BRUTOS'!$A$3:$A$500,$C32,'DADOS BRUTOS'!AH$3:AH$500)))</f>
        <v/>
      </c>
      <c r="DI32" s="123">
        <f>IF(OR(DI$4="",$B32=""),0,SUMIF('DADOS BRUTOS'!$A$3:$A$500,$B32,'DADOS BRUTOS'!AI$3:AI$500)+IF($C32="",0,SUMIF('DADOS BRUTOS'!$A$3:$A$500,$C32,'DADOS BRUTOS'!AI$3:AI$500)))</f>
        <v/>
      </c>
      <c r="DJ32" s="123">
        <f>IF(OR(DJ$4="",$B32=""),0,SUMIF('DADOS BRUTOS'!$A$3:$A$500,$B32,'DADOS BRUTOS'!AJ$3:AJ$500)+IF($C32="",0,SUMIF('DADOS BRUTOS'!$A$3:$A$500,$C32,'DADOS BRUTOS'!AJ$3:AJ$500)))</f>
        <v/>
      </c>
      <c r="DK32" s="123">
        <f>IF(OR(DK$4="",$B32=""),0,SUMIF('DADOS BRUTOS'!$A$3:$A$500,$B32,'DADOS BRUTOS'!AK$3:AK$500)+IF($C32="",0,SUMIF('DADOS BRUTOS'!$A$3:$A$500,$C32,'DADOS BRUTOS'!AK$3:AK$500)))</f>
        <v/>
      </c>
      <c r="DL32" s="123">
        <f>IF(OR(DL$4="",$B32=""),0,SUMIF('DADOS BRUTOS'!$A$3:$A$500,$B32,'DADOS BRUTOS'!AL$3:AL$500)+IF($C32="",0,SUMIF('DADOS BRUTOS'!$A$3:$A$500,$C32,'DADOS BRUTOS'!AL$3:AL$500)))</f>
        <v/>
      </c>
      <c r="DM32" s="123">
        <f>IF(OR(DM$4="",$B32=""),0,SUMIF('DADOS BRUTOS'!$A$3:$A$500,$B32,'DADOS BRUTOS'!AM$3:AM$500)+IF($C32="",0,SUMIF('DADOS BRUTOS'!$A$3:$A$500,$C32,'DADOS BRUTOS'!AM$3:AM$500)))</f>
        <v/>
      </c>
      <c r="DN32" s="123">
        <f>IF(OR(DN$4="",$B32=""),0,SUMIF('DADOS BRUTOS'!$A$3:$A$500,$B32,'DADOS BRUTOS'!AN$3:AN$500)+IF($C32="",0,SUMIF('DADOS BRUTOS'!$A$3:$A$500,$C32,'DADOS BRUTOS'!AN$3:AN$500)))</f>
        <v/>
      </c>
      <c r="DO32" s="123">
        <f>IF(OR(DO$4="",$B32=""),0,SUMIF('DADOS BRUTOS'!$A$3:$A$500,$B32,'DADOS BRUTOS'!AO$3:AO$500)+IF($C32="",0,SUMIF('DADOS BRUTOS'!$A$3:$A$500,$C32,'DADOS BRUTOS'!AO$3:AO$500)))</f>
        <v/>
      </c>
      <c r="DP32" s="123">
        <f>IF(OR(DP$4="",$B32=""),0,SUMIF('DADOS BRUTOS'!$A$3:$A$500,$B32,'DADOS BRUTOS'!AP$3:AP$500)+IF($C32="",0,SUMIF('DADOS BRUTOS'!$A$3:$A$500,$C32,'DADOS BRUTOS'!AP$3:AP$500)))</f>
        <v/>
      </c>
      <c r="DQ32" s="123">
        <f>IF(OR(DQ$4="",$B32=""),0,SUMIF('DADOS BRUTOS'!$A$3:$A$500,$B32,'DADOS BRUTOS'!AQ$3:AQ$500)+IF($C32="",0,SUMIF('DADOS BRUTOS'!$A$3:$A$500,$C32,'DADOS BRUTOS'!AQ$3:AQ$500)))</f>
        <v/>
      </c>
      <c r="DR32" s="123">
        <f>IF(OR(DR$4="",$B32=""),0,SUMIF('DADOS BRUTOS'!$A$3:$A$500,$B32,'DADOS BRUTOS'!AR$3:AR$500)+IF($C32="",0,SUMIF('DADOS BRUTOS'!$A$3:$A$500,$C32,'DADOS BRUTOS'!AR$3:AR$500)))</f>
        <v/>
      </c>
      <c r="DS32" s="123">
        <f>IF(OR(DS$4="",$B32=""),0,SUMIF('DADOS BRUTOS'!$A$3:$A$500,$B32,'DADOS BRUTOS'!AS$3:AS$500)+IF($C32="",0,SUMIF('DADOS BRUTOS'!$A$3:$A$500,$C32,'DADOS BRUTOS'!AS$3:AS$500)))</f>
        <v/>
      </c>
      <c r="DT32" s="123">
        <f>IF(OR(DT$4="",$B32=""),0,SUMIF('DADOS BRUTOS'!$A$3:$A$500,$B32,'DADOS BRUTOS'!AT$3:AT$500)+IF($C32="",0,SUMIF('DADOS BRUTOS'!$A$3:$A$500,$C32,'DADOS BRUTOS'!AT$3:AT$500)))</f>
        <v/>
      </c>
      <c r="DU32" s="123">
        <f>IF(OR(DU$4="",$B32=""),0,SUMIF('DADOS BRUTOS'!$A$3:$A$500,$B32,'DADOS BRUTOS'!AU$3:AU$500)+IF($C32="",0,SUMIF('DADOS BRUTOS'!$A$3:$A$500,$C32,'DADOS BRUTOS'!AU$3:AU$500)))</f>
        <v/>
      </c>
      <c r="DV32" s="123">
        <f>IF(OR(DV$4="",$B32=""),0,SUMIF('DADOS BRUTOS'!$A$3:$A$500,$B32,'DADOS BRUTOS'!AV$3:AV$500)+IF($C32="",0,SUMIF('DADOS BRUTOS'!$A$3:$A$500,$C32,'DADOS BRUTOS'!AV$3:AV$500)))</f>
        <v/>
      </c>
      <c r="DW32" s="123">
        <f>IF(OR(DW$4="",$B32=""),0,SUMIF('DADOS BRUTOS'!$A$3:$A$500,$B32,'DADOS BRUTOS'!AW$3:AW$500)+IF($C32="",0,SUMIF('DADOS BRUTOS'!$A$3:$A$500,$C32,'DADOS BRUTOS'!AW$3:AW$500)))</f>
        <v/>
      </c>
      <c r="DX32" s="123">
        <f>IF(OR(DX$4="",$B32=""),0,SUMIF('DADOS BRUTOS'!$A$3:$A$500,$B32,'DADOS BRUTOS'!AX$3:AX$500)+IF($C32="",0,SUMIF('DADOS BRUTOS'!$A$3:$A$500,$C32,'DADOS BRUTOS'!AX$3:AX$500)))</f>
        <v/>
      </c>
      <c r="DY32" s="123">
        <f>IF(OR(DY$4="",$B32=""),0,SUMIF('DADOS BRUTOS'!$A$3:$A$500,$B32,'DADOS BRUTOS'!AY$3:AY$500)+IF($C32="",0,SUMIF('DADOS BRUTOS'!$A$3:$A$500,$C32,'DADOS BRUTOS'!AY$3:AY$500)))</f>
        <v/>
      </c>
      <c r="DZ32" s="123">
        <f>IF(OR(DZ$4="",$B32=""),0,SUMIF('DADOS BRUTOS'!$A$3:$A$500,$B32,'DADOS BRUTOS'!AZ$3:AZ$500)+IF($C32="",0,SUMIF('DADOS BRUTOS'!$A$3:$A$500,$C32,'DADOS BRUTOS'!AZ$3:AZ$500)))</f>
        <v/>
      </c>
      <c r="EA32" s="123">
        <f>IF(OR(EA$4="",$B32=""),0,SUMIF('DADOS BRUTOS'!$A$3:$A$500,$B32,'DADOS BRUTOS'!BA$3:BA$500)+IF($C32="",0,SUMIF('DADOS BRUTOS'!$A$3:$A$500,$C32,'DADOS BRUTOS'!BA$3:BA$500)))</f>
        <v/>
      </c>
      <c r="EB32" s="123">
        <f>IF(OR(EB$4="",$B32=""),0,SUMIF('DADOS BRUTOS'!$A$3:$A$500,$B32,'DADOS BRUTOS'!BB$3:BB$500)+IF($C32="",0,SUMIF('DADOS BRUTOS'!$A$3:$A$500,$C32,'DADOS BRUTOS'!BB$3:BB$500)))</f>
        <v/>
      </c>
      <c r="EC32" s="123">
        <f>IF(OR(EC$4="",$B32=""),0,SUMIF('DADOS BRUTOS'!$A$3:$A$500,$B32,'DADOS BRUTOS'!BC$3:BC$500)+IF($C32="",0,SUMIF('DADOS BRUTOS'!$A$3:$A$500,$C32,'DADOS BRUTOS'!BC$3:BC$500)))</f>
        <v/>
      </c>
      <c r="ED32" s="123">
        <f>IF(OR(ED$4="",$B32=""),0,SUMIF('DADOS BRUTOS'!$A$3:$A$500,$B32,'DADOS BRUTOS'!BD$3:BD$500)+IF($C32="",0,SUMIF('DADOS BRUTOS'!$A$3:$A$500,$C32,'DADOS BRUTOS'!BD$3:BD$500)))</f>
        <v/>
      </c>
      <c r="EE32" s="123">
        <f>IF(OR(EE$4="",$B32=""),0,SUMIF('DADOS BRUTOS'!$A$3:$A$500,$B32,'DADOS BRUTOS'!BE$3:BE$500)+IF($C32="",0,SUMIF('DADOS BRUTOS'!$A$3:$A$500,$C32,'DADOS BRUTOS'!BE$3:BE$500)))</f>
        <v/>
      </c>
      <c r="EF32" s="123">
        <f>IF(OR(EF$4="",$B32=""),0,SUMIF('DADOS BRUTOS'!$A$3:$A$500,$B32,'DADOS BRUTOS'!BF$3:BF$500)+IF($C32="",0,SUMIF('DADOS BRUTOS'!$A$3:$A$500,$C32,'DADOS BRUTOS'!BF$3:BF$500)))</f>
        <v/>
      </c>
      <c r="EG32" s="123">
        <f>IF(OR(EG$4="",$B32=""),0,SUMIF('DADOS BRUTOS'!$A$3:$A$500,$B32,'DADOS BRUTOS'!BG$3:BG$500)+IF($C32="",0,SUMIF('DADOS BRUTOS'!$A$3:$A$500,$C32,'DADOS BRUTOS'!BG$3:BG$500)))</f>
        <v/>
      </c>
      <c r="EH32" s="123">
        <f>IF(OR(EH$4="",$B32=""),0,SUMIF('DADOS BRUTOS'!$A$3:$A$500,$B32,'DADOS BRUTOS'!BH$3:BH$500)+IF($C32="",0,SUMIF('DADOS BRUTOS'!$A$3:$A$500,$C32,'DADOS BRUTOS'!BH$3:BH$500)))</f>
        <v/>
      </c>
      <c r="EI32" s="123">
        <f>IF(OR(EI$4="",$B32=""),0,SUMIF('DADOS BRUTOS'!$A$3:$A$500,$B32,'DADOS BRUTOS'!BI$3:BI$500)+IF($C32="",0,SUMIF('DADOS BRUTOS'!$A$3:$A$500,$C32,'DADOS BRUTOS'!BI$3:BI$500)))</f>
        <v/>
      </c>
      <c r="EJ32" s="123">
        <f>IF(OR(EJ$4="",$B32=""),0,SUMIF('DADOS BRUTOS'!$A$3:$A$500,$B32,'DADOS BRUTOS'!BJ$3:BJ$500)+IF($C32="",0,SUMIF('DADOS BRUTOS'!$A$3:$A$500,$C32,'DADOS BRUTOS'!BJ$3:BJ$500)))</f>
        <v/>
      </c>
      <c r="EK32" s="123">
        <f>IF(OR(EK$4="",$B32=""),0,SUMIF('DADOS BRUTOS'!$A$3:$A$500,$B32,'DADOS BRUTOS'!BK$3:BK$500)+IF($C32="",0,SUMIF('DADOS BRUTOS'!$A$3:$A$500,$C32,'DADOS BRUTOS'!BK$3:BK$500)))</f>
        <v/>
      </c>
      <c r="EL32" s="123">
        <f>IF(OR(EL$4="",$B32=""),0,SUMIF('DADOS BRUTOS'!$A$3:$A$500,$B32,'DADOS BRUTOS'!BL$3:BL$500)+IF($C32="",0,SUMIF('DADOS BRUTOS'!$A$3:$A$500,$C32,'DADOS BRUTOS'!BL$3:BL$500)))</f>
        <v/>
      </c>
      <c r="EM32" s="123">
        <f>IF(OR(EM$4="",$B32=""),0,SUMIF('DADOS BRUTOS'!$A$3:$A$500,$B32,'DADOS BRUTOS'!BM$3:BM$500)+IF($C32="",0,SUMIF('DADOS BRUTOS'!$A$3:$A$500,$C32,'DADOS BRUTOS'!BM$3:BM$500)))</f>
        <v/>
      </c>
      <c r="EN32" s="123">
        <f>IF(OR(EN$4="",$B32=""),0,SUMIF('DADOS BRUTOS'!$A$3:$A$500,$B32,'DADOS BRUTOS'!BN$3:BN$500)+IF($C32="",0,SUMIF('DADOS BRUTOS'!$A$3:$A$500,$C32,'DADOS BRUTOS'!BN$3:BN$500)))</f>
        <v/>
      </c>
      <c r="EO32" s="123">
        <f>IF(OR(EO$4="",$B32=""),0,SUMIF('DADOS BRUTOS'!$A$3:$A$500,$B32,'DADOS BRUTOS'!BO$3:BO$500)+IF($C32="",0,SUMIF('DADOS BRUTOS'!$A$3:$A$500,$C32,'DADOS BRUTOS'!BO$3:BO$500)))</f>
        <v/>
      </c>
      <c r="EP32" s="123">
        <f>IF(OR(EP$4="",$B32=""),0,SUMIF('DADOS BRUTOS'!$A$3:$A$500,$B32,'DADOS BRUTOS'!BP$3:BP$500)+IF($C32="",0,SUMIF('DADOS BRUTOS'!$A$3:$A$500,$C32,'DADOS BRUTOS'!BP$3:BP$500)))</f>
        <v/>
      </c>
      <c r="EQ32" s="123">
        <f>IF(OR(EQ$4="",$B32=""),0,SUMIF('DADOS BRUTOS'!$A$3:$A$500,$B32,'DADOS BRUTOS'!BQ$3:BQ$500)+IF($C32="",0,SUMIF('DADOS BRUTOS'!$A$3:$A$500,$C32,'DADOS BRUTOS'!BQ$3:BQ$500)))</f>
        <v/>
      </c>
      <c r="ER32" s="123">
        <f>IF(OR(ER$4="",$B32=""),0,SUMIF('DADOS BRUTOS'!$A$3:$A$500,$B32,'DADOS BRUTOS'!BR$3:BR$500)+IF($C32="",0,SUMIF('DADOS BRUTOS'!$A$3:$A$500,$C32,'DADOS BRUTOS'!BR$3:BR$500)))</f>
        <v/>
      </c>
      <c r="ES32" s="123">
        <f>IF(OR(ES$4="",$B32=""),0,SUMIF('DADOS BRUTOS'!$A$3:$A$500,$B32,'DADOS BRUTOS'!BS$3:BS$500)+IF($C32="",0,SUMIF('DADOS BRUTOS'!$A$3:$A$500,$C32,'DADOS BRUTOS'!BS$3:BS$500)))</f>
        <v/>
      </c>
      <c r="ET32" s="123">
        <f>IF(OR(ET$4="",$B32=""),0,SUMIF('DADOS BRUTOS'!$A$3:$A$500,$B32,'DADOS BRUTOS'!BT$3:BT$500)+IF($C32="",0,SUMIF('DADOS BRUTOS'!$A$3:$A$500,$C32,'DADOS BRUTOS'!BT$3:BT$500)))</f>
        <v/>
      </c>
      <c r="EU32" s="123">
        <f>IF(OR(EU$4="",$B32=""),0,SUMIF('DADOS BRUTOS'!$A$3:$A$500,$B32,'DADOS BRUTOS'!BU$3:BU$500)+IF($C32="",0,SUMIF('DADOS BRUTOS'!$A$3:$A$500,$C32,'DADOS BRUTOS'!BU$3:BU$500)))</f>
        <v/>
      </c>
      <c r="EV32" s="123">
        <f>IF(OR(EV$4="",$B32=""),0,SUMIF('DADOS BRUTOS'!$A$3:$A$500,$B32,'DADOS BRUTOS'!BV$3:BV$500)+IF($C32="",0,SUMIF('DADOS BRUTOS'!$A$3:$A$500,$C32,'DADOS BRUTOS'!BV$3:BV$500)))</f>
        <v/>
      </c>
      <c r="EW32" s="123">
        <f>IF(OR(EW$4="",$B32=""),0,SUMIF('DADOS BRUTOS'!$A$3:$A$500,$B32,'DADOS BRUTOS'!BW$3:BW$500)+IF($C32="",0,SUMIF('DADOS BRUTOS'!$A$3:$A$500,$C32,'DADOS BRUTOS'!BW$3:BW$500)))</f>
        <v/>
      </c>
      <c r="EX32" s="123">
        <f>IF(OR(EX$4="",$B32=""),0,SUMIF('DADOS BRUTOS'!$A$3:$A$500,$B32,'DADOS BRUTOS'!BX$3:BX$500)+IF($C32="",0,SUMIF('DADOS BRUTOS'!$A$3:$A$500,$C32,'DADOS BRUTOS'!BX$3:BX$500)))</f>
        <v/>
      </c>
      <c r="EY32" s="123">
        <f>IF(OR(EY$4="",$B32=""),0,SUMIF('DADOS BRUTOS'!$A$3:$A$500,$B32,'DADOS BRUTOS'!BY$3:BY$500)+IF($C32="",0,SUMIF('DADOS BRUTOS'!$A$3:$A$500,$C32,'DADOS BRUTOS'!BY$3:BY$500)))</f>
        <v/>
      </c>
      <c r="EZ32" s="123">
        <f>IF(OR(EZ$4="",$B32=""),0,SUMIF('DADOS BRUTOS'!$A$3:$A$500,$B32,'DADOS BRUTOS'!BZ$3:BZ$500)+IF($C32="",0,SUMIF('DADOS BRUTOS'!$A$3:$A$500,$C32,'DADOS BRUTOS'!BZ$3:BZ$500)))</f>
        <v/>
      </c>
      <c r="FA32" s="123">
        <f>IF(OR(FA$4="",$B32=""),0,SUMIF('DADOS BRUTOS'!$A$3:$A$500,$B32,'DADOS BRUTOS'!CA$3:CA$500)+IF($C32="",0,SUMIF('DADOS BRUTOS'!$A$3:$A$500,$C32,'DADOS BRUTOS'!CA$3:CA$500)))</f>
        <v/>
      </c>
      <c r="FB32" s="123">
        <f>IF(OR(FB$4="",$B32=""),0,SUMIF('DADOS BRUTOS'!$A$3:$A$500,$B32,'DADOS BRUTOS'!CB$3:CB$500)+IF($C32="",0,SUMIF('DADOS BRUTOS'!$A$3:$A$500,$C32,'DADOS BRUTOS'!CB$3:CB$500)))</f>
        <v/>
      </c>
      <c r="FC32" s="123">
        <f>IF(OR(FC$4="",$B32=""),0,SUMIF('DADOS BRUTOS'!$A$3:$A$500,$B32,'DADOS BRUTOS'!CC$3:CC$500)+IF($C32="",0,SUMIF('DADOS BRUTOS'!$A$3:$A$500,$C32,'DADOS BRUTOS'!CC$3:CC$500)))</f>
        <v/>
      </c>
      <c r="FD32" s="123">
        <f>IF(OR(FD$4="",$B32=""),0,SUMIF('DADOS BRUTOS'!$A$3:$A$500,$B32,'DADOS BRUTOS'!CD$3:CD$500)+IF($C32="",0,SUMIF('DADOS BRUTOS'!$A$3:$A$500,$C32,'DADOS BRUTOS'!CD$3:CD$500)))</f>
        <v/>
      </c>
      <c r="FE32" s="123">
        <f>IF(OR(FE$4="",$B32=""),0,SUMIF('DADOS BRUTOS'!$A$3:$A$500,$B32,'DADOS BRUTOS'!CE$3:CE$500)+IF($C32="",0,SUMIF('DADOS BRUTOS'!$A$3:$A$500,$C32,'DADOS BRUTOS'!CE$3:CE$500)))</f>
        <v/>
      </c>
      <c r="FF32" s="123">
        <f>IF(OR(FF$4="",$B32=""),0,SUMIF('DADOS BRUTOS'!$A$3:$A$500,$B32,'DADOS BRUTOS'!CF$3:CF$500)+IF($C32="",0,SUMIF('DADOS BRUTOS'!$A$3:$A$500,$C32,'DADOS BRUTOS'!CF$3:CF$500)))</f>
        <v/>
      </c>
      <c r="FG32" s="123">
        <f>IF(OR(FG$4="",$B32=""),0,SUMIF('DADOS BRUTOS'!$A$3:$A$500,$B32,'DADOS BRUTOS'!CG$3:CG$500)+IF($C32="",0,SUMIF('DADOS BRUTOS'!$A$3:$A$500,$C32,'DADOS BRUTOS'!CG$3:CG$500)))</f>
        <v/>
      </c>
      <c r="FH32" s="123">
        <f>IF(OR(FH$4="",$B32=""),0,SUMIF('DADOS BRUTOS'!$A$3:$A$500,$B32,'DADOS BRUTOS'!CH$3:CH$500)+IF($C32="",0,SUMIF('DADOS BRUTOS'!$A$3:$A$500,$C32,'DADOS BRUTOS'!CH$3:CH$500)))</f>
        <v/>
      </c>
      <c r="FI32" s="123">
        <f>IF(OR(FI$4="",$B32=""),0,SUMIF('DADOS BRUTOS'!$A$3:$A$500,$B32,'DADOS BRUTOS'!CI$3:CI$500)+IF($C32="",0,SUMIF('DADOS BRUTOS'!$A$3:$A$500,$C32,'DADOS BRUTOS'!CI$3:CI$500)))</f>
        <v/>
      </c>
      <c r="FJ32" s="123">
        <f>IF(OR(FJ$4="",$B32=""),0,SUMIF('DADOS BRUTOS'!$A$3:$A$500,$B32,'DADOS BRUTOS'!CJ$3:CJ$500)+IF($C32="",0,SUMIF('DADOS BRUTOS'!$A$3:$A$500,$C32,'DADOS BRUTOS'!CJ$3:CJ$500)))</f>
        <v/>
      </c>
      <c r="FK32" s="123">
        <f>IF(OR(FK$4="",$B32=""),0,SUMIF('DADOS BRUTOS'!$A$3:$A$500,$B32,'DADOS BRUTOS'!CK$3:CK$500)+IF($C32="",0,SUMIF('DADOS BRUTOS'!$A$3:$A$500,$C32,'DADOS BRUTOS'!CK$3:CK$500)))</f>
        <v/>
      </c>
      <c r="FL32" s="123">
        <f>IF(OR(FL$4="",$B32=""),0,SUMIF('DADOS BRUTOS'!$A$3:$A$500,$B32,'DADOS BRUTOS'!CL$3:CL$500)+IF($C32="",0,SUMIF('DADOS BRUTOS'!$A$3:$A$500,$C32,'DADOS BRUTOS'!CL$3:CL$500)))</f>
        <v/>
      </c>
      <c r="FM32" s="123">
        <f>IF(OR(FM$4="",$B32=""),0,SUMIF('DADOS BRUTOS'!$A$3:$A$500,$B32,'DADOS BRUTOS'!CM$3:CM$500)+IF($C32="",0,SUMIF('DADOS BRUTOS'!$A$3:$A$500,$C32,'DADOS BRUTOS'!CM$3:CM$500)))</f>
        <v/>
      </c>
      <c r="FN32" s="123">
        <f>IF(OR(FN$4="",$B32=""),0,SUMIF('DADOS BRUTOS'!$A$3:$A$500,$B32,'DADOS BRUTOS'!CN$3:CN$500)+IF($C32="",0,SUMIF('DADOS BRUTOS'!$A$3:$A$500,$C32,'DADOS BRUTOS'!CN$3:CN$500)))</f>
        <v/>
      </c>
      <c r="FO32" s="123">
        <f>IF(OR(FO$4="",$B32=""),0,SUMIF('DADOS BRUTOS'!$A$3:$A$500,$B32,'DADOS BRUTOS'!CO$3:CO$500)+IF($C32="",0,SUMIF('DADOS BRUTOS'!$A$3:$A$500,$C32,'DADOS BRUTOS'!CO$3:CO$500)))</f>
        <v/>
      </c>
      <c r="FP32" s="123">
        <f>IF(OR(FP$4="",$B32=""),0,SUMIF('DADOS BRUTOS'!$A$3:$A$500,$B32,'DADOS BRUTOS'!CP$3:CP$500)+IF($C32="",0,SUMIF('DADOS BRUTOS'!$A$3:$A$500,$C32,'DADOS BRUTOS'!CP$3:CP$500)))</f>
        <v/>
      </c>
      <c r="FQ32" s="123">
        <f>IF(OR(FQ$4="",$B32=""),0,SUMIF('DADOS BRUTOS'!$A$3:$A$500,$B32,'DADOS BRUTOS'!CQ$3:CQ$500)+IF($C32="",0,SUMIF('DADOS BRUTOS'!$A$3:$A$500,$C32,'DADOS BRUTOS'!CQ$3:CQ$500)))</f>
        <v/>
      </c>
      <c r="FR32" s="123">
        <f>IF(OR(FR$4="",$B32=""),0,SUMIF('DADOS BRUTOS'!$A$3:$A$500,$B32,'DADOS BRUTOS'!CR$3:CR$500)+IF($C32="",0,SUMIF('DADOS BRUTOS'!$A$3:$A$500,$C32,'DADOS BRUTOS'!CR$3:CR$500)))</f>
        <v/>
      </c>
      <c r="FS32" s="123">
        <f>IF(OR(FS$4="",$B32=""),0,SUMIF('DADOS BRUTOS'!$A$3:$A$500,$B32,'DADOS BRUTOS'!CS$3:CS$500)+IF($C32="",0,SUMIF('DADOS BRUTOS'!$A$3:$A$500,$C32,'DADOS BRUTOS'!CS$3:CS$500)))</f>
        <v/>
      </c>
      <c r="FT32" s="123">
        <f>IF(OR(FT$4="",$B32=""),0,SUMIF('DADOS BRUTOS'!$A$3:$A$500,$B32,'DADOS BRUTOS'!CT$3:CT$500)+IF($C32="",0,SUMIF('DADOS BRUTOS'!$A$3:$A$500,$C32,'DADOS BRUTOS'!CT$3:CT$500)))</f>
        <v/>
      </c>
      <c r="FU32" s="123">
        <f>IF(OR(FU$4="",$B32=""),0,SUMIF('DADOS BRUTOS'!$A$3:$A$500,$B32,'DADOS BRUTOS'!CU$3:CU$500)+IF($C32="",0,SUMIF('DADOS BRUTOS'!$A$3:$A$500,$C32,'DADOS BRUTOS'!CU$3:CU$500)))</f>
        <v/>
      </c>
      <c r="FV32" s="123">
        <f>IF(OR(FV$4="",$B32=""),0,SUMIF('DADOS BRUTOS'!$A$3:$A$500,$B32,'DADOS BRUTOS'!CV$3:CV$500)+IF($C32="",0,SUMIF('DADOS BRUTOS'!$A$3:$A$500,$C32,'DADOS BRUTOS'!CV$3:CV$500)))</f>
        <v/>
      </c>
      <c r="FW32" s="123">
        <f>IF(OR(FW$4="",$B32=""),0,SUMIF('DADOS BRUTOS'!$A$3:$A$500,$B32,'DADOS BRUTOS'!CW$3:CW$500)+IF($C32="",0,SUMIF('DADOS BRUTOS'!$A$3:$A$500,$C32,'DADOS BRUTOS'!CW$3:CW$500)))</f>
        <v/>
      </c>
      <c r="FX32" s="123">
        <f>IF(OR(FX$4="",$B32=""),0,SUMIF('DADOS BRUTOS'!$A$3:$A$500,$B32,'DADOS BRUTOS'!CX$3:CX$500)+IF($C32="",0,SUMIF('DADOS BRUTOS'!$A$3:$A$500,$C32,'DADOS BRUTOS'!CX$3:CX$500)))</f>
        <v/>
      </c>
      <c r="FY32" s="123">
        <f>IF(OR(FY$4="",$B32=""),0,SUMIF('DADOS BRUTOS'!$A$3:$A$500,$B32,'DADOS BRUTOS'!CY$3:CY$500)+IF($C32="",0,SUMIF('DADOS BRUTOS'!$A$3:$A$500,$C32,'DADOS BRUTOS'!CY$3:CY$500)))</f>
        <v/>
      </c>
      <c r="FZ32" s="123">
        <f>IF(OR(FZ$4="",$B32=""),0,SUMIF('DADOS BRUTOS'!$A$3:$A$500,$B32,'DADOS BRUTOS'!CZ$3:CZ$500)+IF($C32="",0,SUMIF('DADOS BRUTOS'!$A$3:$A$500,$C32,'DADOS BRUTOS'!CZ$3:CZ$500)))</f>
        <v/>
      </c>
      <c r="GA32" s="123">
        <f>IF(OR(GA$4="",$B32=""),0,SUMIF('DADOS BRUTOS'!$A$3:$A$500,$B32,'DADOS BRUTOS'!DA$3:DA$500)+IF($C32="",0,SUMIF('DADOS BRUTOS'!$A$3:$A$500,$C32,'DADOS BRUTOS'!DA$3:DA$500)))</f>
        <v/>
      </c>
      <c r="GB32" s="123">
        <f>IF(OR(GB$4="",$B32=""),0,SUMIF('DADOS BRUTOS'!$A$3:$A$500,$B32,'DADOS BRUTOS'!DB$3:DB$500)+IF($C32="",0,SUMIF('DADOS BRUTOS'!$A$3:$A$500,$C32,'DADOS BRUTOS'!DB$3:DB$500)))</f>
        <v/>
      </c>
      <c r="GC32" s="123">
        <f>IF(OR(GC$4="",$B32=""),0,SUMIF('DADOS BRUTOS'!$A$3:$A$500,$B32,'DADOS BRUTOS'!DC$3:DC$500)+IF($C32="",0,SUMIF('DADOS BRUTOS'!$A$3:$A$500,$C32,'DADOS BRUTOS'!DC$3:DC$500)))</f>
        <v/>
      </c>
      <c r="GD32" s="123">
        <f>IF(OR(GD$4="",$B32=""),0,SUMIF('DADOS BRUTOS'!$A$3:$A$500,$B32,'DADOS BRUTOS'!DD$3:DD$500)+IF($C32="",0,SUMIF('DADOS BRUTOS'!$A$3:$A$500,$C32,'DADOS BRUTOS'!DD$3:DD$500)))</f>
        <v/>
      </c>
      <c r="GE32" s="123">
        <f>IF(OR(GE$4="",$B32=""),0,SUMIF('DADOS BRUTOS'!$A$3:$A$500,$B32,'DADOS BRUTOS'!DE$3:DE$500)+IF($C32="",0,SUMIF('DADOS BRUTOS'!$A$3:$A$500,$C32,'DADOS BRUTOS'!DE$3:DE$500)))</f>
        <v/>
      </c>
      <c r="GF32" s="123">
        <f>IF(OR(GF$4="",$B32=""),0,SUMIF('DADOS BRUTOS'!$A$3:$A$500,$B32,'DADOS BRUTOS'!DF$3:DF$500)+IF($C32="",0,SUMIF('DADOS BRUTOS'!$A$3:$A$500,$C32,'DADOS BRUTOS'!DF$3:DF$500)))</f>
        <v/>
      </c>
      <c r="GG32" s="123">
        <f>IF(OR(GG$4="",$B32=""),0,SUMIF('DADOS BRUTOS'!$A$3:$A$500,$B32,'DADOS BRUTOS'!DG$3:DG$500)+IF($C32="",0,SUMIF('DADOS BRUTOS'!$A$3:$A$500,$C32,'DADOS BRUTOS'!DG$3:DG$500)))</f>
        <v/>
      </c>
      <c r="GH32" s="123">
        <f>IF(OR(GH$4="",$B32=""),0,SUMIF('DADOS BRUTOS'!$A$3:$A$500,$B32,'DADOS BRUTOS'!DH$3:DH$500)+IF($C32="",0,SUMIF('DADOS BRUTOS'!$A$3:$A$500,$C32,'DADOS BRUTOS'!DH$3:DH$500)))</f>
        <v/>
      </c>
      <c r="GI32" s="123">
        <f>IF(OR(GI$4="",$B32=""),0,SUMIF('DADOS BRUTOS'!$A$3:$A$500,$B32,'DADOS BRUTOS'!DI$3:DI$500)+IF($C32="",0,SUMIF('DADOS BRUTOS'!$A$3:$A$500,$C32,'DADOS BRUTOS'!DI$3:DI$500)))</f>
        <v/>
      </c>
      <c r="GJ32" s="123">
        <f>IF(OR(GJ$4="",$B32=""),0,SUMIF('DADOS BRUTOS'!$A$3:$A$500,$B32,'DADOS BRUTOS'!DJ$3:DJ$500)+IF($C32="",0,SUMIF('DADOS BRUTOS'!$A$3:$A$500,$C32,'DADOS BRUTOS'!DJ$3:DJ$500)))</f>
        <v/>
      </c>
      <c r="GK32" s="123">
        <f>IF(OR(GK$4="",$B32=""),0,SUMIF('DADOS BRUTOS'!$A$3:$A$500,$B32,'DADOS BRUTOS'!DK$3:DK$500)+IF($C32="",0,SUMIF('DADOS BRUTOS'!$A$3:$A$500,$C32,'DADOS BRUTOS'!DK$3:DK$500)))</f>
        <v/>
      </c>
      <c r="GL32" s="123">
        <f>IF(OR(GL$4="",$B32=""),0,SUMIF('DADOS BRUTOS'!$A$3:$A$500,$B32,'DADOS BRUTOS'!DL$3:DL$500)+IF($C32="",0,SUMIF('DADOS BRUTOS'!$A$3:$A$500,$C32,'DADOS BRUTOS'!DL$3:DL$500)))</f>
        <v/>
      </c>
      <c r="GM32" s="123">
        <f>IF(OR(GM$4="",$B32=""),0,SUMIF('DADOS BRUTOS'!$A$3:$A$500,$B32,'DADOS BRUTOS'!DM$3:DM$500)+IF($C32="",0,SUMIF('DADOS BRUTOS'!$A$3:$A$500,$C32,'DADOS BRUTOS'!DM$3:DM$500)))</f>
        <v/>
      </c>
      <c r="GN32" s="123">
        <f>IF(OR(GN$4="",$B32=""),0,SUMIF('DADOS BRUTOS'!$A$3:$A$500,$B32,'DADOS BRUTOS'!DN$3:DN$500)+IF($C32="",0,SUMIF('DADOS BRUTOS'!$A$3:$A$500,$C32,'DADOS BRUTOS'!DN$3:DN$500)))</f>
        <v/>
      </c>
      <c r="GO32" s="123">
        <f>IF(OR(GO$4="",$B32=""),0,SUMIF('DADOS BRUTOS'!$A$3:$A$500,$B32,'DADOS BRUTOS'!DO$3:DO$500)+IF($C32="",0,SUMIF('DADOS BRUTOS'!$A$3:$A$500,$C32,'DADOS BRUTOS'!DO$3:DO$500)))</f>
        <v/>
      </c>
      <c r="GP32" s="123">
        <f>IF(OR(GP$4="",$B32=""),0,SUMIF('DADOS BRUTOS'!$A$3:$A$500,$B32,'DADOS BRUTOS'!DP$3:DP$500)+IF($C32="",0,SUMIF('DADOS BRUTOS'!$A$3:$A$500,$C32,'DADOS BRUTOS'!DP$3:DP$500)))</f>
        <v/>
      </c>
      <c r="GQ32" s="123">
        <f>IF(OR(GQ$4="",$B32=""),0,SUMIF('DADOS BRUTOS'!$A$3:$A$500,$B32,'DADOS BRUTOS'!DQ$3:DQ$500)+IF($C32="",0,SUMIF('DADOS BRUTOS'!$A$3:$A$500,$C32,'DADOS BRUTOS'!DQ$3:DQ$500)))</f>
        <v/>
      </c>
      <c r="GR32" s="123">
        <f>IF(OR(GR$4="",$B32=""),0,SUMIF('DADOS BRUTOS'!$A$3:$A$500,$B32,'DADOS BRUTOS'!DR$3:DR$500)+IF($C32="",0,SUMIF('DADOS BRUTOS'!$A$3:$A$500,$C32,'DADOS BRUTOS'!DR$3:DR$500)))</f>
        <v/>
      </c>
      <c r="GS32" s="123">
        <f>IF(OR(GS$4="",$B32=""),0,SUMIF('DADOS BRUTOS'!$A$3:$A$500,$B32,'DADOS BRUTOS'!DS$3:DS$500)+IF($C32="",0,SUMIF('DADOS BRUTOS'!$A$3:$A$500,$C32,'DADOS BRUTOS'!DS$3:DS$500)))</f>
        <v/>
      </c>
      <c r="GT32" s="123">
        <f>IF(OR(GT$4="",$B32=""),0,SUMIF('DADOS BRUTOS'!$A$3:$A$500,$B32,'DADOS BRUTOS'!DT$3:DT$500)+IF($C32="",0,SUMIF('DADOS BRUTOS'!$A$3:$A$500,$C32,'DADOS BRUTOS'!DT$3:DT$500)))</f>
        <v/>
      </c>
      <c r="GU32" s="123">
        <f>IF(OR(GU$4="",$B32=""),0,SUMIF('DADOS BRUTOS'!$A$3:$A$500,$B32,'DADOS BRUTOS'!DU$3:DU$500)+IF($C32="",0,SUMIF('DADOS BRUTOS'!$A$3:$A$500,$C32,'DADOS BRUTOS'!DU$3:DU$500)))</f>
        <v/>
      </c>
      <c r="GV32" s="123">
        <f>IF(OR(GV$4="",$B32=""),0,SUMIF('DADOS BRUTOS'!$A$3:$A$500,$B32,'DADOS BRUTOS'!DV$3:DV$500)+IF($C32="",0,SUMIF('DADOS BRUTOS'!$A$3:$A$500,$C32,'DADOS BRUTOS'!DV$3:DV$500)))</f>
        <v/>
      </c>
      <c r="GW32" s="123">
        <f>IF(OR(GW$4="",$B32=""),0,SUMIF('DADOS BRUTOS'!$A$3:$A$500,$B32,'DADOS BRUTOS'!DW$3:DW$500)+IF($C32="",0,SUMIF('DADOS BRUTOS'!$A$3:$A$500,$C32,'DADOS BRUTOS'!DW$3:DW$500)))</f>
        <v/>
      </c>
      <c r="GX32" s="123">
        <f>IF(OR(GX$4="",$B32=""),0,SUMIF('DADOS BRUTOS'!$A$3:$A$500,$B32,'DADOS BRUTOS'!DX$3:DX$500)+IF($C32="",0,SUMIF('DADOS BRUTOS'!$A$3:$A$500,$C32,'DADOS BRUTOS'!DX$3:DX$500)))</f>
        <v/>
      </c>
      <c r="GY32" s="123">
        <f>IF(OR(GY$4="",$B32=""),0,SUMIF('DADOS BRUTOS'!$A$3:$A$500,$B32,'DADOS BRUTOS'!DY$3:DY$500)+IF($C32="",0,SUMIF('DADOS BRUTOS'!$A$3:$A$500,$C32,'DADOS BRUTOS'!DY$3:DY$500)))</f>
        <v/>
      </c>
      <c r="GZ32" s="123">
        <f>IF(OR(GZ$4="",$B32=""),0,SUMIF('DADOS BRUTOS'!$A$3:$A$500,$B32,'DADOS BRUTOS'!DZ$3:DZ$500)+IF($C32="",0,SUMIF('DADOS BRUTOS'!$A$3:$A$500,$C32,'DADOS BRUTOS'!DZ$3:DZ$500)))</f>
        <v/>
      </c>
      <c r="HA32" s="123">
        <f>IF(OR(HA$4="",$B32=""),0,SUMIF('DADOS BRUTOS'!$A$3:$A$500,$B32,'DADOS BRUTOS'!EA$3:EA$500)+IF($C32="",0,SUMIF('DADOS BRUTOS'!$A$3:$A$500,$C32,'DADOS BRUTOS'!EA$3:EA$500)))</f>
        <v/>
      </c>
      <c r="HB32" s="123">
        <f>IF(OR(HB$4="",$B32=""),0,SUMIF('DADOS BRUTOS'!$A$3:$A$500,$B32,'DADOS BRUTOS'!EB$3:EB$500)+IF($C32="",0,SUMIF('DADOS BRUTOS'!$A$3:$A$500,$C32,'DADOS BRUTOS'!EB$3:EB$500)))</f>
        <v/>
      </c>
      <c r="HC32" s="123">
        <f>IF(OR(HC$4="",$B32=""),0,SUMIF('DADOS BRUTOS'!$A$3:$A$500,$B32,'DADOS BRUTOS'!EC$3:EC$500)+IF($C32="",0,SUMIF('DADOS BRUTOS'!$A$3:$A$500,$C32,'DADOS BRUTOS'!EC$3:EC$500)))</f>
        <v/>
      </c>
      <c r="HD32" s="123">
        <f>IF(OR(HD$4="",$B32=""),0,SUMIF('DADOS BRUTOS'!$A$3:$A$500,$B32,'DADOS BRUTOS'!ED$3:ED$500)+IF($C32="",0,SUMIF('DADOS BRUTOS'!$A$3:$A$500,$C32,'DADOS BRUTOS'!ED$3:ED$500)))</f>
        <v/>
      </c>
      <c r="HE32" s="123">
        <f>IF(OR(HE$4="",$B32=""),0,SUMIF('DADOS BRUTOS'!$A$3:$A$500,$B32,'DADOS BRUTOS'!EE$3:EE$500)+IF($C32="",0,SUMIF('DADOS BRUTOS'!$A$3:$A$500,$C32,'DADOS BRUTOS'!EE$3:EE$500)))</f>
        <v/>
      </c>
      <c r="HF32" s="123">
        <f>IF(OR(HF$4="",$B32=""),0,SUMIF('DADOS BRUTOS'!$A$3:$A$500,$B32,'DADOS BRUTOS'!EF$3:EF$500)+IF($C32="",0,SUMIF('DADOS BRUTOS'!$A$3:$A$500,$C32,'DADOS BRUTOS'!EF$3:EF$500)))</f>
        <v/>
      </c>
      <c r="HG32" s="123">
        <f>IF(OR(HG$4="",$B32=""),0,SUMIF('DADOS BRUTOS'!$A$3:$A$500,$B32,'DADOS BRUTOS'!EG$3:EG$500)+IF($C32="",0,SUMIF('DADOS BRUTOS'!$A$3:$A$500,$C32,'DADOS BRUTOS'!EG$3:EG$500)))</f>
        <v/>
      </c>
      <c r="HH32" s="123">
        <f>IF(OR(HH$4="",$B32=""),0,SUMIF('DADOS BRUTOS'!$A$3:$A$500,$B32,'DADOS BRUTOS'!EH$3:EH$500)+IF($C32="",0,SUMIF('DADOS BRUTOS'!$A$3:$A$500,$C32,'DADOS BRUTOS'!EH$3:EH$500)))</f>
        <v/>
      </c>
      <c r="HI32" s="123">
        <f>IF(OR(HI$4="",$B32=""),0,SUMIF('DADOS BRUTOS'!$A$3:$A$500,$B32,'DADOS BRUTOS'!EI$3:EI$500)+IF($C32="",0,SUMIF('DADOS BRUTOS'!$A$3:$A$500,$C32,'DADOS BRUTOS'!EI$3:EI$500)))</f>
        <v/>
      </c>
      <c r="HJ32" s="123">
        <f>IF(OR(HJ$4="",$B32=""),0,SUMIF('DADOS BRUTOS'!$A$3:$A$500,$B32,'DADOS BRUTOS'!EJ$3:EJ$500)+IF($C32="",0,SUMIF('DADOS BRUTOS'!$A$3:$A$500,$C32,'DADOS BRUTOS'!EJ$3:EJ$500)))</f>
        <v/>
      </c>
      <c r="HK32" s="123">
        <f>IF(OR(HK$4="",$B32=""),0,SUMIF('DADOS BRUTOS'!$A$3:$A$500,$B32,'DADOS BRUTOS'!EK$3:EK$500)+IF($C32="",0,SUMIF('DADOS BRUTOS'!$A$3:$A$500,$C32,'DADOS BRUTOS'!EK$3:EK$500)))</f>
        <v/>
      </c>
      <c r="HL32" s="123">
        <f>IF(OR(HL$4="",$B32=""),0,SUMIF('DADOS BRUTOS'!$A$3:$A$500,$B32,'DADOS BRUTOS'!EL$3:EL$500)+IF($C32="",0,SUMIF('DADOS BRUTOS'!$A$3:$A$500,$C32,'DADOS BRUTOS'!EL$3:EL$500)))</f>
        <v/>
      </c>
      <c r="HM32" s="123">
        <f>IF(OR(HM$4="",$B32=""),0,SUMIF('DADOS BRUTOS'!$A$3:$A$500,$B32,'DADOS BRUTOS'!EM$3:EM$500)+IF($C32="",0,SUMIF('DADOS BRUTOS'!$A$3:$A$500,$C32,'DADOS BRUTOS'!EM$3:EM$500)))</f>
        <v/>
      </c>
      <c r="HN32" s="123">
        <f>IF(OR(HN$4="",$B32=""),0,SUMIF('DADOS BRUTOS'!$A$3:$A$500,$B32,'DADOS BRUTOS'!EN$3:EN$500)+IF($C32="",0,SUMIF('DADOS BRUTOS'!$A$3:$A$500,$C32,'DADOS BRUTOS'!EN$3:EN$500)))</f>
        <v/>
      </c>
      <c r="HO32" s="123">
        <f>IF(OR(HO$4="",$B32=""),0,SUMIF('DADOS BRUTOS'!$A$3:$A$500,$B32,'DADOS BRUTOS'!EO$3:EO$500)+IF($C32="",0,SUMIF('DADOS BRUTOS'!$A$3:$A$500,$C32,'DADOS BRUTOS'!EO$3:EO$500)))</f>
        <v/>
      </c>
      <c r="HP32" s="123">
        <f>IF(OR(HP$4="",$B32=""),0,SUMIF('DADOS BRUTOS'!$A$3:$A$500,$B32,'DADOS BRUTOS'!EP$3:EP$500)+IF($C32="",0,SUMIF('DADOS BRUTOS'!$A$3:$A$500,$C32,'DADOS BRUTOS'!EP$3:EP$500)))</f>
        <v/>
      </c>
      <c r="HQ32" s="123">
        <f>IF(OR(HQ$4="",$B32=""),0,SUMIF('DADOS BRUTOS'!$A$3:$A$500,$B32,'DADOS BRUTOS'!EQ$3:EQ$500)+IF($C32="",0,SUMIF('DADOS BRUTOS'!$A$3:$A$500,$C32,'DADOS BRUTOS'!EQ$3:EQ$500)))</f>
        <v/>
      </c>
      <c r="HR32" s="123">
        <f>IF(OR(HR$4="",$B32=""),0,SUMIF('DADOS BRUTOS'!$A$3:$A$500,$B32,'DADOS BRUTOS'!ER$3:ER$500)+IF($C32="",0,SUMIF('DADOS BRUTOS'!$A$3:$A$500,$C32,'DADOS BRUTOS'!ER$3:ER$500)))</f>
        <v/>
      </c>
      <c r="HS32" s="123">
        <f>IF(OR(HS$4="",$B32=""),0,SUMIF('DADOS BRUTOS'!$A$3:$A$500,$B32,'DADOS BRUTOS'!ES$3:ES$500)+IF($C32="",0,SUMIF('DADOS BRUTOS'!$A$3:$A$500,$C32,'DADOS BRUTOS'!ES$3:ES$500)))</f>
        <v/>
      </c>
      <c r="HT32" s="123">
        <f>IF(OR(HT$4="",$B32=""),0,SUMIF('DADOS BRUTOS'!$A$3:$A$500,$B32,'DADOS BRUTOS'!ET$3:ET$500)+IF($C32="",0,SUMIF('DADOS BRUTOS'!$A$3:$A$500,$C32,'DADOS BRUTOS'!ET$3:ET$500)))</f>
        <v/>
      </c>
      <c r="HU32" s="123">
        <f>IF(OR(HU$4="",$B32=""),0,SUMIF('DADOS BRUTOS'!$A$3:$A$500,$B32,'DADOS BRUTOS'!EU$3:EU$500)+IF($C32="",0,SUMIF('DADOS BRUTOS'!$A$3:$A$500,$C32,'DADOS BRUTOS'!EU$3:EU$500)))</f>
        <v/>
      </c>
      <c r="HV32" s="123">
        <f>IF(OR(HV$4="",$B32=""),0,SUMIF('DADOS BRUTOS'!$A$3:$A$500,$B32,'DADOS BRUTOS'!EV$3:EV$500)+IF($C32="",0,SUMIF('DADOS BRUTOS'!$A$3:$A$500,$C32,'DADOS BRUTOS'!EV$3:EV$500)))</f>
        <v/>
      </c>
      <c r="HW32" s="123">
        <f>IF(OR(HW$4="",$B32=""),0,SUMIF('DADOS BRUTOS'!$A$3:$A$500,$B32,'DADOS BRUTOS'!EW$3:EW$500)+IF($C32="",0,SUMIF('DADOS BRUTOS'!$A$3:$A$500,$C32,'DADOS BRUTOS'!EW$3:EW$500)))</f>
        <v/>
      </c>
      <c r="HX32" s="123">
        <f>IF(OR(HX$4="",$B32=""),0,SUMIF('DADOS BRUTOS'!$A$3:$A$500,$B32,'DADOS BRUTOS'!EX$3:EX$500)+IF($C32="",0,SUMIF('DADOS BRUTOS'!$A$3:$A$500,$C32,'DADOS BRUTOS'!EX$3:EX$500)))</f>
        <v/>
      </c>
      <c r="HY32" s="123">
        <f>IF(OR(HY$4="",$B32=""),0,SUMIF('DADOS BRUTOS'!$A$3:$A$500,$B32,'DADOS BRUTOS'!EY$3:EY$500)+IF($C32="",0,SUMIF('DADOS BRUTOS'!$A$3:$A$500,$C32,'DADOS BRUTOS'!EY$3:EY$500)))</f>
        <v/>
      </c>
      <c r="HZ32" s="123">
        <f>IF(OR(HZ$4="",$B32=""),0,SUMIF('DADOS BRUTOS'!$A$3:$A$500,$B32,'DADOS BRUTOS'!EZ$3:EZ$500)+IF($C32="",0,SUMIF('DADOS BRUTOS'!$A$3:$A$500,$C32,'DADOS BRUTOS'!EZ$3:EZ$500)))</f>
        <v/>
      </c>
      <c r="IA32" s="123">
        <f>IF(OR(IA$4="",$B32=""),0,SUMIF('DADOS BRUTOS'!$A$3:$A$500,$B32,'DADOS BRUTOS'!FA$3:FA$500)+IF($C32="",0,SUMIF('DADOS BRUTOS'!$A$3:$A$500,$C32,'DADOS BRUTOS'!FA$3:FA$500)))</f>
        <v/>
      </c>
      <c r="IB32" s="123">
        <f>IF(OR(IB$4="",$B32=""),0,SUMIF('DADOS BRUTOS'!$A$3:$A$500,$B32,'DADOS BRUTOS'!FB$3:FB$500)+IF($C32="",0,SUMIF('DADOS BRUTOS'!$A$3:$A$500,$C32,'DADOS BRUTOS'!FB$3:FB$500)))</f>
        <v/>
      </c>
      <c r="IC32" s="123">
        <f>IF(OR(IC$4="",$B32=""),0,SUMIF('DADOS BRUTOS'!$A$3:$A$500,$B32,'DADOS BRUTOS'!FC$3:FC$500)+IF($C32="",0,SUMIF('DADOS BRUTOS'!$A$3:$A$500,$C32,'DADOS BRUTOS'!FC$3:FC$500)))</f>
        <v/>
      </c>
      <c r="ID32" s="123">
        <f>IF(OR(ID$4="",$B32=""),0,SUMIF('DADOS BRUTOS'!$A$3:$A$500,$B32,'DADOS BRUTOS'!FD$3:FD$500)+IF($C32="",0,SUMIF('DADOS BRUTOS'!$A$3:$A$500,$C32,'DADOS BRUTOS'!FD$3:FD$500)))</f>
        <v/>
      </c>
      <c r="IE32" s="123">
        <f>IF(OR(IE$4="",$B32=""),0,SUMIF('DADOS BRUTOS'!$A$3:$A$500,$B32,'DADOS BRUTOS'!FE$3:FE$500)+IF($C32="",0,SUMIF('DADOS BRUTOS'!$A$3:$A$500,$C32,'DADOS BRUTOS'!FE$3:FE$500)))</f>
        <v/>
      </c>
      <c r="IF32" s="123">
        <f>IF(OR(IF$4="",$B32=""),0,SUMIF('DADOS BRUTOS'!$A$3:$A$500,$B32,'DADOS BRUTOS'!FF$3:FF$500)+IF($C32="",0,SUMIF('DADOS BRUTOS'!$A$3:$A$500,$C32,'DADOS BRUTOS'!FF$3:FF$500)))</f>
        <v/>
      </c>
      <c r="IG32" s="123">
        <f>IF(OR(IG$4="",$B32=""),0,SUMIF('DADOS BRUTOS'!$A$3:$A$500,$B32,'DADOS BRUTOS'!FG$3:FG$500)+IF($C32="",0,SUMIF('DADOS BRUTOS'!$A$3:$A$500,$C32,'DADOS BRUTOS'!FG$3:FG$500)))</f>
        <v/>
      </c>
      <c r="IH32" s="123">
        <f>IF(OR(IH$4="",$B32=""),0,SUMIF('DADOS BRUTOS'!$A$3:$A$500,$B32,'DADOS BRUTOS'!FH$3:FH$500)+IF($C32="",0,SUMIF('DADOS BRUTOS'!$A$3:$A$500,$C32,'DADOS BRUTOS'!FH$3:FH$500)))</f>
        <v/>
      </c>
      <c r="II32" s="123">
        <f>IF(OR(II$4="",$B32=""),0,SUMIF('DADOS BRUTOS'!$A$3:$A$500,$B32,'DADOS BRUTOS'!FI$3:FI$500)+IF($C32="",0,SUMIF('DADOS BRUTOS'!$A$3:$A$500,$C32,'DADOS BRUTOS'!FI$3:FI$500)))</f>
        <v/>
      </c>
      <c r="IJ32" s="123">
        <f>IF(OR(IJ$4="",$B32=""),0,SUMIF('DADOS BRUTOS'!$A$3:$A$500,$B32,'DADOS BRUTOS'!FJ$3:FJ$500)+IF($C32="",0,SUMIF('DADOS BRUTOS'!$A$3:$A$500,$C32,'DADOS BRUTOS'!FJ$3:FJ$500)))</f>
        <v/>
      </c>
      <c r="IK32" s="123">
        <f>IF(OR(IK$4="",$B32=""),0,SUMIF('DADOS BRUTOS'!$A$3:$A$500,$B32,'DADOS BRUTOS'!FK$3:FK$500)+IF($C32="",0,SUMIF('DADOS BRUTOS'!$A$3:$A$500,$C32,'DADOS BRUTOS'!FK$3:FK$500)))</f>
        <v/>
      </c>
      <c r="IL32" s="123">
        <f>IF(OR(IL$4="",$B32=""),0,SUMIF('DADOS BRUTOS'!$A$3:$A$500,$B32,'DADOS BRUTOS'!FL$3:FL$500)+IF($C32="",0,SUMIF('DADOS BRUTOS'!$A$3:$A$500,$C32,'DADOS BRUTOS'!FL$3:FL$500)))</f>
        <v/>
      </c>
      <c r="IM32" s="123">
        <f>IF(OR(IM$4="",$B32=""),0,SUMIF('DADOS BRUTOS'!$A$3:$A$500,$B32,'DADOS BRUTOS'!FM$3:FM$500)+IF($C32="",0,SUMIF('DADOS BRUTOS'!$A$3:$A$500,$C32,'DADOS BRUTOS'!FM$3:FM$500)))</f>
        <v/>
      </c>
      <c r="IN32" s="123">
        <f>IF(OR(IN$4="",$B32=""),0,SUMIF('DADOS BRUTOS'!$A$3:$A$500,$B32,'DADOS BRUTOS'!FN$3:FN$500)+IF($C32="",0,SUMIF('DADOS BRUTOS'!$A$3:$A$500,$C32,'DADOS BRUTOS'!FN$3:FN$500)))</f>
        <v/>
      </c>
      <c r="IO32" s="123">
        <f>IF(OR(IO$4="",$B32=""),0,SUMIF('DADOS BRUTOS'!$A$3:$A$500,$B32,'DADOS BRUTOS'!FO$3:FO$500)+IF($C32="",0,SUMIF('DADOS BRUTOS'!$A$3:$A$500,$C32,'DADOS BRUTOS'!FO$3:FO$500)))</f>
        <v/>
      </c>
      <c r="IP32" s="123">
        <f>IF(OR(IP$4="",$B32=""),0,SUMIF('DADOS BRUTOS'!$A$3:$A$500,$B32,'DADOS BRUTOS'!FP$3:FP$500)+IF($C32="",0,SUMIF('DADOS BRUTOS'!$A$3:$A$500,$C32,'DADOS BRUTOS'!FP$3:FP$500)))</f>
        <v/>
      </c>
      <c r="IQ32" s="123">
        <f>IF(OR(IQ$4="",$B32=""),0,SUMIF('DADOS BRUTOS'!$A$3:$A$500,$B32,'DADOS BRUTOS'!FQ$3:FQ$500)+IF($C32="",0,SUMIF('DADOS BRUTOS'!$A$3:$A$500,$C32,'DADOS BRUTOS'!FQ$3:FQ$500)))</f>
        <v/>
      </c>
      <c r="IR32" s="123">
        <f>IF(OR(IR$4="",$B32=""),0,SUMIF('DADOS BRUTOS'!$A$3:$A$500,$B32,'DADOS BRUTOS'!FR$3:FR$500)+IF($C32="",0,SUMIF('DADOS BRUTOS'!$A$3:$A$500,$C32,'DADOS BRUTOS'!FR$3:FR$500)))</f>
        <v/>
      </c>
      <c r="IS32" s="123">
        <f>IF(OR(IS$4="",$B32=""),0,SUMIF('DADOS BRUTOS'!$A$3:$A$500,$B32,'DADOS BRUTOS'!FS$3:FS$500)+IF($C32="",0,SUMIF('DADOS BRUTOS'!$A$3:$A$500,$C32,'DADOS BRUTOS'!FS$3:FS$500)))</f>
        <v/>
      </c>
      <c r="IT32" s="123">
        <f>IF(OR(IT$4="",$B32=""),0,SUMIF('DADOS BRUTOS'!$A$3:$A$500,$B32,'DADOS BRUTOS'!FT$3:FT$500)+IF($C32="",0,SUMIF('DADOS BRUTOS'!$A$3:$A$500,$C32,'DADOS BRUTOS'!FT$3:FT$500)))</f>
        <v/>
      </c>
      <c r="IU32" s="123">
        <f>IF(OR(IU$4="",$B32=""),0,SUMIF('DADOS BRUTOS'!$A$3:$A$500,$B32,'DADOS BRUTOS'!FU$3:FU$500)+IF($C32="",0,SUMIF('DADOS BRUTOS'!$A$3:$A$500,$C32,'DADOS BRUTOS'!FU$3:FU$500)))</f>
        <v/>
      </c>
      <c r="IV32" s="123">
        <f>IF(OR(IV$4="",$B32=""),0,SUMIF('DADOS BRUTOS'!$A$3:$A$500,$B32,'DADOS BRUTOS'!FV$3:FV$500)+IF($C32="",0,SUMIF('DADOS BRUTOS'!$A$3:$A$500,$C32,'DADOS BRUTOS'!FV$3:FV$500)))</f>
        <v/>
      </c>
      <c r="IW32" s="123">
        <f>IF(OR(IW$4="",$B32=""),0,SUMIF('DADOS BRUTOS'!$A$3:$A$500,$B32,'DADOS BRUTOS'!FW$3:FW$500)+IF($C32="",0,SUMIF('DADOS BRUTOS'!$A$3:$A$500,$C32,'DADOS BRUTOS'!FW$3:FW$500)))</f>
        <v/>
      </c>
      <c r="IX32" s="123">
        <f>IF(OR(IX$4="",$B32=""),0,SUMIF('DADOS BRUTOS'!$A$3:$A$500,$B32,'DADOS BRUTOS'!FX$3:FX$500)+IF($C32="",0,SUMIF('DADOS BRUTOS'!$A$3:$A$500,$C32,'DADOS BRUTOS'!FX$3:FX$500)))</f>
        <v/>
      </c>
      <c r="IY32" s="123">
        <f>IF(OR(IY$4="",$B32=""),0,SUMIF('DADOS BRUTOS'!$A$3:$A$500,$B32,'DADOS BRUTOS'!FY$3:FY$500)+IF($C32="",0,SUMIF('DADOS BRUTOS'!$A$3:$A$500,$C32,'DADOS BRUTOS'!FY$3:FY$500)))</f>
        <v/>
      </c>
      <c r="IZ32" s="123">
        <f>IF(OR(IZ$4="",$B32=""),0,SUMIF('DADOS BRUTOS'!$A$3:$A$500,$B32,'DADOS BRUTOS'!FZ$3:FZ$500)+IF($C32="",0,SUMIF('DADOS BRUTOS'!$A$3:$A$500,$C32,'DADOS BRUTOS'!FZ$3:FZ$500)))</f>
        <v/>
      </c>
      <c r="JA32" s="123">
        <f>IF(OR(JA$4="",$B32=""),0,SUMIF('DADOS BRUTOS'!$A$3:$A$500,$B32,'DADOS BRUTOS'!GA$3:GA$500)+IF($C32="",0,SUMIF('DADOS BRUTOS'!$A$3:$A$500,$C32,'DADOS BRUTOS'!GA$3:GA$500)))</f>
        <v/>
      </c>
      <c r="JB32" s="123">
        <f>IF(OR(JB$4="",$B32=""),0,SUMIF('DADOS BRUTOS'!$A$3:$A$500,$B32,'DADOS BRUTOS'!GB$3:GB$500)+IF($C32="",0,SUMIF('DADOS BRUTOS'!$A$3:$A$500,$C32,'DADOS BRUTOS'!GB$3:GB$500)))</f>
        <v/>
      </c>
      <c r="JC32" s="123">
        <f>IF(OR(JC$4="",$B32=""),0,SUMIF('DADOS BRUTOS'!$A$3:$A$500,$B32,'DADOS BRUTOS'!GC$3:GC$500)+IF($C32="",0,SUMIF('DADOS BRUTOS'!$A$3:$A$500,$C32,'DADOS BRUTOS'!GC$3:GC$500)))</f>
        <v/>
      </c>
      <c r="JD32" s="123">
        <f>IF(OR(JD$4="",$B32=""),0,SUMIF('DADOS BRUTOS'!$A$3:$A$500,$B32,'DADOS BRUTOS'!GD$3:GD$500)+IF($C32="",0,SUMIF('DADOS BRUTOS'!$A$3:$A$500,$C32,'DADOS BRUTOS'!GD$3:GD$500)))</f>
        <v/>
      </c>
      <c r="JE32" s="123">
        <f>IF(OR(JE$4="",$B32=""),0,SUMIF('DADOS BRUTOS'!$A$3:$A$500,$B32,'DADOS BRUTOS'!GE$3:GE$500)+IF($C32="",0,SUMIF('DADOS BRUTOS'!$A$3:$A$500,$C32,'DADOS BRUTOS'!GE$3:GE$500)))</f>
        <v/>
      </c>
      <c r="JF32" s="123">
        <f>IF(OR(JF$4="",$B32=""),0,SUMIF('DADOS BRUTOS'!$A$3:$A$500,$B32,'DADOS BRUTOS'!GF$3:GF$500)+IF($C32="",0,SUMIF('DADOS BRUTOS'!$A$3:$A$500,$C32,'DADOS BRUTOS'!GF$3:GF$500)))</f>
        <v/>
      </c>
      <c r="JG32" s="123">
        <f>IF(OR(JG$4="",$B32=""),0,SUMIF('DADOS BRUTOS'!$A$3:$A$500,$B32,'DADOS BRUTOS'!GG$3:GG$500)+IF($C32="",0,SUMIF('DADOS BRUTOS'!$A$3:$A$500,$C32,'DADOS BRUTOS'!GG$3:GG$500)))</f>
        <v/>
      </c>
      <c r="JH32" s="123">
        <f>IF(OR(JH$4="",$B32=""),0,SUMIF('DADOS BRUTOS'!$A$3:$A$500,$B32,'DADOS BRUTOS'!GH$3:GH$500)+IF($C32="",0,SUMIF('DADOS BRUTOS'!$A$3:$A$500,$C32,'DADOS BRUTOS'!GH$3:GH$500)))</f>
        <v/>
      </c>
      <c r="JI32" s="123">
        <f>IF(OR(JI$4="",$B32=""),0,SUMIF('DADOS BRUTOS'!$A$3:$A$500,$B32,'DADOS BRUTOS'!GI$3:GI$500)+IF($C32="",0,SUMIF('DADOS BRUTOS'!$A$3:$A$500,$C32,'DADOS BRUTOS'!GI$3:GI$500)))</f>
        <v/>
      </c>
      <c r="JJ32" s="123">
        <f>IF(OR(JJ$4="",$B32=""),0,SUMIF('DADOS BRUTOS'!$A$3:$A$500,$B32,'DADOS BRUTOS'!GJ$3:GJ$500)+IF($C32="",0,SUMIF('DADOS BRUTOS'!$A$3:$A$500,$C32,'DADOS BRUTOS'!GJ$3:GJ$500)))</f>
        <v/>
      </c>
      <c r="JK32" s="123">
        <f>IF(OR(JK$4="",$B32=""),0,SUMIF('DADOS BRUTOS'!$A$3:$A$500,$B32,'DADOS BRUTOS'!GK$3:GK$500)+IF($C32="",0,SUMIF('DADOS BRUTOS'!$A$3:$A$500,$C32,'DADOS BRUTOS'!GK$3:GK$500)))</f>
        <v/>
      </c>
      <c r="JL32" s="123">
        <f>IF(OR(JL$4="",$B32=""),0,SUMIF('DADOS BRUTOS'!$A$3:$A$500,$B32,'DADOS BRUTOS'!GL$3:GL$500)+IF($C32="",0,SUMIF('DADOS BRUTOS'!$A$3:$A$500,$C32,'DADOS BRUTOS'!GL$3:GL$500)))</f>
        <v/>
      </c>
      <c r="JM32" s="123">
        <f>IF(OR(JM$4="",$B32=""),0,SUMIF('DADOS BRUTOS'!$A$3:$A$500,$B32,'DADOS BRUTOS'!GM$3:GM$500)+IF($C32="",0,SUMIF('DADOS BRUTOS'!$A$3:$A$500,$C32,'DADOS BRUTOS'!GM$3:GM$500)))</f>
        <v/>
      </c>
      <c r="JN32" s="123">
        <f>IF(OR(JN$4="",$B32=""),0,SUMIF('DADOS BRUTOS'!$A$3:$A$500,$B32,'DADOS BRUTOS'!GN$3:GN$500)+IF($C32="",0,SUMIF('DADOS BRUTOS'!$A$3:$A$500,$C32,'DADOS BRUTOS'!GN$3:GN$500)))</f>
        <v/>
      </c>
      <c r="JO32" s="123">
        <f>IF(OR(JO$4="",$B32=""),0,SUMIF('DADOS BRUTOS'!$A$3:$A$500,$B32,'DADOS BRUTOS'!GO$3:GO$500)+IF($C32="",0,SUMIF('DADOS BRUTOS'!$A$3:$A$500,$C32,'DADOS BRUTOS'!GO$3:GO$500)))</f>
        <v/>
      </c>
      <c r="JP32" s="123">
        <f>IF(OR(JP$4="",$B32=""),0,SUMIF('DADOS BRUTOS'!$A$3:$A$500,$B32,'DADOS BRUTOS'!GP$3:GP$500)+IF($C32="",0,SUMIF('DADOS BRUTOS'!$A$3:$A$500,$C32,'DADOS BRUTOS'!GP$3:GP$500)))</f>
        <v/>
      </c>
      <c r="JQ32" s="123">
        <f>IF(OR(JQ$4="",$B32=""),0,SUMIF('DADOS BRUTOS'!$A$3:$A$500,$B32,'DADOS BRUTOS'!GQ$3:GQ$500)+IF($C32="",0,SUMIF('DADOS BRUTOS'!$A$3:$A$500,$C32,'DADOS BRUTOS'!GQ$3:GQ$500)))</f>
        <v/>
      </c>
      <c r="JR32" s="123">
        <f>IF(OR(JR$4="",$B32=""),0,SUMIF('DADOS BRUTOS'!$A$3:$A$500,$B32,'DADOS BRUTOS'!GR$3:GR$500)+IF($C32="",0,SUMIF('DADOS BRUTOS'!$A$3:$A$500,$C32,'DADOS BRUTOS'!GR$3:GR$500)))</f>
        <v/>
      </c>
      <c r="JS32" s="123">
        <f>IF(OR(JS$4="",$B32=""),0,SUMIF('DADOS BRUTOS'!$A$3:$A$500,$B32,'DADOS BRUTOS'!GS$3:GS$500)+IF($C32="",0,SUMIF('DADOS BRUTOS'!$A$3:$A$500,$C32,'DADOS BRUTOS'!GS$3:GS$500)))</f>
        <v/>
      </c>
    </row>
    <row r="33">
      <c r="A33" s="61">
        <f>'VALOR POR PL'!D39</f>
        <v/>
      </c>
      <c r="B33" s="60" t="inlineStr">
        <is>
          <t>REVESTIMENTOS DE MASSAS EM PAREDES</t>
        </is>
      </c>
      <c r="C33" s="60" t="n"/>
      <c r="D33" s="55">
        <f>SUMIF($CB$4:$JS$4,"&lt;="&amp;D$4,$CB33:$JS33)</f>
        <v/>
      </c>
      <c r="E33" s="55">
        <f>SUMIF($CB$4:$JS$4,E$4,$CB33:$JS33)</f>
        <v/>
      </c>
      <c r="F33" s="55">
        <f>SUMIF($CB$4:$JS$4,F$4,$CB33:$JS33)</f>
        <v/>
      </c>
      <c r="G33" s="55">
        <f>SUMIF($CB$4:$JS$4,G$4,$CB33:$JS33)</f>
        <v/>
      </c>
      <c r="H33" s="55">
        <f>SUMIF($CB$4:$JS$4,H$4,$CB33:$JS33)</f>
        <v/>
      </c>
      <c r="I33" s="55">
        <f>SUMIF($CB$4:$JS$4,I$4,$CB33:$JS33)</f>
        <v/>
      </c>
      <c r="J33" s="55">
        <f>SUMIF($CB$4:$JS$4,J$4,$CB33:$JS33)</f>
        <v/>
      </c>
      <c r="K33" s="55">
        <f>SUMIF($CB$4:$JS$4,K$4,$CB33:$JS33)</f>
        <v/>
      </c>
      <c r="L33" s="55">
        <f>SUMIF($CB$4:$JS$4,L$4,$CB33:$JS33)</f>
        <v/>
      </c>
      <c r="M33" s="55">
        <f>SUMIF($CB$4:$JS$4,M$4,$CB33:$JS33)</f>
        <v/>
      </c>
      <c r="N33" s="55">
        <f>SUMIF($CB$4:$JS$4,N$4,$CB33:$JS33)</f>
        <v/>
      </c>
      <c r="O33" s="55">
        <f>SUMIF($CB$4:$JS$4,O$4,$CB33:$JS33)</f>
        <v/>
      </c>
      <c r="P33" s="55">
        <f>SUMIF($CB$4:$JS$4,P$4,$CB33:$JS33)</f>
        <v/>
      </c>
      <c r="Q33" s="55">
        <f>SUMIF($CB$4:$JS$4,Q$4,$CB33:$JS33)</f>
        <v/>
      </c>
      <c r="R33" s="55">
        <f>SUMIF($CB$4:$JS$4,R$4,$CB33:$JS33)</f>
        <v/>
      </c>
      <c r="S33" s="55">
        <f>SUMIF($CB$4:$JS$4,S$4,$CB33:$JS33)</f>
        <v/>
      </c>
      <c r="T33" s="55">
        <f>SUMIF($CB$4:$JS$4,T$4,$CB33:$JS33)</f>
        <v/>
      </c>
      <c r="U33" s="55">
        <f>SUMIF($CB$4:$JS$4,U$4,$CB33:$JS33)</f>
        <v/>
      </c>
      <c r="V33" s="55">
        <f>SUMIF($CB$4:$JS$4,V$4,$CB33:$JS33)</f>
        <v/>
      </c>
      <c r="W33" s="55">
        <f>SUMIF($CB$4:$JS$4,W$4,$CB33:$JS33)</f>
        <v/>
      </c>
      <c r="X33" s="55">
        <f>SUMIF($CB$4:$JS$4,X$4,$CB33:$JS33)</f>
        <v/>
      </c>
      <c r="Y33" s="55">
        <f>SUMIF($CB$4:$JS$4,Y$4,$CB33:$JS33)</f>
        <v/>
      </c>
      <c r="Z33" s="55">
        <f>SUMIF($CB$4:$JS$4,Z$4,$CB33:$JS33)</f>
        <v/>
      </c>
      <c r="AA33" s="55">
        <f>SUMIF($CB$4:$JS$4,AA$4,$CB33:$JS33)</f>
        <v/>
      </c>
      <c r="AB33" s="55">
        <f>SUMIF($CB$4:$JS$4,AB$4,$CB33:$JS33)</f>
        <v/>
      </c>
      <c r="AC33" s="55">
        <f>SUMIF($CB$4:$JS$4,AC$4,$CB33:$JS33)</f>
        <v/>
      </c>
      <c r="AD33" s="55">
        <f>SUMIF($CB$4:$JS$4,AD$4,$CB33:$JS33)</f>
        <v/>
      </c>
      <c r="AE33" s="55">
        <f>SUMIF($CB$4:$JS$4,AE$4,$CB33:$JS33)</f>
        <v/>
      </c>
      <c r="AF33" s="55">
        <f>SUMIF($CB$4:$JS$4,AF$4,$CB33:$JS33)</f>
        <v/>
      </c>
      <c r="AG33" s="55">
        <f>SUMIF($CB$4:$JS$4,AG$4,$CB33:$JS33)</f>
        <v/>
      </c>
      <c r="AH33" s="55">
        <f>SUMIF($CB$4:$JS$4,AH$4,$CB33:$JS33)</f>
        <v/>
      </c>
      <c r="AI33" s="55">
        <f>SUMIF($CB$4:$JS$4,AI$4,$CB33:$JS33)</f>
        <v/>
      </c>
      <c r="AJ33" s="55">
        <f>SUMIF($CB$4:$JS$4,AJ$4,$CB33:$JS33)</f>
        <v/>
      </c>
      <c r="AK33" s="55">
        <f>SUMIF($CB$4:$JS$4,AK$4,$CB33:$JS33)</f>
        <v/>
      </c>
      <c r="AL33" s="55">
        <f>SUMIF($CB$4:$JS$4,AL$4,$CB33:$JS33)</f>
        <v/>
      </c>
      <c r="AM33" s="55">
        <f>SUMIF($CB$4:$JS$4,AM$4,$CB33:$JS33)</f>
        <v/>
      </c>
      <c r="AN33" s="55">
        <f>SUMIF($CB$4:$JS$4,AN$4,$CB33:$JS33)</f>
        <v/>
      </c>
      <c r="AO33" s="55">
        <f>SUMIF($CB$4:$JS$4,AO$4,$CB33:$JS33)</f>
        <v/>
      </c>
      <c r="AP33" s="55">
        <f>SUMIF($CB$4:$JS$4,AP$4,$CB33:$JS33)</f>
        <v/>
      </c>
      <c r="AQ33" s="55">
        <f>SUMIF($CB$4:$JS$4,AQ$4,$CB33:$JS33)</f>
        <v/>
      </c>
      <c r="AR33" s="55">
        <f>SUMIF($CB$4:$JS$4,AR$4,$CB33:$JS33)</f>
        <v/>
      </c>
      <c r="AS33" s="55">
        <f>SUMIF($CB$4:$JS$4,AS$4,$CB33:$JS33)</f>
        <v/>
      </c>
      <c r="AT33" s="55">
        <f>SUMIF($CB$4:$JS$4,AT$4,$CB33:$JS33)</f>
        <v/>
      </c>
      <c r="AU33" s="55">
        <f>SUMIF($CB$4:$JS$4,AU$4,$CB33:$JS33)</f>
        <v/>
      </c>
      <c r="AV33" s="55">
        <f>SUMIF($CB$4:$JS$4,AV$4,$CB33:$JS33)</f>
        <v/>
      </c>
      <c r="AW33" s="55">
        <f>SUMIF($CB$4:$JS$4,AW$4,$CB33:$JS33)</f>
        <v/>
      </c>
      <c r="AX33" s="55">
        <f>SUMIF($CB$4:$JS$4,AX$4,$CB33:$JS33)</f>
        <v/>
      </c>
      <c r="AY33" s="55">
        <f>SUMIF($CB$4:$JS$4,AY$4,$CB33:$JS33)</f>
        <v/>
      </c>
      <c r="AZ33" s="55">
        <f>SUMIF($CB$4:$JS$4,AZ$4,$CB33:$JS33)</f>
        <v/>
      </c>
      <c r="BA33" s="55">
        <f>SUMIF($CB$4:$JS$4,BA$4,$CB33:$JS33)</f>
        <v/>
      </c>
      <c r="BB33" s="55">
        <f>SUMIF($CB$4:$JS$4,BB$4,$CB33:$JS33)</f>
        <v/>
      </c>
      <c r="BC33" s="55">
        <f>SUMIF($CB$4:$JS$4,BC$4,$CB33:$JS33)</f>
        <v/>
      </c>
      <c r="BD33" s="55">
        <f>SUMIF($CB$4:$JS$4,BD$4,$CB33:$JS33)</f>
        <v/>
      </c>
      <c r="BE33" s="55">
        <f>SUMIF($CB$4:$JS$4,BE$4,$CB33:$JS33)</f>
        <v/>
      </c>
      <c r="BF33" s="55">
        <f>SUMIF($CB$4:$JS$4,BF$4,$CB33:$JS33)</f>
        <v/>
      </c>
      <c r="BG33" s="55">
        <f>SUMIF($CB$4:$JS$4,BG$4,$CB33:$JS33)</f>
        <v/>
      </c>
      <c r="BH33" s="55">
        <f>SUMIF($CB$4:$JS$4,BH$4,$CB33:$JS33)</f>
        <v/>
      </c>
      <c r="BI33" s="55">
        <f>SUMIF($CB$4:$JS$4,BI$4,$CB33:$JS33)</f>
        <v/>
      </c>
      <c r="BJ33" s="55">
        <f>SUMIF($CB$4:$JS$4,BJ$4,$CB33:$JS33)</f>
        <v/>
      </c>
      <c r="BK33" s="55">
        <f>SUMIF($CB$4:$JS$4,BK$4,$CB33:$JS33)</f>
        <v/>
      </c>
      <c r="BL33" s="55">
        <f>SUMIF($CB$4:$JS$4,BL$4,$CB33:$JS33)</f>
        <v/>
      </c>
      <c r="BM33" s="55">
        <f>SUMIF($CB$4:$JS$4,BM$4,$CB33:$JS33)</f>
        <v/>
      </c>
      <c r="BN33" s="55">
        <f>SUMIF($CB$4:$JS$4,BN$4,$CB33:$JS33)</f>
        <v/>
      </c>
      <c r="BO33" s="55">
        <f>SUMIF($CB$4:$JS$4,BO$4,$CB33:$JS33)</f>
        <v/>
      </c>
      <c r="BP33" s="55">
        <f>SUMIF($CB$4:$JS$4,BP$4,$CB33:$JS33)</f>
        <v/>
      </c>
      <c r="BQ33" s="55">
        <f>SUMIF($CB$4:$JS$4,BQ$4,$CB33:$JS33)</f>
        <v/>
      </c>
      <c r="BR33" s="55">
        <f>SUMIF($CB$4:$JS$4,BR$4,$CB33:$JS33)</f>
        <v/>
      </c>
      <c r="BS33" s="55">
        <f>SUMIF($CB$4:$JS$4,BS$4,$CB33:$JS33)</f>
        <v/>
      </c>
      <c r="BT33" s="55">
        <f>SUMIF($CB$4:$JS$4,BT$4,$CB33:$JS33)</f>
        <v/>
      </c>
      <c r="BU33" s="55">
        <f>SUMIF($CB$4:$JS$4,BU$4,$CB33:$JS33)</f>
        <v/>
      </c>
      <c r="BV33" s="55">
        <f>SUMIF($CB$4:$JS$4,BV$4,$CB33:$JS33)</f>
        <v/>
      </c>
      <c r="BW33" s="55">
        <f>SUMIF($CB$4:$JS$4,BW$4,$CB33:$JS33)</f>
        <v/>
      </c>
      <c r="BX33" s="55">
        <f>SUMIF($CB$4:$JS$4,"&gt;"&amp;'VALOR POR PL'!$P$8,$CB33:$JS33)</f>
        <v/>
      </c>
      <c r="BY33" s="55">
        <f>SUM($CB33:$JS33)</f>
        <v/>
      </c>
      <c r="CB33" s="123">
        <f>IF(OR(CB$4="",$B33=""),0,SUMIF('DADOS BRUTOS'!$A$3:$A$500,$B33,'DADOS BRUTOS'!B$3:B$500)+IF($C33="",0,SUMIF('DADOS BRUTOS'!$A$3:$A$500,$C33,'DADOS BRUTOS'!B$3:B$500)))</f>
        <v/>
      </c>
      <c r="CC33" s="123">
        <f>IF(OR(CC$4="",$B33=""),0,SUMIF('DADOS BRUTOS'!$A$3:$A$500,$B33,'DADOS BRUTOS'!C$3:C$500)+IF($C33="",0,SUMIF('DADOS BRUTOS'!$A$3:$A$500,$C33,'DADOS BRUTOS'!C$3:C$500)))</f>
        <v/>
      </c>
      <c r="CD33" s="123">
        <f>IF(OR(CD$4="",$B33=""),0,SUMIF('DADOS BRUTOS'!$A$3:$A$500,$B33,'DADOS BRUTOS'!D$3:D$500)+IF($C33="",0,SUMIF('DADOS BRUTOS'!$A$3:$A$500,$C33,'DADOS BRUTOS'!D$3:D$500)))</f>
        <v/>
      </c>
      <c r="CE33" s="123">
        <f>IF(OR(CE$4="",$B33=""),0,SUMIF('DADOS BRUTOS'!$A$3:$A$500,$B33,'DADOS BRUTOS'!E$3:E$500)+IF($C33="",0,SUMIF('DADOS BRUTOS'!$A$3:$A$500,$C33,'DADOS BRUTOS'!E$3:E$500)))</f>
        <v/>
      </c>
      <c r="CF33" s="123">
        <f>IF(OR(CF$4="",$B33=""),0,SUMIF('DADOS BRUTOS'!$A$3:$A$500,$B33,'DADOS BRUTOS'!F$3:F$500)+IF($C33="",0,SUMIF('DADOS BRUTOS'!$A$3:$A$500,$C33,'DADOS BRUTOS'!F$3:F$500)))</f>
        <v/>
      </c>
      <c r="CG33" s="123">
        <f>IF(OR(CG$4="",$B33=""),0,SUMIF('DADOS BRUTOS'!$A$3:$A$500,$B33,'DADOS BRUTOS'!G$3:G$500)+IF($C33="",0,SUMIF('DADOS BRUTOS'!$A$3:$A$500,$C33,'DADOS BRUTOS'!G$3:G$500)))</f>
        <v/>
      </c>
      <c r="CH33" s="123">
        <f>IF(OR(CH$4="",$B33=""),0,SUMIF('DADOS BRUTOS'!$A$3:$A$500,$B33,'DADOS BRUTOS'!H$3:H$500)+IF($C33="",0,SUMIF('DADOS BRUTOS'!$A$3:$A$500,$C33,'DADOS BRUTOS'!H$3:H$500)))</f>
        <v/>
      </c>
      <c r="CI33" s="123">
        <f>IF(OR(CI$4="",$B33=""),0,SUMIF('DADOS BRUTOS'!$A$3:$A$500,$B33,'DADOS BRUTOS'!I$3:I$500)+IF($C33="",0,SUMIF('DADOS BRUTOS'!$A$3:$A$500,$C33,'DADOS BRUTOS'!I$3:I$500)))</f>
        <v/>
      </c>
      <c r="CJ33" s="123">
        <f>IF(OR(CJ$4="",$B33=""),0,SUMIF('DADOS BRUTOS'!$A$3:$A$500,$B33,'DADOS BRUTOS'!J$3:J$500)+IF($C33="",0,SUMIF('DADOS BRUTOS'!$A$3:$A$500,$C33,'DADOS BRUTOS'!J$3:J$500)))</f>
        <v/>
      </c>
      <c r="CK33" s="123">
        <f>IF(OR(CK$4="",$B33=""),0,SUMIF('DADOS BRUTOS'!$A$3:$A$500,$B33,'DADOS BRUTOS'!K$3:K$500)+IF($C33="",0,SUMIF('DADOS BRUTOS'!$A$3:$A$500,$C33,'DADOS BRUTOS'!K$3:K$500)))</f>
        <v/>
      </c>
      <c r="CL33" s="123">
        <f>IF(OR(CL$4="",$B33=""),0,SUMIF('DADOS BRUTOS'!$A$3:$A$500,$B33,'DADOS BRUTOS'!L$3:L$500)+IF($C33="",0,SUMIF('DADOS BRUTOS'!$A$3:$A$500,$C33,'DADOS BRUTOS'!L$3:L$500)))</f>
        <v/>
      </c>
      <c r="CM33" s="123">
        <f>IF(OR(CM$4="",$B33=""),0,SUMIF('DADOS BRUTOS'!$A$3:$A$500,$B33,'DADOS BRUTOS'!M$3:M$500)+IF($C33="",0,SUMIF('DADOS BRUTOS'!$A$3:$A$500,$C33,'DADOS BRUTOS'!M$3:M$500)))</f>
        <v/>
      </c>
      <c r="CN33" s="123">
        <f>IF(OR(CN$4="",$B33=""),0,SUMIF('DADOS BRUTOS'!$A$3:$A$500,$B33,'DADOS BRUTOS'!N$3:N$500)+IF($C33="",0,SUMIF('DADOS BRUTOS'!$A$3:$A$500,$C33,'DADOS BRUTOS'!N$3:N$500)))</f>
        <v/>
      </c>
      <c r="CO33" s="123">
        <f>IF(OR(CO$4="",$B33=""),0,SUMIF('DADOS BRUTOS'!$A$3:$A$500,$B33,'DADOS BRUTOS'!O$3:O$500)+IF($C33="",0,SUMIF('DADOS BRUTOS'!$A$3:$A$500,$C33,'DADOS BRUTOS'!O$3:O$500)))</f>
        <v/>
      </c>
      <c r="CP33" s="123">
        <f>IF(OR(CP$4="",$B33=""),0,SUMIF('DADOS BRUTOS'!$A$3:$A$500,$B33,'DADOS BRUTOS'!P$3:P$500)+IF($C33="",0,SUMIF('DADOS BRUTOS'!$A$3:$A$500,$C33,'DADOS BRUTOS'!P$3:P$500)))</f>
        <v/>
      </c>
      <c r="CQ33" s="123">
        <f>IF(OR(CQ$4="",$B33=""),0,SUMIF('DADOS BRUTOS'!$A$3:$A$500,$B33,'DADOS BRUTOS'!Q$3:Q$500)+IF($C33="",0,SUMIF('DADOS BRUTOS'!$A$3:$A$500,$C33,'DADOS BRUTOS'!Q$3:Q$500)))</f>
        <v/>
      </c>
      <c r="CR33" s="123">
        <f>IF(OR(CR$4="",$B33=""),0,SUMIF('DADOS BRUTOS'!$A$3:$A$500,$B33,'DADOS BRUTOS'!R$3:R$500)+IF($C33="",0,SUMIF('DADOS BRUTOS'!$A$3:$A$500,$C33,'DADOS BRUTOS'!R$3:R$500)))</f>
        <v/>
      </c>
      <c r="CS33" s="123">
        <f>IF(OR(CS$4="",$B33=""),0,SUMIF('DADOS BRUTOS'!$A$3:$A$500,$B33,'DADOS BRUTOS'!S$3:S$500)+IF($C33="",0,SUMIF('DADOS BRUTOS'!$A$3:$A$500,$C33,'DADOS BRUTOS'!S$3:S$500)))</f>
        <v/>
      </c>
      <c r="CT33" s="123">
        <f>IF(OR(CT$4="",$B33=""),0,SUMIF('DADOS BRUTOS'!$A$3:$A$500,$B33,'DADOS BRUTOS'!T$3:T$500)+IF($C33="",0,SUMIF('DADOS BRUTOS'!$A$3:$A$500,$C33,'DADOS BRUTOS'!T$3:T$500)))</f>
        <v/>
      </c>
      <c r="CU33" s="123">
        <f>IF(OR(CU$4="",$B33=""),0,SUMIF('DADOS BRUTOS'!$A$3:$A$500,$B33,'DADOS BRUTOS'!U$3:U$500)+IF($C33="",0,SUMIF('DADOS BRUTOS'!$A$3:$A$500,$C33,'DADOS BRUTOS'!U$3:U$500)))</f>
        <v/>
      </c>
      <c r="CV33" s="123">
        <f>IF(OR(CV$4="",$B33=""),0,SUMIF('DADOS BRUTOS'!$A$3:$A$500,$B33,'DADOS BRUTOS'!V$3:V$500)+IF($C33="",0,SUMIF('DADOS BRUTOS'!$A$3:$A$500,$C33,'DADOS BRUTOS'!V$3:V$500)))</f>
        <v/>
      </c>
      <c r="CW33" s="123">
        <f>IF(OR(CW$4="",$B33=""),0,SUMIF('DADOS BRUTOS'!$A$3:$A$500,$B33,'DADOS BRUTOS'!W$3:W$500)+IF($C33="",0,SUMIF('DADOS BRUTOS'!$A$3:$A$500,$C33,'DADOS BRUTOS'!W$3:W$500)))</f>
        <v/>
      </c>
      <c r="CX33" s="123">
        <f>IF(OR(CX$4="",$B33=""),0,SUMIF('DADOS BRUTOS'!$A$3:$A$500,$B33,'DADOS BRUTOS'!X$3:X$500)+IF($C33="",0,SUMIF('DADOS BRUTOS'!$A$3:$A$500,$C33,'DADOS BRUTOS'!X$3:X$500)))</f>
        <v/>
      </c>
      <c r="CY33" s="123">
        <f>IF(OR(CY$4="",$B33=""),0,SUMIF('DADOS BRUTOS'!$A$3:$A$500,$B33,'DADOS BRUTOS'!Y$3:Y$500)+IF($C33="",0,SUMIF('DADOS BRUTOS'!$A$3:$A$500,$C33,'DADOS BRUTOS'!Y$3:Y$500)))</f>
        <v/>
      </c>
      <c r="CZ33" s="123">
        <f>IF(OR(CZ$4="",$B33=""),0,SUMIF('DADOS BRUTOS'!$A$3:$A$500,$B33,'DADOS BRUTOS'!Z$3:Z$500)+IF($C33="",0,SUMIF('DADOS BRUTOS'!$A$3:$A$500,$C33,'DADOS BRUTOS'!Z$3:Z$500)))</f>
        <v/>
      </c>
      <c r="DA33" s="123">
        <f>IF(OR(DA$4="",$B33=""),0,SUMIF('DADOS BRUTOS'!$A$3:$A$500,$B33,'DADOS BRUTOS'!AA$3:AA$500)+IF($C33="",0,SUMIF('DADOS BRUTOS'!$A$3:$A$500,$C33,'DADOS BRUTOS'!AA$3:AA$500)))</f>
        <v/>
      </c>
      <c r="DB33" s="123">
        <f>IF(OR(DB$4="",$B33=""),0,SUMIF('DADOS BRUTOS'!$A$3:$A$500,$B33,'DADOS BRUTOS'!AB$3:AB$500)+IF($C33="",0,SUMIF('DADOS BRUTOS'!$A$3:$A$500,$C33,'DADOS BRUTOS'!AB$3:AB$500)))</f>
        <v/>
      </c>
      <c r="DC33" s="123">
        <f>IF(OR(DC$4="",$B33=""),0,SUMIF('DADOS BRUTOS'!$A$3:$A$500,$B33,'DADOS BRUTOS'!AC$3:AC$500)+IF($C33="",0,SUMIF('DADOS BRUTOS'!$A$3:$A$500,$C33,'DADOS BRUTOS'!AC$3:AC$500)))</f>
        <v/>
      </c>
      <c r="DD33" s="123">
        <f>IF(OR(DD$4="",$B33=""),0,SUMIF('DADOS BRUTOS'!$A$3:$A$500,$B33,'DADOS BRUTOS'!AD$3:AD$500)+IF($C33="",0,SUMIF('DADOS BRUTOS'!$A$3:$A$500,$C33,'DADOS BRUTOS'!AD$3:AD$500)))</f>
        <v/>
      </c>
      <c r="DE33" s="123">
        <f>IF(OR(DE$4="",$B33=""),0,SUMIF('DADOS BRUTOS'!$A$3:$A$500,$B33,'DADOS BRUTOS'!AE$3:AE$500)+IF($C33="",0,SUMIF('DADOS BRUTOS'!$A$3:$A$500,$C33,'DADOS BRUTOS'!AE$3:AE$500)))</f>
        <v/>
      </c>
      <c r="DF33" s="123">
        <f>IF(OR(DF$4="",$B33=""),0,SUMIF('DADOS BRUTOS'!$A$3:$A$500,$B33,'DADOS BRUTOS'!AF$3:AF$500)+IF($C33="",0,SUMIF('DADOS BRUTOS'!$A$3:$A$500,$C33,'DADOS BRUTOS'!AF$3:AF$500)))</f>
        <v/>
      </c>
      <c r="DG33" s="123">
        <f>IF(OR(DG$4="",$B33=""),0,SUMIF('DADOS BRUTOS'!$A$3:$A$500,$B33,'DADOS BRUTOS'!AG$3:AG$500)+IF($C33="",0,SUMIF('DADOS BRUTOS'!$A$3:$A$500,$C33,'DADOS BRUTOS'!AG$3:AG$500)))</f>
        <v/>
      </c>
      <c r="DH33" s="123">
        <f>IF(OR(DH$4="",$B33=""),0,SUMIF('DADOS BRUTOS'!$A$3:$A$500,$B33,'DADOS BRUTOS'!AH$3:AH$500)+IF($C33="",0,SUMIF('DADOS BRUTOS'!$A$3:$A$500,$C33,'DADOS BRUTOS'!AH$3:AH$500)))</f>
        <v/>
      </c>
      <c r="DI33" s="123">
        <f>IF(OR(DI$4="",$B33=""),0,SUMIF('DADOS BRUTOS'!$A$3:$A$500,$B33,'DADOS BRUTOS'!AI$3:AI$500)+IF($C33="",0,SUMIF('DADOS BRUTOS'!$A$3:$A$500,$C33,'DADOS BRUTOS'!AI$3:AI$500)))</f>
        <v/>
      </c>
      <c r="DJ33" s="123">
        <f>IF(OR(DJ$4="",$B33=""),0,SUMIF('DADOS BRUTOS'!$A$3:$A$500,$B33,'DADOS BRUTOS'!AJ$3:AJ$500)+IF($C33="",0,SUMIF('DADOS BRUTOS'!$A$3:$A$500,$C33,'DADOS BRUTOS'!AJ$3:AJ$500)))</f>
        <v/>
      </c>
      <c r="DK33" s="123">
        <f>IF(OR(DK$4="",$B33=""),0,SUMIF('DADOS BRUTOS'!$A$3:$A$500,$B33,'DADOS BRUTOS'!AK$3:AK$500)+IF($C33="",0,SUMIF('DADOS BRUTOS'!$A$3:$A$500,$C33,'DADOS BRUTOS'!AK$3:AK$500)))</f>
        <v/>
      </c>
      <c r="DL33" s="123">
        <f>IF(OR(DL$4="",$B33=""),0,SUMIF('DADOS BRUTOS'!$A$3:$A$500,$B33,'DADOS BRUTOS'!AL$3:AL$500)+IF($C33="",0,SUMIF('DADOS BRUTOS'!$A$3:$A$500,$C33,'DADOS BRUTOS'!AL$3:AL$500)))</f>
        <v/>
      </c>
      <c r="DM33" s="123">
        <f>IF(OR(DM$4="",$B33=""),0,SUMIF('DADOS BRUTOS'!$A$3:$A$500,$B33,'DADOS BRUTOS'!AM$3:AM$500)+IF($C33="",0,SUMIF('DADOS BRUTOS'!$A$3:$A$500,$C33,'DADOS BRUTOS'!AM$3:AM$500)))</f>
        <v/>
      </c>
      <c r="DN33" s="123">
        <f>IF(OR(DN$4="",$B33=""),0,SUMIF('DADOS BRUTOS'!$A$3:$A$500,$B33,'DADOS BRUTOS'!AN$3:AN$500)+IF($C33="",0,SUMIF('DADOS BRUTOS'!$A$3:$A$500,$C33,'DADOS BRUTOS'!AN$3:AN$500)))</f>
        <v/>
      </c>
      <c r="DO33" s="123">
        <f>IF(OR(DO$4="",$B33=""),0,SUMIF('DADOS BRUTOS'!$A$3:$A$500,$B33,'DADOS BRUTOS'!AO$3:AO$500)+IF($C33="",0,SUMIF('DADOS BRUTOS'!$A$3:$A$500,$C33,'DADOS BRUTOS'!AO$3:AO$500)))</f>
        <v/>
      </c>
      <c r="DP33" s="123">
        <f>IF(OR(DP$4="",$B33=""),0,SUMIF('DADOS BRUTOS'!$A$3:$A$500,$B33,'DADOS BRUTOS'!AP$3:AP$500)+IF($C33="",0,SUMIF('DADOS BRUTOS'!$A$3:$A$500,$C33,'DADOS BRUTOS'!AP$3:AP$500)))</f>
        <v/>
      </c>
      <c r="DQ33" s="123">
        <f>IF(OR(DQ$4="",$B33=""),0,SUMIF('DADOS BRUTOS'!$A$3:$A$500,$B33,'DADOS BRUTOS'!AQ$3:AQ$500)+IF($C33="",0,SUMIF('DADOS BRUTOS'!$A$3:$A$500,$C33,'DADOS BRUTOS'!AQ$3:AQ$500)))</f>
        <v/>
      </c>
      <c r="DR33" s="123">
        <f>IF(OR(DR$4="",$B33=""),0,SUMIF('DADOS BRUTOS'!$A$3:$A$500,$B33,'DADOS BRUTOS'!AR$3:AR$500)+IF($C33="",0,SUMIF('DADOS BRUTOS'!$A$3:$A$500,$C33,'DADOS BRUTOS'!AR$3:AR$500)))</f>
        <v/>
      </c>
      <c r="DS33" s="123">
        <f>IF(OR(DS$4="",$B33=""),0,SUMIF('DADOS BRUTOS'!$A$3:$A$500,$B33,'DADOS BRUTOS'!AS$3:AS$500)+IF($C33="",0,SUMIF('DADOS BRUTOS'!$A$3:$A$500,$C33,'DADOS BRUTOS'!AS$3:AS$500)))</f>
        <v/>
      </c>
      <c r="DT33" s="123">
        <f>IF(OR(DT$4="",$B33=""),0,SUMIF('DADOS BRUTOS'!$A$3:$A$500,$B33,'DADOS BRUTOS'!AT$3:AT$500)+IF($C33="",0,SUMIF('DADOS BRUTOS'!$A$3:$A$500,$C33,'DADOS BRUTOS'!AT$3:AT$500)))</f>
        <v/>
      </c>
      <c r="DU33" s="123">
        <f>IF(OR(DU$4="",$B33=""),0,SUMIF('DADOS BRUTOS'!$A$3:$A$500,$B33,'DADOS BRUTOS'!AU$3:AU$500)+IF($C33="",0,SUMIF('DADOS BRUTOS'!$A$3:$A$500,$C33,'DADOS BRUTOS'!AU$3:AU$500)))</f>
        <v/>
      </c>
      <c r="DV33" s="123">
        <f>IF(OR(DV$4="",$B33=""),0,SUMIF('DADOS BRUTOS'!$A$3:$A$500,$B33,'DADOS BRUTOS'!AV$3:AV$500)+IF($C33="",0,SUMIF('DADOS BRUTOS'!$A$3:$A$500,$C33,'DADOS BRUTOS'!AV$3:AV$500)))</f>
        <v/>
      </c>
      <c r="DW33" s="123">
        <f>IF(OR(DW$4="",$B33=""),0,SUMIF('DADOS BRUTOS'!$A$3:$A$500,$B33,'DADOS BRUTOS'!AW$3:AW$500)+IF($C33="",0,SUMIF('DADOS BRUTOS'!$A$3:$A$500,$C33,'DADOS BRUTOS'!AW$3:AW$500)))</f>
        <v/>
      </c>
      <c r="DX33" s="123">
        <f>IF(OR(DX$4="",$B33=""),0,SUMIF('DADOS BRUTOS'!$A$3:$A$500,$B33,'DADOS BRUTOS'!AX$3:AX$500)+IF($C33="",0,SUMIF('DADOS BRUTOS'!$A$3:$A$500,$C33,'DADOS BRUTOS'!AX$3:AX$500)))</f>
        <v/>
      </c>
      <c r="DY33" s="123">
        <f>IF(OR(DY$4="",$B33=""),0,SUMIF('DADOS BRUTOS'!$A$3:$A$500,$B33,'DADOS BRUTOS'!AY$3:AY$500)+IF($C33="",0,SUMIF('DADOS BRUTOS'!$A$3:$A$500,$C33,'DADOS BRUTOS'!AY$3:AY$500)))</f>
        <v/>
      </c>
      <c r="DZ33" s="123">
        <f>IF(OR(DZ$4="",$B33=""),0,SUMIF('DADOS BRUTOS'!$A$3:$A$500,$B33,'DADOS BRUTOS'!AZ$3:AZ$500)+IF($C33="",0,SUMIF('DADOS BRUTOS'!$A$3:$A$500,$C33,'DADOS BRUTOS'!AZ$3:AZ$500)))</f>
        <v/>
      </c>
      <c r="EA33" s="123">
        <f>IF(OR(EA$4="",$B33=""),0,SUMIF('DADOS BRUTOS'!$A$3:$A$500,$B33,'DADOS BRUTOS'!BA$3:BA$500)+IF($C33="",0,SUMIF('DADOS BRUTOS'!$A$3:$A$500,$C33,'DADOS BRUTOS'!BA$3:BA$500)))</f>
        <v/>
      </c>
      <c r="EB33" s="123">
        <f>IF(OR(EB$4="",$B33=""),0,SUMIF('DADOS BRUTOS'!$A$3:$A$500,$B33,'DADOS BRUTOS'!BB$3:BB$500)+IF($C33="",0,SUMIF('DADOS BRUTOS'!$A$3:$A$500,$C33,'DADOS BRUTOS'!BB$3:BB$500)))</f>
        <v/>
      </c>
      <c r="EC33" s="123">
        <f>IF(OR(EC$4="",$B33=""),0,SUMIF('DADOS BRUTOS'!$A$3:$A$500,$B33,'DADOS BRUTOS'!BC$3:BC$500)+IF($C33="",0,SUMIF('DADOS BRUTOS'!$A$3:$A$500,$C33,'DADOS BRUTOS'!BC$3:BC$500)))</f>
        <v/>
      </c>
      <c r="ED33" s="123">
        <f>IF(OR(ED$4="",$B33=""),0,SUMIF('DADOS BRUTOS'!$A$3:$A$500,$B33,'DADOS BRUTOS'!BD$3:BD$500)+IF($C33="",0,SUMIF('DADOS BRUTOS'!$A$3:$A$500,$C33,'DADOS BRUTOS'!BD$3:BD$500)))</f>
        <v/>
      </c>
      <c r="EE33" s="123">
        <f>IF(OR(EE$4="",$B33=""),0,SUMIF('DADOS BRUTOS'!$A$3:$A$500,$B33,'DADOS BRUTOS'!BE$3:BE$500)+IF($C33="",0,SUMIF('DADOS BRUTOS'!$A$3:$A$500,$C33,'DADOS BRUTOS'!BE$3:BE$500)))</f>
        <v/>
      </c>
      <c r="EF33" s="123">
        <f>IF(OR(EF$4="",$B33=""),0,SUMIF('DADOS BRUTOS'!$A$3:$A$500,$B33,'DADOS BRUTOS'!BF$3:BF$500)+IF($C33="",0,SUMIF('DADOS BRUTOS'!$A$3:$A$500,$C33,'DADOS BRUTOS'!BF$3:BF$500)))</f>
        <v/>
      </c>
      <c r="EG33" s="123">
        <f>IF(OR(EG$4="",$B33=""),0,SUMIF('DADOS BRUTOS'!$A$3:$A$500,$B33,'DADOS BRUTOS'!BG$3:BG$500)+IF($C33="",0,SUMIF('DADOS BRUTOS'!$A$3:$A$500,$C33,'DADOS BRUTOS'!BG$3:BG$500)))</f>
        <v/>
      </c>
      <c r="EH33" s="123">
        <f>IF(OR(EH$4="",$B33=""),0,SUMIF('DADOS BRUTOS'!$A$3:$A$500,$B33,'DADOS BRUTOS'!BH$3:BH$500)+IF($C33="",0,SUMIF('DADOS BRUTOS'!$A$3:$A$500,$C33,'DADOS BRUTOS'!BH$3:BH$500)))</f>
        <v/>
      </c>
      <c r="EI33" s="123">
        <f>IF(OR(EI$4="",$B33=""),0,SUMIF('DADOS BRUTOS'!$A$3:$A$500,$B33,'DADOS BRUTOS'!BI$3:BI$500)+IF($C33="",0,SUMIF('DADOS BRUTOS'!$A$3:$A$500,$C33,'DADOS BRUTOS'!BI$3:BI$500)))</f>
        <v/>
      </c>
      <c r="EJ33" s="123">
        <f>IF(OR(EJ$4="",$B33=""),0,SUMIF('DADOS BRUTOS'!$A$3:$A$500,$B33,'DADOS BRUTOS'!BJ$3:BJ$500)+IF($C33="",0,SUMIF('DADOS BRUTOS'!$A$3:$A$500,$C33,'DADOS BRUTOS'!BJ$3:BJ$500)))</f>
        <v/>
      </c>
      <c r="EK33" s="123">
        <f>IF(OR(EK$4="",$B33=""),0,SUMIF('DADOS BRUTOS'!$A$3:$A$500,$B33,'DADOS BRUTOS'!BK$3:BK$500)+IF($C33="",0,SUMIF('DADOS BRUTOS'!$A$3:$A$500,$C33,'DADOS BRUTOS'!BK$3:BK$500)))</f>
        <v/>
      </c>
      <c r="EL33" s="123">
        <f>IF(OR(EL$4="",$B33=""),0,SUMIF('DADOS BRUTOS'!$A$3:$A$500,$B33,'DADOS BRUTOS'!BL$3:BL$500)+IF($C33="",0,SUMIF('DADOS BRUTOS'!$A$3:$A$500,$C33,'DADOS BRUTOS'!BL$3:BL$500)))</f>
        <v/>
      </c>
      <c r="EM33" s="123">
        <f>IF(OR(EM$4="",$B33=""),0,SUMIF('DADOS BRUTOS'!$A$3:$A$500,$B33,'DADOS BRUTOS'!BM$3:BM$500)+IF($C33="",0,SUMIF('DADOS BRUTOS'!$A$3:$A$500,$C33,'DADOS BRUTOS'!BM$3:BM$500)))</f>
        <v/>
      </c>
      <c r="EN33" s="123">
        <f>IF(OR(EN$4="",$B33=""),0,SUMIF('DADOS BRUTOS'!$A$3:$A$500,$B33,'DADOS BRUTOS'!BN$3:BN$500)+IF($C33="",0,SUMIF('DADOS BRUTOS'!$A$3:$A$500,$C33,'DADOS BRUTOS'!BN$3:BN$500)))</f>
        <v/>
      </c>
      <c r="EO33" s="123">
        <f>IF(OR(EO$4="",$B33=""),0,SUMIF('DADOS BRUTOS'!$A$3:$A$500,$B33,'DADOS BRUTOS'!BO$3:BO$500)+IF($C33="",0,SUMIF('DADOS BRUTOS'!$A$3:$A$500,$C33,'DADOS BRUTOS'!BO$3:BO$500)))</f>
        <v/>
      </c>
      <c r="EP33" s="123">
        <f>IF(OR(EP$4="",$B33=""),0,SUMIF('DADOS BRUTOS'!$A$3:$A$500,$B33,'DADOS BRUTOS'!BP$3:BP$500)+IF($C33="",0,SUMIF('DADOS BRUTOS'!$A$3:$A$500,$C33,'DADOS BRUTOS'!BP$3:BP$500)))</f>
        <v/>
      </c>
      <c r="EQ33" s="123">
        <f>IF(OR(EQ$4="",$B33=""),0,SUMIF('DADOS BRUTOS'!$A$3:$A$500,$B33,'DADOS BRUTOS'!BQ$3:BQ$500)+IF($C33="",0,SUMIF('DADOS BRUTOS'!$A$3:$A$500,$C33,'DADOS BRUTOS'!BQ$3:BQ$500)))</f>
        <v/>
      </c>
      <c r="ER33" s="123">
        <f>IF(OR(ER$4="",$B33=""),0,SUMIF('DADOS BRUTOS'!$A$3:$A$500,$B33,'DADOS BRUTOS'!BR$3:BR$500)+IF($C33="",0,SUMIF('DADOS BRUTOS'!$A$3:$A$500,$C33,'DADOS BRUTOS'!BR$3:BR$500)))</f>
        <v/>
      </c>
      <c r="ES33" s="123">
        <f>IF(OR(ES$4="",$B33=""),0,SUMIF('DADOS BRUTOS'!$A$3:$A$500,$B33,'DADOS BRUTOS'!BS$3:BS$500)+IF($C33="",0,SUMIF('DADOS BRUTOS'!$A$3:$A$500,$C33,'DADOS BRUTOS'!BS$3:BS$500)))</f>
        <v/>
      </c>
      <c r="ET33" s="123">
        <f>IF(OR(ET$4="",$B33=""),0,SUMIF('DADOS BRUTOS'!$A$3:$A$500,$B33,'DADOS BRUTOS'!BT$3:BT$500)+IF($C33="",0,SUMIF('DADOS BRUTOS'!$A$3:$A$500,$C33,'DADOS BRUTOS'!BT$3:BT$500)))</f>
        <v/>
      </c>
      <c r="EU33" s="123">
        <f>IF(OR(EU$4="",$B33=""),0,SUMIF('DADOS BRUTOS'!$A$3:$A$500,$B33,'DADOS BRUTOS'!BU$3:BU$500)+IF($C33="",0,SUMIF('DADOS BRUTOS'!$A$3:$A$500,$C33,'DADOS BRUTOS'!BU$3:BU$500)))</f>
        <v/>
      </c>
      <c r="EV33" s="123">
        <f>IF(OR(EV$4="",$B33=""),0,SUMIF('DADOS BRUTOS'!$A$3:$A$500,$B33,'DADOS BRUTOS'!BV$3:BV$500)+IF($C33="",0,SUMIF('DADOS BRUTOS'!$A$3:$A$500,$C33,'DADOS BRUTOS'!BV$3:BV$500)))</f>
        <v/>
      </c>
      <c r="EW33" s="123">
        <f>IF(OR(EW$4="",$B33=""),0,SUMIF('DADOS BRUTOS'!$A$3:$A$500,$B33,'DADOS BRUTOS'!BW$3:BW$500)+IF($C33="",0,SUMIF('DADOS BRUTOS'!$A$3:$A$500,$C33,'DADOS BRUTOS'!BW$3:BW$500)))</f>
        <v/>
      </c>
      <c r="EX33" s="123">
        <f>IF(OR(EX$4="",$B33=""),0,SUMIF('DADOS BRUTOS'!$A$3:$A$500,$B33,'DADOS BRUTOS'!BX$3:BX$500)+IF($C33="",0,SUMIF('DADOS BRUTOS'!$A$3:$A$500,$C33,'DADOS BRUTOS'!BX$3:BX$500)))</f>
        <v/>
      </c>
      <c r="EY33" s="123">
        <f>IF(OR(EY$4="",$B33=""),0,SUMIF('DADOS BRUTOS'!$A$3:$A$500,$B33,'DADOS BRUTOS'!BY$3:BY$500)+IF($C33="",0,SUMIF('DADOS BRUTOS'!$A$3:$A$500,$C33,'DADOS BRUTOS'!BY$3:BY$500)))</f>
        <v/>
      </c>
      <c r="EZ33" s="123">
        <f>IF(OR(EZ$4="",$B33=""),0,SUMIF('DADOS BRUTOS'!$A$3:$A$500,$B33,'DADOS BRUTOS'!BZ$3:BZ$500)+IF($C33="",0,SUMIF('DADOS BRUTOS'!$A$3:$A$500,$C33,'DADOS BRUTOS'!BZ$3:BZ$500)))</f>
        <v/>
      </c>
      <c r="FA33" s="123">
        <f>IF(OR(FA$4="",$B33=""),0,SUMIF('DADOS BRUTOS'!$A$3:$A$500,$B33,'DADOS BRUTOS'!CA$3:CA$500)+IF($C33="",0,SUMIF('DADOS BRUTOS'!$A$3:$A$500,$C33,'DADOS BRUTOS'!CA$3:CA$500)))</f>
        <v/>
      </c>
      <c r="FB33" s="123">
        <f>IF(OR(FB$4="",$B33=""),0,SUMIF('DADOS BRUTOS'!$A$3:$A$500,$B33,'DADOS BRUTOS'!CB$3:CB$500)+IF($C33="",0,SUMIF('DADOS BRUTOS'!$A$3:$A$500,$C33,'DADOS BRUTOS'!CB$3:CB$500)))</f>
        <v/>
      </c>
      <c r="FC33" s="123">
        <f>IF(OR(FC$4="",$B33=""),0,SUMIF('DADOS BRUTOS'!$A$3:$A$500,$B33,'DADOS BRUTOS'!CC$3:CC$500)+IF($C33="",0,SUMIF('DADOS BRUTOS'!$A$3:$A$500,$C33,'DADOS BRUTOS'!CC$3:CC$500)))</f>
        <v/>
      </c>
      <c r="FD33" s="123">
        <f>IF(OR(FD$4="",$B33=""),0,SUMIF('DADOS BRUTOS'!$A$3:$A$500,$B33,'DADOS BRUTOS'!CD$3:CD$500)+IF($C33="",0,SUMIF('DADOS BRUTOS'!$A$3:$A$500,$C33,'DADOS BRUTOS'!CD$3:CD$500)))</f>
        <v/>
      </c>
      <c r="FE33" s="123">
        <f>IF(OR(FE$4="",$B33=""),0,SUMIF('DADOS BRUTOS'!$A$3:$A$500,$B33,'DADOS BRUTOS'!CE$3:CE$500)+IF($C33="",0,SUMIF('DADOS BRUTOS'!$A$3:$A$500,$C33,'DADOS BRUTOS'!CE$3:CE$500)))</f>
        <v/>
      </c>
      <c r="FF33" s="123">
        <f>IF(OR(FF$4="",$B33=""),0,SUMIF('DADOS BRUTOS'!$A$3:$A$500,$B33,'DADOS BRUTOS'!CF$3:CF$500)+IF($C33="",0,SUMIF('DADOS BRUTOS'!$A$3:$A$500,$C33,'DADOS BRUTOS'!CF$3:CF$500)))</f>
        <v/>
      </c>
      <c r="FG33" s="123">
        <f>IF(OR(FG$4="",$B33=""),0,SUMIF('DADOS BRUTOS'!$A$3:$A$500,$B33,'DADOS BRUTOS'!CG$3:CG$500)+IF($C33="",0,SUMIF('DADOS BRUTOS'!$A$3:$A$500,$C33,'DADOS BRUTOS'!CG$3:CG$500)))</f>
        <v/>
      </c>
      <c r="FH33" s="123">
        <f>IF(OR(FH$4="",$B33=""),0,SUMIF('DADOS BRUTOS'!$A$3:$A$500,$B33,'DADOS BRUTOS'!CH$3:CH$500)+IF($C33="",0,SUMIF('DADOS BRUTOS'!$A$3:$A$500,$C33,'DADOS BRUTOS'!CH$3:CH$500)))</f>
        <v/>
      </c>
      <c r="FI33" s="123">
        <f>IF(OR(FI$4="",$B33=""),0,SUMIF('DADOS BRUTOS'!$A$3:$A$500,$B33,'DADOS BRUTOS'!CI$3:CI$500)+IF($C33="",0,SUMIF('DADOS BRUTOS'!$A$3:$A$500,$C33,'DADOS BRUTOS'!CI$3:CI$500)))</f>
        <v/>
      </c>
      <c r="FJ33" s="123">
        <f>IF(OR(FJ$4="",$B33=""),0,SUMIF('DADOS BRUTOS'!$A$3:$A$500,$B33,'DADOS BRUTOS'!CJ$3:CJ$500)+IF($C33="",0,SUMIF('DADOS BRUTOS'!$A$3:$A$500,$C33,'DADOS BRUTOS'!CJ$3:CJ$500)))</f>
        <v/>
      </c>
      <c r="FK33" s="123">
        <f>IF(OR(FK$4="",$B33=""),0,SUMIF('DADOS BRUTOS'!$A$3:$A$500,$B33,'DADOS BRUTOS'!CK$3:CK$500)+IF($C33="",0,SUMIF('DADOS BRUTOS'!$A$3:$A$500,$C33,'DADOS BRUTOS'!CK$3:CK$500)))</f>
        <v/>
      </c>
      <c r="FL33" s="123">
        <f>IF(OR(FL$4="",$B33=""),0,SUMIF('DADOS BRUTOS'!$A$3:$A$500,$B33,'DADOS BRUTOS'!CL$3:CL$500)+IF($C33="",0,SUMIF('DADOS BRUTOS'!$A$3:$A$500,$C33,'DADOS BRUTOS'!CL$3:CL$500)))</f>
        <v/>
      </c>
      <c r="FM33" s="123">
        <f>IF(OR(FM$4="",$B33=""),0,SUMIF('DADOS BRUTOS'!$A$3:$A$500,$B33,'DADOS BRUTOS'!CM$3:CM$500)+IF($C33="",0,SUMIF('DADOS BRUTOS'!$A$3:$A$500,$C33,'DADOS BRUTOS'!CM$3:CM$500)))</f>
        <v/>
      </c>
      <c r="FN33" s="123">
        <f>IF(OR(FN$4="",$B33=""),0,SUMIF('DADOS BRUTOS'!$A$3:$A$500,$B33,'DADOS BRUTOS'!CN$3:CN$500)+IF($C33="",0,SUMIF('DADOS BRUTOS'!$A$3:$A$500,$C33,'DADOS BRUTOS'!CN$3:CN$500)))</f>
        <v/>
      </c>
      <c r="FO33" s="123">
        <f>IF(OR(FO$4="",$B33=""),0,SUMIF('DADOS BRUTOS'!$A$3:$A$500,$B33,'DADOS BRUTOS'!CO$3:CO$500)+IF($C33="",0,SUMIF('DADOS BRUTOS'!$A$3:$A$500,$C33,'DADOS BRUTOS'!CO$3:CO$500)))</f>
        <v/>
      </c>
      <c r="FP33" s="123">
        <f>IF(OR(FP$4="",$B33=""),0,SUMIF('DADOS BRUTOS'!$A$3:$A$500,$B33,'DADOS BRUTOS'!CP$3:CP$500)+IF($C33="",0,SUMIF('DADOS BRUTOS'!$A$3:$A$500,$C33,'DADOS BRUTOS'!CP$3:CP$500)))</f>
        <v/>
      </c>
      <c r="FQ33" s="123">
        <f>IF(OR(FQ$4="",$B33=""),0,SUMIF('DADOS BRUTOS'!$A$3:$A$500,$B33,'DADOS BRUTOS'!CQ$3:CQ$500)+IF($C33="",0,SUMIF('DADOS BRUTOS'!$A$3:$A$500,$C33,'DADOS BRUTOS'!CQ$3:CQ$500)))</f>
        <v/>
      </c>
      <c r="FR33" s="123">
        <f>IF(OR(FR$4="",$B33=""),0,SUMIF('DADOS BRUTOS'!$A$3:$A$500,$B33,'DADOS BRUTOS'!CR$3:CR$500)+IF($C33="",0,SUMIF('DADOS BRUTOS'!$A$3:$A$500,$C33,'DADOS BRUTOS'!CR$3:CR$500)))</f>
        <v/>
      </c>
      <c r="FS33" s="123">
        <f>IF(OR(FS$4="",$B33=""),0,SUMIF('DADOS BRUTOS'!$A$3:$A$500,$B33,'DADOS BRUTOS'!CS$3:CS$500)+IF($C33="",0,SUMIF('DADOS BRUTOS'!$A$3:$A$500,$C33,'DADOS BRUTOS'!CS$3:CS$500)))</f>
        <v/>
      </c>
      <c r="FT33" s="123">
        <f>IF(OR(FT$4="",$B33=""),0,SUMIF('DADOS BRUTOS'!$A$3:$A$500,$B33,'DADOS BRUTOS'!CT$3:CT$500)+IF($C33="",0,SUMIF('DADOS BRUTOS'!$A$3:$A$500,$C33,'DADOS BRUTOS'!CT$3:CT$500)))</f>
        <v/>
      </c>
      <c r="FU33" s="123">
        <f>IF(OR(FU$4="",$B33=""),0,SUMIF('DADOS BRUTOS'!$A$3:$A$500,$B33,'DADOS BRUTOS'!CU$3:CU$500)+IF($C33="",0,SUMIF('DADOS BRUTOS'!$A$3:$A$500,$C33,'DADOS BRUTOS'!CU$3:CU$500)))</f>
        <v/>
      </c>
      <c r="FV33" s="123">
        <f>IF(OR(FV$4="",$B33=""),0,SUMIF('DADOS BRUTOS'!$A$3:$A$500,$B33,'DADOS BRUTOS'!CV$3:CV$500)+IF($C33="",0,SUMIF('DADOS BRUTOS'!$A$3:$A$500,$C33,'DADOS BRUTOS'!CV$3:CV$500)))</f>
        <v/>
      </c>
      <c r="FW33" s="123">
        <f>IF(OR(FW$4="",$B33=""),0,SUMIF('DADOS BRUTOS'!$A$3:$A$500,$B33,'DADOS BRUTOS'!CW$3:CW$500)+IF($C33="",0,SUMIF('DADOS BRUTOS'!$A$3:$A$500,$C33,'DADOS BRUTOS'!CW$3:CW$500)))</f>
        <v/>
      </c>
      <c r="FX33" s="123">
        <f>IF(OR(FX$4="",$B33=""),0,SUMIF('DADOS BRUTOS'!$A$3:$A$500,$B33,'DADOS BRUTOS'!CX$3:CX$500)+IF($C33="",0,SUMIF('DADOS BRUTOS'!$A$3:$A$500,$C33,'DADOS BRUTOS'!CX$3:CX$500)))</f>
        <v/>
      </c>
      <c r="FY33" s="123">
        <f>IF(OR(FY$4="",$B33=""),0,SUMIF('DADOS BRUTOS'!$A$3:$A$500,$B33,'DADOS BRUTOS'!CY$3:CY$500)+IF($C33="",0,SUMIF('DADOS BRUTOS'!$A$3:$A$500,$C33,'DADOS BRUTOS'!CY$3:CY$500)))</f>
        <v/>
      </c>
      <c r="FZ33" s="123">
        <f>IF(OR(FZ$4="",$B33=""),0,SUMIF('DADOS BRUTOS'!$A$3:$A$500,$B33,'DADOS BRUTOS'!CZ$3:CZ$500)+IF($C33="",0,SUMIF('DADOS BRUTOS'!$A$3:$A$500,$C33,'DADOS BRUTOS'!CZ$3:CZ$500)))</f>
        <v/>
      </c>
      <c r="GA33" s="123">
        <f>IF(OR(GA$4="",$B33=""),0,SUMIF('DADOS BRUTOS'!$A$3:$A$500,$B33,'DADOS BRUTOS'!DA$3:DA$500)+IF($C33="",0,SUMIF('DADOS BRUTOS'!$A$3:$A$500,$C33,'DADOS BRUTOS'!DA$3:DA$500)))</f>
        <v/>
      </c>
      <c r="GB33" s="123">
        <f>IF(OR(GB$4="",$B33=""),0,SUMIF('DADOS BRUTOS'!$A$3:$A$500,$B33,'DADOS BRUTOS'!DB$3:DB$500)+IF($C33="",0,SUMIF('DADOS BRUTOS'!$A$3:$A$500,$C33,'DADOS BRUTOS'!DB$3:DB$500)))</f>
        <v/>
      </c>
      <c r="GC33" s="123">
        <f>IF(OR(GC$4="",$B33=""),0,SUMIF('DADOS BRUTOS'!$A$3:$A$500,$B33,'DADOS BRUTOS'!DC$3:DC$500)+IF($C33="",0,SUMIF('DADOS BRUTOS'!$A$3:$A$500,$C33,'DADOS BRUTOS'!DC$3:DC$500)))</f>
        <v/>
      </c>
      <c r="GD33" s="123">
        <f>IF(OR(GD$4="",$B33=""),0,SUMIF('DADOS BRUTOS'!$A$3:$A$500,$B33,'DADOS BRUTOS'!DD$3:DD$500)+IF($C33="",0,SUMIF('DADOS BRUTOS'!$A$3:$A$500,$C33,'DADOS BRUTOS'!DD$3:DD$500)))</f>
        <v/>
      </c>
      <c r="GE33" s="123">
        <f>IF(OR(GE$4="",$B33=""),0,SUMIF('DADOS BRUTOS'!$A$3:$A$500,$B33,'DADOS BRUTOS'!DE$3:DE$500)+IF($C33="",0,SUMIF('DADOS BRUTOS'!$A$3:$A$500,$C33,'DADOS BRUTOS'!DE$3:DE$500)))</f>
        <v/>
      </c>
      <c r="GF33" s="123">
        <f>IF(OR(GF$4="",$B33=""),0,SUMIF('DADOS BRUTOS'!$A$3:$A$500,$B33,'DADOS BRUTOS'!DF$3:DF$500)+IF($C33="",0,SUMIF('DADOS BRUTOS'!$A$3:$A$500,$C33,'DADOS BRUTOS'!DF$3:DF$500)))</f>
        <v/>
      </c>
      <c r="GG33" s="123">
        <f>IF(OR(GG$4="",$B33=""),0,SUMIF('DADOS BRUTOS'!$A$3:$A$500,$B33,'DADOS BRUTOS'!DG$3:DG$500)+IF($C33="",0,SUMIF('DADOS BRUTOS'!$A$3:$A$500,$C33,'DADOS BRUTOS'!DG$3:DG$500)))</f>
        <v/>
      </c>
      <c r="GH33" s="123">
        <f>IF(OR(GH$4="",$B33=""),0,SUMIF('DADOS BRUTOS'!$A$3:$A$500,$B33,'DADOS BRUTOS'!DH$3:DH$500)+IF($C33="",0,SUMIF('DADOS BRUTOS'!$A$3:$A$500,$C33,'DADOS BRUTOS'!DH$3:DH$500)))</f>
        <v/>
      </c>
      <c r="GI33" s="123">
        <f>IF(OR(GI$4="",$B33=""),0,SUMIF('DADOS BRUTOS'!$A$3:$A$500,$B33,'DADOS BRUTOS'!DI$3:DI$500)+IF($C33="",0,SUMIF('DADOS BRUTOS'!$A$3:$A$500,$C33,'DADOS BRUTOS'!DI$3:DI$500)))</f>
        <v/>
      </c>
      <c r="GJ33" s="123">
        <f>IF(OR(GJ$4="",$B33=""),0,SUMIF('DADOS BRUTOS'!$A$3:$A$500,$B33,'DADOS BRUTOS'!DJ$3:DJ$500)+IF($C33="",0,SUMIF('DADOS BRUTOS'!$A$3:$A$500,$C33,'DADOS BRUTOS'!DJ$3:DJ$500)))</f>
        <v/>
      </c>
      <c r="GK33" s="123">
        <f>IF(OR(GK$4="",$B33=""),0,SUMIF('DADOS BRUTOS'!$A$3:$A$500,$B33,'DADOS BRUTOS'!DK$3:DK$500)+IF($C33="",0,SUMIF('DADOS BRUTOS'!$A$3:$A$500,$C33,'DADOS BRUTOS'!DK$3:DK$500)))</f>
        <v/>
      </c>
      <c r="GL33" s="123">
        <f>IF(OR(GL$4="",$B33=""),0,SUMIF('DADOS BRUTOS'!$A$3:$A$500,$B33,'DADOS BRUTOS'!DL$3:DL$500)+IF($C33="",0,SUMIF('DADOS BRUTOS'!$A$3:$A$500,$C33,'DADOS BRUTOS'!DL$3:DL$500)))</f>
        <v/>
      </c>
      <c r="GM33" s="123">
        <f>IF(OR(GM$4="",$B33=""),0,SUMIF('DADOS BRUTOS'!$A$3:$A$500,$B33,'DADOS BRUTOS'!DM$3:DM$500)+IF($C33="",0,SUMIF('DADOS BRUTOS'!$A$3:$A$500,$C33,'DADOS BRUTOS'!DM$3:DM$500)))</f>
        <v/>
      </c>
      <c r="GN33" s="123">
        <f>IF(OR(GN$4="",$B33=""),0,SUMIF('DADOS BRUTOS'!$A$3:$A$500,$B33,'DADOS BRUTOS'!DN$3:DN$500)+IF($C33="",0,SUMIF('DADOS BRUTOS'!$A$3:$A$500,$C33,'DADOS BRUTOS'!DN$3:DN$500)))</f>
        <v/>
      </c>
      <c r="GO33" s="123">
        <f>IF(OR(GO$4="",$B33=""),0,SUMIF('DADOS BRUTOS'!$A$3:$A$500,$B33,'DADOS BRUTOS'!DO$3:DO$500)+IF($C33="",0,SUMIF('DADOS BRUTOS'!$A$3:$A$500,$C33,'DADOS BRUTOS'!DO$3:DO$500)))</f>
        <v/>
      </c>
      <c r="GP33" s="123">
        <f>IF(OR(GP$4="",$B33=""),0,SUMIF('DADOS BRUTOS'!$A$3:$A$500,$B33,'DADOS BRUTOS'!DP$3:DP$500)+IF($C33="",0,SUMIF('DADOS BRUTOS'!$A$3:$A$500,$C33,'DADOS BRUTOS'!DP$3:DP$500)))</f>
        <v/>
      </c>
      <c r="GQ33" s="123">
        <f>IF(OR(GQ$4="",$B33=""),0,SUMIF('DADOS BRUTOS'!$A$3:$A$500,$B33,'DADOS BRUTOS'!DQ$3:DQ$500)+IF($C33="",0,SUMIF('DADOS BRUTOS'!$A$3:$A$500,$C33,'DADOS BRUTOS'!DQ$3:DQ$500)))</f>
        <v/>
      </c>
      <c r="GR33" s="123">
        <f>IF(OR(GR$4="",$B33=""),0,SUMIF('DADOS BRUTOS'!$A$3:$A$500,$B33,'DADOS BRUTOS'!DR$3:DR$500)+IF($C33="",0,SUMIF('DADOS BRUTOS'!$A$3:$A$500,$C33,'DADOS BRUTOS'!DR$3:DR$500)))</f>
        <v/>
      </c>
      <c r="GS33" s="123">
        <f>IF(OR(GS$4="",$B33=""),0,SUMIF('DADOS BRUTOS'!$A$3:$A$500,$B33,'DADOS BRUTOS'!DS$3:DS$500)+IF($C33="",0,SUMIF('DADOS BRUTOS'!$A$3:$A$500,$C33,'DADOS BRUTOS'!DS$3:DS$500)))</f>
        <v/>
      </c>
      <c r="GT33" s="123">
        <f>IF(OR(GT$4="",$B33=""),0,SUMIF('DADOS BRUTOS'!$A$3:$A$500,$B33,'DADOS BRUTOS'!DT$3:DT$500)+IF($C33="",0,SUMIF('DADOS BRUTOS'!$A$3:$A$500,$C33,'DADOS BRUTOS'!DT$3:DT$500)))</f>
        <v/>
      </c>
      <c r="GU33" s="123">
        <f>IF(OR(GU$4="",$B33=""),0,SUMIF('DADOS BRUTOS'!$A$3:$A$500,$B33,'DADOS BRUTOS'!DU$3:DU$500)+IF($C33="",0,SUMIF('DADOS BRUTOS'!$A$3:$A$500,$C33,'DADOS BRUTOS'!DU$3:DU$500)))</f>
        <v/>
      </c>
      <c r="GV33" s="123">
        <f>IF(OR(GV$4="",$B33=""),0,SUMIF('DADOS BRUTOS'!$A$3:$A$500,$B33,'DADOS BRUTOS'!DV$3:DV$500)+IF($C33="",0,SUMIF('DADOS BRUTOS'!$A$3:$A$500,$C33,'DADOS BRUTOS'!DV$3:DV$500)))</f>
        <v/>
      </c>
      <c r="GW33" s="123">
        <f>IF(OR(GW$4="",$B33=""),0,SUMIF('DADOS BRUTOS'!$A$3:$A$500,$B33,'DADOS BRUTOS'!DW$3:DW$500)+IF($C33="",0,SUMIF('DADOS BRUTOS'!$A$3:$A$500,$C33,'DADOS BRUTOS'!DW$3:DW$500)))</f>
        <v/>
      </c>
      <c r="GX33" s="123">
        <f>IF(OR(GX$4="",$B33=""),0,SUMIF('DADOS BRUTOS'!$A$3:$A$500,$B33,'DADOS BRUTOS'!DX$3:DX$500)+IF($C33="",0,SUMIF('DADOS BRUTOS'!$A$3:$A$500,$C33,'DADOS BRUTOS'!DX$3:DX$500)))</f>
        <v/>
      </c>
      <c r="GY33" s="123">
        <f>IF(OR(GY$4="",$B33=""),0,SUMIF('DADOS BRUTOS'!$A$3:$A$500,$B33,'DADOS BRUTOS'!DY$3:DY$500)+IF($C33="",0,SUMIF('DADOS BRUTOS'!$A$3:$A$500,$C33,'DADOS BRUTOS'!DY$3:DY$500)))</f>
        <v/>
      </c>
      <c r="GZ33" s="123">
        <f>IF(OR(GZ$4="",$B33=""),0,SUMIF('DADOS BRUTOS'!$A$3:$A$500,$B33,'DADOS BRUTOS'!DZ$3:DZ$500)+IF($C33="",0,SUMIF('DADOS BRUTOS'!$A$3:$A$500,$C33,'DADOS BRUTOS'!DZ$3:DZ$500)))</f>
        <v/>
      </c>
      <c r="HA33" s="123">
        <f>IF(OR(HA$4="",$B33=""),0,SUMIF('DADOS BRUTOS'!$A$3:$A$500,$B33,'DADOS BRUTOS'!EA$3:EA$500)+IF($C33="",0,SUMIF('DADOS BRUTOS'!$A$3:$A$500,$C33,'DADOS BRUTOS'!EA$3:EA$500)))</f>
        <v/>
      </c>
      <c r="HB33" s="123">
        <f>IF(OR(HB$4="",$B33=""),0,SUMIF('DADOS BRUTOS'!$A$3:$A$500,$B33,'DADOS BRUTOS'!EB$3:EB$500)+IF($C33="",0,SUMIF('DADOS BRUTOS'!$A$3:$A$500,$C33,'DADOS BRUTOS'!EB$3:EB$500)))</f>
        <v/>
      </c>
      <c r="HC33" s="123">
        <f>IF(OR(HC$4="",$B33=""),0,SUMIF('DADOS BRUTOS'!$A$3:$A$500,$B33,'DADOS BRUTOS'!EC$3:EC$500)+IF($C33="",0,SUMIF('DADOS BRUTOS'!$A$3:$A$500,$C33,'DADOS BRUTOS'!EC$3:EC$500)))</f>
        <v/>
      </c>
      <c r="HD33" s="123">
        <f>IF(OR(HD$4="",$B33=""),0,SUMIF('DADOS BRUTOS'!$A$3:$A$500,$B33,'DADOS BRUTOS'!ED$3:ED$500)+IF($C33="",0,SUMIF('DADOS BRUTOS'!$A$3:$A$500,$C33,'DADOS BRUTOS'!ED$3:ED$500)))</f>
        <v/>
      </c>
      <c r="HE33" s="123">
        <f>IF(OR(HE$4="",$B33=""),0,SUMIF('DADOS BRUTOS'!$A$3:$A$500,$B33,'DADOS BRUTOS'!EE$3:EE$500)+IF($C33="",0,SUMIF('DADOS BRUTOS'!$A$3:$A$500,$C33,'DADOS BRUTOS'!EE$3:EE$500)))</f>
        <v/>
      </c>
      <c r="HF33" s="123">
        <f>IF(OR(HF$4="",$B33=""),0,SUMIF('DADOS BRUTOS'!$A$3:$A$500,$B33,'DADOS BRUTOS'!EF$3:EF$500)+IF($C33="",0,SUMIF('DADOS BRUTOS'!$A$3:$A$500,$C33,'DADOS BRUTOS'!EF$3:EF$500)))</f>
        <v/>
      </c>
      <c r="HG33" s="123">
        <f>IF(OR(HG$4="",$B33=""),0,SUMIF('DADOS BRUTOS'!$A$3:$A$500,$B33,'DADOS BRUTOS'!EG$3:EG$500)+IF($C33="",0,SUMIF('DADOS BRUTOS'!$A$3:$A$500,$C33,'DADOS BRUTOS'!EG$3:EG$500)))</f>
        <v/>
      </c>
      <c r="HH33" s="123">
        <f>IF(OR(HH$4="",$B33=""),0,SUMIF('DADOS BRUTOS'!$A$3:$A$500,$B33,'DADOS BRUTOS'!EH$3:EH$500)+IF($C33="",0,SUMIF('DADOS BRUTOS'!$A$3:$A$500,$C33,'DADOS BRUTOS'!EH$3:EH$500)))</f>
        <v/>
      </c>
      <c r="HI33" s="123">
        <f>IF(OR(HI$4="",$B33=""),0,SUMIF('DADOS BRUTOS'!$A$3:$A$500,$B33,'DADOS BRUTOS'!EI$3:EI$500)+IF($C33="",0,SUMIF('DADOS BRUTOS'!$A$3:$A$500,$C33,'DADOS BRUTOS'!EI$3:EI$500)))</f>
        <v/>
      </c>
      <c r="HJ33" s="123">
        <f>IF(OR(HJ$4="",$B33=""),0,SUMIF('DADOS BRUTOS'!$A$3:$A$500,$B33,'DADOS BRUTOS'!EJ$3:EJ$500)+IF($C33="",0,SUMIF('DADOS BRUTOS'!$A$3:$A$500,$C33,'DADOS BRUTOS'!EJ$3:EJ$500)))</f>
        <v/>
      </c>
      <c r="HK33" s="123">
        <f>IF(OR(HK$4="",$B33=""),0,SUMIF('DADOS BRUTOS'!$A$3:$A$500,$B33,'DADOS BRUTOS'!EK$3:EK$500)+IF($C33="",0,SUMIF('DADOS BRUTOS'!$A$3:$A$500,$C33,'DADOS BRUTOS'!EK$3:EK$500)))</f>
        <v/>
      </c>
      <c r="HL33" s="123">
        <f>IF(OR(HL$4="",$B33=""),0,SUMIF('DADOS BRUTOS'!$A$3:$A$500,$B33,'DADOS BRUTOS'!EL$3:EL$500)+IF($C33="",0,SUMIF('DADOS BRUTOS'!$A$3:$A$500,$C33,'DADOS BRUTOS'!EL$3:EL$500)))</f>
        <v/>
      </c>
      <c r="HM33" s="123">
        <f>IF(OR(HM$4="",$B33=""),0,SUMIF('DADOS BRUTOS'!$A$3:$A$500,$B33,'DADOS BRUTOS'!EM$3:EM$500)+IF($C33="",0,SUMIF('DADOS BRUTOS'!$A$3:$A$500,$C33,'DADOS BRUTOS'!EM$3:EM$500)))</f>
        <v/>
      </c>
      <c r="HN33" s="123">
        <f>IF(OR(HN$4="",$B33=""),0,SUMIF('DADOS BRUTOS'!$A$3:$A$500,$B33,'DADOS BRUTOS'!EN$3:EN$500)+IF($C33="",0,SUMIF('DADOS BRUTOS'!$A$3:$A$500,$C33,'DADOS BRUTOS'!EN$3:EN$500)))</f>
        <v/>
      </c>
      <c r="HO33" s="123">
        <f>IF(OR(HO$4="",$B33=""),0,SUMIF('DADOS BRUTOS'!$A$3:$A$500,$B33,'DADOS BRUTOS'!EO$3:EO$500)+IF($C33="",0,SUMIF('DADOS BRUTOS'!$A$3:$A$500,$C33,'DADOS BRUTOS'!EO$3:EO$500)))</f>
        <v/>
      </c>
      <c r="HP33" s="123">
        <f>IF(OR(HP$4="",$B33=""),0,SUMIF('DADOS BRUTOS'!$A$3:$A$500,$B33,'DADOS BRUTOS'!EP$3:EP$500)+IF($C33="",0,SUMIF('DADOS BRUTOS'!$A$3:$A$500,$C33,'DADOS BRUTOS'!EP$3:EP$500)))</f>
        <v/>
      </c>
      <c r="HQ33" s="123">
        <f>IF(OR(HQ$4="",$B33=""),0,SUMIF('DADOS BRUTOS'!$A$3:$A$500,$B33,'DADOS BRUTOS'!EQ$3:EQ$500)+IF($C33="",0,SUMIF('DADOS BRUTOS'!$A$3:$A$500,$C33,'DADOS BRUTOS'!EQ$3:EQ$500)))</f>
        <v/>
      </c>
      <c r="HR33" s="123">
        <f>IF(OR(HR$4="",$B33=""),0,SUMIF('DADOS BRUTOS'!$A$3:$A$500,$B33,'DADOS BRUTOS'!ER$3:ER$500)+IF($C33="",0,SUMIF('DADOS BRUTOS'!$A$3:$A$500,$C33,'DADOS BRUTOS'!ER$3:ER$500)))</f>
        <v/>
      </c>
      <c r="HS33" s="123">
        <f>IF(OR(HS$4="",$B33=""),0,SUMIF('DADOS BRUTOS'!$A$3:$A$500,$B33,'DADOS BRUTOS'!ES$3:ES$500)+IF($C33="",0,SUMIF('DADOS BRUTOS'!$A$3:$A$500,$C33,'DADOS BRUTOS'!ES$3:ES$500)))</f>
        <v/>
      </c>
      <c r="HT33" s="123">
        <f>IF(OR(HT$4="",$B33=""),0,SUMIF('DADOS BRUTOS'!$A$3:$A$500,$B33,'DADOS BRUTOS'!ET$3:ET$500)+IF($C33="",0,SUMIF('DADOS BRUTOS'!$A$3:$A$500,$C33,'DADOS BRUTOS'!ET$3:ET$500)))</f>
        <v/>
      </c>
      <c r="HU33" s="123">
        <f>IF(OR(HU$4="",$B33=""),0,SUMIF('DADOS BRUTOS'!$A$3:$A$500,$B33,'DADOS BRUTOS'!EU$3:EU$500)+IF($C33="",0,SUMIF('DADOS BRUTOS'!$A$3:$A$500,$C33,'DADOS BRUTOS'!EU$3:EU$500)))</f>
        <v/>
      </c>
      <c r="HV33" s="123">
        <f>IF(OR(HV$4="",$B33=""),0,SUMIF('DADOS BRUTOS'!$A$3:$A$500,$B33,'DADOS BRUTOS'!EV$3:EV$500)+IF($C33="",0,SUMIF('DADOS BRUTOS'!$A$3:$A$500,$C33,'DADOS BRUTOS'!EV$3:EV$500)))</f>
        <v/>
      </c>
      <c r="HW33" s="123">
        <f>IF(OR(HW$4="",$B33=""),0,SUMIF('DADOS BRUTOS'!$A$3:$A$500,$B33,'DADOS BRUTOS'!EW$3:EW$500)+IF($C33="",0,SUMIF('DADOS BRUTOS'!$A$3:$A$500,$C33,'DADOS BRUTOS'!EW$3:EW$500)))</f>
        <v/>
      </c>
      <c r="HX33" s="123">
        <f>IF(OR(HX$4="",$B33=""),0,SUMIF('DADOS BRUTOS'!$A$3:$A$500,$B33,'DADOS BRUTOS'!EX$3:EX$500)+IF($C33="",0,SUMIF('DADOS BRUTOS'!$A$3:$A$500,$C33,'DADOS BRUTOS'!EX$3:EX$500)))</f>
        <v/>
      </c>
      <c r="HY33" s="123">
        <f>IF(OR(HY$4="",$B33=""),0,SUMIF('DADOS BRUTOS'!$A$3:$A$500,$B33,'DADOS BRUTOS'!EY$3:EY$500)+IF($C33="",0,SUMIF('DADOS BRUTOS'!$A$3:$A$500,$C33,'DADOS BRUTOS'!EY$3:EY$500)))</f>
        <v/>
      </c>
      <c r="HZ33" s="123">
        <f>IF(OR(HZ$4="",$B33=""),0,SUMIF('DADOS BRUTOS'!$A$3:$A$500,$B33,'DADOS BRUTOS'!EZ$3:EZ$500)+IF($C33="",0,SUMIF('DADOS BRUTOS'!$A$3:$A$500,$C33,'DADOS BRUTOS'!EZ$3:EZ$500)))</f>
        <v/>
      </c>
      <c r="IA33" s="123">
        <f>IF(OR(IA$4="",$B33=""),0,SUMIF('DADOS BRUTOS'!$A$3:$A$500,$B33,'DADOS BRUTOS'!FA$3:FA$500)+IF($C33="",0,SUMIF('DADOS BRUTOS'!$A$3:$A$500,$C33,'DADOS BRUTOS'!FA$3:FA$500)))</f>
        <v/>
      </c>
      <c r="IB33" s="123">
        <f>IF(OR(IB$4="",$B33=""),0,SUMIF('DADOS BRUTOS'!$A$3:$A$500,$B33,'DADOS BRUTOS'!FB$3:FB$500)+IF($C33="",0,SUMIF('DADOS BRUTOS'!$A$3:$A$500,$C33,'DADOS BRUTOS'!FB$3:FB$500)))</f>
        <v/>
      </c>
      <c r="IC33" s="123">
        <f>IF(OR(IC$4="",$B33=""),0,SUMIF('DADOS BRUTOS'!$A$3:$A$500,$B33,'DADOS BRUTOS'!FC$3:FC$500)+IF($C33="",0,SUMIF('DADOS BRUTOS'!$A$3:$A$500,$C33,'DADOS BRUTOS'!FC$3:FC$500)))</f>
        <v/>
      </c>
      <c r="ID33" s="123">
        <f>IF(OR(ID$4="",$B33=""),0,SUMIF('DADOS BRUTOS'!$A$3:$A$500,$B33,'DADOS BRUTOS'!FD$3:FD$500)+IF($C33="",0,SUMIF('DADOS BRUTOS'!$A$3:$A$500,$C33,'DADOS BRUTOS'!FD$3:FD$500)))</f>
        <v/>
      </c>
      <c r="IE33" s="123">
        <f>IF(OR(IE$4="",$B33=""),0,SUMIF('DADOS BRUTOS'!$A$3:$A$500,$B33,'DADOS BRUTOS'!FE$3:FE$500)+IF($C33="",0,SUMIF('DADOS BRUTOS'!$A$3:$A$500,$C33,'DADOS BRUTOS'!FE$3:FE$500)))</f>
        <v/>
      </c>
      <c r="IF33" s="123">
        <f>IF(OR(IF$4="",$B33=""),0,SUMIF('DADOS BRUTOS'!$A$3:$A$500,$B33,'DADOS BRUTOS'!FF$3:FF$500)+IF($C33="",0,SUMIF('DADOS BRUTOS'!$A$3:$A$500,$C33,'DADOS BRUTOS'!FF$3:FF$500)))</f>
        <v/>
      </c>
      <c r="IG33" s="123">
        <f>IF(OR(IG$4="",$B33=""),0,SUMIF('DADOS BRUTOS'!$A$3:$A$500,$B33,'DADOS BRUTOS'!FG$3:FG$500)+IF($C33="",0,SUMIF('DADOS BRUTOS'!$A$3:$A$500,$C33,'DADOS BRUTOS'!FG$3:FG$500)))</f>
        <v/>
      </c>
      <c r="IH33" s="123">
        <f>IF(OR(IH$4="",$B33=""),0,SUMIF('DADOS BRUTOS'!$A$3:$A$500,$B33,'DADOS BRUTOS'!FH$3:FH$500)+IF($C33="",0,SUMIF('DADOS BRUTOS'!$A$3:$A$500,$C33,'DADOS BRUTOS'!FH$3:FH$500)))</f>
        <v/>
      </c>
      <c r="II33" s="123">
        <f>IF(OR(II$4="",$B33=""),0,SUMIF('DADOS BRUTOS'!$A$3:$A$500,$B33,'DADOS BRUTOS'!FI$3:FI$500)+IF($C33="",0,SUMIF('DADOS BRUTOS'!$A$3:$A$500,$C33,'DADOS BRUTOS'!FI$3:FI$500)))</f>
        <v/>
      </c>
      <c r="IJ33" s="123">
        <f>IF(OR(IJ$4="",$B33=""),0,SUMIF('DADOS BRUTOS'!$A$3:$A$500,$B33,'DADOS BRUTOS'!FJ$3:FJ$500)+IF($C33="",0,SUMIF('DADOS BRUTOS'!$A$3:$A$500,$C33,'DADOS BRUTOS'!FJ$3:FJ$500)))</f>
        <v/>
      </c>
      <c r="IK33" s="123">
        <f>IF(OR(IK$4="",$B33=""),0,SUMIF('DADOS BRUTOS'!$A$3:$A$500,$B33,'DADOS BRUTOS'!FK$3:FK$500)+IF($C33="",0,SUMIF('DADOS BRUTOS'!$A$3:$A$500,$C33,'DADOS BRUTOS'!FK$3:FK$500)))</f>
        <v/>
      </c>
      <c r="IL33" s="123">
        <f>IF(OR(IL$4="",$B33=""),0,SUMIF('DADOS BRUTOS'!$A$3:$A$500,$B33,'DADOS BRUTOS'!FL$3:FL$500)+IF($C33="",0,SUMIF('DADOS BRUTOS'!$A$3:$A$500,$C33,'DADOS BRUTOS'!FL$3:FL$500)))</f>
        <v/>
      </c>
      <c r="IM33" s="123">
        <f>IF(OR(IM$4="",$B33=""),0,SUMIF('DADOS BRUTOS'!$A$3:$A$500,$B33,'DADOS BRUTOS'!FM$3:FM$500)+IF($C33="",0,SUMIF('DADOS BRUTOS'!$A$3:$A$500,$C33,'DADOS BRUTOS'!FM$3:FM$500)))</f>
        <v/>
      </c>
      <c r="IN33" s="123">
        <f>IF(OR(IN$4="",$B33=""),0,SUMIF('DADOS BRUTOS'!$A$3:$A$500,$B33,'DADOS BRUTOS'!FN$3:FN$500)+IF($C33="",0,SUMIF('DADOS BRUTOS'!$A$3:$A$500,$C33,'DADOS BRUTOS'!FN$3:FN$500)))</f>
        <v/>
      </c>
      <c r="IO33" s="123">
        <f>IF(OR(IO$4="",$B33=""),0,SUMIF('DADOS BRUTOS'!$A$3:$A$500,$B33,'DADOS BRUTOS'!FO$3:FO$500)+IF($C33="",0,SUMIF('DADOS BRUTOS'!$A$3:$A$500,$C33,'DADOS BRUTOS'!FO$3:FO$500)))</f>
        <v/>
      </c>
      <c r="IP33" s="123">
        <f>IF(OR(IP$4="",$B33=""),0,SUMIF('DADOS BRUTOS'!$A$3:$A$500,$B33,'DADOS BRUTOS'!FP$3:FP$500)+IF($C33="",0,SUMIF('DADOS BRUTOS'!$A$3:$A$500,$C33,'DADOS BRUTOS'!FP$3:FP$500)))</f>
        <v/>
      </c>
      <c r="IQ33" s="123">
        <f>IF(OR(IQ$4="",$B33=""),0,SUMIF('DADOS BRUTOS'!$A$3:$A$500,$B33,'DADOS BRUTOS'!FQ$3:FQ$500)+IF($C33="",0,SUMIF('DADOS BRUTOS'!$A$3:$A$500,$C33,'DADOS BRUTOS'!FQ$3:FQ$500)))</f>
        <v/>
      </c>
      <c r="IR33" s="123">
        <f>IF(OR(IR$4="",$B33=""),0,SUMIF('DADOS BRUTOS'!$A$3:$A$500,$B33,'DADOS BRUTOS'!FR$3:FR$500)+IF($C33="",0,SUMIF('DADOS BRUTOS'!$A$3:$A$500,$C33,'DADOS BRUTOS'!FR$3:FR$500)))</f>
        <v/>
      </c>
      <c r="IS33" s="123">
        <f>IF(OR(IS$4="",$B33=""),0,SUMIF('DADOS BRUTOS'!$A$3:$A$500,$B33,'DADOS BRUTOS'!FS$3:FS$500)+IF($C33="",0,SUMIF('DADOS BRUTOS'!$A$3:$A$500,$C33,'DADOS BRUTOS'!FS$3:FS$500)))</f>
        <v/>
      </c>
      <c r="IT33" s="123">
        <f>IF(OR(IT$4="",$B33=""),0,SUMIF('DADOS BRUTOS'!$A$3:$A$500,$B33,'DADOS BRUTOS'!FT$3:FT$500)+IF($C33="",0,SUMIF('DADOS BRUTOS'!$A$3:$A$500,$C33,'DADOS BRUTOS'!FT$3:FT$500)))</f>
        <v/>
      </c>
      <c r="IU33" s="123">
        <f>IF(OR(IU$4="",$B33=""),0,SUMIF('DADOS BRUTOS'!$A$3:$A$500,$B33,'DADOS BRUTOS'!FU$3:FU$500)+IF($C33="",0,SUMIF('DADOS BRUTOS'!$A$3:$A$500,$C33,'DADOS BRUTOS'!FU$3:FU$500)))</f>
        <v/>
      </c>
      <c r="IV33" s="123">
        <f>IF(OR(IV$4="",$B33=""),0,SUMIF('DADOS BRUTOS'!$A$3:$A$500,$B33,'DADOS BRUTOS'!FV$3:FV$500)+IF($C33="",0,SUMIF('DADOS BRUTOS'!$A$3:$A$500,$C33,'DADOS BRUTOS'!FV$3:FV$500)))</f>
        <v/>
      </c>
      <c r="IW33" s="123">
        <f>IF(OR(IW$4="",$B33=""),0,SUMIF('DADOS BRUTOS'!$A$3:$A$500,$B33,'DADOS BRUTOS'!FW$3:FW$500)+IF($C33="",0,SUMIF('DADOS BRUTOS'!$A$3:$A$500,$C33,'DADOS BRUTOS'!FW$3:FW$500)))</f>
        <v/>
      </c>
      <c r="IX33" s="123">
        <f>IF(OR(IX$4="",$B33=""),0,SUMIF('DADOS BRUTOS'!$A$3:$A$500,$B33,'DADOS BRUTOS'!FX$3:FX$500)+IF($C33="",0,SUMIF('DADOS BRUTOS'!$A$3:$A$500,$C33,'DADOS BRUTOS'!FX$3:FX$500)))</f>
        <v/>
      </c>
      <c r="IY33" s="123">
        <f>IF(OR(IY$4="",$B33=""),0,SUMIF('DADOS BRUTOS'!$A$3:$A$500,$B33,'DADOS BRUTOS'!FY$3:FY$500)+IF($C33="",0,SUMIF('DADOS BRUTOS'!$A$3:$A$500,$C33,'DADOS BRUTOS'!FY$3:FY$500)))</f>
        <v/>
      </c>
      <c r="IZ33" s="123">
        <f>IF(OR(IZ$4="",$B33=""),0,SUMIF('DADOS BRUTOS'!$A$3:$A$500,$B33,'DADOS BRUTOS'!FZ$3:FZ$500)+IF($C33="",0,SUMIF('DADOS BRUTOS'!$A$3:$A$500,$C33,'DADOS BRUTOS'!FZ$3:FZ$500)))</f>
        <v/>
      </c>
      <c r="JA33" s="123">
        <f>IF(OR(JA$4="",$B33=""),0,SUMIF('DADOS BRUTOS'!$A$3:$A$500,$B33,'DADOS BRUTOS'!GA$3:GA$500)+IF($C33="",0,SUMIF('DADOS BRUTOS'!$A$3:$A$500,$C33,'DADOS BRUTOS'!GA$3:GA$500)))</f>
        <v/>
      </c>
      <c r="JB33" s="123">
        <f>IF(OR(JB$4="",$B33=""),0,SUMIF('DADOS BRUTOS'!$A$3:$A$500,$B33,'DADOS BRUTOS'!GB$3:GB$500)+IF($C33="",0,SUMIF('DADOS BRUTOS'!$A$3:$A$500,$C33,'DADOS BRUTOS'!GB$3:GB$500)))</f>
        <v/>
      </c>
      <c r="JC33" s="123">
        <f>IF(OR(JC$4="",$B33=""),0,SUMIF('DADOS BRUTOS'!$A$3:$A$500,$B33,'DADOS BRUTOS'!GC$3:GC$500)+IF($C33="",0,SUMIF('DADOS BRUTOS'!$A$3:$A$500,$C33,'DADOS BRUTOS'!GC$3:GC$500)))</f>
        <v/>
      </c>
      <c r="JD33" s="123">
        <f>IF(OR(JD$4="",$B33=""),0,SUMIF('DADOS BRUTOS'!$A$3:$A$500,$B33,'DADOS BRUTOS'!GD$3:GD$500)+IF($C33="",0,SUMIF('DADOS BRUTOS'!$A$3:$A$500,$C33,'DADOS BRUTOS'!GD$3:GD$500)))</f>
        <v/>
      </c>
      <c r="JE33" s="123">
        <f>IF(OR(JE$4="",$B33=""),0,SUMIF('DADOS BRUTOS'!$A$3:$A$500,$B33,'DADOS BRUTOS'!GE$3:GE$500)+IF($C33="",0,SUMIF('DADOS BRUTOS'!$A$3:$A$500,$C33,'DADOS BRUTOS'!GE$3:GE$500)))</f>
        <v/>
      </c>
      <c r="JF33" s="123">
        <f>IF(OR(JF$4="",$B33=""),0,SUMIF('DADOS BRUTOS'!$A$3:$A$500,$B33,'DADOS BRUTOS'!GF$3:GF$500)+IF($C33="",0,SUMIF('DADOS BRUTOS'!$A$3:$A$500,$C33,'DADOS BRUTOS'!GF$3:GF$500)))</f>
        <v/>
      </c>
      <c r="JG33" s="123">
        <f>IF(OR(JG$4="",$B33=""),0,SUMIF('DADOS BRUTOS'!$A$3:$A$500,$B33,'DADOS BRUTOS'!GG$3:GG$500)+IF($C33="",0,SUMIF('DADOS BRUTOS'!$A$3:$A$500,$C33,'DADOS BRUTOS'!GG$3:GG$500)))</f>
        <v/>
      </c>
      <c r="JH33" s="123">
        <f>IF(OR(JH$4="",$B33=""),0,SUMIF('DADOS BRUTOS'!$A$3:$A$500,$B33,'DADOS BRUTOS'!GH$3:GH$500)+IF($C33="",0,SUMIF('DADOS BRUTOS'!$A$3:$A$500,$C33,'DADOS BRUTOS'!GH$3:GH$500)))</f>
        <v/>
      </c>
      <c r="JI33" s="123">
        <f>IF(OR(JI$4="",$B33=""),0,SUMIF('DADOS BRUTOS'!$A$3:$A$500,$B33,'DADOS BRUTOS'!GI$3:GI$500)+IF($C33="",0,SUMIF('DADOS BRUTOS'!$A$3:$A$500,$C33,'DADOS BRUTOS'!GI$3:GI$500)))</f>
        <v/>
      </c>
      <c r="JJ33" s="123">
        <f>IF(OR(JJ$4="",$B33=""),0,SUMIF('DADOS BRUTOS'!$A$3:$A$500,$B33,'DADOS BRUTOS'!GJ$3:GJ$500)+IF($C33="",0,SUMIF('DADOS BRUTOS'!$A$3:$A$500,$C33,'DADOS BRUTOS'!GJ$3:GJ$500)))</f>
        <v/>
      </c>
      <c r="JK33" s="123">
        <f>IF(OR(JK$4="",$B33=""),0,SUMIF('DADOS BRUTOS'!$A$3:$A$500,$B33,'DADOS BRUTOS'!GK$3:GK$500)+IF($C33="",0,SUMIF('DADOS BRUTOS'!$A$3:$A$500,$C33,'DADOS BRUTOS'!GK$3:GK$500)))</f>
        <v/>
      </c>
      <c r="JL33" s="123">
        <f>IF(OR(JL$4="",$B33=""),0,SUMIF('DADOS BRUTOS'!$A$3:$A$500,$B33,'DADOS BRUTOS'!GL$3:GL$500)+IF($C33="",0,SUMIF('DADOS BRUTOS'!$A$3:$A$500,$C33,'DADOS BRUTOS'!GL$3:GL$500)))</f>
        <v/>
      </c>
      <c r="JM33" s="123">
        <f>IF(OR(JM$4="",$B33=""),0,SUMIF('DADOS BRUTOS'!$A$3:$A$500,$B33,'DADOS BRUTOS'!GM$3:GM$500)+IF($C33="",0,SUMIF('DADOS BRUTOS'!$A$3:$A$500,$C33,'DADOS BRUTOS'!GM$3:GM$500)))</f>
        <v/>
      </c>
      <c r="JN33" s="123">
        <f>IF(OR(JN$4="",$B33=""),0,SUMIF('DADOS BRUTOS'!$A$3:$A$500,$B33,'DADOS BRUTOS'!GN$3:GN$500)+IF($C33="",0,SUMIF('DADOS BRUTOS'!$A$3:$A$500,$C33,'DADOS BRUTOS'!GN$3:GN$500)))</f>
        <v/>
      </c>
      <c r="JO33" s="123">
        <f>IF(OR(JO$4="",$B33=""),0,SUMIF('DADOS BRUTOS'!$A$3:$A$500,$B33,'DADOS BRUTOS'!GO$3:GO$500)+IF($C33="",0,SUMIF('DADOS BRUTOS'!$A$3:$A$500,$C33,'DADOS BRUTOS'!GO$3:GO$500)))</f>
        <v/>
      </c>
      <c r="JP33" s="123">
        <f>IF(OR(JP$4="",$B33=""),0,SUMIF('DADOS BRUTOS'!$A$3:$A$500,$B33,'DADOS BRUTOS'!GP$3:GP$500)+IF($C33="",0,SUMIF('DADOS BRUTOS'!$A$3:$A$500,$C33,'DADOS BRUTOS'!GP$3:GP$500)))</f>
        <v/>
      </c>
      <c r="JQ33" s="123">
        <f>IF(OR(JQ$4="",$B33=""),0,SUMIF('DADOS BRUTOS'!$A$3:$A$500,$B33,'DADOS BRUTOS'!GQ$3:GQ$500)+IF($C33="",0,SUMIF('DADOS BRUTOS'!$A$3:$A$500,$C33,'DADOS BRUTOS'!GQ$3:GQ$500)))</f>
        <v/>
      </c>
      <c r="JR33" s="123">
        <f>IF(OR(JR$4="",$B33=""),0,SUMIF('DADOS BRUTOS'!$A$3:$A$500,$B33,'DADOS BRUTOS'!GR$3:GR$500)+IF($C33="",0,SUMIF('DADOS BRUTOS'!$A$3:$A$500,$C33,'DADOS BRUTOS'!GR$3:GR$500)))</f>
        <v/>
      </c>
      <c r="JS33" s="123">
        <f>IF(OR(JS$4="",$B33=""),0,SUMIF('DADOS BRUTOS'!$A$3:$A$500,$B33,'DADOS BRUTOS'!GS$3:GS$500)+IF($C33="",0,SUMIF('DADOS BRUTOS'!$A$3:$A$500,$C33,'DADOS BRUTOS'!GS$3:GS$500)))</f>
        <v/>
      </c>
    </row>
    <row r="34">
      <c r="A34" s="61">
        <f>'VALOR POR PL'!D40</f>
        <v/>
      </c>
      <c r="B34" s="60" t="inlineStr">
        <is>
          <t>REVESTIMENTOS</t>
        </is>
      </c>
      <c r="C34" s="60" t="n"/>
      <c r="D34" s="55">
        <f>SUMIF($CB$4:$JS$4,"&lt;="&amp;D$4,$CB34:$JS34)</f>
        <v/>
      </c>
      <c r="E34" s="55">
        <f>SUMIF($CB$4:$JS$4,E$4,$CB34:$JS34)</f>
        <v/>
      </c>
      <c r="F34" s="55">
        <f>SUMIF($CB$4:$JS$4,F$4,$CB34:$JS34)</f>
        <v/>
      </c>
      <c r="G34" s="55">
        <f>SUMIF($CB$4:$JS$4,G$4,$CB34:$JS34)</f>
        <v/>
      </c>
      <c r="H34" s="55">
        <f>SUMIF($CB$4:$JS$4,H$4,$CB34:$JS34)</f>
        <v/>
      </c>
      <c r="I34" s="55">
        <f>SUMIF($CB$4:$JS$4,I$4,$CB34:$JS34)</f>
        <v/>
      </c>
      <c r="J34" s="55">
        <f>SUMIF($CB$4:$JS$4,J$4,$CB34:$JS34)</f>
        <v/>
      </c>
      <c r="K34" s="55">
        <f>SUMIF($CB$4:$JS$4,K$4,$CB34:$JS34)</f>
        <v/>
      </c>
      <c r="L34" s="55">
        <f>SUMIF($CB$4:$JS$4,L$4,$CB34:$JS34)</f>
        <v/>
      </c>
      <c r="M34" s="55">
        <f>SUMIF($CB$4:$JS$4,M$4,$CB34:$JS34)</f>
        <v/>
      </c>
      <c r="N34" s="55">
        <f>SUMIF($CB$4:$JS$4,N$4,$CB34:$JS34)</f>
        <v/>
      </c>
      <c r="O34" s="55">
        <f>SUMIF($CB$4:$JS$4,O$4,$CB34:$JS34)</f>
        <v/>
      </c>
      <c r="P34" s="55">
        <f>SUMIF($CB$4:$JS$4,P$4,$CB34:$JS34)</f>
        <v/>
      </c>
      <c r="Q34" s="55">
        <f>SUMIF($CB$4:$JS$4,Q$4,$CB34:$JS34)</f>
        <v/>
      </c>
      <c r="R34" s="55">
        <f>SUMIF($CB$4:$JS$4,R$4,$CB34:$JS34)</f>
        <v/>
      </c>
      <c r="S34" s="55">
        <f>SUMIF($CB$4:$JS$4,S$4,$CB34:$JS34)</f>
        <v/>
      </c>
      <c r="T34" s="55">
        <f>SUMIF($CB$4:$JS$4,T$4,$CB34:$JS34)</f>
        <v/>
      </c>
      <c r="U34" s="55">
        <f>SUMIF($CB$4:$JS$4,U$4,$CB34:$JS34)</f>
        <v/>
      </c>
      <c r="V34" s="55">
        <f>SUMIF($CB$4:$JS$4,V$4,$CB34:$JS34)</f>
        <v/>
      </c>
      <c r="W34" s="55">
        <f>SUMIF($CB$4:$JS$4,W$4,$CB34:$JS34)</f>
        <v/>
      </c>
      <c r="X34" s="55">
        <f>SUMIF($CB$4:$JS$4,X$4,$CB34:$JS34)</f>
        <v/>
      </c>
      <c r="Y34" s="55">
        <f>SUMIF($CB$4:$JS$4,Y$4,$CB34:$JS34)</f>
        <v/>
      </c>
      <c r="Z34" s="55">
        <f>SUMIF($CB$4:$JS$4,Z$4,$CB34:$JS34)</f>
        <v/>
      </c>
      <c r="AA34" s="55">
        <f>SUMIF($CB$4:$JS$4,AA$4,$CB34:$JS34)</f>
        <v/>
      </c>
      <c r="AB34" s="55">
        <f>SUMIF($CB$4:$JS$4,AB$4,$CB34:$JS34)</f>
        <v/>
      </c>
      <c r="AC34" s="55">
        <f>SUMIF($CB$4:$JS$4,AC$4,$CB34:$JS34)</f>
        <v/>
      </c>
      <c r="AD34" s="55">
        <f>SUMIF($CB$4:$JS$4,AD$4,$CB34:$JS34)</f>
        <v/>
      </c>
      <c r="AE34" s="55">
        <f>SUMIF($CB$4:$JS$4,AE$4,$CB34:$JS34)</f>
        <v/>
      </c>
      <c r="AF34" s="55">
        <f>SUMIF($CB$4:$JS$4,AF$4,$CB34:$JS34)</f>
        <v/>
      </c>
      <c r="AG34" s="55">
        <f>SUMIF($CB$4:$JS$4,AG$4,$CB34:$JS34)</f>
        <v/>
      </c>
      <c r="AH34" s="55">
        <f>SUMIF($CB$4:$JS$4,AH$4,$CB34:$JS34)</f>
        <v/>
      </c>
      <c r="AI34" s="55">
        <f>SUMIF($CB$4:$JS$4,AI$4,$CB34:$JS34)</f>
        <v/>
      </c>
      <c r="AJ34" s="55">
        <f>SUMIF($CB$4:$JS$4,AJ$4,$CB34:$JS34)</f>
        <v/>
      </c>
      <c r="AK34" s="55">
        <f>SUMIF($CB$4:$JS$4,AK$4,$CB34:$JS34)</f>
        <v/>
      </c>
      <c r="AL34" s="55">
        <f>SUMIF($CB$4:$JS$4,AL$4,$CB34:$JS34)</f>
        <v/>
      </c>
      <c r="AM34" s="55">
        <f>SUMIF($CB$4:$JS$4,AM$4,$CB34:$JS34)</f>
        <v/>
      </c>
      <c r="AN34" s="55">
        <f>SUMIF($CB$4:$JS$4,AN$4,$CB34:$JS34)</f>
        <v/>
      </c>
      <c r="AO34" s="55">
        <f>SUMIF($CB$4:$JS$4,AO$4,$CB34:$JS34)</f>
        <v/>
      </c>
      <c r="AP34" s="55">
        <f>SUMIF($CB$4:$JS$4,AP$4,$CB34:$JS34)</f>
        <v/>
      </c>
      <c r="AQ34" s="55">
        <f>SUMIF($CB$4:$JS$4,AQ$4,$CB34:$JS34)</f>
        <v/>
      </c>
      <c r="AR34" s="55">
        <f>SUMIF($CB$4:$JS$4,AR$4,$CB34:$JS34)</f>
        <v/>
      </c>
      <c r="AS34" s="55">
        <f>SUMIF($CB$4:$JS$4,AS$4,$CB34:$JS34)</f>
        <v/>
      </c>
      <c r="AT34" s="55">
        <f>SUMIF($CB$4:$JS$4,AT$4,$CB34:$JS34)</f>
        <v/>
      </c>
      <c r="AU34" s="55">
        <f>SUMIF($CB$4:$JS$4,AU$4,$CB34:$JS34)</f>
        <v/>
      </c>
      <c r="AV34" s="55">
        <f>SUMIF($CB$4:$JS$4,AV$4,$CB34:$JS34)</f>
        <v/>
      </c>
      <c r="AW34" s="55">
        <f>SUMIF($CB$4:$JS$4,AW$4,$CB34:$JS34)</f>
        <v/>
      </c>
      <c r="AX34" s="55">
        <f>SUMIF($CB$4:$JS$4,AX$4,$CB34:$JS34)</f>
        <v/>
      </c>
      <c r="AY34" s="55">
        <f>SUMIF($CB$4:$JS$4,AY$4,$CB34:$JS34)</f>
        <v/>
      </c>
      <c r="AZ34" s="55">
        <f>SUMIF($CB$4:$JS$4,AZ$4,$CB34:$JS34)</f>
        <v/>
      </c>
      <c r="BA34" s="55">
        <f>SUMIF($CB$4:$JS$4,BA$4,$CB34:$JS34)</f>
        <v/>
      </c>
      <c r="BB34" s="55">
        <f>SUMIF($CB$4:$JS$4,BB$4,$CB34:$JS34)</f>
        <v/>
      </c>
      <c r="BC34" s="55">
        <f>SUMIF($CB$4:$JS$4,BC$4,$CB34:$JS34)</f>
        <v/>
      </c>
      <c r="BD34" s="55">
        <f>SUMIF($CB$4:$JS$4,BD$4,$CB34:$JS34)</f>
        <v/>
      </c>
      <c r="BE34" s="55">
        <f>SUMIF($CB$4:$JS$4,BE$4,$CB34:$JS34)</f>
        <v/>
      </c>
      <c r="BF34" s="55">
        <f>SUMIF($CB$4:$JS$4,BF$4,$CB34:$JS34)</f>
        <v/>
      </c>
      <c r="BG34" s="55">
        <f>SUMIF($CB$4:$JS$4,BG$4,$CB34:$JS34)</f>
        <v/>
      </c>
      <c r="BH34" s="55">
        <f>SUMIF($CB$4:$JS$4,BH$4,$CB34:$JS34)</f>
        <v/>
      </c>
      <c r="BI34" s="55">
        <f>SUMIF($CB$4:$JS$4,BI$4,$CB34:$JS34)</f>
        <v/>
      </c>
      <c r="BJ34" s="55">
        <f>SUMIF($CB$4:$JS$4,BJ$4,$CB34:$JS34)</f>
        <v/>
      </c>
      <c r="BK34" s="55">
        <f>SUMIF($CB$4:$JS$4,BK$4,$CB34:$JS34)</f>
        <v/>
      </c>
      <c r="BL34" s="55">
        <f>SUMIF($CB$4:$JS$4,BL$4,$CB34:$JS34)</f>
        <v/>
      </c>
      <c r="BM34" s="55">
        <f>SUMIF($CB$4:$JS$4,BM$4,$CB34:$JS34)</f>
        <v/>
      </c>
      <c r="BN34" s="55">
        <f>SUMIF($CB$4:$JS$4,BN$4,$CB34:$JS34)</f>
        <v/>
      </c>
      <c r="BO34" s="55">
        <f>SUMIF($CB$4:$JS$4,BO$4,$CB34:$JS34)</f>
        <v/>
      </c>
      <c r="BP34" s="55">
        <f>SUMIF($CB$4:$JS$4,BP$4,$CB34:$JS34)</f>
        <v/>
      </c>
      <c r="BQ34" s="55">
        <f>SUMIF($CB$4:$JS$4,BQ$4,$CB34:$JS34)</f>
        <v/>
      </c>
      <c r="BR34" s="55">
        <f>SUMIF($CB$4:$JS$4,BR$4,$CB34:$JS34)</f>
        <v/>
      </c>
      <c r="BS34" s="55">
        <f>SUMIF($CB$4:$JS$4,BS$4,$CB34:$JS34)</f>
        <v/>
      </c>
      <c r="BT34" s="55">
        <f>SUMIF($CB$4:$JS$4,BT$4,$CB34:$JS34)</f>
        <v/>
      </c>
      <c r="BU34" s="55">
        <f>SUMIF($CB$4:$JS$4,BU$4,$CB34:$JS34)</f>
        <v/>
      </c>
      <c r="BV34" s="55">
        <f>SUMIF($CB$4:$JS$4,BV$4,$CB34:$JS34)</f>
        <v/>
      </c>
      <c r="BW34" s="55">
        <f>SUMIF($CB$4:$JS$4,BW$4,$CB34:$JS34)</f>
        <v/>
      </c>
      <c r="BX34" s="55">
        <f>SUMIF($CB$4:$JS$4,"&gt;"&amp;'VALOR POR PL'!$P$8,$CB34:$JS34)</f>
        <v/>
      </c>
      <c r="BY34" s="55">
        <f>SUM($CB34:$JS34)</f>
        <v/>
      </c>
      <c r="CB34" s="123">
        <f>IF(OR(CB$4="",$B34=""),0,SUMIF('DADOS BRUTOS'!$A$3:$A$500,$B34,'DADOS BRUTOS'!B$3:B$500)+IF($C34="",0,SUMIF('DADOS BRUTOS'!$A$3:$A$500,$C34,'DADOS BRUTOS'!B$3:B$500)))</f>
        <v/>
      </c>
      <c r="CC34" s="123">
        <f>IF(OR(CC$4="",$B34=""),0,SUMIF('DADOS BRUTOS'!$A$3:$A$500,$B34,'DADOS BRUTOS'!C$3:C$500)+IF($C34="",0,SUMIF('DADOS BRUTOS'!$A$3:$A$500,$C34,'DADOS BRUTOS'!C$3:C$500)))</f>
        <v/>
      </c>
      <c r="CD34" s="123">
        <f>IF(OR(CD$4="",$B34=""),0,SUMIF('DADOS BRUTOS'!$A$3:$A$500,$B34,'DADOS BRUTOS'!D$3:D$500)+IF($C34="",0,SUMIF('DADOS BRUTOS'!$A$3:$A$500,$C34,'DADOS BRUTOS'!D$3:D$500)))</f>
        <v/>
      </c>
      <c r="CE34" s="123">
        <f>IF(OR(CE$4="",$B34=""),0,SUMIF('DADOS BRUTOS'!$A$3:$A$500,$B34,'DADOS BRUTOS'!E$3:E$500)+IF($C34="",0,SUMIF('DADOS BRUTOS'!$A$3:$A$500,$C34,'DADOS BRUTOS'!E$3:E$500)))</f>
        <v/>
      </c>
      <c r="CF34" s="123">
        <f>IF(OR(CF$4="",$B34=""),0,SUMIF('DADOS BRUTOS'!$A$3:$A$500,$B34,'DADOS BRUTOS'!F$3:F$500)+IF($C34="",0,SUMIF('DADOS BRUTOS'!$A$3:$A$500,$C34,'DADOS BRUTOS'!F$3:F$500)))</f>
        <v/>
      </c>
      <c r="CG34" s="123">
        <f>IF(OR(CG$4="",$B34=""),0,SUMIF('DADOS BRUTOS'!$A$3:$A$500,$B34,'DADOS BRUTOS'!G$3:G$500)+IF($C34="",0,SUMIF('DADOS BRUTOS'!$A$3:$A$500,$C34,'DADOS BRUTOS'!G$3:G$500)))</f>
        <v/>
      </c>
      <c r="CH34" s="123">
        <f>IF(OR(CH$4="",$B34=""),0,SUMIF('DADOS BRUTOS'!$A$3:$A$500,$B34,'DADOS BRUTOS'!H$3:H$500)+IF($C34="",0,SUMIF('DADOS BRUTOS'!$A$3:$A$500,$C34,'DADOS BRUTOS'!H$3:H$500)))</f>
        <v/>
      </c>
      <c r="CI34" s="123">
        <f>IF(OR(CI$4="",$B34=""),0,SUMIF('DADOS BRUTOS'!$A$3:$A$500,$B34,'DADOS BRUTOS'!I$3:I$500)+IF($C34="",0,SUMIF('DADOS BRUTOS'!$A$3:$A$500,$C34,'DADOS BRUTOS'!I$3:I$500)))</f>
        <v/>
      </c>
      <c r="CJ34" s="123">
        <f>IF(OR(CJ$4="",$B34=""),0,SUMIF('DADOS BRUTOS'!$A$3:$A$500,$B34,'DADOS BRUTOS'!J$3:J$500)+IF($C34="",0,SUMIF('DADOS BRUTOS'!$A$3:$A$500,$C34,'DADOS BRUTOS'!J$3:J$500)))</f>
        <v/>
      </c>
      <c r="CK34" s="123">
        <f>IF(OR(CK$4="",$B34=""),0,SUMIF('DADOS BRUTOS'!$A$3:$A$500,$B34,'DADOS BRUTOS'!K$3:K$500)+IF($C34="",0,SUMIF('DADOS BRUTOS'!$A$3:$A$500,$C34,'DADOS BRUTOS'!K$3:K$500)))</f>
        <v/>
      </c>
      <c r="CL34" s="123">
        <f>IF(OR(CL$4="",$B34=""),0,SUMIF('DADOS BRUTOS'!$A$3:$A$500,$B34,'DADOS BRUTOS'!L$3:L$500)+IF($C34="",0,SUMIF('DADOS BRUTOS'!$A$3:$A$500,$C34,'DADOS BRUTOS'!L$3:L$500)))</f>
        <v/>
      </c>
      <c r="CM34" s="123">
        <f>IF(OR(CM$4="",$B34=""),0,SUMIF('DADOS BRUTOS'!$A$3:$A$500,$B34,'DADOS BRUTOS'!M$3:M$500)+IF($C34="",0,SUMIF('DADOS BRUTOS'!$A$3:$A$500,$C34,'DADOS BRUTOS'!M$3:M$500)))</f>
        <v/>
      </c>
      <c r="CN34" s="123">
        <f>IF(OR(CN$4="",$B34=""),0,SUMIF('DADOS BRUTOS'!$A$3:$A$500,$B34,'DADOS BRUTOS'!N$3:N$500)+IF($C34="",0,SUMIF('DADOS BRUTOS'!$A$3:$A$500,$C34,'DADOS BRUTOS'!N$3:N$500)))</f>
        <v/>
      </c>
      <c r="CO34" s="123">
        <f>IF(OR(CO$4="",$B34=""),0,SUMIF('DADOS BRUTOS'!$A$3:$A$500,$B34,'DADOS BRUTOS'!O$3:O$500)+IF($C34="",0,SUMIF('DADOS BRUTOS'!$A$3:$A$500,$C34,'DADOS BRUTOS'!O$3:O$500)))</f>
        <v/>
      </c>
      <c r="CP34" s="123">
        <f>IF(OR(CP$4="",$B34=""),0,SUMIF('DADOS BRUTOS'!$A$3:$A$500,$B34,'DADOS BRUTOS'!P$3:P$500)+IF($C34="",0,SUMIF('DADOS BRUTOS'!$A$3:$A$500,$C34,'DADOS BRUTOS'!P$3:P$500)))</f>
        <v/>
      </c>
      <c r="CQ34" s="123">
        <f>IF(OR(CQ$4="",$B34=""),0,SUMIF('DADOS BRUTOS'!$A$3:$A$500,$B34,'DADOS BRUTOS'!Q$3:Q$500)+IF($C34="",0,SUMIF('DADOS BRUTOS'!$A$3:$A$500,$C34,'DADOS BRUTOS'!Q$3:Q$500)))</f>
        <v/>
      </c>
      <c r="CR34" s="123">
        <f>IF(OR(CR$4="",$B34=""),0,SUMIF('DADOS BRUTOS'!$A$3:$A$500,$B34,'DADOS BRUTOS'!R$3:R$500)+IF($C34="",0,SUMIF('DADOS BRUTOS'!$A$3:$A$500,$C34,'DADOS BRUTOS'!R$3:R$500)))</f>
        <v/>
      </c>
      <c r="CS34" s="123">
        <f>IF(OR(CS$4="",$B34=""),0,SUMIF('DADOS BRUTOS'!$A$3:$A$500,$B34,'DADOS BRUTOS'!S$3:S$500)+IF($C34="",0,SUMIF('DADOS BRUTOS'!$A$3:$A$500,$C34,'DADOS BRUTOS'!S$3:S$500)))</f>
        <v/>
      </c>
      <c r="CT34" s="123">
        <f>IF(OR(CT$4="",$B34=""),0,SUMIF('DADOS BRUTOS'!$A$3:$A$500,$B34,'DADOS BRUTOS'!T$3:T$500)+IF($C34="",0,SUMIF('DADOS BRUTOS'!$A$3:$A$500,$C34,'DADOS BRUTOS'!T$3:T$500)))</f>
        <v/>
      </c>
      <c r="CU34" s="123">
        <f>IF(OR(CU$4="",$B34=""),0,SUMIF('DADOS BRUTOS'!$A$3:$A$500,$B34,'DADOS BRUTOS'!U$3:U$500)+IF($C34="",0,SUMIF('DADOS BRUTOS'!$A$3:$A$500,$C34,'DADOS BRUTOS'!U$3:U$500)))</f>
        <v/>
      </c>
      <c r="CV34" s="123">
        <f>IF(OR(CV$4="",$B34=""),0,SUMIF('DADOS BRUTOS'!$A$3:$A$500,$B34,'DADOS BRUTOS'!V$3:V$500)+IF($C34="",0,SUMIF('DADOS BRUTOS'!$A$3:$A$500,$C34,'DADOS BRUTOS'!V$3:V$500)))</f>
        <v/>
      </c>
      <c r="CW34" s="123">
        <f>IF(OR(CW$4="",$B34=""),0,SUMIF('DADOS BRUTOS'!$A$3:$A$500,$B34,'DADOS BRUTOS'!W$3:W$500)+IF($C34="",0,SUMIF('DADOS BRUTOS'!$A$3:$A$500,$C34,'DADOS BRUTOS'!W$3:W$500)))</f>
        <v/>
      </c>
      <c r="CX34" s="123">
        <f>IF(OR(CX$4="",$B34=""),0,SUMIF('DADOS BRUTOS'!$A$3:$A$500,$B34,'DADOS BRUTOS'!X$3:X$500)+IF($C34="",0,SUMIF('DADOS BRUTOS'!$A$3:$A$500,$C34,'DADOS BRUTOS'!X$3:X$500)))</f>
        <v/>
      </c>
      <c r="CY34" s="123">
        <f>IF(OR(CY$4="",$B34=""),0,SUMIF('DADOS BRUTOS'!$A$3:$A$500,$B34,'DADOS BRUTOS'!Y$3:Y$500)+IF($C34="",0,SUMIF('DADOS BRUTOS'!$A$3:$A$500,$C34,'DADOS BRUTOS'!Y$3:Y$500)))</f>
        <v/>
      </c>
      <c r="CZ34" s="123">
        <f>IF(OR(CZ$4="",$B34=""),0,SUMIF('DADOS BRUTOS'!$A$3:$A$500,$B34,'DADOS BRUTOS'!Z$3:Z$500)+IF($C34="",0,SUMIF('DADOS BRUTOS'!$A$3:$A$500,$C34,'DADOS BRUTOS'!Z$3:Z$500)))</f>
        <v/>
      </c>
      <c r="DA34" s="123">
        <f>IF(OR(DA$4="",$B34=""),0,SUMIF('DADOS BRUTOS'!$A$3:$A$500,$B34,'DADOS BRUTOS'!AA$3:AA$500)+IF($C34="",0,SUMIF('DADOS BRUTOS'!$A$3:$A$500,$C34,'DADOS BRUTOS'!AA$3:AA$500)))</f>
        <v/>
      </c>
      <c r="DB34" s="123">
        <f>IF(OR(DB$4="",$B34=""),0,SUMIF('DADOS BRUTOS'!$A$3:$A$500,$B34,'DADOS BRUTOS'!AB$3:AB$500)+IF($C34="",0,SUMIF('DADOS BRUTOS'!$A$3:$A$500,$C34,'DADOS BRUTOS'!AB$3:AB$500)))</f>
        <v/>
      </c>
      <c r="DC34" s="123">
        <f>IF(OR(DC$4="",$B34=""),0,SUMIF('DADOS BRUTOS'!$A$3:$A$500,$B34,'DADOS BRUTOS'!AC$3:AC$500)+IF($C34="",0,SUMIF('DADOS BRUTOS'!$A$3:$A$500,$C34,'DADOS BRUTOS'!AC$3:AC$500)))</f>
        <v/>
      </c>
      <c r="DD34" s="123">
        <f>IF(OR(DD$4="",$B34=""),0,SUMIF('DADOS BRUTOS'!$A$3:$A$500,$B34,'DADOS BRUTOS'!AD$3:AD$500)+IF($C34="",0,SUMIF('DADOS BRUTOS'!$A$3:$A$500,$C34,'DADOS BRUTOS'!AD$3:AD$500)))</f>
        <v/>
      </c>
      <c r="DE34" s="123">
        <f>IF(OR(DE$4="",$B34=""),0,SUMIF('DADOS BRUTOS'!$A$3:$A$500,$B34,'DADOS BRUTOS'!AE$3:AE$500)+IF($C34="",0,SUMIF('DADOS BRUTOS'!$A$3:$A$500,$C34,'DADOS BRUTOS'!AE$3:AE$500)))</f>
        <v/>
      </c>
      <c r="DF34" s="123">
        <f>IF(OR(DF$4="",$B34=""),0,SUMIF('DADOS BRUTOS'!$A$3:$A$500,$B34,'DADOS BRUTOS'!AF$3:AF$500)+IF($C34="",0,SUMIF('DADOS BRUTOS'!$A$3:$A$500,$C34,'DADOS BRUTOS'!AF$3:AF$500)))</f>
        <v/>
      </c>
      <c r="DG34" s="123">
        <f>IF(OR(DG$4="",$B34=""),0,SUMIF('DADOS BRUTOS'!$A$3:$A$500,$B34,'DADOS BRUTOS'!AG$3:AG$500)+IF($C34="",0,SUMIF('DADOS BRUTOS'!$A$3:$A$500,$C34,'DADOS BRUTOS'!AG$3:AG$500)))</f>
        <v/>
      </c>
      <c r="DH34" s="123">
        <f>IF(OR(DH$4="",$B34=""),0,SUMIF('DADOS BRUTOS'!$A$3:$A$500,$B34,'DADOS BRUTOS'!AH$3:AH$500)+IF($C34="",0,SUMIF('DADOS BRUTOS'!$A$3:$A$500,$C34,'DADOS BRUTOS'!AH$3:AH$500)))</f>
        <v/>
      </c>
      <c r="DI34" s="123">
        <f>IF(OR(DI$4="",$B34=""),0,SUMIF('DADOS BRUTOS'!$A$3:$A$500,$B34,'DADOS BRUTOS'!AI$3:AI$500)+IF($C34="",0,SUMIF('DADOS BRUTOS'!$A$3:$A$500,$C34,'DADOS BRUTOS'!AI$3:AI$500)))</f>
        <v/>
      </c>
      <c r="DJ34" s="123">
        <f>IF(OR(DJ$4="",$B34=""),0,SUMIF('DADOS BRUTOS'!$A$3:$A$500,$B34,'DADOS BRUTOS'!AJ$3:AJ$500)+IF($C34="",0,SUMIF('DADOS BRUTOS'!$A$3:$A$500,$C34,'DADOS BRUTOS'!AJ$3:AJ$500)))</f>
        <v/>
      </c>
      <c r="DK34" s="123">
        <f>IF(OR(DK$4="",$B34=""),0,SUMIF('DADOS BRUTOS'!$A$3:$A$500,$B34,'DADOS BRUTOS'!AK$3:AK$500)+IF($C34="",0,SUMIF('DADOS BRUTOS'!$A$3:$A$500,$C34,'DADOS BRUTOS'!AK$3:AK$500)))</f>
        <v/>
      </c>
      <c r="DL34" s="123">
        <f>IF(OR(DL$4="",$B34=""),0,SUMIF('DADOS BRUTOS'!$A$3:$A$500,$B34,'DADOS BRUTOS'!AL$3:AL$500)+IF($C34="",0,SUMIF('DADOS BRUTOS'!$A$3:$A$500,$C34,'DADOS BRUTOS'!AL$3:AL$500)))</f>
        <v/>
      </c>
      <c r="DM34" s="123">
        <f>IF(OR(DM$4="",$B34=""),0,SUMIF('DADOS BRUTOS'!$A$3:$A$500,$B34,'DADOS BRUTOS'!AM$3:AM$500)+IF($C34="",0,SUMIF('DADOS BRUTOS'!$A$3:$A$500,$C34,'DADOS BRUTOS'!AM$3:AM$500)))</f>
        <v/>
      </c>
      <c r="DN34" s="123">
        <f>IF(OR(DN$4="",$B34=""),0,SUMIF('DADOS BRUTOS'!$A$3:$A$500,$B34,'DADOS BRUTOS'!AN$3:AN$500)+IF($C34="",0,SUMIF('DADOS BRUTOS'!$A$3:$A$500,$C34,'DADOS BRUTOS'!AN$3:AN$500)))</f>
        <v/>
      </c>
      <c r="DO34" s="123">
        <f>IF(OR(DO$4="",$B34=""),0,SUMIF('DADOS BRUTOS'!$A$3:$A$500,$B34,'DADOS BRUTOS'!AO$3:AO$500)+IF($C34="",0,SUMIF('DADOS BRUTOS'!$A$3:$A$500,$C34,'DADOS BRUTOS'!AO$3:AO$500)))</f>
        <v/>
      </c>
      <c r="DP34" s="123">
        <f>IF(OR(DP$4="",$B34=""),0,SUMIF('DADOS BRUTOS'!$A$3:$A$500,$B34,'DADOS BRUTOS'!AP$3:AP$500)+IF($C34="",0,SUMIF('DADOS BRUTOS'!$A$3:$A$500,$C34,'DADOS BRUTOS'!AP$3:AP$500)))</f>
        <v/>
      </c>
      <c r="DQ34" s="123">
        <f>IF(OR(DQ$4="",$B34=""),0,SUMIF('DADOS BRUTOS'!$A$3:$A$500,$B34,'DADOS BRUTOS'!AQ$3:AQ$500)+IF($C34="",0,SUMIF('DADOS BRUTOS'!$A$3:$A$500,$C34,'DADOS BRUTOS'!AQ$3:AQ$500)))</f>
        <v/>
      </c>
      <c r="DR34" s="123">
        <f>IF(OR(DR$4="",$B34=""),0,SUMIF('DADOS BRUTOS'!$A$3:$A$500,$B34,'DADOS BRUTOS'!AR$3:AR$500)+IF($C34="",0,SUMIF('DADOS BRUTOS'!$A$3:$A$500,$C34,'DADOS BRUTOS'!AR$3:AR$500)))</f>
        <v/>
      </c>
      <c r="DS34" s="123">
        <f>IF(OR(DS$4="",$B34=""),0,SUMIF('DADOS BRUTOS'!$A$3:$A$500,$B34,'DADOS BRUTOS'!AS$3:AS$500)+IF($C34="",0,SUMIF('DADOS BRUTOS'!$A$3:$A$500,$C34,'DADOS BRUTOS'!AS$3:AS$500)))</f>
        <v/>
      </c>
      <c r="DT34" s="123">
        <f>IF(OR(DT$4="",$B34=""),0,SUMIF('DADOS BRUTOS'!$A$3:$A$500,$B34,'DADOS BRUTOS'!AT$3:AT$500)+IF($C34="",0,SUMIF('DADOS BRUTOS'!$A$3:$A$500,$C34,'DADOS BRUTOS'!AT$3:AT$500)))</f>
        <v/>
      </c>
      <c r="DU34" s="123">
        <f>IF(OR(DU$4="",$B34=""),0,SUMIF('DADOS BRUTOS'!$A$3:$A$500,$B34,'DADOS BRUTOS'!AU$3:AU$500)+IF($C34="",0,SUMIF('DADOS BRUTOS'!$A$3:$A$500,$C34,'DADOS BRUTOS'!AU$3:AU$500)))</f>
        <v/>
      </c>
      <c r="DV34" s="123">
        <f>IF(OR(DV$4="",$B34=""),0,SUMIF('DADOS BRUTOS'!$A$3:$A$500,$B34,'DADOS BRUTOS'!AV$3:AV$500)+IF($C34="",0,SUMIF('DADOS BRUTOS'!$A$3:$A$500,$C34,'DADOS BRUTOS'!AV$3:AV$500)))</f>
        <v/>
      </c>
      <c r="DW34" s="123">
        <f>IF(OR(DW$4="",$B34=""),0,SUMIF('DADOS BRUTOS'!$A$3:$A$500,$B34,'DADOS BRUTOS'!AW$3:AW$500)+IF($C34="",0,SUMIF('DADOS BRUTOS'!$A$3:$A$500,$C34,'DADOS BRUTOS'!AW$3:AW$500)))</f>
        <v/>
      </c>
      <c r="DX34" s="123">
        <f>IF(OR(DX$4="",$B34=""),0,SUMIF('DADOS BRUTOS'!$A$3:$A$500,$B34,'DADOS BRUTOS'!AX$3:AX$500)+IF($C34="",0,SUMIF('DADOS BRUTOS'!$A$3:$A$500,$C34,'DADOS BRUTOS'!AX$3:AX$500)))</f>
        <v/>
      </c>
      <c r="DY34" s="123">
        <f>IF(OR(DY$4="",$B34=""),0,SUMIF('DADOS BRUTOS'!$A$3:$A$500,$B34,'DADOS BRUTOS'!AY$3:AY$500)+IF($C34="",0,SUMIF('DADOS BRUTOS'!$A$3:$A$500,$C34,'DADOS BRUTOS'!AY$3:AY$500)))</f>
        <v/>
      </c>
      <c r="DZ34" s="123">
        <f>IF(OR(DZ$4="",$B34=""),0,SUMIF('DADOS BRUTOS'!$A$3:$A$500,$B34,'DADOS BRUTOS'!AZ$3:AZ$500)+IF($C34="",0,SUMIF('DADOS BRUTOS'!$A$3:$A$500,$C34,'DADOS BRUTOS'!AZ$3:AZ$500)))</f>
        <v/>
      </c>
      <c r="EA34" s="123">
        <f>IF(OR(EA$4="",$B34=""),0,SUMIF('DADOS BRUTOS'!$A$3:$A$500,$B34,'DADOS BRUTOS'!BA$3:BA$500)+IF($C34="",0,SUMIF('DADOS BRUTOS'!$A$3:$A$500,$C34,'DADOS BRUTOS'!BA$3:BA$500)))</f>
        <v/>
      </c>
      <c r="EB34" s="123">
        <f>IF(OR(EB$4="",$B34=""),0,SUMIF('DADOS BRUTOS'!$A$3:$A$500,$B34,'DADOS BRUTOS'!BB$3:BB$500)+IF($C34="",0,SUMIF('DADOS BRUTOS'!$A$3:$A$500,$C34,'DADOS BRUTOS'!BB$3:BB$500)))</f>
        <v/>
      </c>
      <c r="EC34" s="123">
        <f>IF(OR(EC$4="",$B34=""),0,SUMIF('DADOS BRUTOS'!$A$3:$A$500,$B34,'DADOS BRUTOS'!BC$3:BC$500)+IF($C34="",0,SUMIF('DADOS BRUTOS'!$A$3:$A$500,$C34,'DADOS BRUTOS'!BC$3:BC$500)))</f>
        <v/>
      </c>
      <c r="ED34" s="123">
        <f>IF(OR(ED$4="",$B34=""),0,SUMIF('DADOS BRUTOS'!$A$3:$A$500,$B34,'DADOS BRUTOS'!BD$3:BD$500)+IF($C34="",0,SUMIF('DADOS BRUTOS'!$A$3:$A$500,$C34,'DADOS BRUTOS'!BD$3:BD$500)))</f>
        <v/>
      </c>
      <c r="EE34" s="123">
        <f>IF(OR(EE$4="",$B34=""),0,SUMIF('DADOS BRUTOS'!$A$3:$A$500,$B34,'DADOS BRUTOS'!BE$3:BE$500)+IF($C34="",0,SUMIF('DADOS BRUTOS'!$A$3:$A$500,$C34,'DADOS BRUTOS'!BE$3:BE$500)))</f>
        <v/>
      </c>
      <c r="EF34" s="123">
        <f>IF(OR(EF$4="",$B34=""),0,SUMIF('DADOS BRUTOS'!$A$3:$A$500,$B34,'DADOS BRUTOS'!BF$3:BF$500)+IF($C34="",0,SUMIF('DADOS BRUTOS'!$A$3:$A$500,$C34,'DADOS BRUTOS'!BF$3:BF$500)))</f>
        <v/>
      </c>
      <c r="EG34" s="123">
        <f>IF(OR(EG$4="",$B34=""),0,SUMIF('DADOS BRUTOS'!$A$3:$A$500,$B34,'DADOS BRUTOS'!BG$3:BG$500)+IF($C34="",0,SUMIF('DADOS BRUTOS'!$A$3:$A$500,$C34,'DADOS BRUTOS'!BG$3:BG$500)))</f>
        <v/>
      </c>
      <c r="EH34" s="123">
        <f>IF(OR(EH$4="",$B34=""),0,SUMIF('DADOS BRUTOS'!$A$3:$A$500,$B34,'DADOS BRUTOS'!BH$3:BH$500)+IF($C34="",0,SUMIF('DADOS BRUTOS'!$A$3:$A$500,$C34,'DADOS BRUTOS'!BH$3:BH$500)))</f>
        <v/>
      </c>
      <c r="EI34" s="123">
        <f>IF(OR(EI$4="",$B34=""),0,SUMIF('DADOS BRUTOS'!$A$3:$A$500,$B34,'DADOS BRUTOS'!BI$3:BI$500)+IF($C34="",0,SUMIF('DADOS BRUTOS'!$A$3:$A$500,$C34,'DADOS BRUTOS'!BI$3:BI$500)))</f>
        <v/>
      </c>
      <c r="EJ34" s="123">
        <f>IF(OR(EJ$4="",$B34=""),0,SUMIF('DADOS BRUTOS'!$A$3:$A$500,$B34,'DADOS BRUTOS'!BJ$3:BJ$500)+IF($C34="",0,SUMIF('DADOS BRUTOS'!$A$3:$A$500,$C34,'DADOS BRUTOS'!BJ$3:BJ$500)))</f>
        <v/>
      </c>
      <c r="EK34" s="123">
        <f>IF(OR(EK$4="",$B34=""),0,SUMIF('DADOS BRUTOS'!$A$3:$A$500,$B34,'DADOS BRUTOS'!BK$3:BK$500)+IF($C34="",0,SUMIF('DADOS BRUTOS'!$A$3:$A$500,$C34,'DADOS BRUTOS'!BK$3:BK$500)))</f>
        <v/>
      </c>
      <c r="EL34" s="123">
        <f>IF(OR(EL$4="",$B34=""),0,SUMIF('DADOS BRUTOS'!$A$3:$A$500,$B34,'DADOS BRUTOS'!BL$3:BL$500)+IF($C34="",0,SUMIF('DADOS BRUTOS'!$A$3:$A$500,$C34,'DADOS BRUTOS'!BL$3:BL$500)))</f>
        <v/>
      </c>
      <c r="EM34" s="123">
        <f>IF(OR(EM$4="",$B34=""),0,SUMIF('DADOS BRUTOS'!$A$3:$A$500,$B34,'DADOS BRUTOS'!BM$3:BM$500)+IF($C34="",0,SUMIF('DADOS BRUTOS'!$A$3:$A$500,$C34,'DADOS BRUTOS'!BM$3:BM$500)))</f>
        <v/>
      </c>
      <c r="EN34" s="123">
        <f>IF(OR(EN$4="",$B34=""),0,SUMIF('DADOS BRUTOS'!$A$3:$A$500,$B34,'DADOS BRUTOS'!BN$3:BN$500)+IF($C34="",0,SUMIF('DADOS BRUTOS'!$A$3:$A$500,$C34,'DADOS BRUTOS'!BN$3:BN$500)))</f>
        <v/>
      </c>
      <c r="EO34" s="123">
        <f>IF(OR(EO$4="",$B34=""),0,SUMIF('DADOS BRUTOS'!$A$3:$A$500,$B34,'DADOS BRUTOS'!BO$3:BO$500)+IF($C34="",0,SUMIF('DADOS BRUTOS'!$A$3:$A$500,$C34,'DADOS BRUTOS'!BO$3:BO$500)))</f>
        <v/>
      </c>
      <c r="EP34" s="123">
        <f>IF(OR(EP$4="",$B34=""),0,SUMIF('DADOS BRUTOS'!$A$3:$A$500,$B34,'DADOS BRUTOS'!BP$3:BP$500)+IF($C34="",0,SUMIF('DADOS BRUTOS'!$A$3:$A$500,$C34,'DADOS BRUTOS'!BP$3:BP$500)))</f>
        <v/>
      </c>
      <c r="EQ34" s="123">
        <f>IF(OR(EQ$4="",$B34=""),0,SUMIF('DADOS BRUTOS'!$A$3:$A$500,$B34,'DADOS BRUTOS'!BQ$3:BQ$500)+IF($C34="",0,SUMIF('DADOS BRUTOS'!$A$3:$A$500,$C34,'DADOS BRUTOS'!BQ$3:BQ$500)))</f>
        <v/>
      </c>
      <c r="ER34" s="123">
        <f>IF(OR(ER$4="",$B34=""),0,SUMIF('DADOS BRUTOS'!$A$3:$A$500,$B34,'DADOS BRUTOS'!BR$3:BR$500)+IF($C34="",0,SUMIF('DADOS BRUTOS'!$A$3:$A$500,$C34,'DADOS BRUTOS'!BR$3:BR$500)))</f>
        <v/>
      </c>
      <c r="ES34" s="123">
        <f>IF(OR(ES$4="",$B34=""),0,SUMIF('DADOS BRUTOS'!$A$3:$A$500,$B34,'DADOS BRUTOS'!BS$3:BS$500)+IF($C34="",0,SUMIF('DADOS BRUTOS'!$A$3:$A$500,$C34,'DADOS BRUTOS'!BS$3:BS$500)))</f>
        <v/>
      </c>
      <c r="ET34" s="123">
        <f>IF(OR(ET$4="",$B34=""),0,SUMIF('DADOS BRUTOS'!$A$3:$A$500,$B34,'DADOS BRUTOS'!BT$3:BT$500)+IF($C34="",0,SUMIF('DADOS BRUTOS'!$A$3:$A$500,$C34,'DADOS BRUTOS'!BT$3:BT$500)))</f>
        <v/>
      </c>
      <c r="EU34" s="123">
        <f>IF(OR(EU$4="",$B34=""),0,SUMIF('DADOS BRUTOS'!$A$3:$A$500,$B34,'DADOS BRUTOS'!BU$3:BU$500)+IF($C34="",0,SUMIF('DADOS BRUTOS'!$A$3:$A$500,$C34,'DADOS BRUTOS'!BU$3:BU$500)))</f>
        <v/>
      </c>
      <c r="EV34" s="123">
        <f>IF(OR(EV$4="",$B34=""),0,SUMIF('DADOS BRUTOS'!$A$3:$A$500,$B34,'DADOS BRUTOS'!BV$3:BV$500)+IF($C34="",0,SUMIF('DADOS BRUTOS'!$A$3:$A$500,$C34,'DADOS BRUTOS'!BV$3:BV$500)))</f>
        <v/>
      </c>
      <c r="EW34" s="123">
        <f>IF(OR(EW$4="",$B34=""),0,SUMIF('DADOS BRUTOS'!$A$3:$A$500,$B34,'DADOS BRUTOS'!BW$3:BW$500)+IF($C34="",0,SUMIF('DADOS BRUTOS'!$A$3:$A$500,$C34,'DADOS BRUTOS'!BW$3:BW$500)))</f>
        <v/>
      </c>
      <c r="EX34" s="123">
        <f>IF(OR(EX$4="",$B34=""),0,SUMIF('DADOS BRUTOS'!$A$3:$A$500,$B34,'DADOS BRUTOS'!BX$3:BX$500)+IF($C34="",0,SUMIF('DADOS BRUTOS'!$A$3:$A$500,$C34,'DADOS BRUTOS'!BX$3:BX$500)))</f>
        <v/>
      </c>
      <c r="EY34" s="123">
        <f>IF(OR(EY$4="",$B34=""),0,SUMIF('DADOS BRUTOS'!$A$3:$A$500,$B34,'DADOS BRUTOS'!BY$3:BY$500)+IF($C34="",0,SUMIF('DADOS BRUTOS'!$A$3:$A$500,$C34,'DADOS BRUTOS'!BY$3:BY$500)))</f>
        <v/>
      </c>
      <c r="EZ34" s="123">
        <f>IF(OR(EZ$4="",$B34=""),0,SUMIF('DADOS BRUTOS'!$A$3:$A$500,$B34,'DADOS BRUTOS'!BZ$3:BZ$500)+IF($C34="",0,SUMIF('DADOS BRUTOS'!$A$3:$A$500,$C34,'DADOS BRUTOS'!BZ$3:BZ$500)))</f>
        <v/>
      </c>
      <c r="FA34" s="123">
        <f>IF(OR(FA$4="",$B34=""),0,SUMIF('DADOS BRUTOS'!$A$3:$A$500,$B34,'DADOS BRUTOS'!CA$3:CA$500)+IF($C34="",0,SUMIF('DADOS BRUTOS'!$A$3:$A$500,$C34,'DADOS BRUTOS'!CA$3:CA$500)))</f>
        <v/>
      </c>
      <c r="FB34" s="123">
        <f>IF(OR(FB$4="",$B34=""),0,SUMIF('DADOS BRUTOS'!$A$3:$A$500,$B34,'DADOS BRUTOS'!CB$3:CB$500)+IF($C34="",0,SUMIF('DADOS BRUTOS'!$A$3:$A$500,$C34,'DADOS BRUTOS'!CB$3:CB$500)))</f>
        <v/>
      </c>
      <c r="FC34" s="123">
        <f>IF(OR(FC$4="",$B34=""),0,SUMIF('DADOS BRUTOS'!$A$3:$A$500,$B34,'DADOS BRUTOS'!CC$3:CC$500)+IF($C34="",0,SUMIF('DADOS BRUTOS'!$A$3:$A$500,$C34,'DADOS BRUTOS'!CC$3:CC$500)))</f>
        <v/>
      </c>
      <c r="FD34" s="123">
        <f>IF(OR(FD$4="",$B34=""),0,SUMIF('DADOS BRUTOS'!$A$3:$A$500,$B34,'DADOS BRUTOS'!CD$3:CD$500)+IF($C34="",0,SUMIF('DADOS BRUTOS'!$A$3:$A$500,$C34,'DADOS BRUTOS'!CD$3:CD$500)))</f>
        <v/>
      </c>
      <c r="FE34" s="123">
        <f>IF(OR(FE$4="",$B34=""),0,SUMIF('DADOS BRUTOS'!$A$3:$A$500,$B34,'DADOS BRUTOS'!CE$3:CE$500)+IF($C34="",0,SUMIF('DADOS BRUTOS'!$A$3:$A$500,$C34,'DADOS BRUTOS'!CE$3:CE$500)))</f>
        <v/>
      </c>
      <c r="FF34" s="123">
        <f>IF(OR(FF$4="",$B34=""),0,SUMIF('DADOS BRUTOS'!$A$3:$A$500,$B34,'DADOS BRUTOS'!CF$3:CF$500)+IF($C34="",0,SUMIF('DADOS BRUTOS'!$A$3:$A$500,$C34,'DADOS BRUTOS'!CF$3:CF$500)))</f>
        <v/>
      </c>
      <c r="FG34" s="123">
        <f>IF(OR(FG$4="",$B34=""),0,SUMIF('DADOS BRUTOS'!$A$3:$A$500,$B34,'DADOS BRUTOS'!CG$3:CG$500)+IF($C34="",0,SUMIF('DADOS BRUTOS'!$A$3:$A$500,$C34,'DADOS BRUTOS'!CG$3:CG$500)))</f>
        <v/>
      </c>
      <c r="FH34" s="123">
        <f>IF(OR(FH$4="",$B34=""),0,SUMIF('DADOS BRUTOS'!$A$3:$A$500,$B34,'DADOS BRUTOS'!CH$3:CH$500)+IF($C34="",0,SUMIF('DADOS BRUTOS'!$A$3:$A$500,$C34,'DADOS BRUTOS'!CH$3:CH$500)))</f>
        <v/>
      </c>
      <c r="FI34" s="123">
        <f>IF(OR(FI$4="",$B34=""),0,SUMIF('DADOS BRUTOS'!$A$3:$A$500,$B34,'DADOS BRUTOS'!CI$3:CI$500)+IF($C34="",0,SUMIF('DADOS BRUTOS'!$A$3:$A$500,$C34,'DADOS BRUTOS'!CI$3:CI$500)))</f>
        <v/>
      </c>
      <c r="FJ34" s="123">
        <f>IF(OR(FJ$4="",$B34=""),0,SUMIF('DADOS BRUTOS'!$A$3:$A$500,$B34,'DADOS BRUTOS'!CJ$3:CJ$500)+IF($C34="",0,SUMIF('DADOS BRUTOS'!$A$3:$A$500,$C34,'DADOS BRUTOS'!CJ$3:CJ$500)))</f>
        <v/>
      </c>
      <c r="FK34" s="123">
        <f>IF(OR(FK$4="",$B34=""),0,SUMIF('DADOS BRUTOS'!$A$3:$A$500,$B34,'DADOS BRUTOS'!CK$3:CK$500)+IF($C34="",0,SUMIF('DADOS BRUTOS'!$A$3:$A$500,$C34,'DADOS BRUTOS'!CK$3:CK$500)))</f>
        <v/>
      </c>
      <c r="FL34" s="123">
        <f>IF(OR(FL$4="",$B34=""),0,SUMIF('DADOS BRUTOS'!$A$3:$A$500,$B34,'DADOS BRUTOS'!CL$3:CL$500)+IF($C34="",0,SUMIF('DADOS BRUTOS'!$A$3:$A$500,$C34,'DADOS BRUTOS'!CL$3:CL$500)))</f>
        <v/>
      </c>
      <c r="FM34" s="123">
        <f>IF(OR(FM$4="",$B34=""),0,SUMIF('DADOS BRUTOS'!$A$3:$A$500,$B34,'DADOS BRUTOS'!CM$3:CM$500)+IF($C34="",0,SUMIF('DADOS BRUTOS'!$A$3:$A$500,$C34,'DADOS BRUTOS'!CM$3:CM$500)))</f>
        <v/>
      </c>
      <c r="FN34" s="123">
        <f>IF(OR(FN$4="",$B34=""),0,SUMIF('DADOS BRUTOS'!$A$3:$A$500,$B34,'DADOS BRUTOS'!CN$3:CN$500)+IF($C34="",0,SUMIF('DADOS BRUTOS'!$A$3:$A$500,$C34,'DADOS BRUTOS'!CN$3:CN$500)))</f>
        <v/>
      </c>
      <c r="FO34" s="123">
        <f>IF(OR(FO$4="",$B34=""),0,SUMIF('DADOS BRUTOS'!$A$3:$A$500,$B34,'DADOS BRUTOS'!CO$3:CO$500)+IF($C34="",0,SUMIF('DADOS BRUTOS'!$A$3:$A$500,$C34,'DADOS BRUTOS'!CO$3:CO$500)))</f>
        <v/>
      </c>
      <c r="FP34" s="123">
        <f>IF(OR(FP$4="",$B34=""),0,SUMIF('DADOS BRUTOS'!$A$3:$A$500,$B34,'DADOS BRUTOS'!CP$3:CP$500)+IF($C34="",0,SUMIF('DADOS BRUTOS'!$A$3:$A$500,$C34,'DADOS BRUTOS'!CP$3:CP$500)))</f>
        <v/>
      </c>
      <c r="FQ34" s="123">
        <f>IF(OR(FQ$4="",$B34=""),0,SUMIF('DADOS BRUTOS'!$A$3:$A$500,$B34,'DADOS BRUTOS'!CQ$3:CQ$500)+IF($C34="",0,SUMIF('DADOS BRUTOS'!$A$3:$A$500,$C34,'DADOS BRUTOS'!CQ$3:CQ$500)))</f>
        <v/>
      </c>
      <c r="FR34" s="123">
        <f>IF(OR(FR$4="",$B34=""),0,SUMIF('DADOS BRUTOS'!$A$3:$A$500,$B34,'DADOS BRUTOS'!CR$3:CR$500)+IF($C34="",0,SUMIF('DADOS BRUTOS'!$A$3:$A$500,$C34,'DADOS BRUTOS'!CR$3:CR$500)))</f>
        <v/>
      </c>
      <c r="FS34" s="123">
        <f>IF(OR(FS$4="",$B34=""),0,SUMIF('DADOS BRUTOS'!$A$3:$A$500,$B34,'DADOS BRUTOS'!CS$3:CS$500)+IF($C34="",0,SUMIF('DADOS BRUTOS'!$A$3:$A$500,$C34,'DADOS BRUTOS'!CS$3:CS$500)))</f>
        <v/>
      </c>
      <c r="FT34" s="123">
        <f>IF(OR(FT$4="",$B34=""),0,SUMIF('DADOS BRUTOS'!$A$3:$A$500,$B34,'DADOS BRUTOS'!CT$3:CT$500)+IF($C34="",0,SUMIF('DADOS BRUTOS'!$A$3:$A$500,$C34,'DADOS BRUTOS'!CT$3:CT$500)))</f>
        <v/>
      </c>
      <c r="FU34" s="123">
        <f>IF(OR(FU$4="",$B34=""),0,SUMIF('DADOS BRUTOS'!$A$3:$A$500,$B34,'DADOS BRUTOS'!CU$3:CU$500)+IF($C34="",0,SUMIF('DADOS BRUTOS'!$A$3:$A$500,$C34,'DADOS BRUTOS'!CU$3:CU$500)))</f>
        <v/>
      </c>
      <c r="FV34" s="123">
        <f>IF(OR(FV$4="",$B34=""),0,SUMIF('DADOS BRUTOS'!$A$3:$A$500,$B34,'DADOS BRUTOS'!CV$3:CV$500)+IF($C34="",0,SUMIF('DADOS BRUTOS'!$A$3:$A$500,$C34,'DADOS BRUTOS'!CV$3:CV$500)))</f>
        <v/>
      </c>
      <c r="FW34" s="123">
        <f>IF(OR(FW$4="",$B34=""),0,SUMIF('DADOS BRUTOS'!$A$3:$A$500,$B34,'DADOS BRUTOS'!CW$3:CW$500)+IF($C34="",0,SUMIF('DADOS BRUTOS'!$A$3:$A$500,$C34,'DADOS BRUTOS'!CW$3:CW$500)))</f>
        <v/>
      </c>
      <c r="FX34" s="123">
        <f>IF(OR(FX$4="",$B34=""),0,SUMIF('DADOS BRUTOS'!$A$3:$A$500,$B34,'DADOS BRUTOS'!CX$3:CX$500)+IF($C34="",0,SUMIF('DADOS BRUTOS'!$A$3:$A$500,$C34,'DADOS BRUTOS'!CX$3:CX$500)))</f>
        <v/>
      </c>
      <c r="FY34" s="123">
        <f>IF(OR(FY$4="",$B34=""),0,SUMIF('DADOS BRUTOS'!$A$3:$A$500,$B34,'DADOS BRUTOS'!CY$3:CY$500)+IF($C34="",0,SUMIF('DADOS BRUTOS'!$A$3:$A$500,$C34,'DADOS BRUTOS'!CY$3:CY$500)))</f>
        <v/>
      </c>
      <c r="FZ34" s="123">
        <f>IF(OR(FZ$4="",$B34=""),0,SUMIF('DADOS BRUTOS'!$A$3:$A$500,$B34,'DADOS BRUTOS'!CZ$3:CZ$500)+IF($C34="",0,SUMIF('DADOS BRUTOS'!$A$3:$A$500,$C34,'DADOS BRUTOS'!CZ$3:CZ$500)))</f>
        <v/>
      </c>
      <c r="GA34" s="123">
        <f>IF(OR(GA$4="",$B34=""),0,SUMIF('DADOS BRUTOS'!$A$3:$A$500,$B34,'DADOS BRUTOS'!DA$3:DA$500)+IF($C34="",0,SUMIF('DADOS BRUTOS'!$A$3:$A$500,$C34,'DADOS BRUTOS'!DA$3:DA$500)))</f>
        <v/>
      </c>
      <c r="GB34" s="123">
        <f>IF(OR(GB$4="",$B34=""),0,SUMIF('DADOS BRUTOS'!$A$3:$A$500,$B34,'DADOS BRUTOS'!DB$3:DB$500)+IF($C34="",0,SUMIF('DADOS BRUTOS'!$A$3:$A$500,$C34,'DADOS BRUTOS'!DB$3:DB$500)))</f>
        <v/>
      </c>
      <c r="GC34" s="123">
        <f>IF(OR(GC$4="",$B34=""),0,SUMIF('DADOS BRUTOS'!$A$3:$A$500,$B34,'DADOS BRUTOS'!DC$3:DC$500)+IF($C34="",0,SUMIF('DADOS BRUTOS'!$A$3:$A$500,$C34,'DADOS BRUTOS'!DC$3:DC$500)))</f>
        <v/>
      </c>
      <c r="GD34" s="123">
        <f>IF(OR(GD$4="",$B34=""),0,SUMIF('DADOS BRUTOS'!$A$3:$A$500,$B34,'DADOS BRUTOS'!DD$3:DD$500)+IF($C34="",0,SUMIF('DADOS BRUTOS'!$A$3:$A$500,$C34,'DADOS BRUTOS'!DD$3:DD$500)))</f>
        <v/>
      </c>
      <c r="GE34" s="123">
        <f>IF(OR(GE$4="",$B34=""),0,SUMIF('DADOS BRUTOS'!$A$3:$A$500,$B34,'DADOS BRUTOS'!DE$3:DE$500)+IF($C34="",0,SUMIF('DADOS BRUTOS'!$A$3:$A$500,$C34,'DADOS BRUTOS'!DE$3:DE$500)))</f>
        <v/>
      </c>
      <c r="GF34" s="123">
        <f>IF(OR(GF$4="",$B34=""),0,SUMIF('DADOS BRUTOS'!$A$3:$A$500,$B34,'DADOS BRUTOS'!DF$3:DF$500)+IF($C34="",0,SUMIF('DADOS BRUTOS'!$A$3:$A$500,$C34,'DADOS BRUTOS'!DF$3:DF$500)))</f>
        <v/>
      </c>
      <c r="GG34" s="123">
        <f>IF(OR(GG$4="",$B34=""),0,SUMIF('DADOS BRUTOS'!$A$3:$A$500,$B34,'DADOS BRUTOS'!DG$3:DG$500)+IF($C34="",0,SUMIF('DADOS BRUTOS'!$A$3:$A$500,$C34,'DADOS BRUTOS'!DG$3:DG$500)))</f>
        <v/>
      </c>
      <c r="GH34" s="123">
        <f>IF(OR(GH$4="",$B34=""),0,SUMIF('DADOS BRUTOS'!$A$3:$A$500,$B34,'DADOS BRUTOS'!DH$3:DH$500)+IF($C34="",0,SUMIF('DADOS BRUTOS'!$A$3:$A$500,$C34,'DADOS BRUTOS'!DH$3:DH$500)))</f>
        <v/>
      </c>
      <c r="GI34" s="123">
        <f>IF(OR(GI$4="",$B34=""),0,SUMIF('DADOS BRUTOS'!$A$3:$A$500,$B34,'DADOS BRUTOS'!DI$3:DI$500)+IF($C34="",0,SUMIF('DADOS BRUTOS'!$A$3:$A$500,$C34,'DADOS BRUTOS'!DI$3:DI$500)))</f>
        <v/>
      </c>
      <c r="GJ34" s="123">
        <f>IF(OR(GJ$4="",$B34=""),0,SUMIF('DADOS BRUTOS'!$A$3:$A$500,$B34,'DADOS BRUTOS'!DJ$3:DJ$500)+IF($C34="",0,SUMIF('DADOS BRUTOS'!$A$3:$A$500,$C34,'DADOS BRUTOS'!DJ$3:DJ$500)))</f>
        <v/>
      </c>
      <c r="GK34" s="123">
        <f>IF(OR(GK$4="",$B34=""),0,SUMIF('DADOS BRUTOS'!$A$3:$A$500,$B34,'DADOS BRUTOS'!DK$3:DK$500)+IF($C34="",0,SUMIF('DADOS BRUTOS'!$A$3:$A$500,$C34,'DADOS BRUTOS'!DK$3:DK$500)))</f>
        <v/>
      </c>
      <c r="GL34" s="123">
        <f>IF(OR(GL$4="",$B34=""),0,SUMIF('DADOS BRUTOS'!$A$3:$A$500,$B34,'DADOS BRUTOS'!DL$3:DL$500)+IF($C34="",0,SUMIF('DADOS BRUTOS'!$A$3:$A$500,$C34,'DADOS BRUTOS'!DL$3:DL$500)))</f>
        <v/>
      </c>
      <c r="GM34" s="123">
        <f>IF(OR(GM$4="",$B34=""),0,SUMIF('DADOS BRUTOS'!$A$3:$A$500,$B34,'DADOS BRUTOS'!DM$3:DM$500)+IF($C34="",0,SUMIF('DADOS BRUTOS'!$A$3:$A$500,$C34,'DADOS BRUTOS'!DM$3:DM$500)))</f>
        <v/>
      </c>
      <c r="GN34" s="123">
        <f>IF(OR(GN$4="",$B34=""),0,SUMIF('DADOS BRUTOS'!$A$3:$A$500,$B34,'DADOS BRUTOS'!DN$3:DN$500)+IF($C34="",0,SUMIF('DADOS BRUTOS'!$A$3:$A$500,$C34,'DADOS BRUTOS'!DN$3:DN$500)))</f>
        <v/>
      </c>
      <c r="GO34" s="123">
        <f>IF(OR(GO$4="",$B34=""),0,SUMIF('DADOS BRUTOS'!$A$3:$A$500,$B34,'DADOS BRUTOS'!DO$3:DO$500)+IF($C34="",0,SUMIF('DADOS BRUTOS'!$A$3:$A$500,$C34,'DADOS BRUTOS'!DO$3:DO$500)))</f>
        <v/>
      </c>
      <c r="GP34" s="123">
        <f>IF(OR(GP$4="",$B34=""),0,SUMIF('DADOS BRUTOS'!$A$3:$A$500,$B34,'DADOS BRUTOS'!DP$3:DP$500)+IF($C34="",0,SUMIF('DADOS BRUTOS'!$A$3:$A$500,$C34,'DADOS BRUTOS'!DP$3:DP$500)))</f>
        <v/>
      </c>
      <c r="GQ34" s="123">
        <f>IF(OR(GQ$4="",$B34=""),0,SUMIF('DADOS BRUTOS'!$A$3:$A$500,$B34,'DADOS BRUTOS'!DQ$3:DQ$500)+IF($C34="",0,SUMIF('DADOS BRUTOS'!$A$3:$A$500,$C34,'DADOS BRUTOS'!DQ$3:DQ$500)))</f>
        <v/>
      </c>
      <c r="GR34" s="123">
        <f>IF(OR(GR$4="",$B34=""),0,SUMIF('DADOS BRUTOS'!$A$3:$A$500,$B34,'DADOS BRUTOS'!DR$3:DR$500)+IF($C34="",0,SUMIF('DADOS BRUTOS'!$A$3:$A$500,$C34,'DADOS BRUTOS'!DR$3:DR$500)))</f>
        <v/>
      </c>
      <c r="GS34" s="123">
        <f>IF(OR(GS$4="",$B34=""),0,SUMIF('DADOS BRUTOS'!$A$3:$A$500,$B34,'DADOS BRUTOS'!DS$3:DS$500)+IF($C34="",0,SUMIF('DADOS BRUTOS'!$A$3:$A$500,$C34,'DADOS BRUTOS'!DS$3:DS$500)))</f>
        <v/>
      </c>
      <c r="GT34" s="123">
        <f>IF(OR(GT$4="",$B34=""),0,SUMIF('DADOS BRUTOS'!$A$3:$A$500,$B34,'DADOS BRUTOS'!DT$3:DT$500)+IF($C34="",0,SUMIF('DADOS BRUTOS'!$A$3:$A$500,$C34,'DADOS BRUTOS'!DT$3:DT$500)))</f>
        <v/>
      </c>
      <c r="GU34" s="123">
        <f>IF(OR(GU$4="",$B34=""),0,SUMIF('DADOS BRUTOS'!$A$3:$A$500,$B34,'DADOS BRUTOS'!DU$3:DU$500)+IF($C34="",0,SUMIF('DADOS BRUTOS'!$A$3:$A$500,$C34,'DADOS BRUTOS'!DU$3:DU$500)))</f>
        <v/>
      </c>
      <c r="GV34" s="123">
        <f>IF(OR(GV$4="",$B34=""),0,SUMIF('DADOS BRUTOS'!$A$3:$A$500,$B34,'DADOS BRUTOS'!DV$3:DV$500)+IF($C34="",0,SUMIF('DADOS BRUTOS'!$A$3:$A$500,$C34,'DADOS BRUTOS'!DV$3:DV$500)))</f>
        <v/>
      </c>
      <c r="GW34" s="123">
        <f>IF(OR(GW$4="",$B34=""),0,SUMIF('DADOS BRUTOS'!$A$3:$A$500,$B34,'DADOS BRUTOS'!DW$3:DW$500)+IF($C34="",0,SUMIF('DADOS BRUTOS'!$A$3:$A$500,$C34,'DADOS BRUTOS'!DW$3:DW$500)))</f>
        <v/>
      </c>
      <c r="GX34" s="123">
        <f>IF(OR(GX$4="",$B34=""),0,SUMIF('DADOS BRUTOS'!$A$3:$A$500,$B34,'DADOS BRUTOS'!DX$3:DX$500)+IF($C34="",0,SUMIF('DADOS BRUTOS'!$A$3:$A$500,$C34,'DADOS BRUTOS'!DX$3:DX$500)))</f>
        <v/>
      </c>
      <c r="GY34" s="123">
        <f>IF(OR(GY$4="",$B34=""),0,SUMIF('DADOS BRUTOS'!$A$3:$A$500,$B34,'DADOS BRUTOS'!DY$3:DY$500)+IF($C34="",0,SUMIF('DADOS BRUTOS'!$A$3:$A$500,$C34,'DADOS BRUTOS'!DY$3:DY$500)))</f>
        <v/>
      </c>
      <c r="GZ34" s="123">
        <f>IF(OR(GZ$4="",$B34=""),0,SUMIF('DADOS BRUTOS'!$A$3:$A$500,$B34,'DADOS BRUTOS'!DZ$3:DZ$500)+IF($C34="",0,SUMIF('DADOS BRUTOS'!$A$3:$A$500,$C34,'DADOS BRUTOS'!DZ$3:DZ$500)))</f>
        <v/>
      </c>
      <c r="HA34" s="123">
        <f>IF(OR(HA$4="",$B34=""),0,SUMIF('DADOS BRUTOS'!$A$3:$A$500,$B34,'DADOS BRUTOS'!EA$3:EA$500)+IF($C34="",0,SUMIF('DADOS BRUTOS'!$A$3:$A$500,$C34,'DADOS BRUTOS'!EA$3:EA$500)))</f>
        <v/>
      </c>
      <c r="HB34" s="123">
        <f>IF(OR(HB$4="",$B34=""),0,SUMIF('DADOS BRUTOS'!$A$3:$A$500,$B34,'DADOS BRUTOS'!EB$3:EB$500)+IF($C34="",0,SUMIF('DADOS BRUTOS'!$A$3:$A$500,$C34,'DADOS BRUTOS'!EB$3:EB$500)))</f>
        <v/>
      </c>
      <c r="HC34" s="123">
        <f>IF(OR(HC$4="",$B34=""),0,SUMIF('DADOS BRUTOS'!$A$3:$A$500,$B34,'DADOS BRUTOS'!EC$3:EC$500)+IF($C34="",0,SUMIF('DADOS BRUTOS'!$A$3:$A$500,$C34,'DADOS BRUTOS'!EC$3:EC$500)))</f>
        <v/>
      </c>
      <c r="HD34" s="123">
        <f>IF(OR(HD$4="",$B34=""),0,SUMIF('DADOS BRUTOS'!$A$3:$A$500,$B34,'DADOS BRUTOS'!ED$3:ED$500)+IF($C34="",0,SUMIF('DADOS BRUTOS'!$A$3:$A$500,$C34,'DADOS BRUTOS'!ED$3:ED$500)))</f>
        <v/>
      </c>
      <c r="HE34" s="123">
        <f>IF(OR(HE$4="",$B34=""),0,SUMIF('DADOS BRUTOS'!$A$3:$A$500,$B34,'DADOS BRUTOS'!EE$3:EE$500)+IF($C34="",0,SUMIF('DADOS BRUTOS'!$A$3:$A$500,$C34,'DADOS BRUTOS'!EE$3:EE$500)))</f>
        <v/>
      </c>
      <c r="HF34" s="123">
        <f>IF(OR(HF$4="",$B34=""),0,SUMIF('DADOS BRUTOS'!$A$3:$A$500,$B34,'DADOS BRUTOS'!EF$3:EF$500)+IF($C34="",0,SUMIF('DADOS BRUTOS'!$A$3:$A$500,$C34,'DADOS BRUTOS'!EF$3:EF$500)))</f>
        <v/>
      </c>
      <c r="HG34" s="123">
        <f>IF(OR(HG$4="",$B34=""),0,SUMIF('DADOS BRUTOS'!$A$3:$A$500,$B34,'DADOS BRUTOS'!EG$3:EG$500)+IF($C34="",0,SUMIF('DADOS BRUTOS'!$A$3:$A$500,$C34,'DADOS BRUTOS'!EG$3:EG$500)))</f>
        <v/>
      </c>
      <c r="HH34" s="123">
        <f>IF(OR(HH$4="",$B34=""),0,SUMIF('DADOS BRUTOS'!$A$3:$A$500,$B34,'DADOS BRUTOS'!EH$3:EH$500)+IF($C34="",0,SUMIF('DADOS BRUTOS'!$A$3:$A$500,$C34,'DADOS BRUTOS'!EH$3:EH$500)))</f>
        <v/>
      </c>
      <c r="HI34" s="123">
        <f>IF(OR(HI$4="",$B34=""),0,SUMIF('DADOS BRUTOS'!$A$3:$A$500,$B34,'DADOS BRUTOS'!EI$3:EI$500)+IF($C34="",0,SUMIF('DADOS BRUTOS'!$A$3:$A$500,$C34,'DADOS BRUTOS'!EI$3:EI$500)))</f>
        <v/>
      </c>
      <c r="HJ34" s="123">
        <f>IF(OR(HJ$4="",$B34=""),0,SUMIF('DADOS BRUTOS'!$A$3:$A$500,$B34,'DADOS BRUTOS'!EJ$3:EJ$500)+IF($C34="",0,SUMIF('DADOS BRUTOS'!$A$3:$A$500,$C34,'DADOS BRUTOS'!EJ$3:EJ$500)))</f>
        <v/>
      </c>
      <c r="HK34" s="123">
        <f>IF(OR(HK$4="",$B34=""),0,SUMIF('DADOS BRUTOS'!$A$3:$A$500,$B34,'DADOS BRUTOS'!EK$3:EK$500)+IF($C34="",0,SUMIF('DADOS BRUTOS'!$A$3:$A$500,$C34,'DADOS BRUTOS'!EK$3:EK$500)))</f>
        <v/>
      </c>
      <c r="HL34" s="123">
        <f>IF(OR(HL$4="",$B34=""),0,SUMIF('DADOS BRUTOS'!$A$3:$A$500,$B34,'DADOS BRUTOS'!EL$3:EL$500)+IF($C34="",0,SUMIF('DADOS BRUTOS'!$A$3:$A$500,$C34,'DADOS BRUTOS'!EL$3:EL$500)))</f>
        <v/>
      </c>
      <c r="HM34" s="123">
        <f>IF(OR(HM$4="",$B34=""),0,SUMIF('DADOS BRUTOS'!$A$3:$A$500,$B34,'DADOS BRUTOS'!EM$3:EM$500)+IF($C34="",0,SUMIF('DADOS BRUTOS'!$A$3:$A$500,$C34,'DADOS BRUTOS'!EM$3:EM$500)))</f>
        <v/>
      </c>
      <c r="HN34" s="123">
        <f>IF(OR(HN$4="",$B34=""),0,SUMIF('DADOS BRUTOS'!$A$3:$A$500,$B34,'DADOS BRUTOS'!EN$3:EN$500)+IF($C34="",0,SUMIF('DADOS BRUTOS'!$A$3:$A$500,$C34,'DADOS BRUTOS'!EN$3:EN$500)))</f>
        <v/>
      </c>
      <c r="HO34" s="123">
        <f>IF(OR(HO$4="",$B34=""),0,SUMIF('DADOS BRUTOS'!$A$3:$A$500,$B34,'DADOS BRUTOS'!EO$3:EO$500)+IF($C34="",0,SUMIF('DADOS BRUTOS'!$A$3:$A$500,$C34,'DADOS BRUTOS'!EO$3:EO$500)))</f>
        <v/>
      </c>
      <c r="HP34" s="123">
        <f>IF(OR(HP$4="",$B34=""),0,SUMIF('DADOS BRUTOS'!$A$3:$A$500,$B34,'DADOS BRUTOS'!EP$3:EP$500)+IF($C34="",0,SUMIF('DADOS BRUTOS'!$A$3:$A$500,$C34,'DADOS BRUTOS'!EP$3:EP$500)))</f>
        <v/>
      </c>
      <c r="HQ34" s="123">
        <f>IF(OR(HQ$4="",$B34=""),0,SUMIF('DADOS BRUTOS'!$A$3:$A$500,$B34,'DADOS BRUTOS'!EQ$3:EQ$500)+IF($C34="",0,SUMIF('DADOS BRUTOS'!$A$3:$A$500,$C34,'DADOS BRUTOS'!EQ$3:EQ$500)))</f>
        <v/>
      </c>
      <c r="HR34" s="123">
        <f>IF(OR(HR$4="",$B34=""),0,SUMIF('DADOS BRUTOS'!$A$3:$A$500,$B34,'DADOS BRUTOS'!ER$3:ER$500)+IF($C34="",0,SUMIF('DADOS BRUTOS'!$A$3:$A$500,$C34,'DADOS BRUTOS'!ER$3:ER$500)))</f>
        <v/>
      </c>
      <c r="HS34" s="123">
        <f>IF(OR(HS$4="",$B34=""),0,SUMIF('DADOS BRUTOS'!$A$3:$A$500,$B34,'DADOS BRUTOS'!ES$3:ES$500)+IF($C34="",0,SUMIF('DADOS BRUTOS'!$A$3:$A$500,$C34,'DADOS BRUTOS'!ES$3:ES$500)))</f>
        <v/>
      </c>
      <c r="HT34" s="123">
        <f>IF(OR(HT$4="",$B34=""),0,SUMIF('DADOS BRUTOS'!$A$3:$A$500,$B34,'DADOS BRUTOS'!ET$3:ET$500)+IF($C34="",0,SUMIF('DADOS BRUTOS'!$A$3:$A$500,$C34,'DADOS BRUTOS'!ET$3:ET$500)))</f>
        <v/>
      </c>
      <c r="HU34" s="123">
        <f>IF(OR(HU$4="",$B34=""),0,SUMIF('DADOS BRUTOS'!$A$3:$A$500,$B34,'DADOS BRUTOS'!EU$3:EU$500)+IF($C34="",0,SUMIF('DADOS BRUTOS'!$A$3:$A$500,$C34,'DADOS BRUTOS'!EU$3:EU$500)))</f>
        <v/>
      </c>
      <c r="HV34" s="123">
        <f>IF(OR(HV$4="",$B34=""),0,SUMIF('DADOS BRUTOS'!$A$3:$A$500,$B34,'DADOS BRUTOS'!EV$3:EV$500)+IF($C34="",0,SUMIF('DADOS BRUTOS'!$A$3:$A$500,$C34,'DADOS BRUTOS'!EV$3:EV$500)))</f>
        <v/>
      </c>
      <c r="HW34" s="123">
        <f>IF(OR(HW$4="",$B34=""),0,SUMIF('DADOS BRUTOS'!$A$3:$A$500,$B34,'DADOS BRUTOS'!EW$3:EW$500)+IF($C34="",0,SUMIF('DADOS BRUTOS'!$A$3:$A$500,$C34,'DADOS BRUTOS'!EW$3:EW$500)))</f>
        <v/>
      </c>
      <c r="HX34" s="123">
        <f>IF(OR(HX$4="",$B34=""),0,SUMIF('DADOS BRUTOS'!$A$3:$A$500,$B34,'DADOS BRUTOS'!EX$3:EX$500)+IF($C34="",0,SUMIF('DADOS BRUTOS'!$A$3:$A$500,$C34,'DADOS BRUTOS'!EX$3:EX$500)))</f>
        <v/>
      </c>
      <c r="HY34" s="123">
        <f>IF(OR(HY$4="",$B34=""),0,SUMIF('DADOS BRUTOS'!$A$3:$A$500,$B34,'DADOS BRUTOS'!EY$3:EY$500)+IF($C34="",0,SUMIF('DADOS BRUTOS'!$A$3:$A$500,$C34,'DADOS BRUTOS'!EY$3:EY$500)))</f>
        <v/>
      </c>
      <c r="HZ34" s="123">
        <f>IF(OR(HZ$4="",$B34=""),0,SUMIF('DADOS BRUTOS'!$A$3:$A$500,$B34,'DADOS BRUTOS'!EZ$3:EZ$500)+IF($C34="",0,SUMIF('DADOS BRUTOS'!$A$3:$A$500,$C34,'DADOS BRUTOS'!EZ$3:EZ$500)))</f>
        <v/>
      </c>
      <c r="IA34" s="123">
        <f>IF(OR(IA$4="",$B34=""),0,SUMIF('DADOS BRUTOS'!$A$3:$A$500,$B34,'DADOS BRUTOS'!FA$3:FA$500)+IF($C34="",0,SUMIF('DADOS BRUTOS'!$A$3:$A$500,$C34,'DADOS BRUTOS'!FA$3:FA$500)))</f>
        <v/>
      </c>
      <c r="IB34" s="123">
        <f>IF(OR(IB$4="",$B34=""),0,SUMIF('DADOS BRUTOS'!$A$3:$A$500,$B34,'DADOS BRUTOS'!FB$3:FB$500)+IF($C34="",0,SUMIF('DADOS BRUTOS'!$A$3:$A$500,$C34,'DADOS BRUTOS'!FB$3:FB$500)))</f>
        <v/>
      </c>
      <c r="IC34" s="123">
        <f>IF(OR(IC$4="",$B34=""),0,SUMIF('DADOS BRUTOS'!$A$3:$A$500,$B34,'DADOS BRUTOS'!FC$3:FC$500)+IF($C34="",0,SUMIF('DADOS BRUTOS'!$A$3:$A$500,$C34,'DADOS BRUTOS'!FC$3:FC$500)))</f>
        <v/>
      </c>
      <c r="ID34" s="123">
        <f>IF(OR(ID$4="",$B34=""),0,SUMIF('DADOS BRUTOS'!$A$3:$A$500,$B34,'DADOS BRUTOS'!FD$3:FD$500)+IF($C34="",0,SUMIF('DADOS BRUTOS'!$A$3:$A$500,$C34,'DADOS BRUTOS'!FD$3:FD$500)))</f>
        <v/>
      </c>
      <c r="IE34" s="123">
        <f>IF(OR(IE$4="",$B34=""),0,SUMIF('DADOS BRUTOS'!$A$3:$A$500,$B34,'DADOS BRUTOS'!FE$3:FE$500)+IF($C34="",0,SUMIF('DADOS BRUTOS'!$A$3:$A$500,$C34,'DADOS BRUTOS'!FE$3:FE$500)))</f>
        <v/>
      </c>
      <c r="IF34" s="123">
        <f>IF(OR(IF$4="",$B34=""),0,SUMIF('DADOS BRUTOS'!$A$3:$A$500,$B34,'DADOS BRUTOS'!FF$3:FF$500)+IF($C34="",0,SUMIF('DADOS BRUTOS'!$A$3:$A$500,$C34,'DADOS BRUTOS'!FF$3:FF$500)))</f>
        <v/>
      </c>
      <c r="IG34" s="123">
        <f>IF(OR(IG$4="",$B34=""),0,SUMIF('DADOS BRUTOS'!$A$3:$A$500,$B34,'DADOS BRUTOS'!FG$3:FG$500)+IF($C34="",0,SUMIF('DADOS BRUTOS'!$A$3:$A$500,$C34,'DADOS BRUTOS'!FG$3:FG$500)))</f>
        <v/>
      </c>
      <c r="IH34" s="123">
        <f>IF(OR(IH$4="",$B34=""),0,SUMIF('DADOS BRUTOS'!$A$3:$A$500,$B34,'DADOS BRUTOS'!FH$3:FH$500)+IF($C34="",0,SUMIF('DADOS BRUTOS'!$A$3:$A$500,$C34,'DADOS BRUTOS'!FH$3:FH$500)))</f>
        <v/>
      </c>
      <c r="II34" s="123">
        <f>IF(OR(II$4="",$B34=""),0,SUMIF('DADOS BRUTOS'!$A$3:$A$500,$B34,'DADOS BRUTOS'!FI$3:FI$500)+IF($C34="",0,SUMIF('DADOS BRUTOS'!$A$3:$A$500,$C34,'DADOS BRUTOS'!FI$3:FI$500)))</f>
        <v/>
      </c>
      <c r="IJ34" s="123">
        <f>IF(OR(IJ$4="",$B34=""),0,SUMIF('DADOS BRUTOS'!$A$3:$A$500,$B34,'DADOS BRUTOS'!FJ$3:FJ$500)+IF($C34="",0,SUMIF('DADOS BRUTOS'!$A$3:$A$500,$C34,'DADOS BRUTOS'!FJ$3:FJ$500)))</f>
        <v/>
      </c>
      <c r="IK34" s="123">
        <f>IF(OR(IK$4="",$B34=""),0,SUMIF('DADOS BRUTOS'!$A$3:$A$500,$B34,'DADOS BRUTOS'!FK$3:FK$500)+IF($C34="",0,SUMIF('DADOS BRUTOS'!$A$3:$A$500,$C34,'DADOS BRUTOS'!FK$3:FK$500)))</f>
        <v/>
      </c>
      <c r="IL34" s="123">
        <f>IF(OR(IL$4="",$B34=""),0,SUMIF('DADOS BRUTOS'!$A$3:$A$500,$B34,'DADOS BRUTOS'!FL$3:FL$500)+IF($C34="",0,SUMIF('DADOS BRUTOS'!$A$3:$A$500,$C34,'DADOS BRUTOS'!FL$3:FL$500)))</f>
        <v/>
      </c>
      <c r="IM34" s="123">
        <f>IF(OR(IM$4="",$B34=""),0,SUMIF('DADOS BRUTOS'!$A$3:$A$500,$B34,'DADOS BRUTOS'!FM$3:FM$500)+IF($C34="",0,SUMIF('DADOS BRUTOS'!$A$3:$A$500,$C34,'DADOS BRUTOS'!FM$3:FM$500)))</f>
        <v/>
      </c>
      <c r="IN34" s="123">
        <f>IF(OR(IN$4="",$B34=""),0,SUMIF('DADOS BRUTOS'!$A$3:$A$500,$B34,'DADOS BRUTOS'!FN$3:FN$500)+IF($C34="",0,SUMIF('DADOS BRUTOS'!$A$3:$A$500,$C34,'DADOS BRUTOS'!FN$3:FN$500)))</f>
        <v/>
      </c>
      <c r="IO34" s="123">
        <f>IF(OR(IO$4="",$B34=""),0,SUMIF('DADOS BRUTOS'!$A$3:$A$500,$B34,'DADOS BRUTOS'!FO$3:FO$500)+IF($C34="",0,SUMIF('DADOS BRUTOS'!$A$3:$A$500,$C34,'DADOS BRUTOS'!FO$3:FO$500)))</f>
        <v/>
      </c>
      <c r="IP34" s="123">
        <f>IF(OR(IP$4="",$B34=""),0,SUMIF('DADOS BRUTOS'!$A$3:$A$500,$B34,'DADOS BRUTOS'!FP$3:FP$500)+IF($C34="",0,SUMIF('DADOS BRUTOS'!$A$3:$A$500,$C34,'DADOS BRUTOS'!FP$3:FP$500)))</f>
        <v/>
      </c>
      <c r="IQ34" s="123">
        <f>IF(OR(IQ$4="",$B34=""),0,SUMIF('DADOS BRUTOS'!$A$3:$A$500,$B34,'DADOS BRUTOS'!FQ$3:FQ$500)+IF($C34="",0,SUMIF('DADOS BRUTOS'!$A$3:$A$500,$C34,'DADOS BRUTOS'!FQ$3:FQ$500)))</f>
        <v/>
      </c>
      <c r="IR34" s="123">
        <f>IF(OR(IR$4="",$B34=""),0,SUMIF('DADOS BRUTOS'!$A$3:$A$500,$B34,'DADOS BRUTOS'!FR$3:FR$500)+IF($C34="",0,SUMIF('DADOS BRUTOS'!$A$3:$A$500,$C34,'DADOS BRUTOS'!FR$3:FR$500)))</f>
        <v/>
      </c>
      <c r="IS34" s="123">
        <f>IF(OR(IS$4="",$B34=""),0,SUMIF('DADOS BRUTOS'!$A$3:$A$500,$B34,'DADOS BRUTOS'!FS$3:FS$500)+IF($C34="",0,SUMIF('DADOS BRUTOS'!$A$3:$A$500,$C34,'DADOS BRUTOS'!FS$3:FS$500)))</f>
        <v/>
      </c>
      <c r="IT34" s="123">
        <f>IF(OR(IT$4="",$B34=""),0,SUMIF('DADOS BRUTOS'!$A$3:$A$500,$B34,'DADOS BRUTOS'!FT$3:FT$500)+IF($C34="",0,SUMIF('DADOS BRUTOS'!$A$3:$A$500,$C34,'DADOS BRUTOS'!FT$3:FT$500)))</f>
        <v/>
      </c>
      <c r="IU34" s="123">
        <f>IF(OR(IU$4="",$B34=""),0,SUMIF('DADOS BRUTOS'!$A$3:$A$500,$B34,'DADOS BRUTOS'!FU$3:FU$500)+IF($C34="",0,SUMIF('DADOS BRUTOS'!$A$3:$A$500,$C34,'DADOS BRUTOS'!FU$3:FU$500)))</f>
        <v/>
      </c>
      <c r="IV34" s="123">
        <f>IF(OR(IV$4="",$B34=""),0,SUMIF('DADOS BRUTOS'!$A$3:$A$500,$B34,'DADOS BRUTOS'!FV$3:FV$500)+IF($C34="",0,SUMIF('DADOS BRUTOS'!$A$3:$A$500,$C34,'DADOS BRUTOS'!FV$3:FV$500)))</f>
        <v/>
      </c>
      <c r="IW34" s="123">
        <f>IF(OR(IW$4="",$B34=""),0,SUMIF('DADOS BRUTOS'!$A$3:$A$500,$B34,'DADOS BRUTOS'!FW$3:FW$500)+IF($C34="",0,SUMIF('DADOS BRUTOS'!$A$3:$A$500,$C34,'DADOS BRUTOS'!FW$3:FW$500)))</f>
        <v/>
      </c>
      <c r="IX34" s="123">
        <f>IF(OR(IX$4="",$B34=""),0,SUMIF('DADOS BRUTOS'!$A$3:$A$500,$B34,'DADOS BRUTOS'!FX$3:FX$500)+IF($C34="",0,SUMIF('DADOS BRUTOS'!$A$3:$A$500,$C34,'DADOS BRUTOS'!FX$3:FX$500)))</f>
        <v/>
      </c>
      <c r="IY34" s="123">
        <f>IF(OR(IY$4="",$B34=""),0,SUMIF('DADOS BRUTOS'!$A$3:$A$500,$B34,'DADOS BRUTOS'!FY$3:FY$500)+IF($C34="",0,SUMIF('DADOS BRUTOS'!$A$3:$A$500,$C34,'DADOS BRUTOS'!FY$3:FY$500)))</f>
        <v/>
      </c>
      <c r="IZ34" s="123">
        <f>IF(OR(IZ$4="",$B34=""),0,SUMIF('DADOS BRUTOS'!$A$3:$A$500,$B34,'DADOS BRUTOS'!FZ$3:FZ$500)+IF($C34="",0,SUMIF('DADOS BRUTOS'!$A$3:$A$500,$C34,'DADOS BRUTOS'!FZ$3:FZ$500)))</f>
        <v/>
      </c>
      <c r="JA34" s="123">
        <f>IF(OR(JA$4="",$B34=""),0,SUMIF('DADOS BRUTOS'!$A$3:$A$500,$B34,'DADOS BRUTOS'!GA$3:GA$500)+IF($C34="",0,SUMIF('DADOS BRUTOS'!$A$3:$A$500,$C34,'DADOS BRUTOS'!GA$3:GA$500)))</f>
        <v/>
      </c>
      <c r="JB34" s="123">
        <f>IF(OR(JB$4="",$B34=""),0,SUMIF('DADOS BRUTOS'!$A$3:$A$500,$B34,'DADOS BRUTOS'!GB$3:GB$500)+IF($C34="",0,SUMIF('DADOS BRUTOS'!$A$3:$A$500,$C34,'DADOS BRUTOS'!GB$3:GB$500)))</f>
        <v/>
      </c>
      <c r="JC34" s="123">
        <f>IF(OR(JC$4="",$B34=""),0,SUMIF('DADOS BRUTOS'!$A$3:$A$500,$B34,'DADOS BRUTOS'!GC$3:GC$500)+IF($C34="",0,SUMIF('DADOS BRUTOS'!$A$3:$A$500,$C34,'DADOS BRUTOS'!GC$3:GC$500)))</f>
        <v/>
      </c>
      <c r="JD34" s="123">
        <f>IF(OR(JD$4="",$B34=""),0,SUMIF('DADOS BRUTOS'!$A$3:$A$500,$B34,'DADOS BRUTOS'!GD$3:GD$500)+IF($C34="",0,SUMIF('DADOS BRUTOS'!$A$3:$A$500,$C34,'DADOS BRUTOS'!GD$3:GD$500)))</f>
        <v/>
      </c>
      <c r="JE34" s="123">
        <f>IF(OR(JE$4="",$B34=""),0,SUMIF('DADOS BRUTOS'!$A$3:$A$500,$B34,'DADOS BRUTOS'!GE$3:GE$500)+IF($C34="",0,SUMIF('DADOS BRUTOS'!$A$3:$A$500,$C34,'DADOS BRUTOS'!GE$3:GE$500)))</f>
        <v/>
      </c>
      <c r="JF34" s="123">
        <f>IF(OR(JF$4="",$B34=""),0,SUMIF('DADOS BRUTOS'!$A$3:$A$500,$B34,'DADOS BRUTOS'!GF$3:GF$500)+IF($C34="",0,SUMIF('DADOS BRUTOS'!$A$3:$A$500,$C34,'DADOS BRUTOS'!GF$3:GF$500)))</f>
        <v/>
      </c>
      <c r="JG34" s="123">
        <f>IF(OR(JG$4="",$B34=""),0,SUMIF('DADOS BRUTOS'!$A$3:$A$500,$B34,'DADOS BRUTOS'!GG$3:GG$500)+IF($C34="",0,SUMIF('DADOS BRUTOS'!$A$3:$A$500,$C34,'DADOS BRUTOS'!GG$3:GG$500)))</f>
        <v/>
      </c>
      <c r="JH34" s="123">
        <f>IF(OR(JH$4="",$B34=""),0,SUMIF('DADOS BRUTOS'!$A$3:$A$500,$B34,'DADOS BRUTOS'!GH$3:GH$500)+IF($C34="",0,SUMIF('DADOS BRUTOS'!$A$3:$A$500,$C34,'DADOS BRUTOS'!GH$3:GH$500)))</f>
        <v/>
      </c>
      <c r="JI34" s="123">
        <f>IF(OR(JI$4="",$B34=""),0,SUMIF('DADOS BRUTOS'!$A$3:$A$500,$B34,'DADOS BRUTOS'!GI$3:GI$500)+IF($C34="",0,SUMIF('DADOS BRUTOS'!$A$3:$A$500,$C34,'DADOS BRUTOS'!GI$3:GI$500)))</f>
        <v/>
      </c>
      <c r="JJ34" s="123">
        <f>IF(OR(JJ$4="",$B34=""),0,SUMIF('DADOS BRUTOS'!$A$3:$A$500,$B34,'DADOS BRUTOS'!GJ$3:GJ$500)+IF($C34="",0,SUMIF('DADOS BRUTOS'!$A$3:$A$500,$C34,'DADOS BRUTOS'!GJ$3:GJ$500)))</f>
        <v/>
      </c>
      <c r="JK34" s="123">
        <f>IF(OR(JK$4="",$B34=""),0,SUMIF('DADOS BRUTOS'!$A$3:$A$500,$B34,'DADOS BRUTOS'!GK$3:GK$500)+IF($C34="",0,SUMIF('DADOS BRUTOS'!$A$3:$A$500,$C34,'DADOS BRUTOS'!GK$3:GK$500)))</f>
        <v/>
      </c>
      <c r="JL34" s="123">
        <f>IF(OR(JL$4="",$B34=""),0,SUMIF('DADOS BRUTOS'!$A$3:$A$500,$B34,'DADOS BRUTOS'!GL$3:GL$500)+IF($C34="",0,SUMIF('DADOS BRUTOS'!$A$3:$A$500,$C34,'DADOS BRUTOS'!GL$3:GL$500)))</f>
        <v/>
      </c>
      <c r="JM34" s="123">
        <f>IF(OR(JM$4="",$B34=""),0,SUMIF('DADOS BRUTOS'!$A$3:$A$500,$B34,'DADOS BRUTOS'!GM$3:GM$500)+IF($C34="",0,SUMIF('DADOS BRUTOS'!$A$3:$A$500,$C34,'DADOS BRUTOS'!GM$3:GM$500)))</f>
        <v/>
      </c>
      <c r="JN34" s="123">
        <f>IF(OR(JN$4="",$B34=""),0,SUMIF('DADOS BRUTOS'!$A$3:$A$500,$B34,'DADOS BRUTOS'!GN$3:GN$500)+IF($C34="",0,SUMIF('DADOS BRUTOS'!$A$3:$A$500,$C34,'DADOS BRUTOS'!GN$3:GN$500)))</f>
        <v/>
      </c>
      <c r="JO34" s="123">
        <f>IF(OR(JO$4="",$B34=""),0,SUMIF('DADOS BRUTOS'!$A$3:$A$500,$B34,'DADOS BRUTOS'!GO$3:GO$500)+IF($C34="",0,SUMIF('DADOS BRUTOS'!$A$3:$A$500,$C34,'DADOS BRUTOS'!GO$3:GO$500)))</f>
        <v/>
      </c>
      <c r="JP34" s="123">
        <f>IF(OR(JP$4="",$B34=""),0,SUMIF('DADOS BRUTOS'!$A$3:$A$500,$B34,'DADOS BRUTOS'!GP$3:GP$500)+IF($C34="",0,SUMIF('DADOS BRUTOS'!$A$3:$A$500,$C34,'DADOS BRUTOS'!GP$3:GP$500)))</f>
        <v/>
      </c>
      <c r="JQ34" s="123">
        <f>IF(OR(JQ$4="",$B34=""),0,SUMIF('DADOS BRUTOS'!$A$3:$A$500,$B34,'DADOS BRUTOS'!GQ$3:GQ$500)+IF($C34="",0,SUMIF('DADOS BRUTOS'!$A$3:$A$500,$C34,'DADOS BRUTOS'!GQ$3:GQ$500)))</f>
        <v/>
      </c>
      <c r="JR34" s="123">
        <f>IF(OR(JR$4="",$B34=""),0,SUMIF('DADOS BRUTOS'!$A$3:$A$500,$B34,'DADOS BRUTOS'!GR$3:GR$500)+IF($C34="",0,SUMIF('DADOS BRUTOS'!$A$3:$A$500,$C34,'DADOS BRUTOS'!GR$3:GR$500)))</f>
        <v/>
      </c>
      <c r="JS34" s="123">
        <f>IF(OR(JS$4="",$B34=""),0,SUMIF('DADOS BRUTOS'!$A$3:$A$500,$B34,'DADOS BRUTOS'!GS$3:GS$500)+IF($C34="",0,SUMIF('DADOS BRUTOS'!$A$3:$A$500,$C34,'DADOS BRUTOS'!GS$3:GS$500)))</f>
        <v/>
      </c>
    </row>
    <row r="35">
      <c r="A35" s="61">
        <f>'VALOR POR PL'!D41</f>
        <v/>
      </c>
      <c r="B35" s="60" t="inlineStr">
        <is>
          <t>PAVIMENTAÇÃO</t>
        </is>
      </c>
      <c r="C35" s="60" t="n"/>
      <c r="D35" s="55">
        <f>SUMIF($CB$4:$JS$4,"&lt;="&amp;D$4,$CB35:$JS35)</f>
        <v/>
      </c>
      <c r="E35" s="55">
        <f>SUMIF($CB$4:$JS$4,E$4,$CB35:$JS35)</f>
        <v/>
      </c>
      <c r="F35" s="55">
        <f>SUMIF($CB$4:$JS$4,F$4,$CB35:$JS35)</f>
        <v/>
      </c>
      <c r="G35" s="55">
        <f>SUMIF($CB$4:$JS$4,G$4,$CB35:$JS35)</f>
        <v/>
      </c>
      <c r="H35" s="55">
        <f>SUMIF($CB$4:$JS$4,H$4,$CB35:$JS35)</f>
        <v/>
      </c>
      <c r="I35" s="55">
        <f>SUMIF($CB$4:$JS$4,I$4,$CB35:$JS35)</f>
        <v/>
      </c>
      <c r="J35" s="55">
        <f>SUMIF($CB$4:$JS$4,J$4,$CB35:$JS35)</f>
        <v/>
      </c>
      <c r="K35" s="55">
        <f>SUMIF($CB$4:$JS$4,K$4,$CB35:$JS35)</f>
        <v/>
      </c>
      <c r="L35" s="55">
        <f>SUMIF($CB$4:$JS$4,L$4,$CB35:$JS35)</f>
        <v/>
      </c>
      <c r="M35" s="55">
        <f>SUMIF($CB$4:$JS$4,M$4,$CB35:$JS35)</f>
        <v/>
      </c>
      <c r="N35" s="55">
        <f>SUMIF($CB$4:$JS$4,N$4,$CB35:$JS35)</f>
        <v/>
      </c>
      <c r="O35" s="55">
        <f>SUMIF($CB$4:$JS$4,O$4,$CB35:$JS35)</f>
        <v/>
      </c>
      <c r="P35" s="55">
        <f>SUMIF($CB$4:$JS$4,P$4,$CB35:$JS35)</f>
        <v/>
      </c>
      <c r="Q35" s="55">
        <f>SUMIF($CB$4:$JS$4,Q$4,$CB35:$JS35)</f>
        <v/>
      </c>
      <c r="R35" s="55">
        <f>SUMIF($CB$4:$JS$4,R$4,$CB35:$JS35)</f>
        <v/>
      </c>
      <c r="S35" s="55">
        <f>SUMIF($CB$4:$JS$4,S$4,$CB35:$JS35)</f>
        <v/>
      </c>
      <c r="T35" s="55">
        <f>SUMIF($CB$4:$JS$4,T$4,$CB35:$JS35)</f>
        <v/>
      </c>
      <c r="U35" s="55">
        <f>SUMIF($CB$4:$JS$4,U$4,$CB35:$JS35)</f>
        <v/>
      </c>
      <c r="V35" s="55">
        <f>SUMIF($CB$4:$JS$4,V$4,$CB35:$JS35)</f>
        <v/>
      </c>
      <c r="W35" s="55">
        <f>SUMIF($CB$4:$JS$4,W$4,$CB35:$JS35)</f>
        <v/>
      </c>
      <c r="X35" s="55">
        <f>SUMIF($CB$4:$JS$4,X$4,$CB35:$JS35)</f>
        <v/>
      </c>
      <c r="Y35" s="55">
        <f>SUMIF($CB$4:$JS$4,Y$4,$CB35:$JS35)</f>
        <v/>
      </c>
      <c r="Z35" s="55">
        <f>SUMIF($CB$4:$JS$4,Z$4,$CB35:$JS35)</f>
        <v/>
      </c>
      <c r="AA35" s="55">
        <f>SUMIF($CB$4:$JS$4,AA$4,$CB35:$JS35)</f>
        <v/>
      </c>
      <c r="AB35" s="55">
        <f>SUMIF($CB$4:$JS$4,AB$4,$CB35:$JS35)</f>
        <v/>
      </c>
      <c r="AC35" s="55">
        <f>SUMIF($CB$4:$JS$4,AC$4,$CB35:$JS35)</f>
        <v/>
      </c>
      <c r="AD35" s="55">
        <f>SUMIF($CB$4:$JS$4,AD$4,$CB35:$JS35)</f>
        <v/>
      </c>
      <c r="AE35" s="55">
        <f>SUMIF($CB$4:$JS$4,AE$4,$CB35:$JS35)</f>
        <v/>
      </c>
      <c r="AF35" s="55">
        <f>SUMIF($CB$4:$JS$4,AF$4,$CB35:$JS35)</f>
        <v/>
      </c>
      <c r="AG35" s="55">
        <f>SUMIF($CB$4:$JS$4,AG$4,$CB35:$JS35)</f>
        <v/>
      </c>
      <c r="AH35" s="55">
        <f>SUMIF($CB$4:$JS$4,AH$4,$CB35:$JS35)</f>
        <v/>
      </c>
      <c r="AI35" s="55">
        <f>SUMIF($CB$4:$JS$4,AI$4,$CB35:$JS35)</f>
        <v/>
      </c>
      <c r="AJ35" s="55">
        <f>SUMIF($CB$4:$JS$4,AJ$4,$CB35:$JS35)</f>
        <v/>
      </c>
      <c r="AK35" s="55">
        <f>SUMIF($CB$4:$JS$4,AK$4,$CB35:$JS35)</f>
        <v/>
      </c>
      <c r="AL35" s="55">
        <f>SUMIF($CB$4:$JS$4,AL$4,$CB35:$JS35)</f>
        <v/>
      </c>
      <c r="AM35" s="55">
        <f>SUMIF($CB$4:$JS$4,AM$4,$CB35:$JS35)</f>
        <v/>
      </c>
      <c r="AN35" s="55">
        <f>SUMIF($CB$4:$JS$4,AN$4,$CB35:$JS35)</f>
        <v/>
      </c>
      <c r="AO35" s="55">
        <f>SUMIF($CB$4:$JS$4,AO$4,$CB35:$JS35)</f>
        <v/>
      </c>
      <c r="AP35" s="55">
        <f>SUMIF($CB$4:$JS$4,AP$4,$CB35:$JS35)</f>
        <v/>
      </c>
      <c r="AQ35" s="55">
        <f>SUMIF($CB$4:$JS$4,AQ$4,$CB35:$JS35)</f>
        <v/>
      </c>
      <c r="AR35" s="55">
        <f>SUMIF($CB$4:$JS$4,AR$4,$CB35:$JS35)</f>
        <v/>
      </c>
      <c r="AS35" s="55">
        <f>SUMIF($CB$4:$JS$4,AS$4,$CB35:$JS35)</f>
        <v/>
      </c>
      <c r="AT35" s="55">
        <f>SUMIF($CB$4:$JS$4,AT$4,$CB35:$JS35)</f>
        <v/>
      </c>
      <c r="AU35" s="55">
        <f>SUMIF($CB$4:$JS$4,AU$4,$CB35:$JS35)</f>
        <v/>
      </c>
      <c r="AV35" s="55">
        <f>SUMIF($CB$4:$JS$4,AV$4,$CB35:$JS35)</f>
        <v/>
      </c>
      <c r="AW35" s="55">
        <f>SUMIF($CB$4:$JS$4,AW$4,$CB35:$JS35)</f>
        <v/>
      </c>
      <c r="AX35" s="55">
        <f>SUMIF($CB$4:$JS$4,AX$4,$CB35:$JS35)</f>
        <v/>
      </c>
      <c r="AY35" s="55">
        <f>SUMIF($CB$4:$JS$4,AY$4,$CB35:$JS35)</f>
        <v/>
      </c>
      <c r="AZ35" s="55">
        <f>SUMIF($CB$4:$JS$4,AZ$4,$CB35:$JS35)</f>
        <v/>
      </c>
      <c r="BA35" s="55">
        <f>SUMIF($CB$4:$JS$4,BA$4,$CB35:$JS35)</f>
        <v/>
      </c>
      <c r="BB35" s="55">
        <f>SUMIF($CB$4:$JS$4,BB$4,$CB35:$JS35)</f>
        <v/>
      </c>
      <c r="BC35" s="55">
        <f>SUMIF($CB$4:$JS$4,BC$4,$CB35:$JS35)</f>
        <v/>
      </c>
      <c r="BD35" s="55">
        <f>SUMIF($CB$4:$JS$4,BD$4,$CB35:$JS35)</f>
        <v/>
      </c>
      <c r="BE35" s="55">
        <f>SUMIF($CB$4:$JS$4,BE$4,$CB35:$JS35)</f>
        <v/>
      </c>
      <c r="BF35" s="55">
        <f>SUMIF($CB$4:$JS$4,BF$4,$CB35:$JS35)</f>
        <v/>
      </c>
      <c r="BG35" s="55">
        <f>SUMIF($CB$4:$JS$4,BG$4,$CB35:$JS35)</f>
        <v/>
      </c>
      <c r="BH35" s="55">
        <f>SUMIF($CB$4:$JS$4,BH$4,$CB35:$JS35)</f>
        <v/>
      </c>
      <c r="BI35" s="55">
        <f>SUMIF($CB$4:$JS$4,BI$4,$CB35:$JS35)</f>
        <v/>
      </c>
      <c r="BJ35" s="55">
        <f>SUMIF($CB$4:$JS$4,BJ$4,$CB35:$JS35)</f>
        <v/>
      </c>
      <c r="BK35" s="55">
        <f>SUMIF($CB$4:$JS$4,BK$4,$CB35:$JS35)</f>
        <v/>
      </c>
      <c r="BL35" s="55">
        <f>SUMIF($CB$4:$JS$4,BL$4,$CB35:$JS35)</f>
        <v/>
      </c>
      <c r="BM35" s="55">
        <f>SUMIF($CB$4:$JS$4,BM$4,$CB35:$JS35)</f>
        <v/>
      </c>
      <c r="BN35" s="55">
        <f>SUMIF($CB$4:$JS$4,BN$4,$CB35:$JS35)</f>
        <v/>
      </c>
      <c r="BO35" s="55">
        <f>SUMIF($CB$4:$JS$4,BO$4,$CB35:$JS35)</f>
        <v/>
      </c>
      <c r="BP35" s="55">
        <f>SUMIF($CB$4:$JS$4,BP$4,$CB35:$JS35)</f>
        <v/>
      </c>
      <c r="BQ35" s="55">
        <f>SUMIF($CB$4:$JS$4,BQ$4,$CB35:$JS35)</f>
        <v/>
      </c>
      <c r="BR35" s="55">
        <f>SUMIF($CB$4:$JS$4,BR$4,$CB35:$JS35)</f>
        <v/>
      </c>
      <c r="BS35" s="55">
        <f>SUMIF($CB$4:$JS$4,BS$4,$CB35:$JS35)</f>
        <v/>
      </c>
      <c r="BT35" s="55">
        <f>SUMIF($CB$4:$JS$4,BT$4,$CB35:$JS35)</f>
        <v/>
      </c>
      <c r="BU35" s="55">
        <f>SUMIF($CB$4:$JS$4,BU$4,$CB35:$JS35)</f>
        <v/>
      </c>
      <c r="BV35" s="55">
        <f>SUMIF($CB$4:$JS$4,BV$4,$CB35:$JS35)</f>
        <v/>
      </c>
      <c r="BW35" s="55">
        <f>SUMIF($CB$4:$JS$4,BW$4,$CB35:$JS35)</f>
        <v/>
      </c>
      <c r="BX35" s="55">
        <f>SUMIF($CB$4:$JS$4,"&gt;"&amp;'VALOR POR PL'!$P$8,$CB35:$JS35)</f>
        <v/>
      </c>
      <c r="BY35" s="55">
        <f>SUM($CB35:$JS35)</f>
        <v/>
      </c>
      <c r="CB35" s="123">
        <f>IF(OR(CB$4="",$B35=""),0,SUMIF('DADOS BRUTOS'!$A$3:$A$500,$B35,'DADOS BRUTOS'!B$3:B$500)+IF($C35="",0,SUMIF('DADOS BRUTOS'!$A$3:$A$500,$C35,'DADOS BRUTOS'!B$3:B$500)))</f>
        <v/>
      </c>
      <c r="CC35" s="123">
        <f>IF(OR(CC$4="",$B35=""),0,SUMIF('DADOS BRUTOS'!$A$3:$A$500,$B35,'DADOS BRUTOS'!C$3:C$500)+IF($C35="",0,SUMIF('DADOS BRUTOS'!$A$3:$A$500,$C35,'DADOS BRUTOS'!C$3:C$500)))</f>
        <v/>
      </c>
      <c r="CD35" s="123">
        <f>IF(OR(CD$4="",$B35=""),0,SUMIF('DADOS BRUTOS'!$A$3:$A$500,$B35,'DADOS BRUTOS'!D$3:D$500)+IF($C35="",0,SUMIF('DADOS BRUTOS'!$A$3:$A$500,$C35,'DADOS BRUTOS'!D$3:D$500)))</f>
        <v/>
      </c>
      <c r="CE35" s="123">
        <f>IF(OR(CE$4="",$B35=""),0,SUMIF('DADOS BRUTOS'!$A$3:$A$500,$B35,'DADOS BRUTOS'!E$3:E$500)+IF($C35="",0,SUMIF('DADOS BRUTOS'!$A$3:$A$500,$C35,'DADOS BRUTOS'!E$3:E$500)))</f>
        <v/>
      </c>
      <c r="CF35" s="123">
        <f>IF(OR(CF$4="",$B35=""),0,SUMIF('DADOS BRUTOS'!$A$3:$A$500,$B35,'DADOS BRUTOS'!F$3:F$500)+IF($C35="",0,SUMIF('DADOS BRUTOS'!$A$3:$A$500,$C35,'DADOS BRUTOS'!F$3:F$500)))</f>
        <v/>
      </c>
      <c r="CG35" s="123">
        <f>IF(OR(CG$4="",$B35=""),0,SUMIF('DADOS BRUTOS'!$A$3:$A$500,$B35,'DADOS BRUTOS'!G$3:G$500)+IF($C35="",0,SUMIF('DADOS BRUTOS'!$A$3:$A$500,$C35,'DADOS BRUTOS'!G$3:G$500)))</f>
        <v/>
      </c>
      <c r="CH35" s="123">
        <f>IF(OR(CH$4="",$B35=""),0,SUMIF('DADOS BRUTOS'!$A$3:$A$500,$B35,'DADOS BRUTOS'!H$3:H$500)+IF($C35="",0,SUMIF('DADOS BRUTOS'!$A$3:$A$500,$C35,'DADOS BRUTOS'!H$3:H$500)))</f>
        <v/>
      </c>
      <c r="CI35" s="123">
        <f>IF(OR(CI$4="",$B35=""),0,SUMIF('DADOS BRUTOS'!$A$3:$A$500,$B35,'DADOS BRUTOS'!I$3:I$500)+IF($C35="",0,SUMIF('DADOS BRUTOS'!$A$3:$A$500,$C35,'DADOS BRUTOS'!I$3:I$500)))</f>
        <v/>
      </c>
      <c r="CJ35" s="123">
        <f>IF(OR(CJ$4="",$B35=""),0,SUMIF('DADOS BRUTOS'!$A$3:$A$500,$B35,'DADOS BRUTOS'!J$3:J$500)+IF($C35="",0,SUMIF('DADOS BRUTOS'!$A$3:$A$500,$C35,'DADOS BRUTOS'!J$3:J$500)))</f>
        <v/>
      </c>
      <c r="CK35" s="123">
        <f>IF(OR(CK$4="",$B35=""),0,SUMIF('DADOS BRUTOS'!$A$3:$A$500,$B35,'DADOS BRUTOS'!K$3:K$500)+IF($C35="",0,SUMIF('DADOS BRUTOS'!$A$3:$A$500,$C35,'DADOS BRUTOS'!K$3:K$500)))</f>
        <v/>
      </c>
      <c r="CL35" s="123">
        <f>IF(OR(CL$4="",$B35=""),0,SUMIF('DADOS BRUTOS'!$A$3:$A$500,$B35,'DADOS BRUTOS'!L$3:L$500)+IF($C35="",0,SUMIF('DADOS BRUTOS'!$A$3:$A$500,$C35,'DADOS BRUTOS'!L$3:L$500)))</f>
        <v/>
      </c>
      <c r="CM35" s="123">
        <f>IF(OR(CM$4="",$B35=""),0,SUMIF('DADOS BRUTOS'!$A$3:$A$500,$B35,'DADOS BRUTOS'!M$3:M$500)+IF($C35="",0,SUMIF('DADOS BRUTOS'!$A$3:$A$500,$C35,'DADOS BRUTOS'!M$3:M$500)))</f>
        <v/>
      </c>
      <c r="CN35" s="123">
        <f>IF(OR(CN$4="",$B35=""),0,SUMIF('DADOS BRUTOS'!$A$3:$A$500,$B35,'DADOS BRUTOS'!N$3:N$500)+IF($C35="",0,SUMIF('DADOS BRUTOS'!$A$3:$A$500,$C35,'DADOS BRUTOS'!N$3:N$500)))</f>
        <v/>
      </c>
      <c r="CO35" s="123">
        <f>IF(OR(CO$4="",$B35=""),0,SUMIF('DADOS BRUTOS'!$A$3:$A$500,$B35,'DADOS BRUTOS'!O$3:O$500)+IF($C35="",0,SUMIF('DADOS BRUTOS'!$A$3:$A$500,$C35,'DADOS BRUTOS'!O$3:O$500)))</f>
        <v/>
      </c>
      <c r="CP35" s="123">
        <f>IF(OR(CP$4="",$B35=""),0,SUMIF('DADOS BRUTOS'!$A$3:$A$500,$B35,'DADOS BRUTOS'!P$3:P$500)+IF($C35="",0,SUMIF('DADOS BRUTOS'!$A$3:$A$500,$C35,'DADOS BRUTOS'!P$3:P$500)))</f>
        <v/>
      </c>
      <c r="CQ35" s="123">
        <f>IF(OR(CQ$4="",$B35=""),0,SUMIF('DADOS BRUTOS'!$A$3:$A$500,$B35,'DADOS BRUTOS'!Q$3:Q$500)+IF($C35="",0,SUMIF('DADOS BRUTOS'!$A$3:$A$500,$C35,'DADOS BRUTOS'!Q$3:Q$500)))</f>
        <v/>
      </c>
      <c r="CR35" s="123">
        <f>IF(OR(CR$4="",$B35=""),0,SUMIF('DADOS BRUTOS'!$A$3:$A$500,$B35,'DADOS BRUTOS'!R$3:R$500)+IF($C35="",0,SUMIF('DADOS BRUTOS'!$A$3:$A$500,$C35,'DADOS BRUTOS'!R$3:R$500)))</f>
        <v/>
      </c>
      <c r="CS35" s="123">
        <f>IF(OR(CS$4="",$B35=""),0,SUMIF('DADOS BRUTOS'!$A$3:$A$500,$B35,'DADOS BRUTOS'!S$3:S$500)+IF($C35="",0,SUMIF('DADOS BRUTOS'!$A$3:$A$500,$C35,'DADOS BRUTOS'!S$3:S$500)))</f>
        <v/>
      </c>
      <c r="CT35" s="123">
        <f>IF(OR(CT$4="",$B35=""),0,SUMIF('DADOS BRUTOS'!$A$3:$A$500,$B35,'DADOS BRUTOS'!T$3:T$500)+IF($C35="",0,SUMIF('DADOS BRUTOS'!$A$3:$A$500,$C35,'DADOS BRUTOS'!T$3:T$500)))</f>
        <v/>
      </c>
      <c r="CU35" s="123">
        <f>IF(OR(CU$4="",$B35=""),0,SUMIF('DADOS BRUTOS'!$A$3:$A$500,$B35,'DADOS BRUTOS'!U$3:U$500)+IF($C35="",0,SUMIF('DADOS BRUTOS'!$A$3:$A$500,$C35,'DADOS BRUTOS'!U$3:U$500)))</f>
        <v/>
      </c>
      <c r="CV35" s="123">
        <f>IF(OR(CV$4="",$B35=""),0,SUMIF('DADOS BRUTOS'!$A$3:$A$500,$B35,'DADOS BRUTOS'!V$3:V$500)+IF($C35="",0,SUMIF('DADOS BRUTOS'!$A$3:$A$500,$C35,'DADOS BRUTOS'!V$3:V$500)))</f>
        <v/>
      </c>
      <c r="CW35" s="123">
        <f>IF(OR(CW$4="",$B35=""),0,SUMIF('DADOS BRUTOS'!$A$3:$A$500,$B35,'DADOS BRUTOS'!W$3:W$500)+IF($C35="",0,SUMIF('DADOS BRUTOS'!$A$3:$A$500,$C35,'DADOS BRUTOS'!W$3:W$500)))</f>
        <v/>
      </c>
      <c r="CX35" s="123">
        <f>IF(OR(CX$4="",$B35=""),0,SUMIF('DADOS BRUTOS'!$A$3:$A$500,$B35,'DADOS BRUTOS'!X$3:X$500)+IF($C35="",0,SUMIF('DADOS BRUTOS'!$A$3:$A$500,$C35,'DADOS BRUTOS'!X$3:X$500)))</f>
        <v/>
      </c>
      <c r="CY35" s="123">
        <f>IF(OR(CY$4="",$B35=""),0,SUMIF('DADOS BRUTOS'!$A$3:$A$500,$B35,'DADOS BRUTOS'!Y$3:Y$500)+IF($C35="",0,SUMIF('DADOS BRUTOS'!$A$3:$A$500,$C35,'DADOS BRUTOS'!Y$3:Y$500)))</f>
        <v/>
      </c>
      <c r="CZ35" s="123">
        <f>IF(OR(CZ$4="",$B35=""),0,SUMIF('DADOS BRUTOS'!$A$3:$A$500,$B35,'DADOS BRUTOS'!Z$3:Z$500)+IF($C35="",0,SUMIF('DADOS BRUTOS'!$A$3:$A$500,$C35,'DADOS BRUTOS'!Z$3:Z$500)))</f>
        <v/>
      </c>
      <c r="DA35" s="123">
        <f>IF(OR(DA$4="",$B35=""),0,SUMIF('DADOS BRUTOS'!$A$3:$A$500,$B35,'DADOS BRUTOS'!AA$3:AA$500)+IF($C35="",0,SUMIF('DADOS BRUTOS'!$A$3:$A$500,$C35,'DADOS BRUTOS'!AA$3:AA$500)))</f>
        <v/>
      </c>
      <c r="DB35" s="123">
        <f>IF(OR(DB$4="",$B35=""),0,SUMIF('DADOS BRUTOS'!$A$3:$A$500,$B35,'DADOS BRUTOS'!AB$3:AB$500)+IF($C35="",0,SUMIF('DADOS BRUTOS'!$A$3:$A$500,$C35,'DADOS BRUTOS'!AB$3:AB$500)))</f>
        <v/>
      </c>
      <c r="DC35" s="123">
        <f>IF(OR(DC$4="",$B35=""),0,SUMIF('DADOS BRUTOS'!$A$3:$A$500,$B35,'DADOS BRUTOS'!AC$3:AC$500)+IF($C35="",0,SUMIF('DADOS BRUTOS'!$A$3:$A$500,$C35,'DADOS BRUTOS'!AC$3:AC$500)))</f>
        <v/>
      </c>
      <c r="DD35" s="123">
        <f>IF(OR(DD$4="",$B35=""),0,SUMIF('DADOS BRUTOS'!$A$3:$A$500,$B35,'DADOS BRUTOS'!AD$3:AD$500)+IF($C35="",0,SUMIF('DADOS BRUTOS'!$A$3:$A$500,$C35,'DADOS BRUTOS'!AD$3:AD$500)))</f>
        <v/>
      </c>
      <c r="DE35" s="123">
        <f>IF(OR(DE$4="",$B35=""),0,SUMIF('DADOS BRUTOS'!$A$3:$A$500,$B35,'DADOS BRUTOS'!AE$3:AE$500)+IF($C35="",0,SUMIF('DADOS BRUTOS'!$A$3:$A$500,$C35,'DADOS BRUTOS'!AE$3:AE$500)))</f>
        <v/>
      </c>
      <c r="DF35" s="123">
        <f>IF(OR(DF$4="",$B35=""),0,SUMIF('DADOS BRUTOS'!$A$3:$A$500,$B35,'DADOS BRUTOS'!AF$3:AF$500)+IF($C35="",0,SUMIF('DADOS BRUTOS'!$A$3:$A$500,$C35,'DADOS BRUTOS'!AF$3:AF$500)))</f>
        <v/>
      </c>
      <c r="DG35" s="123">
        <f>IF(OR(DG$4="",$B35=""),0,SUMIF('DADOS BRUTOS'!$A$3:$A$500,$B35,'DADOS BRUTOS'!AG$3:AG$500)+IF($C35="",0,SUMIF('DADOS BRUTOS'!$A$3:$A$500,$C35,'DADOS BRUTOS'!AG$3:AG$500)))</f>
        <v/>
      </c>
      <c r="DH35" s="123">
        <f>IF(OR(DH$4="",$B35=""),0,SUMIF('DADOS BRUTOS'!$A$3:$A$500,$B35,'DADOS BRUTOS'!AH$3:AH$500)+IF($C35="",0,SUMIF('DADOS BRUTOS'!$A$3:$A$500,$C35,'DADOS BRUTOS'!AH$3:AH$500)))</f>
        <v/>
      </c>
      <c r="DI35" s="123">
        <f>IF(OR(DI$4="",$B35=""),0,SUMIF('DADOS BRUTOS'!$A$3:$A$500,$B35,'DADOS BRUTOS'!AI$3:AI$500)+IF($C35="",0,SUMIF('DADOS BRUTOS'!$A$3:$A$500,$C35,'DADOS BRUTOS'!AI$3:AI$500)))</f>
        <v/>
      </c>
      <c r="DJ35" s="123">
        <f>IF(OR(DJ$4="",$B35=""),0,SUMIF('DADOS BRUTOS'!$A$3:$A$500,$B35,'DADOS BRUTOS'!AJ$3:AJ$500)+IF($C35="",0,SUMIF('DADOS BRUTOS'!$A$3:$A$500,$C35,'DADOS BRUTOS'!AJ$3:AJ$500)))</f>
        <v/>
      </c>
      <c r="DK35" s="123">
        <f>IF(OR(DK$4="",$B35=""),0,SUMIF('DADOS BRUTOS'!$A$3:$A$500,$B35,'DADOS BRUTOS'!AK$3:AK$500)+IF($C35="",0,SUMIF('DADOS BRUTOS'!$A$3:$A$500,$C35,'DADOS BRUTOS'!AK$3:AK$500)))</f>
        <v/>
      </c>
      <c r="DL35" s="123">
        <f>IF(OR(DL$4="",$B35=""),0,SUMIF('DADOS BRUTOS'!$A$3:$A$500,$B35,'DADOS BRUTOS'!AL$3:AL$500)+IF($C35="",0,SUMIF('DADOS BRUTOS'!$A$3:$A$500,$C35,'DADOS BRUTOS'!AL$3:AL$500)))</f>
        <v/>
      </c>
      <c r="DM35" s="123">
        <f>IF(OR(DM$4="",$B35=""),0,SUMIF('DADOS BRUTOS'!$A$3:$A$500,$B35,'DADOS BRUTOS'!AM$3:AM$500)+IF($C35="",0,SUMIF('DADOS BRUTOS'!$A$3:$A$500,$C35,'DADOS BRUTOS'!AM$3:AM$500)))</f>
        <v/>
      </c>
      <c r="DN35" s="123">
        <f>IF(OR(DN$4="",$B35=""),0,SUMIF('DADOS BRUTOS'!$A$3:$A$500,$B35,'DADOS BRUTOS'!AN$3:AN$500)+IF($C35="",0,SUMIF('DADOS BRUTOS'!$A$3:$A$500,$C35,'DADOS BRUTOS'!AN$3:AN$500)))</f>
        <v/>
      </c>
      <c r="DO35" s="123">
        <f>IF(OR(DO$4="",$B35=""),0,SUMIF('DADOS BRUTOS'!$A$3:$A$500,$B35,'DADOS BRUTOS'!AO$3:AO$500)+IF($C35="",0,SUMIF('DADOS BRUTOS'!$A$3:$A$500,$C35,'DADOS BRUTOS'!AO$3:AO$500)))</f>
        <v/>
      </c>
      <c r="DP35" s="123">
        <f>IF(OR(DP$4="",$B35=""),0,SUMIF('DADOS BRUTOS'!$A$3:$A$500,$B35,'DADOS BRUTOS'!AP$3:AP$500)+IF($C35="",0,SUMIF('DADOS BRUTOS'!$A$3:$A$500,$C35,'DADOS BRUTOS'!AP$3:AP$500)))</f>
        <v/>
      </c>
      <c r="DQ35" s="123">
        <f>IF(OR(DQ$4="",$B35=""),0,SUMIF('DADOS BRUTOS'!$A$3:$A$500,$B35,'DADOS BRUTOS'!AQ$3:AQ$500)+IF($C35="",0,SUMIF('DADOS BRUTOS'!$A$3:$A$500,$C35,'DADOS BRUTOS'!AQ$3:AQ$500)))</f>
        <v/>
      </c>
      <c r="DR35" s="123">
        <f>IF(OR(DR$4="",$B35=""),0,SUMIF('DADOS BRUTOS'!$A$3:$A$500,$B35,'DADOS BRUTOS'!AR$3:AR$500)+IF($C35="",0,SUMIF('DADOS BRUTOS'!$A$3:$A$500,$C35,'DADOS BRUTOS'!AR$3:AR$500)))</f>
        <v/>
      </c>
      <c r="DS35" s="123">
        <f>IF(OR(DS$4="",$B35=""),0,SUMIF('DADOS BRUTOS'!$A$3:$A$500,$B35,'DADOS BRUTOS'!AS$3:AS$500)+IF($C35="",0,SUMIF('DADOS BRUTOS'!$A$3:$A$500,$C35,'DADOS BRUTOS'!AS$3:AS$500)))</f>
        <v/>
      </c>
      <c r="DT35" s="123">
        <f>IF(OR(DT$4="",$B35=""),0,SUMIF('DADOS BRUTOS'!$A$3:$A$500,$B35,'DADOS BRUTOS'!AT$3:AT$500)+IF($C35="",0,SUMIF('DADOS BRUTOS'!$A$3:$A$500,$C35,'DADOS BRUTOS'!AT$3:AT$500)))</f>
        <v/>
      </c>
      <c r="DU35" s="123">
        <f>IF(OR(DU$4="",$B35=""),0,SUMIF('DADOS BRUTOS'!$A$3:$A$500,$B35,'DADOS BRUTOS'!AU$3:AU$500)+IF($C35="",0,SUMIF('DADOS BRUTOS'!$A$3:$A$500,$C35,'DADOS BRUTOS'!AU$3:AU$500)))</f>
        <v/>
      </c>
      <c r="DV35" s="123">
        <f>IF(OR(DV$4="",$B35=""),0,SUMIF('DADOS BRUTOS'!$A$3:$A$500,$B35,'DADOS BRUTOS'!AV$3:AV$500)+IF($C35="",0,SUMIF('DADOS BRUTOS'!$A$3:$A$500,$C35,'DADOS BRUTOS'!AV$3:AV$500)))</f>
        <v/>
      </c>
      <c r="DW35" s="123">
        <f>IF(OR(DW$4="",$B35=""),0,SUMIF('DADOS BRUTOS'!$A$3:$A$500,$B35,'DADOS BRUTOS'!AW$3:AW$500)+IF($C35="",0,SUMIF('DADOS BRUTOS'!$A$3:$A$500,$C35,'DADOS BRUTOS'!AW$3:AW$500)))</f>
        <v/>
      </c>
      <c r="DX35" s="123">
        <f>IF(OR(DX$4="",$B35=""),0,SUMIF('DADOS BRUTOS'!$A$3:$A$500,$B35,'DADOS BRUTOS'!AX$3:AX$500)+IF($C35="",0,SUMIF('DADOS BRUTOS'!$A$3:$A$500,$C35,'DADOS BRUTOS'!AX$3:AX$500)))</f>
        <v/>
      </c>
      <c r="DY35" s="123">
        <f>IF(OR(DY$4="",$B35=""),0,SUMIF('DADOS BRUTOS'!$A$3:$A$500,$B35,'DADOS BRUTOS'!AY$3:AY$500)+IF($C35="",0,SUMIF('DADOS BRUTOS'!$A$3:$A$500,$C35,'DADOS BRUTOS'!AY$3:AY$500)))</f>
        <v/>
      </c>
      <c r="DZ35" s="123">
        <f>IF(OR(DZ$4="",$B35=""),0,SUMIF('DADOS BRUTOS'!$A$3:$A$500,$B35,'DADOS BRUTOS'!AZ$3:AZ$500)+IF($C35="",0,SUMIF('DADOS BRUTOS'!$A$3:$A$500,$C35,'DADOS BRUTOS'!AZ$3:AZ$500)))</f>
        <v/>
      </c>
      <c r="EA35" s="123">
        <f>IF(OR(EA$4="",$B35=""),0,SUMIF('DADOS BRUTOS'!$A$3:$A$500,$B35,'DADOS BRUTOS'!BA$3:BA$500)+IF($C35="",0,SUMIF('DADOS BRUTOS'!$A$3:$A$500,$C35,'DADOS BRUTOS'!BA$3:BA$500)))</f>
        <v/>
      </c>
      <c r="EB35" s="123">
        <f>IF(OR(EB$4="",$B35=""),0,SUMIF('DADOS BRUTOS'!$A$3:$A$500,$B35,'DADOS BRUTOS'!BB$3:BB$500)+IF($C35="",0,SUMIF('DADOS BRUTOS'!$A$3:$A$500,$C35,'DADOS BRUTOS'!BB$3:BB$500)))</f>
        <v/>
      </c>
      <c r="EC35" s="123">
        <f>IF(OR(EC$4="",$B35=""),0,SUMIF('DADOS BRUTOS'!$A$3:$A$500,$B35,'DADOS BRUTOS'!BC$3:BC$500)+IF($C35="",0,SUMIF('DADOS BRUTOS'!$A$3:$A$500,$C35,'DADOS BRUTOS'!BC$3:BC$500)))</f>
        <v/>
      </c>
      <c r="ED35" s="123">
        <f>IF(OR(ED$4="",$B35=""),0,SUMIF('DADOS BRUTOS'!$A$3:$A$500,$B35,'DADOS BRUTOS'!BD$3:BD$500)+IF($C35="",0,SUMIF('DADOS BRUTOS'!$A$3:$A$500,$C35,'DADOS BRUTOS'!BD$3:BD$500)))</f>
        <v/>
      </c>
      <c r="EE35" s="123">
        <f>IF(OR(EE$4="",$B35=""),0,SUMIF('DADOS BRUTOS'!$A$3:$A$500,$B35,'DADOS BRUTOS'!BE$3:BE$500)+IF($C35="",0,SUMIF('DADOS BRUTOS'!$A$3:$A$500,$C35,'DADOS BRUTOS'!BE$3:BE$500)))</f>
        <v/>
      </c>
      <c r="EF35" s="123">
        <f>IF(OR(EF$4="",$B35=""),0,SUMIF('DADOS BRUTOS'!$A$3:$A$500,$B35,'DADOS BRUTOS'!BF$3:BF$500)+IF($C35="",0,SUMIF('DADOS BRUTOS'!$A$3:$A$500,$C35,'DADOS BRUTOS'!BF$3:BF$500)))</f>
        <v/>
      </c>
      <c r="EG35" s="123">
        <f>IF(OR(EG$4="",$B35=""),0,SUMIF('DADOS BRUTOS'!$A$3:$A$500,$B35,'DADOS BRUTOS'!BG$3:BG$500)+IF($C35="",0,SUMIF('DADOS BRUTOS'!$A$3:$A$500,$C35,'DADOS BRUTOS'!BG$3:BG$500)))</f>
        <v/>
      </c>
      <c r="EH35" s="123">
        <f>IF(OR(EH$4="",$B35=""),0,SUMIF('DADOS BRUTOS'!$A$3:$A$500,$B35,'DADOS BRUTOS'!BH$3:BH$500)+IF($C35="",0,SUMIF('DADOS BRUTOS'!$A$3:$A$500,$C35,'DADOS BRUTOS'!BH$3:BH$500)))</f>
        <v/>
      </c>
      <c r="EI35" s="123">
        <f>IF(OR(EI$4="",$B35=""),0,SUMIF('DADOS BRUTOS'!$A$3:$A$500,$B35,'DADOS BRUTOS'!BI$3:BI$500)+IF($C35="",0,SUMIF('DADOS BRUTOS'!$A$3:$A$500,$C35,'DADOS BRUTOS'!BI$3:BI$500)))</f>
        <v/>
      </c>
      <c r="EJ35" s="123">
        <f>IF(OR(EJ$4="",$B35=""),0,SUMIF('DADOS BRUTOS'!$A$3:$A$500,$B35,'DADOS BRUTOS'!BJ$3:BJ$500)+IF($C35="",0,SUMIF('DADOS BRUTOS'!$A$3:$A$500,$C35,'DADOS BRUTOS'!BJ$3:BJ$500)))</f>
        <v/>
      </c>
      <c r="EK35" s="123">
        <f>IF(OR(EK$4="",$B35=""),0,SUMIF('DADOS BRUTOS'!$A$3:$A$500,$B35,'DADOS BRUTOS'!BK$3:BK$500)+IF($C35="",0,SUMIF('DADOS BRUTOS'!$A$3:$A$500,$C35,'DADOS BRUTOS'!BK$3:BK$500)))</f>
        <v/>
      </c>
      <c r="EL35" s="123">
        <f>IF(OR(EL$4="",$B35=""),0,SUMIF('DADOS BRUTOS'!$A$3:$A$500,$B35,'DADOS BRUTOS'!BL$3:BL$500)+IF($C35="",0,SUMIF('DADOS BRUTOS'!$A$3:$A$500,$C35,'DADOS BRUTOS'!BL$3:BL$500)))</f>
        <v/>
      </c>
      <c r="EM35" s="123">
        <f>IF(OR(EM$4="",$B35=""),0,SUMIF('DADOS BRUTOS'!$A$3:$A$500,$B35,'DADOS BRUTOS'!BM$3:BM$500)+IF($C35="",0,SUMIF('DADOS BRUTOS'!$A$3:$A$500,$C35,'DADOS BRUTOS'!BM$3:BM$500)))</f>
        <v/>
      </c>
      <c r="EN35" s="123">
        <f>IF(OR(EN$4="",$B35=""),0,SUMIF('DADOS BRUTOS'!$A$3:$A$500,$B35,'DADOS BRUTOS'!BN$3:BN$500)+IF($C35="",0,SUMIF('DADOS BRUTOS'!$A$3:$A$500,$C35,'DADOS BRUTOS'!BN$3:BN$500)))</f>
        <v/>
      </c>
      <c r="EO35" s="123">
        <f>IF(OR(EO$4="",$B35=""),0,SUMIF('DADOS BRUTOS'!$A$3:$A$500,$B35,'DADOS BRUTOS'!BO$3:BO$500)+IF($C35="",0,SUMIF('DADOS BRUTOS'!$A$3:$A$500,$C35,'DADOS BRUTOS'!BO$3:BO$500)))</f>
        <v/>
      </c>
      <c r="EP35" s="123">
        <f>IF(OR(EP$4="",$B35=""),0,SUMIF('DADOS BRUTOS'!$A$3:$A$500,$B35,'DADOS BRUTOS'!BP$3:BP$500)+IF($C35="",0,SUMIF('DADOS BRUTOS'!$A$3:$A$500,$C35,'DADOS BRUTOS'!BP$3:BP$500)))</f>
        <v/>
      </c>
      <c r="EQ35" s="123">
        <f>IF(OR(EQ$4="",$B35=""),0,SUMIF('DADOS BRUTOS'!$A$3:$A$500,$B35,'DADOS BRUTOS'!BQ$3:BQ$500)+IF($C35="",0,SUMIF('DADOS BRUTOS'!$A$3:$A$500,$C35,'DADOS BRUTOS'!BQ$3:BQ$500)))</f>
        <v/>
      </c>
      <c r="ER35" s="123">
        <f>IF(OR(ER$4="",$B35=""),0,SUMIF('DADOS BRUTOS'!$A$3:$A$500,$B35,'DADOS BRUTOS'!BR$3:BR$500)+IF($C35="",0,SUMIF('DADOS BRUTOS'!$A$3:$A$500,$C35,'DADOS BRUTOS'!BR$3:BR$500)))</f>
        <v/>
      </c>
      <c r="ES35" s="123">
        <f>IF(OR(ES$4="",$B35=""),0,SUMIF('DADOS BRUTOS'!$A$3:$A$500,$B35,'DADOS BRUTOS'!BS$3:BS$500)+IF($C35="",0,SUMIF('DADOS BRUTOS'!$A$3:$A$500,$C35,'DADOS BRUTOS'!BS$3:BS$500)))</f>
        <v/>
      </c>
      <c r="ET35" s="123">
        <f>IF(OR(ET$4="",$B35=""),0,SUMIF('DADOS BRUTOS'!$A$3:$A$500,$B35,'DADOS BRUTOS'!BT$3:BT$500)+IF($C35="",0,SUMIF('DADOS BRUTOS'!$A$3:$A$500,$C35,'DADOS BRUTOS'!BT$3:BT$500)))</f>
        <v/>
      </c>
      <c r="EU35" s="123">
        <f>IF(OR(EU$4="",$B35=""),0,SUMIF('DADOS BRUTOS'!$A$3:$A$500,$B35,'DADOS BRUTOS'!BU$3:BU$500)+IF($C35="",0,SUMIF('DADOS BRUTOS'!$A$3:$A$500,$C35,'DADOS BRUTOS'!BU$3:BU$500)))</f>
        <v/>
      </c>
      <c r="EV35" s="123">
        <f>IF(OR(EV$4="",$B35=""),0,SUMIF('DADOS BRUTOS'!$A$3:$A$500,$B35,'DADOS BRUTOS'!BV$3:BV$500)+IF($C35="",0,SUMIF('DADOS BRUTOS'!$A$3:$A$500,$C35,'DADOS BRUTOS'!BV$3:BV$500)))</f>
        <v/>
      </c>
      <c r="EW35" s="123">
        <f>IF(OR(EW$4="",$B35=""),0,SUMIF('DADOS BRUTOS'!$A$3:$A$500,$B35,'DADOS BRUTOS'!BW$3:BW$500)+IF($C35="",0,SUMIF('DADOS BRUTOS'!$A$3:$A$500,$C35,'DADOS BRUTOS'!BW$3:BW$500)))</f>
        <v/>
      </c>
      <c r="EX35" s="123">
        <f>IF(OR(EX$4="",$B35=""),0,SUMIF('DADOS BRUTOS'!$A$3:$A$500,$B35,'DADOS BRUTOS'!BX$3:BX$500)+IF($C35="",0,SUMIF('DADOS BRUTOS'!$A$3:$A$500,$C35,'DADOS BRUTOS'!BX$3:BX$500)))</f>
        <v/>
      </c>
      <c r="EY35" s="123">
        <f>IF(OR(EY$4="",$B35=""),0,SUMIF('DADOS BRUTOS'!$A$3:$A$500,$B35,'DADOS BRUTOS'!BY$3:BY$500)+IF($C35="",0,SUMIF('DADOS BRUTOS'!$A$3:$A$500,$C35,'DADOS BRUTOS'!BY$3:BY$500)))</f>
        <v/>
      </c>
      <c r="EZ35" s="123">
        <f>IF(OR(EZ$4="",$B35=""),0,SUMIF('DADOS BRUTOS'!$A$3:$A$500,$B35,'DADOS BRUTOS'!BZ$3:BZ$500)+IF($C35="",0,SUMIF('DADOS BRUTOS'!$A$3:$A$500,$C35,'DADOS BRUTOS'!BZ$3:BZ$500)))</f>
        <v/>
      </c>
      <c r="FA35" s="123">
        <f>IF(OR(FA$4="",$B35=""),0,SUMIF('DADOS BRUTOS'!$A$3:$A$500,$B35,'DADOS BRUTOS'!CA$3:CA$500)+IF($C35="",0,SUMIF('DADOS BRUTOS'!$A$3:$A$500,$C35,'DADOS BRUTOS'!CA$3:CA$500)))</f>
        <v/>
      </c>
      <c r="FB35" s="123">
        <f>IF(OR(FB$4="",$B35=""),0,SUMIF('DADOS BRUTOS'!$A$3:$A$500,$B35,'DADOS BRUTOS'!CB$3:CB$500)+IF($C35="",0,SUMIF('DADOS BRUTOS'!$A$3:$A$500,$C35,'DADOS BRUTOS'!CB$3:CB$500)))</f>
        <v/>
      </c>
      <c r="FC35" s="123">
        <f>IF(OR(FC$4="",$B35=""),0,SUMIF('DADOS BRUTOS'!$A$3:$A$500,$B35,'DADOS BRUTOS'!CC$3:CC$500)+IF($C35="",0,SUMIF('DADOS BRUTOS'!$A$3:$A$500,$C35,'DADOS BRUTOS'!CC$3:CC$500)))</f>
        <v/>
      </c>
      <c r="FD35" s="123">
        <f>IF(OR(FD$4="",$B35=""),0,SUMIF('DADOS BRUTOS'!$A$3:$A$500,$B35,'DADOS BRUTOS'!CD$3:CD$500)+IF($C35="",0,SUMIF('DADOS BRUTOS'!$A$3:$A$500,$C35,'DADOS BRUTOS'!CD$3:CD$500)))</f>
        <v/>
      </c>
      <c r="FE35" s="123">
        <f>IF(OR(FE$4="",$B35=""),0,SUMIF('DADOS BRUTOS'!$A$3:$A$500,$B35,'DADOS BRUTOS'!CE$3:CE$500)+IF($C35="",0,SUMIF('DADOS BRUTOS'!$A$3:$A$500,$C35,'DADOS BRUTOS'!CE$3:CE$500)))</f>
        <v/>
      </c>
      <c r="FF35" s="123">
        <f>IF(OR(FF$4="",$B35=""),0,SUMIF('DADOS BRUTOS'!$A$3:$A$500,$B35,'DADOS BRUTOS'!CF$3:CF$500)+IF($C35="",0,SUMIF('DADOS BRUTOS'!$A$3:$A$500,$C35,'DADOS BRUTOS'!CF$3:CF$500)))</f>
        <v/>
      </c>
      <c r="FG35" s="123">
        <f>IF(OR(FG$4="",$B35=""),0,SUMIF('DADOS BRUTOS'!$A$3:$A$500,$B35,'DADOS BRUTOS'!CG$3:CG$500)+IF($C35="",0,SUMIF('DADOS BRUTOS'!$A$3:$A$500,$C35,'DADOS BRUTOS'!CG$3:CG$500)))</f>
        <v/>
      </c>
      <c r="FH35" s="123">
        <f>IF(OR(FH$4="",$B35=""),0,SUMIF('DADOS BRUTOS'!$A$3:$A$500,$B35,'DADOS BRUTOS'!CH$3:CH$500)+IF($C35="",0,SUMIF('DADOS BRUTOS'!$A$3:$A$500,$C35,'DADOS BRUTOS'!CH$3:CH$500)))</f>
        <v/>
      </c>
      <c r="FI35" s="123">
        <f>IF(OR(FI$4="",$B35=""),0,SUMIF('DADOS BRUTOS'!$A$3:$A$500,$B35,'DADOS BRUTOS'!CI$3:CI$500)+IF($C35="",0,SUMIF('DADOS BRUTOS'!$A$3:$A$500,$C35,'DADOS BRUTOS'!CI$3:CI$500)))</f>
        <v/>
      </c>
      <c r="FJ35" s="123">
        <f>IF(OR(FJ$4="",$B35=""),0,SUMIF('DADOS BRUTOS'!$A$3:$A$500,$B35,'DADOS BRUTOS'!CJ$3:CJ$500)+IF($C35="",0,SUMIF('DADOS BRUTOS'!$A$3:$A$500,$C35,'DADOS BRUTOS'!CJ$3:CJ$500)))</f>
        <v/>
      </c>
      <c r="FK35" s="123">
        <f>IF(OR(FK$4="",$B35=""),0,SUMIF('DADOS BRUTOS'!$A$3:$A$500,$B35,'DADOS BRUTOS'!CK$3:CK$500)+IF($C35="",0,SUMIF('DADOS BRUTOS'!$A$3:$A$500,$C35,'DADOS BRUTOS'!CK$3:CK$500)))</f>
        <v/>
      </c>
      <c r="FL35" s="123">
        <f>IF(OR(FL$4="",$B35=""),0,SUMIF('DADOS BRUTOS'!$A$3:$A$500,$B35,'DADOS BRUTOS'!CL$3:CL$500)+IF($C35="",0,SUMIF('DADOS BRUTOS'!$A$3:$A$500,$C35,'DADOS BRUTOS'!CL$3:CL$500)))</f>
        <v/>
      </c>
      <c r="FM35" s="123">
        <f>IF(OR(FM$4="",$B35=""),0,SUMIF('DADOS BRUTOS'!$A$3:$A$500,$B35,'DADOS BRUTOS'!CM$3:CM$500)+IF($C35="",0,SUMIF('DADOS BRUTOS'!$A$3:$A$500,$C35,'DADOS BRUTOS'!CM$3:CM$500)))</f>
        <v/>
      </c>
      <c r="FN35" s="123">
        <f>IF(OR(FN$4="",$B35=""),0,SUMIF('DADOS BRUTOS'!$A$3:$A$500,$B35,'DADOS BRUTOS'!CN$3:CN$500)+IF($C35="",0,SUMIF('DADOS BRUTOS'!$A$3:$A$500,$C35,'DADOS BRUTOS'!CN$3:CN$500)))</f>
        <v/>
      </c>
      <c r="FO35" s="123">
        <f>IF(OR(FO$4="",$B35=""),0,SUMIF('DADOS BRUTOS'!$A$3:$A$500,$B35,'DADOS BRUTOS'!CO$3:CO$500)+IF($C35="",0,SUMIF('DADOS BRUTOS'!$A$3:$A$500,$C35,'DADOS BRUTOS'!CO$3:CO$500)))</f>
        <v/>
      </c>
      <c r="FP35" s="123">
        <f>IF(OR(FP$4="",$B35=""),0,SUMIF('DADOS BRUTOS'!$A$3:$A$500,$B35,'DADOS BRUTOS'!CP$3:CP$500)+IF($C35="",0,SUMIF('DADOS BRUTOS'!$A$3:$A$500,$C35,'DADOS BRUTOS'!CP$3:CP$500)))</f>
        <v/>
      </c>
      <c r="FQ35" s="123">
        <f>IF(OR(FQ$4="",$B35=""),0,SUMIF('DADOS BRUTOS'!$A$3:$A$500,$B35,'DADOS BRUTOS'!CQ$3:CQ$500)+IF($C35="",0,SUMIF('DADOS BRUTOS'!$A$3:$A$500,$C35,'DADOS BRUTOS'!CQ$3:CQ$500)))</f>
        <v/>
      </c>
      <c r="FR35" s="123">
        <f>IF(OR(FR$4="",$B35=""),0,SUMIF('DADOS BRUTOS'!$A$3:$A$500,$B35,'DADOS BRUTOS'!CR$3:CR$500)+IF($C35="",0,SUMIF('DADOS BRUTOS'!$A$3:$A$500,$C35,'DADOS BRUTOS'!CR$3:CR$500)))</f>
        <v/>
      </c>
      <c r="FS35" s="123">
        <f>IF(OR(FS$4="",$B35=""),0,SUMIF('DADOS BRUTOS'!$A$3:$A$500,$B35,'DADOS BRUTOS'!CS$3:CS$500)+IF($C35="",0,SUMIF('DADOS BRUTOS'!$A$3:$A$500,$C35,'DADOS BRUTOS'!CS$3:CS$500)))</f>
        <v/>
      </c>
      <c r="FT35" s="123">
        <f>IF(OR(FT$4="",$B35=""),0,SUMIF('DADOS BRUTOS'!$A$3:$A$500,$B35,'DADOS BRUTOS'!CT$3:CT$500)+IF($C35="",0,SUMIF('DADOS BRUTOS'!$A$3:$A$500,$C35,'DADOS BRUTOS'!CT$3:CT$500)))</f>
        <v/>
      </c>
      <c r="FU35" s="123">
        <f>IF(OR(FU$4="",$B35=""),0,SUMIF('DADOS BRUTOS'!$A$3:$A$500,$B35,'DADOS BRUTOS'!CU$3:CU$500)+IF($C35="",0,SUMIF('DADOS BRUTOS'!$A$3:$A$500,$C35,'DADOS BRUTOS'!CU$3:CU$500)))</f>
        <v/>
      </c>
      <c r="FV35" s="123">
        <f>IF(OR(FV$4="",$B35=""),0,SUMIF('DADOS BRUTOS'!$A$3:$A$500,$B35,'DADOS BRUTOS'!CV$3:CV$500)+IF($C35="",0,SUMIF('DADOS BRUTOS'!$A$3:$A$500,$C35,'DADOS BRUTOS'!CV$3:CV$500)))</f>
        <v/>
      </c>
      <c r="FW35" s="123">
        <f>IF(OR(FW$4="",$B35=""),0,SUMIF('DADOS BRUTOS'!$A$3:$A$500,$B35,'DADOS BRUTOS'!CW$3:CW$500)+IF($C35="",0,SUMIF('DADOS BRUTOS'!$A$3:$A$500,$C35,'DADOS BRUTOS'!CW$3:CW$500)))</f>
        <v/>
      </c>
      <c r="FX35" s="123">
        <f>IF(OR(FX$4="",$B35=""),0,SUMIF('DADOS BRUTOS'!$A$3:$A$500,$B35,'DADOS BRUTOS'!CX$3:CX$500)+IF($C35="",0,SUMIF('DADOS BRUTOS'!$A$3:$A$500,$C35,'DADOS BRUTOS'!CX$3:CX$500)))</f>
        <v/>
      </c>
      <c r="FY35" s="123">
        <f>IF(OR(FY$4="",$B35=""),0,SUMIF('DADOS BRUTOS'!$A$3:$A$500,$B35,'DADOS BRUTOS'!CY$3:CY$500)+IF($C35="",0,SUMIF('DADOS BRUTOS'!$A$3:$A$500,$C35,'DADOS BRUTOS'!CY$3:CY$500)))</f>
        <v/>
      </c>
      <c r="FZ35" s="123">
        <f>IF(OR(FZ$4="",$B35=""),0,SUMIF('DADOS BRUTOS'!$A$3:$A$500,$B35,'DADOS BRUTOS'!CZ$3:CZ$500)+IF($C35="",0,SUMIF('DADOS BRUTOS'!$A$3:$A$500,$C35,'DADOS BRUTOS'!CZ$3:CZ$500)))</f>
        <v/>
      </c>
      <c r="GA35" s="123">
        <f>IF(OR(GA$4="",$B35=""),0,SUMIF('DADOS BRUTOS'!$A$3:$A$500,$B35,'DADOS BRUTOS'!DA$3:DA$500)+IF($C35="",0,SUMIF('DADOS BRUTOS'!$A$3:$A$500,$C35,'DADOS BRUTOS'!DA$3:DA$500)))</f>
        <v/>
      </c>
      <c r="GB35" s="123">
        <f>IF(OR(GB$4="",$B35=""),0,SUMIF('DADOS BRUTOS'!$A$3:$A$500,$B35,'DADOS BRUTOS'!DB$3:DB$500)+IF($C35="",0,SUMIF('DADOS BRUTOS'!$A$3:$A$500,$C35,'DADOS BRUTOS'!DB$3:DB$500)))</f>
        <v/>
      </c>
      <c r="GC35" s="123">
        <f>IF(OR(GC$4="",$B35=""),0,SUMIF('DADOS BRUTOS'!$A$3:$A$500,$B35,'DADOS BRUTOS'!DC$3:DC$500)+IF($C35="",0,SUMIF('DADOS BRUTOS'!$A$3:$A$500,$C35,'DADOS BRUTOS'!DC$3:DC$500)))</f>
        <v/>
      </c>
      <c r="GD35" s="123">
        <f>IF(OR(GD$4="",$B35=""),0,SUMIF('DADOS BRUTOS'!$A$3:$A$500,$B35,'DADOS BRUTOS'!DD$3:DD$500)+IF($C35="",0,SUMIF('DADOS BRUTOS'!$A$3:$A$500,$C35,'DADOS BRUTOS'!DD$3:DD$500)))</f>
        <v/>
      </c>
      <c r="GE35" s="123">
        <f>IF(OR(GE$4="",$B35=""),0,SUMIF('DADOS BRUTOS'!$A$3:$A$500,$B35,'DADOS BRUTOS'!DE$3:DE$500)+IF($C35="",0,SUMIF('DADOS BRUTOS'!$A$3:$A$500,$C35,'DADOS BRUTOS'!DE$3:DE$500)))</f>
        <v/>
      </c>
      <c r="GF35" s="123">
        <f>IF(OR(GF$4="",$B35=""),0,SUMIF('DADOS BRUTOS'!$A$3:$A$500,$B35,'DADOS BRUTOS'!DF$3:DF$500)+IF($C35="",0,SUMIF('DADOS BRUTOS'!$A$3:$A$500,$C35,'DADOS BRUTOS'!DF$3:DF$500)))</f>
        <v/>
      </c>
      <c r="GG35" s="123">
        <f>IF(OR(GG$4="",$B35=""),0,SUMIF('DADOS BRUTOS'!$A$3:$A$500,$B35,'DADOS BRUTOS'!DG$3:DG$500)+IF($C35="",0,SUMIF('DADOS BRUTOS'!$A$3:$A$500,$C35,'DADOS BRUTOS'!DG$3:DG$500)))</f>
        <v/>
      </c>
      <c r="GH35" s="123">
        <f>IF(OR(GH$4="",$B35=""),0,SUMIF('DADOS BRUTOS'!$A$3:$A$500,$B35,'DADOS BRUTOS'!DH$3:DH$500)+IF($C35="",0,SUMIF('DADOS BRUTOS'!$A$3:$A$500,$C35,'DADOS BRUTOS'!DH$3:DH$500)))</f>
        <v/>
      </c>
      <c r="GI35" s="123">
        <f>IF(OR(GI$4="",$B35=""),0,SUMIF('DADOS BRUTOS'!$A$3:$A$500,$B35,'DADOS BRUTOS'!DI$3:DI$500)+IF($C35="",0,SUMIF('DADOS BRUTOS'!$A$3:$A$500,$C35,'DADOS BRUTOS'!DI$3:DI$500)))</f>
        <v/>
      </c>
      <c r="GJ35" s="123">
        <f>IF(OR(GJ$4="",$B35=""),0,SUMIF('DADOS BRUTOS'!$A$3:$A$500,$B35,'DADOS BRUTOS'!DJ$3:DJ$500)+IF($C35="",0,SUMIF('DADOS BRUTOS'!$A$3:$A$500,$C35,'DADOS BRUTOS'!DJ$3:DJ$500)))</f>
        <v/>
      </c>
      <c r="GK35" s="123">
        <f>IF(OR(GK$4="",$B35=""),0,SUMIF('DADOS BRUTOS'!$A$3:$A$500,$B35,'DADOS BRUTOS'!DK$3:DK$500)+IF($C35="",0,SUMIF('DADOS BRUTOS'!$A$3:$A$500,$C35,'DADOS BRUTOS'!DK$3:DK$500)))</f>
        <v/>
      </c>
      <c r="GL35" s="123">
        <f>IF(OR(GL$4="",$B35=""),0,SUMIF('DADOS BRUTOS'!$A$3:$A$500,$B35,'DADOS BRUTOS'!DL$3:DL$500)+IF($C35="",0,SUMIF('DADOS BRUTOS'!$A$3:$A$500,$C35,'DADOS BRUTOS'!DL$3:DL$500)))</f>
        <v/>
      </c>
      <c r="GM35" s="123">
        <f>IF(OR(GM$4="",$B35=""),0,SUMIF('DADOS BRUTOS'!$A$3:$A$500,$B35,'DADOS BRUTOS'!DM$3:DM$500)+IF($C35="",0,SUMIF('DADOS BRUTOS'!$A$3:$A$500,$C35,'DADOS BRUTOS'!DM$3:DM$500)))</f>
        <v/>
      </c>
      <c r="GN35" s="123">
        <f>IF(OR(GN$4="",$B35=""),0,SUMIF('DADOS BRUTOS'!$A$3:$A$500,$B35,'DADOS BRUTOS'!DN$3:DN$500)+IF($C35="",0,SUMIF('DADOS BRUTOS'!$A$3:$A$500,$C35,'DADOS BRUTOS'!DN$3:DN$500)))</f>
        <v/>
      </c>
      <c r="GO35" s="123">
        <f>IF(OR(GO$4="",$B35=""),0,SUMIF('DADOS BRUTOS'!$A$3:$A$500,$B35,'DADOS BRUTOS'!DO$3:DO$500)+IF($C35="",0,SUMIF('DADOS BRUTOS'!$A$3:$A$500,$C35,'DADOS BRUTOS'!DO$3:DO$500)))</f>
        <v/>
      </c>
      <c r="GP35" s="123">
        <f>IF(OR(GP$4="",$B35=""),0,SUMIF('DADOS BRUTOS'!$A$3:$A$500,$B35,'DADOS BRUTOS'!DP$3:DP$500)+IF($C35="",0,SUMIF('DADOS BRUTOS'!$A$3:$A$500,$C35,'DADOS BRUTOS'!DP$3:DP$500)))</f>
        <v/>
      </c>
      <c r="GQ35" s="123">
        <f>IF(OR(GQ$4="",$B35=""),0,SUMIF('DADOS BRUTOS'!$A$3:$A$500,$B35,'DADOS BRUTOS'!DQ$3:DQ$500)+IF($C35="",0,SUMIF('DADOS BRUTOS'!$A$3:$A$500,$C35,'DADOS BRUTOS'!DQ$3:DQ$500)))</f>
        <v/>
      </c>
      <c r="GR35" s="123">
        <f>IF(OR(GR$4="",$B35=""),0,SUMIF('DADOS BRUTOS'!$A$3:$A$500,$B35,'DADOS BRUTOS'!DR$3:DR$500)+IF($C35="",0,SUMIF('DADOS BRUTOS'!$A$3:$A$500,$C35,'DADOS BRUTOS'!DR$3:DR$500)))</f>
        <v/>
      </c>
      <c r="GS35" s="123">
        <f>IF(OR(GS$4="",$B35=""),0,SUMIF('DADOS BRUTOS'!$A$3:$A$500,$B35,'DADOS BRUTOS'!DS$3:DS$500)+IF($C35="",0,SUMIF('DADOS BRUTOS'!$A$3:$A$500,$C35,'DADOS BRUTOS'!DS$3:DS$500)))</f>
        <v/>
      </c>
      <c r="GT35" s="123">
        <f>IF(OR(GT$4="",$B35=""),0,SUMIF('DADOS BRUTOS'!$A$3:$A$500,$B35,'DADOS BRUTOS'!DT$3:DT$500)+IF($C35="",0,SUMIF('DADOS BRUTOS'!$A$3:$A$500,$C35,'DADOS BRUTOS'!DT$3:DT$500)))</f>
        <v/>
      </c>
      <c r="GU35" s="123">
        <f>IF(OR(GU$4="",$B35=""),0,SUMIF('DADOS BRUTOS'!$A$3:$A$500,$B35,'DADOS BRUTOS'!DU$3:DU$500)+IF($C35="",0,SUMIF('DADOS BRUTOS'!$A$3:$A$500,$C35,'DADOS BRUTOS'!DU$3:DU$500)))</f>
        <v/>
      </c>
      <c r="GV35" s="123">
        <f>IF(OR(GV$4="",$B35=""),0,SUMIF('DADOS BRUTOS'!$A$3:$A$500,$B35,'DADOS BRUTOS'!DV$3:DV$500)+IF($C35="",0,SUMIF('DADOS BRUTOS'!$A$3:$A$500,$C35,'DADOS BRUTOS'!DV$3:DV$500)))</f>
        <v/>
      </c>
      <c r="GW35" s="123">
        <f>IF(OR(GW$4="",$B35=""),0,SUMIF('DADOS BRUTOS'!$A$3:$A$500,$B35,'DADOS BRUTOS'!DW$3:DW$500)+IF($C35="",0,SUMIF('DADOS BRUTOS'!$A$3:$A$500,$C35,'DADOS BRUTOS'!DW$3:DW$500)))</f>
        <v/>
      </c>
      <c r="GX35" s="123">
        <f>IF(OR(GX$4="",$B35=""),0,SUMIF('DADOS BRUTOS'!$A$3:$A$500,$B35,'DADOS BRUTOS'!DX$3:DX$500)+IF($C35="",0,SUMIF('DADOS BRUTOS'!$A$3:$A$500,$C35,'DADOS BRUTOS'!DX$3:DX$500)))</f>
        <v/>
      </c>
      <c r="GY35" s="123">
        <f>IF(OR(GY$4="",$B35=""),0,SUMIF('DADOS BRUTOS'!$A$3:$A$500,$B35,'DADOS BRUTOS'!DY$3:DY$500)+IF($C35="",0,SUMIF('DADOS BRUTOS'!$A$3:$A$500,$C35,'DADOS BRUTOS'!DY$3:DY$500)))</f>
        <v/>
      </c>
      <c r="GZ35" s="123">
        <f>IF(OR(GZ$4="",$B35=""),0,SUMIF('DADOS BRUTOS'!$A$3:$A$500,$B35,'DADOS BRUTOS'!DZ$3:DZ$500)+IF($C35="",0,SUMIF('DADOS BRUTOS'!$A$3:$A$500,$C35,'DADOS BRUTOS'!DZ$3:DZ$500)))</f>
        <v/>
      </c>
      <c r="HA35" s="123">
        <f>IF(OR(HA$4="",$B35=""),0,SUMIF('DADOS BRUTOS'!$A$3:$A$500,$B35,'DADOS BRUTOS'!EA$3:EA$500)+IF($C35="",0,SUMIF('DADOS BRUTOS'!$A$3:$A$500,$C35,'DADOS BRUTOS'!EA$3:EA$500)))</f>
        <v/>
      </c>
      <c r="HB35" s="123">
        <f>IF(OR(HB$4="",$B35=""),0,SUMIF('DADOS BRUTOS'!$A$3:$A$500,$B35,'DADOS BRUTOS'!EB$3:EB$500)+IF($C35="",0,SUMIF('DADOS BRUTOS'!$A$3:$A$500,$C35,'DADOS BRUTOS'!EB$3:EB$500)))</f>
        <v/>
      </c>
      <c r="HC35" s="123">
        <f>IF(OR(HC$4="",$B35=""),0,SUMIF('DADOS BRUTOS'!$A$3:$A$500,$B35,'DADOS BRUTOS'!EC$3:EC$500)+IF($C35="",0,SUMIF('DADOS BRUTOS'!$A$3:$A$500,$C35,'DADOS BRUTOS'!EC$3:EC$500)))</f>
        <v/>
      </c>
      <c r="HD35" s="123">
        <f>IF(OR(HD$4="",$B35=""),0,SUMIF('DADOS BRUTOS'!$A$3:$A$500,$B35,'DADOS BRUTOS'!ED$3:ED$500)+IF($C35="",0,SUMIF('DADOS BRUTOS'!$A$3:$A$500,$C35,'DADOS BRUTOS'!ED$3:ED$500)))</f>
        <v/>
      </c>
      <c r="HE35" s="123">
        <f>IF(OR(HE$4="",$B35=""),0,SUMIF('DADOS BRUTOS'!$A$3:$A$500,$B35,'DADOS BRUTOS'!EE$3:EE$500)+IF($C35="",0,SUMIF('DADOS BRUTOS'!$A$3:$A$500,$C35,'DADOS BRUTOS'!EE$3:EE$500)))</f>
        <v/>
      </c>
      <c r="HF35" s="123">
        <f>IF(OR(HF$4="",$B35=""),0,SUMIF('DADOS BRUTOS'!$A$3:$A$500,$B35,'DADOS BRUTOS'!EF$3:EF$500)+IF($C35="",0,SUMIF('DADOS BRUTOS'!$A$3:$A$500,$C35,'DADOS BRUTOS'!EF$3:EF$500)))</f>
        <v/>
      </c>
      <c r="HG35" s="123">
        <f>IF(OR(HG$4="",$B35=""),0,SUMIF('DADOS BRUTOS'!$A$3:$A$500,$B35,'DADOS BRUTOS'!EG$3:EG$500)+IF($C35="",0,SUMIF('DADOS BRUTOS'!$A$3:$A$500,$C35,'DADOS BRUTOS'!EG$3:EG$500)))</f>
        <v/>
      </c>
      <c r="HH35" s="123">
        <f>IF(OR(HH$4="",$B35=""),0,SUMIF('DADOS BRUTOS'!$A$3:$A$500,$B35,'DADOS BRUTOS'!EH$3:EH$500)+IF($C35="",0,SUMIF('DADOS BRUTOS'!$A$3:$A$500,$C35,'DADOS BRUTOS'!EH$3:EH$500)))</f>
        <v/>
      </c>
      <c r="HI35" s="123">
        <f>IF(OR(HI$4="",$B35=""),0,SUMIF('DADOS BRUTOS'!$A$3:$A$500,$B35,'DADOS BRUTOS'!EI$3:EI$500)+IF($C35="",0,SUMIF('DADOS BRUTOS'!$A$3:$A$500,$C35,'DADOS BRUTOS'!EI$3:EI$500)))</f>
        <v/>
      </c>
      <c r="HJ35" s="123">
        <f>IF(OR(HJ$4="",$B35=""),0,SUMIF('DADOS BRUTOS'!$A$3:$A$500,$B35,'DADOS BRUTOS'!EJ$3:EJ$500)+IF($C35="",0,SUMIF('DADOS BRUTOS'!$A$3:$A$500,$C35,'DADOS BRUTOS'!EJ$3:EJ$500)))</f>
        <v/>
      </c>
      <c r="HK35" s="123">
        <f>IF(OR(HK$4="",$B35=""),0,SUMIF('DADOS BRUTOS'!$A$3:$A$500,$B35,'DADOS BRUTOS'!EK$3:EK$500)+IF($C35="",0,SUMIF('DADOS BRUTOS'!$A$3:$A$500,$C35,'DADOS BRUTOS'!EK$3:EK$500)))</f>
        <v/>
      </c>
      <c r="HL35" s="123">
        <f>IF(OR(HL$4="",$B35=""),0,SUMIF('DADOS BRUTOS'!$A$3:$A$500,$B35,'DADOS BRUTOS'!EL$3:EL$500)+IF($C35="",0,SUMIF('DADOS BRUTOS'!$A$3:$A$500,$C35,'DADOS BRUTOS'!EL$3:EL$500)))</f>
        <v/>
      </c>
      <c r="HM35" s="123">
        <f>IF(OR(HM$4="",$B35=""),0,SUMIF('DADOS BRUTOS'!$A$3:$A$500,$B35,'DADOS BRUTOS'!EM$3:EM$500)+IF($C35="",0,SUMIF('DADOS BRUTOS'!$A$3:$A$500,$C35,'DADOS BRUTOS'!EM$3:EM$500)))</f>
        <v/>
      </c>
      <c r="HN35" s="123">
        <f>IF(OR(HN$4="",$B35=""),0,SUMIF('DADOS BRUTOS'!$A$3:$A$500,$B35,'DADOS BRUTOS'!EN$3:EN$500)+IF($C35="",0,SUMIF('DADOS BRUTOS'!$A$3:$A$500,$C35,'DADOS BRUTOS'!EN$3:EN$500)))</f>
        <v/>
      </c>
      <c r="HO35" s="123">
        <f>IF(OR(HO$4="",$B35=""),0,SUMIF('DADOS BRUTOS'!$A$3:$A$500,$B35,'DADOS BRUTOS'!EO$3:EO$500)+IF($C35="",0,SUMIF('DADOS BRUTOS'!$A$3:$A$500,$C35,'DADOS BRUTOS'!EO$3:EO$500)))</f>
        <v/>
      </c>
      <c r="HP35" s="123">
        <f>IF(OR(HP$4="",$B35=""),0,SUMIF('DADOS BRUTOS'!$A$3:$A$500,$B35,'DADOS BRUTOS'!EP$3:EP$500)+IF($C35="",0,SUMIF('DADOS BRUTOS'!$A$3:$A$500,$C35,'DADOS BRUTOS'!EP$3:EP$500)))</f>
        <v/>
      </c>
      <c r="HQ35" s="123">
        <f>IF(OR(HQ$4="",$B35=""),0,SUMIF('DADOS BRUTOS'!$A$3:$A$500,$B35,'DADOS BRUTOS'!EQ$3:EQ$500)+IF($C35="",0,SUMIF('DADOS BRUTOS'!$A$3:$A$500,$C35,'DADOS BRUTOS'!EQ$3:EQ$500)))</f>
        <v/>
      </c>
      <c r="HR35" s="123">
        <f>IF(OR(HR$4="",$B35=""),0,SUMIF('DADOS BRUTOS'!$A$3:$A$500,$B35,'DADOS BRUTOS'!ER$3:ER$500)+IF($C35="",0,SUMIF('DADOS BRUTOS'!$A$3:$A$500,$C35,'DADOS BRUTOS'!ER$3:ER$500)))</f>
        <v/>
      </c>
      <c r="HS35" s="123">
        <f>IF(OR(HS$4="",$B35=""),0,SUMIF('DADOS BRUTOS'!$A$3:$A$500,$B35,'DADOS BRUTOS'!ES$3:ES$500)+IF($C35="",0,SUMIF('DADOS BRUTOS'!$A$3:$A$500,$C35,'DADOS BRUTOS'!ES$3:ES$500)))</f>
        <v/>
      </c>
      <c r="HT35" s="123">
        <f>IF(OR(HT$4="",$B35=""),0,SUMIF('DADOS BRUTOS'!$A$3:$A$500,$B35,'DADOS BRUTOS'!ET$3:ET$500)+IF($C35="",0,SUMIF('DADOS BRUTOS'!$A$3:$A$500,$C35,'DADOS BRUTOS'!ET$3:ET$500)))</f>
        <v/>
      </c>
      <c r="HU35" s="123">
        <f>IF(OR(HU$4="",$B35=""),0,SUMIF('DADOS BRUTOS'!$A$3:$A$500,$B35,'DADOS BRUTOS'!EU$3:EU$500)+IF($C35="",0,SUMIF('DADOS BRUTOS'!$A$3:$A$500,$C35,'DADOS BRUTOS'!EU$3:EU$500)))</f>
        <v/>
      </c>
      <c r="HV35" s="123">
        <f>IF(OR(HV$4="",$B35=""),0,SUMIF('DADOS BRUTOS'!$A$3:$A$500,$B35,'DADOS BRUTOS'!EV$3:EV$500)+IF($C35="",0,SUMIF('DADOS BRUTOS'!$A$3:$A$500,$C35,'DADOS BRUTOS'!EV$3:EV$500)))</f>
        <v/>
      </c>
      <c r="HW35" s="123">
        <f>IF(OR(HW$4="",$B35=""),0,SUMIF('DADOS BRUTOS'!$A$3:$A$500,$B35,'DADOS BRUTOS'!EW$3:EW$500)+IF($C35="",0,SUMIF('DADOS BRUTOS'!$A$3:$A$500,$C35,'DADOS BRUTOS'!EW$3:EW$500)))</f>
        <v/>
      </c>
      <c r="HX35" s="123">
        <f>IF(OR(HX$4="",$B35=""),0,SUMIF('DADOS BRUTOS'!$A$3:$A$500,$B35,'DADOS BRUTOS'!EX$3:EX$500)+IF($C35="",0,SUMIF('DADOS BRUTOS'!$A$3:$A$500,$C35,'DADOS BRUTOS'!EX$3:EX$500)))</f>
        <v/>
      </c>
      <c r="HY35" s="123">
        <f>IF(OR(HY$4="",$B35=""),0,SUMIF('DADOS BRUTOS'!$A$3:$A$500,$B35,'DADOS BRUTOS'!EY$3:EY$500)+IF($C35="",0,SUMIF('DADOS BRUTOS'!$A$3:$A$500,$C35,'DADOS BRUTOS'!EY$3:EY$500)))</f>
        <v/>
      </c>
      <c r="HZ35" s="123">
        <f>IF(OR(HZ$4="",$B35=""),0,SUMIF('DADOS BRUTOS'!$A$3:$A$500,$B35,'DADOS BRUTOS'!EZ$3:EZ$500)+IF($C35="",0,SUMIF('DADOS BRUTOS'!$A$3:$A$500,$C35,'DADOS BRUTOS'!EZ$3:EZ$500)))</f>
        <v/>
      </c>
      <c r="IA35" s="123">
        <f>IF(OR(IA$4="",$B35=""),0,SUMIF('DADOS BRUTOS'!$A$3:$A$500,$B35,'DADOS BRUTOS'!FA$3:FA$500)+IF($C35="",0,SUMIF('DADOS BRUTOS'!$A$3:$A$500,$C35,'DADOS BRUTOS'!FA$3:FA$500)))</f>
        <v/>
      </c>
      <c r="IB35" s="123">
        <f>IF(OR(IB$4="",$B35=""),0,SUMIF('DADOS BRUTOS'!$A$3:$A$500,$B35,'DADOS BRUTOS'!FB$3:FB$500)+IF($C35="",0,SUMIF('DADOS BRUTOS'!$A$3:$A$500,$C35,'DADOS BRUTOS'!FB$3:FB$500)))</f>
        <v/>
      </c>
      <c r="IC35" s="123">
        <f>IF(OR(IC$4="",$B35=""),0,SUMIF('DADOS BRUTOS'!$A$3:$A$500,$B35,'DADOS BRUTOS'!FC$3:FC$500)+IF($C35="",0,SUMIF('DADOS BRUTOS'!$A$3:$A$500,$C35,'DADOS BRUTOS'!FC$3:FC$500)))</f>
        <v/>
      </c>
      <c r="ID35" s="123">
        <f>IF(OR(ID$4="",$B35=""),0,SUMIF('DADOS BRUTOS'!$A$3:$A$500,$B35,'DADOS BRUTOS'!FD$3:FD$500)+IF($C35="",0,SUMIF('DADOS BRUTOS'!$A$3:$A$500,$C35,'DADOS BRUTOS'!FD$3:FD$500)))</f>
        <v/>
      </c>
      <c r="IE35" s="123">
        <f>IF(OR(IE$4="",$B35=""),0,SUMIF('DADOS BRUTOS'!$A$3:$A$500,$B35,'DADOS BRUTOS'!FE$3:FE$500)+IF($C35="",0,SUMIF('DADOS BRUTOS'!$A$3:$A$500,$C35,'DADOS BRUTOS'!FE$3:FE$500)))</f>
        <v/>
      </c>
      <c r="IF35" s="123">
        <f>IF(OR(IF$4="",$B35=""),0,SUMIF('DADOS BRUTOS'!$A$3:$A$500,$B35,'DADOS BRUTOS'!FF$3:FF$500)+IF($C35="",0,SUMIF('DADOS BRUTOS'!$A$3:$A$500,$C35,'DADOS BRUTOS'!FF$3:FF$500)))</f>
        <v/>
      </c>
      <c r="IG35" s="123">
        <f>IF(OR(IG$4="",$B35=""),0,SUMIF('DADOS BRUTOS'!$A$3:$A$500,$B35,'DADOS BRUTOS'!FG$3:FG$500)+IF($C35="",0,SUMIF('DADOS BRUTOS'!$A$3:$A$500,$C35,'DADOS BRUTOS'!FG$3:FG$500)))</f>
        <v/>
      </c>
      <c r="IH35" s="123">
        <f>IF(OR(IH$4="",$B35=""),0,SUMIF('DADOS BRUTOS'!$A$3:$A$500,$B35,'DADOS BRUTOS'!FH$3:FH$500)+IF($C35="",0,SUMIF('DADOS BRUTOS'!$A$3:$A$500,$C35,'DADOS BRUTOS'!FH$3:FH$500)))</f>
        <v/>
      </c>
      <c r="II35" s="123">
        <f>IF(OR(II$4="",$B35=""),0,SUMIF('DADOS BRUTOS'!$A$3:$A$500,$B35,'DADOS BRUTOS'!FI$3:FI$500)+IF($C35="",0,SUMIF('DADOS BRUTOS'!$A$3:$A$500,$C35,'DADOS BRUTOS'!FI$3:FI$500)))</f>
        <v/>
      </c>
      <c r="IJ35" s="123">
        <f>IF(OR(IJ$4="",$B35=""),0,SUMIF('DADOS BRUTOS'!$A$3:$A$500,$B35,'DADOS BRUTOS'!FJ$3:FJ$500)+IF($C35="",0,SUMIF('DADOS BRUTOS'!$A$3:$A$500,$C35,'DADOS BRUTOS'!FJ$3:FJ$500)))</f>
        <v/>
      </c>
      <c r="IK35" s="123">
        <f>IF(OR(IK$4="",$B35=""),0,SUMIF('DADOS BRUTOS'!$A$3:$A$500,$B35,'DADOS BRUTOS'!FK$3:FK$500)+IF($C35="",0,SUMIF('DADOS BRUTOS'!$A$3:$A$500,$C35,'DADOS BRUTOS'!FK$3:FK$500)))</f>
        <v/>
      </c>
      <c r="IL35" s="123">
        <f>IF(OR(IL$4="",$B35=""),0,SUMIF('DADOS BRUTOS'!$A$3:$A$500,$B35,'DADOS BRUTOS'!FL$3:FL$500)+IF($C35="",0,SUMIF('DADOS BRUTOS'!$A$3:$A$500,$C35,'DADOS BRUTOS'!FL$3:FL$500)))</f>
        <v/>
      </c>
      <c r="IM35" s="123">
        <f>IF(OR(IM$4="",$B35=""),0,SUMIF('DADOS BRUTOS'!$A$3:$A$500,$B35,'DADOS BRUTOS'!FM$3:FM$500)+IF($C35="",0,SUMIF('DADOS BRUTOS'!$A$3:$A$500,$C35,'DADOS BRUTOS'!FM$3:FM$500)))</f>
        <v/>
      </c>
      <c r="IN35" s="123">
        <f>IF(OR(IN$4="",$B35=""),0,SUMIF('DADOS BRUTOS'!$A$3:$A$500,$B35,'DADOS BRUTOS'!FN$3:FN$500)+IF($C35="",0,SUMIF('DADOS BRUTOS'!$A$3:$A$500,$C35,'DADOS BRUTOS'!FN$3:FN$500)))</f>
        <v/>
      </c>
      <c r="IO35" s="123">
        <f>IF(OR(IO$4="",$B35=""),0,SUMIF('DADOS BRUTOS'!$A$3:$A$500,$B35,'DADOS BRUTOS'!FO$3:FO$500)+IF($C35="",0,SUMIF('DADOS BRUTOS'!$A$3:$A$500,$C35,'DADOS BRUTOS'!FO$3:FO$500)))</f>
        <v/>
      </c>
      <c r="IP35" s="123">
        <f>IF(OR(IP$4="",$B35=""),0,SUMIF('DADOS BRUTOS'!$A$3:$A$500,$B35,'DADOS BRUTOS'!FP$3:FP$500)+IF($C35="",0,SUMIF('DADOS BRUTOS'!$A$3:$A$500,$C35,'DADOS BRUTOS'!FP$3:FP$500)))</f>
        <v/>
      </c>
      <c r="IQ35" s="123">
        <f>IF(OR(IQ$4="",$B35=""),0,SUMIF('DADOS BRUTOS'!$A$3:$A$500,$B35,'DADOS BRUTOS'!FQ$3:FQ$500)+IF($C35="",0,SUMIF('DADOS BRUTOS'!$A$3:$A$500,$C35,'DADOS BRUTOS'!FQ$3:FQ$500)))</f>
        <v/>
      </c>
      <c r="IR35" s="123">
        <f>IF(OR(IR$4="",$B35=""),0,SUMIF('DADOS BRUTOS'!$A$3:$A$500,$B35,'DADOS BRUTOS'!FR$3:FR$500)+IF($C35="",0,SUMIF('DADOS BRUTOS'!$A$3:$A$500,$C35,'DADOS BRUTOS'!FR$3:FR$500)))</f>
        <v/>
      </c>
      <c r="IS35" s="123">
        <f>IF(OR(IS$4="",$B35=""),0,SUMIF('DADOS BRUTOS'!$A$3:$A$500,$B35,'DADOS BRUTOS'!FS$3:FS$500)+IF($C35="",0,SUMIF('DADOS BRUTOS'!$A$3:$A$500,$C35,'DADOS BRUTOS'!FS$3:FS$500)))</f>
        <v/>
      </c>
      <c r="IT35" s="123">
        <f>IF(OR(IT$4="",$B35=""),0,SUMIF('DADOS BRUTOS'!$A$3:$A$500,$B35,'DADOS BRUTOS'!FT$3:FT$500)+IF($C35="",0,SUMIF('DADOS BRUTOS'!$A$3:$A$500,$C35,'DADOS BRUTOS'!FT$3:FT$500)))</f>
        <v/>
      </c>
      <c r="IU35" s="123">
        <f>IF(OR(IU$4="",$B35=""),0,SUMIF('DADOS BRUTOS'!$A$3:$A$500,$B35,'DADOS BRUTOS'!FU$3:FU$500)+IF($C35="",0,SUMIF('DADOS BRUTOS'!$A$3:$A$500,$C35,'DADOS BRUTOS'!FU$3:FU$500)))</f>
        <v/>
      </c>
      <c r="IV35" s="123">
        <f>IF(OR(IV$4="",$B35=""),0,SUMIF('DADOS BRUTOS'!$A$3:$A$500,$B35,'DADOS BRUTOS'!FV$3:FV$500)+IF($C35="",0,SUMIF('DADOS BRUTOS'!$A$3:$A$500,$C35,'DADOS BRUTOS'!FV$3:FV$500)))</f>
        <v/>
      </c>
      <c r="IW35" s="123">
        <f>IF(OR(IW$4="",$B35=""),0,SUMIF('DADOS BRUTOS'!$A$3:$A$500,$B35,'DADOS BRUTOS'!FW$3:FW$500)+IF($C35="",0,SUMIF('DADOS BRUTOS'!$A$3:$A$500,$C35,'DADOS BRUTOS'!FW$3:FW$500)))</f>
        <v/>
      </c>
      <c r="IX35" s="123">
        <f>IF(OR(IX$4="",$B35=""),0,SUMIF('DADOS BRUTOS'!$A$3:$A$500,$B35,'DADOS BRUTOS'!FX$3:FX$500)+IF($C35="",0,SUMIF('DADOS BRUTOS'!$A$3:$A$500,$C35,'DADOS BRUTOS'!FX$3:FX$500)))</f>
        <v/>
      </c>
      <c r="IY35" s="123">
        <f>IF(OR(IY$4="",$B35=""),0,SUMIF('DADOS BRUTOS'!$A$3:$A$500,$B35,'DADOS BRUTOS'!FY$3:FY$500)+IF($C35="",0,SUMIF('DADOS BRUTOS'!$A$3:$A$500,$C35,'DADOS BRUTOS'!FY$3:FY$500)))</f>
        <v/>
      </c>
      <c r="IZ35" s="123">
        <f>IF(OR(IZ$4="",$B35=""),0,SUMIF('DADOS BRUTOS'!$A$3:$A$500,$B35,'DADOS BRUTOS'!FZ$3:FZ$500)+IF($C35="",0,SUMIF('DADOS BRUTOS'!$A$3:$A$500,$C35,'DADOS BRUTOS'!FZ$3:FZ$500)))</f>
        <v/>
      </c>
      <c r="JA35" s="123">
        <f>IF(OR(JA$4="",$B35=""),0,SUMIF('DADOS BRUTOS'!$A$3:$A$500,$B35,'DADOS BRUTOS'!GA$3:GA$500)+IF($C35="",0,SUMIF('DADOS BRUTOS'!$A$3:$A$500,$C35,'DADOS BRUTOS'!GA$3:GA$500)))</f>
        <v/>
      </c>
      <c r="JB35" s="123">
        <f>IF(OR(JB$4="",$B35=""),0,SUMIF('DADOS BRUTOS'!$A$3:$A$500,$B35,'DADOS BRUTOS'!GB$3:GB$500)+IF($C35="",0,SUMIF('DADOS BRUTOS'!$A$3:$A$500,$C35,'DADOS BRUTOS'!GB$3:GB$500)))</f>
        <v/>
      </c>
      <c r="JC35" s="123">
        <f>IF(OR(JC$4="",$B35=""),0,SUMIF('DADOS BRUTOS'!$A$3:$A$500,$B35,'DADOS BRUTOS'!GC$3:GC$500)+IF($C35="",0,SUMIF('DADOS BRUTOS'!$A$3:$A$500,$C35,'DADOS BRUTOS'!GC$3:GC$500)))</f>
        <v/>
      </c>
      <c r="JD35" s="123">
        <f>IF(OR(JD$4="",$B35=""),0,SUMIF('DADOS BRUTOS'!$A$3:$A$500,$B35,'DADOS BRUTOS'!GD$3:GD$500)+IF($C35="",0,SUMIF('DADOS BRUTOS'!$A$3:$A$500,$C35,'DADOS BRUTOS'!GD$3:GD$500)))</f>
        <v/>
      </c>
      <c r="JE35" s="123">
        <f>IF(OR(JE$4="",$B35=""),0,SUMIF('DADOS BRUTOS'!$A$3:$A$500,$B35,'DADOS BRUTOS'!GE$3:GE$500)+IF($C35="",0,SUMIF('DADOS BRUTOS'!$A$3:$A$500,$C35,'DADOS BRUTOS'!GE$3:GE$500)))</f>
        <v/>
      </c>
      <c r="JF35" s="123">
        <f>IF(OR(JF$4="",$B35=""),0,SUMIF('DADOS BRUTOS'!$A$3:$A$500,$B35,'DADOS BRUTOS'!GF$3:GF$500)+IF($C35="",0,SUMIF('DADOS BRUTOS'!$A$3:$A$500,$C35,'DADOS BRUTOS'!GF$3:GF$500)))</f>
        <v/>
      </c>
      <c r="JG35" s="123">
        <f>IF(OR(JG$4="",$B35=""),0,SUMIF('DADOS BRUTOS'!$A$3:$A$500,$B35,'DADOS BRUTOS'!GG$3:GG$500)+IF($C35="",0,SUMIF('DADOS BRUTOS'!$A$3:$A$500,$C35,'DADOS BRUTOS'!GG$3:GG$500)))</f>
        <v/>
      </c>
      <c r="JH35" s="123">
        <f>IF(OR(JH$4="",$B35=""),0,SUMIF('DADOS BRUTOS'!$A$3:$A$500,$B35,'DADOS BRUTOS'!GH$3:GH$500)+IF($C35="",0,SUMIF('DADOS BRUTOS'!$A$3:$A$500,$C35,'DADOS BRUTOS'!GH$3:GH$500)))</f>
        <v/>
      </c>
      <c r="JI35" s="123">
        <f>IF(OR(JI$4="",$B35=""),0,SUMIF('DADOS BRUTOS'!$A$3:$A$500,$B35,'DADOS BRUTOS'!GI$3:GI$500)+IF($C35="",0,SUMIF('DADOS BRUTOS'!$A$3:$A$500,$C35,'DADOS BRUTOS'!GI$3:GI$500)))</f>
        <v/>
      </c>
      <c r="JJ35" s="123">
        <f>IF(OR(JJ$4="",$B35=""),0,SUMIF('DADOS BRUTOS'!$A$3:$A$500,$B35,'DADOS BRUTOS'!GJ$3:GJ$500)+IF($C35="",0,SUMIF('DADOS BRUTOS'!$A$3:$A$500,$C35,'DADOS BRUTOS'!GJ$3:GJ$500)))</f>
        <v/>
      </c>
      <c r="JK35" s="123">
        <f>IF(OR(JK$4="",$B35=""),0,SUMIF('DADOS BRUTOS'!$A$3:$A$500,$B35,'DADOS BRUTOS'!GK$3:GK$500)+IF($C35="",0,SUMIF('DADOS BRUTOS'!$A$3:$A$500,$C35,'DADOS BRUTOS'!GK$3:GK$500)))</f>
        <v/>
      </c>
      <c r="JL35" s="123">
        <f>IF(OR(JL$4="",$B35=""),0,SUMIF('DADOS BRUTOS'!$A$3:$A$500,$B35,'DADOS BRUTOS'!GL$3:GL$500)+IF($C35="",0,SUMIF('DADOS BRUTOS'!$A$3:$A$500,$C35,'DADOS BRUTOS'!GL$3:GL$500)))</f>
        <v/>
      </c>
      <c r="JM35" s="123">
        <f>IF(OR(JM$4="",$B35=""),0,SUMIF('DADOS BRUTOS'!$A$3:$A$500,$B35,'DADOS BRUTOS'!GM$3:GM$500)+IF($C35="",0,SUMIF('DADOS BRUTOS'!$A$3:$A$500,$C35,'DADOS BRUTOS'!GM$3:GM$500)))</f>
        <v/>
      </c>
      <c r="JN35" s="123">
        <f>IF(OR(JN$4="",$B35=""),0,SUMIF('DADOS BRUTOS'!$A$3:$A$500,$B35,'DADOS BRUTOS'!GN$3:GN$500)+IF($C35="",0,SUMIF('DADOS BRUTOS'!$A$3:$A$500,$C35,'DADOS BRUTOS'!GN$3:GN$500)))</f>
        <v/>
      </c>
      <c r="JO35" s="123">
        <f>IF(OR(JO$4="",$B35=""),0,SUMIF('DADOS BRUTOS'!$A$3:$A$500,$B35,'DADOS BRUTOS'!GO$3:GO$500)+IF($C35="",0,SUMIF('DADOS BRUTOS'!$A$3:$A$500,$C35,'DADOS BRUTOS'!GO$3:GO$500)))</f>
        <v/>
      </c>
      <c r="JP35" s="123">
        <f>IF(OR(JP$4="",$B35=""),0,SUMIF('DADOS BRUTOS'!$A$3:$A$500,$B35,'DADOS BRUTOS'!GP$3:GP$500)+IF($C35="",0,SUMIF('DADOS BRUTOS'!$A$3:$A$500,$C35,'DADOS BRUTOS'!GP$3:GP$500)))</f>
        <v/>
      </c>
      <c r="JQ35" s="123">
        <f>IF(OR(JQ$4="",$B35=""),0,SUMIF('DADOS BRUTOS'!$A$3:$A$500,$B35,'DADOS BRUTOS'!GQ$3:GQ$500)+IF($C35="",0,SUMIF('DADOS BRUTOS'!$A$3:$A$500,$C35,'DADOS BRUTOS'!GQ$3:GQ$500)))</f>
        <v/>
      </c>
      <c r="JR35" s="123">
        <f>IF(OR(JR$4="",$B35=""),0,SUMIF('DADOS BRUTOS'!$A$3:$A$500,$B35,'DADOS BRUTOS'!GR$3:GR$500)+IF($C35="",0,SUMIF('DADOS BRUTOS'!$A$3:$A$500,$C35,'DADOS BRUTOS'!GR$3:GR$500)))</f>
        <v/>
      </c>
      <c r="JS35" s="123">
        <f>IF(OR(JS$4="",$B35=""),0,SUMIF('DADOS BRUTOS'!$A$3:$A$500,$B35,'DADOS BRUTOS'!GS$3:GS$500)+IF($C35="",0,SUMIF('DADOS BRUTOS'!$A$3:$A$500,$C35,'DADOS BRUTOS'!GS$3:GS$500)))</f>
        <v/>
      </c>
    </row>
    <row r="36">
      <c r="A36" s="61">
        <f>'VALOR POR PL'!D42</f>
        <v/>
      </c>
      <c r="B36" s="60" t="inlineStr">
        <is>
          <t>REVESTIMENTO DIVERSOS   FACHADA</t>
        </is>
      </c>
      <c r="C36" s="60" t="inlineStr">
        <is>
          <t>REVESTIMENTO DIVERSOS - FACHADA</t>
        </is>
      </c>
      <c r="D36" s="55">
        <f>SUMIF($CB$4:$JS$4,"&lt;="&amp;D$4,$CB36:$JS36)</f>
        <v/>
      </c>
      <c r="E36" s="55">
        <f>SUMIF($CB$4:$JS$4,E$4,$CB36:$JS36)</f>
        <v/>
      </c>
      <c r="F36" s="55">
        <f>SUMIF($CB$4:$JS$4,F$4,$CB36:$JS36)</f>
        <v/>
      </c>
      <c r="G36" s="55">
        <f>SUMIF($CB$4:$JS$4,G$4,$CB36:$JS36)</f>
        <v/>
      </c>
      <c r="H36" s="55">
        <f>SUMIF($CB$4:$JS$4,H$4,$CB36:$JS36)</f>
        <v/>
      </c>
      <c r="I36" s="55">
        <f>SUMIF($CB$4:$JS$4,I$4,$CB36:$JS36)</f>
        <v/>
      </c>
      <c r="J36" s="55">
        <f>SUMIF($CB$4:$JS$4,J$4,$CB36:$JS36)</f>
        <v/>
      </c>
      <c r="K36" s="55">
        <f>SUMIF($CB$4:$JS$4,K$4,$CB36:$JS36)</f>
        <v/>
      </c>
      <c r="L36" s="55">
        <f>SUMIF($CB$4:$JS$4,L$4,$CB36:$JS36)</f>
        <v/>
      </c>
      <c r="M36" s="55">
        <f>SUMIF($CB$4:$JS$4,M$4,$CB36:$JS36)</f>
        <v/>
      </c>
      <c r="N36" s="55">
        <f>SUMIF($CB$4:$JS$4,N$4,$CB36:$JS36)</f>
        <v/>
      </c>
      <c r="O36" s="55">
        <f>SUMIF($CB$4:$JS$4,O$4,$CB36:$JS36)</f>
        <v/>
      </c>
      <c r="P36" s="55">
        <f>SUMIF($CB$4:$JS$4,P$4,$CB36:$JS36)</f>
        <v/>
      </c>
      <c r="Q36" s="55">
        <f>SUMIF($CB$4:$JS$4,Q$4,$CB36:$JS36)</f>
        <v/>
      </c>
      <c r="R36" s="55">
        <f>SUMIF($CB$4:$JS$4,R$4,$CB36:$JS36)</f>
        <v/>
      </c>
      <c r="S36" s="55">
        <f>SUMIF($CB$4:$JS$4,S$4,$CB36:$JS36)</f>
        <v/>
      </c>
      <c r="T36" s="55">
        <f>SUMIF($CB$4:$JS$4,T$4,$CB36:$JS36)</f>
        <v/>
      </c>
      <c r="U36" s="55">
        <f>SUMIF($CB$4:$JS$4,U$4,$CB36:$JS36)</f>
        <v/>
      </c>
      <c r="V36" s="55">
        <f>SUMIF($CB$4:$JS$4,V$4,$CB36:$JS36)</f>
        <v/>
      </c>
      <c r="W36" s="55">
        <f>SUMIF($CB$4:$JS$4,W$4,$CB36:$JS36)</f>
        <v/>
      </c>
      <c r="X36" s="55">
        <f>SUMIF($CB$4:$JS$4,X$4,$CB36:$JS36)</f>
        <v/>
      </c>
      <c r="Y36" s="55">
        <f>SUMIF($CB$4:$JS$4,Y$4,$CB36:$JS36)</f>
        <v/>
      </c>
      <c r="Z36" s="55">
        <f>SUMIF($CB$4:$JS$4,Z$4,$CB36:$JS36)</f>
        <v/>
      </c>
      <c r="AA36" s="55">
        <f>SUMIF($CB$4:$JS$4,AA$4,$CB36:$JS36)</f>
        <v/>
      </c>
      <c r="AB36" s="55">
        <f>SUMIF($CB$4:$JS$4,AB$4,$CB36:$JS36)</f>
        <v/>
      </c>
      <c r="AC36" s="55">
        <f>SUMIF($CB$4:$JS$4,AC$4,$CB36:$JS36)</f>
        <v/>
      </c>
      <c r="AD36" s="55">
        <f>SUMIF($CB$4:$JS$4,AD$4,$CB36:$JS36)</f>
        <v/>
      </c>
      <c r="AE36" s="55">
        <f>SUMIF($CB$4:$JS$4,AE$4,$CB36:$JS36)</f>
        <v/>
      </c>
      <c r="AF36" s="55">
        <f>SUMIF($CB$4:$JS$4,AF$4,$CB36:$JS36)</f>
        <v/>
      </c>
      <c r="AG36" s="55">
        <f>SUMIF($CB$4:$JS$4,AG$4,$CB36:$JS36)</f>
        <v/>
      </c>
      <c r="AH36" s="55">
        <f>SUMIF($CB$4:$JS$4,AH$4,$CB36:$JS36)</f>
        <v/>
      </c>
      <c r="AI36" s="55">
        <f>SUMIF($CB$4:$JS$4,AI$4,$CB36:$JS36)</f>
        <v/>
      </c>
      <c r="AJ36" s="55">
        <f>SUMIF($CB$4:$JS$4,AJ$4,$CB36:$JS36)</f>
        <v/>
      </c>
      <c r="AK36" s="55">
        <f>SUMIF($CB$4:$JS$4,AK$4,$CB36:$JS36)</f>
        <v/>
      </c>
      <c r="AL36" s="55">
        <f>SUMIF($CB$4:$JS$4,AL$4,$CB36:$JS36)</f>
        <v/>
      </c>
      <c r="AM36" s="55">
        <f>SUMIF($CB$4:$JS$4,AM$4,$CB36:$JS36)</f>
        <v/>
      </c>
      <c r="AN36" s="55">
        <f>SUMIF($CB$4:$JS$4,AN$4,$CB36:$JS36)</f>
        <v/>
      </c>
      <c r="AO36" s="55">
        <f>SUMIF($CB$4:$JS$4,AO$4,$CB36:$JS36)</f>
        <v/>
      </c>
      <c r="AP36" s="55">
        <f>SUMIF($CB$4:$JS$4,AP$4,$CB36:$JS36)</f>
        <v/>
      </c>
      <c r="AQ36" s="55">
        <f>SUMIF($CB$4:$JS$4,AQ$4,$CB36:$JS36)</f>
        <v/>
      </c>
      <c r="AR36" s="55">
        <f>SUMIF($CB$4:$JS$4,AR$4,$CB36:$JS36)</f>
        <v/>
      </c>
      <c r="AS36" s="55">
        <f>SUMIF($CB$4:$JS$4,AS$4,$CB36:$JS36)</f>
        <v/>
      </c>
      <c r="AT36" s="55">
        <f>SUMIF($CB$4:$JS$4,AT$4,$CB36:$JS36)</f>
        <v/>
      </c>
      <c r="AU36" s="55">
        <f>SUMIF($CB$4:$JS$4,AU$4,$CB36:$JS36)</f>
        <v/>
      </c>
      <c r="AV36" s="55">
        <f>SUMIF($CB$4:$JS$4,AV$4,$CB36:$JS36)</f>
        <v/>
      </c>
      <c r="AW36" s="55">
        <f>SUMIF($CB$4:$JS$4,AW$4,$CB36:$JS36)</f>
        <v/>
      </c>
      <c r="AX36" s="55">
        <f>SUMIF($CB$4:$JS$4,AX$4,$CB36:$JS36)</f>
        <v/>
      </c>
      <c r="AY36" s="55">
        <f>SUMIF($CB$4:$JS$4,AY$4,$CB36:$JS36)</f>
        <v/>
      </c>
      <c r="AZ36" s="55">
        <f>SUMIF($CB$4:$JS$4,AZ$4,$CB36:$JS36)</f>
        <v/>
      </c>
      <c r="BA36" s="55">
        <f>SUMIF($CB$4:$JS$4,BA$4,$CB36:$JS36)</f>
        <v/>
      </c>
      <c r="BB36" s="55">
        <f>SUMIF($CB$4:$JS$4,BB$4,$CB36:$JS36)</f>
        <v/>
      </c>
      <c r="BC36" s="55">
        <f>SUMIF($CB$4:$JS$4,BC$4,$CB36:$JS36)</f>
        <v/>
      </c>
      <c r="BD36" s="55">
        <f>SUMIF($CB$4:$JS$4,BD$4,$CB36:$JS36)</f>
        <v/>
      </c>
      <c r="BE36" s="55">
        <f>SUMIF($CB$4:$JS$4,BE$4,$CB36:$JS36)</f>
        <v/>
      </c>
      <c r="BF36" s="55">
        <f>SUMIF($CB$4:$JS$4,BF$4,$CB36:$JS36)</f>
        <v/>
      </c>
      <c r="BG36" s="55">
        <f>SUMIF($CB$4:$JS$4,BG$4,$CB36:$JS36)</f>
        <v/>
      </c>
      <c r="BH36" s="55">
        <f>SUMIF($CB$4:$JS$4,BH$4,$CB36:$JS36)</f>
        <v/>
      </c>
      <c r="BI36" s="55">
        <f>SUMIF($CB$4:$JS$4,BI$4,$CB36:$JS36)</f>
        <v/>
      </c>
      <c r="BJ36" s="55">
        <f>SUMIF($CB$4:$JS$4,BJ$4,$CB36:$JS36)</f>
        <v/>
      </c>
      <c r="BK36" s="55">
        <f>SUMIF($CB$4:$JS$4,BK$4,$CB36:$JS36)</f>
        <v/>
      </c>
      <c r="BL36" s="55">
        <f>SUMIF($CB$4:$JS$4,BL$4,$CB36:$JS36)</f>
        <v/>
      </c>
      <c r="BM36" s="55">
        <f>SUMIF($CB$4:$JS$4,BM$4,$CB36:$JS36)</f>
        <v/>
      </c>
      <c r="BN36" s="55">
        <f>SUMIF($CB$4:$JS$4,BN$4,$CB36:$JS36)</f>
        <v/>
      </c>
      <c r="BO36" s="55">
        <f>SUMIF($CB$4:$JS$4,BO$4,$CB36:$JS36)</f>
        <v/>
      </c>
      <c r="BP36" s="55">
        <f>SUMIF($CB$4:$JS$4,BP$4,$CB36:$JS36)</f>
        <v/>
      </c>
      <c r="BQ36" s="55">
        <f>SUMIF($CB$4:$JS$4,BQ$4,$CB36:$JS36)</f>
        <v/>
      </c>
      <c r="BR36" s="55">
        <f>SUMIF($CB$4:$JS$4,BR$4,$CB36:$JS36)</f>
        <v/>
      </c>
      <c r="BS36" s="55">
        <f>SUMIF($CB$4:$JS$4,BS$4,$CB36:$JS36)</f>
        <v/>
      </c>
      <c r="BT36" s="55">
        <f>SUMIF($CB$4:$JS$4,BT$4,$CB36:$JS36)</f>
        <v/>
      </c>
      <c r="BU36" s="55">
        <f>SUMIF($CB$4:$JS$4,BU$4,$CB36:$JS36)</f>
        <v/>
      </c>
      <c r="BV36" s="55">
        <f>SUMIF($CB$4:$JS$4,BV$4,$CB36:$JS36)</f>
        <v/>
      </c>
      <c r="BW36" s="55">
        <f>SUMIF($CB$4:$JS$4,BW$4,$CB36:$JS36)</f>
        <v/>
      </c>
      <c r="BX36" s="55">
        <f>SUMIF($CB$4:$JS$4,"&gt;"&amp;'VALOR POR PL'!$P$8,$CB36:$JS36)</f>
        <v/>
      </c>
      <c r="BY36" s="55">
        <f>SUM($CB36:$JS36)</f>
        <v/>
      </c>
      <c r="CB36" s="123">
        <f>IF(OR(CB$4="",$B36=""),0,SUMIF('DADOS BRUTOS'!$A$3:$A$500,$B36,'DADOS BRUTOS'!B$3:B$500)+IF($C36="",0,SUMIF('DADOS BRUTOS'!$A$3:$A$500,$C36,'DADOS BRUTOS'!B$3:B$500)))</f>
        <v/>
      </c>
      <c r="CC36" s="123">
        <f>IF(OR(CC$4="",$B36=""),0,SUMIF('DADOS BRUTOS'!$A$3:$A$500,$B36,'DADOS BRUTOS'!C$3:C$500)+IF($C36="",0,SUMIF('DADOS BRUTOS'!$A$3:$A$500,$C36,'DADOS BRUTOS'!C$3:C$500)))</f>
        <v/>
      </c>
      <c r="CD36" s="123">
        <f>IF(OR(CD$4="",$B36=""),0,SUMIF('DADOS BRUTOS'!$A$3:$A$500,$B36,'DADOS BRUTOS'!D$3:D$500)+IF($C36="",0,SUMIF('DADOS BRUTOS'!$A$3:$A$500,$C36,'DADOS BRUTOS'!D$3:D$500)))</f>
        <v/>
      </c>
      <c r="CE36" s="123">
        <f>IF(OR(CE$4="",$B36=""),0,SUMIF('DADOS BRUTOS'!$A$3:$A$500,$B36,'DADOS BRUTOS'!E$3:E$500)+IF($C36="",0,SUMIF('DADOS BRUTOS'!$A$3:$A$500,$C36,'DADOS BRUTOS'!E$3:E$500)))</f>
        <v/>
      </c>
      <c r="CF36" s="123">
        <f>IF(OR(CF$4="",$B36=""),0,SUMIF('DADOS BRUTOS'!$A$3:$A$500,$B36,'DADOS BRUTOS'!F$3:F$500)+IF($C36="",0,SUMIF('DADOS BRUTOS'!$A$3:$A$500,$C36,'DADOS BRUTOS'!F$3:F$500)))</f>
        <v/>
      </c>
      <c r="CG36" s="123">
        <f>IF(OR(CG$4="",$B36=""),0,SUMIF('DADOS BRUTOS'!$A$3:$A$500,$B36,'DADOS BRUTOS'!G$3:G$500)+IF($C36="",0,SUMIF('DADOS BRUTOS'!$A$3:$A$500,$C36,'DADOS BRUTOS'!G$3:G$500)))</f>
        <v/>
      </c>
      <c r="CH36" s="123">
        <f>IF(OR(CH$4="",$B36=""),0,SUMIF('DADOS BRUTOS'!$A$3:$A$500,$B36,'DADOS BRUTOS'!H$3:H$500)+IF($C36="",0,SUMIF('DADOS BRUTOS'!$A$3:$A$500,$C36,'DADOS BRUTOS'!H$3:H$500)))</f>
        <v/>
      </c>
      <c r="CI36" s="123">
        <f>IF(OR(CI$4="",$B36=""),0,SUMIF('DADOS BRUTOS'!$A$3:$A$500,$B36,'DADOS BRUTOS'!I$3:I$500)+IF($C36="",0,SUMIF('DADOS BRUTOS'!$A$3:$A$500,$C36,'DADOS BRUTOS'!I$3:I$500)))</f>
        <v/>
      </c>
      <c r="CJ36" s="123">
        <f>IF(OR(CJ$4="",$B36=""),0,SUMIF('DADOS BRUTOS'!$A$3:$A$500,$B36,'DADOS BRUTOS'!J$3:J$500)+IF($C36="",0,SUMIF('DADOS BRUTOS'!$A$3:$A$500,$C36,'DADOS BRUTOS'!J$3:J$500)))</f>
        <v/>
      </c>
      <c r="CK36" s="123">
        <f>IF(OR(CK$4="",$B36=""),0,SUMIF('DADOS BRUTOS'!$A$3:$A$500,$B36,'DADOS BRUTOS'!K$3:K$500)+IF($C36="",0,SUMIF('DADOS BRUTOS'!$A$3:$A$500,$C36,'DADOS BRUTOS'!K$3:K$500)))</f>
        <v/>
      </c>
      <c r="CL36" s="123">
        <f>IF(OR(CL$4="",$B36=""),0,SUMIF('DADOS BRUTOS'!$A$3:$A$500,$B36,'DADOS BRUTOS'!L$3:L$500)+IF($C36="",0,SUMIF('DADOS BRUTOS'!$A$3:$A$500,$C36,'DADOS BRUTOS'!L$3:L$500)))</f>
        <v/>
      </c>
      <c r="CM36" s="123">
        <f>IF(OR(CM$4="",$B36=""),0,SUMIF('DADOS BRUTOS'!$A$3:$A$500,$B36,'DADOS BRUTOS'!M$3:M$500)+IF($C36="",0,SUMIF('DADOS BRUTOS'!$A$3:$A$500,$C36,'DADOS BRUTOS'!M$3:M$500)))</f>
        <v/>
      </c>
      <c r="CN36" s="123">
        <f>IF(OR(CN$4="",$B36=""),0,SUMIF('DADOS BRUTOS'!$A$3:$A$500,$B36,'DADOS BRUTOS'!N$3:N$500)+IF($C36="",0,SUMIF('DADOS BRUTOS'!$A$3:$A$500,$C36,'DADOS BRUTOS'!N$3:N$500)))</f>
        <v/>
      </c>
      <c r="CO36" s="123">
        <f>IF(OR(CO$4="",$B36=""),0,SUMIF('DADOS BRUTOS'!$A$3:$A$500,$B36,'DADOS BRUTOS'!O$3:O$500)+IF($C36="",0,SUMIF('DADOS BRUTOS'!$A$3:$A$500,$C36,'DADOS BRUTOS'!O$3:O$500)))</f>
        <v/>
      </c>
      <c r="CP36" s="123">
        <f>IF(OR(CP$4="",$B36=""),0,SUMIF('DADOS BRUTOS'!$A$3:$A$500,$B36,'DADOS BRUTOS'!P$3:P$500)+IF($C36="",0,SUMIF('DADOS BRUTOS'!$A$3:$A$500,$C36,'DADOS BRUTOS'!P$3:P$500)))</f>
        <v/>
      </c>
      <c r="CQ36" s="123">
        <f>IF(OR(CQ$4="",$B36=""),0,SUMIF('DADOS BRUTOS'!$A$3:$A$500,$B36,'DADOS BRUTOS'!Q$3:Q$500)+IF($C36="",0,SUMIF('DADOS BRUTOS'!$A$3:$A$500,$C36,'DADOS BRUTOS'!Q$3:Q$500)))</f>
        <v/>
      </c>
      <c r="CR36" s="123">
        <f>IF(OR(CR$4="",$B36=""),0,SUMIF('DADOS BRUTOS'!$A$3:$A$500,$B36,'DADOS BRUTOS'!R$3:R$500)+IF($C36="",0,SUMIF('DADOS BRUTOS'!$A$3:$A$500,$C36,'DADOS BRUTOS'!R$3:R$500)))</f>
        <v/>
      </c>
      <c r="CS36" s="123">
        <f>IF(OR(CS$4="",$B36=""),0,SUMIF('DADOS BRUTOS'!$A$3:$A$500,$B36,'DADOS BRUTOS'!S$3:S$500)+IF($C36="",0,SUMIF('DADOS BRUTOS'!$A$3:$A$500,$C36,'DADOS BRUTOS'!S$3:S$500)))</f>
        <v/>
      </c>
      <c r="CT36" s="123">
        <f>IF(OR(CT$4="",$B36=""),0,SUMIF('DADOS BRUTOS'!$A$3:$A$500,$B36,'DADOS BRUTOS'!T$3:T$500)+IF($C36="",0,SUMIF('DADOS BRUTOS'!$A$3:$A$500,$C36,'DADOS BRUTOS'!T$3:T$500)))</f>
        <v/>
      </c>
      <c r="CU36" s="123">
        <f>IF(OR(CU$4="",$B36=""),0,SUMIF('DADOS BRUTOS'!$A$3:$A$500,$B36,'DADOS BRUTOS'!U$3:U$500)+IF($C36="",0,SUMIF('DADOS BRUTOS'!$A$3:$A$500,$C36,'DADOS BRUTOS'!U$3:U$500)))</f>
        <v/>
      </c>
      <c r="CV36" s="123">
        <f>IF(OR(CV$4="",$B36=""),0,SUMIF('DADOS BRUTOS'!$A$3:$A$500,$B36,'DADOS BRUTOS'!V$3:V$500)+IF($C36="",0,SUMIF('DADOS BRUTOS'!$A$3:$A$500,$C36,'DADOS BRUTOS'!V$3:V$500)))</f>
        <v/>
      </c>
      <c r="CW36" s="123">
        <f>IF(OR(CW$4="",$B36=""),0,SUMIF('DADOS BRUTOS'!$A$3:$A$500,$B36,'DADOS BRUTOS'!W$3:W$500)+IF($C36="",0,SUMIF('DADOS BRUTOS'!$A$3:$A$500,$C36,'DADOS BRUTOS'!W$3:W$500)))</f>
        <v/>
      </c>
      <c r="CX36" s="123">
        <f>IF(OR(CX$4="",$B36=""),0,SUMIF('DADOS BRUTOS'!$A$3:$A$500,$B36,'DADOS BRUTOS'!X$3:X$500)+IF($C36="",0,SUMIF('DADOS BRUTOS'!$A$3:$A$500,$C36,'DADOS BRUTOS'!X$3:X$500)))</f>
        <v/>
      </c>
      <c r="CY36" s="123">
        <f>IF(OR(CY$4="",$B36=""),0,SUMIF('DADOS BRUTOS'!$A$3:$A$500,$B36,'DADOS BRUTOS'!Y$3:Y$500)+IF($C36="",0,SUMIF('DADOS BRUTOS'!$A$3:$A$500,$C36,'DADOS BRUTOS'!Y$3:Y$500)))</f>
        <v/>
      </c>
      <c r="CZ36" s="123">
        <f>IF(OR(CZ$4="",$B36=""),0,SUMIF('DADOS BRUTOS'!$A$3:$A$500,$B36,'DADOS BRUTOS'!Z$3:Z$500)+IF($C36="",0,SUMIF('DADOS BRUTOS'!$A$3:$A$500,$C36,'DADOS BRUTOS'!Z$3:Z$500)))</f>
        <v/>
      </c>
      <c r="DA36" s="123">
        <f>IF(OR(DA$4="",$B36=""),0,SUMIF('DADOS BRUTOS'!$A$3:$A$500,$B36,'DADOS BRUTOS'!AA$3:AA$500)+IF($C36="",0,SUMIF('DADOS BRUTOS'!$A$3:$A$500,$C36,'DADOS BRUTOS'!AA$3:AA$500)))</f>
        <v/>
      </c>
      <c r="DB36" s="123">
        <f>IF(OR(DB$4="",$B36=""),0,SUMIF('DADOS BRUTOS'!$A$3:$A$500,$B36,'DADOS BRUTOS'!AB$3:AB$500)+IF($C36="",0,SUMIF('DADOS BRUTOS'!$A$3:$A$500,$C36,'DADOS BRUTOS'!AB$3:AB$500)))</f>
        <v/>
      </c>
      <c r="DC36" s="123">
        <f>IF(OR(DC$4="",$B36=""),0,SUMIF('DADOS BRUTOS'!$A$3:$A$500,$B36,'DADOS BRUTOS'!AC$3:AC$500)+IF($C36="",0,SUMIF('DADOS BRUTOS'!$A$3:$A$500,$C36,'DADOS BRUTOS'!AC$3:AC$500)))</f>
        <v/>
      </c>
      <c r="DD36" s="123">
        <f>IF(OR(DD$4="",$B36=""),0,SUMIF('DADOS BRUTOS'!$A$3:$A$500,$B36,'DADOS BRUTOS'!AD$3:AD$500)+IF($C36="",0,SUMIF('DADOS BRUTOS'!$A$3:$A$500,$C36,'DADOS BRUTOS'!AD$3:AD$500)))</f>
        <v/>
      </c>
      <c r="DE36" s="123">
        <f>IF(OR(DE$4="",$B36=""),0,SUMIF('DADOS BRUTOS'!$A$3:$A$500,$B36,'DADOS BRUTOS'!AE$3:AE$500)+IF($C36="",0,SUMIF('DADOS BRUTOS'!$A$3:$A$500,$C36,'DADOS BRUTOS'!AE$3:AE$500)))</f>
        <v/>
      </c>
      <c r="DF36" s="123">
        <f>IF(OR(DF$4="",$B36=""),0,SUMIF('DADOS BRUTOS'!$A$3:$A$500,$B36,'DADOS BRUTOS'!AF$3:AF$500)+IF($C36="",0,SUMIF('DADOS BRUTOS'!$A$3:$A$500,$C36,'DADOS BRUTOS'!AF$3:AF$500)))</f>
        <v/>
      </c>
      <c r="DG36" s="123">
        <f>IF(OR(DG$4="",$B36=""),0,SUMIF('DADOS BRUTOS'!$A$3:$A$500,$B36,'DADOS BRUTOS'!AG$3:AG$500)+IF($C36="",0,SUMIF('DADOS BRUTOS'!$A$3:$A$500,$C36,'DADOS BRUTOS'!AG$3:AG$500)))</f>
        <v/>
      </c>
      <c r="DH36" s="123">
        <f>IF(OR(DH$4="",$B36=""),0,SUMIF('DADOS BRUTOS'!$A$3:$A$500,$B36,'DADOS BRUTOS'!AH$3:AH$500)+IF($C36="",0,SUMIF('DADOS BRUTOS'!$A$3:$A$500,$C36,'DADOS BRUTOS'!AH$3:AH$500)))</f>
        <v/>
      </c>
      <c r="DI36" s="123">
        <f>IF(OR(DI$4="",$B36=""),0,SUMIF('DADOS BRUTOS'!$A$3:$A$500,$B36,'DADOS BRUTOS'!AI$3:AI$500)+IF($C36="",0,SUMIF('DADOS BRUTOS'!$A$3:$A$500,$C36,'DADOS BRUTOS'!AI$3:AI$500)))</f>
        <v/>
      </c>
      <c r="DJ36" s="123">
        <f>IF(OR(DJ$4="",$B36=""),0,SUMIF('DADOS BRUTOS'!$A$3:$A$500,$B36,'DADOS BRUTOS'!AJ$3:AJ$500)+IF($C36="",0,SUMIF('DADOS BRUTOS'!$A$3:$A$500,$C36,'DADOS BRUTOS'!AJ$3:AJ$500)))</f>
        <v/>
      </c>
      <c r="DK36" s="123">
        <f>IF(OR(DK$4="",$B36=""),0,SUMIF('DADOS BRUTOS'!$A$3:$A$500,$B36,'DADOS BRUTOS'!AK$3:AK$500)+IF($C36="",0,SUMIF('DADOS BRUTOS'!$A$3:$A$500,$C36,'DADOS BRUTOS'!AK$3:AK$500)))</f>
        <v/>
      </c>
      <c r="DL36" s="123">
        <f>IF(OR(DL$4="",$B36=""),0,SUMIF('DADOS BRUTOS'!$A$3:$A$500,$B36,'DADOS BRUTOS'!AL$3:AL$500)+IF($C36="",0,SUMIF('DADOS BRUTOS'!$A$3:$A$500,$C36,'DADOS BRUTOS'!AL$3:AL$500)))</f>
        <v/>
      </c>
      <c r="DM36" s="123">
        <f>IF(OR(DM$4="",$B36=""),0,SUMIF('DADOS BRUTOS'!$A$3:$A$500,$B36,'DADOS BRUTOS'!AM$3:AM$500)+IF($C36="",0,SUMIF('DADOS BRUTOS'!$A$3:$A$500,$C36,'DADOS BRUTOS'!AM$3:AM$500)))</f>
        <v/>
      </c>
      <c r="DN36" s="123">
        <f>IF(OR(DN$4="",$B36=""),0,SUMIF('DADOS BRUTOS'!$A$3:$A$500,$B36,'DADOS BRUTOS'!AN$3:AN$500)+IF($C36="",0,SUMIF('DADOS BRUTOS'!$A$3:$A$500,$C36,'DADOS BRUTOS'!AN$3:AN$500)))</f>
        <v/>
      </c>
      <c r="DO36" s="123">
        <f>IF(OR(DO$4="",$B36=""),0,SUMIF('DADOS BRUTOS'!$A$3:$A$500,$B36,'DADOS BRUTOS'!AO$3:AO$500)+IF($C36="",0,SUMIF('DADOS BRUTOS'!$A$3:$A$500,$C36,'DADOS BRUTOS'!AO$3:AO$500)))</f>
        <v/>
      </c>
      <c r="DP36" s="123">
        <f>IF(OR(DP$4="",$B36=""),0,SUMIF('DADOS BRUTOS'!$A$3:$A$500,$B36,'DADOS BRUTOS'!AP$3:AP$500)+IF($C36="",0,SUMIF('DADOS BRUTOS'!$A$3:$A$500,$C36,'DADOS BRUTOS'!AP$3:AP$500)))</f>
        <v/>
      </c>
      <c r="DQ36" s="123">
        <f>IF(OR(DQ$4="",$B36=""),0,SUMIF('DADOS BRUTOS'!$A$3:$A$500,$B36,'DADOS BRUTOS'!AQ$3:AQ$500)+IF($C36="",0,SUMIF('DADOS BRUTOS'!$A$3:$A$500,$C36,'DADOS BRUTOS'!AQ$3:AQ$500)))</f>
        <v/>
      </c>
      <c r="DR36" s="123">
        <f>IF(OR(DR$4="",$B36=""),0,SUMIF('DADOS BRUTOS'!$A$3:$A$500,$B36,'DADOS BRUTOS'!AR$3:AR$500)+IF($C36="",0,SUMIF('DADOS BRUTOS'!$A$3:$A$500,$C36,'DADOS BRUTOS'!AR$3:AR$500)))</f>
        <v/>
      </c>
      <c r="DS36" s="123">
        <f>IF(OR(DS$4="",$B36=""),0,SUMIF('DADOS BRUTOS'!$A$3:$A$500,$B36,'DADOS BRUTOS'!AS$3:AS$500)+IF($C36="",0,SUMIF('DADOS BRUTOS'!$A$3:$A$500,$C36,'DADOS BRUTOS'!AS$3:AS$500)))</f>
        <v/>
      </c>
      <c r="DT36" s="123">
        <f>IF(OR(DT$4="",$B36=""),0,SUMIF('DADOS BRUTOS'!$A$3:$A$500,$B36,'DADOS BRUTOS'!AT$3:AT$500)+IF($C36="",0,SUMIF('DADOS BRUTOS'!$A$3:$A$500,$C36,'DADOS BRUTOS'!AT$3:AT$500)))</f>
        <v/>
      </c>
      <c r="DU36" s="123">
        <f>IF(OR(DU$4="",$B36=""),0,SUMIF('DADOS BRUTOS'!$A$3:$A$500,$B36,'DADOS BRUTOS'!AU$3:AU$500)+IF($C36="",0,SUMIF('DADOS BRUTOS'!$A$3:$A$500,$C36,'DADOS BRUTOS'!AU$3:AU$500)))</f>
        <v/>
      </c>
      <c r="DV36" s="123">
        <f>IF(OR(DV$4="",$B36=""),0,SUMIF('DADOS BRUTOS'!$A$3:$A$500,$B36,'DADOS BRUTOS'!AV$3:AV$500)+IF($C36="",0,SUMIF('DADOS BRUTOS'!$A$3:$A$500,$C36,'DADOS BRUTOS'!AV$3:AV$500)))</f>
        <v/>
      </c>
      <c r="DW36" s="123">
        <f>IF(OR(DW$4="",$B36=""),0,SUMIF('DADOS BRUTOS'!$A$3:$A$500,$B36,'DADOS BRUTOS'!AW$3:AW$500)+IF($C36="",0,SUMIF('DADOS BRUTOS'!$A$3:$A$500,$C36,'DADOS BRUTOS'!AW$3:AW$500)))</f>
        <v/>
      </c>
      <c r="DX36" s="123">
        <f>IF(OR(DX$4="",$B36=""),0,SUMIF('DADOS BRUTOS'!$A$3:$A$500,$B36,'DADOS BRUTOS'!AX$3:AX$500)+IF($C36="",0,SUMIF('DADOS BRUTOS'!$A$3:$A$500,$C36,'DADOS BRUTOS'!AX$3:AX$500)))</f>
        <v/>
      </c>
      <c r="DY36" s="123">
        <f>IF(OR(DY$4="",$B36=""),0,SUMIF('DADOS BRUTOS'!$A$3:$A$500,$B36,'DADOS BRUTOS'!AY$3:AY$500)+IF($C36="",0,SUMIF('DADOS BRUTOS'!$A$3:$A$500,$C36,'DADOS BRUTOS'!AY$3:AY$500)))</f>
        <v/>
      </c>
      <c r="DZ36" s="123">
        <f>IF(OR(DZ$4="",$B36=""),0,SUMIF('DADOS BRUTOS'!$A$3:$A$500,$B36,'DADOS BRUTOS'!AZ$3:AZ$500)+IF($C36="",0,SUMIF('DADOS BRUTOS'!$A$3:$A$500,$C36,'DADOS BRUTOS'!AZ$3:AZ$500)))</f>
        <v/>
      </c>
      <c r="EA36" s="123">
        <f>IF(OR(EA$4="",$B36=""),0,SUMIF('DADOS BRUTOS'!$A$3:$A$500,$B36,'DADOS BRUTOS'!BA$3:BA$500)+IF($C36="",0,SUMIF('DADOS BRUTOS'!$A$3:$A$500,$C36,'DADOS BRUTOS'!BA$3:BA$500)))</f>
        <v/>
      </c>
      <c r="EB36" s="123">
        <f>IF(OR(EB$4="",$B36=""),0,SUMIF('DADOS BRUTOS'!$A$3:$A$500,$B36,'DADOS BRUTOS'!BB$3:BB$500)+IF($C36="",0,SUMIF('DADOS BRUTOS'!$A$3:$A$500,$C36,'DADOS BRUTOS'!BB$3:BB$500)))</f>
        <v/>
      </c>
      <c r="EC36" s="123">
        <f>IF(OR(EC$4="",$B36=""),0,SUMIF('DADOS BRUTOS'!$A$3:$A$500,$B36,'DADOS BRUTOS'!BC$3:BC$500)+IF($C36="",0,SUMIF('DADOS BRUTOS'!$A$3:$A$500,$C36,'DADOS BRUTOS'!BC$3:BC$500)))</f>
        <v/>
      </c>
      <c r="ED36" s="123">
        <f>IF(OR(ED$4="",$B36=""),0,SUMIF('DADOS BRUTOS'!$A$3:$A$500,$B36,'DADOS BRUTOS'!BD$3:BD$500)+IF($C36="",0,SUMIF('DADOS BRUTOS'!$A$3:$A$500,$C36,'DADOS BRUTOS'!BD$3:BD$500)))</f>
        <v/>
      </c>
      <c r="EE36" s="123">
        <f>IF(OR(EE$4="",$B36=""),0,SUMIF('DADOS BRUTOS'!$A$3:$A$500,$B36,'DADOS BRUTOS'!BE$3:BE$500)+IF($C36="",0,SUMIF('DADOS BRUTOS'!$A$3:$A$500,$C36,'DADOS BRUTOS'!BE$3:BE$500)))</f>
        <v/>
      </c>
      <c r="EF36" s="123">
        <f>IF(OR(EF$4="",$B36=""),0,SUMIF('DADOS BRUTOS'!$A$3:$A$500,$B36,'DADOS BRUTOS'!BF$3:BF$500)+IF($C36="",0,SUMIF('DADOS BRUTOS'!$A$3:$A$500,$C36,'DADOS BRUTOS'!BF$3:BF$500)))</f>
        <v/>
      </c>
      <c r="EG36" s="123">
        <f>IF(OR(EG$4="",$B36=""),0,SUMIF('DADOS BRUTOS'!$A$3:$A$500,$B36,'DADOS BRUTOS'!BG$3:BG$500)+IF($C36="",0,SUMIF('DADOS BRUTOS'!$A$3:$A$500,$C36,'DADOS BRUTOS'!BG$3:BG$500)))</f>
        <v/>
      </c>
      <c r="EH36" s="123">
        <f>IF(OR(EH$4="",$B36=""),0,SUMIF('DADOS BRUTOS'!$A$3:$A$500,$B36,'DADOS BRUTOS'!BH$3:BH$500)+IF($C36="",0,SUMIF('DADOS BRUTOS'!$A$3:$A$500,$C36,'DADOS BRUTOS'!BH$3:BH$500)))</f>
        <v/>
      </c>
      <c r="EI36" s="123">
        <f>IF(OR(EI$4="",$B36=""),0,SUMIF('DADOS BRUTOS'!$A$3:$A$500,$B36,'DADOS BRUTOS'!BI$3:BI$500)+IF($C36="",0,SUMIF('DADOS BRUTOS'!$A$3:$A$500,$C36,'DADOS BRUTOS'!BI$3:BI$500)))</f>
        <v/>
      </c>
      <c r="EJ36" s="123">
        <f>IF(OR(EJ$4="",$B36=""),0,SUMIF('DADOS BRUTOS'!$A$3:$A$500,$B36,'DADOS BRUTOS'!BJ$3:BJ$500)+IF($C36="",0,SUMIF('DADOS BRUTOS'!$A$3:$A$500,$C36,'DADOS BRUTOS'!BJ$3:BJ$500)))</f>
        <v/>
      </c>
      <c r="EK36" s="123">
        <f>IF(OR(EK$4="",$B36=""),0,SUMIF('DADOS BRUTOS'!$A$3:$A$500,$B36,'DADOS BRUTOS'!BK$3:BK$500)+IF($C36="",0,SUMIF('DADOS BRUTOS'!$A$3:$A$500,$C36,'DADOS BRUTOS'!BK$3:BK$500)))</f>
        <v/>
      </c>
      <c r="EL36" s="123">
        <f>IF(OR(EL$4="",$B36=""),0,SUMIF('DADOS BRUTOS'!$A$3:$A$500,$B36,'DADOS BRUTOS'!BL$3:BL$500)+IF($C36="",0,SUMIF('DADOS BRUTOS'!$A$3:$A$500,$C36,'DADOS BRUTOS'!BL$3:BL$500)))</f>
        <v/>
      </c>
      <c r="EM36" s="123">
        <f>IF(OR(EM$4="",$B36=""),0,SUMIF('DADOS BRUTOS'!$A$3:$A$500,$B36,'DADOS BRUTOS'!BM$3:BM$500)+IF($C36="",0,SUMIF('DADOS BRUTOS'!$A$3:$A$500,$C36,'DADOS BRUTOS'!BM$3:BM$500)))</f>
        <v/>
      </c>
      <c r="EN36" s="123">
        <f>IF(OR(EN$4="",$B36=""),0,SUMIF('DADOS BRUTOS'!$A$3:$A$500,$B36,'DADOS BRUTOS'!BN$3:BN$500)+IF($C36="",0,SUMIF('DADOS BRUTOS'!$A$3:$A$500,$C36,'DADOS BRUTOS'!BN$3:BN$500)))</f>
        <v/>
      </c>
      <c r="EO36" s="123">
        <f>IF(OR(EO$4="",$B36=""),0,SUMIF('DADOS BRUTOS'!$A$3:$A$500,$B36,'DADOS BRUTOS'!BO$3:BO$500)+IF($C36="",0,SUMIF('DADOS BRUTOS'!$A$3:$A$500,$C36,'DADOS BRUTOS'!BO$3:BO$500)))</f>
        <v/>
      </c>
      <c r="EP36" s="123">
        <f>IF(OR(EP$4="",$B36=""),0,SUMIF('DADOS BRUTOS'!$A$3:$A$500,$B36,'DADOS BRUTOS'!BP$3:BP$500)+IF($C36="",0,SUMIF('DADOS BRUTOS'!$A$3:$A$500,$C36,'DADOS BRUTOS'!BP$3:BP$500)))</f>
        <v/>
      </c>
      <c r="EQ36" s="123">
        <f>IF(OR(EQ$4="",$B36=""),0,SUMIF('DADOS BRUTOS'!$A$3:$A$500,$B36,'DADOS BRUTOS'!BQ$3:BQ$500)+IF($C36="",0,SUMIF('DADOS BRUTOS'!$A$3:$A$500,$C36,'DADOS BRUTOS'!BQ$3:BQ$500)))</f>
        <v/>
      </c>
      <c r="ER36" s="123">
        <f>IF(OR(ER$4="",$B36=""),0,SUMIF('DADOS BRUTOS'!$A$3:$A$500,$B36,'DADOS BRUTOS'!BR$3:BR$500)+IF($C36="",0,SUMIF('DADOS BRUTOS'!$A$3:$A$500,$C36,'DADOS BRUTOS'!BR$3:BR$500)))</f>
        <v/>
      </c>
      <c r="ES36" s="123">
        <f>IF(OR(ES$4="",$B36=""),0,SUMIF('DADOS BRUTOS'!$A$3:$A$500,$B36,'DADOS BRUTOS'!BS$3:BS$500)+IF($C36="",0,SUMIF('DADOS BRUTOS'!$A$3:$A$500,$C36,'DADOS BRUTOS'!BS$3:BS$500)))</f>
        <v/>
      </c>
      <c r="ET36" s="123">
        <f>IF(OR(ET$4="",$B36=""),0,SUMIF('DADOS BRUTOS'!$A$3:$A$500,$B36,'DADOS BRUTOS'!BT$3:BT$500)+IF($C36="",0,SUMIF('DADOS BRUTOS'!$A$3:$A$500,$C36,'DADOS BRUTOS'!BT$3:BT$500)))</f>
        <v/>
      </c>
      <c r="EU36" s="123">
        <f>IF(OR(EU$4="",$B36=""),0,SUMIF('DADOS BRUTOS'!$A$3:$A$500,$B36,'DADOS BRUTOS'!BU$3:BU$500)+IF($C36="",0,SUMIF('DADOS BRUTOS'!$A$3:$A$500,$C36,'DADOS BRUTOS'!BU$3:BU$500)))</f>
        <v/>
      </c>
      <c r="EV36" s="123">
        <f>IF(OR(EV$4="",$B36=""),0,SUMIF('DADOS BRUTOS'!$A$3:$A$500,$B36,'DADOS BRUTOS'!BV$3:BV$500)+IF($C36="",0,SUMIF('DADOS BRUTOS'!$A$3:$A$500,$C36,'DADOS BRUTOS'!BV$3:BV$500)))</f>
        <v/>
      </c>
      <c r="EW36" s="123">
        <f>IF(OR(EW$4="",$B36=""),0,SUMIF('DADOS BRUTOS'!$A$3:$A$500,$B36,'DADOS BRUTOS'!BW$3:BW$500)+IF($C36="",0,SUMIF('DADOS BRUTOS'!$A$3:$A$500,$C36,'DADOS BRUTOS'!BW$3:BW$500)))</f>
        <v/>
      </c>
      <c r="EX36" s="123">
        <f>IF(OR(EX$4="",$B36=""),0,SUMIF('DADOS BRUTOS'!$A$3:$A$500,$B36,'DADOS BRUTOS'!BX$3:BX$500)+IF($C36="",0,SUMIF('DADOS BRUTOS'!$A$3:$A$500,$C36,'DADOS BRUTOS'!BX$3:BX$500)))</f>
        <v/>
      </c>
      <c r="EY36" s="123">
        <f>IF(OR(EY$4="",$B36=""),0,SUMIF('DADOS BRUTOS'!$A$3:$A$500,$B36,'DADOS BRUTOS'!BY$3:BY$500)+IF($C36="",0,SUMIF('DADOS BRUTOS'!$A$3:$A$500,$C36,'DADOS BRUTOS'!BY$3:BY$500)))</f>
        <v/>
      </c>
      <c r="EZ36" s="123">
        <f>IF(OR(EZ$4="",$B36=""),0,SUMIF('DADOS BRUTOS'!$A$3:$A$500,$B36,'DADOS BRUTOS'!BZ$3:BZ$500)+IF($C36="",0,SUMIF('DADOS BRUTOS'!$A$3:$A$500,$C36,'DADOS BRUTOS'!BZ$3:BZ$500)))</f>
        <v/>
      </c>
      <c r="FA36" s="123">
        <f>IF(OR(FA$4="",$B36=""),0,SUMIF('DADOS BRUTOS'!$A$3:$A$500,$B36,'DADOS BRUTOS'!CA$3:CA$500)+IF($C36="",0,SUMIF('DADOS BRUTOS'!$A$3:$A$500,$C36,'DADOS BRUTOS'!CA$3:CA$500)))</f>
        <v/>
      </c>
      <c r="FB36" s="123">
        <f>IF(OR(FB$4="",$B36=""),0,SUMIF('DADOS BRUTOS'!$A$3:$A$500,$B36,'DADOS BRUTOS'!CB$3:CB$500)+IF($C36="",0,SUMIF('DADOS BRUTOS'!$A$3:$A$500,$C36,'DADOS BRUTOS'!CB$3:CB$500)))</f>
        <v/>
      </c>
      <c r="FC36" s="123">
        <f>IF(OR(FC$4="",$B36=""),0,SUMIF('DADOS BRUTOS'!$A$3:$A$500,$B36,'DADOS BRUTOS'!CC$3:CC$500)+IF($C36="",0,SUMIF('DADOS BRUTOS'!$A$3:$A$500,$C36,'DADOS BRUTOS'!CC$3:CC$500)))</f>
        <v/>
      </c>
      <c r="FD36" s="123">
        <f>IF(OR(FD$4="",$B36=""),0,SUMIF('DADOS BRUTOS'!$A$3:$A$500,$B36,'DADOS BRUTOS'!CD$3:CD$500)+IF($C36="",0,SUMIF('DADOS BRUTOS'!$A$3:$A$500,$C36,'DADOS BRUTOS'!CD$3:CD$500)))</f>
        <v/>
      </c>
      <c r="FE36" s="123">
        <f>IF(OR(FE$4="",$B36=""),0,SUMIF('DADOS BRUTOS'!$A$3:$A$500,$B36,'DADOS BRUTOS'!CE$3:CE$500)+IF($C36="",0,SUMIF('DADOS BRUTOS'!$A$3:$A$500,$C36,'DADOS BRUTOS'!CE$3:CE$500)))</f>
        <v/>
      </c>
      <c r="FF36" s="123">
        <f>IF(OR(FF$4="",$B36=""),0,SUMIF('DADOS BRUTOS'!$A$3:$A$500,$B36,'DADOS BRUTOS'!CF$3:CF$500)+IF($C36="",0,SUMIF('DADOS BRUTOS'!$A$3:$A$500,$C36,'DADOS BRUTOS'!CF$3:CF$500)))</f>
        <v/>
      </c>
      <c r="FG36" s="123">
        <f>IF(OR(FG$4="",$B36=""),0,SUMIF('DADOS BRUTOS'!$A$3:$A$500,$B36,'DADOS BRUTOS'!CG$3:CG$500)+IF($C36="",0,SUMIF('DADOS BRUTOS'!$A$3:$A$500,$C36,'DADOS BRUTOS'!CG$3:CG$500)))</f>
        <v/>
      </c>
      <c r="FH36" s="123">
        <f>IF(OR(FH$4="",$B36=""),0,SUMIF('DADOS BRUTOS'!$A$3:$A$500,$B36,'DADOS BRUTOS'!CH$3:CH$500)+IF($C36="",0,SUMIF('DADOS BRUTOS'!$A$3:$A$500,$C36,'DADOS BRUTOS'!CH$3:CH$500)))</f>
        <v/>
      </c>
      <c r="FI36" s="123">
        <f>IF(OR(FI$4="",$B36=""),0,SUMIF('DADOS BRUTOS'!$A$3:$A$500,$B36,'DADOS BRUTOS'!CI$3:CI$500)+IF($C36="",0,SUMIF('DADOS BRUTOS'!$A$3:$A$500,$C36,'DADOS BRUTOS'!CI$3:CI$500)))</f>
        <v/>
      </c>
      <c r="FJ36" s="123">
        <f>IF(OR(FJ$4="",$B36=""),0,SUMIF('DADOS BRUTOS'!$A$3:$A$500,$B36,'DADOS BRUTOS'!CJ$3:CJ$500)+IF($C36="",0,SUMIF('DADOS BRUTOS'!$A$3:$A$500,$C36,'DADOS BRUTOS'!CJ$3:CJ$500)))</f>
        <v/>
      </c>
      <c r="FK36" s="123">
        <f>IF(OR(FK$4="",$B36=""),0,SUMIF('DADOS BRUTOS'!$A$3:$A$500,$B36,'DADOS BRUTOS'!CK$3:CK$500)+IF($C36="",0,SUMIF('DADOS BRUTOS'!$A$3:$A$500,$C36,'DADOS BRUTOS'!CK$3:CK$500)))</f>
        <v/>
      </c>
      <c r="FL36" s="123">
        <f>IF(OR(FL$4="",$B36=""),0,SUMIF('DADOS BRUTOS'!$A$3:$A$500,$B36,'DADOS BRUTOS'!CL$3:CL$500)+IF($C36="",0,SUMIF('DADOS BRUTOS'!$A$3:$A$500,$C36,'DADOS BRUTOS'!CL$3:CL$500)))</f>
        <v/>
      </c>
      <c r="FM36" s="123">
        <f>IF(OR(FM$4="",$B36=""),0,SUMIF('DADOS BRUTOS'!$A$3:$A$500,$B36,'DADOS BRUTOS'!CM$3:CM$500)+IF($C36="",0,SUMIF('DADOS BRUTOS'!$A$3:$A$500,$C36,'DADOS BRUTOS'!CM$3:CM$500)))</f>
        <v/>
      </c>
      <c r="FN36" s="123">
        <f>IF(OR(FN$4="",$B36=""),0,SUMIF('DADOS BRUTOS'!$A$3:$A$500,$B36,'DADOS BRUTOS'!CN$3:CN$500)+IF($C36="",0,SUMIF('DADOS BRUTOS'!$A$3:$A$500,$C36,'DADOS BRUTOS'!CN$3:CN$500)))</f>
        <v/>
      </c>
      <c r="FO36" s="123">
        <f>IF(OR(FO$4="",$B36=""),0,SUMIF('DADOS BRUTOS'!$A$3:$A$500,$B36,'DADOS BRUTOS'!CO$3:CO$500)+IF($C36="",0,SUMIF('DADOS BRUTOS'!$A$3:$A$500,$C36,'DADOS BRUTOS'!CO$3:CO$500)))</f>
        <v/>
      </c>
      <c r="FP36" s="123">
        <f>IF(OR(FP$4="",$B36=""),0,SUMIF('DADOS BRUTOS'!$A$3:$A$500,$B36,'DADOS BRUTOS'!CP$3:CP$500)+IF($C36="",0,SUMIF('DADOS BRUTOS'!$A$3:$A$500,$C36,'DADOS BRUTOS'!CP$3:CP$500)))</f>
        <v/>
      </c>
      <c r="FQ36" s="123">
        <f>IF(OR(FQ$4="",$B36=""),0,SUMIF('DADOS BRUTOS'!$A$3:$A$500,$B36,'DADOS BRUTOS'!CQ$3:CQ$500)+IF($C36="",0,SUMIF('DADOS BRUTOS'!$A$3:$A$500,$C36,'DADOS BRUTOS'!CQ$3:CQ$500)))</f>
        <v/>
      </c>
      <c r="FR36" s="123">
        <f>IF(OR(FR$4="",$B36=""),0,SUMIF('DADOS BRUTOS'!$A$3:$A$500,$B36,'DADOS BRUTOS'!CR$3:CR$500)+IF($C36="",0,SUMIF('DADOS BRUTOS'!$A$3:$A$500,$C36,'DADOS BRUTOS'!CR$3:CR$500)))</f>
        <v/>
      </c>
      <c r="FS36" s="123">
        <f>IF(OR(FS$4="",$B36=""),0,SUMIF('DADOS BRUTOS'!$A$3:$A$500,$B36,'DADOS BRUTOS'!CS$3:CS$500)+IF($C36="",0,SUMIF('DADOS BRUTOS'!$A$3:$A$500,$C36,'DADOS BRUTOS'!CS$3:CS$500)))</f>
        <v/>
      </c>
      <c r="FT36" s="123">
        <f>IF(OR(FT$4="",$B36=""),0,SUMIF('DADOS BRUTOS'!$A$3:$A$500,$B36,'DADOS BRUTOS'!CT$3:CT$500)+IF($C36="",0,SUMIF('DADOS BRUTOS'!$A$3:$A$500,$C36,'DADOS BRUTOS'!CT$3:CT$500)))</f>
        <v/>
      </c>
      <c r="FU36" s="123">
        <f>IF(OR(FU$4="",$B36=""),0,SUMIF('DADOS BRUTOS'!$A$3:$A$500,$B36,'DADOS BRUTOS'!CU$3:CU$500)+IF($C36="",0,SUMIF('DADOS BRUTOS'!$A$3:$A$500,$C36,'DADOS BRUTOS'!CU$3:CU$500)))</f>
        <v/>
      </c>
      <c r="FV36" s="123">
        <f>IF(OR(FV$4="",$B36=""),0,SUMIF('DADOS BRUTOS'!$A$3:$A$500,$B36,'DADOS BRUTOS'!CV$3:CV$500)+IF($C36="",0,SUMIF('DADOS BRUTOS'!$A$3:$A$500,$C36,'DADOS BRUTOS'!CV$3:CV$500)))</f>
        <v/>
      </c>
      <c r="FW36" s="123">
        <f>IF(OR(FW$4="",$B36=""),0,SUMIF('DADOS BRUTOS'!$A$3:$A$500,$B36,'DADOS BRUTOS'!CW$3:CW$500)+IF($C36="",0,SUMIF('DADOS BRUTOS'!$A$3:$A$500,$C36,'DADOS BRUTOS'!CW$3:CW$500)))</f>
        <v/>
      </c>
      <c r="FX36" s="123">
        <f>IF(OR(FX$4="",$B36=""),0,SUMIF('DADOS BRUTOS'!$A$3:$A$500,$B36,'DADOS BRUTOS'!CX$3:CX$500)+IF($C36="",0,SUMIF('DADOS BRUTOS'!$A$3:$A$500,$C36,'DADOS BRUTOS'!CX$3:CX$500)))</f>
        <v/>
      </c>
      <c r="FY36" s="123">
        <f>IF(OR(FY$4="",$B36=""),0,SUMIF('DADOS BRUTOS'!$A$3:$A$500,$B36,'DADOS BRUTOS'!CY$3:CY$500)+IF($C36="",0,SUMIF('DADOS BRUTOS'!$A$3:$A$500,$C36,'DADOS BRUTOS'!CY$3:CY$500)))</f>
        <v/>
      </c>
      <c r="FZ36" s="123">
        <f>IF(OR(FZ$4="",$B36=""),0,SUMIF('DADOS BRUTOS'!$A$3:$A$500,$B36,'DADOS BRUTOS'!CZ$3:CZ$500)+IF($C36="",0,SUMIF('DADOS BRUTOS'!$A$3:$A$500,$C36,'DADOS BRUTOS'!CZ$3:CZ$500)))</f>
        <v/>
      </c>
      <c r="GA36" s="123">
        <f>IF(OR(GA$4="",$B36=""),0,SUMIF('DADOS BRUTOS'!$A$3:$A$500,$B36,'DADOS BRUTOS'!DA$3:DA$500)+IF($C36="",0,SUMIF('DADOS BRUTOS'!$A$3:$A$500,$C36,'DADOS BRUTOS'!DA$3:DA$500)))</f>
        <v/>
      </c>
      <c r="GB36" s="123">
        <f>IF(OR(GB$4="",$B36=""),0,SUMIF('DADOS BRUTOS'!$A$3:$A$500,$B36,'DADOS BRUTOS'!DB$3:DB$500)+IF($C36="",0,SUMIF('DADOS BRUTOS'!$A$3:$A$500,$C36,'DADOS BRUTOS'!DB$3:DB$500)))</f>
        <v/>
      </c>
      <c r="GC36" s="123">
        <f>IF(OR(GC$4="",$B36=""),0,SUMIF('DADOS BRUTOS'!$A$3:$A$500,$B36,'DADOS BRUTOS'!DC$3:DC$500)+IF($C36="",0,SUMIF('DADOS BRUTOS'!$A$3:$A$500,$C36,'DADOS BRUTOS'!DC$3:DC$500)))</f>
        <v/>
      </c>
      <c r="GD36" s="123">
        <f>IF(OR(GD$4="",$B36=""),0,SUMIF('DADOS BRUTOS'!$A$3:$A$500,$B36,'DADOS BRUTOS'!DD$3:DD$500)+IF($C36="",0,SUMIF('DADOS BRUTOS'!$A$3:$A$500,$C36,'DADOS BRUTOS'!DD$3:DD$500)))</f>
        <v/>
      </c>
      <c r="GE36" s="123">
        <f>IF(OR(GE$4="",$B36=""),0,SUMIF('DADOS BRUTOS'!$A$3:$A$500,$B36,'DADOS BRUTOS'!DE$3:DE$500)+IF($C36="",0,SUMIF('DADOS BRUTOS'!$A$3:$A$500,$C36,'DADOS BRUTOS'!DE$3:DE$500)))</f>
        <v/>
      </c>
      <c r="GF36" s="123">
        <f>IF(OR(GF$4="",$B36=""),0,SUMIF('DADOS BRUTOS'!$A$3:$A$500,$B36,'DADOS BRUTOS'!DF$3:DF$500)+IF($C36="",0,SUMIF('DADOS BRUTOS'!$A$3:$A$500,$C36,'DADOS BRUTOS'!DF$3:DF$500)))</f>
        <v/>
      </c>
      <c r="GG36" s="123">
        <f>IF(OR(GG$4="",$B36=""),0,SUMIF('DADOS BRUTOS'!$A$3:$A$500,$B36,'DADOS BRUTOS'!DG$3:DG$500)+IF($C36="",0,SUMIF('DADOS BRUTOS'!$A$3:$A$500,$C36,'DADOS BRUTOS'!DG$3:DG$500)))</f>
        <v/>
      </c>
      <c r="GH36" s="123">
        <f>IF(OR(GH$4="",$B36=""),0,SUMIF('DADOS BRUTOS'!$A$3:$A$500,$B36,'DADOS BRUTOS'!DH$3:DH$500)+IF($C36="",0,SUMIF('DADOS BRUTOS'!$A$3:$A$500,$C36,'DADOS BRUTOS'!DH$3:DH$500)))</f>
        <v/>
      </c>
      <c r="GI36" s="123">
        <f>IF(OR(GI$4="",$B36=""),0,SUMIF('DADOS BRUTOS'!$A$3:$A$500,$B36,'DADOS BRUTOS'!DI$3:DI$500)+IF($C36="",0,SUMIF('DADOS BRUTOS'!$A$3:$A$500,$C36,'DADOS BRUTOS'!DI$3:DI$500)))</f>
        <v/>
      </c>
      <c r="GJ36" s="123">
        <f>IF(OR(GJ$4="",$B36=""),0,SUMIF('DADOS BRUTOS'!$A$3:$A$500,$B36,'DADOS BRUTOS'!DJ$3:DJ$500)+IF($C36="",0,SUMIF('DADOS BRUTOS'!$A$3:$A$500,$C36,'DADOS BRUTOS'!DJ$3:DJ$500)))</f>
        <v/>
      </c>
      <c r="GK36" s="123">
        <f>IF(OR(GK$4="",$B36=""),0,SUMIF('DADOS BRUTOS'!$A$3:$A$500,$B36,'DADOS BRUTOS'!DK$3:DK$500)+IF($C36="",0,SUMIF('DADOS BRUTOS'!$A$3:$A$500,$C36,'DADOS BRUTOS'!DK$3:DK$500)))</f>
        <v/>
      </c>
      <c r="GL36" s="123">
        <f>IF(OR(GL$4="",$B36=""),0,SUMIF('DADOS BRUTOS'!$A$3:$A$500,$B36,'DADOS BRUTOS'!DL$3:DL$500)+IF($C36="",0,SUMIF('DADOS BRUTOS'!$A$3:$A$500,$C36,'DADOS BRUTOS'!DL$3:DL$500)))</f>
        <v/>
      </c>
      <c r="GM36" s="123">
        <f>IF(OR(GM$4="",$B36=""),0,SUMIF('DADOS BRUTOS'!$A$3:$A$500,$B36,'DADOS BRUTOS'!DM$3:DM$500)+IF($C36="",0,SUMIF('DADOS BRUTOS'!$A$3:$A$500,$C36,'DADOS BRUTOS'!DM$3:DM$500)))</f>
        <v/>
      </c>
      <c r="GN36" s="123">
        <f>IF(OR(GN$4="",$B36=""),0,SUMIF('DADOS BRUTOS'!$A$3:$A$500,$B36,'DADOS BRUTOS'!DN$3:DN$500)+IF($C36="",0,SUMIF('DADOS BRUTOS'!$A$3:$A$500,$C36,'DADOS BRUTOS'!DN$3:DN$500)))</f>
        <v/>
      </c>
      <c r="GO36" s="123">
        <f>IF(OR(GO$4="",$B36=""),0,SUMIF('DADOS BRUTOS'!$A$3:$A$500,$B36,'DADOS BRUTOS'!DO$3:DO$500)+IF($C36="",0,SUMIF('DADOS BRUTOS'!$A$3:$A$500,$C36,'DADOS BRUTOS'!DO$3:DO$500)))</f>
        <v/>
      </c>
      <c r="GP36" s="123">
        <f>IF(OR(GP$4="",$B36=""),0,SUMIF('DADOS BRUTOS'!$A$3:$A$500,$B36,'DADOS BRUTOS'!DP$3:DP$500)+IF($C36="",0,SUMIF('DADOS BRUTOS'!$A$3:$A$500,$C36,'DADOS BRUTOS'!DP$3:DP$500)))</f>
        <v/>
      </c>
      <c r="GQ36" s="123">
        <f>IF(OR(GQ$4="",$B36=""),0,SUMIF('DADOS BRUTOS'!$A$3:$A$500,$B36,'DADOS BRUTOS'!DQ$3:DQ$500)+IF($C36="",0,SUMIF('DADOS BRUTOS'!$A$3:$A$500,$C36,'DADOS BRUTOS'!DQ$3:DQ$500)))</f>
        <v/>
      </c>
      <c r="GR36" s="123">
        <f>IF(OR(GR$4="",$B36=""),0,SUMIF('DADOS BRUTOS'!$A$3:$A$500,$B36,'DADOS BRUTOS'!DR$3:DR$500)+IF($C36="",0,SUMIF('DADOS BRUTOS'!$A$3:$A$500,$C36,'DADOS BRUTOS'!DR$3:DR$500)))</f>
        <v/>
      </c>
      <c r="GS36" s="123">
        <f>IF(OR(GS$4="",$B36=""),0,SUMIF('DADOS BRUTOS'!$A$3:$A$500,$B36,'DADOS BRUTOS'!DS$3:DS$500)+IF($C36="",0,SUMIF('DADOS BRUTOS'!$A$3:$A$500,$C36,'DADOS BRUTOS'!DS$3:DS$500)))</f>
        <v/>
      </c>
      <c r="GT36" s="123">
        <f>IF(OR(GT$4="",$B36=""),0,SUMIF('DADOS BRUTOS'!$A$3:$A$500,$B36,'DADOS BRUTOS'!DT$3:DT$500)+IF($C36="",0,SUMIF('DADOS BRUTOS'!$A$3:$A$500,$C36,'DADOS BRUTOS'!DT$3:DT$500)))</f>
        <v/>
      </c>
      <c r="GU36" s="123">
        <f>IF(OR(GU$4="",$B36=""),0,SUMIF('DADOS BRUTOS'!$A$3:$A$500,$B36,'DADOS BRUTOS'!DU$3:DU$500)+IF($C36="",0,SUMIF('DADOS BRUTOS'!$A$3:$A$500,$C36,'DADOS BRUTOS'!DU$3:DU$500)))</f>
        <v/>
      </c>
      <c r="GV36" s="123">
        <f>IF(OR(GV$4="",$B36=""),0,SUMIF('DADOS BRUTOS'!$A$3:$A$500,$B36,'DADOS BRUTOS'!DV$3:DV$500)+IF($C36="",0,SUMIF('DADOS BRUTOS'!$A$3:$A$500,$C36,'DADOS BRUTOS'!DV$3:DV$500)))</f>
        <v/>
      </c>
      <c r="GW36" s="123">
        <f>IF(OR(GW$4="",$B36=""),0,SUMIF('DADOS BRUTOS'!$A$3:$A$500,$B36,'DADOS BRUTOS'!DW$3:DW$500)+IF($C36="",0,SUMIF('DADOS BRUTOS'!$A$3:$A$500,$C36,'DADOS BRUTOS'!DW$3:DW$500)))</f>
        <v/>
      </c>
      <c r="GX36" s="123">
        <f>IF(OR(GX$4="",$B36=""),0,SUMIF('DADOS BRUTOS'!$A$3:$A$500,$B36,'DADOS BRUTOS'!DX$3:DX$500)+IF($C36="",0,SUMIF('DADOS BRUTOS'!$A$3:$A$500,$C36,'DADOS BRUTOS'!DX$3:DX$500)))</f>
        <v/>
      </c>
      <c r="GY36" s="123">
        <f>IF(OR(GY$4="",$B36=""),0,SUMIF('DADOS BRUTOS'!$A$3:$A$500,$B36,'DADOS BRUTOS'!DY$3:DY$500)+IF($C36="",0,SUMIF('DADOS BRUTOS'!$A$3:$A$500,$C36,'DADOS BRUTOS'!DY$3:DY$500)))</f>
        <v/>
      </c>
      <c r="GZ36" s="123">
        <f>IF(OR(GZ$4="",$B36=""),0,SUMIF('DADOS BRUTOS'!$A$3:$A$500,$B36,'DADOS BRUTOS'!DZ$3:DZ$500)+IF($C36="",0,SUMIF('DADOS BRUTOS'!$A$3:$A$500,$C36,'DADOS BRUTOS'!DZ$3:DZ$500)))</f>
        <v/>
      </c>
      <c r="HA36" s="123">
        <f>IF(OR(HA$4="",$B36=""),0,SUMIF('DADOS BRUTOS'!$A$3:$A$500,$B36,'DADOS BRUTOS'!EA$3:EA$500)+IF($C36="",0,SUMIF('DADOS BRUTOS'!$A$3:$A$500,$C36,'DADOS BRUTOS'!EA$3:EA$500)))</f>
        <v/>
      </c>
      <c r="HB36" s="123">
        <f>IF(OR(HB$4="",$B36=""),0,SUMIF('DADOS BRUTOS'!$A$3:$A$500,$B36,'DADOS BRUTOS'!EB$3:EB$500)+IF($C36="",0,SUMIF('DADOS BRUTOS'!$A$3:$A$500,$C36,'DADOS BRUTOS'!EB$3:EB$500)))</f>
        <v/>
      </c>
      <c r="HC36" s="123">
        <f>IF(OR(HC$4="",$B36=""),0,SUMIF('DADOS BRUTOS'!$A$3:$A$500,$B36,'DADOS BRUTOS'!EC$3:EC$500)+IF($C36="",0,SUMIF('DADOS BRUTOS'!$A$3:$A$500,$C36,'DADOS BRUTOS'!EC$3:EC$500)))</f>
        <v/>
      </c>
      <c r="HD36" s="123">
        <f>IF(OR(HD$4="",$B36=""),0,SUMIF('DADOS BRUTOS'!$A$3:$A$500,$B36,'DADOS BRUTOS'!ED$3:ED$500)+IF($C36="",0,SUMIF('DADOS BRUTOS'!$A$3:$A$500,$C36,'DADOS BRUTOS'!ED$3:ED$500)))</f>
        <v/>
      </c>
      <c r="HE36" s="123">
        <f>IF(OR(HE$4="",$B36=""),0,SUMIF('DADOS BRUTOS'!$A$3:$A$500,$B36,'DADOS BRUTOS'!EE$3:EE$500)+IF($C36="",0,SUMIF('DADOS BRUTOS'!$A$3:$A$500,$C36,'DADOS BRUTOS'!EE$3:EE$500)))</f>
        <v/>
      </c>
      <c r="HF36" s="123">
        <f>IF(OR(HF$4="",$B36=""),0,SUMIF('DADOS BRUTOS'!$A$3:$A$500,$B36,'DADOS BRUTOS'!EF$3:EF$500)+IF($C36="",0,SUMIF('DADOS BRUTOS'!$A$3:$A$500,$C36,'DADOS BRUTOS'!EF$3:EF$500)))</f>
        <v/>
      </c>
      <c r="HG36" s="123">
        <f>IF(OR(HG$4="",$B36=""),0,SUMIF('DADOS BRUTOS'!$A$3:$A$500,$B36,'DADOS BRUTOS'!EG$3:EG$500)+IF($C36="",0,SUMIF('DADOS BRUTOS'!$A$3:$A$500,$C36,'DADOS BRUTOS'!EG$3:EG$500)))</f>
        <v/>
      </c>
      <c r="HH36" s="123">
        <f>IF(OR(HH$4="",$B36=""),0,SUMIF('DADOS BRUTOS'!$A$3:$A$500,$B36,'DADOS BRUTOS'!EH$3:EH$500)+IF($C36="",0,SUMIF('DADOS BRUTOS'!$A$3:$A$500,$C36,'DADOS BRUTOS'!EH$3:EH$500)))</f>
        <v/>
      </c>
      <c r="HI36" s="123">
        <f>IF(OR(HI$4="",$B36=""),0,SUMIF('DADOS BRUTOS'!$A$3:$A$500,$B36,'DADOS BRUTOS'!EI$3:EI$500)+IF($C36="",0,SUMIF('DADOS BRUTOS'!$A$3:$A$500,$C36,'DADOS BRUTOS'!EI$3:EI$500)))</f>
        <v/>
      </c>
      <c r="HJ36" s="123">
        <f>IF(OR(HJ$4="",$B36=""),0,SUMIF('DADOS BRUTOS'!$A$3:$A$500,$B36,'DADOS BRUTOS'!EJ$3:EJ$500)+IF($C36="",0,SUMIF('DADOS BRUTOS'!$A$3:$A$500,$C36,'DADOS BRUTOS'!EJ$3:EJ$500)))</f>
        <v/>
      </c>
      <c r="HK36" s="123">
        <f>IF(OR(HK$4="",$B36=""),0,SUMIF('DADOS BRUTOS'!$A$3:$A$500,$B36,'DADOS BRUTOS'!EK$3:EK$500)+IF($C36="",0,SUMIF('DADOS BRUTOS'!$A$3:$A$500,$C36,'DADOS BRUTOS'!EK$3:EK$500)))</f>
        <v/>
      </c>
      <c r="HL36" s="123">
        <f>IF(OR(HL$4="",$B36=""),0,SUMIF('DADOS BRUTOS'!$A$3:$A$500,$B36,'DADOS BRUTOS'!EL$3:EL$500)+IF($C36="",0,SUMIF('DADOS BRUTOS'!$A$3:$A$500,$C36,'DADOS BRUTOS'!EL$3:EL$500)))</f>
        <v/>
      </c>
      <c r="HM36" s="123">
        <f>IF(OR(HM$4="",$B36=""),0,SUMIF('DADOS BRUTOS'!$A$3:$A$500,$B36,'DADOS BRUTOS'!EM$3:EM$500)+IF($C36="",0,SUMIF('DADOS BRUTOS'!$A$3:$A$500,$C36,'DADOS BRUTOS'!EM$3:EM$500)))</f>
        <v/>
      </c>
      <c r="HN36" s="123">
        <f>IF(OR(HN$4="",$B36=""),0,SUMIF('DADOS BRUTOS'!$A$3:$A$500,$B36,'DADOS BRUTOS'!EN$3:EN$500)+IF($C36="",0,SUMIF('DADOS BRUTOS'!$A$3:$A$500,$C36,'DADOS BRUTOS'!EN$3:EN$500)))</f>
        <v/>
      </c>
      <c r="HO36" s="123">
        <f>IF(OR(HO$4="",$B36=""),0,SUMIF('DADOS BRUTOS'!$A$3:$A$500,$B36,'DADOS BRUTOS'!EO$3:EO$500)+IF($C36="",0,SUMIF('DADOS BRUTOS'!$A$3:$A$500,$C36,'DADOS BRUTOS'!EO$3:EO$500)))</f>
        <v/>
      </c>
      <c r="HP36" s="123">
        <f>IF(OR(HP$4="",$B36=""),0,SUMIF('DADOS BRUTOS'!$A$3:$A$500,$B36,'DADOS BRUTOS'!EP$3:EP$500)+IF($C36="",0,SUMIF('DADOS BRUTOS'!$A$3:$A$500,$C36,'DADOS BRUTOS'!EP$3:EP$500)))</f>
        <v/>
      </c>
      <c r="HQ36" s="123">
        <f>IF(OR(HQ$4="",$B36=""),0,SUMIF('DADOS BRUTOS'!$A$3:$A$500,$B36,'DADOS BRUTOS'!EQ$3:EQ$500)+IF($C36="",0,SUMIF('DADOS BRUTOS'!$A$3:$A$500,$C36,'DADOS BRUTOS'!EQ$3:EQ$500)))</f>
        <v/>
      </c>
      <c r="HR36" s="123">
        <f>IF(OR(HR$4="",$B36=""),0,SUMIF('DADOS BRUTOS'!$A$3:$A$500,$B36,'DADOS BRUTOS'!ER$3:ER$500)+IF($C36="",0,SUMIF('DADOS BRUTOS'!$A$3:$A$500,$C36,'DADOS BRUTOS'!ER$3:ER$500)))</f>
        <v/>
      </c>
      <c r="HS36" s="123">
        <f>IF(OR(HS$4="",$B36=""),0,SUMIF('DADOS BRUTOS'!$A$3:$A$500,$B36,'DADOS BRUTOS'!ES$3:ES$500)+IF($C36="",0,SUMIF('DADOS BRUTOS'!$A$3:$A$500,$C36,'DADOS BRUTOS'!ES$3:ES$500)))</f>
        <v/>
      </c>
      <c r="HT36" s="123">
        <f>IF(OR(HT$4="",$B36=""),0,SUMIF('DADOS BRUTOS'!$A$3:$A$500,$B36,'DADOS BRUTOS'!ET$3:ET$500)+IF($C36="",0,SUMIF('DADOS BRUTOS'!$A$3:$A$500,$C36,'DADOS BRUTOS'!ET$3:ET$500)))</f>
        <v/>
      </c>
      <c r="HU36" s="123">
        <f>IF(OR(HU$4="",$B36=""),0,SUMIF('DADOS BRUTOS'!$A$3:$A$500,$B36,'DADOS BRUTOS'!EU$3:EU$500)+IF($C36="",0,SUMIF('DADOS BRUTOS'!$A$3:$A$500,$C36,'DADOS BRUTOS'!EU$3:EU$500)))</f>
        <v/>
      </c>
      <c r="HV36" s="123">
        <f>IF(OR(HV$4="",$B36=""),0,SUMIF('DADOS BRUTOS'!$A$3:$A$500,$B36,'DADOS BRUTOS'!EV$3:EV$500)+IF($C36="",0,SUMIF('DADOS BRUTOS'!$A$3:$A$500,$C36,'DADOS BRUTOS'!EV$3:EV$500)))</f>
        <v/>
      </c>
      <c r="HW36" s="123">
        <f>IF(OR(HW$4="",$B36=""),0,SUMIF('DADOS BRUTOS'!$A$3:$A$500,$B36,'DADOS BRUTOS'!EW$3:EW$500)+IF($C36="",0,SUMIF('DADOS BRUTOS'!$A$3:$A$500,$C36,'DADOS BRUTOS'!EW$3:EW$500)))</f>
        <v/>
      </c>
      <c r="HX36" s="123">
        <f>IF(OR(HX$4="",$B36=""),0,SUMIF('DADOS BRUTOS'!$A$3:$A$500,$B36,'DADOS BRUTOS'!EX$3:EX$500)+IF($C36="",0,SUMIF('DADOS BRUTOS'!$A$3:$A$500,$C36,'DADOS BRUTOS'!EX$3:EX$500)))</f>
        <v/>
      </c>
      <c r="HY36" s="123">
        <f>IF(OR(HY$4="",$B36=""),0,SUMIF('DADOS BRUTOS'!$A$3:$A$500,$B36,'DADOS BRUTOS'!EY$3:EY$500)+IF($C36="",0,SUMIF('DADOS BRUTOS'!$A$3:$A$500,$C36,'DADOS BRUTOS'!EY$3:EY$500)))</f>
        <v/>
      </c>
      <c r="HZ36" s="123">
        <f>IF(OR(HZ$4="",$B36=""),0,SUMIF('DADOS BRUTOS'!$A$3:$A$500,$B36,'DADOS BRUTOS'!EZ$3:EZ$500)+IF($C36="",0,SUMIF('DADOS BRUTOS'!$A$3:$A$500,$C36,'DADOS BRUTOS'!EZ$3:EZ$500)))</f>
        <v/>
      </c>
      <c r="IA36" s="123">
        <f>IF(OR(IA$4="",$B36=""),0,SUMIF('DADOS BRUTOS'!$A$3:$A$500,$B36,'DADOS BRUTOS'!FA$3:FA$500)+IF($C36="",0,SUMIF('DADOS BRUTOS'!$A$3:$A$500,$C36,'DADOS BRUTOS'!FA$3:FA$500)))</f>
        <v/>
      </c>
      <c r="IB36" s="123">
        <f>IF(OR(IB$4="",$B36=""),0,SUMIF('DADOS BRUTOS'!$A$3:$A$500,$B36,'DADOS BRUTOS'!FB$3:FB$500)+IF($C36="",0,SUMIF('DADOS BRUTOS'!$A$3:$A$500,$C36,'DADOS BRUTOS'!FB$3:FB$500)))</f>
        <v/>
      </c>
      <c r="IC36" s="123">
        <f>IF(OR(IC$4="",$B36=""),0,SUMIF('DADOS BRUTOS'!$A$3:$A$500,$B36,'DADOS BRUTOS'!FC$3:FC$500)+IF($C36="",0,SUMIF('DADOS BRUTOS'!$A$3:$A$500,$C36,'DADOS BRUTOS'!FC$3:FC$500)))</f>
        <v/>
      </c>
      <c r="ID36" s="123">
        <f>IF(OR(ID$4="",$B36=""),0,SUMIF('DADOS BRUTOS'!$A$3:$A$500,$B36,'DADOS BRUTOS'!FD$3:FD$500)+IF($C36="",0,SUMIF('DADOS BRUTOS'!$A$3:$A$500,$C36,'DADOS BRUTOS'!FD$3:FD$500)))</f>
        <v/>
      </c>
      <c r="IE36" s="123">
        <f>IF(OR(IE$4="",$B36=""),0,SUMIF('DADOS BRUTOS'!$A$3:$A$500,$B36,'DADOS BRUTOS'!FE$3:FE$500)+IF($C36="",0,SUMIF('DADOS BRUTOS'!$A$3:$A$500,$C36,'DADOS BRUTOS'!FE$3:FE$500)))</f>
        <v/>
      </c>
      <c r="IF36" s="123">
        <f>IF(OR(IF$4="",$B36=""),0,SUMIF('DADOS BRUTOS'!$A$3:$A$500,$B36,'DADOS BRUTOS'!FF$3:FF$500)+IF($C36="",0,SUMIF('DADOS BRUTOS'!$A$3:$A$500,$C36,'DADOS BRUTOS'!FF$3:FF$500)))</f>
        <v/>
      </c>
      <c r="IG36" s="123">
        <f>IF(OR(IG$4="",$B36=""),0,SUMIF('DADOS BRUTOS'!$A$3:$A$500,$B36,'DADOS BRUTOS'!FG$3:FG$500)+IF($C36="",0,SUMIF('DADOS BRUTOS'!$A$3:$A$500,$C36,'DADOS BRUTOS'!FG$3:FG$500)))</f>
        <v/>
      </c>
      <c r="IH36" s="123">
        <f>IF(OR(IH$4="",$B36=""),0,SUMIF('DADOS BRUTOS'!$A$3:$A$500,$B36,'DADOS BRUTOS'!FH$3:FH$500)+IF($C36="",0,SUMIF('DADOS BRUTOS'!$A$3:$A$500,$C36,'DADOS BRUTOS'!FH$3:FH$500)))</f>
        <v/>
      </c>
      <c r="II36" s="123">
        <f>IF(OR(II$4="",$B36=""),0,SUMIF('DADOS BRUTOS'!$A$3:$A$500,$B36,'DADOS BRUTOS'!FI$3:FI$500)+IF($C36="",0,SUMIF('DADOS BRUTOS'!$A$3:$A$500,$C36,'DADOS BRUTOS'!FI$3:FI$500)))</f>
        <v/>
      </c>
      <c r="IJ36" s="123">
        <f>IF(OR(IJ$4="",$B36=""),0,SUMIF('DADOS BRUTOS'!$A$3:$A$500,$B36,'DADOS BRUTOS'!FJ$3:FJ$500)+IF($C36="",0,SUMIF('DADOS BRUTOS'!$A$3:$A$500,$C36,'DADOS BRUTOS'!FJ$3:FJ$500)))</f>
        <v/>
      </c>
      <c r="IK36" s="123">
        <f>IF(OR(IK$4="",$B36=""),0,SUMIF('DADOS BRUTOS'!$A$3:$A$500,$B36,'DADOS BRUTOS'!FK$3:FK$500)+IF($C36="",0,SUMIF('DADOS BRUTOS'!$A$3:$A$500,$C36,'DADOS BRUTOS'!FK$3:FK$500)))</f>
        <v/>
      </c>
      <c r="IL36" s="123">
        <f>IF(OR(IL$4="",$B36=""),0,SUMIF('DADOS BRUTOS'!$A$3:$A$500,$B36,'DADOS BRUTOS'!FL$3:FL$500)+IF($C36="",0,SUMIF('DADOS BRUTOS'!$A$3:$A$500,$C36,'DADOS BRUTOS'!FL$3:FL$500)))</f>
        <v/>
      </c>
      <c r="IM36" s="123">
        <f>IF(OR(IM$4="",$B36=""),0,SUMIF('DADOS BRUTOS'!$A$3:$A$500,$B36,'DADOS BRUTOS'!FM$3:FM$500)+IF($C36="",0,SUMIF('DADOS BRUTOS'!$A$3:$A$500,$C36,'DADOS BRUTOS'!FM$3:FM$500)))</f>
        <v/>
      </c>
      <c r="IN36" s="123">
        <f>IF(OR(IN$4="",$B36=""),0,SUMIF('DADOS BRUTOS'!$A$3:$A$500,$B36,'DADOS BRUTOS'!FN$3:FN$500)+IF($C36="",0,SUMIF('DADOS BRUTOS'!$A$3:$A$500,$C36,'DADOS BRUTOS'!FN$3:FN$500)))</f>
        <v/>
      </c>
      <c r="IO36" s="123">
        <f>IF(OR(IO$4="",$B36=""),0,SUMIF('DADOS BRUTOS'!$A$3:$A$500,$B36,'DADOS BRUTOS'!FO$3:FO$500)+IF($C36="",0,SUMIF('DADOS BRUTOS'!$A$3:$A$500,$C36,'DADOS BRUTOS'!FO$3:FO$500)))</f>
        <v/>
      </c>
      <c r="IP36" s="123">
        <f>IF(OR(IP$4="",$B36=""),0,SUMIF('DADOS BRUTOS'!$A$3:$A$500,$B36,'DADOS BRUTOS'!FP$3:FP$500)+IF($C36="",0,SUMIF('DADOS BRUTOS'!$A$3:$A$500,$C36,'DADOS BRUTOS'!FP$3:FP$500)))</f>
        <v/>
      </c>
      <c r="IQ36" s="123">
        <f>IF(OR(IQ$4="",$B36=""),0,SUMIF('DADOS BRUTOS'!$A$3:$A$500,$B36,'DADOS BRUTOS'!FQ$3:FQ$500)+IF($C36="",0,SUMIF('DADOS BRUTOS'!$A$3:$A$500,$C36,'DADOS BRUTOS'!FQ$3:FQ$500)))</f>
        <v/>
      </c>
      <c r="IR36" s="123">
        <f>IF(OR(IR$4="",$B36=""),0,SUMIF('DADOS BRUTOS'!$A$3:$A$500,$B36,'DADOS BRUTOS'!FR$3:FR$500)+IF($C36="",0,SUMIF('DADOS BRUTOS'!$A$3:$A$500,$C36,'DADOS BRUTOS'!FR$3:FR$500)))</f>
        <v/>
      </c>
      <c r="IS36" s="123">
        <f>IF(OR(IS$4="",$B36=""),0,SUMIF('DADOS BRUTOS'!$A$3:$A$500,$B36,'DADOS BRUTOS'!FS$3:FS$500)+IF($C36="",0,SUMIF('DADOS BRUTOS'!$A$3:$A$500,$C36,'DADOS BRUTOS'!FS$3:FS$500)))</f>
        <v/>
      </c>
      <c r="IT36" s="123">
        <f>IF(OR(IT$4="",$B36=""),0,SUMIF('DADOS BRUTOS'!$A$3:$A$500,$B36,'DADOS BRUTOS'!FT$3:FT$500)+IF($C36="",0,SUMIF('DADOS BRUTOS'!$A$3:$A$500,$C36,'DADOS BRUTOS'!FT$3:FT$500)))</f>
        <v/>
      </c>
      <c r="IU36" s="123">
        <f>IF(OR(IU$4="",$B36=""),0,SUMIF('DADOS BRUTOS'!$A$3:$A$500,$B36,'DADOS BRUTOS'!FU$3:FU$500)+IF($C36="",0,SUMIF('DADOS BRUTOS'!$A$3:$A$500,$C36,'DADOS BRUTOS'!FU$3:FU$500)))</f>
        <v/>
      </c>
      <c r="IV36" s="123">
        <f>IF(OR(IV$4="",$B36=""),0,SUMIF('DADOS BRUTOS'!$A$3:$A$500,$B36,'DADOS BRUTOS'!FV$3:FV$500)+IF($C36="",0,SUMIF('DADOS BRUTOS'!$A$3:$A$500,$C36,'DADOS BRUTOS'!FV$3:FV$500)))</f>
        <v/>
      </c>
      <c r="IW36" s="123">
        <f>IF(OR(IW$4="",$B36=""),0,SUMIF('DADOS BRUTOS'!$A$3:$A$500,$B36,'DADOS BRUTOS'!FW$3:FW$500)+IF($C36="",0,SUMIF('DADOS BRUTOS'!$A$3:$A$500,$C36,'DADOS BRUTOS'!FW$3:FW$500)))</f>
        <v/>
      </c>
      <c r="IX36" s="123">
        <f>IF(OR(IX$4="",$B36=""),0,SUMIF('DADOS BRUTOS'!$A$3:$A$500,$B36,'DADOS BRUTOS'!FX$3:FX$500)+IF($C36="",0,SUMIF('DADOS BRUTOS'!$A$3:$A$500,$C36,'DADOS BRUTOS'!FX$3:FX$500)))</f>
        <v/>
      </c>
      <c r="IY36" s="123">
        <f>IF(OR(IY$4="",$B36=""),0,SUMIF('DADOS BRUTOS'!$A$3:$A$500,$B36,'DADOS BRUTOS'!FY$3:FY$500)+IF($C36="",0,SUMIF('DADOS BRUTOS'!$A$3:$A$500,$C36,'DADOS BRUTOS'!FY$3:FY$500)))</f>
        <v/>
      </c>
      <c r="IZ36" s="123">
        <f>IF(OR(IZ$4="",$B36=""),0,SUMIF('DADOS BRUTOS'!$A$3:$A$500,$B36,'DADOS BRUTOS'!FZ$3:FZ$500)+IF($C36="",0,SUMIF('DADOS BRUTOS'!$A$3:$A$500,$C36,'DADOS BRUTOS'!FZ$3:FZ$500)))</f>
        <v/>
      </c>
      <c r="JA36" s="123">
        <f>IF(OR(JA$4="",$B36=""),0,SUMIF('DADOS BRUTOS'!$A$3:$A$500,$B36,'DADOS BRUTOS'!GA$3:GA$500)+IF($C36="",0,SUMIF('DADOS BRUTOS'!$A$3:$A$500,$C36,'DADOS BRUTOS'!GA$3:GA$500)))</f>
        <v/>
      </c>
      <c r="JB36" s="123">
        <f>IF(OR(JB$4="",$B36=""),0,SUMIF('DADOS BRUTOS'!$A$3:$A$500,$B36,'DADOS BRUTOS'!GB$3:GB$500)+IF($C36="",0,SUMIF('DADOS BRUTOS'!$A$3:$A$500,$C36,'DADOS BRUTOS'!GB$3:GB$500)))</f>
        <v/>
      </c>
      <c r="JC36" s="123">
        <f>IF(OR(JC$4="",$B36=""),0,SUMIF('DADOS BRUTOS'!$A$3:$A$500,$B36,'DADOS BRUTOS'!GC$3:GC$500)+IF($C36="",0,SUMIF('DADOS BRUTOS'!$A$3:$A$500,$C36,'DADOS BRUTOS'!GC$3:GC$500)))</f>
        <v/>
      </c>
      <c r="JD36" s="123">
        <f>IF(OR(JD$4="",$B36=""),0,SUMIF('DADOS BRUTOS'!$A$3:$A$500,$B36,'DADOS BRUTOS'!GD$3:GD$500)+IF($C36="",0,SUMIF('DADOS BRUTOS'!$A$3:$A$500,$C36,'DADOS BRUTOS'!GD$3:GD$500)))</f>
        <v/>
      </c>
      <c r="JE36" s="123">
        <f>IF(OR(JE$4="",$B36=""),0,SUMIF('DADOS BRUTOS'!$A$3:$A$500,$B36,'DADOS BRUTOS'!GE$3:GE$500)+IF($C36="",0,SUMIF('DADOS BRUTOS'!$A$3:$A$500,$C36,'DADOS BRUTOS'!GE$3:GE$500)))</f>
        <v/>
      </c>
      <c r="JF36" s="123">
        <f>IF(OR(JF$4="",$B36=""),0,SUMIF('DADOS BRUTOS'!$A$3:$A$500,$B36,'DADOS BRUTOS'!GF$3:GF$500)+IF($C36="",0,SUMIF('DADOS BRUTOS'!$A$3:$A$500,$C36,'DADOS BRUTOS'!GF$3:GF$500)))</f>
        <v/>
      </c>
      <c r="JG36" s="123">
        <f>IF(OR(JG$4="",$B36=""),0,SUMIF('DADOS BRUTOS'!$A$3:$A$500,$B36,'DADOS BRUTOS'!GG$3:GG$500)+IF($C36="",0,SUMIF('DADOS BRUTOS'!$A$3:$A$500,$C36,'DADOS BRUTOS'!GG$3:GG$500)))</f>
        <v/>
      </c>
      <c r="JH36" s="123">
        <f>IF(OR(JH$4="",$B36=""),0,SUMIF('DADOS BRUTOS'!$A$3:$A$500,$B36,'DADOS BRUTOS'!GH$3:GH$500)+IF($C36="",0,SUMIF('DADOS BRUTOS'!$A$3:$A$500,$C36,'DADOS BRUTOS'!GH$3:GH$500)))</f>
        <v/>
      </c>
      <c r="JI36" s="123">
        <f>IF(OR(JI$4="",$B36=""),0,SUMIF('DADOS BRUTOS'!$A$3:$A$500,$B36,'DADOS BRUTOS'!GI$3:GI$500)+IF($C36="",0,SUMIF('DADOS BRUTOS'!$A$3:$A$500,$C36,'DADOS BRUTOS'!GI$3:GI$500)))</f>
        <v/>
      </c>
      <c r="JJ36" s="123">
        <f>IF(OR(JJ$4="",$B36=""),0,SUMIF('DADOS BRUTOS'!$A$3:$A$500,$B36,'DADOS BRUTOS'!GJ$3:GJ$500)+IF($C36="",0,SUMIF('DADOS BRUTOS'!$A$3:$A$500,$C36,'DADOS BRUTOS'!GJ$3:GJ$500)))</f>
        <v/>
      </c>
      <c r="JK36" s="123">
        <f>IF(OR(JK$4="",$B36=""),0,SUMIF('DADOS BRUTOS'!$A$3:$A$500,$B36,'DADOS BRUTOS'!GK$3:GK$500)+IF($C36="",0,SUMIF('DADOS BRUTOS'!$A$3:$A$500,$C36,'DADOS BRUTOS'!GK$3:GK$500)))</f>
        <v/>
      </c>
      <c r="JL36" s="123">
        <f>IF(OR(JL$4="",$B36=""),0,SUMIF('DADOS BRUTOS'!$A$3:$A$500,$B36,'DADOS BRUTOS'!GL$3:GL$500)+IF($C36="",0,SUMIF('DADOS BRUTOS'!$A$3:$A$500,$C36,'DADOS BRUTOS'!GL$3:GL$500)))</f>
        <v/>
      </c>
      <c r="JM36" s="123">
        <f>IF(OR(JM$4="",$B36=""),0,SUMIF('DADOS BRUTOS'!$A$3:$A$500,$B36,'DADOS BRUTOS'!GM$3:GM$500)+IF($C36="",0,SUMIF('DADOS BRUTOS'!$A$3:$A$500,$C36,'DADOS BRUTOS'!GM$3:GM$500)))</f>
        <v/>
      </c>
      <c r="JN36" s="123">
        <f>IF(OR(JN$4="",$B36=""),0,SUMIF('DADOS BRUTOS'!$A$3:$A$500,$B36,'DADOS BRUTOS'!GN$3:GN$500)+IF($C36="",0,SUMIF('DADOS BRUTOS'!$A$3:$A$500,$C36,'DADOS BRUTOS'!GN$3:GN$500)))</f>
        <v/>
      </c>
      <c r="JO36" s="123">
        <f>IF(OR(JO$4="",$B36=""),0,SUMIF('DADOS BRUTOS'!$A$3:$A$500,$B36,'DADOS BRUTOS'!GO$3:GO$500)+IF($C36="",0,SUMIF('DADOS BRUTOS'!$A$3:$A$500,$C36,'DADOS BRUTOS'!GO$3:GO$500)))</f>
        <v/>
      </c>
      <c r="JP36" s="123">
        <f>IF(OR(JP$4="",$B36=""),0,SUMIF('DADOS BRUTOS'!$A$3:$A$500,$B36,'DADOS BRUTOS'!GP$3:GP$500)+IF($C36="",0,SUMIF('DADOS BRUTOS'!$A$3:$A$500,$C36,'DADOS BRUTOS'!GP$3:GP$500)))</f>
        <v/>
      </c>
      <c r="JQ36" s="123">
        <f>IF(OR(JQ$4="",$B36=""),0,SUMIF('DADOS BRUTOS'!$A$3:$A$500,$B36,'DADOS BRUTOS'!GQ$3:GQ$500)+IF($C36="",0,SUMIF('DADOS BRUTOS'!$A$3:$A$500,$C36,'DADOS BRUTOS'!GQ$3:GQ$500)))</f>
        <v/>
      </c>
      <c r="JR36" s="123">
        <f>IF(OR(JR$4="",$B36=""),0,SUMIF('DADOS BRUTOS'!$A$3:$A$500,$B36,'DADOS BRUTOS'!GR$3:GR$500)+IF($C36="",0,SUMIF('DADOS BRUTOS'!$A$3:$A$500,$C36,'DADOS BRUTOS'!GR$3:GR$500)))</f>
        <v/>
      </c>
      <c r="JS36" s="123">
        <f>IF(OR(JS$4="",$B36=""),0,SUMIF('DADOS BRUTOS'!$A$3:$A$500,$B36,'DADOS BRUTOS'!GS$3:GS$500)+IF($C36="",0,SUMIF('DADOS BRUTOS'!$A$3:$A$500,$C36,'DADOS BRUTOS'!GS$3:GS$500)))</f>
        <v/>
      </c>
    </row>
    <row r="37">
      <c r="A37" s="61">
        <f>'VALOR POR PL'!D43</f>
        <v/>
      </c>
      <c r="B37" s="60" t="inlineStr">
        <is>
          <t>FORRO</t>
        </is>
      </c>
      <c r="C37" s="60" t="n"/>
      <c r="D37" s="55">
        <f>SUMIF($CB$4:$JS$4,"&lt;="&amp;D$4,$CB37:$JS37)</f>
        <v/>
      </c>
      <c r="E37" s="55">
        <f>SUMIF($CB$4:$JS$4,E$4,$CB37:$JS37)</f>
        <v/>
      </c>
      <c r="F37" s="55">
        <f>SUMIF($CB$4:$JS$4,F$4,$CB37:$JS37)</f>
        <v/>
      </c>
      <c r="G37" s="55">
        <f>SUMIF($CB$4:$JS$4,G$4,$CB37:$JS37)</f>
        <v/>
      </c>
      <c r="H37" s="55">
        <f>SUMIF($CB$4:$JS$4,H$4,$CB37:$JS37)</f>
        <v/>
      </c>
      <c r="I37" s="55">
        <f>SUMIF($CB$4:$JS$4,I$4,$CB37:$JS37)</f>
        <v/>
      </c>
      <c r="J37" s="55">
        <f>SUMIF($CB$4:$JS$4,J$4,$CB37:$JS37)</f>
        <v/>
      </c>
      <c r="K37" s="55">
        <f>SUMIF($CB$4:$JS$4,K$4,$CB37:$JS37)</f>
        <v/>
      </c>
      <c r="L37" s="55">
        <f>SUMIF($CB$4:$JS$4,L$4,$CB37:$JS37)</f>
        <v/>
      </c>
      <c r="M37" s="55">
        <f>SUMIF($CB$4:$JS$4,M$4,$CB37:$JS37)</f>
        <v/>
      </c>
      <c r="N37" s="55">
        <f>SUMIF($CB$4:$JS$4,N$4,$CB37:$JS37)</f>
        <v/>
      </c>
      <c r="O37" s="55">
        <f>SUMIF($CB$4:$JS$4,O$4,$CB37:$JS37)</f>
        <v/>
      </c>
      <c r="P37" s="55">
        <f>SUMIF($CB$4:$JS$4,P$4,$CB37:$JS37)</f>
        <v/>
      </c>
      <c r="Q37" s="55">
        <f>SUMIF($CB$4:$JS$4,Q$4,$CB37:$JS37)</f>
        <v/>
      </c>
      <c r="R37" s="55">
        <f>SUMIF($CB$4:$JS$4,R$4,$CB37:$JS37)</f>
        <v/>
      </c>
      <c r="S37" s="55">
        <f>SUMIF($CB$4:$JS$4,S$4,$CB37:$JS37)</f>
        <v/>
      </c>
      <c r="T37" s="55">
        <f>SUMIF($CB$4:$JS$4,T$4,$CB37:$JS37)</f>
        <v/>
      </c>
      <c r="U37" s="55">
        <f>SUMIF($CB$4:$JS$4,U$4,$CB37:$JS37)</f>
        <v/>
      </c>
      <c r="V37" s="55">
        <f>SUMIF($CB$4:$JS$4,V$4,$CB37:$JS37)</f>
        <v/>
      </c>
      <c r="W37" s="55">
        <f>SUMIF($CB$4:$JS$4,W$4,$CB37:$JS37)</f>
        <v/>
      </c>
      <c r="X37" s="55">
        <f>SUMIF($CB$4:$JS$4,X$4,$CB37:$JS37)</f>
        <v/>
      </c>
      <c r="Y37" s="55">
        <f>SUMIF($CB$4:$JS$4,Y$4,$CB37:$JS37)</f>
        <v/>
      </c>
      <c r="Z37" s="55">
        <f>SUMIF($CB$4:$JS$4,Z$4,$CB37:$JS37)</f>
        <v/>
      </c>
      <c r="AA37" s="55">
        <f>SUMIF($CB$4:$JS$4,AA$4,$CB37:$JS37)</f>
        <v/>
      </c>
      <c r="AB37" s="55">
        <f>SUMIF($CB$4:$JS$4,AB$4,$CB37:$JS37)</f>
        <v/>
      </c>
      <c r="AC37" s="55">
        <f>SUMIF($CB$4:$JS$4,AC$4,$CB37:$JS37)</f>
        <v/>
      </c>
      <c r="AD37" s="55">
        <f>SUMIF($CB$4:$JS$4,AD$4,$CB37:$JS37)</f>
        <v/>
      </c>
      <c r="AE37" s="55">
        <f>SUMIF($CB$4:$JS$4,AE$4,$CB37:$JS37)</f>
        <v/>
      </c>
      <c r="AF37" s="55">
        <f>SUMIF($CB$4:$JS$4,AF$4,$CB37:$JS37)</f>
        <v/>
      </c>
      <c r="AG37" s="55">
        <f>SUMIF($CB$4:$JS$4,AG$4,$CB37:$JS37)</f>
        <v/>
      </c>
      <c r="AH37" s="55">
        <f>SUMIF($CB$4:$JS$4,AH$4,$CB37:$JS37)</f>
        <v/>
      </c>
      <c r="AI37" s="55">
        <f>SUMIF($CB$4:$JS$4,AI$4,$CB37:$JS37)</f>
        <v/>
      </c>
      <c r="AJ37" s="55">
        <f>SUMIF($CB$4:$JS$4,AJ$4,$CB37:$JS37)</f>
        <v/>
      </c>
      <c r="AK37" s="55">
        <f>SUMIF($CB$4:$JS$4,AK$4,$CB37:$JS37)</f>
        <v/>
      </c>
      <c r="AL37" s="55">
        <f>SUMIF($CB$4:$JS$4,AL$4,$CB37:$JS37)</f>
        <v/>
      </c>
      <c r="AM37" s="55">
        <f>SUMIF($CB$4:$JS$4,AM$4,$CB37:$JS37)</f>
        <v/>
      </c>
      <c r="AN37" s="55">
        <f>SUMIF($CB$4:$JS$4,AN$4,$CB37:$JS37)</f>
        <v/>
      </c>
      <c r="AO37" s="55">
        <f>SUMIF($CB$4:$JS$4,AO$4,$CB37:$JS37)</f>
        <v/>
      </c>
      <c r="AP37" s="55">
        <f>SUMIF($CB$4:$JS$4,AP$4,$CB37:$JS37)</f>
        <v/>
      </c>
      <c r="AQ37" s="55">
        <f>SUMIF($CB$4:$JS$4,AQ$4,$CB37:$JS37)</f>
        <v/>
      </c>
      <c r="AR37" s="55">
        <f>SUMIF($CB$4:$JS$4,AR$4,$CB37:$JS37)</f>
        <v/>
      </c>
      <c r="AS37" s="55">
        <f>SUMIF($CB$4:$JS$4,AS$4,$CB37:$JS37)</f>
        <v/>
      </c>
      <c r="AT37" s="55">
        <f>SUMIF($CB$4:$JS$4,AT$4,$CB37:$JS37)</f>
        <v/>
      </c>
      <c r="AU37" s="55">
        <f>SUMIF($CB$4:$JS$4,AU$4,$CB37:$JS37)</f>
        <v/>
      </c>
      <c r="AV37" s="55">
        <f>SUMIF($CB$4:$JS$4,AV$4,$CB37:$JS37)</f>
        <v/>
      </c>
      <c r="AW37" s="55">
        <f>SUMIF($CB$4:$JS$4,AW$4,$CB37:$JS37)</f>
        <v/>
      </c>
      <c r="AX37" s="55">
        <f>SUMIF($CB$4:$JS$4,AX$4,$CB37:$JS37)</f>
        <v/>
      </c>
      <c r="AY37" s="55">
        <f>SUMIF($CB$4:$JS$4,AY$4,$CB37:$JS37)</f>
        <v/>
      </c>
      <c r="AZ37" s="55">
        <f>SUMIF($CB$4:$JS$4,AZ$4,$CB37:$JS37)</f>
        <v/>
      </c>
      <c r="BA37" s="55">
        <f>SUMIF($CB$4:$JS$4,BA$4,$CB37:$JS37)</f>
        <v/>
      </c>
      <c r="BB37" s="55">
        <f>SUMIF($CB$4:$JS$4,BB$4,$CB37:$JS37)</f>
        <v/>
      </c>
      <c r="BC37" s="55">
        <f>SUMIF($CB$4:$JS$4,BC$4,$CB37:$JS37)</f>
        <v/>
      </c>
      <c r="BD37" s="55">
        <f>SUMIF($CB$4:$JS$4,BD$4,$CB37:$JS37)</f>
        <v/>
      </c>
      <c r="BE37" s="55">
        <f>SUMIF($CB$4:$JS$4,BE$4,$CB37:$JS37)</f>
        <v/>
      </c>
      <c r="BF37" s="55">
        <f>SUMIF($CB$4:$JS$4,BF$4,$CB37:$JS37)</f>
        <v/>
      </c>
      <c r="BG37" s="55">
        <f>SUMIF($CB$4:$JS$4,BG$4,$CB37:$JS37)</f>
        <v/>
      </c>
      <c r="BH37" s="55">
        <f>SUMIF($CB$4:$JS$4,BH$4,$CB37:$JS37)</f>
        <v/>
      </c>
      <c r="BI37" s="55">
        <f>SUMIF($CB$4:$JS$4,BI$4,$CB37:$JS37)</f>
        <v/>
      </c>
      <c r="BJ37" s="55">
        <f>SUMIF($CB$4:$JS$4,BJ$4,$CB37:$JS37)</f>
        <v/>
      </c>
      <c r="BK37" s="55">
        <f>SUMIF($CB$4:$JS$4,BK$4,$CB37:$JS37)</f>
        <v/>
      </c>
      <c r="BL37" s="55">
        <f>SUMIF($CB$4:$JS$4,BL$4,$CB37:$JS37)</f>
        <v/>
      </c>
      <c r="BM37" s="55">
        <f>SUMIF($CB$4:$JS$4,BM$4,$CB37:$JS37)</f>
        <v/>
      </c>
      <c r="BN37" s="55">
        <f>SUMIF($CB$4:$JS$4,BN$4,$CB37:$JS37)</f>
        <v/>
      </c>
      <c r="BO37" s="55">
        <f>SUMIF($CB$4:$JS$4,BO$4,$CB37:$JS37)</f>
        <v/>
      </c>
      <c r="BP37" s="55">
        <f>SUMIF($CB$4:$JS$4,BP$4,$CB37:$JS37)</f>
        <v/>
      </c>
      <c r="BQ37" s="55">
        <f>SUMIF($CB$4:$JS$4,BQ$4,$CB37:$JS37)</f>
        <v/>
      </c>
      <c r="BR37" s="55">
        <f>SUMIF($CB$4:$JS$4,BR$4,$CB37:$JS37)</f>
        <v/>
      </c>
      <c r="BS37" s="55">
        <f>SUMIF($CB$4:$JS$4,BS$4,$CB37:$JS37)</f>
        <v/>
      </c>
      <c r="BT37" s="55">
        <f>SUMIF($CB$4:$JS$4,BT$4,$CB37:$JS37)</f>
        <v/>
      </c>
      <c r="BU37" s="55">
        <f>SUMIF($CB$4:$JS$4,BU$4,$CB37:$JS37)</f>
        <v/>
      </c>
      <c r="BV37" s="55">
        <f>SUMIF($CB$4:$JS$4,BV$4,$CB37:$JS37)</f>
        <v/>
      </c>
      <c r="BW37" s="55">
        <f>SUMIF($CB$4:$JS$4,BW$4,$CB37:$JS37)</f>
        <v/>
      </c>
      <c r="BX37" s="55">
        <f>SUMIF($CB$4:$JS$4,"&gt;"&amp;'VALOR POR PL'!$P$8,$CB37:$JS37)</f>
        <v/>
      </c>
      <c r="BY37" s="55">
        <f>SUM($CB37:$JS37)</f>
        <v/>
      </c>
      <c r="CB37" s="123">
        <f>IF(OR(CB$4="",$B37=""),0,SUMIF('DADOS BRUTOS'!$A$3:$A$500,$B37,'DADOS BRUTOS'!B$3:B$500)+IF($C37="",0,SUMIF('DADOS BRUTOS'!$A$3:$A$500,$C37,'DADOS BRUTOS'!B$3:B$500)))</f>
        <v/>
      </c>
      <c r="CC37" s="123">
        <f>IF(OR(CC$4="",$B37=""),0,SUMIF('DADOS BRUTOS'!$A$3:$A$500,$B37,'DADOS BRUTOS'!C$3:C$500)+IF($C37="",0,SUMIF('DADOS BRUTOS'!$A$3:$A$500,$C37,'DADOS BRUTOS'!C$3:C$500)))</f>
        <v/>
      </c>
      <c r="CD37" s="123">
        <f>IF(OR(CD$4="",$B37=""),0,SUMIF('DADOS BRUTOS'!$A$3:$A$500,$B37,'DADOS BRUTOS'!D$3:D$500)+IF($C37="",0,SUMIF('DADOS BRUTOS'!$A$3:$A$500,$C37,'DADOS BRUTOS'!D$3:D$500)))</f>
        <v/>
      </c>
      <c r="CE37" s="123">
        <f>IF(OR(CE$4="",$B37=""),0,SUMIF('DADOS BRUTOS'!$A$3:$A$500,$B37,'DADOS BRUTOS'!E$3:E$500)+IF($C37="",0,SUMIF('DADOS BRUTOS'!$A$3:$A$500,$C37,'DADOS BRUTOS'!E$3:E$500)))</f>
        <v/>
      </c>
      <c r="CF37" s="123">
        <f>IF(OR(CF$4="",$B37=""),0,SUMIF('DADOS BRUTOS'!$A$3:$A$500,$B37,'DADOS BRUTOS'!F$3:F$500)+IF($C37="",0,SUMIF('DADOS BRUTOS'!$A$3:$A$500,$C37,'DADOS BRUTOS'!F$3:F$500)))</f>
        <v/>
      </c>
      <c r="CG37" s="123">
        <f>IF(OR(CG$4="",$B37=""),0,SUMIF('DADOS BRUTOS'!$A$3:$A$500,$B37,'DADOS BRUTOS'!G$3:G$500)+IF($C37="",0,SUMIF('DADOS BRUTOS'!$A$3:$A$500,$C37,'DADOS BRUTOS'!G$3:G$500)))</f>
        <v/>
      </c>
      <c r="CH37" s="123">
        <f>IF(OR(CH$4="",$B37=""),0,SUMIF('DADOS BRUTOS'!$A$3:$A$500,$B37,'DADOS BRUTOS'!H$3:H$500)+IF($C37="",0,SUMIF('DADOS BRUTOS'!$A$3:$A$500,$C37,'DADOS BRUTOS'!H$3:H$500)))</f>
        <v/>
      </c>
      <c r="CI37" s="123">
        <f>IF(OR(CI$4="",$B37=""),0,SUMIF('DADOS BRUTOS'!$A$3:$A$500,$B37,'DADOS BRUTOS'!I$3:I$500)+IF($C37="",0,SUMIF('DADOS BRUTOS'!$A$3:$A$500,$C37,'DADOS BRUTOS'!I$3:I$500)))</f>
        <v/>
      </c>
      <c r="CJ37" s="123">
        <f>IF(OR(CJ$4="",$B37=""),0,SUMIF('DADOS BRUTOS'!$A$3:$A$500,$B37,'DADOS BRUTOS'!J$3:J$500)+IF($C37="",0,SUMIF('DADOS BRUTOS'!$A$3:$A$500,$C37,'DADOS BRUTOS'!J$3:J$500)))</f>
        <v/>
      </c>
      <c r="CK37" s="123">
        <f>IF(OR(CK$4="",$B37=""),0,SUMIF('DADOS BRUTOS'!$A$3:$A$500,$B37,'DADOS BRUTOS'!K$3:K$500)+IF($C37="",0,SUMIF('DADOS BRUTOS'!$A$3:$A$500,$C37,'DADOS BRUTOS'!K$3:K$500)))</f>
        <v/>
      </c>
      <c r="CL37" s="123">
        <f>IF(OR(CL$4="",$B37=""),0,SUMIF('DADOS BRUTOS'!$A$3:$A$500,$B37,'DADOS BRUTOS'!L$3:L$500)+IF($C37="",0,SUMIF('DADOS BRUTOS'!$A$3:$A$500,$C37,'DADOS BRUTOS'!L$3:L$500)))</f>
        <v/>
      </c>
      <c r="CM37" s="123">
        <f>IF(OR(CM$4="",$B37=""),0,SUMIF('DADOS BRUTOS'!$A$3:$A$500,$B37,'DADOS BRUTOS'!M$3:M$500)+IF($C37="",0,SUMIF('DADOS BRUTOS'!$A$3:$A$500,$C37,'DADOS BRUTOS'!M$3:M$500)))</f>
        <v/>
      </c>
      <c r="CN37" s="123">
        <f>IF(OR(CN$4="",$B37=""),0,SUMIF('DADOS BRUTOS'!$A$3:$A$500,$B37,'DADOS BRUTOS'!N$3:N$500)+IF($C37="",0,SUMIF('DADOS BRUTOS'!$A$3:$A$500,$C37,'DADOS BRUTOS'!N$3:N$500)))</f>
        <v/>
      </c>
      <c r="CO37" s="123">
        <f>IF(OR(CO$4="",$B37=""),0,SUMIF('DADOS BRUTOS'!$A$3:$A$500,$B37,'DADOS BRUTOS'!O$3:O$500)+IF($C37="",0,SUMIF('DADOS BRUTOS'!$A$3:$A$500,$C37,'DADOS BRUTOS'!O$3:O$500)))</f>
        <v/>
      </c>
      <c r="CP37" s="123">
        <f>IF(OR(CP$4="",$B37=""),0,SUMIF('DADOS BRUTOS'!$A$3:$A$500,$B37,'DADOS BRUTOS'!P$3:P$500)+IF($C37="",0,SUMIF('DADOS BRUTOS'!$A$3:$A$500,$C37,'DADOS BRUTOS'!P$3:P$500)))</f>
        <v/>
      </c>
      <c r="CQ37" s="123">
        <f>IF(OR(CQ$4="",$B37=""),0,SUMIF('DADOS BRUTOS'!$A$3:$A$500,$B37,'DADOS BRUTOS'!Q$3:Q$500)+IF($C37="",0,SUMIF('DADOS BRUTOS'!$A$3:$A$500,$C37,'DADOS BRUTOS'!Q$3:Q$500)))</f>
        <v/>
      </c>
      <c r="CR37" s="123">
        <f>IF(OR(CR$4="",$B37=""),0,SUMIF('DADOS BRUTOS'!$A$3:$A$500,$B37,'DADOS BRUTOS'!R$3:R$500)+IF($C37="",0,SUMIF('DADOS BRUTOS'!$A$3:$A$500,$C37,'DADOS BRUTOS'!R$3:R$500)))</f>
        <v/>
      </c>
      <c r="CS37" s="123">
        <f>IF(OR(CS$4="",$B37=""),0,SUMIF('DADOS BRUTOS'!$A$3:$A$500,$B37,'DADOS BRUTOS'!S$3:S$500)+IF($C37="",0,SUMIF('DADOS BRUTOS'!$A$3:$A$500,$C37,'DADOS BRUTOS'!S$3:S$500)))</f>
        <v/>
      </c>
      <c r="CT37" s="123">
        <f>IF(OR(CT$4="",$B37=""),0,SUMIF('DADOS BRUTOS'!$A$3:$A$500,$B37,'DADOS BRUTOS'!T$3:T$500)+IF($C37="",0,SUMIF('DADOS BRUTOS'!$A$3:$A$500,$C37,'DADOS BRUTOS'!T$3:T$500)))</f>
        <v/>
      </c>
      <c r="CU37" s="123">
        <f>IF(OR(CU$4="",$B37=""),0,SUMIF('DADOS BRUTOS'!$A$3:$A$500,$B37,'DADOS BRUTOS'!U$3:U$500)+IF($C37="",0,SUMIF('DADOS BRUTOS'!$A$3:$A$500,$C37,'DADOS BRUTOS'!U$3:U$500)))</f>
        <v/>
      </c>
      <c r="CV37" s="123">
        <f>IF(OR(CV$4="",$B37=""),0,SUMIF('DADOS BRUTOS'!$A$3:$A$500,$B37,'DADOS BRUTOS'!V$3:V$500)+IF($C37="",0,SUMIF('DADOS BRUTOS'!$A$3:$A$500,$C37,'DADOS BRUTOS'!V$3:V$500)))</f>
        <v/>
      </c>
      <c r="CW37" s="123">
        <f>IF(OR(CW$4="",$B37=""),0,SUMIF('DADOS BRUTOS'!$A$3:$A$500,$B37,'DADOS BRUTOS'!W$3:W$500)+IF($C37="",0,SUMIF('DADOS BRUTOS'!$A$3:$A$500,$C37,'DADOS BRUTOS'!W$3:W$500)))</f>
        <v/>
      </c>
      <c r="CX37" s="123">
        <f>IF(OR(CX$4="",$B37=""),0,SUMIF('DADOS BRUTOS'!$A$3:$A$500,$B37,'DADOS BRUTOS'!X$3:X$500)+IF($C37="",0,SUMIF('DADOS BRUTOS'!$A$3:$A$500,$C37,'DADOS BRUTOS'!X$3:X$500)))</f>
        <v/>
      </c>
      <c r="CY37" s="123">
        <f>IF(OR(CY$4="",$B37=""),0,SUMIF('DADOS BRUTOS'!$A$3:$A$500,$B37,'DADOS BRUTOS'!Y$3:Y$500)+IF($C37="",0,SUMIF('DADOS BRUTOS'!$A$3:$A$500,$C37,'DADOS BRUTOS'!Y$3:Y$500)))</f>
        <v/>
      </c>
      <c r="CZ37" s="123">
        <f>IF(OR(CZ$4="",$B37=""),0,SUMIF('DADOS BRUTOS'!$A$3:$A$500,$B37,'DADOS BRUTOS'!Z$3:Z$500)+IF($C37="",0,SUMIF('DADOS BRUTOS'!$A$3:$A$500,$C37,'DADOS BRUTOS'!Z$3:Z$500)))</f>
        <v/>
      </c>
      <c r="DA37" s="123">
        <f>IF(OR(DA$4="",$B37=""),0,SUMIF('DADOS BRUTOS'!$A$3:$A$500,$B37,'DADOS BRUTOS'!AA$3:AA$500)+IF($C37="",0,SUMIF('DADOS BRUTOS'!$A$3:$A$500,$C37,'DADOS BRUTOS'!AA$3:AA$500)))</f>
        <v/>
      </c>
      <c r="DB37" s="123">
        <f>IF(OR(DB$4="",$B37=""),0,SUMIF('DADOS BRUTOS'!$A$3:$A$500,$B37,'DADOS BRUTOS'!AB$3:AB$500)+IF($C37="",0,SUMIF('DADOS BRUTOS'!$A$3:$A$500,$C37,'DADOS BRUTOS'!AB$3:AB$500)))</f>
        <v/>
      </c>
      <c r="DC37" s="123">
        <f>IF(OR(DC$4="",$B37=""),0,SUMIF('DADOS BRUTOS'!$A$3:$A$500,$B37,'DADOS BRUTOS'!AC$3:AC$500)+IF($C37="",0,SUMIF('DADOS BRUTOS'!$A$3:$A$500,$C37,'DADOS BRUTOS'!AC$3:AC$500)))</f>
        <v/>
      </c>
      <c r="DD37" s="123">
        <f>IF(OR(DD$4="",$B37=""),0,SUMIF('DADOS BRUTOS'!$A$3:$A$500,$B37,'DADOS BRUTOS'!AD$3:AD$500)+IF($C37="",0,SUMIF('DADOS BRUTOS'!$A$3:$A$500,$C37,'DADOS BRUTOS'!AD$3:AD$500)))</f>
        <v/>
      </c>
      <c r="DE37" s="123">
        <f>IF(OR(DE$4="",$B37=""),0,SUMIF('DADOS BRUTOS'!$A$3:$A$500,$B37,'DADOS BRUTOS'!AE$3:AE$500)+IF($C37="",0,SUMIF('DADOS BRUTOS'!$A$3:$A$500,$C37,'DADOS BRUTOS'!AE$3:AE$500)))</f>
        <v/>
      </c>
      <c r="DF37" s="123">
        <f>IF(OR(DF$4="",$B37=""),0,SUMIF('DADOS BRUTOS'!$A$3:$A$500,$B37,'DADOS BRUTOS'!AF$3:AF$500)+IF($C37="",0,SUMIF('DADOS BRUTOS'!$A$3:$A$500,$C37,'DADOS BRUTOS'!AF$3:AF$500)))</f>
        <v/>
      </c>
      <c r="DG37" s="123">
        <f>IF(OR(DG$4="",$B37=""),0,SUMIF('DADOS BRUTOS'!$A$3:$A$500,$B37,'DADOS BRUTOS'!AG$3:AG$500)+IF($C37="",0,SUMIF('DADOS BRUTOS'!$A$3:$A$500,$C37,'DADOS BRUTOS'!AG$3:AG$500)))</f>
        <v/>
      </c>
      <c r="DH37" s="123">
        <f>IF(OR(DH$4="",$B37=""),0,SUMIF('DADOS BRUTOS'!$A$3:$A$500,$B37,'DADOS BRUTOS'!AH$3:AH$500)+IF($C37="",0,SUMIF('DADOS BRUTOS'!$A$3:$A$500,$C37,'DADOS BRUTOS'!AH$3:AH$500)))</f>
        <v/>
      </c>
      <c r="DI37" s="123">
        <f>IF(OR(DI$4="",$B37=""),0,SUMIF('DADOS BRUTOS'!$A$3:$A$500,$B37,'DADOS BRUTOS'!AI$3:AI$500)+IF($C37="",0,SUMIF('DADOS BRUTOS'!$A$3:$A$500,$C37,'DADOS BRUTOS'!AI$3:AI$500)))</f>
        <v/>
      </c>
      <c r="DJ37" s="123">
        <f>IF(OR(DJ$4="",$B37=""),0,SUMIF('DADOS BRUTOS'!$A$3:$A$500,$B37,'DADOS BRUTOS'!AJ$3:AJ$500)+IF($C37="",0,SUMIF('DADOS BRUTOS'!$A$3:$A$500,$C37,'DADOS BRUTOS'!AJ$3:AJ$500)))</f>
        <v/>
      </c>
      <c r="DK37" s="123">
        <f>IF(OR(DK$4="",$B37=""),0,SUMIF('DADOS BRUTOS'!$A$3:$A$500,$B37,'DADOS BRUTOS'!AK$3:AK$500)+IF($C37="",0,SUMIF('DADOS BRUTOS'!$A$3:$A$500,$C37,'DADOS BRUTOS'!AK$3:AK$500)))</f>
        <v/>
      </c>
      <c r="DL37" s="123">
        <f>IF(OR(DL$4="",$B37=""),0,SUMIF('DADOS BRUTOS'!$A$3:$A$500,$B37,'DADOS BRUTOS'!AL$3:AL$500)+IF($C37="",0,SUMIF('DADOS BRUTOS'!$A$3:$A$500,$C37,'DADOS BRUTOS'!AL$3:AL$500)))</f>
        <v/>
      </c>
      <c r="DM37" s="123">
        <f>IF(OR(DM$4="",$B37=""),0,SUMIF('DADOS BRUTOS'!$A$3:$A$500,$B37,'DADOS BRUTOS'!AM$3:AM$500)+IF($C37="",0,SUMIF('DADOS BRUTOS'!$A$3:$A$500,$C37,'DADOS BRUTOS'!AM$3:AM$500)))</f>
        <v/>
      </c>
      <c r="DN37" s="123">
        <f>IF(OR(DN$4="",$B37=""),0,SUMIF('DADOS BRUTOS'!$A$3:$A$500,$B37,'DADOS BRUTOS'!AN$3:AN$500)+IF($C37="",0,SUMIF('DADOS BRUTOS'!$A$3:$A$500,$C37,'DADOS BRUTOS'!AN$3:AN$500)))</f>
        <v/>
      </c>
      <c r="DO37" s="123">
        <f>IF(OR(DO$4="",$B37=""),0,SUMIF('DADOS BRUTOS'!$A$3:$A$500,$B37,'DADOS BRUTOS'!AO$3:AO$500)+IF($C37="",0,SUMIF('DADOS BRUTOS'!$A$3:$A$500,$C37,'DADOS BRUTOS'!AO$3:AO$500)))</f>
        <v/>
      </c>
      <c r="DP37" s="123">
        <f>IF(OR(DP$4="",$B37=""),0,SUMIF('DADOS BRUTOS'!$A$3:$A$500,$B37,'DADOS BRUTOS'!AP$3:AP$500)+IF($C37="",0,SUMIF('DADOS BRUTOS'!$A$3:$A$500,$C37,'DADOS BRUTOS'!AP$3:AP$500)))</f>
        <v/>
      </c>
      <c r="DQ37" s="123">
        <f>IF(OR(DQ$4="",$B37=""),0,SUMIF('DADOS BRUTOS'!$A$3:$A$500,$B37,'DADOS BRUTOS'!AQ$3:AQ$500)+IF($C37="",0,SUMIF('DADOS BRUTOS'!$A$3:$A$500,$C37,'DADOS BRUTOS'!AQ$3:AQ$500)))</f>
        <v/>
      </c>
      <c r="DR37" s="123">
        <f>IF(OR(DR$4="",$B37=""),0,SUMIF('DADOS BRUTOS'!$A$3:$A$500,$B37,'DADOS BRUTOS'!AR$3:AR$500)+IF($C37="",0,SUMIF('DADOS BRUTOS'!$A$3:$A$500,$C37,'DADOS BRUTOS'!AR$3:AR$500)))</f>
        <v/>
      </c>
      <c r="DS37" s="123">
        <f>IF(OR(DS$4="",$B37=""),0,SUMIF('DADOS BRUTOS'!$A$3:$A$500,$B37,'DADOS BRUTOS'!AS$3:AS$500)+IF($C37="",0,SUMIF('DADOS BRUTOS'!$A$3:$A$500,$C37,'DADOS BRUTOS'!AS$3:AS$500)))</f>
        <v/>
      </c>
      <c r="DT37" s="123">
        <f>IF(OR(DT$4="",$B37=""),0,SUMIF('DADOS BRUTOS'!$A$3:$A$500,$B37,'DADOS BRUTOS'!AT$3:AT$500)+IF($C37="",0,SUMIF('DADOS BRUTOS'!$A$3:$A$500,$C37,'DADOS BRUTOS'!AT$3:AT$500)))</f>
        <v/>
      </c>
      <c r="DU37" s="123">
        <f>IF(OR(DU$4="",$B37=""),0,SUMIF('DADOS BRUTOS'!$A$3:$A$500,$B37,'DADOS BRUTOS'!AU$3:AU$500)+IF($C37="",0,SUMIF('DADOS BRUTOS'!$A$3:$A$500,$C37,'DADOS BRUTOS'!AU$3:AU$500)))</f>
        <v/>
      </c>
      <c r="DV37" s="123">
        <f>IF(OR(DV$4="",$B37=""),0,SUMIF('DADOS BRUTOS'!$A$3:$A$500,$B37,'DADOS BRUTOS'!AV$3:AV$500)+IF($C37="",0,SUMIF('DADOS BRUTOS'!$A$3:$A$500,$C37,'DADOS BRUTOS'!AV$3:AV$500)))</f>
        <v/>
      </c>
      <c r="DW37" s="123">
        <f>IF(OR(DW$4="",$B37=""),0,SUMIF('DADOS BRUTOS'!$A$3:$A$500,$B37,'DADOS BRUTOS'!AW$3:AW$500)+IF($C37="",0,SUMIF('DADOS BRUTOS'!$A$3:$A$500,$C37,'DADOS BRUTOS'!AW$3:AW$500)))</f>
        <v/>
      </c>
      <c r="DX37" s="123">
        <f>IF(OR(DX$4="",$B37=""),0,SUMIF('DADOS BRUTOS'!$A$3:$A$500,$B37,'DADOS BRUTOS'!AX$3:AX$500)+IF($C37="",0,SUMIF('DADOS BRUTOS'!$A$3:$A$500,$C37,'DADOS BRUTOS'!AX$3:AX$500)))</f>
        <v/>
      </c>
      <c r="DY37" s="123">
        <f>IF(OR(DY$4="",$B37=""),0,SUMIF('DADOS BRUTOS'!$A$3:$A$500,$B37,'DADOS BRUTOS'!AY$3:AY$500)+IF($C37="",0,SUMIF('DADOS BRUTOS'!$A$3:$A$500,$C37,'DADOS BRUTOS'!AY$3:AY$500)))</f>
        <v/>
      </c>
      <c r="DZ37" s="123">
        <f>IF(OR(DZ$4="",$B37=""),0,SUMIF('DADOS BRUTOS'!$A$3:$A$500,$B37,'DADOS BRUTOS'!AZ$3:AZ$500)+IF($C37="",0,SUMIF('DADOS BRUTOS'!$A$3:$A$500,$C37,'DADOS BRUTOS'!AZ$3:AZ$500)))</f>
        <v/>
      </c>
      <c r="EA37" s="123">
        <f>IF(OR(EA$4="",$B37=""),0,SUMIF('DADOS BRUTOS'!$A$3:$A$500,$B37,'DADOS BRUTOS'!BA$3:BA$500)+IF($C37="",0,SUMIF('DADOS BRUTOS'!$A$3:$A$500,$C37,'DADOS BRUTOS'!BA$3:BA$500)))</f>
        <v/>
      </c>
      <c r="EB37" s="123">
        <f>IF(OR(EB$4="",$B37=""),0,SUMIF('DADOS BRUTOS'!$A$3:$A$500,$B37,'DADOS BRUTOS'!BB$3:BB$500)+IF($C37="",0,SUMIF('DADOS BRUTOS'!$A$3:$A$500,$C37,'DADOS BRUTOS'!BB$3:BB$500)))</f>
        <v/>
      </c>
      <c r="EC37" s="123">
        <f>IF(OR(EC$4="",$B37=""),0,SUMIF('DADOS BRUTOS'!$A$3:$A$500,$B37,'DADOS BRUTOS'!BC$3:BC$500)+IF($C37="",0,SUMIF('DADOS BRUTOS'!$A$3:$A$500,$C37,'DADOS BRUTOS'!BC$3:BC$500)))</f>
        <v/>
      </c>
      <c r="ED37" s="123">
        <f>IF(OR(ED$4="",$B37=""),0,SUMIF('DADOS BRUTOS'!$A$3:$A$500,$B37,'DADOS BRUTOS'!BD$3:BD$500)+IF($C37="",0,SUMIF('DADOS BRUTOS'!$A$3:$A$500,$C37,'DADOS BRUTOS'!BD$3:BD$500)))</f>
        <v/>
      </c>
      <c r="EE37" s="123">
        <f>IF(OR(EE$4="",$B37=""),0,SUMIF('DADOS BRUTOS'!$A$3:$A$500,$B37,'DADOS BRUTOS'!BE$3:BE$500)+IF($C37="",0,SUMIF('DADOS BRUTOS'!$A$3:$A$500,$C37,'DADOS BRUTOS'!BE$3:BE$500)))</f>
        <v/>
      </c>
      <c r="EF37" s="123">
        <f>IF(OR(EF$4="",$B37=""),0,SUMIF('DADOS BRUTOS'!$A$3:$A$500,$B37,'DADOS BRUTOS'!BF$3:BF$500)+IF($C37="",0,SUMIF('DADOS BRUTOS'!$A$3:$A$500,$C37,'DADOS BRUTOS'!BF$3:BF$500)))</f>
        <v/>
      </c>
      <c r="EG37" s="123">
        <f>IF(OR(EG$4="",$B37=""),0,SUMIF('DADOS BRUTOS'!$A$3:$A$500,$B37,'DADOS BRUTOS'!BG$3:BG$500)+IF($C37="",0,SUMIF('DADOS BRUTOS'!$A$3:$A$500,$C37,'DADOS BRUTOS'!BG$3:BG$500)))</f>
        <v/>
      </c>
      <c r="EH37" s="123">
        <f>IF(OR(EH$4="",$B37=""),0,SUMIF('DADOS BRUTOS'!$A$3:$A$500,$B37,'DADOS BRUTOS'!BH$3:BH$500)+IF($C37="",0,SUMIF('DADOS BRUTOS'!$A$3:$A$500,$C37,'DADOS BRUTOS'!BH$3:BH$500)))</f>
        <v/>
      </c>
      <c r="EI37" s="123">
        <f>IF(OR(EI$4="",$B37=""),0,SUMIF('DADOS BRUTOS'!$A$3:$A$500,$B37,'DADOS BRUTOS'!BI$3:BI$500)+IF($C37="",0,SUMIF('DADOS BRUTOS'!$A$3:$A$500,$C37,'DADOS BRUTOS'!BI$3:BI$500)))</f>
        <v/>
      </c>
      <c r="EJ37" s="123">
        <f>IF(OR(EJ$4="",$B37=""),0,SUMIF('DADOS BRUTOS'!$A$3:$A$500,$B37,'DADOS BRUTOS'!BJ$3:BJ$500)+IF($C37="",0,SUMIF('DADOS BRUTOS'!$A$3:$A$500,$C37,'DADOS BRUTOS'!BJ$3:BJ$500)))</f>
        <v/>
      </c>
      <c r="EK37" s="123">
        <f>IF(OR(EK$4="",$B37=""),0,SUMIF('DADOS BRUTOS'!$A$3:$A$500,$B37,'DADOS BRUTOS'!BK$3:BK$500)+IF($C37="",0,SUMIF('DADOS BRUTOS'!$A$3:$A$500,$C37,'DADOS BRUTOS'!BK$3:BK$500)))</f>
        <v/>
      </c>
      <c r="EL37" s="123">
        <f>IF(OR(EL$4="",$B37=""),0,SUMIF('DADOS BRUTOS'!$A$3:$A$500,$B37,'DADOS BRUTOS'!BL$3:BL$500)+IF($C37="",0,SUMIF('DADOS BRUTOS'!$A$3:$A$500,$C37,'DADOS BRUTOS'!BL$3:BL$500)))</f>
        <v/>
      </c>
      <c r="EM37" s="123">
        <f>IF(OR(EM$4="",$B37=""),0,SUMIF('DADOS BRUTOS'!$A$3:$A$500,$B37,'DADOS BRUTOS'!BM$3:BM$500)+IF($C37="",0,SUMIF('DADOS BRUTOS'!$A$3:$A$500,$C37,'DADOS BRUTOS'!BM$3:BM$500)))</f>
        <v/>
      </c>
      <c r="EN37" s="123">
        <f>IF(OR(EN$4="",$B37=""),0,SUMIF('DADOS BRUTOS'!$A$3:$A$500,$B37,'DADOS BRUTOS'!BN$3:BN$500)+IF($C37="",0,SUMIF('DADOS BRUTOS'!$A$3:$A$500,$C37,'DADOS BRUTOS'!BN$3:BN$500)))</f>
        <v/>
      </c>
      <c r="EO37" s="123">
        <f>IF(OR(EO$4="",$B37=""),0,SUMIF('DADOS BRUTOS'!$A$3:$A$500,$B37,'DADOS BRUTOS'!BO$3:BO$500)+IF($C37="",0,SUMIF('DADOS BRUTOS'!$A$3:$A$500,$C37,'DADOS BRUTOS'!BO$3:BO$500)))</f>
        <v/>
      </c>
      <c r="EP37" s="123">
        <f>IF(OR(EP$4="",$B37=""),0,SUMIF('DADOS BRUTOS'!$A$3:$A$500,$B37,'DADOS BRUTOS'!BP$3:BP$500)+IF($C37="",0,SUMIF('DADOS BRUTOS'!$A$3:$A$500,$C37,'DADOS BRUTOS'!BP$3:BP$500)))</f>
        <v/>
      </c>
      <c r="EQ37" s="123">
        <f>IF(OR(EQ$4="",$B37=""),0,SUMIF('DADOS BRUTOS'!$A$3:$A$500,$B37,'DADOS BRUTOS'!BQ$3:BQ$500)+IF($C37="",0,SUMIF('DADOS BRUTOS'!$A$3:$A$500,$C37,'DADOS BRUTOS'!BQ$3:BQ$500)))</f>
        <v/>
      </c>
      <c r="ER37" s="123">
        <f>IF(OR(ER$4="",$B37=""),0,SUMIF('DADOS BRUTOS'!$A$3:$A$500,$B37,'DADOS BRUTOS'!BR$3:BR$500)+IF($C37="",0,SUMIF('DADOS BRUTOS'!$A$3:$A$500,$C37,'DADOS BRUTOS'!BR$3:BR$500)))</f>
        <v/>
      </c>
      <c r="ES37" s="123">
        <f>IF(OR(ES$4="",$B37=""),0,SUMIF('DADOS BRUTOS'!$A$3:$A$500,$B37,'DADOS BRUTOS'!BS$3:BS$500)+IF($C37="",0,SUMIF('DADOS BRUTOS'!$A$3:$A$500,$C37,'DADOS BRUTOS'!BS$3:BS$500)))</f>
        <v/>
      </c>
      <c r="ET37" s="123">
        <f>IF(OR(ET$4="",$B37=""),0,SUMIF('DADOS BRUTOS'!$A$3:$A$500,$B37,'DADOS BRUTOS'!BT$3:BT$500)+IF($C37="",0,SUMIF('DADOS BRUTOS'!$A$3:$A$500,$C37,'DADOS BRUTOS'!BT$3:BT$500)))</f>
        <v/>
      </c>
      <c r="EU37" s="123">
        <f>IF(OR(EU$4="",$B37=""),0,SUMIF('DADOS BRUTOS'!$A$3:$A$500,$B37,'DADOS BRUTOS'!BU$3:BU$500)+IF($C37="",0,SUMIF('DADOS BRUTOS'!$A$3:$A$500,$C37,'DADOS BRUTOS'!BU$3:BU$500)))</f>
        <v/>
      </c>
      <c r="EV37" s="123">
        <f>IF(OR(EV$4="",$B37=""),0,SUMIF('DADOS BRUTOS'!$A$3:$A$500,$B37,'DADOS BRUTOS'!BV$3:BV$500)+IF($C37="",0,SUMIF('DADOS BRUTOS'!$A$3:$A$500,$C37,'DADOS BRUTOS'!BV$3:BV$500)))</f>
        <v/>
      </c>
      <c r="EW37" s="123">
        <f>IF(OR(EW$4="",$B37=""),0,SUMIF('DADOS BRUTOS'!$A$3:$A$500,$B37,'DADOS BRUTOS'!BW$3:BW$500)+IF($C37="",0,SUMIF('DADOS BRUTOS'!$A$3:$A$500,$C37,'DADOS BRUTOS'!BW$3:BW$500)))</f>
        <v/>
      </c>
      <c r="EX37" s="123">
        <f>IF(OR(EX$4="",$B37=""),0,SUMIF('DADOS BRUTOS'!$A$3:$A$500,$B37,'DADOS BRUTOS'!BX$3:BX$500)+IF($C37="",0,SUMIF('DADOS BRUTOS'!$A$3:$A$500,$C37,'DADOS BRUTOS'!BX$3:BX$500)))</f>
        <v/>
      </c>
      <c r="EY37" s="123">
        <f>IF(OR(EY$4="",$B37=""),0,SUMIF('DADOS BRUTOS'!$A$3:$A$500,$B37,'DADOS BRUTOS'!BY$3:BY$500)+IF($C37="",0,SUMIF('DADOS BRUTOS'!$A$3:$A$500,$C37,'DADOS BRUTOS'!BY$3:BY$500)))</f>
        <v/>
      </c>
      <c r="EZ37" s="123">
        <f>IF(OR(EZ$4="",$B37=""),0,SUMIF('DADOS BRUTOS'!$A$3:$A$500,$B37,'DADOS BRUTOS'!BZ$3:BZ$500)+IF($C37="",0,SUMIF('DADOS BRUTOS'!$A$3:$A$500,$C37,'DADOS BRUTOS'!BZ$3:BZ$500)))</f>
        <v/>
      </c>
      <c r="FA37" s="123">
        <f>IF(OR(FA$4="",$B37=""),0,SUMIF('DADOS BRUTOS'!$A$3:$A$500,$B37,'DADOS BRUTOS'!CA$3:CA$500)+IF($C37="",0,SUMIF('DADOS BRUTOS'!$A$3:$A$500,$C37,'DADOS BRUTOS'!CA$3:CA$500)))</f>
        <v/>
      </c>
      <c r="FB37" s="123">
        <f>IF(OR(FB$4="",$B37=""),0,SUMIF('DADOS BRUTOS'!$A$3:$A$500,$B37,'DADOS BRUTOS'!CB$3:CB$500)+IF($C37="",0,SUMIF('DADOS BRUTOS'!$A$3:$A$500,$C37,'DADOS BRUTOS'!CB$3:CB$500)))</f>
        <v/>
      </c>
      <c r="FC37" s="123">
        <f>IF(OR(FC$4="",$B37=""),0,SUMIF('DADOS BRUTOS'!$A$3:$A$500,$B37,'DADOS BRUTOS'!CC$3:CC$500)+IF($C37="",0,SUMIF('DADOS BRUTOS'!$A$3:$A$500,$C37,'DADOS BRUTOS'!CC$3:CC$500)))</f>
        <v/>
      </c>
      <c r="FD37" s="123">
        <f>IF(OR(FD$4="",$B37=""),0,SUMIF('DADOS BRUTOS'!$A$3:$A$500,$B37,'DADOS BRUTOS'!CD$3:CD$500)+IF($C37="",0,SUMIF('DADOS BRUTOS'!$A$3:$A$500,$C37,'DADOS BRUTOS'!CD$3:CD$500)))</f>
        <v/>
      </c>
      <c r="FE37" s="123">
        <f>IF(OR(FE$4="",$B37=""),0,SUMIF('DADOS BRUTOS'!$A$3:$A$500,$B37,'DADOS BRUTOS'!CE$3:CE$500)+IF($C37="",0,SUMIF('DADOS BRUTOS'!$A$3:$A$500,$C37,'DADOS BRUTOS'!CE$3:CE$500)))</f>
        <v/>
      </c>
      <c r="FF37" s="123">
        <f>IF(OR(FF$4="",$B37=""),0,SUMIF('DADOS BRUTOS'!$A$3:$A$500,$B37,'DADOS BRUTOS'!CF$3:CF$500)+IF($C37="",0,SUMIF('DADOS BRUTOS'!$A$3:$A$500,$C37,'DADOS BRUTOS'!CF$3:CF$500)))</f>
        <v/>
      </c>
      <c r="FG37" s="123">
        <f>IF(OR(FG$4="",$B37=""),0,SUMIF('DADOS BRUTOS'!$A$3:$A$500,$B37,'DADOS BRUTOS'!CG$3:CG$500)+IF($C37="",0,SUMIF('DADOS BRUTOS'!$A$3:$A$500,$C37,'DADOS BRUTOS'!CG$3:CG$500)))</f>
        <v/>
      </c>
      <c r="FH37" s="123">
        <f>IF(OR(FH$4="",$B37=""),0,SUMIF('DADOS BRUTOS'!$A$3:$A$500,$B37,'DADOS BRUTOS'!CH$3:CH$500)+IF($C37="",0,SUMIF('DADOS BRUTOS'!$A$3:$A$500,$C37,'DADOS BRUTOS'!CH$3:CH$500)))</f>
        <v/>
      </c>
      <c r="FI37" s="123">
        <f>IF(OR(FI$4="",$B37=""),0,SUMIF('DADOS BRUTOS'!$A$3:$A$500,$B37,'DADOS BRUTOS'!CI$3:CI$500)+IF($C37="",0,SUMIF('DADOS BRUTOS'!$A$3:$A$500,$C37,'DADOS BRUTOS'!CI$3:CI$500)))</f>
        <v/>
      </c>
      <c r="FJ37" s="123">
        <f>IF(OR(FJ$4="",$B37=""),0,SUMIF('DADOS BRUTOS'!$A$3:$A$500,$B37,'DADOS BRUTOS'!CJ$3:CJ$500)+IF($C37="",0,SUMIF('DADOS BRUTOS'!$A$3:$A$500,$C37,'DADOS BRUTOS'!CJ$3:CJ$500)))</f>
        <v/>
      </c>
      <c r="FK37" s="123">
        <f>IF(OR(FK$4="",$B37=""),0,SUMIF('DADOS BRUTOS'!$A$3:$A$500,$B37,'DADOS BRUTOS'!CK$3:CK$500)+IF($C37="",0,SUMIF('DADOS BRUTOS'!$A$3:$A$500,$C37,'DADOS BRUTOS'!CK$3:CK$500)))</f>
        <v/>
      </c>
      <c r="FL37" s="123">
        <f>IF(OR(FL$4="",$B37=""),0,SUMIF('DADOS BRUTOS'!$A$3:$A$500,$B37,'DADOS BRUTOS'!CL$3:CL$500)+IF($C37="",0,SUMIF('DADOS BRUTOS'!$A$3:$A$500,$C37,'DADOS BRUTOS'!CL$3:CL$500)))</f>
        <v/>
      </c>
      <c r="FM37" s="123">
        <f>IF(OR(FM$4="",$B37=""),0,SUMIF('DADOS BRUTOS'!$A$3:$A$500,$B37,'DADOS BRUTOS'!CM$3:CM$500)+IF($C37="",0,SUMIF('DADOS BRUTOS'!$A$3:$A$500,$C37,'DADOS BRUTOS'!CM$3:CM$500)))</f>
        <v/>
      </c>
      <c r="FN37" s="123">
        <f>IF(OR(FN$4="",$B37=""),0,SUMIF('DADOS BRUTOS'!$A$3:$A$500,$B37,'DADOS BRUTOS'!CN$3:CN$500)+IF($C37="",0,SUMIF('DADOS BRUTOS'!$A$3:$A$500,$C37,'DADOS BRUTOS'!CN$3:CN$500)))</f>
        <v/>
      </c>
      <c r="FO37" s="123">
        <f>IF(OR(FO$4="",$B37=""),0,SUMIF('DADOS BRUTOS'!$A$3:$A$500,$B37,'DADOS BRUTOS'!CO$3:CO$500)+IF($C37="",0,SUMIF('DADOS BRUTOS'!$A$3:$A$500,$C37,'DADOS BRUTOS'!CO$3:CO$500)))</f>
        <v/>
      </c>
      <c r="FP37" s="123">
        <f>IF(OR(FP$4="",$B37=""),0,SUMIF('DADOS BRUTOS'!$A$3:$A$500,$B37,'DADOS BRUTOS'!CP$3:CP$500)+IF($C37="",0,SUMIF('DADOS BRUTOS'!$A$3:$A$500,$C37,'DADOS BRUTOS'!CP$3:CP$500)))</f>
        <v/>
      </c>
      <c r="FQ37" s="123">
        <f>IF(OR(FQ$4="",$B37=""),0,SUMIF('DADOS BRUTOS'!$A$3:$A$500,$B37,'DADOS BRUTOS'!CQ$3:CQ$500)+IF($C37="",0,SUMIF('DADOS BRUTOS'!$A$3:$A$500,$C37,'DADOS BRUTOS'!CQ$3:CQ$500)))</f>
        <v/>
      </c>
      <c r="FR37" s="123">
        <f>IF(OR(FR$4="",$B37=""),0,SUMIF('DADOS BRUTOS'!$A$3:$A$500,$B37,'DADOS BRUTOS'!CR$3:CR$500)+IF($C37="",0,SUMIF('DADOS BRUTOS'!$A$3:$A$500,$C37,'DADOS BRUTOS'!CR$3:CR$500)))</f>
        <v/>
      </c>
      <c r="FS37" s="123">
        <f>IF(OR(FS$4="",$B37=""),0,SUMIF('DADOS BRUTOS'!$A$3:$A$500,$B37,'DADOS BRUTOS'!CS$3:CS$500)+IF($C37="",0,SUMIF('DADOS BRUTOS'!$A$3:$A$500,$C37,'DADOS BRUTOS'!CS$3:CS$500)))</f>
        <v/>
      </c>
      <c r="FT37" s="123">
        <f>IF(OR(FT$4="",$B37=""),0,SUMIF('DADOS BRUTOS'!$A$3:$A$500,$B37,'DADOS BRUTOS'!CT$3:CT$500)+IF($C37="",0,SUMIF('DADOS BRUTOS'!$A$3:$A$500,$C37,'DADOS BRUTOS'!CT$3:CT$500)))</f>
        <v/>
      </c>
      <c r="FU37" s="123">
        <f>IF(OR(FU$4="",$B37=""),0,SUMIF('DADOS BRUTOS'!$A$3:$A$500,$B37,'DADOS BRUTOS'!CU$3:CU$500)+IF($C37="",0,SUMIF('DADOS BRUTOS'!$A$3:$A$500,$C37,'DADOS BRUTOS'!CU$3:CU$500)))</f>
        <v/>
      </c>
      <c r="FV37" s="123">
        <f>IF(OR(FV$4="",$B37=""),0,SUMIF('DADOS BRUTOS'!$A$3:$A$500,$B37,'DADOS BRUTOS'!CV$3:CV$500)+IF($C37="",0,SUMIF('DADOS BRUTOS'!$A$3:$A$500,$C37,'DADOS BRUTOS'!CV$3:CV$500)))</f>
        <v/>
      </c>
      <c r="FW37" s="123">
        <f>IF(OR(FW$4="",$B37=""),0,SUMIF('DADOS BRUTOS'!$A$3:$A$500,$B37,'DADOS BRUTOS'!CW$3:CW$500)+IF($C37="",0,SUMIF('DADOS BRUTOS'!$A$3:$A$500,$C37,'DADOS BRUTOS'!CW$3:CW$500)))</f>
        <v/>
      </c>
      <c r="FX37" s="123">
        <f>IF(OR(FX$4="",$B37=""),0,SUMIF('DADOS BRUTOS'!$A$3:$A$500,$B37,'DADOS BRUTOS'!CX$3:CX$500)+IF($C37="",0,SUMIF('DADOS BRUTOS'!$A$3:$A$500,$C37,'DADOS BRUTOS'!CX$3:CX$500)))</f>
        <v/>
      </c>
      <c r="FY37" s="123">
        <f>IF(OR(FY$4="",$B37=""),0,SUMIF('DADOS BRUTOS'!$A$3:$A$500,$B37,'DADOS BRUTOS'!CY$3:CY$500)+IF($C37="",0,SUMIF('DADOS BRUTOS'!$A$3:$A$500,$C37,'DADOS BRUTOS'!CY$3:CY$500)))</f>
        <v/>
      </c>
      <c r="FZ37" s="123">
        <f>IF(OR(FZ$4="",$B37=""),0,SUMIF('DADOS BRUTOS'!$A$3:$A$500,$B37,'DADOS BRUTOS'!CZ$3:CZ$500)+IF($C37="",0,SUMIF('DADOS BRUTOS'!$A$3:$A$500,$C37,'DADOS BRUTOS'!CZ$3:CZ$500)))</f>
        <v/>
      </c>
      <c r="GA37" s="123">
        <f>IF(OR(GA$4="",$B37=""),0,SUMIF('DADOS BRUTOS'!$A$3:$A$500,$B37,'DADOS BRUTOS'!DA$3:DA$500)+IF($C37="",0,SUMIF('DADOS BRUTOS'!$A$3:$A$500,$C37,'DADOS BRUTOS'!DA$3:DA$500)))</f>
        <v/>
      </c>
      <c r="GB37" s="123">
        <f>IF(OR(GB$4="",$B37=""),0,SUMIF('DADOS BRUTOS'!$A$3:$A$500,$B37,'DADOS BRUTOS'!DB$3:DB$500)+IF($C37="",0,SUMIF('DADOS BRUTOS'!$A$3:$A$500,$C37,'DADOS BRUTOS'!DB$3:DB$500)))</f>
        <v/>
      </c>
      <c r="GC37" s="123">
        <f>IF(OR(GC$4="",$B37=""),0,SUMIF('DADOS BRUTOS'!$A$3:$A$500,$B37,'DADOS BRUTOS'!DC$3:DC$500)+IF($C37="",0,SUMIF('DADOS BRUTOS'!$A$3:$A$500,$C37,'DADOS BRUTOS'!DC$3:DC$500)))</f>
        <v/>
      </c>
      <c r="GD37" s="123">
        <f>IF(OR(GD$4="",$B37=""),0,SUMIF('DADOS BRUTOS'!$A$3:$A$500,$B37,'DADOS BRUTOS'!DD$3:DD$500)+IF($C37="",0,SUMIF('DADOS BRUTOS'!$A$3:$A$500,$C37,'DADOS BRUTOS'!DD$3:DD$500)))</f>
        <v/>
      </c>
      <c r="GE37" s="123">
        <f>IF(OR(GE$4="",$B37=""),0,SUMIF('DADOS BRUTOS'!$A$3:$A$500,$B37,'DADOS BRUTOS'!DE$3:DE$500)+IF($C37="",0,SUMIF('DADOS BRUTOS'!$A$3:$A$500,$C37,'DADOS BRUTOS'!DE$3:DE$500)))</f>
        <v/>
      </c>
      <c r="GF37" s="123">
        <f>IF(OR(GF$4="",$B37=""),0,SUMIF('DADOS BRUTOS'!$A$3:$A$500,$B37,'DADOS BRUTOS'!DF$3:DF$500)+IF($C37="",0,SUMIF('DADOS BRUTOS'!$A$3:$A$500,$C37,'DADOS BRUTOS'!DF$3:DF$500)))</f>
        <v/>
      </c>
      <c r="GG37" s="123">
        <f>IF(OR(GG$4="",$B37=""),0,SUMIF('DADOS BRUTOS'!$A$3:$A$500,$B37,'DADOS BRUTOS'!DG$3:DG$500)+IF($C37="",0,SUMIF('DADOS BRUTOS'!$A$3:$A$500,$C37,'DADOS BRUTOS'!DG$3:DG$500)))</f>
        <v/>
      </c>
      <c r="GH37" s="123">
        <f>IF(OR(GH$4="",$B37=""),0,SUMIF('DADOS BRUTOS'!$A$3:$A$500,$B37,'DADOS BRUTOS'!DH$3:DH$500)+IF($C37="",0,SUMIF('DADOS BRUTOS'!$A$3:$A$500,$C37,'DADOS BRUTOS'!DH$3:DH$500)))</f>
        <v/>
      </c>
      <c r="GI37" s="123">
        <f>IF(OR(GI$4="",$B37=""),0,SUMIF('DADOS BRUTOS'!$A$3:$A$500,$B37,'DADOS BRUTOS'!DI$3:DI$500)+IF($C37="",0,SUMIF('DADOS BRUTOS'!$A$3:$A$500,$C37,'DADOS BRUTOS'!DI$3:DI$500)))</f>
        <v/>
      </c>
      <c r="GJ37" s="123">
        <f>IF(OR(GJ$4="",$B37=""),0,SUMIF('DADOS BRUTOS'!$A$3:$A$500,$B37,'DADOS BRUTOS'!DJ$3:DJ$500)+IF($C37="",0,SUMIF('DADOS BRUTOS'!$A$3:$A$500,$C37,'DADOS BRUTOS'!DJ$3:DJ$500)))</f>
        <v/>
      </c>
      <c r="GK37" s="123">
        <f>IF(OR(GK$4="",$B37=""),0,SUMIF('DADOS BRUTOS'!$A$3:$A$500,$B37,'DADOS BRUTOS'!DK$3:DK$500)+IF($C37="",0,SUMIF('DADOS BRUTOS'!$A$3:$A$500,$C37,'DADOS BRUTOS'!DK$3:DK$500)))</f>
        <v/>
      </c>
      <c r="GL37" s="123">
        <f>IF(OR(GL$4="",$B37=""),0,SUMIF('DADOS BRUTOS'!$A$3:$A$500,$B37,'DADOS BRUTOS'!DL$3:DL$500)+IF($C37="",0,SUMIF('DADOS BRUTOS'!$A$3:$A$500,$C37,'DADOS BRUTOS'!DL$3:DL$500)))</f>
        <v/>
      </c>
      <c r="GM37" s="123">
        <f>IF(OR(GM$4="",$B37=""),0,SUMIF('DADOS BRUTOS'!$A$3:$A$500,$B37,'DADOS BRUTOS'!DM$3:DM$500)+IF($C37="",0,SUMIF('DADOS BRUTOS'!$A$3:$A$500,$C37,'DADOS BRUTOS'!DM$3:DM$500)))</f>
        <v/>
      </c>
      <c r="GN37" s="123">
        <f>IF(OR(GN$4="",$B37=""),0,SUMIF('DADOS BRUTOS'!$A$3:$A$500,$B37,'DADOS BRUTOS'!DN$3:DN$500)+IF($C37="",0,SUMIF('DADOS BRUTOS'!$A$3:$A$500,$C37,'DADOS BRUTOS'!DN$3:DN$500)))</f>
        <v/>
      </c>
      <c r="GO37" s="123">
        <f>IF(OR(GO$4="",$B37=""),0,SUMIF('DADOS BRUTOS'!$A$3:$A$500,$B37,'DADOS BRUTOS'!DO$3:DO$500)+IF($C37="",0,SUMIF('DADOS BRUTOS'!$A$3:$A$500,$C37,'DADOS BRUTOS'!DO$3:DO$500)))</f>
        <v/>
      </c>
      <c r="GP37" s="123">
        <f>IF(OR(GP$4="",$B37=""),0,SUMIF('DADOS BRUTOS'!$A$3:$A$500,$B37,'DADOS BRUTOS'!DP$3:DP$500)+IF($C37="",0,SUMIF('DADOS BRUTOS'!$A$3:$A$500,$C37,'DADOS BRUTOS'!DP$3:DP$500)))</f>
        <v/>
      </c>
      <c r="GQ37" s="123">
        <f>IF(OR(GQ$4="",$B37=""),0,SUMIF('DADOS BRUTOS'!$A$3:$A$500,$B37,'DADOS BRUTOS'!DQ$3:DQ$500)+IF($C37="",0,SUMIF('DADOS BRUTOS'!$A$3:$A$500,$C37,'DADOS BRUTOS'!DQ$3:DQ$500)))</f>
        <v/>
      </c>
      <c r="GR37" s="123">
        <f>IF(OR(GR$4="",$B37=""),0,SUMIF('DADOS BRUTOS'!$A$3:$A$500,$B37,'DADOS BRUTOS'!DR$3:DR$500)+IF($C37="",0,SUMIF('DADOS BRUTOS'!$A$3:$A$500,$C37,'DADOS BRUTOS'!DR$3:DR$500)))</f>
        <v/>
      </c>
      <c r="GS37" s="123">
        <f>IF(OR(GS$4="",$B37=""),0,SUMIF('DADOS BRUTOS'!$A$3:$A$500,$B37,'DADOS BRUTOS'!DS$3:DS$500)+IF($C37="",0,SUMIF('DADOS BRUTOS'!$A$3:$A$500,$C37,'DADOS BRUTOS'!DS$3:DS$500)))</f>
        <v/>
      </c>
      <c r="GT37" s="123">
        <f>IF(OR(GT$4="",$B37=""),0,SUMIF('DADOS BRUTOS'!$A$3:$A$500,$B37,'DADOS BRUTOS'!DT$3:DT$500)+IF($C37="",0,SUMIF('DADOS BRUTOS'!$A$3:$A$500,$C37,'DADOS BRUTOS'!DT$3:DT$500)))</f>
        <v/>
      </c>
      <c r="GU37" s="123">
        <f>IF(OR(GU$4="",$B37=""),0,SUMIF('DADOS BRUTOS'!$A$3:$A$500,$B37,'DADOS BRUTOS'!DU$3:DU$500)+IF($C37="",0,SUMIF('DADOS BRUTOS'!$A$3:$A$500,$C37,'DADOS BRUTOS'!DU$3:DU$500)))</f>
        <v/>
      </c>
      <c r="GV37" s="123">
        <f>IF(OR(GV$4="",$B37=""),0,SUMIF('DADOS BRUTOS'!$A$3:$A$500,$B37,'DADOS BRUTOS'!DV$3:DV$500)+IF($C37="",0,SUMIF('DADOS BRUTOS'!$A$3:$A$500,$C37,'DADOS BRUTOS'!DV$3:DV$500)))</f>
        <v/>
      </c>
      <c r="GW37" s="123">
        <f>IF(OR(GW$4="",$B37=""),0,SUMIF('DADOS BRUTOS'!$A$3:$A$500,$B37,'DADOS BRUTOS'!DW$3:DW$500)+IF($C37="",0,SUMIF('DADOS BRUTOS'!$A$3:$A$500,$C37,'DADOS BRUTOS'!DW$3:DW$500)))</f>
        <v/>
      </c>
      <c r="GX37" s="123">
        <f>IF(OR(GX$4="",$B37=""),0,SUMIF('DADOS BRUTOS'!$A$3:$A$500,$B37,'DADOS BRUTOS'!DX$3:DX$500)+IF($C37="",0,SUMIF('DADOS BRUTOS'!$A$3:$A$500,$C37,'DADOS BRUTOS'!DX$3:DX$500)))</f>
        <v/>
      </c>
      <c r="GY37" s="123">
        <f>IF(OR(GY$4="",$B37=""),0,SUMIF('DADOS BRUTOS'!$A$3:$A$500,$B37,'DADOS BRUTOS'!DY$3:DY$500)+IF($C37="",0,SUMIF('DADOS BRUTOS'!$A$3:$A$500,$C37,'DADOS BRUTOS'!DY$3:DY$500)))</f>
        <v/>
      </c>
      <c r="GZ37" s="123">
        <f>IF(OR(GZ$4="",$B37=""),0,SUMIF('DADOS BRUTOS'!$A$3:$A$500,$B37,'DADOS BRUTOS'!DZ$3:DZ$500)+IF($C37="",0,SUMIF('DADOS BRUTOS'!$A$3:$A$500,$C37,'DADOS BRUTOS'!DZ$3:DZ$500)))</f>
        <v/>
      </c>
      <c r="HA37" s="123">
        <f>IF(OR(HA$4="",$B37=""),0,SUMIF('DADOS BRUTOS'!$A$3:$A$500,$B37,'DADOS BRUTOS'!EA$3:EA$500)+IF($C37="",0,SUMIF('DADOS BRUTOS'!$A$3:$A$500,$C37,'DADOS BRUTOS'!EA$3:EA$500)))</f>
        <v/>
      </c>
      <c r="HB37" s="123">
        <f>IF(OR(HB$4="",$B37=""),0,SUMIF('DADOS BRUTOS'!$A$3:$A$500,$B37,'DADOS BRUTOS'!EB$3:EB$500)+IF($C37="",0,SUMIF('DADOS BRUTOS'!$A$3:$A$500,$C37,'DADOS BRUTOS'!EB$3:EB$500)))</f>
        <v/>
      </c>
      <c r="HC37" s="123">
        <f>IF(OR(HC$4="",$B37=""),0,SUMIF('DADOS BRUTOS'!$A$3:$A$500,$B37,'DADOS BRUTOS'!EC$3:EC$500)+IF($C37="",0,SUMIF('DADOS BRUTOS'!$A$3:$A$500,$C37,'DADOS BRUTOS'!EC$3:EC$500)))</f>
        <v/>
      </c>
      <c r="HD37" s="123">
        <f>IF(OR(HD$4="",$B37=""),0,SUMIF('DADOS BRUTOS'!$A$3:$A$500,$B37,'DADOS BRUTOS'!ED$3:ED$500)+IF($C37="",0,SUMIF('DADOS BRUTOS'!$A$3:$A$500,$C37,'DADOS BRUTOS'!ED$3:ED$500)))</f>
        <v/>
      </c>
      <c r="HE37" s="123">
        <f>IF(OR(HE$4="",$B37=""),0,SUMIF('DADOS BRUTOS'!$A$3:$A$500,$B37,'DADOS BRUTOS'!EE$3:EE$500)+IF($C37="",0,SUMIF('DADOS BRUTOS'!$A$3:$A$500,$C37,'DADOS BRUTOS'!EE$3:EE$500)))</f>
        <v/>
      </c>
      <c r="HF37" s="123">
        <f>IF(OR(HF$4="",$B37=""),0,SUMIF('DADOS BRUTOS'!$A$3:$A$500,$B37,'DADOS BRUTOS'!EF$3:EF$500)+IF($C37="",0,SUMIF('DADOS BRUTOS'!$A$3:$A$500,$C37,'DADOS BRUTOS'!EF$3:EF$500)))</f>
        <v/>
      </c>
      <c r="HG37" s="123">
        <f>IF(OR(HG$4="",$B37=""),0,SUMIF('DADOS BRUTOS'!$A$3:$A$500,$B37,'DADOS BRUTOS'!EG$3:EG$500)+IF($C37="",0,SUMIF('DADOS BRUTOS'!$A$3:$A$500,$C37,'DADOS BRUTOS'!EG$3:EG$500)))</f>
        <v/>
      </c>
      <c r="HH37" s="123">
        <f>IF(OR(HH$4="",$B37=""),0,SUMIF('DADOS BRUTOS'!$A$3:$A$500,$B37,'DADOS BRUTOS'!EH$3:EH$500)+IF($C37="",0,SUMIF('DADOS BRUTOS'!$A$3:$A$500,$C37,'DADOS BRUTOS'!EH$3:EH$500)))</f>
        <v/>
      </c>
      <c r="HI37" s="123">
        <f>IF(OR(HI$4="",$B37=""),0,SUMIF('DADOS BRUTOS'!$A$3:$A$500,$B37,'DADOS BRUTOS'!EI$3:EI$500)+IF($C37="",0,SUMIF('DADOS BRUTOS'!$A$3:$A$500,$C37,'DADOS BRUTOS'!EI$3:EI$500)))</f>
        <v/>
      </c>
      <c r="HJ37" s="123">
        <f>IF(OR(HJ$4="",$B37=""),0,SUMIF('DADOS BRUTOS'!$A$3:$A$500,$B37,'DADOS BRUTOS'!EJ$3:EJ$500)+IF($C37="",0,SUMIF('DADOS BRUTOS'!$A$3:$A$500,$C37,'DADOS BRUTOS'!EJ$3:EJ$500)))</f>
        <v/>
      </c>
      <c r="HK37" s="123">
        <f>IF(OR(HK$4="",$B37=""),0,SUMIF('DADOS BRUTOS'!$A$3:$A$500,$B37,'DADOS BRUTOS'!EK$3:EK$500)+IF($C37="",0,SUMIF('DADOS BRUTOS'!$A$3:$A$500,$C37,'DADOS BRUTOS'!EK$3:EK$500)))</f>
        <v/>
      </c>
      <c r="HL37" s="123">
        <f>IF(OR(HL$4="",$B37=""),0,SUMIF('DADOS BRUTOS'!$A$3:$A$500,$B37,'DADOS BRUTOS'!EL$3:EL$500)+IF($C37="",0,SUMIF('DADOS BRUTOS'!$A$3:$A$500,$C37,'DADOS BRUTOS'!EL$3:EL$500)))</f>
        <v/>
      </c>
      <c r="HM37" s="123">
        <f>IF(OR(HM$4="",$B37=""),0,SUMIF('DADOS BRUTOS'!$A$3:$A$500,$B37,'DADOS BRUTOS'!EM$3:EM$500)+IF($C37="",0,SUMIF('DADOS BRUTOS'!$A$3:$A$500,$C37,'DADOS BRUTOS'!EM$3:EM$500)))</f>
        <v/>
      </c>
      <c r="HN37" s="123">
        <f>IF(OR(HN$4="",$B37=""),0,SUMIF('DADOS BRUTOS'!$A$3:$A$500,$B37,'DADOS BRUTOS'!EN$3:EN$500)+IF($C37="",0,SUMIF('DADOS BRUTOS'!$A$3:$A$500,$C37,'DADOS BRUTOS'!EN$3:EN$500)))</f>
        <v/>
      </c>
      <c r="HO37" s="123">
        <f>IF(OR(HO$4="",$B37=""),0,SUMIF('DADOS BRUTOS'!$A$3:$A$500,$B37,'DADOS BRUTOS'!EO$3:EO$500)+IF($C37="",0,SUMIF('DADOS BRUTOS'!$A$3:$A$500,$C37,'DADOS BRUTOS'!EO$3:EO$500)))</f>
        <v/>
      </c>
      <c r="HP37" s="123">
        <f>IF(OR(HP$4="",$B37=""),0,SUMIF('DADOS BRUTOS'!$A$3:$A$500,$B37,'DADOS BRUTOS'!EP$3:EP$500)+IF($C37="",0,SUMIF('DADOS BRUTOS'!$A$3:$A$500,$C37,'DADOS BRUTOS'!EP$3:EP$500)))</f>
        <v/>
      </c>
      <c r="HQ37" s="123">
        <f>IF(OR(HQ$4="",$B37=""),0,SUMIF('DADOS BRUTOS'!$A$3:$A$500,$B37,'DADOS BRUTOS'!EQ$3:EQ$500)+IF($C37="",0,SUMIF('DADOS BRUTOS'!$A$3:$A$500,$C37,'DADOS BRUTOS'!EQ$3:EQ$500)))</f>
        <v/>
      </c>
      <c r="HR37" s="123">
        <f>IF(OR(HR$4="",$B37=""),0,SUMIF('DADOS BRUTOS'!$A$3:$A$500,$B37,'DADOS BRUTOS'!ER$3:ER$500)+IF($C37="",0,SUMIF('DADOS BRUTOS'!$A$3:$A$500,$C37,'DADOS BRUTOS'!ER$3:ER$500)))</f>
        <v/>
      </c>
      <c r="HS37" s="123">
        <f>IF(OR(HS$4="",$B37=""),0,SUMIF('DADOS BRUTOS'!$A$3:$A$500,$B37,'DADOS BRUTOS'!ES$3:ES$500)+IF($C37="",0,SUMIF('DADOS BRUTOS'!$A$3:$A$500,$C37,'DADOS BRUTOS'!ES$3:ES$500)))</f>
        <v/>
      </c>
      <c r="HT37" s="123">
        <f>IF(OR(HT$4="",$B37=""),0,SUMIF('DADOS BRUTOS'!$A$3:$A$500,$B37,'DADOS BRUTOS'!ET$3:ET$500)+IF($C37="",0,SUMIF('DADOS BRUTOS'!$A$3:$A$500,$C37,'DADOS BRUTOS'!ET$3:ET$500)))</f>
        <v/>
      </c>
      <c r="HU37" s="123">
        <f>IF(OR(HU$4="",$B37=""),0,SUMIF('DADOS BRUTOS'!$A$3:$A$500,$B37,'DADOS BRUTOS'!EU$3:EU$500)+IF($C37="",0,SUMIF('DADOS BRUTOS'!$A$3:$A$500,$C37,'DADOS BRUTOS'!EU$3:EU$500)))</f>
        <v/>
      </c>
      <c r="HV37" s="123">
        <f>IF(OR(HV$4="",$B37=""),0,SUMIF('DADOS BRUTOS'!$A$3:$A$500,$B37,'DADOS BRUTOS'!EV$3:EV$500)+IF($C37="",0,SUMIF('DADOS BRUTOS'!$A$3:$A$500,$C37,'DADOS BRUTOS'!EV$3:EV$500)))</f>
        <v/>
      </c>
      <c r="HW37" s="123">
        <f>IF(OR(HW$4="",$B37=""),0,SUMIF('DADOS BRUTOS'!$A$3:$A$500,$B37,'DADOS BRUTOS'!EW$3:EW$500)+IF($C37="",0,SUMIF('DADOS BRUTOS'!$A$3:$A$500,$C37,'DADOS BRUTOS'!EW$3:EW$500)))</f>
        <v/>
      </c>
      <c r="HX37" s="123">
        <f>IF(OR(HX$4="",$B37=""),0,SUMIF('DADOS BRUTOS'!$A$3:$A$500,$B37,'DADOS BRUTOS'!EX$3:EX$500)+IF($C37="",0,SUMIF('DADOS BRUTOS'!$A$3:$A$500,$C37,'DADOS BRUTOS'!EX$3:EX$500)))</f>
        <v/>
      </c>
      <c r="HY37" s="123">
        <f>IF(OR(HY$4="",$B37=""),0,SUMIF('DADOS BRUTOS'!$A$3:$A$500,$B37,'DADOS BRUTOS'!EY$3:EY$500)+IF($C37="",0,SUMIF('DADOS BRUTOS'!$A$3:$A$500,$C37,'DADOS BRUTOS'!EY$3:EY$500)))</f>
        <v/>
      </c>
      <c r="HZ37" s="123">
        <f>IF(OR(HZ$4="",$B37=""),0,SUMIF('DADOS BRUTOS'!$A$3:$A$500,$B37,'DADOS BRUTOS'!EZ$3:EZ$500)+IF($C37="",0,SUMIF('DADOS BRUTOS'!$A$3:$A$500,$C37,'DADOS BRUTOS'!EZ$3:EZ$500)))</f>
        <v/>
      </c>
      <c r="IA37" s="123">
        <f>IF(OR(IA$4="",$B37=""),0,SUMIF('DADOS BRUTOS'!$A$3:$A$500,$B37,'DADOS BRUTOS'!FA$3:FA$500)+IF($C37="",0,SUMIF('DADOS BRUTOS'!$A$3:$A$500,$C37,'DADOS BRUTOS'!FA$3:FA$500)))</f>
        <v/>
      </c>
      <c r="IB37" s="123">
        <f>IF(OR(IB$4="",$B37=""),0,SUMIF('DADOS BRUTOS'!$A$3:$A$500,$B37,'DADOS BRUTOS'!FB$3:FB$500)+IF($C37="",0,SUMIF('DADOS BRUTOS'!$A$3:$A$500,$C37,'DADOS BRUTOS'!FB$3:FB$500)))</f>
        <v/>
      </c>
      <c r="IC37" s="123">
        <f>IF(OR(IC$4="",$B37=""),0,SUMIF('DADOS BRUTOS'!$A$3:$A$500,$B37,'DADOS BRUTOS'!FC$3:FC$500)+IF($C37="",0,SUMIF('DADOS BRUTOS'!$A$3:$A$500,$C37,'DADOS BRUTOS'!FC$3:FC$500)))</f>
        <v/>
      </c>
      <c r="ID37" s="123">
        <f>IF(OR(ID$4="",$B37=""),0,SUMIF('DADOS BRUTOS'!$A$3:$A$500,$B37,'DADOS BRUTOS'!FD$3:FD$500)+IF($C37="",0,SUMIF('DADOS BRUTOS'!$A$3:$A$500,$C37,'DADOS BRUTOS'!FD$3:FD$500)))</f>
        <v/>
      </c>
      <c r="IE37" s="123">
        <f>IF(OR(IE$4="",$B37=""),0,SUMIF('DADOS BRUTOS'!$A$3:$A$500,$B37,'DADOS BRUTOS'!FE$3:FE$500)+IF($C37="",0,SUMIF('DADOS BRUTOS'!$A$3:$A$500,$C37,'DADOS BRUTOS'!FE$3:FE$500)))</f>
        <v/>
      </c>
      <c r="IF37" s="123">
        <f>IF(OR(IF$4="",$B37=""),0,SUMIF('DADOS BRUTOS'!$A$3:$A$500,$B37,'DADOS BRUTOS'!FF$3:FF$500)+IF($C37="",0,SUMIF('DADOS BRUTOS'!$A$3:$A$500,$C37,'DADOS BRUTOS'!FF$3:FF$500)))</f>
        <v/>
      </c>
      <c r="IG37" s="123">
        <f>IF(OR(IG$4="",$B37=""),0,SUMIF('DADOS BRUTOS'!$A$3:$A$500,$B37,'DADOS BRUTOS'!FG$3:FG$500)+IF($C37="",0,SUMIF('DADOS BRUTOS'!$A$3:$A$500,$C37,'DADOS BRUTOS'!FG$3:FG$500)))</f>
        <v/>
      </c>
      <c r="IH37" s="123">
        <f>IF(OR(IH$4="",$B37=""),0,SUMIF('DADOS BRUTOS'!$A$3:$A$500,$B37,'DADOS BRUTOS'!FH$3:FH$500)+IF($C37="",0,SUMIF('DADOS BRUTOS'!$A$3:$A$500,$C37,'DADOS BRUTOS'!FH$3:FH$500)))</f>
        <v/>
      </c>
      <c r="II37" s="123">
        <f>IF(OR(II$4="",$B37=""),0,SUMIF('DADOS BRUTOS'!$A$3:$A$500,$B37,'DADOS BRUTOS'!FI$3:FI$500)+IF($C37="",0,SUMIF('DADOS BRUTOS'!$A$3:$A$500,$C37,'DADOS BRUTOS'!FI$3:FI$500)))</f>
        <v/>
      </c>
      <c r="IJ37" s="123">
        <f>IF(OR(IJ$4="",$B37=""),0,SUMIF('DADOS BRUTOS'!$A$3:$A$500,$B37,'DADOS BRUTOS'!FJ$3:FJ$500)+IF($C37="",0,SUMIF('DADOS BRUTOS'!$A$3:$A$500,$C37,'DADOS BRUTOS'!FJ$3:FJ$500)))</f>
        <v/>
      </c>
      <c r="IK37" s="123">
        <f>IF(OR(IK$4="",$B37=""),0,SUMIF('DADOS BRUTOS'!$A$3:$A$500,$B37,'DADOS BRUTOS'!FK$3:FK$500)+IF($C37="",0,SUMIF('DADOS BRUTOS'!$A$3:$A$500,$C37,'DADOS BRUTOS'!FK$3:FK$500)))</f>
        <v/>
      </c>
      <c r="IL37" s="123">
        <f>IF(OR(IL$4="",$B37=""),0,SUMIF('DADOS BRUTOS'!$A$3:$A$500,$B37,'DADOS BRUTOS'!FL$3:FL$500)+IF($C37="",0,SUMIF('DADOS BRUTOS'!$A$3:$A$500,$C37,'DADOS BRUTOS'!FL$3:FL$500)))</f>
        <v/>
      </c>
      <c r="IM37" s="123">
        <f>IF(OR(IM$4="",$B37=""),0,SUMIF('DADOS BRUTOS'!$A$3:$A$500,$B37,'DADOS BRUTOS'!FM$3:FM$500)+IF($C37="",0,SUMIF('DADOS BRUTOS'!$A$3:$A$500,$C37,'DADOS BRUTOS'!FM$3:FM$500)))</f>
        <v/>
      </c>
      <c r="IN37" s="123">
        <f>IF(OR(IN$4="",$B37=""),0,SUMIF('DADOS BRUTOS'!$A$3:$A$500,$B37,'DADOS BRUTOS'!FN$3:FN$500)+IF($C37="",0,SUMIF('DADOS BRUTOS'!$A$3:$A$500,$C37,'DADOS BRUTOS'!FN$3:FN$500)))</f>
        <v/>
      </c>
      <c r="IO37" s="123">
        <f>IF(OR(IO$4="",$B37=""),0,SUMIF('DADOS BRUTOS'!$A$3:$A$500,$B37,'DADOS BRUTOS'!FO$3:FO$500)+IF($C37="",0,SUMIF('DADOS BRUTOS'!$A$3:$A$500,$C37,'DADOS BRUTOS'!FO$3:FO$500)))</f>
        <v/>
      </c>
      <c r="IP37" s="123">
        <f>IF(OR(IP$4="",$B37=""),0,SUMIF('DADOS BRUTOS'!$A$3:$A$500,$B37,'DADOS BRUTOS'!FP$3:FP$500)+IF($C37="",0,SUMIF('DADOS BRUTOS'!$A$3:$A$500,$C37,'DADOS BRUTOS'!FP$3:FP$500)))</f>
        <v/>
      </c>
      <c r="IQ37" s="123">
        <f>IF(OR(IQ$4="",$B37=""),0,SUMIF('DADOS BRUTOS'!$A$3:$A$500,$B37,'DADOS BRUTOS'!FQ$3:FQ$500)+IF($C37="",0,SUMIF('DADOS BRUTOS'!$A$3:$A$500,$C37,'DADOS BRUTOS'!FQ$3:FQ$500)))</f>
        <v/>
      </c>
      <c r="IR37" s="123">
        <f>IF(OR(IR$4="",$B37=""),0,SUMIF('DADOS BRUTOS'!$A$3:$A$500,$B37,'DADOS BRUTOS'!FR$3:FR$500)+IF($C37="",0,SUMIF('DADOS BRUTOS'!$A$3:$A$500,$C37,'DADOS BRUTOS'!FR$3:FR$500)))</f>
        <v/>
      </c>
      <c r="IS37" s="123">
        <f>IF(OR(IS$4="",$B37=""),0,SUMIF('DADOS BRUTOS'!$A$3:$A$500,$B37,'DADOS BRUTOS'!FS$3:FS$500)+IF($C37="",0,SUMIF('DADOS BRUTOS'!$A$3:$A$500,$C37,'DADOS BRUTOS'!FS$3:FS$500)))</f>
        <v/>
      </c>
      <c r="IT37" s="123">
        <f>IF(OR(IT$4="",$B37=""),0,SUMIF('DADOS BRUTOS'!$A$3:$A$500,$B37,'DADOS BRUTOS'!FT$3:FT$500)+IF($C37="",0,SUMIF('DADOS BRUTOS'!$A$3:$A$500,$C37,'DADOS BRUTOS'!FT$3:FT$500)))</f>
        <v/>
      </c>
      <c r="IU37" s="123">
        <f>IF(OR(IU$4="",$B37=""),0,SUMIF('DADOS BRUTOS'!$A$3:$A$500,$B37,'DADOS BRUTOS'!FU$3:FU$500)+IF($C37="",0,SUMIF('DADOS BRUTOS'!$A$3:$A$500,$C37,'DADOS BRUTOS'!FU$3:FU$500)))</f>
        <v/>
      </c>
      <c r="IV37" s="123">
        <f>IF(OR(IV$4="",$B37=""),0,SUMIF('DADOS BRUTOS'!$A$3:$A$500,$B37,'DADOS BRUTOS'!FV$3:FV$500)+IF($C37="",0,SUMIF('DADOS BRUTOS'!$A$3:$A$500,$C37,'DADOS BRUTOS'!FV$3:FV$500)))</f>
        <v/>
      </c>
      <c r="IW37" s="123">
        <f>IF(OR(IW$4="",$B37=""),0,SUMIF('DADOS BRUTOS'!$A$3:$A$500,$B37,'DADOS BRUTOS'!FW$3:FW$500)+IF($C37="",0,SUMIF('DADOS BRUTOS'!$A$3:$A$500,$C37,'DADOS BRUTOS'!FW$3:FW$500)))</f>
        <v/>
      </c>
      <c r="IX37" s="123">
        <f>IF(OR(IX$4="",$B37=""),0,SUMIF('DADOS BRUTOS'!$A$3:$A$500,$B37,'DADOS BRUTOS'!FX$3:FX$500)+IF($C37="",0,SUMIF('DADOS BRUTOS'!$A$3:$A$500,$C37,'DADOS BRUTOS'!FX$3:FX$500)))</f>
        <v/>
      </c>
      <c r="IY37" s="123">
        <f>IF(OR(IY$4="",$B37=""),0,SUMIF('DADOS BRUTOS'!$A$3:$A$500,$B37,'DADOS BRUTOS'!FY$3:FY$500)+IF($C37="",0,SUMIF('DADOS BRUTOS'!$A$3:$A$500,$C37,'DADOS BRUTOS'!FY$3:FY$500)))</f>
        <v/>
      </c>
      <c r="IZ37" s="123">
        <f>IF(OR(IZ$4="",$B37=""),0,SUMIF('DADOS BRUTOS'!$A$3:$A$500,$B37,'DADOS BRUTOS'!FZ$3:FZ$500)+IF($C37="",0,SUMIF('DADOS BRUTOS'!$A$3:$A$500,$C37,'DADOS BRUTOS'!FZ$3:FZ$500)))</f>
        <v/>
      </c>
      <c r="JA37" s="123">
        <f>IF(OR(JA$4="",$B37=""),0,SUMIF('DADOS BRUTOS'!$A$3:$A$500,$B37,'DADOS BRUTOS'!GA$3:GA$500)+IF($C37="",0,SUMIF('DADOS BRUTOS'!$A$3:$A$500,$C37,'DADOS BRUTOS'!GA$3:GA$500)))</f>
        <v/>
      </c>
      <c r="JB37" s="123">
        <f>IF(OR(JB$4="",$B37=""),0,SUMIF('DADOS BRUTOS'!$A$3:$A$500,$B37,'DADOS BRUTOS'!GB$3:GB$500)+IF($C37="",0,SUMIF('DADOS BRUTOS'!$A$3:$A$500,$C37,'DADOS BRUTOS'!GB$3:GB$500)))</f>
        <v/>
      </c>
      <c r="JC37" s="123">
        <f>IF(OR(JC$4="",$B37=""),0,SUMIF('DADOS BRUTOS'!$A$3:$A$500,$B37,'DADOS BRUTOS'!GC$3:GC$500)+IF($C37="",0,SUMIF('DADOS BRUTOS'!$A$3:$A$500,$C37,'DADOS BRUTOS'!GC$3:GC$500)))</f>
        <v/>
      </c>
      <c r="JD37" s="123">
        <f>IF(OR(JD$4="",$B37=""),0,SUMIF('DADOS BRUTOS'!$A$3:$A$500,$B37,'DADOS BRUTOS'!GD$3:GD$500)+IF($C37="",0,SUMIF('DADOS BRUTOS'!$A$3:$A$500,$C37,'DADOS BRUTOS'!GD$3:GD$500)))</f>
        <v/>
      </c>
      <c r="JE37" s="123">
        <f>IF(OR(JE$4="",$B37=""),0,SUMIF('DADOS BRUTOS'!$A$3:$A$500,$B37,'DADOS BRUTOS'!GE$3:GE$500)+IF($C37="",0,SUMIF('DADOS BRUTOS'!$A$3:$A$500,$C37,'DADOS BRUTOS'!GE$3:GE$500)))</f>
        <v/>
      </c>
      <c r="JF37" s="123">
        <f>IF(OR(JF$4="",$B37=""),0,SUMIF('DADOS BRUTOS'!$A$3:$A$500,$B37,'DADOS BRUTOS'!GF$3:GF$500)+IF($C37="",0,SUMIF('DADOS BRUTOS'!$A$3:$A$500,$C37,'DADOS BRUTOS'!GF$3:GF$500)))</f>
        <v/>
      </c>
      <c r="JG37" s="123">
        <f>IF(OR(JG$4="",$B37=""),0,SUMIF('DADOS BRUTOS'!$A$3:$A$500,$B37,'DADOS BRUTOS'!GG$3:GG$500)+IF($C37="",0,SUMIF('DADOS BRUTOS'!$A$3:$A$500,$C37,'DADOS BRUTOS'!GG$3:GG$500)))</f>
        <v/>
      </c>
      <c r="JH37" s="123">
        <f>IF(OR(JH$4="",$B37=""),0,SUMIF('DADOS BRUTOS'!$A$3:$A$500,$B37,'DADOS BRUTOS'!GH$3:GH$500)+IF($C37="",0,SUMIF('DADOS BRUTOS'!$A$3:$A$500,$C37,'DADOS BRUTOS'!GH$3:GH$500)))</f>
        <v/>
      </c>
      <c r="JI37" s="123">
        <f>IF(OR(JI$4="",$B37=""),0,SUMIF('DADOS BRUTOS'!$A$3:$A$500,$B37,'DADOS BRUTOS'!GI$3:GI$500)+IF($C37="",0,SUMIF('DADOS BRUTOS'!$A$3:$A$500,$C37,'DADOS BRUTOS'!GI$3:GI$500)))</f>
        <v/>
      </c>
      <c r="JJ37" s="123">
        <f>IF(OR(JJ$4="",$B37=""),0,SUMIF('DADOS BRUTOS'!$A$3:$A$500,$B37,'DADOS BRUTOS'!GJ$3:GJ$500)+IF($C37="",0,SUMIF('DADOS BRUTOS'!$A$3:$A$500,$C37,'DADOS BRUTOS'!GJ$3:GJ$500)))</f>
        <v/>
      </c>
      <c r="JK37" s="123">
        <f>IF(OR(JK$4="",$B37=""),0,SUMIF('DADOS BRUTOS'!$A$3:$A$500,$B37,'DADOS BRUTOS'!GK$3:GK$500)+IF($C37="",0,SUMIF('DADOS BRUTOS'!$A$3:$A$500,$C37,'DADOS BRUTOS'!GK$3:GK$500)))</f>
        <v/>
      </c>
      <c r="JL37" s="123">
        <f>IF(OR(JL$4="",$B37=""),0,SUMIF('DADOS BRUTOS'!$A$3:$A$500,$B37,'DADOS BRUTOS'!GL$3:GL$500)+IF($C37="",0,SUMIF('DADOS BRUTOS'!$A$3:$A$500,$C37,'DADOS BRUTOS'!GL$3:GL$500)))</f>
        <v/>
      </c>
      <c r="JM37" s="123">
        <f>IF(OR(JM$4="",$B37=""),0,SUMIF('DADOS BRUTOS'!$A$3:$A$500,$B37,'DADOS BRUTOS'!GM$3:GM$500)+IF($C37="",0,SUMIF('DADOS BRUTOS'!$A$3:$A$500,$C37,'DADOS BRUTOS'!GM$3:GM$500)))</f>
        <v/>
      </c>
      <c r="JN37" s="123">
        <f>IF(OR(JN$4="",$B37=""),0,SUMIF('DADOS BRUTOS'!$A$3:$A$500,$B37,'DADOS BRUTOS'!GN$3:GN$500)+IF($C37="",0,SUMIF('DADOS BRUTOS'!$A$3:$A$500,$C37,'DADOS BRUTOS'!GN$3:GN$500)))</f>
        <v/>
      </c>
      <c r="JO37" s="123">
        <f>IF(OR(JO$4="",$B37=""),0,SUMIF('DADOS BRUTOS'!$A$3:$A$500,$B37,'DADOS BRUTOS'!GO$3:GO$500)+IF($C37="",0,SUMIF('DADOS BRUTOS'!$A$3:$A$500,$C37,'DADOS BRUTOS'!GO$3:GO$500)))</f>
        <v/>
      </c>
      <c r="JP37" s="123">
        <f>IF(OR(JP$4="",$B37=""),0,SUMIF('DADOS BRUTOS'!$A$3:$A$500,$B37,'DADOS BRUTOS'!GP$3:GP$500)+IF($C37="",0,SUMIF('DADOS BRUTOS'!$A$3:$A$500,$C37,'DADOS BRUTOS'!GP$3:GP$500)))</f>
        <v/>
      </c>
      <c r="JQ37" s="123">
        <f>IF(OR(JQ$4="",$B37=""),0,SUMIF('DADOS BRUTOS'!$A$3:$A$500,$B37,'DADOS BRUTOS'!GQ$3:GQ$500)+IF($C37="",0,SUMIF('DADOS BRUTOS'!$A$3:$A$500,$C37,'DADOS BRUTOS'!GQ$3:GQ$500)))</f>
        <v/>
      </c>
      <c r="JR37" s="123">
        <f>IF(OR(JR$4="",$B37=""),0,SUMIF('DADOS BRUTOS'!$A$3:$A$500,$B37,'DADOS BRUTOS'!GR$3:GR$500)+IF($C37="",0,SUMIF('DADOS BRUTOS'!$A$3:$A$500,$C37,'DADOS BRUTOS'!GR$3:GR$500)))</f>
        <v/>
      </c>
      <c r="JS37" s="123">
        <f>IF(OR(JS$4="",$B37=""),0,SUMIF('DADOS BRUTOS'!$A$3:$A$500,$B37,'DADOS BRUTOS'!GS$3:GS$500)+IF($C37="",0,SUMIF('DADOS BRUTOS'!$A$3:$A$500,$C37,'DADOS BRUTOS'!GS$3:GS$500)))</f>
        <v/>
      </c>
    </row>
    <row r="38">
      <c r="A38" s="61">
        <f>'VALOR POR PL'!D44</f>
        <v/>
      </c>
      <c r="B38" s="60" t="inlineStr">
        <is>
          <t>LOUÇAS SANITÁRIAS</t>
        </is>
      </c>
      <c r="C38" s="60" t="n"/>
      <c r="D38" s="55">
        <f>SUMIF($CB$4:$JS$4,"&lt;="&amp;D$4,$CB38:$JS38)</f>
        <v/>
      </c>
      <c r="E38" s="55">
        <f>SUMIF($CB$4:$JS$4,E$4,$CB38:$JS38)</f>
        <v/>
      </c>
      <c r="F38" s="55">
        <f>SUMIF($CB$4:$JS$4,F$4,$CB38:$JS38)</f>
        <v/>
      </c>
      <c r="G38" s="55">
        <f>SUMIF($CB$4:$JS$4,G$4,$CB38:$JS38)</f>
        <v/>
      </c>
      <c r="H38" s="55">
        <f>SUMIF($CB$4:$JS$4,H$4,$CB38:$JS38)</f>
        <v/>
      </c>
      <c r="I38" s="55">
        <f>SUMIF($CB$4:$JS$4,I$4,$CB38:$JS38)</f>
        <v/>
      </c>
      <c r="J38" s="55">
        <f>SUMIF($CB$4:$JS$4,J$4,$CB38:$JS38)</f>
        <v/>
      </c>
      <c r="K38" s="55">
        <f>SUMIF($CB$4:$JS$4,K$4,$CB38:$JS38)</f>
        <v/>
      </c>
      <c r="L38" s="55">
        <f>SUMIF($CB$4:$JS$4,L$4,$CB38:$JS38)</f>
        <v/>
      </c>
      <c r="M38" s="55">
        <f>SUMIF($CB$4:$JS$4,M$4,$CB38:$JS38)</f>
        <v/>
      </c>
      <c r="N38" s="55">
        <f>SUMIF($CB$4:$JS$4,N$4,$CB38:$JS38)</f>
        <v/>
      </c>
      <c r="O38" s="55">
        <f>SUMIF($CB$4:$JS$4,O$4,$CB38:$JS38)</f>
        <v/>
      </c>
      <c r="P38" s="55">
        <f>SUMIF($CB$4:$JS$4,P$4,$CB38:$JS38)</f>
        <v/>
      </c>
      <c r="Q38" s="55">
        <f>SUMIF($CB$4:$JS$4,Q$4,$CB38:$JS38)</f>
        <v/>
      </c>
      <c r="R38" s="55">
        <f>SUMIF($CB$4:$JS$4,R$4,$CB38:$JS38)</f>
        <v/>
      </c>
      <c r="S38" s="55">
        <f>SUMIF($CB$4:$JS$4,S$4,$CB38:$JS38)</f>
        <v/>
      </c>
      <c r="T38" s="55">
        <f>SUMIF($CB$4:$JS$4,T$4,$CB38:$JS38)</f>
        <v/>
      </c>
      <c r="U38" s="55">
        <f>SUMIF($CB$4:$JS$4,U$4,$CB38:$JS38)</f>
        <v/>
      </c>
      <c r="V38" s="55">
        <f>SUMIF($CB$4:$JS$4,V$4,$CB38:$JS38)</f>
        <v/>
      </c>
      <c r="W38" s="55">
        <f>SUMIF($CB$4:$JS$4,W$4,$CB38:$JS38)</f>
        <v/>
      </c>
      <c r="X38" s="55">
        <f>SUMIF($CB$4:$JS$4,X$4,$CB38:$JS38)</f>
        <v/>
      </c>
      <c r="Y38" s="55">
        <f>SUMIF($CB$4:$JS$4,Y$4,$CB38:$JS38)</f>
        <v/>
      </c>
      <c r="Z38" s="55">
        <f>SUMIF($CB$4:$JS$4,Z$4,$CB38:$JS38)</f>
        <v/>
      </c>
      <c r="AA38" s="55">
        <f>SUMIF($CB$4:$JS$4,AA$4,$CB38:$JS38)</f>
        <v/>
      </c>
      <c r="AB38" s="55">
        <f>SUMIF($CB$4:$JS$4,AB$4,$CB38:$JS38)</f>
        <v/>
      </c>
      <c r="AC38" s="55">
        <f>SUMIF($CB$4:$JS$4,AC$4,$CB38:$JS38)</f>
        <v/>
      </c>
      <c r="AD38" s="55">
        <f>SUMIF($CB$4:$JS$4,AD$4,$CB38:$JS38)</f>
        <v/>
      </c>
      <c r="AE38" s="55">
        <f>SUMIF($CB$4:$JS$4,AE$4,$CB38:$JS38)</f>
        <v/>
      </c>
      <c r="AF38" s="55">
        <f>SUMIF($CB$4:$JS$4,AF$4,$CB38:$JS38)</f>
        <v/>
      </c>
      <c r="AG38" s="55">
        <f>SUMIF($CB$4:$JS$4,AG$4,$CB38:$JS38)</f>
        <v/>
      </c>
      <c r="AH38" s="55">
        <f>SUMIF($CB$4:$JS$4,AH$4,$CB38:$JS38)</f>
        <v/>
      </c>
      <c r="AI38" s="55">
        <f>SUMIF($CB$4:$JS$4,AI$4,$CB38:$JS38)</f>
        <v/>
      </c>
      <c r="AJ38" s="55">
        <f>SUMIF($CB$4:$JS$4,AJ$4,$CB38:$JS38)</f>
        <v/>
      </c>
      <c r="AK38" s="55">
        <f>SUMIF($CB$4:$JS$4,AK$4,$CB38:$JS38)</f>
        <v/>
      </c>
      <c r="AL38" s="55">
        <f>SUMIF($CB$4:$JS$4,AL$4,$CB38:$JS38)</f>
        <v/>
      </c>
      <c r="AM38" s="55">
        <f>SUMIF($CB$4:$JS$4,AM$4,$CB38:$JS38)</f>
        <v/>
      </c>
      <c r="AN38" s="55">
        <f>SUMIF($CB$4:$JS$4,AN$4,$CB38:$JS38)</f>
        <v/>
      </c>
      <c r="AO38" s="55">
        <f>SUMIF($CB$4:$JS$4,AO$4,$CB38:$JS38)</f>
        <v/>
      </c>
      <c r="AP38" s="55">
        <f>SUMIF($CB$4:$JS$4,AP$4,$CB38:$JS38)</f>
        <v/>
      </c>
      <c r="AQ38" s="55">
        <f>SUMIF($CB$4:$JS$4,AQ$4,$CB38:$JS38)</f>
        <v/>
      </c>
      <c r="AR38" s="55">
        <f>SUMIF($CB$4:$JS$4,AR$4,$CB38:$JS38)</f>
        <v/>
      </c>
      <c r="AS38" s="55">
        <f>SUMIF($CB$4:$JS$4,AS$4,$CB38:$JS38)</f>
        <v/>
      </c>
      <c r="AT38" s="55">
        <f>SUMIF($CB$4:$JS$4,AT$4,$CB38:$JS38)</f>
        <v/>
      </c>
      <c r="AU38" s="55">
        <f>SUMIF($CB$4:$JS$4,AU$4,$CB38:$JS38)</f>
        <v/>
      </c>
      <c r="AV38" s="55">
        <f>SUMIF($CB$4:$JS$4,AV$4,$CB38:$JS38)</f>
        <v/>
      </c>
      <c r="AW38" s="55">
        <f>SUMIF($CB$4:$JS$4,AW$4,$CB38:$JS38)</f>
        <v/>
      </c>
      <c r="AX38" s="55">
        <f>SUMIF($CB$4:$JS$4,AX$4,$CB38:$JS38)</f>
        <v/>
      </c>
      <c r="AY38" s="55">
        <f>SUMIF($CB$4:$JS$4,AY$4,$CB38:$JS38)</f>
        <v/>
      </c>
      <c r="AZ38" s="55">
        <f>SUMIF($CB$4:$JS$4,AZ$4,$CB38:$JS38)</f>
        <v/>
      </c>
      <c r="BA38" s="55">
        <f>SUMIF($CB$4:$JS$4,BA$4,$CB38:$JS38)</f>
        <v/>
      </c>
      <c r="BB38" s="55">
        <f>SUMIF($CB$4:$JS$4,BB$4,$CB38:$JS38)</f>
        <v/>
      </c>
      <c r="BC38" s="55">
        <f>SUMIF($CB$4:$JS$4,BC$4,$CB38:$JS38)</f>
        <v/>
      </c>
      <c r="BD38" s="55">
        <f>SUMIF($CB$4:$JS$4,BD$4,$CB38:$JS38)</f>
        <v/>
      </c>
      <c r="BE38" s="55">
        <f>SUMIF($CB$4:$JS$4,BE$4,$CB38:$JS38)</f>
        <v/>
      </c>
      <c r="BF38" s="55">
        <f>SUMIF($CB$4:$JS$4,BF$4,$CB38:$JS38)</f>
        <v/>
      </c>
      <c r="BG38" s="55">
        <f>SUMIF($CB$4:$JS$4,BG$4,$CB38:$JS38)</f>
        <v/>
      </c>
      <c r="BH38" s="55">
        <f>SUMIF($CB$4:$JS$4,BH$4,$CB38:$JS38)</f>
        <v/>
      </c>
      <c r="BI38" s="55">
        <f>SUMIF($CB$4:$JS$4,BI$4,$CB38:$JS38)</f>
        <v/>
      </c>
      <c r="BJ38" s="55">
        <f>SUMIF($CB$4:$JS$4,BJ$4,$CB38:$JS38)</f>
        <v/>
      </c>
      <c r="BK38" s="55">
        <f>SUMIF($CB$4:$JS$4,BK$4,$CB38:$JS38)</f>
        <v/>
      </c>
      <c r="BL38" s="55">
        <f>SUMIF($CB$4:$JS$4,BL$4,$CB38:$JS38)</f>
        <v/>
      </c>
      <c r="BM38" s="55">
        <f>SUMIF($CB$4:$JS$4,BM$4,$CB38:$JS38)</f>
        <v/>
      </c>
      <c r="BN38" s="55">
        <f>SUMIF($CB$4:$JS$4,BN$4,$CB38:$JS38)</f>
        <v/>
      </c>
      <c r="BO38" s="55">
        <f>SUMIF($CB$4:$JS$4,BO$4,$CB38:$JS38)</f>
        <v/>
      </c>
      <c r="BP38" s="55">
        <f>SUMIF($CB$4:$JS$4,BP$4,$CB38:$JS38)</f>
        <v/>
      </c>
      <c r="BQ38" s="55">
        <f>SUMIF($CB$4:$JS$4,BQ$4,$CB38:$JS38)</f>
        <v/>
      </c>
      <c r="BR38" s="55">
        <f>SUMIF($CB$4:$JS$4,BR$4,$CB38:$JS38)</f>
        <v/>
      </c>
      <c r="BS38" s="55">
        <f>SUMIF($CB$4:$JS$4,BS$4,$CB38:$JS38)</f>
        <v/>
      </c>
      <c r="BT38" s="55">
        <f>SUMIF($CB$4:$JS$4,BT$4,$CB38:$JS38)</f>
        <v/>
      </c>
      <c r="BU38" s="55">
        <f>SUMIF($CB$4:$JS$4,BU$4,$CB38:$JS38)</f>
        <v/>
      </c>
      <c r="BV38" s="55">
        <f>SUMIF($CB$4:$JS$4,BV$4,$CB38:$JS38)</f>
        <v/>
      </c>
      <c r="BW38" s="55">
        <f>SUMIF($CB$4:$JS$4,BW$4,$CB38:$JS38)</f>
        <v/>
      </c>
      <c r="BX38" s="55">
        <f>SUMIF($CB$4:$JS$4,"&gt;"&amp;'VALOR POR PL'!$P$8,$CB38:$JS38)</f>
        <v/>
      </c>
      <c r="BY38" s="55">
        <f>SUM($CB38:$JS38)</f>
        <v/>
      </c>
      <c r="CB38" s="123">
        <f>IF(OR(CB$4="",$B38=""),0,SUMIF('DADOS BRUTOS'!$A$3:$A$500,$B38,'DADOS BRUTOS'!B$3:B$500)+IF($C38="",0,SUMIF('DADOS BRUTOS'!$A$3:$A$500,$C38,'DADOS BRUTOS'!B$3:B$500)))</f>
        <v/>
      </c>
      <c r="CC38" s="123">
        <f>IF(OR(CC$4="",$B38=""),0,SUMIF('DADOS BRUTOS'!$A$3:$A$500,$B38,'DADOS BRUTOS'!C$3:C$500)+IF($C38="",0,SUMIF('DADOS BRUTOS'!$A$3:$A$500,$C38,'DADOS BRUTOS'!C$3:C$500)))</f>
        <v/>
      </c>
      <c r="CD38" s="123">
        <f>IF(OR(CD$4="",$B38=""),0,SUMIF('DADOS BRUTOS'!$A$3:$A$500,$B38,'DADOS BRUTOS'!D$3:D$500)+IF($C38="",0,SUMIF('DADOS BRUTOS'!$A$3:$A$500,$C38,'DADOS BRUTOS'!D$3:D$500)))</f>
        <v/>
      </c>
      <c r="CE38" s="123">
        <f>IF(OR(CE$4="",$B38=""),0,SUMIF('DADOS BRUTOS'!$A$3:$A$500,$B38,'DADOS BRUTOS'!E$3:E$500)+IF($C38="",0,SUMIF('DADOS BRUTOS'!$A$3:$A$500,$C38,'DADOS BRUTOS'!E$3:E$500)))</f>
        <v/>
      </c>
      <c r="CF38" s="123">
        <f>IF(OR(CF$4="",$B38=""),0,SUMIF('DADOS BRUTOS'!$A$3:$A$500,$B38,'DADOS BRUTOS'!F$3:F$500)+IF($C38="",0,SUMIF('DADOS BRUTOS'!$A$3:$A$500,$C38,'DADOS BRUTOS'!F$3:F$500)))</f>
        <v/>
      </c>
      <c r="CG38" s="123">
        <f>IF(OR(CG$4="",$B38=""),0,SUMIF('DADOS BRUTOS'!$A$3:$A$500,$B38,'DADOS BRUTOS'!G$3:G$500)+IF($C38="",0,SUMIF('DADOS BRUTOS'!$A$3:$A$500,$C38,'DADOS BRUTOS'!G$3:G$500)))</f>
        <v/>
      </c>
      <c r="CH38" s="123">
        <f>IF(OR(CH$4="",$B38=""),0,SUMIF('DADOS BRUTOS'!$A$3:$A$500,$B38,'DADOS BRUTOS'!H$3:H$500)+IF($C38="",0,SUMIF('DADOS BRUTOS'!$A$3:$A$500,$C38,'DADOS BRUTOS'!H$3:H$500)))</f>
        <v/>
      </c>
      <c r="CI38" s="123">
        <f>IF(OR(CI$4="",$B38=""),0,SUMIF('DADOS BRUTOS'!$A$3:$A$500,$B38,'DADOS BRUTOS'!I$3:I$500)+IF($C38="",0,SUMIF('DADOS BRUTOS'!$A$3:$A$500,$C38,'DADOS BRUTOS'!I$3:I$500)))</f>
        <v/>
      </c>
      <c r="CJ38" s="123">
        <f>IF(OR(CJ$4="",$B38=""),0,SUMIF('DADOS BRUTOS'!$A$3:$A$500,$B38,'DADOS BRUTOS'!J$3:J$500)+IF($C38="",0,SUMIF('DADOS BRUTOS'!$A$3:$A$500,$C38,'DADOS BRUTOS'!J$3:J$500)))</f>
        <v/>
      </c>
      <c r="CK38" s="123">
        <f>IF(OR(CK$4="",$B38=""),0,SUMIF('DADOS BRUTOS'!$A$3:$A$500,$B38,'DADOS BRUTOS'!K$3:K$500)+IF($C38="",0,SUMIF('DADOS BRUTOS'!$A$3:$A$500,$C38,'DADOS BRUTOS'!K$3:K$500)))</f>
        <v/>
      </c>
      <c r="CL38" s="123">
        <f>IF(OR(CL$4="",$B38=""),0,SUMIF('DADOS BRUTOS'!$A$3:$A$500,$B38,'DADOS BRUTOS'!L$3:L$500)+IF($C38="",0,SUMIF('DADOS BRUTOS'!$A$3:$A$500,$C38,'DADOS BRUTOS'!L$3:L$500)))</f>
        <v/>
      </c>
      <c r="CM38" s="123">
        <f>IF(OR(CM$4="",$B38=""),0,SUMIF('DADOS BRUTOS'!$A$3:$A$500,$B38,'DADOS BRUTOS'!M$3:M$500)+IF($C38="",0,SUMIF('DADOS BRUTOS'!$A$3:$A$500,$C38,'DADOS BRUTOS'!M$3:M$500)))</f>
        <v/>
      </c>
      <c r="CN38" s="123">
        <f>IF(OR(CN$4="",$B38=""),0,SUMIF('DADOS BRUTOS'!$A$3:$A$500,$B38,'DADOS BRUTOS'!N$3:N$500)+IF($C38="",0,SUMIF('DADOS BRUTOS'!$A$3:$A$500,$C38,'DADOS BRUTOS'!N$3:N$500)))</f>
        <v/>
      </c>
      <c r="CO38" s="123">
        <f>IF(OR(CO$4="",$B38=""),0,SUMIF('DADOS BRUTOS'!$A$3:$A$500,$B38,'DADOS BRUTOS'!O$3:O$500)+IF($C38="",0,SUMIF('DADOS BRUTOS'!$A$3:$A$500,$C38,'DADOS BRUTOS'!O$3:O$500)))</f>
        <v/>
      </c>
      <c r="CP38" s="123">
        <f>IF(OR(CP$4="",$B38=""),0,SUMIF('DADOS BRUTOS'!$A$3:$A$500,$B38,'DADOS BRUTOS'!P$3:P$500)+IF($C38="",0,SUMIF('DADOS BRUTOS'!$A$3:$A$500,$C38,'DADOS BRUTOS'!P$3:P$500)))</f>
        <v/>
      </c>
      <c r="CQ38" s="123">
        <f>IF(OR(CQ$4="",$B38=""),0,SUMIF('DADOS BRUTOS'!$A$3:$A$500,$B38,'DADOS BRUTOS'!Q$3:Q$500)+IF($C38="",0,SUMIF('DADOS BRUTOS'!$A$3:$A$500,$C38,'DADOS BRUTOS'!Q$3:Q$500)))</f>
        <v/>
      </c>
      <c r="CR38" s="123">
        <f>IF(OR(CR$4="",$B38=""),0,SUMIF('DADOS BRUTOS'!$A$3:$A$500,$B38,'DADOS BRUTOS'!R$3:R$500)+IF($C38="",0,SUMIF('DADOS BRUTOS'!$A$3:$A$500,$C38,'DADOS BRUTOS'!R$3:R$500)))</f>
        <v/>
      </c>
      <c r="CS38" s="123">
        <f>IF(OR(CS$4="",$B38=""),0,SUMIF('DADOS BRUTOS'!$A$3:$A$500,$B38,'DADOS BRUTOS'!S$3:S$500)+IF($C38="",0,SUMIF('DADOS BRUTOS'!$A$3:$A$500,$C38,'DADOS BRUTOS'!S$3:S$500)))</f>
        <v/>
      </c>
      <c r="CT38" s="123">
        <f>IF(OR(CT$4="",$B38=""),0,SUMIF('DADOS BRUTOS'!$A$3:$A$500,$B38,'DADOS BRUTOS'!T$3:T$500)+IF($C38="",0,SUMIF('DADOS BRUTOS'!$A$3:$A$500,$C38,'DADOS BRUTOS'!T$3:T$500)))</f>
        <v/>
      </c>
      <c r="CU38" s="123">
        <f>IF(OR(CU$4="",$B38=""),0,SUMIF('DADOS BRUTOS'!$A$3:$A$500,$B38,'DADOS BRUTOS'!U$3:U$500)+IF($C38="",0,SUMIF('DADOS BRUTOS'!$A$3:$A$500,$C38,'DADOS BRUTOS'!U$3:U$500)))</f>
        <v/>
      </c>
      <c r="CV38" s="123">
        <f>IF(OR(CV$4="",$B38=""),0,SUMIF('DADOS BRUTOS'!$A$3:$A$500,$B38,'DADOS BRUTOS'!V$3:V$500)+IF($C38="",0,SUMIF('DADOS BRUTOS'!$A$3:$A$500,$C38,'DADOS BRUTOS'!V$3:V$500)))</f>
        <v/>
      </c>
      <c r="CW38" s="123">
        <f>IF(OR(CW$4="",$B38=""),0,SUMIF('DADOS BRUTOS'!$A$3:$A$500,$B38,'DADOS BRUTOS'!W$3:W$500)+IF($C38="",0,SUMIF('DADOS BRUTOS'!$A$3:$A$500,$C38,'DADOS BRUTOS'!W$3:W$500)))</f>
        <v/>
      </c>
      <c r="CX38" s="123">
        <f>IF(OR(CX$4="",$B38=""),0,SUMIF('DADOS BRUTOS'!$A$3:$A$500,$B38,'DADOS BRUTOS'!X$3:X$500)+IF($C38="",0,SUMIF('DADOS BRUTOS'!$A$3:$A$500,$C38,'DADOS BRUTOS'!X$3:X$500)))</f>
        <v/>
      </c>
      <c r="CY38" s="123">
        <f>IF(OR(CY$4="",$B38=""),0,SUMIF('DADOS BRUTOS'!$A$3:$A$500,$B38,'DADOS BRUTOS'!Y$3:Y$500)+IF($C38="",0,SUMIF('DADOS BRUTOS'!$A$3:$A$500,$C38,'DADOS BRUTOS'!Y$3:Y$500)))</f>
        <v/>
      </c>
      <c r="CZ38" s="123">
        <f>IF(OR(CZ$4="",$B38=""),0,SUMIF('DADOS BRUTOS'!$A$3:$A$500,$B38,'DADOS BRUTOS'!Z$3:Z$500)+IF($C38="",0,SUMIF('DADOS BRUTOS'!$A$3:$A$500,$C38,'DADOS BRUTOS'!Z$3:Z$500)))</f>
        <v/>
      </c>
      <c r="DA38" s="123">
        <f>IF(OR(DA$4="",$B38=""),0,SUMIF('DADOS BRUTOS'!$A$3:$A$500,$B38,'DADOS BRUTOS'!AA$3:AA$500)+IF($C38="",0,SUMIF('DADOS BRUTOS'!$A$3:$A$500,$C38,'DADOS BRUTOS'!AA$3:AA$500)))</f>
        <v/>
      </c>
      <c r="DB38" s="123">
        <f>IF(OR(DB$4="",$B38=""),0,SUMIF('DADOS BRUTOS'!$A$3:$A$500,$B38,'DADOS BRUTOS'!AB$3:AB$500)+IF($C38="",0,SUMIF('DADOS BRUTOS'!$A$3:$A$500,$C38,'DADOS BRUTOS'!AB$3:AB$500)))</f>
        <v/>
      </c>
      <c r="DC38" s="123">
        <f>IF(OR(DC$4="",$B38=""),0,SUMIF('DADOS BRUTOS'!$A$3:$A$500,$B38,'DADOS BRUTOS'!AC$3:AC$500)+IF($C38="",0,SUMIF('DADOS BRUTOS'!$A$3:$A$500,$C38,'DADOS BRUTOS'!AC$3:AC$500)))</f>
        <v/>
      </c>
      <c r="DD38" s="123">
        <f>IF(OR(DD$4="",$B38=""),0,SUMIF('DADOS BRUTOS'!$A$3:$A$500,$B38,'DADOS BRUTOS'!AD$3:AD$500)+IF($C38="",0,SUMIF('DADOS BRUTOS'!$A$3:$A$500,$C38,'DADOS BRUTOS'!AD$3:AD$500)))</f>
        <v/>
      </c>
      <c r="DE38" s="123">
        <f>IF(OR(DE$4="",$B38=""),0,SUMIF('DADOS BRUTOS'!$A$3:$A$500,$B38,'DADOS BRUTOS'!AE$3:AE$500)+IF($C38="",0,SUMIF('DADOS BRUTOS'!$A$3:$A$500,$C38,'DADOS BRUTOS'!AE$3:AE$500)))</f>
        <v/>
      </c>
      <c r="DF38" s="123">
        <f>IF(OR(DF$4="",$B38=""),0,SUMIF('DADOS BRUTOS'!$A$3:$A$500,$B38,'DADOS BRUTOS'!AF$3:AF$500)+IF($C38="",0,SUMIF('DADOS BRUTOS'!$A$3:$A$500,$C38,'DADOS BRUTOS'!AF$3:AF$500)))</f>
        <v/>
      </c>
      <c r="DG38" s="123">
        <f>IF(OR(DG$4="",$B38=""),0,SUMIF('DADOS BRUTOS'!$A$3:$A$500,$B38,'DADOS BRUTOS'!AG$3:AG$500)+IF($C38="",0,SUMIF('DADOS BRUTOS'!$A$3:$A$500,$C38,'DADOS BRUTOS'!AG$3:AG$500)))</f>
        <v/>
      </c>
      <c r="DH38" s="123">
        <f>IF(OR(DH$4="",$B38=""),0,SUMIF('DADOS BRUTOS'!$A$3:$A$500,$B38,'DADOS BRUTOS'!AH$3:AH$500)+IF($C38="",0,SUMIF('DADOS BRUTOS'!$A$3:$A$500,$C38,'DADOS BRUTOS'!AH$3:AH$500)))</f>
        <v/>
      </c>
      <c r="DI38" s="123">
        <f>IF(OR(DI$4="",$B38=""),0,SUMIF('DADOS BRUTOS'!$A$3:$A$500,$B38,'DADOS BRUTOS'!AI$3:AI$500)+IF($C38="",0,SUMIF('DADOS BRUTOS'!$A$3:$A$500,$C38,'DADOS BRUTOS'!AI$3:AI$500)))</f>
        <v/>
      </c>
      <c r="DJ38" s="123">
        <f>IF(OR(DJ$4="",$B38=""),0,SUMIF('DADOS BRUTOS'!$A$3:$A$500,$B38,'DADOS BRUTOS'!AJ$3:AJ$500)+IF($C38="",0,SUMIF('DADOS BRUTOS'!$A$3:$A$500,$C38,'DADOS BRUTOS'!AJ$3:AJ$500)))</f>
        <v/>
      </c>
      <c r="DK38" s="123">
        <f>IF(OR(DK$4="",$B38=""),0,SUMIF('DADOS BRUTOS'!$A$3:$A$500,$B38,'DADOS BRUTOS'!AK$3:AK$500)+IF($C38="",0,SUMIF('DADOS BRUTOS'!$A$3:$A$500,$C38,'DADOS BRUTOS'!AK$3:AK$500)))</f>
        <v/>
      </c>
      <c r="DL38" s="123">
        <f>IF(OR(DL$4="",$B38=""),0,SUMIF('DADOS BRUTOS'!$A$3:$A$500,$B38,'DADOS BRUTOS'!AL$3:AL$500)+IF($C38="",0,SUMIF('DADOS BRUTOS'!$A$3:$A$500,$C38,'DADOS BRUTOS'!AL$3:AL$500)))</f>
        <v/>
      </c>
      <c r="DM38" s="123">
        <f>IF(OR(DM$4="",$B38=""),0,SUMIF('DADOS BRUTOS'!$A$3:$A$500,$B38,'DADOS BRUTOS'!AM$3:AM$500)+IF($C38="",0,SUMIF('DADOS BRUTOS'!$A$3:$A$500,$C38,'DADOS BRUTOS'!AM$3:AM$500)))</f>
        <v/>
      </c>
      <c r="DN38" s="123">
        <f>IF(OR(DN$4="",$B38=""),0,SUMIF('DADOS BRUTOS'!$A$3:$A$500,$B38,'DADOS BRUTOS'!AN$3:AN$500)+IF($C38="",0,SUMIF('DADOS BRUTOS'!$A$3:$A$500,$C38,'DADOS BRUTOS'!AN$3:AN$500)))</f>
        <v/>
      </c>
      <c r="DO38" s="123">
        <f>IF(OR(DO$4="",$B38=""),0,SUMIF('DADOS BRUTOS'!$A$3:$A$500,$B38,'DADOS BRUTOS'!AO$3:AO$500)+IF($C38="",0,SUMIF('DADOS BRUTOS'!$A$3:$A$500,$C38,'DADOS BRUTOS'!AO$3:AO$500)))</f>
        <v/>
      </c>
      <c r="DP38" s="123">
        <f>IF(OR(DP$4="",$B38=""),0,SUMIF('DADOS BRUTOS'!$A$3:$A$500,$B38,'DADOS BRUTOS'!AP$3:AP$500)+IF($C38="",0,SUMIF('DADOS BRUTOS'!$A$3:$A$500,$C38,'DADOS BRUTOS'!AP$3:AP$500)))</f>
        <v/>
      </c>
      <c r="DQ38" s="123">
        <f>IF(OR(DQ$4="",$B38=""),0,SUMIF('DADOS BRUTOS'!$A$3:$A$500,$B38,'DADOS BRUTOS'!AQ$3:AQ$500)+IF($C38="",0,SUMIF('DADOS BRUTOS'!$A$3:$A$500,$C38,'DADOS BRUTOS'!AQ$3:AQ$500)))</f>
        <v/>
      </c>
      <c r="DR38" s="123">
        <f>IF(OR(DR$4="",$B38=""),0,SUMIF('DADOS BRUTOS'!$A$3:$A$500,$B38,'DADOS BRUTOS'!AR$3:AR$500)+IF($C38="",0,SUMIF('DADOS BRUTOS'!$A$3:$A$500,$C38,'DADOS BRUTOS'!AR$3:AR$500)))</f>
        <v/>
      </c>
      <c r="DS38" s="123">
        <f>IF(OR(DS$4="",$B38=""),0,SUMIF('DADOS BRUTOS'!$A$3:$A$500,$B38,'DADOS BRUTOS'!AS$3:AS$500)+IF($C38="",0,SUMIF('DADOS BRUTOS'!$A$3:$A$500,$C38,'DADOS BRUTOS'!AS$3:AS$500)))</f>
        <v/>
      </c>
      <c r="DT38" s="123">
        <f>IF(OR(DT$4="",$B38=""),0,SUMIF('DADOS BRUTOS'!$A$3:$A$500,$B38,'DADOS BRUTOS'!AT$3:AT$500)+IF($C38="",0,SUMIF('DADOS BRUTOS'!$A$3:$A$500,$C38,'DADOS BRUTOS'!AT$3:AT$500)))</f>
        <v/>
      </c>
      <c r="DU38" s="123">
        <f>IF(OR(DU$4="",$B38=""),0,SUMIF('DADOS BRUTOS'!$A$3:$A$500,$B38,'DADOS BRUTOS'!AU$3:AU$500)+IF($C38="",0,SUMIF('DADOS BRUTOS'!$A$3:$A$500,$C38,'DADOS BRUTOS'!AU$3:AU$500)))</f>
        <v/>
      </c>
      <c r="DV38" s="123">
        <f>IF(OR(DV$4="",$B38=""),0,SUMIF('DADOS BRUTOS'!$A$3:$A$500,$B38,'DADOS BRUTOS'!AV$3:AV$500)+IF($C38="",0,SUMIF('DADOS BRUTOS'!$A$3:$A$500,$C38,'DADOS BRUTOS'!AV$3:AV$500)))</f>
        <v/>
      </c>
      <c r="DW38" s="123">
        <f>IF(OR(DW$4="",$B38=""),0,SUMIF('DADOS BRUTOS'!$A$3:$A$500,$B38,'DADOS BRUTOS'!AW$3:AW$500)+IF($C38="",0,SUMIF('DADOS BRUTOS'!$A$3:$A$500,$C38,'DADOS BRUTOS'!AW$3:AW$500)))</f>
        <v/>
      </c>
      <c r="DX38" s="123">
        <f>IF(OR(DX$4="",$B38=""),0,SUMIF('DADOS BRUTOS'!$A$3:$A$500,$B38,'DADOS BRUTOS'!AX$3:AX$500)+IF($C38="",0,SUMIF('DADOS BRUTOS'!$A$3:$A$500,$C38,'DADOS BRUTOS'!AX$3:AX$500)))</f>
        <v/>
      </c>
      <c r="DY38" s="123">
        <f>IF(OR(DY$4="",$B38=""),0,SUMIF('DADOS BRUTOS'!$A$3:$A$500,$B38,'DADOS BRUTOS'!AY$3:AY$500)+IF($C38="",0,SUMIF('DADOS BRUTOS'!$A$3:$A$500,$C38,'DADOS BRUTOS'!AY$3:AY$500)))</f>
        <v/>
      </c>
      <c r="DZ38" s="123">
        <f>IF(OR(DZ$4="",$B38=""),0,SUMIF('DADOS BRUTOS'!$A$3:$A$500,$B38,'DADOS BRUTOS'!AZ$3:AZ$500)+IF($C38="",0,SUMIF('DADOS BRUTOS'!$A$3:$A$500,$C38,'DADOS BRUTOS'!AZ$3:AZ$500)))</f>
        <v/>
      </c>
      <c r="EA38" s="123">
        <f>IF(OR(EA$4="",$B38=""),0,SUMIF('DADOS BRUTOS'!$A$3:$A$500,$B38,'DADOS BRUTOS'!BA$3:BA$500)+IF($C38="",0,SUMIF('DADOS BRUTOS'!$A$3:$A$500,$C38,'DADOS BRUTOS'!BA$3:BA$500)))</f>
        <v/>
      </c>
      <c r="EB38" s="123">
        <f>IF(OR(EB$4="",$B38=""),0,SUMIF('DADOS BRUTOS'!$A$3:$A$500,$B38,'DADOS BRUTOS'!BB$3:BB$500)+IF($C38="",0,SUMIF('DADOS BRUTOS'!$A$3:$A$500,$C38,'DADOS BRUTOS'!BB$3:BB$500)))</f>
        <v/>
      </c>
      <c r="EC38" s="123">
        <f>IF(OR(EC$4="",$B38=""),0,SUMIF('DADOS BRUTOS'!$A$3:$A$500,$B38,'DADOS BRUTOS'!BC$3:BC$500)+IF($C38="",0,SUMIF('DADOS BRUTOS'!$A$3:$A$500,$C38,'DADOS BRUTOS'!BC$3:BC$500)))</f>
        <v/>
      </c>
      <c r="ED38" s="123">
        <f>IF(OR(ED$4="",$B38=""),0,SUMIF('DADOS BRUTOS'!$A$3:$A$500,$B38,'DADOS BRUTOS'!BD$3:BD$500)+IF($C38="",0,SUMIF('DADOS BRUTOS'!$A$3:$A$500,$C38,'DADOS BRUTOS'!BD$3:BD$500)))</f>
        <v/>
      </c>
      <c r="EE38" s="123">
        <f>IF(OR(EE$4="",$B38=""),0,SUMIF('DADOS BRUTOS'!$A$3:$A$500,$B38,'DADOS BRUTOS'!BE$3:BE$500)+IF($C38="",0,SUMIF('DADOS BRUTOS'!$A$3:$A$500,$C38,'DADOS BRUTOS'!BE$3:BE$500)))</f>
        <v/>
      </c>
      <c r="EF38" s="123">
        <f>IF(OR(EF$4="",$B38=""),0,SUMIF('DADOS BRUTOS'!$A$3:$A$500,$B38,'DADOS BRUTOS'!BF$3:BF$500)+IF($C38="",0,SUMIF('DADOS BRUTOS'!$A$3:$A$500,$C38,'DADOS BRUTOS'!BF$3:BF$500)))</f>
        <v/>
      </c>
      <c r="EG38" s="123">
        <f>IF(OR(EG$4="",$B38=""),0,SUMIF('DADOS BRUTOS'!$A$3:$A$500,$B38,'DADOS BRUTOS'!BG$3:BG$500)+IF($C38="",0,SUMIF('DADOS BRUTOS'!$A$3:$A$500,$C38,'DADOS BRUTOS'!BG$3:BG$500)))</f>
        <v/>
      </c>
      <c r="EH38" s="123">
        <f>IF(OR(EH$4="",$B38=""),0,SUMIF('DADOS BRUTOS'!$A$3:$A$500,$B38,'DADOS BRUTOS'!BH$3:BH$500)+IF($C38="",0,SUMIF('DADOS BRUTOS'!$A$3:$A$500,$C38,'DADOS BRUTOS'!BH$3:BH$500)))</f>
        <v/>
      </c>
      <c r="EI38" s="123">
        <f>IF(OR(EI$4="",$B38=""),0,SUMIF('DADOS BRUTOS'!$A$3:$A$500,$B38,'DADOS BRUTOS'!BI$3:BI$500)+IF($C38="",0,SUMIF('DADOS BRUTOS'!$A$3:$A$500,$C38,'DADOS BRUTOS'!BI$3:BI$500)))</f>
        <v/>
      </c>
      <c r="EJ38" s="123">
        <f>IF(OR(EJ$4="",$B38=""),0,SUMIF('DADOS BRUTOS'!$A$3:$A$500,$B38,'DADOS BRUTOS'!BJ$3:BJ$500)+IF($C38="",0,SUMIF('DADOS BRUTOS'!$A$3:$A$500,$C38,'DADOS BRUTOS'!BJ$3:BJ$500)))</f>
        <v/>
      </c>
      <c r="EK38" s="123">
        <f>IF(OR(EK$4="",$B38=""),0,SUMIF('DADOS BRUTOS'!$A$3:$A$500,$B38,'DADOS BRUTOS'!BK$3:BK$500)+IF($C38="",0,SUMIF('DADOS BRUTOS'!$A$3:$A$500,$C38,'DADOS BRUTOS'!BK$3:BK$500)))</f>
        <v/>
      </c>
      <c r="EL38" s="123">
        <f>IF(OR(EL$4="",$B38=""),0,SUMIF('DADOS BRUTOS'!$A$3:$A$500,$B38,'DADOS BRUTOS'!BL$3:BL$500)+IF($C38="",0,SUMIF('DADOS BRUTOS'!$A$3:$A$500,$C38,'DADOS BRUTOS'!BL$3:BL$500)))</f>
        <v/>
      </c>
      <c r="EM38" s="123">
        <f>IF(OR(EM$4="",$B38=""),0,SUMIF('DADOS BRUTOS'!$A$3:$A$500,$B38,'DADOS BRUTOS'!BM$3:BM$500)+IF($C38="",0,SUMIF('DADOS BRUTOS'!$A$3:$A$500,$C38,'DADOS BRUTOS'!BM$3:BM$500)))</f>
        <v/>
      </c>
      <c r="EN38" s="123">
        <f>IF(OR(EN$4="",$B38=""),0,SUMIF('DADOS BRUTOS'!$A$3:$A$500,$B38,'DADOS BRUTOS'!BN$3:BN$500)+IF($C38="",0,SUMIF('DADOS BRUTOS'!$A$3:$A$500,$C38,'DADOS BRUTOS'!BN$3:BN$500)))</f>
        <v/>
      </c>
      <c r="EO38" s="123">
        <f>IF(OR(EO$4="",$B38=""),0,SUMIF('DADOS BRUTOS'!$A$3:$A$500,$B38,'DADOS BRUTOS'!BO$3:BO$500)+IF($C38="",0,SUMIF('DADOS BRUTOS'!$A$3:$A$500,$C38,'DADOS BRUTOS'!BO$3:BO$500)))</f>
        <v/>
      </c>
      <c r="EP38" s="123">
        <f>IF(OR(EP$4="",$B38=""),0,SUMIF('DADOS BRUTOS'!$A$3:$A$500,$B38,'DADOS BRUTOS'!BP$3:BP$500)+IF($C38="",0,SUMIF('DADOS BRUTOS'!$A$3:$A$500,$C38,'DADOS BRUTOS'!BP$3:BP$500)))</f>
        <v/>
      </c>
      <c r="EQ38" s="123">
        <f>IF(OR(EQ$4="",$B38=""),0,SUMIF('DADOS BRUTOS'!$A$3:$A$500,$B38,'DADOS BRUTOS'!BQ$3:BQ$500)+IF($C38="",0,SUMIF('DADOS BRUTOS'!$A$3:$A$500,$C38,'DADOS BRUTOS'!BQ$3:BQ$500)))</f>
        <v/>
      </c>
      <c r="ER38" s="123">
        <f>IF(OR(ER$4="",$B38=""),0,SUMIF('DADOS BRUTOS'!$A$3:$A$500,$B38,'DADOS BRUTOS'!BR$3:BR$500)+IF($C38="",0,SUMIF('DADOS BRUTOS'!$A$3:$A$500,$C38,'DADOS BRUTOS'!BR$3:BR$500)))</f>
        <v/>
      </c>
      <c r="ES38" s="123">
        <f>IF(OR(ES$4="",$B38=""),0,SUMIF('DADOS BRUTOS'!$A$3:$A$500,$B38,'DADOS BRUTOS'!BS$3:BS$500)+IF($C38="",0,SUMIF('DADOS BRUTOS'!$A$3:$A$500,$C38,'DADOS BRUTOS'!BS$3:BS$500)))</f>
        <v/>
      </c>
      <c r="ET38" s="123">
        <f>IF(OR(ET$4="",$B38=""),0,SUMIF('DADOS BRUTOS'!$A$3:$A$500,$B38,'DADOS BRUTOS'!BT$3:BT$500)+IF($C38="",0,SUMIF('DADOS BRUTOS'!$A$3:$A$500,$C38,'DADOS BRUTOS'!BT$3:BT$500)))</f>
        <v/>
      </c>
      <c r="EU38" s="123">
        <f>IF(OR(EU$4="",$B38=""),0,SUMIF('DADOS BRUTOS'!$A$3:$A$500,$B38,'DADOS BRUTOS'!BU$3:BU$500)+IF($C38="",0,SUMIF('DADOS BRUTOS'!$A$3:$A$500,$C38,'DADOS BRUTOS'!BU$3:BU$500)))</f>
        <v/>
      </c>
      <c r="EV38" s="123">
        <f>IF(OR(EV$4="",$B38=""),0,SUMIF('DADOS BRUTOS'!$A$3:$A$500,$B38,'DADOS BRUTOS'!BV$3:BV$500)+IF($C38="",0,SUMIF('DADOS BRUTOS'!$A$3:$A$500,$C38,'DADOS BRUTOS'!BV$3:BV$500)))</f>
        <v/>
      </c>
      <c r="EW38" s="123">
        <f>IF(OR(EW$4="",$B38=""),0,SUMIF('DADOS BRUTOS'!$A$3:$A$500,$B38,'DADOS BRUTOS'!BW$3:BW$500)+IF($C38="",0,SUMIF('DADOS BRUTOS'!$A$3:$A$500,$C38,'DADOS BRUTOS'!BW$3:BW$500)))</f>
        <v/>
      </c>
      <c r="EX38" s="123">
        <f>IF(OR(EX$4="",$B38=""),0,SUMIF('DADOS BRUTOS'!$A$3:$A$500,$B38,'DADOS BRUTOS'!BX$3:BX$500)+IF($C38="",0,SUMIF('DADOS BRUTOS'!$A$3:$A$500,$C38,'DADOS BRUTOS'!BX$3:BX$500)))</f>
        <v/>
      </c>
      <c r="EY38" s="123">
        <f>IF(OR(EY$4="",$B38=""),0,SUMIF('DADOS BRUTOS'!$A$3:$A$500,$B38,'DADOS BRUTOS'!BY$3:BY$500)+IF($C38="",0,SUMIF('DADOS BRUTOS'!$A$3:$A$500,$C38,'DADOS BRUTOS'!BY$3:BY$500)))</f>
        <v/>
      </c>
      <c r="EZ38" s="123">
        <f>IF(OR(EZ$4="",$B38=""),0,SUMIF('DADOS BRUTOS'!$A$3:$A$500,$B38,'DADOS BRUTOS'!BZ$3:BZ$500)+IF($C38="",0,SUMIF('DADOS BRUTOS'!$A$3:$A$500,$C38,'DADOS BRUTOS'!BZ$3:BZ$500)))</f>
        <v/>
      </c>
      <c r="FA38" s="123">
        <f>IF(OR(FA$4="",$B38=""),0,SUMIF('DADOS BRUTOS'!$A$3:$A$500,$B38,'DADOS BRUTOS'!CA$3:CA$500)+IF($C38="",0,SUMIF('DADOS BRUTOS'!$A$3:$A$500,$C38,'DADOS BRUTOS'!CA$3:CA$500)))</f>
        <v/>
      </c>
      <c r="FB38" s="123">
        <f>IF(OR(FB$4="",$B38=""),0,SUMIF('DADOS BRUTOS'!$A$3:$A$500,$B38,'DADOS BRUTOS'!CB$3:CB$500)+IF($C38="",0,SUMIF('DADOS BRUTOS'!$A$3:$A$500,$C38,'DADOS BRUTOS'!CB$3:CB$500)))</f>
        <v/>
      </c>
      <c r="FC38" s="123">
        <f>IF(OR(FC$4="",$B38=""),0,SUMIF('DADOS BRUTOS'!$A$3:$A$500,$B38,'DADOS BRUTOS'!CC$3:CC$500)+IF($C38="",0,SUMIF('DADOS BRUTOS'!$A$3:$A$500,$C38,'DADOS BRUTOS'!CC$3:CC$500)))</f>
        <v/>
      </c>
      <c r="FD38" s="123">
        <f>IF(OR(FD$4="",$B38=""),0,SUMIF('DADOS BRUTOS'!$A$3:$A$500,$B38,'DADOS BRUTOS'!CD$3:CD$500)+IF($C38="",0,SUMIF('DADOS BRUTOS'!$A$3:$A$500,$C38,'DADOS BRUTOS'!CD$3:CD$500)))</f>
        <v/>
      </c>
      <c r="FE38" s="123">
        <f>IF(OR(FE$4="",$B38=""),0,SUMIF('DADOS BRUTOS'!$A$3:$A$500,$B38,'DADOS BRUTOS'!CE$3:CE$500)+IF($C38="",0,SUMIF('DADOS BRUTOS'!$A$3:$A$500,$C38,'DADOS BRUTOS'!CE$3:CE$500)))</f>
        <v/>
      </c>
      <c r="FF38" s="123">
        <f>IF(OR(FF$4="",$B38=""),0,SUMIF('DADOS BRUTOS'!$A$3:$A$500,$B38,'DADOS BRUTOS'!CF$3:CF$500)+IF($C38="",0,SUMIF('DADOS BRUTOS'!$A$3:$A$500,$C38,'DADOS BRUTOS'!CF$3:CF$500)))</f>
        <v/>
      </c>
      <c r="FG38" s="123">
        <f>IF(OR(FG$4="",$B38=""),0,SUMIF('DADOS BRUTOS'!$A$3:$A$500,$B38,'DADOS BRUTOS'!CG$3:CG$500)+IF($C38="",0,SUMIF('DADOS BRUTOS'!$A$3:$A$500,$C38,'DADOS BRUTOS'!CG$3:CG$500)))</f>
        <v/>
      </c>
      <c r="FH38" s="123">
        <f>IF(OR(FH$4="",$B38=""),0,SUMIF('DADOS BRUTOS'!$A$3:$A$500,$B38,'DADOS BRUTOS'!CH$3:CH$500)+IF($C38="",0,SUMIF('DADOS BRUTOS'!$A$3:$A$500,$C38,'DADOS BRUTOS'!CH$3:CH$500)))</f>
        <v/>
      </c>
      <c r="FI38" s="123">
        <f>IF(OR(FI$4="",$B38=""),0,SUMIF('DADOS BRUTOS'!$A$3:$A$500,$B38,'DADOS BRUTOS'!CI$3:CI$500)+IF($C38="",0,SUMIF('DADOS BRUTOS'!$A$3:$A$500,$C38,'DADOS BRUTOS'!CI$3:CI$500)))</f>
        <v/>
      </c>
      <c r="FJ38" s="123">
        <f>IF(OR(FJ$4="",$B38=""),0,SUMIF('DADOS BRUTOS'!$A$3:$A$500,$B38,'DADOS BRUTOS'!CJ$3:CJ$500)+IF($C38="",0,SUMIF('DADOS BRUTOS'!$A$3:$A$500,$C38,'DADOS BRUTOS'!CJ$3:CJ$500)))</f>
        <v/>
      </c>
      <c r="FK38" s="123">
        <f>IF(OR(FK$4="",$B38=""),0,SUMIF('DADOS BRUTOS'!$A$3:$A$500,$B38,'DADOS BRUTOS'!CK$3:CK$500)+IF($C38="",0,SUMIF('DADOS BRUTOS'!$A$3:$A$500,$C38,'DADOS BRUTOS'!CK$3:CK$500)))</f>
        <v/>
      </c>
      <c r="FL38" s="123">
        <f>IF(OR(FL$4="",$B38=""),0,SUMIF('DADOS BRUTOS'!$A$3:$A$500,$B38,'DADOS BRUTOS'!CL$3:CL$500)+IF($C38="",0,SUMIF('DADOS BRUTOS'!$A$3:$A$500,$C38,'DADOS BRUTOS'!CL$3:CL$500)))</f>
        <v/>
      </c>
      <c r="FM38" s="123">
        <f>IF(OR(FM$4="",$B38=""),0,SUMIF('DADOS BRUTOS'!$A$3:$A$500,$B38,'DADOS BRUTOS'!CM$3:CM$500)+IF($C38="",0,SUMIF('DADOS BRUTOS'!$A$3:$A$500,$C38,'DADOS BRUTOS'!CM$3:CM$500)))</f>
        <v/>
      </c>
      <c r="FN38" s="123">
        <f>IF(OR(FN$4="",$B38=""),0,SUMIF('DADOS BRUTOS'!$A$3:$A$500,$B38,'DADOS BRUTOS'!CN$3:CN$500)+IF($C38="",0,SUMIF('DADOS BRUTOS'!$A$3:$A$500,$C38,'DADOS BRUTOS'!CN$3:CN$500)))</f>
        <v/>
      </c>
      <c r="FO38" s="123">
        <f>IF(OR(FO$4="",$B38=""),0,SUMIF('DADOS BRUTOS'!$A$3:$A$500,$B38,'DADOS BRUTOS'!CO$3:CO$500)+IF($C38="",0,SUMIF('DADOS BRUTOS'!$A$3:$A$500,$C38,'DADOS BRUTOS'!CO$3:CO$500)))</f>
        <v/>
      </c>
      <c r="FP38" s="123">
        <f>IF(OR(FP$4="",$B38=""),0,SUMIF('DADOS BRUTOS'!$A$3:$A$500,$B38,'DADOS BRUTOS'!CP$3:CP$500)+IF($C38="",0,SUMIF('DADOS BRUTOS'!$A$3:$A$500,$C38,'DADOS BRUTOS'!CP$3:CP$500)))</f>
        <v/>
      </c>
      <c r="FQ38" s="123">
        <f>IF(OR(FQ$4="",$B38=""),0,SUMIF('DADOS BRUTOS'!$A$3:$A$500,$B38,'DADOS BRUTOS'!CQ$3:CQ$500)+IF($C38="",0,SUMIF('DADOS BRUTOS'!$A$3:$A$500,$C38,'DADOS BRUTOS'!CQ$3:CQ$500)))</f>
        <v/>
      </c>
      <c r="FR38" s="123">
        <f>IF(OR(FR$4="",$B38=""),0,SUMIF('DADOS BRUTOS'!$A$3:$A$500,$B38,'DADOS BRUTOS'!CR$3:CR$500)+IF($C38="",0,SUMIF('DADOS BRUTOS'!$A$3:$A$500,$C38,'DADOS BRUTOS'!CR$3:CR$500)))</f>
        <v/>
      </c>
      <c r="FS38" s="123">
        <f>IF(OR(FS$4="",$B38=""),0,SUMIF('DADOS BRUTOS'!$A$3:$A$500,$B38,'DADOS BRUTOS'!CS$3:CS$500)+IF($C38="",0,SUMIF('DADOS BRUTOS'!$A$3:$A$500,$C38,'DADOS BRUTOS'!CS$3:CS$500)))</f>
        <v/>
      </c>
      <c r="FT38" s="123">
        <f>IF(OR(FT$4="",$B38=""),0,SUMIF('DADOS BRUTOS'!$A$3:$A$500,$B38,'DADOS BRUTOS'!CT$3:CT$500)+IF($C38="",0,SUMIF('DADOS BRUTOS'!$A$3:$A$500,$C38,'DADOS BRUTOS'!CT$3:CT$500)))</f>
        <v/>
      </c>
      <c r="FU38" s="123">
        <f>IF(OR(FU$4="",$B38=""),0,SUMIF('DADOS BRUTOS'!$A$3:$A$500,$B38,'DADOS BRUTOS'!CU$3:CU$500)+IF($C38="",0,SUMIF('DADOS BRUTOS'!$A$3:$A$500,$C38,'DADOS BRUTOS'!CU$3:CU$500)))</f>
        <v/>
      </c>
      <c r="FV38" s="123">
        <f>IF(OR(FV$4="",$B38=""),0,SUMIF('DADOS BRUTOS'!$A$3:$A$500,$B38,'DADOS BRUTOS'!CV$3:CV$500)+IF($C38="",0,SUMIF('DADOS BRUTOS'!$A$3:$A$500,$C38,'DADOS BRUTOS'!CV$3:CV$500)))</f>
        <v/>
      </c>
      <c r="FW38" s="123">
        <f>IF(OR(FW$4="",$B38=""),0,SUMIF('DADOS BRUTOS'!$A$3:$A$500,$B38,'DADOS BRUTOS'!CW$3:CW$500)+IF($C38="",0,SUMIF('DADOS BRUTOS'!$A$3:$A$500,$C38,'DADOS BRUTOS'!CW$3:CW$500)))</f>
        <v/>
      </c>
      <c r="FX38" s="123">
        <f>IF(OR(FX$4="",$B38=""),0,SUMIF('DADOS BRUTOS'!$A$3:$A$500,$B38,'DADOS BRUTOS'!CX$3:CX$500)+IF($C38="",0,SUMIF('DADOS BRUTOS'!$A$3:$A$500,$C38,'DADOS BRUTOS'!CX$3:CX$500)))</f>
        <v/>
      </c>
      <c r="FY38" s="123">
        <f>IF(OR(FY$4="",$B38=""),0,SUMIF('DADOS BRUTOS'!$A$3:$A$500,$B38,'DADOS BRUTOS'!CY$3:CY$500)+IF($C38="",0,SUMIF('DADOS BRUTOS'!$A$3:$A$500,$C38,'DADOS BRUTOS'!CY$3:CY$500)))</f>
        <v/>
      </c>
      <c r="FZ38" s="123">
        <f>IF(OR(FZ$4="",$B38=""),0,SUMIF('DADOS BRUTOS'!$A$3:$A$500,$B38,'DADOS BRUTOS'!CZ$3:CZ$500)+IF($C38="",0,SUMIF('DADOS BRUTOS'!$A$3:$A$500,$C38,'DADOS BRUTOS'!CZ$3:CZ$500)))</f>
        <v/>
      </c>
      <c r="GA38" s="123">
        <f>IF(OR(GA$4="",$B38=""),0,SUMIF('DADOS BRUTOS'!$A$3:$A$500,$B38,'DADOS BRUTOS'!DA$3:DA$500)+IF($C38="",0,SUMIF('DADOS BRUTOS'!$A$3:$A$500,$C38,'DADOS BRUTOS'!DA$3:DA$500)))</f>
        <v/>
      </c>
      <c r="GB38" s="123">
        <f>IF(OR(GB$4="",$B38=""),0,SUMIF('DADOS BRUTOS'!$A$3:$A$500,$B38,'DADOS BRUTOS'!DB$3:DB$500)+IF($C38="",0,SUMIF('DADOS BRUTOS'!$A$3:$A$500,$C38,'DADOS BRUTOS'!DB$3:DB$500)))</f>
        <v/>
      </c>
      <c r="GC38" s="123">
        <f>IF(OR(GC$4="",$B38=""),0,SUMIF('DADOS BRUTOS'!$A$3:$A$500,$B38,'DADOS BRUTOS'!DC$3:DC$500)+IF($C38="",0,SUMIF('DADOS BRUTOS'!$A$3:$A$500,$C38,'DADOS BRUTOS'!DC$3:DC$500)))</f>
        <v/>
      </c>
      <c r="GD38" s="123">
        <f>IF(OR(GD$4="",$B38=""),0,SUMIF('DADOS BRUTOS'!$A$3:$A$500,$B38,'DADOS BRUTOS'!DD$3:DD$500)+IF($C38="",0,SUMIF('DADOS BRUTOS'!$A$3:$A$500,$C38,'DADOS BRUTOS'!DD$3:DD$500)))</f>
        <v/>
      </c>
      <c r="GE38" s="123">
        <f>IF(OR(GE$4="",$B38=""),0,SUMIF('DADOS BRUTOS'!$A$3:$A$500,$B38,'DADOS BRUTOS'!DE$3:DE$500)+IF($C38="",0,SUMIF('DADOS BRUTOS'!$A$3:$A$500,$C38,'DADOS BRUTOS'!DE$3:DE$500)))</f>
        <v/>
      </c>
      <c r="GF38" s="123">
        <f>IF(OR(GF$4="",$B38=""),0,SUMIF('DADOS BRUTOS'!$A$3:$A$500,$B38,'DADOS BRUTOS'!DF$3:DF$500)+IF($C38="",0,SUMIF('DADOS BRUTOS'!$A$3:$A$500,$C38,'DADOS BRUTOS'!DF$3:DF$500)))</f>
        <v/>
      </c>
      <c r="GG38" s="123">
        <f>IF(OR(GG$4="",$B38=""),0,SUMIF('DADOS BRUTOS'!$A$3:$A$500,$B38,'DADOS BRUTOS'!DG$3:DG$500)+IF($C38="",0,SUMIF('DADOS BRUTOS'!$A$3:$A$500,$C38,'DADOS BRUTOS'!DG$3:DG$500)))</f>
        <v/>
      </c>
      <c r="GH38" s="123">
        <f>IF(OR(GH$4="",$B38=""),0,SUMIF('DADOS BRUTOS'!$A$3:$A$500,$B38,'DADOS BRUTOS'!DH$3:DH$500)+IF($C38="",0,SUMIF('DADOS BRUTOS'!$A$3:$A$500,$C38,'DADOS BRUTOS'!DH$3:DH$500)))</f>
        <v/>
      </c>
      <c r="GI38" s="123">
        <f>IF(OR(GI$4="",$B38=""),0,SUMIF('DADOS BRUTOS'!$A$3:$A$500,$B38,'DADOS BRUTOS'!DI$3:DI$500)+IF($C38="",0,SUMIF('DADOS BRUTOS'!$A$3:$A$500,$C38,'DADOS BRUTOS'!DI$3:DI$500)))</f>
        <v/>
      </c>
      <c r="GJ38" s="123">
        <f>IF(OR(GJ$4="",$B38=""),0,SUMIF('DADOS BRUTOS'!$A$3:$A$500,$B38,'DADOS BRUTOS'!DJ$3:DJ$500)+IF($C38="",0,SUMIF('DADOS BRUTOS'!$A$3:$A$500,$C38,'DADOS BRUTOS'!DJ$3:DJ$500)))</f>
        <v/>
      </c>
      <c r="GK38" s="123">
        <f>IF(OR(GK$4="",$B38=""),0,SUMIF('DADOS BRUTOS'!$A$3:$A$500,$B38,'DADOS BRUTOS'!DK$3:DK$500)+IF($C38="",0,SUMIF('DADOS BRUTOS'!$A$3:$A$500,$C38,'DADOS BRUTOS'!DK$3:DK$500)))</f>
        <v/>
      </c>
      <c r="GL38" s="123">
        <f>IF(OR(GL$4="",$B38=""),0,SUMIF('DADOS BRUTOS'!$A$3:$A$500,$B38,'DADOS BRUTOS'!DL$3:DL$500)+IF($C38="",0,SUMIF('DADOS BRUTOS'!$A$3:$A$500,$C38,'DADOS BRUTOS'!DL$3:DL$500)))</f>
        <v/>
      </c>
      <c r="GM38" s="123">
        <f>IF(OR(GM$4="",$B38=""),0,SUMIF('DADOS BRUTOS'!$A$3:$A$500,$B38,'DADOS BRUTOS'!DM$3:DM$500)+IF($C38="",0,SUMIF('DADOS BRUTOS'!$A$3:$A$500,$C38,'DADOS BRUTOS'!DM$3:DM$500)))</f>
        <v/>
      </c>
      <c r="GN38" s="123">
        <f>IF(OR(GN$4="",$B38=""),0,SUMIF('DADOS BRUTOS'!$A$3:$A$500,$B38,'DADOS BRUTOS'!DN$3:DN$500)+IF($C38="",0,SUMIF('DADOS BRUTOS'!$A$3:$A$500,$C38,'DADOS BRUTOS'!DN$3:DN$500)))</f>
        <v/>
      </c>
      <c r="GO38" s="123">
        <f>IF(OR(GO$4="",$B38=""),0,SUMIF('DADOS BRUTOS'!$A$3:$A$500,$B38,'DADOS BRUTOS'!DO$3:DO$500)+IF($C38="",0,SUMIF('DADOS BRUTOS'!$A$3:$A$500,$C38,'DADOS BRUTOS'!DO$3:DO$500)))</f>
        <v/>
      </c>
      <c r="GP38" s="123">
        <f>IF(OR(GP$4="",$B38=""),0,SUMIF('DADOS BRUTOS'!$A$3:$A$500,$B38,'DADOS BRUTOS'!DP$3:DP$500)+IF($C38="",0,SUMIF('DADOS BRUTOS'!$A$3:$A$500,$C38,'DADOS BRUTOS'!DP$3:DP$500)))</f>
        <v/>
      </c>
      <c r="GQ38" s="123">
        <f>IF(OR(GQ$4="",$B38=""),0,SUMIF('DADOS BRUTOS'!$A$3:$A$500,$B38,'DADOS BRUTOS'!DQ$3:DQ$500)+IF($C38="",0,SUMIF('DADOS BRUTOS'!$A$3:$A$500,$C38,'DADOS BRUTOS'!DQ$3:DQ$500)))</f>
        <v/>
      </c>
      <c r="GR38" s="123">
        <f>IF(OR(GR$4="",$B38=""),0,SUMIF('DADOS BRUTOS'!$A$3:$A$500,$B38,'DADOS BRUTOS'!DR$3:DR$500)+IF($C38="",0,SUMIF('DADOS BRUTOS'!$A$3:$A$500,$C38,'DADOS BRUTOS'!DR$3:DR$500)))</f>
        <v/>
      </c>
      <c r="GS38" s="123">
        <f>IF(OR(GS$4="",$B38=""),0,SUMIF('DADOS BRUTOS'!$A$3:$A$500,$B38,'DADOS BRUTOS'!DS$3:DS$500)+IF($C38="",0,SUMIF('DADOS BRUTOS'!$A$3:$A$500,$C38,'DADOS BRUTOS'!DS$3:DS$500)))</f>
        <v/>
      </c>
      <c r="GT38" s="123">
        <f>IF(OR(GT$4="",$B38=""),0,SUMIF('DADOS BRUTOS'!$A$3:$A$500,$B38,'DADOS BRUTOS'!DT$3:DT$500)+IF($C38="",0,SUMIF('DADOS BRUTOS'!$A$3:$A$500,$C38,'DADOS BRUTOS'!DT$3:DT$500)))</f>
        <v/>
      </c>
      <c r="GU38" s="123">
        <f>IF(OR(GU$4="",$B38=""),0,SUMIF('DADOS BRUTOS'!$A$3:$A$500,$B38,'DADOS BRUTOS'!DU$3:DU$500)+IF($C38="",0,SUMIF('DADOS BRUTOS'!$A$3:$A$500,$C38,'DADOS BRUTOS'!DU$3:DU$500)))</f>
        <v/>
      </c>
      <c r="GV38" s="123">
        <f>IF(OR(GV$4="",$B38=""),0,SUMIF('DADOS BRUTOS'!$A$3:$A$500,$B38,'DADOS BRUTOS'!DV$3:DV$500)+IF($C38="",0,SUMIF('DADOS BRUTOS'!$A$3:$A$500,$C38,'DADOS BRUTOS'!DV$3:DV$500)))</f>
        <v/>
      </c>
      <c r="GW38" s="123">
        <f>IF(OR(GW$4="",$B38=""),0,SUMIF('DADOS BRUTOS'!$A$3:$A$500,$B38,'DADOS BRUTOS'!DW$3:DW$500)+IF($C38="",0,SUMIF('DADOS BRUTOS'!$A$3:$A$500,$C38,'DADOS BRUTOS'!DW$3:DW$500)))</f>
        <v/>
      </c>
      <c r="GX38" s="123">
        <f>IF(OR(GX$4="",$B38=""),0,SUMIF('DADOS BRUTOS'!$A$3:$A$500,$B38,'DADOS BRUTOS'!DX$3:DX$500)+IF($C38="",0,SUMIF('DADOS BRUTOS'!$A$3:$A$500,$C38,'DADOS BRUTOS'!DX$3:DX$500)))</f>
        <v/>
      </c>
      <c r="GY38" s="123">
        <f>IF(OR(GY$4="",$B38=""),0,SUMIF('DADOS BRUTOS'!$A$3:$A$500,$B38,'DADOS BRUTOS'!DY$3:DY$500)+IF($C38="",0,SUMIF('DADOS BRUTOS'!$A$3:$A$500,$C38,'DADOS BRUTOS'!DY$3:DY$500)))</f>
        <v/>
      </c>
      <c r="GZ38" s="123">
        <f>IF(OR(GZ$4="",$B38=""),0,SUMIF('DADOS BRUTOS'!$A$3:$A$500,$B38,'DADOS BRUTOS'!DZ$3:DZ$500)+IF($C38="",0,SUMIF('DADOS BRUTOS'!$A$3:$A$500,$C38,'DADOS BRUTOS'!DZ$3:DZ$500)))</f>
        <v/>
      </c>
      <c r="HA38" s="123">
        <f>IF(OR(HA$4="",$B38=""),0,SUMIF('DADOS BRUTOS'!$A$3:$A$500,$B38,'DADOS BRUTOS'!EA$3:EA$500)+IF($C38="",0,SUMIF('DADOS BRUTOS'!$A$3:$A$500,$C38,'DADOS BRUTOS'!EA$3:EA$500)))</f>
        <v/>
      </c>
      <c r="HB38" s="123">
        <f>IF(OR(HB$4="",$B38=""),0,SUMIF('DADOS BRUTOS'!$A$3:$A$500,$B38,'DADOS BRUTOS'!EB$3:EB$500)+IF($C38="",0,SUMIF('DADOS BRUTOS'!$A$3:$A$500,$C38,'DADOS BRUTOS'!EB$3:EB$500)))</f>
        <v/>
      </c>
      <c r="HC38" s="123">
        <f>IF(OR(HC$4="",$B38=""),0,SUMIF('DADOS BRUTOS'!$A$3:$A$500,$B38,'DADOS BRUTOS'!EC$3:EC$500)+IF($C38="",0,SUMIF('DADOS BRUTOS'!$A$3:$A$500,$C38,'DADOS BRUTOS'!EC$3:EC$500)))</f>
        <v/>
      </c>
      <c r="HD38" s="123">
        <f>IF(OR(HD$4="",$B38=""),0,SUMIF('DADOS BRUTOS'!$A$3:$A$500,$B38,'DADOS BRUTOS'!ED$3:ED$500)+IF($C38="",0,SUMIF('DADOS BRUTOS'!$A$3:$A$500,$C38,'DADOS BRUTOS'!ED$3:ED$500)))</f>
        <v/>
      </c>
      <c r="HE38" s="123">
        <f>IF(OR(HE$4="",$B38=""),0,SUMIF('DADOS BRUTOS'!$A$3:$A$500,$B38,'DADOS BRUTOS'!EE$3:EE$500)+IF($C38="",0,SUMIF('DADOS BRUTOS'!$A$3:$A$500,$C38,'DADOS BRUTOS'!EE$3:EE$500)))</f>
        <v/>
      </c>
      <c r="HF38" s="123">
        <f>IF(OR(HF$4="",$B38=""),0,SUMIF('DADOS BRUTOS'!$A$3:$A$500,$B38,'DADOS BRUTOS'!EF$3:EF$500)+IF($C38="",0,SUMIF('DADOS BRUTOS'!$A$3:$A$500,$C38,'DADOS BRUTOS'!EF$3:EF$500)))</f>
        <v/>
      </c>
      <c r="HG38" s="123">
        <f>IF(OR(HG$4="",$B38=""),0,SUMIF('DADOS BRUTOS'!$A$3:$A$500,$B38,'DADOS BRUTOS'!EG$3:EG$500)+IF($C38="",0,SUMIF('DADOS BRUTOS'!$A$3:$A$500,$C38,'DADOS BRUTOS'!EG$3:EG$500)))</f>
        <v/>
      </c>
      <c r="HH38" s="123">
        <f>IF(OR(HH$4="",$B38=""),0,SUMIF('DADOS BRUTOS'!$A$3:$A$500,$B38,'DADOS BRUTOS'!EH$3:EH$500)+IF($C38="",0,SUMIF('DADOS BRUTOS'!$A$3:$A$500,$C38,'DADOS BRUTOS'!EH$3:EH$500)))</f>
        <v/>
      </c>
      <c r="HI38" s="123">
        <f>IF(OR(HI$4="",$B38=""),0,SUMIF('DADOS BRUTOS'!$A$3:$A$500,$B38,'DADOS BRUTOS'!EI$3:EI$500)+IF($C38="",0,SUMIF('DADOS BRUTOS'!$A$3:$A$500,$C38,'DADOS BRUTOS'!EI$3:EI$500)))</f>
        <v/>
      </c>
      <c r="HJ38" s="123">
        <f>IF(OR(HJ$4="",$B38=""),0,SUMIF('DADOS BRUTOS'!$A$3:$A$500,$B38,'DADOS BRUTOS'!EJ$3:EJ$500)+IF($C38="",0,SUMIF('DADOS BRUTOS'!$A$3:$A$500,$C38,'DADOS BRUTOS'!EJ$3:EJ$500)))</f>
        <v/>
      </c>
      <c r="HK38" s="123">
        <f>IF(OR(HK$4="",$B38=""),0,SUMIF('DADOS BRUTOS'!$A$3:$A$500,$B38,'DADOS BRUTOS'!EK$3:EK$500)+IF($C38="",0,SUMIF('DADOS BRUTOS'!$A$3:$A$500,$C38,'DADOS BRUTOS'!EK$3:EK$500)))</f>
        <v/>
      </c>
      <c r="HL38" s="123">
        <f>IF(OR(HL$4="",$B38=""),0,SUMIF('DADOS BRUTOS'!$A$3:$A$500,$B38,'DADOS BRUTOS'!EL$3:EL$500)+IF($C38="",0,SUMIF('DADOS BRUTOS'!$A$3:$A$500,$C38,'DADOS BRUTOS'!EL$3:EL$500)))</f>
        <v/>
      </c>
      <c r="HM38" s="123">
        <f>IF(OR(HM$4="",$B38=""),0,SUMIF('DADOS BRUTOS'!$A$3:$A$500,$B38,'DADOS BRUTOS'!EM$3:EM$500)+IF($C38="",0,SUMIF('DADOS BRUTOS'!$A$3:$A$500,$C38,'DADOS BRUTOS'!EM$3:EM$500)))</f>
        <v/>
      </c>
      <c r="HN38" s="123">
        <f>IF(OR(HN$4="",$B38=""),0,SUMIF('DADOS BRUTOS'!$A$3:$A$500,$B38,'DADOS BRUTOS'!EN$3:EN$500)+IF($C38="",0,SUMIF('DADOS BRUTOS'!$A$3:$A$500,$C38,'DADOS BRUTOS'!EN$3:EN$500)))</f>
        <v/>
      </c>
      <c r="HO38" s="123">
        <f>IF(OR(HO$4="",$B38=""),0,SUMIF('DADOS BRUTOS'!$A$3:$A$500,$B38,'DADOS BRUTOS'!EO$3:EO$500)+IF($C38="",0,SUMIF('DADOS BRUTOS'!$A$3:$A$500,$C38,'DADOS BRUTOS'!EO$3:EO$500)))</f>
        <v/>
      </c>
      <c r="HP38" s="123">
        <f>IF(OR(HP$4="",$B38=""),0,SUMIF('DADOS BRUTOS'!$A$3:$A$500,$B38,'DADOS BRUTOS'!EP$3:EP$500)+IF($C38="",0,SUMIF('DADOS BRUTOS'!$A$3:$A$500,$C38,'DADOS BRUTOS'!EP$3:EP$500)))</f>
        <v/>
      </c>
      <c r="HQ38" s="123">
        <f>IF(OR(HQ$4="",$B38=""),0,SUMIF('DADOS BRUTOS'!$A$3:$A$500,$B38,'DADOS BRUTOS'!EQ$3:EQ$500)+IF($C38="",0,SUMIF('DADOS BRUTOS'!$A$3:$A$500,$C38,'DADOS BRUTOS'!EQ$3:EQ$500)))</f>
        <v/>
      </c>
      <c r="HR38" s="123">
        <f>IF(OR(HR$4="",$B38=""),0,SUMIF('DADOS BRUTOS'!$A$3:$A$500,$B38,'DADOS BRUTOS'!ER$3:ER$500)+IF($C38="",0,SUMIF('DADOS BRUTOS'!$A$3:$A$500,$C38,'DADOS BRUTOS'!ER$3:ER$500)))</f>
        <v/>
      </c>
      <c r="HS38" s="123">
        <f>IF(OR(HS$4="",$B38=""),0,SUMIF('DADOS BRUTOS'!$A$3:$A$500,$B38,'DADOS BRUTOS'!ES$3:ES$500)+IF($C38="",0,SUMIF('DADOS BRUTOS'!$A$3:$A$500,$C38,'DADOS BRUTOS'!ES$3:ES$500)))</f>
        <v/>
      </c>
      <c r="HT38" s="123">
        <f>IF(OR(HT$4="",$B38=""),0,SUMIF('DADOS BRUTOS'!$A$3:$A$500,$B38,'DADOS BRUTOS'!ET$3:ET$500)+IF($C38="",0,SUMIF('DADOS BRUTOS'!$A$3:$A$500,$C38,'DADOS BRUTOS'!ET$3:ET$500)))</f>
        <v/>
      </c>
      <c r="HU38" s="123">
        <f>IF(OR(HU$4="",$B38=""),0,SUMIF('DADOS BRUTOS'!$A$3:$A$500,$B38,'DADOS BRUTOS'!EU$3:EU$500)+IF($C38="",0,SUMIF('DADOS BRUTOS'!$A$3:$A$500,$C38,'DADOS BRUTOS'!EU$3:EU$500)))</f>
        <v/>
      </c>
      <c r="HV38" s="123">
        <f>IF(OR(HV$4="",$B38=""),0,SUMIF('DADOS BRUTOS'!$A$3:$A$500,$B38,'DADOS BRUTOS'!EV$3:EV$500)+IF($C38="",0,SUMIF('DADOS BRUTOS'!$A$3:$A$500,$C38,'DADOS BRUTOS'!EV$3:EV$500)))</f>
        <v/>
      </c>
      <c r="HW38" s="123">
        <f>IF(OR(HW$4="",$B38=""),0,SUMIF('DADOS BRUTOS'!$A$3:$A$500,$B38,'DADOS BRUTOS'!EW$3:EW$500)+IF($C38="",0,SUMIF('DADOS BRUTOS'!$A$3:$A$500,$C38,'DADOS BRUTOS'!EW$3:EW$500)))</f>
        <v/>
      </c>
      <c r="HX38" s="123">
        <f>IF(OR(HX$4="",$B38=""),0,SUMIF('DADOS BRUTOS'!$A$3:$A$500,$B38,'DADOS BRUTOS'!EX$3:EX$500)+IF($C38="",0,SUMIF('DADOS BRUTOS'!$A$3:$A$500,$C38,'DADOS BRUTOS'!EX$3:EX$500)))</f>
        <v/>
      </c>
      <c r="HY38" s="123">
        <f>IF(OR(HY$4="",$B38=""),0,SUMIF('DADOS BRUTOS'!$A$3:$A$500,$B38,'DADOS BRUTOS'!EY$3:EY$500)+IF($C38="",0,SUMIF('DADOS BRUTOS'!$A$3:$A$500,$C38,'DADOS BRUTOS'!EY$3:EY$500)))</f>
        <v/>
      </c>
      <c r="HZ38" s="123">
        <f>IF(OR(HZ$4="",$B38=""),0,SUMIF('DADOS BRUTOS'!$A$3:$A$500,$B38,'DADOS BRUTOS'!EZ$3:EZ$500)+IF($C38="",0,SUMIF('DADOS BRUTOS'!$A$3:$A$500,$C38,'DADOS BRUTOS'!EZ$3:EZ$500)))</f>
        <v/>
      </c>
      <c r="IA38" s="123">
        <f>IF(OR(IA$4="",$B38=""),0,SUMIF('DADOS BRUTOS'!$A$3:$A$500,$B38,'DADOS BRUTOS'!FA$3:FA$500)+IF($C38="",0,SUMIF('DADOS BRUTOS'!$A$3:$A$500,$C38,'DADOS BRUTOS'!FA$3:FA$500)))</f>
        <v/>
      </c>
      <c r="IB38" s="123">
        <f>IF(OR(IB$4="",$B38=""),0,SUMIF('DADOS BRUTOS'!$A$3:$A$500,$B38,'DADOS BRUTOS'!FB$3:FB$500)+IF($C38="",0,SUMIF('DADOS BRUTOS'!$A$3:$A$500,$C38,'DADOS BRUTOS'!FB$3:FB$500)))</f>
        <v/>
      </c>
      <c r="IC38" s="123">
        <f>IF(OR(IC$4="",$B38=""),0,SUMIF('DADOS BRUTOS'!$A$3:$A$500,$B38,'DADOS BRUTOS'!FC$3:FC$500)+IF($C38="",0,SUMIF('DADOS BRUTOS'!$A$3:$A$500,$C38,'DADOS BRUTOS'!FC$3:FC$500)))</f>
        <v/>
      </c>
      <c r="ID38" s="123">
        <f>IF(OR(ID$4="",$B38=""),0,SUMIF('DADOS BRUTOS'!$A$3:$A$500,$B38,'DADOS BRUTOS'!FD$3:FD$500)+IF($C38="",0,SUMIF('DADOS BRUTOS'!$A$3:$A$500,$C38,'DADOS BRUTOS'!FD$3:FD$500)))</f>
        <v/>
      </c>
      <c r="IE38" s="123">
        <f>IF(OR(IE$4="",$B38=""),0,SUMIF('DADOS BRUTOS'!$A$3:$A$500,$B38,'DADOS BRUTOS'!FE$3:FE$500)+IF($C38="",0,SUMIF('DADOS BRUTOS'!$A$3:$A$500,$C38,'DADOS BRUTOS'!FE$3:FE$500)))</f>
        <v/>
      </c>
      <c r="IF38" s="123">
        <f>IF(OR(IF$4="",$B38=""),0,SUMIF('DADOS BRUTOS'!$A$3:$A$500,$B38,'DADOS BRUTOS'!FF$3:FF$500)+IF($C38="",0,SUMIF('DADOS BRUTOS'!$A$3:$A$500,$C38,'DADOS BRUTOS'!FF$3:FF$500)))</f>
        <v/>
      </c>
      <c r="IG38" s="123">
        <f>IF(OR(IG$4="",$B38=""),0,SUMIF('DADOS BRUTOS'!$A$3:$A$500,$B38,'DADOS BRUTOS'!FG$3:FG$500)+IF($C38="",0,SUMIF('DADOS BRUTOS'!$A$3:$A$500,$C38,'DADOS BRUTOS'!FG$3:FG$500)))</f>
        <v/>
      </c>
      <c r="IH38" s="123">
        <f>IF(OR(IH$4="",$B38=""),0,SUMIF('DADOS BRUTOS'!$A$3:$A$500,$B38,'DADOS BRUTOS'!FH$3:FH$500)+IF($C38="",0,SUMIF('DADOS BRUTOS'!$A$3:$A$500,$C38,'DADOS BRUTOS'!FH$3:FH$500)))</f>
        <v/>
      </c>
      <c r="II38" s="123">
        <f>IF(OR(II$4="",$B38=""),0,SUMIF('DADOS BRUTOS'!$A$3:$A$500,$B38,'DADOS BRUTOS'!FI$3:FI$500)+IF($C38="",0,SUMIF('DADOS BRUTOS'!$A$3:$A$500,$C38,'DADOS BRUTOS'!FI$3:FI$500)))</f>
        <v/>
      </c>
      <c r="IJ38" s="123">
        <f>IF(OR(IJ$4="",$B38=""),0,SUMIF('DADOS BRUTOS'!$A$3:$A$500,$B38,'DADOS BRUTOS'!FJ$3:FJ$500)+IF($C38="",0,SUMIF('DADOS BRUTOS'!$A$3:$A$500,$C38,'DADOS BRUTOS'!FJ$3:FJ$500)))</f>
        <v/>
      </c>
      <c r="IK38" s="123">
        <f>IF(OR(IK$4="",$B38=""),0,SUMIF('DADOS BRUTOS'!$A$3:$A$500,$B38,'DADOS BRUTOS'!FK$3:FK$500)+IF($C38="",0,SUMIF('DADOS BRUTOS'!$A$3:$A$500,$C38,'DADOS BRUTOS'!FK$3:FK$500)))</f>
        <v/>
      </c>
      <c r="IL38" s="123">
        <f>IF(OR(IL$4="",$B38=""),0,SUMIF('DADOS BRUTOS'!$A$3:$A$500,$B38,'DADOS BRUTOS'!FL$3:FL$500)+IF($C38="",0,SUMIF('DADOS BRUTOS'!$A$3:$A$500,$C38,'DADOS BRUTOS'!FL$3:FL$500)))</f>
        <v/>
      </c>
      <c r="IM38" s="123">
        <f>IF(OR(IM$4="",$B38=""),0,SUMIF('DADOS BRUTOS'!$A$3:$A$500,$B38,'DADOS BRUTOS'!FM$3:FM$500)+IF($C38="",0,SUMIF('DADOS BRUTOS'!$A$3:$A$500,$C38,'DADOS BRUTOS'!FM$3:FM$500)))</f>
        <v/>
      </c>
      <c r="IN38" s="123">
        <f>IF(OR(IN$4="",$B38=""),0,SUMIF('DADOS BRUTOS'!$A$3:$A$500,$B38,'DADOS BRUTOS'!FN$3:FN$500)+IF($C38="",0,SUMIF('DADOS BRUTOS'!$A$3:$A$500,$C38,'DADOS BRUTOS'!FN$3:FN$500)))</f>
        <v/>
      </c>
      <c r="IO38" s="123">
        <f>IF(OR(IO$4="",$B38=""),0,SUMIF('DADOS BRUTOS'!$A$3:$A$500,$B38,'DADOS BRUTOS'!FO$3:FO$500)+IF($C38="",0,SUMIF('DADOS BRUTOS'!$A$3:$A$500,$C38,'DADOS BRUTOS'!FO$3:FO$500)))</f>
        <v/>
      </c>
      <c r="IP38" s="123">
        <f>IF(OR(IP$4="",$B38=""),0,SUMIF('DADOS BRUTOS'!$A$3:$A$500,$B38,'DADOS BRUTOS'!FP$3:FP$500)+IF($C38="",0,SUMIF('DADOS BRUTOS'!$A$3:$A$500,$C38,'DADOS BRUTOS'!FP$3:FP$500)))</f>
        <v/>
      </c>
      <c r="IQ38" s="123">
        <f>IF(OR(IQ$4="",$B38=""),0,SUMIF('DADOS BRUTOS'!$A$3:$A$500,$B38,'DADOS BRUTOS'!FQ$3:FQ$500)+IF($C38="",0,SUMIF('DADOS BRUTOS'!$A$3:$A$500,$C38,'DADOS BRUTOS'!FQ$3:FQ$500)))</f>
        <v/>
      </c>
      <c r="IR38" s="123">
        <f>IF(OR(IR$4="",$B38=""),0,SUMIF('DADOS BRUTOS'!$A$3:$A$500,$B38,'DADOS BRUTOS'!FR$3:FR$500)+IF($C38="",0,SUMIF('DADOS BRUTOS'!$A$3:$A$500,$C38,'DADOS BRUTOS'!FR$3:FR$500)))</f>
        <v/>
      </c>
      <c r="IS38" s="123">
        <f>IF(OR(IS$4="",$B38=""),0,SUMIF('DADOS BRUTOS'!$A$3:$A$500,$B38,'DADOS BRUTOS'!FS$3:FS$500)+IF($C38="",0,SUMIF('DADOS BRUTOS'!$A$3:$A$500,$C38,'DADOS BRUTOS'!FS$3:FS$500)))</f>
        <v/>
      </c>
      <c r="IT38" s="123">
        <f>IF(OR(IT$4="",$B38=""),0,SUMIF('DADOS BRUTOS'!$A$3:$A$500,$B38,'DADOS BRUTOS'!FT$3:FT$500)+IF($C38="",0,SUMIF('DADOS BRUTOS'!$A$3:$A$500,$C38,'DADOS BRUTOS'!FT$3:FT$500)))</f>
        <v/>
      </c>
      <c r="IU38" s="123">
        <f>IF(OR(IU$4="",$B38=""),0,SUMIF('DADOS BRUTOS'!$A$3:$A$500,$B38,'DADOS BRUTOS'!FU$3:FU$500)+IF($C38="",0,SUMIF('DADOS BRUTOS'!$A$3:$A$500,$C38,'DADOS BRUTOS'!FU$3:FU$500)))</f>
        <v/>
      </c>
      <c r="IV38" s="123">
        <f>IF(OR(IV$4="",$B38=""),0,SUMIF('DADOS BRUTOS'!$A$3:$A$500,$B38,'DADOS BRUTOS'!FV$3:FV$500)+IF($C38="",0,SUMIF('DADOS BRUTOS'!$A$3:$A$500,$C38,'DADOS BRUTOS'!FV$3:FV$500)))</f>
        <v/>
      </c>
      <c r="IW38" s="123">
        <f>IF(OR(IW$4="",$B38=""),0,SUMIF('DADOS BRUTOS'!$A$3:$A$500,$B38,'DADOS BRUTOS'!FW$3:FW$500)+IF($C38="",0,SUMIF('DADOS BRUTOS'!$A$3:$A$500,$C38,'DADOS BRUTOS'!FW$3:FW$500)))</f>
        <v/>
      </c>
      <c r="IX38" s="123">
        <f>IF(OR(IX$4="",$B38=""),0,SUMIF('DADOS BRUTOS'!$A$3:$A$500,$B38,'DADOS BRUTOS'!FX$3:FX$500)+IF($C38="",0,SUMIF('DADOS BRUTOS'!$A$3:$A$500,$C38,'DADOS BRUTOS'!FX$3:FX$500)))</f>
        <v/>
      </c>
      <c r="IY38" s="123">
        <f>IF(OR(IY$4="",$B38=""),0,SUMIF('DADOS BRUTOS'!$A$3:$A$500,$B38,'DADOS BRUTOS'!FY$3:FY$500)+IF($C38="",0,SUMIF('DADOS BRUTOS'!$A$3:$A$500,$C38,'DADOS BRUTOS'!FY$3:FY$500)))</f>
        <v/>
      </c>
      <c r="IZ38" s="123">
        <f>IF(OR(IZ$4="",$B38=""),0,SUMIF('DADOS BRUTOS'!$A$3:$A$500,$B38,'DADOS BRUTOS'!FZ$3:FZ$500)+IF($C38="",0,SUMIF('DADOS BRUTOS'!$A$3:$A$500,$C38,'DADOS BRUTOS'!FZ$3:FZ$500)))</f>
        <v/>
      </c>
      <c r="JA38" s="123">
        <f>IF(OR(JA$4="",$B38=""),0,SUMIF('DADOS BRUTOS'!$A$3:$A$500,$B38,'DADOS BRUTOS'!GA$3:GA$500)+IF($C38="",0,SUMIF('DADOS BRUTOS'!$A$3:$A$500,$C38,'DADOS BRUTOS'!GA$3:GA$500)))</f>
        <v/>
      </c>
      <c r="JB38" s="123">
        <f>IF(OR(JB$4="",$B38=""),0,SUMIF('DADOS BRUTOS'!$A$3:$A$500,$B38,'DADOS BRUTOS'!GB$3:GB$500)+IF($C38="",0,SUMIF('DADOS BRUTOS'!$A$3:$A$500,$C38,'DADOS BRUTOS'!GB$3:GB$500)))</f>
        <v/>
      </c>
      <c r="JC38" s="123">
        <f>IF(OR(JC$4="",$B38=""),0,SUMIF('DADOS BRUTOS'!$A$3:$A$500,$B38,'DADOS BRUTOS'!GC$3:GC$500)+IF($C38="",0,SUMIF('DADOS BRUTOS'!$A$3:$A$500,$C38,'DADOS BRUTOS'!GC$3:GC$500)))</f>
        <v/>
      </c>
      <c r="JD38" s="123">
        <f>IF(OR(JD$4="",$B38=""),0,SUMIF('DADOS BRUTOS'!$A$3:$A$500,$B38,'DADOS BRUTOS'!GD$3:GD$500)+IF($C38="",0,SUMIF('DADOS BRUTOS'!$A$3:$A$500,$C38,'DADOS BRUTOS'!GD$3:GD$500)))</f>
        <v/>
      </c>
      <c r="JE38" s="123">
        <f>IF(OR(JE$4="",$B38=""),0,SUMIF('DADOS BRUTOS'!$A$3:$A$500,$B38,'DADOS BRUTOS'!GE$3:GE$500)+IF($C38="",0,SUMIF('DADOS BRUTOS'!$A$3:$A$500,$C38,'DADOS BRUTOS'!GE$3:GE$500)))</f>
        <v/>
      </c>
      <c r="JF38" s="123">
        <f>IF(OR(JF$4="",$B38=""),0,SUMIF('DADOS BRUTOS'!$A$3:$A$500,$B38,'DADOS BRUTOS'!GF$3:GF$500)+IF($C38="",0,SUMIF('DADOS BRUTOS'!$A$3:$A$500,$C38,'DADOS BRUTOS'!GF$3:GF$500)))</f>
        <v/>
      </c>
      <c r="JG38" s="123">
        <f>IF(OR(JG$4="",$B38=""),0,SUMIF('DADOS BRUTOS'!$A$3:$A$500,$B38,'DADOS BRUTOS'!GG$3:GG$500)+IF($C38="",0,SUMIF('DADOS BRUTOS'!$A$3:$A$500,$C38,'DADOS BRUTOS'!GG$3:GG$500)))</f>
        <v/>
      </c>
      <c r="JH38" s="123">
        <f>IF(OR(JH$4="",$B38=""),0,SUMIF('DADOS BRUTOS'!$A$3:$A$500,$B38,'DADOS BRUTOS'!GH$3:GH$500)+IF($C38="",0,SUMIF('DADOS BRUTOS'!$A$3:$A$500,$C38,'DADOS BRUTOS'!GH$3:GH$500)))</f>
        <v/>
      </c>
      <c r="JI38" s="123">
        <f>IF(OR(JI$4="",$B38=""),0,SUMIF('DADOS BRUTOS'!$A$3:$A$500,$B38,'DADOS BRUTOS'!GI$3:GI$500)+IF($C38="",0,SUMIF('DADOS BRUTOS'!$A$3:$A$500,$C38,'DADOS BRUTOS'!GI$3:GI$500)))</f>
        <v/>
      </c>
      <c r="JJ38" s="123">
        <f>IF(OR(JJ$4="",$B38=""),0,SUMIF('DADOS BRUTOS'!$A$3:$A$500,$B38,'DADOS BRUTOS'!GJ$3:GJ$500)+IF($C38="",0,SUMIF('DADOS BRUTOS'!$A$3:$A$500,$C38,'DADOS BRUTOS'!GJ$3:GJ$500)))</f>
        <v/>
      </c>
      <c r="JK38" s="123">
        <f>IF(OR(JK$4="",$B38=""),0,SUMIF('DADOS BRUTOS'!$A$3:$A$500,$B38,'DADOS BRUTOS'!GK$3:GK$500)+IF($C38="",0,SUMIF('DADOS BRUTOS'!$A$3:$A$500,$C38,'DADOS BRUTOS'!GK$3:GK$500)))</f>
        <v/>
      </c>
      <c r="JL38" s="123">
        <f>IF(OR(JL$4="",$B38=""),0,SUMIF('DADOS BRUTOS'!$A$3:$A$500,$B38,'DADOS BRUTOS'!GL$3:GL$500)+IF($C38="",0,SUMIF('DADOS BRUTOS'!$A$3:$A$500,$C38,'DADOS BRUTOS'!GL$3:GL$500)))</f>
        <v/>
      </c>
      <c r="JM38" s="123">
        <f>IF(OR(JM$4="",$B38=""),0,SUMIF('DADOS BRUTOS'!$A$3:$A$500,$B38,'DADOS BRUTOS'!GM$3:GM$500)+IF($C38="",0,SUMIF('DADOS BRUTOS'!$A$3:$A$500,$C38,'DADOS BRUTOS'!GM$3:GM$500)))</f>
        <v/>
      </c>
      <c r="JN38" s="123">
        <f>IF(OR(JN$4="",$B38=""),0,SUMIF('DADOS BRUTOS'!$A$3:$A$500,$B38,'DADOS BRUTOS'!GN$3:GN$500)+IF($C38="",0,SUMIF('DADOS BRUTOS'!$A$3:$A$500,$C38,'DADOS BRUTOS'!GN$3:GN$500)))</f>
        <v/>
      </c>
      <c r="JO38" s="123">
        <f>IF(OR(JO$4="",$B38=""),0,SUMIF('DADOS BRUTOS'!$A$3:$A$500,$B38,'DADOS BRUTOS'!GO$3:GO$500)+IF($C38="",0,SUMIF('DADOS BRUTOS'!$A$3:$A$500,$C38,'DADOS BRUTOS'!GO$3:GO$500)))</f>
        <v/>
      </c>
      <c r="JP38" s="123">
        <f>IF(OR(JP$4="",$B38=""),0,SUMIF('DADOS BRUTOS'!$A$3:$A$500,$B38,'DADOS BRUTOS'!GP$3:GP$500)+IF($C38="",0,SUMIF('DADOS BRUTOS'!$A$3:$A$500,$C38,'DADOS BRUTOS'!GP$3:GP$500)))</f>
        <v/>
      </c>
      <c r="JQ38" s="123">
        <f>IF(OR(JQ$4="",$B38=""),0,SUMIF('DADOS BRUTOS'!$A$3:$A$500,$B38,'DADOS BRUTOS'!GQ$3:GQ$500)+IF($C38="",0,SUMIF('DADOS BRUTOS'!$A$3:$A$500,$C38,'DADOS BRUTOS'!GQ$3:GQ$500)))</f>
        <v/>
      </c>
      <c r="JR38" s="123">
        <f>IF(OR(JR$4="",$B38=""),0,SUMIF('DADOS BRUTOS'!$A$3:$A$500,$B38,'DADOS BRUTOS'!GR$3:GR$500)+IF($C38="",0,SUMIF('DADOS BRUTOS'!$A$3:$A$500,$C38,'DADOS BRUTOS'!GR$3:GR$500)))</f>
        <v/>
      </c>
      <c r="JS38" s="123">
        <f>IF(OR(JS$4="",$B38=""),0,SUMIF('DADOS BRUTOS'!$A$3:$A$500,$B38,'DADOS BRUTOS'!GS$3:GS$500)+IF($C38="",0,SUMIF('DADOS BRUTOS'!$A$3:$A$500,$C38,'DADOS BRUTOS'!GS$3:GS$500)))</f>
        <v/>
      </c>
    </row>
    <row r="39">
      <c r="A39" s="61">
        <f>'VALOR POR PL'!D45</f>
        <v/>
      </c>
      <c r="B39" s="60" t="inlineStr">
        <is>
          <t>PINTURA</t>
        </is>
      </c>
      <c r="C39" s="60" t="n"/>
      <c r="D39" s="55">
        <f>SUMIF($CB$4:$JS$4,"&lt;="&amp;D$4,$CB39:$JS39)</f>
        <v/>
      </c>
      <c r="E39" s="55">
        <f>SUMIF($CB$4:$JS$4,E$4,$CB39:$JS39)</f>
        <v/>
      </c>
      <c r="F39" s="55">
        <f>SUMIF($CB$4:$JS$4,F$4,$CB39:$JS39)</f>
        <v/>
      </c>
      <c r="G39" s="55">
        <f>SUMIF($CB$4:$JS$4,G$4,$CB39:$JS39)</f>
        <v/>
      </c>
      <c r="H39" s="55">
        <f>SUMIF($CB$4:$JS$4,H$4,$CB39:$JS39)</f>
        <v/>
      </c>
      <c r="I39" s="55">
        <f>SUMIF($CB$4:$JS$4,I$4,$CB39:$JS39)</f>
        <v/>
      </c>
      <c r="J39" s="55">
        <f>SUMIF($CB$4:$JS$4,J$4,$CB39:$JS39)</f>
        <v/>
      </c>
      <c r="K39" s="55">
        <f>SUMIF($CB$4:$JS$4,K$4,$CB39:$JS39)</f>
        <v/>
      </c>
      <c r="L39" s="55">
        <f>SUMIF($CB$4:$JS$4,L$4,$CB39:$JS39)</f>
        <v/>
      </c>
      <c r="M39" s="55">
        <f>SUMIF($CB$4:$JS$4,M$4,$CB39:$JS39)</f>
        <v/>
      </c>
      <c r="N39" s="55">
        <f>SUMIF($CB$4:$JS$4,N$4,$CB39:$JS39)</f>
        <v/>
      </c>
      <c r="O39" s="55">
        <f>SUMIF($CB$4:$JS$4,O$4,$CB39:$JS39)</f>
        <v/>
      </c>
      <c r="P39" s="55">
        <f>SUMIF($CB$4:$JS$4,P$4,$CB39:$JS39)</f>
        <v/>
      </c>
      <c r="Q39" s="55">
        <f>SUMIF($CB$4:$JS$4,Q$4,$CB39:$JS39)</f>
        <v/>
      </c>
      <c r="R39" s="55">
        <f>SUMIF($CB$4:$JS$4,R$4,$CB39:$JS39)</f>
        <v/>
      </c>
      <c r="S39" s="55">
        <f>SUMIF($CB$4:$JS$4,S$4,$CB39:$JS39)</f>
        <v/>
      </c>
      <c r="T39" s="55">
        <f>SUMIF($CB$4:$JS$4,T$4,$CB39:$JS39)</f>
        <v/>
      </c>
      <c r="U39" s="55">
        <f>SUMIF($CB$4:$JS$4,U$4,$CB39:$JS39)</f>
        <v/>
      </c>
      <c r="V39" s="55">
        <f>SUMIF($CB$4:$JS$4,V$4,$CB39:$JS39)</f>
        <v/>
      </c>
      <c r="W39" s="55">
        <f>SUMIF($CB$4:$JS$4,W$4,$CB39:$JS39)</f>
        <v/>
      </c>
      <c r="X39" s="55">
        <f>SUMIF($CB$4:$JS$4,X$4,$CB39:$JS39)</f>
        <v/>
      </c>
      <c r="Y39" s="55">
        <f>SUMIF($CB$4:$JS$4,Y$4,$CB39:$JS39)</f>
        <v/>
      </c>
      <c r="Z39" s="55">
        <f>SUMIF($CB$4:$JS$4,Z$4,$CB39:$JS39)</f>
        <v/>
      </c>
      <c r="AA39" s="55">
        <f>SUMIF($CB$4:$JS$4,AA$4,$CB39:$JS39)</f>
        <v/>
      </c>
      <c r="AB39" s="55">
        <f>SUMIF($CB$4:$JS$4,AB$4,$CB39:$JS39)</f>
        <v/>
      </c>
      <c r="AC39" s="55">
        <f>SUMIF($CB$4:$JS$4,AC$4,$CB39:$JS39)</f>
        <v/>
      </c>
      <c r="AD39" s="55">
        <f>SUMIF($CB$4:$JS$4,AD$4,$CB39:$JS39)</f>
        <v/>
      </c>
      <c r="AE39" s="55">
        <f>SUMIF($CB$4:$JS$4,AE$4,$CB39:$JS39)</f>
        <v/>
      </c>
      <c r="AF39" s="55">
        <f>SUMIF($CB$4:$JS$4,AF$4,$CB39:$JS39)</f>
        <v/>
      </c>
      <c r="AG39" s="55">
        <f>SUMIF($CB$4:$JS$4,AG$4,$CB39:$JS39)</f>
        <v/>
      </c>
      <c r="AH39" s="55">
        <f>SUMIF($CB$4:$JS$4,AH$4,$CB39:$JS39)</f>
        <v/>
      </c>
      <c r="AI39" s="55">
        <f>SUMIF($CB$4:$JS$4,AI$4,$CB39:$JS39)</f>
        <v/>
      </c>
      <c r="AJ39" s="55">
        <f>SUMIF($CB$4:$JS$4,AJ$4,$CB39:$JS39)</f>
        <v/>
      </c>
      <c r="AK39" s="55">
        <f>SUMIF($CB$4:$JS$4,AK$4,$CB39:$JS39)</f>
        <v/>
      </c>
      <c r="AL39" s="55">
        <f>SUMIF($CB$4:$JS$4,AL$4,$CB39:$JS39)</f>
        <v/>
      </c>
      <c r="AM39" s="55">
        <f>SUMIF($CB$4:$JS$4,AM$4,$CB39:$JS39)</f>
        <v/>
      </c>
      <c r="AN39" s="55">
        <f>SUMIF($CB$4:$JS$4,AN$4,$CB39:$JS39)</f>
        <v/>
      </c>
      <c r="AO39" s="55">
        <f>SUMIF($CB$4:$JS$4,AO$4,$CB39:$JS39)</f>
        <v/>
      </c>
      <c r="AP39" s="55">
        <f>SUMIF($CB$4:$JS$4,AP$4,$CB39:$JS39)</f>
        <v/>
      </c>
      <c r="AQ39" s="55">
        <f>SUMIF($CB$4:$JS$4,AQ$4,$CB39:$JS39)</f>
        <v/>
      </c>
      <c r="AR39" s="55">
        <f>SUMIF($CB$4:$JS$4,AR$4,$CB39:$JS39)</f>
        <v/>
      </c>
      <c r="AS39" s="55">
        <f>SUMIF($CB$4:$JS$4,AS$4,$CB39:$JS39)</f>
        <v/>
      </c>
      <c r="AT39" s="55">
        <f>SUMIF($CB$4:$JS$4,AT$4,$CB39:$JS39)</f>
        <v/>
      </c>
      <c r="AU39" s="55">
        <f>SUMIF($CB$4:$JS$4,AU$4,$CB39:$JS39)</f>
        <v/>
      </c>
      <c r="AV39" s="55">
        <f>SUMIF($CB$4:$JS$4,AV$4,$CB39:$JS39)</f>
        <v/>
      </c>
      <c r="AW39" s="55">
        <f>SUMIF($CB$4:$JS$4,AW$4,$CB39:$JS39)</f>
        <v/>
      </c>
      <c r="AX39" s="55">
        <f>SUMIF($CB$4:$JS$4,AX$4,$CB39:$JS39)</f>
        <v/>
      </c>
      <c r="AY39" s="55">
        <f>SUMIF($CB$4:$JS$4,AY$4,$CB39:$JS39)</f>
        <v/>
      </c>
      <c r="AZ39" s="55">
        <f>SUMIF($CB$4:$JS$4,AZ$4,$CB39:$JS39)</f>
        <v/>
      </c>
      <c r="BA39" s="55">
        <f>SUMIF($CB$4:$JS$4,BA$4,$CB39:$JS39)</f>
        <v/>
      </c>
      <c r="BB39" s="55">
        <f>SUMIF($CB$4:$JS$4,BB$4,$CB39:$JS39)</f>
        <v/>
      </c>
      <c r="BC39" s="55">
        <f>SUMIF($CB$4:$JS$4,BC$4,$CB39:$JS39)</f>
        <v/>
      </c>
      <c r="BD39" s="55">
        <f>SUMIF($CB$4:$JS$4,BD$4,$CB39:$JS39)</f>
        <v/>
      </c>
      <c r="BE39" s="55">
        <f>SUMIF($CB$4:$JS$4,BE$4,$CB39:$JS39)</f>
        <v/>
      </c>
      <c r="BF39" s="55">
        <f>SUMIF($CB$4:$JS$4,BF$4,$CB39:$JS39)</f>
        <v/>
      </c>
      <c r="BG39" s="55">
        <f>SUMIF($CB$4:$JS$4,BG$4,$CB39:$JS39)</f>
        <v/>
      </c>
      <c r="BH39" s="55">
        <f>SUMIF($CB$4:$JS$4,BH$4,$CB39:$JS39)</f>
        <v/>
      </c>
      <c r="BI39" s="55">
        <f>SUMIF($CB$4:$JS$4,BI$4,$CB39:$JS39)</f>
        <v/>
      </c>
      <c r="BJ39" s="55">
        <f>SUMIF($CB$4:$JS$4,BJ$4,$CB39:$JS39)</f>
        <v/>
      </c>
      <c r="BK39" s="55">
        <f>SUMIF($CB$4:$JS$4,BK$4,$CB39:$JS39)</f>
        <v/>
      </c>
      <c r="BL39" s="55">
        <f>SUMIF($CB$4:$JS$4,BL$4,$CB39:$JS39)</f>
        <v/>
      </c>
      <c r="BM39" s="55">
        <f>SUMIF($CB$4:$JS$4,BM$4,$CB39:$JS39)</f>
        <v/>
      </c>
      <c r="BN39" s="55">
        <f>SUMIF($CB$4:$JS$4,BN$4,$CB39:$JS39)</f>
        <v/>
      </c>
      <c r="BO39" s="55">
        <f>SUMIF($CB$4:$JS$4,BO$4,$CB39:$JS39)</f>
        <v/>
      </c>
      <c r="BP39" s="55">
        <f>SUMIF($CB$4:$JS$4,BP$4,$CB39:$JS39)</f>
        <v/>
      </c>
      <c r="BQ39" s="55">
        <f>SUMIF($CB$4:$JS$4,BQ$4,$CB39:$JS39)</f>
        <v/>
      </c>
      <c r="BR39" s="55">
        <f>SUMIF($CB$4:$JS$4,BR$4,$CB39:$JS39)</f>
        <v/>
      </c>
      <c r="BS39" s="55">
        <f>SUMIF($CB$4:$JS$4,BS$4,$CB39:$JS39)</f>
        <v/>
      </c>
      <c r="BT39" s="55">
        <f>SUMIF($CB$4:$JS$4,BT$4,$CB39:$JS39)</f>
        <v/>
      </c>
      <c r="BU39" s="55">
        <f>SUMIF($CB$4:$JS$4,BU$4,$CB39:$JS39)</f>
        <v/>
      </c>
      <c r="BV39" s="55">
        <f>SUMIF($CB$4:$JS$4,BV$4,$CB39:$JS39)</f>
        <v/>
      </c>
      <c r="BW39" s="55">
        <f>SUMIF($CB$4:$JS$4,BW$4,$CB39:$JS39)</f>
        <v/>
      </c>
      <c r="BX39" s="55">
        <f>SUMIF($CB$4:$JS$4,"&gt;"&amp;'VALOR POR PL'!$P$8,$CB39:$JS39)</f>
        <v/>
      </c>
      <c r="BY39" s="55">
        <f>SUM($CB39:$JS39)</f>
        <v/>
      </c>
      <c r="CB39" s="123">
        <f>IF(OR(CB$4="",$B39=""),0,SUMIF('DADOS BRUTOS'!$A$3:$A$500,$B39,'DADOS BRUTOS'!B$3:B$500)+IF($C39="",0,SUMIF('DADOS BRUTOS'!$A$3:$A$500,$C39,'DADOS BRUTOS'!B$3:B$500)))</f>
        <v/>
      </c>
      <c r="CC39" s="123">
        <f>IF(OR(CC$4="",$B39=""),0,SUMIF('DADOS BRUTOS'!$A$3:$A$500,$B39,'DADOS BRUTOS'!C$3:C$500)+IF($C39="",0,SUMIF('DADOS BRUTOS'!$A$3:$A$500,$C39,'DADOS BRUTOS'!C$3:C$500)))</f>
        <v/>
      </c>
      <c r="CD39" s="123">
        <f>IF(OR(CD$4="",$B39=""),0,SUMIF('DADOS BRUTOS'!$A$3:$A$500,$B39,'DADOS BRUTOS'!D$3:D$500)+IF($C39="",0,SUMIF('DADOS BRUTOS'!$A$3:$A$500,$C39,'DADOS BRUTOS'!D$3:D$500)))</f>
        <v/>
      </c>
      <c r="CE39" s="123">
        <f>IF(OR(CE$4="",$B39=""),0,SUMIF('DADOS BRUTOS'!$A$3:$A$500,$B39,'DADOS BRUTOS'!E$3:E$500)+IF($C39="",0,SUMIF('DADOS BRUTOS'!$A$3:$A$500,$C39,'DADOS BRUTOS'!E$3:E$500)))</f>
        <v/>
      </c>
      <c r="CF39" s="123">
        <f>IF(OR(CF$4="",$B39=""),0,SUMIF('DADOS BRUTOS'!$A$3:$A$500,$B39,'DADOS BRUTOS'!F$3:F$500)+IF($C39="",0,SUMIF('DADOS BRUTOS'!$A$3:$A$500,$C39,'DADOS BRUTOS'!F$3:F$500)))</f>
        <v/>
      </c>
      <c r="CG39" s="123">
        <f>IF(OR(CG$4="",$B39=""),0,SUMIF('DADOS BRUTOS'!$A$3:$A$500,$B39,'DADOS BRUTOS'!G$3:G$500)+IF($C39="",0,SUMIF('DADOS BRUTOS'!$A$3:$A$500,$C39,'DADOS BRUTOS'!G$3:G$500)))</f>
        <v/>
      </c>
      <c r="CH39" s="123">
        <f>IF(OR(CH$4="",$B39=""),0,SUMIF('DADOS BRUTOS'!$A$3:$A$500,$B39,'DADOS BRUTOS'!H$3:H$500)+IF($C39="",0,SUMIF('DADOS BRUTOS'!$A$3:$A$500,$C39,'DADOS BRUTOS'!H$3:H$500)))</f>
        <v/>
      </c>
      <c r="CI39" s="123">
        <f>IF(OR(CI$4="",$B39=""),0,SUMIF('DADOS BRUTOS'!$A$3:$A$500,$B39,'DADOS BRUTOS'!I$3:I$500)+IF($C39="",0,SUMIF('DADOS BRUTOS'!$A$3:$A$500,$C39,'DADOS BRUTOS'!I$3:I$500)))</f>
        <v/>
      </c>
      <c r="CJ39" s="123">
        <f>IF(OR(CJ$4="",$B39=""),0,SUMIF('DADOS BRUTOS'!$A$3:$A$500,$B39,'DADOS BRUTOS'!J$3:J$500)+IF($C39="",0,SUMIF('DADOS BRUTOS'!$A$3:$A$500,$C39,'DADOS BRUTOS'!J$3:J$500)))</f>
        <v/>
      </c>
      <c r="CK39" s="123">
        <f>IF(OR(CK$4="",$B39=""),0,SUMIF('DADOS BRUTOS'!$A$3:$A$500,$B39,'DADOS BRUTOS'!K$3:K$500)+IF($C39="",0,SUMIF('DADOS BRUTOS'!$A$3:$A$500,$C39,'DADOS BRUTOS'!K$3:K$500)))</f>
        <v/>
      </c>
      <c r="CL39" s="123">
        <f>IF(OR(CL$4="",$B39=""),0,SUMIF('DADOS BRUTOS'!$A$3:$A$500,$B39,'DADOS BRUTOS'!L$3:L$500)+IF($C39="",0,SUMIF('DADOS BRUTOS'!$A$3:$A$500,$C39,'DADOS BRUTOS'!L$3:L$500)))</f>
        <v/>
      </c>
      <c r="CM39" s="123">
        <f>IF(OR(CM$4="",$B39=""),0,SUMIF('DADOS BRUTOS'!$A$3:$A$500,$B39,'DADOS BRUTOS'!M$3:M$500)+IF($C39="",0,SUMIF('DADOS BRUTOS'!$A$3:$A$500,$C39,'DADOS BRUTOS'!M$3:M$500)))</f>
        <v/>
      </c>
      <c r="CN39" s="123">
        <f>IF(OR(CN$4="",$B39=""),0,SUMIF('DADOS BRUTOS'!$A$3:$A$500,$B39,'DADOS BRUTOS'!N$3:N$500)+IF($C39="",0,SUMIF('DADOS BRUTOS'!$A$3:$A$500,$C39,'DADOS BRUTOS'!N$3:N$500)))</f>
        <v/>
      </c>
      <c r="CO39" s="123">
        <f>IF(OR(CO$4="",$B39=""),0,SUMIF('DADOS BRUTOS'!$A$3:$A$500,$B39,'DADOS BRUTOS'!O$3:O$500)+IF($C39="",0,SUMIF('DADOS BRUTOS'!$A$3:$A$500,$C39,'DADOS BRUTOS'!O$3:O$500)))</f>
        <v/>
      </c>
      <c r="CP39" s="123">
        <f>IF(OR(CP$4="",$B39=""),0,SUMIF('DADOS BRUTOS'!$A$3:$A$500,$B39,'DADOS BRUTOS'!P$3:P$500)+IF($C39="",0,SUMIF('DADOS BRUTOS'!$A$3:$A$500,$C39,'DADOS BRUTOS'!P$3:P$500)))</f>
        <v/>
      </c>
      <c r="CQ39" s="123">
        <f>IF(OR(CQ$4="",$B39=""),0,SUMIF('DADOS BRUTOS'!$A$3:$A$500,$B39,'DADOS BRUTOS'!Q$3:Q$500)+IF($C39="",0,SUMIF('DADOS BRUTOS'!$A$3:$A$500,$C39,'DADOS BRUTOS'!Q$3:Q$500)))</f>
        <v/>
      </c>
      <c r="CR39" s="123">
        <f>IF(OR(CR$4="",$B39=""),0,SUMIF('DADOS BRUTOS'!$A$3:$A$500,$B39,'DADOS BRUTOS'!R$3:R$500)+IF($C39="",0,SUMIF('DADOS BRUTOS'!$A$3:$A$500,$C39,'DADOS BRUTOS'!R$3:R$500)))</f>
        <v/>
      </c>
      <c r="CS39" s="123">
        <f>IF(OR(CS$4="",$B39=""),0,SUMIF('DADOS BRUTOS'!$A$3:$A$500,$B39,'DADOS BRUTOS'!S$3:S$500)+IF($C39="",0,SUMIF('DADOS BRUTOS'!$A$3:$A$500,$C39,'DADOS BRUTOS'!S$3:S$500)))</f>
        <v/>
      </c>
      <c r="CT39" s="123">
        <f>IF(OR(CT$4="",$B39=""),0,SUMIF('DADOS BRUTOS'!$A$3:$A$500,$B39,'DADOS BRUTOS'!T$3:T$500)+IF($C39="",0,SUMIF('DADOS BRUTOS'!$A$3:$A$500,$C39,'DADOS BRUTOS'!T$3:T$500)))</f>
        <v/>
      </c>
      <c r="CU39" s="123">
        <f>IF(OR(CU$4="",$B39=""),0,SUMIF('DADOS BRUTOS'!$A$3:$A$500,$B39,'DADOS BRUTOS'!U$3:U$500)+IF($C39="",0,SUMIF('DADOS BRUTOS'!$A$3:$A$500,$C39,'DADOS BRUTOS'!U$3:U$500)))</f>
        <v/>
      </c>
      <c r="CV39" s="123">
        <f>IF(OR(CV$4="",$B39=""),0,SUMIF('DADOS BRUTOS'!$A$3:$A$500,$B39,'DADOS BRUTOS'!V$3:V$500)+IF($C39="",0,SUMIF('DADOS BRUTOS'!$A$3:$A$500,$C39,'DADOS BRUTOS'!V$3:V$500)))</f>
        <v/>
      </c>
      <c r="CW39" s="123">
        <f>IF(OR(CW$4="",$B39=""),0,SUMIF('DADOS BRUTOS'!$A$3:$A$500,$B39,'DADOS BRUTOS'!W$3:W$500)+IF($C39="",0,SUMIF('DADOS BRUTOS'!$A$3:$A$500,$C39,'DADOS BRUTOS'!W$3:W$500)))</f>
        <v/>
      </c>
      <c r="CX39" s="123">
        <f>IF(OR(CX$4="",$B39=""),0,SUMIF('DADOS BRUTOS'!$A$3:$A$500,$B39,'DADOS BRUTOS'!X$3:X$500)+IF($C39="",0,SUMIF('DADOS BRUTOS'!$A$3:$A$500,$C39,'DADOS BRUTOS'!X$3:X$500)))</f>
        <v/>
      </c>
      <c r="CY39" s="123">
        <f>IF(OR(CY$4="",$B39=""),0,SUMIF('DADOS BRUTOS'!$A$3:$A$500,$B39,'DADOS BRUTOS'!Y$3:Y$500)+IF($C39="",0,SUMIF('DADOS BRUTOS'!$A$3:$A$500,$C39,'DADOS BRUTOS'!Y$3:Y$500)))</f>
        <v/>
      </c>
      <c r="CZ39" s="123">
        <f>IF(OR(CZ$4="",$B39=""),0,SUMIF('DADOS BRUTOS'!$A$3:$A$500,$B39,'DADOS BRUTOS'!Z$3:Z$500)+IF($C39="",0,SUMIF('DADOS BRUTOS'!$A$3:$A$500,$C39,'DADOS BRUTOS'!Z$3:Z$500)))</f>
        <v/>
      </c>
      <c r="DA39" s="123">
        <f>IF(OR(DA$4="",$B39=""),0,SUMIF('DADOS BRUTOS'!$A$3:$A$500,$B39,'DADOS BRUTOS'!AA$3:AA$500)+IF($C39="",0,SUMIF('DADOS BRUTOS'!$A$3:$A$500,$C39,'DADOS BRUTOS'!AA$3:AA$500)))</f>
        <v/>
      </c>
      <c r="DB39" s="123">
        <f>IF(OR(DB$4="",$B39=""),0,SUMIF('DADOS BRUTOS'!$A$3:$A$500,$B39,'DADOS BRUTOS'!AB$3:AB$500)+IF($C39="",0,SUMIF('DADOS BRUTOS'!$A$3:$A$500,$C39,'DADOS BRUTOS'!AB$3:AB$500)))</f>
        <v/>
      </c>
      <c r="DC39" s="123">
        <f>IF(OR(DC$4="",$B39=""),0,SUMIF('DADOS BRUTOS'!$A$3:$A$500,$B39,'DADOS BRUTOS'!AC$3:AC$500)+IF($C39="",0,SUMIF('DADOS BRUTOS'!$A$3:$A$500,$C39,'DADOS BRUTOS'!AC$3:AC$500)))</f>
        <v/>
      </c>
      <c r="DD39" s="123">
        <f>IF(OR(DD$4="",$B39=""),0,SUMIF('DADOS BRUTOS'!$A$3:$A$500,$B39,'DADOS BRUTOS'!AD$3:AD$500)+IF($C39="",0,SUMIF('DADOS BRUTOS'!$A$3:$A$500,$C39,'DADOS BRUTOS'!AD$3:AD$500)))</f>
        <v/>
      </c>
      <c r="DE39" s="123">
        <f>IF(OR(DE$4="",$B39=""),0,SUMIF('DADOS BRUTOS'!$A$3:$A$500,$B39,'DADOS BRUTOS'!AE$3:AE$500)+IF($C39="",0,SUMIF('DADOS BRUTOS'!$A$3:$A$500,$C39,'DADOS BRUTOS'!AE$3:AE$500)))</f>
        <v/>
      </c>
      <c r="DF39" s="123">
        <f>IF(OR(DF$4="",$B39=""),0,SUMIF('DADOS BRUTOS'!$A$3:$A$500,$B39,'DADOS BRUTOS'!AF$3:AF$500)+IF($C39="",0,SUMIF('DADOS BRUTOS'!$A$3:$A$500,$C39,'DADOS BRUTOS'!AF$3:AF$500)))</f>
        <v/>
      </c>
      <c r="DG39" s="123">
        <f>IF(OR(DG$4="",$B39=""),0,SUMIF('DADOS BRUTOS'!$A$3:$A$500,$B39,'DADOS BRUTOS'!AG$3:AG$500)+IF($C39="",0,SUMIF('DADOS BRUTOS'!$A$3:$A$500,$C39,'DADOS BRUTOS'!AG$3:AG$500)))</f>
        <v/>
      </c>
      <c r="DH39" s="123">
        <f>IF(OR(DH$4="",$B39=""),0,SUMIF('DADOS BRUTOS'!$A$3:$A$500,$B39,'DADOS BRUTOS'!AH$3:AH$500)+IF($C39="",0,SUMIF('DADOS BRUTOS'!$A$3:$A$500,$C39,'DADOS BRUTOS'!AH$3:AH$500)))</f>
        <v/>
      </c>
      <c r="DI39" s="123">
        <f>IF(OR(DI$4="",$B39=""),0,SUMIF('DADOS BRUTOS'!$A$3:$A$500,$B39,'DADOS BRUTOS'!AI$3:AI$500)+IF($C39="",0,SUMIF('DADOS BRUTOS'!$A$3:$A$500,$C39,'DADOS BRUTOS'!AI$3:AI$500)))</f>
        <v/>
      </c>
      <c r="DJ39" s="123">
        <f>IF(OR(DJ$4="",$B39=""),0,SUMIF('DADOS BRUTOS'!$A$3:$A$500,$B39,'DADOS BRUTOS'!AJ$3:AJ$500)+IF($C39="",0,SUMIF('DADOS BRUTOS'!$A$3:$A$500,$C39,'DADOS BRUTOS'!AJ$3:AJ$500)))</f>
        <v/>
      </c>
      <c r="DK39" s="123">
        <f>IF(OR(DK$4="",$B39=""),0,SUMIF('DADOS BRUTOS'!$A$3:$A$500,$B39,'DADOS BRUTOS'!AK$3:AK$500)+IF($C39="",0,SUMIF('DADOS BRUTOS'!$A$3:$A$500,$C39,'DADOS BRUTOS'!AK$3:AK$500)))</f>
        <v/>
      </c>
      <c r="DL39" s="123">
        <f>IF(OR(DL$4="",$B39=""),0,SUMIF('DADOS BRUTOS'!$A$3:$A$500,$B39,'DADOS BRUTOS'!AL$3:AL$500)+IF($C39="",0,SUMIF('DADOS BRUTOS'!$A$3:$A$500,$C39,'DADOS BRUTOS'!AL$3:AL$500)))</f>
        <v/>
      </c>
      <c r="DM39" s="123">
        <f>IF(OR(DM$4="",$B39=""),0,SUMIF('DADOS BRUTOS'!$A$3:$A$500,$B39,'DADOS BRUTOS'!AM$3:AM$500)+IF($C39="",0,SUMIF('DADOS BRUTOS'!$A$3:$A$500,$C39,'DADOS BRUTOS'!AM$3:AM$500)))</f>
        <v/>
      </c>
      <c r="DN39" s="123">
        <f>IF(OR(DN$4="",$B39=""),0,SUMIF('DADOS BRUTOS'!$A$3:$A$500,$B39,'DADOS BRUTOS'!AN$3:AN$500)+IF($C39="",0,SUMIF('DADOS BRUTOS'!$A$3:$A$500,$C39,'DADOS BRUTOS'!AN$3:AN$500)))</f>
        <v/>
      </c>
      <c r="DO39" s="123">
        <f>IF(OR(DO$4="",$B39=""),0,SUMIF('DADOS BRUTOS'!$A$3:$A$500,$B39,'DADOS BRUTOS'!AO$3:AO$500)+IF($C39="",0,SUMIF('DADOS BRUTOS'!$A$3:$A$500,$C39,'DADOS BRUTOS'!AO$3:AO$500)))</f>
        <v/>
      </c>
      <c r="DP39" s="123">
        <f>IF(OR(DP$4="",$B39=""),0,SUMIF('DADOS BRUTOS'!$A$3:$A$500,$B39,'DADOS BRUTOS'!AP$3:AP$500)+IF($C39="",0,SUMIF('DADOS BRUTOS'!$A$3:$A$500,$C39,'DADOS BRUTOS'!AP$3:AP$500)))</f>
        <v/>
      </c>
      <c r="DQ39" s="123">
        <f>IF(OR(DQ$4="",$B39=""),0,SUMIF('DADOS BRUTOS'!$A$3:$A$500,$B39,'DADOS BRUTOS'!AQ$3:AQ$500)+IF($C39="",0,SUMIF('DADOS BRUTOS'!$A$3:$A$500,$C39,'DADOS BRUTOS'!AQ$3:AQ$500)))</f>
        <v/>
      </c>
      <c r="DR39" s="123">
        <f>IF(OR(DR$4="",$B39=""),0,SUMIF('DADOS BRUTOS'!$A$3:$A$500,$B39,'DADOS BRUTOS'!AR$3:AR$500)+IF($C39="",0,SUMIF('DADOS BRUTOS'!$A$3:$A$500,$C39,'DADOS BRUTOS'!AR$3:AR$500)))</f>
        <v/>
      </c>
      <c r="DS39" s="123">
        <f>IF(OR(DS$4="",$B39=""),0,SUMIF('DADOS BRUTOS'!$A$3:$A$500,$B39,'DADOS BRUTOS'!AS$3:AS$500)+IF($C39="",0,SUMIF('DADOS BRUTOS'!$A$3:$A$500,$C39,'DADOS BRUTOS'!AS$3:AS$500)))</f>
        <v/>
      </c>
      <c r="DT39" s="123">
        <f>IF(OR(DT$4="",$B39=""),0,SUMIF('DADOS BRUTOS'!$A$3:$A$500,$B39,'DADOS BRUTOS'!AT$3:AT$500)+IF($C39="",0,SUMIF('DADOS BRUTOS'!$A$3:$A$500,$C39,'DADOS BRUTOS'!AT$3:AT$500)))</f>
        <v/>
      </c>
      <c r="DU39" s="123">
        <f>IF(OR(DU$4="",$B39=""),0,SUMIF('DADOS BRUTOS'!$A$3:$A$500,$B39,'DADOS BRUTOS'!AU$3:AU$500)+IF($C39="",0,SUMIF('DADOS BRUTOS'!$A$3:$A$500,$C39,'DADOS BRUTOS'!AU$3:AU$500)))</f>
        <v/>
      </c>
      <c r="DV39" s="123">
        <f>IF(OR(DV$4="",$B39=""),0,SUMIF('DADOS BRUTOS'!$A$3:$A$500,$B39,'DADOS BRUTOS'!AV$3:AV$500)+IF($C39="",0,SUMIF('DADOS BRUTOS'!$A$3:$A$500,$C39,'DADOS BRUTOS'!AV$3:AV$500)))</f>
        <v/>
      </c>
      <c r="DW39" s="123">
        <f>IF(OR(DW$4="",$B39=""),0,SUMIF('DADOS BRUTOS'!$A$3:$A$500,$B39,'DADOS BRUTOS'!AW$3:AW$500)+IF($C39="",0,SUMIF('DADOS BRUTOS'!$A$3:$A$500,$C39,'DADOS BRUTOS'!AW$3:AW$500)))</f>
        <v/>
      </c>
      <c r="DX39" s="123">
        <f>IF(OR(DX$4="",$B39=""),0,SUMIF('DADOS BRUTOS'!$A$3:$A$500,$B39,'DADOS BRUTOS'!AX$3:AX$500)+IF($C39="",0,SUMIF('DADOS BRUTOS'!$A$3:$A$500,$C39,'DADOS BRUTOS'!AX$3:AX$500)))</f>
        <v/>
      </c>
      <c r="DY39" s="123">
        <f>IF(OR(DY$4="",$B39=""),0,SUMIF('DADOS BRUTOS'!$A$3:$A$500,$B39,'DADOS BRUTOS'!AY$3:AY$500)+IF($C39="",0,SUMIF('DADOS BRUTOS'!$A$3:$A$500,$C39,'DADOS BRUTOS'!AY$3:AY$500)))</f>
        <v/>
      </c>
      <c r="DZ39" s="123">
        <f>IF(OR(DZ$4="",$B39=""),0,SUMIF('DADOS BRUTOS'!$A$3:$A$500,$B39,'DADOS BRUTOS'!AZ$3:AZ$500)+IF($C39="",0,SUMIF('DADOS BRUTOS'!$A$3:$A$500,$C39,'DADOS BRUTOS'!AZ$3:AZ$500)))</f>
        <v/>
      </c>
      <c r="EA39" s="123">
        <f>IF(OR(EA$4="",$B39=""),0,SUMIF('DADOS BRUTOS'!$A$3:$A$500,$B39,'DADOS BRUTOS'!BA$3:BA$500)+IF($C39="",0,SUMIF('DADOS BRUTOS'!$A$3:$A$500,$C39,'DADOS BRUTOS'!BA$3:BA$500)))</f>
        <v/>
      </c>
      <c r="EB39" s="123">
        <f>IF(OR(EB$4="",$B39=""),0,SUMIF('DADOS BRUTOS'!$A$3:$A$500,$B39,'DADOS BRUTOS'!BB$3:BB$500)+IF($C39="",0,SUMIF('DADOS BRUTOS'!$A$3:$A$500,$C39,'DADOS BRUTOS'!BB$3:BB$500)))</f>
        <v/>
      </c>
      <c r="EC39" s="123">
        <f>IF(OR(EC$4="",$B39=""),0,SUMIF('DADOS BRUTOS'!$A$3:$A$500,$B39,'DADOS BRUTOS'!BC$3:BC$500)+IF($C39="",0,SUMIF('DADOS BRUTOS'!$A$3:$A$500,$C39,'DADOS BRUTOS'!BC$3:BC$500)))</f>
        <v/>
      </c>
      <c r="ED39" s="123">
        <f>IF(OR(ED$4="",$B39=""),0,SUMIF('DADOS BRUTOS'!$A$3:$A$500,$B39,'DADOS BRUTOS'!BD$3:BD$500)+IF($C39="",0,SUMIF('DADOS BRUTOS'!$A$3:$A$500,$C39,'DADOS BRUTOS'!BD$3:BD$500)))</f>
        <v/>
      </c>
      <c r="EE39" s="123">
        <f>IF(OR(EE$4="",$B39=""),0,SUMIF('DADOS BRUTOS'!$A$3:$A$500,$B39,'DADOS BRUTOS'!BE$3:BE$500)+IF($C39="",0,SUMIF('DADOS BRUTOS'!$A$3:$A$500,$C39,'DADOS BRUTOS'!BE$3:BE$500)))</f>
        <v/>
      </c>
      <c r="EF39" s="123">
        <f>IF(OR(EF$4="",$B39=""),0,SUMIF('DADOS BRUTOS'!$A$3:$A$500,$B39,'DADOS BRUTOS'!BF$3:BF$500)+IF($C39="",0,SUMIF('DADOS BRUTOS'!$A$3:$A$500,$C39,'DADOS BRUTOS'!BF$3:BF$500)))</f>
        <v/>
      </c>
      <c r="EG39" s="123">
        <f>IF(OR(EG$4="",$B39=""),0,SUMIF('DADOS BRUTOS'!$A$3:$A$500,$B39,'DADOS BRUTOS'!BG$3:BG$500)+IF($C39="",0,SUMIF('DADOS BRUTOS'!$A$3:$A$500,$C39,'DADOS BRUTOS'!BG$3:BG$500)))</f>
        <v/>
      </c>
      <c r="EH39" s="123">
        <f>IF(OR(EH$4="",$B39=""),0,SUMIF('DADOS BRUTOS'!$A$3:$A$500,$B39,'DADOS BRUTOS'!BH$3:BH$500)+IF($C39="",0,SUMIF('DADOS BRUTOS'!$A$3:$A$500,$C39,'DADOS BRUTOS'!BH$3:BH$500)))</f>
        <v/>
      </c>
      <c r="EI39" s="123">
        <f>IF(OR(EI$4="",$B39=""),0,SUMIF('DADOS BRUTOS'!$A$3:$A$500,$B39,'DADOS BRUTOS'!BI$3:BI$500)+IF($C39="",0,SUMIF('DADOS BRUTOS'!$A$3:$A$500,$C39,'DADOS BRUTOS'!BI$3:BI$500)))</f>
        <v/>
      </c>
      <c r="EJ39" s="123">
        <f>IF(OR(EJ$4="",$B39=""),0,SUMIF('DADOS BRUTOS'!$A$3:$A$500,$B39,'DADOS BRUTOS'!BJ$3:BJ$500)+IF($C39="",0,SUMIF('DADOS BRUTOS'!$A$3:$A$500,$C39,'DADOS BRUTOS'!BJ$3:BJ$500)))</f>
        <v/>
      </c>
      <c r="EK39" s="123">
        <f>IF(OR(EK$4="",$B39=""),0,SUMIF('DADOS BRUTOS'!$A$3:$A$500,$B39,'DADOS BRUTOS'!BK$3:BK$500)+IF($C39="",0,SUMIF('DADOS BRUTOS'!$A$3:$A$500,$C39,'DADOS BRUTOS'!BK$3:BK$500)))</f>
        <v/>
      </c>
      <c r="EL39" s="123">
        <f>IF(OR(EL$4="",$B39=""),0,SUMIF('DADOS BRUTOS'!$A$3:$A$500,$B39,'DADOS BRUTOS'!BL$3:BL$500)+IF($C39="",0,SUMIF('DADOS BRUTOS'!$A$3:$A$500,$C39,'DADOS BRUTOS'!BL$3:BL$500)))</f>
        <v/>
      </c>
      <c r="EM39" s="123">
        <f>IF(OR(EM$4="",$B39=""),0,SUMIF('DADOS BRUTOS'!$A$3:$A$500,$B39,'DADOS BRUTOS'!BM$3:BM$500)+IF($C39="",0,SUMIF('DADOS BRUTOS'!$A$3:$A$500,$C39,'DADOS BRUTOS'!BM$3:BM$500)))</f>
        <v/>
      </c>
      <c r="EN39" s="123">
        <f>IF(OR(EN$4="",$B39=""),0,SUMIF('DADOS BRUTOS'!$A$3:$A$500,$B39,'DADOS BRUTOS'!BN$3:BN$500)+IF($C39="",0,SUMIF('DADOS BRUTOS'!$A$3:$A$500,$C39,'DADOS BRUTOS'!BN$3:BN$500)))</f>
        <v/>
      </c>
      <c r="EO39" s="123">
        <f>IF(OR(EO$4="",$B39=""),0,SUMIF('DADOS BRUTOS'!$A$3:$A$500,$B39,'DADOS BRUTOS'!BO$3:BO$500)+IF($C39="",0,SUMIF('DADOS BRUTOS'!$A$3:$A$500,$C39,'DADOS BRUTOS'!BO$3:BO$500)))</f>
        <v/>
      </c>
      <c r="EP39" s="123">
        <f>IF(OR(EP$4="",$B39=""),0,SUMIF('DADOS BRUTOS'!$A$3:$A$500,$B39,'DADOS BRUTOS'!BP$3:BP$500)+IF($C39="",0,SUMIF('DADOS BRUTOS'!$A$3:$A$500,$C39,'DADOS BRUTOS'!BP$3:BP$500)))</f>
        <v/>
      </c>
      <c r="EQ39" s="123">
        <f>IF(OR(EQ$4="",$B39=""),0,SUMIF('DADOS BRUTOS'!$A$3:$A$500,$B39,'DADOS BRUTOS'!BQ$3:BQ$500)+IF($C39="",0,SUMIF('DADOS BRUTOS'!$A$3:$A$500,$C39,'DADOS BRUTOS'!BQ$3:BQ$500)))</f>
        <v/>
      </c>
      <c r="ER39" s="123">
        <f>IF(OR(ER$4="",$B39=""),0,SUMIF('DADOS BRUTOS'!$A$3:$A$500,$B39,'DADOS BRUTOS'!BR$3:BR$500)+IF($C39="",0,SUMIF('DADOS BRUTOS'!$A$3:$A$500,$C39,'DADOS BRUTOS'!BR$3:BR$500)))</f>
        <v/>
      </c>
      <c r="ES39" s="123">
        <f>IF(OR(ES$4="",$B39=""),0,SUMIF('DADOS BRUTOS'!$A$3:$A$500,$B39,'DADOS BRUTOS'!BS$3:BS$500)+IF($C39="",0,SUMIF('DADOS BRUTOS'!$A$3:$A$500,$C39,'DADOS BRUTOS'!BS$3:BS$500)))</f>
        <v/>
      </c>
      <c r="ET39" s="123">
        <f>IF(OR(ET$4="",$B39=""),0,SUMIF('DADOS BRUTOS'!$A$3:$A$500,$B39,'DADOS BRUTOS'!BT$3:BT$500)+IF($C39="",0,SUMIF('DADOS BRUTOS'!$A$3:$A$500,$C39,'DADOS BRUTOS'!BT$3:BT$500)))</f>
        <v/>
      </c>
      <c r="EU39" s="123">
        <f>IF(OR(EU$4="",$B39=""),0,SUMIF('DADOS BRUTOS'!$A$3:$A$500,$B39,'DADOS BRUTOS'!BU$3:BU$500)+IF($C39="",0,SUMIF('DADOS BRUTOS'!$A$3:$A$500,$C39,'DADOS BRUTOS'!BU$3:BU$500)))</f>
        <v/>
      </c>
      <c r="EV39" s="123">
        <f>IF(OR(EV$4="",$B39=""),0,SUMIF('DADOS BRUTOS'!$A$3:$A$500,$B39,'DADOS BRUTOS'!BV$3:BV$500)+IF($C39="",0,SUMIF('DADOS BRUTOS'!$A$3:$A$500,$C39,'DADOS BRUTOS'!BV$3:BV$500)))</f>
        <v/>
      </c>
      <c r="EW39" s="123">
        <f>IF(OR(EW$4="",$B39=""),0,SUMIF('DADOS BRUTOS'!$A$3:$A$500,$B39,'DADOS BRUTOS'!BW$3:BW$500)+IF($C39="",0,SUMIF('DADOS BRUTOS'!$A$3:$A$500,$C39,'DADOS BRUTOS'!BW$3:BW$500)))</f>
        <v/>
      </c>
      <c r="EX39" s="123">
        <f>IF(OR(EX$4="",$B39=""),0,SUMIF('DADOS BRUTOS'!$A$3:$A$500,$B39,'DADOS BRUTOS'!BX$3:BX$500)+IF($C39="",0,SUMIF('DADOS BRUTOS'!$A$3:$A$500,$C39,'DADOS BRUTOS'!BX$3:BX$500)))</f>
        <v/>
      </c>
      <c r="EY39" s="123">
        <f>IF(OR(EY$4="",$B39=""),0,SUMIF('DADOS BRUTOS'!$A$3:$A$500,$B39,'DADOS BRUTOS'!BY$3:BY$500)+IF($C39="",0,SUMIF('DADOS BRUTOS'!$A$3:$A$500,$C39,'DADOS BRUTOS'!BY$3:BY$500)))</f>
        <v/>
      </c>
      <c r="EZ39" s="123">
        <f>IF(OR(EZ$4="",$B39=""),0,SUMIF('DADOS BRUTOS'!$A$3:$A$500,$B39,'DADOS BRUTOS'!BZ$3:BZ$500)+IF($C39="",0,SUMIF('DADOS BRUTOS'!$A$3:$A$500,$C39,'DADOS BRUTOS'!BZ$3:BZ$500)))</f>
        <v/>
      </c>
      <c r="FA39" s="123">
        <f>IF(OR(FA$4="",$B39=""),0,SUMIF('DADOS BRUTOS'!$A$3:$A$500,$B39,'DADOS BRUTOS'!CA$3:CA$500)+IF($C39="",0,SUMIF('DADOS BRUTOS'!$A$3:$A$500,$C39,'DADOS BRUTOS'!CA$3:CA$500)))</f>
        <v/>
      </c>
      <c r="FB39" s="123">
        <f>IF(OR(FB$4="",$B39=""),0,SUMIF('DADOS BRUTOS'!$A$3:$A$500,$B39,'DADOS BRUTOS'!CB$3:CB$500)+IF($C39="",0,SUMIF('DADOS BRUTOS'!$A$3:$A$500,$C39,'DADOS BRUTOS'!CB$3:CB$500)))</f>
        <v/>
      </c>
      <c r="FC39" s="123">
        <f>IF(OR(FC$4="",$B39=""),0,SUMIF('DADOS BRUTOS'!$A$3:$A$500,$B39,'DADOS BRUTOS'!CC$3:CC$500)+IF($C39="",0,SUMIF('DADOS BRUTOS'!$A$3:$A$500,$C39,'DADOS BRUTOS'!CC$3:CC$500)))</f>
        <v/>
      </c>
      <c r="FD39" s="123">
        <f>IF(OR(FD$4="",$B39=""),0,SUMIF('DADOS BRUTOS'!$A$3:$A$500,$B39,'DADOS BRUTOS'!CD$3:CD$500)+IF($C39="",0,SUMIF('DADOS BRUTOS'!$A$3:$A$500,$C39,'DADOS BRUTOS'!CD$3:CD$500)))</f>
        <v/>
      </c>
      <c r="FE39" s="123">
        <f>IF(OR(FE$4="",$B39=""),0,SUMIF('DADOS BRUTOS'!$A$3:$A$500,$B39,'DADOS BRUTOS'!CE$3:CE$500)+IF($C39="",0,SUMIF('DADOS BRUTOS'!$A$3:$A$500,$C39,'DADOS BRUTOS'!CE$3:CE$500)))</f>
        <v/>
      </c>
      <c r="FF39" s="123">
        <f>IF(OR(FF$4="",$B39=""),0,SUMIF('DADOS BRUTOS'!$A$3:$A$500,$B39,'DADOS BRUTOS'!CF$3:CF$500)+IF($C39="",0,SUMIF('DADOS BRUTOS'!$A$3:$A$500,$C39,'DADOS BRUTOS'!CF$3:CF$500)))</f>
        <v/>
      </c>
      <c r="FG39" s="123">
        <f>IF(OR(FG$4="",$B39=""),0,SUMIF('DADOS BRUTOS'!$A$3:$A$500,$B39,'DADOS BRUTOS'!CG$3:CG$500)+IF($C39="",0,SUMIF('DADOS BRUTOS'!$A$3:$A$500,$C39,'DADOS BRUTOS'!CG$3:CG$500)))</f>
        <v/>
      </c>
      <c r="FH39" s="123">
        <f>IF(OR(FH$4="",$B39=""),0,SUMIF('DADOS BRUTOS'!$A$3:$A$500,$B39,'DADOS BRUTOS'!CH$3:CH$500)+IF($C39="",0,SUMIF('DADOS BRUTOS'!$A$3:$A$500,$C39,'DADOS BRUTOS'!CH$3:CH$500)))</f>
        <v/>
      </c>
      <c r="FI39" s="123">
        <f>IF(OR(FI$4="",$B39=""),0,SUMIF('DADOS BRUTOS'!$A$3:$A$500,$B39,'DADOS BRUTOS'!CI$3:CI$500)+IF($C39="",0,SUMIF('DADOS BRUTOS'!$A$3:$A$500,$C39,'DADOS BRUTOS'!CI$3:CI$500)))</f>
        <v/>
      </c>
      <c r="FJ39" s="123">
        <f>IF(OR(FJ$4="",$B39=""),0,SUMIF('DADOS BRUTOS'!$A$3:$A$500,$B39,'DADOS BRUTOS'!CJ$3:CJ$500)+IF($C39="",0,SUMIF('DADOS BRUTOS'!$A$3:$A$500,$C39,'DADOS BRUTOS'!CJ$3:CJ$500)))</f>
        <v/>
      </c>
      <c r="FK39" s="123">
        <f>IF(OR(FK$4="",$B39=""),0,SUMIF('DADOS BRUTOS'!$A$3:$A$500,$B39,'DADOS BRUTOS'!CK$3:CK$500)+IF($C39="",0,SUMIF('DADOS BRUTOS'!$A$3:$A$500,$C39,'DADOS BRUTOS'!CK$3:CK$500)))</f>
        <v/>
      </c>
      <c r="FL39" s="123">
        <f>IF(OR(FL$4="",$B39=""),0,SUMIF('DADOS BRUTOS'!$A$3:$A$500,$B39,'DADOS BRUTOS'!CL$3:CL$500)+IF($C39="",0,SUMIF('DADOS BRUTOS'!$A$3:$A$500,$C39,'DADOS BRUTOS'!CL$3:CL$500)))</f>
        <v/>
      </c>
      <c r="FM39" s="123">
        <f>IF(OR(FM$4="",$B39=""),0,SUMIF('DADOS BRUTOS'!$A$3:$A$500,$B39,'DADOS BRUTOS'!CM$3:CM$500)+IF($C39="",0,SUMIF('DADOS BRUTOS'!$A$3:$A$500,$C39,'DADOS BRUTOS'!CM$3:CM$500)))</f>
        <v/>
      </c>
      <c r="FN39" s="123">
        <f>IF(OR(FN$4="",$B39=""),0,SUMIF('DADOS BRUTOS'!$A$3:$A$500,$B39,'DADOS BRUTOS'!CN$3:CN$500)+IF($C39="",0,SUMIF('DADOS BRUTOS'!$A$3:$A$500,$C39,'DADOS BRUTOS'!CN$3:CN$500)))</f>
        <v/>
      </c>
      <c r="FO39" s="123">
        <f>IF(OR(FO$4="",$B39=""),0,SUMIF('DADOS BRUTOS'!$A$3:$A$500,$B39,'DADOS BRUTOS'!CO$3:CO$500)+IF($C39="",0,SUMIF('DADOS BRUTOS'!$A$3:$A$500,$C39,'DADOS BRUTOS'!CO$3:CO$500)))</f>
        <v/>
      </c>
      <c r="FP39" s="123">
        <f>IF(OR(FP$4="",$B39=""),0,SUMIF('DADOS BRUTOS'!$A$3:$A$500,$B39,'DADOS BRUTOS'!CP$3:CP$500)+IF($C39="",0,SUMIF('DADOS BRUTOS'!$A$3:$A$500,$C39,'DADOS BRUTOS'!CP$3:CP$500)))</f>
        <v/>
      </c>
      <c r="FQ39" s="123">
        <f>IF(OR(FQ$4="",$B39=""),0,SUMIF('DADOS BRUTOS'!$A$3:$A$500,$B39,'DADOS BRUTOS'!CQ$3:CQ$500)+IF($C39="",0,SUMIF('DADOS BRUTOS'!$A$3:$A$500,$C39,'DADOS BRUTOS'!CQ$3:CQ$500)))</f>
        <v/>
      </c>
      <c r="FR39" s="123">
        <f>IF(OR(FR$4="",$B39=""),0,SUMIF('DADOS BRUTOS'!$A$3:$A$500,$B39,'DADOS BRUTOS'!CR$3:CR$500)+IF($C39="",0,SUMIF('DADOS BRUTOS'!$A$3:$A$500,$C39,'DADOS BRUTOS'!CR$3:CR$500)))</f>
        <v/>
      </c>
      <c r="FS39" s="123">
        <f>IF(OR(FS$4="",$B39=""),0,SUMIF('DADOS BRUTOS'!$A$3:$A$500,$B39,'DADOS BRUTOS'!CS$3:CS$500)+IF($C39="",0,SUMIF('DADOS BRUTOS'!$A$3:$A$500,$C39,'DADOS BRUTOS'!CS$3:CS$500)))</f>
        <v/>
      </c>
      <c r="FT39" s="123">
        <f>IF(OR(FT$4="",$B39=""),0,SUMIF('DADOS BRUTOS'!$A$3:$A$500,$B39,'DADOS BRUTOS'!CT$3:CT$500)+IF($C39="",0,SUMIF('DADOS BRUTOS'!$A$3:$A$500,$C39,'DADOS BRUTOS'!CT$3:CT$500)))</f>
        <v/>
      </c>
      <c r="FU39" s="123">
        <f>IF(OR(FU$4="",$B39=""),0,SUMIF('DADOS BRUTOS'!$A$3:$A$500,$B39,'DADOS BRUTOS'!CU$3:CU$500)+IF($C39="",0,SUMIF('DADOS BRUTOS'!$A$3:$A$500,$C39,'DADOS BRUTOS'!CU$3:CU$500)))</f>
        <v/>
      </c>
      <c r="FV39" s="123">
        <f>IF(OR(FV$4="",$B39=""),0,SUMIF('DADOS BRUTOS'!$A$3:$A$500,$B39,'DADOS BRUTOS'!CV$3:CV$500)+IF($C39="",0,SUMIF('DADOS BRUTOS'!$A$3:$A$500,$C39,'DADOS BRUTOS'!CV$3:CV$500)))</f>
        <v/>
      </c>
      <c r="FW39" s="123">
        <f>IF(OR(FW$4="",$B39=""),0,SUMIF('DADOS BRUTOS'!$A$3:$A$500,$B39,'DADOS BRUTOS'!CW$3:CW$500)+IF($C39="",0,SUMIF('DADOS BRUTOS'!$A$3:$A$500,$C39,'DADOS BRUTOS'!CW$3:CW$500)))</f>
        <v/>
      </c>
      <c r="FX39" s="123">
        <f>IF(OR(FX$4="",$B39=""),0,SUMIF('DADOS BRUTOS'!$A$3:$A$500,$B39,'DADOS BRUTOS'!CX$3:CX$500)+IF($C39="",0,SUMIF('DADOS BRUTOS'!$A$3:$A$500,$C39,'DADOS BRUTOS'!CX$3:CX$500)))</f>
        <v/>
      </c>
      <c r="FY39" s="123">
        <f>IF(OR(FY$4="",$B39=""),0,SUMIF('DADOS BRUTOS'!$A$3:$A$500,$B39,'DADOS BRUTOS'!CY$3:CY$500)+IF($C39="",0,SUMIF('DADOS BRUTOS'!$A$3:$A$500,$C39,'DADOS BRUTOS'!CY$3:CY$500)))</f>
        <v/>
      </c>
      <c r="FZ39" s="123">
        <f>IF(OR(FZ$4="",$B39=""),0,SUMIF('DADOS BRUTOS'!$A$3:$A$500,$B39,'DADOS BRUTOS'!CZ$3:CZ$500)+IF($C39="",0,SUMIF('DADOS BRUTOS'!$A$3:$A$500,$C39,'DADOS BRUTOS'!CZ$3:CZ$500)))</f>
        <v/>
      </c>
      <c r="GA39" s="123">
        <f>IF(OR(GA$4="",$B39=""),0,SUMIF('DADOS BRUTOS'!$A$3:$A$500,$B39,'DADOS BRUTOS'!DA$3:DA$500)+IF($C39="",0,SUMIF('DADOS BRUTOS'!$A$3:$A$500,$C39,'DADOS BRUTOS'!DA$3:DA$500)))</f>
        <v/>
      </c>
      <c r="GB39" s="123">
        <f>IF(OR(GB$4="",$B39=""),0,SUMIF('DADOS BRUTOS'!$A$3:$A$500,$B39,'DADOS BRUTOS'!DB$3:DB$500)+IF($C39="",0,SUMIF('DADOS BRUTOS'!$A$3:$A$500,$C39,'DADOS BRUTOS'!DB$3:DB$500)))</f>
        <v/>
      </c>
      <c r="GC39" s="123">
        <f>IF(OR(GC$4="",$B39=""),0,SUMIF('DADOS BRUTOS'!$A$3:$A$500,$B39,'DADOS BRUTOS'!DC$3:DC$500)+IF($C39="",0,SUMIF('DADOS BRUTOS'!$A$3:$A$500,$C39,'DADOS BRUTOS'!DC$3:DC$500)))</f>
        <v/>
      </c>
      <c r="GD39" s="123">
        <f>IF(OR(GD$4="",$B39=""),0,SUMIF('DADOS BRUTOS'!$A$3:$A$500,$B39,'DADOS BRUTOS'!DD$3:DD$500)+IF($C39="",0,SUMIF('DADOS BRUTOS'!$A$3:$A$500,$C39,'DADOS BRUTOS'!DD$3:DD$500)))</f>
        <v/>
      </c>
      <c r="GE39" s="123">
        <f>IF(OR(GE$4="",$B39=""),0,SUMIF('DADOS BRUTOS'!$A$3:$A$500,$B39,'DADOS BRUTOS'!DE$3:DE$500)+IF($C39="",0,SUMIF('DADOS BRUTOS'!$A$3:$A$500,$C39,'DADOS BRUTOS'!DE$3:DE$500)))</f>
        <v/>
      </c>
      <c r="GF39" s="123">
        <f>IF(OR(GF$4="",$B39=""),0,SUMIF('DADOS BRUTOS'!$A$3:$A$500,$B39,'DADOS BRUTOS'!DF$3:DF$500)+IF($C39="",0,SUMIF('DADOS BRUTOS'!$A$3:$A$500,$C39,'DADOS BRUTOS'!DF$3:DF$500)))</f>
        <v/>
      </c>
      <c r="GG39" s="123">
        <f>IF(OR(GG$4="",$B39=""),0,SUMIF('DADOS BRUTOS'!$A$3:$A$500,$B39,'DADOS BRUTOS'!DG$3:DG$500)+IF($C39="",0,SUMIF('DADOS BRUTOS'!$A$3:$A$500,$C39,'DADOS BRUTOS'!DG$3:DG$500)))</f>
        <v/>
      </c>
      <c r="GH39" s="123">
        <f>IF(OR(GH$4="",$B39=""),0,SUMIF('DADOS BRUTOS'!$A$3:$A$500,$B39,'DADOS BRUTOS'!DH$3:DH$500)+IF($C39="",0,SUMIF('DADOS BRUTOS'!$A$3:$A$500,$C39,'DADOS BRUTOS'!DH$3:DH$500)))</f>
        <v/>
      </c>
      <c r="GI39" s="123">
        <f>IF(OR(GI$4="",$B39=""),0,SUMIF('DADOS BRUTOS'!$A$3:$A$500,$B39,'DADOS BRUTOS'!DI$3:DI$500)+IF($C39="",0,SUMIF('DADOS BRUTOS'!$A$3:$A$500,$C39,'DADOS BRUTOS'!DI$3:DI$500)))</f>
        <v/>
      </c>
      <c r="GJ39" s="123">
        <f>IF(OR(GJ$4="",$B39=""),0,SUMIF('DADOS BRUTOS'!$A$3:$A$500,$B39,'DADOS BRUTOS'!DJ$3:DJ$500)+IF($C39="",0,SUMIF('DADOS BRUTOS'!$A$3:$A$500,$C39,'DADOS BRUTOS'!DJ$3:DJ$500)))</f>
        <v/>
      </c>
      <c r="GK39" s="123">
        <f>IF(OR(GK$4="",$B39=""),0,SUMIF('DADOS BRUTOS'!$A$3:$A$500,$B39,'DADOS BRUTOS'!DK$3:DK$500)+IF($C39="",0,SUMIF('DADOS BRUTOS'!$A$3:$A$500,$C39,'DADOS BRUTOS'!DK$3:DK$500)))</f>
        <v/>
      </c>
      <c r="GL39" s="123">
        <f>IF(OR(GL$4="",$B39=""),0,SUMIF('DADOS BRUTOS'!$A$3:$A$500,$B39,'DADOS BRUTOS'!DL$3:DL$500)+IF($C39="",0,SUMIF('DADOS BRUTOS'!$A$3:$A$500,$C39,'DADOS BRUTOS'!DL$3:DL$500)))</f>
        <v/>
      </c>
      <c r="GM39" s="123">
        <f>IF(OR(GM$4="",$B39=""),0,SUMIF('DADOS BRUTOS'!$A$3:$A$500,$B39,'DADOS BRUTOS'!DM$3:DM$500)+IF($C39="",0,SUMIF('DADOS BRUTOS'!$A$3:$A$500,$C39,'DADOS BRUTOS'!DM$3:DM$500)))</f>
        <v/>
      </c>
      <c r="GN39" s="123">
        <f>IF(OR(GN$4="",$B39=""),0,SUMIF('DADOS BRUTOS'!$A$3:$A$500,$B39,'DADOS BRUTOS'!DN$3:DN$500)+IF($C39="",0,SUMIF('DADOS BRUTOS'!$A$3:$A$500,$C39,'DADOS BRUTOS'!DN$3:DN$500)))</f>
        <v/>
      </c>
      <c r="GO39" s="123">
        <f>IF(OR(GO$4="",$B39=""),0,SUMIF('DADOS BRUTOS'!$A$3:$A$500,$B39,'DADOS BRUTOS'!DO$3:DO$500)+IF($C39="",0,SUMIF('DADOS BRUTOS'!$A$3:$A$500,$C39,'DADOS BRUTOS'!DO$3:DO$500)))</f>
        <v/>
      </c>
      <c r="GP39" s="123">
        <f>IF(OR(GP$4="",$B39=""),0,SUMIF('DADOS BRUTOS'!$A$3:$A$500,$B39,'DADOS BRUTOS'!DP$3:DP$500)+IF($C39="",0,SUMIF('DADOS BRUTOS'!$A$3:$A$500,$C39,'DADOS BRUTOS'!DP$3:DP$500)))</f>
        <v/>
      </c>
      <c r="GQ39" s="123">
        <f>IF(OR(GQ$4="",$B39=""),0,SUMIF('DADOS BRUTOS'!$A$3:$A$500,$B39,'DADOS BRUTOS'!DQ$3:DQ$500)+IF($C39="",0,SUMIF('DADOS BRUTOS'!$A$3:$A$500,$C39,'DADOS BRUTOS'!DQ$3:DQ$500)))</f>
        <v/>
      </c>
      <c r="GR39" s="123">
        <f>IF(OR(GR$4="",$B39=""),0,SUMIF('DADOS BRUTOS'!$A$3:$A$500,$B39,'DADOS BRUTOS'!DR$3:DR$500)+IF($C39="",0,SUMIF('DADOS BRUTOS'!$A$3:$A$500,$C39,'DADOS BRUTOS'!DR$3:DR$500)))</f>
        <v/>
      </c>
      <c r="GS39" s="123">
        <f>IF(OR(GS$4="",$B39=""),0,SUMIF('DADOS BRUTOS'!$A$3:$A$500,$B39,'DADOS BRUTOS'!DS$3:DS$500)+IF($C39="",0,SUMIF('DADOS BRUTOS'!$A$3:$A$500,$C39,'DADOS BRUTOS'!DS$3:DS$500)))</f>
        <v/>
      </c>
      <c r="GT39" s="123">
        <f>IF(OR(GT$4="",$B39=""),0,SUMIF('DADOS BRUTOS'!$A$3:$A$500,$B39,'DADOS BRUTOS'!DT$3:DT$500)+IF($C39="",0,SUMIF('DADOS BRUTOS'!$A$3:$A$500,$C39,'DADOS BRUTOS'!DT$3:DT$500)))</f>
        <v/>
      </c>
      <c r="GU39" s="123">
        <f>IF(OR(GU$4="",$B39=""),0,SUMIF('DADOS BRUTOS'!$A$3:$A$500,$B39,'DADOS BRUTOS'!DU$3:DU$500)+IF($C39="",0,SUMIF('DADOS BRUTOS'!$A$3:$A$500,$C39,'DADOS BRUTOS'!DU$3:DU$500)))</f>
        <v/>
      </c>
      <c r="GV39" s="123">
        <f>IF(OR(GV$4="",$B39=""),0,SUMIF('DADOS BRUTOS'!$A$3:$A$500,$B39,'DADOS BRUTOS'!DV$3:DV$500)+IF($C39="",0,SUMIF('DADOS BRUTOS'!$A$3:$A$500,$C39,'DADOS BRUTOS'!DV$3:DV$500)))</f>
        <v/>
      </c>
      <c r="GW39" s="123">
        <f>IF(OR(GW$4="",$B39=""),0,SUMIF('DADOS BRUTOS'!$A$3:$A$500,$B39,'DADOS BRUTOS'!DW$3:DW$500)+IF($C39="",0,SUMIF('DADOS BRUTOS'!$A$3:$A$500,$C39,'DADOS BRUTOS'!DW$3:DW$500)))</f>
        <v/>
      </c>
      <c r="GX39" s="123">
        <f>IF(OR(GX$4="",$B39=""),0,SUMIF('DADOS BRUTOS'!$A$3:$A$500,$B39,'DADOS BRUTOS'!DX$3:DX$500)+IF($C39="",0,SUMIF('DADOS BRUTOS'!$A$3:$A$500,$C39,'DADOS BRUTOS'!DX$3:DX$500)))</f>
        <v/>
      </c>
      <c r="GY39" s="123">
        <f>IF(OR(GY$4="",$B39=""),0,SUMIF('DADOS BRUTOS'!$A$3:$A$500,$B39,'DADOS BRUTOS'!DY$3:DY$500)+IF($C39="",0,SUMIF('DADOS BRUTOS'!$A$3:$A$500,$C39,'DADOS BRUTOS'!DY$3:DY$500)))</f>
        <v/>
      </c>
      <c r="GZ39" s="123">
        <f>IF(OR(GZ$4="",$B39=""),0,SUMIF('DADOS BRUTOS'!$A$3:$A$500,$B39,'DADOS BRUTOS'!DZ$3:DZ$500)+IF($C39="",0,SUMIF('DADOS BRUTOS'!$A$3:$A$500,$C39,'DADOS BRUTOS'!DZ$3:DZ$500)))</f>
        <v/>
      </c>
      <c r="HA39" s="123">
        <f>IF(OR(HA$4="",$B39=""),0,SUMIF('DADOS BRUTOS'!$A$3:$A$500,$B39,'DADOS BRUTOS'!EA$3:EA$500)+IF($C39="",0,SUMIF('DADOS BRUTOS'!$A$3:$A$500,$C39,'DADOS BRUTOS'!EA$3:EA$500)))</f>
        <v/>
      </c>
      <c r="HB39" s="123">
        <f>IF(OR(HB$4="",$B39=""),0,SUMIF('DADOS BRUTOS'!$A$3:$A$500,$B39,'DADOS BRUTOS'!EB$3:EB$500)+IF($C39="",0,SUMIF('DADOS BRUTOS'!$A$3:$A$500,$C39,'DADOS BRUTOS'!EB$3:EB$500)))</f>
        <v/>
      </c>
      <c r="HC39" s="123">
        <f>IF(OR(HC$4="",$B39=""),0,SUMIF('DADOS BRUTOS'!$A$3:$A$500,$B39,'DADOS BRUTOS'!EC$3:EC$500)+IF($C39="",0,SUMIF('DADOS BRUTOS'!$A$3:$A$500,$C39,'DADOS BRUTOS'!EC$3:EC$500)))</f>
        <v/>
      </c>
      <c r="HD39" s="123">
        <f>IF(OR(HD$4="",$B39=""),0,SUMIF('DADOS BRUTOS'!$A$3:$A$500,$B39,'DADOS BRUTOS'!ED$3:ED$500)+IF($C39="",0,SUMIF('DADOS BRUTOS'!$A$3:$A$500,$C39,'DADOS BRUTOS'!ED$3:ED$500)))</f>
        <v/>
      </c>
      <c r="HE39" s="123">
        <f>IF(OR(HE$4="",$B39=""),0,SUMIF('DADOS BRUTOS'!$A$3:$A$500,$B39,'DADOS BRUTOS'!EE$3:EE$500)+IF($C39="",0,SUMIF('DADOS BRUTOS'!$A$3:$A$500,$C39,'DADOS BRUTOS'!EE$3:EE$500)))</f>
        <v/>
      </c>
      <c r="HF39" s="123">
        <f>IF(OR(HF$4="",$B39=""),0,SUMIF('DADOS BRUTOS'!$A$3:$A$500,$B39,'DADOS BRUTOS'!EF$3:EF$500)+IF($C39="",0,SUMIF('DADOS BRUTOS'!$A$3:$A$500,$C39,'DADOS BRUTOS'!EF$3:EF$500)))</f>
        <v/>
      </c>
      <c r="HG39" s="123">
        <f>IF(OR(HG$4="",$B39=""),0,SUMIF('DADOS BRUTOS'!$A$3:$A$500,$B39,'DADOS BRUTOS'!EG$3:EG$500)+IF($C39="",0,SUMIF('DADOS BRUTOS'!$A$3:$A$500,$C39,'DADOS BRUTOS'!EG$3:EG$500)))</f>
        <v/>
      </c>
      <c r="HH39" s="123">
        <f>IF(OR(HH$4="",$B39=""),0,SUMIF('DADOS BRUTOS'!$A$3:$A$500,$B39,'DADOS BRUTOS'!EH$3:EH$500)+IF($C39="",0,SUMIF('DADOS BRUTOS'!$A$3:$A$500,$C39,'DADOS BRUTOS'!EH$3:EH$500)))</f>
        <v/>
      </c>
      <c r="HI39" s="123">
        <f>IF(OR(HI$4="",$B39=""),0,SUMIF('DADOS BRUTOS'!$A$3:$A$500,$B39,'DADOS BRUTOS'!EI$3:EI$500)+IF($C39="",0,SUMIF('DADOS BRUTOS'!$A$3:$A$500,$C39,'DADOS BRUTOS'!EI$3:EI$500)))</f>
        <v/>
      </c>
      <c r="HJ39" s="123">
        <f>IF(OR(HJ$4="",$B39=""),0,SUMIF('DADOS BRUTOS'!$A$3:$A$500,$B39,'DADOS BRUTOS'!EJ$3:EJ$500)+IF($C39="",0,SUMIF('DADOS BRUTOS'!$A$3:$A$500,$C39,'DADOS BRUTOS'!EJ$3:EJ$500)))</f>
        <v/>
      </c>
      <c r="HK39" s="123">
        <f>IF(OR(HK$4="",$B39=""),0,SUMIF('DADOS BRUTOS'!$A$3:$A$500,$B39,'DADOS BRUTOS'!EK$3:EK$500)+IF($C39="",0,SUMIF('DADOS BRUTOS'!$A$3:$A$500,$C39,'DADOS BRUTOS'!EK$3:EK$500)))</f>
        <v/>
      </c>
      <c r="HL39" s="123">
        <f>IF(OR(HL$4="",$B39=""),0,SUMIF('DADOS BRUTOS'!$A$3:$A$500,$B39,'DADOS BRUTOS'!EL$3:EL$500)+IF($C39="",0,SUMIF('DADOS BRUTOS'!$A$3:$A$500,$C39,'DADOS BRUTOS'!EL$3:EL$500)))</f>
        <v/>
      </c>
      <c r="HM39" s="123">
        <f>IF(OR(HM$4="",$B39=""),0,SUMIF('DADOS BRUTOS'!$A$3:$A$500,$B39,'DADOS BRUTOS'!EM$3:EM$500)+IF($C39="",0,SUMIF('DADOS BRUTOS'!$A$3:$A$500,$C39,'DADOS BRUTOS'!EM$3:EM$500)))</f>
        <v/>
      </c>
      <c r="HN39" s="123">
        <f>IF(OR(HN$4="",$B39=""),0,SUMIF('DADOS BRUTOS'!$A$3:$A$500,$B39,'DADOS BRUTOS'!EN$3:EN$500)+IF($C39="",0,SUMIF('DADOS BRUTOS'!$A$3:$A$500,$C39,'DADOS BRUTOS'!EN$3:EN$500)))</f>
        <v/>
      </c>
      <c r="HO39" s="123">
        <f>IF(OR(HO$4="",$B39=""),0,SUMIF('DADOS BRUTOS'!$A$3:$A$500,$B39,'DADOS BRUTOS'!EO$3:EO$500)+IF($C39="",0,SUMIF('DADOS BRUTOS'!$A$3:$A$500,$C39,'DADOS BRUTOS'!EO$3:EO$500)))</f>
        <v/>
      </c>
      <c r="HP39" s="123">
        <f>IF(OR(HP$4="",$B39=""),0,SUMIF('DADOS BRUTOS'!$A$3:$A$500,$B39,'DADOS BRUTOS'!EP$3:EP$500)+IF($C39="",0,SUMIF('DADOS BRUTOS'!$A$3:$A$500,$C39,'DADOS BRUTOS'!EP$3:EP$500)))</f>
        <v/>
      </c>
      <c r="HQ39" s="123">
        <f>IF(OR(HQ$4="",$B39=""),0,SUMIF('DADOS BRUTOS'!$A$3:$A$500,$B39,'DADOS BRUTOS'!EQ$3:EQ$500)+IF($C39="",0,SUMIF('DADOS BRUTOS'!$A$3:$A$500,$C39,'DADOS BRUTOS'!EQ$3:EQ$500)))</f>
        <v/>
      </c>
      <c r="HR39" s="123">
        <f>IF(OR(HR$4="",$B39=""),0,SUMIF('DADOS BRUTOS'!$A$3:$A$500,$B39,'DADOS BRUTOS'!ER$3:ER$500)+IF($C39="",0,SUMIF('DADOS BRUTOS'!$A$3:$A$500,$C39,'DADOS BRUTOS'!ER$3:ER$500)))</f>
        <v/>
      </c>
      <c r="HS39" s="123">
        <f>IF(OR(HS$4="",$B39=""),0,SUMIF('DADOS BRUTOS'!$A$3:$A$500,$B39,'DADOS BRUTOS'!ES$3:ES$500)+IF($C39="",0,SUMIF('DADOS BRUTOS'!$A$3:$A$500,$C39,'DADOS BRUTOS'!ES$3:ES$500)))</f>
        <v/>
      </c>
      <c r="HT39" s="123">
        <f>IF(OR(HT$4="",$B39=""),0,SUMIF('DADOS BRUTOS'!$A$3:$A$500,$B39,'DADOS BRUTOS'!ET$3:ET$500)+IF($C39="",0,SUMIF('DADOS BRUTOS'!$A$3:$A$500,$C39,'DADOS BRUTOS'!ET$3:ET$500)))</f>
        <v/>
      </c>
      <c r="HU39" s="123">
        <f>IF(OR(HU$4="",$B39=""),0,SUMIF('DADOS BRUTOS'!$A$3:$A$500,$B39,'DADOS BRUTOS'!EU$3:EU$500)+IF($C39="",0,SUMIF('DADOS BRUTOS'!$A$3:$A$500,$C39,'DADOS BRUTOS'!EU$3:EU$500)))</f>
        <v/>
      </c>
      <c r="HV39" s="123">
        <f>IF(OR(HV$4="",$B39=""),0,SUMIF('DADOS BRUTOS'!$A$3:$A$500,$B39,'DADOS BRUTOS'!EV$3:EV$500)+IF($C39="",0,SUMIF('DADOS BRUTOS'!$A$3:$A$500,$C39,'DADOS BRUTOS'!EV$3:EV$500)))</f>
        <v/>
      </c>
      <c r="HW39" s="123">
        <f>IF(OR(HW$4="",$B39=""),0,SUMIF('DADOS BRUTOS'!$A$3:$A$500,$B39,'DADOS BRUTOS'!EW$3:EW$500)+IF($C39="",0,SUMIF('DADOS BRUTOS'!$A$3:$A$500,$C39,'DADOS BRUTOS'!EW$3:EW$500)))</f>
        <v/>
      </c>
      <c r="HX39" s="123">
        <f>IF(OR(HX$4="",$B39=""),0,SUMIF('DADOS BRUTOS'!$A$3:$A$500,$B39,'DADOS BRUTOS'!EX$3:EX$500)+IF($C39="",0,SUMIF('DADOS BRUTOS'!$A$3:$A$500,$C39,'DADOS BRUTOS'!EX$3:EX$500)))</f>
        <v/>
      </c>
      <c r="HY39" s="123">
        <f>IF(OR(HY$4="",$B39=""),0,SUMIF('DADOS BRUTOS'!$A$3:$A$500,$B39,'DADOS BRUTOS'!EY$3:EY$500)+IF($C39="",0,SUMIF('DADOS BRUTOS'!$A$3:$A$500,$C39,'DADOS BRUTOS'!EY$3:EY$500)))</f>
        <v/>
      </c>
      <c r="HZ39" s="123">
        <f>IF(OR(HZ$4="",$B39=""),0,SUMIF('DADOS BRUTOS'!$A$3:$A$500,$B39,'DADOS BRUTOS'!EZ$3:EZ$500)+IF($C39="",0,SUMIF('DADOS BRUTOS'!$A$3:$A$500,$C39,'DADOS BRUTOS'!EZ$3:EZ$500)))</f>
        <v/>
      </c>
      <c r="IA39" s="123">
        <f>IF(OR(IA$4="",$B39=""),0,SUMIF('DADOS BRUTOS'!$A$3:$A$500,$B39,'DADOS BRUTOS'!FA$3:FA$500)+IF($C39="",0,SUMIF('DADOS BRUTOS'!$A$3:$A$500,$C39,'DADOS BRUTOS'!FA$3:FA$500)))</f>
        <v/>
      </c>
      <c r="IB39" s="123">
        <f>IF(OR(IB$4="",$B39=""),0,SUMIF('DADOS BRUTOS'!$A$3:$A$500,$B39,'DADOS BRUTOS'!FB$3:FB$500)+IF($C39="",0,SUMIF('DADOS BRUTOS'!$A$3:$A$500,$C39,'DADOS BRUTOS'!FB$3:FB$500)))</f>
        <v/>
      </c>
      <c r="IC39" s="123">
        <f>IF(OR(IC$4="",$B39=""),0,SUMIF('DADOS BRUTOS'!$A$3:$A$500,$B39,'DADOS BRUTOS'!FC$3:FC$500)+IF($C39="",0,SUMIF('DADOS BRUTOS'!$A$3:$A$500,$C39,'DADOS BRUTOS'!FC$3:FC$500)))</f>
        <v/>
      </c>
      <c r="ID39" s="123">
        <f>IF(OR(ID$4="",$B39=""),0,SUMIF('DADOS BRUTOS'!$A$3:$A$500,$B39,'DADOS BRUTOS'!FD$3:FD$500)+IF($C39="",0,SUMIF('DADOS BRUTOS'!$A$3:$A$500,$C39,'DADOS BRUTOS'!FD$3:FD$500)))</f>
        <v/>
      </c>
      <c r="IE39" s="123">
        <f>IF(OR(IE$4="",$B39=""),0,SUMIF('DADOS BRUTOS'!$A$3:$A$500,$B39,'DADOS BRUTOS'!FE$3:FE$500)+IF($C39="",0,SUMIF('DADOS BRUTOS'!$A$3:$A$500,$C39,'DADOS BRUTOS'!FE$3:FE$500)))</f>
        <v/>
      </c>
      <c r="IF39" s="123">
        <f>IF(OR(IF$4="",$B39=""),0,SUMIF('DADOS BRUTOS'!$A$3:$A$500,$B39,'DADOS BRUTOS'!FF$3:FF$500)+IF($C39="",0,SUMIF('DADOS BRUTOS'!$A$3:$A$500,$C39,'DADOS BRUTOS'!FF$3:FF$500)))</f>
        <v/>
      </c>
      <c r="IG39" s="123">
        <f>IF(OR(IG$4="",$B39=""),0,SUMIF('DADOS BRUTOS'!$A$3:$A$500,$B39,'DADOS BRUTOS'!FG$3:FG$500)+IF($C39="",0,SUMIF('DADOS BRUTOS'!$A$3:$A$500,$C39,'DADOS BRUTOS'!FG$3:FG$500)))</f>
        <v/>
      </c>
      <c r="IH39" s="123">
        <f>IF(OR(IH$4="",$B39=""),0,SUMIF('DADOS BRUTOS'!$A$3:$A$500,$B39,'DADOS BRUTOS'!FH$3:FH$500)+IF($C39="",0,SUMIF('DADOS BRUTOS'!$A$3:$A$500,$C39,'DADOS BRUTOS'!FH$3:FH$500)))</f>
        <v/>
      </c>
      <c r="II39" s="123">
        <f>IF(OR(II$4="",$B39=""),0,SUMIF('DADOS BRUTOS'!$A$3:$A$500,$B39,'DADOS BRUTOS'!FI$3:FI$500)+IF($C39="",0,SUMIF('DADOS BRUTOS'!$A$3:$A$500,$C39,'DADOS BRUTOS'!FI$3:FI$500)))</f>
        <v/>
      </c>
      <c r="IJ39" s="123">
        <f>IF(OR(IJ$4="",$B39=""),0,SUMIF('DADOS BRUTOS'!$A$3:$A$500,$B39,'DADOS BRUTOS'!FJ$3:FJ$500)+IF($C39="",0,SUMIF('DADOS BRUTOS'!$A$3:$A$500,$C39,'DADOS BRUTOS'!FJ$3:FJ$500)))</f>
        <v/>
      </c>
      <c r="IK39" s="123">
        <f>IF(OR(IK$4="",$B39=""),0,SUMIF('DADOS BRUTOS'!$A$3:$A$500,$B39,'DADOS BRUTOS'!FK$3:FK$500)+IF($C39="",0,SUMIF('DADOS BRUTOS'!$A$3:$A$500,$C39,'DADOS BRUTOS'!FK$3:FK$500)))</f>
        <v/>
      </c>
      <c r="IL39" s="123">
        <f>IF(OR(IL$4="",$B39=""),0,SUMIF('DADOS BRUTOS'!$A$3:$A$500,$B39,'DADOS BRUTOS'!FL$3:FL$500)+IF($C39="",0,SUMIF('DADOS BRUTOS'!$A$3:$A$500,$C39,'DADOS BRUTOS'!FL$3:FL$500)))</f>
        <v/>
      </c>
      <c r="IM39" s="123">
        <f>IF(OR(IM$4="",$B39=""),0,SUMIF('DADOS BRUTOS'!$A$3:$A$500,$B39,'DADOS BRUTOS'!FM$3:FM$500)+IF($C39="",0,SUMIF('DADOS BRUTOS'!$A$3:$A$500,$C39,'DADOS BRUTOS'!FM$3:FM$500)))</f>
        <v/>
      </c>
      <c r="IN39" s="123">
        <f>IF(OR(IN$4="",$B39=""),0,SUMIF('DADOS BRUTOS'!$A$3:$A$500,$B39,'DADOS BRUTOS'!FN$3:FN$500)+IF($C39="",0,SUMIF('DADOS BRUTOS'!$A$3:$A$500,$C39,'DADOS BRUTOS'!FN$3:FN$500)))</f>
        <v/>
      </c>
      <c r="IO39" s="123">
        <f>IF(OR(IO$4="",$B39=""),0,SUMIF('DADOS BRUTOS'!$A$3:$A$500,$B39,'DADOS BRUTOS'!FO$3:FO$500)+IF($C39="",0,SUMIF('DADOS BRUTOS'!$A$3:$A$500,$C39,'DADOS BRUTOS'!FO$3:FO$500)))</f>
        <v/>
      </c>
      <c r="IP39" s="123">
        <f>IF(OR(IP$4="",$B39=""),0,SUMIF('DADOS BRUTOS'!$A$3:$A$500,$B39,'DADOS BRUTOS'!FP$3:FP$500)+IF($C39="",0,SUMIF('DADOS BRUTOS'!$A$3:$A$500,$C39,'DADOS BRUTOS'!FP$3:FP$500)))</f>
        <v/>
      </c>
      <c r="IQ39" s="123">
        <f>IF(OR(IQ$4="",$B39=""),0,SUMIF('DADOS BRUTOS'!$A$3:$A$500,$B39,'DADOS BRUTOS'!FQ$3:FQ$500)+IF($C39="",0,SUMIF('DADOS BRUTOS'!$A$3:$A$500,$C39,'DADOS BRUTOS'!FQ$3:FQ$500)))</f>
        <v/>
      </c>
      <c r="IR39" s="123">
        <f>IF(OR(IR$4="",$B39=""),0,SUMIF('DADOS BRUTOS'!$A$3:$A$500,$B39,'DADOS BRUTOS'!FR$3:FR$500)+IF($C39="",0,SUMIF('DADOS BRUTOS'!$A$3:$A$500,$C39,'DADOS BRUTOS'!FR$3:FR$500)))</f>
        <v/>
      </c>
      <c r="IS39" s="123">
        <f>IF(OR(IS$4="",$B39=""),0,SUMIF('DADOS BRUTOS'!$A$3:$A$500,$B39,'DADOS BRUTOS'!FS$3:FS$500)+IF($C39="",0,SUMIF('DADOS BRUTOS'!$A$3:$A$500,$C39,'DADOS BRUTOS'!FS$3:FS$500)))</f>
        <v/>
      </c>
      <c r="IT39" s="123">
        <f>IF(OR(IT$4="",$B39=""),0,SUMIF('DADOS BRUTOS'!$A$3:$A$500,$B39,'DADOS BRUTOS'!FT$3:FT$500)+IF($C39="",0,SUMIF('DADOS BRUTOS'!$A$3:$A$500,$C39,'DADOS BRUTOS'!FT$3:FT$500)))</f>
        <v/>
      </c>
      <c r="IU39" s="123">
        <f>IF(OR(IU$4="",$B39=""),0,SUMIF('DADOS BRUTOS'!$A$3:$A$500,$B39,'DADOS BRUTOS'!FU$3:FU$500)+IF($C39="",0,SUMIF('DADOS BRUTOS'!$A$3:$A$500,$C39,'DADOS BRUTOS'!FU$3:FU$500)))</f>
        <v/>
      </c>
      <c r="IV39" s="123">
        <f>IF(OR(IV$4="",$B39=""),0,SUMIF('DADOS BRUTOS'!$A$3:$A$500,$B39,'DADOS BRUTOS'!FV$3:FV$500)+IF($C39="",0,SUMIF('DADOS BRUTOS'!$A$3:$A$500,$C39,'DADOS BRUTOS'!FV$3:FV$500)))</f>
        <v/>
      </c>
      <c r="IW39" s="123">
        <f>IF(OR(IW$4="",$B39=""),0,SUMIF('DADOS BRUTOS'!$A$3:$A$500,$B39,'DADOS BRUTOS'!FW$3:FW$500)+IF($C39="",0,SUMIF('DADOS BRUTOS'!$A$3:$A$500,$C39,'DADOS BRUTOS'!FW$3:FW$500)))</f>
        <v/>
      </c>
      <c r="IX39" s="123">
        <f>IF(OR(IX$4="",$B39=""),0,SUMIF('DADOS BRUTOS'!$A$3:$A$500,$B39,'DADOS BRUTOS'!FX$3:FX$500)+IF($C39="",0,SUMIF('DADOS BRUTOS'!$A$3:$A$500,$C39,'DADOS BRUTOS'!FX$3:FX$500)))</f>
        <v/>
      </c>
      <c r="IY39" s="123">
        <f>IF(OR(IY$4="",$B39=""),0,SUMIF('DADOS BRUTOS'!$A$3:$A$500,$B39,'DADOS BRUTOS'!FY$3:FY$500)+IF($C39="",0,SUMIF('DADOS BRUTOS'!$A$3:$A$500,$C39,'DADOS BRUTOS'!FY$3:FY$500)))</f>
        <v/>
      </c>
      <c r="IZ39" s="123">
        <f>IF(OR(IZ$4="",$B39=""),0,SUMIF('DADOS BRUTOS'!$A$3:$A$500,$B39,'DADOS BRUTOS'!FZ$3:FZ$500)+IF($C39="",0,SUMIF('DADOS BRUTOS'!$A$3:$A$500,$C39,'DADOS BRUTOS'!FZ$3:FZ$500)))</f>
        <v/>
      </c>
      <c r="JA39" s="123">
        <f>IF(OR(JA$4="",$B39=""),0,SUMIF('DADOS BRUTOS'!$A$3:$A$500,$B39,'DADOS BRUTOS'!GA$3:GA$500)+IF($C39="",0,SUMIF('DADOS BRUTOS'!$A$3:$A$500,$C39,'DADOS BRUTOS'!GA$3:GA$500)))</f>
        <v/>
      </c>
      <c r="JB39" s="123">
        <f>IF(OR(JB$4="",$B39=""),0,SUMIF('DADOS BRUTOS'!$A$3:$A$500,$B39,'DADOS BRUTOS'!GB$3:GB$500)+IF($C39="",0,SUMIF('DADOS BRUTOS'!$A$3:$A$500,$C39,'DADOS BRUTOS'!GB$3:GB$500)))</f>
        <v/>
      </c>
      <c r="JC39" s="123">
        <f>IF(OR(JC$4="",$B39=""),0,SUMIF('DADOS BRUTOS'!$A$3:$A$500,$B39,'DADOS BRUTOS'!GC$3:GC$500)+IF($C39="",0,SUMIF('DADOS BRUTOS'!$A$3:$A$500,$C39,'DADOS BRUTOS'!GC$3:GC$500)))</f>
        <v/>
      </c>
      <c r="JD39" s="123">
        <f>IF(OR(JD$4="",$B39=""),0,SUMIF('DADOS BRUTOS'!$A$3:$A$500,$B39,'DADOS BRUTOS'!GD$3:GD$500)+IF($C39="",0,SUMIF('DADOS BRUTOS'!$A$3:$A$500,$C39,'DADOS BRUTOS'!GD$3:GD$500)))</f>
        <v/>
      </c>
      <c r="JE39" s="123">
        <f>IF(OR(JE$4="",$B39=""),0,SUMIF('DADOS BRUTOS'!$A$3:$A$500,$B39,'DADOS BRUTOS'!GE$3:GE$500)+IF($C39="",0,SUMIF('DADOS BRUTOS'!$A$3:$A$500,$C39,'DADOS BRUTOS'!GE$3:GE$500)))</f>
        <v/>
      </c>
      <c r="JF39" s="123">
        <f>IF(OR(JF$4="",$B39=""),0,SUMIF('DADOS BRUTOS'!$A$3:$A$500,$B39,'DADOS BRUTOS'!GF$3:GF$500)+IF($C39="",0,SUMIF('DADOS BRUTOS'!$A$3:$A$500,$C39,'DADOS BRUTOS'!GF$3:GF$500)))</f>
        <v/>
      </c>
      <c r="JG39" s="123">
        <f>IF(OR(JG$4="",$B39=""),0,SUMIF('DADOS BRUTOS'!$A$3:$A$500,$B39,'DADOS BRUTOS'!GG$3:GG$500)+IF($C39="",0,SUMIF('DADOS BRUTOS'!$A$3:$A$500,$C39,'DADOS BRUTOS'!GG$3:GG$500)))</f>
        <v/>
      </c>
      <c r="JH39" s="123">
        <f>IF(OR(JH$4="",$B39=""),0,SUMIF('DADOS BRUTOS'!$A$3:$A$500,$B39,'DADOS BRUTOS'!GH$3:GH$500)+IF($C39="",0,SUMIF('DADOS BRUTOS'!$A$3:$A$500,$C39,'DADOS BRUTOS'!GH$3:GH$500)))</f>
        <v/>
      </c>
      <c r="JI39" s="123">
        <f>IF(OR(JI$4="",$B39=""),0,SUMIF('DADOS BRUTOS'!$A$3:$A$500,$B39,'DADOS BRUTOS'!GI$3:GI$500)+IF($C39="",0,SUMIF('DADOS BRUTOS'!$A$3:$A$500,$C39,'DADOS BRUTOS'!GI$3:GI$500)))</f>
        <v/>
      </c>
      <c r="JJ39" s="123">
        <f>IF(OR(JJ$4="",$B39=""),0,SUMIF('DADOS BRUTOS'!$A$3:$A$500,$B39,'DADOS BRUTOS'!GJ$3:GJ$500)+IF($C39="",0,SUMIF('DADOS BRUTOS'!$A$3:$A$500,$C39,'DADOS BRUTOS'!GJ$3:GJ$500)))</f>
        <v/>
      </c>
      <c r="JK39" s="123">
        <f>IF(OR(JK$4="",$B39=""),0,SUMIF('DADOS BRUTOS'!$A$3:$A$500,$B39,'DADOS BRUTOS'!GK$3:GK$500)+IF($C39="",0,SUMIF('DADOS BRUTOS'!$A$3:$A$500,$C39,'DADOS BRUTOS'!GK$3:GK$500)))</f>
        <v/>
      </c>
      <c r="JL39" s="123">
        <f>IF(OR(JL$4="",$B39=""),0,SUMIF('DADOS BRUTOS'!$A$3:$A$500,$B39,'DADOS BRUTOS'!GL$3:GL$500)+IF($C39="",0,SUMIF('DADOS BRUTOS'!$A$3:$A$500,$C39,'DADOS BRUTOS'!GL$3:GL$500)))</f>
        <v/>
      </c>
      <c r="JM39" s="123">
        <f>IF(OR(JM$4="",$B39=""),0,SUMIF('DADOS BRUTOS'!$A$3:$A$500,$B39,'DADOS BRUTOS'!GM$3:GM$500)+IF($C39="",0,SUMIF('DADOS BRUTOS'!$A$3:$A$500,$C39,'DADOS BRUTOS'!GM$3:GM$500)))</f>
        <v/>
      </c>
      <c r="JN39" s="123">
        <f>IF(OR(JN$4="",$B39=""),0,SUMIF('DADOS BRUTOS'!$A$3:$A$500,$B39,'DADOS BRUTOS'!GN$3:GN$500)+IF($C39="",0,SUMIF('DADOS BRUTOS'!$A$3:$A$500,$C39,'DADOS BRUTOS'!GN$3:GN$500)))</f>
        <v/>
      </c>
      <c r="JO39" s="123">
        <f>IF(OR(JO$4="",$B39=""),0,SUMIF('DADOS BRUTOS'!$A$3:$A$500,$B39,'DADOS BRUTOS'!GO$3:GO$500)+IF($C39="",0,SUMIF('DADOS BRUTOS'!$A$3:$A$500,$C39,'DADOS BRUTOS'!GO$3:GO$500)))</f>
        <v/>
      </c>
      <c r="JP39" s="123">
        <f>IF(OR(JP$4="",$B39=""),0,SUMIF('DADOS BRUTOS'!$A$3:$A$500,$B39,'DADOS BRUTOS'!GP$3:GP$500)+IF($C39="",0,SUMIF('DADOS BRUTOS'!$A$3:$A$500,$C39,'DADOS BRUTOS'!GP$3:GP$500)))</f>
        <v/>
      </c>
      <c r="JQ39" s="123">
        <f>IF(OR(JQ$4="",$B39=""),0,SUMIF('DADOS BRUTOS'!$A$3:$A$500,$B39,'DADOS BRUTOS'!GQ$3:GQ$500)+IF($C39="",0,SUMIF('DADOS BRUTOS'!$A$3:$A$500,$C39,'DADOS BRUTOS'!GQ$3:GQ$500)))</f>
        <v/>
      </c>
      <c r="JR39" s="123">
        <f>IF(OR(JR$4="",$B39=""),0,SUMIF('DADOS BRUTOS'!$A$3:$A$500,$B39,'DADOS BRUTOS'!GR$3:GR$500)+IF($C39="",0,SUMIF('DADOS BRUTOS'!$A$3:$A$500,$C39,'DADOS BRUTOS'!GR$3:GR$500)))</f>
        <v/>
      </c>
      <c r="JS39" s="123">
        <f>IF(OR(JS$4="",$B39=""),0,SUMIF('DADOS BRUTOS'!$A$3:$A$500,$B39,'DADOS BRUTOS'!GS$3:GS$500)+IF($C39="",0,SUMIF('DADOS BRUTOS'!$A$3:$A$500,$C39,'DADOS BRUTOS'!GS$3:GS$500)))</f>
        <v/>
      </c>
    </row>
    <row r="40">
      <c r="A40" s="61">
        <f>'VALOR POR PL'!D46</f>
        <v/>
      </c>
      <c r="B40" s="60" t="inlineStr">
        <is>
          <t>PAISAGISMO</t>
        </is>
      </c>
      <c r="C40" s="60" t="n"/>
      <c r="D40" s="55">
        <f>SUMIF($CB$4:$JS$4,"&lt;="&amp;D$4,$CB40:$JS40)</f>
        <v/>
      </c>
      <c r="E40" s="55">
        <f>SUMIF($CB$4:$JS$4,E$4,$CB40:$JS40)</f>
        <v/>
      </c>
      <c r="F40" s="55">
        <f>SUMIF($CB$4:$JS$4,F$4,$CB40:$JS40)</f>
        <v/>
      </c>
      <c r="G40" s="55">
        <f>SUMIF($CB$4:$JS$4,G$4,$CB40:$JS40)</f>
        <v/>
      </c>
      <c r="H40" s="55">
        <f>SUMIF($CB$4:$JS$4,H$4,$CB40:$JS40)</f>
        <v/>
      </c>
      <c r="I40" s="55">
        <f>SUMIF($CB$4:$JS$4,I$4,$CB40:$JS40)</f>
        <v/>
      </c>
      <c r="J40" s="55">
        <f>SUMIF($CB$4:$JS$4,J$4,$CB40:$JS40)</f>
        <v/>
      </c>
      <c r="K40" s="55">
        <f>SUMIF($CB$4:$JS$4,K$4,$CB40:$JS40)</f>
        <v/>
      </c>
      <c r="L40" s="55">
        <f>SUMIF($CB$4:$JS$4,L$4,$CB40:$JS40)</f>
        <v/>
      </c>
      <c r="M40" s="55">
        <f>SUMIF($CB$4:$JS$4,M$4,$CB40:$JS40)</f>
        <v/>
      </c>
      <c r="N40" s="55">
        <f>SUMIF($CB$4:$JS$4,N$4,$CB40:$JS40)</f>
        <v/>
      </c>
      <c r="O40" s="55">
        <f>SUMIF($CB$4:$JS$4,O$4,$CB40:$JS40)</f>
        <v/>
      </c>
      <c r="P40" s="55">
        <f>SUMIF($CB$4:$JS$4,P$4,$CB40:$JS40)</f>
        <v/>
      </c>
      <c r="Q40" s="55">
        <f>SUMIF($CB$4:$JS$4,Q$4,$CB40:$JS40)</f>
        <v/>
      </c>
      <c r="R40" s="55">
        <f>SUMIF($CB$4:$JS$4,R$4,$CB40:$JS40)</f>
        <v/>
      </c>
      <c r="S40" s="55">
        <f>SUMIF($CB$4:$JS$4,S$4,$CB40:$JS40)</f>
        <v/>
      </c>
      <c r="T40" s="55">
        <f>SUMIF($CB$4:$JS$4,T$4,$CB40:$JS40)</f>
        <v/>
      </c>
      <c r="U40" s="55">
        <f>SUMIF($CB$4:$JS$4,U$4,$CB40:$JS40)</f>
        <v/>
      </c>
      <c r="V40" s="55">
        <f>SUMIF($CB$4:$JS$4,V$4,$CB40:$JS40)</f>
        <v/>
      </c>
      <c r="W40" s="55">
        <f>SUMIF($CB$4:$JS$4,W$4,$CB40:$JS40)</f>
        <v/>
      </c>
      <c r="X40" s="55">
        <f>SUMIF($CB$4:$JS$4,X$4,$CB40:$JS40)</f>
        <v/>
      </c>
      <c r="Y40" s="55">
        <f>SUMIF($CB$4:$JS$4,Y$4,$CB40:$JS40)</f>
        <v/>
      </c>
      <c r="Z40" s="55">
        <f>SUMIF($CB$4:$JS$4,Z$4,$CB40:$JS40)</f>
        <v/>
      </c>
      <c r="AA40" s="55">
        <f>SUMIF($CB$4:$JS$4,AA$4,$CB40:$JS40)</f>
        <v/>
      </c>
      <c r="AB40" s="55">
        <f>SUMIF($CB$4:$JS$4,AB$4,$CB40:$JS40)</f>
        <v/>
      </c>
      <c r="AC40" s="55">
        <f>SUMIF($CB$4:$JS$4,AC$4,$CB40:$JS40)</f>
        <v/>
      </c>
      <c r="AD40" s="55">
        <f>SUMIF($CB$4:$JS$4,AD$4,$CB40:$JS40)</f>
        <v/>
      </c>
      <c r="AE40" s="55">
        <f>SUMIF($CB$4:$JS$4,AE$4,$CB40:$JS40)</f>
        <v/>
      </c>
      <c r="AF40" s="55">
        <f>SUMIF($CB$4:$JS$4,AF$4,$CB40:$JS40)</f>
        <v/>
      </c>
      <c r="AG40" s="55">
        <f>SUMIF($CB$4:$JS$4,AG$4,$CB40:$JS40)</f>
        <v/>
      </c>
      <c r="AH40" s="55">
        <f>SUMIF($CB$4:$JS$4,AH$4,$CB40:$JS40)</f>
        <v/>
      </c>
      <c r="AI40" s="55">
        <f>SUMIF($CB$4:$JS$4,AI$4,$CB40:$JS40)</f>
        <v/>
      </c>
      <c r="AJ40" s="55">
        <f>SUMIF($CB$4:$JS$4,AJ$4,$CB40:$JS40)</f>
        <v/>
      </c>
      <c r="AK40" s="55">
        <f>SUMIF($CB$4:$JS$4,AK$4,$CB40:$JS40)</f>
        <v/>
      </c>
      <c r="AL40" s="55">
        <f>SUMIF($CB$4:$JS$4,AL$4,$CB40:$JS40)</f>
        <v/>
      </c>
      <c r="AM40" s="55">
        <f>SUMIF($CB$4:$JS$4,AM$4,$CB40:$JS40)</f>
        <v/>
      </c>
      <c r="AN40" s="55">
        <f>SUMIF($CB$4:$JS$4,AN$4,$CB40:$JS40)</f>
        <v/>
      </c>
      <c r="AO40" s="55">
        <f>SUMIF($CB$4:$JS$4,AO$4,$CB40:$JS40)</f>
        <v/>
      </c>
      <c r="AP40" s="55">
        <f>SUMIF($CB$4:$JS$4,AP$4,$CB40:$JS40)</f>
        <v/>
      </c>
      <c r="AQ40" s="55">
        <f>SUMIF($CB$4:$JS$4,AQ$4,$CB40:$JS40)</f>
        <v/>
      </c>
      <c r="AR40" s="55">
        <f>SUMIF($CB$4:$JS$4,AR$4,$CB40:$JS40)</f>
        <v/>
      </c>
      <c r="AS40" s="55">
        <f>SUMIF($CB$4:$JS$4,AS$4,$CB40:$JS40)</f>
        <v/>
      </c>
      <c r="AT40" s="55">
        <f>SUMIF($CB$4:$JS$4,AT$4,$CB40:$JS40)</f>
        <v/>
      </c>
      <c r="AU40" s="55">
        <f>SUMIF($CB$4:$JS$4,AU$4,$CB40:$JS40)</f>
        <v/>
      </c>
      <c r="AV40" s="55">
        <f>SUMIF($CB$4:$JS$4,AV$4,$CB40:$JS40)</f>
        <v/>
      </c>
      <c r="AW40" s="55">
        <f>SUMIF($CB$4:$JS$4,AW$4,$CB40:$JS40)</f>
        <v/>
      </c>
      <c r="AX40" s="55">
        <f>SUMIF($CB$4:$JS$4,AX$4,$CB40:$JS40)</f>
        <v/>
      </c>
      <c r="AY40" s="55">
        <f>SUMIF($CB$4:$JS$4,AY$4,$CB40:$JS40)</f>
        <v/>
      </c>
      <c r="AZ40" s="55">
        <f>SUMIF($CB$4:$JS$4,AZ$4,$CB40:$JS40)</f>
        <v/>
      </c>
      <c r="BA40" s="55">
        <f>SUMIF($CB$4:$JS$4,BA$4,$CB40:$JS40)</f>
        <v/>
      </c>
      <c r="BB40" s="55">
        <f>SUMIF($CB$4:$JS$4,BB$4,$CB40:$JS40)</f>
        <v/>
      </c>
      <c r="BC40" s="55">
        <f>SUMIF($CB$4:$JS$4,BC$4,$CB40:$JS40)</f>
        <v/>
      </c>
      <c r="BD40" s="55">
        <f>SUMIF($CB$4:$JS$4,BD$4,$CB40:$JS40)</f>
        <v/>
      </c>
      <c r="BE40" s="55">
        <f>SUMIF($CB$4:$JS$4,BE$4,$CB40:$JS40)</f>
        <v/>
      </c>
      <c r="BF40" s="55">
        <f>SUMIF($CB$4:$JS$4,BF$4,$CB40:$JS40)</f>
        <v/>
      </c>
      <c r="BG40" s="55">
        <f>SUMIF($CB$4:$JS$4,BG$4,$CB40:$JS40)</f>
        <v/>
      </c>
      <c r="BH40" s="55">
        <f>SUMIF($CB$4:$JS$4,BH$4,$CB40:$JS40)</f>
        <v/>
      </c>
      <c r="BI40" s="55">
        <f>SUMIF($CB$4:$JS$4,BI$4,$CB40:$JS40)</f>
        <v/>
      </c>
      <c r="BJ40" s="55">
        <f>SUMIF($CB$4:$JS$4,BJ$4,$CB40:$JS40)</f>
        <v/>
      </c>
      <c r="BK40" s="55">
        <f>SUMIF($CB$4:$JS$4,BK$4,$CB40:$JS40)</f>
        <v/>
      </c>
      <c r="BL40" s="55">
        <f>SUMIF($CB$4:$JS$4,BL$4,$CB40:$JS40)</f>
        <v/>
      </c>
      <c r="BM40" s="55">
        <f>SUMIF($CB$4:$JS$4,BM$4,$CB40:$JS40)</f>
        <v/>
      </c>
      <c r="BN40" s="55">
        <f>SUMIF($CB$4:$JS$4,BN$4,$CB40:$JS40)</f>
        <v/>
      </c>
      <c r="BO40" s="55">
        <f>SUMIF($CB$4:$JS$4,BO$4,$CB40:$JS40)</f>
        <v/>
      </c>
      <c r="BP40" s="55">
        <f>SUMIF($CB$4:$JS$4,BP$4,$CB40:$JS40)</f>
        <v/>
      </c>
      <c r="BQ40" s="55">
        <f>SUMIF($CB$4:$JS$4,BQ$4,$CB40:$JS40)</f>
        <v/>
      </c>
      <c r="BR40" s="55">
        <f>SUMIF($CB$4:$JS$4,BR$4,$CB40:$JS40)</f>
        <v/>
      </c>
      <c r="BS40" s="55">
        <f>SUMIF($CB$4:$JS$4,BS$4,$CB40:$JS40)</f>
        <v/>
      </c>
      <c r="BT40" s="55">
        <f>SUMIF($CB$4:$JS$4,BT$4,$CB40:$JS40)</f>
        <v/>
      </c>
      <c r="BU40" s="55">
        <f>SUMIF($CB$4:$JS$4,BU$4,$CB40:$JS40)</f>
        <v/>
      </c>
      <c r="BV40" s="55">
        <f>SUMIF($CB$4:$JS$4,BV$4,$CB40:$JS40)</f>
        <v/>
      </c>
      <c r="BW40" s="55">
        <f>SUMIF($CB$4:$JS$4,BW$4,$CB40:$JS40)</f>
        <v/>
      </c>
      <c r="BX40" s="55">
        <f>SUMIF($CB$4:$JS$4,"&gt;"&amp;'VALOR POR PL'!$P$8,$CB40:$JS40)</f>
        <v/>
      </c>
      <c r="BY40" s="55">
        <f>SUM($CB40:$JS40)</f>
        <v/>
      </c>
      <c r="CB40" s="123">
        <f>IF(OR(CB$4="",$B40=""),0,SUMIF('DADOS BRUTOS'!$A$3:$A$500,$B40,'DADOS BRUTOS'!B$3:B$500)+IF($C40="",0,SUMIF('DADOS BRUTOS'!$A$3:$A$500,$C40,'DADOS BRUTOS'!B$3:B$500)))</f>
        <v/>
      </c>
      <c r="CC40" s="123">
        <f>IF(OR(CC$4="",$B40=""),0,SUMIF('DADOS BRUTOS'!$A$3:$A$500,$B40,'DADOS BRUTOS'!C$3:C$500)+IF($C40="",0,SUMIF('DADOS BRUTOS'!$A$3:$A$500,$C40,'DADOS BRUTOS'!C$3:C$500)))</f>
        <v/>
      </c>
      <c r="CD40" s="123">
        <f>IF(OR(CD$4="",$B40=""),0,SUMIF('DADOS BRUTOS'!$A$3:$A$500,$B40,'DADOS BRUTOS'!D$3:D$500)+IF($C40="",0,SUMIF('DADOS BRUTOS'!$A$3:$A$500,$C40,'DADOS BRUTOS'!D$3:D$500)))</f>
        <v/>
      </c>
      <c r="CE40" s="123">
        <f>IF(OR(CE$4="",$B40=""),0,SUMIF('DADOS BRUTOS'!$A$3:$A$500,$B40,'DADOS BRUTOS'!E$3:E$500)+IF($C40="",0,SUMIF('DADOS BRUTOS'!$A$3:$A$500,$C40,'DADOS BRUTOS'!E$3:E$500)))</f>
        <v/>
      </c>
      <c r="CF40" s="123">
        <f>IF(OR(CF$4="",$B40=""),0,SUMIF('DADOS BRUTOS'!$A$3:$A$500,$B40,'DADOS BRUTOS'!F$3:F$500)+IF($C40="",0,SUMIF('DADOS BRUTOS'!$A$3:$A$500,$C40,'DADOS BRUTOS'!F$3:F$500)))</f>
        <v/>
      </c>
      <c r="CG40" s="123">
        <f>IF(OR(CG$4="",$B40=""),0,SUMIF('DADOS BRUTOS'!$A$3:$A$500,$B40,'DADOS BRUTOS'!G$3:G$500)+IF($C40="",0,SUMIF('DADOS BRUTOS'!$A$3:$A$500,$C40,'DADOS BRUTOS'!G$3:G$500)))</f>
        <v/>
      </c>
      <c r="CH40" s="123">
        <f>IF(OR(CH$4="",$B40=""),0,SUMIF('DADOS BRUTOS'!$A$3:$A$500,$B40,'DADOS BRUTOS'!H$3:H$500)+IF($C40="",0,SUMIF('DADOS BRUTOS'!$A$3:$A$500,$C40,'DADOS BRUTOS'!H$3:H$500)))</f>
        <v/>
      </c>
      <c r="CI40" s="123">
        <f>IF(OR(CI$4="",$B40=""),0,SUMIF('DADOS BRUTOS'!$A$3:$A$500,$B40,'DADOS BRUTOS'!I$3:I$500)+IF($C40="",0,SUMIF('DADOS BRUTOS'!$A$3:$A$500,$C40,'DADOS BRUTOS'!I$3:I$500)))</f>
        <v/>
      </c>
      <c r="CJ40" s="123">
        <f>IF(OR(CJ$4="",$B40=""),0,SUMIF('DADOS BRUTOS'!$A$3:$A$500,$B40,'DADOS BRUTOS'!J$3:J$500)+IF($C40="",0,SUMIF('DADOS BRUTOS'!$A$3:$A$500,$C40,'DADOS BRUTOS'!J$3:J$500)))</f>
        <v/>
      </c>
      <c r="CK40" s="123">
        <f>IF(OR(CK$4="",$B40=""),0,SUMIF('DADOS BRUTOS'!$A$3:$A$500,$B40,'DADOS BRUTOS'!K$3:K$500)+IF($C40="",0,SUMIF('DADOS BRUTOS'!$A$3:$A$500,$C40,'DADOS BRUTOS'!K$3:K$500)))</f>
        <v/>
      </c>
      <c r="CL40" s="123">
        <f>IF(OR(CL$4="",$B40=""),0,SUMIF('DADOS BRUTOS'!$A$3:$A$500,$B40,'DADOS BRUTOS'!L$3:L$500)+IF($C40="",0,SUMIF('DADOS BRUTOS'!$A$3:$A$500,$C40,'DADOS BRUTOS'!L$3:L$500)))</f>
        <v/>
      </c>
      <c r="CM40" s="123">
        <f>IF(OR(CM$4="",$B40=""),0,SUMIF('DADOS BRUTOS'!$A$3:$A$500,$B40,'DADOS BRUTOS'!M$3:M$500)+IF($C40="",0,SUMIF('DADOS BRUTOS'!$A$3:$A$500,$C40,'DADOS BRUTOS'!M$3:M$500)))</f>
        <v/>
      </c>
      <c r="CN40" s="123">
        <f>IF(OR(CN$4="",$B40=""),0,SUMIF('DADOS BRUTOS'!$A$3:$A$500,$B40,'DADOS BRUTOS'!N$3:N$500)+IF($C40="",0,SUMIF('DADOS BRUTOS'!$A$3:$A$500,$C40,'DADOS BRUTOS'!N$3:N$500)))</f>
        <v/>
      </c>
      <c r="CO40" s="123">
        <f>IF(OR(CO$4="",$B40=""),0,SUMIF('DADOS BRUTOS'!$A$3:$A$500,$B40,'DADOS BRUTOS'!O$3:O$500)+IF($C40="",0,SUMIF('DADOS BRUTOS'!$A$3:$A$500,$C40,'DADOS BRUTOS'!O$3:O$500)))</f>
        <v/>
      </c>
      <c r="CP40" s="123">
        <f>IF(OR(CP$4="",$B40=""),0,SUMIF('DADOS BRUTOS'!$A$3:$A$500,$B40,'DADOS BRUTOS'!P$3:P$500)+IF($C40="",0,SUMIF('DADOS BRUTOS'!$A$3:$A$500,$C40,'DADOS BRUTOS'!P$3:P$500)))</f>
        <v/>
      </c>
      <c r="CQ40" s="123">
        <f>IF(OR(CQ$4="",$B40=""),0,SUMIF('DADOS BRUTOS'!$A$3:$A$500,$B40,'DADOS BRUTOS'!Q$3:Q$500)+IF($C40="",0,SUMIF('DADOS BRUTOS'!$A$3:$A$500,$C40,'DADOS BRUTOS'!Q$3:Q$500)))</f>
        <v/>
      </c>
      <c r="CR40" s="123">
        <f>IF(OR(CR$4="",$B40=""),0,SUMIF('DADOS BRUTOS'!$A$3:$A$500,$B40,'DADOS BRUTOS'!R$3:R$500)+IF($C40="",0,SUMIF('DADOS BRUTOS'!$A$3:$A$500,$C40,'DADOS BRUTOS'!R$3:R$500)))</f>
        <v/>
      </c>
      <c r="CS40" s="123">
        <f>IF(OR(CS$4="",$B40=""),0,SUMIF('DADOS BRUTOS'!$A$3:$A$500,$B40,'DADOS BRUTOS'!S$3:S$500)+IF($C40="",0,SUMIF('DADOS BRUTOS'!$A$3:$A$500,$C40,'DADOS BRUTOS'!S$3:S$500)))</f>
        <v/>
      </c>
      <c r="CT40" s="123">
        <f>IF(OR(CT$4="",$B40=""),0,SUMIF('DADOS BRUTOS'!$A$3:$A$500,$B40,'DADOS BRUTOS'!T$3:T$500)+IF($C40="",0,SUMIF('DADOS BRUTOS'!$A$3:$A$500,$C40,'DADOS BRUTOS'!T$3:T$500)))</f>
        <v/>
      </c>
      <c r="CU40" s="123">
        <f>IF(OR(CU$4="",$B40=""),0,SUMIF('DADOS BRUTOS'!$A$3:$A$500,$B40,'DADOS BRUTOS'!U$3:U$500)+IF($C40="",0,SUMIF('DADOS BRUTOS'!$A$3:$A$500,$C40,'DADOS BRUTOS'!U$3:U$500)))</f>
        <v/>
      </c>
      <c r="CV40" s="123">
        <f>IF(OR(CV$4="",$B40=""),0,SUMIF('DADOS BRUTOS'!$A$3:$A$500,$B40,'DADOS BRUTOS'!V$3:V$500)+IF($C40="",0,SUMIF('DADOS BRUTOS'!$A$3:$A$500,$C40,'DADOS BRUTOS'!V$3:V$500)))</f>
        <v/>
      </c>
      <c r="CW40" s="123">
        <f>IF(OR(CW$4="",$B40=""),0,SUMIF('DADOS BRUTOS'!$A$3:$A$500,$B40,'DADOS BRUTOS'!W$3:W$500)+IF($C40="",0,SUMIF('DADOS BRUTOS'!$A$3:$A$500,$C40,'DADOS BRUTOS'!W$3:W$500)))</f>
        <v/>
      </c>
      <c r="CX40" s="123">
        <f>IF(OR(CX$4="",$B40=""),0,SUMIF('DADOS BRUTOS'!$A$3:$A$500,$B40,'DADOS BRUTOS'!X$3:X$500)+IF($C40="",0,SUMIF('DADOS BRUTOS'!$A$3:$A$500,$C40,'DADOS BRUTOS'!X$3:X$500)))</f>
        <v/>
      </c>
      <c r="CY40" s="123">
        <f>IF(OR(CY$4="",$B40=""),0,SUMIF('DADOS BRUTOS'!$A$3:$A$500,$B40,'DADOS BRUTOS'!Y$3:Y$500)+IF($C40="",0,SUMIF('DADOS BRUTOS'!$A$3:$A$500,$C40,'DADOS BRUTOS'!Y$3:Y$500)))</f>
        <v/>
      </c>
      <c r="CZ40" s="123">
        <f>IF(OR(CZ$4="",$B40=""),0,SUMIF('DADOS BRUTOS'!$A$3:$A$500,$B40,'DADOS BRUTOS'!Z$3:Z$500)+IF($C40="",0,SUMIF('DADOS BRUTOS'!$A$3:$A$500,$C40,'DADOS BRUTOS'!Z$3:Z$500)))</f>
        <v/>
      </c>
      <c r="DA40" s="123">
        <f>IF(OR(DA$4="",$B40=""),0,SUMIF('DADOS BRUTOS'!$A$3:$A$500,$B40,'DADOS BRUTOS'!AA$3:AA$500)+IF($C40="",0,SUMIF('DADOS BRUTOS'!$A$3:$A$500,$C40,'DADOS BRUTOS'!AA$3:AA$500)))</f>
        <v/>
      </c>
      <c r="DB40" s="123">
        <f>IF(OR(DB$4="",$B40=""),0,SUMIF('DADOS BRUTOS'!$A$3:$A$500,$B40,'DADOS BRUTOS'!AB$3:AB$500)+IF($C40="",0,SUMIF('DADOS BRUTOS'!$A$3:$A$500,$C40,'DADOS BRUTOS'!AB$3:AB$500)))</f>
        <v/>
      </c>
      <c r="DC40" s="123">
        <f>IF(OR(DC$4="",$B40=""),0,SUMIF('DADOS BRUTOS'!$A$3:$A$500,$B40,'DADOS BRUTOS'!AC$3:AC$500)+IF($C40="",0,SUMIF('DADOS BRUTOS'!$A$3:$A$500,$C40,'DADOS BRUTOS'!AC$3:AC$500)))</f>
        <v/>
      </c>
      <c r="DD40" s="123">
        <f>IF(OR(DD$4="",$B40=""),0,SUMIF('DADOS BRUTOS'!$A$3:$A$500,$B40,'DADOS BRUTOS'!AD$3:AD$500)+IF($C40="",0,SUMIF('DADOS BRUTOS'!$A$3:$A$500,$C40,'DADOS BRUTOS'!AD$3:AD$500)))</f>
        <v/>
      </c>
      <c r="DE40" s="123">
        <f>IF(OR(DE$4="",$B40=""),0,SUMIF('DADOS BRUTOS'!$A$3:$A$500,$B40,'DADOS BRUTOS'!AE$3:AE$500)+IF($C40="",0,SUMIF('DADOS BRUTOS'!$A$3:$A$500,$C40,'DADOS BRUTOS'!AE$3:AE$500)))</f>
        <v/>
      </c>
      <c r="DF40" s="123">
        <f>IF(OR(DF$4="",$B40=""),0,SUMIF('DADOS BRUTOS'!$A$3:$A$500,$B40,'DADOS BRUTOS'!AF$3:AF$500)+IF($C40="",0,SUMIF('DADOS BRUTOS'!$A$3:$A$500,$C40,'DADOS BRUTOS'!AF$3:AF$500)))</f>
        <v/>
      </c>
      <c r="DG40" s="123">
        <f>IF(OR(DG$4="",$B40=""),0,SUMIF('DADOS BRUTOS'!$A$3:$A$500,$B40,'DADOS BRUTOS'!AG$3:AG$500)+IF($C40="",0,SUMIF('DADOS BRUTOS'!$A$3:$A$500,$C40,'DADOS BRUTOS'!AG$3:AG$500)))</f>
        <v/>
      </c>
      <c r="DH40" s="123">
        <f>IF(OR(DH$4="",$B40=""),0,SUMIF('DADOS BRUTOS'!$A$3:$A$500,$B40,'DADOS BRUTOS'!AH$3:AH$500)+IF($C40="",0,SUMIF('DADOS BRUTOS'!$A$3:$A$500,$C40,'DADOS BRUTOS'!AH$3:AH$500)))</f>
        <v/>
      </c>
      <c r="DI40" s="123">
        <f>IF(OR(DI$4="",$B40=""),0,SUMIF('DADOS BRUTOS'!$A$3:$A$500,$B40,'DADOS BRUTOS'!AI$3:AI$500)+IF($C40="",0,SUMIF('DADOS BRUTOS'!$A$3:$A$500,$C40,'DADOS BRUTOS'!AI$3:AI$500)))</f>
        <v/>
      </c>
      <c r="DJ40" s="123">
        <f>IF(OR(DJ$4="",$B40=""),0,SUMIF('DADOS BRUTOS'!$A$3:$A$500,$B40,'DADOS BRUTOS'!AJ$3:AJ$500)+IF($C40="",0,SUMIF('DADOS BRUTOS'!$A$3:$A$500,$C40,'DADOS BRUTOS'!AJ$3:AJ$500)))</f>
        <v/>
      </c>
      <c r="DK40" s="123">
        <f>IF(OR(DK$4="",$B40=""),0,SUMIF('DADOS BRUTOS'!$A$3:$A$500,$B40,'DADOS BRUTOS'!AK$3:AK$500)+IF($C40="",0,SUMIF('DADOS BRUTOS'!$A$3:$A$500,$C40,'DADOS BRUTOS'!AK$3:AK$500)))</f>
        <v/>
      </c>
      <c r="DL40" s="123">
        <f>IF(OR(DL$4="",$B40=""),0,SUMIF('DADOS BRUTOS'!$A$3:$A$500,$B40,'DADOS BRUTOS'!AL$3:AL$500)+IF($C40="",0,SUMIF('DADOS BRUTOS'!$A$3:$A$500,$C40,'DADOS BRUTOS'!AL$3:AL$500)))</f>
        <v/>
      </c>
      <c r="DM40" s="123">
        <f>IF(OR(DM$4="",$B40=""),0,SUMIF('DADOS BRUTOS'!$A$3:$A$500,$B40,'DADOS BRUTOS'!AM$3:AM$500)+IF($C40="",0,SUMIF('DADOS BRUTOS'!$A$3:$A$500,$C40,'DADOS BRUTOS'!AM$3:AM$500)))</f>
        <v/>
      </c>
      <c r="DN40" s="123">
        <f>IF(OR(DN$4="",$B40=""),0,SUMIF('DADOS BRUTOS'!$A$3:$A$500,$B40,'DADOS BRUTOS'!AN$3:AN$500)+IF($C40="",0,SUMIF('DADOS BRUTOS'!$A$3:$A$500,$C40,'DADOS BRUTOS'!AN$3:AN$500)))</f>
        <v/>
      </c>
      <c r="DO40" s="123">
        <f>IF(OR(DO$4="",$B40=""),0,SUMIF('DADOS BRUTOS'!$A$3:$A$500,$B40,'DADOS BRUTOS'!AO$3:AO$500)+IF($C40="",0,SUMIF('DADOS BRUTOS'!$A$3:$A$500,$C40,'DADOS BRUTOS'!AO$3:AO$500)))</f>
        <v/>
      </c>
      <c r="DP40" s="123">
        <f>IF(OR(DP$4="",$B40=""),0,SUMIF('DADOS BRUTOS'!$A$3:$A$500,$B40,'DADOS BRUTOS'!AP$3:AP$500)+IF($C40="",0,SUMIF('DADOS BRUTOS'!$A$3:$A$500,$C40,'DADOS BRUTOS'!AP$3:AP$500)))</f>
        <v/>
      </c>
      <c r="DQ40" s="123">
        <f>IF(OR(DQ$4="",$B40=""),0,SUMIF('DADOS BRUTOS'!$A$3:$A$500,$B40,'DADOS BRUTOS'!AQ$3:AQ$500)+IF($C40="",0,SUMIF('DADOS BRUTOS'!$A$3:$A$500,$C40,'DADOS BRUTOS'!AQ$3:AQ$500)))</f>
        <v/>
      </c>
      <c r="DR40" s="123">
        <f>IF(OR(DR$4="",$B40=""),0,SUMIF('DADOS BRUTOS'!$A$3:$A$500,$B40,'DADOS BRUTOS'!AR$3:AR$500)+IF($C40="",0,SUMIF('DADOS BRUTOS'!$A$3:$A$500,$C40,'DADOS BRUTOS'!AR$3:AR$500)))</f>
        <v/>
      </c>
      <c r="DS40" s="123">
        <f>IF(OR(DS$4="",$B40=""),0,SUMIF('DADOS BRUTOS'!$A$3:$A$500,$B40,'DADOS BRUTOS'!AS$3:AS$500)+IF($C40="",0,SUMIF('DADOS BRUTOS'!$A$3:$A$500,$C40,'DADOS BRUTOS'!AS$3:AS$500)))</f>
        <v/>
      </c>
      <c r="DT40" s="123">
        <f>IF(OR(DT$4="",$B40=""),0,SUMIF('DADOS BRUTOS'!$A$3:$A$500,$B40,'DADOS BRUTOS'!AT$3:AT$500)+IF($C40="",0,SUMIF('DADOS BRUTOS'!$A$3:$A$500,$C40,'DADOS BRUTOS'!AT$3:AT$500)))</f>
        <v/>
      </c>
      <c r="DU40" s="123">
        <f>IF(OR(DU$4="",$B40=""),0,SUMIF('DADOS BRUTOS'!$A$3:$A$500,$B40,'DADOS BRUTOS'!AU$3:AU$500)+IF($C40="",0,SUMIF('DADOS BRUTOS'!$A$3:$A$500,$C40,'DADOS BRUTOS'!AU$3:AU$500)))</f>
        <v/>
      </c>
      <c r="DV40" s="123">
        <f>IF(OR(DV$4="",$B40=""),0,SUMIF('DADOS BRUTOS'!$A$3:$A$500,$B40,'DADOS BRUTOS'!AV$3:AV$500)+IF($C40="",0,SUMIF('DADOS BRUTOS'!$A$3:$A$500,$C40,'DADOS BRUTOS'!AV$3:AV$500)))</f>
        <v/>
      </c>
      <c r="DW40" s="123">
        <f>IF(OR(DW$4="",$B40=""),0,SUMIF('DADOS BRUTOS'!$A$3:$A$500,$B40,'DADOS BRUTOS'!AW$3:AW$500)+IF($C40="",0,SUMIF('DADOS BRUTOS'!$A$3:$A$500,$C40,'DADOS BRUTOS'!AW$3:AW$500)))</f>
        <v/>
      </c>
      <c r="DX40" s="123">
        <f>IF(OR(DX$4="",$B40=""),0,SUMIF('DADOS BRUTOS'!$A$3:$A$500,$B40,'DADOS BRUTOS'!AX$3:AX$500)+IF($C40="",0,SUMIF('DADOS BRUTOS'!$A$3:$A$500,$C40,'DADOS BRUTOS'!AX$3:AX$500)))</f>
        <v/>
      </c>
      <c r="DY40" s="123">
        <f>IF(OR(DY$4="",$B40=""),0,SUMIF('DADOS BRUTOS'!$A$3:$A$500,$B40,'DADOS BRUTOS'!AY$3:AY$500)+IF($C40="",0,SUMIF('DADOS BRUTOS'!$A$3:$A$500,$C40,'DADOS BRUTOS'!AY$3:AY$500)))</f>
        <v/>
      </c>
      <c r="DZ40" s="123">
        <f>IF(OR(DZ$4="",$B40=""),0,SUMIF('DADOS BRUTOS'!$A$3:$A$500,$B40,'DADOS BRUTOS'!AZ$3:AZ$500)+IF($C40="",0,SUMIF('DADOS BRUTOS'!$A$3:$A$500,$C40,'DADOS BRUTOS'!AZ$3:AZ$500)))</f>
        <v/>
      </c>
      <c r="EA40" s="123">
        <f>IF(OR(EA$4="",$B40=""),0,SUMIF('DADOS BRUTOS'!$A$3:$A$500,$B40,'DADOS BRUTOS'!BA$3:BA$500)+IF($C40="",0,SUMIF('DADOS BRUTOS'!$A$3:$A$500,$C40,'DADOS BRUTOS'!BA$3:BA$500)))</f>
        <v/>
      </c>
      <c r="EB40" s="123">
        <f>IF(OR(EB$4="",$B40=""),0,SUMIF('DADOS BRUTOS'!$A$3:$A$500,$B40,'DADOS BRUTOS'!BB$3:BB$500)+IF($C40="",0,SUMIF('DADOS BRUTOS'!$A$3:$A$500,$C40,'DADOS BRUTOS'!BB$3:BB$500)))</f>
        <v/>
      </c>
      <c r="EC40" s="123">
        <f>IF(OR(EC$4="",$B40=""),0,SUMIF('DADOS BRUTOS'!$A$3:$A$500,$B40,'DADOS BRUTOS'!BC$3:BC$500)+IF($C40="",0,SUMIF('DADOS BRUTOS'!$A$3:$A$500,$C40,'DADOS BRUTOS'!BC$3:BC$500)))</f>
        <v/>
      </c>
      <c r="ED40" s="123">
        <f>IF(OR(ED$4="",$B40=""),0,SUMIF('DADOS BRUTOS'!$A$3:$A$500,$B40,'DADOS BRUTOS'!BD$3:BD$500)+IF($C40="",0,SUMIF('DADOS BRUTOS'!$A$3:$A$500,$C40,'DADOS BRUTOS'!BD$3:BD$500)))</f>
        <v/>
      </c>
      <c r="EE40" s="123">
        <f>IF(OR(EE$4="",$B40=""),0,SUMIF('DADOS BRUTOS'!$A$3:$A$500,$B40,'DADOS BRUTOS'!BE$3:BE$500)+IF($C40="",0,SUMIF('DADOS BRUTOS'!$A$3:$A$500,$C40,'DADOS BRUTOS'!BE$3:BE$500)))</f>
        <v/>
      </c>
      <c r="EF40" s="123">
        <f>IF(OR(EF$4="",$B40=""),0,SUMIF('DADOS BRUTOS'!$A$3:$A$500,$B40,'DADOS BRUTOS'!BF$3:BF$500)+IF($C40="",0,SUMIF('DADOS BRUTOS'!$A$3:$A$500,$C40,'DADOS BRUTOS'!BF$3:BF$500)))</f>
        <v/>
      </c>
      <c r="EG40" s="123">
        <f>IF(OR(EG$4="",$B40=""),0,SUMIF('DADOS BRUTOS'!$A$3:$A$500,$B40,'DADOS BRUTOS'!BG$3:BG$500)+IF($C40="",0,SUMIF('DADOS BRUTOS'!$A$3:$A$500,$C40,'DADOS BRUTOS'!BG$3:BG$500)))</f>
        <v/>
      </c>
      <c r="EH40" s="123">
        <f>IF(OR(EH$4="",$B40=""),0,SUMIF('DADOS BRUTOS'!$A$3:$A$500,$B40,'DADOS BRUTOS'!BH$3:BH$500)+IF($C40="",0,SUMIF('DADOS BRUTOS'!$A$3:$A$500,$C40,'DADOS BRUTOS'!BH$3:BH$500)))</f>
        <v/>
      </c>
      <c r="EI40" s="123">
        <f>IF(OR(EI$4="",$B40=""),0,SUMIF('DADOS BRUTOS'!$A$3:$A$500,$B40,'DADOS BRUTOS'!BI$3:BI$500)+IF($C40="",0,SUMIF('DADOS BRUTOS'!$A$3:$A$500,$C40,'DADOS BRUTOS'!BI$3:BI$500)))</f>
        <v/>
      </c>
      <c r="EJ40" s="123">
        <f>IF(OR(EJ$4="",$B40=""),0,SUMIF('DADOS BRUTOS'!$A$3:$A$500,$B40,'DADOS BRUTOS'!BJ$3:BJ$500)+IF($C40="",0,SUMIF('DADOS BRUTOS'!$A$3:$A$500,$C40,'DADOS BRUTOS'!BJ$3:BJ$500)))</f>
        <v/>
      </c>
      <c r="EK40" s="123">
        <f>IF(OR(EK$4="",$B40=""),0,SUMIF('DADOS BRUTOS'!$A$3:$A$500,$B40,'DADOS BRUTOS'!BK$3:BK$500)+IF($C40="",0,SUMIF('DADOS BRUTOS'!$A$3:$A$500,$C40,'DADOS BRUTOS'!BK$3:BK$500)))</f>
        <v/>
      </c>
      <c r="EL40" s="123">
        <f>IF(OR(EL$4="",$B40=""),0,SUMIF('DADOS BRUTOS'!$A$3:$A$500,$B40,'DADOS BRUTOS'!BL$3:BL$500)+IF($C40="",0,SUMIF('DADOS BRUTOS'!$A$3:$A$500,$C40,'DADOS BRUTOS'!BL$3:BL$500)))</f>
        <v/>
      </c>
      <c r="EM40" s="123">
        <f>IF(OR(EM$4="",$B40=""),0,SUMIF('DADOS BRUTOS'!$A$3:$A$500,$B40,'DADOS BRUTOS'!BM$3:BM$500)+IF($C40="",0,SUMIF('DADOS BRUTOS'!$A$3:$A$500,$C40,'DADOS BRUTOS'!BM$3:BM$500)))</f>
        <v/>
      </c>
      <c r="EN40" s="123">
        <f>IF(OR(EN$4="",$B40=""),0,SUMIF('DADOS BRUTOS'!$A$3:$A$500,$B40,'DADOS BRUTOS'!BN$3:BN$500)+IF($C40="",0,SUMIF('DADOS BRUTOS'!$A$3:$A$500,$C40,'DADOS BRUTOS'!BN$3:BN$500)))</f>
        <v/>
      </c>
      <c r="EO40" s="123">
        <f>IF(OR(EO$4="",$B40=""),0,SUMIF('DADOS BRUTOS'!$A$3:$A$500,$B40,'DADOS BRUTOS'!BO$3:BO$500)+IF($C40="",0,SUMIF('DADOS BRUTOS'!$A$3:$A$500,$C40,'DADOS BRUTOS'!BO$3:BO$500)))</f>
        <v/>
      </c>
      <c r="EP40" s="123">
        <f>IF(OR(EP$4="",$B40=""),0,SUMIF('DADOS BRUTOS'!$A$3:$A$500,$B40,'DADOS BRUTOS'!BP$3:BP$500)+IF($C40="",0,SUMIF('DADOS BRUTOS'!$A$3:$A$500,$C40,'DADOS BRUTOS'!BP$3:BP$500)))</f>
        <v/>
      </c>
      <c r="EQ40" s="123">
        <f>IF(OR(EQ$4="",$B40=""),0,SUMIF('DADOS BRUTOS'!$A$3:$A$500,$B40,'DADOS BRUTOS'!BQ$3:BQ$500)+IF($C40="",0,SUMIF('DADOS BRUTOS'!$A$3:$A$500,$C40,'DADOS BRUTOS'!BQ$3:BQ$500)))</f>
        <v/>
      </c>
      <c r="ER40" s="123">
        <f>IF(OR(ER$4="",$B40=""),0,SUMIF('DADOS BRUTOS'!$A$3:$A$500,$B40,'DADOS BRUTOS'!BR$3:BR$500)+IF($C40="",0,SUMIF('DADOS BRUTOS'!$A$3:$A$500,$C40,'DADOS BRUTOS'!BR$3:BR$500)))</f>
        <v/>
      </c>
      <c r="ES40" s="123">
        <f>IF(OR(ES$4="",$B40=""),0,SUMIF('DADOS BRUTOS'!$A$3:$A$500,$B40,'DADOS BRUTOS'!BS$3:BS$500)+IF($C40="",0,SUMIF('DADOS BRUTOS'!$A$3:$A$500,$C40,'DADOS BRUTOS'!BS$3:BS$500)))</f>
        <v/>
      </c>
      <c r="ET40" s="123">
        <f>IF(OR(ET$4="",$B40=""),0,SUMIF('DADOS BRUTOS'!$A$3:$A$500,$B40,'DADOS BRUTOS'!BT$3:BT$500)+IF($C40="",0,SUMIF('DADOS BRUTOS'!$A$3:$A$500,$C40,'DADOS BRUTOS'!BT$3:BT$500)))</f>
        <v/>
      </c>
      <c r="EU40" s="123">
        <f>IF(OR(EU$4="",$B40=""),0,SUMIF('DADOS BRUTOS'!$A$3:$A$500,$B40,'DADOS BRUTOS'!BU$3:BU$500)+IF($C40="",0,SUMIF('DADOS BRUTOS'!$A$3:$A$500,$C40,'DADOS BRUTOS'!BU$3:BU$500)))</f>
        <v/>
      </c>
      <c r="EV40" s="123">
        <f>IF(OR(EV$4="",$B40=""),0,SUMIF('DADOS BRUTOS'!$A$3:$A$500,$B40,'DADOS BRUTOS'!BV$3:BV$500)+IF($C40="",0,SUMIF('DADOS BRUTOS'!$A$3:$A$500,$C40,'DADOS BRUTOS'!BV$3:BV$500)))</f>
        <v/>
      </c>
      <c r="EW40" s="123">
        <f>IF(OR(EW$4="",$B40=""),0,SUMIF('DADOS BRUTOS'!$A$3:$A$500,$B40,'DADOS BRUTOS'!BW$3:BW$500)+IF($C40="",0,SUMIF('DADOS BRUTOS'!$A$3:$A$500,$C40,'DADOS BRUTOS'!BW$3:BW$500)))</f>
        <v/>
      </c>
      <c r="EX40" s="123">
        <f>IF(OR(EX$4="",$B40=""),0,SUMIF('DADOS BRUTOS'!$A$3:$A$500,$B40,'DADOS BRUTOS'!BX$3:BX$500)+IF($C40="",0,SUMIF('DADOS BRUTOS'!$A$3:$A$500,$C40,'DADOS BRUTOS'!BX$3:BX$500)))</f>
        <v/>
      </c>
      <c r="EY40" s="123">
        <f>IF(OR(EY$4="",$B40=""),0,SUMIF('DADOS BRUTOS'!$A$3:$A$500,$B40,'DADOS BRUTOS'!BY$3:BY$500)+IF($C40="",0,SUMIF('DADOS BRUTOS'!$A$3:$A$500,$C40,'DADOS BRUTOS'!BY$3:BY$500)))</f>
        <v/>
      </c>
      <c r="EZ40" s="123">
        <f>IF(OR(EZ$4="",$B40=""),0,SUMIF('DADOS BRUTOS'!$A$3:$A$500,$B40,'DADOS BRUTOS'!BZ$3:BZ$500)+IF($C40="",0,SUMIF('DADOS BRUTOS'!$A$3:$A$500,$C40,'DADOS BRUTOS'!BZ$3:BZ$500)))</f>
        <v/>
      </c>
      <c r="FA40" s="123">
        <f>IF(OR(FA$4="",$B40=""),0,SUMIF('DADOS BRUTOS'!$A$3:$A$500,$B40,'DADOS BRUTOS'!CA$3:CA$500)+IF($C40="",0,SUMIF('DADOS BRUTOS'!$A$3:$A$500,$C40,'DADOS BRUTOS'!CA$3:CA$500)))</f>
        <v/>
      </c>
      <c r="FB40" s="123">
        <f>IF(OR(FB$4="",$B40=""),0,SUMIF('DADOS BRUTOS'!$A$3:$A$500,$B40,'DADOS BRUTOS'!CB$3:CB$500)+IF($C40="",0,SUMIF('DADOS BRUTOS'!$A$3:$A$500,$C40,'DADOS BRUTOS'!CB$3:CB$500)))</f>
        <v/>
      </c>
      <c r="FC40" s="123">
        <f>IF(OR(FC$4="",$B40=""),0,SUMIF('DADOS BRUTOS'!$A$3:$A$500,$B40,'DADOS BRUTOS'!CC$3:CC$500)+IF($C40="",0,SUMIF('DADOS BRUTOS'!$A$3:$A$500,$C40,'DADOS BRUTOS'!CC$3:CC$500)))</f>
        <v/>
      </c>
      <c r="FD40" s="123">
        <f>IF(OR(FD$4="",$B40=""),0,SUMIF('DADOS BRUTOS'!$A$3:$A$500,$B40,'DADOS BRUTOS'!CD$3:CD$500)+IF($C40="",0,SUMIF('DADOS BRUTOS'!$A$3:$A$500,$C40,'DADOS BRUTOS'!CD$3:CD$500)))</f>
        <v/>
      </c>
      <c r="FE40" s="123">
        <f>IF(OR(FE$4="",$B40=""),0,SUMIF('DADOS BRUTOS'!$A$3:$A$500,$B40,'DADOS BRUTOS'!CE$3:CE$500)+IF($C40="",0,SUMIF('DADOS BRUTOS'!$A$3:$A$500,$C40,'DADOS BRUTOS'!CE$3:CE$500)))</f>
        <v/>
      </c>
      <c r="FF40" s="123">
        <f>IF(OR(FF$4="",$B40=""),0,SUMIF('DADOS BRUTOS'!$A$3:$A$500,$B40,'DADOS BRUTOS'!CF$3:CF$500)+IF($C40="",0,SUMIF('DADOS BRUTOS'!$A$3:$A$500,$C40,'DADOS BRUTOS'!CF$3:CF$500)))</f>
        <v/>
      </c>
      <c r="FG40" s="123">
        <f>IF(OR(FG$4="",$B40=""),0,SUMIF('DADOS BRUTOS'!$A$3:$A$500,$B40,'DADOS BRUTOS'!CG$3:CG$500)+IF($C40="",0,SUMIF('DADOS BRUTOS'!$A$3:$A$500,$C40,'DADOS BRUTOS'!CG$3:CG$500)))</f>
        <v/>
      </c>
      <c r="FH40" s="123">
        <f>IF(OR(FH$4="",$B40=""),0,SUMIF('DADOS BRUTOS'!$A$3:$A$500,$B40,'DADOS BRUTOS'!CH$3:CH$500)+IF($C40="",0,SUMIF('DADOS BRUTOS'!$A$3:$A$500,$C40,'DADOS BRUTOS'!CH$3:CH$500)))</f>
        <v/>
      </c>
      <c r="FI40" s="123">
        <f>IF(OR(FI$4="",$B40=""),0,SUMIF('DADOS BRUTOS'!$A$3:$A$500,$B40,'DADOS BRUTOS'!CI$3:CI$500)+IF($C40="",0,SUMIF('DADOS BRUTOS'!$A$3:$A$500,$C40,'DADOS BRUTOS'!CI$3:CI$500)))</f>
        <v/>
      </c>
      <c r="FJ40" s="123">
        <f>IF(OR(FJ$4="",$B40=""),0,SUMIF('DADOS BRUTOS'!$A$3:$A$500,$B40,'DADOS BRUTOS'!CJ$3:CJ$500)+IF($C40="",0,SUMIF('DADOS BRUTOS'!$A$3:$A$500,$C40,'DADOS BRUTOS'!CJ$3:CJ$500)))</f>
        <v/>
      </c>
      <c r="FK40" s="123">
        <f>IF(OR(FK$4="",$B40=""),0,SUMIF('DADOS BRUTOS'!$A$3:$A$500,$B40,'DADOS BRUTOS'!CK$3:CK$500)+IF($C40="",0,SUMIF('DADOS BRUTOS'!$A$3:$A$500,$C40,'DADOS BRUTOS'!CK$3:CK$500)))</f>
        <v/>
      </c>
      <c r="FL40" s="123">
        <f>IF(OR(FL$4="",$B40=""),0,SUMIF('DADOS BRUTOS'!$A$3:$A$500,$B40,'DADOS BRUTOS'!CL$3:CL$500)+IF($C40="",0,SUMIF('DADOS BRUTOS'!$A$3:$A$500,$C40,'DADOS BRUTOS'!CL$3:CL$500)))</f>
        <v/>
      </c>
      <c r="FM40" s="123">
        <f>IF(OR(FM$4="",$B40=""),0,SUMIF('DADOS BRUTOS'!$A$3:$A$500,$B40,'DADOS BRUTOS'!CM$3:CM$500)+IF($C40="",0,SUMIF('DADOS BRUTOS'!$A$3:$A$500,$C40,'DADOS BRUTOS'!CM$3:CM$500)))</f>
        <v/>
      </c>
      <c r="FN40" s="123">
        <f>IF(OR(FN$4="",$B40=""),0,SUMIF('DADOS BRUTOS'!$A$3:$A$500,$B40,'DADOS BRUTOS'!CN$3:CN$500)+IF($C40="",0,SUMIF('DADOS BRUTOS'!$A$3:$A$500,$C40,'DADOS BRUTOS'!CN$3:CN$500)))</f>
        <v/>
      </c>
      <c r="FO40" s="123">
        <f>IF(OR(FO$4="",$B40=""),0,SUMIF('DADOS BRUTOS'!$A$3:$A$500,$B40,'DADOS BRUTOS'!CO$3:CO$500)+IF($C40="",0,SUMIF('DADOS BRUTOS'!$A$3:$A$500,$C40,'DADOS BRUTOS'!CO$3:CO$500)))</f>
        <v/>
      </c>
      <c r="FP40" s="123">
        <f>IF(OR(FP$4="",$B40=""),0,SUMIF('DADOS BRUTOS'!$A$3:$A$500,$B40,'DADOS BRUTOS'!CP$3:CP$500)+IF($C40="",0,SUMIF('DADOS BRUTOS'!$A$3:$A$500,$C40,'DADOS BRUTOS'!CP$3:CP$500)))</f>
        <v/>
      </c>
      <c r="FQ40" s="123">
        <f>IF(OR(FQ$4="",$B40=""),0,SUMIF('DADOS BRUTOS'!$A$3:$A$500,$B40,'DADOS BRUTOS'!CQ$3:CQ$500)+IF($C40="",0,SUMIF('DADOS BRUTOS'!$A$3:$A$500,$C40,'DADOS BRUTOS'!CQ$3:CQ$500)))</f>
        <v/>
      </c>
      <c r="FR40" s="123">
        <f>IF(OR(FR$4="",$B40=""),0,SUMIF('DADOS BRUTOS'!$A$3:$A$500,$B40,'DADOS BRUTOS'!CR$3:CR$500)+IF($C40="",0,SUMIF('DADOS BRUTOS'!$A$3:$A$500,$C40,'DADOS BRUTOS'!CR$3:CR$500)))</f>
        <v/>
      </c>
      <c r="FS40" s="123">
        <f>IF(OR(FS$4="",$B40=""),0,SUMIF('DADOS BRUTOS'!$A$3:$A$500,$B40,'DADOS BRUTOS'!CS$3:CS$500)+IF($C40="",0,SUMIF('DADOS BRUTOS'!$A$3:$A$500,$C40,'DADOS BRUTOS'!CS$3:CS$500)))</f>
        <v/>
      </c>
      <c r="FT40" s="123">
        <f>IF(OR(FT$4="",$B40=""),0,SUMIF('DADOS BRUTOS'!$A$3:$A$500,$B40,'DADOS BRUTOS'!CT$3:CT$500)+IF($C40="",0,SUMIF('DADOS BRUTOS'!$A$3:$A$500,$C40,'DADOS BRUTOS'!CT$3:CT$500)))</f>
        <v/>
      </c>
      <c r="FU40" s="123">
        <f>IF(OR(FU$4="",$B40=""),0,SUMIF('DADOS BRUTOS'!$A$3:$A$500,$B40,'DADOS BRUTOS'!CU$3:CU$500)+IF($C40="",0,SUMIF('DADOS BRUTOS'!$A$3:$A$500,$C40,'DADOS BRUTOS'!CU$3:CU$500)))</f>
        <v/>
      </c>
      <c r="FV40" s="123">
        <f>IF(OR(FV$4="",$B40=""),0,SUMIF('DADOS BRUTOS'!$A$3:$A$500,$B40,'DADOS BRUTOS'!CV$3:CV$500)+IF($C40="",0,SUMIF('DADOS BRUTOS'!$A$3:$A$500,$C40,'DADOS BRUTOS'!CV$3:CV$500)))</f>
        <v/>
      </c>
      <c r="FW40" s="123">
        <f>IF(OR(FW$4="",$B40=""),0,SUMIF('DADOS BRUTOS'!$A$3:$A$500,$B40,'DADOS BRUTOS'!CW$3:CW$500)+IF($C40="",0,SUMIF('DADOS BRUTOS'!$A$3:$A$500,$C40,'DADOS BRUTOS'!CW$3:CW$500)))</f>
        <v/>
      </c>
      <c r="FX40" s="123">
        <f>IF(OR(FX$4="",$B40=""),0,SUMIF('DADOS BRUTOS'!$A$3:$A$500,$B40,'DADOS BRUTOS'!CX$3:CX$500)+IF($C40="",0,SUMIF('DADOS BRUTOS'!$A$3:$A$500,$C40,'DADOS BRUTOS'!CX$3:CX$500)))</f>
        <v/>
      </c>
      <c r="FY40" s="123">
        <f>IF(OR(FY$4="",$B40=""),0,SUMIF('DADOS BRUTOS'!$A$3:$A$500,$B40,'DADOS BRUTOS'!CY$3:CY$500)+IF($C40="",0,SUMIF('DADOS BRUTOS'!$A$3:$A$500,$C40,'DADOS BRUTOS'!CY$3:CY$500)))</f>
        <v/>
      </c>
      <c r="FZ40" s="123">
        <f>IF(OR(FZ$4="",$B40=""),0,SUMIF('DADOS BRUTOS'!$A$3:$A$500,$B40,'DADOS BRUTOS'!CZ$3:CZ$500)+IF($C40="",0,SUMIF('DADOS BRUTOS'!$A$3:$A$500,$C40,'DADOS BRUTOS'!CZ$3:CZ$500)))</f>
        <v/>
      </c>
      <c r="GA40" s="123">
        <f>IF(OR(GA$4="",$B40=""),0,SUMIF('DADOS BRUTOS'!$A$3:$A$500,$B40,'DADOS BRUTOS'!DA$3:DA$500)+IF($C40="",0,SUMIF('DADOS BRUTOS'!$A$3:$A$500,$C40,'DADOS BRUTOS'!DA$3:DA$500)))</f>
        <v/>
      </c>
      <c r="GB40" s="123">
        <f>IF(OR(GB$4="",$B40=""),0,SUMIF('DADOS BRUTOS'!$A$3:$A$500,$B40,'DADOS BRUTOS'!DB$3:DB$500)+IF($C40="",0,SUMIF('DADOS BRUTOS'!$A$3:$A$500,$C40,'DADOS BRUTOS'!DB$3:DB$500)))</f>
        <v/>
      </c>
      <c r="GC40" s="123">
        <f>IF(OR(GC$4="",$B40=""),0,SUMIF('DADOS BRUTOS'!$A$3:$A$500,$B40,'DADOS BRUTOS'!DC$3:DC$500)+IF($C40="",0,SUMIF('DADOS BRUTOS'!$A$3:$A$500,$C40,'DADOS BRUTOS'!DC$3:DC$500)))</f>
        <v/>
      </c>
      <c r="GD40" s="123">
        <f>IF(OR(GD$4="",$B40=""),0,SUMIF('DADOS BRUTOS'!$A$3:$A$500,$B40,'DADOS BRUTOS'!DD$3:DD$500)+IF($C40="",0,SUMIF('DADOS BRUTOS'!$A$3:$A$500,$C40,'DADOS BRUTOS'!DD$3:DD$500)))</f>
        <v/>
      </c>
      <c r="GE40" s="123">
        <f>IF(OR(GE$4="",$B40=""),0,SUMIF('DADOS BRUTOS'!$A$3:$A$500,$B40,'DADOS BRUTOS'!DE$3:DE$500)+IF($C40="",0,SUMIF('DADOS BRUTOS'!$A$3:$A$500,$C40,'DADOS BRUTOS'!DE$3:DE$500)))</f>
        <v/>
      </c>
      <c r="GF40" s="123">
        <f>IF(OR(GF$4="",$B40=""),0,SUMIF('DADOS BRUTOS'!$A$3:$A$500,$B40,'DADOS BRUTOS'!DF$3:DF$500)+IF($C40="",0,SUMIF('DADOS BRUTOS'!$A$3:$A$500,$C40,'DADOS BRUTOS'!DF$3:DF$500)))</f>
        <v/>
      </c>
      <c r="GG40" s="123">
        <f>IF(OR(GG$4="",$B40=""),0,SUMIF('DADOS BRUTOS'!$A$3:$A$500,$B40,'DADOS BRUTOS'!DG$3:DG$500)+IF($C40="",0,SUMIF('DADOS BRUTOS'!$A$3:$A$500,$C40,'DADOS BRUTOS'!DG$3:DG$500)))</f>
        <v/>
      </c>
      <c r="GH40" s="123">
        <f>IF(OR(GH$4="",$B40=""),0,SUMIF('DADOS BRUTOS'!$A$3:$A$500,$B40,'DADOS BRUTOS'!DH$3:DH$500)+IF($C40="",0,SUMIF('DADOS BRUTOS'!$A$3:$A$500,$C40,'DADOS BRUTOS'!DH$3:DH$500)))</f>
        <v/>
      </c>
      <c r="GI40" s="123">
        <f>IF(OR(GI$4="",$B40=""),0,SUMIF('DADOS BRUTOS'!$A$3:$A$500,$B40,'DADOS BRUTOS'!DI$3:DI$500)+IF($C40="",0,SUMIF('DADOS BRUTOS'!$A$3:$A$500,$C40,'DADOS BRUTOS'!DI$3:DI$500)))</f>
        <v/>
      </c>
      <c r="GJ40" s="123">
        <f>IF(OR(GJ$4="",$B40=""),0,SUMIF('DADOS BRUTOS'!$A$3:$A$500,$B40,'DADOS BRUTOS'!DJ$3:DJ$500)+IF($C40="",0,SUMIF('DADOS BRUTOS'!$A$3:$A$500,$C40,'DADOS BRUTOS'!DJ$3:DJ$500)))</f>
        <v/>
      </c>
      <c r="GK40" s="123">
        <f>IF(OR(GK$4="",$B40=""),0,SUMIF('DADOS BRUTOS'!$A$3:$A$500,$B40,'DADOS BRUTOS'!DK$3:DK$500)+IF($C40="",0,SUMIF('DADOS BRUTOS'!$A$3:$A$500,$C40,'DADOS BRUTOS'!DK$3:DK$500)))</f>
        <v/>
      </c>
      <c r="GL40" s="123">
        <f>IF(OR(GL$4="",$B40=""),0,SUMIF('DADOS BRUTOS'!$A$3:$A$500,$B40,'DADOS BRUTOS'!DL$3:DL$500)+IF($C40="",0,SUMIF('DADOS BRUTOS'!$A$3:$A$500,$C40,'DADOS BRUTOS'!DL$3:DL$500)))</f>
        <v/>
      </c>
      <c r="GM40" s="123">
        <f>IF(OR(GM$4="",$B40=""),0,SUMIF('DADOS BRUTOS'!$A$3:$A$500,$B40,'DADOS BRUTOS'!DM$3:DM$500)+IF($C40="",0,SUMIF('DADOS BRUTOS'!$A$3:$A$500,$C40,'DADOS BRUTOS'!DM$3:DM$500)))</f>
        <v/>
      </c>
      <c r="GN40" s="123">
        <f>IF(OR(GN$4="",$B40=""),0,SUMIF('DADOS BRUTOS'!$A$3:$A$500,$B40,'DADOS BRUTOS'!DN$3:DN$500)+IF($C40="",0,SUMIF('DADOS BRUTOS'!$A$3:$A$500,$C40,'DADOS BRUTOS'!DN$3:DN$500)))</f>
        <v/>
      </c>
      <c r="GO40" s="123">
        <f>IF(OR(GO$4="",$B40=""),0,SUMIF('DADOS BRUTOS'!$A$3:$A$500,$B40,'DADOS BRUTOS'!DO$3:DO$500)+IF($C40="",0,SUMIF('DADOS BRUTOS'!$A$3:$A$500,$C40,'DADOS BRUTOS'!DO$3:DO$500)))</f>
        <v/>
      </c>
      <c r="GP40" s="123">
        <f>IF(OR(GP$4="",$B40=""),0,SUMIF('DADOS BRUTOS'!$A$3:$A$500,$B40,'DADOS BRUTOS'!DP$3:DP$500)+IF($C40="",0,SUMIF('DADOS BRUTOS'!$A$3:$A$500,$C40,'DADOS BRUTOS'!DP$3:DP$500)))</f>
        <v/>
      </c>
      <c r="GQ40" s="123">
        <f>IF(OR(GQ$4="",$B40=""),0,SUMIF('DADOS BRUTOS'!$A$3:$A$500,$B40,'DADOS BRUTOS'!DQ$3:DQ$500)+IF($C40="",0,SUMIF('DADOS BRUTOS'!$A$3:$A$500,$C40,'DADOS BRUTOS'!DQ$3:DQ$500)))</f>
        <v/>
      </c>
      <c r="GR40" s="123">
        <f>IF(OR(GR$4="",$B40=""),0,SUMIF('DADOS BRUTOS'!$A$3:$A$500,$B40,'DADOS BRUTOS'!DR$3:DR$500)+IF($C40="",0,SUMIF('DADOS BRUTOS'!$A$3:$A$500,$C40,'DADOS BRUTOS'!DR$3:DR$500)))</f>
        <v/>
      </c>
      <c r="GS40" s="123">
        <f>IF(OR(GS$4="",$B40=""),0,SUMIF('DADOS BRUTOS'!$A$3:$A$500,$B40,'DADOS BRUTOS'!DS$3:DS$500)+IF($C40="",0,SUMIF('DADOS BRUTOS'!$A$3:$A$500,$C40,'DADOS BRUTOS'!DS$3:DS$500)))</f>
        <v/>
      </c>
      <c r="GT40" s="123">
        <f>IF(OR(GT$4="",$B40=""),0,SUMIF('DADOS BRUTOS'!$A$3:$A$500,$B40,'DADOS BRUTOS'!DT$3:DT$500)+IF($C40="",0,SUMIF('DADOS BRUTOS'!$A$3:$A$500,$C40,'DADOS BRUTOS'!DT$3:DT$500)))</f>
        <v/>
      </c>
      <c r="GU40" s="123">
        <f>IF(OR(GU$4="",$B40=""),0,SUMIF('DADOS BRUTOS'!$A$3:$A$500,$B40,'DADOS BRUTOS'!DU$3:DU$500)+IF($C40="",0,SUMIF('DADOS BRUTOS'!$A$3:$A$500,$C40,'DADOS BRUTOS'!DU$3:DU$500)))</f>
        <v/>
      </c>
      <c r="GV40" s="123">
        <f>IF(OR(GV$4="",$B40=""),0,SUMIF('DADOS BRUTOS'!$A$3:$A$500,$B40,'DADOS BRUTOS'!DV$3:DV$500)+IF($C40="",0,SUMIF('DADOS BRUTOS'!$A$3:$A$500,$C40,'DADOS BRUTOS'!DV$3:DV$500)))</f>
        <v/>
      </c>
      <c r="GW40" s="123">
        <f>IF(OR(GW$4="",$B40=""),0,SUMIF('DADOS BRUTOS'!$A$3:$A$500,$B40,'DADOS BRUTOS'!DW$3:DW$500)+IF($C40="",0,SUMIF('DADOS BRUTOS'!$A$3:$A$500,$C40,'DADOS BRUTOS'!DW$3:DW$500)))</f>
        <v/>
      </c>
      <c r="GX40" s="123">
        <f>IF(OR(GX$4="",$B40=""),0,SUMIF('DADOS BRUTOS'!$A$3:$A$500,$B40,'DADOS BRUTOS'!DX$3:DX$500)+IF($C40="",0,SUMIF('DADOS BRUTOS'!$A$3:$A$500,$C40,'DADOS BRUTOS'!DX$3:DX$500)))</f>
        <v/>
      </c>
      <c r="GY40" s="123">
        <f>IF(OR(GY$4="",$B40=""),0,SUMIF('DADOS BRUTOS'!$A$3:$A$500,$B40,'DADOS BRUTOS'!DY$3:DY$500)+IF($C40="",0,SUMIF('DADOS BRUTOS'!$A$3:$A$500,$C40,'DADOS BRUTOS'!DY$3:DY$500)))</f>
        <v/>
      </c>
      <c r="GZ40" s="123">
        <f>IF(OR(GZ$4="",$B40=""),0,SUMIF('DADOS BRUTOS'!$A$3:$A$500,$B40,'DADOS BRUTOS'!DZ$3:DZ$500)+IF($C40="",0,SUMIF('DADOS BRUTOS'!$A$3:$A$500,$C40,'DADOS BRUTOS'!DZ$3:DZ$500)))</f>
        <v/>
      </c>
      <c r="HA40" s="123">
        <f>IF(OR(HA$4="",$B40=""),0,SUMIF('DADOS BRUTOS'!$A$3:$A$500,$B40,'DADOS BRUTOS'!EA$3:EA$500)+IF($C40="",0,SUMIF('DADOS BRUTOS'!$A$3:$A$500,$C40,'DADOS BRUTOS'!EA$3:EA$500)))</f>
        <v/>
      </c>
      <c r="HB40" s="123">
        <f>IF(OR(HB$4="",$B40=""),0,SUMIF('DADOS BRUTOS'!$A$3:$A$500,$B40,'DADOS BRUTOS'!EB$3:EB$500)+IF($C40="",0,SUMIF('DADOS BRUTOS'!$A$3:$A$500,$C40,'DADOS BRUTOS'!EB$3:EB$500)))</f>
        <v/>
      </c>
      <c r="HC40" s="123">
        <f>IF(OR(HC$4="",$B40=""),0,SUMIF('DADOS BRUTOS'!$A$3:$A$500,$B40,'DADOS BRUTOS'!EC$3:EC$500)+IF($C40="",0,SUMIF('DADOS BRUTOS'!$A$3:$A$500,$C40,'DADOS BRUTOS'!EC$3:EC$500)))</f>
        <v/>
      </c>
      <c r="HD40" s="123">
        <f>IF(OR(HD$4="",$B40=""),0,SUMIF('DADOS BRUTOS'!$A$3:$A$500,$B40,'DADOS BRUTOS'!ED$3:ED$500)+IF($C40="",0,SUMIF('DADOS BRUTOS'!$A$3:$A$500,$C40,'DADOS BRUTOS'!ED$3:ED$500)))</f>
        <v/>
      </c>
      <c r="HE40" s="123">
        <f>IF(OR(HE$4="",$B40=""),0,SUMIF('DADOS BRUTOS'!$A$3:$A$500,$B40,'DADOS BRUTOS'!EE$3:EE$500)+IF($C40="",0,SUMIF('DADOS BRUTOS'!$A$3:$A$500,$C40,'DADOS BRUTOS'!EE$3:EE$500)))</f>
        <v/>
      </c>
      <c r="HF40" s="123">
        <f>IF(OR(HF$4="",$B40=""),0,SUMIF('DADOS BRUTOS'!$A$3:$A$500,$B40,'DADOS BRUTOS'!EF$3:EF$500)+IF($C40="",0,SUMIF('DADOS BRUTOS'!$A$3:$A$500,$C40,'DADOS BRUTOS'!EF$3:EF$500)))</f>
        <v/>
      </c>
      <c r="HG40" s="123">
        <f>IF(OR(HG$4="",$B40=""),0,SUMIF('DADOS BRUTOS'!$A$3:$A$500,$B40,'DADOS BRUTOS'!EG$3:EG$500)+IF($C40="",0,SUMIF('DADOS BRUTOS'!$A$3:$A$500,$C40,'DADOS BRUTOS'!EG$3:EG$500)))</f>
        <v/>
      </c>
      <c r="HH40" s="123">
        <f>IF(OR(HH$4="",$B40=""),0,SUMIF('DADOS BRUTOS'!$A$3:$A$500,$B40,'DADOS BRUTOS'!EH$3:EH$500)+IF($C40="",0,SUMIF('DADOS BRUTOS'!$A$3:$A$500,$C40,'DADOS BRUTOS'!EH$3:EH$500)))</f>
        <v/>
      </c>
      <c r="HI40" s="123">
        <f>IF(OR(HI$4="",$B40=""),0,SUMIF('DADOS BRUTOS'!$A$3:$A$500,$B40,'DADOS BRUTOS'!EI$3:EI$500)+IF($C40="",0,SUMIF('DADOS BRUTOS'!$A$3:$A$500,$C40,'DADOS BRUTOS'!EI$3:EI$500)))</f>
        <v/>
      </c>
      <c r="HJ40" s="123">
        <f>IF(OR(HJ$4="",$B40=""),0,SUMIF('DADOS BRUTOS'!$A$3:$A$500,$B40,'DADOS BRUTOS'!EJ$3:EJ$500)+IF($C40="",0,SUMIF('DADOS BRUTOS'!$A$3:$A$500,$C40,'DADOS BRUTOS'!EJ$3:EJ$500)))</f>
        <v/>
      </c>
      <c r="HK40" s="123">
        <f>IF(OR(HK$4="",$B40=""),0,SUMIF('DADOS BRUTOS'!$A$3:$A$500,$B40,'DADOS BRUTOS'!EK$3:EK$500)+IF($C40="",0,SUMIF('DADOS BRUTOS'!$A$3:$A$500,$C40,'DADOS BRUTOS'!EK$3:EK$500)))</f>
        <v/>
      </c>
      <c r="HL40" s="123">
        <f>IF(OR(HL$4="",$B40=""),0,SUMIF('DADOS BRUTOS'!$A$3:$A$500,$B40,'DADOS BRUTOS'!EL$3:EL$500)+IF($C40="",0,SUMIF('DADOS BRUTOS'!$A$3:$A$500,$C40,'DADOS BRUTOS'!EL$3:EL$500)))</f>
        <v/>
      </c>
      <c r="HM40" s="123">
        <f>IF(OR(HM$4="",$B40=""),0,SUMIF('DADOS BRUTOS'!$A$3:$A$500,$B40,'DADOS BRUTOS'!EM$3:EM$500)+IF($C40="",0,SUMIF('DADOS BRUTOS'!$A$3:$A$500,$C40,'DADOS BRUTOS'!EM$3:EM$500)))</f>
        <v/>
      </c>
      <c r="HN40" s="123">
        <f>IF(OR(HN$4="",$B40=""),0,SUMIF('DADOS BRUTOS'!$A$3:$A$500,$B40,'DADOS BRUTOS'!EN$3:EN$500)+IF($C40="",0,SUMIF('DADOS BRUTOS'!$A$3:$A$500,$C40,'DADOS BRUTOS'!EN$3:EN$500)))</f>
        <v/>
      </c>
      <c r="HO40" s="123">
        <f>IF(OR(HO$4="",$B40=""),0,SUMIF('DADOS BRUTOS'!$A$3:$A$500,$B40,'DADOS BRUTOS'!EO$3:EO$500)+IF($C40="",0,SUMIF('DADOS BRUTOS'!$A$3:$A$500,$C40,'DADOS BRUTOS'!EO$3:EO$500)))</f>
        <v/>
      </c>
      <c r="HP40" s="123">
        <f>IF(OR(HP$4="",$B40=""),0,SUMIF('DADOS BRUTOS'!$A$3:$A$500,$B40,'DADOS BRUTOS'!EP$3:EP$500)+IF($C40="",0,SUMIF('DADOS BRUTOS'!$A$3:$A$500,$C40,'DADOS BRUTOS'!EP$3:EP$500)))</f>
        <v/>
      </c>
      <c r="HQ40" s="123">
        <f>IF(OR(HQ$4="",$B40=""),0,SUMIF('DADOS BRUTOS'!$A$3:$A$500,$B40,'DADOS BRUTOS'!EQ$3:EQ$500)+IF($C40="",0,SUMIF('DADOS BRUTOS'!$A$3:$A$500,$C40,'DADOS BRUTOS'!EQ$3:EQ$500)))</f>
        <v/>
      </c>
      <c r="HR40" s="123">
        <f>IF(OR(HR$4="",$B40=""),0,SUMIF('DADOS BRUTOS'!$A$3:$A$500,$B40,'DADOS BRUTOS'!ER$3:ER$500)+IF($C40="",0,SUMIF('DADOS BRUTOS'!$A$3:$A$500,$C40,'DADOS BRUTOS'!ER$3:ER$500)))</f>
        <v/>
      </c>
      <c r="HS40" s="123">
        <f>IF(OR(HS$4="",$B40=""),0,SUMIF('DADOS BRUTOS'!$A$3:$A$500,$B40,'DADOS BRUTOS'!ES$3:ES$500)+IF($C40="",0,SUMIF('DADOS BRUTOS'!$A$3:$A$500,$C40,'DADOS BRUTOS'!ES$3:ES$500)))</f>
        <v/>
      </c>
      <c r="HT40" s="123">
        <f>IF(OR(HT$4="",$B40=""),0,SUMIF('DADOS BRUTOS'!$A$3:$A$500,$B40,'DADOS BRUTOS'!ET$3:ET$500)+IF($C40="",0,SUMIF('DADOS BRUTOS'!$A$3:$A$500,$C40,'DADOS BRUTOS'!ET$3:ET$500)))</f>
        <v/>
      </c>
      <c r="HU40" s="123">
        <f>IF(OR(HU$4="",$B40=""),0,SUMIF('DADOS BRUTOS'!$A$3:$A$500,$B40,'DADOS BRUTOS'!EU$3:EU$500)+IF($C40="",0,SUMIF('DADOS BRUTOS'!$A$3:$A$500,$C40,'DADOS BRUTOS'!EU$3:EU$500)))</f>
        <v/>
      </c>
      <c r="HV40" s="123">
        <f>IF(OR(HV$4="",$B40=""),0,SUMIF('DADOS BRUTOS'!$A$3:$A$500,$B40,'DADOS BRUTOS'!EV$3:EV$500)+IF($C40="",0,SUMIF('DADOS BRUTOS'!$A$3:$A$500,$C40,'DADOS BRUTOS'!EV$3:EV$500)))</f>
        <v/>
      </c>
      <c r="HW40" s="123">
        <f>IF(OR(HW$4="",$B40=""),0,SUMIF('DADOS BRUTOS'!$A$3:$A$500,$B40,'DADOS BRUTOS'!EW$3:EW$500)+IF($C40="",0,SUMIF('DADOS BRUTOS'!$A$3:$A$500,$C40,'DADOS BRUTOS'!EW$3:EW$500)))</f>
        <v/>
      </c>
      <c r="HX40" s="123">
        <f>IF(OR(HX$4="",$B40=""),0,SUMIF('DADOS BRUTOS'!$A$3:$A$500,$B40,'DADOS BRUTOS'!EX$3:EX$500)+IF($C40="",0,SUMIF('DADOS BRUTOS'!$A$3:$A$500,$C40,'DADOS BRUTOS'!EX$3:EX$500)))</f>
        <v/>
      </c>
      <c r="HY40" s="123">
        <f>IF(OR(HY$4="",$B40=""),0,SUMIF('DADOS BRUTOS'!$A$3:$A$500,$B40,'DADOS BRUTOS'!EY$3:EY$500)+IF($C40="",0,SUMIF('DADOS BRUTOS'!$A$3:$A$500,$C40,'DADOS BRUTOS'!EY$3:EY$500)))</f>
        <v/>
      </c>
      <c r="HZ40" s="123">
        <f>IF(OR(HZ$4="",$B40=""),0,SUMIF('DADOS BRUTOS'!$A$3:$A$500,$B40,'DADOS BRUTOS'!EZ$3:EZ$500)+IF($C40="",0,SUMIF('DADOS BRUTOS'!$A$3:$A$500,$C40,'DADOS BRUTOS'!EZ$3:EZ$500)))</f>
        <v/>
      </c>
      <c r="IA40" s="123">
        <f>IF(OR(IA$4="",$B40=""),0,SUMIF('DADOS BRUTOS'!$A$3:$A$500,$B40,'DADOS BRUTOS'!FA$3:FA$500)+IF($C40="",0,SUMIF('DADOS BRUTOS'!$A$3:$A$500,$C40,'DADOS BRUTOS'!FA$3:FA$500)))</f>
        <v/>
      </c>
      <c r="IB40" s="123">
        <f>IF(OR(IB$4="",$B40=""),0,SUMIF('DADOS BRUTOS'!$A$3:$A$500,$B40,'DADOS BRUTOS'!FB$3:FB$500)+IF($C40="",0,SUMIF('DADOS BRUTOS'!$A$3:$A$500,$C40,'DADOS BRUTOS'!FB$3:FB$500)))</f>
        <v/>
      </c>
      <c r="IC40" s="123">
        <f>IF(OR(IC$4="",$B40=""),0,SUMIF('DADOS BRUTOS'!$A$3:$A$500,$B40,'DADOS BRUTOS'!FC$3:FC$500)+IF($C40="",0,SUMIF('DADOS BRUTOS'!$A$3:$A$500,$C40,'DADOS BRUTOS'!FC$3:FC$500)))</f>
        <v/>
      </c>
      <c r="ID40" s="123">
        <f>IF(OR(ID$4="",$B40=""),0,SUMIF('DADOS BRUTOS'!$A$3:$A$500,$B40,'DADOS BRUTOS'!FD$3:FD$500)+IF($C40="",0,SUMIF('DADOS BRUTOS'!$A$3:$A$500,$C40,'DADOS BRUTOS'!FD$3:FD$500)))</f>
        <v/>
      </c>
      <c r="IE40" s="123">
        <f>IF(OR(IE$4="",$B40=""),0,SUMIF('DADOS BRUTOS'!$A$3:$A$500,$B40,'DADOS BRUTOS'!FE$3:FE$500)+IF($C40="",0,SUMIF('DADOS BRUTOS'!$A$3:$A$500,$C40,'DADOS BRUTOS'!FE$3:FE$500)))</f>
        <v/>
      </c>
      <c r="IF40" s="123">
        <f>IF(OR(IF$4="",$B40=""),0,SUMIF('DADOS BRUTOS'!$A$3:$A$500,$B40,'DADOS BRUTOS'!FF$3:FF$500)+IF($C40="",0,SUMIF('DADOS BRUTOS'!$A$3:$A$500,$C40,'DADOS BRUTOS'!FF$3:FF$500)))</f>
        <v/>
      </c>
      <c r="IG40" s="123">
        <f>IF(OR(IG$4="",$B40=""),0,SUMIF('DADOS BRUTOS'!$A$3:$A$500,$B40,'DADOS BRUTOS'!FG$3:FG$500)+IF($C40="",0,SUMIF('DADOS BRUTOS'!$A$3:$A$500,$C40,'DADOS BRUTOS'!FG$3:FG$500)))</f>
        <v/>
      </c>
      <c r="IH40" s="123">
        <f>IF(OR(IH$4="",$B40=""),0,SUMIF('DADOS BRUTOS'!$A$3:$A$500,$B40,'DADOS BRUTOS'!FH$3:FH$500)+IF($C40="",0,SUMIF('DADOS BRUTOS'!$A$3:$A$500,$C40,'DADOS BRUTOS'!FH$3:FH$500)))</f>
        <v/>
      </c>
      <c r="II40" s="123">
        <f>IF(OR(II$4="",$B40=""),0,SUMIF('DADOS BRUTOS'!$A$3:$A$500,$B40,'DADOS BRUTOS'!FI$3:FI$500)+IF($C40="",0,SUMIF('DADOS BRUTOS'!$A$3:$A$500,$C40,'DADOS BRUTOS'!FI$3:FI$500)))</f>
        <v/>
      </c>
      <c r="IJ40" s="123">
        <f>IF(OR(IJ$4="",$B40=""),0,SUMIF('DADOS BRUTOS'!$A$3:$A$500,$B40,'DADOS BRUTOS'!FJ$3:FJ$500)+IF($C40="",0,SUMIF('DADOS BRUTOS'!$A$3:$A$500,$C40,'DADOS BRUTOS'!FJ$3:FJ$500)))</f>
        <v/>
      </c>
      <c r="IK40" s="123">
        <f>IF(OR(IK$4="",$B40=""),0,SUMIF('DADOS BRUTOS'!$A$3:$A$500,$B40,'DADOS BRUTOS'!FK$3:FK$500)+IF($C40="",0,SUMIF('DADOS BRUTOS'!$A$3:$A$500,$C40,'DADOS BRUTOS'!FK$3:FK$500)))</f>
        <v/>
      </c>
      <c r="IL40" s="123">
        <f>IF(OR(IL$4="",$B40=""),0,SUMIF('DADOS BRUTOS'!$A$3:$A$500,$B40,'DADOS BRUTOS'!FL$3:FL$500)+IF($C40="",0,SUMIF('DADOS BRUTOS'!$A$3:$A$500,$C40,'DADOS BRUTOS'!FL$3:FL$500)))</f>
        <v/>
      </c>
      <c r="IM40" s="123">
        <f>IF(OR(IM$4="",$B40=""),0,SUMIF('DADOS BRUTOS'!$A$3:$A$500,$B40,'DADOS BRUTOS'!FM$3:FM$500)+IF($C40="",0,SUMIF('DADOS BRUTOS'!$A$3:$A$500,$C40,'DADOS BRUTOS'!FM$3:FM$500)))</f>
        <v/>
      </c>
      <c r="IN40" s="123">
        <f>IF(OR(IN$4="",$B40=""),0,SUMIF('DADOS BRUTOS'!$A$3:$A$500,$B40,'DADOS BRUTOS'!FN$3:FN$500)+IF($C40="",0,SUMIF('DADOS BRUTOS'!$A$3:$A$500,$C40,'DADOS BRUTOS'!FN$3:FN$500)))</f>
        <v/>
      </c>
      <c r="IO40" s="123">
        <f>IF(OR(IO$4="",$B40=""),0,SUMIF('DADOS BRUTOS'!$A$3:$A$500,$B40,'DADOS BRUTOS'!FO$3:FO$500)+IF($C40="",0,SUMIF('DADOS BRUTOS'!$A$3:$A$500,$C40,'DADOS BRUTOS'!FO$3:FO$500)))</f>
        <v/>
      </c>
      <c r="IP40" s="123">
        <f>IF(OR(IP$4="",$B40=""),0,SUMIF('DADOS BRUTOS'!$A$3:$A$500,$B40,'DADOS BRUTOS'!FP$3:FP$500)+IF($C40="",0,SUMIF('DADOS BRUTOS'!$A$3:$A$500,$C40,'DADOS BRUTOS'!FP$3:FP$500)))</f>
        <v/>
      </c>
      <c r="IQ40" s="123">
        <f>IF(OR(IQ$4="",$B40=""),0,SUMIF('DADOS BRUTOS'!$A$3:$A$500,$B40,'DADOS BRUTOS'!FQ$3:FQ$500)+IF($C40="",0,SUMIF('DADOS BRUTOS'!$A$3:$A$500,$C40,'DADOS BRUTOS'!FQ$3:FQ$500)))</f>
        <v/>
      </c>
      <c r="IR40" s="123">
        <f>IF(OR(IR$4="",$B40=""),0,SUMIF('DADOS BRUTOS'!$A$3:$A$500,$B40,'DADOS BRUTOS'!FR$3:FR$500)+IF($C40="",0,SUMIF('DADOS BRUTOS'!$A$3:$A$500,$C40,'DADOS BRUTOS'!FR$3:FR$500)))</f>
        <v/>
      </c>
      <c r="IS40" s="123">
        <f>IF(OR(IS$4="",$B40=""),0,SUMIF('DADOS BRUTOS'!$A$3:$A$500,$B40,'DADOS BRUTOS'!FS$3:FS$500)+IF($C40="",0,SUMIF('DADOS BRUTOS'!$A$3:$A$500,$C40,'DADOS BRUTOS'!FS$3:FS$500)))</f>
        <v/>
      </c>
      <c r="IT40" s="123">
        <f>IF(OR(IT$4="",$B40=""),0,SUMIF('DADOS BRUTOS'!$A$3:$A$500,$B40,'DADOS BRUTOS'!FT$3:FT$500)+IF($C40="",0,SUMIF('DADOS BRUTOS'!$A$3:$A$500,$C40,'DADOS BRUTOS'!FT$3:FT$500)))</f>
        <v/>
      </c>
      <c r="IU40" s="123">
        <f>IF(OR(IU$4="",$B40=""),0,SUMIF('DADOS BRUTOS'!$A$3:$A$500,$B40,'DADOS BRUTOS'!FU$3:FU$500)+IF($C40="",0,SUMIF('DADOS BRUTOS'!$A$3:$A$500,$C40,'DADOS BRUTOS'!FU$3:FU$500)))</f>
        <v/>
      </c>
      <c r="IV40" s="123">
        <f>IF(OR(IV$4="",$B40=""),0,SUMIF('DADOS BRUTOS'!$A$3:$A$500,$B40,'DADOS BRUTOS'!FV$3:FV$500)+IF($C40="",0,SUMIF('DADOS BRUTOS'!$A$3:$A$500,$C40,'DADOS BRUTOS'!FV$3:FV$500)))</f>
        <v/>
      </c>
      <c r="IW40" s="123">
        <f>IF(OR(IW$4="",$B40=""),0,SUMIF('DADOS BRUTOS'!$A$3:$A$500,$B40,'DADOS BRUTOS'!FW$3:FW$500)+IF($C40="",0,SUMIF('DADOS BRUTOS'!$A$3:$A$500,$C40,'DADOS BRUTOS'!FW$3:FW$500)))</f>
        <v/>
      </c>
      <c r="IX40" s="123">
        <f>IF(OR(IX$4="",$B40=""),0,SUMIF('DADOS BRUTOS'!$A$3:$A$500,$B40,'DADOS BRUTOS'!FX$3:FX$500)+IF($C40="",0,SUMIF('DADOS BRUTOS'!$A$3:$A$500,$C40,'DADOS BRUTOS'!FX$3:FX$500)))</f>
        <v/>
      </c>
      <c r="IY40" s="123">
        <f>IF(OR(IY$4="",$B40=""),0,SUMIF('DADOS BRUTOS'!$A$3:$A$500,$B40,'DADOS BRUTOS'!FY$3:FY$500)+IF($C40="",0,SUMIF('DADOS BRUTOS'!$A$3:$A$500,$C40,'DADOS BRUTOS'!FY$3:FY$500)))</f>
        <v/>
      </c>
      <c r="IZ40" s="123">
        <f>IF(OR(IZ$4="",$B40=""),0,SUMIF('DADOS BRUTOS'!$A$3:$A$500,$B40,'DADOS BRUTOS'!FZ$3:FZ$500)+IF($C40="",0,SUMIF('DADOS BRUTOS'!$A$3:$A$500,$C40,'DADOS BRUTOS'!FZ$3:FZ$500)))</f>
        <v/>
      </c>
      <c r="JA40" s="123">
        <f>IF(OR(JA$4="",$B40=""),0,SUMIF('DADOS BRUTOS'!$A$3:$A$500,$B40,'DADOS BRUTOS'!GA$3:GA$500)+IF($C40="",0,SUMIF('DADOS BRUTOS'!$A$3:$A$500,$C40,'DADOS BRUTOS'!GA$3:GA$500)))</f>
        <v/>
      </c>
      <c r="JB40" s="123">
        <f>IF(OR(JB$4="",$B40=""),0,SUMIF('DADOS BRUTOS'!$A$3:$A$500,$B40,'DADOS BRUTOS'!GB$3:GB$500)+IF($C40="",0,SUMIF('DADOS BRUTOS'!$A$3:$A$500,$C40,'DADOS BRUTOS'!GB$3:GB$500)))</f>
        <v/>
      </c>
      <c r="JC40" s="123">
        <f>IF(OR(JC$4="",$B40=""),0,SUMIF('DADOS BRUTOS'!$A$3:$A$500,$B40,'DADOS BRUTOS'!GC$3:GC$500)+IF($C40="",0,SUMIF('DADOS BRUTOS'!$A$3:$A$500,$C40,'DADOS BRUTOS'!GC$3:GC$500)))</f>
        <v/>
      </c>
      <c r="JD40" s="123">
        <f>IF(OR(JD$4="",$B40=""),0,SUMIF('DADOS BRUTOS'!$A$3:$A$500,$B40,'DADOS BRUTOS'!GD$3:GD$500)+IF($C40="",0,SUMIF('DADOS BRUTOS'!$A$3:$A$500,$C40,'DADOS BRUTOS'!GD$3:GD$500)))</f>
        <v/>
      </c>
      <c r="JE40" s="123">
        <f>IF(OR(JE$4="",$B40=""),0,SUMIF('DADOS BRUTOS'!$A$3:$A$500,$B40,'DADOS BRUTOS'!GE$3:GE$500)+IF($C40="",0,SUMIF('DADOS BRUTOS'!$A$3:$A$500,$C40,'DADOS BRUTOS'!GE$3:GE$500)))</f>
        <v/>
      </c>
      <c r="JF40" s="123">
        <f>IF(OR(JF$4="",$B40=""),0,SUMIF('DADOS BRUTOS'!$A$3:$A$500,$B40,'DADOS BRUTOS'!GF$3:GF$500)+IF($C40="",0,SUMIF('DADOS BRUTOS'!$A$3:$A$500,$C40,'DADOS BRUTOS'!GF$3:GF$500)))</f>
        <v/>
      </c>
      <c r="JG40" s="123">
        <f>IF(OR(JG$4="",$B40=""),0,SUMIF('DADOS BRUTOS'!$A$3:$A$500,$B40,'DADOS BRUTOS'!GG$3:GG$500)+IF($C40="",0,SUMIF('DADOS BRUTOS'!$A$3:$A$500,$C40,'DADOS BRUTOS'!GG$3:GG$500)))</f>
        <v/>
      </c>
      <c r="JH40" s="123">
        <f>IF(OR(JH$4="",$B40=""),0,SUMIF('DADOS BRUTOS'!$A$3:$A$500,$B40,'DADOS BRUTOS'!GH$3:GH$500)+IF($C40="",0,SUMIF('DADOS BRUTOS'!$A$3:$A$500,$C40,'DADOS BRUTOS'!GH$3:GH$500)))</f>
        <v/>
      </c>
      <c r="JI40" s="123">
        <f>IF(OR(JI$4="",$B40=""),0,SUMIF('DADOS BRUTOS'!$A$3:$A$500,$B40,'DADOS BRUTOS'!GI$3:GI$500)+IF($C40="",0,SUMIF('DADOS BRUTOS'!$A$3:$A$500,$C40,'DADOS BRUTOS'!GI$3:GI$500)))</f>
        <v/>
      </c>
      <c r="JJ40" s="123">
        <f>IF(OR(JJ$4="",$B40=""),0,SUMIF('DADOS BRUTOS'!$A$3:$A$500,$B40,'DADOS BRUTOS'!GJ$3:GJ$500)+IF($C40="",0,SUMIF('DADOS BRUTOS'!$A$3:$A$500,$C40,'DADOS BRUTOS'!GJ$3:GJ$500)))</f>
        <v/>
      </c>
      <c r="JK40" s="123">
        <f>IF(OR(JK$4="",$B40=""),0,SUMIF('DADOS BRUTOS'!$A$3:$A$500,$B40,'DADOS BRUTOS'!GK$3:GK$500)+IF($C40="",0,SUMIF('DADOS BRUTOS'!$A$3:$A$500,$C40,'DADOS BRUTOS'!GK$3:GK$500)))</f>
        <v/>
      </c>
      <c r="JL40" s="123">
        <f>IF(OR(JL$4="",$B40=""),0,SUMIF('DADOS BRUTOS'!$A$3:$A$500,$B40,'DADOS BRUTOS'!GL$3:GL$500)+IF($C40="",0,SUMIF('DADOS BRUTOS'!$A$3:$A$500,$C40,'DADOS BRUTOS'!GL$3:GL$500)))</f>
        <v/>
      </c>
      <c r="JM40" s="123">
        <f>IF(OR(JM$4="",$B40=""),0,SUMIF('DADOS BRUTOS'!$A$3:$A$500,$B40,'DADOS BRUTOS'!GM$3:GM$500)+IF($C40="",0,SUMIF('DADOS BRUTOS'!$A$3:$A$500,$C40,'DADOS BRUTOS'!GM$3:GM$500)))</f>
        <v/>
      </c>
      <c r="JN40" s="123">
        <f>IF(OR(JN$4="",$B40=""),0,SUMIF('DADOS BRUTOS'!$A$3:$A$500,$B40,'DADOS BRUTOS'!GN$3:GN$500)+IF($C40="",0,SUMIF('DADOS BRUTOS'!$A$3:$A$500,$C40,'DADOS BRUTOS'!GN$3:GN$500)))</f>
        <v/>
      </c>
      <c r="JO40" s="123">
        <f>IF(OR(JO$4="",$B40=""),0,SUMIF('DADOS BRUTOS'!$A$3:$A$500,$B40,'DADOS BRUTOS'!GO$3:GO$500)+IF($C40="",0,SUMIF('DADOS BRUTOS'!$A$3:$A$500,$C40,'DADOS BRUTOS'!GO$3:GO$500)))</f>
        <v/>
      </c>
      <c r="JP40" s="123">
        <f>IF(OR(JP$4="",$B40=""),0,SUMIF('DADOS BRUTOS'!$A$3:$A$500,$B40,'DADOS BRUTOS'!GP$3:GP$500)+IF($C40="",0,SUMIF('DADOS BRUTOS'!$A$3:$A$500,$C40,'DADOS BRUTOS'!GP$3:GP$500)))</f>
        <v/>
      </c>
      <c r="JQ40" s="123">
        <f>IF(OR(JQ$4="",$B40=""),0,SUMIF('DADOS BRUTOS'!$A$3:$A$500,$B40,'DADOS BRUTOS'!GQ$3:GQ$500)+IF($C40="",0,SUMIF('DADOS BRUTOS'!$A$3:$A$500,$C40,'DADOS BRUTOS'!GQ$3:GQ$500)))</f>
        <v/>
      </c>
      <c r="JR40" s="123">
        <f>IF(OR(JR$4="",$B40=""),0,SUMIF('DADOS BRUTOS'!$A$3:$A$500,$B40,'DADOS BRUTOS'!GR$3:GR$500)+IF($C40="",0,SUMIF('DADOS BRUTOS'!$A$3:$A$500,$C40,'DADOS BRUTOS'!GR$3:GR$500)))</f>
        <v/>
      </c>
      <c r="JS40" s="123">
        <f>IF(OR(JS$4="",$B40=""),0,SUMIF('DADOS BRUTOS'!$A$3:$A$500,$B40,'DADOS BRUTOS'!GS$3:GS$500)+IF($C40="",0,SUMIF('DADOS BRUTOS'!$A$3:$A$500,$C40,'DADOS BRUTOS'!GS$3:GS$500)))</f>
        <v/>
      </c>
    </row>
    <row r="41">
      <c r="A41" s="61">
        <f>'VALOR POR PL'!D47</f>
        <v/>
      </c>
      <c r="B41" s="60" t="inlineStr">
        <is>
          <t>LIMPEZA FINAL DE OBRA</t>
        </is>
      </c>
      <c r="C41" s="60" t="n"/>
      <c r="D41" s="55">
        <f>SUMIF($CB$4:$JS$4,"&lt;="&amp;D$4,$CB41:$JS41)</f>
        <v/>
      </c>
      <c r="E41" s="55">
        <f>SUMIF($CB$4:$JS$4,E$4,$CB41:$JS41)</f>
        <v/>
      </c>
      <c r="F41" s="55">
        <f>SUMIF($CB$4:$JS$4,F$4,$CB41:$JS41)</f>
        <v/>
      </c>
      <c r="G41" s="55">
        <f>SUMIF($CB$4:$JS$4,G$4,$CB41:$JS41)</f>
        <v/>
      </c>
      <c r="H41" s="55">
        <f>SUMIF($CB$4:$JS$4,H$4,$CB41:$JS41)</f>
        <v/>
      </c>
      <c r="I41" s="55">
        <f>SUMIF($CB$4:$JS$4,I$4,$CB41:$JS41)</f>
        <v/>
      </c>
      <c r="J41" s="55">
        <f>SUMIF($CB$4:$JS$4,J$4,$CB41:$JS41)</f>
        <v/>
      </c>
      <c r="K41" s="55">
        <f>SUMIF($CB$4:$JS$4,K$4,$CB41:$JS41)</f>
        <v/>
      </c>
      <c r="L41" s="55">
        <f>SUMIF($CB$4:$JS$4,L$4,$CB41:$JS41)</f>
        <v/>
      </c>
      <c r="M41" s="55">
        <f>SUMIF($CB$4:$JS$4,M$4,$CB41:$JS41)</f>
        <v/>
      </c>
      <c r="N41" s="55">
        <f>SUMIF($CB$4:$JS$4,N$4,$CB41:$JS41)</f>
        <v/>
      </c>
      <c r="O41" s="55">
        <f>SUMIF($CB$4:$JS$4,O$4,$CB41:$JS41)</f>
        <v/>
      </c>
      <c r="P41" s="55">
        <f>SUMIF($CB$4:$JS$4,P$4,$CB41:$JS41)</f>
        <v/>
      </c>
      <c r="Q41" s="55">
        <f>SUMIF($CB$4:$JS$4,Q$4,$CB41:$JS41)</f>
        <v/>
      </c>
      <c r="R41" s="55">
        <f>SUMIF($CB$4:$JS$4,R$4,$CB41:$JS41)</f>
        <v/>
      </c>
      <c r="S41" s="55">
        <f>SUMIF($CB$4:$JS$4,S$4,$CB41:$JS41)</f>
        <v/>
      </c>
      <c r="T41" s="55">
        <f>SUMIF($CB$4:$JS$4,T$4,$CB41:$JS41)</f>
        <v/>
      </c>
      <c r="U41" s="55">
        <f>SUMIF($CB$4:$JS$4,U$4,$CB41:$JS41)</f>
        <v/>
      </c>
      <c r="V41" s="55">
        <f>SUMIF($CB$4:$JS$4,V$4,$CB41:$JS41)</f>
        <v/>
      </c>
      <c r="W41" s="55">
        <f>SUMIF($CB$4:$JS$4,W$4,$CB41:$JS41)</f>
        <v/>
      </c>
      <c r="X41" s="55">
        <f>SUMIF($CB$4:$JS$4,X$4,$CB41:$JS41)</f>
        <v/>
      </c>
      <c r="Y41" s="55">
        <f>SUMIF($CB$4:$JS$4,Y$4,$CB41:$JS41)</f>
        <v/>
      </c>
      <c r="Z41" s="55">
        <f>SUMIF($CB$4:$JS$4,Z$4,$CB41:$JS41)</f>
        <v/>
      </c>
      <c r="AA41" s="55">
        <f>SUMIF($CB$4:$JS$4,AA$4,$CB41:$JS41)</f>
        <v/>
      </c>
      <c r="AB41" s="55">
        <f>SUMIF($CB$4:$JS$4,AB$4,$CB41:$JS41)</f>
        <v/>
      </c>
      <c r="AC41" s="55">
        <f>SUMIF($CB$4:$JS$4,AC$4,$CB41:$JS41)</f>
        <v/>
      </c>
      <c r="AD41" s="55">
        <f>SUMIF($CB$4:$JS$4,AD$4,$CB41:$JS41)</f>
        <v/>
      </c>
      <c r="AE41" s="55">
        <f>SUMIF($CB$4:$JS$4,AE$4,$CB41:$JS41)</f>
        <v/>
      </c>
      <c r="AF41" s="55">
        <f>SUMIF($CB$4:$JS$4,AF$4,$CB41:$JS41)</f>
        <v/>
      </c>
      <c r="AG41" s="55">
        <f>SUMIF($CB$4:$JS$4,AG$4,$CB41:$JS41)</f>
        <v/>
      </c>
      <c r="AH41" s="55">
        <f>SUMIF($CB$4:$JS$4,AH$4,$CB41:$JS41)</f>
        <v/>
      </c>
      <c r="AI41" s="55">
        <f>SUMIF($CB$4:$JS$4,AI$4,$CB41:$JS41)</f>
        <v/>
      </c>
      <c r="AJ41" s="55">
        <f>SUMIF($CB$4:$JS$4,AJ$4,$CB41:$JS41)</f>
        <v/>
      </c>
      <c r="AK41" s="55">
        <f>SUMIF($CB$4:$JS$4,AK$4,$CB41:$JS41)</f>
        <v/>
      </c>
      <c r="AL41" s="55">
        <f>SUMIF($CB$4:$JS$4,AL$4,$CB41:$JS41)</f>
        <v/>
      </c>
      <c r="AM41" s="55">
        <f>SUMIF($CB$4:$JS$4,AM$4,$CB41:$JS41)</f>
        <v/>
      </c>
      <c r="AN41" s="55">
        <f>SUMIF($CB$4:$JS$4,AN$4,$CB41:$JS41)</f>
        <v/>
      </c>
      <c r="AO41" s="55">
        <f>SUMIF($CB$4:$JS$4,AO$4,$CB41:$JS41)</f>
        <v/>
      </c>
      <c r="AP41" s="55">
        <f>SUMIF($CB$4:$JS$4,AP$4,$CB41:$JS41)</f>
        <v/>
      </c>
      <c r="AQ41" s="55">
        <f>SUMIF($CB$4:$JS$4,AQ$4,$CB41:$JS41)</f>
        <v/>
      </c>
      <c r="AR41" s="55">
        <f>SUMIF($CB$4:$JS$4,AR$4,$CB41:$JS41)</f>
        <v/>
      </c>
      <c r="AS41" s="55">
        <f>SUMIF($CB$4:$JS$4,AS$4,$CB41:$JS41)</f>
        <v/>
      </c>
      <c r="AT41" s="55">
        <f>SUMIF($CB$4:$JS$4,AT$4,$CB41:$JS41)</f>
        <v/>
      </c>
      <c r="AU41" s="55">
        <f>SUMIF($CB$4:$JS$4,AU$4,$CB41:$JS41)</f>
        <v/>
      </c>
      <c r="AV41" s="55">
        <f>SUMIF($CB$4:$JS$4,AV$4,$CB41:$JS41)</f>
        <v/>
      </c>
      <c r="AW41" s="55">
        <f>SUMIF($CB$4:$JS$4,AW$4,$CB41:$JS41)</f>
        <v/>
      </c>
      <c r="AX41" s="55">
        <f>SUMIF($CB$4:$JS$4,AX$4,$CB41:$JS41)</f>
        <v/>
      </c>
      <c r="AY41" s="55">
        <f>SUMIF($CB$4:$JS$4,AY$4,$CB41:$JS41)</f>
        <v/>
      </c>
      <c r="AZ41" s="55">
        <f>SUMIF($CB$4:$JS$4,AZ$4,$CB41:$JS41)</f>
        <v/>
      </c>
      <c r="BA41" s="55">
        <f>SUMIF($CB$4:$JS$4,BA$4,$CB41:$JS41)</f>
        <v/>
      </c>
      <c r="BB41" s="55">
        <f>SUMIF($CB$4:$JS$4,BB$4,$CB41:$JS41)</f>
        <v/>
      </c>
      <c r="BC41" s="55">
        <f>SUMIF($CB$4:$JS$4,BC$4,$CB41:$JS41)</f>
        <v/>
      </c>
      <c r="BD41" s="55">
        <f>SUMIF($CB$4:$JS$4,BD$4,$CB41:$JS41)</f>
        <v/>
      </c>
      <c r="BE41" s="55">
        <f>SUMIF($CB$4:$JS$4,BE$4,$CB41:$JS41)</f>
        <v/>
      </c>
      <c r="BF41" s="55">
        <f>SUMIF($CB$4:$JS$4,BF$4,$CB41:$JS41)</f>
        <v/>
      </c>
      <c r="BG41" s="55">
        <f>SUMIF($CB$4:$JS$4,BG$4,$CB41:$JS41)</f>
        <v/>
      </c>
      <c r="BH41" s="55">
        <f>SUMIF($CB$4:$JS$4,BH$4,$CB41:$JS41)</f>
        <v/>
      </c>
      <c r="BI41" s="55">
        <f>SUMIF($CB$4:$JS$4,BI$4,$CB41:$JS41)</f>
        <v/>
      </c>
      <c r="BJ41" s="55">
        <f>SUMIF($CB$4:$JS$4,BJ$4,$CB41:$JS41)</f>
        <v/>
      </c>
      <c r="BK41" s="55">
        <f>SUMIF($CB$4:$JS$4,BK$4,$CB41:$JS41)</f>
        <v/>
      </c>
      <c r="BL41" s="55">
        <f>SUMIF($CB$4:$JS$4,BL$4,$CB41:$JS41)</f>
        <v/>
      </c>
      <c r="BM41" s="55">
        <f>SUMIF($CB$4:$JS$4,BM$4,$CB41:$JS41)</f>
        <v/>
      </c>
      <c r="BN41" s="55">
        <f>SUMIF($CB$4:$JS$4,BN$4,$CB41:$JS41)</f>
        <v/>
      </c>
      <c r="BO41" s="55">
        <f>SUMIF($CB$4:$JS$4,BO$4,$CB41:$JS41)</f>
        <v/>
      </c>
      <c r="BP41" s="55">
        <f>SUMIF($CB$4:$JS$4,BP$4,$CB41:$JS41)</f>
        <v/>
      </c>
      <c r="BQ41" s="55">
        <f>SUMIF($CB$4:$JS$4,BQ$4,$CB41:$JS41)</f>
        <v/>
      </c>
      <c r="BR41" s="55">
        <f>SUMIF($CB$4:$JS$4,BR$4,$CB41:$JS41)</f>
        <v/>
      </c>
      <c r="BS41" s="55">
        <f>SUMIF($CB$4:$JS$4,BS$4,$CB41:$JS41)</f>
        <v/>
      </c>
      <c r="BT41" s="55">
        <f>SUMIF($CB$4:$JS$4,BT$4,$CB41:$JS41)</f>
        <v/>
      </c>
      <c r="BU41" s="55">
        <f>SUMIF($CB$4:$JS$4,BU$4,$CB41:$JS41)</f>
        <v/>
      </c>
      <c r="BV41" s="55">
        <f>SUMIF($CB$4:$JS$4,BV$4,$CB41:$JS41)</f>
        <v/>
      </c>
      <c r="BW41" s="55">
        <f>SUMIF($CB$4:$JS$4,BW$4,$CB41:$JS41)</f>
        <v/>
      </c>
      <c r="BX41" s="55">
        <f>SUMIF($CB$4:$JS$4,"&gt;"&amp;'VALOR POR PL'!$P$8,$CB41:$JS41)</f>
        <v/>
      </c>
      <c r="BY41" s="55">
        <f>SUM($CB41:$JS41)</f>
        <v/>
      </c>
      <c r="CB41" s="123">
        <f>IF(OR(CB$4="",$B41=""),0,SUMIF('DADOS BRUTOS'!$A$3:$A$500,$B41,'DADOS BRUTOS'!B$3:B$500)+IF($C41="",0,SUMIF('DADOS BRUTOS'!$A$3:$A$500,$C41,'DADOS BRUTOS'!B$3:B$500)))</f>
        <v/>
      </c>
      <c r="CC41" s="123">
        <f>IF(OR(CC$4="",$B41=""),0,SUMIF('DADOS BRUTOS'!$A$3:$A$500,$B41,'DADOS BRUTOS'!C$3:C$500)+IF($C41="",0,SUMIF('DADOS BRUTOS'!$A$3:$A$500,$C41,'DADOS BRUTOS'!C$3:C$500)))</f>
        <v/>
      </c>
      <c r="CD41" s="123">
        <f>IF(OR(CD$4="",$B41=""),0,SUMIF('DADOS BRUTOS'!$A$3:$A$500,$B41,'DADOS BRUTOS'!D$3:D$500)+IF($C41="",0,SUMIF('DADOS BRUTOS'!$A$3:$A$500,$C41,'DADOS BRUTOS'!D$3:D$500)))</f>
        <v/>
      </c>
      <c r="CE41" s="123">
        <f>IF(OR(CE$4="",$B41=""),0,SUMIF('DADOS BRUTOS'!$A$3:$A$500,$B41,'DADOS BRUTOS'!E$3:E$500)+IF($C41="",0,SUMIF('DADOS BRUTOS'!$A$3:$A$500,$C41,'DADOS BRUTOS'!E$3:E$500)))</f>
        <v/>
      </c>
      <c r="CF41" s="123">
        <f>IF(OR(CF$4="",$B41=""),0,SUMIF('DADOS BRUTOS'!$A$3:$A$500,$B41,'DADOS BRUTOS'!F$3:F$500)+IF($C41="",0,SUMIF('DADOS BRUTOS'!$A$3:$A$500,$C41,'DADOS BRUTOS'!F$3:F$500)))</f>
        <v/>
      </c>
      <c r="CG41" s="123">
        <f>IF(OR(CG$4="",$B41=""),0,SUMIF('DADOS BRUTOS'!$A$3:$A$500,$B41,'DADOS BRUTOS'!G$3:G$500)+IF($C41="",0,SUMIF('DADOS BRUTOS'!$A$3:$A$500,$C41,'DADOS BRUTOS'!G$3:G$500)))</f>
        <v/>
      </c>
      <c r="CH41" s="123">
        <f>IF(OR(CH$4="",$B41=""),0,SUMIF('DADOS BRUTOS'!$A$3:$A$500,$B41,'DADOS BRUTOS'!H$3:H$500)+IF($C41="",0,SUMIF('DADOS BRUTOS'!$A$3:$A$500,$C41,'DADOS BRUTOS'!H$3:H$500)))</f>
        <v/>
      </c>
      <c r="CI41" s="123">
        <f>IF(OR(CI$4="",$B41=""),0,SUMIF('DADOS BRUTOS'!$A$3:$A$500,$B41,'DADOS BRUTOS'!I$3:I$500)+IF($C41="",0,SUMIF('DADOS BRUTOS'!$A$3:$A$500,$C41,'DADOS BRUTOS'!I$3:I$500)))</f>
        <v/>
      </c>
      <c r="CJ41" s="123">
        <f>IF(OR(CJ$4="",$B41=""),0,SUMIF('DADOS BRUTOS'!$A$3:$A$500,$B41,'DADOS BRUTOS'!J$3:J$500)+IF($C41="",0,SUMIF('DADOS BRUTOS'!$A$3:$A$500,$C41,'DADOS BRUTOS'!J$3:J$500)))</f>
        <v/>
      </c>
      <c r="CK41" s="123">
        <f>IF(OR(CK$4="",$B41=""),0,SUMIF('DADOS BRUTOS'!$A$3:$A$500,$B41,'DADOS BRUTOS'!K$3:K$500)+IF($C41="",0,SUMIF('DADOS BRUTOS'!$A$3:$A$500,$C41,'DADOS BRUTOS'!K$3:K$500)))</f>
        <v/>
      </c>
      <c r="CL41" s="123">
        <f>IF(OR(CL$4="",$B41=""),0,SUMIF('DADOS BRUTOS'!$A$3:$A$500,$B41,'DADOS BRUTOS'!L$3:L$500)+IF($C41="",0,SUMIF('DADOS BRUTOS'!$A$3:$A$500,$C41,'DADOS BRUTOS'!L$3:L$500)))</f>
        <v/>
      </c>
      <c r="CM41" s="123">
        <f>IF(OR(CM$4="",$B41=""),0,SUMIF('DADOS BRUTOS'!$A$3:$A$500,$B41,'DADOS BRUTOS'!M$3:M$500)+IF($C41="",0,SUMIF('DADOS BRUTOS'!$A$3:$A$500,$C41,'DADOS BRUTOS'!M$3:M$500)))</f>
        <v/>
      </c>
      <c r="CN41" s="123">
        <f>IF(OR(CN$4="",$B41=""),0,SUMIF('DADOS BRUTOS'!$A$3:$A$500,$B41,'DADOS BRUTOS'!N$3:N$500)+IF($C41="",0,SUMIF('DADOS BRUTOS'!$A$3:$A$500,$C41,'DADOS BRUTOS'!N$3:N$500)))</f>
        <v/>
      </c>
      <c r="CO41" s="123">
        <f>IF(OR(CO$4="",$B41=""),0,SUMIF('DADOS BRUTOS'!$A$3:$A$500,$B41,'DADOS BRUTOS'!O$3:O$500)+IF($C41="",0,SUMIF('DADOS BRUTOS'!$A$3:$A$500,$C41,'DADOS BRUTOS'!O$3:O$500)))</f>
        <v/>
      </c>
      <c r="CP41" s="123">
        <f>IF(OR(CP$4="",$B41=""),0,SUMIF('DADOS BRUTOS'!$A$3:$A$500,$B41,'DADOS BRUTOS'!P$3:P$500)+IF($C41="",0,SUMIF('DADOS BRUTOS'!$A$3:$A$500,$C41,'DADOS BRUTOS'!P$3:P$500)))</f>
        <v/>
      </c>
      <c r="CQ41" s="123">
        <f>IF(OR(CQ$4="",$B41=""),0,SUMIF('DADOS BRUTOS'!$A$3:$A$500,$B41,'DADOS BRUTOS'!Q$3:Q$500)+IF($C41="",0,SUMIF('DADOS BRUTOS'!$A$3:$A$500,$C41,'DADOS BRUTOS'!Q$3:Q$500)))</f>
        <v/>
      </c>
      <c r="CR41" s="123">
        <f>IF(OR(CR$4="",$B41=""),0,SUMIF('DADOS BRUTOS'!$A$3:$A$500,$B41,'DADOS BRUTOS'!R$3:R$500)+IF($C41="",0,SUMIF('DADOS BRUTOS'!$A$3:$A$500,$C41,'DADOS BRUTOS'!R$3:R$500)))</f>
        <v/>
      </c>
      <c r="CS41" s="123">
        <f>IF(OR(CS$4="",$B41=""),0,SUMIF('DADOS BRUTOS'!$A$3:$A$500,$B41,'DADOS BRUTOS'!S$3:S$500)+IF($C41="",0,SUMIF('DADOS BRUTOS'!$A$3:$A$500,$C41,'DADOS BRUTOS'!S$3:S$500)))</f>
        <v/>
      </c>
      <c r="CT41" s="123">
        <f>IF(OR(CT$4="",$B41=""),0,SUMIF('DADOS BRUTOS'!$A$3:$A$500,$B41,'DADOS BRUTOS'!T$3:T$500)+IF($C41="",0,SUMIF('DADOS BRUTOS'!$A$3:$A$500,$C41,'DADOS BRUTOS'!T$3:T$500)))</f>
        <v/>
      </c>
      <c r="CU41" s="123">
        <f>IF(OR(CU$4="",$B41=""),0,SUMIF('DADOS BRUTOS'!$A$3:$A$500,$B41,'DADOS BRUTOS'!U$3:U$500)+IF($C41="",0,SUMIF('DADOS BRUTOS'!$A$3:$A$500,$C41,'DADOS BRUTOS'!U$3:U$500)))</f>
        <v/>
      </c>
      <c r="CV41" s="123">
        <f>IF(OR(CV$4="",$B41=""),0,SUMIF('DADOS BRUTOS'!$A$3:$A$500,$B41,'DADOS BRUTOS'!V$3:V$500)+IF($C41="",0,SUMIF('DADOS BRUTOS'!$A$3:$A$500,$C41,'DADOS BRUTOS'!V$3:V$500)))</f>
        <v/>
      </c>
      <c r="CW41" s="123">
        <f>IF(OR(CW$4="",$B41=""),0,SUMIF('DADOS BRUTOS'!$A$3:$A$500,$B41,'DADOS BRUTOS'!W$3:W$500)+IF($C41="",0,SUMIF('DADOS BRUTOS'!$A$3:$A$500,$C41,'DADOS BRUTOS'!W$3:W$500)))</f>
        <v/>
      </c>
      <c r="CX41" s="123">
        <f>IF(OR(CX$4="",$B41=""),0,SUMIF('DADOS BRUTOS'!$A$3:$A$500,$B41,'DADOS BRUTOS'!X$3:X$500)+IF($C41="",0,SUMIF('DADOS BRUTOS'!$A$3:$A$500,$C41,'DADOS BRUTOS'!X$3:X$500)))</f>
        <v/>
      </c>
      <c r="CY41" s="123">
        <f>IF(OR(CY$4="",$B41=""),0,SUMIF('DADOS BRUTOS'!$A$3:$A$500,$B41,'DADOS BRUTOS'!Y$3:Y$500)+IF($C41="",0,SUMIF('DADOS BRUTOS'!$A$3:$A$500,$C41,'DADOS BRUTOS'!Y$3:Y$500)))</f>
        <v/>
      </c>
      <c r="CZ41" s="123">
        <f>IF(OR(CZ$4="",$B41=""),0,SUMIF('DADOS BRUTOS'!$A$3:$A$500,$B41,'DADOS BRUTOS'!Z$3:Z$500)+IF($C41="",0,SUMIF('DADOS BRUTOS'!$A$3:$A$500,$C41,'DADOS BRUTOS'!Z$3:Z$500)))</f>
        <v/>
      </c>
      <c r="DA41" s="123">
        <f>IF(OR(DA$4="",$B41=""),0,SUMIF('DADOS BRUTOS'!$A$3:$A$500,$B41,'DADOS BRUTOS'!AA$3:AA$500)+IF($C41="",0,SUMIF('DADOS BRUTOS'!$A$3:$A$500,$C41,'DADOS BRUTOS'!AA$3:AA$500)))</f>
        <v/>
      </c>
      <c r="DB41" s="123">
        <f>IF(OR(DB$4="",$B41=""),0,SUMIF('DADOS BRUTOS'!$A$3:$A$500,$B41,'DADOS BRUTOS'!AB$3:AB$500)+IF($C41="",0,SUMIF('DADOS BRUTOS'!$A$3:$A$500,$C41,'DADOS BRUTOS'!AB$3:AB$500)))</f>
        <v/>
      </c>
      <c r="DC41" s="123">
        <f>IF(OR(DC$4="",$B41=""),0,SUMIF('DADOS BRUTOS'!$A$3:$A$500,$B41,'DADOS BRUTOS'!AC$3:AC$500)+IF($C41="",0,SUMIF('DADOS BRUTOS'!$A$3:$A$500,$C41,'DADOS BRUTOS'!AC$3:AC$500)))</f>
        <v/>
      </c>
      <c r="DD41" s="123">
        <f>IF(OR(DD$4="",$B41=""),0,SUMIF('DADOS BRUTOS'!$A$3:$A$500,$B41,'DADOS BRUTOS'!AD$3:AD$500)+IF($C41="",0,SUMIF('DADOS BRUTOS'!$A$3:$A$500,$C41,'DADOS BRUTOS'!AD$3:AD$500)))</f>
        <v/>
      </c>
      <c r="DE41" s="123">
        <f>IF(OR(DE$4="",$B41=""),0,SUMIF('DADOS BRUTOS'!$A$3:$A$500,$B41,'DADOS BRUTOS'!AE$3:AE$500)+IF($C41="",0,SUMIF('DADOS BRUTOS'!$A$3:$A$500,$C41,'DADOS BRUTOS'!AE$3:AE$500)))</f>
        <v/>
      </c>
      <c r="DF41" s="123">
        <f>IF(OR(DF$4="",$B41=""),0,SUMIF('DADOS BRUTOS'!$A$3:$A$500,$B41,'DADOS BRUTOS'!AF$3:AF$500)+IF($C41="",0,SUMIF('DADOS BRUTOS'!$A$3:$A$500,$C41,'DADOS BRUTOS'!AF$3:AF$500)))</f>
        <v/>
      </c>
      <c r="DG41" s="123">
        <f>IF(OR(DG$4="",$B41=""),0,SUMIF('DADOS BRUTOS'!$A$3:$A$500,$B41,'DADOS BRUTOS'!AG$3:AG$500)+IF($C41="",0,SUMIF('DADOS BRUTOS'!$A$3:$A$500,$C41,'DADOS BRUTOS'!AG$3:AG$500)))</f>
        <v/>
      </c>
      <c r="DH41" s="123">
        <f>IF(OR(DH$4="",$B41=""),0,SUMIF('DADOS BRUTOS'!$A$3:$A$500,$B41,'DADOS BRUTOS'!AH$3:AH$500)+IF($C41="",0,SUMIF('DADOS BRUTOS'!$A$3:$A$500,$C41,'DADOS BRUTOS'!AH$3:AH$500)))</f>
        <v/>
      </c>
      <c r="DI41" s="123">
        <f>IF(OR(DI$4="",$B41=""),0,SUMIF('DADOS BRUTOS'!$A$3:$A$500,$B41,'DADOS BRUTOS'!AI$3:AI$500)+IF($C41="",0,SUMIF('DADOS BRUTOS'!$A$3:$A$500,$C41,'DADOS BRUTOS'!AI$3:AI$500)))</f>
        <v/>
      </c>
      <c r="DJ41" s="123">
        <f>IF(OR(DJ$4="",$B41=""),0,SUMIF('DADOS BRUTOS'!$A$3:$A$500,$B41,'DADOS BRUTOS'!AJ$3:AJ$500)+IF($C41="",0,SUMIF('DADOS BRUTOS'!$A$3:$A$500,$C41,'DADOS BRUTOS'!AJ$3:AJ$500)))</f>
        <v/>
      </c>
      <c r="DK41" s="123">
        <f>IF(OR(DK$4="",$B41=""),0,SUMIF('DADOS BRUTOS'!$A$3:$A$500,$B41,'DADOS BRUTOS'!AK$3:AK$500)+IF($C41="",0,SUMIF('DADOS BRUTOS'!$A$3:$A$500,$C41,'DADOS BRUTOS'!AK$3:AK$500)))</f>
        <v/>
      </c>
      <c r="DL41" s="123">
        <f>IF(OR(DL$4="",$B41=""),0,SUMIF('DADOS BRUTOS'!$A$3:$A$500,$B41,'DADOS BRUTOS'!AL$3:AL$500)+IF($C41="",0,SUMIF('DADOS BRUTOS'!$A$3:$A$500,$C41,'DADOS BRUTOS'!AL$3:AL$500)))</f>
        <v/>
      </c>
      <c r="DM41" s="123">
        <f>IF(OR(DM$4="",$B41=""),0,SUMIF('DADOS BRUTOS'!$A$3:$A$500,$B41,'DADOS BRUTOS'!AM$3:AM$500)+IF($C41="",0,SUMIF('DADOS BRUTOS'!$A$3:$A$500,$C41,'DADOS BRUTOS'!AM$3:AM$500)))</f>
        <v/>
      </c>
      <c r="DN41" s="123">
        <f>IF(OR(DN$4="",$B41=""),0,SUMIF('DADOS BRUTOS'!$A$3:$A$500,$B41,'DADOS BRUTOS'!AN$3:AN$500)+IF($C41="",0,SUMIF('DADOS BRUTOS'!$A$3:$A$500,$C41,'DADOS BRUTOS'!AN$3:AN$500)))</f>
        <v/>
      </c>
      <c r="DO41" s="123">
        <f>IF(OR(DO$4="",$B41=""),0,SUMIF('DADOS BRUTOS'!$A$3:$A$500,$B41,'DADOS BRUTOS'!AO$3:AO$500)+IF($C41="",0,SUMIF('DADOS BRUTOS'!$A$3:$A$500,$C41,'DADOS BRUTOS'!AO$3:AO$500)))</f>
        <v/>
      </c>
      <c r="DP41" s="123">
        <f>IF(OR(DP$4="",$B41=""),0,SUMIF('DADOS BRUTOS'!$A$3:$A$500,$B41,'DADOS BRUTOS'!AP$3:AP$500)+IF($C41="",0,SUMIF('DADOS BRUTOS'!$A$3:$A$500,$C41,'DADOS BRUTOS'!AP$3:AP$500)))</f>
        <v/>
      </c>
      <c r="DQ41" s="123">
        <f>IF(OR(DQ$4="",$B41=""),0,SUMIF('DADOS BRUTOS'!$A$3:$A$500,$B41,'DADOS BRUTOS'!AQ$3:AQ$500)+IF($C41="",0,SUMIF('DADOS BRUTOS'!$A$3:$A$500,$C41,'DADOS BRUTOS'!AQ$3:AQ$500)))</f>
        <v/>
      </c>
      <c r="DR41" s="123">
        <f>IF(OR(DR$4="",$B41=""),0,SUMIF('DADOS BRUTOS'!$A$3:$A$500,$B41,'DADOS BRUTOS'!AR$3:AR$500)+IF($C41="",0,SUMIF('DADOS BRUTOS'!$A$3:$A$500,$C41,'DADOS BRUTOS'!AR$3:AR$500)))</f>
        <v/>
      </c>
      <c r="DS41" s="123">
        <f>IF(OR(DS$4="",$B41=""),0,SUMIF('DADOS BRUTOS'!$A$3:$A$500,$B41,'DADOS BRUTOS'!AS$3:AS$500)+IF($C41="",0,SUMIF('DADOS BRUTOS'!$A$3:$A$500,$C41,'DADOS BRUTOS'!AS$3:AS$500)))</f>
        <v/>
      </c>
      <c r="DT41" s="123">
        <f>IF(OR(DT$4="",$B41=""),0,SUMIF('DADOS BRUTOS'!$A$3:$A$500,$B41,'DADOS BRUTOS'!AT$3:AT$500)+IF($C41="",0,SUMIF('DADOS BRUTOS'!$A$3:$A$500,$C41,'DADOS BRUTOS'!AT$3:AT$500)))</f>
        <v/>
      </c>
      <c r="DU41" s="123">
        <f>IF(OR(DU$4="",$B41=""),0,SUMIF('DADOS BRUTOS'!$A$3:$A$500,$B41,'DADOS BRUTOS'!AU$3:AU$500)+IF($C41="",0,SUMIF('DADOS BRUTOS'!$A$3:$A$500,$C41,'DADOS BRUTOS'!AU$3:AU$500)))</f>
        <v/>
      </c>
      <c r="DV41" s="123">
        <f>IF(OR(DV$4="",$B41=""),0,SUMIF('DADOS BRUTOS'!$A$3:$A$500,$B41,'DADOS BRUTOS'!AV$3:AV$500)+IF($C41="",0,SUMIF('DADOS BRUTOS'!$A$3:$A$500,$C41,'DADOS BRUTOS'!AV$3:AV$500)))</f>
        <v/>
      </c>
      <c r="DW41" s="123">
        <f>IF(OR(DW$4="",$B41=""),0,SUMIF('DADOS BRUTOS'!$A$3:$A$500,$B41,'DADOS BRUTOS'!AW$3:AW$500)+IF($C41="",0,SUMIF('DADOS BRUTOS'!$A$3:$A$500,$C41,'DADOS BRUTOS'!AW$3:AW$500)))</f>
        <v/>
      </c>
      <c r="DX41" s="123">
        <f>IF(OR(DX$4="",$B41=""),0,SUMIF('DADOS BRUTOS'!$A$3:$A$500,$B41,'DADOS BRUTOS'!AX$3:AX$500)+IF($C41="",0,SUMIF('DADOS BRUTOS'!$A$3:$A$500,$C41,'DADOS BRUTOS'!AX$3:AX$500)))</f>
        <v/>
      </c>
      <c r="DY41" s="123">
        <f>IF(OR(DY$4="",$B41=""),0,SUMIF('DADOS BRUTOS'!$A$3:$A$500,$B41,'DADOS BRUTOS'!AY$3:AY$500)+IF($C41="",0,SUMIF('DADOS BRUTOS'!$A$3:$A$500,$C41,'DADOS BRUTOS'!AY$3:AY$500)))</f>
        <v/>
      </c>
      <c r="DZ41" s="123">
        <f>IF(OR(DZ$4="",$B41=""),0,SUMIF('DADOS BRUTOS'!$A$3:$A$500,$B41,'DADOS BRUTOS'!AZ$3:AZ$500)+IF($C41="",0,SUMIF('DADOS BRUTOS'!$A$3:$A$500,$C41,'DADOS BRUTOS'!AZ$3:AZ$500)))</f>
        <v/>
      </c>
      <c r="EA41" s="123">
        <f>IF(OR(EA$4="",$B41=""),0,SUMIF('DADOS BRUTOS'!$A$3:$A$500,$B41,'DADOS BRUTOS'!BA$3:BA$500)+IF($C41="",0,SUMIF('DADOS BRUTOS'!$A$3:$A$500,$C41,'DADOS BRUTOS'!BA$3:BA$500)))</f>
        <v/>
      </c>
      <c r="EB41" s="123">
        <f>IF(OR(EB$4="",$B41=""),0,SUMIF('DADOS BRUTOS'!$A$3:$A$500,$B41,'DADOS BRUTOS'!BB$3:BB$500)+IF($C41="",0,SUMIF('DADOS BRUTOS'!$A$3:$A$500,$C41,'DADOS BRUTOS'!BB$3:BB$500)))</f>
        <v/>
      </c>
      <c r="EC41" s="123">
        <f>IF(OR(EC$4="",$B41=""),0,SUMIF('DADOS BRUTOS'!$A$3:$A$500,$B41,'DADOS BRUTOS'!BC$3:BC$500)+IF($C41="",0,SUMIF('DADOS BRUTOS'!$A$3:$A$500,$C41,'DADOS BRUTOS'!BC$3:BC$500)))</f>
        <v/>
      </c>
      <c r="ED41" s="123">
        <f>IF(OR(ED$4="",$B41=""),0,SUMIF('DADOS BRUTOS'!$A$3:$A$500,$B41,'DADOS BRUTOS'!BD$3:BD$500)+IF($C41="",0,SUMIF('DADOS BRUTOS'!$A$3:$A$500,$C41,'DADOS BRUTOS'!BD$3:BD$500)))</f>
        <v/>
      </c>
      <c r="EE41" s="123">
        <f>IF(OR(EE$4="",$B41=""),0,SUMIF('DADOS BRUTOS'!$A$3:$A$500,$B41,'DADOS BRUTOS'!BE$3:BE$500)+IF($C41="",0,SUMIF('DADOS BRUTOS'!$A$3:$A$500,$C41,'DADOS BRUTOS'!BE$3:BE$500)))</f>
        <v/>
      </c>
      <c r="EF41" s="123">
        <f>IF(OR(EF$4="",$B41=""),0,SUMIF('DADOS BRUTOS'!$A$3:$A$500,$B41,'DADOS BRUTOS'!BF$3:BF$500)+IF($C41="",0,SUMIF('DADOS BRUTOS'!$A$3:$A$500,$C41,'DADOS BRUTOS'!BF$3:BF$500)))</f>
        <v/>
      </c>
      <c r="EG41" s="123">
        <f>IF(OR(EG$4="",$B41=""),0,SUMIF('DADOS BRUTOS'!$A$3:$A$500,$B41,'DADOS BRUTOS'!BG$3:BG$500)+IF($C41="",0,SUMIF('DADOS BRUTOS'!$A$3:$A$500,$C41,'DADOS BRUTOS'!BG$3:BG$500)))</f>
        <v/>
      </c>
      <c r="EH41" s="123">
        <f>IF(OR(EH$4="",$B41=""),0,SUMIF('DADOS BRUTOS'!$A$3:$A$500,$B41,'DADOS BRUTOS'!BH$3:BH$500)+IF($C41="",0,SUMIF('DADOS BRUTOS'!$A$3:$A$500,$C41,'DADOS BRUTOS'!BH$3:BH$500)))</f>
        <v/>
      </c>
      <c r="EI41" s="123">
        <f>IF(OR(EI$4="",$B41=""),0,SUMIF('DADOS BRUTOS'!$A$3:$A$500,$B41,'DADOS BRUTOS'!BI$3:BI$500)+IF($C41="",0,SUMIF('DADOS BRUTOS'!$A$3:$A$500,$C41,'DADOS BRUTOS'!BI$3:BI$500)))</f>
        <v/>
      </c>
      <c r="EJ41" s="123">
        <f>IF(OR(EJ$4="",$B41=""),0,SUMIF('DADOS BRUTOS'!$A$3:$A$500,$B41,'DADOS BRUTOS'!BJ$3:BJ$500)+IF($C41="",0,SUMIF('DADOS BRUTOS'!$A$3:$A$500,$C41,'DADOS BRUTOS'!BJ$3:BJ$500)))</f>
        <v/>
      </c>
      <c r="EK41" s="123">
        <f>IF(OR(EK$4="",$B41=""),0,SUMIF('DADOS BRUTOS'!$A$3:$A$500,$B41,'DADOS BRUTOS'!BK$3:BK$500)+IF($C41="",0,SUMIF('DADOS BRUTOS'!$A$3:$A$500,$C41,'DADOS BRUTOS'!BK$3:BK$500)))</f>
        <v/>
      </c>
      <c r="EL41" s="123">
        <f>IF(OR(EL$4="",$B41=""),0,SUMIF('DADOS BRUTOS'!$A$3:$A$500,$B41,'DADOS BRUTOS'!BL$3:BL$500)+IF($C41="",0,SUMIF('DADOS BRUTOS'!$A$3:$A$500,$C41,'DADOS BRUTOS'!BL$3:BL$500)))</f>
        <v/>
      </c>
      <c r="EM41" s="123">
        <f>IF(OR(EM$4="",$B41=""),0,SUMIF('DADOS BRUTOS'!$A$3:$A$500,$B41,'DADOS BRUTOS'!BM$3:BM$500)+IF($C41="",0,SUMIF('DADOS BRUTOS'!$A$3:$A$500,$C41,'DADOS BRUTOS'!BM$3:BM$500)))</f>
        <v/>
      </c>
      <c r="EN41" s="123">
        <f>IF(OR(EN$4="",$B41=""),0,SUMIF('DADOS BRUTOS'!$A$3:$A$500,$B41,'DADOS BRUTOS'!BN$3:BN$500)+IF($C41="",0,SUMIF('DADOS BRUTOS'!$A$3:$A$500,$C41,'DADOS BRUTOS'!BN$3:BN$500)))</f>
        <v/>
      </c>
      <c r="EO41" s="123">
        <f>IF(OR(EO$4="",$B41=""),0,SUMIF('DADOS BRUTOS'!$A$3:$A$500,$B41,'DADOS BRUTOS'!BO$3:BO$500)+IF($C41="",0,SUMIF('DADOS BRUTOS'!$A$3:$A$500,$C41,'DADOS BRUTOS'!BO$3:BO$500)))</f>
        <v/>
      </c>
      <c r="EP41" s="123">
        <f>IF(OR(EP$4="",$B41=""),0,SUMIF('DADOS BRUTOS'!$A$3:$A$500,$B41,'DADOS BRUTOS'!BP$3:BP$500)+IF($C41="",0,SUMIF('DADOS BRUTOS'!$A$3:$A$500,$C41,'DADOS BRUTOS'!BP$3:BP$500)))</f>
        <v/>
      </c>
      <c r="EQ41" s="123">
        <f>IF(OR(EQ$4="",$B41=""),0,SUMIF('DADOS BRUTOS'!$A$3:$A$500,$B41,'DADOS BRUTOS'!BQ$3:BQ$500)+IF($C41="",0,SUMIF('DADOS BRUTOS'!$A$3:$A$500,$C41,'DADOS BRUTOS'!BQ$3:BQ$500)))</f>
        <v/>
      </c>
      <c r="ER41" s="123">
        <f>IF(OR(ER$4="",$B41=""),0,SUMIF('DADOS BRUTOS'!$A$3:$A$500,$B41,'DADOS BRUTOS'!BR$3:BR$500)+IF($C41="",0,SUMIF('DADOS BRUTOS'!$A$3:$A$500,$C41,'DADOS BRUTOS'!BR$3:BR$500)))</f>
        <v/>
      </c>
      <c r="ES41" s="123">
        <f>IF(OR(ES$4="",$B41=""),0,SUMIF('DADOS BRUTOS'!$A$3:$A$500,$B41,'DADOS BRUTOS'!BS$3:BS$500)+IF($C41="",0,SUMIF('DADOS BRUTOS'!$A$3:$A$500,$C41,'DADOS BRUTOS'!BS$3:BS$500)))</f>
        <v/>
      </c>
      <c r="ET41" s="123">
        <f>IF(OR(ET$4="",$B41=""),0,SUMIF('DADOS BRUTOS'!$A$3:$A$500,$B41,'DADOS BRUTOS'!BT$3:BT$500)+IF($C41="",0,SUMIF('DADOS BRUTOS'!$A$3:$A$500,$C41,'DADOS BRUTOS'!BT$3:BT$500)))</f>
        <v/>
      </c>
      <c r="EU41" s="123">
        <f>IF(OR(EU$4="",$B41=""),0,SUMIF('DADOS BRUTOS'!$A$3:$A$500,$B41,'DADOS BRUTOS'!BU$3:BU$500)+IF($C41="",0,SUMIF('DADOS BRUTOS'!$A$3:$A$500,$C41,'DADOS BRUTOS'!BU$3:BU$500)))</f>
        <v/>
      </c>
      <c r="EV41" s="123">
        <f>IF(OR(EV$4="",$B41=""),0,SUMIF('DADOS BRUTOS'!$A$3:$A$500,$B41,'DADOS BRUTOS'!BV$3:BV$500)+IF($C41="",0,SUMIF('DADOS BRUTOS'!$A$3:$A$500,$C41,'DADOS BRUTOS'!BV$3:BV$500)))</f>
        <v/>
      </c>
      <c r="EW41" s="123">
        <f>IF(OR(EW$4="",$B41=""),0,SUMIF('DADOS BRUTOS'!$A$3:$A$500,$B41,'DADOS BRUTOS'!BW$3:BW$500)+IF($C41="",0,SUMIF('DADOS BRUTOS'!$A$3:$A$500,$C41,'DADOS BRUTOS'!BW$3:BW$500)))</f>
        <v/>
      </c>
      <c r="EX41" s="123">
        <f>IF(OR(EX$4="",$B41=""),0,SUMIF('DADOS BRUTOS'!$A$3:$A$500,$B41,'DADOS BRUTOS'!BX$3:BX$500)+IF($C41="",0,SUMIF('DADOS BRUTOS'!$A$3:$A$500,$C41,'DADOS BRUTOS'!BX$3:BX$500)))</f>
        <v/>
      </c>
      <c r="EY41" s="123">
        <f>IF(OR(EY$4="",$B41=""),0,SUMIF('DADOS BRUTOS'!$A$3:$A$500,$B41,'DADOS BRUTOS'!BY$3:BY$500)+IF($C41="",0,SUMIF('DADOS BRUTOS'!$A$3:$A$500,$C41,'DADOS BRUTOS'!BY$3:BY$500)))</f>
        <v/>
      </c>
      <c r="EZ41" s="123">
        <f>IF(OR(EZ$4="",$B41=""),0,SUMIF('DADOS BRUTOS'!$A$3:$A$500,$B41,'DADOS BRUTOS'!BZ$3:BZ$500)+IF($C41="",0,SUMIF('DADOS BRUTOS'!$A$3:$A$500,$C41,'DADOS BRUTOS'!BZ$3:BZ$500)))</f>
        <v/>
      </c>
      <c r="FA41" s="123">
        <f>IF(OR(FA$4="",$B41=""),0,SUMIF('DADOS BRUTOS'!$A$3:$A$500,$B41,'DADOS BRUTOS'!CA$3:CA$500)+IF($C41="",0,SUMIF('DADOS BRUTOS'!$A$3:$A$500,$C41,'DADOS BRUTOS'!CA$3:CA$500)))</f>
        <v/>
      </c>
      <c r="FB41" s="123">
        <f>IF(OR(FB$4="",$B41=""),0,SUMIF('DADOS BRUTOS'!$A$3:$A$500,$B41,'DADOS BRUTOS'!CB$3:CB$500)+IF($C41="",0,SUMIF('DADOS BRUTOS'!$A$3:$A$500,$C41,'DADOS BRUTOS'!CB$3:CB$500)))</f>
        <v/>
      </c>
      <c r="FC41" s="123">
        <f>IF(OR(FC$4="",$B41=""),0,SUMIF('DADOS BRUTOS'!$A$3:$A$500,$B41,'DADOS BRUTOS'!CC$3:CC$500)+IF($C41="",0,SUMIF('DADOS BRUTOS'!$A$3:$A$500,$C41,'DADOS BRUTOS'!CC$3:CC$500)))</f>
        <v/>
      </c>
      <c r="FD41" s="123">
        <f>IF(OR(FD$4="",$B41=""),0,SUMIF('DADOS BRUTOS'!$A$3:$A$500,$B41,'DADOS BRUTOS'!CD$3:CD$500)+IF($C41="",0,SUMIF('DADOS BRUTOS'!$A$3:$A$500,$C41,'DADOS BRUTOS'!CD$3:CD$500)))</f>
        <v/>
      </c>
      <c r="FE41" s="123">
        <f>IF(OR(FE$4="",$B41=""),0,SUMIF('DADOS BRUTOS'!$A$3:$A$500,$B41,'DADOS BRUTOS'!CE$3:CE$500)+IF($C41="",0,SUMIF('DADOS BRUTOS'!$A$3:$A$500,$C41,'DADOS BRUTOS'!CE$3:CE$500)))</f>
        <v/>
      </c>
      <c r="FF41" s="123">
        <f>IF(OR(FF$4="",$B41=""),0,SUMIF('DADOS BRUTOS'!$A$3:$A$500,$B41,'DADOS BRUTOS'!CF$3:CF$500)+IF($C41="",0,SUMIF('DADOS BRUTOS'!$A$3:$A$500,$C41,'DADOS BRUTOS'!CF$3:CF$500)))</f>
        <v/>
      </c>
      <c r="FG41" s="123">
        <f>IF(OR(FG$4="",$B41=""),0,SUMIF('DADOS BRUTOS'!$A$3:$A$500,$B41,'DADOS BRUTOS'!CG$3:CG$500)+IF($C41="",0,SUMIF('DADOS BRUTOS'!$A$3:$A$500,$C41,'DADOS BRUTOS'!CG$3:CG$500)))</f>
        <v/>
      </c>
      <c r="FH41" s="123">
        <f>IF(OR(FH$4="",$B41=""),0,SUMIF('DADOS BRUTOS'!$A$3:$A$500,$B41,'DADOS BRUTOS'!CH$3:CH$500)+IF($C41="",0,SUMIF('DADOS BRUTOS'!$A$3:$A$500,$C41,'DADOS BRUTOS'!CH$3:CH$500)))</f>
        <v/>
      </c>
      <c r="FI41" s="123">
        <f>IF(OR(FI$4="",$B41=""),0,SUMIF('DADOS BRUTOS'!$A$3:$A$500,$B41,'DADOS BRUTOS'!CI$3:CI$500)+IF($C41="",0,SUMIF('DADOS BRUTOS'!$A$3:$A$500,$C41,'DADOS BRUTOS'!CI$3:CI$500)))</f>
        <v/>
      </c>
      <c r="FJ41" s="123">
        <f>IF(OR(FJ$4="",$B41=""),0,SUMIF('DADOS BRUTOS'!$A$3:$A$500,$B41,'DADOS BRUTOS'!CJ$3:CJ$500)+IF($C41="",0,SUMIF('DADOS BRUTOS'!$A$3:$A$500,$C41,'DADOS BRUTOS'!CJ$3:CJ$500)))</f>
        <v/>
      </c>
      <c r="FK41" s="123">
        <f>IF(OR(FK$4="",$B41=""),0,SUMIF('DADOS BRUTOS'!$A$3:$A$500,$B41,'DADOS BRUTOS'!CK$3:CK$500)+IF($C41="",0,SUMIF('DADOS BRUTOS'!$A$3:$A$500,$C41,'DADOS BRUTOS'!CK$3:CK$500)))</f>
        <v/>
      </c>
      <c r="FL41" s="123">
        <f>IF(OR(FL$4="",$B41=""),0,SUMIF('DADOS BRUTOS'!$A$3:$A$500,$B41,'DADOS BRUTOS'!CL$3:CL$500)+IF($C41="",0,SUMIF('DADOS BRUTOS'!$A$3:$A$500,$C41,'DADOS BRUTOS'!CL$3:CL$500)))</f>
        <v/>
      </c>
      <c r="FM41" s="123">
        <f>IF(OR(FM$4="",$B41=""),0,SUMIF('DADOS BRUTOS'!$A$3:$A$500,$B41,'DADOS BRUTOS'!CM$3:CM$500)+IF($C41="",0,SUMIF('DADOS BRUTOS'!$A$3:$A$500,$C41,'DADOS BRUTOS'!CM$3:CM$500)))</f>
        <v/>
      </c>
      <c r="FN41" s="123">
        <f>IF(OR(FN$4="",$B41=""),0,SUMIF('DADOS BRUTOS'!$A$3:$A$500,$B41,'DADOS BRUTOS'!CN$3:CN$500)+IF($C41="",0,SUMIF('DADOS BRUTOS'!$A$3:$A$500,$C41,'DADOS BRUTOS'!CN$3:CN$500)))</f>
        <v/>
      </c>
      <c r="FO41" s="123">
        <f>IF(OR(FO$4="",$B41=""),0,SUMIF('DADOS BRUTOS'!$A$3:$A$500,$B41,'DADOS BRUTOS'!CO$3:CO$500)+IF($C41="",0,SUMIF('DADOS BRUTOS'!$A$3:$A$500,$C41,'DADOS BRUTOS'!CO$3:CO$500)))</f>
        <v/>
      </c>
      <c r="FP41" s="123">
        <f>IF(OR(FP$4="",$B41=""),0,SUMIF('DADOS BRUTOS'!$A$3:$A$500,$B41,'DADOS BRUTOS'!CP$3:CP$500)+IF($C41="",0,SUMIF('DADOS BRUTOS'!$A$3:$A$500,$C41,'DADOS BRUTOS'!CP$3:CP$500)))</f>
        <v/>
      </c>
      <c r="FQ41" s="123">
        <f>IF(OR(FQ$4="",$B41=""),0,SUMIF('DADOS BRUTOS'!$A$3:$A$500,$B41,'DADOS BRUTOS'!CQ$3:CQ$500)+IF($C41="",0,SUMIF('DADOS BRUTOS'!$A$3:$A$500,$C41,'DADOS BRUTOS'!CQ$3:CQ$500)))</f>
        <v/>
      </c>
      <c r="FR41" s="123">
        <f>IF(OR(FR$4="",$B41=""),0,SUMIF('DADOS BRUTOS'!$A$3:$A$500,$B41,'DADOS BRUTOS'!CR$3:CR$500)+IF($C41="",0,SUMIF('DADOS BRUTOS'!$A$3:$A$500,$C41,'DADOS BRUTOS'!CR$3:CR$500)))</f>
        <v/>
      </c>
      <c r="FS41" s="123">
        <f>IF(OR(FS$4="",$B41=""),0,SUMIF('DADOS BRUTOS'!$A$3:$A$500,$B41,'DADOS BRUTOS'!CS$3:CS$500)+IF($C41="",0,SUMIF('DADOS BRUTOS'!$A$3:$A$500,$C41,'DADOS BRUTOS'!CS$3:CS$500)))</f>
        <v/>
      </c>
      <c r="FT41" s="123">
        <f>IF(OR(FT$4="",$B41=""),0,SUMIF('DADOS BRUTOS'!$A$3:$A$500,$B41,'DADOS BRUTOS'!CT$3:CT$500)+IF($C41="",0,SUMIF('DADOS BRUTOS'!$A$3:$A$500,$C41,'DADOS BRUTOS'!CT$3:CT$500)))</f>
        <v/>
      </c>
      <c r="FU41" s="123">
        <f>IF(OR(FU$4="",$B41=""),0,SUMIF('DADOS BRUTOS'!$A$3:$A$500,$B41,'DADOS BRUTOS'!CU$3:CU$500)+IF($C41="",0,SUMIF('DADOS BRUTOS'!$A$3:$A$500,$C41,'DADOS BRUTOS'!CU$3:CU$500)))</f>
        <v/>
      </c>
      <c r="FV41" s="123">
        <f>IF(OR(FV$4="",$B41=""),0,SUMIF('DADOS BRUTOS'!$A$3:$A$500,$B41,'DADOS BRUTOS'!CV$3:CV$500)+IF($C41="",0,SUMIF('DADOS BRUTOS'!$A$3:$A$500,$C41,'DADOS BRUTOS'!CV$3:CV$500)))</f>
        <v/>
      </c>
      <c r="FW41" s="123">
        <f>IF(OR(FW$4="",$B41=""),0,SUMIF('DADOS BRUTOS'!$A$3:$A$500,$B41,'DADOS BRUTOS'!CW$3:CW$500)+IF($C41="",0,SUMIF('DADOS BRUTOS'!$A$3:$A$500,$C41,'DADOS BRUTOS'!CW$3:CW$500)))</f>
        <v/>
      </c>
      <c r="FX41" s="123">
        <f>IF(OR(FX$4="",$B41=""),0,SUMIF('DADOS BRUTOS'!$A$3:$A$500,$B41,'DADOS BRUTOS'!CX$3:CX$500)+IF($C41="",0,SUMIF('DADOS BRUTOS'!$A$3:$A$500,$C41,'DADOS BRUTOS'!CX$3:CX$500)))</f>
        <v/>
      </c>
      <c r="FY41" s="123">
        <f>IF(OR(FY$4="",$B41=""),0,SUMIF('DADOS BRUTOS'!$A$3:$A$500,$B41,'DADOS BRUTOS'!CY$3:CY$500)+IF($C41="",0,SUMIF('DADOS BRUTOS'!$A$3:$A$500,$C41,'DADOS BRUTOS'!CY$3:CY$500)))</f>
        <v/>
      </c>
      <c r="FZ41" s="123">
        <f>IF(OR(FZ$4="",$B41=""),0,SUMIF('DADOS BRUTOS'!$A$3:$A$500,$B41,'DADOS BRUTOS'!CZ$3:CZ$500)+IF($C41="",0,SUMIF('DADOS BRUTOS'!$A$3:$A$500,$C41,'DADOS BRUTOS'!CZ$3:CZ$500)))</f>
        <v/>
      </c>
      <c r="GA41" s="123">
        <f>IF(OR(GA$4="",$B41=""),0,SUMIF('DADOS BRUTOS'!$A$3:$A$500,$B41,'DADOS BRUTOS'!DA$3:DA$500)+IF($C41="",0,SUMIF('DADOS BRUTOS'!$A$3:$A$500,$C41,'DADOS BRUTOS'!DA$3:DA$500)))</f>
        <v/>
      </c>
      <c r="GB41" s="123">
        <f>IF(OR(GB$4="",$B41=""),0,SUMIF('DADOS BRUTOS'!$A$3:$A$500,$B41,'DADOS BRUTOS'!DB$3:DB$500)+IF($C41="",0,SUMIF('DADOS BRUTOS'!$A$3:$A$500,$C41,'DADOS BRUTOS'!DB$3:DB$500)))</f>
        <v/>
      </c>
      <c r="GC41" s="123">
        <f>IF(OR(GC$4="",$B41=""),0,SUMIF('DADOS BRUTOS'!$A$3:$A$500,$B41,'DADOS BRUTOS'!DC$3:DC$500)+IF($C41="",0,SUMIF('DADOS BRUTOS'!$A$3:$A$500,$C41,'DADOS BRUTOS'!DC$3:DC$500)))</f>
        <v/>
      </c>
      <c r="GD41" s="123">
        <f>IF(OR(GD$4="",$B41=""),0,SUMIF('DADOS BRUTOS'!$A$3:$A$500,$B41,'DADOS BRUTOS'!DD$3:DD$500)+IF($C41="",0,SUMIF('DADOS BRUTOS'!$A$3:$A$500,$C41,'DADOS BRUTOS'!DD$3:DD$500)))</f>
        <v/>
      </c>
      <c r="GE41" s="123">
        <f>IF(OR(GE$4="",$B41=""),0,SUMIF('DADOS BRUTOS'!$A$3:$A$500,$B41,'DADOS BRUTOS'!DE$3:DE$500)+IF($C41="",0,SUMIF('DADOS BRUTOS'!$A$3:$A$500,$C41,'DADOS BRUTOS'!DE$3:DE$500)))</f>
        <v/>
      </c>
      <c r="GF41" s="123">
        <f>IF(OR(GF$4="",$B41=""),0,SUMIF('DADOS BRUTOS'!$A$3:$A$500,$B41,'DADOS BRUTOS'!DF$3:DF$500)+IF($C41="",0,SUMIF('DADOS BRUTOS'!$A$3:$A$500,$C41,'DADOS BRUTOS'!DF$3:DF$500)))</f>
        <v/>
      </c>
      <c r="GG41" s="123">
        <f>IF(OR(GG$4="",$B41=""),0,SUMIF('DADOS BRUTOS'!$A$3:$A$500,$B41,'DADOS BRUTOS'!DG$3:DG$500)+IF($C41="",0,SUMIF('DADOS BRUTOS'!$A$3:$A$500,$C41,'DADOS BRUTOS'!DG$3:DG$500)))</f>
        <v/>
      </c>
      <c r="GH41" s="123">
        <f>IF(OR(GH$4="",$B41=""),0,SUMIF('DADOS BRUTOS'!$A$3:$A$500,$B41,'DADOS BRUTOS'!DH$3:DH$500)+IF($C41="",0,SUMIF('DADOS BRUTOS'!$A$3:$A$500,$C41,'DADOS BRUTOS'!DH$3:DH$500)))</f>
        <v/>
      </c>
      <c r="GI41" s="123">
        <f>IF(OR(GI$4="",$B41=""),0,SUMIF('DADOS BRUTOS'!$A$3:$A$500,$B41,'DADOS BRUTOS'!DI$3:DI$500)+IF($C41="",0,SUMIF('DADOS BRUTOS'!$A$3:$A$500,$C41,'DADOS BRUTOS'!DI$3:DI$500)))</f>
        <v/>
      </c>
      <c r="GJ41" s="123">
        <f>IF(OR(GJ$4="",$B41=""),0,SUMIF('DADOS BRUTOS'!$A$3:$A$500,$B41,'DADOS BRUTOS'!DJ$3:DJ$500)+IF($C41="",0,SUMIF('DADOS BRUTOS'!$A$3:$A$500,$C41,'DADOS BRUTOS'!DJ$3:DJ$500)))</f>
        <v/>
      </c>
      <c r="GK41" s="123">
        <f>IF(OR(GK$4="",$B41=""),0,SUMIF('DADOS BRUTOS'!$A$3:$A$500,$B41,'DADOS BRUTOS'!DK$3:DK$500)+IF($C41="",0,SUMIF('DADOS BRUTOS'!$A$3:$A$500,$C41,'DADOS BRUTOS'!DK$3:DK$500)))</f>
        <v/>
      </c>
      <c r="GL41" s="123">
        <f>IF(OR(GL$4="",$B41=""),0,SUMIF('DADOS BRUTOS'!$A$3:$A$500,$B41,'DADOS BRUTOS'!DL$3:DL$500)+IF($C41="",0,SUMIF('DADOS BRUTOS'!$A$3:$A$500,$C41,'DADOS BRUTOS'!DL$3:DL$500)))</f>
        <v/>
      </c>
      <c r="GM41" s="123">
        <f>IF(OR(GM$4="",$B41=""),0,SUMIF('DADOS BRUTOS'!$A$3:$A$500,$B41,'DADOS BRUTOS'!DM$3:DM$500)+IF($C41="",0,SUMIF('DADOS BRUTOS'!$A$3:$A$500,$C41,'DADOS BRUTOS'!DM$3:DM$500)))</f>
        <v/>
      </c>
      <c r="GN41" s="123">
        <f>IF(OR(GN$4="",$B41=""),0,SUMIF('DADOS BRUTOS'!$A$3:$A$500,$B41,'DADOS BRUTOS'!DN$3:DN$500)+IF($C41="",0,SUMIF('DADOS BRUTOS'!$A$3:$A$500,$C41,'DADOS BRUTOS'!DN$3:DN$500)))</f>
        <v/>
      </c>
      <c r="GO41" s="123">
        <f>IF(OR(GO$4="",$B41=""),0,SUMIF('DADOS BRUTOS'!$A$3:$A$500,$B41,'DADOS BRUTOS'!DO$3:DO$500)+IF($C41="",0,SUMIF('DADOS BRUTOS'!$A$3:$A$500,$C41,'DADOS BRUTOS'!DO$3:DO$500)))</f>
        <v/>
      </c>
      <c r="GP41" s="123">
        <f>IF(OR(GP$4="",$B41=""),0,SUMIF('DADOS BRUTOS'!$A$3:$A$500,$B41,'DADOS BRUTOS'!DP$3:DP$500)+IF($C41="",0,SUMIF('DADOS BRUTOS'!$A$3:$A$500,$C41,'DADOS BRUTOS'!DP$3:DP$500)))</f>
        <v/>
      </c>
      <c r="GQ41" s="123">
        <f>IF(OR(GQ$4="",$B41=""),0,SUMIF('DADOS BRUTOS'!$A$3:$A$500,$B41,'DADOS BRUTOS'!DQ$3:DQ$500)+IF($C41="",0,SUMIF('DADOS BRUTOS'!$A$3:$A$500,$C41,'DADOS BRUTOS'!DQ$3:DQ$500)))</f>
        <v/>
      </c>
      <c r="GR41" s="123">
        <f>IF(OR(GR$4="",$B41=""),0,SUMIF('DADOS BRUTOS'!$A$3:$A$500,$B41,'DADOS BRUTOS'!DR$3:DR$500)+IF($C41="",0,SUMIF('DADOS BRUTOS'!$A$3:$A$500,$C41,'DADOS BRUTOS'!DR$3:DR$500)))</f>
        <v/>
      </c>
      <c r="GS41" s="123">
        <f>IF(OR(GS$4="",$B41=""),0,SUMIF('DADOS BRUTOS'!$A$3:$A$500,$B41,'DADOS BRUTOS'!DS$3:DS$500)+IF($C41="",0,SUMIF('DADOS BRUTOS'!$A$3:$A$500,$C41,'DADOS BRUTOS'!DS$3:DS$500)))</f>
        <v/>
      </c>
      <c r="GT41" s="123">
        <f>IF(OR(GT$4="",$B41=""),0,SUMIF('DADOS BRUTOS'!$A$3:$A$500,$B41,'DADOS BRUTOS'!DT$3:DT$500)+IF($C41="",0,SUMIF('DADOS BRUTOS'!$A$3:$A$500,$C41,'DADOS BRUTOS'!DT$3:DT$500)))</f>
        <v/>
      </c>
      <c r="GU41" s="123">
        <f>IF(OR(GU$4="",$B41=""),0,SUMIF('DADOS BRUTOS'!$A$3:$A$500,$B41,'DADOS BRUTOS'!DU$3:DU$500)+IF($C41="",0,SUMIF('DADOS BRUTOS'!$A$3:$A$500,$C41,'DADOS BRUTOS'!DU$3:DU$500)))</f>
        <v/>
      </c>
      <c r="GV41" s="123">
        <f>IF(OR(GV$4="",$B41=""),0,SUMIF('DADOS BRUTOS'!$A$3:$A$500,$B41,'DADOS BRUTOS'!DV$3:DV$500)+IF($C41="",0,SUMIF('DADOS BRUTOS'!$A$3:$A$500,$C41,'DADOS BRUTOS'!DV$3:DV$500)))</f>
        <v/>
      </c>
      <c r="GW41" s="123">
        <f>IF(OR(GW$4="",$B41=""),0,SUMIF('DADOS BRUTOS'!$A$3:$A$500,$B41,'DADOS BRUTOS'!DW$3:DW$500)+IF($C41="",0,SUMIF('DADOS BRUTOS'!$A$3:$A$500,$C41,'DADOS BRUTOS'!DW$3:DW$500)))</f>
        <v/>
      </c>
      <c r="GX41" s="123">
        <f>IF(OR(GX$4="",$B41=""),0,SUMIF('DADOS BRUTOS'!$A$3:$A$500,$B41,'DADOS BRUTOS'!DX$3:DX$500)+IF($C41="",0,SUMIF('DADOS BRUTOS'!$A$3:$A$500,$C41,'DADOS BRUTOS'!DX$3:DX$500)))</f>
        <v/>
      </c>
      <c r="GY41" s="123">
        <f>IF(OR(GY$4="",$B41=""),0,SUMIF('DADOS BRUTOS'!$A$3:$A$500,$B41,'DADOS BRUTOS'!DY$3:DY$500)+IF($C41="",0,SUMIF('DADOS BRUTOS'!$A$3:$A$500,$C41,'DADOS BRUTOS'!DY$3:DY$500)))</f>
        <v/>
      </c>
      <c r="GZ41" s="123">
        <f>IF(OR(GZ$4="",$B41=""),0,SUMIF('DADOS BRUTOS'!$A$3:$A$500,$B41,'DADOS BRUTOS'!DZ$3:DZ$500)+IF($C41="",0,SUMIF('DADOS BRUTOS'!$A$3:$A$500,$C41,'DADOS BRUTOS'!DZ$3:DZ$500)))</f>
        <v/>
      </c>
      <c r="HA41" s="123">
        <f>IF(OR(HA$4="",$B41=""),0,SUMIF('DADOS BRUTOS'!$A$3:$A$500,$B41,'DADOS BRUTOS'!EA$3:EA$500)+IF($C41="",0,SUMIF('DADOS BRUTOS'!$A$3:$A$500,$C41,'DADOS BRUTOS'!EA$3:EA$500)))</f>
        <v/>
      </c>
      <c r="HB41" s="123">
        <f>IF(OR(HB$4="",$B41=""),0,SUMIF('DADOS BRUTOS'!$A$3:$A$500,$B41,'DADOS BRUTOS'!EB$3:EB$500)+IF($C41="",0,SUMIF('DADOS BRUTOS'!$A$3:$A$500,$C41,'DADOS BRUTOS'!EB$3:EB$500)))</f>
        <v/>
      </c>
      <c r="HC41" s="123">
        <f>IF(OR(HC$4="",$B41=""),0,SUMIF('DADOS BRUTOS'!$A$3:$A$500,$B41,'DADOS BRUTOS'!EC$3:EC$500)+IF($C41="",0,SUMIF('DADOS BRUTOS'!$A$3:$A$500,$C41,'DADOS BRUTOS'!EC$3:EC$500)))</f>
        <v/>
      </c>
      <c r="HD41" s="123">
        <f>IF(OR(HD$4="",$B41=""),0,SUMIF('DADOS BRUTOS'!$A$3:$A$500,$B41,'DADOS BRUTOS'!ED$3:ED$500)+IF($C41="",0,SUMIF('DADOS BRUTOS'!$A$3:$A$500,$C41,'DADOS BRUTOS'!ED$3:ED$500)))</f>
        <v/>
      </c>
      <c r="HE41" s="123">
        <f>IF(OR(HE$4="",$B41=""),0,SUMIF('DADOS BRUTOS'!$A$3:$A$500,$B41,'DADOS BRUTOS'!EE$3:EE$500)+IF($C41="",0,SUMIF('DADOS BRUTOS'!$A$3:$A$500,$C41,'DADOS BRUTOS'!EE$3:EE$500)))</f>
        <v/>
      </c>
      <c r="HF41" s="123">
        <f>IF(OR(HF$4="",$B41=""),0,SUMIF('DADOS BRUTOS'!$A$3:$A$500,$B41,'DADOS BRUTOS'!EF$3:EF$500)+IF($C41="",0,SUMIF('DADOS BRUTOS'!$A$3:$A$500,$C41,'DADOS BRUTOS'!EF$3:EF$500)))</f>
        <v/>
      </c>
      <c r="HG41" s="123">
        <f>IF(OR(HG$4="",$B41=""),0,SUMIF('DADOS BRUTOS'!$A$3:$A$500,$B41,'DADOS BRUTOS'!EG$3:EG$500)+IF($C41="",0,SUMIF('DADOS BRUTOS'!$A$3:$A$500,$C41,'DADOS BRUTOS'!EG$3:EG$500)))</f>
        <v/>
      </c>
      <c r="HH41" s="123">
        <f>IF(OR(HH$4="",$B41=""),0,SUMIF('DADOS BRUTOS'!$A$3:$A$500,$B41,'DADOS BRUTOS'!EH$3:EH$500)+IF($C41="",0,SUMIF('DADOS BRUTOS'!$A$3:$A$500,$C41,'DADOS BRUTOS'!EH$3:EH$500)))</f>
        <v/>
      </c>
      <c r="HI41" s="123">
        <f>IF(OR(HI$4="",$B41=""),0,SUMIF('DADOS BRUTOS'!$A$3:$A$500,$B41,'DADOS BRUTOS'!EI$3:EI$500)+IF($C41="",0,SUMIF('DADOS BRUTOS'!$A$3:$A$500,$C41,'DADOS BRUTOS'!EI$3:EI$500)))</f>
        <v/>
      </c>
      <c r="HJ41" s="123">
        <f>IF(OR(HJ$4="",$B41=""),0,SUMIF('DADOS BRUTOS'!$A$3:$A$500,$B41,'DADOS BRUTOS'!EJ$3:EJ$500)+IF($C41="",0,SUMIF('DADOS BRUTOS'!$A$3:$A$500,$C41,'DADOS BRUTOS'!EJ$3:EJ$500)))</f>
        <v/>
      </c>
      <c r="HK41" s="123">
        <f>IF(OR(HK$4="",$B41=""),0,SUMIF('DADOS BRUTOS'!$A$3:$A$500,$B41,'DADOS BRUTOS'!EK$3:EK$500)+IF($C41="",0,SUMIF('DADOS BRUTOS'!$A$3:$A$500,$C41,'DADOS BRUTOS'!EK$3:EK$500)))</f>
        <v/>
      </c>
      <c r="HL41" s="123">
        <f>IF(OR(HL$4="",$B41=""),0,SUMIF('DADOS BRUTOS'!$A$3:$A$500,$B41,'DADOS BRUTOS'!EL$3:EL$500)+IF($C41="",0,SUMIF('DADOS BRUTOS'!$A$3:$A$500,$C41,'DADOS BRUTOS'!EL$3:EL$500)))</f>
        <v/>
      </c>
      <c r="HM41" s="123">
        <f>IF(OR(HM$4="",$B41=""),0,SUMIF('DADOS BRUTOS'!$A$3:$A$500,$B41,'DADOS BRUTOS'!EM$3:EM$500)+IF($C41="",0,SUMIF('DADOS BRUTOS'!$A$3:$A$500,$C41,'DADOS BRUTOS'!EM$3:EM$500)))</f>
        <v/>
      </c>
      <c r="HN41" s="123">
        <f>IF(OR(HN$4="",$B41=""),0,SUMIF('DADOS BRUTOS'!$A$3:$A$500,$B41,'DADOS BRUTOS'!EN$3:EN$500)+IF($C41="",0,SUMIF('DADOS BRUTOS'!$A$3:$A$500,$C41,'DADOS BRUTOS'!EN$3:EN$500)))</f>
        <v/>
      </c>
      <c r="HO41" s="123">
        <f>IF(OR(HO$4="",$B41=""),0,SUMIF('DADOS BRUTOS'!$A$3:$A$500,$B41,'DADOS BRUTOS'!EO$3:EO$500)+IF($C41="",0,SUMIF('DADOS BRUTOS'!$A$3:$A$500,$C41,'DADOS BRUTOS'!EO$3:EO$500)))</f>
        <v/>
      </c>
      <c r="HP41" s="123">
        <f>IF(OR(HP$4="",$B41=""),0,SUMIF('DADOS BRUTOS'!$A$3:$A$500,$B41,'DADOS BRUTOS'!EP$3:EP$500)+IF($C41="",0,SUMIF('DADOS BRUTOS'!$A$3:$A$500,$C41,'DADOS BRUTOS'!EP$3:EP$500)))</f>
        <v/>
      </c>
      <c r="HQ41" s="123">
        <f>IF(OR(HQ$4="",$B41=""),0,SUMIF('DADOS BRUTOS'!$A$3:$A$500,$B41,'DADOS BRUTOS'!EQ$3:EQ$500)+IF($C41="",0,SUMIF('DADOS BRUTOS'!$A$3:$A$500,$C41,'DADOS BRUTOS'!EQ$3:EQ$500)))</f>
        <v/>
      </c>
      <c r="HR41" s="123">
        <f>IF(OR(HR$4="",$B41=""),0,SUMIF('DADOS BRUTOS'!$A$3:$A$500,$B41,'DADOS BRUTOS'!ER$3:ER$500)+IF($C41="",0,SUMIF('DADOS BRUTOS'!$A$3:$A$500,$C41,'DADOS BRUTOS'!ER$3:ER$500)))</f>
        <v/>
      </c>
      <c r="HS41" s="123">
        <f>IF(OR(HS$4="",$B41=""),0,SUMIF('DADOS BRUTOS'!$A$3:$A$500,$B41,'DADOS BRUTOS'!ES$3:ES$500)+IF($C41="",0,SUMIF('DADOS BRUTOS'!$A$3:$A$500,$C41,'DADOS BRUTOS'!ES$3:ES$500)))</f>
        <v/>
      </c>
      <c r="HT41" s="123">
        <f>IF(OR(HT$4="",$B41=""),0,SUMIF('DADOS BRUTOS'!$A$3:$A$500,$B41,'DADOS BRUTOS'!ET$3:ET$500)+IF($C41="",0,SUMIF('DADOS BRUTOS'!$A$3:$A$500,$C41,'DADOS BRUTOS'!ET$3:ET$500)))</f>
        <v/>
      </c>
      <c r="HU41" s="123">
        <f>IF(OR(HU$4="",$B41=""),0,SUMIF('DADOS BRUTOS'!$A$3:$A$500,$B41,'DADOS BRUTOS'!EU$3:EU$500)+IF($C41="",0,SUMIF('DADOS BRUTOS'!$A$3:$A$500,$C41,'DADOS BRUTOS'!EU$3:EU$500)))</f>
        <v/>
      </c>
      <c r="HV41" s="123">
        <f>IF(OR(HV$4="",$B41=""),0,SUMIF('DADOS BRUTOS'!$A$3:$A$500,$B41,'DADOS BRUTOS'!EV$3:EV$500)+IF($C41="",0,SUMIF('DADOS BRUTOS'!$A$3:$A$500,$C41,'DADOS BRUTOS'!EV$3:EV$500)))</f>
        <v/>
      </c>
      <c r="HW41" s="123">
        <f>IF(OR(HW$4="",$B41=""),0,SUMIF('DADOS BRUTOS'!$A$3:$A$500,$B41,'DADOS BRUTOS'!EW$3:EW$500)+IF($C41="",0,SUMIF('DADOS BRUTOS'!$A$3:$A$500,$C41,'DADOS BRUTOS'!EW$3:EW$500)))</f>
        <v/>
      </c>
      <c r="HX41" s="123">
        <f>IF(OR(HX$4="",$B41=""),0,SUMIF('DADOS BRUTOS'!$A$3:$A$500,$B41,'DADOS BRUTOS'!EX$3:EX$500)+IF($C41="",0,SUMIF('DADOS BRUTOS'!$A$3:$A$500,$C41,'DADOS BRUTOS'!EX$3:EX$500)))</f>
        <v/>
      </c>
      <c r="HY41" s="123">
        <f>IF(OR(HY$4="",$B41=""),0,SUMIF('DADOS BRUTOS'!$A$3:$A$500,$B41,'DADOS BRUTOS'!EY$3:EY$500)+IF($C41="",0,SUMIF('DADOS BRUTOS'!$A$3:$A$500,$C41,'DADOS BRUTOS'!EY$3:EY$500)))</f>
        <v/>
      </c>
      <c r="HZ41" s="123">
        <f>IF(OR(HZ$4="",$B41=""),0,SUMIF('DADOS BRUTOS'!$A$3:$A$500,$B41,'DADOS BRUTOS'!EZ$3:EZ$500)+IF($C41="",0,SUMIF('DADOS BRUTOS'!$A$3:$A$500,$C41,'DADOS BRUTOS'!EZ$3:EZ$500)))</f>
        <v/>
      </c>
      <c r="IA41" s="123">
        <f>IF(OR(IA$4="",$B41=""),0,SUMIF('DADOS BRUTOS'!$A$3:$A$500,$B41,'DADOS BRUTOS'!FA$3:FA$500)+IF($C41="",0,SUMIF('DADOS BRUTOS'!$A$3:$A$500,$C41,'DADOS BRUTOS'!FA$3:FA$500)))</f>
        <v/>
      </c>
      <c r="IB41" s="123">
        <f>IF(OR(IB$4="",$B41=""),0,SUMIF('DADOS BRUTOS'!$A$3:$A$500,$B41,'DADOS BRUTOS'!FB$3:FB$500)+IF($C41="",0,SUMIF('DADOS BRUTOS'!$A$3:$A$500,$C41,'DADOS BRUTOS'!FB$3:FB$500)))</f>
        <v/>
      </c>
      <c r="IC41" s="123">
        <f>IF(OR(IC$4="",$B41=""),0,SUMIF('DADOS BRUTOS'!$A$3:$A$500,$B41,'DADOS BRUTOS'!FC$3:FC$500)+IF($C41="",0,SUMIF('DADOS BRUTOS'!$A$3:$A$500,$C41,'DADOS BRUTOS'!FC$3:FC$500)))</f>
        <v/>
      </c>
      <c r="ID41" s="123">
        <f>IF(OR(ID$4="",$B41=""),0,SUMIF('DADOS BRUTOS'!$A$3:$A$500,$B41,'DADOS BRUTOS'!FD$3:FD$500)+IF($C41="",0,SUMIF('DADOS BRUTOS'!$A$3:$A$500,$C41,'DADOS BRUTOS'!FD$3:FD$500)))</f>
        <v/>
      </c>
      <c r="IE41" s="123">
        <f>IF(OR(IE$4="",$B41=""),0,SUMIF('DADOS BRUTOS'!$A$3:$A$500,$B41,'DADOS BRUTOS'!FE$3:FE$500)+IF($C41="",0,SUMIF('DADOS BRUTOS'!$A$3:$A$500,$C41,'DADOS BRUTOS'!FE$3:FE$500)))</f>
        <v/>
      </c>
      <c r="IF41" s="123">
        <f>IF(OR(IF$4="",$B41=""),0,SUMIF('DADOS BRUTOS'!$A$3:$A$500,$B41,'DADOS BRUTOS'!FF$3:FF$500)+IF($C41="",0,SUMIF('DADOS BRUTOS'!$A$3:$A$500,$C41,'DADOS BRUTOS'!FF$3:FF$500)))</f>
        <v/>
      </c>
      <c r="IG41" s="123">
        <f>IF(OR(IG$4="",$B41=""),0,SUMIF('DADOS BRUTOS'!$A$3:$A$500,$B41,'DADOS BRUTOS'!FG$3:FG$500)+IF($C41="",0,SUMIF('DADOS BRUTOS'!$A$3:$A$500,$C41,'DADOS BRUTOS'!FG$3:FG$500)))</f>
        <v/>
      </c>
      <c r="IH41" s="123">
        <f>IF(OR(IH$4="",$B41=""),0,SUMIF('DADOS BRUTOS'!$A$3:$A$500,$B41,'DADOS BRUTOS'!FH$3:FH$500)+IF($C41="",0,SUMIF('DADOS BRUTOS'!$A$3:$A$500,$C41,'DADOS BRUTOS'!FH$3:FH$500)))</f>
        <v/>
      </c>
      <c r="II41" s="123">
        <f>IF(OR(II$4="",$B41=""),0,SUMIF('DADOS BRUTOS'!$A$3:$A$500,$B41,'DADOS BRUTOS'!FI$3:FI$500)+IF($C41="",0,SUMIF('DADOS BRUTOS'!$A$3:$A$500,$C41,'DADOS BRUTOS'!FI$3:FI$500)))</f>
        <v/>
      </c>
      <c r="IJ41" s="123">
        <f>IF(OR(IJ$4="",$B41=""),0,SUMIF('DADOS BRUTOS'!$A$3:$A$500,$B41,'DADOS BRUTOS'!FJ$3:FJ$500)+IF($C41="",0,SUMIF('DADOS BRUTOS'!$A$3:$A$500,$C41,'DADOS BRUTOS'!FJ$3:FJ$500)))</f>
        <v/>
      </c>
      <c r="IK41" s="123">
        <f>IF(OR(IK$4="",$B41=""),0,SUMIF('DADOS BRUTOS'!$A$3:$A$500,$B41,'DADOS BRUTOS'!FK$3:FK$500)+IF($C41="",0,SUMIF('DADOS BRUTOS'!$A$3:$A$500,$C41,'DADOS BRUTOS'!FK$3:FK$500)))</f>
        <v/>
      </c>
      <c r="IL41" s="123">
        <f>IF(OR(IL$4="",$B41=""),0,SUMIF('DADOS BRUTOS'!$A$3:$A$500,$B41,'DADOS BRUTOS'!FL$3:FL$500)+IF($C41="",0,SUMIF('DADOS BRUTOS'!$A$3:$A$500,$C41,'DADOS BRUTOS'!FL$3:FL$500)))</f>
        <v/>
      </c>
      <c r="IM41" s="123">
        <f>IF(OR(IM$4="",$B41=""),0,SUMIF('DADOS BRUTOS'!$A$3:$A$500,$B41,'DADOS BRUTOS'!FM$3:FM$500)+IF($C41="",0,SUMIF('DADOS BRUTOS'!$A$3:$A$500,$C41,'DADOS BRUTOS'!FM$3:FM$500)))</f>
        <v/>
      </c>
      <c r="IN41" s="123">
        <f>IF(OR(IN$4="",$B41=""),0,SUMIF('DADOS BRUTOS'!$A$3:$A$500,$B41,'DADOS BRUTOS'!FN$3:FN$500)+IF($C41="",0,SUMIF('DADOS BRUTOS'!$A$3:$A$500,$C41,'DADOS BRUTOS'!FN$3:FN$500)))</f>
        <v/>
      </c>
      <c r="IO41" s="123">
        <f>IF(OR(IO$4="",$B41=""),0,SUMIF('DADOS BRUTOS'!$A$3:$A$500,$B41,'DADOS BRUTOS'!FO$3:FO$500)+IF($C41="",0,SUMIF('DADOS BRUTOS'!$A$3:$A$500,$C41,'DADOS BRUTOS'!FO$3:FO$500)))</f>
        <v/>
      </c>
      <c r="IP41" s="123">
        <f>IF(OR(IP$4="",$B41=""),0,SUMIF('DADOS BRUTOS'!$A$3:$A$500,$B41,'DADOS BRUTOS'!FP$3:FP$500)+IF($C41="",0,SUMIF('DADOS BRUTOS'!$A$3:$A$500,$C41,'DADOS BRUTOS'!FP$3:FP$500)))</f>
        <v/>
      </c>
      <c r="IQ41" s="123">
        <f>IF(OR(IQ$4="",$B41=""),0,SUMIF('DADOS BRUTOS'!$A$3:$A$500,$B41,'DADOS BRUTOS'!FQ$3:FQ$500)+IF($C41="",0,SUMIF('DADOS BRUTOS'!$A$3:$A$500,$C41,'DADOS BRUTOS'!FQ$3:FQ$500)))</f>
        <v/>
      </c>
      <c r="IR41" s="123">
        <f>IF(OR(IR$4="",$B41=""),0,SUMIF('DADOS BRUTOS'!$A$3:$A$500,$B41,'DADOS BRUTOS'!FR$3:FR$500)+IF($C41="",0,SUMIF('DADOS BRUTOS'!$A$3:$A$500,$C41,'DADOS BRUTOS'!FR$3:FR$500)))</f>
        <v/>
      </c>
      <c r="IS41" s="123">
        <f>IF(OR(IS$4="",$B41=""),0,SUMIF('DADOS BRUTOS'!$A$3:$A$500,$B41,'DADOS BRUTOS'!FS$3:FS$500)+IF($C41="",0,SUMIF('DADOS BRUTOS'!$A$3:$A$500,$C41,'DADOS BRUTOS'!FS$3:FS$500)))</f>
        <v/>
      </c>
      <c r="IT41" s="123">
        <f>IF(OR(IT$4="",$B41=""),0,SUMIF('DADOS BRUTOS'!$A$3:$A$500,$B41,'DADOS BRUTOS'!FT$3:FT$500)+IF($C41="",0,SUMIF('DADOS BRUTOS'!$A$3:$A$500,$C41,'DADOS BRUTOS'!FT$3:FT$500)))</f>
        <v/>
      </c>
      <c r="IU41" s="123">
        <f>IF(OR(IU$4="",$B41=""),0,SUMIF('DADOS BRUTOS'!$A$3:$A$500,$B41,'DADOS BRUTOS'!FU$3:FU$500)+IF($C41="",0,SUMIF('DADOS BRUTOS'!$A$3:$A$500,$C41,'DADOS BRUTOS'!FU$3:FU$500)))</f>
        <v/>
      </c>
      <c r="IV41" s="123">
        <f>IF(OR(IV$4="",$B41=""),0,SUMIF('DADOS BRUTOS'!$A$3:$A$500,$B41,'DADOS BRUTOS'!FV$3:FV$500)+IF($C41="",0,SUMIF('DADOS BRUTOS'!$A$3:$A$500,$C41,'DADOS BRUTOS'!FV$3:FV$500)))</f>
        <v/>
      </c>
      <c r="IW41" s="123">
        <f>IF(OR(IW$4="",$B41=""),0,SUMIF('DADOS BRUTOS'!$A$3:$A$500,$B41,'DADOS BRUTOS'!FW$3:FW$500)+IF($C41="",0,SUMIF('DADOS BRUTOS'!$A$3:$A$500,$C41,'DADOS BRUTOS'!FW$3:FW$500)))</f>
        <v/>
      </c>
      <c r="IX41" s="123">
        <f>IF(OR(IX$4="",$B41=""),0,SUMIF('DADOS BRUTOS'!$A$3:$A$500,$B41,'DADOS BRUTOS'!FX$3:FX$500)+IF($C41="",0,SUMIF('DADOS BRUTOS'!$A$3:$A$500,$C41,'DADOS BRUTOS'!FX$3:FX$500)))</f>
        <v/>
      </c>
      <c r="IY41" s="123">
        <f>IF(OR(IY$4="",$B41=""),0,SUMIF('DADOS BRUTOS'!$A$3:$A$500,$B41,'DADOS BRUTOS'!FY$3:FY$500)+IF($C41="",0,SUMIF('DADOS BRUTOS'!$A$3:$A$500,$C41,'DADOS BRUTOS'!FY$3:FY$500)))</f>
        <v/>
      </c>
      <c r="IZ41" s="123">
        <f>IF(OR(IZ$4="",$B41=""),0,SUMIF('DADOS BRUTOS'!$A$3:$A$500,$B41,'DADOS BRUTOS'!FZ$3:FZ$500)+IF($C41="",0,SUMIF('DADOS BRUTOS'!$A$3:$A$500,$C41,'DADOS BRUTOS'!FZ$3:FZ$500)))</f>
        <v/>
      </c>
      <c r="JA41" s="123">
        <f>IF(OR(JA$4="",$B41=""),0,SUMIF('DADOS BRUTOS'!$A$3:$A$500,$B41,'DADOS BRUTOS'!GA$3:GA$500)+IF($C41="",0,SUMIF('DADOS BRUTOS'!$A$3:$A$500,$C41,'DADOS BRUTOS'!GA$3:GA$500)))</f>
        <v/>
      </c>
      <c r="JB41" s="123">
        <f>IF(OR(JB$4="",$B41=""),0,SUMIF('DADOS BRUTOS'!$A$3:$A$500,$B41,'DADOS BRUTOS'!GB$3:GB$500)+IF($C41="",0,SUMIF('DADOS BRUTOS'!$A$3:$A$500,$C41,'DADOS BRUTOS'!GB$3:GB$500)))</f>
        <v/>
      </c>
      <c r="JC41" s="123">
        <f>IF(OR(JC$4="",$B41=""),0,SUMIF('DADOS BRUTOS'!$A$3:$A$500,$B41,'DADOS BRUTOS'!GC$3:GC$500)+IF($C41="",0,SUMIF('DADOS BRUTOS'!$A$3:$A$500,$C41,'DADOS BRUTOS'!GC$3:GC$500)))</f>
        <v/>
      </c>
      <c r="JD41" s="123">
        <f>IF(OR(JD$4="",$B41=""),0,SUMIF('DADOS BRUTOS'!$A$3:$A$500,$B41,'DADOS BRUTOS'!GD$3:GD$500)+IF($C41="",0,SUMIF('DADOS BRUTOS'!$A$3:$A$500,$C41,'DADOS BRUTOS'!GD$3:GD$500)))</f>
        <v/>
      </c>
      <c r="JE41" s="123">
        <f>IF(OR(JE$4="",$B41=""),0,SUMIF('DADOS BRUTOS'!$A$3:$A$500,$B41,'DADOS BRUTOS'!GE$3:GE$500)+IF($C41="",0,SUMIF('DADOS BRUTOS'!$A$3:$A$500,$C41,'DADOS BRUTOS'!GE$3:GE$500)))</f>
        <v/>
      </c>
      <c r="JF41" s="123">
        <f>IF(OR(JF$4="",$B41=""),0,SUMIF('DADOS BRUTOS'!$A$3:$A$500,$B41,'DADOS BRUTOS'!GF$3:GF$500)+IF($C41="",0,SUMIF('DADOS BRUTOS'!$A$3:$A$500,$C41,'DADOS BRUTOS'!GF$3:GF$500)))</f>
        <v/>
      </c>
      <c r="JG41" s="123">
        <f>IF(OR(JG$4="",$B41=""),0,SUMIF('DADOS BRUTOS'!$A$3:$A$500,$B41,'DADOS BRUTOS'!GG$3:GG$500)+IF($C41="",0,SUMIF('DADOS BRUTOS'!$A$3:$A$500,$C41,'DADOS BRUTOS'!GG$3:GG$500)))</f>
        <v/>
      </c>
      <c r="JH41" s="123">
        <f>IF(OR(JH$4="",$B41=""),0,SUMIF('DADOS BRUTOS'!$A$3:$A$500,$B41,'DADOS BRUTOS'!GH$3:GH$500)+IF($C41="",0,SUMIF('DADOS BRUTOS'!$A$3:$A$500,$C41,'DADOS BRUTOS'!GH$3:GH$500)))</f>
        <v/>
      </c>
      <c r="JI41" s="123">
        <f>IF(OR(JI$4="",$B41=""),0,SUMIF('DADOS BRUTOS'!$A$3:$A$500,$B41,'DADOS BRUTOS'!GI$3:GI$500)+IF($C41="",0,SUMIF('DADOS BRUTOS'!$A$3:$A$500,$C41,'DADOS BRUTOS'!GI$3:GI$500)))</f>
        <v/>
      </c>
      <c r="JJ41" s="123">
        <f>IF(OR(JJ$4="",$B41=""),0,SUMIF('DADOS BRUTOS'!$A$3:$A$500,$B41,'DADOS BRUTOS'!GJ$3:GJ$500)+IF($C41="",0,SUMIF('DADOS BRUTOS'!$A$3:$A$500,$C41,'DADOS BRUTOS'!GJ$3:GJ$500)))</f>
        <v/>
      </c>
      <c r="JK41" s="123">
        <f>IF(OR(JK$4="",$B41=""),0,SUMIF('DADOS BRUTOS'!$A$3:$A$500,$B41,'DADOS BRUTOS'!GK$3:GK$500)+IF($C41="",0,SUMIF('DADOS BRUTOS'!$A$3:$A$500,$C41,'DADOS BRUTOS'!GK$3:GK$500)))</f>
        <v/>
      </c>
      <c r="JL41" s="123">
        <f>IF(OR(JL$4="",$B41=""),0,SUMIF('DADOS BRUTOS'!$A$3:$A$500,$B41,'DADOS BRUTOS'!GL$3:GL$500)+IF($C41="",0,SUMIF('DADOS BRUTOS'!$A$3:$A$500,$C41,'DADOS BRUTOS'!GL$3:GL$500)))</f>
        <v/>
      </c>
      <c r="JM41" s="123">
        <f>IF(OR(JM$4="",$B41=""),0,SUMIF('DADOS BRUTOS'!$A$3:$A$500,$B41,'DADOS BRUTOS'!GM$3:GM$500)+IF($C41="",0,SUMIF('DADOS BRUTOS'!$A$3:$A$500,$C41,'DADOS BRUTOS'!GM$3:GM$500)))</f>
        <v/>
      </c>
      <c r="JN41" s="123">
        <f>IF(OR(JN$4="",$B41=""),0,SUMIF('DADOS BRUTOS'!$A$3:$A$500,$B41,'DADOS BRUTOS'!GN$3:GN$500)+IF($C41="",0,SUMIF('DADOS BRUTOS'!$A$3:$A$500,$C41,'DADOS BRUTOS'!GN$3:GN$500)))</f>
        <v/>
      </c>
      <c r="JO41" s="123">
        <f>IF(OR(JO$4="",$B41=""),0,SUMIF('DADOS BRUTOS'!$A$3:$A$500,$B41,'DADOS BRUTOS'!GO$3:GO$500)+IF($C41="",0,SUMIF('DADOS BRUTOS'!$A$3:$A$500,$C41,'DADOS BRUTOS'!GO$3:GO$500)))</f>
        <v/>
      </c>
      <c r="JP41" s="123">
        <f>IF(OR(JP$4="",$B41=""),0,SUMIF('DADOS BRUTOS'!$A$3:$A$500,$B41,'DADOS BRUTOS'!GP$3:GP$500)+IF($C41="",0,SUMIF('DADOS BRUTOS'!$A$3:$A$500,$C41,'DADOS BRUTOS'!GP$3:GP$500)))</f>
        <v/>
      </c>
      <c r="JQ41" s="123">
        <f>IF(OR(JQ$4="",$B41=""),0,SUMIF('DADOS BRUTOS'!$A$3:$A$500,$B41,'DADOS BRUTOS'!GQ$3:GQ$500)+IF($C41="",0,SUMIF('DADOS BRUTOS'!$A$3:$A$500,$C41,'DADOS BRUTOS'!GQ$3:GQ$500)))</f>
        <v/>
      </c>
      <c r="JR41" s="123">
        <f>IF(OR(JR$4="",$B41=""),0,SUMIF('DADOS BRUTOS'!$A$3:$A$500,$B41,'DADOS BRUTOS'!GR$3:GR$500)+IF($C41="",0,SUMIF('DADOS BRUTOS'!$A$3:$A$500,$C41,'DADOS BRUTOS'!GR$3:GR$500)))</f>
        <v/>
      </c>
      <c r="JS41" s="123">
        <f>IF(OR(JS$4="",$B41=""),0,SUMIF('DADOS BRUTOS'!$A$3:$A$500,$B41,'DADOS BRUTOS'!GS$3:GS$500)+IF($C41="",0,SUMIF('DADOS BRUTOS'!$A$3:$A$500,$C41,'DADOS BRUTOS'!GS$3:GS$500)))</f>
        <v/>
      </c>
    </row>
    <row r="42">
      <c r="A42" s="61">
        <f>'VALOR POR PL'!D48</f>
        <v/>
      </c>
      <c r="B42" s="60" t="inlineStr">
        <is>
          <t>TAXA DE ADMINISTRAÇÃO</t>
        </is>
      </c>
      <c r="C42" s="60" t="n"/>
      <c r="D42" s="55">
        <f>SUMIF($CB$4:$JS$4,"&lt;="&amp;D$4,$CB42:$JS42)</f>
        <v/>
      </c>
      <c r="E42" s="55">
        <f>SUMIF($CB$4:$JS$4,E$4,$CB42:$JS42)</f>
        <v/>
      </c>
      <c r="F42" s="55">
        <f>SUMIF($CB$4:$JS$4,F$4,$CB42:$JS42)</f>
        <v/>
      </c>
      <c r="G42" s="55">
        <f>SUMIF($CB$4:$JS$4,G$4,$CB42:$JS42)</f>
        <v/>
      </c>
      <c r="H42" s="55">
        <f>SUMIF($CB$4:$JS$4,H$4,$CB42:$JS42)</f>
        <v/>
      </c>
      <c r="I42" s="55">
        <f>SUMIF($CB$4:$JS$4,I$4,$CB42:$JS42)</f>
        <v/>
      </c>
      <c r="J42" s="55">
        <f>SUMIF($CB$4:$JS$4,J$4,$CB42:$JS42)</f>
        <v/>
      </c>
      <c r="K42" s="55">
        <f>SUMIF($CB$4:$JS$4,K$4,$CB42:$JS42)</f>
        <v/>
      </c>
      <c r="L42" s="55">
        <f>SUMIF($CB$4:$JS$4,L$4,$CB42:$JS42)</f>
        <v/>
      </c>
      <c r="M42" s="55">
        <f>SUMIF($CB$4:$JS$4,M$4,$CB42:$JS42)</f>
        <v/>
      </c>
      <c r="N42" s="55">
        <f>SUMIF($CB$4:$JS$4,N$4,$CB42:$JS42)</f>
        <v/>
      </c>
      <c r="O42" s="55">
        <f>SUMIF($CB$4:$JS$4,O$4,$CB42:$JS42)</f>
        <v/>
      </c>
      <c r="P42" s="55">
        <f>SUMIF($CB$4:$JS$4,P$4,$CB42:$JS42)</f>
        <v/>
      </c>
      <c r="Q42" s="55">
        <f>SUMIF($CB$4:$JS$4,Q$4,$CB42:$JS42)</f>
        <v/>
      </c>
      <c r="R42" s="55">
        <f>SUMIF($CB$4:$JS$4,R$4,$CB42:$JS42)</f>
        <v/>
      </c>
      <c r="S42" s="55">
        <f>SUMIF($CB$4:$JS$4,S$4,$CB42:$JS42)</f>
        <v/>
      </c>
      <c r="T42" s="55">
        <f>SUMIF($CB$4:$JS$4,T$4,$CB42:$JS42)</f>
        <v/>
      </c>
      <c r="U42" s="55">
        <f>SUMIF($CB$4:$JS$4,U$4,$CB42:$JS42)</f>
        <v/>
      </c>
      <c r="V42" s="55">
        <f>SUMIF($CB$4:$JS$4,V$4,$CB42:$JS42)</f>
        <v/>
      </c>
      <c r="W42" s="55">
        <f>SUMIF($CB$4:$JS$4,W$4,$CB42:$JS42)</f>
        <v/>
      </c>
      <c r="X42" s="55">
        <f>SUMIF($CB$4:$JS$4,X$4,$CB42:$JS42)</f>
        <v/>
      </c>
      <c r="Y42" s="55">
        <f>SUMIF($CB$4:$JS$4,Y$4,$CB42:$JS42)</f>
        <v/>
      </c>
      <c r="Z42" s="55">
        <f>SUMIF($CB$4:$JS$4,Z$4,$CB42:$JS42)</f>
        <v/>
      </c>
      <c r="AA42" s="55">
        <f>SUMIF($CB$4:$JS$4,AA$4,$CB42:$JS42)</f>
        <v/>
      </c>
      <c r="AB42" s="55">
        <f>SUMIF($CB$4:$JS$4,AB$4,$CB42:$JS42)</f>
        <v/>
      </c>
      <c r="AC42" s="55">
        <f>SUMIF($CB$4:$JS$4,AC$4,$CB42:$JS42)</f>
        <v/>
      </c>
      <c r="AD42" s="55">
        <f>SUMIF($CB$4:$JS$4,AD$4,$CB42:$JS42)</f>
        <v/>
      </c>
      <c r="AE42" s="55">
        <f>SUMIF($CB$4:$JS$4,AE$4,$CB42:$JS42)</f>
        <v/>
      </c>
      <c r="AF42" s="55">
        <f>SUMIF($CB$4:$JS$4,AF$4,$CB42:$JS42)</f>
        <v/>
      </c>
      <c r="AG42" s="55">
        <f>SUMIF($CB$4:$JS$4,AG$4,$CB42:$JS42)</f>
        <v/>
      </c>
      <c r="AH42" s="55">
        <f>SUMIF($CB$4:$JS$4,AH$4,$CB42:$JS42)</f>
        <v/>
      </c>
      <c r="AI42" s="55">
        <f>SUMIF($CB$4:$JS$4,AI$4,$CB42:$JS42)</f>
        <v/>
      </c>
      <c r="AJ42" s="55">
        <f>SUMIF($CB$4:$JS$4,AJ$4,$CB42:$JS42)</f>
        <v/>
      </c>
      <c r="AK42" s="55">
        <f>SUMIF($CB$4:$JS$4,AK$4,$CB42:$JS42)</f>
        <v/>
      </c>
      <c r="AL42" s="55">
        <f>SUMIF($CB$4:$JS$4,AL$4,$CB42:$JS42)</f>
        <v/>
      </c>
      <c r="AM42" s="55">
        <f>SUMIF($CB$4:$JS$4,AM$4,$CB42:$JS42)</f>
        <v/>
      </c>
      <c r="AN42" s="55">
        <f>SUMIF($CB$4:$JS$4,AN$4,$CB42:$JS42)</f>
        <v/>
      </c>
      <c r="AO42" s="55">
        <f>SUMIF($CB$4:$JS$4,AO$4,$CB42:$JS42)</f>
        <v/>
      </c>
      <c r="AP42" s="55">
        <f>SUMIF($CB$4:$JS$4,AP$4,$CB42:$JS42)</f>
        <v/>
      </c>
      <c r="AQ42" s="55">
        <f>SUMIF($CB$4:$JS$4,AQ$4,$CB42:$JS42)</f>
        <v/>
      </c>
      <c r="AR42" s="55">
        <f>SUMIF($CB$4:$JS$4,AR$4,$CB42:$JS42)</f>
        <v/>
      </c>
      <c r="AS42" s="55">
        <f>SUMIF($CB$4:$JS$4,AS$4,$CB42:$JS42)</f>
        <v/>
      </c>
      <c r="AT42" s="55">
        <f>SUMIF($CB$4:$JS$4,AT$4,$CB42:$JS42)</f>
        <v/>
      </c>
      <c r="AU42" s="55">
        <f>SUMIF($CB$4:$JS$4,AU$4,$CB42:$JS42)</f>
        <v/>
      </c>
      <c r="AV42" s="55">
        <f>SUMIF($CB$4:$JS$4,AV$4,$CB42:$JS42)</f>
        <v/>
      </c>
      <c r="AW42" s="55">
        <f>SUMIF($CB$4:$JS$4,AW$4,$CB42:$JS42)</f>
        <v/>
      </c>
      <c r="AX42" s="55">
        <f>SUMIF($CB$4:$JS$4,AX$4,$CB42:$JS42)</f>
        <v/>
      </c>
      <c r="AY42" s="55">
        <f>SUMIF($CB$4:$JS$4,AY$4,$CB42:$JS42)</f>
        <v/>
      </c>
      <c r="AZ42" s="55">
        <f>SUMIF($CB$4:$JS$4,AZ$4,$CB42:$JS42)</f>
        <v/>
      </c>
      <c r="BA42" s="55">
        <f>SUMIF($CB$4:$JS$4,BA$4,$CB42:$JS42)</f>
        <v/>
      </c>
      <c r="BB42" s="55">
        <f>SUMIF($CB$4:$JS$4,BB$4,$CB42:$JS42)</f>
        <v/>
      </c>
      <c r="BC42" s="55">
        <f>SUMIF($CB$4:$JS$4,BC$4,$CB42:$JS42)</f>
        <v/>
      </c>
      <c r="BD42" s="55">
        <f>SUMIF($CB$4:$JS$4,BD$4,$CB42:$JS42)</f>
        <v/>
      </c>
      <c r="BE42" s="55">
        <f>SUMIF($CB$4:$JS$4,BE$4,$CB42:$JS42)</f>
        <v/>
      </c>
      <c r="BF42" s="55">
        <f>SUMIF($CB$4:$JS$4,BF$4,$CB42:$JS42)</f>
        <v/>
      </c>
      <c r="BG42" s="55">
        <f>SUMIF($CB$4:$JS$4,BG$4,$CB42:$JS42)</f>
        <v/>
      </c>
      <c r="BH42" s="55">
        <f>SUMIF($CB$4:$JS$4,BH$4,$CB42:$JS42)</f>
        <v/>
      </c>
      <c r="BI42" s="55">
        <f>SUMIF($CB$4:$JS$4,BI$4,$CB42:$JS42)</f>
        <v/>
      </c>
      <c r="BJ42" s="55">
        <f>SUMIF($CB$4:$JS$4,BJ$4,$CB42:$JS42)</f>
        <v/>
      </c>
      <c r="BK42" s="55">
        <f>SUMIF($CB$4:$JS$4,BK$4,$CB42:$JS42)</f>
        <v/>
      </c>
      <c r="BL42" s="55">
        <f>SUMIF($CB$4:$JS$4,BL$4,$CB42:$JS42)</f>
        <v/>
      </c>
      <c r="BM42" s="55">
        <f>SUMIF($CB$4:$JS$4,BM$4,$CB42:$JS42)</f>
        <v/>
      </c>
      <c r="BN42" s="55">
        <f>SUMIF($CB$4:$JS$4,BN$4,$CB42:$JS42)</f>
        <v/>
      </c>
      <c r="BO42" s="55">
        <f>SUMIF($CB$4:$JS$4,BO$4,$CB42:$JS42)</f>
        <v/>
      </c>
      <c r="BP42" s="55">
        <f>SUMIF($CB$4:$JS$4,BP$4,$CB42:$JS42)</f>
        <v/>
      </c>
      <c r="BQ42" s="55">
        <f>SUMIF($CB$4:$JS$4,BQ$4,$CB42:$JS42)</f>
        <v/>
      </c>
      <c r="BR42" s="55">
        <f>SUMIF($CB$4:$JS$4,BR$4,$CB42:$JS42)</f>
        <v/>
      </c>
      <c r="BS42" s="55">
        <f>SUMIF($CB$4:$JS$4,BS$4,$CB42:$JS42)</f>
        <v/>
      </c>
      <c r="BT42" s="55">
        <f>SUMIF($CB$4:$JS$4,BT$4,$CB42:$JS42)</f>
        <v/>
      </c>
      <c r="BU42" s="55">
        <f>SUMIF($CB$4:$JS$4,BU$4,$CB42:$JS42)</f>
        <v/>
      </c>
      <c r="BV42" s="55">
        <f>SUMIF($CB$4:$JS$4,BV$4,$CB42:$JS42)</f>
        <v/>
      </c>
      <c r="BW42" s="55">
        <f>SUMIF($CB$4:$JS$4,BW$4,$CB42:$JS42)</f>
        <v/>
      </c>
      <c r="BX42" s="55">
        <f>SUMIF($CB$4:$JS$4,"&gt;"&amp;'VALOR POR PL'!$P$8,$CB42:$JS42)</f>
        <v/>
      </c>
      <c r="BY42" s="55">
        <f>SUM($CB42:$JS42)</f>
        <v/>
      </c>
      <c r="CB42" s="123">
        <f>IF(OR(CB$4="",$B42=""),0,SUMIF('DADOS BRUTOS'!$A$3:$A$500,$B42,'DADOS BRUTOS'!B$3:B$500)+IF($C42="",0,SUMIF('DADOS BRUTOS'!$A$3:$A$500,$C42,'DADOS BRUTOS'!B$3:B$500)))</f>
        <v/>
      </c>
      <c r="CC42" s="123">
        <f>IF(OR(CC$4="",$B42=""),0,SUMIF('DADOS BRUTOS'!$A$3:$A$500,$B42,'DADOS BRUTOS'!C$3:C$500)+IF($C42="",0,SUMIF('DADOS BRUTOS'!$A$3:$A$500,$C42,'DADOS BRUTOS'!C$3:C$500)))</f>
        <v/>
      </c>
      <c r="CD42" s="123">
        <f>IF(OR(CD$4="",$B42=""),0,SUMIF('DADOS BRUTOS'!$A$3:$A$500,$B42,'DADOS BRUTOS'!D$3:D$500)+IF($C42="",0,SUMIF('DADOS BRUTOS'!$A$3:$A$500,$C42,'DADOS BRUTOS'!D$3:D$500)))</f>
        <v/>
      </c>
      <c r="CE42" s="123">
        <f>IF(OR(CE$4="",$B42=""),0,SUMIF('DADOS BRUTOS'!$A$3:$A$500,$B42,'DADOS BRUTOS'!E$3:E$500)+IF($C42="",0,SUMIF('DADOS BRUTOS'!$A$3:$A$500,$C42,'DADOS BRUTOS'!E$3:E$500)))</f>
        <v/>
      </c>
      <c r="CF42" s="123">
        <f>IF(OR(CF$4="",$B42=""),0,SUMIF('DADOS BRUTOS'!$A$3:$A$500,$B42,'DADOS BRUTOS'!F$3:F$500)+IF($C42="",0,SUMIF('DADOS BRUTOS'!$A$3:$A$500,$C42,'DADOS BRUTOS'!F$3:F$500)))</f>
        <v/>
      </c>
      <c r="CG42" s="123">
        <f>IF(OR(CG$4="",$B42=""),0,SUMIF('DADOS BRUTOS'!$A$3:$A$500,$B42,'DADOS BRUTOS'!G$3:G$500)+IF($C42="",0,SUMIF('DADOS BRUTOS'!$A$3:$A$500,$C42,'DADOS BRUTOS'!G$3:G$500)))</f>
        <v/>
      </c>
      <c r="CH42" s="123">
        <f>IF(OR(CH$4="",$B42=""),0,SUMIF('DADOS BRUTOS'!$A$3:$A$500,$B42,'DADOS BRUTOS'!H$3:H$500)+IF($C42="",0,SUMIF('DADOS BRUTOS'!$A$3:$A$500,$C42,'DADOS BRUTOS'!H$3:H$500)))</f>
        <v/>
      </c>
      <c r="CI42" s="123">
        <f>IF(OR(CI$4="",$B42=""),0,SUMIF('DADOS BRUTOS'!$A$3:$A$500,$B42,'DADOS BRUTOS'!I$3:I$500)+IF($C42="",0,SUMIF('DADOS BRUTOS'!$A$3:$A$500,$C42,'DADOS BRUTOS'!I$3:I$500)))</f>
        <v/>
      </c>
      <c r="CJ42" s="123">
        <f>IF(OR(CJ$4="",$B42=""),0,SUMIF('DADOS BRUTOS'!$A$3:$A$500,$B42,'DADOS BRUTOS'!J$3:J$500)+IF($C42="",0,SUMIF('DADOS BRUTOS'!$A$3:$A$500,$C42,'DADOS BRUTOS'!J$3:J$500)))</f>
        <v/>
      </c>
      <c r="CK42" s="123">
        <f>IF(OR(CK$4="",$B42=""),0,SUMIF('DADOS BRUTOS'!$A$3:$A$500,$B42,'DADOS BRUTOS'!K$3:K$500)+IF($C42="",0,SUMIF('DADOS BRUTOS'!$A$3:$A$500,$C42,'DADOS BRUTOS'!K$3:K$500)))</f>
        <v/>
      </c>
      <c r="CL42" s="123">
        <f>IF(OR(CL$4="",$B42=""),0,SUMIF('DADOS BRUTOS'!$A$3:$A$500,$B42,'DADOS BRUTOS'!L$3:L$500)+IF($C42="",0,SUMIF('DADOS BRUTOS'!$A$3:$A$500,$C42,'DADOS BRUTOS'!L$3:L$500)))</f>
        <v/>
      </c>
      <c r="CM42" s="123">
        <f>IF(OR(CM$4="",$B42=""),0,SUMIF('DADOS BRUTOS'!$A$3:$A$500,$B42,'DADOS BRUTOS'!M$3:M$500)+IF($C42="",0,SUMIF('DADOS BRUTOS'!$A$3:$A$500,$C42,'DADOS BRUTOS'!M$3:M$500)))</f>
        <v/>
      </c>
      <c r="CN42" s="123">
        <f>IF(OR(CN$4="",$B42=""),0,SUMIF('DADOS BRUTOS'!$A$3:$A$500,$B42,'DADOS BRUTOS'!N$3:N$500)+IF($C42="",0,SUMIF('DADOS BRUTOS'!$A$3:$A$500,$C42,'DADOS BRUTOS'!N$3:N$500)))</f>
        <v/>
      </c>
      <c r="CO42" s="123">
        <f>IF(OR(CO$4="",$B42=""),0,SUMIF('DADOS BRUTOS'!$A$3:$A$500,$B42,'DADOS BRUTOS'!O$3:O$500)+IF($C42="",0,SUMIF('DADOS BRUTOS'!$A$3:$A$500,$C42,'DADOS BRUTOS'!O$3:O$500)))</f>
        <v/>
      </c>
      <c r="CP42" s="123">
        <f>IF(OR(CP$4="",$B42=""),0,SUMIF('DADOS BRUTOS'!$A$3:$A$500,$B42,'DADOS BRUTOS'!P$3:P$500)+IF($C42="",0,SUMIF('DADOS BRUTOS'!$A$3:$A$500,$C42,'DADOS BRUTOS'!P$3:P$500)))</f>
        <v/>
      </c>
      <c r="CQ42" s="123">
        <f>IF(OR(CQ$4="",$B42=""),0,SUMIF('DADOS BRUTOS'!$A$3:$A$500,$B42,'DADOS BRUTOS'!Q$3:Q$500)+IF($C42="",0,SUMIF('DADOS BRUTOS'!$A$3:$A$500,$C42,'DADOS BRUTOS'!Q$3:Q$500)))</f>
        <v/>
      </c>
      <c r="CR42" s="123">
        <f>IF(OR(CR$4="",$B42=""),0,SUMIF('DADOS BRUTOS'!$A$3:$A$500,$B42,'DADOS BRUTOS'!R$3:R$500)+IF($C42="",0,SUMIF('DADOS BRUTOS'!$A$3:$A$500,$C42,'DADOS BRUTOS'!R$3:R$500)))</f>
        <v/>
      </c>
      <c r="CS42" s="123">
        <f>IF(OR(CS$4="",$B42=""),0,SUMIF('DADOS BRUTOS'!$A$3:$A$500,$B42,'DADOS BRUTOS'!S$3:S$500)+IF($C42="",0,SUMIF('DADOS BRUTOS'!$A$3:$A$500,$C42,'DADOS BRUTOS'!S$3:S$500)))</f>
        <v/>
      </c>
      <c r="CT42" s="123">
        <f>IF(OR(CT$4="",$B42=""),0,SUMIF('DADOS BRUTOS'!$A$3:$A$500,$B42,'DADOS BRUTOS'!T$3:T$500)+IF($C42="",0,SUMIF('DADOS BRUTOS'!$A$3:$A$500,$C42,'DADOS BRUTOS'!T$3:T$500)))</f>
        <v/>
      </c>
      <c r="CU42" s="123">
        <f>IF(OR(CU$4="",$B42=""),0,SUMIF('DADOS BRUTOS'!$A$3:$A$500,$B42,'DADOS BRUTOS'!U$3:U$500)+IF($C42="",0,SUMIF('DADOS BRUTOS'!$A$3:$A$500,$C42,'DADOS BRUTOS'!U$3:U$500)))</f>
        <v/>
      </c>
      <c r="CV42" s="123">
        <f>IF(OR(CV$4="",$B42=""),0,SUMIF('DADOS BRUTOS'!$A$3:$A$500,$B42,'DADOS BRUTOS'!V$3:V$500)+IF($C42="",0,SUMIF('DADOS BRUTOS'!$A$3:$A$500,$C42,'DADOS BRUTOS'!V$3:V$500)))</f>
        <v/>
      </c>
      <c r="CW42" s="123">
        <f>IF(OR(CW$4="",$B42=""),0,SUMIF('DADOS BRUTOS'!$A$3:$A$500,$B42,'DADOS BRUTOS'!W$3:W$500)+IF($C42="",0,SUMIF('DADOS BRUTOS'!$A$3:$A$500,$C42,'DADOS BRUTOS'!W$3:W$500)))</f>
        <v/>
      </c>
      <c r="CX42" s="123">
        <f>IF(OR(CX$4="",$B42=""),0,SUMIF('DADOS BRUTOS'!$A$3:$A$500,$B42,'DADOS BRUTOS'!X$3:X$500)+IF($C42="",0,SUMIF('DADOS BRUTOS'!$A$3:$A$500,$C42,'DADOS BRUTOS'!X$3:X$500)))</f>
        <v/>
      </c>
      <c r="CY42" s="123">
        <f>IF(OR(CY$4="",$B42=""),0,SUMIF('DADOS BRUTOS'!$A$3:$A$500,$B42,'DADOS BRUTOS'!Y$3:Y$500)+IF($C42="",0,SUMIF('DADOS BRUTOS'!$A$3:$A$500,$C42,'DADOS BRUTOS'!Y$3:Y$500)))</f>
        <v/>
      </c>
      <c r="CZ42" s="123">
        <f>IF(OR(CZ$4="",$B42=""),0,SUMIF('DADOS BRUTOS'!$A$3:$A$500,$B42,'DADOS BRUTOS'!Z$3:Z$500)+IF($C42="",0,SUMIF('DADOS BRUTOS'!$A$3:$A$500,$C42,'DADOS BRUTOS'!Z$3:Z$500)))</f>
        <v/>
      </c>
      <c r="DA42" s="123">
        <f>IF(OR(DA$4="",$B42=""),0,SUMIF('DADOS BRUTOS'!$A$3:$A$500,$B42,'DADOS BRUTOS'!AA$3:AA$500)+IF($C42="",0,SUMIF('DADOS BRUTOS'!$A$3:$A$500,$C42,'DADOS BRUTOS'!AA$3:AA$500)))</f>
        <v/>
      </c>
      <c r="DB42" s="123">
        <f>IF(OR(DB$4="",$B42=""),0,SUMIF('DADOS BRUTOS'!$A$3:$A$500,$B42,'DADOS BRUTOS'!AB$3:AB$500)+IF($C42="",0,SUMIF('DADOS BRUTOS'!$A$3:$A$500,$C42,'DADOS BRUTOS'!AB$3:AB$500)))</f>
        <v/>
      </c>
      <c r="DC42" s="123">
        <f>IF(OR(DC$4="",$B42=""),0,SUMIF('DADOS BRUTOS'!$A$3:$A$500,$B42,'DADOS BRUTOS'!AC$3:AC$500)+IF($C42="",0,SUMIF('DADOS BRUTOS'!$A$3:$A$500,$C42,'DADOS BRUTOS'!AC$3:AC$500)))</f>
        <v/>
      </c>
      <c r="DD42" s="123">
        <f>IF(OR(DD$4="",$B42=""),0,SUMIF('DADOS BRUTOS'!$A$3:$A$500,$B42,'DADOS BRUTOS'!AD$3:AD$500)+IF($C42="",0,SUMIF('DADOS BRUTOS'!$A$3:$A$500,$C42,'DADOS BRUTOS'!AD$3:AD$500)))</f>
        <v/>
      </c>
      <c r="DE42" s="123">
        <f>IF(OR(DE$4="",$B42=""),0,SUMIF('DADOS BRUTOS'!$A$3:$A$500,$B42,'DADOS BRUTOS'!AE$3:AE$500)+IF($C42="",0,SUMIF('DADOS BRUTOS'!$A$3:$A$500,$C42,'DADOS BRUTOS'!AE$3:AE$500)))</f>
        <v/>
      </c>
      <c r="DF42" s="123">
        <f>IF(OR(DF$4="",$B42=""),0,SUMIF('DADOS BRUTOS'!$A$3:$A$500,$B42,'DADOS BRUTOS'!AF$3:AF$500)+IF($C42="",0,SUMIF('DADOS BRUTOS'!$A$3:$A$500,$C42,'DADOS BRUTOS'!AF$3:AF$500)))</f>
        <v/>
      </c>
      <c r="DG42" s="123">
        <f>IF(OR(DG$4="",$B42=""),0,SUMIF('DADOS BRUTOS'!$A$3:$A$500,$B42,'DADOS BRUTOS'!AG$3:AG$500)+IF($C42="",0,SUMIF('DADOS BRUTOS'!$A$3:$A$500,$C42,'DADOS BRUTOS'!AG$3:AG$500)))</f>
        <v/>
      </c>
      <c r="DH42" s="123">
        <f>IF(OR(DH$4="",$B42=""),0,SUMIF('DADOS BRUTOS'!$A$3:$A$500,$B42,'DADOS BRUTOS'!AH$3:AH$500)+IF($C42="",0,SUMIF('DADOS BRUTOS'!$A$3:$A$500,$C42,'DADOS BRUTOS'!AH$3:AH$500)))</f>
        <v/>
      </c>
      <c r="DI42" s="123">
        <f>IF(OR(DI$4="",$B42=""),0,SUMIF('DADOS BRUTOS'!$A$3:$A$500,$B42,'DADOS BRUTOS'!AI$3:AI$500)+IF($C42="",0,SUMIF('DADOS BRUTOS'!$A$3:$A$500,$C42,'DADOS BRUTOS'!AI$3:AI$500)))</f>
        <v/>
      </c>
      <c r="DJ42" s="123">
        <f>IF(OR(DJ$4="",$B42=""),0,SUMIF('DADOS BRUTOS'!$A$3:$A$500,$B42,'DADOS BRUTOS'!AJ$3:AJ$500)+IF($C42="",0,SUMIF('DADOS BRUTOS'!$A$3:$A$500,$C42,'DADOS BRUTOS'!AJ$3:AJ$500)))</f>
        <v/>
      </c>
      <c r="DK42" s="123">
        <f>IF(OR(DK$4="",$B42=""),0,SUMIF('DADOS BRUTOS'!$A$3:$A$500,$B42,'DADOS BRUTOS'!AK$3:AK$500)+IF($C42="",0,SUMIF('DADOS BRUTOS'!$A$3:$A$500,$C42,'DADOS BRUTOS'!AK$3:AK$500)))</f>
        <v/>
      </c>
      <c r="DL42" s="123">
        <f>IF(OR(DL$4="",$B42=""),0,SUMIF('DADOS BRUTOS'!$A$3:$A$500,$B42,'DADOS BRUTOS'!AL$3:AL$500)+IF($C42="",0,SUMIF('DADOS BRUTOS'!$A$3:$A$500,$C42,'DADOS BRUTOS'!AL$3:AL$500)))</f>
        <v/>
      </c>
      <c r="DM42" s="123">
        <f>IF(OR(DM$4="",$B42=""),0,SUMIF('DADOS BRUTOS'!$A$3:$A$500,$B42,'DADOS BRUTOS'!AM$3:AM$500)+IF($C42="",0,SUMIF('DADOS BRUTOS'!$A$3:$A$500,$C42,'DADOS BRUTOS'!AM$3:AM$500)))</f>
        <v/>
      </c>
      <c r="DN42" s="123">
        <f>IF(OR(DN$4="",$B42=""),0,SUMIF('DADOS BRUTOS'!$A$3:$A$500,$B42,'DADOS BRUTOS'!AN$3:AN$500)+IF($C42="",0,SUMIF('DADOS BRUTOS'!$A$3:$A$500,$C42,'DADOS BRUTOS'!AN$3:AN$500)))</f>
        <v/>
      </c>
      <c r="DO42" s="123">
        <f>IF(OR(DO$4="",$B42=""),0,SUMIF('DADOS BRUTOS'!$A$3:$A$500,$B42,'DADOS BRUTOS'!AO$3:AO$500)+IF($C42="",0,SUMIF('DADOS BRUTOS'!$A$3:$A$500,$C42,'DADOS BRUTOS'!AO$3:AO$500)))</f>
        <v/>
      </c>
      <c r="DP42" s="123">
        <f>IF(OR(DP$4="",$B42=""),0,SUMIF('DADOS BRUTOS'!$A$3:$A$500,$B42,'DADOS BRUTOS'!AP$3:AP$500)+IF($C42="",0,SUMIF('DADOS BRUTOS'!$A$3:$A$500,$C42,'DADOS BRUTOS'!AP$3:AP$500)))</f>
        <v/>
      </c>
      <c r="DQ42" s="123">
        <f>IF(OR(DQ$4="",$B42=""),0,SUMIF('DADOS BRUTOS'!$A$3:$A$500,$B42,'DADOS BRUTOS'!AQ$3:AQ$500)+IF($C42="",0,SUMIF('DADOS BRUTOS'!$A$3:$A$500,$C42,'DADOS BRUTOS'!AQ$3:AQ$500)))</f>
        <v/>
      </c>
      <c r="DR42" s="123">
        <f>IF(OR(DR$4="",$B42=""),0,SUMIF('DADOS BRUTOS'!$A$3:$A$500,$B42,'DADOS BRUTOS'!AR$3:AR$500)+IF($C42="",0,SUMIF('DADOS BRUTOS'!$A$3:$A$500,$C42,'DADOS BRUTOS'!AR$3:AR$500)))</f>
        <v/>
      </c>
      <c r="DS42" s="123">
        <f>IF(OR(DS$4="",$B42=""),0,SUMIF('DADOS BRUTOS'!$A$3:$A$500,$B42,'DADOS BRUTOS'!AS$3:AS$500)+IF($C42="",0,SUMIF('DADOS BRUTOS'!$A$3:$A$500,$C42,'DADOS BRUTOS'!AS$3:AS$500)))</f>
        <v/>
      </c>
      <c r="DT42" s="123">
        <f>IF(OR(DT$4="",$B42=""),0,SUMIF('DADOS BRUTOS'!$A$3:$A$500,$B42,'DADOS BRUTOS'!AT$3:AT$500)+IF($C42="",0,SUMIF('DADOS BRUTOS'!$A$3:$A$500,$C42,'DADOS BRUTOS'!AT$3:AT$500)))</f>
        <v/>
      </c>
      <c r="DU42" s="123">
        <f>IF(OR(DU$4="",$B42=""),0,SUMIF('DADOS BRUTOS'!$A$3:$A$500,$B42,'DADOS BRUTOS'!AU$3:AU$500)+IF($C42="",0,SUMIF('DADOS BRUTOS'!$A$3:$A$500,$C42,'DADOS BRUTOS'!AU$3:AU$500)))</f>
        <v/>
      </c>
      <c r="DV42" s="123">
        <f>IF(OR(DV$4="",$B42=""),0,SUMIF('DADOS BRUTOS'!$A$3:$A$500,$B42,'DADOS BRUTOS'!AV$3:AV$500)+IF($C42="",0,SUMIF('DADOS BRUTOS'!$A$3:$A$500,$C42,'DADOS BRUTOS'!AV$3:AV$500)))</f>
        <v/>
      </c>
      <c r="DW42" s="123">
        <f>IF(OR(DW$4="",$B42=""),0,SUMIF('DADOS BRUTOS'!$A$3:$A$500,$B42,'DADOS BRUTOS'!AW$3:AW$500)+IF($C42="",0,SUMIF('DADOS BRUTOS'!$A$3:$A$500,$C42,'DADOS BRUTOS'!AW$3:AW$500)))</f>
        <v/>
      </c>
      <c r="DX42" s="123">
        <f>IF(OR(DX$4="",$B42=""),0,SUMIF('DADOS BRUTOS'!$A$3:$A$500,$B42,'DADOS BRUTOS'!AX$3:AX$500)+IF($C42="",0,SUMIF('DADOS BRUTOS'!$A$3:$A$500,$C42,'DADOS BRUTOS'!AX$3:AX$500)))</f>
        <v/>
      </c>
      <c r="DY42" s="123">
        <f>IF(OR(DY$4="",$B42=""),0,SUMIF('DADOS BRUTOS'!$A$3:$A$500,$B42,'DADOS BRUTOS'!AY$3:AY$500)+IF($C42="",0,SUMIF('DADOS BRUTOS'!$A$3:$A$500,$C42,'DADOS BRUTOS'!AY$3:AY$500)))</f>
        <v/>
      </c>
      <c r="DZ42" s="123">
        <f>IF(OR(DZ$4="",$B42=""),0,SUMIF('DADOS BRUTOS'!$A$3:$A$500,$B42,'DADOS BRUTOS'!AZ$3:AZ$500)+IF($C42="",0,SUMIF('DADOS BRUTOS'!$A$3:$A$500,$C42,'DADOS BRUTOS'!AZ$3:AZ$500)))</f>
        <v/>
      </c>
      <c r="EA42" s="123">
        <f>IF(OR(EA$4="",$B42=""),0,SUMIF('DADOS BRUTOS'!$A$3:$A$500,$B42,'DADOS BRUTOS'!BA$3:BA$500)+IF($C42="",0,SUMIF('DADOS BRUTOS'!$A$3:$A$500,$C42,'DADOS BRUTOS'!BA$3:BA$500)))</f>
        <v/>
      </c>
      <c r="EB42" s="123">
        <f>IF(OR(EB$4="",$B42=""),0,SUMIF('DADOS BRUTOS'!$A$3:$A$500,$B42,'DADOS BRUTOS'!BB$3:BB$500)+IF($C42="",0,SUMIF('DADOS BRUTOS'!$A$3:$A$500,$C42,'DADOS BRUTOS'!BB$3:BB$500)))</f>
        <v/>
      </c>
      <c r="EC42" s="123">
        <f>IF(OR(EC$4="",$B42=""),0,SUMIF('DADOS BRUTOS'!$A$3:$A$500,$B42,'DADOS BRUTOS'!BC$3:BC$500)+IF($C42="",0,SUMIF('DADOS BRUTOS'!$A$3:$A$500,$C42,'DADOS BRUTOS'!BC$3:BC$500)))</f>
        <v/>
      </c>
      <c r="ED42" s="123">
        <f>IF(OR(ED$4="",$B42=""),0,SUMIF('DADOS BRUTOS'!$A$3:$A$500,$B42,'DADOS BRUTOS'!BD$3:BD$500)+IF($C42="",0,SUMIF('DADOS BRUTOS'!$A$3:$A$500,$C42,'DADOS BRUTOS'!BD$3:BD$500)))</f>
        <v/>
      </c>
      <c r="EE42" s="123">
        <f>IF(OR(EE$4="",$B42=""),0,SUMIF('DADOS BRUTOS'!$A$3:$A$500,$B42,'DADOS BRUTOS'!BE$3:BE$500)+IF($C42="",0,SUMIF('DADOS BRUTOS'!$A$3:$A$500,$C42,'DADOS BRUTOS'!BE$3:BE$500)))</f>
        <v/>
      </c>
      <c r="EF42" s="123">
        <f>IF(OR(EF$4="",$B42=""),0,SUMIF('DADOS BRUTOS'!$A$3:$A$500,$B42,'DADOS BRUTOS'!BF$3:BF$500)+IF($C42="",0,SUMIF('DADOS BRUTOS'!$A$3:$A$500,$C42,'DADOS BRUTOS'!BF$3:BF$500)))</f>
        <v/>
      </c>
      <c r="EG42" s="123">
        <f>IF(OR(EG$4="",$B42=""),0,SUMIF('DADOS BRUTOS'!$A$3:$A$500,$B42,'DADOS BRUTOS'!BG$3:BG$500)+IF($C42="",0,SUMIF('DADOS BRUTOS'!$A$3:$A$500,$C42,'DADOS BRUTOS'!BG$3:BG$500)))</f>
        <v/>
      </c>
      <c r="EH42" s="123">
        <f>IF(OR(EH$4="",$B42=""),0,SUMIF('DADOS BRUTOS'!$A$3:$A$500,$B42,'DADOS BRUTOS'!BH$3:BH$500)+IF($C42="",0,SUMIF('DADOS BRUTOS'!$A$3:$A$500,$C42,'DADOS BRUTOS'!BH$3:BH$500)))</f>
        <v/>
      </c>
      <c r="EI42" s="123">
        <f>IF(OR(EI$4="",$B42=""),0,SUMIF('DADOS BRUTOS'!$A$3:$A$500,$B42,'DADOS BRUTOS'!BI$3:BI$500)+IF($C42="",0,SUMIF('DADOS BRUTOS'!$A$3:$A$500,$C42,'DADOS BRUTOS'!BI$3:BI$500)))</f>
        <v/>
      </c>
      <c r="EJ42" s="123">
        <f>IF(OR(EJ$4="",$B42=""),0,SUMIF('DADOS BRUTOS'!$A$3:$A$500,$B42,'DADOS BRUTOS'!BJ$3:BJ$500)+IF($C42="",0,SUMIF('DADOS BRUTOS'!$A$3:$A$500,$C42,'DADOS BRUTOS'!BJ$3:BJ$500)))</f>
        <v/>
      </c>
      <c r="EK42" s="123">
        <f>IF(OR(EK$4="",$B42=""),0,SUMIF('DADOS BRUTOS'!$A$3:$A$500,$B42,'DADOS BRUTOS'!BK$3:BK$500)+IF($C42="",0,SUMIF('DADOS BRUTOS'!$A$3:$A$500,$C42,'DADOS BRUTOS'!BK$3:BK$500)))</f>
        <v/>
      </c>
      <c r="EL42" s="123">
        <f>IF(OR(EL$4="",$B42=""),0,SUMIF('DADOS BRUTOS'!$A$3:$A$500,$B42,'DADOS BRUTOS'!BL$3:BL$500)+IF($C42="",0,SUMIF('DADOS BRUTOS'!$A$3:$A$500,$C42,'DADOS BRUTOS'!BL$3:BL$500)))</f>
        <v/>
      </c>
      <c r="EM42" s="123">
        <f>IF(OR(EM$4="",$B42=""),0,SUMIF('DADOS BRUTOS'!$A$3:$A$500,$B42,'DADOS BRUTOS'!BM$3:BM$500)+IF($C42="",0,SUMIF('DADOS BRUTOS'!$A$3:$A$500,$C42,'DADOS BRUTOS'!BM$3:BM$500)))</f>
        <v/>
      </c>
      <c r="EN42" s="123">
        <f>IF(OR(EN$4="",$B42=""),0,SUMIF('DADOS BRUTOS'!$A$3:$A$500,$B42,'DADOS BRUTOS'!BN$3:BN$500)+IF($C42="",0,SUMIF('DADOS BRUTOS'!$A$3:$A$500,$C42,'DADOS BRUTOS'!BN$3:BN$500)))</f>
        <v/>
      </c>
      <c r="EO42" s="123">
        <f>IF(OR(EO$4="",$B42=""),0,SUMIF('DADOS BRUTOS'!$A$3:$A$500,$B42,'DADOS BRUTOS'!BO$3:BO$500)+IF($C42="",0,SUMIF('DADOS BRUTOS'!$A$3:$A$500,$C42,'DADOS BRUTOS'!BO$3:BO$500)))</f>
        <v/>
      </c>
      <c r="EP42" s="123">
        <f>IF(OR(EP$4="",$B42=""),0,SUMIF('DADOS BRUTOS'!$A$3:$A$500,$B42,'DADOS BRUTOS'!BP$3:BP$500)+IF($C42="",0,SUMIF('DADOS BRUTOS'!$A$3:$A$500,$C42,'DADOS BRUTOS'!BP$3:BP$500)))</f>
        <v/>
      </c>
      <c r="EQ42" s="123">
        <f>IF(OR(EQ$4="",$B42=""),0,SUMIF('DADOS BRUTOS'!$A$3:$A$500,$B42,'DADOS BRUTOS'!BQ$3:BQ$500)+IF($C42="",0,SUMIF('DADOS BRUTOS'!$A$3:$A$500,$C42,'DADOS BRUTOS'!BQ$3:BQ$500)))</f>
        <v/>
      </c>
      <c r="ER42" s="123">
        <f>IF(OR(ER$4="",$B42=""),0,SUMIF('DADOS BRUTOS'!$A$3:$A$500,$B42,'DADOS BRUTOS'!BR$3:BR$500)+IF($C42="",0,SUMIF('DADOS BRUTOS'!$A$3:$A$500,$C42,'DADOS BRUTOS'!BR$3:BR$500)))</f>
        <v/>
      </c>
      <c r="ES42" s="123">
        <f>IF(OR(ES$4="",$B42=""),0,SUMIF('DADOS BRUTOS'!$A$3:$A$500,$B42,'DADOS BRUTOS'!BS$3:BS$500)+IF($C42="",0,SUMIF('DADOS BRUTOS'!$A$3:$A$500,$C42,'DADOS BRUTOS'!BS$3:BS$500)))</f>
        <v/>
      </c>
      <c r="ET42" s="123">
        <f>IF(OR(ET$4="",$B42=""),0,SUMIF('DADOS BRUTOS'!$A$3:$A$500,$B42,'DADOS BRUTOS'!BT$3:BT$500)+IF($C42="",0,SUMIF('DADOS BRUTOS'!$A$3:$A$500,$C42,'DADOS BRUTOS'!BT$3:BT$500)))</f>
        <v/>
      </c>
      <c r="EU42" s="123">
        <f>IF(OR(EU$4="",$B42=""),0,SUMIF('DADOS BRUTOS'!$A$3:$A$500,$B42,'DADOS BRUTOS'!BU$3:BU$500)+IF($C42="",0,SUMIF('DADOS BRUTOS'!$A$3:$A$500,$C42,'DADOS BRUTOS'!BU$3:BU$500)))</f>
        <v/>
      </c>
      <c r="EV42" s="123">
        <f>IF(OR(EV$4="",$B42=""),0,SUMIF('DADOS BRUTOS'!$A$3:$A$500,$B42,'DADOS BRUTOS'!BV$3:BV$500)+IF($C42="",0,SUMIF('DADOS BRUTOS'!$A$3:$A$500,$C42,'DADOS BRUTOS'!BV$3:BV$500)))</f>
        <v/>
      </c>
      <c r="EW42" s="123">
        <f>IF(OR(EW$4="",$B42=""),0,SUMIF('DADOS BRUTOS'!$A$3:$A$500,$B42,'DADOS BRUTOS'!BW$3:BW$500)+IF($C42="",0,SUMIF('DADOS BRUTOS'!$A$3:$A$500,$C42,'DADOS BRUTOS'!BW$3:BW$500)))</f>
        <v/>
      </c>
      <c r="EX42" s="123">
        <f>IF(OR(EX$4="",$B42=""),0,SUMIF('DADOS BRUTOS'!$A$3:$A$500,$B42,'DADOS BRUTOS'!BX$3:BX$500)+IF($C42="",0,SUMIF('DADOS BRUTOS'!$A$3:$A$500,$C42,'DADOS BRUTOS'!BX$3:BX$500)))</f>
        <v/>
      </c>
      <c r="EY42" s="123">
        <f>IF(OR(EY$4="",$B42=""),0,SUMIF('DADOS BRUTOS'!$A$3:$A$500,$B42,'DADOS BRUTOS'!BY$3:BY$500)+IF($C42="",0,SUMIF('DADOS BRUTOS'!$A$3:$A$500,$C42,'DADOS BRUTOS'!BY$3:BY$500)))</f>
        <v/>
      </c>
      <c r="EZ42" s="123">
        <f>IF(OR(EZ$4="",$B42=""),0,SUMIF('DADOS BRUTOS'!$A$3:$A$500,$B42,'DADOS BRUTOS'!BZ$3:BZ$500)+IF($C42="",0,SUMIF('DADOS BRUTOS'!$A$3:$A$500,$C42,'DADOS BRUTOS'!BZ$3:BZ$500)))</f>
        <v/>
      </c>
      <c r="FA42" s="123">
        <f>IF(OR(FA$4="",$B42=""),0,SUMIF('DADOS BRUTOS'!$A$3:$A$500,$B42,'DADOS BRUTOS'!CA$3:CA$500)+IF($C42="",0,SUMIF('DADOS BRUTOS'!$A$3:$A$500,$C42,'DADOS BRUTOS'!CA$3:CA$500)))</f>
        <v/>
      </c>
      <c r="FB42" s="123">
        <f>IF(OR(FB$4="",$B42=""),0,SUMIF('DADOS BRUTOS'!$A$3:$A$500,$B42,'DADOS BRUTOS'!CB$3:CB$500)+IF($C42="",0,SUMIF('DADOS BRUTOS'!$A$3:$A$500,$C42,'DADOS BRUTOS'!CB$3:CB$500)))</f>
        <v/>
      </c>
      <c r="FC42" s="123">
        <f>IF(OR(FC$4="",$B42=""),0,SUMIF('DADOS BRUTOS'!$A$3:$A$500,$B42,'DADOS BRUTOS'!CC$3:CC$500)+IF($C42="",0,SUMIF('DADOS BRUTOS'!$A$3:$A$500,$C42,'DADOS BRUTOS'!CC$3:CC$500)))</f>
        <v/>
      </c>
      <c r="FD42" s="123">
        <f>IF(OR(FD$4="",$B42=""),0,SUMIF('DADOS BRUTOS'!$A$3:$A$500,$B42,'DADOS BRUTOS'!CD$3:CD$500)+IF($C42="",0,SUMIF('DADOS BRUTOS'!$A$3:$A$500,$C42,'DADOS BRUTOS'!CD$3:CD$500)))</f>
        <v/>
      </c>
      <c r="FE42" s="123">
        <f>IF(OR(FE$4="",$B42=""),0,SUMIF('DADOS BRUTOS'!$A$3:$A$500,$B42,'DADOS BRUTOS'!CE$3:CE$500)+IF($C42="",0,SUMIF('DADOS BRUTOS'!$A$3:$A$500,$C42,'DADOS BRUTOS'!CE$3:CE$500)))</f>
        <v/>
      </c>
      <c r="FF42" s="123">
        <f>IF(OR(FF$4="",$B42=""),0,SUMIF('DADOS BRUTOS'!$A$3:$A$500,$B42,'DADOS BRUTOS'!CF$3:CF$500)+IF($C42="",0,SUMIF('DADOS BRUTOS'!$A$3:$A$500,$C42,'DADOS BRUTOS'!CF$3:CF$500)))</f>
        <v/>
      </c>
      <c r="FG42" s="123">
        <f>IF(OR(FG$4="",$B42=""),0,SUMIF('DADOS BRUTOS'!$A$3:$A$500,$B42,'DADOS BRUTOS'!CG$3:CG$500)+IF($C42="",0,SUMIF('DADOS BRUTOS'!$A$3:$A$500,$C42,'DADOS BRUTOS'!CG$3:CG$500)))</f>
        <v/>
      </c>
      <c r="FH42" s="123">
        <f>IF(OR(FH$4="",$B42=""),0,SUMIF('DADOS BRUTOS'!$A$3:$A$500,$B42,'DADOS BRUTOS'!CH$3:CH$500)+IF($C42="",0,SUMIF('DADOS BRUTOS'!$A$3:$A$500,$C42,'DADOS BRUTOS'!CH$3:CH$500)))</f>
        <v/>
      </c>
      <c r="FI42" s="123">
        <f>IF(OR(FI$4="",$B42=""),0,SUMIF('DADOS BRUTOS'!$A$3:$A$500,$B42,'DADOS BRUTOS'!CI$3:CI$500)+IF($C42="",0,SUMIF('DADOS BRUTOS'!$A$3:$A$500,$C42,'DADOS BRUTOS'!CI$3:CI$500)))</f>
        <v/>
      </c>
      <c r="FJ42" s="123">
        <f>IF(OR(FJ$4="",$B42=""),0,SUMIF('DADOS BRUTOS'!$A$3:$A$500,$B42,'DADOS BRUTOS'!CJ$3:CJ$500)+IF($C42="",0,SUMIF('DADOS BRUTOS'!$A$3:$A$500,$C42,'DADOS BRUTOS'!CJ$3:CJ$500)))</f>
        <v/>
      </c>
      <c r="FK42" s="123">
        <f>IF(OR(FK$4="",$B42=""),0,SUMIF('DADOS BRUTOS'!$A$3:$A$500,$B42,'DADOS BRUTOS'!CK$3:CK$500)+IF($C42="",0,SUMIF('DADOS BRUTOS'!$A$3:$A$500,$C42,'DADOS BRUTOS'!CK$3:CK$500)))</f>
        <v/>
      </c>
      <c r="FL42" s="123">
        <f>IF(OR(FL$4="",$B42=""),0,SUMIF('DADOS BRUTOS'!$A$3:$A$500,$B42,'DADOS BRUTOS'!CL$3:CL$500)+IF($C42="",0,SUMIF('DADOS BRUTOS'!$A$3:$A$500,$C42,'DADOS BRUTOS'!CL$3:CL$500)))</f>
        <v/>
      </c>
      <c r="FM42" s="123">
        <f>IF(OR(FM$4="",$B42=""),0,SUMIF('DADOS BRUTOS'!$A$3:$A$500,$B42,'DADOS BRUTOS'!CM$3:CM$500)+IF($C42="",0,SUMIF('DADOS BRUTOS'!$A$3:$A$500,$C42,'DADOS BRUTOS'!CM$3:CM$500)))</f>
        <v/>
      </c>
      <c r="FN42" s="123">
        <f>IF(OR(FN$4="",$B42=""),0,SUMIF('DADOS BRUTOS'!$A$3:$A$500,$B42,'DADOS BRUTOS'!CN$3:CN$500)+IF($C42="",0,SUMIF('DADOS BRUTOS'!$A$3:$A$500,$C42,'DADOS BRUTOS'!CN$3:CN$500)))</f>
        <v/>
      </c>
      <c r="FO42" s="123">
        <f>IF(OR(FO$4="",$B42=""),0,SUMIF('DADOS BRUTOS'!$A$3:$A$500,$B42,'DADOS BRUTOS'!CO$3:CO$500)+IF($C42="",0,SUMIF('DADOS BRUTOS'!$A$3:$A$500,$C42,'DADOS BRUTOS'!CO$3:CO$500)))</f>
        <v/>
      </c>
      <c r="FP42" s="123">
        <f>IF(OR(FP$4="",$B42=""),0,SUMIF('DADOS BRUTOS'!$A$3:$A$500,$B42,'DADOS BRUTOS'!CP$3:CP$500)+IF($C42="",0,SUMIF('DADOS BRUTOS'!$A$3:$A$500,$C42,'DADOS BRUTOS'!CP$3:CP$500)))</f>
        <v/>
      </c>
      <c r="FQ42" s="123">
        <f>IF(OR(FQ$4="",$B42=""),0,SUMIF('DADOS BRUTOS'!$A$3:$A$500,$B42,'DADOS BRUTOS'!CQ$3:CQ$500)+IF($C42="",0,SUMIF('DADOS BRUTOS'!$A$3:$A$500,$C42,'DADOS BRUTOS'!CQ$3:CQ$500)))</f>
        <v/>
      </c>
      <c r="FR42" s="123">
        <f>IF(OR(FR$4="",$B42=""),0,SUMIF('DADOS BRUTOS'!$A$3:$A$500,$B42,'DADOS BRUTOS'!CR$3:CR$500)+IF($C42="",0,SUMIF('DADOS BRUTOS'!$A$3:$A$500,$C42,'DADOS BRUTOS'!CR$3:CR$500)))</f>
        <v/>
      </c>
      <c r="FS42" s="123">
        <f>IF(OR(FS$4="",$B42=""),0,SUMIF('DADOS BRUTOS'!$A$3:$A$500,$B42,'DADOS BRUTOS'!CS$3:CS$500)+IF($C42="",0,SUMIF('DADOS BRUTOS'!$A$3:$A$500,$C42,'DADOS BRUTOS'!CS$3:CS$500)))</f>
        <v/>
      </c>
      <c r="FT42" s="123">
        <f>IF(OR(FT$4="",$B42=""),0,SUMIF('DADOS BRUTOS'!$A$3:$A$500,$B42,'DADOS BRUTOS'!CT$3:CT$500)+IF($C42="",0,SUMIF('DADOS BRUTOS'!$A$3:$A$500,$C42,'DADOS BRUTOS'!CT$3:CT$500)))</f>
        <v/>
      </c>
      <c r="FU42" s="123">
        <f>IF(OR(FU$4="",$B42=""),0,SUMIF('DADOS BRUTOS'!$A$3:$A$500,$B42,'DADOS BRUTOS'!CU$3:CU$500)+IF($C42="",0,SUMIF('DADOS BRUTOS'!$A$3:$A$500,$C42,'DADOS BRUTOS'!CU$3:CU$500)))</f>
        <v/>
      </c>
      <c r="FV42" s="123">
        <f>IF(OR(FV$4="",$B42=""),0,SUMIF('DADOS BRUTOS'!$A$3:$A$500,$B42,'DADOS BRUTOS'!CV$3:CV$500)+IF($C42="",0,SUMIF('DADOS BRUTOS'!$A$3:$A$500,$C42,'DADOS BRUTOS'!CV$3:CV$500)))</f>
        <v/>
      </c>
      <c r="FW42" s="123">
        <f>IF(OR(FW$4="",$B42=""),0,SUMIF('DADOS BRUTOS'!$A$3:$A$500,$B42,'DADOS BRUTOS'!CW$3:CW$500)+IF($C42="",0,SUMIF('DADOS BRUTOS'!$A$3:$A$500,$C42,'DADOS BRUTOS'!CW$3:CW$500)))</f>
        <v/>
      </c>
      <c r="FX42" s="123">
        <f>IF(OR(FX$4="",$B42=""),0,SUMIF('DADOS BRUTOS'!$A$3:$A$500,$B42,'DADOS BRUTOS'!CX$3:CX$500)+IF($C42="",0,SUMIF('DADOS BRUTOS'!$A$3:$A$500,$C42,'DADOS BRUTOS'!CX$3:CX$500)))</f>
        <v/>
      </c>
      <c r="FY42" s="123">
        <f>IF(OR(FY$4="",$B42=""),0,SUMIF('DADOS BRUTOS'!$A$3:$A$500,$B42,'DADOS BRUTOS'!CY$3:CY$500)+IF($C42="",0,SUMIF('DADOS BRUTOS'!$A$3:$A$500,$C42,'DADOS BRUTOS'!CY$3:CY$500)))</f>
        <v/>
      </c>
      <c r="FZ42" s="123">
        <f>IF(OR(FZ$4="",$B42=""),0,SUMIF('DADOS BRUTOS'!$A$3:$A$500,$B42,'DADOS BRUTOS'!CZ$3:CZ$500)+IF($C42="",0,SUMIF('DADOS BRUTOS'!$A$3:$A$500,$C42,'DADOS BRUTOS'!CZ$3:CZ$500)))</f>
        <v/>
      </c>
      <c r="GA42" s="123">
        <f>IF(OR(GA$4="",$B42=""),0,SUMIF('DADOS BRUTOS'!$A$3:$A$500,$B42,'DADOS BRUTOS'!DA$3:DA$500)+IF($C42="",0,SUMIF('DADOS BRUTOS'!$A$3:$A$500,$C42,'DADOS BRUTOS'!DA$3:DA$500)))</f>
        <v/>
      </c>
      <c r="GB42" s="123">
        <f>IF(OR(GB$4="",$B42=""),0,SUMIF('DADOS BRUTOS'!$A$3:$A$500,$B42,'DADOS BRUTOS'!DB$3:DB$500)+IF($C42="",0,SUMIF('DADOS BRUTOS'!$A$3:$A$500,$C42,'DADOS BRUTOS'!DB$3:DB$500)))</f>
        <v/>
      </c>
      <c r="GC42" s="123">
        <f>IF(OR(GC$4="",$B42=""),0,SUMIF('DADOS BRUTOS'!$A$3:$A$500,$B42,'DADOS BRUTOS'!DC$3:DC$500)+IF($C42="",0,SUMIF('DADOS BRUTOS'!$A$3:$A$500,$C42,'DADOS BRUTOS'!DC$3:DC$500)))</f>
        <v/>
      </c>
      <c r="GD42" s="123">
        <f>IF(OR(GD$4="",$B42=""),0,SUMIF('DADOS BRUTOS'!$A$3:$A$500,$B42,'DADOS BRUTOS'!DD$3:DD$500)+IF($C42="",0,SUMIF('DADOS BRUTOS'!$A$3:$A$500,$C42,'DADOS BRUTOS'!DD$3:DD$500)))</f>
        <v/>
      </c>
      <c r="GE42" s="123">
        <f>IF(OR(GE$4="",$B42=""),0,SUMIF('DADOS BRUTOS'!$A$3:$A$500,$B42,'DADOS BRUTOS'!DE$3:DE$500)+IF($C42="",0,SUMIF('DADOS BRUTOS'!$A$3:$A$500,$C42,'DADOS BRUTOS'!DE$3:DE$500)))</f>
        <v/>
      </c>
      <c r="GF42" s="123">
        <f>IF(OR(GF$4="",$B42=""),0,SUMIF('DADOS BRUTOS'!$A$3:$A$500,$B42,'DADOS BRUTOS'!DF$3:DF$500)+IF($C42="",0,SUMIF('DADOS BRUTOS'!$A$3:$A$500,$C42,'DADOS BRUTOS'!DF$3:DF$500)))</f>
        <v/>
      </c>
      <c r="GG42" s="123">
        <f>IF(OR(GG$4="",$B42=""),0,SUMIF('DADOS BRUTOS'!$A$3:$A$500,$B42,'DADOS BRUTOS'!DG$3:DG$500)+IF($C42="",0,SUMIF('DADOS BRUTOS'!$A$3:$A$500,$C42,'DADOS BRUTOS'!DG$3:DG$500)))</f>
        <v/>
      </c>
      <c r="GH42" s="123">
        <f>IF(OR(GH$4="",$B42=""),0,SUMIF('DADOS BRUTOS'!$A$3:$A$500,$B42,'DADOS BRUTOS'!DH$3:DH$500)+IF($C42="",0,SUMIF('DADOS BRUTOS'!$A$3:$A$500,$C42,'DADOS BRUTOS'!DH$3:DH$500)))</f>
        <v/>
      </c>
      <c r="GI42" s="123">
        <f>IF(OR(GI$4="",$B42=""),0,SUMIF('DADOS BRUTOS'!$A$3:$A$500,$B42,'DADOS BRUTOS'!DI$3:DI$500)+IF($C42="",0,SUMIF('DADOS BRUTOS'!$A$3:$A$500,$C42,'DADOS BRUTOS'!DI$3:DI$500)))</f>
        <v/>
      </c>
      <c r="GJ42" s="123">
        <f>IF(OR(GJ$4="",$B42=""),0,SUMIF('DADOS BRUTOS'!$A$3:$A$500,$B42,'DADOS BRUTOS'!DJ$3:DJ$500)+IF($C42="",0,SUMIF('DADOS BRUTOS'!$A$3:$A$500,$C42,'DADOS BRUTOS'!DJ$3:DJ$500)))</f>
        <v/>
      </c>
      <c r="GK42" s="123">
        <f>IF(OR(GK$4="",$B42=""),0,SUMIF('DADOS BRUTOS'!$A$3:$A$500,$B42,'DADOS BRUTOS'!DK$3:DK$500)+IF($C42="",0,SUMIF('DADOS BRUTOS'!$A$3:$A$500,$C42,'DADOS BRUTOS'!DK$3:DK$500)))</f>
        <v/>
      </c>
      <c r="GL42" s="123">
        <f>IF(OR(GL$4="",$B42=""),0,SUMIF('DADOS BRUTOS'!$A$3:$A$500,$B42,'DADOS BRUTOS'!DL$3:DL$500)+IF($C42="",0,SUMIF('DADOS BRUTOS'!$A$3:$A$500,$C42,'DADOS BRUTOS'!DL$3:DL$500)))</f>
        <v/>
      </c>
      <c r="GM42" s="123">
        <f>IF(OR(GM$4="",$B42=""),0,SUMIF('DADOS BRUTOS'!$A$3:$A$500,$B42,'DADOS BRUTOS'!DM$3:DM$500)+IF($C42="",0,SUMIF('DADOS BRUTOS'!$A$3:$A$500,$C42,'DADOS BRUTOS'!DM$3:DM$500)))</f>
        <v/>
      </c>
      <c r="GN42" s="123">
        <f>IF(OR(GN$4="",$B42=""),0,SUMIF('DADOS BRUTOS'!$A$3:$A$500,$B42,'DADOS BRUTOS'!DN$3:DN$500)+IF($C42="",0,SUMIF('DADOS BRUTOS'!$A$3:$A$500,$C42,'DADOS BRUTOS'!DN$3:DN$500)))</f>
        <v/>
      </c>
      <c r="GO42" s="123">
        <f>IF(OR(GO$4="",$B42=""),0,SUMIF('DADOS BRUTOS'!$A$3:$A$500,$B42,'DADOS BRUTOS'!DO$3:DO$500)+IF($C42="",0,SUMIF('DADOS BRUTOS'!$A$3:$A$500,$C42,'DADOS BRUTOS'!DO$3:DO$500)))</f>
        <v/>
      </c>
      <c r="GP42" s="123">
        <f>IF(OR(GP$4="",$B42=""),0,SUMIF('DADOS BRUTOS'!$A$3:$A$500,$B42,'DADOS BRUTOS'!DP$3:DP$500)+IF($C42="",0,SUMIF('DADOS BRUTOS'!$A$3:$A$500,$C42,'DADOS BRUTOS'!DP$3:DP$500)))</f>
        <v/>
      </c>
      <c r="GQ42" s="123">
        <f>IF(OR(GQ$4="",$B42=""),0,SUMIF('DADOS BRUTOS'!$A$3:$A$500,$B42,'DADOS BRUTOS'!DQ$3:DQ$500)+IF($C42="",0,SUMIF('DADOS BRUTOS'!$A$3:$A$500,$C42,'DADOS BRUTOS'!DQ$3:DQ$500)))</f>
        <v/>
      </c>
      <c r="GR42" s="123">
        <f>IF(OR(GR$4="",$B42=""),0,SUMIF('DADOS BRUTOS'!$A$3:$A$500,$B42,'DADOS BRUTOS'!DR$3:DR$500)+IF($C42="",0,SUMIF('DADOS BRUTOS'!$A$3:$A$500,$C42,'DADOS BRUTOS'!DR$3:DR$500)))</f>
        <v/>
      </c>
      <c r="GS42" s="123">
        <f>IF(OR(GS$4="",$B42=""),0,SUMIF('DADOS BRUTOS'!$A$3:$A$500,$B42,'DADOS BRUTOS'!DS$3:DS$500)+IF($C42="",0,SUMIF('DADOS BRUTOS'!$A$3:$A$500,$C42,'DADOS BRUTOS'!DS$3:DS$500)))</f>
        <v/>
      </c>
      <c r="GT42" s="123">
        <f>IF(OR(GT$4="",$B42=""),0,SUMIF('DADOS BRUTOS'!$A$3:$A$500,$B42,'DADOS BRUTOS'!DT$3:DT$500)+IF($C42="",0,SUMIF('DADOS BRUTOS'!$A$3:$A$500,$C42,'DADOS BRUTOS'!DT$3:DT$500)))</f>
        <v/>
      </c>
      <c r="GU42" s="123">
        <f>IF(OR(GU$4="",$B42=""),0,SUMIF('DADOS BRUTOS'!$A$3:$A$500,$B42,'DADOS BRUTOS'!DU$3:DU$500)+IF($C42="",0,SUMIF('DADOS BRUTOS'!$A$3:$A$500,$C42,'DADOS BRUTOS'!DU$3:DU$500)))</f>
        <v/>
      </c>
      <c r="GV42" s="123">
        <f>IF(OR(GV$4="",$B42=""),0,SUMIF('DADOS BRUTOS'!$A$3:$A$500,$B42,'DADOS BRUTOS'!DV$3:DV$500)+IF($C42="",0,SUMIF('DADOS BRUTOS'!$A$3:$A$500,$C42,'DADOS BRUTOS'!DV$3:DV$500)))</f>
        <v/>
      </c>
      <c r="GW42" s="123">
        <f>IF(OR(GW$4="",$B42=""),0,SUMIF('DADOS BRUTOS'!$A$3:$A$500,$B42,'DADOS BRUTOS'!DW$3:DW$500)+IF($C42="",0,SUMIF('DADOS BRUTOS'!$A$3:$A$500,$C42,'DADOS BRUTOS'!DW$3:DW$500)))</f>
        <v/>
      </c>
      <c r="GX42" s="123">
        <f>IF(OR(GX$4="",$B42=""),0,SUMIF('DADOS BRUTOS'!$A$3:$A$500,$B42,'DADOS BRUTOS'!DX$3:DX$500)+IF($C42="",0,SUMIF('DADOS BRUTOS'!$A$3:$A$500,$C42,'DADOS BRUTOS'!DX$3:DX$500)))</f>
        <v/>
      </c>
      <c r="GY42" s="123">
        <f>IF(OR(GY$4="",$B42=""),0,SUMIF('DADOS BRUTOS'!$A$3:$A$500,$B42,'DADOS BRUTOS'!DY$3:DY$500)+IF($C42="",0,SUMIF('DADOS BRUTOS'!$A$3:$A$500,$C42,'DADOS BRUTOS'!DY$3:DY$500)))</f>
        <v/>
      </c>
      <c r="GZ42" s="123">
        <f>IF(OR(GZ$4="",$B42=""),0,SUMIF('DADOS BRUTOS'!$A$3:$A$500,$B42,'DADOS BRUTOS'!DZ$3:DZ$500)+IF($C42="",0,SUMIF('DADOS BRUTOS'!$A$3:$A$500,$C42,'DADOS BRUTOS'!DZ$3:DZ$500)))</f>
        <v/>
      </c>
      <c r="HA42" s="123">
        <f>IF(OR(HA$4="",$B42=""),0,SUMIF('DADOS BRUTOS'!$A$3:$A$500,$B42,'DADOS BRUTOS'!EA$3:EA$500)+IF($C42="",0,SUMIF('DADOS BRUTOS'!$A$3:$A$500,$C42,'DADOS BRUTOS'!EA$3:EA$500)))</f>
        <v/>
      </c>
      <c r="HB42" s="123">
        <f>IF(OR(HB$4="",$B42=""),0,SUMIF('DADOS BRUTOS'!$A$3:$A$500,$B42,'DADOS BRUTOS'!EB$3:EB$500)+IF($C42="",0,SUMIF('DADOS BRUTOS'!$A$3:$A$500,$C42,'DADOS BRUTOS'!EB$3:EB$500)))</f>
        <v/>
      </c>
      <c r="HC42" s="123">
        <f>IF(OR(HC$4="",$B42=""),0,SUMIF('DADOS BRUTOS'!$A$3:$A$500,$B42,'DADOS BRUTOS'!EC$3:EC$500)+IF($C42="",0,SUMIF('DADOS BRUTOS'!$A$3:$A$500,$C42,'DADOS BRUTOS'!EC$3:EC$500)))</f>
        <v/>
      </c>
      <c r="HD42" s="123">
        <f>IF(OR(HD$4="",$B42=""),0,SUMIF('DADOS BRUTOS'!$A$3:$A$500,$B42,'DADOS BRUTOS'!ED$3:ED$500)+IF($C42="",0,SUMIF('DADOS BRUTOS'!$A$3:$A$500,$C42,'DADOS BRUTOS'!ED$3:ED$500)))</f>
        <v/>
      </c>
      <c r="HE42" s="123">
        <f>IF(OR(HE$4="",$B42=""),0,SUMIF('DADOS BRUTOS'!$A$3:$A$500,$B42,'DADOS BRUTOS'!EE$3:EE$500)+IF($C42="",0,SUMIF('DADOS BRUTOS'!$A$3:$A$500,$C42,'DADOS BRUTOS'!EE$3:EE$500)))</f>
        <v/>
      </c>
      <c r="HF42" s="123">
        <f>IF(OR(HF$4="",$B42=""),0,SUMIF('DADOS BRUTOS'!$A$3:$A$500,$B42,'DADOS BRUTOS'!EF$3:EF$500)+IF($C42="",0,SUMIF('DADOS BRUTOS'!$A$3:$A$500,$C42,'DADOS BRUTOS'!EF$3:EF$500)))</f>
        <v/>
      </c>
      <c r="HG42" s="123">
        <f>IF(OR(HG$4="",$B42=""),0,SUMIF('DADOS BRUTOS'!$A$3:$A$500,$B42,'DADOS BRUTOS'!EG$3:EG$500)+IF($C42="",0,SUMIF('DADOS BRUTOS'!$A$3:$A$500,$C42,'DADOS BRUTOS'!EG$3:EG$500)))</f>
        <v/>
      </c>
      <c r="HH42" s="123">
        <f>IF(OR(HH$4="",$B42=""),0,SUMIF('DADOS BRUTOS'!$A$3:$A$500,$B42,'DADOS BRUTOS'!EH$3:EH$500)+IF($C42="",0,SUMIF('DADOS BRUTOS'!$A$3:$A$500,$C42,'DADOS BRUTOS'!EH$3:EH$500)))</f>
        <v/>
      </c>
      <c r="HI42" s="123">
        <f>IF(OR(HI$4="",$B42=""),0,SUMIF('DADOS BRUTOS'!$A$3:$A$500,$B42,'DADOS BRUTOS'!EI$3:EI$500)+IF($C42="",0,SUMIF('DADOS BRUTOS'!$A$3:$A$500,$C42,'DADOS BRUTOS'!EI$3:EI$500)))</f>
        <v/>
      </c>
      <c r="HJ42" s="123">
        <f>IF(OR(HJ$4="",$B42=""),0,SUMIF('DADOS BRUTOS'!$A$3:$A$500,$B42,'DADOS BRUTOS'!EJ$3:EJ$500)+IF($C42="",0,SUMIF('DADOS BRUTOS'!$A$3:$A$500,$C42,'DADOS BRUTOS'!EJ$3:EJ$500)))</f>
        <v/>
      </c>
      <c r="HK42" s="123">
        <f>IF(OR(HK$4="",$B42=""),0,SUMIF('DADOS BRUTOS'!$A$3:$A$500,$B42,'DADOS BRUTOS'!EK$3:EK$500)+IF($C42="",0,SUMIF('DADOS BRUTOS'!$A$3:$A$500,$C42,'DADOS BRUTOS'!EK$3:EK$500)))</f>
        <v/>
      </c>
      <c r="HL42" s="123">
        <f>IF(OR(HL$4="",$B42=""),0,SUMIF('DADOS BRUTOS'!$A$3:$A$500,$B42,'DADOS BRUTOS'!EL$3:EL$500)+IF($C42="",0,SUMIF('DADOS BRUTOS'!$A$3:$A$500,$C42,'DADOS BRUTOS'!EL$3:EL$500)))</f>
        <v/>
      </c>
      <c r="HM42" s="123">
        <f>IF(OR(HM$4="",$B42=""),0,SUMIF('DADOS BRUTOS'!$A$3:$A$500,$B42,'DADOS BRUTOS'!EM$3:EM$500)+IF($C42="",0,SUMIF('DADOS BRUTOS'!$A$3:$A$500,$C42,'DADOS BRUTOS'!EM$3:EM$500)))</f>
        <v/>
      </c>
      <c r="HN42" s="123">
        <f>IF(OR(HN$4="",$B42=""),0,SUMIF('DADOS BRUTOS'!$A$3:$A$500,$B42,'DADOS BRUTOS'!EN$3:EN$500)+IF($C42="",0,SUMIF('DADOS BRUTOS'!$A$3:$A$500,$C42,'DADOS BRUTOS'!EN$3:EN$500)))</f>
        <v/>
      </c>
      <c r="HO42" s="123">
        <f>IF(OR(HO$4="",$B42=""),0,SUMIF('DADOS BRUTOS'!$A$3:$A$500,$B42,'DADOS BRUTOS'!EO$3:EO$500)+IF($C42="",0,SUMIF('DADOS BRUTOS'!$A$3:$A$500,$C42,'DADOS BRUTOS'!EO$3:EO$500)))</f>
        <v/>
      </c>
      <c r="HP42" s="123">
        <f>IF(OR(HP$4="",$B42=""),0,SUMIF('DADOS BRUTOS'!$A$3:$A$500,$B42,'DADOS BRUTOS'!EP$3:EP$500)+IF($C42="",0,SUMIF('DADOS BRUTOS'!$A$3:$A$500,$C42,'DADOS BRUTOS'!EP$3:EP$500)))</f>
        <v/>
      </c>
      <c r="HQ42" s="123">
        <f>IF(OR(HQ$4="",$B42=""),0,SUMIF('DADOS BRUTOS'!$A$3:$A$500,$B42,'DADOS BRUTOS'!EQ$3:EQ$500)+IF($C42="",0,SUMIF('DADOS BRUTOS'!$A$3:$A$500,$C42,'DADOS BRUTOS'!EQ$3:EQ$500)))</f>
        <v/>
      </c>
      <c r="HR42" s="123">
        <f>IF(OR(HR$4="",$B42=""),0,SUMIF('DADOS BRUTOS'!$A$3:$A$500,$B42,'DADOS BRUTOS'!ER$3:ER$500)+IF($C42="",0,SUMIF('DADOS BRUTOS'!$A$3:$A$500,$C42,'DADOS BRUTOS'!ER$3:ER$500)))</f>
        <v/>
      </c>
      <c r="HS42" s="123">
        <f>IF(OR(HS$4="",$B42=""),0,SUMIF('DADOS BRUTOS'!$A$3:$A$500,$B42,'DADOS BRUTOS'!ES$3:ES$500)+IF($C42="",0,SUMIF('DADOS BRUTOS'!$A$3:$A$500,$C42,'DADOS BRUTOS'!ES$3:ES$500)))</f>
        <v/>
      </c>
      <c r="HT42" s="123">
        <f>IF(OR(HT$4="",$B42=""),0,SUMIF('DADOS BRUTOS'!$A$3:$A$500,$B42,'DADOS BRUTOS'!ET$3:ET$500)+IF($C42="",0,SUMIF('DADOS BRUTOS'!$A$3:$A$500,$C42,'DADOS BRUTOS'!ET$3:ET$500)))</f>
        <v/>
      </c>
      <c r="HU42" s="123">
        <f>IF(OR(HU$4="",$B42=""),0,SUMIF('DADOS BRUTOS'!$A$3:$A$500,$B42,'DADOS BRUTOS'!EU$3:EU$500)+IF($C42="",0,SUMIF('DADOS BRUTOS'!$A$3:$A$500,$C42,'DADOS BRUTOS'!EU$3:EU$500)))</f>
        <v/>
      </c>
      <c r="HV42" s="123">
        <f>IF(OR(HV$4="",$B42=""),0,SUMIF('DADOS BRUTOS'!$A$3:$A$500,$B42,'DADOS BRUTOS'!EV$3:EV$500)+IF($C42="",0,SUMIF('DADOS BRUTOS'!$A$3:$A$500,$C42,'DADOS BRUTOS'!EV$3:EV$500)))</f>
        <v/>
      </c>
      <c r="HW42" s="123">
        <f>IF(OR(HW$4="",$B42=""),0,SUMIF('DADOS BRUTOS'!$A$3:$A$500,$B42,'DADOS BRUTOS'!EW$3:EW$500)+IF($C42="",0,SUMIF('DADOS BRUTOS'!$A$3:$A$500,$C42,'DADOS BRUTOS'!EW$3:EW$500)))</f>
        <v/>
      </c>
      <c r="HX42" s="123">
        <f>IF(OR(HX$4="",$B42=""),0,SUMIF('DADOS BRUTOS'!$A$3:$A$500,$B42,'DADOS BRUTOS'!EX$3:EX$500)+IF($C42="",0,SUMIF('DADOS BRUTOS'!$A$3:$A$500,$C42,'DADOS BRUTOS'!EX$3:EX$500)))</f>
        <v/>
      </c>
      <c r="HY42" s="123">
        <f>IF(OR(HY$4="",$B42=""),0,SUMIF('DADOS BRUTOS'!$A$3:$A$500,$B42,'DADOS BRUTOS'!EY$3:EY$500)+IF($C42="",0,SUMIF('DADOS BRUTOS'!$A$3:$A$500,$C42,'DADOS BRUTOS'!EY$3:EY$500)))</f>
        <v/>
      </c>
      <c r="HZ42" s="123">
        <f>IF(OR(HZ$4="",$B42=""),0,SUMIF('DADOS BRUTOS'!$A$3:$A$500,$B42,'DADOS BRUTOS'!EZ$3:EZ$500)+IF($C42="",0,SUMIF('DADOS BRUTOS'!$A$3:$A$500,$C42,'DADOS BRUTOS'!EZ$3:EZ$500)))</f>
        <v/>
      </c>
      <c r="IA42" s="123">
        <f>IF(OR(IA$4="",$B42=""),0,SUMIF('DADOS BRUTOS'!$A$3:$A$500,$B42,'DADOS BRUTOS'!FA$3:FA$500)+IF($C42="",0,SUMIF('DADOS BRUTOS'!$A$3:$A$500,$C42,'DADOS BRUTOS'!FA$3:FA$500)))</f>
        <v/>
      </c>
      <c r="IB42" s="123">
        <f>IF(OR(IB$4="",$B42=""),0,SUMIF('DADOS BRUTOS'!$A$3:$A$500,$B42,'DADOS BRUTOS'!FB$3:FB$500)+IF($C42="",0,SUMIF('DADOS BRUTOS'!$A$3:$A$500,$C42,'DADOS BRUTOS'!FB$3:FB$500)))</f>
        <v/>
      </c>
      <c r="IC42" s="123">
        <f>IF(OR(IC$4="",$B42=""),0,SUMIF('DADOS BRUTOS'!$A$3:$A$500,$B42,'DADOS BRUTOS'!FC$3:FC$500)+IF($C42="",0,SUMIF('DADOS BRUTOS'!$A$3:$A$500,$C42,'DADOS BRUTOS'!FC$3:FC$500)))</f>
        <v/>
      </c>
      <c r="ID42" s="123">
        <f>IF(OR(ID$4="",$B42=""),0,SUMIF('DADOS BRUTOS'!$A$3:$A$500,$B42,'DADOS BRUTOS'!FD$3:FD$500)+IF($C42="",0,SUMIF('DADOS BRUTOS'!$A$3:$A$500,$C42,'DADOS BRUTOS'!FD$3:FD$500)))</f>
        <v/>
      </c>
      <c r="IE42" s="123">
        <f>IF(OR(IE$4="",$B42=""),0,SUMIF('DADOS BRUTOS'!$A$3:$A$500,$B42,'DADOS BRUTOS'!FE$3:FE$500)+IF($C42="",0,SUMIF('DADOS BRUTOS'!$A$3:$A$500,$C42,'DADOS BRUTOS'!FE$3:FE$500)))</f>
        <v/>
      </c>
      <c r="IF42" s="123">
        <f>IF(OR(IF$4="",$B42=""),0,SUMIF('DADOS BRUTOS'!$A$3:$A$500,$B42,'DADOS BRUTOS'!FF$3:FF$500)+IF($C42="",0,SUMIF('DADOS BRUTOS'!$A$3:$A$500,$C42,'DADOS BRUTOS'!FF$3:FF$500)))</f>
        <v/>
      </c>
      <c r="IG42" s="123">
        <f>IF(OR(IG$4="",$B42=""),0,SUMIF('DADOS BRUTOS'!$A$3:$A$500,$B42,'DADOS BRUTOS'!FG$3:FG$500)+IF($C42="",0,SUMIF('DADOS BRUTOS'!$A$3:$A$500,$C42,'DADOS BRUTOS'!FG$3:FG$500)))</f>
        <v/>
      </c>
      <c r="IH42" s="123">
        <f>IF(OR(IH$4="",$B42=""),0,SUMIF('DADOS BRUTOS'!$A$3:$A$500,$B42,'DADOS BRUTOS'!FH$3:FH$500)+IF($C42="",0,SUMIF('DADOS BRUTOS'!$A$3:$A$500,$C42,'DADOS BRUTOS'!FH$3:FH$500)))</f>
        <v/>
      </c>
      <c r="II42" s="123">
        <f>IF(OR(II$4="",$B42=""),0,SUMIF('DADOS BRUTOS'!$A$3:$A$500,$B42,'DADOS BRUTOS'!FI$3:FI$500)+IF($C42="",0,SUMIF('DADOS BRUTOS'!$A$3:$A$500,$C42,'DADOS BRUTOS'!FI$3:FI$500)))</f>
        <v/>
      </c>
      <c r="IJ42" s="123">
        <f>IF(OR(IJ$4="",$B42=""),0,SUMIF('DADOS BRUTOS'!$A$3:$A$500,$B42,'DADOS BRUTOS'!FJ$3:FJ$500)+IF($C42="",0,SUMIF('DADOS BRUTOS'!$A$3:$A$500,$C42,'DADOS BRUTOS'!FJ$3:FJ$500)))</f>
        <v/>
      </c>
      <c r="IK42" s="123">
        <f>IF(OR(IK$4="",$B42=""),0,SUMIF('DADOS BRUTOS'!$A$3:$A$500,$B42,'DADOS BRUTOS'!FK$3:FK$500)+IF($C42="",0,SUMIF('DADOS BRUTOS'!$A$3:$A$500,$C42,'DADOS BRUTOS'!FK$3:FK$500)))</f>
        <v/>
      </c>
      <c r="IL42" s="123">
        <f>IF(OR(IL$4="",$B42=""),0,SUMIF('DADOS BRUTOS'!$A$3:$A$500,$B42,'DADOS BRUTOS'!FL$3:FL$500)+IF($C42="",0,SUMIF('DADOS BRUTOS'!$A$3:$A$500,$C42,'DADOS BRUTOS'!FL$3:FL$500)))</f>
        <v/>
      </c>
      <c r="IM42" s="123">
        <f>IF(OR(IM$4="",$B42=""),0,SUMIF('DADOS BRUTOS'!$A$3:$A$500,$B42,'DADOS BRUTOS'!FM$3:FM$500)+IF($C42="",0,SUMIF('DADOS BRUTOS'!$A$3:$A$500,$C42,'DADOS BRUTOS'!FM$3:FM$500)))</f>
        <v/>
      </c>
      <c r="IN42" s="123">
        <f>IF(OR(IN$4="",$B42=""),0,SUMIF('DADOS BRUTOS'!$A$3:$A$500,$B42,'DADOS BRUTOS'!FN$3:FN$500)+IF($C42="",0,SUMIF('DADOS BRUTOS'!$A$3:$A$500,$C42,'DADOS BRUTOS'!FN$3:FN$500)))</f>
        <v/>
      </c>
      <c r="IO42" s="123">
        <f>IF(OR(IO$4="",$B42=""),0,SUMIF('DADOS BRUTOS'!$A$3:$A$500,$B42,'DADOS BRUTOS'!FO$3:FO$500)+IF($C42="",0,SUMIF('DADOS BRUTOS'!$A$3:$A$500,$C42,'DADOS BRUTOS'!FO$3:FO$500)))</f>
        <v/>
      </c>
      <c r="IP42" s="123">
        <f>IF(OR(IP$4="",$B42=""),0,SUMIF('DADOS BRUTOS'!$A$3:$A$500,$B42,'DADOS BRUTOS'!FP$3:FP$500)+IF($C42="",0,SUMIF('DADOS BRUTOS'!$A$3:$A$500,$C42,'DADOS BRUTOS'!FP$3:FP$500)))</f>
        <v/>
      </c>
      <c r="IQ42" s="123">
        <f>IF(OR(IQ$4="",$B42=""),0,SUMIF('DADOS BRUTOS'!$A$3:$A$500,$B42,'DADOS BRUTOS'!FQ$3:FQ$500)+IF($C42="",0,SUMIF('DADOS BRUTOS'!$A$3:$A$500,$C42,'DADOS BRUTOS'!FQ$3:FQ$500)))</f>
        <v/>
      </c>
      <c r="IR42" s="123">
        <f>IF(OR(IR$4="",$B42=""),0,SUMIF('DADOS BRUTOS'!$A$3:$A$500,$B42,'DADOS BRUTOS'!FR$3:FR$500)+IF($C42="",0,SUMIF('DADOS BRUTOS'!$A$3:$A$500,$C42,'DADOS BRUTOS'!FR$3:FR$500)))</f>
        <v/>
      </c>
      <c r="IS42" s="123">
        <f>IF(OR(IS$4="",$B42=""),0,SUMIF('DADOS BRUTOS'!$A$3:$A$500,$B42,'DADOS BRUTOS'!FS$3:FS$500)+IF($C42="",0,SUMIF('DADOS BRUTOS'!$A$3:$A$500,$C42,'DADOS BRUTOS'!FS$3:FS$500)))</f>
        <v/>
      </c>
      <c r="IT42" s="123">
        <f>IF(OR(IT$4="",$B42=""),0,SUMIF('DADOS BRUTOS'!$A$3:$A$500,$B42,'DADOS BRUTOS'!FT$3:FT$500)+IF($C42="",0,SUMIF('DADOS BRUTOS'!$A$3:$A$500,$C42,'DADOS BRUTOS'!FT$3:FT$500)))</f>
        <v/>
      </c>
      <c r="IU42" s="123">
        <f>IF(OR(IU$4="",$B42=""),0,SUMIF('DADOS BRUTOS'!$A$3:$A$500,$B42,'DADOS BRUTOS'!FU$3:FU$500)+IF($C42="",0,SUMIF('DADOS BRUTOS'!$A$3:$A$500,$C42,'DADOS BRUTOS'!FU$3:FU$500)))</f>
        <v/>
      </c>
      <c r="IV42" s="123">
        <f>IF(OR(IV$4="",$B42=""),0,SUMIF('DADOS BRUTOS'!$A$3:$A$500,$B42,'DADOS BRUTOS'!FV$3:FV$500)+IF($C42="",0,SUMIF('DADOS BRUTOS'!$A$3:$A$500,$C42,'DADOS BRUTOS'!FV$3:FV$500)))</f>
        <v/>
      </c>
      <c r="IW42" s="123">
        <f>IF(OR(IW$4="",$B42=""),0,SUMIF('DADOS BRUTOS'!$A$3:$A$500,$B42,'DADOS BRUTOS'!FW$3:FW$500)+IF($C42="",0,SUMIF('DADOS BRUTOS'!$A$3:$A$500,$C42,'DADOS BRUTOS'!FW$3:FW$500)))</f>
        <v/>
      </c>
      <c r="IX42" s="123">
        <f>IF(OR(IX$4="",$B42=""),0,SUMIF('DADOS BRUTOS'!$A$3:$A$500,$B42,'DADOS BRUTOS'!FX$3:FX$500)+IF($C42="",0,SUMIF('DADOS BRUTOS'!$A$3:$A$500,$C42,'DADOS BRUTOS'!FX$3:FX$500)))</f>
        <v/>
      </c>
      <c r="IY42" s="123">
        <f>IF(OR(IY$4="",$B42=""),0,SUMIF('DADOS BRUTOS'!$A$3:$A$500,$B42,'DADOS BRUTOS'!FY$3:FY$500)+IF($C42="",0,SUMIF('DADOS BRUTOS'!$A$3:$A$500,$C42,'DADOS BRUTOS'!FY$3:FY$500)))</f>
        <v/>
      </c>
      <c r="IZ42" s="123">
        <f>IF(OR(IZ$4="",$B42=""),0,SUMIF('DADOS BRUTOS'!$A$3:$A$500,$B42,'DADOS BRUTOS'!FZ$3:FZ$500)+IF($C42="",0,SUMIF('DADOS BRUTOS'!$A$3:$A$500,$C42,'DADOS BRUTOS'!FZ$3:FZ$500)))</f>
        <v/>
      </c>
      <c r="JA42" s="123">
        <f>IF(OR(JA$4="",$B42=""),0,SUMIF('DADOS BRUTOS'!$A$3:$A$500,$B42,'DADOS BRUTOS'!GA$3:GA$500)+IF($C42="",0,SUMIF('DADOS BRUTOS'!$A$3:$A$500,$C42,'DADOS BRUTOS'!GA$3:GA$500)))</f>
        <v/>
      </c>
      <c r="JB42" s="123">
        <f>IF(OR(JB$4="",$B42=""),0,SUMIF('DADOS BRUTOS'!$A$3:$A$500,$B42,'DADOS BRUTOS'!GB$3:GB$500)+IF($C42="",0,SUMIF('DADOS BRUTOS'!$A$3:$A$500,$C42,'DADOS BRUTOS'!GB$3:GB$500)))</f>
        <v/>
      </c>
      <c r="JC42" s="123">
        <f>IF(OR(JC$4="",$B42=""),0,SUMIF('DADOS BRUTOS'!$A$3:$A$500,$B42,'DADOS BRUTOS'!GC$3:GC$500)+IF($C42="",0,SUMIF('DADOS BRUTOS'!$A$3:$A$500,$C42,'DADOS BRUTOS'!GC$3:GC$500)))</f>
        <v/>
      </c>
      <c r="JD42" s="123">
        <f>IF(OR(JD$4="",$B42=""),0,SUMIF('DADOS BRUTOS'!$A$3:$A$500,$B42,'DADOS BRUTOS'!GD$3:GD$500)+IF($C42="",0,SUMIF('DADOS BRUTOS'!$A$3:$A$500,$C42,'DADOS BRUTOS'!GD$3:GD$500)))</f>
        <v/>
      </c>
      <c r="JE42" s="123">
        <f>IF(OR(JE$4="",$B42=""),0,SUMIF('DADOS BRUTOS'!$A$3:$A$500,$B42,'DADOS BRUTOS'!GE$3:GE$500)+IF($C42="",0,SUMIF('DADOS BRUTOS'!$A$3:$A$500,$C42,'DADOS BRUTOS'!GE$3:GE$500)))</f>
        <v/>
      </c>
      <c r="JF42" s="123">
        <f>IF(OR(JF$4="",$B42=""),0,SUMIF('DADOS BRUTOS'!$A$3:$A$500,$B42,'DADOS BRUTOS'!GF$3:GF$500)+IF($C42="",0,SUMIF('DADOS BRUTOS'!$A$3:$A$500,$C42,'DADOS BRUTOS'!GF$3:GF$500)))</f>
        <v/>
      </c>
      <c r="JG42" s="123">
        <f>IF(OR(JG$4="",$B42=""),0,SUMIF('DADOS BRUTOS'!$A$3:$A$500,$B42,'DADOS BRUTOS'!GG$3:GG$500)+IF($C42="",0,SUMIF('DADOS BRUTOS'!$A$3:$A$500,$C42,'DADOS BRUTOS'!GG$3:GG$500)))</f>
        <v/>
      </c>
      <c r="JH42" s="123">
        <f>IF(OR(JH$4="",$B42=""),0,SUMIF('DADOS BRUTOS'!$A$3:$A$500,$B42,'DADOS BRUTOS'!GH$3:GH$500)+IF($C42="",0,SUMIF('DADOS BRUTOS'!$A$3:$A$500,$C42,'DADOS BRUTOS'!GH$3:GH$500)))</f>
        <v/>
      </c>
      <c r="JI42" s="123">
        <f>IF(OR(JI$4="",$B42=""),0,SUMIF('DADOS BRUTOS'!$A$3:$A$500,$B42,'DADOS BRUTOS'!GI$3:GI$500)+IF($C42="",0,SUMIF('DADOS BRUTOS'!$A$3:$A$500,$C42,'DADOS BRUTOS'!GI$3:GI$500)))</f>
        <v/>
      </c>
      <c r="JJ42" s="123">
        <f>IF(OR(JJ$4="",$B42=""),0,SUMIF('DADOS BRUTOS'!$A$3:$A$500,$B42,'DADOS BRUTOS'!GJ$3:GJ$500)+IF($C42="",0,SUMIF('DADOS BRUTOS'!$A$3:$A$500,$C42,'DADOS BRUTOS'!GJ$3:GJ$500)))</f>
        <v/>
      </c>
      <c r="JK42" s="123">
        <f>IF(OR(JK$4="",$B42=""),0,SUMIF('DADOS BRUTOS'!$A$3:$A$500,$B42,'DADOS BRUTOS'!GK$3:GK$500)+IF($C42="",0,SUMIF('DADOS BRUTOS'!$A$3:$A$500,$C42,'DADOS BRUTOS'!GK$3:GK$500)))</f>
        <v/>
      </c>
      <c r="JL42" s="123">
        <f>IF(OR(JL$4="",$B42=""),0,SUMIF('DADOS BRUTOS'!$A$3:$A$500,$B42,'DADOS BRUTOS'!GL$3:GL$500)+IF($C42="",0,SUMIF('DADOS BRUTOS'!$A$3:$A$500,$C42,'DADOS BRUTOS'!GL$3:GL$500)))</f>
        <v/>
      </c>
      <c r="JM42" s="123">
        <f>IF(OR(JM$4="",$B42=""),0,SUMIF('DADOS BRUTOS'!$A$3:$A$500,$B42,'DADOS BRUTOS'!GM$3:GM$500)+IF($C42="",0,SUMIF('DADOS BRUTOS'!$A$3:$A$500,$C42,'DADOS BRUTOS'!GM$3:GM$500)))</f>
        <v/>
      </c>
      <c r="JN42" s="123">
        <f>IF(OR(JN$4="",$B42=""),0,SUMIF('DADOS BRUTOS'!$A$3:$A$500,$B42,'DADOS BRUTOS'!GN$3:GN$500)+IF($C42="",0,SUMIF('DADOS BRUTOS'!$A$3:$A$500,$C42,'DADOS BRUTOS'!GN$3:GN$500)))</f>
        <v/>
      </c>
      <c r="JO42" s="123">
        <f>IF(OR(JO$4="",$B42=""),0,SUMIF('DADOS BRUTOS'!$A$3:$A$500,$B42,'DADOS BRUTOS'!GO$3:GO$500)+IF($C42="",0,SUMIF('DADOS BRUTOS'!$A$3:$A$500,$C42,'DADOS BRUTOS'!GO$3:GO$500)))</f>
        <v/>
      </c>
      <c r="JP42" s="123">
        <f>IF(OR(JP$4="",$B42=""),0,SUMIF('DADOS BRUTOS'!$A$3:$A$500,$B42,'DADOS BRUTOS'!GP$3:GP$500)+IF($C42="",0,SUMIF('DADOS BRUTOS'!$A$3:$A$500,$C42,'DADOS BRUTOS'!GP$3:GP$500)))</f>
        <v/>
      </c>
      <c r="JQ42" s="123">
        <f>IF(OR(JQ$4="",$B42=""),0,SUMIF('DADOS BRUTOS'!$A$3:$A$500,$B42,'DADOS BRUTOS'!GQ$3:GQ$500)+IF($C42="",0,SUMIF('DADOS BRUTOS'!$A$3:$A$500,$C42,'DADOS BRUTOS'!GQ$3:GQ$500)))</f>
        <v/>
      </c>
      <c r="JR42" s="123">
        <f>IF(OR(JR$4="",$B42=""),0,SUMIF('DADOS BRUTOS'!$A$3:$A$500,$B42,'DADOS BRUTOS'!GR$3:GR$500)+IF($C42="",0,SUMIF('DADOS BRUTOS'!$A$3:$A$500,$C42,'DADOS BRUTOS'!GR$3:GR$500)))</f>
        <v/>
      </c>
      <c r="JS42" s="123">
        <f>IF(OR(JS$4="",$B42=""),0,SUMIF('DADOS BRUTOS'!$A$3:$A$500,$B42,'DADOS BRUTOS'!GS$3:GS$500)+IF($C42="",0,SUMIF('DADOS BRUTOS'!$A$3:$A$500,$C42,'DADOS BRUTOS'!GS$3:GS$500)))</f>
        <v/>
      </c>
    </row>
    <row r="44">
      <c r="A44" s="47" t="inlineStr">
        <is>
          <t>TOTAL</t>
        </is>
      </c>
      <c r="D44" s="124">
        <f>SUM(D5:D42)</f>
        <v/>
      </c>
      <c r="E44" s="124">
        <f>SUM(E5:E42)</f>
        <v/>
      </c>
      <c r="F44" s="124">
        <f>SUM(F5:F42)</f>
        <v/>
      </c>
      <c r="G44" s="124">
        <f>SUM(G5:G42)</f>
        <v/>
      </c>
      <c r="H44" s="124">
        <f>SUM(H5:H42)</f>
        <v/>
      </c>
      <c r="I44" s="124">
        <f>SUM(I5:I42)</f>
        <v/>
      </c>
      <c r="J44" s="124">
        <f>SUM(J5:J42)</f>
        <v/>
      </c>
      <c r="K44" s="124">
        <f>SUM(K5:K42)</f>
        <v/>
      </c>
      <c r="L44" s="124">
        <f>SUM(L5:L42)</f>
        <v/>
      </c>
      <c r="M44" s="124">
        <f>SUM(M5:M42)</f>
        <v/>
      </c>
      <c r="N44" s="124">
        <f>SUM(N5:N42)</f>
        <v/>
      </c>
      <c r="O44" s="124">
        <f>SUM(O5:O42)</f>
        <v/>
      </c>
      <c r="P44" s="124">
        <f>SUM(P5:P42)</f>
        <v/>
      </c>
      <c r="Q44" s="124">
        <f>SUM(Q5:Q42)</f>
        <v/>
      </c>
      <c r="R44" s="124">
        <f>SUM(R5:R42)</f>
        <v/>
      </c>
      <c r="S44" s="124">
        <f>SUM(S5:S42)</f>
        <v/>
      </c>
      <c r="T44" s="124">
        <f>SUM(T5:T42)</f>
        <v/>
      </c>
      <c r="U44" s="124">
        <f>SUM(U5:U42)</f>
        <v/>
      </c>
      <c r="V44" s="124">
        <f>SUM(V5:V42)</f>
        <v/>
      </c>
      <c r="W44" s="124">
        <f>SUM(W5:W42)</f>
        <v/>
      </c>
      <c r="X44" s="124">
        <f>SUM(X5:X42)</f>
        <v/>
      </c>
      <c r="Y44" s="124">
        <f>SUM(Y5:Y42)</f>
        <v/>
      </c>
      <c r="Z44" s="124">
        <f>SUM(Z5:Z42)</f>
        <v/>
      </c>
      <c r="AA44" s="124">
        <f>SUM(AA5:AA42)</f>
        <v/>
      </c>
      <c r="AB44" s="124">
        <f>SUM(AB5:AB42)</f>
        <v/>
      </c>
      <c r="AC44" s="124">
        <f>SUM(AC5:AC42)</f>
        <v/>
      </c>
      <c r="AD44" s="124">
        <f>SUM(AD5:AD42)</f>
        <v/>
      </c>
      <c r="AE44" s="124">
        <f>SUM(AE5:AE42)</f>
        <v/>
      </c>
      <c r="AF44" s="124">
        <f>SUM(AF5:AF42)</f>
        <v/>
      </c>
      <c r="AG44" s="124">
        <f>SUM(AG5:AG42)</f>
        <v/>
      </c>
      <c r="AH44" s="124">
        <f>SUM(AH5:AH42)</f>
        <v/>
      </c>
      <c r="AI44" s="124">
        <f>SUM(AI5:AI42)</f>
        <v/>
      </c>
      <c r="AJ44" s="124">
        <f>SUM(AJ5:AJ42)</f>
        <v/>
      </c>
      <c r="AK44" s="124">
        <f>SUM(AK5:AK42)</f>
        <v/>
      </c>
      <c r="AL44" s="124">
        <f>SUM(AL5:AL42)</f>
        <v/>
      </c>
      <c r="AM44" s="124">
        <f>SUM(AM5:AM42)</f>
        <v/>
      </c>
      <c r="AN44" s="124">
        <f>SUM(AN5:AN42)</f>
        <v/>
      </c>
      <c r="AO44" s="124">
        <f>SUM(AO5:AO42)</f>
        <v/>
      </c>
      <c r="AP44" s="124">
        <f>SUM(AP5:AP42)</f>
        <v/>
      </c>
      <c r="AQ44" s="124">
        <f>SUM(AQ5:AQ42)</f>
        <v/>
      </c>
      <c r="AR44" s="124">
        <f>SUM(AR5:AR42)</f>
        <v/>
      </c>
      <c r="AS44" s="124">
        <f>SUM(AS5:AS42)</f>
        <v/>
      </c>
      <c r="AT44" s="124">
        <f>SUM(AT5:AT42)</f>
        <v/>
      </c>
      <c r="AU44" s="124">
        <f>SUM(AU5:AU42)</f>
        <v/>
      </c>
      <c r="AV44" s="124">
        <f>SUM(AV5:AV42)</f>
        <v/>
      </c>
      <c r="AW44" s="124">
        <f>SUM(AW5:AW42)</f>
        <v/>
      </c>
      <c r="AX44" s="124">
        <f>SUM(AX5:AX42)</f>
        <v/>
      </c>
      <c r="AY44" s="124">
        <f>SUM(AY5:AY42)</f>
        <v/>
      </c>
      <c r="AZ44" s="124">
        <f>SUM(AZ5:AZ42)</f>
        <v/>
      </c>
      <c r="BA44" s="124">
        <f>SUM(BA5:BA42)</f>
        <v/>
      </c>
      <c r="BB44" s="124">
        <f>SUM(BB5:BB42)</f>
        <v/>
      </c>
      <c r="BC44" s="124">
        <f>SUM(BC5:BC42)</f>
        <v/>
      </c>
      <c r="BD44" s="124">
        <f>SUM(BD5:BD42)</f>
        <v/>
      </c>
      <c r="BE44" s="124">
        <f>SUM(BE5:BE42)</f>
        <v/>
      </c>
      <c r="BF44" s="124">
        <f>SUM(BF5:BF42)</f>
        <v/>
      </c>
      <c r="BG44" s="124">
        <f>SUM(BG5:BG42)</f>
        <v/>
      </c>
      <c r="BH44" s="124">
        <f>SUM(BH5:BH42)</f>
        <v/>
      </c>
      <c r="BI44" s="124">
        <f>SUM(BI5:BI42)</f>
        <v/>
      </c>
      <c r="BJ44" s="124">
        <f>SUM(BJ5:BJ42)</f>
        <v/>
      </c>
      <c r="BK44" s="124">
        <f>SUM(BK5:BK42)</f>
        <v/>
      </c>
      <c r="BL44" s="124">
        <f>SUM(BL5:BL42)</f>
        <v/>
      </c>
      <c r="BM44" s="124">
        <f>SUM(BM5:BM42)</f>
        <v/>
      </c>
      <c r="BN44" s="124">
        <f>SUM(BN5:BN42)</f>
        <v/>
      </c>
      <c r="BO44" s="124">
        <f>SUM(BO5:BO42)</f>
        <v/>
      </c>
      <c r="BP44" s="124">
        <f>SUM(BP5:BP42)</f>
        <v/>
      </c>
      <c r="BQ44" s="124">
        <f>SUM(BQ5:BQ42)</f>
        <v/>
      </c>
      <c r="BR44" s="124">
        <f>SUM(BR5:BR42)</f>
        <v/>
      </c>
      <c r="BS44" s="124">
        <f>SUM(BS5:BS42)</f>
        <v/>
      </c>
      <c r="BT44" s="124">
        <f>SUM(BT5:BT42)</f>
        <v/>
      </c>
      <c r="BU44" s="124">
        <f>SUM(BU5:BU42)</f>
        <v/>
      </c>
      <c r="BV44" s="124">
        <f>SUM(BV5:BV42)</f>
        <v/>
      </c>
      <c r="BW44" s="124">
        <f>SUM(BW5:BW42)</f>
        <v/>
      </c>
      <c r="BX44" s="124">
        <f>SUM(BX5:BX42)</f>
        <v/>
      </c>
      <c r="BY44" s="124">
        <f>SUM(BY5:BY42)</f>
        <v/>
      </c>
    </row>
    <row r="45">
      <c r="A45" s="47" t="inlineStr">
        <is>
          <t>TOTAL ACUMULADO</t>
        </is>
      </c>
      <c r="D45" s="109">
        <f>D44</f>
        <v/>
      </c>
      <c r="E45" s="109">
        <f>D45+E44</f>
        <v/>
      </c>
      <c r="F45" s="109">
        <f>E45+F44</f>
        <v/>
      </c>
      <c r="G45" s="109">
        <f>F45+G44</f>
        <v/>
      </c>
      <c r="H45" s="109">
        <f>G45+H44</f>
        <v/>
      </c>
      <c r="I45" s="109">
        <f>H45+I44</f>
        <v/>
      </c>
      <c r="J45" s="109">
        <f>I45+J44</f>
        <v/>
      </c>
      <c r="K45" s="109">
        <f>J45+K44</f>
        <v/>
      </c>
      <c r="L45" s="109">
        <f>K45+L44</f>
        <v/>
      </c>
      <c r="M45" s="109">
        <f>L45+M44</f>
        <v/>
      </c>
      <c r="N45" s="109">
        <f>M45+N44</f>
        <v/>
      </c>
      <c r="O45" s="109">
        <f>N45+O44</f>
        <v/>
      </c>
      <c r="P45" s="109">
        <f>O45+P44</f>
        <v/>
      </c>
      <c r="Q45" s="109">
        <f>P45+Q44</f>
        <v/>
      </c>
      <c r="R45" s="109">
        <f>Q45+R44</f>
        <v/>
      </c>
      <c r="S45" s="109">
        <f>R45+S44</f>
        <v/>
      </c>
      <c r="T45" s="109">
        <f>S45+T44</f>
        <v/>
      </c>
      <c r="U45" s="109">
        <f>T45+U44</f>
        <v/>
      </c>
      <c r="V45" s="109">
        <f>U45+V44</f>
        <v/>
      </c>
      <c r="W45" s="109">
        <f>V45+W44</f>
        <v/>
      </c>
      <c r="X45" s="109">
        <f>W45+X44</f>
        <v/>
      </c>
      <c r="Y45" s="109">
        <f>X45+Y44</f>
        <v/>
      </c>
      <c r="Z45" s="109">
        <f>Y45+Z44</f>
        <v/>
      </c>
      <c r="AA45" s="109">
        <f>Z45+AA44</f>
        <v/>
      </c>
      <c r="AB45" s="109">
        <f>AA45+AB44</f>
        <v/>
      </c>
      <c r="AC45" s="109">
        <f>AB45+AC44</f>
        <v/>
      </c>
      <c r="AD45" s="109">
        <f>AC45+AD44</f>
        <v/>
      </c>
      <c r="AE45" s="109">
        <f>AD45+AE44</f>
        <v/>
      </c>
      <c r="AF45" s="109">
        <f>AE45+AF44</f>
        <v/>
      </c>
      <c r="AG45" s="109">
        <f>AF45+AG44</f>
        <v/>
      </c>
      <c r="AH45" s="109">
        <f>AG45+AH44</f>
        <v/>
      </c>
      <c r="AI45" s="109">
        <f>AH45+AI44</f>
        <v/>
      </c>
      <c r="AJ45" s="109">
        <f>AI45+AJ44</f>
        <v/>
      </c>
      <c r="AK45" s="109">
        <f>AJ45+AK44</f>
        <v/>
      </c>
      <c r="AL45" s="109">
        <f>AK45+AL44</f>
        <v/>
      </c>
      <c r="AM45" s="109">
        <f>AL45+AM44</f>
        <v/>
      </c>
      <c r="AN45" s="109">
        <f>AM45+AN44</f>
        <v/>
      </c>
      <c r="AO45" s="109">
        <f>AN45+AO44</f>
        <v/>
      </c>
      <c r="AP45" s="109">
        <f>AO45+AP44</f>
        <v/>
      </c>
      <c r="AQ45" s="109">
        <f>AP45+AQ44</f>
        <v/>
      </c>
      <c r="AR45" s="109">
        <f>AQ45+AR44</f>
        <v/>
      </c>
      <c r="AS45" s="109">
        <f>AR45+AS44</f>
        <v/>
      </c>
      <c r="AT45" s="109">
        <f>AS45+AT44</f>
        <v/>
      </c>
      <c r="AU45" s="109">
        <f>AT45+AU44</f>
        <v/>
      </c>
      <c r="AV45" s="109">
        <f>AU45+AV44</f>
        <v/>
      </c>
      <c r="AW45" s="109">
        <f>AV45+AW44</f>
        <v/>
      </c>
      <c r="AX45" s="109">
        <f>AW45+AX44</f>
        <v/>
      </c>
      <c r="AY45" s="109">
        <f>AX45+AY44</f>
        <v/>
      </c>
      <c r="AZ45" s="109">
        <f>AY45+AZ44</f>
        <v/>
      </c>
      <c r="BA45" s="109">
        <f>AZ45+BA44</f>
        <v/>
      </c>
      <c r="BB45" s="109">
        <f>BA45+BB44</f>
        <v/>
      </c>
      <c r="BC45" s="109">
        <f>BB45+BC44</f>
        <v/>
      </c>
      <c r="BD45" s="109">
        <f>BC45+BD44</f>
        <v/>
      </c>
      <c r="BE45" s="109">
        <f>BD45+BE44</f>
        <v/>
      </c>
      <c r="BF45" s="109">
        <f>BE45+BF44</f>
        <v/>
      </c>
      <c r="BG45" s="109">
        <f>BF45+BG44</f>
        <v/>
      </c>
      <c r="BH45" s="109">
        <f>BG45+BH44</f>
        <v/>
      </c>
      <c r="BI45" s="109">
        <f>BH45+BI44</f>
        <v/>
      </c>
      <c r="BJ45" s="109">
        <f>BI45+BJ44</f>
        <v/>
      </c>
      <c r="BK45" s="109">
        <f>BJ45+BK44</f>
        <v/>
      </c>
      <c r="BL45" s="109">
        <f>BK45+BL44</f>
        <v/>
      </c>
      <c r="BM45" s="109">
        <f>BL45+BM44</f>
        <v/>
      </c>
      <c r="BN45" s="109">
        <f>BM45+BN44</f>
        <v/>
      </c>
      <c r="BO45" s="109">
        <f>BN45+BO44</f>
        <v/>
      </c>
      <c r="BP45" s="109">
        <f>BO45+BP44</f>
        <v/>
      </c>
      <c r="BQ45" s="109">
        <f>BP45+BQ44</f>
        <v/>
      </c>
      <c r="BR45" s="109">
        <f>BQ45+BR44</f>
        <v/>
      </c>
      <c r="BS45" s="109">
        <f>BR45+BS44</f>
        <v/>
      </c>
      <c r="BT45" s="109">
        <f>BS45+BT44</f>
        <v/>
      </c>
      <c r="BU45" s="109">
        <f>BT45+BU44</f>
        <v/>
      </c>
      <c r="BV45" s="109">
        <f>BU45+BV44</f>
        <v/>
      </c>
      <c r="BW45" s="109">
        <f>BV45+BW44</f>
        <v/>
      </c>
    </row>
    <row r="49">
      <c r="A49" s="66" t="inlineStr">
        <is>
          <t>NOMES DO ERP A IGNORAR (títulos, subtotais, grupos fora do orçamento)</t>
        </is>
      </c>
      <c r="B49" s="67" t="n"/>
      <c r="C49" s="68" t="n"/>
    </row>
    <row r="50">
      <c r="A50" s="60" t="inlineStr">
        <is>
          <t>APORTES</t>
        </is>
      </c>
    </row>
    <row r="51">
      <c r="A51" s="60" t="inlineStr">
        <is>
          <t>CUSTOS COM OBRAS</t>
        </is>
      </c>
    </row>
    <row r="52">
      <c r="A52" s="60" t="inlineStr">
        <is>
          <t>MATERIAIS E SERVIÇOS PRESTADOS</t>
        </is>
      </c>
    </row>
    <row r="53">
      <c r="A53" s="60" t="inlineStr">
        <is>
          <t>Total Geral</t>
        </is>
      </c>
    </row>
    <row r="54">
      <c r="A54" s="60" t="inlineStr">
        <is>
          <t>REEMBOLSO MATERIAIS E SERVIÇOS</t>
        </is>
      </c>
    </row>
    <row r="55">
      <c r="A55" s="60" t="inlineStr">
        <is>
          <t>DEDUÇÕES DA RECEITA</t>
        </is>
      </c>
    </row>
    <row r="56">
      <c r="A56" s="60" t="inlineStr">
        <is>
          <t>MAIS COPY GRAFICA RAPIDA E COPIADORA LTDA</t>
        </is>
      </c>
    </row>
    <row r="57">
      <c r="A57" s="60" t="inlineStr">
        <is>
          <t>EMPRESARIAL TRANSPORTES E LOGISTICA ES LTDA</t>
        </is>
      </c>
    </row>
    <row r="58">
      <c r="A58" s="60" t="n"/>
    </row>
    <row r="59">
      <c r="A59" s="60" t="n"/>
    </row>
    <row r="60">
      <c r="A60" s="60" t="n"/>
    </row>
    <row r="61">
      <c r="A61" s="60" t="n"/>
    </row>
    <row r="62">
      <c r="A62" s="60" t="n"/>
    </row>
    <row r="63">
      <c r="A63" s="60" t="n"/>
    </row>
    <row r="64">
      <c r="A64" s="60" t="n"/>
    </row>
    <row r="65">
      <c r="A65" s="60" t="n"/>
    </row>
    <row r="66">
      <c r="A66" s="60" t="n"/>
    </row>
    <row r="67">
      <c r="A67" s="60" t="n"/>
    </row>
    <row r="68">
      <c r="A68" s="60" t="n"/>
    </row>
    <row r="69">
      <c r="A69" s="60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A1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/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PL'!D11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HISTORICOS'!D5)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PL'!F11</f>
        <v/>
      </c>
      <c r="K5" s="63">
        <f>'VALOR POR PL'!G11</f>
        <v/>
      </c>
      <c r="M5" s="127">
        <f>'CP RESUMO'!D5</f>
        <v/>
      </c>
      <c r="N5" s="128" t="n">
        <v>0</v>
      </c>
      <c r="O5" s="127">
        <f>IF(B5&lt;='VALOR POR PL'!$P$5,'CP RESUMO'!D47,"")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HISTORICOS'!E5)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RESUMO'!E5</f>
        <v/>
      </c>
      <c r="N6" s="128">
        <f>MAX(0,M6-M5)</f>
        <v/>
      </c>
      <c r="O6" s="127">
        <f>IF(B6&lt;='VALOR POR PL'!$P$5,'CP RESUMO'!E47,"")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HISTORICOS'!F5)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PL'!L11</f>
        <v/>
      </c>
      <c r="M7" s="127">
        <f>'CP RESUMO'!F5</f>
        <v/>
      </c>
      <c r="N7" s="128">
        <f>MAX(0,M7-M6)</f>
        <v/>
      </c>
      <c r="O7" s="127">
        <f>IF(B7&lt;='VALOR POR PL'!$P$5,'CP RESUMO'!F47,"")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HISTORICOS'!G5)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RESUMO'!G5</f>
        <v/>
      </c>
      <c r="N8" s="128">
        <f>MAX(0,M8-M7)</f>
        <v/>
      </c>
      <c r="O8" s="127">
        <f>IF(B8&lt;='VALOR POR PL'!$P$5,'CP RESUMO'!G47,"")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HISTORICOS'!H5)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RESUMO'!H5</f>
        <v/>
      </c>
      <c r="N9" s="128">
        <f>MAX(0,M9-M8)</f>
        <v/>
      </c>
      <c r="O9" s="127">
        <f>IF(B9&lt;='VALOR POR PL'!$P$5,'CP RESUMO'!H47,"")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HISTORICOS'!I5)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RESUMO'!I5</f>
        <v/>
      </c>
      <c r="N10" s="128">
        <f>MAX(0,M10-M9)</f>
        <v/>
      </c>
      <c r="O10" s="127">
        <f>IF(B10&lt;='VALOR POR PL'!$P$5,'CP RESUMO'!I47,"")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HISTORICOS'!J5)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RESUMO'!J5</f>
        <v/>
      </c>
      <c r="N11" s="128">
        <f>MAX(0,M11-M10)</f>
        <v/>
      </c>
      <c r="O11" s="127">
        <f>IF(B11&lt;='VALOR POR PL'!$P$5,'CP RESUMO'!J47,"")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HISTORICOS'!K5)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RESUMO'!K5</f>
        <v/>
      </c>
      <c r="N12" s="128">
        <f>MAX(0,M12-M11)</f>
        <v/>
      </c>
      <c r="O12" s="127">
        <f>IF(B12&lt;='VALOR POR PL'!$P$5,'CP RESUMO'!K47,"")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HISTORICOS'!L5)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PL'!I11</f>
        <v/>
      </c>
      <c r="M13" s="127">
        <f>'CP RESUMO'!L5</f>
        <v/>
      </c>
      <c r="N13" s="128">
        <f>MAX(0,M13-M12)</f>
        <v/>
      </c>
      <c r="O13" s="127">
        <f>IF(B13&lt;='VALOR POR PL'!$P$5,'CP RESUMO'!L47,"")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HISTORICOS'!M5)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RESUMO'!$D$47:$BW$47,MATCH('VALOR POR PL'!$P$5,'CP RESUMO'!$D$4:$BW$4,0))/100,0)</f>
        <v/>
      </c>
      <c r="M14" s="127">
        <f>'CP RESUMO'!M5</f>
        <v/>
      </c>
      <c r="N14" s="128">
        <f>MAX(0,M14-M13)</f>
        <v/>
      </c>
      <c r="O14" s="127">
        <f>IF(B14&lt;='VALOR POR PL'!$P$5,'CP RESUMO'!M47,"")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HISTORICOS'!N5)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RESUMO'!N5</f>
        <v/>
      </c>
      <c r="N15" s="128">
        <f>MAX(0,M15-M14)</f>
        <v/>
      </c>
      <c r="O15" s="127">
        <f>IF(B15&lt;='VALOR POR PL'!$P$5,'CP RESUMO'!N47,"")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HISTORICOS'!O5)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RESUMO'!O5</f>
        <v/>
      </c>
      <c r="N16" s="128">
        <f>MAX(0,M16-M15)</f>
        <v/>
      </c>
      <c r="O16" s="127">
        <f>IF(B16&lt;='VALOR POR PL'!$P$5,'CP RESUMO'!O47,"")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HISTORICOS'!P5)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RESUMO'!P5</f>
        <v/>
      </c>
      <c r="N17" s="128">
        <f>MAX(0,M17-M16)</f>
        <v/>
      </c>
      <c r="O17" s="127">
        <f>IF(B17&lt;='VALOR POR PL'!$P$5,'CP RESUMO'!P47,"")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HISTORICOS'!Q5)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RESUMO'!Q5</f>
        <v/>
      </c>
      <c r="N18" s="128">
        <f>MAX(0,M18-M17)</f>
        <v/>
      </c>
      <c r="O18" s="127">
        <f>IF(B18&lt;='VALOR POR PL'!$P$5,'CP RESUMO'!Q47,"")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HISTORICOS'!R5)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RESUMO'!R5</f>
        <v/>
      </c>
      <c r="N19" s="128">
        <f>MAX(0,M19-M18)</f>
        <v/>
      </c>
      <c r="O19" s="127">
        <f>IF(B19&lt;='VALOR POR PL'!$P$5,'CP RESUMO'!R47,"")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HISTORICOS'!S5)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RESUMO'!S5</f>
        <v/>
      </c>
      <c r="N20" s="128">
        <f>MAX(0,M20-M19)</f>
        <v/>
      </c>
      <c r="O20" s="127">
        <f>IF(B20&lt;='VALOR POR PL'!$P$5,'CP RESUMO'!S47,"")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HISTORICOS'!T5)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RESUMO'!T5</f>
        <v/>
      </c>
      <c r="N21" s="128">
        <f>MAX(0,M21-M20)</f>
        <v/>
      </c>
      <c r="O21" s="127">
        <f>IF(B21&lt;='VALOR POR PL'!$P$5,'CP RESUMO'!T47,"")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HISTORICOS'!U5)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RESUMO'!U5</f>
        <v/>
      </c>
      <c r="N22" s="128">
        <f>MAX(0,M22-M21)</f>
        <v/>
      </c>
      <c r="O22" s="127">
        <f>IF(B22&lt;='VALOR POR PL'!$P$5,'CP RESUMO'!U47,"")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HISTORICOS'!V5)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RESUMO'!V5</f>
        <v/>
      </c>
      <c r="N23" s="128">
        <f>MAX(0,M23-M22)</f>
        <v/>
      </c>
      <c r="O23" s="127">
        <f>IF(B23&lt;='VALOR POR PL'!$P$5,'CP RESUMO'!V47,"")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HISTORICOS'!W5)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RESUMO'!W5</f>
        <v/>
      </c>
      <c r="N24" s="128">
        <f>MAX(0,M24-M23)</f>
        <v/>
      </c>
      <c r="O24" s="127">
        <f>IF(B24&lt;='VALOR POR PL'!$P$5,'CP RESUMO'!W47,"")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HISTORICOS'!X5)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RESUMO'!X5</f>
        <v/>
      </c>
      <c r="N25" s="128">
        <f>MAX(0,M25-M24)</f>
        <v/>
      </c>
      <c r="O25" s="127">
        <f>IF(B25&lt;='VALOR POR PL'!$P$5,'CP RESUMO'!X47,"")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HISTORICOS'!Y5)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RESUMO'!Y5</f>
        <v/>
      </c>
      <c r="N26" s="128">
        <f>MAX(0,M26-M25)</f>
        <v/>
      </c>
      <c r="O26" s="127">
        <f>IF(B26&lt;='VALOR POR PL'!$P$5,'CP RESUMO'!Y47,"")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HISTORICOS'!Z5)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RESUMO'!Z5</f>
        <v/>
      </c>
      <c r="N27" s="128">
        <f>MAX(0,M27-M26)</f>
        <v/>
      </c>
      <c r="O27" s="127">
        <f>IF(B27&lt;='VALOR POR PL'!$P$5,'CP RESUMO'!Z47,"")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HISTORICOS'!AA5)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RESUMO'!AA5</f>
        <v/>
      </c>
      <c r="N28" s="128">
        <f>MAX(0,M28-M27)</f>
        <v/>
      </c>
      <c r="O28" s="127">
        <f>IF(B28&lt;='VALOR POR PL'!$P$5,'CP RESUMO'!AA47,"")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HISTORICOS'!AB5)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RESUMO'!AB5</f>
        <v/>
      </c>
      <c r="N29" s="128">
        <f>MAX(0,M29-M28)</f>
        <v/>
      </c>
      <c r="O29" s="127">
        <f>IF(B29&lt;='VALOR POR PL'!$P$5,'CP RESUMO'!AB47,"")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HISTORICOS'!AC5)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RESUMO'!AC5</f>
        <v/>
      </c>
      <c r="N30" s="128">
        <f>MAX(0,M30-M29)</f>
        <v/>
      </c>
      <c r="O30" s="127">
        <f>IF(B30&lt;='VALOR POR PL'!$P$5,'CP RESUMO'!AC47,"")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HISTORICOS'!AD5)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RESUMO'!AD5</f>
        <v/>
      </c>
      <c r="N31" s="128">
        <f>MAX(0,M31-M30)</f>
        <v/>
      </c>
      <c r="O31" s="127">
        <f>IF(B31&lt;='VALOR POR PL'!$P$5,'CP RESUMO'!AD47,"")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HISTORICOS'!AE5)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RESUMO'!AE5</f>
        <v/>
      </c>
      <c r="N32" s="128">
        <f>MAX(0,M32-M31)</f>
        <v/>
      </c>
      <c r="O32" s="127">
        <f>IF(B32&lt;='VALOR POR PL'!$P$5,'CP RESUMO'!AE47,"")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HISTORICOS'!AF5)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RESUMO'!AF5</f>
        <v/>
      </c>
      <c r="N33" s="128">
        <f>MAX(0,M33-M32)</f>
        <v/>
      </c>
      <c r="O33" s="127">
        <f>IF(B33&lt;='VALOR POR PL'!$P$5,'CP RESUMO'!AF47,"")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HISTORICOS'!AG5)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RESUMO'!AG5</f>
        <v/>
      </c>
      <c r="N34" s="128">
        <f>MAX(0,M34-M33)</f>
        <v/>
      </c>
      <c r="O34" s="127">
        <f>IF(B34&lt;='VALOR POR PL'!$P$5,'CP RESUMO'!AG47,"")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HISTORICOS'!AH5)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RESUMO'!AH5</f>
        <v/>
      </c>
      <c r="N35" s="128">
        <f>MAX(0,M35-M34)</f>
        <v/>
      </c>
      <c r="O35" s="127">
        <f>IF(B35&lt;='VALOR POR PL'!$P$5,'CP RESUMO'!AH47,"")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HISTORICOS'!AI5)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RESUMO'!AI5</f>
        <v/>
      </c>
      <c r="N36" s="128">
        <f>MAX(0,M36-M35)</f>
        <v/>
      </c>
      <c r="O36" s="127">
        <f>IF(B36&lt;='VALOR POR PL'!$P$5,'CP RESUMO'!AI47,"")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HISTORICOS'!AJ5)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RESUMO'!AJ5</f>
        <v/>
      </c>
      <c r="N37" s="128">
        <f>MAX(0,M37-M36)</f>
        <v/>
      </c>
      <c r="O37" s="127">
        <f>IF(B37&lt;='VALOR POR PL'!$P$5,'CP RESUMO'!AJ47,"")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HISTORICOS'!AK5)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RESUMO'!AK5</f>
        <v/>
      </c>
      <c r="N38" s="128">
        <f>MAX(0,M38-M37)</f>
        <v/>
      </c>
      <c r="O38" s="127">
        <f>IF(B38&lt;='VALOR POR PL'!$P$5,'CP RESUMO'!AK47,"")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HISTORICOS'!AL5)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RESUMO'!AL5</f>
        <v/>
      </c>
      <c r="N39" s="128">
        <f>MAX(0,M39-M38)</f>
        <v/>
      </c>
      <c r="O39" s="127">
        <f>IF(B39&lt;='VALOR POR PL'!$P$5,'CP RESUMO'!AL47,"")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HISTORICOS'!AM5)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RESUMO'!AM5</f>
        <v/>
      </c>
      <c r="N40" s="128">
        <f>MAX(0,M40-M39)</f>
        <v/>
      </c>
      <c r="O40" s="127">
        <f>IF(B40&lt;='VALOR POR PL'!$P$5,'CP RESUMO'!AM47,"")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HISTORICOS'!AN5)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RESUMO'!AN5</f>
        <v/>
      </c>
      <c r="N41" s="128">
        <f>MAX(0,M41-M40)</f>
        <v/>
      </c>
      <c r="O41" s="127">
        <f>IF(B41&lt;='VALOR POR PL'!$P$5,'CP RESUMO'!AN47,"")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HISTORICOS'!AO5)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RESUMO'!AO5</f>
        <v/>
      </c>
      <c r="N42" s="128">
        <f>MAX(0,M42-M41)</f>
        <v/>
      </c>
      <c r="O42" s="127">
        <f>IF(B42&lt;='VALOR POR PL'!$P$5,'CP RESUMO'!AO47,"")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HISTORICOS'!AP5)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RESUMO'!AP5</f>
        <v/>
      </c>
      <c r="N43" s="128">
        <f>MAX(0,M43-M42)</f>
        <v/>
      </c>
      <c r="O43" s="127">
        <f>IF(B43&lt;='VALOR POR PL'!$P$5,'CP RESUMO'!AP47,"")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HISTORICOS'!AQ5)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RESUMO'!AQ5</f>
        <v/>
      </c>
      <c r="N44" s="128">
        <f>MAX(0,M44-M43)</f>
        <v/>
      </c>
      <c r="O44" s="127">
        <f>IF(B44&lt;='VALOR POR PL'!$P$5,'CP RESUMO'!AQ47,"")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HISTORICOS'!AR5)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RESUMO'!AR5</f>
        <v/>
      </c>
      <c r="N45" s="128">
        <f>MAX(0,M45-M44)</f>
        <v/>
      </c>
      <c r="O45" s="127">
        <f>IF(B45&lt;='VALOR POR PL'!$P$5,'CP RESUMO'!AR47,"")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HISTORICOS'!AS5)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RESUMO'!AS5</f>
        <v/>
      </c>
      <c r="N46" s="128">
        <f>MAX(0,M46-M45)</f>
        <v/>
      </c>
      <c r="O46" s="127">
        <f>IF(B46&lt;='VALOR POR PL'!$P$5,'CP RESUMO'!AS47,"")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HISTORICOS'!AT5)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RESUMO'!AT5</f>
        <v/>
      </c>
      <c r="N47" s="128">
        <f>MAX(0,M47-M46)</f>
        <v/>
      </c>
      <c r="O47" s="127">
        <f>IF(B47&lt;='VALOR POR PL'!$P$5,'CP RESUMO'!AT47,"")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HISTORICOS'!AU5)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RESUMO'!AU5</f>
        <v/>
      </c>
      <c r="N48" s="128">
        <f>MAX(0,M48-M47)</f>
        <v/>
      </c>
      <c r="O48" s="127">
        <f>IF(B48&lt;='VALOR POR PL'!$P$5,'CP RESUMO'!AU47,"")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HISTORICOS'!AV5)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RESUMO'!AV5</f>
        <v/>
      </c>
      <c r="N49" s="128">
        <f>MAX(0,M49-M48)</f>
        <v/>
      </c>
      <c r="O49" s="127">
        <f>IF(B49&lt;='VALOR POR PL'!$P$5,'CP RESUMO'!AV47,"")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HISTORICOS'!AW5)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RESUMO'!AW5</f>
        <v/>
      </c>
      <c r="N50" s="128">
        <f>MAX(0,M50-M49)</f>
        <v/>
      </c>
      <c r="O50" s="127">
        <f>IF(B50&lt;='VALOR POR PL'!$P$5,'CP RESUMO'!AW47,"")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HISTORICOS'!AX5)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RESUMO'!AX5</f>
        <v/>
      </c>
      <c r="N51" s="128">
        <f>MAX(0,M51-M50)</f>
        <v/>
      </c>
      <c r="O51" s="127">
        <f>IF(B51&lt;='VALOR POR PL'!$P$5,'CP RESUMO'!AX47,"")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HISTORICOS'!AY5)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RESUMO'!AY5</f>
        <v/>
      </c>
      <c r="N52" s="128">
        <f>MAX(0,M52-M51)</f>
        <v/>
      </c>
      <c r="O52" s="127">
        <f>IF(B52&lt;='VALOR POR PL'!$P$5,'CP RESUMO'!AY47,"")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HISTORICOS'!AZ5)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RESUMO'!AZ5</f>
        <v/>
      </c>
      <c r="N53" s="128">
        <f>MAX(0,M53-M52)</f>
        <v/>
      </c>
      <c r="O53" s="127">
        <f>IF(B53&lt;='VALOR POR PL'!$P$5,'CP RESUMO'!AZ47,"")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HISTORICOS'!BA5)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RESUMO'!BA5</f>
        <v/>
      </c>
      <c r="N54" s="128">
        <f>MAX(0,M54-M53)</f>
        <v/>
      </c>
      <c r="O54" s="127">
        <f>IF(B54&lt;='VALOR POR PL'!$P$5,'CP RESUMO'!BA47,"")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HISTORICOS'!BB5)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RESUMO'!BB5</f>
        <v/>
      </c>
      <c r="N55" s="128">
        <f>MAX(0,M55-M54)</f>
        <v/>
      </c>
      <c r="O55" s="127">
        <f>IF(B55&lt;='VALOR POR PL'!$P$5,'CP RESUMO'!BB47,"")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HISTORICOS'!BC5)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RESUMO'!BC5</f>
        <v/>
      </c>
      <c r="N56" s="128">
        <f>MAX(0,M56-M55)</f>
        <v/>
      </c>
      <c r="O56" s="127">
        <f>IF(B56&lt;='VALOR POR PL'!$P$5,'CP RESUMO'!BC47,"")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HISTORICOS'!BD5)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RESUMO'!BD5</f>
        <v/>
      </c>
      <c r="N57" s="128">
        <f>MAX(0,M57-M56)</f>
        <v/>
      </c>
      <c r="O57" s="127">
        <f>IF(B57&lt;='VALOR POR PL'!$P$5,'CP RESUMO'!BD47,"")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HISTORICOS'!BE5)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RESUMO'!BE5</f>
        <v/>
      </c>
      <c r="N58" s="128">
        <f>MAX(0,M58-M57)</f>
        <v/>
      </c>
      <c r="O58" s="127">
        <f>IF(B58&lt;='VALOR POR PL'!$P$5,'CP RESUMO'!BE47,"")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HISTORICOS'!BF5)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RESUMO'!BF5</f>
        <v/>
      </c>
      <c r="N59" s="128">
        <f>MAX(0,M59-M58)</f>
        <v/>
      </c>
      <c r="O59" s="127">
        <f>IF(B59&lt;='VALOR POR PL'!$P$5,'CP RESUMO'!BF47,"")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HISTORICOS'!BG5)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RESUMO'!BG5</f>
        <v/>
      </c>
      <c r="N60" s="128">
        <f>MAX(0,M60-M59)</f>
        <v/>
      </c>
      <c r="O60" s="127">
        <f>IF(B60&lt;='VALOR POR PL'!$P$5,'CP RESUMO'!BG47,"")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HISTORICOS'!BH5)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RESUMO'!BH5</f>
        <v/>
      </c>
      <c r="N61" s="128">
        <f>MAX(0,M61-M60)</f>
        <v/>
      </c>
      <c r="O61" s="127">
        <f>IF(B61&lt;='VALOR POR PL'!$P$5,'CP RESUMO'!BH47,"")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HISTORICOS'!BI5)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RESUMO'!BI5</f>
        <v/>
      </c>
      <c r="N62" s="128">
        <f>MAX(0,M62-M61)</f>
        <v/>
      </c>
      <c r="O62" s="127">
        <f>IF(B62&lt;='VALOR POR PL'!$P$5,'CP RESUMO'!BI47,"")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HISTORICOS'!BJ5)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RESUMO'!BJ5</f>
        <v/>
      </c>
      <c r="N63" s="128">
        <f>MAX(0,M63-M62)</f>
        <v/>
      </c>
      <c r="O63" s="127">
        <f>IF(B63&lt;='VALOR POR PL'!$P$5,'CP RESUMO'!BJ47,"")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HISTORICOS'!BK5)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RESUMO'!BK5</f>
        <v/>
      </c>
      <c r="N64" s="128">
        <f>MAX(0,M64-M63)</f>
        <v/>
      </c>
      <c r="O64" s="127">
        <f>IF(B64&lt;='VALOR POR PL'!$P$5,'CP RESUMO'!BK47,"")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HISTORICOS'!BL5)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RESUMO'!BL5</f>
        <v/>
      </c>
      <c r="N65" s="128">
        <f>MAX(0,M65-M64)</f>
        <v/>
      </c>
      <c r="O65" s="127">
        <f>IF(B65&lt;='VALOR POR PL'!$P$5,'CP RESUMO'!BL47,"")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HISTORICOS'!BM5)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RESUMO'!BM5</f>
        <v/>
      </c>
      <c r="N66" s="128">
        <f>MAX(0,M66-M65)</f>
        <v/>
      </c>
      <c r="O66" s="127">
        <f>IF(B66&lt;='VALOR POR PL'!$P$5,'CP RESUMO'!BM47,"")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HISTORICOS'!BN5)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RESUMO'!BN5</f>
        <v/>
      </c>
      <c r="N67" s="128">
        <f>MAX(0,M67-M66)</f>
        <v/>
      </c>
      <c r="O67" s="127">
        <f>IF(B67&lt;='VALOR POR PL'!$P$5,'CP RESUMO'!BN47,"")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HISTORICOS'!BO5)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RESUMO'!BO5</f>
        <v/>
      </c>
      <c r="N68" s="128">
        <f>MAX(0,M68-M67)</f>
        <v/>
      </c>
      <c r="O68" s="127">
        <f>IF(B68&lt;='VALOR POR PL'!$P$5,'CP RESUMO'!BO47,"")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HISTORICOS'!BP5)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RESUMO'!BP5</f>
        <v/>
      </c>
      <c r="N69" s="128">
        <f>MAX(0,M69-M68)</f>
        <v/>
      </c>
      <c r="O69" s="127">
        <f>IF(B69&lt;='VALOR POR PL'!$P$5,'CP RESUMO'!BP47,"")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HISTORICOS'!BQ5)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RESUMO'!BQ5</f>
        <v/>
      </c>
      <c r="N70" s="128">
        <f>MAX(0,M70-M69)</f>
        <v/>
      </c>
      <c r="O70" s="127">
        <f>IF(B70&lt;='VALOR POR PL'!$P$5,'CP RESUMO'!BQ47,"")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HISTORICOS'!BR5)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RESUMO'!BR5</f>
        <v/>
      </c>
      <c r="N71" s="128">
        <f>MAX(0,M71-M70)</f>
        <v/>
      </c>
      <c r="O71" s="127">
        <f>IF(B71&lt;='VALOR POR PL'!$P$5,'CP RESUMO'!BR47,"")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HISTORICOS'!BS5)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RESUMO'!BS5</f>
        <v/>
      </c>
      <c r="N72" s="128">
        <f>MAX(0,M72-M71)</f>
        <v/>
      </c>
      <c r="O72" s="127">
        <f>IF(B72&lt;='VALOR POR PL'!$P$5,'CP RESUMO'!BS47,"")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HISTORICOS'!BT5)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RESUMO'!BT5</f>
        <v/>
      </c>
      <c r="N73" s="128">
        <f>MAX(0,M73-M72)</f>
        <v/>
      </c>
      <c r="O73" s="127">
        <f>IF(B73&lt;='VALOR POR PL'!$P$5,'CP RESUMO'!BT47,"")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HISTORICOS'!BU5)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RESUMO'!BU5</f>
        <v/>
      </c>
      <c r="N74" s="128">
        <f>MAX(0,M74-M73)</f>
        <v/>
      </c>
      <c r="O74" s="127">
        <f>IF(B74&lt;='VALOR POR PL'!$P$5,'CP RESUMO'!BU47,"")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HISTORICOS'!BV5)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RESUMO'!BV5</f>
        <v/>
      </c>
      <c r="N75" s="128">
        <f>MAX(0,M75-M74)</f>
        <v/>
      </c>
      <c r="O75" s="127">
        <f>IF(B75&lt;='VALOR POR PL'!$P$5,'CP RESUMO'!BV47,"")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HISTORICOS'!BW5)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RESUMO'!BW5</f>
        <v/>
      </c>
      <c r="N76" s="128">
        <f>MAX(0,M76-M75)</f>
        <v/>
      </c>
      <c r="O76" s="127">
        <f>IF(B76&lt;='VALOR POR PL'!$P$5,'CP RESUMO'!BW47,"")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PL'!D48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HISTORICOS'!D42)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PL'!F48</f>
        <v/>
      </c>
      <c r="K5" s="63">
        <f>'VALOR POR PL'!G48</f>
        <v/>
      </c>
      <c r="M5" s="127">
        <f>'CP RESUMO'!D42</f>
        <v/>
      </c>
      <c r="N5" s="128" t="n">
        <v>0</v>
      </c>
      <c r="O5" s="127">
        <f>IF(B5&lt;='VALOR POR PL'!$P$5,'CP RESUMO'!D84,"")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HISTORICOS'!E42)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RESUMO'!E42</f>
        <v/>
      </c>
      <c r="N6" s="128">
        <f>MAX(0,M6-M5)</f>
        <v/>
      </c>
      <c r="O6" s="127">
        <f>IF(B6&lt;='VALOR POR PL'!$P$5,'CP RESUMO'!E84,"")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HISTORICOS'!F42)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PL'!L48</f>
        <v/>
      </c>
      <c r="M7" s="127">
        <f>'CP RESUMO'!F42</f>
        <v/>
      </c>
      <c r="N7" s="128">
        <f>MAX(0,M7-M6)</f>
        <v/>
      </c>
      <c r="O7" s="127">
        <f>IF(B7&lt;='VALOR POR PL'!$P$5,'CP RESUMO'!F84,"")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HISTORICOS'!G42)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RESUMO'!G42</f>
        <v/>
      </c>
      <c r="N8" s="128">
        <f>MAX(0,M8-M7)</f>
        <v/>
      </c>
      <c r="O8" s="127">
        <f>IF(B8&lt;='VALOR POR PL'!$P$5,'CP RESUMO'!G84,"")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HISTORICOS'!H42)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RESUMO'!H42</f>
        <v/>
      </c>
      <c r="N9" s="128">
        <f>MAX(0,M9-M8)</f>
        <v/>
      </c>
      <c r="O9" s="127">
        <f>IF(B9&lt;='VALOR POR PL'!$P$5,'CP RESUMO'!H84,"")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HISTORICOS'!I42)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RESUMO'!I42</f>
        <v/>
      </c>
      <c r="N10" s="128">
        <f>MAX(0,M10-M9)</f>
        <v/>
      </c>
      <c r="O10" s="127">
        <f>IF(B10&lt;='VALOR POR PL'!$P$5,'CP RESUMO'!I84,"")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HISTORICOS'!J42)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RESUMO'!J42</f>
        <v/>
      </c>
      <c r="N11" s="128">
        <f>MAX(0,M11-M10)</f>
        <v/>
      </c>
      <c r="O11" s="127">
        <f>IF(B11&lt;='VALOR POR PL'!$P$5,'CP RESUMO'!J84,"")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HISTORICOS'!K42)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RESUMO'!K42</f>
        <v/>
      </c>
      <c r="N12" s="128">
        <f>MAX(0,M12-M11)</f>
        <v/>
      </c>
      <c r="O12" s="127">
        <f>IF(B12&lt;='VALOR POR PL'!$P$5,'CP RESUMO'!K84,"")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HISTORICOS'!L42)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PL'!I48</f>
        <v/>
      </c>
      <c r="M13" s="127">
        <f>'CP RESUMO'!L42</f>
        <v/>
      </c>
      <c r="N13" s="128">
        <f>MAX(0,M13-M12)</f>
        <v/>
      </c>
      <c r="O13" s="127">
        <f>IF(B13&lt;='VALOR POR PL'!$P$5,'CP RESUMO'!L84,"")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HISTORICOS'!M42)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RESUMO'!$D$84:$BW$84,MATCH('VALOR POR PL'!$P$5,'CP RESUMO'!$D$4:$BW$4,0))/100,0)</f>
        <v/>
      </c>
      <c r="M14" s="127">
        <f>'CP RESUMO'!M42</f>
        <v/>
      </c>
      <c r="N14" s="128">
        <f>MAX(0,M14-M13)</f>
        <v/>
      </c>
      <c r="O14" s="127">
        <f>IF(B14&lt;='VALOR POR PL'!$P$5,'CP RESUMO'!M84,"")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HISTORICOS'!N42)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RESUMO'!N42</f>
        <v/>
      </c>
      <c r="N15" s="128">
        <f>MAX(0,M15-M14)</f>
        <v/>
      </c>
      <c r="O15" s="127">
        <f>IF(B15&lt;='VALOR POR PL'!$P$5,'CP RESUMO'!N84,"")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HISTORICOS'!O42)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RESUMO'!O42</f>
        <v/>
      </c>
      <c r="N16" s="128">
        <f>MAX(0,M16-M15)</f>
        <v/>
      </c>
      <c r="O16" s="127">
        <f>IF(B16&lt;='VALOR POR PL'!$P$5,'CP RESUMO'!O84,"")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HISTORICOS'!P42)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RESUMO'!P42</f>
        <v/>
      </c>
      <c r="N17" s="128">
        <f>MAX(0,M17-M16)</f>
        <v/>
      </c>
      <c r="O17" s="127">
        <f>IF(B17&lt;='VALOR POR PL'!$P$5,'CP RESUMO'!P84,"")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HISTORICOS'!Q42)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RESUMO'!Q42</f>
        <v/>
      </c>
      <c r="N18" s="128">
        <f>MAX(0,M18-M17)</f>
        <v/>
      </c>
      <c r="O18" s="127">
        <f>IF(B18&lt;='VALOR POR PL'!$P$5,'CP RESUMO'!Q84,"")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HISTORICOS'!R42)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RESUMO'!R42</f>
        <v/>
      </c>
      <c r="N19" s="128">
        <f>MAX(0,M19-M18)</f>
        <v/>
      </c>
      <c r="O19" s="127">
        <f>IF(B19&lt;='VALOR POR PL'!$P$5,'CP RESUMO'!R84,"")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HISTORICOS'!S42)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RESUMO'!S42</f>
        <v/>
      </c>
      <c r="N20" s="128">
        <f>MAX(0,M20-M19)</f>
        <v/>
      </c>
      <c r="O20" s="127">
        <f>IF(B20&lt;='VALOR POR PL'!$P$5,'CP RESUMO'!S84,"")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HISTORICOS'!T42)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RESUMO'!T42</f>
        <v/>
      </c>
      <c r="N21" s="128">
        <f>MAX(0,M21-M20)</f>
        <v/>
      </c>
      <c r="O21" s="127">
        <f>IF(B21&lt;='VALOR POR PL'!$P$5,'CP RESUMO'!T84,"")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HISTORICOS'!U42)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RESUMO'!U42</f>
        <v/>
      </c>
      <c r="N22" s="128">
        <f>MAX(0,M22-M21)</f>
        <v/>
      </c>
      <c r="O22" s="127">
        <f>IF(B22&lt;='VALOR POR PL'!$P$5,'CP RESUMO'!U84,"")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HISTORICOS'!V42)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RESUMO'!V42</f>
        <v/>
      </c>
      <c r="N23" s="128">
        <f>MAX(0,M23-M22)</f>
        <v/>
      </c>
      <c r="O23" s="127">
        <f>IF(B23&lt;='VALOR POR PL'!$P$5,'CP RESUMO'!V84,"")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HISTORICOS'!W42)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inlineStr">
        <is>
          <t>Somente o incorrido no ERP: a projeção (VALOR POR PL!L48) é o próprio incorrido, sem previsão futura.</t>
        </is>
      </c>
      <c r="M24" s="127">
        <f>'CP RESUMO'!W42</f>
        <v/>
      </c>
      <c r="N24" s="128">
        <f>MAX(0,M24-M23)</f>
        <v/>
      </c>
      <c r="O24" s="127">
        <f>IF(B24&lt;='VALOR POR PL'!$P$5,'CP RESUMO'!W84,"")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HISTORICOS'!X42)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RESUMO'!X42</f>
        <v/>
      </c>
      <c r="N25" s="128">
        <f>MAX(0,M25-M24)</f>
        <v/>
      </c>
      <c r="O25" s="127">
        <f>IF(B25&lt;='VALOR POR PL'!$P$5,'CP RESUMO'!X84,"")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HISTORICOS'!Y42)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RESUMO'!Y42</f>
        <v/>
      </c>
      <c r="N26" s="128">
        <f>MAX(0,M26-M25)</f>
        <v/>
      </c>
      <c r="O26" s="127">
        <f>IF(B26&lt;='VALOR POR PL'!$P$5,'CP RESUMO'!Y84,"")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HISTORICOS'!Z42)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RESUMO'!Z42</f>
        <v/>
      </c>
      <c r="N27" s="128">
        <f>MAX(0,M27-M26)</f>
        <v/>
      </c>
      <c r="O27" s="127">
        <f>IF(B27&lt;='VALOR POR PL'!$P$5,'CP RESUMO'!Z84,"")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HISTORICOS'!AA42)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RESUMO'!AA42</f>
        <v/>
      </c>
      <c r="N28" s="128">
        <f>MAX(0,M28-M27)</f>
        <v/>
      </c>
      <c r="O28" s="127">
        <f>IF(B28&lt;='VALOR POR PL'!$P$5,'CP RESUMO'!AA84,"")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HISTORICOS'!AB42)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RESUMO'!AB42</f>
        <v/>
      </c>
      <c r="N29" s="128">
        <f>MAX(0,M29-M28)</f>
        <v/>
      </c>
      <c r="O29" s="127">
        <f>IF(B29&lt;='VALOR POR PL'!$P$5,'CP RESUMO'!AB84,"")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HISTORICOS'!AC42)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RESUMO'!AC42</f>
        <v/>
      </c>
      <c r="N30" s="128">
        <f>MAX(0,M30-M29)</f>
        <v/>
      </c>
      <c r="O30" s="127">
        <f>IF(B30&lt;='VALOR POR PL'!$P$5,'CP RESUMO'!AC84,"")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HISTORICOS'!AD42)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RESUMO'!AD42</f>
        <v/>
      </c>
      <c r="N31" s="128">
        <f>MAX(0,M31-M30)</f>
        <v/>
      </c>
      <c r="O31" s="127">
        <f>IF(B31&lt;='VALOR POR PL'!$P$5,'CP RESUMO'!AD84,"")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HISTORICOS'!AE42)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RESUMO'!AE42</f>
        <v/>
      </c>
      <c r="N32" s="128">
        <f>MAX(0,M32-M31)</f>
        <v/>
      </c>
      <c r="O32" s="127">
        <f>IF(B32&lt;='VALOR POR PL'!$P$5,'CP RESUMO'!AE84,"")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HISTORICOS'!AF42)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RESUMO'!AF42</f>
        <v/>
      </c>
      <c r="N33" s="128">
        <f>MAX(0,M33-M32)</f>
        <v/>
      </c>
      <c r="O33" s="127">
        <f>IF(B33&lt;='VALOR POR PL'!$P$5,'CP RESUMO'!AF84,"")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HISTORICOS'!AG42)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RESUMO'!AG42</f>
        <v/>
      </c>
      <c r="N34" s="128">
        <f>MAX(0,M34-M33)</f>
        <v/>
      </c>
      <c r="O34" s="127">
        <f>IF(B34&lt;='VALOR POR PL'!$P$5,'CP RESUMO'!AG84,"")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HISTORICOS'!AH42)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RESUMO'!AH42</f>
        <v/>
      </c>
      <c r="N35" s="128">
        <f>MAX(0,M35-M34)</f>
        <v/>
      </c>
      <c r="O35" s="127">
        <f>IF(B35&lt;='VALOR POR PL'!$P$5,'CP RESUMO'!AH84,"")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HISTORICOS'!AI42)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RESUMO'!AI42</f>
        <v/>
      </c>
      <c r="N36" s="128">
        <f>MAX(0,M36-M35)</f>
        <v/>
      </c>
      <c r="O36" s="127">
        <f>IF(B36&lt;='VALOR POR PL'!$P$5,'CP RESUMO'!AI84,"")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HISTORICOS'!AJ42)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RESUMO'!AJ42</f>
        <v/>
      </c>
      <c r="N37" s="128">
        <f>MAX(0,M37-M36)</f>
        <v/>
      </c>
      <c r="O37" s="127">
        <f>IF(B37&lt;='VALOR POR PL'!$P$5,'CP RESUMO'!AJ84,"")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HISTORICOS'!AK42)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RESUMO'!AK42</f>
        <v/>
      </c>
      <c r="N38" s="128">
        <f>MAX(0,M38-M37)</f>
        <v/>
      </c>
      <c r="O38" s="127">
        <f>IF(B38&lt;='VALOR POR PL'!$P$5,'CP RESUMO'!AK84,"")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HISTORICOS'!AL42)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RESUMO'!AL42</f>
        <v/>
      </c>
      <c r="N39" s="128">
        <f>MAX(0,M39-M38)</f>
        <v/>
      </c>
      <c r="O39" s="127">
        <f>IF(B39&lt;='VALOR POR PL'!$P$5,'CP RESUMO'!AL84,"")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HISTORICOS'!AM42)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RESUMO'!AM42</f>
        <v/>
      </c>
      <c r="N40" s="128">
        <f>MAX(0,M40-M39)</f>
        <v/>
      </c>
      <c r="O40" s="127">
        <f>IF(B40&lt;='VALOR POR PL'!$P$5,'CP RESUMO'!AM84,"")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HISTORICOS'!AN42)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RESUMO'!AN42</f>
        <v/>
      </c>
      <c r="N41" s="128">
        <f>MAX(0,M41-M40)</f>
        <v/>
      </c>
      <c r="O41" s="127">
        <f>IF(B41&lt;='VALOR POR PL'!$P$5,'CP RESUMO'!AN84,"")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HISTORICOS'!AO42)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RESUMO'!AO42</f>
        <v/>
      </c>
      <c r="N42" s="128">
        <f>MAX(0,M42-M41)</f>
        <v/>
      </c>
      <c r="O42" s="127">
        <f>IF(B42&lt;='VALOR POR PL'!$P$5,'CP RESUMO'!AO84,"")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HISTORICOS'!AP42)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RESUMO'!AP42</f>
        <v/>
      </c>
      <c r="N43" s="128">
        <f>MAX(0,M43-M42)</f>
        <v/>
      </c>
      <c r="O43" s="127">
        <f>IF(B43&lt;='VALOR POR PL'!$P$5,'CP RESUMO'!AP84,"")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HISTORICOS'!AQ42)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RESUMO'!AQ42</f>
        <v/>
      </c>
      <c r="N44" s="128">
        <f>MAX(0,M44-M43)</f>
        <v/>
      </c>
      <c r="O44" s="127">
        <f>IF(B44&lt;='VALOR POR PL'!$P$5,'CP RESUMO'!AQ84,"")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HISTORICOS'!AR42)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RESUMO'!AR42</f>
        <v/>
      </c>
      <c r="N45" s="128">
        <f>MAX(0,M45-M44)</f>
        <v/>
      </c>
      <c r="O45" s="127">
        <f>IF(B45&lt;='VALOR POR PL'!$P$5,'CP RESUMO'!AR84,"")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HISTORICOS'!AS42)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RESUMO'!AS42</f>
        <v/>
      </c>
      <c r="N46" s="128">
        <f>MAX(0,M46-M45)</f>
        <v/>
      </c>
      <c r="O46" s="127">
        <f>IF(B46&lt;='VALOR POR PL'!$P$5,'CP RESUMO'!AS84,"")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HISTORICOS'!AT42)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RESUMO'!AT42</f>
        <v/>
      </c>
      <c r="N47" s="128">
        <f>MAX(0,M47-M46)</f>
        <v/>
      </c>
      <c r="O47" s="127">
        <f>IF(B47&lt;='VALOR POR PL'!$P$5,'CP RESUMO'!AT84,"")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HISTORICOS'!AU42)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RESUMO'!AU42</f>
        <v/>
      </c>
      <c r="N48" s="128">
        <f>MAX(0,M48-M47)</f>
        <v/>
      </c>
      <c r="O48" s="127">
        <f>IF(B48&lt;='VALOR POR PL'!$P$5,'CP RESUMO'!AU84,"")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HISTORICOS'!AV42)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RESUMO'!AV42</f>
        <v/>
      </c>
      <c r="N49" s="128">
        <f>MAX(0,M49-M48)</f>
        <v/>
      </c>
      <c r="O49" s="127">
        <f>IF(B49&lt;='VALOR POR PL'!$P$5,'CP RESUMO'!AV84,"")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HISTORICOS'!AW42)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RESUMO'!AW42</f>
        <v/>
      </c>
      <c r="N50" s="128">
        <f>MAX(0,M50-M49)</f>
        <v/>
      </c>
      <c r="O50" s="127">
        <f>IF(B50&lt;='VALOR POR PL'!$P$5,'CP RESUMO'!AW84,"")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HISTORICOS'!AX42)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RESUMO'!AX42</f>
        <v/>
      </c>
      <c r="N51" s="128">
        <f>MAX(0,M51-M50)</f>
        <v/>
      </c>
      <c r="O51" s="127">
        <f>IF(B51&lt;='VALOR POR PL'!$P$5,'CP RESUMO'!AX84,"")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HISTORICOS'!AY42)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RESUMO'!AY42</f>
        <v/>
      </c>
      <c r="N52" s="128">
        <f>MAX(0,M52-M51)</f>
        <v/>
      </c>
      <c r="O52" s="127">
        <f>IF(B52&lt;='VALOR POR PL'!$P$5,'CP RESUMO'!AY84,"")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HISTORICOS'!AZ42)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RESUMO'!AZ42</f>
        <v/>
      </c>
      <c r="N53" s="128">
        <f>MAX(0,M53-M52)</f>
        <v/>
      </c>
      <c r="O53" s="127">
        <f>IF(B53&lt;='VALOR POR PL'!$P$5,'CP RESUMO'!AZ84,"")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HISTORICOS'!BA42)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RESUMO'!BA42</f>
        <v/>
      </c>
      <c r="N54" s="128">
        <f>MAX(0,M54-M53)</f>
        <v/>
      </c>
      <c r="O54" s="127">
        <f>IF(B54&lt;='VALOR POR PL'!$P$5,'CP RESUMO'!BA84,"")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HISTORICOS'!BB42)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RESUMO'!BB42</f>
        <v/>
      </c>
      <c r="N55" s="128">
        <f>MAX(0,M55-M54)</f>
        <v/>
      </c>
      <c r="O55" s="127">
        <f>IF(B55&lt;='VALOR POR PL'!$P$5,'CP RESUMO'!BB84,"")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HISTORICOS'!BC42)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RESUMO'!BC42</f>
        <v/>
      </c>
      <c r="N56" s="128">
        <f>MAX(0,M56-M55)</f>
        <v/>
      </c>
      <c r="O56" s="127">
        <f>IF(B56&lt;='VALOR POR PL'!$P$5,'CP RESUMO'!BC84,"")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HISTORICOS'!BD42)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RESUMO'!BD42</f>
        <v/>
      </c>
      <c r="N57" s="128">
        <f>MAX(0,M57-M56)</f>
        <v/>
      </c>
      <c r="O57" s="127">
        <f>IF(B57&lt;='VALOR POR PL'!$P$5,'CP RESUMO'!BD84,"")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HISTORICOS'!BE42)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RESUMO'!BE42</f>
        <v/>
      </c>
      <c r="N58" s="128">
        <f>MAX(0,M58-M57)</f>
        <v/>
      </c>
      <c r="O58" s="127">
        <f>IF(B58&lt;='VALOR POR PL'!$P$5,'CP RESUMO'!BE84,"")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HISTORICOS'!BF42)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RESUMO'!BF42</f>
        <v/>
      </c>
      <c r="N59" s="128">
        <f>MAX(0,M59-M58)</f>
        <v/>
      </c>
      <c r="O59" s="127">
        <f>IF(B59&lt;='VALOR POR PL'!$P$5,'CP RESUMO'!BF84,"")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HISTORICOS'!BG42)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RESUMO'!BG42</f>
        <v/>
      </c>
      <c r="N60" s="128">
        <f>MAX(0,M60-M59)</f>
        <v/>
      </c>
      <c r="O60" s="127">
        <f>IF(B60&lt;='VALOR POR PL'!$P$5,'CP RESUMO'!BG84,"")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HISTORICOS'!BH42)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RESUMO'!BH42</f>
        <v/>
      </c>
      <c r="N61" s="128">
        <f>MAX(0,M61-M60)</f>
        <v/>
      </c>
      <c r="O61" s="127">
        <f>IF(B61&lt;='VALOR POR PL'!$P$5,'CP RESUMO'!BH84,"")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HISTORICOS'!BI42)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RESUMO'!BI42</f>
        <v/>
      </c>
      <c r="N62" s="128">
        <f>MAX(0,M62-M61)</f>
        <v/>
      </c>
      <c r="O62" s="127">
        <f>IF(B62&lt;='VALOR POR PL'!$P$5,'CP RESUMO'!BI84,"")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HISTORICOS'!BJ42)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RESUMO'!BJ42</f>
        <v/>
      </c>
      <c r="N63" s="128">
        <f>MAX(0,M63-M62)</f>
        <v/>
      </c>
      <c r="O63" s="127">
        <f>IF(B63&lt;='VALOR POR PL'!$P$5,'CP RESUMO'!BJ84,"")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HISTORICOS'!BK42)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RESUMO'!BK42</f>
        <v/>
      </c>
      <c r="N64" s="128">
        <f>MAX(0,M64-M63)</f>
        <v/>
      </c>
      <c r="O64" s="127">
        <f>IF(B64&lt;='VALOR POR PL'!$P$5,'CP RESUMO'!BK84,"")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HISTORICOS'!BL42)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RESUMO'!BL42</f>
        <v/>
      </c>
      <c r="N65" s="128">
        <f>MAX(0,M65-M64)</f>
        <v/>
      </c>
      <c r="O65" s="127">
        <f>IF(B65&lt;='VALOR POR PL'!$P$5,'CP RESUMO'!BL84,"")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HISTORICOS'!BM42)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RESUMO'!BM42</f>
        <v/>
      </c>
      <c r="N66" s="128">
        <f>MAX(0,M66-M65)</f>
        <v/>
      </c>
      <c r="O66" s="127">
        <f>IF(B66&lt;='VALOR POR PL'!$P$5,'CP RESUMO'!BM84,"")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HISTORICOS'!BN42)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RESUMO'!BN42</f>
        <v/>
      </c>
      <c r="N67" s="128">
        <f>MAX(0,M67-M66)</f>
        <v/>
      </c>
      <c r="O67" s="127">
        <f>IF(B67&lt;='VALOR POR PL'!$P$5,'CP RESUMO'!BN84,"")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HISTORICOS'!BO42)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RESUMO'!BO42</f>
        <v/>
      </c>
      <c r="N68" s="128">
        <f>MAX(0,M68-M67)</f>
        <v/>
      </c>
      <c r="O68" s="127">
        <f>IF(B68&lt;='VALOR POR PL'!$P$5,'CP RESUMO'!BO84,"")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HISTORICOS'!BP42)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RESUMO'!BP42</f>
        <v/>
      </c>
      <c r="N69" s="128">
        <f>MAX(0,M69-M68)</f>
        <v/>
      </c>
      <c r="O69" s="127">
        <f>IF(B69&lt;='VALOR POR PL'!$P$5,'CP RESUMO'!BP84,"")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HISTORICOS'!BQ42)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RESUMO'!BQ42</f>
        <v/>
      </c>
      <c r="N70" s="128">
        <f>MAX(0,M70-M69)</f>
        <v/>
      </c>
      <c r="O70" s="127">
        <f>IF(B70&lt;='VALOR POR PL'!$P$5,'CP RESUMO'!BQ84,"")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HISTORICOS'!BR42)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RESUMO'!BR42</f>
        <v/>
      </c>
      <c r="N71" s="128">
        <f>MAX(0,M71-M70)</f>
        <v/>
      </c>
      <c r="O71" s="127">
        <f>IF(B71&lt;='VALOR POR PL'!$P$5,'CP RESUMO'!BR84,"")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HISTORICOS'!BS42)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RESUMO'!BS42</f>
        <v/>
      </c>
      <c r="N72" s="128">
        <f>MAX(0,M72-M71)</f>
        <v/>
      </c>
      <c r="O72" s="127">
        <f>IF(B72&lt;='VALOR POR PL'!$P$5,'CP RESUMO'!BS84,"")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HISTORICOS'!BT42)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RESUMO'!BT42</f>
        <v/>
      </c>
      <c r="N73" s="128">
        <f>MAX(0,M73-M72)</f>
        <v/>
      </c>
      <c r="O73" s="127">
        <f>IF(B73&lt;='VALOR POR PL'!$P$5,'CP RESUMO'!BT84,"")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HISTORICOS'!BU42)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RESUMO'!BU42</f>
        <v/>
      </c>
      <c r="N74" s="128">
        <f>MAX(0,M74-M73)</f>
        <v/>
      </c>
      <c r="O74" s="127">
        <f>IF(B74&lt;='VALOR POR PL'!$P$5,'CP RESUMO'!BU84,"")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HISTORICOS'!BV42)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RESUMO'!BV42</f>
        <v/>
      </c>
      <c r="N75" s="128">
        <f>MAX(0,M75-M74)</f>
        <v/>
      </c>
      <c r="O75" s="127">
        <f>IF(B75&lt;='VALOR POR PL'!$P$5,'CP RESUMO'!BV84,"")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HISTORICOS'!BW42)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RESUMO'!BW42</f>
        <v/>
      </c>
      <c r="N76" s="128">
        <f>MAX(0,M76-M75)</f>
        <v/>
      </c>
      <c r="O76" s="127">
        <f>IF(B76&lt;='VALOR POR PL'!$P$5,'CP RESUMO'!BW84,"")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PL'!D12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HISTORICOS'!D6)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PL'!F12</f>
        <v/>
      </c>
      <c r="K5" s="63">
        <f>'VALOR POR PL'!G12</f>
        <v/>
      </c>
      <c r="M5" s="127">
        <f>'CP RESUMO'!D6</f>
        <v/>
      </c>
      <c r="N5" s="128" t="n">
        <v>0</v>
      </c>
      <c r="O5" s="127">
        <f>IF(B5&lt;='VALOR POR PL'!$P$5,'CP RESUMO'!D48,"")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HISTORICOS'!E6)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RESUMO'!E6</f>
        <v/>
      </c>
      <c r="N6" s="128">
        <f>MAX(0,M6-M5)</f>
        <v/>
      </c>
      <c r="O6" s="127">
        <f>IF(B6&lt;='VALOR POR PL'!$P$5,'CP RESUMO'!E48,"")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HISTORICOS'!F6)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PL'!L12</f>
        <v/>
      </c>
      <c r="M7" s="127">
        <f>'CP RESUMO'!F6</f>
        <v/>
      </c>
      <c r="N7" s="128">
        <f>MAX(0,M7-M6)</f>
        <v/>
      </c>
      <c r="O7" s="127">
        <f>IF(B7&lt;='VALOR POR PL'!$P$5,'CP RESUMO'!F48,"")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HISTORICOS'!G6)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RESUMO'!G6</f>
        <v/>
      </c>
      <c r="N8" s="128">
        <f>MAX(0,M8-M7)</f>
        <v/>
      </c>
      <c r="O8" s="127">
        <f>IF(B8&lt;='VALOR POR PL'!$P$5,'CP RESUMO'!G48,"")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HISTORICOS'!H6)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RESUMO'!H6</f>
        <v/>
      </c>
      <c r="N9" s="128">
        <f>MAX(0,M9-M8)</f>
        <v/>
      </c>
      <c r="O9" s="127">
        <f>IF(B9&lt;='VALOR POR PL'!$P$5,'CP RESUMO'!H48,"")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HISTORICOS'!I6)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RESUMO'!I6</f>
        <v/>
      </c>
      <c r="N10" s="128">
        <f>MAX(0,M10-M9)</f>
        <v/>
      </c>
      <c r="O10" s="127">
        <f>IF(B10&lt;='VALOR POR PL'!$P$5,'CP RESUMO'!I48,"")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HISTORICOS'!J6)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RESUMO'!J6</f>
        <v/>
      </c>
      <c r="N11" s="128">
        <f>MAX(0,M11-M10)</f>
        <v/>
      </c>
      <c r="O11" s="127">
        <f>IF(B11&lt;='VALOR POR PL'!$P$5,'CP RESUMO'!J48,"")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HISTORICOS'!K6)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RESUMO'!K6</f>
        <v/>
      </c>
      <c r="N12" s="128">
        <f>MAX(0,M12-M11)</f>
        <v/>
      </c>
      <c r="O12" s="127">
        <f>IF(B12&lt;='VALOR POR PL'!$P$5,'CP RESUMO'!K48,"")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HISTORICOS'!L6)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PL'!I12</f>
        <v/>
      </c>
      <c r="M13" s="127">
        <f>'CP RESUMO'!L6</f>
        <v/>
      </c>
      <c r="N13" s="128">
        <f>MAX(0,M13-M12)</f>
        <v/>
      </c>
      <c r="O13" s="127">
        <f>IF(B13&lt;='VALOR POR PL'!$P$5,'CP RESUMO'!L48,"")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HISTORICOS'!M6)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RESUMO'!$D$48:$BW$48,MATCH('VALOR POR PL'!$P$5,'CP RESUMO'!$D$4:$BW$4,0))/100,0)</f>
        <v/>
      </c>
      <c r="M14" s="127">
        <f>'CP RESUMO'!M6</f>
        <v/>
      </c>
      <c r="N14" s="128">
        <f>MAX(0,M14-M13)</f>
        <v/>
      </c>
      <c r="O14" s="127">
        <f>IF(B14&lt;='VALOR POR PL'!$P$5,'CP RESUMO'!M48,"")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HISTORICOS'!N6)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RESUMO'!N6</f>
        <v/>
      </c>
      <c r="N15" s="128">
        <f>MAX(0,M15-M14)</f>
        <v/>
      </c>
      <c r="O15" s="127">
        <f>IF(B15&lt;='VALOR POR PL'!$P$5,'CP RESUMO'!N48,"")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HISTORICOS'!O6)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RESUMO'!O6</f>
        <v/>
      </c>
      <c r="N16" s="128">
        <f>MAX(0,M16-M15)</f>
        <v/>
      </c>
      <c r="O16" s="127">
        <f>IF(B16&lt;='VALOR POR PL'!$P$5,'CP RESUMO'!O48,"")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HISTORICOS'!P6)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RESUMO'!P6</f>
        <v/>
      </c>
      <c r="N17" s="128">
        <f>MAX(0,M17-M16)</f>
        <v/>
      </c>
      <c r="O17" s="127">
        <f>IF(B17&lt;='VALOR POR PL'!$P$5,'CP RESUMO'!P48,"")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HISTORICOS'!Q6)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RESUMO'!Q6</f>
        <v/>
      </c>
      <c r="N18" s="128">
        <f>MAX(0,M18-M17)</f>
        <v/>
      </c>
      <c r="O18" s="127">
        <f>IF(B18&lt;='VALOR POR PL'!$P$5,'CP RESUMO'!Q48,"")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HISTORICOS'!R6)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RESUMO'!R6</f>
        <v/>
      </c>
      <c r="N19" s="128">
        <f>MAX(0,M19-M18)</f>
        <v/>
      </c>
      <c r="O19" s="127">
        <f>IF(B19&lt;='VALOR POR PL'!$P$5,'CP RESUMO'!R48,"")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HISTORICOS'!S6)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RESUMO'!S6</f>
        <v/>
      </c>
      <c r="N20" s="128">
        <f>MAX(0,M20-M19)</f>
        <v/>
      </c>
      <c r="O20" s="127">
        <f>IF(B20&lt;='VALOR POR PL'!$P$5,'CP RESUMO'!S48,"")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HISTORICOS'!T6)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RESUMO'!T6</f>
        <v/>
      </c>
      <c r="N21" s="128">
        <f>MAX(0,M21-M20)</f>
        <v/>
      </c>
      <c r="O21" s="127">
        <f>IF(B21&lt;='VALOR POR PL'!$P$5,'CP RESUMO'!T48,"")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HISTORICOS'!U6)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RESUMO'!U6</f>
        <v/>
      </c>
      <c r="N22" s="128">
        <f>MAX(0,M22-M21)</f>
        <v/>
      </c>
      <c r="O22" s="127">
        <f>IF(B22&lt;='VALOR POR PL'!$P$5,'CP RESUMO'!U48,"")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HISTORICOS'!V6)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RESUMO'!V6</f>
        <v/>
      </c>
      <c r="N23" s="128">
        <f>MAX(0,M23-M22)</f>
        <v/>
      </c>
      <c r="O23" s="127">
        <f>IF(B23&lt;='VALOR POR PL'!$P$5,'CP RESUMO'!V48,"")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HISTORICOS'!W6)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RESUMO'!W6</f>
        <v/>
      </c>
      <c r="N24" s="128">
        <f>MAX(0,M24-M23)</f>
        <v/>
      </c>
      <c r="O24" s="127">
        <f>IF(B24&lt;='VALOR POR PL'!$P$5,'CP RESUMO'!W48,"")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HISTORICOS'!X6)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RESUMO'!X6</f>
        <v/>
      </c>
      <c r="N25" s="128">
        <f>MAX(0,M25-M24)</f>
        <v/>
      </c>
      <c r="O25" s="127">
        <f>IF(B25&lt;='VALOR POR PL'!$P$5,'CP RESUMO'!X48,"")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HISTORICOS'!Y6)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RESUMO'!Y6</f>
        <v/>
      </c>
      <c r="N26" s="128">
        <f>MAX(0,M26-M25)</f>
        <v/>
      </c>
      <c r="O26" s="127">
        <f>IF(B26&lt;='VALOR POR PL'!$P$5,'CP RESUMO'!Y48,"")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HISTORICOS'!Z6)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RESUMO'!Z6</f>
        <v/>
      </c>
      <c r="N27" s="128">
        <f>MAX(0,M27-M26)</f>
        <v/>
      </c>
      <c r="O27" s="127">
        <f>IF(B27&lt;='VALOR POR PL'!$P$5,'CP RESUMO'!Z48,"")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HISTORICOS'!AA6)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RESUMO'!AA6</f>
        <v/>
      </c>
      <c r="N28" s="128">
        <f>MAX(0,M28-M27)</f>
        <v/>
      </c>
      <c r="O28" s="127">
        <f>IF(B28&lt;='VALOR POR PL'!$P$5,'CP RESUMO'!AA48,"")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HISTORICOS'!AB6)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RESUMO'!AB6</f>
        <v/>
      </c>
      <c r="N29" s="128">
        <f>MAX(0,M29-M28)</f>
        <v/>
      </c>
      <c r="O29" s="127">
        <f>IF(B29&lt;='VALOR POR PL'!$P$5,'CP RESUMO'!AB48,"")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HISTORICOS'!AC6)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RESUMO'!AC6</f>
        <v/>
      </c>
      <c r="N30" s="128">
        <f>MAX(0,M30-M29)</f>
        <v/>
      </c>
      <c r="O30" s="127">
        <f>IF(B30&lt;='VALOR POR PL'!$P$5,'CP RESUMO'!AC48,"")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HISTORICOS'!AD6)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RESUMO'!AD6</f>
        <v/>
      </c>
      <c r="N31" s="128">
        <f>MAX(0,M31-M30)</f>
        <v/>
      </c>
      <c r="O31" s="127">
        <f>IF(B31&lt;='VALOR POR PL'!$P$5,'CP RESUMO'!AD48,"")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HISTORICOS'!AE6)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RESUMO'!AE6</f>
        <v/>
      </c>
      <c r="N32" s="128">
        <f>MAX(0,M32-M31)</f>
        <v/>
      </c>
      <c r="O32" s="127">
        <f>IF(B32&lt;='VALOR POR PL'!$P$5,'CP RESUMO'!AE48,"")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HISTORICOS'!AF6)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RESUMO'!AF6</f>
        <v/>
      </c>
      <c r="N33" s="128">
        <f>MAX(0,M33-M32)</f>
        <v/>
      </c>
      <c r="O33" s="127">
        <f>IF(B33&lt;='VALOR POR PL'!$P$5,'CP RESUMO'!AF48,"")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HISTORICOS'!AG6)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RESUMO'!AG6</f>
        <v/>
      </c>
      <c r="N34" s="128">
        <f>MAX(0,M34-M33)</f>
        <v/>
      </c>
      <c r="O34" s="127">
        <f>IF(B34&lt;='VALOR POR PL'!$P$5,'CP RESUMO'!AG48,"")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HISTORICOS'!AH6)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RESUMO'!AH6</f>
        <v/>
      </c>
      <c r="N35" s="128">
        <f>MAX(0,M35-M34)</f>
        <v/>
      </c>
      <c r="O35" s="127">
        <f>IF(B35&lt;='VALOR POR PL'!$P$5,'CP RESUMO'!AH48,"")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HISTORICOS'!AI6)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RESUMO'!AI6</f>
        <v/>
      </c>
      <c r="N36" s="128">
        <f>MAX(0,M36-M35)</f>
        <v/>
      </c>
      <c r="O36" s="127">
        <f>IF(B36&lt;='VALOR POR PL'!$P$5,'CP RESUMO'!AI48,"")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HISTORICOS'!AJ6)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RESUMO'!AJ6</f>
        <v/>
      </c>
      <c r="N37" s="128">
        <f>MAX(0,M37-M36)</f>
        <v/>
      </c>
      <c r="O37" s="127">
        <f>IF(B37&lt;='VALOR POR PL'!$P$5,'CP RESUMO'!AJ48,"")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HISTORICOS'!AK6)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RESUMO'!AK6</f>
        <v/>
      </c>
      <c r="N38" s="128">
        <f>MAX(0,M38-M37)</f>
        <v/>
      </c>
      <c r="O38" s="127">
        <f>IF(B38&lt;='VALOR POR PL'!$P$5,'CP RESUMO'!AK48,"")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HISTORICOS'!AL6)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RESUMO'!AL6</f>
        <v/>
      </c>
      <c r="N39" s="128">
        <f>MAX(0,M39-M38)</f>
        <v/>
      </c>
      <c r="O39" s="127">
        <f>IF(B39&lt;='VALOR POR PL'!$P$5,'CP RESUMO'!AL48,"")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HISTORICOS'!AM6)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RESUMO'!AM6</f>
        <v/>
      </c>
      <c r="N40" s="128">
        <f>MAX(0,M40-M39)</f>
        <v/>
      </c>
      <c r="O40" s="127">
        <f>IF(B40&lt;='VALOR POR PL'!$P$5,'CP RESUMO'!AM48,"")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HISTORICOS'!AN6)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RESUMO'!AN6</f>
        <v/>
      </c>
      <c r="N41" s="128">
        <f>MAX(0,M41-M40)</f>
        <v/>
      </c>
      <c r="O41" s="127">
        <f>IF(B41&lt;='VALOR POR PL'!$P$5,'CP RESUMO'!AN48,"")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HISTORICOS'!AO6)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RESUMO'!AO6</f>
        <v/>
      </c>
      <c r="N42" s="128">
        <f>MAX(0,M42-M41)</f>
        <v/>
      </c>
      <c r="O42" s="127">
        <f>IF(B42&lt;='VALOR POR PL'!$P$5,'CP RESUMO'!AO48,"")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HISTORICOS'!AP6)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RESUMO'!AP6</f>
        <v/>
      </c>
      <c r="N43" s="128">
        <f>MAX(0,M43-M42)</f>
        <v/>
      </c>
      <c r="O43" s="127">
        <f>IF(B43&lt;='VALOR POR PL'!$P$5,'CP RESUMO'!AP48,"")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HISTORICOS'!AQ6)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RESUMO'!AQ6</f>
        <v/>
      </c>
      <c r="N44" s="128">
        <f>MAX(0,M44-M43)</f>
        <v/>
      </c>
      <c r="O44" s="127">
        <f>IF(B44&lt;='VALOR POR PL'!$P$5,'CP RESUMO'!AQ48,"")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HISTORICOS'!AR6)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RESUMO'!AR6</f>
        <v/>
      </c>
      <c r="N45" s="128">
        <f>MAX(0,M45-M44)</f>
        <v/>
      </c>
      <c r="O45" s="127">
        <f>IF(B45&lt;='VALOR POR PL'!$P$5,'CP RESUMO'!AR48,"")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HISTORICOS'!AS6)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RESUMO'!AS6</f>
        <v/>
      </c>
      <c r="N46" s="128">
        <f>MAX(0,M46-M45)</f>
        <v/>
      </c>
      <c r="O46" s="127">
        <f>IF(B46&lt;='VALOR POR PL'!$P$5,'CP RESUMO'!AS48,"")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HISTORICOS'!AT6)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RESUMO'!AT6</f>
        <v/>
      </c>
      <c r="N47" s="128">
        <f>MAX(0,M47-M46)</f>
        <v/>
      </c>
      <c r="O47" s="127">
        <f>IF(B47&lt;='VALOR POR PL'!$P$5,'CP RESUMO'!AT48,"")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HISTORICOS'!AU6)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RESUMO'!AU6</f>
        <v/>
      </c>
      <c r="N48" s="128">
        <f>MAX(0,M48-M47)</f>
        <v/>
      </c>
      <c r="O48" s="127">
        <f>IF(B48&lt;='VALOR POR PL'!$P$5,'CP RESUMO'!AU48,"")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HISTORICOS'!AV6)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RESUMO'!AV6</f>
        <v/>
      </c>
      <c r="N49" s="128">
        <f>MAX(0,M49-M48)</f>
        <v/>
      </c>
      <c r="O49" s="127">
        <f>IF(B49&lt;='VALOR POR PL'!$P$5,'CP RESUMO'!AV48,"")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HISTORICOS'!AW6)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RESUMO'!AW6</f>
        <v/>
      </c>
      <c r="N50" s="128">
        <f>MAX(0,M50-M49)</f>
        <v/>
      </c>
      <c r="O50" s="127">
        <f>IF(B50&lt;='VALOR POR PL'!$P$5,'CP RESUMO'!AW48,"")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HISTORICOS'!AX6)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RESUMO'!AX6</f>
        <v/>
      </c>
      <c r="N51" s="128">
        <f>MAX(0,M51-M50)</f>
        <v/>
      </c>
      <c r="O51" s="127">
        <f>IF(B51&lt;='VALOR POR PL'!$P$5,'CP RESUMO'!AX48,"")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HISTORICOS'!AY6)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RESUMO'!AY6</f>
        <v/>
      </c>
      <c r="N52" s="128">
        <f>MAX(0,M52-M51)</f>
        <v/>
      </c>
      <c r="O52" s="127">
        <f>IF(B52&lt;='VALOR POR PL'!$P$5,'CP RESUMO'!AY48,"")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HISTORICOS'!AZ6)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RESUMO'!AZ6</f>
        <v/>
      </c>
      <c r="N53" s="128">
        <f>MAX(0,M53-M52)</f>
        <v/>
      </c>
      <c r="O53" s="127">
        <f>IF(B53&lt;='VALOR POR PL'!$P$5,'CP RESUMO'!AZ48,"")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HISTORICOS'!BA6)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RESUMO'!BA6</f>
        <v/>
      </c>
      <c r="N54" s="128">
        <f>MAX(0,M54-M53)</f>
        <v/>
      </c>
      <c r="O54" s="127">
        <f>IF(B54&lt;='VALOR POR PL'!$P$5,'CP RESUMO'!BA48,"")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HISTORICOS'!BB6)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RESUMO'!BB6</f>
        <v/>
      </c>
      <c r="N55" s="128">
        <f>MAX(0,M55-M54)</f>
        <v/>
      </c>
      <c r="O55" s="127">
        <f>IF(B55&lt;='VALOR POR PL'!$P$5,'CP RESUMO'!BB48,"")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HISTORICOS'!BC6)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RESUMO'!BC6</f>
        <v/>
      </c>
      <c r="N56" s="128">
        <f>MAX(0,M56-M55)</f>
        <v/>
      </c>
      <c r="O56" s="127">
        <f>IF(B56&lt;='VALOR POR PL'!$P$5,'CP RESUMO'!BC48,"")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HISTORICOS'!BD6)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RESUMO'!BD6</f>
        <v/>
      </c>
      <c r="N57" s="128">
        <f>MAX(0,M57-M56)</f>
        <v/>
      </c>
      <c r="O57" s="127">
        <f>IF(B57&lt;='VALOR POR PL'!$P$5,'CP RESUMO'!BD48,"")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HISTORICOS'!BE6)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RESUMO'!BE6</f>
        <v/>
      </c>
      <c r="N58" s="128">
        <f>MAX(0,M58-M57)</f>
        <v/>
      </c>
      <c r="O58" s="127">
        <f>IF(B58&lt;='VALOR POR PL'!$P$5,'CP RESUMO'!BE48,"")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HISTORICOS'!BF6)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RESUMO'!BF6</f>
        <v/>
      </c>
      <c r="N59" s="128">
        <f>MAX(0,M59-M58)</f>
        <v/>
      </c>
      <c r="O59" s="127">
        <f>IF(B59&lt;='VALOR POR PL'!$P$5,'CP RESUMO'!BF48,"")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HISTORICOS'!BG6)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RESUMO'!BG6</f>
        <v/>
      </c>
      <c r="N60" s="128">
        <f>MAX(0,M60-M59)</f>
        <v/>
      </c>
      <c r="O60" s="127">
        <f>IF(B60&lt;='VALOR POR PL'!$P$5,'CP RESUMO'!BG48,"")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HISTORICOS'!BH6)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RESUMO'!BH6</f>
        <v/>
      </c>
      <c r="N61" s="128">
        <f>MAX(0,M61-M60)</f>
        <v/>
      </c>
      <c r="O61" s="127">
        <f>IF(B61&lt;='VALOR POR PL'!$P$5,'CP RESUMO'!BH48,"")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HISTORICOS'!BI6)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RESUMO'!BI6</f>
        <v/>
      </c>
      <c r="N62" s="128">
        <f>MAX(0,M62-M61)</f>
        <v/>
      </c>
      <c r="O62" s="127">
        <f>IF(B62&lt;='VALOR POR PL'!$P$5,'CP RESUMO'!BI48,"")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HISTORICOS'!BJ6)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RESUMO'!BJ6</f>
        <v/>
      </c>
      <c r="N63" s="128">
        <f>MAX(0,M63-M62)</f>
        <v/>
      </c>
      <c r="O63" s="127">
        <f>IF(B63&lt;='VALOR POR PL'!$P$5,'CP RESUMO'!BJ48,"")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HISTORICOS'!BK6)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RESUMO'!BK6</f>
        <v/>
      </c>
      <c r="N64" s="128">
        <f>MAX(0,M64-M63)</f>
        <v/>
      </c>
      <c r="O64" s="127">
        <f>IF(B64&lt;='VALOR POR PL'!$P$5,'CP RESUMO'!BK48,"")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HISTORICOS'!BL6)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RESUMO'!BL6</f>
        <v/>
      </c>
      <c r="N65" s="128">
        <f>MAX(0,M65-M64)</f>
        <v/>
      </c>
      <c r="O65" s="127">
        <f>IF(B65&lt;='VALOR POR PL'!$P$5,'CP RESUMO'!BL48,"")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HISTORICOS'!BM6)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RESUMO'!BM6</f>
        <v/>
      </c>
      <c r="N66" s="128">
        <f>MAX(0,M66-M65)</f>
        <v/>
      </c>
      <c r="O66" s="127">
        <f>IF(B66&lt;='VALOR POR PL'!$P$5,'CP RESUMO'!BM48,"")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HISTORICOS'!BN6)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RESUMO'!BN6</f>
        <v/>
      </c>
      <c r="N67" s="128">
        <f>MAX(0,M67-M66)</f>
        <v/>
      </c>
      <c r="O67" s="127">
        <f>IF(B67&lt;='VALOR POR PL'!$P$5,'CP RESUMO'!BN48,"")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HISTORICOS'!BO6)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RESUMO'!BO6</f>
        <v/>
      </c>
      <c r="N68" s="128">
        <f>MAX(0,M68-M67)</f>
        <v/>
      </c>
      <c r="O68" s="127">
        <f>IF(B68&lt;='VALOR POR PL'!$P$5,'CP RESUMO'!BO48,"")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HISTORICOS'!BP6)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RESUMO'!BP6</f>
        <v/>
      </c>
      <c r="N69" s="128">
        <f>MAX(0,M69-M68)</f>
        <v/>
      </c>
      <c r="O69" s="127">
        <f>IF(B69&lt;='VALOR POR PL'!$P$5,'CP RESUMO'!BP48,"")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HISTORICOS'!BQ6)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RESUMO'!BQ6</f>
        <v/>
      </c>
      <c r="N70" s="128">
        <f>MAX(0,M70-M69)</f>
        <v/>
      </c>
      <c r="O70" s="127">
        <f>IF(B70&lt;='VALOR POR PL'!$P$5,'CP RESUMO'!BQ48,"")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HISTORICOS'!BR6)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RESUMO'!BR6</f>
        <v/>
      </c>
      <c r="N71" s="128">
        <f>MAX(0,M71-M70)</f>
        <v/>
      </c>
      <c r="O71" s="127">
        <f>IF(B71&lt;='VALOR POR PL'!$P$5,'CP RESUMO'!BR48,"")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HISTORICOS'!BS6)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RESUMO'!BS6</f>
        <v/>
      </c>
      <c r="N72" s="128">
        <f>MAX(0,M72-M71)</f>
        <v/>
      </c>
      <c r="O72" s="127">
        <f>IF(B72&lt;='VALOR POR PL'!$P$5,'CP RESUMO'!BS48,"")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HISTORICOS'!BT6)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RESUMO'!BT6</f>
        <v/>
      </c>
      <c r="N73" s="128">
        <f>MAX(0,M73-M72)</f>
        <v/>
      </c>
      <c r="O73" s="127">
        <f>IF(B73&lt;='VALOR POR PL'!$P$5,'CP RESUMO'!BT48,"")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HISTORICOS'!BU6)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RESUMO'!BU6</f>
        <v/>
      </c>
      <c r="N74" s="128">
        <f>MAX(0,M74-M73)</f>
        <v/>
      </c>
      <c r="O74" s="127">
        <f>IF(B74&lt;='VALOR POR PL'!$P$5,'CP RESUMO'!BU48,"")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HISTORICOS'!BV6)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RESUMO'!BV6</f>
        <v/>
      </c>
      <c r="N75" s="128">
        <f>MAX(0,M75-M74)</f>
        <v/>
      </c>
      <c r="O75" s="127">
        <f>IF(B75&lt;='VALOR POR PL'!$P$5,'CP RESUMO'!BV48,"")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HISTORICOS'!BW6)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RESUMO'!BW6</f>
        <v/>
      </c>
      <c r="N76" s="128">
        <f>MAX(0,M76-M75)</f>
        <v/>
      </c>
      <c r="O76" s="127">
        <f>IF(B76&lt;='VALOR POR PL'!$P$5,'CP RESUMO'!BW48,"")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PL'!D13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HISTORICOS'!D7)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PL'!F13</f>
        <v/>
      </c>
      <c r="K5" s="63">
        <f>'VALOR POR PL'!G13</f>
        <v/>
      </c>
      <c r="M5" s="127">
        <f>'CP RESUMO'!D7</f>
        <v/>
      </c>
      <c r="N5" s="128" t="n">
        <v>0</v>
      </c>
      <c r="O5" s="127">
        <f>IF(B5&lt;='VALOR POR PL'!$P$5,'CP RESUMO'!D49,"")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HISTORICOS'!E7)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RESUMO'!E7</f>
        <v/>
      </c>
      <c r="N6" s="128">
        <f>MAX(0,M6-M5)</f>
        <v/>
      </c>
      <c r="O6" s="127">
        <f>IF(B6&lt;='VALOR POR PL'!$P$5,'CP RESUMO'!E49,"")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HISTORICOS'!F7)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PL'!L13</f>
        <v/>
      </c>
      <c r="M7" s="127">
        <f>'CP RESUMO'!F7</f>
        <v/>
      </c>
      <c r="N7" s="128">
        <f>MAX(0,M7-M6)</f>
        <v/>
      </c>
      <c r="O7" s="127">
        <f>IF(B7&lt;='VALOR POR PL'!$P$5,'CP RESUMO'!F49,"")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HISTORICOS'!G7)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RESUMO'!G7</f>
        <v/>
      </c>
      <c r="N8" s="128">
        <f>MAX(0,M8-M7)</f>
        <v/>
      </c>
      <c r="O8" s="127">
        <f>IF(B8&lt;='VALOR POR PL'!$P$5,'CP RESUMO'!G49,"")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HISTORICOS'!H7)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RESUMO'!H7</f>
        <v/>
      </c>
      <c r="N9" s="128">
        <f>MAX(0,M9-M8)</f>
        <v/>
      </c>
      <c r="O9" s="127">
        <f>IF(B9&lt;='VALOR POR PL'!$P$5,'CP RESUMO'!H49,"")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HISTORICOS'!I7)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RESUMO'!I7</f>
        <v/>
      </c>
      <c r="N10" s="128">
        <f>MAX(0,M10-M9)</f>
        <v/>
      </c>
      <c r="O10" s="127">
        <f>IF(B10&lt;='VALOR POR PL'!$P$5,'CP RESUMO'!I49,"")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HISTORICOS'!J7)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RESUMO'!J7</f>
        <v/>
      </c>
      <c r="N11" s="128">
        <f>MAX(0,M11-M10)</f>
        <v/>
      </c>
      <c r="O11" s="127">
        <f>IF(B11&lt;='VALOR POR PL'!$P$5,'CP RESUMO'!J49,"")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HISTORICOS'!K7)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RESUMO'!K7</f>
        <v/>
      </c>
      <c r="N12" s="128">
        <f>MAX(0,M12-M11)</f>
        <v/>
      </c>
      <c r="O12" s="127">
        <f>IF(B12&lt;='VALOR POR PL'!$P$5,'CP RESUMO'!K49,"")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HISTORICOS'!L7)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PL'!I13</f>
        <v/>
      </c>
      <c r="M13" s="127">
        <f>'CP RESUMO'!L7</f>
        <v/>
      </c>
      <c r="N13" s="128">
        <f>MAX(0,M13-M12)</f>
        <v/>
      </c>
      <c r="O13" s="127">
        <f>IF(B13&lt;='VALOR POR PL'!$P$5,'CP RESUMO'!L49,"")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HISTORICOS'!M7)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RESUMO'!$D$49:$BW$49,MATCH('VALOR POR PL'!$P$5,'CP RESUMO'!$D$4:$BW$4,0))/100,0)</f>
        <v/>
      </c>
      <c r="M14" s="127">
        <f>'CP RESUMO'!M7</f>
        <v/>
      </c>
      <c r="N14" s="128">
        <f>MAX(0,M14-M13)</f>
        <v/>
      </c>
      <c r="O14" s="127">
        <f>IF(B14&lt;='VALOR POR PL'!$P$5,'CP RESUMO'!M49,"")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HISTORICOS'!N7)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RESUMO'!N7</f>
        <v/>
      </c>
      <c r="N15" s="128">
        <f>MAX(0,M15-M14)</f>
        <v/>
      </c>
      <c r="O15" s="127">
        <f>IF(B15&lt;='VALOR POR PL'!$P$5,'CP RESUMO'!N49,"")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HISTORICOS'!O7)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RESUMO'!O7</f>
        <v/>
      </c>
      <c r="N16" s="128">
        <f>MAX(0,M16-M15)</f>
        <v/>
      </c>
      <c r="O16" s="127">
        <f>IF(B16&lt;='VALOR POR PL'!$P$5,'CP RESUMO'!O49,"")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HISTORICOS'!P7)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RESUMO'!P7</f>
        <v/>
      </c>
      <c r="N17" s="128">
        <f>MAX(0,M17-M16)</f>
        <v/>
      </c>
      <c r="O17" s="127">
        <f>IF(B17&lt;='VALOR POR PL'!$P$5,'CP RESUMO'!P49,"")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HISTORICOS'!Q7)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RESUMO'!Q7</f>
        <v/>
      </c>
      <c r="N18" s="128">
        <f>MAX(0,M18-M17)</f>
        <v/>
      </c>
      <c r="O18" s="127">
        <f>IF(B18&lt;='VALOR POR PL'!$P$5,'CP RESUMO'!Q49,"")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HISTORICOS'!R7)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RESUMO'!R7</f>
        <v/>
      </c>
      <c r="N19" s="128">
        <f>MAX(0,M19-M18)</f>
        <v/>
      </c>
      <c r="O19" s="127">
        <f>IF(B19&lt;='VALOR POR PL'!$P$5,'CP RESUMO'!R49,"")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HISTORICOS'!S7)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RESUMO'!S7</f>
        <v/>
      </c>
      <c r="N20" s="128">
        <f>MAX(0,M20-M19)</f>
        <v/>
      </c>
      <c r="O20" s="127">
        <f>IF(B20&lt;='VALOR POR PL'!$P$5,'CP RESUMO'!S49,"")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HISTORICOS'!T7)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RESUMO'!T7</f>
        <v/>
      </c>
      <c r="N21" s="128">
        <f>MAX(0,M21-M20)</f>
        <v/>
      </c>
      <c r="O21" s="127">
        <f>IF(B21&lt;='VALOR POR PL'!$P$5,'CP RESUMO'!T49,"")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HISTORICOS'!U7)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RESUMO'!U7</f>
        <v/>
      </c>
      <c r="N22" s="128">
        <f>MAX(0,M22-M21)</f>
        <v/>
      </c>
      <c r="O22" s="127">
        <f>IF(B22&lt;='VALOR POR PL'!$P$5,'CP RESUMO'!U49,"")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HISTORICOS'!V7)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RESUMO'!V7</f>
        <v/>
      </c>
      <c r="N23" s="128">
        <f>MAX(0,M23-M22)</f>
        <v/>
      </c>
      <c r="O23" s="127">
        <f>IF(B23&lt;='VALOR POR PL'!$P$5,'CP RESUMO'!V49,"")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HISTORICOS'!W7)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RESUMO'!W7</f>
        <v/>
      </c>
      <c r="N24" s="128">
        <f>MAX(0,M24-M23)</f>
        <v/>
      </c>
      <c r="O24" s="127">
        <f>IF(B24&lt;='VALOR POR PL'!$P$5,'CP RESUMO'!W49,"")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HISTORICOS'!X7)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RESUMO'!X7</f>
        <v/>
      </c>
      <c r="N25" s="128">
        <f>MAX(0,M25-M24)</f>
        <v/>
      </c>
      <c r="O25" s="127">
        <f>IF(B25&lt;='VALOR POR PL'!$P$5,'CP RESUMO'!X49,"")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HISTORICOS'!Y7)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RESUMO'!Y7</f>
        <v/>
      </c>
      <c r="N26" s="128">
        <f>MAX(0,M26-M25)</f>
        <v/>
      </c>
      <c r="O26" s="127">
        <f>IF(B26&lt;='VALOR POR PL'!$P$5,'CP RESUMO'!Y49,"")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HISTORICOS'!Z7)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RESUMO'!Z7</f>
        <v/>
      </c>
      <c r="N27" s="128">
        <f>MAX(0,M27-M26)</f>
        <v/>
      </c>
      <c r="O27" s="127">
        <f>IF(B27&lt;='VALOR POR PL'!$P$5,'CP RESUMO'!Z49,"")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HISTORICOS'!AA7)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RESUMO'!AA7</f>
        <v/>
      </c>
      <c r="N28" s="128">
        <f>MAX(0,M28-M27)</f>
        <v/>
      </c>
      <c r="O28" s="127">
        <f>IF(B28&lt;='VALOR POR PL'!$P$5,'CP RESUMO'!AA49,"")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HISTORICOS'!AB7)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RESUMO'!AB7</f>
        <v/>
      </c>
      <c r="N29" s="128">
        <f>MAX(0,M29-M28)</f>
        <v/>
      </c>
      <c r="O29" s="127">
        <f>IF(B29&lt;='VALOR POR PL'!$P$5,'CP RESUMO'!AB49,"")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HISTORICOS'!AC7)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RESUMO'!AC7</f>
        <v/>
      </c>
      <c r="N30" s="128">
        <f>MAX(0,M30-M29)</f>
        <v/>
      </c>
      <c r="O30" s="127">
        <f>IF(B30&lt;='VALOR POR PL'!$P$5,'CP RESUMO'!AC49,"")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HISTORICOS'!AD7)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RESUMO'!AD7</f>
        <v/>
      </c>
      <c r="N31" s="128">
        <f>MAX(0,M31-M30)</f>
        <v/>
      </c>
      <c r="O31" s="127">
        <f>IF(B31&lt;='VALOR POR PL'!$P$5,'CP RESUMO'!AD49,"")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HISTORICOS'!AE7)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RESUMO'!AE7</f>
        <v/>
      </c>
      <c r="N32" s="128">
        <f>MAX(0,M32-M31)</f>
        <v/>
      </c>
      <c r="O32" s="127">
        <f>IF(B32&lt;='VALOR POR PL'!$P$5,'CP RESUMO'!AE49,"")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HISTORICOS'!AF7)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RESUMO'!AF7</f>
        <v/>
      </c>
      <c r="N33" s="128">
        <f>MAX(0,M33-M32)</f>
        <v/>
      </c>
      <c r="O33" s="127">
        <f>IF(B33&lt;='VALOR POR PL'!$P$5,'CP RESUMO'!AF49,"")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HISTORICOS'!AG7)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RESUMO'!AG7</f>
        <v/>
      </c>
      <c r="N34" s="128">
        <f>MAX(0,M34-M33)</f>
        <v/>
      </c>
      <c r="O34" s="127">
        <f>IF(B34&lt;='VALOR POR PL'!$P$5,'CP RESUMO'!AG49,"")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HISTORICOS'!AH7)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RESUMO'!AH7</f>
        <v/>
      </c>
      <c r="N35" s="128">
        <f>MAX(0,M35-M34)</f>
        <v/>
      </c>
      <c r="O35" s="127">
        <f>IF(B35&lt;='VALOR POR PL'!$P$5,'CP RESUMO'!AH49,"")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HISTORICOS'!AI7)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RESUMO'!AI7</f>
        <v/>
      </c>
      <c r="N36" s="128">
        <f>MAX(0,M36-M35)</f>
        <v/>
      </c>
      <c r="O36" s="127">
        <f>IF(B36&lt;='VALOR POR PL'!$P$5,'CP RESUMO'!AI49,"")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HISTORICOS'!AJ7)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RESUMO'!AJ7</f>
        <v/>
      </c>
      <c r="N37" s="128">
        <f>MAX(0,M37-M36)</f>
        <v/>
      </c>
      <c r="O37" s="127">
        <f>IF(B37&lt;='VALOR POR PL'!$P$5,'CP RESUMO'!AJ49,"")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HISTORICOS'!AK7)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RESUMO'!AK7</f>
        <v/>
      </c>
      <c r="N38" s="128">
        <f>MAX(0,M38-M37)</f>
        <v/>
      </c>
      <c r="O38" s="127">
        <f>IF(B38&lt;='VALOR POR PL'!$P$5,'CP RESUMO'!AK49,"")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HISTORICOS'!AL7)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RESUMO'!AL7</f>
        <v/>
      </c>
      <c r="N39" s="128">
        <f>MAX(0,M39-M38)</f>
        <v/>
      </c>
      <c r="O39" s="127">
        <f>IF(B39&lt;='VALOR POR PL'!$P$5,'CP RESUMO'!AL49,"")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HISTORICOS'!AM7)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RESUMO'!AM7</f>
        <v/>
      </c>
      <c r="N40" s="128">
        <f>MAX(0,M40-M39)</f>
        <v/>
      </c>
      <c r="O40" s="127">
        <f>IF(B40&lt;='VALOR POR PL'!$P$5,'CP RESUMO'!AM49,"")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HISTORICOS'!AN7)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RESUMO'!AN7</f>
        <v/>
      </c>
      <c r="N41" s="128">
        <f>MAX(0,M41-M40)</f>
        <v/>
      </c>
      <c r="O41" s="127">
        <f>IF(B41&lt;='VALOR POR PL'!$P$5,'CP RESUMO'!AN49,"")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HISTORICOS'!AO7)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RESUMO'!AO7</f>
        <v/>
      </c>
      <c r="N42" s="128">
        <f>MAX(0,M42-M41)</f>
        <v/>
      </c>
      <c r="O42" s="127">
        <f>IF(B42&lt;='VALOR POR PL'!$P$5,'CP RESUMO'!AO49,"")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HISTORICOS'!AP7)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RESUMO'!AP7</f>
        <v/>
      </c>
      <c r="N43" s="128">
        <f>MAX(0,M43-M42)</f>
        <v/>
      </c>
      <c r="O43" s="127">
        <f>IF(B43&lt;='VALOR POR PL'!$P$5,'CP RESUMO'!AP49,"")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HISTORICOS'!AQ7)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RESUMO'!AQ7</f>
        <v/>
      </c>
      <c r="N44" s="128">
        <f>MAX(0,M44-M43)</f>
        <v/>
      </c>
      <c r="O44" s="127">
        <f>IF(B44&lt;='VALOR POR PL'!$P$5,'CP RESUMO'!AQ49,"")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HISTORICOS'!AR7)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RESUMO'!AR7</f>
        <v/>
      </c>
      <c r="N45" s="128">
        <f>MAX(0,M45-M44)</f>
        <v/>
      </c>
      <c r="O45" s="127">
        <f>IF(B45&lt;='VALOR POR PL'!$P$5,'CP RESUMO'!AR49,"")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HISTORICOS'!AS7)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RESUMO'!AS7</f>
        <v/>
      </c>
      <c r="N46" s="128">
        <f>MAX(0,M46-M45)</f>
        <v/>
      </c>
      <c r="O46" s="127">
        <f>IF(B46&lt;='VALOR POR PL'!$P$5,'CP RESUMO'!AS49,"")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HISTORICOS'!AT7)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RESUMO'!AT7</f>
        <v/>
      </c>
      <c r="N47" s="128">
        <f>MAX(0,M47-M46)</f>
        <v/>
      </c>
      <c r="O47" s="127">
        <f>IF(B47&lt;='VALOR POR PL'!$P$5,'CP RESUMO'!AT49,"")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HISTORICOS'!AU7)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RESUMO'!AU7</f>
        <v/>
      </c>
      <c r="N48" s="128">
        <f>MAX(0,M48-M47)</f>
        <v/>
      </c>
      <c r="O48" s="127">
        <f>IF(B48&lt;='VALOR POR PL'!$P$5,'CP RESUMO'!AU49,"")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HISTORICOS'!AV7)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RESUMO'!AV7</f>
        <v/>
      </c>
      <c r="N49" s="128">
        <f>MAX(0,M49-M48)</f>
        <v/>
      </c>
      <c r="O49" s="127">
        <f>IF(B49&lt;='VALOR POR PL'!$P$5,'CP RESUMO'!AV49,"")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HISTORICOS'!AW7)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RESUMO'!AW7</f>
        <v/>
      </c>
      <c r="N50" s="128">
        <f>MAX(0,M50-M49)</f>
        <v/>
      </c>
      <c r="O50" s="127">
        <f>IF(B50&lt;='VALOR POR PL'!$P$5,'CP RESUMO'!AW49,"")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HISTORICOS'!AX7)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RESUMO'!AX7</f>
        <v/>
      </c>
      <c r="N51" s="128">
        <f>MAX(0,M51-M50)</f>
        <v/>
      </c>
      <c r="O51" s="127">
        <f>IF(B51&lt;='VALOR POR PL'!$P$5,'CP RESUMO'!AX49,"")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HISTORICOS'!AY7)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RESUMO'!AY7</f>
        <v/>
      </c>
      <c r="N52" s="128">
        <f>MAX(0,M52-M51)</f>
        <v/>
      </c>
      <c r="O52" s="127">
        <f>IF(B52&lt;='VALOR POR PL'!$P$5,'CP RESUMO'!AY49,"")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HISTORICOS'!AZ7)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RESUMO'!AZ7</f>
        <v/>
      </c>
      <c r="N53" s="128">
        <f>MAX(0,M53-M52)</f>
        <v/>
      </c>
      <c r="O53" s="127">
        <f>IF(B53&lt;='VALOR POR PL'!$P$5,'CP RESUMO'!AZ49,"")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HISTORICOS'!BA7)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RESUMO'!BA7</f>
        <v/>
      </c>
      <c r="N54" s="128">
        <f>MAX(0,M54-M53)</f>
        <v/>
      </c>
      <c r="O54" s="127">
        <f>IF(B54&lt;='VALOR POR PL'!$P$5,'CP RESUMO'!BA49,"")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HISTORICOS'!BB7)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RESUMO'!BB7</f>
        <v/>
      </c>
      <c r="N55" s="128">
        <f>MAX(0,M55-M54)</f>
        <v/>
      </c>
      <c r="O55" s="127">
        <f>IF(B55&lt;='VALOR POR PL'!$P$5,'CP RESUMO'!BB49,"")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HISTORICOS'!BC7)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RESUMO'!BC7</f>
        <v/>
      </c>
      <c r="N56" s="128">
        <f>MAX(0,M56-M55)</f>
        <v/>
      </c>
      <c r="O56" s="127">
        <f>IF(B56&lt;='VALOR POR PL'!$P$5,'CP RESUMO'!BC49,"")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HISTORICOS'!BD7)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RESUMO'!BD7</f>
        <v/>
      </c>
      <c r="N57" s="128">
        <f>MAX(0,M57-M56)</f>
        <v/>
      </c>
      <c r="O57" s="127">
        <f>IF(B57&lt;='VALOR POR PL'!$P$5,'CP RESUMO'!BD49,"")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HISTORICOS'!BE7)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RESUMO'!BE7</f>
        <v/>
      </c>
      <c r="N58" s="128">
        <f>MAX(0,M58-M57)</f>
        <v/>
      </c>
      <c r="O58" s="127">
        <f>IF(B58&lt;='VALOR POR PL'!$P$5,'CP RESUMO'!BE49,"")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HISTORICOS'!BF7)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RESUMO'!BF7</f>
        <v/>
      </c>
      <c r="N59" s="128">
        <f>MAX(0,M59-M58)</f>
        <v/>
      </c>
      <c r="O59" s="127">
        <f>IF(B59&lt;='VALOR POR PL'!$P$5,'CP RESUMO'!BF49,"")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HISTORICOS'!BG7)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RESUMO'!BG7</f>
        <v/>
      </c>
      <c r="N60" s="128">
        <f>MAX(0,M60-M59)</f>
        <v/>
      </c>
      <c r="O60" s="127">
        <f>IF(B60&lt;='VALOR POR PL'!$P$5,'CP RESUMO'!BG49,"")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HISTORICOS'!BH7)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RESUMO'!BH7</f>
        <v/>
      </c>
      <c r="N61" s="128">
        <f>MAX(0,M61-M60)</f>
        <v/>
      </c>
      <c r="O61" s="127">
        <f>IF(B61&lt;='VALOR POR PL'!$P$5,'CP RESUMO'!BH49,"")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HISTORICOS'!BI7)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RESUMO'!BI7</f>
        <v/>
      </c>
      <c r="N62" s="128">
        <f>MAX(0,M62-M61)</f>
        <v/>
      </c>
      <c r="O62" s="127">
        <f>IF(B62&lt;='VALOR POR PL'!$P$5,'CP RESUMO'!BI49,"")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HISTORICOS'!BJ7)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RESUMO'!BJ7</f>
        <v/>
      </c>
      <c r="N63" s="128">
        <f>MAX(0,M63-M62)</f>
        <v/>
      </c>
      <c r="O63" s="127">
        <f>IF(B63&lt;='VALOR POR PL'!$P$5,'CP RESUMO'!BJ49,"")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HISTORICOS'!BK7)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RESUMO'!BK7</f>
        <v/>
      </c>
      <c r="N64" s="128">
        <f>MAX(0,M64-M63)</f>
        <v/>
      </c>
      <c r="O64" s="127">
        <f>IF(B64&lt;='VALOR POR PL'!$P$5,'CP RESUMO'!BK49,"")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HISTORICOS'!BL7)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RESUMO'!BL7</f>
        <v/>
      </c>
      <c r="N65" s="128">
        <f>MAX(0,M65-M64)</f>
        <v/>
      </c>
      <c r="O65" s="127">
        <f>IF(B65&lt;='VALOR POR PL'!$P$5,'CP RESUMO'!BL49,"")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HISTORICOS'!BM7)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RESUMO'!BM7</f>
        <v/>
      </c>
      <c r="N66" s="128">
        <f>MAX(0,M66-M65)</f>
        <v/>
      </c>
      <c r="O66" s="127">
        <f>IF(B66&lt;='VALOR POR PL'!$P$5,'CP RESUMO'!BM49,"")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HISTORICOS'!BN7)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RESUMO'!BN7</f>
        <v/>
      </c>
      <c r="N67" s="128">
        <f>MAX(0,M67-M66)</f>
        <v/>
      </c>
      <c r="O67" s="127">
        <f>IF(B67&lt;='VALOR POR PL'!$P$5,'CP RESUMO'!BN49,"")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HISTORICOS'!BO7)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RESUMO'!BO7</f>
        <v/>
      </c>
      <c r="N68" s="128">
        <f>MAX(0,M68-M67)</f>
        <v/>
      </c>
      <c r="O68" s="127">
        <f>IF(B68&lt;='VALOR POR PL'!$P$5,'CP RESUMO'!BO49,"")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HISTORICOS'!BP7)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RESUMO'!BP7</f>
        <v/>
      </c>
      <c r="N69" s="128">
        <f>MAX(0,M69-M68)</f>
        <v/>
      </c>
      <c r="O69" s="127">
        <f>IF(B69&lt;='VALOR POR PL'!$P$5,'CP RESUMO'!BP49,"")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HISTORICOS'!BQ7)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RESUMO'!BQ7</f>
        <v/>
      </c>
      <c r="N70" s="128">
        <f>MAX(0,M70-M69)</f>
        <v/>
      </c>
      <c r="O70" s="127">
        <f>IF(B70&lt;='VALOR POR PL'!$P$5,'CP RESUMO'!BQ49,"")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HISTORICOS'!BR7)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RESUMO'!BR7</f>
        <v/>
      </c>
      <c r="N71" s="128">
        <f>MAX(0,M71-M70)</f>
        <v/>
      </c>
      <c r="O71" s="127">
        <f>IF(B71&lt;='VALOR POR PL'!$P$5,'CP RESUMO'!BR49,"")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HISTORICOS'!BS7)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RESUMO'!BS7</f>
        <v/>
      </c>
      <c r="N72" s="128">
        <f>MAX(0,M72-M71)</f>
        <v/>
      </c>
      <c r="O72" s="127">
        <f>IF(B72&lt;='VALOR POR PL'!$P$5,'CP RESUMO'!BS49,"")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HISTORICOS'!BT7)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RESUMO'!BT7</f>
        <v/>
      </c>
      <c r="N73" s="128">
        <f>MAX(0,M73-M72)</f>
        <v/>
      </c>
      <c r="O73" s="127">
        <f>IF(B73&lt;='VALOR POR PL'!$P$5,'CP RESUMO'!BT49,"")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HISTORICOS'!BU7)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RESUMO'!BU7</f>
        <v/>
      </c>
      <c r="N74" s="128">
        <f>MAX(0,M74-M73)</f>
        <v/>
      </c>
      <c r="O74" s="127">
        <f>IF(B74&lt;='VALOR POR PL'!$P$5,'CP RESUMO'!BU49,"")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HISTORICOS'!BV7)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RESUMO'!BV7</f>
        <v/>
      </c>
      <c r="N75" s="128">
        <f>MAX(0,M75-M74)</f>
        <v/>
      </c>
      <c r="O75" s="127">
        <f>IF(B75&lt;='VALOR POR PL'!$P$5,'CP RESUMO'!BV49,"")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HISTORICOS'!BW7)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RESUMO'!BW7</f>
        <v/>
      </c>
      <c r="N76" s="128">
        <f>MAX(0,M76-M75)</f>
        <v/>
      </c>
      <c r="O76" s="127">
        <f>IF(B76&lt;='VALOR POR PL'!$P$5,'CP RESUMO'!BW49,"")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PL'!D14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HISTORICOS'!D8)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PL'!F14</f>
        <v/>
      </c>
      <c r="K5" s="63">
        <f>'VALOR POR PL'!G14</f>
        <v/>
      </c>
      <c r="M5" s="127">
        <f>'CP RESUMO'!D8</f>
        <v/>
      </c>
      <c r="N5" s="128" t="n">
        <v>0</v>
      </c>
      <c r="O5" s="127">
        <f>IF(B5&lt;='VALOR POR PL'!$P$5,'CP RESUMO'!D50,"")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HISTORICOS'!E8)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RESUMO'!E8</f>
        <v/>
      </c>
      <c r="N6" s="128">
        <f>MAX(0,M6-M5)</f>
        <v/>
      </c>
      <c r="O6" s="127">
        <f>IF(B6&lt;='VALOR POR PL'!$P$5,'CP RESUMO'!E50,"")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HISTORICOS'!F8)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PL'!L14</f>
        <v/>
      </c>
      <c r="M7" s="127">
        <f>'CP RESUMO'!F8</f>
        <v/>
      </c>
      <c r="N7" s="128">
        <f>MAX(0,M7-M6)</f>
        <v/>
      </c>
      <c r="O7" s="127">
        <f>IF(B7&lt;='VALOR POR PL'!$P$5,'CP RESUMO'!F50,"")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HISTORICOS'!G8)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RESUMO'!G8</f>
        <v/>
      </c>
      <c r="N8" s="128">
        <f>MAX(0,M8-M7)</f>
        <v/>
      </c>
      <c r="O8" s="127">
        <f>IF(B8&lt;='VALOR POR PL'!$P$5,'CP RESUMO'!G50,"")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HISTORICOS'!H8)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RESUMO'!H8</f>
        <v/>
      </c>
      <c r="N9" s="128">
        <f>MAX(0,M9-M8)</f>
        <v/>
      </c>
      <c r="O9" s="127">
        <f>IF(B9&lt;='VALOR POR PL'!$P$5,'CP RESUMO'!H50,"")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HISTORICOS'!I8)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RESUMO'!I8</f>
        <v/>
      </c>
      <c r="N10" s="128">
        <f>MAX(0,M10-M9)</f>
        <v/>
      </c>
      <c r="O10" s="127">
        <f>IF(B10&lt;='VALOR POR PL'!$P$5,'CP RESUMO'!I50,"")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HISTORICOS'!J8)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RESUMO'!J8</f>
        <v/>
      </c>
      <c r="N11" s="128">
        <f>MAX(0,M11-M10)</f>
        <v/>
      </c>
      <c r="O11" s="127">
        <f>IF(B11&lt;='VALOR POR PL'!$P$5,'CP RESUMO'!J50,"")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HISTORICOS'!K8)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RESUMO'!K8</f>
        <v/>
      </c>
      <c r="N12" s="128">
        <f>MAX(0,M12-M11)</f>
        <v/>
      </c>
      <c r="O12" s="127">
        <f>IF(B12&lt;='VALOR POR PL'!$P$5,'CP RESUMO'!K50,"")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HISTORICOS'!L8)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PL'!I14</f>
        <v/>
      </c>
      <c r="M13" s="127">
        <f>'CP RESUMO'!L8</f>
        <v/>
      </c>
      <c r="N13" s="128">
        <f>MAX(0,M13-M12)</f>
        <v/>
      </c>
      <c r="O13" s="127">
        <f>IF(B13&lt;='VALOR POR PL'!$P$5,'CP RESUMO'!L50,"")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HISTORICOS'!M8)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RESUMO'!$D$50:$BW$50,MATCH('VALOR POR PL'!$P$5,'CP RESUMO'!$D$4:$BW$4,0))/100,0)</f>
        <v/>
      </c>
      <c r="M14" s="127">
        <f>'CP RESUMO'!M8</f>
        <v/>
      </c>
      <c r="N14" s="128">
        <f>MAX(0,M14-M13)</f>
        <v/>
      </c>
      <c r="O14" s="127">
        <f>IF(B14&lt;='VALOR POR PL'!$P$5,'CP RESUMO'!M50,"")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HISTORICOS'!N8)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RESUMO'!N8</f>
        <v/>
      </c>
      <c r="N15" s="128">
        <f>MAX(0,M15-M14)</f>
        <v/>
      </c>
      <c r="O15" s="127">
        <f>IF(B15&lt;='VALOR POR PL'!$P$5,'CP RESUMO'!N50,"")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HISTORICOS'!O8)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RESUMO'!O8</f>
        <v/>
      </c>
      <c r="N16" s="128">
        <f>MAX(0,M16-M15)</f>
        <v/>
      </c>
      <c r="O16" s="127">
        <f>IF(B16&lt;='VALOR POR PL'!$P$5,'CP RESUMO'!O50,"")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HISTORICOS'!P8)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RESUMO'!P8</f>
        <v/>
      </c>
      <c r="N17" s="128">
        <f>MAX(0,M17-M16)</f>
        <v/>
      </c>
      <c r="O17" s="127">
        <f>IF(B17&lt;='VALOR POR PL'!$P$5,'CP RESUMO'!P50,"")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HISTORICOS'!Q8)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RESUMO'!Q8</f>
        <v/>
      </c>
      <c r="N18" s="128">
        <f>MAX(0,M18-M17)</f>
        <v/>
      </c>
      <c r="O18" s="127">
        <f>IF(B18&lt;='VALOR POR PL'!$P$5,'CP RESUMO'!Q50,"")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HISTORICOS'!R8)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RESUMO'!R8</f>
        <v/>
      </c>
      <c r="N19" s="128">
        <f>MAX(0,M19-M18)</f>
        <v/>
      </c>
      <c r="O19" s="127">
        <f>IF(B19&lt;='VALOR POR PL'!$P$5,'CP RESUMO'!R50,"")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HISTORICOS'!S8)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RESUMO'!S8</f>
        <v/>
      </c>
      <c r="N20" s="128">
        <f>MAX(0,M20-M19)</f>
        <v/>
      </c>
      <c r="O20" s="127">
        <f>IF(B20&lt;='VALOR POR PL'!$P$5,'CP RESUMO'!S50,"")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HISTORICOS'!T8)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RESUMO'!T8</f>
        <v/>
      </c>
      <c r="N21" s="128">
        <f>MAX(0,M21-M20)</f>
        <v/>
      </c>
      <c r="O21" s="127">
        <f>IF(B21&lt;='VALOR POR PL'!$P$5,'CP RESUMO'!T50,"")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HISTORICOS'!U8)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RESUMO'!U8</f>
        <v/>
      </c>
      <c r="N22" s="128">
        <f>MAX(0,M22-M21)</f>
        <v/>
      </c>
      <c r="O22" s="127">
        <f>IF(B22&lt;='VALOR POR PL'!$P$5,'CP RESUMO'!U50,"")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HISTORICOS'!V8)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RESUMO'!V8</f>
        <v/>
      </c>
      <c r="N23" s="128">
        <f>MAX(0,M23-M22)</f>
        <v/>
      </c>
      <c r="O23" s="127">
        <f>IF(B23&lt;='VALOR POR PL'!$P$5,'CP RESUMO'!V50,"")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HISTORICOS'!W8)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RESUMO'!W8</f>
        <v/>
      </c>
      <c r="N24" s="128">
        <f>MAX(0,M24-M23)</f>
        <v/>
      </c>
      <c r="O24" s="127">
        <f>IF(B24&lt;='VALOR POR PL'!$P$5,'CP RESUMO'!W50,"")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HISTORICOS'!X8)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RESUMO'!X8</f>
        <v/>
      </c>
      <c r="N25" s="128">
        <f>MAX(0,M25-M24)</f>
        <v/>
      </c>
      <c r="O25" s="127">
        <f>IF(B25&lt;='VALOR POR PL'!$P$5,'CP RESUMO'!X50,"")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HISTORICOS'!Y8)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RESUMO'!Y8</f>
        <v/>
      </c>
      <c r="N26" s="128">
        <f>MAX(0,M26-M25)</f>
        <v/>
      </c>
      <c r="O26" s="127">
        <f>IF(B26&lt;='VALOR POR PL'!$P$5,'CP RESUMO'!Y50,"")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HISTORICOS'!Z8)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RESUMO'!Z8</f>
        <v/>
      </c>
      <c r="N27" s="128">
        <f>MAX(0,M27-M26)</f>
        <v/>
      </c>
      <c r="O27" s="127">
        <f>IF(B27&lt;='VALOR POR PL'!$P$5,'CP RESUMO'!Z50,"")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HISTORICOS'!AA8)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RESUMO'!AA8</f>
        <v/>
      </c>
      <c r="N28" s="128">
        <f>MAX(0,M28-M27)</f>
        <v/>
      </c>
      <c r="O28" s="127">
        <f>IF(B28&lt;='VALOR POR PL'!$P$5,'CP RESUMO'!AA50,"")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HISTORICOS'!AB8)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RESUMO'!AB8</f>
        <v/>
      </c>
      <c r="N29" s="128">
        <f>MAX(0,M29-M28)</f>
        <v/>
      </c>
      <c r="O29" s="127">
        <f>IF(B29&lt;='VALOR POR PL'!$P$5,'CP RESUMO'!AB50,"")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HISTORICOS'!AC8)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RESUMO'!AC8</f>
        <v/>
      </c>
      <c r="N30" s="128">
        <f>MAX(0,M30-M29)</f>
        <v/>
      </c>
      <c r="O30" s="127">
        <f>IF(B30&lt;='VALOR POR PL'!$P$5,'CP RESUMO'!AC50,"")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HISTORICOS'!AD8)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RESUMO'!AD8</f>
        <v/>
      </c>
      <c r="N31" s="128">
        <f>MAX(0,M31-M30)</f>
        <v/>
      </c>
      <c r="O31" s="127">
        <f>IF(B31&lt;='VALOR POR PL'!$P$5,'CP RESUMO'!AD50,"")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HISTORICOS'!AE8)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RESUMO'!AE8</f>
        <v/>
      </c>
      <c r="N32" s="128">
        <f>MAX(0,M32-M31)</f>
        <v/>
      </c>
      <c r="O32" s="127">
        <f>IF(B32&lt;='VALOR POR PL'!$P$5,'CP RESUMO'!AE50,"")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HISTORICOS'!AF8)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RESUMO'!AF8</f>
        <v/>
      </c>
      <c r="N33" s="128">
        <f>MAX(0,M33-M32)</f>
        <v/>
      </c>
      <c r="O33" s="127">
        <f>IF(B33&lt;='VALOR POR PL'!$P$5,'CP RESUMO'!AF50,"")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HISTORICOS'!AG8)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RESUMO'!AG8</f>
        <v/>
      </c>
      <c r="N34" s="128">
        <f>MAX(0,M34-M33)</f>
        <v/>
      </c>
      <c r="O34" s="127">
        <f>IF(B34&lt;='VALOR POR PL'!$P$5,'CP RESUMO'!AG50,"")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HISTORICOS'!AH8)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RESUMO'!AH8</f>
        <v/>
      </c>
      <c r="N35" s="128">
        <f>MAX(0,M35-M34)</f>
        <v/>
      </c>
      <c r="O35" s="127">
        <f>IF(B35&lt;='VALOR POR PL'!$P$5,'CP RESUMO'!AH50,"")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HISTORICOS'!AI8)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RESUMO'!AI8</f>
        <v/>
      </c>
      <c r="N36" s="128">
        <f>MAX(0,M36-M35)</f>
        <v/>
      </c>
      <c r="O36" s="127">
        <f>IF(B36&lt;='VALOR POR PL'!$P$5,'CP RESUMO'!AI50,"")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HISTORICOS'!AJ8)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RESUMO'!AJ8</f>
        <v/>
      </c>
      <c r="N37" s="128">
        <f>MAX(0,M37-M36)</f>
        <v/>
      </c>
      <c r="O37" s="127">
        <f>IF(B37&lt;='VALOR POR PL'!$P$5,'CP RESUMO'!AJ50,"")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HISTORICOS'!AK8)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RESUMO'!AK8</f>
        <v/>
      </c>
      <c r="N38" s="128">
        <f>MAX(0,M38-M37)</f>
        <v/>
      </c>
      <c r="O38" s="127">
        <f>IF(B38&lt;='VALOR POR PL'!$P$5,'CP RESUMO'!AK50,"")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HISTORICOS'!AL8)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RESUMO'!AL8</f>
        <v/>
      </c>
      <c r="N39" s="128">
        <f>MAX(0,M39-M38)</f>
        <v/>
      </c>
      <c r="O39" s="127">
        <f>IF(B39&lt;='VALOR POR PL'!$P$5,'CP RESUMO'!AL50,"")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HISTORICOS'!AM8)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RESUMO'!AM8</f>
        <v/>
      </c>
      <c r="N40" s="128">
        <f>MAX(0,M40-M39)</f>
        <v/>
      </c>
      <c r="O40" s="127">
        <f>IF(B40&lt;='VALOR POR PL'!$P$5,'CP RESUMO'!AM50,"")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HISTORICOS'!AN8)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RESUMO'!AN8</f>
        <v/>
      </c>
      <c r="N41" s="128">
        <f>MAX(0,M41-M40)</f>
        <v/>
      </c>
      <c r="O41" s="127">
        <f>IF(B41&lt;='VALOR POR PL'!$P$5,'CP RESUMO'!AN50,"")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HISTORICOS'!AO8)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RESUMO'!AO8</f>
        <v/>
      </c>
      <c r="N42" s="128">
        <f>MAX(0,M42-M41)</f>
        <v/>
      </c>
      <c r="O42" s="127">
        <f>IF(B42&lt;='VALOR POR PL'!$P$5,'CP RESUMO'!AO50,"")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HISTORICOS'!AP8)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RESUMO'!AP8</f>
        <v/>
      </c>
      <c r="N43" s="128">
        <f>MAX(0,M43-M42)</f>
        <v/>
      </c>
      <c r="O43" s="127">
        <f>IF(B43&lt;='VALOR POR PL'!$P$5,'CP RESUMO'!AP50,"")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HISTORICOS'!AQ8)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RESUMO'!AQ8</f>
        <v/>
      </c>
      <c r="N44" s="128">
        <f>MAX(0,M44-M43)</f>
        <v/>
      </c>
      <c r="O44" s="127">
        <f>IF(B44&lt;='VALOR POR PL'!$P$5,'CP RESUMO'!AQ50,"")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HISTORICOS'!AR8)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RESUMO'!AR8</f>
        <v/>
      </c>
      <c r="N45" s="128">
        <f>MAX(0,M45-M44)</f>
        <v/>
      </c>
      <c r="O45" s="127">
        <f>IF(B45&lt;='VALOR POR PL'!$P$5,'CP RESUMO'!AR50,"")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HISTORICOS'!AS8)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RESUMO'!AS8</f>
        <v/>
      </c>
      <c r="N46" s="128">
        <f>MAX(0,M46-M45)</f>
        <v/>
      </c>
      <c r="O46" s="127">
        <f>IF(B46&lt;='VALOR POR PL'!$P$5,'CP RESUMO'!AS50,"")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HISTORICOS'!AT8)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RESUMO'!AT8</f>
        <v/>
      </c>
      <c r="N47" s="128">
        <f>MAX(0,M47-M46)</f>
        <v/>
      </c>
      <c r="O47" s="127">
        <f>IF(B47&lt;='VALOR POR PL'!$P$5,'CP RESUMO'!AT50,"")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HISTORICOS'!AU8)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RESUMO'!AU8</f>
        <v/>
      </c>
      <c r="N48" s="128">
        <f>MAX(0,M48-M47)</f>
        <v/>
      </c>
      <c r="O48" s="127">
        <f>IF(B48&lt;='VALOR POR PL'!$P$5,'CP RESUMO'!AU50,"")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HISTORICOS'!AV8)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RESUMO'!AV8</f>
        <v/>
      </c>
      <c r="N49" s="128">
        <f>MAX(0,M49-M48)</f>
        <v/>
      </c>
      <c r="O49" s="127">
        <f>IF(B49&lt;='VALOR POR PL'!$P$5,'CP RESUMO'!AV50,"")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HISTORICOS'!AW8)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RESUMO'!AW8</f>
        <v/>
      </c>
      <c r="N50" s="128">
        <f>MAX(0,M50-M49)</f>
        <v/>
      </c>
      <c r="O50" s="127">
        <f>IF(B50&lt;='VALOR POR PL'!$P$5,'CP RESUMO'!AW50,"")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HISTORICOS'!AX8)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RESUMO'!AX8</f>
        <v/>
      </c>
      <c r="N51" s="128">
        <f>MAX(0,M51-M50)</f>
        <v/>
      </c>
      <c r="O51" s="127">
        <f>IF(B51&lt;='VALOR POR PL'!$P$5,'CP RESUMO'!AX50,"")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HISTORICOS'!AY8)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RESUMO'!AY8</f>
        <v/>
      </c>
      <c r="N52" s="128">
        <f>MAX(0,M52-M51)</f>
        <v/>
      </c>
      <c r="O52" s="127">
        <f>IF(B52&lt;='VALOR POR PL'!$P$5,'CP RESUMO'!AY50,"")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HISTORICOS'!AZ8)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RESUMO'!AZ8</f>
        <v/>
      </c>
      <c r="N53" s="128">
        <f>MAX(0,M53-M52)</f>
        <v/>
      </c>
      <c r="O53" s="127">
        <f>IF(B53&lt;='VALOR POR PL'!$P$5,'CP RESUMO'!AZ50,"")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HISTORICOS'!BA8)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RESUMO'!BA8</f>
        <v/>
      </c>
      <c r="N54" s="128">
        <f>MAX(0,M54-M53)</f>
        <v/>
      </c>
      <c r="O54" s="127">
        <f>IF(B54&lt;='VALOR POR PL'!$P$5,'CP RESUMO'!BA50,"")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HISTORICOS'!BB8)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RESUMO'!BB8</f>
        <v/>
      </c>
      <c r="N55" s="128">
        <f>MAX(0,M55-M54)</f>
        <v/>
      </c>
      <c r="O55" s="127">
        <f>IF(B55&lt;='VALOR POR PL'!$P$5,'CP RESUMO'!BB50,"")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HISTORICOS'!BC8)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RESUMO'!BC8</f>
        <v/>
      </c>
      <c r="N56" s="128">
        <f>MAX(0,M56-M55)</f>
        <v/>
      </c>
      <c r="O56" s="127">
        <f>IF(B56&lt;='VALOR POR PL'!$P$5,'CP RESUMO'!BC50,"")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HISTORICOS'!BD8)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RESUMO'!BD8</f>
        <v/>
      </c>
      <c r="N57" s="128">
        <f>MAX(0,M57-M56)</f>
        <v/>
      </c>
      <c r="O57" s="127">
        <f>IF(B57&lt;='VALOR POR PL'!$P$5,'CP RESUMO'!BD50,"")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HISTORICOS'!BE8)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RESUMO'!BE8</f>
        <v/>
      </c>
      <c r="N58" s="128">
        <f>MAX(0,M58-M57)</f>
        <v/>
      </c>
      <c r="O58" s="127">
        <f>IF(B58&lt;='VALOR POR PL'!$P$5,'CP RESUMO'!BE50,"")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HISTORICOS'!BF8)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RESUMO'!BF8</f>
        <v/>
      </c>
      <c r="N59" s="128">
        <f>MAX(0,M59-M58)</f>
        <v/>
      </c>
      <c r="O59" s="127">
        <f>IF(B59&lt;='VALOR POR PL'!$P$5,'CP RESUMO'!BF50,"")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HISTORICOS'!BG8)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RESUMO'!BG8</f>
        <v/>
      </c>
      <c r="N60" s="128">
        <f>MAX(0,M60-M59)</f>
        <v/>
      </c>
      <c r="O60" s="127">
        <f>IF(B60&lt;='VALOR POR PL'!$P$5,'CP RESUMO'!BG50,"")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HISTORICOS'!BH8)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RESUMO'!BH8</f>
        <v/>
      </c>
      <c r="N61" s="128">
        <f>MAX(0,M61-M60)</f>
        <v/>
      </c>
      <c r="O61" s="127">
        <f>IF(B61&lt;='VALOR POR PL'!$P$5,'CP RESUMO'!BH50,"")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HISTORICOS'!BI8)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RESUMO'!BI8</f>
        <v/>
      </c>
      <c r="N62" s="128">
        <f>MAX(0,M62-M61)</f>
        <v/>
      </c>
      <c r="O62" s="127">
        <f>IF(B62&lt;='VALOR POR PL'!$P$5,'CP RESUMO'!BI50,"")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HISTORICOS'!BJ8)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RESUMO'!BJ8</f>
        <v/>
      </c>
      <c r="N63" s="128">
        <f>MAX(0,M63-M62)</f>
        <v/>
      </c>
      <c r="O63" s="127">
        <f>IF(B63&lt;='VALOR POR PL'!$P$5,'CP RESUMO'!BJ50,"")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HISTORICOS'!BK8)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RESUMO'!BK8</f>
        <v/>
      </c>
      <c r="N64" s="128">
        <f>MAX(0,M64-M63)</f>
        <v/>
      </c>
      <c r="O64" s="127">
        <f>IF(B64&lt;='VALOR POR PL'!$P$5,'CP RESUMO'!BK50,"")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HISTORICOS'!BL8)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RESUMO'!BL8</f>
        <v/>
      </c>
      <c r="N65" s="128">
        <f>MAX(0,M65-M64)</f>
        <v/>
      </c>
      <c r="O65" s="127">
        <f>IF(B65&lt;='VALOR POR PL'!$P$5,'CP RESUMO'!BL50,"")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HISTORICOS'!BM8)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RESUMO'!BM8</f>
        <v/>
      </c>
      <c r="N66" s="128">
        <f>MAX(0,M66-M65)</f>
        <v/>
      </c>
      <c r="O66" s="127">
        <f>IF(B66&lt;='VALOR POR PL'!$P$5,'CP RESUMO'!BM50,"")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HISTORICOS'!BN8)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RESUMO'!BN8</f>
        <v/>
      </c>
      <c r="N67" s="128">
        <f>MAX(0,M67-M66)</f>
        <v/>
      </c>
      <c r="O67" s="127">
        <f>IF(B67&lt;='VALOR POR PL'!$P$5,'CP RESUMO'!BN50,"")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HISTORICOS'!BO8)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RESUMO'!BO8</f>
        <v/>
      </c>
      <c r="N68" s="128">
        <f>MAX(0,M68-M67)</f>
        <v/>
      </c>
      <c r="O68" s="127">
        <f>IF(B68&lt;='VALOR POR PL'!$P$5,'CP RESUMO'!BO50,"")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HISTORICOS'!BP8)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RESUMO'!BP8</f>
        <v/>
      </c>
      <c r="N69" s="128">
        <f>MAX(0,M69-M68)</f>
        <v/>
      </c>
      <c r="O69" s="127">
        <f>IF(B69&lt;='VALOR POR PL'!$P$5,'CP RESUMO'!BP50,"")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HISTORICOS'!BQ8)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RESUMO'!BQ8</f>
        <v/>
      </c>
      <c r="N70" s="128">
        <f>MAX(0,M70-M69)</f>
        <v/>
      </c>
      <c r="O70" s="127">
        <f>IF(B70&lt;='VALOR POR PL'!$P$5,'CP RESUMO'!BQ50,"")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HISTORICOS'!BR8)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RESUMO'!BR8</f>
        <v/>
      </c>
      <c r="N71" s="128">
        <f>MAX(0,M71-M70)</f>
        <v/>
      </c>
      <c r="O71" s="127">
        <f>IF(B71&lt;='VALOR POR PL'!$P$5,'CP RESUMO'!BR50,"")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HISTORICOS'!BS8)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RESUMO'!BS8</f>
        <v/>
      </c>
      <c r="N72" s="128">
        <f>MAX(0,M72-M71)</f>
        <v/>
      </c>
      <c r="O72" s="127">
        <f>IF(B72&lt;='VALOR POR PL'!$P$5,'CP RESUMO'!BS50,"")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HISTORICOS'!BT8)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RESUMO'!BT8</f>
        <v/>
      </c>
      <c r="N73" s="128">
        <f>MAX(0,M73-M72)</f>
        <v/>
      </c>
      <c r="O73" s="127">
        <f>IF(B73&lt;='VALOR POR PL'!$P$5,'CP RESUMO'!BT50,"")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HISTORICOS'!BU8)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RESUMO'!BU8</f>
        <v/>
      </c>
      <c r="N74" s="128">
        <f>MAX(0,M74-M73)</f>
        <v/>
      </c>
      <c r="O74" s="127">
        <f>IF(B74&lt;='VALOR POR PL'!$P$5,'CP RESUMO'!BU50,"")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HISTORICOS'!BV8)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RESUMO'!BV8</f>
        <v/>
      </c>
      <c r="N75" s="128">
        <f>MAX(0,M75-M74)</f>
        <v/>
      </c>
      <c r="O75" s="127">
        <f>IF(B75&lt;='VALOR POR PL'!$P$5,'CP RESUMO'!BV50,"")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HISTORICOS'!BW8)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RESUMO'!BW8</f>
        <v/>
      </c>
      <c r="N76" s="128">
        <f>MAX(0,M76-M75)</f>
        <v/>
      </c>
      <c r="O76" s="127">
        <f>IF(B76&lt;='VALOR POR PL'!$P$5,'CP RESUMO'!BW50,"")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PL'!D15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HISTORICOS'!D9)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PL'!F15</f>
        <v/>
      </c>
      <c r="K5" s="63">
        <f>'VALOR POR PL'!G15</f>
        <v/>
      </c>
      <c r="M5" s="127">
        <f>'CP RESUMO'!D9</f>
        <v/>
      </c>
      <c r="N5" s="128" t="n">
        <v>0</v>
      </c>
      <c r="O5" s="127">
        <f>IF(B5&lt;='VALOR POR PL'!$P$5,'CP RESUMO'!D51,"")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HISTORICOS'!E9)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RESUMO'!E9</f>
        <v/>
      </c>
      <c r="N6" s="128">
        <f>MAX(0,M6-M5)</f>
        <v/>
      </c>
      <c r="O6" s="127">
        <f>IF(B6&lt;='VALOR POR PL'!$P$5,'CP RESUMO'!E51,"")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HISTORICOS'!F9)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PL'!L15</f>
        <v/>
      </c>
      <c r="M7" s="127">
        <f>'CP RESUMO'!F9</f>
        <v/>
      </c>
      <c r="N7" s="128">
        <f>MAX(0,M7-M6)</f>
        <v/>
      </c>
      <c r="O7" s="127">
        <f>IF(B7&lt;='VALOR POR PL'!$P$5,'CP RESUMO'!F51,"")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HISTORICOS'!G9)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RESUMO'!G9</f>
        <v/>
      </c>
      <c r="N8" s="128">
        <f>MAX(0,M8-M7)</f>
        <v/>
      </c>
      <c r="O8" s="127">
        <f>IF(B8&lt;='VALOR POR PL'!$P$5,'CP RESUMO'!G51,"")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HISTORICOS'!H9)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RESUMO'!H9</f>
        <v/>
      </c>
      <c r="N9" s="128">
        <f>MAX(0,M9-M8)</f>
        <v/>
      </c>
      <c r="O9" s="127">
        <f>IF(B9&lt;='VALOR POR PL'!$P$5,'CP RESUMO'!H51,"")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HISTORICOS'!I9)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RESUMO'!I9</f>
        <v/>
      </c>
      <c r="N10" s="128">
        <f>MAX(0,M10-M9)</f>
        <v/>
      </c>
      <c r="O10" s="127">
        <f>IF(B10&lt;='VALOR POR PL'!$P$5,'CP RESUMO'!I51,"")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HISTORICOS'!J9)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RESUMO'!J9</f>
        <v/>
      </c>
      <c r="N11" s="128">
        <f>MAX(0,M11-M10)</f>
        <v/>
      </c>
      <c r="O11" s="127">
        <f>IF(B11&lt;='VALOR POR PL'!$P$5,'CP RESUMO'!J51,"")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HISTORICOS'!K9)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RESUMO'!K9</f>
        <v/>
      </c>
      <c r="N12" s="128">
        <f>MAX(0,M12-M11)</f>
        <v/>
      </c>
      <c r="O12" s="127">
        <f>IF(B12&lt;='VALOR POR PL'!$P$5,'CP RESUMO'!K51,"")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HISTORICOS'!L9)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PL'!I15</f>
        <v/>
      </c>
      <c r="M13" s="127">
        <f>'CP RESUMO'!L9</f>
        <v/>
      </c>
      <c r="N13" s="128">
        <f>MAX(0,M13-M12)</f>
        <v/>
      </c>
      <c r="O13" s="127">
        <f>IF(B13&lt;='VALOR POR PL'!$P$5,'CP RESUMO'!L51,"")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HISTORICOS'!M9)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RESUMO'!$D$51:$BW$51,MATCH('VALOR POR PL'!$P$5,'CP RESUMO'!$D$4:$BW$4,0))/100,0)</f>
        <v/>
      </c>
      <c r="M14" s="127">
        <f>'CP RESUMO'!M9</f>
        <v/>
      </c>
      <c r="N14" s="128">
        <f>MAX(0,M14-M13)</f>
        <v/>
      </c>
      <c r="O14" s="127">
        <f>IF(B14&lt;='VALOR POR PL'!$P$5,'CP RESUMO'!M51,"")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HISTORICOS'!N9)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RESUMO'!N9</f>
        <v/>
      </c>
      <c r="N15" s="128">
        <f>MAX(0,M15-M14)</f>
        <v/>
      </c>
      <c r="O15" s="127">
        <f>IF(B15&lt;='VALOR POR PL'!$P$5,'CP RESUMO'!N51,"")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HISTORICOS'!O9)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RESUMO'!O9</f>
        <v/>
      </c>
      <c r="N16" s="128">
        <f>MAX(0,M16-M15)</f>
        <v/>
      </c>
      <c r="O16" s="127">
        <f>IF(B16&lt;='VALOR POR PL'!$P$5,'CP RESUMO'!O51,"")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HISTORICOS'!P9)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RESUMO'!P9</f>
        <v/>
      </c>
      <c r="N17" s="128">
        <f>MAX(0,M17-M16)</f>
        <v/>
      </c>
      <c r="O17" s="127">
        <f>IF(B17&lt;='VALOR POR PL'!$P$5,'CP RESUMO'!P51,"")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HISTORICOS'!Q9)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RESUMO'!Q9</f>
        <v/>
      </c>
      <c r="N18" s="128">
        <f>MAX(0,M18-M17)</f>
        <v/>
      </c>
      <c r="O18" s="127">
        <f>IF(B18&lt;='VALOR POR PL'!$P$5,'CP RESUMO'!Q51,"")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HISTORICOS'!R9)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RESUMO'!R9</f>
        <v/>
      </c>
      <c r="N19" s="128">
        <f>MAX(0,M19-M18)</f>
        <v/>
      </c>
      <c r="O19" s="127">
        <f>IF(B19&lt;='VALOR POR PL'!$P$5,'CP RESUMO'!R51,"")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HISTORICOS'!S9)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RESUMO'!S9</f>
        <v/>
      </c>
      <c r="N20" s="128">
        <f>MAX(0,M20-M19)</f>
        <v/>
      </c>
      <c r="O20" s="127">
        <f>IF(B20&lt;='VALOR POR PL'!$P$5,'CP RESUMO'!S51,"")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HISTORICOS'!T9)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RESUMO'!T9</f>
        <v/>
      </c>
      <c r="N21" s="128">
        <f>MAX(0,M21-M20)</f>
        <v/>
      </c>
      <c r="O21" s="127">
        <f>IF(B21&lt;='VALOR POR PL'!$P$5,'CP RESUMO'!T51,"")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HISTORICOS'!U9)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RESUMO'!U9</f>
        <v/>
      </c>
      <c r="N22" s="128">
        <f>MAX(0,M22-M21)</f>
        <v/>
      </c>
      <c r="O22" s="127">
        <f>IF(B22&lt;='VALOR POR PL'!$P$5,'CP RESUMO'!U51,"")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HISTORICOS'!V9)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RESUMO'!V9</f>
        <v/>
      </c>
      <c r="N23" s="128">
        <f>MAX(0,M23-M22)</f>
        <v/>
      </c>
      <c r="O23" s="127">
        <f>IF(B23&lt;='VALOR POR PL'!$P$5,'CP RESUMO'!V51,"")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HISTORICOS'!W9)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RESUMO'!W9</f>
        <v/>
      </c>
      <c r="N24" s="128">
        <f>MAX(0,M24-M23)</f>
        <v/>
      </c>
      <c r="O24" s="127">
        <f>IF(B24&lt;='VALOR POR PL'!$P$5,'CP RESUMO'!W51,"")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HISTORICOS'!X9)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RESUMO'!X9</f>
        <v/>
      </c>
      <c r="N25" s="128">
        <f>MAX(0,M25-M24)</f>
        <v/>
      </c>
      <c r="O25" s="127">
        <f>IF(B25&lt;='VALOR POR PL'!$P$5,'CP RESUMO'!X51,"")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HISTORICOS'!Y9)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RESUMO'!Y9</f>
        <v/>
      </c>
      <c r="N26" s="128">
        <f>MAX(0,M26-M25)</f>
        <v/>
      </c>
      <c r="O26" s="127">
        <f>IF(B26&lt;='VALOR POR PL'!$P$5,'CP RESUMO'!Y51,"")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HISTORICOS'!Z9)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RESUMO'!Z9</f>
        <v/>
      </c>
      <c r="N27" s="128">
        <f>MAX(0,M27-M26)</f>
        <v/>
      </c>
      <c r="O27" s="127">
        <f>IF(B27&lt;='VALOR POR PL'!$P$5,'CP RESUMO'!Z51,"")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HISTORICOS'!AA9)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RESUMO'!AA9</f>
        <v/>
      </c>
      <c r="N28" s="128">
        <f>MAX(0,M28-M27)</f>
        <v/>
      </c>
      <c r="O28" s="127">
        <f>IF(B28&lt;='VALOR POR PL'!$P$5,'CP RESUMO'!AA51,"")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HISTORICOS'!AB9)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RESUMO'!AB9</f>
        <v/>
      </c>
      <c r="N29" s="128">
        <f>MAX(0,M29-M28)</f>
        <v/>
      </c>
      <c r="O29" s="127">
        <f>IF(B29&lt;='VALOR POR PL'!$P$5,'CP RESUMO'!AB51,"")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HISTORICOS'!AC9)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RESUMO'!AC9</f>
        <v/>
      </c>
      <c r="N30" s="128">
        <f>MAX(0,M30-M29)</f>
        <v/>
      </c>
      <c r="O30" s="127">
        <f>IF(B30&lt;='VALOR POR PL'!$P$5,'CP RESUMO'!AC51,"")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HISTORICOS'!AD9)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RESUMO'!AD9</f>
        <v/>
      </c>
      <c r="N31" s="128">
        <f>MAX(0,M31-M30)</f>
        <v/>
      </c>
      <c r="O31" s="127">
        <f>IF(B31&lt;='VALOR POR PL'!$P$5,'CP RESUMO'!AD51,"")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HISTORICOS'!AE9)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RESUMO'!AE9</f>
        <v/>
      </c>
      <c r="N32" s="128">
        <f>MAX(0,M32-M31)</f>
        <v/>
      </c>
      <c r="O32" s="127">
        <f>IF(B32&lt;='VALOR POR PL'!$P$5,'CP RESUMO'!AE51,"")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HISTORICOS'!AF9)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RESUMO'!AF9</f>
        <v/>
      </c>
      <c r="N33" s="128">
        <f>MAX(0,M33-M32)</f>
        <v/>
      </c>
      <c r="O33" s="127">
        <f>IF(B33&lt;='VALOR POR PL'!$P$5,'CP RESUMO'!AF51,"")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HISTORICOS'!AG9)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RESUMO'!AG9</f>
        <v/>
      </c>
      <c r="N34" s="128">
        <f>MAX(0,M34-M33)</f>
        <v/>
      </c>
      <c r="O34" s="127">
        <f>IF(B34&lt;='VALOR POR PL'!$P$5,'CP RESUMO'!AG51,"")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HISTORICOS'!AH9)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RESUMO'!AH9</f>
        <v/>
      </c>
      <c r="N35" s="128">
        <f>MAX(0,M35-M34)</f>
        <v/>
      </c>
      <c r="O35" s="127">
        <f>IF(B35&lt;='VALOR POR PL'!$P$5,'CP RESUMO'!AH51,"")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HISTORICOS'!AI9)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RESUMO'!AI9</f>
        <v/>
      </c>
      <c r="N36" s="128">
        <f>MAX(0,M36-M35)</f>
        <v/>
      </c>
      <c r="O36" s="127">
        <f>IF(B36&lt;='VALOR POR PL'!$P$5,'CP RESUMO'!AI51,"")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HISTORICOS'!AJ9)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RESUMO'!AJ9</f>
        <v/>
      </c>
      <c r="N37" s="128">
        <f>MAX(0,M37-M36)</f>
        <v/>
      </c>
      <c r="O37" s="127">
        <f>IF(B37&lt;='VALOR POR PL'!$P$5,'CP RESUMO'!AJ51,"")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HISTORICOS'!AK9)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RESUMO'!AK9</f>
        <v/>
      </c>
      <c r="N38" s="128">
        <f>MAX(0,M38-M37)</f>
        <v/>
      </c>
      <c r="O38" s="127">
        <f>IF(B38&lt;='VALOR POR PL'!$P$5,'CP RESUMO'!AK51,"")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HISTORICOS'!AL9)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RESUMO'!AL9</f>
        <v/>
      </c>
      <c r="N39" s="128">
        <f>MAX(0,M39-M38)</f>
        <v/>
      </c>
      <c r="O39" s="127">
        <f>IF(B39&lt;='VALOR POR PL'!$P$5,'CP RESUMO'!AL51,"")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HISTORICOS'!AM9)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RESUMO'!AM9</f>
        <v/>
      </c>
      <c r="N40" s="128">
        <f>MAX(0,M40-M39)</f>
        <v/>
      </c>
      <c r="O40" s="127">
        <f>IF(B40&lt;='VALOR POR PL'!$P$5,'CP RESUMO'!AM51,"")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HISTORICOS'!AN9)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RESUMO'!AN9</f>
        <v/>
      </c>
      <c r="N41" s="128">
        <f>MAX(0,M41-M40)</f>
        <v/>
      </c>
      <c r="O41" s="127">
        <f>IF(B41&lt;='VALOR POR PL'!$P$5,'CP RESUMO'!AN51,"")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HISTORICOS'!AO9)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RESUMO'!AO9</f>
        <v/>
      </c>
      <c r="N42" s="128">
        <f>MAX(0,M42-M41)</f>
        <v/>
      </c>
      <c r="O42" s="127">
        <f>IF(B42&lt;='VALOR POR PL'!$P$5,'CP RESUMO'!AO51,"")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HISTORICOS'!AP9)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RESUMO'!AP9</f>
        <v/>
      </c>
      <c r="N43" s="128">
        <f>MAX(0,M43-M42)</f>
        <v/>
      </c>
      <c r="O43" s="127">
        <f>IF(B43&lt;='VALOR POR PL'!$P$5,'CP RESUMO'!AP51,"")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HISTORICOS'!AQ9)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RESUMO'!AQ9</f>
        <v/>
      </c>
      <c r="N44" s="128">
        <f>MAX(0,M44-M43)</f>
        <v/>
      </c>
      <c r="O44" s="127">
        <f>IF(B44&lt;='VALOR POR PL'!$P$5,'CP RESUMO'!AQ51,"")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HISTORICOS'!AR9)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RESUMO'!AR9</f>
        <v/>
      </c>
      <c r="N45" s="128">
        <f>MAX(0,M45-M44)</f>
        <v/>
      </c>
      <c r="O45" s="127">
        <f>IF(B45&lt;='VALOR POR PL'!$P$5,'CP RESUMO'!AR51,"")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HISTORICOS'!AS9)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RESUMO'!AS9</f>
        <v/>
      </c>
      <c r="N46" s="128">
        <f>MAX(0,M46-M45)</f>
        <v/>
      </c>
      <c r="O46" s="127">
        <f>IF(B46&lt;='VALOR POR PL'!$P$5,'CP RESUMO'!AS51,"")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HISTORICOS'!AT9)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RESUMO'!AT9</f>
        <v/>
      </c>
      <c r="N47" s="128">
        <f>MAX(0,M47-M46)</f>
        <v/>
      </c>
      <c r="O47" s="127">
        <f>IF(B47&lt;='VALOR POR PL'!$P$5,'CP RESUMO'!AT51,"")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HISTORICOS'!AU9)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RESUMO'!AU9</f>
        <v/>
      </c>
      <c r="N48" s="128">
        <f>MAX(0,M48-M47)</f>
        <v/>
      </c>
      <c r="O48" s="127">
        <f>IF(B48&lt;='VALOR POR PL'!$P$5,'CP RESUMO'!AU51,"")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HISTORICOS'!AV9)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RESUMO'!AV9</f>
        <v/>
      </c>
      <c r="N49" s="128">
        <f>MAX(0,M49-M48)</f>
        <v/>
      </c>
      <c r="O49" s="127">
        <f>IF(B49&lt;='VALOR POR PL'!$P$5,'CP RESUMO'!AV51,"")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HISTORICOS'!AW9)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RESUMO'!AW9</f>
        <v/>
      </c>
      <c r="N50" s="128">
        <f>MAX(0,M50-M49)</f>
        <v/>
      </c>
      <c r="O50" s="127">
        <f>IF(B50&lt;='VALOR POR PL'!$P$5,'CP RESUMO'!AW51,"")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HISTORICOS'!AX9)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RESUMO'!AX9</f>
        <v/>
      </c>
      <c r="N51" s="128">
        <f>MAX(0,M51-M50)</f>
        <v/>
      </c>
      <c r="O51" s="127">
        <f>IF(B51&lt;='VALOR POR PL'!$P$5,'CP RESUMO'!AX51,"")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HISTORICOS'!AY9)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RESUMO'!AY9</f>
        <v/>
      </c>
      <c r="N52" s="128">
        <f>MAX(0,M52-M51)</f>
        <v/>
      </c>
      <c r="O52" s="127">
        <f>IF(B52&lt;='VALOR POR PL'!$P$5,'CP RESUMO'!AY51,"")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HISTORICOS'!AZ9)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RESUMO'!AZ9</f>
        <v/>
      </c>
      <c r="N53" s="128">
        <f>MAX(0,M53-M52)</f>
        <v/>
      </c>
      <c r="O53" s="127">
        <f>IF(B53&lt;='VALOR POR PL'!$P$5,'CP RESUMO'!AZ51,"")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HISTORICOS'!BA9)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RESUMO'!BA9</f>
        <v/>
      </c>
      <c r="N54" s="128">
        <f>MAX(0,M54-M53)</f>
        <v/>
      </c>
      <c r="O54" s="127">
        <f>IF(B54&lt;='VALOR POR PL'!$P$5,'CP RESUMO'!BA51,"")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HISTORICOS'!BB9)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RESUMO'!BB9</f>
        <v/>
      </c>
      <c r="N55" s="128">
        <f>MAX(0,M55-M54)</f>
        <v/>
      </c>
      <c r="O55" s="127">
        <f>IF(B55&lt;='VALOR POR PL'!$P$5,'CP RESUMO'!BB51,"")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HISTORICOS'!BC9)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RESUMO'!BC9</f>
        <v/>
      </c>
      <c r="N56" s="128">
        <f>MAX(0,M56-M55)</f>
        <v/>
      </c>
      <c r="O56" s="127">
        <f>IF(B56&lt;='VALOR POR PL'!$P$5,'CP RESUMO'!BC51,"")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HISTORICOS'!BD9)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RESUMO'!BD9</f>
        <v/>
      </c>
      <c r="N57" s="128">
        <f>MAX(0,M57-M56)</f>
        <v/>
      </c>
      <c r="O57" s="127">
        <f>IF(B57&lt;='VALOR POR PL'!$P$5,'CP RESUMO'!BD51,"")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HISTORICOS'!BE9)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RESUMO'!BE9</f>
        <v/>
      </c>
      <c r="N58" s="128">
        <f>MAX(0,M58-M57)</f>
        <v/>
      </c>
      <c r="O58" s="127">
        <f>IF(B58&lt;='VALOR POR PL'!$P$5,'CP RESUMO'!BE51,"")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HISTORICOS'!BF9)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RESUMO'!BF9</f>
        <v/>
      </c>
      <c r="N59" s="128">
        <f>MAX(0,M59-M58)</f>
        <v/>
      </c>
      <c r="O59" s="127">
        <f>IF(B59&lt;='VALOR POR PL'!$P$5,'CP RESUMO'!BF51,"")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HISTORICOS'!BG9)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RESUMO'!BG9</f>
        <v/>
      </c>
      <c r="N60" s="128">
        <f>MAX(0,M60-M59)</f>
        <v/>
      </c>
      <c r="O60" s="127">
        <f>IF(B60&lt;='VALOR POR PL'!$P$5,'CP RESUMO'!BG51,"")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HISTORICOS'!BH9)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RESUMO'!BH9</f>
        <v/>
      </c>
      <c r="N61" s="128">
        <f>MAX(0,M61-M60)</f>
        <v/>
      </c>
      <c r="O61" s="127">
        <f>IF(B61&lt;='VALOR POR PL'!$P$5,'CP RESUMO'!BH51,"")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HISTORICOS'!BI9)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RESUMO'!BI9</f>
        <v/>
      </c>
      <c r="N62" s="128">
        <f>MAX(0,M62-M61)</f>
        <v/>
      </c>
      <c r="O62" s="127">
        <f>IF(B62&lt;='VALOR POR PL'!$P$5,'CP RESUMO'!BI51,"")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HISTORICOS'!BJ9)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RESUMO'!BJ9</f>
        <v/>
      </c>
      <c r="N63" s="128">
        <f>MAX(0,M63-M62)</f>
        <v/>
      </c>
      <c r="O63" s="127">
        <f>IF(B63&lt;='VALOR POR PL'!$P$5,'CP RESUMO'!BJ51,"")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HISTORICOS'!BK9)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RESUMO'!BK9</f>
        <v/>
      </c>
      <c r="N64" s="128">
        <f>MAX(0,M64-M63)</f>
        <v/>
      </c>
      <c r="O64" s="127">
        <f>IF(B64&lt;='VALOR POR PL'!$P$5,'CP RESUMO'!BK51,"")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HISTORICOS'!BL9)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RESUMO'!BL9</f>
        <v/>
      </c>
      <c r="N65" s="128">
        <f>MAX(0,M65-M64)</f>
        <v/>
      </c>
      <c r="O65" s="127">
        <f>IF(B65&lt;='VALOR POR PL'!$P$5,'CP RESUMO'!BL51,"")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HISTORICOS'!BM9)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RESUMO'!BM9</f>
        <v/>
      </c>
      <c r="N66" s="128">
        <f>MAX(0,M66-M65)</f>
        <v/>
      </c>
      <c r="O66" s="127">
        <f>IF(B66&lt;='VALOR POR PL'!$P$5,'CP RESUMO'!BM51,"")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HISTORICOS'!BN9)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RESUMO'!BN9</f>
        <v/>
      </c>
      <c r="N67" s="128">
        <f>MAX(0,M67-M66)</f>
        <v/>
      </c>
      <c r="O67" s="127">
        <f>IF(B67&lt;='VALOR POR PL'!$P$5,'CP RESUMO'!BN51,"")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HISTORICOS'!BO9)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RESUMO'!BO9</f>
        <v/>
      </c>
      <c r="N68" s="128">
        <f>MAX(0,M68-M67)</f>
        <v/>
      </c>
      <c r="O68" s="127">
        <f>IF(B68&lt;='VALOR POR PL'!$P$5,'CP RESUMO'!BO51,"")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HISTORICOS'!BP9)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RESUMO'!BP9</f>
        <v/>
      </c>
      <c r="N69" s="128">
        <f>MAX(0,M69-M68)</f>
        <v/>
      </c>
      <c r="O69" s="127">
        <f>IF(B69&lt;='VALOR POR PL'!$P$5,'CP RESUMO'!BP51,"")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HISTORICOS'!BQ9)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RESUMO'!BQ9</f>
        <v/>
      </c>
      <c r="N70" s="128">
        <f>MAX(0,M70-M69)</f>
        <v/>
      </c>
      <c r="O70" s="127">
        <f>IF(B70&lt;='VALOR POR PL'!$P$5,'CP RESUMO'!BQ51,"")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HISTORICOS'!BR9)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RESUMO'!BR9</f>
        <v/>
      </c>
      <c r="N71" s="128">
        <f>MAX(0,M71-M70)</f>
        <v/>
      </c>
      <c r="O71" s="127">
        <f>IF(B71&lt;='VALOR POR PL'!$P$5,'CP RESUMO'!BR51,"")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HISTORICOS'!BS9)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RESUMO'!BS9</f>
        <v/>
      </c>
      <c r="N72" s="128">
        <f>MAX(0,M72-M71)</f>
        <v/>
      </c>
      <c r="O72" s="127">
        <f>IF(B72&lt;='VALOR POR PL'!$P$5,'CP RESUMO'!BS51,"")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HISTORICOS'!BT9)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RESUMO'!BT9</f>
        <v/>
      </c>
      <c r="N73" s="128">
        <f>MAX(0,M73-M72)</f>
        <v/>
      </c>
      <c r="O73" s="127">
        <f>IF(B73&lt;='VALOR POR PL'!$P$5,'CP RESUMO'!BT51,"")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HISTORICOS'!BU9)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RESUMO'!BU9</f>
        <v/>
      </c>
      <c r="N74" s="128">
        <f>MAX(0,M74-M73)</f>
        <v/>
      </c>
      <c r="O74" s="127">
        <f>IF(B74&lt;='VALOR POR PL'!$P$5,'CP RESUMO'!BU51,"")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HISTORICOS'!BV9)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RESUMO'!BV9</f>
        <v/>
      </c>
      <c r="N75" s="128">
        <f>MAX(0,M75-M74)</f>
        <v/>
      </c>
      <c r="O75" s="127">
        <f>IF(B75&lt;='VALOR POR PL'!$P$5,'CP RESUMO'!BV51,"")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HISTORICOS'!BW9)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RESUMO'!BW9</f>
        <v/>
      </c>
      <c r="N76" s="128">
        <f>MAX(0,M76-M75)</f>
        <v/>
      </c>
      <c r="O76" s="127">
        <f>IF(B76&lt;='VALOR POR PL'!$P$5,'CP RESUMO'!BW51,"")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PL'!D16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HISTORICOS'!D10)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PL'!F16</f>
        <v/>
      </c>
      <c r="K5" s="63">
        <f>'VALOR POR PL'!G16</f>
        <v/>
      </c>
      <c r="M5" s="127">
        <f>'CP RESUMO'!D10</f>
        <v/>
      </c>
      <c r="N5" s="128" t="n">
        <v>0</v>
      </c>
      <c r="O5" s="127">
        <f>IF(B5&lt;='VALOR POR PL'!$P$5,'CP RESUMO'!D52,"")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HISTORICOS'!E10)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RESUMO'!E10</f>
        <v/>
      </c>
      <c r="N6" s="128">
        <f>MAX(0,M6-M5)</f>
        <v/>
      </c>
      <c r="O6" s="127">
        <f>IF(B6&lt;='VALOR POR PL'!$P$5,'CP RESUMO'!E52,"")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HISTORICOS'!F10)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PL'!L16</f>
        <v/>
      </c>
      <c r="M7" s="127">
        <f>'CP RESUMO'!F10</f>
        <v/>
      </c>
      <c r="N7" s="128">
        <f>MAX(0,M7-M6)</f>
        <v/>
      </c>
      <c r="O7" s="127">
        <f>IF(B7&lt;='VALOR POR PL'!$P$5,'CP RESUMO'!F52,"")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HISTORICOS'!G10)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RESUMO'!G10</f>
        <v/>
      </c>
      <c r="N8" s="128">
        <f>MAX(0,M8-M7)</f>
        <v/>
      </c>
      <c r="O8" s="127">
        <f>IF(B8&lt;='VALOR POR PL'!$P$5,'CP RESUMO'!G52,"")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HISTORICOS'!H10)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RESUMO'!H10</f>
        <v/>
      </c>
      <c r="N9" s="128">
        <f>MAX(0,M9-M8)</f>
        <v/>
      </c>
      <c r="O9" s="127">
        <f>IF(B9&lt;='VALOR POR PL'!$P$5,'CP RESUMO'!H52,"")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HISTORICOS'!I10)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RESUMO'!I10</f>
        <v/>
      </c>
      <c r="N10" s="128">
        <f>MAX(0,M10-M9)</f>
        <v/>
      </c>
      <c r="O10" s="127">
        <f>IF(B10&lt;='VALOR POR PL'!$P$5,'CP RESUMO'!I52,"")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HISTORICOS'!J10)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RESUMO'!J10</f>
        <v/>
      </c>
      <c r="N11" s="128">
        <f>MAX(0,M11-M10)</f>
        <v/>
      </c>
      <c r="O11" s="127">
        <f>IF(B11&lt;='VALOR POR PL'!$P$5,'CP RESUMO'!J52,"")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HISTORICOS'!K10)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RESUMO'!K10</f>
        <v/>
      </c>
      <c r="N12" s="128">
        <f>MAX(0,M12-M11)</f>
        <v/>
      </c>
      <c r="O12" s="127">
        <f>IF(B12&lt;='VALOR POR PL'!$P$5,'CP RESUMO'!K52,"")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HISTORICOS'!L10)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PL'!I16</f>
        <v/>
      </c>
      <c r="M13" s="127">
        <f>'CP RESUMO'!L10</f>
        <v/>
      </c>
      <c r="N13" s="128">
        <f>MAX(0,M13-M12)</f>
        <v/>
      </c>
      <c r="O13" s="127">
        <f>IF(B13&lt;='VALOR POR PL'!$P$5,'CP RESUMO'!L52,"")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HISTORICOS'!M10)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RESUMO'!$D$52:$BW$52,MATCH('VALOR POR PL'!$P$5,'CP RESUMO'!$D$4:$BW$4,0))/100,0)</f>
        <v/>
      </c>
      <c r="M14" s="127">
        <f>'CP RESUMO'!M10</f>
        <v/>
      </c>
      <c r="N14" s="128">
        <f>MAX(0,M14-M13)</f>
        <v/>
      </c>
      <c r="O14" s="127">
        <f>IF(B14&lt;='VALOR POR PL'!$P$5,'CP RESUMO'!M52,"")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HISTORICOS'!N10)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RESUMO'!N10</f>
        <v/>
      </c>
      <c r="N15" s="128">
        <f>MAX(0,M15-M14)</f>
        <v/>
      </c>
      <c r="O15" s="127">
        <f>IF(B15&lt;='VALOR POR PL'!$P$5,'CP RESUMO'!N52,"")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HISTORICOS'!O10)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RESUMO'!O10</f>
        <v/>
      </c>
      <c r="N16" s="128">
        <f>MAX(0,M16-M15)</f>
        <v/>
      </c>
      <c r="O16" s="127">
        <f>IF(B16&lt;='VALOR POR PL'!$P$5,'CP RESUMO'!O52,"")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HISTORICOS'!P10)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RESUMO'!P10</f>
        <v/>
      </c>
      <c r="N17" s="128">
        <f>MAX(0,M17-M16)</f>
        <v/>
      </c>
      <c r="O17" s="127">
        <f>IF(B17&lt;='VALOR POR PL'!$P$5,'CP RESUMO'!P52,"")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HISTORICOS'!Q10)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RESUMO'!Q10</f>
        <v/>
      </c>
      <c r="N18" s="128">
        <f>MAX(0,M18-M17)</f>
        <v/>
      </c>
      <c r="O18" s="127">
        <f>IF(B18&lt;='VALOR POR PL'!$P$5,'CP RESUMO'!Q52,"")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HISTORICOS'!R10)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RESUMO'!R10</f>
        <v/>
      </c>
      <c r="N19" s="128">
        <f>MAX(0,M19-M18)</f>
        <v/>
      </c>
      <c r="O19" s="127">
        <f>IF(B19&lt;='VALOR POR PL'!$P$5,'CP RESUMO'!R52,"")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HISTORICOS'!S10)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RESUMO'!S10</f>
        <v/>
      </c>
      <c r="N20" s="128">
        <f>MAX(0,M20-M19)</f>
        <v/>
      </c>
      <c r="O20" s="127">
        <f>IF(B20&lt;='VALOR POR PL'!$P$5,'CP RESUMO'!S52,"")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HISTORICOS'!T10)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RESUMO'!T10</f>
        <v/>
      </c>
      <c r="N21" s="128">
        <f>MAX(0,M21-M20)</f>
        <v/>
      </c>
      <c r="O21" s="127">
        <f>IF(B21&lt;='VALOR POR PL'!$P$5,'CP RESUMO'!T52,"")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HISTORICOS'!U10)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RESUMO'!U10</f>
        <v/>
      </c>
      <c r="N22" s="128">
        <f>MAX(0,M22-M21)</f>
        <v/>
      </c>
      <c r="O22" s="127">
        <f>IF(B22&lt;='VALOR POR PL'!$P$5,'CP RESUMO'!U52,"")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HISTORICOS'!V10)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RESUMO'!V10</f>
        <v/>
      </c>
      <c r="N23" s="128">
        <f>MAX(0,M23-M22)</f>
        <v/>
      </c>
      <c r="O23" s="127">
        <f>IF(B23&lt;='VALOR POR PL'!$P$5,'CP RESUMO'!V52,"")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HISTORICOS'!W10)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RESUMO'!W10</f>
        <v/>
      </c>
      <c r="N24" s="128">
        <f>MAX(0,M24-M23)</f>
        <v/>
      </c>
      <c r="O24" s="127">
        <f>IF(B24&lt;='VALOR POR PL'!$P$5,'CP RESUMO'!W52,"")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HISTORICOS'!X10)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RESUMO'!X10</f>
        <v/>
      </c>
      <c r="N25" s="128">
        <f>MAX(0,M25-M24)</f>
        <v/>
      </c>
      <c r="O25" s="127">
        <f>IF(B25&lt;='VALOR POR PL'!$P$5,'CP RESUMO'!X52,"")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HISTORICOS'!Y10)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RESUMO'!Y10</f>
        <v/>
      </c>
      <c r="N26" s="128">
        <f>MAX(0,M26-M25)</f>
        <v/>
      </c>
      <c r="O26" s="127">
        <f>IF(B26&lt;='VALOR POR PL'!$P$5,'CP RESUMO'!Y52,"")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HISTORICOS'!Z10)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RESUMO'!Z10</f>
        <v/>
      </c>
      <c r="N27" s="128">
        <f>MAX(0,M27-M26)</f>
        <v/>
      </c>
      <c r="O27" s="127">
        <f>IF(B27&lt;='VALOR POR PL'!$P$5,'CP RESUMO'!Z52,"")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HISTORICOS'!AA10)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RESUMO'!AA10</f>
        <v/>
      </c>
      <c r="N28" s="128">
        <f>MAX(0,M28-M27)</f>
        <v/>
      </c>
      <c r="O28" s="127">
        <f>IF(B28&lt;='VALOR POR PL'!$P$5,'CP RESUMO'!AA52,"")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HISTORICOS'!AB10)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RESUMO'!AB10</f>
        <v/>
      </c>
      <c r="N29" s="128">
        <f>MAX(0,M29-M28)</f>
        <v/>
      </c>
      <c r="O29" s="127">
        <f>IF(B29&lt;='VALOR POR PL'!$P$5,'CP RESUMO'!AB52,"")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HISTORICOS'!AC10)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RESUMO'!AC10</f>
        <v/>
      </c>
      <c r="N30" s="128">
        <f>MAX(0,M30-M29)</f>
        <v/>
      </c>
      <c r="O30" s="127">
        <f>IF(B30&lt;='VALOR POR PL'!$P$5,'CP RESUMO'!AC52,"")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HISTORICOS'!AD10)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RESUMO'!AD10</f>
        <v/>
      </c>
      <c r="N31" s="128">
        <f>MAX(0,M31-M30)</f>
        <v/>
      </c>
      <c r="O31" s="127">
        <f>IF(B31&lt;='VALOR POR PL'!$P$5,'CP RESUMO'!AD52,"")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HISTORICOS'!AE10)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RESUMO'!AE10</f>
        <v/>
      </c>
      <c r="N32" s="128">
        <f>MAX(0,M32-M31)</f>
        <v/>
      </c>
      <c r="O32" s="127">
        <f>IF(B32&lt;='VALOR POR PL'!$P$5,'CP RESUMO'!AE52,"")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HISTORICOS'!AF10)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RESUMO'!AF10</f>
        <v/>
      </c>
      <c r="N33" s="128">
        <f>MAX(0,M33-M32)</f>
        <v/>
      </c>
      <c r="O33" s="127">
        <f>IF(B33&lt;='VALOR POR PL'!$P$5,'CP RESUMO'!AF52,"")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HISTORICOS'!AG10)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RESUMO'!AG10</f>
        <v/>
      </c>
      <c r="N34" s="128">
        <f>MAX(0,M34-M33)</f>
        <v/>
      </c>
      <c r="O34" s="127">
        <f>IF(B34&lt;='VALOR POR PL'!$P$5,'CP RESUMO'!AG52,"")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HISTORICOS'!AH10)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RESUMO'!AH10</f>
        <v/>
      </c>
      <c r="N35" s="128">
        <f>MAX(0,M35-M34)</f>
        <v/>
      </c>
      <c r="O35" s="127">
        <f>IF(B35&lt;='VALOR POR PL'!$P$5,'CP RESUMO'!AH52,"")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HISTORICOS'!AI10)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RESUMO'!AI10</f>
        <v/>
      </c>
      <c r="N36" s="128">
        <f>MAX(0,M36-M35)</f>
        <v/>
      </c>
      <c r="O36" s="127">
        <f>IF(B36&lt;='VALOR POR PL'!$P$5,'CP RESUMO'!AI52,"")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HISTORICOS'!AJ10)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RESUMO'!AJ10</f>
        <v/>
      </c>
      <c r="N37" s="128">
        <f>MAX(0,M37-M36)</f>
        <v/>
      </c>
      <c r="O37" s="127">
        <f>IF(B37&lt;='VALOR POR PL'!$P$5,'CP RESUMO'!AJ52,"")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HISTORICOS'!AK10)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RESUMO'!AK10</f>
        <v/>
      </c>
      <c r="N38" s="128">
        <f>MAX(0,M38-M37)</f>
        <v/>
      </c>
      <c r="O38" s="127">
        <f>IF(B38&lt;='VALOR POR PL'!$P$5,'CP RESUMO'!AK52,"")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HISTORICOS'!AL10)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RESUMO'!AL10</f>
        <v/>
      </c>
      <c r="N39" s="128">
        <f>MAX(0,M39-M38)</f>
        <v/>
      </c>
      <c r="O39" s="127">
        <f>IF(B39&lt;='VALOR POR PL'!$P$5,'CP RESUMO'!AL52,"")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HISTORICOS'!AM10)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RESUMO'!AM10</f>
        <v/>
      </c>
      <c r="N40" s="128">
        <f>MAX(0,M40-M39)</f>
        <v/>
      </c>
      <c r="O40" s="127">
        <f>IF(B40&lt;='VALOR POR PL'!$P$5,'CP RESUMO'!AM52,"")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HISTORICOS'!AN10)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RESUMO'!AN10</f>
        <v/>
      </c>
      <c r="N41" s="128">
        <f>MAX(0,M41-M40)</f>
        <v/>
      </c>
      <c r="O41" s="127">
        <f>IF(B41&lt;='VALOR POR PL'!$P$5,'CP RESUMO'!AN52,"")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HISTORICOS'!AO10)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RESUMO'!AO10</f>
        <v/>
      </c>
      <c r="N42" s="128">
        <f>MAX(0,M42-M41)</f>
        <v/>
      </c>
      <c r="O42" s="127">
        <f>IF(B42&lt;='VALOR POR PL'!$P$5,'CP RESUMO'!AO52,"")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HISTORICOS'!AP10)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RESUMO'!AP10</f>
        <v/>
      </c>
      <c r="N43" s="128">
        <f>MAX(0,M43-M42)</f>
        <v/>
      </c>
      <c r="O43" s="127">
        <f>IF(B43&lt;='VALOR POR PL'!$P$5,'CP RESUMO'!AP52,"")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HISTORICOS'!AQ10)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RESUMO'!AQ10</f>
        <v/>
      </c>
      <c r="N44" s="128">
        <f>MAX(0,M44-M43)</f>
        <v/>
      </c>
      <c r="O44" s="127">
        <f>IF(B44&lt;='VALOR POR PL'!$P$5,'CP RESUMO'!AQ52,"")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HISTORICOS'!AR10)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RESUMO'!AR10</f>
        <v/>
      </c>
      <c r="N45" s="128">
        <f>MAX(0,M45-M44)</f>
        <v/>
      </c>
      <c r="O45" s="127">
        <f>IF(B45&lt;='VALOR POR PL'!$P$5,'CP RESUMO'!AR52,"")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HISTORICOS'!AS10)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RESUMO'!AS10</f>
        <v/>
      </c>
      <c r="N46" s="128">
        <f>MAX(0,M46-M45)</f>
        <v/>
      </c>
      <c r="O46" s="127">
        <f>IF(B46&lt;='VALOR POR PL'!$P$5,'CP RESUMO'!AS52,"")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HISTORICOS'!AT10)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RESUMO'!AT10</f>
        <v/>
      </c>
      <c r="N47" s="128">
        <f>MAX(0,M47-M46)</f>
        <v/>
      </c>
      <c r="O47" s="127">
        <f>IF(B47&lt;='VALOR POR PL'!$P$5,'CP RESUMO'!AT52,"")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HISTORICOS'!AU10)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RESUMO'!AU10</f>
        <v/>
      </c>
      <c r="N48" s="128">
        <f>MAX(0,M48-M47)</f>
        <v/>
      </c>
      <c r="O48" s="127">
        <f>IF(B48&lt;='VALOR POR PL'!$P$5,'CP RESUMO'!AU52,"")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HISTORICOS'!AV10)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RESUMO'!AV10</f>
        <v/>
      </c>
      <c r="N49" s="128">
        <f>MAX(0,M49-M48)</f>
        <v/>
      </c>
      <c r="O49" s="127">
        <f>IF(B49&lt;='VALOR POR PL'!$P$5,'CP RESUMO'!AV52,"")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HISTORICOS'!AW10)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RESUMO'!AW10</f>
        <v/>
      </c>
      <c r="N50" s="128">
        <f>MAX(0,M50-M49)</f>
        <v/>
      </c>
      <c r="O50" s="127">
        <f>IF(B50&lt;='VALOR POR PL'!$P$5,'CP RESUMO'!AW52,"")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HISTORICOS'!AX10)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RESUMO'!AX10</f>
        <v/>
      </c>
      <c r="N51" s="128">
        <f>MAX(0,M51-M50)</f>
        <v/>
      </c>
      <c r="O51" s="127">
        <f>IF(B51&lt;='VALOR POR PL'!$P$5,'CP RESUMO'!AX52,"")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HISTORICOS'!AY10)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RESUMO'!AY10</f>
        <v/>
      </c>
      <c r="N52" s="128">
        <f>MAX(0,M52-M51)</f>
        <v/>
      </c>
      <c r="O52" s="127">
        <f>IF(B52&lt;='VALOR POR PL'!$P$5,'CP RESUMO'!AY52,"")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HISTORICOS'!AZ10)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RESUMO'!AZ10</f>
        <v/>
      </c>
      <c r="N53" s="128">
        <f>MAX(0,M53-M52)</f>
        <v/>
      </c>
      <c r="O53" s="127">
        <f>IF(B53&lt;='VALOR POR PL'!$P$5,'CP RESUMO'!AZ52,"")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HISTORICOS'!BA10)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RESUMO'!BA10</f>
        <v/>
      </c>
      <c r="N54" s="128">
        <f>MAX(0,M54-M53)</f>
        <v/>
      </c>
      <c r="O54" s="127">
        <f>IF(B54&lt;='VALOR POR PL'!$P$5,'CP RESUMO'!BA52,"")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HISTORICOS'!BB10)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RESUMO'!BB10</f>
        <v/>
      </c>
      <c r="N55" s="128">
        <f>MAX(0,M55-M54)</f>
        <v/>
      </c>
      <c r="O55" s="127">
        <f>IF(B55&lt;='VALOR POR PL'!$P$5,'CP RESUMO'!BB52,"")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HISTORICOS'!BC10)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RESUMO'!BC10</f>
        <v/>
      </c>
      <c r="N56" s="128">
        <f>MAX(0,M56-M55)</f>
        <v/>
      </c>
      <c r="O56" s="127">
        <f>IF(B56&lt;='VALOR POR PL'!$P$5,'CP RESUMO'!BC52,"")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HISTORICOS'!BD10)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RESUMO'!BD10</f>
        <v/>
      </c>
      <c r="N57" s="128">
        <f>MAX(0,M57-M56)</f>
        <v/>
      </c>
      <c r="O57" s="127">
        <f>IF(B57&lt;='VALOR POR PL'!$P$5,'CP RESUMO'!BD52,"")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HISTORICOS'!BE10)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RESUMO'!BE10</f>
        <v/>
      </c>
      <c r="N58" s="128">
        <f>MAX(0,M58-M57)</f>
        <v/>
      </c>
      <c r="O58" s="127">
        <f>IF(B58&lt;='VALOR POR PL'!$P$5,'CP RESUMO'!BE52,"")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HISTORICOS'!BF10)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RESUMO'!BF10</f>
        <v/>
      </c>
      <c r="N59" s="128">
        <f>MAX(0,M59-M58)</f>
        <v/>
      </c>
      <c r="O59" s="127">
        <f>IF(B59&lt;='VALOR POR PL'!$P$5,'CP RESUMO'!BF52,"")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HISTORICOS'!BG10)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RESUMO'!BG10</f>
        <v/>
      </c>
      <c r="N60" s="128">
        <f>MAX(0,M60-M59)</f>
        <v/>
      </c>
      <c r="O60" s="127">
        <f>IF(B60&lt;='VALOR POR PL'!$P$5,'CP RESUMO'!BG52,"")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HISTORICOS'!BH10)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RESUMO'!BH10</f>
        <v/>
      </c>
      <c r="N61" s="128">
        <f>MAX(0,M61-M60)</f>
        <v/>
      </c>
      <c r="O61" s="127">
        <f>IF(B61&lt;='VALOR POR PL'!$P$5,'CP RESUMO'!BH52,"")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HISTORICOS'!BI10)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RESUMO'!BI10</f>
        <v/>
      </c>
      <c r="N62" s="128">
        <f>MAX(0,M62-M61)</f>
        <v/>
      </c>
      <c r="O62" s="127">
        <f>IF(B62&lt;='VALOR POR PL'!$P$5,'CP RESUMO'!BI52,"")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HISTORICOS'!BJ10)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RESUMO'!BJ10</f>
        <v/>
      </c>
      <c r="N63" s="128">
        <f>MAX(0,M63-M62)</f>
        <v/>
      </c>
      <c r="O63" s="127">
        <f>IF(B63&lt;='VALOR POR PL'!$P$5,'CP RESUMO'!BJ52,"")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HISTORICOS'!BK10)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RESUMO'!BK10</f>
        <v/>
      </c>
      <c r="N64" s="128">
        <f>MAX(0,M64-M63)</f>
        <v/>
      </c>
      <c r="O64" s="127">
        <f>IF(B64&lt;='VALOR POR PL'!$P$5,'CP RESUMO'!BK52,"")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HISTORICOS'!BL10)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RESUMO'!BL10</f>
        <v/>
      </c>
      <c r="N65" s="128">
        <f>MAX(0,M65-M64)</f>
        <v/>
      </c>
      <c r="O65" s="127">
        <f>IF(B65&lt;='VALOR POR PL'!$P$5,'CP RESUMO'!BL52,"")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HISTORICOS'!BM10)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RESUMO'!BM10</f>
        <v/>
      </c>
      <c r="N66" s="128">
        <f>MAX(0,M66-M65)</f>
        <v/>
      </c>
      <c r="O66" s="127">
        <f>IF(B66&lt;='VALOR POR PL'!$P$5,'CP RESUMO'!BM52,"")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HISTORICOS'!BN10)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RESUMO'!BN10</f>
        <v/>
      </c>
      <c r="N67" s="128">
        <f>MAX(0,M67-M66)</f>
        <v/>
      </c>
      <c r="O67" s="127">
        <f>IF(B67&lt;='VALOR POR PL'!$P$5,'CP RESUMO'!BN52,"")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HISTORICOS'!BO10)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RESUMO'!BO10</f>
        <v/>
      </c>
      <c r="N68" s="128">
        <f>MAX(0,M68-M67)</f>
        <v/>
      </c>
      <c r="O68" s="127">
        <f>IF(B68&lt;='VALOR POR PL'!$P$5,'CP RESUMO'!BO52,"")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HISTORICOS'!BP10)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RESUMO'!BP10</f>
        <v/>
      </c>
      <c r="N69" s="128">
        <f>MAX(0,M69-M68)</f>
        <v/>
      </c>
      <c r="O69" s="127">
        <f>IF(B69&lt;='VALOR POR PL'!$P$5,'CP RESUMO'!BP52,"")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HISTORICOS'!BQ10)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RESUMO'!BQ10</f>
        <v/>
      </c>
      <c r="N70" s="128">
        <f>MAX(0,M70-M69)</f>
        <v/>
      </c>
      <c r="O70" s="127">
        <f>IF(B70&lt;='VALOR POR PL'!$P$5,'CP RESUMO'!BQ52,"")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HISTORICOS'!BR10)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RESUMO'!BR10</f>
        <v/>
      </c>
      <c r="N71" s="128">
        <f>MAX(0,M71-M70)</f>
        <v/>
      </c>
      <c r="O71" s="127">
        <f>IF(B71&lt;='VALOR POR PL'!$P$5,'CP RESUMO'!BR52,"")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HISTORICOS'!BS10)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RESUMO'!BS10</f>
        <v/>
      </c>
      <c r="N72" s="128">
        <f>MAX(0,M72-M71)</f>
        <v/>
      </c>
      <c r="O72" s="127">
        <f>IF(B72&lt;='VALOR POR PL'!$P$5,'CP RESUMO'!BS52,"")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HISTORICOS'!BT10)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RESUMO'!BT10</f>
        <v/>
      </c>
      <c r="N73" s="128">
        <f>MAX(0,M73-M72)</f>
        <v/>
      </c>
      <c r="O73" s="127">
        <f>IF(B73&lt;='VALOR POR PL'!$P$5,'CP RESUMO'!BT52,"")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HISTORICOS'!BU10)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RESUMO'!BU10</f>
        <v/>
      </c>
      <c r="N74" s="128">
        <f>MAX(0,M74-M73)</f>
        <v/>
      </c>
      <c r="O74" s="127">
        <f>IF(B74&lt;='VALOR POR PL'!$P$5,'CP RESUMO'!BU52,"")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HISTORICOS'!BV10)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RESUMO'!BV10</f>
        <v/>
      </c>
      <c r="N75" s="128">
        <f>MAX(0,M75-M74)</f>
        <v/>
      </c>
      <c r="O75" s="127">
        <f>IF(B75&lt;='VALOR POR PL'!$P$5,'CP RESUMO'!BV52,"")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HISTORICOS'!BW10)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RESUMO'!BW10</f>
        <v/>
      </c>
      <c r="N76" s="128">
        <f>MAX(0,M76-M75)</f>
        <v/>
      </c>
      <c r="O76" s="127">
        <f>IF(B76&lt;='VALOR POR PL'!$P$5,'CP RESUMO'!BW52,"")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PL'!D17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HISTORICOS'!D11)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PL'!F17</f>
        <v/>
      </c>
      <c r="K5" s="63">
        <f>'VALOR POR PL'!G17</f>
        <v/>
      </c>
      <c r="M5" s="127">
        <f>'CP RESUMO'!D11</f>
        <v/>
      </c>
      <c r="N5" s="128" t="n">
        <v>0</v>
      </c>
      <c r="O5" s="127">
        <f>IF(B5&lt;='VALOR POR PL'!$P$5,'CP RESUMO'!D53,"")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HISTORICOS'!E11)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RESUMO'!E11</f>
        <v/>
      </c>
      <c r="N6" s="128">
        <f>MAX(0,M6-M5)</f>
        <v/>
      </c>
      <c r="O6" s="127">
        <f>IF(B6&lt;='VALOR POR PL'!$P$5,'CP RESUMO'!E53,"")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HISTORICOS'!F11)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PL'!L17</f>
        <v/>
      </c>
      <c r="M7" s="127">
        <f>'CP RESUMO'!F11</f>
        <v/>
      </c>
      <c r="N7" s="128">
        <f>MAX(0,M7-M6)</f>
        <v/>
      </c>
      <c r="O7" s="127">
        <f>IF(B7&lt;='VALOR POR PL'!$P$5,'CP RESUMO'!F53,"")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HISTORICOS'!G11)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RESUMO'!G11</f>
        <v/>
      </c>
      <c r="N8" s="128">
        <f>MAX(0,M8-M7)</f>
        <v/>
      </c>
      <c r="O8" s="127">
        <f>IF(B8&lt;='VALOR POR PL'!$P$5,'CP RESUMO'!G53,"")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HISTORICOS'!H11)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RESUMO'!H11</f>
        <v/>
      </c>
      <c r="N9" s="128">
        <f>MAX(0,M9-M8)</f>
        <v/>
      </c>
      <c r="O9" s="127">
        <f>IF(B9&lt;='VALOR POR PL'!$P$5,'CP RESUMO'!H53,"")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HISTORICOS'!I11)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RESUMO'!I11</f>
        <v/>
      </c>
      <c r="N10" s="128">
        <f>MAX(0,M10-M9)</f>
        <v/>
      </c>
      <c r="O10" s="127">
        <f>IF(B10&lt;='VALOR POR PL'!$P$5,'CP RESUMO'!I53,"")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HISTORICOS'!J11)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RESUMO'!J11</f>
        <v/>
      </c>
      <c r="N11" s="128">
        <f>MAX(0,M11-M10)</f>
        <v/>
      </c>
      <c r="O11" s="127">
        <f>IF(B11&lt;='VALOR POR PL'!$P$5,'CP RESUMO'!J53,"")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HISTORICOS'!K11)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RESUMO'!K11</f>
        <v/>
      </c>
      <c r="N12" s="128">
        <f>MAX(0,M12-M11)</f>
        <v/>
      </c>
      <c r="O12" s="127">
        <f>IF(B12&lt;='VALOR POR PL'!$P$5,'CP RESUMO'!K53,"")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HISTORICOS'!L11)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PL'!I17</f>
        <v/>
      </c>
      <c r="M13" s="127">
        <f>'CP RESUMO'!L11</f>
        <v/>
      </c>
      <c r="N13" s="128">
        <f>MAX(0,M13-M12)</f>
        <v/>
      </c>
      <c r="O13" s="127">
        <f>IF(B13&lt;='VALOR POR PL'!$P$5,'CP RESUMO'!L53,"")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HISTORICOS'!M11)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RESUMO'!$D$53:$BW$53,MATCH('VALOR POR PL'!$P$5,'CP RESUMO'!$D$4:$BW$4,0))/100,0)</f>
        <v/>
      </c>
      <c r="M14" s="127">
        <f>'CP RESUMO'!M11</f>
        <v/>
      </c>
      <c r="N14" s="128">
        <f>MAX(0,M14-M13)</f>
        <v/>
      </c>
      <c r="O14" s="127">
        <f>IF(B14&lt;='VALOR POR PL'!$P$5,'CP RESUMO'!M53,"")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HISTORICOS'!N11)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RESUMO'!N11</f>
        <v/>
      </c>
      <c r="N15" s="128">
        <f>MAX(0,M15-M14)</f>
        <v/>
      </c>
      <c r="O15" s="127">
        <f>IF(B15&lt;='VALOR POR PL'!$P$5,'CP RESUMO'!N53,"")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HISTORICOS'!O11)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RESUMO'!O11</f>
        <v/>
      </c>
      <c r="N16" s="128">
        <f>MAX(0,M16-M15)</f>
        <v/>
      </c>
      <c r="O16" s="127">
        <f>IF(B16&lt;='VALOR POR PL'!$P$5,'CP RESUMO'!O53,"")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HISTORICOS'!P11)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RESUMO'!P11</f>
        <v/>
      </c>
      <c r="N17" s="128">
        <f>MAX(0,M17-M16)</f>
        <v/>
      </c>
      <c r="O17" s="127">
        <f>IF(B17&lt;='VALOR POR PL'!$P$5,'CP RESUMO'!P53,"")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HISTORICOS'!Q11)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RESUMO'!Q11</f>
        <v/>
      </c>
      <c r="N18" s="128">
        <f>MAX(0,M18-M17)</f>
        <v/>
      </c>
      <c r="O18" s="127">
        <f>IF(B18&lt;='VALOR POR PL'!$P$5,'CP RESUMO'!Q53,"")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HISTORICOS'!R11)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RESUMO'!R11</f>
        <v/>
      </c>
      <c r="N19" s="128">
        <f>MAX(0,M19-M18)</f>
        <v/>
      </c>
      <c r="O19" s="127">
        <f>IF(B19&lt;='VALOR POR PL'!$P$5,'CP RESUMO'!R53,"")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HISTORICOS'!S11)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RESUMO'!S11</f>
        <v/>
      </c>
      <c r="N20" s="128">
        <f>MAX(0,M20-M19)</f>
        <v/>
      </c>
      <c r="O20" s="127">
        <f>IF(B20&lt;='VALOR POR PL'!$P$5,'CP RESUMO'!S53,"")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HISTORICOS'!T11)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RESUMO'!T11</f>
        <v/>
      </c>
      <c r="N21" s="128">
        <f>MAX(0,M21-M20)</f>
        <v/>
      </c>
      <c r="O21" s="127">
        <f>IF(B21&lt;='VALOR POR PL'!$P$5,'CP RESUMO'!T53,"")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HISTORICOS'!U11)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RESUMO'!U11</f>
        <v/>
      </c>
      <c r="N22" s="128">
        <f>MAX(0,M22-M21)</f>
        <v/>
      </c>
      <c r="O22" s="127">
        <f>IF(B22&lt;='VALOR POR PL'!$P$5,'CP RESUMO'!U53,"")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HISTORICOS'!V11)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RESUMO'!V11</f>
        <v/>
      </c>
      <c r="N23" s="128">
        <f>MAX(0,M23-M22)</f>
        <v/>
      </c>
      <c r="O23" s="127">
        <f>IF(B23&lt;='VALOR POR PL'!$P$5,'CP RESUMO'!V53,"")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HISTORICOS'!W11)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RESUMO'!W11</f>
        <v/>
      </c>
      <c r="N24" s="128">
        <f>MAX(0,M24-M23)</f>
        <v/>
      </c>
      <c r="O24" s="127">
        <f>IF(B24&lt;='VALOR POR PL'!$P$5,'CP RESUMO'!W53,"")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HISTORICOS'!X11)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RESUMO'!X11</f>
        <v/>
      </c>
      <c r="N25" s="128">
        <f>MAX(0,M25-M24)</f>
        <v/>
      </c>
      <c r="O25" s="127">
        <f>IF(B25&lt;='VALOR POR PL'!$P$5,'CP RESUMO'!X53,"")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HISTORICOS'!Y11)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RESUMO'!Y11</f>
        <v/>
      </c>
      <c r="N26" s="128">
        <f>MAX(0,M26-M25)</f>
        <v/>
      </c>
      <c r="O26" s="127">
        <f>IF(B26&lt;='VALOR POR PL'!$P$5,'CP RESUMO'!Y53,"")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HISTORICOS'!Z11)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RESUMO'!Z11</f>
        <v/>
      </c>
      <c r="N27" s="128">
        <f>MAX(0,M27-M26)</f>
        <v/>
      </c>
      <c r="O27" s="127">
        <f>IF(B27&lt;='VALOR POR PL'!$P$5,'CP RESUMO'!Z53,"")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HISTORICOS'!AA11)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RESUMO'!AA11</f>
        <v/>
      </c>
      <c r="N28" s="128">
        <f>MAX(0,M28-M27)</f>
        <v/>
      </c>
      <c r="O28" s="127">
        <f>IF(B28&lt;='VALOR POR PL'!$P$5,'CP RESUMO'!AA53,"")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HISTORICOS'!AB11)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RESUMO'!AB11</f>
        <v/>
      </c>
      <c r="N29" s="128">
        <f>MAX(0,M29-M28)</f>
        <v/>
      </c>
      <c r="O29" s="127">
        <f>IF(B29&lt;='VALOR POR PL'!$P$5,'CP RESUMO'!AB53,"")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HISTORICOS'!AC11)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RESUMO'!AC11</f>
        <v/>
      </c>
      <c r="N30" s="128">
        <f>MAX(0,M30-M29)</f>
        <v/>
      </c>
      <c r="O30" s="127">
        <f>IF(B30&lt;='VALOR POR PL'!$P$5,'CP RESUMO'!AC53,"")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HISTORICOS'!AD11)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RESUMO'!AD11</f>
        <v/>
      </c>
      <c r="N31" s="128">
        <f>MAX(0,M31-M30)</f>
        <v/>
      </c>
      <c r="O31" s="127">
        <f>IF(B31&lt;='VALOR POR PL'!$P$5,'CP RESUMO'!AD53,"")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HISTORICOS'!AE11)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RESUMO'!AE11</f>
        <v/>
      </c>
      <c r="N32" s="128">
        <f>MAX(0,M32-M31)</f>
        <v/>
      </c>
      <c r="O32" s="127">
        <f>IF(B32&lt;='VALOR POR PL'!$P$5,'CP RESUMO'!AE53,"")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HISTORICOS'!AF11)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RESUMO'!AF11</f>
        <v/>
      </c>
      <c r="N33" s="128">
        <f>MAX(0,M33-M32)</f>
        <v/>
      </c>
      <c r="O33" s="127">
        <f>IF(B33&lt;='VALOR POR PL'!$P$5,'CP RESUMO'!AF53,"")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HISTORICOS'!AG11)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RESUMO'!AG11</f>
        <v/>
      </c>
      <c r="N34" s="128">
        <f>MAX(0,M34-M33)</f>
        <v/>
      </c>
      <c r="O34" s="127">
        <f>IF(B34&lt;='VALOR POR PL'!$P$5,'CP RESUMO'!AG53,"")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HISTORICOS'!AH11)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RESUMO'!AH11</f>
        <v/>
      </c>
      <c r="N35" s="128">
        <f>MAX(0,M35-M34)</f>
        <v/>
      </c>
      <c r="O35" s="127">
        <f>IF(B35&lt;='VALOR POR PL'!$P$5,'CP RESUMO'!AH53,"")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HISTORICOS'!AI11)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RESUMO'!AI11</f>
        <v/>
      </c>
      <c r="N36" s="128">
        <f>MAX(0,M36-M35)</f>
        <v/>
      </c>
      <c r="O36" s="127">
        <f>IF(B36&lt;='VALOR POR PL'!$P$5,'CP RESUMO'!AI53,"")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HISTORICOS'!AJ11)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RESUMO'!AJ11</f>
        <v/>
      </c>
      <c r="N37" s="128">
        <f>MAX(0,M37-M36)</f>
        <v/>
      </c>
      <c r="O37" s="127">
        <f>IF(B37&lt;='VALOR POR PL'!$P$5,'CP RESUMO'!AJ53,"")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HISTORICOS'!AK11)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RESUMO'!AK11</f>
        <v/>
      </c>
      <c r="N38" s="128">
        <f>MAX(0,M38-M37)</f>
        <v/>
      </c>
      <c r="O38" s="127">
        <f>IF(B38&lt;='VALOR POR PL'!$P$5,'CP RESUMO'!AK53,"")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HISTORICOS'!AL11)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RESUMO'!AL11</f>
        <v/>
      </c>
      <c r="N39" s="128">
        <f>MAX(0,M39-M38)</f>
        <v/>
      </c>
      <c r="O39" s="127">
        <f>IF(B39&lt;='VALOR POR PL'!$P$5,'CP RESUMO'!AL53,"")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HISTORICOS'!AM11)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RESUMO'!AM11</f>
        <v/>
      </c>
      <c r="N40" s="128">
        <f>MAX(0,M40-M39)</f>
        <v/>
      </c>
      <c r="O40" s="127">
        <f>IF(B40&lt;='VALOR POR PL'!$P$5,'CP RESUMO'!AM53,"")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HISTORICOS'!AN11)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RESUMO'!AN11</f>
        <v/>
      </c>
      <c r="N41" s="128">
        <f>MAX(0,M41-M40)</f>
        <v/>
      </c>
      <c r="O41" s="127">
        <f>IF(B41&lt;='VALOR POR PL'!$P$5,'CP RESUMO'!AN53,"")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HISTORICOS'!AO11)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RESUMO'!AO11</f>
        <v/>
      </c>
      <c r="N42" s="128">
        <f>MAX(0,M42-M41)</f>
        <v/>
      </c>
      <c r="O42" s="127">
        <f>IF(B42&lt;='VALOR POR PL'!$P$5,'CP RESUMO'!AO53,"")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HISTORICOS'!AP11)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RESUMO'!AP11</f>
        <v/>
      </c>
      <c r="N43" s="128">
        <f>MAX(0,M43-M42)</f>
        <v/>
      </c>
      <c r="O43" s="127">
        <f>IF(B43&lt;='VALOR POR PL'!$P$5,'CP RESUMO'!AP53,"")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HISTORICOS'!AQ11)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RESUMO'!AQ11</f>
        <v/>
      </c>
      <c r="N44" s="128">
        <f>MAX(0,M44-M43)</f>
        <v/>
      </c>
      <c r="O44" s="127">
        <f>IF(B44&lt;='VALOR POR PL'!$P$5,'CP RESUMO'!AQ53,"")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HISTORICOS'!AR11)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RESUMO'!AR11</f>
        <v/>
      </c>
      <c r="N45" s="128">
        <f>MAX(0,M45-M44)</f>
        <v/>
      </c>
      <c r="O45" s="127">
        <f>IF(B45&lt;='VALOR POR PL'!$P$5,'CP RESUMO'!AR53,"")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HISTORICOS'!AS11)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RESUMO'!AS11</f>
        <v/>
      </c>
      <c r="N46" s="128">
        <f>MAX(0,M46-M45)</f>
        <v/>
      </c>
      <c r="O46" s="127">
        <f>IF(B46&lt;='VALOR POR PL'!$P$5,'CP RESUMO'!AS53,"")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HISTORICOS'!AT11)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RESUMO'!AT11</f>
        <v/>
      </c>
      <c r="N47" s="128">
        <f>MAX(0,M47-M46)</f>
        <v/>
      </c>
      <c r="O47" s="127">
        <f>IF(B47&lt;='VALOR POR PL'!$P$5,'CP RESUMO'!AT53,"")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HISTORICOS'!AU11)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RESUMO'!AU11</f>
        <v/>
      </c>
      <c r="N48" s="128">
        <f>MAX(0,M48-M47)</f>
        <v/>
      </c>
      <c r="O48" s="127">
        <f>IF(B48&lt;='VALOR POR PL'!$P$5,'CP RESUMO'!AU53,"")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HISTORICOS'!AV11)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RESUMO'!AV11</f>
        <v/>
      </c>
      <c r="N49" s="128">
        <f>MAX(0,M49-M48)</f>
        <v/>
      </c>
      <c r="O49" s="127">
        <f>IF(B49&lt;='VALOR POR PL'!$P$5,'CP RESUMO'!AV53,"")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HISTORICOS'!AW11)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RESUMO'!AW11</f>
        <v/>
      </c>
      <c r="N50" s="128">
        <f>MAX(0,M50-M49)</f>
        <v/>
      </c>
      <c r="O50" s="127">
        <f>IF(B50&lt;='VALOR POR PL'!$P$5,'CP RESUMO'!AW53,"")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HISTORICOS'!AX11)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RESUMO'!AX11</f>
        <v/>
      </c>
      <c r="N51" s="128">
        <f>MAX(0,M51-M50)</f>
        <v/>
      </c>
      <c r="O51" s="127">
        <f>IF(B51&lt;='VALOR POR PL'!$P$5,'CP RESUMO'!AX53,"")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HISTORICOS'!AY11)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RESUMO'!AY11</f>
        <v/>
      </c>
      <c r="N52" s="128">
        <f>MAX(0,M52-M51)</f>
        <v/>
      </c>
      <c r="O52" s="127">
        <f>IF(B52&lt;='VALOR POR PL'!$P$5,'CP RESUMO'!AY53,"")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HISTORICOS'!AZ11)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RESUMO'!AZ11</f>
        <v/>
      </c>
      <c r="N53" s="128">
        <f>MAX(0,M53-M52)</f>
        <v/>
      </c>
      <c r="O53" s="127">
        <f>IF(B53&lt;='VALOR POR PL'!$P$5,'CP RESUMO'!AZ53,"")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HISTORICOS'!BA11)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RESUMO'!BA11</f>
        <v/>
      </c>
      <c r="N54" s="128">
        <f>MAX(0,M54-M53)</f>
        <v/>
      </c>
      <c r="O54" s="127">
        <f>IF(B54&lt;='VALOR POR PL'!$P$5,'CP RESUMO'!BA53,"")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HISTORICOS'!BB11)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RESUMO'!BB11</f>
        <v/>
      </c>
      <c r="N55" s="128">
        <f>MAX(0,M55-M54)</f>
        <v/>
      </c>
      <c r="O55" s="127">
        <f>IF(B55&lt;='VALOR POR PL'!$P$5,'CP RESUMO'!BB53,"")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HISTORICOS'!BC11)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RESUMO'!BC11</f>
        <v/>
      </c>
      <c r="N56" s="128">
        <f>MAX(0,M56-M55)</f>
        <v/>
      </c>
      <c r="O56" s="127">
        <f>IF(B56&lt;='VALOR POR PL'!$P$5,'CP RESUMO'!BC53,"")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HISTORICOS'!BD11)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RESUMO'!BD11</f>
        <v/>
      </c>
      <c r="N57" s="128">
        <f>MAX(0,M57-M56)</f>
        <v/>
      </c>
      <c r="O57" s="127">
        <f>IF(B57&lt;='VALOR POR PL'!$P$5,'CP RESUMO'!BD53,"")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HISTORICOS'!BE11)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RESUMO'!BE11</f>
        <v/>
      </c>
      <c r="N58" s="128">
        <f>MAX(0,M58-M57)</f>
        <v/>
      </c>
      <c r="O58" s="127">
        <f>IF(B58&lt;='VALOR POR PL'!$P$5,'CP RESUMO'!BE53,"")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HISTORICOS'!BF11)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RESUMO'!BF11</f>
        <v/>
      </c>
      <c r="N59" s="128">
        <f>MAX(0,M59-M58)</f>
        <v/>
      </c>
      <c r="O59" s="127">
        <f>IF(B59&lt;='VALOR POR PL'!$P$5,'CP RESUMO'!BF53,"")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HISTORICOS'!BG11)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RESUMO'!BG11</f>
        <v/>
      </c>
      <c r="N60" s="128">
        <f>MAX(0,M60-M59)</f>
        <v/>
      </c>
      <c r="O60" s="127">
        <f>IF(B60&lt;='VALOR POR PL'!$P$5,'CP RESUMO'!BG53,"")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HISTORICOS'!BH11)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RESUMO'!BH11</f>
        <v/>
      </c>
      <c r="N61" s="128">
        <f>MAX(0,M61-M60)</f>
        <v/>
      </c>
      <c r="O61" s="127">
        <f>IF(B61&lt;='VALOR POR PL'!$P$5,'CP RESUMO'!BH53,"")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HISTORICOS'!BI11)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RESUMO'!BI11</f>
        <v/>
      </c>
      <c r="N62" s="128">
        <f>MAX(0,M62-M61)</f>
        <v/>
      </c>
      <c r="O62" s="127">
        <f>IF(B62&lt;='VALOR POR PL'!$P$5,'CP RESUMO'!BI53,"")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HISTORICOS'!BJ11)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RESUMO'!BJ11</f>
        <v/>
      </c>
      <c r="N63" s="128">
        <f>MAX(0,M63-M62)</f>
        <v/>
      </c>
      <c r="O63" s="127">
        <f>IF(B63&lt;='VALOR POR PL'!$P$5,'CP RESUMO'!BJ53,"")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HISTORICOS'!BK11)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RESUMO'!BK11</f>
        <v/>
      </c>
      <c r="N64" s="128">
        <f>MAX(0,M64-M63)</f>
        <v/>
      </c>
      <c r="O64" s="127">
        <f>IF(B64&lt;='VALOR POR PL'!$P$5,'CP RESUMO'!BK53,"")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HISTORICOS'!BL11)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RESUMO'!BL11</f>
        <v/>
      </c>
      <c r="N65" s="128">
        <f>MAX(0,M65-M64)</f>
        <v/>
      </c>
      <c r="O65" s="127">
        <f>IF(B65&lt;='VALOR POR PL'!$P$5,'CP RESUMO'!BL53,"")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HISTORICOS'!BM11)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RESUMO'!BM11</f>
        <v/>
      </c>
      <c r="N66" s="128">
        <f>MAX(0,M66-M65)</f>
        <v/>
      </c>
      <c r="O66" s="127">
        <f>IF(B66&lt;='VALOR POR PL'!$P$5,'CP RESUMO'!BM53,"")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HISTORICOS'!BN11)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RESUMO'!BN11</f>
        <v/>
      </c>
      <c r="N67" s="128">
        <f>MAX(0,M67-M66)</f>
        <v/>
      </c>
      <c r="O67" s="127">
        <f>IF(B67&lt;='VALOR POR PL'!$P$5,'CP RESUMO'!BN53,"")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HISTORICOS'!BO11)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RESUMO'!BO11</f>
        <v/>
      </c>
      <c r="N68" s="128">
        <f>MAX(0,M68-M67)</f>
        <v/>
      </c>
      <c r="O68" s="127">
        <f>IF(B68&lt;='VALOR POR PL'!$P$5,'CP RESUMO'!BO53,"")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HISTORICOS'!BP11)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RESUMO'!BP11</f>
        <v/>
      </c>
      <c r="N69" s="128">
        <f>MAX(0,M69-M68)</f>
        <v/>
      </c>
      <c r="O69" s="127">
        <f>IF(B69&lt;='VALOR POR PL'!$P$5,'CP RESUMO'!BP53,"")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HISTORICOS'!BQ11)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RESUMO'!BQ11</f>
        <v/>
      </c>
      <c r="N70" s="128">
        <f>MAX(0,M70-M69)</f>
        <v/>
      </c>
      <c r="O70" s="127">
        <f>IF(B70&lt;='VALOR POR PL'!$P$5,'CP RESUMO'!BQ53,"")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HISTORICOS'!BR11)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RESUMO'!BR11</f>
        <v/>
      </c>
      <c r="N71" s="128">
        <f>MAX(0,M71-M70)</f>
        <v/>
      </c>
      <c r="O71" s="127">
        <f>IF(B71&lt;='VALOR POR PL'!$P$5,'CP RESUMO'!BR53,"")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HISTORICOS'!BS11)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RESUMO'!BS11</f>
        <v/>
      </c>
      <c r="N72" s="128">
        <f>MAX(0,M72-M71)</f>
        <v/>
      </c>
      <c r="O72" s="127">
        <f>IF(B72&lt;='VALOR POR PL'!$P$5,'CP RESUMO'!BS53,"")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HISTORICOS'!BT11)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RESUMO'!BT11</f>
        <v/>
      </c>
      <c r="N73" s="128">
        <f>MAX(0,M73-M72)</f>
        <v/>
      </c>
      <c r="O73" s="127">
        <f>IF(B73&lt;='VALOR POR PL'!$P$5,'CP RESUMO'!BT53,"")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HISTORICOS'!BU11)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RESUMO'!BU11</f>
        <v/>
      </c>
      <c r="N74" s="128">
        <f>MAX(0,M74-M73)</f>
        <v/>
      </c>
      <c r="O74" s="127">
        <f>IF(B74&lt;='VALOR POR PL'!$P$5,'CP RESUMO'!BU53,"")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HISTORICOS'!BV11)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RESUMO'!BV11</f>
        <v/>
      </c>
      <c r="N75" s="128">
        <f>MAX(0,M75-M74)</f>
        <v/>
      </c>
      <c r="O75" s="127">
        <f>IF(B75&lt;='VALOR POR PL'!$P$5,'CP RESUMO'!BV53,"")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HISTORICOS'!BW11)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RESUMO'!BW11</f>
        <v/>
      </c>
      <c r="N76" s="128">
        <f>MAX(0,M76-M75)</f>
        <v/>
      </c>
      <c r="O76" s="127">
        <f>IF(B76&lt;='VALOR POR PL'!$P$5,'CP RESUMO'!BW53,"")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PL'!D18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HISTORICOS'!D12)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PL'!F18</f>
        <v/>
      </c>
      <c r="K5" s="63">
        <f>'VALOR POR PL'!G18</f>
        <v/>
      </c>
      <c r="M5" s="127">
        <f>'CP RESUMO'!D12</f>
        <v/>
      </c>
      <c r="N5" s="128" t="n">
        <v>0</v>
      </c>
      <c r="O5" s="127">
        <f>IF(B5&lt;='VALOR POR PL'!$P$5,'CP RESUMO'!D54,"")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HISTORICOS'!E12)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RESUMO'!E12</f>
        <v/>
      </c>
      <c r="N6" s="128">
        <f>MAX(0,M6-M5)</f>
        <v/>
      </c>
      <c r="O6" s="127">
        <f>IF(B6&lt;='VALOR POR PL'!$P$5,'CP RESUMO'!E54,"")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HISTORICOS'!F12)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PL'!L18</f>
        <v/>
      </c>
      <c r="M7" s="127">
        <f>'CP RESUMO'!F12</f>
        <v/>
      </c>
      <c r="N7" s="128">
        <f>MAX(0,M7-M6)</f>
        <v/>
      </c>
      <c r="O7" s="127">
        <f>IF(B7&lt;='VALOR POR PL'!$P$5,'CP RESUMO'!F54,"")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HISTORICOS'!G12)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RESUMO'!G12</f>
        <v/>
      </c>
      <c r="N8" s="128">
        <f>MAX(0,M8-M7)</f>
        <v/>
      </c>
      <c r="O8" s="127">
        <f>IF(B8&lt;='VALOR POR PL'!$P$5,'CP RESUMO'!G54,"")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HISTORICOS'!H12)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RESUMO'!H12</f>
        <v/>
      </c>
      <c r="N9" s="128">
        <f>MAX(0,M9-M8)</f>
        <v/>
      </c>
      <c r="O9" s="127">
        <f>IF(B9&lt;='VALOR POR PL'!$P$5,'CP RESUMO'!H54,"")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HISTORICOS'!I12)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RESUMO'!I12</f>
        <v/>
      </c>
      <c r="N10" s="128">
        <f>MAX(0,M10-M9)</f>
        <v/>
      </c>
      <c r="O10" s="127">
        <f>IF(B10&lt;='VALOR POR PL'!$P$5,'CP RESUMO'!I54,"")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HISTORICOS'!J12)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RESUMO'!J12</f>
        <v/>
      </c>
      <c r="N11" s="128">
        <f>MAX(0,M11-M10)</f>
        <v/>
      </c>
      <c r="O11" s="127">
        <f>IF(B11&lt;='VALOR POR PL'!$P$5,'CP RESUMO'!J54,"")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HISTORICOS'!K12)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RESUMO'!K12</f>
        <v/>
      </c>
      <c r="N12" s="128">
        <f>MAX(0,M12-M11)</f>
        <v/>
      </c>
      <c r="O12" s="127">
        <f>IF(B12&lt;='VALOR POR PL'!$P$5,'CP RESUMO'!K54,"")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HISTORICOS'!L12)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PL'!I18</f>
        <v/>
      </c>
      <c r="M13" s="127">
        <f>'CP RESUMO'!L12</f>
        <v/>
      </c>
      <c r="N13" s="128">
        <f>MAX(0,M13-M12)</f>
        <v/>
      </c>
      <c r="O13" s="127">
        <f>IF(B13&lt;='VALOR POR PL'!$P$5,'CP RESUMO'!L54,"")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HISTORICOS'!M12)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RESUMO'!$D$54:$BW$54,MATCH('VALOR POR PL'!$P$5,'CP RESUMO'!$D$4:$BW$4,0))/100,0)</f>
        <v/>
      </c>
      <c r="M14" s="127">
        <f>'CP RESUMO'!M12</f>
        <v/>
      </c>
      <c r="N14" s="128">
        <f>MAX(0,M14-M13)</f>
        <v/>
      </c>
      <c r="O14" s="127">
        <f>IF(B14&lt;='VALOR POR PL'!$P$5,'CP RESUMO'!M54,"")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HISTORICOS'!N12)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RESUMO'!N12</f>
        <v/>
      </c>
      <c r="N15" s="128">
        <f>MAX(0,M15-M14)</f>
        <v/>
      </c>
      <c r="O15" s="127">
        <f>IF(B15&lt;='VALOR POR PL'!$P$5,'CP RESUMO'!N54,"")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HISTORICOS'!O12)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RESUMO'!O12</f>
        <v/>
      </c>
      <c r="N16" s="128">
        <f>MAX(0,M16-M15)</f>
        <v/>
      </c>
      <c r="O16" s="127">
        <f>IF(B16&lt;='VALOR POR PL'!$P$5,'CP RESUMO'!O54,"")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HISTORICOS'!P12)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RESUMO'!P12</f>
        <v/>
      </c>
      <c r="N17" s="128">
        <f>MAX(0,M17-M16)</f>
        <v/>
      </c>
      <c r="O17" s="127">
        <f>IF(B17&lt;='VALOR POR PL'!$P$5,'CP RESUMO'!P54,"")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HISTORICOS'!Q12)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RESUMO'!Q12</f>
        <v/>
      </c>
      <c r="N18" s="128">
        <f>MAX(0,M18-M17)</f>
        <v/>
      </c>
      <c r="O18" s="127">
        <f>IF(B18&lt;='VALOR POR PL'!$P$5,'CP RESUMO'!Q54,"")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HISTORICOS'!R12)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RESUMO'!R12</f>
        <v/>
      </c>
      <c r="N19" s="128">
        <f>MAX(0,M19-M18)</f>
        <v/>
      </c>
      <c r="O19" s="127">
        <f>IF(B19&lt;='VALOR POR PL'!$P$5,'CP RESUMO'!R54,"")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HISTORICOS'!S12)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RESUMO'!S12</f>
        <v/>
      </c>
      <c r="N20" s="128">
        <f>MAX(0,M20-M19)</f>
        <v/>
      </c>
      <c r="O20" s="127">
        <f>IF(B20&lt;='VALOR POR PL'!$P$5,'CP RESUMO'!S54,"")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HISTORICOS'!T12)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RESUMO'!T12</f>
        <v/>
      </c>
      <c r="N21" s="128">
        <f>MAX(0,M21-M20)</f>
        <v/>
      </c>
      <c r="O21" s="127">
        <f>IF(B21&lt;='VALOR POR PL'!$P$5,'CP RESUMO'!T54,"")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HISTORICOS'!U12)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RESUMO'!U12</f>
        <v/>
      </c>
      <c r="N22" s="128">
        <f>MAX(0,M22-M21)</f>
        <v/>
      </c>
      <c r="O22" s="127">
        <f>IF(B22&lt;='VALOR POR PL'!$P$5,'CP RESUMO'!U54,"")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HISTORICOS'!V12)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RESUMO'!V12</f>
        <v/>
      </c>
      <c r="N23" s="128">
        <f>MAX(0,M23-M22)</f>
        <v/>
      </c>
      <c r="O23" s="127">
        <f>IF(B23&lt;='VALOR POR PL'!$P$5,'CP RESUMO'!V54,"")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HISTORICOS'!W12)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RESUMO'!W12</f>
        <v/>
      </c>
      <c r="N24" s="128">
        <f>MAX(0,M24-M23)</f>
        <v/>
      </c>
      <c r="O24" s="127">
        <f>IF(B24&lt;='VALOR POR PL'!$P$5,'CP RESUMO'!W54,"")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HISTORICOS'!X12)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RESUMO'!X12</f>
        <v/>
      </c>
      <c r="N25" s="128">
        <f>MAX(0,M25-M24)</f>
        <v/>
      </c>
      <c r="O25" s="127">
        <f>IF(B25&lt;='VALOR POR PL'!$P$5,'CP RESUMO'!X54,"")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HISTORICOS'!Y12)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RESUMO'!Y12</f>
        <v/>
      </c>
      <c r="N26" s="128">
        <f>MAX(0,M26-M25)</f>
        <v/>
      </c>
      <c r="O26" s="127">
        <f>IF(B26&lt;='VALOR POR PL'!$P$5,'CP RESUMO'!Y54,"")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HISTORICOS'!Z12)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RESUMO'!Z12</f>
        <v/>
      </c>
      <c r="N27" s="128">
        <f>MAX(0,M27-M26)</f>
        <v/>
      </c>
      <c r="O27" s="127">
        <f>IF(B27&lt;='VALOR POR PL'!$P$5,'CP RESUMO'!Z54,"")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HISTORICOS'!AA12)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RESUMO'!AA12</f>
        <v/>
      </c>
      <c r="N28" s="128">
        <f>MAX(0,M28-M27)</f>
        <v/>
      </c>
      <c r="O28" s="127">
        <f>IF(B28&lt;='VALOR POR PL'!$P$5,'CP RESUMO'!AA54,"")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HISTORICOS'!AB12)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RESUMO'!AB12</f>
        <v/>
      </c>
      <c r="N29" s="128">
        <f>MAX(0,M29-M28)</f>
        <v/>
      </c>
      <c r="O29" s="127">
        <f>IF(B29&lt;='VALOR POR PL'!$P$5,'CP RESUMO'!AB54,"")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HISTORICOS'!AC12)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RESUMO'!AC12</f>
        <v/>
      </c>
      <c r="N30" s="128">
        <f>MAX(0,M30-M29)</f>
        <v/>
      </c>
      <c r="O30" s="127">
        <f>IF(B30&lt;='VALOR POR PL'!$P$5,'CP RESUMO'!AC54,"")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HISTORICOS'!AD12)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RESUMO'!AD12</f>
        <v/>
      </c>
      <c r="N31" s="128">
        <f>MAX(0,M31-M30)</f>
        <v/>
      </c>
      <c r="O31" s="127">
        <f>IF(B31&lt;='VALOR POR PL'!$P$5,'CP RESUMO'!AD54,"")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HISTORICOS'!AE12)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RESUMO'!AE12</f>
        <v/>
      </c>
      <c r="N32" s="128">
        <f>MAX(0,M32-M31)</f>
        <v/>
      </c>
      <c r="O32" s="127">
        <f>IF(B32&lt;='VALOR POR PL'!$P$5,'CP RESUMO'!AE54,"")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HISTORICOS'!AF12)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RESUMO'!AF12</f>
        <v/>
      </c>
      <c r="N33" s="128">
        <f>MAX(0,M33-M32)</f>
        <v/>
      </c>
      <c r="O33" s="127">
        <f>IF(B33&lt;='VALOR POR PL'!$P$5,'CP RESUMO'!AF54,"")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HISTORICOS'!AG12)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RESUMO'!AG12</f>
        <v/>
      </c>
      <c r="N34" s="128">
        <f>MAX(0,M34-M33)</f>
        <v/>
      </c>
      <c r="O34" s="127">
        <f>IF(B34&lt;='VALOR POR PL'!$P$5,'CP RESUMO'!AG54,"")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HISTORICOS'!AH12)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RESUMO'!AH12</f>
        <v/>
      </c>
      <c r="N35" s="128">
        <f>MAX(0,M35-M34)</f>
        <v/>
      </c>
      <c r="O35" s="127">
        <f>IF(B35&lt;='VALOR POR PL'!$P$5,'CP RESUMO'!AH54,"")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HISTORICOS'!AI12)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RESUMO'!AI12</f>
        <v/>
      </c>
      <c r="N36" s="128">
        <f>MAX(0,M36-M35)</f>
        <v/>
      </c>
      <c r="O36" s="127">
        <f>IF(B36&lt;='VALOR POR PL'!$P$5,'CP RESUMO'!AI54,"")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HISTORICOS'!AJ12)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RESUMO'!AJ12</f>
        <v/>
      </c>
      <c r="N37" s="128">
        <f>MAX(0,M37-M36)</f>
        <v/>
      </c>
      <c r="O37" s="127">
        <f>IF(B37&lt;='VALOR POR PL'!$P$5,'CP RESUMO'!AJ54,"")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HISTORICOS'!AK12)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RESUMO'!AK12</f>
        <v/>
      </c>
      <c r="N38" s="128">
        <f>MAX(0,M38-M37)</f>
        <v/>
      </c>
      <c r="O38" s="127">
        <f>IF(B38&lt;='VALOR POR PL'!$P$5,'CP RESUMO'!AK54,"")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HISTORICOS'!AL12)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RESUMO'!AL12</f>
        <v/>
      </c>
      <c r="N39" s="128">
        <f>MAX(0,M39-M38)</f>
        <v/>
      </c>
      <c r="O39" s="127">
        <f>IF(B39&lt;='VALOR POR PL'!$P$5,'CP RESUMO'!AL54,"")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HISTORICOS'!AM12)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RESUMO'!AM12</f>
        <v/>
      </c>
      <c r="N40" s="128">
        <f>MAX(0,M40-M39)</f>
        <v/>
      </c>
      <c r="O40" s="127">
        <f>IF(B40&lt;='VALOR POR PL'!$P$5,'CP RESUMO'!AM54,"")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HISTORICOS'!AN12)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RESUMO'!AN12</f>
        <v/>
      </c>
      <c r="N41" s="128">
        <f>MAX(0,M41-M40)</f>
        <v/>
      </c>
      <c r="O41" s="127">
        <f>IF(B41&lt;='VALOR POR PL'!$P$5,'CP RESUMO'!AN54,"")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HISTORICOS'!AO12)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RESUMO'!AO12</f>
        <v/>
      </c>
      <c r="N42" s="128">
        <f>MAX(0,M42-M41)</f>
        <v/>
      </c>
      <c r="O42" s="127">
        <f>IF(B42&lt;='VALOR POR PL'!$P$5,'CP RESUMO'!AO54,"")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HISTORICOS'!AP12)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RESUMO'!AP12</f>
        <v/>
      </c>
      <c r="N43" s="128">
        <f>MAX(0,M43-M42)</f>
        <v/>
      </c>
      <c r="O43" s="127">
        <f>IF(B43&lt;='VALOR POR PL'!$P$5,'CP RESUMO'!AP54,"")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HISTORICOS'!AQ12)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RESUMO'!AQ12</f>
        <v/>
      </c>
      <c r="N44" s="128">
        <f>MAX(0,M44-M43)</f>
        <v/>
      </c>
      <c r="O44" s="127">
        <f>IF(B44&lt;='VALOR POR PL'!$P$5,'CP RESUMO'!AQ54,"")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HISTORICOS'!AR12)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RESUMO'!AR12</f>
        <v/>
      </c>
      <c r="N45" s="128">
        <f>MAX(0,M45-M44)</f>
        <v/>
      </c>
      <c r="O45" s="127">
        <f>IF(B45&lt;='VALOR POR PL'!$P$5,'CP RESUMO'!AR54,"")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HISTORICOS'!AS12)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RESUMO'!AS12</f>
        <v/>
      </c>
      <c r="N46" s="128">
        <f>MAX(0,M46-M45)</f>
        <v/>
      </c>
      <c r="O46" s="127">
        <f>IF(B46&lt;='VALOR POR PL'!$P$5,'CP RESUMO'!AS54,"")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HISTORICOS'!AT12)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RESUMO'!AT12</f>
        <v/>
      </c>
      <c r="N47" s="128">
        <f>MAX(0,M47-M46)</f>
        <v/>
      </c>
      <c r="O47" s="127">
        <f>IF(B47&lt;='VALOR POR PL'!$P$5,'CP RESUMO'!AT54,"")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HISTORICOS'!AU12)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RESUMO'!AU12</f>
        <v/>
      </c>
      <c r="N48" s="128">
        <f>MAX(0,M48-M47)</f>
        <v/>
      </c>
      <c r="O48" s="127">
        <f>IF(B48&lt;='VALOR POR PL'!$P$5,'CP RESUMO'!AU54,"")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HISTORICOS'!AV12)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RESUMO'!AV12</f>
        <v/>
      </c>
      <c r="N49" s="128">
        <f>MAX(0,M49-M48)</f>
        <v/>
      </c>
      <c r="O49" s="127">
        <f>IF(B49&lt;='VALOR POR PL'!$P$5,'CP RESUMO'!AV54,"")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HISTORICOS'!AW12)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RESUMO'!AW12</f>
        <v/>
      </c>
      <c r="N50" s="128">
        <f>MAX(0,M50-M49)</f>
        <v/>
      </c>
      <c r="O50" s="127">
        <f>IF(B50&lt;='VALOR POR PL'!$P$5,'CP RESUMO'!AW54,"")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HISTORICOS'!AX12)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RESUMO'!AX12</f>
        <v/>
      </c>
      <c r="N51" s="128">
        <f>MAX(0,M51-M50)</f>
        <v/>
      </c>
      <c r="O51" s="127">
        <f>IF(B51&lt;='VALOR POR PL'!$P$5,'CP RESUMO'!AX54,"")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HISTORICOS'!AY12)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RESUMO'!AY12</f>
        <v/>
      </c>
      <c r="N52" s="128">
        <f>MAX(0,M52-M51)</f>
        <v/>
      </c>
      <c r="O52" s="127">
        <f>IF(B52&lt;='VALOR POR PL'!$P$5,'CP RESUMO'!AY54,"")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HISTORICOS'!AZ12)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RESUMO'!AZ12</f>
        <v/>
      </c>
      <c r="N53" s="128">
        <f>MAX(0,M53-M52)</f>
        <v/>
      </c>
      <c r="O53" s="127">
        <f>IF(B53&lt;='VALOR POR PL'!$P$5,'CP RESUMO'!AZ54,"")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HISTORICOS'!BA12)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RESUMO'!BA12</f>
        <v/>
      </c>
      <c r="N54" s="128">
        <f>MAX(0,M54-M53)</f>
        <v/>
      </c>
      <c r="O54" s="127">
        <f>IF(B54&lt;='VALOR POR PL'!$P$5,'CP RESUMO'!BA54,"")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HISTORICOS'!BB12)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RESUMO'!BB12</f>
        <v/>
      </c>
      <c r="N55" s="128">
        <f>MAX(0,M55-M54)</f>
        <v/>
      </c>
      <c r="O55" s="127">
        <f>IF(B55&lt;='VALOR POR PL'!$P$5,'CP RESUMO'!BB54,"")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HISTORICOS'!BC12)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RESUMO'!BC12</f>
        <v/>
      </c>
      <c r="N56" s="128">
        <f>MAX(0,M56-M55)</f>
        <v/>
      </c>
      <c r="O56" s="127">
        <f>IF(B56&lt;='VALOR POR PL'!$P$5,'CP RESUMO'!BC54,"")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HISTORICOS'!BD12)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RESUMO'!BD12</f>
        <v/>
      </c>
      <c r="N57" s="128">
        <f>MAX(0,M57-M56)</f>
        <v/>
      </c>
      <c r="O57" s="127">
        <f>IF(B57&lt;='VALOR POR PL'!$P$5,'CP RESUMO'!BD54,"")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HISTORICOS'!BE12)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RESUMO'!BE12</f>
        <v/>
      </c>
      <c r="N58" s="128">
        <f>MAX(0,M58-M57)</f>
        <v/>
      </c>
      <c r="O58" s="127">
        <f>IF(B58&lt;='VALOR POR PL'!$P$5,'CP RESUMO'!BE54,"")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HISTORICOS'!BF12)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RESUMO'!BF12</f>
        <v/>
      </c>
      <c r="N59" s="128">
        <f>MAX(0,M59-M58)</f>
        <v/>
      </c>
      <c r="O59" s="127">
        <f>IF(B59&lt;='VALOR POR PL'!$P$5,'CP RESUMO'!BF54,"")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HISTORICOS'!BG12)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RESUMO'!BG12</f>
        <v/>
      </c>
      <c r="N60" s="128">
        <f>MAX(0,M60-M59)</f>
        <v/>
      </c>
      <c r="O60" s="127">
        <f>IF(B60&lt;='VALOR POR PL'!$P$5,'CP RESUMO'!BG54,"")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HISTORICOS'!BH12)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RESUMO'!BH12</f>
        <v/>
      </c>
      <c r="N61" s="128">
        <f>MAX(0,M61-M60)</f>
        <v/>
      </c>
      <c r="O61" s="127">
        <f>IF(B61&lt;='VALOR POR PL'!$P$5,'CP RESUMO'!BH54,"")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HISTORICOS'!BI12)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RESUMO'!BI12</f>
        <v/>
      </c>
      <c r="N62" s="128">
        <f>MAX(0,M62-M61)</f>
        <v/>
      </c>
      <c r="O62" s="127">
        <f>IF(B62&lt;='VALOR POR PL'!$P$5,'CP RESUMO'!BI54,"")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HISTORICOS'!BJ12)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RESUMO'!BJ12</f>
        <v/>
      </c>
      <c r="N63" s="128">
        <f>MAX(0,M63-M62)</f>
        <v/>
      </c>
      <c r="O63" s="127">
        <f>IF(B63&lt;='VALOR POR PL'!$P$5,'CP RESUMO'!BJ54,"")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HISTORICOS'!BK12)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RESUMO'!BK12</f>
        <v/>
      </c>
      <c r="N64" s="128">
        <f>MAX(0,M64-M63)</f>
        <v/>
      </c>
      <c r="O64" s="127">
        <f>IF(B64&lt;='VALOR POR PL'!$P$5,'CP RESUMO'!BK54,"")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HISTORICOS'!BL12)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RESUMO'!BL12</f>
        <v/>
      </c>
      <c r="N65" s="128">
        <f>MAX(0,M65-M64)</f>
        <v/>
      </c>
      <c r="O65" s="127">
        <f>IF(B65&lt;='VALOR POR PL'!$P$5,'CP RESUMO'!BL54,"")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HISTORICOS'!BM12)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RESUMO'!BM12</f>
        <v/>
      </c>
      <c r="N66" s="128">
        <f>MAX(0,M66-M65)</f>
        <v/>
      </c>
      <c r="O66" s="127">
        <f>IF(B66&lt;='VALOR POR PL'!$P$5,'CP RESUMO'!BM54,"")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HISTORICOS'!BN12)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RESUMO'!BN12</f>
        <v/>
      </c>
      <c r="N67" s="128">
        <f>MAX(0,M67-M66)</f>
        <v/>
      </c>
      <c r="O67" s="127">
        <f>IF(B67&lt;='VALOR POR PL'!$P$5,'CP RESUMO'!BN54,"")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HISTORICOS'!BO12)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RESUMO'!BO12</f>
        <v/>
      </c>
      <c r="N68" s="128">
        <f>MAX(0,M68-M67)</f>
        <v/>
      </c>
      <c r="O68" s="127">
        <f>IF(B68&lt;='VALOR POR PL'!$P$5,'CP RESUMO'!BO54,"")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HISTORICOS'!BP12)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RESUMO'!BP12</f>
        <v/>
      </c>
      <c r="N69" s="128">
        <f>MAX(0,M69-M68)</f>
        <v/>
      </c>
      <c r="O69" s="127">
        <f>IF(B69&lt;='VALOR POR PL'!$P$5,'CP RESUMO'!BP54,"")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HISTORICOS'!BQ12)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RESUMO'!BQ12</f>
        <v/>
      </c>
      <c r="N70" s="128">
        <f>MAX(0,M70-M69)</f>
        <v/>
      </c>
      <c r="O70" s="127">
        <f>IF(B70&lt;='VALOR POR PL'!$P$5,'CP RESUMO'!BQ54,"")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HISTORICOS'!BR12)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RESUMO'!BR12</f>
        <v/>
      </c>
      <c r="N71" s="128">
        <f>MAX(0,M71-M70)</f>
        <v/>
      </c>
      <c r="O71" s="127">
        <f>IF(B71&lt;='VALOR POR PL'!$P$5,'CP RESUMO'!BR54,"")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HISTORICOS'!BS12)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RESUMO'!BS12</f>
        <v/>
      </c>
      <c r="N72" s="128">
        <f>MAX(0,M72-M71)</f>
        <v/>
      </c>
      <c r="O72" s="127">
        <f>IF(B72&lt;='VALOR POR PL'!$P$5,'CP RESUMO'!BS54,"")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HISTORICOS'!BT12)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RESUMO'!BT12</f>
        <v/>
      </c>
      <c r="N73" s="128">
        <f>MAX(0,M73-M72)</f>
        <v/>
      </c>
      <c r="O73" s="127">
        <f>IF(B73&lt;='VALOR POR PL'!$P$5,'CP RESUMO'!BT54,"")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HISTORICOS'!BU12)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RESUMO'!BU12</f>
        <v/>
      </c>
      <c r="N74" s="128">
        <f>MAX(0,M74-M73)</f>
        <v/>
      </c>
      <c r="O74" s="127">
        <f>IF(B74&lt;='VALOR POR PL'!$P$5,'CP RESUMO'!BU54,"")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HISTORICOS'!BV12)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RESUMO'!BV12</f>
        <v/>
      </c>
      <c r="N75" s="128">
        <f>MAX(0,M75-M74)</f>
        <v/>
      </c>
      <c r="O75" s="127">
        <f>IF(B75&lt;='VALOR POR PL'!$P$5,'CP RESUMO'!BV54,"")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HISTORICOS'!BW12)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RESUMO'!BW12</f>
        <v/>
      </c>
      <c r="N76" s="128">
        <f>MAX(0,M76-M75)</f>
        <v/>
      </c>
      <c r="O76" s="127">
        <f>IF(B76&lt;='VALOR POR PL'!$P$5,'CP RESUMO'!BW54,"")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PL'!D19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HISTORICOS'!D13)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PL'!F19</f>
        <v/>
      </c>
      <c r="K5" s="63">
        <f>'VALOR POR PL'!G19</f>
        <v/>
      </c>
      <c r="M5" s="127">
        <f>'CP RESUMO'!D13</f>
        <v/>
      </c>
      <c r="N5" s="128" t="n">
        <v>0</v>
      </c>
      <c r="O5" s="127">
        <f>IF(B5&lt;='VALOR POR PL'!$P$5,'CP RESUMO'!D55,"")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HISTORICOS'!E13)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RESUMO'!E13</f>
        <v/>
      </c>
      <c r="N6" s="128">
        <f>MAX(0,M6-M5)</f>
        <v/>
      </c>
      <c r="O6" s="127">
        <f>IF(B6&lt;='VALOR POR PL'!$P$5,'CP RESUMO'!E55,"")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HISTORICOS'!F13)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PL'!L19</f>
        <v/>
      </c>
      <c r="M7" s="127">
        <f>'CP RESUMO'!F13</f>
        <v/>
      </c>
      <c r="N7" s="128">
        <f>MAX(0,M7-M6)</f>
        <v/>
      </c>
      <c r="O7" s="127">
        <f>IF(B7&lt;='VALOR POR PL'!$P$5,'CP RESUMO'!F55,"")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HISTORICOS'!G13)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RESUMO'!G13</f>
        <v/>
      </c>
      <c r="N8" s="128">
        <f>MAX(0,M8-M7)</f>
        <v/>
      </c>
      <c r="O8" s="127">
        <f>IF(B8&lt;='VALOR POR PL'!$P$5,'CP RESUMO'!G55,"")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HISTORICOS'!H13)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RESUMO'!H13</f>
        <v/>
      </c>
      <c r="N9" s="128">
        <f>MAX(0,M9-M8)</f>
        <v/>
      </c>
      <c r="O9" s="127">
        <f>IF(B9&lt;='VALOR POR PL'!$P$5,'CP RESUMO'!H55,"")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HISTORICOS'!I13)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RESUMO'!I13</f>
        <v/>
      </c>
      <c r="N10" s="128">
        <f>MAX(0,M10-M9)</f>
        <v/>
      </c>
      <c r="O10" s="127">
        <f>IF(B10&lt;='VALOR POR PL'!$P$5,'CP RESUMO'!I55,"")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HISTORICOS'!J13)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RESUMO'!J13</f>
        <v/>
      </c>
      <c r="N11" s="128">
        <f>MAX(0,M11-M10)</f>
        <v/>
      </c>
      <c r="O11" s="127">
        <f>IF(B11&lt;='VALOR POR PL'!$P$5,'CP RESUMO'!J55,"")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HISTORICOS'!K13)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RESUMO'!K13</f>
        <v/>
      </c>
      <c r="N12" s="128">
        <f>MAX(0,M12-M11)</f>
        <v/>
      </c>
      <c r="O12" s="127">
        <f>IF(B12&lt;='VALOR POR PL'!$P$5,'CP RESUMO'!K55,"")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HISTORICOS'!L13)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PL'!I19</f>
        <v/>
      </c>
      <c r="M13" s="127">
        <f>'CP RESUMO'!L13</f>
        <v/>
      </c>
      <c r="N13" s="128">
        <f>MAX(0,M13-M12)</f>
        <v/>
      </c>
      <c r="O13" s="127">
        <f>IF(B13&lt;='VALOR POR PL'!$P$5,'CP RESUMO'!L55,"")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HISTORICOS'!M13)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RESUMO'!$D$55:$BW$55,MATCH('VALOR POR PL'!$P$5,'CP RESUMO'!$D$4:$BW$4,0))/100,0)</f>
        <v/>
      </c>
      <c r="M14" s="127">
        <f>'CP RESUMO'!M13</f>
        <v/>
      </c>
      <c r="N14" s="128">
        <f>MAX(0,M14-M13)</f>
        <v/>
      </c>
      <c r="O14" s="127">
        <f>IF(B14&lt;='VALOR POR PL'!$P$5,'CP RESUMO'!M55,"")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HISTORICOS'!N13)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RESUMO'!N13</f>
        <v/>
      </c>
      <c r="N15" s="128">
        <f>MAX(0,M15-M14)</f>
        <v/>
      </c>
      <c r="O15" s="127">
        <f>IF(B15&lt;='VALOR POR PL'!$P$5,'CP RESUMO'!N55,"")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HISTORICOS'!O13)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RESUMO'!O13</f>
        <v/>
      </c>
      <c r="N16" s="128">
        <f>MAX(0,M16-M15)</f>
        <v/>
      </c>
      <c r="O16" s="127">
        <f>IF(B16&lt;='VALOR POR PL'!$P$5,'CP RESUMO'!O55,"")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HISTORICOS'!P13)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RESUMO'!P13</f>
        <v/>
      </c>
      <c r="N17" s="128">
        <f>MAX(0,M17-M16)</f>
        <v/>
      </c>
      <c r="O17" s="127">
        <f>IF(B17&lt;='VALOR POR PL'!$P$5,'CP RESUMO'!P55,"")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HISTORICOS'!Q13)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RESUMO'!Q13</f>
        <v/>
      </c>
      <c r="N18" s="128">
        <f>MAX(0,M18-M17)</f>
        <v/>
      </c>
      <c r="O18" s="127">
        <f>IF(B18&lt;='VALOR POR PL'!$P$5,'CP RESUMO'!Q55,"")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HISTORICOS'!R13)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RESUMO'!R13</f>
        <v/>
      </c>
      <c r="N19" s="128">
        <f>MAX(0,M19-M18)</f>
        <v/>
      </c>
      <c r="O19" s="127">
        <f>IF(B19&lt;='VALOR POR PL'!$P$5,'CP RESUMO'!R55,"")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HISTORICOS'!S13)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RESUMO'!S13</f>
        <v/>
      </c>
      <c r="N20" s="128">
        <f>MAX(0,M20-M19)</f>
        <v/>
      </c>
      <c r="O20" s="127">
        <f>IF(B20&lt;='VALOR POR PL'!$P$5,'CP RESUMO'!S55,"")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HISTORICOS'!T13)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RESUMO'!T13</f>
        <v/>
      </c>
      <c r="N21" s="128">
        <f>MAX(0,M21-M20)</f>
        <v/>
      </c>
      <c r="O21" s="127">
        <f>IF(B21&lt;='VALOR POR PL'!$P$5,'CP RESUMO'!T55,"")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HISTORICOS'!U13)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RESUMO'!U13</f>
        <v/>
      </c>
      <c r="N22" s="128">
        <f>MAX(0,M22-M21)</f>
        <v/>
      </c>
      <c r="O22" s="127">
        <f>IF(B22&lt;='VALOR POR PL'!$P$5,'CP RESUMO'!U55,"")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HISTORICOS'!V13)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RESUMO'!V13</f>
        <v/>
      </c>
      <c r="N23" s="128">
        <f>MAX(0,M23-M22)</f>
        <v/>
      </c>
      <c r="O23" s="127">
        <f>IF(B23&lt;='VALOR POR PL'!$P$5,'CP RESUMO'!V55,"")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HISTORICOS'!W13)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RESUMO'!W13</f>
        <v/>
      </c>
      <c r="N24" s="128">
        <f>MAX(0,M24-M23)</f>
        <v/>
      </c>
      <c r="O24" s="127">
        <f>IF(B24&lt;='VALOR POR PL'!$P$5,'CP RESUMO'!W55,"")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HISTORICOS'!X13)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RESUMO'!X13</f>
        <v/>
      </c>
      <c r="N25" s="128">
        <f>MAX(0,M25-M24)</f>
        <v/>
      </c>
      <c r="O25" s="127">
        <f>IF(B25&lt;='VALOR POR PL'!$P$5,'CP RESUMO'!X55,"")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HISTORICOS'!Y13)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RESUMO'!Y13</f>
        <v/>
      </c>
      <c r="N26" s="128">
        <f>MAX(0,M26-M25)</f>
        <v/>
      </c>
      <c r="O26" s="127">
        <f>IF(B26&lt;='VALOR POR PL'!$P$5,'CP RESUMO'!Y55,"")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HISTORICOS'!Z13)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RESUMO'!Z13</f>
        <v/>
      </c>
      <c r="N27" s="128">
        <f>MAX(0,M27-M26)</f>
        <v/>
      </c>
      <c r="O27" s="127">
        <f>IF(B27&lt;='VALOR POR PL'!$P$5,'CP RESUMO'!Z55,"")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HISTORICOS'!AA13)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RESUMO'!AA13</f>
        <v/>
      </c>
      <c r="N28" s="128">
        <f>MAX(0,M28-M27)</f>
        <v/>
      </c>
      <c r="O28" s="127">
        <f>IF(B28&lt;='VALOR POR PL'!$P$5,'CP RESUMO'!AA55,"")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HISTORICOS'!AB13)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RESUMO'!AB13</f>
        <v/>
      </c>
      <c r="N29" s="128">
        <f>MAX(0,M29-M28)</f>
        <v/>
      </c>
      <c r="O29" s="127">
        <f>IF(B29&lt;='VALOR POR PL'!$P$5,'CP RESUMO'!AB55,"")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HISTORICOS'!AC13)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RESUMO'!AC13</f>
        <v/>
      </c>
      <c r="N30" s="128">
        <f>MAX(0,M30-M29)</f>
        <v/>
      </c>
      <c r="O30" s="127">
        <f>IF(B30&lt;='VALOR POR PL'!$P$5,'CP RESUMO'!AC55,"")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HISTORICOS'!AD13)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RESUMO'!AD13</f>
        <v/>
      </c>
      <c r="N31" s="128">
        <f>MAX(0,M31-M30)</f>
        <v/>
      </c>
      <c r="O31" s="127">
        <f>IF(B31&lt;='VALOR POR PL'!$P$5,'CP RESUMO'!AD55,"")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HISTORICOS'!AE13)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RESUMO'!AE13</f>
        <v/>
      </c>
      <c r="N32" s="128">
        <f>MAX(0,M32-M31)</f>
        <v/>
      </c>
      <c r="O32" s="127">
        <f>IF(B32&lt;='VALOR POR PL'!$P$5,'CP RESUMO'!AE55,"")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HISTORICOS'!AF13)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RESUMO'!AF13</f>
        <v/>
      </c>
      <c r="N33" s="128">
        <f>MAX(0,M33-M32)</f>
        <v/>
      </c>
      <c r="O33" s="127">
        <f>IF(B33&lt;='VALOR POR PL'!$P$5,'CP RESUMO'!AF55,"")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HISTORICOS'!AG13)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RESUMO'!AG13</f>
        <v/>
      </c>
      <c r="N34" s="128">
        <f>MAX(0,M34-M33)</f>
        <v/>
      </c>
      <c r="O34" s="127">
        <f>IF(B34&lt;='VALOR POR PL'!$P$5,'CP RESUMO'!AG55,"")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HISTORICOS'!AH13)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RESUMO'!AH13</f>
        <v/>
      </c>
      <c r="N35" s="128">
        <f>MAX(0,M35-M34)</f>
        <v/>
      </c>
      <c r="O35" s="127">
        <f>IF(B35&lt;='VALOR POR PL'!$P$5,'CP RESUMO'!AH55,"")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HISTORICOS'!AI13)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RESUMO'!AI13</f>
        <v/>
      </c>
      <c r="N36" s="128">
        <f>MAX(0,M36-M35)</f>
        <v/>
      </c>
      <c r="O36" s="127">
        <f>IF(B36&lt;='VALOR POR PL'!$P$5,'CP RESUMO'!AI55,"")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HISTORICOS'!AJ13)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RESUMO'!AJ13</f>
        <v/>
      </c>
      <c r="N37" s="128">
        <f>MAX(0,M37-M36)</f>
        <v/>
      </c>
      <c r="O37" s="127">
        <f>IF(B37&lt;='VALOR POR PL'!$P$5,'CP RESUMO'!AJ55,"")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HISTORICOS'!AK13)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RESUMO'!AK13</f>
        <v/>
      </c>
      <c r="N38" s="128">
        <f>MAX(0,M38-M37)</f>
        <v/>
      </c>
      <c r="O38" s="127">
        <f>IF(B38&lt;='VALOR POR PL'!$P$5,'CP RESUMO'!AK55,"")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HISTORICOS'!AL13)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RESUMO'!AL13</f>
        <v/>
      </c>
      <c r="N39" s="128">
        <f>MAX(0,M39-M38)</f>
        <v/>
      </c>
      <c r="O39" s="127">
        <f>IF(B39&lt;='VALOR POR PL'!$P$5,'CP RESUMO'!AL55,"")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HISTORICOS'!AM13)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RESUMO'!AM13</f>
        <v/>
      </c>
      <c r="N40" s="128">
        <f>MAX(0,M40-M39)</f>
        <v/>
      </c>
      <c r="O40" s="127">
        <f>IF(B40&lt;='VALOR POR PL'!$P$5,'CP RESUMO'!AM55,"")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HISTORICOS'!AN13)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RESUMO'!AN13</f>
        <v/>
      </c>
      <c r="N41" s="128">
        <f>MAX(0,M41-M40)</f>
        <v/>
      </c>
      <c r="O41" s="127">
        <f>IF(B41&lt;='VALOR POR PL'!$P$5,'CP RESUMO'!AN55,"")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HISTORICOS'!AO13)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RESUMO'!AO13</f>
        <v/>
      </c>
      <c r="N42" s="128">
        <f>MAX(0,M42-M41)</f>
        <v/>
      </c>
      <c r="O42" s="127">
        <f>IF(B42&lt;='VALOR POR PL'!$P$5,'CP RESUMO'!AO55,"")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HISTORICOS'!AP13)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RESUMO'!AP13</f>
        <v/>
      </c>
      <c r="N43" s="128">
        <f>MAX(0,M43-M42)</f>
        <v/>
      </c>
      <c r="O43" s="127">
        <f>IF(B43&lt;='VALOR POR PL'!$P$5,'CP RESUMO'!AP55,"")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HISTORICOS'!AQ13)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RESUMO'!AQ13</f>
        <v/>
      </c>
      <c r="N44" s="128">
        <f>MAX(0,M44-M43)</f>
        <v/>
      </c>
      <c r="O44" s="127">
        <f>IF(B44&lt;='VALOR POR PL'!$P$5,'CP RESUMO'!AQ55,"")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HISTORICOS'!AR13)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RESUMO'!AR13</f>
        <v/>
      </c>
      <c r="N45" s="128">
        <f>MAX(0,M45-M44)</f>
        <v/>
      </c>
      <c r="O45" s="127">
        <f>IF(B45&lt;='VALOR POR PL'!$P$5,'CP RESUMO'!AR55,"")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HISTORICOS'!AS13)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RESUMO'!AS13</f>
        <v/>
      </c>
      <c r="N46" s="128">
        <f>MAX(0,M46-M45)</f>
        <v/>
      </c>
      <c r="O46" s="127">
        <f>IF(B46&lt;='VALOR POR PL'!$P$5,'CP RESUMO'!AS55,"")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HISTORICOS'!AT13)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RESUMO'!AT13</f>
        <v/>
      </c>
      <c r="N47" s="128">
        <f>MAX(0,M47-M46)</f>
        <v/>
      </c>
      <c r="O47" s="127">
        <f>IF(B47&lt;='VALOR POR PL'!$P$5,'CP RESUMO'!AT55,"")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HISTORICOS'!AU13)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RESUMO'!AU13</f>
        <v/>
      </c>
      <c r="N48" s="128">
        <f>MAX(0,M48-M47)</f>
        <v/>
      </c>
      <c r="O48" s="127">
        <f>IF(B48&lt;='VALOR POR PL'!$P$5,'CP RESUMO'!AU55,"")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HISTORICOS'!AV13)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RESUMO'!AV13</f>
        <v/>
      </c>
      <c r="N49" s="128">
        <f>MAX(0,M49-M48)</f>
        <v/>
      </c>
      <c r="O49" s="127">
        <f>IF(B49&lt;='VALOR POR PL'!$P$5,'CP RESUMO'!AV55,"")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HISTORICOS'!AW13)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RESUMO'!AW13</f>
        <v/>
      </c>
      <c r="N50" s="128">
        <f>MAX(0,M50-M49)</f>
        <v/>
      </c>
      <c r="O50" s="127">
        <f>IF(B50&lt;='VALOR POR PL'!$P$5,'CP RESUMO'!AW55,"")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HISTORICOS'!AX13)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RESUMO'!AX13</f>
        <v/>
      </c>
      <c r="N51" s="128">
        <f>MAX(0,M51-M50)</f>
        <v/>
      </c>
      <c r="O51" s="127">
        <f>IF(B51&lt;='VALOR POR PL'!$P$5,'CP RESUMO'!AX55,"")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HISTORICOS'!AY13)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RESUMO'!AY13</f>
        <v/>
      </c>
      <c r="N52" s="128">
        <f>MAX(0,M52-M51)</f>
        <v/>
      </c>
      <c r="O52" s="127">
        <f>IF(B52&lt;='VALOR POR PL'!$P$5,'CP RESUMO'!AY55,"")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HISTORICOS'!AZ13)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RESUMO'!AZ13</f>
        <v/>
      </c>
      <c r="N53" s="128">
        <f>MAX(0,M53-M52)</f>
        <v/>
      </c>
      <c r="O53" s="127">
        <f>IF(B53&lt;='VALOR POR PL'!$P$5,'CP RESUMO'!AZ55,"")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HISTORICOS'!BA13)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RESUMO'!BA13</f>
        <v/>
      </c>
      <c r="N54" s="128">
        <f>MAX(0,M54-M53)</f>
        <v/>
      </c>
      <c r="O54" s="127">
        <f>IF(B54&lt;='VALOR POR PL'!$P$5,'CP RESUMO'!BA55,"")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HISTORICOS'!BB13)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RESUMO'!BB13</f>
        <v/>
      </c>
      <c r="N55" s="128">
        <f>MAX(0,M55-M54)</f>
        <v/>
      </c>
      <c r="O55" s="127">
        <f>IF(B55&lt;='VALOR POR PL'!$P$5,'CP RESUMO'!BB55,"")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HISTORICOS'!BC13)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RESUMO'!BC13</f>
        <v/>
      </c>
      <c r="N56" s="128">
        <f>MAX(0,M56-M55)</f>
        <v/>
      </c>
      <c r="O56" s="127">
        <f>IF(B56&lt;='VALOR POR PL'!$P$5,'CP RESUMO'!BC55,"")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HISTORICOS'!BD13)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RESUMO'!BD13</f>
        <v/>
      </c>
      <c r="N57" s="128">
        <f>MAX(0,M57-M56)</f>
        <v/>
      </c>
      <c r="O57" s="127">
        <f>IF(B57&lt;='VALOR POR PL'!$P$5,'CP RESUMO'!BD55,"")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HISTORICOS'!BE13)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RESUMO'!BE13</f>
        <v/>
      </c>
      <c r="N58" s="128">
        <f>MAX(0,M58-M57)</f>
        <v/>
      </c>
      <c r="O58" s="127">
        <f>IF(B58&lt;='VALOR POR PL'!$P$5,'CP RESUMO'!BE55,"")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HISTORICOS'!BF13)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RESUMO'!BF13</f>
        <v/>
      </c>
      <c r="N59" s="128">
        <f>MAX(0,M59-M58)</f>
        <v/>
      </c>
      <c r="O59" s="127">
        <f>IF(B59&lt;='VALOR POR PL'!$P$5,'CP RESUMO'!BF55,"")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HISTORICOS'!BG13)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RESUMO'!BG13</f>
        <v/>
      </c>
      <c r="N60" s="128">
        <f>MAX(0,M60-M59)</f>
        <v/>
      </c>
      <c r="O60" s="127">
        <f>IF(B60&lt;='VALOR POR PL'!$P$5,'CP RESUMO'!BG55,"")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HISTORICOS'!BH13)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RESUMO'!BH13</f>
        <v/>
      </c>
      <c r="N61" s="128">
        <f>MAX(0,M61-M60)</f>
        <v/>
      </c>
      <c r="O61" s="127">
        <f>IF(B61&lt;='VALOR POR PL'!$P$5,'CP RESUMO'!BH55,"")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HISTORICOS'!BI13)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RESUMO'!BI13</f>
        <v/>
      </c>
      <c r="N62" s="128">
        <f>MAX(0,M62-M61)</f>
        <v/>
      </c>
      <c r="O62" s="127">
        <f>IF(B62&lt;='VALOR POR PL'!$P$5,'CP RESUMO'!BI55,"")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HISTORICOS'!BJ13)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RESUMO'!BJ13</f>
        <v/>
      </c>
      <c r="N63" s="128">
        <f>MAX(0,M63-M62)</f>
        <v/>
      </c>
      <c r="O63" s="127">
        <f>IF(B63&lt;='VALOR POR PL'!$P$5,'CP RESUMO'!BJ55,"")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HISTORICOS'!BK13)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RESUMO'!BK13</f>
        <v/>
      </c>
      <c r="N64" s="128">
        <f>MAX(0,M64-M63)</f>
        <v/>
      </c>
      <c r="O64" s="127">
        <f>IF(B64&lt;='VALOR POR PL'!$P$5,'CP RESUMO'!BK55,"")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HISTORICOS'!BL13)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RESUMO'!BL13</f>
        <v/>
      </c>
      <c r="N65" s="128">
        <f>MAX(0,M65-M64)</f>
        <v/>
      </c>
      <c r="O65" s="127">
        <f>IF(B65&lt;='VALOR POR PL'!$P$5,'CP RESUMO'!BL55,"")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HISTORICOS'!BM13)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RESUMO'!BM13</f>
        <v/>
      </c>
      <c r="N66" s="128">
        <f>MAX(0,M66-M65)</f>
        <v/>
      </c>
      <c r="O66" s="127">
        <f>IF(B66&lt;='VALOR POR PL'!$P$5,'CP RESUMO'!BM55,"")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HISTORICOS'!BN13)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RESUMO'!BN13</f>
        <v/>
      </c>
      <c r="N67" s="128">
        <f>MAX(0,M67-M66)</f>
        <v/>
      </c>
      <c r="O67" s="127">
        <f>IF(B67&lt;='VALOR POR PL'!$P$5,'CP RESUMO'!BN55,"")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HISTORICOS'!BO13)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RESUMO'!BO13</f>
        <v/>
      </c>
      <c r="N68" s="128">
        <f>MAX(0,M68-M67)</f>
        <v/>
      </c>
      <c r="O68" s="127">
        <f>IF(B68&lt;='VALOR POR PL'!$P$5,'CP RESUMO'!BO55,"")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HISTORICOS'!BP13)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RESUMO'!BP13</f>
        <v/>
      </c>
      <c r="N69" s="128">
        <f>MAX(0,M69-M68)</f>
        <v/>
      </c>
      <c r="O69" s="127">
        <f>IF(B69&lt;='VALOR POR PL'!$P$5,'CP RESUMO'!BP55,"")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HISTORICOS'!BQ13)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RESUMO'!BQ13</f>
        <v/>
      </c>
      <c r="N70" s="128">
        <f>MAX(0,M70-M69)</f>
        <v/>
      </c>
      <c r="O70" s="127">
        <f>IF(B70&lt;='VALOR POR PL'!$P$5,'CP RESUMO'!BQ55,"")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HISTORICOS'!BR13)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RESUMO'!BR13</f>
        <v/>
      </c>
      <c r="N71" s="128">
        <f>MAX(0,M71-M70)</f>
        <v/>
      </c>
      <c r="O71" s="127">
        <f>IF(B71&lt;='VALOR POR PL'!$P$5,'CP RESUMO'!BR55,"")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HISTORICOS'!BS13)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RESUMO'!BS13</f>
        <v/>
      </c>
      <c r="N72" s="128">
        <f>MAX(0,M72-M71)</f>
        <v/>
      </c>
      <c r="O72" s="127">
        <f>IF(B72&lt;='VALOR POR PL'!$P$5,'CP RESUMO'!BS55,"")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HISTORICOS'!BT13)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RESUMO'!BT13</f>
        <v/>
      </c>
      <c r="N73" s="128">
        <f>MAX(0,M73-M72)</f>
        <v/>
      </c>
      <c r="O73" s="127">
        <f>IF(B73&lt;='VALOR POR PL'!$P$5,'CP RESUMO'!BT55,"")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HISTORICOS'!BU13)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RESUMO'!BU13</f>
        <v/>
      </c>
      <c r="N74" s="128">
        <f>MAX(0,M74-M73)</f>
        <v/>
      </c>
      <c r="O74" s="127">
        <f>IF(B74&lt;='VALOR POR PL'!$P$5,'CP RESUMO'!BU55,"")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HISTORICOS'!BV13)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RESUMO'!BV13</f>
        <v/>
      </c>
      <c r="N75" s="128">
        <f>MAX(0,M75-M74)</f>
        <v/>
      </c>
      <c r="O75" s="127">
        <f>IF(B75&lt;='VALOR POR PL'!$P$5,'CP RESUMO'!BV55,"")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HISTORICOS'!BW13)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RESUMO'!BW13</f>
        <v/>
      </c>
      <c r="N76" s="128">
        <f>MAX(0,M76-M75)</f>
        <v/>
      </c>
      <c r="O76" s="127">
        <f>IF(B76&lt;='VALOR POR PL'!$P$5,'CP RESUMO'!BW55,"")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PL'!D20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HISTORICOS'!D14)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PL'!F20</f>
        <v/>
      </c>
      <c r="K5" s="63">
        <f>'VALOR POR PL'!G20</f>
        <v/>
      </c>
      <c r="M5" s="127">
        <f>'CP RESUMO'!D14</f>
        <v/>
      </c>
      <c r="N5" s="128" t="n">
        <v>0</v>
      </c>
      <c r="O5" s="127">
        <f>IF(B5&lt;='VALOR POR PL'!$P$5,'CP RESUMO'!D56,"")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HISTORICOS'!E14)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RESUMO'!E14</f>
        <v/>
      </c>
      <c r="N6" s="128">
        <f>MAX(0,M6-M5)</f>
        <v/>
      </c>
      <c r="O6" s="127">
        <f>IF(B6&lt;='VALOR POR PL'!$P$5,'CP RESUMO'!E56,"")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HISTORICOS'!F14)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PL'!L20</f>
        <v/>
      </c>
      <c r="M7" s="127">
        <f>'CP RESUMO'!F14</f>
        <v/>
      </c>
      <c r="N7" s="128">
        <f>MAX(0,M7-M6)</f>
        <v/>
      </c>
      <c r="O7" s="127">
        <f>IF(B7&lt;='VALOR POR PL'!$P$5,'CP RESUMO'!F56,"")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HISTORICOS'!G14)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RESUMO'!G14</f>
        <v/>
      </c>
      <c r="N8" s="128">
        <f>MAX(0,M8-M7)</f>
        <v/>
      </c>
      <c r="O8" s="127">
        <f>IF(B8&lt;='VALOR POR PL'!$P$5,'CP RESUMO'!G56,"")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HISTORICOS'!H14)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RESUMO'!H14</f>
        <v/>
      </c>
      <c r="N9" s="128">
        <f>MAX(0,M9-M8)</f>
        <v/>
      </c>
      <c r="O9" s="127">
        <f>IF(B9&lt;='VALOR POR PL'!$P$5,'CP RESUMO'!H56,"")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HISTORICOS'!I14)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RESUMO'!I14</f>
        <v/>
      </c>
      <c r="N10" s="128">
        <f>MAX(0,M10-M9)</f>
        <v/>
      </c>
      <c r="O10" s="127">
        <f>IF(B10&lt;='VALOR POR PL'!$P$5,'CP RESUMO'!I56,"")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HISTORICOS'!J14)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RESUMO'!J14</f>
        <v/>
      </c>
      <c r="N11" s="128">
        <f>MAX(0,M11-M10)</f>
        <v/>
      </c>
      <c r="O11" s="127">
        <f>IF(B11&lt;='VALOR POR PL'!$P$5,'CP RESUMO'!J56,"")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HISTORICOS'!K14)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RESUMO'!K14</f>
        <v/>
      </c>
      <c r="N12" s="128">
        <f>MAX(0,M12-M11)</f>
        <v/>
      </c>
      <c r="O12" s="127">
        <f>IF(B12&lt;='VALOR POR PL'!$P$5,'CP RESUMO'!K56,"")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HISTORICOS'!L14)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PL'!I20</f>
        <v/>
      </c>
      <c r="M13" s="127">
        <f>'CP RESUMO'!L14</f>
        <v/>
      </c>
      <c r="N13" s="128">
        <f>MAX(0,M13-M12)</f>
        <v/>
      </c>
      <c r="O13" s="127">
        <f>IF(B13&lt;='VALOR POR PL'!$P$5,'CP RESUMO'!L56,"")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HISTORICOS'!M14)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RESUMO'!$D$56:$BW$56,MATCH('VALOR POR PL'!$P$5,'CP RESUMO'!$D$4:$BW$4,0))/100,0)</f>
        <v/>
      </c>
      <c r="M14" s="127">
        <f>'CP RESUMO'!M14</f>
        <v/>
      </c>
      <c r="N14" s="128">
        <f>MAX(0,M14-M13)</f>
        <v/>
      </c>
      <c r="O14" s="127">
        <f>IF(B14&lt;='VALOR POR PL'!$P$5,'CP RESUMO'!M56,"")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HISTORICOS'!N14)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RESUMO'!N14</f>
        <v/>
      </c>
      <c r="N15" s="128">
        <f>MAX(0,M15-M14)</f>
        <v/>
      </c>
      <c r="O15" s="127">
        <f>IF(B15&lt;='VALOR POR PL'!$P$5,'CP RESUMO'!N56,"")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HISTORICOS'!O14)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RESUMO'!O14</f>
        <v/>
      </c>
      <c r="N16" s="128">
        <f>MAX(0,M16-M15)</f>
        <v/>
      </c>
      <c r="O16" s="127">
        <f>IF(B16&lt;='VALOR POR PL'!$P$5,'CP RESUMO'!O56,"")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HISTORICOS'!P14)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RESUMO'!P14</f>
        <v/>
      </c>
      <c r="N17" s="128">
        <f>MAX(0,M17-M16)</f>
        <v/>
      </c>
      <c r="O17" s="127">
        <f>IF(B17&lt;='VALOR POR PL'!$P$5,'CP RESUMO'!P56,"")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HISTORICOS'!Q14)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RESUMO'!Q14</f>
        <v/>
      </c>
      <c r="N18" s="128">
        <f>MAX(0,M18-M17)</f>
        <v/>
      </c>
      <c r="O18" s="127">
        <f>IF(B18&lt;='VALOR POR PL'!$P$5,'CP RESUMO'!Q56,"")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HISTORICOS'!R14)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RESUMO'!R14</f>
        <v/>
      </c>
      <c r="N19" s="128">
        <f>MAX(0,M19-M18)</f>
        <v/>
      </c>
      <c r="O19" s="127">
        <f>IF(B19&lt;='VALOR POR PL'!$P$5,'CP RESUMO'!R56,"")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HISTORICOS'!S14)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RESUMO'!S14</f>
        <v/>
      </c>
      <c r="N20" s="128">
        <f>MAX(0,M20-M19)</f>
        <v/>
      </c>
      <c r="O20" s="127">
        <f>IF(B20&lt;='VALOR POR PL'!$P$5,'CP RESUMO'!S56,"")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HISTORICOS'!T14)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RESUMO'!T14</f>
        <v/>
      </c>
      <c r="N21" s="128">
        <f>MAX(0,M21-M20)</f>
        <v/>
      </c>
      <c r="O21" s="127">
        <f>IF(B21&lt;='VALOR POR PL'!$P$5,'CP RESUMO'!T56,"")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HISTORICOS'!U14)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RESUMO'!U14</f>
        <v/>
      </c>
      <c r="N22" s="128">
        <f>MAX(0,M22-M21)</f>
        <v/>
      </c>
      <c r="O22" s="127">
        <f>IF(B22&lt;='VALOR POR PL'!$P$5,'CP RESUMO'!U56,"")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HISTORICOS'!V14)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RESUMO'!V14</f>
        <v/>
      </c>
      <c r="N23" s="128">
        <f>MAX(0,M23-M22)</f>
        <v/>
      </c>
      <c r="O23" s="127">
        <f>IF(B23&lt;='VALOR POR PL'!$P$5,'CP RESUMO'!V56,"")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HISTORICOS'!W14)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RESUMO'!W14</f>
        <v/>
      </c>
      <c r="N24" s="128">
        <f>MAX(0,M24-M23)</f>
        <v/>
      </c>
      <c r="O24" s="127">
        <f>IF(B24&lt;='VALOR POR PL'!$P$5,'CP RESUMO'!W56,"")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HISTORICOS'!X14)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RESUMO'!X14</f>
        <v/>
      </c>
      <c r="N25" s="128">
        <f>MAX(0,M25-M24)</f>
        <v/>
      </c>
      <c r="O25" s="127">
        <f>IF(B25&lt;='VALOR POR PL'!$P$5,'CP RESUMO'!X56,"")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HISTORICOS'!Y14)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RESUMO'!Y14</f>
        <v/>
      </c>
      <c r="N26" s="128">
        <f>MAX(0,M26-M25)</f>
        <v/>
      </c>
      <c r="O26" s="127">
        <f>IF(B26&lt;='VALOR POR PL'!$P$5,'CP RESUMO'!Y56,"")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HISTORICOS'!Z14)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RESUMO'!Z14</f>
        <v/>
      </c>
      <c r="N27" s="128">
        <f>MAX(0,M27-M26)</f>
        <v/>
      </c>
      <c r="O27" s="127">
        <f>IF(B27&lt;='VALOR POR PL'!$P$5,'CP RESUMO'!Z56,"")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HISTORICOS'!AA14)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RESUMO'!AA14</f>
        <v/>
      </c>
      <c r="N28" s="128">
        <f>MAX(0,M28-M27)</f>
        <v/>
      </c>
      <c r="O28" s="127">
        <f>IF(B28&lt;='VALOR POR PL'!$P$5,'CP RESUMO'!AA56,"")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HISTORICOS'!AB14)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RESUMO'!AB14</f>
        <v/>
      </c>
      <c r="N29" s="128">
        <f>MAX(0,M29-M28)</f>
        <v/>
      </c>
      <c r="O29" s="127">
        <f>IF(B29&lt;='VALOR POR PL'!$P$5,'CP RESUMO'!AB56,"")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HISTORICOS'!AC14)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RESUMO'!AC14</f>
        <v/>
      </c>
      <c r="N30" s="128">
        <f>MAX(0,M30-M29)</f>
        <v/>
      </c>
      <c r="O30" s="127">
        <f>IF(B30&lt;='VALOR POR PL'!$P$5,'CP RESUMO'!AC56,"")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HISTORICOS'!AD14)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RESUMO'!AD14</f>
        <v/>
      </c>
      <c r="N31" s="128">
        <f>MAX(0,M31-M30)</f>
        <v/>
      </c>
      <c r="O31" s="127">
        <f>IF(B31&lt;='VALOR POR PL'!$P$5,'CP RESUMO'!AD56,"")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HISTORICOS'!AE14)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RESUMO'!AE14</f>
        <v/>
      </c>
      <c r="N32" s="128">
        <f>MAX(0,M32-M31)</f>
        <v/>
      </c>
      <c r="O32" s="127">
        <f>IF(B32&lt;='VALOR POR PL'!$P$5,'CP RESUMO'!AE56,"")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HISTORICOS'!AF14)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RESUMO'!AF14</f>
        <v/>
      </c>
      <c r="N33" s="128">
        <f>MAX(0,M33-M32)</f>
        <v/>
      </c>
      <c r="O33" s="127">
        <f>IF(B33&lt;='VALOR POR PL'!$P$5,'CP RESUMO'!AF56,"")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HISTORICOS'!AG14)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RESUMO'!AG14</f>
        <v/>
      </c>
      <c r="N34" s="128">
        <f>MAX(0,M34-M33)</f>
        <v/>
      </c>
      <c r="O34" s="127">
        <f>IF(B34&lt;='VALOR POR PL'!$P$5,'CP RESUMO'!AG56,"")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HISTORICOS'!AH14)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RESUMO'!AH14</f>
        <v/>
      </c>
      <c r="N35" s="128">
        <f>MAX(0,M35-M34)</f>
        <v/>
      </c>
      <c r="O35" s="127">
        <f>IF(B35&lt;='VALOR POR PL'!$P$5,'CP RESUMO'!AH56,"")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HISTORICOS'!AI14)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RESUMO'!AI14</f>
        <v/>
      </c>
      <c r="N36" s="128">
        <f>MAX(0,M36-M35)</f>
        <v/>
      </c>
      <c r="O36" s="127">
        <f>IF(B36&lt;='VALOR POR PL'!$P$5,'CP RESUMO'!AI56,"")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HISTORICOS'!AJ14)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RESUMO'!AJ14</f>
        <v/>
      </c>
      <c r="N37" s="128">
        <f>MAX(0,M37-M36)</f>
        <v/>
      </c>
      <c r="O37" s="127">
        <f>IF(B37&lt;='VALOR POR PL'!$P$5,'CP RESUMO'!AJ56,"")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HISTORICOS'!AK14)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RESUMO'!AK14</f>
        <v/>
      </c>
      <c r="N38" s="128">
        <f>MAX(0,M38-M37)</f>
        <v/>
      </c>
      <c r="O38" s="127">
        <f>IF(B38&lt;='VALOR POR PL'!$P$5,'CP RESUMO'!AK56,"")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HISTORICOS'!AL14)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RESUMO'!AL14</f>
        <v/>
      </c>
      <c r="N39" s="128">
        <f>MAX(0,M39-M38)</f>
        <v/>
      </c>
      <c r="O39" s="127">
        <f>IF(B39&lt;='VALOR POR PL'!$P$5,'CP RESUMO'!AL56,"")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HISTORICOS'!AM14)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RESUMO'!AM14</f>
        <v/>
      </c>
      <c r="N40" s="128">
        <f>MAX(0,M40-M39)</f>
        <v/>
      </c>
      <c r="O40" s="127">
        <f>IF(B40&lt;='VALOR POR PL'!$P$5,'CP RESUMO'!AM56,"")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HISTORICOS'!AN14)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RESUMO'!AN14</f>
        <v/>
      </c>
      <c r="N41" s="128">
        <f>MAX(0,M41-M40)</f>
        <v/>
      </c>
      <c r="O41" s="127">
        <f>IF(B41&lt;='VALOR POR PL'!$P$5,'CP RESUMO'!AN56,"")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HISTORICOS'!AO14)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RESUMO'!AO14</f>
        <v/>
      </c>
      <c r="N42" s="128">
        <f>MAX(0,M42-M41)</f>
        <v/>
      </c>
      <c r="O42" s="127">
        <f>IF(B42&lt;='VALOR POR PL'!$P$5,'CP RESUMO'!AO56,"")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HISTORICOS'!AP14)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RESUMO'!AP14</f>
        <v/>
      </c>
      <c r="N43" s="128">
        <f>MAX(0,M43-M42)</f>
        <v/>
      </c>
      <c r="O43" s="127">
        <f>IF(B43&lt;='VALOR POR PL'!$P$5,'CP RESUMO'!AP56,"")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HISTORICOS'!AQ14)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RESUMO'!AQ14</f>
        <v/>
      </c>
      <c r="N44" s="128">
        <f>MAX(0,M44-M43)</f>
        <v/>
      </c>
      <c r="O44" s="127">
        <f>IF(B44&lt;='VALOR POR PL'!$P$5,'CP RESUMO'!AQ56,"")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HISTORICOS'!AR14)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RESUMO'!AR14</f>
        <v/>
      </c>
      <c r="N45" s="128">
        <f>MAX(0,M45-M44)</f>
        <v/>
      </c>
      <c r="O45" s="127">
        <f>IF(B45&lt;='VALOR POR PL'!$P$5,'CP RESUMO'!AR56,"")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HISTORICOS'!AS14)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RESUMO'!AS14</f>
        <v/>
      </c>
      <c r="N46" s="128">
        <f>MAX(0,M46-M45)</f>
        <v/>
      </c>
      <c r="O46" s="127">
        <f>IF(B46&lt;='VALOR POR PL'!$P$5,'CP RESUMO'!AS56,"")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HISTORICOS'!AT14)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RESUMO'!AT14</f>
        <v/>
      </c>
      <c r="N47" s="128">
        <f>MAX(0,M47-M46)</f>
        <v/>
      </c>
      <c r="O47" s="127">
        <f>IF(B47&lt;='VALOR POR PL'!$P$5,'CP RESUMO'!AT56,"")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HISTORICOS'!AU14)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RESUMO'!AU14</f>
        <v/>
      </c>
      <c r="N48" s="128">
        <f>MAX(0,M48-M47)</f>
        <v/>
      </c>
      <c r="O48" s="127">
        <f>IF(B48&lt;='VALOR POR PL'!$P$5,'CP RESUMO'!AU56,"")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HISTORICOS'!AV14)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RESUMO'!AV14</f>
        <v/>
      </c>
      <c r="N49" s="128">
        <f>MAX(0,M49-M48)</f>
        <v/>
      </c>
      <c r="O49" s="127">
        <f>IF(B49&lt;='VALOR POR PL'!$P$5,'CP RESUMO'!AV56,"")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HISTORICOS'!AW14)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RESUMO'!AW14</f>
        <v/>
      </c>
      <c r="N50" s="128">
        <f>MAX(0,M50-M49)</f>
        <v/>
      </c>
      <c r="O50" s="127">
        <f>IF(B50&lt;='VALOR POR PL'!$P$5,'CP RESUMO'!AW56,"")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HISTORICOS'!AX14)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RESUMO'!AX14</f>
        <v/>
      </c>
      <c r="N51" s="128">
        <f>MAX(0,M51-M50)</f>
        <v/>
      </c>
      <c r="O51" s="127">
        <f>IF(B51&lt;='VALOR POR PL'!$P$5,'CP RESUMO'!AX56,"")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HISTORICOS'!AY14)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RESUMO'!AY14</f>
        <v/>
      </c>
      <c r="N52" s="128">
        <f>MAX(0,M52-M51)</f>
        <v/>
      </c>
      <c r="O52" s="127">
        <f>IF(B52&lt;='VALOR POR PL'!$P$5,'CP RESUMO'!AY56,"")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HISTORICOS'!AZ14)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RESUMO'!AZ14</f>
        <v/>
      </c>
      <c r="N53" s="128">
        <f>MAX(0,M53-M52)</f>
        <v/>
      </c>
      <c r="O53" s="127">
        <f>IF(B53&lt;='VALOR POR PL'!$P$5,'CP RESUMO'!AZ56,"")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HISTORICOS'!BA14)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RESUMO'!BA14</f>
        <v/>
      </c>
      <c r="N54" s="128">
        <f>MAX(0,M54-M53)</f>
        <v/>
      </c>
      <c r="O54" s="127">
        <f>IF(B54&lt;='VALOR POR PL'!$P$5,'CP RESUMO'!BA56,"")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HISTORICOS'!BB14)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RESUMO'!BB14</f>
        <v/>
      </c>
      <c r="N55" s="128">
        <f>MAX(0,M55-M54)</f>
        <v/>
      </c>
      <c r="O55" s="127">
        <f>IF(B55&lt;='VALOR POR PL'!$P$5,'CP RESUMO'!BB56,"")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HISTORICOS'!BC14)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RESUMO'!BC14</f>
        <v/>
      </c>
      <c r="N56" s="128">
        <f>MAX(0,M56-M55)</f>
        <v/>
      </c>
      <c r="O56" s="127">
        <f>IF(B56&lt;='VALOR POR PL'!$P$5,'CP RESUMO'!BC56,"")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HISTORICOS'!BD14)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RESUMO'!BD14</f>
        <v/>
      </c>
      <c r="N57" s="128">
        <f>MAX(0,M57-M56)</f>
        <v/>
      </c>
      <c r="O57" s="127">
        <f>IF(B57&lt;='VALOR POR PL'!$P$5,'CP RESUMO'!BD56,"")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HISTORICOS'!BE14)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RESUMO'!BE14</f>
        <v/>
      </c>
      <c r="N58" s="128">
        <f>MAX(0,M58-M57)</f>
        <v/>
      </c>
      <c r="O58" s="127">
        <f>IF(B58&lt;='VALOR POR PL'!$P$5,'CP RESUMO'!BE56,"")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HISTORICOS'!BF14)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RESUMO'!BF14</f>
        <v/>
      </c>
      <c r="N59" s="128">
        <f>MAX(0,M59-M58)</f>
        <v/>
      </c>
      <c r="O59" s="127">
        <f>IF(B59&lt;='VALOR POR PL'!$P$5,'CP RESUMO'!BF56,"")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HISTORICOS'!BG14)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RESUMO'!BG14</f>
        <v/>
      </c>
      <c r="N60" s="128">
        <f>MAX(0,M60-M59)</f>
        <v/>
      </c>
      <c r="O60" s="127">
        <f>IF(B60&lt;='VALOR POR PL'!$P$5,'CP RESUMO'!BG56,"")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HISTORICOS'!BH14)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RESUMO'!BH14</f>
        <v/>
      </c>
      <c r="N61" s="128">
        <f>MAX(0,M61-M60)</f>
        <v/>
      </c>
      <c r="O61" s="127">
        <f>IF(B61&lt;='VALOR POR PL'!$P$5,'CP RESUMO'!BH56,"")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HISTORICOS'!BI14)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RESUMO'!BI14</f>
        <v/>
      </c>
      <c r="N62" s="128">
        <f>MAX(0,M62-M61)</f>
        <v/>
      </c>
      <c r="O62" s="127">
        <f>IF(B62&lt;='VALOR POR PL'!$P$5,'CP RESUMO'!BI56,"")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HISTORICOS'!BJ14)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RESUMO'!BJ14</f>
        <v/>
      </c>
      <c r="N63" s="128">
        <f>MAX(0,M63-M62)</f>
        <v/>
      </c>
      <c r="O63" s="127">
        <f>IF(B63&lt;='VALOR POR PL'!$P$5,'CP RESUMO'!BJ56,"")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HISTORICOS'!BK14)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RESUMO'!BK14</f>
        <v/>
      </c>
      <c r="N64" s="128">
        <f>MAX(0,M64-M63)</f>
        <v/>
      </c>
      <c r="O64" s="127">
        <f>IF(B64&lt;='VALOR POR PL'!$P$5,'CP RESUMO'!BK56,"")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HISTORICOS'!BL14)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RESUMO'!BL14</f>
        <v/>
      </c>
      <c r="N65" s="128">
        <f>MAX(0,M65-M64)</f>
        <v/>
      </c>
      <c r="O65" s="127">
        <f>IF(B65&lt;='VALOR POR PL'!$P$5,'CP RESUMO'!BL56,"")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HISTORICOS'!BM14)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RESUMO'!BM14</f>
        <v/>
      </c>
      <c r="N66" s="128">
        <f>MAX(0,M66-M65)</f>
        <v/>
      </c>
      <c r="O66" s="127">
        <f>IF(B66&lt;='VALOR POR PL'!$P$5,'CP RESUMO'!BM56,"")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HISTORICOS'!BN14)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RESUMO'!BN14</f>
        <v/>
      </c>
      <c r="N67" s="128">
        <f>MAX(0,M67-M66)</f>
        <v/>
      </c>
      <c r="O67" s="127">
        <f>IF(B67&lt;='VALOR POR PL'!$P$5,'CP RESUMO'!BN56,"")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HISTORICOS'!BO14)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RESUMO'!BO14</f>
        <v/>
      </c>
      <c r="N68" s="128">
        <f>MAX(0,M68-M67)</f>
        <v/>
      </c>
      <c r="O68" s="127">
        <f>IF(B68&lt;='VALOR POR PL'!$P$5,'CP RESUMO'!BO56,"")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HISTORICOS'!BP14)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RESUMO'!BP14</f>
        <v/>
      </c>
      <c r="N69" s="128">
        <f>MAX(0,M69-M68)</f>
        <v/>
      </c>
      <c r="O69" s="127">
        <f>IF(B69&lt;='VALOR POR PL'!$P$5,'CP RESUMO'!BP56,"")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HISTORICOS'!BQ14)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RESUMO'!BQ14</f>
        <v/>
      </c>
      <c r="N70" s="128">
        <f>MAX(0,M70-M69)</f>
        <v/>
      </c>
      <c r="O70" s="127">
        <f>IF(B70&lt;='VALOR POR PL'!$P$5,'CP RESUMO'!BQ56,"")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HISTORICOS'!BR14)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RESUMO'!BR14</f>
        <v/>
      </c>
      <c r="N71" s="128">
        <f>MAX(0,M71-M70)</f>
        <v/>
      </c>
      <c r="O71" s="127">
        <f>IF(B71&lt;='VALOR POR PL'!$P$5,'CP RESUMO'!BR56,"")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HISTORICOS'!BS14)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RESUMO'!BS14</f>
        <v/>
      </c>
      <c r="N72" s="128">
        <f>MAX(0,M72-M71)</f>
        <v/>
      </c>
      <c r="O72" s="127">
        <f>IF(B72&lt;='VALOR POR PL'!$P$5,'CP RESUMO'!BS56,"")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HISTORICOS'!BT14)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RESUMO'!BT14</f>
        <v/>
      </c>
      <c r="N73" s="128">
        <f>MAX(0,M73-M72)</f>
        <v/>
      </c>
      <c r="O73" s="127">
        <f>IF(B73&lt;='VALOR POR PL'!$P$5,'CP RESUMO'!BT56,"")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HISTORICOS'!BU14)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RESUMO'!BU14</f>
        <v/>
      </c>
      <c r="N74" s="128">
        <f>MAX(0,M74-M73)</f>
        <v/>
      </c>
      <c r="O74" s="127">
        <f>IF(B74&lt;='VALOR POR PL'!$P$5,'CP RESUMO'!BU56,"")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HISTORICOS'!BV14)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RESUMO'!BV14</f>
        <v/>
      </c>
      <c r="N75" s="128">
        <f>MAX(0,M75-M74)</f>
        <v/>
      </c>
      <c r="O75" s="127">
        <f>IF(B75&lt;='VALOR POR PL'!$P$5,'CP RESUMO'!BV56,"")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HISTORICOS'!BW14)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RESUMO'!BW14</f>
        <v/>
      </c>
      <c r="N76" s="128">
        <f>MAX(0,M76-M75)</f>
        <v/>
      </c>
      <c r="O76" s="127">
        <f>IF(B76&lt;='VALOR POR PL'!$P$5,'CP RESUMO'!BW56,"")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PL'!D21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HISTORICOS'!D15)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PL'!F21</f>
        <v/>
      </c>
      <c r="K5" s="63">
        <f>'VALOR POR PL'!G21</f>
        <v/>
      </c>
      <c r="M5" s="127">
        <f>'CP RESUMO'!D15</f>
        <v/>
      </c>
      <c r="N5" s="128" t="n">
        <v>0</v>
      </c>
      <c r="O5" s="127">
        <f>IF(B5&lt;='VALOR POR PL'!$P$5,'CP RESUMO'!D57,"")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HISTORICOS'!E15)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RESUMO'!E15</f>
        <v/>
      </c>
      <c r="N6" s="128">
        <f>MAX(0,M6-M5)</f>
        <v/>
      </c>
      <c r="O6" s="127">
        <f>IF(B6&lt;='VALOR POR PL'!$P$5,'CP RESUMO'!E57,"")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HISTORICOS'!F15)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PL'!L21</f>
        <v/>
      </c>
      <c r="M7" s="127">
        <f>'CP RESUMO'!F15</f>
        <v/>
      </c>
      <c r="N7" s="128">
        <f>MAX(0,M7-M6)</f>
        <v/>
      </c>
      <c r="O7" s="127">
        <f>IF(B7&lt;='VALOR POR PL'!$P$5,'CP RESUMO'!F57,"")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HISTORICOS'!G15)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RESUMO'!G15</f>
        <v/>
      </c>
      <c r="N8" s="128">
        <f>MAX(0,M8-M7)</f>
        <v/>
      </c>
      <c r="O8" s="127">
        <f>IF(B8&lt;='VALOR POR PL'!$P$5,'CP RESUMO'!G57,"")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HISTORICOS'!H15)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RESUMO'!H15</f>
        <v/>
      </c>
      <c r="N9" s="128">
        <f>MAX(0,M9-M8)</f>
        <v/>
      </c>
      <c r="O9" s="127">
        <f>IF(B9&lt;='VALOR POR PL'!$P$5,'CP RESUMO'!H57,"")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HISTORICOS'!I15)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RESUMO'!I15</f>
        <v/>
      </c>
      <c r="N10" s="128">
        <f>MAX(0,M10-M9)</f>
        <v/>
      </c>
      <c r="O10" s="127">
        <f>IF(B10&lt;='VALOR POR PL'!$P$5,'CP RESUMO'!I57,"")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HISTORICOS'!J15)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RESUMO'!J15</f>
        <v/>
      </c>
      <c r="N11" s="128">
        <f>MAX(0,M11-M10)</f>
        <v/>
      </c>
      <c r="O11" s="127">
        <f>IF(B11&lt;='VALOR POR PL'!$P$5,'CP RESUMO'!J57,"")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HISTORICOS'!K15)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RESUMO'!K15</f>
        <v/>
      </c>
      <c r="N12" s="128">
        <f>MAX(0,M12-M11)</f>
        <v/>
      </c>
      <c r="O12" s="127">
        <f>IF(B12&lt;='VALOR POR PL'!$P$5,'CP RESUMO'!K57,"")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HISTORICOS'!L15)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PL'!I21</f>
        <v/>
      </c>
      <c r="M13" s="127">
        <f>'CP RESUMO'!L15</f>
        <v/>
      </c>
      <c r="N13" s="128">
        <f>MAX(0,M13-M12)</f>
        <v/>
      </c>
      <c r="O13" s="127">
        <f>IF(B13&lt;='VALOR POR PL'!$P$5,'CP RESUMO'!L57,"")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HISTORICOS'!M15)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RESUMO'!$D$57:$BW$57,MATCH('VALOR POR PL'!$P$5,'CP RESUMO'!$D$4:$BW$4,0))/100,0)</f>
        <v/>
      </c>
      <c r="M14" s="127">
        <f>'CP RESUMO'!M15</f>
        <v/>
      </c>
      <c r="N14" s="128">
        <f>MAX(0,M14-M13)</f>
        <v/>
      </c>
      <c r="O14" s="127">
        <f>IF(B14&lt;='VALOR POR PL'!$P$5,'CP RESUMO'!M57,"")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HISTORICOS'!N15)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RESUMO'!N15</f>
        <v/>
      </c>
      <c r="N15" s="128">
        <f>MAX(0,M15-M14)</f>
        <v/>
      </c>
      <c r="O15" s="127">
        <f>IF(B15&lt;='VALOR POR PL'!$P$5,'CP RESUMO'!N57,"")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HISTORICOS'!O15)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RESUMO'!O15</f>
        <v/>
      </c>
      <c r="N16" s="128">
        <f>MAX(0,M16-M15)</f>
        <v/>
      </c>
      <c r="O16" s="127">
        <f>IF(B16&lt;='VALOR POR PL'!$P$5,'CP RESUMO'!O57,"")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HISTORICOS'!P15)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RESUMO'!P15</f>
        <v/>
      </c>
      <c r="N17" s="128">
        <f>MAX(0,M17-M16)</f>
        <v/>
      </c>
      <c r="O17" s="127">
        <f>IF(B17&lt;='VALOR POR PL'!$P$5,'CP RESUMO'!P57,"")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HISTORICOS'!Q15)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RESUMO'!Q15</f>
        <v/>
      </c>
      <c r="N18" s="128">
        <f>MAX(0,M18-M17)</f>
        <v/>
      </c>
      <c r="O18" s="127">
        <f>IF(B18&lt;='VALOR POR PL'!$P$5,'CP RESUMO'!Q57,"")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HISTORICOS'!R15)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RESUMO'!R15</f>
        <v/>
      </c>
      <c r="N19" s="128">
        <f>MAX(0,M19-M18)</f>
        <v/>
      </c>
      <c r="O19" s="127">
        <f>IF(B19&lt;='VALOR POR PL'!$P$5,'CP RESUMO'!R57,"")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HISTORICOS'!S15)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RESUMO'!S15</f>
        <v/>
      </c>
      <c r="N20" s="128">
        <f>MAX(0,M20-M19)</f>
        <v/>
      </c>
      <c r="O20" s="127">
        <f>IF(B20&lt;='VALOR POR PL'!$P$5,'CP RESUMO'!S57,"")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HISTORICOS'!T15)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RESUMO'!T15</f>
        <v/>
      </c>
      <c r="N21" s="128">
        <f>MAX(0,M21-M20)</f>
        <v/>
      </c>
      <c r="O21" s="127">
        <f>IF(B21&lt;='VALOR POR PL'!$P$5,'CP RESUMO'!T57,"")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HISTORICOS'!U15)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RESUMO'!U15</f>
        <v/>
      </c>
      <c r="N22" s="128">
        <f>MAX(0,M22-M21)</f>
        <v/>
      </c>
      <c r="O22" s="127">
        <f>IF(B22&lt;='VALOR POR PL'!$P$5,'CP RESUMO'!U57,"")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HISTORICOS'!V15)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RESUMO'!V15</f>
        <v/>
      </c>
      <c r="N23" s="128">
        <f>MAX(0,M23-M22)</f>
        <v/>
      </c>
      <c r="O23" s="127">
        <f>IF(B23&lt;='VALOR POR PL'!$P$5,'CP RESUMO'!V57,"")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HISTORICOS'!W15)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RESUMO'!W15</f>
        <v/>
      </c>
      <c r="N24" s="128">
        <f>MAX(0,M24-M23)</f>
        <v/>
      </c>
      <c r="O24" s="127">
        <f>IF(B24&lt;='VALOR POR PL'!$P$5,'CP RESUMO'!W57,"")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HISTORICOS'!X15)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RESUMO'!X15</f>
        <v/>
      </c>
      <c r="N25" s="128">
        <f>MAX(0,M25-M24)</f>
        <v/>
      </c>
      <c r="O25" s="127">
        <f>IF(B25&lt;='VALOR POR PL'!$P$5,'CP RESUMO'!X57,"")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HISTORICOS'!Y15)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RESUMO'!Y15</f>
        <v/>
      </c>
      <c r="N26" s="128">
        <f>MAX(0,M26-M25)</f>
        <v/>
      </c>
      <c r="O26" s="127">
        <f>IF(B26&lt;='VALOR POR PL'!$P$5,'CP RESUMO'!Y57,"")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HISTORICOS'!Z15)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RESUMO'!Z15</f>
        <v/>
      </c>
      <c r="N27" s="128">
        <f>MAX(0,M27-M26)</f>
        <v/>
      </c>
      <c r="O27" s="127">
        <f>IF(B27&lt;='VALOR POR PL'!$P$5,'CP RESUMO'!Z57,"")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HISTORICOS'!AA15)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RESUMO'!AA15</f>
        <v/>
      </c>
      <c r="N28" s="128">
        <f>MAX(0,M28-M27)</f>
        <v/>
      </c>
      <c r="O28" s="127">
        <f>IF(B28&lt;='VALOR POR PL'!$P$5,'CP RESUMO'!AA57,"")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HISTORICOS'!AB15)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RESUMO'!AB15</f>
        <v/>
      </c>
      <c r="N29" s="128">
        <f>MAX(0,M29-M28)</f>
        <v/>
      </c>
      <c r="O29" s="127">
        <f>IF(B29&lt;='VALOR POR PL'!$P$5,'CP RESUMO'!AB57,"")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HISTORICOS'!AC15)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RESUMO'!AC15</f>
        <v/>
      </c>
      <c r="N30" s="128">
        <f>MAX(0,M30-M29)</f>
        <v/>
      </c>
      <c r="O30" s="127">
        <f>IF(B30&lt;='VALOR POR PL'!$P$5,'CP RESUMO'!AC57,"")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HISTORICOS'!AD15)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RESUMO'!AD15</f>
        <v/>
      </c>
      <c r="N31" s="128">
        <f>MAX(0,M31-M30)</f>
        <v/>
      </c>
      <c r="O31" s="127">
        <f>IF(B31&lt;='VALOR POR PL'!$P$5,'CP RESUMO'!AD57,"")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HISTORICOS'!AE15)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RESUMO'!AE15</f>
        <v/>
      </c>
      <c r="N32" s="128">
        <f>MAX(0,M32-M31)</f>
        <v/>
      </c>
      <c r="O32" s="127">
        <f>IF(B32&lt;='VALOR POR PL'!$P$5,'CP RESUMO'!AE57,"")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HISTORICOS'!AF15)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RESUMO'!AF15</f>
        <v/>
      </c>
      <c r="N33" s="128">
        <f>MAX(0,M33-M32)</f>
        <v/>
      </c>
      <c r="O33" s="127">
        <f>IF(B33&lt;='VALOR POR PL'!$P$5,'CP RESUMO'!AF57,"")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HISTORICOS'!AG15)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RESUMO'!AG15</f>
        <v/>
      </c>
      <c r="N34" s="128">
        <f>MAX(0,M34-M33)</f>
        <v/>
      </c>
      <c r="O34" s="127">
        <f>IF(B34&lt;='VALOR POR PL'!$P$5,'CP RESUMO'!AG57,"")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HISTORICOS'!AH15)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RESUMO'!AH15</f>
        <v/>
      </c>
      <c r="N35" s="128">
        <f>MAX(0,M35-M34)</f>
        <v/>
      </c>
      <c r="O35" s="127">
        <f>IF(B35&lt;='VALOR POR PL'!$P$5,'CP RESUMO'!AH57,"")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HISTORICOS'!AI15)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RESUMO'!AI15</f>
        <v/>
      </c>
      <c r="N36" s="128">
        <f>MAX(0,M36-M35)</f>
        <v/>
      </c>
      <c r="O36" s="127">
        <f>IF(B36&lt;='VALOR POR PL'!$P$5,'CP RESUMO'!AI57,"")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HISTORICOS'!AJ15)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RESUMO'!AJ15</f>
        <v/>
      </c>
      <c r="N37" s="128">
        <f>MAX(0,M37-M36)</f>
        <v/>
      </c>
      <c r="O37" s="127">
        <f>IF(B37&lt;='VALOR POR PL'!$P$5,'CP RESUMO'!AJ57,"")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HISTORICOS'!AK15)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RESUMO'!AK15</f>
        <v/>
      </c>
      <c r="N38" s="128">
        <f>MAX(0,M38-M37)</f>
        <v/>
      </c>
      <c r="O38" s="127">
        <f>IF(B38&lt;='VALOR POR PL'!$P$5,'CP RESUMO'!AK57,"")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HISTORICOS'!AL15)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RESUMO'!AL15</f>
        <v/>
      </c>
      <c r="N39" s="128">
        <f>MAX(0,M39-M38)</f>
        <v/>
      </c>
      <c r="O39" s="127">
        <f>IF(B39&lt;='VALOR POR PL'!$P$5,'CP RESUMO'!AL57,"")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HISTORICOS'!AM15)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RESUMO'!AM15</f>
        <v/>
      </c>
      <c r="N40" s="128">
        <f>MAX(0,M40-M39)</f>
        <v/>
      </c>
      <c r="O40" s="127">
        <f>IF(B40&lt;='VALOR POR PL'!$P$5,'CP RESUMO'!AM57,"")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HISTORICOS'!AN15)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RESUMO'!AN15</f>
        <v/>
      </c>
      <c r="N41" s="128">
        <f>MAX(0,M41-M40)</f>
        <v/>
      </c>
      <c r="O41" s="127">
        <f>IF(B41&lt;='VALOR POR PL'!$P$5,'CP RESUMO'!AN57,"")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HISTORICOS'!AO15)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RESUMO'!AO15</f>
        <v/>
      </c>
      <c r="N42" s="128">
        <f>MAX(0,M42-M41)</f>
        <v/>
      </c>
      <c r="O42" s="127">
        <f>IF(B42&lt;='VALOR POR PL'!$P$5,'CP RESUMO'!AO57,"")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HISTORICOS'!AP15)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RESUMO'!AP15</f>
        <v/>
      </c>
      <c r="N43" s="128">
        <f>MAX(0,M43-M42)</f>
        <v/>
      </c>
      <c r="O43" s="127">
        <f>IF(B43&lt;='VALOR POR PL'!$P$5,'CP RESUMO'!AP57,"")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HISTORICOS'!AQ15)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RESUMO'!AQ15</f>
        <v/>
      </c>
      <c r="N44" s="128">
        <f>MAX(0,M44-M43)</f>
        <v/>
      </c>
      <c r="O44" s="127">
        <f>IF(B44&lt;='VALOR POR PL'!$P$5,'CP RESUMO'!AQ57,"")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HISTORICOS'!AR15)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RESUMO'!AR15</f>
        <v/>
      </c>
      <c r="N45" s="128">
        <f>MAX(0,M45-M44)</f>
        <v/>
      </c>
      <c r="O45" s="127">
        <f>IF(B45&lt;='VALOR POR PL'!$P$5,'CP RESUMO'!AR57,"")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HISTORICOS'!AS15)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RESUMO'!AS15</f>
        <v/>
      </c>
      <c r="N46" s="128">
        <f>MAX(0,M46-M45)</f>
        <v/>
      </c>
      <c r="O46" s="127">
        <f>IF(B46&lt;='VALOR POR PL'!$P$5,'CP RESUMO'!AS57,"")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HISTORICOS'!AT15)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RESUMO'!AT15</f>
        <v/>
      </c>
      <c r="N47" s="128">
        <f>MAX(0,M47-M46)</f>
        <v/>
      </c>
      <c r="O47" s="127">
        <f>IF(B47&lt;='VALOR POR PL'!$P$5,'CP RESUMO'!AT57,"")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HISTORICOS'!AU15)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RESUMO'!AU15</f>
        <v/>
      </c>
      <c r="N48" s="128">
        <f>MAX(0,M48-M47)</f>
        <v/>
      </c>
      <c r="O48" s="127">
        <f>IF(B48&lt;='VALOR POR PL'!$P$5,'CP RESUMO'!AU57,"")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HISTORICOS'!AV15)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RESUMO'!AV15</f>
        <v/>
      </c>
      <c r="N49" s="128">
        <f>MAX(0,M49-M48)</f>
        <v/>
      </c>
      <c r="O49" s="127">
        <f>IF(B49&lt;='VALOR POR PL'!$P$5,'CP RESUMO'!AV57,"")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HISTORICOS'!AW15)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RESUMO'!AW15</f>
        <v/>
      </c>
      <c r="N50" s="128">
        <f>MAX(0,M50-M49)</f>
        <v/>
      </c>
      <c r="O50" s="127">
        <f>IF(B50&lt;='VALOR POR PL'!$P$5,'CP RESUMO'!AW57,"")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HISTORICOS'!AX15)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RESUMO'!AX15</f>
        <v/>
      </c>
      <c r="N51" s="128">
        <f>MAX(0,M51-M50)</f>
        <v/>
      </c>
      <c r="O51" s="127">
        <f>IF(B51&lt;='VALOR POR PL'!$P$5,'CP RESUMO'!AX57,"")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HISTORICOS'!AY15)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RESUMO'!AY15</f>
        <v/>
      </c>
      <c r="N52" s="128">
        <f>MAX(0,M52-M51)</f>
        <v/>
      </c>
      <c r="O52" s="127">
        <f>IF(B52&lt;='VALOR POR PL'!$P$5,'CP RESUMO'!AY57,"")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HISTORICOS'!AZ15)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RESUMO'!AZ15</f>
        <v/>
      </c>
      <c r="N53" s="128">
        <f>MAX(0,M53-M52)</f>
        <v/>
      </c>
      <c r="O53" s="127">
        <f>IF(B53&lt;='VALOR POR PL'!$P$5,'CP RESUMO'!AZ57,"")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HISTORICOS'!BA15)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RESUMO'!BA15</f>
        <v/>
      </c>
      <c r="N54" s="128">
        <f>MAX(0,M54-M53)</f>
        <v/>
      </c>
      <c r="O54" s="127">
        <f>IF(B54&lt;='VALOR POR PL'!$P$5,'CP RESUMO'!BA57,"")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HISTORICOS'!BB15)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RESUMO'!BB15</f>
        <v/>
      </c>
      <c r="N55" s="128">
        <f>MAX(0,M55-M54)</f>
        <v/>
      </c>
      <c r="O55" s="127">
        <f>IF(B55&lt;='VALOR POR PL'!$P$5,'CP RESUMO'!BB57,"")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HISTORICOS'!BC15)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RESUMO'!BC15</f>
        <v/>
      </c>
      <c r="N56" s="128">
        <f>MAX(0,M56-M55)</f>
        <v/>
      </c>
      <c r="O56" s="127">
        <f>IF(B56&lt;='VALOR POR PL'!$P$5,'CP RESUMO'!BC57,"")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HISTORICOS'!BD15)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RESUMO'!BD15</f>
        <v/>
      </c>
      <c r="N57" s="128">
        <f>MAX(0,M57-M56)</f>
        <v/>
      </c>
      <c r="O57" s="127">
        <f>IF(B57&lt;='VALOR POR PL'!$P$5,'CP RESUMO'!BD57,"")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HISTORICOS'!BE15)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RESUMO'!BE15</f>
        <v/>
      </c>
      <c r="N58" s="128">
        <f>MAX(0,M58-M57)</f>
        <v/>
      </c>
      <c r="O58" s="127">
        <f>IF(B58&lt;='VALOR POR PL'!$P$5,'CP RESUMO'!BE57,"")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HISTORICOS'!BF15)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RESUMO'!BF15</f>
        <v/>
      </c>
      <c r="N59" s="128">
        <f>MAX(0,M59-M58)</f>
        <v/>
      </c>
      <c r="O59" s="127">
        <f>IF(B59&lt;='VALOR POR PL'!$P$5,'CP RESUMO'!BF57,"")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HISTORICOS'!BG15)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RESUMO'!BG15</f>
        <v/>
      </c>
      <c r="N60" s="128">
        <f>MAX(0,M60-M59)</f>
        <v/>
      </c>
      <c r="O60" s="127">
        <f>IF(B60&lt;='VALOR POR PL'!$P$5,'CP RESUMO'!BG57,"")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HISTORICOS'!BH15)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RESUMO'!BH15</f>
        <v/>
      </c>
      <c r="N61" s="128">
        <f>MAX(0,M61-M60)</f>
        <v/>
      </c>
      <c r="O61" s="127">
        <f>IF(B61&lt;='VALOR POR PL'!$P$5,'CP RESUMO'!BH57,"")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HISTORICOS'!BI15)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RESUMO'!BI15</f>
        <v/>
      </c>
      <c r="N62" s="128">
        <f>MAX(0,M62-M61)</f>
        <v/>
      </c>
      <c r="O62" s="127">
        <f>IF(B62&lt;='VALOR POR PL'!$P$5,'CP RESUMO'!BI57,"")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HISTORICOS'!BJ15)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RESUMO'!BJ15</f>
        <v/>
      </c>
      <c r="N63" s="128">
        <f>MAX(0,M63-M62)</f>
        <v/>
      </c>
      <c r="O63" s="127">
        <f>IF(B63&lt;='VALOR POR PL'!$P$5,'CP RESUMO'!BJ57,"")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HISTORICOS'!BK15)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RESUMO'!BK15</f>
        <v/>
      </c>
      <c r="N64" s="128">
        <f>MAX(0,M64-M63)</f>
        <v/>
      </c>
      <c r="O64" s="127">
        <f>IF(B64&lt;='VALOR POR PL'!$P$5,'CP RESUMO'!BK57,"")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HISTORICOS'!BL15)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RESUMO'!BL15</f>
        <v/>
      </c>
      <c r="N65" s="128">
        <f>MAX(0,M65-M64)</f>
        <v/>
      </c>
      <c r="O65" s="127">
        <f>IF(B65&lt;='VALOR POR PL'!$P$5,'CP RESUMO'!BL57,"")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HISTORICOS'!BM15)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RESUMO'!BM15</f>
        <v/>
      </c>
      <c r="N66" s="128">
        <f>MAX(0,M66-M65)</f>
        <v/>
      </c>
      <c r="O66" s="127">
        <f>IF(B66&lt;='VALOR POR PL'!$P$5,'CP RESUMO'!BM57,"")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HISTORICOS'!BN15)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RESUMO'!BN15</f>
        <v/>
      </c>
      <c r="N67" s="128">
        <f>MAX(0,M67-M66)</f>
        <v/>
      </c>
      <c r="O67" s="127">
        <f>IF(B67&lt;='VALOR POR PL'!$P$5,'CP RESUMO'!BN57,"")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HISTORICOS'!BO15)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RESUMO'!BO15</f>
        <v/>
      </c>
      <c r="N68" s="128">
        <f>MAX(0,M68-M67)</f>
        <v/>
      </c>
      <c r="O68" s="127">
        <f>IF(B68&lt;='VALOR POR PL'!$P$5,'CP RESUMO'!BO57,"")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HISTORICOS'!BP15)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RESUMO'!BP15</f>
        <v/>
      </c>
      <c r="N69" s="128">
        <f>MAX(0,M69-M68)</f>
        <v/>
      </c>
      <c r="O69" s="127">
        <f>IF(B69&lt;='VALOR POR PL'!$P$5,'CP RESUMO'!BP57,"")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HISTORICOS'!BQ15)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RESUMO'!BQ15</f>
        <v/>
      </c>
      <c r="N70" s="128">
        <f>MAX(0,M70-M69)</f>
        <v/>
      </c>
      <c r="O70" s="127">
        <f>IF(B70&lt;='VALOR POR PL'!$P$5,'CP RESUMO'!BQ57,"")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HISTORICOS'!BR15)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RESUMO'!BR15</f>
        <v/>
      </c>
      <c r="N71" s="128">
        <f>MAX(0,M71-M70)</f>
        <v/>
      </c>
      <c r="O71" s="127">
        <f>IF(B71&lt;='VALOR POR PL'!$P$5,'CP RESUMO'!BR57,"")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HISTORICOS'!BS15)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RESUMO'!BS15</f>
        <v/>
      </c>
      <c r="N72" s="128">
        <f>MAX(0,M72-M71)</f>
        <v/>
      </c>
      <c r="O72" s="127">
        <f>IF(B72&lt;='VALOR POR PL'!$P$5,'CP RESUMO'!BS57,"")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HISTORICOS'!BT15)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RESUMO'!BT15</f>
        <v/>
      </c>
      <c r="N73" s="128">
        <f>MAX(0,M73-M72)</f>
        <v/>
      </c>
      <c r="O73" s="127">
        <f>IF(B73&lt;='VALOR POR PL'!$P$5,'CP RESUMO'!BT57,"")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HISTORICOS'!BU15)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RESUMO'!BU15</f>
        <v/>
      </c>
      <c r="N74" s="128">
        <f>MAX(0,M74-M73)</f>
        <v/>
      </c>
      <c r="O74" s="127">
        <f>IF(B74&lt;='VALOR POR PL'!$P$5,'CP RESUMO'!BU57,"")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HISTORICOS'!BV15)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RESUMO'!BV15</f>
        <v/>
      </c>
      <c r="N75" s="128">
        <f>MAX(0,M75-M74)</f>
        <v/>
      </c>
      <c r="O75" s="127">
        <f>IF(B75&lt;='VALOR POR PL'!$P$5,'CP RESUMO'!BV57,"")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HISTORICOS'!BW15)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RESUMO'!BW15</f>
        <v/>
      </c>
      <c r="N76" s="128">
        <f>MAX(0,M76-M75)</f>
        <v/>
      </c>
      <c r="O76" s="127">
        <f>IF(B76&lt;='VALOR POR PL'!$P$5,'CP RESUMO'!BW57,"")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PL'!D22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HISTORICOS'!D16)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PL'!F22</f>
        <v/>
      </c>
      <c r="K5" s="63">
        <f>'VALOR POR PL'!G22</f>
        <v/>
      </c>
      <c r="M5" s="127">
        <f>'CP RESUMO'!D16</f>
        <v/>
      </c>
      <c r="N5" s="128" t="n">
        <v>0</v>
      </c>
      <c r="O5" s="127">
        <f>IF(B5&lt;='VALOR POR PL'!$P$5,'CP RESUMO'!D58,"")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HISTORICOS'!E16)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RESUMO'!E16</f>
        <v/>
      </c>
      <c r="N6" s="128">
        <f>MAX(0,M6-M5)</f>
        <v/>
      </c>
      <c r="O6" s="127">
        <f>IF(B6&lt;='VALOR POR PL'!$P$5,'CP RESUMO'!E58,"")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HISTORICOS'!F16)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PL'!L22</f>
        <v/>
      </c>
      <c r="M7" s="127">
        <f>'CP RESUMO'!F16</f>
        <v/>
      </c>
      <c r="N7" s="128">
        <f>MAX(0,M7-M6)</f>
        <v/>
      </c>
      <c r="O7" s="127">
        <f>IF(B7&lt;='VALOR POR PL'!$P$5,'CP RESUMO'!F58,"")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HISTORICOS'!G16)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RESUMO'!G16</f>
        <v/>
      </c>
      <c r="N8" s="128">
        <f>MAX(0,M8-M7)</f>
        <v/>
      </c>
      <c r="O8" s="127">
        <f>IF(B8&lt;='VALOR POR PL'!$P$5,'CP RESUMO'!G58,"")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HISTORICOS'!H16)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RESUMO'!H16</f>
        <v/>
      </c>
      <c r="N9" s="128">
        <f>MAX(0,M9-M8)</f>
        <v/>
      </c>
      <c r="O9" s="127">
        <f>IF(B9&lt;='VALOR POR PL'!$P$5,'CP RESUMO'!H58,"")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HISTORICOS'!I16)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RESUMO'!I16</f>
        <v/>
      </c>
      <c r="N10" s="128">
        <f>MAX(0,M10-M9)</f>
        <v/>
      </c>
      <c r="O10" s="127">
        <f>IF(B10&lt;='VALOR POR PL'!$P$5,'CP RESUMO'!I58,"")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HISTORICOS'!J16)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RESUMO'!J16</f>
        <v/>
      </c>
      <c r="N11" s="128">
        <f>MAX(0,M11-M10)</f>
        <v/>
      </c>
      <c r="O11" s="127">
        <f>IF(B11&lt;='VALOR POR PL'!$P$5,'CP RESUMO'!J58,"")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HISTORICOS'!K16)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RESUMO'!K16</f>
        <v/>
      </c>
      <c r="N12" s="128">
        <f>MAX(0,M12-M11)</f>
        <v/>
      </c>
      <c r="O12" s="127">
        <f>IF(B12&lt;='VALOR POR PL'!$P$5,'CP RESUMO'!K58,"")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HISTORICOS'!L16)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PL'!I22</f>
        <v/>
      </c>
      <c r="M13" s="127">
        <f>'CP RESUMO'!L16</f>
        <v/>
      </c>
      <c r="N13" s="128">
        <f>MAX(0,M13-M12)</f>
        <v/>
      </c>
      <c r="O13" s="127">
        <f>IF(B13&lt;='VALOR POR PL'!$P$5,'CP RESUMO'!L58,"")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HISTORICOS'!M16)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RESUMO'!$D$58:$BW$58,MATCH('VALOR POR PL'!$P$5,'CP RESUMO'!$D$4:$BW$4,0))/100,0)</f>
        <v/>
      </c>
      <c r="M14" s="127">
        <f>'CP RESUMO'!M16</f>
        <v/>
      </c>
      <c r="N14" s="128">
        <f>MAX(0,M14-M13)</f>
        <v/>
      </c>
      <c r="O14" s="127">
        <f>IF(B14&lt;='VALOR POR PL'!$P$5,'CP RESUMO'!M58,"")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HISTORICOS'!N16)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RESUMO'!N16</f>
        <v/>
      </c>
      <c r="N15" s="128">
        <f>MAX(0,M15-M14)</f>
        <v/>
      </c>
      <c r="O15" s="127">
        <f>IF(B15&lt;='VALOR POR PL'!$P$5,'CP RESUMO'!N58,"")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HISTORICOS'!O16)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RESUMO'!O16</f>
        <v/>
      </c>
      <c r="N16" s="128">
        <f>MAX(0,M16-M15)</f>
        <v/>
      </c>
      <c r="O16" s="127">
        <f>IF(B16&lt;='VALOR POR PL'!$P$5,'CP RESUMO'!O58,"")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HISTORICOS'!P16)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RESUMO'!P16</f>
        <v/>
      </c>
      <c r="N17" s="128">
        <f>MAX(0,M17-M16)</f>
        <v/>
      </c>
      <c r="O17" s="127">
        <f>IF(B17&lt;='VALOR POR PL'!$P$5,'CP RESUMO'!P58,"")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HISTORICOS'!Q16)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RESUMO'!Q16</f>
        <v/>
      </c>
      <c r="N18" s="128">
        <f>MAX(0,M18-M17)</f>
        <v/>
      </c>
      <c r="O18" s="127">
        <f>IF(B18&lt;='VALOR POR PL'!$P$5,'CP RESUMO'!Q58,"")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HISTORICOS'!R16)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RESUMO'!R16</f>
        <v/>
      </c>
      <c r="N19" s="128">
        <f>MAX(0,M19-M18)</f>
        <v/>
      </c>
      <c r="O19" s="127">
        <f>IF(B19&lt;='VALOR POR PL'!$P$5,'CP RESUMO'!R58,"")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HISTORICOS'!S16)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RESUMO'!S16</f>
        <v/>
      </c>
      <c r="N20" s="128">
        <f>MAX(0,M20-M19)</f>
        <v/>
      </c>
      <c r="O20" s="127">
        <f>IF(B20&lt;='VALOR POR PL'!$P$5,'CP RESUMO'!S58,"")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HISTORICOS'!T16)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RESUMO'!T16</f>
        <v/>
      </c>
      <c r="N21" s="128">
        <f>MAX(0,M21-M20)</f>
        <v/>
      </c>
      <c r="O21" s="127">
        <f>IF(B21&lt;='VALOR POR PL'!$P$5,'CP RESUMO'!T58,"")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HISTORICOS'!U16)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RESUMO'!U16</f>
        <v/>
      </c>
      <c r="N22" s="128">
        <f>MAX(0,M22-M21)</f>
        <v/>
      </c>
      <c r="O22" s="127">
        <f>IF(B22&lt;='VALOR POR PL'!$P$5,'CP RESUMO'!U58,"")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HISTORICOS'!V16)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RESUMO'!V16</f>
        <v/>
      </c>
      <c r="N23" s="128">
        <f>MAX(0,M23-M22)</f>
        <v/>
      </c>
      <c r="O23" s="127">
        <f>IF(B23&lt;='VALOR POR PL'!$P$5,'CP RESUMO'!V58,"")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HISTORICOS'!W16)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RESUMO'!W16</f>
        <v/>
      </c>
      <c r="N24" s="128">
        <f>MAX(0,M24-M23)</f>
        <v/>
      </c>
      <c r="O24" s="127">
        <f>IF(B24&lt;='VALOR POR PL'!$P$5,'CP RESUMO'!W58,"")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HISTORICOS'!X16)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RESUMO'!X16</f>
        <v/>
      </c>
      <c r="N25" s="128">
        <f>MAX(0,M25-M24)</f>
        <v/>
      </c>
      <c r="O25" s="127">
        <f>IF(B25&lt;='VALOR POR PL'!$P$5,'CP RESUMO'!X58,"")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HISTORICOS'!Y16)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RESUMO'!Y16</f>
        <v/>
      </c>
      <c r="N26" s="128">
        <f>MAX(0,M26-M25)</f>
        <v/>
      </c>
      <c r="O26" s="127">
        <f>IF(B26&lt;='VALOR POR PL'!$P$5,'CP RESUMO'!Y58,"")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HISTORICOS'!Z16)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RESUMO'!Z16</f>
        <v/>
      </c>
      <c r="N27" s="128">
        <f>MAX(0,M27-M26)</f>
        <v/>
      </c>
      <c r="O27" s="127">
        <f>IF(B27&lt;='VALOR POR PL'!$P$5,'CP RESUMO'!Z58,"")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HISTORICOS'!AA16)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RESUMO'!AA16</f>
        <v/>
      </c>
      <c r="N28" s="128">
        <f>MAX(0,M28-M27)</f>
        <v/>
      </c>
      <c r="O28" s="127">
        <f>IF(B28&lt;='VALOR POR PL'!$P$5,'CP RESUMO'!AA58,"")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HISTORICOS'!AB16)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RESUMO'!AB16</f>
        <v/>
      </c>
      <c r="N29" s="128">
        <f>MAX(0,M29-M28)</f>
        <v/>
      </c>
      <c r="O29" s="127">
        <f>IF(B29&lt;='VALOR POR PL'!$P$5,'CP RESUMO'!AB58,"")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HISTORICOS'!AC16)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RESUMO'!AC16</f>
        <v/>
      </c>
      <c r="N30" s="128">
        <f>MAX(0,M30-M29)</f>
        <v/>
      </c>
      <c r="O30" s="127">
        <f>IF(B30&lt;='VALOR POR PL'!$P$5,'CP RESUMO'!AC58,"")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HISTORICOS'!AD16)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RESUMO'!AD16</f>
        <v/>
      </c>
      <c r="N31" s="128">
        <f>MAX(0,M31-M30)</f>
        <v/>
      </c>
      <c r="O31" s="127">
        <f>IF(B31&lt;='VALOR POR PL'!$P$5,'CP RESUMO'!AD58,"")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HISTORICOS'!AE16)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RESUMO'!AE16</f>
        <v/>
      </c>
      <c r="N32" s="128">
        <f>MAX(0,M32-M31)</f>
        <v/>
      </c>
      <c r="O32" s="127">
        <f>IF(B32&lt;='VALOR POR PL'!$P$5,'CP RESUMO'!AE58,"")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HISTORICOS'!AF16)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RESUMO'!AF16</f>
        <v/>
      </c>
      <c r="N33" s="128">
        <f>MAX(0,M33-M32)</f>
        <v/>
      </c>
      <c r="O33" s="127">
        <f>IF(B33&lt;='VALOR POR PL'!$P$5,'CP RESUMO'!AF58,"")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HISTORICOS'!AG16)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RESUMO'!AG16</f>
        <v/>
      </c>
      <c r="N34" s="128">
        <f>MAX(0,M34-M33)</f>
        <v/>
      </c>
      <c r="O34" s="127">
        <f>IF(B34&lt;='VALOR POR PL'!$P$5,'CP RESUMO'!AG58,"")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HISTORICOS'!AH16)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RESUMO'!AH16</f>
        <v/>
      </c>
      <c r="N35" s="128">
        <f>MAX(0,M35-M34)</f>
        <v/>
      </c>
      <c r="O35" s="127">
        <f>IF(B35&lt;='VALOR POR PL'!$P$5,'CP RESUMO'!AH58,"")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HISTORICOS'!AI16)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RESUMO'!AI16</f>
        <v/>
      </c>
      <c r="N36" s="128">
        <f>MAX(0,M36-M35)</f>
        <v/>
      </c>
      <c r="O36" s="127">
        <f>IF(B36&lt;='VALOR POR PL'!$P$5,'CP RESUMO'!AI58,"")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HISTORICOS'!AJ16)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RESUMO'!AJ16</f>
        <v/>
      </c>
      <c r="N37" s="128">
        <f>MAX(0,M37-M36)</f>
        <v/>
      </c>
      <c r="O37" s="127">
        <f>IF(B37&lt;='VALOR POR PL'!$P$5,'CP RESUMO'!AJ58,"")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HISTORICOS'!AK16)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RESUMO'!AK16</f>
        <v/>
      </c>
      <c r="N38" s="128">
        <f>MAX(0,M38-M37)</f>
        <v/>
      </c>
      <c r="O38" s="127">
        <f>IF(B38&lt;='VALOR POR PL'!$P$5,'CP RESUMO'!AK58,"")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HISTORICOS'!AL16)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RESUMO'!AL16</f>
        <v/>
      </c>
      <c r="N39" s="128">
        <f>MAX(0,M39-M38)</f>
        <v/>
      </c>
      <c r="O39" s="127">
        <f>IF(B39&lt;='VALOR POR PL'!$P$5,'CP RESUMO'!AL58,"")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HISTORICOS'!AM16)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RESUMO'!AM16</f>
        <v/>
      </c>
      <c r="N40" s="128">
        <f>MAX(0,M40-M39)</f>
        <v/>
      </c>
      <c r="O40" s="127">
        <f>IF(B40&lt;='VALOR POR PL'!$P$5,'CP RESUMO'!AM58,"")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HISTORICOS'!AN16)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RESUMO'!AN16</f>
        <v/>
      </c>
      <c r="N41" s="128">
        <f>MAX(0,M41-M40)</f>
        <v/>
      </c>
      <c r="O41" s="127">
        <f>IF(B41&lt;='VALOR POR PL'!$P$5,'CP RESUMO'!AN58,"")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HISTORICOS'!AO16)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RESUMO'!AO16</f>
        <v/>
      </c>
      <c r="N42" s="128">
        <f>MAX(0,M42-M41)</f>
        <v/>
      </c>
      <c r="O42" s="127">
        <f>IF(B42&lt;='VALOR POR PL'!$P$5,'CP RESUMO'!AO58,"")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HISTORICOS'!AP16)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RESUMO'!AP16</f>
        <v/>
      </c>
      <c r="N43" s="128">
        <f>MAX(0,M43-M42)</f>
        <v/>
      </c>
      <c r="O43" s="127">
        <f>IF(B43&lt;='VALOR POR PL'!$P$5,'CP RESUMO'!AP58,"")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HISTORICOS'!AQ16)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RESUMO'!AQ16</f>
        <v/>
      </c>
      <c r="N44" s="128">
        <f>MAX(0,M44-M43)</f>
        <v/>
      </c>
      <c r="O44" s="127">
        <f>IF(B44&lt;='VALOR POR PL'!$P$5,'CP RESUMO'!AQ58,"")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HISTORICOS'!AR16)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RESUMO'!AR16</f>
        <v/>
      </c>
      <c r="N45" s="128">
        <f>MAX(0,M45-M44)</f>
        <v/>
      </c>
      <c r="O45" s="127">
        <f>IF(B45&lt;='VALOR POR PL'!$P$5,'CP RESUMO'!AR58,"")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HISTORICOS'!AS16)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RESUMO'!AS16</f>
        <v/>
      </c>
      <c r="N46" s="128">
        <f>MAX(0,M46-M45)</f>
        <v/>
      </c>
      <c r="O46" s="127">
        <f>IF(B46&lt;='VALOR POR PL'!$P$5,'CP RESUMO'!AS58,"")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HISTORICOS'!AT16)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RESUMO'!AT16</f>
        <v/>
      </c>
      <c r="N47" s="128">
        <f>MAX(0,M47-M46)</f>
        <v/>
      </c>
      <c r="O47" s="127">
        <f>IF(B47&lt;='VALOR POR PL'!$P$5,'CP RESUMO'!AT58,"")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HISTORICOS'!AU16)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RESUMO'!AU16</f>
        <v/>
      </c>
      <c r="N48" s="128">
        <f>MAX(0,M48-M47)</f>
        <v/>
      </c>
      <c r="O48" s="127">
        <f>IF(B48&lt;='VALOR POR PL'!$P$5,'CP RESUMO'!AU58,"")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HISTORICOS'!AV16)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RESUMO'!AV16</f>
        <v/>
      </c>
      <c r="N49" s="128">
        <f>MAX(0,M49-M48)</f>
        <v/>
      </c>
      <c r="O49" s="127">
        <f>IF(B49&lt;='VALOR POR PL'!$P$5,'CP RESUMO'!AV58,"")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HISTORICOS'!AW16)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RESUMO'!AW16</f>
        <v/>
      </c>
      <c r="N50" s="128">
        <f>MAX(0,M50-M49)</f>
        <v/>
      </c>
      <c r="O50" s="127">
        <f>IF(B50&lt;='VALOR POR PL'!$P$5,'CP RESUMO'!AW58,"")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HISTORICOS'!AX16)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RESUMO'!AX16</f>
        <v/>
      </c>
      <c r="N51" s="128">
        <f>MAX(0,M51-M50)</f>
        <v/>
      </c>
      <c r="O51" s="127">
        <f>IF(B51&lt;='VALOR POR PL'!$P$5,'CP RESUMO'!AX58,"")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HISTORICOS'!AY16)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RESUMO'!AY16</f>
        <v/>
      </c>
      <c r="N52" s="128">
        <f>MAX(0,M52-M51)</f>
        <v/>
      </c>
      <c r="O52" s="127">
        <f>IF(B52&lt;='VALOR POR PL'!$P$5,'CP RESUMO'!AY58,"")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HISTORICOS'!AZ16)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RESUMO'!AZ16</f>
        <v/>
      </c>
      <c r="N53" s="128">
        <f>MAX(0,M53-M52)</f>
        <v/>
      </c>
      <c r="O53" s="127">
        <f>IF(B53&lt;='VALOR POR PL'!$P$5,'CP RESUMO'!AZ58,"")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HISTORICOS'!BA16)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RESUMO'!BA16</f>
        <v/>
      </c>
      <c r="N54" s="128">
        <f>MAX(0,M54-M53)</f>
        <v/>
      </c>
      <c r="O54" s="127">
        <f>IF(B54&lt;='VALOR POR PL'!$P$5,'CP RESUMO'!BA58,"")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HISTORICOS'!BB16)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RESUMO'!BB16</f>
        <v/>
      </c>
      <c r="N55" s="128">
        <f>MAX(0,M55-M54)</f>
        <v/>
      </c>
      <c r="O55" s="127">
        <f>IF(B55&lt;='VALOR POR PL'!$P$5,'CP RESUMO'!BB58,"")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HISTORICOS'!BC16)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RESUMO'!BC16</f>
        <v/>
      </c>
      <c r="N56" s="128">
        <f>MAX(0,M56-M55)</f>
        <v/>
      </c>
      <c r="O56" s="127">
        <f>IF(B56&lt;='VALOR POR PL'!$P$5,'CP RESUMO'!BC58,"")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HISTORICOS'!BD16)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RESUMO'!BD16</f>
        <v/>
      </c>
      <c r="N57" s="128">
        <f>MAX(0,M57-M56)</f>
        <v/>
      </c>
      <c r="O57" s="127">
        <f>IF(B57&lt;='VALOR POR PL'!$P$5,'CP RESUMO'!BD58,"")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HISTORICOS'!BE16)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RESUMO'!BE16</f>
        <v/>
      </c>
      <c r="N58" s="128">
        <f>MAX(0,M58-M57)</f>
        <v/>
      </c>
      <c r="O58" s="127">
        <f>IF(B58&lt;='VALOR POR PL'!$P$5,'CP RESUMO'!BE58,"")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HISTORICOS'!BF16)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RESUMO'!BF16</f>
        <v/>
      </c>
      <c r="N59" s="128">
        <f>MAX(0,M59-M58)</f>
        <v/>
      </c>
      <c r="O59" s="127">
        <f>IF(B59&lt;='VALOR POR PL'!$P$5,'CP RESUMO'!BF58,"")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HISTORICOS'!BG16)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RESUMO'!BG16</f>
        <v/>
      </c>
      <c r="N60" s="128">
        <f>MAX(0,M60-M59)</f>
        <v/>
      </c>
      <c r="O60" s="127">
        <f>IF(B60&lt;='VALOR POR PL'!$P$5,'CP RESUMO'!BG58,"")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HISTORICOS'!BH16)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RESUMO'!BH16</f>
        <v/>
      </c>
      <c r="N61" s="128">
        <f>MAX(0,M61-M60)</f>
        <v/>
      </c>
      <c r="O61" s="127">
        <f>IF(B61&lt;='VALOR POR PL'!$P$5,'CP RESUMO'!BH58,"")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HISTORICOS'!BI16)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RESUMO'!BI16</f>
        <v/>
      </c>
      <c r="N62" s="128">
        <f>MAX(0,M62-M61)</f>
        <v/>
      </c>
      <c r="O62" s="127">
        <f>IF(B62&lt;='VALOR POR PL'!$P$5,'CP RESUMO'!BI58,"")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HISTORICOS'!BJ16)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RESUMO'!BJ16</f>
        <v/>
      </c>
      <c r="N63" s="128">
        <f>MAX(0,M63-M62)</f>
        <v/>
      </c>
      <c r="O63" s="127">
        <f>IF(B63&lt;='VALOR POR PL'!$P$5,'CP RESUMO'!BJ58,"")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HISTORICOS'!BK16)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RESUMO'!BK16</f>
        <v/>
      </c>
      <c r="N64" s="128">
        <f>MAX(0,M64-M63)</f>
        <v/>
      </c>
      <c r="O64" s="127">
        <f>IF(B64&lt;='VALOR POR PL'!$P$5,'CP RESUMO'!BK58,"")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HISTORICOS'!BL16)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RESUMO'!BL16</f>
        <v/>
      </c>
      <c r="N65" s="128">
        <f>MAX(0,M65-M64)</f>
        <v/>
      </c>
      <c r="O65" s="127">
        <f>IF(B65&lt;='VALOR POR PL'!$P$5,'CP RESUMO'!BL58,"")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HISTORICOS'!BM16)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RESUMO'!BM16</f>
        <v/>
      </c>
      <c r="N66" s="128">
        <f>MAX(0,M66-M65)</f>
        <v/>
      </c>
      <c r="O66" s="127">
        <f>IF(B66&lt;='VALOR POR PL'!$P$5,'CP RESUMO'!BM58,"")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HISTORICOS'!BN16)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RESUMO'!BN16</f>
        <v/>
      </c>
      <c r="N67" s="128">
        <f>MAX(0,M67-M66)</f>
        <v/>
      </c>
      <c r="O67" s="127">
        <f>IF(B67&lt;='VALOR POR PL'!$P$5,'CP RESUMO'!BN58,"")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HISTORICOS'!BO16)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RESUMO'!BO16</f>
        <v/>
      </c>
      <c r="N68" s="128">
        <f>MAX(0,M68-M67)</f>
        <v/>
      </c>
      <c r="O68" s="127">
        <f>IF(B68&lt;='VALOR POR PL'!$P$5,'CP RESUMO'!BO58,"")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HISTORICOS'!BP16)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RESUMO'!BP16</f>
        <v/>
      </c>
      <c r="N69" s="128">
        <f>MAX(0,M69-M68)</f>
        <v/>
      </c>
      <c r="O69" s="127">
        <f>IF(B69&lt;='VALOR POR PL'!$P$5,'CP RESUMO'!BP58,"")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HISTORICOS'!BQ16)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RESUMO'!BQ16</f>
        <v/>
      </c>
      <c r="N70" s="128">
        <f>MAX(0,M70-M69)</f>
        <v/>
      </c>
      <c r="O70" s="127">
        <f>IF(B70&lt;='VALOR POR PL'!$P$5,'CP RESUMO'!BQ58,"")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HISTORICOS'!BR16)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RESUMO'!BR16</f>
        <v/>
      </c>
      <c r="N71" s="128">
        <f>MAX(0,M71-M70)</f>
        <v/>
      </c>
      <c r="O71" s="127">
        <f>IF(B71&lt;='VALOR POR PL'!$P$5,'CP RESUMO'!BR58,"")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HISTORICOS'!BS16)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RESUMO'!BS16</f>
        <v/>
      </c>
      <c r="N72" s="128">
        <f>MAX(0,M72-M71)</f>
        <v/>
      </c>
      <c r="O72" s="127">
        <f>IF(B72&lt;='VALOR POR PL'!$P$5,'CP RESUMO'!BS58,"")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HISTORICOS'!BT16)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RESUMO'!BT16</f>
        <v/>
      </c>
      <c r="N73" s="128">
        <f>MAX(0,M73-M72)</f>
        <v/>
      </c>
      <c r="O73" s="127">
        <f>IF(B73&lt;='VALOR POR PL'!$P$5,'CP RESUMO'!BT58,"")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HISTORICOS'!BU16)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RESUMO'!BU16</f>
        <v/>
      </c>
      <c r="N74" s="128">
        <f>MAX(0,M74-M73)</f>
        <v/>
      </c>
      <c r="O74" s="127">
        <f>IF(B74&lt;='VALOR POR PL'!$P$5,'CP RESUMO'!BU58,"")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HISTORICOS'!BV16)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RESUMO'!BV16</f>
        <v/>
      </c>
      <c r="N75" s="128">
        <f>MAX(0,M75-M74)</f>
        <v/>
      </c>
      <c r="O75" s="127">
        <f>IF(B75&lt;='VALOR POR PL'!$P$5,'CP RESUMO'!BV58,"")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HISTORICOS'!BW16)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RESUMO'!BW16</f>
        <v/>
      </c>
      <c r="N76" s="128">
        <f>MAX(0,M76-M75)</f>
        <v/>
      </c>
      <c r="O76" s="127">
        <f>IF(B76&lt;='VALOR POR PL'!$P$5,'CP RESUMO'!BW58,"")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PL'!D23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HISTORICOS'!D17)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PL'!F23</f>
        <v/>
      </c>
      <c r="K5" s="63">
        <f>'VALOR POR PL'!G23</f>
        <v/>
      </c>
      <c r="M5" s="127">
        <f>'CP RESUMO'!D17</f>
        <v/>
      </c>
      <c r="N5" s="128" t="n">
        <v>0</v>
      </c>
      <c r="O5" s="127">
        <f>IF(B5&lt;='VALOR POR PL'!$P$5,'CP RESUMO'!D59,"")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HISTORICOS'!E17)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RESUMO'!E17</f>
        <v/>
      </c>
      <c r="N6" s="128">
        <f>MAX(0,M6-M5)</f>
        <v/>
      </c>
      <c r="O6" s="127">
        <f>IF(B6&lt;='VALOR POR PL'!$P$5,'CP RESUMO'!E59,"")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HISTORICOS'!F17)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PL'!L23</f>
        <v/>
      </c>
      <c r="M7" s="127">
        <f>'CP RESUMO'!F17</f>
        <v/>
      </c>
      <c r="N7" s="128">
        <f>MAX(0,M7-M6)</f>
        <v/>
      </c>
      <c r="O7" s="127">
        <f>IF(B7&lt;='VALOR POR PL'!$P$5,'CP RESUMO'!F59,"")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HISTORICOS'!G17)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RESUMO'!G17</f>
        <v/>
      </c>
      <c r="N8" s="128">
        <f>MAX(0,M8-M7)</f>
        <v/>
      </c>
      <c r="O8" s="127">
        <f>IF(B8&lt;='VALOR POR PL'!$P$5,'CP RESUMO'!G59,"")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HISTORICOS'!H17)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RESUMO'!H17</f>
        <v/>
      </c>
      <c r="N9" s="128">
        <f>MAX(0,M9-M8)</f>
        <v/>
      </c>
      <c r="O9" s="127">
        <f>IF(B9&lt;='VALOR POR PL'!$P$5,'CP RESUMO'!H59,"")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HISTORICOS'!I17)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RESUMO'!I17</f>
        <v/>
      </c>
      <c r="N10" s="128">
        <f>MAX(0,M10-M9)</f>
        <v/>
      </c>
      <c r="O10" s="127">
        <f>IF(B10&lt;='VALOR POR PL'!$P$5,'CP RESUMO'!I59,"")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HISTORICOS'!J17)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RESUMO'!J17</f>
        <v/>
      </c>
      <c r="N11" s="128">
        <f>MAX(0,M11-M10)</f>
        <v/>
      </c>
      <c r="O11" s="127">
        <f>IF(B11&lt;='VALOR POR PL'!$P$5,'CP RESUMO'!J59,"")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HISTORICOS'!K17)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RESUMO'!K17</f>
        <v/>
      </c>
      <c r="N12" s="128">
        <f>MAX(0,M12-M11)</f>
        <v/>
      </c>
      <c r="O12" s="127">
        <f>IF(B12&lt;='VALOR POR PL'!$P$5,'CP RESUMO'!K59,"")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HISTORICOS'!L17)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PL'!I23</f>
        <v/>
      </c>
      <c r="M13" s="127">
        <f>'CP RESUMO'!L17</f>
        <v/>
      </c>
      <c r="N13" s="128">
        <f>MAX(0,M13-M12)</f>
        <v/>
      </c>
      <c r="O13" s="127">
        <f>IF(B13&lt;='VALOR POR PL'!$P$5,'CP RESUMO'!L59,"")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HISTORICOS'!M17)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RESUMO'!$D$59:$BW$59,MATCH('VALOR POR PL'!$P$5,'CP RESUMO'!$D$4:$BW$4,0))/100,0)</f>
        <v/>
      </c>
      <c r="M14" s="127">
        <f>'CP RESUMO'!M17</f>
        <v/>
      </c>
      <c r="N14" s="128">
        <f>MAX(0,M14-M13)</f>
        <v/>
      </c>
      <c r="O14" s="127">
        <f>IF(B14&lt;='VALOR POR PL'!$P$5,'CP RESUMO'!M59,"")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HISTORICOS'!N17)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RESUMO'!N17</f>
        <v/>
      </c>
      <c r="N15" s="128">
        <f>MAX(0,M15-M14)</f>
        <v/>
      </c>
      <c r="O15" s="127">
        <f>IF(B15&lt;='VALOR POR PL'!$P$5,'CP RESUMO'!N59,"")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HISTORICOS'!O17)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RESUMO'!O17</f>
        <v/>
      </c>
      <c r="N16" s="128">
        <f>MAX(0,M16-M15)</f>
        <v/>
      </c>
      <c r="O16" s="127">
        <f>IF(B16&lt;='VALOR POR PL'!$P$5,'CP RESUMO'!O59,"")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HISTORICOS'!P17)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RESUMO'!P17</f>
        <v/>
      </c>
      <c r="N17" s="128">
        <f>MAX(0,M17-M16)</f>
        <v/>
      </c>
      <c r="O17" s="127">
        <f>IF(B17&lt;='VALOR POR PL'!$P$5,'CP RESUMO'!P59,"")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HISTORICOS'!Q17)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RESUMO'!Q17</f>
        <v/>
      </c>
      <c r="N18" s="128">
        <f>MAX(0,M18-M17)</f>
        <v/>
      </c>
      <c r="O18" s="127">
        <f>IF(B18&lt;='VALOR POR PL'!$P$5,'CP RESUMO'!Q59,"")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HISTORICOS'!R17)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RESUMO'!R17</f>
        <v/>
      </c>
      <c r="N19" s="128">
        <f>MAX(0,M19-M18)</f>
        <v/>
      </c>
      <c r="O19" s="127">
        <f>IF(B19&lt;='VALOR POR PL'!$P$5,'CP RESUMO'!R59,"")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HISTORICOS'!S17)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RESUMO'!S17</f>
        <v/>
      </c>
      <c r="N20" s="128">
        <f>MAX(0,M20-M19)</f>
        <v/>
      </c>
      <c r="O20" s="127">
        <f>IF(B20&lt;='VALOR POR PL'!$P$5,'CP RESUMO'!S59,"")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HISTORICOS'!T17)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RESUMO'!T17</f>
        <v/>
      </c>
      <c r="N21" s="128">
        <f>MAX(0,M21-M20)</f>
        <v/>
      </c>
      <c r="O21" s="127">
        <f>IF(B21&lt;='VALOR POR PL'!$P$5,'CP RESUMO'!T59,"")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HISTORICOS'!U17)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RESUMO'!U17</f>
        <v/>
      </c>
      <c r="N22" s="128">
        <f>MAX(0,M22-M21)</f>
        <v/>
      </c>
      <c r="O22" s="127">
        <f>IF(B22&lt;='VALOR POR PL'!$P$5,'CP RESUMO'!U59,"")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HISTORICOS'!V17)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RESUMO'!V17</f>
        <v/>
      </c>
      <c r="N23" s="128">
        <f>MAX(0,M23-M22)</f>
        <v/>
      </c>
      <c r="O23" s="127">
        <f>IF(B23&lt;='VALOR POR PL'!$P$5,'CP RESUMO'!V59,"")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HISTORICOS'!W17)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RESUMO'!W17</f>
        <v/>
      </c>
      <c r="N24" s="128">
        <f>MAX(0,M24-M23)</f>
        <v/>
      </c>
      <c r="O24" s="127">
        <f>IF(B24&lt;='VALOR POR PL'!$P$5,'CP RESUMO'!W59,"")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HISTORICOS'!X17)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RESUMO'!X17</f>
        <v/>
      </c>
      <c r="N25" s="128">
        <f>MAX(0,M25-M24)</f>
        <v/>
      </c>
      <c r="O25" s="127">
        <f>IF(B25&lt;='VALOR POR PL'!$P$5,'CP RESUMO'!X59,"")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HISTORICOS'!Y17)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RESUMO'!Y17</f>
        <v/>
      </c>
      <c r="N26" s="128">
        <f>MAX(0,M26-M25)</f>
        <v/>
      </c>
      <c r="O26" s="127">
        <f>IF(B26&lt;='VALOR POR PL'!$P$5,'CP RESUMO'!Y59,"")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HISTORICOS'!Z17)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RESUMO'!Z17</f>
        <v/>
      </c>
      <c r="N27" s="128">
        <f>MAX(0,M27-M26)</f>
        <v/>
      </c>
      <c r="O27" s="127">
        <f>IF(B27&lt;='VALOR POR PL'!$P$5,'CP RESUMO'!Z59,"")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HISTORICOS'!AA17)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RESUMO'!AA17</f>
        <v/>
      </c>
      <c r="N28" s="128">
        <f>MAX(0,M28-M27)</f>
        <v/>
      </c>
      <c r="O28" s="127">
        <f>IF(B28&lt;='VALOR POR PL'!$P$5,'CP RESUMO'!AA59,"")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HISTORICOS'!AB17)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RESUMO'!AB17</f>
        <v/>
      </c>
      <c r="N29" s="128">
        <f>MAX(0,M29-M28)</f>
        <v/>
      </c>
      <c r="O29" s="127">
        <f>IF(B29&lt;='VALOR POR PL'!$P$5,'CP RESUMO'!AB59,"")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HISTORICOS'!AC17)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RESUMO'!AC17</f>
        <v/>
      </c>
      <c r="N30" s="128">
        <f>MAX(0,M30-M29)</f>
        <v/>
      </c>
      <c r="O30" s="127">
        <f>IF(B30&lt;='VALOR POR PL'!$P$5,'CP RESUMO'!AC59,"")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HISTORICOS'!AD17)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RESUMO'!AD17</f>
        <v/>
      </c>
      <c r="N31" s="128">
        <f>MAX(0,M31-M30)</f>
        <v/>
      </c>
      <c r="O31" s="127">
        <f>IF(B31&lt;='VALOR POR PL'!$P$5,'CP RESUMO'!AD59,"")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HISTORICOS'!AE17)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RESUMO'!AE17</f>
        <v/>
      </c>
      <c r="N32" s="128">
        <f>MAX(0,M32-M31)</f>
        <v/>
      </c>
      <c r="O32" s="127">
        <f>IF(B32&lt;='VALOR POR PL'!$P$5,'CP RESUMO'!AE59,"")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HISTORICOS'!AF17)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RESUMO'!AF17</f>
        <v/>
      </c>
      <c r="N33" s="128">
        <f>MAX(0,M33-M32)</f>
        <v/>
      </c>
      <c r="O33" s="127">
        <f>IF(B33&lt;='VALOR POR PL'!$P$5,'CP RESUMO'!AF59,"")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HISTORICOS'!AG17)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RESUMO'!AG17</f>
        <v/>
      </c>
      <c r="N34" s="128">
        <f>MAX(0,M34-M33)</f>
        <v/>
      </c>
      <c r="O34" s="127">
        <f>IF(B34&lt;='VALOR POR PL'!$P$5,'CP RESUMO'!AG59,"")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HISTORICOS'!AH17)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RESUMO'!AH17</f>
        <v/>
      </c>
      <c r="N35" s="128">
        <f>MAX(0,M35-M34)</f>
        <v/>
      </c>
      <c r="O35" s="127">
        <f>IF(B35&lt;='VALOR POR PL'!$P$5,'CP RESUMO'!AH59,"")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HISTORICOS'!AI17)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RESUMO'!AI17</f>
        <v/>
      </c>
      <c r="N36" s="128">
        <f>MAX(0,M36-M35)</f>
        <v/>
      </c>
      <c r="O36" s="127">
        <f>IF(B36&lt;='VALOR POR PL'!$P$5,'CP RESUMO'!AI59,"")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HISTORICOS'!AJ17)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RESUMO'!AJ17</f>
        <v/>
      </c>
      <c r="N37" s="128">
        <f>MAX(0,M37-M36)</f>
        <v/>
      </c>
      <c r="O37" s="127">
        <f>IF(B37&lt;='VALOR POR PL'!$P$5,'CP RESUMO'!AJ59,"")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HISTORICOS'!AK17)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RESUMO'!AK17</f>
        <v/>
      </c>
      <c r="N38" s="128">
        <f>MAX(0,M38-M37)</f>
        <v/>
      </c>
      <c r="O38" s="127">
        <f>IF(B38&lt;='VALOR POR PL'!$P$5,'CP RESUMO'!AK59,"")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HISTORICOS'!AL17)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RESUMO'!AL17</f>
        <v/>
      </c>
      <c r="N39" s="128">
        <f>MAX(0,M39-M38)</f>
        <v/>
      </c>
      <c r="O39" s="127">
        <f>IF(B39&lt;='VALOR POR PL'!$P$5,'CP RESUMO'!AL59,"")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HISTORICOS'!AM17)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RESUMO'!AM17</f>
        <v/>
      </c>
      <c r="N40" s="128">
        <f>MAX(0,M40-M39)</f>
        <v/>
      </c>
      <c r="O40" s="127">
        <f>IF(B40&lt;='VALOR POR PL'!$P$5,'CP RESUMO'!AM59,"")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HISTORICOS'!AN17)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RESUMO'!AN17</f>
        <v/>
      </c>
      <c r="N41" s="128">
        <f>MAX(0,M41-M40)</f>
        <v/>
      </c>
      <c r="O41" s="127">
        <f>IF(B41&lt;='VALOR POR PL'!$P$5,'CP RESUMO'!AN59,"")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HISTORICOS'!AO17)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RESUMO'!AO17</f>
        <v/>
      </c>
      <c r="N42" s="128">
        <f>MAX(0,M42-M41)</f>
        <v/>
      </c>
      <c r="O42" s="127">
        <f>IF(B42&lt;='VALOR POR PL'!$P$5,'CP RESUMO'!AO59,"")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HISTORICOS'!AP17)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RESUMO'!AP17</f>
        <v/>
      </c>
      <c r="N43" s="128">
        <f>MAX(0,M43-M42)</f>
        <v/>
      </c>
      <c r="O43" s="127">
        <f>IF(B43&lt;='VALOR POR PL'!$P$5,'CP RESUMO'!AP59,"")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HISTORICOS'!AQ17)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RESUMO'!AQ17</f>
        <v/>
      </c>
      <c r="N44" s="128">
        <f>MAX(0,M44-M43)</f>
        <v/>
      </c>
      <c r="O44" s="127">
        <f>IF(B44&lt;='VALOR POR PL'!$P$5,'CP RESUMO'!AQ59,"")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HISTORICOS'!AR17)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RESUMO'!AR17</f>
        <v/>
      </c>
      <c r="N45" s="128">
        <f>MAX(0,M45-M44)</f>
        <v/>
      </c>
      <c r="O45" s="127">
        <f>IF(B45&lt;='VALOR POR PL'!$P$5,'CP RESUMO'!AR59,"")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HISTORICOS'!AS17)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RESUMO'!AS17</f>
        <v/>
      </c>
      <c r="N46" s="128">
        <f>MAX(0,M46-M45)</f>
        <v/>
      </c>
      <c r="O46" s="127">
        <f>IF(B46&lt;='VALOR POR PL'!$P$5,'CP RESUMO'!AS59,"")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HISTORICOS'!AT17)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RESUMO'!AT17</f>
        <v/>
      </c>
      <c r="N47" s="128">
        <f>MAX(0,M47-M46)</f>
        <v/>
      </c>
      <c r="O47" s="127">
        <f>IF(B47&lt;='VALOR POR PL'!$P$5,'CP RESUMO'!AT59,"")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HISTORICOS'!AU17)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RESUMO'!AU17</f>
        <v/>
      </c>
      <c r="N48" s="128">
        <f>MAX(0,M48-M47)</f>
        <v/>
      </c>
      <c r="O48" s="127">
        <f>IF(B48&lt;='VALOR POR PL'!$P$5,'CP RESUMO'!AU59,"")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HISTORICOS'!AV17)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RESUMO'!AV17</f>
        <v/>
      </c>
      <c r="N49" s="128">
        <f>MAX(0,M49-M48)</f>
        <v/>
      </c>
      <c r="O49" s="127">
        <f>IF(B49&lt;='VALOR POR PL'!$P$5,'CP RESUMO'!AV59,"")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HISTORICOS'!AW17)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RESUMO'!AW17</f>
        <v/>
      </c>
      <c r="N50" s="128">
        <f>MAX(0,M50-M49)</f>
        <v/>
      </c>
      <c r="O50" s="127">
        <f>IF(B50&lt;='VALOR POR PL'!$P$5,'CP RESUMO'!AW59,"")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HISTORICOS'!AX17)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RESUMO'!AX17</f>
        <v/>
      </c>
      <c r="N51" s="128">
        <f>MAX(0,M51-M50)</f>
        <v/>
      </c>
      <c r="O51" s="127">
        <f>IF(B51&lt;='VALOR POR PL'!$P$5,'CP RESUMO'!AX59,"")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HISTORICOS'!AY17)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RESUMO'!AY17</f>
        <v/>
      </c>
      <c r="N52" s="128">
        <f>MAX(0,M52-M51)</f>
        <v/>
      </c>
      <c r="O52" s="127">
        <f>IF(B52&lt;='VALOR POR PL'!$P$5,'CP RESUMO'!AY59,"")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HISTORICOS'!AZ17)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RESUMO'!AZ17</f>
        <v/>
      </c>
      <c r="N53" s="128">
        <f>MAX(0,M53-M52)</f>
        <v/>
      </c>
      <c r="O53" s="127">
        <f>IF(B53&lt;='VALOR POR PL'!$P$5,'CP RESUMO'!AZ59,"")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HISTORICOS'!BA17)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RESUMO'!BA17</f>
        <v/>
      </c>
      <c r="N54" s="128">
        <f>MAX(0,M54-M53)</f>
        <v/>
      </c>
      <c r="O54" s="127">
        <f>IF(B54&lt;='VALOR POR PL'!$P$5,'CP RESUMO'!BA59,"")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HISTORICOS'!BB17)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RESUMO'!BB17</f>
        <v/>
      </c>
      <c r="N55" s="128">
        <f>MAX(0,M55-M54)</f>
        <v/>
      </c>
      <c r="O55" s="127">
        <f>IF(B55&lt;='VALOR POR PL'!$P$5,'CP RESUMO'!BB59,"")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HISTORICOS'!BC17)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RESUMO'!BC17</f>
        <v/>
      </c>
      <c r="N56" s="128">
        <f>MAX(0,M56-M55)</f>
        <v/>
      </c>
      <c r="O56" s="127">
        <f>IF(B56&lt;='VALOR POR PL'!$P$5,'CP RESUMO'!BC59,"")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HISTORICOS'!BD17)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RESUMO'!BD17</f>
        <v/>
      </c>
      <c r="N57" s="128">
        <f>MAX(0,M57-M56)</f>
        <v/>
      </c>
      <c r="O57" s="127">
        <f>IF(B57&lt;='VALOR POR PL'!$P$5,'CP RESUMO'!BD59,"")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HISTORICOS'!BE17)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RESUMO'!BE17</f>
        <v/>
      </c>
      <c r="N58" s="128">
        <f>MAX(0,M58-M57)</f>
        <v/>
      </c>
      <c r="O58" s="127">
        <f>IF(B58&lt;='VALOR POR PL'!$P$5,'CP RESUMO'!BE59,"")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HISTORICOS'!BF17)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RESUMO'!BF17</f>
        <v/>
      </c>
      <c r="N59" s="128">
        <f>MAX(0,M59-M58)</f>
        <v/>
      </c>
      <c r="O59" s="127">
        <f>IF(B59&lt;='VALOR POR PL'!$P$5,'CP RESUMO'!BF59,"")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HISTORICOS'!BG17)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RESUMO'!BG17</f>
        <v/>
      </c>
      <c r="N60" s="128">
        <f>MAX(0,M60-M59)</f>
        <v/>
      </c>
      <c r="O60" s="127">
        <f>IF(B60&lt;='VALOR POR PL'!$P$5,'CP RESUMO'!BG59,"")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HISTORICOS'!BH17)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RESUMO'!BH17</f>
        <v/>
      </c>
      <c r="N61" s="128">
        <f>MAX(0,M61-M60)</f>
        <v/>
      </c>
      <c r="O61" s="127">
        <f>IF(B61&lt;='VALOR POR PL'!$P$5,'CP RESUMO'!BH59,"")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HISTORICOS'!BI17)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RESUMO'!BI17</f>
        <v/>
      </c>
      <c r="N62" s="128">
        <f>MAX(0,M62-M61)</f>
        <v/>
      </c>
      <c r="O62" s="127">
        <f>IF(B62&lt;='VALOR POR PL'!$P$5,'CP RESUMO'!BI59,"")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HISTORICOS'!BJ17)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RESUMO'!BJ17</f>
        <v/>
      </c>
      <c r="N63" s="128">
        <f>MAX(0,M63-M62)</f>
        <v/>
      </c>
      <c r="O63" s="127">
        <f>IF(B63&lt;='VALOR POR PL'!$P$5,'CP RESUMO'!BJ59,"")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HISTORICOS'!BK17)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RESUMO'!BK17</f>
        <v/>
      </c>
      <c r="N64" s="128">
        <f>MAX(0,M64-M63)</f>
        <v/>
      </c>
      <c r="O64" s="127">
        <f>IF(B64&lt;='VALOR POR PL'!$P$5,'CP RESUMO'!BK59,"")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HISTORICOS'!BL17)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RESUMO'!BL17</f>
        <v/>
      </c>
      <c r="N65" s="128">
        <f>MAX(0,M65-M64)</f>
        <v/>
      </c>
      <c r="O65" s="127">
        <f>IF(B65&lt;='VALOR POR PL'!$P$5,'CP RESUMO'!BL59,"")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HISTORICOS'!BM17)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RESUMO'!BM17</f>
        <v/>
      </c>
      <c r="N66" s="128">
        <f>MAX(0,M66-M65)</f>
        <v/>
      </c>
      <c r="O66" s="127">
        <f>IF(B66&lt;='VALOR POR PL'!$P$5,'CP RESUMO'!BM59,"")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HISTORICOS'!BN17)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RESUMO'!BN17</f>
        <v/>
      </c>
      <c r="N67" s="128">
        <f>MAX(0,M67-M66)</f>
        <v/>
      </c>
      <c r="O67" s="127">
        <f>IF(B67&lt;='VALOR POR PL'!$P$5,'CP RESUMO'!BN59,"")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HISTORICOS'!BO17)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RESUMO'!BO17</f>
        <v/>
      </c>
      <c r="N68" s="128">
        <f>MAX(0,M68-M67)</f>
        <v/>
      </c>
      <c r="O68" s="127">
        <f>IF(B68&lt;='VALOR POR PL'!$P$5,'CP RESUMO'!BO59,"")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HISTORICOS'!BP17)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RESUMO'!BP17</f>
        <v/>
      </c>
      <c r="N69" s="128">
        <f>MAX(0,M69-M68)</f>
        <v/>
      </c>
      <c r="O69" s="127">
        <f>IF(B69&lt;='VALOR POR PL'!$P$5,'CP RESUMO'!BP59,"")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HISTORICOS'!BQ17)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RESUMO'!BQ17</f>
        <v/>
      </c>
      <c r="N70" s="128">
        <f>MAX(0,M70-M69)</f>
        <v/>
      </c>
      <c r="O70" s="127">
        <f>IF(B70&lt;='VALOR POR PL'!$P$5,'CP RESUMO'!BQ59,"")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HISTORICOS'!BR17)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RESUMO'!BR17</f>
        <v/>
      </c>
      <c r="N71" s="128">
        <f>MAX(0,M71-M70)</f>
        <v/>
      </c>
      <c r="O71" s="127">
        <f>IF(B71&lt;='VALOR POR PL'!$P$5,'CP RESUMO'!BR59,"")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HISTORICOS'!BS17)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RESUMO'!BS17</f>
        <v/>
      </c>
      <c r="N72" s="128">
        <f>MAX(0,M72-M71)</f>
        <v/>
      </c>
      <c r="O72" s="127">
        <f>IF(B72&lt;='VALOR POR PL'!$P$5,'CP RESUMO'!BS59,"")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HISTORICOS'!BT17)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RESUMO'!BT17</f>
        <v/>
      </c>
      <c r="N73" s="128">
        <f>MAX(0,M73-M72)</f>
        <v/>
      </c>
      <c r="O73" s="127">
        <f>IF(B73&lt;='VALOR POR PL'!$P$5,'CP RESUMO'!BT59,"")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HISTORICOS'!BU17)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RESUMO'!BU17</f>
        <v/>
      </c>
      <c r="N74" s="128">
        <f>MAX(0,M74-M73)</f>
        <v/>
      </c>
      <c r="O74" s="127">
        <f>IF(B74&lt;='VALOR POR PL'!$P$5,'CP RESUMO'!BU59,"")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HISTORICOS'!BV17)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RESUMO'!BV17</f>
        <v/>
      </c>
      <c r="N75" s="128">
        <f>MAX(0,M75-M74)</f>
        <v/>
      </c>
      <c r="O75" s="127">
        <f>IF(B75&lt;='VALOR POR PL'!$P$5,'CP RESUMO'!BV59,"")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HISTORICOS'!BW17)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RESUMO'!BW17</f>
        <v/>
      </c>
      <c r="N76" s="128">
        <f>MAX(0,M76-M75)</f>
        <v/>
      </c>
      <c r="O76" s="127">
        <f>IF(B76&lt;='VALOR POR PL'!$P$5,'CP RESUMO'!BW59,"")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PL'!D24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HISTORICOS'!D18)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PL'!F24</f>
        <v/>
      </c>
      <c r="K5" s="63">
        <f>'VALOR POR PL'!G24</f>
        <v/>
      </c>
      <c r="M5" s="127">
        <f>'CP RESUMO'!D18</f>
        <v/>
      </c>
      <c r="N5" s="128" t="n">
        <v>0</v>
      </c>
      <c r="O5" s="127">
        <f>IF(B5&lt;='VALOR POR PL'!$P$5,'CP RESUMO'!D60,"")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HISTORICOS'!E18)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RESUMO'!E18</f>
        <v/>
      </c>
      <c r="N6" s="128">
        <f>MAX(0,M6-M5)</f>
        <v/>
      </c>
      <c r="O6" s="127">
        <f>IF(B6&lt;='VALOR POR PL'!$P$5,'CP RESUMO'!E60,"")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HISTORICOS'!F18)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PL'!L24</f>
        <v/>
      </c>
      <c r="M7" s="127">
        <f>'CP RESUMO'!F18</f>
        <v/>
      </c>
      <c r="N7" s="128">
        <f>MAX(0,M7-M6)</f>
        <v/>
      </c>
      <c r="O7" s="127">
        <f>IF(B7&lt;='VALOR POR PL'!$P$5,'CP RESUMO'!F60,"")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HISTORICOS'!G18)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RESUMO'!G18</f>
        <v/>
      </c>
      <c r="N8" s="128">
        <f>MAX(0,M8-M7)</f>
        <v/>
      </c>
      <c r="O8" s="127">
        <f>IF(B8&lt;='VALOR POR PL'!$P$5,'CP RESUMO'!G60,"")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HISTORICOS'!H18)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RESUMO'!H18</f>
        <v/>
      </c>
      <c r="N9" s="128">
        <f>MAX(0,M9-M8)</f>
        <v/>
      </c>
      <c r="O9" s="127">
        <f>IF(B9&lt;='VALOR POR PL'!$P$5,'CP RESUMO'!H60,"")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HISTORICOS'!I18)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RESUMO'!I18</f>
        <v/>
      </c>
      <c r="N10" s="128">
        <f>MAX(0,M10-M9)</f>
        <v/>
      </c>
      <c r="O10" s="127">
        <f>IF(B10&lt;='VALOR POR PL'!$P$5,'CP RESUMO'!I60,"")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HISTORICOS'!J18)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RESUMO'!J18</f>
        <v/>
      </c>
      <c r="N11" s="128">
        <f>MAX(0,M11-M10)</f>
        <v/>
      </c>
      <c r="O11" s="127">
        <f>IF(B11&lt;='VALOR POR PL'!$P$5,'CP RESUMO'!J60,"")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HISTORICOS'!K18)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RESUMO'!K18</f>
        <v/>
      </c>
      <c r="N12" s="128">
        <f>MAX(0,M12-M11)</f>
        <v/>
      </c>
      <c r="O12" s="127">
        <f>IF(B12&lt;='VALOR POR PL'!$P$5,'CP RESUMO'!K60,"")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HISTORICOS'!L18)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PL'!I24</f>
        <v/>
      </c>
      <c r="M13" s="127">
        <f>'CP RESUMO'!L18</f>
        <v/>
      </c>
      <c r="N13" s="128">
        <f>MAX(0,M13-M12)</f>
        <v/>
      </c>
      <c r="O13" s="127">
        <f>IF(B13&lt;='VALOR POR PL'!$P$5,'CP RESUMO'!L60,"")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HISTORICOS'!M18)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RESUMO'!$D$60:$BW$60,MATCH('VALOR POR PL'!$P$5,'CP RESUMO'!$D$4:$BW$4,0))/100,0)</f>
        <v/>
      </c>
      <c r="M14" s="127">
        <f>'CP RESUMO'!M18</f>
        <v/>
      </c>
      <c r="N14" s="128">
        <f>MAX(0,M14-M13)</f>
        <v/>
      </c>
      <c r="O14" s="127">
        <f>IF(B14&lt;='VALOR POR PL'!$P$5,'CP RESUMO'!M60,"")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HISTORICOS'!N18)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RESUMO'!N18</f>
        <v/>
      </c>
      <c r="N15" s="128">
        <f>MAX(0,M15-M14)</f>
        <v/>
      </c>
      <c r="O15" s="127">
        <f>IF(B15&lt;='VALOR POR PL'!$P$5,'CP RESUMO'!N60,"")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HISTORICOS'!O18)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RESUMO'!O18</f>
        <v/>
      </c>
      <c r="N16" s="128">
        <f>MAX(0,M16-M15)</f>
        <v/>
      </c>
      <c r="O16" s="127">
        <f>IF(B16&lt;='VALOR POR PL'!$P$5,'CP RESUMO'!O60,"")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HISTORICOS'!P18)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RESUMO'!P18</f>
        <v/>
      </c>
      <c r="N17" s="128">
        <f>MAX(0,M17-M16)</f>
        <v/>
      </c>
      <c r="O17" s="127">
        <f>IF(B17&lt;='VALOR POR PL'!$P$5,'CP RESUMO'!P60,"")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HISTORICOS'!Q18)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RESUMO'!Q18</f>
        <v/>
      </c>
      <c r="N18" s="128">
        <f>MAX(0,M18-M17)</f>
        <v/>
      </c>
      <c r="O18" s="127">
        <f>IF(B18&lt;='VALOR POR PL'!$P$5,'CP RESUMO'!Q60,"")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HISTORICOS'!R18)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RESUMO'!R18</f>
        <v/>
      </c>
      <c r="N19" s="128">
        <f>MAX(0,M19-M18)</f>
        <v/>
      </c>
      <c r="O19" s="127">
        <f>IF(B19&lt;='VALOR POR PL'!$P$5,'CP RESUMO'!R60,"")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HISTORICOS'!S18)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RESUMO'!S18</f>
        <v/>
      </c>
      <c r="N20" s="128">
        <f>MAX(0,M20-M19)</f>
        <v/>
      </c>
      <c r="O20" s="127">
        <f>IF(B20&lt;='VALOR POR PL'!$P$5,'CP RESUMO'!S60,"")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HISTORICOS'!T18)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RESUMO'!T18</f>
        <v/>
      </c>
      <c r="N21" s="128">
        <f>MAX(0,M21-M20)</f>
        <v/>
      </c>
      <c r="O21" s="127">
        <f>IF(B21&lt;='VALOR POR PL'!$P$5,'CP RESUMO'!T60,"")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HISTORICOS'!U18)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RESUMO'!U18</f>
        <v/>
      </c>
      <c r="N22" s="128">
        <f>MAX(0,M22-M21)</f>
        <v/>
      </c>
      <c r="O22" s="127">
        <f>IF(B22&lt;='VALOR POR PL'!$P$5,'CP RESUMO'!U60,"")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HISTORICOS'!V18)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RESUMO'!V18</f>
        <v/>
      </c>
      <c r="N23" s="128">
        <f>MAX(0,M23-M22)</f>
        <v/>
      </c>
      <c r="O23" s="127">
        <f>IF(B23&lt;='VALOR POR PL'!$P$5,'CP RESUMO'!V60,"")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HISTORICOS'!W18)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RESUMO'!W18</f>
        <v/>
      </c>
      <c r="N24" s="128">
        <f>MAX(0,M24-M23)</f>
        <v/>
      </c>
      <c r="O24" s="127">
        <f>IF(B24&lt;='VALOR POR PL'!$P$5,'CP RESUMO'!W60,"")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HISTORICOS'!X18)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RESUMO'!X18</f>
        <v/>
      </c>
      <c r="N25" s="128">
        <f>MAX(0,M25-M24)</f>
        <v/>
      </c>
      <c r="O25" s="127">
        <f>IF(B25&lt;='VALOR POR PL'!$P$5,'CP RESUMO'!X60,"")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HISTORICOS'!Y18)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RESUMO'!Y18</f>
        <v/>
      </c>
      <c r="N26" s="128">
        <f>MAX(0,M26-M25)</f>
        <v/>
      </c>
      <c r="O26" s="127">
        <f>IF(B26&lt;='VALOR POR PL'!$P$5,'CP RESUMO'!Y60,"")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HISTORICOS'!Z18)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RESUMO'!Z18</f>
        <v/>
      </c>
      <c r="N27" s="128">
        <f>MAX(0,M27-M26)</f>
        <v/>
      </c>
      <c r="O27" s="127">
        <f>IF(B27&lt;='VALOR POR PL'!$P$5,'CP RESUMO'!Z60,"")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HISTORICOS'!AA18)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RESUMO'!AA18</f>
        <v/>
      </c>
      <c r="N28" s="128">
        <f>MAX(0,M28-M27)</f>
        <v/>
      </c>
      <c r="O28" s="127">
        <f>IF(B28&lt;='VALOR POR PL'!$P$5,'CP RESUMO'!AA60,"")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HISTORICOS'!AB18)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RESUMO'!AB18</f>
        <v/>
      </c>
      <c r="N29" s="128">
        <f>MAX(0,M29-M28)</f>
        <v/>
      </c>
      <c r="O29" s="127">
        <f>IF(B29&lt;='VALOR POR PL'!$P$5,'CP RESUMO'!AB60,"")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HISTORICOS'!AC18)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RESUMO'!AC18</f>
        <v/>
      </c>
      <c r="N30" s="128">
        <f>MAX(0,M30-M29)</f>
        <v/>
      </c>
      <c r="O30" s="127">
        <f>IF(B30&lt;='VALOR POR PL'!$P$5,'CP RESUMO'!AC60,"")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HISTORICOS'!AD18)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RESUMO'!AD18</f>
        <v/>
      </c>
      <c r="N31" s="128">
        <f>MAX(0,M31-M30)</f>
        <v/>
      </c>
      <c r="O31" s="127">
        <f>IF(B31&lt;='VALOR POR PL'!$P$5,'CP RESUMO'!AD60,"")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HISTORICOS'!AE18)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RESUMO'!AE18</f>
        <v/>
      </c>
      <c r="N32" s="128">
        <f>MAX(0,M32-M31)</f>
        <v/>
      </c>
      <c r="O32" s="127">
        <f>IF(B32&lt;='VALOR POR PL'!$P$5,'CP RESUMO'!AE60,"")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HISTORICOS'!AF18)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RESUMO'!AF18</f>
        <v/>
      </c>
      <c r="N33" s="128">
        <f>MAX(0,M33-M32)</f>
        <v/>
      </c>
      <c r="O33" s="127">
        <f>IF(B33&lt;='VALOR POR PL'!$P$5,'CP RESUMO'!AF60,"")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HISTORICOS'!AG18)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RESUMO'!AG18</f>
        <v/>
      </c>
      <c r="N34" s="128">
        <f>MAX(0,M34-M33)</f>
        <v/>
      </c>
      <c r="O34" s="127">
        <f>IF(B34&lt;='VALOR POR PL'!$P$5,'CP RESUMO'!AG60,"")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HISTORICOS'!AH18)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RESUMO'!AH18</f>
        <v/>
      </c>
      <c r="N35" s="128">
        <f>MAX(0,M35-M34)</f>
        <v/>
      </c>
      <c r="O35" s="127">
        <f>IF(B35&lt;='VALOR POR PL'!$P$5,'CP RESUMO'!AH60,"")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HISTORICOS'!AI18)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RESUMO'!AI18</f>
        <v/>
      </c>
      <c r="N36" s="128">
        <f>MAX(0,M36-M35)</f>
        <v/>
      </c>
      <c r="O36" s="127">
        <f>IF(B36&lt;='VALOR POR PL'!$P$5,'CP RESUMO'!AI60,"")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HISTORICOS'!AJ18)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RESUMO'!AJ18</f>
        <v/>
      </c>
      <c r="N37" s="128">
        <f>MAX(0,M37-M36)</f>
        <v/>
      </c>
      <c r="O37" s="127">
        <f>IF(B37&lt;='VALOR POR PL'!$P$5,'CP RESUMO'!AJ60,"")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HISTORICOS'!AK18)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RESUMO'!AK18</f>
        <v/>
      </c>
      <c r="N38" s="128">
        <f>MAX(0,M38-M37)</f>
        <v/>
      </c>
      <c r="O38" s="127">
        <f>IF(B38&lt;='VALOR POR PL'!$P$5,'CP RESUMO'!AK60,"")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HISTORICOS'!AL18)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RESUMO'!AL18</f>
        <v/>
      </c>
      <c r="N39" s="128">
        <f>MAX(0,M39-M38)</f>
        <v/>
      </c>
      <c r="O39" s="127">
        <f>IF(B39&lt;='VALOR POR PL'!$P$5,'CP RESUMO'!AL60,"")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HISTORICOS'!AM18)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RESUMO'!AM18</f>
        <v/>
      </c>
      <c r="N40" s="128">
        <f>MAX(0,M40-M39)</f>
        <v/>
      </c>
      <c r="O40" s="127">
        <f>IF(B40&lt;='VALOR POR PL'!$P$5,'CP RESUMO'!AM60,"")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HISTORICOS'!AN18)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RESUMO'!AN18</f>
        <v/>
      </c>
      <c r="N41" s="128">
        <f>MAX(0,M41-M40)</f>
        <v/>
      </c>
      <c r="O41" s="127">
        <f>IF(B41&lt;='VALOR POR PL'!$P$5,'CP RESUMO'!AN60,"")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HISTORICOS'!AO18)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RESUMO'!AO18</f>
        <v/>
      </c>
      <c r="N42" s="128">
        <f>MAX(0,M42-M41)</f>
        <v/>
      </c>
      <c r="O42" s="127">
        <f>IF(B42&lt;='VALOR POR PL'!$P$5,'CP RESUMO'!AO60,"")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HISTORICOS'!AP18)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RESUMO'!AP18</f>
        <v/>
      </c>
      <c r="N43" s="128">
        <f>MAX(0,M43-M42)</f>
        <v/>
      </c>
      <c r="O43" s="127">
        <f>IF(B43&lt;='VALOR POR PL'!$P$5,'CP RESUMO'!AP60,"")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HISTORICOS'!AQ18)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RESUMO'!AQ18</f>
        <v/>
      </c>
      <c r="N44" s="128">
        <f>MAX(0,M44-M43)</f>
        <v/>
      </c>
      <c r="O44" s="127">
        <f>IF(B44&lt;='VALOR POR PL'!$P$5,'CP RESUMO'!AQ60,"")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HISTORICOS'!AR18)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RESUMO'!AR18</f>
        <v/>
      </c>
      <c r="N45" s="128">
        <f>MAX(0,M45-M44)</f>
        <v/>
      </c>
      <c r="O45" s="127">
        <f>IF(B45&lt;='VALOR POR PL'!$P$5,'CP RESUMO'!AR60,"")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HISTORICOS'!AS18)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RESUMO'!AS18</f>
        <v/>
      </c>
      <c r="N46" s="128">
        <f>MAX(0,M46-M45)</f>
        <v/>
      </c>
      <c r="O46" s="127">
        <f>IF(B46&lt;='VALOR POR PL'!$P$5,'CP RESUMO'!AS60,"")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HISTORICOS'!AT18)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RESUMO'!AT18</f>
        <v/>
      </c>
      <c r="N47" s="128">
        <f>MAX(0,M47-M46)</f>
        <v/>
      </c>
      <c r="O47" s="127">
        <f>IF(B47&lt;='VALOR POR PL'!$P$5,'CP RESUMO'!AT60,"")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HISTORICOS'!AU18)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RESUMO'!AU18</f>
        <v/>
      </c>
      <c r="N48" s="128">
        <f>MAX(0,M48-M47)</f>
        <v/>
      </c>
      <c r="O48" s="127">
        <f>IF(B48&lt;='VALOR POR PL'!$P$5,'CP RESUMO'!AU60,"")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HISTORICOS'!AV18)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RESUMO'!AV18</f>
        <v/>
      </c>
      <c r="N49" s="128">
        <f>MAX(0,M49-M48)</f>
        <v/>
      </c>
      <c r="O49" s="127">
        <f>IF(B49&lt;='VALOR POR PL'!$P$5,'CP RESUMO'!AV60,"")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HISTORICOS'!AW18)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RESUMO'!AW18</f>
        <v/>
      </c>
      <c r="N50" s="128">
        <f>MAX(0,M50-M49)</f>
        <v/>
      </c>
      <c r="O50" s="127">
        <f>IF(B50&lt;='VALOR POR PL'!$P$5,'CP RESUMO'!AW60,"")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HISTORICOS'!AX18)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RESUMO'!AX18</f>
        <v/>
      </c>
      <c r="N51" s="128">
        <f>MAX(0,M51-M50)</f>
        <v/>
      </c>
      <c r="O51" s="127">
        <f>IF(B51&lt;='VALOR POR PL'!$P$5,'CP RESUMO'!AX60,"")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HISTORICOS'!AY18)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RESUMO'!AY18</f>
        <v/>
      </c>
      <c r="N52" s="128">
        <f>MAX(0,M52-M51)</f>
        <v/>
      </c>
      <c r="O52" s="127">
        <f>IF(B52&lt;='VALOR POR PL'!$P$5,'CP RESUMO'!AY60,"")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HISTORICOS'!AZ18)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RESUMO'!AZ18</f>
        <v/>
      </c>
      <c r="N53" s="128">
        <f>MAX(0,M53-M52)</f>
        <v/>
      </c>
      <c r="O53" s="127">
        <f>IF(B53&lt;='VALOR POR PL'!$P$5,'CP RESUMO'!AZ60,"")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HISTORICOS'!BA18)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RESUMO'!BA18</f>
        <v/>
      </c>
      <c r="N54" s="128">
        <f>MAX(0,M54-M53)</f>
        <v/>
      </c>
      <c r="O54" s="127">
        <f>IF(B54&lt;='VALOR POR PL'!$P$5,'CP RESUMO'!BA60,"")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HISTORICOS'!BB18)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RESUMO'!BB18</f>
        <v/>
      </c>
      <c r="N55" s="128">
        <f>MAX(0,M55-M54)</f>
        <v/>
      </c>
      <c r="O55" s="127">
        <f>IF(B55&lt;='VALOR POR PL'!$P$5,'CP RESUMO'!BB60,"")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HISTORICOS'!BC18)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RESUMO'!BC18</f>
        <v/>
      </c>
      <c r="N56" s="128">
        <f>MAX(0,M56-M55)</f>
        <v/>
      </c>
      <c r="O56" s="127">
        <f>IF(B56&lt;='VALOR POR PL'!$P$5,'CP RESUMO'!BC60,"")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HISTORICOS'!BD18)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RESUMO'!BD18</f>
        <v/>
      </c>
      <c r="N57" s="128">
        <f>MAX(0,M57-M56)</f>
        <v/>
      </c>
      <c r="O57" s="127">
        <f>IF(B57&lt;='VALOR POR PL'!$P$5,'CP RESUMO'!BD60,"")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HISTORICOS'!BE18)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RESUMO'!BE18</f>
        <v/>
      </c>
      <c r="N58" s="128">
        <f>MAX(0,M58-M57)</f>
        <v/>
      </c>
      <c r="O58" s="127">
        <f>IF(B58&lt;='VALOR POR PL'!$P$5,'CP RESUMO'!BE60,"")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HISTORICOS'!BF18)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RESUMO'!BF18</f>
        <v/>
      </c>
      <c r="N59" s="128">
        <f>MAX(0,M59-M58)</f>
        <v/>
      </c>
      <c r="O59" s="127">
        <f>IF(B59&lt;='VALOR POR PL'!$P$5,'CP RESUMO'!BF60,"")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HISTORICOS'!BG18)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RESUMO'!BG18</f>
        <v/>
      </c>
      <c r="N60" s="128">
        <f>MAX(0,M60-M59)</f>
        <v/>
      </c>
      <c r="O60" s="127">
        <f>IF(B60&lt;='VALOR POR PL'!$P$5,'CP RESUMO'!BG60,"")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HISTORICOS'!BH18)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RESUMO'!BH18</f>
        <v/>
      </c>
      <c r="N61" s="128">
        <f>MAX(0,M61-M60)</f>
        <v/>
      </c>
      <c r="O61" s="127">
        <f>IF(B61&lt;='VALOR POR PL'!$P$5,'CP RESUMO'!BH60,"")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HISTORICOS'!BI18)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RESUMO'!BI18</f>
        <v/>
      </c>
      <c r="N62" s="128">
        <f>MAX(0,M62-M61)</f>
        <v/>
      </c>
      <c r="O62" s="127">
        <f>IF(B62&lt;='VALOR POR PL'!$P$5,'CP RESUMO'!BI60,"")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HISTORICOS'!BJ18)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RESUMO'!BJ18</f>
        <v/>
      </c>
      <c r="N63" s="128">
        <f>MAX(0,M63-M62)</f>
        <v/>
      </c>
      <c r="O63" s="127">
        <f>IF(B63&lt;='VALOR POR PL'!$P$5,'CP RESUMO'!BJ60,"")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HISTORICOS'!BK18)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RESUMO'!BK18</f>
        <v/>
      </c>
      <c r="N64" s="128">
        <f>MAX(0,M64-M63)</f>
        <v/>
      </c>
      <c r="O64" s="127">
        <f>IF(B64&lt;='VALOR POR PL'!$P$5,'CP RESUMO'!BK60,"")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HISTORICOS'!BL18)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RESUMO'!BL18</f>
        <v/>
      </c>
      <c r="N65" s="128">
        <f>MAX(0,M65-M64)</f>
        <v/>
      </c>
      <c r="O65" s="127">
        <f>IF(B65&lt;='VALOR POR PL'!$P$5,'CP RESUMO'!BL60,"")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HISTORICOS'!BM18)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RESUMO'!BM18</f>
        <v/>
      </c>
      <c r="N66" s="128">
        <f>MAX(0,M66-M65)</f>
        <v/>
      </c>
      <c r="O66" s="127">
        <f>IF(B66&lt;='VALOR POR PL'!$P$5,'CP RESUMO'!BM60,"")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HISTORICOS'!BN18)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RESUMO'!BN18</f>
        <v/>
      </c>
      <c r="N67" s="128">
        <f>MAX(0,M67-M66)</f>
        <v/>
      </c>
      <c r="O67" s="127">
        <f>IF(B67&lt;='VALOR POR PL'!$P$5,'CP RESUMO'!BN60,"")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HISTORICOS'!BO18)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RESUMO'!BO18</f>
        <v/>
      </c>
      <c r="N68" s="128">
        <f>MAX(0,M68-M67)</f>
        <v/>
      </c>
      <c r="O68" s="127">
        <f>IF(B68&lt;='VALOR POR PL'!$P$5,'CP RESUMO'!BO60,"")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HISTORICOS'!BP18)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RESUMO'!BP18</f>
        <v/>
      </c>
      <c r="N69" s="128">
        <f>MAX(0,M69-M68)</f>
        <v/>
      </c>
      <c r="O69" s="127">
        <f>IF(B69&lt;='VALOR POR PL'!$P$5,'CP RESUMO'!BP60,"")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HISTORICOS'!BQ18)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RESUMO'!BQ18</f>
        <v/>
      </c>
      <c r="N70" s="128">
        <f>MAX(0,M70-M69)</f>
        <v/>
      </c>
      <c r="O70" s="127">
        <f>IF(B70&lt;='VALOR POR PL'!$P$5,'CP RESUMO'!BQ60,"")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HISTORICOS'!BR18)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RESUMO'!BR18</f>
        <v/>
      </c>
      <c r="N71" s="128">
        <f>MAX(0,M71-M70)</f>
        <v/>
      </c>
      <c r="O71" s="127">
        <f>IF(B71&lt;='VALOR POR PL'!$P$5,'CP RESUMO'!BR60,"")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HISTORICOS'!BS18)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RESUMO'!BS18</f>
        <v/>
      </c>
      <c r="N72" s="128">
        <f>MAX(0,M72-M71)</f>
        <v/>
      </c>
      <c r="O72" s="127">
        <f>IF(B72&lt;='VALOR POR PL'!$P$5,'CP RESUMO'!BS60,"")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HISTORICOS'!BT18)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RESUMO'!BT18</f>
        <v/>
      </c>
      <c r="N73" s="128">
        <f>MAX(0,M73-M72)</f>
        <v/>
      </c>
      <c r="O73" s="127">
        <f>IF(B73&lt;='VALOR POR PL'!$P$5,'CP RESUMO'!BT60,"")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HISTORICOS'!BU18)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RESUMO'!BU18</f>
        <v/>
      </c>
      <c r="N74" s="128">
        <f>MAX(0,M74-M73)</f>
        <v/>
      </c>
      <c r="O74" s="127">
        <f>IF(B74&lt;='VALOR POR PL'!$P$5,'CP RESUMO'!BU60,"")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HISTORICOS'!BV18)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RESUMO'!BV18</f>
        <v/>
      </c>
      <c r="N75" s="128">
        <f>MAX(0,M75-M74)</f>
        <v/>
      </c>
      <c r="O75" s="127">
        <f>IF(B75&lt;='VALOR POR PL'!$P$5,'CP RESUMO'!BV60,"")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HISTORICOS'!BW18)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RESUMO'!BW18</f>
        <v/>
      </c>
      <c r="N76" s="128">
        <f>MAX(0,M76-M75)</f>
        <v/>
      </c>
      <c r="O76" s="127">
        <f>IF(B76&lt;='VALOR POR PL'!$P$5,'CP RESUMO'!BW60,"")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PL'!D25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HISTORICOS'!D19)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PL'!F25</f>
        <v/>
      </c>
      <c r="K5" s="63">
        <f>'VALOR POR PL'!G25</f>
        <v/>
      </c>
      <c r="M5" s="127">
        <f>'CP RESUMO'!D19</f>
        <v/>
      </c>
      <c r="N5" s="128" t="n">
        <v>0</v>
      </c>
      <c r="O5" s="127">
        <f>IF(B5&lt;='VALOR POR PL'!$P$5,'CP RESUMO'!D61,"")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HISTORICOS'!E19)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RESUMO'!E19</f>
        <v/>
      </c>
      <c r="N6" s="128">
        <f>MAX(0,M6-M5)</f>
        <v/>
      </c>
      <c r="O6" s="127">
        <f>IF(B6&lt;='VALOR POR PL'!$P$5,'CP RESUMO'!E61,"")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HISTORICOS'!F19)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PL'!L25</f>
        <v/>
      </c>
      <c r="M7" s="127">
        <f>'CP RESUMO'!F19</f>
        <v/>
      </c>
      <c r="N7" s="128">
        <f>MAX(0,M7-M6)</f>
        <v/>
      </c>
      <c r="O7" s="127">
        <f>IF(B7&lt;='VALOR POR PL'!$P$5,'CP RESUMO'!F61,"")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HISTORICOS'!G19)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RESUMO'!G19</f>
        <v/>
      </c>
      <c r="N8" s="128">
        <f>MAX(0,M8-M7)</f>
        <v/>
      </c>
      <c r="O8" s="127">
        <f>IF(B8&lt;='VALOR POR PL'!$P$5,'CP RESUMO'!G61,"")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HISTORICOS'!H19)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RESUMO'!H19</f>
        <v/>
      </c>
      <c r="N9" s="128">
        <f>MAX(0,M9-M8)</f>
        <v/>
      </c>
      <c r="O9" s="127">
        <f>IF(B9&lt;='VALOR POR PL'!$P$5,'CP RESUMO'!H61,"")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HISTORICOS'!I19)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RESUMO'!I19</f>
        <v/>
      </c>
      <c r="N10" s="128">
        <f>MAX(0,M10-M9)</f>
        <v/>
      </c>
      <c r="O10" s="127">
        <f>IF(B10&lt;='VALOR POR PL'!$P$5,'CP RESUMO'!I61,"")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HISTORICOS'!J19)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RESUMO'!J19</f>
        <v/>
      </c>
      <c r="N11" s="128">
        <f>MAX(0,M11-M10)</f>
        <v/>
      </c>
      <c r="O11" s="127">
        <f>IF(B11&lt;='VALOR POR PL'!$P$5,'CP RESUMO'!J61,"")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HISTORICOS'!K19)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RESUMO'!K19</f>
        <v/>
      </c>
      <c r="N12" s="128">
        <f>MAX(0,M12-M11)</f>
        <v/>
      </c>
      <c r="O12" s="127">
        <f>IF(B12&lt;='VALOR POR PL'!$P$5,'CP RESUMO'!K61,"")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HISTORICOS'!L19)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PL'!I25</f>
        <v/>
      </c>
      <c r="M13" s="127">
        <f>'CP RESUMO'!L19</f>
        <v/>
      </c>
      <c r="N13" s="128">
        <f>MAX(0,M13-M12)</f>
        <v/>
      </c>
      <c r="O13" s="127">
        <f>IF(B13&lt;='VALOR POR PL'!$P$5,'CP RESUMO'!L61,"")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HISTORICOS'!M19)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RESUMO'!$D$61:$BW$61,MATCH('VALOR POR PL'!$P$5,'CP RESUMO'!$D$4:$BW$4,0))/100,0)</f>
        <v/>
      </c>
      <c r="M14" s="127">
        <f>'CP RESUMO'!M19</f>
        <v/>
      </c>
      <c r="N14" s="128">
        <f>MAX(0,M14-M13)</f>
        <v/>
      </c>
      <c r="O14" s="127">
        <f>IF(B14&lt;='VALOR POR PL'!$P$5,'CP RESUMO'!M61,"")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HISTORICOS'!N19)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RESUMO'!N19</f>
        <v/>
      </c>
      <c r="N15" s="128">
        <f>MAX(0,M15-M14)</f>
        <v/>
      </c>
      <c r="O15" s="127">
        <f>IF(B15&lt;='VALOR POR PL'!$P$5,'CP RESUMO'!N61,"")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HISTORICOS'!O19)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RESUMO'!O19</f>
        <v/>
      </c>
      <c r="N16" s="128">
        <f>MAX(0,M16-M15)</f>
        <v/>
      </c>
      <c r="O16" s="127">
        <f>IF(B16&lt;='VALOR POR PL'!$P$5,'CP RESUMO'!O61,"")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HISTORICOS'!P19)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RESUMO'!P19</f>
        <v/>
      </c>
      <c r="N17" s="128">
        <f>MAX(0,M17-M16)</f>
        <v/>
      </c>
      <c r="O17" s="127">
        <f>IF(B17&lt;='VALOR POR PL'!$P$5,'CP RESUMO'!P61,"")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HISTORICOS'!Q19)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RESUMO'!Q19</f>
        <v/>
      </c>
      <c r="N18" s="128">
        <f>MAX(0,M18-M17)</f>
        <v/>
      </c>
      <c r="O18" s="127">
        <f>IF(B18&lt;='VALOR POR PL'!$P$5,'CP RESUMO'!Q61,"")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HISTORICOS'!R19)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RESUMO'!R19</f>
        <v/>
      </c>
      <c r="N19" s="128">
        <f>MAX(0,M19-M18)</f>
        <v/>
      </c>
      <c r="O19" s="127">
        <f>IF(B19&lt;='VALOR POR PL'!$P$5,'CP RESUMO'!R61,"")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HISTORICOS'!S19)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RESUMO'!S19</f>
        <v/>
      </c>
      <c r="N20" s="128">
        <f>MAX(0,M20-M19)</f>
        <v/>
      </c>
      <c r="O20" s="127">
        <f>IF(B20&lt;='VALOR POR PL'!$P$5,'CP RESUMO'!S61,"")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HISTORICOS'!T19)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RESUMO'!T19</f>
        <v/>
      </c>
      <c r="N21" s="128">
        <f>MAX(0,M21-M20)</f>
        <v/>
      </c>
      <c r="O21" s="127">
        <f>IF(B21&lt;='VALOR POR PL'!$P$5,'CP RESUMO'!T61,"")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HISTORICOS'!U19)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RESUMO'!U19</f>
        <v/>
      </c>
      <c r="N22" s="128">
        <f>MAX(0,M22-M21)</f>
        <v/>
      </c>
      <c r="O22" s="127">
        <f>IF(B22&lt;='VALOR POR PL'!$P$5,'CP RESUMO'!U61,"")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HISTORICOS'!V19)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RESUMO'!V19</f>
        <v/>
      </c>
      <c r="N23" s="128">
        <f>MAX(0,M23-M22)</f>
        <v/>
      </c>
      <c r="O23" s="127">
        <f>IF(B23&lt;='VALOR POR PL'!$P$5,'CP RESUMO'!V61,"")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HISTORICOS'!W19)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RESUMO'!W19</f>
        <v/>
      </c>
      <c r="N24" s="128">
        <f>MAX(0,M24-M23)</f>
        <v/>
      </c>
      <c r="O24" s="127">
        <f>IF(B24&lt;='VALOR POR PL'!$P$5,'CP RESUMO'!W61,"")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HISTORICOS'!X19)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RESUMO'!X19</f>
        <v/>
      </c>
      <c r="N25" s="128">
        <f>MAX(0,M25-M24)</f>
        <v/>
      </c>
      <c r="O25" s="127">
        <f>IF(B25&lt;='VALOR POR PL'!$P$5,'CP RESUMO'!X61,"")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HISTORICOS'!Y19)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RESUMO'!Y19</f>
        <v/>
      </c>
      <c r="N26" s="128">
        <f>MAX(0,M26-M25)</f>
        <v/>
      </c>
      <c r="O26" s="127">
        <f>IF(B26&lt;='VALOR POR PL'!$P$5,'CP RESUMO'!Y61,"")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HISTORICOS'!Z19)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RESUMO'!Z19</f>
        <v/>
      </c>
      <c r="N27" s="128">
        <f>MAX(0,M27-M26)</f>
        <v/>
      </c>
      <c r="O27" s="127">
        <f>IF(B27&lt;='VALOR POR PL'!$P$5,'CP RESUMO'!Z61,"")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HISTORICOS'!AA19)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RESUMO'!AA19</f>
        <v/>
      </c>
      <c r="N28" s="128">
        <f>MAX(0,M28-M27)</f>
        <v/>
      </c>
      <c r="O28" s="127">
        <f>IF(B28&lt;='VALOR POR PL'!$P$5,'CP RESUMO'!AA61,"")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HISTORICOS'!AB19)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RESUMO'!AB19</f>
        <v/>
      </c>
      <c r="N29" s="128">
        <f>MAX(0,M29-M28)</f>
        <v/>
      </c>
      <c r="O29" s="127">
        <f>IF(B29&lt;='VALOR POR PL'!$P$5,'CP RESUMO'!AB61,"")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HISTORICOS'!AC19)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RESUMO'!AC19</f>
        <v/>
      </c>
      <c r="N30" s="128">
        <f>MAX(0,M30-M29)</f>
        <v/>
      </c>
      <c r="O30" s="127">
        <f>IF(B30&lt;='VALOR POR PL'!$P$5,'CP RESUMO'!AC61,"")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HISTORICOS'!AD19)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RESUMO'!AD19</f>
        <v/>
      </c>
      <c r="N31" s="128">
        <f>MAX(0,M31-M30)</f>
        <v/>
      </c>
      <c r="O31" s="127">
        <f>IF(B31&lt;='VALOR POR PL'!$P$5,'CP RESUMO'!AD61,"")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HISTORICOS'!AE19)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RESUMO'!AE19</f>
        <v/>
      </c>
      <c r="N32" s="128">
        <f>MAX(0,M32-M31)</f>
        <v/>
      </c>
      <c r="O32" s="127">
        <f>IF(B32&lt;='VALOR POR PL'!$P$5,'CP RESUMO'!AE61,"")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HISTORICOS'!AF19)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RESUMO'!AF19</f>
        <v/>
      </c>
      <c r="N33" s="128">
        <f>MAX(0,M33-M32)</f>
        <v/>
      </c>
      <c r="O33" s="127">
        <f>IF(B33&lt;='VALOR POR PL'!$P$5,'CP RESUMO'!AF61,"")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HISTORICOS'!AG19)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RESUMO'!AG19</f>
        <v/>
      </c>
      <c r="N34" s="128">
        <f>MAX(0,M34-M33)</f>
        <v/>
      </c>
      <c r="O34" s="127">
        <f>IF(B34&lt;='VALOR POR PL'!$P$5,'CP RESUMO'!AG61,"")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HISTORICOS'!AH19)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RESUMO'!AH19</f>
        <v/>
      </c>
      <c r="N35" s="128">
        <f>MAX(0,M35-M34)</f>
        <v/>
      </c>
      <c r="O35" s="127">
        <f>IF(B35&lt;='VALOR POR PL'!$P$5,'CP RESUMO'!AH61,"")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HISTORICOS'!AI19)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RESUMO'!AI19</f>
        <v/>
      </c>
      <c r="N36" s="128">
        <f>MAX(0,M36-M35)</f>
        <v/>
      </c>
      <c r="O36" s="127">
        <f>IF(B36&lt;='VALOR POR PL'!$P$5,'CP RESUMO'!AI61,"")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HISTORICOS'!AJ19)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RESUMO'!AJ19</f>
        <v/>
      </c>
      <c r="N37" s="128">
        <f>MAX(0,M37-M36)</f>
        <v/>
      </c>
      <c r="O37" s="127">
        <f>IF(B37&lt;='VALOR POR PL'!$P$5,'CP RESUMO'!AJ61,"")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HISTORICOS'!AK19)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RESUMO'!AK19</f>
        <v/>
      </c>
      <c r="N38" s="128">
        <f>MAX(0,M38-M37)</f>
        <v/>
      </c>
      <c r="O38" s="127">
        <f>IF(B38&lt;='VALOR POR PL'!$P$5,'CP RESUMO'!AK61,"")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HISTORICOS'!AL19)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RESUMO'!AL19</f>
        <v/>
      </c>
      <c r="N39" s="128">
        <f>MAX(0,M39-M38)</f>
        <v/>
      </c>
      <c r="O39" s="127">
        <f>IF(B39&lt;='VALOR POR PL'!$P$5,'CP RESUMO'!AL61,"")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HISTORICOS'!AM19)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RESUMO'!AM19</f>
        <v/>
      </c>
      <c r="N40" s="128">
        <f>MAX(0,M40-M39)</f>
        <v/>
      </c>
      <c r="O40" s="127">
        <f>IF(B40&lt;='VALOR POR PL'!$P$5,'CP RESUMO'!AM61,"")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HISTORICOS'!AN19)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RESUMO'!AN19</f>
        <v/>
      </c>
      <c r="N41" s="128">
        <f>MAX(0,M41-M40)</f>
        <v/>
      </c>
      <c r="O41" s="127">
        <f>IF(B41&lt;='VALOR POR PL'!$P$5,'CP RESUMO'!AN61,"")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HISTORICOS'!AO19)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RESUMO'!AO19</f>
        <v/>
      </c>
      <c r="N42" s="128">
        <f>MAX(0,M42-M41)</f>
        <v/>
      </c>
      <c r="O42" s="127">
        <f>IF(B42&lt;='VALOR POR PL'!$P$5,'CP RESUMO'!AO61,"")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HISTORICOS'!AP19)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RESUMO'!AP19</f>
        <v/>
      </c>
      <c r="N43" s="128">
        <f>MAX(0,M43-M42)</f>
        <v/>
      </c>
      <c r="O43" s="127">
        <f>IF(B43&lt;='VALOR POR PL'!$P$5,'CP RESUMO'!AP61,"")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HISTORICOS'!AQ19)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RESUMO'!AQ19</f>
        <v/>
      </c>
      <c r="N44" s="128">
        <f>MAX(0,M44-M43)</f>
        <v/>
      </c>
      <c r="O44" s="127">
        <f>IF(B44&lt;='VALOR POR PL'!$P$5,'CP RESUMO'!AQ61,"")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HISTORICOS'!AR19)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RESUMO'!AR19</f>
        <v/>
      </c>
      <c r="N45" s="128">
        <f>MAX(0,M45-M44)</f>
        <v/>
      </c>
      <c r="O45" s="127">
        <f>IF(B45&lt;='VALOR POR PL'!$P$5,'CP RESUMO'!AR61,"")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HISTORICOS'!AS19)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RESUMO'!AS19</f>
        <v/>
      </c>
      <c r="N46" s="128">
        <f>MAX(0,M46-M45)</f>
        <v/>
      </c>
      <c r="O46" s="127">
        <f>IF(B46&lt;='VALOR POR PL'!$P$5,'CP RESUMO'!AS61,"")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HISTORICOS'!AT19)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RESUMO'!AT19</f>
        <v/>
      </c>
      <c r="N47" s="128">
        <f>MAX(0,M47-M46)</f>
        <v/>
      </c>
      <c r="O47" s="127">
        <f>IF(B47&lt;='VALOR POR PL'!$P$5,'CP RESUMO'!AT61,"")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HISTORICOS'!AU19)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RESUMO'!AU19</f>
        <v/>
      </c>
      <c r="N48" s="128">
        <f>MAX(0,M48-M47)</f>
        <v/>
      </c>
      <c r="O48" s="127">
        <f>IF(B48&lt;='VALOR POR PL'!$P$5,'CP RESUMO'!AU61,"")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HISTORICOS'!AV19)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RESUMO'!AV19</f>
        <v/>
      </c>
      <c r="N49" s="128">
        <f>MAX(0,M49-M48)</f>
        <v/>
      </c>
      <c r="O49" s="127">
        <f>IF(B49&lt;='VALOR POR PL'!$P$5,'CP RESUMO'!AV61,"")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HISTORICOS'!AW19)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RESUMO'!AW19</f>
        <v/>
      </c>
      <c r="N50" s="128">
        <f>MAX(0,M50-M49)</f>
        <v/>
      </c>
      <c r="O50" s="127">
        <f>IF(B50&lt;='VALOR POR PL'!$P$5,'CP RESUMO'!AW61,"")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HISTORICOS'!AX19)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RESUMO'!AX19</f>
        <v/>
      </c>
      <c r="N51" s="128">
        <f>MAX(0,M51-M50)</f>
        <v/>
      </c>
      <c r="O51" s="127">
        <f>IF(B51&lt;='VALOR POR PL'!$P$5,'CP RESUMO'!AX61,"")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HISTORICOS'!AY19)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RESUMO'!AY19</f>
        <v/>
      </c>
      <c r="N52" s="128">
        <f>MAX(0,M52-M51)</f>
        <v/>
      </c>
      <c r="O52" s="127">
        <f>IF(B52&lt;='VALOR POR PL'!$P$5,'CP RESUMO'!AY61,"")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HISTORICOS'!AZ19)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RESUMO'!AZ19</f>
        <v/>
      </c>
      <c r="N53" s="128">
        <f>MAX(0,M53-M52)</f>
        <v/>
      </c>
      <c r="O53" s="127">
        <f>IF(B53&lt;='VALOR POR PL'!$P$5,'CP RESUMO'!AZ61,"")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HISTORICOS'!BA19)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RESUMO'!BA19</f>
        <v/>
      </c>
      <c r="N54" s="128">
        <f>MAX(0,M54-M53)</f>
        <v/>
      </c>
      <c r="O54" s="127">
        <f>IF(B54&lt;='VALOR POR PL'!$P$5,'CP RESUMO'!BA61,"")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HISTORICOS'!BB19)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RESUMO'!BB19</f>
        <v/>
      </c>
      <c r="N55" s="128">
        <f>MAX(0,M55-M54)</f>
        <v/>
      </c>
      <c r="O55" s="127">
        <f>IF(B55&lt;='VALOR POR PL'!$P$5,'CP RESUMO'!BB61,"")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HISTORICOS'!BC19)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RESUMO'!BC19</f>
        <v/>
      </c>
      <c r="N56" s="128">
        <f>MAX(0,M56-M55)</f>
        <v/>
      </c>
      <c r="O56" s="127">
        <f>IF(B56&lt;='VALOR POR PL'!$P$5,'CP RESUMO'!BC61,"")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HISTORICOS'!BD19)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RESUMO'!BD19</f>
        <v/>
      </c>
      <c r="N57" s="128">
        <f>MAX(0,M57-M56)</f>
        <v/>
      </c>
      <c r="O57" s="127">
        <f>IF(B57&lt;='VALOR POR PL'!$P$5,'CP RESUMO'!BD61,"")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HISTORICOS'!BE19)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RESUMO'!BE19</f>
        <v/>
      </c>
      <c r="N58" s="128">
        <f>MAX(0,M58-M57)</f>
        <v/>
      </c>
      <c r="O58" s="127">
        <f>IF(B58&lt;='VALOR POR PL'!$P$5,'CP RESUMO'!BE61,"")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HISTORICOS'!BF19)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RESUMO'!BF19</f>
        <v/>
      </c>
      <c r="N59" s="128">
        <f>MAX(0,M59-M58)</f>
        <v/>
      </c>
      <c r="O59" s="127">
        <f>IF(B59&lt;='VALOR POR PL'!$P$5,'CP RESUMO'!BF61,"")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HISTORICOS'!BG19)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RESUMO'!BG19</f>
        <v/>
      </c>
      <c r="N60" s="128">
        <f>MAX(0,M60-M59)</f>
        <v/>
      </c>
      <c r="O60" s="127">
        <f>IF(B60&lt;='VALOR POR PL'!$P$5,'CP RESUMO'!BG61,"")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HISTORICOS'!BH19)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RESUMO'!BH19</f>
        <v/>
      </c>
      <c r="N61" s="128">
        <f>MAX(0,M61-M60)</f>
        <v/>
      </c>
      <c r="O61" s="127">
        <f>IF(B61&lt;='VALOR POR PL'!$P$5,'CP RESUMO'!BH61,"")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HISTORICOS'!BI19)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RESUMO'!BI19</f>
        <v/>
      </c>
      <c r="N62" s="128">
        <f>MAX(0,M62-M61)</f>
        <v/>
      </c>
      <c r="O62" s="127">
        <f>IF(B62&lt;='VALOR POR PL'!$P$5,'CP RESUMO'!BI61,"")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HISTORICOS'!BJ19)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RESUMO'!BJ19</f>
        <v/>
      </c>
      <c r="N63" s="128">
        <f>MAX(0,M63-M62)</f>
        <v/>
      </c>
      <c r="O63" s="127">
        <f>IF(B63&lt;='VALOR POR PL'!$P$5,'CP RESUMO'!BJ61,"")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HISTORICOS'!BK19)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RESUMO'!BK19</f>
        <v/>
      </c>
      <c r="N64" s="128">
        <f>MAX(0,M64-M63)</f>
        <v/>
      </c>
      <c r="O64" s="127">
        <f>IF(B64&lt;='VALOR POR PL'!$P$5,'CP RESUMO'!BK61,"")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HISTORICOS'!BL19)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RESUMO'!BL19</f>
        <v/>
      </c>
      <c r="N65" s="128">
        <f>MAX(0,M65-M64)</f>
        <v/>
      </c>
      <c r="O65" s="127">
        <f>IF(B65&lt;='VALOR POR PL'!$P$5,'CP RESUMO'!BL61,"")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HISTORICOS'!BM19)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RESUMO'!BM19</f>
        <v/>
      </c>
      <c r="N66" s="128">
        <f>MAX(0,M66-M65)</f>
        <v/>
      </c>
      <c r="O66" s="127">
        <f>IF(B66&lt;='VALOR POR PL'!$P$5,'CP RESUMO'!BM61,"")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HISTORICOS'!BN19)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RESUMO'!BN19</f>
        <v/>
      </c>
      <c r="N67" s="128">
        <f>MAX(0,M67-M66)</f>
        <v/>
      </c>
      <c r="O67" s="127">
        <f>IF(B67&lt;='VALOR POR PL'!$P$5,'CP RESUMO'!BN61,"")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HISTORICOS'!BO19)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RESUMO'!BO19</f>
        <v/>
      </c>
      <c r="N68" s="128">
        <f>MAX(0,M68-M67)</f>
        <v/>
      </c>
      <c r="O68" s="127">
        <f>IF(B68&lt;='VALOR POR PL'!$P$5,'CP RESUMO'!BO61,"")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HISTORICOS'!BP19)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RESUMO'!BP19</f>
        <v/>
      </c>
      <c r="N69" s="128">
        <f>MAX(0,M69-M68)</f>
        <v/>
      </c>
      <c r="O69" s="127">
        <f>IF(B69&lt;='VALOR POR PL'!$P$5,'CP RESUMO'!BP61,"")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HISTORICOS'!BQ19)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RESUMO'!BQ19</f>
        <v/>
      </c>
      <c r="N70" s="128">
        <f>MAX(0,M70-M69)</f>
        <v/>
      </c>
      <c r="O70" s="127">
        <f>IF(B70&lt;='VALOR POR PL'!$P$5,'CP RESUMO'!BQ61,"")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HISTORICOS'!BR19)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RESUMO'!BR19</f>
        <v/>
      </c>
      <c r="N71" s="128">
        <f>MAX(0,M71-M70)</f>
        <v/>
      </c>
      <c r="O71" s="127">
        <f>IF(B71&lt;='VALOR POR PL'!$P$5,'CP RESUMO'!BR61,"")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HISTORICOS'!BS19)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RESUMO'!BS19</f>
        <v/>
      </c>
      <c r="N72" s="128">
        <f>MAX(0,M72-M71)</f>
        <v/>
      </c>
      <c r="O72" s="127">
        <f>IF(B72&lt;='VALOR POR PL'!$P$5,'CP RESUMO'!BS61,"")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HISTORICOS'!BT19)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RESUMO'!BT19</f>
        <v/>
      </c>
      <c r="N73" s="128">
        <f>MAX(0,M73-M72)</f>
        <v/>
      </c>
      <c r="O73" s="127">
        <f>IF(B73&lt;='VALOR POR PL'!$P$5,'CP RESUMO'!BT61,"")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HISTORICOS'!BU19)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RESUMO'!BU19</f>
        <v/>
      </c>
      <c r="N74" s="128">
        <f>MAX(0,M74-M73)</f>
        <v/>
      </c>
      <c r="O74" s="127">
        <f>IF(B74&lt;='VALOR POR PL'!$P$5,'CP RESUMO'!BU61,"")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HISTORICOS'!BV19)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RESUMO'!BV19</f>
        <v/>
      </c>
      <c r="N75" s="128">
        <f>MAX(0,M75-M74)</f>
        <v/>
      </c>
      <c r="O75" s="127">
        <f>IF(B75&lt;='VALOR POR PL'!$P$5,'CP RESUMO'!BV61,"")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HISTORICOS'!BW19)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RESUMO'!BW19</f>
        <v/>
      </c>
      <c r="N76" s="128">
        <f>MAX(0,M76-M75)</f>
        <v/>
      </c>
      <c r="O76" s="127">
        <f>IF(B76&lt;='VALOR POR PL'!$P$5,'CP RESUMO'!BW61,"")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PL'!D26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HISTORICOS'!D20)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PL'!F26</f>
        <v/>
      </c>
      <c r="K5" s="63">
        <f>'VALOR POR PL'!G26</f>
        <v/>
      </c>
      <c r="M5" s="127">
        <f>'CP RESUMO'!D20</f>
        <v/>
      </c>
      <c r="N5" s="128" t="n">
        <v>0</v>
      </c>
      <c r="O5" s="127">
        <f>IF(B5&lt;='VALOR POR PL'!$P$5,'CP RESUMO'!D62,"")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HISTORICOS'!E20)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RESUMO'!E20</f>
        <v/>
      </c>
      <c r="N6" s="128">
        <f>MAX(0,M6-M5)</f>
        <v/>
      </c>
      <c r="O6" s="127">
        <f>IF(B6&lt;='VALOR POR PL'!$P$5,'CP RESUMO'!E62,"")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HISTORICOS'!F20)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PL'!L26</f>
        <v/>
      </c>
      <c r="M7" s="127">
        <f>'CP RESUMO'!F20</f>
        <v/>
      </c>
      <c r="N7" s="128">
        <f>MAX(0,M7-M6)</f>
        <v/>
      </c>
      <c r="O7" s="127">
        <f>IF(B7&lt;='VALOR POR PL'!$P$5,'CP RESUMO'!F62,"")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HISTORICOS'!G20)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RESUMO'!G20</f>
        <v/>
      </c>
      <c r="N8" s="128">
        <f>MAX(0,M8-M7)</f>
        <v/>
      </c>
      <c r="O8" s="127">
        <f>IF(B8&lt;='VALOR POR PL'!$P$5,'CP RESUMO'!G62,"")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HISTORICOS'!H20)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RESUMO'!H20</f>
        <v/>
      </c>
      <c r="N9" s="128">
        <f>MAX(0,M9-M8)</f>
        <v/>
      </c>
      <c r="O9" s="127">
        <f>IF(B9&lt;='VALOR POR PL'!$P$5,'CP RESUMO'!H62,"")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HISTORICOS'!I20)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RESUMO'!I20</f>
        <v/>
      </c>
      <c r="N10" s="128">
        <f>MAX(0,M10-M9)</f>
        <v/>
      </c>
      <c r="O10" s="127">
        <f>IF(B10&lt;='VALOR POR PL'!$P$5,'CP RESUMO'!I62,"")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HISTORICOS'!J20)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RESUMO'!J20</f>
        <v/>
      </c>
      <c r="N11" s="128">
        <f>MAX(0,M11-M10)</f>
        <v/>
      </c>
      <c r="O11" s="127">
        <f>IF(B11&lt;='VALOR POR PL'!$P$5,'CP RESUMO'!J62,"")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HISTORICOS'!K20)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RESUMO'!K20</f>
        <v/>
      </c>
      <c r="N12" s="128">
        <f>MAX(0,M12-M11)</f>
        <v/>
      </c>
      <c r="O12" s="127">
        <f>IF(B12&lt;='VALOR POR PL'!$P$5,'CP RESUMO'!K62,"")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HISTORICOS'!L20)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PL'!I26</f>
        <v/>
      </c>
      <c r="M13" s="127">
        <f>'CP RESUMO'!L20</f>
        <v/>
      </c>
      <c r="N13" s="128">
        <f>MAX(0,M13-M12)</f>
        <v/>
      </c>
      <c r="O13" s="127">
        <f>IF(B13&lt;='VALOR POR PL'!$P$5,'CP RESUMO'!L62,"")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HISTORICOS'!M20)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RESUMO'!$D$62:$BW$62,MATCH('VALOR POR PL'!$P$5,'CP RESUMO'!$D$4:$BW$4,0))/100,0)</f>
        <v/>
      </c>
      <c r="M14" s="127">
        <f>'CP RESUMO'!M20</f>
        <v/>
      </c>
      <c r="N14" s="128">
        <f>MAX(0,M14-M13)</f>
        <v/>
      </c>
      <c r="O14" s="127">
        <f>IF(B14&lt;='VALOR POR PL'!$P$5,'CP RESUMO'!M62,"")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HISTORICOS'!N20)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RESUMO'!N20</f>
        <v/>
      </c>
      <c r="N15" s="128">
        <f>MAX(0,M15-M14)</f>
        <v/>
      </c>
      <c r="O15" s="127">
        <f>IF(B15&lt;='VALOR POR PL'!$P$5,'CP RESUMO'!N62,"")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HISTORICOS'!O20)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RESUMO'!O20</f>
        <v/>
      </c>
      <c r="N16" s="128">
        <f>MAX(0,M16-M15)</f>
        <v/>
      </c>
      <c r="O16" s="127">
        <f>IF(B16&lt;='VALOR POR PL'!$P$5,'CP RESUMO'!O62,"")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HISTORICOS'!P20)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RESUMO'!P20</f>
        <v/>
      </c>
      <c r="N17" s="128">
        <f>MAX(0,M17-M16)</f>
        <v/>
      </c>
      <c r="O17" s="127">
        <f>IF(B17&lt;='VALOR POR PL'!$P$5,'CP RESUMO'!P62,"")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HISTORICOS'!Q20)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RESUMO'!Q20</f>
        <v/>
      </c>
      <c r="N18" s="128">
        <f>MAX(0,M18-M17)</f>
        <v/>
      </c>
      <c r="O18" s="127">
        <f>IF(B18&lt;='VALOR POR PL'!$P$5,'CP RESUMO'!Q62,"")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HISTORICOS'!R20)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RESUMO'!R20</f>
        <v/>
      </c>
      <c r="N19" s="128">
        <f>MAX(0,M19-M18)</f>
        <v/>
      </c>
      <c r="O19" s="127">
        <f>IF(B19&lt;='VALOR POR PL'!$P$5,'CP RESUMO'!R62,"")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HISTORICOS'!S20)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RESUMO'!S20</f>
        <v/>
      </c>
      <c r="N20" s="128">
        <f>MAX(0,M20-M19)</f>
        <v/>
      </c>
      <c r="O20" s="127">
        <f>IF(B20&lt;='VALOR POR PL'!$P$5,'CP RESUMO'!S62,"")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HISTORICOS'!T20)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RESUMO'!T20</f>
        <v/>
      </c>
      <c r="N21" s="128">
        <f>MAX(0,M21-M20)</f>
        <v/>
      </c>
      <c r="O21" s="127">
        <f>IF(B21&lt;='VALOR POR PL'!$P$5,'CP RESUMO'!T62,"")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HISTORICOS'!U20)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RESUMO'!U20</f>
        <v/>
      </c>
      <c r="N22" s="128">
        <f>MAX(0,M22-M21)</f>
        <v/>
      </c>
      <c r="O22" s="127">
        <f>IF(B22&lt;='VALOR POR PL'!$P$5,'CP RESUMO'!U62,"")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HISTORICOS'!V20)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RESUMO'!V20</f>
        <v/>
      </c>
      <c r="N23" s="128">
        <f>MAX(0,M23-M22)</f>
        <v/>
      </c>
      <c r="O23" s="127">
        <f>IF(B23&lt;='VALOR POR PL'!$P$5,'CP RESUMO'!V62,"")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HISTORICOS'!W20)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RESUMO'!W20</f>
        <v/>
      </c>
      <c r="N24" s="128">
        <f>MAX(0,M24-M23)</f>
        <v/>
      </c>
      <c r="O24" s="127">
        <f>IF(B24&lt;='VALOR POR PL'!$P$5,'CP RESUMO'!W62,"")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HISTORICOS'!X20)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RESUMO'!X20</f>
        <v/>
      </c>
      <c r="N25" s="128">
        <f>MAX(0,M25-M24)</f>
        <v/>
      </c>
      <c r="O25" s="127">
        <f>IF(B25&lt;='VALOR POR PL'!$P$5,'CP RESUMO'!X62,"")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HISTORICOS'!Y20)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RESUMO'!Y20</f>
        <v/>
      </c>
      <c r="N26" s="128">
        <f>MAX(0,M26-M25)</f>
        <v/>
      </c>
      <c r="O26" s="127">
        <f>IF(B26&lt;='VALOR POR PL'!$P$5,'CP RESUMO'!Y62,"")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HISTORICOS'!Z20)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RESUMO'!Z20</f>
        <v/>
      </c>
      <c r="N27" s="128">
        <f>MAX(0,M27-M26)</f>
        <v/>
      </c>
      <c r="O27" s="127">
        <f>IF(B27&lt;='VALOR POR PL'!$P$5,'CP RESUMO'!Z62,"")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HISTORICOS'!AA20)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RESUMO'!AA20</f>
        <v/>
      </c>
      <c r="N28" s="128">
        <f>MAX(0,M28-M27)</f>
        <v/>
      </c>
      <c r="O28" s="127">
        <f>IF(B28&lt;='VALOR POR PL'!$P$5,'CP RESUMO'!AA62,"")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HISTORICOS'!AB20)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RESUMO'!AB20</f>
        <v/>
      </c>
      <c r="N29" s="128">
        <f>MAX(0,M29-M28)</f>
        <v/>
      </c>
      <c r="O29" s="127">
        <f>IF(B29&lt;='VALOR POR PL'!$P$5,'CP RESUMO'!AB62,"")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HISTORICOS'!AC20)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RESUMO'!AC20</f>
        <v/>
      </c>
      <c r="N30" s="128">
        <f>MAX(0,M30-M29)</f>
        <v/>
      </c>
      <c r="O30" s="127">
        <f>IF(B30&lt;='VALOR POR PL'!$P$5,'CP RESUMO'!AC62,"")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HISTORICOS'!AD20)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RESUMO'!AD20</f>
        <v/>
      </c>
      <c r="N31" s="128">
        <f>MAX(0,M31-M30)</f>
        <v/>
      </c>
      <c r="O31" s="127">
        <f>IF(B31&lt;='VALOR POR PL'!$P$5,'CP RESUMO'!AD62,"")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HISTORICOS'!AE20)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RESUMO'!AE20</f>
        <v/>
      </c>
      <c r="N32" s="128">
        <f>MAX(0,M32-M31)</f>
        <v/>
      </c>
      <c r="O32" s="127">
        <f>IF(B32&lt;='VALOR POR PL'!$P$5,'CP RESUMO'!AE62,"")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HISTORICOS'!AF20)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RESUMO'!AF20</f>
        <v/>
      </c>
      <c r="N33" s="128">
        <f>MAX(0,M33-M32)</f>
        <v/>
      </c>
      <c r="O33" s="127">
        <f>IF(B33&lt;='VALOR POR PL'!$P$5,'CP RESUMO'!AF62,"")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HISTORICOS'!AG20)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RESUMO'!AG20</f>
        <v/>
      </c>
      <c r="N34" s="128">
        <f>MAX(0,M34-M33)</f>
        <v/>
      </c>
      <c r="O34" s="127">
        <f>IF(B34&lt;='VALOR POR PL'!$P$5,'CP RESUMO'!AG62,"")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HISTORICOS'!AH20)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RESUMO'!AH20</f>
        <v/>
      </c>
      <c r="N35" s="128">
        <f>MAX(0,M35-M34)</f>
        <v/>
      </c>
      <c r="O35" s="127">
        <f>IF(B35&lt;='VALOR POR PL'!$P$5,'CP RESUMO'!AH62,"")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HISTORICOS'!AI20)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RESUMO'!AI20</f>
        <v/>
      </c>
      <c r="N36" s="128">
        <f>MAX(0,M36-M35)</f>
        <v/>
      </c>
      <c r="O36" s="127">
        <f>IF(B36&lt;='VALOR POR PL'!$P$5,'CP RESUMO'!AI62,"")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HISTORICOS'!AJ20)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RESUMO'!AJ20</f>
        <v/>
      </c>
      <c r="N37" s="128">
        <f>MAX(0,M37-M36)</f>
        <v/>
      </c>
      <c r="O37" s="127">
        <f>IF(B37&lt;='VALOR POR PL'!$P$5,'CP RESUMO'!AJ62,"")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HISTORICOS'!AK20)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RESUMO'!AK20</f>
        <v/>
      </c>
      <c r="N38" s="128">
        <f>MAX(0,M38-M37)</f>
        <v/>
      </c>
      <c r="O38" s="127">
        <f>IF(B38&lt;='VALOR POR PL'!$P$5,'CP RESUMO'!AK62,"")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HISTORICOS'!AL20)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RESUMO'!AL20</f>
        <v/>
      </c>
      <c r="N39" s="128">
        <f>MAX(0,M39-M38)</f>
        <v/>
      </c>
      <c r="O39" s="127">
        <f>IF(B39&lt;='VALOR POR PL'!$P$5,'CP RESUMO'!AL62,"")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HISTORICOS'!AM20)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RESUMO'!AM20</f>
        <v/>
      </c>
      <c r="N40" s="128">
        <f>MAX(0,M40-M39)</f>
        <v/>
      </c>
      <c r="O40" s="127">
        <f>IF(B40&lt;='VALOR POR PL'!$P$5,'CP RESUMO'!AM62,"")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HISTORICOS'!AN20)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RESUMO'!AN20</f>
        <v/>
      </c>
      <c r="N41" s="128">
        <f>MAX(0,M41-M40)</f>
        <v/>
      </c>
      <c r="O41" s="127">
        <f>IF(B41&lt;='VALOR POR PL'!$P$5,'CP RESUMO'!AN62,"")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HISTORICOS'!AO20)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RESUMO'!AO20</f>
        <v/>
      </c>
      <c r="N42" s="128">
        <f>MAX(0,M42-M41)</f>
        <v/>
      </c>
      <c r="O42" s="127">
        <f>IF(B42&lt;='VALOR POR PL'!$P$5,'CP RESUMO'!AO62,"")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HISTORICOS'!AP20)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RESUMO'!AP20</f>
        <v/>
      </c>
      <c r="N43" s="128">
        <f>MAX(0,M43-M42)</f>
        <v/>
      </c>
      <c r="O43" s="127">
        <f>IF(B43&lt;='VALOR POR PL'!$P$5,'CP RESUMO'!AP62,"")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HISTORICOS'!AQ20)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RESUMO'!AQ20</f>
        <v/>
      </c>
      <c r="N44" s="128">
        <f>MAX(0,M44-M43)</f>
        <v/>
      </c>
      <c r="O44" s="127">
        <f>IF(B44&lt;='VALOR POR PL'!$P$5,'CP RESUMO'!AQ62,"")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HISTORICOS'!AR20)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RESUMO'!AR20</f>
        <v/>
      </c>
      <c r="N45" s="128">
        <f>MAX(0,M45-M44)</f>
        <v/>
      </c>
      <c r="O45" s="127">
        <f>IF(B45&lt;='VALOR POR PL'!$P$5,'CP RESUMO'!AR62,"")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HISTORICOS'!AS20)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RESUMO'!AS20</f>
        <v/>
      </c>
      <c r="N46" s="128">
        <f>MAX(0,M46-M45)</f>
        <v/>
      </c>
      <c r="O46" s="127">
        <f>IF(B46&lt;='VALOR POR PL'!$P$5,'CP RESUMO'!AS62,"")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HISTORICOS'!AT20)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RESUMO'!AT20</f>
        <v/>
      </c>
      <c r="N47" s="128">
        <f>MAX(0,M47-M46)</f>
        <v/>
      </c>
      <c r="O47" s="127">
        <f>IF(B47&lt;='VALOR POR PL'!$P$5,'CP RESUMO'!AT62,"")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HISTORICOS'!AU20)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RESUMO'!AU20</f>
        <v/>
      </c>
      <c r="N48" s="128">
        <f>MAX(0,M48-M47)</f>
        <v/>
      </c>
      <c r="O48" s="127">
        <f>IF(B48&lt;='VALOR POR PL'!$P$5,'CP RESUMO'!AU62,"")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HISTORICOS'!AV20)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RESUMO'!AV20</f>
        <v/>
      </c>
      <c r="N49" s="128">
        <f>MAX(0,M49-M48)</f>
        <v/>
      </c>
      <c r="O49" s="127">
        <f>IF(B49&lt;='VALOR POR PL'!$P$5,'CP RESUMO'!AV62,"")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HISTORICOS'!AW20)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RESUMO'!AW20</f>
        <v/>
      </c>
      <c r="N50" s="128">
        <f>MAX(0,M50-M49)</f>
        <v/>
      </c>
      <c r="O50" s="127">
        <f>IF(B50&lt;='VALOR POR PL'!$P$5,'CP RESUMO'!AW62,"")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HISTORICOS'!AX20)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RESUMO'!AX20</f>
        <v/>
      </c>
      <c r="N51" s="128">
        <f>MAX(0,M51-M50)</f>
        <v/>
      </c>
      <c r="O51" s="127">
        <f>IF(B51&lt;='VALOR POR PL'!$P$5,'CP RESUMO'!AX62,"")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HISTORICOS'!AY20)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RESUMO'!AY20</f>
        <v/>
      </c>
      <c r="N52" s="128">
        <f>MAX(0,M52-M51)</f>
        <v/>
      </c>
      <c r="O52" s="127">
        <f>IF(B52&lt;='VALOR POR PL'!$P$5,'CP RESUMO'!AY62,"")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HISTORICOS'!AZ20)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RESUMO'!AZ20</f>
        <v/>
      </c>
      <c r="N53" s="128">
        <f>MAX(0,M53-M52)</f>
        <v/>
      </c>
      <c r="O53" s="127">
        <f>IF(B53&lt;='VALOR POR PL'!$P$5,'CP RESUMO'!AZ62,"")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HISTORICOS'!BA20)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RESUMO'!BA20</f>
        <v/>
      </c>
      <c r="N54" s="128">
        <f>MAX(0,M54-M53)</f>
        <v/>
      </c>
      <c r="O54" s="127">
        <f>IF(B54&lt;='VALOR POR PL'!$P$5,'CP RESUMO'!BA62,"")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HISTORICOS'!BB20)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RESUMO'!BB20</f>
        <v/>
      </c>
      <c r="N55" s="128">
        <f>MAX(0,M55-M54)</f>
        <v/>
      </c>
      <c r="O55" s="127">
        <f>IF(B55&lt;='VALOR POR PL'!$P$5,'CP RESUMO'!BB62,"")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HISTORICOS'!BC20)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RESUMO'!BC20</f>
        <v/>
      </c>
      <c r="N56" s="128">
        <f>MAX(0,M56-M55)</f>
        <v/>
      </c>
      <c r="O56" s="127">
        <f>IF(B56&lt;='VALOR POR PL'!$P$5,'CP RESUMO'!BC62,"")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HISTORICOS'!BD20)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RESUMO'!BD20</f>
        <v/>
      </c>
      <c r="N57" s="128">
        <f>MAX(0,M57-M56)</f>
        <v/>
      </c>
      <c r="O57" s="127">
        <f>IF(B57&lt;='VALOR POR PL'!$P$5,'CP RESUMO'!BD62,"")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HISTORICOS'!BE20)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RESUMO'!BE20</f>
        <v/>
      </c>
      <c r="N58" s="128">
        <f>MAX(0,M58-M57)</f>
        <v/>
      </c>
      <c r="O58" s="127">
        <f>IF(B58&lt;='VALOR POR PL'!$P$5,'CP RESUMO'!BE62,"")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HISTORICOS'!BF20)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RESUMO'!BF20</f>
        <v/>
      </c>
      <c r="N59" s="128">
        <f>MAX(0,M59-M58)</f>
        <v/>
      </c>
      <c r="O59" s="127">
        <f>IF(B59&lt;='VALOR POR PL'!$P$5,'CP RESUMO'!BF62,"")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HISTORICOS'!BG20)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RESUMO'!BG20</f>
        <v/>
      </c>
      <c r="N60" s="128">
        <f>MAX(0,M60-M59)</f>
        <v/>
      </c>
      <c r="O60" s="127">
        <f>IF(B60&lt;='VALOR POR PL'!$P$5,'CP RESUMO'!BG62,"")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HISTORICOS'!BH20)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RESUMO'!BH20</f>
        <v/>
      </c>
      <c r="N61" s="128">
        <f>MAX(0,M61-M60)</f>
        <v/>
      </c>
      <c r="O61" s="127">
        <f>IF(B61&lt;='VALOR POR PL'!$P$5,'CP RESUMO'!BH62,"")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HISTORICOS'!BI20)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RESUMO'!BI20</f>
        <v/>
      </c>
      <c r="N62" s="128">
        <f>MAX(0,M62-M61)</f>
        <v/>
      </c>
      <c r="O62" s="127">
        <f>IF(B62&lt;='VALOR POR PL'!$P$5,'CP RESUMO'!BI62,"")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HISTORICOS'!BJ20)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RESUMO'!BJ20</f>
        <v/>
      </c>
      <c r="N63" s="128">
        <f>MAX(0,M63-M62)</f>
        <v/>
      </c>
      <c r="O63" s="127">
        <f>IF(B63&lt;='VALOR POR PL'!$P$5,'CP RESUMO'!BJ62,"")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HISTORICOS'!BK20)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RESUMO'!BK20</f>
        <v/>
      </c>
      <c r="N64" s="128">
        <f>MAX(0,M64-M63)</f>
        <v/>
      </c>
      <c r="O64" s="127">
        <f>IF(B64&lt;='VALOR POR PL'!$P$5,'CP RESUMO'!BK62,"")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HISTORICOS'!BL20)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RESUMO'!BL20</f>
        <v/>
      </c>
      <c r="N65" s="128">
        <f>MAX(0,M65-M64)</f>
        <v/>
      </c>
      <c r="O65" s="127">
        <f>IF(B65&lt;='VALOR POR PL'!$P$5,'CP RESUMO'!BL62,"")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HISTORICOS'!BM20)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RESUMO'!BM20</f>
        <v/>
      </c>
      <c r="N66" s="128">
        <f>MAX(0,M66-M65)</f>
        <v/>
      </c>
      <c r="O66" s="127">
        <f>IF(B66&lt;='VALOR POR PL'!$P$5,'CP RESUMO'!BM62,"")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HISTORICOS'!BN20)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RESUMO'!BN20</f>
        <v/>
      </c>
      <c r="N67" s="128">
        <f>MAX(0,M67-M66)</f>
        <v/>
      </c>
      <c r="O67" s="127">
        <f>IF(B67&lt;='VALOR POR PL'!$P$5,'CP RESUMO'!BN62,"")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HISTORICOS'!BO20)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RESUMO'!BO20</f>
        <v/>
      </c>
      <c r="N68" s="128">
        <f>MAX(0,M68-M67)</f>
        <v/>
      </c>
      <c r="O68" s="127">
        <f>IF(B68&lt;='VALOR POR PL'!$P$5,'CP RESUMO'!BO62,"")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HISTORICOS'!BP20)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RESUMO'!BP20</f>
        <v/>
      </c>
      <c r="N69" s="128">
        <f>MAX(0,M69-M68)</f>
        <v/>
      </c>
      <c r="O69" s="127">
        <f>IF(B69&lt;='VALOR POR PL'!$P$5,'CP RESUMO'!BP62,"")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HISTORICOS'!BQ20)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RESUMO'!BQ20</f>
        <v/>
      </c>
      <c r="N70" s="128">
        <f>MAX(0,M70-M69)</f>
        <v/>
      </c>
      <c r="O70" s="127">
        <f>IF(B70&lt;='VALOR POR PL'!$P$5,'CP RESUMO'!BQ62,"")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HISTORICOS'!BR20)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RESUMO'!BR20</f>
        <v/>
      </c>
      <c r="N71" s="128">
        <f>MAX(0,M71-M70)</f>
        <v/>
      </c>
      <c r="O71" s="127">
        <f>IF(B71&lt;='VALOR POR PL'!$P$5,'CP RESUMO'!BR62,"")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HISTORICOS'!BS20)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RESUMO'!BS20</f>
        <v/>
      </c>
      <c r="N72" s="128">
        <f>MAX(0,M72-M71)</f>
        <v/>
      </c>
      <c r="O72" s="127">
        <f>IF(B72&lt;='VALOR POR PL'!$P$5,'CP RESUMO'!BS62,"")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HISTORICOS'!BT20)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RESUMO'!BT20</f>
        <v/>
      </c>
      <c r="N73" s="128">
        <f>MAX(0,M73-M72)</f>
        <v/>
      </c>
      <c r="O73" s="127">
        <f>IF(B73&lt;='VALOR POR PL'!$P$5,'CP RESUMO'!BT62,"")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HISTORICOS'!BU20)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RESUMO'!BU20</f>
        <v/>
      </c>
      <c r="N74" s="128">
        <f>MAX(0,M74-M73)</f>
        <v/>
      </c>
      <c r="O74" s="127">
        <f>IF(B74&lt;='VALOR POR PL'!$P$5,'CP RESUMO'!BU62,"")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HISTORICOS'!BV20)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RESUMO'!BV20</f>
        <v/>
      </c>
      <c r="N75" s="128">
        <f>MAX(0,M75-M74)</f>
        <v/>
      </c>
      <c r="O75" s="127">
        <f>IF(B75&lt;='VALOR POR PL'!$P$5,'CP RESUMO'!BV62,"")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HISTORICOS'!BW20)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RESUMO'!BW20</f>
        <v/>
      </c>
      <c r="N76" s="128">
        <f>MAX(0,M76-M75)</f>
        <v/>
      </c>
      <c r="O76" s="127">
        <f>IF(B76&lt;='VALOR POR PL'!$P$5,'CP RESUMO'!BW62,"")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PL'!D27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HISTORICOS'!D21)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PL'!F27</f>
        <v/>
      </c>
      <c r="K5" s="63">
        <f>'VALOR POR PL'!G27</f>
        <v/>
      </c>
      <c r="M5" s="127">
        <f>'CP RESUMO'!D21</f>
        <v/>
      </c>
      <c r="N5" s="128" t="n">
        <v>0</v>
      </c>
      <c r="O5" s="127">
        <f>IF(B5&lt;='VALOR POR PL'!$P$5,'CP RESUMO'!D63,"")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HISTORICOS'!E21)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RESUMO'!E21</f>
        <v/>
      </c>
      <c r="N6" s="128">
        <f>MAX(0,M6-M5)</f>
        <v/>
      </c>
      <c r="O6" s="127">
        <f>IF(B6&lt;='VALOR POR PL'!$P$5,'CP RESUMO'!E63,"")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HISTORICOS'!F21)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PL'!L27</f>
        <v/>
      </c>
      <c r="M7" s="127">
        <f>'CP RESUMO'!F21</f>
        <v/>
      </c>
      <c r="N7" s="128">
        <f>MAX(0,M7-M6)</f>
        <v/>
      </c>
      <c r="O7" s="127">
        <f>IF(B7&lt;='VALOR POR PL'!$P$5,'CP RESUMO'!F63,"")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HISTORICOS'!G21)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RESUMO'!G21</f>
        <v/>
      </c>
      <c r="N8" s="128">
        <f>MAX(0,M8-M7)</f>
        <v/>
      </c>
      <c r="O8" s="127">
        <f>IF(B8&lt;='VALOR POR PL'!$P$5,'CP RESUMO'!G63,"")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HISTORICOS'!H21)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RESUMO'!H21</f>
        <v/>
      </c>
      <c r="N9" s="128">
        <f>MAX(0,M9-M8)</f>
        <v/>
      </c>
      <c r="O9" s="127">
        <f>IF(B9&lt;='VALOR POR PL'!$P$5,'CP RESUMO'!H63,"")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HISTORICOS'!I21)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RESUMO'!I21</f>
        <v/>
      </c>
      <c r="N10" s="128">
        <f>MAX(0,M10-M9)</f>
        <v/>
      </c>
      <c r="O10" s="127">
        <f>IF(B10&lt;='VALOR POR PL'!$P$5,'CP RESUMO'!I63,"")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HISTORICOS'!J21)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RESUMO'!J21</f>
        <v/>
      </c>
      <c r="N11" s="128">
        <f>MAX(0,M11-M10)</f>
        <v/>
      </c>
      <c r="O11" s="127">
        <f>IF(B11&lt;='VALOR POR PL'!$P$5,'CP RESUMO'!J63,"")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HISTORICOS'!K21)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RESUMO'!K21</f>
        <v/>
      </c>
      <c r="N12" s="128">
        <f>MAX(0,M12-M11)</f>
        <v/>
      </c>
      <c r="O12" s="127">
        <f>IF(B12&lt;='VALOR POR PL'!$P$5,'CP RESUMO'!K63,"")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HISTORICOS'!L21)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PL'!I27</f>
        <v/>
      </c>
      <c r="M13" s="127">
        <f>'CP RESUMO'!L21</f>
        <v/>
      </c>
      <c r="N13" s="128">
        <f>MAX(0,M13-M12)</f>
        <v/>
      </c>
      <c r="O13" s="127">
        <f>IF(B13&lt;='VALOR POR PL'!$P$5,'CP RESUMO'!L63,"")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HISTORICOS'!M21)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RESUMO'!$D$63:$BW$63,MATCH('VALOR POR PL'!$P$5,'CP RESUMO'!$D$4:$BW$4,0))/100,0)</f>
        <v/>
      </c>
      <c r="M14" s="127">
        <f>'CP RESUMO'!M21</f>
        <v/>
      </c>
      <c r="N14" s="128">
        <f>MAX(0,M14-M13)</f>
        <v/>
      </c>
      <c r="O14" s="127">
        <f>IF(B14&lt;='VALOR POR PL'!$P$5,'CP RESUMO'!M63,"")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HISTORICOS'!N21)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RESUMO'!N21</f>
        <v/>
      </c>
      <c r="N15" s="128">
        <f>MAX(0,M15-M14)</f>
        <v/>
      </c>
      <c r="O15" s="127">
        <f>IF(B15&lt;='VALOR POR PL'!$P$5,'CP RESUMO'!N63,"")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HISTORICOS'!O21)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RESUMO'!O21</f>
        <v/>
      </c>
      <c r="N16" s="128">
        <f>MAX(0,M16-M15)</f>
        <v/>
      </c>
      <c r="O16" s="127">
        <f>IF(B16&lt;='VALOR POR PL'!$P$5,'CP RESUMO'!O63,"")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HISTORICOS'!P21)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RESUMO'!P21</f>
        <v/>
      </c>
      <c r="N17" s="128">
        <f>MAX(0,M17-M16)</f>
        <v/>
      </c>
      <c r="O17" s="127">
        <f>IF(B17&lt;='VALOR POR PL'!$P$5,'CP RESUMO'!P63,"")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HISTORICOS'!Q21)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RESUMO'!Q21</f>
        <v/>
      </c>
      <c r="N18" s="128">
        <f>MAX(0,M18-M17)</f>
        <v/>
      </c>
      <c r="O18" s="127">
        <f>IF(B18&lt;='VALOR POR PL'!$P$5,'CP RESUMO'!Q63,"")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HISTORICOS'!R21)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RESUMO'!R21</f>
        <v/>
      </c>
      <c r="N19" s="128">
        <f>MAX(0,M19-M18)</f>
        <v/>
      </c>
      <c r="O19" s="127">
        <f>IF(B19&lt;='VALOR POR PL'!$P$5,'CP RESUMO'!R63,"")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HISTORICOS'!S21)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RESUMO'!S21</f>
        <v/>
      </c>
      <c r="N20" s="128">
        <f>MAX(0,M20-M19)</f>
        <v/>
      </c>
      <c r="O20" s="127">
        <f>IF(B20&lt;='VALOR POR PL'!$P$5,'CP RESUMO'!S63,"")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HISTORICOS'!T21)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RESUMO'!T21</f>
        <v/>
      </c>
      <c r="N21" s="128">
        <f>MAX(0,M21-M20)</f>
        <v/>
      </c>
      <c r="O21" s="127">
        <f>IF(B21&lt;='VALOR POR PL'!$P$5,'CP RESUMO'!T63,"")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HISTORICOS'!U21)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RESUMO'!U21</f>
        <v/>
      </c>
      <c r="N22" s="128">
        <f>MAX(0,M22-M21)</f>
        <v/>
      </c>
      <c r="O22" s="127">
        <f>IF(B22&lt;='VALOR POR PL'!$P$5,'CP RESUMO'!U63,"")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HISTORICOS'!V21)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RESUMO'!V21</f>
        <v/>
      </c>
      <c r="N23" s="128">
        <f>MAX(0,M23-M22)</f>
        <v/>
      </c>
      <c r="O23" s="127">
        <f>IF(B23&lt;='VALOR POR PL'!$P$5,'CP RESUMO'!V63,"")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HISTORICOS'!W21)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RESUMO'!W21</f>
        <v/>
      </c>
      <c r="N24" s="128">
        <f>MAX(0,M24-M23)</f>
        <v/>
      </c>
      <c r="O24" s="127">
        <f>IF(B24&lt;='VALOR POR PL'!$P$5,'CP RESUMO'!W63,"")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HISTORICOS'!X21)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RESUMO'!X21</f>
        <v/>
      </c>
      <c r="N25" s="128">
        <f>MAX(0,M25-M24)</f>
        <v/>
      </c>
      <c r="O25" s="127">
        <f>IF(B25&lt;='VALOR POR PL'!$P$5,'CP RESUMO'!X63,"")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HISTORICOS'!Y21)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RESUMO'!Y21</f>
        <v/>
      </c>
      <c r="N26" s="128">
        <f>MAX(0,M26-M25)</f>
        <v/>
      </c>
      <c r="O26" s="127">
        <f>IF(B26&lt;='VALOR POR PL'!$P$5,'CP RESUMO'!Y63,"")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HISTORICOS'!Z21)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RESUMO'!Z21</f>
        <v/>
      </c>
      <c r="N27" s="128">
        <f>MAX(0,M27-M26)</f>
        <v/>
      </c>
      <c r="O27" s="127">
        <f>IF(B27&lt;='VALOR POR PL'!$P$5,'CP RESUMO'!Z63,"")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HISTORICOS'!AA21)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RESUMO'!AA21</f>
        <v/>
      </c>
      <c r="N28" s="128">
        <f>MAX(0,M28-M27)</f>
        <v/>
      </c>
      <c r="O28" s="127">
        <f>IF(B28&lt;='VALOR POR PL'!$P$5,'CP RESUMO'!AA63,"")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HISTORICOS'!AB21)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RESUMO'!AB21</f>
        <v/>
      </c>
      <c r="N29" s="128">
        <f>MAX(0,M29-M28)</f>
        <v/>
      </c>
      <c r="O29" s="127">
        <f>IF(B29&lt;='VALOR POR PL'!$P$5,'CP RESUMO'!AB63,"")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HISTORICOS'!AC21)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RESUMO'!AC21</f>
        <v/>
      </c>
      <c r="N30" s="128">
        <f>MAX(0,M30-M29)</f>
        <v/>
      </c>
      <c r="O30" s="127">
        <f>IF(B30&lt;='VALOR POR PL'!$P$5,'CP RESUMO'!AC63,"")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HISTORICOS'!AD21)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RESUMO'!AD21</f>
        <v/>
      </c>
      <c r="N31" s="128">
        <f>MAX(0,M31-M30)</f>
        <v/>
      </c>
      <c r="O31" s="127">
        <f>IF(B31&lt;='VALOR POR PL'!$P$5,'CP RESUMO'!AD63,"")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HISTORICOS'!AE21)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RESUMO'!AE21</f>
        <v/>
      </c>
      <c r="N32" s="128">
        <f>MAX(0,M32-M31)</f>
        <v/>
      </c>
      <c r="O32" s="127">
        <f>IF(B32&lt;='VALOR POR PL'!$P$5,'CP RESUMO'!AE63,"")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HISTORICOS'!AF21)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RESUMO'!AF21</f>
        <v/>
      </c>
      <c r="N33" s="128">
        <f>MAX(0,M33-M32)</f>
        <v/>
      </c>
      <c r="O33" s="127">
        <f>IF(B33&lt;='VALOR POR PL'!$P$5,'CP RESUMO'!AF63,"")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HISTORICOS'!AG21)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RESUMO'!AG21</f>
        <v/>
      </c>
      <c r="N34" s="128">
        <f>MAX(0,M34-M33)</f>
        <v/>
      </c>
      <c r="O34" s="127">
        <f>IF(B34&lt;='VALOR POR PL'!$P$5,'CP RESUMO'!AG63,"")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HISTORICOS'!AH21)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RESUMO'!AH21</f>
        <v/>
      </c>
      <c r="N35" s="128">
        <f>MAX(0,M35-M34)</f>
        <v/>
      </c>
      <c r="O35" s="127">
        <f>IF(B35&lt;='VALOR POR PL'!$P$5,'CP RESUMO'!AH63,"")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HISTORICOS'!AI21)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RESUMO'!AI21</f>
        <v/>
      </c>
      <c r="N36" s="128">
        <f>MAX(0,M36-M35)</f>
        <v/>
      </c>
      <c r="O36" s="127">
        <f>IF(B36&lt;='VALOR POR PL'!$P$5,'CP RESUMO'!AI63,"")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HISTORICOS'!AJ21)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RESUMO'!AJ21</f>
        <v/>
      </c>
      <c r="N37" s="128">
        <f>MAX(0,M37-M36)</f>
        <v/>
      </c>
      <c r="O37" s="127">
        <f>IF(B37&lt;='VALOR POR PL'!$P$5,'CP RESUMO'!AJ63,"")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HISTORICOS'!AK21)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RESUMO'!AK21</f>
        <v/>
      </c>
      <c r="N38" s="128">
        <f>MAX(0,M38-M37)</f>
        <v/>
      </c>
      <c r="O38" s="127">
        <f>IF(B38&lt;='VALOR POR PL'!$P$5,'CP RESUMO'!AK63,"")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HISTORICOS'!AL21)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RESUMO'!AL21</f>
        <v/>
      </c>
      <c r="N39" s="128">
        <f>MAX(0,M39-M38)</f>
        <v/>
      </c>
      <c r="O39" s="127">
        <f>IF(B39&lt;='VALOR POR PL'!$P$5,'CP RESUMO'!AL63,"")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HISTORICOS'!AM21)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RESUMO'!AM21</f>
        <v/>
      </c>
      <c r="N40" s="128">
        <f>MAX(0,M40-M39)</f>
        <v/>
      </c>
      <c r="O40" s="127">
        <f>IF(B40&lt;='VALOR POR PL'!$P$5,'CP RESUMO'!AM63,"")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HISTORICOS'!AN21)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RESUMO'!AN21</f>
        <v/>
      </c>
      <c r="N41" s="128">
        <f>MAX(0,M41-M40)</f>
        <v/>
      </c>
      <c r="O41" s="127">
        <f>IF(B41&lt;='VALOR POR PL'!$P$5,'CP RESUMO'!AN63,"")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HISTORICOS'!AO21)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RESUMO'!AO21</f>
        <v/>
      </c>
      <c r="N42" s="128">
        <f>MAX(0,M42-M41)</f>
        <v/>
      </c>
      <c r="O42" s="127">
        <f>IF(B42&lt;='VALOR POR PL'!$P$5,'CP RESUMO'!AO63,"")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HISTORICOS'!AP21)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RESUMO'!AP21</f>
        <v/>
      </c>
      <c r="N43" s="128">
        <f>MAX(0,M43-M42)</f>
        <v/>
      </c>
      <c r="O43" s="127">
        <f>IF(B43&lt;='VALOR POR PL'!$P$5,'CP RESUMO'!AP63,"")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HISTORICOS'!AQ21)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RESUMO'!AQ21</f>
        <v/>
      </c>
      <c r="N44" s="128">
        <f>MAX(0,M44-M43)</f>
        <v/>
      </c>
      <c r="O44" s="127">
        <f>IF(B44&lt;='VALOR POR PL'!$P$5,'CP RESUMO'!AQ63,"")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HISTORICOS'!AR21)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RESUMO'!AR21</f>
        <v/>
      </c>
      <c r="N45" s="128">
        <f>MAX(0,M45-M44)</f>
        <v/>
      </c>
      <c r="O45" s="127">
        <f>IF(B45&lt;='VALOR POR PL'!$P$5,'CP RESUMO'!AR63,"")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HISTORICOS'!AS21)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RESUMO'!AS21</f>
        <v/>
      </c>
      <c r="N46" s="128">
        <f>MAX(0,M46-M45)</f>
        <v/>
      </c>
      <c r="O46" s="127">
        <f>IF(B46&lt;='VALOR POR PL'!$P$5,'CP RESUMO'!AS63,"")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HISTORICOS'!AT21)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RESUMO'!AT21</f>
        <v/>
      </c>
      <c r="N47" s="128">
        <f>MAX(0,M47-M46)</f>
        <v/>
      </c>
      <c r="O47" s="127">
        <f>IF(B47&lt;='VALOR POR PL'!$P$5,'CP RESUMO'!AT63,"")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HISTORICOS'!AU21)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RESUMO'!AU21</f>
        <v/>
      </c>
      <c r="N48" s="128">
        <f>MAX(0,M48-M47)</f>
        <v/>
      </c>
      <c r="O48" s="127">
        <f>IF(B48&lt;='VALOR POR PL'!$P$5,'CP RESUMO'!AU63,"")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HISTORICOS'!AV21)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RESUMO'!AV21</f>
        <v/>
      </c>
      <c r="N49" s="128">
        <f>MAX(0,M49-M48)</f>
        <v/>
      </c>
      <c r="O49" s="127">
        <f>IF(B49&lt;='VALOR POR PL'!$P$5,'CP RESUMO'!AV63,"")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HISTORICOS'!AW21)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RESUMO'!AW21</f>
        <v/>
      </c>
      <c r="N50" s="128">
        <f>MAX(0,M50-M49)</f>
        <v/>
      </c>
      <c r="O50" s="127">
        <f>IF(B50&lt;='VALOR POR PL'!$P$5,'CP RESUMO'!AW63,"")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HISTORICOS'!AX21)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RESUMO'!AX21</f>
        <v/>
      </c>
      <c r="N51" s="128">
        <f>MAX(0,M51-M50)</f>
        <v/>
      </c>
      <c r="O51" s="127">
        <f>IF(B51&lt;='VALOR POR PL'!$P$5,'CP RESUMO'!AX63,"")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HISTORICOS'!AY21)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RESUMO'!AY21</f>
        <v/>
      </c>
      <c r="N52" s="128">
        <f>MAX(0,M52-M51)</f>
        <v/>
      </c>
      <c r="O52" s="127">
        <f>IF(B52&lt;='VALOR POR PL'!$P$5,'CP RESUMO'!AY63,"")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HISTORICOS'!AZ21)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RESUMO'!AZ21</f>
        <v/>
      </c>
      <c r="N53" s="128">
        <f>MAX(0,M53-M52)</f>
        <v/>
      </c>
      <c r="O53" s="127">
        <f>IF(B53&lt;='VALOR POR PL'!$P$5,'CP RESUMO'!AZ63,"")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HISTORICOS'!BA21)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RESUMO'!BA21</f>
        <v/>
      </c>
      <c r="N54" s="128">
        <f>MAX(0,M54-M53)</f>
        <v/>
      </c>
      <c r="O54" s="127">
        <f>IF(B54&lt;='VALOR POR PL'!$P$5,'CP RESUMO'!BA63,"")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HISTORICOS'!BB21)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RESUMO'!BB21</f>
        <v/>
      </c>
      <c r="N55" s="128">
        <f>MAX(0,M55-M54)</f>
        <v/>
      </c>
      <c r="O55" s="127">
        <f>IF(B55&lt;='VALOR POR PL'!$P$5,'CP RESUMO'!BB63,"")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HISTORICOS'!BC21)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RESUMO'!BC21</f>
        <v/>
      </c>
      <c r="N56" s="128">
        <f>MAX(0,M56-M55)</f>
        <v/>
      </c>
      <c r="O56" s="127">
        <f>IF(B56&lt;='VALOR POR PL'!$P$5,'CP RESUMO'!BC63,"")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HISTORICOS'!BD21)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RESUMO'!BD21</f>
        <v/>
      </c>
      <c r="N57" s="128">
        <f>MAX(0,M57-M56)</f>
        <v/>
      </c>
      <c r="O57" s="127">
        <f>IF(B57&lt;='VALOR POR PL'!$P$5,'CP RESUMO'!BD63,"")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HISTORICOS'!BE21)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RESUMO'!BE21</f>
        <v/>
      </c>
      <c r="N58" s="128">
        <f>MAX(0,M58-M57)</f>
        <v/>
      </c>
      <c r="O58" s="127">
        <f>IF(B58&lt;='VALOR POR PL'!$P$5,'CP RESUMO'!BE63,"")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HISTORICOS'!BF21)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RESUMO'!BF21</f>
        <v/>
      </c>
      <c r="N59" s="128">
        <f>MAX(0,M59-M58)</f>
        <v/>
      </c>
      <c r="O59" s="127">
        <f>IF(B59&lt;='VALOR POR PL'!$P$5,'CP RESUMO'!BF63,"")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HISTORICOS'!BG21)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RESUMO'!BG21</f>
        <v/>
      </c>
      <c r="N60" s="128">
        <f>MAX(0,M60-M59)</f>
        <v/>
      </c>
      <c r="O60" s="127">
        <f>IF(B60&lt;='VALOR POR PL'!$P$5,'CP RESUMO'!BG63,"")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HISTORICOS'!BH21)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RESUMO'!BH21</f>
        <v/>
      </c>
      <c r="N61" s="128">
        <f>MAX(0,M61-M60)</f>
        <v/>
      </c>
      <c r="O61" s="127">
        <f>IF(B61&lt;='VALOR POR PL'!$P$5,'CP RESUMO'!BH63,"")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HISTORICOS'!BI21)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RESUMO'!BI21</f>
        <v/>
      </c>
      <c r="N62" s="128">
        <f>MAX(0,M62-M61)</f>
        <v/>
      </c>
      <c r="O62" s="127">
        <f>IF(B62&lt;='VALOR POR PL'!$P$5,'CP RESUMO'!BI63,"")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HISTORICOS'!BJ21)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RESUMO'!BJ21</f>
        <v/>
      </c>
      <c r="N63" s="128">
        <f>MAX(0,M63-M62)</f>
        <v/>
      </c>
      <c r="O63" s="127">
        <f>IF(B63&lt;='VALOR POR PL'!$P$5,'CP RESUMO'!BJ63,"")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HISTORICOS'!BK21)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RESUMO'!BK21</f>
        <v/>
      </c>
      <c r="N64" s="128">
        <f>MAX(0,M64-M63)</f>
        <v/>
      </c>
      <c r="O64" s="127">
        <f>IF(B64&lt;='VALOR POR PL'!$P$5,'CP RESUMO'!BK63,"")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HISTORICOS'!BL21)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RESUMO'!BL21</f>
        <v/>
      </c>
      <c r="N65" s="128">
        <f>MAX(0,M65-M64)</f>
        <v/>
      </c>
      <c r="O65" s="127">
        <f>IF(B65&lt;='VALOR POR PL'!$P$5,'CP RESUMO'!BL63,"")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HISTORICOS'!BM21)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RESUMO'!BM21</f>
        <v/>
      </c>
      <c r="N66" s="128">
        <f>MAX(0,M66-M65)</f>
        <v/>
      </c>
      <c r="O66" s="127">
        <f>IF(B66&lt;='VALOR POR PL'!$P$5,'CP RESUMO'!BM63,"")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HISTORICOS'!BN21)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RESUMO'!BN21</f>
        <v/>
      </c>
      <c r="N67" s="128">
        <f>MAX(0,M67-M66)</f>
        <v/>
      </c>
      <c r="O67" s="127">
        <f>IF(B67&lt;='VALOR POR PL'!$P$5,'CP RESUMO'!BN63,"")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HISTORICOS'!BO21)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RESUMO'!BO21</f>
        <v/>
      </c>
      <c r="N68" s="128">
        <f>MAX(0,M68-M67)</f>
        <v/>
      </c>
      <c r="O68" s="127">
        <f>IF(B68&lt;='VALOR POR PL'!$P$5,'CP RESUMO'!BO63,"")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HISTORICOS'!BP21)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RESUMO'!BP21</f>
        <v/>
      </c>
      <c r="N69" s="128">
        <f>MAX(0,M69-M68)</f>
        <v/>
      </c>
      <c r="O69" s="127">
        <f>IF(B69&lt;='VALOR POR PL'!$P$5,'CP RESUMO'!BP63,"")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HISTORICOS'!BQ21)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RESUMO'!BQ21</f>
        <v/>
      </c>
      <c r="N70" s="128">
        <f>MAX(0,M70-M69)</f>
        <v/>
      </c>
      <c r="O70" s="127">
        <f>IF(B70&lt;='VALOR POR PL'!$P$5,'CP RESUMO'!BQ63,"")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HISTORICOS'!BR21)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RESUMO'!BR21</f>
        <v/>
      </c>
      <c r="N71" s="128">
        <f>MAX(0,M71-M70)</f>
        <v/>
      </c>
      <c r="O71" s="127">
        <f>IF(B71&lt;='VALOR POR PL'!$P$5,'CP RESUMO'!BR63,"")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HISTORICOS'!BS21)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RESUMO'!BS21</f>
        <v/>
      </c>
      <c r="N72" s="128">
        <f>MAX(0,M72-M71)</f>
        <v/>
      </c>
      <c r="O72" s="127">
        <f>IF(B72&lt;='VALOR POR PL'!$P$5,'CP RESUMO'!BS63,"")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HISTORICOS'!BT21)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RESUMO'!BT21</f>
        <v/>
      </c>
      <c r="N73" s="128">
        <f>MAX(0,M73-M72)</f>
        <v/>
      </c>
      <c r="O73" s="127">
        <f>IF(B73&lt;='VALOR POR PL'!$P$5,'CP RESUMO'!BT63,"")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HISTORICOS'!BU21)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RESUMO'!BU21</f>
        <v/>
      </c>
      <c r="N74" s="128">
        <f>MAX(0,M74-M73)</f>
        <v/>
      </c>
      <c r="O74" s="127">
        <f>IF(B74&lt;='VALOR POR PL'!$P$5,'CP RESUMO'!BU63,"")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HISTORICOS'!BV21)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RESUMO'!BV21</f>
        <v/>
      </c>
      <c r="N75" s="128">
        <f>MAX(0,M75-M74)</f>
        <v/>
      </c>
      <c r="O75" s="127">
        <f>IF(B75&lt;='VALOR POR PL'!$P$5,'CP RESUMO'!BV63,"")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HISTORICOS'!BW21)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RESUMO'!BW21</f>
        <v/>
      </c>
      <c r="N76" s="128">
        <f>MAX(0,M76-M75)</f>
        <v/>
      </c>
      <c r="O76" s="127">
        <f>IF(B76&lt;='VALOR POR PL'!$P$5,'CP RESUMO'!BW63,"")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PL'!D28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HISTORICOS'!D22)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PL'!F28</f>
        <v/>
      </c>
      <c r="K5" s="63">
        <f>'VALOR POR PL'!G28</f>
        <v/>
      </c>
      <c r="M5" s="127">
        <f>'CP RESUMO'!D22</f>
        <v/>
      </c>
      <c r="N5" s="128" t="n">
        <v>0</v>
      </c>
      <c r="O5" s="127">
        <f>IF(B5&lt;='VALOR POR PL'!$P$5,'CP RESUMO'!D64,"")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HISTORICOS'!E22)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RESUMO'!E22</f>
        <v/>
      </c>
      <c r="N6" s="128">
        <f>MAX(0,M6-M5)</f>
        <v/>
      </c>
      <c r="O6" s="127">
        <f>IF(B6&lt;='VALOR POR PL'!$P$5,'CP RESUMO'!E64,"")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HISTORICOS'!F22)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PL'!L28</f>
        <v/>
      </c>
      <c r="M7" s="127">
        <f>'CP RESUMO'!F22</f>
        <v/>
      </c>
      <c r="N7" s="128">
        <f>MAX(0,M7-M6)</f>
        <v/>
      </c>
      <c r="O7" s="127">
        <f>IF(B7&lt;='VALOR POR PL'!$P$5,'CP RESUMO'!F64,"")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HISTORICOS'!G22)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RESUMO'!G22</f>
        <v/>
      </c>
      <c r="N8" s="128">
        <f>MAX(0,M8-M7)</f>
        <v/>
      </c>
      <c r="O8" s="127">
        <f>IF(B8&lt;='VALOR POR PL'!$P$5,'CP RESUMO'!G64,"")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HISTORICOS'!H22)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RESUMO'!H22</f>
        <v/>
      </c>
      <c r="N9" s="128">
        <f>MAX(0,M9-M8)</f>
        <v/>
      </c>
      <c r="O9" s="127">
        <f>IF(B9&lt;='VALOR POR PL'!$P$5,'CP RESUMO'!H64,"")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HISTORICOS'!I22)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RESUMO'!I22</f>
        <v/>
      </c>
      <c r="N10" s="128">
        <f>MAX(0,M10-M9)</f>
        <v/>
      </c>
      <c r="O10" s="127">
        <f>IF(B10&lt;='VALOR POR PL'!$P$5,'CP RESUMO'!I64,"")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HISTORICOS'!J22)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RESUMO'!J22</f>
        <v/>
      </c>
      <c r="N11" s="128">
        <f>MAX(0,M11-M10)</f>
        <v/>
      </c>
      <c r="O11" s="127">
        <f>IF(B11&lt;='VALOR POR PL'!$P$5,'CP RESUMO'!J64,"")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HISTORICOS'!K22)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RESUMO'!K22</f>
        <v/>
      </c>
      <c r="N12" s="128">
        <f>MAX(0,M12-M11)</f>
        <v/>
      </c>
      <c r="O12" s="127">
        <f>IF(B12&lt;='VALOR POR PL'!$P$5,'CP RESUMO'!K64,"")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HISTORICOS'!L22)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PL'!I28</f>
        <v/>
      </c>
      <c r="M13" s="127">
        <f>'CP RESUMO'!L22</f>
        <v/>
      </c>
      <c r="N13" s="128">
        <f>MAX(0,M13-M12)</f>
        <v/>
      </c>
      <c r="O13" s="127">
        <f>IF(B13&lt;='VALOR POR PL'!$P$5,'CP RESUMO'!L64,"")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HISTORICOS'!M22)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RESUMO'!$D$64:$BW$64,MATCH('VALOR POR PL'!$P$5,'CP RESUMO'!$D$4:$BW$4,0))/100,0)</f>
        <v/>
      </c>
      <c r="M14" s="127">
        <f>'CP RESUMO'!M22</f>
        <v/>
      </c>
      <c r="N14" s="128">
        <f>MAX(0,M14-M13)</f>
        <v/>
      </c>
      <c r="O14" s="127">
        <f>IF(B14&lt;='VALOR POR PL'!$P$5,'CP RESUMO'!M64,"")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HISTORICOS'!N22)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RESUMO'!N22</f>
        <v/>
      </c>
      <c r="N15" s="128">
        <f>MAX(0,M15-M14)</f>
        <v/>
      </c>
      <c r="O15" s="127">
        <f>IF(B15&lt;='VALOR POR PL'!$P$5,'CP RESUMO'!N64,"")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HISTORICOS'!O22)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RESUMO'!O22</f>
        <v/>
      </c>
      <c r="N16" s="128">
        <f>MAX(0,M16-M15)</f>
        <v/>
      </c>
      <c r="O16" s="127">
        <f>IF(B16&lt;='VALOR POR PL'!$P$5,'CP RESUMO'!O64,"")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HISTORICOS'!P22)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RESUMO'!P22</f>
        <v/>
      </c>
      <c r="N17" s="128">
        <f>MAX(0,M17-M16)</f>
        <v/>
      </c>
      <c r="O17" s="127">
        <f>IF(B17&lt;='VALOR POR PL'!$P$5,'CP RESUMO'!P64,"")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HISTORICOS'!Q22)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RESUMO'!Q22</f>
        <v/>
      </c>
      <c r="N18" s="128">
        <f>MAX(0,M18-M17)</f>
        <v/>
      </c>
      <c r="O18" s="127">
        <f>IF(B18&lt;='VALOR POR PL'!$P$5,'CP RESUMO'!Q64,"")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HISTORICOS'!R22)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RESUMO'!R22</f>
        <v/>
      </c>
      <c r="N19" s="128">
        <f>MAX(0,M19-M18)</f>
        <v/>
      </c>
      <c r="O19" s="127">
        <f>IF(B19&lt;='VALOR POR PL'!$P$5,'CP RESUMO'!R64,"")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HISTORICOS'!S22)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RESUMO'!S22</f>
        <v/>
      </c>
      <c r="N20" s="128">
        <f>MAX(0,M20-M19)</f>
        <v/>
      </c>
      <c r="O20" s="127">
        <f>IF(B20&lt;='VALOR POR PL'!$P$5,'CP RESUMO'!S64,"")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HISTORICOS'!T22)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RESUMO'!T22</f>
        <v/>
      </c>
      <c r="N21" s="128">
        <f>MAX(0,M21-M20)</f>
        <v/>
      </c>
      <c r="O21" s="127">
        <f>IF(B21&lt;='VALOR POR PL'!$P$5,'CP RESUMO'!T64,"")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HISTORICOS'!U22)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RESUMO'!U22</f>
        <v/>
      </c>
      <c r="N22" s="128">
        <f>MAX(0,M22-M21)</f>
        <v/>
      </c>
      <c r="O22" s="127">
        <f>IF(B22&lt;='VALOR POR PL'!$P$5,'CP RESUMO'!U64,"")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HISTORICOS'!V22)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RESUMO'!V22</f>
        <v/>
      </c>
      <c r="N23" s="128">
        <f>MAX(0,M23-M22)</f>
        <v/>
      </c>
      <c r="O23" s="127">
        <f>IF(B23&lt;='VALOR POR PL'!$P$5,'CP RESUMO'!V64,"")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HISTORICOS'!W22)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RESUMO'!W22</f>
        <v/>
      </c>
      <c r="N24" s="128">
        <f>MAX(0,M24-M23)</f>
        <v/>
      </c>
      <c r="O24" s="127">
        <f>IF(B24&lt;='VALOR POR PL'!$P$5,'CP RESUMO'!W64,"")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HISTORICOS'!X22)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RESUMO'!X22</f>
        <v/>
      </c>
      <c r="N25" s="128">
        <f>MAX(0,M25-M24)</f>
        <v/>
      </c>
      <c r="O25" s="127">
        <f>IF(B25&lt;='VALOR POR PL'!$P$5,'CP RESUMO'!X64,"")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HISTORICOS'!Y22)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RESUMO'!Y22</f>
        <v/>
      </c>
      <c r="N26" s="128">
        <f>MAX(0,M26-M25)</f>
        <v/>
      </c>
      <c r="O26" s="127">
        <f>IF(B26&lt;='VALOR POR PL'!$P$5,'CP RESUMO'!Y64,"")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HISTORICOS'!Z22)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RESUMO'!Z22</f>
        <v/>
      </c>
      <c r="N27" s="128">
        <f>MAX(0,M27-M26)</f>
        <v/>
      </c>
      <c r="O27" s="127">
        <f>IF(B27&lt;='VALOR POR PL'!$P$5,'CP RESUMO'!Z64,"")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HISTORICOS'!AA22)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RESUMO'!AA22</f>
        <v/>
      </c>
      <c r="N28" s="128">
        <f>MAX(0,M28-M27)</f>
        <v/>
      </c>
      <c r="O28" s="127">
        <f>IF(B28&lt;='VALOR POR PL'!$P$5,'CP RESUMO'!AA64,"")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HISTORICOS'!AB22)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RESUMO'!AB22</f>
        <v/>
      </c>
      <c r="N29" s="128">
        <f>MAX(0,M29-M28)</f>
        <v/>
      </c>
      <c r="O29" s="127">
        <f>IF(B29&lt;='VALOR POR PL'!$P$5,'CP RESUMO'!AB64,"")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HISTORICOS'!AC22)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RESUMO'!AC22</f>
        <v/>
      </c>
      <c r="N30" s="128">
        <f>MAX(0,M30-M29)</f>
        <v/>
      </c>
      <c r="O30" s="127">
        <f>IF(B30&lt;='VALOR POR PL'!$P$5,'CP RESUMO'!AC64,"")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HISTORICOS'!AD22)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RESUMO'!AD22</f>
        <v/>
      </c>
      <c r="N31" s="128">
        <f>MAX(0,M31-M30)</f>
        <v/>
      </c>
      <c r="O31" s="127">
        <f>IF(B31&lt;='VALOR POR PL'!$P$5,'CP RESUMO'!AD64,"")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HISTORICOS'!AE22)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RESUMO'!AE22</f>
        <v/>
      </c>
      <c r="N32" s="128">
        <f>MAX(0,M32-M31)</f>
        <v/>
      </c>
      <c r="O32" s="127">
        <f>IF(B32&lt;='VALOR POR PL'!$P$5,'CP RESUMO'!AE64,"")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HISTORICOS'!AF22)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RESUMO'!AF22</f>
        <v/>
      </c>
      <c r="N33" s="128">
        <f>MAX(0,M33-M32)</f>
        <v/>
      </c>
      <c r="O33" s="127">
        <f>IF(B33&lt;='VALOR POR PL'!$P$5,'CP RESUMO'!AF64,"")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HISTORICOS'!AG22)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RESUMO'!AG22</f>
        <v/>
      </c>
      <c r="N34" s="128">
        <f>MAX(0,M34-M33)</f>
        <v/>
      </c>
      <c r="O34" s="127">
        <f>IF(B34&lt;='VALOR POR PL'!$P$5,'CP RESUMO'!AG64,"")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HISTORICOS'!AH22)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RESUMO'!AH22</f>
        <v/>
      </c>
      <c r="N35" s="128">
        <f>MAX(0,M35-M34)</f>
        <v/>
      </c>
      <c r="O35" s="127">
        <f>IF(B35&lt;='VALOR POR PL'!$P$5,'CP RESUMO'!AH64,"")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HISTORICOS'!AI22)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RESUMO'!AI22</f>
        <v/>
      </c>
      <c r="N36" s="128">
        <f>MAX(0,M36-M35)</f>
        <v/>
      </c>
      <c r="O36" s="127">
        <f>IF(B36&lt;='VALOR POR PL'!$P$5,'CP RESUMO'!AI64,"")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HISTORICOS'!AJ22)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RESUMO'!AJ22</f>
        <v/>
      </c>
      <c r="N37" s="128">
        <f>MAX(0,M37-M36)</f>
        <v/>
      </c>
      <c r="O37" s="127">
        <f>IF(B37&lt;='VALOR POR PL'!$P$5,'CP RESUMO'!AJ64,"")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HISTORICOS'!AK22)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RESUMO'!AK22</f>
        <v/>
      </c>
      <c r="N38" s="128">
        <f>MAX(0,M38-M37)</f>
        <v/>
      </c>
      <c r="O38" s="127">
        <f>IF(B38&lt;='VALOR POR PL'!$P$5,'CP RESUMO'!AK64,"")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HISTORICOS'!AL22)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RESUMO'!AL22</f>
        <v/>
      </c>
      <c r="N39" s="128">
        <f>MAX(0,M39-M38)</f>
        <v/>
      </c>
      <c r="O39" s="127">
        <f>IF(B39&lt;='VALOR POR PL'!$P$5,'CP RESUMO'!AL64,"")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HISTORICOS'!AM22)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RESUMO'!AM22</f>
        <v/>
      </c>
      <c r="N40" s="128">
        <f>MAX(0,M40-M39)</f>
        <v/>
      </c>
      <c r="O40" s="127">
        <f>IF(B40&lt;='VALOR POR PL'!$P$5,'CP RESUMO'!AM64,"")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HISTORICOS'!AN22)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RESUMO'!AN22</f>
        <v/>
      </c>
      <c r="N41" s="128">
        <f>MAX(0,M41-M40)</f>
        <v/>
      </c>
      <c r="O41" s="127">
        <f>IF(B41&lt;='VALOR POR PL'!$P$5,'CP RESUMO'!AN64,"")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HISTORICOS'!AO22)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RESUMO'!AO22</f>
        <v/>
      </c>
      <c r="N42" s="128">
        <f>MAX(0,M42-M41)</f>
        <v/>
      </c>
      <c r="O42" s="127">
        <f>IF(B42&lt;='VALOR POR PL'!$P$5,'CP RESUMO'!AO64,"")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HISTORICOS'!AP22)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RESUMO'!AP22</f>
        <v/>
      </c>
      <c r="N43" s="128">
        <f>MAX(0,M43-M42)</f>
        <v/>
      </c>
      <c r="O43" s="127">
        <f>IF(B43&lt;='VALOR POR PL'!$P$5,'CP RESUMO'!AP64,"")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HISTORICOS'!AQ22)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RESUMO'!AQ22</f>
        <v/>
      </c>
      <c r="N44" s="128">
        <f>MAX(0,M44-M43)</f>
        <v/>
      </c>
      <c r="O44" s="127">
        <f>IF(B44&lt;='VALOR POR PL'!$P$5,'CP RESUMO'!AQ64,"")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HISTORICOS'!AR22)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RESUMO'!AR22</f>
        <v/>
      </c>
      <c r="N45" s="128">
        <f>MAX(0,M45-M44)</f>
        <v/>
      </c>
      <c r="O45" s="127">
        <f>IF(B45&lt;='VALOR POR PL'!$P$5,'CP RESUMO'!AR64,"")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HISTORICOS'!AS22)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RESUMO'!AS22</f>
        <v/>
      </c>
      <c r="N46" s="128">
        <f>MAX(0,M46-M45)</f>
        <v/>
      </c>
      <c r="O46" s="127">
        <f>IF(B46&lt;='VALOR POR PL'!$P$5,'CP RESUMO'!AS64,"")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HISTORICOS'!AT22)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RESUMO'!AT22</f>
        <v/>
      </c>
      <c r="N47" s="128">
        <f>MAX(0,M47-M46)</f>
        <v/>
      </c>
      <c r="O47" s="127">
        <f>IF(B47&lt;='VALOR POR PL'!$P$5,'CP RESUMO'!AT64,"")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HISTORICOS'!AU22)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RESUMO'!AU22</f>
        <v/>
      </c>
      <c r="N48" s="128">
        <f>MAX(0,M48-M47)</f>
        <v/>
      </c>
      <c r="O48" s="127">
        <f>IF(B48&lt;='VALOR POR PL'!$P$5,'CP RESUMO'!AU64,"")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HISTORICOS'!AV22)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RESUMO'!AV22</f>
        <v/>
      </c>
      <c r="N49" s="128">
        <f>MAX(0,M49-M48)</f>
        <v/>
      </c>
      <c r="O49" s="127">
        <f>IF(B49&lt;='VALOR POR PL'!$P$5,'CP RESUMO'!AV64,"")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HISTORICOS'!AW22)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RESUMO'!AW22</f>
        <v/>
      </c>
      <c r="N50" s="128">
        <f>MAX(0,M50-M49)</f>
        <v/>
      </c>
      <c r="O50" s="127">
        <f>IF(B50&lt;='VALOR POR PL'!$P$5,'CP RESUMO'!AW64,"")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HISTORICOS'!AX22)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RESUMO'!AX22</f>
        <v/>
      </c>
      <c r="N51" s="128">
        <f>MAX(0,M51-M50)</f>
        <v/>
      </c>
      <c r="O51" s="127">
        <f>IF(B51&lt;='VALOR POR PL'!$P$5,'CP RESUMO'!AX64,"")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HISTORICOS'!AY22)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RESUMO'!AY22</f>
        <v/>
      </c>
      <c r="N52" s="128">
        <f>MAX(0,M52-M51)</f>
        <v/>
      </c>
      <c r="O52" s="127">
        <f>IF(B52&lt;='VALOR POR PL'!$P$5,'CP RESUMO'!AY64,"")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HISTORICOS'!AZ22)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RESUMO'!AZ22</f>
        <v/>
      </c>
      <c r="N53" s="128">
        <f>MAX(0,M53-M52)</f>
        <v/>
      </c>
      <c r="O53" s="127">
        <f>IF(B53&lt;='VALOR POR PL'!$P$5,'CP RESUMO'!AZ64,"")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HISTORICOS'!BA22)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RESUMO'!BA22</f>
        <v/>
      </c>
      <c r="N54" s="128">
        <f>MAX(0,M54-M53)</f>
        <v/>
      </c>
      <c r="O54" s="127">
        <f>IF(B54&lt;='VALOR POR PL'!$P$5,'CP RESUMO'!BA64,"")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HISTORICOS'!BB22)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RESUMO'!BB22</f>
        <v/>
      </c>
      <c r="N55" s="128">
        <f>MAX(0,M55-M54)</f>
        <v/>
      </c>
      <c r="O55" s="127">
        <f>IF(B55&lt;='VALOR POR PL'!$P$5,'CP RESUMO'!BB64,"")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HISTORICOS'!BC22)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RESUMO'!BC22</f>
        <v/>
      </c>
      <c r="N56" s="128">
        <f>MAX(0,M56-M55)</f>
        <v/>
      </c>
      <c r="O56" s="127">
        <f>IF(B56&lt;='VALOR POR PL'!$P$5,'CP RESUMO'!BC64,"")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HISTORICOS'!BD22)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RESUMO'!BD22</f>
        <v/>
      </c>
      <c r="N57" s="128">
        <f>MAX(0,M57-M56)</f>
        <v/>
      </c>
      <c r="O57" s="127">
        <f>IF(B57&lt;='VALOR POR PL'!$P$5,'CP RESUMO'!BD64,"")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HISTORICOS'!BE22)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RESUMO'!BE22</f>
        <v/>
      </c>
      <c r="N58" s="128">
        <f>MAX(0,M58-M57)</f>
        <v/>
      </c>
      <c r="O58" s="127">
        <f>IF(B58&lt;='VALOR POR PL'!$P$5,'CP RESUMO'!BE64,"")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HISTORICOS'!BF22)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RESUMO'!BF22</f>
        <v/>
      </c>
      <c r="N59" s="128">
        <f>MAX(0,M59-M58)</f>
        <v/>
      </c>
      <c r="O59" s="127">
        <f>IF(B59&lt;='VALOR POR PL'!$P$5,'CP RESUMO'!BF64,"")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HISTORICOS'!BG22)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RESUMO'!BG22</f>
        <v/>
      </c>
      <c r="N60" s="128">
        <f>MAX(0,M60-M59)</f>
        <v/>
      </c>
      <c r="O60" s="127">
        <f>IF(B60&lt;='VALOR POR PL'!$P$5,'CP RESUMO'!BG64,"")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HISTORICOS'!BH22)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RESUMO'!BH22</f>
        <v/>
      </c>
      <c r="N61" s="128">
        <f>MAX(0,M61-M60)</f>
        <v/>
      </c>
      <c r="O61" s="127">
        <f>IF(B61&lt;='VALOR POR PL'!$P$5,'CP RESUMO'!BH64,"")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HISTORICOS'!BI22)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RESUMO'!BI22</f>
        <v/>
      </c>
      <c r="N62" s="128">
        <f>MAX(0,M62-M61)</f>
        <v/>
      </c>
      <c r="O62" s="127">
        <f>IF(B62&lt;='VALOR POR PL'!$P$5,'CP RESUMO'!BI64,"")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HISTORICOS'!BJ22)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RESUMO'!BJ22</f>
        <v/>
      </c>
      <c r="N63" s="128">
        <f>MAX(0,M63-M62)</f>
        <v/>
      </c>
      <c r="O63" s="127">
        <f>IF(B63&lt;='VALOR POR PL'!$P$5,'CP RESUMO'!BJ64,"")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HISTORICOS'!BK22)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RESUMO'!BK22</f>
        <v/>
      </c>
      <c r="N64" s="128">
        <f>MAX(0,M64-M63)</f>
        <v/>
      </c>
      <c r="O64" s="127">
        <f>IF(B64&lt;='VALOR POR PL'!$P$5,'CP RESUMO'!BK64,"")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HISTORICOS'!BL22)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RESUMO'!BL22</f>
        <v/>
      </c>
      <c r="N65" s="128">
        <f>MAX(0,M65-M64)</f>
        <v/>
      </c>
      <c r="O65" s="127">
        <f>IF(B65&lt;='VALOR POR PL'!$P$5,'CP RESUMO'!BL64,"")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HISTORICOS'!BM22)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RESUMO'!BM22</f>
        <v/>
      </c>
      <c r="N66" s="128">
        <f>MAX(0,M66-M65)</f>
        <v/>
      </c>
      <c r="O66" s="127">
        <f>IF(B66&lt;='VALOR POR PL'!$P$5,'CP RESUMO'!BM64,"")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HISTORICOS'!BN22)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RESUMO'!BN22</f>
        <v/>
      </c>
      <c r="N67" s="128">
        <f>MAX(0,M67-M66)</f>
        <v/>
      </c>
      <c r="O67" s="127">
        <f>IF(B67&lt;='VALOR POR PL'!$P$5,'CP RESUMO'!BN64,"")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HISTORICOS'!BO22)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RESUMO'!BO22</f>
        <v/>
      </c>
      <c r="N68" s="128">
        <f>MAX(0,M68-M67)</f>
        <v/>
      </c>
      <c r="O68" s="127">
        <f>IF(B68&lt;='VALOR POR PL'!$P$5,'CP RESUMO'!BO64,"")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HISTORICOS'!BP22)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RESUMO'!BP22</f>
        <v/>
      </c>
      <c r="N69" s="128">
        <f>MAX(0,M69-M68)</f>
        <v/>
      </c>
      <c r="O69" s="127">
        <f>IF(B69&lt;='VALOR POR PL'!$P$5,'CP RESUMO'!BP64,"")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HISTORICOS'!BQ22)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RESUMO'!BQ22</f>
        <v/>
      </c>
      <c r="N70" s="128">
        <f>MAX(0,M70-M69)</f>
        <v/>
      </c>
      <c r="O70" s="127">
        <f>IF(B70&lt;='VALOR POR PL'!$P$5,'CP RESUMO'!BQ64,"")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HISTORICOS'!BR22)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RESUMO'!BR22</f>
        <v/>
      </c>
      <c r="N71" s="128">
        <f>MAX(0,M71-M70)</f>
        <v/>
      </c>
      <c r="O71" s="127">
        <f>IF(B71&lt;='VALOR POR PL'!$P$5,'CP RESUMO'!BR64,"")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HISTORICOS'!BS22)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RESUMO'!BS22</f>
        <v/>
      </c>
      <c r="N72" s="128">
        <f>MAX(0,M72-M71)</f>
        <v/>
      </c>
      <c r="O72" s="127">
        <f>IF(B72&lt;='VALOR POR PL'!$P$5,'CP RESUMO'!BS64,"")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HISTORICOS'!BT22)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RESUMO'!BT22</f>
        <v/>
      </c>
      <c r="N73" s="128">
        <f>MAX(0,M73-M72)</f>
        <v/>
      </c>
      <c r="O73" s="127">
        <f>IF(B73&lt;='VALOR POR PL'!$P$5,'CP RESUMO'!BT64,"")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HISTORICOS'!BU22)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RESUMO'!BU22</f>
        <v/>
      </c>
      <c r="N74" s="128">
        <f>MAX(0,M74-M73)</f>
        <v/>
      </c>
      <c r="O74" s="127">
        <f>IF(B74&lt;='VALOR POR PL'!$P$5,'CP RESUMO'!BU64,"")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HISTORICOS'!BV22)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RESUMO'!BV22</f>
        <v/>
      </c>
      <c r="N75" s="128">
        <f>MAX(0,M75-M74)</f>
        <v/>
      </c>
      <c r="O75" s="127">
        <f>IF(B75&lt;='VALOR POR PL'!$P$5,'CP RESUMO'!BV64,"")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HISTORICOS'!BW22)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RESUMO'!BW22</f>
        <v/>
      </c>
      <c r="N76" s="128">
        <f>MAX(0,M76-M75)</f>
        <v/>
      </c>
      <c r="O76" s="127">
        <f>IF(B76&lt;='VALOR POR PL'!$P$5,'CP RESUMO'!BW64,"")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PL'!D29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HISTORICOS'!D23)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PL'!F29</f>
        <v/>
      </c>
      <c r="K5" s="63">
        <f>'VALOR POR PL'!G29</f>
        <v/>
      </c>
      <c r="M5" s="127">
        <f>'CP RESUMO'!D23</f>
        <v/>
      </c>
      <c r="N5" s="128" t="n">
        <v>0</v>
      </c>
      <c r="O5" s="127">
        <f>IF(B5&lt;='VALOR POR PL'!$P$5,'CP RESUMO'!D65,"")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HISTORICOS'!E23)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RESUMO'!E23</f>
        <v/>
      </c>
      <c r="N6" s="128">
        <f>MAX(0,M6-M5)</f>
        <v/>
      </c>
      <c r="O6" s="127">
        <f>IF(B6&lt;='VALOR POR PL'!$P$5,'CP RESUMO'!E65,"")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HISTORICOS'!F23)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PL'!L29</f>
        <v/>
      </c>
      <c r="M7" s="127">
        <f>'CP RESUMO'!F23</f>
        <v/>
      </c>
      <c r="N7" s="128">
        <f>MAX(0,M7-M6)</f>
        <v/>
      </c>
      <c r="O7" s="127">
        <f>IF(B7&lt;='VALOR POR PL'!$P$5,'CP RESUMO'!F65,"")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HISTORICOS'!G23)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RESUMO'!G23</f>
        <v/>
      </c>
      <c r="N8" s="128">
        <f>MAX(0,M8-M7)</f>
        <v/>
      </c>
      <c r="O8" s="127">
        <f>IF(B8&lt;='VALOR POR PL'!$P$5,'CP RESUMO'!G65,"")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HISTORICOS'!H23)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RESUMO'!H23</f>
        <v/>
      </c>
      <c r="N9" s="128">
        <f>MAX(0,M9-M8)</f>
        <v/>
      </c>
      <c r="O9" s="127">
        <f>IF(B9&lt;='VALOR POR PL'!$P$5,'CP RESUMO'!H65,"")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HISTORICOS'!I23)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RESUMO'!I23</f>
        <v/>
      </c>
      <c r="N10" s="128">
        <f>MAX(0,M10-M9)</f>
        <v/>
      </c>
      <c r="O10" s="127">
        <f>IF(B10&lt;='VALOR POR PL'!$P$5,'CP RESUMO'!I65,"")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HISTORICOS'!J23)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RESUMO'!J23</f>
        <v/>
      </c>
      <c r="N11" s="128">
        <f>MAX(0,M11-M10)</f>
        <v/>
      </c>
      <c r="O11" s="127">
        <f>IF(B11&lt;='VALOR POR PL'!$P$5,'CP RESUMO'!J65,"")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HISTORICOS'!K23)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RESUMO'!K23</f>
        <v/>
      </c>
      <c r="N12" s="128">
        <f>MAX(0,M12-M11)</f>
        <v/>
      </c>
      <c r="O12" s="127">
        <f>IF(B12&lt;='VALOR POR PL'!$P$5,'CP RESUMO'!K65,"")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HISTORICOS'!L23)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PL'!I29</f>
        <v/>
      </c>
      <c r="M13" s="127">
        <f>'CP RESUMO'!L23</f>
        <v/>
      </c>
      <c r="N13" s="128">
        <f>MAX(0,M13-M12)</f>
        <v/>
      </c>
      <c r="O13" s="127">
        <f>IF(B13&lt;='VALOR POR PL'!$P$5,'CP RESUMO'!L65,"")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HISTORICOS'!M23)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RESUMO'!$D$65:$BW$65,MATCH('VALOR POR PL'!$P$5,'CP RESUMO'!$D$4:$BW$4,0))/100,0)</f>
        <v/>
      </c>
      <c r="M14" s="127">
        <f>'CP RESUMO'!M23</f>
        <v/>
      </c>
      <c r="N14" s="128">
        <f>MAX(0,M14-M13)</f>
        <v/>
      </c>
      <c r="O14" s="127">
        <f>IF(B14&lt;='VALOR POR PL'!$P$5,'CP RESUMO'!M65,"")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HISTORICOS'!N23)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RESUMO'!N23</f>
        <v/>
      </c>
      <c r="N15" s="128">
        <f>MAX(0,M15-M14)</f>
        <v/>
      </c>
      <c r="O15" s="127">
        <f>IF(B15&lt;='VALOR POR PL'!$P$5,'CP RESUMO'!N65,"")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HISTORICOS'!O23)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RESUMO'!O23</f>
        <v/>
      </c>
      <c r="N16" s="128">
        <f>MAX(0,M16-M15)</f>
        <v/>
      </c>
      <c r="O16" s="127">
        <f>IF(B16&lt;='VALOR POR PL'!$P$5,'CP RESUMO'!O65,"")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HISTORICOS'!P23)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RESUMO'!P23</f>
        <v/>
      </c>
      <c r="N17" s="128">
        <f>MAX(0,M17-M16)</f>
        <v/>
      </c>
      <c r="O17" s="127">
        <f>IF(B17&lt;='VALOR POR PL'!$P$5,'CP RESUMO'!P65,"")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HISTORICOS'!Q23)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RESUMO'!Q23</f>
        <v/>
      </c>
      <c r="N18" s="128">
        <f>MAX(0,M18-M17)</f>
        <v/>
      </c>
      <c r="O18" s="127">
        <f>IF(B18&lt;='VALOR POR PL'!$P$5,'CP RESUMO'!Q65,"")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HISTORICOS'!R23)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RESUMO'!R23</f>
        <v/>
      </c>
      <c r="N19" s="128">
        <f>MAX(0,M19-M18)</f>
        <v/>
      </c>
      <c r="O19" s="127">
        <f>IF(B19&lt;='VALOR POR PL'!$P$5,'CP RESUMO'!R65,"")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HISTORICOS'!S23)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RESUMO'!S23</f>
        <v/>
      </c>
      <c r="N20" s="128">
        <f>MAX(0,M20-M19)</f>
        <v/>
      </c>
      <c r="O20" s="127">
        <f>IF(B20&lt;='VALOR POR PL'!$P$5,'CP RESUMO'!S65,"")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HISTORICOS'!T23)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RESUMO'!T23</f>
        <v/>
      </c>
      <c r="N21" s="128">
        <f>MAX(0,M21-M20)</f>
        <v/>
      </c>
      <c r="O21" s="127">
        <f>IF(B21&lt;='VALOR POR PL'!$P$5,'CP RESUMO'!T65,"")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HISTORICOS'!U23)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RESUMO'!U23</f>
        <v/>
      </c>
      <c r="N22" s="128">
        <f>MAX(0,M22-M21)</f>
        <v/>
      </c>
      <c r="O22" s="127">
        <f>IF(B22&lt;='VALOR POR PL'!$P$5,'CP RESUMO'!U65,"")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HISTORICOS'!V23)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RESUMO'!V23</f>
        <v/>
      </c>
      <c r="N23" s="128">
        <f>MAX(0,M23-M22)</f>
        <v/>
      </c>
      <c r="O23" s="127">
        <f>IF(B23&lt;='VALOR POR PL'!$P$5,'CP RESUMO'!V65,"")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HISTORICOS'!W23)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RESUMO'!W23</f>
        <v/>
      </c>
      <c r="N24" s="128">
        <f>MAX(0,M24-M23)</f>
        <v/>
      </c>
      <c r="O24" s="127">
        <f>IF(B24&lt;='VALOR POR PL'!$P$5,'CP RESUMO'!W65,"")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HISTORICOS'!X23)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RESUMO'!X23</f>
        <v/>
      </c>
      <c r="N25" s="128">
        <f>MAX(0,M25-M24)</f>
        <v/>
      </c>
      <c r="O25" s="127">
        <f>IF(B25&lt;='VALOR POR PL'!$P$5,'CP RESUMO'!X65,"")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HISTORICOS'!Y23)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RESUMO'!Y23</f>
        <v/>
      </c>
      <c r="N26" s="128">
        <f>MAX(0,M26-M25)</f>
        <v/>
      </c>
      <c r="O26" s="127">
        <f>IF(B26&lt;='VALOR POR PL'!$P$5,'CP RESUMO'!Y65,"")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HISTORICOS'!Z23)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RESUMO'!Z23</f>
        <v/>
      </c>
      <c r="N27" s="128">
        <f>MAX(0,M27-M26)</f>
        <v/>
      </c>
      <c r="O27" s="127">
        <f>IF(B27&lt;='VALOR POR PL'!$P$5,'CP RESUMO'!Z65,"")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HISTORICOS'!AA23)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RESUMO'!AA23</f>
        <v/>
      </c>
      <c r="N28" s="128">
        <f>MAX(0,M28-M27)</f>
        <v/>
      </c>
      <c r="O28" s="127">
        <f>IF(B28&lt;='VALOR POR PL'!$P$5,'CP RESUMO'!AA65,"")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HISTORICOS'!AB23)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RESUMO'!AB23</f>
        <v/>
      </c>
      <c r="N29" s="128">
        <f>MAX(0,M29-M28)</f>
        <v/>
      </c>
      <c r="O29" s="127">
        <f>IF(B29&lt;='VALOR POR PL'!$P$5,'CP RESUMO'!AB65,"")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HISTORICOS'!AC23)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RESUMO'!AC23</f>
        <v/>
      </c>
      <c r="N30" s="128">
        <f>MAX(0,M30-M29)</f>
        <v/>
      </c>
      <c r="O30" s="127">
        <f>IF(B30&lt;='VALOR POR PL'!$P$5,'CP RESUMO'!AC65,"")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HISTORICOS'!AD23)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RESUMO'!AD23</f>
        <v/>
      </c>
      <c r="N31" s="128">
        <f>MAX(0,M31-M30)</f>
        <v/>
      </c>
      <c r="O31" s="127">
        <f>IF(B31&lt;='VALOR POR PL'!$P$5,'CP RESUMO'!AD65,"")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HISTORICOS'!AE23)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RESUMO'!AE23</f>
        <v/>
      </c>
      <c r="N32" s="128">
        <f>MAX(0,M32-M31)</f>
        <v/>
      </c>
      <c r="O32" s="127">
        <f>IF(B32&lt;='VALOR POR PL'!$P$5,'CP RESUMO'!AE65,"")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HISTORICOS'!AF23)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RESUMO'!AF23</f>
        <v/>
      </c>
      <c r="N33" s="128">
        <f>MAX(0,M33-M32)</f>
        <v/>
      </c>
      <c r="O33" s="127">
        <f>IF(B33&lt;='VALOR POR PL'!$P$5,'CP RESUMO'!AF65,"")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HISTORICOS'!AG23)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RESUMO'!AG23</f>
        <v/>
      </c>
      <c r="N34" s="128">
        <f>MAX(0,M34-M33)</f>
        <v/>
      </c>
      <c r="O34" s="127">
        <f>IF(B34&lt;='VALOR POR PL'!$P$5,'CP RESUMO'!AG65,"")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HISTORICOS'!AH23)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RESUMO'!AH23</f>
        <v/>
      </c>
      <c r="N35" s="128">
        <f>MAX(0,M35-M34)</f>
        <v/>
      </c>
      <c r="O35" s="127">
        <f>IF(B35&lt;='VALOR POR PL'!$P$5,'CP RESUMO'!AH65,"")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HISTORICOS'!AI23)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RESUMO'!AI23</f>
        <v/>
      </c>
      <c r="N36" s="128">
        <f>MAX(0,M36-M35)</f>
        <v/>
      </c>
      <c r="O36" s="127">
        <f>IF(B36&lt;='VALOR POR PL'!$P$5,'CP RESUMO'!AI65,"")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HISTORICOS'!AJ23)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RESUMO'!AJ23</f>
        <v/>
      </c>
      <c r="N37" s="128">
        <f>MAX(0,M37-M36)</f>
        <v/>
      </c>
      <c r="O37" s="127">
        <f>IF(B37&lt;='VALOR POR PL'!$P$5,'CP RESUMO'!AJ65,"")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HISTORICOS'!AK23)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RESUMO'!AK23</f>
        <v/>
      </c>
      <c r="N38" s="128">
        <f>MAX(0,M38-M37)</f>
        <v/>
      </c>
      <c r="O38" s="127">
        <f>IF(B38&lt;='VALOR POR PL'!$P$5,'CP RESUMO'!AK65,"")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HISTORICOS'!AL23)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RESUMO'!AL23</f>
        <v/>
      </c>
      <c r="N39" s="128">
        <f>MAX(0,M39-M38)</f>
        <v/>
      </c>
      <c r="O39" s="127">
        <f>IF(B39&lt;='VALOR POR PL'!$P$5,'CP RESUMO'!AL65,"")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HISTORICOS'!AM23)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RESUMO'!AM23</f>
        <v/>
      </c>
      <c r="N40" s="128">
        <f>MAX(0,M40-M39)</f>
        <v/>
      </c>
      <c r="O40" s="127">
        <f>IF(B40&lt;='VALOR POR PL'!$P$5,'CP RESUMO'!AM65,"")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HISTORICOS'!AN23)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RESUMO'!AN23</f>
        <v/>
      </c>
      <c r="N41" s="128">
        <f>MAX(0,M41-M40)</f>
        <v/>
      </c>
      <c r="O41" s="127">
        <f>IF(B41&lt;='VALOR POR PL'!$P$5,'CP RESUMO'!AN65,"")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HISTORICOS'!AO23)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RESUMO'!AO23</f>
        <v/>
      </c>
      <c r="N42" s="128">
        <f>MAX(0,M42-M41)</f>
        <v/>
      </c>
      <c r="O42" s="127">
        <f>IF(B42&lt;='VALOR POR PL'!$P$5,'CP RESUMO'!AO65,"")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HISTORICOS'!AP23)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RESUMO'!AP23</f>
        <v/>
      </c>
      <c r="N43" s="128">
        <f>MAX(0,M43-M42)</f>
        <v/>
      </c>
      <c r="O43" s="127">
        <f>IF(B43&lt;='VALOR POR PL'!$P$5,'CP RESUMO'!AP65,"")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HISTORICOS'!AQ23)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RESUMO'!AQ23</f>
        <v/>
      </c>
      <c r="N44" s="128">
        <f>MAX(0,M44-M43)</f>
        <v/>
      </c>
      <c r="O44" s="127">
        <f>IF(B44&lt;='VALOR POR PL'!$P$5,'CP RESUMO'!AQ65,"")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HISTORICOS'!AR23)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RESUMO'!AR23</f>
        <v/>
      </c>
      <c r="N45" s="128">
        <f>MAX(0,M45-M44)</f>
        <v/>
      </c>
      <c r="O45" s="127">
        <f>IF(B45&lt;='VALOR POR PL'!$P$5,'CP RESUMO'!AR65,"")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HISTORICOS'!AS23)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RESUMO'!AS23</f>
        <v/>
      </c>
      <c r="N46" s="128">
        <f>MAX(0,M46-M45)</f>
        <v/>
      </c>
      <c r="O46" s="127">
        <f>IF(B46&lt;='VALOR POR PL'!$P$5,'CP RESUMO'!AS65,"")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HISTORICOS'!AT23)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RESUMO'!AT23</f>
        <v/>
      </c>
      <c r="N47" s="128">
        <f>MAX(0,M47-M46)</f>
        <v/>
      </c>
      <c r="O47" s="127">
        <f>IF(B47&lt;='VALOR POR PL'!$P$5,'CP RESUMO'!AT65,"")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HISTORICOS'!AU23)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RESUMO'!AU23</f>
        <v/>
      </c>
      <c r="N48" s="128">
        <f>MAX(0,M48-M47)</f>
        <v/>
      </c>
      <c r="O48" s="127">
        <f>IF(B48&lt;='VALOR POR PL'!$P$5,'CP RESUMO'!AU65,"")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HISTORICOS'!AV23)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RESUMO'!AV23</f>
        <v/>
      </c>
      <c r="N49" s="128">
        <f>MAX(0,M49-M48)</f>
        <v/>
      </c>
      <c r="O49" s="127">
        <f>IF(B49&lt;='VALOR POR PL'!$P$5,'CP RESUMO'!AV65,"")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HISTORICOS'!AW23)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RESUMO'!AW23</f>
        <v/>
      </c>
      <c r="N50" s="128">
        <f>MAX(0,M50-M49)</f>
        <v/>
      </c>
      <c r="O50" s="127">
        <f>IF(B50&lt;='VALOR POR PL'!$P$5,'CP RESUMO'!AW65,"")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HISTORICOS'!AX23)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RESUMO'!AX23</f>
        <v/>
      </c>
      <c r="N51" s="128">
        <f>MAX(0,M51-M50)</f>
        <v/>
      </c>
      <c r="O51" s="127">
        <f>IF(B51&lt;='VALOR POR PL'!$P$5,'CP RESUMO'!AX65,"")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HISTORICOS'!AY23)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RESUMO'!AY23</f>
        <v/>
      </c>
      <c r="N52" s="128">
        <f>MAX(0,M52-M51)</f>
        <v/>
      </c>
      <c r="O52" s="127">
        <f>IF(B52&lt;='VALOR POR PL'!$P$5,'CP RESUMO'!AY65,"")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HISTORICOS'!AZ23)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RESUMO'!AZ23</f>
        <v/>
      </c>
      <c r="N53" s="128">
        <f>MAX(0,M53-M52)</f>
        <v/>
      </c>
      <c r="O53" s="127">
        <f>IF(B53&lt;='VALOR POR PL'!$P$5,'CP RESUMO'!AZ65,"")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HISTORICOS'!BA23)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RESUMO'!BA23</f>
        <v/>
      </c>
      <c r="N54" s="128">
        <f>MAX(0,M54-M53)</f>
        <v/>
      </c>
      <c r="O54" s="127">
        <f>IF(B54&lt;='VALOR POR PL'!$P$5,'CP RESUMO'!BA65,"")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HISTORICOS'!BB23)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RESUMO'!BB23</f>
        <v/>
      </c>
      <c r="N55" s="128">
        <f>MAX(0,M55-M54)</f>
        <v/>
      </c>
      <c r="O55" s="127">
        <f>IF(B55&lt;='VALOR POR PL'!$P$5,'CP RESUMO'!BB65,"")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HISTORICOS'!BC23)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RESUMO'!BC23</f>
        <v/>
      </c>
      <c r="N56" s="128">
        <f>MAX(0,M56-M55)</f>
        <v/>
      </c>
      <c r="O56" s="127">
        <f>IF(B56&lt;='VALOR POR PL'!$P$5,'CP RESUMO'!BC65,"")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HISTORICOS'!BD23)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RESUMO'!BD23</f>
        <v/>
      </c>
      <c r="N57" s="128">
        <f>MAX(0,M57-M56)</f>
        <v/>
      </c>
      <c r="O57" s="127">
        <f>IF(B57&lt;='VALOR POR PL'!$P$5,'CP RESUMO'!BD65,"")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HISTORICOS'!BE23)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RESUMO'!BE23</f>
        <v/>
      </c>
      <c r="N58" s="128">
        <f>MAX(0,M58-M57)</f>
        <v/>
      </c>
      <c r="O58" s="127">
        <f>IF(B58&lt;='VALOR POR PL'!$P$5,'CP RESUMO'!BE65,"")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HISTORICOS'!BF23)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RESUMO'!BF23</f>
        <v/>
      </c>
      <c r="N59" s="128">
        <f>MAX(0,M59-M58)</f>
        <v/>
      </c>
      <c r="O59" s="127">
        <f>IF(B59&lt;='VALOR POR PL'!$P$5,'CP RESUMO'!BF65,"")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HISTORICOS'!BG23)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RESUMO'!BG23</f>
        <v/>
      </c>
      <c r="N60" s="128">
        <f>MAX(0,M60-M59)</f>
        <v/>
      </c>
      <c r="O60" s="127">
        <f>IF(B60&lt;='VALOR POR PL'!$P$5,'CP RESUMO'!BG65,"")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HISTORICOS'!BH23)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RESUMO'!BH23</f>
        <v/>
      </c>
      <c r="N61" s="128">
        <f>MAX(0,M61-M60)</f>
        <v/>
      </c>
      <c r="O61" s="127">
        <f>IF(B61&lt;='VALOR POR PL'!$P$5,'CP RESUMO'!BH65,"")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HISTORICOS'!BI23)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RESUMO'!BI23</f>
        <v/>
      </c>
      <c r="N62" s="128">
        <f>MAX(0,M62-M61)</f>
        <v/>
      </c>
      <c r="O62" s="127">
        <f>IF(B62&lt;='VALOR POR PL'!$P$5,'CP RESUMO'!BI65,"")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HISTORICOS'!BJ23)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RESUMO'!BJ23</f>
        <v/>
      </c>
      <c r="N63" s="128">
        <f>MAX(0,M63-M62)</f>
        <v/>
      </c>
      <c r="O63" s="127">
        <f>IF(B63&lt;='VALOR POR PL'!$P$5,'CP RESUMO'!BJ65,"")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HISTORICOS'!BK23)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RESUMO'!BK23</f>
        <v/>
      </c>
      <c r="N64" s="128">
        <f>MAX(0,M64-M63)</f>
        <v/>
      </c>
      <c r="O64" s="127">
        <f>IF(B64&lt;='VALOR POR PL'!$P$5,'CP RESUMO'!BK65,"")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HISTORICOS'!BL23)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RESUMO'!BL23</f>
        <v/>
      </c>
      <c r="N65" s="128">
        <f>MAX(0,M65-M64)</f>
        <v/>
      </c>
      <c r="O65" s="127">
        <f>IF(B65&lt;='VALOR POR PL'!$P$5,'CP RESUMO'!BL65,"")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HISTORICOS'!BM23)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RESUMO'!BM23</f>
        <v/>
      </c>
      <c r="N66" s="128">
        <f>MAX(0,M66-M65)</f>
        <v/>
      </c>
      <c r="O66" s="127">
        <f>IF(B66&lt;='VALOR POR PL'!$P$5,'CP RESUMO'!BM65,"")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HISTORICOS'!BN23)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RESUMO'!BN23</f>
        <v/>
      </c>
      <c r="N67" s="128">
        <f>MAX(0,M67-M66)</f>
        <v/>
      </c>
      <c r="O67" s="127">
        <f>IF(B67&lt;='VALOR POR PL'!$P$5,'CP RESUMO'!BN65,"")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HISTORICOS'!BO23)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RESUMO'!BO23</f>
        <v/>
      </c>
      <c r="N68" s="128">
        <f>MAX(0,M68-M67)</f>
        <v/>
      </c>
      <c r="O68" s="127">
        <f>IF(B68&lt;='VALOR POR PL'!$P$5,'CP RESUMO'!BO65,"")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HISTORICOS'!BP23)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RESUMO'!BP23</f>
        <v/>
      </c>
      <c r="N69" s="128">
        <f>MAX(0,M69-M68)</f>
        <v/>
      </c>
      <c r="O69" s="127">
        <f>IF(B69&lt;='VALOR POR PL'!$P$5,'CP RESUMO'!BP65,"")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HISTORICOS'!BQ23)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RESUMO'!BQ23</f>
        <v/>
      </c>
      <c r="N70" s="128">
        <f>MAX(0,M70-M69)</f>
        <v/>
      </c>
      <c r="O70" s="127">
        <f>IF(B70&lt;='VALOR POR PL'!$P$5,'CP RESUMO'!BQ65,"")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HISTORICOS'!BR23)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RESUMO'!BR23</f>
        <v/>
      </c>
      <c r="N71" s="128">
        <f>MAX(0,M71-M70)</f>
        <v/>
      </c>
      <c r="O71" s="127">
        <f>IF(B71&lt;='VALOR POR PL'!$P$5,'CP RESUMO'!BR65,"")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HISTORICOS'!BS23)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RESUMO'!BS23</f>
        <v/>
      </c>
      <c r="N72" s="128">
        <f>MAX(0,M72-M71)</f>
        <v/>
      </c>
      <c r="O72" s="127">
        <f>IF(B72&lt;='VALOR POR PL'!$P$5,'CP RESUMO'!BS65,"")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HISTORICOS'!BT23)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RESUMO'!BT23</f>
        <v/>
      </c>
      <c r="N73" s="128">
        <f>MAX(0,M73-M72)</f>
        <v/>
      </c>
      <c r="O73" s="127">
        <f>IF(B73&lt;='VALOR POR PL'!$P$5,'CP RESUMO'!BT65,"")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HISTORICOS'!BU23)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RESUMO'!BU23</f>
        <v/>
      </c>
      <c r="N74" s="128">
        <f>MAX(0,M74-M73)</f>
        <v/>
      </c>
      <c r="O74" s="127">
        <f>IF(B74&lt;='VALOR POR PL'!$P$5,'CP RESUMO'!BU65,"")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HISTORICOS'!BV23)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RESUMO'!BV23</f>
        <v/>
      </c>
      <c r="N75" s="128">
        <f>MAX(0,M75-M74)</f>
        <v/>
      </c>
      <c r="O75" s="127">
        <f>IF(B75&lt;='VALOR POR PL'!$P$5,'CP RESUMO'!BV65,"")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HISTORICOS'!BW23)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RESUMO'!BW23</f>
        <v/>
      </c>
      <c r="N76" s="128">
        <f>MAX(0,M76-M75)</f>
        <v/>
      </c>
      <c r="O76" s="127">
        <f>IF(B76&lt;='VALOR POR PL'!$P$5,'CP RESUMO'!BW65,"")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PL'!D30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HISTORICOS'!D24)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PL'!F30</f>
        <v/>
      </c>
      <c r="K5" s="63">
        <f>'VALOR POR PL'!G30</f>
        <v/>
      </c>
      <c r="M5" s="127">
        <f>'CP RESUMO'!D24</f>
        <v/>
      </c>
      <c r="N5" s="128" t="n">
        <v>0</v>
      </c>
      <c r="O5" s="127">
        <f>IF(B5&lt;='VALOR POR PL'!$P$5,'CP RESUMO'!D66,"")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HISTORICOS'!E24)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RESUMO'!E24</f>
        <v/>
      </c>
      <c r="N6" s="128">
        <f>MAX(0,M6-M5)</f>
        <v/>
      </c>
      <c r="O6" s="127">
        <f>IF(B6&lt;='VALOR POR PL'!$P$5,'CP RESUMO'!E66,"")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HISTORICOS'!F24)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PL'!L30</f>
        <v/>
      </c>
      <c r="M7" s="127">
        <f>'CP RESUMO'!F24</f>
        <v/>
      </c>
      <c r="N7" s="128">
        <f>MAX(0,M7-M6)</f>
        <v/>
      </c>
      <c r="O7" s="127">
        <f>IF(B7&lt;='VALOR POR PL'!$P$5,'CP RESUMO'!F66,"")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HISTORICOS'!G24)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RESUMO'!G24</f>
        <v/>
      </c>
      <c r="N8" s="128">
        <f>MAX(0,M8-M7)</f>
        <v/>
      </c>
      <c r="O8" s="127">
        <f>IF(B8&lt;='VALOR POR PL'!$P$5,'CP RESUMO'!G66,"")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HISTORICOS'!H24)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RESUMO'!H24</f>
        <v/>
      </c>
      <c r="N9" s="128">
        <f>MAX(0,M9-M8)</f>
        <v/>
      </c>
      <c r="O9" s="127">
        <f>IF(B9&lt;='VALOR POR PL'!$P$5,'CP RESUMO'!H66,"")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HISTORICOS'!I24)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RESUMO'!I24</f>
        <v/>
      </c>
      <c r="N10" s="128">
        <f>MAX(0,M10-M9)</f>
        <v/>
      </c>
      <c r="O10" s="127">
        <f>IF(B10&lt;='VALOR POR PL'!$P$5,'CP RESUMO'!I66,"")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HISTORICOS'!J24)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RESUMO'!J24</f>
        <v/>
      </c>
      <c r="N11" s="128">
        <f>MAX(0,M11-M10)</f>
        <v/>
      </c>
      <c r="O11" s="127">
        <f>IF(B11&lt;='VALOR POR PL'!$P$5,'CP RESUMO'!J66,"")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HISTORICOS'!K24)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RESUMO'!K24</f>
        <v/>
      </c>
      <c r="N12" s="128">
        <f>MAX(0,M12-M11)</f>
        <v/>
      </c>
      <c r="O12" s="127">
        <f>IF(B12&lt;='VALOR POR PL'!$P$5,'CP RESUMO'!K66,"")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HISTORICOS'!L24)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PL'!I30</f>
        <v/>
      </c>
      <c r="M13" s="127">
        <f>'CP RESUMO'!L24</f>
        <v/>
      </c>
      <c r="N13" s="128">
        <f>MAX(0,M13-M12)</f>
        <v/>
      </c>
      <c r="O13" s="127">
        <f>IF(B13&lt;='VALOR POR PL'!$P$5,'CP RESUMO'!L66,"")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HISTORICOS'!M24)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RESUMO'!$D$66:$BW$66,MATCH('VALOR POR PL'!$P$5,'CP RESUMO'!$D$4:$BW$4,0))/100,0)</f>
        <v/>
      </c>
      <c r="M14" s="127">
        <f>'CP RESUMO'!M24</f>
        <v/>
      </c>
      <c r="N14" s="128">
        <f>MAX(0,M14-M13)</f>
        <v/>
      </c>
      <c r="O14" s="127">
        <f>IF(B14&lt;='VALOR POR PL'!$P$5,'CP RESUMO'!M66,"")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HISTORICOS'!N24)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RESUMO'!N24</f>
        <v/>
      </c>
      <c r="N15" s="128">
        <f>MAX(0,M15-M14)</f>
        <v/>
      </c>
      <c r="O15" s="127">
        <f>IF(B15&lt;='VALOR POR PL'!$P$5,'CP RESUMO'!N66,"")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HISTORICOS'!O24)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RESUMO'!O24</f>
        <v/>
      </c>
      <c r="N16" s="128">
        <f>MAX(0,M16-M15)</f>
        <v/>
      </c>
      <c r="O16" s="127">
        <f>IF(B16&lt;='VALOR POR PL'!$P$5,'CP RESUMO'!O66,"")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HISTORICOS'!P24)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RESUMO'!P24</f>
        <v/>
      </c>
      <c r="N17" s="128">
        <f>MAX(0,M17-M16)</f>
        <v/>
      </c>
      <c r="O17" s="127">
        <f>IF(B17&lt;='VALOR POR PL'!$P$5,'CP RESUMO'!P66,"")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HISTORICOS'!Q24)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RESUMO'!Q24</f>
        <v/>
      </c>
      <c r="N18" s="128">
        <f>MAX(0,M18-M17)</f>
        <v/>
      </c>
      <c r="O18" s="127">
        <f>IF(B18&lt;='VALOR POR PL'!$P$5,'CP RESUMO'!Q66,"")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HISTORICOS'!R24)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RESUMO'!R24</f>
        <v/>
      </c>
      <c r="N19" s="128">
        <f>MAX(0,M19-M18)</f>
        <v/>
      </c>
      <c r="O19" s="127">
        <f>IF(B19&lt;='VALOR POR PL'!$P$5,'CP RESUMO'!R66,"")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HISTORICOS'!S24)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RESUMO'!S24</f>
        <v/>
      </c>
      <c r="N20" s="128">
        <f>MAX(0,M20-M19)</f>
        <v/>
      </c>
      <c r="O20" s="127">
        <f>IF(B20&lt;='VALOR POR PL'!$P$5,'CP RESUMO'!S66,"")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HISTORICOS'!T24)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RESUMO'!T24</f>
        <v/>
      </c>
      <c r="N21" s="128">
        <f>MAX(0,M21-M20)</f>
        <v/>
      </c>
      <c r="O21" s="127">
        <f>IF(B21&lt;='VALOR POR PL'!$P$5,'CP RESUMO'!T66,"")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HISTORICOS'!U24)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RESUMO'!U24</f>
        <v/>
      </c>
      <c r="N22" s="128">
        <f>MAX(0,M22-M21)</f>
        <v/>
      </c>
      <c r="O22" s="127">
        <f>IF(B22&lt;='VALOR POR PL'!$P$5,'CP RESUMO'!U66,"")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HISTORICOS'!V24)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RESUMO'!V24</f>
        <v/>
      </c>
      <c r="N23" s="128">
        <f>MAX(0,M23-M22)</f>
        <v/>
      </c>
      <c r="O23" s="127">
        <f>IF(B23&lt;='VALOR POR PL'!$P$5,'CP RESUMO'!V66,"")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HISTORICOS'!W24)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RESUMO'!W24</f>
        <v/>
      </c>
      <c r="N24" s="128">
        <f>MAX(0,M24-M23)</f>
        <v/>
      </c>
      <c r="O24" s="127">
        <f>IF(B24&lt;='VALOR POR PL'!$P$5,'CP RESUMO'!W66,"")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HISTORICOS'!X24)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RESUMO'!X24</f>
        <v/>
      </c>
      <c r="N25" s="128">
        <f>MAX(0,M25-M24)</f>
        <v/>
      </c>
      <c r="O25" s="127">
        <f>IF(B25&lt;='VALOR POR PL'!$P$5,'CP RESUMO'!X66,"")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HISTORICOS'!Y24)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RESUMO'!Y24</f>
        <v/>
      </c>
      <c r="N26" s="128">
        <f>MAX(0,M26-M25)</f>
        <v/>
      </c>
      <c r="O26" s="127">
        <f>IF(B26&lt;='VALOR POR PL'!$P$5,'CP RESUMO'!Y66,"")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HISTORICOS'!Z24)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RESUMO'!Z24</f>
        <v/>
      </c>
      <c r="N27" s="128">
        <f>MAX(0,M27-M26)</f>
        <v/>
      </c>
      <c r="O27" s="127">
        <f>IF(B27&lt;='VALOR POR PL'!$P$5,'CP RESUMO'!Z66,"")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HISTORICOS'!AA24)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RESUMO'!AA24</f>
        <v/>
      </c>
      <c r="N28" s="128">
        <f>MAX(0,M28-M27)</f>
        <v/>
      </c>
      <c r="O28" s="127">
        <f>IF(B28&lt;='VALOR POR PL'!$P$5,'CP RESUMO'!AA66,"")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HISTORICOS'!AB24)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RESUMO'!AB24</f>
        <v/>
      </c>
      <c r="N29" s="128">
        <f>MAX(0,M29-M28)</f>
        <v/>
      </c>
      <c r="O29" s="127">
        <f>IF(B29&lt;='VALOR POR PL'!$P$5,'CP RESUMO'!AB66,"")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HISTORICOS'!AC24)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RESUMO'!AC24</f>
        <v/>
      </c>
      <c r="N30" s="128">
        <f>MAX(0,M30-M29)</f>
        <v/>
      </c>
      <c r="O30" s="127">
        <f>IF(B30&lt;='VALOR POR PL'!$P$5,'CP RESUMO'!AC66,"")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HISTORICOS'!AD24)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RESUMO'!AD24</f>
        <v/>
      </c>
      <c r="N31" s="128">
        <f>MAX(0,M31-M30)</f>
        <v/>
      </c>
      <c r="O31" s="127">
        <f>IF(B31&lt;='VALOR POR PL'!$P$5,'CP RESUMO'!AD66,"")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HISTORICOS'!AE24)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RESUMO'!AE24</f>
        <v/>
      </c>
      <c r="N32" s="128">
        <f>MAX(0,M32-M31)</f>
        <v/>
      </c>
      <c r="O32" s="127">
        <f>IF(B32&lt;='VALOR POR PL'!$P$5,'CP RESUMO'!AE66,"")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HISTORICOS'!AF24)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RESUMO'!AF24</f>
        <v/>
      </c>
      <c r="N33" s="128">
        <f>MAX(0,M33-M32)</f>
        <v/>
      </c>
      <c r="O33" s="127">
        <f>IF(B33&lt;='VALOR POR PL'!$P$5,'CP RESUMO'!AF66,"")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HISTORICOS'!AG24)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RESUMO'!AG24</f>
        <v/>
      </c>
      <c r="N34" s="128">
        <f>MAX(0,M34-M33)</f>
        <v/>
      </c>
      <c r="O34" s="127">
        <f>IF(B34&lt;='VALOR POR PL'!$P$5,'CP RESUMO'!AG66,"")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HISTORICOS'!AH24)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RESUMO'!AH24</f>
        <v/>
      </c>
      <c r="N35" s="128">
        <f>MAX(0,M35-M34)</f>
        <v/>
      </c>
      <c r="O35" s="127">
        <f>IF(B35&lt;='VALOR POR PL'!$P$5,'CP RESUMO'!AH66,"")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HISTORICOS'!AI24)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RESUMO'!AI24</f>
        <v/>
      </c>
      <c r="N36" s="128">
        <f>MAX(0,M36-M35)</f>
        <v/>
      </c>
      <c r="O36" s="127">
        <f>IF(B36&lt;='VALOR POR PL'!$P$5,'CP RESUMO'!AI66,"")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HISTORICOS'!AJ24)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RESUMO'!AJ24</f>
        <v/>
      </c>
      <c r="N37" s="128">
        <f>MAX(0,M37-M36)</f>
        <v/>
      </c>
      <c r="O37" s="127">
        <f>IF(B37&lt;='VALOR POR PL'!$P$5,'CP RESUMO'!AJ66,"")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HISTORICOS'!AK24)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RESUMO'!AK24</f>
        <v/>
      </c>
      <c r="N38" s="128">
        <f>MAX(0,M38-M37)</f>
        <v/>
      </c>
      <c r="O38" s="127">
        <f>IF(B38&lt;='VALOR POR PL'!$P$5,'CP RESUMO'!AK66,"")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HISTORICOS'!AL24)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RESUMO'!AL24</f>
        <v/>
      </c>
      <c r="N39" s="128">
        <f>MAX(0,M39-M38)</f>
        <v/>
      </c>
      <c r="O39" s="127">
        <f>IF(B39&lt;='VALOR POR PL'!$P$5,'CP RESUMO'!AL66,"")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HISTORICOS'!AM24)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RESUMO'!AM24</f>
        <v/>
      </c>
      <c r="N40" s="128">
        <f>MAX(0,M40-M39)</f>
        <v/>
      </c>
      <c r="O40" s="127">
        <f>IF(B40&lt;='VALOR POR PL'!$P$5,'CP RESUMO'!AM66,"")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HISTORICOS'!AN24)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RESUMO'!AN24</f>
        <v/>
      </c>
      <c r="N41" s="128">
        <f>MAX(0,M41-M40)</f>
        <v/>
      </c>
      <c r="O41" s="127">
        <f>IF(B41&lt;='VALOR POR PL'!$P$5,'CP RESUMO'!AN66,"")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HISTORICOS'!AO24)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RESUMO'!AO24</f>
        <v/>
      </c>
      <c r="N42" s="128">
        <f>MAX(0,M42-M41)</f>
        <v/>
      </c>
      <c r="O42" s="127">
        <f>IF(B42&lt;='VALOR POR PL'!$P$5,'CP RESUMO'!AO66,"")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HISTORICOS'!AP24)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RESUMO'!AP24</f>
        <v/>
      </c>
      <c r="N43" s="128">
        <f>MAX(0,M43-M42)</f>
        <v/>
      </c>
      <c r="O43" s="127">
        <f>IF(B43&lt;='VALOR POR PL'!$P$5,'CP RESUMO'!AP66,"")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HISTORICOS'!AQ24)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RESUMO'!AQ24</f>
        <v/>
      </c>
      <c r="N44" s="128">
        <f>MAX(0,M44-M43)</f>
        <v/>
      </c>
      <c r="O44" s="127">
        <f>IF(B44&lt;='VALOR POR PL'!$P$5,'CP RESUMO'!AQ66,"")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HISTORICOS'!AR24)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RESUMO'!AR24</f>
        <v/>
      </c>
      <c r="N45" s="128">
        <f>MAX(0,M45-M44)</f>
        <v/>
      </c>
      <c r="O45" s="127">
        <f>IF(B45&lt;='VALOR POR PL'!$P$5,'CP RESUMO'!AR66,"")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HISTORICOS'!AS24)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RESUMO'!AS24</f>
        <v/>
      </c>
      <c r="N46" s="128">
        <f>MAX(0,M46-M45)</f>
        <v/>
      </c>
      <c r="O46" s="127">
        <f>IF(B46&lt;='VALOR POR PL'!$P$5,'CP RESUMO'!AS66,"")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HISTORICOS'!AT24)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RESUMO'!AT24</f>
        <v/>
      </c>
      <c r="N47" s="128">
        <f>MAX(0,M47-M46)</f>
        <v/>
      </c>
      <c r="O47" s="127">
        <f>IF(B47&lt;='VALOR POR PL'!$P$5,'CP RESUMO'!AT66,"")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HISTORICOS'!AU24)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RESUMO'!AU24</f>
        <v/>
      </c>
      <c r="N48" s="128">
        <f>MAX(0,M48-M47)</f>
        <v/>
      </c>
      <c r="O48" s="127">
        <f>IF(B48&lt;='VALOR POR PL'!$P$5,'CP RESUMO'!AU66,"")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HISTORICOS'!AV24)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RESUMO'!AV24</f>
        <v/>
      </c>
      <c r="N49" s="128">
        <f>MAX(0,M49-M48)</f>
        <v/>
      </c>
      <c r="O49" s="127">
        <f>IF(B49&lt;='VALOR POR PL'!$P$5,'CP RESUMO'!AV66,"")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HISTORICOS'!AW24)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RESUMO'!AW24</f>
        <v/>
      </c>
      <c r="N50" s="128">
        <f>MAX(0,M50-M49)</f>
        <v/>
      </c>
      <c r="O50" s="127">
        <f>IF(B50&lt;='VALOR POR PL'!$P$5,'CP RESUMO'!AW66,"")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HISTORICOS'!AX24)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RESUMO'!AX24</f>
        <v/>
      </c>
      <c r="N51" s="128">
        <f>MAX(0,M51-M50)</f>
        <v/>
      </c>
      <c r="O51" s="127">
        <f>IF(B51&lt;='VALOR POR PL'!$P$5,'CP RESUMO'!AX66,"")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HISTORICOS'!AY24)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RESUMO'!AY24</f>
        <v/>
      </c>
      <c r="N52" s="128">
        <f>MAX(0,M52-M51)</f>
        <v/>
      </c>
      <c r="O52" s="127">
        <f>IF(B52&lt;='VALOR POR PL'!$P$5,'CP RESUMO'!AY66,"")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HISTORICOS'!AZ24)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RESUMO'!AZ24</f>
        <v/>
      </c>
      <c r="N53" s="128">
        <f>MAX(0,M53-M52)</f>
        <v/>
      </c>
      <c r="O53" s="127">
        <f>IF(B53&lt;='VALOR POR PL'!$P$5,'CP RESUMO'!AZ66,"")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HISTORICOS'!BA24)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RESUMO'!BA24</f>
        <v/>
      </c>
      <c r="N54" s="128">
        <f>MAX(0,M54-M53)</f>
        <v/>
      </c>
      <c r="O54" s="127">
        <f>IF(B54&lt;='VALOR POR PL'!$P$5,'CP RESUMO'!BA66,"")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HISTORICOS'!BB24)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RESUMO'!BB24</f>
        <v/>
      </c>
      <c r="N55" s="128">
        <f>MAX(0,M55-M54)</f>
        <v/>
      </c>
      <c r="O55" s="127">
        <f>IF(B55&lt;='VALOR POR PL'!$P$5,'CP RESUMO'!BB66,"")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HISTORICOS'!BC24)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RESUMO'!BC24</f>
        <v/>
      </c>
      <c r="N56" s="128">
        <f>MAX(0,M56-M55)</f>
        <v/>
      </c>
      <c r="O56" s="127">
        <f>IF(B56&lt;='VALOR POR PL'!$P$5,'CP RESUMO'!BC66,"")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HISTORICOS'!BD24)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RESUMO'!BD24</f>
        <v/>
      </c>
      <c r="N57" s="128">
        <f>MAX(0,M57-M56)</f>
        <v/>
      </c>
      <c r="O57" s="127">
        <f>IF(B57&lt;='VALOR POR PL'!$P$5,'CP RESUMO'!BD66,"")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HISTORICOS'!BE24)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RESUMO'!BE24</f>
        <v/>
      </c>
      <c r="N58" s="128">
        <f>MAX(0,M58-M57)</f>
        <v/>
      </c>
      <c r="O58" s="127">
        <f>IF(B58&lt;='VALOR POR PL'!$P$5,'CP RESUMO'!BE66,"")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HISTORICOS'!BF24)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RESUMO'!BF24</f>
        <v/>
      </c>
      <c r="N59" s="128">
        <f>MAX(0,M59-M58)</f>
        <v/>
      </c>
      <c r="O59" s="127">
        <f>IF(B59&lt;='VALOR POR PL'!$P$5,'CP RESUMO'!BF66,"")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HISTORICOS'!BG24)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RESUMO'!BG24</f>
        <v/>
      </c>
      <c r="N60" s="128">
        <f>MAX(0,M60-M59)</f>
        <v/>
      </c>
      <c r="O60" s="127">
        <f>IF(B60&lt;='VALOR POR PL'!$P$5,'CP RESUMO'!BG66,"")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HISTORICOS'!BH24)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RESUMO'!BH24</f>
        <v/>
      </c>
      <c r="N61" s="128">
        <f>MAX(0,M61-M60)</f>
        <v/>
      </c>
      <c r="O61" s="127">
        <f>IF(B61&lt;='VALOR POR PL'!$P$5,'CP RESUMO'!BH66,"")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HISTORICOS'!BI24)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RESUMO'!BI24</f>
        <v/>
      </c>
      <c r="N62" s="128">
        <f>MAX(0,M62-M61)</f>
        <v/>
      </c>
      <c r="O62" s="127">
        <f>IF(B62&lt;='VALOR POR PL'!$P$5,'CP RESUMO'!BI66,"")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HISTORICOS'!BJ24)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RESUMO'!BJ24</f>
        <v/>
      </c>
      <c r="N63" s="128">
        <f>MAX(0,M63-M62)</f>
        <v/>
      </c>
      <c r="O63" s="127">
        <f>IF(B63&lt;='VALOR POR PL'!$P$5,'CP RESUMO'!BJ66,"")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HISTORICOS'!BK24)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RESUMO'!BK24</f>
        <v/>
      </c>
      <c r="N64" s="128">
        <f>MAX(0,M64-M63)</f>
        <v/>
      </c>
      <c r="O64" s="127">
        <f>IF(B64&lt;='VALOR POR PL'!$P$5,'CP RESUMO'!BK66,"")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HISTORICOS'!BL24)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RESUMO'!BL24</f>
        <v/>
      </c>
      <c r="N65" s="128">
        <f>MAX(0,M65-M64)</f>
        <v/>
      </c>
      <c r="O65" s="127">
        <f>IF(B65&lt;='VALOR POR PL'!$P$5,'CP RESUMO'!BL66,"")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HISTORICOS'!BM24)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RESUMO'!BM24</f>
        <v/>
      </c>
      <c r="N66" s="128">
        <f>MAX(0,M66-M65)</f>
        <v/>
      </c>
      <c r="O66" s="127">
        <f>IF(B66&lt;='VALOR POR PL'!$P$5,'CP RESUMO'!BM66,"")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HISTORICOS'!BN24)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RESUMO'!BN24</f>
        <v/>
      </c>
      <c r="N67" s="128">
        <f>MAX(0,M67-M66)</f>
        <v/>
      </c>
      <c r="O67" s="127">
        <f>IF(B67&lt;='VALOR POR PL'!$P$5,'CP RESUMO'!BN66,"")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HISTORICOS'!BO24)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RESUMO'!BO24</f>
        <v/>
      </c>
      <c r="N68" s="128">
        <f>MAX(0,M68-M67)</f>
        <v/>
      </c>
      <c r="O68" s="127">
        <f>IF(B68&lt;='VALOR POR PL'!$P$5,'CP RESUMO'!BO66,"")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HISTORICOS'!BP24)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RESUMO'!BP24</f>
        <v/>
      </c>
      <c r="N69" s="128">
        <f>MAX(0,M69-M68)</f>
        <v/>
      </c>
      <c r="O69" s="127">
        <f>IF(B69&lt;='VALOR POR PL'!$P$5,'CP RESUMO'!BP66,"")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HISTORICOS'!BQ24)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RESUMO'!BQ24</f>
        <v/>
      </c>
      <c r="N70" s="128">
        <f>MAX(0,M70-M69)</f>
        <v/>
      </c>
      <c r="O70" s="127">
        <f>IF(B70&lt;='VALOR POR PL'!$P$5,'CP RESUMO'!BQ66,"")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HISTORICOS'!BR24)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RESUMO'!BR24</f>
        <v/>
      </c>
      <c r="N71" s="128">
        <f>MAX(0,M71-M70)</f>
        <v/>
      </c>
      <c r="O71" s="127">
        <f>IF(B71&lt;='VALOR POR PL'!$P$5,'CP RESUMO'!BR66,"")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HISTORICOS'!BS24)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RESUMO'!BS24</f>
        <v/>
      </c>
      <c r="N72" s="128">
        <f>MAX(0,M72-M71)</f>
        <v/>
      </c>
      <c r="O72" s="127">
        <f>IF(B72&lt;='VALOR POR PL'!$P$5,'CP RESUMO'!BS66,"")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HISTORICOS'!BT24)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RESUMO'!BT24</f>
        <v/>
      </c>
      <c r="N73" s="128">
        <f>MAX(0,M73-M72)</f>
        <v/>
      </c>
      <c r="O73" s="127">
        <f>IF(B73&lt;='VALOR POR PL'!$P$5,'CP RESUMO'!BT66,"")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HISTORICOS'!BU24)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RESUMO'!BU24</f>
        <v/>
      </c>
      <c r="N74" s="128">
        <f>MAX(0,M74-M73)</f>
        <v/>
      </c>
      <c r="O74" s="127">
        <f>IF(B74&lt;='VALOR POR PL'!$P$5,'CP RESUMO'!BU66,"")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HISTORICOS'!BV24)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RESUMO'!BV24</f>
        <v/>
      </c>
      <c r="N75" s="128">
        <f>MAX(0,M75-M74)</f>
        <v/>
      </c>
      <c r="O75" s="127">
        <f>IF(B75&lt;='VALOR POR PL'!$P$5,'CP RESUMO'!BV66,"")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HISTORICOS'!BW24)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RESUMO'!BW24</f>
        <v/>
      </c>
      <c r="N76" s="128">
        <f>MAX(0,M76-M75)</f>
        <v/>
      </c>
      <c r="O76" s="127">
        <f>IF(B76&lt;='VALOR POR PL'!$P$5,'CP RESUMO'!BW66,"")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PL'!D31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HISTORICOS'!D25)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PL'!F31</f>
        <v/>
      </c>
      <c r="K5" s="63">
        <f>'VALOR POR PL'!G31</f>
        <v/>
      </c>
      <c r="M5" s="127">
        <f>'CP RESUMO'!D25</f>
        <v/>
      </c>
      <c r="N5" s="128" t="n">
        <v>0</v>
      </c>
      <c r="O5" s="127">
        <f>IF(B5&lt;='VALOR POR PL'!$P$5,'CP RESUMO'!D67,"")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HISTORICOS'!E25)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RESUMO'!E25</f>
        <v/>
      </c>
      <c r="N6" s="128">
        <f>MAX(0,M6-M5)</f>
        <v/>
      </c>
      <c r="O6" s="127">
        <f>IF(B6&lt;='VALOR POR PL'!$P$5,'CP RESUMO'!E67,"")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HISTORICOS'!F25)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PL'!L31</f>
        <v/>
      </c>
      <c r="M7" s="127">
        <f>'CP RESUMO'!F25</f>
        <v/>
      </c>
      <c r="N7" s="128">
        <f>MAX(0,M7-M6)</f>
        <v/>
      </c>
      <c r="O7" s="127">
        <f>IF(B7&lt;='VALOR POR PL'!$P$5,'CP RESUMO'!F67,"")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HISTORICOS'!G25)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RESUMO'!G25</f>
        <v/>
      </c>
      <c r="N8" s="128">
        <f>MAX(0,M8-M7)</f>
        <v/>
      </c>
      <c r="O8" s="127">
        <f>IF(B8&lt;='VALOR POR PL'!$P$5,'CP RESUMO'!G67,"")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HISTORICOS'!H25)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RESUMO'!H25</f>
        <v/>
      </c>
      <c r="N9" s="128">
        <f>MAX(0,M9-M8)</f>
        <v/>
      </c>
      <c r="O9" s="127">
        <f>IF(B9&lt;='VALOR POR PL'!$P$5,'CP RESUMO'!H67,"")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HISTORICOS'!I25)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RESUMO'!I25</f>
        <v/>
      </c>
      <c r="N10" s="128">
        <f>MAX(0,M10-M9)</f>
        <v/>
      </c>
      <c r="O10" s="127">
        <f>IF(B10&lt;='VALOR POR PL'!$P$5,'CP RESUMO'!I67,"")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HISTORICOS'!J25)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RESUMO'!J25</f>
        <v/>
      </c>
      <c r="N11" s="128">
        <f>MAX(0,M11-M10)</f>
        <v/>
      </c>
      <c r="O11" s="127">
        <f>IF(B11&lt;='VALOR POR PL'!$P$5,'CP RESUMO'!J67,"")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HISTORICOS'!K25)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RESUMO'!K25</f>
        <v/>
      </c>
      <c r="N12" s="128">
        <f>MAX(0,M12-M11)</f>
        <v/>
      </c>
      <c r="O12" s="127">
        <f>IF(B12&lt;='VALOR POR PL'!$P$5,'CP RESUMO'!K67,"")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HISTORICOS'!L25)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PL'!I31</f>
        <v/>
      </c>
      <c r="M13" s="127">
        <f>'CP RESUMO'!L25</f>
        <v/>
      </c>
      <c r="N13" s="128">
        <f>MAX(0,M13-M12)</f>
        <v/>
      </c>
      <c r="O13" s="127">
        <f>IF(B13&lt;='VALOR POR PL'!$P$5,'CP RESUMO'!L67,"")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HISTORICOS'!M25)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RESUMO'!$D$67:$BW$67,MATCH('VALOR POR PL'!$P$5,'CP RESUMO'!$D$4:$BW$4,0))/100,0)</f>
        <v/>
      </c>
      <c r="M14" s="127">
        <f>'CP RESUMO'!M25</f>
        <v/>
      </c>
      <c r="N14" s="128">
        <f>MAX(0,M14-M13)</f>
        <v/>
      </c>
      <c r="O14" s="127">
        <f>IF(B14&lt;='VALOR POR PL'!$P$5,'CP RESUMO'!M67,"")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HISTORICOS'!N25)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RESUMO'!N25</f>
        <v/>
      </c>
      <c r="N15" s="128">
        <f>MAX(0,M15-M14)</f>
        <v/>
      </c>
      <c r="O15" s="127">
        <f>IF(B15&lt;='VALOR POR PL'!$P$5,'CP RESUMO'!N67,"")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HISTORICOS'!O25)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RESUMO'!O25</f>
        <v/>
      </c>
      <c r="N16" s="128">
        <f>MAX(0,M16-M15)</f>
        <v/>
      </c>
      <c r="O16" s="127">
        <f>IF(B16&lt;='VALOR POR PL'!$P$5,'CP RESUMO'!O67,"")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HISTORICOS'!P25)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RESUMO'!P25</f>
        <v/>
      </c>
      <c r="N17" s="128">
        <f>MAX(0,M17-M16)</f>
        <v/>
      </c>
      <c r="O17" s="127">
        <f>IF(B17&lt;='VALOR POR PL'!$P$5,'CP RESUMO'!P67,"")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HISTORICOS'!Q25)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RESUMO'!Q25</f>
        <v/>
      </c>
      <c r="N18" s="128">
        <f>MAX(0,M18-M17)</f>
        <v/>
      </c>
      <c r="O18" s="127">
        <f>IF(B18&lt;='VALOR POR PL'!$P$5,'CP RESUMO'!Q67,"")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HISTORICOS'!R25)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RESUMO'!R25</f>
        <v/>
      </c>
      <c r="N19" s="128">
        <f>MAX(0,M19-M18)</f>
        <v/>
      </c>
      <c r="O19" s="127">
        <f>IF(B19&lt;='VALOR POR PL'!$P$5,'CP RESUMO'!R67,"")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HISTORICOS'!S25)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RESUMO'!S25</f>
        <v/>
      </c>
      <c r="N20" s="128">
        <f>MAX(0,M20-M19)</f>
        <v/>
      </c>
      <c r="O20" s="127">
        <f>IF(B20&lt;='VALOR POR PL'!$P$5,'CP RESUMO'!S67,"")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HISTORICOS'!T25)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RESUMO'!T25</f>
        <v/>
      </c>
      <c r="N21" s="128">
        <f>MAX(0,M21-M20)</f>
        <v/>
      </c>
      <c r="O21" s="127">
        <f>IF(B21&lt;='VALOR POR PL'!$P$5,'CP RESUMO'!T67,"")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HISTORICOS'!U25)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RESUMO'!U25</f>
        <v/>
      </c>
      <c r="N22" s="128">
        <f>MAX(0,M22-M21)</f>
        <v/>
      </c>
      <c r="O22" s="127">
        <f>IF(B22&lt;='VALOR POR PL'!$P$5,'CP RESUMO'!U67,"")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HISTORICOS'!V25)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RESUMO'!V25</f>
        <v/>
      </c>
      <c r="N23" s="128">
        <f>MAX(0,M23-M22)</f>
        <v/>
      </c>
      <c r="O23" s="127">
        <f>IF(B23&lt;='VALOR POR PL'!$P$5,'CP RESUMO'!V67,"")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HISTORICOS'!W25)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RESUMO'!W25</f>
        <v/>
      </c>
      <c r="N24" s="128">
        <f>MAX(0,M24-M23)</f>
        <v/>
      </c>
      <c r="O24" s="127">
        <f>IF(B24&lt;='VALOR POR PL'!$P$5,'CP RESUMO'!W67,"")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HISTORICOS'!X25)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RESUMO'!X25</f>
        <v/>
      </c>
      <c r="N25" s="128">
        <f>MAX(0,M25-M24)</f>
        <v/>
      </c>
      <c r="O25" s="127">
        <f>IF(B25&lt;='VALOR POR PL'!$P$5,'CP RESUMO'!X67,"")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HISTORICOS'!Y25)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RESUMO'!Y25</f>
        <v/>
      </c>
      <c r="N26" s="128">
        <f>MAX(0,M26-M25)</f>
        <v/>
      </c>
      <c r="O26" s="127">
        <f>IF(B26&lt;='VALOR POR PL'!$P$5,'CP RESUMO'!Y67,"")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HISTORICOS'!Z25)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RESUMO'!Z25</f>
        <v/>
      </c>
      <c r="N27" s="128">
        <f>MAX(0,M27-M26)</f>
        <v/>
      </c>
      <c r="O27" s="127">
        <f>IF(B27&lt;='VALOR POR PL'!$P$5,'CP RESUMO'!Z67,"")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HISTORICOS'!AA25)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RESUMO'!AA25</f>
        <v/>
      </c>
      <c r="N28" s="128">
        <f>MAX(0,M28-M27)</f>
        <v/>
      </c>
      <c r="O28" s="127">
        <f>IF(B28&lt;='VALOR POR PL'!$P$5,'CP RESUMO'!AA67,"")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HISTORICOS'!AB25)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RESUMO'!AB25</f>
        <v/>
      </c>
      <c r="N29" s="128">
        <f>MAX(0,M29-M28)</f>
        <v/>
      </c>
      <c r="O29" s="127">
        <f>IF(B29&lt;='VALOR POR PL'!$P$5,'CP RESUMO'!AB67,"")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HISTORICOS'!AC25)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RESUMO'!AC25</f>
        <v/>
      </c>
      <c r="N30" s="128">
        <f>MAX(0,M30-M29)</f>
        <v/>
      </c>
      <c r="O30" s="127">
        <f>IF(B30&lt;='VALOR POR PL'!$P$5,'CP RESUMO'!AC67,"")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HISTORICOS'!AD25)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RESUMO'!AD25</f>
        <v/>
      </c>
      <c r="N31" s="128">
        <f>MAX(0,M31-M30)</f>
        <v/>
      </c>
      <c r="O31" s="127">
        <f>IF(B31&lt;='VALOR POR PL'!$P$5,'CP RESUMO'!AD67,"")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HISTORICOS'!AE25)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RESUMO'!AE25</f>
        <v/>
      </c>
      <c r="N32" s="128">
        <f>MAX(0,M32-M31)</f>
        <v/>
      </c>
      <c r="O32" s="127">
        <f>IF(B32&lt;='VALOR POR PL'!$P$5,'CP RESUMO'!AE67,"")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HISTORICOS'!AF25)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RESUMO'!AF25</f>
        <v/>
      </c>
      <c r="N33" s="128">
        <f>MAX(0,M33-M32)</f>
        <v/>
      </c>
      <c r="O33" s="127">
        <f>IF(B33&lt;='VALOR POR PL'!$P$5,'CP RESUMO'!AF67,"")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HISTORICOS'!AG25)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RESUMO'!AG25</f>
        <v/>
      </c>
      <c r="N34" s="128">
        <f>MAX(0,M34-M33)</f>
        <v/>
      </c>
      <c r="O34" s="127">
        <f>IF(B34&lt;='VALOR POR PL'!$P$5,'CP RESUMO'!AG67,"")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HISTORICOS'!AH25)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RESUMO'!AH25</f>
        <v/>
      </c>
      <c r="N35" s="128">
        <f>MAX(0,M35-M34)</f>
        <v/>
      </c>
      <c r="O35" s="127">
        <f>IF(B35&lt;='VALOR POR PL'!$P$5,'CP RESUMO'!AH67,"")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HISTORICOS'!AI25)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RESUMO'!AI25</f>
        <v/>
      </c>
      <c r="N36" s="128">
        <f>MAX(0,M36-M35)</f>
        <v/>
      </c>
      <c r="O36" s="127">
        <f>IF(B36&lt;='VALOR POR PL'!$P$5,'CP RESUMO'!AI67,"")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HISTORICOS'!AJ25)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RESUMO'!AJ25</f>
        <v/>
      </c>
      <c r="N37" s="128">
        <f>MAX(0,M37-M36)</f>
        <v/>
      </c>
      <c r="O37" s="127">
        <f>IF(B37&lt;='VALOR POR PL'!$P$5,'CP RESUMO'!AJ67,"")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HISTORICOS'!AK25)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RESUMO'!AK25</f>
        <v/>
      </c>
      <c r="N38" s="128">
        <f>MAX(0,M38-M37)</f>
        <v/>
      </c>
      <c r="O38" s="127">
        <f>IF(B38&lt;='VALOR POR PL'!$P$5,'CP RESUMO'!AK67,"")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HISTORICOS'!AL25)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RESUMO'!AL25</f>
        <v/>
      </c>
      <c r="N39" s="128">
        <f>MAX(0,M39-M38)</f>
        <v/>
      </c>
      <c r="O39" s="127">
        <f>IF(B39&lt;='VALOR POR PL'!$P$5,'CP RESUMO'!AL67,"")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HISTORICOS'!AM25)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RESUMO'!AM25</f>
        <v/>
      </c>
      <c r="N40" s="128">
        <f>MAX(0,M40-M39)</f>
        <v/>
      </c>
      <c r="O40" s="127">
        <f>IF(B40&lt;='VALOR POR PL'!$P$5,'CP RESUMO'!AM67,"")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HISTORICOS'!AN25)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RESUMO'!AN25</f>
        <v/>
      </c>
      <c r="N41" s="128">
        <f>MAX(0,M41-M40)</f>
        <v/>
      </c>
      <c r="O41" s="127">
        <f>IF(B41&lt;='VALOR POR PL'!$P$5,'CP RESUMO'!AN67,"")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HISTORICOS'!AO25)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RESUMO'!AO25</f>
        <v/>
      </c>
      <c r="N42" s="128">
        <f>MAX(0,M42-M41)</f>
        <v/>
      </c>
      <c r="O42" s="127">
        <f>IF(B42&lt;='VALOR POR PL'!$P$5,'CP RESUMO'!AO67,"")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HISTORICOS'!AP25)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RESUMO'!AP25</f>
        <v/>
      </c>
      <c r="N43" s="128">
        <f>MAX(0,M43-M42)</f>
        <v/>
      </c>
      <c r="O43" s="127">
        <f>IF(B43&lt;='VALOR POR PL'!$P$5,'CP RESUMO'!AP67,"")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HISTORICOS'!AQ25)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RESUMO'!AQ25</f>
        <v/>
      </c>
      <c r="N44" s="128">
        <f>MAX(0,M44-M43)</f>
        <v/>
      </c>
      <c r="O44" s="127">
        <f>IF(B44&lt;='VALOR POR PL'!$P$5,'CP RESUMO'!AQ67,"")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HISTORICOS'!AR25)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RESUMO'!AR25</f>
        <v/>
      </c>
      <c r="N45" s="128">
        <f>MAX(0,M45-M44)</f>
        <v/>
      </c>
      <c r="O45" s="127">
        <f>IF(B45&lt;='VALOR POR PL'!$P$5,'CP RESUMO'!AR67,"")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HISTORICOS'!AS25)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RESUMO'!AS25</f>
        <v/>
      </c>
      <c r="N46" s="128">
        <f>MAX(0,M46-M45)</f>
        <v/>
      </c>
      <c r="O46" s="127">
        <f>IF(B46&lt;='VALOR POR PL'!$P$5,'CP RESUMO'!AS67,"")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HISTORICOS'!AT25)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RESUMO'!AT25</f>
        <v/>
      </c>
      <c r="N47" s="128">
        <f>MAX(0,M47-M46)</f>
        <v/>
      </c>
      <c r="O47" s="127">
        <f>IF(B47&lt;='VALOR POR PL'!$P$5,'CP RESUMO'!AT67,"")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HISTORICOS'!AU25)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RESUMO'!AU25</f>
        <v/>
      </c>
      <c r="N48" s="128">
        <f>MAX(0,M48-M47)</f>
        <v/>
      </c>
      <c r="O48" s="127">
        <f>IF(B48&lt;='VALOR POR PL'!$P$5,'CP RESUMO'!AU67,"")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HISTORICOS'!AV25)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RESUMO'!AV25</f>
        <v/>
      </c>
      <c r="N49" s="128">
        <f>MAX(0,M49-M48)</f>
        <v/>
      </c>
      <c r="O49" s="127">
        <f>IF(B49&lt;='VALOR POR PL'!$P$5,'CP RESUMO'!AV67,"")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HISTORICOS'!AW25)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RESUMO'!AW25</f>
        <v/>
      </c>
      <c r="N50" s="128">
        <f>MAX(0,M50-M49)</f>
        <v/>
      </c>
      <c r="O50" s="127">
        <f>IF(B50&lt;='VALOR POR PL'!$P$5,'CP RESUMO'!AW67,"")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HISTORICOS'!AX25)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RESUMO'!AX25</f>
        <v/>
      </c>
      <c r="N51" s="128">
        <f>MAX(0,M51-M50)</f>
        <v/>
      </c>
      <c r="O51" s="127">
        <f>IF(B51&lt;='VALOR POR PL'!$P$5,'CP RESUMO'!AX67,"")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HISTORICOS'!AY25)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RESUMO'!AY25</f>
        <v/>
      </c>
      <c r="N52" s="128">
        <f>MAX(0,M52-M51)</f>
        <v/>
      </c>
      <c r="O52" s="127">
        <f>IF(B52&lt;='VALOR POR PL'!$P$5,'CP RESUMO'!AY67,"")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HISTORICOS'!AZ25)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RESUMO'!AZ25</f>
        <v/>
      </c>
      <c r="N53" s="128">
        <f>MAX(0,M53-M52)</f>
        <v/>
      </c>
      <c r="O53" s="127">
        <f>IF(B53&lt;='VALOR POR PL'!$P$5,'CP RESUMO'!AZ67,"")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HISTORICOS'!BA25)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RESUMO'!BA25</f>
        <v/>
      </c>
      <c r="N54" s="128">
        <f>MAX(0,M54-M53)</f>
        <v/>
      </c>
      <c r="O54" s="127">
        <f>IF(B54&lt;='VALOR POR PL'!$P$5,'CP RESUMO'!BA67,"")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HISTORICOS'!BB25)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RESUMO'!BB25</f>
        <v/>
      </c>
      <c r="N55" s="128">
        <f>MAX(0,M55-M54)</f>
        <v/>
      </c>
      <c r="O55" s="127">
        <f>IF(B55&lt;='VALOR POR PL'!$P$5,'CP RESUMO'!BB67,"")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HISTORICOS'!BC25)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RESUMO'!BC25</f>
        <v/>
      </c>
      <c r="N56" s="128">
        <f>MAX(0,M56-M55)</f>
        <v/>
      </c>
      <c r="O56" s="127">
        <f>IF(B56&lt;='VALOR POR PL'!$P$5,'CP RESUMO'!BC67,"")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HISTORICOS'!BD25)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RESUMO'!BD25</f>
        <v/>
      </c>
      <c r="N57" s="128">
        <f>MAX(0,M57-M56)</f>
        <v/>
      </c>
      <c r="O57" s="127">
        <f>IF(B57&lt;='VALOR POR PL'!$P$5,'CP RESUMO'!BD67,"")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HISTORICOS'!BE25)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RESUMO'!BE25</f>
        <v/>
      </c>
      <c r="N58" s="128">
        <f>MAX(0,M58-M57)</f>
        <v/>
      </c>
      <c r="O58" s="127">
        <f>IF(B58&lt;='VALOR POR PL'!$P$5,'CP RESUMO'!BE67,"")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HISTORICOS'!BF25)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RESUMO'!BF25</f>
        <v/>
      </c>
      <c r="N59" s="128">
        <f>MAX(0,M59-M58)</f>
        <v/>
      </c>
      <c r="O59" s="127">
        <f>IF(B59&lt;='VALOR POR PL'!$P$5,'CP RESUMO'!BF67,"")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HISTORICOS'!BG25)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RESUMO'!BG25</f>
        <v/>
      </c>
      <c r="N60" s="128">
        <f>MAX(0,M60-M59)</f>
        <v/>
      </c>
      <c r="O60" s="127">
        <f>IF(B60&lt;='VALOR POR PL'!$P$5,'CP RESUMO'!BG67,"")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HISTORICOS'!BH25)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RESUMO'!BH25</f>
        <v/>
      </c>
      <c r="N61" s="128">
        <f>MAX(0,M61-M60)</f>
        <v/>
      </c>
      <c r="O61" s="127">
        <f>IF(B61&lt;='VALOR POR PL'!$P$5,'CP RESUMO'!BH67,"")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HISTORICOS'!BI25)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RESUMO'!BI25</f>
        <v/>
      </c>
      <c r="N62" s="128">
        <f>MAX(0,M62-M61)</f>
        <v/>
      </c>
      <c r="O62" s="127">
        <f>IF(B62&lt;='VALOR POR PL'!$P$5,'CP RESUMO'!BI67,"")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HISTORICOS'!BJ25)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RESUMO'!BJ25</f>
        <v/>
      </c>
      <c r="N63" s="128">
        <f>MAX(0,M63-M62)</f>
        <v/>
      </c>
      <c r="O63" s="127">
        <f>IF(B63&lt;='VALOR POR PL'!$P$5,'CP RESUMO'!BJ67,"")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HISTORICOS'!BK25)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RESUMO'!BK25</f>
        <v/>
      </c>
      <c r="N64" s="128">
        <f>MAX(0,M64-M63)</f>
        <v/>
      </c>
      <c r="O64" s="127">
        <f>IF(B64&lt;='VALOR POR PL'!$P$5,'CP RESUMO'!BK67,"")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HISTORICOS'!BL25)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RESUMO'!BL25</f>
        <v/>
      </c>
      <c r="N65" s="128">
        <f>MAX(0,M65-M64)</f>
        <v/>
      </c>
      <c r="O65" s="127">
        <f>IF(B65&lt;='VALOR POR PL'!$P$5,'CP RESUMO'!BL67,"")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HISTORICOS'!BM25)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RESUMO'!BM25</f>
        <v/>
      </c>
      <c r="N66" s="128">
        <f>MAX(0,M66-M65)</f>
        <v/>
      </c>
      <c r="O66" s="127">
        <f>IF(B66&lt;='VALOR POR PL'!$P$5,'CP RESUMO'!BM67,"")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HISTORICOS'!BN25)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RESUMO'!BN25</f>
        <v/>
      </c>
      <c r="N67" s="128">
        <f>MAX(0,M67-M66)</f>
        <v/>
      </c>
      <c r="O67" s="127">
        <f>IF(B67&lt;='VALOR POR PL'!$P$5,'CP RESUMO'!BN67,"")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HISTORICOS'!BO25)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RESUMO'!BO25</f>
        <v/>
      </c>
      <c r="N68" s="128">
        <f>MAX(0,M68-M67)</f>
        <v/>
      </c>
      <c r="O68" s="127">
        <f>IF(B68&lt;='VALOR POR PL'!$P$5,'CP RESUMO'!BO67,"")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HISTORICOS'!BP25)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RESUMO'!BP25</f>
        <v/>
      </c>
      <c r="N69" s="128">
        <f>MAX(0,M69-M68)</f>
        <v/>
      </c>
      <c r="O69" s="127">
        <f>IF(B69&lt;='VALOR POR PL'!$P$5,'CP RESUMO'!BP67,"")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HISTORICOS'!BQ25)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RESUMO'!BQ25</f>
        <v/>
      </c>
      <c r="N70" s="128">
        <f>MAX(0,M70-M69)</f>
        <v/>
      </c>
      <c r="O70" s="127">
        <f>IF(B70&lt;='VALOR POR PL'!$P$5,'CP RESUMO'!BQ67,"")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HISTORICOS'!BR25)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RESUMO'!BR25</f>
        <v/>
      </c>
      <c r="N71" s="128">
        <f>MAX(0,M71-M70)</f>
        <v/>
      </c>
      <c r="O71" s="127">
        <f>IF(B71&lt;='VALOR POR PL'!$P$5,'CP RESUMO'!BR67,"")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HISTORICOS'!BS25)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RESUMO'!BS25</f>
        <v/>
      </c>
      <c r="N72" s="128">
        <f>MAX(0,M72-M71)</f>
        <v/>
      </c>
      <c r="O72" s="127">
        <f>IF(B72&lt;='VALOR POR PL'!$P$5,'CP RESUMO'!BS67,"")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HISTORICOS'!BT25)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RESUMO'!BT25</f>
        <v/>
      </c>
      <c r="N73" s="128">
        <f>MAX(0,M73-M72)</f>
        <v/>
      </c>
      <c r="O73" s="127">
        <f>IF(B73&lt;='VALOR POR PL'!$P$5,'CP RESUMO'!BT67,"")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HISTORICOS'!BU25)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RESUMO'!BU25</f>
        <v/>
      </c>
      <c r="N74" s="128">
        <f>MAX(0,M74-M73)</f>
        <v/>
      </c>
      <c r="O74" s="127">
        <f>IF(B74&lt;='VALOR POR PL'!$P$5,'CP RESUMO'!BU67,"")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HISTORICOS'!BV25)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RESUMO'!BV25</f>
        <v/>
      </c>
      <c r="N75" s="128">
        <f>MAX(0,M75-M74)</f>
        <v/>
      </c>
      <c r="O75" s="127">
        <f>IF(B75&lt;='VALOR POR PL'!$P$5,'CP RESUMO'!BV67,"")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HISTORICOS'!BW25)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RESUMO'!BW25</f>
        <v/>
      </c>
      <c r="N76" s="128">
        <f>MAX(0,M76-M75)</f>
        <v/>
      </c>
      <c r="O76" s="127">
        <f>IF(B76&lt;='VALOR POR PL'!$P$5,'CP RESUMO'!BW67,"")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PL'!D32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HISTORICOS'!D26)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PL'!F32</f>
        <v/>
      </c>
      <c r="K5" s="63">
        <f>'VALOR POR PL'!G32</f>
        <v/>
      </c>
      <c r="M5" s="127">
        <f>'CP RESUMO'!D26</f>
        <v/>
      </c>
      <c r="N5" s="128" t="n">
        <v>0</v>
      </c>
      <c r="O5" s="127">
        <f>IF(B5&lt;='VALOR POR PL'!$P$5,'CP RESUMO'!D68,"")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HISTORICOS'!E26)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RESUMO'!E26</f>
        <v/>
      </c>
      <c r="N6" s="128">
        <f>MAX(0,M6-M5)</f>
        <v/>
      </c>
      <c r="O6" s="127">
        <f>IF(B6&lt;='VALOR POR PL'!$P$5,'CP RESUMO'!E68,"")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HISTORICOS'!F26)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PL'!L32</f>
        <v/>
      </c>
      <c r="M7" s="127">
        <f>'CP RESUMO'!F26</f>
        <v/>
      </c>
      <c r="N7" s="128">
        <f>MAX(0,M7-M6)</f>
        <v/>
      </c>
      <c r="O7" s="127">
        <f>IF(B7&lt;='VALOR POR PL'!$P$5,'CP RESUMO'!F68,"")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HISTORICOS'!G26)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RESUMO'!G26</f>
        <v/>
      </c>
      <c r="N8" s="128">
        <f>MAX(0,M8-M7)</f>
        <v/>
      </c>
      <c r="O8" s="127">
        <f>IF(B8&lt;='VALOR POR PL'!$P$5,'CP RESUMO'!G68,"")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HISTORICOS'!H26)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RESUMO'!H26</f>
        <v/>
      </c>
      <c r="N9" s="128">
        <f>MAX(0,M9-M8)</f>
        <v/>
      </c>
      <c r="O9" s="127">
        <f>IF(B9&lt;='VALOR POR PL'!$P$5,'CP RESUMO'!H68,"")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HISTORICOS'!I26)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RESUMO'!I26</f>
        <v/>
      </c>
      <c r="N10" s="128">
        <f>MAX(0,M10-M9)</f>
        <v/>
      </c>
      <c r="O10" s="127">
        <f>IF(B10&lt;='VALOR POR PL'!$P$5,'CP RESUMO'!I68,"")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HISTORICOS'!J26)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RESUMO'!J26</f>
        <v/>
      </c>
      <c r="N11" s="128">
        <f>MAX(0,M11-M10)</f>
        <v/>
      </c>
      <c r="O11" s="127">
        <f>IF(B11&lt;='VALOR POR PL'!$P$5,'CP RESUMO'!J68,"")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HISTORICOS'!K26)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RESUMO'!K26</f>
        <v/>
      </c>
      <c r="N12" s="128">
        <f>MAX(0,M12-M11)</f>
        <v/>
      </c>
      <c r="O12" s="127">
        <f>IF(B12&lt;='VALOR POR PL'!$P$5,'CP RESUMO'!K68,"")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HISTORICOS'!L26)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PL'!I32</f>
        <v/>
      </c>
      <c r="M13" s="127">
        <f>'CP RESUMO'!L26</f>
        <v/>
      </c>
      <c r="N13" s="128">
        <f>MAX(0,M13-M12)</f>
        <v/>
      </c>
      <c r="O13" s="127">
        <f>IF(B13&lt;='VALOR POR PL'!$P$5,'CP RESUMO'!L68,"")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HISTORICOS'!M26)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RESUMO'!$D$68:$BW$68,MATCH('VALOR POR PL'!$P$5,'CP RESUMO'!$D$4:$BW$4,0))/100,0)</f>
        <v/>
      </c>
      <c r="M14" s="127">
        <f>'CP RESUMO'!M26</f>
        <v/>
      </c>
      <c r="N14" s="128">
        <f>MAX(0,M14-M13)</f>
        <v/>
      </c>
      <c r="O14" s="127">
        <f>IF(B14&lt;='VALOR POR PL'!$P$5,'CP RESUMO'!M68,"")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HISTORICOS'!N26)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RESUMO'!N26</f>
        <v/>
      </c>
      <c r="N15" s="128">
        <f>MAX(0,M15-M14)</f>
        <v/>
      </c>
      <c r="O15" s="127">
        <f>IF(B15&lt;='VALOR POR PL'!$P$5,'CP RESUMO'!N68,"")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HISTORICOS'!O26)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RESUMO'!O26</f>
        <v/>
      </c>
      <c r="N16" s="128">
        <f>MAX(0,M16-M15)</f>
        <v/>
      </c>
      <c r="O16" s="127">
        <f>IF(B16&lt;='VALOR POR PL'!$P$5,'CP RESUMO'!O68,"")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HISTORICOS'!P26)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RESUMO'!P26</f>
        <v/>
      </c>
      <c r="N17" s="128">
        <f>MAX(0,M17-M16)</f>
        <v/>
      </c>
      <c r="O17" s="127">
        <f>IF(B17&lt;='VALOR POR PL'!$P$5,'CP RESUMO'!P68,"")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HISTORICOS'!Q26)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RESUMO'!Q26</f>
        <v/>
      </c>
      <c r="N18" s="128">
        <f>MAX(0,M18-M17)</f>
        <v/>
      </c>
      <c r="O18" s="127">
        <f>IF(B18&lt;='VALOR POR PL'!$P$5,'CP RESUMO'!Q68,"")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HISTORICOS'!R26)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RESUMO'!R26</f>
        <v/>
      </c>
      <c r="N19" s="128">
        <f>MAX(0,M19-M18)</f>
        <v/>
      </c>
      <c r="O19" s="127">
        <f>IF(B19&lt;='VALOR POR PL'!$P$5,'CP RESUMO'!R68,"")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HISTORICOS'!S26)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RESUMO'!S26</f>
        <v/>
      </c>
      <c r="N20" s="128">
        <f>MAX(0,M20-M19)</f>
        <v/>
      </c>
      <c r="O20" s="127">
        <f>IF(B20&lt;='VALOR POR PL'!$P$5,'CP RESUMO'!S68,"")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HISTORICOS'!T26)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RESUMO'!T26</f>
        <v/>
      </c>
      <c r="N21" s="128">
        <f>MAX(0,M21-M20)</f>
        <v/>
      </c>
      <c r="O21" s="127">
        <f>IF(B21&lt;='VALOR POR PL'!$P$5,'CP RESUMO'!T68,"")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HISTORICOS'!U26)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RESUMO'!U26</f>
        <v/>
      </c>
      <c r="N22" s="128">
        <f>MAX(0,M22-M21)</f>
        <v/>
      </c>
      <c r="O22" s="127">
        <f>IF(B22&lt;='VALOR POR PL'!$P$5,'CP RESUMO'!U68,"")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HISTORICOS'!V26)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RESUMO'!V26</f>
        <v/>
      </c>
      <c r="N23" s="128">
        <f>MAX(0,M23-M22)</f>
        <v/>
      </c>
      <c r="O23" s="127">
        <f>IF(B23&lt;='VALOR POR PL'!$P$5,'CP RESUMO'!V68,"")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HISTORICOS'!W26)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RESUMO'!W26</f>
        <v/>
      </c>
      <c r="N24" s="128">
        <f>MAX(0,M24-M23)</f>
        <v/>
      </c>
      <c r="O24" s="127">
        <f>IF(B24&lt;='VALOR POR PL'!$P$5,'CP RESUMO'!W68,"")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HISTORICOS'!X26)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RESUMO'!X26</f>
        <v/>
      </c>
      <c r="N25" s="128">
        <f>MAX(0,M25-M24)</f>
        <v/>
      </c>
      <c r="O25" s="127">
        <f>IF(B25&lt;='VALOR POR PL'!$P$5,'CP RESUMO'!X68,"")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HISTORICOS'!Y26)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RESUMO'!Y26</f>
        <v/>
      </c>
      <c r="N26" s="128">
        <f>MAX(0,M26-M25)</f>
        <v/>
      </c>
      <c r="O26" s="127">
        <f>IF(B26&lt;='VALOR POR PL'!$P$5,'CP RESUMO'!Y68,"")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HISTORICOS'!Z26)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RESUMO'!Z26</f>
        <v/>
      </c>
      <c r="N27" s="128">
        <f>MAX(0,M27-M26)</f>
        <v/>
      </c>
      <c r="O27" s="127">
        <f>IF(B27&lt;='VALOR POR PL'!$P$5,'CP RESUMO'!Z68,"")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HISTORICOS'!AA26)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RESUMO'!AA26</f>
        <v/>
      </c>
      <c r="N28" s="128">
        <f>MAX(0,M28-M27)</f>
        <v/>
      </c>
      <c r="O28" s="127">
        <f>IF(B28&lt;='VALOR POR PL'!$P$5,'CP RESUMO'!AA68,"")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HISTORICOS'!AB26)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RESUMO'!AB26</f>
        <v/>
      </c>
      <c r="N29" s="128">
        <f>MAX(0,M29-M28)</f>
        <v/>
      </c>
      <c r="O29" s="127">
        <f>IF(B29&lt;='VALOR POR PL'!$P$5,'CP RESUMO'!AB68,"")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HISTORICOS'!AC26)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RESUMO'!AC26</f>
        <v/>
      </c>
      <c r="N30" s="128">
        <f>MAX(0,M30-M29)</f>
        <v/>
      </c>
      <c r="O30" s="127">
        <f>IF(B30&lt;='VALOR POR PL'!$P$5,'CP RESUMO'!AC68,"")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HISTORICOS'!AD26)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RESUMO'!AD26</f>
        <v/>
      </c>
      <c r="N31" s="128">
        <f>MAX(0,M31-M30)</f>
        <v/>
      </c>
      <c r="O31" s="127">
        <f>IF(B31&lt;='VALOR POR PL'!$P$5,'CP RESUMO'!AD68,"")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HISTORICOS'!AE26)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RESUMO'!AE26</f>
        <v/>
      </c>
      <c r="N32" s="128">
        <f>MAX(0,M32-M31)</f>
        <v/>
      </c>
      <c r="O32" s="127">
        <f>IF(B32&lt;='VALOR POR PL'!$P$5,'CP RESUMO'!AE68,"")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HISTORICOS'!AF26)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RESUMO'!AF26</f>
        <v/>
      </c>
      <c r="N33" s="128">
        <f>MAX(0,M33-M32)</f>
        <v/>
      </c>
      <c r="O33" s="127">
        <f>IF(B33&lt;='VALOR POR PL'!$P$5,'CP RESUMO'!AF68,"")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HISTORICOS'!AG26)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RESUMO'!AG26</f>
        <v/>
      </c>
      <c r="N34" s="128">
        <f>MAX(0,M34-M33)</f>
        <v/>
      </c>
      <c r="O34" s="127">
        <f>IF(B34&lt;='VALOR POR PL'!$P$5,'CP RESUMO'!AG68,"")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HISTORICOS'!AH26)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RESUMO'!AH26</f>
        <v/>
      </c>
      <c r="N35" s="128">
        <f>MAX(0,M35-M34)</f>
        <v/>
      </c>
      <c r="O35" s="127">
        <f>IF(B35&lt;='VALOR POR PL'!$P$5,'CP RESUMO'!AH68,"")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HISTORICOS'!AI26)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RESUMO'!AI26</f>
        <v/>
      </c>
      <c r="N36" s="128">
        <f>MAX(0,M36-M35)</f>
        <v/>
      </c>
      <c r="O36" s="127">
        <f>IF(B36&lt;='VALOR POR PL'!$P$5,'CP RESUMO'!AI68,"")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HISTORICOS'!AJ26)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RESUMO'!AJ26</f>
        <v/>
      </c>
      <c r="N37" s="128">
        <f>MAX(0,M37-M36)</f>
        <v/>
      </c>
      <c r="O37" s="127">
        <f>IF(B37&lt;='VALOR POR PL'!$P$5,'CP RESUMO'!AJ68,"")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HISTORICOS'!AK26)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RESUMO'!AK26</f>
        <v/>
      </c>
      <c r="N38" s="128">
        <f>MAX(0,M38-M37)</f>
        <v/>
      </c>
      <c r="O38" s="127">
        <f>IF(B38&lt;='VALOR POR PL'!$P$5,'CP RESUMO'!AK68,"")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HISTORICOS'!AL26)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RESUMO'!AL26</f>
        <v/>
      </c>
      <c r="N39" s="128">
        <f>MAX(0,M39-M38)</f>
        <v/>
      </c>
      <c r="O39" s="127">
        <f>IF(B39&lt;='VALOR POR PL'!$P$5,'CP RESUMO'!AL68,"")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HISTORICOS'!AM26)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RESUMO'!AM26</f>
        <v/>
      </c>
      <c r="N40" s="128">
        <f>MAX(0,M40-M39)</f>
        <v/>
      </c>
      <c r="O40" s="127">
        <f>IF(B40&lt;='VALOR POR PL'!$P$5,'CP RESUMO'!AM68,"")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HISTORICOS'!AN26)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RESUMO'!AN26</f>
        <v/>
      </c>
      <c r="N41" s="128">
        <f>MAX(0,M41-M40)</f>
        <v/>
      </c>
      <c r="O41" s="127">
        <f>IF(B41&lt;='VALOR POR PL'!$P$5,'CP RESUMO'!AN68,"")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HISTORICOS'!AO26)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RESUMO'!AO26</f>
        <v/>
      </c>
      <c r="N42" s="128">
        <f>MAX(0,M42-M41)</f>
        <v/>
      </c>
      <c r="O42" s="127">
        <f>IF(B42&lt;='VALOR POR PL'!$P$5,'CP RESUMO'!AO68,"")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HISTORICOS'!AP26)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RESUMO'!AP26</f>
        <v/>
      </c>
      <c r="N43" s="128">
        <f>MAX(0,M43-M42)</f>
        <v/>
      </c>
      <c r="O43" s="127">
        <f>IF(B43&lt;='VALOR POR PL'!$P$5,'CP RESUMO'!AP68,"")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HISTORICOS'!AQ26)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RESUMO'!AQ26</f>
        <v/>
      </c>
      <c r="N44" s="128">
        <f>MAX(0,M44-M43)</f>
        <v/>
      </c>
      <c r="O44" s="127">
        <f>IF(B44&lt;='VALOR POR PL'!$P$5,'CP RESUMO'!AQ68,"")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HISTORICOS'!AR26)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RESUMO'!AR26</f>
        <v/>
      </c>
      <c r="N45" s="128">
        <f>MAX(0,M45-M44)</f>
        <v/>
      </c>
      <c r="O45" s="127">
        <f>IF(B45&lt;='VALOR POR PL'!$P$5,'CP RESUMO'!AR68,"")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HISTORICOS'!AS26)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RESUMO'!AS26</f>
        <v/>
      </c>
      <c r="N46" s="128">
        <f>MAX(0,M46-M45)</f>
        <v/>
      </c>
      <c r="O46" s="127">
        <f>IF(B46&lt;='VALOR POR PL'!$P$5,'CP RESUMO'!AS68,"")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HISTORICOS'!AT26)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RESUMO'!AT26</f>
        <v/>
      </c>
      <c r="N47" s="128">
        <f>MAX(0,M47-M46)</f>
        <v/>
      </c>
      <c r="O47" s="127">
        <f>IF(B47&lt;='VALOR POR PL'!$P$5,'CP RESUMO'!AT68,"")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HISTORICOS'!AU26)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RESUMO'!AU26</f>
        <v/>
      </c>
      <c r="N48" s="128">
        <f>MAX(0,M48-M47)</f>
        <v/>
      </c>
      <c r="O48" s="127">
        <f>IF(B48&lt;='VALOR POR PL'!$P$5,'CP RESUMO'!AU68,"")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HISTORICOS'!AV26)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RESUMO'!AV26</f>
        <v/>
      </c>
      <c r="N49" s="128">
        <f>MAX(0,M49-M48)</f>
        <v/>
      </c>
      <c r="O49" s="127">
        <f>IF(B49&lt;='VALOR POR PL'!$P$5,'CP RESUMO'!AV68,"")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HISTORICOS'!AW26)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RESUMO'!AW26</f>
        <v/>
      </c>
      <c r="N50" s="128">
        <f>MAX(0,M50-M49)</f>
        <v/>
      </c>
      <c r="O50" s="127">
        <f>IF(B50&lt;='VALOR POR PL'!$P$5,'CP RESUMO'!AW68,"")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HISTORICOS'!AX26)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RESUMO'!AX26</f>
        <v/>
      </c>
      <c r="N51" s="128">
        <f>MAX(0,M51-M50)</f>
        <v/>
      </c>
      <c r="O51" s="127">
        <f>IF(B51&lt;='VALOR POR PL'!$P$5,'CP RESUMO'!AX68,"")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HISTORICOS'!AY26)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RESUMO'!AY26</f>
        <v/>
      </c>
      <c r="N52" s="128">
        <f>MAX(0,M52-M51)</f>
        <v/>
      </c>
      <c r="O52" s="127">
        <f>IF(B52&lt;='VALOR POR PL'!$P$5,'CP RESUMO'!AY68,"")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HISTORICOS'!AZ26)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RESUMO'!AZ26</f>
        <v/>
      </c>
      <c r="N53" s="128">
        <f>MAX(0,M53-M52)</f>
        <v/>
      </c>
      <c r="O53" s="127">
        <f>IF(B53&lt;='VALOR POR PL'!$P$5,'CP RESUMO'!AZ68,"")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HISTORICOS'!BA26)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RESUMO'!BA26</f>
        <v/>
      </c>
      <c r="N54" s="128">
        <f>MAX(0,M54-M53)</f>
        <v/>
      </c>
      <c r="O54" s="127">
        <f>IF(B54&lt;='VALOR POR PL'!$P$5,'CP RESUMO'!BA68,"")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HISTORICOS'!BB26)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RESUMO'!BB26</f>
        <v/>
      </c>
      <c r="N55" s="128">
        <f>MAX(0,M55-M54)</f>
        <v/>
      </c>
      <c r="O55" s="127">
        <f>IF(B55&lt;='VALOR POR PL'!$P$5,'CP RESUMO'!BB68,"")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HISTORICOS'!BC26)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RESUMO'!BC26</f>
        <v/>
      </c>
      <c r="N56" s="128">
        <f>MAX(0,M56-M55)</f>
        <v/>
      </c>
      <c r="O56" s="127">
        <f>IF(B56&lt;='VALOR POR PL'!$P$5,'CP RESUMO'!BC68,"")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HISTORICOS'!BD26)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RESUMO'!BD26</f>
        <v/>
      </c>
      <c r="N57" s="128">
        <f>MAX(0,M57-M56)</f>
        <v/>
      </c>
      <c r="O57" s="127">
        <f>IF(B57&lt;='VALOR POR PL'!$P$5,'CP RESUMO'!BD68,"")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HISTORICOS'!BE26)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RESUMO'!BE26</f>
        <v/>
      </c>
      <c r="N58" s="128">
        <f>MAX(0,M58-M57)</f>
        <v/>
      </c>
      <c r="O58" s="127">
        <f>IF(B58&lt;='VALOR POR PL'!$P$5,'CP RESUMO'!BE68,"")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HISTORICOS'!BF26)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RESUMO'!BF26</f>
        <v/>
      </c>
      <c r="N59" s="128">
        <f>MAX(0,M59-M58)</f>
        <v/>
      </c>
      <c r="O59" s="127">
        <f>IF(B59&lt;='VALOR POR PL'!$P$5,'CP RESUMO'!BF68,"")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HISTORICOS'!BG26)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RESUMO'!BG26</f>
        <v/>
      </c>
      <c r="N60" s="128">
        <f>MAX(0,M60-M59)</f>
        <v/>
      </c>
      <c r="O60" s="127">
        <f>IF(B60&lt;='VALOR POR PL'!$P$5,'CP RESUMO'!BG68,"")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HISTORICOS'!BH26)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RESUMO'!BH26</f>
        <v/>
      </c>
      <c r="N61" s="128">
        <f>MAX(0,M61-M60)</f>
        <v/>
      </c>
      <c r="O61" s="127">
        <f>IF(B61&lt;='VALOR POR PL'!$P$5,'CP RESUMO'!BH68,"")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HISTORICOS'!BI26)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RESUMO'!BI26</f>
        <v/>
      </c>
      <c r="N62" s="128">
        <f>MAX(0,M62-M61)</f>
        <v/>
      </c>
      <c r="O62" s="127">
        <f>IF(B62&lt;='VALOR POR PL'!$P$5,'CP RESUMO'!BI68,"")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HISTORICOS'!BJ26)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RESUMO'!BJ26</f>
        <v/>
      </c>
      <c r="N63" s="128">
        <f>MAX(0,M63-M62)</f>
        <v/>
      </c>
      <c r="O63" s="127">
        <f>IF(B63&lt;='VALOR POR PL'!$P$5,'CP RESUMO'!BJ68,"")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HISTORICOS'!BK26)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RESUMO'!BK26</f>
        <v/>
      </c>
      <c r="N64" s="128">
        <f>MAX(0,M64-M63)</f>
        <v/>
      </c>
      <c r="O64" s="127">
        <f>IF(B64&lt;='VALOR POR PL'!$P$5,'CP RESUMO'!BK68,"")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HISTORICOS'!BL26)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RESUMO'!BL26</f>
        <v/>
      </c>
      <c r="N65" s="128">
        <f>MAX(0,M65-M64)</f>
        <v/>
      </c>
      <c r="O65" s="127">
        <f>IF(B65&lt;='VALOR POR PL'!$P$5,'CP RESUMO'!BL68,"")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HISTORICOS'!BM26)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RESUMO'!BM26</f>
        <v/>
      </c>
      <c r="N66" s="128">
        <f>MAX(0,M66-M65)</f>
        <v/>
      </c>
      <c r="O66" s="127">
        <f>IF(B66&lt;='VALOR POR PL'!$P$5,'CP RESUMO'!BM68,"")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HISTORICOS'!BN26)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RESUMO'!BN26</f>
        <v/>
      </c>
      <c r="N67" s="128">
        <f>MAX(0,M67-M66)</f>
        <v/>
      </c>
      <c r="O67" s="127">
        <f>IF(B67&lt;='VALOR POR PL'!$P$5,'CP RESUMO'!BN68,"")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HISTORICOS'!BO26)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RESUMO'!BO26</f>
        <v/>
      </c>
      <c r="N68" s="128">
        <f>MAX(0,M68-M67)</f>
        <v/>
      </c>
      <c r="O68" s="127">
        <f>IF(B68&lt;='VALOR POR PL'!$P$5,'CP RESUMO'!BO68,"")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HISTORICOS'!BP26)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RESUMO'!BP26</f>
        <v/>
      </c>
      <c r="N69" s="128">
        <f>MAX(0,M69-M68)</f>
        <v/>
      </c>
      <c r="O69" s="127">
        <f>IF(B69&lt;='VALOR POR PL'!$P$5,'CP RESUMO'!BP68,"")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HISTORICOS'!BQ26)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RESUMO'!BQ26</f>
        <v/>
      </c>
      <c r="N70" s="128">
        <f>MAX(0,M70-M69)</f>
        <v/>
      </c>
      <c r="O70" s="127">
        <f>IF(B70&lt;='VALOR POR PL'!$P$5,'CP RESUMO'!BQ68,"")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HISTORICOS'!BR26)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RESUMO'!BR26</f>
        <v/>
      </c>
      <c r="N71" s="128">
        <f>MAX(0,M71-M70)</f>
        <v/>
      </c>
      <c r="O71" s="127">
        <f>IF(B71&lt;='VALOR POR PL'!$P$5,'CP RESUMO'!BR68,"")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HISTORICOS'!BS26)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RESUMO'!BS26</f>
        <v/>
      </c>
      <c r="N72" s="128">
        <f>MAX(0,M72-M71)</f>
        <v/>
      </c>
      <c r="O72" s="127">
        <f>IF(B72&lt;='VALOR POR PL'!$P$5,'CP RESUMO'!BS68,"")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HISTORICOS'!BT26)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RESUMO'!BT26</f>
        <v/>
      </c>
      <c r="N73" s="128">
        <f>MAX(0,M73-M72)</f>
        <v/>
      </c>
      <c r="O73" s="127">
        <f>IF(B73&lt;='VALOR POR PL'!$P$5,'CP RESUMO'!BT68,"")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HISTORICOS'!BU26)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RESUMO'!BU26</f>
        <v/>
      </c>
      <c r="N74" s="128">
        <f>MAX(0,M74-M73)</f>
        <v/>
      </c>
      <c r="O74" s="127">
        <f>IF(B74&lt;='VALOR POR PL'!$P$5,'CP RESUMO'!BU68,"")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HISTORICOS'!BV26)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RESUMO'!BV26</f>
        <v/>
      </c>
      <c r="N75" s="128">
        <f>MAX(0,M75-M74)</f>
        <v/>
      </c>
      <c r="O75" s="127">
        <f>IF(B75&lt;='VALOR POR PL'!$P$5,'CP RESUMO'!BV68,"")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HISTORICOS'!BW26)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RESUMO'!BW26</f>
        <v/>
      </c>
      <c r="N76" s="128">
        <f>MAX(0,M76-M75)</f>
        <v/>
      </c>
      <c r="O76" s="127">
        <f>IF(B76&lt;='VALOR POR PL'!$P$5,'CP RESUMO'!BW68,"")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PL'!D33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HISTORICOS'!D27)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PL'!F33</f>
        <v/>
      </c>
      <c r="K5" s="63">
        <f>'VALOR POR PL'!G33</f>
        <v/>
      </c>
      <c r="M5" s="127">
        <f>'CP RESUMO'!D27</f>
        <v/>
      </c>
      <c r="N5" s="128" t="n">
        <v>0</v>
      </c>
      <c r="O5" s="127">
        <f>IF(B5&lt;='VALOR POR PL'!$P$5,'CP RESUMO'!D69,"")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HISTORICOS'!E27)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RESUMO'!E27</f>
        <v/>
      </c>
      <c r="N6" s="128">
        <f>MAX(0,M6-M5)</f>
        <v/>
      </c>
      <c r="O6" s="127">
        <f>IF(B6&lt;='VALOR POR PL'!$P$5,'CP RESUMO'!E69,"")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HISTORICOS'!F27)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PL'!L33</f>
        <v/>
      </c>
      <c r="M7" s="127">
        <f>'CP RESUMO'!F27</f>
        <v/>
      </c>
      <c r="N7" s="128">
        <f>MAX(0,M7-M6)</f>
        <v/>
      </c>
      <c r="O7" s="127">
        <f>IF(B7&lt;='VALOR POR PL'!$P$5,'CP RESUMO'!F69,"")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HISTORICOS'!G27)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RESUMO'!G27</f>
        <v/>
      </c>
      <c r="N8" s="128">
        <f>MAX(0,M8-M7)</f>
        <v/>
      </c>
      <c r="O8" s="127">
        <f>IF(B8&lt;='VALOR POR PL'!$P$5,'CP RESUMO'!G69,"")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HISTORICOS'!H27)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RESUMO'!H27</f>
        <v/>
      </c>
      <c r="N9" s="128">
        <f>MAX(0,M9-M8)</f>
        <v/>
      </c>
      <c r="O9" s="127">
        <f>IF(B9&lt;='VALOR POR PL'!$P$5,'CP RESUMO'!H69,"")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HISTORICOS'!I27)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RESUMO'!I27</f>
        <v/>
      </c>
      <c r="N10" s="128">
        <f>MAX(0,M10-M9)</f>
        <v/>
      </c>
      <c r="O10" s="127">
        <f>IF(B10&lt;='VALOR POR PL'!$P$5,'CP RESUMO'!I69,"")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HISTORICOS'!J27)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RESUMO'!J27</f>
        <v/>
      </c>
      <c r="N11" s="128">
        <f>MAX(0,M11-M10)</f>
        <v/>
      </c>
      <c r="O11" s="127">
        <f>IF(B11&lt;='VALOR POR PL'!$P$5,'CP RESUMO'!J69,"")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HISTORICOS'!K27)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RESUMO'!K27</f>
        <v/>
      </c>
      <c r="N12" s="128">
        <f>MAX(0,M12-M11)</f>
        <v/>
      </c>
      <c r="O12" s="127">
        <f>IF(B12&lt;='VALOR POR PL'!$P$5,'CP RESUMO'!K69,"")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HISTORICOS'!L27)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PL'!I33</f>
        <v/>
      </c>
      <c r="M13" s="127">
        <f>'CP RESUMO'!L27</f>
        <v/>
      </c>
      <c r="N13" s="128">
        <f>MAX(0,M13-M12)</f>
        <v/>
      </c>
      <c r="O13" s="127">
        <f>IF(B13&lt;='VALOR POR PL'!$P$5,'CP RESUMO'!L69,"")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HISTORICOS'!M27)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RESUMO'!$D$69:$BW$69,MATCH('VALOR POR PL'!$P$5,'CP RESUMO'!$D$4:$BW$4,0))/100,0)</f>
        <v/>
      </c>
      <c r="M14" s="127">
        <f>'CP RESUMO'!M27</f>
        <v/>
      </c>
      <c r="N14" s="128">
        <f>MAX(0,M14-M13)</f>
        <v/>
      </c>
      <c r="O14" s="127">
        <f>IF(B14&lt;='VALOR POR PL'!$P$5,'CP RESUMO'!M69,"")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HISTORICOS'!N27)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RESUMO'!N27</f>
        <v/>
      </c>
      <c r="N15" s="128">
        <f>MAX(0,M15-M14)</f>
        <v/>
      </c>
      <c r="O15" s="127">
        <f>IF(B15&lt;='VALOR POR PL'!$P$5,'CP RESUMO'!N69,"")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HISTORICOS'!O27)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RESUMO'!O27</f>
        <v/>
      </c>
      <c r="N16" s="128">
        <f>MAX(0,M16-M15)</f>
        <v/>
      </c>
      <c r="O16" s="127">
        <f>IF(B16&lt;='VALOR POR PL'!$P$5,'CP RESUMO'!O69,"")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HISTORICOS'!P27)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RESUMO'!P27</f>
        <v/>
      </c>
      <c r="N17" s="128">
        <f>MAX(0,M17-M16)</f>
        <v/>
      </c>
      <c r="O17" s="127">
        <f>IF(B17&lt;='VALOR POR PL'!$P$5,'CP RESUMO'!P69,"")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HISTORICOS'!Q27)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RESUMO'!Q27</f>
        <v/>
      </c>
      <c r="N18" s="128">
        <f>MAX(0,M18-M17)</f>
        <v/>
      </c>
      <c r="O18" s="127">
        <f>IF(B18&lt;='VALOR POR PL'!$P$5,'CP RESUMO'!Q69,"")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HISTORICOS'!R27)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RESUMO'!R27</f>
        <v/>
      </c>
      <c r="N19" s="128">
        <f>MAX(0,M19-M18)</f>
        <v/>
      </c>
      <c r="O19" s="127">
        <f>IF(B19&lt;='VALOR POR PL'!$P$5,'CP RESUMO'!R69,"")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HISTORICOS'!S27)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RESUMO'!S27</f>
        <v/>
      </c>
      <c r="N20" s="128">
        <f>MAX(0,M20-M19)</f>
        <v/>
      </c>
      <c r="O20" s="127">
        <f>IF(B20&lt;='VALOR POR PL'!$P$5,'CP RESUMO'!S69,"")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HISTORICOS'!T27)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RESUMO'!T27</f>
        <v/>
      </c>
      <c r="N21" s="128">
        <f>MAX(0,M21-M20)</f>
        <v/>
      </c>
      <c r="O21" s="127">
        <f>IF(B21&lt;='VALOR POR PL'!$P$5,'CP RESUMO'!T69,"")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HISTORICOS'!U27)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RESUMO'!U27</f>
        <v/>
      </c>
      <c r="N22" s="128">
        <f>MAX(0,M22-M21)</f>
        <v/>
      </c>
      <c r="O22" s="127">
        <f>IF(B22&lt;='VALOR POR PL'!$P$5,'CP RESUMO'!U69,"")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HISTORICOS'!V27)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RESUMO'!V27</f>
        <v/>
      </c>
      <c r="N23" s="128">
        <f>MAX(0,M23-M22)</f>
        <v/>
      </c>
      <c r="O23" s="127">
        <f>IF(B23&lt;='VALOR POR PL'!$P$5,'CP RESUMO'!V69,"")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HISTORICOS'!W27)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RESUMO'!W27</f>
        <v/>
      </c>
      <c r="N24" s="128">
        <f>MAX(0,M24-M23)</f>
        <v/>
      </c>
      <c r="O24" s="127">
        <f>IF(B24&lt;='VALOR POR PL'!$P$5,'CP RESUMO'!W69,"")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HISTORICOS'!X27)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RESUMO'!X27</f>
        <v/>
      </c>
      <c r="N25" s="128">
        <f>MAX(0,M25-M24)</f>
        <v/>
      </c>
      <c r="O25" s="127">
        <f>IF(B25&lt;='VALOR POR PL'!$P$5,'CP RESUMO'!X69,"")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HISTORICOS'!Y27)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RESUMO'!Y27</f>
        <v/>
      </c>
      <c r="N26" s="128">
        <f>MAX(0,M26-M25)</f>
        <v/>
      </c>
      <c r="O26" s="127">
        <f>IF(B26&lt;='VALOR POR PL'!$P$5,'CP RESUMO'!Y69,"")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HISTORICOS'!Z27)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RESUMO'!Z27</f>
        <v/>
      </c>
      <c r="N27" s="128">
        <f>MAX(0,M27-M26)</f>
        <v/>
      </c>
      <c r="O27" s="127">
        <f>IF(B27&lt;='VALOR POR PL'!$P$5,'CP RESUMO'!Z69,"")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HISTORICOS'!AA27)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RESUMO'!AA27</f>
        <v/>
      </c>
      <c r="N28" s="128">
        <f>MAX(0,M28-M27)</f>
        <v/>
      </c>
      <c r="O28" s="127">
        <f>IF(B28&lt;='VALOR POR PL'!$P$5,'CP RESUMO'!AA69,"")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HISTORICOS'!AB27)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RESUMO'!AB27</f>
        <v/>
      </c>
      <c r="N29" s="128">
        <f>MAX(0,M29-M28)</f>
        <v/>
      </c>
      <c r="O29" s="127">
        <f>IF(B29&lt;='VALOR POR PL'!$P$5,'CP RESUMO'!AB69,"")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HISTORICOS'!AC27)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RESUMO'!AC27</f>
        <v/>
      </c>
      <c r="N30" s="128">
        <f>MAX(0,M30-M29)</f>
        <v/>
      </c>
      <c r="O30" s="127">
        <f>IF(B30&lt;='VALOR POR PL'!$P$5,'CP RESUMO'!AC69,"")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HISTORICOS'!AD27)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RESUMO'!AD27</f>
        <v/>
      </c>
      <c r="N31" s="128">
        <f>MAX(0,M31-M30)</f>
        <v/>
      </c>
      <c r="O31" s="127">
        <f>IF(B31&lt;='VALOR POR PL'!$P$5,'CP RESUMO'!AD69,"")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HISTORICOS'!AE27)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RESUMO'!AE27</f>
        <v/>
      </c>
      <c r="N32" s="128">
        <f>MAX(0,M32-M31)</f>
        <v/>
      </c>
      <c r="O32" s="127">
        <f>IF(B32&lt;='VALOR POR PL'!$P$5,'CP RESUMO'!AE69,"")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HISTORICOS'!AF27)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RESUMO'!AF27</f>
        <v/>
      </c>
      <c r="N33" s="128">
        <f>MAX(0,M33-M32)</f>
        <v/>
      </c>
      <c r="O33" s="127">
        <f>IF(B33&lt;='VALOR POR PL'!$P$5,'CP RESUMO'!AF69,"")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HISTORICOS'!AG27)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RESUMO'!AG27</f>
        <v/>
      </c>
      <c r="N34" s="128">
        <f>MAX(0,M34-M33)</f>
        <v/>
      </c>
      <c r="O34" s="127">
        <f>IF(B34&lt;='VALOR POR PL'!$P$5,'CP RESUMO'!AG69,"")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HISTORICOS'!AH27)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RESUMO'!AH27</f>
        <v/>
      </c>
      <c r="N35" s="128">
        <f>MAX(0,M35-M34)</f>
        <v/>
      </c>
      <c r="O35" s="127">
        <f>IF(B35&lt;='VALOR POR PL'!$P$5,'CP RESUMO'!AH69,"")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HISTORICOS'!AI27)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RESUMO'!AI27</f>
        <v/>
      </c>
      <c r="N36" s="128">
        <f>MAX(0,M36-M35)</f>
        <v/>
      </c>
      <c r="O36" s="127">
        <f>IF(B36&lt;='VALOR POR PL'!$P$5,'CP RESUMO'!AI69,"")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HISTORICOS'!AJ27)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RESUMO'!AJ27</f>
        <v/>
      </c>
      <c r="N37" s="128">
        <f>MAX(0,M37-M36)</f>
        <v/>
      </c>
      <c r="O37" s="127">
        <f>IF(B37&lt;='VALOR POR PL'!$P$5,'CP RESUMO'!AJ69,"")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HISTORICOS'!AK27)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RESUMO'!AK27</f>
        <v/>
      </c>
      <c r="N38" s="128">
        <f>MAX(0,M38-M37)</f>
        <v/>
      </c>
      <c r="O38" s="127">
        <f>IF(B38&lt;='VALOR POR PL'!$P$5,'CP RESUMO'!AK69,"")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HISTORICOS'!AL27)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RESUMO'!AL27</f>
        <v/>
      </c>
      <c r="N39" s="128">
        <f>MAX(0,M39-M38)</f>
        <v/>
      </c>
      <c r="O39" s="127">
        <f>IF(B39&lt;='VALOR POR PL'!$P$5,'CP RESUMO'!AL69,"")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HISTORICOS'!AM27)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RESUMO'!AM27</f>
        <v/>
      </c>
      <c r="N40" s="128">
        <f>MAX(0,M40-M39)</f>
        <v/>
      </c>
      <c r="O40" s="127">
        <f>IF(B40&lt;='VALOR POR PL'!$P$5,'CP RESUMO'!AM69,"")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HISTORICOS'!AN27)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RESUMO'!AN27</f>
        <v/>
      </c>
      <c r="N41" s="128">
        <f>MAX(0,M41-M40)</f>
        <v/>
      </c>
      <c r="O41" s="127">
        <f>IF(B41&lt;='VALOR POR PL'!$P$5,'CP RESUMO'!AN69,"")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HISTORICOS'!AO27)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RESUMO'!AO27</f>
        <v/>
      </c>
      <c r="N42" s="128">
        <f>MAX(0,M42-M41)</f>
        <v/>
      </c>
      <c r="O42" s="127">
        <f>IF(B42&lt;='VALOR POR PL'!$P$5,'CP RESUMO'!AO69,"")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HISTORICOS'!AP27)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RESUMO'!AP27</f>
        <v/>
      </c>
      <c r="N43" s="128">
        <f>MAX(0,M43-M42)</f>
        <v/>
      </c>
      <c r="O43" s="127">
        <f>IF(B43&lt;='VALOR POR PL'!$P$5,'CP RESUMO'!AP69,"")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HISTORICOS'!AQ27)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RESUMO'!AQ27</f>
        <v/>
      </c>
      <c r="N44" s="128">
        <f>MAX(0,M44-M43)</f>
        <v/>
      </c>
      <c r="O44" s="127">
        <f>IF(B44&lt;='VALOR POR PL'!$P$5,'CP RESUMO'!AQ69,"")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HISTORICOS'!AR27)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RESUMO'!AR27</f>
        <v/>
      </c>
      <c r="N45" s="128">
        <f>MAX(0,M45-M44)</f>
        <v/>
      </c>
      <c r="O45" s="127">
        <f>IF(B45&lt;='VALOR POR PL'!$P$5,'CP RESUMO'!AR69,"")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HISTORICOS'!AS27)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RESUMO'!AS27</f>
        <v/>
      </c>
      <c r="N46" s="128">
        <f>MAX(0,M46-M45)</f>
        <v/>
      </c>
      <c r="O46" s="127">
        <f>IF(B46&lt;='VALOR POR PL'!$P$5,'CP RESUMO'!AS69,"")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HISTORICOS'!AT27)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RESUMO'!AT27</f>
        <v/>
      </c>
      <c r="N47" s="128">
        <f>MAX(0,M47-M46)</f>
        <v/>
      </c>
      <c r="O47" s="127">
        <f>IF(B47&lt;='VALOR POR PL'!$P$5,'CP RESUMO'!AT69,"")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HISTORICOS'!AU27)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RESUMO'!AU27</f>
        <v/>
      </c>
      <c r="N48" s="128">
        <f>MAX(0,M48-M47)</f>
        <v/>
      </c>
      <c r="O48" s="127">
        <f>IF(B48&lt;='VALOR POR PL'!$P$5,'CP RESUMO'!AU69,"")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HISTORICOS'!AV27)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RESUMO'!AV27</f>
        <v/>
      </c>
      <c r="N49" s="128">
        <f>MAX(0,M49-M48)</f>
        <v/>
      </c>
      <c r="O49" s="127">
        <f>IF(B49&lt;='VALOR POR PL'!$P$5,'CP RESUMO'!AV69,"")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HISTORICOS'!AW27)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RESUMO'!AW27</f>
        <v/>
      </c>
      <c r="N50" s="128">
        <f>MAX(0,M50-M49)</f>
        <v/>
      </c>
      <c r="O50" s="127">
        <f>IF(B50&lt;='VALOR POR PL'!$P$5,'CP RESUMO'!AW69,"")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HISTORICOS'!AX27)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RESUMO'!AX27</f>
        <v/>
      </c>
      <c r="N51" s="128">
        <f>MAX(0,M51-M50)</f>
        <v/>
      </c>
      <c r="O51" s="127">
        <f>IF(B51&lt;='VALOR POR PL'!$P$5,'CP RESUMO'!AX69,"")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HISTORICOS'!AY27)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RESUMO'!AY27</f>
        <v/>
      </c>
      <c r="N52" s="128">
        <f>MAX(0,M52-M51)</f>
        <v/>
      </c>
      <c r="O52" s="127">
        <f>IF(B52&lt;='VALOR POR PL'!$P$5,'CP RESUMO'!AY69,"")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HISTORICOS'!AZ27)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RESUMO'!AZ27</f>
        <v/>
      </c>
      <c r="N53" s="128">
        <f>MAX(0,M53-M52)</f>
        <v/>
      </c>
      <c r="O53" s="127">
        <f>IF(B53&lt;='VALOR POR PL'!$P$5,'CP RESUMO'!AZ69,"")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HISTORICOS'!BA27)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RESUMO'!BA27</f>
        <v/>
      </c>
      <c r="N54" s="128">
        <f>MAX(0,M54-M53)</f>
        <v/>
      </c>
      <c r="O54" s="127">
        <f>IF(B54&lt;='VALOR POR PL'!$P$5,'CP RESUMO'!BA69,"")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HISTORICOS'!BB27)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RESUMO'!BB27</f>
        <v/>
      </c>
      <c r="N55" s="128">
        <f>MAX(0,M55-M54)</f>
        <v/>
      </c>
      <c r="O55" s="127">
        <f>IF(B55&lt;='VALOR POR PL'!$P$5,'CP RESUMO'!BB69,"")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HISTORICOS'!BC27)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RESUMO'!BC27</f>
        <v/>
      </c>
      <c r="N56" s="128">
        <f>MAX(0,M56-M55)</f>
        <v/>
      </c>
      <c r="O56" s="127">
        <f>IF(B56&lt;='VALOR POR PL'!$P$5,'CP RESUMO'!BC69,"")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HISTORICOS'!BD27)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RESUMO'!BD27</f>
        <v/>
      </c>
      <c r="N57" s="128">
        <f>MAX(0,M57-M56)</f>
        <v/>
      </c>
      <c r="O57" s="127">
        <f>IF(B57&lt;='VALOR POR PL'!$P$5,'CP RESUMO'!BD69,"")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HISTORICOS'!BE27)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RESUMO'!BE27</f>
        <v/>
      </c>
      <c r="N58" s="128">
        <f>MAX(0,M58-M57)</f>
        <v/>
      </c>
      <c r="O58" s="127">
        <f>IF(B58&lt;='VALOR POR PL'!$P$5,'CP RESUMO'!BE69,"")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HISTORICOS'!BF27)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RESUMO'!BF27</f>
        <v/>
      </c>
      <c r="N59" s="128">
        <f>MAX(0,M59-M58)</f>
        <v/>
      </c>
      <c r="O59" s="127">
        <f>IF(B59&lt;='VALOR POR PL'!$P$5,'CP RESUMO'!BF69,"")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HISTORICOS'!BG27)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RESUMO'!BG27</f>
        <v/>
      </c>
      <c r="N60" s="128">
        <f>MAX(0,M60-M59)</f>
        <v/>
      </c>
      <c r="O60" s="127">
        <f>IF(B60&lt;='VALOR POR PL'!$P$5,'CP RESUMO'!BG69,"")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HISTORICOS'!BH27)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RESUMO'!BH27</f>
        <v/>
      </c>
      <c r="N61" s="128">
        <f>MAX(0,M61-M60)</f>
        <v/>
      </c>
      <c r="O61" s="127">
        <f>IF(B61&lt;='VALOR POR PL'!$P$5,'CP RESUMO'!BH69,"")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HISTORICOS'!BI27)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RESUMO'!BI27</f>
        <v/>
      </c>
      <c r="N62" s="128">
        <f>MAX(0,M62-M61)</f>
        <v/>
      </c>
      <c r="O62" s="127">
        <f>IF(B62&lt;='VALOR POR PL'!$P$5,'CP RESUMO'!BI69,"")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HISTORICOS'!BJ27)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RESUMO'!BJ27</f>
        <v/>
      </c>
      <c r="N63" s="128">
        <f>MAX(0,M63-M62)</f>
        <v/>
      </c>
      <c r="O63" s="127">
        <f>IF(B63&lt;='VALOR POR PL'!$P$5,'CP RESUMO'!BJ69,"")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HISTORICOS'!BK27)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RESUMO'!BK27</f>
        <v/>
      </c>
      <c r="N64" s="128">
        <f>MAX(0,M64-M63)</f>
        <v/>
      </c>
      <c r="O64" s="127">
        <f>IF(B64&lt;='VALOR POR PL'!$P$5,'CP RESUMO'!BK69,"")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HISTORICOS'!BL27)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RESUMO'!BL27</f>
        <v/>
      </c>
      <c r="N65" s="128">
        <f>MAX(0,M65-M64)</f>
        <v/>
      </c>
      <c r="O65" s="127">
        <f>IF(B65&lt;='VALOR POR PL'!$P$5,'CP RESUMO'!BL69,"")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HISTORICOS'!BM27)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RESUMO'!BM27</f>
        <v/>
      </c>
      <c r="N66" s="128">
        <f>MAX(0,M66-M65)</f>
        <v/>
      </c>
      <c r="O66" s="127">
        <f>IF(B66&lt;='VALOR POR PL'!$P$5,'CP RESUMO'!BM69,"")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HISTORICOS'!BN27)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RESUMO'!BN27</f>
        <v/>
      </c>
      <c r="N67" s="128">
        <f>MAX(0,M67-M66)</f>
        <v/>
      </c>
      <c r="O67" s="127">
        <f>IF(B67&lt;='VALOR POR PL'!$P$5,'CP RESUMO'!BN69,"")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HISTORICOS'!BO27)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RESUMO'!BO27</f>
        <v/>
      </c>
      <c r="N68" s="128">
        <f>MAX(0,M68-M67)</f>
        <v/>
      </c>
      <c r="O68" s="127">
        <f>IF(B68&lt;='VALOR POR PL'!$P$5,'CP RESUMO'!BO69,"")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HISTORICOS'!BP27)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RESUMO'!BP27</f>
        <v/>
      </c>
      <c r="N69" s="128">
        <f>MAX(0,M69-M68)</f>
        <v/>
      </c>
      <c r="O69" s="127">
        <f>IF(B69&lt;='VALOR POR PL'!$P$5,'CP RESUMO'!BP69,"")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HISTORICOS'!BQ27)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RESUMO'!BQ27</f>
        <v/>
      </c>
      <c r="N70" s="128">
        <f>MAX(0,M70-M69)</f>
        <v/>
      </c>
      <c r="O70" s="127">
        <f>IF(B70&lt;='VALOR POR PL'!$P$5,'CP RESUMO'!BQ69,"")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HISTORICOS'!BR27)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RESUMO'!BR27</f>
        <v/>
      </c>
      <c r="N71" s="128">
        <f>MAX(0,M71-M70)</f>
        <v/>
      </c>
      <c r="O71" s="127">
        <f>IF(B71&lt;='VALOR POR PL'!$P$5,'CP RESUMO'!BR69,"")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HISTORICOS'!BS27)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RESUMO'!BS27</f>
        <v/>
      </c>
      <c r="N72" s="128">
        <f>MAX(0,M72-M71)</f>
        <v/>
      </c>
      <c r="O72" s="127">
        <f>IF(B72&lt;='VALOR POR PL'!$P$5,'CP RESUMO'!BS69,"")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HISTORICOS'!BT27)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RESUMO'!BT27</f>
        <v/>
      </c>
      <c r="N73" s="128">
        <f>MAX(0,M73-M72)</f>
        <v/>
      </c>
      <c r="O73" s="127">
        <f>IF(B73&lt;='VALOR POR PL'!$P$5,'CP RESUMO'!BT69,"")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HISTORICOS'!BU27)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RESUMO'!BU27</f>
        <v/>
      </c>
      <c r="N74" s="128">
        <f>MAX(0,M74-M73)</f>
        <v/>
      </c>
      <c r="O74" s="127">
        <f>IF(B74&lt;='VALOR POR PL'!$P$5,'CP RESUMO'!BU69,"")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HISTORICOS'!BV27)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RESUMO'!BV27</f>
        <v/>
      </c>
      <c r="N75" s="128">
        <f>MAX(0,M75-M74)</f>
        <v/>
      </c>
      <c r="O75" s="127">
        <f>IF(B75&lt;='VALOR POR PL'!$P$5,'CP RESUMO'!BV69,"")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HISTORICOS'!BW27)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RESUMO'!BW27</f>
        <v/>
      </c>
      <c r="N76" s="128">
        <f>MAX(0,M76-M75)</f>
        <v/>
      </c>
      <c r="O76" s="127">
        <f>IF(B76&lt;='VALOR POR PL'!$P$5,'CP RESUMO'!BW69,"")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PL'!D34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HISTORICOS'!D28)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PL'!F34</f>
        <v/>
      </c>
      <c r="K5" s="63">
        <f>'VALOR POR PL'!G34</f>
        <v/>
      </c>
      <c r="M5" s="127">
        <f>'CP RESUMO'!D28</f>
        <v/>
      </c>
      <c r="N5" s="128" t="n">
        <v>0</v>
      </c>
      <c r="O5" s="127">
        <f>IF(B5&lt;='VALOR POR PL'!$P$5,'CP RESUMO'!D70,"")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HISTORICOS'!E28)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RESUMO'!E28</f>
        <v/>
      </c>
      <c r="N6" s="128">
        <f>MAX(0,M6-M5)</f>
        <v/>
      </c>
      <c r="O6" s="127">
        <f>IF(B6&lt;='VALOR POR PL'!$P$5,'CP RESUMO'!E70,"")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HISTORICOS'!F28)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PL'!L34</f>
        <v/>
      </c>
      <c r="M7" s="127">
        <f>'CP RESUMO'!F28</f>
        <v/>
      </c>
      <c r="N7" s="128">
        <f>MAX(0,M7-M6)</f>
        <v/>
      </c>
      <c r="O7" s="127">
        <f>IF(B7&lt;='VALOR POR PL'!$P$5,'CP RESUMO'!F70,"")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HISTORICOS'!G28)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RESUMO'!G28</f>
        <v/>
      </c>
      <c r="N8" s="128">
        <f>MAX(0,M8-M7)</f>
        <v/>
      </c>
      <c r="O8" s="127">
        <f>IF(B8&lt;='VALOR POR PL'!$P$5,'CP RESUMO'!G70,"")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HISTORICOS'!H28)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RESUMO'!H28</f>
        <v/>
      </c>
      <c r="N9" s="128">
        <f>MAX(0,M9-M8)</f>
        <v/>
      </c>
      <c r="O9" s="127">
        <f>IF(B9&lt;='VALOR POR PL'!$P$5,'CP RESUMO'!H70,"")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HISTORICOS'!I28)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RESUMO'!I28</f>
        <v/>
      </c>
      <c r="N10" s="128">
        <f>MAX(0,M10-M9)</f>
        <v/>
      </c>
      <c r="O10" s="127">
        <f>IF(B10&lt;='VALOR POR PL'!$P$5,'CP RESUMO'!I70,"")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HISTORICOS'!J28)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RESUMO'!J28</f>
        <v/>
      </c>
      <c r="N11" s="128">
        <f>MAX(0,M11-M10)</f>
        <v/>
      </c>
      <c r="O11" s="127">
        <f>IF(B11&lt;='VALOR POR PL'!$P$5,'CP RESUMO'!J70,"")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HISTORICOS'!K28)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RESUMO'!K28</f>
        <v/>
      </c>
      <c r="N12" s="128">
        <f>MAX(0,M12-M11)</f>
        <v/>
      </c>
      <c r="O12" s="127">
        <f>IF(B12&lt;='VALOR POR PL'!$P$5,'CP RESUMO'!K70,"")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HISTORICOS'!L28)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PL'!I34</f>
        <v/>
      </c>
      <c r="M13" s="127">
        <f>'CP RESUMO'!L28</f>
        <v/>
      </c>
      <c r="N13" s="128">
        <f>MAX(0,M13-M12)</f>
        <v/>
      </c>
      <c r="O13" s="127">
        <f>IF(B13&lt;='VALOR POR PL'!$P$5,'CP RESUMO'!L70,"")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HISTORICOS'!M28)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RESUMO'!$D$70:$BW$70,MATCH('VALOR POR PL'!$P$5,'CP RESUMO'!$D$4:$BW$4,0))/100,0)</f>
        <v/>
      </c>
      <c r="M14" s="127">
        <f>'CP RESUMO'!M28</f>
        <v/>
      </c>
      <c r="N14" s="128">
        <f>MAX(0,M14-M13)</f>
        <v/>
      </c>
      <c r="O14" s="127">
        <f>IF(B14&lt;='VALOR POR PL'!$P$5,'CP RESUMO'!M70,"")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HISTORICOS'!N28)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PREVISÃO INFORMADA</t>
        </is>
      </c>
      <c r="M15" s="127">
        <f>'CP RESUMO'!N28</f>
        <v/>
      </c>
      <c r="N15" s="128">
        <f>MAX(0,M15-M14)</f>
        <v/>
      </c>
      <c r="O15" s="127">
        <f>IF(B15&lt;='VALOR POR PL'!$P$5,'CP RESUMO'!N70,"")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HISTORICOS'!O28)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RESUMO'!O28</f>
        <v/>
      </c>
      <c r="N16" s="128">
        <f>MAX(0,M16-M15)</f>
        <v/>
      </c>
      <c r="O16" s="127">
        <f>IF(B16&lt;='VALOR POR PL'!$P$5,'CP RESUMO'!O70,"")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HISTORICOS'!P28)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RESUMO'!P28</f>
        <v/>
      </c>
      <c r="N17" s="128">
        <f>MAX(0,M17-M16)</f>
        <v/>
      </c>
      <c r="O17" s="127">
        <f>IF(B17&lt;='VALOR POR PL'!$P$5,'CP RESUMO'!P70,"")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HISTORICOS'!Q28)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RESUMO'!Q28</f>
        <v/>
      </c>
      <c r="N18" s="128">
        <f>MAX(0,M18-M17)</f>
        <v/>
      </c>
      <c r="O18" s="127">
        <f>IF(B18&lt;='VALOR POR PL'!$P$5,'CP RESUMO'!Q70,"")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HISTORICOS'!R28)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RESUMO'!R28</f>
        <v/>
      </c>
      <c r="N19" s="128">
        <f>MAX(0,M19-M18)</f>
        <v/>
      </c>
      <c r="O19" s="127">
        <f>IF(B19&lt;='VALOR POR PL'!$P$5,'CP RESUMO'!R70,"")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HISTORICOS'!S28)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RESUMO'!S28</f>
        <v/>
      </c>
      <c r="N20" s="128">
        <f>MAX(0,M20-M19)</f>
        <v/>
      </c>
      <c r="O20" s="127">
        <f>IF(B20&lt;='VALOR POR PL'!$P$5,'CP RESUMO'!S70,"")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HISTORICOS'!T28)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RESUMO'!T28</f>
        <v/>
      </c>
      <c r="N21" s="128">
        <f>MAX(0,M21-M20)</f>
        <v/>
      </c>
      <c r="O21" s="127">
        <f>IF(B21&lt;='VALOR POR PL'!$P$5,'CP RESUMO'!T70,"")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HISTORICOS'!U28)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RESUMO'!U28</f>
        <v/>
      </c>
      <c r="N22" s="128">
        <f>MAX(0,M22-M21)</f>
        <v/>
      </c>
      <c r="O22" s="127">
        <f>IF(B22&lt;='VALOR POR PL'!$P$5,'CP RESUMO'!U70,"")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HISTORICOS'!V28)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RESUMO'!V28</f>
        <v/>
      </c>
      <c r="N23" s="128">
        <f>MAX(0,M23-M22)</f>
        <v/>
      </c>
      <c r="O23" s="127">
        <f>IF(B23&lt;='VALOR POR PL'!$P$5,'CP RESUMO'!V70,"")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HISTORICOS'!W28)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inlineStr">
        <is>
          <t>Previsão informada mantida (decisão do usuário). Premissa: pedido 1 ano antes, 12 pagamentos.</t>
        </is>
      </c>
      <c r="M24" s="127">
        <f>'CP RESUMO'!W28</f>
        <v/>
      </c>
      <c r="N24" s="128">
        <f>MAX(0,M24-M23)</f>
        <v/>
      </c>
      <c r="O24" s="127">
        <f>IF(B24&lt;='VALOR POR PL'!$P$5,'CP RESUMO'!W70,"")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HISTORICOS'!X28)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RESUMO'!X28</f>
        <v/>
      </c>
      <c r="N25" s="128">
        <f>MAX(0,M25-M24)</f>
        <v/>
      </c>
      <c r="O25" s="127">
        <f>IF(B25&lt;='VALOR POR PL'!$P$5,'CP RESUMO'!X70,"")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HISTORICOS'!Y28)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RESUMO'!Y28</f>
        <v/>
      </c>
      <c r="N26" s="128">
        <f>MAX(0,M26-M25)</f>
        <v/>
      </c>
      <c r="O26" s="127">
        <f>IF(B26&lt;='VALOR POR PL'!$P$5,'CP RESUMO'!Y70,"")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HISTORICOS'!Z28)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RESUMO'!Z28</f>
        <v/>
      </c>
      <c r="N27" s="128">
        <f>MAX(0,M27-M26)</f>
        <v/>
      </c>
      <c r="O27" s="127">
        <f>IF(B27&lt;='VALOR POR PL'!$P$5,'CP RESUMO'!Z70,"")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HISTORICOS'!AA28)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RESUMO'!AA28</f>
        <v/>
      </c>
      <c r="N28" s="128">
        <f>MAX(0,M28-M27)</f>
        <v/>
      </c>
      <c r="O28" s="127">
        <f>IF(B28&lt;='VALOR POR PL'!$P$5,'CP RESUMO'!AA70,"")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HISTORICOS'!AB28)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RESUMO'!AB28</f>
        <v/>
      </c>
      <c r="N29" s="128">
        <f>MAX(0,M29-M28)</f>
        <v/>
      </c>
      <c r="O29" s="127">
        <f>IF(B29&lt;='VALOR POR PL'!$P$5,'CP RESUMO'!AB70,"")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HISTORICOS'!AC28)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RESUMO'!AC28</f>
        <v/>
      </c>
      <c r="N30" s="128">
        <f>MAX(0,M30-M29)</f>
        <v/>
      </c>
      <c r="O30" s="127">
        <f>IF(B30&lt;='VALOR POR PL'!$P$5,'CP RESUMO'!AC70,"")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HISTORICOS'!AD28)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RESUMO'!AD28</f>
        <v/>
      </c>
      <c r="N31" s="128">
        <f>MAX(0,M31-M30)</f>
        <v/>
      </c>
      <c r="O31" s="127">
        <f>IF(B31&lt;='VALOR POR PL'!$P$5,'CP RESUMO'!AD70,"")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HISTORICOS'!AE28)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RESUMO'!AE28</f>
        <v/>
      </c>
      <c r="N32" s="128">
        <f>MAX(0,M32-M31)</f>
        <v/>
      </c>
      <c r="O32" s="127">
        <f>IF(B32&lt;='VALOR POR PL'!$P$5,'CP RESUMO'!AE70,"")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HISTORICOS'!AF28)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RESUMO'!AF28</f>
        <v/>
      </c>
      <c r="N33" s="128">
        <f>MAX(0,M33-M32)</f>
        <v/>
      </c>
      <c r="O33" s="127">
        <f>IF(B33&lt;='VALOR POR PL'!$P$5,'CP RESUMO'!AF70,"")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HISTORICOS'!AG28)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RESUMO'!AG28</f>
        <v/>
      </c>
      <c r="N34" s="128">
        <f>MAX(0,M34-M33)</f>
        <v/>
      </c>
      <c r="O34" s="127">
        <f>IF(B34&lt;='VALOR POR PL'!$P$5,'CP RESUMO'!AG70,"")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HISTORICOS'!AH28)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RESUMO'!AH28</f>
        <v/>
      </c>
      <c r="N35" s="128">
        <f>MAX(0,M35-M34)</f>
        <v/>
      </c>
      <c r="O35" s="127">
        <f>IF(B35&lt;='VALOR POR PL'!$P$5,'CP RESUMO'!AH70,"")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HISTORICOS'!AI28)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RESUMO'!AI28</f>
        <v/>
      </c>
      <c r="N36" s="128">
        <f>MAX(0,M36-M35)</f>
        <v/>
      </c>
      <c r="O36" s="127">
        <f>IF(B36&lt;='VALOR POR PL'!$P$5,'CP RESUMO'!AI70,"")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HISTORICOS'!AJ28)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RESUMO'!AJ28</f>
        <v/>
      </c>
      <c r="N37" s="128">
        <f>MAX(0,M37-M36)</f>
        <v/>
      </c>
      <c r="O37" s="127">
        <f>IF(B37&lt;='VALOR POR PL'!$P$5,'CP RESUMO'!AJ70,"")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HISTORICOS'!AK28)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RESUMO'!AK28</f>
        <v/>
      </c>
      <c r="N38" s="128">
        <f>MAX(0,M38-M37)</f>
        <v/>
      </c>
      <c r="O38" s="127">
        <f>IF(B38&lt;='VALOR POR PL'!$P$5,'CP RESUMO'!AK70,"")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HISTORICOS'!AL28)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RESUMO'!AL28</f>
        <v/>
      </c>
      <c r="N39" s="128">
        <f>MAX(0,M39-M38)</f>
        <v/>
      </c>
      <c r="O39" s="127">
        <f>IF(B39&lt;='VALOR POR PL'!$P$5,'CP RESUMO'!AL70,"")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HISTORICOS'!AM28)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RESUMO'!AM28</f>
        <v/>
      </c>
      <c r="N40" s="128">
        <f>MAX(0,M40-M39)</f>
        <v/>
      </c>
      <c r="O40" s="127">
        <f>IF(B40&lt;='VALOR POR PL'!$P$5,'CP RESUMO'!AM70,"")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HISTORICOS'!AN28)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RESUMO'!AN28</f>
        <v/>
      </c>
      <c r="N41" s="128">
        <f>MAX(0,M41-M40)</f>
        <v/>
      </c>
      <c r="O41" s="127">
        <f>IF(B41&lt;='VALOR POR PL'!$P$5,'CP RESUMO'!AN70,"")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HISTORICOS'!AO28)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RESUMO'!AO28</f>
        <v/>
      </c>
      <c r="N42" s="128">
        <f>MAX(0,M42-M41)</f>
        <v/>
      </c>
      <c r="O42" s="127">
        <f>IF(B42&lt;='VALOR POR PL'!$P$5,'CP RESUMO'!AO70,"")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HISTORICOS'!AP28)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RESUMO'!AP28</f>
        <v/>
      </c>
      <c r="N43" s="128">
        <f>MAX(0,M43-M42)</f>
        <v/>
      </c>
      <c r="O43" s="127">
        <f>IF(B43&lt;='VALOR POR PL'!$P$5,'CP RESUMO'!AP70,"")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HISTORICOS'!AQ28)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RESUMO'!AQ28</f>
        <v/>
      </c>
      <c r="N44" s="128">
        <f>MAX(0,M44-M43)</f>
        <v/>
      </c>
      <c r="O44" s="127">
        <f>IF(B44&lt;='VALOR POR PL'!$P$5,'CP RESUMO'!AQ70,"")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HISTORICOS'!AR28)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RESUMO'!AR28</f>
        <v/>
      </c>
      <c r="N45" s="128">
        <f>MAX(0,M45-M44)</f>
        <v/>
      </c>
      <c r="O45" s="127">
        <f>IF(B45&lt;='VALOR POR PL'!$P$5,'CP RESUMO'!AR70,"")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HISTORICOS'!AS28)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RESUMO'!AS28</f>
        <v/>
      </c>
      <c r="N46" s="128">
        <f>MAX(0,M46-M45)</f>
        <v/>
      </c>
      <c r="O46" s="127">
        <f>IF(B46&lt;='VALOR POR PL'!$P$5,'CP RESUMO'!AS70,"")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HISTORICOS'!AT28)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RESUMO'!AT28</f>
        <v/>
      </c>
      <c r="N47" s="128">
        <f>MAX(0,M47-M46)</f>
        <v/>
      </c>
      <c r="O47" s="127">
        <f>IF(B47&lt;='VALOR POR PL'!$P$5,'CP RESUMO'!AT70,"")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HISTORICOS'!AU28)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RESUMO'!AU28</f>
        <v/>
      </c>
      <c r="N48" s="128">
        <f>MAX(0,M48-M47)</f>
        <v/>
      </c>
      <c r="O48" s="127">
        <f>IF(B48&lt;='VALOR POR PL'!$P$5,'CP RESUMO'!AU70,"")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HISTORICOS'!AV28)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RESUMO'!AV28</f>
        <v/>
      </c>
      <c r="N49" s="128">
        <f>MAX(0,M49-M48)</f>
        <v/>
      </c>
      <c r="O49" s="127">
        <f>IF(B49&lt;='VALOR POR PL'!$P$5,'CP RESUMO'!AV70,"")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HISTORICOS'!AW28)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RESUMO'!AW28</f>
        <v/>
      </c>
      <c r="N50" s="128">
        <f>MAX(0,M50-M49)</f>
        <v/>
      </c>
      <c r="O50" s="127">
        <f>IF(B50&lt;='VALOR POR PL'!$P$5,'CP RESUMO'!AW70,"")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HISTORICOS'!AX28)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RESUMO'!AX28</f>
        <v/>
      </c>
      <c r="N51" s="128">
        <f>MAX(0,M51-M50)</f>
        <v/>
      </c>
      <c r="O51" s="127">
        <f>IF(B51&lt;='VALOR POR PL'!$P$5,'CP RESUMO'!AX70,"")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HISTORICOS'!AY28)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RESUMO'!AY28</f>
        <v/>
      </c>
      <c r="N52" s="128">
        <f>MAX(0,M52-M51)</f>
        <v/>
      </c>
      <c r="O52" s="127">
        <f>IF(B52&lt;='VALOR POR PL'!$P$5,'CP RESUMO'!AY70,"")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HISTORICOS'!AZ28)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RESUMO'!AZ28</f>
        <v/>
      </c>
      <c r="N53" s="128">
        <f>MAX(0,M53-M52)</f>
        <v/>
      </c>
      <c r="O53" s="127">
        <f>IF(B53&lt;='VALOR POR PL'!$P$5,'CP RESUMO'!AZ70,"")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HISTORICOS'!BA28)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RESUMO'!BA28</f>
        <v/>
      </c>
      <c r="N54" s="128">
        <f>MAX(0,M54-M53)</f>
        <v/>
      </c>
      <c r="O54" s="127">
        <f>IF(B54&lt;='VALOR POR PL'!$P$5,'CP RESUMO'!BA70,"")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HISTORICOS'!BB28)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RESUMO'!BB28</f>
        <v/>
      </c>
      <c r="N55" s="128">
        <f>MAX(0,M55-M54)</f>
        <v/>
      </c>
      <c r="O55" s="127">
        <f>IF(B55&lt;='VALOR POR PL'!$P$5,'CP RESUMO'!BB70,"")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HISTORICOS'!BC28)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RESUMO'!BC28</f>
        <v/>
      </c>
      <c r="N56" s="128">
        <f>MAX(0,M56-M55)</f>
        <v/>
      </c>
      <c r="O56" s="127">
        <f>IF(B56&lt;='VALOR POR PL'!$P$5,'CP RESUMO'!BC70,"")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HISTORICOS'!BD28)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RESUMO'!BD28</f>
        <v/>
      </c>
      <c r="N57" s="128">
        <f>MAX(0,M57-M56)</f>
        <v/>
      </c>
      <c r="O57" s="127">
        <f>IF(B57&lt;='VALOR POR PL'!$P$5,'CP RESUMO'!BD70,"")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HISTORICOS'!BE28)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RESUMO'!BE28</f>
        <v/>
      </c>
      <c r="N58" s="128">
        <f>MAX(0,M58-M57)</f>
        <v/>
      </c>
      <c r="O58" s="127">
        <f>IF(B58&lt;='VALOR POR PL'!$P$5,'CP RESUMO'!BE70,"")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HISTORICOS'!BF28)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RESUMO'!BF28</f>
        <v/>
      </c>
      <c r="N59" s="128">
        <f>MAX(0,M59-M58)</f>
        <v/>
      </c>
      <c r="O59" s="127">
        <f>IF(B59&lt;='VALOR POR PL'!$P$5,'CP RESUMO'!BF70,"")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HISTORICOS'!BG28)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RESUMO'!BG28</f>
        <v/>
      </c>
      <c r="N60" s="128">
        <f>MAX(0,M60-M59)</f>
        <v/>
      </c>
      <c r="O60" s="127">
        <f>IF(B60&lt;='VALOR POR PL'!$P$5,'CP RESUMO'!BG70,"")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HISTORICOS'!BH28)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RESUMO'!BH28</f>
        <v/>
      </c>
      <c r="N61" s="128">
        <f>MAX(0,M61-M60)</f>
        <v/>
      </c>
      <c r="O61" s="127">
        <f>IF(B61&lt;='VALOR POR PL'!$P$5,'CP RESUMO'!BH70,"")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HISTORICOS'!BI28)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RESUMO'!BI28</f>
        <v/>
      </c>
      <c r="N62" s="128">
        <f>MAX(0,M62-M61)</f>
        <v/>
      </c>
      <c r="O62" s="127">
        <f>IF(B62&lt;='VALOR POR PL'!$P$5,'CP RESUMO'!BI70,"")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HISTORICOS'!BJ28)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RESUMO'!BJ28</f>
        <v/>
      </c>
      <c r="N63" s="128">
        <f>MAX(0,M63-M62)</f>
        <v/>
      </c>
      <c r="O63" s="127">
        <f>IF(B63&lt;='VALOR POR PL'!$P$5,'CP RESUMO'!BJ70,"")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HISTORICOS'!BK28)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RESUMO'!BK28</f>
        <v/>
      </c>
      <c r="N64" s="128">
        <f>MAX(0,M64-M63)</f>
        <v/>
      </c>
      <c r="O64" s="127">
        <f>IF(B64&lt;='VALOR POR PL'!$P$5,'CP RESUMO'!BK70,"")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HISTORICOS'!BL28)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RESUMO'!BL28</f>
        <v/>
      </c>
      <c r="N65" s="128">
        <f>MAX(0,M65-M64)</f>
        <v/>
      </c>
      <c r="O65" s="127">
        <f>IF(B65&lt;='VALOR POR PL'!$P$5,'CP RESUMO'!BL70,"")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HISTORICOS'!BM28)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RESUMO'!BM28</f>
        <v/>
      </c>
      <c r="N66" s="128">
        <f>MAX(0,M66-M65)</f>
        <v/>
      </c>
      <c r="O66" s="127">
        <f>IF(B66&lt;='VALOR POR PL'!$P$5,'CP RESUMO'!BM70,"")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HISTORICOS'!BN28)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RESUMO'!BN28</f>
        <v/>
      </c>
      <c r="N67" s="128">
        <f>MAX(0,M67-M66)</f>
        <v/>
      </c>
      <c r="O67" s="127">
        <f>IF(B67&lt;='VALOR POR PL'!$P$5,'CP RESUMO'!BN70,"")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HISTORICOS'!BO28)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RESUMO'!BO28</f>
        <v/>
      </c>
      <c r="N68" s="128">
        <f>MAX(0,M68-M67)</f>
        <v/>
      </c>
      <c r="O68" s="127">
        <f>IF(B68&lt;='VALOR POR PL'!$P$5,'CP RESUMO'!BO70,"")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HISTORICOS'!BP28)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RESUMO'!BP28</f>
        <v/>
      </c>
      <c r="N69" s="128">
        <f>MAX(0,M69-M68)</f>
        <v/>
      </c>
      <c r="O69" s="127">
        <f>IF(B69&lt;='VALOR POR PL'!$P$5,'CP RESUMO'!BP70,"")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HISTORICOS'!BQ28)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RESUMO'!BQ28</f>
        <v/>
      </c>
      <c r="N70" s="128">
        <f>MAX(0,M70-M69)</f>
        <v/>
      </c>
      <c r="O70" s="127">
        <f>IF(B70&lt;='VALOR POR PL'!$P$5,'CP RESUMO'!BQ70,"")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HISTORICOS'!BR28)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RESUMO'!BR28</f>
        <v/>
      </c>
      <c r="N71" s="128">
        <f>MAX(0,M71-M70)</f>
        <v/>
      </c>
      <c r="O71" s="127">
        <f>IF(B71&lt;='VALOR POR PL'!$P$5,'CP RESUMO'!BR70,"")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HISTORICOS'!BS28)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RESUMO'!BS28</f>
        <v/>
      </c>
      <c r="N72" s="128">
        <f>MAX(0,M72-M71)</f>
        <v/>
      </c>
      <c r="O72" s="127">
        <f>IF(B72&lt;='VALOR POR PL'!$P$5,'CP RESUMO'!BS70,"")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HISTORICOS'!BT28)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RESUMO'!BT28</f>
        <v/>
      </c>
      <c r="N73" s="128">
        <f>MAX(0,M73-M72)</f>
        <v/>
      </c>
      <c r="O73" s="127">
        <f>IF(B73&lt;='VALOR POR PL'!$P$5,'CP RESUMO'!BT70,"")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HISTORICOS'!BU28)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RESUMO'!BU28</f>
        <v/>
      </c>
      <c r="N74" s="128">
        <f>MAX(0,M74-M73)</f>
        <v/>
      </c>
      <c r="O74" s="127">
        <f>IF(B74&lt;='VALOR POR PL'!$P$5,'CP RESUMO'!BU70,"")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HISTORICOS'!BV28)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RESUMO'!BV28</f>
        <v/>
      </c>
      <c r="N75" s="128">
        <f>MAX(0,M75-M74)</f>
        <v/>
      </c>
      <c r="O75" s="127">
        <f>IF(B75&lt;='VALOR POR PL'!$P$5,'CP RESUMO'!BV70,"")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HISTORICOS'!BW28)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RESUMO'!BW28</f>
        <v/>
      </c>
      <c r="N76" s="128">
        <f>MAX(0,M76-M75)</f>
        <v/>
      </c>
      <c r="O76" s="127">
        <f>IF(B76&lt;='VALOR POR PL'!$P$5,'CP RESUMO'!BW70,"")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PL'!D35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HISTORICOS'!D29)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PL'!F35</f>
        <v/>
      </c>
      <c r="K5" s="63">
        <f>'VALOR POR PL'!G35</f>
        <v/>
      </c>
      <c r="M5" s="127">
        <f>'CP RESUMO'!D29</f>
        <v/>
      </c>
      <c r="N5" s="128" t="n">
        <v>0</v>
      </c>
      <c r="O5" s="127">
        <f>IF(B5&lt;='VALOR POR PL'!$P$5,'CP RESUMO'!D71,"")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HISTORICOS'!E29)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RESUMO'!E29</f>
        <v/>
      </c>
      <c r="N6" s="128">
        <f>MAX(0,M6-M5)</f>
        <v/>
      </c>
      <c r="O6" s="127">
        <f>IF(B6&lt;='VALOR POR PL'!$P$5,'CP RESUMO'!E71,"")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HISTORICOS'!F29)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PL'!L35</f>
        <v/>
      </c>
      <c r="M7" s="127">
        <f>'CP RESUMO'!F29</f>
        <v/>
      </c>
      <c r="N7" s="128">
        <f>MAX(0,M7-M6)</f>
        <v/>
      </c>
      <c r="O7" s="127">
        <f>IF(B7&lt;='VALOR POR PL'!$P$5,'CP RESUMO'!F71,"")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HISTORICOS'!G29)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RESUMO'!G29</f>
        <v/>
      </c>
      <c r="N8" s="128">
        <f>MAX(0,M8-M7)</f>
        <v/>
      </c>
      <c r="O8" s="127">
        <f>IF(B8&lt;='VALOR POR PL'!$P$5,'CP RESUMO'!G71,"")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HISTORICOS'!H29)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RESUMO'!H29</f>
        <v/>
      </c>
      <c r="N9" s="128">
        <f>MAX(0,M9-M8)</f>
        <v/>
      </c>
      <c r="O9" s="127">
        <f>IF(B9&lt;='VALOR POR PL'!$P$5,'CP RESUMO'!H71,"")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HISTORICOS'!I29)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RESUMO'!I29</f>
        <v/>
      </c>
      <c r="N10" s="128">
        <f>MAX(0,M10-M9)</f>
        <v/>
      </c>
      <c r="O10" s="127">
        <f>IF(B10&lt;='VALOR POR PL'!$P$5,'CP RESUMO'!I71,"")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HISTORICOS'!J29)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RESUMO'!J29</f>
        <v/>
      </c>
      <c r="N11" s="128">
        <f>MAX(0,M11-M10)</f>
        <v/>
      </c>
      <c r="O11" s="127">
        <f>IF(B11&lt;='VALOR POR PL'!$P$5,'CP RESUMO'!J71,"")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HISTORICOS'!K29)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RESUMO'!K29</f>
        <v/>
      </c>
      <c r="N12" s="128">
        <f>MAX(0,M12-M11)</f>
        <v/>
      </c>
      <c r="O12" s="127">
        <f>IF(B12&lt;='VALOR POR PL'!$P$5,'CP RESUMO'!K71,"")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HISTORICOS'!L29)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PL'!I35</f>
        <v/>
      </c>
      <c r="M13" s="127">
        <f>'CP RESUMO'!L29</f>
        <v/>
      </c>
      <c r="N13" s="128">
        <f>MAX(0,M13-M12)</f>
        <v/>
      </c>
      <c r="O13" s="127">
        <f>IF(B13&lt;='VALOR POR PL'!$P$5,'CP RESUMO'!L71,"")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HISTORICOS'!M29)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RESUMO'!$D$71:$BW$71,MATCH('VALOR POR PL'!$P$5,'CP RESUMO'!$D$4:$BW$4,0))/100,0)</f>
        <v/>
      </c>
      <c r="M14" s="127">
        <f>'CP RESUMO'!M29</f>
        <v/>
      </c>
      <c r="N14" s="128">
        <f>MAX(0,M14-M13)</f>
        <v/>
      </c>
      <c r="O14" s="127">
        <f>IF(B14&lt;='VALOR POR PL'!$P$5,'CP RESUMO'!M71,"")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HISTORICOS'!N29)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PREVISÃO INFORMADA</t>
        </is>
      </c>
      <c r="M15" s="127">
        <f>'CP RESUMO'!N29</f>
        <v/>
      </c>
      <c r="N15" s="128">
        <f>MAX(0,M15-M14)</f>
        <v/>
      </c>
      <c r="O15" s="127">
        <f>IF(B15&lt;='VALOR POR PL'!$P$5,'CP RESUMO'!N71,"")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HISTORICOS'!O29)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RESUMO'!O29</f>
        <v/>
      </c>
      <c r="N16" s="128">
        <f>MAX(0,M16-M15)</f>
        <v/>
      </c>
      <c r="O16" s="127">
        <f>IF(B16&lt;='VALOR POR PL'!$P$5,'CP RESUMO'!O71,"")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HISTORICOS'!P29)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RESUMO'!P29</f>
        <v/>
      </c>
      <c r="N17" s="128">
        <f>MAX(0,M17-M16)</f>
        <v/>
      </c>
      <c r="O17" s="127">
        <f>IF(B17&lt;='VALOR POR PL'!$P$5,'CP RESUMO'!P71,"")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HISTORICOS'!Q29)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RESUMO'!Q29</f>
        <v/>
      </c>
      <c r="N18" s="128">
        <f>MAX(0,M18-M17)</f>
        <v/>
      </c>
      <c r="O18" s="127">
        <f>IF(B18&lt;='VALOR POR PL'!$P$5,'CP RESUMO'!Q71,"")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HISTORICOS'!R29)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RESUMO'!R29</f>
        <v/>
      </c>
      <c r="N19" s="128">
        <f>MAX(0,M19-M18)</f>
        <v/>
      </c>
      <c r="O19" s="127">
        <f>IF(B19&lt;='VALOR POR PL'!$P$5,'CP RESUMO'!R71,"")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HISTORICOS'!S29)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RESUMO'!S29</f>
        <v/>
      </c>
      <c r="N20" s="128">
        <f>MAX(0,M20-M19)</f>
        <v/>
      </c>
      <c r="O20" s="127">
        <f>IF(B20&lt;='VALOR POR PL'!$P$5,'CP RESUMO'!S71,"")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HISTORICOS'!T29)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RESUMO'!T29</f>
        <v/>
      </c>
      <c r="N21" s="128">
        <f>MAX(0,M21-M20)</f>
        <v/>
      </c>
      <c r="O21" s="127">
        <f>IF(B21&lt;='VALOR POR PL'!$P$5,'CP RESUMO'!T71,"")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HISTORICOS'!U29)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RESUMO'!U29</f>
        <v/>
      </c>
      <c r="N22" s="128">
        <f>MAX(0,M22-M21)</f>
        <v/>
      </c>
      <c r="O22" s="127">
        <f>IF(B22&lt;='VALOR POR PL'!$P$5,'CP RESUMO'!U71,"")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HISTORICOS'!V29)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RESUMO'!V29</f>
        <v/>
      </c>
      <c r="N23" s="128">
        <f>MAX(0,M23-M22)</f>
        <v/>
      </c>
      <c r="O23" s="127">
        <f>IF(B23&lt;='VALOR POR PL'!$P$5,'CP RESUMO'!V71,"")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HISTORICOS'!W29)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inlineStr">
        <is>
          <t>Previsão informada mantida (decisão do usuário). Premissa: 60% em 10 pagamentos + 40% por medição direta.</t>
        </is>
      </c>
      <c r="M24" s="127">
        <f>'CP RESUMO'!W29</f>
        <v/>
      </c>
      <c r="N24" s="128">
        <f>MAX(0,M24-M23)</f>
        <v/>
      </c>
      <c r="O24" s="127">
        <f>IF(B24&lt;='VALOR POR PL'!$P$5,'CP RESUMO'!W71,"")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HISTORICOS'!X29)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RESUMO'!X29</f>
        <v/>
      </c>
      <c r="N25" s="128">
        <f>MAX(0,M25-M24)</f>
        <v/>
      </c>
      <c r="O25" s="127">
        <f>IF(B25&lt;='VALOR POR PL'!$P$5,'CP RESUMO'!X71,"")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HISTORICOS'!Y29)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RESUMO'!Y29</f>
        <v/>
      </c>
      <c r="N26" s="128">
        <f>MAX(0,M26-M25)</f>
        <v/>
      </c>
      <c r="O26" s="127">
        <f>IF(B26&lt;='VALOR POR PL'!$P$5,'CP RESUMO'!Y71,"")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HISTORICOS'!Z29)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RESUMO'!Z29</f>
        <v/>
      </c>
      <c r="N27" s="128">
        <f>MAX(0,M27-M26)</f>
        <v/>
      </c>
      <c r="O27" s="127">
        <f>IF(B27&lt;='VALOR POR PL'!$P$5,'CP RESUMO'!Z71,"")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HISTORICOS'!AA29)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RESUMO'!AA29</f>
        <v/>
      </c>
      <c r="N28" s="128">
        <f>MAX(0,M28-M27)</f>
        <v/>
      </c>
      <c r="O28" s="127">
        <f>IF(B28&lt;='VALOR POR PL'!$P$5,'CP RESUMO'!AA71,"")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HISTORICOS'!AB29)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RESUMO'!AB29</f>
        <v/>
      </c>
      <c r="N29" s="128">
        <f>MAX(0,M29-M28)</f>
        <v/>
      </c>
      <c r="O29" s="127">
        <f>IF(B29&lt;='VALOR POR PL'!$P$5,'CP RESUMO'!AB71,"")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HISTORICOS'!AC29)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RESUMO'!AC29</f>
        <v/>
      </c>
      <c r="N30" s="128">
        <f>MAX(0,M30-M29)</f>
        <v/>
      </c>
      <c r="O30" s="127">
        <f>IF(B30&lt;='VALOR POR PL'!$P$5,'CP RESUMO'!AC71,"")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HISTORICOS'!AD29)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RESUMO'!AD29</f>
        <v/>
      </c>
      <c r="N31" s="128">
        <f>MAX(0,M31-M30)</f>
        <v/>
      </c>
      <c r="O31" s="127">
        <f>IF(B31&lt;='VALOR POR PL'!$P$5,'CP RESUMO'!AD71,"")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HISTORICOS'!AE29)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RESUMO'!AE29</f>
        <v/>
      </c>
      <c r="N32" s="128">
        <f>MAX(0,M32-M31)</f>
        <v/>
      </c>
      <c r="O32" s="127">
        <f>IF(B32&lt;='VALOR POR PL'!$P$5,'CP RESUMO'!AE71,"")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HISTORICOS'!AF29)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RESUMO'!AF29</f>
        <v/>
      </c>
      <c r="N33" s="128">
        <f>MAX(0,M33-M32)</f>
        <v/>
      </c>
      <c r="O33" s="127">
        <f>IF(B33&lt;='VALOR POR PL'!$P$5,'CP RESUMO'!AF71,"")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HISTORICOS'!AG29)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RESUMO'!AG29</f>
        <v/>
      </c>
      <c r="N34" s="128">
        <f>MAX(0,M34-M33)</f>
        <v/>
      </c>
      <c r="O34" s="127">
        <f>IF(B34&lt;='VALOR POR PL'!$P$5,'CP RESUMO'!AG71,"")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HISTORICOS'!AH29)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RESUMO'!AH29</f>
        <v/>
      </c>
      <c r="N35" s="128">
        <f>MAX(0,M35-M34)</f>
        <v/>
      </c>
      <c r="O35" s="127">
        <f>IF(B35&lt;='VALOR POR PL'!$P$5,'CP RESUMO'!AH71,"")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HISTORICOS'!AI29)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RESUMO'!AI29</f>
        <v/>
      </c>
      <c r="N36" s="128">
        <f>MAX(0,M36-M35)</f>
        <v/>
      </c>
      <c r="O36" s="127">
        <f>IF(B36&lt;='VALOR POR PL'!$P$5,'CP RESUMO'!AI71,"")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HISTORICOS'!AJ29)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RESUMO'!AJ29</f>
        <v/>
      </c>
      <c r="N37" s="128">
        <f>MAX(0,M37-M36)</f>
        <v/>
      </c>
      <c r="O37" s="127">
        <f>IF(B37&lt;='VALOR POR PL'!$P$5,'CP RESUMO'!AJ71,"")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HISTORICOS'!AK29)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RESUMO'!AK29</f>
        <v/>
      </c>
      <c r="N38" s="128">
        <f>MAX(0,M38-M37)</f>
        <v/>
      </c>
      <c r="O38" s="127">
        <f>IF(B38&lt;='VALOR POR PL'!$P$5,'CP RESUMO'!AK71,"")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HISTORICOS'!AL29)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RESUMO'!AL29</f>
        <v/>
      </c>
      <c r="N39" s="128">
        <f>MAX(0,M39-M38)</f>
        <v/>
      </c>
      <c r="O39" s="127">
        <f>IF(B39&lt;='VALOR POR PL'!$P$5,'CP RESUMO'!AL71,"")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HISTORICOS'!AM29)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RESUMO'!AM29</f>
        <v/>
      </c>
      <c r="N40" s="128">
        <f>MAX(0,M40-M39)</f>
        <v/>
      </c>
      <c r="O40" s="127">
        <f>IF(B40&lt;='VALOR POR PL'!$P$5,'CP RESUMO'!AM71,"")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HISTORICOS'!AN29)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RESUMO'!AN29</f>
        <v/>
      </c>
      <c r="N41" s="128">
        <f>MAX(0,M41-M40)</f>
        <v/>
      </c>
      <c r="O41" s="127">
        <f>IF(B41&lt;='VALOR POR PL'!$P$5,'CP RESUMO'!AN71,"")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HISTORICOS'!AO29)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RESUMO'!AO29</f>
        <v/>
      </c>
      <c r="N42" s="128">
        <f>MAX(0,M42-M41)</f>
        <v/>
      </c>
      <c r="O42" s="127">
        <f>IF(B42&lt;='VALOR POR PL'!$P$5,'CP RESUMO'!AO71,"")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HISTORICOS'!AP29)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RESUMO'!AP29</f>
        <v/>
      </c>
      <c r="N43" s="128">
        <f>MAX(0,M43-M42)</f>
        <v/>
      </c>
      <c r="O43" s="127">
        <f>IF(B43&lt;='VALOR POR PL'!$P$5,'CP RESUMO'!AP71,"")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HISTORICOS'!AQ29)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RESUMO'!AQ29</f>
        <v/>
      </c>
      <c r="N44" s="128">
        <f>MAX(0,M44-M43)</f>
        <v/>
      </c>
      <c r="O44" s="127">
        <f>IF(B44&lt;='VALOR POR PL'!$P$5,'CP RESUMO'!AQ71,"")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HISTORICOS'!AR29)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RESUMO'!AR29</f>
        <v/>
      </c>
      <c r="N45" s="128">
        <f>MAX(0,M45-M44)</f>
        <v/>
      </c>
      <c r="O45" s="127">
        <f>IF(B45&lt;='VALOR POR PL'!$P$5,'CP RESUMO'!AR71,"")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HISTORICOS'!AS29)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RESUMO'!AS29</f>
        <v/>
      </c>
      <c r="N46" s="128">
        <f>MAX(0,M46-M45)</f>
        <v/>
      </c>
      <c r="O46" s="127">
        <f>IF(B46&lt;='VALOR POR PL'!$P$5,'CP RESUMO'!AS71,"")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HISTORICOS'!AT29)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RESUMO'!AT29</f>
        <v/>
      </c>
      <c r="N47" s="128">
        <f>MAX(0,M47-M46)</f>
        <v/>
      </c>
      <c r="O47" s="127">
        <f>IF(B47&lt;='VALOR POR PL'!$P$5,'CP RESUMO'!AT71,"")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HISTORICOS'!AU29)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RESUMO'!AU29</f>
        <v/>
      </c>
      <c r="N48" s="128">
        <f>MAX(0,M48-M47)</f>
        <v/>
      </c>
      <c r="O48" s="127">
        <f>IF(B48&lt;='VALOR POR PL'!$P$5,'CP RESUMO'!AU71,"")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HISTORICOS'!AV29)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RESUMO'!AV29</f>
        <v/>
      </c>
      <c r="N49" s="128">
        <f>MAX(0,M49-M48)</f>
        <v/>
      </c>
      <c r="O49" s="127">
        <f>IF(B49&lt;='VALOR POR PL'!$P$5,'CP RESUMO'!AV71,"")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HISTORICOS'!AW29)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RESUMO'!AW29</f>
        <v/>
      </c>
      <c r="N50" s="128">
        <f>MAX(0,M50-M49)</f>
        <v/>
      </c>
      <c r="O50" s="127">
        <f>IF(B50&lt;='VALOR POR PL'!$P$5,'CP RESUMO'!AW71,"")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HISTORICOS'!AX29)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RESUMO'!AX29</f>
        <v/>
      </c>
      <c r="N51" s="128">
        <f>MAX(0,M51-M50)</f>
        <v/>
      </c>
      <c r="O51" s="127">
        <f>IF(B51&lt;='VALOR POR PL'!$P$5,'CP RESUMO'!AX71,"")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HISTORICOS'!AY29)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RESUMO'!AY29</f>
        <v/>
      </c>
      <c r="N52" s="128">
        <f>MAX(0,M52-M51)</f>
        <v/>
      </c>
      <c r="O52" s="127">
        <f>IF(B52&lt;='VALOR POR PL'!$P$5,'CP RESUMO'!AY71,"")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HISTORICOS'!AZ29)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RESUMO'!AZ29</f>
        <v/>
      </c>
      <c r="N53" s="128">
        <f>MAX(0,M53-M52)</f>
        <v/>
      </c>
      <c r="O53" s="127">
        <f>IF(B53&lt;='VALOR POR PL'!$P$5,'CP RESUMO'!AZ71,"")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HISTORICOS'!BA29)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RESUMO'!BA29</f>
        <v/>
      </c>
      <c r="N54" s="128">
        <f>MAX(0,M54-M53)</f>
        <v/>
      </c>
      <c r="O54" s="127">
        <f>IF(B54&lt;='VALOR POR PL'!$P$5,'CP RESUMO'!BA71,"")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HISTORICOS'!BB29)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RESUMO'!BB29</f>
        <v/>
      </c>
      <c r="N55" s="128">
        <f>MAX(0,M55-M54)</f>
        <v/>
      </c>
      <c r="O55" s="127">
        <f>IF(B55&lt;='VALOR POR PL'!$P$5,'CP RESUMO'!BB71,"")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HISTORICOS'!BC29)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RESUMO'!BC29</f>
        <v/>
      </c>
      <c r="N56" s="128">
        <f>MAX(0,M56-M55)</f>
        <v/>
      </c>
      <c r="O56" s="127">
        <f>IF(B56&lt;='VALOR POR PL'!$P$5,'CP RESUMO'!BC71,"")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HISTORICOS'!BD29)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RESUMO'!BD29</f>
        <v/>
      </c>
      <c r="N57" s="128">
        <f>MAX(0,M57-M56)</f>
        <v/>
      </c>
      <c r="O57" s="127">
        <f>IF(B57&lt;='VALOR POR PL'!$P$5,'CP RESUMO'!BD71,"")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HISTORICOS'!BE29)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RESUMO'!BE29</f>
        <v/>
      </c>
      <c r="N58" s="128">
        <f>MAX(0,M58-M57)</f>
        <v/>
      </c>
      <c r="O58" s="127">
        <f>IF(B58&lt;='VALOR POR PL'!$P$5,'CP RESUMO'!BE71,"")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HISTORICOS'!BF29)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RESUMO'!BF29</f>
        <v/>
      </c>
      <c r="N59" s="128">
        <f>MAX(0,M59-M58)</f>
        <v/>
      </c>
      <c r="O59" s="127">
        <f>IF(B59&lt;='VALOR POR PL'!$P$5,'CP RESUMO'!BF71,"")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HISTORICOS'!BG29)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RESUMO'!BG29</f>
        <v/>
      </c>
      <c r="N60" s="128">
        <f>MAX(0,M60-M59)</f>
        <v/>
      </c>
      <c r="O60" s="127">
        <f>IF(B60&lt;='VALOR POR PL'!$P$5,'CP RESUMO'!BG71,"")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HISTORICOS'!BH29)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RESUMO'!BH29</f>
        <v/>
      </c>
      <c r="N61" s="128">
        <f>MAX(0,M61-M60)</f>
        <v/>
      </c>
      <c r="O61" s="127">
        <f>IF(B61&lt;='VALOR POR PL'!$P$5,'CP RESUMO'!BH71,"")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HISTORICOS'!BI29)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RESUMO'!BI29</f>
        <v/>
      </c>
      <c r="N62" s="128">
        <f>MAX(0,M62-M61)</f>
        <v/>
      </c>
      <c r="O62" s="127">
        <f>IF(B62&lt;='VALOR POR PL'!$P$5,'CP RESUMO'!BI71,"")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HISTORICOS'!BJ29)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RESUMO'!BJ29</f>
        <v/>
      </c>
      <c r="N63" s="128">
        <f>MAX(0,M63-M62)</f>
        <v/>
      </c>
      <c r="O63" s="127">
        <f>IF(B63&lt;='VALOR POR PL'!$P$5,'CP RESUMO'!BJ71,"")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HISTORICOS'!BK29)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RESUMO'!BK29</f>
        <v/>
      </c>
      <c r="N64" s="128">
        <f>MAX(0,M64-M63)</f>
        <v/>
      </c>
      <c r="O64" s="127">
        <f>IF(B64&lt;='VALOR POR PL'!$P$5,'CP RESUMO'!BK71,"")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HISTORICOS'!BL29)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RESUMO'!BL29</f>
        <v/>
      </c>
      <c r="N65" s="128">
        <f>MAX(0,M65-M64)</f>
        <v/>
      </c>
      <c r="O65" s="127">
        <f>IF(B65&lt;='VALOR POR PL'!$P$5,'CP RESUMO'!BL71,"")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HISTORICOS'!BM29)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RESUMO'!BM29</f>
        <v/>
      </c>
      <c r="N66" s="128">
        <f>MAX(0,M66-M65)</f>
        <v/>
      </c>
      <c r="O66" s="127">
        <f>IF(B66&lt;='VALOR POR PL'!$P$5,'CP RESUMO'!BM71,"")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HISTORICOS'!BN29)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RESUMO'!BN29</f>
        <v/>
      </c>
      <c r="N67" s="128">
        <f>MAX(0,M67-M66)</f>
        <v/>
      </c>
      <c r="O67" s="127">
        <f>IF(B67&lt;='VALOR POR PL'!$P$5,'CP RESUMO'!BN71,"")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HISTORICOS'!BO29)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RESUMO'!BO29</f>
        <v/>
      </c>
      <c r="N68" s="128">
        <f>MAX(0,M68-M67)</f>
        <v/>
      </c>
      <c r="O68" s="127">
        <f>IF(B68&lt;='VALOR POR PL'!$P$5,'CP RESUMO'!BO71,"")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HISTORICOS'!BP29)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RESUMO'!BP29</f>
        <v/>
      </c>
      <c r="N69" s="128">
        <f>MAX(0,M69-M68)</f>
        <v/>
      </c>
      <c r="O69" s="127">
        <f>IF(B69&lt;='VALOR POR PL'!$P$5,'CP RESUMO'!BP71,"")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HISTORICOS'!BQ29)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RESUMO'!BQ29</f>
        <v/>
      </c>
      <c r="N70" s="128">
        <f>MAX(0,M70-M69)</f>
        <v/>
      </c>
      <c r="O70" s="127">
        <f>IF(B70&lt;='VALOR POR PL'!$P$5,'CP RESUMO'!BQ71,"")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HISTORICOS'!BR29)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RESUMO'!BR29</f>
        <v/>
      </c>
      <c r="N71" s="128">
        <f>MAX(0,M71-M70)</f>
        <v/>
      </c>
      <c r="O71" s="127">
        <f>IF(B71&lt;='VALOR POR PL'!$P$5,'CP RESUMO'!BR71,"")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HISTORICOS'!BS29)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RESUMO'!BS29</f>
        <v/>
      </c>
      <c r="N72" s="128">
        <f>MAX(0,M72-M71)</f>
        <v/>
      </c>
      <c r="O72" s="127">
        <f>IF(B72&lt;='VALOR POR PL'!$P$5,'CP RESUMO'!BS71,"")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HISTORICOS'!BT29)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RESUMO'!BT29</f>
        <v/>
      </c>
      <c r="N73" s="128">
        <f>MAX(0,M73-M72)</f>
        <v/>
      </c>
      <c r="O73" s="127">
        <f>IF(B73&lt;='VALOR POR PL'!$P$5,'CP RESUMO'!BT71,"")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HISTORICOS'!BU29)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RESUMO'!BU29</f>
        <v/>
      </c>
      <c r="N74" s="128">
        <f>MAX(0,M74-M73)</f>
        <v/>
      </c>
      <c r="O74" s="127">
        <f>IF(B74&lt;='VALOR POR PL'!$P$5,'CP RESUMO'!BU71,"")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HISTORICOS'!BV29)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RESUMO'!BV29</f>
        <v/>
      </c>
      <c r="N75" s="128">
        <f>MAX(0,M75-M74)</f>
        <v/>
      </c>
      <c r="O75" s="127">
        <f>IF(B75&lt;='VALOR POR PL'!$P$5,'CP RESUMO'!BV71,"")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HISTORICOS'!BW29)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RESUMO'!BW29</f>
        <v/>
      </c>
      <c r="N76" s="128">
        <f>MAX(0,M76-M75)</f>
        <v/>
      </c>
      <c r="O76" s="127">
        <f>IF(B76&lt;='VALOR POR PL'!$P$5,'CP RESUMO'!BW71,"")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PL'!D36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HISTORICOS'!D30)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PL'!F36</f>
        <v/>
      </c>
      <c r="K5" s="63">
        <f>'VALOR POR PL'!G36</f>
        <v/>
      </c>
      <c r="M5" s="127">
        <f>'CP RESUMO'!D30</f>
        <v/>
      </c>
      <c r="N5" s="128" t="n">
        <v>0</v>
      </c>
      <c r="O5" s="127">
        <f>IF(B5&lt;='VALOR POR PL'!$P$5,'CP RESUMO'!D72,"")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HISTORICOS'!E30)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RESUMO'!E30</f>
        <v/>
      </c>
      <c r="N6" s="128">
        <f>MAX(0,M6-M5)</f>
        <v/>
      </c>
      <c r="O6" s="127">
        <f>IF(B6&lt;='VALOR POR PL'!$P$5,'CP RESUMO'!E72,"")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HISTORICOS'!F30)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PL'!L36</f>
        <v/>
      </c>
      <c r="M7" s="127">
        <f>'CP RESUMO'!F30</f>
        <v/>
      </c>
      <c r="N7" s="128">
        <f>MAX(0,M7-M6)</f>
        <v/>
      </c>
      <c r="O7" s="127">
        <f>IF(B7&lt;='VALOR POR PL'!$P$5,'CP RESUMO'!F72,"")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HISTORICOS'!G30)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RESUMO'!G30</f>
        <v/>
      </c>
      <c r="N8" s="128">
        <f>MAX(0,M8-M7)</f>
        <v/>
      </c>
      <c r="O8" s="127">
        <f>IF(B8&lt;='VALOR POR PL'!$P$5,'CP RESUMO'!G72,"")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HISTORICOS'!H30)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RESUMO'!H30</f>
        <v/>
      </c>
      <c r="N9" s="128">
        <f>MAX(0,M9-M8)</f>
        <v/>
      </c>
      <c r="O9" s="127">
        <f>IF(B9&lt;='VALOR POR PL'!$P$5,'CP RESUMO'!H72,"")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HISTORICOS'!I30)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RESUMO'!I30</f>
        <v/>
      </c>
      <c r="N10" s="128">
        <f>MAX(0,M10-M9)</f>
        <v/>
      </c>
      <c r="O10" s="127">
        <f>IF(B10&lt;='VALOR POR PL'!$P$5,'CP RESUMO'!I72,"")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HISTORICOS'!J30)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RESUMO'!J30</f>
        <v/>
      </c>
      <c r="N11" s="128">
        <f>MAX(0,M11-M10)</f>
        <v/>
      </c>
      <c r="O11" s="127">
        <f>IF(B11&lt;='VALOR POR PL'!$P$5,'CP RESUMO'!J72,"")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HISTORICOS'!K30)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RESUMO'!K30</f>
        <v/>
      </c>
      <c r="N12" s="128">
        <f>MAX(0,M12-M11)</f>
        <v/>
      </c>
      <c r="O12" s="127">
        <f>IF(B12&lt;='VALOR POR PL'!$P$5,'CP RESUMO'!K72,"")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HISTORICOS'!L30)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PL'!I36</f>
        <v/>
      </c>
      <c r="M13" s="127">
        <f>'CP RESUMO'!L30</f>
        <v/>
      </c>
      <c r="N13" s="128">
        <f>MAX(0,M13-M12)</f>
        <v/>
      </c>
      <c r="O13" s="127">
        <f>IF(B13&lt;='VALOR POR PL'!$P$5,'CP RESUMO'!L72,"")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HISTORICOS'!M30)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RESUMO'!$D$72:$BW$72,MATCH('VALOR POR PL'!$P$5,'CP RESUMO'!$D$4:$BW$4,0))/100,0)</f>
        <v/>
      </c>
      <c r="M14" s="127">
        <f>'CP RESUMO'!M30</f>
        <v/>
      </c>
      <c r="N14" s="128">
        <f>MAX(0,M14-M13)</f>
        <v/>
      </c>
      <c r="O14" s="127">
        <f>IF(B14&lt;='VALOR POR PL'!$P$5,'CP RESUMO'!M72,"")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HISTORICOS'!N30)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RESUMO'!N30</f>
        <v/>
      </c>
      <c r="N15" s="128">
        <f>MAX(0,M15-M14)</f>
        <v/>
      </c>
      <c r="O15" s="127">
        <f>IF(B15&lt;='VALOR POR PL'!$P$5,'CP RESUMO'!N72,"")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HISTORICOS'!O30)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RESUMO'!O30</f>
        <v/>
      </c>
      <c r="N16" s="128">
        <f>MAX(0,M16-M15)</f>
        <v/>
      </c>
      <c r="O16" s="127">
        <f>IF(B16&lt;='VALOR POR PL'!$P$5,'CP RESUMO'!O72,"")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HISTORICOS'!P30)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RESUMO'!P30</f>
        <v/>
      </c>
      <c r="N17" s="128">
        <f>MAX(0,M17-M16)</f>
        <v/>
      </c>
      <c r="O17" s="127">
        <f>IF(B17&lt;='VALOR POR PL'!$P$5,'CP RESUMO'!P72,"")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HISTORICOS'!Q30)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RESUMO'!Q30</f>
        <v/>
      </c>
      <c r="N18" s="128">
        <f>MAX(0,M18-M17)</f>
        <v/>
      </c>
      <c r="O18" s="127">
        <f>IF(B18&lt;='VALOR POR PL'!$P$5,'CP RESUMO'!Q72,"")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HISTORICOS'!R30)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RESUMO'!R30</f>
        <v/>
      </c>
      <c r="N19" s="128">
        <f>MAX(0,M19-M18)</f>
        <v/>
      </c>
      <c r="O19" s="127">
        <f>IF(B19&lt;='VALOR POR PL'!$P$5,'CP RESUMO'!R72,"")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HISTORICOS'!S30)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RESUMO'!S30</f>
        <v/>
      </c>
      <c r="N20" s="128">
        <f>MAX(0,M20-M19)</f>
        <v/>
      </c>
      <c r="O20" s="127">
        <f>IF(B20&lt;='VALOR POR PL'!$P$5,'CP RESUMO'!S72,"")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HISTORICOS'!T30)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RESUMO'!T30</f>
        <v/>
      </c>
      <c r="N21" s="128">
        <f>MAX(0,M21-M20)</f>
        <v/>
      </c>
      <c r="O21" s="127">
        <f>IF(B21&lt;='VALOR POR PL'!$P$5,'CP RESUMO'!T72,"")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HISTORICOS'!U30)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RESUMO'!U30</f>
        <v/>
      </c>
      <c r="N22" s="128">
        <f>MAX(0,M22-M21)</f>
        <v/>
      </c>
      <c r="O22" s="127">
        <f>IF(B22&lt;='VALOR POR PL'!$P$5,'CP RESUMO'!U72,"")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HISTORICOS'!V30)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RESUMO'!V30</f>
        <v/>
      </c>
      <c r="N23" s="128">
        <f>MAX(0,M23-M22)</f>
        <v/>
      </c>
      <c r="O23" s="127">
        <f>IF(B23&lt;='VALOR POR PL'!$P$5,'CP RESUMO'!V72,"")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HISTORICOS'!W30)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RESUMO'!W30</f>
        <v/>
      </c>
      <c r="N24" s="128">
        <f>MAX(0,M24-M23)</f>
        <v/>
      </c>
      <c r="O24" s="127">
        <f>IF(B24&lt;='VALOR POR PL'!$P$5,'CP RESUMO'!W72,"")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HISTORICOS'!X30)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RESUMO'!X30</f>
        <v/>
      </c>
      <c r="N25" s="128">
        <f>MAX(0,M25-M24)</f>
        <v/>
      </c>
      <c r="O25" s="127">
        <f>IF(B25&lt;='VALOR POR PL'!$P$5,'CP RESUMO'!X72,"")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HISTORICOS'!Y30)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RESUMO'!Y30</f>
        <v/>
      </c>
      <c r="N26" s="128">
        <f>MAX(0,M26-M25)</f>
        <v/>
      </c>
      <c r="O26" s="127">
        <f>IF(B26&lt;='VALOR POR PL'!$P$5,'CP RESUMO'!Y72,"")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HISTORICOS'!Z30)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RESUMO'!Z30</f>
        <v/>
      </c>
      <c r="N27" s="128">
        <f>MAX(0,M27-M26)</f>
        <v/>
      </c>
      <c r="O27" s="127">
        <f>IF(B27&lt;='VALOR POR PL'!$P$5,'CP RESUMO'!Z72,"")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HISTORICOS'!AA30)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RESUMO'!AA30</f>
        <v/>
      </c>
      <c r="N28" s="128">
        <f>MAX(0,M28-M27)</f>
        <v/>
      </c>
      <c r="O28" s="127">
        <f>IF(B28&lt;='VALOR POR PL'!$P$5,'CP RESUMO'!AA72,"")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HISTORICOS'!AB30)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RESUMO'!AB30</f>
        <v/>
      </c>
      <c r="N29" s="128">
        <f>MAX(0,M29-M28)</f>
        <v/>
      </c>
      <c r="O29" s="127">
        <f>IF(B29&lt;='VALOR POR PL'!$P$5,'CP RESUMO'!AB72,"")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HISTORICOS'!AC30)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RESUMO'!AC30</f>
        <v/>
      </c>
      <c r="N30" s="128">
        <f>MAX(0,M30-M29)</f>
        <v/>
      </c>
      <c r="O30" s="127">
        <f>IF(B30&lt;='VALOR POR PL'!$P$5,'CP RESUMO'!AC72,"")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HISTORICOS'!AD30)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RESUMO'!AD30</f>
        <v/>
      </c>
      <c r="N31" s="128">
        <f>MAX(0,M31-M30)</f>
        <v/>
      </c>
      <c r="O31" s="127">
        <f>IF(B31&lt;='VALOR POR PL'!$P$5,'CP RESUMO'!AD72,"")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HISTORICOS'!AE30)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RESUMO'!AE30</f>
        <v/>
      </c>
      <c r="N32" s="128">
        <f>MAX(0,M32-M31)</f>
        <v/>
      </c>
      <c r="O32" s="127">
        <f>IF(B32&lt;='VALOR POR PL'!$P$5,'CP RESUMO'!AE72,"")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HISTORICOS'!AF30)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RESUMO'!AF30</f>
        <v/>
      </c>
      <c r="N33" s="128">
        <f>MAX(0,M33-M32)</f>
        <v/>
      </c>
      <c r="O33" s="127">
        <f>IF(B33&lt;='VALOR POR PL'!$P$5,'CP RESUMO'!AF72,"")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HISTORICOS'!AG30)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RESUMO'!AG30</f>
        <v/>
      </c>
      <c r="N34" s="128">
        <f>MAX(0,M34-M33)</f>
        <v/>
      </c>
      <c r="O34" s="127">
        <f>IF(B34&lt;='VALOR POR PL'!$P$5,'CP RESUMO'!AG72,"")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HISTORICOS'!AH30)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RESUMO'!AH30</f>
        <v/>
      </c>
      <c r="N35" s="128">
        <f>MAX(0,M35-M34)</f>
        <v/>
      </c>
      <c r="O35" s="127">
        <f>IF(B35&lt;='VALOR POR PL'!$P$5,'CP RESUMO'!AH72,"")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HISTORICOS'!AI30)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RESUMO'!AI30</f>
        <v/>
      </c>
      <c r="N36" s="128">
        <f>MAX(0,M36-M35)</f>
        <v/>
      </c>
      <c r="O36" s="127">
        <f>IF(B36&lt;='VALOR POR PL'!$P$5,'CP RESUMO'!AI72,"")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HISTORICOS'!AJ30)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RESUMO'!AJ30</f>
        <v/>
      </c>
      <c r="N37" s="128">
        <f>MAX(0,M37-M36)</f>
        <v/>
      </c>
      <c r="O37" s="127">
        <f>IF(B37&lt;='VALOR POR PL'!$P$5,'CP RESUMO'!AJ72,"")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HISTORICOS'!AK30)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RESUMO'!AK30</f>
        <v/>
      </c>
      <c r="N38" s="128">
        <f>MAX(0,M38-M37)</f>
        <v/>
      </c>
      <c r="O38" s="127">
        <f>IF(B38&lt;='VALOR POR PL'!$P$5,'CP RESUMO'!AK72,"")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HISTORICOS'!AL30)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RESUMO'!AL30</f>
        <v/>
      </c>
      <c r="N39" s="128">
        <f>MAX(0,M39-M38)</f>
        <v/>
      </c>
      <c r="O39" s="127">
        <f>IF(B39&lt;='VALOR POR PL'!$P$5,'CP RESUMO'!AL72,"")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HISTORICOS'!AM30)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RESUMO'!AM30</f>
        <v/>
      </c>
      <c r="N40" s="128">
        <f>MAX(0,M40-M39)</f>
        <v/>
      </c>
      <c r="O40" s="127">
        <f>IF(B40&lt;='VALOR POR PL'!$P$5,'CP RESUMO'!AM72,"")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HISTORICOS'!AN30)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RESUMO'!AN30</f>
        <v/>
      </c>
      <c r="N41" s="128">
        <f>MAX(0,M41-M40)</f>
        <v/>
      </c>
      <c r="O41" s="127">
        <f>IF(B41&lt;='VALOR POR PL'!$P$5,'CP RESUMO'!AN72,"")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HISTORICOS'!AO30)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RESUMO'!AO30</f>
        <v/>
      </c>
      <c r="N42" s="128">
        <f>MAX(0,M42-M41)</f>
        <v/>
      </c>
      <c r="O42" s="127">
        <f>IF(B42&lt;='VALOR POR PL'!$P$5,'CP RESUMO'!AO72,"")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HISTORICOS'!AP30)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RESUMO'!AP30</f>
        <v/>
      </c>
      <c r="N43" s="128">
        <f>MAX(0,M43-M42)</f>
        <v/>
      </c>
      <c r="O43" s="127">
        <f>IF(B43&lt;='VALOR POR PL'!$P$5,'CP RESUMO'!AP72,"")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HISTORICOS'!AQ30)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RESUMO'!AQ30</f>
        <v/>
      </c>
      <c r="N44" s="128">
        <f>MAX(0,M44-M43)</f>
        <v/>
      </c>
      <c r="O44" s="127">
        <f>IF(B44&lt;='VALOR POR PL'!$P$5,'CP RESUMO'!AQ72,"")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HISTORICOS'!AR30)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RESUMO'!AR30</f>
        <v/>
      </c>
      <c r="N45" s="128">
        <f>MAX(0,M45-M44)</f>
        <v/>
      </c>
      <c r="O45" s="127">
        <f>IF(B45&lt;='VALOR POR PL'!$P$5,'CP RESUMO'!AR72,"")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HISTORICOS'!AS30)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RESUMO'!AS30</f>
        <v/>
      </c>
      <c r="N46" s="128">
        <f>MAX(0,M46-M45)</f>
        <v/>
      </c>
      <c r="O46" s="127">
        <f>IF(B46&lt;='VALOR POR PL'!$P$5,'CP RESUMO'!AS72,"")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HISTORICOS'!AT30)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RESUMO'!AT30</f>
        <v/>
      </c>
      <c r="N47" s="128">
        <f>MAX(0,M47-M46)</f>
        <v/>
      </c>
      <c r="O47" s="127">
        <f>IF(B47&lt;='VALOR POR PL'!$P$5,'CP RESUMO'!AT72,"")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HISTORICOS'!AU30)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RESUMO'!AU30</f>
        <v/>
      </c>
      <c r="N48" s="128">
        <f>MAX(0,M48-M47)</f>
        <v/>
      </c>
      <c r="O48" s="127">
        <f>IF(B48&lt;='VALOR POR PL'!$P$5,'CP RESUMO'!AU72,"")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HISTORICOS'!AV30)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RESUMO'!AV30</f>
        <v/>
      </c>
      <c r="N49" s="128">
        <f>MAX(0,M49-M48)</f>
        <v/>
      </c>
      <c r="O49" s="127">
        <f>IF(B49&lt;='VALOR POR PL'!$P$5,'CP RESUMO'!AV72,"")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HISTORICOS'!AW30)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RESUMO'!AW30</f>
        <v/>
      </c>
      <c r="N50" s="128">
        <f>MAX(0,M50-M49)</f>
        <v/>
      </c>
      <c r="O50" s="127">
        <f>IF(B50&lt;='VALOR POR PL'!$P$5,'CP RESUMO'!AW72,"")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HISTORICOS'!AX30)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RESUMO'!AX30</f>
        <v/>
      </c>
      <c r="N51" s="128">
        <f>MAX(0,M51-M50)</f>
        <v/>
      </c>
      <c r="O51" s="127">
        <f>IF(B51&lt;='VALOR POR PL'!$P$5,'CP RESUMO'!AX72,"")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HISTORICOS'!AY30)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RESUMO'!AY30</f>
        <v/>
      </c>
      <c r="N52" s="128">
        <f>MAX(0,M52-M51)</f>
        <v/>
      </c>
      <c r="O52" s="127">
        <f>IF(B52&lt;='VALOR POR PL'!$P$5,'CP RESUMO'!AY72,"")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HISTORICOS'!AZ30)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RESUMO'!AZ30</f>
        <v/>
      </c>
      <c r="N53" s="128">
        <f>MAX(0,M53-M52)</f>
        <v/>
      </c>
      <c r="O53" s="127">
        <f>IF(B53&lt;='VALOR POR PL'!$P$5,'CP RESUMO'!AZ72,"")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HISTORICOS'!BA30)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RESUMO'!BA30</f>
        <v/>
      </c>
      <c r="N54" s="128">
        <f>MAX(0,M54-M53)</f>
        <v/>
      </c>
      <c r="O54" s="127">
        <f>IF(B54&lt;='VALOR POR PL'!$P$5,'CP RESUMO'!BA72,"")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HISTORICOS'!BB30)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RESUMO'!BB30</f>
        <v/>
      </c>
      <c r="N55" s="128">
        <f>MAX(0,M55-M54)</f>
        <v/>
      </c>
      <c r="O55" s="127">
        <f>IF(B55&lt;='VALOR POR PL'!$P$5,'CP RESUMO'!BB72,"")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HISTORICOS'!BC30)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RESUMO'!BC30</f>
        <v/>
      </c>
      <c r="N56" s="128">
        <f>MAX(0,M56-M55)</f>
        <v/>
      </c>
      <c r="O56" s="127">
        <f>IF(B56&lt;='VALOR POR PL'!$P$5,'CP RESUMO'!BC72,"")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HISTORICOS'!BD30)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RESUMO'!BD30</f>
        <v/>
      </c>
      <c r="N57" s="128">
        <f>MAX(0,M57-M56)</f>
        <v/>
      </c>
      <c r="O57" s="127">
        <f>IF(B57&lt;='VALOR POR PL'!$P$5,'CP RESUMO'!BD72,"")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HISTORICOS'!BE30)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RESUMO'!BE30</f>
        <v/>
      </c>
      <c r="N58" s="128">
        <f>MAX(0,M58-M57)</f>
        <v/>
      </c>
      <c r="O58" s="127">
        <f>IF(B58&lt;='VALOR POR PL'!$P$5,'CP RESUMO'!BE72,"")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HISTORICOS'!BF30)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RESUMO'!BF30</f>
        <v/>
      </c>
      <c r="N59" s="128">
        <f>MAX(0,M59-M58)</f>
        <v/>
      </c>
      <c r="O59" s="127">
        <f>IF(B59&lt;='VALOR POR PL'!$P$5,'CP RESUMO'!BF72,"")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HISTORICOS'!BG30)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RESUMO'!BG30</f>
        <v/>
      </c>
      <c r="N60" s="128">
        <f>MAX(0,M60-M59)</f>
        <v/>
      </c>
      <c r="O60" s="127">
        <f>IF(B60&lt;='VALOR POR PL'!$P$5,'CP RESUMO'!BG72,"")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HISTORICOS'!BH30)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RESUMO'!BH30</f>
        <v/>
      </c>
      <c r="N61" s="128">
        <f>MAX(0,M61-M60)</f>
        <v/>
      </c>
      <c r="O61" s="127">
        <f>IF(B61&lt;='VALOR POR PL'!$P$5,'CP RESUMO'!BH72,"")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HISTORICOS'!BI30)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RESUMO'!BI30</f>
        <v/>
      </c>
      <c r="N62" s="128">
        <f>MAX(0,M62-M61)</f>
        <v/>
      </c>
      <c r="O62" s="127">
        <f>IF(B62&lt;='VALOR POR PL'!$P$5,'CP RESUMO'!BI72,"")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HISTORICOS'!BJ30)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RESUMO'!BJ30</f>
        <v/>
      </c>
      <c r="N63" s="128">
        <f>MAX(0,M63-M62)</f>
        <v/>
      </c>
      <c r="O63" s="127">
        <f>IF(B63&lt;='VALOR POR PL'!$P$5,'CP RESUMO'!BJ72,"")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HISTORICOS'!BK30)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RESUMO'!BK30</f>
        <v/>
      </c>
      <c r="N64" s="128">
        <f>MAX(0,M64-M63)</f>
        <v/>
      </c>
      <c r="O64" s="127">
        <f>IF(B64&lt;='VALOR POR PL'!$P$5,'CP RESUMO'!BK72,"")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HISTORICOS'!BL30)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RESUMO'!BL30</f>
        <v/>
      </c>
      <c r="N65" s="128">
        <f>MAX(0,M65-M64)</f>
        <v/>
      </c>
      <c r="O65" s="127">
        <f>IF(B65&lt;='VALOR POR PL'!$P$5,'CP RESUMO'!BL72,"")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HISTORICOS'!BM30)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RESUMO'!BM30</f>
        <v/>
      </c>
      <c r="N66" s="128">
        <f>MAX(0,M66-M65)</f>
        <v/>
      </c>
      <c r="O66" s="127">
        <f>IF(B66&lt;='VALOR POR PL'!$P$5,'CP RESUMO'!BM72,"")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HISTORICOS'!BN30)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RESUMO'!BN30</f>
        <v/>
      </c>
      <c r="N67" s="128">
        <f>MAX(0,M67-M66)</f>
        <v/>
      </c>
      <c r="O67" s="127">
        <f>IF(B67&lt;='VALOR POR PL'!$P$5,'CP RESUMO'!BN72,"")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HISTORICOS'!BO30)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RESUMO'!BO30</f>
        <v/>
      </c>
      <c r="N68" s="128">
        <f>MAX(0,M68-M67)</f>
        <v/>
      </c>
      <c r="O68" s="127">
        <f>IF(B68&lt;='VALOR POR PL'!$P$5,'CP RESUMO'!BO72,"")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HISTORICOS'!BP30)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RESUMO'!BP30</f>
        <v/>
      </c>
      <c r="N69" s="128">
        <f>MAX(0,M69-M68)</f>
        <v/>
      </c>
      <c r="O69" s="127">
        <f>IF(B69&lt;='VALOR POR PL'!$P$5,'CP RESUMO'!BP72,"")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HISTORICOS'!BQ30)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RESUMO'!BQ30</f>
        <v/>
      </c>
      <c r="N70" s="128">
        <f>MAX(0,M70-M69)</f>
        <v/>
      </c>
      <c r="O70" s="127">
        <f>IF(B70&lt;='VALOR POR PL'!$P$5,'CP RESUMO'!BQ72,"")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HISTORICOS'!BR30)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RESUMO'!BR30</f>
        <v/>
      </c>
      <c r="N71" s="128">
        <f>MAX(0,M71-M70)</f>
        <v/>
      </c>
      <c r="O71" s="127">
        <f>IF(B71&lt;='VALOR POR PL'!$P$5,'CP RESUMO'!BR72,"")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HISTORICOS'!BS30)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RESUMO'!BS30</f>
        <v/>
      </c>
      <c r="N72" s="128">
        <f>MAX(0,M72-M71)</f>
        <v/>
      </c>
      <c r="O72" s="127">
        <f>IF(B72&lt;='VALOR POR PL'!$P$5,'CP RESUMO'!BS72,"")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HISTORICOS'!BT30)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RESUMO'!BT30</f>
        <v/>
      </c>
      <c r="N73" s="128">
        <f>MAX(0,M73-M72)</f>
        <v/>
      </c>
      <c r="O73" s="127">
        <f>IF(B73&lt;='VALOR POR PL'!$P$5,'CP RESUMO'!BT72,"")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HISTORICOS'!BU30)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RESUMO'!BU30</f>
        <v/>
      </c>
      <c r="N74" s="128">
        <f>MAX(0,M74-M73)</f>
        <v/>
      </c>
      <c r="O74" s="127">
        <f>IF(B74&lt;='VALOR POR PL'!$P$5,'CP RESUMO'!BU72,"")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HISTORICOS'!BV30)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RESUMO'!BV30</f>
        <v/>
      </c>
      <c r="N75" s="128">
        <f>MAX(0,M75-M74)</f>
        <v/>
      </c>
      <c r="O75" s="127">
        <f>IF(B75&lt;='VALOR POR PL'!$P$5,'CP RESUMO'!BV72,"")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HISTORICOS'!BW30)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RESUMO'!BW30</f>
        <v/>
      </c>
      <c r="N76" s="128">
        <f>MAX(0,M76-M75)</f>
        <v/>
      </c>
      <c r="O76" s="127">
        <f>IF(B76&lt;='VALOR POR PL'!$P$5,'CP RESUMO'!BW72,"")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PL'!D37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HISTORICOS'!D31)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PL'!F37</f>
        <v/>
      </c>
      <c r="K5" s="63">
        <f>'VALOR POR PL'!G37</f>
        <v/>
      </c>
      <c r="M5" s="127">
        <f>'CP RESUMO'!D31</f>
        <v/>
      </c>
      <c r="N5" s="128" t="n">
        <v>0</v>
      </c>
      <c r="O5" s="127">
        <f>IF(B5&lt;='VALOR POR PL'!$P$5,'CP RESUMO'!D73,"")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HISTORICOS'!E31)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RESUMO'!E31</f>
        <v/>
      </c>
      <c r="N6" s="128">
        <f>MAX(0,M6-M5)</f>
        <v/>
      </c>
      <c r="O6" s="127">
        <f>IF(B6&lt;='VALOR POR PL'!$P$5,'CP RESUMO'!E73,"")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HISTORICOS'!F31)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PL'!L37</f>
        <v/>
      </c>
      <c r="M7" s="127">
        <f>'CP RESUMO'!F31</f>
        <v/>
      </c>
      <c r="N7" s="128">
        <f>MAX(0,M7-M6)</f>
        <v/>
      </c>
      <c r="O7" s="127">
        <f>IF(B7&lt;='VALOR POR PL'!$P$5,'CP RESUMO'!F73,"")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HISTORICOS'!G31)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RESUMO'!G31</f>
        <v/>
      </c>
      <c r="N8" s="128">
        <f>MAX(0,M8-M7)</f>
        <v/>
      </c>
      <c r="O8" s="127">
        <f>IF(B8&lt;='VALOR POR PL'!$P$5,'CP RESUMO'!G73,"")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HISTORICOS'!H31)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RESUMO'!H31</f>
        <v/>
      </c>
      <c r="N9" s="128">
        <f>MAX(0,M9-M8)</f>
        <v/>
      </c>
      <c r="O9" s="127">
        <f>IF(B9&lt;='VALOR POR PL'!$P$5,'CP RESUMO'!H73,"")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HISTORICOS'!I31)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RESUMO'!I31</f>
        <v/>
      </c>
      <c r="N10" s="128">
        <f>MAX(0,M10-M9)</f>
        <v/>
      </c>
      <c r="O10" s="127">
        <f>IF(B10&lt;='VALOR POR PL'!$P$5,'CP RESUMO'!I73,"")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HISTORICOS'!J31)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RESUMO'!J31</f>
        <v/>
      </c>
      <c r="N11" s="128">
        <f>MAX(0,M11-M10)</f>
        <v/>
      </c>
      <c r="O11" s="127">
        <f>IF(B11&lt;='VALOR POR PL'!$P$5,'CP RESUMO'!J73,"")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HISTORICOS'!K31)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RESUMO'!K31</f>
        <v/>
      </c>
      <c r="N12" s="128">
        <f>MAX(0,M12-M11)</f>
        <v/>
      </c>
      <c r="O12" s="127">
        <f>IF(B12&lt;='VALOR POR PL'!$P$5,'CP RESUMO'!K73,"")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HISTORICOS'!L31)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PL'!I37</f>
        <v/>
      </c>
      <c r="M13" s="127">
        <f>'CP RESUMO'!L31</f>
        <v/>
      </c>
      <c r="N13" s="128">
        <f>MAX(0,M13-M12)</f>
        <v/>
      </c>
      <c r="O13" s="127">
        <f>IF(B13&lt;='VALOR POR PL'!$P$5,'CP RESUMO'!L73,"")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HISTORICOS'!M31)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RESUMO'!$D$73:$BW$73,MATCH('VALOR POR PL'!$P$5,'CP RESUMO'!$D$4:$BW$4,0))/100,0)</f>
        <v/>
      </c>
      <c r="M14" s="127">
        <f>'CP RESUMO'!M31</f>
        <v/>
      </c>
      <c r="N14" s="128">
        <f>MAX(0,M14-M13)</f>
        <v/>
      </c>
      <c r="O14" s="127">
        <f>IF(B14&lt;='VALOR POR PL'!$P$5,'CP RESUMO'!M73,"")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HISTORICOS'!N31)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RESUMO'!N31</f>
        <v/>
      </c>
      <c r="N15" s="128">
        <f>MAX(0,M15-M14)</f>
        <v/>
      </c>
      <c r="O15" s="127">
        <f>IF(B15&lt;='VALOR POR PL'!$P$5,'CP RESUMO'!N73,"")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HISTORICOS'!O31)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RESUMO'!O31</f>
        <v/>
      </c>
      <c r="N16" s="128">
        <f>MAX(0,M16-M15)</f>
        <v/>
      </c>
      <c r="O16" s="127">
        <f>IF(B16&lt;='VALOR POR PL'!$P$5,'CP RESUMO'!O73,"")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HISTORICOS'!P31)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RESUMO'!P31</f>
        <v/>
      </c>
      <c r="N17" s="128">
        <f>MAX(0,M17-M16)</f>
        <v/>
      </c>
      <c r="O17" s="127">
        <f>IF(B17&lt;='VALOR POR PL'!$P$5,'CP RESUMO'!P73,"")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HISTORICOS'!Q31)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RESUMO'!Q31</f>
        <v/>
      </c>
      <c r="N18" s="128">
        <f>MAX(0,M18-M17)</f>
        <v/>
      </c>
      <c r="O18" s="127">
        <f>IF(B18&lt;='VALOR POR PL'!$P$5,'CP RESUMO'!Q73,"")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HISTORICOS'!R31)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RESUMO'!R31</f>
        <v/>
      </c>
      <c r="N19" s="128">
        <f>MAX(0,M19-M18)</f>
        <v/>
      </c>
      <c r="O19" s="127">
        <f>IF(B19&lt;='VALOR POR PL'!$P$5,'CP RESUMO'!R73,"")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HISTORICOS'!S31)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RESUMO'!S31</f>
        <v/>
      </c>
      <c r="N20" s="128">
        <f>MAX(0,M20-M19)</f>
        <v/>
      </c>
      <c r="O20" s="127">
        <f>IF(B20&lt;='VALOR POR PL'!$P$5,'CP RESUMO'!S73,"")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HISTORICOS'!T31)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RESUMO'!T31</f>
        <v/>
      </c>
      <c r="N21" s="128">
        <f>MAX(0,M21-M20)</f>
        <v/>
      </c>
      <c r="O21" s="127">
        <f>IF(B21&lt;='VALOR POR PL'!$P$5,'CP RESUMO'!T73,"")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HISTORICOS'!U31)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RESUMO'!U31</f>
        <v/>
      </c>
      <c r="N22" s="128">
        <f>MAX(0,M22-M21)</f>
        <v/>
      </c>
      <c r="O22" s="127">
        <f>IF(B22&lt;='VALOR POR PL'!$P$5,'CP RESUMO'!U73,"")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HISTORICOS'!V31)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RESUMO'!V31</f>
        <v/>
      </c>
      <c r="N23" s="128">
        <f>MAX(0,M23-M22)</f>
        <v/>
      </c>
      <c r="O23" s="127">
        <f>IF(B23&lt;='VALOR POR PL'!$P$5,'CP RESUMO'!V73,"")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HISTORICOS'!W31)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RESUMO'!W31</f>
        <v/>
      </c>
      <c r="N24" s="128">
        <f>MAX(0,M24-M23)</f>
        <v/>
      </c>
      <c r="O24" s="127">
        <f>IF(B24&lt;='VALOR POR PL'!$P$5,'CP RESUMO'!W73,"")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HISTORICOS'!X31)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RESUMO'!X31</f>
        <v/>
      </c>
      <c r="N25" s="128">
        <f>MAX(0,M25-M24)</f>
        <v/>
      </c>
      <c r="O25" s="127">
        <f>IF(B25&lt;='VALOR POR PL'!$P$5,'CP RESUMO'!X73,"")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HISTORICOS'!Y31)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RESUMO'!Y31</f>
        <v/>
      </c>
      <c r="N26" s="128">
        <f>MAX(0,M26-M25)</f>
        <v/>
      </c>
      <c r="O26" s="127">
        <f>IF(B26&lt;='VALOR POR PL'!$P$5,'CP RESUMO'!Y73,"")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HISTORICOS'!Z31)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RESUMO'!Z31</f>
        <v/>
      </c>
      <c r="N27" s="128">
        <f>MAX(0,M27-M26)</f>
        <v/>
      </c>
      <c r="O27" s="127">
        <f>IF(B27&lt;='VALOR POR PL'!$P$5,'CP RESUMO'!Z73,"")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HISTORICOS'!AA31)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RESUMO'!AA31</f>
        <v/>
      </c>
      <c r="N28" s="128">
        <f>MAX(0,M28-M27)</f>
        <v/>
      </c>
      <c r="O28" s="127">
        <f>IF(B28&lt;='VALOR POR PL'!$P$5,'CP RESUMO'!AA73,"")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HISTORICOS'!AB31)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RESUMO'!AB31</f>
        <v/>
      </c>
      <c r="N29" s="128">
        <f>MAX(0,M29-M28)</f>
        <v/>
      </c>
      <c r="O29" s="127">
        <f>IF(B29&lt;='VALOR POR PL'!$P$5,'CP RESUMO'!AB73,"")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HISTORICOS'!AC31)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RESUMO'!AC31</f>
        <v/>
      </c>
      <c r="N30" s="128">
        <f>MAX(0,M30-M29)</f>
        <v/>
      </c>
      <c r="O30" s="127">
        <f>IF(B30&lt;='VALOR POR PL'!$P$5,'CP RESUMO'!AC73,"")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HISTORICOS'!AD31)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RESUMO'!AD31</f>
        <v/>
      </c>
      <c r="N31" s="128">
        <f>MAX(0,M31-M30)</f>
        <v/>
      </c>
      <c r="O31" s="127">
        <f>IF(B31&lt;='VALOR POR PL'!$P$5,'CP RESUMO'!AD73,"")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HISTORICOS'!AE31)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RESUMO'!AE31</f>
        <v/>
      </c>
      <c r="N32" s="128">
        <f>MAX(0,M32-M31)</f>
        <v/>
      </c>
      <c r="O32" s="127">
        <f>IF(B32&lt;='VALOR POR PL'!$P$5,'CP RESUMO'!AE73,"")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HISTORICOS'!AF31)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RESUMO'!AF31</f>
        <v/>
      </c>
      <c r="N33" s="128">
        <f>MAX(0,M33-M32)</f>
        <v/>
      </c>
      <c r="O33" s="127">
        <f>IF(B33&lt;='VALOR POR PL'!$P$5,'CP RESUMO'!AF73,"")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HISTORICOS'!AG31)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RESUMO'!AG31</f>
        <v/>
      </c>
      <c r="N34" s="128">
        <f>MAX(0,M34-M33)</f>
        <v/>
      </c>
      <c r="O34" s="127">
        <f>IF(B34&lt;='VALOR POR PL'!$P$5,'CP RESUMO'!AG73,"")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HISTORICOS'!AH31)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RESUMO'!AH31</f>
        <v/>
      </c>
      <c r="N35" s="128">
        <f>MAX(0,M35-M34)</f>
        <v/>
      </c>
      <c r="O35" s="127">
        <f>IF(B35&lt;='VALOR POR PL'!$P$5,'CP RESUMO'!AH73,"")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HISTORICOS'!AI31)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RESUMO'!AI31</f>
        <v/>
      </c>
      <c r="N36" s="128">
        <f>MAX(0,M36-M35)</f>
        <v/>
      </c>
      <c r="O36" s="127">
        <f>IF(B36&lt;='VALOR POR PL'!$P$5,'CP RESUMO'!AI73,"")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HISTORICOS'!AJ31)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RESUMO'!AJ31</f>
        <v/>
      </c>
      <c r="N37" s="128">
        <f>MAX(0,M37-M36)</f>
        <v/>
      </c>
      <c r="O37" s="127">
        <f>IF(B37&lt;='VALOR POR PL'!$P$5,'CP RESUMO'!AJ73,"")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HISTORICOS'!AK31)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RESUMO'!AK31</f>
        <v/>
      </c>
      <c r="N38" s="128">
        <f>MAX(0,M38-M37)</f>
        <v/>
      </c>
      <c r="O38" s="127">
        <f>IF(B38&lt;='VALOR POR PL'!$P$5,'CP RESUMO'!AK73,"")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HISTORICOS'!AL31)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RESUMO'!AL31</f>
        <v/>
      </c>
      <c r="N39" s="128">
        <f>MAX(0,M39-M38)</f>
        <v/>
      </c>
      <c r="O39" s="127">
        <f>IF(B39&lt;='VALOR POR PL'!$P$5,'CP RESUMO'!AL73,"")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HISTORICOS'!AM31)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RESUMO'!AM31</f>
        <v/>
      </c>
      <c r="N40" s="128">
        <f>MAX(0,M40-M39)</f>
        <v/>
      </c>
      <c r="O40" s="127">
        <f>IF(B40&lt;='VALOR POR PL'!$P$5,'CP RESUMO'!AM73,"")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HISTORICOS'!AN31)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RESUMO'!AN31</f>
        <v/>
      </c>
      <c r="N41" s="128">
        <f>MAX(0,M41-M40)</f>
        <v/>
      </c>
      <c r="O41" s="127">
        <f>IF(B41&lt;='VALOR POR PL'!$P$5,'CP RESUMO'!AN73,"")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HISTORICOS'!AO31)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RESUMO'!AO31</f>
        <v/>
      </c>
      <c r="N42" s="128">
        <f>MAX(0,M42-M41)</f>
        <v/>
      </c>
      <c r="O42" s="127">
        <f>IF(B42&lt;='VALOR POR PL'!$P$5,'CP RESUMO'!AO73,"")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HISTORICOS'!AP31)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RESUMO'!AP31</f>
        <v/>
      </c>
      <c r="N43" s="128">
        <f>MAX(0,M43-M42)</f>
        <v/>
      </c>
      <c r="O43" s="127">
        <f>IF(B43&lt;='VALOR POR PL'!$P$5,'CP RESUMO'!AP73,"")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HISTORICOS'!AQ31)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RESUMO'!AQ31</f>
        <v/>
      </c>
      <c r="N44" s="128">
        <f>MAX(0,M44-M43)</f>
        <v/>
      </c>
      <c r="O44" s="127">
        <f>IF(B44&lt;='VALOR POR PL'!$P$5,'CP RESUMO'!AQ73,"")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HISTORICOS'!AR31)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RESUMO'!AR31</f>
        <v/>
      </c>
      <c r="N45" s="128">
        <f>MAX(0,M45-M44)</f>
        <v/>
      </c>
      <c r="O45" s="127">
        <f>IF(B45&lt;='VALOR POR PL'!$P$5,'CP RESUMO'!AR73,"")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HISTORICOS'!AS31)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RESUMO'!AS31</f>
        <v/>
      </c>
      <c r="N46" s="128">
        <f>MAX(0,M46-M45)</f>
        <v/>
      </c>
      <c r="O46" s="127">
        <f>IF(B46&lt;='VALOR POR PL'!$P$5,'CP RESUMO'!AS73,"")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HISTORICOS'!AT31)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RESUMO'!AT31</f>
        <v/>
      </c>
      <c r="N47" s="128">
        <f>MAX(0,M47-M46)</f>
        <v/>
      </c>
      <c r="O47" s="127">
        <f>IF(B47&lt;='VALOR POR PL'!$P$5,'CP RESUMO'!AT73,"")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HISTORICOS'!AU31)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RESUMO'!AU31</f>
        <v/>
      </c>
      <c r="N48" s="128">
        <f>MAX(0,M48-M47)</f>
        <v/>
      </c>
      <c r="O48" s="127">
        <f>IF(B48&lt;='VALOR POR PL'!$P$5,'CP RESUMO'!AU73,"")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HISTORICOS'!AV31)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RESUMO'!AV31</f>
        <v/>
      </c>
      <c r="N49" s="128">
        <f>MAX(0,M49-M48)</f>
        <v/>
      </c>
      <c r="O49" s="127">
        <f>IF(B49&lt;='VALOR POR PL'!$P$5,'CP RESUMO'!AV73,"")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HISTORICOS'!AW31)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RESUMO'!AW31</f>
        <v/>
      </c>
      <c r="N50" s="128">
        <f>MAX(0,M50-M49)</f>
        <v/>
      </c>
      <c r="O50" s="127">
        <f>IF(B50&lt;='VALOR POR PL'!$P$5,'CP RESUMO'!AW73,"")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HISTORICOS'!AX31)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RESUMO'!AX31</f>
        <v/>
      </c>
      <c r="N51" s="128">
        <f>MAX(0,M51-M50)</f>
        <v/>
      </c>
      <c r="O51" s="127">
        <f>IF(B51&lt;='VALOR POR PL'!$P$5,'CP RESUMO'!AX73,"")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HISTORICOS'!AY31)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RESUMO'!AY31</f>
        <v/>
      </c>
      <c r="N52" s="128">
        <f>MAX(0,M52-M51)</f>
        <v/>
      </c>
      <c r="O52" s="127">
        <f>IF(B52&lt;='VALOR POR PL'!$P$5,'CP RESUMO'!AY73,"")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HISTORICOS'!AZ31)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RESUMO'!AZ31</f>
        <v/>
      </c>
      <c r="N53" s="128">
        <f>MAX(0,M53-M52)</f>
        <v/>
      </c>
      <c r="O53" s="127">
        <f>IF(B53&lt;='VALOR POR PL'!$P$5,'CP RESUMO'!AZ73,"")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HISTORICOS'!BA31)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RESUMO'!BA31</f>
        <v/>
      </c>
      <c r="N54" s="128">
        <f>MAX(0,M54-M53)</f>
        <v/>
      </c>
      <c r="O54" s="127">
        <f>IF(B54&lt;='VALOR POR PL'!$P$5,'CP RESUMO'!BA73,"")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HISTORICOS'!BB31)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RESUMO'!BB31</f>
        <v/>
      </c>
      <c r="N55" s="128">
        <f>MAX(0,M55-M54)</f>
        <v/>
      </c>
      <c r="O55" s="127">
        <f>IF(B55&lt;='VALOR POR PL'!$P$5,'CP RESUMO'!BB73,"")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HISTORICOS'!BC31)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RESUMO'!BC31</f>
        <v/>
      </c>
      <c r="N56" s="128">
        <f>MAX(0,M56-M55)</f>
        <v/>
      </c>
      <c r="O56" s="127">
        <f>IF(B56&lt;='VALOR POR PL'!$P$5,'CP RESUMO'!BC73,"")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HISTORICOS'!BD31)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RESUMO'!BD31</f>
        <v/>
      </c>
      <c r="N57" s="128">
        <f>MAX(0,M57-M56)</f>
        <v/>
      </c>
      <c r="O57" s="127">
        <f>IF(B57&lt;='VALOR POR PL'!$P$5,'CP RESUMO'!BD73,"")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HISTORICOS'!BE31)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RESUMO'!BE31</f>
        <v/>
      </c>
      <c r="N58" s="128">
        <f>MAX(0,M58-M57)</f>
        <v/>
      </c>
      <c r="O58" s="127">
        <f>IF(B58&lt;='VALOR POR PL'!$P$5,'CP RESUMO'!BE73,"")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HISTORICOS'!BF31)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RESUMO'!BF31</f>
        <v/>
      </c>
      <c r="N59" s="128">
        <f>MAX(0,M59-M58)</f>
        <v/>
      </c>
      <c r="O59" s="127">
        <f>IF(B59&lt;='VALOR POR PL'!$P$5,'CP RESUMO'!BF73,"")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HISTORICOS'!BG31)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RESUMO'!BG31</f>
        <v/>
      </c>
      <c r="N60" s="128">
        <f>MAX(0,M60-M59)</f>
        <v/>
      </c>
      <c r="O60" s="127">
        <f>IF(B60&lt;='VALOR POR PL'!$P$5,'CP RESUMO'!BG73,"")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HISTORICOS'!BH31)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RESUMO'!BH31</f>
        <v/>
      </c>
      <c r="N61" s="128">
        <f>MAX(0,M61-M60)</f>
        <v/>
      </c>
      <c r="O61" s="127">
        <f>IF(B61&lt;='VALOR POR PL'!$P$5,'CP RESUMO'!BH73,"")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HISTORICOS'!BI31)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RESUMO'!BI31</f>
        <v/>
      </c>
      <c r="N62" s="128">
        <f>MAX(0,M62-M61)</f>
        <v/>
      </c>
      <c r="O62" s="127">
        <f>IF(B62&lt;='VALOR POR PL'!$P$5,'CP RESUMO'!BI73,"")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HISTORICOS'!BJ31)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RESUMO'!BJ31</f>
        <v/>
      </c>
      <c r="N63" s="128">
        <f>MAX(0,M63-M62)</f>
        <v/>
      </c>
      <c r="O63" s="127">
        <f>IF(B63&lt;='VALOR POR PL'!$P$5,'CP RESUMO'!BJ73,"")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HISTORICOS'!BK31)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RESUMO'!BK31</f>
        <v/>
      </c>
      <c r="N64" s="128">
        <f>MAX(0,M64-M63)</f>
        <v/>
      </c>
      <c r="O64" s="127">
        <f>IF(B64&lt;='VALOR POR PL'!$P$5,'CP RESUMO'!BK73,"")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HISTORICOS'!BL31)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RESUMO'!BL31</f>
        <v/>
      </c>
      <c r="N65" s="128">
        <f>MAX(0,M65-M64)</f>
        <v/>
      </c>
      <c r="O65" s="127">
        <f>IF(B65&lt;='VALOR POR PL'!$P$5,'CP RESUMO'!BL73,"")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HISTORICOS'!BM31)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RESUMO'!BM31</f>
        <v/>
      </c>
      <c r="N66" s="128">
        <f>MAX(0,M66-M65)</f>
        <v/>
      </c>
      <c r="O66" s="127">
        <f>IF(B66&lt;='VALOR POR PL'!$P$5,'CP RESUMO'!BM73,"")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HISTORICOS'!BN31)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RESUMO'!BN31</f>
        <v/>
      </c>
      <c r="N67" s="128">
        <f>MAX(0,M67-M66)</f>
        <v/>
      </c>
      <c r="O67" s="127">
        <f>IF(B67&lt;='VALOR POR PL'!$P$5,'CP RESUMO'!BN73,"")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HISTORICOS'!BO31)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RESUMO'!BO31</f>
        <v/>
      </c>
      <c r="N68" s="128">
        <f>MAX(0,M68-M67)</f>
        <v/>
      </c>
      <c r="O68" s="127">
        <f>IF(B68&lt;='VALOR POR PL'!$P$5,'CP RESUMO'!BO73,"")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HISTORICOS'!BP31)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RESUMO'!BP31</f>
        <v/>
      </c>
      <c r="N69" s="128">
        <f>MAX(0,M69-M68)</f>
        <v/>
      </c>
      <c r="O69" s="127">
        <f>IF(B69&lt;='VALOR POR PL'!$P$5,'CP RESUMO'!BP73,"")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HISTORICOS'!BQ31)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RESUMO'!BQ31</f>
        <v/>
      </c>
      <c r="N70" s="128">
        <f>MAX(0,M70-M69)</f>
        <v/>
      </c>
      <c r="O70" s="127">
        <f>IF(B70&lt;='VALOR POR PL'!$P$5,'CP RESUMO'!BQ73,"")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HISTORICOS'!BR31)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RESUMO'!BR31</f>
        <v/>
      </c>
      <c r="N71" s="128">
        <f>MAX(0,M71-M70)</f>
        <v/>
      </c>
      <c r="O71" s="127">
        <f>IF(B71&lt;='VALOR POR PL'!$P$5,'CP RESUMO'!BR73,"")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HISTORICOS'!BS31)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RESUMO'!BS31</f>
        <v/>
      </c>
      <c r="N72" s="128">
        <f>MAX(0,M72-M71)</f>
        <v/>
      </c>
      <c r="O72" s="127">
        <f>IF(B72&lt;='VALOR POR PL'!$P$5,'CP RESUMO'!BS73,"")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HISTORICOS'!BT31)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RESUMO'!BT31</f>
        <v/>
      </c>
      <c r="N73" s="128">
        <f>MAX(0,M73-M72)</f>
        <v/>
      </c>
      <c r="O73" s="127">
        <f>IF(B73&lt;='VALOR POR PL'!$P$5,'CP RESUMO'!BT73,"")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HISTORICOS'!BU31)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RESUMO'!BU31</f>
        <v/>
      </c>
      <c r="N74" s="128">
        <f>MAX(0,M74-M73)</f>
        <v/>
      </c>
      <c r="O74" s="127">
        <f>IF(B74&lt;='VALOR POR PL'!$P$5,'CP RESUMO'!BU73,"")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HISTORICOS'!BV31)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RESUMO'!BV31</f>
        <v/>
      </c>
      <c r="N75" s="128">
        <f>MAX(0,M75-M74)</f>
        <v/>
      </c>
      <c r="O75" s="127">
        <f>IF(B75&lt;='VALOR POR PL'!$P$5,'CP RESUMO'!BV73,"")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HISTORICOS'!BW31)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RESUMO'!BW31</f>
        <v/>
      </c>
      <c r="N76" s="128">
        <f>MAX(0,M76-M75)</f>
        <v/>
      </c>
      <c r="O76" s="127">
        <f>IF(B76&lt;='VALOR POR PL'!$P$5,'CP RESUMO'!BW73,"")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PL'!D38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HISTORICOS'!D32)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PL'!F38</f>
        <v/>
      </c>
      <c r="K5" s="63">
        <f>'VALOR POR PL'!G38</f>
        <v/>
      </c>
      <c r="M5" s="127">
        <f>'CP RESUMO'!D32</f>
        <v/>
      </c>
      <c r="N5" s="128" t="n">
        <v>0</v>
      </c>
      <c r="O5" s="127">
        <f>IF(B5&lt;='VALOR POR PL'!$P$5,'CP RESUMO'!D74,"")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HISTORICOS'!E32)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RESUMO'!E32</f>
        <v/>
      </c>
      <c r="N6" s="128">
        <f>MAX(0,M6-M5)</f>
        <v/>
      </c>
      <c r="O6" s="127">
        <f>IF(B6&lt;='VALOR POR PL'!$P$5,'CP RESUMO'!E74,"")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HISTORICOS'!F32)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PL'!L38</f>
        <v/>
      </c>
      <c r="M7" s="127">
        <f>'CP RESUMO'!F32</f>
        <v/>
      </c>
      <c r="N7" s="128">
        <f>MAX(0,M7-M6)</f>
        <v/>
      </c>
      <c r="O7" s="127">
        <f>IF(B7&lt;='VALOR POR PL'!$P$5,'CP RESUMO'!F74,"")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HISTORICOS'!G32)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RESUMO'!G32</f>
        <v/>
      </c>
      <c r="N8" s="128">
        <f>MAX(0,M8-M7)</f>
        <v/>
      </c>
      <c r="O8" s="127">
        <f>IF(B8&lt;='VALOR POR PL'!$P$5,'CP RESUMO'!G74,"")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HISTORICOS'!H32)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RESUMO'!H32</f>
        <v/>
      </c>
      <c r="N9" s="128">
        <f>MAX(0,M9-M8)</f>
        <v/>
      </c>
      <c r="O9" s="127">
        <f>IF(B9&lt;='VALOR POR PL'!$P$5,'CP RESUMO'!H74,"")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HISTORICOS'!I32)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RESUMO'!I32</f>
        <v/>
      </c>
      <c r="N10" s="128">
        <f>MAX(0,M10-M9)</f>
        <v/>
      </c>
      <c r="O10" s="127">
        <f>IF(B10&lt;='VALOR POR PL'!$P$5,'CP RESUMO'!I74,"")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HISTORICOS'!J32)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RESUMO'!J32</f>
        <v/>
      </c>
      <c r="N11" s="128">
        <f>MAX(0,M11-M10)</f>
        <v/>
      </c>
      <c r="O11" s="127">
        <f>IF(B11&lt;='VALOR POR PL'!$P$5,'CP RESUMO'!J74,"")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HISTORICOS'!K32)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RESUMO'!K32</f>
        <v/>
      </c>
      <c r="N12" s="128">
        <f>MAX(0,M12-M11)</f>
        <v/>
      </c>
      <c r="O12" s="127">
        <f>IF(B12&lt;='VALOR POR PL'!$P$5,'CP RESUMO'!K74,"")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HISTORICOS'!L32)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PL'!I38</f>
        <v/>
      </c>
      <c r="M13" s="127">
        <f>'CP RESUMO'!L32</f>
        <v/>
      </c>
      <c r="N13" s="128">
        <f>MAX(0,M13-M12)</f>
        <v/>
      </c>
      <c r="O13" s="127">
        <f>IF(B13&lt;='VALOR POR PL'!$P$5,'CP RESUMO'!L74,"")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HISTORICOS'!M32)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RESUMO'!$D$74:$BW$74,MATCH('VALOR POR PL'!$P$5,'CP RESUMO'!$D$4:$BW$4,0))/100,0)</f>
        <v/>
      </c>
      <c r="M14" s="127">
        <f>'CP RESUMO'!M32</f>
        <v/>
      </c>
      <c r="N14" s="128">
        <f>MAX(0,M14-M13)</f>
        <v/>
      </c>
      <c r="O14" s="127">
        <f>IF(B14&lt;='VALOR POR PL'!$P$5,'CP RESUMO'!M74,"")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HISTORICOS'!N32)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RESUMO'!N32</f>
        <v/>
      </c>
      <c r="N15" s="128">
        <f>MAX(0,M15-M14)</f>
        <v/>
      </c>
      <c r="O15" s="127">
        <f>IF(B15&lt;='VALOR POR PL'!$P$5,'CP RESUMO'!N74,"")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HISTORICOS'!O32)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RESUMO'!O32</f>
        <v/>
      </c>
      <c r="N16" s="128">
        <f>MAX(0,M16-M15)</f>
        <v/>
      </c>
      <c r="O16" s="127">
        <f>IF(B16&lt;='VALOR POR PL'!$P$5,'CP RESUMO'!O74,"")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HISTORICOS'!P32)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RESUMO'!P32</f>
        <v/>
      </c>
      <c r="N17" s="128">
        <f>MAX(0,M17-M16)</f>
        <v/>
      </c>
      <c r="O17" s="127">
        <f>IF(B17&lt;='VALOR POR PL'!$P$5,'CP RESUMO'!P74,"")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HISTORICOS'!Q32)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RESUMO'!Q32</f>
        <v/>
      </c>
      <c r="N18" s="128">
        <f>MAX(0,M18-M17)</f>
        <v/>
      </c>
      <c r="O18" s="127">
        <f>IF(B18&lt;='VALOR POR PL'!$P$5,'CP RESUMO'!Q74,"")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HISTORICOS'!R32)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RESUMO'!R32</f>
        <v/>
      </c>
      <c r="N19" s="128">
        <f>MAX(0,M19-M18)</f>
        <v/>
      </c>
      <c r="O19" s="127">
        <f>IF(B19&lt;='VALOR POR PL'!$P$5,'CP RESUMO'!R74,"")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HISTORICOS'!S32)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RESUMO'!S32</f>
        <v/>
      </c>
      <c r="N20" s="128">
        <f>MAX(0,M20-M19)</f>
        <v/>
      </c>
      <c r="O20" s="127">
        <f>IF(B20&lt;='VALOR POR PL'!$P$5,'CP RESUMO'!S74,"")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HISTORICOS'!T32)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RESUMO'!T32</f>
        <v/>
      </c>
      <c r="N21" s="128">
        <f>MAX(0,M21-M20)</f>
        <v/>
      </c>
      <c r="O21" s="127">
        <f>IF(B21&lt;='VALOR POR PL'!$P$5,'CP RESUMO'!T74,"")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HISTORICOS'!U32)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RESUMO'!U32</f>
        <v/>
      </c>
      <c r="N22" s="128">
        <f>MAX(0,M22-M21)</f>
        <v/>
      </c>
      <c r="O22" s="127">
        <f>IF(B22&lt;='VALOR POR PL'!$P$5,'CP RESUMO'!U74,"")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HISTORICOS'!V32)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RESUMO'!V32</f>
        <v/>
      </c>
      <c r="N23" s="128">
        <f>MAX(0,M23-M22)</f>
        <v/>
      </c>
      <c r="O23" s="127">
        <f>IF(B23&lt;='VALOR POR PL'!$P$5,'CP RESUMO'!V74,"")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HISTORICOS'!W32)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RESUMO'!W32</f>
        <v/>
      </c>
      <c r="N24" s="128">
        <f>MAX(0,M24-M23)</f>
        <v/>
      </c>
      <c r="O24" s="127">
        <f>IF(B24&lt;='VALOR POR PL'!$P$5,'CP RESUMO'!W74,"")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HISTORICOS'!X32)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RESUMO'!X32</f>
        <v/>
      </c>
      <c r="N25" s="128">
        <f>MAX(0,M25-M24)</f>
        <v/>
      </c>
      <c r="O25" s="127">
        <f>IF(B25&lt;='VALOR POR PL'!$P$5,'CP RESUMO'!X74,"")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HISTORICOS'!Y32)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RESUMO'!Y32</f>
        <v/>
      </c>
      <c r="N26" s="128">
        <f>MAX(0,M26-M25)</f>
        <v/>
      </c>
      <c r="O26" s="127">
        <f>IF(B26&lt;='VALOR POR PL'!$P$5,'CP RESUMO'!Y74,"")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HISTORICOS'!Z32)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RESUMO'!Z32</f>
        <v/>
      </c>
      <c r="N27" s="128">
        <f>MAX(0,M27-M26)</f>
        <v/>
      </c>
      <c r="O27" s="127">
        <f>IF(B27&lt;='VALOR POR PL'!$P$5,'CP RESUMO'!Z74,"")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HISTORICOS'!AA32)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RESUMO'!AA32</f>
        <v/>
      </c>
      <c r="N28" s="128">
        <f>MAX(0,M28-M27)</f>
        <v/>
      </c>
      <c r="O28" s="127">
        <f>IF(B28&lt;='VALOR POR PL'!$P$5,'CP RESUMO'!AA74,"")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HISTORICOS'!AB32)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RESUMO'!AB32</f>
        <v/>
      </c>
      <c r="N29" s="128">
        <f>MAX(0,M29-M28)</f>
        <v/>
      </c>
      <c r="O29" s="127">
        <f>IF(B29&lt;='VALOR POR PL'!$P$5,'CP RESUMO'!AB74,"")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HISTORICOS'!AC32)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RESUMO'!AC32</f>
        <v/>
      </c>
      <c r="N30" s="128">
        <f>MAX(0,M30-M29)</f>
        <v/>
      </c>
      <c r="O30" s="127">
        <f>IF(B30&lt;='VALOR POR PL'!$P$5,'CP RESUMO'!AC74,"")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HISTORICOS'!AD32)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RESUMO'!AD32</f>
        <v/>
      </c>
      <c r="N31" s="128">
        <f>MAX(0,M31-M30)</f>
        <v/>
      </c>
      <c r="O31" s="127">
        <f>IF(B31&lt;='VALOR POR PL'!$P$5,'CP RESUMO'!AD74,"")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HISTORICOS'!AE32)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RESUMO'!AE32</f>
        <v/>
      </c>
      <c r="N32" s="128">
        <f>MAX(0,M32-M31)</f>
        <v/>
      </c>
      <c r="O32" s="127">
        <f>IF(B32&lt;='VALOR POR PL'!$P$5,'CP RESUMO'!AE74,"")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HISTORICOS'!AF32)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RESUMO'!AF32</f>
        <v/>
      </c>
      <c r="N33" s="128">
        <f>MAX(0,M33-M32)</f>
        <v/>
      </c>
      <c r="O33" s="127">
        <f>IF(B33&lt;='VALOR POR PL'!$P$5,'CP RESUMO'!AF74,"")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HISTORICOS'!AG32)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RESUMO'!AG32</f>
        <v/>
      </c>
      <c r="N34" s="128">
        <f>MAX(0,M34-M33)</f>
        <v/>
      </c>
      <c r="O34" s="127">
        <f>IF(B34&lt;='VALOR POR PL'!$P$5,'CP RESUMO'!AG74,"")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HISTORICOS'!AH32)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RESUMO'!AH32</f>
        <v/>
      </c>
      <c r="N35" s="128">
        <f>MAX(0,M35-M34)</f>
        <v/>
      </c>
      <c r="O35" s="127">
        <f>IF(B35&lt;='VALOR POR PL'!$P$5,'CP RESUMO'!AH74,"")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HISTORICOS'!AI32)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RESUMO'!AI32</f>
        <v/>
      </c>
      <c r="N36" s="128">
        <f>MAX(0,M36-M35)</f>
        <v/>
      </c>
      <c r="O36" s="127">
        <f>IF(B36&lt;='VALOR POR PL'!$P$5,'CP RESUMO'!AI74,"")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HISTORICOS'!AJ32)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RESUMO'!AJ32</f>
        <v/>
      </c>
      <c r="N37" s="128">
        <f>MAX(0,M37-M36)</f>
        <v/>
      </c>
      <c r="O37" s="127">
        <f>IF(B37&lt;='VALOR POR PL'!$P$5,'CP RESUMO'!AJ74,"")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HISTORICOS'!AK32)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RESUMO'!AK32</f>
        <v/>
      </c>
      <c r="N38" s="128">
        <f>MAX(0,M38-M37)</f>
        <v/>
      </c>
      <c r="O38" s="127">
        <f>IF(B38&lt;='VALOR POR PL'!$P$5,'CP RESUMO'!AK74,"")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HISTORICOS'!AL32)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RESUMO'!AL32</f>
        <v/>
      </c>
      <c r="N39" s="128">
        <f>MAX(0,M39-M38)</f>
        <v/>
      </c>
      <c r="O39" s="127">
        <f>IF(B39&lt;='VALOR POR PL'!$P$5,'CP RESUMO'!AL74,"")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HISTORICOS'!AM32)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RESUMO'!AM32</f>
        <v/>
      </c>
      <c r="N40" s="128">
        <f>MAX(0,M40-M39)</f>
        <v/>
      </c>
      <c r="O40" s="127">
        <f>IF(B40&lt;='VALOR POR PL'!$P$5,'CP RESUMO'!AM74,"")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HISTORICOS'!AN32)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RESUMO'!AN32</f>
        <v/>
      </c>
      <c r="N41" s="128">
        <f>MAX(0,M41-M40)</f>
        <v/>
      </c>
      <c r="O41" s="127">
        <f>IF(B41&lt;='VALOR POR PL'!$P$5,'CP RESUMO'!AN74,"")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HISTORICOS'!AO32)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RESUMO'!AO32</f>
        <v/>
      </c>
      <c r="N42" s="128">
        <f>MAX(0,M42-M41)</f>
        <v/>
      </c>
      <c r="O42" s="127">
        <f>IF(B42&lt;='VALOR POR PL'!$P$5,'CP RESUMO'!AO74,"")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HISTORICOS'!AP32)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RESUMO'!AP32</f>
        <v/>
      </c>
      <c r="N43" s="128">
        <f>MAX(0,M43-M42)</f>
        <v/>
      </c>
      <c r="O43" s="127">
        <f>IF(B43&lt;='VALOR POR PL'!$P$5,'CP RESUMO'!AP74,"")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HISTORICOS'!AQ32)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RESUMO'!AQ32</f>
        <v/>
      </c>
      <c r="N44" s="128">
        <f>MAX(0,M44-M43)</f>
        <v/>
      </c>
      <c r="O44" s="127">
        <f>IF(B44&lt;='VALOR POR PL'!$P$5,'CP RESUMO'!AQ74,"")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HISTORICOS'!AR32)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RESUMO'!AR32</f>
        <v/>
      </c>
      <c r="N45" s="128">
        <f>MAX(0,M45-M44)</f>
        <v/>
      </c>
      <c r="O45" s="127">
        <f>IF(B45&lt;='VALOR POR PL'!$P$5,'CP RESUMO'!AR74,"")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HISTORICOS'!AS32)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RESUMO'!AS32</f>
        <v/>
      </c>
      <c r="N46" s="128">
        <f>MAX(0,M46-M45)</f>
        <v/>
      </c>
      <c r="O46" s="127">
        <f>IF(B46&lt;='VALOR POR PL'!$P$5,'CP RESUMO'!AS74,"")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HISTORICOS'!AT32)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RESUMO'!AT32</f>
        <v/>
      </c>
      <c r="N47" s="128">
        <f>MAX(0,M47-M46)</f>
        <v/>
      </c>
      <c r="O47" s="127">
        <f>IF(B47&lt;='VALOR POR PL'!$P$5,'CP RESUMO'!AT74,"")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HISTORICOS'!AU32)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RESUMO'!AU32</f>
        <v/>
      </c>
      <c r="N48" s="128">
        <f>MAX(0,M48-M47)</f>
        <v/>
      </c>
      <c r="O48" s="127">
        <f>IF(B48&lt;='VALOR POR PL'!$P$5,'CP RESUMO'!AU74,"")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HISTORICOS'!AV32)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RESUMO'!AV32</f>
        <v/>
      </c>
      <c r="N49" s="128">
        <f>MAX(0,M49-M48)</f>
        <v/>
      </c>
      <c r="O49" s="127">
        <f>IF(B49&lt;='VALOR POR PL'!$P$5,'CP RESUMO'!AV74,"")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HISTORICOS'!AW32)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RESUMO'!AW32</f>
        <v/>
      </c>
      <c r="N50" s="128">
        <f>MAX(0,M50-M49)</f>
        <v/>
      </c>
      <c r="O50" s="127">
        <f>IF(B50&lt;='VALOR POR PL'!$P$5,'CP RESUMO'!AW74,"")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HISTORICOS'!AX32)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RESUMO'!AX32</f>
        <v/>
      </c>
      <c r="N51" s="128">
        <f>MAX(0,M51-M50)</f>
        <v/>
      </c>
      <c r="O51" s="127">
        <f>IF(B51&lt;='VALOR POR PL'!$P$5,'CP RESUMO'!AX74,"")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HISTORICOS'!AY32)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RESUMO'!AY32</f>
        <v/>
      </c>
      <c r="N52" s="128">
        <f>MAX(0,M52-M51)</f>
        <v/>
      </c>
      <c r="O52" s="127">
        <f>IF(B52&lt;='VALOR POR PL'!$P$5,'CP RESUMO'!AY74,"")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HISTORICOS'!AZ32)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RESUMO'!AZ32</f>
        <v/>
      </c>
      <c r="N53" s="128">
        <f>MAX(0,M53-M52)</f>
        <v/>
      </c>
      <c r="O53" s="127">
        <f>IF(B53&lt;='VALOR POR PL'!$P$5,'CP RESUMO'!AZ74,"")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HISTORICOS'!BA32)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RESUMO'!BA32</f>
        <v/>
      </c>
      <c r="N54" s="128">
        <f>MAX(0,M54-M53)</f>
        <v/>
      </c>
      <c r="O54" s="127">
        <f>IF(B54&lt;='VALOR POR PL'!$P$5,'CP RESUMO'!BA74,"")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HISTORICOS'!BB32)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RESUMO'!BB32</f>
        <v/>
      </c>
      <c r="N55" s="128">
        <f>MAX(0,M55-M54)</f>
        <v/>
      </c>
      <c r="O55" s="127">
        <f>IF(B55&lt;='VALOR POR PL'!$P$5,'CP RESUMO'!BB74,"")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HISTORICOS'!BC32)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RESUMO'!BC32</f>
        <v/>
      </c>
      <c r="N56" s="128">
        <f>MAX(0,M56-M55)</f>
        <v/>
      </c>
      <c r="O56" s="127">
        <f>IF(B56&lt;='VALOR POR PL'!$P$5,'CP RESUMO'!BC74,"")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HISTORICOS'!BD32)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RESUMO'!BD32</f>
        <v/>
      </c>
      <c r="N57" s="128">
        <f>MAX(0,M57-M56)</f>
        <v/>
      </c>
      <c r="O57" s="127">
        <f>IF(B57&lt;='VALOR POR PL'!$P$5,'CP RESUMO'!BD74,"")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HISTORICOS'!BE32)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RESUMO'!BE32</f>
        <v/>
      </c>
      <c r="N58" s="128">
        <f>MAX(0,M58-M57)</f>
        <v/>
      </c>
      <c r="O58" s="127">
        <f>IF(B58&lt;='VALOR POR PL'!$P$5,'CP RESUMO'!BE74,"")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HISTORICOS'!BF32)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RESUMO'!BF32</f>
        <v/>
      </c>
      <c r="N59" s="128">
        <f>MAX(0,M59-M58)</f>
        <v/>
      </c>
      <c r="O59" s="127">
        <f>IF(B59&lt;='VALOR POR PL'!$P$5,'CP RESUMO'!BF74,"")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HISTORICOS'!BG32)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RESUMO'!BG32</f>
        <v/>
      </c>
      <c r="N60" s="128">
        <f>MAX(0,M60-M59)</f>
        <v/>
      </c>
      <c r="O60" s="127">
        <f>IF(B60&lt;='VALOR POR PL'!$P$5,'CP RESUMO'!BG74,"")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HISTORICOS'!BH32)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RESUMO'!BH32</f>
        <v/>
      </c>
      <c r="N61" s="128">
        <f>MAX(0,M61-M60)</f>
        <v/>
      </c>
      <c r="O61" s="127">
        <f>IF(B61&lt;='VALOR POR PL'!$P$5,'CP RESUMO'!BH74,"")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HISTORICOS'!BI32)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RESUMO'!BI32</f>
        <v/>
      </c>
      <c r="N62" s="128">
        <f>MAX(0,M62-M61)</f>
        <v/>
      </c>
      <c r="O62" s="127">
        <f>IF(B62&lt;='VALOR POR PL'!$P$5,'CP RESUMO'!BI74,"")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HISTORICOS'!BJ32)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RESUMO'!BJ32</f>
        <v/>
      </c>
      <c r="N63" s="128">
        <f>MAX(0,M63-M62)</f>
        <v/>
      </c>
      <c r="O63" s="127">
        <f>IF(B63&lt;='VALOR POR PL'!$P$5,'CP RESUMO'!BJ74,"")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HISTORICOS'!BK32)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RESUMO'!BK32</f>
        <v/>
      </c>
      <c r="N64" s="128">
        <f>MAX(0,M64-M63)</f>
        <v/>
      </c>
      <c r="O64" s="127">
        <f>IF(B64&lt;='VALOR POR PL'!$P$5,'CP RESUMO'!BK74,"")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HISTORICOS'!BL32)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RESUMO'!BL32</f>
        <v/>
      </c>
      <c r="N65" s="128">
        <f>MAX(0,M65-M64)</f>
        <v/>
      </c>
      <c r="O65" s="127">
        <f>IF(B65&lt;='VALOR POR PL'!$P$5,'CP RESUMO'!BL74,"")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HISTORICOS'!BM32)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RESUMO'!BM32</f>
        <v/>
      </c>
      <c r="N66" s="128">
        <f>MAX(0,M66-M65)</f>
        <v/>
      </c>
      <c r="O66" s="127">
        <f>IF(B66&lt;='VALOR POR PL'!$P$5,'CP RESUMO'!BM74,"")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HISTORICOS'!BN32)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RESUMO'!BN32</f>
        <v/>
      </c>
      <c r="N67" s="128">
        <f>MAX(0,M67-M66)</f>
        <v/>
      </c>
      <c r="O67" s="127">
        <f>IF(B67&lt;='VALOR POR PL'!$P$5,'CP RESUMO'!BN74,"")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HISTORICOS'!BO32)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RESUMO'!BO32</f>
        <v/>
      </c>
      <c r="N68" s="128">
        <f>MAX(0,M68-M67)</f>
        <v/>
      </c>
      <c r="O68" s="127">
        <f>IF(B68&lt;='VALOR POR PL'!$P$5,'CP RESUMO'!BO74,"")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HISTORICOS'!BP32)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RESUMO'!BP32</f>
        <v/>
      </c>
      <c r="N69" s="128">
        <f>MAX(0,M69-M68)</f>
        <v/>
      </c>
      <c r="O69" s="127">
        <f>IF(B69&lt;='VALOR POR PL'!$P$5,'CP RESUMO'!BP74,"")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HISTORICOS'!BQ32)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RESUMO'!BQ32</f>
        <v/>
      </c>
      <c r="N70" s="128">
        <f>MAX(0,M70-M69)</f>
        <v/>
      </c>
      <c r="O70" s="127">
        <f>IF(B70&lt;='VALOR POR PL'!$P$5,'CP RESUMO'!BQ74,"")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HISTORICOS'!BR32)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RESUMO'!BR32</f>
        <v/>
      </c>
      <c r="N71" s="128">
        <f>MAX(0,M71-M70)</f>
        <v/>
      </c>
      <c r="O71" s="127">
        <f>IF(B71&lt;='VALOR POR PL'!$P$5,'CP RESUMO'!BR74,"")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HISTORICOS'!BS32)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RESUMO'!BS32</f>
        <v/>
      </c>
      <c r="N72" s="128">
        <f>MAX(0,M72-M71)</f>
        <v/>
      </c>
      <c r="O72" s="127">
        <f>IF(B72&lt;='VALOR POR PL'!$P$5,'CP RESUMO'!BS74,"")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HISTORICOS'!BT32)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RESUMO'!BT32</f>
        <v/>
      </c>
      <c r="N73" s="128">
        <f>MAX(0,M73-M72)</f>
        <v/>
      </c>
      <c r="O73" s="127">
        <f>IF(B73&lt;='VALOR POR PL'!$P$5,'CP RESUMO'!BT74,"")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HISTORICOS'!BU32)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RESUMO'!BU32</f>
        <v/>
      </c>
      <c r="N74" s="128">
        <f>MAX(0,M74-M73)</f>
        <v/>
      </c>
      <c r="O74" s="127">
        <f>IF(B74&lt;='VALOR POR PL'!$P$5,'CP RESUMO'!BU74,"")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HISTORICOS'!BV32)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RESUMO'!BV32</f>
        <v/>
      </c>
      <c r="N75" s="128">
        <f>MAX(0,M75-M74)</f>
        <v/>
      </c>
      <c r="O75" s="127">
        <f>IF(B75&lt;='VALOR POR PL'!$P$5,'CP RESUMO'!BV74,"")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HISTORICOS'!BW32)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RESUMO'!BW32</f>
        <v/>
      </c>
      <c r="N76" s="128">
        <f>MAX(0,M76-M75)</f>
        <v/>
      </c>
      <c r="O76" s="127">
        <f>IF(B76&lt;='VALOR POR PL'!$P$5,'CP RESUMO'!BW74,"")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PL'!D39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HISTORICOS'!D33)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PL'!F39</f>
        <v/>
      </c>
      <c r="K5" s="63">
        <f>'VALOR POR PL'!G39</f>
        <v/>
      </c>
      <c r="M5" s="127">
        <f>'CP RESUMO'!D33</f>
        <v/>
      </c>
      <c r="N5" s="128" t="n">
        <v>0</v>
      </c>
      <c r="O5" s="127">
        <f>IF(B5&lt;='VALOR POR PL'!$P$5,'CP RESUMO'!D75,"")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HISTORICOS'!E33)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RESUMO'!E33</f>
        <v/>
      </c>
      <c r="N6" s="128">
        <f>MAX(0,M6-M5)</f>
        <v/>
      </c>
      <c r="O6" s="127">
        <f>IF(B6&lt;='VALOR POR PL'!$P$5,'CP RESUMO'!E75,"")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HISTORICOS'!F33)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PL'!L39</f>
        <v/>
      </c>
      <c r="M7" s="127">
        <f>'CP RESUMO'!F33</f>
        <v/>
      </c>
      <c r="N7" s="128">
        <f>MAX(0,M7-M6)</f>
        <v/>
      </c>
      <c r="O7" s="127">
        <f>IF(B7&lt;='VALOR POR PL'!$P$5,'CP RESUMO'!F75,"")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HISTORICOS'!G33)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RESUMO'!G33</f>
        <v/>
      </c>
      <c r="N8" s="128">
        <f>MAX(0,M8-M7)</f>
        <v/>
      </c>
      <c r="O8" s="127">
        <f>IF(B8&lt;='VALOR POR PL'!$P$5,'CP RESUMO'!G75,"")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HISTORICOS'!H33)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RESUMO'!H33</f>
        <v/>
      </c>
      <c r="N9" s="128">
        <f>MAX(0,M9-M8)</f>
        <v/>
      </c>
      <c r="O9" s="127">
        <f>IF(B9&lt;='VALOR POR PL'!$P$5,'CP RESUMO'!H75,"")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HISTORICOS'!I33)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RESUMO'!I33</f>
        <v/>
      </c>
      <c r="N10" s="128">
        <f>MAX(0,M10-M9)</f>
        <v/>
      </c>
      <c r="O10" s="127">
        <f>IF(B10&lt;='VALOR POR PL'!$P$5,'CP RESUMO'!I75,"")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HISTORICOS'!J33)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RESUMO'!J33</f>
        <v/>
      </c>
      <c r="N11" s="128">
        <f>MAX(0,M11-M10)</f>
        <v/>
      </c>
      <c r="O11" s="127">
        <f>IF(B11&lt;='VALOR POR PL'!$P$5,'CP RESUMO'!J75,"")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HISTORICOS'!K33)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RESUMO'!K33</f>
        <v/>
      </c>
      <c r="N12" s="128">
        <f>MAX(0,M12-M11)</f>
        <v/>
      </c>
      <c r="O12" s="127">
        <f>IF(B12&lt;='VALOR POR PL'!$P$5,'CP RESUMO'!K75,"")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HISTORICOS'!L33)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PL'!I39</f>
        <v/>
      </c>
      <c r="M13" s="127">
        <f>'CP RESUMO'!L33</f>
        <v/>
      </c>
      <c r="N13" s="128">
        <f>MAX(0,M13-M12)</f>
        <v/>
      </c>
      <c r="O13" s="127">
        <f>IF(B13&lt;='VALOR POR PL'!$P$5,'CP RESUMO'!L75,"")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HISTORICOS'!M33)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RESUMO'!$D$75:$BW$75,MATCH('VALOR POR PL'!$P$5,'CP RESUMO'!$D$4:$BW$4,0))/100,0)</f>
        <v/>
      </c>
      <c r="M14" s="127">
        <f>'CP RESUMO'!M33</f>
        <v/>
      </c>
      <c r="N14" s="128">
        <f>MAX(0,M14-M13)</f>
        <v/>
      </c>
      <c r="O14" s="127">
        <f>IF(B14&lt;='VALOR POR PL'!$P$5,'CP RESUMO'!M75,"")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HISTORICOS'!N33)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RESUMO'!N33</f>
        <v/>
      </c>
      <c r="N15" s="128">
        <f>MAX(0,M15-M14)</f>
        <v/>
      </c>
      <c r="O15" s="127">
        <f>IF(B15&lt;='VALOR POR PL'!$P$5,'CP RESUMO'!N75,"")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HISTORICOS'!O33)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RESUMO'!O33</f>
        <v/>
      </c>
      <c r="N16" s="128">
        <f>MAX(0,M16-M15)</f>
        <v/>
      </c>
      <c r="O16" s="127">
        <f>IF(B16&lt;='VALOR POR PL'!$P$5,'CP RESUMO'!O75,"")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HISTORICOS'!P33)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RESUMO'!P33</f>
        <v/>
      </c>
      <c r="N17" s="128">
        <f>MAX(0,M17-M16)</f>
        <v/>
      </c>
      <c r="O17" s="127">
        <f>IF(B17&lt;='VALOR POR PL'!$P$5,'CP RESUMO'!P75,"")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HISTORICOS'!Q33)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RESUMO'!Q33</f>
        <v/>
      </c>
      <c r="N18" s="128">
        <f>MAX(0,M18-M17)</f>
        <v/>
      </c>
      <c r="O18" s="127">
        <f>IF(B18&lt;='VALOR POR PL'!$P$5,'CP RESUMO'!Q75,"")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HISTORICOS'!R33)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RESUMO'!R33</f>
        <v/>
      </c>
      <c r="N19" s="128">
        <f>MAX(0,M19-M18)</f>
        <v/>
      </c>
      <c r="O19" s="127">
        <f>IF(B19&lt;='VALOR POR PL'!$P$5,'CP RESUMO'!R75,"")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HISTORICOS'!S33)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RESUMO'!S33</f>
        <v/>
      </c>
      <c r="N20" s="128">
        <f>MAX(0,M20-M19)</f>
        <v/>
      </c>
      <c r="O20" s="127">
        <f>IF(B20&lt;='VALOR POR PL'!$P$5,'CP RESUMO'!S75,"")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HISTORICOS'!T33)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RESUMO'!T33</f>
        <v/>
      </c>
      <c r="N21" s="128">
        <f>MAX(0,M21-M20)</f>
        <v/>
      </c>
      <c r="O21" s="127">
        <f>IF(B21&lt;='VALOR POR PL'!$P$5,'CP RESUMO'!T75,"")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HISTORICOS'!U33)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RESUMO'!U33</f>
        <v/>
      </c>
      <c r="N22" s="128">
        <f>MAX(0,M22-M21)</f>
        <v/>
      </c>
      <c r="O22" s="127">
        <f>IF(B22&lt;='VALOR POR PL'!$P$5,'CP RESUMO'!U75,"")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HISTORICOS'!V33)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RESUMO'!V33</f>
        <v/>
      </c>
      <c r="N23" s="128">
        <f>MAX(0,M23-M22)</f>
        <v/>
      </c>
      <c r="O23" s="127">
        <f>IF(B23&lt;='VALOR POR PL'!$P$5,'CP RESUMO'!V75,"")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HISTORICOS'!W33)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RESUMO'!W33</f>
        <v/>
      </c>
      <c r="N24" s="128">
        <f>MAX(0,M24-M23)</f>
        <v/>
      </c>
      <c r="O24" s="127">
        <f>IF(B24&lt;='VALOR POR PL'!$P$5,'CP RESUMO'!W75,"")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HISTORICOS'!X33)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RESUMO'!X33</f>
        <v/>
      </c>
      <c r="N25" s="128">
        <f>MAX(0,M25-M24)</f>
        <v/>
      </c>
      <c r="O25" s="127">
        <f>IF(B25&lt;='VALOR POR PL'!$P$5,'CP RESUMO'!X75,"")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HISTORICOS'!Y33)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RESUMO'!Y33</f>
        <v/>
      </c>
      <c r="N26" s="128">
        <f>MAX(0,M26-M25)</f>
        <v/>
      </c>
      <c r="O26" s="127">
        <f>IF(B26&lt;='VALOR POR PL'!$P$5,'CP RESUMO'!Y75,"")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HISTORICOS'!Z33)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RESUMO'!Z33</f>
        <v/>
      </c>
      <c r="N27" s="128">
        <f>MAX(0,M27-M26)</f>
        <v/>
      </c>
      <c r="O27" s="127">
        <f>IF(B27&lt;='VALOR POR PL'!$P$5,'CP RESUMO'!Z75,"")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HISTORICOS'!AA33)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RESUMO'!AA33</f>
        <v/>
      </c>
      <c r="N28" s="128">
        <f>MAX(0,M28-M27)</f>
        <v/>
      </c>
      <c r="O28" s="127">
        <f>IF(B28&lt;='VALOR POR PL'!$P$5,'CP RESUMO'!AA75,"")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HISTORICOS'!AB33)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RESUMO'!AB33</f>
        <v/>
      </c>
      <c r="N29" s="128">
        <f>MAX(0,M29-M28)</f>
        <v/>
      </c>
      <c r="O29" s="127">
        <f>IF(B29&lt;='VALOR POR PL'!$P$5,'CP RESUMO'!AB75,"")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HISTORICOS'!AC33)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RESUMO'!AC33</f>
        <v/>
      </c>
      <c r="N30" s="128">
        <f>MAX(0,M30-M29)</f>
        <v/>
      </c>
      <c r="O30" s="127">
        <f>IF(B30&lt;='VALOR POR PL'!$P$5,'CP RESUMO'!AC75,"")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HISTORICOS'!AD33)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RESUMO'!AD33</f>
        <v/>
      </c>
      <c r="N31" s="128">
        <f>MAX(0,M31-M30)</f>
        <v/>
      </c>
      <c r="O31" s="127">
        <f>IF(B31&lt;='VALOR POR PL'!$P$5,'CP RESUMO'!AD75,"")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HISTORICOS'!AE33)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RESUMO'!AE33</f>
        <v/>
      </c>
      <c r="N32" s="128">
        <f>MAX(0,M32-M31)</f>
        <v/>
      </c>
      <c r="O32" s="127">
        <f>IF(B32&lt;='VALOR POR PL'!$P$5,'CP RESUMO'!AE75,"")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HISTORICOS'!AF33)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RESUMO'!AF33</f>
        <v/>
      </c>
      <c r="N33" s="128">
        <f>MAX(0,M33-M32)</f>
        <v/>
      </c>
      <c r="O33" s="127">
        <f>IF(B33&lt;='VALOR POR PL'!$P$5,'CP RESUMO'!AF75,"")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HISTORICOS'!AG33)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RESUMO'!AG33</f>
        <v/>
      </c>
      <c r="N34" s="128">
        <f>MAX(0,M34-M33)</f>
        <v/>
      </c>
      <c r="O34" s="127">
        <f>IF(B34&lt;='VALOR POR PL'!$P$5,'CP RESUMO'!AG75,"")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HISTORICOS'!AH33)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RESUMO'!AH33</f>
        <v/>
      </c>
      <c r="N35" s="128">
        <f>MAX(0,M35-M34)</f>
        <v/>
      </c>
      <c r="O35" s="127">
        <f>IF(B35&lt;='VALOR POR PL'!$P$5,'CP RESUMO'!AH75,"")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HISTORICOS'!AI33)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RESUMO'!AI33</f>
        <v/>
      </c>
      <c r="N36" s="128">
        <f>MAX(0,M36-M35)</f>
        <v/>
      </c>
      <c r="O36" s="127">
        <f>IF(B36&lt;='VALOR POR PL'!$P$5,'CP RESUMO'!AI75,"")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HISTORICOS'!AJ33)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RESUMO'!AJ33</f>
        <v/>
      </c>
      <c r="N37" s="128">
        <f>MAX(0,M37-M36)</f>
        <v/>
      </c>
      <c r="O37" s="127">
        <f>IF(B37&lt;='VALOR POR PL'!$P$5,'CP RESUMO'!AJ75,"")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HISTORICOS'!AK33)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RESUMO'!AK33</f>
        <v/>
      </c>
      <c r="N38" s="128">
        <f>MAX(0,M38-M37)</f>
        <v/>
      </c>
      <c r="O38" s="127">
        <f>IF(B38&lt;='VALOR POR PL'!$P$5,'CP RESUMO'!AK75,"")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HISTORICOS'!AL33)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RESUMO'!AL33</f>
        <v/>
      </c>
      <c r="N39" s="128">
        <f>MAX(0,M39-M38)</f>
        <v/>
      </c>
      <c r="O39" s="127">
        <f>IF(B39&lt;='VALOR POR PL'!$P$5,'CP RESUMO'!AL75,"")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HISTORICOS'!AM33)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RESUMO'!AM33</f>
        <v/>
      </c>
      <c r="N40" s="128">
        <f>MAX(0,M40-M39)</f>
        <v/>
      </c>
      <c r="O40" s="127">
        <f>IF(B40&lt;='VALOR POR PL'!$P$5,'CP RESUMO'!AM75,"")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HISTORICOS'!AN33)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RESUMO'!AN33</f>
        <v/>
      </c>
      <c r="N41" s="128">
        <f>MAX(0,M41-M40)</f>
        <v/>
      </c>
      <c r="O41" s="127">
        <f>IF(B41&lt;='VALOR POR PL'!$P$5,'CP RESUMO'!AN75,"")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HISTORICOS'!AO33)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RESUMO'!AO33</f>
        <v/>
      </c>
      <c r="N42" s="128">
        <f>MAX(0,M42-M41)</f>
        <v/>
      </c>
      <c r="O42" s="127">
        <f>IF(B42&lt;='VALOR POR PL'!$P$5,'CP RESUMO'!AO75,"")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HISTORICOS'!AP33)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RESUMO'!AP33</f>
        <v/>
      </c>
      <c r="N43" s="128">
        <f>MAX(0,M43-M42)</f>
        <v/>
      </c>
      <c r="O43" s="127">
        <f>IF(B43&lt;='VALOR POR PL'!$P$5,'CP RESUMO'!AP75,"")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HISTORICOS'!AQ33)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RESUMO'!AQ33</f>
        <v/>
      </c>
      <c r="N44" s="128">
        <f>MAX(0,M44-M43)</f>
        <v/>
      </c>
      <c r="O44" s="127">
        <f>IF(B44&lt;='VALOR POR PL'!$P$5,'CP RESUMO'!AQ75,"")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HISTORICOS'!AR33)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RESUMO'!AR33</f>
        <v/>
      </c>
      <c r="N45" s="128">
        <f>MAX(0,M45-M44)</f>
        <v/>
      </c>
      <c r="O45" s="127">
        <f>IF(B45&lt;='VALOR POR PL'!$P$5,'CP RESUMO'!AR75,"")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HISTORICOS'!AS33)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RESUMO'!AS33</f>
        <v/>
      </c>
      <c r="N46" s="128">
        <f>MAX(0,M46-M45)</f>
        <v/>
      </c>
      <c r="O46" s="127">
        <f>IF(B46&lt;='VALOR POR PL'!$P$5,'CP RESUMO'!AS75,"")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HISTORICOS'!AT33)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RESUMO'!AT33</f>
        <v/>
      </c>
      <c r="N47" s="128">
        <f>MAX(0,M47-M46)</f>
        <v/>
      </c>
      <c r="O47" s="127">
        <f>IF(B47&lt;='VALOR POR PL'!$P$5,'CP RESUMO'!AT75,"")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HISTORICOS'!AU33)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RESUMO'!AU33</f>
        <v/>
      </c>
      <c r="N48" s="128">
        <f>MAX(0,M48-M47)</f>
        <v/>
      </c>
      <c r="O48" s="127">
        <f>IF(B48&lt;='VALOR POR PL'!$P$5,'CP RESUMO'!AU75,"")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HISTORICOS'!AV33)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RESUMO'!AV33</f>
        <v/>
      </c>
      <c r="N49" s="128">
        <f>MAX(0,M49-M48)</f>
        <v/>
      </c>
      <c r="O49" s="127">
        <f>IF(B49&lt;='VALOR POR PL'!$P$5,'CP RESUMO'!AV75,"")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HISTORICOS'!AW33)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RESUMO'!AW33</f>
        <v/>
      </c>
      <c r="N50" s="128">
        <f>MAX(0,M50-M49)</f>
        <v/>
      </c>
      <c r="O50" s="127">
        <f>IF(B50&lt;='VALOR POR PL'!$P$5,'CP RESUMO'!AW75,"")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HISTORICOS'!AX33)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RESUMO'!AX33</f>
        <v/>
      </c>
      <c r="N51" s="128">
        <f>MAX(0,M51-M50)</f>
        <v/>
      </c>
      <c r="O51" s="127">
        <f>IF(B51&lt;='VALOR POR PL'!$P$5,'CP RESUMO'!AX75,"")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HISTORICOS'!AY33)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RESUMO'!AY33</f>
        <v/>
      </c>
      <c r="N52" s="128">
        <f>MAX(0,M52-M51)</f>
        <v/>
      </c>
      <c r="O52" s="127">
        <f>IF(B52&lt;='VALOR POR PL'!$P$5,'CP RESUMO'!AY75,"")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HISTORICOS'!AZ33)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RESUMO'!AZ33</f>
        <v/>
      </c>
      <c r="N53" s="128">
        <f>MAX(0,M53-M52)</f>
        <v/>
      </c>
      <c r="O53" s="127">
        <f>IF(B53&lt;='VALOR POR PL'!$P$5,'CP RESUMO'!AZ75,"")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HISTORICOS'!BA33)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RESUMO'!BA33</f>
        <v/>
      </c>
      <c r="N54" s="128">
        <f>MAX(0,M54-M53)</f>
        <v/>
      </c>
      <c r="O54" s="127">
        <f>IF(B54&lt;='VALOR POR PL'!$P$5,'CP RESUMO'!BA75,"")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HISTORICOS'!BB33)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RESUMO'!BB33</f>
        <v/>
      </c>
      <c r="N55" s="128">
        <f>MAX(0,M55-M54)</f>
        <v/>
      </c>
      <c r="O55" s="127">
        <f>IF(B55&lt;='VALOR POR PL'!$P$5,'CP RESUMO'!BB75,"")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HISTORICOS'!BC33)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RESUMO'!BC33</f>
        <v/>
      </c>
      <c r="N56" s="128">
        <f>MAX(0,M56-M55)</f>
        <v/>
      </c>
      <c r="O56" s="127">
        <f>IF(B56&lt;='VALOR POR PL'!$P$5,'CP RESUMO'!BC75,"")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HISTORICOS'!BD33)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RESUMO'!BD33</f>
        <v/>
      </c>
      <c r="N57" s="128">
        <f>MAX(0,M57-M56)</f>
        <v/>
      </c>
      <c r="O57" s="127">
        <f>IF(B57&lt;='VALOR POR PL'!$P$5,'CP RESUMO'!BD75,"")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HISTORICOS'!BE33)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RESUMO'!BE33</f>
        <v/>
      </c>
      <c r="N58" s="128">
        <f>MAX(0,M58-M57)</f>
        <v/>
      </c>
      <c r="O58" s="127">
        <f>IF(B58&lt;='VALOR POR PL'!$P$5,'CP RESUMO'!BE75,"")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HISTORICOS'!BF33)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RESUMO'!BF33</f>
        <v/>
      </c>
      <c r="N59" s="128">
        <f>MAX(0,M59-M58)</f>
        <v/>
      </c>
      <c r="O59" s="127">
        <f>IF(B59&lt;='VALOR POR PL'!$P$5,'CP RESUMO'!BF75,"")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HISTORICOS'!BG33)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RESUMO'!BG33</f>
        <v/>
      </c>
      <c r="N60" s="128">
        <f>MAX(0,M60-M59)</f>
        <v/>
      </c>
      <c r="O60" s="127">
        <f>IF(B60&lt;='VALOR POR PL'!$P$5,'CP RESUMO'!BG75,"")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HISTORICOS'!BH33)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RESUMO'!BH33</f>
        <v/>
      </c>
      <c r="N61" s="128">
        <f>MAX(0,M61-M60)</f>
        <v/>
      </c>
      <c r="O61" s="127">
        <f>IF(B61&lt;='VALOR POR PL'!$P$5,'CP RESUMO'!BH75,"")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HISTORICOS'!BI33)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RESUMO'!BI33</f>
        <v/>
      </c>
      <c r="N62" s="128">
        <f>MAX(0,M62-M61)</f>
        <v/>
      </c>
      <c r="O62" s="127">
        <f>IF(B62&lt;='VALOR POR PL'!$P$5,'CP RESUMO'!BI75,"")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HISTORICOS'!BJ33)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RESUMO'!BJ33</f>
        <v/>
      </c>
      <c r="N63" s="128">
        <f>MAX(0,M63-M62)</f>
        <v/>
      </c>
      <c r="O63" s="127">
        <f>IF(B63&lt;='VALOR POR PL'!$P$5,'CP RESUMO'!BJ75,"")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HISTORICOS'!BK33)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RESUMO'!BK33</f>
        <v/>
      </c>
      <c r="N64" s="128">
        <f>MAX(0,M64-M63)</f>
        <v/>
      </c>
      <c r="O64" s="127">
        <f>IF(B64&lt;='VALOR POR PL'!$P$5,'CP RESUMO'!BK75,"")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HISTORICOS'!BL33)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RESUMO'!BL33</f>
        <v/>
      </c>
      <c r="N65" s="128">
        <f>MAX(0,M65-M64)</f>
        <v/>
      </c>
      <c r="O65" s="127">
        <f>IF(B65&lt;='VALOR POR PL'!$P$5,'CP RESUMO'!BL75,"")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HISTORICOS'!BM33)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RESUMO'!BM33</f>
        <v/>
      </c>
      <c r="N66" s="128">
        <f>MAX(0,M66-M65)</f>
        <v/>
      </c>
      <c r="O66" s="127">
        <f>IF(B66&lt;='VALOR POR PL'!$P$5,'CP RESUMO'!BM75,"")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HISTORICOS'!BN33)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RESUMO'!BN33</f>
        <v/>
      </c>
      <c r="N67" s="128">
        <f>MAX(0,M67-M66)</f>
        <v/>
      </c>
      <c r="O67" s="127">
        <f>IF(B67&lt;='VALOR POR PL'!$P$5,'CP RESUMO'!BN75,"")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HISTORICOS'!BO33)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RESUMO'!BO33</f>
        <v/>
      </c>
      <c r="N68" s="128">
        <f>MAX(0,M68-M67)</f>
        <v/>
      </c>
      <c r="O68" s="127">
        <f>IF(B68&lt;='VALOR POR PL'!$P$5,'CP RESUMO'!BO75,"")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HISTORICOS'!BP33)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RESUMO'!BP33</f>
        <v/>
      </c>
      <c r="N69" s="128">
        <f>MAX(0,M69-M68)</f>
        <v/>
      </c>
      <c r="O69" s="127">
        <f>IF(B69&lt;='VALOR POR PL'!$P$5,'CP RESUMO'!BP75,"")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HISTORICOS'!BQ33)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RESUMO'!BQ33</f>
        <v/>
      </c>
      <c r="N70" s="128">
        <f>MAX(0,M70-M69)</f>
        <v/>
      </c>
      <c r="O70" s="127">
        <f>IF(B70&lt;='VALOR POR PL'!$P$5,'CP RESUMO'!BQ75,"")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HISTORICOS'!BR33)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RESUMO'!BR33</f>
        <v/>
      </c>
      <c r="N71" s="128">
        <f>MAX(0,M71-M70)</f>
        <v/>
      </c>
      <c r="O71" s="127">
        <f>IF(B71&lt;='VALOR POR PL'!$P$5,'CP RESUMO'!BR75,"")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HISTORICOS'!BS33)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RESUMO'!BS33</f>
        <v/>
      </c>
      <c r="N72" s="128">
        <f>MAX(0,M72-M71)</f>
        <v/>
      </c>
      <c r="O72" s="127">
        <f>IF(B72&lt;='VALOR POR PL'!$P$5,'CP RESUMO'!BS75,"")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HISTORICOS'!BT33)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RESUMO'!BT33</f>
        <v/>
      </c>
      <c r="N73" s="128">
        <f>MAX(0,M73-M72)</f>
        <v/>
      </c>
      <c r="O73" s="127">
        <f>IF(B73&lt;='VALOR POR PL'!$P$5,'CP RESUMO'!BT75,"")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HISTORICOS'!BU33)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RESUMO'!BU33</f>
        <v/>
      </c>
      <c r="N74" s="128">
        <f>MAX(0,M74-M73)</f>
        <v/>
      </c>
      <c r="O74" s="127">
        <f>IF(B74&lt;='VALOR POR PL'!$P$5,'CP RESUMO'!BU75,"")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HISTORICOS'!BV33)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RESUMO'!BV33</f>
        <v/>
      </c>
      <c r="N75" s="128">
        <f>MAX(0,M75-M74)</f>
        <v/>
      </c>
      <c r="O75" s="127">
        <f>IF(B75&lt;='VALOR POR PL'!$P$5,'CP RESUMO'!BV75,"")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HISTORICOS'!BW33)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RESUMO'!BW33</f>
        <v/>
      </c>
      <c r="N76" s="128">
        <f>MAX(0,M76-M75)</f>
        <v/>
      </c>
      <c r="O76" s="127">
        <f>IF(B76&lt;='VALOR POR PL'!$P$5,'CP RESUMO'!BW75,"")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PL'!D40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HISTORICOS'!D34)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PL'!F40</f>
        <v/>
      </c>
      <c r="K5" s="63">
        <f>'VALOR POR PL'!G40</f>
        <v/>
      </c>
      <c r="M5" s="127">
        <f>'CP RESUMO'!D34</f>
        <v/>
      </c>
      <c r="N5" s="128" t="n">
        <v>0</v>
      </c>
      <c r="O5" s="127">
        <f>IF(B5&lt;='VALOR POR PL'!$P$5,'CP RESUMO'!D76,"")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HISTORICOS'!E34)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RESUMO'!E34</f>
        <v/>
      </c>
      <c r="N6" s="128">
        <f>MAX(0,M6-M5)</f>
        <v/>
      </c>
      <c r="O6" s="127">
        <f>IF(B6&lt;='VALOR POR PL'!$P$5,'CP RESUMO'!E76,"")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HISTORICOS'!F34)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PL'!L40</f>
        <v/>
      </c>
      <c r="M7" s="127">
        <f>'CP RESUMO'!F34</f>
        <v/>
      </c>
      <c r="N7" s="128">
        <f>MAX(0,M7-M6)</f>
        <v/>
      </c>
      <c r="O7" s="127">
        <f>IF(B7&lt;='VALOR POR PL'!$P$5,'CP RESUMO'!F76,"")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HISTORICOS'!G34)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RESUMO'!G34</f>
        <v/>
      </c>
      <c r="N8" s="128">
        <f>MAX(0,M8-M7)</f>
        <v/>
      </c>
      <c r="O8" s="127">
        <f>IF(B8&lt;='VALOR POR PL'!$P$5,'CP RESUMO'!G76,"")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HISTORICOS'!H34)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RESUMO'!H34</f>
        <v/>
      </c>
      <c r="N9" s="128">
        <f>MAX(0,M9-M8)</f>
        <v/>
      </c>
      <c r="O9" s="127">
        <f>IF(B9&lt;='VALOR POR PL'!$P$5,'CP RESUMO'!H76,"")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HISTORICOS'!I34)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RESUMO'!I34</f>
        <v/>
      </c>
      <c r="N10" s="128">
        <f>MAX(0,M10-M9)</f>
        <v/>
      </c>
      <c r="O10" s="127">
        <f>IF(B10&lt;='VALOR POR PL'!$P$5,'CP RESUMO'!I76,"")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HISTORICOS'!J34)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RESUMO'!J34</f>
        <v/>
      </c>
      <c r="N11" s="128">
        <f>MAX(0,M11-M10)</f>
        <v/>
      </c>
      <c r="O11" s="127">
        <f>IF(B11&lt;='VALOR POR PL'!$P$5,'CP RESUMO'!J76,"")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HISTORICOS'!K34)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RESUMO'!K34</f>
        <v/>
      </c>
      <c r="N12" s="128">
        <f>MAX(0,M12-M11)</f>
        <v/>
      </c>
      <c r="O12" s="127">
        <f>IF(B12&lt;='VALOR POR PL'!$P$5,'CP RESUMO'!K76,"")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HISTORICOS'!L34)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PL'!I40</f>
        <v/>
      </c>
      <c r="M13" s="127">
        <f>'CP RESUMO'!L34</f>
        <v/>
      </c>
      <c r="N13" s="128">
        <f>MAX(0,M13-M12)</f>
        <v/>
      </c>
      <c r="O13" s="127">
        <f>IF(B13&lt;='VALOR POR PL'!$P$5,'CP RESUMO'!L76,"")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HISTORICOS'!M34)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RESUMO'!$D$76:$BW$76,MATCH('VALOR POR PL'!$P$5,'CP RESUMO'!$D$4:$BW$4,0))/100,0)</f>
        <v/>
      </c>
      <c r="M14" s="127">
        <f>'CP RESUMO'!M34</f>
        <v/>
      </c>
      <c r="N14" s="128">
        <f>MAX(0,M14-M13)</f>
        <v/>
      </c>
      <c r="O14" s="127">
        <f>IF(B14&lt;='VALOR POR PL'!$P$5,'CP RESUMO'!M76,"")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HISTORICOS'!N34)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RESUMO'!N34</f>
        <v/>
      </c>
      <c r="N15" s="128">
        <f>MAX(0,M15-M14)</f>
        <v/>
      </c>
      <c r="O15" s="127">
        <f>IF(B15&lt;='VALOR POR PL'!$P$5,'CP RESUMO'!N76,"")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HISTORICOS'!O34)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RESUMO'!O34</f>
        <v/>
      </c>
      <c r="N16" s="128">
        <f>MAX(0,M16-M15)</f>
        <v/>
      </c>
      <c r="O16" s="127">
        <f>IF(B16&lt;='VALOR POR PL'!$P$5,'CP RESUMO'!O76,"")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HISTORICOS'!P34)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RESUMO'!P34</f>
        <v/>
      </c>
      <c r="N17" s="128">
        <f>MAX(0,M17-M16)</f>
        <v/>
      </c>
      <c r="O17" s="127">
        <f>IF(B17&lt;='VALOR POR PL'!$P$5,'CP RESUMO'!P76,"")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HISTORICOS'!Q34)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RESUMO'!Q34</f>
        <v/>
      </c>
      <c r="N18" s="128">
        <f>MAX(0,M18-M17)</f>
        <v/>
      </c>
      <c r="O18" s="127">
        <f>IF(B18&lt;='VALOR POR PL'!$P$5,'CP RESUMO'!Q76,"")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HISTORICOS'!R34)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RESUMO'!R34</f>
        <v/>
      </c>
      <c r="N19" s="128">
        <f>MAX(0,M19-M18)</f>
        <v/>
      </c>
      <c r="O19" s="127">
        <f>IF(B19&lt;='VALOR POR PL'!$P$5,'CP RESUMO'!R76,"")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HISTORICOS'!S34)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RESUMO'!S34</f>
        <v/>
      </c>
      <c r="N20" s="128">
        <f>MAX(0,M20-M19)</f>
        <v/>
      </c>
      <c r="O20" s="127">
        <f>IF(B20&lt;='VALOR POR PL'!$P$5,'CP RESUMO'!S76,"")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HISTORICOS'!T34)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RESUMO'!T34</f>
        <v/>
      </c>
      <c r="N21" s="128">
        <f>MAX(0,M21-M20)</f>
        <v/>
      </c>
      <c r="O21" s="127">
        <f>IF(B21&lt;='VALOR POR PL'!$P$5,'CP RESUMO'!T76,"")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HISTORICOS'!U34)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RESUMO'!U34</f>
        <v/>
      </c>
      <c r="N22" s="128">
        <f>MAX(0,M22-M21)</f>
        <v/>
      </c>
      <c r="O22" s="127">
        <f>IF(B22&lt;='VALOR POR PL'!$P$5,'CP RESUMO'!U76,"")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HISTORICOS'!V34)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RESUMO'!V34</f>
        <v/>
      </c>
      <c r="N23" s="128">
        <f>MAX(0,M23-M22)</f>
        <v/>
      </c>
      <c r="O23" s="127">
        <f>IF(B23&lt;='VALOR POR PL'!$P$5,'CP RESUMO'!V76,"")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HISTORICOS'!W34)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RESUMO'!W34</f>
        <v/>
      </c>
      <c r="N24" s="128">
        <f>MAX(0,M24-M23)</f>
        <v/>
      </c>
      <c r="O24" s="127">
        <f>IF(B24&lt;='VALOR POR PL'!$P$5,'CP RESUMO'!W76,"")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HISTORICOS'!X34)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RESUMO'!X34</f>
        <v/>
      </c>
      <c r="N25" s="128">
        <f>MAX(0,M25-M24)</f>
        <v/>
      </c>
      <c r="O25" s="127">
        <f>IF(B25&lt;='VALOR POR PL'!$P$5,'CP RESUMO'!X76,"")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HISTORICOS'!Y34)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RESUMO'!Y34</f>
        <v/>
      </c>
      <c r="N26" s="128">
        <f>MAX(0,M26-M25)</f>
        <v/>
      </c>
      <c r="O26" s="127">
        <f>IF(B26&lt;='VALOR POR PL'!$P$5,'CP RESUMO'!Y76,"")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HISTORICOS'!Z34)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RESUMO'!Z34</f>
        <v/>
      </c>
      <c r="N27" s="128">
        <f>MAX(0,M27-M26)</f>
        <v/>
      </c>
      <c r="O27" s="127">
        <f>IF(B27&lt;='VALOR POR PL'!$P$5,'CP RESUMO'!Z76,"")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HISTORICOS'!AA34)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RESUMO'!AA34</f>
        <v/>
      </c>
      <c r="N28" s="128">
        <f>MAX(0,M28-M27)</f>
        <v/>
      </c>
      <c r="O28" s="127">
        <f>IF(B28&lt;='VALOR POR PL'!$P$5,'CP RESUMO'!AA76,"")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HISTORICOS'!AB34)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RESUMO'!AB34</f>
        <v/>
      </c>
      <c r="N29" s="128">
        <f>MAX(0,M29-M28)</f>
        <v/>
      </c>
      <c r="O29" s="127">
        <f>IF(B29&lt;='VALOR POR PL'!$P$5,'CP RESUMO'!AB76,"")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HISTORICOS'!AC34)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RESUMO'!AC34</f>
        <v/>
      </c>
      <c r="N30" s="128">
        <f>MAX(0,M30-M29)</f>
        <v/>
      </c>
      <c r="O30" s="127">
        <f>IF(B30&lt;='VALOR POR PL'!$P$5,'CP RESUMO'!AC76,"")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HISTORICOS'!AD34)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RESUMO'!AD34</f>
        <v/>
      </c>
      <c r="N31" s="128">
        <f>MAX(0,M31-M30)</f>
        <v/>
      </c>
      <c r="O31" s="127">
        <f>IF(B31&lt;='VALOR POR PL'!$P$5,'CP RESUMO'!AD76,"")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HISTORICOS'!AE34)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RESUMO'!AE34</f>
        <v/>
      </c>
      <c r="N32" s="128">
        <f>MAX(0,M32-M31)</f>
        <v/>
      </c>
      <c r="O32" s="127">
        <f>IF(B32&lt;='VALOR POR PL'!$P$5,'CP RESUMO'!AE76,"")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HISTORICOS'!AF34)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RESUMO'!AF34</f>
        <v/>
      </c>
      <c r="N33" s="128">
        <f>MAX(0,M33-M32)</f>
        <v/>
      </c>
      <c r="O33" s="127">
        <f>IF(B33&lt;='VALOR POR PL'!$P$5,'CP RESUMO'!AF76,"")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HISTORICOS'!AG34)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RESUMO'!AG34</f>
        <v/>
      </c>
      <c r="N34" s="128">
        <f>MAX(0,M34-M33)</f>
        <v/>
      </c>
      <c r="O34" s="127">
        <f>IF(B34&lt;='VALOR POR PL'!$P$5,'CP RESUMO'!AG76,"")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HISTORICOS'!AH34)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RESUMO'!AH34</f>
        <v/>
      </c>
      <c r="N35" s="128">
        <f>MAX(0,M35-M34)</f>
        <v/>
      </c>
      <c r="O35" s="127">
        <f>IF(B35&lt;='VALOR POR PL'!$P$5,'CP RESUMO'!AH76,"")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HISTORICOS'!AI34)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RESUMO'!AI34</f>
        <v/>
      </c>
      <c r="N36" s="128">
        <f>MAX(0,M36-M35)</f>
        <v/>
      </c>
      <c r="O36" s="127">
        <f>IF(B36&lt;='VALOR POR PL'!$P$5,'CP RESUMO'!AI76,"")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HISTORICOS'!AJ34)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RESUMO'!AJ34</f>
        <v/>
      </c>
      <c r="N37" s="128">
        <f>MAX(0,M37-M36)</f>
        <v/>
      </c>
      <c r="O37" s="127">
        <f>IF(B37&lt;='VALOR POR PL'!$P$5,'CP RESUMO'!AJ76,"")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HISTORICOS'!AK34)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RESUMO'!AK34</f>
        <v/>
      </c>
      <c r="N38" s="128">
        <f>MAX(0,M38-M37)</f>
        <v/>
      </c>
      <c r="O38" s="127">
        <f>IF(B38&lt;='VALOR POR PL'!$P$5,'CP RESUMO'!AK76,"")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HISTORICOS'!AL34)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RESUMO'!AL34</f>
        <v/>
      </c>
      <c r="N39" s="128">
        <f>MAX(0,M39-M38)</f>
        <v/>
      </c>
      <c r="O39" s="127">
        <f>IF(B39&lt;='VALOR POR PL'!$P$5,'CP RESUMO'!AL76,"")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HISTORICOS'!AM34)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RESUMO'!AM34</f>
        <v/>
      </c>
      <c r="N40" s="128">
        <f>MAX(0,M40-M39)</f>
        <v/>
      </c>
      <c r="O40" s="127">
        <f>IF(B40&lt;='VALOR POR PL'!$P$5,'CP RESUMO'!AM76,"")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HISTORICOS'!AN34)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RESUMO'!AN34</f>
        <v/>
      </c>
      <c r="N41" s="128">
        <f>MAX(0,M41-M40)</f>
        <v/>
      </c>
      <c r="O41" s="127">
        <f>IF(B41&lt;='VALOR POR PL'!$P$5,'CP RESUMO'!AN76,"")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HISTORICOS'!AO34)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RESUMO'!AO34</f>
        <v/>
      </c>
      <c r="N42" s="128">
        <f>MAX(0,M42-M41)</f>
        <v/>
      </c>
      <c r="O42" s="127">
        <f>IF(B42&lt;='VALOR POR PL'!$P$5,'CP RESUMO'!AO76,"")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HISTORICOS'!AP34)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RESUMO'!AP34</f>
        <v/>
      </c>
      <c r="N43" s="128">
        <f>MAX(0,M43-M42)</f>
        <v/>
      </c>
      <c r="O43" s="127">
        <f>IF(B43&lt;='VALOR POR PL'!$P$5,'CP RESUMO'!AP76,"")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HISTORICOS'!AQ34)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RESUMO'!AQ34</f>
        <v/>
      </c>
      <c r="N44" s="128">
        <f>MAX(0,M44-M43)</f>
        <v/>
      </c>
      <c r="O44" s="127">
        <f>IF(B44&lt;='VALOR POR PL'!$P$5,'CP RESUMO'!AQ76,"")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HISTORICOS'!AR34)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RESUMO'!AR34</f>
        <v/>
      </c>
      <c r="N45" s="128">
        <f>MAX(0,M45-M44)</f>
        <v/>
      </c>
      <c r="O45" s="127">
        <f>IF(B45&lt;='VALOR POR PL'!$P$5,'CP RESUMO'!AR76,"")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HISTORICOS'!AS34)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RESUMO'!AS34</f>
        <v/>
      </c>
      <c r="N46" s="128">
        <f>MAX(0,M46-M45)</f>
        <v/>
      </c>
      <c r="O46" s="127">
        <f>IF(B46&lt;='VALOR POR PL'!$P$5,'CP RESUMO'!AS76,"")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HISTORICOS'!AT34)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RESUMO'!AT34</f>
        <v/>
      </c>
      <c r="N47" s="128">
        <f>MAX(0,M47-M46)</f>
        <v/>
      </c>
      <c r="O47" s="127">
        <f>IF(B47&lt;='VALOR POR PL'!$P$5,'CP RESUMO'!AT76,"")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HISTORICOS'!AU34)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RESUMO'!AU34</f>
        <v/>
      </c>
      <c r="N48" s="128">
        <f>MAX(0,M48-M47)</f>
        <v/>
      </c>
      <c r="O48" s="127">
        <f>IF(B48&lt;='VALOR POR PL'!$P$5,'CP RESUMO'!AU76,"")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HISTORICOS'!AV34)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RESUMO'!AV34</f>
        <v/>
      </c>
      <c r="N49" s="128">
        <f>MAX(0,M49-M48)</f>
        <v/>
      </c>
      <c r="O49" s="127">
        <f>IF(B49&lt;='VALOR POR PL'!$P$5,'CP RESUMO'!AV76,"")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HISTORICOS'!AW34)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RESUMO'!AW34</f>
        <v/>
      </c>
      <c r="N50" s="128">
        <f>MAX(0,M50-M49)</f>
        <v/>
      </c>
      <c r="O50" s="127">
        <f>IF(B50&lt;='VALOR POR PL'!$P$5,'CP RESUMO'!AW76,"")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HISTORICOS'!AX34)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RESUMO'!AX34</f>
        <v/>
      </c>
      <c r="N51" s="128">
        <f>MAX(0,M51-M50)</f>
        <v/>
      </c>
      <c r="O51" s="127">
        <f>IF(B51&lt;='VALOR POR PL'!$P$5,'CP RESUMO'!AX76,"")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HISTORICOS'!AY34)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RESUMO'!AY34</f>
        <v/>
      </c>
      <c r="N52" s="128">
        <f>MAX(0,M52-M51)</f>
        <v/>
      </c>
      <c r="O52" s="127">
        <f>IF(B52&lt;='VALOR POR PL'!$P$5,'CP RESUMO'!AY76,"")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HISTORICOS'!AZ34)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RESUMO'!AZ34</f>
        <v/>
      </c>
      <c r="N53" s="128">
        <f>MAX(0,M53-M52)</f>
        <v/>
      </c>
      <c r="O53" s="127">
        <f>IF(B53&lt;='VALOR POR PL'!$P$5,'CP RESUMO'!AZ76,"")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HISTORICOS'!BA34)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RESUMO'!BA34</f>
        <v/>
      </c>
      <c r="N54" s="128">
        <f>MAX(0,M54-M53)</f>
        <v/>
      </c>
      <c r="O54" s="127">
        <f>IF(B54&lt;='VALOR POR PL'!$P$5,'CP RESUMO'!BA76,"")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HISTORICOS'!BB34)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RESUMO'!BB34</f>
        <v/>
      </c>
      <c r="N55" s="128">
        <f>MAX(0,M55-M54)</f>
        <v/>
      </c>
      <c r="O55" s="127">
        <f>IF(B55&lt;='VALOR POR PL'!$P$5,'CP RESUMO'!BB76,"")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HISTORICOS'!BC34)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RESUMO'!BC34</f>
        <v/>
      </c>
      <c r="N56" s="128">
        <f>MAX(0,M56-M55)</f>
        <v/>
      </c>
      <c r="O56" s="127">
        <f>IF(B56&lt;='VALOR POR PL'!$P$5,'CP RESUMO'!BC76,"")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HISTORICOS'!BD34)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RESUMO'!BD34</f>
        <v/>
      </c>
      <c r="N57" s="128">
        <f>MAX(0,M57-M56)</f>
        <v/>
      </c>
      <c r="O57" s="127">
        <f>IF(B57&lt;='VALOR POR PL'!$P$5,'CP RESUMO'!BD76,"")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HISTORICOS'!BE34)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RESUMO'!BE34</f>
        <v/>
      </c>
      <c r="N58" s="128">
        <f>MAX(0,M58-M57)</f>
        <v/>
      </c>
      <c r="O58" s="127">
        <f>IF(B58&lt;='VALOR POR PL'!$P$5,'CP RESUMO'!BE76,"")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HISTORICOS'!BF34)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RESUMO'!BF34</f>
        <v/>
      </c>
      <c r="N59" s="128">
        <f>MAX(0,M59-M58)</f>
        <v/>
      </c>
      <c r="O59" s="127">
        <f>IF(B59&lt;='VALOR POR PL'!$P$5,'CP RESUMO'!BF76,"")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HISTORICOS'!BG34)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RESUMO'!BG34</f>
        <v/>
      </c>
      <c r="N60" s="128">
        <f>MAX(0,M60-M59)</f>
        <v/>
      </c>
      <c r="O60" s="127">
        <f>IF(B60&lt;='VALOR POR PL'!$P$5,'CP RESUMO'!BG76,"")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HISTORICOS'!BH34)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RESUMO'!BH34</f>
        <v/>
      </c>
      <c r="N61" s="128">
        <f>MAX(0,M61-M60)</f>
        <v/>
      </c>
      <c r="O61" s="127">
        <f>IF(B61&lt;='VALOR POR PL'!$P$5,'CP RESUMO'!BH76,"")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HISTORICOS'!BI34)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RESUMO'!BI34</f>
        <v/>
      </c>
      <c r="N62" s="128">
        <f>MAX(0,M62-M61)</f>
        <v/>
      </c>
      <c r="O62" s="127">
        <f>IF(B62&lt;='VALOR POR PL'!$P$5,'CP RESUMO'!BI76,"")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HISTORICOS'!BJ34)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RESUMO'!BJ34</f>
        <v/>
      </c>
      <c r="N63" s="128">
        <f>MAX(0,M63-M62)</f>
        <v/>
      </c>
      <c r="O63" s="127">
        <f>IF(B63&lt;='VALOR POR PL'!$P$5,'CP RESUMO'!BJ76,"")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HISTORICOS'!BK34)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RESUMO'!BK34</f>
        <v/>
      </c>
      <c r="N64" s="128">
        <f>MAX(0,M64-M63)</f>
        <v/>
      </c>
      <c r="O64" s="127">
        <f>IF(B64&lt;='VALOR POR PL'!$P$5,'CP RESUMO'!BK76,"")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HISTORICOS'!BL34)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RESUMO'!BL34</f>
        <v/>
      </c>
      <c r="N65" s="128">
        <f>MAX(0,M65-M64)</f>
        <v/>
      </c>
      <c r="O65" s="127">
        <f>IF(B65&lt;='VALOR POR PL'!$P$5,'CP RESUMO'!BL76,"")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HISTORICOS'!BM34)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RESUMO'!BM34</f>
        <v/>
      </c>
      <c r="N66" s="128">
        <f>MAX(0,M66-M65)</f>
        <v/>
      </c>
      <c r="O66" s="127">
        <f>IF(B66&lt;='VALOR POR PL'!$P$5,'CP RESUMO'!BM76,"")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HISTORICOS'!BN34)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RESUMO'!BN34</f>
        <v/>
      </c>
      <c r="N67" s="128">
        <f>MAX(0,M67-M66)</f>
        <v/>
      </c>
      <c r="O67" s="127">
        <f>IF(B67&lt;='VALOR POR PL'!$P$5,'CP RESUMO'!BN76,"")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HISTORICOS'!BO34)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RESUMO'!BO34</f>
        <v/>
      </c>
      <c r="N68" s="128">
        <f>MAX(0,M68-M67)</f>
        <v/>
      </c>
      <c r="O68" s="127">
        <f>IF(B68&lt;='VALOR POR PL'!$P$5,'CP RESUMO'!BO76,"")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HISTORICOS'!BP34)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RESUMO'!BP34</f>
        <v/>
      </c>
      <c r="N69" s="128">
        <f>MAX(0,M69-M68)</f>
        <v/>
      </c>
      <c r="O69" s="127">
        <f>IF(B69&lt;='VALOR POR PL'!$P$5,'CP RESUMO'!BP76,"")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HISTORICOS'!BQ34)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RESUMO'!BQ34</f>
        <v/>
      </c>
      <c r="N70" s="128">
        <f>MAX(0,M70-M69)</f>
        <v/>
      </c>
      <c r="O70" s="127">
        <f>IF(B70&lt;='VALOR POR PL'!$P$5,'CP RESUMO'!BQ76,"")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HISTORICOS'!BR34)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RESUMO'!BR34</f>
        <v/>
      </c>
      <c r="N71" s="128">
        <f>MAX(0,M71-M70)</f>
        <v/>
      </c>
      <c r="O71" s="127">
        <f>IF(B71&lt;='VALOR POR PL'!$P$5,'CP RESUMO'!BR76,"")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HISTORICOS'!BS34)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RESUMO'!BS34</f>
        <v/>
      </c>
      <c r="N72" s="128">
        <f>MAX(0,M72-M71)</f>
        <v/>
      </c>
      <c r="O72" s="127">
        <f>IF(B72&lt;='VALOR POR PL'!$P$5,'CP RESUMO'!BS76,"")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HISTORICOS'!BT34)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RESUMO'!BT34</f>
        <v/>
      </c>
      <c r="N73" s="128">
        <f>MAX(0,M73-M72)</f>
        <v/>
      </c>
      <c r="O73" s="127">
        <f>IF(B73&lt;='VALOR POR PL'!$P$5,'CP RESUMO'!BT76,"")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HISTORICOS'!BU34)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RESUMO'!BU34</f>
        <v/>
      </c>
      <c r="N74" s="128">
        <f>MAX(0,M74-M73)</f>
        <v/>
      </c>
      <c r="O74" s="127">
        <f>IF(B74&lt;='VALOR POR PL'!$P$5,'CP RESUMO'!BU76,"")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HISTORICOS'!BV34)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RESUMO'!BV34</f>
        <v/>
      </c>
      <c r="N75" s="128">
        <f>MAX(0,M75-M74)</f>
        <v/>
      </c>
      <c r="O75" s="127">
        <f>IF(B75&lt;='VALOR POR PL'!$P$5,'CP RESUMO'!BV76,"")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HISTORICOS'!BW34)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RESUMO'!BW34</f>
        <v/>
      </c>
      <c r="N76" s="128">
        <f>MAX(0,M76-M75)</f>
        <v/>
      </c>
      <c r="O76" s="127">
        <f>IF(B76&lt;='VALOR POR PL'!$P$5,'CP RESUMO'!BW76,"")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PL'!D41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HISTORICOS'!D35)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PL'!F41</f>
        <v/>
      </c>
      <c r="K5" s="63">
        <f>'VALOR POR PL'!G41</f>
        <v/>
      </c>
      <c r="M5" s="127">
        <f>'CP RESUMO'!D35</f>
        <v/>
      </c>
      <c r="N5" s="128" t="n">
        <v>0</v>
      </c>
      <c r="O5" s="127">
        <f>IF(B5&lt;='VALOR POR PL'!$P$5,'CP RESUMO'!D77,"")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HISTORICOS'!E35)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RESUMO'!E35</f>
        <v/>
      </c>
      <c r="N6" s="128">
        <f>MAX(0,M6-M5)</f>
        <v/>
      </c>
      <c r="O6" s="127">
        <f>IF(B6&lt;='VALOR POR PL'!$P$5,'CP RESUMO'!E77,"")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HISTORICOS'!F35)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PL'!L41</f>
        <v/>
      </c>
      <c r="M7" s="127">
        <f>'CP RESUMO'!F35</f>
        <v/>
      </c>
      <c r="N7" s="128">
        <f>MAX(0,M7-M6)</f>
        <v/>
      </c>
      <c r="O7" s="127">
        <f>IF(B7&lt;='VALOR POR PL'!$P$5,'CP RESUMO'!F77,"")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HISTORICOS'!G35)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RESUMO'!G35</f>
        <v/>
      </c>
      <c r="N8" s="128">
        <f>MAX(0,M8-M7)</f>
        <v/>
      </c>
      <c r="O8" s="127">
        <f>IF(B8&lt;='VALOR POR PL'!$P$5,'CP RESUMO'!G77,"")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HISTORICOS'!H35)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RESUMO'!H35</f>
        <v/>
      </c>
      <c r="N9" s="128">
        <f>MAX(0,M9-M8)</f>
        <v/>
      </c>
      <c r="O9" s="127">
        <f>IF(B9&lt;='VALOR POR PL'!$P$5,'CP RESUMO'!H77,"")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HISTORICOS'!I35)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RESUMO'!I35</f>
        <v/>
      </c>
      <c r="N10" s="128">
        <f>MAX(0,M10-M9)</f>
        <v/>
      </c>
      <c r="O10" s="127">
        <f>IF(B10&lt;='VALOR POR PL'!$P$5,'CP RESUMO'!I77,"")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HISTORICOS'!J35)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RESUMO'!J35</f>
        <v/>
      </c>
      <c r="N11" s="128">
        <f>MAX(0,M11-M10)</f>
        <v/>
      </c>
      <c r="O11" s="127">
        <f>IF(B11&lt;='VALOR POR PL'!$P$5,'CP RESUMO'!J77,"")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HISTORICOS'!K35)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RESUMO'!K35</f>
        <v/>
      </c>
      <c r="N12" s="128">
        <f>MAX(0,M12-M11)</f>
        <v/>
      </c>
      <c r="O12" s="127">
        <f>IF(B12&lt;='VALOR POR PL'!$P$5,'CP RESUMO'!K77,"")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HISTORICOS'!L35)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PL'!I41</f>
        <v/>
      </c>
      <c r="M13" s="127">
        <f>'CP RESUMO'!L35</f>
        <v/>
      </c>
      <c r="N13" s="128">
        <f>MAX(0,M13-M12)</f>
        <v/>
      </c>
      <c r="O13" s="127">
        <f>IF(B13&lt;='VALOR POR PL'!$P$5,'CP RESUMO'!L77,"")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HISTORICOS'!M35)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RESUMO'!$D$77:$BW$77,MATCH('VALOR POR PL'!$P$5,'CP RESUMO'!$D$4:$BW$4,0))/100,0)</f>
        <v/>
      </c>
      <c r="M14" s="127">
        <f>'CP RESUMO'!M35</f>
        <v/>
      </c>
      <c r="N14" s="128">
        <f>MAX(0,M14-M13)</f>
        <v/>
      </c>
      <c r="O14" s="127">
        <f>IF(B14&lt;='VALOR POR PL'!$P$5,'CP RESUMO'!M77,"")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HISTORICOS'!N35)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RESUMO'!N35</f>
        <v/>
      </c>
      <c r="N15" s="128">
        <f>MAX(0,M15-M14)</f>
        <v/>
      </c>
      <c r="O15" s="127">
        <f>IF(B15&lt;='VALOR POR PL'!$P$5,'CP RESUMO'!N77,"")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HISTORICOS'!O35)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RESUMO'!O35</f>
        <v/>
      </c>
      <c r="N16" s="128">
        <f>MAX(0,M16-M15)</f>
        <v/>
      </c>
      <c r="O16" s="127">
        <f>IF(B16&lt;='VALOR POR PL'!$P$5,'CP RESUMO'!O77,"")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HISTORICOS'!P35)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RESUMO'!P35</f>
        <v/>
      </c>
      <c r="N17" s="128">
        <f>MAX(0,M17-M16)</f>
        <v/>
      </c>
      <c r="O17" s="127">
        <f>IF(B17&lt;='VALOR POR PL'!$P$5,'CP RESUMO'!P77,"")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HISTORICOS'!Q35)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RESUMO'!Q35</f>
        <v/>
      </c>
      <c r="N18" s="128">
        <f>MAX(0,M18-M17)</f>
        <v/>
      </c>
      <c r="O18" s="127">
        <f>IF(B18&lt;='VALOR POR PL'!$P$5,'CP RESUMO'!Q77,"")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HISTORICOS'!R35)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RESUMO'!R35</f>
        <v/>
      </c>
      <c r="N19" s="128">
        <f>MAX(0,M19-M18)</f>
        <v/>
      </c>
      <c r="O19" s="127">
        <f>IF(B19&lt;='VALOR POR PL'!$P$5,'CP RESUMO'!R77,"")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HISTORICOS'!S35)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RESUMO'!S35</f>
        <v/>
      </c>
      <c r="N20" s="128">
        <f>MAX(0,M20-M19)</f>
        <v/>
      </c>
      <c r="O20" s="127">
        <f>IF(B20&lt;='VALOR POR PL'!$P$5,'CP RESUMO'!S77,"")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HISTORICOS'!T35)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RESUMO'!T35</f>
        <v/>
      </c>
      <c r="N21" s="128">
        <f>MAX(0,M21-M20)</f>
        <v/>
      </c>
      <c r="O21" s="127">
        <f>IF(B21&lt;='VALOR POR PL'!$P$5,'CP RESUMO'!T77,"")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HISTORICOS'!U35)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RESUMO'!U35</f>
        <v/>
      </c>
      <c r="N22" s="128">
        <f>MAX(0,M22-M21)</f>
        <v/>
      </c>
      <c r="O22" s="127">
        <f>IF(B22&lt;='VALOR POR PL'!$P$5,'CP RESUMO'!U77,"")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HISTORICOS'!V35)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RESUMO'!V35</f>
        <v/>
      </c>
      <c r="N23" s="128">
        <f>MAX(0,M23-M22)</f>
        <v/>
      </c>
      <c r="O23" s="127">
        <f>IF(B23&lt;='VALOR POR PL'!$P$5,'CP RESUMO'!V77,"")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HISTORICOS'!W35)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RESUMO'!W35</f>
        <v/>
      </c>
      <c r="N24" s="128">
        <f>MAX(0,M24-M23)</f>
        <v/>
      </c>
      <c r="O24" s="127">
        <f>IF(B24&lt;='VALOR POR PL'!$P$5,'CP RESUMO'!W77,"")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HISTORICOS'!X35)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RESUMO'!X35</f>
        <v/>
      </c>
      <c r="N25" s="128">
        <f>MAX(0,M25-M24)</f>
        <v/>
      </c>
      <c r="O25" s="127">
        <f>IF(B25&lt;='VALOR POR PL'!$P$5,'CP RESUMO'!X77,"")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HISTORICOS'!Y35)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RESUMO'!Y35</f>
        <v/>
      </c>
      <c r="N26" s="128">
        <f>MAX(0,M26-M25)</f>
        <v/>
      </c>
      <c r="O26" s="127">
        <f>IF(B26&lt;='VALOR POR PL'!$P$5,'CP RESUMO'!Y77,"")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HISTORICOS'!Z35)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RESUMO'!Z35</f>
        <v/>
      </c>
      <c r="N27" s="128">
        <f>MAX(0,M27-M26)</f>
        <v/>
      </c>
      <c r="O27" s="127">
        <f>IF(B27&lt;='VALOR POR PL'!$P$5,'CP RESUMO'!Z77,"")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HISTORICOS'!AA35)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RESUMO'!AA35</f>
        <v/>
      </c>
      <c r="N28" s="128">
        <f>MAX(0,M28-M27)</f>
        <v/>
      </c>
      <c r="O28" s="127">
        <f>IF(B28&lt;='VALOR POR PL'!$P$5,'CP RESUMO'!AA77,"")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HISTORICOS'!AB35)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RESUMO'!AB35</f>
        <v/>
      </c>
      <c r="N29" s="128">
        <f>MAX(0,M29-M28)</f>
        <v/>
      </c>
      <c r="O29" s="127">
        <f>IF(B29&lt;='VALOR POR PL'!$P$5,'CP RESUMO'!AB77,"")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HISTORICOS'!AC35)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RESUMO'!AC35</f>
        <v/>
      </c>
      <c r="N30" s="128">
        <f>MAX(0,M30-M29)</f>
        <v/>
      </c>
      <c r="O30" s="127">
        <f>IF(B30&lt;='VALOR POR PL'!$P$5,'CP RESUMO'!AC77,"")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HISTORICOS'!AD35)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RESUMO'!AD35</f>
        <v/>
      </c>
      <c r="N31" s="128">
        <f>MAX(0,M31-M30)</f>
        <v/>
      </c>
      <c r="O31" s="127">
        <f>IF(B31&lt;='VALOR POR PL'!$P$5,'CP RESUMO'!AD77,"")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HISTORICOS'!AE35)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RESUMO'!AE35</f>
        <v/>
      </c>
      <c r="N32" s="128">
        <f>MAX(0,M32-M31)</f>
        <v/>
      </c>
      <c r="O32" s="127">
        <f>IF(B32&lt;='VALOR POR PL'!$P$5,'CP RESUMO'!AE77,"")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HISTORICOS'!AF35)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RESUMO'!AF35</f>
        <v/>
      </c>
      <c r="N33" s="128">
        <f>MAX(0,M33-M32)</f>
        <v/>
      </c>
      <c r="O33" s="127">
        <f>IF(B33&lt;='VALOR POR PL'!$P$5,'CP RESUMO'!AF77,"")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HISTORICOS'!AG35)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RESUMO'!AG35</f>
        <v/>
      </c>
      <c r="N34" s="128">
        <f>MAX(0,M34-M33)</f>
        <v/>
      </c>
      <c r="O34" s="127">
        <f>IF(B34&lt;='VALOR POR PL'!$P$5,'CP RESUMO'!AG77,"")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HISTORICOS'!AH35)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RESUMO'!AH35</f>
        <v/>
      </c>
      <c r="N35" s="128">
        <f>MAX(0,M35-M34)</f>
        <v/>
      </c>
      <c r="O35" s="127">
        <f>IF(B35&lt;='VALOR POR PL'!$P$5,'CP RESUMO'!AH77,"")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HISTORICOS'!AI35)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RESUMO'!AI35</f>
        <v/>
      </c>
      <c r="N36" s="128">
        <f>MAX(0,M36-M35)</f>
        <v/>
      </c>
      <c r="O36" s="127">
        <f>IF(B36&lt;='VALOR POR PL'!$P$5,'CP RESUMO'!AI77,"")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HISTORICOS'!AJ35)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RESUMO'!AJ35</f>
        <v/>
      </c>
      <c r="N37" s="128">
        <f>MAX(0,M37-M36)</f>
        <v/>
      </c>
      <c r="O37" s="127">
        <f>IF(B37&lt;='VALOR POR PL'!$P$5,'CP RESUMO'!AJ77,"")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HISTORICOS'!AK35)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RESUMO'!AK35</f>
        <v/>
      </c>
      <c r="N38" s="128">
        <f>MAX(0,M38-M37)</f>
        <v/>
      </c>
      <c r="O38" s="127">
        <f>IF(B38&lt;='VALOR POR PL'!$P$5,'CP RESUMO'!AK77,"")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HISTORICOS'!AL35)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RESUMO'!AL35</f>
        <v/>
      </c>
      <c r="N39" s="128">
        <f>MAX(0,M39-M38)</f>
        <v/>
      </c>
      <c r="O39" s="127">
        <f>IF(B39&lt;='VALOR POR PL'!$P$5,'CP RESUMO'!AL77,"")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HISTORICOS'!AM35)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RESUMO'!AM35</f>
        <v/>
      </c>
      <c r="N40" s="128">
        <f>MAX(0,M40-M39)</f>
        <v/>
      </c>
      <c r="O40" s="127">
        <f>IF(B40&lt;='VALOR POR PL'!$P$5,'CP RESUMO'!AM77,"")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HISTORICOS'!AN35)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RESUMO'!AN35</f>
        <v/>
      </c>
      <c r="N41" s="128">
        <f>MAX(0,M41-M40)</f>
        <v/>
      </c>
      <c r="O41" s="127">
        <f>IF(B41&lt;='VALOR POR PL'!$P$5,'CP RESUMO'!AN77,"")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HISTORICOS'!AO35)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RESUMO'!AO35</f>
        <v/>
      </c>
      <c r="N42" s="128">
        <f>MAX(0,M42-M41)</f>
        <v/>
      </c>
      <c r="O42" s="127">
        <f>IF(B42&lt;='VALOR POR PL'!$P$5,'CP RESUMO'!AO77,"")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HISTORICOS'!AP35)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RESUMO'!AP35</f>
        <v/>
      </c>
      <c r="N43" s="128">
        <f>MAX(0,M43-M42)</f>
        <v/>
      </c>
      <c r="O43" s="127">
        <f>IF(B43&lt;='VALOR POR PL'!$P$5,'CP RESUMO'!AP77,"")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HISTORICOS'!AQ35)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RESUMO'!AQ35</f>
        <v/>
      </c>
      <c r="N44" s="128">
        <f>MAX(0,M44-M43)</f>
        <v/>
      </c>
      <c r="O44" s="127">
        <f>IF(B44&lt;='VALOR POR PL'!$P$5,'CP RESUMO'!AQ77,"")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HISTORICOS'!AR35)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RESUMO'!AR35</f>
        <v/>
      </c>
      <c r="N45" s="128">
        <f>MAX(0,M45-M44)</f>
        <v/>
      </c>
      <c r="O45" s="127">
        <f>IF(B45&lt;='VALOR POR PL'!$P$5,'CP RESUMO'!AR77,"")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HISTORICOS'!AS35)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RESUMO'!AS35</f>
        <v/>
      </c>
      <c r="N46" s="128">
        <f>MAX(0,M46-M45)</f>
        <v/>
      </c>
      <c r="O46" s="127">
        <f>IF(B46&lt;='VALOR POR PL'!$P$5,'CP RESUMO'!AS77,"")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HISTORICOS'!AT35)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RESUMO'!AT35</f>
        <v/>
      </c>
      <c r="N47" s="128">
        <f>MAX(0,M47-M46)</f>
        <v/>
      </c>
      <c r="O47" s="127">
        <f>IF(B47&lt;='VALOR POR PL'!$P$5,'CP RESUMO'!AT77,"")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HISTORICOS'!AU35)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RESUMO'!AU35</f>
        <v/>
      </c>
      <c r="N48" s="128">
        <f>MAX(0,M48-M47)</f>
        <v/>
      </c>
      <c r="O48" s="127">
        <f>IF(B48&lt;='VALOR POR PL'!$P$5,'CP RESUMO'!AU77,"")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HISTORICOS'!AV35)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RESUMO'!AV35</f>
        <v/>
      </c>
      <c r="N49" s="128">
        <f>MAX(0,M49-M48)</f>
        <v/>
      </c>
      <c r="O49" s="127">
        <f>IF(B49&lt;='VALOR POR PL'!$P$5,'CP RESUMO'!AV77,"")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HISTORICOS'!AW35)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RESUMO'!AW35</f>
        <v/>
      </c>
      <c r="N50" s="128">
        <f>MAX(0,M50-M49)</f>
        <v/>
      </c>
      <c r="O50" s="127">
        <f>IF(B50&lt;='VALOR POR PL'!$P$5,'CP RESUMO'!AW77,"")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HISTORICOS'!AX35)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RESUMO'!AX35</f>
        <v/>
      </c>
      <c r="N51" s="128">
        <f>MAX(0,M51-M50)</f>
        <v/>
      </c>
      <c r="O51" s="127">
        <f>IF(B51&lt;='VALOR POR PL'!$P$5,'CP RESUMO'!AX77,"")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HISTORICOS'!AY35)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RESUMO'!AY35</f>
        <v/>
      </c>
      <c r="N52" s="128">
        <f>MAX(0,M52-M51)</f>
        <v/>
      </c>
      <c r="O52" s="127">
        <f>IF(B52&lt;='VALOR POR PL'!$P$5,'CP RESUMO'!AY77,"")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HISTORICOS'!AZ35)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RESUMO'!AZ35</f>
        <v/>
      </c>
      <c r="N53" s="128">
        <f>MAX(0,M53-M52)</f>
        <v/>
      </c>
      <c r="O53" s="127">
        <f>IF(B53&lt;='VALOR POR PL'!$P$5,'CP RESUMO'!AZ77,"")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HISTORICOS'!BA35)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RESUMO'!BA35</f>
        <v/>
      </c>
      <c r="N54" s="128">
        <f>MAX(0,M54-M53)</f>
        <v/>
      </c>
      <c r="O54" s="127">
        <f>IF(B54&lt;='VALOR POR PL'!$P$5,'CP RESUMO'!BA77,"")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HISTORICOS'!BB35)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RESUMO'!BB35</f>
        <v/>
      </c>
      <c r="N55" s="128">
        <f>MAX(0,M55-M54)</f>
        <v/>
      </c>
      <c r="O55" s="127">
        <f>IF(B55&lt;='VALOR POR PL'!$P$5,'CP RESUMO'!BB77,"")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HISTORICOS'!BC35)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RESUMO'!BC35</f>
        <v/>
      </c>
      <c r="N56" s="128">
        <f>MAX(0,M56-M55)</f>
        <v/>
      </c>
      <c r="O56" s="127">
        <f>IF(B56&lt;='VALOR POR PL'!$P$5,'CP RESUMO'!BC77,"")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HISTORICOS'!BD35)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RESUMO'!BD35</f>
        <v/>
      </c>
      <c r="N57" s="128">
        <f>MAX(0,M57-M56)</f>
        <v/>
      </c>
      <c r="O57" s="127">
        <f>IF(B57&lt;='VALOR POR PL'!$P$5,'CP RESUMO'!BD77,"")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HISTORICOS'!BE35)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RESUMO'!BE35</f>
        <v/>
      </c>
      <c r="N58" s="128">
        <f>MAX(0,M58-M57)</f>
        <v/>
      </c>
      <c r="O58" s="127">
        <f>IF(B58&lt;='VALOR POR PL'!$P$5,'CP RESUMO'!BE77,"")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HISTORICOS'!BF35)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RESUMO'!BF35</f>
        <v/>
      </c>
      <c r="N59" s="128">
        <f>MAX(0,M59-M58)</f>
        <v/>
      </c>
      <c r="O59" s="127">
        <f>IF(B59&lt;='VALOR POR PL'!$P$5,'CP RESUMO'!BF77,"")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HISTORICOS'!BG35)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RESUMO'!BG35</f>
        <v/>
      </c>
      <c r="N60" s="128">
        <f>MAX(0,M60-M59)</f>
        <v/>
      </c>
      <c r="O60" s="127">
        <f>IF(B60&lt;='VALOR POR PL'!$P$5,'CP RESUMO'!BG77,"")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HISTORICOS'!BH35)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RESUMO'!BH35</f>
        <v/>
      </c>
      <c r="N61" s="128">
        <f>MAX(0,M61-M60)</f>
        <v/>
      </c>
      <c r="O61" s="127">
        <f>IF(B61&lt;='VALOR POR PL'!$P$5,'CP RESUMO'!BH77,"")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HISTORICOS'!BI35)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RESUMO'!BI35</f>
        <v/>
      </c>
      <c r="N62" s="128">
        <f>MAX(0,M62-M61)</f>
        <v/>
      </c>
      <c r="O62" s="127">
        <f>IF(B62&lt;='VALOR POR PL'!$P$5,'CP RESUMO'!BI77,"")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HISTORICOS'!BJ35)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RESUMO'!BJ35</f>
        <v/>
      </c>
      <c r="N63" s="128">
        <f>MAX(0,M63-M62)</f>
        <v/>
      </c>
      <c r="O63" s="127">
        <f>IF(B63&lt;='VALOR POR PL'!$P$5,'CP RESUMO'!BJ77,"")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HISTORICOS'!BK35)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RESUMO'!BK35</f>
        <v/>
      </c>
      <c r="N64" s="128">
        <f>MAX(0,M64-M63)</f>
        <v/>
      </c>
      <c r="O64" s="127">
        <f>IF(B64&lt;='VALOR POR PL'!$P$5,'CP RESUMO'!BK77,"")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HISTORICOS'!BL35)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RESUMO'!BL35</f>
        <v/>
      </c>
      <c r="N65" s="128">
        <f>MAX(0,M65-M64)</f>
        <v/>
      </c>
      <c r="O65" s="127">
        <f>IF(B65&lt;='VALOR POR PL'!$P$5,'CP RESUMO'!BL77,"")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HISTORICOS'!BM35)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RESUMO'!BM35</f>
        <v/>
      </c>
      <c r="N66" s="128">
        <f>MAX(0,M66-M65)</f>
        <v/>
      </c>
      <c r="O66" s="127">
        <f>IF(B66&lt;='VALOR POR PL'!$P$5,'CP RESUMO'!BM77,"")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HISTORICOS'!BN35)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RESUMO'!BN35</f>
        <v/>
      </c>
      <c r="N67" s="128">
        <f>MAX(0,M67-M66)</f>
        <v/>
      </c>
      <c r="O67" s="127">
        <f>IF(B67&lt;='VALOR POR PL'!$P$5,'CP RESUMO'!BN77,"")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HISTORICOS'!BO35)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RESUMO'!BO35</f>
        <v/>
      </c>
      <c r="N68" s="128">
        <f>MAX(0,M68-M67)</f>
        <v/>
      </c>
      <c r="O68" s="127">
        <f>IF(B68&lt;='VALOR POR PL'!$P$5,'CP RESUMO'!BO77,"")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HISTORICOS'!BP35)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RESUMO'!BP35</f>
        <v/>
      </c>
      <c r="N69" s="128">
        <f>MAX(0,M69-M68)</f>
        <v/>
      </c>
      <c r="O69" s="127">
        <f>IF(B69&lt;='VALOR POR PL'!$P$5,'CP RESUMO'!BP77,"")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HISTORICOS'!BQ35)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RESUMO'!BQ35</f>
        <v/>
      </c>
      <c r="N70" s="128">
        <f>MAX(0,M70-M69)</f>
        <v/>
      </c>
      <c r="O70" s="127">
        <f>IF(B70&lt;='VALOR POR PL'!$P$5,'CP RESUMO'!BQ77,"")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HISTORICOS'!BR35)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RESUMO'!BR35</f>
        <v/>
      </c>
      <c r="N71" s="128">
        <f>MAX(0,M71-M70)</f>
        <v/>
      </c>
      <c r="O71" s="127">
        <f>IF(B71&lt;='VALOR POR PL'!$P$5,'CP RESUMO'!BR77,"")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HISTORICOS'!BS35)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RESUMO'!BS35</f>
        <v/>
      </c>
      <c r="N72" s="128">
        <f>MAX(0,M72-M71)</f>
        <v/>
      </c>
      <c r="O72" s="127">
        <f>IF(B72&lt;='VALOR POR PL'!$P$5,'CP RESUMO'!BS77,"")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HISTORICOS'!BT35)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RESUMO'!BT35</f>
        <v/>
      </c>
      <c r="N73" s="128">
        <f>MAX(0,M73-M72)</f>
        <v/>
      </c>
      <c r="O73" s="127">
        <f>IF(B73&lt;='VALOR POR PL'!$P$5,'CP RESUMO'!BT77,"")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HISTORICOS'!BU35)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RESUMO'!BU35</f>
        <v/>
      </c>
      <c r="N74" s="128">
        <f>MAX(0,M74-M73)</f>
        <v/>
      </c>
      <c r="O74" s="127">
        <f>IF(B74&lt;='VALOR POR PL'!$P$5,'CP RESUMO'!BU77,"")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HISTORICOS'!BV35)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RESUMO'!BV35</f>
        <v/>
      </c>
      <c r="N75" s="128">
        <f>MAX(0,M75-M74)</f>
        <v/>
      </c>
      <c r="O75" s="127">
        <f>IF(B75&lt;='VALOR POR PL'!$P$5,'CP RESUMO'!BV77,"")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HISTORICOS'!BW35)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RESUMO'!BW35</f>
        <v/>
      </c>
      <c r="N76" s="128">
        <f>MAX(0,M76-M75)</f>
        <v/>
      </c>
      <c r="O76" s="127">
        <f>IF(B76&lt;='VALOR POR PL'!$P$5,'CP RESUMO'!BW77,"")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PL'!D42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HISTORICOS'!D36)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PL'!F42</f>
        <v/>
      </c>
      <c r="K5" s="63">
        <f>'VALOR POR PL'!G42</f>
        <v/>
      </c>
      <c r="M5" s="127">
        <f>'CP RESUMO'!D36</f>
        <v/>
      </c>
      <c r="N5" s="128" t="n">
        <v>0</v>
      </c>
      <c r="O5" s="127">
        <f>IF(B5&lt;='VALOR POR PL'!$P$5,'CP RESUMO'!D78,"")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HISTORICOS'!E36)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RESUMO'!E36</f>
        <v/>
      </c>
      <c r="N6" s="128">
        <f>MAX(0,M6-M5)</f>
        <v/>
      </c>
      <c r="O6" s="127">
        <f>IF(B6&lt;='VALOR POR PL'!$P$5,'CP RESUMO'!E78,"")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HISTORICOS'!F36)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PL'!L42</f>
        <v/>
      </c>
      <c r="M7" s="127">
        <f>'CP RESUMO'!F36</f>
        <v/>
      </c>
      <c r="N7" s="128">
        <f>MAX(0,M7-M6)</f>
        <v/>
      </c>
      <c r="O7" s="127">
        <f>IF(B7&lt;='VALOR POR PL'!$P$5,'CP RESUMO'!F78,"")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HISTORICOS'!G36)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RESUMO'!G36</f>
        <v/>
      </c>
      <c r="N8" s="128">
        <f>MAX(0,M8-M7)</f>
        <v/>
      </c>
      <c r="O8" s="127">
        <f>IF(B8&lt;='VALOR POR PL'!$P$5,'CP RESUMO'!G78,"")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HISTORICOS'!H36)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RESUMO'!H36</f>
        <v/>
      </c>
      <c r="N9" s="128">
        <f>MAX(0,M9-M8)</f>
        <v/>
      </c>
      <c r="O9" s="127">
        <f>IF(B9&lt;='VALOR POR PL'!$P$5,'CP RESUMO'!H78,"")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HISTORICOS'!I36)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RESUMO'!I36</f>
        <v/>
      </c>
      <c r="N10" s="128">
        <f>MAX(0,M10-M9)</f>
        <v/>
      </c>
      <c r="O10" s="127">
        <f>IF(B10&lt;='VALOR POR PL'!$P$5,'CP RESUMO'!I78,"")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HISTORICOS'!J36)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RESUMO'!J36</f>
        <v/>
      </c>
      <c r="N11" s="128">
        <f>MAX(0,M11-M10)</f>
        <v/>
      </c>
      <c r="O11" s="127">
        <f>IF(B11&lt;='VALOR POR PL'!$P$5,'CP RESUMO'!J78,"")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HISTORICOS'!K36)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RESUMO'!K36</f>
        <v/>
      </c>
      <c r="N12" s="128">
        <f>MAX(0,M12-M11)</f>
        <v/>
      </c>
      <c r="O12" s="127">
        <f>IF(B12&lt;='VALOR POR PL'!$P$5,'CP RESUMO'!K78,"")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HISTORICOS'!L36)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PL'!I42</f>
        <v/>
      </c>
      <c r="M13" s="127">
        <f>'CP RESUMO'!L36</f>
        <v/>
      </c>
      <c r="N13" s="128">
        <f>MAX(0,M13-M12)</f>
        <v/>
      </c>
      <c r="O13" s="127">
        <f>IF(B13&lt;='VALOR POR PL'!$P$5,'CP RESUMO'!L78,"")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HISTORICOS'!M36)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RESUMO'!$D$78:$BW$78,MATCH('VALOR POR PL'!$P$5,'CP RESUMO'!$D$4:$BW$4,0))/100,0)</f>
        <v/>
      </c>
      <c r="M14" s="127">
        <f>'CP RESUMO'!M36</f>
        <v/>
      </c>
      <c r="N14" s="128">
        <f>MAX(0,M14-M13)</f>
        <v/>
      </c>
      <c r="O14" s="127">
        <f>IF(B14&lt;='VALOR POR PL'!$P$5,'CP RESUMO'!M78,"")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HISTORICOS'!N36)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RESUMO'!N36</f>
        <v/>
      </c>
      <c r="N15" s="128">
        <f>MAX(0,M15-M14)</f>
        <v/>
      </c>
      <c r="O15" s="127">
        <f>IF(B15&lt;='VALOR POR PL'!$P$5,'CP RESUMO'!N78,"")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HISTORICOS'!O36)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RESUMO'!O36</f>
        <v/>
      </c>
      <c r="N16" s="128">
        <f>MAX(0,M16-M15)</f>
        <v/>
      </c>
      <c r="O16" s="127">
        <f>IF(B16&lt;='VALOR POR PL'!$P$5,'CP RESUMO'!O78,"")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HISTORICOS'!P36)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RESUMO'!P36</f>
        <v/>
      </c>
      <c r="N17" s="128">
        <f>MAX(0,M17-M16)</f>
        <v/>
      </c>
      <c r="O17" s="127">
        <f>IF(B17&lt;='VALOR POR PL'!$P$5,'CP RESUMO'!P78,"")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HISTORICOS'!Q36)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RESUMO'!Q36</f>
        <v/>
      </c>
      <c r="N18" s="128">
        <f>MAX(0,M18-M17)</f>
        <v/>
      </c>
      <c r="O18" s="127">
        <f>IF(B18&lt;='VALOR POR PL'!$P$5,'CP RESUMO'!Q78,"")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HISTORICOS'!R36)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RESUMO'!R36</f>
        <v/>
      </c>
      <c r="N19" s="128">
        <f>MAX(0,M19-M18)</f>
        <v/>
      </c>
      <c r="O19" s="127">
        <f>IF(B19&lt;='VALOR POR PL'!$P$5,'CP RESUMO'!R78,"")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HISTORICOS'!S36)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RESUMO'!S36</f>
        <v/>
      </c>
      <c r="N20" s="128">
        <f>MAX(0,M20-M19)</f>
        <v/>
      </c>
      <c r="O20" s="127">
        <f>IF(B20&lt;='VALOR POR PL'!$P$5,'CP RESUMO'!S78,"")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HISTORICOS'!T36)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RESUMO'!T36</f>
        <v/>
      </c>
      <c r="N21" s="128">
        <f>MAX(0,M21-M20)</f>
        <v/>
      </c>
      <c r="O21" s="127">
        <f>IF(B21&lt;='VALOR POR PL'!$P$5,'CP RESUMO'!T78,"")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HISTORICOS'!U36)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RESUMO'!U36</f>
        <v/>
      </c>
      <c r="N22" s="128">
        <f>MAX(0,M22-M21)</f>
        <v/>
      </c>
      <c r="O22" s="127">
        <f>IF(B22&lt;='VALOR POR PL'!$P$5,'CP RESUMO'!U78,"")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HISTORICOS'!V36)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RESUMO'!V36</f>
        <v/>
      </c>
      <c r="N23" s="128">
        <f>MAX(0,M23-M22)</f>
        <v/>
      </c>
      <c r="O23" s="127">
        <f>IF(B23&lt;='VALOR POR PL'!$P$5,'CP RESUMO'!V78,"")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HISTORICOS'!W36)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RESUMO'!W36</f>
        <v/>
      </c>
      <c r="N24" s="128">
        <f>MAX(0,M24-M23)</f>
        <v/>
      </c>
      <c r="O24" s="127">
        <f>IF(B24&lt;='VALOR POR PL'!$P$5,'CP RESUMO'!W78,"")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HISTORICOS'!X36)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RESUMO'!X36</f>
        <v/>
      </c>
      <c r="N25" s="128">
        <f>MAX(0,M25-M24)</f>
        <v/>
      </c>
      <c r="O25" s="127">
        <f>IF(B25&lt;='VALOR POR PL'!$P$5,'CP RESUMO'!X78,"")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HISTORICOS'!Y36)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RESUMO'!Y36</f>
        <v/>
      </c>
      <c r="N26" s="128">
        <f>MAX(0,M26-M25)</f>
        <v/>
      </c>
      <c r="O26" s="127">
        <f>IF(B26&lt;='VALOR POR PL'!$P$5,'CP RESUMO'!Y78,"")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HISTORICOS'!Z36)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RESUMO'!Z36</f>
        <v/>
      </c>
      <c r="N27" s="128">
        <f>MAX(0,M27-M26)</f>
        <v/>
      </c>
      <c r="O27" s="127">
        <f>IF(B27&lt;='VALOR POR PL'!$P$5,'CP RESUMO'!Z78,"")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HISTORICOS'!AA36)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RESUMO'!AA36</f>
        <v/>
      </c>
      <c r="N28" s="128">
        <f>MAX(0,M28-M27)</f>
        <v/>
      </c>
      <c r="O28" s="127">
        <f>IF(B28&lt;='VALOR POR PL'!$P$5,'CP RESUMO'!AA78,"")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HISTORICOS'!AB36)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RESUMO'!AB36</f>
        <v/>
      </c>
      <c r="N29" s="128">
        <f>MAX(0,M29-M28)</f>
        <v/>
      </c>
      <c r="O29" s="127">
        <f>IF(B29&lt;='VALOR POR PL'!$P$5,'CP RESUMO'!AB78,"")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HISTORICOS'!AC36)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RESUMO'!AC36</f>
        <v/>
      </c>
      <c r="N30" s="128">
        <f>MAX(0,M30-M29)</f>
        <v/>
      </c>
      <c r="O30" s="127">
        <f>IF(B30&lt;='VALOR POR PL'!$P$5,'CP RESUMO'!AC78,"")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HISTORICOS'!AD36)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RESUMO'!AD36</f>
        <v/>
      </c>
      <c r="N31" s="128">
        <f>MAX(0,M31-M30)</f>
        <v/>
      </c>
      <c r="O31" s="127">
        <f>IF(B31&lt;='VALOR POR PL'!$P$5,'CP RESUMO'!AD78,"")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HISTORICOS'!AE36)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RESUMO'!AE36</f>
        <v/>
      </c>
      <c r="N32" s="128">
        <f>MAX(0,M32-M31)</f>
        <v/>
      </c>
      <c r="O32" s="127">
        <f>IF(B32&lt;='VALOR POR PL'!$P$5,'CP RESUMO'!AE78,"")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HISTORICOS'!AF36)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RESUMO'!AF36</f>
        <v/>
      </c>
      <c r="N33" s="128">
        <f>MAX(0,M33-M32)</f>
        <v/>
      </c>
      <c r="O33" s="127">
        <f>IF(B33&lt;='VALOR POR PL'!$P$5,'CP RESUMO'!AF78,"")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HISTORICOS'!AG36)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RESUMO'!AG36</f>
        <v/>
      </c>
      <c r="N34" s="128">
        <f>MAX(0,M34-M33)</f>
        <v/>
      </c>
      <c r="O34" s="127">
        <f>IF(B34&lt;='VALOR POR PL'!$P$5,'CP RESUMO'!AG78,"")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HISTORICOS'!AH36)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RESUMO'!AH36</f>
        <v/>
      </c>
      <c r="N35" s="128">
        <f>MAX(0,M35-M34)</f>
        <v/>
      </c>
      <c r="O35" s="127">
        <f>IF(B35&lt;='VALOR POR PL'!$P$5,'CP RESUMO'!AH78,"")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HISTORICOS'!AI36)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RESUMO'!AI36</f>
        <v/>
      </c>
      <c r="N36" s="128">
        <f>MAX(0,M36-M35)</f>
        <v/>
      </c>
      <c r="O36" s="127">
        <f>IF(B36&lt;='VALOR POR PL'!$P$5,'CP RESUMO'!AI78,"")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HISTORICOS'!AJ36)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RESUMO'!AJ36</f>
        <v/>
      </c>
      <c r="N37" s="128">
        <f>MAX(0,M37-M36)</f>
        <v/>
      </c>
      <c r="O37" s="127">
        <f>IF(B37&lt;='VALOR POR PL'!$P$5,'CP RESUMO'!AJ78,"")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HISTORICOS'!AK36)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RESUMO'!AK36</f>
        <v/>
      </c>
      <c r="N38" s="128">
        <f>MAX(0,M38-M37)</f>
        <v/>
      </c>
      <c r="O38" s="127">
        <f>IF(B38&lt;='VALOR POR PL'!$P$5,'CP RESUMO'!AK78,"")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HISTORICOS'!AL36)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RESUMO'!AL36</f>
        <v/>
      </c>
      <c r="N39" s="128">
        <f>MAX(0,M39-M38)</f>
        <v/>
      </c>
      <c r="O39" s="127">
        <f>IF(B39&lt;='VALOR POR PL'!$P$5,'CP RESUMO'!AL78,"")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HISTORICOS'!AM36)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RESUMO'!AM36</f>
        <v/>
      </c>
      <c r="N40" s="128">
        <f>MAX(0,M40-M39)</f>
        <v/>
      </c>
      <c r="O40" s="127">
        <f>IF(B40&lt;='VALOR POR PL'!$P$5,'CP RESUMO'!AM78,"")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HISTORICOS'!AN36)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RESUMO'!AN36</f>
        <v/>
      </c>
      <c r="N41" s="128">
        <f>MAX(0,M41-M40)</f>
        <v/>
      </c>
      <c r="O41" s="127">
        <f>IF(B41&lt;='VALOR POR PL'!$P$5,'CP RESUMO'!AN78,"")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HISTORICOS'!AO36)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RESUMO'!AO36</f>
        <v/>
      </c>
      <c r="N42" s="128">
        <f>MAX(0,M42-M41)</f>
        <v/>
      </c>
      <c r="O42" s="127">
        <f>IF(B42&lt;='VALOR POR PL'!$P$5,'CP RESUMO'!AO78,"")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HISTORICOS'!AP36)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RESUMO'!AP36</f>
        <v/>
      </c>
      <c r="N43" s="128">
        <f>MAX(0,M43-M42)</f>
        <v/>
      </c>
      <c r="O43" s="127">
        <f>IF(B43&lt;='VALOR POR PL'!$P$5,'CP RESUMO'!AP78,"")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HISTORICOS'!AQ36)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RESUMO'!AQ36</f>
        <v/>
      </c>
      <c r="N44" s="128">
        <f>MAX(0,M44-M43)</f>
        <v/>
      </c>
      <c r="O44" s="127">
        <f>IF(B44&lt;='VALOR POR PL'!$P$5,'CP RESUMO'!AQ78,"")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HISTORICOS'!AR36)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RESUMO'!AR36</f>
        <v/>
      </c>
      <c r="N45" s="128">
        <f>MAX(0,M45-M44)</f>
        <v/>
      </c>
      <c r="O45" s="127">
        <f>IF(B45&lt;='VALOR POR PL'!$P$5,'CP RESUMO'!AR78,"")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HISTORICOS'!AS36)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RESUMO'!AS36</f>
        <v/>
      </c>
      <c r="N46" s="128">
        <f>MAX(0,M46-M45)</f>
        <v/>
      </c>
      <c r="O46" s="127">
        <f>IF(B46&lt;='VALOR POR PL'!$P$5,'CP RESUMO'!AS78,"")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HISTORICOS'!AT36)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RESUMO'!AT36</f>
        <v/>
      </c>
      <c r="N47" s="128">
        <f>MAX(0,M47-M46)</f>
        <v/>
      </c>
      <c r="O47" s="127">
        <f>IF(B47&lt;='VALOR POR PL'!$P$5,'CP RESUMO'!AT78,"")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HISTORICOS'!AU36)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RESUMO'!AU36</f>
        <v/>
      </c>
      <c r="N48" s="128">
        <f>MAX(0,M48-M47)</f>
        <v/>
      </c>
      <c r="O48" s="127">
        <f>IF(B48&lt;='VALOR POR PL'!$P$5,'CP RESUMO'!AU78,"")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HISTORICOS'!AV36)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RESUMO'!AV36</f>
        <v/>
      </c>
      <c r="N49" s="128">
        <f>MAX(0,M49-M48)</f>
        <v/>
      </c>
      <c r="O49" s="127">
        <f>IF(B49&lt;='VALOR POR PL'!$P$5,'CP RESUMO'!AV78,"")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HISTORICOS'!AW36)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RESUMO'!AW36</f>
        <v/>
      </c>
      <c r="N50" s="128">
        <f>MAX(0,M50-M49)</f>
        <v/>
      </c>
      <c r="O50" s="127">
        <f>IF(B50&lt;='VALOR POR PL'!$P$5,'CP RESUMO'!AW78,"")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HISTORICOS'!AX36)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RESUMO'!AX36</f>
        <v/>
      </c>
      <c r="N51" s="128">
        <f>MAX(0,M51-M50)</f>
        <v/>
      </c>
      <c r="O51" s="127">
        <f>IF(B51&lt;='VALOR POR PL'!$P$5,'CP RESUMO'!AX78,"")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HISTORICOS'!AY36)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RESUMO'!AY36</f>
        <v/>
      </c>
      <c r="N52" s="128">
        <f>MAX(0,M52-M51)</f>
        <v/>
      </c>
      <c r="O52" s="127">
        <f>IF(B52&lt;='VALOR POR PL'!$P$5,'CP RESUMO'!AY78,"")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HISTORICOS'!AZ36)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RESUMO'!AZ36</f>
        <v/>
      </c>
      <c r="N53" s="128">
        <f>MAX(0,M53-M52)</f>
        <v/>
      </c>
      <c r="O53" s="127">
        <f>IF(B53&lt;='VALOR POR PL'!$P$5,'CP RESUMO'!AZ78,"")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HISTORICOS'!BA36)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RESUMO'!BA36</f>
        <v/>
      </c>
      <c r="N54" s="128">
        <f>MAX(0,M54-M53)</f>
        <v/>
      </c>
      <c r="O54" s="127">
        <f>IF(B54&lt;='VALOR POR PL'!$P$5,'CP RESUMO'!BA78,"")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HISTORICOS'!BB36)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RESUMO'!BB36</f>
        <v/>
      </c>
      <c r="N55" s="128">
        <f>MAX(0,M55-M54)</f>
        <v/>
      </c>
      <c r="O55" s="127">
        <f>IF(B55&lt;='VALOR POR PL'!$P$5,'CP RESUMO'!BB78,"")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HISTORICOS'!BC36)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RESUMO'!BC36</f>
        <v/>
      </c>
      <c r="N56" s="128">
        <f>MAX(0,M56-M55)</f>
        <v/>
      </c>
      <c r="O56" s="127">
        <f>IF(B56&lt;='VALOR POR PL'!$P$5,'CP RESUMO'!BC78,"")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HISTORICOS'!BD36)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RESUMO'!BD36</f>
        <v/>
      </c>
      <c r="N57" s="128">
        <f>MAX(0,M57-M56)</f>
        <v/>
      </c>
      <c r="O57" s="127">
        <f>IF(B57&lt;='VALOR POR PL'!$P$5,'CP RESUMO'!BD78,"")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HISTORICOS'!BE36)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RESUMO'!BE36</f>
        <v/>
      </c>
      <c r="N58" s="128">
        <f>MAX(0,M58-M57)</f>
        <v/>
      </c>
      <c r="O58" s="127">
        <f>IF(B58&lt;='VALOR POR PL'!$P$5,'CP RESUMO'!BE78,"")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HISTORICOS'!BF36)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RESUMO'!BF36</f>
        <v/>
      </c>
      <c r="N59" s="128">
        <f>MAX(0,M59-M58)</f>
        <v/>
      </c>
      <c r="O59" s="127">
        <f>IF(B59&lt;='VALOR POR PL'!$P$5,'CP RESUMO'!BF78,"")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HISTORICOS'!BG36)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RESUMO'!BG36</f>
        <v/>
      </c>
      <c r="N60" s="128">
        <f>MAX(0,M60-M59)</f>
        <v/>
      </c>
      <c r="O60" s="127">
        <f>IF(B60&lt;='VALOR POR PL'!$P$5,'CP RESUMO'!BG78,"")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HISTORICOS'!BH36)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RESUMO'!BH36</f>
        <v/>
      </c>
      <c r="N61" s="128">
        <f>MAX(0,M61-M60)</f>
        <v/>
      </c>
      <c r="O61" s="127">
        <f>IF(B61&lt;='VALOR POR PL'!$P$5,'CP RESUMO'!BH78,"")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HISTORICOS'!BI36)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RESUMO'!BI36</f>
        <v/>
      </c>
      <c r="N62" s="128">
        <f>MAX(0,M62-M61)</f>
        <v/>
      </c>
      <c r="O62" s="127">
        <f>IF(B62&lt;='VALOR POR PL'!$P$5,'CP RESUMO'!BI78,"")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HISTORICOS'!BJ36)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RESUMO'!BJ36</f>
        <v/>
      </c>
      <c r="N63" s="128">
        <f>MAX(0,M63-M62)</f>
        <v/>
      </c>
      <c r="O63" s="127">
        <f>IF(B63&lt;='VALOR POR PL'!$P$5,'CP RESUMO'!BJ78,"")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HISTORICOS'!BK36)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RESUMO'!BK36</f>
        <v/>
      </c>
      <c r="N64" s="128">
        <f>MAX(0,M64-M63)</f>
        <v/>
      </c>
      <c r="O64" s="127">
        <f>IF(B64&lt;='VALOR POR PL'!$P$5,'CP RESUMO'!BK78,"")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HISTORICOS'!BL36)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RESUMO'!BL36</f>
        <v/>
      </c>
      <c r="N65" s="128">
        <f>MAX(0,M65-M64)</f>
        <v/>
      </c>
      <c r="O65" s="127">
        <f>IF(B65&lt;='VALOR POR PL'!$P$5,'CP RESUMO'!BL78,"")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HISTORICOS'!BM36)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RESUMO'!BM36</f>
        <v/>
      </c>
      <c r="N66" s="128">
        <f>MAX(0,M66-M65)</f>
        <v/>
      </c>
      <c r="O66" s="127">
        <f>IF(B66&lt;='VALOR POR PL'!$P$5,'CP RESUMO'!BM78,"")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HISTORICOS'!BN36)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RESUMO'!BN36</f>
        <v/>
      </c>
      <c r="N67" s="128">
        <f>MAX(0,M67-M66)</f>
        <v/>
      </c>
      <c r="O67" s="127">
        <f>IF(B67&lt;='VALOR POR PL'!$P$5,'CP RESUMO'!BN78,"")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HISTORICOS'!BO36)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RESUMO'!BO36</f>
        <v/>
      </c>
      <c r="N68" s="128">
        <f>MAX(0,M68-M67)</f>
        <v/>
      </c>
      <c r="O68" s="127">
        <f>IF(B68&lt;='VALOR POR PL'!$P$5,'CP RESUMO'!BO78,"")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HISTORICOS'!BP36)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RESUMO'!BP36</f>
        <v/>
      </c>
      <c r="N69" s="128">
        <f>MAX(0,M69-M68)</f>
        <v/>
      </c>
      <c r="O69" s="127">
        <f>IF(B69&lt;='VALOR POR PL'!$P$5,'CP RESUMO'!BP78,"")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HISTORICOS'!BQ36)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RESUMO'!BQ36</f>
        <v/>
      </c>
      <c r="N70" s="128">
        <f>MAX(0,M70-M69)</f>
        <v/>
      </c>
      <c r="O70" s="127">
        <f>IF(B70&lt;='VALOR POR PL'!$P$5,'CP RESUMO'!BQ78,"")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HISTORICOS'!BR36)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RESUMO'!BR36</f>
        <v/>
      </c>
      <c r="N71" s="128">
        <f>MAX(0,M71-M70)</f>
        <v/>
      </c>
      <c r="O71" s="127">
        <f>IF(B71&lt;='VALOR POR PL'!$P$5,'CP RESUMO'!BR78,"")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HISTORICOS'!BS36)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RESUMO'!BS36</f>
        <v/>
      </c>
      <c r="N72" s="128">
        <f>MAX(0,M72-M71)</f>
        <v/>
      </c>
      <c r="O72" s="127">
        <f>IF(B72&lt;='VALOR POR PL'!$P$5,'CP RESUMO'!BS78,"")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HISTORICOS'!BT36)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RESUMO'!BT36</f>
        <v/>
      </c>
      <c r="N73" s="128">
        <f>MAX(0,M73-M72)</f>
        <v/>
      </c>
      <c r="O73" s="127">
        <f>IF(B73&lt;='VALOR POR PL'!$P$5,'CP RESUMO'!BT78,"")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HISTORICOS'!BU36)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RESUMO'!BU36</f>
        <v/>
      </c>
      <c r="N74" s="128">
        <f>MAX(0,M74-M73)</f>
        <v/>
      </c>
      <c r="O74" s="127">
        <f>IF(B74&lt;='VALOR POR PL'!$P$5,'CP RESUMO'!BU78,"")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HISTORICOS'!BV36)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RESUMO'!BV36</f>
        <v/>
      </c>
      <c r="N75" s="128">
        <f>MAX(0,M75-M74)</f>
        <v/>
      </c>
      <c r="O75" s="127">
        <f>IF(B75&lt;='VALOR POR PL'!$P$5,'CP RESUMO'!BV78,"")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HISTORICOS'!BW36)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RESUMO'!BW36</f>
        <v/>
      </c>
      <c r="N76" s="128">
        <f>MAX(0,M76-M75)</f>
        <v/>
      </c>
      <c r="O76" s="127">
        <f>IF(B76&lt;='VALOR POR PL'!$P$5,'CP RESUMO'!BW78,"")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PL'!D43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HISTORICOS'!D37)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PL'!F43</f>
        <v/>
      </c>
      <c r="K5" s="63">
        <f>'VALOR POR PL'!G43</f>
        <v/>
      </c>
      <c r="M5" s="127">
        <f>'CP RESUMO'!D37</f>
        <v/>
      </c>
      <c r="N5" s="128" t="n">
        <v>0</v>
      </c>
      <c r="O5" s="127">
        <f>IF(B5&lt;='VALOR POR PL'!$P$5,'CP RESUMO'!D79,"")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HISTORICOS'!E37)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RESUMO'!E37</f>
        <v/>
      </c>
      <c r="N6" s="128">
        <f>MAX(0,M6-M5)</f>
        <v/>
      </c>
      <c r="O6" s="127">
        <f>IF(B6&lt;='VALOR POR PL'!$P$5,'CP RESUMO'!E79,"")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HISTORICOS'!F37)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PL'!L43</f>
        <v/>
      </c>
      <c r="M7" s="127">
        <f>'CP RESUMO'!F37</f>
        <v/>
      </c>
      <c r="N7" s="128">
        <f>MAX(0,M7-M6)</f>
        <v/>
      </c>
      <c r="O7" s="127">
        <f>IF(B7&lt;='VALOR POR PL'!$P$5,'CP RESUMO'!F79,"")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HISTORICOS'!G37)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RESUMO'!G37</f>
        <v/>
      </c>
      <c r="N8" s="128">
        <f>MAX(0,M8-M7)</f>
        <v/>
      </c>
      <c r="O8" s="127">
        <f>IF(B8&lt;='VALOR POR PL'!$P$5,'CP RESUMO'!G79,"")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HISTORICOS'!H37)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RESUMO'!H37</f>
        <v/>
      </c>
      <c r="N9" s="128">
        <f>MAX(0,M9-M8)</f>
        <v/>
      </c>
      <c r="O9" s="127">
        <f>IF(B9&lt;='VALOR POR PL'!$P$5,'CP RESUMO'!H79,"")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HISTORICOS'!I37)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RESUMO'!I37</f>
        <v/>
      </c>
      <c r="N10" s="128">
        <f>MAX(0,M10-M9)</f>
        <v/>
      </c>
      <c r="O10" s="127">
        <f>IF(B10&lt;='VALOR POR PL'!$P$5,'CP RESUMO'!I79,"")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HISTORICOS'!J37)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RESUMO'!J37</f>
        <v/>
      </c>
      <c r="N11" s="128">
        <f>MAX(0,M11-M10)</f>
        <v/>
      </c>
      <c r="O11" s="127">
        <f>IF(B11&lt;='VALOR POR PL'!$P$5,'CP RESUMO'!J79,"")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HISTORICOS'!K37)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RESUMO'!K37</f>
        <v/>
      </c>
      <c r="N12" s="128">
        <f>MAX(0,M12-M11)</f>
        <v/>
      </c>
      <c r="O12" s="127">
        <f>IF(B12&lt;='VALOR POR PL'!$P$5,'CP RESUMO'!K79,"")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HISTORICOS'!L37)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PL'!I43</f>
        <v/>
      </c>
      <c r="M13" s="127">
        <f>'CP RESUMO'!L37</f>
        <v/>
      </c>
      <c r="N13" s="128">
        <f>MAX(0,M13-M12)</f>
        <v/>
      </c>
      <c r="O13" s="127">
        <f>IF(B13&lt;='VALOR POR PL'!$P$5,'CP RESUMO'!L79,"")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HISTORICOS'!M37)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RESUMO'!$D$79:$BW$79,MATCH('VALOR POR PL'!$P$5,'CP RESUMO'!$D$4:$BW$4,0))/100,0)</f>
        <v/>
      </c>
      <c r="M14" s="127">
        <f>'CP RESUMO'!M37</f>
        <v/>
      </c>
      <c r="N14" s="128">
        <f>MAX(0,M14-M13)</f>
        <v/>
      </c>
      <c r="O14" s="127">
        <f>IF(B14&lt;='VALOR POR PL'!$P$5,'CP RESUMO'!M79,"")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HISTORICOS'!N37)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RESUMO'!N37</f>
        <v/>
      </c>
      <c r="N15" s="128">
        <f>MAX(0,M15-M14)</f>
        <v/>
      </c>
      <c r="O15" s="127">
        <f>IF(B15&lt;='VALOR POR PL'!$P$5,'CP RESUMO'!N79,"")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HISTORICOS'!O37)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RESUMO'!O37</f>
        <v/>
      </c>
      <c r="N16" s="128">
        <f>MAX(0,M16-M15)</f>
        <v/>
      </c>
      <c r="O16" s="127">
        <f>IF(B16&lt;='VALOR POR PL'!$P$5,'CP RESUMO'!O79,"")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HISTORICOS'!P37)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RESUMO'!P37</f>
        <v/>
      </c>
      <c r="N17" s="128">
        <f>MAX(0,M17-M16)</f>
        <v/>
      </c>
      <c r="O17" s="127">
        <f>IF(B17&lt;='VALOR POR PL'!$P$5,'CP RESUMO'!P79,"")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HISTORICOS'!Q37)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RESUMO'!Q37</f>
        <v/>
      </c>
      <c r="N18" s="128">
        <f>MAX(0,M18-M17)</f>
        <v/>
      </c>
      <c r="O18" s="127">
        <f>IF(B18&lt;='VALOR POR PL'!$P$5,'CP RESUMO'!Q79,"")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HISTORICOS'!R37)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RESUMO'!R37</f>
        <v/>
      </c>
      <c r="N19" s="128">
        <f>MAX(0,M19-M18)</f>
        <v/>
      </c>
      <c r="O19" s="127">
        <f>IF(B19&lt;='VALOR POR PL'!$P$5,'CP RESUMO'!R79,"")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HISTORICOS'!S37)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RESUMO'!S37</f>
        <v/>
      </c>
      <c r="N20" s="128">
        <f>MAX(0,M20-M19)</f>
        <v/>
      </c>
      <c r="O20" s="127">
        <f>IF(B20&lt;='VALOR POR PL'!$P$5,'CP RESUMO'!S79,"")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HISTORICOS'!T37)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RESUMO'!T37</f>
        <v/>
      </c>
      <c r="N21" s="128">
        <f>MAX(0,M21-M20)</f>
        <v/>
      </c>
      <c r="O21" s="127">
        <f>IF(B21&lt;='VALOR POR PL'!$P$5,'CP RESUMO'!T79,"")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HISTORICOS'!U37)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RESUMO'!U37</f>
        <v/>
      </c>
      <c r="N22" s="128">
        <f>MAX(0,M22-M21)</f>
        <v/>
      </c>
      <c r="O22" s="127">
        <f>IF(B22&lt;='VALOR POR PL'!$P$5,'CP RESUMO'!U79,"")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HISTORICOS'!V37)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RESUMO'!V37</f>
        <v/>
      </c>
      <c r="N23" s="128">
        <f>MAX(0,M23-M22)</f>
        <v/>
      </c>
      <c r="O23" s="127">
        <f>IF(B23&lt;='VALOR POR PL'!$P$5,'CP RESUMO'!V79,"")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HISTORICOS'!W37)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RESUMO'!W37</f>
        <v/>
      </c>
      <c r="N24" s="128">
        <f>MAX(0,M24-M23)</f>
        <v/>
      </c>
      <c r="O24" s="127">
        <f>IF(B24&lt;='VALOR POR PL'!$P$5,'CP RESUMO'!W79,"")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HISTORICOS'!X37)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RESUMO'!X37</f>
        <v/>
      </c>
      <c r="N25" s="128">
        <f>MAX(0,M25-M24)</f>
        <v/>
      </c>
      <c r="O25" s="127">
        <f>IF(B25&lt;='VALOR POR PL'!$P$5,'CP RESUMO'!X79,"")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HISTORICOS'!Y37)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RESUMO'!Y37</f>
        <v/>
      </c>
      <c r="N26" s="128">
        <f>MAX(0,M26-M25)</f>
        <v/>
      </c>
      <c r="O26" s="127">
        <f>IF(B26&lt;='VALOR POR PL'!$P$5,'CP RESUMO'!Y79,"")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HISTORICOS'!Z37)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RESUMO'!Z37</f>
        <v/>
      </c>
      <c r="N27" s="128">
        <f>MAX(0,M27-M26)</f>
        <v/>
      </c>
      <c r="O27" s="127">
        <f>IF(B27&lt;='VALOR POR PL'!$P$5,'CP RESUMO'!Z79,"")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HISTORICOS'!AA37)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RESUMO'!AA37</f>
        <v/>
      </c>
      <c r="N28" s="128">
        <f>MAX(0,M28-M27)</f>
        <v/>
      </c>
      <c r="O28" s="127">
        <f>IF(B28&lt;='VALOR POR PL'!$P$5,'CP RESUMO'!AA79,"")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HISTORICOS'!AB37)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RESUMO'!AB37</f>
        <v/>
      </c>
      <c r="N29" s="128">
        <f>MAX(0,M29-M28)</f>
        <v/>
      </c>
      <c r="O29" s="127">
        <f>IF(B29&lt;='VALOR POR PL'!$P$5,'CP RESUMO'!AB79,"")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HISTORICOS'!AC37)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RESUMO'!AC37</f>
        <v/>
      </c>
      <c r="N30" s="128">
        <f>MAX(0,M30-M29)</f>
        <v/>
      </c>
      <c r="O30" s="127">
        <f>IF(B30&lt;='VALOR POR PL'!$P$5,'CP RESUMO'!AC79,"")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HISTORICOS'!AD37)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RESUMO'!AD37</f>
        <v/>
      </c>
      <c r="N31" s="128">
        <f>MAX(0,M31-M30)</f>
        <v/>
      </c>
      <c r="O31" s="127">
        <f>IF(B31&lt;='VALOR POR PL'!$P$5,'CP RESUMO'!AD79,"")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HISTORICOS'!AE37)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RESUMO'!AE37</f>
        <v/>
      </c>
      <c r="N32" s="128">
        <f>MAX(0,M32-M31)</f>
        <v/>
      </c>
      <c r="O32" s="127">
        <f>IF(B32&lt;='VALOR POR PL'!$P$5,'CP RESUMO'!AE79,"")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HISTORICOS'!AF37)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RESUMO'!AF37</f>
        <v/>
      </c>
      <c r="N33" s="128">
        <f>MAX(0,M33-M32)</f>
        <v/>
      </c>
      <c r="O33" s="127">
        <f>IF(B33&lt;='VALOR POR PL'!$P$5,'CP RESUMO'!AF79,"")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HISTORICOS'!AG37)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RESUMO'!AG37</f>
        <v/>
      </c>
      <c r="N34" s="128">
        <f>MAX(0,M34-M33)</f>
        <v/>
      </c>
      <c r="O34" s="127">
        <f>IF(B34&lt;='VALOR POR PL'!$P$5,'CP RESUMO'!AG79,"")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HISTORICOS'!AH37)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RESUMO'!AH37</f>
        <v/>
      </c>
      <c r="N35" s="128">
        <f>MAX(0,M35-M34)</f>
        <v/>
      </c>
      <c r="O35" s="127">
        <f>IF(B35&lt;='VALOR POR PL'!$P$5,'CP RESUMO'!AH79,"")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HISTORICOS'!AI37)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RESUMO'!AI37</f>
        <v/>
      </c>
      <c r="N36" s="128">
        <f>MAX(0,M36-M35)</f>
        <v/>
      </c>
      <c r="O36" s="127">
        <f>IF(B36&lt;='VALOR POR PL'!$P$5,'CP RESUMO'!AI79,"")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HISTORICOS'!AJ37)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RESUMO'!AJ37</f>
        <v/>
      </c>
      <c r="N37" s="128">
        <f>MAX(0,M37-M36)</f>
        <v/>
      </c>
      <c r="O37" s="127">
        <f>IF(B37&lt;='VALOR POR PL'!$P$5,'CP RESUMO'!AJ79,"")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HISTORICOS'!AK37)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RESUMO'!AK37</f>
        <v/>
      </c>
      <c r="N38" s="128">
        <f>MAX(0,M38-M37)</f>
        <v/>
      </c>
      <c r="O38" s="127">
        <f>IF(B38&lt;='VALOR POR PL'!$P$5,'CP RESUMO'!AK79,"")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HISTORICOS'!AL37)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RESUMO'!AL37</f>
        <v/>
      </c>
      <c r="N39" s="128">
        <f>MAX(0,M39-M38)</f>
        <v/>
      </c>
      <c r="O39" s="127">
        <f>IF(B39&lt;='VALOR POR PL'!$P$5,'CP RESUMO'!AL79,"")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HISTORICOS'!AM37)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RESUMO'!AM37</f>
        <v/>
      </c>
      <c r="N40" s="128">
        <f>MAX(0,M40-M39)</f>
        <v/>
      </c>
      <c r="O40" s="127">
        <f>IF(B40&lt;='VALOR POR PL'!$P$5,'CP RESUMO'!AM79,"")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HISTORICOS'!AN37)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RESUMO'!AN37</f>
        <v/>
      </c>
      <c r="N41" s="128">
        <f>MAX(0,M41-M40)</f>
        <v/>
      </c>
      <c r="O41" s="127">
        <f>IF(B41&lt;='VALOR POR PL'!$P$5,'CP RESUMO'!AN79,"")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HISTORICOS'!AO37)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RESUMO'!AO37</f>
        <v/>
      </c>
      <c r="N42" s="128">
        <f>MAX(0,M42-M41)</f>
        <v/>
      </c>
      <c r="O42" s="127">
        <f>IF(B42&lt;='VALOR POR PL'!$P$5,'CP RESUMO'!AO79,"")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HISTORICOS'!AP37)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RESUMO'!AP37</f>
        <v/>
      </c>
      <c r="N43" s="128">
        <f>MAX(0,M43-M42)</f>
        <v/>
      </c>
      <c r="O43" s="127">
        <f>IF(B43&lt;='VALOR POR PL'!$P$5,'CP RESUMO'!AP79,"")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HISTORICOS'!AQ37)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RESUMO'!AQ37</f>
        <v/>
      </c>
      <c r="N44" s="128">
        <f>MAX(0,M44-M43)</f>
        <v/>
      </c>
      <c r="O44" s="127">
        <f>IF(B44&lt;='VALOR POR PL'!$P$5,'CP RESUMO'!AQ79,"")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HISTORICOS'!AR37)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RESUMO'!AR37</f>
        <v/>
      </c>
      <c r="N45" s="128">
        <f>MAX(0,M45-M44)</f>
        <v/>
      </c>
      <c r="O45" s="127">
        <f>IF(B45&lt;='VALOR POR PL'!$P$5,'CP RESUMO'!AR79,"")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HISTORICOS'!AS37)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RESUMO'!AS37</f>
        <v/>
      </c>
      <c r="N46" s="128">
        <f>MAX(0,M46-M45)</f>
        <v/>
      </c>
      <c r="O46" s="127">
        <f>IF(B46&lt;='VALOR POR PL'!$P$5,'CP RESUMO'!AS79,"")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HISTORICOS'!AT37)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RESUMO'!AT37</f>
        <v/>
      </c>
      <c r="N47" s="128">
        <f>MAX(0,M47-M46)</f>
        <v/>
      </c>
      <c r="O47" s="127">
        <f>IF(B47&lt;='VALOR POR PL'!$P$5,'CP RESUMO'!AT79,"")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HISTORICOS'!AU37)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RESUMO'!AU37</f>
        <v/>
      </c>
      <c r="N48" s="128">
        <f>MAX(0,M48-M47)</f>
        <v/>
      </c>
      <c r="O48" s="127">
        <f>IF(B48&lt;='VALOR POR PL'!$P$5,'CP RESUMO'!AU79,"")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HISTORICOS'!AV37)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RESUMO'!AV37</f>
        <v/>
      </c>
      <c r="N49" s="128">
        <f>MAX(0,M49-M48)</f>
        <v/>
      </c>
      <c r="O49" s="127">
        <f>IF(B49&lt;='VALOR POR PL'!$P$5,'CP RESUMO'!AV79,"")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HISTORICOS'!AW37)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RESUMO'!AW37</f>
        <v/>
      </c>
      <c r="N50" s="128">
        <f>MAX(0,M50-M49)</f>
        <v/>
      </c>
      <c r="O50" s="127">
        <f>IF(B50&lt;='VALOR POR PL'!$P$5,'CP RESUMO'!AW79,"")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HISTORICOS'!AX37)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RESUMO'!AX37</f>
        <v/>
      </c>
      <c r="N51" s="128">
        <f>MAX(0,M51-M50)</f>
        <v/>
      </c>
      <c r="O51" s="127">
        <f>IF(B51&lt;='VALOR POR PL'!$P$5,'CP RESUMO'!AX79,"")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HISTORICOS'!AY37)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RESUMO'!AY37</f>
        <v/>
      </c>
      <c r="N52" s="128">
        <f>MAX(0,M52-M51)</f>
        <v/>
      </c>
      <c r="O52" s="127">
        <f>IF(B52&lt;='VALOR POR PL'!$P$5,'CP RESUMO'!AY79,"")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HISTORICOS'!AZ37)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RESUMO'!AZ37</f>
        <v/>
      </c>
      <c r="N53" s="128">
        <f>MAX(0,M53-M52)</f>
        <v/>
      </c>
      <c r="O53" s="127">
        <f>IF(B53&lt;='VALOR POR PL'!$P$5,'CP RESUMO'!AZ79,"")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HISTORICOS'!BA37)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RESUMO'!BA37</f>
        <v/>
      </c>
      <c r="N54" s="128">
        <f>MAX(0,M54-M53)</f>
        <v/>
      </c>
      <c r="O54" s="127">
        <f>IF(B54&lt;='VALOR POR PL'!$P$5,'CP RESUMO'!BA79,"")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HISTORICOS'!BB37)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RESUMO'!BB37</f>
        <v/>
      </c>
      <c r="N55" s="128">
        <f>MAX(0,M55-M54)</f>
        <v/>
      </c>
      <c r="O55" s="127">
        <f>IF(B55&lt;='VALOR POR PL'!$P$5,'CP RESUMO'!BB79,"")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HISTORICOS'!BC37)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RESUMO'!BC37</f>
        <v/>
      </c>
      <c r="N56" s="128">
        <f>MAX(0,M56-M55)</f>
        <v/>
      </c>
      <c r="O56" s="127">
        <f>IF(B56&lt;='VALOR POR PL'!$P$5,'CP RESUMO'!BC79,"")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HISTORICOS'!BD37)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RESUMO'!BD37</f>
        <v/>
      </c>
      <c r="N57" s="128">
        <f>MAX(0,M57-M56)</f>
        <v/>
      </c>
      <c r="O57" s="127">
        <f>IF(B57&lt;='VALOR POR PL'!$P$5,'CP RESUMO'!BD79,"")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HISTORICOS'!BE37)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RESUMO'!BE37</f>
        <v/>
      </c>
      <c r="N58" s="128">
        <f>MAX(0,M58-M57)</f>
        <v/>
      </c>
      <c r="O58" s="127">
        <f>IF(B58&lt;='VALOR POR PL'!$P$5,'CP RESUMO'!BE79,"")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HISTORICOS'!BF37)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RESUMO'!BF37</f>
        <v/>
      </c>
      <c r="N59" s="128">
        <f>MAX(0,M59-M58)</f>
        <v/>
      </c>
      <c r="O59" s="127">
        <f>IF(B59&lt;='VALOR POR PL'!$P$5,'CP RESUMO'!BF79,"")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HISTORICOS'!BG37)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RESUMO'!BG37</f>
        <v/>
      </c>
      <c r="N60" s="128">
        <f>MAX(0,M60-M59)</f>
        <v/>
      </c>
      <c r="O60" s="127">
        <f>IF(B60&lt;='VALOR POR PL'!$P$5,'CP RESUMO'!BG79,"")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HISTORICOS'!BH37)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RESUMO'!BH37</f>
        <v/>
      </c>
      <c r="N61" s="128">
        <f>MAX(0,M61-M60)</f>
        <v/>
      </c>
      <c r="O61" s="127">
        <f>IF(B61&lt;='VALOR POR PL'!$P$5,'CP RESUMO'!BH79,"")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HISTORICOS'!BI37)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RESUMO'!BI37</f>
        <v/>
      </c>
      <c r="N62" s="128">
        <f>MAX(0,M62-M61)</f>
        <v/>
      </c>
      <c r="O62" s="127">
        <f>IF(B62&lt;='VALOR POR PL'!$P$5,'CP RESUMO'!BI79,"")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HISTORICOS'!BJ37)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RESUMO'!BJ37</f>
        <v/>
      </c>
      <c r="N63" s="128">
        <f>MAX(0,M63-M62)</f>
        <v/>
      </c>
      <c r="O63" s="127">
        <f>IF(B63&lt;='VALOR POR PL'!$P$5,'CP RESUMO'!BJ79,"")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HISTORICOS'!BK37)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RESUMO'!BK37</f>
        <v/>
      </c>
      <c r="N64" s="128">
        <f>MAX(0,M64-M63)</f>
        <v/>
      </c>
      <c r="O64" s="127">
        <f>IF(B64&lt;='VALOR POR PL'!$P$5,'CP RESUMO'!BK79,"")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HISTORICOS'!BL37)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RESUMO'!BL37</f>
        <v/>
      </c>
      <c r="N65" s="128">
        <f>MAX(0,M65-M64)</f>
        <v/>
      </c>
      <c r="O65" s="127">
        <f>IF(B65&lt;='VALOR POR PL'!$P$5,'CP RESUMO'!BL79,"")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HISTORICOS'!BM37)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RESUMO'!BM37</f>
        <v/>
      </c>
      <c r="N66" s="128">
        <f>MAX(0,M66-M65)</f>
        <v/>
      </c>
      <c r="O66" s="127">
        <f>IF(B66&lt;='VALOR POR PL'!$P$5,'CP RESUMO'!BM79,"")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HISTORICOS'!BN37)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RESUMO'!BN37</f>
        <v/>
      </c>
      <c r="N67" s="128">
        <f>MAX(0,M67-M66)</f>
        <v/>
      </c>
      <c r="O67" s="127">
        <f>IF(B67&lt;='VALOR POR PL'!$P$5,'CP RESUMO'!BN79,"")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HISTORICOS'!BO37)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RESUMO'!BO37</f>
        <v/>
      </c>
      <c r="N68" s="128">
        <f>MAX(0,M68-M67)</f>
        <v/>
      </c>
      <c r="O68" s="127">
        <f>IF(B68&lt;='VALOR POR PL'!$P$5,'CP RESUMO'!BO79,"")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HISTORICOS'!BP37)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RESUMO'!BP37</f>
        <v/>
      </c>
      <c r="N69" s="128">
        <f>MAX(0,M69-M68)</f>
        <v/>
      </c>
      <c r="O69" s="127">
        <f>IF(B69&lt;='VALOR POR PL'!$P$5,'CP RESUMO'!BP79,"")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HISTORICOS'!BQ37)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RESUMO'!BQ37</f>
        <v/>
      </c>
      <c r="N70" s="128">
        <f>MAX(0,M70-M69)</f>
        <v/>
      </c>
      <c r="O70" s="127">
        <f>IF(B70&lt;='VALOR POR PL'!$P$5,'CP RESUMO'!BQ79,"")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HISTORICOS'!BR37)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RESUMO'!BR37</f>
        <v/>
      </c>
      <c r="N71" s="128">
        <f>MAX(0,M71-M70)</f>
        <v/>
      </c>
      <c r="O71" s="127">
        <f>IF(B71&lt;='VALOR POR PL'!$P$5,'CP RESUMO'!BR79,"")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HISTORICOS'!BS37)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RESUMO'!BS37</f>
        <v/>
      </c>
      <c r="N72" s="128">
        <f>MAX(0,M72-M71)</f>
        <v/>
      </c>
      <c r="O72" s="127">
        <f>IF(B72&lt;='VALOR POR PL'!$P$5,'CP RESUMO'!BS79,"")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HISTORICOS'!BT37)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RESUMO'!BT37</f>
        <v/>
      </c>
      <c r="N73" s="128">
        <f>MAX(0,M73-M72)</f>
        <v/>
      </c>
      <c r="O73" s="127">
        <f>IF(B73&lt;='VALOR POR PL'!$P$5,'CP RESUMO'!BT79,"")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HISTORICOS'!BU37)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RESUMO'!BU37</f>
        <v/>
      </c>
      <c r="N74" s="128">
        <f>MAX(0,M74-M73)</f>
        <v/>
      </c>
      <c r="O74" s="127">
        <f>IF(B74&lt;='VALOR POR PL'!$P$5,'CP RESUMO'!BU79,"")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HISTORICOS'!BV37)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RESUMO'!BV37</f>
        <v/>
      </c>
      <c r="N75" s="128">
        <f>MAX(0,M75-M74)</f>
        <v/>
      </c>
      <c r="O75" s="127">
        <f>IF(B75&lt;='VALOR POR PL'!$P$5,'CP RESUMO'!BV79,"")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HISTORICOS'!BW37)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RESUMO'!BW37</f>
        <v/>
      </c>
      <c r="N76" s="128">
        <f>MAX(0,M76-M75)</f>
        <v/>
      </c>
      <c r="O76" s="127">
        <f>IF(B76&lt;='VALOR POR PL'!$P$5,'CP RESUMO'!BW79,"")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1">
        <f>'VALOR POR PL'!D44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R4" s="59" t="inlineStr">
        <is>
          <t>MDO
(R$)</t>
        </is>
      </c>
      <c r="S4" s="59" t="inlineStr">
        <is>
          <t>MATERIAL
peso (pagamento
do pedido)</t>
        </is>
      </c>
      <c r="T4" s="59" t="inlineStr">
        <is>
          <t>MATERIAL
peso ajustado
(só futuro)</t>
        </is>
      </c>
      <c r="U4" s="59" t="inlineStr">
        <is>
          <t>MATERIAL
(R$)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HISTORICOS'!D38)</f>
        <v/>
      </c>
      <c r="D5" s="50">
        <f>IF(B5&lt;='VALOR POR PL'!$P$5,0,IF($K$16="MDO PREVISION + MATERIAL PREMISSA",R5+U5,IF($K$17&gt;0,$K$18*P5/$K$17,0)))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PL'!F44</f>
        <v/>
      </c>
      <c r="K5" s="63">
        <f>'VALOR POR PL'!G44</f>
        <v/>
      </c>
      <c r="M5" s="127">
        <f>'CP RESUMO'!D38</f>
        <v/>
      </c>
      <c r="N5" s="128" t="n">
        <v>0</v>
      </c>
      <c r="O5" s="127">
        <f>IF(B5&lt;='VALOR POR PL'!$P$5,'CP RESUMO'!D80,"")</f>
        <v/>
      </c>
      <c r="P5" s="72">
        <f>IF(B5&lt;='VALOR POR PL'!$P$5,0,IF(OR($K$16="CURVA PREVISION",$K$16="MDO PREVISION + MATERIAL PREMISSA"),N5,IF($K$16="PREVISÃO INFORMADA",MAX(0,H5),0)))</f>
        <v/>
      </c>
      <c r="R5" s="50">
        <f>IF(OR(B5&lt;='VALOR POR PL'!$P$5,$K$12=0),0,$K$18*$K$26*N5/$K$12)</f>
        <v/>
      </c>
      <c r="S5" s="128">
        <f>(IF(AND(1+$K$33&gt;=1,1+$K$33&lt;=72),INDEX($N$5:$N$76,1+$K$33),0)+IF(AND(1+$K$34&gt;=1,1+$K$34&lt;=72),INDEX($N$5:$N$76,1+$K$34),0)+IF(AND(1+$K$35&gt;=1,1+$K$35&lt;=72),INDEX($N$5:$N$76,1+$K$35),0))/3</f>
        <v/>
      </c>
      <c r="T5" s="128">
        <f>IF(B5&lt;='VALOR POR PL'!$P$5,0,S5+IF(B5=DATE(YEAR('VALOR POR PL'!$P$5),MONTH('VALOR POR PL'!$P$5)+1,1),SUMPRODUCT((B5:B76&lt;='VALOR POR PL'!$P$5)*S5:S76),0))</f>
        <v/>
      </c>
      <c r="U5" s="50">
        <f>IF($K$32=0,0,$K$18*$K$27*T5/$K$32)</f>
        <v/>
      </c>
    </row>
    <row r="6">
      <c r="B6" s="129">
        <f>DATE(YEAR(B5),MONTH(B5)+1,1)</f>
        <v/>
      </c>
      <c r="C6" s="63">
        <f>IF(AND($K$22="NÃO",B6&gt;'VALOR POR PL'!$P$5),0,'DADOS HISTORICOS'!E38)</f>
        <v/>
      </c>
      <c r="D6" s="50">
        <f>IF(B6&lt;='VALOR POR PL'!$P$5,0,IF($K$16="MDO PREVISION + MATERIAL PREMISSA",R6+U6,IF($K$17&gt;0,$K$18*P6/$K$17,0)))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RESUMO'!E38</f>
        <v/>
      </c>
      <c r="N6" s="128">
        <f>MAX(0,M6-M5)</f>
        <v/>
      </c>
      <c r="O6" s="127">
        <f>IF(B6&lt;='VALOR POR PL'!$P$5,'CP RESUMO'!E80,"")</f>
        <v/>
      </c>
      <c r="P6" s="72">
        <f>IF(B6&lt;='VALOR POR PL'!$P$5,0,IF(OR($K$16="CURVA PREVISION",$K$16="MDO PREVISION + MATERIAL PREMISSA"),N6,IF($K$16="PREVISÃO INFORMADA",MAX(0,H6),0)))</f>
        <v/>
      </c>
      <c r="R6" s="50">
        <f>IF(OR(B6&lt;='VALOR POR PL'!$P$5,$K$12=0),0,$K$18*$K$26*N6/$K$12)</f>
        <v/>
      </c>
      <c r="S6" s="128">
        <f>(IF(AND(2+$K$33&gt;=1,2+$K$33&lt;=72),INDEX($N$5:$N$76,2+$K$33),0)+IF(AND(2+$K$34&gt;=1,2+$K$34&lt;=72),INDEX($N$5:$N$76,2+$K$34),0)+IF(AND(2+$K$35&gt;=1,2+$K$35&lt;=72),INDEX($N$5:$N$76,2+$K$35),0))/3</f>
        <v/>
      </c>
      <c r="T6" s="128">
        <f>IF(B6&lt;='VALOR POR PL'!$P$5,0,S6+IF(B6=DATE(YEAR('VALOR POR PL'!$P$5),MONTH('VALOR POR PL'!$P$5)+1,1),SUMPRODUCT((B5:B76&lt;='VALOR POR PL'!$P$5)*S5:S76),0))</f>
        <v/>
      </c>
      <c r="U6" s="50">
        <f>IF($K$32=0,0,$K$18*$K$27*T6/$K$32)</f>
        <v/>
      </c>
    </row>
    <row r="7">
      <c r="B7" s="129">
        <f>DATE(YEAR(B6),MONTH(B6)+1,1)</f>
        <v/>
      </c>
      <c r="C7" s="63">
        <f>IF(AND($K$22="NÃO",B7&gt;'VALOR POR PL'!$P$5),0,'DADOS HISTORICOS'!F38)</f>
        <v/>
      </c>
      <c r="D7" s="50">
        <f>IF(B7&lt;='VALOR POR PL'!$P$5,0,IF($K$16="MDO PREVISION + MATERIAL PREMISSA",R7+U7,IF($K$17&gt;0,$K$18*P7/$K$17,0)))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PL'!L44</f>
        <v/>
      </c>
      <c r="M7" s="127">
        <f>'CP RESUMO'!F38</f>
        <v/>
      </c>
      <c r="N7" s="128">
        <f>MAX(0,M7-M6)</f>
        <v/>
      </c>
      <c r="O7" s="127">
        <f>IF(B7&lt;='VALOR POR PL'!$P$5,'CP RESUMO'!F80,"")</f>
        <v/>
      </c>
      <c r="P7" s="72">
        <f>IF(B7&lt;='VALOR POR PL'!$P$5,0,IF(OR($K$16="CURVA PREVISION",$K$16="MDO PREVISION + MATERIAL PREMISSA"),N7,IF($K$16="PREVISÃO INFORMADA",MAX(0,H7),0)))</f>
        <v/>
      </c>
      <c r="R7" s="50">
        <f>IF(OR(B7&lt;='VALOR POR PL'!$P$5,$K$12=0),0,$K$18*$K$26*N7/$K$12)</f>
        <v/>
      </c>
      <c r="S7" s="128">
        <f>(IF(AND(3+$K$33&gt;=1,3+$K$33&lt;=72),INDEX($N$5:$N$76,3+$K$33),0)+IF(AND(3+$K$34&gt;=1,3+$K$34&lt;=72),INDEX($N$5:$N$76,3+$K$34),0)+IF(AND(3+$K$35&gt;=1,3+$K$35&lt;=72),INDEX($N$5:$N$76,3+$K$35),0))/3</f>
        <v/>
      </c>
      <c r="T7" s="128">
        <f>IF(B7&lt;='VALOR POR PL'!$P$5,0,S7+IF(B7=DATE(YEAR('VALOR POR PL'!$P$5),MONTH('VALOR POR PL'!$P$5)+1,1),SUMPRODUCT((B5:B76&lt;='VALOR POR PL'!$P$5)*S5:S76),0))</f>
        <v/>
      </c>
      <c r="U7" s="50">
        <f>IF($K$32=0,0,$K$18*$K$27*T7/$K$32)</f>
        <v/>
      </c>
    </row>
    <row r="8">
      <c r="B8" s="129">
        <f>DATE(YEAR(B7),MONTH(B7)+1,1)</f>
        <v/>
      </c>
      <c r="C8" s="63">
        <f>IF(AND($K$22="NÃO",B8&gt;'VALOR POR PL'!$P$5),0,'DADOS HISTORICOS'!G38)</f>
        <v/>
      </c>
      <c r="D8" s="50">
        <f>IF(B8&lt;='VALOR POR PL'!$P$5,0,IF($K$16="MDO PREVISION + MATERIAL PREMISSA",R8+U8,IF($K$17&gt;0,$K$18*P8/$K$17,0)))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RESUMO'!G38</f>
        <v/>
      </c>
      <c r="N8" s="128">
        <f>MAX(0,M8-M7)</f>
        <v/>
      </c>
      <c r="O8" s="127">
        <f>IF(B8&lt;='VALOR POR PL'!$P$5,'CP RESUMO'!G80,"")</f>
        <v/>
      </c>
      <c r="P8" s="72">
        <f>IF(B8&lt;='VALOR POR PL'!$P$5,0,IF(OR($K$16="CURVA PREVISION",$K$16="MDO PREVISION + MATERIAL PREMISSA"),N8,IF($K$16="PREVISÃO INFORMADA",MAX(0,H8),0)))</f>
        <v/>
      </c>
      <c r="R8" s="50">
        <f>IF(OR(B8&lt;='VALOR POR PL'!$P$5,$K$12=0),0,$K$18*$K$26*N8/$K$12)</f>
        <v/>
      </c>
      <c r="S8" s="128">
        <f>(IF(AND(4+$K$33&gt;=1,4+$K$33&lt;=72),INDEX($N$5:$N$76,4+$K$33),0)+IF(AND(4+$K$34&gt;=1,4+$K$34&lt;=72),INDEX($N$5:$N$76,4+$K$34),0)+IF(AND(4+$K$35&gt;=1,4+$K$35&lt;=72),INDEX($N$5:$N$76,4+$K$35),0))/3</f>
        <v/>
      </c>
      <c r="T8" s="128">
        <f>IF(B8&lt;='VALOR POR PL'!$P$5,0,S8+IF(B8=DATE(YEAR('VALOR POR PL'!$P$5),MONTH('VALOR POR PL'!$P$5)+1,1),SUMPRODUCT((B5:B76&lt;='VALOR POR PL'!$P$5)*S5:S76),0))</f>
        <v/>
      </c>
      <c r="U8" s="50">
        <f>IF($K$32=0,0,$K$18*$K$27*T8/$K$32)</f>
        <v/>
      </c>
    </row>
    <row r="9">
      <c r="B9" s="129">
        <f>DATE(YEAR(B8),MONTH(B8)+1,1)</f>
        <v/>
      </c>
      <c r="C9" s="63">
        <f>IF(AND($K$22="NÃO",B9&gt;'VALOR POR PL'!$P$5),0,'DADOS HISTORICOS'!H38)</f>
        <v/>
      </c>
      <c r="D9" s="50">
        <f>IF(B9&lt;='VALOR POR PL'!$P$5,0,IF($K$16="MDO PREVISION + MATERIAL PREMISSA",R9+U9,IF($K$17&gt;0,$K$18*P9/$K$17,0)))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RESUMO'!H38</f>
        <v/>
      </c>
      <c r="N9" s="128">
        <f>MAX(0,M9-M8)</f>
        <v/>
      </c>
      <c r="O9" s="127">
        <f>IF(B9&lt;='VALOR POR PL'!$P$5,'CP RESUMO'!H80,"")</f>
        <v/>
      </c>
      <c r="P9" s="72">
        <f>IF(B9&lt;='VALOR POR PL'!$P$5,0,IF(OR($K$16="CURVA PREVISION",$K$16="MDO PREVISION + MATERIAL PREMISSA"),N9,IF($K$16="PREVISÃO INFORMADA",MAX(0,H9),0)))</f>
        <v/>
      </c>
      <c r="R9" s="50">
        <f>IF(OR(B9&lt;='VALOR POR PL'!$P$5,$K$12=0),0,$K$18*$K$26*N9/$K$12)</f>
        <v/>
      </c>
      <c r="S9" s="128">
        <f>(IF(AND(5+$K$33&gt;=1,5+$K$33&lt;=72),INDEX($N$5:$N$76,5+$K$33),0)+IF(AND(5+$K$34&gt;=1,5+$K$34&lt;=72),INDEX($N$5:$N$76,5+$K$34),0)+IF(AND(5+$K$35&gt;=1,5+$K$35&lt;=72),INDEX($N$5:$N$76,5+$K$35),0))/3</f>
        <v/>
      </c>
      <c r="T9" s="128">
        <f>IF(B9&lt;='VALOR POR PL'!$P$5,0,S9+IF(B9=DATE(YEAR('VALOR POR PL'!$P$5),MONTH('VALOR POR PL'!$P$5)+1,1),SUMPRODUCT((B5:B76&lt;='VALOR POR PL'!$P$5)*S5:S76),0))</f>
        <v/>
      </c>
      <c r="U9" s="50">
        <f>IF($K$32=0,0,$K$18*$K$27*T9/$K$32)</f>
        <v/>
      </c>
    </row>
    <row r="10">
      <c r="B10" s="129">
        <f>DATE(YEAR(B9),MONTH(B9)+1,1)</f>
        <v/>
      </c>
      <c r="C10" s="63">
        <f>IF(AND($K$22="NÃO",B10&gt;'VALOR POR PL'!$P$5),0,'DADOS HISTORICOS'!I38)</f>
        <v/>
      </c>
      <c r="D10" s="50">
        <f>IF(B10&lt;='VALOR POR PL'!$P$5,0,IF($K$16="MDO PREVISION + MATERIAL PREMISSA",R10+U10,IF($K$17&gt;0,$K$18*P10/$K$17,0)))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RESUMO'!I38</f>
        <v/>
      </c>
      <c r="N10" s="128">
        <f>MAX(0,M10-M9)</f>
        <v/>
      </c>
      <c r="O10" s="127">
        <f>IF(B10&lt;='VALOR POR PL'!$P$5,'CP RESUMO'!I80,"")</f>
        <v/>
      </c>
      <c r="P10" s="72">
        <f>IF(B10&lt;='VALOR POR PL'!$P$5,0,IF(OR($K$16="CURVA PREVISION",$K$16="MDO PREVISION + MATERIAL PREMISSA"),N10,IF($K$16="PREVISÃO INFORMADA",MAX(0,H10),0)))</f>
        <v/>
      </c>
      <c r="R10" s="50">
        <f>IF(OR(B10&lt;='VALOR POR PL'!$P$5,$K$12=0),0,$K$18*$K$26*N10/$K$12)</f>
        <v/>
      </c>
      <c r="S10" s="128">
        <f>(IF(AND(6+$K$33&gt;=1,6+$K$33&lt;=72),INDEX($N$5:$N$76,6+$K$33),0)+IF(AND(6+$K$34&gt;=1,6+$K$34&lt;=72),INDEX($N$5:$N$76,6+$K$34),0)+IF(AND(6+$K$35&gt;=1,6+$K$35&lt;=72),INDEX($N$5:$N$76,6+$K$35),0))/3</f>
        <v/>
      </c>
      <c r="T10" s="128">
        <f>IF(B10&lt;='VALOR POR PL'!$P$5,0,S10+IF(B10=DATE(YEAR('VALOR POR PL'!$P$5),MONTH('VALOR POR PL'!$P$5)+1,1),SUMPRODUCT((B5:B76&lt;='VALOR POR PL'!$P$5)*S5:S76),0))</f>
        <v/>
      </c>
      <c r="U10" s="50">
        <f>IF($K$32=0,0,$K$18*$K$27*T10/$K$32)</f>
        <v/>
      </c>
    </row>
    <row r="11">
      <c r="B11" s="129">
        <f>DATE(YEAR(B10),MONTH(B10)+1,1)</f>
        <v/>
      </c>
      <c r="C11" s="63">
        <f>IF(AND($K$22="NÃO",B11&gt;'VALOR POR PL'!$P$5),0,'DADOS HISTORICOS'!J38)</f>
        <v/>
      </c>
      <c r="D11" s="50">
        <f>IF(B11&lt;='VALOR POR PL'!$P$5,0,IF($K$16="MDO PREVISION + MATERIAL PREMISSA",R11+U11,IF($K$17&gt;0,$K$18*P11/$K$17,0)))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RESUMO'!J38</f>
        <v/>
      </c>
      <c r="N11" s="128">
        <f>MAX(0,M11-M10)</f>
        <v/>
      </c>
      <c r="O11" s="127">
        <f>IF(B11&lt;='VALOR POR PL'!$P$5,'CP RESUMO'!J80,"")</f>
        <v/>
      </c>
      <c r="P11" s="72">
        <f>IF(B11&lt;='VALOR POR PL'!$P$5,0,IF(OR($K$16="CURVA PREVISION",$K$16="MDO PREVISION + MATERIAL PREMISSA"),N11,IF($K$16="PREVISÃO INFORMADA",MAX(0,H11),0)))</f>
        <v/>
      </c>
      <c r="R11" s="50">
        <f>IF(OR(B11&lt;='VALOR POR PL'!$P$5,$K$12=0),0,$K$18*$K$26*N11/$K$12)</f>
        <v/>
      </c>
      <c r="S11" s="128">
        <f>(IF(AND(7+$K$33&gt;=1,7+$K$33&lt;=72),INDEX($N$5:$N$76,7+$K$33),0)+IF(AND(7+$K$34&gt;=1,7+$K$34&lt;=72),INDEX($N$5:$N$76,7+$K$34),0)+IF(AND(7+$K$35&gt;=1,7+$K$35&lt;=72),INDEX($N$5:$N$76,7+$K$35),0))/3</f>
        <v/>
      </c>
      <c r="T11" s="128">
        <f>IF(B11&lt;='VALOR POR PL'!$P$5,0,S11+IF(B11=DATE(YEAR('VALOR POR PL'!$P$5),MONTH('VALOR POR PL'!$P$5)+1,1),SUMPRODUCT((B5:B76&lt;='VALOR POR PL'!$P$5)*S5:S76),0))</f>
        <v/>
      </c>
      <c r="U11" s="50">
        <f>IF($K$32=0,0,$K$18*$K$27*T11/$K$32)</f>
        <v/>
      </c>
    </row>
    <row r="12">
      <c r="B12" s="129">
        <f>DATE(YEAR(B11),MONTH(B11)+1,1)</f>
        <v/>
      </c>
      <c r="C12" s="63">
        <f>IF(AND($K$22="NÃO",B12&gt;'VALOR POR PL'!$P$5),0,'DADOS HISTORICOS'!K38)</f>
        <v/>
      </c>
      <c r="D12" s="50">
        <f>IF(B12&lt;='VALOR POR PL'!$P$5,0,IF($K$16="MDO PREVISION + MATERIAL PREMISSA",R12+U12,IF($K$17&gt;0,$K$18*P12/$K$17,0)))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RESUMO'!K38</f>
        <v/>
      </c>
      <c r="N12" s="128">
        <f>MAX(0,M12-M11)</f>
        <v/>
      </c>
      <c r="O12" s="127">
        <f>IF(B12&lt;='VALOR POR PL'!$P$5,'CP RESUMO'!K80,"")</f>
        <v/>
      </c>
      <c r="P12" s="72">
        <f>IF(B12&lt;='VALOR POR PL'!$P$5,0,IF(OR($K$16="CURVA PREVISION",$K$16="MDO PREVISION + MATERIAL PREMISSA"),N12,IF($K$16="PREVISÃO INFORMADA",MAX(0,H12),0)))</f>
        <v/>
      </c>
      <c r="R12" s="50">
        <f>IF(OR(B12&lt;='VALOR POR PL'!$P$5,$K$12=0),0,$K$18*$K$26*N12/$K$12)</f>
        <v/>
      </c>
      <c r="S12" s="128">
        <f>(IF(AND(8+$K$33&gt;=1,8+$K$33&lt;=72),INDEX($N$5:$N$76,8+$K$33),0)+IF(AND(8+$K$34&gt;=1,8+$K$34&lt;=72),INDEX($N$5:$N$76,8+$K$34),0)+IF(AND(8+$K$35&gt;=1,8+$K$35&lt;=72),INDEX($N$5:$N$76,8+$K$35),0))/3</f>
        <v/>
      </c>
      <c r="T12" s="128">
        <f>IF(B12&lt;='VALOR POR PL'!$P$5,0,S12+IF(B12=DATE(YEAR('VALOR POR PL'!$P$5),MONTH('VALOR POR PL'!$P$5)+1,1),SUMPRODUCT((B5:B76&lt;='VALOR POR PL'!$P$5)*S5:S76),0))</f>
        <v/>
      </c>
      <c r="U12" s="50">
        <f>IF($K$32=0,0,$K$18*$K$27*T12/$K$32)</f>
        <v/>
      </c>
    </row>
    <row r="13">
      <c r="B13" s="129">
        <f>DATE(YEAR(B12),MONTH(B12)+1,1)</f>
        <v/>
      </c>
      <c r="C13" s="63">
        <f>IF(AND($K$22="NÃO",B13&gt;'VALOR POR PL'!$P$5),0,'DADOS HISTORICOS'!L38)</f>
        <v/>
      </c>
      <c r="D13" s="50">
        <f>IF(B13&lt;='VALOR POR PL'!$P$5,0,IF($K$16="MDO PREVISION + MATERIAL PREMISSA",R13+U13,IF($K$17&gt;0,$K$18*P13/$K$17,0)))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PL'!I44</f>
        <v/>
      </c>
      <c r="M13" s="127">
        <f>'CP RESUMO'!L38</f>
        <v/>
      </c>
      <c r="N13" s="128">
        <f>MAX(0,M13-M12)</f>
        <v/>
      </c>
      <c r="O13" s="127">
        <f>IF(B13&lt;='VALOR POR PL'!$P$5,'CP RESUMO'!L80,"")</f>
        <v/>
      </c>
      <c r="P13" s="72">
        <f>IF(B13&lt;='VALOR POR PL'!$P$5,0,IF(OR($K$16="CURVA PREVISION",$K$16="MDO PREVISION + MATERIAL PREMISSA"),N13,IF($K$16="PREVISÃO INFORMADA",MAX(0,H13),0)))</f>
        <v/>
      </c>
      <c r="R13" s="50">
        <f>IF(OR(B13&lt;='VALOR POR PL'!$P$5,$K$12=0),0,$K$18*$K$26*N13/$K$12)</f>
        <v/>
      </c>
      <c r="S13" s="128">
        <f>(IF(AND(9+$K$33&gt;=1,9+$K$33&lt;=72),INDEX($N$5:$N$76,9+$K$33),0)+IF(AND(9+$K$34&gt;=1,9+$K$34&lt;=72),INDEX($N$5:$N$76,9+$K$34),0)+IF(AND(9+$K$35&gt;=1,9+$K$35&lt;=72),INDEX($N$5:$N$76,9+$K$35),0))/3</f>
        <v/>
      </c>
      <c r="T13" s="128">
        <f>IF(B13&lt;='VALOR POR PL'!$P$5,0,S13+IF(B13=DATE(YEAR('VALOR POR PL'!$P$5),MONTH('VALOR POR PL'!$P$5)+1,1),SUMPRODUCT((B5:B76&lt;='VALOR POR PL'!$P$5)*S5:S76),0))</f>
        <v/>
      </c>
      <c r="U13" s="50">
        <f>IF($K$32=0,0,$K$18*$K$27*T13/$K$32)</f>
        <v/>
      </c>
    </row>
    <row r="14">
      <c r="B14" s="129">
        <f>DATE(YEAR(B13),MONTH(B13)+1,1)</f>
        <v/>
      </c>
      <c r="C14" s="63">
        <f>IF(AND($K$22="NÃO",B14&gt;'VALOR POR PL'!$P$5),0,'DADOS HISTORICOS'!M38)</f>
        <v/>
      </c>
      <c r="D14" s="50">
        <f>IF(B14&lt;='VALOR POR PL'!$P$5,0,IF($K$16="MDO PREVISION + MATERIAL PREMISSA",R14+U14,IF($K$17&gt;0,$K$18*P14/$K$17,0)))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RESUMO'!$D$80:$BW$80,MATCH('VALOR POR PL'!$P$5,'CP RESUMO'!$D$4:$BW$4,0))/100,0)</f>
        <v/>
      </c>
      <c r="M14" s="127">
        <f>'CP RESUMO'!M38</f>
        <v/>
      </c>
      <c r="N14" s="128">
        <f>MAX(0,M14-M13)</f>
        <v/>
      </c>
      <c r="O14" s="127">
        <f>IF(B14&lt;='VALOR POR PL'!$P$5,'CP RESUMO'!M80,"")</f>
        <v/>
      </c>
      <c r="P14" s="72">
        <f>IF(B14&lt;='VALOR POR PL'!$P$5,0,IF(OR($K$16="CURVA PREVISION",$K$16="MDO PREVISION + MATERIAL PREMISSA"),N14,IF($K$16="PREVISÃO INFORMADA",MAX(0,H14),0)))</f>
        <v/>
      </c>
      <c r="R14" s="50">
        <f>IF(OR(B14&lt;='VALOR POR PL'!$P$5,$K$12=0),0,$K$18*$K$26*N14/$K$12)</f>
        <v/>
      </c>
      <c r="S14" s="128">
        <f>(IF(AND(10+$K$33&gt;=1,10+$K$33&lt;=72),INDEX($N$5:$N$76,10+$K$33),0)+IF(AND(10+$K$34&gt;=1,10+$K$34&lt;=72),INDEX($N$5:$N$76,10+$K$34),0)+IF(AND(10+$K$35&gt;=1,10+$K$35&lt;=72),INDEX($N$5:$N$76,10+$K$35),0))/3</f>
        <v/>
      </c>
      <c r="T14" s="128">
        <f>IF(B14&lt;='VALOR POR PL'!$P$5,0,S14+IF(B14=DATE(YEAR('VALOR POR PL'!$P$5),MONTH('VALOR POR PL'!$P$5)+1,1),SUMPRODUCT((B5:B76&lt;='VALOR POR PL'!$P$5)*S5:S76),0))</f>
        <v/>
      </c>
      <c r="U14" s="50">
        <f>IF($K$32=0,0,$K$18*$K$27*T14/$K$32)</f>
        <v/>
      </c>
    </row>
    <row r="15">
      <c r="B15" s="129">
        <f>DATE(YEAR(B14),MONTH(B14)+1,1)</f>
        <v/>
      </c>
      <c r="C15" s="63">
        <f>IF(AND($K$22="NÃO",B15&gt;'VALOR POR PL'!$P$5),0,'DADOS HISTORICOS'!N38)</f>
        <v/>
      </c>
      <c r="D15" s="50">
        <f>IF(B15&lt;='VALOR POR PL'!$P$5,0,IF($K$16="MDO PREVISION + MATERIAL PREMISSA",R15+U15,IF($K$17&gt;0,$K$18*P15/$K$17,0)))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MDO PREVISION + MATERIAL PREMISSA</t>
        </is>
      </c>
      <c r="M15" s="127">
        <f>'CP RESUMO'!N38</f>
        <v/>
      </c>
      <c r="N15" s="128">
        <f>MAX(0,M15-M14)</f>
        <v/>
      </c>
      <c r="O15" s="127">
        <f>IF(B15&lt;='VALOR POR PL'!$P$5,'CP RESUMO'!N80,"")</f>
        <v/>
      </c>
      <c r="P15" s="72">
        <f>IF(B15&lt;='VALOR POR PL'!$P$5,0,IF(OR($K$16="CURVA PREVISION",$K$16="MDO PREVISION + MATERIAL PREMISSA"),N15,IF($K$16="PREVISÃO INFORMADA",MAX(0,H15),0)))</f>
        <v/>
      </c>
      <c r="R15" s="50">
        <f>IF(OR(B15&lt;='VALOR POR PL'!$P$5,$K$12=0),0,$K$18*$K$26*N15/$K$12)</f>
        <v/>
      </c>
      <c r="S15" s="128">
        <f>(IF(AND(11+$K$33&gt;=1,11+$K$33&lt;=72),INDEX($N$5:$N$76,11+$K$33),0)+IF(AND(11+$K$34&gt;=1,11+$K$34&lt;=72),INDEX($N$5:$N$76,11+$K$34),0)+IF(AND(11+$K$35&gt;=1,11+$K$35&lt;=72),INDEX($N$5:$N$76,11+$K$35),0))/3</f>
        <v/>
      </c>
      <c r="T15" s="128">
        <f>IF(B15&lt;='VALOR POR PL'!$P$5,0,S15+IF(B15=DATE(YEAR('VALOR POR PL'!$P$5),MONTH('VALOR POR PL'!$P$5)+1,1),SUMPRODUCT((B5:B76&lt;='VALOR POR PL'!$P$5)*S5:S76),0))</f>
        <v/>
      </c>
      <c r="U15" s="50">
        <f>IF($K$32=0,0,$K$18*$K$27*T15/$K$32)</f>
        <v/>
      </c>
    </row>
    <row r="16">
      <c r="B16" s="129">
        <f>DATE(YEAR(B15),MONTH(B15)+1,1)</f>
        <v/>
      </c>
      <c r="C16" s="63">
        <f>IF(AND($K$22="NÃO",B16&gt;'VALOR POR PL'!$P$5),0,'DADOS HISTORICOS'!O38)</f>
        <v/>
      </c>
      <c r="D16" s="50">
        <f>IF(B16&lt;='VALOR POR PL'!$P$5,0,IF($K$16="MDO PREVISION + MATERIAL PREMISSA",R16+U16,IF($K$17&gt;0,$K$18*P16/$K$17,0)))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M16" s="127">
        <f>'CP RESUMO'!O38</f>
        <v/>
      </c>
      <c r="N16" s="128">
        <f>MAX(0,M16-M15)</f>
        <v/>
      </c>
      <c r="O16" s="127">
        <f>IF(B16&lt;='VALOR POR PL'!$P$5,'CP RESUMO'!O80,"")</f>
        <v/>
      </c>
      <c r="P16" s="72">
        <f>IF(B16&lt;='VALOR POR PL'!$P$5,0,IF(OR($K$16="CURVA PREVISION",$K$16="MDO PREVISION + MATERIAL PREMISSA"),N16,IF($K$16="PREVISÃO INFORMADA",MAX(0,H16),0)))</f>
        <v/>
      </c>
      <c r="R16" s="50">
        <f>IF(OR(B16&lt;='VALOR POR PL'!$P$5,$K$12=0),0,$K$18*$K$26*N16/$K$12)</f>
        <v/>
      </c>
      <c r="S16" s="128">
        <f>(IF(AND(12+$K$33&gt;=1,12+$K$33&lt;=72),INDEX($N$5:$N$76,12+$K$33),0)+IF(AND(12+$K$34&gt;=1,12+$K$34&lt;=72),INDEX($N$5:$N$76,12+$K$34),0)+IF(AND(12+$K$35&gt;=1,12+$K$35&lt;=72),INDEX($N$5:$N$76,12+$K$35),0))/3</f>
        <v/>
      </c>
      <c r="T16" s="128">
        <f>IF(B16&lt;='VALOR POR PL'!$P$5,0,S16+IF(B16=DATE(YEAR('VALOR POR PL'!$P$5),MONTH('VALOR POR PL'!$P$5)+1,1),SUMPRODUCT((B5:B76&lt;='VALOR POR PL'!$P$5)*S5:S76),0))</f>
        <v/>
      </c>
      <c r="U16" s="50">
        <f>IF($K$32=0,0,$K$18*$K$27*T16/$K$32)</f>
        <v/>
      </c>
    </row>
    <row r="17">
      <c r="B17" s="129">
        <f>DATE(YEAR(B16),MONTH(B16)+1,1)</f>
        <v/>
      </c>
      <c r="C17" s="63">
        <f>IF(AND($K$22="NÃO",B17&gt;'VALOR POR PL'!$P$5),0,'DADOS HISTORICOS'!P38)</f>
        <v/>
      </c>
      <c r="D17" s="50">
        <f>IF(B17&lt;='VALOR POR PL'!$P$5,0,IF($K$16="MDO PREVISION + MATERIAL PREMISSA",R17+U17,IF($K$17&gt;0,$K$18*P17/$K$17,0)))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RESUMO'!P38</f>
        <v/>
      </c>
      <c r="N17" s="128">
        <f>MAX(0,M17-M16)</f>
        <v/>
      </c>
      <c r="O17" s="127">
        <f>IF(B17&lt;='VALOR POR PL'!$P$5,'CP RESUMO'!P80,"")</f>
        <v/>
      </c>
      <c r="P17" s="72">
        <f>IF(B17&lt;='VALOR POR PL'!$P$5,0,IF(OR($K$16="CURVA PREVISION",$K$16="MDO PREVISION + MATERIAL PREMISSA"),N17,IF($K$16="PREVISÃO INFORMADA",MAX(0,H17),0)))</f>
        <v/>
      </c>
      <c r="R17" s="50">
        <f>IF(OR(B17&lt;='VALOR POR PL'!$P$5,$K$12=0),0,$K$18*$K$26*N17/$K$12)</f>
        <v/>
      </c>
      <c r="S17" s="128">
        <f>(IF(AND(13+$K$33&gt;=1,13+$K$33&lt;=72),INDEX($N$5:$N$76,13+$K$33),0)+IF(AND(13+$K$34&gt;=1,13+$K$34&lt;=72),INDEX($N$5:$N$76,13+$K$34),0)+IF(AND(13+$K$35&gt;=1,13+$K$35&lt;=72),INDEX($N$5:$N$76,13+$K$35),0))/3</f>
        <v/>
      </c>
      <c r="T17" s="128">
        <f>IF(B17&lt;='VALOR POR PL'!$P$5,0,S17+IF(B17=DATE(YEAR('VALOR POR PL'!$P$5),MONTH('VALOR POR PL'!$P$5)+1,1),SUMPRODUCT((B5:B76&lt;='VALOR POR PL'!$P$5)*S5:S76),0))</f>
        <v/>
      </c>
      <c r="U17" s="50">
        <f>IF($K$32=0,0,$K$18*$K$27*T17/$K$32)</f>
        <v/>
      </c>
    </row>
    <row r="18">
      <c r="B18" s="129">
        <f>DATE(YEAR(B17),MONTH(B17)+1,1)</f>
        <v/>
      </c>
      <c r="C18" s="63">
        <f>IF(AND($K$22="NÃO",B18&gt;'VALOR POR PL'!$P$5),0,'DADOS HISTORICOS'!Q38)</f>
        <v/>
      </c>
      <c r="D18" s="50">
        <f>IF(B18&lt;='VALOR POR PL'!$P$5,0,IF($K$16="MDO PREVISION + MATERIAL PREMISSA",R18+U18,IF($K$17&gt;0,$K$18*P18/$K$17,0)))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RESUMO'!Q38</f>
        <v/>
      </c>
      <c r="N18" s="128">
        <f>MAX(0,M18-M17)</f>
        <v/>
      </c>
      <c r="O18" s="127">
        <f>IF(B18&lt;='VALOR POR PL'!$P$5,'CP RESUMO'!Q80,"")</f>
        <v/>
      </c>
      <c r="P18" s="72">
        <f>IF(B18&lt;='VALOR POR PL'!$P$5,0,IF(OR($K$16="CURVA PREVISION",$K$16="MDO PREVISION + MATERIAL PREMISSA"),N18,IF($K$16="PREVISÃO INFORMADA",MAX(0,H18),0)))</f>
        <v/>
      </c>
      <c r="R18" s="50">
        <f>IF(OR(B18&lt;='VALOR POR PL'!$P$5,$K$12=0),0,$K$18*$K$26*N18/$K$12)</f>
        <v/>
      </c>
      <c r="S18" s="128">
        <f>(IF(AND(14+$K$33&gt;=1,14+$K$33&lt;=72),INDEX($N$5:$N$76,14+$K$33),0)+IF(AND(14+$K$34&gt;=1,14+$K$34&lt;=72),INDEX($N$5:$N$76,14+$K$34),0)+IF(AND(14+$K$35&gt;=1,14+$K$35&lt;=72),INDEX($N$5:$N$76,14+$K$35),0))/3</f>
        <v/>
      </c>
      <c r="T18" s="128">
        <f>IF(B18&lt;='VALOR POR PL'!$P$5,0,S18+IF(B18=DATE(YEAR('VALOR POR PL'!$P$5),MONTH('VALOR POR PL'!$P$5)+1,1),SUMPRODUCT((B5:B76&lt;='VALOR POR PL'!$P$5)*S5:S76),0))</f>
        <v/>
      </c>
      <c r="U18" s="50">
        <f>IF($K$32=0,0,$K$18*$K$27*T18/$K$32)</f>
        <v/>
      </c>
    </row>
    <row r="19">
      <c r="B19" s="129">
        <f>DATE(YEAR(B18),MONTH(B18)+1,1)</f>
        <v/>
      </c>
      <c r="C19" s="63">
        <f>IF(AND($K$22="NÃO",B19&gt;'VALOR POR PL'!$P$5),0,'DADOS HISTORICOS'!R38)</f>
        <v/>
      </c>
      <c r="D19" s="50">
        <f>IF(B19&lt;='VALOR POR PL'!$P$5,0,IF($K$16="MDO PREVISION + MATERIAL PREMISSA",R19+U19,IF($K$17&gt;0,$K$18*P19/$K$17,0)))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RESUMO'!R38</f>
        <v/>
      </c>
      <c r="N19" s="128">
        <f>MAX(0,M19-M18)</f>
        <v/>
      </c>
      <c r="O19" s="127">
        <f>IF(B19&lt;='VALOR POR PL'!$P$5,'CP RESUMO'!R80,"")</f>
        <v/>
      </c>
      <c r="P19" s="72">
        <f>IF(B19&lt;='VALOR POR PL'!$P$5,0,IF(OR($K$16="CURVA PREVISION",$K$16="MDO PREVISION + MATERIAL PREMISSA"),N19,IF($K$16="PREVISÃO INFORMADA",MAX(0,H19),0)))</f>
        <v/>
      </c>
      <c r="R19" s="50">
        <f>IF(OR(B19&lt;='VALOR POR PL'!$P$5,$K$12=0),0,$K$18*$K$26*N19/$K$12)</f>
        <v/>
      </c>
      <c r="S19" s="128">
        <f>(IF(AND(15+$K$33&gt;=1,15+$K$33&lt;=72),INDEX($N$5:$N$76,15+$K$33),0)+IF(AND(15+$K$34&gt;=1,15+$K$34&lt;=72),INDEX($N$5:$N$76,15+$K$34),0)+IF(AND(15+$K$35&gt;=1,15+$K$35&lt;=72),INDEX($N$5:$N$76,15+$K$35),0))/3</f>
        <v/>
      </c>
      <c r="T19" s="128">
        <f>IF(B19&lt;='VALOR POR PL'!$P$5,0,S19+IF(B19=DATE(YEAR('VALOR POR PL'!$P$5),MONTH('VALOR POR PL'!$P$5)+1,1),SUMPRODUCT((B5:B76&lt;='VALOR POR PL'!$P$5)*S5:S76),0))</f>
        <v/>
      </c>
      <c r="U19" s="50">
        <f>IF($K$32=0,0,$K$18*$K$27*T19/$K$32)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HISTORICOS'!S38)</f>
        <v/>
      </c>
      <c r="D20" s="50">
        <f>IF(B20&lt;='VALOR POR PL'!$P$5,0,IF($K$16="MDO PREVISION + MATERIAL PREMISSA",R20+U20,IF($K$17&gt;0,$K$18*P20/$K$17,0)))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RESUMO'!S38</f>
        <v/>
      </c>
      <c r="N20" s="128">
        <f>MAX(0,M20-M19)</f>
        <v/>
      </c>
      <c r="O20" s="127">
        <f>IF(B20&lt;='VALOR POR PL'!$P$5,'CP RESUMO'!S80,"")</f>
        <v/>
      </c>
      <c r="P20" s="72">
        <f>IF(B20&lt;='VALOR POR PL'!$P$5,0,IF(OR($K$16="CURVA PREVISION",$K$16="MDO PREVISION + MATERIAL PREMISSA"),N20,IF($K$16="PREVISÃO INFORMADA",MAX(0,H20),0)))</f>
        <v/>
      </c>
      <c r="R20" s="50">
        <f>IF(OR(B20&lt;='VALOR POR PL'!$P$5,$K$12=0),0,$K$18*$K$26*N20/$K$12)</f>
        <v/>
      </c>
      <c r="S20" s="128">
        <f>(IF(AND(16+$K$33&gt;=1,16+$K$33&lt;=72),INDEX($N$5:$N$76,16+$K$33),0)+IF(AND(16+$K$34&gt;=1,16+$K$34&lt;=72),INDEX($N$5:$N$76,16+$K$34),0)+IF(AND(16+$K$35&gt;=1,16+$K$35&lt;=72),INDEX($N$5:$N$76,16+$K$35),0))/3</f>
        <v/>
      </c>
      <c r="T20" s="128">
        <f>IF(B20&lt;='VALOR POR PL'!$P$5,0,S20+IF(B20=DATE(YEAR('VALOR POR PL'!$P$5),MONTH('VALOR POR PL'!$P$5)+1,1),SUMPRODUCT((B5:B76&lt;='VALOR POR PL'!$P$5)*S5:S76),0))</f>
        <v/>
      </c>
      <c r="U20" s="50">
        <f>IF($K$32=0,0,$K$18*$K$27*T20/$K$32)</f>
        <v/>
      </c>
    </row>
    <row r="21">
      <c r="B21" s="129">
        <f>DATE(YEAR(B20),MONTH(B20)+1,1)</f>
        <v/>
      </c>
      <c r="C21" s="63">
        <f>IF(AND($K$22="NÃO",B21&gt;'VALOR POR PL'!$P$5),0,'DADOS HISTORICOS'!T38)</f>
        <v/>
      </c>
      <c r="D21" s="50">
        <f>IF(B21&lt;='VALOR POR PL'!$P$5,0,IF($K$16="MDO PREVISION + MATERIAL PREMISSA",R21+U21,IF($K$17&gt;0,$K$18*P21/$K$17,0)))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RESUMO'!T38</f>
        <v/>
      </c>
      <c r="N21" s="128">
        <f>MAX(0,M21-M20)</f>
        <v/>
      </c>
      <c r="O21" s="127">
        <f>IF(B21&lt;='VALOR POR PL'!$P$5,'CP RESUMO'!T80,"")</f>
        <v/>
      </c>
      <c r="P21" s="72">
        <f>IF(B21&lt;='VALOR POR PL'!$P$5,0,IF(OR($K$16="CURVA PREVISION",$K$16="MDO PREVISION + MATERIAL PREMISSA"),N21,IF($K$16="PREVISÃO INFORMADA",MAX(0,H21),0)))</f>
        <v/>
      </c>
      <c r="R21" s="50">
        <f>IF(OR(B21&lt;='VALOR POR PL'!$P$5,$K$12=0),0,$K$18*$K$26*N21/$K$12)</f>
        <v/>
      </c>
      <c r="S21" s="128">
        <f>(IF(AND(17+$K$33&gt;=1,17+$K$33&lt;=72),INDEX($N$5:$N$76,17+$K$33),0)+IF(AND(17+$K$34&gt;=1,17+$K$34&lt;=72),INDEX($N$5:$N$76,17+$K$34),0)+IF(AND(17+$K$35&gt;=1,17+$K$35&lt;=72),INDEX($N$5:$N$76,17+$K$35),0))/3</f>
        <v/>
      </c>
      <c r="T21" s="128">
        <f>IF(B21&lt;='VALOR POR PL'!$P$5,0,S21+IF(B21=DATE(YEAR('VALOR POR PL'!$P$5),MONTH('VALOR POR PL'!$P$5)+1,1),SUMPRODUCT((B5:B76&lt;='VALOR POR PL'!$P$5)*S5:S76),0))</f>
        <v/>
      </c>
      <c r="U21" s="50">
        <f>IF($K$32=0,0,$K$18*$K$27*T21/$K$32)</f>
        <v/>
      </c>
    </row>
    <row r="22">
      <c r="B22" s="129">
        <f>DATE(YEAR(B21),MONTH(B21)+1,1)</f>
        <v/>
      </c>
      <c r="C22" s="63">
        <f>IF(AND($K$22="NÃO",B22&gt;'VALOR POR PL'!$P$5),0,'DADOS HISTORICOS'!U38)</f>
        <v/>
      </c>
      <c r="D22" s="50">
        <f>IF(B22&lt;='VALOR POR PL'!$P$5,0,IF($K$16="MDO PREVISION + MATERIAL PREMISSA",R22+U22,IF($K$17&gt;0,$K$18*P22/$K$17,0)))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RESUMO'!U38</f>
        <v/>
      </c>
      <c r="N22" s="128">
        <f>MAX(0,M22-M21)</f>
        <v/>
      </c>
      <c r="O22" s="127">
        <f>IF(B22&lt;='VALOR POR PL'!$P$5,'CP RESUMO'!U80,"")</f>
        <v/>
      </c>
      <c r="P22" s="72">
        <f>IF(B22&lt;='VALOR POR PL'!$P$5,0,IF(OR($K$16="CURVA PREVISION",$K$16="MDO PREVISION + MATERIAL PREMISSA"),N22,IF($K$16="PREVISÃO INFORMADA",MAX(0,H22),0)))</f>
        <v/>
      </c>
      <c r="R22" s="50">
        <f>IF(OR(B22&lt;='VALOR POR PL'!$P$5,$K$12=0),0,$K$18*$K$26*N22/$K$12)</f>
        <v/>
      </c>
      <c r="S22" s="128">
        <f>(IF(AND(18+$K$33&gt;=1,18+$K$33&lt;=72),INDEX($N$5:$N$76,18+$K$33),0)+IF(AND(18+$K$34&gt;=1,18+$K$34&lt;=72),INDEX($N$5:$N$76,18+$K$34),0)+IF(AND(18+$K$35&gt;=1,18+$K$35&lt;=72),INDEX($N$5:$N$76,18+$K$35),0))/3</f>
        <v/>
      </c>
      <c r="T22" s="128">
        <f>IF(B22&lt;='VALOR POR PL'!$P$5,0,S22+IF(B22=DATE(YEAR('VALOR POR PL'!$P$5),MONTH('VALOR POR PL'!$P$5)+1,1),SUMPRODUCT((B5:B76&lt;='VALOR POR PL'!$P$5)*S5:S76),0))</f>
        <v/>
      </c>
      <c r="U22" s="50">
        <f>IF($K$32=0,0,$K$18*$K$27*T22/$K$32)</f>
        <v/>
      </c>
    </row>
    <row r="23">
      <c r="B23" s="129">
        <f>DATE(YEAR(B22),MONTH(B22)+1,1)</f>
        <v/>
      </c>
      <c r="C23" s="63">
        <f>IF(AND($K$22="NÃO",B23&gt;'VALOR POR PL'!$P$5),0,'DADOS HISTORICOS'!V38)</f>
        <v/>
      </c>
      <c r="D23" s="50">
        <f>IF(B23&lt;='VALOR POR PL'!$P$5,0,IF($K$16="MDO PREVISION + MATERIAL PREMISSA",R23+U23,IF($K$17&gt;0,$K$18*P23/$K$17,0)))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RESUMO'!V38</f>
        <v/>
      </c>
      <c r="N23" s="128">
        <f>MAX(0,M23-M22)</f>
        <v/>
      </c>
      <c r="O23" s="127">
        <f>IF(B23&lt;='VALOR POR PL'!$P$5,'CP RESUMO'!V80,"")</f>
        <v/>
      </c>
      <c r="P23" s="72">
        <f>IF(B23&lt;='VALOR POR PL'!$P$5,0,IF(OR($K$16="CURVA PREVISION",$K$16="MDO PREVISION + MATERIAL PREMISSA"),N23,IF($K$16="PREVISÃO INFORMADA",MAX(0,H23),0)))</f>
        <v/>
      </c>
      <c r="R23" s="50">
        <f>IF(OR(B23&lt;='VALOR POR PL'!$P$5,$K$12=0),0,$K$18*$K$26*N23/$K$12)</f>
        <v/>
      </c>
      <c r="S23" s="128">
        <f>(IF(AND(19+$K$33&gt;=1,19+$K$33&lt;=72),INDEX($N$5:$N$76,19+$K$33),0)+IF(AND(19+$K$34&gt;=1,19+$K$34&lt;=72),INDEX($N$5:$N$76,19+$K$34),0)+IF(AND(19+$K$35&gt;=1,19+$K$35&lt;=72),INDEX($N$5:$N$76,19+$K$35),0))/3</f>
        <v/>
      </c>
      <c r="T23" s="128">
        <f>IF(B23&lt;='VALOR POR PL'!$P$5,0,S23+IF(B23=DATE(YEAR('VALOR POR PL'!$P$5),MONTH('VALOR POR PL'!$P$5)+1,1),SUMPRODUCT((B5:B76&lt;='VALOR POR PL'!$P$5)*S5:S76),0))</f>
        <v/>
      </c>
      <c r="U23" s="50">
        <f>IF($K$32=0,0,$K$18*$K$27*T23/$K$32)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HISTORICOS'!W38)</f>
        <v/>
      </c>
      <c r="D24" s="50">
        <f>IF(B24&lt;='VALOR POR PL'!$P$5,0,IF($K$16="MDO PREVISION + MATERIAL PREMISSA",R24+U24,IF($K$17&gt;0,$K$18*P24/$K$17,0)))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inlineStr">
        <is>
          <t>Saldo dividido: MDO segue a curva do Prevision; material segue a premissa (pedido antecipado, pagamento 28/56/84 dias).</t>
        </is>
      </c>
      <c r="M24" s="127">
        <f>'CP RESUMO'!W38</f>
        <v/>
      </c>
      <c r="N24" s="128">
        <f>MAX(0,M24-M23)</f>
        <v/>
      </c>
      <c r="O24" s="127">
        <f>IF(B24&lt;='VALOR POR PL'!$P$5,'CP RESUMO'!W80,"")</f>
        <v/>
      </c>
      <c r="P24" s="72">
        <f>IF(B24&lt;='VALOR POR PL'!$P$5,0,IF(OR($K$16="CURVA PREVISION",$K$16="MDO PREVISION + MATERIAL PREMISSA"),N24,IF($K$16="PREVISÃO INFORMADA",MAX(0,H24),0)))</f>
        <v/>
      </c>
      <c r="R24" s="50">
        <f>IF(OR(B24&lt;='VALOR POR PL'!$P$5,$K$12=0),0,$K$18*$K$26*N24/$K$12)</f>
        <v/>
      </c>
      <c r="S24" s="128">
        <f>(IF(AND(20+$K$33&gt;=1,20+$K$33&lt;=72),INDEX($N$5:$N$76,20+$K$33),0)+IF(AND(20+$K$34&gt;=1,20+$K$34&lt;=72),INDEX($N$5:$N$76,20+$K$34),0)+IF(AND(20+$K$35&gt;=1,20+$K$35&lt;=72),INDEX($N$5:$N$76,20+$K$35),0))/3</f>
        <v/>
      </c>
      <c r="T24" s="128">
        <f>IF(B24&lt;='VALOR POR PL'!$P$5,0,S24+IF(B24=DATE(YEAR('VALOR POR PL'!$P$5),MONTH('VALOR POR PL'!$P$5)+1,1),SUMPRODUCT((B5:B76&lt;='VALOR POR PL'!$P$5)*S5:S76),0))</f>
        <v/>
      </c>
      <c r="U24" s="50">
        <f>IF($K$32=0,0,$K$18*$K$27*T24/$K$32)</f>
        <v/>
      </c>
    </row>
    <row r="25">
      <c r="B25" s="129">
        <f>DATE(YEAR(B24),MONTH(B24)+1,1)</f>
        <v/>
      </c>
      <c r="C25" s="63">
        <f>IF(AND($K$22="NÃO",B25&gt;'VALOR POR PL'!$P$5),0,'DADOS HISTORICOS'!X38)</f>
        <v/>
      </c>
      <c r="D25" s="50">
        <f>IF(B25&lt;='VALOR POR PL'!$P$5,0,IF($K$16="MDO PREVISION + MATERIAL PREMISSA",R25+U25,IF($K$17&gt;0,$K$18*P25/$K$17,0)))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I25" s="66" t="inlineStr">
        <is>
          <t>DIVISÃO MDO × MATERIAL</t>
        </is>
      </c>
      <c r="J25" s="67" t="n"/>
      <c r="K25" s="68" t="n"/>
      <c r="M25" s="127">
        <f>'CP RESUMO'!X38</f>
        <v/>
      </c>
      <c r="N25" s="128">
        <f>MAX(0,M25-M24)</f>
        <v/>
      </c>
      <c r="O25" s="127">
        <f>IF(B25&lt;='VALOR POR PL'!$P$5,'CP RESUMO'!X80,"")</f>
        <v/>
      </c>
      <c r="P25" s="72">
        <f>IF(B25&lt;='VALOR POR PL'!$P$5,0,IF(OR($K$16="CURVA PREVISION",$K$16="MDO PREVISION + MATERIAL PREMISSA"),N25,IF($K$16="PREVISÃO INFORMADA",MAX(0,H25),0)))</f>
        <v/>
      </c>
      <c r="R25" s="50">
        <f>IF(OR(B25&lt;='VALOR POR PL'!$P$5,$K$12=0),0,$K$18*$K$26*N25/$K$12)</f>
        <v/>
      </c>
      <c r="S25" s="128">
        <f>(IF(AND(21+$K$33&gt;=1,21+$K$33&lt;=72),INDEX($N$5:$N$76,21+$K$33),0)+IF(AND(21+$K$34&gt;=1,21+$K$34&lt;=72),INDEX($N$5:$N$76,21+$K$34),0)+IF(AND(21+$K$35&gt;=1,21+$K$35&lt;=72),INDEX($N$5:$N$76,21+$K$35),0))/3</f>
        <v/>
      </c>
      <c r="T25" s="128">
        <f>IF(B25&lt;='VALOR POR PL'!$P$5,0,S25+IF(B25=DATE(YEAR('VALOR POR PL'!$P$5),MONTH('VALOR POR PL'!$P$5)+1,1),SUMPRODUCT((B5:B76&lt;='VALOR POR PL'!$P$5)*S5:S76),0))</f>
        <v/>
      </c>
      <c r="U25" s="50">
        <f>IF($K$32=0,0,$K$18*$K$27*T25/$K$32)</f>
        <v/>
      </c>
    </row>
    <row r="26">
      <c r="B26" s="129">
        <f>DATE(YEAR(B25),MONTH(B25)+1,1)</f>
        <v/>
      </c>
      <c r="C26" s="63">
        <f>IF(AND($K$22="NÃO",B26&gt;'VALOR POR PL'!$P$5),0,'DADOS HISTORICOS'!Y38)</f>
        <v/>
      </c>
      <c r="D26" s="50">
        <f>IF(B26&lt;='VALOR POR PL'!$P$5,0,IF($K$16="MDO PREVISION + MATERIAL PREMISSA",R26+U26,IF($K$17&gt;0,$K$18*P26/$K$17,0)))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I26" s="47" t="inlineStr">
        <is>
          <t>% MÃO DE OBRA (segue a curva do Prevision)</t>
        </is>
      </c>
      <c r="K26" s="56" t="n">
        <v>0.4</v>
      </c>
      <c r="M26" s="127">
        <f>'CP RESUMO'!Y38</f>
        <v/>
      </c>
      <c r="N26" s="128">
        <f>MAX(0,M26-M25)</f>
        <v/>
      </c>
      <c r="O26" s="127">
        <f>IF(B26&lt;='VALOR POR PL'!$P$5,'CP RESUMO'!Y80,"")</f>
        <v/>
      </c>
      <c r="P26" s="72">
        <f>IF(B26&lt;='VALOR POR PL'!$P$5,0,IF(OR($K$16="CURVA PREVISION",$K$16="MDO PREVISION + MATERIAL PREMISSA"),N26,IF($K$16="PREVISÃO INFORMADA",MAX(0,H26),0)))</f>
        <v/>
      </c>
      <c r="R26" s="50">
        <f>IF(OR(B26&lt;='VALOR POR PL'!$P$5,$K$12=0),0,$K$18*$K$26*N26/$K$12)</f>
        <v/>
      </c>
      <c r="S26" s="128">
        <f>(IF(AND(22+$K$33&gt;=1,22+$K$33&lt;=72),INDEX($N$5:$N$76,22+$K$33),0)+IF(AND(22+$K$34&gt;=1,22+$K$34&lt;=72),INDEX($N$5:$N$76,22+$K$34),0)+IF(AND(22+$K$35&gt;=1,22+$K$35&lt;=72),INDEX($N$5:$N$76,22+$K$35),0))/3</f>
        <v/>
      </c>
      <c r="T26" s="128">
        <f>IF(B26&lt;='VALOR POR PL'!$P$5,0,S26+IF(B26=DATE(YEAR('VALOR POR PL'!$P$5),MONTH('VALOR POR PL'!$P$5)+1,1),SUMPRODUCT((B5:B76&lt;='VALOR POR PL'!$P$5)*S5:S76),0))</f>
        <v/>
      </c>
      <c r="U26" s="50">
        <f>IF($K$32=0,0,$K$18*$K$27*T26/$K$32)</f>
        <v/>
      </c>
    </row>
    <row r="27">
      <c r="B27" s="129">
        <f>DATE(YEAR(B26),MONTH(B26)+1,1)</f>
        <v/>
      </c>
      <c r="C27" s="63">
        <f>IF(AND($K$22="NÃO",B27&gt;'VALOR POR PL'!$P$5),0,'DADOS HISTORICOS'!Z38)</f>
        <v/>
      </c>
      <c r="D27" s="50">
        <f>IF(B27&lt;='VALOR POR PL'!$P$5,0,IF($K$16="MDO PREVISION + MATERIAL PREMISSA",R27+U27,IF($K$17&gt;0,$K$18*P27/$K$17,0)))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I27" s="47" t="inlineStr">
        <is>
          <t>% MATERIAL (segue a premissa)</t>
        </is>
      </c>
      <c r="K27" s="137">
        <f>1-K26</f>
        <v/>
      </c>
      <c r="M27" s="127">
        <f>'CP RESUMO'!Z38</f>
        <v/>
      </c>
      <c r="N27" s="128">
        <f>MAX(0,M27-M26)</f>
        <v/>
      </c>
      <c r="O27" s="127">
        <f>IF(B27&lt;='VALOR POR PL'!$P$5,'CP RESUMO'!Z80,"")</f>
        <v/>
      </c>
      <c r="P27" s="72">
        <f>IF(B27&lt;='VALOR POR PL'!$P$5,0,IF(OR($K$16="CURVA PREVISION",$K$16="MDO PREVISION + MATERIAL PREMISSA"),N27,IF($K$16="PREVISÃO INFORMADA",MAX(0,H27),0)))</f>
        <v/>
      </c>
      <c r="R27" s="50">
        <f>IF(OR(B27&lt;='VALOR POR PL'!$P$5,$K$12=0),0,$K$18*$K$26*N27/$K$12)</f>
        <v/>
      </c>
      <c r="S27" s="128">
        <f>(IF(AND(23+$K$33&gt;=1,23+$K$33&lt;=72),INDEX($N$5:$N$76,23+$K$33),0)+IF(AND(23+$K$34&gt;=1,23+$K$34&lt;=72),INDEX($N$5:$N$76,23+$K$34),0)+IF(AND(23+$K$35&gt;=1,23+$K$35&lt;=72),INDEX($N$5:$N$76,23+$K$35),0))/3</f>
        <v/>
      </c>
      <c r="T27" s="128">
        <f>IF(B27&lt;='VALOR POR PL'!$P$5,0,S27+IF(B27=DATE(YEAR('VALOR POR PL'!$P$5),MONTH('VALOR POR PL'!$P$5)+1,1),SUMPRODUCT((B5:B76&lt;='VALOR POR PL'!$P$5)*S5:S76),0))</f>
        <v/>
      </c>
      <c r="U27" s="50">
        <f>IF($K$32=0,0,$K$18*$K$27*T27/$K$32)</f>
        <v/>
      </c>
    </row>
    <row r="28">
      <c r="B28" s="129">
        <f>DATE(YEAR(B27),MONTH(B27)+1,1)</f>
        <v/>
      </c>
      <c r="C28" s="63">
        <f>IF(AND($K$22="NÃO",B28&gt;'VALOR POR PL'!$P$5),0,'DADOS HISTORICOS'!AA38)</f>
        <v/>
      </c>
      <c r="D28" s="50">
        <f>IF(B28&lt;='VALOR POR PL'!$P$5,0,IF($K$16="MDO PREVISION + MATERIAL PREMISSA",R28+U28,IF($K$17&gt;0,$K$18*P28/$K$17,0)))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I28" s="47" t="inlineStr">
        <is>
          <t>ANTECEDÊNCIA DO PEDIDO (dias antes da instalação)</t>
        </is>
      </c>
      <c r="K28" s="138" t="n">
        <v>180</v>
      </c>
      <c r="M28" s="127">
        <f>'CP RESUMO'!AA38</f>
        <v/>
      </c>
      <c r="N28" s="128">
        <f>MAX(0,M28-M27)</f>
        <v/>
      </c>
      <c r="O28" s="127">
        <f>IF(B28&lt;='VALOR POR PL'!$P$5,'CP RESUMO'!AA80,"")</f>
        <v/>
      </c>
      <c r="P28" s="72">
        <f>IF(B28&lt;='VALOR POR PL'!$P$5,0,IF(OR($K$16="CURVA PREVISION",$K$16="MDO PREVISION + MATERIAL PREMISSA"),N28,IF($K$16="PREVISÃO INFORMADA",MAX(0,H28),0)))</f>
        <v/>
      </c>
      <c r="R28" s="50">
        <f>IF(OR(B28&lt;='VALOR POR PL'!$P$5,$K$12=0),0,$K$18*$K$26*N28/$K$12)</f>
        <v/>
      </c>
      <c r="S28" s="128">
        <f>(IF(AND(24+$K$33&gt;=1,24+$K$33&lt;=72),INDEX($N$5:$N$76,24+$K$33),0)+IF(AND(24+$K$34&gt;=1,24+$K$34&lt;=72),INDEX($N$5:$N$76,24+$K$34),0)+IF(AND(24+$K$35&gt;=1,24+$K$35&lt;=72),INDEX($N$5:$N$76,24+$K$35),0))/3</f>
        <v/>
      </c>
      <c r="T28" s="128">
        <f>IF(B28&lt;='VALOR POR PL'!$P$5,0,S28+IF(B28=DATE(YEAR('VALOR POR PL'!$P$5),MONTH('VALOR POR PL'!$P$5)+1,1),SUMPRODUCT((B5:B76&lt;='VALOR POR PL'!$P$5)*S5:S76),0))</f>
        <v/>
      </c>
      <c r="U28" s="50">
        <f>IF($K$32=0,0,$K$18*$K$27*T28/$K$32)</f>
        <v/>
      </c>
    </row>
    <row r="29">
      <c r="B29" s="129">
        <f>DATE(YEAR(B28),MONTH(B28)+1,1)</f>
        <v/>
      </c>
      <c r="C29" s="63">
        <f>IF(AND($K$22="NÃO",B29&gt;'VALOR POR PL'!$P$5),0,'DADOS HISTORICOS'!AB38)</f>
        <v/>
      </c>
      <c r="D29" s="50">
        <f>IF(B29&lt;='VALOR POR PL'!$P$5,0,IF($K$16="MDO PREVISION + MATERIAL PREMISSA",R29+U29,IF($K$17&gt;0,$K$18*P29/$K$17,0)))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I29" s="47" t="inlineStr">
        <is>
          <t>1ª PARCELA (dias após o pedido)</t>
        </is>
      </c>
      <c r="K29" s="138" t="n">
        <v>28</v>
      </c>
      <c r="M29" s="127">
        <f>'CP RESUMO'!AB38</f>
        <v/>
      </c>
      <c r="N29" s="128">
        <f>MAX(0,M29-M28)</f>
        <v/>
      </c>
      <c r="O29" s="127">
        <f>IF(B29&lt;='VALOR POR PL'!$P$5,'CP RESUMO'!AB80,"")</f>
        <v/>
      </c>
      <c r="P29" s="72">
        <f>IF(B29&lt;='VALOR POR PL'!$P$5,0,IF(OR($K$16="CURVA PREVISION",$K$16="MDO PREVISION + MATERIAL PREMISSA"),N29,IF($K$16="PREVISÃO INFORMADA",MAX(0,H29),0)))</f>
        <v/>
      </c>
      <c r="R29" s="50">
        <f>IF(OR(B29&lt;='VALOR POR PL'!$P$5,$K$12=0),0,$K$18*$K$26*N29/$K$12)</f>
        <v/>
      </c>
      <c r="S29" s="128">
        <f>(IF(AND(25+$K$33&gt;=1,25+$K$33&lt;=72),INDEX($N$5:$N$76,25+$K$33),0)+IF(AND(25+$K$34&gt;=1,25+$K$34&lt;=72),INDEX($N$5:$N$76,25+$K$34),0)+IF(AND(25+$K$35&gt;=1,25+$K$35&lt;=72),INDEX($N$5:$N$76,25+$K$35),0))/3</f>
        <v/>
      </c>
      <c r="T29" s="128">
        <f>IF(B29&lt;='VALOR POR PL'!$P$5,0,S29+IF(B29=DATE(YEAR('VALOR POR PL'!$P$5),MONTH('VALOR POR PL'!$P$5)+1,1),SUMPRODUCT((B5:B76&lt;='VALOR POR PL'!$P$5)*S5:S76),0))</f>
        <v/>
      </c>
      <c r="U29" s="50">
        <f>IF($K$32=0,0,$K$18*$K$27*T29/$K$32)</f>
        <v/>
      </c>
    </row>
    <row r="30">
      <c r="B30" s="129">
        <f>DATE(YEAR(B29),MONTH(B29)+1,1)</f>
        <v/>
      </c>
      <c r="C30" s="63">
        <f>IF(AND($K$22="NÃO",B30&gt;'VALOR POR PL'!$P$5),0,'DADOS HISTORICOS'!AC38)</f>
        <v/>
      </c>
      <c r="D30" s="50">
        <f>IF(B30&lt;='VALOR POR PL'!$P$5,0,IF($K$16="MDO PREVISION + MATERIAL PREMISSA",R30+U30,IF($K$17&gt;0,$K$18*P30/$K$17,0)))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I30" s="47" t="inlineStr">
        <is>
          <t>2ª PARCELA (dias após o pedido)</t>
        </is>
      </c>
      <c r="K30" s="138" t="n">
        <v>56</v>
      </c>
      <c r="M30" s="127">
        <f>'CP RESUMO'!AC38</f>
        <v/>
      </c>
      <c r="N30" s="128">
        <f>MAX(0,M30-M29)</f>
        <v/>
      </c>
      <c r="O30" s="127">
        <f>IF(B30&lt;='VALOR POR PL'!$P$5,'CP RESUMO'!AC80,"")</f>
        <v/>
      </c>
      <c r="P30" s="72">
        <f>IF(B30&lt;='VALOR POR PL'!$P$5,0,IF(OR($K$16="CURVA PREVISION",$K$16="MDO PREVISION + MATERIAL PREMISSA"),N30,IF($K$16="PREVISÃO INFORMADA",MAX(0,H30),0)))</f>
        <v/>
      </c>
      <c r="R30" s="50">
        <f>IF(OR(B30&lt;='VALOR POR PL'!$P$5,$K$12=0),0,$K$18*$K$26*N30/$K$12)</f>
        <v/>
      </c>
      <c r="S30" s="128">
        <f>(IF(AND(26+$K$33&gt;=1,26+$K$33&lt;=72),INDEX($N$5:$N$76,26+$K$33),0)+IF(AND(26+$K$34&gt;=1,26+$K$34&lt;=72),INDEX($N$5:$N$76,26+$K$34),0)+IF(AND(26+$K$35&gt;=1,26+$K$35&lt;=72),INDEX($N$5:$N$76,26+$K$35),0))/3</f>
        <v/>
      </c>
      <c r="T30" s="128">
        <f>IF(B30&lt;='VALOR POR PL'!$P$5,0,S30+IF(B30=DATE(YEAR('VALOR POR PL'!$P$5),MONTH('VALOR POR PL'!$P$5)+1,1),SUMPRODUCT((B5:B76&lt;='VALOR POR PL'!$P$5)*S5:S76),0))</f>
        <v/>
      </c>
      <c r="U30" s="50">
        <f>IF($K$32=0,0,$K$18*$K$27*T30/$K$32)</f>
        <v/>
      </c>
    </row>
    <row r="31">
      <c r="B31" s="129">
        <f>DATE(YEAR(B30),MONTH(B30)+1,1)</f>
        <v/>
      </c>
      <c r="C31" s="63">
        <f>IF(AND($K$22="NÃO",B31&gt;'VALOR POR PL'!$P$5),0,'DADOS HISTORICOS'!AD38)</f>
        <v/>
      </c>
      <c r="D31" s="50">
        <f>IF(B31&lt;='VALOR POR PL'!$P$5,0,IF($K$16="MDO PREVISION + MATERIAL PREMISSA",R31+U31,IF($K$17&gt;0,$K$18*P31/$K$17,0)))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I31" s="47" t="inlineStr">
        <is>
          <t>3ª PARCELA (dias após o pedido)</t>
        </is>
      </c>
      <c r="K31" s="138" t="n">
        <v>84</v>
      </c>
      <c r="M31" s="127">
        <f>'CP RESUMO'!AD38</f>
        <v/>
      </c>
      <c r="N31" s="128">
        <f>MAX(0,M31-M30)</f>
        <v/>
      </c>
      <c r="O31" s="127">
        <f>IF(B31&lt;='VALOR POR PL'!$P$5,'CP RESUMO'!AD80,"")</f>
        <v/>
      </c>
      <c r="P31" s="72">
        <f>IF(B31&lt;='VALOR POR PL'!$P$5,0,IF(OR($K$16="CURVA PREVISION",$K$16="MDO PREVISION + MATERIAL PREMISSA"),N31,IF($K$16="PREVISÃO INFORMADA",MAX(0,H31),0)))</f>
        <v/>
      </c>
      <c r="R31" s="50">
        <f>IF(OR(B31&lt;='VALOR POR PL'!$P$5,$K$12=0),0,$K$18*$K$26*N31/$K$12)</f>
        <v/>
      </c>
      <c r="S31" s="128">
        <f>(IF(AND(27+$K$33&gt;=1,27+$K$33&lt;=72),INDEX($N$5:$N$76,27+$K$33),0)+IF(AND(27+$K$34&gt;=1,27+$K$34&lt;=72),INDEX($N$5:$N$76,27+$K$34),0)+IF(AND(27+$K$35&gt;=1,27+$K$35&lt;=72),INDEX($N$5:$N$76,27+$K$35),0))/3</f>
        <v/>
      </c>
      <c r="T31" s="128">
        <f>IF(B31&lt;='VALOR POR PL'!$P$5,0,S31+IF(B31=DATE(YEAR('VALOR POR PL'!$P$5),MONTH('VALOR POR PL'!$P$5)+1,1),SUMPRODUCT((B5:B76&lt;='VALOR POR PL'!$P$5)*S5:S76),0))</f>
        <v/>
      </c>
      <c r="U31" s="50">
        <f>IF($K$32=0,0,$K$18*$K$27*T31/$K$32)</f>
        <v/>
      </c>
    </row>
    <row r="32">
      <c r="B32" s="129">
        <f>DATE(YEAR(B31),MONTH(B31)+1,1)</f>
        <v/>
      </c>
      <c r="C32" s="63">
        <f>IF(AND($K$22="NÃO",B32&gt;'VALOR POR PL'!$P$5),0,'DADOS HISTORICOS'!AE38)</f>
        <v/>
      </c>
      <c r="D32" s="50">
        <f>IF(B32&lt;='VALOR POR PL'!$P$5,0,IF($K$16="MDO PREVISION + MATERIAL PREMISSA",R32+U32,IF($K$17&gt;0,$K$18*P32/$K$17,0)))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I32" s="47" t="inlineStr">
        <is>
          <t>Σ PESOS DO MATERIAL (meses futuros)</t>
        </is>
      </c>
      <c r="K32" s="128">
        <f>SUM(T5:T76)</f>
        <v/>
      </c>
      <c r="M32" s="127">
        <f>'CP RESUMO'!AE38</f>
        <v/>
      </c>
      <c r="N32" s="128">
        <f>MAX(0,M32-M31)</f>
        <v/>
      </c>
      <c r="O32" s="127">
        <f>IF(B32&lt;='VALOR POR PL'!$P$5,'CP RESUMO'!AE80,"")</f>
        <v/>
      </c>
      <c r="P32" s="72">
        <f>IF(B32&lt;='VALOR POR PL'!$P$5,0,IF(OR($K$16="CURVA PREVISION",$K$16="MDO PREVISION + MATERIAL PREMISSA"),N32,IF($K$16="PREVISÃO INFORMADA",MAX(0,H32),0)))</f>
        <v/>
      </c>
      <c r="R32" s="50">
        <f>IF(OR(B32&lt;='VALOR POR PL'!$P$5,$K$12=0),0,$K$18*$K$26*N32/$K$12)</f>
        <v/>
      </c>
      <c r="S32" s="128">
        <f>(IF(AND(28+$K$33&gt;=1,28+$K$33&lt;=72),INDEX($N$5:$N$76,28+$K$33),0)+IF(AND(28+$K$34&gt;=1,28+$K$34&lt;=72),INDEX($N$5:$N$76,28+$K$34),0)+IF(AND(28+$K$35&gt;=1,28+$K$35&lt;=72),INDEX($N$5:$N$76,28+$K$35),0))/3</f>
        <v/>
      </c>
      <c r="T32" s="128">
        <f>IF(B32&lt;='VALOR POR PL'!$P$5,0,S32+IF(B32=DATE(YEAR('VALOR POR PL'!$P$5),MONTH('VALOR POR PL'!$P$5)+1,1),SUMPRODUCT((B5:B76&lt;='VALOR POR PL'!$P$5)*S5:S76),0))</f>
        <v/>
      </c>
      <c r="U32" s="50">
        <f>IF($K$32=0,0,$K$18*$K$27*T32/$K$32)</f>
        <v/>
      </c>
    </row>
    <row r="33">
      <c r="B33" s="129">
        <f>DATE(YEAR(B32),MONTH(B32)+1,1)</f>
        <v/>
      </c>
      <c r="C33" s="63">
        <f>IF(AND($K$22="NÃO",B33&gt;'VALOR POR PL'!$P$5),0,'DADOS HISTORICOS'!AF38)</f>
        <v/>
      </c>
      <c r="D33" s="50">
        <f>IF(B33&lt;='VALOR POR PL'!$P$5,0,IF($K$16="MDO PREVISION + MATERIAL PREMISSA",R33+U33,IF($K$17&gt;0,$K$18*P33/$K$17,0)))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I33" s="47" t="inlineStr">
        <is>
          <t>Parcela 1 paga X meses antes da instalação</t>
        </is>
      </c>
      <c r="K33" s="69">
        <f>ROUND((K28-K29)/30,0)</f>
        <v/>
      </c>
      <c r="M33" s="127">
        <f>'CP RESUMO'!AF38</f>
        <v/>
      </c>
      <c r="N33" s="128">
        <f>MAX(0,M33-M32)</f>
        <v/>
      </c>
      <c r="O33" s="127">
        <f>IF(B33&lt;='VALOR POR PL'!$P$5,'CP RESUMO'!AF80,"")</f>
        <v/>
      </c>
      <c r="P33" s="72">
        <f>IF(B33&lt;='VALOR POR PL'!$P$5,0,IF(OR($K$16="CURVA PREVISION",$K$16="MDO PREVISION + MATERIAL PREMISSA"),N33,IF($K$16="PREVISÃO INFORMADA",MAX(0,H33),0)))</f>
        <v/>
      </c>
      <c r="R33" s="50">
        <f>IF(OR(B33&lt;='VALOR POR PL'!$P$5,$K$12=0),0,$K$18*$K$26*N33/$K$12)</f>
        <v/>
      </c>
      <c r="S33" s="128">
        <f>(IF(AND(29+$K$33&gt;=1,29+$K$33&lt;=72),INDEX($N$5:$N$76,29+$K$33),0)+IF(AND(29+$K$34&gt;=1,29+$K$34&lt;=72),INDEX($N$5:$N$76,29+$K$34),0)+IF(AND(29+$K$35&gt;=1,29+$K$35&lt;=72),INDEX($N$5:$N$76,29+$K$35),0))/3</f>
        <v/>
      </c>
      <c r="T33" s="128">
        <f>IF(B33&lt;='VALOR POR PL'!$P$5,0,S33+IF(B33=DATE(YEAR('VALOR POR PL'!$P$5),MONTH('VALOR POR PL'!$P$5)+1,1),SUMPRODUCT((B5:B76&lt;='VALOR POR PL'!$P$5)*S5:S76),0))</f>
        <v/>
      </c>
      <c r="U33" s="50">
        <f>IF($K$32=0,0,$K$18*$K$27*T33/$K$32)</f>
        <v/>
      </c>
    </row>
    <row r="34">
      <c r="B34" s="129">
        <f>DATE(YEAR(B33),MONTH(B33)+1,1)</f>
        <v/>
      </c>
      <c r="C34" s="63">
        <f>IF(AND($K$22="NÃO",B34&gt;'VALOR POR PL'!$P$5),0,'DADOS HISTORICOS'!AG38)</f>
        <v/>
      </c>
      <c r="D34" s="50">
        <f>IF(B34&lt;='VALOR POR PL'!$P$5,0,IF($K$16="MDO PREVISION + MATERIAL PREMISSA",R34+U34,IF($K$17&gt;0,$K$18*P34/$K$17,0)))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I34" s="47" t="inlineStr">
        <is>
          <t>Parcela 2 paga X meses antes da instalação</t>
        </is>
      </c>
      <c r="K34" s="69">
        <f>ROUND((K28-K30)/30,0)</f>
        <v/>
      </c>
      <c r="M34" s="127">
        <f>'CP RESUMO'!AG38</f>
        <v/>
      </c>
      <c r="N34" s="128">
        <f>MAX(0,M34-M33)</f>
        <v/>
      </c>
      <c r="O34" s="127">
        <f>IF(B34&lt;='VALOR POR PL'!$P$5,'CP RESUMO'!AG80,"")</f>
        <v/>
      </c>
      <c r="P34" s="72">
        <f>IF(B34&lt;='VALOR POR PL'!$P$5,0,IF(OR($K$16="CURVA PREVISION",$K$16="MDO PREVISION + MATERIAL PREMISSA"),N34,IF($K$16="PREVISÃO INFORMADA",MAX(0,H34),0)))</f>
        <v/>
      </c>
      <c r="R34" s="50">
        <f>IF(OR(B34&lt;='VALOR POR PL'!$P$5,$K$12=0),0,$K$18*$K$26*N34/$K$12)</f>
        <v/>
      </c>
      <c r="S34" s="128">
        <f>(IF(AND(30+$K$33&gt;=1,30+$K$33&lt;=72),INDEX($N$5:$N$76,30+$K$33),0)+IF(AND(30+$K$34&gt;=1,30+$K$34&lt;=72),INDEX($N$5:$N$76,30+$K$34),0)+IF(AND(30+$K$35&gt;=1,30+$K$35&lt;=72),INDEX($N$5:$N$76,30+$K$35),0))/3</f>
        <v/>
      </c>
      <c r="T34" s="128">
        <f>IF(B34&lt;='VALOR POR PL'!$P$5,0,S34+IF(B34=DATE(YEAR('VALOR POR PL'!$P$5),MONTH('VALOR POR PL'!$P$5)+1,1),SUMPRODUCT((B5:B76&lt;='VALOR POR PL'!$P$5)*S5:S76),0))</f>
        <v/>
      </c>
      <c r="U34" s="50">
        <f>IF($K$32=0,0,$K$18*$K$27*T34/$K$32)</f>
        <v/>
      </c>
    </row>
    <row r="35">
      <c r="B35" s="129">
        <f>DATE(YEAR(B34),MONTH(B34)+1,1)</f>
        <v/>
      </c>
      <c r="C35" s="63">
        <f>IF(AND($K$22="NÃO",B35&gt;'VALOR POR PL'!$P$5),0,'DADOS HISTORICOS'!AH38)</f>
        <v/>
      </c>
      <c r="D35" s="50">
        <f>IF(B35&lt;='VALOR POR PL'!$P$5,0,IF($K$16="MDO PREVISION + MATERIAL PREMISSA",R35+U35,IF($K$17&gt;0,$K$18*P35/$K$17,0)))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I35" s="47" t="inlineStr">
        <is>
          <t>Parcela 3 paga X meses antes da instalação</t>
        </is>
      </c>
      <c r="K35" s="69">
        <f>ROUND((K28-K31)/30,0)</f>
        <v/>
      </c>
      <c r="M35" s="127">
        <f>'CP RESUMO'!AH38</f>
        <v/>
      </c>
      <c r="N35" s="128">
        <f>MAX(0,M35-M34)</f>
        <v/>
      </c>
      <c r="O35" s="127">
        <f>IF(B35&lt;='VALOR POR PL'!$P$5,'CP RESUMO'!AH80,"")</f>
        <v/>
      </c>
      <c r="P35" s="72">
        <f>IF(B35&lt;='VALOR POR PL'!$P$5,0,IF(OR($K$16="CURVA PREVISION",$K$16="MDO PREVISION + MATERIAL PREMISSA"),N35,IF($K$16="PREVISÃO INFORMADA",MAX(0,H35),0)))</f>
        <v/>
      </c>
      <c r="R35" s="50">
        <f>IF(OR(B35&lt;='VALOR POR PL'!$P$5,$K$12=0),0,$K$18*$K$26*N35/$K$12)</f>
        <v/>
      </c>
      <c r="S35" s="128">
        <f>(IF(AND(31+$K$33&gt;=1,31+$K$33&lt;=72),INDEX($N$5:$N$76,31+$K$33),0)+IF(AND(31+$K$34&gt;=1,31+$K$34&lt;=72),INDEX($N$5:$N$76,31+$K$34),0)+IF(AND(31+$K$35&gt;=1,31+$K$35&lt;=72),INDEX($N$5:$N$76,31+$K$35),0))/3</f>
        <v/>
      </c>
      <c r="T35" s="128">
        <f>IF(B35&lt;='VALOR POR PL'!$P$5,0,S35+IF(B35=DATE(YEAR('VALOR POR PL'!$P$5),MONTH('VALOR POR PL'!$P$5)+1,1),SUMPRODUCT((B5:B76&lt;='VALOR POR PL'!$P$5)*S5:S76),0))</f>
        <v/>
      </c>
      <c r="U35" s="50">
        <f>IF($K$32=0,0,$K$18*$K$27*T35/$K$32)</f>
        <v/>
      </c>
    </row>
    <row r="36">
      <c r="B36" s="129">
        <f>DATE(YEAR(B35),MONTH(B35)+1,1)</f>
        <v/>
      </c>
      <c r="C36" s="63">
        <f>IF(AND($K$22="NÃO",B36&gt;'VALOR POR PL'!$P$5),0,'DADOS HISTORICOS'!AI38)</f>
        <v/>
      </c>
      <c r="D36" s="50">
        <f>IF(B36&lt;='VALOR POR PL'!$P$5,0,IF($K$16="MDO PREVISION + MATERIAL PREMISSA",R36+U36,IF($K$17&gt;0,$K$18*P36/$K$17,0)))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I36" s="47" t="inlineStr">
        <is>
          <t>MDO no fluxo (R$)</t>
        </is>
      </c>
      <c r="K36" s="50">
        <f>SUM(R5:R76)</f>
        <v/>
      </c>
      <c r="M36" s="127">
        <f>'CP RESUMO'!AI38</f>
        <v/>
      </c>
      <c r="N36" s="128">
        <f>MAX(0,M36-M35)</f>
        <v/>
      </c>
      <c r="O36" s="127">
        <f>IF(B36&lt;='VALOR POR PL'!$P$5,'CP RESUMO'!AI80,"")</f>
        <v/>
      </c>
      <c r="P36" s="72">
        <f>IF(B36&lt;='VALOR POR PL'!$P$5,0,IF(OR($K$16="CURVA PREVISION",$K$16="MDO PREVISION + MATERIAL PREMISSA"),N36,IF($K$16="PREVISÃO INFORMADA",MAX(0,H36),0)))</f>
        <v/>
      </c>
      <c r="R36" s="50">
        <f>IF(OR(B36&lt;='VALOR POR PL'!$P$5,$K$12=0),0,$K$18*$K$26*N36/$K$12)</f>
        <v/>
      </c>
      <c r="S36" s="128">
        <f>(IF(AND(32+$K$33&gt;=1,32+$K$33&lt;=72),INDEX($N$5:$N$76,32+$K$33),0)+IF(AND(32+$K$34&gt;=1,32+$K$34&lt;=72),INDEX($N$5:$N$76,32+$K$34),0)+IF(AND(32+$K$35&gt;=1,32+$K$35&lt;=72),INDEX($N$5:$N$76,32+$K$35),0))/3</f>
        <v/>
      </c>
      <c r="T36" s="128">
        <f>IF(B36&lt;='VALOR POR PL'!$P$5,0,S36+IF(B36=DATE(YEAR('VALOR POR PL'!$P$5),MONTH('VALOR POR PL'!$P$5)+1,1),SUMPRODUCT((B5:B76&lt;='VALOR POR PL'!$P$5)*S5:S76),0))</f>
        <v/>
      </c>
      <c r="U36" s="50">
        <f>IF($K$32=0,0,$K$18*$K$27*T36/$K$32)</f>
        <v/>
      </c>
    </row>
    <row r="37">
      <c r="B37" s="129">
        <f>DATE(YEAR(B36),MONTH(B36)+1,1)</f>
        <v/>
      </c>
      <c r="C37" s="63">
        <f>IF(AND($K$22="NÃO",B37&gt;'VALOR POR PL'!$P$5),0,'DADOS HISTORICOS'!AJ38)</f>
        <v/>
      </c>
      <c r="D37" s="50">
        <f>IF(B37&lt;='VALOR POR PL'!$P$5,0,IF($K$16="MDO PREVISION + MATERIAL PREMISSA",R37+U37,IF($K$17&gt;0,$K$18*P37/$K$17,0)))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I37" s="47" t="inlineStr">
        <is>
          <t>MATERIAL no fluxo (R$)</t>
        </is>
      </c>
      <c r="K37" s="50">
        <f>SUM(U5:U76)</f>
        <v/>
      </c>
      <c r="M37" s="127">
        <f>'CP RESUMO'!AJ38</f>
        <v/>
      </c>
      <c r="N37" s="128">
        <f>MAX(0,M37-M36)</f>
        <v/>
      </c>
      <c r="O37" s="127">
        <f>IF(B37&lt;='VALOR POR PL'!$P$5,'CP RESUMO'!AJ80,"")</f>
        <v/>
      </c>
      <c r="P37" s="72">
        <f>IF(B37&lt;='VALOR POR PL'!$P$5,0,IF(OR($K$16="CURVA PREVISION",$K$16="MDO PREVISION + MATERIAL PREMISSA"),N37,IF($K$16="PREVISÃO INFORMADA",MAX(0,H37),0)))</f>
        <v/>
      </c>
      <c r="R37" s="50">
        <f>IF(OR(B37&lt;='VALOR POR PL'!$P$5,$K$12=0),0,$K$18*$K$26*N37/$K$12)</f>
        <v/>
      </c>
      <c r="S37" s="128">
        <f>(IF(AND(33+$K$33&gt;=1,33+$K$33&lt;=72),INDEX($N$5:$N$76,33+$K$33),0)+IF(AND(33+$K$34&gt;=1,33+$K$34&lt;=72),INDEX($N$5:$N$76,33+$K$34),0)+IF(AND(33+$K$35&gt;=1,33+$K$35&lt;=72),INDEX($N$5:$N$76,33+$K$35),0))/3</f>
        <v/>
      </c>
      <c r="T37" s="128">
        <f>IF(B37&lt;='VALOR POR PL'!$P$5,0,S37+IF(B37=DATE(YEAR('VALOR POR PL'!$P$5),MONTH('VALOR POR PL'!$P$5)+1,1),SUMPRODUCT((B5:B76&lt;='VALOR POR PL'!$P$5)*S5:S76),0))</f>
        <v/>
      </c>
      <c r="U37" s="50">
        <f>IF($K$32=0,0,$K$18*$K$27*T37/$K$32)</f>
        <v/>
      </c>
    </row>
    <row r="38">
      <c r="B38" s="129">
        <f>DATE(YEAR(B37),MONTH(B37)+1,1)</f>
        <v/>
      </c>
      <c r="C38" s="63">
        <f>IF(AND($K$22="NÃO",B38&gt;'VALOR POR PL'!$P$5),0,'DADOS HISTORICOS'!AK38)</f>
        <v/>
      </c>
      <c r="D38" s="50">
        <f>IF(B38&lt;='VALOR POR PL'!$P$5,0,IF($K$16="MDO PREVISION + MATERIAL PREMISSA",R38+U38,IF($K$17&gt;0,$K$18*P38/$K$17,0)))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RESUMO'!AK38</f>
        <v/>
      </c>
      <c r="N38" s="128">
        <f>MAX(0,M38-M37)</f>
        <v/>
      </c>
      <c r="O38" s="127">
        <f>IF(B38&lt;='VALOR POR PL'!$P$5,'CP RESUMO'!AK80,"")</f>
        <v/>
      </c>
      <c r="P38" s="72">
        <f>IF(B38&lt;='VALOR POR PL'!$P$5,0,IF(OR($K$16="CURVA PREVISION",$K$16="MDO PREVISION + MATERIAL PREMISSA"),N38,IF($K$16="PREVISÃO INFORMADA",MAX(0,H38),0)))</f>
        <v/>
      </c>
      <c r="R38" s="50">
        <f>IF(OR(B38&lt;='VALOR POR PL'!$P$5,$K$12=0),0,$K$18*$K$26*N38/$K$12)</f>
        <v/>
      </c>
      <c r="S38" s="128">
        <f>(IF(AND(34+$K$33&gt;=1,34+$K$33&lt;=72),INDEX($N$5:$N$76,34+$K$33),0)+IF(AND(34+$K$34&gt;=1,34+$K$34&lt;=72),INDEX($N$5:$N$76,34+$K$34),0)+IF(AND(34+$K$35&gt;=1,34+$K$35&lt;=72),INDEX($N$5:$N$76,34+$K$35),0))/3</f>
        <v/>
      </c>
      <c r="T38" s="128">
        <f>IF(B38&lt;='VALOR POR PL'!$P$5,0,S38+IF(B38=DATE(YEAR('VALOR POR PL'!$P$5),MONTH('VALOR POR PL'!$P$5)+1,1),SUMPRODUCT((B5:B76&lt;='VALOR POR PL'!$P$5)*S5:S76),0))</f>
        <v/>
      </c>
      <c r="U38" s="50">
        <f>IF($K$32=0,0,$K$18*$K$27*T38/$K$32)</f>
        <v/>
      </c>
    </row>
    <row r="39">
      <c r="B39" s="129">
        <f>DATE(YEAR(B38),MONTH(B38)+1,1)</f>
        <v/>
      </c>
      <c r="C39" s="63">
        <f>IF(AND($K$22="NÃO",B39&gt;'VALOR POR PL'!$P$5),0,'DADOS HISTORICOS'!AL38)</f>
        <v/>
      </c>
      <c r="D39" s="50">
        <f>IF(B39&lt;='VALOR POR PL'!$P$5,0,IF($K$16="MDO PREVISION + MATERIAL PREMISSA",R39+U39,IF($K$17&gt;0,$K$18*P39/$K$17,0)))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RESUMO'!AL38</f>
        <v/>
      </c>
      <c r="N39" s="128">
        <f>MAX(0,M39-M38)</f>
        <v/>
      </c>
      <c r="O39" s="127">
        <f>IF(B39&lt;='VALOR POR PL'!$P$5,'CP RESUMO'!AL80,"")</f>
        <v/>
      </c>
      <c r="P39" s="72">
        <f>IF(B39&lt;='VALOR POR PL'!$P$5,0,IF(OR($K$16="CURVA PREVISION",$K$16="MDO PREVISION + MATERIAL PREMISSA"),N39,IF($K$16="PREVISÃO INFORMADA",MAX(0,H39),0)))</f>
        <v/>
      </c>
      <c r="R39" s="50">
        <f>IF(OR(B39&lt;='VALOR POR PL'!$P$5,$K$12=0),0,$K$18*$K$26*N39/$K$12)</f>
        <v/>
      </c>
      <c r="S39" s="128">
        <f>(IF(AND(35+$K$33&gt;=1,35+$K$33&lt;=72),INDEX($N$5:$N$76,35+$K$33),0)+IF(AND(35+$K$34&gt;=1,35+$K$34&lt;=72),INDEX($N$5:$N$76,35+$K$34),0)+IF(AND(35+$K$35&gt;=1,35+$K$35&lt;=72),INDEX($N$5:$N$76,35+$K$35),0))/3</f>
        <v/>
      </c>
      <c r="T39" s="128">
        <f>IF(B39&lt;='VALOR POR PL'!$P$5,0,S39+IF(B39=DATE(YEAR('VALOR POR PL'!$P$5),MONTH('VALOR POR PL'!$P$5)+1,1),SUMPRODUCT((B5:B76&lt;='VALOR POR PL'!$P$5)*S5:S76),0))</f>
        <v/>
      </c>
      <c r="U39" s="50">
        <f>IF($K$32=0,0,$K$18*$K$27*T39/$K$32)</f>
        <v/>
      </c>
    </row>
    <row r="40">
      <c r="B40" s="129">
        <f>DATE(YEAR(B39),MONTH(B39)+1,1)</f>
        <v/>
      </c>
      <c r="C40" s="63">
        <f>IF(AND($K$22="NÃO",B40&gt;'VALOR POR PL'!$P$5),0,'DADOS HISTORICOS'!AM38)</f>
        <v/>
      </c>
      <c r="D40" s="50">
        <f>IF(B40&lt;='VALOR POR PL'!$P$5,0,IF($K$16="MDO PREVISION + MATERIAL PREMISSA",R40+U40,IF($K$17&gt;0,$K$18*P40/$K$17,0)))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RESUMO'!AM38</f>
        <v/>
      </c>
      <c r="N40" s="128">
        <f>MAX(0,M40-M39)</f>
        <v/>
      </c>
      <c r="O40" s="127">
        <f>IF(B40&lt;='VALOR POR PL'!$P$5,'CP RESUMO'!AM80,"")</f>
        <v/>
      </c>
      <c r="P40" s="72">
        <f>IF(B40&lt;='VALOR POR PL'!$P$5,0,IF(OR($K$16="CURVA PREVISION",$K$16="MDO PREVISION + MATERIAL PREMISSA"),N40,IF($K$16="PREVISÃO INFORMADA",MAX(0,H40),0)))</f>
        <v/>
      </c>
      <c r="R40" s="50">
        <f>IF(OR(B40&lt;='VALOR POR PL'!$P$5,$K$12=0),0,$K$18*$K$26*N40/$K$12)</f>
        <v/>
      </c>
      <c r="S40" s="128">
        <f>(IF(AND(36+$K$33&gt;=1,36+$K$33&lt;=72),INDEX($N$5:$N$76,36+$K$33),0)+IF(AND(36+$K$34&gt;=1,36+$K$34&lt;=72),INDEX($N$5:$N$76,36+$K$34),0)+IF(AND(36+$K$35&gt;=1,36+$K$35&lt;=72),INDEX($N$5:$N$76,36+$K$35),0))/3</f>
        <v/>
      </c>
      <c r="T40" s="128">
        <f>IF(B40&lt;='VALOR POR PL'!$P$5,0,S40+IF(B40=DATE(YEAR('VALOR POR PL'!$P$5),MONTH('VALOR POR PL'!$P$5)+1,1),SUMPRODUCT((B5:B76&lt;='VALOR POR PL'!$P$5)*S5:S76),0))</f>
        <v/>
      </c>
      <c r="U40" s="50">
        <f>IF($K$32=0,0,$K$18*$K$27*T40/$K$32)</f>
        <v/>
      </c>
    </row>
    <row r="41">
      <c r="B41" s="129">
        <f>DATE(YEAR(B40),MONTH(B40)+1,1)</f>
        <v/>
      </c>
      <c r="C41" s="63">
        <f>IF(AND($K$22="NÃO",B41&gt;'VALOR POR PL'!$P$5),0,'DADOS HISTORICOS'!AN38)</f>
        <v/>
      </c>
      <c r="D41" s="50">
        <f>IF(B41&lt;='VALOR POR PL'!$P$5,0,IF($K$16="MDO PREVISION + MATERIAL PREMISSA",R41+U41,IF($K$17&gt;0,$K$18*P41/$K$17,0)))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RESUMO'!AN38</f>
        <v/>
      </c>
      <c r="N41" s="128">
        <f>MAX(0,M41-M40)</f>
        <v/>
      </c>
      <c r="O41" s="127">
        <f>IF(B41&lt;='VALOR POR PL'!$P$5,'CP RESUMO'!AN80,"")</f>
        <v/>
      </c>
      <c r="P41" s="72">
        <f>IF(B41&lt;='VALOR POR PL'!$P$5,0,IF(OR($K$16="CURVA PREVISION",$K$16="MDO PREVISION + MATERIAL PREMISSA"),N41,IF($K$16="PREVISÃO INFORMADA",MAX(0,H41),0)))</f>
        <v/>
      </c>
      <c r="R41" s="50">
        <f>IF(OR(B41&lt;='VALOR POR PL'!$P$5,$K$12=0),0,$K$18*$K$26*N41/$K$12)</f>
        <v/>
      </c>
      <c r="S41" s="128">
        <f>(IF(AND(37+$K$33&gt;=1,37+$K$33&lt;=72),INDEX($N$5:$N$76,37+$K$33),0)+IF(AND(37+$K$34&gt;=1,37+$K$34&lt;=72),INDEX($N$5:$N$76,37+$K$34),0)+IF(AND(37+$K$35&gt;=1,37+$K$35&lt;=72),INDEX($N$5:$N$76,37+$K$35),0))/3</f>
        <v/>
      </c>
      <c r="T41" s="128">
        <f>IF(B41&lt;='VALOR POR PL'!$P$5,0,S41+IF(B41=DATE(YEAR('VALOR POR PL'!$P$5),MONTH('VALOR POR PL'!$P$5)+1,1),SUMPRODUCT((B5:B76&lt;='VALOR POR PL'!$P$5)*S5:S76),0))</f>
        <v/>
      </c>
      <c r="U41" s="50">
        <f>IF($K$32=0,0,$K$18*$K$27*T41/$K$32)</f>
        <v/>
      </c>
    </row>
    <row r="42">
      <c r="B42" s="129">
        <f>DATE(YEAR(B41),MONTH(B41)+1,1)</f>
        <v/>
      </c>
      <c r="C42" s="63">
        <f>IF(AND($K$22="NÃO",B42&gt;'VALOR POR PL'!$P$5),0,'DADOS HISTORICOS'!AO38)</f>
        <v/>
      </c>
      <c r="D42" s="50">
        <f>IF(B42&lt;='VALOR POR PL'!$P$5,0,IF($K$16="MDO PREVISION + MATERIAL PREMISSA",R42+U42,IF($K$17&gt;0,$K$18*P42/$K$17,0)))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RESUMO'!AO38</f>
        <v/>
      </c>
      <c r="N42" s="128">
        <f>MAX(0,M42-M41)</f>
        <v/>
      </c>
      <c r="O42" s="127">
        <f>IF(B42&lt;='VALOR POR PL'!$P$5,'CP RESUMO'!AO80,"")</f>
        <v/>
      </c>
      <c r="P42" s="72">
        <f>IF(B42&lt;='VALOR POR PL'!$P$5,0,IF(OR($K$16="CURVA PREVISION",$K$16="MDO PREVISION + MATERIAL PREMISSA"),N42,IF($K$16="PREVISÃO INFORMADA",MAX(0,H42),0)))</f>
        <v/>
      </c>
      <c r="R42" s="50">
        <f>IF(OR(B42&lt;='VALOR POR PL'!$P$5,$K$12=0),0,$K$18*$K$26*N42/$K$12)</f>
        <v/>
      </c>
      <c r="S42" s="128">
        <f>(IF(AND(38+$K$33&gt;=1,38+$K$33&lt;=72),INDEX($N$5:$N$76,38+$K$33),0)+IF(AND(38+$K$34&gt;=1,38+$K$34&lt;=72),INDEX($N$5:$N$76,38+$K$34),0)+IF(AND(38+$K$35&gt;=1,38+$K$35&lt;=72),INDEX($N$5:$N$76,38+$K$35),0))/3</f>
        <v/>
      </c>
      <c r="T42" s="128">
        <f>IF(B42&lt;='VALOR POR PL'!$P$5,0,S42+IF(B42=DATE(YEAR('VALOR POR PL'!$P$5),MONTH('VALOR POR PL'!$P$5)+1,1),SUMPRODUCT((B5:B76&lt;='VALOR POR PL'!$P$5)*S5:S76),0))</f>
        <v/>
      </c>
      <c r="U42" s="50">
        <f>IF($K$32=0,0,$K$18*$K$27*T42/$K$32)</f>
        <v/>
      </c>
    </row>
    <row r="43">
      <c r="B43" s="129">
        <f>DATE(YEAR(B42),MONTH(B42)+1,1)</f>
        <v/>
      </c>
      <c r="C43" s="63">
        <f>IF(AND($K$22="NÃO",B43&gt;'VALOR POR PL'!$P$5),0,'DADOS HISTORICOS'!AP38)</f>
        <v/>
      </c>
      <c r="D43" s="50">
        <f>IF(B43&lt;='VALOR POR PL'!$P$5,0,IF($K$16="MDO PREVISION + MATERIAL PREMISSA",R43+U43,IF($K$17&gt;0,$K$18*P43/$K$17,0)))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RESUMO'!AP38</f>
        <v/>
      </c>
      <c r="N43" s="128">
        <f>MAX(0,M43-M42)</f>
        <v/>
      </c>
      <c r="O43" s="127">
        <f>IF(B43&lt;='VALOR POR PL'!$P$5,'CP RESUMO'!AP80,"")</f>
        <v/>
      </c>
      <c r="P43" s="72">
        <f>IF(B43&lt;='VALOR POR PL'!$P$5,0,IF(OR($K$16="CURVA PREVISION",$K$16="MDO PREVISION + MATERIAL PREMISSA"),N43,IF($K$16="PREVISÃO INFORMADA",MAX(0,H43),0)))</f>
        <v/>
      </c>
      <c r="R43" s="50">
        <f>IF(OR(B43&lt;='VALOR POR PL'!$P$5,$K$12=0),0,$K$18*$K$26*N43/$K$12)</f>
        <v/>
      </c>
      <c r="S43" s="128">
        <f>(IF(AND(39+$K$33&gt;=1,39+$K$33&lt;=72),INDEX($N$5:$N$76,39+$K$33),0)+IF(AND(39+$K$34&gt;=1,39+$K$34&lt;=72),INDEX($N$5:$N$76,39+$K$34),0)+IF(AND(39+$K$35&gt;=1,39+$K$35&lt;=72),INDEX($N$5:$N$76,39+$K$35),0))/3</f>
        <v/>
      </c>
      <c r="T43" s="128">
        <f>IF(B43&lt;='VALOR POR PL'!$P$5,0,S43+IF(B43=DATE(YEAR('VALOR POR PL'!$P$5),MONTH('VALOR POR PL'!$P$5)+1,1),SUMPRODUCT((B5:B76&lt;='VALOR POR PL'!$P$5)*S5:S76),0))</f>
        <v/>
      </c>
      <c r="U43" s="50">
        <f>IF($K$32=0,0,$K$18*$K$27*T43/$K$32)</f>
        <v/>
      </c>
    </row>
    <row r="44">
      <c r="B44" s="129">
        <f>DATE(YEAR(B43),MONTH(B43)+1,1)</f>
        <v/>
      </c>
      <c r="C44" s="63">
        <f>IF(AND($K$22="NÃO",B44&gt;'VALOR POR PL'!$P$5),0,'DADOS HISTORICOS'!AQ38)</f>
        <v/>
      </c>
      <c r="D44" s="50">
        <f>IF(B44&lt;='VALOR POR PL'!$P$5,0,IF($K$16="MDO PREVISION + MATERIAL PREMISSA",R44+U44,IF($K$17&gt;0,$K$18*P44/$K$17,0)))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RESUMO'!AQ38</f>
        <v/>
      </c>
      <c r="N44" s="128">
        <f>MAX(0,M44-M43)</f>
        <v/>
      </c>
      <c r="O44" s="127">
        <f>IF(B44&lt;='VALOR POR PL'!$P$5,'CP RESUMO'!AQ80,"")</f>
        <v/>
      </c>
      <c r="P44" s="72">
        <f>IF(B44&lt;='VALOR POR PL'!$P$5,0,IF(OR($K$16="CURVA PREVISION",$K$16="MDO PREVISION + MATERIAL PREMISSA"),N44,IF($K$16="PREVISÃO INFORMADA",MAX(0,H44),0)))</f>
        <v/>
      </c>
      <c r="R44" s="50">
        <f>IF(OR(B44&lt;='VALOR POR PL'!$P$5,$K$12=0),0,$K$18*$K$26*N44/$K$12)</f>
        <v/>
      </c>
      <c r="S44" s="128">
        <f>(IF(AND(40+$K$33&gt;=1,40+$K$33&lt;=72),INDEX($N$5:$N$76,40+$K$33),0)+IF(AND(40+$K$34&gt;=1,40+$K$34&lt;=72),INDEX($N$5:$N$76,40+$K$34),0)+IF(AND(40+$K$35&gt;=1,40+$K$35&lt;=72),INDEX($N$5:$N$76,40+$K$35),0))/3</f>
        <v/>
      </c>
      <c r="T44" s="128">
        <f>IF(B44&lt;='VALOR POR PL'!$P$5,0,S44+IF(B44=DATE(YEAR('VALOR POR PL'!$P$5),MONTH('VALOR POR PL'!$P$5)+1,1),SUMPRODUCT((B5:B76&lt;='VALOR POR PL'!$P$5)*S5:S76),0))</f>
        <v/>
      </c>
      <c r="U44" s="50">
        <f>IF($K$32=0,0,$K$18*$K$27*T44/$K$32)</f>
        <v/>
      </c>
    </row>
    <row r="45">
      <c r="B45" s="129">
        <f>DATE(YEAR(B44),MONTH(B44)+1,1)</f>
        <v/>
      </c>
      <c r="C45" s="63">
        <f>IF(AND($K$22="NÃO",B45&gt;'VALOR POR PL'!$P$5),0,'DADOS HISTORICOS'!AR38)</f>
        <v/>
      </c>
      <c r="D45" s="50">
        <f>IF(B45&lt;='VALOR POR PL'!$P$5,0,IF($K$16="MDO PREVISION + MATERIAL PREMISSA",R45+U45,IF($K$17&gt;0,$K$18*P45/$K$17,0)))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RESUMO'!AR38</f>
        <v/>
      </c>
      <c r="N45" s="128">
        <f>MAX(0,M45-M44)</f>
        <v/>
      </c>
      <c r="O45" s="127">
        <f>IF(B45&lt;='VALOR POR PL'!$P$5,'CP RESUMO'!AR80,"")</f>
        <v/>
      </c>
      <c r="P45" s="72">
        <f>IF(B45&lt;='VALOR POR PL'!$P$5,0,IF(OR($K$16="CURVA PREVISION",$K$16="MDO PREVISION + MATERIAL PREMISSA"),N45,IF($K$16="PREVISÃO INFORMADA",MAX(0,H45),0)))</f>
        <v/>
      </c>
      <c r="R45" s="50">
        <f>IF(OR(B45&lt;='VALOR POR PL'!$P$5,$K$12=0),0,$K$18*$K$26*N45/$K$12)</f>
        <v/>
      </c>
      <c r="S45" s="128">
        <f>(IF(AND(41+$K$33&gt;=1,41+$K$33&lt;=72),INDEX($N$5:$N$76,41+$K$33),0)+IF(AND(41+$K$34&gt;=1,41+$K$34&lt;=72),INDEX($N$5:$N$76,41+$K$34),0)+IF(AND(41+$K$35&gt;=1,41+$K$35&lt;=72),INDEX($N$5:$N$76,41+$K$35),0))/3</f>
        <v/>
      </c>
      <c r="T45" s="128">
        <f>IF(B45&lt;='VALOR POR PL'!$P$5,0,S45+IF(B45=DATE(YEAR('VALOR POR PL'!$P$5),MONTH('VALOR POR PL'!$P$5)+1,1),SUMPRODUCT((B5:B76&lt;='VALOR POR PL'!$P$5)*S5:S76),0))</f>
        <v/>
      </c>
      <c r="U45" s="50">
        <f>IF($K$32=0,0,$K$18*$K$27*T45/$K$32)</f>
        <v/>
      </c>
    </row>
    <row r="46">
      <c r="B46" s="129">
        <f>DATE(YEAR(B45),MONTH(B45)+1,1)</f>
        <v/>
      </c>
      <c r="C46" s="63">
        <f>IF(AND($K$22="NÃO",B46&gt;'VALOR POR PL'!$P$5),0,'DADOS HISTORICOS'!AS38)</f>
        <v/>
      </c>
      <c r="D46" s="50">
        <f>IF(B46&lt;='VALOR POR PL'!$P$5,0,IF($K$16="MDO PREVISION + MATERIAL PREMISSA",R46+U46,IF($K$17&gt;0,$K$18*P46/$K$17,0)))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RESUMO'!AS38</f>
        <v/>
      </c>
      <c r="N46" s="128">
        <f>MAX(0,M46-M45)</f>
        <v/>
      </c>
      <c r="O46" s="127">
        <f>IF(B46&lt;='VALOR POR PL'!$P$5,'CP RESUMO'!AS80,"")</f>
        <v/>
      </c>
      <c r="P46" s="72">
        <f>IF(B46&lt;='VALOR POR PL'!$P$5,0,IF(OR($K$16="CURVA PREVISION",$K$16="MDO PREVISION + MATERIAL PREMISSA"),N46,IF($K$16="PREVISÃO INFORMADA",MAX(0,H46),0)))</f>
        <v/>
      </c>
      <c r="R46" s="50">
        <f>IF(OR(B46&lt;='VALOR POR PL'!$P$5,$K$12=0),0,$K$18*$K$26*N46/$K$12)</f>
        <v/>
      </c>
      <c r="S46" s="128">
        <f>(IF(AND(42+$K$33&gt;=1,42+$K$33&lt;=72),INDEX($N$5:$N$76,42+$K$33),0)+IF(AND(42+$K$34&gt;=1,42+$K$34&lt;=72),INDEX($N$5:$N$76,42+$K$34),0)+IF(AND(42+$K$35&gt;=1,42+$K$35&lt;=72),INDEX($N$5:$N$76,42+$K$35),0))/3</f>
        <v/>
      </c>
      <c r="T46" s="128">
        <f>IF(B46&lt;='VALOR POR PL'!$P$5,0,S46+IF(B46=DATE(YEAR('VALOR POR PL'!$P$5),MONTH('VALOR POR PL'!$P$5)+1,1),SUMPRODUCT((B5:B76&lt;='VALOR POR PL'!$P$5)*S5:S76),0))</f>
        <v/>
      </c>
      <c r="U46" s="50">
        <f>IF($K$32=0,0,$K$18*$K$27*T46/$K$32)</f>
        <v/>
      </c>
    </row>
    <row r="47">
      <c r="B47" s="129">
        <f>DATE(YEAR(B46),MONTH(B46)+1,1)</f>
        <v/>
      </c>
      <c r="C47" s="63">
        <f>IF(AND($K$22="NÃO",B47&gt;'VALOR POR PL'!$P$5),0,'DADOS HISTORICOS'!AT38)</f>
        <v/>
      </c>
      <c r="D47" s="50">
        <f>IF(B47&lt;='VALOR POR PL'!$P$5,0,IF($K$16="MDO PREVISION + MATERIAL PREMISSA",R47+U47,IF($K$17&gt;0,$K$18*P47/$K$17,0)))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RESUMO'!AT38</f>
        <v/>
      </c>
      <c r="N47" s="128">
        <f>MAX(0,M47-M46)</f>
        <v/>
      </c>
      <c r="O47" s="127">
        <f>IF(B47&lt;='VALOR POR PL'!$P$5,'CP RESUMO'!AT80,"")</f>
        <v/>
      </c>
      <c r="P47" s="72">
        <f>IF(B47&lt;='VALOR POR PL'!$P$5,0,IF(OR($K$16="CURVA PREVISION",$K$16="MDO PREVISION + MATERIAL PREMISSA"),N47,IF($K$16="PREVISÃO INFORMADA",MAX(0,H47),0)))</f>
        <v/>
      </c>
      <c r="R47" s="50">
        <f>IF(OR(B47&lt;='VALOR POR PL'!$P$5,$K$12=0),0,$K$18*$K$26*N47/$K$12)</f>
        <v/>
      </c>
      <c r="S47" s="128">
        <f>(IF(AND(43+$K$33&gt;=1,43+$K$33&lt;=72),INDEX($N$5:$N$76,43+$K$33),0)+IF(AND(43+$K$34&gt;=1,43+$K$34&lt;=72),INDEX($N$5:$N$76,43+$K$34),0)+IF(AND(43+$K$35&gt;=1,43+$K$35&lt;=72),INDEX($N$5:$N$76,43+$K$35),0))/3</f>
        <v/>
      </c>
      <c r="T47" s="128">
        <f>IF(B47&lt;='VALOR POR PL'!$P$5,0,S47+IF(B47=DATE(YEAR('VALOR POR PL'!$P$5),MONTH('VALOR POR PL'!$P$5)+1,1),SUMPRODUCT((B5:B76&lt;='VALOR POR PL'!$P$5)*S5:S76),0))</f>
        <v/>
      </c>
      <c r="U47" s="50">
        <f>IF($K$32=0,0,$K$18*$K$27*T47/$K$32)</f>
        <v/>
      </c>
    </row>
    <row r="48">
      <c r="B48" s="129">
        <f>DATE(YEAR(B47),MONTH(B47)+1,1)</f>
        <v/>
      </c>
      <c r="C48" s="63">
        <f>IF(AND($K$22="NÃO",B48&gt;'VALOR POR PL'!$P$5),0,'DADOS HISTORICOS'!AU38)</f>
        <v/>
      </c>
      <c r="D48" s="50">
        <f>IF(B48&lt;='VALOR POR PL'!$P$5,0,IF($K$16="MDO PREVISION + MATERIAL PREMISSA",R48+U48,IF($K$17&gt;0,$K$18*P48/$K$17,0)))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RESUMO'!AU38</f>
        <v/>
      </c>
      <c r="N48" s="128">
        <f>MAX(0,M48-M47)</f>
        <v/>
      </c>
      <c r="O48" s="127">
        <f>IF(B48&lt;='VALOR POR PL'!$P$5,'CP RESUMO'!AU80,"")</f>
        <v/>
      </c>
      <c r="P48" s="72">
        <f>IF(B48&lt;='VALOR POR PL'!$P$5,0,IF(OR($K$16="CURVA PREVISION",$K$16="MDO PREVISION + MATERIAL PREMISSA"),N48,IF($K$16="PREVISÃO INFORMADA",MAX(0,H48),0)))</f>
        <v/>
      </c>
      <c r="R48" s="50">
        <f>IF(OR(B48&lt;='VALOR POR PL'!$P$5,$K$12=0),0,$K$18*$K$26*N48/$K$12)</f>
        <v/>
      </c>
      <c r="S48" s="128">
        <f>(IF(AND(44+$K$33&gt;=1,44+$K$33&lt;=72),INDEX($N$5:$N$76,44+$K$33),0)+IF(AND(44+$K$34&gt;=1,44+$K$34&lt;=72),INDEX($N$5:$N$76,44+$K$34),0)+IF(AND(44+$K$35&gt;=1,44+$K$35&lt;=72),INDEX($N$5:$N$76,44+$K$35),0))/3</f>
        <v/>
      </c>
      <c r="T48" s="128">
        <f>IF(B48&lt;='VALOR POR PL'!$P$5,0,S48+IF(B48=DATE(YEAR('VALOR POR PL'!$P$5),MONTH('VALOR POR PL'!$P$5)+1,1),SUMPRODUCT((B5:B76&lt;='VALOR POR PL'!$P$5)*S5:S76),0))</f>
        <v/>
      </c>
      <c r="U48" s="50">
        <f>IF($K$32=0,0,$K$18*$K$27*T48/$K$32)</f>
        <v/>
      </c>
    </row>
    <row r="49">
      <c r="B49" s="129">
        <f>DATE(YEAR(B48),MONTH(B48)+1,1)</f>
        <v/>
      </c>
      <c r="C49" s="63">
        <f>IF(AND($K$22="NÃO",B49&gt;'VALOR POR PL'!$P$5),0,'DADOS HISTORICOS'!AV38)</f>
        <v/>
      </c>
      <c r="D49" s="50">
        <f>IF(B49&lt;='VALOR POR PL'!$P$5,0,IF($K$16="MDO PREVISION + MATERIAL PREMISSA",R49+U49,IF($K$17&gt;0,$K$18*P49/$K$17,0)))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RESUMO'!AV38</f>
        <v/>
      </c>
      <c r="N49" s="128">
        <f>MAX(0,M49-M48)</f>
        <v/>
      </c>
      <c r="O49" s="127">
        <f>IF(B49&lt;='VALOR POR PL'!$P$5,'CP RESUMO'!AV80,"")</f>
        <v/>
      </c>
      <c r="P49" s="72">
        <f>IF(B49&lt;='VALOR POR PL'!$P$5,0,IF(OR($K$16="CURVA PREVISION",$K$16="MDO PREVISION + MATERIAL PREMISSA"),N49,IF($K$16="PREVISÃO INFORMADA",MAX(0,H49),0)))</f>
        <v/>
      </c>
      <c r="R49" s="50">
        <f>IF(OR(B49&lt;='VALOR POR PL'!$P$5,$K$12=0),0,$K$18*$K$26*N49/$K$12)</f>
        <v/>
      </c>
      <c r="S49" s="128">
        <f>(IF(AND(45+$K$33&gt;=1,45+$K$33&lt;=72),INDEX($N$5:$N$76,45+$K$33),0)+IF(AND(45+$K$34&gt;=1,45+$K$34&lt;=72),INDEX($N$5:$N$76,45+$K$34),0)+IF(AND(45+$K$35&gt;=1,45+$K$35&lt;=72),INDEX($N$5:$N$76,45+$K$35),0))/3</f>
        <v/>
      </c>
      <c r="T49" s="128">
        <f>IF(B49&lt;='VALOR POR PL'!$P$5,0,S49+IF(B49=DATE(YEAR('VALOR POR PL'!$P$5),MONTH('VALOR POR PL'!$P$5)+1,1),SUMPRODUCT((B5:B76&lt;='VALOR POR PL'!$P$5)*S5:S76),0))</f>
        <v/>
      </c>
      <c r="U49" s="50">
        <f>IF($K$32=0,0,$K$18*$K$27*T49/$K$32)</f>
        <v/>
      </c>
    </row>
    <row r="50">
      <c r="B50" s="129">
        <f>DATE(YEAR(B49),MONTH(B49)+1,1)</f>
        <v/>
      </c>
      <c r="C50" s="63">
        <f>IF(AND($K$22="NÃO",B50&gt;'VALOR POR PL'!$P$5),0,'DADOS HISTORICOS'!AW38)</f>
        <v/>
      </c>
      <c r="D50" s="50">
        <f>IF(B50&lt;='VALOR POR PL'!$P$5,0,IF($K$16="MDO PREVISION + MATERIAL PREMISSA",R50+U50,IF($K$17&gt;0,$K$18*P50/$K$17,0)))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RESUMO'!AW38</f>
        <v/>
      </c>
      <c r="N50" s="128">
        <f>MAX(0,M50-M49)</f>
        <v/>
      </c>
      <c r="O50" s="127">
        <f>IF(B50&lt;='VALOR POR PL'!$P$5,'CP RESUMO'!AW80,"")</f>
        <v/>
      </c>
      <c r="P50" s="72">
        <f>IF(B50&lt;='VALOR POR PL'!$P$5,0,IF(OR($K$16="CURVA PREVISION",$K$16="MDO PREVISION + MATERIAL PREMISSA"),N50,IF($K$16="PREVISÃO INFORMADA",MAX(0,H50),0)))</f>
        <v/>
      </c>
      <c r="R50" s="50">
        <f>IF(OR(B50&lt;='VALOR POR PL'!$P$5,$K$12=0),0,$K$18*$K$26*N50/$K$12)</f>
        <v/>
      </c>
      <c r="S50" s="128">
        <f>(IF(AND(46+$K$33&gt;=1,46+$K$33&lt;=72),INDEX($N$5:$N$76,46+$K$33),0)+IF(AND(46+$K$34&gt;=1,46+$K$34&lt;=72),INDEX($N$5:$N$76,46+$K$34),0)+IF(AND(46+$K$35&gt;=1,46+$K$35&lt;=72),INDEX($N$5:$N$76,46+$K$35),0))/3</f>
        <v/>
      </c>
      <c r="T50" s="128">
        <f>IF(B50&lt;='VALOR POR PL'!$P$5,0,S50+IF(B50=DATE(YEAR('VALOR POR PL'!$P$5),MONTH('VALOR POR PL'!$P$5)+1,1),SUMPRODUCT((B5:B76&lt;='VALOR POR PL'!$P$5)*S5:S76),0))</f>
        <v/>
      </c>
      <c r="U50" s="50">
        <f>IF($K$32=0,0,$K$18*$K$27*T50/$K$32)</f>
        <v/>
      </c>
    </row>
    <row r="51">
      <c r="B51" s="129">
        <f>DATE(YEAR(B50),MONTH(B50)+1,1)</f>
        <v/>
      </c>
      <c r="C51" s="63">
        <f>IF(AND($K$22="NÃO",B51&gt;'VALOR POR PL'!$P$5),0,'DADOS HISTORICOS'!AX38)</f>
        <v/>
      </c>
      <c r="D51" s="50">
        <f>IF(B51&lt;='VALOR POR PL'!$P$5,0,IF($K$16="MDO PREVISION + MATERIAL PREMISSA",R51+U51,IF($K$17&gt;0,$K$18*P51/$K$17,0)))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RESUMO'!AX38</f>
        <v/>
      </c>
      <c r="N51" s="128">
        <f>MAX(0,M51-M50)</f>
        <v/>
      </c>
      <c r="O51" s="127">
        <f>IF(B51&lt;='VALOR POR PL'!$P$5,'CP RESUMO'!AX80,"")</f>
        <v/>
      </c>
      <c r="P51" s="72">
        <f>IF(B51&lt;='VALOR POR PL'!$P$5,0,IF(OR($K$16="CURVA PREVISION",$K$16="MDO PREVISION + MATERIAL PREMISSA"),N51,IF($K$16="PREVISÃO INFORMADA",MAX(0,H51),0)))</f>
        <v/>
      </c>
      <c r="R51" s="50">
        <f>IF(OR(B51&lt;='VALOR POR PL'!$P$5,$K$12=0),0,$K$18*$K$26*N51/$K$12)</f>
        <v/>
      </c>
      <c r="S51" s="128">
        <f>(IF(AND(47+$K$33&gt;=1,47+$K$33&lt;=72),INDEX($N$5:$N$76,47+$K$33),0)+IF(AND(47+$K$34&gt;=1,47+$K$34&lt;=72),INDEX($N$5:$N$76,47+$K$34),0)+IF(AND(47+$K$35&gt;=1,47+$K$35&lt;=72),INDEX($N$5:$N$76,47+$K$35),0))/3</f>
        <v/>
      </c>
      <c r="T51" s="128">
        <f>IF(B51&lt;='VALOR POR PL'!$P$5,0,S51+IF(B51=DATE(YEAR('VALOR POR PL'!$P$5),MONTH('VALOR POR PL'!$P$5)+1,1),SUMPRODUCT((B5:B76&lt;='VALOR POR PL'!$P$5)*S5:S76),0))</f>
        <v/>
      </c>
      <c r="U51" s="50">
        <f>IF($K$32=0,0,$K$18*$K$27*T51/$K$32)</f>
        <v/>
      </c>
    </row>
    <row r="52">
      <c r="B52" s="129">
        <f>DATE(YEAR(B51),MONTH(B51)+1,1)</f>
        <v/>
      </c>
      <c r="C52" s="63">
        <f>IF(AND($K$22="NÃO",B52&gt;'VALOR POR PL'!$P$5),0,'DADOS HISTORICOS'!AY38)</f>
        <v/>
      </c>
      <c r="D52" s="50">
        <f>IF(B52&lt;='VALOR POR PL'!$P$5,0,IF($K$16="MDO PREVISION + MATERIAL PREMISSA",R52+U52,IF($K$17&gt;0,$K$18*P52/$K$17,0)))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RESUMO'!AY38</f>
        <v/>
      </c>
      <c r="N52" s="128">
        <f>MAX(0,M52-M51)</f>
        <v/>
      </c>
      <c r="O52" s="127">
        <f>IF(B52&lt;='VALOR POR PL'!$P$5,'CP RESUMO'!AY80,"")</f>
        <v/>
      </c>
      <c r="P52" s="72">
        <f>IF(B52&lt;='VALOR POR PL'!$P$5,0,IF(OR($K$16="CURVA PREVISION",$K$16="MDO PREVISION + MATERIAL PREMISSA"),N52,IF($K$16="PREVISÃO INFORMADA",MAX(0,H52),0)))</f>
        <v/>
      </c>
      <c r="R52" s="50">
        <f>IF(OR(B52&lt;='VALOR POR PL'!$P$5,$K$12=0),0,$K$18*$K$26*N52/$K$12)</f>
        <v/>
      </c>
      <c r="S52" s="128">
        <f>(IF(AND(48+$K$33&gt;=1,48+$K$33&lt;=72),INDEX($N$5:$N$76,48+$K$33),0)+IF(AND(48+$K$34&gt;=1,48+$K$34&lt;=72),INDEX($N$5:$N$76,48+$K$34),0)+IF(AND(48+$K$35&gt;=1,48+$K$35&lt;=72),INDEX($N$5:$N$76,48+$K$35),0))/3</f>
        <v/>
      </c>
      <c r="T52" s="128">
        <f>IF(B52&lt;='VALOR POR PL'!$P$5,0,S52+IF(B52=DATE(YEAR('VALOR POR PL'!$P$5),MONTH('VALOR POR PL'!$P$5)+1,1),SUMPRODUCT((B5:B76&lt;='VALOR POR PL'!$P$5)*S5:S76),0))</f>
        <v/>
      </c>
      <c r="U52" s="50">
        <f>IF($K$32=0,0,$K$18*$K$27*T52/$K$32)</f>
        <v/>
      </c>
    </row>
    <row r="53">
      <c r="B53" s="129">
        <f>DATE(YEAR(B52),MONTH(B52)+1,1)</f>
        <v/>
      </c>
      <c r="C53" s="63">
        <f>IF(AND($K$22="NÃO",B53&gt;'VALOR POR PL'!$P$5),0,'DADOS HISTORICOS'!AZ38)</f>
        <v/>
      </c>
      <c r="D53" s="50">
        <f>IF(B53&lt;='VALOR POR PL'!$P$5,0,IF($K$16="MDO PREVISION + MATERIAL PREMISSA",R53+U53,IF($K$17&gt;0,$K$18*P53/$K$17,0)))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RESUMO'!AZ38</f>
        <v/>
      </c>
      <c r="N53" s="128">
        <f>MAX(0,M53-M52)</f>
        <v/>
      </c>
      <c r="O53" s="127">
        <f>IF(B53&lt;='VALOR POR PL'!$P$5,'CP RESUMO'!AZ80,"")</f>
        <v/>
      </c>
      <c r="P53" s="72">
        <f>IF(B53&lt;='VALOR POR PL'!$P$5,0,IF(OR($K$16="CURVA PREVISION",$K$16="MDO PREVISION + MATERIAL PREMISSA"),N53,IF($K$16="PREVISÃO INFORMADA",MAX(0,H53),0)))</f>
        <v/>
      </c>
      <c r="R53" s="50">
        <f>IF(OR(B53&lt;='VALOR POR PL'!$P$5,$K$12=0),0,$K$18*$K$26*N53/$K$12)</f>
        <v/>
      </c>
      <c r="S53" s="128">
        <f>(IF(AND(49+$K$33&gt;=1,49+$K$33&lt;=72),INDEX($N$5:$N$76,49+$K$33),0)+IF(AND(49+$K$34&gt;=1,49+$K$34&lt;=72),INDEX($N$5:$N$76,49+$K$34),0)+IF(AND(49+$K$35&gt;=1,49+$K$35&lt;=72),INDEX($N$5:$N$76,49+$K$35),0))/3</f>
        <v/>
      </c>
      <c r="T53" s="128">
        <f>IF(B53&lt;='VALOR POR PL'!$P$5,0,S53+IF(B53=DATE(YEAR('VALOR POR PL'!$P$5),MONTH('VALOR POR PL'!$P$5)+1,1),SUMPRODUCT((B5:B76&lt;='VALOR POR PL'!$P$5)*S5:S76),0))</f>
        <v/>
      </c>
      <c r="U53" s="50">
        <f>IF($K$32=0,0,$K$18*$K$27*T53/$K$32)</f>
        <v/>
      </c>
    </row>
    <row r="54">
      <c r="B54" s="129">
        <f>DATE(YEAR(B53),MONTH(B53)+1,1)</f>
        <v/>
      </c>
      <c r="C54" s="63">
        <f>IF(AND($K$22="NÃO",B54&gt;'VALOR POR PL'!$P$5),0,'DADOS HISTORICOS'!BA38)</f>
        <v/>
      </c>
      <c r="D54" s="50">
        <f>IF(B54&lt;='VALOR POR PL'!$P$5,0,IF($K$16="MDO PREVISION + MATERIAL PREMISSA",R54+U54,IF($K$17&gt;0,$K$18*P54/$K$17,0)))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RESUMO'!BA38</f>
        <v/>
      </c>
      <c r="N54" s="128">
        <f>MAX(0,M54-M53)</f>
        <v/>
      </c>
      <c r="O54" s="127">
        <f>IF(B54&lt;='VALOR POR PL'!$P$5,'CP RESUMO'!BA80,"")</f>
        <v/>
      </c>
      <c r="P54" s="72">
        <f>IF(B54&lt;='VALOR POR PL'!$P$5,0,IF(OR($K$16="CURVA PREVISION",$K$16="MDO PREVISION + MATERIAL PREMISSA"),N54,IF($K$16="PREVISÃO INFORMADA",MAX(0,H54),0)))</f>
        <v/>
      </c>
      <c r="R54" s="50">
        <f>IF(OR(B54&lt;='VALOR POR PL'!$P$5,$K$12=0),0,$K$18*$K$26*N54/$K$12)</f>
        <v/>
      </c>
      <c r="S54" s="128">
        <f>(IF(AND(50+$K$33&gt;=1,50+$K$33&lt;=72),INDEX($N$5:$N$76,50+$K$33),0)+IF(AND(50+$K$34&gt;=1,50+$K$34&lt;=72),INDEX($N$5:$N$76,50+$K$34),0)+IF(AND(50+$K$35&gt;=1,50+$K$35&lt;=72),INDEX($N$5:$N$76,50+$K$35),0))/3</f>
        <v/>
      </c>
      <c r="T54" s="128">
        <f>IF(B54&lt;='VALOR POR PL'!$P$5,0,S54+IF(B54=DATE(YEAR('VALOR POR PL'!$P$5),MONTH('VALOR POR PL'!$P$5)+1,1),SUMPRODUCT((B5:B76&lt;='VALOR POR PL'!$P$5)*S5:S76),0))</f>
        <v/>
      </c>
      <c r="U54" s="50">
        <f>IF($K$32=0,0,$K$18*$K$27*T54/$K$32)</f>
        <v/>
      </c>
    </row>
    <row r="55">
      <c r="B55" s="129">
        <f>DATE(YEAR(B54),MONTH(B54)+1,1)</f>
        <v/>
      </c>
      <c r="C55" s="63">
        <f>IF(AND($K$22="NÃO",B55&gt;'VALOR POR PL'!$P$5),0,'DADOS HISTORICOS'!BB38)</f>
        <v/>
      </c>
      <c r="D55" s="50">
        <f>IF(B55&lt;='VALOR POR PL'!$P$5,0,IF($K$16="MDO PREVISION + MATERIAL PREMISSA",R55+U55,IF($K$17&gt;0,$K$18*P55/$K$17,0)))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RESUMO'!BB38</f>
        <v/>
      </c>
      <c r="N55" s="128">
        <f>MAX(0,M55-M54)</f>
        <v/>
      </c>
      <c r="O55" s="127">
        <f>IF(B55&lt;='VALOR POR PL'!$P$5,'CP RESUMO'!BB80,"")</f>
        <v/>
      </c>
      <c r="P55" s="72">
        <f>IF(B55&lt;='VALOR POR PL'!$P$5,0,IF(OR($K$16="CURVA PREVISION",$K$16="MDO PREVISION + MATERIAL PREMISSA"),N55,IF($K$16="PREVISÃO INFORMADA",MAX(0,H55),0)))</f>
        <v/>
      </c>
      <c r="R55" s="50">
        <f>IF(OR(B55&lt;='VALOR POR PL'!$P$5,$K$12=0),0,$K$18*$K$26*N55/$K$12)</f>
        <v/>
      </c>
      <c r="S55" s="128">
        <f>(IF(AND(51+$K$33&gt;=1,51+$K$33&lt;=72),INDEX($N$5:$N$76,51+$K$33),0)+IF(AND(51+$K$34&gt;=1,51+$K$34&lt;=72),INDEX($N$5:$N$76,51+$K$34),0)+IF(AND(51+$K$35&gt;=1,51+$K$35&lt;=72),INDEX($N$5:$N$76,51+$K$35),0))/3</f>
        <v/>
      </c>
      <c r="T55" s="128">
        <f>IF(B55&lt;='VALOR POR PL'!$P$5,0,S55+IF(B55=DATE(YEAR('VALOR POR PL'!$P$5),MONTH('VALOR POR PL'!$P$5)+1,1),SUMPRODUCT((B5:B76&lt;='VALOR POR PL'!$P$5)*S5:S76),0))</f>
        <v/>
      </c>
      <c r="U55" s="50">
        <f>IF($K$32=0,0,$K$18*$K$27*T55/$K$32)</f>
        <v/>
      </c>
    </row>
    <row r="56">
      <c r="B56" s="129">
        <f>DATE(YEAR(B55),MONTH(B55)+1,1)</f>
        <v/>
      </c>
      <c r="C56" s="63">
        <f>IF(AND($K$22="NÃO",B56&gt;'VALOR POR PL'!$P$5),0,'DADOS HISTORICOS'!BC38)</f>
        <v/>
      </c>
      <c r="D56" s="50">
        <f>IF(B56&lt;='VALOR POR PL'!$P$5,0,IF($K$16="MDO PREVISION + MATERIAL PREMISSA",R56+U56,IF($K$17&gt;0,$K$18*P56/$K$17,0)))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RESUMO'!BC38</f>
        <v/>
      </c>
      <c r="N56" s="128">
        <f>MAX(0,M56-M55)</f>
        <v/>
      </c>
      <c r="O56" s="127">
        <f>IF(B56&lt;='VALOR POR PL'!$P$5,'CP RESUMO'!BC80,"")</f>
        <v/>
      </c>
      <c r="P56" s="72">
        <f>IF(B56&lt;='VALOR POR PL'!$P$5,0,IF(OR($K$16="CURVA PREVISION",$K$16="MDO PREVISION + MATERIAL PREMISSA"),N56,IF($K$16="PREVISÃO INFORMADA",MAX(0,H56),0)))</f>
        <v/>
      </c>
      <c r="R56" s="50">
        <f>IF(OR(B56&lt;='VALOR POR PL'!$P$5,$K$12=0),0,$K$18*$K$26*N56/$K$12)</f>
        <v/>
      </c>
      <c r="S56" s="128">
        <f>(IF(AND(52+$K$33&gt;=1,52+$K$33&lt;=72),INDEX($N$5:$N$76,52+$K$33),0)+IF(AND(52+$K$34&gt;=1,52+$K$34&lt;=72),INDEX($N$5:$N$76,52+$K$34),0)+IF(AND(52+$K$35&gt;=1,52+$K$35&lt;=72),INDEX($N$5:$N$76,52+$K$35),0))/3</f>
        <v/>
      </c>
      <c r="T56" s="128">
        <f>IF(B56&lt;='VALOR POR PL'!$P$5,0,S56+IF(B56=DATE(YEAR('VALOR POR PL'!$P$5),MONTH('VALOR POR PL'!$P$5)+1,1),SUMPRODUCT((B5:B76&lt;='VALOR POR PL'!$P$5)*S5:S76),0))</f>
        <v/>
      </c>
      <c r="U56" s="50">
        <f>IF($K$32=0,0,$K$18*$K$27*T56/$K$32)</f>
        <v/>
      </c>
    </row>
    <row r="57">
      <c r="B57" s="129">
        <f>DATE(YEAR(B56),MONTH(B56)+1,1)</f>
        <v/>
      </c>
      <c r="C57" s="63">
        <f>IF(AND($K$22="NÃO",B57&gt;'VALOR POR PL'!$P$5),0,'DADOS HISTORICOS'!BD38)</f>
        <v/>
      </c>
      <c r="D57" s="50">
        <f>IF(B57&lt;='VALOR POR PL'!$P$5,0,IF($K$16="MDO PREVISION + MATERIAL PREMISSA",R57+U57,IF($K$17&gt;0,$K$18*P57/$K$17,0)))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RESUMO'!BD38</f>
        <v/>
      </c>
      <c r="N57" s="128">
        <f>MAX(0,M57-M56)</f>
        <v/>
      </c>
      <c r="O57" s="127">
        <f>IF(B57&lt;='VALOR POR PL'!$P$5,'CP RESUMO'!BD80,"")</f>
        <v/>
      </c>
      <c r="P57" s="72">
        <f>IF(B57&lt;='VALOR POR PL'!$P$5,0,IF(OR($K$16="CURVA PREVISION",$K$16="MDO PREVISION + MATERIAL PREMISSA"),N57,IF($K$16="PREVISÃO INFORMADA",MAX(0,H57),0)))</f>
        <v/>
      </c>
      <c r="R57" s="50">
        <f>IF(OR(B57&lt;='VALOR POR PL'!$P$5,$K$12=0),0,$K$18*$K$26*N57/$K$12)</f>
        <v/>
      </c>
      <c r="S57" s="128">
        <f>(IF(AND(53+$K$33&gt;=1,53+$K$33&lt;=72),INDEX($N$5:$N$76,53+$K$33),0)+IF(AND(53+$K$34&gt;=1,53+$K$34&lt;=72),INDEX($N$5:$N$76,53+$K$34),0)+IF(AND(53+$K$35&gt;=1,53+$K$35&lt;=72),INDEX($N$5:$N$76,53+$K$35),0))/3</f>
        <v/>
      </c>
      <c r="T57" s="128">
        <f>IF(B57&lt;='VALOR POR PL'!$P$5,0,S57+IF(B57=DATE(YEAR('VALOR POR PL'!$P$5),MONTH('VALOR POR PL'!$P$5)+1,1),SUMPRODUCT((B5:B76&lt;='VALOR POR PL'!$P$5)*S5:S76),0))</f>
        <v/>
      </c>
      <c r="U57" s="50">
        <f>IF($K$32=0,0,$K$18*$K$27*T57/$K$32)</f>
        <v/>
      </c>
    </row>
    <row r="58">
      <c r="B58" s="129">
        <f>DATE(YEAR(B57),MONTH(B57)+1,1)</f>
        <v/>
      </c>
      <c r="C58" s="63">
        <f>IF(AND($K$22="NÃO",B58&gt;'VALOR POR PL'!$P$5),0,'DADOS HISTORICOS'!BE38)</f>
        <v/>
      </c>
      <c r="D58" s="50">
        <f>IF(B58&lt;='VALOR POR PL'!$P$5,0,IF($K$16="MDO PREVISION + MATERIAL PREMISSA",R58+U58,IF($K$17&gt;0,$K$18*P58/$K$17,0)))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RESUMO'!BE38</f>
        <v/>
      </c>
      <c r="N58" s="128">
        <f>MAX(0,M58-M57)</f>
        <v/>
      </c>
      <c r="O58" s="127">
        <f>IF(B58&lt;='VALOR POR PL'!$P$5,'CP RESUMO'!BE80,"")</f>
        <v/>
      </c>
      <c r="P58" s="72">
        <f>IF(B58&lt;='VALOR POR PL'!$P$5,0,IF(OR($K$16="CURVA PREVISION",$K$16="MDO PREVISION + MATERIAL PREMISSA"),N58,IF($K$16="PREVISÃO INFORMADA",MAX(0,H58),0)))</f>
        <v/>
      </c>
      <c r="R58" s="50">
        <f>IF(OR(B58&lt;='VALOR POR PL'!$P$5,$K$12=0),0,$K$18*$K$26*N58/$K$12)</f>
        <v/>
      </c>
      <c r="S58" s="128">
        <f>(IF(AND(54+$K$33&gt;=1,54+$K$33&lt;=72),INDEX($N$5:$N$76,54+$K$33),0)+IF(AND(54+$K$34&gt;=1,54+$K$34&lt;=72),INDEX($N$5:$N$76,54+$K$34),0)+IF(AND(54+$K$35&gt;=1,54+$K$35&lt;=72),INDEX($N$5:$N$76,54+$K$35),0))/3</f>
        <v/>
      </c>
      <c r="T58" s="128">
        <f>IF(B58&lt;='VALOR POR PL'!$P$5,0,S58+IF(B58=DATE(YEAR('VALOR POR PL'!$P$5),MONTH('VALOR POR PL'!$P$5)+1,1),SUMPRODUCT((B5:B76&lt;='VALOR POR PL'!$P$5)*S5:S76),0))</f>
        <v/>
      </c>
      <c r="U58" s="50">
        <f>IF($K$32=0,0,$K$18*$K$27*T58/$K$32)</f>
        <v/>
      </c>
    </row>
    <row r="59">
      <c r="B59" s="129">
        <f>DATE(YEAR(B58),MONTH(B58)+1,1)</f>
        <v/>
      </c>
      <c r="C59" s="63">
        <f>IF(AND($K$22="NÃO",B59&gt;'VALOR POR PL'!$P$5),0,'DADOS HISTORICOS'!BF38)</f>
        <v/>
      </c>
      <c r="D59" s="50">
        <f>IF(B59&lt;='VALOR POR PL'!$P$5,0,IF($K$16="MDO PREVISION + MATERIAL PREMISSA",R59+U59,IF($K$17&gt;0,$K$18*P59/$K$17,0)))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RESUMO'!BF38</f>
        <v/>
      </c>
      <c r="N59" s="128">
        <f>MAX(0,M59-M58)</f>
        <v/>
      </c>
      <c r="O59" s="127">
        <f>IF(B59&lt;='VALOR POR PL'!$P$5,'CP RESUMO'!BF80,"")</f>
        <v/>
      </c>
      <c r="P59" s="72">
        <f>IF(B59&lt;='VALOR POR PL'!$P$5,0,IF(OR($K$16="CURVA PREVISION",$K$16="MDO PREVISION + MATERIAL PREMISSA"),N59,IF($K$16="PREVISÃO INFORMADA",MAX(0,H59),0)))</f>
        <v/>
      </c>
      <c r="R59" s="50">
        <f>IF(OR(B59&lt;='VALOR POR PL'!$P$5,$K$12=0),0,$K$18*$K$26*N59/$K$12)</f>
        <v/>
      </c>
      <c r="S59" s="128">
        <f>(IF(AND(55+$K$33&gt;=1,55+$K$33&lt;=72),INDEX($N$5:$N$76,55+$K$33),0)+IF(AND(55+$K$34&gt;=1,55+$K$34&lt;=72),INDEX($N$5:$N$76,55+$K$34),0)+IF(AND(55+$K$35&gt;=1,55+$K$35&lt;=72),INDEX($N$5:$N$76,55+$K$35),0))/3</f>
        <v/>
      </c>
      <c r="T59" s="128">
        <f>IF(B59&lt;='VALOR POR PL'!$P$5,0,S59+IF(B59=DATE(YEAR('VALOR POR PL'!$P$5),MONTH('VALOR POR PL'!$P$5)+1,1),SUMPRODUCT((B5:B76&lt;='VALOR POR PL'!$P$5)*S5:S76),0))</f>
        <v/>
      </c>
      <c r="U59" s="50">
        <f>IF($K$32=0,0,$K$18*$K$27*T59/$K$32)</f>
        <v/>
      </c>
    </row>
    <row r="60">
      <c r="B60" s="129">
        <f>DATE(YEAR(B59),MONTH(B59)+1,1)</f>
        <v/>
      </c>
      <c r="C60" s="63">
        <f>IF(AND($K$22="NÃO",B60&gt;'VALOR POR PL'!$P$5),0,'DADOS HISTORICOS'!BG38)</f>
        <v/>
      </c>
      <c r="D60" s="50">
        <f>IF(B60&lt;='VALOR POR PL'!$P$5,0,IF($K$16="MDO PREVISION + MATERIAL PREMISSA",R60+U60,IF($K$17&gt;0,$K$18*P60/$K$17,0)))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RESUMO'!BG38</f>
        <v/>
      </c>
      <c r="N60" s="128">
        <f>MAX(0,M60-M59)</f>
        <v/>
      </c>
      <c r="O60" s="127">
        <f>IF(B60&lt;='VALOR POR PL'!$P$5,'CP RESUMO'!BG80,"")</f>
        <v/>
      </c>
      <c r="P60" s="72">
        <f>IF(B60&lt;='VALOR POR PL'!$P$5,0,IF(OR($K$16="CURVA PREVISION",$K$16="MDO PREVISION + MATERIAL PREMISSA"),N60,IF($K$16="PREVISÃO INFORMADA",MAX(0,H60),0)))</f>
        <v/>
      </c>
      <c r="R60" s="50">
        <f>IF(OR(B60&lt;='VALOR POR PL'!$P$5,$K$12=0),0,$K$18*$K$26*N60/$K$12)</f>
        <v/>
      </c>
      <c r="S60" s="128">
        <f>(IF(AND(56+$K$33&gt;=1,56+$K$33&lt;=72),INDEX($N$5:$N$76,56+$K$33),0)+IF(AND(56+$K$34&gt;=1,56+$K$34&lt;=72),INDEX($N$5:$N$76,56+$K$34),0)+IF(AND(56+$K$35&gt;=1,56+$K$35&lt;=72),INDEX($N$5:$N$76,56+$K$35),0))/3</f>
        <v/>
      </c>
      <c r="T60" s="128">
        <f>IF(B60&lt;='VALOR POR PL'!$P$5,0,S60+IF(B60=DATE(YEAR('VALOR POR PL'!$P$5),MONTH('VALOR POR PL'!$P$5)+1,1),SUMPRODUCT((B5:B76&lt;='VALOR POR PL'!$P$5)*S5:S76),0))</f>
        <v/>
      </c>
      <c r="U60" s="50">
        <f>IF($K$32=0,0,$K$18*$K$27*T60/$K$32)</f>
        <v/>
      </c>
    </row>
    <row r="61">
      <c r="B61" s="129">
        <f>DATE(YEAR(B60),MONTH(B60)+1,1)</f>
        <v/>
      </c>
      <c r="C61" s="63">
        <f>IF(AND($K$22="NÃO",B61&gt;'VALOR POR PL'!$P$5),0,'DADOS HISTORICOS'!BH38)</f>
        <v/>
      </c>
      <c r="D61" s="50">
        <f>IF(B61&lt;='VALOR POR PL'!$P$5,0,IF($K$16="MDO PREVISION + MATERIAL PREMISSA",R61+U61,IF($K$17&gt;0,$K$18*P61/$K$17,0)))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RESUMO'!BH38</f>
        <v/>
      </c>
      <c r="N61" s="128">
        <f>MAX(0,M61-M60)</f>
        <v/>
      </c>
      <c r="O61" s="127">
        <f>IF(B61&lt;='VALOR POR PL'!$P$5,'CP RESUMO'!BH80,"")</f>
        <v/>
      </c>
      <c r="P61" s="72">
        <f>IF(B61&lt;='VALOR POR PL'!$P$5,0,IF(OR($K$16="CURVA PREVISION",$K$16="MDO PREVISION + MATERIAL PREMISSA"),N61,IF($K$16="PREVISÃO INFORMADA",MAX(0,H61),0)))</f>
        <v/>
      </c>
      <c r="R61" s="50">
        <f>IF(OR(B61&lt;='VALOR POR PL'!$P$5,$K$12=0),0,$K$18*$K$26*N61/$K$12)</f>
        <v/>
      </c>
      <c r="S61" s="128">
        <f>(IF(AND(57+$K$33&gt;=1,57+$K$33&lt;=72),INDEX($N$5:$N$76,57+$K$33),0)+IF(AND(57+$K$34&gt;=1,57+$K$34&lt;=72),INDEX($N$5:$N$76,57+$K$34),0)+IF(AND(57+$K$35&gt;=1,57+$K$35&lt;=72),INDEX($N$5:$N$76,57+$K$35),0))/3</f>
        <v/>
      </c>
      <c r="T61" s="128">
        <f>IF(B61&lt;='VALOR POR PL'!$P$5,0,S61+IF(B61=DATE(YEAR('VALOR POR PL'!$P$5),MONTH('VALOR POR PL'!$P$5)+1,1),SUMPRODUCT((B5:B76&lt;='VALOR POR PL'!$P$5)*S5:S76),0))</f>
        <v/>
      </c>
      <c r="U61" s="50">
        <f>IF($K$32=0,0,$K$18*$K$27*T61/$K$32)</f>
        <v/>
      </c>
    </row>
    <row r="62">
      <c r="B62" s="129">
        <f>DATE(YEAR(B61),MONTH(B61)+1,1)</f>
        <v/>
      </c>
      <c r="C62" s="63">
        <f>IF(AND($K$22="NÃO",B62&gt;'VALOR POR PL'!$P$5),0,'DADOS HISTORICOS'!BI38)</f>
        <v/>
      </c>
      <c r="D62" s="50">
        <f>IF(B62&lt;='VALOR POR PL'!$P$5,0,IF($K$16="MDO PREVISION + MATERIAL PREMISSA",R62+U62,IF($K$17&gt;0,$K$18*P62/$K$17,0)))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RESUMO'!BI38</f>
        <v/>
      </c>
      <c r="N62" s="128">
        <f>MAX(0,M62-M61)</f>
        <v/>
      </c>
      <c r="O62" s="127">
        <f>IF(B62&lt;='VALOR POR PL'!$P$5,'CP RESUMO'!BI80,"")</f>
        <v/>
      </c>
      <c r="P62" s="72">
        <f>IF(B62&lt;='VALOR POR PL'!$P$5,0,IF(OR($K$16="CURVA PREVISION",$K$16="MDO PREVISION + MATERIAL PREMISSA"),N62,IF($K$16="PREVISÃO INFORMADA",MAX(0,H62),0)))</f>
        <v/>
      </c>
      <c r="R62" s="50">
        <f>IF(OR(B62&lt;='VALOR POR PL'!$P$5,$K$12=0),0,$K$18*$K$26*N62/$K$12)</f>
        <v/>
      </c>
      <c r="S62" s="128">
        <f>(IF(AND(58+$K$33&gt;=1,58+$K$33&lt;=72),INDEX($N$5:$N$76,58+$K$33),0)+IF(AND(58+$K$34&gt;=1,58+$K$34&lt;=72),INDEX($N$5:$N$76,58+$K$34),0)+IF(AND(58+$K$35&gt;=1,58+$K$35&lt;=72),INDEX($N$5:$N$76,58+$K$35),0))/3</f>
        <v/>
      </c>
      <c r="T62" s="128">
        <f>IF(B62&lt;='VALOR POR PL'!$P$5,0,S62+IF(B62=DATE(YEAR('VALOR POR PL'!$P$5),MONTH('VALOR POR PL'!$P$5)+1,1),SUMPRODUCT((B5:B76&lt;='VALOR POR PL'!$P$5)*S5:S76),0))</f>
        <v/>
      </c>
      <c r="U62" s="50">
        <f>IF($K$32=0,0,$K$18*$K$27*T62/$K$32)</f>
        <v/>
      </c>
    </row>
    <row r="63">
      <c r="B63" s="129">
        <f>DATE(YEAR(B62),MONTH(B62)+1,1)</f>
        <v/>
      </c>
      <c r="C63" s="63">
        <f>IF(AND($K$22="NÃO",B63&gt;'VALOR POR PL'!$P$5),0,'DADOS HISTORICOS'!BJ38)</f>
        <v/>
      </c>
      <c r="D63" s="50">
        <f>IF(B63&lt;='VALOR POR PL'!$P$5,0,IF($K$16="MDO PREVISION + MATERIAL PREMISSA",R63+U63,IF($K$17&gt;0,$K$18*P63/$K$17,0)))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RESUMO'!BJ38</f>
        <v/>
      </c>
      <c r="N63" s="128">
        <f>MAX(0,M63-M62)</f>
        <v/>
      </c>
      <c r="O63" s="127">
        <f>IF(B63&lt;='VALOR POR PL'!$P$5,'CP RESUMO'!BJ80,"")</f>
        <v/>
      </c>
      <c r="P63" s="72">
        <f>IF(B63&lt;='VALOR POR PL'!$P$5,0,IF(OR($K$16="CURVA PREVISION",$K$16="MDO PREVISION + MATERIAL PREMISSA"),N63,IF($K$16="PREVISÃO INFORMADA",MAX(0,H63),0)))</f>
        <v/>
      </c>
      <c r="R63" s="50">
        <f>IF(OR(B63&lt;='VALOR POR PL'!$P$5,$K$12=0),0,$K$18*$K$26*N63/$K$12)</f>
        <v/>
      </c>
      <c r="S63" s="128">
        <f>(IF(AND(59+$K$33&gt;=1,59+$K$33&lt;=72),INDEX($N$5:$N$76,59+$K$33),0)+IF(AND(59+$K$34&gt;=1,59+$K$34&lt;=72),INDEX($N$5:$N$76,59+$K$34),0)+IF(AND(59+$K$35&gt;=1,59+$K$35&lt;=72),INDEX($N$5:$N$76,59+$K$35),0))/3</f>
        <v/>
      </c>
      <c r="T63" s="128">
        <f>IF(B63&lt;='VALOR POR PL'!$P$5,0,S63+IF(B63=DATE(YEAR('VALOR POR PL'!$P$5),MONTH('VALOR POR PL'!$P$5)+1,1),SUMPRODUCT((B5:B76&lt;='VALOR POR PL'!$P$5)*S5:S76),0))</f>
        <v/>
      </c>
      <c r="U63" s="50">
        <f>IF($K$32=0,0,$K$18*$K$27*T63/$K$32)</f>
        <v/>
      </c>
    </row>
    <row r="64">
      <c r="B64" s="129">
        <f>DATE(YEAR(B63),MONTH(B63)+1,1)</f>
        <v/>
      </c>
      <c r="C64" s="63">
        <f>IF(AND($K$22="NÃO",B64&gt;'VALOR POR PL'!$P$5),0,'DADOS HISTORICOS'!BK38)</f>
        <v/>
      </c>
      <c r="D64" s="50">
        <f>IF(B64&lt;='VALOR POR PL'!$P$5,0,IF($K$16="MDO PREVISION + MATERIAL PREMISSA",R64+U64,IF($K$17&gt;0,$K$18*P64/$K$17,0)))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RESUMO'!BK38</f>
        <v/>
      </c>
      <c r="N64" s="128">
        <f>MAX(0,M64-M63)</f>
        <v/>
      </c>
      <c r="O64" s="127">
        <f>IF(B64&lt;='VALOR POR PL'!$P$5,'CP RESUMO'!BK80,"")</f>
        <v/>
      </c>
      <c r="P64" s="72">
        <f>IF(B64&lt;='VALOR POR PL'!$P$5,0,IF(OR($K$16="CURVA PREVISION",$K$16="MDO PREVISION + MATERIAL PREMISSA"),N64,IF($K$16="PREVISÃO INFORMADA",MAX(0,H64),0)))</f>
        <v/>
      </c>
      <c r="R64" s="50">
        <f>IF(OR(B64&lt;='VALOR POR PL'!$P$5,$K$12=0),0,$K$18*$K$26*N64/$K$12)</f>
        <v/>
      </c>
      <c r="S64" s="128">
        <f>(IF(AND(60+$K$33&gt;=1,60+$K$33&lt;=72),INDEX($N$5:$N$76,60+$K$33),0)+IF(AND(60+$K$34&gt;=1,60+$K$34&lt;=72),INDEX($N$5:$N$76,60+$K$34),0)+IF(AND(60+$K$35&gt;=1,60+$K$35&lt;=72),INDEX($N$5:$N$76,60+$K$35),0))/3</f>
        <v/>
      </c>
      <c r="T64" s="128">
        <f>IF(B64&lt;='VALOR POR PL'!$P$5,0,S64+IF(B64=DATE(YEAR('VALOR POR PL'!$P$5),MONTH('VALOR POR PL'!$P$5)+1,1),SUMPRODUCT((B5:B76&lt;='VALOR POR PL'!$P$5)*S5:S76),0))</f>
        <v/>
      </c>
      <c r="U64" s="50">
        <f>IF($K$32=0,0,$K$18*$K$27*T64/$K$32)</f>
        <v/>
      </c>
    </row>
    <row r="65">
      <c r="B65" s="129">
        <f>DATE(YEAR(B64),MONTH(B64)+1,1)</f>
        <v/>
      </c>
      <c r="C65" s="63">
        <f>IF(AND($K$22="NÃO",B65&gt;'VALOR POR PL'!$P$5),0,'DADOS HISTORICOS'!BL38)</f>
        <v/>
      </c>
      <c r="D65" s="50">
        <f>IF(B65&lt;='VALOR POR PL'!$P$5,0,IF($K$16="MDO PREVISION + MATERIAL PREMISSA",R65+U65,IF($K$17&gt;0,$K$18*P65/$K$17,0)))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RESUMO'!BL38</f>
        <v/>
      </c>
      <c r="N65" s="128">
        <f>MAX(0,M65-M64)</f>
        <v/>
      </c>
      <c r="O65" s="127">
        <f>IF(B65&lt;='VALOR POR PL'!$P$5,'CP RESUMO'!BL80,"")</f>
        <v/>
      </c>
      <c r="P65" s="72">
        <f>IF(B65&lt;='VALOR POR PL'!$P$5,0,IF(OR($K$16="CURVA PREVISION",$K$16="MDO PREVISION + MATERIAL PREMISSA"),N65,IF($K$16="PREVISÃO INFORMADA",MAX(0,H65),0)))</f>
        <v/>
      </c>
      <c r="R65" s="50">
        <f>IF(OR(B65&lt;='VALOR POR PL'!$P$5,$K$12=0),0,$K$18*$K$26*N65/$K$12)</f>
        <v/>
      </c>
      <c r="S65" s="128">
        <f>(IF(AND(61+$K$33&gt;=1,61+$K$33&lt;=72),INDEX($N$5:$N$76,61+$K$33),0)+IF(AND(61+$K$34&gt;=1,61+$K$34&lt;=72),INDEX($N$5:$N$76,61+$K$34),0)+IF(AND(61+$K$35&gt;=1,61+$K$35&lt;=72),INDEX($N$5:$N$76,61+$K$35),0))/3</f>
        <v/>
      </c>
      <c r="T65" s="128">
        <f>IF(B65&lt;='VALOR POR PL'!$P$5,0,S65+IF(B65=DATE(YEAR('VALOR POR PL'!$P$5),MONTH('VALOR POR PL'!$P$5)+1,1),SUMPRODUCT((B5:B76&lt;='VALOR POR PL'!$P$5)*S5:S76),0))</f>
        <v/>
      </c>
      <c r="U65" s="50">
        <f>IF($K$32=0,0,$K$18*$K$27*T65/$K$32)</f>
        <v/>
      </c>
    </row>
    <row r="66">
      <c r="B66" s="129">
        <f>DATE(YEAR(B65),MONTH(B65)+1,1)</f>
        <v/>
      </c>
      <c r="C66" s="63">
        <f>IF(AND($K$22="NÃO",B66&gt;'VALOR POR PL'!$P$5),0,'DADOS HISTORICOS'!BM38)</f>
        <v/>
      </c>
      <c r="D66" s="50">
        <f>IF(B66&lt;='VALOR POR PL'!$P$5,0,IF($K$16="MDO PREVISION + MATERIAL PREMISSA",R66+U66,IF($K$17&gt;0,$K$18*P66/$K$17,0)))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RESUMO'!BM38</f>
        <v/>
      </c>
      <c r="N66" s="128">
        <f>MAX(0,M66-M65)</f>
        <v/>
      </c>
      <c r="O66" s="127">
        <f>IF(B66&lt;='VALOR POR PL'!$P$5,'CP RESUMO'!BM80,"")</f>
        <v/>
      </c>
      <c r="P66" s="72">
        <f>IF(B66&lt;='VALOR POR PL'!$P$5,0,IF(OR($K$16="CURVA PREVISION",$K$16="MDO PREVISION + MATERIAL PREMISSA"),N66,IF($K$16="PREVISÃO INFORMADA",MAX(0,H66),0)))</f>
        <v/>
      </c>
      <c r="R66" s="50">
        <f>IF(OR(B66&lt;='VALOR POR PL'!$P$5,$K$12=0),0,$K$18*$K$26*N66/$K$12)</f>
        <v/>
      </c>
      <c r="S66" s="128">
        <f>(IF(AND(62+$K$33&gt;=1,62+$K$33&lt;=72),INDEX($N$5:$N$76,62+$K$33),0)+IF(AND(62+$K$34&gt;=1,62+$K$34&lt;=72),INDEX($N$5:$N$76,62+$K$34),0)+IF(AND(62+$K$35&gt;=1,62+$K$35&lt;=72),INDEX($N$5:$N$76,62+$K$35),0))/3</f>
        <v/>
      </c>
      <c r="T66" s="128">
        <f>IF(B66&lt;='VALOR POR PL'!$P$5,0,S66+IF(B66=DATE(YEAR('VALOR POR PL'!$P$5),MONTH('VALOR POR PL'!$P$5)+1,1),SUMPRODUCT((B5:B76&lt;='VALOR POR PL'!$P$5)*S5:S76),0))</f>
        <v/>
      </c>
      <c r="U66" s="50">
        <f>IF($K$32=0,0,$K$18*$K$27*T66/$K$32)</f>
        <v/>
      </c>
    </row>
    <row r="67">
      <c r="B67" s="129">
        <f>DATE(YEAR(B66),MONTH(B66)+1,1)</f>
        <v/>
      </c>
      <c r="C67" s="63">
        <f>IF(AND($K$22="NÃO",B67&gt;'VALOR POR PL'!$P$5),0,'DADOS HISTORICOS'!BN38)</f>
        <v/>
      </c>
      <c r="D67" s="50">
        <f>IF(B67&lt;='VALOR POR PL'!$P$5,0,IF($K$16="MDO PREVISION + MATERIAL PREMISSA",R67+U67,IF($K$17&gt;0,$K$18*P67/$K$17,0)))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RESUMO'!BN38</f>
        <v/>
      </c>
      <c r="N67" s="128">
        <f>MAX(0,M67-M66)</f>
        <v/>
      </c>
      <c r="O67" s="127">
        <f>IF(B67&lt;='VALOR POR PL'!$P$5,'CP RESUMO'!BN80,"")</f>
        <v/>
      </c>
      <c r="P67" s="72">
        <f>IF(B67&lt;='VALOR POR PL'!$P$5,0,IF(OR($K$16="CURVA PREVISION",$K$16="MDO PREVISION + MATERIAL PREMISSA"),N67,IF($K$16="PREVISÃO INFORMADA",MAX(0,H67),0)))</f>
        <v/>
      </c>
      <c r="R67" s="50">
        <f>IF(OR(B67&lt;='VALOR POR PL'!$P$5,$K$12=0),0,$K$18*$K$26*N67/$K$12)</f>
        <v/>
      </c>
      <c r="S67" s="128">
        <f>(IF(AND(63+$K$33&gt;=1,63+$K$33&lt;=72),INDEX($N$5:$N$76,63+$K$33),0)+IF(AND(63+$K$34&gt;=1,63+$K$34&lt;=72),INDEX($N$5:$N$76,63+$K$34),0)+IF(AND(63+$K$35&gt;=1,63+$K$35&lt;=72),INDEX($N$5:$N$76,63+$K$35),0))/3</f>
        <v/>
      </c>
      <c r="T67" s="128">
        <f>IF(B67&lt;='VALOR POR PL'!$P$5,0,S67+IF(B67=DATE(YEAR('VALOR POR PL'!$P$5),MONTH('VALOR POR PL'!$P$5)+1,1),SUMPRODUCT((B5:B76&lt;='VALOR POR PL'!$P$5)*S5:S76),0))</f>
        <v/>
      </c>
      <c r="U67" s="50">
        <f>IF($K$32=0,0,$K$18*$K$27*T67/$K$32)</f>
        <v/>
      </c>
    </row>
    <row r="68">
      <c r="B68" s="129">
        <f>DATE(YEAR(B67),MONTH(B67)+1,1)</f>
        <v/>
      </c>
      <c r="C68" s="63">
        <f>IF(AND($K$22="NÃO",B68&gt;'VALOR POR PL'!$P$5),0,'DADOS HISTORICOS'!BO38)</f>
        <v/>
      </c>
      <c r="D68" s="50">
        <f>IF(B68&lt;='VALOR POR PL'!$P$5,0,IF($K$16="MDO PREVISION + MATERIAL PREMISSA",R68+U68,IF($K$17&gt;0,$K$18*P68/$K$17,0)))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RESUMO'!BO38</f>
        <v/>
      </c>
      <c r="N68" s="128">
        <f>MAX(0,M68-M67)</f>
        <v/>
      </c>
      <c r="O68" s="127">
        <f>IF(B68&lt;='VALOR POR PL'!$P$5,'CP RESUMO'!BO80,"")</f>
        <v/>
      </c>
      <c r="P68" s="72">
        <f>IF(B68&lt;='VALOR POR PL'!$P$5,0,IF(OR($K$16="CURVA PREVISION",$K$16="MDO PREVISION + MATERIAL PREMISSA"),N68,IF($K$16="PREVISÃO INFORMADA",MAX(0,H68),0)))</f>
        <v/>
      </c>
      <c r="R68" s="50">
        <f>IF(OR(B68&lt;='VALOR POR PL'!$P$5,$K$12=0),0,$K$18*$K$26*N68/$K$12)</f>
        <v/>
      </c>
      <c r="S68" s="128">
        <f>(IF(AND(64+$K$33&gt;=1,64+$K$33&lt;=72),INDEX($N$5:$N$76,64+$K$33),0)+IF(AND(64+$K$34&gt;=1,64+$K$34&lt;=72),INDEX($N$5:$N$76,64+$K$34),0)+IF(AND(64+$K$35&gt;=1,64+$K$35&lt;=72),INDEX($N$5:$N$76,64+$K$35),0))/3</f>
        <v/>
      </c>
      <c r="T68" s="128">
        <f>IF(B68&lt;='VALOR POR PL'!$P$5,0,S68+IF(B68=DATE(YEAR('VALOR POR PL'!$P$5),MONTH('VALOR POR PL'!$P$5)+1,1),SUMPRODUCT((B5:B76&lt;='VALOR POR PL'!$P$5)*S5:S76),0))</f>
        <v/>
      </c>
      <c r="U68" s="50">
        <f>IF($K$32=0,0,$K$18*$K$27*T68/$K$32)</f>
        <v/>
      </c>
    </row>
    <row r="69">
      <c r="B69" s="129">
        <f>DATE(YEAR(B68),MONTH(B68)+1,1)</f>
        <v/>
      </c>
      <c r="C69" s="63">
        <f>IF(AND($K$22="NÃO",B69&gt;'VALOR POR PL'!$P$5),0,'DADOS HISTORICOS'!BP38)</f>
        <v/>
      </c>
      <c r="D69" s="50">
        <f>IF(B69&lt;='VALOR POR PL'!$P$5,0,IF($K$16="MDO PREVISION + MATERIAL PREMISSA",R69+U69,IF($K$17&gt;0,$K$18*P69/$K$17,0)))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RESUMO'!BP38</f>
        <v/>
      </c>
      <c r="N69" s="128">
        <f>MAX(0,M69-M68)</f>
        <v/>
      </c>
      <c r="O69" s="127">
        <f>IF(B69&lt;='VALOR POR PL'!$P$5,'CP RESUMO'!BP80,"")</f>
        <v/>
      </c>
      <c r="P69" s="72">
        <f>IF(B69&lt;='VALOR POR PL'!$P$5,0,IF(OR($K$16="CURVA PREVISION",$K$16="MDO PREVISION + MATERIAL PREMISSA"),N69,IF($K$16="PREVISÃO INFORMADA",MAX(0,H69),0)))</f>
        <v/>
      </c>
      <c r="R69" s="50">
        <f>IF(OR(B69&lt;='VALOR POR PL'!$P$5,$K$12=0),0,$K$18*$K$26*N69/$K$12)</f>
        <v/>
      </c>
      <c r="S69" s="128">
        <f>(IF(AND(65+$K$33&gt;=1,65+$K$33&lt;=72),INDEX($N$5:$N$76,65+$K$33),0)+IF(AND(65+$K$34&gt;=1,65+$K$34&lt;=72),INDEX($N$5:$N$76,65+$K$34),0)+IF(AND(65+$K$35&gt;=1,65+$K$35&lt;=72),INDEX($N$5:$N$76,65+$K$35),0))/3</f>
        <v/>
      </c>
      <c r="T69" s="128">
        <f>IF(B69&lt;='VALOR POR PL'!$P$5,0,S69+IF(B69=DATE(YEAR('VALOR POR PL'!$P$5),MONTH('VALOR POR PL'!$P$5)+1,1),SUMPRODUCT((B5:B76&lt;='VALOR POR PL'!$P$5)*S5:S76),0))</f>
        <v/>
      </c>
      <c r="U69" s="50">
        <f>IF($K$32=0,0,$K$18*$K$27*T69/$K$32)</f>
        <v/>
      </c>
    </row>
    <row r="70">
      <c r="B70" s="129">
        <f>DATE(YEAR(B69),MONTH(B69)+1,1)</f>
        <v/>
      </c>
      <c r="C70" s="63">
        <f>IF(AND($K$22="NÃO",B70&gt;'VALOR POR PL'!$P$5),0,'DADOS HISTORICOS'!BQ38)</f>
        <v/>
      </c>
      <c r="D70" s="50">
        <f>IF(B70&lt;='VALOR POR PL'!$P$5,0,IF($K$16="MDO PREVISION + MATERIAL PREMISSA",R70+U70,IF($K$17&gt;0,$K$18*P70/$K$17,0)))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RESUMO'!BQ38</f>
        <v/>
      </c>
      <c r="N70" s="128">
        <f>MAX(0,M70-M69)</f>
        <v/>
      </c>
      <c r="O70" s="127">
        <f>IF(B70&lt;='VALOR POR PL'!$P$5,'CP RESUMO'!BQ80,"")</f>
        <v/>
      </c>
      <c r="P70" s="72">
        <f>IF(B70&lt;='VALOR POR PL'!$P$5,0,IF(OR($K$16="CURVA PREVISION",$K$16="MDO PREVISION + MATERIAL PREMISSA"),N70,IF($K$16="PREVISÃO INFORMADA",MAX(0,H70),0)))</f>
        <v/>
      </c>
      <c r="R70" s="50">
        <f>IF(OR(B70&lt;='VALOR POR PL'!$P$5,$K$12=0),0,$K$18*$K$26*N70/$K$12)</f>
        <v/>
      </c>
      <c r="S70" s="128">
        <f>(IF(AND(66+$K$33&gt;=1,66+$K$33&lt;=72),INDEX($N$5:$N$76,66+$K$33),0)+IF(AND(66+$K$34&gt;=1,66+$K$34&lt;=72),INDEX($N$5:$N$76,66+$K$34),0)+IF(AND(66+$K$35&gt;=1,66+$K$35&lt;=72),INDEX($N$5:$N$76,66+$K$35),0))/3</f>
        <v/>
      </c>
      <c r="T70" s="128">
        <f>IF(B70&lt;='VALOR POR PL'!$P$5,0,S70+IF(B70=DATE(YEAR('VALOR POR PL'!$P$5),MONTH('VALOR POR PL'!$P$5)+1,1),SUMPRODUCT((B5:B76&lt;='VALOR POR PL'!$P$5)*S5:S76),0))</f>
        <v/>
      </c>
      <c r="U70" s="50">
        <f>IF($K$32=0,0,$K$18*$K$27*T70/$K$32)</f>
        <v/>
      </c>
    </row>
    <row r="71">
      <c r="B71" s="129">
        <f>DATE(YEAR(B70),MONTH(B70)+1,1)</f>
        <v/>
      </c>
      <c r="C71" s="63">
        <f>IF(AND($K$22="NÃO",B71&gt;'VALOR POR PL'!$P$5),0,'DADOS HISTORICOS'!BR38)</f>
        <v/>
      </c>
      <c r="D71" s="50">
        <f>IF(B71&lt;='VALOR POR PL'!$P$5,0,IF($K$16="MDO PREVISION + MATERIAL PREMISSA",R71+U71,IF($K$17&gt;0,$K$18*P71/$K$17,0)))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RESUMO'!BR38</f>
        <v/>
      </c>
      <c r="N71" s="128">
        <f>MAX(0,M71-M70)</f>
        <v/>
      </c>
      <c r="O71" s="127">
        <f>IF(B71&lt;='VALOR POR PL'!$P$5,'CP RESUMO'!BR80,"")</f>
        <v/>
      </c>
      <c r="P71" s="72">
        <f>IF(B71&lt;='VALOR POR PL'!$P$5,0,IF(OR($K$16="CURVA PREVISION",$K$16="MDO PREVISION + MATERIAL PREMISSA"),N71,IF($K$16="PREVISÃO INFORMADA",MAX(0,H71),0)))</f>
        <v/>
      </c>
      <c r="R71" s="50">
        <f>IF(OR(B71&lt;='VALOR POR PL'!$P$5,$K$12=0),0,$K$18*$K$26*N71/$K$12)</f>
        <v/>
      </c>
      <c r="S71" s="128">
        <f>(IF(AND(67+$K$33&gt;=1,67+$K$33&lt;=72),INDEX($N$5:$N$76,67+$K$33),0)+IF(AND(67+$K$34&gt;=1,67+$K$34&lt;=72),INDEX($N$5:$N$76,67+$K$34),0)+IF(AND(67+$K$35&gt;=1,67+$K$35&lt;=72),INDEX($N$5:$N$76,67+$K$35),0))/3</f>
        <v/>
      </c>
      <c r="T71" s="128">
        <f>IF(B71&lt;='VALOR POR PL'!$P$5,0,S71+IF(B71=DATE(YEAR('VALOR POR PL'!$P$5),MONTH('VALOR POR PL'!$P$5)+1,1),SUMPRODUCT((B5:B76&lt;='VALOR POR PL'!$P$5)*S5:S76),0))</f>
        <v/>
      </c>
      <c r="U71" s="50">
        <f>IF($K$32=0,0,$K$18*$K$27*T71/$K$32)</f>
        <v/>
      </c>
    </row>
    <row r="72">
      <c r="B72" s="129">
        <f>DATE(YEAR(B71),MONTH(B71)+1,1)</f>
        <v/>
      </c>
      <c r="C72" s="63">
        <f>IF(AND($K$22="NÃO",B72&gt;'VALOR POR PL'!$P$5),0,'DADOS HISTORICOS'!BS38)</f>
        <v/>
      </c>
      <c r="D72" s="50">
        <f>IF(B72&lt;='VALOR POR PL'!$P$5,0,IF($K$16="MDO PREVISION + MATERIAL PREMISSA",R72+U72,IF($K$17&gt;0,$K$18*P72/$K$17,0)))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RESUMO'!BS38</f>
        <v/>
      </c>
      <c r="N72" s="128">
        <f>MAX(0,M72-M71)</f>
        <v/>
      </c>
      <c r="O72" s="127">
        <f>IF(B72&lt;='VALOR POR PL'!$P$5,'CP RESUMO'!BS80,"")</f>
        <v/>
      </c>
      <c r="P72" s="72">
        <f>IF(B72&lt;='VALOR POR PL'!$P$5,0,IF(OR($K$16="CURVA PREVISION",$K$16="MDO PREVISION + MATERIAL PREMISSA"),N72,IF($K$16="PREVISÃO INFORMADA",MAX(0,H72),0)))</f>
        <v/>
      </c>
      <c r="R72" s="50">
        <f>IF(OR(B72&lt;='VALOR POR PL'!$P$5,$K$12=0),0,$K$18*$K$26*N72/$K$12)</f>
        <v/>
      </c>
      <c r="S72" s="128">
        <f>(IF(AND(68+$K$33&gt;=1,68+$K$33&lt;=72),INDEX($N$5:$N$76,68+$K$33),0)+IF(AND(68+$K$34&gt;=1,68+$K$34&lt;=72),INDEX($N$5:$N$76,68+$K$34),0)+IF(AND(68+$K$35&gt;=1,68+$K$35&lt;=72),INDEX($N$5:$N$76,68+$K$35),0))/3</f>
        <v/>
      </c>
      <c r="T72" s="128">
        <f>IF(B72&lt;='VALOR POR PL'!$P$5,0,S72+IF(B72=DATE(YEAR('VALOR POR PL'!$P$5),MONTH('VALOR POR PL'!$P$5)+1,1),SUMPRODUCT((B5:B76&lt;='VALOR POR PL'!$P$5)*S5:S76),0))</f>
        <v/>
      </c>
      <c r="U72" s="50">
        <f>IF($K$32=0,0,$K$18*$K$27*T72/$K$32)</f>
        <v/>
      </c>
    </row>
    <row r="73">
      <c r="B73" s="129">
        <f>DATE(YEAR(B72),MONTH(B72)+1,1)</f>
        <v/>
      </c>
      <c r="C73" s="63">
        <f>IF(AND($K$22="NÃO",B73&gt;'VALOR POR PL'!$P$5),0,'DADOS HISTORICOS'!BT38)</f>
        <v/>
      </c>
      <c r="D73" s="50">
        <f>IF(B73&lt;='VALOR POR PL'!$P$5,0,IF($K$16="MDO PREVISION + MATERIAL PREMISSA",R73+U73,IF($K$17&gt;0,$K$18*P73/$K$17,0)))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RESUMO'!BT38</f>
        <v/>
      </c>
      <c r="N73" s="128">
        <f>MAX(0,M73-M72)</f>
        <v/>
      </c>
      <c r="O73" s="127">
        <f>IF(B73&lt;='VALOR POR PL'!$P$5,'CP RESUMO'!BT80,"")</f>
        <v/>
      </c>
      <c r="P73" s="72">
        <f>IF(B73&lt;='VALOR POR PL'!$P$5,0,IF(OR($K$16="CURVA PREVISION",$K$16="MDO PREVISION + MATERIAL PREMISSA"),N73,IF($K$16="PREVISÃO INFORMADA",MAX(0,H73),0)))</f>
        <v/>
      </c>
      <c r="R73" s="50">
        <f>IF(OR(B73&lt;='VALOR POR PL'!$P$5,$K$12=0),0,$K$18*$K$26*N73/$K$12)</f>
        <v/>
      </c>
      <c r="S73" s="128">
        <f>(IF(AND(69+$K$33&gt;=1,69+$K$33&lt;=72),INDEX($N$5:$N$76,69+$K$33),0)+IF(AND(69+$K$34&gt;=1,69+$K$34&lt;=72),INDEX($N$5:$N$76,69+$K$34),0)+IF(AND(69+$K$35&gt;=1,69+$K$35&lt;=72),INDEX($N$5:$N$76,69+$K$35),0))/3</f>
        <v/>
      </c>
      <c r="T73" s="128">
        <f>IF(B73&lt;='VALOR POR PL'!$P$5,0,S73+IF(B73=DATE(YEAR('VALOR POR PL'!$P$5),MONTH('VALOR POR PL'!$P$5)+1,1),SUMPRODUCT((B5:B76&lt;='VALOR POR PL'!$P$5)*S5:S76),0))</f>
        <v/>
      </c>
      <c r="U73" s="50">
        <f>IF($K$32=0,0,$K$18*$K$27*T73/$K$32)</f>
        <v/>
      </c>
    </row>
    <row r="74">
      <c r="B74" s="129">
        <f>DATE(YEAR(B73),MONTH(B73)+1,1)</f>
        <v/>
      </c>
      <c r="C74" s="63">
        <f>IF(AND($K$22="NÃO",B74&gt;'VALOR POR PL'!$P$5),0,'DADOS HISTORICOS'!BU38)</f>
        <v/>
      </c>
      <c r="D74" s="50">
        <f>IF(B74&lt;='VALOR POR PL'!$P$5,0,IF($K$16="MDO PREVISION + MATERIAL PREMISSA",R74+U74,IF($K$17&gt;0,$K$18*P74/$K$17,0)))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RESUMO'!BU38</f>
        <v/>
      </c>
      <c r="N74" s="128">
        <f>MAX(0,M74-M73)</f>
        <v/>
      </c>
      <c r="O74" s="127">
        <f>IF(B74&lt;='VALOR POR PL'!$P$5,'CP RESUMO'!BU80,"")</f>
        <v/>
      </c>
      <c r="P74" s="72">
        <f>IF(B74&lt;='VALOR POR PL'!$P$5,0,IF(OR($K$16="CURVA PREVISION",$K$16="MDO PREVISION + MATERIAL PREMISSA"),N74,IF($K$16="PREVISÃO INFORMADA",MAX(0,H74),0)))</f>
        <v/>
      </c>
      <c r="R74" s="50">
        <f>IF(OR(B74&lt;='VALOR POR PL'!$P$5,$K$12=0),0,$K$18*$K$26*N74/$K$12)</f>
        <v/>
      </c>
      <c r="S74" s="128">
        <f>(IF(AND(70+$K$33&gt;=1,70+$K$33&lt;=72),INDEX($N$5:$N$76,70+$K$33),0)+IF(AND(70+$K$34&gt;=1,70+$K$34&lt;=72),INDEX($N$5:$N$76,70+$K$34),0)+IF(AND(70+$K$35&gt;=1,70+$K$35&lt;=72),INDEX($N$5:$N$76,70+$K$35),0))/3</f>
        <v/>
      </c>
      <c r="T74" s="128">
        <f>IF(B74&lt;='VALOR POR PL'!$P$5,0,S74+IF(B74=DATE(YEAR('VALOR POR PL'!$P$5),MONTH('VALOR POR PL'!$P$5)+1,1),SUMPRODUCT((B5:B76&lt;='VALOR POR PL'!$P$5)*S5:S76),0))</f>
        <v/>
      </c>
      <c r="U74" s="50">
        <f>IF($K$32=0,0,$K$18*$K$27*T74/$K$32)</f>
        <v/>
      </c>
    </row>
    <row r="75">
      <c r="B75" s="129">
        <f>DATE(YEAR(B74),MONTH(B74)+1,1)</f>
        <v/>
      </c>
      <c r="C75" s="63">
        <f>IF(AND($K$22="NÃO",B75&gt;'VALOR POR PL'!$P$5),0,'DADOS HISTORICOS'!BV38)</f>
        <v/>
      </c>
      <c r="D75" s="50">
        <f>IF(B75&lt;='VALOR POR PL'!$P$5,0,IF($K$16="MDO PREVISION + MATERIAL PREMISSA",R75+U75,IF($K$17&gt;0,$K$18*P75/$K$17,0)))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RESUMO'!BV38</f>
        <v/>
      </c>
      <c r="N75" s="128">
        <f>MAX(0,M75-M74)</f>
        <v/>
      </c>
      <c r="O75" s="127">
        <f>IF(B75&lt;='VALOR POR PL'!$P$5,'CP RESUMO'!BV80,"")</f>
        <v/>
      </c>
      <c r="P75" s="72">
        <f>IF(B75&lt;='VALOR POR PL'!$P$5,0,IF(OR($K$16="CURVA PREVISION",$K$16="MDO PREVISION + MATERIAL PREMISSA"),N75,IF($K$16="PREVISÃO INFORMADA",MAX(0,H75),0)))</f>
        <v/>
      </c>
      <c r="R75" s="50">
        <f>IF(OR(B75&lt;='VALOR POR PL'!$P$5,$K$12=0),0,$K$18*$K$26*N75/$K$12)</f>
        <v/>
      </c>
      <c r="S75" s="128">
        <f>(IF(AND(71+$K$33&gt;=1,71+$K$33&lt;=72),INDEX($N$5:$N$76,71+$K$33),0)+IF(AND(71+$K$34&gt;=1,71+$K$34&lt;=72),INDEX($N$5:$N$76,71+$K$34),0)+IF(AND(71+$K$35&gt;=1,71+$K$35&lt;=72),INDEX($N$5:$N$76,71+$K$35),0))/3</f>
        <v/>
      </c>
      <c r="T75" s="128">
        <f>IF(B75&lt;='VALOR POR PL'!$P$5,0,S75+IF(B75=DATE(YEAR('VALOR POR PL'!$P$5),MONTH('VALOR POR PL'!$P$5)+1,1),SUMPRODUCT((B5:B76&lt;='VALOR POR PL'!$P$5)*S5:S76),0))</f>
        <v/>
      </c>
      <c r="U75" s="50">
        <f>IF($K$32=0,0,$K$18*$K$27*T75/$K$32)</f>
        <v/>
      </c>
    </row>
    <row r="76">
      <c r="B76" s="129">
        <f>DATE(YEAR(B75),MONTH(B75)+1,1)</f>
        <v/>
      </c>
      <c r="C76" s="63">
        <f>IF(AND($K$22="NÃO",B76&gt;'VALOR POR PL'!$P$5),0,'DADOS HISTORICOS'!BW38)</f>
        <v/>
      </c>
      <c r="D76" s="50">
        <f>IF(B76&lt;='VALOR POR PL'!$P$5,0,IF($K$16="MDO PREVISION + MATERIAL PREMISSA",R76+U76,IF($K$17&gt;0,$K$18*P76/$K$17,0)))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RESUMO'!BW38</f>
        <v/>
      </c>
      <c r="N76" s="128">
        <f>MAX(0,M76-M75)</f>
        <v/>
      </c>
      <c r="O76" s="127">
        <f>IF(B76&lt;='VALOR POR PL'!$P$5,'CP RESUMO'!BW80,"")</f>
        <v/>
      </c>
      <c r="P76" s="72">
        <f>IF(B76&lt;='VALOR POR PL'!$P$5,0,IF(OR($K$16="CURVA PREVISION",$K$16="MDO PREVISION + MATERIAL PREMISSA"),N76,IF($K$16="PREVISÃO INFORMADA",MAX(0,H76),0)))</f>
        <v/>
      </c>
      <c r="R76" s="50">
        <f>IF(OR(B76&lt;='VALOR POR PL'!$P$5,$K$12=0),0,$K$18*$K$26*N76/$K$12)</f>
        <v/>
      </c>
      <c r="S76" s="128">
        <f>(IF(AND(72+$K$33&gt;=1,72+$K$33&lt;=72),INDEX($N$5:$N$76,72+$K$33),0)+IF(AND(72+$K$34&gt;=1,72+$K$34&lt;=72),INDEX($N$5:$N$76,72+$K$34),0)+IF(AND(72+$K$35&gt;=1,72+$K$35&lt;=72),INDEX($N$5:$N$76,72+$K$35),0))/3</f>
        <v/>
      </c>
      <c r="T76" s="128">
        <f>IF(B76&lt;='VALOR POR PL'!$P$5,0,S76+IF(B76=DATE(YEAR('VALOR POR PL'!$P$5),MONTH('VALOR POR PL'!$P$5)+1,1),SUMPRODUCT((B5:B76&lt;='VALOR POR PL'!$P$5)*S5:S76),0))</f>
        <v/>
      </c>
      <c r="U76" s="50">
        <f>IF($K$32=0,0,$K$18*$K$27*T76/$K$32)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  <c r="R78" s="65">
        <f>SUM(R5:R76)</f>
        <v/>
      </c>
      <c r="U78" s="65">
        <f>SUM(U5:U76)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PL'!D45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HISTORICOS'!D39)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PL'!F45</f>
        <v/>
      </c>
      <c r="K5" s="63">
        <f>'VALOR POR PL'!G45</f>
        <v/>
      </c>
      <c r="M5" s="127">
        <f>'CP RESUMO'!D39</f>
        <v/>
      </c>
      <c r="N5" s="128" t="n">
        <v>0</v>
      </c>
      <c r="O5" s="127">
        <f>IF(B5&lt;='VALOR POR PL'!$P$5,'CP RESUMO'!D81,"")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HISTORICOS'!E39)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RESUMO'!E39</f>
        <v/>
      </c>
      <c r="N6" s="128">
        <f>MAX(0,M6-M5)</f>
        <v/>
      </c>
      <c r="O6" s="127">
        <f>IF(B6&lt;='VALOR POR PL'!$P$5,'CP RESUMO'!E81,"")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HISTORICOS'!F39)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PL'!L45</f>
        <v/>
      </c>
      <c r="M7" s="127">
        <f>'CP RESUMO'!F39</f>
        <v/>
      </c>
      <c r="N7" s="128">
        <f>MAX(0,M7-M6)</f>
        <v/>
      </c>
      <c r="O7" s="127">
        <f>IF(B7&lt;='VALOR POR PL'!$P$5,'CP RESUMO'!F81,"")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HISTORICOS'!G39)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RESUMO'!G39</f>
        <v/>
      </c>
      <c r="N8" s="128">
        <f>MAX(0,M8-M7)</f>
        <v/>
      </c>
      <c r="O8" s="127">
        <f>IF(B8&lt;='VALOR POR PL'!$P$5,'CP RESUMO'!G81,"")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HISTORICOS'!H39)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RESUMO'!H39</f>
        <v/>
      </c>
      <c r="N9" s="128">
        <f>MAX(0,M9-M8)</f>
        <v/>
      </c>
      <c r="O9" s="127">
        <f>IF(B9&lt;='VALOR POR PL'!$P$5,'CP RESUMO'!H81,"")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HISTORICOS'!I39)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RESUMO'!I39</f>
        <v/>
      </c>
      <c r="N10" s="128">
        <f>MAX(0,M10-M9)</f>
        <v/>
      </c>
      <c r="O10" s="127">
        <f>IF(B10&lt;='VALOR POR PL'!$P$5,'CP RESUMO'!I81,"")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HISTORICOS'!J39)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RESUMO'!J39</f>
        <v/>
      </c>
      <c r="N11" s="128">
        <f>MAX(0,M11-M10)</f>
        <v/>
      </c>
      <c r="O11" s="127">
        <f>IF(B11&lt;='VALOR POR PL'!$P$5,'CP RESUMO'!J81,"")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HISTORICOS'!K39)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RESUMO'!K39</f>
        <v/>
      </c>
      <c r="N12" s="128">
        <f>MAX(0,M12-M11)</f>
        <v/>
      </c>
      <c r="O12" s="127">
        <f>IF(B12&lt;='VALOR POR PL'!$P$5,'CP RESUMO'!K81,"")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HISTORICOS'!L39)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PL'!I45</f>
        <v/>
      </c>
      <c r="M13" s="127">
        <f>'CP RESUMO'!L39</f>
        <v/>
      </c>
      <c r="N13" s="128">
        <f>MAX(0,M13-M12)</f>
        <v/>
      </c>
      <c r="O13" s="127">
        <f>IF(B13&lt;='VALOR POR PL'!$P$5,'CP RESUMO'!L81,"")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HISTORICOS'!M39)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RESUMO'!$D$81:$BW$81,MATCH('VALOR POR PL'!$P$5,'CP RESUMO'!$D$4:$BW$4,0))/100,0)</f>
        <v/>
      </c>
      <c r="M14" s="127">
        <f>'CP RESUMO'!M39</f>
        <v/>
      </c>
      <c r="N14" s="128">
        <f>MAX(0,M14-M13)</f>
        <v/>
      </c>
      <c r="O14" s="127">
        <f>IF(B14&lt;='VALOR POR PL'!$P$5,'CP RESUMO'!M81,"")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HISTORICOS'!N39)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RESUMO'!N39</f>
        <v/>
      </c>
      <c r="N15" s="128">
        <f>MAX(0,M15-M14)</f>
        <v/>
      </c>
      <c r="O15" s="127">
        <f>IF(B15&lt;='VALOR POR PL'!$P$5,'CP RESUMO'!N81,"")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HISTORICOS'!O39)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RESUMO'!O39</f>
        <v/>
      </c>
      <c r="N16" s="128">
        <f>MAX(0,M16-M15)</f>
        <v/>
      </c>
      <c r="O16" s="127">
        <f>IF(B16&lt;='VALOR POR PL'!$P$5,'CP RESUMO'!O81,"")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HISTORICOS'!P39)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RESUMO'!P39</f>
        <v/>
      </c>
      <c r="N17" s="128">
        <f>MAX(0,M17-M16)</f>
        <v/>
      </c>
      <c r="O17" s="127">
        <f>IF(B17&lt;='VALOR POR PL'!$P$5,'CP RESUMO'!P81,"")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HISTORICOS'!Q39)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RESUMO'!Q39</f>
        <v/>
      </c>
      <c r="N18" s="128">
        <f>MAX(0,M18-M17)</f>
        <v/>
      </c>
      <c r="O18" s="127">
        <f>IF(B18&lt;='VALOR POR PL'!$P$5,'CP RESUMO'!Q81,"")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HISTORICOS'!R39)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RESUMO'!R39</f>
        <v/>
      </c>
      <c r="N19" s="128">
        <f>MAX(0,M19-M18)</f>
        <v/>
      </c>
      <c r="O19" s="127">
        <f>IF(B19&lt;='VALOR POR PL'!$P$5,'CP RESUMO'!R81,"")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HISTORICOS'!S39)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RESUMO'!S39</f>
        <v/>
      </c>
      <c r="N20" s="128">
        <f>MAX(0,M20-M19)</f>
        <v/>
      </c>
      <c r="O20" s="127">
        <f>IF(B20&lt;='VALOR POR PL'!$P$5,'CP RESUMO'!S81,"")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HISTORICOS'!T39)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RESUMO'!T39</f>
        <v/>
      </c>
      <c r="N21" s="128">
        <f>MAX(0,M21-M20)</f>
        <v/>
      </c>
      <c r="O21" s="127">
        <f>IF(B21&lt;='VALOR POR PL'!$P$5,'CP RESUMO'!T81,"")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HISTORICOS'!U39)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RESUMO'!U39</f>
        <v/>
      </c>
      <c r="N22" s="128">
        <f>MAX(0,M22-M21)</f>
        <v/>
      </c>
      <c r="O22" s="127">
        <f>IF(B22&lt;='VALOR POR PL'!$P$5,'CP RESUMO'!U81,"")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HISTORICOS'!V39)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RESUMO'!V39</f>
        <v/>
      </c>
      <c r="N23" s="128">
        <f>MAX(0,M23-M22)</f>
        <v/>
      </c>
      <c r="O23" s="127">
        <f>IF(B23&lt;='VALOR POR PL'!$P$5,'CP RESUMO'!V81,"")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HISTORICOS'!W39)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RESUMO'!W39</f>
        <v/>
      </c>
      <c r="N24" s="128">
        <f>MAX(0,M24-M23)</f>
        <v/>
      </c>
      <c r="O24" s="127">
        <f>IF(B24&lt;='VALOR POR PL'!$P$5,'CP RESUMO'!W81,"")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HISTORICOS'!X39)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RESUMO'!X39</f>
        <v/>
      </c>
      <c r="N25" s="128">
        <f>MAX(0,M25-M24)</f>
        <v/>
      </c>
      <c r="O25" s="127">
        <f>IF(B25&lt;='VALOR POR PL'!$P$5,'CP RESUMO'!X81,"")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HISTORICOS'!Y39)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RESUMO'!Y39</f>
        <v/>
      </c>
      <c r="N26" s="128">
        <f>MAX(0,M26-M25)</f>
        <v/>
      </c>
      <c r="O26" s="127">
        <f>IF(B26&lt;='VALOR POR PL'!$P$5,'CP RESUMO'!Y81,"")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HISTORICOS'!Z39)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RESUMO'!Z39</f>
        <v/>
      </c>
      <c r="N27" s="128">
        <f>MAX(0,M27-M26)</f>
        <v/>
      </c>
      <c r="O27" s="127">
        <f>IF(B27&lt;='VALOR POR PL'!$P$5,'CP RESUMO'!Z81,"")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HISTORICOS'!AA39)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RESUMO'!AA39</f>
        <v/>
      </c>
      <c r="N28" s="128">
        <f>MAX(0,M28-M27)</f>
        <v/>
      </c>
      <c r="O28" s="127">
        <f>IF(B28&lt;='VALOR POR PL'!$P$5,'CP RESUMO'!AA81,"")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HISTORICOS'!AB39)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RESUMO'!AB39</f>
        <v/>
      </c>
      <c r="N29" s="128">
        <f>MAX(0,M29-M28)</f>
        <v/>
      </c>
      <c r="O29" s="127">
        <f>IF(B29&lt;='VALOR POR PL'!$P$5,'CP RESUMO'!AB81,"")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HISTORICOS'!AC39)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RESUMO'!AC39</f>
        <v/>
      </c>
      <c r="N30" s="128">
        <f>MAX(0,M30-M29)</f>
        <v/>
      </c>
      <c r="O30" s="127">
        <f>IF(B30&lt;='VALOR POR PL'!$P$5,'CP RESUMO'!AC81,"")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HISTORICOS'!AD39)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RESUMO'!AD39</f>
        <v/>
      </c>
      <c r="N31" s="128">
        <f>MAX(0,M31-M30)</f>
        <v/>
      </c>
      <c r="O31" s="127">
        <f>IF(B31&lt;='VALOR POR PL'!$P$5,'CP RESUMO'!AD81,"")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HISTORICOS'!AE39)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RESUMO'!AE39</f>
        <v/>
      </c>
      <c r="N32" s="128">
        <f>MAX(0,M32-M31)</f>
        <v/>
      </c>
      <c r="O32" s="127">
        <f>IF(B32&lt;='VALOR POR PL'!$P$5,'CP RESUMO'!AE81,"")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HISTORICOS'!AF39)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RESUMO'!AF39</f>
        <v/>
      </c>
      <c r="N33" s="128">
        <f>MAX(0,M33-M32)</f>
        <v/>
      </c>
      <c r="O33" s="127">
        <f>IF(B33&lt;='VALOR POR PL'!$P$5,'CP RESUMO'!AF81,"")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HISTORICOS'!AG39)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RESUMO'!AG39</f>
        <v/>
      </c>
      <c r="N34" s="128">
        <f>MAX(0,M34-M33)</f>
        <v/>
      </c>
      <c r="O34" s="127">
        <f>IF(B34&lt;='VALOR POR PL'!$P$5,'CP RESUMO'!AG81,"")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HISTORICOS'!AH39)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RESUMO'!AH39</f>
        <v/>
      </c>
      <c r="N35" s="128">
        <f>MAX(0,M35-M34)</f>
        <v/>
      </c>
      <c r="O35" s="127">
        <f>IF(B35&lt;='VALOR POR PL'!$P$5,'CP RESUMO'!AH81,"")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HISTORICOS'!AI39)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RESUMO'!AI39</f>
        <v/>
      </c>
      <c r="N36" s="128">
        <f>MAX(0,M36-M35)</f>
        <v/>
      </c>
      <c r="O36" s="127">
        <f>IF(B36&lt;='VALOR POR PL'!$P$5,'CP RESUMO'!AI81,"")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HISTORICOS'!AJ39)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RESUMO'!AJ39</f>
        <v/>
      </c>
      <c r="N37" s="128">
        <f>MAX(0,M37-M36)</f>
        <v/>
      </c>
      <c r="O37" s="127">
        <f>IF(B37&lt;='VALOR POR PL'!$P$5,'CP RESUMO'!AJ81,"")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HISTORICOS'!AK39)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RESUMO'!AK39</f>
        <v/>
      </c>
      <c r="N38" s="128">
        <f>MAX(0,M38-M37)</f>
        <v/>
      </c>
      <c r="O38" s="127">
        <f>IF(B38&lt;='VALOR POR PL'!$P$5,'CP RESUMO'!AK81,"")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HISTORICOS'!AL39)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RESUMO'!AL39</f>
        <v/>
      </c>
      <c r="N39" s="128">
        <f>MAX(0,M39-M38)</f>
        <v/>
      </c>
      <c r="O39" s="127">
        <f>IF(B39&lt;='VALOR POR PL'!$P$5,'CP RESUMO'!AL81,"")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HISTORICOS'!AM39)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RESUMO'!AM39</f>
        <v/>
      </c>
      <c r="N40" s="128">
        <f>MAX(0,M40-M39)</f>
        <v/>
      </c>
      <c r="O40" s="127">
        <f>IF(B40&lt;='VALOR POR PL'!$P$5,'CP RESUMO'!AM81,"")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HISTORICOS'!AN39)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RESUMO'!AN39</f>
        <v/>
      </c>
      <c r="N41" s="128">
        <f>MAX(0,M41-M40)</f>
        <v/>
      </c>
      <c r="O41" s="127">
        <f>IF(B41&lt;='VALOR POR PL'!$P$5,'CP RESUMO'!AN81,"")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HISTORICOS'!AO39)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RESUMO'!AO39</f>
        <v/>
      </c>
      <c r="N42" s="128">
        <f>MAX(0,M42-M41)</f>
        <v/>
      </c>
      <c r="O42" s="127">
        <f>IF(B42&lt;='VALOR POR PL'!$P$5,'CP RESUMO'!AO81,"")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HISTORICOS'!AP39)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RESUMO'!AP39</f>
        <v/>
      </c>
      <c r="N43" s="128">
        <f>MAX(0,M43-M42)</f>
        <v/>
      </c>
      <c r="O43" s="127">
        <f>IF(B43&lt;='VALOR POR PL'!$P$5,'CP RESUMO'!AP81,"")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HISTORICOS'!AQ39)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RESUMO'!AQ39</f>
        <v/>
      </c>
      <c r="N44" s="128">
        <f>MAX(0,M44-M43)</f>
        <v/>
      </c>
      <c r="O44" s="127">
        <f>IF(B44&lt;='VALOR POR PL'!$P$5,'CP RESUMO'!AQ81,"")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HISTORICOS'!AR39)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RESUMO'!AR39</f>
        <v/>
      </c>
      <c r="N45" s="128">
        <f>MAX(0,M45-M44)</f>
        <v/>
      </c>
      <c r="O45" s="127">
        <f>IF(B45&lt;='VALOR POR PL'!$P$5,'CP RESUMO'!AR81,"")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HISTORICOS'!AS39)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RESUMO'!AS39</f>
        <v/>
      </c>
      <c r="N46" s="128">
        <f>MAX(0,M46-M45)</f>
        <v/>
      </c>
      <c r="O46" s="127">
        <f>IF(B46&lt;='VALOR POR PL'!$P$5,'CP RESUMO'!AS81,"")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HISTORICOS'!AT39)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RESUMO'!AT39</f>
        <v/>
      </c>
      <c r="N47" s="128">
        <f>MAX(0,M47-M46)</f>
        <v/>
      </c>
      <c r="O47" s="127">
        <f>IF(B47&lt;='VALOR POR PL'!$P$5,'CP RESUMO'!AT81,"")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HISTORICOS'!AU39)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RESUMO'!AU39</f>
        <v/>
      </c>
      <c r="N48" s="128">
        <f>MAX(0,M48-M47)</f>
        <v/>
      </c>
      <c r="O48" s="127">
        <f>IF(B48&lt;='VALOR POR PL'!$P$5,'CP RESUMO'!AU81,"")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HISTORICOS'!AV39)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RESUMO'!AV39</f>
        <v/>
      </c>
      <c r="N49" s="128">
        <f>MAX(0,M49-M48)</f>
        <v/>
      </c>
      <c r="O49" s="127">
        <f>IF(B49&lt;='VALOR POR PL'!$P$5,'CP RESUMO'!AV81,"")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HISTORICOS'!AW39)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RESUMO'!AW39</f>
        <v/>
      </c>
      <c r="N50" s="128">
        <f>MAX(0,M50-M49)</f>
        <v/>
      </c>
      <c r="O50" s="127">
        <f>IF(B50&lt;='VALOR POR PL'!$P$5,'CP RESUMO'!AW81,"")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HISTORICOS'!AX39)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RESUMO'!AX39</f>
        <v/>
      </c>
      <c r="N51" s="128">
        <f>MAX(0,M51-M50)</f>
        <v/>
      </c>
      <c r="O51" s="127">
        <f>IF(B51&lt;='VALOR POR PL'!$P$5,'CP RESUMO'!AX81,"")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HISTORICOS'!AY39)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RESUMO'!AY39</f>
        <v/>
      </c>
      <c r="N52" s="128">
        <f>MAX(0,M52-M51)</f>
        <v/>
      </c>
      <c r="O52" s="127">
        <f>IF(B52&lt;='VALOR POR PL'!$P$5,'CP RESUMO'!AY81,"")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HISTORICOS'!AZ39)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RESUMO'!AZ39</f>
        <v/>
      </c>
      <c r="N53" s="128">
        <f>MAX(0,M53-M52)</f>
        <v/>
      </c>
      <c r="O53" s="127">
        <f>IF(B53&lt;='VALOR POR PL'!$P$5,'CP RESUMO'!AZ81,"")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HISTORICOS'!BA39)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RESUMO'!BA39</f>
        <v/>
      </c>
      <c r="N54" s="128">
        <f>MAX(0,M54-M53)</f>
        <v/>
      </c>
      <c r="O54" s="127">
        <f>IF(B54&lt;='VALOR POR PL'!$P$5,'CP RESUMO'!BA81,"")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HISTORICOS'!BB39)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RESUMO'!BB39</f>
        <v/>
      </c>
      <c r="N55" s="128">
        <f>MAX(0,M55-M54)</f>
        <v/>
      </c>
      <c r="O55" s="127">
        <f>IF(B55&lt;='VALOR POR PL'!$P$5,'CP RESUMO'!BB81,"")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HISTORICOS'!BC39)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RESUMO'!BC39</f>
        <v/>
      </c>
      <c r="N56" s="128">
        <f>MAX(0,M56-M55)</f>
        <v/>
      </c>
      <c r="O56" s="127">
        <f>IF(B56&lt;='VALOR POR PL'!$P$5,'CP RESUMO'!BC81,"")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HISTORICOS'!BD39)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RESUMO'!BD39</f>
        <v/>
      </c>
      <c r="N57" s="128">
        <f>MAX(0,M57-M56)</f>
        <v/>
      </c>
      <c r="O57" s="127">
        <f>IF(B57&lt;='VALOR POR PL'!$P$5,'CP RESUMO'!BD81,"")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HISTORICOS'!BE39)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RESUMO'!BE39</f>
        <v/>
      </c>
      <c r="N58" s="128">
        <f>MAX(0,M58-M57)</f>
        <v/>
      </c>
      <c r="O58" s="127">
        <f>IF(B58&lt;='VALOR POR PL'!$P$5,'CP RESUMO'!BE81,"")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HISTORICOS'!BF39)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RESUMO'!BF39</f>
        <v/>
      </c>
      <c r="N59" s="128">
        <f>MAX(0,M59-M58)</f>
        <v/>
      </c>
      <c r="O59" s="127">
        <f>IF(B59&lt;='VALOR POR PL'!$P$5,'CP RESUMO'!BF81,"")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HISTORICOS'!BG39)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RESUMO'!BG39</f>
        <v/>
      </c>
      <c r="N60" s="128">
        <f>MAX(0,M60-M59)</f>
        <v/>
      </c>
      <c r="O60" s="127">
        <f>IF(B60&lt;='VALOR POR PL'!$P$5,'CP RESUMO'!BG81,"")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HISTORICOS'!BH39)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RESUMO'!BH39</f>
        <v/>
      </c>
      <c r="N61" s="128">
        <f>MAX(0,M61-M60)</f>
        <v/>
      </c>
      <c r="O61" s="127">
        <f>IF(B61&lt;='VALOR POR PL'!$P$5,'CP RESUMO'!BH81,"")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HISTORICOS'!BI39)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RESUMO'!BI39</f>
        <v/>
      </c>
      <c r="N62" s="128">
        <f>MAX(0,M62-M61)</f>
        <v/>
      </c>
      <c r="O62" s="127">
        <f>IF(B62&lt;='VALOR POR PL'!$P$5,'CP RESUMO'!BI81,"")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HISTORICOS'!BJ39)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RESUMO'!BJ39</f>
        <v/>
      </c>
      <c r="N63" s="128">
        <f>MAX(0,M63-M62)</f>
        <v/>
      </c>
      <c r="O63" s="127">
        <f>IF(B63&lt;='VALOR POR PL'!$P$5,'CP RESUMO'!BJ81,"")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HISTORICOS'!BK39)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RESUMO'!BK39</f>
        <v/>
      </c>
      <c r="N64" s="128">
        <f>MAX(0,M64-M63)</f>
        <v/>
      </c>
      <c r="O64" s="127">
        <f>IF(B64&lt;='VALOR POR PL'!$P$5,'CP RESUMO'!BK81,"")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HISTORICOS'!BL39)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RESUMO'!BL39</f>
        <v/>
      </c>
      <c r="N65" s="128">
        <f>MAX(0,M65-M64)</f>
        <v/>
      </c>
      <c r="O65" s="127">
        <f>IF(B65&lt;='VALOR POR PL'!$P$5,'CP RESUMO'!BL81,"")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HISTORICOS'!BM39)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RESUMO'!BM39</f>
        <v/>
      </c>
      <c r="N66" s="128">
        <f>MAX(0,M66-M65)</f>
        <v/>
      </c>
      <c r="O66" s="127">
        <f>IF(B66&lt;='VALOR POR PL'!$P$5,'CP RESUMO'!BM81,"")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HISTORICOS'!BN39)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RESUMO'!BN39</f>
        <v/>
      </c>
      <c r="N67" s="128">
        <f>MAX(0,M67-M66)</f>
        <v/>
      </c>
      <c r="O67" s="127">
        <f>IF(B67&lt;='VALOR POR PL'!$P$5,'CP RESUMO'!BN81,"")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HISTORICOS'!BO39)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RESUMO'!BO39</f>
        <v/>
      </c>
      <c r="N68" s="128">
        <f>MAX(0,M68-M67)</f>
        <v/>
      </c>
      <c r="O68" s="127">
        <f>IF(B68&lt;='VALOR POR PL'!$P$5,'CP RESUMO'!BO81,"")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HISTORICOS'!BP39)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RESUMO'!BP39</f>
        <v/>
      </c>
      <c r="N69" s="128">
        <f>MAX(0,M69-M68)</f>
        <v/>
      </c>
      <c r="O69" s="127">
        <f>IF(B69&lt;='VALOR POR PL'!$P$5,'CP RESUMO'!BP81,"")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HISTORICOS'!BQ39)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RESUMO'!BQ39</f>
        <v/>
      </c>
      <c r="N70" s="128">
        <f>MAX(0,M70-M69)</f>
        <v/>
      </c>
      <c r="O70" s="127">
        <f>IF(B70&lt;='VALOR POR PL'!$P$5,'CP RESUMO'!BQ81,"")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HISTORICOS'!BR39)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RESUMO'!BR39</f>
        <v/>
      </c>
      <c r="N71" s="128">
        <f>MAX(0,M71-M70)</f>
        <v/>
      </c>
      <c r="O71" s="127">
        <f>IF(B71&lt;='VALOR POR PL'!$P$5,'CP RESUMO'!BR81,"")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HISTORICOS'!BS39)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RESUMO'!BS39</f>
        <v/>
      </c>
      <c r="N72" s="128">
        <f>MAX(0,M72-M71)</f>
        <v/>
      </c>
      <c r="O72" s="127">
        <f>IF(B72&lt;='VALOR POR PL'!$P$5,'CP RESUMO'!BS81,"")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HISTORICOS'!BT39)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RESUMO'!BT39</f>
        <v/>
      </c>
      <c r="N73" s="128">
        <f>MAX(0,M73-M72)</f>
        <v/>
      </c>
      <c r="O73" s="127">
        <f>IF(B73&lt;='VALOR POR PL'!$P$5,'CP RESUMO'!BT81,"")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HISTORICOS'!BU39)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RESUMO'!BU39</f>
        <v/>
      </c>
      <c r="N74" s="128">
        <f>MAX(0,M74-M73)</f>
        <v/>
      </c>
      <c r="O74" s="127">
        <f>IF(B74&lt;='VALOR POR PL'!$P$5,'CP RESUMO'!BU81,"")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HISTORICOS'!BV39)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RESUMO'!BV39</f>
        <v/>
      </c>
      <c r="N75" s="128">
        <f>MAX(0,M75-M74)</f>
        <v/>
      </c>
      <c r="O75" s="127">
        <f>IF(B75&lt;='VALOR POR PL'!$P$5,'CP RESUMO'!BV81,"")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HISTORICOS'!BW39)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RESUMO'!BW39</f>
        <v/>
      </c>
      <c r="N76" s="128">
        <f>MAX(0,M76-M75)</f>
        <v/>
      </c>
      <c r="O76" s="127">
        <f>IF(B76&lt;='VALOR POR PL'!$P$5,'CP RESUMO'!BW81,"")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PL'!D46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HISTORICOS'!D40)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PL'!F46</f>
        <v/>
      </c>
      <c r="K5" s="63">
        <f>'VALOR POR PL'!G46</f>
        <v/>
      </c>
      <c r="M5" s="127">
        <f>'CP RESUMO'!D40</f>
        <v/>
      </c>
      <c r="N5" s="128" t="n">
        <v>0</v>
      </c>
      <c r="O5" s="127">
        <f>IF(B5&lt;='VALOR POR PL'!$P$5,'CP RESUMO'!D82,"")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HISTORICOS'!E40)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RESUMO'!E40</f>
        <v/>
      </c>
      <c r="N6" s="128">
        <f>MAX(0,M6-M5)</f>
        <v/>
      </c>
      <c r="O6" s="127">
        <f>IF(B6&lt;='VALOR POR PL'!$P$5,'CP RESUMO'!E82,"")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HISTORICOS'!F40)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PL'!L46</f>
        <v/>
      </c>
      <c r="M7" s="127">
        <f>'CP RESUMO'!F40</f>
        <v/>
      </c>
      <c r="N7" s="128">
        <f>MAX(0,M7-M6)</f>
        <v/>
      </c>
      <c r="O7" s="127">
        <f>IF(B7&lt;='VALOR POR PL'!$P$5,'CP RESUMO'!F82,"")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HISTORICOS'!G40)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RESUMO'!G40</f>
        <v/>
      </c>
      <c r="N8" s="128">
        <f>MAX(0,M8-M7)</f>
        <v/>
      </c>
      <c r="O8" s="127">
        <f>IF(B8&lt;='VALOR POR PL'!$P$5,'CP RESUMO'!G82,"")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HISTORICOS'!H40)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RESUMO'!H40</f>
        <v/>
      </c>
      <c r="N9" s="128">
        <f>MAX(0,M9-M8)</f>
        <v/>
      </c>
      <c r="O9" s="127">
        <f>IF(B9&lt;='VALOR POR PL'!$P$5,'CP RESUMO'!H82,"")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HISTORICOS'!I40)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RESUMO'!I40</f>
        <v/>
      </c>
      <c r="N10" s="128">
        <f>MAX(0,M10-M9)</f>
        <v/>
      </c>
      <c r="O10" s="127">
        <f>IF(B10&lt;='VALOR POR PL'!$P$5,'CP RESUMO'!I82,"")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HISTORICOS'!J40)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RESUMO'!J40</f>
        <v/>
      </c>
      <c r="N11" s="128">
        <f>MAX(0,M11-M10)</f>
        <v/>
      </c>
      <c r="O11" s="127">
        <f>IF(B11&lt;='VALOR POR PL'!$P$5,'CP RESUMO'!J82,"")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HISTORICOS'!K40)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RESUMO'!K40</f>
        <v/>
      </c>
      <c r="N12" s="128">
        <f>MAX(0,M12-M11)</f>
        <v/>
      </c>
      <c r="O12" s="127">
        <f>IF(B12&lt;='VALOR POR PL'!$P$5,'CP RESUMO'!K82,"")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HISTORICOS'!L40)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PL'!I46</f>
        <v/>
      </c>
      <c r="M13" s="127">
        <f>'CP RESUMO'!L40</f>
        <v/>
      </c>
      <c r="N13" s="128">
        <f>MAX(0,M13-M12)</f>
        <v/>
      </c>
      <c r="O13" s="127">
        <f>IF(B13&lt;='VALOR POR PL'!$P$5,'CP RESUMO'!L82,"")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HISTORICOS'!M40)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RESUMO'!$D$82:$BW$82,MATCH('VALOR POR PL'!$P$5,'CP RESUMO'!$D$4:$BW$4,0))/100,0)</f>
        <v/>
      </c>
      <c r="M14" s="127">
        <f>'CP RESUMO'!M40</f>
        <v/>
      </c>
      <c r="N14" s="128">
        <f>MAX(0,M14-M13)</f>
        <v/>
      </c>
      <c r="O14" s="127">
        <f>IF(B14&lt;='VALOR POR PL'!$P$5,'CP RESUMO'!M82,"")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HISTORICOS'!N40)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RESUMO'!N40</f>
        <v/>
      </c>
      <c r="N15" s="128">
        <f>MAX(0,M15-M14)</f>
        <v/>
      </c>
      <c r="O15" s="127">
        <f>IF(B15&lt;='VALOR POR PL'!$P$5,'CP RESUMO'!N82,"")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HISTORICOS'!O40)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RESUMO'!O40</f>
        <v/>
      </c>
      <c r="N16" s="128">
        <f>MAX(0,M16-M15)</f>
        <v/>
      </c>
      <c r="O16" s="127">
        <f>IF(B16&lt;='VALOR POR PL'!$P$5,'CP RESUMO'!O82,"")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HISTORICOS'!P40)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RESUMO'!P40</f>
        <v/>
      </c>
      <c r="N17" s="128">
        <f>MAX(0,M17-M16)</f>
        <v/>
      </c>
      <c r="O17" s="127">
        <f>IF(B17&lt;='VALOR POR PL'!$P$5,'CP RESUMO'!P82,"")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HISTORICOS'!Q40)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RESUMO'!Q40</f>
        <v/>
      </c>
      <c r="N18" s="128">
        <f>MAX(0,M18-M17)</f>
        <v/>
      </c>
      <c r="O18" s="127">
        <f>IF(B18&lt;='VALOR POR PL'!$P$5,'CP RESUMO'!Q82,"")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HISTORICOS'!R40)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RESUMO'!R40</f>
        <v/>
      </c>
      <c r="N19" s="128">
        <f>MAX(0,M19-M18)</f>
        <v/>
      </c>
      <c r="O19" s="127">
        <f>IF(B19&lt;='VALOR POR PL'!$P$5,'CP RESUMO'!R82,"")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HISTORICOS'!S40)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RESUMO'!S40</f>
        <v/>
      </c>
      <c r="N20" s="128">
        <f>MAX(0,M20-M19)</f>
        <v/>
      </c>
      <c r="O20" s="127">
        <f>IF(B20&lt;='VALOR POR PL'!$P$5,'CP RESUMO'!S82,"")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HISTORICOS'!T40)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RESUMO'!T40</f>
        <v/>
      </c>
      <c r="N21" s="128">
        <f>MAX(0,M21-M20)</f>
        <v/>
      </c>
      <c r="O21" s="127">
        <f>IF(B21&lt;='VALOR POR PL'!$P$5,'CP RESUMO'!T82,"")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HISTORICOS'!U40)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RESUMO'!U40</f>
        <v/>
      </c>
      <c r="N22" s="128">
        <f>MAX(0,M22-M21)</f>
        <v/>
      </c>
      <c r="O22" s="127">
        <f>IF(B22&lt;='VALOR POR PL'!$P$5,'CP RESUMO'!U82,"")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HISTORICOS'!V40)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RESUMO'!V40</f>
        <v/>
      </c>
      <c r="N23" s="128">
        <f>MAX(0,M23-M22)</f>
        <v/>
      </c>
      <c r="O23" s="127">
        <f>IF(B23&lt;='VALOR POR PL'!$P$5,'CP RESUMO'!V82,"")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HISTORICOS'!W40)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RESUMO'!W40</f>
        <v/>
      </c>
      <c r="N24" s="128">
        <f>MAX(0,M24-M23)</f>
        <v/>
      </c>
      <c r="O24" s="127">
        <f>IF(B24&lt;='VALOR POR PL'!$P$5,'CP RESUMO'!W82,"")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HISTORICOS'!X40)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RESUMO'!X40</f>
        <v/>
      </c>
      <c r="N25" s="128">
        <f>MAX(0,M25-M24)</f>
        <v/>
      </c>
      <c r="O25" s="127">
        <f>IF(B25&lt;='VALOR POR PL'!$P$5,'CP RESUMO'!X82,"")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HISTORICOS'!Y40)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RESUMO'!Y40</f>
        <v/>
      </c>
      <c r="N26" s="128">
        <f>MAX(0,M26-M25)</f>
        <v/>
      </c>
      <c r="O26" s="127">
        <f>IF(B26&lt;='VALOR POR PL'!$P$5,'CP RESUMO'!Y82,"")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HISTORICOS'!Z40)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RESUMO'!Z40</f>
        <v/>
      </c>
      <c r="N27" s="128">
        <f>MAX(0,M27-M26)</f>
        <v/>
      </c>
      <c r="O27" s="127">
        <f>IF(B27&lt;='VALOR POR PL'!$P$5,'CP RESUMO'!Z82,"")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HISTORICOS'!AA40)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RESUMO'!AA40</f>
        <v/>
      </c>
      <c r="N28" s="128">
        <f>MAX(0,M28-M27)</f>
        <v/>
      </c>
      <c r="O28" s="127">
        <f>IF(B28&lt;='VALOR POR PL'!$P$5,'CP RESUMO'!AA82,"")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HISTORICOS'!AB40)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RESUMO'!AB40</f>
        <v/>
      </c>
      <c r="N29" s="128">
        <f>MAX(0,M29-M28)</f>
        <v/>
      </c>
      <c r="O29" s="127">
        <f>IF(B29&lt;='VALOR POR PL'!$P$5,'CP RESUMO'!AB82,"")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HISTORICOS'!AC40)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RESUMO'!AC40</f>
        <v/>
      </c>
      <c r="N30" s="128">
        <f>MAX(0,M30-M29)</f>
        <v/>
      </c>
      <c r="O30" s="127">
        <f>IF(B30&lt;='VALOR POR PL'!$P$5,'CP RESUMO'!AC82,"")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HISTORICOS'!AD40)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RESUMO'!AD40</f>
        <v/>
      </c>
      <c r="N31" s="128">
        <f>MAX(0,M31-M30)</f>
        <v/>
      </c>
      <c r="O31" s="127">
        <f>IF(B31&lt;='VALOR POR PL'!$P$5,'CP RESUMO'!AD82,"")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HISTORICOS'!AE40)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RESUMO'!AE40</f>
        <v/>
      </c>
      <c r="N32" s="128">
        <f>MAX(0,M32-M31)</f>
        <v/>
      </c>
      <c r="O32" s="127">
        <f>IF(B32&lt;='VALOR POR PL'!$P$5,'CP RESUMO'!AE82,"")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HISTORICOS'!AF40)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RESUMO'!AF40</f>
        <v/>
      </c>
      <c r="N33" s="128">
        <f>MAX(0,M33-M32)</f>
        <v/>
      </c>
      <c r="O33" s="127">
        <f>IF(B33&lt;='VALOR POR PL'!$P$5,'CP RESUMO'!AF82,"")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HISTORICOS'!AG40)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RESUMO'!AG40</f>
        <v/>
      </c>
      <c r="N34" s="128">
        <f>MAX(0,M34-M33)</f>
        <v/>
      </c>
      <c r="O34" s="127">
        <f>IF(B34&lt;='VALOR POR PL'!$P$5,'CP RESUMO'!AG82,"")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HISTORICOS'!AH40)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RESUMO'!AH40</f>
        <v/>
      </c>
      <c r="N35" s="128">
        <f>MAX(0,M35-M34)</f>
        <v/>
      </c>
      <c r="O35" s="127">
        <f>IF(B35&lt;='VALOR POR PL'!$P$5,'CP RESUMO'!AH82,"")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HISTORICOS'!AI40)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RESUMO'!AI40</f>
        <v/>
      </c>
      <c r="N36" s="128">
        <f>MAX(0,M36-M35)</f>
        <v/>
      </c>
      <c r="O36" s="127">
        <f>IF(B36&lt;='VALOR POR PL'!$P$5,'CP RESUMO'!AI82,"")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HISTORICOS'!AJ40)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RESUMO'!AJ40</f>
        <v/>
      </c>
      <c r="N37" s="128">
        <f>MAX(0,M37-M36)</f>
        <v/>
      </c>
      <c r="O37" s="127">
        <f>IF(B37&lt;='VALOR POR PL'!$P$5,'CP RESUMO'!AJ82,"")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HISTORICOS'!AK40)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RESUMO'!AK40</f>
        <v/>
      </c>
      <c r="N38" s="128">
        <f>MAX(0,M38-M37)</f>
        <v/>
      </c>
      <c r="O38" s="127">
        <f>IF(B38&lt;='VALOR POR PL'!$P$5,'CP RESUMO'!AK82,"")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HISTORICOS'!AL40)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RESUMO'!AL40</f>
        <v/>
      </c>
      <c r="N39" s="128">
        <f>MAX(0,M39-M38)</f>
        <v/>
      </c>
      <c r="O39" s="127">
        <f>IF(B39&lt;='VALOR POR PL'!$P$5,'CP RESUMO'!AL82,"")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HISTORICOS'!AM40)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RESUMO'!AM40</f>
        <v/>
      </c>
      <c r="N40" s="128">
        <f>MAX(0,M40-M39)</f>
        <v/>
      </c>
      <c r="O40" s="127">
        <f>IF(B40&lt;='VALOR POR PL'!$P$5,'CP RESUMO'!AM82,"")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HISTORICOS'!AN40)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RESUMO'!AN40</f>
        <v/>
      </c>
      <c r="N41" s="128">
        <f>MAX(0,M41-M40)</f>
        <v/>
      </c>
      <c r="O41" s="127">
        <f>IF(B41&lt;='VALOR POR PL'!$P$5,'CP RESUMO'!AN82,"")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HISTORICOS'!AO40)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RESUMO'!AO40</f>
        <v/>
      </c>
      <c r="N42" s="128">
        <f>MAX(0,M42-M41)</f>
        <v/>
      </c>
      <c r="O42" s="127">
        <f>IF(B42&lt;='VALOR POR PL'!$P$5,'CP RESUMO'!AO82,"")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HISTORICOS'!AP40)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RESUMO'!AP40</f>
        <v/>
      </c>
      <c r="N43" s="128">
        <f>MAX(0,M43-M42)</f>
        <v/>
      </c>
      <c r="O43" s="127">
        <f>IF(B43&lt;='VALOR POR PL'!$P$5,'CP RESUMO'!AP82,"")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HISTORICOS'!AQ40)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RESUMO'!AQ40</f>
        <v/>
      </c>
      <c r="N44" s="128">
        <f>MAX(0,M44-M43)</f>
        <v/>
      </c>
      <c r="O44" s="127">
        <f>IF(B44&lt;='VALOR POR PL'!$P$5,'CP RESUMO'!AQ82,"")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HISTORICOS'!AR40)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RESUMO'!AR40</f>
        <v/>
      </c>
      <c r="N45" s="128">
        <f>MAX(0,M45-M44)</f>
        <v/>
      </c>
      <c r="O45" s="127">
        <f>IF(B45&lt;='VALOR POR PL'!$P$5,'CP RESUMO'!AR82,"")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HISTORICOS'!AS40)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RESUMO'!AS40</f>
        <v/>
      </c>
      <c r="N46" s="128">
        <f>MAX(0,M46-M45)</f>
        <v/>
      </c>
      <c r="O46" s="127">
        <f>IF(B46&lt;='VALOR POR PL'!$P$5,'CP RESUMO'!AS82,"")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HISTORICOS'!AT40)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RESUMO'!AT40</f>
        <v/>
      </c>
      <c r="N47" s="128">
        <f>MAX(0,M47-M46)</f>
        <v/>
      </c>
      <c r="O47" s="127">
        <f>IF(B47&lt;='VALOR POR PL'!$P$5,'CP RESUMO'!AT82,"")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HISTORICOS'!AU40)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RESUMO'!AU40</f>
        <v/>
      </c>
      <c r="N48" s="128">
        <f>MAX(0,M48-M47)</f>
        <v/>
      </c>
      <c r="O48" s="127">
        <f>IF(B48&lt;='VALOR POR PL'!$P$5,'CP RESUMO'!AU82,"")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HISTORICOS'!AV40)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RESUMO'!AV40</f>
        <v/>
      </c>
      <c r="N49" s="128">
        <f>MAX(0,M49-M48)</f>
        <v/>
      </c>
      <c r="O49" s="127">
        <f>IF(B49&lt;='VALOR POR PL'!$P$5,'CP RESUMO'!AV82,"")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HISTORICOS'!AW40)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RESUMO'!AW40</f>
        <v/>
      </c>
      <c r="N50" s="128">
        <f>MAX(0,M50-M49)</f>
        <v/>
      </c>
      <c r="O50" s="127">
        <f>IF(B50&lt;='VALOR POR PL'!$P$5,'CP RESUMO'!AW82,"")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HISTORICOS'!AX40)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RESUMO'!AX40</f>
        <v/>
      </c>
      <c r="N51" s="128">
        <f>MAX(0,M51-M50)</f>
        <v/>
      </c>
      <c r="O51" s="127">
        <f>IF(B51&lt;='VALOR POR PL'!$P$5,'CP RESUMO'!AX82,"")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HISTORICOS'!AY40)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RESUMO'!AY40</f>
        <v/>
      </c>
      <c r="N52" s="128">
        <f>MAX(0,M52-M51)</f>
        <v/>
      </c>
      <c r="O52" s="127">
        <f>IF(B52&lt;='VALOR POR PL'!$P$5,'CP RESUMO'!AY82,"")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HISTORICOS'!AZ40)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RESUMO'!AZ40</f>
        <v/>
      </c>
      <c r="N53" s="128">
        <f>MAX(0,M53-M52)</f>
        <v/>
      </c>
      <c r="O53" s="127">
        <f>IF(B53&lt;='VALOR POR PL'!$P$5,'CP RESUMO'!AZ82,"")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HISTORICOS'!BA40)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RESUMO'!BA40</f>
        <v/>
      </c>
      <c r="N54" s="128">
        <f>MAX(0,M54-M53)</f>
        <v/>
      </c>
      <c r="O54" s="127">
        <f>IF(B54&lt;='VALOR POR PL'!$P$5,'CP RESUMO'!BA82,"")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HISTORICOS'!BB40)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RESUMO'!BB40</f>
        <v/>
      </c>
      <c r="N55" s="128">
        <f>MAX(0,M55-M54)</f>
        <v/>
      </c>
      <c r="O55" s="127">
        <f>IF(B55&lt;='VALOR POR PL'!$P$5,'CP RESUMO'!BB82,"")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HISTORICOS'!BC40)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RESUMO'!BC40</f>
        <v/>
      </c>
      <c r="N56" s="128">
        <f>MAX(0,M56-M55)</f>
        <v/>
      </c>
      <c r="O56" s="127">
        <f>IF(B56&lt;='VALOR POR PL'!$P$5,'CP RESUMO'!BC82,"")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HISTORICOS'!BD40)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RESUMO'!BD40</f>
        <v/>
      </c>
      <c r="N57" s="128">
        <f>MAX(0,M57-M56)</f>
        <v/>
      </c>
      <c r="O57" s="127">
        <f>IF(B57&lt;='VALOR POR PL'!$P$5,'CP RESUMO'!BD82,"")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HISTORICOS'!BE40)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RESUMO'!BE40</f>
        <v/>
      </c>
      <c r="N58" s="128">
        <f>MAX(0,M58-M57)</f>
        <v/>
      </c>
      <c r="O58" s="127">
        <f>IF(B58&lt;='VALOR POR PL'!$P$5,'CP RESUMO'!BE82,"")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HISTORICOS'!BF40)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RESUMO'!BF40</f>
        <v/>
      </c>
      <c r="N59" s="128">
        <f>MAX(0,M59-M58)</f>
        <v/>
      </c>
      <c r="O59" s="127">
        <f>IF(B59&lt;='VALOR POR PL'!$P$5,'CP RESUMO'!BF82,"")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HISTORICOS'!BG40)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RESUMO'!BG40</f>
        <v/>
      </c>
      <c r="N60" s="128">
        <f>MAX(0,M60-M59)</f>
        <v/>
      </c>
      <c r="O60" s="127">
        <f>IF(B60&lt;='VALOR POR PL'!$P$5,'CP RESUMO'!BG82,"")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HISTORICOS'!BH40)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RESUMO'!BH40</f>
        <v/>
      </c>
      <c r="N61" s="128">
        <f>MAX(0,M61-M60)</f>
        <v/>
      </c>
      <c r="O61" s="127">
        <f>IF(B61&lt;='VALOR POR PL'!$P$5,'CP RESUMO'!BH82,"")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HISTORICOS'!BI40)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RESUMO'!BI40</f>
        <v/>
      </c>
      <c r="N62" s="128">
        <f>MAX(0,M62-M61)</f>
        <v/>
      </c>
      <c r="O62" s="127">
        <f>IF(B62&lt;='VALOR POR PL'!$P$5,'CP RESUMO'!BI82,"")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HISTORICOS'!BJ40)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RESUMO'!BJ40</f>
        <v/>
      </c>
      <c r="N63" s="128">
        <f>MAX(0,M63-M62)</f>
        <v/>
      </c>
      <c r="O63" s="127">
        <f>IF(B63&lt;='VALOR POR PL'!$P$5,'CP RESUMO'!BJ82,"")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HISTORICOS'!BK40)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RESUMO'!BK40</f>
        <v/>
      </c>
      <c r="N64" s="128">
        <f>MAX(0,M64-M63)</f>
        <v/>
      </c>
      <c r="O64" s="127">
        <f>IF(B64&lt;='VALOR POR PL'!$P$5,'CP RESUMO'!BK82,"")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HISTORICOS'!BL40)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RESUMO'!BL40</f>
        <v/>
      </c>
      <c r="N65" s="128">
        <f>MAX(0,M65-M64)</f>
        <v/>
      </c>
      <c r="O65" s="127">
        <f>IF(B65&lt;='VALOR POR PL'!$P$5,'CP RESUMO'!BL82,"")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HISTORICOS'!BM40)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RESUMO'!BM40</f>
        <v/>
      </c>
      <c r="N66" s="128">
        <f>MAX(0,M66-M65)</f>
        <v/>
      </c>
      <c r="O66" s="127">
        <f>IF(B66&lt;='VALOR POR PL'!$P$5,'CP RESUMO'!BM82,"")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HISTORICOS'!BN40)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RESUMO'!BN40</f>
        <v/>
      </c>
      <c r="N67" s="128">
        <f>MAX(0,M67-M66)</f>
        <v/>
      </c>
      <c r="O67" s="127">
        <f>IF(B67&lt;='VALOR POR PL'!$P$5,'CP RESUMO'!BN82,"")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HISTORICOS'!BO40)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RESUMO'!BO40</f>
        <v/>
      </c>
      <c r="N68" s="128">
        <f>MAX(0,M68-M67)</f>
        <v/>
      </c>
      <c r="O68" s="127">
        <f>IF(B68&lt;='VALOR POR PL'!$P$5,'CP RESUMO'!BO82,"")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HISTORICOS'!BP40)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RESUMO'!BP40</f>
        <v/>
      </c>
      <c r="N69" s="128">
        <f>MAX(0,M69-M68)</f>
        <v/>
      </c>
      <c r="O69" s="127">
        <f>IF(B69&lt;='VALOR POR PL'!$P$5,'CP RESUMO'!BP82,"")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HISTORICOS'!BQ40)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RESUMO'!BQ40</f>
        <v/>
      </c>
      <c r="N70" s="128">
        <f>MAX(0,M70-M69)</f>
        <v/>
      </c>
      <c r="O70" s="127">
        <f>IF(B70&lt;='VALOR POR PL'!$P$5,'CP RESUMO'!BQ82,"")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HISTORICOS'!BR40)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RESUMO'!BR40</f>
        <v/>
      </c>
      <c r="N71" s="128">
        <f>MAX(0,M71-M70)</f>
        <v/>
      </c>
      <c r="O71" s="127">
        <f>IF(B71&lt;='VALOR POR PL'!$P$5,'CP RESUMO'!BR82,"")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HISTORICOS'!BS40)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RESUMO'!BS40</f>
        <v/>
      </c>
      <c r="N72" s="128">
        <f>MAX(0,M72-M71)</f>
        <v/>
      </c>
      <c r="O72" s="127">
        <f>IF(B72&lt;='VALOR POR PL'!$P$5,'CP RESUMO'!BS82,"")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HISTORICOS'!BT40)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RESUMO'!BT40</f>
        <v/>
      </c>
      <c r="N73" s="128">
        <f>MAX(0,M73-M72)</f>
        <v/>
      </c>
      <c r="O73" s="127">
        <f>IF(B73&lt;='VALOR POR PL'!$P$5,'CP RESUMO'!BT82,"")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HISTORICOS'!BU40)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RESUMO'!BU40</f>
        <v/>
      </c>
      <c r="N74" s="128">
        <f>MAX(0,M74-M73)</f>
        <v/>
      </c>
      <c r="O74" s="127">
        <f>IF(B74&lt;='VALOR POR PL'!$P$5,'CP RESUMO'!BU82,"")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HISTORICOS'!BV40)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RESUMO'!BV40</f>
        <v/>
      </c>
      <c r="N75" s="128">
        <f>MAX(0,M75-M74)</f>
        <v/>
      </c>
      <c r="O75" s="127">
        <f>IF(B75&lt;='VALOR POR PL'!$P$5,'CP RESUMO'!BV82,"")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HISTORICOS'!BW40)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RESUMO'!BW40</f>
        <v/>
      </c>
      <c r="N76" s="128">
        <f>MAX(0,M76-M75)</f>
        <v/>
      </c>
      <c r="O76" s="127">
        <f>IF(B76&lt;='VALOR POR PL'!$P$5,'CP RESUMO'!BW82,"")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PL'!D47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HISTORICOS'!D41)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PL'!F47</f>
        <v/>
      </c>
      <c r="K5" s="63">
        <f>'VALOR POR PL'!G47</f>
        <v/>
      </c>
      <c r="M5" s="127">
        <f>'CP RESUMO'!D41</f>
        <v/>
      </c>
      <c r="N5" s="128" t="n">
        <v>0</v>
      </c>
      <c r="O5" s="127">
        <f>IF(B5&lt;='VALOR POR PL'!$P$5,'CP RESUMO'!D83,"")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IF(AND($K$22="NÃO",B6&gt;'VALOR POR PL'!$P$5),0,'DADOS HISTORICOS'!E41)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RESUMO'!E41</f>
        <v/>
      </c>
      <c r="N6" s="128">
        <f>MAX(0,M6-M5)</f>
        <v/>
      </c>
      <c r="O6" s="127">
        <f>IF(B6&lt;='VALOR POR PL'!$P$5,'CP RESUMO'!E83,"")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IF(AND($K$22="NÃO",B7&gt;'VALOR POR PL'!$P$5),0,'DADOS HISTORICOS'!F41)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PL'!L47</f>
        <v/>
      </c>
      <c r="M7" s="127">
        <f>'CP RESUMO'!F41</f>
        <v/>
      </c>
      <c r="N7" s="128">
        <f>MAX(0,M7-M6)</f>
        <v/>
      </c>
      <c r="O7" s="127">
        <f>IF(B7&lt;='VALOR POR PL'!$P$5,'CP RESUMO'!F83,"")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IF(AND($K$22="NÃO",B8&gt;'VALOR POR PL'!$P$5),0,'DADOS HISTORICOS'!G41)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RESUMO'!G41</f>
        <v/>
      </c>
      <c r="N8" s="128">
        <f>MAX(0,M8-M7)</f>
        <v/>
      </c>
      <c r="O8" s="127">
        <f>IF(B8&lt;='VALOR POR PL'!$P$5,'CP RESUMO'!G83,"")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IF(AND($K$22="NÃO",B9&gt;'VALOR POR PL'!$P$5),0,'DADOS HISTORICOS'!H41)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RESUMO'!H41</f>
        <v/>
      </c>
      <c r="N9" s="128">
        <f>MAX(0,M9-M8)</f>
        <v/>
      </c>
      <c r="O9" s="127">
        <f>IF(B9&lt;='VALOR POR PL'!$P$5,'CP RESUMO'!H83,"")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IF(AND($K$22="NÃO",B10&gt;'VALOR POR PL'!$P$5),0,'DADOS HISTORICOS'!I41)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RESUMO'!I41</f>
        <v/>
      </c>
      <c r="N10" s="128">
        <f>MAX(0,M10-M9)</f>
        <v/>
      </c>
      <c r="O10" s="127">
        <f>IF(B10&lt;='VALOR POR PL'!$P$5,'CP RESUMO'!I83,"")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IF(AND($K$22="NÃO",B11&gt;'VALOR POR PL'!$P$5),0,'DADOS HISTORICOS'!J41)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RESUMO'!J41</f>
        <v/>
      </c>
      <c r="N11" s="128">
        <f>MAX(0,M11-M10)</f>
        <v/>
      </c>
      <c r="O11" s="127">
        <f>IF(B11&lt;='VALOR POR PL'!$P$5,'CP RESUMO'!J83,"")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IF(AND($K$22="NÃO",B12&gt;'VALOR POR PL'!$P$5),0,'DADOS HISTORICOS'!K41)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RESUMO'!K41</f>
        <v/>
      </c>
      <c r="N12" s="128">
        <f>MAX(0,M12-M11)</f>
        <v/>
      </c>
      <c r="O12" s="127">
        <f>IF(B12&lt;='VALOR POR PL'!$P$5,'CP RESUMO'!K83,"")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IF(AND($K$22="NÃO",B13&gt;'VALOR POR PL'!$P$5),0,'DADOS HISTORICOS'!L41)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PL'!I47</f>
        <v/>
      </c>
      <c r="M13" s="127">
        <f>'CP RESUMO'!L41</f>
        <v/>
      </c>
      <c r="N13" s="128">
        <f>MAX(0,M13-M12)</f>
        <v/>
      </c>
      <c r="O13" s="127">
        <f>IF(B13&lt;='VALOR POR PL'!$P$5,'CP RESUMO'!L83,"")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IF(AND($K$22="NÃO",B14&gt;'VALOR POR PL'!$P$5),0,'DADOS HISTORICOS'!M41)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RESUMO'!$D$83:$BW$83,MATCH('VALOR POR PL'!$P$5,'CP RESUMO'!$D$4:$BW$4,0))/100,0)</f>
        <v/>
      </c>
      <c r="M14" s="127">
        <f>'CP RESUMO'!M41</f>
        <v/>
      </c>
      <c r="N14" s="128">
        <f>MAX(0,M14-M13)</f>
        <v/>
      </c>
      <c r="O14" s="127">
        <f>IF(B14&lt;='VALOR POR PL'!$P$5,'CP RESUMO'!M83,"")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IF(AND($K$22="NÃO",B15&gt;'VALOR POR PL'!$P$5),0,'DADOS HISTORICOS'!N41)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RESUMO'!N41</f>
        <v/>
      </c>
      <c r="N15" s="128">
        <f>MAX(0,M15-M14)</f>
        <v/>
      </c>
      <c r="O15" s="127">
        <f>IF(B15&lt;='VALOR POR PL'!$P$5,'CP RESUMO'!N83,"")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IF(AND($K$22="NÃO",B16&gt;'VALOR POR PL'!$P$5),0,'DADOS HISTORICOS'!O41)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RESUMO'!O41</f>
        <v/>
      </c>
      <c r="N16" s="128">
        <f>MAX(0,M16-M15)</f>
        <v/>
      </c>
      <c r="O16" s="127">
        <f>IF(B16&lt;='VALOR POR PL'!$P$5,'CP RESUMO'!O83,"")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IF(AND($K$22="NÃO",B17&gt;'VALOR POR PL'!$P$5),0,'DADOS HISTORICOS'!P41)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RESUMO'!P41</f>
        <v/>
      </c>
      <c r="N17" s="128">
        <f>MAX(0,M17-M16)</f>
        <v/>
      </c>
      <c r="O17" s="127">
        <f>IF(B17&lt;='VALOR POR PL'!$P$5,'CP RESUMO'!P83,"")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IF(AND($K$22="NÃO",B18&gt;'VALOR POR PL'!$P$5),0,'DADOS HISTORICOS'!Q41)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RESUMO'!Q41</f>
        <v/>
      </c>
      <c r="N18" s="128">
        <f>MAX(0,M18-M17)</f>
        <v/>
      </c>
      <c r="O18" s="127">
        <f>IF(B18&lt;='VALOR POR PL'!$P$5,'CP RESUMO'!Q83,"")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IF(AND($K$22="NÃO",B19&gt;'VALOR POR PL'!$P$5),0,'DADOS HISTORICOS'!R41)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RESUMO'!R41</f>
        <v/>
      </c>
      <c r="N19" s="128">
        <f>MAX(0,M19-M18)</f>
        <v/>
      </c>
      <c r="O19" s="127">
        <f>IF(B19&lt;='VALOR POR PL'!$P$5,'CP RESUMO'!R83,"")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IF(AND($K$22="NÃO",B20&gt;'VALOR POR PL'!$P$5),0,'DADOS HISTORICOS'!S41)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RESUMO'!S41</f>
        <v/>
      </c>
      <c r="N20" s="128">
        <f>MAX(0,M20-M19)</f>
        <v/>
      </c>
      <c r="O20" s="127">
        <f>IF(B20&lt;='VALOR POR PL'!$P$5,'CP RESUMO'!S83,"")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IF(AND($K$22="NÃO",B21&gt;'VALOR POR PL'!$P$5),0,'DADOS HISTORICOS'!T41)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RESUMO'!T41</f>
        <v/>
      </c>
      <c r="N21" s="128">
        <f>MAX(0,M21-M20)</f>
        <v/>
      </c>
      <c r="O21" s="127">
        <f>IF(B21&lt;='VALOR POR PL'!$P$5,'CP RESUMO'!T83,"")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IF(AND($K$22="NÃO",B22&gt;'VALOR POR PL'!$P$5),0,'DADOS HISTORICOS'!U41)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I22" s="47" t="inlineStr">
        <is>
          <t>CONSIDERAR LANÇAMENTOS DO ERP APÓS O CORTE?</t>
        </is>
      </c>
      <c r="K22" s="58" t="inlineStr">
        <is>
          <t>SIM</t>
        </is>
      </c>
      <c r="M22" s="127">
        <f>'CP RESUMO'!U41</f>
        <v/>
      </c>
      <c r="N22" s="128">
        <f>MAX(0,M22-M21)</f>
        <v/>
      </c>
      <c r="O22" s="127">
        <f>IF(B22&lt;='VALOR POR PL'!$P$5,'CP RESUMO'!U83,"")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IF(AND($K$22="NÃO",B23&gt;'VALOR POR PL'!$P$5),0,'DADOS HISTORICOS'!V41)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RESUMO'!V41</f>
        <v/>
      </c>
      <c r="N23" s="128">
        <f>MAX(0,M23-M22)</f>
        <v/>
      </c>
      <c r="O23" s="127">
        <f>IF(B23&lt;='VALOR POR PL'!$P$5,'CP RESUMO'!V83,"")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IF(AND($K$22="NÃO",B24&gt;'VALOR POR PL'!$P$5),0,'DADOS HISTORICOS'!W41)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RESUMO'!W41</f>
        <v/>
      </c>
      <c r="N24" s="128">
        <f>MAX(0,M24-M23)</f>
        <v/>
      </c>
      <c r="O24" s="127">
        <f>IF(B24&lt;='VALOR POR PL'!$P$5,'CP RESUMO'!W83,"")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IF(AND($K$22="NÃO",B25&gt;'VALOR POR PL'!$P$5),0,'DADOS HISTORICOS'!X41)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RESUMO'!X41</f>
        <v/>
      </c>
      <c r="N25" s="128">
        <f>MAX(0,M25-M24)</f>
        <v/>
      </c>
      <c r="O25" s="127">
        <f>IF(B25&lt;='VALOR POR PL'!$P$5,'CP RESUMO'!X83,"")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IF(AND($K$22="NÃO",B26&gt;'VALOR POR PL'!$P$5),0,'DADOS HISTORICOS'!Y41)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RESUMO'!Y41</f>
        <v/>
      </c>
      <c r="N26" s="128">
        <f>MAX(0,M26-M25)</f>
        <v/>
      </c>
      <c r="O26" s="127">
        <f>IF(B26&lt;='VALOR POR PL'!$P$5,'CP RESUMO'!Y83,"")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IF(AND($K$22="NÃO",B27&gt;'VALOR POR PL'!$P$5),0,'DADOS HISTORICOS'!Z41)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RESUMO'!Z41</f>
        <v/>
      </c>
      <c r="N27" s="128">
        <f>MAX(0,M27-M26)</f>
        <v/>
      </c>
      <c r="O27" s="127">
        <f>IF(B27&lt;='VALOR POR PL'!$P$5,'CP RESUMO'!Z83,"")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IF(AND($K$22="NÃO",B28&gt;'VALOR POR PL'!$P$5),0,'DADOS HISTORICOS'!AA41)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RESUMO'!AA41</f>
        <v/>
      </c>
      <c r="N28" s="128">
        <f>MAX(0,M28-M27)</f>
        <v/>
      </c>
      <c r="O28" s="127">
        <f>IF(B28&lt;='VALOR POR PL'!$P$5,'CP RESUMO'!AA83,"")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IF(AND($K$22="NÃO",B29&gt;'VALOR POR PL'!$P$5),0,'DADOS HISTORICOS'!AB41)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RESUMO'!AB41</f>
        <v/>
      </c>
      <c r="N29" s="128">
        <f>MAX(0,M29-M28)</f>
        <v/>
      </c>
      <c r="O29" s="127">
        <f>IF(B29&lt;='VALOR POR PL'!$P$5,'CP RESUMO'!AB83,"")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IF(AND($K$22="NÃO",B30&gt;'VALOR POR PL'!$P$5),0,'DADOS HISTORICOS'!AC41)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RESUMO'!AC41</f>
        <v/>
      </c>
      <c r="N30" s="128">
        <f>MAX(0,M30-M29)</f>
        <v/>
      </c>
      <c r="O30" s="127">
        <f>IF(B30&lt;='VALOR POR PL'!$P$5,'CP RESUMO'!AC83,"")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IF(AND($K$22="NÃO",B31&gt;'VALOR POR PL'!$P$5),0,'DADOS HISTORICOS'!AD41)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RESUMO'!AD41</f>
        <v/>
      </c>
      <c r="N31" s="128">
        <f>MAX(0,M31-M30)</f>
        <v/>
      </c>
      <c r="O31" s="127">
        <f>IF(B31&lt;='VALOR POR PL'!$P$5,'CP RESUMO'!AD83,"")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IF(AND($K$22="NÃO",B32&gt;'VALOR POR PL'!$P$5),0,'DADOS HISTORICOS'!AE41)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RESUMO'!AE41</f>
        <v/>
      </c>
      <c r="N32" s="128">
        <f>MAX(0,M32-M31)</f>
        <v/>
      </c>
      <c r="O32" s="127">
        <f>IF(B32&lt;='VALOR POR PL'!$P$5,'CP RESUMO'!AE83,"")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IF(AND($K$22="NÃO",B33&gt;'VALOR POR PL'!$P$5),0,'DADOS HISTORICOS'!AF41)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RESUMO'!AF41</f>
        <v/>
      </c>
      <c r="N33" s="128">
        <f>MAX(0,M33-M32)</f>
        <v/>
      </c>
      <c r="O33" s="127">
        <f>IF(B33&lt;='VALOR POR PL'!$P$5,'CP RESUMO'!AF83,"")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IF(AND($K$22="NÃO",B34&gt;'VALOR POR PL'!$P$5),0,'DADOS HISTORICOS'!AG41)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RESUMO'!AG41</f>
        <v/>
      </c>
      <c r="N34" s="128">
        <f>MAX(0,M34-M33)</f>
        <v/>
      </c>
      <c r="O34" s="127">
        <f>IF(B34&lt;='VALOR POR PL'!$P$5,'CP RESUMO'!AG83,"")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IF(AND($K$22="NÃO",B35&gt;'VALOR POR PL'!$P$5),0,'DADOS HISTORICOS'!AH41)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RESUMO'!AH41</f>
        <v/>
      </c>
      <c r="N35" s="128">
        <f>MAX(0,M35-M34)</f>
        <v/>
      </c>
      <c r="O35" s="127">
        <f>IF(B35&lt;='VALOR POR PL'!$P$5,'CP RESUMO'!AH83,"")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IF(AND($K$22="NÃO",B36&gt;'VALOR POR PL'!$P$5),0,'DADOS HISTORICOS'!AI41)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RESUMO'!AI41</f>
        <v/>
      </c>
      <c r="N36" s="128">
        <f>MAX(0,M36-M35)</f>
        <v/>
      </c>
      <c r="O36" s="127">
        <f>IF(B36&lt;='VALOR POR PL'!$P$5,'CP RESUMO'!AI83,"")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IF(AND($K$22="NÃO",B37&gt;'VALOR POR PL'!$P$5),0,'DADOS HISTORICOS'!AJ41)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RESUMO'!AJ41</f>
        <v/>
      </c>
      <c r="N37" s="128">
        <f>MAX(0,M37-M36)</f>
        <v/>
      </c>
      <c r="O37" s="127">
        <f>IF(B37&lt;='VALOR POR PL'!$P$5,'CP RESUMO'!AJ83,"")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IF(AND($K$22="NÃO",B38&gt;'VALOR POR PL'!$P$5),0,'DADOS HISTORICOS'!AK41)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RESUMO'!AK41</f>
        <v/>
      </c>
      <c r="N38" s="128">
        <f>MAX(0,M38-M37)</f>
        <v/>
      </c>
      <c r="O38" s="127">
        <f>IF(B38&lt;='VALOR POR PL'!$P$5,'CP RESUMO'!AK83,"")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IF(AND($K$22="NÃO",B39&gt;'VALOR POR PL'!$P$5),0,'DADOS HISTORICOS'!AL41)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RESUMO'!AL41</f>
        <v/>
      </c>
      <c r="N39" s="128">
        <f>MAX(0,M39-M38)</f>
        <v/>
      </c>
      <c r="O39" s="127">
        <f>IF(B39&lt;='VALOR POR PL'!$P$5,'CP RESUMO'!AL83,"")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IF(AND($K$22="NÃO",B40&gt;'VALOR POR PL'!$P$5),0,'DADOS HISTORICOS'!AM41)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RESUMO'!AM41</f>
        <v/>
      </c>
      <c r="N40" s="128">
        <f>MAX(0,M40-M39)</f>
        <v/>
      </c>
      <c r="O40" s="127">
        <f>IF(B40&lt;='VALOR POR PL'!$P$5,'CP RESUMO'!AM83,"")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IF(AND($K$22="NÃO",B41&gt;'VALOR POR PL'!$P$5),0,'DADOS HISTORICOS'!AN41)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RESUMO'!AN41</f>
        <v/>
      </c>
      <c r="N41" s="128">
        <f>MAX(0,M41-M40)</f>
        <v/>
      </c>
      <c r="O41" s="127">
        <f>IF(B41&lt;='VALOR POR PL'!$P$5,'CP RESUMO'!AN83,"")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IF(AND($K$22="NÃO",B42&gt;'VALOR POR PL'!$P$5),0,'DADOS HISTORICOS'!AO41)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RESUMO'!AO41</f>
        <v/>
      </c>
      <c r="N42" s="128">
        <f>MAX(0,M42-M41)</f>
        <v/>
      </c>
      <c r="O42" s="127">
        <f>IF(B42&lt;='VALOR POR PL'!$P$5,'CP RESUMO'!AO83,"")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IF(AND($K$22="NÃO",B43&gt;'VALOR POR PL'!$P$5),0,'DADOS HISTORICOS'!AP41)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RESUMO'!AP41</f>
        <v/>
      </c>
      <c r="N43" s="128">
        <f>MAX(0,M43-M42)</f>
        <v/>
      </c>
      <c r="O43" s="127">
        <f>IF(B43&lt;='VALOR POR PL'!$P$5,'CP RESUMO'!AP83,"")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IF(AND($K$22="NÃO",B44&gt;'VALOR POR PL'!$P$5),0,'DADOS HISTORICOS'!AQ41)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RESUMO'!AQ41</f>
        <v/>
      </c>
      <c r="N44" s="128">
        <f>MAX(0,M44-M43)</f>
        <v/>
      </c>
      <c r="O44" s="127">
        <f>IF(B44&lt;='VALOR POR PL'!$P$5,'CP RESUMO'!AQ83,"")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IF(AND($K$22="NÃO",B45&gt;'VALOR POR PL'!$P$5),0,'DADOS HISTORICOS'!AR41)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RESUMO'!AR41</f>
        <v/>
      </c>
      <c r="N45" s="128">
        <f>MAX(0,M45-M44)</f>
        <v/>
      </c>
      <c r="O45" s="127">
        <f>IF(B45&lt;='VALOR POR PL'!$P$5,'CP RESUMO'!AR83,"")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IF(AND($K$22="NÃO",B46&gt;'VALOR POR PL'!$P$5),0,'DADOS HISTORICOS'!AS41)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RESUMO'!AS41</f>
        <v/>
      </c>
      <c r="N46" s="128">
        <f>MAX(0,M46-M45)</f>
        <v/>
      </c>
      <c r="O46" s="127">
        <f>IF(B46&lt;='VALOR POR PL'!$P$5,'CP RESUMO'!AS83,"")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IF(AND($K$22="NÃO",B47&gt;'VALOR POR PL'!$P$5),0,'DADOS HISTORICOS'!AT41)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RESUMO'!AT41</f>
        <v/>
      </c>
      <c r="N47" s="128">
        <f>MAX(0,M47-M46)</f>
        <v/>
      </c>
      <c r="O47" s="127">
        <f>IF(B47&lt;='VALOR POR PL'!$P$5,'CP RESUMO'!AT83,"")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IF(AND($K$22="NÃO",B48&gt;'VALOR POR PL'!$P$5),0,'DADOS HISTORICOS'!AU41)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RESUMO'!AU41</f>
        <v/>
      </c>
      <c r="N48" s="128">
        <f>MAX(0,M48-M47)</f>
        <v/>
      </c>
      <c r="O48" s="127">
        <f>IF(B48&lt;='VALOR POR PL'!$P$5,'CP RESUMO'!AU83,"")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IF(AND($K$22="NÃO",B49&gt;'VALOR POR PL'!$P$5),0,'DADOS HISTORICOS'!AV41)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RESUMO'!AV41</f>
        <v/>
      </c>
      <c r="N49" s="128">
        <f>MAX(0,M49-M48)</f>
        <v/>
      </c>
      <c r="O49" s="127">
        <f>IF(B49&lt;='VALOR POR PL'!$P$5,'CP RESUMO'!AV83,"")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IF(AND($K$22="NÃO",B50&gt;'VALOR POR PL'!$P$5),0,'DADOS HISTORICOS'!AW41)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RESUMO'!AW41</f>
        <v/>
      </c>
      <c r="N50" s="128">
        <f>MAX(0,M50-M49)</f>
        <v/>
      </c>
      <c r="O50" s="127">
        <f>IF(B50&lt;='VALOR POR PL'!$P$5,'CP RESUMO'!AW83,"")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IF(AND($K$22="NÃO",B51&gt;'VALOR POR PL'!$P$5),0,'DADOS HISTORICOS'!AX41)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RESUMO'!AX41</f>
        <v/>
      </c>
      <c r="N51" s="128">
        <f>MAX(0,M51-M50)</f>
        <v/>
      </c>
      <c r="O51" s="127">
        <f>IF(B51&lt;='VALOR POR PL'!$P$5,'CP RESUMO'!AX83,"")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IF(AND($K$22="NÃO",B52&gt;'VALOR POR PL'!$P$5),0,'DADOS HISTORICOS'!AY41)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RESUMO'!AY41</f>
        <v/>
      </c>
      <c r="N52" s="128">
        <f>MAX(0,M52-M51)</f>
        <v/>
      </c>
      <c r="O52" s="127">
        <f>IF(B52&lt;='VALOR POR PL'!$P$5,'CP RESUMO'!AY83,"")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IF(AND($K$22="NÃO",B53&gt;'VALOR POR PL'!$P$5),0,'DADOS HISTORICOS'!AZ41)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RESUMO'!AZ41</f>
        <v/>
      </c>
      <c r="N53" s="128">
        <f>MAX(0,M53-M52)</f>
        <v/>
      </c>
      <c r="O53" s="127">
        <f>IF(B53&lt;='VALOR POR PL'!$P$5,'CP RESUMO'!AZ83,"")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IF(AND($K$22="NÃO",B54&gt;'VALOR POR PL'!$P$5),0,'DADOS HISTORICOS'!BA41)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RESUMO'!BA41</f>
        <v/>
      </c>
      <c r="N54" s="128">
        <f>MAX(0,M54-M53)</f>
        <v/>
      </c>
      <c r="O54" s="127">
        <f>IF(B54&lt;='VALOR POR PL'!$P$5,'CP RESUMO'!BA83,"")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IF(AND($K$22="NÃO",B55&gt;'VALOR POR PL'!$P$5),0,'DADOS HISTORICOS'!BB41)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RESUMO'!BB41</f>
        <v/>
      </c>
      <c r="N55" s="128">
        <f>MAX(0,M55-M54)</f>
        <v/>
      </c>
      <c r="O55" s="127">
        <f>IF(B55&lt;='VALOR POR PL'!$P$5,'CP RESUMO'!BB83,"")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IF(AND($K$22="NÃO",B56&gt;'VALOR POR PL'!$P$5),0,'DADOS HISTORICOS'!BC41)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RESUMO'!BC41</f>
        <v/>
      </c>
      <c r="N56" s="128">
        <f>MAX(0,M56-M55)</f>
        <v/>
      </c>
      <c r="O56" s="127">
        <f>IF(B56&lt;='VALOR POR PL'!$P$5,'CP RESUMO'!BC83,"")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IF(AND($K$22="NÃO",B57&gt;'VALOR POR PL'!$P$5),0,'DADOS HISTORICOS'!BD41)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RESUMO'!BD41</f>
        <v/>
      </c>
      <c r="N57" s="128">
        <f>MAX(0,M57-M56)</f>
        <v/>
      </c>
      <c r="O57" s="127">
        <f>IF(B57&lt;='VALOR POR PL'!$P$5,'CP RESUMO'!BD83,"")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IF(AND($K$22="NÃO",B58&gt;'VALOR POR PL'!$P$5),0,'DADOS HISTORICOS'!BE41)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RESUMO'!BE41</f>
        <v/>
      </c>
      <c r="N58" s="128">
        <f>MAX(0,M58-M57)</f>
        <v/>
      </c>
      <c r="O58" s="127">
        <f>IF(B58&lt;='VALOR POR PL'!$P$5,'CP RESUMO'!BE83,"")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IF(AND($K$22="NÃO",B59&gt;'VALOR POR PL'!$P$5),0,'DADOS HISTORICOS'!BF41)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RESUMO'!BF41</f>
        <v/>
      </c>
      <c r="N59" s="128">
        <f>MAX(0,M59-M58)</f>
        <v/>
      </c>
      <c r="O59" s="127">
        <f>IF(B59&lt;='VALOR POR PL'!$P$5,'CP RESUMO'!BF83,"")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IF(AND($K$22="NÃO",B60&gt;'VALOR POR PL'!$P$5),0,'DADOS HISTORICOS'!BG41)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RESUMO'!BG41</f>
        <v/>
      </c>
      <c r="N60" s="128">
        <f>MAX(0,M60-M59)</f>
        <v/>
      </c>
      <c r="O60" s="127">
        <f>IF(B60&lt;='VALOR POR PL'!$P$5,'CP RESUMO'!BG83,"")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IF(AND($K$22="NÃO",B61&gt;'VALOR POR PL'!$P$5),0,'DADOS HISTORICOS'!BH41)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RESUMO'!BH41</f>
        <v/>
      </c>
      <c r="N61" s="128">
        <f>MAX(0,M61-M60)</f>
        <v/>
      </c>
      <c r="O61" s="127">
        <f>IF(B61&lt;='VALOR POR PL'!$P$5,'CP RESUMO'!BH83,"")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IF(AND($K$22="NÃO",B62&gt;'VALOR POR PL'!$P$5),0,'DADOS HISTORICOS'!BI41)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RESUMO'!BI41</f>
        <v/>
      </c>
      <c r="N62" s="128">
        <f>MAX(0,M62-M61)</f>
        <v/>
      </c>
      <c r="O62" s="127">
        <f>IF(B62&lt;='VALOR POR PL'!$P$5,'CP RESUMO'!BI83,"")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IF(AND($K$22="NÃO",B63&gt;'VALOR POR PL'!$P$5),0,'DADOS HISTORICOS'!BJ41)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RESUMO'!BJ41</f>
        <v/>
      </c>
      <c r="N63" s="128">
        <f>MAX(0,M63-M62)</f>
        <v/>
      </c>
      <c r="O63" s="127">
        <f>IF(B63&lt;='VALOR POR PL'!$P$5,'CP RESUMO'!BJ83,"")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IF(AND($K$22="NÃO",B64&gt;'VALOR POR PL'!$P$5),0,'DADOS HISTORICOS'!BK41)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RESUMO'!BK41</f>
        <v/>
      </c>
      <c r="N64" s="128">
        <f>MAX(0,M64-M63)</f>
        <v/>
      </c>
      <c r="O64" s="127">
        <f>IF(B64&lt;='VALOR POR PL'!$P$5,'CP RESUMO'!BK83,"")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IF(AND($K$22="NÃO",B65&gt;'VALOR POR PL'!$P$5),0,'DADOS HISTORICOS'!BL41)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RESUMO'!BL41</f>
        <v/>
      </c>
      <c r="N65" s="128">
        <f>MAX(0,M65-M64)</f>
        <v/>
      </c>
      <c r="O65" s="127">
        <f>IF(B65&lt;='VALOR POR PL'!$P$5,'CP RESUMO'!BL83,"")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IF(AND($K$22="NÃO",B66&gt;'VALOR POR PL'!$P$5),0,'DADOS HISTORICOS'!BM41)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RESUMO'!BM41</f>
        <v/>
      </c>
      <c r="N66" s="128">
        <f>MAX(0,M66-M65)</f>
        <v/>
      </c>
      <c r="O66" s="127">
        <f>IF(B66&lt;='VALOR POR PL'!$P$5,'CP RESUMO'!BM83,"")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IF(AND($K$22="NÃO",B67&gt;'VALOR POR PL'!$P$5),0,'DADOS HISTORICOS'!BN41)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RESUMO'!BN41</f>
        <v/>
      </c>
      <c r="N67" s="128">
        <f>MAX(0,M67-M66)</f>
        <v/>
      </c>
      <c r="O67" s="127">
        <f>IF(B67&lt;='VALOR POR PL'!$P$5,'CP RESUMO'!BN83,"")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IF(AND($K$22="NÃO",B68&gt;'VALOR POR PL'!$P$5),0,'DADOS HISTORICOS'!BO41)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RESUMO'!BO41</f>
        <v/>
      </c>
      <c r="N68" s="128">
        <f>MAX(0,M68-M67)</f>
        <v/>
      </c>
      <c r="O68" s="127">
        <f>IF(B68&lt;='VALOR POR PL'!$P$5,'CP RESUMO'!BO83,"")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IF(AND($K$22="NÃO",B69&gt;'VALOR POR PL'!$P$5),0,'DADOS HISTORICOS'!BP41)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RESUMO'!BP41</f>
        <v/>
      </c>
      <c r="N69" s="128">
        <f>MAX(0,M69-M68)</f>
        <v/>
      </c>
      <c r="O69" s="127">
        <f>IF(B69&lt;='VALOR POR PL'!$P$5,'CP RESUMO'!BP83,"")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IF(AND($K$22="NÃO",B70&gt;'VALOR POR PL'!$P$5),0,'DADOS HISTORICOS'!BQ41)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RESUMO'!BQ41</f>
        <v/>
      </c>
      <c r="N70" s="128">
        <f>MAX(0,M70-M69)</f>
        <v/>
      </c>
      <c r="O70" s="127">
        <f>IF(B70&lt;='VALOR POR PL'!$P$5,'CP RESUMO'!BQ83,"")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IF(AND($K$22="NÃO",B71&gt;'VALOR POR PL'!$P$5),0,'DADOS HISTORICOS'!BR41)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RESUMO'!BR41</f>
        <v/>
      </c>
      <c r="N71" s="128">
        <f>MAX(0,M71-M70)</f>
        <v/>
      </c>
      <c r="O71" s="127">
        <f>IF(B71&lt;='VALOR POR PL'!$P$5,'CP RESUMO'!BR83,"")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IF(AND($K$22="NÃO",B72&gt;'VALOR POR PL'!$P$5),0,'DADOS HISTORICOS'!BS41)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RESUMO'!BS41</f>
        <v/>
      </c>
      <c r="N72" s="128">
        <f>MAX(0,M72-M71)</f>
        <v/>
      </c>
      <c r="O72" s="127">
        <f>IF(B72&lt;='VALOR POR PL'!$P$5,'CP RESUMO'!BS83,"")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IF(AND($K$22="NÃO",B73&gt;'VALOR POR PL'!$P$5),0,'DADOS HISTORICOS'!BT41)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RESUMO'!BT41</f>
        <v/>
      </c>
      <c r="N73" s="128">
        <f>MAX(0,M73-M72)</f>
        <v/>
      </c>
      <c r="O73" s="127">
        <f>IF(B73&lt;='VALOR POR PL'!$P$5,'CP RESUMO'!BT83,"")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IF(AND($K$22="NÃO",B74&gt;'VALOR POR PL'!$P$5),0,'DADOS HISTORICOS'!BU41)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RESUMO'!BU41</f>
        <v/>
      </c>
      <c r="N74" s="128">
        <f>MAX(0,M74-M73)</f>
        <v/>
      </c>
      <c r="O74" s="127">
        <f>IF(B74&lt;='VALOR POR PL'!$P$5,'CP RESUMO'!BU83,"")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IF(AND($K$22="NÃO",B75&gt;'VALOR POR PL'!$P$5),0,'DADOS HISTORICOS'!BV41)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RESUMO'!BV41</f>
        <v/>
      </c>
      <c r="N75" s="128">
        <f>MAX(0,M75-M74)</f>
        <v/>
      </c>
      <c r="O75" s="127">
        <f>IF(B75&lt;='VALOR POR PL'!$P$5,'CP RESUMO'!BV83,"")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IF(AND($K$22="NÃO",B76&gt;'VALOR POR PL'!$P$5),0,'DADOS HISTORICOS'!BW41)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RESUMO'!BW41</f>
        <v/>
      </c>
      <c r="N76" s="128">
        <f>MAX(0,M76-M75)</f>
        <v/>
      </c>
      <c r="O76" s="127">
        <f>IF(B76&lt;='VALOR POR PL'!$P$5,'CP RESUMO'!BW83,"")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2026-09-28T04:14:55Z</dcterms:created>
  <dcterms:modified xsi:type="dcterms:W3CDTF">2026-09-28T04:14:56Z</dcterms:modified>
</cp:coreProperties>
</file>