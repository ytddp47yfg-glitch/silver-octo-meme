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2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0.0"/>
    <numFmt numFmtId="174" formatCode="&quot;R$&quot; #,##0;[Red]-&quot;R$&quot; #,##0;&quot;-&quot;"/>
    <numFmt numFmtId="175" formatCode="&quot;R$&quot; #,##0.00;[Red]-&quot;R$&quot; #,##0.00;&quot;-&quot;"/>
  </numFmts>
  <fonts count="2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i val="1"/>
      <color rgb="00595959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9" fillId="4" borderId="0" applyAlignment="1" pivotButton="0" quotePrefix="0" xfId="0">
      <alignment vertical="center"/>
    </xf>
    <xf numFmtId="0" fontId="0" fillId="4" borderId="0" pivotButton="0" quotePrefix="0" xfId="0"/>
    <xf numFmtId="0" fontId="10" fillId="4" borderId="0" applyAlignment="1" pivotButton="0" quotePrefix="0" xfId="0">
      <alignment vertical="top"/>
    </xf>
    <xf numFmtId="0" fontId="15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4" fontId="16" fillId="6" borderId="7" applyAlignment="1" pivotButton="0" quotePrefix="0" xfId="0">
      <alignment horizontal="left" vertical="center" indent="1"/>
    </xf>
    <xf numFmtId="168" fontId="16" fillId="6" borderId="7" applyAlignment="1" pivotButton="0" quotePrefix="0" xfId="0">
      <alignment horizontal="left" vertical="center" indent="1"/>
    </xf>
    <xf numFmtId="0" fontId="16" fillId="6" borderId="7" applyAlignment="1" pivotButton="0" quotePrefix="0" xfId="0">
      <alignment horizontal="left" vertical="center" indent="1"/>
    </xf>
    <xf numFmtId="0" fontId="17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4" fillId="12" borderId="0" applyAlignment="1" pivotButton="0" quotePrefix="0" xfId="0">
      <alignment horizontal="center" vertical="center"/>
    </xf>
    <xf numFmtId="0" fontId="25" fillId="1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bottom"/>
    </xf>
    <xf numFmtId="0" fontId="8" fillId="4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right" vertical="center" wrapText="1"/>
    </xf>
    <xf numFmtId="0" fontId="8" fillId="13" borderId="0" applyAlignment="1" pivotButton="0" quotePrefix="0" xfId="0">
      <alignment horizontal="right" vertical="center" wrapText="1"/>
    </xf>
    <xf numFmtId="0" fontId="8" fillId="14" borderId="0" applyAlignment="1" pivotButton="0" quotePrefix="0" xfId="0">
      <alignment horizontal="right" vertical="center" wrapText="1"/>
    </xf>
    <xf numFmtId="1" fontId="26" fillId="7" borderId="11" applyAlignment="1" pivotButton="0" quotePrefix="0" xfId="0">
      <alignment horizontal="center"/>
    </xf>
    <xf numFmtId="175" fontId="2" fillId="7" borderId="11" pivotButton="0" quotePrefix="0" xfId="0"/>
    <xf numFmtId="10" fontId="2" fillId="7" borderId="11" pivotButton="0" quotePrefix="0" xfId="0"/>
    <xf numFmtId="1" fontId="26" fillId="8" borderId="11" applyAlignment="1" pivotButton="0" quotePrefix="0" xfId="0">
      <alignment horizontal="center"/>
    </xf>
    <xf numFmtId="175" fontId="2" fillId="8" borderId="11" pivotButton="0" quotePrefix="0" xfId="0"/>
    <xf numFmtId="10" fontId="2" fillId="8" borderId="11" pivotButton="0" quotePrefix="0" xfId="0"/>
    <xf numFmtId="0" fontId="8" fillId="4" borderId="0" applyAlignment="1" pivotButton="0" quotePrefix="0" xfId="0">
      <alignment horizontal="center"/>
    </xf>
    <xf numFmtId="175" fontId="8" fillId="4" borderId="0" pivotButton="0" quotePrefix="0" xfId="0"/>
    <xf numFmtId="0" fontId="8" fillId="4" borderId="0" pivotButton="0" quotePrefix="0" xfId="0"/>
    <xf numFmtId="10" fontId="8" fillId="4" borderId="0" pivotButton="0" quotePrefix="0" xfId="0"/>
    <xf numFmtId="0" fontId="21" fillId="0" borderId="0" pivotButton="0" quotePrefix="0" xfId="0"/>
    <xf numFmtId="0" fontId="24" fillId="0" borderId="0" pivotButton="0" quotePrefix="0" xfId="0"/>
    <xf numFmtId="0" fontId="8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8" fillId="4" borderId="0" applyAlignment="1" pivotButton="0" quotePrefix="0" xfId="0">
      <alignment indent="1"/>
    </xf>
    <xf numFmtId="168" fontId="8" fillId="4" borderId="0" pivotButton="0" quotePrefix="0" xfId="0"/>
    <xf numFmtId="0" fontId="7" fillId="0" borderId="0" pivotButton="0" quotePrefix="0" xfId="0"/>
    <xf numFmtId="0" fontId="3" fillId="0" borderId="1" pivotButton="0" quotePrefix="0" xfId="0"/>
    <xf numFmtId="4" fontId="5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5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5" fillId="0" borderId="1" pivotButton="0" quotePrefix="0" xfId="0"/>
    <xf numFmtId="165" fontId="2" fillId="0" borderId="1" pivotButton="0" quotePrefix="0" xfId="0"/>
    <xf numFmtId="9" fontId="5" fillId="2" borderId="1" pivotButton="0" quotePrefix="0" xfId="0"/>
    <xf numFmtId="4" fontId="6" fillId="0" borderId="1" pivotButton="0" quotePrefix="0" xfId="0"/>
    <xf numFmtId="0" fontId="5" fillId="2" borderId="1" pivotButton="0" quotePrefix="0" xfId="0"/>
    <xf numFmtId="0" fontId="8" fillId="4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6" fillId="0" borderId="1" pivotButton="0" quotePrefix="0" xfId="0"/>
    <xf numFmtId="168" fontId="6" fillId="0" borderId="1" pivotButton="0" quotePrefix="0" xfId="0"/>
    <xf numFmtId="164" fontId="6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8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6" fillId="0" borderId="1" pivotButton="0" quotePrefix="0" xfId="0"/>
    <xf numFmtId="165" fontId="6" fillId="0" borderId="1" pivotButton="0" quotePrefix="0" xfId="0"/>
    <xf numFmtId="4" fontId="2" fillId="0" borderId="1" pivotButton="0" quotePrefix="0" xfId="0"/>
    <xf numFmtId="0" fontId="10" fillId="4" borderId="0" pivotButton="0" quotePrefix="0" xfId="0"/>
    <xf numFmtId="0" fontId="11" fillId="0" borderId="0" applyAlignment="1" pivotButton="0" quotePrefix="0" xfId="0">
      <alignment horizontal="right"/>
    </xf>
    <xf numFmtId="1" fontId="12" fillId="2" borderId="1" pivotButton="0" quotePrefix="0" xfId="0"/>
    <xf numFmtId="171" fontId="13" fillId="2" borderId="1" pivotButton="0" quotePrefix="0" xfId="0"/>
    <xf numFmtId="167" fontId="14" fillId="0" borderId="0" applyAlignment="1" pivotButton="0" quotePrefix="0" xfId="0">
      <alignment horizontal="left"/>
    </xf>
    <xf numFmtId="172" fontId="16" fillId="6" borderId="7" applyAlignment="1" pivotButton="0" quotePrefix="0" xfId="0">
      <alignment horizontal="left" vertical="center" indent="1"/>
    </xf>
    <xf numFmtId="4" fontId="16" fillId="6" borderId="7" applyAlignment="1" pivotButton="0" quotePrefix="0" xfId="0">
      <alignment horizontal="left" vertical="center" indent="1"/>
    </xf>
    <xf numFmtId="0" fontId="18" fillId="6" borderId="7" applyAlignment="1" pivotButton="0" quotePrefix="0" xfId="0">
      <alignment horizontal="left" vertical="center" indent="1"/>
    </xf>
    <xf numFmtId="0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right" vertical="center" wrapText="1"/>
    </xf>
    <xf numFmtId="0" fontId="6" fillId="7" borderId="11" applyAlignment="1" pivotButton="0" quotePrefix="0" xfId="0">
      <alignment horizontal="left" vertical="top"/>
    </xf>
    <xf numFmtId="0" fontId="6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6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0" fillId="7" borderId="11" applyAlignment="1" pivotButton="0" quotePrefix="0" xfId="0">
      <alignment vertical="top" wrapText="1"/>
    </xf>
    <xf numFmtId="164" fontId="6" fillId="0" borderId="0" pivotButton="0" quotePrefix="0" xfId="0"/>
    <xf numFmtId="0" fontId="6" fillId="8" borderId="11" applyAlignment="1" pivotButton="0" quotePrefix="0" xfId="0">
      <alignment horizontal="left" vertical="top"/>
    </xf>
    <xf numFmtId="0" fontId="6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6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0" fillId="8" borderId="11" applyAlignment="1" pivotButton="0" quotePrefix="0" xfId="0">
      <alignment vertical="top" wrapText="1"/>
    </xf>
    <xf numFmtId="0" fontId="14" fillId="9" borderId="11" applyAlignment="1" pivotButton="0" quotePrefix="0" xfId="0">
      <alignment horizontal="left" vertical="top"/>
    </xf>
    <xf numFmtId="0" fontId="14" fillId="9" borderId="11" applyAlignment="1" pivotButton="0" quotePrefix="0" xfId="0">
      <alignment vertical="top" wrapText="1"/>
    </xf>
    <xf numFmtId="168" fontId="14" fillId="9" borderId="11" applyAlignment="1" pivotButton="0" quotePrefix="0" xfId="0">
      <alignment horizontal="right" vertical="top"/>
    </xf>
    <xf numFmtId="164" fontId="14" fillId="9" borderId="11" applyAlignment="1" pivotButton="0" quotePrefix="0" xfId="0">
      <alignment horizontal="right" vertical="top"/>
    </xf>
    <xf numFmtId="0" fontId="14" fillId="9" borderId="11" pivotButton="0" quotePrefix="0" xfId="0"/>
    <xf numFmtId="164" fontId="8" fillId="4" borderId="0" applyAlignment="1" pivotButton="0" quotePrefix="0" xfId="0">
      <alignment horizontal="right"/>
    </xf>
    <xf numFmtId="168" fontId="8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8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2" fillId="0" borderId="0" pivotButton="0" quotePrefix="0" xfId="0"/>
    <xf numFmtId="169" fontId="6" fillId="0" borderId="1" pivotButton="0" quotePrefix="0" xfId="0"/>
    <xf numFmtId="10" fontId="5" fillId="0" borderId="1" pivotButton="0" quotePrefix="0" xfId="0"/>
    <xf numFmtId="171" fontId="5" fillId="0" borderId="1" pivotButton="0" quotePrefix="0" xfId="0"/>
    <xf numFmtId="10" fontId="2" fillId="0" borderId="0" pivotButton="0" quotePrefix="0" xfId="0"/>
    <xf numFmtId="0" fontId="23" fillId="0" borderId="0" pivotButton="0" quotePrefix="0" xfId="0"/>
    <xf numFmtId="171" fontId="5" fillId="0" borderId="0" pivotButton="0" quotePrefix="0" xfId="0"/>
    <xf numFmtId="4" fontId="5" fillId="0" borderId="0" pivotButton="0" quotePrefix="0" xfId="0"/>
    <xf numFmtId="171" fontId="6" fillId="0" borderId="1" pivotButton="0" quotePrefix="0" xfId="0"/>
    <xf numFmtId="1" fontId="23" fillId="0" borderId="0" pivotButton="0" quotePrefix="0" xfId="0"/>
    <xf numFmtId="169" fontId="8" fillId="4" borderId="1" pivotButton="0" quotePrefix="0" xfId="0"/>
    <xf numFmtId="173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0" fontId="8" fillId="10" borderId="1" applyAlignment="1" pivotButton="0" quotePrefix="0" xfId="0">
      <alignment horizontal="center" vertical="center" wrapText="1"/>
    </xf>
    <xf numFmtId="164" fontId="5" fillId="11" borderId="1" pivotButton="0" quotePrefix="0" xfId="0"/>
    <xf numFmtId="2" fontId="6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5" fillId="2" borderId="1" pivotButton="0" quotePrefix="0" xfId="0"/>
    <xf numFmtId="168" fontId="2" fillId="0" borderId="1" pivotButton="0" quotePrefix="0" xfId="0"/>
    <xf numFmtId="164" fontId="6" fillId="0" borderId="1" applyAlignment="1" pivotButton="0" quotePrefix="0" xfId="0">
      <alignment vertical="top" wrapText="1"/>
    </xf>
    <xf numFmtId="0" fontId="0" fillId="0" borderId="14" pivotButton="0" quotePrefix="0" xfId="0"/>
    <xf numFmtId="0" fontId="5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5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PLANILHA EM BRANCO — como começar uma obra nova</t>
        </is>
      </c>
    </row>
    <row r="2">
      <c r="A2" s="2" t="inlineStr">
        <is>
          <t>Preencha só as células/abas de ENTRADA (texto azul, fundo amarelo nos parâmetros). O resto é fórmula e se calcula sozinho.</t>
        </is>
      </c>
    </row>
    <row r="3">
      <c r="A3" s="2" t="inlineStr">
        <is>
          <t>Os exemplos em cinza mostram o formato esperado (valores do Botânico, só como referência).</t>
        </is>
      </c>
    </row>
    <row r="4">
      <c r="A4" s="2" t="inlineStr"/>
    </row>
    <row r="5">
      <c r="A5" s="3" t="inlineStr">
        <is>
          <t>1. VALOR POR PL — parâmetros e orçamento</t>
        </is>
      </c>
    </row>
    <row r="6">
      <c r="A6" s="2" t="inlineStr">
        <is>
          <t xml:space="preserve">   P9 = nome da obra · K6 = início do fluxo (1º mês; o realizado anterior entra acumulado nele) · K5 = data de corte (último mês fechado)</t>
        </is>
      </c>
    </row>
    <row r="7">
      <c r="A7" s="2" t="inlineStr">
        <is>
          <t xml:space="preserve">   H6 = INCC base do orçamento · K7 = limite de avanço físico para usar o Prevision (padrão 10%)</t>
        </is>
      </c>
    </row>
    <row r="8">
      <c r="A8" s="2" t="inlineStr">
        <is>
          <t xml:space="preserve">   Por PL (linhas 11 a 48): F = orçamento base (R$) · L = projeção atual (R$) · I = DIRETO/INDIRETO</t>
        </is>
      </c>
    </row>
    <row r="9">
      <c r="A9" s="4" t="inlineStr">
        <is>
          <t xml:space="preserve">   Exemplo: 01 PROJETOS | F: 2.400.000,00 | L: 2.640.655,00 | I: INDIRETO</t>
        </is>
      </c>
    </row>
    <row r="10">
      <c r="A10" s="3" t="inlineStr">
        <is>
          <t>2. "INCC-FGV" — índices mensais (já preenchidos até ago/2026; acrescente os meses seguintes)</t>
        </is>
      </c>
    </row>
    <row r="11">
      <c r="A11" s="4" t="inlineStr">
        <is>
          <t xml:space="preserve">   Exemplo: A = 01/09/2026 | B = 1.305,42 (número-índice do INCC-DI, não a variação %)</t>
        </is>
      </c>
    </row>
    <row r="12">
      <c r="A12" s="3" t="inlineStr">
        <is>
          <t>3. DADOS BRUTOS — cole a tabela dinâmica do ERP a partir de A1 (Colar especial → Valores)</t>
        </is>
      </c>
    </row>
    <row r="13">
      <c r="A13" s="2" t="inlineStr">
        <is>
          <t xml:space="preserve">   Linha 2 = meses (datas) a partir de B2 · coluna A = grupos a partir da linha 3</t>
        </is>
      </c>
    </row>
    <row r="14">
      <c r="A14" s="4" t="inlineStr">
        <is>
          <t xml:space="preserve">   Exemplo: A2 'Rótulos de Linha' | B2 01/05/2023 | C2 01/06/2023 …   ·   A8 'ALVENARIA' | B8 12.345,67 | C8 8.910,11 …</t>
        </is>
      </c>
    </row>
    <row r="15">
      <c r="A15" s="2" t="inlineStr">
        <is>
          <t xml:space="preserve">   Se o ERP da obra usar outros nomes de grupo, ajuste as colunas B/C da aba DADOS HISTORICOS.</t>
        </is>
      </c>
    </row>
    <row r="16">
      <c r="A16" s="3" t="inlineStr">
        <is>
          <t>4. CURVA PREVISION — cole o export 'Cronograma físico financeiro' do Prevision a partir de A1</t>
        </is>
      </c>
    </row>
    <row r="17">
      <c r="A17" s="4" t="inlineStr">
        <is>
          <t xml:space="preserve">   Exemplo: J2 '30/06/2025' (mês, sobre a coluna Previsto) · linha 3: Nível | Código EAP | Descrição | … | Base | Previsto | Realizado</t>
        </is>
      </c>
    </row>
    <row r="18">
      <c r="A18" s="2" t="inlineStr">
        <is>
          <t xml:space="preserve">   Os códigos de 1º nível (coluna B: 01, 02 … 37) precisam ser iguais aos da coluna C de VALOR POR PL.</t>
        </is>
      </c>
    </row>
    <row r="19">
      <c r="A19" s="3" t="inlineStr">
        <is>
          <t>5. CRONOGRAMA ATIVIDADES — cole o export de atividades do Prevision a partir de A1</t>
        </is>
      </c>
    </row>
    <row r="20">
      <c r="A20" s="4" t="inlineStr">
        <is>
          <t xml:space="preserve">   Exemplo: linha 4: ID | Pacote de trabalho/tarefas | Serviço | Lote | Data de Início | Data de Término | … | Base | Previsto | Realizado</t>
        </is>
      </c>
    </row>
    <row r="21">
      <c r="A21" s="2" t="inlineStr">
        <is>
          <t xml:space="preserve">   Revise o de-para pacote → PL (colunas R a U). Pacotes sem de-para aparecem em vermelho.</t>
        </is>
      </c>
    </row>
    <row r="22">
      <c r="A22" s="3" t="inlineStr">
        <is>
          <t>6. Abas de disciplina (opcional) — coluna H = previsão informada por mês; K15 = forçar a fonte da curva</t>
        </is>
      </c>
    </row>
    <row r="23">
      <c r="A23" s="2" t="inlineStr">
        <is>
          <t xml:space="preserve">   Padrões herdados das premissas: ELEVADORES e ESQUADRIAS com previsão informada; LOUÇAS com MDO pelo Prevision e material pela premissa.</t>
        </is>
      </c>
    </row>
    <row r="24">
      <c r="A24" s="3" t="inlineStr">
        <is>
          <t>7. Confira — VALOR POR PL, coluna N e bloco CONFERÊNCIA GERAL (tudo 'OK'); depois DASHBOARD e RETRATO 2027.</t>
        </is>
      </c>
    </row>
    <row r="25">
      <c r="A25" s="2" t="inlineStr"/>
    </row>
    <row r="26">
      <c r="A26" s="1" t="inlineStr">
        <is>
          <t>Fluxo de caixa da obra — mesmas abas do MODELO 05, agora com cálculo automático</t>
        </is>
      </c>
    </row>
    <row r="27">
      <c r="A27" s="2" t="inlineStr"/>
    </row>
    <row r="28">
      <c r="A28" s="3" t="inlineStr">
        <is>
          <t>O que mudou em relação ao modelo original</t>
        </is>
      </c>
    </row>
    <row r="29">
      <c r="A29" s="2" t="inlineStr">
        <is>
          <t>• As abas são as mesmas. A diferença é que nada precisa de ajuste manual: em cada aba de disciplina, o saldo</t>
        </is>
      </c>
    </row>
    <row r="30">
      <c r="A30" s="2" t="inlineStr">
        <is>
          <t xml:space="preserve">  (PROJEÇÃO − INCORRIDO) é distribuído automaticamente nos meses futuros, então a linha DIFERENÇA fica zerada sozinha.</t>
        </is>
      </c>
    </row>
    <row r="31">
      <c r="A31" s="2" t="inlineStr">
        <is>
          <t>• A coluna PREVISÃO (R$) agora é calculada. O que você digitava nela vai na coluna H 'PREVISÃO INFORMADA' e vira o peso</t>
        </is>
      </c>
    </row>
    <row r="32">
      <c r="A32" s="2" t="inlineStr">
        <is>
          <t xml:space="preserve">  de cada mês. Se a soma do que você digitou não fechar com o saldo, a ferramenta reescala (mostra o % de ajuste em K15).</t>
        </is>
      </c>
    </row>
    <row r="33">
      <c r="A33" s="2" t="inlineStr">
        <is>
          <t>• Regra da curva (célula K16 de cada aba): itens DIRETOS com avanço físico realizado no Prevision abaixo do limite</t>
        </is>
      </c>
    </row>
    <row r="34">
      <c r="A34" s="2" t="inlineStr">
        <is>
          <t xml:space="preserve">  (VALOR POR PL!K7, hoje 10%) seguem a CURVA DO PREVISION (colunas M a O da aba). Os demais usam a coluna H;</t>
        </is>
      </c>
    </row>
    <row r="35">
      <c r="A35" s="2" t="inlineStr">
        <is>
          <t xml:space="preserve">  sem coluna H, também usam o Prevision. Para forçar uma fonte numa aba, use a célula K15.</t>
        </is>
      </c>
    </row>
    <row r="36">
      <c r="A36" s="2" t="inlineStr">
        <is>
          <t>• DADOS HISTORICOS localiza cada grupo do ERP pelo NOME e cada mês pela DATA do cabeçalho (antes era por posição).</t>
        </is>
      </c>
    </row>
    <row r="37">
      <c r="A37" s="2" t="inlineStr"/>
    </row>
    <row r="38">
      <c r="A38" s="3" t="inlineStr">
        <is>
          <t>Atualização mensal</t>
        </is>
      </c>
    </row>
    <row r="39">
      <c r="A39" s="2" t="inlineStr">
        <is>
          <t>1. "INCC-FGV": acrescente o índice do mês (mês no formato 01/mm/aaaa).</t>
        </is>
      </c>
    </row>
    <row r="40">
      <c r="A40" s="2" t="inlineStr">
        <is>
          <t>2. VALOR POR PL: mude a DATA DE CORTE (K5) para o último mês com realizado fechado; atualize a PROJEÇÃO (coluna L).</t>
        </is>
      </c>
    </row>
    <row r="41">
      <c r="A41" s="2" t="inlineStr">
        <is>
          <t>3. DADOS BRUTOS: cole a tabela dinâmica do ERP a partir da célula A1 (mesmo formato de sempre: grupos nas linhas, meses nas colunas).</t>
        </is>
      </c>
    </row>
    <row r="42">
      <c r="A42" s="2" t="inlineStr">
        <is>
          <t xml:space="preserve">   Grupo destacado em vermelho = nome que não existe em DADOS HISTORICOS (colunas B/C). Cadastre-o ou coloque na lista de ignorados.</t>
        </is>
      </c>
    </row>
    <row r="43">
      <c r="A43" s="2" t="inlineStr">
        <is>
          <t>4. CURVA PREVISION: cole o export do Prevision a partir da célula A1 (opcional — só é usado quando a coluna H da disciplina está vazia).</t>
        </is>
      </c>
    </row>
    <row r="44">
      <c r="A44" s="2" t="inlineStr">
        <is>
          <t>5. Abas de disciplina: se quiser, digite a previsão por mês na coluna H (meses futuros).</t>
        </is>
      </c>
    </row>
    <row r="45">
      <c r="A45" s="2" t="inlineStr">
        <is>
          <t>6. VALOR POR PL, coluna N e bloco CONFERÊNCIA GERAL: tudo deve estar 'OK'.</t>
        </is>
      </c>
    </row>
    <row r="46">
      <c r="A46" s="2" t="inlineStr">
        <is>
          <t>7. RETRATO 2027: escolha o ano em D5 e o INCC em F5. As observações vêm da aba CRONOGRAMA ATIVIDADES (cole ali o export de atividades do Prevision).</t>
        </is>
      </c>
    </row>
    <row r="47">
      <c r="A47" s="2" t="inlineStr"/>
    </row>
    <row r="48">
      <c r="A48" s="3" t="inlineStr">
        <is>
          <t>Convenção de cores</t>
        </is>
      </c>
    </row>
    <row r="49">
      <c r="A49" s="5" t="inlineStr">
        <is>
          <t>Texto azul = entrada (editar)</t>
        </is>
      </c>
    </row>
    <row r="50">
      <c r="A50" s="2" t="inlineStr">
        <is>
          <t>Texto preto = fórmula (não editar)</t>
        </is>
      </c>
    </row>
    <row r="51">
      <c r="A51" s="6" t="inlineStr">
        <is>
          <t>Texto verde = puxa de outra aba (não editar)</t>
        </is>
      </c>
    </row>
    <row r="52">
      <c r="A52" s="7" t="inlineStr">
        <is>
          <t>Fundo amarelo = parâmetro principal</t>
        </is>
      </c>
    </row>
    <row r="53">
      <c r="A53" s="8" t="inlineStr">
        <is>
          <t>Linhas cinza nas abas de disciplina = meses já realizados (até a data de corte)</t>
        </is>
      </c>
    </row>
    <row r="54">
      <c r="A54" s="2" t="inlineStr"/>
    </row>
    <row r="55">
      <c r="A55" s="3" t="inlineStr">
        <is>
          <t>Diferenças de abas em relação ao original</t>
        </is>
      </c>
    </row>
    <row r="56">
      <c r="A56" s="2" t="inlineStr">
        <is>
          <t>• Novas: LEIA-ME, SEGUROS e LIG. PROVISÓRIAS (essas duas disciplinas tinham projeção e realizado no ERP, mas nenhuma aba de distribuição).</t>
        </is>
      </c>
    </row>
    <row r="57">
      <c r="A57" s="2" t="inlineStr">
        <is>
          <t>• Removida: Planilha1 (era uma cópia com valores fixos do MODELO PARA BI).</t>
        </is>
      </c>
    </row>
    <row r="58">
      <c r="A58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9">
        <f>'VALOR POR PL'!$P$9&amp;"  ·  FLUXO DE CAIXA DA OBRA"</f>
        <v/>
      </c>
      <c r="C2" s="10" t="n"/>
      <c r="D2" s="10" t="n"/>
      <c r="E2" s="10" t="n"/>
      <c r="F2" s="10" t="n"/>
      <c r="G2" s="10" t="n"/>
      <c r="H2" s="10" t="n"/>
      <c r="I2" s="10" t="n"/>
    </row>
    <row r="3" ht="20" customHeight="1">
      <c r="B3" s="11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10" t="n"/>
      <c r="D3" s="10" t="n"/>
      <c r="E3" s="10" t="n"/>
      <c r="F3" s="10" t="n"/>
      <c r="G3" s="10" t="n"/>
      <c r="H3" s="10" t="n"/>
      <c r="I3" s="10" t="n"/>
    </row>
    <row r="5" ht="22" customHeight="1">
      <c r="B5" s="12" t="inlineStr">
        <is>
          <t>PROJEÇÃO TOTAL</t>
        </is>
      </c>
      <c r="C5" s="13" t="n"/>
      <c r="D5" s="12" t="inlineStr">
        <is>
          <t>REALIZADO ATÉ O CORTE</t>
        </is>
      </c>
      <c r="E5" s="12" t="inlineStr">
        <is>
          <t>% REALIZADO</t>
        </is>
      </c>
      <c r="F5" s="12">
        <f>"DESEMBOLSO EM "&amp;'RETRATO 2027'!$D$5</f>
        <v/>
      </c>
      <c r="H5" s="12" t="inlineStr">
        <is>
          <t>SALDO A REALIZAR</t>
        </is>
      </c>
      <c r="I5" s="12" t="inlineStr">
        <is>
          <t>CONFERÊNCIA</t>
        </is>
      </c>
    </row>
    <row r="6" ht="30" customHeight="1">
      <c r="B6" s="14">
        <f>'VALOR POR PL'!L50</f>
        <v/>
      </c>
      <c r="D6" s="14">
        <f>SUMPRODUCT(('MODELO PARA BI'!$H$1:$CA$1&lt;='VALOR POR PL'!$P$5)*'MODELO PARA BI'!$H$63:$CA$63)</f>
        <v/>
      </c>
      <c r="E6" s="15">
        <f>IF(B6=0,0,D6/B6)</f>
        <v/>
      </c>
      <c r="F6" s="14">
        <f>SUMPRODUCT((YEAR('MODELO PARA BI'!$H$1:$CA$1)='RETRATO 2027'!$D$5)*'MODELO PARA BI'!$H$63:$CA$63)</f>
        <v/>
      </c>
      <c r="H6" s="14">
        <f>SUM('MODELO PARA BI'!$H$63:$CA$63)-D6</f>
        <v/>
      </c>
      <c r="I6" s="16">
        <f>IF(COUNTIF('VALOR POR PL'!$F$54:$F$59,"⚠*")=0,"✓ Tudo OK","⚠ "&amp;COUNTIF('VALOR POR PL'!$F$54:$F$59,"⚠*")&amp;" pendência(s)")</f>
        <v/>
      </c>
    </row>
    <row r="7" ht="18" customHeight="1">
      <c r="B7" s="17" t="inlineStr">
        <is>
          <t>orçamento projetado (IEC)</t>
        </is>
      </c>
      <c r="C7" s="18" t="n"/>
      <c r="D7" s="17" t="inlineStr">
        <is>
          <t>incorrido no ERP</t>
        </is>
      </c>
      <c r="E7" s="17" t="inlineStr">
        <is>
          <t>da projeção</t>
        </is>
      </c>
      <c r="F7" s="17" t="inlineStr">
        <is>
          <t>realizado + previsto</t>
        </is>
      </c>
      <c r="H7" s="17" t="inlineStr">
        <is>
          <t>após a data de corte</t>
        </is>
      </c>
      <c r="I7" s="17" t="inlineStr">
        <is>
          <t>detalhes em VALOR POR PL</t>
        </is>
      </c>
    </row>
    <row r="10" ht="22" customHeight="1">
      <c r="B10" s="19" t="inlineStr">
        <is>
          <t>REALIZADO (ATUAL)</t>
        </is>
      </c>
    </row>
    <row r="11">
      <c r="B11" s="20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1" t="inlineStr">
        <is>
          <t>COMPOSIÇÃO DO ANO</t>
        </is>
      </c>
    </row>
    <row r="12" ht="32" customHeight="1">
      <c r="B12" s="22" t="inlineStr">
        <is>
          <t>Ano</t>
        </is>
      </c>
      <c r="C12" s="23" t="inlineStr">
        <is>
          <t>Anual
R$</t>
        </is>
      </c>
      <c r="D12" s="23" t="inlineStr">
        <is>
          <t>Acumulado
R$</t>
        </is>
      </c>
      <c r="E12" s="23" t="inlineStr">
        <is>
          <t>Anual
%</t>
        </is>
      </c>
      <c r="F12" s="23" t="inlineStr">
        <is>
          <t>Acumulado
%</t>
        </is>
      </c>
      <c r="H12" s="24" t="inlineStr">
        <is>
          <t>Realizado
R$</t>
        </is>
      </c>
      <c r="I12" s="25" t="inlineStr">
        <is>
          <t>A realizar
R$</t>
        </is>
      </c>
    </row>
    <row r="13" ht="19" customHeight="1">
      <c r="B13" s="26">
        <f>YEAR('VALOR POR PL'!$P$6)+0</f>
        <v/>
      </c>
      <c r="C13" s="27">
        <f>SUMPRODUCT((YEAR('MODELO PARA BI'!$H$1:$CA$1)=B13)*'MODELO PARA BI'!$H$63:$CA$63)</f>
        <v/>
      </c>
      <c r="D13" s="27">
        <f>C13</f>
        <v/>
      </c>
      <c r="E13" s="28">
        <f>IF($C$20=0,0,C13/$C$20)</f>
        <v/>
      </c>
      <c r="F13" s="28">
        <f>IF($C$20=0,0,D13/$C$20)</f>
        <v/>
      </c>
      <c r="H13" s="27">
        <f>SUMPRODUCT((YEAR('MODELO PARA BI'!$H$1:$CA$1)=B13)*('MODELO PARA BI'!$H$1:$CA$1&lt;='VALOR POR PL'!$P$5)*'MODELO PARA BI'!$H$63:$CA$63)</f>
        <v/>
      </c>
      <c r="I13" s="27">
        <f>C13-H13</f>
        <v/>
      </c>
    </row>
    <row r="14" ht="19" customHeight="1">
      <c r="B14" s="29">
        <f>YEAR('VALOR POR PL'!$P$6)+1</f>
        <v/>
      </c>
      <c r="C14" s="30">
        <f>SUMPRODUCT((YEAR('MODELO PARA BI'!$H$1:$CA$1)=B14)*'MODELO PARA BI'!$H$63:$CA$63)</f>
        <v/>
      </c>
      <c r="D14" s="30">
        <f>D13+C14</f>
        <v/>
      </c>
      <c r="E14" s="31">
        <f>IF($C$20=0,0,C14/$C$20)</f>
        <v/>
      </c>
      <c r="F14" s="31">
        <f>IF($C$20=0,0,D14/$C$20)</f>
        <v/>
      </c>
      <c r="H14" s="30">
        <f>SUMPRODUCT((YEAR('MODELO PARA BI'!$H$1:$CA$1)=B14)*('MODELO PARA BI'!$H$1:$CA$1&lt;='VALOR POR PL'!$P$5)*'MODELO PARA BI'!$H$63:$CA$63)</f>
        <v/>
      </c>
      <c r="I14" s="30">
        <f>C14-H14</f>
        <v/>
      </c>
    </row>
    <row r="15" ht="19" customHeight="1">
      <c r="B15" s="26">
        <f>YEAR('VALOR POR PL'!$P$6)+2</f>
        <v/>
      </c>
      <c r="C15" s="27">
        <f>SUMPRODUCT((YEAR('MODELO PARA BI'!$H$1:$CA$1)=B15)*'MODELO PARA BI'!$H$63:$CA$63)</f>
        <v/>
      </c>
      <c r="D15" s="27">
        <f>D14+C15</f>
        <v/>
      </c>
      <c r="E15" s="28">
        <f>IF($C$20=0,0,C15/$C$20)</f>
        <v/>
      </c>
      <c r="F15" s="28">
        <f>IF($C$20=0,0,D15/$C$20)</f>
        <v/>
      </c>
      <c r="H15" s="27">
        <f>SUMPRODUCT((YEAR('MODELO PARA BI'!$H$1:$CA$1)=B15)*('MODELO PARA BI'!$H$1:$CA$1&lt;='VALOR POR PL'!$P$5)*'MODELO PARA BI'!$H$63:$CA$63)</f>
        <v/>
      </c>
      <c r="I15" s="27">
        <f>C15-H15</f>
        <v/>
      </c>
    </row>
    <row r="16" ht="19" customHeight="1">
      <c r="B16" s="29">
        <f>YEAR('VALOR POR PL'!$P$6)+3</f>
        <v/>
      </c>
      <c r="C16" s="30">
        <f>SUMPRODUCT((YEAR('MODELO PARA BI'!$H$1:$CA$1)=B16)*'MODELO PARA BI'!$H$63:$CA$63)</f>
        <v/>
      </c>
      <c r="D16" s="30">
        <f>D15+C16</f>
        <v/>
      </c>
      <c r="E16" s="31">
        <f>IF($C$20=0,0,C16/$C$20)</f>
        <v/>
      </c>
      <c r="F16" s="31">
        <f>IF($C$20=0,0,D16/$C$20)</f>
        <v/>
      </c>
      <c r="H16" s="30">
        <f>SUMPRODUCT((YEAR('MODELO PARA BI'!$H$1:$CA$1)=B16)*('MODELO PARA BI'!$H$1:$CA$1&lt;='VALOR POR PL'!$P$5)*'MODELO PARA BI'!$H$63:$CA$63)</f>
        <v/>
      </c>
      <c r="I16" s="30">
        <f>C16-H16</f>
        <v/>
      </c>
    </row>
    <row r="17" ht="19" customHeight="1">
      <c r="B17" s="26">
        <f>YEAR('VALOR POR PL'!$P$6)+4</f>
        <v/>
      </c>
      <c r="C17" s="27">
        <f>SUMPRODUCT((YEAR('MODELO PARA BI'!$H$1:$CA$1)=B17)*'MODELO PARA BI'!$H$63:$CA$63)</f>
        <v/>
      </c>
      <c r="D17" s="27">
        <f>D16+C17</f>
        <v/>
      </c>
      <c r="E17" s="28">
        <f>IF($C$20=0,0,C17/$C$20)</f>
        <v/>
      </c>
      <c r="F17" s="28">
        <f>IF($C$20=0,0,D17/$C$20)</f>
        <v/>
      </c>
      <c r="H17" s="27">
        <f>SUMPRODUCT((YEAR('MODELO PARA BI'!$H$1:$CA$1)=B17)*('MODELO PARA BI'!$H$1:$CA$1&lt;='VALOR POR PL'!$P$5)*'MODELO PARA BI'!$H$63:$CA$63)</f>
        <v/>
      </c>
      <c r="I17" s="27">
        <f>C17-H17</f>
        <v/>
      </c>
    </row>
    <row r="18" ht="19" customHeight="1">
      <c r="B18" s="29">
        <f>YEAR('VALOR POR PL'!$P$6)+5</f>
        <v/>
      </c>
      <c r="C18" s="30">
        <f>SUMPRODUCT((YEAR('MODELO PARA BI'!$H$1:$CA$1)=B18)*'MODELO PARA BI'!$H$63:$CA$63)</f>
        <v/>
      </c>
      <c r="D18" s="30">
        <f>D17+C18</f>
        <v/>
      </c>
      <c r="E18" s="31">
        <f>IF($C$20=0,0,C18/$C$20)</f>
        <v/>
      </c>
      <c r="F18" s="31">
        <f>IF($C$20=0,0,D18/$C$20)</f>
        <v/>
      </c>
      <c r="H18" s="30">
        <f>SUMPRODUCT((YEAR('MODELO PARA BI'!$H$1:$CA$1)=B18)*('MODELO PARA BI'!$H$1:$CA$1&lt;='VALOR POR PL'!$P$5)*'MODELO PARA BI'!$H$63:$CA$63)</f>
        <v/>
      </c>
      <c r="I18" s="30">
        <f>C18-H18</f>
        <v/>
      </c>
    </row>
    <row r="19" ht="19" customHeight="1">
      <c r="B19" s="26">
        <f>YEAR('VALOR POR PL'!$P$6)+6</f>
        <v/>
      </c>
      <c r="C19" s="27">
        <f>SUMPRODUCT((YEAR('MODELO PARA BI'!$H$1:$CA$1)=B19)*'MODELO PARA BI'!$H$63:$CA$63)</f>
        <v/>
      </c>
      <c r="D19" s="27">
        <f>D18+C19</f>
        <v/>
      </c>
      <c r="E19" s="28">
        <f>IF($C$20=0,0,C19/$C$20)</f>
        <v/>
      </c>
      <c r="F19" s="28">
        <f>IF($C$20=0,0,D19/$C$20)</f>
        <v/>
      </c>
      <c r="H19" s="27">
        <f>SUMPRODUCT((YEAR('MODELO PARA BI'!$H$1:$CA$1)=B19)*('MODELO PARA BI'!$H$1:$CA$1&lt;='VALOR POR PL'!$P$5)*'MODELO PARA BI'!$H$63:$CA$63)</f>
        <v/>
      </c>
      <c r="I19" s="27">
        <f>C19-H19</f>
        <v/>
      </c>
    </row>
    <row r="20" ht="22" customHeight="1">
      <c r="B20" s="32" t="inlineStr">
        <is>
          <t>TOTAL</t>
        </is>
      </c>
      <c r="C20" s="33">
        <f>SUM(C13:C19)</f>
        <v/>
      </c>
      <c r="D20" s="34" t="n"/>
      <c r="E20" s="35">
        <f>SUM(E13:E19)</f>
        <v/>
      </c>
      <c r="F20" s="34" t="n"/>
      <c r="H20" s="33">
        <f>SUM(H13:H19)</f>
        <v/>
      </c>
      <c r="I20" s="33">
        <f>SUM(I13:I19)</f>
        <v/>
      </c>
    </row>
    <row r="21">
      <c r="B21" s="36" t="inlineStr">
        <is>
          <t>Linha destacada = ano do retrato (RETRATO 2027!D5).  Realizado = até a data de corte; a realizar = previsto depois dela.</t>
        </is>
      </c>
    </row>
    <row r="24">
      <c r="B24" s="37">
        <f>"DESEMBOLSO EM "&amp;'RETRATO 2027'!$D$5&amp;" POR GRUPO"</f>
        <v/>
      </c>
    </row>
    <row r="25" ht="30" customHeight="1">
      <c r="B25" s="38" t="inlineStr">
        <is>
          <t>Grupo</t>
        </is>
      </c>
      <c r="D25" s="23" t="inlineStr">
        <is>
          <t>R$</t>
        </is>
      </c>
      <c r="E25" s="23" t="inlineStr">
        <is>
          <t>% do ano</t>
        </is>
      </c>
      <c r="F25" s="23" t="inlineStr">
        <is>
          <t>Avanço
financeiro</t>
        </is>
      </c>
    </row>
    <row r="26" ht="19" customHeight="1">
      <c r="B26" s="39" t="inlineStr">
        <is>
          <t>Indiretos (01 a 11)</t>
        </is>
      </c>
      <c r="C26" s="40" t="n"/>
      <c r="D26" s="27">
        <f>SUM('RETRATO 2027'!F12:F22)</f>
        <v/>
      </c>
      <c r="E26" s="41">
        <f>IF($D$32=0,0,D26/$D$32)</f>
        <v/>
      </c>
      <c r="F26" s="41">
        <f>IFERROR(SUMPRODUCT('RETRATO 2027'!J12:J22,'RETRATO 2027'!M12:M22)/SUM('RETRATO 2027'!M12:M22),0)</f>
        <v/>
      </c>
    </row>
    <row r="27" ht="19" customHeight="1">
      <c r="B27" s="42" t="inlineStr">
        <is>
          <t>Infraestrutura (12 a 16)</t>
        </is>
      </c>
      <c r="C27" s="40" t="n"/>
      <c r="D27" s="30">
        <f>SUM('RETRATO 2027'!F24:F28)</f>
        <v/>
      </c>
      <c r="E27" s="43">
        <f>IF($D$32=0,0,D27/$D$32)</f>
        <v/>
      </c>
      <c r="F27" s="43">
        <f>IFERROR(SUMPRODUCT('RETRATO 2027'!J24:J28,'RETRATO 2027'!M24:M28)/SUM('RETRATO 2027'!M24:M28),0)</f>
        <v/>
      </c>
    </row>
    <row r="28" ht="19" customHeight="1">
      <c r="B28" s="39" t="inlineStr">
        <is>
          <t>Estrutura (17)</t>
        </is>
      </c>
      <c r="C28" s="40" t="n"/>
      <c r="D28" s="27">
        <f>SUM('RETRATO 2027'!F30:F30)</f>
        <v/>
      </c>
      <c r="E28" s="41">
        <f>IF($D$32=0,0,D28/$D$32)</f>
        <v/>
      </c>
      <c r="F28" s="41">
        <f>IFERROR(SUMPRODUCT('RETRATO 2027'!J30:J30,'RETRATO 2027'!M30:M30)/SUM('RETRATO 2027'!M30:M30),0)</f>
        <v/>
      </c>
    </row>
    <row r="29" ht="19" customHeight="1">
      <c r="B29" s="42" t="inlineStr">
        <is>
          <t>Vedações, instalações e elevadores (18 a 24)</t>
        </is>
      </c>
      <c r="C29" s="40" t="n"/>
      <c r="D29" s="30">
        <f>SUM('RETRATO 2027'!F31:F37)</f>
        <v/>
      </c>
      <c r="E29" s="43">
        <f>IF($D$32=0,0,D29/$D$32)</f>
        <v/>
      </c>
      <c r="F29" s="43">
        <f>IFERROR(SUMPRODUCT('RETRATO 2027'!J31:J37,'RETRATO 2027'!M31:M37)/SUM('RETRATO 2027'!M31:M37),0)</f>
        <v/>
      </c>
    </row>
    <row r="30" ht="19" customHeight="1">
      <c r="B30" s="39" t="inlineStr">
        <is>
          <t>Acabamentos (25 a 37)</t>
        </is>
      </c>
      <c r="C30" s="40" t="n"/>
      <c r="D30" s="27">
        <f>SUM('RETRATO 2027'!F38:F50)</f>
        <v/>
      </c>
      <c r="E30" s="41">
        <f>IF($D$32=0,0,D30/$D$32)</f>
        <v/>
      </c>
      <c r="F30" s="41">
        <f>IFERROR(SUMPRODUCT('RETRATO 2027'!J38:J50,'RETRATO 2027'!M38:M50)/SUM('RETRATO 2027'!M38:M50),0)</f>
        <v/>
      </c>
    </row>
    <row r="31" ht="19" customHeight="1">
      <c r="B31" s="42" t="inlineStr">
        <is>
          <t>Taxa de administração</t>
        </is>
      </c>
      <c r="C31" s="40" t="n"/>
      <c r="D31" s="30">
        <f>SUM('RETRATO 2027'!F52:F52)</f>
        <v/>
      </c>
      <c r="E31" s="43">
        <f>IF($D$32=0,0,D31/$D$32)</f>
        <v/>
      </c>
      <c r="F31" s="43" t="n"/>
    </row>
    <row r="32" ht="22" customHeight="1">
      <c r="B32" s="44" t="inlineStr">
        <is>
          <t>TOTAL</t>
        </is>
      </c>
      <c r="D32" s="33">
        <f>SUM(D26:D31)</f>
        <v/>
      </c>
      <c r="E32" s="45">
        <f>SUM(E26:E31)</f>
        <v/>
      </c>
      <c r="F32" s="34" t="n"/>
    </row>
    <row r="33">
      <c r="B33" s="36" t="inlineStr">
        <is>
          <t>Avanço financeiro = acumulado até dezembro do ano ÷ projeção.</t>
        </is>
      </c>
      <c r="F33" s="36">
        <f>IF(ABS(D32-F6)&lt;1,"✓ confere com o cartão","⚠ diferente do cartão")</f>
        <v/>
      </c>
    </row>
    <row r="36">
      <c r="B36" s="37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6" t="inlineStr">
        <is>
          <t>ORÇAMENTO - NOVA OBRA</t>
        </is>
      </c>
      <c r="J3" s="3" t="inlineStr">
        <is>
          <t>ACOMPANHAMENTO IEC</t>
        </is>
      </c>
    </row>
    <row r="5">
      <c r="B5" s="47" t="inlineStr">
        <is>
          <t>INCC 10-25</t>
        </is>
      </c>
      <c r="C5" s="48" t="n"/>
      <c r="D5" s="47" t="inlineStr">
        <is>
          <t>TOTAL</t>
        </is>
      </c>
      <c r="E5" s="49">
        <f>E50</f>
        <v/>
      </c>
      <c r="F5" s="50">
        <f>F50</f>
        <v/>
      </c>
      <c r="G5" s="50">
        <f>G50</f>
        <v/>
      </c>
      <c r="H5" s="47" t="inlineStr">
        <is>
          <t>INCC BASE DO ORÇAMENTO</t>
        </is>
      </c>
      <c r="J5" s="47" t="inlineStr">
        <is>
          <t>DATA DE CORTE -&gt;</t>
        </is>
      </c>
      <c r="K5" s="51" t="n">
        <v>46235</v>
      </c>
      <c r="O5" s="52" t="inlineStr">
        <is>
          <t>Corte (1º dia do mês)</t>
        </is>
      </c>
      <c r="P5" s="53">
        <f>DATE(YEAR(K5),MONTH(K5),1)</f>
        <v/>
      </c>
    </row>
    <row r="6">
      <c r="B6" s="47" t="inlineStr">
        <is>
          <t>ORÇ EM INCC</t>
        </is>
      </c>
      <c r="C6" s="54" t="n"/>
      <c r="H6" s="48" t="n"/>
      <c r="J6" s="47" t="inlineStr">
        <is>
          <t>INÍCIO DO FLUXO -&gt;</t>
        </is>
      </c>
      <c r="K6" s="51" t="n">
        <v>45627</v>
      </c>
      <c r="O6" s="52" t="inlineStr">
        <is>
          <t>Início (1º dia do mês)</t>
        </is>
      </c>
      <c r="P6" s="53">
        <f>DATE(YEAR(K6),MONTH(K6),1)</f>
        <v/>
      </c>
    </row>
    <row r="7">
      <c r="B7" s="47" t="inlineStr">
        <is>
          <t>ORÇ 10-25</t>
        </is>
      </c>
      <c r="C7" s="55">
        <f>C6*C5</f>
        <v/>
      </c>
      <c r="D7" s="47" t="inlineStr">
        <is>
          <t>TAXA DE ADMINISTRAÇÃO</t>
        </is>
      </c>
      <c r="E7" s="49">
        <f>IF(F49=0,0,F48/F49)</f>
        <v/>
      </c>
      <c r="F7" s="50">
        <f>F48</f>
        <v/>
      </c>
      <c r="G7" s="50">
        <f>G48</f>
        <v/>
      </c>
      <c r="J7" s="47" t="inlineStr">
        <is>
          <t>LIMITE DE AVANÇO FÍSICO P/ USAR PREVISION -&gt;</t>
        </is>
      </c>
      <c r="K7" s="56" t="n">
        <v>0.1</v>
      </c>
      <c r="O7" s="52" t="inlineStr">
        <is>
          <t>INCC no mês de corte</t>
        </is>
      </c>
      <c r="P7" s="57">
        <f>IFERROR(INDEX('"INCC-FGV"'!$B$2:$B$400,MATCH(P5,'"INCC-FGV"'!$A$2:$A$400,0)),IFERROR(INDEX('"INCC-FGV"'!$B$2:$B$400,MATCH(P5,'"INCC-FGV"'!$A$2:$A$400,1)),"FALTA INCC"))</f>
        <v/>
      </c>
    </row>
    <row r="8">
      <c r="D8" s="47" t="inlineStr">
        <is>
          <t>SUBTOTAL</t>
        </is>
      </c>
      <c r="E8" s="49">
        <f>IF(F50=0,0,F49/F50)</f>
        <v/>
      </c>
      <c r="F8" s="50">
        <f>F49</f>
        <v/>
      </c>
      <c r="G8" s="50">
        <f>G49</f>
        <v/>
      </c>
      <c r="J8" s="47" t="inlineStr">
        <is>
          <t>CENÁRIO DAS CURVAS -&gt;</t>
        </is>
      </c>
      <c r="K8" s="58" t="inlineStr">
        <is>
          <t>PREVISION</t>
        </is>
      </c>
      <c r="O8" s="52" t="inlineStr">
        <is>
          <t>Último mês do horizonte</t>
        </is>
      </c>
      <c r="P8" s="53">
        <f>DATE(YEAR(P6),MONTH(P6)+71,1)</f>
        <v/>
      </c>
    </row>
    <row r="9">
      <c r="O9" s="52" t="inlineStr">
        <is>
          <t>Obra</t>
        </is>
      </c>
      <c r="P9" s="58" t="inlineStr">
        <is>
          <t>NOVA OBRA</t>
        </is>
      </c>
    </row>
    <row r="10" ht="45" customHeight="1">
      <c r="B10" s="59" t="inlineStr">
        <is>
          <t>CPU</t>
        </is>
      </c>
      <c r="C10" s="59" t="inlineStr">
        <is>
          <t>CÓDIGO</t>
        </is>
      </c>
      <c r="D10" s="59" t="inlineStr">
        <is>
          <t>DESCRIÇÃO / SERVIÇO</t>
        </is>
      </c>
      <c r="E10" s="59" t="inlineStr">
        <is>
          <t>PESO DO ORÇAMENTO</t>
        </is>
      </c>
      <c r="F10" s="59" t="inlineStr">
        <is>
          <t>VALOR EM R$
(orçamento base)</t>
        </is>
      </c>
      <c r="G10" s="59" t="inlineStr">
        <is>
          <t>VALOR EM INCC
(F ÷ INCC base)</t>
        </is>
      </c>
      <c r="H10" s="59" t="inlineStr">
        <is>
          <t>VALOR EM INCC</t>
        </is>
      </c>
      <c r="I10" s="59" t="inlineStr">
        <is>
          <t>TIPO</t>
        </is>
      </c>
      <c r="J10" s="59" t="inlineStr">
        <is>
          <t>PL</t>
        </is>
      </c>
      <c r="K10" s="59" t="inlineStr">
        <is>
          <t>ORÇAMENTO REAJUSTADO
(INCC do corte)</t>
        </is>
      </c>
      <c r="L10" s="59" t="inlineStr">
        <is>
          <t>PROJEÇÃO (R$)</t>
        </is>
      </c>
      <c r="M10" s="59" t="inlineStr">
        <is>
          <t>VARIAÇÃO</t>
        </is>
      </c>
      <c r="N10" s="59" t="inlineStr">
        <is>
          <t>CONFERÊNCIA</t>
        </is>
      </c>
      <c r="O10" s="59" t="inlineStr">
        <is>
          <t>FONTE DA CURVA</t>
        </is>
      </c>
      <c r="P10" s="59" t="inlineStr">
        <is>
          <t>AVANÇO FÍSICO
(Prevision, corte)</t>
        </is>
      </c>
      <c r="Q10" s="59" t="inlineStr">
        <is>
          <t>CÓD. NO
PREVISION</t>
        </is>
      </c>
    </row>
    <row r="11">
      <c r="B11" s="60" t="inlineStr">
        <is>
          <t>PL001.001</t>
        </is>
      </c>
      <c r="C11" s="60" t="inlineStr">
        <is>
          <t>01</t>
        </is>
      </c>
      <c r="D11" s="60" t="inlineStr">
        <is>
          <t>PROJETOS</t>
        </is>
      </c>
      <c r="E11" s="49">
        <f>IF($F$50=0,0,F11/$F$50)</f>
        <v/>
      </c>
      <c r="F11" s="54" t="n"/>
      <c r="G11" s="50">
        <f>IF($H$6=0,0,F11/$H$6)</f>
        <v/>
      </c>
      <c r="H11" s="50">
        <f>G11</f>
        <v/>
      </c>
      <c r="I11" s="60" t="inlineStr">
        <is>
          <t>INDIRETO</t>
        </is>
      </c>
      <c r="J11" s="60" t="inlineStr">
        <is>
          <t>PROJETOS</t>
        </is>
      </c>
      <c r="K11" s="50">
        <f>IF(ISNUMBER($P$7),G11*$P$7,0)</f>
        <v/>
      </c>
      <c r="L11" s="54" t="n"/>
      <c r="M11" s="50">
        <f>L11-K11</f>
        <v/>
      </c>
      <c r="N11" s="52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1">
        <f>'PROJETO'!$K$16</f>
        <v/>
      </c>
      <c r="P11" s="62">
        <f>'PROJETO'!$K$14</f>
        <v/>
      </c>
      <c r="Q11" s="60" t="inlineStr">
        <is>
          <t>01</t>
        </is>
      </c>
    </row>
    <row r="12">
      <c r="B12" s="60" t="inlineStr">
        <is>
          <t>PL350.001</t>
        </is>
      </c>
      <c r="C12" s="60" t="inlineStr">
        <is>
          <t>02</t>
        </is>
      </c>
      <c r="D12" s="60" t="inlineStr">
        <is>
          <t>SEGUROS</t>
        </is>
      </c>
      <c r="E12" s="49">
        <f>IF($F$50=0,0,F12/$F$50)</f>
        <v/>
      </c>
      <c r="F12" s="54" t="n"/>
      <c r="G12" s="50">
        <f>IF($H$6=0,0,F12/$H$6)</f>
        <v/>
      </c>
      <c r="H12" s="50">
        <f>G12</f>
        <v/>
      </c>
      <c r="I12" s="60" t="inlineStr">
        <is>
          <t>INDIRETO</t>
        </is>
      </c>
      <c r="J12" s="60" t="inlineStr">
        <is>
          <t xml:space="preserve">SEGURO DE OBRA </t>
        </is>
      </c>
      <c r="K12" s="50">
        <f>IF(ISNUMBER($P$7),G12*$P$7,0)</f>
        <v/>
      </c>
      <c r="L12" s="54" t="n"/>
      <c r="M12" s="50">
        <f>L12-K12</f>
        <v/>
      </c>
      <c r="N12" s="52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1">
        <f>'SEGUROS'!$K$16</f>
        <v/>
      </c>
      <c r="P12" s="62">
        <f>'SEGUROS'!$K$14</f>
        <v/>
      </c>
      <c r="Q12" s="60" t="inlineStr">
        <is>
          <t>02</t>
        </is>
      </c>
    </row>
    <row r="13">
      <c r="B13" s="60" t="inlineStr">
        <is>
          <t>PL001.016</t>
        </is>
      </c>
      <c r="C13" s="60" t="inlineStr">
        <is>
          <t>03</t>
        </is>
      </c>
      <c r="D13" s="60" t="inlineStr">
        <is>
          <t>TAXAS DIVERSAS</t>
        </is>
      </c>
      <c r="E13" s="49">
        <f>IF($F$50=0,0,F13/$F$50)</f>
        <v/>
      </c>
      <c r="F13" s="54" t="n"/>
      <c r="G13" s="50">
        <f>IF($H$6=0,0,F13/$H$6)</f>
        <v/>
      </c>
      <c r="H13" s="50">
        <f>G13</f>
        <v/>
      </c>
      <c r="I13" s="60" t="inlineStr">
        <is>
          <t>INDIRETO</t>
        </is>
      </c>
      <c r="J13" s="60" t="inlineStr">
        <is>
          <t>TAXAS DIVERSAS</t>
        </is>
      </c>
      <c r="K13" s="50">
        <f>IF(ISNUMBER($P$7),G13*$P$7,0)</f>
        <v/>
      </c>
      <c r="L13" s="54" t="n"/>
      <c r="M13" s="50">
        <f>L13-K13</f>
        <v/>
      </c>
      <c r="N13" s="52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1">
        <f>'TAX. DIVERSAS'!$K$16</f>
        <v/>
      </c>
      <c r="P13" s="62">
        <f>'TAX. DIVERSAS'!$K$14</f>
        <v/>
      </c>
      <c r="Q13" s="60" t="inlineStr">
        <is>
          <t>03</t>
        </is>
      </c>
    </row>
    <row r="14">
      <c r="B14" s="60" t="inlineStr">
        <is>
          <t>PL010.005</t>
        </is>
      </c>
      <c r="C14" s="60" t="inlineStr">
        <is>
          <t>04</t>
        </is>
      </c>
      <c r="D14" s="60" t="inlineStr">
        <is>
          <t>BARRACAO DE OBRA</t>
        </is>
      </c>
      <c r="E14" s="49">
        <f>IF($F$50=0,0,F14/$F$50)</f>
        <v/>
      </c>
      <c r="F14" s="54" t="n"/>
      <c r="G14" s="50">
        <f>IF($H$6=0,0,F14/$H$6)</f>
        <v/>
      </c>
      <c r="H14" s="50">
        <f>G14</f>
        <v/>
      </c>
      <c r="I14" s="60" t="inlineStr">
        <is>
          <t>INDIRETO</t>
        </is>
      </c>
      <c r="J14" s="60" t="inlineStr">
        <is>
          <t>BARRACAO DE OBRA</t>
        </is>
      </c>
      <c r="K14" s="50">
        <f>IF(ISNUMBER($P$7),G14*$P$7,0)</f>
        <v/>
      </c>
      <c r="L14" s="54" t="n"/>
      <c r="M14" s="50">
        <f>L14-K14</f>
        <v/>
      </c>
      <c r="N14" s="52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1">
        <f>'BARRACÃO DE OBRA'!$K$16</f>
        <v/>
      </c>
      <c r="P14" s="62">
        <f>'BARRACÃO DE OBRA'!$K$14</f>
        <v/>
      </c>
      <c r="Q14" s="60" t="inlineStr">
        <is>
          <t>04</t>
        </is>
      </c>
    </row>
    <row r="15">
      <c r="B15" s="60" t="inlineStr">
        <is>
          <t>PL020.004</t>
        </is>
      </c>
      <c r="C15" s="60" t="inlineStr">
        <is>
          <t>05</t>
        </is>
      </c>
      <c r="D15" s="60" t="inlineStr">
        <is>
          <t>LIGAÇÕES PROVISÓRIAS AGUA, ENERGIA,TELEFONIA, ESGOTO</t>
        </is>
      </c>
      <c r="E15" s="49">
        <f>IF($F$50=0,0,F15/$F$50)</f>
        <v/>
      </c>
      <c r="F15" s="54" t="n"/>
      <c r="G15" s="50">
        <f>IF($H$6=0,0,F15/$H$6)</f>
        <v/>
      </c>
      <c r="H15" s="50">
        <f>G15</f>
        <v/>
      </c>
      <c r="I15" s="60" t="inlineStr">
        <is>
          <t>INDIRETO</t>
        </is>
      </c>
      <c r="J15" s="60" t="inlineStr">
        <is>
          <t>LIGAÇÕES PROVISÓRIAS AGUA, ESGOTO, ENERGIA,TELEFONE, INTERNET</t>
        </is>
      </c>
      <c r="K15" s="50">
        <f>IF(ISNUMBER($P$7),G15*$P$7,0)</f>
        <v/>
      </c>
      <c r="L15" s="54" t="n"/>
      <c r="M15" s="50">
        <f>L15-K15</f>
        <v/>
      </c>
      <c r="N15" s="52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1">
        <f>'LIG. PROVISÓRIAS'!$K$16</f>
        <v/>
      </c>
      <c r="P15" s="62">
        <f>'LIG. PROVISÓRIAS'!$K$14</f>
        <v/>
      </c>
      <c r="Q15" s="60" t="inlineStr">
        <is>
          <t>05</t>
        </is>
      </c>
    </row>
    <row r="16">
      <c r="B16" s="60" t="inlineStr">
        <is>
          <t>PL020.005</t>
        </is>
      </c>
      <c r="C16" s="60" t="inlineStr">
        <is>
          <t>06</t>
        </is>
      </c>
      <c r="D16" s="60" t="inlineStr">
        <is>
          <t>CONSUMO DE ÁGUA, ENERGIA, ETC.</t>
        </is>
      </c>
      <c r="E16" s="49">
        <f>IF($F$50=0,0,F16/$F$50)</f>
        <v/>
      </c>
      <c r="F16" s="54" t="n"/>
      <c r="G16" s="50">
        <f>IF($H$6=0,0,F16/$H$6)</f>
        <v/>
      </c>
      <c r="H16" s="50">
        <f>G16</f>
        <v/>
      </c>
      <c r="I16" s="60" t="inlineStr">
        <is>
          <t>INDIRETO</t>
        </is>
      </c>
      <c r="J16" s="60" t="inlineStr">
        <is>
          <t>CONSUMO DE ÁGUA, ENERGIA, TELEFONE, INTERNET</t>
        </is>
      </c>
      <c r="K16" s="50">
        <f>IF(ISNUMBER($P$7),G16*$P$7,0)</f>
        <v/>
      </c>
      <c r="L16" s="54" t="n"/>
      <c r="M16" s="50">
        <f>L16-K16</f>
        <v/>
      </c>
      <c r="N16" s="52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1">
        <f>'CONSUMOS'!$K$16</f>
        <v/>
      </c>
      <c r="P16" s="62">
        <f>'CONSUMOS'!$K$14</f>
        <v/>
      </c>
      <c r="Q16" s="60" t="inlineStr">
        <is>
          <t>06</t>
        </is>
      </c>
    </row>
    <row r="17">
      <c r="B17" s="60" t="inlineStr">
        <is>
          <t>PL310.007</t>
        </is>
      </c>
      <c r="C17" s="60" t="inlineStr">
        <is>
          <t>07</t>
        </is>
      </c>
      <c r="D17" s="60" t="inlineStr">
        <is>
          <t>DIVERSOS</t>
        </is>
      </c>
      <c r="E17" s="49">
        <f>IF($F$50=0,0,F17/$F$50)</f>
        <v/>
      </c>
      <c r="F17" s="54" t="n"/>
      <c r="G17" s="50">
        <f>IF($H$6=0,0,F17/$H$6)</f>
        <v/>
      </c>
      <c r="H17" s="50">
        <f>G17</f>
        <v/>
      </c>
      <c r="I17" s="60" t="inlineStr">
        <is>
          <t>INDIRETO</t>
        </is>
      </c>
      <c r="J17" s="60" t="inlineStr">
        <is>
          <t>DIVERSOS</t>
        </is>
      </c>
      <c r="K17" s="50">
        <f>IF(ISNUMBER($P$7),G17*$P$7,0)</f>
        <v/>
      </c>
      <c r="L17" s="54" t="n"/>
      <c r="M17" s="50">
        <f>L17-K17</f>
        <v/>
      </c>
      <c r="N17" s="52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1">
        <f>'DIVERSOS'!$K$16</f>
        <v/>
      </c>
      <c r="P17" s="62">
        <f>'DIVERSOS'!$K$14</f>
        <v/>
      </c>
      <c r="Q17" s="60" t="inlineStr">
        <is>
          <t>07</t>
        </is>
      </c>
    </row>
    <row r="18">
      <c r="B18" s="60" t="inlineStr">
        <is>
          <t>PL570.001</t>
        </is>
      </c>
      <c r="C18" s="60" t="inlineStr">
        <is>
          <t>08</t>
        </is>
      </c>
      <c r="D18" s="60" t="inlineStr">
        <is>
          <t>TRANSPORTES</t>
        </is>
      </c>
      <c r="E18" s="49">
        <f>IF($F$50=0,0,F18/$F$50)</f>
        <v/>
      </c>
      <c r="F18" s="54" t="n"/>
      <c r="G18" s="50">
        <f>IF($H$6=0,0,F18/$H$6)</f>
        <v/>
      </c>
      <c r="H18" s="50">
        <f>G18</f>
        <v/>
      </c>
      <c r="I18" s="60" t="inlineStr">
        <is>
          <t>INDIRETO</t>
        </is>
      </c>
      <c r="J18" s="60" t="inlineStr">
        <is>
          <t>FRETES E TRANSPORTES</t>
        </is>
      </c>
      <c r="K18" s="50">
        <f>IF(ISNUMBER($P$7),G18*$P$7,0)</f>
        <v/>
      </c>
      <c r="L18" s="54" t="n"/>
      <c r="M18" s="50">
        <f>L18-K18</f>
        <v/>
      </c>
      <c r="N18" s="52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1">
        <f>'TRANSPORTES'!$K$16</f>
        <v/>
      </c>
      <c r="P18" s="62">
        <f>'TRANSPORTES'!$K$14</f>
        <v/>
      </c>
      <c r="Q18" s="60" t="inlineStr">
        <is>
          <t>08</t>
        </is>
      </c>
    </row>
    <row r="19">
      <c r="B19" s="60" t="inlineStr">
        <is>
          <t>PL001.051</t>
        </is>
      </c>
      <c r="C19" s="60" t="inlineStr">
        <is>
          <t>09</t>
        </is>
      </c>
      <c r="D19" s="60" t="inlineStr">
        <is>
          <t>CONSULTORIAS (OBRAS)</t>
        </is>
      </c>
      <c r="E19" s="49">
        <f>IF($F$50=0,0,F19/$F$50)</f>
        <v/>
      </c>
      <c r="F19" s="54" t="n"/>
      <c r="G19" s="50">
        <f>IF($H$6=0,0,F19/$H$6)</f>
        <v/>
      </c>
      <c r="H19" s="50">
        <f>G19</f>
        <v/>
      </c>
      <c r="I19" s="60" t="inlineStr">
        <is>
          <t>INDIRETO</t>
        </is>
      </c>
      <c r="J19" s="60" t="inlineStr">
        <is>
          <t>CONSULTORIAS (OBRAS)</t>
        </is>
      </c>
      <c r="K19" s="50">
        <f>IF(ISNUMBER($P$7),G19*$P$7,0)</f>
        <v/>
      </c>
      <c r="L19" s="54" t="n"/>
      <c r="M19" s="50">
        <f>L19-K19</f>
        <v/>
      </c>
      <c r="N19" s="52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1">
        <f>'CONSULTORIAS'!$K$16</f>
        <v/>
      </c>
      <c r="P19" s="62">
        <f>'CONSULTORIAS'!$K$14</f>
        <v/>
      </c>
      <c r="Q19" s="60" t="inlineStr">
        <is>
          <t>09</t>
        </is>
      </c>
    </row>
    <row r="20">
      <c r="B20" s="60" t="inlineStr">
        <is>
          <t>PL700.001</t>
        </is>
      </c>
      <c r="C20" s="60" t="inlineStr">
        <is>
          <t>10</t>
        </is>
      </c>
      <c r="D20" s="60" t="inlineStr">
        <is>
          <t>MÃO DE OBRA PRÓPRIA</t>
        </is>
      </c>
      <c r="E20" s="49">
        <f>IF($F$50=0,0,F20/$F$50)</f>
        <v/>
      </c>
      <c r="F20" s="54" t="n"/>
      <c r="G20" s="50">
        <f>IF($H$6=0,0,F20/$H$6)</f>
        <v/>
      </c>
      <c r="H20" s="50">
        <f>G20</f>
        <v/>
      </c>
      <c r="I20" s="60" t="inlineStr">
        <is>
          <t>INDIRETO</t>
        </is>
      </c>
      <c r="J20" s="60" t="inlineStr">
        <is>
          <t>MÃO DE OBRA PRÓPRIA</t>
        </is>
      </c>
      <c r="K20" s="50">
        <f>IF(ISNUMBER($P$7),G20*$P$7,0)</f>
        <v/>
      </c>
      <c r="L20" s="54" t="n"/>
      <c r="M20" s="50">
        <f>L20-K20</f>
        <v/>
      </c>
      <c r="N20" s="52">
        <f>IF(D20="","",IF('MDO'!$C$78&gt;L20+1,"⚠ Incorrido acima da projeção",IF(AND('MDO'!$K$18&gt;1,'MDO'!$K$17=0),"⚠ Saldo sem curva (preencha a coluna H da aba)",IF(ABS('MDO'!$D$80)&gt;1,"⚠ Verificar","OK"))))</f>
        <v/>
      </c>
      <c r="O20" s="61">
        <f>'MDO'!$K$16</f>
        <v/>
      </c>
      <c r="P20" s="62">
        <f>'MDO'!$K$14</f>
        <v/>
      </c>
      <c r="Q20" s="60" t="inlineStr">
        <is>
          <t>10</t>
        </is>
      </c>
    </row>
    <row r="21">
      <c r="B21" s="60" t="inlineStr">
        <is>
          <t>PL530.001</t>
        </is>
      </c>
      <c r="C21" s="60" t="inlineStr">
        <is>
          <t>11</t>
        </is>
      </c>
      <c r="D21" s="60" t="inlineStr">
        <is>
          <t>EQUIPAMENTOS E FERRAMENTAS</t>
        </is>
      </c>
      <c r="E21" s="49">
        <f>IF($F$50=0,0,F21/$F$50)</f>
        <v/>
      </c>
      <c r="F21" s="54" t="n"/>
      <c r="G21" s="50">
        <f>IF($H$6=0,0,F21/$H$6)</f>
        <v/>
      </c>
      <c r="H21" s="50">
        <f>G21</f>
        <v/>
      </c>
      <c r="I21" s="60" t="inlineStr">
        <is>
          <t>INDIRETO</t>
        </is>
      </c>
      <c r="J21" s="60" t="inlineStr">
        <is>
          <t>EQUIPAMENTOS E FERRAMENTAS</t>
        </is>
      </c>
      <c r="K21" s="50">
        <f>IF(ISNUMBER($P$7),G21*$P$7,0)</f>
        <v/>
      </c>
      <c r="L21" s="54" t="n"/>
      <c r="M21" s="50">
        <f>L21-K21</f>
        <v/>
      </c>
      <c r="N21" s="52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1">
        <f>'EQUIP E FER'!$K$16</f>
        <v/>
      </c>
      <c r="P21" s="62">
        <f>'EQUIP E FER'!$K$14</f>
        <v/>
      </c>
      <c r="Q21" s="60" t="inlineStr">
        <is>
          <t>11</t>
        </is>
      </c>
    </row>
    <row r="22">
      <c r="B22" s="60" t="inlineStr">
        <is>
          <t>PL010.022</t>
        </is>
      </c>
      <c r="C22" s="60" t="inlineStr">
        <is>
          <t>12</t>
        </is>
      </c>
      <c r="D22" s="60" t="inlineStr">
        <is>
          <t>SERVIÇOS INICIAIS</t>
        </is>
      </c>
      <c r="E22" s="49">
        <f>IF($F$50=0,0,F22/$F$50)</f>
        <v/>
      </c>
      <c r="F22" s="54" t="n"/>
      <c r="G22" s="50">
        <f>IF($H$6=0,0,F22/$H$6)</f>
        <v/>
      </c>
      <c r="H22" s="50">
        <f>G22</f>
        <v/>
      </c>
      <c r="I22" s="60" t="inlineStr">
        <is>
          <t>DIRETO</t>
        </is>
      </c>
      <c r="J22" s="60" t="inlineStr">
        <is>
          <t>SERVIÇOS INICIAIS</t>
        </is>
      </c>
      <c r="K22" s="50">
        <f>IF(ISNUMBER($P$7),G22*$P$7,0)</f>
        <v/>
      </c>
      <c r="L22" s="54" t="n"/>
      <c r="M22" s="50">
        <f>L22-K22</f>
        <v/>
      </c>
      <c r="N22" s="52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1">
        <f>'SERV. INICIAIS'!$K$16</f>
        <v/>
      </c>
      <c r="P22" s="62">
        <f>'SERV. INICIAIS'!$K$14</f>
        <v/>
      </c>
      <c r="Q22" s="60" t="inlineStr">
        <is>
          <t>12</t>
        </is>
      </c>
    </row>
    <row r="23">
      <c r="B23" s="60" t="inlineStr">
        <is>
          <t>PL001.023</t>
        </is>
      </c>
      <c r="C23" s="60" t="inlineStr">
        <is>
          <t>13</t>
        </is>
      </c>
      <c r="D23" s="60" t="inlineStr">
        <is>
          <t>CONTENÇÃO</t>
        </is>
      </c>
      <c r="E23" s="49">
        <f>IF($F$50=0,0,F23/$F$50)</f>
        <v/>
      </c>
      <c r="F23" s="54" t="n"/>
      <c r="G23" s="50">
        <f>IF($H$6=0,0,F23/$H$6)</f>
        <v/>
      </c>
      <c r="H23" s="50">
        <f>G23</f>
        <v/>
      </c>
      <c r="I23" s="60" t="inlineStr">
        <is>
          <t>DIRETO</t>
        </is>
      </c>
      <c r="J23" s="60" t="inlineStr">
        <is>
          <t xml:space="preserve">CONTENÇÕES </t>
        </is>
      </c>
      <c r="K23" s="50">
        <f>IF(ISNUMBER($P$7),G23*$P$7,0)</f>
        <v/>
      </c>
      <c r="L23" s="54" t="n"/>
      <c r="M23" s="50">
        <f>L23-K23</f>
        <v/>
      </c>
      <c r="N23" s="52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1">
        <f>'CONTENÇÃO'!$K$16</f>
        <v/>
      </c>
      <c r="P23" s="62">
        <f>'CONTENÇÃO'!$K$14</f>
        <v/>
      </c>
      <c r="Q23" s="60" t="inlineStr">
        <is>
          <t>13</t>
        </is>
      </c>
    </row>
    <row r="24">
      <c r="B24" s="60" t="inlineStr">
        <is>
          <t>PL040.001</t>
        </is>
      </c>
      <c r="C24" s="60" t="inlineStr">
        <is>
          <t>14</t>
        </is>
      </c>
      <c r="D24" s="60" t="inlineStr">
        <is>
          <t>TERRAPLENAGEM</t>
        </is>
      </c>
      <c r="E24" s="49">
        <f>IF($F$50=0,0,F24/$F$50)</f>
        <v/>
      </c>
      <c r="F24" s="54" t="n"/>
      <c r="G24" s="50">
        <f>IF($H$6=0,0,F24/$H$6)</f>
        <v/>
      </c>
      <c r="H24" s="50">
        <f>G24</f>
        <v/>
      </c>
      <c r="I24" s="60" t="inlineStr">
        <is>
          <t>DIRETO</t>
        </is>
      </c>
      <c r="J24" s="60" t="inlineStr">
        <is>
          <t>TERRAPLENAGEM</t>
        </is>
      </c>
      <c r="K24" s="50">
        <f>IF(ISNUMBER($P$7),G24*$P$7,0)</f>
        <v/>
      </c>
      <c r="L24" s="54" t="n"/>
      <c r="M24" s="50">
        <f>L24-K24</f>
        <v/>
      </c>
      <c r="N24" s="52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1">
        <f>'TERRAPLENAGEM'!$K$16</f>
        <v/>
      </c>
      <c r="P24" s="62">
        <f>'TERRAPLENAGEM'!$K$14</f>
        <v/>
      </c>
      <c r="Q24" s="60" t="inlineStr">
        <is>
          <t>14</t>
        </is>
      </c>
    </row>
    <row r="25">
      <c r="B25" s="60" t="inlineStr">
        <is>
          <t>PL050.004</t>
        </is>
      </c>
      <c r="C25" s="60" t="inlineStr">
        <is>
          <t>15</t>
        </is>
      </c>
      <c r="D25" s="60" t="inlineStr">
        <is>
          <t>FUNDAÇÃO PROFUNDA</t>
        </is>
      </c>
      <c r="E25" s="49">
        <f>IF($F$50=0,0,F25/$F$50)</f>
        <v/>
      </c>
      <c r="F25" s="54" t="n"/>
      <c r="G25" s="50">
        <f>IF($H$6=0,0,F25/$H$6)</f>
        <v/>
      </c>
      <c r="H25" s="50">
        <f>G25</f>
        <v/>
      </c>
      <c r="I25" s="60" t="inlineStr">
        <is>
          <t>DIRETO</t>
        </is>
      </c>
      <c r="J25" s="60" t="inlineStr">
        <is>
          <t>FUNDAÇÃO PROFUNDA</t>
        </is>
      </c>
      <c r="K25" s="50">
        <f>IF(ISNUMBER($P$7),G25*$P$7,0)</f>
        <v/>
      </c>
      <c r="L25" s="54" t="n"/>
      <c r="M25" s="50">
        <f>L25-K25</f>
        <v/>
      </c>
      <c r="N25" s="52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1">
        <f>'FUND. PROF'!$K$16</f>
        <v/>
      </c>
      <c r="P25" s="62">
        <f>'FUND. PROF'!$K$14</f>
        <v/>
      </c>
      <c r="Q25" s="60" t="inlineStr">
        <is>
          <t>15</t>
        </is>
      </c>
    </row>
    <row r="26">
      <c r="B26" s="60" t="inlineStr">
        <is>
          <t>PL060.004</t>
        </is>
      </c>
      <c r="C26" s="60" t="inlineStr">
        <is>
          <t>16</t>
        </is>
      </c>
      <c r="D26" s="60" t="inlineStr">
        <is>
          <t>FUNDAÇÃO SUPERFICIAL</t>
        </is>
      </c>
      <c r="E26" s="49">
        <f>IF($F$50=0,0,F26/$F$50)</f>
        <v/>
      </c>
      <c r="F26" s="54" t="n"/>
      <c r="G26" s="50">
        <f>IF($H$6=0,0,F26/$H$6)</f>
        <v/>
      </c>
      <c r="H26" s="50">
        <f>G26</f>
        <v/>
      </c>
      <c r="I26" s="60" t="inlineStr">
        <is>
          <t>DIRETO</t>
        </is>
      </c>
      <c r="J26" s="60" t="inlineStr">
        <is>
          <t>FUNDAÇÃO SUPERFICIAL</t>
        </is>
      </c>
      <c r="K26" s="50">
        <f>IF(ISNUMBER($P$7),G26*$P$7,0)</f>
        <v/>
      </c>
      <c r="L26" s="54" t="n"/>
      <c r="M26" s="50">
        <f>L26-K26</f>
        <v/>
      </c>
      <c r="N26" s="52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1">
        <f>'FUND. SUP'!$K$16</f>
        <v/>
      </c>
      <c r="P26" s="62">
        <f>'FUND. SUP'!$K$14</f>
        <v/>
      </c>
      <c r="Q26" s="60" t="inlineStr">
        <is>
          <t>16</t>
        </is>
      </c>
    </row>
    <row r="27">
      <c r="B27" s="60" t="inlineStr">
        <is>
          <t>PL100.011</t>
        </is>
      </c>
      <c r="C27" s="60" t="inlineStr">
        <is>
          <t>17</t>
        </is>
      </c>
      <c r="D27" s="60" t="inlineStr">
        <is>
          <t>ESTRUTURA EM CONCRETO ARMADO</t>
        </is>
      </c>
      <c r="E27" s="49">
        <f>IF($F$50=0,0,F27/$F$50)</f>
        <v/>
      </c>
      <c r="F27" s="54" t="n"/>
      <c r="G27" s="50">
        <f>IF($H$6=0,0,F27/$H$6)</f>
        <v/>
      </c>
      <c r="H27" s="50">
        <f>G27</f>
        <v/>
      </c>
      <c r="I27" s="60" t="inlineStr">
        <is>
          <t>DIRETO</t>
        </is>
      </c>
      <c r="J27" s="60" t="inlineStr">
        <is>
          <t>ESTRUTURA EM CONCRETO ARMADO</t>
        </is>
      </c>
      <c r="K27" s="50">
        <f>IF(ISNUMBER($P$7),G27*$P$7,0)</f>
        <v/>
      </c>
      <c r="L27" s="54" t="n"/>
      <c r="M27" s="50">
        <f>L27-K27</f>
        <v/>
      </c>
      <c r="N27" s="52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1">
        <f>'ESTRUTURA'!$K$16</f>
        <v/>
      </c>
      <c r="P27" s="62">
        <f>'ESTRUTURA'!$K$14</f>
        <v/>
      </c>
      <c r="Q27" s="60" t="inlineStr">
        <is>
          <t>17</t>
        </is>
      </c>
    </row>
    <row r="28">
      <c r="B28" s="60" t="inlineStr">
        <is>
          <t>PL120.001</t>
        </is>
      </c>
      <c r="C28" s="60" t="inlineStr">
        <is>
          <t>18</t>
        </is>
      </c>
      <c r="D28" s="60" t="inlineStr">
        <is>
          <t>ALVENARIA</t>
        </is>
      </c>
      <c r="E28" s="49">
        <f>IF($F$50=0,0,F28/$F$50)</f>
        <v/>
      </c>
      <c r="F28" s="54" t="n"/>
      <c r="G28" s="50">
        <f>IF($H$6=0,0,F28/$H$6)</f>
        <v/>
      </c>
      <c r="H28" s="50">
        <f>G28</f>
        <v/>
      </c>
      <c r="I28" s="60" t="inlineStr">
        <is>
          <t>DIRETO</t>
        </is>
      </c>
      <c r="J28" s="60" t="inlineStr">
        <is>
          <t>ALVENARIA</t>
        </is>
      </c>
      <c r="K28" s="50">
        <f>IF(ISNUMBER($P$7),G28*$P$7,0)</f>
        <v/>
      </c>
      <c r="L28" s="54" t="n"/>
      <c r="M28" s="50">
        <f>L28-K28</f>
        <v/>
      </c>
      <c r="N28" s="52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1">
        <f>'ALVENARIA'!$K$16</f>
        <v/>
      </c>
      <c r="P28" s="62">
        <f>'ALVENARIA'!$K$14</f>
        <v/>
      </c>
      <c r="Q28" s="60" t="inlineStr">
        <is>
          <t>18</t>
        </is>
      </c>
    </row>
    <row r="29">
      <c r="B29" s="60" t="inlineStr">
        <is>
          <t>PL140.004</t>
        </is>
      </c>
      <c r="C29" s="60" t="inlineStr">
        <is>
          <t>19</t>
        </is>
      </c>
      <c r="D29" s="60" t="inlineStr">
        <is>
          <t>IMPERMEABILIZAÇÃO</t>
        </is>
      </c>
      <c r="E29" s="49">
        <f>IF($F$50=0,0,F29/$F$50)</f>
        <v/>
      </c>
      <c r="F29" s="54" t="n"/>
      <c r="G29" s="50">
        <f>IF($H$6=0,0,F29/$H$6)</f>
        <v/>
      </c>
      <c r="H29" s="50">
        <f>G29</f>
        <v/>
      </c>
      <c r="I29" s="60" t="inlineStr">
        <is>
          <t>DIRETO</t>
        </is>
      </c>
      <c r="J29" s="60" t="inlineStr">
        <is>
          <t>IMPERMEABILIZAÇÃO</t>
        </is>
      </c>
      <c r="K29" s="50">
        <f>IF(ISNUMBER($P$7),G29*$P$7,0)</f>
        <v/>
      </c>
      <c r="L29" s="54" t="n"/>
      <c r="M29" s="50">
        <f>L29-K29</f>
        <v/>
      </c>
      <c r="N29" s="52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1">
        <f>'IMPERMEABILIZAÇÃO'!$K$16</f>
        <v/>
      </c>
      <c r="P29" s="62">
        <f>'IMPERMEABILIZAÇÃO'!$K$14</f>
        <v/>
      </c>
      <c r="Q29" s="60" t="inlineStr">
        <is>
          <t>19</t>
        </is>
      </c>
    </row>
    <row r="30">
      <c r="B30" s="60" t="inlineStr">
        <is>
          <t>PL110.018</t>
        </is>
      </c>
      <c r="C30" s="60" t="inlineStr">
        <is>
          <t>20</t>
        </is>
      </c>
      <c r="D30" s="60" t="inlineStr">
        <is>
          <t>INSTALAÇÕES ELÉTRICAS</t>
        </is>
      </c>
      <c r="E30" s="49">
        <f>IF($F$50=0,0,F30/$F$50)</f>
        <v/>
      </c>
      <c r="F30" s="54" t="n"/>
      <c r="G30" s="50">
        <f>IF($H$6=0,0,F30/$H$6)</f>
        <v/>
      </c>
      <c r="H30" s="50">
        <f>G30</f>
        <v/>
      </c>
      <c r="I30" s="60" t="inlineStr">
        <is>
          <t>DIRETO</t>
        </is>
      </c>
      <c r="J30" s="60" t="inlineStr">
        <is>
          <t xml:space="preserve">INSTALAÇÕES ELÉTRICAS </t>
        </is>
      </c>
      <c r="K30" s="50">
        <f>IF(ISNUMBER($P$7),G30*$P$7,0)</f>
        <v/>
      </c>
      <c r="L30" s="54" t="n"/>
      <c r="M30" s="50">
        <f>L30-K30</f>
        <v/>
      </c>
      <c r="N30" s="52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1">
        <f>'INST. ELÉTRICA'!$K$16</f>
        <v/>
      </c>
      <c r="P30" s="62">
        <f>'INST. ELÉTRICA'!$K$14</f>
        <v/>
      </c>
      <c r="Q30" s="60" t="inlineStr">
        <is>
          <t>20</t>
        </is>
      </c>
    </row>
    <row r="31">
      <c r="B31" s="60" t="inlineStr">
        <is>
          <t>PL110.007</t>
        </is>
      </c>
      <c r="C31" s="60" t="inlineStr">
        <is>
          <t>21</t>
        </is>
      </c>
      <c r="D31" s="60" t="inlineStr">
        <is>
          <t>INSTALAÇÕES HIDROSANITÁRIAS</t>
        </is>
      </c>
      <c r="E31" s="49">
        <f>IF($F$50=0,0,F31/$F$50)</f>
        <v/>
      </c>
      <c r="F31" s="54" t="n"/>
      <c r="G31" s="50">
        <f>IF($H$6=0,0,F31/$H$6)</f>
        <v/>
      </c>
      <c r="H31" s="50">
        <f>G31</f>
        <v/>
      </c>
      <c r="I31" s="60" t="inlineStr">
        <is>
          <t>DIRETO</t>
        </is>
      </c>
      <c r="J31" s="60" t="inlineStr">
        <is>
          <t>INSTALAÇÕES HIDROSANITÁRIAS</t>
        </is>
      </c>
      <c r="K31" s="50">
        <f>IF(ISNUMBER($P$7),G31*$P$7,0)</f>
        <v/>
      </c>
      <c r="L31" s="54" t="n"/>
      <c r="M31" s="50">
        <f>L31-K31</f>
        <v/>
      </c>
      <c r="N31" s="52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1">
        <f>'INST. HIDRO'!$K$16</f>
        <v/>
      </c>
      <c r="P31" s="62">
        <f>'INST. HIDRO'!$K$14</f>
        <v/>
      </c>
      <c r="Q31" s="60" t="inlineStr">
        <is>
          <t>21</t>
        </is>
      </c>
    </row>
    <row r="32">
      <c r="B32" s="60" t="inlineStr">
        <is>
          <t>PL110.017</t>
        </is>
      </c>
      <c r="C32" s="60" t="inlineStr">
        <is>
          <t>22</t>
        </is>
      </c>
      <c r="D32" s="60" t="inlineStr">
        <is>
          <t>INSTALAÇÕES COMBATE INCÊNDIO</t>
        </is>
      </c>
      <c r="E32" s="49">
        <f>IF($F$50=0,0,F32/$F$50)</f>
        <v/>
      </c>
      <c r="F32" s="54" t="n"/>
      <c r="G32" s="50">
        <f>IF($H$6=0,0,F32/$H$6)</f>
        <v/>
      </c>
      <c r="H32" s="50">
        <f>G32</f>
        <v/>
      </c>
      <c r="I32" s="60" t="inlineStr">
        <is>
          <t>DIRETO</t>
        </is>
      </c>
      <c r="J32" s="60" t="inlineStr">
        <is>
          <t>INSTALAÇÕES COMBATE INCÊNDIO</t>
        </is>
      </c>
      <c r="K32" s="50">
        <f>IF(ISNUMBER($P$7),G32*$P$7,0)</f>
        <v/>
      </c>
      <c r="L32" s="54" t="n"/>
      <c r="M32" s="50">
        <f>L32-K32</f>
        <v/>
      </c>
      <c r="N32" s="52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1">
        <f>'INST. INC'!$K$16</f>
        <v/>
      </c>
      <c r="P32" s="62">
        <f>'INST. INC'!$K$14</f>
        <v/>
      </c>
      <c r="Q32" s="60" t="inlineStr">
        <is>
          <t>22</t>
        </is>
      </c>
    </row>
    <row r="33">
      <c r="B33" s="60" t="inlineStr">
        <is>
          <t>PL110.027</t>
        </is>
      </c>
      <c r="C33" s="60" t="inlineStr">
        <is>
          <t>23</t>
        </is>
      </c>
      <c r="D33" s="60" t="inlineStr">
        <is>
          <t>INSTALAÇÕES ESPECIAIS</t>
        </is>
      </c>
      <c r="E33" s="49">
        <f>IF($F$50=0,0,F33/$F$50)</f>
        <v/>
      </c>
      <c r="F33" s="54" t="n"/>
      <c r="G33" s="50">
        <f>IF($H$6=0,0,F33/$H$6)</f>
        <v/>
      </c>
      <c r="H33" s="50">
        <f>G33</f>
        <v/>
      </c>
      <c r="I33" s="60" t="inlineStr">
        <is>
          <t>DIRETO</t>
        </is>
      </c>
      <c r="J33" s="60" t="inlineStr">
        <is>
          <t>INSTALAÇÕES ESPECIAIS</t>
        </is>
      </c>
      <c r="K33" s="50">
        <f>IF(ISNUMBER($P$7),G33*$P$7,0)</f>
        <v/>
      </c>
      <c r="L33" s="54" t="n"/>
      <c r="M33" s="50">
        <f>L33-K33</f>
        <v/>
      </c>
      <c r="N33" s="52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1">
        <f>'INST. ESP'!$K$16</f>
        <v/>
      </c>
      <c r="P33" s="62">
        <f>'INST. ESP'!$K$14</f>
        <v/>
      </c>
      <c r="Q33" s="60" t="inlineStr">
        <is>
          <t>23</t>
        </is>
      </c>
    </row>
    <row r="34">
      <c r="B34" s="60" t="inlineStr">
        <is>
          <t>PL220.002</t>
        </is>
      </c>
      <c r="C34" s="60" t="inlineStr">
        <is>
          <t>24</t>
        </is>
      </c>
      <c r="D34" s="60" t="inlineStr">
        <is>
          <t>ELEVADORES</t>
        </is>
      </c>
      <c r="E34" s="49">
        <f>IF($F$50=0,0,F34/$F$50)</f>
        <v/>
      </c>
      <c r="F34" s="54" t="n"/>
      <c r="G34" s="50">
        <f>IF($H$6=0,0,F34/$H$6)</f>
        <v/>
      </c>
      <c r="H34" s="50">
        <f>G34</f>
        <v/>
      </c>
      <c r="I34" s="60" t="inlineStr">
        <is>
          <t>DIRETO</t>
        </is>
      </c>
      <c r="J34" s="60" t="inlineStr">
        <is>
          <t xml:space="preserve">ELEVADORES </t>
        </is>
      </c>
      <c r="K34" s="50">
        <f>IF(ISNUMBER($P$7),G34*$P$7,0)</f>
        <v/>
      </c>
      <c r="L34" s="54" t="n"/>
      <c r="M34" s="50">
        <f>L34-K34</f>
        <v/>
      </c>
      <c r="N34" s="52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1">
        <f>'ELEVADORES '!$K$16</f>
        <v/>
      </c>
      <c r="P34" s="62">
        <f>'ELEVADORES '!$K$14</f>
        <v/>
      </c>
      <c r="Q34" s="60" t="inlineStr">
        <is>
          <t>24</t>
        </is>
      </c>
    </row>
    <row r="35">
      <c r="B35" s="60" t="inlineStr">
        <is>
          <t>PL250.001</t>
        </is>
      </c>
      <c r="C35" s="60" t="inlineStr">
        <is>
          <t>25</t>
        </is>
      </c>
      <c r="D35" s="60" t="inlineStr">
        <is>
          <t>ESQUADRIAS</t>
        </is>
      </c>
      <c r="E35" s="49">
        <f>IF($F$50=0,0,F35/$F$50)</f>
        <v/>
      </c>
      <c r="F35" s="54" t="n"/>
      <c r="G35" s="50">
        <f>IF($H$6=0,0,F35/$H$6)</f>
        <v/>
      </c>
      <c r="H35" s="50">
        <f>G35</f>
        <v/>
      </c>
      <c r="I35" s="60" t="inlineStr">
        <is>
          <t>DIRETO</t>
        </is>
      </c>
      <c r="J35" s="60" t="inlineStr">
        <is>
          <t xml:space="preserve">ESQUADRIAS </t>
        </is>
      </c>
      <c r="K35" s="50">
        <f>IF(ISNUMBER($P$7),G35*$P$7,0)</f>
        <v/>
      </c>
      <c r="L35" s="54" t="n"/>
      <c r="M35" s="50">
        <f>L35-K35</f>
        <v/>
      </c>
      <c r="N35" s="52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1">
        <f>'ESQUADRIAS'!$K$16</f>
        <v/>
      </c>
      <c r="P35" s="62">
        <f>'ESQUADRIAS'!$K$14</f>
        <v/>
      </c>
      <c r="Q35" s="60" t="inlineStr">
        <is>
          <t>25</t>
        </is>
      </c>
    </row>
    <row r="36">
      <c r="B36" s="60" t="inlineStr">
        <is>
          <t>PL240.000</t>
        </is>
      </c>
      <c r="C36" s="60" t="inlineStr">
        <is>
          <t>26</t>
        </is>
      </c>
      <c r="D36" s="60" t="inlineStr">
        <is>
          <t>SERRALHERIA</t>
        </is>
      </c>
      <c r="E36" s="49">
        <f>IF($F$50=0,0,F36/$F$50)</f>
        <v/>
      </c>
      <c r="F36" s="54" t="n"/>
      <c r="G36" s="50">
        <f>IF($H$6=0,0,F36/$H$6)</f>
        <v/>
      </c>
      <c r="H36" s="50">
        <f>G36</f>
        <v/>
      </c>
      <c r="I36" s="60" t="inlineStr">
        <is>
          <t>DIRETO</t>
        </is>
      </c>
      <c r="J36" s="60" t="inlineStr">
        <is>
          <t>SERRALHERIA</t>
        </is>
      </c>
      <c r="K36" s="50">
        <f>IF(ISNUMBER($P$7),G36*$P$7,0)</f>
        <v/>
      </c>
      <c r="L36" s="54" t="n"/>
      <c r="M36" s="50">
        <f>L36-K36</f>
        <v/>
      </c>
      <c r="N36" s="52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1">
        <f>'SERRALHERIA'!$K$16</f>
        <v/>
      </c>
      <c r="P36" s="62">
        <f>'SERRALHERIA'!$K$14</f>
        <v/>
      </c>
      <c r="Q36" s="60" t="inlineStr">
        <is>
          <t>26</t>
        </is>
      </c>
    </row>
    <row r="37">
      <c r="B37" s="60" t="inlineStr">
        <is>
          <t>PL240.020</t>
        </is>
      </c>
      <c r="C37" s="60" t="inlineStr">
        <is>
          <t>27</t>
        </is>
      </c>
      <c r="D37" s="60" t="inlineStr">
        <is>
          <t>MARCENARIA</t>
        </is>
      </c>
      <c r="E37" s="49">
        <f>IF($F$50=0,0,F37/$F$50)</f>
        <v/>
      </c>
      <c r="F37" s="54" t="n"/>
      <c r="G37" s="50">
        <f>IF($H$6=0,0,F37/$H$6)</f>
        <v/>
      </c>
      <c r="H37" s="50">
        <f>G37</f>
        <v/>
      </c>
      <c r="I37" s="60" t="inlineStr">
        <is>
          <t>DIRETO</t>
        </is>
      </c>
      <c r="J37" s="60" t="inlineStr">
        <is>
          <t>MARCENARIA</t>
        </is>
      </c>
      <c r="K37" s="50">
        <f>IF(ISNUMBER($P$7),G37*$P$7,0)</f>
        <v/>
      </c>
      <c r="L37" s="54" t="n"/>
      <c r="M37" s="50">
        <f>L37-K37</f>
        <v/>
      </c>
      <c r="N37" s="52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1">
        <f>'MARCENARIA'!$K$16</f>
        <v/>
      </c>
      <c r="P37" s="62">
        <f>'MARCENARIA'!$K$14</f>
        <v/>
      </c>
      <c r="Q37" s="60" t="inlineStr">
        <is>
          <t>27</t>
        </is>
      </c>
    </row>
    <row r="38">
      <c r="B38" s="60" t="inlineStr">
        <is>
          <t>PL160.001</t>
        </is>
      </c>
      <c r="C38" s="60" t="inlineStr">
        <is>
          <t>28</t>
        </is>
      </c>
      <c r="D38" s="60" t="inlineStr">
        <is>
          <t>REVESTIMENTOS DE MASSA EM PISOS</t>
        </is>
      </c>
      <c r="E38" s="49">
        <f>IF($F$50=0,0,F38/$F$50)</f>
        <v/>
      </c>
      <c r="F38" s="54" t="n"/>
      <c r="G38" s="50">
        <f>IF($H$6=0,0,F38/$H$6)</f>
        <v/>
      </c>
      <c r="H38" s="50">
        <f>G38</f>
        <v/>
      </c>
      <c r="I38" s="60" t="inlineStr">
        <is>
          <t>DIRETO</t>
        </is>
      </c>
      <c r="J38" s="60" t="inlineStr">
        <is>
          <t>REVESTIMENTOS DE MASSA EM PISOS</t>
        </is>
      </c>
      <c r="K38" s="50">
        <f>IF(ISNUMBER($P$7),G38*$P$7,0)</f>
        <v/>
      </c>
      <c r="L38" s="54" t="n"/>
      <c r="M38" s="50">
        <f>L38-K38</f>
        <v/>
      </c>
      <c r="N38" s="52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1">
        <f>'REV. PISOS'!$K$16</f>
        <v/>
      </c>
      <c r="P38" s="62">
        <f>'REV. PISOS'!$K$14</f>
        <v/>
      </c>
      <c r="Q38" s="60" t="inlineStr">
        <is>
          <t>28</t>
        </is>
      </c>
    </row>
    <row r="39">
      <c r="B39" s="60" t="inlineStr">
        <is>
          <t>PL150.001</t>
        </is>
      </c>
      <c r="C39" s="60" t="inlineStr">
        <is>
          <t>29</t>
        </is>
      </c>
      <c r="D39" s="60" t="inlineStr">
        <is>
          <t>REVESTIMENTOS DE MASSA EM PAREDES</t>
        </is>
      </c>
      <c r="E39" s="49">
        <f>IF($F$50=0,0,F39/$F$50)</f>
        <v/>
      </c>
      <c r="F39" s="54" t="n"/>
      <c r="G39" s="50">
        <f>IF($H$6=0,0,F39/$H$6)</f>
        <v/>
      </c>
      <c r="H39" s="50">
        <f>G39</f>
        <v/>
      </c>
      <c r="I39" s="60" t="inlineStr">
        <is>
          <t>DIRETO</t>
        </is>
      </c>
      <c r="J39" s="60" t="inlineStr">
        <is>
          <t>REVESTIMENTOS DE MASSA EM PAREDES</t>
        </is>
      </c>
      <c r="K39" s="50">
        <f>IF(ISNUMBER($P$7),G39*$P$7,0)</f>
        <v/>
      </c>
      <c r="L39" s="54" t="n"/>
      <c r="M39" s="50">
        <f>L39-K39</f>
        <v/>
      </c>
      <c r="N39" s="52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1">
        <f>'REV. PAREDE'!$K$16</f>
        <v/>
      </c>
      <c r="P39" s="62">
        <f>'REV. PAREDE'!$K$14</f>
        <v/>
      </c>
      <c r="Q39" s="60" t="inlineStr">
        <is>
          <t>29</t>
        </is>
      </c>
    </row>
    <row r="40">
      <c r="B40" s="60" t="inlineStr">
        <is>
          <t>PL170.004</t>
        </is>
      </c>
      <c r="C40" s="60" t="inlineStr">
        <is>
          <t>30</t>
        </is>
      </c>
      <c r="D40" s="60" t="inlineStr">
        <is>
          <t>REVESTIMENTOS DE ACABAMENTO</t>
        </is>
      </c>
      <c r="E40" s="49">
        <f>IF($F$50=0,0,F40/$F$50)</f>
        <v/>
      </c>
      <c r="F40" s="54" t="n"/>
      <c r="G40" s="50">
        <f>IF($H$6=0,0,F40/$H$6)</f>
        <v/>
      </c>
      <c r="H40" s="50">
        <f>G40</f>
        <v/>
      </c>
      <c r="I40" s="60" t="inlineStr">
        <is>
          <t>DIRETO</t>
        </is>
      </c>
      <c r="J40" s="60" t="inlineStr">
        <is>
          <t>REVESTIMENTOS DE ACABAMENTO</t>
        </is>
      </c>
      <c r="K40" s="50">
        <f>IF(ISNUMBER($P$7),G40*$P$7,0)</f>
        <v/>
      </c>
      <c r="L40" s="54" t="n"/>
      <c r="M40" s="50">
        <f>L40-K40</f>
        <v/>
      </c>
      <c r="N40" s="52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1">
        <f>'REV. ACAB'!$K$16</f>
        <v/>
      </c>
      <c r="P40" s="62">
        <f>'REV. ACAB'!$K$14</f>
        <v/>
      </c>
      <c r="Q40" s="60" t="inlineStr">
        <is>
          <t>30</t>
        </is>
      </c>
    </row>
    <row r="41">
      <c r="B41" s="60" t="inlineStr">
        <is>
          <t>PL320.001</t>
        </is>
      </c>
      <c r="C41" s="60" t="inlineStr">
        <is>
          <t>31</t>
        </is>
      </c>
      <c r="D41" s="60" t="inlineStr">
        <is>
          <t>PAVIMENTAÇÃO</t>
        </is>
      </c>
      <c r="E41" s="49">
        <f>IF($F$50=0,0,F41/$F$50)</f>
        <v/>
      </c>
      <c r="F41" s="54" t="n"/>
      <c r="G41" s="50">
        <f>IF($H$6=0,0,F41/$H$6)</f>
        <v/>
      </c>
      <c r="H41" s="50">
        <f>G41</f>
        <v/>
      </c>
      <c r="I41" s="60" t="inlineStr">
        <is>
          <t>DIRETO</t>
        </is>
      </c>
      <c r="J41" s="60" t="inlineStr">
        <is>
          <t>PAVIMENTÇÃO</t>
        </is>
      </c>
      <c r="K41" s="50">
        <f>IF(ISNUMBER($P$7),G41*$P$7,0)</f>
        <v/>
      </c>
      <c r="L41" s="54" t="n"/>
      <c r="M41" s="50">
        <f>L41-K41</f>
        <v/>
      </c>
      <c r="N41" s="52">
        <f>IF(D41="","",IF('PAVIMENTAÇÃO'!$C$78&gt;L41+1,"⚠ Incorrido acima da projeção",IF(AND('PAVIMENTAÇÃO'!$K$18&gt;1,'PAVIMENTAÇÃO'!$K$17=0),"⚠ Saldo sem curva (preencha a coluna H da aba)",IF(ABS('PAVIMENTAÇÃO'!$D$80)&gt;1,"⚠ Verificar","OK"))))</f>
        <v/>
      </c>
      <c r="O41" s="61">
        <f>'PAVIMENTAÇÃO'!$K$16</f>
        <v/>
      </c>
      <c r="P41" s="62">
        <f>'PAVIMENTAÇÃO'!$K$14</f>
        <v/>
      </c>
      <c r="Q41" s="60" t="inlineStr">
        <is>
          <t>31</t>
        </is>
      </c>
    </row>
    <row r="42">
      <c r="B42" s="60" t="inlineStr">
        <is>
          <t>PL190.003</t>
        </is>
      </c>
      <c r="C42" s="60" t="inlineStr">
        <is>
          <t>32</t>
        </is>
      </c>
      <c r="D42" s="60" t="inlineStr">
        <is>
          <t>REVESTIMENTO DIVERSOS - FACHADA</t>
        </is>
      </c>
      <c r="E42" s="49">
        <f>IF($F$50=0,0,F42/$F$50)</f>
        <v/>
      </c>
      <c r="F42" s="54" t="n"/>
      <c r="G42" s="50">
        <f>IF($H$6=0,0,F42/$H$6)</f>
        <v/>
      </c>
      <c r="H42" s="50">
        <f>G42</f>
        <v/>
      </c>
      <c r="I42" s="60" t="inlineStr">
        <is>
          <t>DIRETO</t>
        </is>
      </c>
      <c r="J42" s="60" t="inlineStr">
        <is>
          <t>REVESTIMENTO DIVERSOS - FACHADA</t>
        </is>
      </c>
      <c r="K42" s="50">
        <f>IF(ISNUMBER($P$7),G42*$P$7,0)</f>
        <v/>
      </c>
      <c r="L42" s="54" t="n"/>
      <c r="M42" s="50">
        <f>L42-K42</f>
        <v/>
      </c>
      <c r="N42" s="52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1">
        <f>'REV. FACHADA'!$K$16</f>
        <v/>
      </c>
      <c r="P42" s="62">
        <f>'REV. FACHADA'!$K$14</f>
        <v/>
      </c>
      <c r="Q42" s="60" t="inlineStr">
        <is>
          <t>32</t>
        </is>
      </c>
    </row>
    <row r="43">
      <c r="B43" s="60" t="inlineStr">
        <is>
          <t>PL180.001</t>
        </is>
      </c>
      <c r="C43" s="60" t="inlineStr">
        <is>
          <t>33</t>
        </is>
      </c>
      <c r="D43" s="60" t="inlineStr">
        <is>
          <t>FORRO</t>
        </is>
      </c>
      <c r="E43" s="49">
        <f>IF($F$50=0,0,F43/$F$50)</f>
        <v/>
      </c>
      <c r="F43" s="54" t="n"/>
      <c r="G43" s="50">
        <f>IF($H$6=0,0,F43/$H$6)</f>
        <v/>
      </c>
      <c r="H43" s="50">
        <f>G43</f>
        <v/>
      </c>
      <c r="I43" s="60" t="inlineStr">
        <is>
          <t>DIRETO</t>
        </is>
      </c>
      <c r="J43" s="60" t="inlineStr">
        <is>
          <t>FORROS DIVERSOS</t>
        </is>
      </c>
      <c r="K43" s="50">
        <f>IF(ISNUMBER($P$7),G43*$P$7,0)</f>
        <v/>
      </c>
      <c r="L43" s="54" t="n"/>
      <c r="M43" s="50">
        <f>L43-K43</f>
        <v/>
      </c>
      <c r="N43" s="52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1">
        <f>'FORRO'!$K$16</f>
        <v/>
      </c>
      <c r="P43" s="62">
        <f>'FORRO'!$K$14</f>
        <v/>
      </c>
      <c r="Q43" s="60" t="inlineStr">
        <is>
          <t>33</t>
        </is>
      </c>
    </row>
    <row r="44">
      <c r="B44" s="60" t="inlineStr">
        <is>
          <t>PL290.002</t>
        </is>
      </c>
      <c r="C44" s="60" t="inlineStr">
        <is>
          <t>34</t>
        </is>
      </c>
      <c r="D44" s="60" t="inlineStr">
        <is>
          <t>LOUÇAS SANITÁRIAS</t>
        </is>
      </c>
      <c r="E44" s="49">
        <f>IF($F$50=0,0,F44/$F$50)</f>
        <v/>
      </c>
      <c r="F44" s="54" t="n"/>
      <c r="G44" s="50">
        <f>IF($H$6=0,0,F44/$H$6)</f>
        <v/>
      </c>
      <c r="H44" s="50">
        <f>G44</f>
        <v/>
      </c>
      <c r="I44" s="60" t="inlineStr">
        <is>
          <t>DIRETO</t>
        </is>
      </c>
      <c r="J44" s="60" t="inlineStr">
        <is>
          <t>LOUÇAS E METAIS</t>
        </is>
      </c>
      <c r="K44" s="50">
        <f>IF(ISNUMBER($P$7),G44*$P$7,0)</f>
        <v/>
      </c>
      <c r="L44" s="54" t="n"/>
      <c r="M44" s="50">
        <f>L44-K44</f>
        <v/>
      </c>
      <c r="N44" s="52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1">
        <f>'LOUÇAS'!$K$16</f>
        <v/>
      </c>
      <c r="P44" s="62">
        <f>'LOUÇAS'!$K$14</f>
        <v/>
      </c>
      <c r="Q44" s="60" t="inlineStr">
        <is>
          <t>34</t>
        </is>
      </c>
    </row>
    <row r="45">
      <c r="B45" s="60" t="inlineStr">
        <is>
          <t>PL280.003</t>
        </is>
      </c>
      <c r="C45" s="60" t="inlineStr">
        <is>
          <t>35</t>
        </is>
      </c>
      <c r="D45" s="60" t="inlineStr">
        <is>
          <t>PINTURA</t>
        </is>
      </c>
      <c r="E45" s="49">
        <f>IF($F$50=0,0,F45/$F$50)</f>
        <v/>
      </c>
      <c r="F45" s="54" t="n"/>
      <c r="G45" s="50">
        <f>IF($H$6=0,0,F45/$H$6)</f>
        <v/>
      </c>
      <c r="H45" s="50">
        <f>G45</f>
        <v/>
      </c>
      <c r="I45" s="60" t="inlineStr">
        <is>
          <t>DIRETO</t>
        </is>
      </c>
      <c r="J45" s="60" t="inlineStr">
        <is>
          <t>PINTURAS</t>
        </is>
      </c>
      <c r="K45" s="50">
        <f>IF(ISNUMBER($P$7),G45*$P$7,0)</f>
        <v/>
      </c>
      <c r="L45" s="54" t="n"/>
      <c r="M45" s="50">
        <f>L45-K45</f>
        <v/>
      </c>
      <c r="N45" s="52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1">
        <f>'PINTURA'!$K$16</f>
        <v/>
      </c>
      <c r="P45" s="62">
        <f>'PINTURA'!$K$14</f>
        <v/>
      </c>
      <c r="Q45" s="60" t="inlineStr">
        <is>
          <t>35</t>
        </is>
      </c>
    </row>
    <row r="46">
      <c r="B46" s="60" t="inlineStr">
        <is>
          <t>PL330.002</t>
        </is>
      </c>
      <c r="C46" s="60" t="inlineStr">
        <is>
          <t>36</t>
        </is>
      </c>
      <c r="D46" s="60" t="inlineStr">
        <is>
          <t>PAISAGISMO</t>
        </is>
      </c>
      <c r="E46" s="49">
        <f>IF($F$50=0,0,F46/$F$50)</f>
        <v/>
      </c>
      <c r="F46" s="54" t="n"/>
      <c r="G46" s="50">
        <f>IF($H$6=0,0,F46/$H$6)</f>
        <v/>
      </c>
      <c r="H46" s="50">
        <f>G46</f>
        <v/>
      </c>
      <c r="I46" s="60" t="inlineStr">
        <is>
          <t>DIRETO</t>
        </is>
      </c>
      <c r="J46" s="60" t="inlineStr">
        <is>
          <t>PAISAGISMO</t>
        </is>
      </c>
      <c r="K46" s="50">
        <f>IF(ISNUMBER($P$7),G46*$P$7,0)</f>
        <v/>
      </c>
      <c r="L46" s="54" t="n"/>
      <c r="M46" s="50">
        <f>L46-K46</f>
        <v/>
      </c>
      <c r="N46" s="52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1">
        <f>'PAISAGISMO'!$K$16</f>
        <v/>
      </c>
      <c r="P46" s="62">
        <f>'PAISAGISMO'!$K$14</f>
        <v/>
      </c>
      <c r="Q46" s="60" t="inlineStr">
        <is>
          <t>36</t>
        </is>
      </c>
    </row>
    <row r="47">
      <c r="B47" s="60" t="inlineStr">
        <is>
          <t>PL360.001</t>
        </is>
      </c>
      <c r="C47" s="60" t="inlineStr">
        <is>
          <t>37</t>
        </is>
      </c>
      <c r="D47" s="60" t="inlineStr">
        <is>
          <t>LIMPEZA FINAL DE OBRA</t>
        </is>
      </c>
      <c r="E47" s="49">
        <f>IF($F$50=0,0,F47/$F$50)</f>
        <v/>
      </c>
      <c r="F47" s="54" t="n"/>
      <c r="G47" s="50">
        <f>IF($H$6=0,0,F47/$H$6)</f>
        <v/>
      </c>
      <c r="H47" s="50">
        <f>G47</f>
        <v/>
      </c>
      <c r="I47" s="60" t="inlineStr">
        <is>
          <t>DIRETO</t>
        </is>
      </c>
      <c r="J47" s="60" t="inlineStr">
        <is>
          <t>LIMPEZA FINAL DE OBRA</t>
        </is>
      </c>
      <c r="K47" s="50">
        <f>IF(ISNUMBER($P$7),G47*$P$7,0)</f>
        <v/>
      </c>
      <c r="L47" s="54" t="n"/>
      <c r="M47" s="50">
        <f>L47-K47</f>
        <v/>
      </c>
      <c r="N47" s="52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1">
        <f>'LIMPEZA'!$K$16</f>
        <v/>
      </c>
      <c r="P47" s="62">
        <f>'LIMPEZA'!$K$14</f>
        <v/>
      </c>
      <c r="Q47" s="60" t="inlineStr">
        <is>
          <t>37</t>
        </is>
      </c>
    </row>
    <row r="48">
      <c r="B48" s="60" t="n"/>
      <c r="C48" s="60" t="inlineStr">
        <is>
          <t>38</t>
        </is>
      </c>
      <c r="D48" s="60" t="inlineStr">
        <is>
          <t>TAXA DE ADMINISTRAÇÃO</t>
        </is>
      </c>
      <c r="E48" s="49">
        <f>IF($F$50=0,0,F48/$F$50)</f>
        <v/>
      </c>
      <c r="F48" s="54" t="n"/>
      <c r="G48" s="50">
        <f>IF($H$6=0,0,F48/$H$6)</f>
        <v/>
      </c>
      <c r="H48" s="50">
        <f>G48</f>
        <v/>
      </c>
      <c r="I48" s="60" t="inlineStr">
        <is>
          <t>INDIRETO</t>
        </is>
      </c>
      <c r="J48" s="60" t="inlineStr">
        <is>
          <t>TAXA DE ADMINISTRAÇÃO</t>
        </is>
      </c>
      <c r="K48" s="50">
        <f>IF(ISNUMBER($P$7),G48*$P$7,0)</f>
        <v/>
      </c>
      <c r="L48" s="63">
        <f>'TAX. ADM'!$C$78</f>
        <v/>
      </c>
      <c r="M48" s="50">
        <f>L48-K48</f>
        <v/>
      </c>
      <c r="N48" s="52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1">
        <f>'TAX. ADM'!$K$16</f>
        <v/>
      </c>
      <c r="P48" s="62">
        <f>'TAX. ADM'!$K$14</f>
        <v/>
      </c>
      <c r="Q48" s="60" t="inlineStr">
        <is>
          <t>00</t>
        </is>
      </c>
    </row>
    <row r="49">
      <c r="D49" s="47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7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2" t="inlineStr">
        <is>
          <t>Disciplinas com pendência (coluna N)</t>
        </is>
      </c>
      <c r="E54" s="69">
        <f>COUNTIF(N11:N48,"⚠*")</f>
        <v/>
      </c>
      <c r="F54" s="52">
        <f>IF(E54=0,"OK","⚠ Veja a coluna N")</f>
        <v/>
      </c>
      <c r="G54" s="67" t="n"/>
      <c r="H54" s="68" t="n"/>
    </row>
    <row r="55">
      <c r="D55" s="52" t="inlineStr">
        <is>
          <t>Grupos do ERP sem correspondência</t>
        </is>
      </c>
      <c r="E55" s="70">
        <f>'DADOS HISTORICOS'!C2</f>
        <v/>
      </c>
      <c r="F55" s="52">
        <f>IF(E55=0,"OK","⚠ Veja nomes em vermelho em DADOS BRUTOS")</f>
        <v/>
      </c>
      <c r="G55" s="67" t="n"/>
      <c r="H55" s="68" t="n"/>
    </row>
    <row r="56">
      <c r="D56" s="52" t="inlineStr">
        <is>
          <t>Valores do ERP fora do horizonte (R$)</t>
        </is>
      </c>
      <c r="E56" s="71">
        <f>'DADOS HISTORICOS'!BX44</f>
        <v/>
      </c>
      <c r="F56" s="52">
        <f>IF(ABS(E56)&lt;1,"OK","⚠ Aumente o horizonte ou revise datas")</f>
        <v/>
      </c>
      <c r="G56" s="67" t="n"/>
      <c r="H56" s="68" t="n"/>
    </row>
    <row r="57">
      <c r="D57" s="52" t="inlineStr">
        <is>
          <t>INCC do mês de corte</t>
        </is>
      </c>
      <c r="E57" s="72">
        <f>IF(ISNUMBER(P7),P7,0)</f>
        <v/>
      </c>
      <c r="F57" s="52">
        <f>IF(COUNTIF('"INCC-FGV"'!$A$2:$A$400,P5)&gt;0,"OK",IF(E57&gt;0,"⚠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2" t="inlineStr">
        <is>
          <t>Meses realizados sem INCC</t>
        </is>
      </c>
      <c r="E58" s="70">
        <f>SUMPRODUCT(('MODELO PARA BI'!$H$1:$CA$1&lt;=P5)*(COUNTIF('"INCC-FGV"'!$A$2:$A$400,'MODELO PARA BI'!$H$1:$CA$1)=0))</f>
        <v/>
      </c>
      <c r="F58" s="52">
        <f>IF(E58=0,"OK","⚠ Complete a aba INCC-FGV")</f>
        <v/>
      </c>
      <c r="G58" s="67" t="n"/>
      <c r="H58" s="68" t="n"/>
    </row>
    <row r="59">
      <c r="D59" s="52" t="inlineStr">
        <is>
          <t>Fluxo total − projeção total (R$)</t>
        </is>
      </c>
      <c r="E59" s="71">
        <f>'MODELO PARA BI'!E64-L50</f>
        <v/>
      </c>
      <c r="F59" s="52">
        <f>IF(L50=0,"⚠ Preencha o orçamento e a projeção (colunas F e L)",IF(ABS(E59)&lt;1,"OK","⚠ Há saldo sem distribuição"))</f>
        <v/>
      </c>
      <c r="G59" s="67" t="n"/>
      <c r="H59" s="68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9">
        <f>'VALOR POR PL'!$P$9&amp;"  ·  RETRATO DE "&amp;D5</f>
        <v/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 ht="20" customHeight="1">
      <c r="B3" s="73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5">
      <c r="B5" s="74" t="inlineStr">
        <is>
          <t>ANO DO RETRATO →</t>
        </is>
      </c>
      <c r="D5" s="75" t="n">
        <v>2027</v>
      </c>
      <c r="E5" s="74" t="inlineStr">
        <is>
          <t>INCC →</t>
        </is>
      </c>
      <c r="F5" s="76">
        <f>'VALOR POR PL'!$P$5</f>
        <v/>
      </c>
      <c r="G5" s="57">
        <f>IFERROR(INDEX('"INCC-FGV"'!$B$2:$B$400,MATCH(DATE(YEAR(F5),MONTH(F5),1),'"INCC-FGV"'!$A$2:$A$400,0)),IFERROR(INDEX('"INCC-FGV"'!$B$2:$B$400,MATCH(DATE(YEAR(F5),MONTH(F5),1),'"INCC-FGV"'!$A$2:$A$400,1)),"FALTA INCC"))</f>
        <v/>
      </c>
      <c r="J5" s="74" t="inlineStr">
        <is>
          <t>SITUAÇÃO EM →</t>
        </is>
      </c>
      <c r="K5" s="77">
        <f>DATE(D5,12,31)</f>
        <v/>
      </c>
    </row>
    <row r="7" ht="22" customHeight="1">
      <c r="B7" s="12" t="inlineStr">
        <is>
          <t>DESEMBOLSO NO ANO (R$ NOMINAL)</t>
        </is>
      </c>
      <c r="C7" s="13" t="n"/>
      <c r="D7" s="12" t="inlineStr">
        <is>
          <t>DESEMBOLSO NO ANO (INCC)</t>
        </is>
      </c>
      <c r="E7" s="13" t="n"/>
      <c r="F7" s="12" t="inlineStr">
        <is>
          <t>EM R$ DO INCC SELECIONADO</t>
        </is>
      </c>
      <c r="G7" s="13" t="n"/>
      <c r="H7" s="12" t="inlineStr">
        <is>
          <t>EXECUÇÃO FÍSICA NO FIM DO ANO</t>
        </is>
      </c>
      <c r="I7" s="13" t="n"/>
      <c r="J7" s="12" t="inlineStr">
        <is>
          <t>AVANÇO FINANCEIRO</t>
        </is>
      </c>
      <c r="K7" s="12" t="inlineStr">
        <is>
          <t>MAIOR DESEMBOLSO DO ANO</t>
        </is>
      </c>
    </row>
    <row r="8" ht="28" customHeight="1">
      <c r="B8" s="78">
        <f>F53</f>
        <v/>
      </c>
      <c r="D8" s="79">
        <f>G53</f>
        <v/>
      </c>
      <c r="F8" s="78">
        <f>H53</f>
        <v/>
      </c>
      <c r="H8" s="15">
        <f>IFERROR(SUMPRODUCT(D12:D50,N12:N50)/SUMPRODUCT(ISNUMBER(D12:D50)*N12:N50),0)</f>
        <v/>
      </c>
      <c r="J8" s="15">
        <f>IFERROR(SUMPRODUCT(J12:J50,M12:M50)/SUM(M12:M50),0)</f>
        <v/>
      </c>
      <c r="K8" s="80">
        <f>INDEX(C12:C50,MATCH(MAX(F12:F50),F12:F50,0))</f>
        <v/>
      </c>
    </row>
    <row r="9" ht="18" customHeight="1">
      <c r="B9" s="17" t="inlineStr">
        <is>
          <t>com taxa de administração</t>
        </is>
      </c>
      <c r="C9" s="18" t="n"/>
      <c r="D9" s="17" t="inlineStr">
        <is>
          <t>pontos de índice</t>
        </is>
      </c>
      <c r="E9" s="18" t="n"/>
      <c r="F9" s="17" t="inlineStr">
        <is>
          <t>INCC × índice do mês escolhido</t>
        </is>
      </c>
      <c r="G9" s="18" t="n"/>
      <c r="H9" s="17" t="inlineStr">
        <is>
          <t>itens diretos, ponderado pela projeção</t>
        </is>
      </c>
      <c r="I9" s="18" t="n"/>
      <c r="J9" s="17" t="inlineStr">
        <is>
          <t>acumulado no fim do ano</t>
        </is>
      </c>
      <c r="K9" s="17">
        <f>"R$ "&amp;TEXT(MAX(F12:F50)/1000000,"0.0")&amp;" mi no ano"</f>
        <v/>
      </c>
    </row>
    <row r="11" ht="44" customHeight="1">
      <c r="B11" s="81" t="inlineStr">
        <is>
          <t>Cód.</t>
        </is>
      </c>
      <c r="C11" s="81" t="inlineStr">
        <is>
          <t>PL / serviço</t>
        </is>
      </c>
      <c r="D11" s="82" t="inlineStr">
        <is>
          <t>Execução física
fim do ano
(Prevision)</t>
        </is>
      </c>
      <c r="E11" s="82" t="inlineStr">
        <is>
          <t>Execução física
no corte
(Prevision)</t>
        </is>
      </c>
      <c r="F11" s="82" t="inlineStr">
        <is>
          <t>Desembolso
no ano
R$ nominal</t>
        </is>
      </c>
      <c r="G11" s="82" t="inlineStr">
        <is>
          <t>Desembolso
no ano
INCC</t>
        </is>
      </c>
      <c r="H11" s="82" t="inlineStr">
        <is>
          <t>Desembolso no ano
R$ do INCC
selecionado</t>
        </is>
      </c>
      <c r="I11" s="82" t="inlineStr">
        <is>
          <t>% do
ano</t>
        </is>
      </c>
      <c r="J11" s="82" t="inlineStr">
        <is>
          <t>Avanço
financeiro
fim do ano</t>
        </is>
      </c>
      <c r="K11" s="81">
        <f>"Situação em 31/12/"&amp;D5&amp;" (cronograma de atividades do Prevision)"</f>
        <v/>
      </c>
      <c r="L11" s="81" t="inlineStr">
        <is>
          <t>Anotação do modelo anterior / justificativa</t>
        </is>
      </c>
    </row>
    <row r="12" ht="29.4" customHeight="1">
      <c r="B12" s="83">
        <f>'VALOR POR PL'!C11</f>
        <v/>
      </c>
      <c r="C12" s="84">
        <f>'VALOR POR PL'!D11</f>
        <v/>
      </c>
      <c r="D12" s="85">
        <f>IF(OR('VALOR POR PL'!I11&lt;&gt;"DIRETO",'CP RESUMO'!$C$5=""),"",IFERROR(INDEX('CP RESUMO'!$D$5:$BW$5,MATCH(DATE($D$5,12,1),'CP RESUMO'!$D$4:$BW$4,0))/100,""))</f>
        <v/>
      </c>
      <c r="E12" s="86">
        <f>IF('VALOR POR PL'!I11&lt;&gt;"DIRETO","",'PROJETO'!$K$14)</f>
        <v/>
      </c>
      <c r="F12" s="87">
        <f>SUMPRODUCT((YEAR('PROJETO'!$B$5:$B$76)=$D$5)*('PROJETO'!$C$5:$C$76+'PROJETO'!$D$5:$D$76))</f>
        <v/>
      </c>
      <c r="G12" s="87">
        <f>SUMPRODUCT((YEAR('MODELO PARA BI'!$H$1:$CA$1)=$D$5)*'MODELO PARA BI'!$H$29:$CA$29)</f>
        <v/>
      </c>
      <c r="H12" s="87">
        <f>IF(ISNUMBER($G$5),G12*$G$5,0)</f>
        <v/>
      </c>
      <c r="I12" s="85">
        <f>IF($F$53=0,0,F12/$F$53)</f>
        <v/>
      </c>
      <c r="J12" s="85">
        <f>IF('VALOR POR PL'!L11=0,0,SUMPRODUCT(('PROJETO'!$B$5:$B$76&lt;=DATE($D$5,12,1))*('PROJETO'!$C$5:$C$76+'PROJETO'!$D$5:$D$76))/'VALOR POR PL'!L11)</f>
        <v/>
      </c>
      <c r="K12" s="88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9" t="n"/>
      <c r="M12" s="90">
        <f>'VALOR POR PL'!L11</f>
        <v/>
      </c>
      <c r="N12" s="90">
        <f>IF('VALOR POR PL'!I11="DIRETO",'VALOR POR PL'!L11,0)</f>
        <v/>
      </c>
    </row>
    <row r="13" ht="29.4" customHeight="1">
      <c r="B13" s="91">
        <f>'VALOR POR PL'!C12</f>
        <v/>
      </c>
      <c r="C13" s="92">
        <f>'VALOR POR PL'!D12</f>
        <v/>
      </c>
      <c r="D13" s="93">
        <f>IF(OR('VALOR POR PL'!I12&lt;&gt;"DIRETO",'CP RESUMO'!$C$6=""),"",IFERROR(INDEX('CP RESUMO'!$D$6:$BW$6,MATCH(DATE($D$5,12,1),'CP RESUMO'!$D$4:$BW$4,0))/100,""))</f>
        <v/>
      </c>
      <c r="E13" s="94">
        <f>IF('VALOR POR PL'!I12&lt;&gt;"DIRETO","",'SEGUROS'!$K$14)</f>
        <v/>
      </c>
      <c r="F13" s="95">
        <f>SUMPRODUCT((YEAR('SEGUROS'!$B$5:$B$76)=$D$5)*('SEGUROS'!$C$5:$C$76+'SEGUROS'!$D$5:$D$76))</f>
        <v/>
      </c>
      <c r="G13" s="95">
        <f>SUMPRODUCT((YEAR('MODELO PARA BI'!$H$1:$CA$1)=$D$5)*'MODELO PARA BI'!$H$40:$CA$40)</f>
        <v/>
      </c>
      <c r="H13" s="95">
        <f>IF(ISNUMBER($G$5),G13*$G$5,0)</f>
        <v/>
      </c>
      <c r="I13" s="93">
        <f>IF($F$53=0,0,F13/$F$53)</f>
        <v/>
      </c>
      <c r="J13" s="93">
        <f>IF('VALOR POR PL'!L12=0,0,SUMPRODUCT(('SEGUROS'!$B$5:$B$76&lt;=DATE($D$5,12,1))*('SEGUROS'!$C$5:$C$76+'SEGUROS'!$D$5:$D$76))/'VALOR POR PL'!L12)</f>
        <v/>
      </c>
      <c r="K13" s="96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7" t="n"/>
      <c r="M13" s="90">
        <f>'VALOR POR PL'!L12</f>
        <v/>
      </c>
      <c r="N13" s="90">
        <f>IF('VALOR POR PL'!I12="DIRETO",'VALOR POR PL'!L12,0)</f>
        <v/>
      </c>
    </row>
    <row r="14" ht="29.4" customHeight="1">
      <c r="B14" s="83">
        <f>'VALOR POR PL'!C13</f>
        <v/>
      </c>
      <c r="C14" s="84">
        <f>'VALOR POR PL'!D13</f>
        <v/>
      </c>
      <c r="D14" s="85">
        <f>IF(OR('VALOR POR PL'!I13&lt;&gt;"DIRETO",'CP RESUMO'!$C$7=""),"",IFERROR(INDEX('CP RESUMO'!$D$7:$BW$7,MATCH(DATE($D$5,12,1),'CP RESUMO'!$D$4:$BW$4,0))/100,""))</f>
        <v/>
      </c>
      <c r="E14" s="86">
        <f>IF('VALOR POR PL'!I13&lt;&gt;"DIRETO","",'TAX. DIVERSAS'!$K$14)</f>
        <v/>
      </c>
      <c r="F14" s="87">
        <f>SUMPRODUCT((YEAR('TAX. DIVERSAS'!$B$5:$B$76)=$D$5)*('TAX. DIVERSAS'!$C$5:$C$76+'TAX. DIVERSAS'!$D$5:$D$76))</f>
        <v/>
      </c>
      <c r="G14" s="87">
        <f>SUMPRODUCT((YEAR('MODELO PARA BI'!$H$1:$CA$1)=$D$5)*'MODELO PARA BI'!$H$50:$CA$50)</f>
        <v/>
      </c>
      <c r="H14" s="87">
        <f>IF(ISNUMBER($G$5),G14*$G$5,0)</f>
        <v/>
      </c>
      <c r="I14" s="85">
        <f>IF($F$53=0,0,F14/$F$53)</f>
        <v/>
      </c>
      <c r="J14" s="85">
        <f>IF('VALOR POR PL'!L13=0,0,SUMPRODUCT(('TAX. DIVERSAS'!$B$5:$B$76&lt;=DATE($D$5,12,1))*('TAX. DIVERSAS'!$C$5:$C$76+'TAX. DIVERSAS'!$D$5:$D$76))/'VALOR POR PL'!L13)</f>
        <v/>
      </c>
      <c r="K14" s="88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9" t="n"/>
      <c r="M14" s="90">
        <f>'VALOR POR PL'!L13</f>
        <v/>
      </c>
      <c r="N14" s="90">
        <f>IF('VALOR POR PL'!I13="DIRETO",'VALOR POR PL'!L13,0)</f>
        <v/>
      </c>
    </row>
    <row r="15" ht="29.4" customHeight="1">
      <c r="B15" s="91">
        <f>'VALOR POR PL'!C14</f>
        <v/>
      </c>
      <c r="C15" s="92">
        <f>'VALOR POR PL'!D14</f>
        <v/>
      </c>
      <c r="D15" s="93">
        <f>IF(OR('VALOR POR PL'!I14&lt;&gt;"DIRETO",'CP RESUMO'!$C$8=""),"",IFERROR(INDEX('CP RESUMO'!$D$8:$BW$8,MATCH(DATE($D$5,12,1),'CP RESUMO'!$D$4:$BW$4,0))/100,""))</f>
        <v/>
      </c>
      <c r="E15" s="94">
        <f>IF('VALOR POR PL'!I14&lt;&gt;"DIRETO","",'BARRACÃO DE OBRA'!$K$14)</f>
        <v/>
      </c>
      <c r="F15" s="95">
        <f>SUMPRODUCT((YEAR('BARRACÃO DE OBRA'!$B$5:$B$76)=$D$5)*('BARRACÃO DE OBRA'!$C$5:$C$76+'BARRACÃO DE OBRA'!$D$5:$D$76))</f>
        <v/>
      </c>
      <c r="G15" s="95">
        <f>SUMPRODUCT((YEAR('MODELO PARA BI'!$H$1:$CA$1)=$D$5)*'MODELO PARA BI'!$H$3:$CA$3)</f>
        <v/>
      </c>
      <c r="H15" s="95">
        <f>IF(ISNUMBER($G$5),G15*$G$5,0)</f>
        <v/>
      </c>
      <c r="I15" s="93">
        <f>IF($F$53=0,0,F15/$F$53)</f>
        <v/>
      </c>
      <c r="J15" s="93">
        <f>IF('VALOR POR PL'!L14=0,0,SUMPRODUCT(('BARRACÃO DE OBRA'!$B$5:$B$76&lt;=DATE($D$5,12,1))*('BARRACÃO DE OBRA'!$C$5:$C$76+'BARRACÃO DE OBRA'!$D$5:$D$76))/'VALOR POR PL'!L14)</f>
        <v/>
      </c>
      <c r="K15" s="96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7" t="n"/>
      <c r="M15" s="90">
        <f>'VALOR POR PL'!L14</f>
        <v/>
      </c>
      <c r="N15" s="90">
        <f>IF('VALOR POR PL'!I14="DIRETO",'VALOR POR PL'!L14,0)</f>
        <v/>
      </c>
    </row>
    <row r="16" ht="29.4" customHeight="1">
      <c r="B16" s="83">
        <f>'VALOR POR PL'!C15</f>
        <v/>
      </c>
      <c r="C16" s="84">
        <f>'VALOR POR PL'!D15</f>
        <v/>
      </c>
      <c r="D16" s="85">
        <f>IF(OR('VALOR POR PL'!I15&lt;&gt;"DIRETO",'CP RESUMO'!$C$9=""),"",IFERROR(INDEX('CP RESUMO'!$D$9:$BW$9,MATCH(DATE($D$5,12,1),'CP RESUMO'!$D$4:$BW$4,0))/100,""))</f>
        <v/>
      </c>
      <c r="E16" s="86">
        <f>IF('VALOR POR PL'!I15&lt;&gt;"DIRETO","",'LIG. PROVISÓRIAS'!$K$14)</f>
        <v/>
      </c>
      <c r="F16" s="87">
        <f>SUMPRODUCT((YEAR('LIG. PROVISÓRIAS'!$B$5:$B$76)=$D$5)*('LIG. PROVISÓRIAS'!$C$5:$C$76+'LIG. PROVISÓRIAS'!$D$5:$D$76))</f>
        <v/>
      </c>
      <c r="G16" s="87">
        <f>SUMPRODUCT((YEAR('MODELO PARA BI'!$H$1:$CA$1)=$D$5)*'MODELO PARA BI'!$H$42:$CA$42)</f>
        <v/>
      </c>
      <c r="H16" s="87">
        <f>IF(ISNUMBER($G$5),G16*$G$5,0)</f>
        <v/>
      </c>
      <c r="I16" s="85">
        <f>IF($F$53=0,0,F16/$F$53)</f>
        <v/>
      </c>
      <c r="J16" s="85">
        <f>IF('VALOR POR PL'!L15=0,0,SUMPRODUCT(('LIG. PROVISÓRIAS'!$B$5:$B$76&lt;=DATE($D$5,12,1))*('LIG. PROVISÓRIAS'!$C$5:$C$76+'LIG. PROVISÓRIAS'!$D$5:$D$76))/'VALOR POR PL'!L15)</f>
        <v/>
      </c>
      <c r="K16" s="88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9" t="n"/>
      <c r="M16" s="90">
        <f>'VALOR POR PL'!L15</f>
        <v/>
      </c>
      <c r="N16" s="90">
        <f>IF('VALOR POR PL'!I15="DIRETO",'VALOR POR PL'!L15,0)</f>
        <v/>
      </c>
    </row>
    <row r="17" ht="29.4" customHeight="1">
      <c r="B17" s="91">
        <f>'VALOR POR PL'!C16</f>
        <v/>
      </c>
      <c r="C17" s="92">
        <f>'VALOR POR PL'!D16</f>
        <v/>
      </c>
      <c r="D17" s="93">
        <f>IF(OR('VALOR POR PL'!I16&lt;&gt;"DIRETO",'CP RESUMO'!$C$10=""),"",IFERROR(INDEX('CP RESUMO'!$D$10:$BW$10,MATCH(DATE($D$5,12,1),'CP RESUMO'!$D$4:$BW$4,0))/100,""))</f>
        <v/>
      </c>
      <c r="E17" s="94">
        <f>IF('VALOR POR PL'!I16&lt;&gt;"DIRETO","",'CONSUMOS'!$K$14)</f>
        <v/>
      </c>
      <c r="F17" s="95">
        <f>SUMPRODUCT((YEAR('CONSUMOS'!$B$5:$B$76)=$D$5)*('CONSUMOS'!$C$5:$C$76+'CONSUMOS'!$D$5:$D$76))</f>
        <v/>
      </c>
      <c r="G17" s="95">
        <f>SUMPRODUCT((YEAR('MODELO PARA BI'!$H$1:$CA$1)=$D$5)*'MODELO PARA BI'!$H$5:$CA$5)</f>
        <v/>
      </c>
      <c r="H17" s="95">
        <f>IF(ISNUMBER($G$5),G17*$G$5,0)</f>
        <v/>
      </c>
      <c r="I17" s="93">
        <f>IF($F$53=0,0,F17/$F$53)</f>
        <v/>
      </c>
      <c r="J17" s="93">
        <f>IF('VALOR POR PL'!L16=0,0,SUMPRODUCT(('CONSUMOS'!$B$5:$B$76&lt;=DATE($D$5,12,1))*('CONSUMOS'!$C$5:$C$76+'CONSUMOS'!$D$5:$D$76))/'VALOR POR PL'!L16)</f>
        <v/>
      </c>
      <c r="K17" s="96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7" t="n"/>
      <c r="M17" s="90">
        <f>'VALOR POR PL'!L16</f>
        <v/>
      </c>
      <c r="N17" s="90">
        <f>IF('VALOR POR PL'!I16="DIRETO",'VALOR POR PL'!L16,0)</f>
        <v/>
      </c>
    </row>
    <row r="18" ht="29.4" customHeight="1">
      <c r="B18" s="83">
        <f>'VALOR POR PL'!C17</f>
        <v/>
      </c>
      <c r="C18" s="84">
        <f>'VALOR POR PL'!D17</f>
        <v/>
      </c>
      <c r="D18" s="85">
        <f>IF(OR('VALOR POR PL'!I17&lt;&gt;"DIRETO",'CP RESUMO'!$C$11=""),"",IFERROR(INDEX('CP RESUMO'!$D$11:$BW$11,MATCH(DATE($D$5,12,1),'CP RESUMO'!$D$4:$BW$4,0))/100,""))</f>
        <v/>
      </c>
      <c r="E18" s="86">
        <f>IF('VALOR POR PL'!I17&lt;&gt;"DIRETO","",'DIVERSOS'!$K$14)</f>
        <v/>
      </c>
      <c r="F18" s="87">
        <f>SUMPRODUCT((YEAR('DIVERSOS'!$B$5:$B$76)=$D$5)*('DIVERSOS'!$C$5:$C$76+'DIVERSOS'!$D$5:$D$76))</f>
        <v/>
      </c>
      <c r="G18" s="87">
        <f>SUMPRODUCT((YEAR('MODELO PARA BI'!$H$1:$CA$1)=$D$5)*'MODELO PARA BI'!$H$9:$CA$9)</f>
        <v/>
      </c>
      <c r="H18" s="87">
        <f>IF(ISNUMBER($G$5),G18*$G$5,0)</f>
        <v/>
      </c>
      <c r="I18" s="85">
        <f>IF($F$53=0,0,F18/$F$53)</f>
        <v/>
      </c>
      <c r="J18" s="85">
        <f>IF('VALOR POR PL'!L17=0,0,SUMPRODUCT(('DIVERSOS'!$B$5:$B$76&lt;=DATE($D$5,12,1))*('DIVERSOS'!$C$5:$C$76+'DIVERSOS'!$D$5:$D$76))/'VALOR POR PL'!L17)</f>
        <v/>
      </c>
      <c r="K18" s="88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9" t="n"/>
      <c r="M18" s="90">
        <f>'VALOR POR PL'!L17</f>
        <v/>
      </c>
      <c r="N18" s="90">
        <f>IF('VALOR POR PL'!I17="DIRETO",'VALOR POR PL'!L17,0)</f>
        <v/>
      </c>
    </row>
    <row r="19" ht="29.4" customHeight="1">
      <c r="B19" s="91">
        <f>'VALOR POR PL'!C18</f>
        <v/>
      </c>
      <c r="C19" s="92">
        <f>'VALOR POR PL'!D18</f>
        <v/>
      </c>
      <c r="D19" s="93">
        <f>IF(OR('VALOR POR PL'!I18&lt;&gt;"DIRETO",'CP RESUMO'!$C$12=""),"",IFERROR(INDEX('CP RESUMO'!$D$12:$BW$12,MATCH(DATE($D$5,12,1),'CP RESUMO'!$D$4:$BW$4,0))/100,""))</f>
        <v/>
      </c>
      <c r="E19" s="94">
        <f>IF('VALOR POR PL'!I18&lt;&gt;"DIRETO","",'TRANSPORTES'!$K$14)</f>
        <v/>
      </c>
      <c r="F19" s="95">
        <f>SUMPRODUCT((YEAR('TRANSPORTES'!$B$5:$B$76)=$D$5)*('TRANSPORTES'!$C$5:$C$76+'TRANSPORTES'!$D$5:$D$76))</f>
        <v/>
      </c>
      <c r="G19" s="95">
        <f>SUMPRODUCT((YEAR('MODELO PARA BI'!$H$1:$CA$1)=$D$5)*'MODELO PARA BI'!$H$46:$CA$46)</f>
        <v/>
      </c>
      <c r="H19" s="95">
        <f>IF(ISNUMBER($G$5),G19*$G$5,0)</f>
        <v/>
      </c>
      <c r="I19" s="93">
        <f>IF($F$53=0,0,F19/$F$53)</f>
        <v/>
      </c>
      <c r="J19" s="93">
        <f>IF('VALOR POR PL'!L18=0,0,SUMPRODUCT(('TRANSPORTES'!$B$5:$B$76&lt;=DATE($D$5,12,1))*('TRANSPORTES'!$C$5:$C$76+'TRANSPORTES'!$D$5:$D$76))/'VALOR POR PL'!L18)</f>
        <v/>
      </c>
      <c r="K19" s="96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7" t="n"/>
      <c r="M19" s="90">
        <f>'VALOR POR PL'!L18</f>
        <v/>
      </c>
      <c r="N19" s="90">
        <f>IF('VALOR POR PL'!I18="DIRETO",'VALOR POR PL'!L18,0)</f>
        <v/>
      </c>
    </row>
    <row r="20" ht="29.4" customHeight="1">
      <c r="B20" s="83">
        <f>'VALOR POR PL'!C19</f>
        <v/>
      </c>
      <c r="C20" s="84">
        <f>'VALOR POR PL'!D19</f>
        <v/>
      </c>
      <c r="D20" s="85">
        <f>IF(OR('VALOR POR PL'!I19&lt;&gt;"DIRETO",'CP RESUMO'!$C$13=""),"",IFERROR(INDEX('CP RESUMO'!$D$13:$BW$13,MATCH(DATE($D$5,12,1),'CP RESUMO'!$D$4:$BW$4,0))/100,""))</f>
        <v/>
      </c>
      <c r="E20" s="86">
        <f>IF('VALOR POR PL'!I19&lt;&gt;"DIRETO","",'CONSULTORIAS'!$K$14)</f>
        <v/>
      </c>
      <c r="F20" s="87">
        <f>SUMPRODUCT((YEAR('CONSULTORIAS'!$B$5:$B$76)=$D$5)*('CONSULTORIAS'!$C$5:$C$76+'CONSULTORIAS'!$D$5:$D$76))</f>
        <v/>
      </c>
      <c r="G20" s="87">
        <f>SUMPRODUCT((YEAR('MODELO PARA BI'!$H$1:$CA$1)=$D$5)*'MODELO PARA BI'!$H$4:$CA$4)</f>
        <v/>
      </c>
      <c r="H20" s="87">
        <f>IF(ISNUMBER($G$5),G20*$G$5,0)</f>
        <v/>
      </c>
      <c r="I20" s="85">
        <f>IF($F$53=0,0,F20/$F$53)</f>
        <v/>
      </c>
      <c r="J20" s="85">
        <f>IF('VALOR POR PL'!L19=0,0,SUMPRODUCT(('CONSULTORIAS'!$B$5:$B$76&lt;=DATE($D$5,12,1))*('CONSULTORIAS'!$C$5:$C$76+'CONSULTORIAS'!$D$5:$D$76))/'VALOR POR PL'!L19)</f>
        <v/>
      </c>
      <c r="K20" s="88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9" t="n"/>
      <c r="M20" s="90">
        <f>'VALOR POR PL'!L19</f>
        <v/>
      </c>
      <c r="N20" s="90">
        <f>IF('VALOR POR PL'!I19="DIRETO",'VALOR POR PL'!L19,0)</f>
        <v/>
      </c>
    </row>
    <row r="21" ht="29.4" customHeight="1">
      <c r="B21" s="91">
        <f>'VALOR POR PL'!C20</f>
        <v/>
      </c>
      <c r="C21" s="92">
        <f>'VALOR POR PL'!D20</f>
        <v/>
      </c>
      <c r="D21" s="93">
        <f>IF(OR('VALOR POR PL'!I20&lt;&gt;"DIRETO",'CP RESUMO'!$C$14=""),"",IFERROR(INDEX('CP RESUMO'!$D$14:$BW$14,MATCH(DATE($D$5,12,1),'CP RESUMO'!$D$4:$BW$4,0))/100,""))</f>
        <v/>
      </c>
      <c r="E21" s="94">
        <f>IF('VALOR POR PL'!I20&lt;&gt;"DIRETO","",'MDO'!$K$14)</f>
        <v/>
      </c>
      <c r="F21" s="95">
        <f>SUMPRODUCT((YEAR('MDO'!$B$5:$B$76)=$D$5)*('MDO'!$C$5:$C$76+'MDO'!$D$5:$D$76))</f>
        <v/>
      </c>
      <c r="G21" s="95">
        <f>SUMPRODUCT((YEAR('MODELO PARA BI'!$H$1:$CA$1)=$D$5)*'MODELO PARA BI'!$H$49:$CA$49)</f>
        <v/>
      </c>
      <c r="H21" s="95">
        <f>IF(ISNUMBER($G$5),G21*$G$5,0)</f>
        <v/>
      </c>
      <c r="I21" s="93">
        <f>IF($F$53=0,0,F21/$F$53)</f>
        <v/>
      </c>
      <c r="J21" s="93">
        <f>IF('VALOR POR PL'!L20=0,0,SUMPRODUCT(('MDO'!$B$5:$B$76&lt;=DATE($D$5,12,1))*('MDO'!$C$5:$C$76+'MDO'!$D$5:$D$76))/'VALOR POR PL'!L20)</f>
        <v/>
      </c>
      <c r="K21" s="96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7" t="n"/>
      <c r="M21" s="90">
        <f>'VALOR POR PL'!L20</f>
        <v/>
      </c>
      <c r="N21" s="90">
        <f>IF('VALOR POR PL'!I20="DIRETO",'VALOR POR PL'!L20,0)</f>
        <v/>
      </c>
    </row>
    <row r="22" ht="29.4" customHeight="1">
      <c r="B22" s="83">
        <f>'VALOR POR PL'!C21</f>
        <v/>
      </c>
      <c r="C22" s="84">
        <f>'VALOR POR PL'!D21</f>
        <v/>
      </c>
      <c r="D22" s="85">
        <f>IF(OR('VALOR POR PL'!I21&lt;&gt;"DIRETO",'CP RESUMO'!$C$15=""),"",IFERROR(INDEX('CP RESUMO'!$D$15:$BW$15,MATCH(DATE($D$5,12,1),'CP RESUMO'!$D$4:$BW$4,0))/100,""))</f>
        <v/>
      </c>
      <c r="E22" s="86">
        <f>IF('VALOR POR PL'!I21&lt;&gt;"DIRETO","",'EQUIP E FER'!$K$14)</f>
        <v/>
      </c>
      <c r="F22" s="87">
        <f>SUMPRODUCT((YEAR('EQUIP E FER'!$B$5:$B$76)=$D$5)*('EQUIP E FER'!$C$5:$C$76+'EQUIP E FER'!$D$5:$D$76))</f>
        <v/>
      </c>
      <c r="G22" s="87">
        <f>SUMPRODUCT((YEAR('MODELO PARA BI'!$H$1:$CA$1)=$D$5)*'MODELO PARA BI'!$H$11:$CA$11)</f>
        <v/>
      </c>
      <c r="H22" s="87">
        <f>IF(ISNUMBER($G$5),G22*$G$5,0)</f>
        <v/>
      </c>
      <c r="I22" s="85">
        <f>IF($F$53=0,0,F22/$F$53)</f>
        <v/>
      </c>
      <c r="J22" s="85">
        <f>IF('VALOR POR PL'!L21=0,0,SUMPRODUCT(('EQUIP E FER'!$B$5:$B$76&lt;=DATE($D$5,12,1))*('EQUIP E FER'!$C$5:$C$76+'EQUIP E FER'!$D$5:$D$76))/'VALOR POR PL'!L21)</f>
        <v/>
      </c>
      <c r="K22" s="88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9" t="n"/>
      <c r="M22" s="90">
        <f>'VALOR POR PL'!L21</f>
        <v/>
      </c>
      <c r="N22" s="90">
        <f>IF('VALOR POR PL'!I21="DIRETO",'VALOR POR PL'!L21,0)</f>
        <v/>
      </c>
    </row>
    <row r="23" ht="29.4" customHeight="1">
      <c r="B23" s="98" t="inlineStr">
        <is>
          <t>01 a 11</t>
        </is>
      </c>
      <c r="C23" s="99" t="inlineStr">
        <is>
          <t>INDIRETOS</t>
        </is>
      </c>
      <c r="D23" s="100">
        <f>IFERROR(SUMPRODUCT(D12:D22,N12:N22)/SUMPRODUCT(ISNUMBER(D12:D22)*N12:N22),"")</f>
        <v/>
      </c>
      <c r="E23" s="100">
        <f>IFERROR(SUMPRODUCT(E12:E22,N12:N22)/SUMPRODUCT(ISNUMBER(E12:E22)*N12:N22),"")</f>
        <v/>
      </c>
      <c r="F23" s="101">
        <f>SUM(F12:F22)</f>
        <v/>
      </c>
      <c r="G23" s="101">
        <f>SUM(G12:G22)</f>
        <v/>
      </c>
      <c r="H23" s="101">
        <f>SUM(H12:H22)</f>
        <v/>
      </c>
      <c r="I23" s="100">
        <f>IF($F$53=0,0,F23/$F$53)</f>
        <v/>
      </c>
      <c r="J23" s="100">
        <f>IFERROR(SUMPRODUCT(J12:J22,M12:M22)/SUM(M12:M22),0)</f>
        <v/>
      </c>
      <c r="K23" s="102" t="n"/>
      <c r="L23" s="102" t="n"/>
      <c r="M23">
        <f>SUM(M12:M22)</f>
        <v/>
      </c>
      <c r="N23">
        <f>SUM(N12:N22)</f>
        <v/>
      </c>
    </row>
    <row r="24" ht="29.4" customHeight="1">
      <c r="B24" s="83">
        <f>'VALOR POR PL'!C22</f>
        <v/>
      </c>
      <c r="C24" s="84">
        <f>'VALOR POR PL'!D22</f>
        <v/>
      </c>
      <c r="D24" s="85">
        <f>IF(OR('VALOR POR PL'!I22&lt;&gt;"DIRETO",'CP RESUMO'!$C$16=""),"",IFERROR(INDEX('CP RESUMO'!$D$16:$BW$16,MATCH(DATE($D$5,12,1),'CP RESUMO'!$D$4:$BW$4,0))/100,""))</f>
        <v/>
      </c>
      <c r="E24" s="86">
        <f>IF('VALOR POR PL'!I22&lt;&gt;"DIRETO","",'SERV. INICIAIS'!$K$14)</f>
        <v/>
      </c>
      <c r="F24" s="87">
        <f>SUMPRODUCT((YEAR('SERV. INICIAIS'!$B$5:$B$76)=$D$5)*('SERV. INICIAIS'!$C$5:$C$76+'SERV. INICIAIS'!$D$5:$D$76))</f>
        <v/>
      </c>
      <c r="G24" s="87">
        <f>SUMPRODUCT((YEAR('MODELO PARA BI'!$H$1:$CA$1)=$D$5)*'MODELO PARA BI'!$H$52:$CA$52)</f>
        <v/>
      </c>
      <c r="H24" s="87">
        <f>IF(ISNUMBER($G$5),G24*$G$5,0)</f>
        <v/>
      </c>
      <c r="I24" s="85">
        <f>IF($F$53=0,0,F24/$F$53)</f>
        <v/>
      </c>
      <c r="J24" s="85">
        <f>IF('VALOR POR PL'!L22=0,0,SUMPRODUCT(('SERV. INICIAIS'!$B$5:$B$76&lt;=DATE($D$5,12,1))*('SERV. INICIAIS'!$C$5:$C$76+'SERV. INICIAIS'!$D$5:$D$76))/'VALOR POR PL'!L22)</f>
        <v/>
      </c>
      <c r="K24" s="88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9" t="n"/>
      <c r="M24" s="90">
        <f>'VALOR POR PL'!L22</f>
        <v/>
      </c>
      <c r="N24" s="90">
        <f>IF('VALOR POR PL'!I22="DIRETO",'VALOR POR PL'!L22,0)</f>
        <v/>
      </c>
    </row>
    <row r="25" ht="29.4" customHeight="1">
      <c r="B25" s="91">
        <f>'VALOR POR PL'!C23</f>
        <v/>
      </c>
      <c r="C25" s="92">
        <f>'VALOR POR PL'!D23</f>
        <v/>
      </c>
      <c r="D25" s="93">
        <f>IF(OR('VALOR POR PL'!I23&lt;&gt;"DIRETO",'CP RESUMO'!$C$17=""),"",IFERROR(INDEX('CP RESUMO'!$D$17:$BW$17,MATCH(DATE($D$5,12,1),'CP RESUMO'!$D$4:$BW$4,0))/100,""))</f>
        <v/>
      </c>
      <c r="E25" s="94">
        <f>IF('VALOR POR PL'!I23&lt;&gt;"DIRETO","",'CONTENÇÃO'!$K$14)</f>
        <v/>
      </c>
      <c r="F25" s="95">
        <f>SUMPRODUCT((YEAR('CONTENÇÃO'!$B$5:$B$76)=$D$5)*('CONTENÇÃO'!$C$5:$C$76+'CONTENÇÃO'!$D$5:$D$76))</f>
        <v/>
      </c>
      <c r="G25" s="95">
        <f>SUMPRODUCT((YEAR('MODELO PARA BI'!$H$1:$CA$1)=$D$5)*'MODELO PARA BI'!$H$6:$CA$6)</f>
        <v/>
      </c>
      <c r="H25" s="95">
        <f>IF(ISNUMBER($G$5),G25*$G$5,0)</f>
        <v/>
      </c>
      <c r="I25" s="93">
        <f>IF($F$53=0,0,F25/$F$53)</f>
        <v/>
      </c>
      <c r="J25" s="93">
        <f>IF('VALOR POR PL'!L23=0,0,SUMPRODUCT(('CONTENÇÃO'!$B$5:$B$76&lt;=DATE($D$5,12,1))*('CONTENÇÃO'!$C$5:$C$76+'CONTENÇÃO'!$D$5:$D$76))/'VALOR POR PL'!L23)</f>
        <v/>
      </c>
      <c r="K25" s="96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7" t="n"/>
      <c r="M25" s="90">
        <f>'VALOR POR PL'!L23</f>
        <v/>
      </c>
      <c r="N25" s="90">
        <f>IF('VALOR POR PL'!I23="DIRETO",'VALOR POR PL'!L23,0)</f>
        <v/>
      </c>
    </row>
    <row r="26" ht="29.4" customHeight="1">
      <c r="B26" s="83">
        <f>'VALOR POR PL'!C24</f>
        <v/>
      </c>
      <c r="C26" s="84">
        <f>'VALOR POR PL'!D24</f>
        <v/>
      </c>
      <c r="D26" s="85">
        <f>IF(OR('VALOR POR PL'!I24&lt;&gt;"DIRETO",'CP RESUMO'!$C$18=""),"",IFERROR(INDEX('CP RESUMO'!$D$18:$BW$18,MATCH(DATE($D$5,12,1),'CP RESUMO'!$D$4:$BW$4,0))/100,""))</f>
        <v/>
      </c>
      <c r="E26" s="86">
        <f>IF('VALOR POR PL'!I24&lt;&gt;"DIRETO","",'TERRAPLENAGEM'!$K$14)</f>
        <v/>
      </c>
      <c r="F26" s="87">
        <f>SUMPRODUCT((YEAR('TERRAPLENAGEM'!$B$5:$B$76)=$D$5)*('TERRAPLENAGEM'!$C$5:$C$76+'TERRAPLENAGEM'!$D$5:$D$76))</f>
        <v/>
      </c>
      <c r="G26" s="87">
        <f>SUMPRODUCT((YEAR('MODELO PARA BI'!$H$1:$CA$1)=$D$5)*'MODELO PARA BI'!$H$44:$CA$44)</f>
        <v/>
      </c>
      <c r="H26" s="87">
        <f>IF(ISNUMBER($G$5),G26*$G$5,0)</f>
        <v/>
      </c>
      <c r="I26" s="85">
        <f>IF($F$53=0,0,F26/$F$53)</f>
        <v/>
      </c>
      <c r="J26" s="85">
        <f>IF('VALOR POR PL'!L24=0,0,SUMPRODUCT(('TERRAPLENAGEM'!$B$5:$B$76&lt;=DATE($D$5,12,1))*('TERRAPLENAGEM'!$C$5:$C$76+'TERRAPLENAGEM'!$D$5:$D$76))/'VALOR POR PL'!L24)</f>
        <v/>
      </c>
      <c r="K26" s="88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9" t="n"/>
      <c r="M26" s="90">
        <f>'VALOR POR PL'!L24</f>
        <v/>
      </c>
      <c r="N26" s="90">
        <f>IF('VALOR POR PL'!I24="DIRETO",'VALOR POR PL'!L24,0)</f>
        <v/>
      </c>
    </row>
    <row r="27" ht="29.4" customHeight="1">
      <c r="B27" s="91">
        <f>'VALOR POR PL'!C25</f>
        <v/>
      </c>
      <c r="C27" s="92">
        <f>'VALOR POR PL'!D25</f>
        <v/>
      </c>
      <c r="D27" s="93">
        <f>IF(OR('VALOR POR PL'!I25&lt;&gt;"DIRETO",'CP RESUMO'!$C$19=""),"",IFERROR(INDEX('CP RESUMO'!$D$19:$BW$19,MATCH(DATE($D$5,12,1),'CP RESUMO'!$D$4:$BW$4,0))/100,""))</f>
        <v/>
      </c>
      <c r="E27" s="94">
        <f>IF('VALOR POR PL'!I25&lt;&gt;"DIRETO","",'FUND. PROF'!$K$14)</f>
        <v/>
      </c>
      <c r="F27" s="95">
        <f>SUMPRODUCT((YEAR('FUND. PROF'!$B$5:$B$76)=$D$5)*('FUND. PROF'!$C$5:$C$76+'FUND. PROF'!$D$5:$D$76))</f>
        <v/>
      </c>
      <c r="G27" s="95">
        <f>SUMPRODUCT((YEAR('MODELO PARA BI'!$H$1:$CA$1)=$D$5)*'MODELO PARA BI'!$H$15:$CA$15)</f>
        <v/>
      </c>
      <c r="H27" s="95">
        <f>IF(ISNUMBER($G$5),G27*$G$5,0)</f>
        <v/>
      </c>
      <c r="I27" s="93">
        <f>IF($F$53=0,0,F27/$F$53)</f>
        <v/>
      </c>
      <c r="J27" s="93">
        <f>IF('VALOR POR PL'!L25=0,0,SUMPRODUCT(('FUND. PROF'!$B$5:$B$76&lt;=DATE($D$5,12,1))*('FUND. PROF'!$C$5:$C$76+'FUND. PROF'!$D$5:$D$76))/'VALOR POR PL'!L25)</f>
        <v/>
      </c>
      <c r="K27" s="96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7" t="n"/>
      <c r="M27" s="90">
        <f>'VALOR POR PL'!L25</f>
        <v/>
      </c>
      <c r="N27" s="90">
        <f>IF('VALOR POR PL'!I25="DIRETO",'VALOR POR PL'!L25,0)</f>
        <v/>
      </c>
    </row>
    <row r="28" ht="29.4" customHeight="1">
      <c r="B28" s="83">
        <f>'VALOR POR PL'!C26</f>
        <v/>
      </c>
      <c r="C28" s="84">
        <f>'VALOR POR PL'!D26</f>
        <v/>
      </c>
      <c r="D28" s="85">
        <f>IF(OR('VALOR POR PL'!I26&lt;&gt;"DIRETO",'CP RESUMO'!$C$20=""),"",IFERROR(INDEX('CP RESUMO'!$D$20:$BW$20,MATCH(DATE($D$5,12,1),'CP RESUMO'!$D$4:$BW$4,0))/100,""))</f>
        <v/>
      </c>
      <c r="E28" s="86">
        <f>IF('VALOR POR PL'!I26&lt;&gt;"DIRETO","",'FUND. SUP'!$K$14)</f>
        <v/>
      </c>
      <c r="F28" s="87">
        <f>SUMPRODUCT((YEAR('FUND. SUP'!$B$5:$B$76)=$D$5)*('FUND. SUP'!$C$5:$C$76+'FUND. SUP'!$D$5:$D$76))</f>
        <v/>
      </c>
      <c r="G28" s="87">
        <f>SUMPRODUCT((YEAR('MODELO PARA BI'!$H$1:$CA$1)=$D$5)*'MODELO PARA BI'!$H$16:$CA$16)</f>
        <v/>
      </c>
      <c r="H28" s="87">
        <f>IF(ISNUMBER($G$5),G28*$G$5,0)</f>
        <v/>
      </c>
      <c r="I28" s="85">
        <f>IF($F$53=0,0,F28/$F$53)</f>
        <v/>
      </c>
      <c r="J28" s="85">
        <f>IF('VALOR POR PL'!L26=0,0,SUMPRODUCT(('FUND. SUP'!$B$5:$B$76&lt;=DATE($D$5,12,1))*('FUND. SUP'!$C$5:$C$76+'FUND. SUP'!$D$5:$D$76))/'VALOR POR PL'!L26)</f>
        <v/>
      </c>
      <c r="K28" s="88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9" t="n"/>
      <c r="M28" s="90">
        <f>'VALOR POR PL'!L26</f>
        <v/>
      </c>
      <c r="N28" s="90">
        <f>IF('VALOR POR PL'!I26="DIRETO",'VALOR POR PL'!L26,0)</f>
        <v/>
      </c>
    </row>
    <row r="29" ht="29.4" customHeight="1">
      <c r="B29" s="98" t="inlineStr">
        <is>
          <t>12 a 16</t>
        </is>
      </c>
      <c r="C29" s="99" t="inlineStr">
        <is>
          <t>SERVIÇOS INICIAIS, CONTENÇÃO, TERRAPLENAGEM E FUNDAÇÕES</t>
        </is>
      </c>
      <c r="D29" s="100">
        <f>IFERROR(SUMPRODUCT(D24:D28,N24:N28)/SUMPRODUCT(ISNUMBER(D24:D28)*N24:N28),"")</f>
        <v/>
      </c>
      <c r="E29" s="100">
        <f>IFERROR(SUMPRODUCT(E24:E28,N24:N28)/SUMPRODUCT(ISNUMBER(E24:E28)*N24:N28),"")</f>
        <v/>
      </c>
      <c r="F29" s="101">
        <f>SUM(F24:F28)</f>
        <v/>
      </c>
      <c r="G29" s="101">
        <f>SUM(G24:G28)</f>
        <v/>
      </c>
      <c r="H29" s="101">
        <f>SUM(H24:H28)</f>
        <v/>
      </c>
      <c r="I29" s="100">
        <f>IF($F$53=0,0,F29/$F$53)</f>
        <v/>
      </c>
      <c r="J29" s="100">
        <f>IFERROR(SUMPRODUCT(J24:J28,M24:M28)/SUM(M24:M28),0)</f>
        <v/>
      </c>
      <c r="K29" s="102" t="n"/>
      <c r="L29" s="102" t="n"/>
      <c r="M29">
        <f>SUM(M24:M28)</f>
        <v/>
      </c>
      <c r="N29">
        <f>SUM(N24:N28)</f>
        <v/>
      </c>
    </row>
    <row r="30" ht="29.4" customHeight="1">
      <c r="B30" s="83">
        <f>'VALOR POR PL'!C27</f>
        <v/>
      </c>
      <c r="C30" s="84">
        <f>'VALOR POR PL'!D27</f>
        <v/>
      </c>
      <c r="D30" s="85">
        <f>IF(OR('VALOR POR PL'!I27&lt;&gt;"DIRETO",'CP RESUMO'!$C$21=""),"",IFERROR(INDEX('CP RESUMO'!$D$21:$BW$21,MATCH(DATE($D$5,12,1),'CP RESUMO'!$D$4:$BW$4,0))/100,""))</f>
        <v/>
      </c>
      <c r="E30" s="86">
        <f>IF('VALOR POR PL'!I27&lt;&gt;"DIRETO","",'ESTRUTURA'!$K$14)</f>
        <v/>
      </c>
      <c r="F30" s="87">
        <f>SUMPRODUCT((YEAR('ESTRUTURA'!$B$5:$B$76)=$D$5)*('ESTRUTURA'!$C$5:$C$76+'ESTRUTURA'!$D$5:$D$76))</f>
        <v/>
      </c>
      <c r="G30" s="87">
        <f>SUMPRODUCT((YEAR('MODELO PARA BI'!$H$1:$CA$1)=$D$5)*'MODELO PARA BI'!$H$13:$CA$13)</f>
        <v/>
      </c>
      <c r="H30" s="87">
        <f>IF(ISNUMBER($G$5),G30*$G$5,0)</f>
        <v/>
      </c>
      <c r="I30" s="85">
        <f>IF($F$53=0,0,F30/$F$53)</f>
        <v/>
      </c>
      <c r="J30" s="85">
        <f>IF('VALOR POR PL'!L27=0,0,SUMPRODUCT(('ESTRUTURA'!$B$5:$B$76&lt;=DATE($D$5,12,1))*('ESTRUTURA'!$C$5:$C$76+'ESTRUTURA'!$D$5:$D$76))/'VALOR POR PL'!L27)</f>
        <v/>
      </c>
      <c r="K30" s="88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9" t="n"/>
      <c r="M30" s="90">
        <f>'VALOR POR PL'!L27</f>
        <v/>
      </c>
      <c r="N30" s="90">
        <f>IF('VALOR POR PL'!I27="DIRETO",'VALOR POR PL'!L27,0)</f>
        <v/>
      </c>
    </row>
    <row r="31" ht="29.4" customHeight="1">
      <c r="B31" s="91">
        <f>'VALOR POR PL'!C28</f>
        <v/>
      </c>
      <c r="C31" s="92">
        <f>'VALOR POR PL'!D28</f>
        <v/>
      </c>
      <c r="D31" s="93">
        <f>IF(OR('VALOR POR PL'!I28&lt;&gt;"DIRETO",'CP RESUMO'!$C$22=""),"",IFERROR(INDEX('CP RESUMO'!$D$22:$BW$22,MATCH(DATE($D$5,12,1),'CP RESUMO'!$D$4:$BW$4,0))/100,""))</f>
        <v/>
      </c>
      <c r="E31" s="94">
        <f>IF('VALOR POR PL'!I28&lt;&gt;"DIRETO","",'ALVENARIA'!$K$14)</f>
        <v/>
      </c>
      <c r="F31" s="95">
        <f>SUMPRODUCT((YEAR('ALVENARIA'!$B$5:$B$76)=$D$5)*('ALVENARIA'!$C$5:$C$76+'ALVENARIA'!$D$5:$D$76))</f>
        <v/>
      </c>
      <c r="G31" s="95">
        <f>SUMPRODUCT((YEAR('MODELO PARA BI'!$H$1:$CA$1)=$D$5)*'MODELO PARA BI'!$H$2:$CA$2)</f>
        <v/>
      </c>
      <c r="H31" s="95">
        <f>IF(ISNUMBER($G$5),G31*$G$5,0)</f>
        <v/>
      </c>
      <c r="I31" s="93">
        <f>IF($F$53=0,0,F31/$F$53)</f>
        <v/>
      </c>
      <c r="J31" s="93">
        <f>IF('VALOR POR PL'!L28=0,0,SUMPRODUCT(('ALVENARIA'!$B$5:$B$76&lt;=DATE($D$5,12,1))*('ALVENARIA'!$C$5:$C$76+'ALVENARIA'!$D$5:$D$76))/'VALOR POR PL'!L28)</f>
        <v/>
      </c>
      <c r="K31" s="96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7" t="n"/>
      <c r="M31" s="90">
        <f>'VALOR POR PL'!L28</f>
        <v/>
      </c>
      <c r="N31" s="90">
        <f>IF('VALOR POR PL'!I28="DIRETO",'VALOR POR PL'!L28,0)</f>
        <v/>
      </c>
    </row>
    <row r="32" ht="29.4" customHeight="1">
      <c r="B32" s="83">
        <f>'VALOR POR PL'!C29</f>
        <v/>
      </c>
      <c r="C32" s="84">
        <f>'VALOR POR PL'!D29</f>
        <v/>
      </c>
      <c r="D32" s="85">
        <f>IF(OR('VALOR POR PL'!I29&lt;&gt;"DIRETO",'CP RESUMO'!$C$23=""),"",IFERROR(INDEX('CP RESUMO'!$D$23:$BW$23,MATCH(DATE($D$5,12,1),'CP RESUMO'!$D$4:$BW$4,0))/100,""))</f>
        <v/>
      </c>
      <c r="E32" s="86">
        <f>IF('VALOR POR PL'!I29&lt;&gt;"DIRETO","",'IMPERMEABILIZAÇÃO'!$K$14)</f>
        <v/>
      </c>
      <c r="F32" s="87">
        <f>SUMPRODUCT((YEAR('IMPERMEABILIZAÇÃO'!$B$5:$B$76)=$D$5)*('IMPERMEABILIZAÇÃO'!$C$5:$C$76+'IMPERMEABILIZAÇÃO'!$D$5:$D$76))</f>
        <v/>
      </c>
      <c r="G32" s="87">
        <f>SUMPRODUCT((YEAR('MODELO PARA BI'!$H$1:$CA$1)=$D$5)*'MODELO PARA BI'!$H$17:$CA$17)</f>
        <v/>
      </c>
      <c r="H32" s="87">
        <f>IF(ISNUMBER($G$5),G32*$G$5,0)</f>
        <v/>
      </c>
      <c r="I32" s="85">
        <f>IF($F$53=0,0,F32/$F$53)</f>
        <v/>
      </c>
      <c r="J32" s="85">
        <f>IF('VALOR POR PL'!L29=0,0,SUMPRODUCT(('IMPERMEABILIZAÇÃO'!$B$5:$B$76&lt;=DATE($D$5,12,1))*('IMPERMEABILIZAÇÃO'!$C$5:$C$76+'IMPERMEABILIZAÇÃO'!$D$5:$D$76))/'VALOR POR PL'!L29)</f>
        <v/>
      </c>
      <c r="K32" s="88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9" t="n"/>
      <c r="M32" s="90">
        <f>'VALOR POR PL'!L29</f>
        <v/>
      </c>
      <c r="N32" s="90">
        <f>IF('VALOR POR PL'!I29="DIRETO",'VALOR POR PL'!L29,0)</f>
        <v/>
      </c>
    </row>
    <row r="33" ht="29.4" customHeight="1">
      <c r="B33" s="91">
        <f>'VALOR POR PL'!C30</f>
        <v/>
      </c>
      <c r="C33" s="92">
        <f>'VALOR POR PL'!D30</f>
        <v/>
      </c>
      <c r="D33" s="93">
        <f>IF(OR('VALOR POR PL'!I30&lt;&gt;"DIRETO",'CP RESUMO'!$C$24=""),"",IFERROR(INDEX('CP RESUMO'!$D$24:$BW$24,MATCH(DATE($D$5,12,1),'CP RESUMO'!$D$4:$BW$4,0))/100,""))</f>
        <v/>
      </c>
      <c r="E33" s="94">
        <f>IF('VALOR POR PL'!I30&lt;&gt;"DIRETO","",'INST. ELÉTRICA'!$K$14)</f>
        <v/>
      </c>
      <c r="F33" s="95">
        <f>SUMPRODUCT((YEAR('INST. ELÉTRICA'!$B$5:$B$76)=$D$5)*('INST. ELÉTRICA'!$C$5:$C$76+'INST. ELÉTRICA'!$D$5:$D$76))</f>
        <v/>
      </c>
      <c r="G33" s="95">
        <f>SUMPRODUCT((YEAR('MODELO PARA BI'!$H$1:$CA$1)=$D$5)*'MODELO PARA BI'!$H$19:$CA$19)</f>
        <v/>
      </c>
      <c r="H33" s="95">
        <f>IF(ISNUMBER($G$5),G33*$G$5,0)</f>
        <v/>
      </c>
      <c r="I33" s="93">
        <f>IF($F$53=0,0,F33/$F$53)</f>
        <v/>
      </c>
      <c r="J33" s="93">
        <f>IF('VALOR POR PL'!L30=0,0,SUMPRODUCT(('INST. ELÉTRICA'!$B$5:$B$76&lt;=DATE($D$5,12,1))*('INST. ELÉTRICA'!$C$5:$C$76+'INST. ELÉTRICA'!$D$5:$D$76))/'VALOR POR PL'!L30)</f>
        <v/>
      </c>
      <c r="K33" s="96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7" t="n"/>
      <c r="M33" s="90">
        <f>'VALOR POR PL'!L30</f>
        <v/>
      </c>
      <c r="N33" s="90">
        <f>IF('VALOR POR PL'!I30="DIRETO",'VALOR POR PL'!L30,0)</f>
        <v/>
      </c>
    </row>
    <row r="34" ht="29.4" customHeight="1">
      <c r="B34" s="83">
        <f>'VALOR POR PL'!C31</f>
        <v/>
      </c>
      <c r="C34" s="84">
        <f>'VALOR POR PL'!D31</f>
        <v/>
      </c>
      <c r="D34" s="85">
        <f>IF(OR('VALOR POR PL'!I31&lt;&gt;"DIRETO",'CP RESUMO'!$C$25=""),"",IFERROR(INDEX('CP RESUMO'!$D$25:$BW$25,MATCH(DATE($D$5,12,1),'CP RESUMO'!$D$4:$BW$4,0))/100,""))</f>
        <v/>
      </c>
      <c r="E34" s="86">
        <f>IF('VALOR POR PL'!I31&lt;&gt;"DIRETO","",'INST. HIDRO'!$K$14)</f>
        <v/>
      </c>
      <c r="F34" s="87">
        <f>SUMPRODUCT((YEAR('INST. HIDRO'!$B$5:$B$76)=$D$5)*('INST. HIDRO'!$C$5:$C$76+'INST. HIDRO'!$D$5:$D$76))</f>
        <v/>
      </c>
      <c r="G34" s="87">
        <f>SUMPRODUCT((YEAR('MODELO PARA BI'!$H$1:$CA$1)=$D$5)*'MODELO PARA BI'!$H$21:$CA$21)</f>
        <v/>
      </c>
      <c r="H34" s="87">
        <f>IF(ISNUMBER($G$5),G34*$G$5,0)</f>
        <v/>
      </c>
      <c r="I34" s="85">
        <f>IF($F$53=0,0,F34/$F$53)</f>
        <v/>
      </c>
      <c r="J34" s="85">
        <f>IF('VALOR POR PL'!L31=0,0,SUMPRODUCT(('INST. HIDRO'!$B$5:$B$76&lt;=DATE($D$5,12,1))*('INST. HIDRO'!$C$5:$C$76+'INST. HIDRO'!$D$5:$D$76))/'VALOR POR PL'!L31)</f>
        <v/>
      </c>
      <c r="K34" s="88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9" t="n"/>
      <c r="M34" s="90">
        <f>'VALOR POR PL'!L31</f>
        <v/>
      </c>
      <c r="N34" s="90">
        <f>IF('VALOR POR PL'!I31="DIRETO",'VALOR POR PL'!L31,0)</f>
        <v/>
      </c>
    </row>
    <row r="35" ht="29.4" customHeight="1">
      <c r="B35" s="91">
        <f>'VALOR POR PL'!C32</f>
        <v/>
      </c>
      <c r="C35" s="92">
        <f>'VALOR POR PL'!D32</f>
        <v/>
      </c>
      <c r="D35" s="93">
        <f>IF(OR('VALOR POR PL'!I32&lt;&gt;"DIRETO",'CP RESUMO'!$C$26=""),"",IFERROR(INDEX('CP RESUMO'!$D$26:$BW$26,MATCH(DATE($D$5,12,1),'CP RESUMO'!$D$4:$BW$4,0))/100,""))</f>
        <v/>
      </c>
      <c r="E35" s="94">
        <f>IF('VALOR POR PL'!I32&lt;&gt;"DIRETO","",'INST. INC'!$K$14)</f>
        <v/>
      </c>
      <c r="F35" s="95">
        <f>SUMPRODUCT((YEAR('INST. INC'!$B$5:$B$76)=$D$5)*('INST. INC'!$C$5:$C$76+'INST. INC'!$D$5:$D$76))</f>
        <v/>
      </c>
      <c r="G35" s="95">
        <f>SUMPRODUCT((YEAR('MODELO PARA BI'!$H$1:$CA$1)=$D$5)*'MODELO PARA BI'!$H$18:$CA$18)</f>
        <v/>
      </c>
      <c r="H35" s="95">
        <f>IF(ISNUMBER($G$5),G35*$G$5,0)</f>
        <v/>
      </c>
      <c r="I35" s="93">
        <f>IF($F$53=0,0,F35/$F$53)</f>
        <v/>
      </c>
      <c r="J35" s="93">
        <f>IF('VALOR POR PL'!L32=0,0,SUMPRODUCT(('INST. INC'!$B$5:$B$76&lt;=DATE($D$5,12,1))*('INST. INC'!$C$5:$C$76+'INST. INC'!$D$5:$D$76))/'VALOR POR PL'!L32)</f>
        <v/>
      </c>
      <c r="K35" s="96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7" t="n"/>
      <c r="M35" s="90">
        <f>'VALOR POR PL'!L32</f>
        <v/>
      </c>
      <c r="N35" s="90">
        <f>IF('VALOR POR PL'!I32="DIRETO",'VALOR POR PL'!L32,0)</f>
        <v/>
      </c>
    </row>
    <row r="36" ht="29.4" customHeight="1">
      <c r="B36" s="83">
        <f>'VALOR POR PL'!C33</f>
        <v/>
      </c>
      <c r="C36" s="84">
        <f>'VALOR POR PL'!D33</f>
        <v/>
      </c>
      <c r="D36" s="85">
        <f>IF(OR('VALOR POR PL'!I33&lt;&gt;"DIRETO",'CP RESUMO'!$C$27=""),"",IFERROR(INDEX('CP RESUMO'!$D$27:$BW$27,MATCH(DATE($D$5,12,1),'CP RESUMO'!$D$4:$BW$4,0))/100,""))</f>
        <v/>
      </c>
      <c r="E36" s="86">
        <f>IF('VALOR POR PL'!I33&lt;&gt;"DIRETO","",'INST. ESP'!$K$14)</f>
        <v/>
      </c>
      <c r="F36" s="87">
        <f>SUMPRODUCT((YEAR('INST. ESP'!$B$5:$B$76)=$D$5)*('INST. ESP'!$C$5:$C$76+'INST. ESP'!$D$5:$D$76))</f>
        <v/>
      </c>
      <c r="G36" s="87">
        <f>SUMPRODUCT((YEAR('MODELO PARA BI'!$H$1:$CA$1)=$D$5)*'MODELO PARA BI'!$H$20:$CA$20)</f>
        <v/>
      </c>
      <c r="H36" s="87">
        <f>IF(ISNUMBER($G$5),G36*$G$5,0)</f>
        <v/>
      </c>
      <c r="I36" s="85">
        <f>IF($F$53=0,0,F36/$F$53)</f>
        <v/>
      </c>
      <c r="J36" s="85">
        <f>IF('VALOR POR PL'!L33=0,0,SUMPRODUCT(('INST. ESP'!$B$5:$B$76&lt;=DATE($D$5,12,1))*('INST. ESP'!$C$5:$C$76+'INST. ESP'!$D$5:$D$76))/'VALOR POR PL'!L33)</f>
        <v/>
      </c>
      <c r="K36" s="88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9" t="n"/>
      <c r="M36" s="90">
        <f>'VALOR POR PL'!L33</f>
        <v/>
      </c>
      <c r="N36" s="90">
        <f>IF('VALOR POR PL'!I33="DIRETO",'VALOR POR PL'!L33,0)</f>
        <v/>
      </c>
    </row>
    <row r="37" ht="29.4" customHeight="1">
      <c r="B37" s="91">
        <f>'VALOR POR PL'!C34</f>
        <v/>
      </c>
      <c r="C37" s="92">
        <f>'VALOR POR PL'!D34</f>
        <v/>
      </c>
      <c r="D37" s="93">
        <f>IF(OR('VALOR POR PL'!I34&lt;&gt;"DIRETO",'CP RESUMO'!$C$28=""),"",IFERROR(INDEX('CP RESUMO'!$D$28:$BW$28,MATCH(DATE($D$5,12,1),'CP RESUMO'!$D$4:$BW$4,0))/100,""))</f>
        <v/>
      </c>
      <c r="E37" s="94">
        <f>IF('VALOR POR PL'!I34&lt;&gt;"DIRETO","",'ELEVADORES '!$K$14)</f>
        <v/>
      </c>
      <c r="F37" s="95">
        <f>SUMPRODUCT((YEAR('ELEVADORES '!$B$5:$B$76)=$D$5)*('ELEVADORES '!$C$5:$C$76+'ELEVADORES '!$D$5:$D$76))</f>
        <v/>
      </c>
      <c r="G37" s="95">
        <f>SUMPRODUCT((YEAR('MODELO PARA BI'!$H$1:$CA$1)=$D$5)*'MODELO PARA BI'!$H$10:$CA$10)</f>
        <v/>
      </c>
      <c r="H37" s="95">
        <f>IF(ISNUMBER($G$5),G37*$G$5,0)</f>
        <v/>
      </c>
      <c r="I37" s="93">
        <f>IF($F$53=0,0,F37/$F$53)</f>
        <v/>
      </c>
      <c r="J37" s="93">
        <f>IF('VALOR POR PL'!L34=0,0,SUMPRODUCT(('ELEVADORES '!$B$5:$B$76&lt;=DATE($D$5,12,1))*('ELEVADORES '!$C$5:$C$76+'ELEVADORES '!$D$5:$D$76))/'VALOR POR PL'!L34)</f>
        <v/>
      </c>
      <c r="K37" s="96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7" t="n"/>
      <c r="M37" s="90">
        <f>'VALOR POR PL'!L34</f>
        <v/>
      </c>
      <c r="N37" s="90">
        <f>IF('VALOR POR PL'!I34="DIRETO",'VALOR POR PL'!L34,0)</f>
        <v/>
      </c>
    </row>
    <row r="38" ht="29.4" customHeight="1">
      <c r="B38" s="83">
        <f>'VALOR POR PL'!C35</f>
        <v/>
      </c>
      <c r="C38" s="84">
        <f>'VALOR POR PL'!D35</f>
        <v/>
      </c>
      <c r="D38" s="85">
        <f>IF(OR('VALOR POR PL'!I35&lt;&gt;"DIRETO",'CP RESUMO'!$C$29=""),"",IFERROR(INDEX('CP RESUMO'!$D$29:$BW$29,MATCH(DATE($D$5,12,1),'CP RESUMO'!$D$4:$BW$4,0))/100,""))</f>
        <v/>
      </c>
      <c r="E38" s="86">
        <f>IF('VALOR POR PL'!I35&lt;&gt;"DIRETO","",'ESQUADRIAS'!$K$14)</f>
        <v/>
      </c>
      <c r="F38" s="87">
        <f>SUMPRODUCT((YEAR('ESQUADRIAS'!$B$5:$B$76)=$D$5)*('ESQUADRIAS'!$C$5:$C$76+'ESQUADRIAS'!$D$5:$D$76))</f>
        <v/>
      </c>
      <c r="G38" s="87">
        <f>SUMPRODUCT((YEAR('MODELO PARA BI'!$H$1:$CA$1)=$D$5)*'MODELO PARA BI'!$H$12:$CA$12)</f>
        <v/>
      </c>
      <c r="H38" s="87">
        <f>IF(ISNUMBER($G$5),G38*$G$5,0)</f>
        <v/>
      </c>
      <c r="I38" s="85">
        <f>IF($F$53=0,0,F38/$F$53)</f>
        <v/>
      </c>
      <c r="J38" s="85">
        <f>IF('VALOR POR PL'!L35=0,0,SUMPRODUCT(('ESQUADRIAS'!$B$5:$B$76&lt;=DATE($D$5,12,1))*('ESQUADRIAS'!$C$5:$C$76+'ESQUADRIAS'!$D$5:$D$76))/'VALOR POR PL'!L35)</f>
        <v/>
      </c>
      <c r="K38" s="88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9" t="n"/>
      <c r="M38" s="90">
        <f>'VALOR POR PL'!L35</f>
        <v/>
      </c>
      <c r="N38" s="90">
        <f>IF('VALOR POR PL'!I35="DIRETO",'VALOR POR PL'!L35,0)</f>
        <v/>
      </c>
    </row>
    <row r="39" ht="29.4" customHeight="1">
      <c r="B39" s="91">
        <f>'VALOR POR PL'!C36</f>
        <v/>
      </c>
      <c r="C39" s="92">
        <f>'VALOR POR PL'!D36</f>
        <v/>
      </c>
      <c r="D39" s="93">
        <f>IF(OR('VALOR POR PL'!I36&lt;&gt;"DIRETO",'CP RESUMO'!$C$30=""),"",IFERROR(INDEX('CP RESUMO'!$D$30:$BW$30,MATCH(DATE($D$5,12,1),'CP RESUMO'!$D$4:$BW$4,0))/100,""))</f>
        <v/>
      </c>
      <c r="E39" s="94">
        <f>IF('VALOR POR PL'!I36&lt;&gt;"DIRETO","",'SERRALHERIA'!$K$14)</f>
        <v/>
      </c>
      <c r="F39" s="95">
        <f>SUMPRODUCT((YEAR('SERRALHERIA'!$B$5:$B$76)=$D$5)*('SERRALHERIA'!$C$5:$C$76+'SERRALHERIA'!$D$5:$D$76))</f>
        <v/>
      </c>
      <c r="G39" s="95">
        <f>SUMPRODUCT((YEAR('MODELO PARA BI'!$H$1:$CA$1)=$D$5)*'MODELO PARA BI'!$H$41:$CA$41)</f>
        <v/>
      </c>
      <c r="H39" s="95">
        <f>IF(ISNUMBER($G$5),G39*$G$5,0)</f>
        <v/>
      </c>
      <c r="I39" s="93">
        <f>IF($F$53=0,0,F39/$F$53)</f>
        <v/>
      </c>
      <c r="J39" s="93">
        <f>IF('VALOR POR PL'!L36=0,0,SUMPRODUCT(('SERRALHERIA'!$B$5:$B$76&lt;=DATE($D$5,12,1))*('SERRALHERIA'!$C$5:$C$76+'SERRALHERIA'!$D$5:$D$76))/'VALOR POR PL'!L36)</f>
        <v/>
      </c>
      <c r="K39" s="96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7" t="n"/>
      <c r="M39" s="90">
        <f>'VALOR POR PL'!L36</f>
        <v/>
      </c>
      <c r="N39" s="90">
        <f>IF('VALOR POR PL'!I36="DIRETO",'VALOR POR PL'!L36,0)</f>
        <v/>
      </c>
    </row>
    <row r="40" ht="29.4" customHeight="1">
      <c r="B40" s="83">
        <f>'VALOR POR PL'!C37</f>
        <v/>
      </c>
      <c r="C40" s="84">
        <f>'VALOR POR PL'!D37</f>
        <v/>
      </c>
      <c r="D40" s="85">
        <f>IF(OR('VALOR POR PL'!I37&lt;&gt;"DIRETO",'CP RESUMO'!$C$31=""),"",IFERROR(INDEX('CP RESUMO'!$D$31:$BW$31,MATCH(DATE($D$5,12,1),'CP RESUMO'!$D$4:$BW$4,0))/100,""))</f>
        <v/>
      </c>
      <c r="E40" s="86">
        <f>IF('VALOR POR PL'!I37&lt;&gt;"DIRETO","",'MARCENARIA'!$K$14)</f>
        <v/>
      </c>
      <c r="F40" s="87">
        <f>SUMPRODUCT((YEAR('MARCENARIA'!$B$5:$B$76)=$D$5)*('MARCENARIA'!$C$5:$C$76+'MARCENARIA'!$D$5:$D$76))</f>
        <v/>
      </c>
      <c r="G40" s="87">
        <f>SUMPRODUCT((YEAR('MODELO PARA BI'!$H$1:$CA$1)=$D$5)*'MODELO PARA BI'!$H$25:$CA$25)</f>
        <v/>
      </c>
      <c r="H40" s="87">
        <f>IF(ISNUMBER($G$5),G40*$G$5,0)</f>
        <v/>
      </c>
      <c r="I40" s="85">
        <f>IF($F$53=0,0,F40/$F$53)</f>
        <v/>
      </c>
      <c r="J40" s="85">
        <f>IF('VALOR POR PL'!L37=0,0,SUMPRODUCT(('MARCENARIA'!$B$5:$B$76&lt;=DATE($D$5,12,1))*('MARCENARIA'!$C$5:$C$76+'MARCENARIA'!$D$5:$D$76))/'VALOR POR PL'!L37)</f>
        <v/>
      </c>
      <c r="K40" s="88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9" t="n"/>
      <c r="M40" s="90">
        <f>'VALOR POR PL'!L37</f>
        <v/>
      </c>
      <c r="N40" s="90">
        <f>IF('VALOR POR PL'!I37="DIRETO",'VALOR POR PL'!L37,0)</f>
        <v/>
      </c>
    </row>
    <row r="41" ht="29.4" customHeight="1">
      <c r="B41" s="91">
        <f>'VALOR POR PL'!C38</f>
        <v/>
      </c>
      <c r="C41" s="92">
        <f>'VALOR POR PL'!D38</f>
        <v/>
      </c>
      <c r="D41" s="93">
        <f>IF(OR('VALOR POR PL'!I38&lt;&gt;"DIRETO",'CP RESUMO'!$C$32=""),"",IFERROR(INDEX('CP RESUMO'!$D$32:$BW$32,MATCH(DATE($D$5,12,1),'CP RESUMO'!$D$4:$BW$4,0))/100,""))</f>
        <v/>
      </c>
      <c r="E41" s="94">
        <f>IF('VALOR POR PL'!I38&lt;&gt;"DIRETO","",'REV. PISOS'!$K$14)</f>
        <v/>
      </c>
      <c r="F41" s="95">
        <f>SUMPRODUCT((YEAR('REV. PISOS'!$B$5:$B$76)=$D$5)*('REV. PISOS'!$C$5:$C$76+'REV. PISOS'!$D$5:$D$76))</f>
        <v/>
      </c>
      <c r="G41" s="95">
        <f>SUMPRODUCT((YEAR('MODELO PARA BI'!$H$1:$CA$1)=$D$5)*'MODELO PARA BI'!$H$33:$CA$33)</f>
        <v/>
      </c>
      <c r="H41" s="95">
        <f>IF(ISNUMBER($G$5),G41*$G$5,0)</f>
        <v/>
      </c>
      <c r="I41" s="93">
        <f>IF($F$53=0,0,F41/$F$53)</f>
        <v/>
      </c>
      <c r="J41" s="93">
        <f>IF('VALOR POR PL'!L38=0,0,SUMPRODUCT(('REV. PISOS'!$B$5:$B$76&lt;=DATE($D$5,12,1))*('REV. PISOS'!$C$5:$C$76+'REV. PISOS'!$D$5:$D$76))/'VALOR POR PL'!L38)</f>
        <v/>
      </c>
      <c r="K41" s="96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7" t="n"/>
      <c r="M41" s="90">
        <f>'VALOR POR PL'!L38</f>
        <v/>
      </c>
      <c r="N41" s="90">
        <f>IF('VALOR POR PL'!I38="DIRETO",'VALOR POR PL'!L38,0)</f>
        <v/>
      </c>
    </row>
    <row r="42" ht="29.4" customHeight="1">
      <c r="B42" s="83">
        <f>'VALOR POR PL'!C39</f>
        <v/>
      </c>
      <c r="C42" s="84">
        <f>'VALOR POR PL'!D39</f>
        <v/>
      </c>
      <c r="D42" s="85">
        <f>IF(OR('VALOR POR PL'!I39&lt;&gt;"DIRETO",'CP RESUMO'!$C$33=""),"",IFERROR(INDEX('CP RESUMO'!$D$33:$BW$33,MATCH(DATE($D$5,12,1),'CP RESUMO'!$D$4:$BW$4,0))/100,""))</f>
        <v/>
      </c>
      <c r="E42" s="86">
        <f>IF('VALOR POR PL'!I39&lt;&gt;"DIRETO","",'REV. PAREDE'!$K$14)</f>
        <v/>
      </c>
      <c r="F42" s="87">
        <f>SUMPRODUCT((YEAR('REV. PAREDE'!$B$5:$B$76)=$D$5)*('REV. PAREDE'!$C$5:$C$76+'REV. PAREDE'!$D$5:$D$76))</f>
        <v/>
      </c>
      <c r="G42" s="87">
        <f>SUMPRODUCT((YEAR('MODELO PARA BI'!$H$1:$CA$1)=$D$5)*'MODELO PARA BI'!$H$34:$CA$34)</f>
        <v/>
      </c>
      <c r="H42" s="87">
        <f>IF(ISNUMBER($G$5),G42*$G$5,0)</f>
        <v/>
      </c>
      <c r="I42" s="85">
        <f>IF($F$53=0,0,F42/$F$53)</f>
        <v/>
      </c>
      <c r="J42" s="85">
        <f>IF('VALOR POR PL'!L39=0,0,SUMPRODUCT(('REV. PAREDE'!$B$5:$B$76&lt;=DATE($D$5,12,1))*('REV. PAREDE'!$C$5:$C$76+'REV. PAREDE'!$D$5:$D$76))/'VALOR POR PL'!L39)</f>
        <v/>
      </c>
      <c r="K42" s="88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9" t="n"/>
      <c r="M42" s="90">
        <f>'VALOR POR PL'!L39</f>
        <v/>
      </c>
      <c r="N42" s="90">
        <f>IF('VALOR POR PL'!I39="DIRETO",'VALOR POR PL'!L39,0)</f>
        <v/>
      </c>
    </row>
    <row r="43" ht="29.4" customHeight="1">
      <c r="B43" s="91">
        <f>'VALOR POR PL'!C40</f>
        <v/>
      </c>
      <c r="C43" s="92">
        <f>'VALOR POR PL'!D40</f>
        <v/>
      </c>
      <c r="D43" s="93">
        <f>IF(OR('VALOR POR PL'!I40&lt;&gt;"DIRETO",'CP RESUMO'!$C$34=""),"",IFERROR(INDEX('CP RESUMO'!$D$34:$BW$34,MATCH(DATE($D$5,12,1),'CP RESUMO'!$D$4:$BW$4,0))/100,""))</f>
        <v/>
      </c>
      <c r="E43" s="94">
        <f>IF('VALOR POR PL'!I40&lt;&gt;"DIRETO","",'REV. ACAB'!$K$14)</f>
        <v/>
      </c>
      <c r="F43" s="95">
        <f>SUMPRODUCT((YEAR('REV. ACAB'!$B$5:$B$76)=$D$5)*('REV. ACAB'!$C$5:$C$76+'REV. ACAB'!$D$5:$D$76))</f>
        <v/>
      </c>
      <c r="G43" s="95">
        <f>SUMPRODUCT((YEAR('MODELO PARA BI'!$H$1:$CA$1)=$D$5)*'MODELO PARA BI'!$H$32:$CA$32)</f>
        <v/>
      </c>
      <c r="H43" s="95">
        <f>IF(ISNUMBER($G$5),G43*$G$5,0)</f>
        <v/>
      </c>
      <c r="I43" s="93">
        <f>IF($F$53=0,0,F43/$F$53)</f>
        <v/>
      </c>
      <c r="J43" s="93">
        <f>IF('VALOR POR PL'!L40=0,0,SUMPRODUCT(('REV. ACAB'!$B$5:$B$76&lt;=DATE($D$5,12,1))*('REV. ACAB'!$C$5:$C$76+'REV. ACAB'!$D$5:$D$76))/'VALOR POR PL'!L40)</f>
        <v/>
      </c>
      <c r="K43" s="96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7" t="n"/>
      <c r="M43" s="90">
        <f>'VALOR POR PL'!L40</f>
        <v/>
      </c>
      <c r="N43" s="90">
        <f>IF('VALOR POR PL'!I40="DIRETO",'VALOR POR PL'!L40,0)</f>
        <v/>
      </c>
    </row>
    <row r="44" ht="29.4" customHeight="1">
      <c r="B44" s="83">
        <f>'VALOR POR PL'!C41</f>
        <v/>
      </c>
      <c r="C44" s="84">
        <f>'VALOR POR PL'!D41</f>
        <v/>
      </c>
      <c r="D44" s="85">
        <f>IF(OR('VALOR POR PL'!I41&lt;&gt;"DIRETO",'CP RESUMO'!$C$35=""),"",IFERROR(INDEX('CP RESUMO'!$D$35:$BW$35,MATCH(DATE($D$5,12,1),'CP RESUMO'!$D$4:$BW$4,0))/100,""))</f>
        <v/>
      </c>
      <c r="E44" s="86">
        <f>IF('VALOR POR PL'!I41&lt;&gt;"DIRETO","",'PAVIMENTAÇÃO'!$K$14)</f>
        <v/>
      </c>
      <c r="F44" s="87">
        <f>SUMPRODUCT((YEAR('PAVIMENTAÇÃO'!$B$5:$B$76)=$D$5)*('PAVIMENTAÇÃO'!$C$5:$C$76+'PAVIMENTAÇÃO'!$D$5:$D$76))</f>
        <v/>
      </c>
      <c r="G44" s="87">
        <f>SUMPRODUCT((YEAR('MODELO PARA BI'!$H$1:$CA$1)=$D$5)*'MODELO PARA BI'!$H$27:$CA$27)</f>
        <v/>
      </c>
      <c r="H44" s="87">
        <f>IF(ISNUMBER($G$5),G44*$G$5,0)</f>
        <v/>
      </c>
      <c r="I44" s="85">
        <f>IF($F$53=0,0,F44/$F$53)</f>
        <v/>
      </c>
      <c r="J44" s="85">
        <f>IF('VALOR POR PL'!L41=0,0,SUMPRODUCT(('PAVIMENTAÇÃO'!$B$5:$B$76&lt;=DATE($D$5,12,1))*('PAVIMENTAÇÃO'!$C$5:$C$76+'PAVIMENTAÇÃO'!$D$5:$D$76))/'VALOR POR PL'!L41)</f>
        <v/>
      </c>
      <c r="K44" s="88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9" t="n"/>
      <c r="M44" s="90">
        <f>'VALOR POR PL'!L41</f>
        <v/>
      </c>
      <c r="N44" s="90">
        <f>IF('VALOR POR PL'!I41="DIRETO",'VALOR POR PL'!L41,0)</f>
        <v/>
      </c>
    </row>
    <row r="45" ht="29.4" customHeight="1">
      <c r="B45" s="91">
        <f>'VALOR POR PL'!C42</f>
        <v/>
      </c>
      <c r="C45" s="92">
        <f>'VALOR POR PL'!D42</f>
        <v/>
      </c>
      <c r="D45" s="93">
        <f>IF(OR('VALOR POR PL'!I42&lt;&gt;"DIRETO",'CP RESUMO'!$C$36=""),"",IFERROR(INDEX('CP RESUMO'!$D$36:$BW$36,MATCH(DATE($D$5,12,1),'CP RESUMO'!$D$4:$BW$4,0))/100,""))</f>
        <v/>
      </c>
      <c r="E45" s="94">
        <f>IF('VALOR POR PL'!I42&lt;&gt;"DIRETO","",'REV. FACHADA'!$K$14)</f>
        <v/>
      </c>
      <c r="F45" s="95">
        <f>SUMPRODUCT((YEAR('REV. FACHADA'!$B$5:$B$76)=$D$5)*('REV. FACHADA'!$C$5:$C$76+'REV. FACHADA'!$D$5:$D$76))</f>
        <v/>
      </c>
      <c r="G45" s="95">
        <f>SUMPRODUCT((YEAR('MODELO PARA BI'!$H$1:$CA$1)=$D$5)*'MODELO PARA BI'!$H$31:$CA$31)</f>
        <v/>
      </c>
      <c r="H45" s="95">
        <f>IF(ISNUMBER($G$5),G45*$G$5,0)</f>
        <v/>
      </c>
      <c r="I45" s="93">
        <f>IF($F$53=0,0,F45/$F$53)</f>
        <v/>
      </c>
      <c r="J45" s="93">
        <f>IF('VALOR POR PL'!L42=0,0,SUMPRODUCT(('REV. FACHADA'!$B$5:$B$76&lt;=DATE($D$5,12,1))*('REV. FACHADA'!$C$5:$C$76+'REV. FACHADA'!$D$5:$D$76))/'VALOR POR PL'!L42)</f>
        <v/>
      </c>
      <c r="K45" s="96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7" t="n"/>
      <c r="M45" s="90">
        <f>'VALOR POR PL'!L42</f>
        <v/>
      </c>
      <c r="N45" s="90">
        <f>IF('VALOR POR PL'!I42="DIRETO",'VALOR POR PL'!L42,0)</f>
        <v/>
      </c>
    </row>
    <row r="46" ht="29.4" customHeight="1">
      <c r="B46" s="83">
        <f>'VALOR POR PL'!C43</f>
        <v/>
      </c>
      <c r="C46" s="84">
        <f>'VALOR POR PL'!D43</f>
        <v/>
      </c>
      <c r="D46" s="85">
        <f>IF(OR('VALOR POR PL'!I43&lt;&gt;"DIRETO",'CP RESUMO'!$C$37=""),"",IFERROR(INDEX('CP RESUMO'!$D$37:$BW$37,MATCH(DATE($D$5,12,1),'CP RESUMO'!$D$4:$BW$4,0))/100,""))</f>
        <v/>
      </c>
      <c r="E46" s="86">
        <f>IF('VALOR POR PL'!I43&lt;&gt;"DIRETO","",'FORRO'!$K$14)</f>
        <v/>
      </c>
      <c r="F46" s="87">
        <f>SUMPRODUCT((YEAR('FORRO'!$B$5:$B$76)=$D$5)*('FORRO'!$C$5:$C$76+'FORRO'!$D$5:$D$76))</f>
        <v/>
      </c>
      <c r="G46" s="87">
        <f>SUMPRODUCT((YEAR('MODELO PARA BI'!$H$1:$CA$1)=$D$5)*'MODELO PARA BI'!$H$14:$CA$14)</f>
        <v/>
      </c>
      <c r="H46" s="87">
        <f>IF(ISNUMBER($G$5),G46*$G$5,0)</f>
        <v/>
      </c>
      <c r="I46" s="85">
        <f>IF($F$53=0,0,F46/$F$53)</f>
        <v/>
      </c>
      <c r="J46" s="85">
        <f>IF('VALOR POR PL'!L43=0,0,SUMPRODUCT(('FORRO'!$B$5:$B$76&lt;=DATE($D$5,12,1))*('FORRO'!$C$5:$C$76+'FORRO'!$D$5:$D$76))/'VALOR POR PL'!L43)</f>
        <v/>
      </c>
      <c r="K46" s="88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9" t="n"/>
      <c r="M46" s="90">
        <f>'VALOR POR PL'!L43</f>
        <v/>
      </c>
      <c r="N46" s="90">
        <f>IF('VALOR POR PL'!I43="DIRETO",'VALOR POR PL'!L43,0)</f>
        <v/>
      </c>
    </row>
    <row r="47" ht="29.4" customHeight="1">
      <c r="B47" s="91">
        <f>'VALOR POR PL'!C44</f>
        <v/>
      </c>
      <c r="C47" s="92">
        <f>'VALOR POR PL'!D44</f>
        <v/>
      </c>
      <c r="D47" s="93">
        <f>IF(OR('VALOR POR PL'!I44&lt;&gt;"DIRETO",'CP RESUMO'!$C$38=""),"",IFERROR(INDEX('CP RESUMO'!$D$38:$BW$38,MATCH(DATE($D$5,12,1),'CP RESUMO'!$D$4:$BW$4,0))/100,""))</f>
        <v/>
      </c>
      <c r="E47" s="94">
        <f>IF('VALOR POR PL'!I44&lt;&gt;"DIRETO","",'LOUÇAS'!$K$14)</f>
        <v/>
      </c>
      <c r="F47" s="95">
        <f>SUMPRODUCT((YEAR('LOUÇAS'!$B$5:$B$76)=$D$5)*('LOUÇAS'!$C$5:$C$76+'LOUÇAS'!$D$5:$D$76))</f>
        <v/>
      </c>
      <c r="G47" s="95">
        <f>SUMPRODUCT((YEAR('MODELO PARA BI'!$H$1:$CA$1)=$D$5)*'MODELO PARA BI'!$H$23:$CA$23)</f>
        <v/>
      </c>
      <c r="H47" s="95">
        <f>IF(ISNUMBER($G$5),G47*$G$5,0)</f>
        <v/>
      </c>
      <c r="I47" s="93">
        <f>IF($F$53=0,0,F47/$F$53)</f>
        <v/>
      </c>
      <c r="J47" s="93">
        <f>IF('VALOR POR PL'!L44=0,0,SUMPRODUCT(('LOUÇAS'!$B$5:$B$76&lt;=DATE($D$5,12,1))*('LOUÇAS'!$C$5:$C$76+'LOUÇAS'!$D$5:$D$76))/'VALOR POR PL'!L44)</f>
        <v/>
      </c>
      <c r="K47" s="96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7" t="n"/>
      <c r="M47" s="90">
        <f>'VALOR POR PL'!L44</f>
        <v/>
      </c>
      <c r="N47" s="90">
        <f>IF('VALOR POR PL'!I44="DIRETO",'VALOR POR PL'!L44,0)</f>
        <v/>
      </c>
    </row>
    <row r="48" ht="29.4" customHeight="1">
      <c r="B48" s="83">
        <f>'VALOR POR PL'!C45</f>
        <v/>
      </c>
      <c r="C48" s="84">
        <f>'VALOR POR PL'!D45</f>
        <v/>
      </c>
      <c r="D48" s="85">
        <f>IF(OR('VALOR POR PL'!I45&lt;&gt;"DIRETO",'CP RESUMO'!$C$39=""),"",IFERROR(INDEX('CP RESUMO'!$D$39:$BW$39,MATCH(DATE($D$5,12,1),'CP RESUMO'!$D$4:$BW$4,0))/100,""))</f>
        <v/>
      </c>
      <c r="E48" s="86">
        <f>IF('VALOR POR PL'!I45&lt;&gt;"DIRETO","",'PINTURA'!$K$14)</f>
        <v/>
      </c>
      <c r="F48" s="87">
        <f>SUMPRODUCT((YEAR('PINTURA'!$B$5:$B$76)=$D$5)*('PINTURA'!$C$5:$C$76+'PINTURA'!$D$5:$D$76))</f>
        <v/>
      </c>
      <c r="G48" s="87">
        <f>SUMPRODUCT((YEAR('MODELO PARA BI'!$H$1:$CA$1)=$D$5)*'MODELO PARA BI'!$H$28:$CA$28)</f>
        <v/>
      </c>
      <c r="H48" s="87">
        <f>IF(ISNUMBER($G$5),G48*$G$5,0)</f>
        <v/>
      </c>
      <c r="I48" s="85">
        <f>IF($F$53=0,0,F48/$F$53)</f>
        <v/>
      </c>
      <c r="J48" s="85">
        <f>IF('VALOR POR PL'!L45=0,0,SUMPRODUCT(('PINTURA'!$B$5:$B$76&lt;=DATE($D$5,12,1))*('PINTURA'!$C$5:$C$76+'PINTURA'!$D$5:$D$76))/'VALOR POR PL'!L45)</f>
        <v/>
      </c>
      <c r="K48" s="88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9" t="n"/>
      <c r="M48" s="90">
        <f>'VALOR POR PL'!L45</f>
        <v/>
      </c>
      <c r="N48" s="90">
        <f>IF('VALOR POR PL'!I45="DIRETO",'VALOR POR PL'!L45,0)</f>
        <v/>
      </c>
    </row>
    <row r="49" ht="29.4" customHeight="1">
      <c r="B49" s="91">
        <f>'VALOR POR PL'!C46</f>
        <v/>
      </c>
      <c r="C49" s="92">
        <f>'VALOR POR PL'!D46</f>
        <v/>
      </c>
      <c r="D49" s="93">
        <f>IF(OR('VALOR POR PL'!I46&lt;&gt;"DIRETO",'CP RESUMO'!$C$40=""),"",IFERROR(INDEX('CP RESUMO'!$D$40:$BW$40,MATCH(DATE($D$5,12,1),'CP RESUMO'!$D$4:$BW$4,0))/100,""))</f>
        <v/>
      </c>
      <c r="E49" s="94">
        <f>IF('VALOR POR PL'!I46&lt;&gt;"DIRETO","",'PAISAGISMO'!$K$14)</f>
        <v/>
      </c>
      <c r="F49" s="95">
        <f>SUMPRODUCT((YEAR('PAISAGISMO'!$B$5:$B$76)=$D$5)*('PAISAGISMO'!$C$5:$C$76+'PAISAGISMO'!$D$5:$D$76))</f>
        <v/>
      </c>
      <c r="G49" s="95">
        <f>SUMPRODUCT((YEAR('MODELO PARA BI'!$H$1:$CA$1)=$D$5)*'MODELO PARA BI'!$H$26:$CA$26)</f>
        <v/>
      </c>
      <c r="H49" s="95">
        <f>IF(ISNUMBER($G$5),G49*$G$5,0)</f>
        <v/>
      </c>
      <c r="I49" s="93">
        <f>IF($F$53=0,0,F49/$F$53)</f>
        <v/>
      </c>
      <c r="J49" s="93">
        <f>IF('VALOR POR PL'!L46=0,0,SUMPRODUCT(('PAISAGISMO'!$B$5:$B$76&lt;=DATE($D$5,12,1))*('PAISAGISMO'!$C$5:$C$76+'PAISAGISMO'!$D$5:$D$76))/'VALOR POR PL'!L46)</f>
        <v/>
      </c>
      <c r="K49" s="96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7" t="n"/>
      <c r="M49" s="90">
        <f>'VALOR POR PL'!L46</f>
        <v/>
      </c>
      <c r="N49" s="90">
        <f>IF('VALOR POR PL'!I46="DIRETO",'VALOR POR PL'!L46,0)</f>
        <v/>
      </c>
    </row>
    <row r="50" ht="29.4" customHeight="1">
      <c r="B50" s="83">
        <f>'VALOR POR PL'!C47</f>
        <v/>
      </c>
      <c r="C50" s="84">
        <f>'VALOR POR PL'!D47</f>
        <v/>
      </c>
      <c r="D50" s="85">
        <f>IF(OR('VALOR POR PL'!I47&lt;&gt;"DIRETO",'CP RESUMO'!$C$41=""),"",IFERROR(INDEX('CP RESUMO'!$D$41:$BW$41,MATCH(DATE($D$5,12,1),'CP RESUMO'!$D$4:$BW$4,0))/100,""))</f>
        <v/>
      </c>
      <c r="E50" s="86">
        <f>IF('VALOR POR PL'!I47&lt;&gt;"DIRETO","",'LIMPEZA'!$K$14)</f>
        <v/>
      </c>
      <c r="F50" s="87">
        <f>SUMPRODUCT((YEAR('LIMPEZA'!$B$5:$B$76)=$D$5)*('LIMPEZA'!$C$5:$C$76+'LIMPEZA'!$D$5:$D$76))</f>
        <v/>
      </c>
      <c r="G50" s="87">
        <f>SUMPRODUCT((YEAR('MODELO PARA BI'!$H$1:$CA$1)=$D$5)*'MODELO PARA BI'!$H$24:$CA$24)</f>
        <v/>
      </c>
      <c r="H50" s="87">
        <f>IF(ISNUMBER($G$5),G50*$G$5,0)</f>
        <v/>
      </c>
      <c r="I50" s="85">
        <f>IF($F$53=0,0,F50/$F$53)</f>
        <v/>
      </c>
      <c r="J50" s="85">
        <f>IF('VALOR POR PL'!L47=0,0,SUMPRODUCT(('LIMPEZA'!$B$5:$B$76&lt;=DATE($D$5,12,1))*('LIMPEZA'!$C$5:$C$76+'LIMPEZA'!$D$5:$D$76))/'VALOR POR PL'!L47)</f>
        <v/>
      </c>
      <c r="K50" s="88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9" t="n"/>
      <c r="M50" s="90">
        <f>'VALOR POR PL'!L47</f>
        <v/>
      </c>
      <c r="N50" s="90">
        <f>IF('VALOR POR PL'!I47="DIRETO",'VALOR POR PL'!L47,0)</f>
        <v/>
      </c>
    </row>
    <row r="51" ht="20" customHeight="1">
      <c r="B51" s="34" t="n"/>
      <c r="C51" s="34" t="inlineStr">
        <is>
          <t>DESEMBOLSO DO ANO (sem taxa de administração)</t>
        </is>
      </c>
      <c r="D51" s="34" t="n"/>
      <c r="E51" s="34" t="n"/>
      <c r="F51" s="103">
        <f>F23+F29+SUM(F30:F50)</f>
        <v/>
      </c>
      <c r="G51" s="103">
        <f>G23+G29+SUM(G30:G50)</f>
        <v/>
      </c>
      <c r="H51" s="103">
        <f>H23+H29+SUM(H30:H50)</f>
        <v/>
      </c>
      <c r="I51" s="104">
        <f>IF($F$53=0,0,F51/$F$53)</f>
        <v/>
      </c>
      <c r="J51" s="34" t="n"/>
      <c r="K51" s="34" t="n"/>
      <c r="L51" s="34" t="n"/>
    </row>
    <row r="52" ht="20" customHeight="1">
      <c r="B52" s="105">
        <f>'VALOR POR PL'!C48</f>
        <v/>
      </c>
      <c r="C52" s="105">
        <f>'VALOR POR PL'!D48</f>
        <v/>
      </c>
      <c r="D52" s="105" t="n"/>
      <c r="E52" s="105" t="n"/>
      <c r="F52" s="106">
        <f>SUMPRODUCT((YEAR('TAX. ADM'!$B$5:$B$76)=$D$5)*('TAX. ADM'!$C$5:$C$76+'TAX. ADM'!$D$5:$D$76))</f>
        <v/>
      </c>
      <c r="G52" s="106">
        <f>SUMPRODUCT((YEAR('MODELO PARA BI'!$H$1:$CA$1)=$D$5)*'MODELO PARA BI'!$H$43:$CA$43)</f>
        <v/>
      </c>
      <c r="H52" s="106">
        <f>IF(ISNUMBER($G$5),G52*$G$5,0)</f>
        <v/>
      </c>
      <c r="I52" s="107">
        <f>IF($F$53=0,0,F52/$F$53)</f>
        <v/>
      </c>
      <c r="J52" s="105" t="n"/>
      <c r="K52" s="105" t="n"/>
      <c r="L52" s="105" t="n"/>
      <c r="M52">
        <f>'VALOR POR PL'!L48</f>
        <v/>
      </c>
    </row>
    <row r="53" ht="20" customHeight="1">
      <c r="B53" s="34" t="n"/>
      <c r="C53" s="34" t="inlineStr">
        <is>
          <t>DESEMBOLSO DO ANO COM TAXA DE ADMINISTRAÇÃO</t>
        </is>
      </c>
      <c r="D53" s="34" t="n"/>
      <c r="E53" s="34" t="n"/>
      <c r="F53" s="103">
        <f>F51+F52</f>
        <v/>
      </c>
      <c r="G53" s="103">
        <f>G51+G52</f>
        <v/>
      </c>
      <c r="H53" s="103">
        <f>H51+H52</f>
        <v/>
      </c>
      <c r="I53" s="104">
        <f>IF($F$53=0,0,F53/$F$53)</f>
        <v/>
      </c>
      <c r="J53" s="34" t="n"/>
      <c r="K53" s="34" t="n"/>
      <c r="L53" s="34" t="n"/>
    </row>
    <row r="54">
      <c r="B54" s="36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9" t="inlineStr">
        <is>
          <t>COD EMPREENDIMENTO</t>
        </is>
      </c>
      <c r="B1" s="59" t="inlineStr">
        <is>
          <t>COD GRUPO 1</t>
        </is>
      </c>
      <c r="C1" s="59" t="inlineStr">
        <is>
          <t>GRUPO 1</t>
        </is>
      </c>
      <c r="D1" s="59" t="inlineStr">
        <is>
          <t>VALOR ORÇADO
(INCC)</t>
        </is>
      </c>
      <c r="E1" s="59" t="inlineStr">
        <is>
          <t>SOMA DA DISTRIBUIÇÃO
(INCC)</t>
        </is>
      </c>
      <c r="F1" s="59" t="inlineStr">
        <is>
          <t>VARIAÇÃO
(ORÇADO − DISTRIBUÍDO)</t>
        </is>
      </c>
      <c r="H1" s="108">
        <f>'VALOR POR PL'!$P$6</f>
        <v/>
      </c>
      <c r="I1" s="108">
        <f>DATE(YEAR(H1),MONTH(H1)+1,1)</f>
        <v/>
      </c>
      <c r="J1" s="108">
        <f>DATE(YEAR(I1),MONTH(I1)+1,1)</f>
        <v/>
      </c>
      <c r="K1" s="108">
        <f>DATE(YEAR(J1),MONTH(J1)+1,1)</f>
        <v/>
      </c>
      <c r="L1" s="108">
        <f>DATE(YEAR(K1),MONTH(K1)+1,1)</f>
        <v/>
      </c>
      <c r="M1" s="108">
        <f>DATE(YEAR(L1),MONTH(L1)+1,1)</f>
        <v/>
      </c>
      <c r="N1" s="108">
        <f>DATE(YEAR(M1),MONTH(M1)+1,1)</f>
        <v/>
      </c>
      <c r="O1" s="108">
        <f>DATE(YEAR(N1),MONTH(N1)+1,1)</f>
        <v/>
      </c>
      <c r="P1" s="108">
        <f>DATE(YEAR(O1),MONTH(O1)+1,1)</f>
        <v/>
      </c>
      <c r="Q1" s="108">
        <f>DATE(YEAR(P1),MONTH(P1)+1,1)</f>
        <v/>
      </c>
      <c r="R1" s="108">
        <f>DATE(YEAR(Q1),MONTH(Q1)+1,1)</f>
        <v/>
      </c>
      <c r="S1" s="108">
        <f>DATE(YEAR(R1),MONTH(R1)+1,1)</f>
        <v/>
      </c>
      <c r="T1" s="108">
        <f>DATE(YEAR(S1),MONTH(S1)+1,1)</f>
        <v/>
      </c>
      <c r="U1" s="108">
        <f>DATE(YEAR(T1),MONTH(T1)+1,1)</f>
        <v/>
      </c>
      <c r="V1" s="108">
        <f>DATE(YEAR(U1),MONTH(U1)+1,1)</f>
        <v/>
      </c>
      <c r="W1" s="108">
        <f>DATE(YEAR(V1),MONTH(V1)+1,1)</f>
        <v/>
      </c>
      <c r="X1" s="108">
        <f>DATE(YEAR(W1),MONTH(W1)+1,1)</f>
        <v/>
      </c>
      <c r="Y1" s="108">
        <f>DATE(YEAR(X1),MONTH(X1)+1,1)</f>
        <v/>
      </c>
      <c r="Z1" s="108">
        <f>DATE(YEAR(Y1),MONTH(Y1)+1,1)</f>
        <v/>
      </c>
      <c r="AA1" s="108">
        <f>DATE(YEAR(Z1),MONTH(Z1)+1,1)</f>
        <v/>
      </c>
      <c r="AB1" s="108">
        <f>DATE(YEAR(AA1),MONTH(AA1)+1,1)</f>
        <v/>
      </c>
      <c r="AC1" s="108">
        <f>DATE(YEAR(AB1),MONTH(AB1)+1,1)</f>
        <v/>
      </c>
      <c r="AD1" s="108">
        <f>DATE(YEAR(AC1),MONTH(AC1)+1,1)</f>
        <v/>
      </c>
      <c r="AE1" s="108">
        <f>DATE(YEAR(AD1),MONTH(AD1)+1,1)</f>
        <v/>
      </c>
      <c r="AF1" s="108">
        <f>DATE(YEAR(AE1),MONTH(AE1)+1,1)</f>
        <v/>
      </c>
      <c r="AG1" s="108">
        <f>DATE(YEAR(AF1),MONTH(AF1)+1,1)</f>
        <v/>
      </c>
      <c r="AH1" s="108">
        <f>DATE(YEAR(AG1),MONTH(AG1)+1,1)</f>
        <v/>
      </c>
      <c r="AI1" s="108">
        <f>DATE(YEAR(AH1),MONTH(AH1)+1,1)</f>
        <v/>
      </c>
      <c r="AJ1" s="108">
        <f>DATE(YEAR(AI1),MONTH(AI1)+1,1)</f>
        <v/>
      </c>
      <c r="AK1" s="108">
        <f>DATE(YEAR(AJ1),MONTH(AJ1)+1,1)</f>
        <v/>
      </c>
      <c r="AL1" s="108">
        <f>DATE(YEAR(AK1),MONTH(AK1)+1,1)</f>
        <v/>
      </c>
      <c r="AM1" s="108">
        <f>DATE(YEAR(AL1),MONTH(AL1)+1,1)</f>
        <v/>
      </c>
      <c r="AN1" s="108">
        <f>DATE(YEAR(AM1),MONTH(AM1)+1,1)</f>
        <v/>
      </c>
      <c r="AO1" s="108">
        <f>DATE(YEAR(AN1),MONTH(AN1)+1,1)</f>
        <v/>
      </c>
      <c r="AP1" s="108">
        <f>DATE(YEAR(AO1),MONTH(AO1)+1,1)</f>
        <v/>
      </c>
      <c r="AQ1" s="108">
        <f>DATE(YEAR(AP1),MONTH(AP1)+1,1)</f>
        <v/>
      </c>
      <c r="AR1" s="108">
        <f>DATE(YEAR(AQ1),MONTH(AQ1)+1,1)</f>
        <v/>
      </c>
      <c r="AS1" s="108">
        <f>DATE(YEAR(AR1),MONTH(AR1)+1,1)</f>
        <v/>
      </c>
      <c r="AT1" s="108">
        <f>DATE(YEAR(AS1),MONTH(AS1)+1,1)</f>
        <v/>
      </c>
      <c r="AU1" s="108">
        <f>DATE(YEAR(AT1),MONTH(AT1)+1,1)</f>
        <v/>
      </c>
      <c r="AV1" s="108">
        <f>DATE(YEAR(AU1),MONTH(AU1)+1,1)</f>
        <v/>
      </c>
      <c r="AW1" s="108">
        <f>DATE(YEAR(AV1),MONTH(AV1)+1,1)</f>
        <v/>
      </c>
      <c r="AX1" s="108">
        <f>DATE(YEAR(AW1),MONTH(AW1)+1,1)</f>
        <v/>
      </c>
      <c r="AY1" s="108">
        <f>DATE(YEAR(AX1),MONTH(AX1)+1,1)</f>
        <v/>
      </c>
      <c r="AZ1" s="108">
        <f>DATE(YEAR(AY1),MONTH(AY1)+1,1)</f>
        <v/>
      </c>
      <c r="BA1" s="108">
        <f>DATE(YEAR(AZ1),MONTH(AZ1)+1,1)</f>
        <v/>
      </c>
      <c r="BB1" s="108">
        <f>DATE(YEAR(BA1),MONTH(BA1)+1,1)</f>
        <v/>
      </c>
      <c r="BC1" s="108">
        <f>DATE(YEAR(BB1),MONTH(BB1)+1,1)</f>
        <v/>
      </c>
      <c r="BD1" s="108">
        <f>DATE(YEAR(BC1),MONTH(BC1)+1,1)</f>
        <v/>
      </c>
      <c r="BE1" s="108">
        <f>DATE(YEAR(BD1),MONTH(BD1)+1,1)</f>
        <v/>
      </c>
      <c r="BF1" s="108">
        <f>DATE(YEAR(BE1),MONTH(BE1)+1,1)</f>
        <v/>
      </c>
      <c r="BG1" s="108">
        <f>DATE(YEAR(BF1),MONTH(BF1)+1,1)</f>
        <v/>
      </c>
      <c r="BH1" s="108">
        <f>DATE(YEAR(BG1),MONTH(BG1)+1,1)</f>
        <v/>
      </c>
      <c r="BI1" s="108">
        <f>DATE(YEAR(BH1),MONTH(BH1)+1,1)</f>
        <v/>
      </c>
      <c r="BJ1" s="108">
        <f>DATE(YEAR(BI1),MONTH(BI1)+1,1)</f>
        <v/>
      </c>
      <c r="BK1" s="108">
        <f>DATE(YEAR(BJ1),MONTH(BJ1)+1,1)</f>
        <v/>
      </c>
      <c r="BL1" s="108">
        <f>DATE(YEAR(BK1),MONTH(BK1)+1,1)</f>
        <v/>
      </c>
      <c r="BM1" s="108">
        <f>DATE(YEAR(BL1),MONTH(BL1)+1,1)</f>
        <v/>
      </c>
      <c r="BN1" s="108">
        <f>DATE(YEAR(BM1),MONTH(BM1)+1,1)</f>
        <v/>
      </c>
      <c r="BO1" s="108">
        <f>DATE(YEAR(BN1),MONTH(BN1)+1,1)</f>
        <v/>
      </c>
      <c r="BP1" s="108">
        <f>DATE(YEAR(BO1),MONTH(BO1)+1,1)</f>
        <v/>
      </c>
      <c r="BQ1" s="108">
        <f>DATE(YEAR(BP1),MONTH(BP1)+1,1)</f>
        <v/>
      </c>
      <c r="BR1" s="108">
        <f>DATE(YEAR(BQ1),MONTH(BQ1)+1,1)</f>
        <v/>
      </c>
      <c r="BS1" s="108">
        <f>DATE(YEAR(BR1),MONTH(BR1)+1,1)</f>
        <v/>
      </c>
      <c r="BT1" s="108">
        <f>DATE(YEAR(BS1),MONTH(BS1)+1,1)</f>
        <v/>
      </c>
      <c r="BU1" s="108">
        <f>DATE(YEAR(BT1),MONTH(BT1)+1,1)</f>
        <v/>
      </c>
      <c r="BV1" s="108">
        <f>DATE(YEAR(BU1),MONTH(BU1)+1,1)</f>
        <v/>
      </c>
      <c r="BW1" s="108">
        <f>DATE(YEAR(BV1),MONTH(BV1)+1,1)</f>
        <v/>
      </c>
      <c r="BX1" s="108">
        <f>DATE(YEAR(BW1),MONTH(BW1)+1,1)</f>
        <v/>
      </c>
      <c r="BY1" s="108">
        <f>DATE(YEAR(BX1),MONTH(BX1)+1,1)</f>
        <v/>
      </c>
      <c r="BZ1" s="108">
        <f>DATE(YEAR(BY1),MONTH(BY1)+1,1)</f>
        <v/>
      </c>
      <c r="CA1" s="108">
        <f>DATE(YEAR(BZ1),MONTH(BZ1)+1,1)</f>
        <v/>
      </c>
    </row>
    <row r="2">
      <c r="A2" s="60" t="n"/>
      <c r="B2" s="60" t="inlineStr">
        <is>
          <t>1030-1070-280</t>
        </is>
      </c>
      <c r="C2" s="60" t="inlineStr">
        <is>
          <t>ALVENARIA</t>
        </is>
      </c>
      <c r="D2" s="63">
        <f>'ALVENARIA'!$K$5</f>
        <v/>
      </c>
      <c r="E2" s="50">
        <f>SUM(H2:CA2)</f>
        <v/>
      </c>
      <c r="F2" s="50">
        <f>IF(D2="","",D2-E2)</f>
        <v/>
      </c>
      <c r="H2" s="90">
        <f>'ALVENARIA'!E5</f>
        <v/>
      </c>
      <c r="I2" s="90">
        <f>'ALVENARIA'!E6</f>
        <v/>
      </c>
      <c r="J2" s="90">
        <f>'ALVENARIA'!E7</f>
        <v/>
      </c>
      <c r="K2" s="90">
        <f>'ALVENARIA'!E8</f>
        <v/>
      </c>
      <c r="L2" s="90">
        <f>'ALVENARIA'!E9</f>
        <v/>
      </c>
      <c r="M2" s="90">
        <f>'ALVENARIA'!E10</f>
        <v/>
      </c>
      <c r="N2" s="90">
        <f>'ALVENARIA'!E11</f>
        <v/>
      </c>
      <c r="O2" s="90">
        <f>'ALVENARIA'!E12</f>
        <v/>
      </c>
      <c r="P2" s="90">
        <f>'ALVENARIA'!E13</f>
        <v/>
      </c>
      <c r="Q2" s="90">
        <f>'ALVENARIA'!E14</f>
        <v/>
      </c>
      <c r="R2" s="90">
        <f>'ALVENARIA'!E15</f>
        <v/>
      </c>
      <c r="S2" s="90">
        <f>'ALVENARIA'!E16</f>
        <v/>
      </c>
      <c r="T2" s="90">
        <f>'ALVENARIA'!E17</f>
        <v/>
      </c>
      <c r="U2" s="90">
        <f>'ALVENARIA'!E18</f>
        <v/>
      </c>
      <c r="V2" s="90">
        <f>'ALVENARIA'!E19</f>
        <v/>
      </c>
      <c r="W2" s="90">
        <f>'ALVENARIA'!E20</f>
        <v/>
      </c>
      <c r="X2" s="90">
        <f>'ALVENARIA'!E21</f>
        <v/>
      </c>
      <c r="Y2" s="90">
        <f>'ALVENARIA'!E22</f>
        <v/>
      </c>
      <c r="Z2" s="90">
        <f>'ALVENARIA'!E23</f>
        <v/>
      </c>
      <c r="AA2" s="90">
        <f>'ALVENARIA'!E24</f>
        <v/>
      </c>
      <c r="AB2" s="90">
        <f>'ALVENARIA'!E25</f>
        <v/>
      </c>
      <c r="AC2" s="90">
        <f>'ALVENARIA'!E26</f>
        <v/>
      </c>
      <c r="AD2" s="90">
        <f>'ALVENARIA'!E27</f>
        <v/>
      </c>
      <c r="AE2" s="90">
        <f>'ALVENARIA'!E28</f>
        <v/>
      </c>
      <c r="AF2" s="90">
        <f>'ALVENARIA'!E29</f>
        <v/>
      </c>
      <c r="AG2" s="90">
        <f>'ALVENARIA'!E30</f>
        <v/>
      </c>
      <c r="AH2" s="90">
        <f>'ALVENARIA'!E31</f>
        <v/>
      </c>
      <c r="AI2" s="90">
        <f>'ALVENARIA'!E32</f>
        <v/>
      </c>
      <c r="AJ2" s="90">
        <f>'ALVENARIA'!E33</f>
        <v/>
      </c>
      <c r="AK2" s="90">
        <f>'ALVENARIA'!E34</f>
        <v/>
      </c>
      <c r="AL2" s="90">
        <f>'ALVENARIA'!E35</f>
        <v/>
      </c>
      <c r="AM2" s="90">
        <f>'ALVENARIA'!E36</f>
        <v/>
      </c>
      <c r="AN2" s="90">
        <f>'ALVENARIA'!E37</f>
        <v/>
      </c>
      <c r="AO2" s="90">
        <f>'ALVENARIA'!E38</f>
        <v/>
      </c>
      <c r="AP2" s="90">
        <f>'ALVENARIA'!E39</f>
        <v/>
      </c>
      <c r="AQ2" s="90">
        <f>'ALVENARIA'!E40</f>
        <v/>
      </c>
      <c r="AR2" s="90">
        <f>'ALVENARIA'!E41</f>
        <v/>
      </c>
      <c r="AS2" s="90">
        <f>'ALVENARIA'!E42</f>
        <v/>
      </c>
      <c r="AT2" s="90">
        <f>'ALVENARIA'!E43</f>
        <v/>
      </c>
      <c r="AU2" s="90">
        <f>'ALVENARIA'!E44</f>
        <v/>
      </c>
      <c r="AV2" s="90">
        <f>'ALVENARIA'!E45</f>
        <v/>
      </c>
      <c r="AW2" s="90">
        <f>'ALVENARIA'!E46</f>
        <v/>
      </c>
      <c r="AX2" s="90">
        <f>'ALVENARIA'!E47</f>
        <v/>
      </c>
      <c r="AY2" s="90">
        <f>'ALVENARIA'!E48</f>
        <v/>
      </c>
      <c r="AZ2" s="90">
        <f>'ALVENARIA'!E49</f>
        <v/>
      </c>
      <c r="BA2" s="90">
        <f>'ALVENARIA'!E50</f>
        <v/>
      </c>
      <c r="BB2" s="90">
        <f>'ALVENARIA'!E51</f>
        <v/>
      </c>
      <c r="BC2" s="90">
        <f>'ALVENARIA'!E52</f>
        <v/>
      </c>
      <c r="BD2" s="90">
        <f>'ALVENARIA'!E53</f>
        <v/>
      </c>
      <c r="BE2" s="90">
        <f>'ALVENARIA'!E54</f>
        <v/>
      </c>
      <c r="BF2" s="90">
        <f>'ALVENARIA'!E55</f>
        <v/>
      </c>
      <c r="BG2" s="90">
        <f>'ALVENARIA'!E56</f>
        <v/>
      </c>
      <c r="BH2" s="90">
        <f>'ALVENARIA'!E57</f>
        <v/>
      </c>
      <c r="BI2" s="90">
        <f>'ALVENARIA'!E58</f>
        <v/>
      </c>
      <c r="BJ2" s="90">
        <f>'ALVENARIA'!E59</f>
        <v/>
      </c>
      <c r="BK2" s="90">
        <f>'ALVENARIA'!E60</f>
        <v/>
      </c>
      <c r="BL2" s="90">
        <f>'ALVENARIA'!E61</f>
        <v/>
      </c>
      <c r="BM2" s="90">
        <f>'ALVENARIA'!E62</f>
        <v/>
      </c>
      <c r="BN2" s="90">
        <f>'ALVENARIA'!E63</f>
        <v/>
      </c>
      <c r="BO2" s="90">
        <f>'ALVENARIA'!E64</f>
        <v/>
      </c>
      <c r="BP2" s="90">
        <f>'ALVENARIA'!E65</f>
        <v/>
      </c>
      <c r="BQ2" s="90">
        <f>'ALVENARIA'!E66</f>
        <v/>
      </c>
      <c r="BR2" s="90">
        <f>'ALVENARIA'!E67</f>
        <v/>
      </c>
      <c r="BS2" s="90">
        <f>'ALVENARIA'!E68</f>
        <v/>
      </c>
      <c r="BT2" s="90">
        <f>'ALVENARIA'!E69</f>
        <v/>
      </c>
      <c r="BU2" s="90">
        <f>'ALVENARIA'!E70</f>
        <v/>
      </c>
      <c r="BV2" s="90">
        <f>'ALVENARIA'!E71</f>
        <v/>
      </c>
      <c r="BW2" s="90">
        <f>'ALVENARIA'!E72</f>
        <v/>
      </c>
      <c r="BX2" s="90">
        <f>'ALVENARIA'!E73</f>
        <v/>
      </c>
      <c r="BY2" s="90">
        <f>'ALVENARIA'!E74</f>
        <v/>
      </c>
      <c r="BZ2" s="90">
        <f>'ALVENARIA'!E75</f>
        <v/>
      </c>
      <c r="CA2" s="90">
        <f>'ALVENARIA'!E76</f>
        <v/>
      </c>
    </row>
    <row r="3">
      <c r="A3" s="60" t="n"/>
      <c r="B3" s="60" t="inlineStr">
        <is>
          <t>1030-1070-140</t>
        </is>
      </c>
      <c r="C3" s="60" t="inlineStr">
        <is>
          <t>BARRACAO DE OBRA</t>
        </is>
      </c>
      <c r="D3" s="63">
        <f>'BARRACÃO DE OBRA'!$K$5</f>
        <v/>
      </c>
      <c r="E3" s="50">
        <f>SUM(H3:CA3)</f>
        <v/>
      </c>
      <c r="F3" s="50">
        <f>IF(D3="","",D3-E3)</f>
        <v/>
      </c>
      <c r="H3" s="90">
        <f>'BARRACÃO DE OBRA'!E5</f>
        <v/>
      </c>
      <c r="I3" s="90">
        <f>'BARRACÃO DE OBRA'!E6</f>
        <v/>
      </c>
      <c r="J3" s="90">
        <f>'BARRACÃO DE OBRA'!E7</f>
        <v/>
      </c>
      <c r="K3" s="90">
        <f>'BARRACÃO DE OBRA'!E8</f>
        <v/>
      </c>
      <c r="L3" s="90">
        <f>'BARRACÃO DE OBRA'!E9</f>
        <v/>
      </c>
      <c r="M3" s="90">
        <f>'BARRACÃO DE OBRA'!E10</f>
        <v/>
      </c>
      <c r="N3" s="90">
        <f>'BARRACÃO DE OBRA'!E11</f>
        <v/>
      </c>
      <c r="O3" s="90">
        <f>'BARRACÃO DE OBRA'!E12</f>
        <v/>
      </c>
      <c r="P3" s="90">
        <f>'BARRACÃO DE OBRA'!E13</f>
        <v/>
      </c>
      <c r="Q3" s="90">
        <f>'BARRACÃO DE OBRA'!E14</f>
        <v/>
      </c>
      <c r="R3" s="90">
        <f>'BARRACÃO DE OBRA'!E15</f>
        <v/>
      </c>
      <c r="S3" s="90">
        <f>'BARRACÃO DE OBRA'!E16</f>
        <v/>
      </c>
      <c r="T3" s="90">
        <f>'BARRACÃO DE OBRA'!E17</f>
        <v/>
      </c>
      <c r="U3" s="90">
        <f>'BARRACÃO DE OBRA'!E18</f>
        <v/>
      </c>
      <c r="V3" s="90">
        <f>'BARRACÃO DE OBRA'!E19</f>
        <v/>
      </c>
      <c r="W3" s="90">
        <f>'BARRACÃO DE OBRA'!E20</f>
        <v/>
      </c>
      <c r="X3" s="90">
        <f>'BARRACÃO DE OBRA'!E21</f>
        <v/>
      </c>
      <c r="Y3" s="90">
        <f>'BARRACÃO DE OBRA'!E22</f>
        <v/>
      </c>
      <c r="Z3" s="90">
        <f>'BARRACÃO DE OBRA'!E23</f>
        <v/>
      </c>
      <c r="AA3" s="90">
        <f>'BARRACÃO DE OBRA'!E24</f>
        <v/>
      </c>
      <c r="AB3" s="90">
        <f>'BARRACÃO DE OBRA'!E25</f>
        <v/>
      </c>
      <c r="AC3" s="90">
        <f>'BARRACÃO DE OBRA'!E26</f>
        <v/>
      </c>
      <c r="AD3" s="90">
        <f>'BARRACÃO DE OBRA'!E27</f>
        <v/>
      </c>
      <c r="AE3" s="90">
        <f>'BARRACÃO DE OBRA'!E28</f>
        <v/>
      </c>
      <c r="AF3" s="90">
        <f>'BARRACÃO DE OBRA'!E29</f>
        <v/>
      </c>
      <c r="AG3" s="90">
        <f>'BARRACÃO DE OBRA'!E30</f>
        <v/>
      </c>
      <c r="AH3" s="90">
        <f>'BARRACÃO DE OBRA'!E31</f>
        <v/>
      </c>
      <c r="AI3" s="90">
        <f>'BARRACÃO DE OBRA'!E32</f>
        <v/>
      </c>
      <c r="AJ3" s="90">
        <f>'BARRACÃO DE OBRA'!E33</f>
        <v/>
      </c>
      <c r="AK3" s="90">
        <f>'BARRACÃO DE OBRA'!E34</f>
        <v/>
      </c>
      <c r="AL3" s="90">
        <f>'BARRACÃO DE OBRA'!E35</f>
        <v/>
      </c>
      <c r="AM3" s="90">
        <f>'BARRACÃO DE OBRA'!E36</f>
        <v/>
      </c>
      <c r="AN3" s="90">
        <f>'BARRACÃO DE OBRA'!E37</f>
        <v/>
      </c>
      <c r="AO3" s="90">
        <f>'BARRACÃO DE OBRA'!E38</f>
        <v/>
      </c>
      <c r="AP3" s="90">
        <f>'BARRACÃO DE OBRA'!E39</f>
        <v/>
      </c>
      <c r="AQ3" s="90">
        <f>'BARRACÃO DE OBRA'!E40</f>
        <v/>
      </c>
      <c r="AR3" s="90">
        <f>'BARRACÃO DE OBRA'!E41</f>
        <v/>
      </c>
      <c r="AS3" s="90">
        <f>'BARRACÃO DE OBRA'!E42</f>
        <v/>
      </c>
      <c r="AT3" s="90">
        <f>'BARRACÃO DE OBRA'!E43</f>
        <v/>
      </c>
      <c r="AU3" s="90">
        <f>'BARRACÃO DE OBRA'!E44</f>
        <v/>
      </c>
      <c r="AV3" s="90">
        <f>'BARRACÃO DE OBRA'!E45</f>
        <v/>
      </c>
      <c r="AW3" s="90">
        <f>'BARRACÃO DE OBRA'!E46</f>
        <v/>
      </c>
      <c r="AX3" s="90">
        <f>'BARRACÃO DE OBRA'!E47</f>
        <v/>
      </c>
      <c r="AY3" s="90">
        <f>'BARRACÃO DE OBRA'!E48</f>
        <v/>
      </c>
      <c r="AZ3" s="90">
        <f>'BARRACÃO DE OBRA'!E49</f>
        <v/>
      </c>
      <c r="BA3" s="90">
        <f>'BARRACÃO DE OBRA'!E50</f>
        <v/>
      </c>
      <c r="BB3" s="90">
        <f>'BARRACÃO DE OBRA'!E51</f>
        <v/>
      </c>
      <c r="BC3" s="90">
        <f>'BARRACÃO DE OBRA'!E52</f>
        <v/>
      </c>
      <c r="BD3" s="90">
        <f>'BARRACÃO DE OBRA'!E53</f>
        <v/>
      </c>
      <c r="BE3" s="90">
        <f>'BARRACÃO DE OBRA'!E54</f>
        <v/>
      </c>
      <c r="BF3" s="90">
        <f>'BARRACÃO DE OBRA'!E55</f>
        <v/>
      </c>
      <c r="BG3" s="90">
        <f>'BARRACÃO DE OBRA'!E56</f>
        <v/>
      </c>
      <c r="BH3" s="90">
        <f>'BARRACÃO DE OBRA'!E57</f>
        <v/>
      </c>
      <c r="BI3" s="90">
        <f>'BARRACÃO DE OBRA'!E58</f>
        <v/>
      </c>
      <c r="BJ3" s="90">
        <f>'BARRACÃO DE OBRA'!E59</f>
        <v/>
      </c>
      <c r="BK3" s="90">
        <f>'BARRACÃO DE OBRA'!E60</f>
        <v/>
      </c>
      <c r="BL3" s="90">
        <f>'BARRACÃO DE OBRA'!E61</f>
        <v/>
      </c>
      <c r="BM3" s="90">
        <f>'BARRACÃO DE OBRA'!E62</f>
        <v/>
      </c>
      <c r="BN3" s="90">
        <f>'BARRACÃO DE OBRA'!E63</f>
        <v/>
      </c>
      <c r="BO3" s="90">
        <f>'BARRACÃO DE OBRA'!E64</f>
        <v/>
      </c>
      <c r="BP3" s="90">
        <f>'BARRACÃO DE OBRA'!E65</f>
        <v/>
      </c>
      <c r="BQ3" s="90">
        <f>'BARRACÃO DE OBRA'!E66</f>
        <v/>
      </c>
      <c r="BR3" s="90">
        <f>'BARRACÃO DE OBRA'!E67</f>
        <v/>
      </c>
      <c r="BS3" s="90">
        <f>'BARRACÃO DE OBRA'!E68</f>
        <v/>
      </c>
      <c r="BT3" s="90">
        <f>'BARRACÃO DE OBRA'!E69</f>
        <v/>
      </c>
      <c r="BU3" s="90">
        <f>'BARRACÃO DE OBRA'!E70</f>
        <v/>
      </c>
      <c r="BV3" s="90">
        <f>'BARRACÃO DE OBRA'!E71</f>
        <v/>
      </c>
      <c r="BW3" s="90">
        <f>'BARRACÃO DE OBRA'!E72</f>
        <v/>
      </c>
      <c r="BX3" s="90">
        <f>'BARRACÃO DE OBRA'!E73</f>
        <v/>
      </c>
      <c r="BY3" s="90">
        <f>'BARRACÃO DE OBRA'!E74</f>
        <v/>
      </c>
      <c r="BZ3" s="90">
        <f>'BARRACÃO DE OBRA'!E75</f>
        <v/>
      </c>
      <c r="CA3" s="90">
        <f>'BARRACÃO DE OBRA'!E76</f>
        <v/>
      </c>
    </row>
    <row r="4">
      <c r="A4" s="60" t="n"/>
      <c r="B4" s="60" t="inlineStr">
        <is>
          <t>1030-1070-160</t>
        </is>
      </c>
      <c r="C4" s="60" t="inlineStr">
        <is>
          <t>CONSULTORIAS (OBRAS)</t>
        </is>
      </c>
      <c r="D4" s="63">
        <f>'CONSULTORIAS'!$K$5</f>
        <v/>
      </c>
      <c r="E4" s="50">
        <f>SUM(H4:CA4)</f>
        <v/>
      </c>
      <c r="F4" s="50">
        <f>IF(D4="","",D4-E4)</f>
        <v/>
      </c>
      <c r="H4" s="90">
        <f>'CONSULTORIAS'!E5</f>
        <v/>
      </c>
      <c r="I4" s="90">
        <f>'CONSULTORIAS'!E6</f>
        <v/>
      </c>
      <c r="J4" s="90">
        <f>'CONSULTORIAS'!E7</f>
        <v/>
      </c>
      <c r="K4" s="90">
        <f>'CONSULTORIAS'!E8</f>
        <v/>
      </c>
      <c r="L4" s="90">
        <f>'CONSULTORIAS'!E9</f>
        <v/>
      </c>
      <c r="M4" s="90">
        <f>'CONSULTORIAS'!E10</f>
        <v/>
      </c>
      <c r="N4" s="90">
        <f>'CONSULTORIAS'!E11</f>
        <v/>
      </c>
      <c r="O4" s="90">
        <f>'CONSULTORIAS'!E12</f>
        <v/>
      </c>
      <c r="P4" s="90">
        <f>'CONSULTORIAS'!E13</f>
        <v/>
      </c>
      <c r="Q4" s="90">
        <f>'CONSULTORIAS'!E14</f>
        <v/>
      </c>
      <c r="R4" s="90">
        <f>'CONSULTORIAS'!E15</f>
        <v/>
      </c>
      <c r="S4" s="90">
        <f>'CONSULTORIAS'!E16</f>
        <v/>
      </c>
      <c r="T4" s="90">
        <f>'CONSULTORIAS'!E17</f>
        <v/>
      </c>
      <c r="U4" s="90">
        <f>'CONSULTORIAS'!E18</f>
        <v/>
      </c>
      <c r="V4" s="90">
        <f>'CONSULTORIAS'!E19</f>
        <v/>
      </c>
      <c r="W4" s="90">
        <f>'CONSULTORIAS'!E20</f>
        <v/>
      </c>
      <c r="X4" s="90">
        <f>'CONSULTORIAS'!E21</f>
        <v/>
      </c>
      <c r="Y4" s="90">
        <f>'CONSULTORIAS'!E22</f>
        <v/>
      </c>
      <c r="Z4" s="90">
        <f>'CONSULTORIAS'!E23</f>
        <v/>
      </c>
      <c r="AA4" s="90">
        <f>'CONSULTORIAS'!E24</f>
        <v/>
      </c>
      <c r="AB4" s="90">
        <f>'CONSULTORIAS'!E25</f>
        <v/>
      </c>
      <c r="AC4" s="90">
        <f>'CONSULTORIAS'!E26</f>
        <v/>
      </c>
      <c r="AD4" s="90">
        <f>'CONSULTORIAS'!E27</f>
        <v/>
      </c>
      <c r="AE4" s="90">
        <f>'CONSULTORIAS'!E28</f>
        <v/>
      </c>
      <c r="AF4" s="90">
        <f>'CONSULTORIAS'!E29</f>
        <v/>
      </c>
      <c r="AG4" s="90">
        <f>'CONSULTORIAS'!E30</f>
        <v/>
      </c>
      <c r="AH4" s="90">
        <f>'CONSULTORIAS'!E31</f>
        <v/>
      </c>
      <c r="AI4" s="90">
        <f>'CONSULTORIAS'!E32</f>
        <v/>
      </c>
      <c r="AJ4" s="90">
        <f>'CONSULTORIAS'!E33</f>
        <v/>
      </c>
      <c r="AK4" s="90">
        <f>'CONSULTORIAS'!E34</f>
        <v/>
      </c>
      <c r="AL4" s="90">
        <f>'CONSULTORIAS'!E35</f>
        <v/>
      </c>
      <c r="AM4" s="90">
        <f>'CONSULTORIAS'!E36</f>
        <v/>
      </c>
      <c r="AN4" s="90">
        <f>'CONSULTORIAS'!E37</f>
        <v/>
      </c>
      <c r="AO4" s="90">
        <f>'CONSULTORIAS'!E38</f>
        <v/>
      </c>
      <c r="AP4" s="90">
        <f>'CONSULTORIAS'!E39</f>
        <v/>
      </c>
      <c r="AQ4" s="90">
        <f>'CONSULTORIAS'!E40</f>
        <v/>
      </c>
      <c r="AR4" s="90">
        <f>'CONSULTORIAS'!E41</f>
        <v/>
      </c>
      <c r="AS4" s="90">
        <f>'CONSULTORIAS'!E42</f>
        <v/>
      </c>
      <c r="AT4" s="90">
        <f>'CONSULTORIAS'!E43</f>
        <v/>
      </c>
      <c r="AU4" s="90">
        <f>'CONSULTORIAS'!E44</f>
        <v/>
      </c>
      <c r="AV4" s="90">
        <f>'CONSULTORIAS'!E45</f>
        <v/>
      </c>
      <c r="AW4" s="90">
        <f>'CONSULTORIAS'!E46</f>
        <v/>
      </c>
      <c r="AX4" s="90">
        <f>'CONSULTORIAS'!E47</f>
        <v/>
      </c>
      <c r="AY4" s="90">
        <f>'CONSULTORIAS'!E48</f>
        <v/>
      </c>
      <c r="AZ4" s="90">
        <f>'CONSULTORIAS'!E49</f>
        <v/>
      </c>
      <c r="BA4" s="90">
        <f>'CONSULTORIAS'!E50</f>
        <v/>
      </c>
      <c r="BB4" s="90">
        <f>'CONSULTORIAS'!E51</f>
        <v/>
      </c>
      <c r="BC4" s="90">
        <f>'CONSULTORIAS'!E52</f>
        <v/>
      </c>
      <c r="BD4" s="90">
        <f>'CONSULTORIAS'!E53</f>
        <v/>
      </c>
      <c r="BE4" s="90">
        <f>'CONSULTORIAS'!E54</f>
        <v/>
      </c>
      <c r="BF4" s="90">
        <f>'CONSULTORIAS'!E55</f>
        <v/>
      </c>
      <c r="BG4" s="90">
        <f>'CONSULTORIAS'!E56</f>
        <v/>
      </c>
      <c r="BH4" s="90">
        <f>'CONSULTORIAS'!E57</f>
        <v/>
      </c>
      <c r="BI4" s="90">
        <f>'CONSULTORIAS'!E58</f>
        <v/>
      </c>
      <c r="BJ4" s="90">
        <f>'CONSULTORIAS'!E59</f>
        <v/>
      </c>
      <c r="BK4" s="90">
        <f>'CONSULTORIAS'!E60</f>
        <v/>
      </c>
      <c r="BL4" s="90">
        <f>'CONSULTORIAS'!E61</f>
        <v/>
      </c>
      <c r="BM4" s="90">
        <f>'CONSULTORIAS'!E62</f>
        <v/>
      </c>
      <c r="BN4" s="90">
        <f>'CONSULTORIAS'!E63</f>
        <v/>
      </c>
      <c r="BO4" s="90">
        <f>'CONSULTORIAS'!E64</f>
        <v/>
      </c>
      <c r="BP4" s="90">
        <f>'CONSULTORIAS'!E65</f>
        <v/>
      </c>
      <c r="BQ4" s="90">
        <f>'CONSULTORIAS'!E66</f>
        <v/>
      </c>
      <c r="BR4" s="90">
        <f>'CONSULTORIAS'!E67</f>
        <v/>
      </c>
      <c r="BS4" s="90">
        <f>'CONSULTORIAS'!E68</f>
        <v/>
      </c>
      <c r="BT4" s="90">
        <f>'CONSULTORIAS'!E69</f>
        <v/>
      </c>
      <c r="BU4" s="90">
        <f>'CONSULTORIAS'!E70</f>
        <v/>
      </c>
      <c r="BV4" s="90">
        <f>'CONSULTORIAS'!E71</f>
        <v/>
      </c>
      <c r="BW4" s="90">
        <f>'CONSULTORIAS'!E72</f>
        <v/>
      </c>
      <c r="BX4" s="90">
        <f>'CONSULTORIAS'!E73</f>
        <v/>
      </c>
      <c r="BY4" s="90">
        <f>'CONSULTORIAS'!E74</f>
        <v/>
      </c>
      <c r="BZ4" s="90">
        <f>'CONSULTORIAS'!E75</f>
        <v/>
      </c>
      <c r="CA4" s="90">
        <f>'CONSULTORIAS'!E76</f>
        <v/>
      </c>
    </row>
    <row r="5">
      <c r="A5" s="60" t="n"/>
      <c r="B5" s="60" t="inlineStr">
        <is>
          <t>1030-1070-170</t>
        </is>
      </c>
      <c r="C5" s="60" t="inlineStr">
        <is>
          <t>CONSUMO DE ÁGUA, ENERGIA, ETC.</t>
        </is>
      </c>
      <c r="D5" s="63">
        <f>'CONSUMOS'!$K$5</f>
        <v/>
      </c>
      <c r="E5" s="50">
        <f>SUM(H5:CA5)</f>
        <v/>
      </c>
      <c r="F5" s="50">
        <f>IF(D5="","",D5-E5)</f>
        <v/>
      </c>
      <c r="H5" s="90">
        <f>'CONSUMOS'!E5</f>
        <v/>
      </c>
      <c r="I5" s="90">
        <f>'CONSUMOS'!E6</f>
        <v/>
      </c>
      <c r="J5" s="90">
        <f>'CONSUMOS'!E7</f>
        <v/>
      </c>
      <c r="K5" s="90">
        <f>'CONSUMOS'!E8</f>
        <v/>
      </c>
      <c r="L5" s="90">
        <f>'CONSUMOS'!E9</f>
        <v/>
      </c>
      <c r="M5" s="90">
        <f>'CONSUMOS'!E10</f>
        <v/>
      </c>
      <c r="N5" s="90">
        <f>'CONSUMOS'!E11</f>
        <v/>
      </c>
      <c r="O5" s="90">
        <f>'CONSUMOS'!E12</f>
        <v/>
      </c>
      <c r="P5" s="90">
        <f>'CONSUMOS'!E13</f>
        <v/>
      </c>
      <c r="Q5" s="90">
        <f>'CONSUMOS'!E14</f>
        <v/>
      </c>
      <c r="R5" s="90">
        <f>'CONSUMOS'!E15</f>
        <v/>
      </c>
      <c r="S5" s="90">
        <f>'CONSUMOS'!E16</f>
        <v/>
      </c>
      <c r="T5" s="90">
        <f>'CONSUMOS'!E17</f>
        <v/>
      </c>
      <c r="U5" s="90">
        <f>'CONSUMOS'!E18</f>
        <v/>
      </c>
      <c r="V5" s="90">
        <f>'CONSUMOS'!E19</f>
        <v/>
      </c>
      <c r="W5" s="90">
        <f>'CONSUMOS'!E20</f>
        <v/>
      </c>
      <c r="X5" s="90">
        <f>'CONSUMOS'!E21</f>
        <v/>
      </c>
      <c r="Y5" s="90">
        <f>'CONSUMOS'!E22</f>
        <v/>
      </c>
      <c r="Z5" s="90">
        <f>'CONSUMOS'!E23</f>
        <v/>
      </c>
      <c r="AA5" s="90">
        <f>'CONSUMOS'!E24</f>
        <v/>
      </c>
      <c r="AB5" s="90">
        <f>'CONSUMOS'!E25</f>
        <v/>
      </c>
      <c r="AC5" s="90">
        <f>'CONSUMOS'!E26</f>
        <v/>
      </c>
      <c r="AD5" s="90">
        <f>'CONSUMOS'!E27</f>
        <v/>
      </c>
      <c r="AE5" s="90">
        <f>'CONSUMOS'!E28</f>
        <v/>
      </c>
      <c r="AF5" s="90">
        <f>'CONSUMOS'!E29</f>
        <v/>
      </c>
      <c r="AG5" s="90">
        <f>'CONSUMOS'!E30</f>
        <v/>
      </c>
      <c r="AH5" s="90">
        <f>'CONSUMOS'!E31</f>
        <v/>
      </c>
      <c r="AI5" s="90">
        <f>'CONSUMOS'!E32</f>
        <v/>
      </c>
      <c r="AJ5" s="90">
        <f>'CONSUMOS'!E33</f>
        <v/>
      </c>
      <c r="AK5" s="90">
        <f>'CONSUMOS'!E34</f>
        <v/>
      </c>
      <c r="AL5" s="90">
        <f>'CONSUMOS'!E35</f>
        <v/>
      </c>
      <c r="AM5" s="90">
        <f>'CONSUMOS'!E36</f>
        <v/>
      </c>
      <c r="AN5" s="90">
        <f>'CONSUMOS'!E37</f>
        <v/>
      </c>
      <c r="AO5" s="90">
        <f>'CONSUMOS'!E38</f>
        <v/>
      </c>
      <c r="AP5" s="90">
        <f>'CONSUMOS'!E39</f>
        <v/>
      </c>
      <c r="AQ5" s="90">
        <f>'CONSUMOS'!E40</f>
        <v/>
      </c>
      <c r="AR5" s="90">
        <f>'CONSUMOS'!E41</f>
        <v/>
      </c>
      <c r="AS5" s="90">
        <f>'CONSUMOS'!E42</f>
        <v/>
      </c>
      <c r="AT5" s="90">
        <f>'CONSUMOS'!E43</f>
        <v/>
      </c>
      <c r="AU5" s="90">
        <f>'CONSUMOS'!E44</f>
        <v/>
      </c>
      <c r="AV5" s="90">
        <f>'CONSUMOS'!E45</f>
        <v/>
      </c>
      <c r="AW5" s="90">
        <f>'CONSUMOS'!E46</f>
        <v/>
      </c>
      <c r="AX5" s="90">
        <f>'CONSUMOS'!E47</f>
        <v/>
      </c>
      <c r="AY5" s="90">
        <f>'CONSUMOS'!E48</f>
        <v/>
      </c>
      <c r="AZ5" s="90">
        <f>'CONSUMOS'!E49</f>
        <v/>
      </c>
      <c r="BA5" s="90">
        <f>'CONSUMOS'!E50</f>
        <v/>
      </c>
      <c r="BB5" s="90">
        <f>'CONSUMOS'!E51</f>
        <v/>
      </c>
      <c r="BC5" s="90">
        <f>'CONSUMOS'!E52</f>
        <v/>
      </c>
      <c r="BD5" s="90">
        <f>'CONSUMOS'!E53</f>
        <v/>
      </c>
      <c r="BE5" s="90">
        <f>'CONSUMOS'!E54</f>
        <v/>
      </c>
      <c r="BF5" s="90">
        <f>'CONSUMOS'!E55</f>
        <v/>
      </c>
      <c r="BG5" s="90">
        <f>'CONSUMOS'!E56</f>
        <v/>
      </c>
      <c r="BH5" s="90">
        <f>'CONSUMOS'!E57</f>
        <v/>
      </c>
      <c r="BI5" s="90">
        <f>'CONSUMOS'!E58</f>
        <v/>
      </c>
      <c r="BJ5" s="90">
        <f>'CONSUMOS'!E59</f>
        <v/>
      </c>
      <c r="BK5" s="90">
        <f>'CONSUMOS'!E60</f>
        <v/>
      </c>
      <c r="BL5" s="90">
        <f>'CONSUMOS'!E61</f>
        <v/>
      </c>
      <c r="BM5" s="90">
        <f>'CONSUMOS'!E62</f>
        <v/>
      </c>
      <c r="BN5" s="90">
        <f>'CONSUMOS'!E63</f>
        <v/>
      </c>
      <c r="BO5" s="90">
        <f>'CONSUMOS'!E64</f>
        <v/>
      </c>
      <c r="BP5" s="90">
        <f>'CONSUMOS'!E65</f>
        <v/>
      </c>
      <c r="BQ5" s="90">
        <f>'CONSUMOS'!E66</f>
        <v/>
      </c>
      <c r="BR5" s="90">
        <f>'CONSUMOS'!E67</f>
        <v/>
      </c>
      <c r="BS5" s="90">
        <f>'CONSUMOS'!E68</f>
        <v/>
      </c>
      <c r="BT5" s="90">
        <f>'CONSUMOS'!E69</f>
        <v/>
      </c>
      <c r="BU5" s="90">
        <f>'CONSUMOS'!E70</f>
        <v/>
      </c>
      <c r="BV5" s="90">
        <f>'CONSUMOS'!E71</f>
        <v/>
      </c>
      <c r="BW5" s="90">
        <f>'CONSUMOS'!E72</f>
        <v/>
      </c>
      <c r="BX5" s="90">
        <f>'CONSUMOS'!E73</f>
        <v/>
      </c>
      <c r="BY5" s="90">
        <f>'CONSUMOS'!E74</f>
        <v/>
      </c>
      <c r="BZ5" s="90">
        <f>'CONSUMOS'!E75</f>
        <v/>
      </c>
      <c r="CA5" s="90">
        <f>'CONSUMOS'!E76</f>
        <v/>
      </c>
    </row>
    <row r="6">
      <c r="A6" s="60" t="n"/>
      <c r="B6" s="60" t="inlineStr">
        <is>
          <t>1030-1070-190</t>
        </is>
      </c>
      <c r="C6" s="60" t="inlineStr">
        <is>
          <t>CONTENÇÃO</t>
        </is>
      </c>
      <c r="D6" s="63">
        <f>'CONTENÇÃO'!$K$5</f>
        <v/>
      </c>
      <c r="E6" s="50">
        <f>SUM(H6:CA6)</f>
        <v/>
      </c>
      <c r="F6" s="50">
        <f>IF(D6="","",D6-E6)</f>
        <v/>
      </c>
      <c r="H6" s="90">
        <f>'CONTENÇÃO'!E5</f>
        <v/>
      </c>
      <c r="I6" s="90">
        <f>'CONTENÇÃO'!E6</f>
        <v/>
      </c>
      <c r="J6" s="90">
        <f>'CONTENÇÃO'!E7</f>
        <v/>
      </c>
      <c r="K6" s="90">
        <f>'CONTENÇÃO'!E8</f>
        <v/>
      </c>
      <c r="L6" s="90">
        <f>'CONTENÇÃO'!E9</f>
        <v/>
      </c>
      <c r="M6" s="90">
        <f>'CONTENÇÃO'!E10</f>
        <v/>
      </c>
      <c r="N6" s="90">
        <f>'CONTENÇÃO'!E11</f>
        <v/>
      </c>
      <c r="O6" s="90">
        <f>'CONTENÇÃO'!E12</f>
        <v/>
      </c>
      <c r="P6" s="90">
        <f>'CONTENÇÃO'!E13</f>
        <v/>
      </c>
      <c r="Q6" s="90">
        <f>'CONTENÇÃO'!E14</f>
        <v/>
      </c>
      <c r="R6" s="90">
        <f>'CONTENÇÃO'!E15</f>
        <v/>
      </c>
      <c r="S6" s="90">
        <f>'CONTENÇÃO'!E16</f>
        <v/>
      </c>
      <c r="T6" s="90">
        <f>'CONTENÇÃO'!E17</f>
        <v/>
      </c>
      <c r="U6" s="90">
        <f>'CONTENÇÃO'!E18</f>
        <v/>
      </c>
      <c r="V6" s="90">
        <f>'CONTENÇÃO'!E19</f>
        <v/>
      </c>
      <c r="W6" s="90">
        <f>'CONTENÇÃO'!E20</f>
        <v/>
      </c>
      <c r="X6" s="90">
        <f>'CONTENÇÃO'!E21</f>
        <v/>
      </c>
      <c r="Y6" s="90">
        <f>'CONTENÇÃO'!E22</f>
        <v/>
      </c>
      <c r="Z6" s="90">
        <f>'CONTENÇÃO'!E23</f>
        <v/>
      </c>
      <c r="AA6" s="90">
        <f>'CONTENÇÃO'!E24</f>
        <v/>
      </c>
      <c r="AB6" s="90">
        <f>'CONTENÇÃO'!E25</f>
        <v/>
      </c>
      <c r="AC6" s="90">
        <f>'CONTENÇÃO'!E26</f>
        <v/>
      </c>
      <c r="AD6" s="90">
        <f>'CONTENÇÃO'!E27</f>
        <v/>
      </c>
      <c r="AE6" s="90">
        <f>'CONTENÇÃO'!E28</f>
        <v/>
      </c>
      <c r="AF6" s="90">
        <f>'CONTENÇÃO'!E29</f>
        <v/>
      </c>
      <c r="AG6" s="90">
        <f>'CONTENÇÃO'!E30</f>
        <v/>
      </c>
      <c r="AH6" s="90">
        <f>'CONTENÇÃO'!E31</f>
        <v/>
      </c>
      <c r="AI6" s="90">
        <f>'CONTENÇÃO'!E32</f>
        <v/>
      </c>
      <c r="AJ6" s="90">
        <f>'CONTENÇÃO'!E33</f>
        <v/>
      </c>
      <c r="AK6" s="90">
        <f>'CONTENÇÃO'!E34</f>
        <v/>
      </c>
      <c r="AL6" s="90">
        <f>'CONTENÇÃO'!E35</f>
        <v/>
      </c>
      <c r="AM6" s="90">
        <f>'CONTENÇÃO'!E36</f>
        <v/>
      </c>
      <c r="AN6" s="90">
        <f>'CONTENÇÃO'!E37</f>
        <v/>
      </c>
      <c r="AO6" s="90">
        <f>'CONTENÇÃO'!E38</f>
        <v/>
      </c>
      <c r="AP6" s="90">
        <f>'CONTENÇÃO'!E39</f>
        <v/>
      </c>
      <c r="AQ6" s="90">
        <f>'CONTENÇÃO'!E40</f>
        <v/>
      </c>
      <c r="AR6" s="90">
        <f>'CONTENÇÃO'!E41</f>
        <v/>
      </c>
      <c r="AS6" s="90">
        <f>'CONTENÇÃO'!E42</f>
        <v/>
      </c>
      <c r="AT6" s="90">
        <f>'CONTENÇÃO'!E43</f>
        <v/>
      </c>
      <c r="AU6" s="90">
        <f>'CONTENÇÃO'!E44</f>
        <v/>
      </c>
      <c r="AV6" s="90">
        <f>'CONTENÇÃO'!E45</f>
        <v/>
      </c>
      <c r="AW6" s="90">
        <f>'CONTENÇÃO'!E46</f>
        <v/>
      </c>
      <c r="AX6" s="90">
        <f>'CONTENÇÃO'!E47</f>
        <v/>
      </c>
      <c r="AY6" s="90">
        <f>'CONTENÇÃO'!E48</f>
        <v/>
      </c>
      <c r="AZ6" s="90">
        <f>'CONTENÇÃO'!E49</f>
        <v/>
      </c>
      <c r="BA6" s="90">
        <f>'CONTENÇÃO'!E50</f>
        <v/>
      </c>
      <c r="BB6" s="90">
        <f>'CONTENÇÃO'!E51</f>
        <v/>
      </c>
      <c r="BC6" s="90">
        <f>'CONTENÇÃO'!E52</f>
        <v/>
      </c>
      <c r="BD6" s="90">
        <f>'CONTENÇÃO'!E53</f>
        <v/>
      </c>
      <c r="BE6" s="90">
        <f>'CONTENÇÃO'!E54</f>
        <v/>
      </c>
      <c r="BF6" s="90">
        <f>'CONTENÇÃO'!E55</f>
        <v/>
      </c>
      <c r="BG6" s="90">
        <f>'CONTENÇÃO'!E56</f>
        <v/>
      </c>
      <c r="BH6" s="90">
        <f>'CONTENÇÃO'!E57</f>
        <v/>
      </c>
      <c r="BI6" s="90">
        <f>'CONTENÇÃO'!E58</f>
        <v/>
      </c>
      <c r="BJ6" s="90">
        <f>'CONTENÇÃO'!E59</f>
        <v/>
      </c>
      <c r="BK6" s="90">
        <f>'CONTENÇÃO'!E60</f>
        <v/>
      </c>
      <c r="BL6" s="90">
        <f>'CONTENÇÃO'!E61</f>
        <v/>
      </c>
      <c r="BM6" s="90">
        <f>'CONTENÇÃO'!E62</f>
        <v/>
      </c>
      <c r="BN6" s="90">
        <f>'CONTENÇÃO'!E63</f>
        <v/>
      </c>
      <c r="BO6" s="90">
        <f>'CONTENÇÃO'!E64</f>
        <v/>
      </c>
      <c r="BP6" s="90">
        <f>'CONTENÇÃO'!E65</f>
        <v/>
      </c>
      <c r="BQ6" s="90">
        <f>'CONTENÇÃO'!E66</f>
        <v/>
      </c>
      <c r="BR6" s="90">
        <f>'CONTENÇÃO'!E67</f>
        <v/>
      </c>
      <c r="BS6" s="90">
        <f>'CONTENÇÃO'!E68</f>
        <v/>
      </c>
      <c r="BT6" s="90">
        <f>'CONTENÇÃO'!E69</f>
        <v/>
      </c>
      <c r="BU6" s="90">
        <f>'CONTENÇÃO'!E70</f>
        <v/>
      </c>
      <c r="BV6" s="90">
        <f>'CONTENÇÃO'!E71</f>
        <v/>
      </c>
      <c r="BW6" s="90">
        <f>'CONTENÇÃO'!E72</f>
        <v/>
      </c>
      <c r="BX6" s="90">
        <f>'CONTENÇÃO'!E73</f>
        <v/>
      </c>
      <c r="BY6" s="90">
        <f>'CONTENÇÃO'!E74</f>
        <v/>
      </c>
      <c r="BZ6" s="90">
        <f>'CONTENÇÃO'!E75</f>
        <v/>
      </c>
      <c r="CA6" s="90">
        <f>'CONTENÇÃO'!E76</f>
        <v/>
      </c>
    </row>
    <row r="7">
      <c r="A7" s="60" t="n"/>
      <c r="B7" s="60" t="inlineStr">
        <is>
          <t>1030-1070-510</t>
        </is>
      </c>
      <c r="C7" s="60" t="inlineStr">
        <is>
          <t>DEMOLIÇÃO</t>
        </is>
      </c>
      <c r="E7" s="50">
        <f>SUM(H7:CA7)</f>
        <v/>
      </c>
      <c r="F7" s="50">
        <f>IF(D7="","",D7-E7)</f>
        <v/>
      </c>
    </row>
    <row r="8">
      <c r="A8" s="60" t="n"/>
      <c r="B8" s="60" t="inlineStr">
        <is>
          <t>1030-1070-550</t>
        </is>
      </c>
      <c r="C8" s="60" t="inlineStr">
        <is>
          <t>DEVOLUÇÃO DE CAIXA DE OBRA</t>
        </is>
      </c>
      <c r="E8" s="50">
        <f>SUM(H8:CA8)</f>
        <v/>
      </c>
      <c r="F8" s="50">
        <f>IF(D8="","",D8-E8)</f>
        <v/>
      </c>
    </row>
    <row r="9">
      <c r="A9" s="60" t="n"/>
      <c r="B9" s="60" t="inlineStr">
        <is>
          <t>1030-1070-560</t>
        </is>
      </c>
      <c r="C9" s="60" t="inlineStr">
        <is>
          <t>DIVERSOS</t>
        </is>
      </c>
      <c r="D9" s="63">
        <f>'DIVERSOS'!$K$5</f>
        <v/>
      </c>
      <c r="E9" s="50">
        <f>SUM(H9:CA9)</f>
        <v/>
      </c>
      <c r="F9" s="50">
        <f>IF(D9="","",D9-E9)</f>
        <v/>
      </c>
      <c r="H9" s="90">
        <f>'DIVERSOS'!E5</f>
        <v/>
      </c>
      <c r="I9" s="90">
        <f>'DIVERSOS'!E6</f>
        <v/>
      </c>
      <c r="J9" s="90">
        <f>'DIVERSOS'!E7</f>
        <v/>
      </c>
      <c r="K9" s="90">
        <f>'DIVERSOS'!E8</f>
        <v/>
      </c>
      <c r="L9" s="90">
        <f>'DIVERSOS'!E9</f>
        <v/>
      </c>
      <c r="M9" s="90">
        <f>'DIVERSOS'!E10</f>
        <v/>
      </c>
      <c r="N9" s="90">
        <f>'DIVERSOS'!E11</f>
        <v/>
      </c>
      <c r="O9" s="90">
        <f>'DIVERSOS'!E12</f>
        <v/>
      </c>
      <c r="P9" s="90">
        <f>'DIVERSOS'!E13</f>
        <v/>
      </c>
      <c r="Q9" s="90">
        <f>'DIVERSOS'!E14</f>
        <v/>
      </c>
      <c r="R9" s="90">
        <f>'DIVERSOS'!E15</f>
        <v/>
      </c>
      <c r="S9" s="90">
        <f>'DIVERSOS'!E16</f>
        <v/>
      </c>
      <c r="T9" s="90">
        <f>'DIVERSOS'!E17</f>
        <v/>
      </c>
      <c r="U9" s="90">
        <f>'DIVERSOS'!E18</f>
        <v/>
      </c>
      <c r="V9" s="90">
        <f>'DIVERSOS'!E19</f>
        <v/>
      </c>
      <c r="W9" s="90">
        <f>'DIVERSOS'!E20</f>
        <v/>
      </c>
      <c r="X9" s="90">
        <f>'DIVERSOS'!E21</f>
        <v/>
      </c>
      <c r="Y9" s="90">
        <f>'DIVERSOS'!E22</f>
        <v/>
      </c>
      <c r="Z9" s="90">
        <f>'DIVERSOS'!E23</f>
        <v/>
      </c>
      <c r="AA9" s="90">
        <f>'DIVERSOS'!E24</f>
        <v/>
      </c>
      <c r="AB9" s="90">
        <f>'DIVERSOS'!E25</f>
        <v/>
      </c>
      <c r="AC9" s="90">
        <f>'DIVERSOS'!E26</f>
        <v/>
      </c>
      <c r="AD9" s="90">
        <f>'DIVERSOS'!E27</f>
        <v/>
      </c>
      <c r="AE9" s="90">
        <f>'DIVERSOS'!E28</f>
        <v/>
      </c>
      <c r="AF9" s="90">
        <f>'DIVERSOS'!E29</f>
        <v/>
      </c>
      <c r="AG9" s="90">
        <f>'DIVERSOS'!E30</f>
        <v/>
      </c>
      <c r="AH9" s="90">
        <f>'DIVERSOS'!E31</f>
        <v/>
      </c>
      <c r="AI9" s="90">
        <f>'DIVERSOS'!E32</f>
        <v/>
      </c>
      <c r="AJ9" s="90">
        <f>'DIVERSOS'!E33</f>
        <v/>
      </c>
      <c r="AK9" s="90">
        <f>'DIVERSOS'!E34</f>
        <v/>
      </c>
      <c r="AL9" s="90">
        <f>'DIVERSOS'!E35</f>
        <v/>
      </c>
      <c r="AM9" s="90">
        <f>'DIVERSOS'!E36</f>
        <v/>
      </c>
      <c r="AN9" s="90">
        <f>'DIVERSOS'!E37</f>
        <v/>
      </c>
      <c r="AO9" s="90">
        <f>'DIVERSOS'!E38</f>
        <v/>
      </c>
      <c r="AP9" s="90">
        <f>'DIVERSOS'!E39</f>
        <v/>
      </c>
      <c r="AQ9" s="90">
        <f>'DIVERSOS'!E40</f>
        <v/>
      </c>
      <c r="AR9" s="90">
        <f>'DIVERSOS'!E41</f>
        <v/>
      </c>
      <c r="AS9" s="90">
        <f>'DIVERSOS'!E42</f>
        <v/>
      </c>
      <c r="AT9" s="90">
        <f>'DIVERSOS'!E43</f>
        <v/>
      </c>
      <c r="AU9" s="90">
        <f>'DIVERSOS'!E44</f>
        <v/>
      </c>
      <c r="AV9" s="90">
        <f>'DIVERSOS'!E45</f>
        <v/>
      </c>
      <c r="AW9" s="90">
        <f>'DIVERSOS'!E46</f>
        <v/>
      </c>
      <c r="AX9" s="90">
        <f>'DIVERSOS'!E47</f>
        <v/>
      </c>
      <c r="AY9" s="90">
        <f>'DIVERSOS'!E48</f>
        <v/>
      </c>
      <c r="AZ9" s="90">
        <f>'DIVERSOS'!E49</f>
        <v/>
      </c>
      <c r="BA9" s="90">
        <f>'DIVERSOS'!E50</f>
        <v/>
      </c>
      <c r="BB9" s="90">
        <f>'DIVERSOS'!E51</f>
        <v/>
      </c>
      <c r="BC9" s="90">
        <f>'DIVERSOS'!E52</f>
        <v/>
      </c>
      <c r="BD9" s="90">
        <f>'DIVERSOS'!E53</f>
        <v/>
      </c>
      <c r="BE9" s="90">
        <f>'DIVERSOS'!E54</f>
        <v/>
      </c>
      <c r="BF9" s="90">
        <f>'DIVERSOS'!E55</f>
        <v/>
      </c>
      <c r="BG9" s="90">
        <f>'DIVERSOS'!E56</f>
        <v/>
      </c>
      <c r="BH9" s="90">
        <f>'DIVERSOS'!E57</f>
        <v/>
      </c>
      <c r="BI9" s="90">
        <f>'DIVERSOS'!E58</f>
        <v/>
      </c>
      <c r="BJ9" s="90">
        <f>'DIVERSOS'!E59</f>
        <v/>
      </c>
      <c r="BK9" s="90">
        <f>'DIVERSOS'!E60</f>
        <v/>
      </c>
      <c r="BL9" s="90">
        <f>'DIVERSOS'!E61</f>
        <v/>
      </c>
      <c r="BM9" s="90">
        <f>'DIVERSOS'!E62</f>
        <v/>
      </c>
      <c r="BN9" s="90">
        <f>'DIVERSOS'!E63</f>
        <v/>
      </c>
      <c r="BO9" s="90">
        <f>'DIVERSOS'!E64</f>
        <v/>
      </c>
      <c r="BP9" s="90">
        <f>'DIVERSOS'!E65</f>
        <v/>
      </c>
      <c r="BQ9" s="90">
        <f>'DIVERSOS'!E66</f>
        <v/>
      </c>
      <c r="BR9" s="90">
        <f>'DIVERSOS'!E67</f>
        <v/>
      </c>
      <c r="BS9" s="90">
        <f>'DIVERSOS'!E68</f>
        <v/>
      </c>
      <c r="BT9" s="90">
        <f>'DIVERSOS'!E69</f>
        <v/>
      </c>
      <c r="BU9" s="90">
        <f>'DIVERSOS'!E70</f>
        <v/>
      </c>
      <c r="BV9" s="90">
        <f>'DIVERSOS'!E71</f>
        <v/>
      </c>
      <c r="BW9" s="90">
        <f>'DIVERSOS'!E72</f>
        <v/>
      </c>
      <c r="BX9" s="90">
        <f>'DIVERSOS'!E73</f>
        <v/>
      </c>
      <c r="BY9" s="90">
        <f>'DIVERSOS'!E74</f>
        <v/>
      </c>
      <c r="BZ9" s="90">
        <f>'DIVERSOS'!E75</f>
        <v/>
      </c>
      <c r="CA9" s="90">
        <f>'DIVERSOS'!E76</f>
        <v/>
      </c>
    </row>
    <row r="10">
      <c r="A10" s="60" t="n"/>
      <c r="B10" s="60" t="inlineStr">
        <is>
          <t>1030-1070-400</t>
        </is>
      </c>
      <c r="C10" s="60" t="inlineStr">
        <is>
          <t xml:space="preserve">ELEVADORES </t>
        </is>
      </c>
      <c r="D10" s="63">
        <f>'ELEVADORES '!$K$5</f>
        <v/>
      </c>
      <c r="E10" s="50">
        <f>SUM(H10:CA10)</f>
        <v/>
      </c>
      <c r="F10" s="50">
        <f>IF(D10="","",D10-E10)</f>
        <v/>
      </c>
      <c r="H10" s="90">
        <f>'ELEVADORES '!E5</f>
        <v/>
      </c>
      <c r="I10" s="90">
        <f>'ELEVADORES '!E6</f>
        <v/>
      </c>
      <c r="J10" s="90">
        <f>'ELEVADORES '!E7</f>
        <v/>
      </c>
      <c r="K10" s="90">
        <f>'ELEVADORES '!E8</f>
        <v/>
      </c>
      <c r="L10" s="90">
        <f>'ELEVADORES '!E9</f>
        <v/>
      </c>
      <c r="M10" s="90">
        <f>'ELEVADORES '!E10</f>
        <v/>
      </c>
      <c r="N10" s="90">
        <f>'ELEVADORES '!E11</f>
        <v/>
      </c>
      <c r="O10" s="90">
        <f>'ELEVADORES '!E12</f>
        <v/>
      </c>
      <c r="P10" s="90">
        <f>'ELEVADORES '!E13</f>
        <v/>
      </c>
      <c r="Q10" s="90">
        <f>'ELEVADORES '!E14</f>
        <v/>
      </c>
      <c r="R10" s="90">
        <f>'ELEVADORES '!E15</f>
        <v/>
      </c>
      <c r="S10" s="90">
        <f>'ELEVADORES '!E16</f>
        <v/>
      </c>
      <c r="T10" s="90">
        <f>'ELEVADORES '!E17</f>
        <v/>
      </c>
      <c r="U10" s="90">
        <f>'ELEVADORES '!E18</f>
        <v/>
      </c>
      <c r="V10" s="90">
        <f>'ELEVADORES '!E19</f>
        <v/>
      </c>
      <c r="W10" s="90">
        <f>'ELEVADORES '!E20</f>
        <v/>
      </c>
      <c r="X10" s="90">
        <f>'ELEVADORES '!E21</f>
        <v/>
      </c>
      <c r="Y10" s="90">
        <f>'ELEVADORES '!E22</f>
        <v/>
      </c>
      <c r="Z10" s="90">
        <f>'ELEVADORES '!E23</f>
        <v/>
      </c>
      <c r="AA10" s="90">
        <f>'ELEVADORES '!E24</f>
        <v/>
      </c>
      <c r="AB10" s="90">
        <f>'ELEVADORES '!E25</f>
        <v/>
      </c>
      <c r="AC10" s="90">
        <f>'ELEVADORES '!E26</f>
        <v/>
      </c>
      <c r="AD10" s="90">
        <f>'ELEVADORES '!E27</f>
        <v/>
      </c>
      <c r="AE10" s="90">
        <f>'ELEVADORES '!E28</f>
        <v/>
      </c>
      <c r="AF10" s="90">
        <f>'ELEVADORES '!E29</f>
        <v/>
      </c>
      <c r="AG10" s="90">
        <f>'ELEVADORES '!E30</f>
        <v/>
      </c>
      <c r="AH10" s="90">
        <f>'ELEVADORES '!E31</f>
        <v/>
      </c>
      <c r="AI10" s="90">
        <f>'ELEVADORES '!E32</f>
        <v/>
      </c>
      <c r="AJ10" s="90">
        <f>'ELEVADORES '!E33</f>
        <v/>
      </c>
      <c r="AK10" s="90">
        <f>'ELEVADORES '!E34</f>
        <v/>
      </c>
      <c r="AL10" s="90">
        <f>'ELEVADORES '!E35</f>
        <v/>
      </c>
      <c r="AM10" s="90">
        <f>'ELEVADORES '!E36</f>
        <v/>
      </c>
      <c r="AN10" s="90">
        <f>'ELEVADORES '!E37</f>
        <v/>
      </c>
      <c r="AO10" s="90">
        <f>'ELEVADORES '!E38</f>
        <v/>
      </c>
      <c r="AP10" s="90">
        <f>'ELEVADORES '!E39</f>
        <v/>
      </c>
      <c r="AQ10" s="90">
        <f>'ELEVADORES '!E40</f>
        <v/>
      </c>
      <c r="AR10" s="90">
        <f>'ELEVADORES '!E41</f>
        <v/>
      </c>
      <c r="AS10" s="90">
        <f>'ELEVADORES '!E42</f>
        <v/>
      </c>
      <c r="AT10" s="90">
        <f>'ELEVADORES '!E43</f>
        <v/>
      </c>
      <c r="AU10" s="90">
        <f>'ELEVADORES '!E44</f>
        <v/>
      </c>
      <c r="AV10" s="90">
        <f>'ELEVADORES '!E45</f>
        <v/>
      </c>
      <c r="AW10" s="90">
        <f>'ELEVADORES '!E46</f>
        <v/>
      </c>
      <c r="AX10" s="90">
        <f>'ELEVADORES '!E47</f>
        <v/>
      </c>
      <c r="AY10" s="90">
        <f>'ELEVADORES '!E48</f>
        <v/>
      </c>
      <c r="AZ10" s="90">
        <f>'ELEVADORES '!E49</f>
        <v/>
      </c>
      <c r="BA10" s="90">
        <f>'ELEVADORES '!E50</f>
        <v/>
      </c>
      <c r="BB10" s="90">
        <f>'ELEVADORES '!E51</f>
        <v/>
      </c>
      <c r="BC10" s="90">
        <f>'ELEVADORES '!E52</f>
        <v/>
      </c>
      <c r="BD10" s="90">
        <f>'ELEVADORES '!E53</f>
        <v/>
      </c>
      <c r="BE10" s="90">
        <f>'ELEVADORES '!E54</f>
        <v/>
      </c>
      <c r="BF10" s="90">
        <f>'ELEVADORES '!E55</f>
        <v/>
      </c>
      <c r="BG10" s="90">
        <f>'ELEVADORES '!E56</f>
        <v/>
      </c>
      <c r="BH10" s="90">
        <f>'ELEVADORES '!E57</f>
        <v/>
      </c>
      <c r="BI10" s="90">
        <f>'ELEVADORES '!E58</f>
        <v/>
      </c>
      <c r="BJ10" s="90">
        <f>'ELEVADORES '!E59</f>
        <v/>
      </c>
      <c r="BK10" s="90">
        <f>'ELEVADORES '!E60</f>
        <v/>
      </c>
      <c r="BL10" s="90">
        <f>'ELEVADORES '!E61</f>
        <v/>
      </c>
      <c r="BM10" s="90">
        <f>'ELEVADORES '!E62</f>
        <v/>
      </c>
      <c r="BN10" s="90">
        <f>'ELEVADORES '!E63</f>
        <v/>
      </c>
      <c r="BO10" s="90">
        <f>'ELEVADORES '!E64</f>
        <v/>
      </c>
      <c r="BP10" s="90">
        <f>'ELEVADORES '!E65</f>
        <v/>
      </c>
      <c r="BQ10" s="90">
        <f>'ELEVADORES '!E66</f>
        <v/>
      </c>
      <c r="BR10" s="90">
        <f>'ELEVADORES '!E67</f>
        <v/>
      </c>
      <c r="BS10" s="90">
        <f>'ELEVADORES '!E68</f>
        <v/>
      </c>
      <c r="BT10" s="90">
        <f>'ELEVADORES '!E69</f>
        <v/>
      </c>
      <c r="BU10" s="90">
        <f>'ELEVADORES '!E70</f>
        <v/>
      </c>
      <c r="BV10" s="90">
        <f>'ELEVADORES '!E71</f>
        <v/>
      </c>
      <c r="BW10" s="90">
        <f>'ELEVADORES '!E72</f>
        <v/>
      </c>
      <c r="BX10" s="90">
        <f>'ELEVADORES '!E73</f>
        <v/>
      </c>
      <c r="BY10" s="90">
        <f>'ELEVADORES '!E74</f>
        <v/>
      </c>
      <c r="BZ10" s="90">
        <f>'ELEVADORES '!E75</f>
        <v/>
      </c>
      <c r="CA10" s="90">
        <f>'ELEVADORES '!E76</f>
        <v/>
      </c>
    </row>
    <row r="11">
      <c r="A11" s="60" t="n"/>
      <c r="B11" s="60" t="inlineStr">
        <is>
          <t>1030-1070-450</t>
        </is>
      </c>
      <c r="C11" s="60" t="inlineStr">
        <is>
          <t>EQUIPAMENTOS E FERRAMENTAS</t>
        </is>
      </c>
      <c r="D11" s="63">
        <f>'EQUIP E FER'!$K$5</f>
        <v/>
      </c>
      <c r="E11" s="50">
        <f>SUM(H11:CA11)</f>
        <v/>
      </c>
      <c r="F11" s="50">
        <f>IF(D11="","",D11-E11)</f>
        <v/>
      </c>
      <c r="H11" s="90">
        <f>'EQUIP E FER'!E5</f>
        <v/>
      </c>
      <c r="I11" s="90">
        <f>'EQUIP E FER'!E6</f>
        <v/>
      </c>
      <c r="J11" s="90">
        <f>'EQUIP E FER'!E7</f>
        <v/>
      </c>
      <c r="K11" s="90">
        <f>'EQUIP E FER'!E8</f>
        <v/>
      </c>
      <c r="L11" s="90">
        <f>'EQUIP E FER'!E9</f>
        <v/>
      </c>
      <c r="M11" s="90">
        <f>'EQUIP E FER'!E10</f>
        <v/>
      </c>
      <c r="N11" s="90">
        <f>'EQUIP E FER'!E11</f>
        <v/>
      </c>
      <c r="O11" s="90">
        <f>'EQUIP E FER'!E12</f>
        <v/>
      </c>
      <c r="P11" s="90">
        <f>'EQUIP E FER'!E13</f>
        <v/>
      </c>
      <c r="Q11" s="90">
        <f>'EQUIP E FER'!E14</f>
        <v/>
      </c>
      <c r="R11" s="90">
        <f>'EQUIP E FER'!E15</f>
        <v/>
      </c>
      <c r="S11" s="90">
        <f>'EQUIP E FER'!E16</f>
        <v/>
      </c>
      <c r="T11" s="90">
        <f>'EQUIP E FER'!E17</f>
        <v/>
      </c>
      <c r="U11" s="90">
        <f>'EQUIP E FER'!E18</f>
        <v/>
      </c>
      <c r="V11" s="90">
        <f>'EQUIP E FER'!E19</f>
        <v/>
      </c>
      <c r="W11" s="90">
        <f>'EQUIP E FER'!E20</f>
        <v/>
      </c>
      <c r="X11" s="90">
        <f>'EQUIP E FER'!E21</f>
        <v/>
      </c>
      <c r="Y11" s="90">
        <f>'EQUIP E FER'!E22</f>
        <v/>
      </c>
      <c r="Z11" s="90">
        <f>'EQUIP E FER'!E23</f>
        <v/>
      </c>
      <c r="AA11" s="90">
        <f>'EQUIP E FER'!E24</f>
        <v/>
      </c>
      <c r="AB11" s="90">
        <f>'EQUIP E FER'!E25</f>
        <v/>
      </c>
      <c r="AC11" s="90">
        <f>'EQUIP E FER'!E26</f>
        <v/>
      </c>
      <c r="AD11" s="90">
        <f>'EQUIP E FER'!E27</f>
        <v/>
      </c>
      <c r="AE11" s="90">
        <f>'EQUIP E FER'!E28</f>
        <v/>
      </c>
      <c r="AF11" s="90">
        <f>'EQUIP E FER'!E29</f>
        <v/>
      </c>
      <c r="AG11" s="90">
        <f>'EQUIP E FER'!E30</f>
        <v/>
      </c>
      <c r="AH11" s="90">
        <f>'EQUIP E FER'!E31</f>
        <v/>
      </c>
      <c r="AI11" s="90">
        <f>'EQUIP E FER'!E32</f>
        <v/>
      </c>
      <c r="AJ11" s="90">
        <f>'EQUIP E FER'!E33</f>
        <v/>
      </c>
      <c r="AK11" s="90">
        <f>'EQUIP E FER'!E34</f>
        <v/>
      </c>
      <c r="AL11" s="90">
        <f>'EQUIP E FER'!E35</f>
        <v/>
      </c>
      <c r="AM11" s="90">
        <f>'EQUIP E FER'!E36</f>
        <v/>
      </c>
      <c r="AN11" s="90">
        <f>'EQUIP E FER'!E37</f>
        <v/>
      </c>
      <c r="AO11" s="90">
        <f>'EQUIP E FER'!E38</f>
        <v/>
      </c>
      <c r="AP11" s="90">
        <f>'EQUIP E FER'!E39</f>
        <v/>
      </c>
      <c r="AQ11" s="90">
        <f>'EQUIP E FER'!E40</f>
        <v/>
      </c>
      <c r="AR11" s="90">
        <f>'EQUIP E FER'!E41</f>
        <v/>
      </c>
      <c r="AS11" s="90">
        <f>'EQUIP E FER'!E42</f>
        <v/>
      </c>
      <c r="AT11" s="90">
        <f>'EQUIP E FER'!E43</f>
        <v/>
      </c>
      <c r="AU11" s="90">
        <f>'EQUIP E FER'!E44</f>
        <v/>
      </c>
      <c r="AV11" s="90">
        <f>'EQUIP E FER'!E45</f>
        <v/>
      </c>
      <c r="AW11" s="90">
        <f>'EQUIP E FER'!E46</f>
        <v/>
      </c>
      <c r="AX11" s="90">
        <f>'EQUIP E FER'!E47</f>
        <v/>
      </c>
      <c r="AY11" s="90">
        <f>'EQUIP E FER'!E48</f>
        <v/>
      </c>
      <c r="AZ11" s="90">
        <f>'EQUIP E FER'!E49</f>
        <v/>
      </c>
      <c r="BA11" s="90">
        <f>'EQUIP E FER'!E50</f>
        <v/>
      </c>
      <c r="BB11" s="90">
        <f>'EQUIP E FER'!E51</f>
        <v/>
      </c>
      <c r="BC11" s="90">
        <f>'EQUIP E FER'!E52</f>
        <v/>
      </c>
      <c r="BD11" s="90">
        <f>'EQUIP E FER'!E53</f>
        <v/>
      </c>
      <c r="BE11" s="90">
        <f>'EQUIP E FER'!E54</f>
        <v/>
      </c>
      <c r="BF11" s="90">
        <f>'EQUIP E FER'!E55</f>
        <v/>
      </c>
      <c r="BG11" s="90">
        <f>'EQUIP E FER'!E56</f>
        <v/>
      </c>
      <c r="BH11" s="90">
        <f>'EQUIP E FER'!E57</f>
        <v/>
      </c>
      <c r="BI11" s="90">
        <f>'EQUIP E FER'!E58</f>
        <v/>
      </c>
      <c r="BJ11" s="90">
        <f>'EQUIP E FER'!E59</f>
        <v/>
      </c>
      <c r="BK11" s="90">
        <f>'EQUIP E FER'!E60</f>
        <v/>
      </c>
      <c r="BL11" s="90">
        <f>'EQUIP E FER'!E61</f>
        <v/>
      </c>
      <c r="BM11" s="90">
        <f>'EQUIP E FER'!E62</f>
        <v/>
      </c>
      <c r="BN11" s="90">
        <f>'EQUIP E FER'!E63</f>
        <v/>
      </c>
      <c r="BO11" s="90">
        <f>'EQUIP E FER'!E64</f>
        <v/>
      </c>
      <c r="BP11" s="90">
        <f>'EQUIP E FER'!E65</f>
        <v/>
      </c>
      <c r="BQ11" s="90">
        <f>'EQUIP E FER'!E66</f>
        <v/>
      </c>
      <c r="BR11" s="90">
        <f>'EQUIP E FER'!E67</f>
        <v/>
      </c>
      <c r="BS11" s="90">
        <f>'EQUIP E FER'!E68</f>
        <v/>
      </c>
      <c r="BT11" s="90">
        <f>'EQUIP E FER'!E69</f>
        <v/>
      </c>
      <c r="BU11" s="90">
        <f>'EQUIP E FER'!E70</f>
        <v/>
      </c>
      <c r="BV11" s="90">
        <f>'EQUIP E FER'!E71</f>
        <v/>
      </c>
      <c r="BW11" s="90">
        <f>'EQUIP E FER'!E72</f>
        <v/>
      </c>
      <c r="BX11" s="90">
        <f>'EQUIP E FER'!E73</f>
        <v/>
      </c>
      <c r="BY11" s="90">
        <f>'EQUIP E FER'!E74</f>
        <v/>
      </c>
      <c r="BZ11" s="90">
        <f>'EQUIP E FER'!E75</f>
        <v/>
      </c>
      <c r="CA11" s="90">
        <f>'EQUIP E FER'!E76</f>
        <v/>
      </c>
    </row>
    <row r="12">
      <c r="A12" s="60" t="n"/>
      <c r="B12" s="60" t="inlineStr">
        <is>
          <t>1030-1070-370</t>
        </is>
      </c>
      <c r="C12" s="60" t="inlineStr">
        <is>
          <t>ESQUADRIAS</t>
        </is>
      </c>
      <c r="D12" s="63">
        <f>'ESQUADRIAS'!$K$5</f>
        <v/>
      </c>
      <c r="E12" s="50">
        <f>SUM(H12:CA12)</f>
        <v/>
      </c>
      <c r="F12" s="50">
        <f>IF(D12="","",D12-E12)</f>
        <v/>
      </c>
      <c r="H12" s="90">
        <f>'ESQUADRIAS'!E5</f>
        <v/>
      </c>
      <c r="I12" s="90">
        <f>'ESQUADRIAS'!E6</f>
        <v/>
      </c>
      <c r="J12" s="90">
        <f>'ESQUADRIAS'!E7</f>
        <v/>
      </c>
      <c r="K12" s="90">
        <f>'ESQUADRIAS'!E8</f>
        <v/>
      </c>
      <c r="L12" s="90">
        <f>'ESQUADRIAS'!E9</f>
        <v/>
      </c>
      <c r="M12" s="90">
        <f>'ESQUADRIAS'!E10</f>
        <v/>
      </c>
      <c r="N12" s="90">
        <f>'ESQUADRIAS'!E11</f>
        <v/>
      </c>
      <c r="O12" s="90">
        <f>'ESQUADRIAS'!E12</f>
        <v/>
      </c>
      <c r="P12" s="90">
        <f>'ESQUADRIAS'!E13</f>
        <v/>
      </c>
      <c r="Q12" s="90">
        <f>'ESQUADRIAS'!E14</f>
        <v/>
      </c>
      <c r="R12" s="90">
        <f>'ESQUADRIAS'!E15</f>
        <v/>
      </c>
      <c r="S12" s="90">
        <f>'ESQUADRIAS'!E16</f>
        <v/>
      </c>
      <c r="T12" s="90">
        <f>'ESQUADRIAS'!E17</f>
        <v/>
      </c>
      <c r="U12" s="90">
        <f>'ESQUADRIAS'!E18</f>
        <v/>
      </c>
      <c r="V12" s="90">
        <f>'ESQUADRIAS'!E19</f>
        <v/>
      </c>
      <c r="W12" s="90">
        <f>'ESQUADRIAS'!E20</f>
        <v/>
      </c>
      <c r="X12" s="90">
        <f>'ESQUADRIAS'!E21</f>
        <v/>
      </c>
      <c r="Y12" s="90">
        <f>'ESQUADRIAS'!E22</f>
        <v/>
      </c>
      <c r="Z12" s="90">
        <f>'ESQUADRIAS'!E23</f>
        <v/>
      </c>
      <c r="AA12" s="90">
        <f>'ESQUADRIAS'!E24</f>
        <v/>
      </c>
      <c r="AB12" s="90">
        <f>'ESQUADRIAS'!E25</f>
        <v/>
      </c>
      <c r="AC12" s="90">
        <f>'ESQUADRIAS'!E26</f>
        <v/>
      </c>
      <c r="AD12" s="90">
        <f>'ESQUADRIAS'!E27</f>
        <v/>
      </c>
      <c r="AE12" s="90">
        <f>'ESQUADRIAS'!E28</f>
        <v/>
      </c>
      <c r="AF12" s="90">
        <f>'ESQUADRIAS'!E29</f>
        <v/>
      </c>
      <c r="AG12" s="90">
        <f>'ESQUADRIAS'!E30</f>
        <v/>
      </c>
      <c r="AH12" s="90">
        <f>'ESQUADRIAS'!E31</f>
        <v/>
      </c>
      <c r="AI12" s="90">
        <f>'ESQUADRIAS'!E32</f>
        <v/>
      </c>
      <c r="AJ12" s="90">
        <f>'ESQUADRIAS'!E33</f>
        <v/>
      </c>
      <c r="AK12" s="90">
        <f>'ESQUADRIAS'!E34</f>
        <v/>
      </c>
      <c r="AL12" s="90">
        <f>'ESQUADRIAS'!E35</f>
        <v/>
      </c>
      <c r="AM12" s="90">
        <f>'ESQUADRIAS'!E36</f>
        <v/>
      </c>
      <c r="AN12" s="90">
        <f>'ESQUADRIAS'!E37</f>
        <v/>
      </c>
      <c r="AO12" s="90">
        <f>'ESQUADRIAS'!E38</f>
        <v/>
      </c>
      <c r="AP12" s="90">
        <f>'ESQUADRIAS'!E39</f>
        <v/>
      </c>
      <c r="AQ12" s="90">
        <f>'ESQUADRIAS'!E40</f>
        <v/>
      </c>
      <c r="AR12" s="90">
        <f>'ESQUADRIAS'!E41</f>
        <v/>
      </c>
      <c r="AS12" s="90">
        <f>'ESQUADRIAS'!E42</f>
        <v/>
      </c>
      <c r="AT12" s="90">
        <f>'ESQUADRIAS'!E43</f>
        <v/>
      </c>
      <c r="AU12" s="90">
        <f>'ESQUADRIAS'!E44</f>
        <v/>
      </c>
      <c r="AV12" s="90">
        <f>'ESQUADRIAS'!E45</f>
        <v/>
      </c>
      <c r="AW12" s="90">
        <f>'ESQUADRIAS'!E46</f>
        <v/>
      </c>
      <c r="AX12" s="90">
        <f>'ESQUADRIAS'!E47</f>
        <v/>
      </c>
      <c r="AY12" s="90">
        <f>'ESQUADRIAS'!E48</f>
        <v/>
      </c>
      <c r="AZ12" s="90">
        <f>'ESQUADRIAS'!E49</f>
        <v/>
      </c>
      <c r="BA12" s="90">
        <f>'ESQUADRIAS'!E50</f>
        <v/>
      </c>
      <c r="BB12" s="90">
        <f>'ESQUADRIAS'!E51</f>
        <v/>
      </c>
      <c r="BC12" s="90">
        <f>'ESQUADRIAS'!E52</f>
        <v/>
      </c>
      <c r="BD12" s="90">
        <f>'ESQUADRIAS'!E53</f>
        <v/>
      </c>
      <c r="BE12" s="90">
        <f>'ESQUADRIAS'!E54</f>
        <v/>
      </c>
      <c r="BF12" s="90">
        <f>'ESQUADRIAS'!E55</f>
        <v/>
      </c>
      <c r="BG12" s="90">
        <f>'ESQUADRIAS'!E56</f>
        <v/>
      </c>
      <c r="BH12" s="90">
        <f>'ESQUADRIAS'!E57</f>
        <v/>
      </c>
      <c r="BI12" s="90">
        <f>'ESQUADRIAS'!E58</f>
        <v/>
      </c>
      <c r="BJ12" s="90">
        <f>'ESQUADRIAS'!E59</f>
        <v/>
      </c>
      <c r="BK12" s="90">
        <f>'ESQUADRIAS'!E60</f>
        <v/>
      </c>
      <c r="BL12" s="90">
        <f>'ESQUADRIAS'!E61</f>
        <v/>
      </c>
      <c r="BM12" s="90">
        <f>'ESQUADRIAS'!E62</f>
        <v/>
      </c>
      <c r="BN12" s="90">
        <f>'ESQUADRIAS'!E63</f>
        <v/>
      </c>
      <c r="BO12" s="90">
        <f>'ESQUADRIAS'!E64</f>
        <v/>
      </c>
      <c r="BP12" s="90">
        <f>'ESQUADRIAS'!E65</f>
        <v/>
      </c>
      <c r="BQ12" s="90">
        <f>'ESQUADRIAS'!E66</f>
        <v/>
      </c>
      <c r="BR12" s="90">
        <f>'ESQUADRIAS'!E67</f>
        <v/>
      </c>
      <c r="BS12" s="90">
        <f>'ESQUADRIAS'!E68</f>
        <v/>
      </c>
      <c r="BT12" s="90">
        <f>'ESQUADRIAS'!E69</f>
        <v/>
      </c>
      <c r="BU12" s="90">
        <f>'ESQUADRIAS'!E70</f>
        <v/>
      </c>
      <c r="BV12" s="90">
        <f>'ESQUADRIAS'!E71</f>
        <v/>
      </c>
      <c r="BW12" s="90">
        <f>'ESQUADRIAS'!E72</f>
        <v/>
      </c>
      <c r="BX12" s="90">
        <f>'ESQUADRIAS'!E73</f>
        <v/>
      </c>
      <c r="BY12" s="90">
        <f>'ESQUADRIAS'!E74</f>
        <v/>
      </c>
      <c r="BZ12" s="90">
        <f>'ESQUADRIAS'!E75</f>
        <v/>
      </c>
      <c r="CA12" s="90">
        <f>'ESQUADRIAS'!E76</f>
        <v/>
      </c>
    </row>
    <row r="13">
      <c r="A13" s="60" t="n"/>
      <c r="B13" s="60" t="inlineStr">
        <is>
          <t>1030-1070-230</t>
        </is>
      </c>
      <c r="C13" s="60" t="inlineStr">
        <is>
          <t>ESTRUTURA EM CONCRETO ARMADO</t>
        </is>
      </c>
      <c r="D13" s="63">
        <f>'ESTRUTURA'!$K$5</f>
        <v/>
      </c>
      <c r="E13" s="50">
        <f>SUM(H13:CA13)</f>
        <v/>
      </c>
      <c r="F13" s="50">
        <f>IF(D13="","",D13-E13)</f>
        <v/>
      </c>
      <c r="H13" s="90">
        <f>'ESTRUTURA'!E5</f>
        <v/>
      </c>
      <c r="I13" s="90">
        <f>'ESTRUTURA'!E6</f>
        <v/>
      </c>
      <c r="J13" s="90">
        <f>'ESTRUTURA'!E7</f>
        <v/>
      </c>
      <c r="K13" s="90">
        <f>'ESTRUTURA'!E8</f>
        <v/>
      </c>
      <c r="L13" s="90">
        <f>'ESTRUTURA'!E9</f>
        <v/>
      </c>
      <c r="M13" s="90">
        <f>'ESTRUTURA'!E10</f>
        <v/>
      </c>
      <c r="N13" s="90">
        <f>'ESTRUTURA'!E11</f>
        <v/>
      </c>
      <c r="O13" s="90">
        <f>'ESTRUTURA'!E12</f>
        <v/>
      </c>
      <c r="P13" s="90">
        <f>'ESTRUTURA'!E13</f>
        <v/>
      </c>
      <c r="Q13" s="90">
        <f>'ESTRUTURA'!E14</f>
        <v/>
      </c>
      <c r="R13" s="90">
        <f>'ESTRUTURA'!E15</f>
        <v/>
      </c>
      <c r="S13" s="90">
        <f>'ESTRUTURA'!E16</f>
        <v/>
      </c>
      <c r="T13" s="90">
        <f>'ESTRUTURA'!E17</f>
        <v/>
      </c>
      <c r="U13" s="90">
        <f>'ESTRUTURA'!E18</f>
        <v/>
      </c>
      <c r="V13" s="90">
        <f>'ESTRUTURA'!E19</f>
        <v/>
      </c>
      <c r="W13" s="90">
        <f>'ESTRUTURA'!E20</f>
        <v/>
      </c>
      <c r="X13" s="90">
        <f>'ESTRUTURA'!E21</f>
        <v/>
      </c>
      <c r="Y13" s="90">
        <f>'ESTRUTURA'!E22</f>
        <v/>
      </c>
      <c r="Z13" s="90">
        <f>'ESTRUTURA'!E23</f>
        <v/>
      </c>
      <c r="AA13" s="90">
        <f>'ESTRUTURA'!E24</f>
        <v/>
      </c>
      <c r="AB13" s="90">
        <f>'ESTRUTURA'!E25</f>
        <v/>
      </c>
      <c r="AC13" s="90">
        <f>'ESTRUTURA'!E26</f>
        <v/>
      </c>
      <c r="AD13" s="90">
        <f>'ESTRUTURA'!E27</f>
        <v/>
      </c>
      <c r="AE13" s="90">
        <f>'ESTRUTURA'!E28</f>
        <v/>
      </c>
      <c r="AF13" s="90">
        <f>'ESTRUTURA'!E29</f>
        <v/>
      </c>
      <c r="AG13" s="90">
        <f>'ESTRUTURA'!E30</f>
        <v/>
      </c>
      <c r="AH13" s="90">
        <f>'ESTRUTURA'!E31</f>
        <v/>
      </c>
      <c r="AI13" s="90">
        <f>'ESTRUTURA'!E32</f>
        <v/>
      </c>
      <c r="AJ13" s="90">
        <f>'ESTRUTURA'!E33</f>
        <v/>
      </c>
      <c r="AK13" s="90">
        <f>'ESTRUTURA'!E34</f>
        <v/>
      </c>
      <c r="AL13" s="90">
        <f>'ESTRUTURA'!E35</f>
        <v/>
      </c>
      <c r="AM13" s="90">
        <f>'ESTRUTURA'!E36</f>
        <v/>
      </c>
      <c r="AN13" s="90">
        <f>'ESTRUTURA'!E37</f>
        <v/>
      </c>
      <c r="AO13" s="90">
        <f>'ESTRUTURA'!E38</f>
        <v/>
      </c>
      <c r="AP13" s="90">
        <f>'ESTRUTURA'!E39</f>
        <v/>
      </c>
      <c r="AQ13" s="90">
        <f>'ESTRUTURA'!E40</f>
        <v/>
      </c>
      <c r="AR13" s="90">
        <f>'ESTRUTURA'!E41</f>
        <v/>
      </c>
      <c r="AS13" s="90">
        <f>'ESTRUTURA'!E42</f>
        <v/>
      </c>
      <c r="AT13" s="90">
        <f>'ESTRUTURA'!E43</f>
        <v/>
      </c>
      <c r="AU13" s="90">
        <f>'ESTRUTURA'!E44</f>
        <v/>
      </c>
      <c r="AV13" s="90">
        <f>'ESTRUTURA'!E45</f>
        <v/>
      </c>
      <c r="AW13" s="90">
        <f>'ESTRUTURA'!E46</f>
        <v/>
      </c>
      <c r="AX13" s="90">
        <f>'ESTRUTURA'!E47</f>
        <v/>
      </c>
      <c r="AY13" s="90">
        <f>'ESTRUTURA'!E48</f>
        <v/>
      </c>
      <c r="AZ13" s="90">
        <f>'ESTRUTURA'!E49</f>
        <v/>
      </c>
      <c r="BA13" s="90">
        <f>'ESTRUTURA'!E50</f>
        <v/>
      </c>
      <c r="BB13" s="90">
        <f>'ESTRUTURA'!E51</f>
        <v/>
      </c>
      <c r="BC13" s="90">
        <f>'ESTRUTURA'!E52</f>
        <v/>
      </c>
      <c r="BD13" s="90">
        <f>'ESTRUTURA'!E53</f>
        <v/>
      </c>
      <c r="BE13" s="90">
        <f>'ESTRUTURA'!E54</f>
        <v/>
      </c>
      <c r="BF13" s="90">
        <f>'ESTRUTURA'!E55</f>
        <v/>
      </c>
      <c r="BG13" s="90">
        <f>'ESTRUTURA'!E56</f>
        <v/>
      </c>
      <c r="BH13" s="90">
        <f>'ESTRUTURA'!E57</f>
        <v/>
      </c>
      <c r="BI13" s="90">
        <f>'ESTRUTURA'!E58</f>
        <v/>
      </c>
      <c r="BJ13" s="90">
        <f>'ESTRUTURA'!E59</f>
        <v/>
      </c>
      <c r="BK13" s="90">
        <f>'ESTRUTURA'!E60</f>
        <v/>
      </c>
      <c r="BL13" s="90">
        <f>'ESTRUTURA'!E61</f>
        <v/>
      </c>
      <c r="BM13" s="90">
        <f>'ESTRUTURA'!E62</f>
        <v/>
      </c>
      <c r="BN13" s="90">
        <f>'ESTRUTURA'!E63</f>
        <v/>
      </c>
      <c r="BO13" s="90">
        <f>'ESTRUTURA'!E64</f>
        <v/>
      </c>
      <c r="BP13" s="90">
        <f>'ESTRUTURA'!E65</f>
        <v/>
      </c>
      <c r="BQ13" s="90">
        <f>'ESTRUTURA'!E66</f>
        <v/>
      </c>
      <c r="BR13" s="90">
        <f>'ESTRUTURA'!E67</f>
        <v/>
      </c>
      <c r="BS13" s="90">
        <f>'ESTRUTURA'!E68</f>
        <v/>
      </c>
      <c r="BT13" s="90">
        <f>'ESTRUTURA'!E69</f>
        <v/>
      </c>
      <c r="BU13" s="90">
        <f>'ESTRUTURA'!E70</f>
        <v/>
      </c>
      <c r="BV13" s="90">
        <f>'ESTRUTURA'!E71</f>
        <v/>
      </c>
      <c r="BW13" s="90">
        <f>'ESTRUTURA'!E72</f>
        <v/>
      </c>
      <c r="BX13" s="90">
        <f>'ESTRUTURA'!E73</f>
        <v/>
      </c>
      <c r="BY13" s="90">
        <f>'ESTRUTURA'!E74</f>
        <v/>
      </c>
      <c r="BZ13" s="90">
        <f>'ESTRUTURA'!E75</f>
        <v/>
      </c>
      <c r="CA13" s="90">
        <f>'ESTRUTURA'!E76</f>
        <v/>
      </c>
    </row>
    <row r="14">
      <c r="A14" s="60" t="n"/>
      <c r="B14" s="60" t="inlineStr">
        <is>
          <t>1030-1070-350</t>
        </is>
      </c>
      <c r="C14" s="60" t="inlineStr">
        <is>
          <t>FORRO</t>
        </is>
      </c>
      <c r="D14" s="63">
        <f>'FORRO'!$K$5</f>
        <v/>
      </c>
      <c r="E14" s="50">
        <f>SUM(H14:CA14)</f>
        <v/>
      </c>
      <c r="F14" s="50">
        <f>IF(D14="","",D14-E14)</f>
        <v/>
      </c>
      <c r="H14" s="90">
        <f>'FORRO'!E5</f>
        <v/>
      </c>
      <c r="I14" s="90">
        <f>'FORRO'!E6</f>
        <v/>
      </c>
      <c r="J14" s="90">
        <f>'FORRO'!E7</f>
        <v/>
      </c>
      <c r="K14" s="90">
        <f>'FORRO'!E8</f>
        <v/>
      </c>
      <c r="L14" s="90">
        <f>'FORRO'!E9</f>
        <v/>
      </c>
      <c r="M14" s="90">
        <f>'FORRO'!E10</f>
        <v/>
      </c>
      <c r="N14" s="90">
        <f>'FORRO'!E11</f>
        <v/>
      </c>
      <c r="O14" s="90">
        <f>'FORRO'!E12</f>
        <v/>
      </c>
      <c r="P14" s="90">
        <f>'FORRO'!E13</f>
        <v/>
      </c>
      <c r="Q14" s="90">
        <f>'FORRO'!E14</f>
        <v/>
      </c>
      <c r="R14" s="90">
        <f>'FORRO'!E15</f>
        <v/>
      </c>
      <c r="S14" s="90">
        <f>'FORRO'!E16</f>
        <v/>
      </c>
      <c r="T14" s="90">
        <f>'FORRO'!E17</f>
        <v/>
      </c>
      <c r="U14" s="90">
        <f>'FORRO'!E18</f>
        <v/>
      </c>
      <c r="V14" s="90">
        <f>'FORRO'!E19</f>
        <v/>
      </c>
      <c r="W14" s="90">
        <f>'FORRO'!E20</f>
        <v/>
      </c>
      <c r="X14" s="90">
        <f>'FORRO'!E21</f>
        <v/>
      </c>
      <c r="Y14" s="90">
        <f>'FORRO'!E22</f>
        <v/>
      </c>
      <c r="Z14" s="90">
        <f>'FORRO'!E23</f>
        <v/>
      </c>
      <c r="AA14" s="90">
        <f>'FORRO'!E24</f>
        <v/>
      </c>
      <c r="AB14" s="90">
        <f>'FORRO'!E25</f>
        <v/>
      </c>
      <c r="AC14" s="90">
        <f>'FORRO'!E26</f>
        <v/>
      </c>
      <c r="AD14" s="90">
        <f>'FORRO'!E27</f>
        <v/>
      </c>
      <c r="AE14" s="90">
        <f>'FORRO'!E28</f>
        <v/>
      </c>
      <c r="AF14" s="90">
        <f>'FORRO'!E29</f>
        <v/>
      </c>
      <c r="AG14" s="90">
        <f>'FORRO'!E30</f>
        <v/>
      </c>
      <c r="AH14" s="90">
        <f>'FORRO'!E31</f>
        <v/>
      </c>
      <c r="AI14" s="90">
        <f>'FORRO'!E32</f>
        <v/>
      </c>
      <c r="AJ14" s="90">
        <f>'FORRO'!E33</f>
        <v/>
      </c>
      <c r="AK14" s="90">
        <f>'FORRO'!E34</f>
        <v/>
      </c>
      <c r="AL14" s="90">
        <f>'FORRO'!E35</f>
        <v/>
      </c>
      <c r="AM14" s="90">
        <f>'FORRO'!E36</f>
        <v/>
      </c>
      <c r="AN14" s="90">
        <f>'FORRO'!E37</f>
        <v/>
      </c>
      <c r="AO14" s="90">
        <f>'FORRO'!E38</f>
        <v/>
      </c>
      <c r="AP14" s="90">
        <f>'FORRO'!E39</f>
        <v/>
      </c>
      <c r="AQ14" s="90">
        <f>'FORRO'!E40</f>
        <v/>
      </c>
      <c r="AR14" s="90">
        <f>'FORRO'!E41</f>
        <v/>
      </c>
      <c r="AS14" s="90">
        <f>'FORRO'!E42</f>
        <v/>
      </c>
      <c r="AT14" s="90">
        <f>'FORRO'!E43</f>
        <v/>
      </c>
      <c r="AU14" s="90">
        <f>'FORRO'!E44</f>
        <v/>
      </c>
      <c r="AV14" s="90">
        <f>'FORRO'!E45</f>
        <v/>
      </c>
      <c r="AW14" s="90">
        <f>'FORRO'!E46</f>
        <v/>
      </c>
      <c r="AX14" s="90">
        <f>'FORRO'!E47</f>
        <v/>
      </c>
      <c r="AY14" s="90">
        <f>'FORRO'!E48</f>
        <v/>
      </c>
      <c r="AZ14" s="90">
        <f>'FORRO'!E49</f>
        <v/>
      </c>
      <c r="BA14" s="90">
        <f>'FORRO'!E50</f>
        <v/>
      </c>
      <c r="BB14" s="90">
        <f>'FORRO'!E51</f>
        <v/>
      </c>
      <c r="BC14" s="90">
        <f>'FORRO'!E52</f>
        <v/>
      </c>
      <c r="BD14" s="90">
        <f>'FORRO'!E53</f>
        <v/>
      </c>
      <c r="BE14" s="90">
        <f>'FORRO'!E54</f>
        <v/>
      </c>
      <c r="BF14" s="90">
        <f>'FORRO'!E55</f>
        <v/>
      </c>
      <c r="BG14" s="90">
        <f>'FORRO'!E56</f>
        <v/>
      </c>
      <c r="BH14" s="90">
        <f>'FORRO'!E57</f>
        <v/>
      </c>
      <c r="BI14" s="90">
        <f>'FORRO'!E58</f>
        <v/>
      </c>
      <c r="BJ14" s="90">
        <f>'FORRO'!E59</f>
        <v/>
      </c>
      <c r="BK14" s="90">
        <f>'FORRO'!E60</f>
        <v/>
      </c>
      <c r="BL14" s="90">
        <f>'FORRO'!E61</f>
        <v/>
      </c>
      <c r="BM14" s="90">
        <f>'FORRO'!E62</f>
        <v/>
      </c>
      <c r="BN14" s="90">
        <f>'FORRO'!E63</f>
        <v/>
      </c>
      <c r="BO14" s="90">
        <f>'FORRO'!E64</f>
        <v/>
      </c>
      <c r="BP14" s="90">
        <f>'FORRO'!E65</f>
        <v/>
      </c>
      <c r="BQ14" s="90">
        <f>'FORRO'!E66</f>
        <v/>
      </c>
      <c r="BR14" s="90">
        <f>'FORRO'!E67</f>
        <v/>
      </c>
      <c r="BS14" s="90">
        <f>'FORRO'!E68</f>
        <v/>
      </c>
      <c r="BT14" s="90">
        <f>'FORRO'!E69</f>
        <v/>
      </c>
      <c r="BU14" s="90">
        <f>'FORRO'!E70</f>
        <v/>
      </c>
      <c r="BV14" s="90">
        <f>'FORRO'!E71</f>
        <v/>
      </c>
      <c r="BW14" s="90">
        <f>'FORRO'!E72</f>
        <v/>
      </c>
      <c r="BX14" s="90">
        <f>'FORRO'!E73</f>
        <v/>
      </c>
      <c r="BY14" s="90">
        <f>'FORRO'!E74</f>
        <v/>
      </c>
      <c r="BZ14" s="90">
        <f>'FORRO'!E75</f>
        <v/>
      </c>
      <c r="CA14" s="90">
        <f>'FORRO'!E76</f>
        <v/>
      </c>
    </row>
    <row r="15">
      <c r="A15" s="60" t="n"/>
      <c r="B15" s="60" t="inlineStr">
        <is>
          <t>1030-1070-200</t>
        </is>
      </c>
      <c r="C15" s="60" t="inlineStr">
        <is>
          <t>FUNDAÇÃO PROFUNDA</t>
        </is>
      </c>
      <c r="D15" s="63">
        <f>'FUND. PROF'!$K$5</f>
        <v/>
      </c>
      <c r="E15" s="50">
        <f>SUM(H15:CA15)</f>
        <v/>
      </c>
      <c r="F15" s="50">
        <f>IF(D15="","",D15-E15)</f>
        <v/>
      </c>
      <c r="H15" s="90">
        <f>'FUND. PROF'!E5</f>
        <v/>
      </c>
      <c r="I15" s="90">
        <f>'FUND. PROF'!E6</f>
        <v/>
      </c>
      <c r="J15" s="90">
        <f>'FUND. PROF'!E7</f>
        <v/>
      </c>
      <c r="K15" s="90">
        <f>'FUND. PROF'!E8</f>
        <v/>
      </c>
      <c r="L15" s="90">
        <f>'FUND. PROF'!E9</f>
        <v/>
      </c>
      <c r="M15" s="90">
        <f>'FUND. PROF'!E10</f>
        <v/>
      </c>
      <c r="N15" s="90">
        <f>'FUND. PROF'!E11</f>
        <v/>
      </c>
      <c r="O15" s="90">
        <f>'FUND. PROF'!E12</f>
        <v/>
      </c>
      <c r="P15" s="90">
        <f>'FUND. PROF'!E13</f>
        <v/>
      </c>
      <c r="Q15" s="90">
        <f>'FUND. PROF'!E14</f>
        <v/>
      </c>
      <c r="R15" s="90">
        <f>'FUND. PROF'!E15</f>
        <v/>
      </c>
      <c r="S15" s="90">
        <f>'FUND. PROF'!E16</f>
        <v/>
      </c>
      <c r="T15" s="90">
        <f>'FUND. PROF'!E17</f>
        <v/>
      </c>
      <c r="U15" s="90">
        <f>'FUND. PROF'!E18</f>
        <v/>
      </c>
      <c r="V15" s="90">
        <f>'FUND. PROF'!E19</f>
        <v/>
      </c>
      <c r="W15" s="90">
        <f>'FUND. PROF'!E20</f>
        <v/>
      </c>
      <c r="X15" s="90">
        <f>'FUND. PROF'!E21</f>
        <v/>
      </c>
      <c r="Y15" s="90">
        <f>'FUND. PROF'!E22</f>
        <v/>
      </c>
      <c r="Z15" s="90">
        <f>'FUND. PROF'!E23</f>
        <v/>
      </c>
      <c r="AA15" s="90">
        <f>'FUND. PROF'!E24</f>
        <v/>
      </c>
      <c r="AB15" s="90">
        <f>'FUND. PROF'!E25</f>
        <v/>
      </c>
      <c r="AC15" s="90">
        <f>'FUND. PROF'!E26</f>
        <v/>
      </c>
      <c r="AD15" s="90">
        <f>'FUND. PROF'!E27</f>
        <v/>
      </c>
      <c r="AE15" s="90">
        <f>'FUND. PROF'!E28</f>
        <v/>
      </c>
      <c r="AF15" s="90">
        <f>'FUND. PROF'!E29</f>
        <v/>
      </c>
      <c r="AG15" s="90">
        <f>'FUND. PROF'!E30</f>
        <v/>
      </c>
      <c r="AH15" s="90">
        <f>'FUND. PROF'!E31</f>
        <v/>
      </c>
      <c r="AI15" s="90">
        <f>'FUND. PROF'!E32</f>
        <v/>
      </c>
      <c r="AJ15" s="90">
        <f>'FUND. PROF'!E33</f>
        <v/>
      </c>
      <c r="AK15" s="90">
        <f>'FUND. PROF'!E34</f>
        <v/>
      </c>
      <c r="AL15" s="90">
        <f>'FUND. PROF'!E35</f>
        <v/>
      </c>
      <c r="AM15" s="90">
        <f>'FUND. PROF'!E36</f>
        <v/>
      </c>
      <c r="AN15" s="90">
        <f>'FUND. PROF'!E37</f>
        <v/>
      </c>
      <c r="AO15" s="90">
        <f>'FUND. PROF'!E38</f>
        <v/>
      </c>
      <c r="AP15" s="90">
        <f>'FUND. PROF'!E39</f>
        <v/>
      </c>
      <c r="AQ15" s="90">
        <f>'FUND. PROF'!E40</f>
        <v/>
      </c>
      <c r="AR15" s="90">
        <f>'FUND. PROF'!E41</f>
        <v/>
      </c>
      <c r="AS15" s="90">
        <f>'FUND. PROF'!E42</f>
        <v/>
      </c>
      <c r="AT15" s="90">
        <f>'FUND. PROF'!E43</f>
        <v/>
      </c>
      <c r="AU15" s="90">
        <f>'FUND. PROF'!E44</f>
        <v/>
      </c>
      <c r="AV15" s="90">
        <f>'FUND. PROF'!E45</f>
        <v/>
      </c>
      <c r="AW15" s="90">
        <f>'FUND. PROF'!E46</f>
        <v/>
      </c>
      <c r="AX15" s="90">
        <f>'FUND. PROF'!E47</f>
        <v/>
      </c>
      <c r="AY15" s="90">
        <f>'FUND. PROF'!E48</f>
        <v/>
      </c>
      <c r="AZ15" s="90">
        <f>'FUND. PROF'!E49</f>
        <v/>
      </c>
      <c r="BA15" s="90">
        <f>'FUND. PROF'!E50</f>
        <v/>
      </c>
      <c r="BB15" s="90">
        <f>'FUND. PROF'!E51</f>
        <v/>
      </c>
      <c r="BC15" s="90">
        <f>'FUND. PROF'!E52</f>
        <v/>
      </c>
      <c r="BD15" s="90">
        <f>'FUND. PROF'!E53</f>
        <v/>
      </c>
      <c r="BE15" s="90">
        <f>'FUND. PROF'!E54</f>
        <v/>
      </c>
      <c r="BF15" s="90">
        <f>'FUND. PROF'!E55</f>
        <v/>
      </c>
      <c r="BG15" s="90">
        <f>'FUND. PROF'!E56</f>
        <v/>
      </c>
      <c r="BH15" s="90">
        <f>'FUND. PROF'!E57</f>
        <v/>
      </c>
      <c r="BI15" s="90">
        <f>'FUND. PROF'!E58</f>
        <v/>
      </c>
      <c r="BJ15" s="90">
        <f>'FUND. PROF'!E59</f>
        <v/>
      </c>
      <c r="BK15" s="90">
        <f>'FUND. PROF'!E60</f>
        <v/>
      </c>
      <c r="BL15" s="90">
        <f>'FUND. PROF'!E61</f>
        <v/>
      </c>
      <c r="BM15" s="90">
        <f>'FUND. PROF'!E62</f>
        <v/>
      </c>
      <c r="BN15" s="90">
        <f>'FUND. PROF'!E63</f>
        <v/>
      </c>
      <c r="BO15" s="90">
        <f>'FUND. PROF'!E64</f>
        <v/>
      </c>
      <c r="BP15" s="90">
        <f>'FUND. PROF'!E65</f>
        <v/>
      </c>
      <c r="BQ15" s="90">
        <f>'FUND. PROF'!E66</f>
        <v/>
      </c>
      <c r="BR15" s="90">
        <f>'FUND. PROF'!E67</f>
        <v/>
      </c>
      <c r="BS15" s="90">
        <f>'FUND. PROF'!E68</f>
        <v/>
      </c>
      <c r="BT15" s="90">
        <f>'FUND. PROF'!E69</f>
        <v/>
      </c>
      <c r="BU15" s="90">
        <f>'FUND. PROF'!E70</f>
        <v/>
      </c>
      <c r="BV15" s="90">
        <f>'FUND. PROF'!E71</f>
        <v/>
      </c>
      <c r="BW15" s="90">
        <f>'FUND. PROF'!E72</f>
        <v/>
      </c>
      <c r="BX15" s="90">
        <f>'FUND. PROF'!E73</f>
        <v/>
      </c>
      <c r="BY15" s="90">
        <f>'FUND. PROF'!E74</f>
        <v/>
      </c>
      <c r="BZ15" s="90">
        <f>'FUND. PROF'!E75</f>
        <v/>
      </c>
      <c r="CA15" s="90">
        <f>'FUND. PROF'!E76</f>
        <v/>
      </c>
    </row>
    <row r="16">
      <c r="A16" s="60" t="n"/>
      <c r="B16" s="60" t="inlineStr">
        <is>
          <t>1030-1070-210</t>
        </is>
      </c>
      <c r="C16" s="60" t="inlineStr">
        <is>
          <t>FUNDAÇÃO SUPERFICIAL</t>
        </is>
      </c>
      <c r="D16" s="63">
        <f>'FUND. SUP'!$K$5</f>
        <v/>
      </c>
      <c r="E16" s="50">
        <f>SUM(H16:CA16)</f>
        <v/>
      </c>
      <c r="F16" s="50">
        <f>IF(D16="","",D16-E16)</f>
        <v/>
      </c>
      <c r="H16" s="90">
        <f>'FUND. SUP'!E5</f>
        <v/>
      </c>
      <c r="I16" s="90">
        <f>'FUND. SUP'!E6</f>
        <v/>
      </c>
      <c r="J16" s="90">
        <f>'FUND. SUP'!E7</f>
        <v/>
      </c>
      <c r="K16" s="90">
        <f>'FUND. SUP'!E8</f>
        <v/>
      </c>
      <c r="L16" s="90">
        <f>'FUND. SUP'!E9</f>
        <v/>
      </c>
      <c r="M16" s="90">
        <f>'FUND. SUP'!E10</f>
        <v/>
      </c>
      <c r="N16" s="90">
        <f>'FUND. SUP'!E11</f>
        <v/>
      </c>
      <c r="O16" s="90">
        <f>'FUND. SUP'!E12</f>
        <v/>
      </c>
      <c r="P16" s="90">
        <f>'FUND. SUP'!E13</f>
        <v/>
      </c>
      <c r="Q16" s="90">
        <f>'FUND. SUP'!E14</f>
        <v/>
      </c>
      <c r="R16" s="90">
        <f>'FUND. SUP'!E15</f>
        <v/>
      </c>
      <c r="S16" s="90">
        <f>'FUND. SUP'!E16</f>
        <v/>
      </c>
      <c r="T16" s="90">
        <f>'FUND. SUP'!E17</f>
        <v/>
      </c>
      <c r="U16" s="90">
        <f>'FUND. SUP'!E18</f>
        <v/>
      </c>
      <c r="V16" s="90">
        <f>'FUND. SUP'!E19</f>
        <v/>
      </c>
      <c r="W16" s="90">
        <f>'FUND. SUP'!E20</f>
        <v/>
      </c>
      <c r="X16" s="90">
        <f>'FUND. SUP'!E21</f>
        <v/>
      </c>
      <c r="Y16" s="90">
        <f>'FUND. SUP'!E22</f>
        <v/>
      </c>
      <c r="Z16" s="90">
        <f>'FUND. SUP'!E23</f>
        <v/>
      </c>
      <c r="AA16" s="90">
        <f>'FUND. SUP'!E24</f>
        <v/>
      </c>
      <c r="AB16" s="90">
        <f>'FUND. SUP'!E25</f>
        <v/>
      </c>
      <c r="AC16" s="90">
        <f>'FUND. SUP'!E26</f>
        <v/>
      </c>
      <c r="AD16" s="90">
        <f>'FUND. SUP'!E27</f>
        <v/>
      </c>
      <c r="AE16" s="90">
        <f>'FUND. SUP'!E28</f>
        <v/>
      </c>
      <c r="AF16" s="90">
        <f>'FUND. SUP'!E29</f>
        <v/>
      </c>
      <c r="AG16" s="90">
        <f>'FUND. SUP'!E30</f>
        <v/>
      </c>
      <c r="AH16" s="90">
        <f>'FUND. SUP'!E31</f>
        <v/>
      </c>
      <c r="AI16" s="90">
        <f>'FUND. SUP'!E32</f>
        <v/>
      </c>
      <c r="AJ16" s="90">
        <f>'FUND. SUP'!E33</f>
        <v/>
      </c>
      <c r="AK16" s="90">
        <f>'FUND. SUP'!E34</f>
        <v/>
      </c>
      <c r="AL16" s="90">
        <f>'FUND. SUP'!E35</f>
        <v/>
      </c>
      <c r="AM16" s="90">
        <f>'FUND. SUP'!E36</f>
        <v/>
      </c>
      <c r="AN16" s="90">
        <f>'FUND. SUP'!E37</f>
        <v/>
      </c>
      <c r="AO16" s="90">
        <f>'FUND. SUP'!E38</f>
        <v/>
      </c>
      <c r="AP16" s="90">
        <f>'FUND. SUP'!E39</f>
        <v/>
      </c>
      <c r="AQ16" s="90">
        <f>'FUND. SUP'!E40</f>
        <v/>
      </c>
      <c r="AR16" s="90">
        <f>'FUND. SUP'!E41</f>
        <v/>
      </c>
      <c r="AS16" s="90">
        <f>'FUND. SUP'!E42</f>
        <v/>
      </c>
      <c r="AT16" s="90">
        <f>'FUND. SUP'!E43</f>
        <v/>
      </c>
      <c r="AU16" s="90">
        <f>'FUND. SUP'!E44</f>
        <v/>
      </c>
      <c r="AV16" s="90">
        <f>'FUND. SUP'!E45</f>
        <v/>
      </c>
      <c r="AW16" s="90">
        <f>'FUND. SUP'!E46</f>
        <v/>
      </c>
      <c r="AX16" s="90">
        <f>'FUND. SUP'!E47</f>
        <v/>
      </c>
      <c r="AY16" s="90">
        <f>'FUND. SUP'!E48</f>
        <v/>
      </c>
      <c r="AZ16" s="90">
        <f>'FUND. SUP'!E49</f>
        <v/>
      </c>
      <c r="BA16" s="90">
        <f>'FUND. SUP'!E50</f>
        <v/>
      </c>
      <c r="BB16" s="90">
        <f>'FUND. SUP'!E51</f>
        <v/>
      </c>
      <c r="BC16" s="90">
        <f>'FUND. SUP'!E52</f>
        <v/>
      </c>
      <c r="BD16" s="90">
        <f>'FUND. SUP'!E53</f>
        <v/>
      </c>
      <c r="BE16" s="90">
        <f>'FUND. SUP'!E54</f>
        <v/>
      </c>
      <c r="BF16" s="90">
        <f>'FUND. SUP'!E55</f>
        <v/>
      </c>
      <c r="BG16" s="90">
        <f>'FUND. SUP'!E56</f>
        <v/>
      </c>
      <c r="BH16" s="90">
        <f>'FUND. SUP'!E57</f>
        <v/>
      </c>
      <c r="BI16" s="90">
        <f>'FUND. SUP'!E58</f>
        <v/>
      </c>
      <c r="BJ16" s="90">
        <f>'FUND. SUP'!E59</f>
        <v/>
      </c>
      <c r="BK16" s="90">
        <f>'FUND. SUP'!E60</f>
        <v/>
      </c>
      <c r="BL16" s="90">
        <f>'FUND. SUP'!E61</f>
        <v/>
      </c>
      <c r="BM16" s="90">
        <f>'FUND. SUP'!E62</f>
        <v/>
      </c>
      <c r="BN16" s="90">
        <f>'FUND. SUP'!E63</f>
        <v/>
      </c>
      <c r="BO16" s="90">
        <f>'FUND. SUP'!E64</f>
        <v/>
      </c>
      <c r="BP16" s="90">
        <f>'FUND. SUP'!E65</f>
        <v/>
      </c>
      <c r="BQ16" s="90">
        <f>'FUND. SUP'!E66</f>
        <v/>
      </c>
      <c r="BR16" s="90">
        <f>'FUND. SUP'!E67</f>
        <v/>
      </c>
      <c r="BS16" s="90">
        <f>'FUND. SUP'!E68</f>
        <v/>
      </c>
      <c r="BT16" s="90">
        <f>'FUND. SUP'!E69</f>
        <v/>
      </c>
      <c r="BU16" s="90">
        <f>'FUND. SUP'!E70</f>
        <v/>
      </c>
      <c r="BV16" s="90">
        <f>'FUND. SUP'!E71</f>
        <v/>
      </c>
      <c r="BW16" s="90">
        <f>'FUND. SUP'!E72</f>
        <v/>
      </c>
      <c r="BX16" s="90">
        <f>'FUND. SUP'!E73</f>
        <v/>
      </c>
      <c r="BY16" s="90">
        <f>'FUND. SUP'!E74</f>
        <v/>
      </c>
      <c r="BZ16" s="90">
        <f>'FUND. SUP'!E75</f>
        <v/>
      </c>
      <c r="CA16" s="90">
        <f>'FUND. SUP'!E76</f>
        <v/>
      </c>
    </row>
    <row r="17">
      <c r="A17" s="60" t="n"/>
      <c r="B17" s="60" t="inlineStr">
        <is>
          <t>1030-1070-290</t>
        </is>
      </c>
      <c r="C17" s="60" t="inlineStr">
        <is>
          <t>IMPERMEABILIZAÇÃO</t>
        </is>
      </c>
      <c r="D17" s="63">
        <f>'IMPERMEABILIZAÇÃO'!$K$5</f>
        <v/>
      </c>
      <c r="E17" s="50">
        <f>SUM(H17:CA17)</f>
        <v/>
      </c>
      <c r="F17" s="50">
        <f>IF(D17="","",D17-E17)</f>
        <v/>
      </c>
      <c r="H17" s="90">
        <f>'IMPERMEABILIZAÇÃO'!E5</f>
        <v/>
      </c>
      <c r="I17" s="90">
        <f>'IMPERMEABILIZAÇÃO'!E6</f>
        <v/>
      </c>
      <c r="J17" s="90">
        <f>'IMPERMEABILIZAÇÃO'!E7</f>
        <v/>
      </c>
      <c r="K17" s="90">
        <f>'IMPERMEABILIZAÇÃO'!E8</f>
        <v/>
      </c>
      <c r="L17" s="90">
        <f>'IMPERMEABILIZAÇÃO'!E9</f>
        <v/>
      </c>
      <c r="M17" s="90">
        <f>'IMPERMEABILIZAÇÃO'!E10</f>
        <v/>
      </c>
      <c r="N17" s="90">
        <f>'IMPERMEABILIZAÇÃO'!E11</f>
        <v/>
      </c>
      <c r="O17" s="90">
        <f>'IMPERMEABILIZAÇÃO'!E12</f>
        <v/>
      </c>
      <c r="P17" s="90">
        <f>'IMPERMEABILIZAÇÃO'!E13</f>
        <v/>
      </c>
      <c r="Q17" s="90">
        <f>'IMPERMEABILIZAÇÃO'!E14</f>
        <v/>
      </c>
      <c r="R17" s="90">
        <f>'IMPERMEABILIZAÇÃO'!E15</f>
        <v/>
      </c>
      <c r="S17" s="90">
        <f>'IMPERMEABILIZAÇÃO'!E16</f>
        <v/>
      </c>
      <c r="T17" s="90">
        <f>'IMPERMEABILIZAÇÃO'!E17</f>
        <v/>
      </c>
      <c r="U17" s="90">
        <f>'IMPERMEABILIZAÇÃO'!E18</f>
        <v/>
      </c>
      <c r="V17" s="90">
        <f>'IMPERMEABILIZAÇÃO'!E19</f>
        <v/>
      </c>
      <c r="W17" s="90">
        <f>'IMPERMEABILIZAÇÃO'!E20</f>
        <v/>
      </c>
      <c r="X17" s="90">
        <f>'IMPERMEABILIZAÇÃO'!E21</f>
        <v/>
      </c>
      <c r="Y17" s="90">
        <f>'IMPERMEABILIZAÇÃO'!E22</f>
        <v/>
      </c>
      <c r="Z17" s="90">
        <f>'IMPERMEABILIZAÇÃO'!E23</f>
        <v/>
      </c>
      <c r="AA17" s="90">
        <f>'IMPERMEABILIZAÇÃO'!E24</f>
        <v/>
      </c>
      <c r="AB17" s="90">
        <f>'IMPERMEABILIZAÇÃO'!E25</f>
        <v/>
      </c>
      <c r="AC17" s="90">
        <f>'IMPERMEABILIZAÇÃO'!E26</f>
        <v/>
      </c>
      <c r="AD17" s="90">
        <f>'IMPERMEABILIZAÇÃO'!E27</f>
        <v/>
      </c>
      <c r="AE17" s="90">
        <f>'IMPERMEABILIZAÇÃO'!E28</f>
        <v/>
      </c>
      <c r="AF17" s="90">
        <f>'IMPERMEABILIZAÇÃO'!E29</f>
        <v/>
      </c>
      <c r="AG17" s="90">
        <f>'IMPERMEABILIZAÇÃO'!E30</f>
        <v/>
      </c>
      <c r="AH17" s="90">
        <f>'IMPERMEABILIZAÇÃO'!E31</f>
        <v/>
      </c>
      <c r="AI17" s="90">
        <f>'IMPERMEABILIZAÇÃO'!E32</f>
        <v/>
      </c>
      <c r="AJ17" s="90">
        <f>'IMPERMEABILIZAÇÃO'!E33</f>
        <v/>
      </c>
      <c r="AK17" s="90">
        <f>'IMPERMEABILIZAÇÃO'!E34</f>
        <v/>
      </c>
      <c r="AL17" s="90">
        <f>'IMPERMEABILIZAÇÃO'!E35</f>
        <v/>
      </c>
      <c r="AM17" s="90">
        <f>'IMPERMEABILIZAÇÃO'!E36</f>
        <v/>
      </c>
      <c r="AN17" s="90">
        <f>'IMPERMEABILIZAÇÃO'!E37</f>
        <v/>
      </c>
      <c r="AO17" s="90">
        <f>'IMPERMEABILIZAÇÃO'!E38</f>
        <v/>
      </c>
      <c r="AP17" s="90">
        <f>'IMPERMEABILIZAÇÃO'!E39</f>
        <v/>
      </c>
      <c r="AQ17" s="90">
        <f>'IMPERMEABILIZAÇÃO'!E40</f>
        <v/>
      </c>
      <c r="AR17" s="90">
        <f>'IMPERMEABILIZAÇÃO'!E41</f>
        <v/>
      </c>
      <c r="AS17" s="90">
        <f>'IMPERMEABILIZAÇÃO'!E42</f>
        <v/>
      </c>
      <c r="AT17" s="90">
        <f>'IMPERMEABILIZAÇÃO'!E43</f>
        <v/>
      </c>
      <c r="AU17" s="90">
        <f>'IMPERMEABILIZAÇÃO'!E44</f>
        <v/>
      </c>
      <c r="AV17" s="90">
        <f>'IMPERMEABILIZAÇÃO'!E45</f>
        <v/>
      </c>
      <c r="AW17" s="90">
        <f>'IMPERMEABILIZAÇÃO'!E46</f>
        <v/>
      </c>
      <c r="AX17" s="90">
        <f>'IMPERMEABILIZAÇÃO'!E47</f>
        <v/>
      </c>
      <c r="AY17" s="90">
        <f>'IMPERMEABILIZAÇÃO'!E48</f>
        <v/>
      </c>
      <c r="AZ17" s="90">
        <f>'IMPERMEABILIZAÇÃO'!E49</f>
        <v/>
      </c>
      <c r="BA17" s="90">
        <f>'IMPERMEABILIZAÇÃO'!E50</f>
        <v/>
      </c>
      <c r="BB17" s="90">
        <f>'IMPERMEABILIZAÇÃO'!E51</f>
        <v/>
      </c>
      <c r="BC17" s="90">
        <f>'IMPERMEABILIZAÇÃO'!E52</f>
        <v/>
      </c>
      <c r="BD17" s="90">
        <f>'IMPERMEABILIZAÇÃO'!E53</f>
        <v/>
      </c>
      <c r="BE17" s="90">
        <f>'IMPERMEABILIZAÇÃO'!E54</f>
        <v/>
      </c>
      <c r="BF17" s="90">
        <f>'IMPERMEABILIZAÇÃO'!E55</f>
        <v/>
      </c>
      <c r="BG17" s="90">
        <f>'IMPERMEABILIZAÇÃO'!E56</f>
        <v/>
      </c>
      <c r="BH17" s="90">
        <f>'IMPERMEABILIZAÇÃO'!E57</f>
        <v/>
      </c>
      <c r="BI17" s="90">
        <f>'IMPERMEABILIZAÇÃO'!E58</f>
        <v/>
      </c>
      <c r="BJ17" s="90">
        <f>'IMPERMEABILIZAÇÃO'!E59</f>
        <v/>
      </c>
      <c r="BK17" s="90">
        <f>'IMPERMEABILIZAÇÃO'!E60</f>
        <v/>
      </c>
      <c r="BL17" s="90">
        <f>'IMPERMEABILIZAÇÃO'!E61</f>
        <v/>
      </c>
      <c r="BM17" s="90">
        <f>'IMPERMEABILIZAÇÃO'!E62</f>
        <v/>
      </c>
      <c r="BN17" s="90">
        <f>'IMPERMEABILIZAÇÃO'!E63</f>
        <v/>
      </c>
      <c r="BO17" s="90">
        <f>'IMPERMEABILIZAÇÃO'!E64</f>
        <v/>
      </c>
      <c r="BP17" s="90">
        <f>'IMPERMEABILIZAÇÃO'!E65</f>
        <v/>
      </c>
      <c r="BQ17" s="90">
        <f>'IMPERMEABILIZAÇÃO'!E66</f>
        <v/>
      </c>
      <c r="BR17" s="90">
        <f>'IMPERMEABILIZAÇÃO'!E67</f>
        <v/>
      </c>
      <c r="BS17" s="90">
        <f>'IMPERMEABILIZAÇÃO'!E68</f>
        <v/>
      </c>
      <c r="BT17" s="90">
        <f>'IMPERMEABILIZAÇÃO'!E69</f>
        <v/>
      </c>
      <c r="BU17" s="90">
        <f>'IMPERMEABILIZAÇÃO'!E70</f>
        <v/>
      </c>
      <c r="BV17" s="90">
        <f>'IMPERMEABILIZAÇÃO'!E71</f>
        <v/>
      </c>
      <c r="BW17" s="90">
        <f>'IMPERMEABILIZAÇÃO'!E72</f>
        <v/>
      </c>
      <c r="BX17" s="90">
        <f>'IMPERMEABILIZAÇÃO'!E73</f>
        <v/>
      </c>
      <c r="BY17" s="90">
        <f>'IMPERMEABILIZAÇÃO'!E74</f>
        <v/>
      </c>
      <c r="BZ17" s="90">
        <f>'IMPERMEABILIZAÇÃO'!E75</f>
        <v/>
      </c>
      <c r="CA17" s="90">
        <f>'IMPERMEABILIZAÇÃO'!E76</f>
        <v/>
      </c>
    </row>
    <row r="18">
      <c r="A18" s="60" t="n"/>
      <c r="B18" s="60" t="inlineStr">
        <is>
          <t>1030-1070-260</t>
        </is>
      </c>
      <c r="C18" s="60" t="inlineStr">
        <is>
          <t>INSTALAÇÕES COMBATE INCÊNDIO</t>
        </is>
      </c>
      <c r="D18" s="63">
        <f>'INST. INC'!$K$5</f>
        <v/>
      </c>
      <c r="E18" s="50">
        <f>SUM(H18:CA18)</f>
        <v/>
      </c>
      <c r="F18" s="50">
        <f>IF(D18="","",D18-E18)</f>
        <v/>
      </c>
      <c r="H18" s="90">
        <f>'INST. INC'!E5</f>
        <v/>
      </c>
      <c r="I18" s="90">
        <f>'INST. INC'!E6</f>
        <v/>
      </c>
      <c r="J18" s="90">
        <f>'INST. INC'!E7</f>
        <v/>
      </c>
      <c r="K18" s="90">
        <f>'INST. INC'!E8</f>
        <v/>
      </c>
      <c r="L18" s="90">
        <f>'INST. INC'!E9</f>
        <v/>
      </c>
      <c r="M18" s="90">
        <f>'INST. INC'!E10</f>
        <v/>
      </c>
      <c r="N18" s="90">
        <f>'INST. INC'!E11</f>
        <v/>
      </c>
      <c r="O18" s="90">
        <f>'INST. INC'!E12</f>
        <v/>
      </c>
      <c r="P18" s="90">
        <f>'INST. INC'!E13</f>
        <v/>
      </c>
      <c r="Q18" s="90">
        <f>'INST. INC'!E14</f>
        <v/>
      </c>
      <c r="R18" s="90">
        <f>'INST. INC'!E15</f>
        <v/>
      </c>
      <c r="S18" s="90">
        <f>'INST. INC'!E16</f>
        <v/>
      </c>
      <c r="T18" s="90">
        <f>'INST. INC'!E17</f>
        <v/>
      </c>
      <c r="U18" s="90">
        <f>'INST. INC'!E18</f>
        <v/>
      </c>
      <c r="V18" s="90">
        <f>'INST. INC'!E19</f>
        <v/>
      </c>
      <c r="W18" s="90">
        <f>'INST. INC'!E20</f>
        <v/>
      </c>
      <c r="X18" s="90">
        <f>'INST. INC'!E21</f>
        <v/>
      </c>
      <c r="Y18" s="90">
        <f>'INST. INC'!E22</f>
        <v/>
      </c>
      <c r="Z18" s="90">
        <f>'INST. INC'!E23</f>
        <v/>
      </c>
      <c r="AA18" s="90">
        <f>'INST. INC'!E24</f>
        <v/>
      </c>
      <c r="AB18" s="90">
        <f>'INST. INC'!E25</f>
        <v/>
      </c>
      <c r="AC18" s="90">
        <f>'INST. INC'!E26</f>
        <v/>
      </c>
      <c r="AD18" s="90">
        <f>'INST. INC'!E27</f>
        <v/>
      </c>
      <c r="AE18" s="90">
        <f>'INST. INC'!E28</f>
        <v/>
      </c>
      <c r="AF18" s="90">
        <f>'INST. INC'!E29</f>
        <v/>
      </c>
      <c r="AG18" s="90">
        <f>'INST. INC'!E30</f>
        <v/>
      </c>
      <c r="AH18" s="90">
        <f>'INST. INC'!E31</f>
        <v/>
      </c>
      <c r="AI18" s="90">
        <f>'INST. INC'!E32</f>
        <v/>
      </c>
      <c r="AJ18" s="90">
        <f>'INST. INC'!E33</f>
        <v/>
      </c>
      <c r="AK18" s="90">
        <f>'INST. INC'!E34</f>
        <v/>
      </c>
      <c r="AL18" s="90">
        <f>'INST. INC'!E35</f>
        <v/>
      </c>
      <c r="AM18" s="90">
        <f>'INST. INC'!E36</f>
        <v/>
      </c>
      <c r="AN18" s="90">
        <f>'INST. INC'!E37</f>
        <v/>
      </c>
      <c r="AO18" s="90">
        <f>'INST. INC'!E38</f>
        <v/>
      </c>
      <c r="AP18" s="90">
        <f>'INST. INC'!E39</f>
        <v/>
      </c>
      <c r="AQ18" s="90">
        <f>'INST. INC'!E40</f>
        <v/>
      </c>
      <c r="AR18" s="90">
        <f>'INST. INC'!E41</f>
        <v/>
      </c>
      <c r="AS18" s="90">
        <f>'INST. INC'!E42</f>
        <v/>
      </c>
      <c r="AT18" s="90">
        <f>'INST. INC'!E43</f>
        <v/>
      </c>
      <c r="AU18" s="90">
        <f>'INST. INC'!E44</f>
        <v/>
      </c>
      <c r="AV18" s="90">
        <f>'INST. INC'!E45</f>
        <v/>
      </c>
      <c r="AW18" s="90">
        <f>'INST. INC'!E46</f>
        <v/>
      </c>
      <c r="AX18" s="90">
        <f>'INST. INC'!E47</f>
        <v/>
      </c>
      <c r="AY18" s="90">
        <f>'INST. INC'!E48</f>
        <v/>
      </c>
      <c r="AZ18" s="90">
        <f>'INST. INC'!E49</f>
        <v/>
      </c>
      <c r="BA18" s="90">
        <f>'INST. INC'!E50</f>
        <v/>
      </c>
      <c r="BB18" s="90">
        <f>'INST. INC'!E51</f>
        <v/>
      </c>
      <c r="BC18" s="90">
        <f>'INST. INC'!E52</f>
        <v/>
      </c>
      <c r="BD18" s="90">
        <f>'INST. INC'!E53</f>
        <v/>
      </c>
      <c r="BE18" s="90">
        <f>'INST. INC'!E54</f>
        <v/>
      </c>
      <c r="BF18" s="90">
        <f>'INST. INC'!E55</f>
        <v/>
      </c>
      <c r="BG18" s="90">
        <f>'INST. INC'!E56</f>
        <v/>
      </c>
      <c r="BH18" s="90">
        <f>'INST. INC'!E57</f>
        <v/>
      </c>
      <c r="BI18" s="90">
        <f>'INST. INC'!E58</f>
        <v/>
      </c>
      <c r="BJ18" s="90">
        <f>'INST. INC'!E59</f>
        <v/>
      </c>
      <c r="BK18" s="90">
        <f>'INST. INC'!E60</f>
        <v/>
      </c>
      <c r="BL18" s="90">
        <f>'INST. INC'!E61</f>
        <v/>
      </c>
      <c r="BM18" s="90">
        <f>'INST. INC'!E62</f>
        <v/>
      </c>
      <c r="BN18" s="90">
        <f>'INST. INC'!E63</f>
        <v/>
      </c>
      <c r="BO18" s="90">
        <f>'INST. INC'!E64</f>
        <v/>
      </c>
      <c r="BP18" s="90">
        <f>'INST. INC'!E65</f>
        <v/>
      </c>
      <c r="BQ18" s="90">
        <f>'INST. INC'!E66</f>
        <v/>
      </c>
      <c r="BR18" s="90">
        <f>'INST. INC'!E67</f>
        <v/>
      </c>
      <c r="BS18" s="90">
        <f>'INST. INC'!E68</f>
        <v/>
      </c>
      <c r="BT18" s="90">
        <f>'INST. INC'!E69</f>
        <v/>
      </c>
      <c r="BU18" s="90">
        <f>'INST. INC'!E70</f>
        <v/>
      </c>
      <c r="BV18" s="90">
        <f>'INST. INC'!E71</f>
        <v/>
      </c>
      <c r="BW18" s="90">
        <f>'INST. INC'!E72</f>
        <v/>
      </c>
      <c r="BX18" s="90">
        <f>'INST. INC'!E73</f>
        <v/>
      </c>
      <c r="BY18" s="90">
        <f>'INST. INC'!E74</f>
        <v/>
      </c>
      <c r="BZ18" s="90">
        <f>'INST. INC'!E75</f>
        <v/>
      </c>
      <c r="CA18" s="90">
        <f>'INST. INC'!E76</f>
        <v/>
      </c>
    </row>
    <row r="19">
      <c r="A19" s="60" t="n"/>
      <c r="B19" s="60" t="inlineStr">
        <is>
          <t>1030-1070-240</t>
        </is>
      </c>
      <c r="C19" s="60" t="inlineStr">
        <is>
          <t>INSTALAÇÕES ELÉTRICAS</t>
        </is>
      </c>
      <c r="D19" s="63">
        <f>'INST. ELÉTRICA'!$K$5</f>
        <v/>
      </c>
      <c r="E19" s="50">
        <f>SUM(H19:CA19)</f>
        <v/>
      </c>
      <c r="F19" s="50">
        <f>IF(D19="","",D19-E19)</f>
        <v/>
      </c>
      <c r="H19" s="90">
        <f>'INST. ELÉTRICA'!E5</f>
        <v/>
      </c>
      <c r="I19" s="90">
        <f>'INST. ELÉTRICA'!E6</f>
        <v/>
      </c>
      <c r="J19" s="90">
        <f>'INST. ELÉTRICA'!E7</f>
        <v/>
      </c>
      <c r="K19" s="90">
        <f>'INST. ELÉTRICA'!E8</f>
        <v/>
      </c>
      <c r="L19" s="90">
        <f>'INST. ELÉTRICA'!E9</f>
        <v/>
      </c>
      <c r="M19" s="90">
        <f>'INST. ELÉTRICA'!E10</f>
        <v/>
      </c>
      <c r="N19" s="90">
        <f>'INST. ELÉTRICA'!E11</f>
        <v/>
      </c>
      <c r="O19" s="90">
        <f>'INST. ELÉTRICA'!E12</f>
        <v/>
      </c>
      <c r="P19" s="90">
        <f>'INST. ELÉTRICA'!E13</f>
        <v/>
      </c>
      <c r="Q19" s="90">
        <f>'INST. ELÉTRICA'!E14</f>
        <v/>
      </c>
      <c r="R19" s="90">
        <f>'INST. ELÉTRICA'!E15</f>
        <v/>
      </c>
      <c r="S19" s="90">
        <f>'INST. ELÉTRICA'!E16</f>
        <v/>
      </c>
      <c r="T19" s="90">
        <f>'INST. ELÉTRICA'!E17</f>
        <v/>
      </c>
      <c r="U19" s="90">
        <f>'INST. ELÉTRICA'!E18</f>
        <v/>
      </c>
      <c r="V19" s="90">
        <f>'INST. ELÉTRICA'!E19</f>
        <v/>
      </c>
      <c r="W19" s="90">
        <f>'INST. ELÉTRICA'!E20</f>
        <v/>
      </c>
      <c r="X19" s="90">
        <f>'INST. ELÉTRICA'!E21</f>
        <v/>
      </c>
      <c r="Y19" s="90">
        <f>'INST. ELÉTRICA'!E22</f>
        <v/>
      </c>
      <c r="Z19" s="90">
        <f>'INST. ELÉTRICA'!E23</f>
        <v/>
      </c>
      <c r="AA19" s="90">
        <f>'INST. ELÉTRICA'!E24</f>
        <v/>
      </c>
      <c r="AB19" s="90">
        <f>'INST. ELÉTRICA'!E25</f>
        <v/>
      </c>
      <c r="AC19" s="90">
        <f>'INST. ELÉTRICA'!E26</f>
        <v/>
      </c>
      <c r="AD19" s="90">
        <f>'INST. ELÉTRICA'!E27</f>
        <v/>
      </c>
      <c r="AE19" s="90">
        <f>'INST. ELÉTRICA'!E28</f>
        <v/>
      </c>
      <c r="AF19" s="90">
        <f>'INST. ELÉTRICA'!E29</f>
        <v/>
      </c>
      <c r="AG19" s="90">
        <f>'INST. ELÉTRICA'!E30</f>
        <v/>
      </c>
      <c r="AH19" s="90">
        <f>'INST. ELÉTRICA'!E31</f>
        <v/>
      </c>
      <c r="AI19" s="90">
        <f>'INST. ELÉTRICA'!E32</f>
        <v/>
      </c>
      <c r="AJ19" s="90">
        <f>'INST. ELÉTRICA'!E33</f>
        <v/>
      </c>
      <c r="AK19" s="90">
        <f>'INST. ELÉTRICA'!E34</f>
        <v/>
      </c>
      <c r="AL19" s="90">
        <f>'INST. ELÉTRICA'!E35</f>
        <v/>
      </c>
      <c r="AM19" s="90">
        <f>'INST. ELÉTRICA'!E36</f>
        <v/>
      </c>
      <c r="AN19" s="90">
        <f>'INST. ELÉTRICA'!E37</f>
        <v/>
      </c>
      <c r="AO19" s="90">
        <f>'INST. ELÉTRICA'!E38</f>
        <v/>
      </c>
      <c r="AP19" s="90">
        <f>'INST. ELÉTRICA'!E39</f>
        <v/>
      </c>
      <c r="AQ19" s="90">
        <f>'INST. ELÉTRICA'!E40</f>
        <v/>
      </c>
      <c r="AR19" s="90">
        <f>'INST. ELÉTRICA'!E41</f>
        <v/>
      </c>
      <c r="AS19" s="90">
        <f>'INST. ELÉTRICA'!E42</f>
        <v/>
      </c>
      <c r="AT19" s="90">
        <f>'INST. ELÉTRICA'!E43</f>
        <v/>
      </c>
      <c r="AU19" s="90">
        <f>'INST. ELÉTRICA'!E44</f>
        <v/>
      </c>
      <c r="AV19" s="90">
        <f>'INST. ELÉTRICA'!E45</f>
        <v/>
      </c>
      <c r="AW19" s="90">
        <f>'INST. ELÉTRICA'!E46</f>
        <v/>
      </c>
      <c r="AX19" s="90">
        <f>'INST. ELÉTRICA'!E47</f>
        <v/>
      </c>
      <c r="AY19" s="90">
        <f>'INST. ELÉTRICA'!E48</f>
        <v/>
      </c>
      <c r="AZ19" s="90">
        <f>'INST. ELÉTRICA'!E49</f>
        <v/>
      </c>
      <c r="BA19" s="90">
        <f>'INST. ELÉTRICA'!E50</f>
        <v/>
      </c>
      <c r="BB19" s="90">
        <f>'INST. ELÉTRICA'!E51</f>
        <v/>
      </c>
      <c r="BC19" s="90">
        <f>'INST. ELÉTRICA'!E52</f>
        <v/>
      </c>
      <c r="BD19" s="90">
        <f>'INST. ELÉTRICA'!E53</f>
        <v/>
      </c>
      <c r="BE19" s="90">
        <f>'INST. ELÉTRICA'!E54</f>
        <v/>
      </c>
      <c r="BF19" s="90">
        <f>'INST. ELÉTRICA'!E55</f>
        <v/>
      </c>
      <c r="BG19" s="90">
        <f>'INST. ELÉTRICA'!E56</f>
        <v/>
      </c>
      <c r="BH19" s="90">
        <f>'INST. ELÉTRICA'!E57</f>
        <v/>
      </c>
      <c r="BI19" s="90">
        <f>'INST. ELÉTRICA'!E58</f>
        <v/>
      </c>
      <c r="BJ19" s="90">
        <f>'INST. ELÉTRICA'!E59</f>
        <v/>
      </c>
      <c r="BK19" s="90">
        <f>'INST. ELÉTRICA'!E60</f>
        <v/>
      </c>
      <c r="BL19" s="90">
        <f>'INST. ELÉTRICA'!E61</f>
        <v/>
      </c>
      <c r="BM19" s="90">
        <f>'INST. ELÉTRICA'!E62</f>
        <v/>
      </c>
      <c r="BN19" s="90">
        <f>'INST. ELÉTRICA'!E63</f>
        <v/>
      </c>
      <c r="BO19" s="90">
        <f>'INST. ELÉTRICA'!E64</f>
        <v/>
      </c>
      <c r="BP19" s="90">
        <f>'INST. ELÉTRICA'!E65</f>
        <v/>
      </c>
      <c r="BQ19" s="90">
        <f>'INST. ELÉTRICA'!E66</f>
        <v/>
      </c>
      <c r="BR19" s="90">
        <f>'INST. ELÉTRICA'!E67</f>
        <v/>
      </c>
      <c r="BS19" s="90">
        <f>'INST. ELÉTRICA'!E68</f>
        <v/>
      </c>
      <c r="BT19" s="90">
        <f>'INST. ELÉTRICA'!E69</f>
        <v/>
      </c>
      <c r="BU19" s="90">
        <f>'INST. ELÉTRICA'!E70</f>
        <v/>
      </c>
      <c r="BV19" s="90">
        <f>'INST. ELÉTRICA'!E71</f>
        <v/>
      </c>
      <c r="BW19" s="90">
        <f>'INST. ELÉTRICA'!E72</f>
        <v/>
      </c>
      <c r="BX19" s="90">
        <f>'INST. ELÉTRICA'!E73</f>
        <v/>
      </c>
      <c r="BY19" s="90">
        <f>'INST. ELÉTRICA'!E74</f>
        <v/>
      </c>
      <c r="BZ19" s="90">
        <f>'INST. ELÉTRICA'!E75</f>
        <v/>
      </c>
      <c r="CA19" s="90">
        <f>'INST. ELÉTRICA'!E76</f>
        <v/>
      </c>
    </row>
    <row r="20">
      <c r="A20" s="60" t="n"/>
      <c r="B20" s="60" t="inlineStr">
        <is>
          <t>1030-1070-270</t>
        </is>
      </c>
      <c r="C20" s="60" t="inlineStr">
        <is>
          <t>INSTALAÇÕES ESPECIAIS</t>
        </is>
      </c>
      <c r="D20" s="63">
        <f>'INST. ESP'!$K$5</f>
        <v/>
      </c>
      <c r="E20" s="50">
        <f>SUM(H20:CA20)</f>
        <v/>
      </c>
      <c r="F20" s="50">
        <f>IF(D20="","",D20-E20)</f>
        <v/>
      </c>
      <c r="H20" s="90">
        <f>'INST. ESP'!E5</f>
        <v/>
      </c>
      <c r="I20" s="90">
        <f>'INST. ESP'!E6</f>
        <v/>
      </c>
      <c r="J20" s="90">
        <f>'INST. ESP'!E7</f>
        <v/>
      </c>
      <c r="K20" s="90">
        <f>'INST. ESP'!E8</f>
        <v/>
      </c>
      <c r="L20" s="90">
        <f>'INST. ESP'!E9</f>
        <v/>
      </c>
      <c r="M20" s="90">
        <f>'INST. ESP'!E10</f>
        <v/>
      </c>
      <c r="N20" s="90">
        <f>'INST. ESP'!E11</f>
        <v/>
      </c>
      <c r="O20" s="90">
        <f>'INST. ESP'!E12</f>
        <v/>
      </c>
      <c r="P20" s="90">
        <f>'INST. ESP'!E13</f>
        <v/>
      </c>
      <c r="Q20" s="90">
        <f>'INST. ESP'!E14</f>
        <v/>
      </c>
      <c r="R20" s="90">
        <f>'INST. ESP'!E15</f>
        <v/>
      </c>
      <c r="S20" s="90">
        <f>'INST. ESP'!E16</f>
        <v/>
      </c>
      <c r="T20" s="90">
        <f>'INST. ESP'!E17</f>
        <v/>
      </c>
      <c r="U20" s="90">
        <f>'INST. ESP'!E18</f>
        <v/>
      </c>
      <c r="V20" s="90">
        <f>'INST. ESP'!E19</f>
        <v/>
      </c>
      <c r="W20" s="90">
        <f>'INST. ESP'!E20</f>
        <v/>
      </c>
      <c r="X20" s="90">
        <f>'INST. ESP'!E21</f>
        <v/>
      </c>
      <c r="Y20" s="90">
        <f>'INST. ESP'!E22</f>
        <v/>
      </c>
      <c r="Z20" s="90">
        <f>'INST. ESP'!E23</f>
        <v/>
      </c>
      <c r="AA20" s="90">
        <f>'INST. ESP'!E24</f>
        <v/>
      </c>
      <c r="AB20" s="90">
        <f>'INST. ESP'!E25</f>
        <v/>
      </c>
      <c r="AC20" s="90">
        <f>'INST. ESP'!E26</f>
        <v/>
      </c>
      <c r="AD20" s="90">
        <f>'INST. ESP'!E27</f>
        <v/>
      </c>
      <c r="AE20" s="90">
        <f>'INST. ESP'!E28</f>
        <v/>
      </c>
      <c r="AF20" s="90">
        <f>'INST. ESP'!E29</f>
        <v/>
      </c>
      <c r="AG20" s="90">
        <f>'INST. ESP'!E30</f>
        <v/>
      </c>
      <c r="AH20" s="90">
        <f>'INST. ESP'!E31</f>
        <v/>
      </c>
      <c r="AI20" s="90">
        <f>'INST. ESP'!E32</f>
        <v/>
      </c>
      <c r="AJ20" s="90">
        <f>'INST. ESP'!E33</f>
        <v/>
      </c>
      <c r="AK20" s="90">
        <f>'INST. ESP'!E34</f>
        <v/>
      </c>
      <c r="AL20" s="90">
        <f>'INST. ESP'!E35</f>
        <v/>
      </c>
      <c r="AM20" s="90">
        <f>'INST. ESP'!E36</f>
        <v/>
      </c>
      <c r="AN20" s="90">
        <f>'INST. ESP'!E37</f>
        <v/>
      </c>
      <c r="AO20" s="90">
        <f>'INST. ESP'!E38</f>
        <v/>
      </c>
      <c r="AP20" s="90">
        <f>'INST. ESP'!E39</f>
        <v/>
      </c>
      <c r="AQ20" s="90">
        <f>'INST. ESP'!E40</f>
        <v/>
      </c>
      <c r="AR20" s="90">
        <f>'INST. ESP'!E41</f>
        <v/>
      </c>
      <c r="AS20" s="90">
        <f>'INST. ESP'!E42</f>
        <v/>
      </c>
      <c r="AT20" s="90">
        <f>'INST. ESP'!E43</f>
        <v/>
      </c>
      <c r="AU20" s="90">
        <f>'INST. ESP'!E44</f>
        <v/>
      </c>
      <c r="AV20" s="90">
        <f>'INST. ESP'!E45</f>
        <v/>
      </c>
      <c r="AW20" s="90">
        <f>'INST. ESP'!E46</f>
        <v/>
      </c>
      <c r="AX20" s="90">
        <f>'INST. ESP'!E47</f>
        <v/>
      </c>
      <c r="AY20" s="90">
        <f>'INST. ESP'!E48</f>
        <v/>
      </c>
      <c r="AZ20" s="90">
        <f>'INST. ESP'!E49</f>
        <v/>
      </c>
      <c r="BA20" s="90">
        <f>'INST. ESP'!E50</f>
        <v/>
      </c>
      <c r="BB20" s="90">
        <f>'INST. ESP'!E51</f>
        <v/>
      </c>
      <c r="BC20" s="90">
        <f>'INST. ESP'!E52</f>
        <v/>
      </c>
      <c r="BD20" s="90">
        <f>'INST. ESP'!E53</f>
        <v/>
      </c>
      <c r="BE20" s="90">
        <f>'INST. ESP'!E54</f>
        <v/>
      </c>
      <c r="BF20" s="90">
        <f>'INST. ESP'!E55</f>
        <v/>
      </c>
      <c r="BG20" s="90">
        <f>'INST. ESP'!E56</f>
        <v/>
      </c>
      <c r="BH20" s="90">
        <f>'INST. ESP'!E57</f>
        <v/>
      </c>
      <c r="BI20" s="90">
        <f>'INST. ESP'!E58</f>
        <v/>
      </c>
      <c r="BJ20" s="90">
        <f>'INST. ESP'!E59</f>
        <v/>
      </c>
      <c r="BK20" s="90">
        <f>'INST. ESP'!E60</f>
        <v/>
      </c>
      <c r="BL20" s="90">
        <f>'INST. ESP'!E61</f>
        <v/>
      </c>
      <c r="BM20" s="90">
        <f>'INST. ESP'!E62</f>
        <v/>
      </c>
      <c r="BN20" s="90">
        <f>'INST. ESP'!E63</f>
        <v/>
      </c>
      <c r="BO20" s="90">
        <f>'INST. ESP'!E64</f>
        <v/>
      </c>
      <c r="BP20" s="90">
        <f>'INST. ESP'!E65</f>
        <v/>
      </c>
      <c r="BQ20" s="90">
        <f>'INST. ESP'!E66</f>
        <v/>
      </c>
      <c r="BR20" s="90">
        <f>'INST. ESP'!E67</f>
        <v/>
      </c>
      <c r="BS20" s="90">
        <f>'INST. ESP'!E68</f>
        <v/>
      </c>
      <c r="BT20" s="90">
        <f>'INST. ESP'!E69</f>
        <v/>
      </c>
      <c r="BU20" s="90">
        <f>'INST. ESP'!E70</f>
        <v/>
      </c>
      <c r="BV20" s="90">
        <f>'INST. ESP'!E71</f>
        <v/>
      </c>
      <c r="BW20" s="90">
        <f>'INST. ESP'!E72</f>
        <v/>
      </c>
      <c r="BX20" s="90">
        <f>'INST. ESP'!E73</f>
        <v/>
      </c>
      <c r="BY20" s="90">
        <f>'INST. ESP'!E74</f>
        <v/>
      </c>
      <c r="BZ20" s="90">
        <f>'INST. ESP'!E75</f>
        <v/>
      </c>
      <c r="CA20" s="90">
        <f>'INST. ESP'!E76</f>
        <v/>
      </c>
    </row>
    <row r="21">
      <c r="A21" s="60" t="n"/>
      <c r="B21" s="60" t="inlineStr">
        <is>
          <t>1030-1070-250</t>
        </is>
      </c>
      <c r="C21" s="60" t="inlineStr">
        <is>
          <t>INSTALAÇÕES HIDROSANITÁRIAS</t>
        </is>
      </c>
      <c r="D21" s="63">
        <f>'INST. HIDRO'!$K$5</f>
        <v/>
      </c>
      <c r="E21" s="50">
        <f>SUM(H21:CA21)</f>
        <v/>
      </c>
      <c r="F21" s="50">
        <f>IF(D21="","",D21-E21)</f>
        <v/>
      </c>
      <c r="H21" s="90">
        <f>'INST. HIDRO'!E5</f>
        <v/>
      </c>
      <c r="I21" s="90">
        <f>'INST. HIDRO'!E6</f>
        <v/>
      </c>
      <c r="J21" s="90">
        <f>'INST. HIDRO'!E7</f>
        <v/>
      </c>
      <c r="K21" s="90">
        <f>'INST. HIDRO'!E8</f>
        <v/>
      </c>
      <c r="L21" s="90">
        <f>'INST. HIDRO'!E9</f>
        <v/>
      </c>
      <c r="M21" s="90">
        <f>'INST. HIDRO'!E10</f>
        <v/>
      </c>
      <c r="N21" s="90">
        <f>'INST. HIDRO'!E11</f>
        <v/>
      </c>
      <c r="O21" s="90">
        <f>'INST. HIDRO'!E12</f>
        <v/>
      </c>
      <c r="P21" s="90">
        <f>'INST. HIDRO'!E13</f>
        <v/>
      </c>
      <c r="Q21" s="90">
        <f>'INST. HIDRO'!E14</f>
        <v/>
      </c>
      <c r="R21" s="90">
        <f>'INST. HIDRO'!E15</f>
        <v/>
      </c>
      <c r="S21" s="90">
        <f>'INST. HIDRO'!E16</f>
        <v/>
      </c>
      <c r="T21" s="90">
        <f>'INST. HIDRO'!E17</f>
        <v/>
      </c>
      <c r="U21" s="90">
        <f>'INST. HIDRO'!E18</f>
        <v/>
      </c>
      <c r="V21" s="90">
        <f>'INST. HIDRO'!E19</f>
        <v/>
      </c>
      <c r="W21" s="90">
        <f>'INST. HIDRO'!E20</f>
        <v/>
      </c>
      <c r="X21" s="90">
        <f>'INST. HIDRO'!E21</f>
        <v/>
      </c>
      <c r="Y21" s="90">
        <f>'INST. HIDRO'!E22</f>
        <v/>
      </c>
      <c r="Z21" s="90">
        <f>'INST. HIDRO'!E23</f>
        <v/>
      </c>
      <c r="AA21" s="90">
        <f>'INST. HIDRO'!E24</f>
        <v/>
      </c>
      <c r="AB21" s="90">
        <f>'INST. HIDRO'!E25</f>
        <v/>
      </c>
      <c r="AC21" s="90">
        <f>'INST. HIDRO'!E26</f>
        <v/>
      </c>
      <c r="AD21" s="90">
        <f>'INST. HIDRO'!E27</f>
        <v/>
      </c>
      <c r="AE21" s="90">
        <f>'INST. HIDRO'!E28</f>
        <v/>
      </c>
      <c r="AF21" s="90">
        <f>'INST. HIDRO'!E29</f>
        <v/>
      </c>
      <c r="AG21" s="90">
        <f>'INST. HIDRO'!E30</f>
        <v/>
      </c>
      <c r="AH21" s="90">
        <f>'INST. HIDRO'!E31</f>
        <v/>
      </c>
      <c r="AI21" s="90">
        <f>'INST. HIDRO'!E32</f>
        <v/>
      </c>
      <c r="AJ21" s="90">
        <f>'INST. HIDRO'!E33</f>
        <v/>
      </c>
      <c r="AK21" s="90">
        <f>'INST. HIDRO'!E34</f>
        <v/>
      </c>
      <c r="AL21" s="90">
        <f>'INST. HIDRO'!E35</f>
        <v/>
      </c>
      <c r="AM21" s="90">
        <f>'INST. HIDRO'!E36</f>
        <v/>
      </c>
      <c r="AN21" s="90">
        <f>'INST. HIDRO'!E37</f>
        <v/>
      </c>
      <c r="AO21" s="90">
        <f>'INST. HIDRO'!E38</f>
        <v/>
      </c>
      <c r="AP21" s="90">
        <f>'INST. HIDRO'!E39</f>
        <v/>
      </c>
      <c r="AQ21" s="90">
        <f>'INST. HIDRO'!E40</f>
        <v/>
      </c>
      <c r="AR21" s="90">
        <f>'INST. HIDRO'!E41</f>
        <v/>
      </c>
      <c r="AS21" s="90">
        <f>'INST. HIDRO'!E42</f>
        <v/>
      </c>
      <c r="AT21" s="90">
        <f>'INST. HIDRO'!E43</f>
        <v/>
      </c>
      <c r="AU21" s="90">
        <f>'INST. HIDRO'!E44</f>
        <v/>
      </c>
      <c r="AV21" s="90">
        <f>'INST. HIDRO'!E45</f>
        <v/>
      </c>
      <c r="AW21" s="90">
        <f>'INST. HIDRO'!E46</f>
        <v/>
      </c>
      <c r="AX21" s="90">
        <f>'INST. HIDRO'!E47</f>
        <v/>
      </c>
      <c r="AY21" s="90">
        <f>'INST. HIDRO'!E48</f>
        <v/>
      </c>
      <c r="AZ21" s="90">
        <f>'INST. HIDRO'!E49</f>
        <v/>
      </c>
      <c r="BA21" s="90">
        <f>'INST. HIDRO'!E50</f>
        <v/>
      </c>
      <c r="BB21" s="90">
        <f>'INST. HIDRO'!E51</f>
        <v/>
      </c>
      <c r="BC21" s="90">
        <f>'INST. HIDRO'!E52</f>
        <v/>
      </c>
      <c r="BD21" s="90">
        <f>'INST. HIDRO'!E53</f>
        <v/>
      </c>
      <c r="BE21" s="90">
        <f>'INST. HIDRO'!E54</f>
        <v/>
      </c>
      <c r="BF21" s="90">
        <f>'INST. HIDRO'!E55</f>
        <v/>
      </c>
      <c r="BG21" s="90">
        <f>'INST. HIDRO'!E56</f>
        <v/>
      </c>
      <c r="BH21" s="90">
        <f>'INST. HIDRO'!E57</f>
        <v/>
      </c>
      <c r="BI21" s="90">
        <f>'INST. HIDRO'!E58</f>
        <v/>
      </c>
      <c r="BJ21" s="90">
        <f>'INST. HIDRO'!E59</f>
        <v/>
      </c>
      <c r="BK21" s="90">
        <f>'INST. HIDRO'!E60</f>
        <v/>
      </c>
      <c r="BL21" s="90">
        <f>'INST. HIDRO'!E61</f>
        <v/>
      </c>
      <c r="BM21" s="90">
        <f>'INST. HIDRO'!E62</f>
        <v/>
      </c>
      <c r="BN21" s="90">
        <f>'INST. HIDRO'!E63</f>
        <v/>
      </c>
      <c r="BO21" s="90">
        <f>'INST. HIDRO'!E64</f>
        <v/>
      </c>
      <c r="BP21" s="90">
        <f>'INST. HIDRO'!E65</f>
        <v/>
      </c>
      <c r="BQ21" s="90">
        <f>'INST. HIDRO'!E66</f>
        <v/>
      </c>
      <c r="BR21" s="90">
        <f>'INST. HIDRO'!E67</f>
        <v/>
      </c>
      <c r="BS21" s="90">
        <f>'INST. HIDRO'!E68</f>
        <v/>
      </c>
      <c r="BT21" s="90">
        <f>'INST. HIDRO'!E69</f>
        <v/>
      </c>
      <c r="BU21" s="90">
        <f>'INST. HIDRO'!E70</f>
        <v/>
      </c>
      <c r="BV21" s="90">
        <f>'INST. HIDRO'!E71</f>
        <v/>
      </c>
      <c r="BW21" s="90">
        <f>'INST. HIDRO'!E72</f>
        <v/>
      </c>
      <c r="BX21" s="90">
        <f>'INST. HIDRO'!E73</f>
        <v/>
      </c>
      <c r="BY21" s="90">
        <f>'INST. HIDRO'!E74</f>
        <v/>
      </c>
      <c r="BZ21" s="90">
        <f>'INST. HIDRO'!E75</f>
        <v/>
      </c>
      <c r="CA21" s="90">
        <f>'INST. HIDRO'!E76</f>
        <v/>
      </c>
    </row>
    <row r="22">
      <c r="A22" s="60" t="n"/>
      <c r="B22" s="60" t="inlineStr">
        <is>
          <t>1030-1070-130</t>
        </is>
      </c>
      <c r="C22" s="60" t="inlineStr">
        <is>
          <t>LEVANTAMENTO TOPOGRÁFICO</t>
        </is>
      </c>
      <c r="E22" s="50">
        <f>SUM(H22:CA22)</f>
        <v/>
      </c>
      <c r="F22" s="50">
        <f>IF(D22="","",D22-E22)</f>
        <v/>
      </c>
    </row>
    <row r="23">
      <c r="A23" s="60" t="n"/>
      <c r="B23" s="60" t="inlineStr">
        <is>
          <t>1030-1070-410</t>
        </is>
      </c>
      <c r="C23" s="60" t="inlineStr">
        <is>
          <t>LOUÇAS SANITÁRIAS</t>
        </is>
      </c>
      <c r="D23" s="63">
        <f>'LOUÇAS'!$K$5</f>
        <v/>
      </c>
      <c r="E23" s="50">
        <f>SUM(H23:CA23)</f>
        <v/>
      </c>
      <c r="F23" s="50">
        <f>IF(D23="","",D23-E23)</f>
        <v/>
      </c>
      <c r="H23" s="90">
        <f>'LOUÇAS'!E5</f>
        <v/>
      </c>
      <c r="I23" s="90">
        <f>'LOUÇAS'!E6</f>
        <v/>
      </c>
      <c r="J23" s="90">
        <f>'LOUÇAS'!E7</f>
        <v/>
      </c>
      <c r="K23" s="90">
        <f>'LOUÇAS'!E8</f>
        <v/>
      </c>
      <c r="L23" s="90">
        <f>'LOUÇAS'!E9</f>
        <v/>
      </c>
      <c r="M23" s="90">
        <f>'LOUÇAS'!E10</f>
        <v/>
      </c>
      <c r="N23" s="90">
        <f>'LOUÇAS'!E11</f>
        <v/>
      </c>
      <c r="O23" s="90">
        <f>'LOUÇAS'!E12</f>
        <v/>
      </c>
      <c r="P23" s="90">
        <f>'LOUÇAS'!E13</f>
        <v/>
      </c>
      <c r="Q23" s="90">
        <f>'LOUÇAS'!E14</f>
        <v/>
      </c>
      <c r="R23" s="90">
        <f>'LOUÇAS'!E15</f>
        <v/>
      </c>
      <c r="S23" s="90">
        <f>'LOUÇAS'!E16</f>
        <v/>
      </c>
      <c r="T23" s="90">
        <f>'LOUÇAS'!E17</f>
        <v/>
      </c>
      <c r="U23" s="90">
        <f>'LOUÇAS'!E18</f>
        <v/>
      </c>
      <c r="V23" s="90">
        <f>'LOUÇAS'!E19</f>
        <v/>
      </c>
      <c r="W23" s="90">
        <f>'LOUÇAS'!E20</f>
        <v/>
      </c>
      <c r="X23" s="90">
        <f>'LOUÇAS'!E21</f>
        <v/>
      </c>
      <c r="Y23" s="90">
        <f>'LOUÇAS'!E22</f>
        <v/>
      </c>
      <c r="Z23" s="90">
        <f>'LOUÇAS'!E23</f>
        <v/>
      </c>
      <c r="AA23" s="90">
        <f>'LOUÇAS'!E24</f>
        <v/>
      </c>
      <c r="AB23" s="90">
        <f>'LOUÇAS'!E25</f>
        <v/>
      </c>
      <c r="AC23" s="90">
        <f>'LOUÇAS'!E26</f>
        <v/>
      </c>
      <c r="AD23" s="90">
        <f>'LOUÇAS'!E27</f>
        <v/>
      </c>
      <c r="AE23" s="90">
        <f>'LOUÇAS'!E28</f>
        <v/>
      </c>
      <c r="AF23" s="90">
        <f>'LOUÇAS'!E29</f>
        <v/>
      </c>
      <c r="AG23" s="90">
        <f>'LOUÇAS'!E30</f>
        <v/>
      </c>
      <c r="AH23" s="90">
        <f>'LOUÇAS'!E31</f>
        <v/>
      </c>
      <c r="AI23" s="90">
        <f>'LOUÇAS'!E32</f>
        <v/>
      </c>
      <c r="AJ23" s="90">
        <f>'LOUÇAS'!E33</f>
        <v/>
      </c>
      <c r="AK23" s="90">
        <f>'LOUÇAS'!E34</f>
        <v/>
      </c>
      <c r="AL23" s="90">
        <f>'LOUÇAS'!E35</f>
        <v/>
      </c>
      <c r="AM23" s="90">
        <f>'LOUÇAS'!E36</f>
        <v/>
      </c>
      <c r="AN23" s="90">
        <f>'LOUÇAS'!E37</f>
        <v/>
      </c>
      <c r="AO23" s="90">
        <f>'LOUÇAS'!E38</f>
        <v/>
      </c>
      <c r="AP23" s="90">
        <f>'LOUÇAS'!E39</f>
        <v/>
      </c>
      <c r="AQ23" s="90">
        <f>'LOUÇAS'!E40</f>
        <v/>
      </c>
      <c r="AR23" s="90">
        <f>'LOUÇAS'!E41</f>
        <v/>
      </c>
      <c r="AS23" s="90">
        <f>'LOUÇAS'!E42</f>
        <v/>
      </c>
      <c r="AT23" s="90">
        <f>'LOUÇAS'!E43</f>
        <v/>
      </c>
      <c r="AU23" s="90">
        <f>'LOUÇAS'!E44</f>
        <v/>
      </c>
      <c r="AV23" s="90">
        <f>'LOUÇAS'!E45</f>
        <v/>
      </c>
      <c r="AW23" s="90">
        <f>'LOUÇAS'!E46</f>
        <v/>
      </c>
      <c r="AX23" s="90">
        <f>'LOUÇAS'!E47</f>
        <v/>
      </c>
      <c r="AY23" s="90">
        <f>'LOUÇAS'!E48</f>
        <v/>
      </c>
      <c r="AZ23" s="90">
        <f>'LOUÇAS'!E49</f>
        <v/>
      </c>
      <c r="BA23" s="90">
        <f>'LOUÇAS'!E50</f>
        <v/>
      </c>
      <c r="BB23" s="90">
        <f>'LOUÇAS'!E51</f>
        <v/>
      </c>
      <c r="BC23" s="90">
        <f>'LOUÇAS'!E52</f>
        <v/>
      </c>
      <c r="BD23" s="90">
        <f>'LOUÇAS'!E53</f>
        <v/>
      </c>
      <c r="BE23" s="90">
        <f>'LOUÇAS'!E54</f>
        <v/>
      </c>
      <c r="BF23" s="90">
        <f>'LOUÇAS'!E55</f>
        <v/>
      </c>
      <c r="BG23" s="90">
        <f>'LOUÇAS'!E56</f>
        <v/>
      </c>
      <c r="BH23" s="90">
        <f>'LOUÇAS'!E57</f>
        <v/>
      </c>
      <c r="BI23" s="90">
        <f>'LOUÇAS'!E58</f>
        <v/>
      </c>
      <c r="BJ23" s="90">
        <f>'LOUÇAS'!E59</f>
        <v/>
      </c>
      <c r="BK23" s="90">
        <f>'LOUÇAS'!E60</f>
        <v/>
      </c>
      <c r="BL23" s="90">
        <f>'LOUÇAS'!E61</f>
        <v/>
      </c>
      <c r="BM23" s="90">
        <f>'LOUÇAS'!E62</f>
        <v/>
      </c>
      <c r="BN23" s="90">
        <f>'LOUÇAS'!E63</f>
        <v/>
      </c>
      <c r="BO23" s="90">
        <f>'LOUÇAS'!E64</f>
        <v/>
      </c>
      <c r="BP23" s="90">
        <f>'LOUÇAS'!E65</f>
        <v/>
      </c>
      <c r="BQ23" s="90">
        <f>'LOUÇAS'!E66</f>
        <v/>
      </c>
      <c r="BR23" s="90">
        <f>'LOUÇAS'!E67</f>
        <v/>
      </c>
      <c r="BS23" s="90">
        <f>'LOUÇAS'!E68</f>
        <v/>
      </c>
      <c r="BT23" s="90">
        <f>'LOUÇAS'!E69</f>
        <v/>
      </c>
      <c r="BU23" s="90">
        <f>'LOUÇAS'!E70</f>
        <v/>
      </c>
      <c r="BV23" s="90">
        <f>'LOUÇAS'!E71</f>
        <v/>
      </c>
      <c r="BW23" s="90">
        <f>'LOUÇAS'!E72</f>
        <v/>
      </c>
      <c r="BX23" s="90">
        <f>'LOUÇAS'!E73</f>
        <v/>
      </c>
      <c r="BY23" s="90">
        <f>'LOUÇAS'!E74</f>
        <v/>
      </c>
      <c r="BZ23" s="90">
        <f>'LOUÇAS'!E75</f>
        <v/>
      </c>
      <c r="CA23" s="90">
        <f>'LOUÇAS'!E76</f>
        <v/>
      </c>
    </row>
    <row r="24">
      <c r="A24" s="60" t="n"/>
      <c r="B24" s="60" t="inlineStr">
        <is>
          <t>1030-1070-440</t>
        </is>
      </c>
      <c r="C24" s="60" t="inlineStr">
        <is>
          <t>LIMPEZA FINAL DE OBRA</t>
        </is>
      </c>
      <c r="D24" s="63">
        <f>'LIMPEZA'!$K$5</f>
        <v/>
      </c>
      <c r="E24" s="50">
        <f>SUM(H24:CA24)</f>
        <v/>
      </c>
      <c r="F24" s="50">
        <f>IF(D24="","",D24-E24)</f>
        <v/>
      </c>
      <c r="H24" s="90">
        <f>'LIMPEZA'!E5</f>
        <v/>
      </c>
      <c r="I24" s="90">
        <f>'LIMPEZA'!E6</f>
        <v/>
      </c>
      <c r="J24" s="90">
        <f>'LIMPEZA'!E7</f>
        <v/>
      </c>
      <c r="K24" s="90">
        <f>'LIMPEZA'!E8</f>
        <v/>
      </c>
      <c r="L24" s="90">
        <f>'LIMPEZA'!E9</f>
        <v/>
      </c>
      <c r="M24" s="90">
        <f>'LIMPEZA'!E10</f>
        <v/>
      </c>
      <c r="N24" s="90">
        <f>'LIMPEZA'!E11</f>
        <v/>
      </c>
      <c r="O24" s="90">
        <f>'LIMPEZA'!E12</f>
        <v/>
      </c>
      <c r="P24" s="90">
        <f>'LIMPEZA'!E13</f>
        <v/>
      </c>
      <c r="Q24" s="90">
        <f>'LIMPEZA'!E14</f>
        <v/>
      </c>
      <c r="R24" s="90">
        <f>'LIMPEZA'!E15</f>
        <v/>
      </c>
      <c r="S24" s="90">
        <f>'LIMPEZA'!E16</f>
        <v/>
      </c>
      <c r="T24" s="90">
        <f>'LIMPEZA'!E17</f>
        <v/>
      </c>
      <c r="U24" s="90">
        <f>'LIMPEZA'!E18</f>
        <v/>
      </c>
      <c r="V24" s="90">
        <f>'LIMPEZA'!E19</f>
        <v/>
      </c>
      <c r="W24" s="90">
        <f>'LIMPEZA'!E20</f>
        <v/>
      </c>
      <c r="X24" s="90">
        <f>'LIMPEZA'!E21</f>
        <v/>
      </c>
      <c r="Y24" s="90">
        <f>'LIMPEZA'!E22</f>
        <v/>
      </c>
      <c r="Z24" s="90">
        <f>'LIMPEZA'!E23</f>
        <v/>
      </c>
      <c r="AA24" s="90">
        <f>'LIMPEZA'!E24</f>
        <v/>
      </c>
      <c r="AB24" s="90">
        <f>'LIMPEZA'!E25</f>
        <v/>
      </c>
      <c r="AC24" s="90">
        <f>'LIMPEZA'!E26</f>
        <v/>
      </c>
      <c r="AD24" s="90">
        <f>'LIMPEZA'!E27</f>
        <v/>
      </c>
      <c r="AE24" s="90">
        <f>'LIMPEZA'!E28</f>
        <v/>
      </c>
      <c r="AF24" s="90">
        <f>'LIMPEZA'!E29</f>
        <v/>
      </c>
      <c r="AG24" s="90">
        <f>'LIMPEZA'!E30</f>
        <v/>
      </c>
      <c r="AH24" s="90">
        <f>'LIMPEZA'!E31</f>
        <v/>
      </c>
      <c r="AI24" s="90">
        <f>'LIMPEZA'!E32</f>
        <v/>
      </c>
      <c r="AJ24" s="90">
        <f>'LIMPEZA'!E33</f>
        <v/>
      </c>
      <c r="AK24" s="90">
        <f>'LIMPEZA'!E34</f>
        <v/>
      </c>
      <c r="AL24" s="90">
        <f>'LIMPEZA'!E35</f>
        <v/>
      </c>
      <c r="AM24" s="90">
        <f>'LIMPEZA'!E36</f>
        <v/>
      </c>
      <c r="AN24" s="90">
        <f>'LIMPEZA'!E37</f>
        <v/>
      </c>
      <c r="AO24" s="90">
        <f>'LIMPEZA'!E38</f>
        <v/>
      </c>
      <c r="AP24" s="90">
        <f>'LIMPEZA'!E39</f>
        <v/>
      </c>
      <c r="AQ24" s="90">
        <f>'LIMPEZA'!E40</f>
        <v/>
      </c>
      <c r="AR24" s="90">
        <f>'LIMPEZA'!E41</f>
        <v/>
      </c>
      <c r="AS24" s="90">
        <f>'LIMPEZA'!E42</f>
        <v/>
      </c>
      <c r="AT24" s="90">
        <f>'LIMPEZA'!E43</f>
        <v/>
      </c>
      <c r="AU24" s="90">
        <f>'LIMPEZA'!E44</f>
        <v/>
      </c>
      <c r="AV24" s="90">
        <f>'LIMPEZA'!E45</f>
        <v/>
      </c>
      <c r="AW24" s="90">
        <f>'LIMPEZA'!E46</f>
        <v/>
      </c>
      <c r="AX24" s="90">
        <f>'LIMPEZA'!E47</f>
        <v/>
      </c>
      <c r="AY24" s="90">
        <f>'LIMPEZA'!E48</f>
        <v/>
      </c>
      <c r="AZ24" s="90">
        <f>'LIMPEZA'!E49</f>
        <v/>
      </c>
      <c r="BA24" s="90">
        <f>'LIMPEZA'!E50</f>
        <v/>
      </c>
      <c r="BB24" s="90">
        <f>'LIMPEZA'!E51</f>
        <v/>
      </c>
      <c r="BC24" s="90">
        <f>'LIMPEZA'!E52</f>
        <v/>
      </c>
      <c r="BD24" s="90">
        <f>'LIMPEZA'!E53</f>
        <v/>
      </c>
      <c r="BE24" s="90">
        <f>'LIMPEZA'!E54</f>
        <v/>
      </c>
      <c r="BF24" s="90">
        <f>'LIMPEZA'!E55</f>
        <v/>
      </c>
      <c r="BG24" s="90">
        <f>'LIMPEZA'!E56</f>
        <v/>
      </c>
      <c r="BH24" s="90">
        <f>'LIMPEZA'!E57</f>
        <v/>
      </c>
      <c r="BI24" s="90">
        <f>'LIMPEZA'!E58</f>
        <v/>
      </c>
      <c r="BJ24" s="90">
        <f>'LIMPEZA'!E59</f>
        <v/>
      </c>
      <c r="BK24" s="90">
        <f>'LIMPEZA'!E60</f>
        <v/>
      </c>
      <c r="BL24" s="90">
        <f>'LIMPEZA'!E61</f>
        <v/>
      </c>
      <c r="BM24" s="90">
        <f>'LIMPEZA'!E62</f>
        <v/>
      </c>
      <c r="BN24" s="90">
        <f>'LIMPEZA'!E63</f>
        <v/>
      </c>
      <c r="BO24" s="90">
        <f>'LIMPEZA'!E64</f>
        <v/>
      </c>
      <c r="BP24" s="90">
        <f>'LIMPEZA'!E65</f>
        <v/>
      </c>
      <c r="BQ24" s="90">
        <f>'LIMPEZA'!E66</f>
        <v/>
      </c>
      <c r="BR24" s="90">
        <f>'LIMPEZA'!E67</f>
        <v/>
      </c>
      <c r="BS24" s="90">
        <f>'LIMPEZA'!E68</f>
        <v/>
      </c>
      <c r="BT24" s="90">
        <f>'LIMPEZA'!E69</f>
        <v/>
      </c>
      <c r="BU24" s="90">
        <f>'LIMPEZA'!E70</f>
        <v/>
      </c>
      <c r="BV24" s="90">
        <f>'LIMPEZA'!E71</f>
        <v/>
      </c>
      <c r="BW24" s="90">
        <f>'LIMPEZA'!E72</f>
        <v/>
      </c>
      <c r="BX24" s="90">
        <f>'LIMPEZA'!E73</f>
        <v/>
      </c>
      <c r="BY24" s="90">
        <f>'LIMPEZA'!E74</f>
        <v/>
      </c>
      <c r="BZ24" s="90">
        <f>'LIMPEZA'!E75</f>
        <v/>
      </c>
      <c r="CA24" s="90">
        <f>'LIMPEZA'!E76</f>
        <v/>
      </c>
    </row>
    <row r="25">
      <c r="A25" s="60" t="n"/>
      <c r="B25" s="60" t="inlineStr">
        <is>
          <t>1030-1070-540</t>
        </is>
      </c>
      <c r="C25" s="60" t="inlineStr">
        <is>
          <t>MARCENARIA</t>
        </is>
      </c>
      <c r="D25" s="63">
        <f>'MARCENARIA'!$K$5</f>
        <v/>
      </c>
      <c r="E25" s="50">
        <f>SUM(H25:CA25)</f>
        <v/>
      </c>
      <c r="F25" s="50">
        <f>IF(D25="","",D25-E25)</f>
        <v/>
      </c>
      <c r="H25" s="90">
        <f>'MARCENARIA'!E5</f>
        <v/>
      </c>
      <c r="I25" s="90">
        <f>'MARCENARIA'!E6</f>
        <v/>
      </c>
      <c r="J25" s="90">
        <f>'MARCENARIA'!E7</f>
        <v/>
      </c>
      <c r="K25" s="90">
        <f>'MARCENARIA'!E8</f>
        <v/>
      </c>
      <c r="L25" s="90">
        <f>'MARCENARIA'!E9</f>
        <v/>
      </c>
      <c r="M25" s="90">
        <f>'MARCENARIA'!E10</f>
        <v/>
      </c>
      <c r="N25" s="90">
        <f>'MARCENARIA'!E11</f>
        <v/>
      </c>
      <c r="O25" s="90">
        <f>'MARCENARIA'!E12</f>
        <v/>
      </c>
      <c r="P25" s="90">
        <f>'MARCENARIA'!E13</f>
        <v/>
      </c>
      <c r="Q25" s="90">
        <f>'MARCENARIA'!E14</f>
        <v/>
      </c>
      <c r="R25" s="90">
        <f>'MARCENARIA'!E15</f>
        <v/>
      </c>
      <c r="S25" s="90">
        <f>'MARCENARIA'!E16</f>
        <v/>
      </c>
      <c r="T25" s="90">
        <f>'MARCENARIA'!E17</f>
        <v/>
      </c>
      <c r="U25" s="90">
        <f>'MARCENARIA'!E18</f>
        <v/>
      </c>
      <c r="V25" s="90">
        <f>'MARCENARIA'!E19</f>
        <v/>
      </c>
      <c r="W25" s="90">
        <f>'MARCENARIA'!E20</f>
        <v/>
      </c>
      <c r="X25" s="90">
        <f>'MARCENARIA'!E21</f>
        <v/>
      </c>
      <c r="Y25" s="90">
        <f>'MARCENARIA'!E22</f>
        <v/>
      </c>
      <c r="Z25" s="90">
        <f>'MARCENARIA'!E23</f>
        <v/>
      </c>
      <c r="AA25" s="90">
        <f>'MARCENARIA'!E24</f>
        <v/>
      </c>
      <c r="AB25" s="90">
        <f>'MARCENARIA'!E25</f>
        <v/>
      </c>
      <c r="AC25" s="90">
        <f>'MARCENARIA'!E26</f>
        <v/>
      </c>
      <c r="AD25" s="90">
        <f>'MARCENARIA'!E27</f>
        <v/>
      </c>
      <c r="AE25" s="90">
        <f>'MARCENARIA'!E28</f>
        <v/>
      </c>
      <c r="AF25" s="90">
        <f>'MARCENARIA'!E29</f>
        <v/>
      </c>
      <c r="AG25" s="90">
        <f>'MARCENARIA'!E30</f>
        <v/>
      </c>
      <c r="AH25" s="90">
        <f>'MARCENARIA'!E31</f>
        <v/>
      </c>
      <c r="AI25" s="90">
        <f>'MARCENARIA'!E32</f>
        <v/>
      </c>
      <c r="AJ25" s="90">
        <f>'MARCENARIA'!E33</f>
        <v/>
      </c>
      <c r="AK25" s="90">
        <f>'MARCENARIA'!E34</f>
        <v/>
      </c>
      <c r="AL25" s="90">
        <f>'MARCENARIA'!E35</f>
        <v/>
      </c>
      <c r="AM25" s="90">
        <f>'MARCENARIA'!E36</f>
        <v/>
      </c>
      <c r="AN25" s="90">
        <f>'MARCENARIA'!E37</f>
        <v/>
      </c>
      <c r="AO25" s="90">
        <f>'MARCENARIA'!E38</f>
        <v/>
      </c>
      <c r="AP25" s="90">
        <f>'MARCENARIA'!E39</f>
        <v/>
      </c>
      <c r="AQ25" s="90">
        <f>'MARCENARIA'!E40</f>
        <v/>
      </c>
      <c r="AR25" s="90">
        <f>'MARCENARIA'!E41</f>
        <v/>
      </c>
      <c r="AS25" s="90">
        <f>'MARCENARIA'!E42</f>
        <v/>
      </c>
      <c r="AT25" s="90">
        <f>'MARCENARIA'!E43</f>
        <v/>
      </c>
      <c r="AU25" s="90">
        <f>'MARCENARIA'!E44</f>
        <v/>
      </c>
      <c r="AV25" s="90">
        <f>'MARCENARIA'!E45</f>
        <v/>
      </c>
      <c r="AW25" s="90">
        <f>'MARCENARIA'!E46</f>
        <v/>
      </c>
      <c r="AX25" s="90">
        <f>'MARCENARIA'!E47</f>
        <v/>
      </c>
      <c r="AY25" s="90">
        <f>'MARCENARIA'!E48</f>
        <v/>
      </c>
      <c r="AZ25" s="90">
        <f>'MARCENARIA'!E49</f>
        <v/>
      </c>
      <c r="BA25" s="90">
        <f>'MARCENARIA'!E50</f>
        <v/>
      </c>
      <c r="BB25" s="90">
        <f>'MARCENARIA'!E51</f>
        <v/>
      </c>
      <c r="BC25" s="90">
        <f>'MARCENARIA'!E52</f>
        <v/>
      </c>
      <c r="BD25" s="90">
        <f>'MARCENARIA'!E53</f>
        <v/>
      </c>
      <c r="BE25" s="90">
        <f>'MARCENARIA'!E54</f>
        <v/>
      </c>
      <c r="BF25" s="90">
        <f>'MARCENARIA'!E55</f>
        <v/>
      </c>
      <c r="BG25" s="90">
        <f>'MARCENARIA'!E56</f>
        <v/>
      </c>
      <c r="BH25" s="90">
        <f>'MARCENARIA'!E57</f>
        <v/>
      </c>
      <c r="BI25" s="90">
        <f>'MARCENARIA'!E58</f>
        <v/>
      </c>
      <c r="BJ25" s="90">
        <f>'MARCENARIA'!E59</f>
        <v/>
      </c>
      <c r="BK25" s="90">
        <f>'MARCENARIA'!E60</f>
        <v/>
      </c>
      <c r="BL25" s="90">
        <f>'MARCENARIA'!E61</f>
        <v/>
      </c>
      <c r="BM25" s="90">
        <f>'MARCENARIA'!E62</f>
        <v/>
      </c>
      <c r="BN25" s="90">
        <f>'MARCENARIA'!E63</f>
        <v/>
      </c>
      <c r="BO25" s="90">
        <f>'MARCENARIA'!E64</f>
        <v/>
      </c>
      <c r="BP25" s="90">
        <f>'MARCENARIA'!E65</f>
        <v/>
      </c>
      <c r="BQ25" s="90">
        <f>'MARCENARIA'!E66</f>
        <v/>
      </c>
      <c r="BR25" s="90">
        <f>'MARCENARIA'!E67</f>
        <v/>
      </c>
      <c r="BS25" s="90">
        <f>'MARCENARIA'!E68</f>
        <v/>
      </c>
      <c r="BT25" s="90">
        <f>'MARCENARIA'!E69</f>
        <v/>
      </c>
      <c r="BU25" s="90">
        <f>'MARCENARIA'!E70</f>
        <v/>
      </c>
      <c r="BV25" s="90">
        <f>'MARCENARIA'!E71</f>
        <v/>
      </c>
      <c r="BW25" s="90">
        <f>'MARCENARIA'!E72</f>
        <v/>
      </c>
      <c r="BX25" s="90">
        <f>'MARCENARIA'!E73</f>
        <v/>
      </c>
      <c r="BY25" s="90">
        <f>'MARCENARIA'!E74</f>
        <v/>
      </c>
      <c r="BZ25" s="90">
        <f>'MARCENARIA'!E75</f>
        <v/>
      </c>
      <c r="CA25" s="90">
        <f>'MARCENARIA'!E76</f>
        <v/>
      </c>
    </row>
    <row r="26">
      <c r="A26" s="60" t="n"/>
      <c r="B26" s="60" t="inlineStr">
        <is>
          <t>1030-1070-430</t>
        </is>
      </c>
      <c r="C26" s="60" t="inlineStr">
        <is>
          <t>PAISAGISMO</t>
        </is>
      </c>
      <c r="D26" s="63">
        <f>'PAISAGISMO'!$K$5</f>
        <v/>
      </c>
      <c r="E26" s="50">
        <f>SUM(H26:CA26)</f>
        <v/>
      </c>
      <c r="F26" s="50">
        <f>IF(D26="","",D26-E26)</f>
        <v/>
      </c>
      <c r="H26" s="90">
        <f>'PAISAGISMO'!E5</f>
        <v/>
      </c>
      <c r="I26" s="90">
        <f>'PAISAGISMO'!E6</f>
        <v/>
      </c>
      <c r="J26" s="90">
        <f>'PAISAGISMO'!E7</f>
        <v/>
      </c>
      <c r="K26" s="90">
        <f>'PAISAGISMO'!E8</f>
        <v/>
      </c>
      <c r="L26" s="90">
        <f>'PAISAGISMO'!E9</f>
        <v/>
      </c>
      <c r="M26" s="90">
        <f>'PAISAGISMO'!E10</f>
        <v/>
      </c>
      <c r="N26" s="90">
        <f>'PAISAGISMO'!E11</f>
        <v/>
      </c>
      <c r="O26" s="90">
        <f>'PAISAGISMO'!E12</f>
        <v/>
      </c>
      <c r="P26" s="90">
        <f>'PAISAGISMO'!E13</f>
        <v/>
      </c>
      <c r="Q26" s="90">
        <f>'PAISAGISMO'!E14</f>
        <v/>
      </c>
      <c r="R26" s="90">
        <f>'PAISAGISMO'!E15</f>
        <v/>
      </c>
      <c r="S26" s="90">
        <f>'PAISAGISMO'!E16</f>
        <v/>
      </c>
      <c r="T26" s="90">
        <f>'PAISAGISMO'!E17</f>
        <v/>
      </c>
      <c r="U26" s="90">
        <f>'PAISAGISMO'!E18</f>
        <v/>
      </c>
      <c r="V26" s="90">
        <f>'PAISAGISMO'!E19</f>
        <v/>
      </c>
      <c r="W26" s="90">
        <f>'PAISAGISMO'!E20</f>
        <v/>
      </c>
      <c r="X26" s="90">
        <f>'PAISAGISMO'!E21</f>
        <v/>
      </c>
      <c r="Y26" s="90">
        <f>'PAISAGISMO'!E22</f>
        <v/>
      </c>
      <c r="Z26" s="90">
        <f>'PAISAGISMO'!E23</f>
        <v/>
      </c>
      <c r="AA26" s="90">
        <f>'PAISAGISMO'!E24</f>
        <v/>
      </c>
      <c r="AB26" s="90">
        <f>'PAISAGISMO'!E25</f>
        <v/>
      </c>
      <c r="AC26" s="90">
        <f>'PAISAGISMO'!E26</f>
        <v/>
      </c>
      <c r="AD26" s="90">
        <f>'PAISAGISMO'!E27</f>
        <v/>
      </c>
      <c r="AE26" s="90">
        <f>'PAISAGISMO'!E28</f>
        <v/>
      </c>
      <c r="AF26" s="90">
        <f>'PAISAGISMO'!E29</f>
        <v/>
      </c>
      <c r="AG26" s="90">
        <f>'PAISAGISMO'!E30</f>
        <v/>
      </c>
      <c r="AH26" s="90">
        <f>'PAISAGISMO'!E31</f>
        <v/>
      </c>
      <c r="AI26" s="90">
        <f>'PAISAGISMO'!E32</f>
        <v/>
      </c>
      <c r="AJ26" s="90">
        <f>'PAISAGISMO'!E33</f>
        <v/>
      </c>
      <c r="AK26" s="90">
        <f>'PAISAGISMO'!E34</f>
        <v/>
      </c>
      <c r="AL26" s="90">
        <f>'PAISAGISMO'!E35</f>
        <v/>
      </c>
      <c r="AM26" s="90">
        <f>'PAISAGISMO'!E36</f>
        <v/>
      </c>
      <c r="AN26" s="90">
        <f>'PAISAGISMO'!E37</f>
        <v/>
      </c>
      <c r="AO26" s="90">
        <f>'PAISAGISMO'!E38</f>
        <v/>
      </c>
      <c r="AP26" s="90">
        <f>'PAISAGISMO'!E39</f>
        <v/>
      </c>
      <c r="AQ26" s="90">
        <f>'PAISAGISMO'!E40</f>
        <v/>
      </c>
      <c r="AR26" s="90">
        <f>'PAISAGISMO'!E41</f>
        <v/>
      </c>
      <c r="AS26" s="90">
        <f>'PAISAGISMO'!E42</f>
        <v/>
      </c>
      <c r="AT26" s="90">
        <f>'PAISAGISMO'!E43</f>
        <v/>
      </c>
      <c r="AU26" s="90">
        <f>'PAISAGISMO'!E44</f>
        <v/>
      </c>
      <c r="AV26" s="90">
        <f>'PAISAGISMO'!E45</f>
        <v/>
      </c>
      <c r="AW26" s="90">
        <f>'PAISAGISMO'!E46</f>
        <v/>
      </c>
      <c r="AX26" s="90">
        <f>'PAISAGISMO'!E47</f>
        <v/>
      </c>
      <c r="AY26" s="90">
        <f>'PAISAGISMO'!E48</f>
        <v/>
      </c>
      <c r="AZ26" s="90">
        <f>'PAISAGISMO'!E49</f>
        <v/>
      </c>
      <c r="BA26" s="90">
        <f>'PAISAGISMO'!E50</f>
        <v/>
      </c>
      <c r="BB26" s="90">
        <f>'PAISAGISMO'!E51</f>
        <v/>
      </c>
      <c r="BC26" s="90">
        <f>'PAISAGISMO'!E52</f>
        <v/>
      </c>
      <c r="BD26" s="90">
        <f>'PAISAGISMO'!E53</f>
        <v/>
      </c>
      <c r="BE26" s="90">
        <f>'PAISAGISMO'!E54</f>
        <v/>
      </c>
      <c r="BF26" s="90">
        <f>'PAISAGISMO'!E55</f>
        <v/>
      </c>
      <c r="BG26" s="90">
        <f>'PAISAGISMO'!E56</f>
        <v/>
      </c>
      <c r="BH26" s="90">
        <f>'PAISAGISMO'!E57</f>
        <v/>
      </c>
      <c r="BI26" s="90">
        <f>'PAISAGISMO'!E58</f>
        <v/>
      </c>
      <c r="BJ26" s="90">
        <f>'PAISAGISMO'!E59</f>
        <v/>
      </c>
      <c r="BK26" s="90">
        <f>'PAISAGISMO'!E60</f>
        <v/>
      </c>
      <c r="BL26" s="90">
        <f>'PAISAGISMO'!E61</f>
        <v/>
      </c>
      <c r="BM26" s="90">
        <f>'PAISAGISMO'!E62</f>
        <v/>
      </c>
      <c r="BN26" s="90">
        <f>'PAISAGISMO'!E63</f>
        <v/>
      </c>
      <c r="BO26" s="90">
        <f>'PAISAGISMO'!E64</f>
        <v/>
      </c>
      <c r="BP26" s="90">
        <f>'PAISAGISMO'!E65</f>
        <v/>
      </c>
      <c r="BQ26" s="90">
        <f>'PAISAGISMO'!E66</f>
        <v/>
      </c>
      <c r="BR26" s="90">
        <f>'PAISAGISMO'!E67</f>
        <v/>
      </c>
      <c r="BS26" s="90">
        <f>'PAISAGISMO'!E68</f>
        <v/>
      </c>
      <c r="BT26" s="90">
        <f>'PAISAGISMO'!E69</f>
        <v/>
      </c>
      <c r="BU26" s="90">
        <f>'PAISAGISMO'!E70</f>
        <v/>
      </c>
      <c r="BV26" s="90">
        <f>'PAISAGISMO'!E71</f>
        <v/>
      </c>
      <c r="BW26" s="90">
        <f>'PAISAGISMO'!E72</f>
        <v/>
      </c>
      <c r="BX26" s="90">
        <f>'PAISAGISMO'!E73</f>
        <v/>
      </c>
      <c r="BY26" s="90">
        <f>'PAISAGISMO'!E74</f>
        <v/>
      </c>
      <c r="BZ26" s="90">
        <f>'PAISAGISMO'!E75</f>
        <v/>
      </c>
      <c r="CA26" s="90">
        <f>'PAISAGISMO'!E76</f>
        <v/>
      </c>
    </row>
    <row r="27">
      <c r="A27" s="60" t="n"/>
      <c r="B27" s="60" t="inlineStr">
        <is>
          <t>1030-1070-420</t>
        </is>
      </c>
      <c r="C27" s="60" t="inlineStr">
        <is>
          <t>PAVIMENTAÇÃO</t>
        </is>
      </c>
      <c r="D27" s="63">
        <f>'PAVIMENTAÇÃO'!$K$5</f>
        <v/>
      </c>
      <c r="E27" s="50">
        <f>SUM(H27:CA27)</f>
        <v/>
      </c>
      <c r="F27" s="50">
        <f>IF(D27="","",D27-E27)</f>
        <v/>
      </c>
      <c r="H27" s="90">
        <f>'PAVIMENTAÇÃO'!E5</f>
        <v/>
      </c>
      <c r="I27" s="90">
        <f>'PAVIMENTAÇÃO'!E6</f>
        <v/>
      </c>
      <c r="J27" s="90">
        <f>'PAVIMENTAÇÃO'!E7</f>
        <v/>
      </c>
      <c r="K27" s="90">
        <f>'PAVIMENTAÇÃO'!E8</f>
        <v/>
      </c>
      <c r="L27" s="90">
        <f>'PAVIMENTAÇÃO'!E9</f>
        <v/>
      </c>
      <c r="M27" s="90">
        <f>'PAVIMENTAÇÃO'!E10</f>
        <v/>
      </c>
      <c r="N27" s="90">
        <f>'PAVIMENTAÇÃO'!E11</f>
        <v/>
      </c>
      <c r="O27" s="90">
        <f>'PAVIMENTAÇÃO'!E12</f>
        <v/>
      </c>
      <c r="P27" s="90">
        <f>'PAVIMENTAÇÃO'!E13</f>
        <v/>
      </c>
      <c r="Q27" s="90">
        <f>'PAVIMENTAÇÃO'!E14</f>
        <v/>
      </c>
      <c r="R27" s="90">
        <f>'PAVIMENTAÇÃO'!E15</f>
        <v/>
      </c>
      <c r="S27" s="90">
        <f>'PAVIMENTAÇÃO'!E16</f>
        <v/>
      </c>
      <c r="T27" s="90">
        <f>'PAVIMENTAÇÃO'!E17</f>
        <v/>
      </c>
      <c r="U27" s="90">
        <f>'PAVIMENTAÇÃO'!E18</f>
        <v/>
      </c>
      <c r="V27" s="90">
        <f>'PAVIMENTAÇÃO'!E19</f>
        <v/>
      </c>
      <c r="W27" s="90">
        <f>'PAVIMENTAÇÃO'!E20</f>
        <v/>
      </c>
      <c r="X27" s="90">
        <f>'PAVIMENTAÇÃO'!E21</f>
        <v/>
      </c>
      <c r="Y27" s="90">
        <f>'PAVIMENTAÇÃO'!E22</f>
        <v/>
      </c>
      <c r="Z27" s="90">
        <f>'PAVIMENTAÇÃO'!E23</f>
        <v/>
      </c>
      <c r="AA27" s="90">
        <f>'PAVIMENTAÇÃO'!E24</f>
        <v/>
      </c>
      <c r="AB27" s="90">
        <f>'PAVIMENTAÇÃO'!E25</f>
        <v/>
      </c>
      <c r="AC27" s="90">
        <f>'PAVIMENTAÇÃO'!E26</f>
        <v/>
      </c>
      <c r="AD27" s="90">
        <f>'PAVIMENTAÇÃO'!E27</f>
        <v/>
      </c>
      <c r="AE27" s="90">
        <f>'PAVIMENTAÇÃO'!E28</f>
        <v/>
      </c>
      <c r="AF27" s="90">
        <f>'PAVIMENTAÇÃO'!E29</f>
        <v/>
      </c>
      <c r="AG27" s="90">
        <f>'PAVIMENTAÇÃO'!E30</f>
        <v/>
      </c>
      <c r="AH27" s="90">
        <f>'PAVIMENTAÇÃO'!E31</f>
        <v/>
      </c>
      <c r="AI27" s="90">
        <f>'PAVIMENTAÇÃO'!E32</f>
        <v/>
      </c>
      <c r="AJ27" s="90">
        <f>'PAVIMENTAÇÃO'!E33</f>
        <v/>
      </c>
      <c r="AK27" s="90">
        <f>'PAVIMENTAÇÃO'!E34</f>
        <v/>
      </c>
      <c r="AL27" s="90">
        <f>'PAVIMENTAÇÃO'!E35</f>
        <v/>
      </c>
      <c r="AM27" s="90">
        <f>'PAVIMENTAÇÃO'!E36</f>
        <v/>
      </c>
      <c r="AN27" s="90">
        <f>'PAVIMENTAÇÃO'!E37</f>
        <v/>
      </c>
      <c r="AO27" s="90">
        <f>'PAVIMENTAÇÃO'!E38</f>
        <v/>
      </c>
      <c r="AP27" s="90">
        <f>'PAVIMENTAÇÃO'!E39</f>
        <v/>
      </c>
      <c r="AQ27" s="90">
        <f>'PAVIMENTAÇÃO'!E40</f>
        <v/>
      </c>
      <c r="AR27" s="90">
        <f>'PAVIMENTAÇÃO'!E41</f>
        <v/>
      </c>
      <c r="AS27" s="90">
        <f>'PAVIMENTAÇÃO'!E42</f>
        <v/>
      </c>
      <c r="AT27" s="90">
        <f>'PAVIMENTAÇÃO'!E43</f>
        <v/>
      </c>
      <c r="AU27" s="90">
        <f>'PAVIMENTAÇÃO'!E44</f>
        <v/>
      </c>
      <c r="AV27" s="90">
        <f>'PAVIMENTAÇÃO'!E45</f>
        <v/>
      </c>
      <c r="AW27" s="90">
        <f>'PAVIMENTAÇÃO'!E46</f>
        <v/>
      </c>
      <c r="AX27" s="90">
        <f>'PAVIMENTAÇÃO'!E47</f>
        <v/>
      </c>
      <c r="AY27" s="90">
        <f>'PAVIMENTAÇÃO'!E48</f>
        <v/>
      </c>
      <c r="AZ27" s="90">
        <f>'PAVIMENTAÇÃO'!E49</f>
        <v/>
      </c>
      <c r="BA27" s="90">
        <f>'PAVIMENTAÇÃO'!E50</f>
        <v/>
      </c>
      <c r="BB27" s="90">
        <f>'PAVIMENTAÇÃO'!E51</f>
        <v/>
      </c>
      <c r="BC27" s="90">
        <f>'PAVIMENTAÇÃO'!E52</f>
        <v/>
      </c>
      <c r="BD27" s="90">
        <f>'PAVIMENTAÇÃO'!E53</f>
        <v/>
      </c>
      <c r="BE27" s="90">
        <f>'PAVIMENTAÇÃO'!E54</f>
        <v/>
      </c>
      <c r="BF27" s="90">
        <f>'PAVIMENTAÇÃO'!E55</f>
        <v/>
      </c>
      <c r="BG27" s="90">
        <f>'PAVIMENTAÇÃO'!E56</f>
        <v/>
      </c>
      <c r="BH27" s="90">
        <f>'PAVIMENTAÇÃO'!E57</f>
        <v/>
      </c>
      <c r="BI27" s="90">
        <f>'PAVIMENTAÇÃO'!E58</f>
        <v/>
      </c>
      <c r="BJ27" s="90">
        <f>'PAVIMENTAÇÃO'!E59</f>
        <v/>
      </c>
      <c r="BK27" s="90">
        <f>'PAVIMENTAÇÃO'!E60</f>
        <v/>
      </c>
      <c r="BL27" s="90">
        <f>'PAVIMENTAÇÃO'!E61</f>
        <v/>
      </c>
      <c r="BM27" s="90">
        <f>'PAVIMENTAÇÃO'!E62</f>
        <v/>
      </c>
      <c r="BN27" s="90">
        <f>'PAVIMENTAÇÃO'!E63</f>
        <v/>
      </c>
      <c r="BO27" s="90">
        <f>'PAVIMENTAÇÃO'!E64</f>
        <v/>
      </c>
      <c r="BP27" s="90">
        <f>'PAVIMENTAÇÃO'!E65</f>
        <v/>
      </c>
      <c r="BQ27" s="90">
        <f>'PAVIMENTAÇÃO'!E66</f>
        <v/>
      </c>
      <c r="BR27" s="90">
        <f>'PAVIMENTAÇÃO'!E67</f>
        <v/>
      </c>
      <c r="BS27" s="90">
        <f>'PAVIMENTAÇÃO'!E68</f>
        <v/>
      </c>
      <c r="BT27" s="90">
        <f>'PAVIMENTAÇÃO'!E69</f>
        <v/>
      </c>
      <c r="BU27" s="90">
        <f>'PAVIMENTAÇÃO'!E70</f>
        <v/>
      </c>
      <c r="BV27" s="90">
        <f>'PAVIMENTAÇÃO'!E71</f>
        <v/>
      </c>
      <c r="BW27" s="90">
        <f>'PAVIMENTAÇÃO'!E72</f>
        <v/>
      </c>
      <c r="BX27" s="90">
        <f>'PAVIMENTAÇÃO'!E73</f>
        <v/>
      </c>
      <c r="BY27" s="90">
        <f>'PAVIMENTAÇÃO'!E74</f>
        <v/>
      </c>
      <c r="BZ27" s="90">
        <f>'PAVIMENTAÇÃO'!E75</f>
        <v/>
      </c>
      <c r="CA27" s="90">
        <f>'PAVIMENTAÇÃO'!E76</f>
        <v/>
      </c>
    </row>
    <row r="28">
      <c r="A28" s="60" t="n"/>
      <c r="B28" s="60" t="inlineStr">
        <is>
          <t>1030-1070-390</t>
        </is>
      </c>
      <c r="C28" s="60" t="inlineStr">
        <is>
          <t>PINTURA</t>
        </is>
      </c>
      <c r="D28" s="63">
        <f>'PINTURA'!$K$5</f>
        <v/>
      </c>
      <c r="E28" s="50">
        <f>SUM(H28:CA28)</f>
        <v/>
      </c>
      <c r="F28" s="50">
        <f>IF(D28="","",D28-E28)</f>
        <v/>
      </c>
      <c r="H28" s="90">
        <f>'PINTURA'!E5</f>
        <v/>
      </c>
      <c r="I28" s="90">
        <f>'PINTURA'!E6</f>
        <v/>
      </c>
      <c r="J28" s="90">
        <f>'PINTURA'!E7</f>
        <v/>
      </c>
      <c r="K28" s="90">
        <f>'PINTURA'!E8</f>
        <v/>
      </c>
      <c r="L28" s="90">
        <f>'PINTURA'!E9</f>
        <v/>
      </c>
      <c r="M28" s="90">
        <f>'PINTURA'!E10</f>
        <v/>
      </c>
      <c r="N28" s="90">
        <f>'PINTURA'!E11</f>
        <v/>
      </c>
      <c r="O28" s="90">
        <f>'PINTURA'!E12</f>
        <v/>
      </c>
      <c r="P28" s="90">
        <f>'PINTURA'!E13</f>
        <v/>
      </c>
      <c r="Q28" s="90">
        <f>'PINTURA'!E14</f>
        <v/>
      </c>
      <c r="R28" s="90">
        <f>'PINTURA'!E15</f>
        <v/>
      </c>
      <c r="S28" s="90">
        <f>'PINTURA'!E16</f>
        <v/>
      </c>
      <c r="T28" s="90">
        <f>'PINTURA'!E17</f>
        <v/>
      </c>
      <c r="U28" s="90">
        <f>'PINTURA'!E18</f>
        <v/>
      </c>
      <c r="V28" s="90">
        <f>'PINTURA'!E19</f>
        <v/>
      </c>
      <c r="W28" s="90">
        <f>'PINTURA'!E20</f>
        <v/>
      </c>
      <c r="X28" s="90">
        <f>'PINTURA'!E21</f>
        <v/>
      </c>
      <c r="Y28" s="90">
        <f>'PINTURA'!E22</f>
        <v/>
      </c>
      <c r="Z28" s="90">
        <f>'PINTURA'!E23</f>
        <v/>
      </c>
      <c r="AA28" s="90">
        <f>'PINTURA'!E24</f>
        <v/>
      </c>
      <c r="AB28" s="90">
        <f>'PINTURA'!E25</f>
        <v/>
      </c>
      <c r="AC28" s="90">
        <f>'PINTURA'!E26</f>
        <v/>
      </c>
      <c r="AD28" s="90">
        <f>'PINTURA'!E27</f>
        <v/>
      </c>
      <c r="AE28" s="90">
        <f>'PINTURA'!E28</f>
        <v/>
      </c>
      <c r="AF28" s="90">
        <f>'PINTURA'!E29</f>
        <v/>
      </c>
      <c r="AG28" s="90">
        <f>'PINTURA'!E30</f>
        <v/>
      </c>
      <c r="AH28" s="90">
        <f>'PINTURA'!E31</f>
        <v/>
      </c>
      <c r="AI28" s="90">
        <f>'PINTURA'!E32</f>
        <v/>
      </c>
      <c r="AJ28" s="90">
        <f>'PINTURA'!E33</f>
        <v/>
      </c>
      <c r="AK28" s="90">
        <f>'PINTURA'!E34</f>
        <v/>
      </c>
      <c r="AL28" s="90">
        <f>'PINTURA'!E35</f>
        <v/>
      </c>
      <c r="AM28" s="90">
        <f>'PINTURA'!E36</f>
        <v/>
      </c>
      <c r="AN28" s="90">
        <f>'PINTURA'!E37</f>
        <v/>
      </c>
      <c r="AO28" s="90">
        <f>'PINTURA'!E38</f>
        <v/>
      </c>
      <c r="AP28" s="90">
        <f>'PINTURA'!E39</f>
        <v/>
      </c>
      <c r="AQ28" s="90">
        <f>'PINTURA'!E40</f>
        <v/>
      </c>
      <c r="AR28" s="90">
        <f>'PINTURA'!E41</f>
        <v/>
      </c>
      <c r="AS28" s="90">
        <f>'PINTURA'!E42</f>
        <v/>
      </c>
      <c r="AT28" s="90">
        <f>'PINTURA'!E43</f>
        <v/>
      </c>
      <c r="AU28" s="90">
        <f>'PINTURA'!E44</f>
        <v/>
      </c>
      <c r="AV28" s="90">
        <f>'PINTURA'!E45</f>
        <v/>
      </c>
      <c r="AW28" s="90">
        <f>'PINTURA'!E46</f>
        <v/>
      </c>
      <c r="AX28" s="90">
        <f>'PINTURA'!E47</f>
        <v/>
      </c>
      <c r="AY28" s="90">
        <f>'PINTURA'!E48</f>
        <v/>
      </c>
      <c r="AZ28" s="90">
        <f>'PINTURA'!E49</f>
        <v/>
      </c>
      <c r="BA28" s="90">
        <f>'PINTURA'!E50</f>
        <v/>
      </c>
      <c r="BB28" s="90">
        <f>'PINTURA'!E51</f>
        <v/>
      </c>
      <c r="BC28" s="90">
        <f>'PINTURA'!E52</f>
        <v/>
      </c>
      <c r="BD28" s="90">
        <f>'PINTURA'!E53</f>
        <v/>
      </c>
      <c r="BE28" s="90">
        <f>'PINTURA'!E54</f>
        <v/>
      </c>
      <c r="BF28" s="90">
        <f>'PINTURA'!E55</f>
        <v/>
      </c>
      <c r="BG28" s="90">
        <f>'PINTURA'!E56</f>
        <v/>
      </c>
      <c r="BH28" s="90">
        <f>'PINTURA'!E57</f>
        <v/>
      </c>
      <c r="BI28" s="90">
        <f>'PINTURA'!E58</f>
        <v/>
      </c>
      <c r="BJ28" s="90">
        <f>'PINTURA'!E59</f>
        <v/>
      </c>
      <c r="BK28" s="90">
        <f>'PINTURA'!E60</f>
        <v/>
      </c>
      <c r="BL28" s="90">
        <f>'PINTURA'!E61</f>
        <v/>
      </c>
      <c r="BM28" s="90">
        <f>'PINTURA'!E62</f>
        <v/>
      </c>
      <c r="BN28" s="90">
        <f>'PINTURA'!E63</f>
        <v/>
      </c>
      <c r="BO28" s="90">
        <f>'PINTURA'!E64</f>
        <v/>
      </c>
      <c r="BP28" s="90">
        <f>'PINTURA'!E65</f>
        <v/>
      </c>
      <c r="BQ28" s="90">
        <f>'PINTURA'!E66</f>
        <v/>
      </c>
      <c r="BR28" s="90">
        <f>'PINTURA'!E67</f>
        <v/>
      </c>
      <c r="BS28" s="90">
        <f>'PINTURA'!E68</f>
        <v/>
      </c>
      <c r="BT28" s="90">
        <f>'PINTURA'!E69</f>
        <v/>
      </c>
      <c r="BU28" s="90">
        <f>'PINTURA'!E70</f>
        <v/>
      </c>
      <c r="BV28" s="90">
        <f>'PINTURA'!E71</f>
        <v/>
      </c>
      <c r="BW28" s="90">
        <f>'PINTURA'!E72</f>
        <v/>
      </c>
      <c r="BX28" s="90">
        <f>'PINTURA'!E73</f>
        <v/>
      </c>
      <c r="BY28" s="90">
        <f>'PINTURA'!E74</f>
        <v/>
      </c>
      <c r="BZ28" s="90">
        <f>'PINTURA'!E75</f>
        <v/>
      </c>
      <c r="CA28" s="90">
        <f>'PINTURA'!E76</f>
        <v/>
      </c>
    </row>
    <row r="29">
      <c r="A29" s="60" t="n"/>
      <c r="B29" s="60" t="inlineStr">
        <is>
          <t>1030-1070-100</t>
        </is>
      </c>
      <c r="C29" s="60" t="inlineStr">
        <is>
          <t>PROJETOS</t>
        </is>
      </c>
      <c r="D29" s="63">
        <f>'PROJETO'!$K$5</f>
        <v/>
      </c>
      <c r="E29" s="50">
        <f>SUM(H29:CA29)</f>
        <v/>
      </c>
      <c r="F29" s="50">
        <f>IF(D29="","",D29-E29)</f>
        <v/>
      </c>
      <c r="H29" s="90">
        <f>'PROJETO'!E5</f>
        <v/>
      </c>
      <c r="I29" s="90">
        <f>'PROJETO'!E6</f>
        <v/>
      </c>
      <c r="J29" s="90">
        <f>'PROJETO'!E7</f>
        <v/>
      </c>
      <c r="K29" s="90">
        <f>'PROJETO'!E8</f>
        <v/>
      </c>
      <c r="L29" s="90">
        <f>'PROJETO'!E9</f>
        <v/>
      </c>
      <c r="M29" s="90">
        <f>'PROJETO'!E10</f>
        <v/>
      </c>
      <c r="N29" s="90">
        <f>'PROJETO'!E11</f>
        <v/>
      </c>
      <c r="O29" s="90">
        <f>'PROJETO'!E12</f>
        <v/>
      </c>
      <c r="P29" s="90">
        <f>'PROJETO'!E13</f>
        <v/>
      </c>
      <c r="Q29" s="90">
        <f>'PROJETO'!E14</f>
        <v/>
      </c>
      <c r="R29" s="90">
        <f>'PROJETO'!E15</f>
        <v/>
      </c>
      <c r="S29" s="90">
        <f>'PROJETO'!E16</f>
        <v/>
      </c>
      <c r="T29" s="90">
        <f>'PROJETO'!E17</f>
        <v/>
      </c>
      <c r="U29" s="90">
        <f>'PROJETO'!E18</f>
        <v/>
      </c>
      <c r="V29" s="90">
        <f>'PROJETO'!E19</f>
        <v/>
      </c>
      <c r="W29" s="90">
        <f>'PROJETO'!E20</f>
        <v/>
      </c>
      <c r="X29" s="90">
        <f>'PROJETO'!E21</f>
        <v/>
      </c>
      <c r="Y29" s="90">
        <f>'PROJETO'!E22</f>
        <v/>
      </c>
      <c r="Z29" s="90">
        <f>'PROJETO'!E23</f>
        <v/>
      </c>
      <c r="AA29" s="90">
        <f>'PROJETO'!E24</f>
        <v/>
      </c>
      <c r="AB29" s="90">
        <f>'PROJETO'!E25</f>
        <v/>
      </c>
      <c r="AC29" s="90">
        <f>'PROJETO'!E26</f>
        <v/>
      </c>
      <c r="AD29" s="90">
        <f>'PROJETO'!E27</f>
        <v/>
      </c>
      <c r="AE29" s="90">
        <f>'PROJETO'!E28</f>
        <v/>
      </c>
      <c r="AF29" s="90">
        <f>'PROJETO'!E29</f>
        <v/>
      </c>
      <c r="AG29" s="90">
        <f>'PROJETO'!E30</f>
        <v/>
      </c>
      <c r="AH29" s="90">
        <f>'PROJETO'!E31</f>
        <v/>
      </c>
      <c r="AI29" s="90">
        <f>'PROJETO'!E32</f>
        <v/>
      </c>
      <c r="AJ29" s="90">
        <f>'PROJETO'!E33</f>
        <v/>
      </c>
      <c r="AK29" s="90">
        <f>'PROJETO'!E34</f>
        <v/>
      </c>
      <c r="AL29" s="90">
        <f>'PROJETO'!E35</f>
        <v/>
      </c>
      <c r="AM29" s="90">
        <f>'PROJETO'!E36</f>
        <v/>
      </c>
      <c r="AN29" s="90">
        <f>'PROJETO'!E37</f>
        <v/>
      </c>
      <c r="AO29" s="90">
        <f>'PROJETO'!E38</f>
        <v/>
      </c>
      <c r="AP29" s="90">
        <f>'PROJETO'!E39</f>
        <v/>
      </c>
      <c r="AQ29" s="90">
        <f>'PROJETO'!E40</f>
        <v/>
      </c>
      <c r="AR29" s="90">
        <f>'PROJETO'!E41</f>
        <v/>
      </c>
      <c r="AS29" s="90">
        <f>'PROJETO'!E42</f>
        <v/>
      </c>
      <c r="AT29" s="90">
        <f>'PROJETO'!E43</f>
        <v/>
      </c>
      <c r="AU29" s="90">
        <f>'PROJETO'!E44</f>
        <v/>
      </c>
      <c r="AV29" s="90">
        <f>'PROJETO'!E45</f>
        <v/>
      </c>
      <c r="AW29" s="90">
        <f>'PROJETO'!E46</f>
        <v/>
      </c>
      <c r="AX29" s="90">
        <f>'PROJETO'!E47</f>
        <v/>
      </c>
      <c r="AY29" s="90">
        <f>'PROJETO'!E48</f>
        <v/>
      </c>
      <c r="AZ29" s="90">
        <f>'PROJETO'!E49</f>
        <v/>
      </c>
      <c r="BA29" s="90">
        <f>'PROJETO'!E50</f>
        <v/>
      </c>
      <c r="BB29" s="90">
        <f>'PROJETO'!E51</f>
        <v/>
      </c>
      <c r="BC29" s="90">
        <f>'PROJETO'!E52</f>
        <v/>
      </c>
      <c r="BD29" s="90">
        <f>'PROJETO'!E53</f>
        <v/>
      </c>
      <c r="BE29" s="90">
        <f>'PROJETO'!E54</f>
        <v/>
      </c>
      <c r="BF29" s="90">
        <f>'PROJETO'!E55</f>
        <v/>
      </c>
      <c r="BG29" s="90">
        <f>'PROJETO'!E56</f>
        <v/>
      </c>
      <c r="BH29" s="90">
        <f>'PROJETO'!E57</f>
        <v/>
      </c>
      <c r="BI29" s="90">
        <f>'PROJETO'!E58</f>
        <v/>
      </c>
      <c r="BJ29" s="90">
        <f>'PROJETO'!E59</f>
        <v/>
      </c>
      <c r="BK29" s="90">
        <f>'PROJETO'!E60</f>
        <v/>
      </c>
      <c r="BL29" s="90">
        <f>'PROJETO'!E61</f>
        <v/>
      </c>
      <c r="BM29" s="90">
        <f>'PROJETO'!E62</f>
        <v/>
      </c>
      <c r="BN29" s="90">
        <f>'PROJETO'!E63</f>
        <v/>
      </c>
      <c r="BO29" s="90">
        <f>'PROJETO'!E64</f>
        <v/>
      </c>
      <c r="BP29" s="90">
        <f>'PROJETO'!E65</f>
        <v/>
      </c>
      <c r="BQ29" s="90">
        <f>'PROJETO'!E66</f>
        <v/>
      </c>
      <c r="BR29" s="90">
        <f>'PROJETO'!E67</f>
        <v/>
      </c>
      <c r="BS29" s="90">
        <f>'PROJETO'!E68</f>
        <v/>
      </c>
      <c r="BT29" s="90">
        <f>'PROJETO'!E69</f>
        <v/>
      </c>
      <c r="BU29" s="90">
        <f>'PROJETO'!E70</f>
        <v/>
      </c>
      <c r="BV29" s="90">
        <f>'PROJETO'!E71</f>
        <v/>
      </c>
      <c r="BW29" s="90">
        <f>'PROJETO'!E72</f>
        <v/>
      </c>
      <c r="BX29" s="90">
        <f>'PROJETO'!E73</f>
        <v/>
      </c>
      <c r="BY29" s="90">
        <f>'PROJETO'!E74</f>
        <v/>
      </c>
      <c r="BZ29" s="90">
        <f>'PROJETO'!E75</f>
        <v/>
      </c>
      <c r="CA29" s="90">
        <f>'PROJETO'!E76</f>
        <v/>
      </c>
    </row>
    <row r="30">
      <c r="A30" s="60" t="n"/>
      <c r="B30" s="60" t="inlineStr">
        <is>
          <t>1030-1070-570</t>
        </is>
      </c>
      <c r="C30" s="60" t="inlineStr">
        <is>
          <t>REEMBOLSO MATERIAIS E SERVIÇOS</t>
        </is>
      </c>
      <c r="E30" s="50">
        <f>SUM(H30:CA30)</f>
        <v/>
      </c>
      <c r="F30" s="50">
        <f>IF(D30="","",D30-E30)</f>
        <v/>
      </c>
    </row>
    <row r="31">
      <c r="A31" s="60" t="n"/>
      <c r="B31" s="60" t="inlineStr">
        <is>
          <t>1030-1070-360</t>
        </is>
      </c>
      <c r="C31" s="60" t="inlineStr">
        <is>
          <t>REVESTIMENTO DIVERSOS - FACHADA</t>
        </is>
      </c>
      <c r="D31" s="63">
        <f>'REV. FACHADA'!$K$5</f>
        <v/>
      </c>
      <c r="E31" s="50">
        <f>SUM(H31:CA31)</f>
        <v/>
      </c>
      <c r="F31" s="50">
        <f>IF(D31="","",D31-E31)</f>
        <v/>
      </c>
      <c r="H31" s="90">
        <f>'REV. FACHADA'!E5</f>
        <v/>
      </c>
      <c r="I31" s="90">
        <f>'REV. FACHADA'!E6</f>
        <v/>
      </c>
      <c r="J31" s="90">
        <f>'REV. FACHADA'!E7</f>
        <v/>
      </c>
      <c r="K31" s="90">
        <f>'REV. FACHADA'!E8</f>
        <v/>
      </c>
      <c r="L31" s="90">
        <f>'REV. FACHADA'!E9</f>
        <v/>
      </c>
      <c r="M31" s="90">
        <f>'REV. FACHADA'!E10</f>
        <v/>
      </c>
      <c r="N31" s="90">
        <f>'REV. FACHADA'!E11</f>
        <v/>
      </c>
      <c r="O31" s="90">
        <f>'REV. FACHADA'!E12</f>
        <v/>
      </c>
      <c r="P31" s="90">
        <f>'REV. FACHADA'!E13</f>
        <v/>
      </c>
      <c r="Q31" s="90">
        <f>'REV. FACHADA'!E14</f>
        <v/>
      </c>
      <c r="R31" s="90">
        <f>'REV. FACHADA'!E15</f>
        <v/>
      </c>
      <c r="S31" s="90">
        <f>'REV. FACHADA'!E16</f>
        <v/>
      </c>
      <c r="T31" s="90">
        <f>'REV. FACHADA'!E17</f>
        <v/>
      </c>
      <c r="U31" s="90">
        <f>'REV. FACHADA'!E18</f>
        <v/>
      </c>
      <c r="V31" s="90">
        <f>'REV. FACHADA'!E19</f>
        <v/>
      </c>
      <c r="W31" s="90">
        <f>'REV. FACHADA'!E20</f>
        <v/>
      </c>
      <c r="X31" s="90">
        <f>'REV. FACHADA'!E21</f>
        <v/>
      </c>
      <c r="Y31" s="90">
        <f>'REV. FACHADA'!E22</f>
        <v/>
      </c>
      <c r="Z31" s="90">
        <f>'REV. FACHADA'!E23</f>
        <v/>
      </c>
      <c r="AA31" s="90">
        <f>'REV. FACHADA'!E24</f>
        <v/>
      </c>
      <c r="AB31" s="90">
        <f>'REV. FACHADA'!E25</f>
        <v/>
      </c>
      <c r="AC31" s="90">
        <f>'REV. FACHADA'!E26</f>
        <v/>
      </c>
      <c r="AD31" s="90">
        <f>'REV. FACHADA'!E27</f>
        <v/>
      </c>
      <c r="AE31" s="90">
        <f>'REV. FACHADA'!E28</f>
        <v/>
      </c>
      <c r="AF31" s="90">
        <f>'REV. FACHADA'!E29</f>
        <v/>
      </c>
      <c r="AG31" s="90">
        <f>'REV. FACHADA'!E30</f>
        <v/>
      </c>
      <c r="AH31" s="90">
        <f>'REV. FACHADA'!E31</f>
        <v/>
      </c>
      <c r="AI31" s="90">
        <f>'REV. FACHADA'!E32</f>
        <v/>
      </c>
      <c r="AJ31" s="90">
        <f>'REV. FACHADA'!E33</f>
        <v/>
      </c>
      <c r="AK31" s="90">
        <f>'REV. FACHADA'!E34</f>
        <v/>
      </c>
      <c r="AL31" s="90">
        <f>'REV. FACHADA'!E35</f>
        <v/>
      </c>
      <c r="AM31" s="90">
        <f>'REV. FACHADA'!E36</f>
        <v/>
      </c>
      <c r="AN31" s="90">
        <f>'REV. FACHADA'!E37</f>
        <v/>
      </c>
      <c r="AO31" s="90">
        <f>'REV. FACHADA'!E38</f>
        <v/>
      </c>
      <c r="AP31" s="90">
        <f>'REV. FACHADA'!E39</f>
        <v/>
      </c>
      <c r="AQ31" s="90">
        <f>'REV. FACHADA'!E40</f>
        <v/>
      </c>
      <c r="AR31" s="90">
        <f>'REV. FACHADA'!E41</f>
        <v/>
      </c>
      <c r="AS31" s="90">
        <f>'REV. FACHADA'!E42</f>
        <v/>
      </c>
      <c r="AT31" s="90">
        <f>'REV. FACHADA'!E43</f>
        <v/>
      </c>
      <c r="AU31" s="90">
        <f>'REV. FACHADA'!E44</f>
        <v/>
      </c>
      <c r="AV31" s="90">
        <f>'REV. FACHADA'!E45</f>
        <v/>
      </c>
      <c r="AW31" s="90">
        <f>'REV. FACHADA'!E46</f>
        <v/>
      </c>
      <c r="AX31" s="90">
        <f>'REV. FACHADA'!E47</f>
        <v/>
      </c>
      <c r="AY31" s="90">
        <f>'REV. FACHADA'!E48</f>
        <v/>
      </c>
      <c r="AZ31" s="90">
        <f>'REV. FACHADA'!E49</f>
        <v/>
      </c>
      <c r="BA31" s="90">
        <f>'REV. FACHADA'!E50</f>
        <v/>
      </c>
      <c r="BB31" s="90">
        <f>'REV. FACHADA'!E51</f>
        <v/>
      </c>
      <c r="BC31" s="90">
        <f>'REV. FACHADA'!E52</f>
        <v/>
      </c>
      <c r="BD31" s="90">
        <f>'REV. FACHADA'!E53</f>
        <v/>
      </c>
      <c r="BE31" s="90">
        <f>'REV. FACHADA'!E54</f>
        <v/>
      </c>
      <c r="BF31" s="90">
        <f>'REV. FACHADA'!E55</f>
        <v/>
      </c>
      <c r="BG31" s="90">
        <f>'REV. FACHADA'!E56</f>
        <v/>
      </c>
      <c r="BH31" s="90">
        <f>'REV. FACHADA'!E57</f>
        <v/>
      </c>
      <c r="BI31" s="90">
        <f>'REV. FACHADA'!E58</f>
        <v/>
      </c>
      <c r="BJ31" s="90">
        <f>'REV. FACHADA'!E59</f>
        <v/>
      </c>
      <c r="BK31" s="90">
        <f>'REV. FACHADA'!E60</f>
        <v/>
      </c>
      <c r="BL31" s="90">
        <f>'REV. FACHADA'!E61</f>
        <v/>
      </c>
      <c r="BM31" s="90">
        <f>'REV. FACHADA'!E62</f>
        <v/>
      </c>
      <c r="BN31" s="90">
        <f>'REV. FACHADA'!E63</f>
        <v/>
      </c>
      <c r="BO31" s="90">
        <f>'REV. FACHADA'!E64</f>
        <v/>
      </c>
      <c r="BP31" s="90">
        <f>'REV. FACHADA'!E65</f>
        <v/>
      </c>
      <c r="BQ31" s="90">
        <f>'REV. FACHADA'!E66</f>
        <v/>
      </c>
      <c r="BR31" s="90">
        <f>'REV. FACHADA'!E67</f>
        <v/>
      </c>
      <c r="BS31" s="90">
        <f>'REV. FACHADA'!E68</f>
        <v/>
      </c>
      <c r="BT31" s="90">
        <f>'REV. FACHADA'!E69</f>
        <v/>
      </c>
      <c r="BU31" s="90">
        <f>'REV. FACHADA'!E70</f>
        <v/>
      </c>
      <c r="BV31" s="90">
        <f>'REV. FACHADA'!E71</f>
        <v/>
      </c>
      <c r="BW31" s="90">
        <f>'REV. FACHADA'!E72</f>
        <v/>
      </c>
      <c r="BX31" s="90">
        <f>'REV. FACHADA'!E73</f>
        <v/>
      </c>
      <c r="BY31" s="90">
        <f>'REV. FACHADA'!E74</f>
        <v/>
      </c>
      <c r="BZ31" s="90">
        <f>'REV. FACHADA'!E75</f>
        <v/>
      </c>
      <c r="CA31" s="90">
        <f>'REV. FACHADA'!E76</f>
        <v/>
      </c>
    </row>
    <row r="32">
      <c r="A32" s="60" t="n"/>
      <c r="B32" s="60" t="inlineStr">
        <is>
          <t>1030-1070-490</t>
        </is>
      </c>
      <c r="C32" s="60" t="inlineStr">
        <is>
          <t>REVESTIMENTOS DE ACABAMENTO</t>
        </is>
      </c>
      <c r="D32" s="63">
        <f>'REV. ACAB'!$K$5</f>
        <v/>
      </c>
      <c r="E32" s="50">
        <f>SUM(H32:CA32)</f>
        <v/>
      </c>
      <c r="F32" s="50">
        <f>IF(D32="","",D32-E32)</f>
        <v/>
      </c>
      <c r="H32" s="90">
        <f>'REV. ACAB'!E5</f>
        <v/>
      </c>
      <c r="I32" s="90">
        <f>'REV. ACAB'!E6</f>
        <v/>
      </c>
      <c r="J32" s="90">
        <f>'REV. ACAB'!E7</f>
        <v/>
      </c>
      <c r="K32" s="90">
        <f>'REV. ACAB'!E8</f>
        <v/>
      </c>
      <c r="L32" s="90">
        <f>'REV. ACAB'!E9</f>
        <v/>
      </c>
      <c r="M32" s="90">
        <f>'REV. ACAB'!E10</f>
        <v/>
      </c>
      <c r="N32" s="90">
        <f>'REV. ACAB'!E11</f>
        <v/>
      </c>
      <c r="O32" s="90">
        <f>'REV. ACAB'!E12</f>
        <v/>
      </c>
      <c r="P32" s="90">
        <f>'REV. ACAB'!E13</f>
        <v/>
      </c>
      <c r="Q32" s="90">
        <f>'REV. ACAB'!E14</f>
        <v/>
      </c>
      <c r="R32" s="90">
        <f>'REV. ACAB'!E15</f>
        <v/>
      </c>
      <c r="S32" s="90">
        <f>'REV. ACAB'!E16</f>
        <v/>
      </c>
      <c r="T32" s="90">
        <f>'REV. ACAB'!E17</f>
        <v/>
      </c>
      <c r="U32" s="90">
        <f>'REV. ACAB'!E18</f>
        <v/>
      </c>
      <c r="V32" s="90">
        <f>'REV. ACAB'!E19</f>
        <v/>
      </c>
      <c r="W32" s="90">
        <f>'REV. ACAB'!E20</f>
        <v/>
      </c>
      <c r="X32" s="90">
        <f>'REV. ACAB'!E21</f>
        <v/>
      </c>
      <c r="Y32" s="90">
        <f>'REV. ACAB'!E22</f>
        <v/>
      </c>
      <c r="Z32" s="90">
        <f>'REV. ACAB'!E23</f>
        <v/>
      </c>
      <c r="AA32" s="90">
        <f>'REV. ACAB'!E24</f>
        <v/>
      </c>
      <c r="AB32" s="90">
        <f>'REV. ACAB'!E25</f>
        <v/>
      </c>
      <c r="AC32" s="90">
        <f>'REV. ACAB'!E26</f>
        <v/>
      </c>
      <c r="AD32" s="90">
        <f>'REV. ACAB'!E27</f>
        <v/>
      </c>
      <c r="AE32" s="90">
        <f>'REV. ACAB'!E28</f>
        <v/>
      </c>
      <c r="AF32" s="90">
        <f>'REV. ACAB'!E29</f>
        <v/>
      </c>
      <c r="AG32" s="90">
        <f>'REV. ACAB'!E30</f>
        <v/>
      </c>
      <c r="AH32" s="90">
        <f>'REV. ACAB'!E31</f>
        <v/>
      </c>
      <c r="AI32" s="90">
        <f>'REV. ACAB'!E32</f>
        <v/>
      </c>
      <c r="AJ32" s="90">
        <f>'REV. ACAB'!E33</f>
        <v/>
      </c>
      <c r="AK32" s="90">
        <f>'REV. ACAB'!E34</f>
        <v/>
      </c>
      <c r="AL32" s="90">
        <f>'REV. ACAB'!E35</f>
        <v/>
      </c>
      <c r="AM32" s="90">
        <f>'REV. ACAB'!E36</f>
        <v/>
      </c>
      <c r="AN32" s="90">
        <f>'REV. ACAB'!E37</f>
        <v/>
      </c>
      <c r="AO32" s="90">
        <f>'REV. ACAB'!E38</f>
        <v/>
      </c>
      <c r="AP32" s="90">
        <f>'REV. ACAB'!E39</f>
        <v/>
      </c>
      <c r="AQ32" s="90">
        <f>'REV. ACAB'!E40</f>
        <v/>
      </c>
      <c r="AR32" s="90">
        <f>'REV. ACAB'!E41</f>
        <v/>
      </c>
      <c r="AS32" s="90">
        <f>'REV. ACAB'!E42</f>
        <v/>
      </c>
      <c r="AT32" s="90">
        <f>'REV. ACAB'!E43</f>
        <v/>
      </c>
      <c r="AU32" s="90">
        <f>'REV. ACAB'!E44</f>
        <v/>
      </c>
      <c r="AV32" s="90">
        <f>'REV. ACAB'!E45</f>
        <v/>
      </c>
      <c r="AW32" s="90">
        <f>'REV. ACAB'!E46</f>
        <v/>
      </c>
      <c r="AX32" s="90">
        <f>'REV. ACAB'!E47</f>
        <v/>
      </c>
      <c r="AY32" s="90">
        <f>'REV. ACAB'!E48</f>
        <v/>
      </c>
      <c r="AZ32" s="90">
        <f>'REV. ACAB'!E49</f>
        <v/>
      </c>
      <c r="BA32" s="90">
        <f>'REV. ACAB'!E50</f>
        <v/>
      </c>
      <c r="BB32" s="90">
        <f>'REV. ACAB'!E51</f>
        <v/>
      </c>
      <c r="BC32" s="90">
        <f>'REV. ACAB'!E52</f>
        <v/>
      </c>
      <c r="BD32" s="90">
        <f>'REV. ACAB'!E53</f>
        <v/>
      </c>
      <c r="BE32" s="90">
        <f>'REV. ACAB'!E54</f>
        <v/>
      </c>
      <c r="BF32" s="90">
        <f>'REV. ACAB'!E55</f>
        <v/>
      </c>
      <c r="BG32" s="90">
        <f>'REV. ACAB'!E56</f>
        <v/>
      </c>
      <c r="BH32" s="90">
        <f>'REV. ACAB'!E57</f>
        <v/>
      </c>
      <c r="BI32" s="90">
        <f>'REV. ACAB'!E58</f>
        <v/>
      </c>
      <c r="BJ32" s="90">
        <f>'REV. ACAB'!E59</f>
        <v/>
      </c>
      <c r="BK32" s="90">
        <f>'REV. ACAB'!E60</f>
        <v/>
      </c>
      <c r="BL32" s="90">
        <f>'REV. ACAB'!E61</f>
        <v/>
      </c>
      <c r="BM32" s="90">
        <f>'REV. ACAB'!E62</f>
        <v/>
      </c>
      <c r="BN32" s="90">
        <f>'REV. ACAB'!E63</f>
        <v/>
      </c>
      <c r="BO32" s="90">
        <f>'REV. ACAB'!E64</f>
        <v/>
      </c>
      <c r="BP32" s="90">
        <f>'REV. ACAB'!E65</f>
        <v/>
      </c>
      <c r="BQ32" s="90">
        <f>'REV. ACAB'!E66</f>
        <v/>
      </c>
      <c r="BR32" s="90">
        <f>'REV. ACAB'!E67</f>
        <v/>
      </c>
      <c r="BS32" s="90">
        <f>'REV. ACAB'!E68</f>
        <v/>
      </c>
      <c r="BT32" s="90">
        <f>'REV. ACAB'!E69</f>
        <v/>
      </c>
      <c r="BU32" s="90">
        <f>'REV. ACAB'!E70</f>
        <v/>
      </c>
      <c r="BV32" s="90">
        <f>'REV. ACAB'!E71</f>
        <v/>
      </c>
      <c r="BW32" s="90">
        <f>'REV. ACAB'!E72</f>
        <v/>
      </c>
      <c r="BX32" s="90">
        <f>'REV. ACAB'!E73</f>
        <v/>
      </c>
      <c r="BY32" s="90">
        <f>'REV. ACAB'!E74</f>
        <v/>
      </c>
      <c r="BZ32" s="90">
        <f>'REV. ACAB'!E75</f>
        <v/>
      </c>
      <c r="CA32" s="90">
        <f>'REV. ACAB'!E76</f>
        <v/>
      </c>
    </row>
    <row r="33">
      <c r="A33" s="60" t="n"/>
      <c r="B33" s="60" t="inlineStr">
        <is>
          <t>1030-1070-320</t>
        </is>
      </c>
      <c r="C33" s="60" t="inlineStr">
        <is>
          <t>REVESTIMENTOS DE MASSA EM PISOS</t>
        </is>
      </c>
      <c r="D33" s="63">
        <f>'REV. PISOS'!$K$5</f>
        <v/>
      </c>
      <c r="E33" s="50">
        <f>SUM(H33:CA33)</f>
        <v/>
      </c>
      <c r="F33" s="50">
        <f>IF(D33="","",D33-E33)</f>
        <v/>
      </c>
      <c r="H33" s="90">
        <f>'REV. PISOS'!E5</f>
        <v/>
      </c>
      <c r="I33" s="90">
        <f>'REV. PISOS'!E6</f>
        <v/>
      </c>
      <c r="J33" s="90">
        <f>'REV. PISOS'!E7</f>
        <v/>
      </c>
      <c r="K33" s="90">
        <f>'REV. PISOS'!E8</f>
        <v/>
      </c>
      <c r="L33" s="90">
        <f>'REV. PISOS'!E9</f>
        <v/>
      </c>
      <c r="M33" s="90">
        <f>'REV. PISOS'!E10</f>
        <v/>
      </c>
      <c r="N33" s="90">
        <f>'REV. PISOS'!E11</f>
        <v/>
      </c>
      <c r="O33" s="90">
        <f>'REV. PISOS'!E12</f>
        <v/>
      </c>
      <c r="P33" s="90">
        <f>'REV. PISOS'!E13</f>
        <v/>
      </c>
      <c r="Q33" s="90">
        <f>'REV. PISOS'!E14</f>
        <v/>
      </c>
      <c r="R33" s="90">
        <f>'REV. PISOS'!E15</f>
        <v/>
      </c>
      <c r="S33" s="90">
        <f>'REV. PISOS'!E16</f>
        <v/>
      </c>
      <c r="T33" s="90">
        <f>'REV. PISOS'!E17</f>
        <v/>
      </c>
      <c r="U33" s="90">
        <f>'REV. PISOS'!E18</f>
        <v/>
      </c>
      <c r="V33" s="90">
        <f>'REV. PISOS'!E19</f>
        <v/>
      </c>
      <c r="W33" s="90">
        <f>'REV. PISOS'!E20</f>
        <v/>
      </c>
      <c r="X33" s="90">
        <f>'REV. PISOS'!E21</f>
        <v/>
      </c>
      <c r="Y33" s="90">
        <f>'REV. PISOS'!E22</f>
        <v/>
      </c>
      <c r="Z33" s="90">
        <f>'REV. PISOS'!E23</f>
        <v/>
      </c>
      <c r="AA33" s="90">
        <f>'REV. PISOS'!E24</f>
        <v/>
      </c>
      <c r="AB33" s="90">
        <f>'REV. PISOS'!E25</f>
        <v/>
      </c>
      <c r="AC33" s="90">
        <f>'REV. PISOS'!E26</f>
        <v/>
      </c>
      <c r="AD33" s="90">
        <f>'REV. PISOS'!E27</f>
        <v/>
      </c>
      <c r="AE33" s="90">
        <f>'REV. PISOS'!E28</f>
        <v/>
      </c>
      <c r="AF33" s="90">
        <f>'REV. PISOS'!E29</f>
        <v/>
      </c>
      <c r="AG33" s="90">
        <f>'REV. PISOS'!E30</f>
        <v/>
      </c>
      <c r="AH33" s="90">
        <f>'REV. PISOS'!E31</f>
        <v/>
      </c>
      <c r="AI33" s="90">
        <f>'REV. PISOS'!E32</f>
        <v/>
      </c>
      <c r="AJ33" s="90">
        <f>'REV. PISOS'!E33</f>
        <v/>
      </c>
      <c r="AK33" s="90">
        <f>'REV. PISOS'!E34</f>
        <v/>
      </c>
      <c r="AL33" s="90">
        <f>'REV. PISOS'!E35</f>
        <v/>
      </c>
      <c r="AM33" s="90">
        <f>'REV. PISOS'!E36</f>
        <v/>
      </c>
      <c r="AN33" s="90">
        <f>'REV. PISOS'!E37</f>
        <v/>
      </c>
      <c r="AO33" s="90">
        <f>'REV. PISOS'!E38</f>
        <v/>
      </c>
      <c r="AP33" s="90">
        <f>'REV. PISOS'!E39</f>
        <v/>
      </c>
      <c r="AQ33" s="90">
        <f>'REV. PISOS'!E40</f>
        <v/>
      </c>
      <c r="AR33" s="90">
        <f>'REV. PISOS'!E41</f>
        <v/>
      </c>
      <c r="AS33" s="90">
        <f>'REV. PISOS'!E42</f>
        <v/>
      </c>
      <c r="AT33" s="90">
        <f>'REV. PISOS'!E43</f>
        <v/>
      </c>
      <c r="AU33" s="90">
        <f>'REV. PISOS'!E44</f>
        <v/>
      </c>
      <c r="AV33" s="90">
        <f>'REV. PISOS'!E45</f>
        <v/>
      </c>
      <c r="AW33" s="90">
        <f>'REV. PISOS'!E46</f>
        <v/>
      </c>
      <c r="AX33" s="90">
        <f>'REV. PISOS'!E47</f>
        <v/>
      </c>
      <c r="AY33" s="90">
        <f>'REV. PISOS'!E48</f>
        <v/>
      </c>
      <c r="AZ33" s="90">
        <f>'REV. PISOS'!E49</f>
        <v/>
      </c>
      <c r="BA33" s="90">
        <f>'REV. PISOS'!E50</f>
        <v/>
      </c>
      <c r="BB33" s="90">
        <f>'REV. PISOS'!E51</f>
        <v/>
      </c>
      <c r="BC33" s="90">
        <f>'REV. PISOS'!E52</f>
        <v/>
      </c>
      <c r="BD33" s="90">
        <f>'REV. PISOS'!E53</f>
        <v/>
      </c>
      <c r="BE33" s="90">
        <f>'REV. PISOS'!E54</f>
        <v/>
      </c>
      <c r="BF33" s="90">
        <f>'REV. PISOS'!E55</f>
        <v/>
      </c>
      <c r="BG33" s="90">
        <f>'REV. PISOS'!E56</f>
        <v/>
      </c>
      <c r="BH33" s="90">
        <f>'REV. PISOS'!E57</f>
        <v/>
      </c>
      <c r="BI33" s="90">
        <f>'REV. PISOS'!E58</f>
        <v/>
      </c>
      <c r="BJ33" s="90">
        <f>'REV. PISOS'!E59</f>
        <v/>
      </c>
      <c r="BK33" s="90">
        <f>'REV. PISOS'!E60</f>
        <v/>
      </c>
      <c r="BL33" s="90">
        <f>'REV. PISOS'!E61</f>
        <v/>
      </c>
      <c r="BM33" s="90">
        <f>'REV. PISOS'!E62</f>
        <v/>
      </c>
      <c r="BN33" s="90">
        <f>'REV. PISOS'!E63</f>
        <v/>
      </c>
      <c r="BO33" s="90">
        <f>'REV. PISOS'!E64</f>
        <v/>
      </c>
      <c r="BP33" s="90">
        <f>'REV. PISOS'!E65</f>
        <v/>
      </c>
      <c r="BQ33" s="90">
        <f>'REV. PISOS'!E66</f>
        <v/>
      </c>
      <c r="BR33" s="90">
        <f>'REV. PISOS'!E67</f>
        <v/>
      </c>
      <c r="BS33" s="90">
        <f>'REV. PISOS'!E68</f>
        <v/>
      </c>
      <c r="BT33" s="90">
        <f>'REV. PISOS'!E69</f>
        <v/>
      </c>
      <c r="BU33" s="90">
        <f>'REV. PISOS'!E70</f>
        <v/>
      </c>
      <c r="BV33" s="90">
        <f>'REV. PISOS'!E71</f>
        <v/>
      </c>
      <c r="BW33" s="90">
        <f>'REV. PISOS'!E72</f>
        <v/>
      </c>
      <c r="BX33" s="90">
        <f>'REV. PISOS'!E73</f>
        <v/>
      </c>
      <c r="BY33" s="90">
        <f>'REV. PISOS'!E74</f>
        <v/>
      </c>
      <c r="BZ33" s="90">
        <f>'REV. PISOS'!E75</f>
        <v/>
      </c>
      <c r="CA33" s="90">
        <f>'REV. PISOS'!E76</f>
        <v/>
      </c>
    </row>
    <row r="34">
      <c r="A34" s="60" t="n"/>
      <c r="B34" s="60" t="inlineStr">
        <is>
          <t>1030-1070-300</t>
        </is>
      </c>
      <c r="C34" s="60" t="inlineStr">
        <is>
          <t>REVESTIMENTOS DE MASSA EM PAREDES</t>
        </is>
      </c>
      <c r="D34" s="63">
        <f>'REV. PAREDE'!$K$5</f>
        <v/>
      </c>
      <c r="E34" s="50">
        <f>SUM(H34:CA34)</f>
        <v/>
      </c>
      <c r="F34" s="50">
        <f>IF(D34="","",D34-E34)</f>
        <v/>
      </c>
      <c r="H34" s="90">
        <f>'REV. PAREDE'!E5</f>
        <v/>
      </c>
      <c r="I34" s="90">
        <f>'REV. PAREDE'!E6</f>
        <v/>
      </c>
      <c r="J34" s="90">
        <f>'REV. PAREDE'!E7</f>
        <v/>
      </c>
      <c r="K34" s="90">
        <f>'REV. PAREDE'!E8</f>
        <v/>
      </c>
      <c r="L34" s="90">
        <f>'REV. PAREDE'!E9</f>
        <v/>
      </c>
      <c r="M34" s="90">
        <f>'REV. PAREDE'!E10</f>
        <v/>
      </c>
      <c r="N34" s="90">
        <f>'REV. PAREDE'!E11</f>
        <v/>
      </c>
      <c r="O34" s="90">
        <f>'REV. PAREDE'!E12</f>
        <v/>
      </c>
      <c r="P34" s="90">
        <f>'REV. PAREDE'!E13</f>
        <v/>
      </c>
      <c r="Q34" s="90">
        <f>'REV. PAREDE'!E14</f>
        <v/>
      </c>
      <c r="R34" s="90">
        <f>'REV. PAREDE'!E15</f>
        <v/>
      </c>
      <c r="S34" s="90">
        <f>'REV. PAREDE'!E16</f>
        <v/>
      </c>
      <c r="T34" s="90">
        <f>'REV. PAREDE'!E17</f>
        <v/>
      </c>
      <c r="U34" s="90">
        <f>'REV. PAREDE'!E18</f>
        <v/>
      </c>
      <c r="V34" s="90">
        <f>'REV. PAREDE'!E19</f>
        <v/>
      </c>
      <c r="W34" s="90">
        <f>'REV. PAREDE'!E20</f>
        <v/>
      </c>
      <c r="X34" s="90">
        <f>'REV. PAREDE'!E21</f>
        <v/>
      </c>
      <c r="Y34" s="90">
        <f>'REV. PAREDE'!E22</f>
        <v/>
      </c>
      <c r="Z34" s="90">
        <f>'REV. PAREDE'!E23</f>
        <v/>
      </c>
      <c r="AA34" s="90">
        <f>'REV. PAREDE'!E24</f>
        <v/>
      </c>
      <c r="AB34" s="90">
        <f>'REV. PAREDE'!E25</f>
        <v/>
      </c>
      <c r="AC34" s="90">
        <f>'REV. PAREDE'!E26</f>
        <v/>
      </c>
      <c r="AD34" s="90">
        <f>'REV. PAREDE'!E27</f>
        <v/>
      </c>
      <c r="AE34" s="90">
        <f>'REV. PAREDE'!E28</f>
        <v/>
      </c>
      <c r="AF34" s="90">
        <f>'REV. PAREDE'!E29</f>
        <v/>
      </c>
      <c r="AG34" s="90">
        <f>'REV. PAREDE'!E30</f>
        <v/>
      </c>
      <c r="AH34" s="90">
        <f>'REV. PAREDE'!E31</f>
        <v/>
      </c>
      <c r="AI34" s="90">
        <f>'REV. PAREDE'!E32</f>
        <v/>
      </c>
      <c r="AJ34" s="90">
        <f>'REV. PAREDE'!E33</f>
        <v/>
      </c>
      <c r="AK34" s="90">
        <f>'REV. PAREDE'!E34</f>
        <v/>
      </c>
      <c r="AL34" s="90">
        <f>'REV. PAREDE'!E35</f>
        <v/>
      </c>
      <c r="AM34" s="90">
        <f>'REV. PAREDE'!E36</f>
        <v/>
      </c>
      <c r="AN34" s="90">
        <f>'REV. PAREDE'!E37</f>
        <v/>
      </c>
      <c r="AO34" s="90">
        <f>'REV. PAREDE'!E38</f>
        <v/>
      </c>
      <c r="AP34" s="90">
        <f>'REV. PAREDE'!E39</f>
        <v/>
      </c>
      <c r="AQ34" s="90">
        <f>'REV. PAREDE'!E40</f>
        <v/>
      </c>
      <c r="AR34" s="90">
        <f>'REV. PAREDE'!E41</f>
        <v/>
      </c>
      <c r="AS34" s="90">
        <f>'REV. PAREDE'!E42</f>
        <v/>
      </c>
      <c r="AT34" s="90">
        <f>'REV. PAREDE'!E43</f>
        <v/>
      </c>
      <c r="AU34" s="90">
        <f>'REV. PAREDE'!E44</f>
        <v/>
      </c>
      <c r="AV34" s="90">
        <f>'REV. PAREDE'!E45</f>
        <v/>
      </c>
      <c r="AW34" s="90">
        <f>'REV. PAREDE'!E46</f>
        <v/>
      </c>
      <c r="AX34" s="90">
        <f>'REV. PAREDE'!E47</f>
        <v/>
      </c>
      <c r="AY34" s="90">
        <f>'REV. PAREDE'!E48</f>
        <v/>
      </c>
      <c r="AZ34" s="90">
        <f>'REV. PAREDE'!E49</f>
        <v/>
      </c>
      <c r="BA34" s="90">
        <f>'REV. PAREDE'!E50</f>
        <v/>
      </c>
      <c r="BB34" s="90">
        <f>'REV. PAREDE'!E51</f>
        <v/>
      </c>
      <c r="BC34" s="90">
        <f>'REV. PAREDE'!E52</f>
        <v/>
      </c>
      <c r="BD34" s="90">
        <f>'REV. PAREDE'!E53</f>
        <v/>
      </c>
      <c r="BE34" s="90">
        <f>'REV. PAREDE'!E54</f>
        <v/>
      </c>
      <c r="BF34" s="90">
        <f>'REV. PAREDE'!E55</f>
        <v/>
      </c>
      <c r="BG34" s="90">
        <f>'REV. PAREDE'!E56</f>
        <v/>
      </c>
      <c r="BH34" s="90">
        <f>'REV. PAREDE'!E57</f>
        <v/>
      </c>
      <c r="BI34" s="90">
        <f>'REV. PAREDE'!E58</f>
        <v/>
      </c>
      <c r="BJ34" s="90">
        <f>'REV. PAREDE'!E59</f>
        <v/>
      </c>
      <c r="BK34" s="90">
        <f>'REV. PAREDE'!E60</f>
        <v/>
      </c>
      <c r="BL34" s="90">
        <f>'REV. PAREDE'!E61</f>
        <v/>
      </c>
      <c r="BM34" s="90">
        <f>'REV. PAREDE'!E62</f>
        <v/>
      </c>
      <c r="BN34" s="90">
        <f>'REV. PAREDE'!E63</f>
        <v/>
      </c>
      <c r="BO34" s="90">
        <f>'REV. PAREDE'!E64</f>
        <v/>
      </c>
      <c r="BP34" s="90">
        <f>'REV. PAREDE'!E65</f>
        <v/>
      </c>
      <c r="BQ34" s="90">
        <f>'REV. PAREDE'!E66</f>
        <v/>
      </c>
      <c r="BR34" s="90">
        <f>'REV. PAREDE'!E67</f>
        <v/>
      </c>
      <c r="BS34" s="90">
        <f>'REV. PAREDE'!E68</f>
        <v/>
      </c>
      <c r="BT34" s="90">
        <f>'REV. PAREDE'!E69</f>
        <v/>
      </c>
      <c r="BU34" s="90">
        <f>'REV. PAREDE'!E70</f>
        <v/>
      </c>
      <c r="BV34" s="90">
        <f>'REV. PAREDE'!E71</f>
        <v/>
      </c>
      <c r="BW34" s="90">
        <f>'REV. PAREDE'!E72</f>
        <v/>
      </c>
      <c r="BX34" s="90">
        <f>'REV. PAREDE'!E73</f>
        <v/>
      </c>
      <c r="BY34" s="90">
        <f>'REV. PAREDE'!E74</f>
        <v/>
      </c>
      <c r="BZ34" s="90">
        <f>'REV. PAREDE'!E75</f>
        <v/>
      </c>
      <c r="CA34" s="90">
        <f>'REV. PAREDE'!E76</f>
        <v/>
      </c>
    </row>
    <row r="35">
      <c r="A35" s="60" t="n"/>
      <c r="B35" s="60" t="inlineStr">
        <is>
          <t>1030-1070-580</t>
        </is>
      </c>
      <c r="C35" s="60" t="inlineStr">
        <is>
          <t>REVESTIMENTOS DIVERSOS-FACHADA</t>
        </is>
      </c>
      <c r="E35" s="50">
        <f>SUM(H35:CA35)</f>
        <v/>
      </c>
      <c r="F35" s="50">
        <f>IF(D35="","",D35-E35)</f>
        <v/>
      </c>
    </row>
    <row r="36">
      <c r="A36" s="60" t="n"/>
      <c r="B36" s="60" t="inlineStr">
        <is>
          <t>1030-1070-310</t>
        </is>
      </c>
      <c r="C36" s="60" t="inlineStr">
        <is>
          <t>REVESTIMENTOS DIVERSOS-PAREDE</t>
        </is>
      </c>
      <c r="E36" s="50">
        <f>SUM(H36:CA36)</f>
        <v/>
      </c>
      <c r="F36" s="50">
        <f>IF(D36="","",D36-E36)</f>
        <v/>
      </c>
    </row>
    <row r="37">
      <c r="A37" s="60" t="n"/>
      <c r="B37" s="60" t="inlineStr">
        <is>
          <t>1030-1070-330</t>
        </is>
      </c>
      <c r="C37" s="60" t="inlineStr">
        <is>
          <t>REVESTIMENTOS DIVERSOS-PISOS</t>
        </is>
      </c>
      <c r="E37" s="50">
        <f>SUM(H37:CA37)</f>
        <v/>
      </c>
      <c r="F37" s="50">
        <f>IF(D37="","",D37-E37)</f>
        <v/>
      </c>
    </row>
    <row r="38">
      <c r="A38" s="60" t="n"/>
      <c r="B38" s="60" t="inlineStr">
        <is>
          <t>1030-1070-340</t>
        </is>
      </c>
      <c r="C38" s="60" t="inlineStr">
        <is>
          <t>RODAPÉS/SOLEIRAS/PEITORIL/ADUELAS</t>
        </is>
      </c>
      <c r="E38" s="50">
        <f>SUM(H38:CA38)</f>
        <v/>
      </c>
      <c r="F38" s="50">
        <f>IF(D38="","",D38-E38)</f>
        <v/>
      </c>
    </row>
    <row r="39">
      <c r="A39" s="60" t="n"/>
      <c r="B39" s="60" t="inlineStr">
        <is>
          <t>1030-1070-220</t>
        </is>
      </c>
      <c r="C39" s="60" t="inlineStr">
        <is>
          <t>EQUIPAMENTOS DE PROTEÇÃO COLETIVA</t>
        </is>
      </c>
      <c r="E39" s="50">
        <f>SUM(H39:CA39)</f>
        <v/>
      </c>
      <c r="F39" s="50">
        <f>IF(D39="","",D39-E39)</f>
        <v/>
      </c>
    </row>
    <row r="40">
      <c r="A40" s="60" t="n"/>
      <c r="B40" s="60" t="inlineStr">
        <is>
          <t>1030-1070-110</t>
        </is>
      </c>
      <c r="C40" s="60" t="inlineStr">
        <is>
          <t>SEGUROS</t>
        </is>
      </c>
      <c r="D40" s="63">
        <f>'SEGUROS'!$K$5</f>
        <v/>
      </c>
      <c r="E40" s="50">
        <f>SUM(H40:CA40)</f>
        <v/>
      </c>
      <c r="F40" s="50">
        <f>IF(D40="","",D40-E40)</f>
        <v/>
      </c>
      <c r="H40" s="90">
        <f>'SEGUROS'!E5</f>
        <v/>
      </c>
      <c r="I40" s="90">
        <f>'SEGUROS'!E6</f>
        <v/>
      </c>
      <c r="J40" s="90">
        <f>'SEGUROS'!E7</f>
        <v/>
      </c>
      <c r="K40" s="90">
        <f>'SEGUROS'!E8</f>
        <v/>
      </c>
      <c r="L40" s="90">
        <f>'SEGUROS'!E9</f>
        <v/>
      </c>
      <c r="M40" s="90">
        <f>'SEGUROS'!E10</f>
        <v/>
      </c>
      <c r="N40" s="90">
        <f>'SEGUROS'!E11</f>
        <v/>
      </c>
      <c r="O40" s="90">
        <f>'SEGUROS'!E12</f>
        <v/>
      </c>
      <c r="P40" s="90">
        <f>'SEGUROS'!E13</f>
        <v/>
      </c>
      <c r="Q40" s="90">
        <f>'SEGUROS'!E14</f>
        <v/>
      </c>
      <c r="R40" s="90">
        <f>'SEGUROS'!E15</f>
        <v/>
      </c>
      <c r="S40" s="90">
        <f>'SEGUROS'!E16</f>
        <v/>
      </c>
      <c r="T40" s="90">
        <f>'SEGUROS'!E17</f>
        <v/>
      </c>
      <c r="U40" s="90">
        <f>'SEGUROS'!E18</f>
        <v/>
      </c>
      <c r="V40" s="90">
        <f>'SEGUROS'!E19</f>
        <v/>
      </c>
      <c r="W40" s="90">
        <f>'SEGUROS'!E20</f>
        <v/>
      </c>
      <c r="X40" s="90">
        <f>'SEGUROS'!E21</f>
        <v/>
      </c>
      <c r="Y40" s="90">
        <f>'SEGUROS'!E22</f>
        <v/>
      </c>
      <c r="Z40" s="90">
        <f>'SEGUROS'!E23</f>
        <v/>
      </c>
      <c r="AA40" s="90">
        <f>'SEGUROS'!E24</f>
        <v/>
      </c>
      <c r="AB40" s="90">
        <f>'SEGUROS'!E25</f>
        <v/>
      </c>
      <c r="AC40" s="90">
        <f>'SEGUROS'!E26</f>
        <v/>
      </c>
      <c r="AD40" s="90">
        <f>'SEGUROS'!E27</f>
        <v/>
      </c>
      <c r="AE40" s="90">
        <f>'SEGUROS'!E28</f>
        <v/>
      </c>
      <c r="AF40" s="90">
        <f>'SEGUROS'!E29</f>
        <v/>
      </c>
      <c r="AG40" s="90">
        <f>'SEGUROS'!E30</f>
        <v/>
      </c>
      <c r="AH40" s="90">
        <f>'SEGUROS'!E31</f>
        <v/>
      </c>
      <c r="AI40" s="90">
        <f>'SEGUROS'!E32</f>
        <v/>
      </c>
      <c r="AJ40" s="90">
        <f>'SEGUROS'!E33</f>
        <v/>
      </c>
      <c r="AK40" s="90">
        <f>'SEGUROS'!E34</f>
        <v/>
      </c>
      <c r="AL40" s="90">
        <f>'SEGUROS'!E35</f>
        <v/>
      </c>
      <c r="AM40" s="90">
        <f>'SEGUROS'!E36</f>
        <v/>
      </c>
      <c r="AN40" s="90">
        <f>'SEGUROS'!E37</f>
        <v/>
      </c>
      <c r="AO40" s="90">
        <f>'SEGUROS'!E38</f>
        <v/>
      </c>
      <c r="AP40" s="90">
        <f>'SEGUROS'!E39</f>
        <v/>
      </c>
      <c r="AQ40" s="90">
        <f>'SEGUROS'!E40</f>
        <v/>
      </c>
      <c r="AR40" s="90">
        <f>'SEGUROS'!E41</f>
        <v/>
      </c>
      <c r="AS40" s="90">
        <f>'SEGUROS'!E42</f>
        <v/>
      </c>
      <c r="AT40" s="90">
        <f>'SEGUROS'!E43</f>
        <v/>
      </c>
      <c r="AU40" s="90">
        <f>'SEGUROS'!E44</f>
        <v/>
      </c>
      <c r="AV40" s="90">
        <f>'SEGUROS'!E45</f>
        <v/>
      </c>
      <c r="AW40" s="90">
        <f>'SEGUROS'!E46</f>
        <v/>
      </c>
      <c r="AX40" s="90">
        <f>'SEGUROS'!E47</f>
        <v/>
      </c>
      <c r="AY40" s="90">
        <f>'SEGUROS'!E48</f>
        <v/>
      </c>
      <c r="AZ40" s="90">
        <f>'SEGUROS'!E49</f>
        <v/>
      </c>
      <c r="BA40" s="90">
        <f>'SEGUROS'!E50</f>
        <v/>
      </c>
      <c r="BB40" s="90">
        <f>'SEGUROS'!E51</f>
        <v/>
      </c>
      <c r="BC40" s="90">
        <f>'SEGUROS'!E52</f>
        <v/>
      </c>
      <c r="BD40" s="90">
        <f>'SEGUROS'!E53</f>
        <v/>
      </c>
      <c r="BE40" s="90">
        <f>'SEGUROS'!E54</f>
        <v/>
      </c>
      <c r="BF40" s="90">
        <f>'SEGUROS'!E55</f>
        <v/>
      </c>
      <c r="BG40" s="90">
        <f>'SEGUROS'!E56</f>
        <v/>
      </c>
      <c r="BH40" s="90">
        <f>'SEGUROS'!E57</f>
        <v/>
      </c>
      <c r="BI40" s="90">
        <f>'SEGUROS'!E58</f>
        <v/>
      </c>
      <c r="BJ40" s="90">
        <f>'SEGUROS'!E59</f>
        <v/>
      </c>
      <c r="BK40" s="90">
        <f>'SEGUROS'!E60</f>
        <v/>
      </c>
      <c r="BL40" s="90">
        <f>'SEGUROS'!E61</f>
        <v/>
      </c>
      <c r="BM40" s="90">
        <f>'SEGUROS'!E62</f>
        <v/>
      </c>
      <c r="BN40" s="90">
        <f>'SEGUROS'!E63</f>
        <v/>
      </c>
      <c r="BO40" s="90">
        <f>'SEGUROS'!E64</f>
        <v/>
      </c>
      <c r="BP40" s="90">
        <f>'SEGUROS'!E65</f>
        <v/>
      </c>
      <c r="BQ40" s="90">
        <f>'SEGUROS'!E66</f>
        <v/>
      </c>
      <c r="BR40" s="90">
        <f>'SEGUROS'!E67</f>
        <v/>
      </c>
      <c r="BS40" s="90">
        <f>'SEGUROS'!E68</f>
        <v/>
      </c>
      <c r="BT40" s="90">
        <f>'SEGUROS'!E69</f>
        <v/>
      </c>
      <c r="BU40" s="90">
        <f>'SEGUROS'!E70</f>
        <v/>
      </c>
      <c r="BV40" s="90">
        <f>'SEGUROS'!E71</f>
        <v/>
      </c>
      <c r="BW40" s="90">
        <f>'SEGUROS'!E72</f>
        <v/>
      </c>
      <c r="BX40" s="90">
        <f>'SEGUROS'!E73</f>
        <v/>
      </c>
      <c r="BY40" s="90">
        <f>'SEGUROS'!E74</f>
        <v/>
      </c>
      <c r="BZ40" s="90">
        <f>'SEGUROS'!E75</f>
        <v/>
      </c>
      <c r="CA40" s="90">
        <f>'SEGUROS'!E76</f>
        <v/>
      </c>
    </row>
    <row r="41">
      <c r="A41" s="60" t="n"/>
      <c r="B41" s="60" t="inlineStr">
        <is>
          <t>1030-1070-380</t>
        </is>
      </c>
      <c r="C41" s="60" t="inlineStr">
        <is>
          <t>SERRALHERIA</t>
        </is>
      </c>
      <c r="D41" s="63">
        <f>'SERRALHERIA'!$K$5</f>
        <v/>
      </c>
      <c r="E41" s="50">
        <f>SUM(H41:CA41)</f>
        <v/>
      </c>
      <c r="F41" s="50">
        <f>IF(D41="","",D41-E41)</f>
        <v/>
      </c>
      <c r="H41" s="90">
        <f>'SERRALHERIA'!E5</f>
        <v/>
      </c>
      <c r="I41" s="90">
        <f>'SERRALHERIA'!E6</f>
        <v/>
      </c>
      <c r="J41" s="90">
        <f>'SERRALHERIA'!E7</f>
        <v/>
      </c>
      <c r="K41" s="90">
        <f>'SERRALHERIA'!E8</f>
        <v/>
      </c>
      <c r="L41" s="90">
        <f>'SERRALHERIA'!E9</f>
        <v/>
      </c>
      <c r="M41" s="90">
        <f>'SERRALHERIA'!E10</f>
        <v/>
      </c>
      <c r="N41" s="90">
        <f>'SERRALHERIA'!E11</f>
        <v/>
      </c>
      <c r="O41" s="90">
        <f>'SERRALHERIA'!E12</f>
        <v/>
      </c>
      <c r="P41" s="90">
        <f>'SERRALHERIA'!E13</f>
        <v/>
      </c>
      <c r="Q41" s="90">
        <f>'SERRALHERIA'!E14</f>
        <v/>
      </c>
      <c r="R41" s="90">
        <f>'SERRALHERIA'!E15</f>
        <v/>
      </c>
      <c r="S41" s="90">
        <f>'SERRALHERIA'!E16</f>
        <v/>
      </c>
      <c r="T41" s="90">
        <f>'SERRALHERIA'!E17</f>
        <v/>
      </c>
      <c r="U41" s="90">
        <f>'SERRALHERIA'!E18</f>
        <v/>
      </c>
      <c r="V41" s="90">
        <f>'SERRALHERIA'!E19</f>
        <v/>
      </c>
      <c r="W41" s="90">
        <f>'SERRALHERIA'!E20</f>
        <v/>
      </c>
      <c r="X41" s="90">
        <f>'SERRALHERIA'!E21</f>
        <v/>
      </c>
      <c r="Y41" s="90">
        <f>'SERRALHERIA'!E22</f>
        <v/>
      </c>
      <c r="Z41" s="90">
        <f>'SERRALHERIA'!E23</f>
        <v/>
      </c>
      <c r="AA41" s="90">
        <f>'SERRALHERIA'!E24</f>
        <v/>
      </c>
      <c r="AB41" s="90">
        <f>'SERRALHERIA'!E25</f>
        <v/>
      </c>
      <c r="AC41" s="90">
        <f>'SERRALHERIA'!E26</f>
        <v/>
      </c>
      <c r="AD41" s="90">
        <f>'SERRALHERIA'!E27</f>
        <v/>
      </c>
      <c r="AE41" s="90">
        <f>'SERRALHERIA'!E28</f>
        <v/>
      </c>
      <c r="AF41" s="90">
        <f>'SERRALHERIA'!E29</f>
        <v/>
      </c>
      <c r="AG41" s="90">
        <f>'SERRALHERIA'!E30</f>
        <v/>
      </c>
      <c r="AH41" s="90">
        <f>'SERRALHERIA'!E31</f>
        <v/>
      </c>
      <c r="AI41" s="90">
        <f>'SERRALHERIA'!E32</f>
        <v/>
      </c>
      <c r="AJ41" s="90">
        <f>'SERRALHERIA'!E33</f>
        <v/>
      </c>
      <c r="AK41" s="90">
        <f>'SERRALHERIA'!E34</f>
        <v/>
      </c>
      <c r="AL41" s="90">
        <f>'SERRALHERIA'!E35</f>
        <v/>
      </c>
      <c r="AM41" s="90">
        <f>'SERRALHERIA'!E36</f>
        <v/>
      </c>
      <c r="AN41" s="90">
        <f>'SERRALHERIA'!E37</f>
        <v/>
      </c>
      <c r="AO41" s="90">
        <f>'SERRALHERIA'!E38</f>
        <v/>
      </c>
      <c r="AP41" s="90">
        <f>'SERRALHERIA'!E39</f>
        <v/>
      </c>
      <c r="AQ41" s="90">
        <f>'SERRALHERIA'!E40</f>
        <v/>
      </c>
      <c r="AR41" s="90">
        <f>'SERRALHERIA'!E41</f>
        <v/>
      </c>
      <c r="AS41" s="90">
        <f>'SERRALHERIA'!E42</f>
        <v/>
      </c>
      <c r="AT41" s="90">
        <f>'SERRALHERIA'!E43</f>
        <v/>
      </c>
      <c r="AU41" s="90">
        <f>'SERRALHERIA'!E44</f>
        <v/>
      </c>
      <c r="AV41" s="90">
        <f>'SERRALHERIA'!E45</f>
        <v/>
      </c>
      <c r="AW41" s="90">
        <f>'SERRALHERIA'!E46</f>
        <v/>
      </c>
      <c r="AX41" s="90">
        <f>'SERRALHERIA'!E47</f>
        <v/>
      </c>
      <c r="AY41" s="90">
        <f>'SERRALHERIA'!E48</f>
        <v/>
      </c>
      <c r="AZ41" s="90">
        <f>'SERRALHERIA'!E49</f>
        <v/>
      </c>
      <c r="BA41" s="90">
        <f>'SERRALHERIA'!E50</f>
        <v/>
      </c>
      <c r="BB41" s="90">
        <f>'SERRALHERIA'!E51</f>
        <v/>
      </c>
      <c r="BC41" s="90">
        <f>'SERRALHERIA'!E52</f>
        <v/>
      </c>
      <c r="BD41" s="90">
        <f>'SERRALHERIA'!E53</f>
        <v/>
      </c>
      <c r="BE41" s="90">
        <f>'SERRALHERIA'!E54</f>
        <v/>
      </c>
      <c r="BF41" s="90">
        <f>'SERRALHERIA'!E55</f>
        <v/>
      </c>
      <c r="BG41" s="90">
        <f>'SERRALHERIA'!E56</f>
        <v/>
      </c>
      <c r="BH41" s="90">
        <f>'SERRALHERIA'!E57</f>
        <v/>
      </c>
      <c r="BI41" s="90">
        <f>'SERRALHERIA'!E58</f>
        <v/>
      </c>
      <c r="BJ41" s="90">
        <f>'SERRALHERIA'!E59</f>
        <v/>
      </c>
      <c r="BK41" s="90">
        <f>'SERRALHERIA'!E60</f>
        <v/>
      </c>
      <c r="BL41" s="90">
        <f>'SERRALHERIA'!E61</f>
        <v/>
      </c>
      <c r="BM41" s="90">
        <f>'SERRALHERIA'!E62</f>
        <v/>
      </c>
      <c r="BN41" s="90">
        <f>'SERRALHERIA'!E63</f>
        <v/>
      </c>
      <c r="BO41" s="90">
        <f>'SERRALHERIA'!E64</f>
        <v/>
      </c>
      <c r="BP41" s="90">
        <f>'SERRALHERIA'!E65</f>
        <v/>
      </c>
      <c r="BQ41" s="90">
        <f>'SERRALHERIA'!E66</f>
        <v/>
      </c>
      <c r="BR41" s="90">
        <f>'SERRALHERIA'!E67</f>
        <v/>
      </c>
      <c r="BS41" s="90">
        <f>'SERRALHERIA'!E68</f>
        <v/>
      </c>
      <c r="BT41" s="90">
        <f>'SERRALHERIA'!E69</f>
        <v/>
      </c>
      <c r="BU41" s="90">
        <f>'SERRALHERIA'!E70</f>
        <v/>
      </c>
      <c r="BV41" s="90">
        <f>'SERRALHERIA'!E71</f>
        <v/>
      </c>
      <c r="BW41" s="90">
        <f>'SERRALHERIA'!E72</f>
        <v/>
      </c>
      <c r="BX41" s="90">
        <f>'SERRALHERIA'!E73</f>
        <v/>
      </c>
      <c r="BY41" s="90">
        <f>'SERRALHERIA'!E74</f>
        <v/>
      </c>
      <c r="BZ41" s="90">
        <f>'SERRALHERIA'!E75</f>
        <v/>
      </c>
      <c r="CA41" s="90">
        <f>'SERRALHERIA'!E76</f>
        <v/>
      </c>
    </row>
    <row r="42">
      <c r="A42" s="60" t="n"/>
      <c r="B42" s="60" t="inlineStr">
        <is>
          <t>1030-1070-150</t>
        </is>
      </c>
      <c r="C42" s="60" t="inlineStr">
        <is>
          <t>LIGAÇÕES PROVISÓRIAS AGUA, ENERGIA,TELEFONIA, ESGOTO</t>
        </is>
      </c>
      <c r="D42" s="63">
        <f>'LIG. PROVISÓRIAS'!$K$5</f>
        <v/>
      </c>
      <c r="E42" s="50">
        <f>SUM(H42:CA42)</f>
        <v/>
      </c>
      <c r="F42" s="50">
        <f>IF(D42="","",D42-E42)</f>
        <v/>
      </c>
      <c r="H42" s="90">
        <f>'LIG. PROVISÓRIAS'!E5</f>
        <v/>
      </c>
      <c r="I42" s="90">
        <f>'LIG. PROVISÓRIAS'!E6</f>
        <v/>
      </c>
      <c r="J42" s="90">
        <f>'LIG. PROVISÓRIAS'!E7</f>
        <v/>
      </c>
      <c r="K42" s="90">
        <f>'LIG. PROVISÓRIAS'!E8</f>
        <v/>
      </c>
      <c r="L42" s="90">
        <f>'LIG. PROVISÓRIAS'!E9</f>
        <v/>
      </c>
      <c r="M42" s="90">
        <f>'LIG. PROVISÓRIAS'!E10</f>
        <v/>
      </c>
      <c r="N42" s="90">
        <f>'LIG. PROVISÓRIAS'!E11</f>
        <v/>
      </c>
      <c r="O42" s="90">
        <f>'LIG. PROVISÓRIAS'!E12</f>
        <v/>
      </c>
      <c r="P42" s="90">
        <f>'LIG. PROVISÓRIAS'!E13</f>
        <v/>
      </c>
      <c r="Q42" s="90">
        <f>'LIG. PROVISÓRIAS'!E14</f>
        <v/>
      </c>
      <c r="R42" s="90">
        <f>'LIG. PROVISÓRIAS'!E15</f>
        <v/>
      </c>
      <c r="S42" s="90">
        <f>'LIG. PROVISÓRIAS'!E16</f>
        <v/>
      </c>
      <c r="T42" s="90">
        <f>'LIG. PROVISÓRIAS'!E17</f>
        <v/>
      </c>
      <c r="U42" s="90">
        <f>'LIG. PROVISÓRIAS'!E18</f>
        <v/>
      </c>
      <c r="V42" s="90">
        <f>'LIG. PROVISÓRIAS'!E19</f>
        <v/>
      </c>
      <c r="W42" s="90">
        <f>'LIG. PROVISÓRIAS'!E20</f>
        <v/>
      </c>
      <c r="X42" s="90">
        <f>'LIG. PROVISÓRIAS'!E21</f>
        <v/>
      </c>
      <c r="Y42" s="90">
        <f>'LIG. PROVISÓRIAS'!E22</f>
        <v/>
      </c>
      <c r="Z42" s="90">
        <f>'LIG. PROVISÓRIAS'!E23</f>
        <v/>
      </c>
      <c r="AA42" s="90">
        <f>'LIG. PROVISÓRIAS'!E24</f>
        <v/>
      </c>
      <c r="AB42" s="90">
        <f>'LIG. PROVISÓRIAS'!E25</f>
        <v/>
      </c>
      <c r="AC42" s="90">
        <f>'LIG. PROVISÓRIAS'!E26</f>
        <v/>
      </c>
      <c r="AD42" s="90">
        <f>'LIG. PROVISÓRIAS'!E27</f>
        <v/>
      </c>
      <c r="AE42" s="90">
        <f>'LIG. PROVISÓRIAS'!E28</f>
        <v/>
      </c>
      <c r="AF42" s="90">
        <f>'LIG. PROVISÓRIAS'!E29</f>
        <v/>
      </c>
      <c r="AG42" s="90">
        <f>'LIG. PROVISÓRIAS'!E30</f>
        <v/>
      </c>
      <c r="AH42" s="90">
        <f>'LIG. PROVISÓRIAS'!E31</f>
        <v/>
      </c>
      <c r="AI42" s="90">
        <f>'LIG. PROVISÓRIAS'!E32</f>
        <v/>
      </c>
      <c r="AJ42" s="90">
        <f>'LIG. PROVISÓRIAS'!E33</f>
        <v/>
      </c>
      <c r="AK42" s="90">
        <f>'LIG. PROVISÓRIAS'!E34</f>
        <v/>
      </c>
      <c r="AL42" s="90">
        <f>'LIG. PROVISÓRIAS'!E35</f>
        <v/>
      </c>
      <c r="AM42" s="90">
        <f>'LIG. PROVISÓRIAS'!E36</f>
        <v/>
      </c>
      <c r="AN42" s="90">
        <f>'LIG. PROVISÓRIAS'!E37</f>
        <v/>
      </c>
      <c r="AO42" s="90">
        <f>'LIG. PROVISÓRIAS'!E38</f>
        <v/>
      </c>
      <c r="AP42" s="90">
        <f>'LIG. PROVISÓRIAS'!E39</f>
        <v/>
      </c>
      <c r="AQ42" s="90">
        <f>'LIG. PROVISÓRIAS'!E40</f>
        <v/>
      </c>
      <c r="AR42" s="90">
        <f>'LIG. PROVISÓRIAS'!E41</f>
        <v/>
      </c>
      <c r="AS42" s="90">
        <f>'LIG. PROVISÓRIAS'!E42</f>
        <v/>
      </c>
      <c r="AT42" s="90">
        <f>'LIG. PROVISÓRIAS'!E43</f>
        <v/>
      </c>
      <c r="AU42" s="90">
        <f>'LIG. PROVISÓRIAS'!E44</f>
        <v/>
      </c>
      <c r="AV42" s="90">
        <f>'LIG. PROVISÓRIAS'!E45</f>
        <v/>
      </c>
      <c r="AW42" s="90">
        <f>'LIG. PROVISÓRIAS'!E46</f>
        <v/>
      </c>
      <c r="AX42" s="90">
        <f>'LIG. PROVISÓRIAS'!E47</f>
        <v/>
      </c>
      <c r="AY42" s="90">
        <f>'LIG. PROVISÓRIAS'!E48</f>
        <v/>
      </c>
      <c r="AZ42" s="90">
        <f>'LIG. PROVISÓRIAS'!E49</f>
        <v/>
      </c>
      <c r="BA42" s="90">
        <f>'LIG. PROVISÓRIAS'!E50</f>
        <v/>
      </c>
      <c r="BB42" s="90">
        <f>'LIG. PROVISÓRIAS'!E51</f>
        <v/>
      </c>
      <c r="BC42" s="90">
        <f>'LIG. PROVISÓRIAS'!E52</f>
        <v/>
      </c>
      <c r="BD42" s="90">
        <f>'LIG. PROVISÓRIAS'!E53</f>
        <v/>
      </c>
      <c r="BE42" s="90">
        <f>'LIG. PROVISÓRIAS'!E54</f>
        <v/>
      </c>
      <c r="BF42" s="90">
        <f>'LIG. PROVISÓRIAS'!E55</f>
        <v/>
      </c>
      <c r="BG42" s="90">
        <f>'LIG. PROVISÓRIAS'!E56</f>
        <v/>
      </c>
      <c r="BH42" s="90">
        <f>'LIG. PROVISÓRIAS'!E57</f>
        <v/>
      </c>
      <c r="BI42" s="90">
        <f>'LIG. PROVISÓRIAS'!E58</f>
        <v/>
      </c>
      <c r="BJ42" s="90">
        <f>'LIG. PROVISÓRIAS'!E59</f>
        <v/>
      </c>
      <c r="BK42" s="90">
        <f>'LIG. PROVISÓRIAS'!E60</f>
        <v/>
      </c>
      <c r="BL42" s="90">
        <f>'LIG. PROVISÓRIAS'!E61</f>
        <v/>
      </c>
      <c r="BM42" s="90">
        <f>'LIG. PROVISÓRIAS'!E62</f>
        <v/>
      </c>
      <c r="BN42" s="90">
        <f>'LIG. PROVISÓRIAS'!E63</f>
        <v/>
      </c>
      <c r="BO42" s="90">
        <f>'LIG. PROVISÓRIAS'!E64</f>
        <v/>
      </c>
      <c r="BP42" s="90">
        <f>'LIG. PROVISÓRIAS'!E65</f>
        <v/>
      </c>
      <c r="BQ42" s="90">
        <f>'LIG. PROVISÓRIAS'!E66</f>
        <v/>
      </c>
      <c r="BR42" s="90">
        <f>'LIG. PROVISÓRIAS'!E67</f>
        <v/>
      </c>
      <c r="BS42" s="90">
        <f>'LIG. PROVISÓRIAS'!E68</f>
        <v/>
      </c>
      <c r="BT42" s="90">
        <f>'LIG. PROVISÓRIAS'!E69</f>
        <v/>
      </c>
      <c r="BU42" s="90">
        <f>'LIG. PROVISÓRIAS'!E70</f>
        <v/>
      </c>
      <c r="BV42" s="90">
        <f>'LIG. PROVISÓRIAS'!E71</f>
        <v/>
      </c>
      <c r="BW42" s="90">
        <f>'LIG. PROVISÓRIAS'!E72</f>
        <v/>
      </c>
      <c r="BX42" s="90">
        <f>'LIG. PROVISÓRIAS'!E73</f>
        <v/>
      </c>
      <c r="BY42" s="90">
        <f>'LIG. PROVISÓRIAS'!E74</f>
        <v/>
      </c>
      <c r="BZ42" s="90">
        <f>'LIG. PROVISÓRIAS'!E75</f>
        <v/>
      </c>
      <c r="CA42" s="90">
        <f>'LIG. PROVISÓRIAS'!E76</f>
        <v/>
      </c>
    </row>
    <row r="43">
      <c r="A43" s="60" t="n"/>
      <c r="B43" s="60" t="inlineStr">
        <is>
          <t>1030-1070-470</t>
        </is>
      </c>
      <c r="C43" s="60" t="inlineStr">
        <is>
          <t>TAXA DE ADMINISTRAÇÃO</t>
        </is>
      </c>
      <c r="D43" s="63">
        <f>'TAX. ADM'!$K$5</f>
        <v/>
      </c>
      <c r="E43" s="50">
        <f>SUM(H43:CA43)</f>
        <v/>
      </c>
      <c r="F43" s="50">
        <f>IF(D43="","",D43-E43)</f>
        <v/>
      </c>
      <c r="H43" s="90">
        <f>'TAX. ADM'!E5</f>
        <v/>
      </c>
      <c r="I43" s="90">
        <f>'TAX. ADM'!E6</f>
        <v/>
      </c>
      <c r="J43" s="90">
        <f>'TAX. ADM'!E7</f>
        <v/>
      </c>
      <c r="K43" s="90">
        <f>'TAX. ADM'!E8</f>
        <v/>
      </c>
      <c r="L43" s="90">
        <f>'TAX. ADM'!E9</f>
        <v/>
      </c>
      <c r="M43" s="90">
        <f>'TAX. ADM'!E10</f>
        <v/>
      </c>
      <c r="N43" s="90">
        <f>'TAX. ADM'!E11</f>
        <v/>
      </c>
      <c r="O43" s="90">
        <f>'TAX. ADM'!E12</f>
        <v/>
      </c>
      <c r="P43" s="90">
        <f>'TAX. ADM'!E13</f>
        <v/>
      </c>
      <c r="Q43" s="90">
        <f>'TAX. ADM'!E14</f>
        <v/>
      </c>
      <c r="R43" s="90">
        <f>'TAX. ADM'!E15</f>
        <v/>
      </c>
      <c r="S43" s="90">
        <f>'TAX. ADM'!E16</f>
        <v/>
      </c>
      <c r="T43" s="90">
        <f>'TAX. ADM'!E17</f>
        <v/>
      </c>
      <c r="U43" s="90">
        <f>'TAX. ADM'!E18</f>
        <v/>
      </c>
      <c r="V43" s="90">
        <f>'TAX. ADM'!E19</f>
        <v/>
      </c>
      <c r="W43" s="90">
        <f>'TAX. ADM'!E20</f>
        <v/>
      </c>
      <c r="X43" s="90">
        <f>'TAX. ADM'!E21</f>
        <v/>
      </c>
      <c r="Y43" s="90">
        <f>'TAX. ADM'!E22</f>
        <v/>
      </c>
      <c r="Z43" s="90">
        <f>'TAX. ADM'!E23</f>
        <v/>
      </c>
      <c r="AA43" s="90">
        <f>'TAX. ADM'!E24</f>
        <v/>
      </c>
      <c r="AB43" s="90">
        <f>'TAX. ADM'!E25</f>
        <v/>
      </c>
      <c r="AC43" s="90">
        <f>'TAX. ADM'!E26</f>
        <v/>
      </c>
      <c r="AD43" s="90">
        <f>'TAX. ADM'!E27</f>
        <v/>
      </c>
      <c r="AE43" s="90">
        <f>'TAX. ADM'!E28</f>
        <v/>
      </c>
      <c r="AF43" s="90">
        <f>'TAX. ADM'!E29</f>
        <v/>
      </c>
      <c r="AG43" s="90">
        <f>'TAX. ADM'!E30</f>
        <v/>
      </c>
      <c r="AH43" s="90">
        <f>'TAX. ADM'!E31</f>
        <v/>
      </c>
      <c r="AI43" s="90">
        <f>'TAX. ADM'!E32</f>
        <v/>
      </c>
      <c r="AJ43" s="90">
        <f>'TAX. ADM'!E33</f>
        <v/>
      </c>
      <c r="AK43" s="90">
        <f>'TAX. ADM'!E34</f>
        <v/>
      </c>
      <c r="AL43" s="90">
        <f>'TAX. ADM'!E35</f>
        <v/>
      </c>
      <c r="AM43" s="90">
        <f>'TAX. ADM'!E36</f>
        <v/>
      </c>
      <c r="AN43" s="90">
        <f>'TAX. ADM'!E37</f>
        <v/>
      </c>
      <c r="AO43" s="90">
        <f>'TAX. ADM'!E38</f>
        <v/>
      </c>
      <c r="AP43" s="90">
        <f>'TAX. ADM'!E39</f>
        <v/>
      </c>
      <c r="AQ43" s="90">
        <f>'TAX. ADM'!E40</f>
        <v/>
      </c>
      <c r="AR43" s="90">
        <f>'TAX. ADM'!E41</f>
        <v/>
      </c>
      <c r="AS43" s="90">
        <f>'TAX. ADM'!E42</f>
        <v/>
      </c>
      <c r="AT43" s="90">
        <f>'TAX. ADM'!E43</f>
        <v/>
      </c>
      <c r="AU43" s="90">
        <f>'TAX. ADM'!E44</f>
        <v/>
      </c>
      <c r="AV43" s="90">
        <f>'TAX. ADM'!E45</f>
        <v/>
      </c>
      <c r="AW43" s="90">
        <f>'TAX. ADM'!E46</f>
        <v/>
      </c>
      <c r="AX43" s="90">
        <f>'TAX. ADM'!E47</f>
        <v/>
      </c>
      <c r="AY43" s="90">
        <f>'TAX. ADM'!E48</f>
        <v/>
      </c>
      <c r="AZ43" s="90">
        <f>'TAX. ADM'!E49</f>
        <v/>
      </c>
      <c r="BA43" s="90">
        <f>'TAX. ADM'!E50</f>
        <v/>
      </c>
      <c r="BB43" s="90">
        <f>'TAX. ADM'!E51</f>
        <v/>
      </c>
      <c r="BC43" s="90">
        <f>'TAX. ADM'!E52</f>
        <v/>
      </c>
      <c r="BD43" s="90">
        <f>'TAX. ADM'!E53</f>
        <v/>
      </c>
      <c r="BE43" s="90">
        <f>'TAX. ADM'!E54</f>
        <v/>
      </c>
      <c r="BF43" s="90">
        <f>'TAX. ADM'!E55</f>
        <v/>
      </c>
      <c r="BG43" s="90">
        <f>'TAX. ADM'!E56</f>
        <v/>
      </c>
      <c r="BH43" s="90">
        <f>'TAX. ADM'!E57</f>
        <v/>
      </c>
      <c r="BI43" s="90">
        <f>'TAX. ADM'!E58</f>
        <v/>
      </c>
      <c r="BJ43" s="90">
        <f>'TAX. ADM'!E59</f>
        <v/>
      </c>
      <c r="BK43" s="90">
        <f>'TAX. ADM'!E60</f>
        <v/>
      </c>
      <c r="BL43" s="90">
        <f>'TAX. ADM'!E61</f>
        <v/>
      </c>
      <c r="BM43" s="90">
        <f>'TAX. ADM'!E62</f>
        <v/>
      </c>
      <c r="BN43" s="90">
        <f>'TAX. ADM'!E63</f>
        <v/>
      </c>
      <c r="BO43" s="90">
        <f>'TAX. ADM'!E64</f>
        <v/>
      </c>
      <c r="BP43" s="90">
        <f>'TAX. ADM'!E65</f>
        <v/>
      </c>
      <c r="BQ43" s="90">
        <f>'TAX. ADM'!E66</f>
        <v/>
      </c>
      <c r="BR43" s="90">
        <f>'TAX. ADM'!E67</f>
        <v/>
      </c>
      <c r="BS43" s="90">
        <f>'TAX. ADM'!E68</f>
        <v/>
      </c>
      <c r="BT43" s="90">
        <f>'TAX. ADM'!E69</f>
        <v/>
      </c>
      <c r="BU43" s="90">
        <f>'TAX. ADM'!E70</f>
        <v/>
      </c>
      <c r="BV43" s="90">
        <f>'TAX. ADM'!E71</f>
        <v/>
      </c>
      <c r="BW43" s="90">
        <f>'TAX. ADM'!E72</f>
        <v/>
      </c>
      <c r="BX43" s="90">
        <f>'TAX. ADM'!E73</f>
        <v/>
      </c>
      <c r="BY43" s="90">
        <f>'TAX. ADM'!E74</f>
        <v/>
      </c>
      <c r="BZ43" s="90">
        <f>'TAX. ADM'!E75</f>
        <v/>
      </c>
      <c r="CA43" s="90">
        <f>'TAX. ADM'!E76</f>
        <v/>
      </c>
    </row>
    <row r="44">
      <c r="A44" s="60" t="n"/>
      <c r="B44" s="60" t="inlineStr">
        <is>
          <t>1030-1070-180</t>
        </is>
      </c>
      <c r="C44" s="60" t="inlineStr">
        <is>
          <t>TERRAPLENAGEM</t>
        </is>
      </c>
      <c r="D44" s="63">
        <f>'TERRAPLENAGEM'!$K$5</f>
        <v/>
      </c>
      <c r="E44" s="50">
        <f>SUM(H44:CA44)</f>
        <v/>
      </c>
      <c r="F44" s="50">
        <f>IF(D44="","",D44-E44)</f>
        <v/>
      </c>
      <c r="H44" s="90">
        <f>'TERRAPLENAGEM'!E5</f>
        <v/>
      </c>
      <c r="I44" s="90">
        <f>'TERRAPLENAGEM'!E6</f>
        <v/>
      </c>
      <c r="J44" s="90">
        <f>'TERRAPLENAGEM'!E7</f>
        <v/>
      </c>
      <c r="K44" s="90">
        <f>'TERRAPLENAGEM'!E8</f>
        <v/>
      </c>
      <c r="L44" s="90">
        <f>'TERRAPLENAGEM'!E9</f>
        <v/>
      </c>
      <c r="M44" s="90">
        <f>'TERRAPLENAGEM'!E10</f>
        <v/>
      </c>
      <c r="N44" s="90">
        <f>'TERRAPLENAGEM'!E11</f>
        <v/>
      </c>
      <c r="O44" s="90">
        <f>'TERRAPLENAGEM'!E12</f>
        <v/>
      </c>
      <c r="P44" s="90">
        <f>'TERRAPLENAGEM'!E13</f>
        <v/>
      </c>
      <c r="Q44" s="90">
        <f>'TERRAPLENAGEM'!E14</f>
        <v/>
      </c>
      <c r="R44" s="90">
        <f>'TERRAPLENAGEM'!E15</f>
        <v/>
      </c>
      <c r="S44" s="90">
        <f>'TERRAPLENAGEM'!E16</f>
        <v/>
      </c>
      <c r="T44" s="90">
        <f>'TERRAPLENAGEM'!E17</f>
        <v/>
      </c>
      <c r="U44" s="90">
        <f>'TERRAPLENAGEM'!E18</f>
        <v/>
      </c>
      <c r="V44" s="90">
        <f>'TERRAPLENAGEM'!E19</f>
        <v/>
      </c>
      <c r="W44" s="90">
        <f>'TERRAPLENAGEM'!E20</f>
        <v/>
      </c>
      <c r="X44" s="90">
        <f>'TERRAPLENAGEM'!E21</f>
        <v/>
      </c>
      <c r="Y44" s="90">
        <f>'TERRAPLENAGEM'!E22</f>
        <v/>
      </c>
      <c r="Z44" s="90">
        <f>'TERRAPLENAGEM'!E23</f>
        <v/>
      </c>
      <c r="AA44" s="90">
        <f>'TERRAPLENAGEM'!E24</f>
        <v/>
      </c>
      <c r="AB44" s="90">
        <f>'TERRAPLENAGEM'!E25</f>
        <v/>
      </c>
      <c r="AC44" s="90">
        <f>'TERRAPLENAGEM'!E26</f>
        <v/>
      </c>
      <c r="AD44" s="90">
        <f>'TERRAPLENAGEM'!E27</f>
        <v/>
      </c>
      <c r="AE44" s="90">
        <f>'TERRAPLENAGEM'!E28</f>
        <v/>
      </c>
      <c r="AF44" s="90">
        <f>'TERRAPLENAGEM'!E29</f>
        <v/>
      </c>
      <c r="AG44" s="90">
        <f>'TERRAPLENAGEM'!E30</f>
        <v/>
      </c>
      <c r="AH44" s="90">
        <f>'TERRAPLENAGEM'!E31</f>
        <v/>
      </c>
      <c r="AI44" s="90">
        <f>'TERRAPLENAGEM'!E32</f>
        <v/>
      </c>
      <c r="AJ44" s="90">
        <f>'TERRAPLENAGEM'!E33</f>
        <v/>
      </c>
      <c r="AK44" s="90">
        <f>'TERRAPLENAGEM'!E34</f>
        <v/>
      </c>
      <c r="AL44" s="90">
        <f>'TERRAPLENAGEM'!E35</f>
        <v/>
      </c>
      <c r="AM44" s="90">
        <f>'TERRAPLENAGEM'!E36</f>
        <v/>
      </c>
      <c r="AN44" s="90">
        <f>'TERRAPLENAGEM'!E37</f>
        <v/>
      </c>
      <c r="AO44" s="90">
        <f>'TERRAPLENAGEM'!E38</f>
        <v/>
      </c>
      <c r="AP44" s="90">
        <f>'TERRAPLENAGEM'!E39</f>
        <v/>
      </c>
      <c r="AQ44" s="90">
        <f>'TERRAPLENAGEM'!E40</f>
        <v/>
      </c>
      <c r="AR44" s="90">
        <f>'TERRAPLENAGEM'!E41</f>
        <v/>
      </c>
      <c r="AS44" s="90">
        <f>'TERRAPLENAGEM'!E42</f>
        <v/>
      </c>
      <c r="AT44" s="90">
        <f>'TERRAPLENAGEM'!E43</f>
        <v/>
      </c>
      <c r="AU44" s="90">
        <f>'TERRAPLENAGEM'!E44</f>
        <v/>
      </c>
      <c r="AV44" s="90">
        <f>'TERRAPLENAGEM'!E45</f>
        <v/>
      </c>
      <c r="AW44" s="90">
        <f>'TERRAPLENAGEM'!E46</f>
        <v/>
      </c>
      <c r="AX44" s="90">
        <f>'TERRAPLENAGEM'!E47</f>
        <v/>
      </c>
      <c r="AY44" s="90">
        <f>'TERRAPLENAGEM'!E48</f>
        <v/>
      </c>
      <c r="AZ44" s="90">
        <f>'TERRAPLENAGEM'!E49</f>
        <v/>
      </c>
      <c r="BA44" s="90">
        <f>'TERRAPLENAGEM'!E50</f>
        <v/>
      </c>
      <c r="BB44" s="90">
        <f>'TERRAPLENAGEM'!E51</f>
        <v/>
      </c>
      <c r="BC44" s="90">
        <f>'TERRAPLENAGEM'!E52</f>
        <v/>
      </c>
      <c r="BD44" s="90">
        <f>'TERRAPLENAGEM'!E53</f>
        <v/>
      </c>
      <c r="BE44" s="90">
        <f>'TERRAPLENAGEM'!E54</f>
        <v/>
      </c>
      <c r="BF44" s="90">
        <f>'TERRAPLENAGEM'!E55</f>
        <v/>
      </c>
      <c r="BG44" s="90">
        <f>'TERRAPLENAGEM'!E56</f>
        <v/>
      </c>
      <c r="BH44" s="90">
        <f>'TERRAPLENAGEM'!E57</f>
        <v/>
      </c>
      <c r="BI44" s="90">
        <f>'TERRAPLENAGEM'!E58</f>
        <v/>
      </c>
      <c r="BJ44" s="90">
        <f>'TERRAPLENAGEM'!E59</f>
        <v/>
      </c>
      <c r="BK44" s="90">
        <f>'TERRAPLENAGEM'!E60</f>
        <v/>
      </c>
      <c r="BL44" s="90">
        <f>'TERRAPLENAGEM'!E61</f>
        <v/>
      </c>
      <c r="BM44" s="90">
        <f>'TERRAPLENAGEM'!E62</f>
        <v/>
      </c>
      <c r="BN44" s="90">
        <f>'TERRAPLENAGEM'!E63</f>
        <v/>
      </c>
      <c r="BO44" s="90">
        <f>'TERRAPLENAGEM'!E64</f>
        <v/>
      </c>
      <c r="BP44" s="90">
        <f>'TERRAPLENAGEM'!E65</f>
        <v/>
      </c>
      <c r="BQ44" s="90">
        <f>'TERRAPLENAGEM'!E66</f>
        <v/>
      </c>
      <c r="BR44" s="90">
        <f>'TERRAPLENAGEM'!E67</f>
        <v/>
      </c>
      <c r="BS44" s="90">
        <f>'TERRAPLENAGEM'!E68</f>
        <v/>
      </c>
      <c r="BT44" s="90">
        <f>'TERRAPLENAGEM'!E69</f>
        <v/>
      </c>
      <c r="BU44" s="90">
        <f>'TERRAPLENAGEM'!E70</f>
        <v/>
      </c>
      <c r="BV44" s="90">
        <f>'TERRAPLENAGEM'!E71</f>
        <v/>
      </c>
      <c r="BW44" s="90">
        <f>'TERRAPLENAGEM'!E72</f>
        <v/>
      </c>
      <c r="BX44" s="90">
        <f>'TERRAPLENAGEM'!E73</f>
        <v/>
      </c>
      <c r="BY44" s="90">
        <f>'TERRAPLENAGEM'!E74</f>
        <v/>
      </c>
      <c r="BZ44" s="90">
        <f>'TERRAPLENAGEM'!E75</f>
        <v/>
      </c>
      <c r="CA44" s="90">
        <f>'TERRAPLENAGEM'!E76</f>
        <v/>
      </c>
    </row>
    <row r="45">
      <c r="A45" s="60" t="n"/>
      <c r="B45" s="60" t="inlineStr">
        <is>
          <t>1030-1070-600</t>
        </is>
      </c>
      <c r="C45" s="60" t="inlineStr">
        <is>
          <t>TOPOGRAFIA</t>
        </is>
      </c>
      <c r="E45" s="50">
        <f>SUM(H45:CA45)</f>
        <v/>
      </c>
      <c r="F45" s="50">
        <f>IF(D45="","",D45-E45)</f>
        <v/>
      </c>
    </row>
    <row r="46">
      <c r="A46" s="60" t="n"/>
      <c r="B46" s="60" t="inlineStr">
        <is>
          <t>1030-1070-460</t>
        </is>
      </c>
      <c r="C46" s="60" t="inlineStr">
        <is>
          <t>TRANSPORTES</t>
        </is>
      </c>
      <c r="D46" s="63">
        <f>'TRANSPORTES'!$K$5</f>
        <v/>
      </c>
      <c r="E46" s="50">
        <f>SUM(H46:CA46)</f>
        <v/>
      </c>
      <c r="F46" s="50">
        <f>IF(D46="","",D46-E46)</f>
        <v/>
      </c>
      <c r="H46" s="90">
        <f>'TRANSPORTES'!E5</f>
        <v/>
      </c>
      <c r="I46" s="90">
        <f>'TRANSPORTES'!E6</f>
        <v/>
      </c>
      <c r="J46" s="90">
        <f>'TRANSPORTES'!E7</f>
        <v/>
      </c>
      <c r="K46" s="90">
        <f>'TRANSPORTES'!E8</f>
        <v/>
      </c>
      <c r="L46" s="90">
        <f>'TRANSPORTES'!E9</f>
        <v/>
      </c>
      <c r="M46" s="90">
        <f>'TRANSPORTES'!E10</f>
        <v/>
      </c>
      <c r="N46" s="90">
        <f>'TRANSPORTES'!E11</f>
        <v/>
      </c>
      <c r="O46" s="90">
        <f>'TRANSPORTES'!E12</f>
        <v/>
      </c>
      <c r="P46" s="90">
        <f>'TRANSPORTES'!E13</f>
        <v/>
      </c>
      <c r="Q46" s="90">
        <f>'TRANSPORTES'!E14</f>
        <v/>
      </c>
      <c r="R46" s="90">
        <f>'TRANSPORTES'!E15</f>
        <v/>
      </c>
      <c r="S46" s="90">
        <f>'TRANSPORTES'!E16</f>
        <v/>
      </c>
      <c r="T46" s="90">
        <f>'TRANSPORTES'!E17</f>
        <v/>
      </c>
      <c r="U46" s="90">
        <f>'TRANSPORTES'!E18</f>
        <v/>
      </c>
      <c r="V46" s="90">
        <f>'TRANSPORTES'!E19</f>
        <v/>
      </c>
      <c r="W46" s="90">
        <f>'TRANSPORTES'!E20</f>
        <v/>
      </c>
      <c r="X46" s="90">
        <f>'TRANSPORTES'!E21</f>
        <v/>
      </c>
      <c r="Y46" s="90">
        <f>'TRANSPORTES'!E22</f>
        <v/>
      </c>
      <c r="Z46" s="90">
        <f>'TRANSPORTES'!E23</f>
        <v/>
      </c>
      <c r="AA46" s="90">
        <f>'TRANSPORTES'!E24</f>
        <v/>
      </c>
      <c r="AB46" s="90">
        <f>'TRANSPORTES'!E25</f>
        <v/>
      </c>
      <c r="AC46" s="90">
        <f>'TRANSPORTES'!E26</f>
        <v/>
      </c>
      <c r="AD46" s="90">
        <f>'TRANSPORTES'!E27</f>
        <v/>
      </c>
      <c r="AE46" s="90">
        <f>'TRANSPORTES'!E28</f>
        <v/>
      </c>
      <c r="AF46" s="90">
        <f>'TRANSPORTES'!E29</f>
        <v/>
      </c>
      <c r="AG46" s="90">
        <f>'TRANSPORTES'!E30</f>
        <v/>
      </c>
      <c r="AH46" s="90">
        <f>'TRANSPORTES'!E31</f>
        <v/>
      </c>
      <c r="AI46" s="90">
        <f>'TRANSPORTES'!E32</f>
        <v/>
      </c>
      <c r="AJ46" s="90">
        <f>'TRANSPORTES'!E33</f>
        <v/>
      </c>
      <c r="AK46" s="90">
        <f>'TRANSPORTES'!E34</f>
        <v/>
      </c>
      <c r="AL46" s="90">
        <f>'TRANSPORTES'!E35</f>
        <v/>
      </c>
      <c r="AM46" s="90">
        <f>'TRANSPORTES'!E36</f>
        <v/>
      </c>
      <c r="AN46" s="90">
        <f>'TRANSPORTES'!E37</f>
        <v/>
      </c>
      <c r="AO46" s="90">
        <f>'TRANSPORTES'!E38</f>
        <v/>
      </c>
      <c r="AP46" s="90">
        <f>'TRANSPORTES'!E39</f>
        <v/>
      </c>
      <c r="AQ46" s="90">
        <f>'TRANSPORTES'!E40</f>
        <v/>
      </c>
      <c r="AR46" s="90">
        <f>'TRANSPORTES'!E41</f>
        <v/>
      </c>
      <c r="AS46" s="90">
        <f>'TRANSPORTES'!E42</f>
        <v/>
      </c>
      <c r="AT46" s="90">
        <f>'TRANSPORTES'!E43</f>
        <v/>
      </c>
      <c r="AU46" s="90">
        <f>'TRANSPORTES'!E44</f>
        <v/>
      </c>
      <c r="AV46" s="90">
        <f>'TRANSPORTES'!E45</f>
        <v/>
      </c>
      <c r="AW46" s="90">
        <f>'TRANSPORTES'!E46</f>
        <v/>
      </c>
      <c r="AX46" s="90">
        <f>'TRANSPORTES'!E47</f>
        <v/>
      </c>
      <c r="AY46" s="90">
        <f>'TRANSPORTES'!E48</f>
        <v/>
      </c>
      <c r="AZ46" s="90">
        <f>'TRANSPORTES'!E49</f>
        <v/>
      </c>
      <c r="BA46" s="90">
        <f>'TRANSPORTES'!E50</f>
        <v/>
      </c>
      <c r="BB46" s="90">
        <f>'TRANSPORTES'!E51</f>
        <v/>
      </c>
      <c r="BC46" s="90">
        <f>'TRANSPORTES'!E52</f>
        <v/>
      </c>
      <c r="BD46" s="90">
        <f>'TRANSPORTES'!E53</f>
        <v/>
      </c>
      <c r="BE46" s="90">
        <f>'TRANSPORTES'!E54</f>
        <v/>
      </c>
      <c r="BF46" s="90">
        <f>'TRANSPORTES'!E55</f>
        <v/>
      </c>
      <c r="BG46" s="90">
        <f>'TRANSPORTES'!E56</f>
        <v/>
      </c>
      <c r="BH46" s="90">
        <f>'TRANSPORTES'!E57</f>
        <v/>
      </c>
      <c r="BI46" s="90">
        <f>'TRANSPORTES'!E58</f>
        <v/>
      </c>
      <c r="BJ46" s="90">
        <f>'TRANSPORTES'!E59</f>
        <v/>
      </c>
      <c r="BK46" s="90">
        <f>'TRANSPORTES'!E60</f>
        <v/>
      </c>
      <c r="BL46" s="90">
        <f>'TRANSPORTES'!E61</f>
        <v/>
      </c>
      <c r="BM46" s="90">
        <f>'TRANSPORTES'!E62</f>
        <v/>
      </c>
      <c r="BN46" s="90">
        <f>'TRANSPORTES'!E63</f>
        <v/>
      </c>
      <c r="BO46" s="90">
        <f>'TRANSPORTES'!E64</f>
        <v/>
      </c>
      <c r="BP46" s="90">
        <f>'TRANSPORTES'!E65</f>
        <v/>
      </c>
      <c r="BQ46" s="90">
        <f>'TRANSPORTES'!E66</f>
        <v/>
      </c>
      <c r="BR46" s="90">
        <f>'TRANSPORTES'!E67</f>
        <v/>
      </c>
      <c r="BS46" s="90">
        <f>'TRANSPORTES'!E68</f>
        <v/>
      </c>
      <c r="BT46" s="90">
        <f>'TRANSPORTES'!E69</f>
        <v/>
      </c>
      <c r="BU46" s="90">
        <f>'TRANSPORTES'!E70</f>
        <v/>
      </c>
      <c r="BV46" s="90">
        <f>'TRANSPORTES'!E71</f>
        <v/>
      </c>
      <c r="BW46" s="90">
        <f>'TRANSPORTES'!E72</f>
        <v/>
      </c>
      <c r="BX46" s="90">
        <f>'TRANSPORTES'!E73</f>
        <v/>
      </c>
      <c r="BY46" s="90">
        <f>'TRANSPORTES'!E74</f>
        <v/>
      </c>
      <c r="BZ46" s="90">
        <f>'TRANSPORTES'!E75</f>
        <v/>
      </c>
      <c r="CA46" s="90">
        <f>'TRANSPORTES'!E76</f>
        <v/>
      </c>
    </row>
    <row r="47">
      <c r="A47" s="60" t="n"/>
      <c r="B47" s="60" t="inlineStr">
        <is>
          <t>1030-1070-480</t>
        </is>
      </c>
      <c r="C47" s="60" t="inlineStr">
        <is>
          <t>ESTRUTURA EM COBERTURA METÁLICA</t>
        </is>
      </c>
      <c r="E47" s="50">
        <f>SUM(H47:CA47)</f>
        <v/>
      </c>
      <c r="F47" s="50">
        <f>IF(D47="","",D47-E47)</f>
        <v/>
      </c>
    </row>
    <row r="48">
      <c r="A48" s="60" t="n"/>
      <c r="B48" s="60" t="inlineStr">
        <is>
          <t>1030-1070-500</t>
        </is>
      </c>
      <c r="C48" s="60" t="inlineStr">
        <is>
          <t>REFORÇO ESTRUTURAL</t>
        </is>
      </c>
      <c r="E48" s="50">
        <f>SUM(H48:CA48)</f>
        <v/>
      </c>
      <c r="F48" s="50">
        <f>IF(D48="","",D48-E48)</f>
        <v/>
      </c>
    </row>
    <row r="49">
      <c r="A49" s="60" t="n"/>
      <c r="B49" s="60" t="inlineStr">
        <is>
          <t>1030-1070-530</t>
        </is>
      </c>
      <c r="C49" s="60" t="inlineStr">
        <is>
          <t>MÃO DE OBRA PRÓPRIA</t>
        </is>
      </c>
      <c r="D49" s="63">
        <f>'MDO'!$K$5</f>
        <v/>
      </c>
      <c r="E49" s="50">
        <f>SUM(H49:CA49)</f>
        <v/>
      </c>
      <c r="F49" s="50">
        <f>IF(D49="","",D49-E49)</f>
        <v/>
      </c>
      <c r="H49" s="90">
        <f>'MDO'!E5</f>
        <v/>
      </c>
      <c r="I49" s="90">
        <f>'MDO'!E6</f>
        <v/>
      </c>
      <c r="J49" s="90">
        <f>'MDO'!E7</f>
        <v/>
      </c>
      <c r="K49" s="90">
        <f>'MDO'!E8</f>
        <v/>
      </c>
      <c r="L49" s="90">
        <f>'MDO'!E9</f>
        <v/>
      </c>
      <c r="M49" s="90">
        <f>'MDO'!E10</f>
        <v/>
      </c>
      <c r="N49" s="90">
        <f>'MDO'!E11</f>
        <v/>
      </c>
      <c r="O49" s="90">
        <f>'MDO'!E12</f>
        <v/>
      </c>
      <c r="P49" s="90">
        <f>'MDO'!E13</f>
        <v/>
      </c>
      <c r="Q49" s="90">
        <f>'MDO'!E14</f>
        <v/>
      </c>
      <c r="R49" s="90">
        <f>'MDO'!E15</f>
        <v/>
      </c>
      <c r="S49" s="90">
        <f>'MDO'!E16</f>
        <v/>
      </c>
      <c r="T49" s="90">
        <f>'MDO'!E17</f>
        <v/>
      </c>
      <c r="U49" s="90">
        <f>'MDO'!E18</f>
        <v/>
      </c>
      <c r="V49" s="90">
        <f>'MDO'!E19</f>
        <v/>
      </c>
      <c r="W49" s="90">
        <f>'MDO'!E20</f>
        <v/>
      </c>
      <c r="X49" s="90">
        <f>'MDO'!E21</f>
        <v/>
      </c>
      <c r="Y49" s="90">
        <f>'MDO'!E22</f>
        <v/>
      </c>
      <c r="Z49" s="90">
        <f>'MDO'!E23</f>
        <v/>
      </c>
      <c r="AA49" s="90">
        <f>'MDO'!E24</f>
        <v/>
      </c>
      <c r="AB49" s="90">
        <f>'MDO'!E25</f>
        <v/>
      </c>
      <c r="AC49" s="90">
        <f>'MDO'!E26</f>
        <v/>
      </c>
      <c r="AD49" s="90">
        <f>'MDO'!E27</f>
        <v/>
      </c>
      <c r="AE49" s="90">
        <f>'MDO'!E28</f>
        <v/>
      </c>
      <c r="AF49" s="90">
        <f>'MDO'!E29</f>
        <v/>
      </c>
      <c r="AG49" s="90">
        <f>'MDO'!E30</f>
        <v/>
      </c>
      <c r="AH49" s="90">
        <f>'MDO'!E31</f>
        <v/>
      </c>
      <c r="AI49" s="90">
        <f>'MDO'!E32</f>
        <v/>
      </c>
      <c r="AJ49" s="90">
        <f>'MDO'!E33</f>
        <v/>
      </c>
      <c r="AK49" s="90">
        <f>'MDO'!E34</f>
        <v/>
      </c>
      <c r="AL49" s="90">
        <f>'MDO'!E35</f>
        <v/>
      </c>
      <c r="AM49" s="90">
        <f>'MDO'!E36</f>
        <v/>
      </c>
      <c r="AN49" s="90">
        <f>'MDO'!E37</f>
        <v/>
      </c>
      <c r="AO49" s="90">
        <f>'MDO'!E38</f>
        <v/>
      </c>
      <c r="AP49" s="90">
        <f>'MDO'!E39</f>
        <v/>
      </c>
      <c r="AQ49" s="90">
        <f>'MDO'!E40</f>
        <v/>
      </c>
      <c r="AR49" s="90">
        <f>'MDO'!E41</f>
        <v/>
      </c>
      <c r="AS49" s="90">
        <f>'MDO'!E42</f>
        <v/>
      </c>
      <c r="AT49" s="90">
        <f>'MDO'!E43</f>
        <v/>
      </c>
      <c r="AU49" s="90">
        <f>'MDO'!E44</f>
        <v/>
      </c>
      <c r="AV49" s="90">
        <f>'MDO'!E45</f>
        <v/>
      </c>
      <c r="AW49" s="90">
        <f>'MDO'!E46</f>
        <v/>
      </c>
      <c r="AX49" s="90">
        <f>'MDO'!E47</f>
        <v/>
      </c>
      <c r="AY49" s="90">
        <f>'MDO'!E48</f>
        <v/>
      </c>
      <c r="AZ49" s="90">
        <f>'MDO'!E49</f>
        <v/>
      </c>
      <c r="BA49" s="90">
        <f>'MDO'!E50</f>
        <v/>
      </c>
      <c r="BB49" s="90">
        <f>'MDO'!E51</f>
        <v/>
      </c>
      <c r="BC49" s="90">
        <f>'MDO'!E52</f>
        <v/>
      </c>
      <c r="BD49" s="90">
        <f>'MDO'!E53</f>
        <v/>
      </c>
      <c r="BE49" s="90">
        <f>'MDO'!E54</f>
        <v/>
      </c>
      <c r="BF49" s="90">
        <f>'MDO'!E55</f>
        <v/>
      </c>
      <c r="BG49" s="90">
        <f>'MDO'!E56</f>
        <v/>
      </c>
      <c r="BH49" s="90">
        <f>'MDO'!E57</f>
        <v/>
      </c>
      <c r="BI49" s="90">
        <f>'MDO'!E58</f>
        <v/>
      </c>
      <c r="BJ49" s="90">
        <f>'MDO'!E59</f>
        <v/>
      </c>
      <c r="BK49" s="90">
        <f>'MDO'!E60</f>
        <v/>
      </c>
      <c r="BL49" s="90">
        <f>'MDO'!E61</f>
        <v/>
      </c>
      <c r="BM49" s="90">
        <f>'MDO'!E62</f>
        <v/>
      </c>
      <c r="BN49" s="90">
        <f>'MDO'!E63</f>
        <v/>
      </c>
      <c r="BO49" s="90">
        <f>'MDO'!E64</f>
        <v/>
      </c>
      <c r="BP49" s="90">
        <f>'MDO'!E65</f>
        <v/>
      </c>
      <c r="BQ49" s="90">
        <f>'MDO'!E66</f>
        <v/>
      </c>
      <c r="BR49" s="90">
        <f>'MDO'!E67</f>
        <v/>
      </c>
      <c r="BS49" s="90">
        <f>'MDO'!E68</f>
        <v/>
      </c>
      <c r="BT49" s="90">
        <f>'MDO'!E69</f>
        <v/>
      </c>
      <c r="BU49" s="90">
        <f>'MDO'!E70</f>
        <v/>
      </c>
      <c r="BV49" s="90">
        <f>'MDO'!E71</f>
        <v/>
      </c>
      <c r="BW49" s="90">
        <f>'MDO'!E72</f>
        <v/>
      </c>
      <c r="BX49" s="90">
        <f>'MDO'!E73</f>
        <v/>
      </c>
      <c r="BY49" s="90">
        <f>'MDO'!E74</f>
        <v/>
      </c>
      <c r="BZ49" s="90">
        <f>'MDO'!E75</f>
        <v/>
      </c>
      <c r="CA49" s="90">
        <f>'MDO'!E76</f>
        <v/>
      </c>
    </row>
    <row r="50">
      <c r="A50" s="60" t="n"/>
      <c r="B50" s="60" t="inlineStr">
        <is>
          <t>1030-1070-120</t>
        </is>
      </c>
      <c r="C50" s="60" t="inlineStr">
        <is>
          <t>TAXAS DIVERSAS</t>
        </is>
      </c>
      <c r="D50" s="63">
        <f>'TAX. DIVERSAS'!$K$5</f>
        <v/>
      </c>
      <c r="E50" s="50">
        <f>SUM(H50:CA50)</f>
        <v/>
      </c>
      <c r="F50" s="50">
        <f>IF(D50="","",D50-E50)</f>
        <v/>
      </c>
      <c r="H50" s="90">
        <f>'TAX. DIVERSAS'!E5</f>
        <v/>
      </c>
      <c r="I50" s="90">
        <f>'TAX. DIVERSAS'!E6</f>
        <v/>
      </c>
      <c r="J50" s="90">
        <f>'TAX. DIVERSAS'!E7</f>
        <v/>
      </c>
      <c r="K50" s="90">
        <f>'TAX. DIVERSAS'!E8</f>
        <v/>
      </c>
      <c r="L50" s="90">
        <f>'TAX. DIVERSAS'!E9</f>
        <v/>
      </c>
      <c r="M50" s="90">
        <f>'TAX. DIVERSAS'!E10</f>
        <v/>
      </c>
      <c r="N50" s="90">
        <f>'TAX. DIVERSAS'!E11</f>
        <v/>
      </c>
      <c r="O50" s="90">
        <f>'TAX. DIVERSAS'!E12</f>
        <v/>
      </c>
      <c r="P50" s="90">
        <f>'TAX. DIVERSAS'!E13</f>
        <v/>
      </c>
      <c r="Q50" s="90">
        <f>'TAX. DIVERSAS'!E14</f>
        <v/>
      </c>
      <c r="R50" s="90">
        <f>'TAX. DIVERSAS'!E15</f>
        <v/>
      </c>
      <c r="S50" s="90">
        <f>'TAX. DIVERSAS'!E16</f>
        <v/>
      </c>
      <c r="T50" s="90">
        <f>'TAX. DIVERSAS'!E17</f>
        <v/>
      </c>
      <c r="U50" s="90">
        <f>'TAX. DIVERSAS'!E18</f>
        <v/>
      </c>
      <c r="V50" s="90">
        <f>'TAX. DIVERSAS'!E19</f>
        <v/>
      </c>
      <c r="W50" s="90">
        <f>'TAX. DIVERSAS'!E20</f>
        <v/>
      </c>
      <c r="X50" s="90">
        <f>'TAX. DIVERSAS'!E21</f>
        <v/>
      </c>
      <c r="Y50" s="90">
        <f>'TAX. DIVERSAS'!E22</f>
        <v/>
      </c>
      <c r="Z50" s="90">
        <f>'TAX. DIVERSAS'!E23</f>
        <v/>
      </c>
      <c r="AA50" s="90">
        <f>'TAX. DIVERSAS'!E24</f>
        <v/>
      </c>
      <c r="AB50" s="90">
        <f>'TAX. DIVERSAS'!E25</f>
        <v/>
      </c>
      <c r="AC50" s="90">
        <f>'TAX. DIVERSAS'!E26</f>
        <v/>
      </c>
      <c r="AD50" s="90">
        <f>'TAX. DIVERSAS'!E27</f>
        <v/>
      </c>
      <c r="AE50" s="90">
        <f>'TAX. DIVERSAS'!E28</f>
        <v/>
      </c>
      <c r="AF50" s="90">
        <f>'TAX. DIVERSAS'!E29</f>
        <v/>
      </c>
      <c r="AG50" s="90">
        <f>'TAX. DIVERSAS'!E30</f>
        <v/>
      </c>
      <c r="AH50" s="90">
        <f>'TAX. DIVERSAS'!E31</f>
        <v/>
      </c>
      <c r="AI50" s="90">
        <f>'TAX. DIVERSAS'!E32</f>
        <v/>
      </c>
      <c r="AJ50" s="90">
        <f>'TAX. DIVERSAS'!E33</f>
        <v/>
      </c>
      <c r="AK50" s="90">
        <f>'TAX. DIVERSAS'!E34</f>
        <v/>
      </c>
      <c r="AL50" s="90">
        <f>'TAX. DIVERSAS'!E35</f>
        <v/>
      </c>
      <c r="AM50" s="90">
        <f>'TAX. DIVERSAS'!E36</f>
        <v/>
      </c>
      <c r="AN50" s="90">
        <f>'TAX. DIVERSAS'!E37</f>
        <v/>
      </c>
      <c r="AO50" s="90">
        <f>'TAX. DIVERSAS'!E38</f>
        <v/>
      </c>
      <c r="AP50" s="90">
        <f>'TAX. DIVERSAS'!E39</f>
        <v/>
      </c>
      <c r="AQ50" s="90">
        <f>'TAX. DIVERSAS'!E40</f>
        <v/>
      </c>
      <c r="AR50" s="90">
        <f>'TAX. DIVERSAS'!E41</f>
        <v/>
      </c>
      <c r="AS50" s="90">
        <f>'TAX. DIVERSAS'!E42</f>
        <v/>
      </c>
      <c r="AT50" s="90">
        <f>'TAX. DIVERSAS'!E43</f>
        <v/>
      </c>
      <c r="AU50" s="90">
        <f>'TAX. DIVERSAS'!E44</f>
        <v/>
      </c>
      <c r="AV50" s="90">
        <f>'TAX. DIVERSAS'!E45</f>
        <v/>
      </c>
      <c r="AW50" s="90">
        <f>'TAX. DIVERSAS'!E46</f>
        <v/>
      </c>
      <c r="AX50" s="90">
        <f>'TAX. DIVERSAS'!E47</f>
        <v/>
      </c>
      <c r="AY50" s="90">
        <f>'TAX. DIVERSAS'!E48</f>
        <v/>
      </c>
      <c r="AZ50" s="90">
        <f>'TAX. DIVERSAS'!E49</f>
        <v/>
      </c>
      <c r="BA50" s="90">
        <f>'TAX. DIVERSAS'!E50</f>
        <v/>
      </c>
      <c r="BB50" s="90">
        <f>'TAX. DIVERSAS'!E51</f>
        <v/>
      </c>
      <c r="BC50" s="90">
        <f>'TAX. DIVERSAS'!E52</f>
        <v/>
      </c>
      <c r="BD50" s="90">
        <f>'TAX. DIVERSAS'!E53</f>
        <v/>
      </c>
      <c r="BE50" s="90">
        <f>'TAX. DIVERSAS'!E54</f>
        <v/>
      </c>
      <c r="BF50" s="90">
        <f>'TAX. DIVERSAS'!E55</f>
        <v/>
      </c>
      <c r="BG50" s="90">
        <f>'TAX. DIVERSAS'!E56</f>
        <v/>
      </c>
      <c r="BH50" s="90">
        <f>'TAX. DIVERSAS'!E57</f>
        <v/>
      </c>
      <c r="BI50" s="90">
        <f>'TAX. DIVERSAS'!E58</f>
        <v/>
      </c>
      <c r="BJ50" s="90">
        <f>'TAX. DIVERSAS'!E59</f>
        <v/>
      </c>
      <c r="BK50" s="90">
        <f>'TAX. DIVERSAS'!E60</f>
        <v/>
      </c>
      <c r="BL50" s="90">
        <f>'TAX. DIVERSAS'!E61</f>
        <v/>
      </c>
      <c r="BM50" s="90">
        <f>'TAX. DIVERSAS'!E62</f>
        <v/>
      </c>
      <c r="BN50" s="90">
        <f>'TAX. DIVERSAS'!E63</f>
        <v/>
      </c>
      <c r="BO50" s="90">
        <f>'TAX. DIVERSAS'!E64</f>
        <v/>
      </c>
      <c r="BP50" s="90">
        <f>'TAX. DIVERSAS'!E65</f>
        <v/>
      </c>
      <c r="BQ50" s="90">
        <f>'TAX. DIVERSAS'!E66</f>
        <v/>
      </c>
      <c r="BR50" s="90">
        <f>'TAX. DIVERSAS'!E67</f>
        <v/>
      </c>
      <c r="BS50" s="90">
        <f>'TAX. DIVERSAS'!E68</f>
        <v/>
      </c>
      <c r="BT50" s="90">
        <f>'TAX. DIVERSAS'!E69</f>
        <v/>
      </c>
      <c r="BU50" s="90">
        <f>'TAX. DIVERSAS'!E70</f>
        <v/>
      </c>
      <c r="BV50" s="90">
        <f>'TAX. DIVERSAS'!E71</f>
        <v/>
      </c>
      <c r="BW50" s="90">
        <f>'TAX. DIVERSAS'!E72</f>
        <v/>
      </c>
      <c r="BX50" s="90">
        <f>'TAX. DIVERSAS'!E73</f>
        <v/>
      </c>
      <c r="BY50" s="90">
        <f>'TAX. DIVERSAS'!E74</f>
        <v/>
      </c>
      <c r="BZ50" s="90">
        <f>'TAX. DIVERSAS'!E75</f>
        <v/>
      </c>
      <c r="CA50" s="90">
        <f>'TAX. DIVERSAS'!E76</f>
        <v/>
      </c>
    </row>
    <row r="51">
      <c r="A51" s="60" t="n"/>
      <c r="B51" s="60" t="inlineStr">
        <is>
          <t>1030-1070-590</t>
        </is>
      </c>
      <c r="C51" s="60" t="inlineStr">
        <is>
          <t>SEGURANÇA DO TRABALHO</t>
        </is>
      </c>
      <c r="E51" s="50">
        <f>SUM(H51:CA51)</f>
        <v/>
      </c>
      <c r="F51" s="50">
        <f>IF(D51="","",D51-E51)</f>
        <v/>
      </c>
    </row>
    <row r="52">
      <c r="A52" s="60" t="n"/>
      <c r="B52" s="60" t="inlineStr">
        <is>
          <t>1030-1070-520</t>
        </is>
      </c>
      <c r="C52" s="60" t="inlineStr">
        <is>
          <t>SERVIÇOS INICIAIS</t>
        </is>
      </c>
      <c r="D52" s="63">
        <f>'SERV. INICIAIS'!$K$5</f>
        <v/>
      </c>
      <c r="E52" s="50">
        <f>SUM(H52:CA52)</f>
        <v/>
      </c>
      <c r="F52" s="50">
        <f>IF(D52="","",D52-E52)</f>
        <v/>
      </c>
      <c r="H52" s="90">
        <f>'SERV. INICIAIS'!E5</f>
        <v/>
      </c>
      <c r="I52" s="90">
        <f>'SERV. INICIAIS'!E6</f>
        <v/>
      </c>
      <c r="J52" s="90">
        <f>'SERV. INICIAIS'!E7</f>
        <v/>
      </c>
      <c r="K52" s="90">
        <f>'SERV. INICIAIS'!E8</f>
        <v/>
      </c>
      <c r="L52" s="90">
        <f>'SERV. INICIAIS'!E9</f>
        <v/>
      </c>
      <c r="M52" s="90">
        <f>'SERV. INICIAIS'!E10</f>
        <v/>
      </c>
      <c r="N52" s="90">
        <f>'SERV. INICIAIS'!E11</f>
        <v/>
      </c>
      <c r="O52" s="90">
        <f>'SERV. INICIAIS'!E12</f>
        <v/>
      </c>
      <c r="P52" s="90">
        <f>'SERV. INICIAIS'!E13</f>
        <v/>
      </c>
      <c r="Q52" s="90">
        <f>'SERV. INICIAIS'!E14</f>
        <v/>
      </c>
      <c r="R52" s="90">
        <f>'SERV. INICIAIS'!E15</f>
        <v/>
      </c>
      <c r="S52" s="90">
        <f>'SERV. INICIAIS'!E16</f>
        <v/>
      </c>
      <c r="T52" s="90">
        <f>'SERV. INICIAIS'!E17</f>
        <v/>
      </c>
      <c r="U52" s="90">
        <f>'SERV. INICIAIS'!E18</f>
        <v/>
      </c>
      <c r="V52" s="90">
        <f>'SERV. INICIAIS'!E19</f>
        <v/>
      </c>
      <c r="W52" s="90">
        <f>'SERV. INICIAIS'!E20</f>
        <v/>
      </c>
      <c r="X52" s="90">
        <f>'SERV. INICIAIS'!E21</f>
        <v/>
      </c>
      <c r="Y52" s="90">
        <f>'SERV. INICIAIS'!E22</f>
        <v/>
      </c>
      <c r="Z52" s="90">
        <f>'SERV. INICIAIS'!E23</f>
        <v/>
      </c>
      <c r="AA52" s="90">
        <f>'SERV. INICIAIS'!E24</f>
        <v/>
      </c>
      <c r="AB52" s="90">
        <f>'SERV. INICIAIS'!E25</f>
        <v/>
      </c>
      <c r="AC52" s="90">
        <f>'SERV. INICIAIS'!E26</f>
        <v/>
      </c>
      <c r="AD52" s="90">
        <f>'SERV. INICIAIS'!E27</f>
        <v/>
      </c>
      <c r="AE52" s="90">
        <f>'SERV. INICIAIS'!E28</f>
        <v/>
      </c>
      <c r="AF52" s="90">
        <f>'SERV. INICIAIS'!E29</f>
        <v/>
      </c>
      <c r="AG52" s="90">
        <f>'SERV. INICIAIS'!E30</f>
        <v/>
      </c>
      <c r="AH52" s="90">
        <f>'SERV. INICIAIS'!E31</f>
        <v/>
      </c>
      <c r="AI52" s="90">
        <f>'SERV. INICIAIS'!E32</f>
        <v/>
      </c>
      <c r="AJ52" s="90">
        <f>'SERV. INICIAIS'!E33</f>
        <v/>
      </c>
      <c r="AK52" s="90">
        <f>'SERV. INICIAIS'!E34</f>
        <v/>
      </c>
      <c r="AL52" s="90">
        <f>'SERV. INICIAIS'!E35</f>
        <v/>
      </c>
      <c r="AM52" s="90">
        <f>'SERV. INICIAIS'!E36</f>
        <v/>
      </c>
      <c r="AN52" s="90">
        <f>'SERV. INICIAIS'!E37</f>
        <v/>
      </c>
      <c r="AO52" s="90">
        <f>'SERV. INICIAIS'!E38</f>
        <v/>
      </c>
      <c r="AP52" s="90">
        <f>'SERV. INICIAIS'!E39</f>
        <v/>
      </c>
      <c r="AQ52" s="90">
        <f>'SERV. INICIAIS'!E40</f>
        <v/>
      </c>
      <c r="AR52" s="90">
        <f>'SERV. INICIAIS'!E41</f>
        <v/>
      </c>
      <c r="AS52" s="90">
        <f>'SERV. INICIAIS'!E42</f>
        <v/>
      </c>
      <c r="AT52" s="90">
        <f>'SERV. INICIAIS'!E43</f>
        <v/>
      </c>
      <c r="AU52" s="90">
        <f>'SERV. INICIAIS'!E44</f>
        <v/>
      </c>
      <c r="AV52" s="90">
        <f>'SERV. INICIAIS'!E45</f>
        <v/>
      </c>
      <c r="AW52" s="90">
        <f>'SERV. INICIAIS'!E46</f>
        <v/>
      </c>
      <c r="AX52" s="90">
        <f>'SERV. INICIAIS'!E47</f>
        <v/>
      </c>
      <c r="AY52" s="90">
        <f>'SERV. INICIAIS'!E48</f>
        <v/>
      </c>
      <c r="AZ52" s="90">
        <f>'SERV. INICIAIS'!E49</f>
        <v/>
      </c>
      <c r="BA52" s="90">
        <f>'SERV. INICIAIS'!E50</f>
        <v/>
      </c>
      <c r="BB52" s="90">
        <f>'SERV. INICIAIS'!E51</f>
        <v/>
      </c>
      <c r="BC52" s="90">
        <f>'SERV. INICIAIS'!E52</f>
        <v/>
      </c>
      <c r="BD52" s="90">
        <f>'SERV. INICIAIS'!E53</f>
        <v/>
      </c>
      <c r="BE52" s="90">
        <f>'SERV. INICIAIS'!E54</f>
        <v/>
      </c>
      <c r="BF52" s="90">
        <f>'SERV. INICIAIS'!E55</f>
        <v/>
      </c>
      <c r="BG52" s="90">
        <f>'SERV. INICIAIS'!E56</f>
        <v/>
      </c>
      <c r="BH52" s="90">
        <f>'SERV. INICIAIS'!E57</f>
        <v/>
      </c>
      <c r="BI52" s="90">
        <f>'SERV. INICIAIS'!E58</f>
        <v/>
      </c>
      <c r="BJ52" s="90">
        <f>'SERV. INICIAIS'!E59</f>
        <v/>
      </c>
      <c r="BK52" s="90">
        <f>'SERV. INICIAIS'!E60</f>
        <v/>
      </c>
      <c r="BL52" s="90">
        <f>'SERV. INICIAIS'!E61</f>
        <v/>
      </c>
      <c r="BM52" s="90">
        <f>'SERV. INICIAIS'!E62</f>
        <v/>
      </c>
      <c r="BN52" s="90">
        <f>'SERV. INICIAIS'!E63</f>
        <v/>
      </c>
      <c r="BO52" s="90">
        <f>'SERV. INICIAIS'!E64</f>
        <v/>
      </c>
      <c r="BP52" s="90">
        <f>'SERV. INICIAIS'!E65</f>
        <v/>
      </c>
      <c r="BQ52" s="90">
        <f>'SERV. INICIAIS'!E66</f>
        <v/>
      </c>
      <c r="BR52" s="90">
        <f>'SERV. INICIAIS'!E67</f>
        <v/>
      </c>
      <c r="BS52" s="90">
        <f>'SERV. INICIAIS'!E68</f>
        <v/>
      </c>
      <c r="BT52" s="90">
        <f>'SERV. INICIAIS'!E69</f>
        <v/>
      </c>
      <c r="BU52" s="90">
        <f>'SERV. INICIAIS'!E70</f>
        <v/>
      </c>
      <c r="BV52" s="90">
        <f>'SERV. INICIAIS'!E71</f>
        <v/>
      </c>
      <c r="BW52" s="90">
        <f>'SERV. INICIAIS'!E72</f>
        <v/>
      </c>
      <c r="BX52" s="90">
        <f>'SERV. INICIAIS'!E73</f>
        <v/>
      </c>
      <c r="BY52" s="90">
        <f>'SERV. INICIAIS'!E74</f>
        <v/>
      </c>
      <c r="BZ52" s="90">
        <f>'SERV. INICIAIS'!E75</f>
        <v/>
      </c>
      <c r="CA52" s="90">
        <f>'SERV. INICIAIS'!E76</f>
        <v/>
      </c>
    </row>
    <row r="53">
      <c r="A53" s="60" t="n"/>
      <c r="B53" s="60" t="inlineStr">
        <is>
          <t>1040-1110-115</t>
        </is>
      </c>
      <c r="C53" s="60" t="inlineStr">
        <is>
          <t>COMERCIAIS</t>
        </is>
      </c>
      <c r="E53" s="50">
        <f>SUM(H53:CA53)</f>
        <v/>
      </c>
      <c r="F53" s="50">
        <f>IF(D53="","",D53-E53)</f>
        <v/>
      </c>
    </row>
    <row r="54">
      <c r="A54" s="60" t="n"/>
      <c r="B54" s="60" t="inlineStr">
        <is>
          <t>1040-1130-110</t>
        </is>
      </c>
      <c r="C54" s="60" t="inlineStr">
        <is>
          <t>INCORPORAÇÃO / LEGALIZAÇÃO</t>
        </is>
      </c>
      <c r="E54" s="50">
        <f>SUM(H54:CA54)</f>
        <v/>
      </c>
      <c r="F54" s="50">
        <f>IF(D54="","",D54-E54)</f>
        <v/>
      </c>
    </row>
    <row r="55">
      <c r="A55" s="60" t="n"/>
      <c r="B55" s="60" t="inlineStr">
        <is>
          <t>1040-1130-110</t>
        </is>
      </c>
      <c r="C55" s="60" t="inlineStr">
        <is>
          <t>INCORPORAÇÃO / LEGALIZAÇÃO</t>
        </is>
      </c>
      <c r="E55" s="50">
        <f>SUM(H55:CA55)</f>
        <v/>
      </c>
      <c r="F55" s="50">
        <f>IF(D55="","",D55-E55)</f>
        <v/>
      </c>
    </row>
    <row r="56">
      <c r="A56" s="60" t="n"/>
      <c r="B56" s="60" t="inlineStr">
        <is>
          <t>1030-1090-100</t>
        </is>
      </c>
      <c r="C56" s="60" t="inlineStr">
        <is>
          <t>MEDIDAS COMPENSATÓRIAS</t>
        </is>
      </c>
      <c r="E56" s="50">
        <f>SUM(H56:CA56)</f>
        <v/>
      </c>
      <c r="F56" s="50">
        <f>IF(D56="","",D56-E56)</f>
        <v/>
      </c>
    </row>
    <row r="57">
      <c r="A57" s="60" t="n"/>
      <c r="B57" s="60" t="inlineStr">
        <is>
          <t>1040-1110-130</t>
        </is>
      </c>
      <c r="C57" s="60" t="n"/>
      <c r="E57" s="50">
        <f>SUM(H57:CA57)</f>
        <v/>
      </c>
      <c r="F57" s="50">
        <f>IF(D57="","",D57-E57)</f>
        <v/>
      </c>
    </row>
    <row r="59">
      <c r="C59" s="47" t="inlineStr">
        <is>
          <t>SOMA SEM TAXA DE ADM. (INCC)</t>
        </is>
      </c>
      <c r="D59" s="65">
        <f>SUM(D2:D57)-D43</f>
        <v/>
      </c>
      <c r="E59" s="65">
        <f>SUM(E2:E57)-E43</f>
        <v/>
      </c>
      <c r="H59" s="65">
        <f>SUM(H2:H57)-H43</f>
        <v/>
      </c>
      <c r="I59" s="65">
        <f>SUM(I2:I57)-I43</f>
        <v/>
      </c>
      <c r="J59" s="65">
        <f>SUM(J2:J57)-J43</f>
        <v/>
      </c>
      <c r="K59" s="65">
        <f>SUM(K2:K57)-K43</f>
        <v/>
      </c>
      <c r="L59" s="65">
        <f>SUM(L2:L57)-L43</f>
        <v/>
      </c>
      <c r="M59" s="65">
        <f>SUM(M2:M57)-M43</f>
        <v/>
      </c>
      <c r="N59" s="65">
        <f>SUM(N2:N57)-N43</f>
        <v/>
      </c>
      <c r="O59" s="65">
        <f>SUM(O2:O57)-O43</f>
        <v/>
      </c>
      <c r="P59" s="65">
        <f>SUM(P2:P57)-P43</f>
        <v/>
      </c>
      <c r="Q59" s="65">
        <f>SUM(Q2:Q57)-Q43</f>
        <v/>
      </c>
      <c r="R59" s="65">
        <f>SUM(R2:R57)-R43</f>
        <v/>
      </c>
      <c r="S59" s="65">
        <f>SUM(S2:S57)-S43</f>
        <v/>
      </c>
      <c r="T59" s="65">
        <f>SUM(T2:T57)-T43</f>
        <v/>
      </c>
      <c r="U59" s="65">
        <f>SUM(U2:U57)-U43</f>
        <v/>
      </c>
      <c r="V59" s="65">
        <f>SUM(V2:V57)-V43</f>
        <v/>
      </c>
      <c r="W59" s="65">
        <f>SUM(W2:W57)-W43</f>
        <v/>
      </c>
      <c r="X59" s="65">
        <f>SUM(X2:X57)-X43</f>
        <v/>
      </c>
      <c r="Y59" s="65">
        <f>SUM(Y2:Y57)-Y43</f>
        <v/>
      </c>
      <c r="Z59" s="65">
        <f>SUM(Z2:Z57)-Z43</f>
        <v/>
      </c>
      <c r="AA59" s="65">
        <f>SUM(AA2:AA57)-AA43</f>
        <v/>
      </c>
      <c r="AB59" s="65">
        <f>SUM(AB2:AB57)-AB43</f>
        <v/>
      </c>
      <c r="AC59" s="65">
        <f>SUM(AC2:AC57)-AC43</f>
        <v/>
      </c>
      <c r="AD59" s="65">
        <f>SUM(AD2:AD57)-AD43</f>
        <v/>
      </c>
      <c r="AE59" s="65">
        <f>SUM(AE2:AE57)-AE43</f>
        <v/>
      </c>
      <c r="AF59" s="65">
        <f>SUM(AF2:AF57)-AF43</f>
        <v/>
      </c>
      <c r="AG59" s="65">
        <f>SUM(AG2:AG57)-AG43</f>
        <v/>
      </c>
      <c r="AH59" s="65">
        <f>SUM(AH2:AH57)-AH43</f>
        <v/>
      </c>
      <c r="AI59" s="65">
        <f>SUM(AI2:AI57)-AI43</f>
        <v/>
      </c>
      <c r="AJ59" s="65">
        <f>SUM(AJ2:AJ57)-AJ43</f>
        <v/>
      </c>
      <c r="AK59" s="65">
        <f>SUM(AK2:AK57)-AK43</f>
        <v/>
      </c>
      <c r="AL59" s="65">
        <f>SUM(AL2:AL57)-AL43</f>
        <v/>
      </c>
      <c r="AM59" s="65">
        <f>SUM(AM2:AM57)-AM43</f>
        <v/>
      </c>
      <c r="AN59" s="65">
        <f>SUM(AN2:AN57)-AN43</f>
        <v/>
      </c>
      <c r="AO59" s="65">
        <f>SUM(AO2:AO57)-AO43</f>
        <v/>
      </c>
      <c r="AP59" s="65">
        <f>SUM(AP2:AP57)-AP43</f>
        <v/>
      </c>
      <c r="AQ59" s="65">
        <f>SUM(AQ2:AQ57)-AQ43</f>
        <v/>
      </c>
      <c r="AR59" s="65">
        <f>SUM(AR2:AR57)-AR43</f>
        <v/>
      </c>
      <c r="AS59" s="65">
        <f>SUM(AS2:AS57)-AS43</f>
        <v/>
      </c>
      <c r="AT59" s="65">
        <f>SUM(AT2:AT57)-AT43</f>
        <v/>
      </c>
      <c r="AU59" s="65">
        <f>SUM(AU2:AU57)-AU43</f>
        <v/>
      </c>
      <c r="AV59" s="65">
        <f>SUM(AV2:AV57)-AV43</f>
        <v/>
      </c>
      <c r="AW59" s="65">
        <f>SUM(AW2:AW57)-AW43</f>
        <v/>
      </c>
      <c r="AX59" s="65">
        <f>SUM(AX2:AX57)-AX43</f>
        <v/>
      </c>
      <c r="AY59" s="65">
        <f>SUM(AY2:AY57)-AY43</f>
        <v/>
      </c>
      <c r="AZ59" s="65">
        <f>SUM(AZ2:AZ57)-AZ43</f>
        <v/>
      </c>
      <c r="BA59" s="65">
        <f>SUM(BA2:BA57)-BA43</f>
        <v/>
      </c>
      <c r="BB59" s="65">
        <f>SUM(BB2:BB57)-BB43</f>
        <v/>
      </c>
      <c r="BC59" s="65">
        <f>SUM(BC2:BC57)-BC43</f>
        <v/>
      </c>
      <c r="BD59" s="65">
        <f>SUM(BD2:BD57)-BD43</f>
        <v/>
      </c>
      <c r="BE59" s="65">
        <f>SUM(BE2:BE57)-BE43</f>
        <v/>
      </c>
      <c r="BF59" s="65">
        <f>SUM(BF2:BF57)-BF43</f>
        <v/>
      </c>
      <c r="BG59" s="65">
        <f>SUM(BG2:BG57)-BG43</f>
        <v/>
      </c>
      <c r="BH59" s="65">
        <f>SUM(BH2:BH57)-BH43</f>
        <v/>
      </c>
      <c r="BI59" s="65">
        <f>SUM(BI2:BI57)-BI43</f>
        <v/>
      </c>
      <c r="BJ59" s="65">
        <f>SUM(BJ2:BJ57)-BJ43</f>
        <v/>
      </c>
      <c r="BK59" s="65">
        <f>SUM(BK2:BK57)-BK43</f>
        <v/>
      </c>
      <c r="BL59" s="65">
        <f>SUM(BL2:BL57)-BL43</f>
        <v/>
      </c>
      <c r="BM59" s="65">
        <f>SUM(BM2:BM57)-BM43</f>
        <v/>
      </c>
      <c r="BN59" s="65">
        <f>SUM(BN2:BN57)-BN43</f>
        <v/>
      </c>
      <c r="BO59" s="65">
        <f>SUM(BO2:BO57)-BO43</f>
        <v/>
      </c>
      <c r="BP59" s="65">
        <f>SUM(BP2:BP57)-BP43</f>
        <v/>
      </c>
      <c r="BQ59" s="65">
        <f>SUM(BQ2:BQ57)-BQ43</f>
        <v/>
      </c>
      <c r="BR59" s="65">
        <f>SUM(BR2:BR57)-BR43</f>
        <v/>
      </c>
      <c r="BS59" s="65">
        <f>SUM(BS2:BS57)-BS43</f>
        <v/>
      </c>
      <c r="BT59" s="65">
        <f>SUM(BT2:BT57)-BT43</f>
        <v/>
      </c>
      <c r="BU59" s="65">
        <f>SUM(BU2:BU57)-BU43</f>
        <v/>
      </c>
      <c r="BV59" s="65">
        <f>SUM(BV2:BV57)-BV43</f>
        <v/>
      </c>
      <c r="BW59" s="65">
        <f>SUM(BW2:BW57)-BW43</f>
        <v/>
      </c>
      <c r="BX59" s="65">
        <f>SUM(BX2:BX57)-BX43</f>
        <v/>
      </c>
      <c r="BY59" s="65">
        <f>SUM(BY2:BY57)-BY43</f>
        <v/>
      </c>
      <c r="BZ59" s="65">
        <f>SUM(BZ2:BZ57)-BZ43</f>
        <v/>
      </c>
      <c r="CA59" s="65">
        <f>SUM(CA2:CA57)-CA43</f>
        <v/>
      </c>
    </row>
    <row r="60">
      <c r="C60" s="47" t="inlineStr">
        <is>
          <t>TAXA DE ADMINISTRAÇÃO (INCC)</t>
        </is>
      </c>
      <c r="D60" s="65">
        <f>D43</f>
        <v/>
      </c>
      <c r="E60" s="65">
        <f>E43</f>
        <v/>
      </c>
      <c r="H60" s="65">
        <f>H43</f>
        <v/>
      </c>
      <c r="I60" s="65">
        <f>I43</f>
        <v/>
      </c>
      <c r="J60" s="65">
        <f>J43</f>
        <v/>
      </c>
      <c r="K60" s="65">
        <f>K43</f>
        <v/>
      </c>
      <c r="L60" s="65">
        <f>L43</f>
        <v/>
      </c>
      <c r="M60" s="65">
        <f>M43</f>
        <v/>
      </c>
      <c r="N60" s="65">
        <f>N43</f>
        <v/>
      </c>
      <c r="O60" s="65">
        <f>O43</f>
        <v/>
      </c>
      <c r="P60" s="65">
        <f>P43</f>
        <v/>
      </c>
      <c r="Q60" s="65">
        <f>Q43</f>
        <v/>
      </c>
      <c r="R60" s="65">
        <f>R43</f>
        <v/>
      </c>
      <c r="S60" s="65">
        <f>S43</f>
        <v/>
      </c>
      <c r="T60" s="65">
        <f>T43</f>
        <v/>
      </c>
      <c r="U60" s="65">
        <f>U43</f>
        <v/>
      </c>
      <c r="V60" s="65">
        <f>V43</f>
        <v/>
      </c>
      <c r="W60" s="65">
        <f>W43</f>
        <v/>
      </c>
      <c r="X60" s="65">
        <f>X43</f>
        <v/>
      </c>
      <c r="Y60" s="65">
        <f>Y43</f>
        <v/>
      </c>
      <c r="Z60" s="65">
        <f>Z43</f>
        <v/>
      </c>
      <c r="AA60" s="65">
        <f>AA43</f>
        <v/>
      </c>
      <c r="AB60" s="65">
        <f>AB43</f>
        <v/>
      </c>
      <c r="AC60" s="65">
        <f>AC43</f>
        <v/>
      </c>
      <c r="AD60" s="65">
        <f>AD43</f>
        <v/>
      </c>
      <c r="AE60" s="65">
        <f>AE43</f>
        <v/>
      </c>
      <c r="AF60" s="65">
        <f>AF43</f>
        <v/>
      </c>
      <c r="AG60" s="65">
        <f>AG43</f>
        <v/>
      </c>
      <c r="AH60" s="65">
        <f>AH43</f>
        <v/>
      </c>
      <c r="AI60" s="65">
        <f>AI43</f>
        <v/>
      </c>
      <c r="AJ60" s="65">
        <f>AJ43</f>
        <v/>
      </c>
      <c r="AK60" s="65">
        <f>AK43</f>
        <v/>
      </c>
      <c r="AL60" s="65">
        <f>AL43</f>
        <v/>
      </c>
      <c r="AM60" s="65">
        <f>AM43</f>
        <v/>
      </c>
      <c r="AN60" s="65">
        <f>AN43</f>
        <v/>
      </c>
      <c r="AO60" s="65">
        <f>AO43</f>
        <v/>
      </c>
      <c r="AP60" s="65">
        <f>AP43</f>
        <v/>
      </c>
      <c r="AQ60" s="65">
        <f>AQ43</f>
        <v/>
      </c>
      <c r="AR60" s="65">
        <f>AR43</f>
        <v/>
      </c>
      <c r="AS60" s="65">
        <f>AS43</f>
        <v/>
      </c>
      <c r="AT60" s="65">
        <f>AT43</f>
        <v/>
      </c>
      <c r="AU60" s="65">
        <f>AU43</f>
        <v/>
      </c>
      <c r="AV60" s="65">
        <f>AV43</f>
        <v/>
      </c>
      <c r="AW60" s="65">
        <f>AW43</f>
        <v/>
      </c>
      <c r="AX60" s="65">
        <f>AX43</f>
        <v/>
      </c>
      <c r="AY60" s="65">
        <f>AY43</f>
        <v/>
      </c>
      <c r="AZ60" s="65">
        <f>AZ43</f>
        <v/>
      </c>
      <c r="BA60" s="65">
        <f>BA43</f>
        <v/>
      </c>
      <c r="BB60" s="65">
        <f>BB43</f>
        <v/>
      </c>
      <c r="BC60" s="65">
        <f>BC43</f>
        <v/>
      </c>
      <c r="BD60" s="65">
        <f>BD43</f>
        <v/>
      </c>
      <c r="BE60" s="65">
        <f>BE43</f>
        <v/>
      </c>
      <c r="BF60" s="65">
        <f>BF43</f>
        <v/>
      </c>
      <c r="BG60" s="65">
        <f>BG43</f>
        <v/>
      </c>
      <c r="BH60" s="65">
        <f>BH43</f>
        <v/>
      </c>
      <c r="BI60" s="65">
        <f>BI43</f>
        <v/>
      </c>
      <c r="BJ60" s="65">
        <f>BJ43</f>
        <v/>
      </c>
      <c r="BK60" s="65">
        <f>BK43</f>
        <v/>
      </c>
      <c r="BL60" s="65">
        <f>BL43</f>
        <v/>
      </c>
      <c r="BM60" s="65">
        <f>BM43</f>
        <v/>
      </c>
      <c r="BN60" s="65">
        <f>BN43</f>
        <v/>
      </c>
      <c r="BO60" s="65">
        <f>BO43</f>
        <v/>
      </c>
      <c r="BP60" s="65">
        <f>BP43</f>
        <v/>
      </c>
      <c r="BQ60" s="65">
        <f>BQ43</f>
        <v/>
      </c>
      <c r="BR60" s="65">
        <f>BR43</f>
        <v/>
      </c>
      <c r="BS60" s="65">
        <f>BS43</f>
        <v/>
      </c>
      <c r="BT60" s="65">
        <f>BT43</f>
        <v/>
      </c>
      <c r="BU60" s="65">
        <f>BU43</f>
        <v/>
      </c>
      <c r="BV60" s="65">
        <f>BV43</f>
        <v/>
      </c>
      <c r="BW60" s="65">
        <f>BW43</f>
        <v/>
      </c>
      <c r="BX60" s="65">
        <f>BX43</f>
        <v/>
      </c>
      <c r="BY60" s="65">
        <f>BY43</f>
        <v/>
      </c>
      <c r="BZ60" s="65">
        <f>BZ43</f>
        <v/>
      </c>
      <c r="CA60" s="65">
        <f>CA43</f>
        <v/>
      </c>
    </row>
    <row r="61">
      <c r="C61" s="47" t="inlineStr">
        <is>
          <t>TOTAL (INCC)</t>
        </is>
      </c>
      <c r="D61" s="65">
        <f>D59+D60</f>
        <v/>
      </c>
      <c r="E61" s="65">
        <f>E59+E60</f>
        <v/>
      </c>
      <c r="H61" s="65">
        <f>H59+H60</f>
        <v/>
      </c>
      <c r="I61" s="65">
        <f>I59+I60</f>
        <v/>
      </c>
      <c r="J61" s="65">
        <f>J59+J60</f>
        <v/>
      </c>
      <c r="K61" s="65">
        <f>K59+K60</f>
        <v/>
      </c>
      <c r="L61" s="65">
        <f>L59+L60</f>
        <v/>
      </c>
      <c r="M61" s="65">
        <f>M59+M60</f>
        <v/>
      </c>
      <c r="N61" s="65">
        <f>N59+N60</f>
        <v/>
      </c>
      <c r="O61" s="65">
        <f>O59+O60</f>
        <v/>
      </c>
      <c r="P61" s="65">
        <f>P59+P60</f>
        <v/>
      </c>
      <c r="Q61" s="65">
        <f>Q59+Q60</f>
        <v/>
      </c>
      <c r="R61" s="65">
        <f>R59+R60</f>
        <v/>
      </c>
      <c r="S61" s="65">
        <f>S59+S60</f>
        <v/>
      </c>
      <c r="T61" s="65">
        <f>T59+T60</f>
        <v/>
      </c>
      <c r="U61" s="65">
        <f>U59+U60</f>
        <v/>
      </c>
      <c r="V61" s="65">
        <f>V59+V60</f>
        <v/>
      </c>
      <c r="W61" s="65">
        <f>W59+W60</f>
        <v/>
      </c>
      <c r="X61" s="65">
        <f>X59+X60</f>
        <v/>
      </c>
      <c r="Y61" s="65">
        <f>Y59+Y60</f>
        <v/>
      </c>
      <c r="Z61" s="65">
        <f>Z59+Z60</f>
        <v/>
      </c>
      <c r="AA61" s="65">
        <f>AA59+AA60</f>
        <v/>
      </c>
      <c r="AB61" s="65">
        <f>AB59+AB60</f>
        <v/>
      </c>
      <c r="AC61" s="65">
        <f>AC59+AC60</f>
        <v/>
      </c>
      <c r="AD61" s="65">
        <f>AD59+AD60</f>
        <v/>
      </c>
      <c r="AE61" s="65">
        <f>AE59+AE60</f>
        <v/>
      </c>
      <c r="AF61" s="65">
        <f>AF59+AF60</f>
        <v/>
      </c>
      <c r="AG61" s="65">
        <f>AG59+AG60</f>
        <v/>
      </c>
      <c r="AH61" s="65">
        <f>AH59+AH60</f>
        <v/>
      </c>
      <c r="AI61" s="65">
        <f>AI59+AI60</f>
        <v/>
      </c>
      <c r="AJ61" s="65">
        <f>AJ59+AJ60</f>
        <v/>
      </c>
      <c r="AK61" s="65">
        <f>AK59+AK60</f>
        <v/>
      </c>
      <c r="AL61" s="65">
        <f>AL59+AL60</f>
        <v/>
      </c>
      <c r="AM61" s="65">
        <f>AM59+AM60</f>
        <v/>
      </c>
      <c r="AN61" s="65">
        <f>AN59+AN60</f>
        <v/>
      </c>
      <c r="AO61" s="65">
        <f>AO59+AO60</f>
        <v/>
      </c>
      <c r="AP61" s="65">
        <f>AP59+AP60</f>
        <v/>
      </c>
      <c r="AQ61" s="65">
        <f>AQ59+AQ60</f>
        <v/>
      </c>
      <c r="AR61" s="65">
        <f>AR59+AR60</f>
        <v/>
      </c>
      <c r="AS61" s="65">
        <f>AS59+AS60</f>
        <v/>
      </c>
      <c r="AT61" s="65">
        <f>AT59+AT60</f>
        <v/>
      </c>
      <c r="AU61" s="65">
        <f>AU59+AU60</f>
        <v/>
      </c>
      <c r="AV61" s="65">
        <f>AV59+AV60</f>
        <v/>
      </c>
      <c r="AW61" s="65">
        <f>AW59+AW60</f>
        <v/>
      </c>
      <c r="AX61" s="65">
        <f>AX59+AX60</f>
        <v/>
      </c>
      <c r="AY61" s="65">
        <f>AY59+AY60</f>
        <v/>
      </c>
      <c r="AZ61" s="65">
        <f>AZ59+AZ60</f>
        <v/>
      </c>
      <c r="BA61" s="65">
        <f>BA59+BA60</f>
        <v/>
      </c>
      <c r="BB61" s="65">
        <f>BB59+BB60</f>
        <v/>
      </c>
      <c r="BC61" s="65">
        <f>BC59+BC60</f>
        <v/>
      </c>
      <c r="BD61" s="65">
        <f>BD59+BD60</f>
        <v/>
      </c>
      <c r="BE61" s="65">
        <f>BE59+BE60</f>
        <v/>
      </c>
      <c r="BF61" s="65">
        <f>BF59+BF60</f>
        <v/>
      </c>
      <c r="BG61" s="65">
        <f>BG59+BG60</f>
        <v/>
      </c>
      <c r="BH61" s="65">
        <f>BH59+BH60</f>
        <v/>
      </c>
      <c r="BI61" s="65">
        <f>BI59+BI60</f>
        <v/>
      </c>
      <c r="BJ61" s="65">
        <f>BJ59+BJ60</f>
        <v/>
      </c>
      <c r="BK61" s="65">
        <f>BK59+BK60</f>
        <v/>
      </c>
      <c r="BL61" s="65">
        <f>BL59+BL60</f>
        <v/>
      </c>
      <c r="BM61" s="65">
        <f>BM59+BM60</f>
        <v/>
      </c>
      <c r="BN61" s="65">
        <f>BN59+BN60</f>
        <v/>
      </c>
      <c r="BO61" s="65">
        <f>BO59+BO60</f>
        <v/>
      </c>
      <c r="BP61" s="65">
        <f>BP59+BP60</f>
        <v/>
      </c>
      <c r="BQ61" s="65">
        <f>BQ59+BQ60</f>
        <v/>
      </c>
      <c r="BR61" s="65">
        <f>BR59+BR60</f>
        <v/>
      </c>
      <c r="BS61" s="65">
        <f>BS59+BS60</f>
        <v/>
      </c>
      <c r="BT61" s="65">
        <f>BT59+BT60</f>
        <v/>
      </c>
      <c r="BU61" s="65">
        <f>BU59+BU60</f>
        <v/>
      </c>
      <c r="BV61" s="65">
        <f>BV59+BV60</f>
        <v/>
      </c>
      <c r="BW61" s="65">
        <f>BW59+BW60</f>
        <v/>
      </c>
      <c r="BX61" s="65">
        <f>BX59+BX60</f>
        <v/>
      </c>
      <c r="BY61" s="65">
        <f>BY59+BY60</f>
        <v/>
      </c>
      <c r="BZ61" s="65">
        <f>BZ59+BZ60</f>
        <v/>
      </c>
      <c r="CA61" s="65">
        <f>CA59+CA60</f>
        <v/>
      </c>
    </row>
    <row r="62">
      <c r="C62" s="61">
        <f>"INCORRIDO ATÉ -&gt; "&amp;TEXT('VALOR POR PL'!$P$5,"mm/aaaa")</f>
        <v/>
      </c>
    </row>
    <row r="63">
      <c r="C63" s="47" t="inlineStr">
        <is>
          <t>CURVA MENSAL (R$ nominal)</t>
        </is>
      </c>
      <c r="E63" s="109">
        <f>SUM(H63:CA63)</f>
        <v/>
      </c>
      <c r="H63" s="55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5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5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5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5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5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5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5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5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5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5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5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5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5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5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5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5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5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5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5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5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5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5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5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5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5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5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5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5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5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5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5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5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5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5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5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5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5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5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5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5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5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5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5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5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5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5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5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5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5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5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5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5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5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5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5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5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5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5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5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5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5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5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5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5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5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5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5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5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5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5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5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7" t="inlineStr">
        <is>
          <t>CURVA ACUMULADA (R$ nominal)</t>
        </is>
      </c>
      <c r="E64" s="109">
        <f>CA64</f>
        <v/>
      </c>
      <c r="H64" s="55">
        <f>H63</f>
        <v/>
      </c>
      <c r="I64" s="55">
        <f>H64+I63</f>
        <v/>
      </c>
      <c r="J64" s="55">
        <f>I64+J63</f>
        <v/>
      </c>
      <c r="K64" s="55">
        <f>J64+K63</f>
        <v/>
      </c>
      <c r="L64" s="55">
        <f>K64+L63</f>
        <v/>
      </c>
      <c r="M64" s="55">
        <f>L64+M63</f>
        <v/>
      </c>
      <c r="N64" s="55">
        <f>M64+N63</f>
        <v/>
      </c>
      <c r="O64" s="55">
        <f>N64+O63</f>
        <v/>
      </c>
      <c r="P64" s="55">
        <f>O64+P63</f>
        <v/>
      </c>
      <c r="Q64" s="55">
        <f>P64+Q63</f>
        <v/>
      </c>
      <c r="R64" s="55">
        <f>Q64+R63</f>
        <v/>
      </c>
      <c r="S64" s="55">
        <f>R64+S63</f>
        <v/>
      </c>
      <c r="T64" s="55">
        <f>S64+T63</f>
        <v/>
      </c>
      <c r="U64" s="55">
        <f>T64+U63</f>
        <v/>
      </c>
      <c r="V64" s="55">
        <f>U64+V63</f>
        <v/>
      </c>
      <c r="W64" s="55">
        <f>V64+W63</f>
        <v/>
      </c>
      <c r="X64" s="55">
        <f>W64+X63</f>
        <v/>
      </c>
      <c r="Y64" s="55">
        <f>X64+Y63</f>
        <v/>
      </c>
      <c r="Z64" s="55">
        <f>Y64+Z63</f>
        <v/>
      </c>
      <c r="AA64" s="55">
        <f>Z64+AA63</f>
        <v/>
      </c>
      <c r="AB64" s="55">
        <f>AA64+AB63</f>
        <v/>
      </c>
      <c r="AC64" s="55">
        <f>AB64+AC63</f>
        <v/>
      </c>
      <c r="AD64" s="55">
        <f>AC64+AD63</f>
        <v/>
      </c>
      <c r="AE64" s="55">
        <f>AD64+AE63</f>
        <v/>
      </c>
      <c r="AF64" s="55">
        <f>AE64+AF63</f>
        <v/>
      </c>
      <c r="AG64" s="55">
        <f>AF64+AG63</f>
        <v/>
      </c>
      <c r="AH64" s="55">
        <f>AG64+AH63</f>
        <v/>
      </c>
      <c r="AI64" s="55">
        <f>AH64+AI63</f>
        <v/>
      </c>
      <c r="AJ64" s="55">
        <f>AI64+AJ63</f>
        <v/>
      </c>
      <c r="AK64" s="55">
        <f>AJ64+AK63</f>
        <v/>
      </c>
      <c r="AL64" s="55">
        <f>AK64+AL63</f>
        <v/>
      </c>
      <c r="AM64" s="55">
        <f>AL64+AM63</f>
        <v/>
      </c>
      <c r="AN64" s="55">
        <f>AM64+AN63</f>
        <v/>
      </c>
      <c r="AO64" s="55">
        <f>AN64+AO63</f>
        <v/>
      </c>
      <c r="AP64" s="55">
        <f>AO64+AP63</f>
        <v/>
      </c>
      <c r="AQ64" s="55">
        <f>AP64+AQ63</f>
        <v/>
      </c>
      <c r="AR64" s="55">
        <f>AQ64+AR63</f>
        <v/>
      </c>
      <c r="AS64" s="55">
        <f>AR64+AS63</f>
        <v/>
      </c>
      <c r="AT64" s="55">
        <f>AS64+AT63</f>
        <v/>
      </c>
      <c r="AU64" s="55">
        <f>AT64+AU63</f>
        <v/>
      </c>
      <c r="AV64" s="55">
        <f>AU64+AV63</f>
        <v/>
      </c>
      <c r="AW64" s="55">
        <f>AV64+AW63</f>
        <v/>
      </c>
      <c r="AX64" s="55">
        <f>AW64+AX63</f>
        <v/>
      </c>
      <c r="AY64" s="55">
        <f>AX64+AY63</f>
        <v/>
      </c>
      <c r="AZ64" s="55">
        <f>AY64+AZ63</f>
        <v/>
      </c>
      <c r="BA64" s="55">
        <f>AZ64+BA63</f>
        <v/>
      </c>
      <c r="BB64" s="55">
        <f>BA64+BB63</f>
        <v/>
      </c>
      <c r="BC64" s="55">
        <f>BB64+BC63</f>
        <v/>
      </c>
      <c r="BD64" s="55">
        <f>BC64+BD63</f>
        <v/>
      </c>
      <c r="BE64" s="55">
        <f>BD64+BE63</f>
        <v/>
      </c>
      <c r="BF64" s="55">
        <f>BE64+BF63</f>
        <v/>
      </c>
      <c r="BG64" s="55">
        <f>BF64+BG63</f>
        <v/>
      </c>
      <c r="BH64" s="55">
        <f>BG64+BH63</f>
        <v/>
      </c>
      <c r="BI64" s="55">
        <f>BH64+BI63</f>
        <v/>
      </c>
      <c r="BJ64" s="55">
        <f>BI64+BJ63</f>
        <v/>
      </c>
      <c r="BK64" s="55">
        <f>BJ64+BK63</f>
        <v/>
      </c>
      <c r="BL64" s="55">
        <f>BK64+BL63</f>
        <v/>
      </c>
      <c r="BM64" s="55">
        <f>BL64+BM63</f>
        <v/>
      </c>
      <c r="BN64" s="55">
        <f>BM64+BN63</f>
        <v/>
      </c>
      <c r="BO64" s="55">
        <f>BN64+BO63</f>
        <v/>
      </c>
      <c r="BP64" s="55">
        <f>BO64+BP63</f>
        <v/>
      </c>
      <c r="BQ64" s="55">
        <f>BP64+BQ63</f>
        <v/>
      </c>
      <c r="BR64" s="55">
        <f>BQ64+BR63</f>
        <v/>
      </c>
      <c r="BS64" s="55">
        <f>BR64+BS63</f>
        <v/>
      </c>
      <c r="BT64" s="55">
        <f>BS64+BT63</f>
        <v/>
      </c>
      <c r="BU64" s="55">
        <f>BT64+BU63</f>
        <v/>
      </c>
      <c r="BV64" s="55">
        <f>BU64+BV63</f>
        <v/>
      </c>
      <c r="BW64" s="55">
        <f>BV64+BW63</f>
        <v/>
      </c>
      <c r="BX64" s="55">
        <f>BW64+BX63</f>
        <v/>
      </c>
      <c r="BY64" s="55">
        <f>BX64+BY63</f>
        <v/>
      </c>
      <c r="BZ64" s="55">
        <f>BY64+BZ63</f>
        <v/>
      </c>
      <c r="CA64" s="55">
        <f>BZ64+CA63</f>
        <v/>
      </c>
    </row>
    <row r="65">
      <c r="C65" s="47" t="inlineStr">
        <is>
          <t>% ACUMULADO DA PROJEÇÃO</t>
        </is>
      </c>
      <c r="H65" s="110">
        <f>IF('VALOR POR PL'!$L$50=0,0,H64/'VALOR POR PL'!$L$50)</f>
        <v/>
      </c>
      <c r="I65" s="110">
        <f>IF('VALOR POR PL'!$L$50=0,0,I64/'VALOR POR PL'!$L$50)</f>
        <v/>
      </c>
      <c r="J65" s="110">
        <f>IF('VALOR POR PL'!$L$50=0,0,J64/'VALOR POR PL'!$L$50)</f>
        <v/>
      </c>
      <c r="K65" s="110">
        <f>IF('VALOR POR PL'!$L$50=0,0,K64/'VALOR POR PL'!$L$50)</f>
        <v/>
      </c>
      <c r="L65" s="110">
        <f>IF('VALOR POR PL'!$L$50=0,0,L64/'VALOR POR PL'!$L$50)</f>
        <v/>
      </c>
      <c r="M65" s="110">
        <f>IF('VALOR POR PL'!$L$50=0,0,M64/'VALOR POR PL'!$L$50)</f>
        <v/>
      </c>
      <c r="N65" s="110">
        <f>IF('VALOR POR PL'!$L$50=0,0,N64/'VALOR POR PL'!$L$50)</f>
        <v/>
      </c>
      <c r="O65" s="110">
        <f>IF('VALOR POR PL'!$L$50=0,0,O64/'VALOR POR PL'!$L$50)</f>
        <v/>
      </c>
      <c r="P65" s="110">
        <f>IF('VALOR POR PL'!$L$50=0,0,P64/'VALOR POR PL'!$L$50)</f>
        <v/>
      </c>
      <c r="Q65" s="110">
        <f>IF('VALOR POR PL'!$L$50=0,0,Q64/'VALOR POR PL'!$L$50)</f>
        <v/>
      </c>
      <c r="R65" s="110">
        <f>IF('VALOR POR PL'!$L$50=0,0,R64/'VALOR POR PL'!$L$50)</f>
        <v/>
      </c>
      <c r="S65" s="110">
        <f>IF('VALOR POR PL'!$L$50=0,0,S64/'VALOR POR PL'!$L$50)</f>
        <v/>
      </c>
      <c r="T65" s="110">
        <f>IF('VALOR POR PL'!$L$50=0,0,T64/'VALOR POR PL'!$L$50)</f>
        <v/>
      </c>
      <c r="U65" s="110">
        <f>IF('VALOR POR PL'!$L$50=0,0,U64/'VALOR POR PL'!$L$50)</f>
        <v/>
      </c>
      <c r="V65" s="110">
        <f>IF('VALOR POR PL'!$L$50=0,0,V64/'VALOR POR PL'!$L$50)</f>
        <v/>
      </c>
      <c r="W65" s="110">
        <f>IF('VALOR POR PL'!$L$50=0,0,W64/'VALOR POR PL'!$L$50)</f>
        <v/>
      </c>
      <c r="X65" s="110">
        <f>IF('VALOR POR PL'!$L$50=0,0,X64/'VALOR POR PL'!$L$50)</f>
        <v/>
      </c>
      <c r="Y65" s="110">
        <f>IF('VALOR POR PL'!$L$50=0,0,Y64/'VALOR POR PL'!$L$50)</f>
        <v/>
      </c>
      <c r="Z65" s="110">
        <f>IF('VALOR POR PL'!$L$50=0,0,Z64/'VALOR POR PL'!$L$50)</f>
        <v/>
      </c>
      <c r="AA65" s="110">
        <f>IF('VALOR POR PL'!$L$50=0,0,AA64/'VALOR POR PL'!$L$50)</f>
        <v/>
      </c>
      <c r="AB65" s="110">
        <f>IF('VALOR POR PL'!$L$50=0,0,AB64/'VALOR POR PL'!$L$50)</f>
        <v/>
      </c>
      <c r="AC65" s="110">
        <f>IF('VALOR POR PL'!$L$50=0,0,AC64/'VALOR POR PL'!$L$50)</f>
        <v/>
      </c>
      <c r="AD65" s="110">
        <f>IF('VALOR POR PL'!$L$50=0,0,AD64/'VALOR POR PL'!$L$50)</f>
        <v/>
      </c>
      <c r="AE65" s="110">
        <f>IF('VALOR POR PL'!$L$50=0,0,AE64/'VALOR POR PL'!$L$50)</f>
        <v/>
      </c>
      <c r="AF65" s="110">
        <f>IF('VALOR POR PL'!$L$50=0,0,AF64/'VALOR POR PL'!$L$50)</f>
        <v/>
      </c>
      <c r="AG65" s="110">
        <f>IF('VALOR POR PL'!$L$50=0,0,AG64/'VALOR POR PL'!$L$50)</f>
        <v/>
      </c>
      <c r="AH65" s="110">
        <f>IF('VALOR POR PL'!$L$50=0,0,AH64/'VALOR POR PL'!$L$50)</f>
        <v/>
      </c>
      <c r="AI65" s="110">
        <f>IF('VALOR POR PL'!$L$50=0,0,AI64/'VALOR POR PL'!$L$50)</f>
        <v/>
      </c>
      <c r="AJ65" s="110">
        <f>IF('VALOR POR PL'!$L$50=0,0,AJ64/'VALOR POR PL'!$L$50)</f>
        <v/>
      </c>
      <c r="AK65" s="110">
        <f>IF('VALOR POR PL'!$L$50=0,0,AK64/'VALOR POR PL'!$L$50)</f>
        <v/>
      </c>
      <c r="AL65" s="110">
        <f>IF('VALOR POR PL'!$L$50=0,0,AL64/'VALOR POR PL'!$L$50)</f>
        <v/>
      </c>
      <c r="AM65" s="110">
        <f>IF('VALOR POR PL'!$L$50=0,0,AM64/'VALOR POR PL'!$L$50)</f>
        <v/>
      </c>
      <c r="AN65" s="110">
        <f>IF('VALOR POR PL'!$L$50=0,0,AN64/'VALOR POR PL'!$L$50)</f>
        <v/>
      </c>
      <c r="AO65" s="110">
        <f>IF('VALOR POR PL'!$L$50=0,0,AO64/'VALOR POR PL'!$L$50)</f>
        <v/>
      </c>
      <c r="AP65" s="110">
        <f>IF('VALOR POR PL'!$L$50=0,0,AP64/'VALOR POR PL'!$L$50)</f>
        <v/>
      </c>
      <c r="AQ65" s="110">
        <f>IF('VALOR POR PL'!$L$50=0,0,AQ64/'VALOR POR PL'!$L$50)</f>
        <v/>
      </c>
      <c r="AR65" s="110">
        <f>IF('VALOR POR PL'!$L$50=0,0,AR64/'VALOR POR PL'!$L$50)</f>
        <v/>
      </c>
      <c r="AS65" s="110">
        <f>IF('VALOR POR PL'!$L$50=0,0,AS64/'VALOR POR PL'!$L$50)</f>
        <v/>
      </c>
      <c r="AT65" s="110">
        <f>IF('VALOR POR PL'!$L$50=0,0,AT64/'VALOR POR PL'!$L$50)</f>
        <v/>
      </c>
      <c r="AU65" s="110">
        <f>IF('VALOR POR PL'!$L$50=0,0,AU64/'VALOR POR PL'!$L$50)</f>
        <v/>
      </c>
      <c r="AV65" s="110">
        <f>IF('VALOR POR PL'!$L$50=0,0,AV64/'VALOR POR PL'!$L$50)</f>
        <v/>
      </c>
      <c r="AW65" s="110">
        <f>IF('VALOR POR PL'!$L$50=0,0,AW64/'VALOR POR PL'!$L$50)</f>
        <v/>
      </c>
      <c r="AX65" s="110">
        <f>IF('VALOR POR PL'!$L$50=0,0,AX64/'VALOR POR PL'!$L$50)</f>
        <v/>
      </c>
      <c r="AY65" s="110">
        <f>IF('VALOR POR PL'!$L$50=0,0,AY64/'VALOR POR PL'!$L$50)</f>
        <v/>
      </c>
      <c r="AZ65" s="110">
        <f>IF('VALOR POR PL'!$L$50=0,0,AZ64/'VALOR POR PL'!$L$50)</f>
        <v/>
      </c>
      <c r="BA65" s="110">
        <f>IF('VALOR POR PL'!$L$50=0,0,BA64/'VALOR POR PL'!$L$50)</f>
        <v/>
      </c>
      <c r="BB65" s="110">
        <f>IF('VALOR POR PL'!$L$50=0,0,BB64/'VALOR POR PL'!$L$50)</f>
        <v/>
      </c>
      <c r="BC65" s="110">
        <f>IF('VALOR POR PL'!$L$50=0,0,BC64/'VALOR POR PL'!$L$50)</f>
        <v/>
      </c>
      <c r="BD65" s="110">
        <f>IF('VALOR POR PL'!$L$50=0,0,BD64/'VALOR POR PL'!$L$50)</f>
        <v/>
      </c>
      <c r="BE65" s="110">
        <f>IF('VALOR POR PL'!$L$50=0,0,BE64/'VALOR POR PL'!$L$50)</f>
        <v/>
      </c>
      <c r="BF65" s="110">
        <f>IF('VALOR POR PL'!$L$50=0,0,BF64/'VALOR POR PL'!$L$50)</f>
        <v/>
      </c>
      <c r="BG65" s="110">
        <f>IF('VALOR POR PL'!$L$50=0,0,BG64/'VALOR POR PL'!$L$50)</f>
        <v/>
      </c>
      <c r="BH65" s="110">
        <f>IF('VALOR POR PL'!$L$50=0,0,BH64/'VALOR POR PL'!$L$50)</f>
        <v/>
      </c>
      <c r="BI65" s="110">
        <f>IF('VALOR POR PL'!$L$50=0,0,BI64/'VALOR POR PL'!$L$50)</f>
        <v/>
      </c>
      <c r="BJ65" s="110">
        <f>IF('VALOR POR PL'!$L$50=0,0,BJ64/'VALOR POR PL'!$L$50)</f>
        <v/>
      </c>
      <c r="BK65" s="110">
        <f>IF('VALOR POR PL'!$L$50=0,0,BK64/'VALOR POR PL'!$L$50)</f>
        <v/>
      </c>
      <c r="BL65" s="110">
        <f>IF('VALOR POR PL'!$L$50=0,0,BL64/'VALOR POR PL'!$L$50)</f>
        <v/>
      </c>
      <c r="BM65" s="110">
        <f>IF('VALOR POR PL'!$L$50=0,0,BM64/'VALOR POR PL'!$L$50)</f>
        <v/>
      </c>
      <c r="BN65" s="110">
        <f>IF('VALOR POR PL'!$L$50=0,0,BN64/'VALOR POR PL'!$L$50)</f>
        <v/>
      </c>
      <c r="BO65" s="110">
        <f>IF('VALOR POR PL'!$L$50=0,0,BO64/'VALOR POR PL'!$L$50)</f>
        <v/>
      </c>
      <c r="BP65" s="110">
        <f>IF('VALOR POR PL'!$L$50=0,0,BP64/'VALOR POR PL'!$L$50)</f>
        <v/>
      </c>
      <c r="BQ65" s="110">
        <f>IF('VALOR POR PL'!$L$50=0,0,BQ64/'VALOR POR PL'!$L$50)</f>
        <v/>
      </c>
      <c r="BR65" s="110">
        <f>IF('VALOR POR PL'!$L$50=0,0,BR64/'VALOR POR PL'!$L$50)</f>
        <v/>
      </c>
      <c r="BS65" s="110">
        <f>IF('VALOR POR PL'!$L$50=0,0,BS64/'VALOR POR PL'!$L$50)</f>
        <v/>
      </c>
      <c r="BT65" s="110">
        <f>IF('VALOR POR PL'!$L$50=0,0,BT64/'VALOR POR PL'!$L$50)</f>
        <v/>
      </c>
      <c r="BU65" s="110">
        <f>IF('VALOR POR PL'!$L$50=0,0,BU64/'VALOR POR PL'!$L$50)</f>
        <v/>
      </c>
      <c r="BV65" s="110">
        <f>IF('VALOR POR PL'!$L$50=0,0,BV64/'VALOR POR PL'!$L$50)</f>
        <v/>
      </c>
      <c r="BW65" s="110">
        <f>IF('VALOR POR PL'!$L$50=0,0,BW64/'VALOR POR PL'!$L$50)</f>
        <v/>
      </c>
      <c r="BX65" s="110">
        <f>IF('VALOR POR PL'!$L$50=0,0,BX64/'VALOR POR PL'!$L$50)</f>
        <v/>
      </c>
      <c r="BY65" s="110">
        <f>IF('VALOR POR PL'!$L$50=0,0,BY64/'VALOR POR PL'!$L$50)</f>
        <v/>
      </c>
      <c r="BZ65" s="110">
        <f>IF('VALOR POR PL'!$L$50=0,0,BZ64/'VALOR POR PL'!$L$50)</f>
        <v/>
      </c>
      <c r="CA65" s="110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1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9" t="inlineStr">
        <is>
          <t>Mês</t>
        </is>
      </c>
      <c r="B3" s="59" t="inlineStr">
        <is>
          <t>Curva inicial
% mensal (informar)</t>
        </is>
      </c>
      <c r="C3" s="59" t="inlineStr">
        <is>
          <t>Curva inicial
% acumulado</t>
        </is>
      </c>
      <c r="D3" s="59" t="inlineStr">
        <is>
          <t>Realizado
(INCC)</t>
        </is>
      </c>
      <c r="E3" s="59" t="inlineStr">
        <is>
          <t>Previsto
(INCC)</t>
        </is>
      </c>
      <c r="F3" s="59" t="inlineStr">
        <is>
          <t>Atual
% mensal</t>
        </is>
      </c>
      <c r="G3" s="59" t="inlineStr">
        <is>
          <t>Atual
% acumulado</t>
        </is>
      </c>
      <c r="I3" s="59" t="inlineStr">
        <is>
          <t>Curva inicial
(INCC)</t>
        </is>
      </c>
      <c r="J3" s="59" t="inlineStr">
        <is>
          <t>Curva inicial
(R$)</t>
        </is>
      </c>
      <c r="K3" s="59" t="inlineStr">
        <is>
          <t>Atual
(R$ nominal)</t>
        </is>
      </c>
      <c r="L3" s="59" t="inlineStr">
        <is>
          <t>Atual acumulado
(R$ nominal)</t>
        </is>
      </c>
      <c r="M3" s="59" t="inlineStr">
        <is>
          <t>Inicial acumulado
(R$)</t>
        </is>
      </c>
      <c r="O3" s="66" t="inlineStr">
        <is>
          <t>Anotações (do arquivo original)</t>
        </is>
      </c>
    </row>
    <row r="4">
      <c r="A4" s="112">
        <f>'MODELO PARA BI'!H1</f>
        <v/>
      </c>
      <c r="B4" s="113" t="n"/>
      <c r="C4" s="110">
        <f>B4</f>
        <v/>
      </c>
      <c r="D4" s="63">
        <f>IF(A4&lt;='VALOR POR PL'!$P$5,'MODELO PARA BI'!H61,0)</f>
        <v/>
      </c>
      <c r="E4" s="63">
        <f>IF(A4&gt;'VALOR POR PL'!$P$5,'MODELO PARA BI'!H61,0)</f>
        <v/>
      </c>
      <c r="F4" s="110">
        <f>IF('MODELO PARA BI'!$E$61=0,0,(D4+E4)/'MODELO PARA BI'!$E$61)</f>
        <v/>
      </c>
      <c r="G4" s="110">
        <f>F4</f>
        <v/>
      </c>
      <c r="I4" s="50">
        <f>B4*'VALOR POR PL'!$G$50</f>
        <v/>
      </c>
      <c r="J4" s="55">
        <f>I4*IF(A4&lt;='VALOR POR PL'!$P$5,IFERROR(INDEX('"INCC-FGV"'!$B$2:$B$400,MATCH(A4,'"INCC-FGV"'!$A$2:$A$400,0)),'VALOR POR PL'!$P$7),'VALOR POR PL'!$P$7)</f>
        <v/>
      </c>
      <c r="K4" s="71">
        <f>'MODELO PARA BI'!H63</f>
        <v/>
      </c>
      <c r="L4" s="71">
        <f>'MODELO PARA BI'!H64</f>
        <v/>
      </c>
      <c r="M4" s="55">
        <f>J4</f>
        <v/>
      </c>
    </row>
    <row r="5">
      <c r="A5" s="112">
        <f>'MODELO PARA BI'!I1</f>
        <v/>
      </c>
      <c r="B5" s="113" t="n"/>
      <c r="C5" s="110">
        <f>C4+B5</f>
        <v/>
      </c>
      <c r="D5" s="63">
        <f>IF(A5&lt;='VALOR POR PL'!$P$5,'MODELO PARA BI'!I61,0)</f>
        <v/>
      </c>
      <c r="E5" s="63">
        <f>IF(A5&gt;'VALOR POR PL'!$P$5,'MODELO PARA BI'!I61,0)</f>
        <v/>
      </c>
      <c r="F5" s="110">
        <f>IF('MODELO PARA BI'!$E$61=0,0,(D5+E5)/'MODELO PARA BI'!$E$61)</f>
        <v/>
      </c>
      <c r="G5" s="110">
        <f>G4+F5</f>
        <v/>
      </c>
      <c r="I5" s="50">
        <f>B5*'VALOR POR PL'!$G$50</f>
        <v/>
      </c>
      <c r="J5" s="55">
        <f>I5*IF(A5&lt;='VALOR POR PL'!$P$5,IFERROR(INDEX('"INCC-FGV"'!$B$2:$B$400,MATCH(A5,'"INCC-FGV"'!$A$2:$A$400,0)),'VALOR POR PL'!$P$7),'VALOR POR PL'!$P$7)</f>
        <v/>
      </c>
      <c r="K5" s="71">
        <f>'MODELO PARA BI'!I63</f>
        <v/>
      </c>
      <c r="L5" s="71">
        <f>'MODELO PARA BI'!I64</f>
        <v/>
      </c>
      <c r="M5" s="55">
        <f>M4+J5</f>
        <v/>
      </c>
    </row>
    <row r="6">
      <c r="A6" s="112">
        <f>'MODELO PARA BI'!J1</f>
        <v/>
      </c>
      <c r="B6" s="113" t="n"/>
      <c r="C6" s="110">
        <f>C5+B6</f>
        <v/>
      </c>
      <c r="D6" s="63">
        <f>IF(A6&lt;='VALOR POR PL'!$P$5,'MODELO PARA BI'!J61,0)</f>
        <v/>
      </c>
      <c r="E6" s="63">
        <f>IF(A6&gt;'VALOR POR PL'!$P$5,'MODELO PARA BI'!J61,0)</f>
        <v/>
      </c>
      <c r="F6" s="110">
        <f>IF('MODELO PARA BI'!$E$61=0,0,(D6+E6)/'MODELO PARA BI'!$E$61)</f>
        <v/>
      </c>
      <c r="G6" s="110">
        <f>G5+F6</f>
        <v/>
      </c>
      <c r="I6" s="50">
        <f>B6*'VALOR POR PL'!$G$50</f>
        <v/>
      </c>
      <c r="J6" s="55">
        <f>I6*IF(A6&lt;='VALOR POR PL'!$P$5,IFERROR(INDEX('"INCC-FGV"'!$B$2:$B$400,MATCH(A6,'"INCC-FGV"'!$A$2:$A$400,0)),'VALOR POR PL'!$P$7),'VALOR POR PL'!$P$7)</f>
        <v/>
      </c>
      <c r="K6" s="71">
        <f>'MODELO PARA BI'!J63</f>
        <v/>
      </c>
      <c r="L6" s="71">
        <f>'MODELO PARA BI'!J64</f>
        <v/>
      </c>
      <c r="M6" s="55">
        <f>M5+J6</f>
        <v/>
      </c>
    </row>
    <row r="7">
      <c r="A7" s="112">
        <f>'MODELO PARA BI'!K1</f>
        <v/>
      </c>
      <c r="B7" s="113" t="n"/>
      <c r="C7" s="110">
        <f>C6+B7</f>
        <v/>
      </c>
      <c r="D7" s="63">
        <f>IF(A7&lt;='VALOR POR PL'!$P$5,'MODELO PARA BI'!K61,0)</f>
        <v/>
      </c>
      <c r="E7" s="63">
        <f>IF(A7&gt;'VALOR POR PL'!$P$5,'MODELO PARA BI'!K61,0)</f>
        <v/>
      </c>
      <c r="F7" s="110">
        <f>IF('MODELO PARA BI'!$E$61=0,0,(D7+E7)/'MODELO PARA BI'!$E$61)</f>
        <v/>
      </c>
      <c r="G7" s="110">
        <f>G6+F7</f>
        <v/>
      </c>
      <c r="I7" s="50">
        <f>B7*'VALOR POR PL'!$G$50</f>
        <v/>
      </c>
      <c r="J7" s="55">
        <f>I7*IF(A7&lt;='VALOR POR PL'!$P$5,IFERROR(INDEX('"INCC-FGV"'!$B$2:$B$400,MATCH(A7,'"INCC-FGV"'!$A$2:$A$400,0)),'VALOR POR PL'!$P$7),'VALOR POR PL'!$P$7)</f>
        <v/>
      </c>
      <c r="K7" s="71">
        <f>'MODELO PARA BI'!K63</f>
        <v/>
      </c>
      <c r="L7" s="71">
        <f>'MODELO PARA BI'!K64</f>
        <v/>
      </c>
      <c r="M7" s="55">
        <f>M6+J7</f>
        <v/>
      </c>
    </row>
    <row r="8">
      <c r="A8" s="112">
        <f>'MODELO PARA BI'!L1</f>
        <v/>
      </c>
      <c r="B8" s="113" t="n"/>
      <c r="C8" s="110">
        <f>C7+B8</f>
        <v/>
      </c>
      <c r="D8" s="63">
        <f>IF(A8&lt;='VALOR POR PL'!$P$5,'MODELO PARA BI'!L61,0)</f>
        <v/>
      </c>
      <c r="E8" s="63">
        <f>IF(A8&gt;'VALOR POR PL'!$P$5,'MODELO PARA BI'!L61,0)</f>
        <v/>
      </c>
      <c r="F8" s="110">
        <f>IF('MODELO PARA BI'!$E$61=0,0,(D8+E8)/'MODELO PARA BI'!$E$61)</f>
        <v/>
      </c>
      <c r="G8" s="110">
        <f>G7+F8</f>
        <v/>
      </c>
      <c r="I8" s="50">
        <f>B8*'VALOR POR PL'!$G$50</f>
        <v/>
      </c>
      <c r="J8" s="55">
        <f>I8*IF(A8&lt;='VALOR POR PL'!$P$5,IFERROR(INDEX('"INCC-FGV"'!$B$2:$B$400,MATCH(A8,'"INCC-FGV"'!$A$2:$A$400,0)),'VALOR POR PL'!$P$7),'VALOR POR PL'!$P$7)</f>
        <v/>
      </c>
      <c r="K8" s="71">
        <f>'MODELO PARA BI'!L63</f>
        <v/>
      </c>
      <c r="L8" s="71">
        <f>'MODELO PARA BI'!L64</f>
        <v/>
      </c>
      <c r="M8" s="55">
        <f>M7+J8</f>
        <v/>
      </c>
    </row>
    <row r="9">
      <c r="A9" s="112">
        <f>'MODELO PARA BI'!M1</f>
        <v/>
      </c>
      <c r="B9" s="113" t="n"/>
      <c r="C9" s="110">
        <f>C8+B9</f>
        <v/>
      </c>
      <c r="D9" s="63">
        <f>IF(A9&lt;='VALOR POR PL'!$P$5,'MODELO PARA BI'!M61,0)</f>
        <v/>
      </c>
      <c r="E9" s="63">
        <f>IF(A9&gt;'VALOR POR PL'!$P$5,'MODELO PARA BI'!M61,0)</f>
        <v/>
      </c>
      <c r="F9" s="110">
        <f>IF('MODELO PARA BI'!$E$61=0,0,(D9+E9)/'MODELO PARA BI'!$E$61)</f>
        <v/>
      </c>
      <c r="G9" s="110">
        <f>G8+F9</f>
        <v/>
      </c>
      <c r="I9" s="50">
        <f>B9*'VALOR POR PL'!$G$50</f>
        <v/>
      </c>
      <c r="J9" s="55">
        <f>I9*IF(A9&lt;='VALOR POR PL'!$P$5,IFERROR(INDEX('"INCC-FGV"'!$B$2:$B$400,MATCH(A9,'"INCC-FGV"'!$A$2:$A$400,0)),'VALOR POR PL'!$P$7),'VALOR POR PL'!$P$7)</f>
        <v/>
      </c>
      <c r="K9" s="71">
        <f>'MODELO PARA BI'!M63</f>
        <v/>
      </c>
      <c r="L9" s="71">
        <f>'MODELO PARA BI'!M64</f>
        <v/>
      </c>
      <c r="M9" s="55">
        <f>M8+J9</f>
        <v/>
      </c>
    </row>
    <row r="10">
      <c r="A10" s="112">
        <f>'MODELO PARA BI'!N1</f>
        <v/>
      </c>
      <c r="B10" s="113" t="n"/>
      <c r="C10" s="110">
        <f>C9+B10</f>
        <v/>
      </c>
      <c r="D10" s="63">
        <f>IF(A10&lt;='VALOR POR PL'!$P$5,'MODELO PARA BI'!N61,0)</f>
        <v/>
      </c>
      <c r="E10" s="63">
        <f>IF(A10&gt;'VALOR POR PL'!$P$5,'MODELO PARA BI'!N61,0)</f>
        <v/>
      </c>
      <c r="F10" s="110">
        <f>IF('MODELO PARA BI'!$E$61=0,0,(D10+E10)/'MODELO PARA BI'!$E$61)</f>
        <v/>
      </c>
      <c r="G10" s="110">
        <f>G9+F10</f>
        <v/>
      </c>
      <c r="I10" s="50">
        <f>B10*'VALOR POR PL'!$G$50</f>
        <v/>
      </c>
      <c r="J10" s="55">
        <f>I10*IF(A10&lt;='VALOR POR PL'!$P$5,IFERROR(INDEX('"INCC-FGV"'!$B$2:$B$400,MATCH(A10,'"INCC-FGV"'!$A$2:$A$400,0)),'VALOR POR PL'!$P$7),'VALOR POR PL'!$P$7)</f>
        <v/>
      </c>
      <c r="K10" s="71">
        <f>'MODELO PARA BI'!N63</f>
        <v/>
      </c>
      <c r="L10" s="71">
        <f>'MODELO PARA BI'!N64</f>
        <v/>
      </c>
      <c r="M10" s="55">
        <f>M9+J10</f>
        <v/>
      </c>
    </row>
    <row r="11">
      <c r="A11" s="112">
        <f>'MODELO PARA BI'!O1</f>
        <v/>
      </c>
      <c r="B11" s="113" t="n"/>
      <c r="C11" s="110">
        <f>C10+B11</f>
        <v/>
      </c>
      <c r="D11" s="63">
        <f>IF(A11&lt;='VALOR POR PL'!$P$5,'MODELO PARA BI'!O61,0)</f>
        <v/>
      </c>
      <c r="E11" s="63">
        <f>IF(A11&gt;'VALOR POR PL'!$P$5,'MODELO PARA BI'!O61,0)</f>
        <v/>
      </c>
      <c r="F11" s="110">
        <f>IF('MODELO PARA BI'!$E$61=0,0,(D11+E11)/'MODELO PARA BI'!$E$61)</f>
        <v/>
      </c>
      <c r="G11" s="110">
        <f>G10+F11</f>
        <v/>
      </c>
      <c r="I11" s="50">
        <f>B11*'VALOR POR PL'!$G$50</f>
        <v/>
      </c>
      <c r="J11" s="55">
        <f>I11*IF(A11&lt;='VALOR POR PL'!$P$5,IFERROR(INDEX('"INCC-FGV"'!$B$2:$B$400,MATCH(A11,'"INCC-FGV"'!$A$2:$A$400,0)),'VALOR POR PL'!$P$7),'VALOR POR PL'!$P$7)</f>
        <v/>
      </c>
      <c r="K11" s="71">
        <f>'MODELO PARA BI'!O63</f>
        <v/>
      </c>
      <c r="L11" s="71">
        <f>'MODELO PARA BI'!O64</f>
        <v/>
      </c>
      <c r="M11" s="55">
        <f>M10+J11</f>
        <v/>
      </c>
    </row>
    <row r="12">
      <c r="A12" s="112">
        <f>'MODELO PARA BI'!P1</f>
        <v/>
      </c>
      <c r="B12" s="113" t="n"/>
      <c r="C12" s="110">
        <f>C11+B12</f>
        <v/>
      </c>
      <c r="D12" s="63">
        <f>IF(A12&lt;='VALOR POR PL'!$P$5,'MODELO PARA BI'!P61,0)</f>
        <v/>
      </c>
      <c r="E12" s="63">
        <f>IF(A12&gt;'VALOR POR PL'!$P$5,'MODELO PARA BI'!P61,0)</f>
        <v/>
      </c>
      <c r="F12" s="110">
        <f>IF('MODELO PARA BI'!$E$61=0,0,(D12+E12)/'MODELO PARA BI'!$E$61)</f>
        <v/>
      </c>
      <c r="G12" s="110">
        <f>G11+F12</f>
        <v/>
      </c>
      <c r="I12" s="50">
        <f>B12*'VALOR POR PL'!$G$50</f>
        <v/>
      </c>
      <c r="J12" s="55">
        <f>I12*IF(A12&lt;='VALOR POR PL'!$P$5,IFERROR(INDEX('"INCC-FGV"'!$B$2:$B$400,MATCH(A12,'"INCC-FGV"'!$A$2:$A$400,0)),'VALOR POR PL'!$P$7),'VALOR POR PL'!$P$7)</f>
        <v/>
      </c>
      <c r="K12" s="71">
        <f>'MODELO PARA BI'!P63</f>
        <v/>
      </c>
      <c r="L12" s="71">
        <f>'MODELO PARA BI'!P64</f>
        <v/>
      </c>
      <c r="M12" s="55">
        <f>M11+J12</f>
        <v/>
      </c>
    </row>
    <row r="13">
      <c r="A13" s="112">
        <f>'MODELO PARA BI'!Q1</f>
        <v/>
      </c>
      <c r="B13" s="113" t="n"/>
      <c r="C13" s="110">
        <f>C12+B13</f>
        <v/>
      </c>
      <c r="D13" s="63">
        <f>IF(A13&lt;='VALOR POR PL'!$P$5,'MODELO PARA BI'!Q61,0)</f>
        <v/>
      </c>
      <c r="E13" s="63">
        <f>IF(A13&gt;'VALOR POR PL'!$P$5,'MODELO PARA BI'!Q61,0)</f>
        <v/>
      </c>
      <c r="F13" s="110">
        <f>IF('MODELO PARA BI'!$E$61=0,0,(D13+E13)/'MODELO PARA BI'!$E$61)</f>
        <v/>
      </c>
      <c r="G13" s="110">
        <f>G12+F13</f>
        <v/>
      </c>
      <c r="I13" s="50">
        <f>B13*'VALOR POR PL'!$G$50</f>
        <v/>
      </c>
      <c r="J13" s="55">
        <f>I13*IF(A13&lt;='VALOR POR PL'!$P$5,IFERROR(INDEX('"INCC-FGV"'!$B$2:$B$400,MATCH(A13,'"INCC-FGV"'!$A$2:$A$400,0)),'VALOR POR PL'!$P$7),'VALOR POR PL'!$P$7)</f>
        <v/>
      </c>
      <c r="K13" s="71">
        <f>'MODELO PARA BI'!Q63</f>
        <v/>
      </c>
      <c r="L13" s="71">
        <f>'MODELO PARA BI'!Q64</f>
        <v/>
      </c>
      <c r="M13" s="55">
        <f>M12+J13</f>
        <v/>
      </c>
    </row>
    <row r="14">
      <c r="A14" s="112">
        <f>'MODELO PARA BI'!R1</f>
        <v/>
      </c>
      <c r="B14" s="113" t="n"/>
      <c r="C14" s="110">
        <f>C13+B14</f>
        <v/>
      </c>
      <c r="D14" s="63">
        <f>IF(A14&lt;='VALOR POR PL'!$P$5,'MODELO PARA BI'!R61,0)</f>
        <v/>
      </c>
      <c r="E14" s="63">
        <f>IF(A14&gt;'VALOR POR PL'!$P$5,'MODELO PARA BI'!R61,0)</f>
        <v/>
      </c>
      <c r="F14" s="110">
        <f>IF('MODELO PARA BI'!$E$61=0,0,(D14+E14)/'MODELO PARA BI'!$E$61)</f>
        <v/>
      </c>
      <c r="G14" s="110">
        <f>G13+F14</f>
        <v/>
      </c>
      <c r="I14" s="50">
        <f>B14*'VALOR POR PL'!$G$50</f>
        <v/>
      </c>
      <c r="J14" s="55">
        <f>I14*IF(A14&lt;='VALOR POR PL'!$P$5,IFERROR(INDEX('"INCC-FGV"'!$B$2:$B$400,MATCH(A14,'"INCC-FGV"'!$A$2:$A$400,0)),'VALOR POR PL'!$P$7),'VALOR POR PL'!$P$7)</f>
        <v/>
      </c>
      <c r="K14" s="71">
        <f>'MODELO PARA BI'!R63</f>
        <v/>
      </c>
      <c r="L14" s="71">
        <f>'MODELO PARA BI'!R64</f>
        <v/>
      </c>
      <c r="M14" s="55">
        <f>M13+J14</f>
        <v/>
      </c>
    </row>
    <row r="15">
      <c r="A15" s="112">
        <f>'MODELO PARA BI'!S1</f>
        <v/>
      </c>
      <c r="B15" s="113" t="n"/>
      <c r="C15" s="110">
        <f>C14+B15</f>
        <v/>
      </c>
      <c r="D15" s="63">
        <f>IF(A15&lt;='VALOR POR PL'!$P$5,'MODELO PARA BI'!S61,0)</f>
        <v/>
      </c>
      <c r="E15" s="63">
        <f>IF(A15&gt;'VALOR POR PL'!$P$5,'MODELO PARA BI'!S61,0)</f>
        <v/>
      </c>
      <c r="F15" s="110">
        <f>IF('MODELO PARA BI'!$E$61=0,0,(D15+E15)/'MODELO PARA BI'!$E$61)</f>
        <v/>
      </c>
      <c r="G15" s="110">
        <f>G14+F15</f>
        <v/>
      </c>
      <c r="I15" s="50">
        <f>B15*'VALOR POR PL'!$G$50</f>
        <v/>
      </c>
      <c r="J15" s="55">
        <f>I15*IF(A15&lt;='VALOR POR PL'!$P$5,IFERROR(INDEX('"INCC-FGV"'!$B$2:$B$400,MATCH(A15,'"INCC-FGV"'!$A$2:$A$400,0)),'VALOR POR PL'!$P$7),'VALOR POR PL'!$P$7)</f>
        <v/>
      </c>
      <c r="K15" s="71">
        <f>'MODELO PARA BI'!S63</f>
        <v/>
      </c>
      <c r="L15" s="71">
        <f>'MODELO PARA BI'!S64</f>
        <v/>
      </c>
      <c r="M15" s="55">
        <f>M14+J15</f>
        <v/>
      </c>
    </row>
    <row r="16">
      <c r="A16" s="112">
        <f>'MODELO PARA BI'!T1</f>
        <v/>
      </c>
      <c r="B16" s="113" t="n"/>
      <c r="C16" s="110">
        <f>C15+B16</f>
        <v/>
      </c>
      <c r="D16" s="63">
        <f>IF(A16&lt;='VALOR POR PL'!$P$5,'MODELO PARA BI'!T61,0)</f>
        <v/>
      </c>
      <c r="E16" s="63">
        <f>IF(A16&gt;'VALOR POR PL'!$P$5,'MODELO PARA BI'!T61,0)</f>
        <v/>
      </c>
      <c r="F16" s="110">
        <f>IF('MODELO PARA BI'!$E$61=0,0,(D16+E16)/'MODELO PARA BI'!$E$61)</f>
        <v/>
      </c>
      <c r="G16" s="110">
        <f>G15+F16</f>
        <v/>
      </c>
      <c r="I16" s="50">
        <f>B16*'VALOR POR PL'!$G$50</f>
        <v/>
      </c>
      <c r="J16" s="55">
        <f>I16*IF(A16&lt;='VALOR POR PL'!$P$5,IFERROR(INDEX('"INCC-FGV"'!$B$2:$B$400,MATCH(A16,'"INCC-FGV"'!$A$2:$A$400,0)),'VALOR POR PL'!$P$7),'VALOR POR PL'!$P$7)</f>
        <v/>
      </c>
      <c r="K16" s="71">
        <f>'MODELO PARA BI'!T63</f>
        <v/>
      </c>
      <c r="L16" s="71">
        <f>'MODELO PARA BI'!T64</f>
        <v/>
      </c>
      <c r="M16" s="55">
        <f>M15+J16</f>
        <v/>
      </c>
    </row>
    <row r="17">
      <c r="A17" s="112">
        <f>'MODELO PARA BI'!U1</f>
        <v/>
      </c>
      <c r="B17" s="113" t="n"/>
      <c r="C17" s="110">
        <f>C16+B17</f>
        <v/>
      </c>
      <c r="D17" s="63">
        <f>IF(A17&lt;='VALOR POR PL'!$P$5,'MODELO PARA BI'!U61,0)</f>
        <v/>
      </c>
      <c r="E17" s="63">
        <f>IF(A17&gt;'VALOR POR PL'!$P$5,'MODELO PARA BI'!U61,0)</f>
        <v/>
      </c>
      <c r="F17" s="110">
        <f>IF('MODELO PARA BI'!$E$61=0,0,(D17+E17)/'MODELO PARA BI'!$E$61)</f>
        <v/>
      </c>
      <c r="G17" s="110">
        <f>G16+F17</f>
        <v/>
      </c>
      <c r="I17" s="50">
        <f>B17*'VALOR POR PL'!$G$50</f>
        <v/>
      </c>
      <c r="J17" s="55">
        <f>I17*IF(A17&lt;='VALOR POR PL'!$P$5,IFERROR(INDEX('"INCC-FGV"'!$B$2:$B$400,MATCH(A17,'"INCC-FGV"'!$A$2:$A$400,0)),'VALOR POR PL'!$P$7),'VALOR POR PL'!$P$7)</f>
        <v/>
      </c>
      <c r="K17" s="71">
        <f>'MODELO PARA BI'!U63</f>
        <v/>
      </c>
      <c r="L17" s="71">
        <f>'MODELO PARA BI'!U64</f>
        <v/>
      </c>
      <c r="M17" s="55">
        <f>M16+J17</f>
        <v/>
      </c>
    </row>
    <row r="18">
      <c r="A18" s="112">
        <f>'MODELO PARA BI'!V1</f>
        <v/>
      </c>
      <c r="B18" s="113" t="n"/>
      <c r="C18" s="110">
        <f>C17+B18</f>
        <v/>
      </c>
      <c r="D18" s="63">
        <f>IF(A18&lt;='VALOR POR PL'!$P$5,'MODELO PARA BI'!V61,0)</f>
        <v/>
      </c>
      <c r="E18" s="63">
        <f>IF(A18&gt;'VALOR POR PL'!$P$5,'MODELO PARA BI'!V61,0)</f>
        <v/>
      </c>
      <c r="F18" s="110">
        <f>IF('MODELO PARA BI'!$E$61=0,0,(D18+E18)/'MODELO PARA BI'!$E$61)</f>
        <v/>
      </c>
      <c r="G18" s="110">
        <f>G17+F18</f>
        <v/>
      </c>
      <c r="I18" s="50">
        <f>B18*'VALOR POR PL'!$G$50</f>
        <v/>
      </c>
      <c r="J18" s="55">
        <f>I18*IF(A18&lt;='VALOR POR PL'!$P$5,IFERROR(INDEX('"INCC-FGV"'!$B$2:$B$400,MATCH(A18,'"INCC-FGV"'!$A$2:$A$400,0)),'VALOR POR PL'!$P$7),'VALOR POR PL'!$P$7)</f>
        <v/>
      </c>
      <c r="K18" s="71">
        <f>'MODELO PARA BI'!V63</f>
        <v/>
      </c>
      <c r="L18" s="71">
        <f>'MODELO PARA BI'!V64</f>
        <v/>
      </c>
      <c r="M18" s="55">
        <f>M17+J18</f>
        <v/>
      </c>
    </row>
    <row r="19">
      <c r="A19" s="112">
        <f>'MODELO PARA BI'!W1</f>
        <v/>
      </c>
      <c r="B19" s="113" t="n"/>
      <c r="C19" s="110">
        <f>C18+B19</f>
        <v/>
      </c>
      <c r="D19" s="63">
        <f>IF(A19&lt;='VALOR POR PL'!$P$5,'MODELO PARA BI'!W61,0)</f>
        <v/>
      </c>
      <c r="E19" s="63">
        <f>IF(A19&gt;'VALOR POR PL'!$P$5,'MODELO PARA BI'!W61,0)</f>
        <v/>
      </c>
      <c r="F19" s="110">
        <f>IF('MODELO PARA BI'!$E$61=0,0,(D19+E19)/'MODELO PARA BI'!$E$61)</f>
        <v/>
      </c>
      <c r="G19" s="110">
        <f>G18+F19</f>
        <v/>
      </c>
      <c r="I19" s="50">
        <f>B19*'VALOR POR PL'!$G$50</f>
        <v/>
      </c>
      <c r="J19" s="55">
        <f>I19*IF(A19&lt;='VALOR POR PL'!$P$5,IFERROR(INDEX('"INCC-FGV"'!$B$2:$B$400,MATCH(A19,'"INCC-FGV"'!$A$2:$A$400,0)),'VALOR POR PL'!$P$7),'VALOR POR PL'!$P$7)</f>
        <v/>
      </c>
      <c r="K19" s="71">
        <f>'MODELO PARA BI'!W63</f>
        <v/>
      </c>
      <c r="L19" s="71">
        <f>'MODELO PARA BI'!W64</f>
        <v/>
      </c>
      <c r="M19" s="55">
        <f>M18+J19</f>
        <v/>
      </c>
    </row>
    <row r="20">
      <c r="A20" s="112">
        <f>'MODELO PARA BI'!X1</f>
        <v/>
      </c>
      <c r="B20" s="113" t="n"/>
      <c r="C20" s="110">
        <f>C19+B20</f>
        <v/>
      </c>
      <c r="D20" s="63">
        <f>IF(A20&lt;='VALOR POR PL'!$P$5,'MODELO PARA BI'!X61,0)</f>
        <v/>
      </c>
      <c r="E20" s="63">
        <f>IF(A20&gt;'VALOR POR PL'!$P$5,'MODELO PARA BI'!X61,0)</f>
        <v/>
      </c>
      <c r="F20" s="110">
        <f>IF('MODELO PARA BI'!$E$61=0,0,(D20+E20)/'MODELO PARA BI'!$E$61)</f>
        <v/>
      </c>
      <c r="G20" s="110">
        <f>G19+F20</f>
        <v/>
      </c>
      <c r="I20" s="50">
        <f>B20*'VALOR POR PL'!$G$50</f>
        <v/>
      </c>
      <c r="J20" s="55">
        <f>I20*IF(A20&lt;='VALOR POR PL'!$P$5,IFERROR(INDEX('"INCC-FGV"'!$B$2:$B$400,MATCH(A20,'"INCC-FGV"'!$A$2:$A$400,0)),'VALOR POR PL'!$P$7),'VALOR POR PL'!$P$7)</f>
        <v/>
      </c>
      <c r="K20" s="71">
        <f>'MODELO PARA BI'!X63</f>
        <v/>
      </c>
      <c r="L20" s="71">
        <f>'MODELO PARA BI'!X64</f>
        <v/>
      </c>
      <c r="M20" s="55">
        <f>M19+J20</f>
        <v/>
      </c>
    </row>
    <row r="21">
      <c r="A21" s="112">
        <f>'MODELO PARA BI'!Y1</f>
        <v/>
      </c>
      <c r="B21" s="113" t="n"/>
      <c r="C21" s="110">
        <f>C20+B21</f>
        <v/>
      </c>
      <c r="D21" s="63">
        <f>IF(A21&lt;='VALOR POR PL'!$P$5,'MODELO PARA BI'!Y61,0)</f>
        <v/>
      </c>
      <c r="E21" s="63">
        <f>IF(A21&gt;'VALOR POR PL'!$P$5,'MODELO PARA BI'!Y61,0)</f>
        <v/>
      </c>
      <c r="F21" s="110">
        <f>IF('MODELO PARA BI'!$E$61=0,0,(D21+E21)/'MODELO PARA BI'!$E$61)</f>
        <v/>
      </c>
      <c r="G21" s="110">
        <f>G20+F21</f>
        <v/>
      </c>
      <c r="I21" s="50">
        <f>B21*'VALOR POR PL'!$G$50</f>
        <v/>
      </c>
      <c r="J21" s="55">
        <f>I21*IF(A21&lt;='VALOR POR PL'!$P$5,IFERROR(INDEX('"INCC-FGV"'!$B$2:$B$400,MATCH(A21,'"INCC-FGV"'!$A$2:$A$400,0)),'VALOR POR PL'!$P$7),'VALOR POR PL'!$P$7)</f>
        <v/>
      </c>
      <c r="K21" s="71">
        <f>'MODELO PARA BI'!Y63</f>
        <v/>
      </c>
      <c r="L21" s="71">
        <f>'MODELO PARA BI'!Y64</f>
        <v/>
      </c>
      <c r="M21" s="55">
        <f>M20+J21</f>
        <v/>
      </c>
    </row>
    <row r="22">
      <c r="A22" s="112">
        <f>'MODELO PARA BI'!Z1</f>
        <v/>
      </c>
      <c r="B22" s="113" t="n"/>
      <c r="C22" s="110">
        <f>C21+B22</f>
        <v/>
      </c>
      <c r="D22" s="63">
        <f>IF(A22&lt;='VALOR POR PL'!$P$5,'MODELO PARA BI'!Z61,0)</f>
        <v/>
      </c>
      <c r="E22" s="63">
        <f>IF(A22&gt;'VALOR POR PL'!$P$5,'MODELO PARA BI'!Z61,0)</f>
        <v/>
      </c>
      <c r="F22" s="110">
        <f>IF('MODELO PARA BI'!$E$61=0,0,(D22+E22)/'MODELO PARA BI'!$E$61)</f>
        <v/>
      </c>
      <c r="G22" s="110">
        <f>G21+F22</f>
        <v/>
      </c>
      <c r="I22" s="50">
        <f>B22*'VALOR POR PL'!$G$50</f>
        <v/>
      </c>
      <c r="J22" s="55">
        <f>I22*IF(A22&lt;='VALOR POR PL'!$P$5,IFERROR(INDEX('"INCC-FGV"'!$B$2:$B$400,MATCH(A22,'"INCC-FGV"'!$A$2:$A$400,0)),'VALOR POR PL'!$P$7),'VALOR POR PL'!$P$7)</f>
        <v/>
      </c>
      <c r="K22" s="71">
        <f>'MODELO PARA BI'!Z63</f>
        <v/>
      </c>
      <c r="L22" s="71">
        <f>'MODELO PARA BI'!Z64</f>
        <v/>
      </c>
      <c r="M22" s="55">
        <f>M21+J22</f>
        <v/>
      </c>
    </row>
    <row r="23">
      <c r="A23" s="112">
        <f>'MODELO PARA BI'!AA1</f>
        <v/>
      </c>
      <c r="B23" s="113" t="n"/>
      <c r="C23" s="110">
        <f>C22+B23</f>
        <v/>
      </c>
      <c r="D23" s="63">
        <f>IF(A23&lt;='VALOR POR PL'!$P$5,'MODELO PARA BI'!AA61,0)</f>
        <v/>
      </c>
      <c r="E23" s="63">
        <f>IF(A23&gt;'VALOR POR PL'!$P$5,'MODELO PARA BI'!AA61,0)</f>
        <v/>
      </c>
      <c r="F23" s="110">
        <f>IF('MODELO PARA BI'!$E$61=0,0,(D23+E23)/'MODELO PARA BI'!$E$61)</f>
        <v/>
      </c>
      <c r="G23" s="110">
        <f>G22+F23</f>
        <v/>
      </c>
      <c r="I23" s="50">
        <f>B23*'VALOR POR PL'!$G$50</f>
        <v/>
      </c>
      <c r="J23" s="55">
        <f>I23*IF(A23&lt;='VALOR POR PL'!$P$5,IFERROR(INDEX('"INCC-FGV"'!$B$2:$B$400,MATCH(A23,'"INCC-FGV"'!$A$2:$A$400,0)),'VALOR POR PL'!$P$7),'VALOR POR PL'!$P$7)</f>
        <v/>
      </c>
      <c r="K23" s="71">
        <f>'MODELO PARA BI'!AA63</f>
        <v/>
      </c>
      <c r="L23" s="71">
        <f>'MODELO PARA BI'!AA64</f>
        <v/>
      </c>
      <c r="M23" s="55">
        <f>M22+J23</f>
        <v/>
      </c>
    </row>
    <row r="24">
      <c r="A24" s="112">
        <f>'MODELO PARA BI'!AB1</f>
        <v/>
      </c>
      <c r="B24" s="113" t="n"/>
      <c r="C24" s="110">
        <f>C23+B24</f>
        <v/>
      </c>
      <c r="D24" s="63">
        <f>IF(A24&lt;='VALOR POR PL'!$P$5,'MODELO PARA BI'!AB61,0)</f>
        <v/>
      </c>
      <c r="E24" s="63">
        <f>IF(A24&gt;'VALOR POR PL'!$P$5,'MODELO PARA BI'!AB61,0)</f>
        <v/>
      </c>
      <c r="F24" s="110">
        <f>IF('MODELO PARA BI'!$E$61=0,0,(D24+E24)/'MODELO PARA BI'!$E$61)</f>
        <v/>
      </c>
      <c r="G24" s="110">
        <f>G23+F24</f>
        <v/>
      </c>
      <c r="I24" s="50">
        <f>B24*'VALOR POR PL'!$G$50</f>
        <v/>
      </c>
      <c r="J24" s="55">
        <f>I24*IF(A24&lt;='VALOR POR PL'!$P$5,IFERROR(INDEX('"INCC-FGV"'!$B$2:$B$400,MATCH(A24,'"INCC-FGV"'!$A$2:$A$400,0)),'VALOR POR PL'!$P$7),'VALOR POR PL'!$P$7)</f>
        <v/>
      </c>
      <c r="K24" s="71">
        <f>'MODELO PARA BI'!AB63</f>
        <v/>
      </c>
      <c r="L24" s="71">
        <f>'MODELO PARA BI'!AB64</f>
        <v/>
      </c>
      <c r="M24" s="55">
        <f>M23+J24</f>
        <v/>
      </c>
    </row>
    <row r="25">
      <c r="A25" s="112">
        <f>'MODELO PARA BI'!AC1</f>
        <v/>
      </c>
      <c r="B25" s="113" t="n"/>
      <c r="C25" s="110">
        <f>C24+B25</f>
        <v/>
      </c>
      <c r="D25" s="63">
        <f>IF(A25&lt;='VALOR POR PL'!$P$5,'MODELO PARA BI'!AC61,0)</f>
        <v/>
      </c>
      <c r="E25" s="63">
        <f>IF(A25&gt;'VALOR POR PL'!$P$5,'MODELO PARA BI'!AC61,0)</f>
        <v/>
      </c>
      <c r="F25" s="110">
        <f>IF('MODELO PARA BI'!$E$61=0,0,(D25+E25)/'MODELO PARA BI'!$E$61)</f>
        <v/>
      </c>
      <c r="G25" s="110">
        <f>G24+F25</f>
        <v/>
      </c>
      <c r="I25" s="50">
        <f>B25*'VALOR POR PL'!$G$50</f>
        <v/>
      </c>
      <c r="J25" s="55">
        <f>I25*IF(A25&lt;='VALOR POR PL'!$P$5,IFERROR(INDEX('"INCC-FGV"'!$B$2:$B$400,MATCH(A25,'"INCC-FGV"'!$A$2:$A$400,0)),'VALOR POR PL'!$P$7),'VALOR POR PL'!$P$7)</f>
        <v/>
      </c>
      <c r="K25" s="71">
        <f>'MODELO PARA BI'!AC63</f>
        <v/>
      </c>
      <c r="L25" s="71">
        <f>'MODELO PARA BI'!AC64</f>
        <v/>
      </c>
      <c r="M25" s="55">
        <f>M24+J25</f>
        <v/>
      </c>
    </row>
    <row r="26">
      <c r="A26" s="112">
        <f>'MODELO PARA BI'!AD1</f>
        <v/>
      </c>
      <c r="B26" s="113" t="n"/>
      <c r="C26" s="110">
        <f>C25+B26</f>
        <v/>
      </c>
      <c r="D26" s="63">
        <f>IF(A26&lt;='VALOR POR PL'!$P$5,'MODELO PARA BI'!AD61,0)</f>
        <v/>
      </c>
      <c r="E26" s="63">
        <f>IF(A26&gt;'VALOR POR PL'!$P$5,'MODELO PARA BI'!AD61,0)</f>
        <v/>
      </c>
      <c r="F26" s="110">
        <f>IF('MODELO PARA BI'!$E$61=0,0,(D26+E26)/'MODELO PARA BI'!$E$61)</f>
        <v/>
      </c>
      <c r="G26" s="110">
        <f>G25+F26</f>
        <v/>
      </c>
      <c r="I26" s="50">
        <f>B26*'VALOR POR PL'!$G$50</f>
        <v/>
      </c>
      <c r="J26" s="55">
        <f>I26*IF(A26&lt;='VALOR POR PL'!$P$5,IFERROR(INDEX('"INCC-FGV"'!$B$2:$B$400,MATCH(A26,'"INCC-FGV"'!$A$2:$A$400,0)),'VALOR POR PL'!$P$7),'VALOR POR PL'!$P$7)</f>
        <v/>
      </c>
      <c r="K26" s="71">
        <f>'MODELO PARA BI'!AD63</f>
        <v/>
      </c>
      <c r="L26" s="71">
        <f>'MODELO PARA BI'!AD64</f>
        <v/>
      </c>
      <c r="M26" s="55">
        <f>M25+J26</f>
        <v/>
      </c>
    </row>
    <row r="27">
      <c r="A27" s="112">
        <f>'MODELO PARA BI'!AE1</f>
        <v/>
      </c>
      <c r="B27" s="113" t="n"/>
      <c r="C27" s="110">
        <f>C26+B27</f>
        <v/>
      </c>
      <c r="D27" s="63">
        <f>IF(A27&lt;='VALOR POR PL'!$P$5,'MODELO PARA BI'!AE61,0)</f>
        <v/>
      </c>
      <c r="E27" s="63">
        <f>IF(A27&gt;'VALOR POR PL'!$P$5,'MODELO PARA BI'!AE61,0)</f>
        <v/>
      </c>
      <c r="F27" s="110">
        <f>IF('MODELO PARA BI'!$E$61=0,0,(D27+E27)/'MODELO PARA BI'!$E$61)</f>
        <v/>
      </c>
      <c r="G27" s="110">
        <f>G26+F27</f>
        <v/>
      </c>
      <c r="I27" s="50">
        <f>B27*'VALOR POR PL'!$G$50</f>
        <v/>
      </c>
      <c r="J27" s="55">
        <f>I27*IF(A27&lt;='VALOR POR PL'!$P$5,IFERROR(INDEX('"INCC-FGV"'!$B$2:$B$400,MATCH(A27,'"INCC-FGV"'!$A$2:$A$400,0)),'VALOR POR PL'!$P$7),'VALOR POR PL'!$P$7)</f>
        <v/>
      </c>
      <c r="K27" s="71">
        <f>'MODELO PARA BI'!AE63</f>
        <v/>
      </c>
      <c r="L27" s="71">
        <f>'MODELO PARA BI'!AE64</f>
        <v/>
      </c>
      <c r="M27" s="55">
        <f>M26+J27</f>
        <v/>
      </c>
    </row>
    <row r="28">
      <c r="A28" s="112">
        <f>'MODELO PARA BI'!AF1</f>
        <v/>
      </c>
      <c r="B28" s="113" t="n"/>
      <c r="C28" s="110">
        <f>C27+B28</f>
        <v/>
      </c>
      <c r="D28" s="63">
        <f>IF(A28&lt;='VALOR POR PL'!$P$5,'MODELO PARA BI'!AF61,0)</f>
        <v/>
      </c>
      <c r="E28" s="63">
        <f>IF(A28&gt;'VALOR POR PL'!$P$5,'MODELO PARA BI'!AF61,0)</f>
        <v/>
      </c>
      <c r="F28" s="110">
        <f>IF('MODELO PARA BI'!$E$61=0,0,(D28+E28)/'MODELO PARA BI'!$E$61)</f>
        <v/>
      </c>
      <c r="G28" s="110">
        <f>G27+F28</f>
        <v/>
      </c>
      <c r="I28" s="50">
        <f>B28*'VALOR POR PL'!$G$50</f>
        <v/>
      </c>
      <c r="J28" s="55">
        <f>I28*IF(A28&lt;='VALOR POR PL'!$P$5,IFERROR(INDEX('"INCC-FGV"'!$B$2:$B$400,MATCH(A28,'"INCC-FGV"'!$A$2:$A$400,0)),'VALOR POR PL'!$P$7),'VALOR POR PL'!$P$7)</f>
        <v/>
      </c>
      <c r="K28" s="71">
        <f>'MODELO PARA BI'!AF63</f>
        <v/>
      </c>
      <c r="L28" s="71">
        <f>'MODELO PARA BI'!AF64</f>
        <v/>
      </c>
      <c r="M28" s="55">
        <f>M27+J28</f>
        <v/>
      </c>
    </row>
    <row r="29">
      <c r="A29" s="112">
        <f>'MODELO PARA BI'!AG1</f>
        <v/>
      </c>
      <c r="B29" s="113" t="n"/>
      <c r="C29" s="110">
        <f>C28+B29</f>
        <v/>
      </c>
      <c r="D29" s="63">
        <f>IF(A29&lt;='VALOR POR PL'!$P$5,'MODELO PARA BI'!AG61,0)</f>
        <v/>
      </c>
      <c r="E29" s="63">
        <f>IF(A29&gt;'VALOR POR PL'!$P$5,'MODELO PARA BI'!AG61,0)</f>
        <v/>
      </c>
      <c r="F29" s="110">
        <f>IF('MODELO PARA BI'!$E$61=0,0,(D29+E29)/'MODELO PARA BI'!$E$61)</f>
        <v/>
      </c>
      <c r="G29" s="110">
        <f>G28+F29</f>
        <v/>
      </c>
      <c r="I29" s="50">
        <f>B29*'VALOR POR PL'!$G$50</f>
        <v/>
      </c>
      <c r="J29" s="55">
        <f>I29*IF(A29&lt;='VALOR POR PL'!$P$5,IFERROR(INDEX('"INCC-FGV"'!$B$2:$B$400,MATCH(A29,'"INCC-FGV"'!$A$2:$A$400,0)),'VALOR POR PL'!$P$7),'VALOR POR PL'!$P$7)</f>
        <v/>
      </c>
      <c r="K29" s="71">
        <f>'MODELO PARA BI'!AG63</f>
        <v/>
      </c>
      <c r="L29" s="71">
        <f>'MODELO PARA BI'!AG64</f>
        <v/>
      </c>
      <c r="M29" s="55">
        <f>M28+J29</f>
        <v/>
      </c>
    </row>
    <row r="30">
      <c r="A30" s="112">
        <f>'MODELO PARA BI'!AH1</f>
        <v/>
      </c>
      <c r="B30" s="113" t="n"/>
      <c r="C30" s="110">
        <f>C29+B30</f>
        <v/>
      </c>
      <c r="D30" s="63">
        <f>IF(A30&lt;='VALOR POR PL'!$P$5,'MODELO PARA BI'!AH61,0)</f>
        <v/>
      </c>
      <c r="E30" s="63">
        <f>IF(A30&gt;'VALOR POR PL'!$P$5,'MODELO PARA BI'!AH61,0)</f>
        <v/>
      </c>
      <c r="F30" s="110">
        <f>IF('MODELO PARA BI'!$E$61=0,0,(D30+E30)/'MODELO PARA BI'!$E$61)</f>
        <v/>
      </c>
      <c r="G30" s="110">
        <f>G29+F30</f>
        <v/>
      </c>
      <c r="I30" s="50">
        <f>B30*'VALOR POR PL'!$G$50</f>
        <v/>
      </c>
      <c r="J30" s="55">
        <f>I30*IF(A30&lt;='VALOR POR PL'!$P$5,IFERROR(INDEX('"INCC-FGV"'!$B$2:$B$400,MATCH(A30,'"INCC-FGV"'!$A$2:$A$400,0)),'VALOR POR PL'!$P$7),'VALOR POR PL'!$P$7)</f>
        <v/>
      </c>
      <c r="K30" s="71">
        <f>'MODELO PARA BI'!AH63</f>
        <v/>
      </c>
      <c r="L30" s="71">
        <f>'MODELO PARA BI'!AH64</f>
        <v/>
      </c>
      <c r="M30" s="55">
        <f>M29+J30</f>
        <v/>
      </c>
    </row>
    <row r="31">
      <c r="A31" s="112">
        <f>'MODELO PARA BI'!AI1</f>
        <v/>
      </c>
      <c r="B31" s="113" t="n"/>
      <c r="C31" s="110">
        <f>C30+B31</f>
        <v/>
      </c>
      <c r="D31" s="63">
        <f>IF(A31&lt;='VALOR POR PL'!$P$5,'MODELO PARA BI'!AI61,0)</f>
        <v/>
      </c>
      <c r="E31" s="63">
        <f>IF(A31&gt;'VALOR POR PL'!$P$5,'MODELO PARA BI'!AI61,0)</f>
        <v/>
      </c>
      <c r="F31" s="110">
        <f>IF('MODELO PARA BI'!$E$61=0,0,(D31+E31)/'MODELO PARA BI'!$E$61)</f>
        <v/>
      </c>
      <c r="G31" s="110">
        <f>G30+F31</f>
        <v/>
      </c>
      <c r="I31" s="50">
        <f>B31*'VALOR POR PL'!$G$50</f>
        <v/>
      </c>
      <c r="J31" s="55">
        <f>I31*IF(A31&lt;='VALOR POR PL'!$P$5,IFERROR(INDEX('"INCC-FGV"'!$B$2:$B$400,MATCH(A31,'"INCC-FGV"'!$A$2:$A$400,0)),'VALOR POR PL'!$P$7),'VALOR POR PL'!$P$7)</f>
        <v/>
      </c>
      <c r="K31" s="71">
        <f>'MODELO PARA BI'!AI63</f>
        <v/>
      </c>
      <c r="L31" s="71">
        <f>'MODELO PARA BI'!AI64</f>
        <v/>
      </c>
      <c r="M31" s="55">
        <f>M30+J31</f>
        <v/>
      </c>
    </row>
    <row r="32">
      <c r="A32" s="112">
        <f>'MODELO PARA BI'!AJ1</f>
        <v/>
      </c>
      <c r="B32" s="113" t="n"/>
      <c r="C32" s="110">
        <f>C31+B32</f>
        <v/>
      </c>
      <c r="D32" s="63">
        <f>IF(A32&lt;='VALOR POR PL'!$P$5,'MODELO PARA BI'!AJ61,0)</f>
        <v/>
      </c>
      <c r="E32" s="63">
        <f>IF(A32&gt;'VALOR POR PL'!$P$5,'MODELO PARA BI'!AJ61,0)</f>
        <v/>
      </c>
      <c r="F32" s="110">
        <f>IF('MODELO PARA BI'!$E$61=0,0,(D32+E32)/'MODELO PARA BI'!$E$61)</f>
        <v/>
      </c>
      <c r="G32" s="110">
        <f>G31+F32</f>
        <v/>
      </c>
      <c r="I32" s="50">
        <f>B32*'VALOR POR PL'!$G$50</f>
        <v/>
      </c>
      <c r="J32" s="55">
        <f>I32*IF(A32&lt;='VALOR POR PL'!$P$5,IFERROR(INDEX('"INCC-FGV"'!$B$2:$B$400,MATCH(A32,'"INCC-FGV"'!$A$2:$A$400,0)),'VALOR POR PL'!$P$7),'VALOR POR PL'!$P$7)</f>
        <v/>
      </c>
      <c r="K32" s="71">
        <f>'MODELO PARA BI'!AJ63</f>
        <v/>
      </c>
      <c r="L32" s="71">
        <f>'MODELO PARA BI'!AJ64</f>
        <v/>
      </c>
      <c r="M32" s="55">
        <f>M31+J32</f>
        <v/>
      </c>
    </row>
    <row r="33">
      <c r="A33" s="112">
        <f>'MODELO PARA BI'!AK1</f>
        <v/>
      </c>
      <c r="B33" s="113" t="n"/>
      <c r="C33" s="110">
        <f>C32+B33</f>
        <v/>
      </c>
      <c r="D33" s="63">
        <f>IF(A33&lt;='VALOR POR PL'!$P$5,'MODELO PARA BI'!AK61,0)</f>
        <v/>
      </c>
      <c r="E33" s="63">
        <f>IF(A33&gt;'VALOR POR PL'!$P$5,'MODELO PARA BI'!AK61,0)</f>
        <v/>
      </c>
      <c r="F33" s="110">
        <f>IF('MODELO PARA BI'!$E$61=0,0,(D33+E33)/'MODELO PARA BI'!$E$61)</f>
        <v/>
      </c>
      <c r="G33" s="110">
        <f>G32+F33</f>
        <v/>
      </c>
      <c r="I33" s="50">
        <f>B33*'VALOR POR PL'!$G$50</f>
        <v/>
      </c>
      <c r="J33" s="55">
        <f>I33*IF(A33&lt;='VALOR POR PL'!$P$5,IFERROR(INDEX('"INCC-FGV"'!$B$2:$B$400,MATCH(A33,'"INCC-FGV"'!$A$2:$A$400,0)),'VALOR POR PL'!$P$7),'VALOR POR PL'!$P$7)</f>
        <v/>
      </c>
      <c r="K33" s="71">
        <f>'MODELO PARA BI'!AK63</f>
        <v/>
      </c>
      <c r="L33" s="71">
        <f>'MODELO PARA BI'!AK64</f>
        <v/>
      </c>
      <c r="M33" s="55">
        <f>M32+J33</f>
        <v/>
      </c>
    </row>
    <row r="34">
      <c r="A34" s="112">
        <f>'MODELO PARA BI'!AL1</f>
        <v/>
      </c>
      <c r="B34" s="113" t="n"/>
      <c r="C34" s="110">
        <f>C33+B34</f>
        <v/>
      </c>
      <c r="D34" s="63">
        <f>IF(A34&lt;='VALOR POR PL'!$P$5,'MODELO PARA BI'!AL61,0)</f>
        <v/>
      </c>
      <c r="E34" s="63">
        <f>IF(A34&gt;'VALOR POR PL'!$P$5,'MODELO PARA BI'!AL61,0)</f>
        <v/>
      </c>
      <c r="F34" s="110">
        <f>IF('MODELO PARA BI'!$E$61=0,0,(D34+E34)/'MODELO PARA BI'!$E$61)</f>
        <v/>
      </c>
      <c r="G34" s="110">
        <f>G33+F34</f>
        <v/>
      </c>
      <c r="I34" s="50">
        <f>B34*'VALOR POR PL'!$G$50</f>
        <v/>
      </c>
      <c r="J34" s="55">
        <f>I34*IF(A34&lt;='VALOR POR PL'!$P$5,IFERROR(INDEX('"INCC-FGV"'!$B$2:$B$400,MATCH(A34,'"INCC-FGV"'!$A$2:$A$400,0)),'VALOR POR PL'!$P$7),'VALOR POR PL'!$P$7)</f>
        <v/>
      </c>
      <c r="K34" s="71">
        <f>'MODELO PARA BI'!AL63</f>
        <v/>
      </c>
      <c r="L34" s="71">
        <f>'MODELO PARA BI'!AL64</f>
        <v/>
      </c>
      <c r="M34" s="55">
        <f>M33+J34</f>
        <v/>
      </c>
    </row>
    <row r="35">
      <c r="A35" s="112">
        <f>'MODELO PARA BI'!AM1</f>
        <v/>
      </c>
      <c r="B35" s="113" t="n"/>
      <c r="C35" s="110">
        <f>C34+B35</f>
        <v/>
      </c>
      <c r="D35" s="63">
        <f>IF(A35&lt;='VALOR POR PL'!$P$5,'MODELO PARA BI'!AM61,0)</f>
        <v/>
      </c>
      <c r="E35" s="63">
        <f>IF(A35&gt;'VALOR POR PL'!$P$5,'MODELO PARA BI'!AM61,0)</f>
        <v/>
      </c>
      <c r="F35" s="110">
        <f>IF('MODELO PARA BI'!$E$61=0,0,(D35+E35)/'MODELO PARA BI'!$E$61)</f>
        <v/>
      </c>
      <c r="G35" s="110">
        <f>G34+F35</f>
        <v/>
      </c>
      <c r="I35" s="50">
        <f>B35*'VALOR POR PL'!$G$50</f>
        <v/>
      </c>
      <c r="J35" s="55">
        <f>I35*IF(A35&lt;='VALOR POR PL'!$P$5,IFERROR(INDEX('"INCC-FGV"'!$B$2:$B$400,MATCH(A35,'"INCC-FGV"'!$A$2:$A$400,0)),'VALOR POR PL'!$P$7),'VALOR POR PL'!$P$7)</f>
        <v/>
      </c>
      <c r="K35" s="71">
        <f>'MODELO PARA BI'!AM63</f>
        <v/>
      </c>
      <c r="L35" s="71">
        <f>'MODELO PARA BI'!AM64</f>
        <v/>
      </c>
      <c r="M35" s="55">
        <f>M34+J35</f>
        <v/>
      </c>
    </row>
    <row r="36">
      <c r="A36" s="112">
        <f>'MODELO PARA BI'!AN1</f>
        <v/>
      </c>
      <c r="B36" s="113" t="n"/>
      <c r="C36" s="110">
        <f>C35+B36</f>
        <v/>
      </c>
      <c r="D36" s="63">
        <f>IF(A36&lt;='VALOR POR PL'!$P$5,'MODELO PARA BI'!AN61,0)</f>
        <v/>
      </c>
      <c r="E36" s="63">
        <f>IF(A36&gt;'VALOR POR PL'!$P$5,'MODELO PARA BI'!AN61,0)</f>
        <v/>
      </c>
      <c r="F36" s="110">
        <f>IF('MODELO PARA BI'!$E$61=0,0,(D36+E36)/'MODELO PARA BI'!$E$61)</f>
        <v/>
      </c>
      <c r="G36" s="110">
        <f>G35+F36</f>
        <v/>
      </c>
      <c r="I36" s="50">
        <f>B36*'VALOR POR PL'!$G$50</f>
        <v/>
      </c>
      <c r="J36" s="55">
        <f>I36*IF(A36&lt;='VALOR POR PL'!$P$5,IFERROR(INDEX('"INCC-FGV"'!$B$2:$B$400,MATCH(A36,'"INCC-FGV"'!$A$2:$A$400,0)),'VALOR POR PL'!$P$7),'VALOR POR PL'!$P$7)</f>
        <v/>
      </c>
      <c r="K36" s="71">
        <f>'MODELO PARA BI'!AN63</f>
        <v/>
      </c>
      <c r="L36" s="71">
        <f>'MODELO PARA BI'!AN64</f>
        <v/>
      </c>
      <c r="M36" s="55">
        <f>M35+J36</f>
        <v/>
      </c>
    </row>
    <row r="37">
      <c r="A37" s="112">
        <f>'MODELO PARA BI'!AO1</f>
        <v/>
      </c>
      <c r="B37" s="113" t="n"/>
      <c r="C37" s="110">
        <f>C36+B37</f>
        <v/>
      </c>
      <c r="D37" s="63">
        <f>IF(A37&lt;='VALOR POR PL'!$P$5,'MODELO PARA BI'!AO61,0)</f>
        <v/>
      </c>
      <c r="E37" s="63">
        <f>IF(A37&gt;'VALOR POR PL'!$P$5,'MODELO PARA BI'!AO61,0)</f>
        <v/>
      </c>
      <c r="F37" s="110">
        <f>IF('MODELO PARA BI'!$E$61=0,0,(D37+E37)/'MODELO PARA BI'!$E$61)</f>
        <v/>
      </c>
      <c r="G37" s="110">
        <f>G36+F37</f>
        <v/>
      </c>
      <c r="I37" s="50">
        <f>B37*'VALOR POR PL'!$G$50</f>
        <v/>
      </c>
      <c r="J37" s="55">
        <f>I37*IF(A37&lt;='VALOR POR PL'!$P$5,IFERROR(INDEX('"INCC-FGV"'!$B$2:$B$400,MATCH(A37,'"INCC-FGV"'!$A$2:$A$400,0)),'VALOR POR PL'!$P$7),'VALOR POR PL'!$P$7)</f>
        <v/>
      </c>
      <c r="K37" s="71">
        <f>'MODELO PARA BI'!AO63</f>
        <v/>
      </c>
      <c r="L37" s="71">
        <f>'MODELO PARA BI'!AO64</f>
        <v/>
      </c>
      <c r="M37" s="55">
        <f>M36+J37</f>
        <v/>
      </c>
    </row>
    <row r="38">
      <c r="A38" s="112">
        <f>'MODELO PARA BI'!AP1</f>
        <v/>
      </c>
      <c r="B38" s="113" t="n"/>
      <c r="C38" s="110">
        <f>C37+B38</f>
        <v/>
      </c>
      <c r="D38" s="63">
        <f>IF(A38&lt;='VALOR POR PL'!$P$5,'MODELO PARA BI'!AP61,0)</f>
        <v/>
      </c>
      <c r="E38" s="63">
        <f>IF(A38&gt;'VALOR POR PL'!$P$5,'MODELO PARA BI'!AP61,0)</f>
        <v/>
      </c>
      <c r="F38" s="110">
        <f>IF('MODELO PARA BI'!$E$61=0,0,(D38+E38)/'MODELO PARA BI'!$E$61)</f>
        <v/>
      </c>
      <c r="G38" s="110">
        <f>G37+F38</f>
        <v/>
      </c>
      <c r="I38" s="50">
        <f>B38*'VALOR POR PL'!$G$50</f>
        <v/>
      </c>
      <c r="J38" s="55">
        <f>I38*IF(A38&lt;='VALOR POR PL'!$P$5,IFERROR(INDEX('"INCC-FGV"'!$B$2:$B$400,MATCH(A38,'"INCC-FGV"'!$A$2:$A$400,0)),'VALOR POR PL'!$P$7),'VALOR POR PL'!$P$7)</f>
        <v/>
      </c>
      <c r="K38" s="71">
        <f>'MODELO PARA BI'!AP63</f>
        <v/>
      </c>
      <c r="L38" s="71">
        <f>'MODELO PARA BI'!AP64</f>
        <v/>
      </c>
      <c r="M38" s="55">
        <f>M37+J38</f>
        <v/>
      </c>
    </row>
    <row r="39">
      <c r="A39" s="112">
        <f>'MODELO PARA BI'!AQ1</f>
        <v/>
      </c>
      <c r="B39" s="113" t="n"/>
      <c r="C39" s="110">
        <f>C38+B39</f>
        <v/>
      </c>
      <c r="D39" s="63">
        <f>IF(A39&lt;='VALOR POR PL'!$P$5,'MODELO PARA BI'!AQ61,0)</f>
        <v/>
      </c>
      <c r="E39" s="63">
        <f>IF(A39&gt;'VALOR POR PL'!$P$5,'MODELO PARA BI'!AQ61,0)</f>
        <v/>
      </c>
      <c r="F39" s="110">
        <f>IF('MODELO PARA BI'!$E$61=0,0,(D39+E39)/'MODELO PARA BI'!$E$61)</f>
        <v/>
      </c>
      <c r="G39" s="110">
        <f>G38+F39</f>
        <v/>
      </c>
      <c r="I39" s="50">
        <f>B39*'VALOR POR PL'!$G$50</f>
        <v/>
      </c>
      <c r="J39" s="55">
        <f>I39*IF(A39&lt;='VALOR POR PL'!$P$5,IFERROR(INDEX('"INCC-FGV"'!$B$2:$B$400,MATCH(A39,'"INCC-FGV"'!$A$2:$A$400,0)),'VALOR POR PL'!$P$7),'VALOR POR PL'!$P$7)</f>
        <v/>
      </c>
      <c r="K39" s="71">
        <f>'MODELO PARA BI'!AQ63</f>
        <v/>
      </c>
      <c r="L39" s="71">
        <f>'MODELO PARA BI'!AQ64</f>
        <v/>
      </c>
      <c r="M39" s="55">
        <f>M38+J39</f>
        <v/>
      </c>
    </row>
    <row r="40">
      <c r="A40" s="112">
        <f>'MODELO PARA BI'!AR1</f>
        <v/>
      </c>
      <c r="B40" s="113" t="n"/>
      <c r="C40" s="110">
        <f>C39+B40</f>
        <v/>
      </c>
      <c r="D40" s="63">
        <f>IF(A40&lt;='VALOR POR PL'!$P$5,'MODELO PARA BI'!AR61,0)</f>
        <v/>
      </c>
      <c r="E40" s="63">
        <f>IF(A40&gt;'VALOR POR PL'!$P$5,'MODELO PARA BI'!AR61,0)</f>
        <v/>
      </c>
      <c r="F40" s="110">
        <f>IF('MODELO PARA BI'!$E$61=0,0,(D40+E40)/'MODELO PARA BI'!$E$61)</f>
        <v/>
      </c>
      <c r="G40" s="110">
        <f>G39+F40</f>
        <v/>
      </c>
      <c r="I40" s="50">
        <f>B40*'VALOR POR PL'!$G$50</f>
        <v/>
      </c>
      <c r="J40" s="55">
        <f>I40*IF(A40&lt;='VALOR POR PL'!$P$5,IFERROR(INDEX('"INCC-FGV"'!$B$2:$B$400,MATCH(A40,'"INCC-FGV"'!$A$2:$A$400,0)),'VALOR POR PL'!$P$7),'VALOR POR PL'!$P$7)</f>
        <v/>
      </c>
      <c r="K40" s="71">
        <f>'MODELO PARA BI'!AR63</f>
        <v/>
      </c>
      <c r="L40" s="71">
        <f>'MODELO PARA BI'!AR64</f>
        <v/>
      </c>
      <c r="M40" s="55">
        <f>M39+J40</f>
        <v/>
      </c>
    </row>
    <row r="41">
      <c r="A41" s="112">
        <f>'MODELO PARA BI'!AS1</f>
        <v/>
      </c>
      <c r="B41" s="113" t="n"/>
      <c r="C41" s="110">
        <f>C40+B41</f>
        <v/>
      </c>
      <c r="D41" s="63">
        <f>IF(A41&lt;='VALOR POR PL'!$P$5,'MODELO PARA BI'!AS61,0)</f>
        <v/>
      </c>
      <c r="E41" s="63">
        <f>IF(A41&gt;'VALOR POR PL'!$P$5,'MODELO PARA BI'!AS61,0)</f>
        <v/>
      </c>
      <c r="F41" s="110">
        <f>IF('MODELO PARA BI'!$E$61=0,0,(D41+E41)/'MODELO PARA BI'!$E$61)</f>
        <v/>
      </c>
      <c r="G41" s="110">
        <f>G40+F41</f>
        <v/>
      </c>
      <c r="I41" s="50">
        <f>B41*'VALOR POR PL'!$G$50</f>
        <v/>
      </c>
      <c r="J41" s="55">
        <f>I41*IF(A41&lt;='VALOR POR PL'!$P$5,IFERROR(INDEX('"INCC-FGV"'!$B$2:$B$400,MATCH(A41,'"INCC-FGV"'!$A$2:$A$400,0)),'VALOR POR PL'!$P$7),'VALOR POR PL'!$P$7)</f>
        <v/>
      </c>
      <c r="K41" s="71">
        <f>'MODELO PARA BI'!AS63</f>
        <v/>
      </c>
      <c r="L41" s="71">
        <f>'MODELO PARA BI'!AS64</f>
        <v/>
      </c>
      <c r="M41" s="55">
        <f>M40+J41</f>
        <v/>
      </c>
    </row>
    <row r="42">
      <c r="A42" s="112">
        <f>'MODELO PARA BI'!AT1</f>
        <v/>
      </c>
      <c r="B42" s="113" t="n"/>
      <c r="C42" s="110">
        <f>C41+B42</f>
        <v/>
      </c>
      <c r="D42" s="63">
        <f>IF(A42&lt;='VALOR POR PL'!$P$5,'MODELO PARA BI'!AT61,0)</f>
        <v/>
      </c>
      <c r="E42" s="63">
        <f>IF(A42&gt;'VALOR POR PL'!$P$5,'MODELO PARA BI'!AT61,0)</f>
        <v/>
      </c>
      <c r="F42" s="110">
        <f>IF('MODELO PARA BI'!$E$61=0,0,(D42+E42)/'MODELO PARA BI'!$E$61)</f>
        <v/>
      </c>
      <c r="G42" s="110">
        <f>G41+F42</f>
        <v/>
      </c>
      <c r="I42" s="50">
        <f>B42*'VALOR POR PL'!$G$50</f>
        <v/>
      </c>
      <c r="J42" s="55">
        <f>I42*IF(A42&lt;='VALOR POR PL'!$P$5,IFERROR(INDEX('"INCC-FGV"'!$B$2:$B$400,MATCH(A42,'"INCC-FGV"'!$A$2:$A$400,0)),'VALOR POR PL'!$P$7),'VALOR POR PL'!$P$7)</f>
        <v/>
      </c>
      <c r="K42" s="71">
        <f>'MODELO PARA BI'!AT63</f>
        <v/>
      </c>
      <c r="L42" s="71">
        <f>'MODELO PARA BI'!AT64</f>
        <v/>
      </c>
      <c r="M42" s="55">
        <f>M41+J42</f>
        <v/>
      </c>
    </row>
    <row r="43">
      <c r="A43" s="112">
        <f>'MODELO PARA BI'!AU1</f>
        <v/>
      </c>
      <c r="B43" s="113" t="n"/>
      <c r="C43" s="110">
        <f>C42+B43</f>
        <v/>
      </c>
      <c r="D43" s="63">
        <f>IF(A43&lt;='VALOR POR PL'!$P$5,'MODELO PARA BI'!AU61,0)</f>
        <v/>
      </c>
      <c r="E43" s="63">
        <f>IF(A43&gt;'VALOR POR PL'!$P$5,'MODELO PARA BI'!AU61,0)</f>
        <v/>
      </c>
      <c r="F43" s="110">
        <f>IF('MODELO PARA BI'!$E$61=0,0,(D43+E43)/'MODELO PARA BI'!$E$61)</f>
        <v/>
      </c>
      <c r="G43" s="110">
        <f>G42+F43</f>
        <v/>
      </c>
      <c r="I43" s="50">
        <f>B43*'VALOR POR PL'!$G$50</f>
        <v/>
      </c>
      <c r="J43" s="55">
        <f>I43*IF(A43&lt;='VALOR POR PL'!$P$5,IFERROR(INDEX('"INCC-FGV"'!$B$2:$B$400,MATCH(A43,'"INCC-FGV"'!$A$2:$A$400,0)),'VALOR POR PL'!$P$7),'VALOR POR PL'!$P$7)</f>
        <v/>
      </c>
      <c r="K43" s="71">
        <f>'MODELO PARA BI'!AU63</f>
        <v/>
      </c>
      <c r="L43" s="71">
        <f>'MODELO PARA BI'!AU64</f>
        <v/>
      </c>
      <c r="M43" s="55">
        <f>M42+J43</f>
        <v/>
      </c>
    </row>
    <row r="44">
      <c r="A44" s="112">
        <f>'MODELO PARA BI'!AV1</f>
        <v/>
      </c>
      <c r="B44" s="113" t="n"/>
      <c r="C44" s="110">
        <f>C43+B44</f>
        <v/>
      </c>
      <c r="D44" s="63">
        <f>IF(A44&lt;='VALOR POR PL'!$P$5,'MODELO PARA BI'!AV61,0)</f>
        <v/>
      </c>
      <c r="E44" s="63">
        <f>IF(A44&gt;'VALOR POR PL'!$P$5,'MODELO PARA BI'!AV61,0)</f>
        <v/>
      </c>
      <c r="F44" s="110">
        <f>IF('MODELO PARA BI'!$E$61=0,0,(D44+E44)/'MODELO PARA BI'!$E$61)</f>
        <v/>
      </c>
      <c r="G44" s="110">
        <f>G43+F44</f>
        <v/>
      </c>
      <c r="I44" s="50">
        <f>B44*'VALOR POR PL'!$G$50</f>
        <v/>
      </c>
      <c r="J44" s="55">
        <f>I44*IF(A44&lt;='VALOR POR PL'!$P$5,IFERROR(INDEX('"INCC-FGV"'!$B$2:$B$400,MATCH(A44,'"INCC-FGV"'!$A$2:$A$400,0)),'VALOR POR PL'!$P$7),'VALOR POR PL'!$P$7)</f>
        <v/>
      </c>
      <c r="K44" s="71">
        <f>'MODELO PARA BI'!AV63</f>
        <v/>
      </c>
      <c r="L44" s="71">
        <f>'MODELO PARA BI'!AV64</f>
        <v/>
      </c>
      <c r="M44" s="55">
        <f>M43+J44</f>
        <v/>
      </c>
    </row>
    <row r="45">
      <c r="A45" s="112">
        <f>'MODELO PARA BI'!AW1</f>
        <v/>
      </c>
      <c r="B45" s="113" t="n"/>
      <c r="C45" s="110">
        <f>C44+B45</f>
        <v/>
      </c>
      <c r="D45" s="63">
        <f>IF(A45&lt;='VALOR POR PL'!$P$5,'MODELO PARA BI'!AW61,0)</f>
        <v/>
      </c>
      <c r="E45" s="63">
        <f>IF(A45&gt;'VALOR POR PL'!$P$5,'MODELO PARA BI'!AW61,0)</f>
        <v/>
      </c>
      <c r="F45" s="110">
        <f>IF('MODELO PARA BI'!$E$61=0,0,(D45+E45)/'MODELO PARA BI'!$E$61)</f>
        <v/>
      </c>
      <c r="G45" s="110">
        <f>G44+F45</f>
        <v/>
      </c>
      <c r="I45" s="50">
        <f>B45*'VALOR POR PL'!$G$50</f>
        <v/>
      </c>
      <c r="J45" s="55">
        <f>I45*IF(A45&lt;='VALOR POR PL'!$P$5,IFERROR(INDEX('"INCC-FGV"'!$B$2:$B$400,MATCH(A45,'"INCC-FGV"'!$A$2:$A$400,0)),'VALOR POR PL'!$P$7),'VALOR POR PL'!$P$7)</f>
        <v/>
      </c>
      <c r="K45" s="71">
        <f>'MODELO PARA BI'!AW63</f>
        <v/>
      </c>
      <c r="L45" s="71">
        <f>'MODELO PARA BI'!AW64</f>
        <v/>
      </c>
      <c r="M45" s="55">
        <f>M44+J45</f>
        <v/>
      </c>
    </row>
    <row r="46">
      <c r="A46" s="112">
        <f>'MODELO PARA BI'!AX1</f>
        <v/>
      </c>
      <c r="B46" s="113" t="n"/>
      <c r="C46" s="110">
        <f>C45+B46</f>
        <v/>
      </c>
      <c r="D46" s="63">
        <f>IF(A46&lt;='VALOR POR PL'!$P$5,'MODELO PARA BI'!AX61,0)</f>
        <v/>
      </c>
      <c r="E46" s="63">
        <f>IF(A46&gt;'VALOR POR PL'!$P$5,'MODELO PARA BI'!AX61,0)</f>
        <v/>
      </c>
      <c r="F46" s="110">
        <f>IF('MODELO PARA BI'!$E$61=0,0,(D46+E46)/'MODELO PARA BI'!$E$61)</f>
        <v/>
      </c>
      <c r="G46" s="110">
        <f>G45+F46</f>
        <v/>
      </c>
      <c r="I46" s="50">
        <f>B46*'VALOR POR PL'!$G$50</f>
        <v/>
      </c>
      <c r="J46" s="55">
        <f>I46*IF(A46&lt;='VALOR POR PL'!$P$5,IFERROR(INDEX('"INCC-FGV"'!$B$2:$B$400,MATCH(A46,'"INCC-FGV"'!$A$2:$A$400,0)),'VALOR POR PL'!$P$7),'VALOR POR PL'!$P$7)</f>
        <v/>
      </c>
      <c r="K46" s="71">
        <f>'MODELO PARA BI'!AX63</f>
        <v/>
      </c>
      <c r="L46" s="71">
        <f>'MODELO PARA BI'!AX64</f>
        <v/>
      </c>
      <c r="M46" s="55">
        <f>M45+J46</f>
        <v/>
      </c>
    </row>
    <row r="47">
      <c r="A47" s="112">
        <f>'MODELO PARA BI'!AY1</f>
        <v/>
      </c>
      <c r="B47" s="113" t="n"/>
      <c r="C47" s="110">
        <f>C46+B47</f>
        <v/>
      </c>
      <c r="D47" s="63">
        <f>IF(A47&lt;='VALOR POR PL'!$P$5,'MODELO PARA BI'!AY61,0)</f>
        <v/>
      </c>
      <c r="E47" s="63">
        <f>IF(A47&gt;'VALOR POR PL'!$P$5,'MODELO PARA BI'!AY61,0)</f>
        <v/>
      </c>
      <c r="F47" s="110">
        <f>IF('MODELO PARA BI'!$E$61=0,0,(D47+E47)/'MODELO PARA BI'!$E$61)</f>
        <v/>
      </c>
      <c r="G47" s="110">
        <f>G46+F47</f>
        <v/>
      </c>
      <c r="I47" s="50">
        <f>B47*'VALOR POR PL'!$G$50</f>
        <v/>
      </c>
      <c r="J47" s="55">
        <f>I47*IF(A47&lt;='VALOR POR PL'!$P$5,IFERROR(INDEX('"INCC-FGV"'!$B$2:$B$400,MATCH(A47,'"INCC-FGV"'!$A$2:$A$400,0)),'VALOR POR PL'!$P$7),'VALOR POR PL'!$P$7)</f>
        <v/>
      </c>
      <c r="K47" s="71">
        <f>'MODELO PARA BI'!AY63</f>
        <v/>
      </c>
      <c r="L47" s="71">
        <f>'MODELO PARA BI'!AY64</f>
        <v/>
      </c>
      <c r="M47" s="55">
        <f>M46+J47</f>
        <v/>
      </c>
    </row>
    <row r="48">
      <c r="A48" s="112">
        <f>'MODELO PARA BI'!AZ1</f>
        <v/>
      </c>
      <c r="B48" s="113" t="n"/>
      <c r="C48" s="110">
        <f>C47+B48</f>
        <v/>
      </c>
      <c r="D48" s="63">
        <f>IF(A48&lt;='VALOR POR PL'!$P$5,'MODELO PARA BI'!AZ61,0)</f>
        <v/>
      </c>
      <c r="E48" s="63">
        <f>IF(A48&gt;'VALOR POR PL'!$P$5,'MODELO PARA BI'!AZ61,0)</f>
        <v/>
      </c>
      <c r="F48" s="110">
        <f>IF('MODELO PARA BI'!$E$61=0,0,(D48+E48)/'MODELO PARA BI'!$E$61)</f>
        <v/>
      </c>
      <c r="G48" s="110">
        <f>G47+F48</f>
        <v/>
      </c>
      <c r="I48" s="50">
        <f>B48*'VALOR POR PL'!$G$50</f>
        <v/>
      </c>
      <c r="J48" s="55">
        <f>I48*IF(A48&lt;='VALOR POR PL'!$P$5,IFERROR(INDEX('"INCC-FGV"'!$B$2:$B$400,MATCH(A48,'"INCC-FGV"'!$A$2:$A$400,0)),'VALOR POR PL'!$P$7),'VALOR POR PL'!$P$7)</f>
        <v/>
      </c>
      <c r="K48" s="71">
        <f>'MODELO PARA BI'!AZ63</f>
        <v/>
      </c>
      <c r="L48" s="71">
        <f>'MODELO PARA BI'!AZ64</f>
        <v/>
      </c>
      <c r="M48" s="55">
        <f>M47+J48</f>
        <v/>
      </c>
    </row>
    <row r="49">
      <c r="A49" s="112">
        <f>'MODELO PARA BI'!BA1</f>
        <v/>
      </c>
      <c r="B49" s="113" t="n"/>
      <c r="C49" s="110">
        <f>C48+B49</f>
        <v/>
      </c>
      <c r="D49" s="63">
        <f>IF(A49&lt;='VALOR POR PL'!$P$5,'MODELO PARA BI'!BA61,0)</f>
        <v/>
      </c>
      <c r="E49" s="63">
        <f>IF(A49&gt;'VALOR POR PL'!$P$5,'MODELO PARA BI'!BA61,0)</f>
        <v/>
      </c>
      <c r="F49" s="110">
        <f>IF('MODELO PARA BI'!$E$61=0,0,(D49+E49)/'MODELO PARA BI'!$E$61)</f>
        <v/>
      </c>
      <c r="G49" s="110">
        <f>G48+F49</f>
        <v/>
      </c>
      <c r="I49" s="50">
        <f>B49*'VALOR POR PL'!$G$50</f>
        <v/>
      </c>
      <c r="J49" s="55">
        <f>I49*IF(A49&lt;='VALOR POR PL'!$P$5,IFERROR(INDEX('"INCC-FGV"'!$B$2:$B$400,MATCH(A49,'"INCC-FGV"'!$A$2:$A$400,0)),'VALOR POR PL'!$P$7),'VALOR POR PL'!$P$7)</f>
        <v/>
      </c>
      <c r="K49" s="71">
        <f>'MODELO PARA BI'!BA63</f>
        <v/>
      </c>
      <c r="L49" s="71">
        <f>'MODELO PARA BI'!BA64</f>
        <v/>
      </c>
      <c r="M49" s="55">
        <f>M48+J49</f>
        <v/>
      </c>
    </row>
    <row r="50">
      <c r="A50" s="112">
        <f>'MODELO PARA BI'!BB1</f>
        <v/>
      </c>
      <c r="B50" s="113" t="n"/>
      <c r="C50" s="110">
        <f>C49+B50</f>
        <v/>
      </c>
      <c r="D50" s="63">
        <f>IF(A50&lt;='VALOR POR PL'!$P$5,'MODELO PARA BI'!BB61,0)</f>
        <v/>
      </c>
      <c r="E50" s="63">
        <f>IF(A50&gt;'VALOR POR PL'!$P$5,'MODELO PARA BI'!BB61,0)</f>
        <v/>
      </c>
      <c r="F50" s="110">
        <f>IF('MODELO PARA BI'!$E$61=0,0,(D50+E50)/'MODELO PARA BI'!$E$61)</f>
        <v/>
      </c>
      <c r="G50" s="110">
        <f>G49+F50</f>
        <v/>
      </c>
      <c r="I50" s="50">
        <f>B50*'VALOR POR PL'!$G$50</f>
        <v/>
      </c>
      <c r="J50" s="55">
        <f>I50*IF(A50&lt;='VALOR POR PL'!$P$5,IFERROR(INDEX('"INCC-FGV"'!$B$2:$B$400,MATCH(A50,'"INCC-FGV"'!$A$2:$A$400,0)),'VALOR POR PL'!$P$7),'VALOR POR PL'!$P$7)</f>
        <v/>
      </c>
      <c r="K50" s="71">
        <f>'MODELO PARA BI'!BB63</f>
        <v/>
      </c>
      <c r="L50" s="71">
        <f>'MODELO PARA BI'!BB64</f>
        <v/>
      </c>
      <c r="M50" s="55">
        <f>M49+J50</f>
        <v/>
      </c>
    </row>
    <row r="51">
      <c r="A51" s="112">
        <f>'MODELO PARA BI'!BC1</f>
        <v/>
      </c>
      <c r="B51" s="113" t="n"/>
      <c r="C51" s="110">
        <f>C50+B51</f>
        <v/>
      </c>
      <c r="D51" s="63">
        <f>IF(A51&lt;='VALOR POR PL'!$P$5,'MODELO PARA BI'!BC61,0)</f>
        <v/>
      </c>
      <c r="E51" s="63">
        <f>IF(A51&gt;'VALOR POR PL'!$P$5,'MODELO PARA BI'!BC61,0)</f>
        <v/>
      </c>
      <c r="F51" s="110">
        <f>IF('MODELO PARA BI'!$E$61=0,0,(D51+E51)/'MODELO PARA BI'!$E$61)</f>
        <v/>
      </c>
      <c r="G51" s="110">
        <f>G50+F51</f>
        <v/>
      </c>
      <c r="I51" s="50">
        <f>B51*'VALOR POR PL'!$G$50</f>
        <v/>
      </c>
      <c r="J51" s="55">
        <f>I51*IF(A51&lt;='VALOR POR PL'!$P$5,IFERROR(INDEX('"INCC-FGV"'!$B$2:$B$400,MATCH(A51,'"INCC-FGV"'!$A$2:$A$400,0)),'VALOR POR PL'!$P$7),'VALOR POR PL'!$P$7)</f>
        <v/>
      </c>
      <c r="K51" s="71">
        <f>'MODELO PARA BI'!BC63</f>
        <v/>
      </c>
      <c r="L51" s="71">
        <f>'MODELO PARA BI'!BC64</f>
        <v/>
      </c>
      <c r="M51" s="55">
        <f>M50+J51</f>
        <v/>
      </c>
    </row>
    <row r="52">
      <c r="A52" s="112">
        <f>'MODELO PARA BI'!BD1</f>
        <v/>
      </c>
      <c r="B52" s="113" t="n"/>
      <c r="C52" s="110">
        <f>C51+B52</f>
        <v/>
      </c>
      <c r="D52" s="63">
        <f>IF(A52&lt;='VALOR POR PL'!$P$5,'MODELO PARA BI'!BD61,0)</f>
        <v/>
      </c>
      <c r="E52" s="63">
        <f>IF(A52&gt;'VALOR POR PL'!$P$5,'MODELO PARA BI'!BD61,0)</f>
        <v/>
      </c>
      <c r="F52" s="110">
        <f>IF('MODELO PARA BI'!$E$61=0,0,(D52+E52)/'MODELO PARA BI'!$E$61)</f>
        <v/>
      </c>
      <c r="G52" s="110">
        <f>G51+F52</f>
        <v/>
      </c>
      <c r="I52" s="50">
        <f>B52*'VALOR POR PL'!$G$50</f>
        <v/>
      </c>
      <c r="J52" s="55">
        <f>I52*IF(A52&lt;='VALOR POR PL'!$P$5,IFERROR(INDEX('"INCC-FGV"'!$B$2:$B$400,MATCH(A52,'"INCC-FGV"'!$A$2:$A$400,0)),'VALOR POR PL'!$P$7),'VALOR POR PL'!$P$7)</f>
        <v/>
      </c>
      <c r="K52" s="71">
        <f>'MODELO PARA BI'!BD63</f>
        <v/>
      </c>
      <c r="L52" s="71">
        <f>'MODELO PARA BI'!BD64</f>
        <v/>
      </c>
      <c r="M52" s="55">
        <f>M51+J52</f>
        <v/>
      </c>
    </row>
    <row r="53">
      <c r="A53" s="112">
        <f>'MODELO PARA BI'!BE1</f>
        <v/>
      </c>
      <c r="B53" s="113" t="n"/>
      <c r="C53" s="110">
        <f>C52+B53</f>
        <v/>
      </c>
      <c r="D53" s="63">
        <f>IF(A53&lt;='VALOR POR PL'!$P$5,'MODELO PARA BI'!BE61,0)</f>
        <v/>
      </c>
      <c r="E53" s="63">
        <f>IF(A53&gt;'VALOR POR PL'!$P$5,'MODELO PARA BI'!BE61,0)</f>
        <v/>
      </c>
      <c r="F53" s="110">
        <f>IF('MODELO PARA BI'!$E$61=0,0,(D53+E53)/'MODELO PARA BI'!$E$61)</f>
        <v/>
      </c>
      <c r="G53" s="110">
        <f>G52+F53</f>
        <v/>
      </c>
      <c r="I53" s="50">
        <f>B53*'VALOR POR PL'!$G$50</f>
        <v/>
      </c>
      <c r="J53" s="55">
        <f>I53*IF(A53&lt;='VALOR POR PL'!$P$5,IFERROR(INDEX('"INCC-FGV"'!$B$2:$B$400,MATCH(A53,'"INCC-FGV"'!$A$2:$A$400,0)),'VALOR POR PL'!$P$7),'VALOR POR PL'!$P$7)</f>
        <v/>
      </c>
      <c r="K53" s="71">
        <f>'MODELO PARA BI'!BE63</f>
        <v/>
      </c>
      <c r="L53" s="71">
        <f>'MODELO PARA BI'!BE64</f>
        <v/>
      </c>
      <c r="M53" s="55">
        <f>M52+J53</f>
        <v/>
      </c>
    </row>
    <row r="54">
      <c r="A54" s="112">
        <f>'MODELO PARA BI'!BF1</f>
        <v/>
      </c>
      <c r="B54" s="113" t="n"/>
      <c r="C54" s="110">
        <f>C53+B54</f>
        <v/>
      </c>
      <c r="D54" s="63">
        <f>IF(A54&lt;='VALOR POR PL'!$P$5,'MODELO PARA BI'!BF61,0)</f>
        <v/>
      </c>
      <c r="E54" s="63">
        <f>IF(A54&gt;'VALOR POR PL'!$P$5,'MODELO PARA BI'!BF61,0)</f>
        <v/>
      </c>
      <c r="F54" s="110">
        <f>IF('MODELO PARA BI'!$E$61=0,0,(D54+E54)/'MODELO PARA BI'!$E$61)</f>
        <v/>
      </c>
      <c r="G54" s="110">
        <f>G53+F54</f>
        <v/>
      </c>
      <c r="I54" s="50">
        <f>B54*'VALOR POR PL'!$G$50</f>
        <v/>
      </c>
      <c r="J54" s="55">
        <f>I54*IF(A54&lt;='VALOR POR PL'!$P$5,IFERROR(INDEX('"INCC-FGV"'!$B$2:$B$400,MATCH(A54,'"INCC-FGV"'!$A$2:$A$400,0)),'VALOR POR PL'!$P$7),'VALOR POR PL'!$P$7)</f>
        <v/>
      </c>
      <c r="K54" s="71">
        <f>'MODELO PARA BI'!BF63</f>
        <v/>
      </c>
      <c r="L54" s="71">
        <f>'MODELO PARA BI'!BF64</f>
        <v/>
      </c>
      <c r="M54" s="55">
        <f>M53+J54</f>
        <v/>
      </c>
    </row>
    <row r="55">
      <c r="A55" s="112">
        <f>'MODELO PARA BI'!BG1</f>
        <v/>
      </c>
      <c r="B55" s="113" t="n"/>
      <c r="C55" s="110">
        <f>C54+B55</f>
        <v/>
      </c>
      <c r="D55" s="63">
        <f>IF(A55&lt;='VALOR POR PL'!$P$5,'MODELO PARA BI'!BG61,0)</f>
        <v/>
      </c>
      <c r="E55" s="63">
        <f>IF(A55&gt;'VALOR POR PL'!$P$5,'MODELO PARA BI'!BG61,0)</f>
        <v/>
      </c>
      <c r="F55" s="110">
        <f>IF('MODELO PARA BI'!$E$61=0,0,(D55+E55)/'MODELO PARA BI'!$E$61)</f>
        <v/>
      </c>
      <c r="G55" s="110">
        <f>G54+F55</f>
        <v/>
      </c>
      <c r="I55" s="50">
        <f>B55*'VALOR POR PL'!$G$50</f>
        <v/>
      </c>
      <c r="J55" s="55">
        <f>I55*IF(A55&lt;='VALOR POR PL'!$P$5,IFERROR(INDEX('"INCC-FGV"'!$B$2:$B$400,MATCH(A55,'"INCC-FGV"'!$A$2:$A$400,0)),'VALOR POR PL'!$P$7),'VALOR POR PL'!$P$7)</f>
        <v/>
      </c>
      <c r="K55" s="71">
        <f>'MODELO PARA BI'!BG63</f>
        <v/>
      </c>
      <c r="L55" s="71">
        <f>'MODELO PARA BI'!BG64</f>
        <v/>
      </c>
      <c r="M55" s="55">
        <f>M54+J55</f>
        <v/>
      </c>
    </row>
    <row r="56">
      <c r="A56" s="112">
        <f>'MODELO PARA BI'!BH1</f>
        <v/>
      </c>
      <c r="B56" s="113" t="n"/>
      <c r="C56" s="110">
        <f>C55+B56</f>
        <v/>
      </c>
      <c r="D56" s="63">
        <f>IF(A56&lt;='VALOR POR PL'!$P$5,'MODELO PARA BI'!BH61,0)</f>
        <v/>
      </c>
      <c r="E56" s="63">
        <f>IF(A56&gt;'VALOR POR PL'!$P$5,'MODELO PARA BI'!BH61,0)</f>
        <v/>
      </c>
      <c r="F56" s="110">
        <f>IF('MODELO PARA BI'!$E$61=0,0,(D56+E56)/'MODELO PARA BI'!$E$61)</f>
        <v/>
      </c>
      <c r="G56" s="110">
        <f>G55+F56</f>
        <v/>
      </c>
      <c r="I56" s="50">
        <f>B56*'VALOR POR PL'!$G$50</f>
        <v/>
      </c>
      <c r="J56" s="55">
        <f>I56*IF(A56&lt;='VALOR POR PL'!$P$5,IFERROR(INDEX('"INCC-FGV"'!$B$2:$B$400,MATCH(A56,'"INCC-FGV"'!$A$2:$A$400,0)),'VALOR POR PL'!$P$7),'VALOR POR PL'!$P$7)</f>
        <v/>
      </c>
      <c r="K56" s="71">
        <f>'MODELO PARA BI'!BH63</f>
        <v/>
      </c>
      <c r="L56" s="71">
        <f>'MODELO PARA BI'!BH64</f>
        <v/>
      </c>
      <c r="M56" s="55">
        <f>M55+J56</f>
        <v/>
      </c>
    </row>
    <row r="57">
      <c r="A57" s="112">
        <f>'MODELO PARA BI'!BI1</f>
        <v/>
      </c>
      <c r="B57" s="113" t="n"/>
      <c r="C57" s="110">
        <f>C56+B57</f>
        <v/>
      </c>
      <c r="D57" s="63">
        <f>IF(A57&lt;='VALOR POR PL'!$P$5,'MODELO PARA BI'!BI61,0)</f>
        <v/>
      </c>
      <c r="E57" s="63">
        <f>IF(A57&gt;'VALOR POR PL'!$P$5,'MODELO PARA BI'!BI61,0)</f>
        <v/>
      </c>
      <c r="F57" s="110">
        <f>IF('MODELO PARA BI'!$E$61=0,0,(D57+E57)/'MODELO PARA BI'!$E$61)</f>
        <v/>
      </c>
      <c r="G57" s="110">
        <f>G56+F57</f>
        <v/>
      </c>
      <c r="I57" s="50">
        <f>B57*'VALOR POR PL'!$G$50</f>
        <v/>
      </c>
      <c r="J57" s="55">
        <f>I57*IF(A57&lt;='VALOR POR PL'!$P$5,IFERROR(INDEX('"INCC-FGV"'!$B$2:$B$400,MATCH(A57,'"INCC-FGV"'!$A$2:$A$400,0)),'VALOR POR PL'!$P$7),'VALOR POR PL'!$P$7)</f>
        <v/>
      </c>
      <c r="K57" s="71">
        <f>'MODELO PARA BI'!BI63</f>
        <v/>
      </c>
      <c r="L57" s="71">
        <f>'MODELO PARA BI'!BI64</f>
        <v/>
      </c>
      <c r="M57" s="55">
        <f>M56+J57</f>
        <v/>
      </c>
    </row>
    <row r="58">
      <c r="A58" s="112">
        <f>'MODELO PARA BI'!BJ1</f>
        <v/>
      </c>
      <c r="B58" s="113" t="n"/>
      <c r="C58" s="110">
        <f>C57+B58</f>
        <v/>
      </c>
      <c r="D58" s="63">
        <f>IF(A58&lt;='VALOR POR PL'!$P$5,'MODELO PARA BI'!BJ61,0)</f>
        <v/>
      </c>
      <c r="E58" s="63">
        <f>IF(A58&gt;'VALOR POR PL'!$P$5,'MODELO PARA BI'!BJ61,0)</f>
        <v/>
      </c>
      <c r="F58" s="110">
        <f>IF('MODELO PARA BI'!$E$61=0,0,(D58+E58)/'MODELO PARA BI'!$E$61)</f>
        <v/>
      </c>
      <c r="G58" s="110">
        <f>G57+F58</f>
        <v/>
      </c>
      <c r="I58" s="50">
        <f>B58*'VALOR POR PL'!$G$50</f>
        <v/>
      </c>
      <c r="J58" s="55">
        <f>I58*IF(A58&lt;='VALOR POR PL'!$P$5,IFERROR(INDEX('"INCC-FGV"'!$B$2:$B$400,MATCH(A58,'"INCC-FGV"'!$A$2:$A$400,0)),'VALOR POR PL'!$P$7),'VALOR POR PL'!$P$7)</f>
        <v/>
      </c>
      <c r="K58" s="71">
        <f>'MODELO PARA BI'!BJ63</f>
        <v/>
      </c>
      <c r="L58" s="71">
        <f>'MODELO PARA BI'!BJ64</f>
        <v/>
      </c>
      <c r="M58" s="55">
        <f>M57+J58</f>
        <v/>
      </c>
    </row>
    <row r="59">
      <c r="A59" s="112">
        <f>'MODELO PARA BI'!BK1</f>
        <v/>
      </c>
      <c r="B59" s="113" t="n"/>
      <c r="C59" s="110">
        <f>C58+B59</f>
        <v/>
      </c>
      <c r="D59" s="63">
        <f>IF(A59&lt;='VALOR POR PL'!$P$5,'MODELO PARA BI'!BK61,0)</f>
        <v/>
      </c>
      <c r="E59" s="63">
        <f>IF(A59&gt;'VALOR POR PL'!$P$5,'MODELO PARA BI'!BK61,0)</f>
        <v/>
      </c>
      <c r="F59" s="110">
        <f>IF('MODELO PARA BI'!$E$61=0,0,(D59+E59)/'MODELO PARA BI'!$E$61)</f>
        <v/>
      </c>
      <c r="G59" s="110">
        <f>G58+F59</f>
        <v/>
      </c>
      <c r="I59" s="50">
        <f>B59*'VALOR POR PL'!$G$50</f>
        <v/>
      </c>
      <c r="J59" s="55">
        <f>I59*IF(A59&lt;='VALOR POR PL'!$P$5,IFERROR(INDEX('"INCC-FGV"'!$B$2:$B$400,MATCH(A59,'"INCC-FGV"'!$A$2:$A$400,0)),'VALOR POR PL'!$P$7),'VALOR POR PL'!$P$7)</f>
        <v/>
      </c>
      <c r="K59" s="71">
        <f>'MODELO PARA BI'!BK63</f>
        <v/>
      </c>
      <c r="L59" s="71">
        <f>'MODELO PARA BI'!BK64</f>
        <v/>
      </c>
      <c r="M59" s="55">
        <f>M58+J59</f>
        <v/>
      </c>
    </row>
    <row r="60">
      <c r="A60" s="112">
        <f>'MODELO PARA BI'!BL1</f>
        <v/>
      </c>
      <c r="B60" s="113" t="n"/>
      <c r="C60" s="110">
        <f>C59+B60</f>
        <v/>
      </c>
      <c r="D60" s="63">
        <f>IF(A60&lt;='VALOR POR PL'!$P$5,'MODELO PARA BI'!BL61,0)</f>
        <v/>
      </c>
      <c r="E60" s="63">
        <f>IF(A60&gt;'VALOR POR PL'!$P$5,'MODELO PARA BI'!BL61,0)</f>
        <v/>
      </c>
      <c r="F60" s="110">
        <f>IF('MODELO PARA BI'!$E$61=0,0,(D60+E60)/'MODELO PARA BI'!$E$61)</f>
        <v/>
      </c>
      <c r="G60" s="110">
        <f>G59+F60</f>
        <v/>
      </c>
      <c r="I60" s="50">
        <f>B60*'VALOR POR PL'!$G$50</f>
        <v/>
      </c>
      <c r="J60" s="55">
        <f>I60*IF(A60&lt;='VALOR POR PL'!$P$5,IFERROR(INDEX('"INCC-FGV"'!$B$2:$B$400,MATCH(A60,'"INCC-FGV"'!$A$2:$A$400,0)),'VALOR POR PL'!$P$7),'VALOR POR PL'!$P$7)</f>
        <v/>
      </c>
      <c r="K60" s="71">
        <f>'MODELO PARA BI'!BL63</f>
        <v/>
      </c>
      <c r="L60" s="71">
        <f>'MODELO PARA BI'!BL64</f>
        <v/>
      </c>
      <c r="M60" s="55">
        <f>M59+J60</f>
        <v/>
      </c>
    </row>
    <row r="61">
      <c r="A61" s="112">
        <f>'MODELO PARA BI'!BM1</f>
        <v/>
      </c>
      <c r="B61" s="113" t="n"/>
      <c r="C61" s="110">
        <f>C60+B61</f>
        <v/>
      </c>
      <c r="D61" s="63">
        <f>IF(A61&lt;='VALOR POR PL'!$P$5,'MODELO PARA BI'!BM61,0)</f>
        <v/>
      </c>
      <c r="E61" s="63">
        <f>IF(A61&gt;'VALOR POR PL'!$P$5,'MODELO PARA BI'!BM61,0)</f>
        <v/>
      </c>
      <c r="F61" s="110">
        <f>IF('MODELO PARA BI'!$E$61=0,0,(D61+E61)/'MODELO PARA BI'!$E$61)</f>
        <v/>
      </c>
      <c r="G61" s="110">
        <f>G60+F61</f>
        <v/>
      </c>
      <c r="I61" s="50">
        <f>B61*'VALOR POR PL'!$G$50</f>
        <v/>
      </c>
      <c r="J61" s="55">
        <f>I61*IF(A61&lt;='VALOR POR PL'!$P$5,IFERROR(INDEX('"INCC-FGV"'!$B$2:$B$400,MATCH(A61,'"INCC-FGV"'!$A$2:$A$400,0)),'VALOR POR PL'!$P$7),'VALOR POR PL'!$P$7)</f>
        <v/>
      </c>
      <c r="K61" s="71">
        <f>'MODELO PARA BI'!BM63</f>
        <v/>
      </c>
      <c r="L61" s="71">
        <f>'MODELO PARA BI'!BM64</f>
        <v/>
      </c>
      <c r="M61" s="55">
        <f>M60+J61</f>
        <v/>
      </c>
    </row>
    <row r="62">
      <c r="A62" s="112">
        <f>'MODELO PARA BI'!BN1</f>
        <v/>
      </c>
      <c r="B62" s="113" t="n"/>
      <c r="C62" s="110">
        <f>C61+B62</f>
        <v/>
      </c>
      <c r="D62" s="63">
        <f>IF(A62&lt;='VALOR POR PL'!$P$5,'MODELO PARA BI'!BN61,0)</f>
        <v/>
      </c>
      <c r="E62" s="63">
        <f>IF(A62&gt;'VALOR POR PL'!$P$5,'MODELO PARA BI'!BN61,0)</f>
        <v/>
      </c>
      <c r="F62" s="110">
        <f>IF('MODELO PARA BI'!$E$61=0,0,(D62+E62)/'MODELO PARA BI'!$E$61)</f>
        <v/>
      </c>
      <c r="G62" s="110">
        <f>G61+F62</f>
        <v/>
      </c>
      <c r="I62" s="50">
        <f>B62*'VALOR POR PL'!$G$50</f>
        <v/>
      </c>
      <c r="J62" s="55">
        <f>I62*IF(A62&lt;='VALOR POR PL'!$P$5,IFERROR(INDEX('"INCC-FGV"'!$B$2:$B$400,MATCH(A62,'"INCC-FGV"'!$A$2:$A$400,0)),'VALOR POR PL'!$P$7),'VALOR POR PL'!$P$7)</f>
        <v/>
      </c>
      <c r="K62" s="71">
        <f>'MODELO PARA BI'!BN63</f>
        <v/>
      </c>
      <c r="L62" s="71">
        <f>'MODELO PARA BI'!BN64</f>
        <v/>
      </c>
      <c r="M62" s="55">
        <f>M61+J62</f>
        <v/>
      </c>
    </row>
    <row r="63">
      <c r="A63" s="112">
        <f>'MODELO PARA BI'!BO1</f>
        <v/>
      </c>
      <c r="B63" s="113" t="n"/>
      <c r="C63" s="110">
        <f>C62+B63</f>
        <v/>
      </c>
      <c r="D63" s="63">
        <f>IF(A63&lt;='VALOR POR PL'!$P$5,'MODELO PARA BI'!BO61,0)</f>
        <v/>
      </c>
      <c r="E63" s="63">
        <f>IF(A63&gt;'VALOR POR PL'!$P$5,'MODELO PARA BI'!BO61,0)</f>
        <v/>
      </c>
      <c r="F63" s="110">
        <f>IF('MODELO PARA BI'!$E$61=0,0,(D63+E63)/'MODELO PARA BI'!$E$61)</f>
        <v/>
      </c>
      <c r="G63" s="110">
        <f>G62+F63</f>
        <v/>
      </c>
      <c r="I63" s="50">
        <f>B63*'VALOR POR PL'!$G$50</f>
        <v/>
      </c>
      <c r="J63" s="55">
        <f>I63*IF(A63&lt;='VALOR POR PL'!$P$5,IFERROR(INDEX('"INCC-FGV"'!$B$2:$B$400,MATCH(A63,'"INCC-FGV"'!$A$2:$A$400,0)),'VALOR POR PL'!$P$7),'VALOR POR PL'!$P$7)</f>
        <v/>
      </c>
      <c r="K63" s="71">
        <f>'MODELO PARA BI'!BO63</f>
        <v/>
      </c>
      <c r="L63" s="71">
        <f>'MODELO PARA BI'!BO64</f>
        <v/>
      </c>
      <c r="M63" s="55">
        <f>M62+J63</f>
        <v/>
      </c>
    </row>
    <row r="64">
      <c r="A64" s="112">
        <f>'MODELO PARA BI'!BP1</f>
        <v/>
      </c>
      <c r="B64" s="113" t="n"/>
      <c r="C64" s="110">
        <f>C63+B64</f>
        <v/>
      </c>
      <c r="D64" s="63">
        <f>IF(A64&lt;='VALOR POR PL'!$P$5,'MODELO PARA BI'!BP61,0)</f>
        <v/>
      </c>
      <c r="E64" s="63">
        <f>IF(A64&gt;'VALOR POR PL'!$P$5,'MODELO PARA BI'!BP61,0)</f>
        <v/>
      </c>
      <c r="F64" s="110">
        <f>IF('MODELO PARA BI'!$E$61=0,0,(D64+E64)/'MODELO PARA BI'!$E$61)</f>
        <v/>
      </c>
      <c r="G64" s="110">
        <f>G63+F64</f>
        <v/>
      </c>
      <c r="I64" s="50">
        <f>B64*'VALOR POR PL'!$G$50</f>
        <v/>
      </c>
      <c r="J64" s="55">
        <f>I64*IF(A64&lt;='VALOR POR PL'!$P$5,IFERROR(INDEX('"INCC-FGV"'!$B$2:$B$400,MATCH(A64,'"INCC-FGV"'!$A$2:$A$400,0)),'VALOR POR PL'!$P$7),'VALOR POR PL'!$P$7)</f>
        <v/>
      </c>
      <c r="K64" s="71">
        <f>'MODELO PARA BI'!BP63</f>
        <v/>
      </c>
      <c r="L64" s="71">
        <f>'MODELO PARA BI'!BP64</f>
        <v/>
      </c>
      <c r="M64" s="55">
        <f>M63+J64</f>
        <v/>
      </c>
    </row>
    <row r="65">
      <c r="A65" s="112">
        <f>'MODELO PARA BI'!BQ1</f>
        <v/>
      </c>
      <c r="B65" s="113" t="n"/>
      <c r="C65" s="110">
        <f>C64+B65</f>
        <v/>
      </c>
      <c r="D65" s="63">
        <f>IF(A65&lt;='VALOR POR PL'!$P$5,'MODELO PARA BI'!BQ61,0)</f>
        <v/>
      </c>
      <c r="E65" s="63">
        <f>IF(A65&gt;'VALOR POR PL'!$P$5,'MODELO PARA BI'!BQ61,0)</f>
        <v/>
      </c>
      <c r="F65" s="110">
        <f>IF('MODELO PARA BI'!$E$61=0,0,(D65+E65)/'MODELO PARA BI'!$E$61)</f>
        <v/>
      </c>
      <c r="G65" s="110">
        <f>G64+F65</f>
        <v/>
      </c>
      <c r="I65" s="50">
        <f>B65*'VALOR POR PL'!$G$50</f>
        <v/>
      </c>
      <c r="J65" s="55">
        <f>I65*IF(A65&lt;='VALOR POR PL'!$P$5,IFERROR(INDEX('"INCC-FGV"'!$B$2:$B$400,MATCH(A65,'"INCC-FGV"'!$A$2:$A$400,0)),'VALOR POR PL'!$P$7),'VALOR POR PL'!$P$7)</f>
        <v/>
      </c>
      <c r="K65" s="71">
        <f>'MODELO PARA BI'!BQ63</f>
        <v/>
      </c>
      <c r="L65" s="71">
        <f>'MODELO PARA BI'!BQ64</f>
        <v/>
      </c>
      <c r="M65" s="55">
        <f>M64+J65</f>
        <v/>
      </c>
    </row>
    <row r="66">
      <c r="A66" s="112">
        <f>'MODELO PARA BI'!BR1</f>
        <v/>
      </c>
      <c r="B66" s="113" t="n"/>
      <c r="C66" s="110">
        <f>C65+B66</f>
        <v/>
      </c>
      <c r="D66" s="63">
        <f>IF(A66&lt;='VALOR POR PL'!$P$5,'MODELO PARA BI'!BR61,0)</f>
        <v/>
      </c>
      <c r="E66" s="63">
        <f>IF(A66&gt;'VALOR POR PL'!$P$5,'MODELO PARA BI'!BR61,0)</f>
        <v/>
      </c>
      <c r="F66" s="110">
        <f>IF('MODELO PARA BI'!$E$61=0,0,(D66+E66)/'MODELO PARA BI'!$E$61)</f>
        <v/>
      </c>
      <c r="G66" s="110">
        <f>G65+F66</f>
        <v/>
      </c>
      <c r="I66" s="50">
        <f>B66*'VALOR POR PL'!$G$50</f>
        <v/>
      </c>
      <c r="J66" s="55">
        <f>I66*IF(A66&lt;='VALOR POR PL'!$P$5,IFERROR(INDEX('"INCC-FGV"'!$B$2:$B$400,MATCH(A66,'"INCC-FGV"'!$A$2:$A$400,0)),'VALOR POR PL'!$P$7),'VALOR POR PL'!$P$7)</f>
        <v/>
      </c>
      <c r="K66" s="71">
        <f>'MODELO PARA BI'!BR63</f>
        <v/>
      </c>
      <c r="L66" s="71">
        <f>'MODELO PARA BI'!BR64</f>
        <v/>
      </c>
      <c r="M66" s="55">
        <f>M65+J66</f>
        <v/>
      </c>
    </row>
    <row r="67">
      <c r="A67" s="112">
        <f>'MODELO PARA BI'!BS1</f>
        <v/>
      </c>
      <c r="B67" s="113" t="n"/>
      <c r="C67" s="110">
        <f>C66+B67</f>
        <v/>
      </c>
      <c r="D67" s="63">
        <f>IF(A67&lt;='VALOR POR PL'!$P$5,'MODELO PARA BI'!BS61,0)</f>
        <v/>
      </c>
      <c r="E67" s="63">
        <f>IF(A67&gt;'VALOR POR PL'!$P$5,'MODELO PARA BI'!BS61,0)</f>
        <v/>
      </c>
      <c r="F67" s="110">
        <f>IF('MODELO PARA BI'!$E$61=0,0,(D67+E67)/'MODELO PARA BI'!$E$61)</f>
        <v/>
      </c>
      <c r="G67" s="110">
        <f>G66+F67</f>
        <v/>
      </c>
      <c r="I67" s="50">
        <f>B67*'VALOR POR PL'!$G$50</f>
        <v/>
      </c>
      <c r="J67" s="55">
        <f>I67*IF(A67&lt;='VALOR POR PL'!$P$5,IFERROR(INDEX('"INCC-FGV"'!$B$2:$B$400,MATCH(A67,'"INCC-FGV"'!$A$2:$A$400,0)),'VALOR POR PL'!$P$7),'VALOR POR PL'!$P$7)</f>
        <v/>
      </c>
      <c r="K67" s="71">
        <f>'MODELO PARA BI'!BS63</f>
        <v/>
      </c>
      <c r="L67" s="71">
        <f>'MODELO PARA BI'!BS64</f>
        <v/>
      </c>
      <c r="M67" s="55">
        <f>M66+J67</f>
        <v/>
      </c>
    </row>
    <row r="68">
      <c r="A68" s="112">
        <f>'MODELO PARA BI'!BT1</f>
        <v/>
      </c>
      <c r="B68" s="113" t="n"/>
      <c r="C68" s="110">
        <f>C67+B68</f>
        <v/>
      </c>
      <c r="D68" s="63">
        <f>IF(A68&lt;='VALOR POR PL'!$P$5,'MODELO PARA BI'!BT61,0)</f>
        <v/>
      </c>
      <c r="E68" s="63">
        <f>IF(A68&gt;'VALOR POR PL'!$P$5,'MODELO PARA BI'!BT61,0)</f>
        <v/>
      </c>
      <c r="F68" s="110">
        <f>IF('MODELO PARA BI'!$E$61=0,0,(D68+E68)/'MODELO PARA BI'!$E$61)</f>
        <v/>
      </c>
      <c r="G68" s="110">
        <f>G67+F68</f>
        <v/>
      </c>
      <c r="I68" s="50">
        <f>B68*'VALOR POR PL'!$G$50</f>
        <v/>
      </c>
      <c r="J68" s="55">
        <f>I68*IF(A68&lt;='VALOR POR PL'!$P$5,IFERROR(INDEX('"INCC-FGV"'!$B$2:$B$400,MATCH(A68,'"INCC-FGV"'!$A$2:$A$400,0)),'VALOR POR PL'!$P$7),'VALOR POR PL'!$P$7)</f>
        <v/>
      </c>
      <c r="K68" s="71">
        <f>'MODELO PARA BI'!BT63</f>
        <v/>
      </c>
      <c r="L68" s="71">
        <f>'MODELO PARA BI'!BT64</f>
        <v/>
      </c>
      <c r="M68" s="55">
        <f>M67+J68</f>
        <v/>
      </c>
    </row>
    <row r="69">
      <c r="A69" s="112">
        <f>'MODELO PARA BI'!BU1</f>
        <v/>
      </c>
      <c r="B69" s="113" t="n"/>
      <c r="C69" s="110">
        <f>C68+B69</f>
        <v/>
      </c>
      <c r="D69" s="63">
        <f>IF(A69&lt;='VALOR POR PL'!$P$5,'MODELO PARA BI'!BU61,0)</f>
        <v/>
      </c>
      <c r="E69" s="63">
        <f>IF(A69&gt;'VALOR POR PL'!$P$5,'MODELO PARA BI'!BU61,0)</f>
        <v/>
      </c>
      <c r="F69" s="110">
        <f>IF('MODELO PARA BI'!$E$61=0,0,(D69+E69)/'MODELO PARA BI'!$E$61)</f>
        <v/>
      </c>
      <c r="G69" s="110">
        <f>G68+F69</f>
        <v/>
      </c>
      <c r="I69" s="50">
        <f>B69*'VALOR POR PL'!$G$50</f>
        <v/>
      </c>
      <c r="J69" s="55">
        <f>I69*IF(A69&lt;='VALOR POR PL'!$P$5,IFERROR(INDEX('"INCC-FGV"'!$B$2:$B$400,MATCH(A69,'"INCC-FGV"'!$A$2:$A$400,0)),'VALOR POR PL'!$P$7),'VALOR POR PL'!$P$7)</f>
        <v/>
      </c>
      <c r="K69" s="71">
        <f>'MODELO PARA BI'!BU63</f>
        <v/>
      </c>
      <c r="L69" s="71">
        <f>'MODELO PARA BI'!BU64</f>
        <v/>
      </c>
      <c r="M69" s="55">
        <f>M68+J69</f>
        <v/>
      </c>
    </row>
    <row r="70">
      <c r="A70" s="112">
        <f>'MODELO PARA BI'!BV1</f>
        <v/>
      </c>
      <c r="B70" s="113" t="n"/>
      <c r="C70" s="110">
        <f>C69+B70</f>
        <v/>
      </c>
      <c r="D70" s="63">
        <f>IF(A70&lt;='VALOR POR PL'!$P$5,'MODELO PARA BI'!BV61,0)</f>
        <v/>
      </c>
      <c r="E70" s="63">
        <f>IF(A70&gt;'VALOR POR PL'!$P$5,'MODELO PARA BI'!BV61,0)</f>
        <v/>
      </c>
      <c r="F70" s="110">
        <f>IF('MODELO PARA BI'!$E$61=0,0,(D70+E70)/'MODELO PARA BI'!$E$61)</f>
        <v/>
      </c>
      <c r="G70" s="110">
        <f>G69+F70</f>
        <v/>
      </c>
      <c r="I70" s="50">
        <f>B70*'VALOR POR PL'!$G$50</f>
        <v/>
      </c>
      <c r="J70" s="55">
        <f>I70*IF(A70&lt;='VALOR POR PL'!$P$5,IFERROR(INDEX('"INCC-FGV"'!$B$2:$B$400,MATCH(A70,'"INCC-FGV"'!$A$2:$A$400,0)),'VALOR POR PL'!$P$7),'VALOR POR PL'!$P$7)</f>
        <v/>
      </c>
      <c r="K70" s="71">
        <f>'MODELO PARA BI'!BV63</f>
        <v/>
      </c>
      <c r="L70" s="71">
        <f>'MODELO PARA BI'!BV64</f>
        <v/>
      </c>
      <c r="M70" s="55">
        <f>M69+J70</f>
        <v/>
      </c>
    </row>
    <row r="71">
      <c r="A71" s="112">
        <f>'MODELO PARA BI'!BW1</f>
        <v/>
      </c>
      <c r="B71" s="113" t="n"/>
      <c r="C71" s="110">
        <f>C70+B71</f>
        <v/>
      </c>
      <c r="D71" s="63">
        <f>IF(A71&lt;='VALOR POR PL'!$P$5,'MODELO PARA BI'!BW61,0)</f>
        <v/>
      </c>
      <c r="E71" s="63">
        <f>IF(A71&gt;'VALOR POR PL'!$P$5,'MODELO PARA BI'!BW61,0)</f>
        <v/>
      </c>
      <c r="F71" s="110">
        <f>IF('MODELO PARA BI'!$E$61=0,0,(D71+E71)/'MODELO PARA BI'!$E$61)</f>
        <v/>
      </c>
      <c r="G71" s="110">
        <f>G70+F71</f>
        <v/>
      </c>
      <c r="I71" s="50">
        <f>B71*'VALOR POR PL'!$G$50</f>
        <v/>
      </c>
      <c r="J71" s="55">
        <f>I71*IF(A71&lt;='VALOR POR PL'!$P$5,IFERROR(INDEX('"INCC-FGV"'!$B$2:$B$400,MATCH(A71,'"INCC-FGV"'!$A$2:$A$400,0)),'VALOR POR PL'!$P$7),'VALOR POR PL'!$P$7)</f>
        <v/>
      </c>
      <c r="K71" s="71">
        <f>'MODELO PARA BI'!BW63</f>
        <v/>
      </c>
      <c r="L71" s="71">
        <f>'MODELO PARA BI'!BW64</f>
        <v/>
      </c>
      <c r="M71" s="55">
        <f>M70+J71</f>
        <v/>
      </c>
    </row>
    <row r="72">
      <c r="A72" s="112">
        <f>'MODELO PARA BI'!BX1</f>
        <v/>
      </c>
      <c r="B72" s="113" t="n"/>
      <c r="C72" s="110">
        <f>C71+B72</f>
        <v/>
      </c>
      <c r="D72" s="63">
        <f>IF(A72&lt;='VALOR POR PL'!$P$5,'MODELO PARA BI'!BX61,0)</f>
        <v/>
      </c>
      <c r="E72" s="63">
        <f>IF(A72&gt;'VALOR POR PL'!$P$5,'MODELO PARA BI'!BX61,0)</f>
        <v/>
      </c>
      <c r="F72" s="110">
        <f>IF('MODELO PARA BI'!$E$61=0,0,(D72+E72)/'MODELO PARA BI'!$E$61)</f>
        <v/>
      </c>
      <c r="G72" s="110">
        <f>G71+F72</f>
        <v/>
      </c>
      <c r="I72" s="50">
        <f>B72*'VALOR POR PL'!$G$50</f>
        <v/>
      </c>
      <c r="J72" s="55">
        <f>I72*IF(A72&lt;='VALOR POR PL'!$P$5,IFERROR(INDEX('"INCC-FGV"'!$B$2:$B$400,MATCH(A72,'"INCC-FGV"'!$A$2:$A$400,0)),'VALOR POR PL'!$P$7),'VALOR POR PL'!$P$7)</f>
        <v/>
      </c>
      <c r="K72" s="71">
        <f>'MODELO PARA BI'!BX63</f>
        <v/>
      </c>
      <c r="L72" s="71">
        <f>'MODELO PARA BI'!BX64</f>
        <v/>
      </c>
      <c r="M72" s="55">
        <f>M71+J72</f>
        <v/>
      </c>
    </row>
    <row r="73">
      <c r="A73" s="112">
        <f>'MODELO PARA BI'!BY1</f>
        <v/>
      </c>
      <c r="B73" s="113" t="n"/>
      <c r="C73" s="110">
        <f>C72+B73</f>
        <v/>
      </c>
      <c r="D73" s="63">
        <f>IF(A73&lt;='VALOR POR PL'!$P$5,'MODELO PARA BI'!BY61,0)</f>
        <v/>
      </c>
      <c r="E73" s="63">
        <f>IF(A73&gt;'VALOR POR PL'!$P$5,'MODELO PARA BI'!BY61,0)</f>
        <v/>
      </c>
      <c r="F73" s="110">
        <f>IF('MODELO PARA BI'!$E$61=0,0,(D73+E73)/'MODELO PARA BI'!$E$61)</f>
        <v/>
      </c>
      <c r="G73" s="110">
        <f>G72+F73</f>
        <v/>
      </c>
      <c r="I73" s="50">
        <f>B73*'VALOR POR PL'!$G$50</f>
        <v/>
      </c>
      <c r="J73" s="55">
        <f>I73*IF(A73&lt;='VALOR POR PL'!$P$5,IFERROR(INDEX('"INCC-FGV"'!$B$2:$B$400,MATCH(A73,'"INCC-FGV"'!$A$2:$A$400,0)),'VALOR POR PL'!$P$7),'VALOR POR PL'!$P$7)</f>
        <v/>
      </c>
      <c r="K73" s="71">
        <f>'MODELO PARA BI'!BY63</f>
        <v/>
      </c>
      <c r="L73" s="71">
        <f>'MODELO PARA BI'!BY64</f>
        <v/>
      </c>
      <c r="M73" s="55">
        <f>M72+J73</f>
        <v/>
      </c>
    </row>
    <row r="74">
      <c r="A74" s="112">
        <f>'MODELO PARA BI'!BZ1</f>
        <v/>
      </c>
      <c r="B74" s="113" t="n"/>
      <c r="C74" s="110">
        <f>C73+B74</f>
        <v/>
      </c>
      <c r="D74" s="63">
        <f>IF(A74&lt;='VALOR POR PL'!$P$5,'MODELO PARA BI'!BZ61,0)</f>
        <v/>
      </c>
      <c r="E74" s="63">
        <f>IF(A74&gt;'VALOR POR PL'!$P$5,'MODELO PARA BI'!BZ61,0)</f>
        <v/>
      </c>
      <c r="F74" s="110">
        <f>IF('MODELO PARA BI'!$E$61=0,0,(D74+E74)/'MODELO PARA BI'!$E$61)</f>
        <v/>
      </c>
      <c r="G74" s="110">
        <f>G73+F74</f>
        <v/>
      </c>
      <c r="I74" s="50">
        <f>B74*'VALOR POR PL'!$G$50</f>
        <v/>
      </c>
      <c r="J74" s="55">
        <f>I74*IF(A74&lt;='VALOR POR PL'!$P$5,IFERROR(INDEX('"INCC-FGV"'!$B$2:$B$400,MATCH(A74,'"INCC-FGV"'!$A$2:$A$400,0)),'VALOR POR PL'!$P$7),'VALOR POR PL'!$P$7)</f>
        <v/>
      </c>
      <c r="K74" s="71">
        <f>'MODELO PARA BI'!BZ63</f>
        <v/>
      </c>
      <c r="L74" s="71">
        <f>'MODELO PARA BI'!BZ64</f>
        <v/>
      </c>
      <c r="M74" s="55">
        <f>M73+J74</f>
        <v/>
      </c>
    </row>
    <row r="75">
      <c r="A75" s="112">
        <f>'MODELO PARA BI'!CA1</f>
        <v/>
      </c>
      <c r="B75" s="113" t="n"/>
      <c r="C75" s="110">
        <f>C74+B75</f>
        <v/>
      </c>
      <c r="D75" s="63">
        <f>IF(A75&lt;='VALOR POR PL'!$P$5,'MODELO PARA BI'!CA61,0)</f>
        <v/>
      </c>
      <c r="E75" s="63">
        <f>IF(A75&gt;'VALOR POR PL'!$P$5,'MODELO PARA BI'!CA61,0)</f>
        <v/>
      </c>
      <c r="F75" s="110">
        <f>IF('MODELO PARA BI'!$E$61=0,0,(D75+E75)/'MODELO PARA BI'!$E$61)</f>
        <v/>
      </c>
      <c r="G75" s="110">
        <f>G74+F75</f>
        <v/>
      </c>
      <c r="I75" s="50">
        <f>B75*'VALOR POR PL'!$G$50</f>
        <v/>
      </c>
      <c r="J75" s="55">
        <f>I75*IF(A75&lt;='VALOR POR PL'!$P$5,IFERROR(INDEX('"INCC-FGV"'!$B$2:$B$400,MATCH(A75,'"INCC-FGV"'!$A$2:$A$400,0)),'VALOR POR PL'!$P$7),'VALOR POR PL'!$P$7)</f>
        <v/>
      </c>
      <c r="K75" s="71">
        <f>'MODELO PARA BI'!CA63</f>
        <v/>
      </c>
      <c r="L75" s="71">
        <f>'MODELO PARA BI'!CA64</f>
        <v/>
      </c>
      <c r="M75" s="55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9" t="inlineStr">
        <is>
          <t>Mês</t>
        </is>
      </c>
      <c r="B1" s="59" t="inlineStr">
        <is>
          <t>Índice</t>
        </is>
      </c>
      <c r="C1" s="59" t="inlineStr">
        <is>
          <t>(%) mês</t>
        </is>
      </c>
      <c r="D1" s="59" t="inlineStr">
        <is>
          <t>(%) no ano</t>
        </is>
      </c>
      <c r="E1" s="59" t="inlineStr">
        <is>
          <t>(%) 12 meses</t>
        </is>
      </c>
    </row>
    <row r="2">
      <c r="A2" s="114" t="n">
        <v>45536</v>
      </c>
      <c r="B2" s="48" t="n">
        <v>1136.521</v>
      </c>
      <c r="D2" s="115">
        <f>IF(B2="","",IFERROR(B2/INDEX($B$2:$B$400,MATCH(DATE(YEAR(A2)-1,12,1),$A$2:$A$400,0))-1,""))</f>
        <v/>
      </c>
      <c r="E2" s="115">
        <f>IF(B2="","",IFERROR(B2/INDEX($B$2:$B$400,MATCH(DATE(YEAR(A2)-1,MONTH(A2),1),$A$2:$A$400,0))-1,""))</f>
        <v/>
      </c>
      <c r="G2" s="116" t="inlineStr">
        <is>
          <t>Fonte: FGV (INCC-DI). Acrescente uma linha por mês.</t>
        </is>
      </c>
    </row>
    <row r="3">
      <c r="A3" s="114" t="n">
        <v>45566</v>
      </c>
      <c r="B3" s="48" t="n">
        <v>1144.136</v>
      </c>
      <c r="C3" s="115">
        <f>IF(OR(B3="",B2=""),"",B3/B2-1)</f>
        <v/>
      </c>
      <c r="D3" s="115">
        <f>IF(B3="","",IFERROR(B3/INDEX($B$2:$B$400,MATCH(DATE(YEAR(A3)-1,12,1),$A$2:$A$400,0))-1,""))</f>
        <v/>
      </c>
      <c r="E3" s="115">
        <f>IF(B3="","",IFERROR(B3/INDEX($B$2:$B$400,MATCH(DATE(YEAR(A3)-1,MONTH(A3),1),$A$2:$A$400,0))-1,""))</f>
        <v/>
      </c>
    </row>
    <row r="4">
      <c r="A4" s="114" t="n">
        <v>45597</v>
      </c>
      <c r="B4" s="48" t="n">
        <v>1149.158</v>
      </c>
      <c r="C4" s="115">
        <f>IF(OR(B4="",B3=""),"",B4/B3-1)</f>
        <v/>
      </c>
      <c r="D4" s="115">
        <f>IF(B4="","",IFERROR(B4/INDEX($B$2:$B$400,MATCH(DATE(YEAR(A4)-1,12,1),$A$2:$A$400,0))-1,""))</f>
        <v/>
      </c>
      <c r="E4" s="115">
        <f>IF(B4="","",IFERROR(B4/INDEX($B$2:$B$400,MATCH(DATE(YEAR(A4)-1,MONTH(A4),1),$A$2:$A$400,0))-1,""))</f>
        <v/>
      </c>
    </row>
    <row r="5">
      <c r="A5" s="114" t="n">
        <v>45627</v>
      </c>
      <c r="B5" s="48" t="n">
        <v>1154.99</v>
      </c>
      <c r="C5" s="115">
        <f>IF(OR(B5="",B4=""),"",B5/B4-1)</f>
        <v/>
      </c>
      <c r="D5" s="115">
        <f>IF(B5="","",IFERROR(B5/INDEX($B$2:$B$400,MATCH(DATE(YEAR(A5)-1,12,1),$A$2:$A$400,0))-1,""))</f>
        <v/>
      </c>
      <c r="E5" s="115">
        <f>IF(B5="","",IFERROR(B5/INDEX($B$2:$B$400,MATCH(DATE(YEAR(A5)-1,MONTH(A5),1),$A$2:$A$400,0))-1,""))</f>
        <v/>
      </c>
    </row>
    <row r="6">
      <c r="A6" s="114" t="n">
        <v>45658</v>
      </c>
      <c r="B6" s="48" t="n">
        <v>1163.221</v>
      </c>
      <c r="C6" s="115">
        <f>IF(OR(B6="",B5=""),"",B6/B5-1)</f>
        <v/>
      </c>
      <c r="D6" s="115">
        <f>IF(B6="","",IFERROR(B6/INDEX($B$2:$B$400,MATCH(DATE(YEAR(A6)-1,12,1),$A$2:$A$400,0))-1,""))</f>
        <v/>
      </c>
      <c r="E6" s="115">
        <f>IF(B6="","",IFERROR(B6/INDEX($B$2:$B$400,MATCH(DATE(YEAR(A6)-1,MONTH(A6),1),$A$2:$A$400,0))-1,""))</f>
        <v/>
      </c>
    </row>
    <row r="7">
      <c r="A7" s="114" t="n">
        <v>45689</v>
      </c>
      <c r="B7" s="48" t="n">
        <v>1169.156</v>
      </c>
      <c r="C7" s="115">
        <f>IF(OR(B7="",B6=""),"",B7/B6-1)</f>
        <v/>
      </c>
      <c r="D7" s="115">
        <f>IF(B7="","",IFERROR(B7/INDEX($B$2:$B$400,MATCH(DATE(YEAR(A7)-1,12,1),$A$2:$A$400,0))-1,""))</f>
        <v/>
      </c>
      <c r="E7" s="115">
        <f>IF(B7="","",IFERROR(B7/INDEX($B$2:$B$400,MATCH(DATE(YEAR(A7)-1,MONTH(A7),1),$A$2:$A$400,0))-1,""))</f>
        <v/>
      </c>
    </row>
    <row r="8">
      <c r="A8" s="114" t="n">
        <v>45717</v>
      </c>
      <c r="B8" s="48" t="n">
        <v>1173.586</v>
      </c>
      <c r="C8" s="115">
        <f>IF(OR(B8="",B7=""),"",B8/B7-1)</f>
        <v/>
      </c>
      <c r="D8" s="115">
        <f>IF(B8="","",IFERROR(B8/INDEX($B$2:$B$400,MATCH(DATE(YEAR(A8)-1,12,1),$A$2:$A$400,0))-1,""))</f>
        <v/>
      </c>
      <c r="E8" s="115">
        <f>IF(B8="","",IFERROR(B8/INDEX($B$2:$B$400,MATCH(DATE(YEAR(A8)-1,MONTH(A8),1),$A$2:$A$400,0))-1,""))</f>
        <v/>
      </c>
    </row>
    <row r="9">
      <c r="A9" s="114" t="n">
        <v>45748</v>
      </c>
      <c r="B9" s="48" t="n">
        <v>1180.564</v>
      </c>
      <c r="C9" s="115">
        <f>IF(OR(B9="",B8=""),"",B9/B8-1)</f>
        <v/>
      </c>
      <c r="D9" s="115">
        <f>IF(B9="","",IFERROR(B9/INDEX($B$2:$B$400,MATCH(DATE(YEAR(A9)-1,12,1),$A$2:$A$400,0))-1,""))</f>
        <v/>
      </c>
      <c r="E9" s="115">
        <f>IF(B9="","",IFERROR(B9/INDEX($B$2:$B$400,MATCH(DATE(YEAR(A9)-1,MONTH(A9),1),$A$2:$A$400,0))-1,""))</f>
        <v/>
      </c>
    </row>
    <row r="10">
      <c r="A10" s="114" t="n">
        <v>45778</v>
      </c>
      <c r="B10" s="48" t="n">
        <v>1183.606</v>
      </c>
      <c r="C10" s="115">
        <f>IF(OR(B10="",B9=""),"",B10/B9-1)</f>
        <v/>
      </c>
      <c r="D10" s="115">
        <f>IF(B10="","",IFERROR(B10/INDEX($B$2:$B$400,MATCH(DATE(YEAR(A10)-1,12,1),$A$2:$A$400,0))-1,""))</f>
        <v/>
      </c>
      <c r="E10" s="115">
        <f>IF(B10="","",IFERROR(B10/INDEX($B$2:$B$400,MATCH(DATE(YEAR(A10)-1,MONTH(A10),1),$A$2:$A$400,0))-1,""))</f>
        <v/>
      </c>
    </row>
    <row r="11">
      <c r="A11" s="114" t="n">
        <v>45809</v>
      </c>
      <c r="B11" s="48" t="n">
        <v>1194.912</v>
      </c>
      <c r="C11" s="115">
        <f>IF(OR(B11="",B10=""),"",B11/B10-1)</f>
        <v/>
      </c>
      <c r="D11" s="115">
        <f>IF(B11="","",IFERROR(B11/INDEX($B$2:$B$400,MATCH(DATE(YEAR(A11)-1,12,1),$A$2:$A$400,0))-1,""))</f>
        <v/>
      </c>
      <c r="E11" s="115">
        <f>IF(B11="","",IFERROR(B11/INDEX($B$2:$B$400,MATCH(DATE(YEAR(A11)-1,MONTH(A11),1),$A$2:$A$400,0))-1,""))</f>
        <v/>
      </c>
    </row>
    <row r="12">
      <c r="A12" s="114" t="n">
        <v>45839</v>
      </c>
      <c r="B12" s="48" t="n">
        <v>1205.838</v>
      </c>
      <c r="C12" s="115">
        <f>IF(OR(B12="",B11=""),"",B12/B11-1)</f>
        <v/>
      </c>
      <c r="D12" s="115">
        <f>IF(B12="","",IFERROR(B12/INDEX($B$2:$B$400,MATCH(DATE(YEAR(A12)-1,12,1),$A$2:$A$400,0))-1,""))</f>
        <v/>
      </c>
      <c r="E12" s="115">
        <f>IF(B12="","",IFERROR(B12/INDEX($B$2:$B$400,MATCH(DATE(YEAR(A12)-1,MONTH(A12),1),$A$2:$A$400,0))-1,""))</f>
        <v/>
      </c>
    </row>
    <row r="13">
      <c r="A13" s="114" t="n">
        <v>45870</v>
      </c>
      <c r="B13" s="48" t="n">
        <v>1214.239</v>
      </c>
      <c r="C13" s="115">
        <f>IF(OR(B13="",B12=""),"",B13/B12-1)</f>
        <v/>
      </c>
      <c r="D13" s="115">
        <f>IF(B13="","",IFERROR(B13/INDEX($B$2:$B$400,MATCH(DATE(YEAR(A13)-1,12,1),$A$2:$A$400,0))-1,""))</f>
        <v/>
      </c>
      <c r="E13" s="115">
        <f>IF(B13="","",IFERROR(B13/INDEX($B$2:$B$400,MATCH(DATE(YEAR(A13)-1,MONTH(A13),1),$A$2:$A$400,0))-1,""))</f>
        <v/>
      </c>
    </row>
    <row r="14">
      <c r="A14" s="114" t="n">
        <v>45901</v>
      </c>
      <c r="B14" s="48" t="n">
        <v>1216.825</v>
      </c>
      <c r="C14" s="115">
        <f>IF(OR(B14="",B13=""),"",B14/B13-1)</f>
        <v/>
      </c>
      <c r="D14" s="115">
        <f>IF(B14="","",IFERROR(B14/INDEX($B$2:$B$400,MATCH(DATE(YEAR(A14)-1,12,1),$A$2:$A$400,0))-1,""))</f>
        <v/>
      </c>
      <c r="E14" s="115">
        <f>IF(B14="","",IFERROR(B14/INDEX($B$2:$B$400,MATCH(DATE(YEAR(A14)-1,MONTH(A14),1),$A$2:$A$400,0))-1,""))</f>
        <v/>
      </c>
    </row>
    <row r="15">
      <c r="A15" s="114" t="n">
        <v>45931</v>
      </c>
      <c r="B15" s="48" t="n">
        <v>1219.407</v>
      </c>
      <c r="C15" s="115">
        <f>IF(OR(B15="",B14=""),"",B15/B14-1)</f>
        <v/>
      </c>
      <c r="D15" s="115">
        <f>IF(B15="","",IFERROR(B15/INDEX($B$2:$B$400,MATCH(DATE(YEAR(A15)-1,12,1),$A$2:$A$400,0))-1,""))</f>
        <v/>
      </c>
      <c r="E15" s="115">
        <f>IF(B15="","",IFERROR(B15/INDEX($B$2:$B$400,MATCH(DATE(YEAR(A15)-1,MONTH(A15),1),$A$2:$A$400,0))-1,""))</f>
        <v/>
      </c>
    </row>
    <row r="16">
      <c r="A16" s="114" t="n">
        <v>45962</v>
      </c>
      <c r="B16" s="48" t="n">
        <v>1222.865</v>
      </c>
      <c r="C16" s="115">
        <f>IF(OR(B16="",B15=""),"",B16/B15-1)</f>
        <v/>
      </c>
      <c r="D16" s="115">
        <f>IF(B16="","",IFERROR(B16/INDEX($B$2:$B$400,MATCH(DATE(YEAR(A16)-1,12,1),$A$2:$A$400,0))-1,""))</f>
        <v/>
      </c>
      <c r="E16" s="115">
        <f>IF(B16="","",IFERROR(B16/INDEX($B$2:$B$400,MATCH(DATE(YEAR(A16)-1,MONTH(A16),1),$A$2:$A$400,0))-1,""))</f>
        <v/>
      </c>
    </row>
    <row r="17">
      <c r="A17" s="114" t="n">
        <v>45992</v>
      </c>
      <c r="B17" s="48" t="n">
        <v>1225.398</v>
      </c>
      <c r="C17" s="115">
        <f>IF(OR(B17="",B16=""),"",B17/B16-1)</f>
        <v/>
      </c>
      <c r="D17" s="115">
        <f>IF(B17="","",IFERROR(B17/INDEX($B$2:$B$400,MATCH(DATE(YEAR(A17)-1,12,1),$A$2:$A$400,0))-1,""))</f>
        <v/>
      </c>
      <c r="E17" s="115">
        <f>IF(B17="","",IFERROR(B17/INDEX($B$2:$B$400,MATCH(DATE(YEAR(A17)-1,MONTH(A17),1),$A$2:$A$400,0))-1,""))</f>
        <v/>
      </c>
    </row>
    <row r="18">
      <c r="A18" s="114" t="n">
        <v>46023</v>
      </c>
      <c r="B18" s="48" t="n">
        <v>1233.096</v>
      </c>
      <c r="C18" s="115">
        <f>IF(OR(B18="",B17=""),"",B18/B17-1)</f>
        <v/>
      </c>
      <c r="D18" s="115">
        <f>IF(B18="","",IFERROR(B18/INDEX($B$2:$B$400,MATCH(DATE(YEAR(A18)-1,12,1),$A$2:$A$400,0))-1,""))</f>
        <v/>
      </c>
      <c r="E18" s="115">
        <f>IF(B18="","",IFERROR(B18/INDEX($B$2:$B$400,MATCH(DATE(YEAR(A18)-1,MONTH(A18),1),$A$2:$A$400,0))-1,""))</f>
        <v/>
      </c>
    </row>
    <row r="19">
      <c r="A19" s="114" t="n">
        <v>46054</v>
      </c>
      <c r="B19" s="48" t="n">
        <v>1237.312</v>
      </c>
      <c r="C19" s="115">
        <f>IF(OR(B19="",B18=""),"",B19/B18-1)</f>
        <v/>
      </c>
      <c r="D19" s="115">
        <f>IF(B19="","",IFERROR(B19/INDEX($B$2:$B$400,MATCH(DATE(YEAR(A19)-1,12,1),$A$2:$A$400,0))-1,""))</f>
        <v/>
      </c>
      <c r="E19" s="115">
        <f>IF(B19="","",IFERROR(B19/INDEX($B$2:$B$400,MATCH(DATE(YEAR(A19)-1,MONTH(A19),1),$A$2:$A$400,0))-1,""))</f>
        <v/>
      </c>
    </row>
    <row r="20">
      <c r="A20" s="114" t="n">
        <v>46082</v>
      </c>
      <c r="B20" s="48" t="n">
        <v>1247.181</v>
      </c>
      <c r="C20" s="115">
        <f>IF(OR(B20="",B19=""),"",B20/B19-1)</f>
        <v/>
      </c>
      <c r="D20" s="115">
        <f>IF(B20="","",IFERROR(B20/INDEX($B$2:$B$400,MATCH(DATE(YEAR(A20)-1,12,1),$A$2:$A$400,0))-1,""))</f>
        <v/>
      </c>
      <c r="E20" s="115">
        <f>IF(B20="","",IFERROR(B20/INDEX($B$2:$B$400,MATCH(DATE(YEAR(A20)-1,MONTH(A20),1),$A$2:$A$400,0))-1,""))</f>
        <v/>
      </c>
    </row>
    <row r="21">
      <c r="A21" s="114" t="n">
        <v>46113</v>
      </c>
      <c r="B21" s="48" t="n">
        <v>1259.652</v>
      </c>
      <c r="C21" s="115">
        <f>IF(OR(B21="",B20=""),"",B21/B20-1)</f>
        <v/>
      </c>
      <c r="D21" s="115">
        <f>IF(B21="","",IFERROR(B21/INDEX($B$2:$B$400,MATCH(DATE(YEAR(A21)-1,12,1),$A$2:$A$400,0))-1,""))</f>
        <v/>
      </c>
      <c r="E21" s="115">
        <f>IF(B21="","",IFERROR(B21/INDEX($B$2:$B$400,MATCH(DATE(YEAR(A21)-1,MONTH(A21),1),$A$2:$A$400,0))-1,""))</f>
        <v/>
      </c>
    </row>
    <row r="22">
      <c r="A22" s="114" t="n">
        <v>46143</v>
      </c>
      <c r="B22" s="48" t="n">
        <v>1270.695</v>
      </c>
      <c r="C22" s="115">
        <f>IF(OR(B22="",B21=""),"",B22/B21-1)</f>
        <v/>
      </c>
      <c r="D22" s="115">
        <f>IF(B22="","",IFERROR(B22/INDEX($B$2:$B$400,MATCH(DATE(YEAR(A22)-1,12,1),$A$2:$A$400,0))-1,""))</f>
        <v/>
      </c>
      <c r="E22" s="115">
        <f>IF(B22="","",IFERROR(B22/INDEX($B$2:$B$400,MATCH(DATE(YEAR(A22)-1,MONTH(A22),1),$A$2:$A$400,0))-1,""))</f>
        <v/>
      </c>
    </row>
    <row r="23">
      <c r="A23" s="114" t="n">
        <v>46174</v>
      </c>
      <c r="B23" s="48" t="n">
        <v>1280.641</v>
      </c>
      <c r="C23" s="115">
        <f>IF(OR(B23="",B22=""),"",B23/B22-1)</f>
        <v/>
      </c>
      <c r="D23" s="115">
        <f>IF(B23="","",IFERROR(B23/INDEX($B$2:$B$400,MATCH(DATE(YEAR(A23)-1,12,1),$A$2:$A$400,0))-1,""))</f>
        <v/>
      </c>
      <c r="E23" s="115">
        <f>IF(B23="","",IFERROR(B23/INDEX($B$2:$B$400,MATCH(DATE(YEAR(A23)-1,MONTH(A23),1),$A$2:$A$400,0))-1,""))</f>
        <v/>
      </c>
    </row>
    <row r="24">
      <c r="A24" s="114" t="n">
        <v>46204</v>
      </c>
      <c r="B24" s="48" t="n">
        <v>1288.431</v>
      </c>
      <c r="C24" s="115">
        <f>IF(OR(B24="",B23=""),"",B24/B23-1)</f>
        <v/>
      </c>
      <c r="D24" s="115">
        <f>IF(B24="","",IFERROR(B24/INDEX($B$2:$B$400,MATCH(DATE(YEAR(A24)-1,12,1),$A$2:$A$400,0))-1,""))</f>
        <v/>
      </c>
      <c r="E24" s="115">
        <f>IF(B24="","",IFERROR(B24/INDEX($B$2:$B$400,MATCH(DATE(YEAR(A24)-1,MONTH(A24),1),$A$2:$A$400,0))-1,""))</f>
        <v/>
      </c>
    </row>
    <row r="25">
      <c r="A25" s="114" t="n">
        <v>46235</v>
      </c>
      <c r="B25" s="48" t="n">
        <v>1296.889</v>
      </c>
      <c r="C25" s="115">
        <f>IF(OR(B25="",B24=""),"",B25/B24-1)</f>
        <v/>
      </c>
      <c r="D25" s="115">
        <f>IF(B25="","",IFERROR(B25/INDEX($B$2:$B$400,MATCH(DATE(YEAR(A25)-1,12,1),$A$2:$A$400,0))-1,""))</f>
        <v/>
      </c>
      <c r="E25" s="115">
        <f>IF(B25="","",IFERROR(B25/INDEX($B$2:$B$400,MATCH(DATE(YEAR(A25)-1,MONTH(A25),1),$A$2:$A$400,0))-1,""))</f>
        <v/>
      </c>
    </row>
    <row r="26">
      <c r="A26" s="117" t="n"/>
      <c r="B26" s="118" t="n"/>
      <c r="C26" s="115">
        <f>IF(OR(B26="",B25=""),"",B26/B25-1)</f>
        <v/>
      </c>
      <c r="D26" s="115">
        <f>IF(B26="","",IFERROR(B26/INDEX($B$2:$B$400,MATCH(DATE(YEAR(A26)-1,12,1),$A$2:$A$400,0))-1,""))</f>
        <v/>
      </c>
      <c r="E26" s="115">
        <f>IF(B26="","",IFERROR(B26/INDEX($B$2:$B$400,MATCH(DATE(YEAR(A26)-1,MONTH(A26),1),$A$2:$A$400,0))-1,""))</f>
        <v/>
      </c>
    </row>
    <row r="27">
      <c r="A27" s="117" t="n"/>
      <c r="B27" s="118" t="n"/>
      <c r="C27" s="115">
        <f>IF(OR(B27="",B26=""),"",B27/B26-1)</f>
        <v/>
      </c>
      <c r="D27" s="115">
        <f>IF(B27="","",IFERROR(B27/INDEX($B$2:$B$400,MATCH(DATE(YEAR(A27)-1,12,1),$A$2:$A$400,0))-1,""))</f>
        <v/>
      </c>
      <c r="E27" s="115">
        <f>IF(B27="","",IFERROR(B27/INDEX($B$2:$B$400,MATCH(DATE(YEAR(A27)-1,MONTH(A27),1),$A$2:$A$400,0))-1,""))</f>
        <v/>
      </c>
    </row>
    <row r="28">
      <c r="A28" s="117" t="n"/>
      <c r="B28" s="118" t="n"/>
      <c r="C28" s="115">
        <f>IF(OR(B28="",B27=""),"",B28/B27-1)</f>
        <v/>
      </c>
      <c r="D28" s="115">
        <f>IF(B28="","",IFERROR(B28/INDEX($B$2:$B$400,MATCH(DATE(YEAR(A28)-1,12,1),$A$2:$A$400,0))-1,""))</f>
        <v/>
      </c>
      <c r="E28" s="115">
        <f>IF(B28="","",IFERROR(B28/INDEX($B$2:$B$400,MATCH(DATE(YEAR(A28)-1,MONTH(A28),1),$A$2:$A$400,0))-1,""))</f>
        <v/>
      </c>
    </row>
    <row r="29">
      <c r="A29" s="117" t="n"/>
      <c r="B29" s="118" t="n"/>
      <c r="C29" s="115">
        <f>IF(OR(B29="",B28=""),"",B29/B28-1)</f>
        <v/>
      </c>
      <c r="D29" s="115">
        <f>IF(B29="","",IFERROR(B29/INDEX($B$2:$B$400,MATCH(DATE(YEAR(A29)-1,12,1),$A$2:$A$400,0))-1,""))</f>
        <v/>
      </c>
      <c r="E29" s="115">
        <f>IF(B29="","",IFERROR(B29/INDEX($B$2:$B$400,MATCH(DATE(YEAR(A29)-1,MONTH(A29),1),$A$2:$A$400,0))-1,""))</f>
        <v/>
      </c>
    </row>
    <row r="30">
      <c r="A30" s="117" t="n"/>
      <c r="B30" s="118" t="n"/>
      <c r="C30" s="115">
        <f>IF(OR(B30="",B29=""),"",B30/B29-1)</f>
        <v/>
      </c>
      <c r="D30" s="115">
        <f>IF(B30="","",IFERROR(B30/INDEX($B$2:$B$400,MATCH(DATE(YEAR(A30)-1,12,1),$A$2:$A$400,0))-1,""))</f>
        <v/>
      </c>
      <c r="E30" s="115">
        <f>IF(B30="","",IFERROR(B30/INDEX($B$2:$B$400,MATCH(DATE(YEAR(A30)-1,MONTH(A30),1),$A$2:$A$400,0))-1,""))</f>
        <v/>
      </c>
    </row>
    <row r="31">
      <c r="A31" s="117" t="n"/>
      <c r="B31" s="118" t="n"/>
      <c r="C31" s="115">
        <f>IF(OR(B31="",B30=""),"",B31/B30-1)</f>
        <v/>
      </c>
      <c r="D31" s="115">
        <f>IF(B31="","",IFERROR(B31/INDEX($B$2:$B$400,MATCH(DATE(YEAR(A31)-1,12,1),$A$2:$A$400,0))-1,""))</f>
        <v/>
      </c>
      <c r="E31" s="115">
        <f>IF(B31="","",IFERROR(B31/INDEX($B$2:$B$400,MATCH(DATE(YEAR(A31)-1,MONTH(A31),1),$A$2:$A$400,0))-1,""))</f>
        <v/>
      </c>
    </row>
    <row r="32">
      <c r="A32" s="117" t="n"/>
      <c r="B32" s="118" t="n"/>
      <c r="C32" s="115">
        <f>IF(OR(B32="",B31=""),"",B32/B31-1)</f>
        <v/>
      </c>
      <c r="D32" s="115">
        <f>IF(B32="","",IFERROR(B32/INDEX($B$2:$B$400,MATCH(DATE(YEAR(A32)-1,12,1),$A$2:$A$400,0))-1,""))</f>
        <v/>
      </c>
      <c r="E32" s="115">
        <f>IF(B32="","",IFERROR(B32/INDEX($B$2:$B$400,MATCH(DATE(YEAR(A32)-1,MONTH(A32),1),$A$2:$A$400,0))-1,""))</f>
        <v/>
      </c>
    </row>
    <row r="33">
      <c r="A33" s="117" t="n"/>
      <c r="B33" s="118" t="n"/>
      <c r="C33" s="115">
        <f>IF(OR(B33="",B32=""),"",B33/B32-1)</f>
        <v/>
      </c>
      <c r="D33" s="115">
        <f>IF(B33="","",IFERROR(B33/INDEX($B$2:$B$400,MATCH(DATE(YEAR(A33)-1,12,1),$A$2:$A$400,0))-1,""))</f>
        <v/>
      </c>
      <c r="E33" s="115">
        <f>IF(B33="","",IFERROR(B33/INDEX($B$2:$B$400,MATCH(DATE(YEAR(A33)-1,MONTH(A33),1),$A$2:$A$400,0))-1,""))</f>
        <v/>
      </c>
    </row>
    <row r="34">
      <c r="A34" s="117" t="n"/>
      <c r="B34" s="118" t="n"/>
      <c r="C34" s="115">
        <f>IF(OR(B34="",B33=""),"",B34/B33-1)</f>
        <v/>
      </c>
      <c r="D34" s="115">
        <f>IF(B34="","",IFERROR(B34/INDEX($B$2:$B$400,MATCH(DATE(YEAR(A34)-1,12,1),$A$2:$A$400,0))-1,""))</f>
        <v/>
      </c>
      <c r="E34" s="115">
        <f>IF(B34="","",IFERROR(B34/INDEX($B$2:$B$400,MATCH(DATE(YEAR(A34)-1,MONTH(A34),1),$A$2:$A$400,0))-1,""))</f>
        <v/>
      </c>
    </row>
    <row r="35">
      <c r="A35" s="117" t="n"/>
      <c r="B35" s="118" t="n"/>
      <c r="C35" s="115">
        <f>IF(OR(B35="",B34=""),"",B35/B34-1)</f>
        <v/>
      </c>
      <c r="D35" s="115">
        <f>IF(B35="","",IFERROR(B35/INDEX($B$2:$B$400,MATCH(DATE(YEAR(A35)-1,12,1),$A$2:$A$400,0))-1,""))</f>
        <v/>
      </c>
      <c r="E35" s="115">
        <f>IF(B35="","",IFERROR(B35/INDEX($B$2:$B$400,MATCH(DATE(YEAR(A35)-1,MONTH(A35),1),$A$2:$A$400,0))-1,""))</f>
        <v/>
      </c>
    </row>
    <row r="36">
      <c r="A36" s="117" t="n"/>
      <c r="B36" s="118" t="n"/>
      <c r="C36" s="115">
        <f>IF(OR(B36="",B35=""),"",B36/B35-1)</f>
        <v/>
      </c>
      <c r="D36" s="115">
        <f>IF(B36="","",IFERROR(B36/INDEX($B$2:$B$400,MATCH(DATE(YEAR(A36)-1,12,1),$A$2:$A$400,0))-1,""))</f>
        <v/>
      </c>
      <c r="E36" s="115">
        <f>IF(B36="","",IFERROR(B36/INDEX($B$2:$B$400,MATCH(DATE(YEAR(A36)-1,MONTH(A36),1),$A$2:$A$400,0))-1,""))</f>
        <v/>
      </c>
    </row>
    <row r="37">
      <c r="A37" s="117" t="n"/>
      <c r="B37" s="118" t="n"/>
      <c r="C37" s="115">
        <f>IF(OR(B37="",B36=""),"",B37/B36-1)</f>
        <v/>
      </c>
      <c r="D37" s="115">
        <f>IF(B37="","",IFERROR(B37/INDEX($B$2:$B$400,MATCH(DATE(YEAR(A37)-1,12,1),$A$2:$A$400,0))-1,""))</f>
        <v/>
      </c>
      <c r="E37" s="115">
        <f>IF(B37="","",IFERROR(B37/INDEX($B$2:$B$400,MATCH(DATE(YEAR(A37)-1,MONTH(A37),1),$A$2:$A$400,0))-1,""))</f>
        <v/>
      </c>
    </row>
    <row r="38">
      <c r="A38" s="117" t="n"/>
      <c r="B38" s="118" t="n"/>
      <c r="C38" s="115">
        <f>IF(OR(B38="",B37=""),"",B38/B37-1)</f>
        <v/>
      </c>
      <c r="D38" s="115">
        <f>IF(B38="","",IFERROR(B38/INDEX($B$2:$B$400,MATCH(DATE(YEAR(A38)-1,12,1),$A$2:$A$400,0))-1,""))</f>
        <v/>
      </c>
      <c r="E38" s="115">
        <f>IF(B38="","",IFERROR(B38/INDEX($B$2:$B$400,MATCH(DATE(YEAR(A38)-1,MONTH(A38),1),$A$2:$A$400,0))-1,""))</f>
        <v/>
      </c>
    </row>
    <row r="39">
      <c r="A39" s="117" t="n"/>
      <c r="B39" s="118" t="n"/>
      <c r="C39" s="115">
        <f>IF(OR(B39="",B38=""),"",B39/B38-1)</f>
        <v/>
      </c>
      <c r="D39" s="115">
        <f>IF(B39="","",IFERROR(B39/INDEX($B$2:$B$400,MATCH(DATE(YEAR(A39)-1,12,1),$A$2:$A$400,0))-1,""))</f>
        <v/>
      </c>
      <c r="E39" s="115">
        <f>IF(B39="","",IFERROR(B39/INDEX($B$2:$B$400,MATCH(DATE(YEAR(A39)-1,MONTH(A39),1),$A$2:$A$400,0))-1,""))</f>
        <v/>
      </c>
    </row>
    <row r="40">
      <c r="A40" s="117" t="n"/>
      <c r="B40" s="118" t="n"/>
      <c r="C40" s="115">
        <f>IF(OR(B40="",B39=""),"",B40/B39-1)</f>
        <v/>
      </c>
      <c r="D40" s="115">
        <f>IF(B40="","",IFERROR(B40/INDEX($B$2:$B$400,MATCH(DATE(YEAR(A40)-1,12,1),$A$2:$A$400,0))-1,""))</f>
        <v/>
      </c>
      <c r="E40" s="115">
        <f>IF(B40="","",IFERROR(B40/INDEX($B$2:$B$400,MATCH(DATE(YEAR(A40)-1,MONTH(A40),1),$A$2:$A$400,0))-1,""))</f>
        <v/>
      </c>
    </row>
    <row r="41">
      <c r="A41" s="117" t="n"/>
      <c r="B41" s="118" t="n"/>
      <c r="C41" s="115">
        <f>IF(OR(B41="",B40=""),"",B41/B40-1)</f>
        <v/>
      </c>
      <c r="D41" s="115">
        <f>IF(B41="","",IFERROR(B41/INDEX($B$2:$B$400,MATCH(DATE(YEAR(A41)-1,12,1),$A$2:$A$400,0))-1,""))</f>
        <v/>
      </c>
      <c r="E41" s="115">
        <f>IF(B41="","",IFERROR(B41/INDEX($B$2:$B$400,MATCH(DATE(YEAR(A41)-1,MONTH(A41),1),$A$2:$A$400,0))-1,""))</f>
        <v/>
      </c>
    </row>
    <row r="42">
      <c r="A42" s="117" t="n"/>
      <c r="B42" s="118" t="n"/>
      <c r="C42" s="115">
        <f>IF(OR(B42="",B41=""),"",B42/B41-1)</f>
        <v/>
      </c>
      <c r="D42" s="115">
        <f>IF(B42="","",IFERROR(B42/INDEX($B$2:$B$400,MATCH(DATE(YEAR(A42)-1,12,1),$A$2:$A$400,0))-1,""))</f>
        <v/>
      </c>
      <c r="E42" s="115">
        <f>IF(B42="","",IFERROR(B42/INDEX($B$2:$B$400,MATCH(DATE(YEAR(A42)-1,MONTH(A42),1),$A$2:$A$400,0))-1,""))</f>
        <v/>
      </c>
    </row>
    <row r="43">
      <c r="A43" s="117" t="n"/>
      <c r="B43" s="118" t="n"/>
      <c r="C43" s="115">
        <f>IF(OR(B43="",B42=""),"",B43/B42-1)</f>
        <v/>
      </c>
      <c r="D43" s="115">
        <f>IF(B43="","",IFERROR(B43/INDEX($B$2:$B$400,MATCH(DATE(YEAR(A43)-1,12,1),$A$2:$A$400,0))-1,""))</f>
        <v/>
      </c>
      <c r="E43" s="115">
        <f>IF(B43="","",IFERROR(B43/INDEX($B$2:$B$400,MATCH(DATE(YEAR(A43)-1,MONTH(A43),1),$A$2:$A$400,0))-1,""))</f>
        <v/>
      </c>
    </row>
    <row r="44">
      <c r="A44" s="117" t="n"/>
      <c r="B44" s="118" t="n"/>
      <c r="C44" s="115">
        <f>IF(OR(B44="",B43=""),"",B44/B43-1)</f>
        <v/>
      </c>
      <c r="D44" s="115">
        <f>IF(B44="","",IFERROR(B44/INDEX($B$2:$B$400,MATCH(DATE(YEAR(A44)-1,12,1),$A$2:$A$400,0))-1,""))</f>
        <v/>
      </c>
      <c r="E44" s="115">
        <f>IF(B44="","",IFERROR(B44/INDEX($B$2:$B$400,MATCH(DATE(YEAR(A44)-1,MONTH(A44),1),$A$2:$A$400,0))-1,""))</f>
        <v/>
      </c>
    </row>
    <row r="45">
      <c r="A45" s="117" t="n"/>
      <c r="B45" s="118" t="n"/>
      <c r="C45" s="115">
        <f>IF(OR(B45="",B44=""),"",B45/B44-1)</f>
        <v/>
      </c>
      <c r="D45" s="115">
        <f>IF(B45="","",IFERROR(B45/INDEX($B$2:$B$400,MATCH(DATE(YEAR(A45)-1,12,1),$A$2:$A$400,0))-1,""))</f>
        <v/>
      </c>
      <c r="E45" s="115">
        <f>IF(B45="","",IFERROR(B45/INDEX($B$2:$B$400,MATCH(DATE(YEAR(A45)-1,MONTH(A45),1),$A$2:$A$400,0))-1,""))</f>
        <v/>
      </c>
    </row>
    <row r="46">
      <c r="A46" s="117" t="n"/>
      <c r="B46" s="118" t="n"/>
      <c r="C46" s="115">
        <f>IF(OR(B46="",B45=""),"",B46/B45-1)</f>
        <v/>
      </c>
      <c r="D46" s="115">
        <f>IF(B46="","",IFERROR(B46/INDEX($B$2:$B$400,MATCH(DATE(YEAR(A46)-1,12,1),$A$2:$A$400,0))-1,""))</f>
        <v/>
      </c>
      <c r="E46" s="115">
        <f>IF(B46="","",IFERROR(B46/INDEX($B$2:$B$400,MATCH(DATE(YEAR(A46)-1,MONTH(A46),1),$A$2:$A$400,0))-1,""))</f>
        <v/>
      </c>
    </row>
    <row r="47">
      <c r="A47" s="117" t="n"/>
      <c r="B47" s="118" t="n"/>
      <c r="C47" s="115">
        <f>IF(OR(B47="",B46=""),"",B47/B46-1)</f>
        <v/>
      </c>
      <c r="D47" s="115">
        <f>IF(B47="","",IFERROR(B47/INDEX($B$2:$B$400,MATCH(DATE(YEAR(A47)-1,12,1),$A$2:$A$400,0))-1,""))</f>
        <v/>
      </c>
      <c r="E47" s="115">
        <f>IF(B47="","",IFERROR(B47/INDEX($B$2:$B$400,MATCH(DATE(YEAR(A47)-1,MONTH(A47),1),$A$2:$A$400,0))-1,""))</f>
        <v/>
      </c>
    </row>
    <row r="48">
      <c r="A48" s="117" t="n"/>
      <c r="B48" s="118" t="n"/>
      <c r="C48" s="115">
        <f>IF(OR(B48="",B47=""),"",B48/B47-1)</f>
        <v/>
      </c>
      <c r="D48" s="115">
        <f>IF(B48="","",IFERROR(B48/INDEX($B$2:$B$400,MATCH(DATE(YEAR(A48)-1,12,1),$A$2:$A$400,0))-1,""))</f>
        <v/>
      </c>
      <c r="E48" s="115">
        <f>IF(B48="","",IFERROR(B48/INDEX($B$2:$B$400,MATCH(DATE(YEAR(A48)-1,MONTH(A48),1),$A$2:$A$400,0))-1,""))</f>
        <v/>
      </c>
    </row>
    <row r="49">
      <c r="A49" s="117" t="n"/>
      <c r="B49" s="118" t="n"/>
      <c r="C49" s="115">
        <f>IF(OR(B49="",B48=""),"",B49/B48-1)</f>
        <v/>
      </c>
      <c r="D49" s="115">
        <f>IF(B49="","",IFERROR(B49/INDEX($B$2:$B$400,MATCH(DATE(YEAR(A49)-1,12,1),$A$2:$A$400,0))-1,""))</f>
        <v/>
      </c>
      <c r="E49" s="115">
        <f>IF(B49="","",IFERROR(B49/INDEX($B$2:$B$400,MATCH(DATE(YEAR(A49)-1,MONTH(A49),1),$A$2:$A$400,0))-1,""))</f>
        <v/>
      </c>
    </row>
    <row r="50">
      <c r="A50" s="117" t="n"/>
      <c r="B50" s="118" t="n"/>
      <c r="C50" s="115">
        <f>IF(OR(B50="",B49=""),"",B50/B49-1)</f>
        <v/>
      </c>
      <c r="D50" s="115">
        <f>IF(B50="","",IFERROR(B50/INDEX($B$2:$B$400,MATCH(DATE(YEAR(A50)-1,12,1),$A$2:$A$400,0))-1,""))</f>
        <v/>
      </c>
      <c r="E50" s="115">
        <f>IF(B50="","",IFERROR(B50/INDEX($B$2:$B$400,MATCH(DATE(YEAR(A50)-1,MONTH(A50),1),$A$2:$A$400,0))-1,""))</f>
        <v/>
      </c>
    </row>
    <row r="51">
      <c r="A51" s="117" t="n"/>
      <c r="B51" s="118" t="n"/>
      <c r="C51" s="115">
        <f>IF(OR(B51="",B50=""),"",B51/B50-1)</f>
        <v/>
      </c>
      <c r="D51" s="115">
        <f>IF(B51="","",IFERROR(B51/INDEX($B$2:$B$400,MATCH(DATE(YEAR(A51)-1,12,1),$A$2:$A$400,0))-1,""))</f>
        <v/>
      </c>
      <c r="E51" s="115">
        <f>IF(B51="","",IFERROR(B51/INDEX($B$2:$B$400,MATCH(DATE(YEAR(A51)-1,MONTH(A51),1),$A$2:$A$400,0))-1,""))</f>
        <v/>
      </c>
    </row>
    <row r="52">
      <c r="A52" s="117" t="n"/>
      <c r="B52" s="118" t="n"/>
      <c r="C52" s="115">
        <f>IF(OR(B52="",B51=""),"",B52/B51-1)</f>
        <v/>
      </c>
      <c r="D52" s="115">
        <f>IF(B52="","",IFERROR(B52/INDEX($B$2:$B$400,MATCH(DATE(YEAR(A52)-1,12,1),$A$2:$A$400,0))-1,""))</f>
        <v/>
      </c>
      <c r="E52" s="115">
        <f>IF(B52="","",IFERROR(B52/INDEX($B$2:$B$400,MATCH(DATE(YEAR(A52)-1,MONTH(A52),1),$A$2:$A$400,0))-1,""))</f>
        <v/>
      </c>
    </row>
    <row r="53">
      <c r="A53" s="117" t="n"/>
      <c r="B53" s="118" t="n"/>
      <c r="C53" s="115">
        <f>IF(OR(B53="",B52=""),"",B53/B52-1)</f>
        <v/>
      </c>
      <c r="D53" s="115">
        <f>IF(B53="","",IFERROR(B53/INDEX($B$2:$B$400,MATCH(DATE(YEAR(A53)-1,12,1),$A$2:$A$400,0))-1,""))</f>
        <v/>
      </c>
      <c r="E53" s="115">
        <f>IF(B53="","",IFERROR(B53/INDEX($B$2:$B$400,MATCH(DATE(YEAR(A53)-1,MONTH(A53),1),$A$2:$A$400,0))-1,""))</f>
        <v/>
      </c>
    </row>
    <row r="54">
      <c r="A54" s="117" t="n"/>
      <c r="B54" s="118" t="n"/>
      <c r="C54" s="115">
        <f>IF(OR(B54="",B53=""),"",B54/B53-1)</f>
        <v/>
      </c>
      <c r="D54" s="115">
        <f>IF(B54="","",IFERROR(B54/INDEX($B$2:$B$400,MATCH(DATE(YEAR(A54)-1,12,1),$A$2:$A$400,0))-1,""))</f>
        <v/>
      </c>
      <c r="E54" s="115">
        <f>IF(B54="","",IFERROR(B54/INDEX($B$2:$B$400,MATCH(DATE(YEAR(A54)-1,MONTH(A54),1),$A$2:$A$400,0))-1,""))</f>
        <v/>
      </c>
    </row>
    <row r="55">
      <c r="A55" s="117" t="n"/>
      <c r="B55" s="118" t="n"/>
      <c r="C55" s="115">
        <f>IF(OR(B55="",B54=""),"",B55/B54-1)</f>
        <v/>
      </c>
      <c r="D55" s="115">
        <f>IF(B55="","",IFERROR(B55/INDEX($B$2:$B$400,MATCH(DATE(YEAR(A55)-1,12,1),$A$2:$A$400,0))-1,""))</f>
        <v/>
      </c>
      <c r="E55" s="115">
        <f>IF(B55="","",IFERROR(B55/INDEX($B$2:$B$400,MATCH(DATE(YEAR(A55)-1,MONTH(A55),1),$A$2:$A$400,0))-1,""))</f>
        <v/>
      </c>
    </row>
    <row r="56">
      <c r="A56" s="117" t="n"/>
      <c r="B56" s="118" t="n"/>
      <c r="C56" s="115">
        <f>IF(OR(B56="",B55=""),"",B56/B55-1)</f>
        <v/>
      </c>
      <c r="D56" s="115">
        <f>IF(B56="","",IFERROR(B56/INDEX($B$2:$B$400,MATCH(DATE(YEAR(A56)-1,12,1),$A$2:$A$400,0))-1,""))</f>
        <v/>
      </c>
      <c r="E56" s="115">
        <f>IF(B56="","",IFERROR(B56/INDEX($B$2:$B$400,MATCH(DATE(YEAR(A56)-1,MONTH(A56),1),$A$2:$A$400,0))-1,""))</f>
        <v/>
      </c>
    </row>
    <row r="57">
      <c r="A57" s="117" t="n"/>
      <c r="B57" s="118" t="n"/>
      <c r="C57" s="115">
        <f>IF(OR(B57="",B56=""),"",B57/B56-1)</f>
        <v/>
      </c>
      <c r="D57" s="115">
        <f>IF(B57="","",IFERROR(B57/INDEX($B$2:$B$400,MATCH(DATE(YEAR(A57)-1,12,1),$A$2:$A$400,0))-1,""))</f>
        <v/>
      </c>
      <c r="E57" s="115">
        <f>IF(B57="","",IFERROR(B57/INDEX($B$2:$B$400,MATCH(DATE(YEAR(A57)-1,MONTH(A57),1),$A$2:$A$400,0))-1,""))</f>
        <v/>
      </c>
    </row>
    <row r="58">
      <c r="A58" s="117" t="n"/>
      <c r="B58" s="118" t="n"/>
      <c r="C58" s="115">
        <f>IF(OR(B58="",B57=""),"",B58/B57-1)</f>
        <v/>
      </c>
      <c r="D58" s="115">
        <f>IF(B58="","",IFERROR(B58/INDEX($B$2:$B$400,MATCH(DATE(YEAR(A58)-1,12,1),$A$2:$A$400,0))-1,""))</f>
        <v/>
      </c>
      <c r="E58" s="115">
        <f>IF(B58="","",IFERROR(B58/INDEX($B$2:$B$400,MATCH(DATE(YEAR(A58)-1,MONTH(A58),1),$A$2:$A$400,0))-1,""))</f>
        <v/>
      </c>
    </row>
    <row r="59">
      <c r="A59" s="117" t="n"/>
      <c r="B59" s="118" t="n"/>
      <c r="C59" s="115">
        <f>IF(OR(B59="",B58=""),"",B59/B58-1)</f>
        <v/>
      </c>
      <c r="D59" s="115">
        <f>IF(B59="","",IFERROR(B59/INDEX($B$2:$B$400,MATCH(DATE(YEAR(A59)-1,12,1),$A$2:$A$400,0))-1,""))</f>
        <v/>
      </c>
      <c r="E59" s="115">
        <f>IF(B59="","",IFERROR(B59/INDEX($B$2:$B$400,MATCH(DATE(YEAR(A59)-1,MONTH(A59),1),$A$2:$A$400,0))-1,""))</f>
        <v/>
      </c>
    </row>
    <row r="60">
      <c r="A60" s="117" t="n"/>
      <c r="B60" s="118" t="n"/>
      <c r="C60" s="115">
        <f>IF(OR(B60="",B59=""),"",B60/B59-1)</f>
        <v/>
      </c>
      <c r="D60" s="115">
        <f>IF(B60="","",IFERROR(B60/INDEX($B$2:$B$400,MATCH(DATE(YEAR(A60)-1,12,1),$A$2:$A$400,0))-1,""))</f>
        <v/>
      </c>
      <c r="E60" s="115">
        <f>IF(B60="","",IFERROR(B60/INDEX($B$2:$B$400,MATCH(DATE(YEAR(A60)-1,MONTH(A60),1),$A$2:$A$400,0))-1,""))</f>
        <v/>
      </c>
    </row>
    <row r="61">
      <c r="A61" s="117" t="n"/>
      <c r="B61" s="118" t="n"/>
      <c r="C61" s="115">
        <f>IF(OR(B61="",B60=""),"",B61/B60-1)</f>
        <v/>
      </c>
      <c r="D61" s="115">
        <f>IF(B61="","",IFERROR(B61/INDEX($B$2:$B$400,MATCH(DATE(YEAR(A61)-1,12,1),$A$2:$A$400,0))-1,""))</f>
        <v/>
      </c>
      <c r="E61" s="115">
        <f>IF(B61="","",IFERROR(B61/INDEX($B$2:$B$400,MATCH(DATE(YEAR(A61)-1,MONTH(A61),1),$A$2:$A$400,0))-1,""))</f>
        <v/>
      </c>
    </row>
    <row r="62">
      <c r="A62" s="117" t="n"/>
      <c r="B62" s="118" t="n"/>
      <c r="C62" s="115">
        <f>IF(OR(B62="",B61=""),"",B62/B61-1)</f>
        <v/>
      </c>
      <c r="D62" s="115">
        <f>IF(B62="","",IFERROR(B62/INDEX($B$2:$B$400,MATCH(DATE(YEAR(A62)-1,12,1),$A$2:$A$400,0))-1,""))</f>
        <v/>
      </c>
      <c r="E62" s="115">
        <f>IF(B62="","",IFERROR(B62/INDEX($B$2:$B$400,MATCH(DATE(YEAR(A62)-1,MONTH(A62),1),$A$2:$A$400,0))-1,""))</f>
        <v/>
      </c>
    </row>
    <row r="63">
      <c r="A63" s="117" t="n"/>
      <c r="B63" s="118" t="n"/>
      <c r="C63" s="115">
        <f>IF(OR(B63="",B62=""),"",B63/B62-1)</f>
        <v/>
      </c>
      <c r="D63" s="115">
        <f>IF(B63="","",IFERROR(B63/INDEX($B$2:$B$400,MATCH(DATE(YEAR(A63)-1,12,1),$A$2:$A$400,0))-1,""))</f>
        <v/>
      </c>
      <c r="E63" s="115">
        <f>IF(B63="","",IFERROR(B63/INDEX($B$2:$B$400,MATCH(DATE(YEAR(A63)-1,MONTH(A63),1),$A$2:$A$400,0))-1,""))</f>
        <v/>
      </c>
    </row>
    <row r="64">
      <c r="A64" s="117" t="n"/>
      <c r="B64" s="118" t="n"/>
      <c r="C64" s="115">
        <f>IF(OR(B64="",B63=""),"",B64/B63-1)</f>
        <v/>
      </c>
      <c r="D64" s="115">
        <f>IF(B64="","",IFERROR(B64/INDEX($B$2:$B$400,MATCH(DATE(YEAR(A64)-1,12,1),$A$2:$A$400,0))-1,""))</f>
        <v/>
      </c>
      <c r="E64" s="115">
        <f>IF(B64="","",IFERROR(B64/INDEX($B$2:$B$400,MATCH(DATE(YEAR(A64)-1,MONTH(A64),1),$A$2:$A$400,0))-1,""))</f>
        <v/>
      </c>
    </row>
    <row r="65">
      <c r="A65" s="117" t="n"/>
      <c r="B65" s="118" t="n"/>
      <c r="C65" s="115">
        <f>IF(OR(B65="",B64=""),"",B65/B64-1)</f>
        <v/>
      </c>
      <c r="D65" s="115">
        <f>IF(B65="","",IFERROR(B65/INDEX($B$2:$B$400,MATCH(DATE(YEAR(A65)-1,12,1),$A$2:$A$400,0))-1,""))</f>
        <v/>
      </c>
      <c r="E65" s="115">
        <f>IF(B65="","",IFERROR(B65/INDEX($B$2:$B$400,MATCH(DATE(YEAR(A65)-1,MONTH(A65),1),$A$2:$A$400,0))-1,""))</f>
        <v/>
      </c>
    </row>
    <row r="66">
      <c r="A66" s="117" t="n"/>
      <c r="B66" s="118" t="n"/>
      <c r="C66" s="115">
        <f>IF(OR(B66="",B65=""),"",B66/B65-1)</f>
        <v/>
      </c>
      <c r="D66" s="115">
        <f>IF(B66="","",IFERROR(B66/INDEX($B$2:$B$400,MATCH(DATE(YEAR(A66)-1,12,1),$A$2:$A$400,0))-1,""))</f>
        <v/>
      </c>
      <c r="E66" s="115">
        <f>IF(B66="","",IFERROR(B66/INDEX($B$2:$B$400,MATCH(DATE(YEAR(A66)-1,MONTH(A66),1),$A$2:$A$400,0))-1,""))</f>
        <v/>
      </c>
    </row>
    <row r="67">
      <c r="A67" s="117" t="n"/>
      <c r="B67" s="118" t="n"/>
      <c r="C67" s="115">
        <f>IF(OR(B67="",B66=""),"",B67/B66-1)</f>
        <v/>
      </c>
      <c r="D67" s="115">
        <f>IF(B67="","",IFERROR(B67/INDEX($B$2:$B$400,MATCH(DATE(YEAR(A67)-1,12,1),$A$2:$A$400,0))-1,""))</f>
        <v/>
      </c>
      <c r="E67" s="115">
        <f>IF(B67="","",IFERROR(B67/INDEX($B$2:$B$400,MATCH(DATE(YEAR(A67)-1,MONTH(A67),1),$A$2:$A$400,0))-1,""))</f>
        <v/>
      </c>
    </row>
    <row r="68">
      <c r="A68" s="117" t="n"/>
      <c r="B68" s="118" t="n"/>
      <c r="C68" s="115">
        <f>IF(OR(B68="",B67=""),"",B68/B67-1)</f>
        <v/>
      </c>
      <c r="D68" s="115">
        <f>IF(B68="","",IFERROR(B68/INDEX($B$2:$B$400,MATCH(DATE(YEAR(A68)-1,12,1),$A$2:$A$400,0))-1,""))</f>
        <v/>
      </c>
      <c r="E68" s="115">
        <f>IF(B68="","",IFERROR(B68/INDEX($B$2:$B$400,MATCH(DATE(YEAR(A68)-1,MONTH(A68),1),$A$2:$A$400,0))-1,""))</f>
        <v/>
      </c>
    </row>
    <row r="69">
      <c r="A69" s="117" t="n"/>
      <c r="B69" s="118" t="n"/>
      <c r="C69" s="115">
        <f>IF(OR(B69="",B68=""),"",B69/B68-1)</f>
        <v/>
      </c>
      <c r="D69" s="115">
        <f>IF(B69="","",IFERROR(B69/INDEX($B$2:$B$400,MATCH(DATE(YEAR(A69)-1,12,1),$A$2:$A$400,0))-1,""))</f>
        <v/>
      </c>
      <c r="E69" s="115">
        <f>IF(B69="","",IFERROR(B69/INDEX($B$2:$B$400,MATCH(DATE(YEAR(A69)-1,MONTH(A69),1),$A$2:$A$400,0))-1,""))</f>
        <v/>
      </c>
    </row>
    <row r="70">
      <c r="A70" s="117" t="n"/>
      <c r="B70" s="118" t="n"/>
      <c r="C70" s="115">
        <f>IF(OR(B70="",B69=""),"",B70/B69-1)</f>
        <v/>
      </c>
      <c r="D70" s="115">
        <f>IF(B70="","",IFERROR(B70/INDEX($B$2:$B$400,MATCH(DATE(YEAR(A70)-1,12,1),$A$2:$A$400,0))-1,""))</f>
        <v/>
      </c>
      <c r="E70" s="115">
        <f>IF(B70="","",IFERROR(B70/INDEX($B$2:$B$400,MATCH(DATE(YEAR(A70)-1,MONTH(A70),1),$A$2:$A$400,0))-1,""))</f>
        <v/>
      </c>
    </row>
    <row r="71">
      <c r="A71" s="117" t="n"/>
      <c r="B71" s="118" t="n"/>
      <c r="C71" s="115">
        <f>IF(OR(B71="",B70=""),"",B71/B70-1)</f>
        <v/>
      </c>
      <c r="D71" s="115">
        <f>IF(B71="","",IFERROR(B71/INDEX($B$2:$B$400,MATCH(DATE(YEAR(A71)-1,12,1),$A$2:$A$400,0))-1,""))</f>
        <v/>
      </c>
      <c r="E71" s="115">
        <f>IF(B71="","",IFERROR(B71/INDEX($B$2:$B$400,MATCH(DATE(YEAR(A71)-1,MONTH(A71),1),$A$2:$A$400,0))-1,""))</f>
        <v/>
      </c>
    </row>
    <row r="72">
      <c r="A72" s="117" t="n"/>
      <c r="B72" s="118" t="n"/>
      <c r="C72" s="115">
        <f>IF(OR(B72="",B71=""),"",B72/B71-1)</f>
        <v/>
      </c>
      <c r="D72" s="115">
        <f>IF(B72="","",IFERROR(B72/INDEX($B$2:$B$400,MATCH(DATE(YEAR(A72)-1,12,1),$A$2:$A$400,0))-1,""))</f>
        <v/>
      </c>
      <c r="E72" s="115">
        <f>IF(B72="","",IFERROR(B72/INDEX($B$2:$B$400,MATCH(DATE(YEAR(A72)-1,MONTH(A72),1),$A$2:$A$400,0))-1,""))</f>
        <v/>
      </c>
    </row>
    <row r="73">
      <c r="A73" s="117" t="n"/>
      <c r="B73" s="118" t="n"/>
      <c r="C73" s="115">
        <f>IF(OR(B73="",B72=""),"",B73/B72-1)</f>
        <v/>
      </c>
      <c r="D73" s="115">
        <f>IF(B73="","",IFERROR(B73/INDEX($B$2:$B$400,MATCH(DATE(YEAR(A73)-1,12,1),$A$2:$A$400,0))-1,""))</f>
        <v/>
      </c>
      <c r="E73" s="115">
        <f>IF(B73="","",IFERROR(B73/INDEX($B$2:$B$400,MATCH(DATE(YEAR(A73)-1,MONTH(A73),1),$A$2:$A$400,0))-1,""))</f>
        <v/>
      </c>
    </row>
    <row r="74">
      <c r="A74" s="117" t="n"/>
      <c r="B74" s="118" t="n"/>
      <c r="C74" s="115">
        <f>IF(OR(B74="",B73=""),"",B74/B73-1)</f>
        <v/>
      </c>
      <c r="D74" s="115">
        <f>IF(B74="","",IFERROR(B74/INDEX($B$2:$B$400,MATCH(DATE(YEAR(A74)-1,12,1),$A$2:$A$400,0))-1,""))</f>
        <v/>
      </c>
      <c r="E74" s="115">
        <f>IF(B74="","",IFERROR(B74/INDEX($B$2:$B$400,MATCH(DATE(YEAR(A74)-1,MONTH(A74),1),$A$2:$A$400,0))-1,""))</f>
        <v/>
      </c>
    </row>
    <row r="75">
      <c r="A75" s="117" t="n"/>
      <c r="B75" s="118" t="n"/>
      <c r="C75" s="115">
        <f>IF(OR(B75="",B74=""),"",B75/B74-1)</f>
        <v/>
      </c>
      <c r="D75" s="115">
        <f>IF(B75="","",IFERROR(B75/INDEX($B$2:$B$400,MATCH(DATE(YEAR(A75)-1,12,1),$A$2:$A$400,0))-1,""))</f>
        <v/>
      </c>
      <c r="E75" s="115">
        <f>IF(B75="","",IFERROR(B75/INDEX($B$2:$B$400,MATCH(DATE(YEAR(A75)-1,MONTH(A75),1),$A$2:$A$400,0))-1,""))</f>
        <v/>
      </c>
    </row>
    <row r="76">
      <c r="A76" s="117" t="n"/>
      <c r="B76" s="118" t="n"/>
      <c r="C76" s="115">
        <f>IF(OR(B76="",B75=""),"",B76/B75-1)</f>
        <v/>
      </c>
      <c r="D76" s="115">
        <f>IF(B76="","",IFERROR(B76/INDEX($B$2:$B$400,MATCH(DATE(YEAR(A76)-1,12,1),$A$2:$A$400,0))-1,""))</f>
        <v/>
      </c>
      <c r="E76" s="115">
        <f>IF(B76="","",IFERROR(B76/INDEX($B$2:$B$400,MATCH(DATE(YEAR(A76)-1,MONTH(A76),1),$A$2:$A$400,0))-1,""))</f>
        <v/>
      </c>
    </row>
    <row r="77">
      <c r="A77" s="117" t="n"/>
      <c r="B77" s="118" t="n"/>
      <c r="C77" s="115">
        <f>IF(OR(B77="",B76=""),"",B77/B76-1)</f>
        <v/>
      </c>
      <c r="D77" s="115">
        <f>IF(B77="","",IFERROR(B77/INDEX($B$2:$B$400,MATCH(DATE(YEAR(A77)-1,12,1),$A$2:$A$400,0))-1,""))</f>
        <v/>
      </c>
      <c r="E77" s="115">
        <f>IF(B77="","",IFERROR(B77/INDEX($B$2:$B$400,MATCH(DATE(YEAR(A77)-1,MONTH(A77),1),$A$2:$A$400,0))-1,""))</f>
        <v/>
      </c>
    </row>
    <row r="78">
      <c r="A78" s="117" t="n"/>
      <c r="B78" s="118" t="n"/>
      <c r="C78" s="115">
        <f>IF(OR(B78="",B77=""),"",B78/B77-1)</f>
        <v/>
      </c>
      <c r="D78" s="115">
        <f>IF(B78="","",IFERROR(B78/INDEX($B$2:$B$400,MATCH(DATE(YEAR(A78)-1,12,1),$A$2:$A$400,0))-1,""))</f>
        <v/>
      </c>
      <c r="E78" s="115">
        <f>IF(B78="","",IFERROR(B78/INDEX($B$2:$B$400,MATCH(DATE(YEAR(A78)-1,MONTH(A78),1),$A$2:$A$400,0))-1,""))</f>
        <v/>
      </c>
    </row>
    <row r="79">
      <c r="A79" s="117" t="n"/>
      <c r="B79" s="118" t="n"/>
      <c r="C79" s="115">
        <f>IF(OR(B79="",B78=""),"",B79/B78-1)</f>
        <v/>
      </c>
      <c r="D79" s="115">
        <f>IF(B79="","",IFERROR(B79/INDEX($B$2:$B$400,MATCH(DATE(YEAR(A79)-1,12,1),$A$2:$A$400,0))-1,""))</f>
        <v/>
      </c>
      <c r="E79" s="115">
        <f>IF(B79="","",IFERROR(B79/INDEX($B$2:$B$400,MATCH(DATE(YEAR(A79)-1,MONTH(A79),1),$A$2:$A$400,0))-1,""))</f>
        <v/>
      </c>
    </row>
    <row r="80">
      <c r="A80" s="117" t="n"/>
      <c r="B80" s="118" t="n"/>
      <c r="C80" s="115">
        <f>IF(OR(B80="",B79=""),"",B80/B79-1)</f>
        <v/>
      </c>
      <c r="D80" s="115">
        <f>IF(B80="","",IFERROR(B80/INDEX($B$2:$B$400,MATCH(DATE(YEAR(A80)-1,12,1),$A$2:$A$400,0))-1,""))</f>
        <v/>
      </c>
      <c r="E80" s="115">
        <f>IF(B80="","",IFERROR(B80/INDEX($B$2:$B$400,MATCH(DATE(YEAR(A80)-1,MONTH(A80),1),$A$2:$A$400,0))-1,""))</f>
        <v/>
      </c>
    </row>
    <row r="81">
      <c r="A81" s="117" t="n"/>
      <c r="B81" s="118" t="n"/>
      <c r="C81" s="115">
        <f>IF(OR(B81="",B80=""),"",B81/B80-1)</f>
        <v/>
      </c>
      <c r="D81" s="115">
        <f>IF(B81="","",IFERROR(B81/INDEX($B$2:$B$400,MATCH(DATE(YEAR(A81)-1,12,1),$A$2:$A$400,0))-1,""))</f>
        <v/>
      </c>
      <c r="E81" s="115">
        <f>IF(B81="","",IFERROR(B81/INDEX($B$2:$B$400,MATCH(DATE(YEAR(A81)-1,MONTH(A81),1),$A$2:$A$400,0))-1,""))</f>
        <v/>
      </c>
    </row>
    <row r="82">
      <c r="A82" s="117" t="n"/>
      <c r="B82" s="118" t="n"/>
      <c r="C82" s="115">
        <f>IF(OR(B82="",B81=""),"",B82/B81-1)</f>
        <v/>
      </c>
      <c r="D82" s="115">
        <f>IF(B82="","",IFERROR(B82/INDEX($B$2:$B$400,MATCH(DATE(YEAR(A82)-1,12,1),$A$2:$A$400,0))-1,""))</f>
        <v/>
      </c>
      <c r="E82" s="115">
        <f>IF(B82="","",IFERROR(B82/INDEX($B$2:$B$400,MATCH(DATE(YEAR(A82)-1,MONTH(A82),1),$A$2:$A$400,0))-1,""))</f>
        <v/>
      </c>
    </row>
    <row r="83">
      <c r="A83" s="117" t="n"/>
      <c r="B83" s="118" t="n"/>
      <c r="C83" s="115">
        <f>IF(OR(B83="",B82=""),"",B83/B82-1)</f>
        <v/>
      </c>
      <c r="D83" s="115">
        <f>IF(B83="","",IFERROR(B83/INDEX($B$2:$B$400,MATCH(DATE(YEAR(A83)-1,12,1),$A$2:$A$400,0))-1,""))</f>
        <v/>
      </c>
      <c r="E83" s="115">
        <f>IF(B83="","",IFERROR(B83/INDEX($B$2:$B$400,MATCH(DATE(YEAR(A83)-1,MONTH(A83),1),$A$2:$A$400,0))-1,""))</f>
        <v/>
      </c>
    </row>
    <row r="84">
      <c r="A84" s="117" t="n"/>
      <c r="B84" s="118" t="n"/>
      <c r="C84" s="115">
        <f>IF(OR(B84="",B83=""),"",B84/B83-1)</f>
        <v/>
      </c>
      <c r="D84" s="115">
        <f>IF(B84="","",IFERROR(B84/INDEX($B$2:$B$400,MATCH(DATE(YEAR(A84)-1,12,1),$A$2:$A$400,0))-1,""))</f>
        <v/>
      </c>
      <c r="E84" s="115">
        <f>IF(B84="","",IFERROR(B84/INDEX($B$2:$B$400,MATCH(DATE(YEAR(A84)-1,MONTH(A84),1),$A$2:$A$400,0))-1,""))</f>
        <v/>
      </c>
    </row>
    <row r="85">
      <c r="A85" s="117" t="n"/>
      <c r="B85" s="118" t="n"/>
      <c r="C85" s="115">
        <f>IF(OR(B85="",B84=""),"",B85/B84-1)</f>
        <v/>
      </c>
      <c r="D85" s="115">
        <f>IF(B85="","",IFERROR(B85/INDEX($B$2:$B$400,MATCH(DATE(YEAR(A85)-1,12,1),$A$2:$A$400,0))-1,""))</f>
        <v/>
      </c>
      <c r="E85" s="115">
        <f>IF(B85="","",IFERROR(B85/INDEX($B$2:$B$400,MATCH(DATE(YEAR(A85)-1,MONTH(A85),1),$A$2:$A$400,0))-1,""))</f>
        <v/>
      </c>
    </row>
    <row r="86">
      <c r="A86" s="117" t="n"/>
      <c r="B86" s="118" t="n"/>
      <c r="C86" s="115">
        <f>IF(OR(B86="",B85=""),"",B86/B85-1)</f>
        <v/>
      </c>
      <c r="D86" s="115">
        <f>IF(B86="","",IFERROR(B86/INDEX($B$2:$B$400,MATCH(DATE(YEAR(A86)-1,12,1),$A$2:$A$400,0))-1,""))</f>
        <v/>
      </c>
      <c r="E86" s="115">
        <f>IF(B86="","",IFERROR(B86/INDEX($B$2:$B$400,MATCH(DATE(YEAR(A86)-1,MONTH(A86),1),$A$2:$A$400,0))-1,""))</f>
        <v/>
      </c>
    </row>
    <row r="87">
      <c r="A87" s="117" t="n"/>
      <c r="B87" s="118" t="n"/>
      <c r="C87" s="115">
        <f>IF(OR(B87="",B86=""),"",B87/B86-1)</f>
        <v/>
      </c>
      <c r="D87" s="115">
        <f>IF(B87="","",IFERROR(B87/INDEX($B$2:$B$400,MATCH(DATE(YEAR(A87)-1,12,1),$A$2:$A$400,0))-1,""))</f>
        <v/>
      </c>
      <c r="E87" s="115">
        <f>IF(B87="","",IFERROR(B87/INDEX($B$2:$B$400,MATCH(DATE(YEAR(A87)-1,MONTH(A87),1),$A$2:$A$400,0))-1,""))</f>
        <v/>
      </c>
    </row>
    <row r="88">
      <c r="A88" s="117" t="n"/>
      <c r="B88" s="118" t="n"/>
      <c r="C88" s="115">
        <f>IF(OR(B88="",B87=""),"",B88/B87-1)</f>
        <v/>
      </c>
      <c r="D88" s="115">
        <f>IF(B88="","",IFERROR(B88/INDEX($B$2:$B$400,MATCH(DATE(YEAR(A88)-1,12,1),$A$2:$A$400,0))-1,""))</f>
        <v/>
      </c>
      <c r="E88" s="115">
        <f>IF(B88="","",IFERROR(B88/INDEX($B$2:$B$400,MATCH(DATE(YEAR(A88)-1,MONTH(A88),1),$A$2:$A$400,0))-1,""))</f>
        <v/>
      </c>
    </row>
    <row r="89">
      <c r="A89" s="117" t="n"/>
      <c r="B89" s="118" t="n"/>
      <c r="C89" s="115">
        <f>IF(OR(B89="",B88=""),"",B89/B88-1)</f>
        <v/>
      </c>
      <c r="D89" s="115">
        <f>IF(B89="","",IFERROR(B89/INDEX($B$2:$B$400,MATCH(DATE(YEAR(A89)-1,12,1),$A$2:$A$400,0))-1,""))</f>
        <v/>
      </c>
      <c r="E89" s="115">
        <f>IF(B89="","",IFERROR(B89/INDEX($B$2:$B$400,MATCH(DATE(YEAR(A89)-1,MONTH(A89),1),$A$2:$A$400,0))-1,""))</f>
        <v/>
      </c>
    </row>
    <row r="90">
      <c r="A90" s="117" t="n"/>
      <c r="B90" s="118" t="n"/>
      <c r="C90" s="115">
        <f>IF(OR(B90="",B89=""),"",B90/B89-1)</f>
        <v/>
      </c>
      <c r="D90" s="115">
        <f>IF(B90="","",IFERROR(B90/INDEX($B$2:$B$400,MATCH(DATE(YEAR(A90)-1,12,1),$A$2:$A$400,0))-1,""))</f>
        <v/>
      </c>
      <c r="E90" s="115">
        <f>IF(B90="","",IFERROR(B90/INDEX($B$2:$B$400,MATCH(DATE(YEAR(A90)-1,MONTH(A90),1),$A$2:$A$400,0))-1,""))</f>
        <v/>
      </c>
    </row>
    <row r="91">
      <c r="A91" s="117" t="n"/>
      <c r="B91" s="118" t="n"/>
      <c r="C91" s="115">
        <f>IF(OR(B91="",B90=""),"",B91/B90-1)</f>
        <v/>
      </c>
      <c r="D91" s="115">
        <f>IF(B91="","",IFERROR(B91/INDEX($B$2:$B$400,MATCH(DATE(YEAR(A91)-1,12,1),$A$2:$A$400,0))-1,""))</f>
        <v/>
      </c>
      <c r="E91" s="115">
        <f>IF(B91="","",IFERROR(B91/INDEX($B$2:$B$400,MATCH(DATE(YEAR(A91)-1,MONTH(A91),1),$A$2:$A$400,0))-1,""))</f>
        <v/>
      </c>
    </row>
    <row r="92">
      <c r="A92" s="117" t="n"/>
      <c r="B92" s="118" t="n"/>
      <c r="C92" s="115">
        <f>IF(OR(B92="",B91=""),"",B92/B91-1)</f>
        <v/>
      </c>
      <c r="D92" s="115">
        <f>IF(B92="","",IFERROR(B92/INDEX($B$2:$B$400,MATCH(DATE(YEAR(A92)-1,12,1),$A$2:$A$400,0))-1,""))</f>
        <v/>
      </c>
      <c r="E92" s="115">
        <f>IF(B92="","",IFERROR(B92/INDEX($B$2:$B$400,MATCH(DATE(YEAR(A92)-1,MONTH(A92),1),$A$2:$A$400,0))-1,""))</f>
        <v/>
      </c>
    </row>
    <row r="93">
      <c r="A93" s="117" t="n"/>
      <c r="B93" s="118" t="n"/>
      <c r="C93" s="115">
        <f>IF(OR(B93="",B92=""),"",B93/B92-1)</f>
        <v/>
      </c>
      <c r="D93" s="115">
        <f>IF(B93="","",IFERROR(B93/INDEX($B$2:$B$400,MATCH(DATE(YEAR(A93)-1,12,1),$A$2:$A$400,0))-1,""))</f>
        <v/>
      </c>
      <c r="E93" s="115">
        <f>IF(B93="","",IFERROR(B93/INDEX($B$2:$B$400,MATCH(DATE(YEAR(A93)-1,MONTH(A93),1),$A$2:$A$400,0))-1,""))</f>
        <v/>
      </c>
    </row>
    <row r="94">
      <c r="A94" s="117" t="n"/>
      <c r="B94" s="118" t="n"/>
      <c r="C94" s="115">
        <f>IF(OR(B94="",B93=""),"",B94/B93-1)</f>
        <v/>
      </c>
      <c r="D94" s="115">
        <f>IF(B94="","",IFERROR(B94/INDEX($B$2:$B$400,MATCH(DATE(YEAR(A94)-1,12,1),$A$2:$A$400,0))-1,""))</f>
        <v/>
      </c>
      <c r="E94" s="115">
        <f>IF(B94="","",IFERROR(B94/INDEX($B$2:$B$400,MATCH(DATE(YEAR(A94)-1,MONTH(A94),1),$A$2:$A$400,0))-1,""))</f>
        <v/>
      </c>
    </row>
    <row r="95">
      <c r="A95" s="117" t="n"/>
      <c r="B95" s="118" t="n"/>
      <c r="C95" s="115">
        <f>IF(OR(B95="",B94=""),"",B95/B94-1)</f>
        <v/>
      </c>
      <c r="D95" s="115">
        <f>IF(B95="","",IFERROR(B95/INDEX($B$2:$B$400,MATCH(DATE(YEAR(A95)-1,12,1),$A$2:$A$400,0))-1,""))</f>
        <v/>
      </c>
      <c r="E95" s="115">
        <f>IF(B95="","",IFERROR(B95/INDEX($B$2:$B$400,MATCH(DATE(YEAR(A95)-1,MONTH(A95),1),$A$2:$A$400,0))-1,""))</f>
        <v/>
      </c>
    </row>
    <row r="96">
      <c r="A96" s="117" t="n"/>
      <c r="B96" s="118" t="n"/>
      <c r="C96" s="115">
        <f>IF(OR(B96="",B95=""),"",B96/B95-1)</f>
        <v/>
      </c>
      <c r="D96" s="115">
        <f>IF(B96="","",IFERROR(B96/INDEX($B$2:$B$400,MATCH(DATE(YEAR(A96)-1,12,1),$A$2:$A$400,0))-1,""))</f>
        <v/>
      </c>
      <c r="E96" s="115">
        <f>IF(B96="","",IFERROR(B96/INDEX($B$2:$B$400,MATCH(DATE(YEAR(A96)-1,MONTH(A96),1),$A$2:$A$400,0))-1,""))</f>
        <v/>
      </c>
    </row>
    <row r="97">
      <c r="A97" s="117" t="n"/>
      <c r="B97" s="118" t="n"/>
      <c r="C97" s="115">
        <f>IF(OR(B97="",B96=""),"",B97/B96-1)</f>
        <v/>
      </c>
      <c r="D97" s="115">
        <f>IF(B97="","",IFERROR(B97/INDEX($B$2:$B$400,MATCH(DATE(YEAR(A97)-1,12,1),$A$2:$A$400,0))-1,""))</f>
        <v/>
      </c>
      <c r="E97" s="115">
        <f>IF(B97="","",IFERROR(B97/INDEX($B$2:$B$400,MATCH(DATE(YEAR(A97)-1,MONTH(A97),1),$A$2:$A$400,0))-1,""))</f>
        <v/>
      </c>
    </row>
    <row r="98">
      <c r="A98" s="117" t="n"/>
      <c r="B98" s="118" t="n"/>
      <c r="C98" s="115">
        <f>IF(OR(B98="",B97=""),"",B98/B97-1)</f>
        <v/>
      </c>
      <c r="D98" s="115">
        <f>IF(B98="","",IFERROR(B98/INDEX($B$2:$B$400,MATCH(DATE(YEAR(A98)-1,12,1),$A$2:$A$400,0))-1,""))</f>
        <v/>
      </c>
      <c r="E98" s="115">
        <f>IF(B98="","",IFERROR(B98/INDEX($B$2:$B$400,MATCH(DATE(YEAR(A98)-1,MONTH(A98),1),$A$2:$A$400,0))-1,""))</f>
        <v/>
      </c>
    </row>
    <row r="99">
      <c r="A99" s="117" t="n"/>
      <c r="B99" s="118" t="n"/>
      <c r="C99" s="115">
        <f>IF(OR(B99="",B98=""),"",B99/B98-1)</f>
        <v/>
      </c>
      <c r="D99" s="115">
        <f>IF(B99="","",IFERROR(B99/INDEX($B$2:$B$400,MATCH(DATE(YEAR(A99)-1,12,1),$A$2:$A$400,0))-1,""))</f>
        <v/>
      </c>
      <c r="E99" s="115">
        <f>IF(B99="","",IFERROR(B99/INDEX($B$2:$B$400,MATCH(DATE(YEAR(A99)-1,MONTH(A99),1),$A$2:$A$400,0))-1,""))</f>
        <v/>
      </c>
    </row>
    <row r="100">
      <c r="A100" s="117" t="n"/>
      <c r="B100" s="118" t="n"/>
      <c r="C100" s="115">
        <f>IF(OR(B100="",B99=""),"",B100/B99-1)</f>
        <v/>
      </c>
      <c r="D100" s="115">
        <f>IF(B100="","",IFERROR(B100/INDEX($B$2:$B$400,MATCH(DATE(YEAR(A100)-1,12,1),$A$2:$A$400,0))-1,""))</f>
        <v/>
      </c>
      <c r="E100" s="115">
        <f>IF(B100="","",IFERROR(B100/INDEX($B$2:$B$400,MATCH(DATE(YEAR(A100)-1,MONTH(A100),1),$A$2:$A$400,0))-1,""))</f>
        <v/>
      </c>
    </row>
    <row r="101">
      <c r="A101" s="117" t="n"/>
      <c r="B101" s="118" t="n"/>
      <c r="C101" s="115">
        <f>IF(OR(B101="",B100=""),"",B101/B100-1)</f>
        <v/>
      </c>
      <c r="D101" s="115">
        <f>IF(B101="","",IFERROR(B101/INDEX($B$2:$B$400,MATCH(DATE(YEAR(A101)-1,12,1),$A$2:$A$400,0))-1,""))</f>
        <v/>
      </c>
      <c r="E101" s="115">
        <f>IF(B101="","",IFERROR(B101/INDEX($B$2:$B$400,MATCH(DATE(YEAR(A101)-1,MONTH(A101),1),$A$2:$A$400,0))-1,""))</f>
        <v/>
      </c>
    </row>
    <row r="102">
      <c r="A102" s="117" t="n"/>
      <c r="B102" s="118" t="n"/>
      <c r="C102" s="115">
        <f>IF(OR(B102="",B101=""),"",B102/B101-1)</f>
        <v/>
      </c>
      <c r="D102" s="115">
        <f>IF(B102="","",IFERROR(B102/INDEX($B$2:$B$400,MATCH(DATE(YEAR(A102)-1,12,1),$A$2:$A$400,0))-1,""))</f>
        <v/>
      </c>
      <c r="E102" s="115">
        <f>IF(B102="","",IFERROR(B102/INDEX($B$2:$B$400,MATCH(DATE(YEAR(A102)-1,MONTH(A102),1),$A$2:$A$400,0))-1,""))</f>
        <v/>
      </c>
    </row>
    <row r="103">
      <c r="A103" s="117" t="n"/>
      <c r="B103" s="118" t="n"/>
      <c r="C103" s="115">
        <f>IF(OR(B103="",B102=""),"",B103/B102-1)</f>
        <v/>
      </c>
      <c r="D103" s="115">
        <f>IF(B103="","",IFERROR(B103/INDEX($B$2:$B$400,MATCH(DATE(YEAR(A103)-1,12,1),$A$2:$A$400,0))-1,""))</f>
        <v/>
      </c>
      <c r="E103" s="115">
        <f>IF(B103="","",IFERROR(B103/INDEX($B$2:$B$400,MATCH(DATE(YEAR(A103)-1,MONTH(A103),1),$A$2:$A$400,0))-1,""))</f>
        <v/>
      </c>
    </row>
    <row r="104">
      <c r="A104" s="117" t="n"/>
      <c r="B104" s="118" t="n"/>
      <c r="C104" s="115">
        <f>IF(OR(B104="",B103=""),"",B104/B103-1)</f>
        <v/>
      </c>
      <c r="D104" s="115">
        <f>IF(B104="","",IFERROR(B104/INDEX($B$2:$B$400,MATCH(DATE(YEAR(A104)-1,12,1),$A$2:$A$400,0))-1,""))</f>
        <v/>
      </c>
      <c r="E104" s="115">
        <f>IF(B104="","",IFERROR(B104/INDEX($B$2:$B$400,MATCH(DATE(YEAR(A104)-1,MONTH(A104),1),$A$2:$A$400,0))-1,""))</f>
        <v/>
      </c>
    </row>
    <row r="105">
      <c r="A105" s="117" t="n"/>
      <c r="B105" s="118" t="n"/>
      <c r="C105" s="115">
        <f>IF(OR(B105="",B104=""),"",B105/B104-1)</f>
        <v/>
      </c>
      <c r="D105" s="115">
        <f>IF(B105="","",IFERROR(B105/INDEX($B$2:$B$400,MATCH(DATE(YEAR(A105)-1,12,1),$A$2:$A$400,0))-1,""))</f>
        <v/>
      </c>
      <c r="E105" s="115">
        <f>IF(B105="","",IFERROR(B105/INDEX($B$2:$B$400,MATCH(DATE(YEAR(A105)-1,MONTH(A105),1),$A$2:$A$400,0))-1,""))</f>
        <v/>
      </c>
    </row>
    <row r="106">
      <c r="A106" s="117" t="n"/>
      <c r="B106" s="118" t="n"/>
      <c r="C106" s="115">
        <f>IF(OR(B106="",B105=""),"",B106/B105-1)</f>
        <v/>
      </c>
      <c r="D106" s="115">
        <f>IF(B106="","",IFERROR(B106/INDEX($B$2:$B$400,MATCH(DATE(YEAR(A106)-1,12,1),$A$2:$A$400,0))-1,""))</f>
        <v/>
      </c>
      <c r="E106" s="115">
        <f>IF(B106="","",IFERROR(B106/INDEX($B$2:$B$400,MATCH(DATE(YEAR(A106)-1,MONTH(A106),1),$A$2:$A$400,0))-1,""))</f>
        <v/>
      </c>
    </row>
    <row r="107">
      <c r="A107" s="117" t="n"/>
      <c r="B107" s="118" t="n"/>
      <c r="C107" s="115">
        <f>IF(OR(B107="",B106=""),"",B107/B106-1)</f>
        <v/>
      </c>
      <c r="D107" s="115">
        <f>IF(B107="","",IFERROR(B107/INDEX($B$2:$B$400,MATCH(DATE(YEAR(A107)-1,12,1),$A$2:$A$400,0))-1,""))</f>
        <v/>
      </c>
      <c r="E107" s="115">
        <f>IF(B107="","",IFERROR(B107/INDEX($B$2:$B$400,MATCH(DATE(YEAR(A107)-1,MONTH(A107),1),$A$2:$A$400,0))-1,""))</f>
        <v/>
      </c>
    </row>
    <row r="108">
      <c r="A108" s="117" t="n"/>
      <c r="B108" s="118" t="n"/>
      <c r="C108" s="115">
        <f>IF(OR(B108="",B107=""),"",B108/B107-1)</f>
        <v/>
      </c>
      <c r="D108" s="115">
        <f>IF(B108="","",IFERROR(B108/INDEX($B$2:$B$400,MATCH(DATE(YEAR(A108)-1,12,1),$A$2:$A$400,0))-1,""))</f>
        <v/>
      </c>
      <c r="E108" s="115">
        <f>IF(B108="","",IFERROR(B108/INDEX($B$2:$B$400,MATCH(DATE(YEAR(A108)-1,MONTH(A108),1),$A$2:$A$400,0))-1,""))</f>
        <v/>
      </c>
    </row>
    <row r="109">
      <c r="A109" s="117" t="n"/>
      <c r="B109" s="118" t="n"/>
      <c r="C109" s="115">
        <f>IF(OR(B109="",B108=""),"",B109/B108-1)</f>
        <v/>
      </c>
      <c r="D109" s="115">
        <f>IF(B109="","",IFERROR(B109/INDEX($B$2:$B$400,MATCH(DATE(YEAR(A109)-1,12,1),$A$2:$A$400,0))-1,""))</f>
        <v/>
      </c>
      <c r="E109" s="115">
        <f>IF(B109="","",IFERROR(B109/INDEX($B$2:$B$400,MATCH(DATE(YEAR(A109)-1,MONTH(A109),1),$A$2:$A$400,0))-1,""))</f>
        <v/>
      </c>
    </row>
    <row r="110">
      <c r="A110" s="117" t="n"/>
      <c r="B110" s="118" t="n"/>
      <c r="C110" s="115">
        <f>IF(OR(B110="",B109=""),"",B110/B109-1)</f>
        <v/>
      </c>
      <c r="D110" s="115">
        <f>IF(B110="","",IFERROR(B110/INDEX($B$2:$B$400,MATCH(DATE(YEAR(A110)-1,12,1),$A$2:$A$400,0))-1,""))</f>
        <v/>
      </c>
      <c r="E110" s="115">
        <f>IF(B110="","",IFERROR(B110/INDEX($B$2:$B$400,MATCH(DATE(YEAR(A110)-1,MONTH(A110),1),$A$2:$A$400,0))-1,""))</f>
        <v/>
      </c>
    </row>
    <row r="111">
      <c r="A111" s="117" t="n"/>
      <c r="B111" s="118" t="n"/>
      <c r="C111" s="115">
        <f>IF(OR(B111="",B110=""),"",B111/B110-1)</f>
        <v/>
      </c>
      <c r="D111" s="115">
        <f>IF(B111="","",IFERROR(B111/INDEX($B$2:$B$400,MATCH(DATE(YEAR(A111)-1,12,1),$A$2:$A$400,0))-1,""))</f>
        <v/>
      </c>
      <c r="E111" s="115">
        <f>IF(B111="","",IFERROR(B111/INDEX($B$2:$B$400,MATCH(DATE(YEAR(A111)-1,MONTH(A111),1),$A$2:$A$400,0))-1,""))</f>
        <v/>
      </c>
    </row>
    <row r="112">
      <c r="A112" s="117" t="n"/>
      <c r="B112" s="118" t="n"/>
      <c r="C112" s="115">
        <f>IF(OR(B112="",B111=""),"",B112/B111-1)</f>
        <v/>
      </c>
      <c r="D112" s="115">
        <f>IF(B112="","",IFERROR(B112/INDEX($B$2:$B$400,MATCH(DATE(YEAR(A112)-1,12,1),$A$2:$A$400,0))-1,""))</f>
        <v/>
      </c>
      <c r="E112" s="115">
        <f>IF(B112="","",IFERROR(B112/INDEX($B$2:$B$400,MATCH(DATE(YEAR(A112)-1,MONTH(A112),1),$A$2:$A$400,0))-1,""))</f>
        <v/>
      </c>
    </row>
    <row r="113">
      <c r="A113" s="117" t="n"/>
      <c r="B113" s="118" t="n"/>
      <c r="C113" s="115">
        <f>IF(OR(B113="",B112=""),"",B113/B112-1)</f>
        <v/>
      </c>
      <c r="D113" s="115">
        <f>IF(B113="","",IFERROR(B113/INDEX($B$2:$B$400,MATCH(DATE(YEAR(A113)-1,12,1),$A$2:$A$400,0))-1,""))</f>
        <v/>
      </c>
      <c r="E113" s="115">
        <f>IF(B113="","",IFERROR(B113/INDEX($B$2:$B$400,MATCH(DATE(YEAR(A113)-1,MONTH(A113),1),$A$2:$A$400,0))-1,""))</f>
        <v/>
      </c>
    </row>
    <row r="114">
      <c r="A114" s="117" t="n"/>
      <c r="B114" s="118" t="n"/>
      <c r="C114" s="115">
        <f>IF(OR(B114="",B113=""),"",B114/B113-1)</f>
        <v/>
      </c>
      <c r="D114" s="115">
        <f>IF(B114="","",IFERROR(B114/INDEX($B$2:$B$400,MATCH(DATE(YEAR(A114)-1,12,1),$A$2:$A$400,0))-1,""))</f>
        <v/>
      </c>
      <c r="E114" s="115">
        <f>IF(B114="","",IFERROR(B114/INDEX($B$2:$B$400,MATCH(DATE(YEAR(A114)-1,MONTH(A114),1),$A$2:$A$400,0))-1,""))</f>
        <v/>
      </c>
    </row>
    <row r="115">
      <c r="A115" s="117" t="n"/>
      <c r="B115" s="118" t="n"/>
      <c r="C115" s="115">
        <f>IF(OR(B115="",B114=""),"",B115/B114-1)</f>
        <v/>
      </c>
      <c r="D115" s="115">
        <f>IF(B115="","",IFERROR(B115/INDEX($B$2:$B$400,MATCH(DATE(YEAR(A115)-1,12,1),$A$2:$A$400,0))-1,""))</f>
        <v/>
      </c>
      <c r="E115" s="115">
        <f>IF(B115="","",IFERROR(B115/INDEX($B$2:$B$400,MATCH(DATE(YEAR(A115)-1,MONTH(A115),1),$A$2:$A$400,0))-1,""))</f>
        <v/>
      </c>
    </row>
    <row r="116">
      <c r="A116" s="117" t="n"/>
      <c r="B116" s="118" t="n"/>
      <c r="C116" s="115">
        <f>IF(OR(B116="",B115=""),"",B116/B115-1)</f>
        <v/>
      </c>
      <c r="D116" s="115">
        <f>IF(B116="","",IFERROR(B116/INDEX($B$2:$B$400,MATCH(DATE(YEAR(A116)-1,12,1),$A$2:$A$400,0))-1,""))</f>
        <v/>
      </c>
      <c r="E116" s="115">
        <f>IF(B116="","",IFERROR(B116/INDEX($B$2:$B$400,MATCH(DATE(YEAR(A116)-1,MONTH(A116),1),$A$2:$A$400,0))-1,""))</f>
        <v/>
      </c>
    </row>
    <row r="117">
      <c r="A117" s="117" t="n"/>
      <c r="B117" s="118" t="n"/>
      <c r="C117" s="115">
        <f>IF(OR(B117="",B116=""),"",B117/B116-1)</f>
        <v/>
      </c>
      <c r="D117" s="115">
        <f>IF(B117="","",IFERROR(B117/INDEX($B$2:$B$400,MATCH(DATE(YEAR(A117)-1,12,1),$A$2:$A$400,0))-1,""))</f>
        <v/>
      </c>
      <c r="E117" s="115">
        <f>IF(B117="","",IFERROR(B117/INDEX($B$2:$B$400,MATCH(DATE(YEAR(A117)-1,MONTH(A117),1),$A$2:$A$400,0))-1,""))</f>
        <v/>
      </c>
    </row>
    <row r="118">
      <c r="A118" s="117" t="n"/>
      <c r="B118" s="118" t="n"/>
      <c r="C118" s="115">
        <f>IF(OR(B118="",B117=""),"",B118/B117-1)</f>
        <v/>
      </c>
      <c r="D118" s="115">
        <f>IF(B118="","",IFERROR(B118/INDEX($B$2:$B$400,MATCH(DATE(YEAR(A118)-1,12,1),$A$2:$A$400,0))-1,""))</f>
        <v/>
      </c>
      <c r="E118" s="115">
        <f>IF(B118="","",IFERROR(B118/INDEX($B$2:$B$400,MATCH(DATE(YEAR(A118)-1,MONTH(A118),1),$A$2:$A$400,0))-1,""))</f>
        <v/>
      </c>
    </row>
    <row r="119">
      <c r="A119" s="117" t="n"/>
      <c r="B119" s="118" t="n"/>
      <c r="C119" s="115">
        <f>IF(OR(B119="",B118=""),"",B119/B118-1)</f>
        <v/>
      </c>
      <c r="D119" s="115">
        <f>IF(B119="","",IFERROR(B119/INDEX($B$2:$B$400,MATCH(DATE(YEAR(A119)-1,12,1),$A$2:$A$400,0))-1,""))</f>
        <v/>
      </c>
      <c r="E119" s="115">
        <f>IF(B119="","",IFERROR(B119/INDEX($B$2:$B$400,MATCH(DATE(YEAR(A119)-1,MONTH(A119),1),$A$2:$A$400,0))-1,""))</f>
        <v/>
      </c>
    </row>
    <row r="120">
      <c r="A120" s="117" t="n"/>
      <c r="B120" s="118" t="n"/>
      <c r="C120" s="115">
        <f>IF(OR(B120="",B119=""),"",B120/B119-1)</f>
        <v/>
      </c>
      <c r="D120" s="115">
        <f>IF(B120="","",IFERROR(B120/INDEX($B$2:$B$400,MATCH(DATE(YEAR(A120)-1,12,1),$A$2:$A$400,0))-1,""))</f>
        <v/>
      </c>
      <c r="E120" s="115">
        <f>IF(B120="","",IFERROR(B120/INDEX($B$2:$B$400,MATCH(DATE(YEAR(A120)-1,MONTH(A120),1),$A$2:$A$400,0))-1,""))</f>
        <v/>
      </c>
    </row>
    <row r="121">
      <c r="A121" s="117" t="n"/>
      <c r="B121" s="118" t="n"/>
      <c r="C121" s="115">
        <f>IF(OR(B121="",B120=""),"",B121/B120-1)</f>
        <v/>
      </c>
      <c r="D121" s="115">
        <f>IF(B121="","",IFERROR(B121/INDEX($B$2:$B$400,MATCH(DATE(YEAR(A121)-1,12,1),$A$2:$A$400,0))-1,""))</f>
        <v/>
      </c>
      <c r="E121" s="115">
        <f>IF(B121="","",IFERROR(B121/INDEX($B$2:$B$400,MATCH(DATE(YEAR(A121)-1,MONTH(A121),1),$A$2:$A$400,0))-1,""))</f>
        <v/>
      </c>
    </row>
    <row r="122">
      <c r="A122" s="117" t="n"/>
      <c r="B122" s="118" t="n"/>
      <c r="C122" s="115">
        <f>IF(OR(B122="",B121=""),"",B122/B121-1)</f>
        <v/>
      </c>
      <c r="D122" s="115">
        <f>IF(B122="","",IFERROR(B122/INDEX($B$2:$B$400,MATCH(DATE(YEAR(A122)-1,12,1),$A$2:$A$400,0))-1,""))</f>
        <v/>
      </c>
      <c r="E122" s="115">
        <f>IF(B122="","",IFERROR(B122/INDEX($B$2:$B$400,MATCH(DATE(YEAR(A122)-1,MONTH(A122),1),$A$2:$A$400,0))-1,""))</f>
        <v/>
      </c>
    </row>
    <row r="123">
      <c r="A123" s="117" t="n"/>
      <c r="B123" s="118" t="n"/>
      <c r="C123" s="115">
        <f>IF(OR(B123="",B122=""),"",B123/B122-1)</f>
        <v/>
      </c>
      <c r="D123" s="115">
        <f>IF(B123="","",IFERROR(B123/INDEX($B$2:$B$400,MATCH(DATE(YEAR(A123)-1,12,1),$A$2:$A$400,0))-1,""))</f>
        <v/>
      </c>
      <c r="E123" s="115">
        <f>IF(B123="","",IFERROR(B123/INDEX($B$2:$B$400,MATCH(DATE(YEAR(A123)-1,MONTH(A123),1),$A$2:$A$400,0))-1,""))</f>
        <v/>
      </c>
    </row>
    <row r="124">
      <c r="A124" s="117" t="n"/>
      <c r="B124" s="118" t="n"/>
      <c r="C124" s="115">
        <f>IF(OR(B124="",B123=""),"",B124/B123-1)</f>
        <v/>
      </c>
      <c r="D124" s="115">
        <f>IF(B124="","",IFERROR(B124/INDEX($B$2:$B$400,MATCH(DATE(YEAR(A124)-1,12,1),$A$2:$A$400,0))-1,""))</f>
        <v/>
      </c>
      <c r="E124" s="115">
        <f>IF(B124="","",IFERROR(B124/INDEX($B$2:$B$400,MATCH(DATE(YEAR(A124)-1,MONTH(A124),1),$A$2:$A$400,0))-1,""))</f>
        <v/>
      </c>
    </row>
    <row r="125">
      <c r="A125" s="117" t="n"/>
      <c r="B125" s="118" t="n"/>
      <c r="C125" s="115">
        <f>IF(OR(B125="",B124=""),"",B125/B124-1)</f>
        <v/>
      </c>
      <c r="D125" s="115">
        <f>IF(B125="","",IFERROR(B125/INDEX($B$2:$B$400,MATCH(DATE(YEAR(A125)-1,12,1),$A$2:$A$400,0))-1,""))</f>
        <v/>
      </c>
      <c r="E125" s="115">
        <f>IF(B125="","",IFERROR(B125/INDEX($B$2:$B$400,MATCH(DATE(YEAR(A125)-1,MONTH(A125),1),$A$2:$A$400,0))-1,""))</f>
        <v/>
      </c>
    </row>
    <row r="126">
      <c r="A126" s="117" t="n"/>
      <c r="B126" s="118" t="n"/>
      <c r="C126" s="115">
        <f>IF(OR(B126="",B125=""),"",B126/B125-1)</f>
        <v/>
      </c>
      <c r="D126" s="115">
        <f>IF(B126="","",IFERROR(B126/INDEX($B$2:$B$400,MATCH(DATE(YEAR(A126)-1,12,1),$A$2:$A$400,0))-1,""))</f>
        <v/>
      </c>
      <c r="E126" s="115">
        <f>IF(B126="","",IFERROR(B126/INDEX($B$2:$B$400,MATCH(DATE(YEAR(A126)-1,MONTH(A126),1),$A$2:$A$400,0))-1,""))</f>
        <v/>
      </c>
    </row>
    <row r="127">
      <c r="A127" s="117" t="n"/>
      <c r="B127" s="118" t="n"/>
      <c r="C127" s="115">
        <f>IF(OR(B127="",B126=""),"",B127/B126-1)</f>
        <v/>
      </c>
      <c r="D127" s="115">
        <f>IF(B127="","",IFERROR(B127/INDEX($B$2:$B$400,MATCH(DATE(YEAR(A127)-1,12,1),$A$2:$A$400,0))-1,""))</f>
        <v/>
      </c>
      <c r="E127" s="115">
        <f>IF(B127="","",IFERROR(B127/INDEX($B$2:$B$400,MATCH(DATE(YEAR(A127)-1,MONTH(A127),1),$A$2:$A$400,0))-1,""))</f>
        <v/>
      </c>
    </row>
    <row r="128">
      <c r="A128" s="117" t="n"/>
      <c r="B128" s="118" t="n"/>
      <c r="C128" s="115">
        <f>IF(OR(B128="",B127=""),"",B128/B127-1)</f>
        <v/>
      </c>
      <c r="D128" s="115">
        <f>IF(B128="","",IFERROR(B128/INDEX($B$2:$B$400,MATCH(DATE(YEAR(A128)-1,12,1),$A$2:$A$400,0))-1,""))</f>
        <v/>
      </c>
      <c r="E128" s="115">
        <f>IF(B128="","",IFERROR(B128/INDEX($B$2:$B$400,MATCH(DATE(YEAR(A128)-1,MONTH(A128),1),$A$2:$A$400,0))-1,""))</f>
        <v/>
      </c>
    </row>
    <row r="129">
      <c r="A129" s="117" t="n"/>
      <c r="B129" s="118" t="n"/>
      <c r="C129" s="115">
        <f>IF(OR(B129="",B128=""),"",B129/B128-1)</f>
        <v/>
      </c>
      <c r="D129" s="115">
        <f>IF(B129="","",IFERROR(B129/INDEX($B$2:$B$400,MATCH(DATE(YEAR(A129)-1,12,1),$A$2:$A$400,0))-1,""))</f>
        <v/>
      </c>
      <c r="E129" s="115">
        <f>IF(B129="","",IFERROR(B129/INDEX($B$2:$B$400,MATCH(DATE(YEAR(A129)-1,MONTH(A129),1),$A$2:$A$400,0))-1,""))</f>
        <v/>
      </c>
    </row>
    <row r="130">
      <c r="A130" s="117" t="n"/>
      <c r="B130" s="118" t="n"/>
      <c r="C130" s="115">
        <f>IF(OR(B130="",B129=""),"",B130/B129-1)</f>
        <v/>
      </c>
      <c r="D130" s="115">
        <f>IF(B130="","",IFERROR(B130/INDEX($B$2:$B$400,MATCH(DATE(YEAR(A130)-1,12,1),$A$2:$A$400,0))-1,""))</f>
        <v/>
      </c>
      <c r="E130" s="115">
        <f>IF(B130="","",IFERROR(B130/INDEX($B$2:$B$400,MATCH(DATE(YEAR(A130)-1,MONTH(A130),1),$A$2:$A$400,0))-1,""))</f>
        <v/>
      </c>
    </row>
    <row r="131">
      <c r="A131" s="117" t="n"/>
      <c r="B131" s="118" t="n"/>
      <c r="C131" s="115">
        <f>IF(OR(B131="",B130=""),"",B131/B130-1)</f>
        <v/>
      </c>
      <c r="D131" s="115">
        <f>IF(B131="","",IFERROR(B131/INDEX($B$2:$B$400,MATCH(DATE(YEAR(A131)-1,12,1),$A$2:$A$400,0))-1,""))</f>
        <v/>
      </c>
      <c r="E131" s="115">
        <f>IF(B131="","",IFERROR(B131/INDEX($B$2:$B$400,MATCH(DATE(YEAR(A131)-1,MONTH(A131),1),$A$2:$A$400,0))-1,""))</f>
        <v/>
      </c>
    </row>
    <row r="132">
      <c r="A132" s="117" t="n"/>
      <c r="B132" s="118" t="n"/>
      <c r="C132" s="115">
        <f>IF(OR(B132="",B131=""),"",B132/B131-1)</f>
        <v/>
      </c>
      <c r="D132" s="115">
        <f>IF(B132="","",IFERROR(B132/INDEX($B$2:$B$400,MATCH(DATE(YEAR(A132)-1,12,1),$A$2:$A$400,0))-1,""))</f>
        <v/>
      </c>
      <c r="E132" s="115">
        <f>IF(B132="","",IFERROR(B132/INDEX($B$2:$B$400,MATCH(DATE(YEAR(A132)-1,MONTH(A132),1),$A$2:$A$400,0))-1,""))</f>
        <v/>
      </c>
    </row>
    <row r="133">
      <c r="A133" s="117" t="n"/>
      <c r="B133" s="118" t="n"/>
      <c r="C133" s="115">
        <f>IF(OR(B133="",B132=""),"",B133/B132-1)</f>
        <v/>
      </c>
      <c r="D133" s="115">
        <f>IF(B133="","",IFERROR(B133/INDEX($B$2:$B$400,MATCH(DATE(YEAR(A133)-1,12,1),$A$2:$A$400,0))-1,""))</f>
        <v/>
      </c>
      <c r="E133" s="115">
        <f>IF(B133="","",IFERROR(B133/INDEX($B$2:$B$400,MATCH(DATE(YEAR(A133)-1,MONTH(A133),1),$A$2:$A$400,0))-1,""))</f>
        <v/>
      </c>
    </row>
    <row r="134">
      <c r="A134" s="117" t="n"/>
      <c r="B134" s="118" t="n"/>
      <c r="C134" s="115">
        <f>IF(OR(B134="",B133=""),"",B134/B133-1)</f>
        <v/>
      </c>
      <c r="D134" s="115">
        <f>IF(B134="","",IFERROR(B134/INDEX($B$2:$B$400,MATCH(DATE(YEAR(A134)-1,12,1),$A$2:$A$400,0))-1,""))</f>
        <v/>
      </c>
      <c r="E134" s="115">
        <f>IF(B134="","",IFERROR(B134/INDEX($B$2:$B$400,MATCH(DATE(YEAR(A134)-1,MONTH(A134),1),$A$2:$A$400,0))-1,""))</f>
        <v/>
      </c>
    </row>
    <row r="135">
      <c r="A135" s="117" t="n"/>
      <c r="B135" s="118" t="n"/>
      <c r="C135" s="115">
        <f>IF(OR(B135="",B134=""),"",B135/B134-1)</f>
        <v/>
      </c>
      <c r="D135" s="115">
        <f>IF(B135="","",IFERROR(B135/INDEX($B$2:$B$400,MATCH(DATE(YEAR(A135)-1,12,1),$A$2:$A$400,0))-1,""))</f>
        <v/>
      </c>
      <c r="E135" s="115">
        <f>IF(B135="","",IFERROR(B135/INDEX($B$2:$B$400,MATCH(DATE(YEAR(A135)-1,MONTH(A135),1),$A$2:$A$400,0))-1,""))</f>
        <v/>
      </c>
    </row>
    <row r="136">
      <c r="A136" s="117" t="n"/>
      <c r="B136" s="118" t="n"/>
      <c r="C136" s="115">
        <f>IF(OR(B136="",B135=""),"",B136/B135-1)</f>
        <v/>
      </c>
      <c r="D136" s="115">
        <f>IF(B136="","",IFERROR(B136/INDEX($B$2:$B$400,MATCH(DATE(YEAR(A136)-1,12,1),$A$2:$A$400,0))-1,""))</f>
        <v/>
      </c>
      <c r="E136" s="115">
        <f>IF(B136="","",IFERROR(B136/INDEX($B$2:$B$400,MATCH(DATE(YEAR(A136)-1,MONTH(A136),1),$A$2:$A$400,0))-1,""))</f>
        <v/>
      </c>
    </row>
    <row r="137">
      <c r="A137" s="117" t="n"/>
      <c r="B137" s="118" t="n"/>
      <c r="C137" s="115">
        <f>IF(OR(B137="",B136=""),"",B137/B136-1)</f>
        <v/>
      </c>
      <c r="D137" s="115">
        <f>IF(B137="","",IFERROR(B137/INDEX($B$2:$B$400,MATCH(DATE(YEAR(A137)-1,12,1),$A$2:$A$400,0))-1,""))</f>
        <v/>
      </c>
      <c r="E137" s="115">
        <f>IF(B137="","",IFERROR(B137/INDEX($B$2:$B$400,MATCH(DATE(YEAR(A137)-1,MONTH(A137),1),$A$2:$A$400,0))-1,""))</f>
        <v/>
      </c>
    </row>
    <row r="138">
      <c r="A138" s="117" t="n"/>
      <c r="B138" s="118" t="n"/>
      <c r="C138" s="115">
        <f>IF(OR(B138="",B137=""),"",B138/B137-1)</f>
        <v/>
      </c>
      <c r="D138" s="115">
        <f>IF(B138="","",IFERROR(B138/INDEX($B$2:$B$400,MATCH(DATE(YEAR(A138)-1,12,1),$A$2:$A$400,0))-1,""))</f>
        <v/>
      </c>
      <c r="E138" s="115">
        <f>IF(B138="","",IFERROR(B138/INDEX($B$2:$B$400,MATCH(DATE(YEAR(A138)-1,MONTH(A138),1),$A$2:$A$400,0))-1,""))</f>
        <v/>
      </c>
    </row>
    <row r="139">
      <c r="A139" s="117" t="n"/>
      <c r="B139" s="118" t="n"/>
      <c r="C139" s="115">
        <f>IF(OR(B139="",B138=""),"",B139/B138-1)</f>
        <v/>
      </c>
      <c r="D139" s="115">
        <f>IF(B139="","",IFERROR(B139/INDEX($B$2:$B$400,MATCH(DATE(YEAR(A139)-1,12,1),$A$2:$A$400,0))-1,""))</f>
        <v/>
      </c>
      <c r="E139" s="115">
        <f>IF(B139="","",IFERROR(B139/INDEX($B$2:$B$400,MATCH(DATE(YEAR(A139)-1,MONTH(A139),1),$A$2:$A$400,0))-1,""))</f>
        <v/>
      </c>
    </row>
    <row r="140">
      <c r="A140" s="117" t="n"/>
      <c r="B140" s="118" t="n"/>
      <c r="C140" s="115">
        <f>IF(OR(B140="",B139=""),"",B140/B139-1)</f>
        <v/>
      </c>
      <c r="D140" s="115">
        <f>IF(B140="","",IFERROR(B140/INDEX($B$2:$B$400,MATCH(DATE(YEAR(A140)-1,12,1),$A$2:$A$400,0))-1,""))</f>
        <v/>
      </c>
      <c r="E140" s="115">
        <f>IF(B140="","",IFERROR(B140/INDEX($B$2:$B$400,MATCH(DATE(YEAR(A140)-1,MONTH(A140),1),$A$2:$A$400,0))-1,""))</f>
        <v/>
      </c>
    </row>
    <row r="141">
      <c r="A141" s="117" t="n"/>
      <c r="B141" s="118" t="n"/>
      <c r="C141" s="115">
        <f>IF(OR(B141="",B140=""),"",B141/B140-1)</f>
        <v/>
      </c>
      <c r="D141" s="115">
        <f>IF(B141="","",IFERROR(B141/INDEX($B$2:$B$400,MATCH(DATE(YEAR(A141)-1,12,1),$A$2:$A$400,0))-1,""))</f>
        <v/>
      </c>
      <c r="E141" s="115">
        <f>IF(B141="","",IFERROR(B141/INDEX($B$2:$B$400,MATCH(DATE(YEAR(A141)-1,MONTH(A141),1),$A$2:$A$400,0))-1,""))</f>
        <v/>
      </c>
    </row>
    <row r="142">
      <c r="A142" s="117" t="n"/>
      <c r="B142" s="118" t="n"/>
      <c r="C142" s="115">
        <f>IF(OR(B142="",B141=""),"",B142/B141-1)</f>
        <v/>
      </c>
      <c r="D142" s="115">
        <f>IF(B142="","",IFERROR(B142/INDEX($B$2:$B$400,MATCH(DATE(YEAR(A142)-1,12,1),$A$2:$A$400,0))-1,""))</f>
        <v/>
      </c>
      <c r="E142" s="115">
        <f>IF(B142="","",IFERROR(B142/INDEX($B$2:$B$400,MATCH(DATE(YEAR(A142)-1,MONTH(A142),1),$A$2:$A$400,0))-1,""))</f>
        <v/>
      </c>
    </row>
    <row r="143">
      <c r="A143" s="117" t="n"/>
      <c r="B143" s="118" t="n"/>
      <c r="C143" s="115">
        <f>IF(OR(B143="",B142=""),"",B143/B142-1)</f>
        <v/>
      </c>
      <c r="D143" s="115">
        <f>IF(B143="","",IFERROR(B143/INDEX($B$2:$B$400,MATCH(DATE(YEAR(A143)-1,12,1),$A$2:$A$400,0))-1,""))</f>
        <v/>
      </c>
      <c r="E143" s="115">
        <f>IF(B143="","",IFERROR(B143/INDEX($B$2:$B$400,MATCH(DATE(YEAR(A143)-1,MONTH(A143),1),$A$2:$A$400,0))-1,""))</f>
        <v/>
      </c>
    </row>
    <row r="144">
      <c r="A144" s="117" t="n"/>
      <c r="B144" s="118" t="n"/>
      <c r="C144" s="115">
        <f>IF(OR(B144="",B143=""),"",B144/B143-1)</f>
        <v/>
      </c>
      <c r="D144" s="115">
        <f>IF(B144="","",IFERROR(B144/INDEX($B$2:$B$400,MATCH(DATE(YEAR(A144)-1,12,1),$A$2:$A$400,0))-1,""))</f>
        <v/>
      </c>
      <c r="E144" s="115">
        <f>IF(B144="","",IFERROR(B144/INDEX($B$2:$B$400,MATCH(DATE(YEAR(A144)-1,MONTH(A144),1),$A$2:$A$400,0))-1,""))</f>
        <v/>
      </c>
    </row>
    <row r="145">
      <c r="A145" s="117" t="n"/>
      <c r="B145" s="118" t="n"/>
      <c r="C145" s="115">
        <f>IF(OR(B145="",B144=""),"",B145/B144-1)</f>
        <v/>
      </c>
      <c r="D145" s="115">
        <f>IF(B145="","",IFERROR(B145/INDEX($B$2:$B$400,MATCH(DATE(YEAR(A145)-1,12,1),$A$2:$A$400,0))-1,""))</f>
        <v/>
      </c>
      <c r="E145" s="115">
        <f>IF(B145="","",IFERROR(B145/INDEX($B$2:$B$400,MATCH(DATE(YEAR(A145)-1,MONTH(A145),1),$A$2:$A$400,0))-1,""))</f>
        <v/>
      </c>
    </row>
    <row r="146">
      <c r="A146" s="117" t="n"/>
      <c r="B146" s="118" t="n"/>
      <c r="C146" s="115">
        <f>IF(OR(B146="",B145=""),"",B146/B145-1)</f>
        <v/>
      </c>
      <c r="D146" s="115">
        <f>IF(B146="","",IFERROR(B146/INDEX($B$2:$B$400,MATCH(DATE(YEAR(A146)-1,12,1),$A$2:$A$400,0))-1,""))</f>
        <v/>
      </c>
      <c r="E146" s="115">
        <f>IF(B146="","",IFERROR(B146/INDEX($B$2:$B$400,MATCH(DATE(YEAR(A146)-1,MONTH(A146),1),$A$2:$A$400,0))-1,""))</f>
        <v/>
      </c>
    </row>
    <row r="147">
      <c r="A147" s="117" t="n"/>
      <c r="B147" s="118" t="n"/>
      <c r="C147" s="115">
        <f>IF(OR(B147="",B146=""),"",B147/B146-1)</f>
        <v/>
      </c>
      <c r="D147" s="115">
        <f>IF(B147="","",IFERROR(B147/INDEX($B$2:$B$400,MATCH(DATE(YEAR(A147)-1,12,1),$A$2:$A$400,0))-1,""))</f>
        <v/>
      </c>
      <c r="E147" s="115">
        <f>IF(B147="","",IFERROR(B147/INDEX($B$2:$B$400,MATCH(DATE(YEAR(A147)-1,MONTH(A147),1),$A$2:$A$400,0))-1,""))</f>
        <v/>
      </c>
    </row>
    <row r="148">
      <c r="A148" s="117" t="n"/>
      <c r="B148" s="118" t="n"/>
      <c r="C148" s="115">
        <f>IF(OR(B148="",B147=""),"",B148/B147-1)</f>
        <v/>
      </c>
      <c r="D148" s="115">
        <f>IF(B148="","",IFERROR(B148/INDEX($B$2:$B$400,MATCH(DATE(YEAR(A148)-1,12,1),$A$2:$A$400,0))-1,""))</f>
        <v/>
      </c>
      <c r="E148" s="115">
        <f>IF(B148="","",IFERROR(B148/INDEX($B$2:$B$400,MATCH(DATE(YEAR(A148)-1,MONTH(A148),1),$A$2:$A$400,0))-1,""))</f>
        <v/>
      </c>
    </row>
    <row r="149">
      <c r="A149" s="117" t="n"/>
      <c r="B149" s="118" t="n"/>
      <c r="C149" s="115">
        <f>IF(OR(B149="",B148=""),"",B149/B148-1)</f>
        <v/>
      </c>
      <c r="D149" s="115">
        <f>IF(B149="","",IFERROR(B149/INDEX($B$2:$B$400,MATCH(DATE(YEAR(A149)-1,12,1),$A$2:$A$400,0))-1,""))</f>
        <v/>
      </c>
      <c r="E149" s="115">
        <f>IF(B149="","",IFERROR(B149/INDEX($B$2:$B$400,MATCH(DATE(YEAR(A149)-1,MONTH(A149),1),$A$2:$A$400,0))-1,""))</f>
        <v/>
      </c>
    </row>
    <row r="150">
      <c r="A150" s="117" t="n"/>
      <c r="B150" s="118" t="n"/>
      <c r="C150" s="115">
        <f>IF(OR(B150="",B149=""),"",B150/B149-1)</f>
        <v/>
      </c>
      <c r="D150" s="115">
        <f>IF(B150="","",IFERROR(B150/INDEX($B$2:$B$400,MATCH(DATE(YEAR(A150)-1,12,1),$A$2:$A$400,0))-1,""))</f>
        <v/>
      </c>
      <c r="E150" s="115">
        <f>IF(B150="","",IFERROR(B150/INDEX($B$2:$B$400,MATCH(DATE(YEAR(A150)-1,MONTH(A150),1),$A$2:$A$400,0))-1,""))</f>
        <v/>
      </c>
    </row>
    <row r="151">
      <c r="A151" s="117" t="n"/>
      <c r="B151" s="118" t="n"/>
      <c r="C151" s="115">
        <f>IF(OR(B151="",B150=""),"",B151/B150-1)</f>
        <v/>
      </c>
      <c r="D151" s="115">
        <f>IF(B151="","",IFERROR(B151/INDEX($B$2:$B$400,MATCH(DATE(YEAR(A151)-1,12,1),$A$2:$A$400,0))-1,""))</f>
        <v/>
      </c>
      <c r="E151" s="115">
        <f>IF(B151="","",IFERROR(B151/INDEX($B$2:$B$400,MATCH(DATE(YEAR(A151)-1,MONTH(A151),1),$A$2:$A$400,0))-1,""))</f>
        <v/>
      </c>
    </row>
    <row r="152">
      <c r="A152" s="117" t="n"/>
      <c r="B152" s="118" t="n"/>
      <c r="C152" s="115">
        <f>IF(OR(B152="",B151=""),"",B152/B151-1)</f>
        <v/>
      </c>
      <c r="D152" s="115">
        <f>IF(B152="","",IFERROR(B152/INDEX($B$2:$B$400,MATCH(DATE(YEAR(A152)-1,12,1),$A$2:$A$400,0))-1,""))</f>
        <v/>
      </c>
      <c r="E152" s="115">
        <f>IF(B152="","",IFERROR(B152/INDEX($B$2:$B$400,MATCH(DATE(YEAR(A152)-1,MONTH(A152),1),$A$2:$A$400,0))-1,""))</f>
        <v/>
      </c>
    </row>
    <row r="153">
      <c r="A153" s="117" t="n"/>
      <c r="B153" s="118" t="n"/>
      <c r="C153" s="115">
        <f>IF(OR(B153="",B152=""),"",B153/B152-1)</f>
        <v/>
      </c>
      <c r="D153" s="115">
        <f>IF(B153="","",IFERROR(B153/INDEX($B$2:$B$400,MATCH(DATE(YEAR(A153)-1,12,1),$A$2:$A$400,0))-1,""))</f>
        <v/>
      </c>
      <c r="E153" s="115">
        <f>IF(B153="","",IFERROR(B153/INDEX($B$2:$B$400,MATCH(DATE(YEAR(A153)-1,MONTH(A153),1),$A$2:$A$400,0))-1,""))</f>
        <v/>
      </c>
    </row>
    <row r="154">
      <c r="A154" s="117" t="n"/>
      <c r="B154" s="118" t="n"/>
      <c r="C154" s="115">
        <f>IF(OR(B154="",B153=""),"",B154/B153-1)</f>
        <v/>
      </c>
      <c r="D154" s="115">
        <f>IF(B154="","",IFERROR(B154/INDEX($B$2:$B$400,MATCH(DATE(YEAR(A154)-1,12,1),$A$2:$A$400,0))-1,""))</f>
        <v/>
      </c>
      <c r="E154" s="115">
        <f>IF(B154="","",IFERROR(B154/INDEX($B$2:$B$400,MATCH(DATE(YEAR(A154)-1,MONTH(A154),1),$A$2:$A$400,0))-1,""))</f>
        <v/>
      </c>
    </row>
    <row r="155">
      <c r="A155" s="117" t="n"/>
      <c r="B155" s="118" t="n"/>
      <c r="C155" s="115">
        <f>IF(OR(B155="",B154=""),"",B155/B154-1)</f>
        <v/>
      </c>
      <c r="D155" s="115">
        <f>IF(B155="","",IFERROR(B155/INDEX($B$2:$B$400,MATCH(DATE(YEAR(A155)-1,12,1),$A$2:$A$400,0))-1,""))</f>
        <v/>
      </c>
      <c r="E155" s="115">
        <f>IF(B155="","",IFERROR(B155/INDEX($B$2:$B$400,MATCH(DATE(YEAR(A155)-1,MONTH(A155),1),$A$2:$A$400,0))-1,""))</f>
        <v/>
      </c>
    </row>
    <row r="156">
      <c r="A156" s="117" t="n"/>
      <c r="B156" s="118" t="n"/>
      <c r="C156" s="115">
        <f>IF(OR(B156="",B155=""),"",B156/B155-1)</f>
        <v/>
      </c>
      <c r="D156" s="115">
        <f>IF(B156="","",IFERROR(B156/INDEX($B$2:$B$400,MATCH(DATE(YEAR(A156)-1,12,1),$A$2:$A$400,0))-1,""))</f>
        <v/>
      </c>
      <c r="E156" s="115">
        <f>IF(B156="","",IFERROR(B156/INDEX($B$2:$B$400,MATCH(DATE(YEAR(A156)-1,MONTH(A156),1),$A$2:$A$400,0))-1,""))</f>
        <v/>
      </c>
    </row>
    <row r="157">
      <c r="A157" s="117" t="n"/>
      <c r="B157" s="118" t="n"/>
      <c r="C157" s="115">
        <f>IF(OR(B157="",B156=""),"",B157/B156-1)</f>
        <v/>
      </c>
      <c r="D157" s="115">
        <f>IF(B157="","",IFERROR(B157/INDEX($B$2:$B$400,MATCH(DATE(YEAR(A157)-1,12,1),$A$2:$A$400,0))-1,""))</f>
        <v/>
      </c>
      <c r="E157" s="115">
        <f>IF(B157="","",IFERROR(B157/INDEX($B$2:$B$400,MATCH(DATE(YEAR(A157)-1,MONTH(A157),1),$A$2:$A$400,0))-1,""))</f>
        <v/>
      </c>
    </row>
    <row r="158">
      <c r="A158" s="117" t="n"/>
      <c r="B158" s="118" t="n"/>
      <c r="C158" s="115">
        <f>IF(OR(B158="",B157=""),"",B158/B157-1)</f>
        <v/>
      </c>
      <c r="D158" s="115">
        <f>IF(B158="","",IFERROR(B158/INDEX($B$2:$B$400,MATCH(DATE(YEAR(A158)-1,12,1),$A$2:$A$400,0))-1,""))</f>
        <v/>
      </c>
      <c r="E158" s="115">
        <f>IF(B158="","",IFERROR(B158/INDEX($B$2:$B$400,MATCH(DATE(YEAR(A158)-1,MONTH(A158),1),$A$2:$A$400,0))-1,""))</f>
        <v/>
      </c>
    </row>
    <row r="159">
      <c r="A159" s="117" t="n"/>
      <c r="B159" s="118" t="n"/>
      <c r="C159" s="115">
        <f>IF(OR(B159="",B158=""),"",B159/B158-1)</f>
        <v/>
      </c>
      <c r="D159" s="115">
        <f>IF(B159="","",IFERROR(B159/INDEX($B$2:$B$400,MATCH(DATE(YEAR(A159)-1,12,1),$A$2:$A$400,0))-1,""))</f>
        <v/>
      </c>
      <c r="E159" s="115">
        <f>IF(B159="","",IFERROR(B159/INDEX($B$2:$B$400,MATCH(DATE(YEAR(A159)-1,MONTH(A159),1),$A$2:$A$400,0))-1,""))</f>
        <v/>
      </c>
    </row>
    <row r="160">
      <c r="A160" s="117" t="n"/>
      <c r="B160" s="118" t="n"/>
      <c r="C160" s="115">
        <f>IF(OR(B160="",B159=""),"",B160/B159-1)</f>
        <v/>
      </c>
      <c r="D160" s="115">
        <f>IF(B160="","",IFERROR(B160/INDEX($B$2:$B$400,MATCH(DATE(YEAR(A160)-1,12,1),$A$2:$A$400,0))-1,""))</f>
        <v/>
      </c>
      <c r="E160" s="115">
        <f>IF(B160="","",IFERROR(B160/INDEX($B$2:$B$400,MATCH(DATE(YEAR(A160)-1,MONTH(A160),1),$A$2:$A$400,0))-1,""))</f>
        <v/>
      </c>
    </row>
    <row r="161">
      <c r="A161" s="117" t="n"/>
      <c r="B161" s="118" t="n"/>
      <c r="C161" s="115">
        <f>IF(OR(B161="",B160=""),"",B161/B160-1)</f>
        <v/>
      </c>
      <c r="D161" s="115">
        <f>IF(B161="","",IFERROR(B161/INDEX($B$2:$B$400,MATCH(DATE(YEAR(A161)-1,12,1),$A$2:$A$400,0))-1,""))</f>
        <v/>
      </c>
      <c r="E161" s="115">
        <f>IF(B161="","",IFERROR(B161/INDEX($B$2:$B$400,MATCH(DATE(YEAR(A161)-1,MONTH(A161),1),$A$2:$A$400,0))-1,""))</f>
        <v/>
      </c>
    </row>
    <row r="162">
      <c r="A162" s="117" t="n"/>
      <c r="B162" s="118" t="n"/>
      <c r="C162" s="115">
        <f>IF(OR(B162="",B161=""),"",B162/B161-1)</f>
        <v/>
      </c>
      <c r="D162" s="115">
        <f>IF(B162="","",IFERROR(B162/INDEX($B$2:$B$400,MATCH(DATE(YEAR(A162)-1,12,1),$A$2:$A$400,0))-1,""))</f>
        <v/>
      </c>
      <c r="E162" s="115">
        <f>IF(B162="","",IFERROR(B162/INDEX($B$2:$B$400,MATCH(DATE(YEAR(A162)-1,MONTH(A162),1),$A$2:$A$400,0))-1,""))</f>
        <v/>
      </c>
    </row>
    <row r="163">
      <c r="A163" s="117" t="n"/>
      <c r="B163" s="118" t="n"/>
      <c r="C163" s="115">
        <f>IF(OR(B163="",B162=""),"",B163/B162-1)</f>
        <v/>
      </c>
      <c r="D163" s="115">
        <f>IF(B163="","",IFERROR(B163/INDEX($B$2:$B$400,MATCH(DATE(YEAR(A163)-1,12,1),$A$2:$A$400,0))-1,""))</f>
        <v/>
      </c>
      <c r="E163" s="115">
        <f>IF(B163="","",IFERROR(B163/INDEX($B$2:$B$400,MATCH(DATE(YEAR(A163)-1,MONTH(A163),1),$A$2:$A$400,0))-1,""))</f>
        <v/>
      </c>
    </row>
    <row r="164">
      <c r="A164" s="117" t="n"/>
      <c r="B164" s="118" t="n"/>
      <c r="C164" s="115">
        <f>IF(OR(B164="",B163=""),"",B164/B163-1)</f>
        <v/>
      </c>
      <c r="D164" s="115">
        <f>IF(B164="","",IFERROR(B164/INDEX($B$2:$B$400,MATCH(DATE(YEAR(A164)-1,12,1),$A$2:$A$400,0))-1,""))</f>
        <v/>
      </c>
      <c r="E164" s="115">
        <f>IF(B164="","",IFERROR(B164/INDEX($B$2:$B$400,MATCH(DATE(YEAR(A164)-1,MONTH(A164),1),$A$2:$A$400,0))-1,""))</f>
        <v/>
      </c>
    </row>
    <row r="165">
      <c r="A165" s="117" t="n"/>
      <c r="B165" s="118" t="n"/>
      <c r="C165" s="115">
        <f>IF(OR(B165="",B164=""),"",B165/B164-1)</f>
        <v/>
      </c>
      <c r="D165" s="115">
        <f>IF(B165="","",IFERROR(B165/INDEX($B$2:$B$400,MATCH(DATE(YEAR(A165)-1,12,1),$A$2:$A$400,0))-1,""))</f>
        <v/>
      </c>
      <c r="E165" s="115">
        <f>IF(B165="","",IFERROR(B165/INDEX($B$2:$B$400,MATCH(DATE(YEAR(A165)-1,MONTH(A165),1),$A$2:$A$400,0))-1,""))</f>
        <v/>
      </c>
    </row>
    <row r="166">
      <c r="A166" s="117" t="n"/>
      <c r="B166" s="118" t="n"/>
      <c r="C166" s="115">
        <f>IF(OR(B166="",B165=""),"",B166/B165-1)</f>
        <v/>
      </c>
      <c r="D166" s="115">
        <f>IF(B166="","",IFERROR(B166/INDEX($B$2:$B$400,MATCH(DATE(YEAR(A166)-1,12,1),$A$2:$A$400,0))-1,""))</f>
        <v/>
      </c>
      <c r="E166" s="115">
        <f>IF(B166="","",IFERROR(B166/INDEX($B$2:$B$400,MATCH(DATE(YEAR(A166)-1,MONTH(A166),1),$A$2:$A$400,0))-1,""))</f>
        <v/>
      </c>
    </row>
    <row r="167">
      <c r="A167" s="117" t="n"/>
      <c r="B167" s="118" t="n"/>
      <c r="C167" s="115">
        <f>IF(OR(B167="",B166=""),"",B167/B166-1)</f>
        <v/>
      </c>
      <c r="D167" s="115">
        <f>IF(B167="","",IFERROR(B167/INDEX($B$2:$B$400,MATCH(DATE(YEAR(A167)-1,12,1),$A$2:$A$400,0))-1,""))</f>
        <v/>
      </c>
      <c r="E167" s="115">
        <f>IF(B167="","",IFERROR(B167/INDEX($B$2:$B$400,MATCH(DATE(YEAR(A167)-1,MONTH(A167),1),$A$2:$A$400,0))-1,""))</f>
        <v/>
      </c>
    </row>
    <row r="168">
      <c r="A168" s="117" t="n"/>
      <c r="B168" s="118" t="n"/>
      <c r="C168" s="115">
        <f>IF(OR(B168="",B167=""),"",B168/B167-1)</f>
        <v/>
      </c>
      <c r="D168" s="115">
        <f>IF(B168="","",IFERROR(B168/INDEX($B$2:$B$400,MATCH(DATE(YEAR(A168)-1,12,1),$A$2:$A$400,0))-1,""))</f>
        <v/>
      </c>
      <c r="E168" s="115">
        <f>IF(B168="","",IFERROR(B168/INDEX($B$2:$B$400,MATCH(DATE(YEAR(A168)-1,MONTH(A168),1),$A$2:$A$400,0))-1,""))</f>
        <v/>
      </c>
    </row>
    <row r="169">
      <c r="A169" s="117" t="n"/>
      <c r="B169" s="118" t="n"/>
      <c r="C169" s="115">
        <f>IF(OR(B169="",B168=""),"",B169/B168-1)</f>
        <v/>
      </c>
      <c r="D169" s="115">
        <f>IF(B169="","",IFERROR(B169/INDEX($B$2:$B$400,MATCH(DATE(YEAR(A169)-1,12,1),$A$2:$A$400,0))-1,""))</f>
        <v/>
      </c>
      <c r="E169" s="115">
        <f>IF(B169="","",IFERROR(B169/INDEX($B$2:$B$400,MATCH(DATE(YEAR(A169)-1,MONTH(A169),1),$A$2:$A$400,0))-1,""))</f>
        <v/>
      </c>
    </row>
    <row r="170">
      <c r="A170" s="117" t="n"/>
      <c r="B170" s="118" t="n"/>
      <c r="C170" s="115">
        <f>IF(OR(B170="",B169=""),"",B170/B169-1)</f>
        <v/>
      </c>
      <c r="D170" s="115">
        <f>IF(B170="","",IFERROR(B170/INDEX($B$2:$B$400,MATCH(DATE(YEAR(A170)-1,12,1),$A$2:$A$400,0))-1,""))</f>
        <v/>
      </c>
      <c r="E170" s="115">
        <f>IF(B170="","",IFERROR(B170/INDEX($B$2:$B$400,MATCH(DATE(YEAR(A170)-1,MONTH(A170),1),$A$2:$A$400,0))-1,""))</f>
        <v/>
      </c>
    </row>
    <row r="171">
      <c r="A171" s="117" t="n"/>
      <c r="B171" s="118" t="n"/>
      <c r="C171" s="115">
        <f>IF(OR(B171="",B170=""),"",B171/B170-1)</f>
        <v/>
      </c>
      <c r="D171" s="115">
        <f>IF(B171="","",IFERROR(B171/INDEX($B$2:$B$400,MATCH(DATE(YEAR(A171)-1,12,1),$A$2:$A$400,0))-1,""))</f>
        <v/>
      </c>
      <c r="E171" s="115">
        <f>IF(B171="","",IFERROR(B171/INDEX($B$2:$B$400,MATCH(DATE(YEAR(A171)-1,MONTH(A171),1),$A$2:$A$400,0))-1,""))</f>
        <v/>
      </c>
    </row>
    <row r="172">
      <c r="A172" s="117" t="n"/>
      <c r="B172" s="118" t="n"/>
      <c r="C172" s="115">
        <f>IF(OR(B172="",B171=""),"",B172/B171-1)</f>
        <v/>
      </c>
      <c r="D172" s="115">
        <f>IF(B172="","",IFERROR(B172/INDEX($B$2:$B$400,MATCH(DATE(YEAR(A172)-1,12,1),$A$2:$A$400,0))-1,""))</f>
        <v/>
      </c>
      <c r="E172" s="115">
        <f>IF(B172="","",IFERROR(B172/INDEX($B$2:$B$400,MATCH(DATE(YEAR(A172)-1,MONTH(A172),1),$A$2:$A$400,0))-1,""))</f>
        <v/>
      </c>
    </row>
    <row r="173">
      <c r="A173" s="117" t="n"/>
      <c r="B173" s="118" t="n"/>
      <c r="C173" s="115">
        <f>IF(OR(B173="",B172=""),"",B173/B172-1)</f>
        <v/>
      </c>
      <c r="D173" s="115">
        <f>IF(B173="","",IFERROR(B173/INDEX($B$2:$B$400,MATCH(DATE(YEAR(A173)-1,12,1),$A$2:$A$400,0))-1,""))</f>
        <v/>
      </c>
      <c r="E173" s="115">
        <f>IF(B173="","",IFERROR(B173/INDEX($B$2:$B$400,MATCH(DATE(YEAR(A173)-1,MONTH(A173),1),$A$2:$A$400,0))-1,""))</f>
        <v/>
      </c>
    </row>
    <row r="174">
      <c r="A174" s="117" t="n"/>
      <c r="B174" s="118" t="n"/>
      <c r="C174" s="115">
        <f>IF(OR(B174="",B173=""),"",B174/B173-1)</f>
        <v/>
      </c>
      <c r="D174" s="115">
        <f>IF(B174="","",IFERROR(B174/INDEX($B$2:$B$400,MATCH(DATE(YEAR(A174)-1,12,1),$A$2:$A$400,0))-1,""))</f>
        <v/>
      </c>
      <c r="E174" s="115">
        <f>IF(B174="","",IFERROR(B174/INDEX($B$2:$B$400,MATCH(DATE(YEAR(A174)-1,MONTH(A174),1),$A$2:$A$400,0))-1,""))</f>
        <v/>
      </c>
    </row>
    <row r="175">
      <c r="A175" s="117" t="n"/>
      <c r="B175" s="118" t="n"/>
      <c r="C175" s="115">
        <f>IF(OR(B175="",B174=""),"",B175/B174-1)</f>
        <v/>
      </c>
      <c r="D175" s="115">
        <f>IF(B175="","",IFERROR(B175/INDEX($B$2:$B$400,MATCH(DATE(YEAR(A175)-1,12,1),$A$2:$A$400,0))-1,""))</f>
        <v/>
      </c>
      <c r="E175" s="115">
        <f>IF(B175="","",IFERROR(B175/INDEX($B$2:$B$400,MATCH(DATE(YEAR(A175)-1,MONTH(A175),1),$A$2:$A$400,0))-1,""))</f>
        <v/>
      </c>
    </row>
    <row r="176">
      <c r="A176" s="117" t="n"/>
      <c r="B176" s="118" t="n"/>
      <c r="C176" s="115">
        <f>IF(OR(B176="",B175=""),"",B176/B175-1)</f>
        <v/>
      </c>
      <c r="D176" s="115">
        <f>IF(B176="","",IFERROR(B176/INDEX($B$2:$B$400,MATCH(DATE(YEAR(A176)-1,12,1),$A$2:$A$400,0))-1,""))</f>
        <v/>
      </c>
      <c r="E176" s="115">
        <f>IF(B176="","",IFERROR(B176/INDEX($B$2:$B$400,MATCH(DATE(YEAR(A176)-1,MONTH(A176),1),$A$2:$A$400,0))-1,""))</f>
        <v/>
      </c>
    </row>
    <row r="177">
      <c r="A177" s="117" t="n"/>
      <c r="B177" s="118" t="n"/>
      <c r="C177" s="115">
        <f>IF(OR(B177="",B176=""),"",B177/B176-1)</f>
        <v/>
      </c>
      <c r="D177" s="115">
        <f>IF(B177="","",IFERROR(B177/INDEX($B$2:$B$400,MATCH(DATE(YEAR(A177)-1,12,1),$A$2:$A$400,0))-1,""))</f>
        <v/>
      </c>
      <c r="E177" s="115">
        <f>IF(B177="","",IFERROR(B177/INDEX($B$2:$B$400,MATCH(DATE(YEAR(A177)-1,MONTH(A177),1),$A$2:$A$400,0))-1,""))</f>
        <v/>
      </c>
    </row>
    <row r="178">
      <c r="A178" s="117" t="n"/>
      <c r="B178" s="118" t="n"/>
      <c r="C178" s="115">
        <f>IF(OR(B178="",B177=""),"",B178/B177-1)</f>
        <v/>
      </c>
      <c r="D178" s="115">
        <f>IF(B178="","",IFERROR(B178/INDEX($B$2:$B$400,MATCH(DATE(YEAR(A178)-1,12,1),$A$2:$A$400,0))-1,""))</f>
        <v/>
      </c>
      <c r="E178" s="115">
        <f>IF(B178="","",IFERROR(B178/INDEX($B$2:$B$400,MATCH(DATE(YEAR(A178)-1,MONTH(A178),1),$A$2:$A$400,0))-1,""))</f>
        <v/>
      </c>
    </row>
    <row r="179">
      <c r="A179" s="117" t="n"/>
      <c r="B179" s="118" t="n"/>
      <c r="C179" s="115">
        <f>IF(OR(B179="",B178=""),"",B179/B178-1)</f>
        <v/>
      </c>
      <c r="D179" s="115">
        <f>IF(B179="","",IFERROR(B179/INDEX($B$2:$B$400,MATCH(DATE(YEAR(A179)-1,12,1),$A$2:$A$400,0))-1,""))</f>
        <v/>
      </c>
      <c r="E179" s="115">
        <f>IF(B179="","",IFERROR(B179/INDEX($B$2:$B$400,MATCH(DATE(YEAR(A179)-1,MONTH(A179),1),$A$2:$A$400,0))-1,""))</f>
        <v/>
      </c>
    </row>
    <row r="180">
      <c r="A180" s="117" t="n"/>
      <c r="B180" s="118" t="n"/>
      <c r="C180" s="115">
        <f>IF(OR(B180="",B179=""),"",B180/B179-1)</f>
        <v/>
      </c>
      <c r="D180" s="115">
        <f>IF(B180="","",IFERROR(B180/INDEX($B$2:$B$400,MATCH(DATE(YEAR(A180)-1,12,1),$A$2:$A$400,0))-1,""))</f>
        <v/>
      </c>
      <c r="E180" s="115">
        <f>IF(B180="","",IFERROR(B180/INDEX($B$2:$B$400,MATCH(DATE(YEAR(A180)-1,MONTH(A180),1),$A$2:$A$400,0))-1,""))</f>
        <v/>
      </c>
    </row>
    <row r="181">
      <c r="A181" s="117" t="n"/>
      <c r="B181" s="118" t="n"/>
      <c r="C181" s="115">
        <f>IF(OR(B181="",B180=""),"",B181/B180-1)</f>
        <v/>
      </c>
      <c r="D181" s="115">
        <f>IF(B181="","",IFERROR(B181/INDEX($B$2:$B$400,MATCH(DATE(YEAR(A181)-1,12,1),$A$2:$A$400,0))-1,""))</f>
        <v/>
      </c>
      <c r="E181" s="115">
        <f>IF(B181="","",IFERROR(B181/INDEX($B$2:$B$400,MATCH(DATE(YEAR(A181)-1,MONTH(A181),1),$A$2:$A$400,0))-1,""))</f>
        <v/>
      </c>
    </row>
    <row r="182">
      <c r="A182" s="117" t="n"/>
      <c r="B182" s="118" t="n"/>
      <c r="C182" s="115">
        <f>IF(OR(B182="",B181=""),"",B182/B181-1)</f>
        <v/>
      </c>
      <c r="D182" s="115">
        <f>IF(B182="","",IFERROR(B182/INDEX($B$2:$B$400,MATCH(DATE(YEAR(A182)-1,12,1),$A$2:$A$400,0))-1,""))</f>
        <v/>
      </c>
      <c r="E182" s="115">
        <f>IF(B182="","",IFERROR(B182/INDEX($B$2:$B$400,MATCH(DATE(YEAR(A182)-1,MONTH(A182),1),$A$2:$A$400,0))-1,""))</f>
        <v/>
      </c>
    </row>
    <row r="183">
      <c r="A183" s="117" t="n"/>
      <c r="B183" s="118" t="n"/>
      <c r="C183" s="115">
        <f>IF(OR(B183="",B182=""),"",B183/B182-1)</f>
        <v/>
      </c>
      <c r="D183" s="115">
        <f>IF(B183="","",IFERROR(B183/INDEX($B$2:$B$400,MATCH(DATE(YEAR(A183)-1,12,1),$A$2:$A$400,0))-1,""))</f>
        <v/>
      </c>
      <c r="E183" s="115">
        <f>IF(B183="","",IFERROR(B183/INDEX($B$2:$B$400,MATCH(DATE(YEAR(A183)-1,MONTH(A183),1),$A$2:$A$400,0))-1,""))</f>
        <v/>
      </c>
    </row>
    <row r="184">
      <c r="A184" s="117" t="n"/>
      <c r="B184" s="118" t="n"/>
      <c r="C184" s="115">
        <f>IF(OR(B184="",B183=""),"",B184/B183-1)</f>
        <v/>
      </c>
      <c r="D184" s="115">
        <f>IF(B184="","",IFERROR(B184/INDEX($B$2:$B$400,MATCH(DATE(YEAR(A184)-1,12,1),$A$2:$A$400,0))-1,""))</f>
        <v/>
      </c>
      <c r="E184" s="115">
        <f>IF(B184="","",IFERROR(B184/INDEX($B$2:$B$400,MATCH(DATE(YEAR(A184)-1,MONTH(A184),1),$A$2:$A$400,0))-1,""))</f>
        <v/>
      </c>
    </row>
    <row r="185">
      <c r="A185" s="117" t="n"/>
      <c r="B185" s="118" t="n"/>
      <c r="C185" s="115">
        <f>IF(OR(B185="",B184=""),"",B185/B184-1)</f>
        <v/>
      </c>
      <c r="D185" s="115">
        <f>IF(B185="","",IFERROR(B185/INDEX($B$2:$B$400,MATCH(DATE(YEAR(A185)-1,12,1),$A$2:$A$400,0))-1,""))</f>
        <v/>
      </c>
      <c r="E185" s="115">
        <f>IF(B185="","",IFERROR(B185/INDEX($B$2:$B$400,MATCH(DATE(YEAR(A185)-1,MONTH(A185),1),$A$2:$A$400,0))-1,""))</f>
        <v/>
      </c>
    </row>
    <row r="186">
      <c r="A186" s="117" t="n"/>
      <c r="B186" s="118" t="n"/>
      <c r="C186" s="115">
        <f>IF(OR(B186="",B185=""),"",B186/B185-1)</f>
        <v/>
      </c>
      <c r="D186" s="115">
        <f>IF(B186="","",IFERROR(B186/INDEX($B$2:$B$400,MATCH(DATE(YEAR(A186)-1,12,1),$A$2:$A$400,0))-1,""))</f>
        <v/>
      </c>
      <c r="E186" s="115">
        <f>IF(B186="","",IFERROR(B186/INDEX($B$2:$B$400,MATCH(DATE(YEAR(A186)-1,MONTH(A186),1),$A$2:$A$400,0))-1,""))</f>
        <v/>
      </c>
    </row>
    <row r="187">
      <c r="A187" s="117" t="n"/>
      <c r="B187" s="118" t="n"/>
      <c r="C187" s="115">
        <f>IF(OR(B187="",B186=""),"",B187/B186-1)</f>
        <v/>
      </c>
      <c r="D187" s="115">
        <f>IF(B187="","",IFERROR(B187/INDEX($B$2:$B$400,MATCH(DATE(YEAR(A187)-1,12,1),$A$2:$A$400,0))-1,""))</f>
        <v/>
      </c>
      <c r="E187" s="115">
        <f>IF(B187="","",IFERROR(B187/INDEX($B$2:$B$400,MATCH(DATE(YEAR(A187)-1,MONTH(A187),1),$A$2:$A$400,0))-1,""))</f>
        <v/>
      </c>
    </row>
    <row r="188">
      <c r="A188" s="117" t="n"/>
      <c r="B188" s="118" t="n"/>
      <c r="C188" s="115">
        <f>IF(OR(B188="",B187=""),"",B188/B187-1)</f>
        <v/>
      </c>
      <c r="D188" s="115">
        <f>IF(B188="","",IFERROR(B188/INDEX($B$2:$B$400,MATCH(DATE(YEAR(A188)-1,12,1),$A$2:$A$400,0))-1,""))</f>
        <v/>
      </c>
      <c r="E188" s="115">
        <f>IF(B188="","",IFERROR(B188/INDEX($B$2:$B$400,MATCH(DATE(YEAR(A188)-1,MONTH(A188),1),$A$2:$A$400,0))-1,""))</f>
        <v/>
      </c>
    </row>
    <row r="189">
      <c r="A189" s="117" t="n"/>
      <c r="B189" s="118" t="n"/>
      <c r="C189" s="115">
        <f>IF(OR(B189="",B188=""),"",B189/B188-1)</f>
        <v/>
      </c>
      <c r="D189" s="115">
        <f>IF(B189="","",IFERROR(B189/INDEX($B$2:$B$400,MATCH(DATE(YEAR(A189)-1,12,1),$A$2:$A$400,0))-1,""))</f>
        <v/>
      </c>
      <c r="E189" s="115">
        <f>IF(B189="","",IFERROR(B189/INDEX($B$2:$B$400,MATCH(DATE(YEAR(A189)-1,MONTH(A189),1),$A$2:$A$400,0))-1,""))</f>
        <v/>
      </c>
    </row>
    <row r="190">
      <c r="A190" s="117" t="n"/>
      <c r="B190" s="118" t="n"/>
      <c r="C190" s="115">
        <f>IF(OR(B190="",B189=""),"",B190/B189-1)</f>
        <v/>
      </c>
      <c r="D190" s="115">
        <f>IF(B190="","",IFERROR(B190/INDEX($B$2:$B$400,MATCH(DATE(YEAR(A190)-1,12,1),$A$2:$A$400,0))-1,""))</f>
        <v/>
      </c>
      <c r="E190" s="115">
        <f>IF(B190="","",IFERROR(B190/INDEX($B$2:$B$400,MATCH(DATE(YEAR(A190)-1,MONTH(A190),1),$A$2:$A$400,0))-1,""))</f>
        <v/>
      </c>
    </row>
    <row r="191">
      <c r="A191" s="117" t="n"/>
      <c r="B191" s="118" t="n"/>
      <c r="C191" s="115">
        <f>IF(OR(B191="",B190=""),"",B191/B190-1)</f>
        <v/>
      </c>
      <c r="D191" s="115">
        <f>IF(B191="","",IFERROR(B191/INDEX($B$2:$B$400,MATCH(DATE(YEAR(A191)-1,12,1),$A$2:$A$400,0))-1,""))</f>
        <v/>
      </c>
      <c r="E191" s="115">
        <f>IF(B191="","",IFERROR(B191/INDEX($B$2:$B$400,MATCH(DATE(YEAR(A191)-1,MONTH(A191),1),$A$2:$A$400,0))-1,""))</f>
        <v/>
      </c>
    </row>
    <row r="192">
      <c r="A192" s="117" t="n"/>
      <c r="B192" s="118" t="n"/>
      <c r="C192" s="115">
        <f>IF(OR(B192="",B191=""),"",B192/B191-1)</f>
        <v/>
      </c>
      <c r="D192" s="115">
        <f>IF(B192="","",IFERROR(B192/INDEX($B$2:$B$400,MATCH(DATE(YEAR(A192)-1,12,1),$A$2:$A$400,0))-1,""))</f>
        <v/>
      </c>
      <c r="E192" s="115">
        <f>IF(B192="","",IFERROR(B192/INDEX($B$2:$B$400,MATCH(DATE(YEAR(A192)-1,MONTH(A192),1),$A$2:$A$400,0))-1,""))</f>
        <v/>
      </c>
    </row>
    <row r="193">
      <c r="A193" s="117" t="n"/>
      <c r="B193" s="118" t="n"/>
      <c r="C193" s="115">
        <f>IF(OR(B193="",B192=""),"",B193/B192-1)</f>
        <v/>
      </c>
      <c r="D193" s="115">
        <f>IF(B193="","",IFERROR(B193/INDEX($B$2:$B$400,MATCH(DATE(YEAR(A193)-1,12,1),$A$2:$A$400,0))-1,""))</f>
        <v/>
      </c>
      <c r="E193" s="115">
        <f>IF(B193="","",IFERROR(B193/INDEX($B$2:$B$400,MATCH(DATE(YEAR(A193)-1,MONTH(A193),1),$A$2:$A$400,0))-1,""))</f>
        <v/>
      </c>
    </row>
    <row r="194">
      <c r="A194" s="117" t="n"/>
      <c r="B194" s="118" t="n"/>
      <c r="C194" s="115">
        <f>IF(OR(B194="",B193=""),"",B194/B193-1)</f>
        <v/>
      </c>
      <c r="D194" s="115">
        <f>IF(B194="","",IFERROR(B194/INDEX($B$2:$B$400,MATCH(DATE(YEAR(A194)-1,12,1),$A$2:$A$400,0))-1,""))</f>
        <v/>
      </c>
      <c r="E194" s="115">
        <f>IF(B194="","",IFERROR(B194/INDEX($B$2:$B$400,MATCH(DATE(YEAR(A194)-1,MONTH(A194),1),$A$2:$A$400,0))-1,""))</f>
        <v/>
      </c>
    </row>
    <row r="195">
      <c r="A195" s="117" t="n"/>
      <c r="B195" s="118" t="n"/>
      <c r="C195" s="115">
        <f>IF(OR(B195="",B194=""),"",B195/B194-1)</f>
        <v/>
      </c>
      <c r="D195" s="115">
        <f>IF(B195="","",IFERROR(B195/INDEX($B$2:$B$400,MATCH(DATE(YEAR(A195)-1,12,1),$A$2:$A$400,0))-1,""))</f>
        <v/>
      </c>
      <c r="E195" s="115">
        <f>IF(B195="","",IFERROR(B195/INDEX($B$2:$B$400,MATCH(DATE(YEAR(A195)-1,MONTH(A195),1),$A$2:$A$400,0))-1,""))</f>
        <v/>
      </c>
    </row>
    <row r="196">
      <c r="A196" s="117" t="n"/>
      <c r="B196" s="118" t="n"/>
      <c r="C196" s="115">
        <f>IF(OR(B196="",B195=""),"",B196/B195-1)</f>
        <v/>
      </c>
      <c r="D196" s="115">
        <f>IF(B196="","",IFERROR(B196/INDEX($B$2:$B$400,MATCH(DATE(YEAR(A196)-1,12,1),$A$2:$A$400,0))-1,""))</f>
        <v/>
      </c>
      <c r="E196" s="115">
        <f>IF(B196="","",IFERROR(B196/INDEX($B$2:$B$400,MATCH(DATE(YEAR(A196)-1,MONTH(A196),1),$A$2:$A$400,0))-1,""))</f>
        <v/>
      </c>
    </row>
    <row r="197">
      <c r="A197" s="117" t="n"/>
      <c r="B197" s="118" t="n"/>
      <c r="C197" s="115">
        <f>IF(OR(B197="",B196=""),"",B197/B196-1)</f>
        <v/>
      </c>
      <c r="D197" s="115">
        <f>IF(B197="","",IFERROR(B197/INDEX($B$2:$B$400,MATCH(DATE(YEAR(A197)-1,12,1),$A$2:$A$400,0))-1,""))</f>
        <v/>
      </c>
      <c r="E197" s="115">
        <f>IF(B197="","",IFERROR(B197/INDEX($B$2:$B$400,MATCH(DATE(YEAR(A197)-1,MONTH(A197),1),$A$2:$A$400,0))-1,""))</f>
        <v/>
      </c>
    </row>
    <row r="198">
      <c r="A198" s="117" t="n"/>
      <c r="B198" s="118" t="n"/>
      <c r="C198" s="115">
        <f>IF(OR(B198="",B197=""),"",B198/B197-1)</f>
        <v/>
      </c>
      <c r="D198" s="115">
        <f>IF(B198="","",IFERROR(B198/INDEX($B$2:$B$400,MATCH(DATE(YEAR(A198)-1,12,1),$A$2:$A$400,0))-1,""))</f>
        <v/>
      </c>
      <c r="E198" s="115">
        <f>IF(B198="","",IFERROR(B198/INDEX($B$2:$B$400,MATCH(DATE(YEAR(A198)-1,MONTH(A198),1),$A$2:$A$400,0))-1,""))</f>
        <v/>
      </c>
    </row>
    <row r="199">
      <c r="A199" s="117" t="n"/>
      <c r="B199" s="118" t="n"/>
      <c r="C199" s="115">
        <f>IF(OR(B199="",B198=""),"",B199/B198-1)</f>
        <v/>
      </c>
      <c r="D199" s="115">
        <f>IF(B199="","",IFERROR(B199/INDEX($B$2:$B$400,MATCH(DATE(YEAR(A199)-1,12,1),$A$2:$A$400,0))-1,""))</f>
        <v/>
      </c>
      <c r="E199" s="115">
        <f>IF(B199="","",IFERROR(B199/INDEX($B$2:$B$400,MATCH(DATE(YEAR(A199)-1,MONTH(A199),1),$A$2:$A$400,0))-1,""))</f>
        <v/>
      </c>
    </row>
    <row r="200">
      <c r="A200" s="117" t="n"/>
      <c r="B200" s="118" t="n"/>
      <c r="C200" s="115">
        <f>IF(OR(B200="",B199=""),"",B200/B199-1)</f>
        <v/>
      </c>
      <c r="D200" s="115">
        <f>IF(B200="","",IFERROR(B200/INDEX($B$2:$B$400,MATCH(DATE(YEAR(A200)-1,12,1),$A$2:$A$400,0))-1,""))</f>
        <v/>
      </c>
      <c r="E200" s="115">
        <f>IF(B200="","",IFERROR(B200/INDEX($B$2:$B$400,MATCH(DATE(YEAR(A200)-1,MONTH(A200),1),$A$2:$A$400,0))-1,""))</f>
        <v/>
      </c>
    </row>
    <row r="201">
      <c r="A201" s="117" t="n"/>
      <c r="B201" s="118" t="n"/>
      <c r="C201" s="115">
        <f>IF(OR(B201="",B200=""),"",B201/B200-1)</f>
        <v/>
      </c>
      <c r="D201" s="115">
        <f>IF(B201="","",IFERROR(B201/INDEX($B$2:$B$400,MATCH(DATE(YEAR(A201)-1,12,1),$A$2:$A$400,0))-1,""))</f>
        <v/>
      </c>
      <c r="E201" s="115">
        <f>IF(B201="","",IFERROR(B201/INDEX($B$2:$B$400,MATCH(DATE(YEAR(A201)-1,MONTH(A201),1),$A$2:$A$400,0))-1,""))</f>
        <v/>
      </c>
    </row>
    <row r="202">
      <c r="A202" s="117" t="n"/>
      <c r="B202" s="118" t="n"/>
      <c r="C202" s="115">
        <f>IF(OR(B202="",B201=""),"",B202/B201-1)</f>
        <v/>
      </c>
      <c r="D202" s="115">
        <f>IF(B202="","",IFERROR(B202/INDEX($B$2:$B$400,MATCH(DATE(YEAR(A202)-1,12,1),$A$2:$A$400,0))-1,""))</f>
        <v/>
      </c>
      <c r="E202" s="115">
        <f>IF(B202="","",IFERROR(B202/INDEX($B$2:$B$400,MATCH(DATE(YEAR(A202)-1,MONTH(A202),1),$A$2:$A$400,0))-1,""))</f>
        <v/>
      </c>
    </row>
    <row r="203">
      <c r="A203" s="117" t="n"/>
      <c r="B203" s="118" t="n"/>
      <c r="C203" s="115">
        <f>IF(OR(B203="",B202=""),"",B203/B202-1)</f>
        <v/>
      </c>
      <c r="D203" s="115">
        <f>IF(B203="","",IFERROR(B203/INDEX($B$2:$B$400,MATCH(DATE(YEAR(A203)-1,12,1),$A$2:$A$400,0))-1,""))</f>
        <v/>
      </c>
      <c r="E203" s="115">
        <f>IF(B203="","",IFERROR(B203/INDEX($B$2:$B$400,MATCH(DATE(YEAR(A203)-1,MONTH(A203),1),$A$2:$A$400,0))-1,""))</f>
        <v/>
      </c>
    </row>
    <row r="204">
      <c r="A204" s="117" t="n"/>
      <c r="B204" s="118" t="n"/>
      <c r="C204" s="115">
        <f>IF(OR(B204="",B203=""),"",B204/B203-1)</f>
        <v/>
      </c>
      <c r="D204" s="115">
        <f>IF(B204="","",IFERROR(B204/INDEX($B$2:$B$400,MATCH(DATE(YEAR(A204)-1,12,1),$A$2:$A$400,0))-1,""))</f>
        <v/>
      </c>
      <c r="E204" s="115">
        <f>IF(B204="","",IFERROR(B204/INDEX($B$2:$B$400,MATCH(DATE(YEAR(A204)-1,MONTH(A204),1),$A$2:$A$400,0))-1,""))</f>
        <v/>
      </c>
    </row>
    <row r="205">
      <c r="A205" s="117" t="n"/>
      <c r="B205" s="118" t="n"/>
      <c r="C205" s="115">
        <f>IF(OR(B205="",B204=""),"",B205/B204-1)</f>
        <v/>
      </c>
      <c r="D205" s="115">
        <f>IF(B205="","",IFERROR(B205/INDEX($B$2:$B$400,MATCH(DATE(YEAR(A205)-1,12,1),$A$2:$A$400,0))-1,""))</f>
        <v/>
      </c>
      <c r="E205" s="115">
        <f>IF(B205="","",IFERROR(B205/INDEX($B$2:$B$400,MATCH(DATE(YEAR(A205)-1,MONTH(A205),1),$A$2:$A$400,0))-1,""))</f>
        <v/>
      </c>
    </row>
    <row r="206">
      <c r="A206" s="117" t="n"/>
      <c r="B206" s="118" t="n"/>
      <c r="C206" s="115">
        <f>IF(OR(B206="",B205=""),"",B206/B205-1)</f>
        <v/>
      </c>
      <c r="D206" s="115">
        <f>IF(B206="","",IFERROR(B206/INDEX($B$2:$B$400,MATCH(DATE(YEAR(A206)-1,12,1),$A$2:$A$400,0))-1,""))</f>
        <v/>
      </c>
      <c r="E206" s="115">
        <f>IF(B206="","",IFERROR(B206/INDEX($B$2:$B$400,MATCH(DATE(YEAR(A206)-1,MONTH(A206),1),$A$2:$A$400,0))-1,""))</f>
        <v/>
      </c>
    </row>
    <row r="207">
      <c r="A207" s="117" t="n"/>
      <c r="B207" s="118" t="n"/>
      <c r="C207" s="115">
        <f>IF(OR(B207="",B206=""),"",B207/B206-1)</f>
        <v/>
      </c>
      <c r="D207" s="115">
        <f>IF(B207="","",IFERROR(B207/INDEX($B$2:$B$400,MATCH(DATE(YEAR(A207)-1,12,1),$A$2:$A$400,0))-1,""))</f>
        <v/>
      </c>
      <c r="E207" s="115">
        <f>IF(B207="","",IFERROR(B207/INDEX($B$2:$B$400,MATCH(DATE(YEAR(A207)-1,MONTH(A207),1),$A$2:$A$400,0))-1,""))</f>
        <v/>
      </c>
    </row>
    <row r="208">
      <c r="A208" s="117" t="n"/>
      <c r="B208" s="118" t="n"/>
      <c r="C208" s="115">
        <f>IF(OR(B208="",B207=""),"",B208/B207-1)</f>
        <v/>
      </c>
      <c r="D208" s="115">
        <f>IF(B208="","",IFERROR(B208/INDEX($B$2:$B$400,MATCH(DATE(YEAR(A208)-1,12,1),$A$2:$A$400,0))-1,""))</f>
        <v/>
      </c>
      <c r="E208" s="115">
        <f>IF(B208="","",IFERROR(B208/INDEX($B$2:$B$400,MATCH(DATE(YEAR(A208)-1,MONTH(A208),1),$A$2:$A$400,0))-1,""))</f>
        <v/>
      </c>
    </row>
    <row r="209">
      <c r="A209" s="117" t="n"/>
      <c r="B209" s="118" t="n"/>
      <c r="C209" s="115">
        <f>IF(OR(B209="",B208=""),"",B209/B208-1)</f>
        <v/>
      </c>
      <c r="D209" s="115">
        <f>IF(B209="","",IFERROR(B209/INDEX($B$2:$B$400,MATCH(DATE(YEAR(A209)-1,12,1),$A$2:$A$400,0))-1,""))</f>
        <v/>
      </c>
      <c r="E209" s="115">
        <f>IF(B209="","",IFERROR(B209/INDEX($B$2:$B$400,MATCH(DATE(YEAR(A209)-1,MONTH(A209),1),$A$2:$A$400,0))-1,""))</f>
        <v/>
      </c>
    </row>
    <row r="210">
      <c r="A210" s="117" t="n"/>
      <c r="B210" s="118" t="n"/>
      <c r="C210" s="115">
        <f>IF(OR(B210="",B209=""),"",B210/B209-1)</f>
        <v/>
      </c>
      <c r="D210" s="115">
        <f>IF(B210="","",IFERROR(B210/INDEX($B$2:$B$400,MATCH(DATE(YEAR(A210)-1,12,1),$A$2:$A$400,0))-1,""))</f>
        <v/>
      </c>
      <c r="E210" s="115">
        <f>IF(B210="","",IFERROR(B210/INDEX($B$2:$B$400,MATCH(DATE(YEAR(A210)-1,MONTH(A210),1),$A$2:$A$400,0))-1,""))</f>
        <v/>
      </c>
    </row>
    <row r="211">
      <c r="A211" s="117" t="n"/>
      <c r="B211" s="118" t="n"/>
      <c r="C211" s="115">
        <f>IF(OR(B211="",B210=""),"",B211/B210-1)</f>
        <v/>
      </c>
      <c r="D211" s="115">
        <f>IF(B211="","",IFERROR(B211/INDEX($B$2:$B$400,MATCH(DATE(YEAR(A211)-1,12,1),$A$2:$A$400,0))-1,""))</f>
        <v/>
      </c>
      <c r="E211" s="115">
        <f>IF(B211="","",IFERROR(B211/INDEX($B$2:$B$400,MATCH(DATE(YEAR(A211)-1,MONTH(A211),1),$A$2:$A$400,0))-1,""))</f>
        <v/>
      </c>
    </row>
    <row r="212">
      <c r="A212" s="117" t="n"/>
      <c r="B212" s="118" t="n"/>
      <c r="C212" s="115">
        <f>IF(OR(B212="",B211=""),"",B212/B211-1)</f>
        <v/>
      </c>
      <c r="D212" s="115">
        <f>IF(B212="","",IFERROR(B212/INDEX($B$2:$B$400,MATCH(DATE(YEAR(A212)-1,12,1),$A$2:$A$400,0))-1,""))</f>
        <v/>
      </c>
      <c r="E212" s="115">
        <f>IF(B212="","",IFERROR(B212/INDEX($B$2:$B$400,MATCH(DATE(YEAR(A212)-1,MONTH(A212),1),$A$2:$A$400,0))-1,""))</f>
        <v/>
      </c>
    </row>
    <row r="213">
      <c r="A213" s="117" t="n"/>
      <c r="B213" s="118" t="n"/>
      <c r="C213" s="115">
        <f>IF(OR(B213="",B212=""),"",B213/B212-1)</f>
        <v/>
      </c>
      <c r="D213" s="115">
        <f>IF(B213="","",IFERROR(B213/INDEX($B$2:$B$400,MATCH(DATE(YEAR(A213)-1,12,1),$A$2:$A$400,0))-1,""))</f>
        <v/>
      </c>
      <c r="E213" s="115">
        <f>IF(B213="","",IFERROR(B213/INDEX($B$2:$B$400,MATCH(DATE(YEAR(A213)-1,MONTH(A213),1),$A$2:$A$400,0))-1,""))</f>
        <v/>
      </c>
    </row>
    <row r="214">
      <c r="A214" s="117" t="n"/>
      <c r="B214" s="118" t="n"/>
      <c r="C214" s="115">
        <f>IF(OR(B214="",B213=""),"",B214/B213-1)</f>
        <v/>
      </c>
      <c r="D214" s="115">
        <f>IF(B214="","",IFERROR(B214/INDEX($B$2:$B$400,MATCH(DATE(YEAR(A214)-1,12,1),$A$2:$A$400,0))-1,""))</f>
        <v/>
      </c>
      <c r="E214" s="115">
        <f>IF(B214="","",IFERROR(B214/INDEX($B$2:$B$400,MATCH(DATE(YEAR(A214)-1,MONTH(A214),1),$A$2:$A$400,0))-1,""))</f>
        <v/>
      </c>
    </row>
    <row r="215">
      <c r="A215" s="117" t="n"/>
      <c r="B215" s="118" t="n"/>
      <c r="C215" s="115">
        <f>IF(OR(B215="",B214=""),"",B215/B214-1)</f>
        <v/>
      </c>
      <c r="D215" s="115">
        <f>IF(B215="","",IFERROR(B215/INDEX($B$2:$B$400,MATCH(DATE(YEAR(A215)-1,12,1),$A$2:$A$400,0))-1,""))</f>
        <v/>
      </c>
      <c r="E215" s="115">
        <f>IF(B215="","",IFERROR(B215/INDEX($B$2:$B$400,MATCH(DATE(YEAR(A215)-1,MONTH(A215),1),$A$2:$A$400,0))-1,""))</f>
        <v/>
      </c>
    </row>
    <row r="216">
      <c r="A216" s="117" t="n"/>
      <c r="B216" s="118" t="n"/>
      <c r="C216" s="115">
        <f>IF(OR(B216="",B215=""),"",B216/B215-1)</f>
        <v/>
      </c>
      <c r="D216" s="115">
        <f>IF(B216="","",IFERROR(B216/INDEX($B$2:$B$400,MATCH(DATE(YEAR(A216)-1,12,1),$A$2:$A$400,0))-1,""))</f>
        <v/>
      </c>
      <c r="E216" s="115">
        <f>IF(B216="","",IFERROR(B216/INDEX($B$2:$B$400,MATCH(DATE(YEAR(A216)-1,MONTH(A216),1),$A$2:$A$400,0))-1,""))</f>
        <v/>
      </c>
    </row>
    <row r="217">
      <c r="A217" s="117" t="n"/>
      <c r="B217" s="118" t="n"/>
      <c r="C217" s="115">
        <f>IF(OR(B217="",B216=""),"",B217/B216-1)</f>
        <v/>
      </c>
      <c r="D217" s="115">
        <f>IF(B217="","",IFERROR(B217/INDEX($B$2:$B$400,MATCH(DATE(YEAR(A217)-1,12,1),$A$2:$A$400,0))-1,""))</f>
        <v/>
      </c>
      <c r="E217" s="115">
        <f>IF(B217="","",IFERROR(B217/INDEX($B$2:$B$400,MATCH(DATE(YEAR(A217)-1,MONTH(A217),1),$A$2:$A$400,0))-1,""))</f>
        <v/>
      </c>
    </row>
    <row r="218">
      <c r="A218" s="117" t="n"/>
      <c r="B218" s="118" t="n"/>
      <c r="C218" s="115">
        <f>IF(OR(B218="",B217=""),"",B218/B217-1)</f>
        <v/>
      </c>
      <c r="D218" s="115">
        <f>IF(B218="","",IFERROR(B218/INDEX($B$2:$B$400,MATCH(DATE(YEAR(A218)-1,12,1),$A$2:$A$400,0))-1,""))</f>
        <v/>
      </c>
      <c r="E218" s="115">
        <f>IF(B218="","",IFERROR(B218/INDEX($B$2:$B$400,MATCH(DATE(YEAR(A218)-1,MONTH(A218),1),$A$2:$A$400,0))-1,""))</f>
        <v/>
      </c>
    </row>
    <row r="219">
      <c r="A219" s="117" t="n"/>
      <c r="B219" s="118" t="n"/>
      <c r="C219" s="115">
        <f>IF(OR(B219="",B218=""),"",B219/B218-1)</f>
        <v/>
      </c>
      <c r="D219" s="115">
        <f>IF(B219="","",IFERROR(B219/INDEX($B$2:$B$400,MATCH(DATE(YEAR(A219)-1,12,1),$A$2:$A$400,0))-1,""))</f>
        <v/>
      </c>
      <c r="E219" s="115">
        <f>IF(B219="","",IFERROR(B219/INDEX($B$2:$B$400,MATCH(DATE(YEAR(A219)-1,MONTH(A219),1),$A$2:$A$400,0))-1,""))</f>
        <v/>
      </c>
    </row>
    <row r="220">
      <c r="A220" s="117" t="n"/>
      <c r="B220" s="118" t="n"/>
      <c r="C220" s="115">
        <f>IF(OR(B220="",B219=""),"",B220/B219-1)</f>
        <v/>
      </c>
      <c r="D220" s="115">
        <f>IF(B220="","",IFERROR(B220/INDEX($B$2:$B$400,MATCH(DATE(YEAR(A220)-1,12,1),$A$2:$A$400,0))-1,""))</f>
        <v/>
      </c>
      <c r="E220" s="115">
        <f>IF(B220="","",IFERROR(B220/INDEX($B$2:$B$400,MATCH(DATE(YEAR(A220)-1,MONTH(A220),1),$A$2:$A$400,0))-1,""))</f>
        <v/>
      </c>
    </row>
    <row r="221">
      <c r="A221" s="117" t="n"/>
      <c r="B221" s="118" t="n"/>
      <c r="C221" s="115">
        <f>IF(OR(B221="",B220=""),"",B221/B220-1)</f>
        <v/>
      </c>
      <c r="D221" s="115">
        <f>IF(B221="","",IFERROR(B221/INDEX($B$2:$B$400,MATCH(DATE(YEAR(A221)-1,12,1),$A$2:$A$400,0))-1,""))</f>
        <v/>
      </c>
      <c r="E221" s="115">
        <f>IF(B221="","",IFERROR(B221/INDEX($B$2:$B$400,MATCH(DATE(YEAR(A221)-1,MONTH(A221),1),$A$2:$A$400,0))-1,""))</f>
        <v/>
      </c>
    </row>
    <row r="222">
      <c r="A222" s="117" t="n"/>
      <c r="B222" s="118" t="n"/>
      <c r="C222" s="115">
        <f>IF(OR(B222="",B221=""),"",B222/B221-1)</f>
        <v/>
      </c>
      <c r="D222" s="115">
        <f>IF(B222="","",IFERROR(B222/INDEX($B$2:$B$400,MATCH(DATE(YEAR(A222)-1,12,1),$A$2:$A$400,0))-1,""))</f>
        <v/>
      </c>
      <c r="E222" s="115">
        <f>IF(B222="","",IFERROR(B222/INDEX($B$2:$B$400,MATCH(DATE(YEAR(A222)-1,MONTH(A222),1),$A$2:$A$400,0))-1,""))</f>
        <v/>
      </c>
    </row>
    <row r="223">
      <c r="A223" s="117" t="n"/>
      <c r="B223" s="118" t="n"/>
      <c r="C223" s="115">
        <f>IF(OR(B223="",B222=""),"",B223/B222-1)</f>
        <v/>
      </c>
      <c r="D223" s="115">
        <f>IF(B223="","",IFERROR(B223/INDEX($B$2:$B$400,MATCH(DATE(YEAR(A223)-1,12,1),$A$2:$A$400,0))-1,""))</f>
        <v/>
      </c>
      <c r="E223" s="115">
        <f>IF(B223="","",IFERROR(B223/INDEX($B$2:$B$400,MATCH(DATE(YEAR(A223)-1,MONTH(A223),1),$A$2:$A$400,0))-1,""))</f>
        <v/>
      </c>
    </row>
    <row r="224">
      <c r="A224" s="117" t="n"/>
      <c r="B224" s="118" t="n"/>
      <c r="C224" s="115">
        <f>IF(OR(B224="",B223=""),"",B224/B223-1)</f>
        <v/>
      </c>
      <c r="D224" s="115">
        <f>IF(B224="","",IFERROR(B224/INDEX($B$2:$B$400,MATCH(DATE(YEAR(A224)-1,12,1),$A$2:$A$400,0))-1,""))</f>
        <v/>
      </c>
      <c r="E224" s="115">
        <f>IF(B224="","",IFERROR(B224/INDEX($B$2:$B$400,MATCH(DATE(YEAR(A224)-1,MONTH(A224),1),$A$2:$A$400,0))-1,""))</f>
        <v/>
      </c>
    </row>
    <row r="225">
      <c r="A225" s="117" t="n"/>
      <c r="B225" s="118" t="n"/>
      <c r="C225" s="115">
        <f>IF(OR(B225="",B224=""),"",B225/B224-1)</f>
        <v/>
      </c>
      <c r="D225" s="115">
        <f>IF(B225="","",IFERROR(B225/INDEX($B$2:$B$400,MATCH(DATE(YEAR(A225)-1,12,1),$A$2:$A$400,0))-1,""))</f>
        <v/>
      </c>
      <c r="E225" s="115">
        <f>IF(B225="","",IFERROR(B225/INDEX($B$2:$B$400,MATCH(DATE(YEAR(A225)-1,MONTH(A225),1),$A$2:$A$400,0))-1,""))</f>
        <v/>
      </c>
    </row>
    <row r="226">
      <c r="A226" s="117" t="n"/>
      <c r="B226" s="118" t="n"/>
      <c r="C226" s="115">
        <f>IF(OR(B226="",B225=""),"",B226/B225-1)</f>
        <v/>
      </c>
      <c r="D226" s="115">
        <f>IF(B226="","",IFERROR(B226/INDEX($B$2:$B$400,MATCH(DATE(YEAR(A226)-1,12,1),$A$2:$A$400,0))-1,""))</f>
        <v/>
      </c>
      <c r="E226" s="115">
        <f>IF(B226="","",IFERROR(B226/INDEX($B$2:$B$400,MATCH(DATE(YEAR(A226)-1,MONTH(A226),1),$A$2:$A$400,0))-1,""))</f>
        <v/>
      </c>
    </row>
    <row r="227">
      <c r="A227" s="117" t="n"/>
      <c r="B227" s="118" t="n"/>
      <c r="C227" s="115">
        <f>IF(OR(B227="",B226=""),"",B227/B226-1)</f>
        <v/>
      </c>
      <c r="D227" s="115">
        <f>IF(B227="","",IFERROR(B227/INDEX($B$2:$B$400,MATCH(DATE(YEAR(A227)-1,12,1),$A$2:$A$400,0))-1,""))</f>
        <v/>
      </c>
      <c r="E227" s="115">
        <f>IF(B227="","",IFERROR(B227/INDEX($B$2:$B$400,MATCH(DATE(YEAR(A227)-1,MONTH(A227),1),$A$2:$A$400,0))-1,""))</f>
        <v/>
      </c>
    </row>
    <row r="228">
      <c r="A228" s="117" t="n"/>
      <c r="B228" s="118" t="n"/>
      <c r="C228" s="115">
        <f>IF(OR(B228="",B227=""),"",B228/B227-1)</f>
        <v/>
      </c>
      <c r="D228" s="115">
        <f>IF(B228="","",IFERROR(B228/INDEX($B$2:$B$400,MATCH(DATE(YEAR(A228)-1,12,1),$A$2:$A$400,0))-1,""))</f>
        <v/>
      </c>
      <c r="E228" s="115">
        <f>IF(B228="","",IFERROR(B228/INDEX($B$2:$B$400,MATCH(DATE(YEAR(A228)-1,MONTH(A228),1),$A$2:$A$400,0))-1,""))</f>
        <v/>
      </c>
    </row>
    <row r="229">
      <c r="A229" s="117" t="n"/>
      <c r="B229" s="118" t="n"/>
      <c r="C229" s="115">
        <f>IF(OR(B229="",B228=""),"",B229/B228-1)</f>
        <v/>
      </c>
      <c r="D229" s="115">
        <f>IF(B229="","",IFERROR(B229/INDEX($B$2:$B$400,MATCH(DATE(YEAR(A229)-1,12,1),$A$2:$A$400,0))-1,""))</f>
        <v/>
      </c>
      <c r="E229" s="115">
        <f>IF(B229="","",IFERROR(B229/INDEX($B$2:$B$400,MATCH(DATE(YEAR(A229)-1,MONTH(A229),1),$A$2:$A$400,0))-1,""))</f>
        <v/>
      </c>
    </row>
    <row r="230">
      <c r="A230" s="117" t="n"/>
      <c r="B230" s="118" t="n"/>
      <c r="C230" s="115">
        <f>IF(OR(B230="",B229=""),"",B230/B229-1)</f>
        <v/>
      </c>
      <c r="D230" s="115">
        <f>IF(B230="","",IFERROR(B230/INDEX($B$2:$B$400,MATCH(DATE(YEAR(A230)-1,12,1),$A$2:$A$400,0))-1,""))</f>
        <v/>
      </c>
      <c r="E230" s="115">
        <f>IF(B230="","",IFERROR(B230/INDEX($B$2:$B$400,MATCH(DATE(YEAR(A230)-1,MONTH(A230),1),$A$2:$A$400,0))-1,""))</f>
        <v/>
      </c>
    </row>
    <row r="231">
      <c r="A231" s="117" t="n"/>
      <c r="B231" s="118" t="n"/>
      <c r="C231" s="115">
        <f>IF(OR(B231="",B230=""),"",B231/B230-1)</f>
        <v/>
      </c>
      <c r="D231" s="115">
        <f>IF(B231="","",IFERROR(B231/INDEX($B$2:$B$400,MATCH(DATE(YEAR(A231)-1,12,1),$A$2:$A$400,0))-1,""))</f>
        <v/>
      </c>
      <c r="E231" s="115">
        <f>IF(B231="","",IFERROR(B231/INDEX($B$2:$B$400,MATCH(DATE(YEAR(A231)-1,MONTH(A231),1),$A$2:$A$400,0))-1,""))</f>
        <v/>
      </c>
    </row>
    <row r="232">
      <c r="A232" s="117" t="n"/>
      <c r="B232" s="118" t="n"/>
      <c r="C232" s="115">
        <f>IF(OR(B232="",B231=""),"",B232/B231-1)</f>
        <v/>
      </c>
      <c r="D232" s="115">
        <f>IF(B232="","",IFERROR(B232/INDEX($B$2:$B$400,MATCH(DATE(YEAR(A232)-1,12,1),$A$2:$A$400,0))-1,""))</f>
        <v/>
      </c>
      <c r="E232" s="115">
        <f>IF(B232="","",IFERROR(B232/INDEX($B$2:$B$400,MATCH(DATE(YEAR(A232)-1,MONTH(A232),1),$A$2:$A$400,0))-1,""))</f>
        <v/>
      </c>
    </row>
    <row r="233">
      <c r="A233" s="117" t="n"/>
      <c r="B233" s="118" t="n"/>
      <c r="C233" s="115">
        <f>IF(OR(B233="",B232=""),"",B233/B232-1)</f>
        <v/>
      </c>
      <c r="D233" s="115">
        <f>IF(B233="","",IFERROR(B233/INDEX($B$2:$B$400,MATCH(DATE(YEAR(A233)-1,12,1),$A$2:$A$400,0))-1,""))</f>
        <v/>
      </c>
      <c r="E233" s="115">
        <f>IF(B233="","",IFERROR(B233/INDEX($B$2:$B$400,MATCH(DATE(YEAR(A233)-1,MONTH(A233),1),$A$2:$A$400,0))-1,""))</f>
        <v/>
      </c>
    </row>
    <row r="234">
      <c r="A234" s="117" t="n"/>
      <c r="B234" s="118" t="n"/>
      <c r="C234" s="115">
        <f>IF(OR(B234="",B233=""),"",B234/B233-1)</f>
        <v/>
      </c>
      <c r="D234" s="115">
        <f>IF(B234="","",IFERROR(B234/INDEX($B$2:$B$400,MATCH(DATE(YEAR(A234)-1,12,1),$A$2:$A$400,0))-1,""))</f>
        <v/>
      </c>
      <c r="E234" s="115">
        <f>IF(B234="","",IFERROR(B234/INDEX($B$2:$B$400,MATCH(DATE(YEAR(A234)-1,MONTH(A234),1),$A$2:$A$400,0))-1,""))</f>
        <v/>
      </c>
    </row>
    <row r="235">
      <c r="A235" s="117" t="n"/>
      <c r="B235" s="118" t="n"/>
      <c r="C235" s="115">
        <f>IF(OR(B235="",B234=""),"",B235/B234-1)</f>
        <v/>
      </c>
      <c r="D235" s="115">
        <f>IF(B235="","",IFERROR(B235/INDEX($B$2:$B$400,MATCH(DATE(YEAR(A235)-1,12,1),$A$2:$A$400,0))-1,""))</f>
        <v/>
      </c>
      <c r="E235" s="115">
        <f>IF(B235="","",IFERROR(B235/INDEX($B$2:$B$400,MATCH(DATE(YEAR(A235)-1,MONTH(A235),1),$A$2:$A$400,0))-1,""))</f>
        <v/>
      </c>
    </row>
    <row r="236">
      <c r="A236" s="117" t="n"/>
      <c r="B236" s="118" t="n"/>
      <c r="C236" s="115">
        <f>IF(OR(B236="",B235=""),"",B236/B235-1)</f>
        <v/>
      </c>
      <c r="D236" s="115">
        <f>IF(B236="","",IFERROR(B236/INDEX($B$2:$B$400,MATCH(DATE(YEAR(A236)-1,12,1),$A$2:$A$400,0))-1,""))</f>
        <v/>
      </c>
      <c r="E236" s="115">
        <f>IF(B236="","",IFERROR(B236/INDEX($B$2:$B$400,MATCH(DATE(YEAR(A236)-1,MONTH(A236),1),$A$2:$A$400,0))-1,""))</f>
        <v/>
      </c>
    </row>
    <row r="237">
      <c r="A237" s="117" t="n"/>
      <c r="B237" s="118" t="n"/>
      <c r="C237" s="115">
        <f>IF(OR(B237="",B236=""),"",B237/B236-1)</f>
        <v/>
      </c>
      <c r="D237" s="115">
        <f>IF(B237="","",IFERROR(B237/INDEX($B$2:$B$400,MATCH(DATE(YEAR(A237)-1,12,1),$A$2:$A$400,0))-1,""))</f>
        <v/>
      </c>
      <c r="E237" s="115">
        <f>IF(B237="","",IFERROR(B237/INDEX($B$2:$B$400,MATCH(DATE(YEAR(A237)-1,MONTH(A237),1),$A$2:$A$400,0))-1,""))</f>
        <v/>
      </c>
    </row>
    <row r="238">
      <c r="A238" s="117" t="n"/>
      <c r="B238" s="118" t="n"/>
      <c r="C238" s="115">
        <f>IF(OR(B238="",B237=""),"",B238/B237-1)</f>
        <v/>
      </c>
      <c r="D238" s="115">
        <f>IF(B238="","",IFERROR(B238/INDEX($B$2:$B$400,MATCH(DATE(YEAR(A238)-1,12,1),$A$2:$A$400,0))-1,""))</f>
        <v/>
      </c>
      <c r="E238" s="115">
        <f>IF(B238="","",IFERROR(B238/INDEX($B$2:$B$400,MATCH(DATE(YEAR(A238)-1,MONTH(A238),1),$A$2:$A$400,0))-1,""))</f>
        <v/>
      </c>
    </row>
    <row r="239">
      <c r="A239" s="117" t="n"/>
      <c r="B239" s="118" t="n"/>
      <c r="C239" s="115">
        <f>IF(OR(B239="",B238=""),"",B239/B238-1)</f>
        <v/>
      </c>
      <c r="D239" s="115">
        <f>IF(B239="","",IFERROR(B239/INDEX($B$2:$B$400,MATCH(DATE(YEAR(A239)-1,12,1),$A$2:$A$400,0))-1,""))</f>
        <v/>
      </c>
      <c r="E239" s="115">
        <f>IF(B239="","",IFERROR(B239/INDEX($B$2:$B$400,MATCH(DATE(YEAR(A239)-1,MONTH(A239),1),$A$2:$A$400,0))-1,""))</f>
        <v/>
      </c>
    </row>
    <row r="240">
      <c r="A240" s="117" t="n"/>
      <c r="B240" s="118" t="n"/>
      <c r="C240" s="115">
        <f>IF(OR(B240="",B239=""),"",B240/B239-1)</f>
        <v/>
      </c>
      <c r="D240" s="115">
        <f>IF(B240="","",IFERROR(B240/INDEX($B$2:$B$400,MATCH(DATE(YEAR(A240)-1,12,1),$A$2:$A$400,0))-1,""))</f>
        <v/>
      </c>
      <c r="E240" s="115">
        <f>IF(B240="","",IFERROR(B240/INDEX($B$2:$B$400,MATCH(DATE(YEAR(A240)-1,MONTH(A240),1),$A$2:$A$400,0))-1,""))</f>
        <v/>
      </c>
    </row>
    <row r="241">
      <c r="A241" s="117" t="n"/>
      <c r="B241" s="118" t="n"/>
      <c r="C241" s="115">
        <f>IF(OR(B241="",B240=""),"",B241/B240-1)</f>
        <v/>
      </c>
      <c r="D241" s="115">
        <f>IF(B241="","",IFERROR(B241/INDEX($B$2:$B$400,MATCH(DATE(YEAR(A241)-1,12,1),$A$2:$A$400,0))-1,""))</f>
        <v/>
      </c>
      <c r="E241" s="115">
        <f>IF(B241="","",IFERROR(B241/INDEX($B$2:$B$400,MATCH(DATE(YEAR(A241)-1,MONTH(A241),1),$A$2:$A$400,0))-1,""))</f>
        <v/>
      </c>
    </row>
    <row r="242">
      <c r="A242" s="117" t="n"/>
      <c r="B242" s="118" t="n"/>
      <c r="C242" s="115">
        <f>IF(OR(B242="",B241=""),"",B242/B241-1)</f>
        <v/>
      </c>
      <c r="D242" s="115">
        <f>IF(B242="","",IFERROR(B242/INDEX($B$2:$B$400,MATCH(DATE(YEAR(A242)-1,12,1),$A$2:$A$400,0))-1,""))</f>
        <v/>
      </c>
      <c r="E242" s="115">
        <f>IF(B242="","",IFERROR(B242/INDEX($B$2:$B$400,MATCH(DATE(YEAR(A242)-1,MONTH(A242),1),$A$2:$A$400,0))-1,""))</f>
        <v/>
      </c>
    </row>
    <row r="243">
      <c r="A243" s="117" t="n"/>
      <c r="B243" s="118" t="n"/>
      <c r="C243" s="115">
        <f>IF(OR(B243="",B242=""),"",B243/B242-1)</f>
        <v/>
      </c>
      <c r="D243" s="115">
        <f>IF(B243="","",IFERROR(B243/INDEX($B$2:$B$400,MATCH(DATE(YEAR(A243)-1,12,1),$A$2:$A$400,0))-1,""))</f>
        <v/>
      </c>
      <c r="E243" s="115">
        <f>IF(B243="","",IFERROR(B243/INDEX($B$2:$B$400,MATCH(DATE(YEAR(A243)-1,MONTH(A243),1),$A$2:$A$400,0))-1,""))</f>
        <v/>
      </c>
    </row>
    <row r="244">
      <c r="A244" s="117" t="n"/>
      <c r="B244" s="118" t="n"/>
      <c r="C244" s="115">
        <f>IF(OR(B244="",B243=""),"",B244/B243-1)</f>
        <v/>
      </c>
      <c r="D244" s="115">
        <f>IF(B244="","",IFERROR(B244/INDEX($B$2:$B$400,MATCH(DATE(YEAR(A244)-1,12,1),$A$2:$A$400,0))-1,""))</f>
        <v/>
      </c>
      <c r="E244" s="115">
        <f>IF(B244="","",IFERROR(B244/INDEX($B$2:$B$400,MATCH(DATE(YEAR(A244)-1,MONTH(A244),1),$A$2:$A$400,0))-1,""))</f>
        <v/>
      </c>
    </row>
    <row r="245">
      <c r="A245" s="117" t="n"/>
      <c r="B245" s="118" t="n"/>
      <c r="C245" s="115">
        <f>IF(OR(B245="",B244=""),"",B245/B244-1)</f>
        <v/>
      </c>
      <c r="D245" s="115">
        <f>IF(B245="","",IFERROR(B245/INDEX($B$2:$B$400,MATCH(DATE(YEAR(A245)-1,12,1),$A$2:$A$400,0))-1,""))</f>
        <v/>
      </c>
      <c r="E245" s="115">
        <f>IF(B245="","",IFERROR(B245/INDEX($B$2:$B$400,MATCH(DATE(YEAR(A245)-1,MONTH(A245),1),$A$2:$A$400,0))-1,""))</f>
        <v/>
      </c>
    </row>
    <row r="246">
      <c r="A246" s="117" t="n"/>
      <c r="B246" s="118" t="n"/>
      <c r="C246" s="115">
        <f>IF(OR(B246="",B245=""),"",B246/B245-1)</f>
        <v/>
      </c>
      <c r="D246" s="115">
        <f>IF(B246="","",IFERROR(B246/INDEX($B$2:$B$400,MATCH(DATE(YEAR(A246)-1,12,1),$A$2:$A$400,0))-1,""))</f>
        <v/>
      </c>
      <c r="E246" s="115">
        <f>IF(B246="","",IFERROR(B246/INDEX($B$2:$B$400,MATCH(DATE(YEAR(A246)-1,MONTH(A246),1),$A$2:$A$400,0))-1,""))</f>
        <v/>
      </c>
    </row>
    <row r="247">
      <c r="A247" s="117" t="n"/>
      <c r="B247" s="118" t="n"/>
      <c r="C247" s="115">
        <f>IF(OR(B247="",B246=""),"",B247/B246-1)</f>
        <v/>
      </c>
      <c r="D247" s="115">
        <f>IF(B247="","",IFERROR(B247/INDEX($B$2:$B$400,MATCH(DATE(YEAR(A247)-1,12,1),$A$2:$A$400,0))-1,""))</f>
        <v/>
      </c>
      <c r="E247" s="115">
        <f>IF(B247="","",IFERROR(B247/INDEX($B$2:$B$400,MATCH(DATE(YEAR(A247)-1,MONTH(A247),1),$A$2:$A$400,0))-1,""))</f>
        <v/>
      </c>
    </row>
    <row r="248">
      <c r="A248" s="117" t="n"/>
      <c r="B248" s="118" t="n"/>
      <c r="C248" s="115">
        <f>IF(OR(B248="",B247=""),"",B248/B247-1)</f>
        <v/>
      </c>
      <c r="D248" s="115">
        <f>IF(B248="","",IFERROR(B248/INDEX($B$2:$B$400,MATCH(DATE(YEAR(A248)-1,12,1),$A$2:$A$400,0))-1,""))</f>
        <v/>
      </c>
      <c r="E248" s="115">
        <f>IF(B248="","",IFERROR(B248/INDEX($B$2:$B$400,MATCH(DATE(YEAR(A248)-1,MONTH(A248),1),$A$2:$A$400,0))-1,""))</f>
        <v/>
      </c>
    </row>
    <row r="249">
      <c r="A249" s="117" t="n"/>
      <c r="B249" s="118" t="n"/>
      <c r="C249" s="115">
        <f>IF(OR(B249="",B248=""),"",B249/B248-1)</f>
        <v/>
      </c>
      <c r="D249" s="115">
        <f>IF(B249="","",IFERROR(B249/INDEX($B$2:$B$400,MATCH(DATE(YEAR(A249)-1,12,1),$A$2:$A$400,0))-1,""))</f>
        <v/>
      </c>
      <c r="E249" s="115">
        <f>IF(B249="","",IFERROR(B249/INDEX($B$2:$B$400,MATCH(DATE(YEAR(A249)-1,MONTH(A249),1),$A$2:$A$400,0))-1,""))</f>
        <v/>
      </c>
    </row>
    <row r="250">
      <c r="A250" s="117" t="n"/>
      <c r="B250" s="118" t="n"/>
      <c r="C250" s="115">
        <f>IF(OR(B250="",B249=""),"",B250/B249-1)</f>
        <v/>
      </c>
      <c r="D250" s="115">
        <f>IF(B250="","",IFERROR(B250/INDEX($B$2:$B$400,MATCH(DATE(YEAR(A250)-1,12,1),$A$2:$A$400,0))-1,""))</f>
        <v/>
      </c>
      <c r="E250" s="115">
        <f>IF(B250="","",IFERROR(B250/INDEX($B$2:$B$400,MATCH(DATE(YEAR(A250)-1,MONTH(A250),1),$A$2:$A$400,0))-1,""))</f>
        <v/>
      </c>
    </row>
    <row r="251">
      <c r="A251" s="117" t="n"/>
      <c r="B251" s="118" t="n"/>
      <c r="C251" s="115">
        <f>IF(OR(B251="",B250=""),"",B251/B250-1)</f>
        <v/>
      </c>
      <c r="D251" s="115">
        <f>IF(B251="","",IFERROR(B251/INDEX($B$2:$B$400,MATCH(DATE(YEAR(A251)-1,12,1),$A$2:$A$400,0))-1,""))</f>
        <v/>
      </c>
      <c r="E251" s="115">
        <f>IF(B251="","",IFERROR(B251/INDEX($B$2:$B$400,MATCH(DATE(YEAR(A251)-1,MONTH(A251),1),$A$2:$A$400,0))-1,""))</f>
        <v/>
      </c>
    </row>
    <row r="252">
      <c r="A252" s="117" t="n"/>
      <c r="B252" s="118" t="n"/>
      <c r="C252" s="115">
        <f>IF(OR(B252="",B251=""),"",B252/B251-1)</f>
        <v/>
      </c>
      <c r="D252" s="115">
        <f>IF(B252="","",IFERROR(B252/INDEX($B$2:$B$400,MATCH(DATE(YEAR(A252)-1,12,1),$A$2:$A$400,0))-1,""))</f>
        <v/>
      </c>
      <c r="E252" s="115">
        <f>IF(B252="","",IFERROR(B252/INDEX($B$2:$B$400,MATCH(DATE(YEAR(A252)-1,MONTH(A252),1),$A$2:$A$400,0))-1,""))</f>
        <v/>
      </c>
    </row>
    <row r="253">
      <c r="A253" s="117" t="n"/>
      <c r="B253" s="118" t="n"/>
      <c r="C253" s="115">
        <f>IF(OR(B253="",B252=""),"",B253/B252-1)</f>
        <v/>
      </c>
      <c r="D253" s="115">
        <f>IF(B253="","",IFERROR(B253/INDEX($B$2:$B$400,MATCH(DATE(YEAR(A253)-1,12,1),$A$2:$A$400,0))-1,""))</f>
        <v/>
      </c>
      <c r="E253" s="115">
        <f>IF(B253="","",IFERROR(B253/INDEX($B$2:$B$400,MATCH(DATE(YEAR(A253)-1,MONTH(A253),1),$A$2:$A$400,0))-1,""))</f>
        <v/>
      </c>
    </row>
    <row r="254">
      <c r="A254" s="117" t="n"/>
      <c r="B254" s="118" t="n"/>
      <c r="C254" s="115">
        <f>IF(OR(B254="",B253=""),"",B254/B253-1)</f>
        <v/>
      </c>
      <c r="D254" s="115">
        <f>IF(B254="","",IFERROR(B254/INDEX($B$2:$B$400,MATCH(DATE(YEAR(A254)-1,12,1),$A$2:$A$400,0))-1,""))</f>
        <v/>
      </c>
      <c r="E254" s="115">
        <f>IF(B254="","",IFERROR(B254/INDEX($B$2:$B$400,MATCH(DATE(YEAR(A254)-1,MONTH(A254),1),$A$2:$A$400,0))-1,""))</f>
        <v/>
      </c>
    </row>
    <row r="255">
      <c r="A255" s="117" t="n"/>
      <c r="B255" s="118" t="n"/>
      <c r="C255" s="115">
        <f>IF(OR(B255="",B254=""),"",B255/B254-1)</f>
        <v/>
      </c>
      <c r="D255" s="115">
        <f>IF(B255="","",IFERROR(B255/INDEX($B$2:$B$400,MATCH(DATE(YEAR(A255)-1,12,1),$A$2:$A$400,0))-1,""))</f>
        <v/>
      </c>
      <c r="E255" s="115">
        <f>IF(B255="","",IFERROR(B255/INDEX($B$2:$B$400,MATCH(DATE(YEAR(A255)-1,MONTH(A255),1),$A$2:$A$400,0))-1,""))</f>
        <v/>
      </c>
    </row>
    <row r="256">
      <c r="A256" s="117" t="n"/>
      <c r="B256" s="118" t="n"/>
      <c r="C256" s="115">
        <f>IF(OR(B256="",B255=""),"",B256/B255-1)</f>
        <v/>
      </c>
      <c r="D256" s="115">
        <f>IF(B256="","",IFERROR(B256/INDEX($B$2:$B$400,MATCH(DATE(YEAR(A256)-1,12,1),$A$2:$A$400,0))-1,""))</f>
        <v/>
      </c>
      <c r="E256" s="115">
        <f>IF(B256="","",IFERROR(B256/INDEX($B$2:$B$400,MATCH(DATE(YEAR(A256)-1,MONTH(A256),1),$A$2:$A$400,0))-1,""))</f>
        <v/>
      </c>
    </row>
    <row r="257">
      <c r="A257" s="117" t="n"/>
      <c r="B257" s="118" t="n"/>
      <c r="C257" s="115">
        <f>IF(OR(B257="",B256=""),"",B257/B256-1)</f>
        <v/>
      </c>
      <c r="D257" s="115">
        <f>IF(B257="","",IFERROR(B257/INDEX($B$2:$B$400,MATCH(DATE(YEAR(A257)-1,12,1),$A$2:$A$400,0))-1,""))</f>
        <v/>
      </c>
      <c r="E257" s="115">
        <f>IF(B257="","",IFERROR(B257/INDEX($B$2:$B$400,MATCH(DATE(YEAR(A257)-1,MONTH(A257),1),$A$2:$A$400,0))-1,""))</f>
        <v/>
      </c>
    </row>
    <row r="258">
      <c r="A258" s="117" t="n"/>
      <c r="B258" s="118" t="n"/>
      <c r="C258" s="115">
        <f>IF(OR(B258="",B257=""),"",B258/B257-1)</f>
        <v/>
      </c>
      <c r="D258" s="115">
        <f>IF(B258="","",IFERROR(B258/INDEX($B$2:$B$400,MATCH(DATE(YEAR(A258)-1,12,1),$A$2:$A$400,0))-1,""))</f>
        <v/>
      </c>
      <c r="E258" s="115">
        <f>IF(B258="","",IFERROR(B258/INDEX($B$2:$B$400,MATCH(DATE(YEAR(A258)-1,MONTH(A258),1),$A$2:$A$400,0))-1,""))</f>
        <v/>
      </c>
    </row>
    <row r="259">
      <c r="A259" s="117" t="n"/>
      <c r="B259" s="118" t="n"/>
      <c r="C259" s="115">
        <f>IF(OR(B259="",B258=""),"",B259/B258-1)</f>
        <v/>
      </c>
      <c r="D259" s="115">
        <f>IF(B259="","",IFERROR(B259/INDEX($B$2:$B$400,MATCH(DATE(YEAR(A259)-1,12,1),$A$2:$A$400,0))-1,""))</f>
        <v/>
      </c>
      <c r="E259" s="115">
        <f>IF(B259="","",IFERROR(B259/INDEX($B$2:$B$400,MATCH(DATE(YEAR(A259)-1,MONTH(A259),1),$A$2:$A$400,0))-1,""))</f>
        <v/>
      </c>
    </row>
    <row r="260">
      <c r="A260" s="117" t="n"/>
      <c r="B260" s="118" t="n"/>
      <c r="C260" s="115">
        <f>IF(OR(B260="",B259=""),"",B260/B259-1)</f>
        <v/>
      </c>
      <c r="D260" s="115">
        <f>IF(B260="","",IFERROR(B260/INDEX($B$2:$B$400,MATCH(DATE(YEAR(A260)-1,12,1),$A$2:$A$400,0))-1,""))</f>
        <v/>
      </c>
      <c r="E260" s="115">
        <f>IF(B260="","",IFERROR(B260/INDEX($B$2:$B$400,MATCH(DATE(YEAR(A260)-1,MONTH(A260),1),$A$2:$A$400,0))-1,""))</f>
        <v/>
      </c>
    </row>
    <row r="261">
      <c r="A261" s="117" t="n"/>
      <c r="B261" s="118" t="n"/>
      <c r="C261" s="115">
        <f>IF(OR(B261="",B260=""),"",B261/B260-1)</f>
        <v/>
      </c>
      <c r="D261" s="115">
        <f>IF(B261="","",IFERROR(B261/INDEX($B$2:$B$400,MATCH(DATE(YEAR(A261)-1,12,1),$A$2:$A$400,0))-1,""))</f>
        <v/>
      </c>
      <c r="E261" s="115">
        <f>IF(B261="","",IFERROR(B261/INDEX($B$2:$B$400,MATCH(DATE(YEAR(A261)-1,MONTH(A261),1),$A$2:$A$400,0))-1,""))</f>
        <v/>
      </c>
    </row>
    <row r="262">
      <c r="A262" s="117" t="n"/>
      <c r="B262" s="118" t="n"/>
      <c r="C262" s="115">
        <f>IF(OR(B262="",B261=""),"",B262/B261-1)</f>
        <v/>
      </c>
      <c r="D262" s="115">
        <f>IF(B262="","",IFERROR(B262/INDEX($B$2:$B$400,MATCH(DATE(YEAR(A262)-1,12,1),$A$2:$A$400,0))-1,""))</f>
        <v/>
      </c>
      <c r="E262" s="115">
        <f>IF(B262="","",IFERROR(B262/INDEX($B$2:$B$400,MATCH(DATE(YEAR(A262)-1,MONTH(A262),1),$A$2:$A$400,0))-1,""))</f>
        <v/>
      </c>
    </row>
    <row r="263">
      <c r="A263" s="117" t="n"/>
      <c r="B263" s="118" t="n"/>
      <c r="C263" s="115">
        <f>IF(OR(B263="",B262=""),"",B263/B262-1)</f>
        <v/>
      </c>
      <c r="D263" s="115">
        <f>IF(B263="","",IFERROR(B263/INDEX($B$2:$B$400,MATCH(DATE(YEAR(A263)-1,12,1),$A$2:$A$400,0))-1,""))</f>
        <v/>
      </c>
      <c r="E263" s="115">
        <f>IF(B263="","",IFERROR(B263/INDEX($B$2:$B$400,MATCH(DATE(YEAR(A263)-1,MONTH(A263),1),$A$2:$A$400,0))-1,""))</f>
        <v/>
      </c>
    </row>
    <row r="264">
      <c r="A264" s="117" t="n"/>
      <c r="B264" s="118" t="n"/>
      <c r="C264" s="115">
        <f>IF(OR(B264="",B263=""),"",B264/B263-1)</f>
        <v/>
      </c>
      <c r="D264" s="115">
        <f>IF(B264="","",IFERROR(B264/INDEX($B$2:$B$400,MATCH(DATE(YEAR(A264)-1,12,1),$A$2:$A$400,0))-1,""))</f>
        <v/>
      </c>
      <c r="E264" s="115">
        <f>IF(B264="","",IFERROR(B264/INDEX($B$2:$B$400,MATCH(DATE(YEAR(A264)-1,MONTH(A264),1),$A$2:$A$400,0))-1,""))</f>
        <v/>
      </c>
    </row>
    <row r="265">
      <c r="A265" s="117" t="n"/>
      <c r="B265" s="118" t="n"/>
      <c r="C265" s="115">
        <f>IF(OR(B265="",B264=""),"",B265/B264-1)</f>
        <v/>
      </c>
      <c r="D265" s="115">
        <f>IF(B265="","",IFERROR(B265/INDEX($B$2:$B$400,MATCH(DATE(YEAR(A265)-1,12,1),$A$2:$A$400,0))-1,""))</f>
        <v/>
      </c>
      <c r="E265" s="115">
        <f>IF(B265="","",IFERROR(B265/INDEX($B$2:$B$400,MATCH(DATE(YEAR(A265)-1,MONTH(A265),1),$A$2:$A$400,0))-1,""))</f>
        <v/>
      </c>
    </row>
    <row r="266">
      <c r="A266" s="117" t="n"/>
      <c r="B266" s="118" t="n"/>
      <c r="C266" s="115">
        <f>IF(OR(B266="",B265=""),"",B266/B265-1)</f>
        <v/>
      </c>
      <c r="D266" s="115">
        <f>IF(B266="","",IFERROR(B266/INDEX($B$2:$B$400,MATCH(DATE(YEAR(A266)-1,12,1),$A$2:$A$400,0))-1,""))</f>
        <v/>
      </c>
      <c r="E266" s="115">
        <f>IF(B266="","",IFERROR(B266/INDEX($B$2:$B$400,MATCH(DATE(YEAR(A266)-1,MONTH(A266),1),$A$2:$A$400,0))-1,""))</f>
        <v/>
      </c>
    </row>
    <row r="267">
      <c r="A267" s="117" t="n"/>
      <c r="B267" s="118" t="n"/>
      <c r="C267" s="115">
        <f>IF(OR(B267="",B266=""),"",B267/B266-1)</f>
        <v/>
      </c>
      <c r="D267" s="115">
        <f>IF(B267="","",IFERROR(B267/INDEX($B$2:$B$400,MATCH(DATE(YEAR(A267)-1,12,1),$A$2:$A$400,0))-1,""))</f>
        <v/>
      </c>
      <c r="E267" s="115">
        <f>IF(B267="","",IFERROR(B267/INDEX($B$2:$B$400,MATCH(DATE(YEAR(A267)-1,MONTH(A267),1),$A$2:$A$400,0))-1,""))</f>
        <v/>
      </c>
    </row>
    <row r="268">
      <c r="A268" s="117" t="n"/>
      <c r="B268" s="118" t="n"/>
      <c r="C268" s="115">
        <f>IF(OR(B268="",B267=""),"",B268/B267-1)</f>
        <v/>
      </c>
      <c r="D268" s="115">
        <f>IF(B268="","",IFERROR(B268/INDEX($B$2:$B$400,MATCH(DATE(YEAR(A268)-1,12,1),$A$2:$A$400,0))-1,""))</f>
        <v/>
      </c>
      <c r="E268" s="115">
        <f>IF(B268="","",IFERROR(B268/INDEX($B$2:$B$400,MATCH(DATE(YEAR(A268)-1,MONTH(A268),1),$A$2:$A$400,0))-1,""))</f>
        <v/>
      </c>
    </row>
    <row r="269">
      <c r="A269" s="117" t="n"/>
      <c r="B269" s="118" t="n"/>
      <c r="C269" s="115">
        <f>IF(OR(B269="",B268=""),"",B269/B268-1)</f>
        <v/>
      </c>
      <c r="D269" s="115">
        <f>IF(B269="","",IFERROR(B269/INDEX($B$2:$B$400,MATCH(DATE(YEAR(A269)-1,12,1),$A$2:$A$400,0))-1,""))</f>
        <v/>
      </c>
      <c r="E269" s="115">
        <f>IF(B269="","",IFERROR(B269/INDEX($B$2:$B$400,MATCH(DATE(YEAR(A269)-1,MONTH(A269),1),$A$2:$A$400,0))-1,""))</f>
        <v/>
      </c>
    </row>
    <row r="270">
      <c r="A270" s="117" t="n"/>
      <c r="B270" s="118" t="n"/>
      <c r="C270" s="115">
        <f>IF(OR(B270="",B269=""),"",B270/B269-1)</f>
        <v/>
      </c>
      <c r="D270" s="115">
        <f>IF(B270="","",IFERROR(B270/INDEX($B$2:$B$400,MATCH(DATE(YEAR(A270)-1,12,1),$A$2:$A$400,0))-1,""))</f>
        <v/>
      </c>
      <c r="E270" s="115">
        <f>IF(B270="","",IFERROR(B270/INDEX($B$2:$B$400,MATCH(DATE(YEAR(A270)-1,MONTH(A270),1),$A$2:$A$400,0))-1,""))</f>
        <v/>
      </c>
    </row>
    <row r="271">
      <c r="A271" s="117" t="n"/>
      <c r="B271" s="118" t="n"/>
      <c r="C271" s="115">
        <f>IF(OR(B271="",B270=""),"",B271/B270-1)</f>
        <v/>
      </c>
      <c r="D271" s="115">
        <f>IF(B271="","",IFERROR(B271/INDEX($B$2:$B$400,MATCH(DATE(YEAR(A271)-1,12,1),$A$2:$A$400,0))-1,""))</f>
        <v/>
      </c>
      <c r="E271" s="115">
        <f>IF(B271="","",IFERROR(B271/INDEX($B$2:$B$400,MATCH(DATE(YEAR(A271)-1,MONTH(A271),1),$A$2:$A$400,0))-1,""))</f>
        <v/>
      </c>
    </row>
    <row r="272">
      <c r="A272" s="117" t="n"/>
      <c r="B272" s="118" t="n"/>
      <c r="C272" s="115">
        <f>IF(OR(B272="",B271=""),"",B272/B271-1)</f>
        <v/>
      </c>
      <c r="D272" s="115">
        <f>IF(B272="","",IFERROR(B272/INDEX($B$2:$B$400,MATCH(DATE(YEAR(A272)-1,12,1),$A$2:$A$400,0))-1,""))</f>
        <v/>
      </c>
      <c r="E272" s="115">
        <f>IF(B272="","",IFERROR(B272/INDEX($B$2:$B$400,MATCH(DATE(YEAR(A272)-1,MONTH(A272),1),$A$2:$A$400,0))-1,""))</f>
        <v/>
      </c>
    </row>
    <row r="273">
      <c r="A273" s="117" t="n"/>
      <c r="B273" s="118" t="n"/>
      <c r="C273" s="115">
        <f>IF(OR(B273="",B272=""),"",B273/B272-1)</f>
        <v/>
      </c>
      <c r="D273" s="115">
        <f>IF(B273="","",IFERROR(B273/INDEX($B$2:$B$400,MATCH(DATE(YEAR(A273)-1,12,1),$A$2:$A$400,0))-1,""))</f>
        <v/>
      </c>
      <c r="E273" s="115">
        <f>IF(B273="","",IFERROR(B273/INDEX($B$2:$B$400,MATCH(DATE(YEAR(A273)-1,MONTH(A273),1),$A$2:$A$400,0))-1,""))</f>
        <v/>
      </c>
    </row>
    <row r="274">
      <c r="A274" s="117" t="n"/>
      <c r="B274" s="118" t="n"/>
      <c r="C274" s="115">
        <f>IF(OR(B274="",B273=""),"",B274/B273-1)</f>
        <v/>
      </c>
      <c r="D274" s="115">
        <f>IF(B274="","",IFERROR(B274/INDEX($B$2:$B$400,MATCH(DATE(YEAR(A274)-1,12,1),$A$2:$A$400,0))-1,""))</f>
        <v/>
      </c>
      <c r="E274" s="115">
        <f>IF(B274="","",IFERROR(B274/INDEX($B$2:$B$400,MATCH(DATE(YEAR(A274)-1,MONTH(A274),1),$A$2:$A$400,0))-1,""))</f>
        <v/>
      </c>
    </row>
    <row r="275">
      <c r="A275" s="117" t="n"/>
      <c r="B275" s="118" t="n"/>
      <c r="C275" s="115">
        <f>IF(OR(B275="",B274=""),"",B275/B274-1)</f>
        <v/>
      </c>
      <c r="D275" s="115">
        <f>IF(B275="","",IFERROR(B275/INDEX($B$2:$B$400,MATCH(DATE(YEAR(A275)-1,12,1),$A$2:$A$400,0))-1,""))</f>
        <v/>
      </c>
      <c r="E275" s="115">
        <f>IF(B275="","",IFERROR(B275/INDEX($B$2:$B$400,MATCH(DATE(YEAR(A275)-1,MONTH(A275),1),$A$2:$A$400,0))-1,""))</f>
        <v/>
      </c>
    </row>
    <row r="276">
      <c r="A276" s="117" t="n"/>
      <c r="B276" s="118" t="n"/>
      <c r="C276" s="115">
        <f>IF(OR(B276="",B275=""),"",B276/B275-1)</f>
        <v/>
      </c>
      <c r="D276" s="115">
        <f>IF(B276="","",IFERROR(B276/INDEX($B$2:$B$400,MATCH(DATE(YEAR(A276)-1,12,1),$A$2:$A$400,0))-1,""))</f>
        <v/>
      </c>
      <c r="E276" s="115">
        <f>IF(B276="","",IFERROR(B276/INDEX($B$2:$B$400,MATCH(DATE(YEAR(A276)-1,MONTH(A276),1),$A$2:$A$400,0))-1,""))</f>
        <v/>
      </c>
    </row>
    <row r="277">
      <c r="A277" s="117" t="n"/>
      <c r="B277" s="118" t="n"/>
      <c r="C277" s="115">
        <f>IF(OR(B277="",B276=""),"",B277/B276-1)</f>
        <v/>
      </c>
      <c r="D277" s="115">
        <f>IF(B277="","",IFERROR(B277/INDEX($B$2:$B$400,MATCH(DATE(YEAR(A277)-1,12,1),$A$2:$A$400,0))-1,""))</f>
        <v/>
      </c>
      <c r="E277" s="115">
        <f>IF(B277="","",IFERROR(B277/INDEX($B$2:$B$400,MATCH(DATE(YEAR(A277)-1,MONTH(A277),1),$A$2:$A$400,0))-1,""))</f>
        <v/>
      </c>
    </row>
    <row r="278">
      <c r="A278" s="117" t="n"/>
      <c r="B278" s="118" t="n"/>
      <c r="C278" s="115">
        <f>IF(OR(B278="",B277=""),"",B278/B277-1)</f>
        <v/>
      </c>
      <c r="D278" s="115">
        <f>IF(B278="","",IFERROR(B278/INDEX($B$2:$B$400,MATCH(DATE(YEAR(A278)-1,12,1),$A$2:$A$400,0))-1,""))</f>
        <v/>
      </c>
      <c r="E278" s="115">
        <f>IF(B278="","",IFERROR(B278/INDEX($B$2:$B$400,MATCH(DATE(YEAR(A278)-1,MONTH(A278),1),$A$2:$A$400,0))-1,""))</f>
        <v/>
      </c>
    </row>
    <row r="279">
      <c r="A279" s="117" t="n"/>
      <c r="B279" s="118" t="n"/>
      <c r="C279" s="115">
        <f>IF(OR(B279="",B278=""),"",B279/B278-1)</f>
        <v/>
      </c>
      <c r="D279" s="115">
        <f>IF(B279="","",IFERROR(B279/INDEX($B$2:$B$400,MATCH(DATE(YEAR(A279)-1,12,1),$A$2:$A$400,0))-1,""))</f>
        <v/>
      </c>
      <c r="E279" s="115">
        <f>IF(B279="","",IFERROR(B279/INDEX($B$2:$B$400,MATCH(DATE(YEAR(A279)-1,MONTH(A279),1),$A$2:$A$400,0))-1,""))</f>
        <v/>
      </c>
    </row>
    <row r="280">
      <c r="A280" s="117" t="n"/>
      <c r="B280" s="118" t="n"/>
      <c r="C280" s="115">
        <f>IF(OR(B280="",B279=""),"",B280/B279-1)</f>
        <v/>
      </c>
      <c r="D280" s="115">
        <f>IF(B280="","",IFERROR(B280/INDEX($B$2:$B$400,MATCH(DATE(YEAR(A280)-1,12,1),$A$2:$A$400,0))-1,""))</f>
        <v/>
      </c>
      <c r="E280" s="115">
        <f>IF(B280="","",IFERROR(B280/INDEX($B$2:$B$400,MATCH(DATE(YEAR(A280)-1,MONTH(A280),1),$A$2:$A$400,0))-1,""))</f>
        <v/>
      </c>
    </row>
    <row r="281">
      <c r="A281" s="117" t="n"/>
      <c r="B281" s="118" t="n"/>
      <c r="C281" s="115">
        <f>IF(OR(B281="",B280=""),"",B281/B280-1)</f>
        <v/>
      </c>
      <c r="D281" s="115">
        <f>IF(B281="","",IFERROR(B281/INDEX($B$2:$B$400,MATCH(DATE(YEAR(A281)-1,12,1),$A$2:$A$400,0))-1,""))</f>
        <v/>
      </c>
      <c r="E281" s="115">
        <f>IF(B281="","",IFERROR(B281/INDEX($B$2:$B$400,MATCH(DATE(YEAR(A281)-1,MONTH(A281),1),$A$2:$A$400,0))-1,""))</f>
        <v/>
      </c>
    </row>
    <row r="282">
      <c r="A282" s="117" t="n"/>
      <c r="B282" s="118" t="n"/>
      <c r="C282" s="115">
        <f>IF(OR(B282="",B281=""),"",B282/B281-1)</f>
        <v/>
      </c>
      <c r="D282" s="115">
        <f>IF(B282="","",IFERROR(B282/INDEX($B$2:$B$400,MATCH(DATE(YEAR(A282)-1,12,1),$A$2:$A$400,0))-1,""))</f>
        <v/>
      </c>
      <c r="E282" s="115">
        <f>IF(B282="","",IFERROR(B282/INDEX($B$2:$B$400,MATCH(DATE(YEAR(A282)-1,MONTH(A282),1),$A$2:$A$400,0))-1,""))</f>
        <v/>
      </c>
    </row>
    <row r="283">
      <c r="A283" s="117" t="n"/>
      <c r="B283" s="118" t="n"/>
      <c r="C283" s="115">
        <f>IF(OR(B283="",B282=""),"",B283/B282-1)</f>
        <v/>
      </c>
      <c r="D283" s="115">
        <f>IF(B283="","",IFERROR(B283/INDEX($B$2:$B$400,MATCH(DATE(YEAR(A283)-1,12,1),$A$2:$A$400,0))-1,""))</f>
        <v/>
      </c>
      <c r="E283" s="115">
        <f>IF(B283="","",IFERROR(B283/INDEX($B$2:$B$400,MATCH(DATE(YEAR(A283)-1,MONTH(A283),1),$A$2:$A$400,0))-1,""))</f>
        <v/>
      </c>
    </row>
    <row r="284">
      <c r="A284" s="117" t="n"/>
      <c r="B284" s="118" t="n"/>
      <c r="C284" s="115">
        <f>IF(OR(B284="",B283=""),"",B284/B283-1)</f>
        <v/>
      </c>
      <c r="D284" s="115">
        <f>IF(B284="","",IFERROR(B284/INDEX($B$2:$B$400,MATCH(DATE(YEAR(A284)-1,12,1),$A$2:$A$400,0))-1,""))</f>
        <v/>
      </c>
      <c r="E284" s="115">
        <f>IF(B284="","",IFERROR(B284/INDEX($B$2:$B$400,MATCH(DATE(YEAR(A284)-1,MONTH(A284),1),$A$2:$A$400,0))-1,""))</f>
        <v/>
      </c>
    </row>
    <row r="285">
      <c r="A285" s="117" t="n"/>
      <c r="B285" s="118" t="n"/>
      <c r="C285" s="115">
        <f>IF(OR(B285="",B284=""),"",B285/B284-1)</f>
        <v/>
      </c>
      <c r="D285" s="115">
        <f>IF(B285="","",IFERROR(B285/INDEX($B$2:$B$400,MATCH(DATE(YEAR(A285)-1,12,1),$A$2:$A$400,0))-1,""))</f>
        <v/>
      </c>
      <c r="E285" s="115">
        <f>IF(B285="","",IFERROR(B285/INDEX($B$2:$B$400,MATCH(DATE(YEAR(A285)-1,MONTH(A285),1),$A$2:$A$400,0))-1,""))</f>
        <v/>
      </c>
    </row>
    <row r="286">
      <c r="A286" s="117" t="n"/>
      <c r="B286" s="118" t="n"/>
      <c r="C286" s="115">
        <f>IF(OR(B286="",B285=""),"",B286/B285-1)</f>
        <v/>
      </c>
      <c r="D286" s="115">
        <f>IF(B286="","",IFERROR(B286/INDEX($B$2:$B$400,MATCH(DATE(YEAR(A286)-1,12,1),$A$2:$A$400,0))-1,""))</f>
        <v/>
      </c>
      <c r="E286" s="115">
        <f>IF(B286="","",IFERROR(B286/INDEX($B$2:$B$400,MATCH(DATE(YEAR(A286)-1,MONTH(A286),1),$A$2:$A$400,0))-1,""))</f>
        <v/>
      </c>
    </row>
    <row r="287">
      <c r="A287" s="117" t="n"/>
      <c r="B287" s="118" t="n"/>
      <c r="C287" s="115">
        <f>IF(OR(B287="",B286=""),"",B287/B286-1)</f>
        <v/>
      </c>
      <c r="D287" s="115">
        <f>IF(B287="","",IFERROR(B287/INDEX($B$2:$B$400,MATCH(DATE(YEAR(A287)-1,12,1),$A$2:$A$400,0))-1,""))</f>
        <v/>
      </c>
      <c r="E287" s="115">
        <f>IF(B287="","",IFERROR(B287/INDEX($B$2:$B$400,MATCH(DATE(YEAR(A287)-1,MONTH(A287),1),$A$2:$A$400,0))-1,""))</f>
        <v/>
      </c>
    </row>
    <row r="288">
      <c r="A288" s="117" t="n"/>
      <c r="B288" s="118" t="n"/>
      <c r="C288" s="115">
        <f>IF(OR(B288="",B287=""),"",B288/B287-1)</f>
        <v/>
      </c>
      <c r="D288" s="115">
        <f>IF(B288="","",IFERROR(B288/INDEX($B$2:$B$400,MATCH(DATE(YEAR(A288)-1,12,1),$A$2:$A$400,0))-1,""))</f>
        <v/>
      </c>
      <c r="E288" s="115">
        <f>IF(B288="","",IFERROR(B288/INDEX($B$2:$B$400,MATCH(DATE(YEAR(A288)-1,MONTH(A288),1),$A$2:$A$400,0))-1,""))</f>
        <v/>
      </c>
    </row>
    <row r="289">
      <c r="A289" s="117" t="n"/>
      <c r="B289" s="118" t="n"/>
      <c r="C289" s="115">
        <f>IF(OR(B289="",B288=""),"",B289/B288-1)</f>
        <v/>
      </c>
      <c r="D289" s="115">
        <f>IF(B289="","",IFERROR(B289/INDEX($B$2:$B$400,MATCH(DATE(YEAR(A289)-1,12,1),$A$2:$A$400,0))-1,""))</f>
        <v/>
      </c>
      <c r="E289" s="115">
        <f>IF(B289="","",IFERROR(B289/INDEX($B$2:$B$400,MATCH(DATE(YEAR(A289)-1,MONTH(A289),1),$A$2:$A$400,0))-1,""))</f>
        <v/>
      </c>
    </row>
    <row r="290">
      <c r="A290" s="117" t="n"/>
      <c r="B290" s="118" t="n"/>
      <c r="C290" s="115">
        <f>IF(OR(B290="",B289=""),"",B290/B289-1)</f>
        <v/>
      </c>
      <c r="D290" s="115">
        <f>IF(B290="","",IFERROR(B290/INDEX($B$2:$B$400,MATCH(DATE(YEAR(A290)-1,12,1),$A$2:$A$400,0))-1,""))</f>
        <v/>
      </c>
      <c r="E290" s="115">
        <f>IF(B290="","",IFERROR(B290/INDEX($B$2:$B$400,MATCH(DATE(YEAR(A290)-1,MONTH(A290),1),$A$2:$A$400,0))-1,""))</f>
        <v/>
      </c>
    </row>
    <row r="291">
      <c r="A291" s="117" t="n"/>
      <c r="B291" s="118" t="n"/>
      <c r="C291" s="115">
        <f>IF(OR(B291="",B290=""),"",B291/B290-1)</f>
        <v/>
      </c>
      <c r="D291" s="115">
        <f>IF(B291="","",IFERROR(B291/INDEX($B$2:$B$400,MATCH(DATE(YEAR(A291)-1,12,1),$A$2:$A$400,0))-1,""))</f>
        <v/>
      </c>
      <c r="E291" s="115">
        <f>IF(B291="","",IFERROR(B291/INDEX($B$2:$B$400,MATCH(DATE(YEAR(A291)-1,MONTH(A291),1),$A$2:$A$400,0))-1,""))</f>
        <v/>
      </c>
    </row>
    <row r="292">
      <c r="A292" s="117" t="n"/>
      <c r="B292" s="118" t="n"/>
      <c r="C292" s="115">
        <f>IF(OR(B292="",B291=""),"",B292/B291-1)</f>
        <v/>
      </c>
      <c r="D292" s="115">
        <f>IF(B292="","",IFERROR(B292/INDEX($B$2:$B$400,MATCH(DATE(YEAR(A292)-1,12,1),$A$2:$A$400,0))-1,""))</f>
        <v/>
      </c>
      <c r="E292" s="115">
        <f>IF(B292="","",IFERROR(B292/INDEX($B$2:$B$400,MATCH(DATE(YEAR(A292)-1,MONTH(A292),1),$A$2:$A$400,0))-1,""))</f>
        <v/>
      </c>
    </row>
    <row r="293">
      <c r="A293" s="117" t="n"/>
      <c r="B293" s="118" t="n"/>
      <c r="C293" s="115">
        <f>IF(OR(B293="",B292=""),"",B293/B292-1)</f>
        <v/>
      </c>
      <c r="D293" s="115">
        <f>IF(B293="","",IFERROR(B293/INDEX($B$2:$B$400,MATCH(DATE(YEAR(A293)-1,12,1),$A$2:$A$400,0))-1,""))</f>
        <v/>
      </c>
      <c r="E293" s="115">
        <f>IF(B293="","",IFERROR(B293/INDEX($B$2:$B$400,MATCH(DATE(YEAR(A293)-1,MONTH(A293),1),$A$2:$A$400,0))-1,""))</f>
        <v/>
      </c>
    </row>
    <row r="294">
      <c r="A294" s="117" t="n"/>
      <c r="B294" s="118" t="n"/>
      <c r="C294" s="115">
        <f>IF(OR(B294="",B293=""),"",B294/B293-1)</f>
        <v/>
      </c>
      <c r="D294" s="115">
        <f>IF(B294="","",IFERROR(B294/INDEX($B$2:$B$400,MATCH(DATE(YEAR(A294)-1,12,1),$A$2:$A$400,0))-1,""))</f>
        <v/>
      </c>
      <c r="E294" s="115">
        <f>IF(B294="","",IFERROR(B294/INDEX($B$2:$B$400,MATCH(DATE(YEAR(A294)-1,MONTH(A294),1),$A$2:$A$400,0))-1,""))</f>
        <v/>
      </c>
    </row>
    <row r="295">
      <c r="A295" s="117" t="n"/>
      <c r="B295" s="118" t="n"/>
      <c r="C295" s="115">
        <f>IF(OR(B295="",B294=""),"",B295/B294-1)</f>
        <v/>
      </c>
      <c r="D295" s="115">
        <f>IF(B295="","",IFERROR(B295/INDEX($B$2:$B$400,MATCH(DATE(YEAR(A295)-1,12,1),$A$2:$A$400,0))-1,""))</f>
        <v/>
      </c>
      <c r="E295" s="115">
        <f>IF(B295="","",IFERROR(B295/INDEX($B$2:$B$400,MATCH(DATE(YEAR(A295)-1,MONTH(A295),1),$A$2:$A$400,0))-1,""))</f>
        <v/>
      </c>
    </row>
    <row r="296">
      <c r="A296" s="117" t="n"/>
      <c r="B296" s="118" t="n"/>
      <c r="C296" s="115">
        <f>IF(OR(B296="",B295=""),"",B296/B295-1)</f>
        <v/>
      </c>
      <c r="D296" s="115">
        <f>IF(B296="","",IFERROR(B296/INDEX($B$2:$B$400,MATCH(DATE(YEAR(A296)-1,12,1),$A$2:$A$400,0))-1,""))</f>
        <v/>
      </c>
      <c r="E296" s="115">
        <f>IF(B296="","",IFERROR(B296/INDEX($B$2:$B$400,MATCH(DATE(YEAR(A296)-1,MONTH(A296),1),$A$2:$A$400,0))-1,""))</f>
        <v/>
      </c>
    </row>
    <row r="297">
      <c r="A297" s="117" t="n"/>
      <c r="B297" s="118" t="n"/>
      <c r="C297" s="115">
        <f>IF(OR(B297="",B296=""),"",B297/B296-1)</f>
        <v/>
      </c>
      <c r="D297" s="115">
        <f>IF(B297="","",IFERROR(B297/INDEX($B$2:$B$400,MATCH(DATE(YEAR(A297)-1,12,1),$A$2:$A$400,0))-1,""))</f>
        <v/>
      </c>
      <c r="E297" s="115">
        <f>IF(B297="","",IFERROR(B297/INDEX($B$2:$B$400,MATCH(DATE(YEAR(A297)-1,MONTH(A297),1),$A$2:$A$400,0))-1,""))</f>
        <v/>
      </c>
    </row>
    <row r="298">
      <c r="A298" s="117" t="n"/>
      <c r="B298" s="118" t="n"/>
      <c r="C298" s="115">
        <f>IF(OR(B298="",B297=""),"",B298/B297-1)</f>
        <v/>
      </c>
      <c r="D298" s="115">
        <f>IF(B298="","",IFERROR(B298/INDEX($B$2:$B$400,MATCH(DATE(YEAR(A298)-1,12,1),$A$2:$A$400,0))-1,""))</f>
        <v/>
      </c>
      <c r="E298" s="115">
        <f>IF(B298="","",IFERROR(B298/INDEX($B$2:$B$400,MATCH(DATE(YEAR(A298)-1,MONTH(A298),1),$A$2:$A$400,0))-1,""))</f>
        <v/>
      </c>
    </row>
    <row r="299">
      <c r="A299" s="117" t="n"/>
      <c r="B299" s="118" t="n"/>
      <c r="C299" s="115">
        <f>IF(OR(B299="",B298=""),"",B299/B298-1)</f>
        <v/>
      </c>
      <c r="D299" s="115">
        <f>IF(B299="","",IFERROR(B299/INDEX($B$2:$B$400,MATCH(DATE(YEAR(A299)-1,12,1),$A$2:$A$400,0))-1,""))</f>
        <v/>
      </c>
      <c r="E299" s="115">
        <f>IF(B299="","",IFERROR(B299/INDEX($B$2:$B$400,MATCH(DATE(YEAR(A299)-1,MONTH(A299),1),$A$2:$A$400,0))-1,""))</f>
        <v/>
      </c>
    </row>
    <row r="300">
      <c r="A300" s="117" t="n"/>
      <c r="B300" s="118" t="n"/>
      <c r="C300" s="115">
        <f>IF(OR(B300="",B299=""),"",B300/B299-1)</f>
        <v/>
      </c>
      <c r="D300" s="115">
        <f>IF(B300="","",IFERROR(B300/INDEX($B$2:$B$400,MATCH(DATE(YEAR(A300)-1,12,1),$A$2:$A$400,0))-1,""))</f>
        <v/>
      </c>
      <c r="E300" s="115">
        <f>IF(B300="","",IFERROR(B300/INDEX($B$2:$B$400,MATCH(DATE(YEAR(A300)-1,MONTH(A300),1),$A$2:$A$400,0))-1,""))</f>
        <v/>
      </c>
    </row>
    <row r="301">
      <c r="A301" s="117" t="n"/>
      <c r="B301" s="118" t="n"/>
      <c r="C301" s="115">
        <f>IF(OR(B301="",B300=""),"",B301/B300-1)</f>
        <v/>
      </c>
      <c r="D301" s="115">
        <f>IF(B301="","",IFERROR(B301/INDEX($B$2:$B$400,MATCH(DATE(YEAR(A301)-1,12,1),$A$2:$A$400,0))-1,""))</f>
        <v/>
      </c>
      <c r="E301" s="115">
        <f>IF(B301="","",IFERROR(B301/INDEX($B$2:$B$400,MATCH(DATE(YEAR(A301)-1,MONTH(A301),1),$A$2:$A$400,0))-1,""))</f>
        <v/>
      </c>
    </row>
    <row r="302">
      <c r="A302" s="117" t="n"/>
      <c r="B302" s="118" t="n"/>
      <c r="C302" s="115">
        <f>IF(OR(B302="",B301=""),"",B302/B301-1)</f>
        <v/>
      </c>
      <c r="D302" s="115">
        <f>IF(B302="","",IFERROR(B302/INDEX($B$2:$B$400,MATCH(DATE(YEAR(A302)-1,12,1),$A$2:$A$400,0))-1,""))</f>
        <v/>
      </c>
      <c r="E302" s="115">
        <f>IF(B302="","",IFERROR(B302/INDEX($B$2:$B$400,MATCH(DATE(YEAR(A302)-1,MONTH(A302),1),$A$2:$A$400,0))-1,""))</f>
        <v/>
      </c>
    </row>
    <row r="303">
      <c r="A303" s="117" t="n"/>
      <c r="B303" s="118" t="n"/>
      <c r="C303" s="115">
        <f>IF(OR(B303="",B302=""),"",B303/B302-1)</f>
        <v/>
      </c>
      <c r="D303" s="115">
        <f>IF(B303="","",IFERROR(B303/INDEX($B$2:$B$400,MATCH(DATE(YEAR(A303)-1,12,1),$A$2:$A$400,0))-1,""))</f>
        <v/>
      </c>
      <c r="E303" s="115">
        <f>IF(B303="","",IFERROR(B303/INDEX($B$2:$B$400,MATCH(DATE(YEAR(A303)-1,MONTH(A303),1),$A$2:$A$400,0))-1,""))</f>
        <v/>
      </c>
    </row>
    <row r="304">
      <c r="A304" s="117" t="n"/>
      <c r="B304" s="118" t="n"/>
      <c r="C304" s="115">
        <f>IF(OR(B304="",B303=""),"",B304/B303-1)</f>
        <v/>
      </c>
      <c r="D304" s="115">
        <f>IF(B304="","",IFERROR(B304/INDEX($B$2:$B$400,MATCH(DATE(YEAR(A304)-1,12,1),$A$2:$A$400,0))-1,""))</f>
        <v/>
      </c>
      <c r="E304" s="115">
        <f>IF(B304="","",IFERROR(B304/INDEX($B$2:$B$400,MATCH(DATE(YEAR(A304)-1,MONTH(A304),1),$A$2:$A$400,0))-1,""))</f>
        <v/>
      </c>
    </row>
    <row r="305">
      <c r="A305" s="117" t="n"/>
      <c r="B305" s="118" t="n"/>
      <c r="C305" s="115">
        <f>IF(OR(B305="",B304=""),"",B305/B304-1)</f>
        <v/>
      </c>
      <c r="D305" s="115">
        <f>IF(B305="","",IFERROR(B305/INDEX($B$2:$B$400,MATCH(DATE(YEAR(A305)-1,12,1),$A$2:$A$400,0))-1,""))</f>
        <v/>
      </c>
      <c r="E305" s="115">
        <f>IF(B305="","",IFERROR(B305/INDEX($B$2:$B$400,MATCH(DATE(YEAR(A305)-1,MONTH(A305),1),$A$2:$A$400,0))-1,""))</f>
        <v/>
      </c>
    </row>
    <row r="306">
      <c r="A306" s="117" t="n"/>
      <c r="B306" s="118" t="n"/>
      <c r="C306" s="115">
        <f>IF(OR(B306="",B305=""),"",B306/B305-1)</f>
        <v/>
      </c>
      <c r="D306" s="115">
        <f>IF(B306="","",IFERROR(B306/INDEX($B$2:$B$400,MATCH(DATE(YEAR(A306)-1,12,1),$A$2:$A$400,0))-1,""))</f>
        <v/>
      </c>
      <c r="E306" s="115">
        <f>IF(B306="","",IFERROR(B306/INDEX($B$2:$B$400,MATCH(DATE(YEAR(A306)-1,MONTH(A306),1),$A$2:$A$400,0))-1,""))</f>
        <v/>
      </c>
    </row>
    <row r="307">
      <c r="A307" s="117" t="n"/>
      <c r="B307" s="118" t="n"/>
      <c r="C307" s="115">
        <f>IF(OR(B307="",B306=""),"",B307/B306-1)</f>
        <v/>
      </c>
      <c r="D307" s="115">
        <f>IF(B307="","",IFERROR(B307/INDEX($B$2:$B$400,MATCH(DATE(YEAR(A307)-1,12,1),$A$2:$A$400,0))-1,""))</f>
        <v/>
      </c>
      <c r="E307" s="115">
        <f>IF(B307="","",IFERROR(B307/INDEX($B$2:$B$400,MATCH(DATE(YEAR(A307)-1,MONTH(A307),1),$A$2:$A$400,0))-1,""))</f>
        <v/>
      </c>
    </row>
    <row r="308">
      <c r="A308" s="117" t="n"/>
      <c r="B308" s="118" t="n"/>
      <c r="C308" s="115">
        <f>IF(OR(B308="",B307=""),"",B308/B307-1)</f>
        <v/>
      </c>
      <c r="D308" s="115">
        <f>IF(B308="","",IFERROR(B308/INDEX($B$2:$B$400,MATCH(DATE(YEAR(A308)-1,12,1),$A$2:$A$400,0))-1,""))</f>
        <v/>
      </c>
      <c r="E308" s="115">
        <f>IF(B308="","",IFERROR(B308/INDEX($B$2:$B$400,MATCH(DATE(YEAR(A308)-1,MONTH(A308),1),$A$2:$A$400,0))-1,""))</f>
        <v/>
      </c>
    </row>
    <row r="309">
      <c r="A309" s="117" t="n"/>
      <c r="B309" s="118" t="n"/>
      <c r="C309" s="115">
        <f>IF(OR(B309="",B308=""),"",B309/B308-1)</f>
        <v/>
      </c>
      <c r="D309" s="115">
        <f>IF(B309="","",IFERROR(B309/INDEX($B$2:$B$400,MATCH(DATE(YEAR(A309)-1,12,1),$A$2:$A$400,0))-1,""))</f>
        <v/>
      </c>
      <c r="E309" s="115">
        <f>IF(B309="","",IFERROR(B309/INDEX($B$2:$B$400,MATCH(DATE(YEAR(A309)-1,MONTH(A309),1),$A$2:$A$400,0))-1,""))</f>
        <v/>
      </c>
    </row>
    <row r="310">
      <c r="A310" s="117" t="n"/>
      <c r="B310" s="118" t="n"/>
      <c r="C310" s="115">
        <f>IF(OR(B310="",B309=""),"",B310/B309-1)</f>
        <v/>
      </c>
      <c r="D310" s="115">
        <f>IF(B310="","",IFERROR(B310/INDEX($B$2:$B$400,MATCH(DATE(YEAR(A310)-1,12,1),$A$2:$A$400,0))-1,""))</f>
        <v/>
      </c>
      <c r="E310" s="115">
        <f>IF(B310="","",IFERROR(B310/INDEX($B$2:$B$400,MATCH(DATE(YEAR(A310)-1,MONTH(A310),1),$A$2:$A$400,0))-1,""))</f>
        <v/>
      </c>
    </row>
    <row r="311">
      <c r="A311" s="117" t="n"/>
      <c r="B311" s="118" t="n"/>
      <c r="C311" s="115">
        <f>IF(OR(B311="",B310=""),"",B311/B310-1)</f>
        <v/>
      </c>
      <c r="D311" s="115">
        <f>IF(B311="","",IFERROR(B311/INDEX($B$2:$B$400,MATCH(DATE(YEAR(A311)-1,12,1),$A$2:$A$400,0))-1,""))</f>
        <v/>
      </c>
      <c r="E311" s="115">
        <f>IF(B311="","",IFERROR(B311/INDEX($B$2:$B$400,MATCH(DATE(YEAR(A311)-1,MONTH(A311),1),$A$2:$A$400,0))-1,""))</f>
        <v/>
      </c>
    </row>
    <row r="312">
      <c r="A312" s="117" t="n"/>
      <c r="B312" s="118" t="n"/>
      <c r="C312" s="115">
        <f>IF(OR(B312="",B311=""),"",B312/B311-1)</f>
        <v/>
      </c>
      <c r="D312" s="115">
        <f>IF(B312="","",IFERROR(B312/INDEX($B$2:$B$400,MATCH(DATE(YEAR(A312)-1,12,1),$A$2:$A$400,0))-1,""))</f>
        <v/>
      </c>
      <c r="E312" s="115">
        <f>IF(B312="","",IFERROR(B312/INDEX($B$2:$B$400,MATCH(DATE(YEAR(A312)-1,MONTH(A312),1),$A$2:$A$400,0))-1,""))</f>
        <v/>
      </c>
    </row>
    <row r="313">
      <c r="A313" s="117" t="n"/>
      <c r="B313" s="118" t="n"/>
      <c r="C313" s="115">
        <f>IF(OR(B313="",B312=""),"",B313/B312-1)</f>
        <v/>
      </c>
      <c r="D313" s="115">
        <f>IF(B313="","",IFERROR(B313/INDEX($B$2:$B$400,MATCH(DATE(YEAR(A313)-1,12,1),$A$2:$A$400,0))-1,""))</f>
        <v/>
      </c>
      <c r="E313" s="115">
        <f>IF(B313="","",IFERROR(B313/INDEX($B$2:$B$400,MATCH(DATE(YEAR(A313)-1,MONTH(A313),1),$A$2:$A$400,0))-1,""))</f>
        <v/>
      </c>
    </row>
    <row r="314">
      <c r="A314" s="117" t="n"/>
      <c r="B314" s="118" t="n"/>
      <c r="C314" s="115">
        <f>IF(OR(B314="",B313=""),"",B314/B313-1)</f>
        <v/>
      </c>
      <c r="D314" s="115">
        <f>IF(B314="","",IFERROR(B314/INDEX($B$2:$B$400,MATCH(DATE(YEAR(A314)-1,12,1),$A$2:$A$400,0))-1,""))</f>
        <v/>
      </c>
      <c r="E314" s="115">
        <f>IF(B314="","",IFERROR(B314/INDEX($B$2:$B$400,MATCH(DATE(YEAR(A314)-1,MONTH(A314),1),$A$2:$A$400,0))-1,""))</f>
        <v/>
      </c>
    </row>
    <row r="315">
      <c r="A315" s="117" t="n"/>
      <c r="B315" s="118" t="n"/>
      <c r="C315" s="115">
        <f>IF(OR(B315="",B314=""),"",B315/B314-1)</f>
        <v/>
      </c>
      <c r="D315" s="115">
        <f>IF(B315="","",IFERROR(B315/INDEX($B$2:$B$400,MATCH(DATE(YEAR(A315)-1,12,1),$A$2:$A$400,0))-1,""))</f>
        <v/>
      </c>
      <c r="E315" s="115">
        <f>IF(B315="","",IFERROR(B315/INDEX($B$2:$B$400,MATCH(DATE(YEAR(A315)-1,MONTH(A315),1),$A$2:$A$400,0))-1,""))</f>
        <v/>
      </c>
    </row>
    <row r="316">
      <c r="A316" s="117" t="n"/>
      <c r="B316" s="118" t="n"/>
      <c r="C316" s="115">
        <f>IF(OR(B316="",B315=""),"",B316/B315-1)</f>
        <v/>
      </c>
      <c r="D316" s="115">
        <f>IF(B316="","",IFERROR(B316/INDEX($B$2:$B$400,MATCH(DATE(YEAR(A316)-1,12,1),$A$2:$A$400,0))-1,""))</f>
        <v/>
      </c>
      <c r="E316" s="115">
        <f>IF(B316="","",IFERROR(B316/INDEX($B$2:$B$400,MATCH(DATE(YEAR(A316)-1,MONTH(A316),1),$A$2:$A$400,0))-1,""))</f>
        <v/>
      </c>
    </row>
    <row r="317">
      <c r="A317" s="117" t="n"/>
      <c r="B317" s="118" t="n"/>
      <c r="C317" s="115">
        <f>IF(OR(B317="",B316=""),"",B317/B316-1)</f>
        <v/>
      </c>
      <c r="D317" s="115">
        <f>IF(B317="","",IFERROR(B317/INDEX($B$2:$B$400,MATCH(DATE(YEAR(A317)-1,12,1),$A$2:$A$400,0))-1,""))</f>
        <v/>
      </c>
      <c r="E317" s="115">
        <f>IF(B317="","",IFERROR(B317/INDEX($B$2:$B$400,MATCH(DATE(YEAR(A317)-1,MONTH(A317),1),$A$2:$A$400,0))-1,""))</f>
        <v/>
      </c>
    </row>
    <row r="318">
      <c r="A318" s="117" t="n"/>
      <c r="B318" s="118" t="n"/>
      <c r="C318" s="115">
        <f>IF(OR(B318="",B317=""),"",B318/B317-1)</f>
        <v/>
      </c>
      <c r="D318" s="115">
        <f>IF(B318="","",IFERROR(B318/INDEX($B$2:$B$400,MATCH(DATE(YEAR(A318)-1,12,1),$A$2:$A$400,0))-1,""))</f>
        <v/>
      </c>
      <c r="E318" s="115">
        <f>IF(B318="","",IFERROR(B318/INDEX($B$2:$B$400,MATCH(DATE(YEAR(A318)-1,MONTH(A318),1),$A$2:$A$400,0))-1,""))</f>
        <v/>
      </c>
    </row>
    <row r="319">
      <c r="A319" s="117" t="n"/>
      <c r="B319" s="118" t="n"/>
      <c r="C319" s="115">
        <f>IF(OR(B319="",B318=""),"",B319/B318-1)</f>
        <v/>
      </c>
      <c r="D319" s="115">
        <f>IF(B319="","",IFERROR(B319/INDEX($B$2:$B$400,MATCH(DATE(YEAR(A319)-1,12,1),$A$2:$A$400,0))-1,""))</f>
        <v/>
      </c>
      <c r="E319" s="115">
        <f>IF(B319="","",IFERROR(B319/INDEX($B$2:$B$400,MATCH(DATE(YEAR(A319)-1,MONTH(A319),1),$A$2:$A$400,0))-1,""))</f>
        <v/>
      </c>
    </row>
    <row r="320">
      <c r="A320" s="117" t="n"/>
      <c r="B320" s="118" t="n"/>
      <c r="C320" s="115">
        <f>IF(OR(B320="",B319=""),"",B320/B319-1)</f>
        <v/>
      </c>
      <c r="D320" s="115">
        <f>IF(B320="","",IFERROR(B320/INDEX($B$2:$B$400,MATCH(DATE(YEAR(A320)-1,12,1),$A$2:$A$400,0))-1,""))</f>
        <v/>
      </c>
      <c r="E320" s="115">
        <f>IF(B320="","",IFERROR(B320/INDEX($B$2:$B$400,MATCH(DATE(YEAR(A320)-1,MONTH(A320),1),$A$2:$A$400,0))-1,""))</f>
        <v/>
      </c>
    </row>
    <row r="321">
      <c r="A321" s="117" t="n"/>
      <c r="B321" s="118" t="n"/>
      <c r="C321" s="115">
        <f>IF(OR(B321="",B320=""),"",B321/B320-1)</f>
        <v/>
      </c>
      <c r="D321" s="115">
        <f>IF(B321="","",IFERROR(B321/INDEX($B$2:$B$400,MATCH(DATE(YEAR(A321)-1,12,1),$A$2:$A$400,0))-1,""))</f>
        <v/>
      </c>
      <c r="E321" s="115">
        <f>IF(B321="","",IFERROR(B321/INDEX($B$2:$B$400,MATCH(DATE(YEAR(A321)-1,MONTH(A321),1),$A$2:$A$400,0))-1,""))</f>
        <v/>
      </c>
    </row>
    <row r="322">
      <c r="A322" s="117" t="n"/>
      <c r="B322" s="118" t="n"/>
      <c r="C322" s="115">
        <f>IF(OR(B322="",B321=""),"",B322/B321-1)</f>
        <v/>
      </c>
      <c r="D322" s="115">
        <f>IF(B322="","",IFERROR(B322/INDEX($B$2:$B$400,MATCH(DATE(YEAR(A322)-1,12,1),$A$2:$A$400,0))-1,""))</f>
        <v/>
      </c>
      <c r="E322" s="115">
        <f>IF(B322="","",IFERROR(B322/INDEX($B$2:$B$400,MATCH(DATE(YEAR(A322)-1,MONTH(A322),1),$A$2:$A$400,0))-1,""))</f>
        <v/>
      </c>
    </row>
    <row r="323">
      <c r="A323" s="117" t="n"/>
      <c r="B323" s="118" t="n"/>
      <c r="C323" s="115">
        <f>IF(OR(B323="",B322=""),"",B323/B322-1)</f>
        <v/>
      </c>
      <c r="D323" s="115">
        <f>IF(B323="","",IFERROR(B323/INDEX($B$2:$B$400,MATCH(DATE(YEAR(A323)-1,12,1),$A$2:$A$400,0))-1,""))</f>
        <v/>
      </c>
      <c r="E323" s="115">
        <f>IF(B323="","",IFERROR(B323/INDEX($B$2:$B$400,MATCH(DATE(YEAR(A323)-1,MONTH(A323),1),$A$2:$A$400,0))-1,""))</f>
        <v/>
      </c>
    </row>
    <row r="324">
      <c r="A324" s="117" t="n"/>
      <c r="B324" s="118" t="n"/>
      <c r="C324" s="115">
        <f>IF(OR(B324="",B323=""),"",B324/B323-1)</f>
        <v/>
      </c>
      <c r="D324" s="115">
        <f>IF(B324="","",IFERROR(B324/INDEX($B$2:$B$400,MATCH(DATE(YEAR(A324)-1,12,1),$A$2:$A$400,0))-1,""))</f>
        <v/>
      </c>
      <c r="E324" s="115">
        <f>IF(B324="","",IFERROR(B324/INDEX($B$2:$B$400,MATCH(DATE(YEAR(A324)-1,MONTH(A324),1),$A$2:$A$400,0))-1,""))</f>
        <v/>
      </c>
    </row>
    <row r="325">
      <c r="A325" s="117" t="n"/>
      <c r="B325" s="118" t="n"/>
      <c r="C325" s="115">
        <f>IF(OR(B325="",B324=""),"",B325/B324-1)</f>
        <v/>
      </c>
      <c r="D325" s="115">
        <f>IF(B325="","",IFERROR(B325/INDEX($B$2:$B$400,MATCH(DATE(YEAR(A325)-1,12,1),$A$2:$A$400,0))-1,""))</f>
        <v/>
      </c>
      <c r="E325" s="115">
        <f>IF(B325="","",IFERROR(B325/INDEX($B$2:$B$400,MATCH(DATE(YEAR(A325)-1,MONTH(A325),1),$A$2:$A$400,0))-1,""))</f>
        <v/>
      </c>
    </row>
    <row r="326">
      <c r="A326" s="117" t="n"/>
      <c r="B326" s="118" t="n"/>
      <c r="C326" s="115">
        <f>IF(OR(B326="",B325=""),"",B326/B325-1)</f>
        <v/>
      </c>
      <c r="D326" s="115">
        <f>IF(B326="","",IFERROR(B326/INDEX($B$2:$B$400,MATCH(DATE(YEAR(A326)-1,12,1),$A$2:$A$400,0))-1,""))</f>
        <v/>
      </c>
      <c r="E326" s="115">
        <f>IF(B326="","",IFERROR(B326/INDEX($B$2:$B$400,MATCH(DATE(YEAR(A326)-1,MONTH(A326),1),$A$2:$A$400,0))-1,""))</f>
        <v/>
      </c>
    </row>
    <row r="327">
      <c r="A327" s="117" t="n"/>
      <c r="B327" s="118" t="n"/>
      <c r="C327" s="115">
        <f>IF(OR(B327="",B326=""),"",B327/B326-1)</f>
        <v/>
      </c>
      <c r="D327" s="115">
        <f>IF(B327="","",IFERROR(B327/INDEX($B$2:$B$400,MATCH(DATE(YEAR(A327)-1,12,1),$A$2:$A$400,0))-1,""))</f>
        <v/>
      </c>
      <c r="E327" s="115">
        <f>IF(B327="","",IFERROR(B327/INDEX($B$2:$B$400,MATCH(DATE(YEAR(A327)-1,MONTH(A327),1),$A$2:$A$400,0))-1,""))</f>
        <v/>
      </c>
    </row>
    <row r="328">
      <c r="A328" s="117" t="n"/>
      <c r="B328" s="118" t="n"/>
      <c r="C328" s="115">
        <f>IF(OR(B328="",B327=""),"",B328/B327-1)</f>
        <v/>
      </c>
      <c r="D328" s="115">
        <f>IF(B328="","",IFERROR(B328/INDEX($B$2:$B$400,MATCH(DATE(YEAR(A328)-1,12,1),$A$2:$A$400,0))-1,""))</f>
        <v/>
      </c>
      <c r="E328" s="115">
        <f>IF(B328="","",IFERROR(B328/INDEX($B$2:$B$400,MATCH(DATE(YEAR(A328)-1,MONTH(A328),1),$A$2:$A$400,0))-1,""))</f>
        <v/>
      </c>
    </row>
    <row r="329">
      <c r="A329" s="117" t="n"/>
      <c r="B329" s="118" t="n"/>
      <c r="C329" s="115">
        <f>IF(OR(B329="",B328=""),"",B329/B328-1)</f>
        <v/>
      </c>
      <c r="D329" s="115">
        <f>IF(B329="","",IFERROR(B329/INDEX($B$2:$B$400,MATCH(DATE(YEAR(A329)-1,12,1),$A$2:$A$400,0))-1,""))</f>
        <v/>
      </c>
      <c r="E329" s="115">
        <f>IF(B329="","",IFERROR(B329/INDEX($B$2:$B$400,MATCH(DATE(YEAR(A329)-1,MONTH(A329),1),$A$2:$A$400,0))-1,""))</f>
        <v/>
      </c>
    </row>
    <row r="330">
      <c r="A330" s="117" t="n"/>
      <c r="B330" s="118" t="n"/>
      <c r="C330" s="115">
        <f>IF(OR(B330="",B329=""),"",B330/B329-1)</f>
        <v/>
      </c>
      <c r="D330" s="115">
        <f>IF(B330="","",IFERROR(B330/INDEX($B$2:$B$400,MATCH(DATE(YEAR(A330)-1,12,1),$A$2:$A$400,0))-1,""))</f>
        <v/>
      </c>
      <c r="E330" s="115">
        <f>IF(B330="","",IFERROR(B330/INDEX($B$2:$B$400,MATCH(DATE(YEAR(A330)-1,MONTH(A330),1),$A$2:$A$400,0))-1,""))</f>
        <v/>
      </c>
    </row>
    <row r="331">
      <c r="A331" s="117" t="n"/>
      <c r="B331" s="118" t="n"/>
      <c r="C331" s="115">
        <f>IF(OR(B331="",B330=""),"",B331/B330-1)</f>
        <v/>
      </c>
      <c r="D331" s="115">
        <f>IF(B331="","",IFERROR(B331/INDEX($B$2:$B$400,MATCH(DATE(YEAR(A331)-1,12,1),$A$2:$A$400,0))-1,""))</f>
        <v/>
      </c>
      <c r="E331" s="115">
        <f>IF(B331="","",IFERROR(B331/INDEX($B$2:$B$400,MATCH(DATE(YEAR(A331)-1,MONTH(A331),1),$A$2:$A$400,0))-1,""))</f>
        <v/>
      </c>
    </row>
    <row r="332">
      <c r="A332" s="117" t="n"/>
      <c r="B332" s="118" t="n"/>
      <c r="C332" s="115">
        <f>IF(OR(B332="",B331=""),"",B332/B331-1)</f>
        <v/>
      </c>
      <c r="D332" s="115">
        <f>IF(B332="","",IFERROR(B332/INDEX($B$2:$B$400,MATCH(DATE(YEAR(A332)-1,12,1),$A$2:$A$400,0))-1,""))</f>
        <v/>
      </c>
      <c r="E332" s="115">
        <f>IF(B332="","",IFERROR(B332/INDEX($B$2:$B$400,MATCH(DATE(YEAR(A332)-1,MONTH(A332),1),$A$2:$A$400,0))-1,""))</f>
        <v/>
      </c>
    </row>
    <row r="333">
      <c r="A333" s="117" t="n"/>
      <c r="B333" s="118" t="n"/>
      <c r="C333" s="115">
        <f>IF(OR(B333="",B332=""),"",B333/B332-1)</f>
        <v/>
      </c>
      <c r="D333" s="115">
        <f>IF(B333="","",IFERROR(B333/INDEX($B$2:$B$400,MATCH(DATE(YEAR(A333)-1,12,1),$A$2:$A$400,0))-1,""))</f>
        <v/>
      </c>
      <c r="E333" s="115">
        <f>IF(B333="","",IFERROR(B333/INDEX($B$2:$B$400,MATCH(DATE(YEAR(A333)-1,MONTH(A333),1),$A$2:$A$400,0))-1,""))</f>
        <v/>
      </c>
    </row>
    <row r="334">
      <c r="A334" s="117" t="n"/>
      <c r="B334" s="118" t="n"/>
      <c r="C334" s="115">
        <f>IF(OR(B334="",B333=""),"",B334/B333-1)</f>
        <v/>
      </c>
      <c r="D334" s="115">
        <f>IF(B334="","",IFERROR(B334/INDEX($B$2:$B$400,MATCH(DATE(YEAR(A334)-1,12,1),$A$2:$A$400,0))-1,""))</f>
        <v/>
      </c>
      <c r="E334" s="115">
        <f>IF(B334="","",IFERROR(B334/INDEX($B$2:$B$400,MATCH(DATE(YEAR(A334)-1,MONTH(A334),1),$A$2:$A$400,0))-1,""))</f>
        <v/>
      </c>
    </row>
    <row r="335">
      <c r="A335" s="117" t="n"/>
      <c r="B335" s="118" t="n"/>
      <c r="C335" s="115">
        <f>IF(OR(B335="",B334=""),"",B335/B334-1)</f>
        <v/>
      </c>
      <c r="D335" s="115">
        <f>IF(B335="","",IFERROR(B335/INDEX($B$2:$B$400,MATCH(DATE(YEAR(A335)-1,12,1),$A$2:$A$400,0))-1,""))</f>
        <v/>
      </c>
      <c r="E335" s="115">
        <f>IF(B335="","",IFERROR(B335/INDEX($B$2:$B$400,MATCH(DATE(YEAR(A335)-1,MONTH(A335),1),$A$2:$A$400,0))-1,""))</f>
        <v/>
      </c>
    </row>
    <row r="336">
      <c r="A336" s="117" t="n"/>
      <c r="B336" s="118" t="n"/>
      <c r="C336" s="115">
        <f>IF(OR(B336="",B335=""),"",B336/B335-1)</f>
        <v/>
      </c>
      <c r="D336" s="115">
        <f>IF(B336="","",IFERROR(B336/INDEX($B$2:$B$400,MATCH(DATE(YEAR(A336)-1,12,1),$A$2:$A$400,0))-1,""))</f>
        <v/>
      </c>
      <c r="E336" s="115">
        <f>IF(B336="","",IFERROR(B336/INDEX($B$2:$B$400,MATCH(DATE(YEAR(A336)-1,MONTH(A336),1),$A$2:$A$400,0))-1,""))</f>
        <v/>
      </c>
    </row>
    <row r="337">
      <c r="A337" s="117" t="n"/>
      <c r="B337" s="118" t="n"/>
      <c r="C337" s="115">
        <f>IF(OR(B337="",B336=""),"",B337/B336-1)</f>
        <v/>
      </c>
      <c r="D337" s="115">
        <f>IF(B337="","",IFERROR(B337/INDEX($B$2:$B$400,MATCH(DATE(YEAR(A337)-1,12,1),$A$2:$A$400,0))-1,""))</f>
        <v/>
      </c>
      <c r="E337" s="115">
        <f>IF(B337="","",IFERROR(B337/INDEX($B$2:$B$400,MATCH(DATE(YEAR(A337)-1,MONTH(A337),1),$A$2:$A$400,0))-1,""))</f>
        <v/>
      </c>
    </row>
    <row r="338">
      <c r="A338" s="117" t="n"/>
      <c r="B338" s="118" t="n"/>
      <c r="C338" s="115">
        <f>IF(OR(B338="",B337=""),"",B338/B337-1)</f>
        <v/>
      </c>
      <c r="D338" s="115">
        <f>IF(B338="","",IFERROR(B338/INDEX($B$2:$B$400,MATCH(DATE(YEAR(A338)-1,12,1),$A$2:$A$400,0))-1,""))</f>
        <v/>
      </c>
      <c r="E338" s="115">
        <f>IF(B338="","",IFERROR(B338/INDEX($B$2:$B$400,MATCH(DATE(YEAR(A338)-1,MONTH(A338),1),$A$2:$A$400,0))-1,""))</f>
        <v/>
      </c>
    </row>
    <row r="339">
      <c r="A339" s="117" t="n"/>
      <c r="B339" s="118" t="n"/>
      <c r="C339" s="115">
        <f>IF(OR(B339="",B338=""),"",B339/B338-1)</f>
        <v/>
      </c>
      <c r="D339" s="115">
        <f>IF(B339="","",IFERROR(B339/INDEX($B$2:$B$400,MATCH(DATE(YEAR(A339)-1,12,1),$A$2:$A$400,0))-1,""))</f>
        <v/>
      </c>
      <c r="E339" s="115">
        <f>IF(B339="","",IFERROR(B339/INDEX($B$2:$B$400,MATCH(DATE(YEAR(A339)-1,MONTH(A339),1),$A$2:$A$400,0))-1,""))</f>
        <v/>
      </c>
    </row>
    <row r="340">
      <c r="A340" s="117" t="n"/>
      <c r="B340" s="118" t="n"/>
      <c r="C340" s="115">
        <f>IF(OR(B340="",B339=""),"",B340/B339-1)</f>
        <v/>
      </c>
      <c r="D340" s="115">
        <f>IF(B340="","",IFERROR(B340/INDEX($B$2:$B$400,MATCH(DATE(YEAR(A340)-1,12,1),$A$2:$A$400,0))-1,""))</f>
        <v/>
      </c>
      <c r="E340" s="115">
        <f>IF(B340="","",IFERROR(B340/INDEX($B$2:$B$400,MATCH(DATE(YEAR(A340)-1,MONTH(A340),1),$A$2:$A$400,0))-1,""))</f>
        <v/>
      </c>
    </row>
    <row r="341">
      <c r="A341" s="117" t="n"/>
      <c r="B341" s="118" t="n"/>
      <c r="C341" s="115">
        <f>IF(OR(B341="",B340=""),"",B341/B340-1)</f>
        <v/>
      </c>
      <c r="D341" s="115">
        <f>IF(B341="","",IFERROR(B341/INDEX($B$2:$B$400,MATCH(DATE(YEAR(A341)-1,12,1),$A$2:$A$400,0))-1,""))</f>
        <v/>
      </c>
      <c r="E341" s="115">
        <f>IF(B341="","",IFERROR(B341/INDEX($B$2:$B$400,MATCH(DATE(YEAR(A341)-1,MONTH(A341),1),$A$2:$A$400,0))-1,""))</f>
        <v/>
      </c>
    </row>
    <row r="342">
      <c r="A342" s="117" t="n"/>
      <c r="B342" s="118" t="n"/>
      <c r="C342" s="115">
        <f>IF(OR(B342="",B341=""),"",B342/B341-1)</f>
        <v/>
      </c>
      <c r="D342" s="115">
        <f>IF(B342="","",IFERROR(B342/INDEX($B$2:$B$400,MATCH(DATE(YEAR(A342)-1,12,1),$A$2:$A$400,0))-1,""))</f>
        <v/>
      </c>
      <c r="E342" s="115">
        <f>IF(B342="","",IFERROR(B342/INDEX($B$2:$B$400,MATCH(DATE(YEAR(A342)-1,MONTH(A342),1),$A$2:$A$400,0))-1,""))</f>
        <v/>
      </c>
    </row>
    <row r="343">
      <c r="A343" s="117" t="n"/>
      <c r="B343" s="118" t="n"/>
      <c r="C343" s="115">
        <f>IF(OR(B343="",B342=""),"",B343/B342-1)</f>
        <v/>
      </c>
      <c r="D343" s="115">
        <f>IF(B343="","",IFERROR(B343/INDEX($B$2:$B$400,MATCH(DATE(YEAR(A343)-1,12,1),$A$2:$A$400,0))-1,""))</f>
        <v/>
      </c>
      <c r="E343" s="115">
        <f>IF(B343="","",IFERROR(B343/INDEX($B$2:$B$400,MATCH(DATE(YEAR(A343)-1,MONTH(A343),1),$A$2:$A$400,0))-1,""))</f>
        <v/>
      </c>
    </row>
    <row r="344">
      <c r="A344" s="117" t="n"/>
      <c r="B344" s="118" t="n"/>
      <c r="C344" s="115">
        <f>IF(OR(B344="",B343=""),"",B344/B343-1)</f>
        <v/>
      </c>
      <c r="D344" s="115">
        <f>IF(B344="","",IFERROR(B344/INDEX($B$2:$B$400,MATCH(DATE(YEAR(A344)-1,12,1),$A$2:$A$400,0))-1,""))</f>
        <v/>
      </c>
      <c r="E344" s="115">
        <f>IF(B344="","",IFERROR(B344/INDEX($B$2:$B$400,MATCH(DATE(YEAR(A344)-1,MONTH(A344),1),$A$2:$A$400,0))-1,""))</f>
        <v/>
      </c>
    </row>
    <row r="345">
      <c r="A345" s="117" t="n"/>
      <c r="B345" s="118" t="n"/>
      <c r="C345" s="115">
        <f>IF(OR(B345="",B344=""),"",B345/B344-1)</f>
        <v/>
      </c>
      <c r="D345" s="115">
        <f>IF(B345="","",IFERROR(B345/INDEX($B$2:$B$400,MATCH(DATE(YEAR(A345)-1,12,1),$A$2:$A$400,0))-1,""))</f>
        <v/>
      </c>
      <c r="E345" s="115">
        <f>IF(B345="","",IFERROR(B345/INDEX($B$2:$B$400,MATCH(DATE(YEAR(A345)-1,MONTH(A345),1),$A$2:$A$400,0))-1,""))</f>
        <v/>
      </c>
    </row>
    <row r="346">
      <c r="A346" s="117" t="n"/>
      <c r="B346" s="118" t="n"/>
      <c r="C346" s="115">
        <f>IF(OR(B346="",B345=""),"",B346/B345-1)</f>
        <v/>
      </c>
      <c r="D346" s="115">
        <f>IF(B346="","",IFERROR(B346/INDEX($B$2:$B$400,MATCH(DATE(YEAR(A346)-1,12,1),$A$2:$A$400,0))-1,""))</f>
        <v/>
      </c>
      <c r="E346" s="115">
        <f>IF(B346="","",IFERROR(B346/INDEX($B$2:$B$400,MATCH(DATE(YEAR(A346)-1,MONTH(A346),1),$A$2:$A$400,0))-1,""))</f>
        <v/>
      </c>
    </row>
    <row r="347">
      <c r="A347" s="117" t="n"/>
      <c r="B347" s="118" t="n"/>
      <c r="C347" s="115">
        <f>IF(OR(B347="",B346=""),"",B347/B346-1)</f>
        <v/>
      </c>
      <c r="D347" s="115">
        <f>IF(B347="","",IFERROR(B347/INDEX($B$2:$B$400,MATCH(DATE(YEAR(A347)-1,12,1),$A$2:$A$400,0))-1,""))</f>
        <v/>
      </c>
      <c r="E347" s="115">
        <f>IF(B347="","",IFERROR(B347/INDEX($B$2:$B$400,MATCH(DATE(YEAR(A347)-1,MONTH(A347),1),$A$2:$A$400,0))-1,""))</f>
        <v/>
      </c>
    </row>
    <row r="348">
      <c r="A348" s="117" t="n"/>
      <c r="B348" s="118" t="n"/>
      <c r="C348" s="115">
        <f>IF(OR(B348="",B347=""),"",B348/B347-1)</f>
        <v/>
      </c>
      <c r="D348" s="115">
        <f>IF(B348="","",IFERROR(B348/INDEX($B$2:$B$400,MATCH(DATE(YEAR(A348)-1,12,1),$A$2:$A$400,0))-1,""))</f>
        <v/>
      </c>
      <c r="E348" s="115">
        <f>IF(B348="","",IFERROR(B348/INDEX($B$2:$B$400,MATCH(DATE(YEAR(A348)-1,MONTH(A348),1),$A$2:$A$400,0))-1,""))</f>
        <v/>
      </c>
    </row>
    <row r="349">
      <c r="A349" s="117" t="n"/>
      <c r="B349" s="118" t="n"/>
      <c r="C349" s="115">
        <f>IF(OR(B349="",B348=""),"",B349/B348-1)</f>
        <v/>
      </c>
      <c r="D349" s="115">
        <f>IF(B349="","",IFERROR(B349/INDEX($B$2:$B$400,MATCH(DATE(YEAR(A349)-1,12,1),$A$2:$A$400,0))-1,""))</f>
        <v/>
      </c>
      <c r="E349" s="115">
        <f>IF(B349="","",IFERROR(B349/INDEX($B$2:$B$400,MATCH(DATE(YEAR(A349)-1,MONTH(A349),1),$A$2:$A$400,0))-1,""))</f>
        <v/>
      </c>
    </row>
    <row r="350">
      <c r="A350" s="117" t="n"/>
      <c r="B350" s="118" t="n"/>
      <c r="C350" s="115">
        <f>IF(OR(B350="",B349=""),"",B350/B349-1)</f>
        <v/>
      </c>
      <c r="D350" s="115">
        <f>IF(B350="","",IFERROR(B350/INDEX($B$2:$B$400,MATCH(DATE(YEAR(A350)-1,12,1),$A$2:$A$400,0))-1,""))</f>
        <v/>
      </c>
      <c r="E350" s="115">
        <f>IF(B350="","",IFERROR(B350/INDEX($B$2:$B$400,MATCH(DATE(YEAR(A350)-1,MONTH(A350),1),$A$2:$A$400,0))-1,""))</f>
        <v/>
      </c>
    </row>
    <row r="351">
      <c r="A351" s="117" t="n"/>
      <c r="B351" s="118" t="n"/>
      <c r="C351" s="115">
        <f>IF(OR(B351="",B350=""),"",B351/B350-1)</f>
        <v/>
      </c>
      <c r="D351" s="115">
        <f>IF(B351="","",IFERROR(B351/INDEX($B$2:$B$400,MATCH(DATE(YEAR(A351)-1,12,1),$A$2:$A$400,0))-1,""))</f>
        <v/>
      </c>
      <c r="E351" s="115">
        <f>IF(B351="","",IFERROR(B351/INDEX($B$2:$B$400,MATCH(DATE(YEAR(A351)-1,MONTH(A351),1),$A$2:$A$400,0))-1,""))</f>
        <v/>
      </c>
    </row>
    <row r="352">
      <c r="A352" s="117" t="n"/>
      <c r="B352" s="118" t="n"/>
      <c r="C352" s="115">
        <f>IF(OR(B352="",B351=""),"",B352/B351-1)</f>
        <v/>
      </c>
      <c r="D352" s="115">
        <f>IF(B352="","",IFERROR(B352/INDEX($B$2:$B$400,MATCH(DATE(YEAR(A352)-1,12,1),$A$2:$A$400,0))-1,""))</f>
        <v/>
      </c>
      <c r="E352" s="115">
        <f>IF(B352="","",IFERROR(B352/INDEX($B$2:$B$400,MATCH(DATE(YEAR(A352)-1,MONTH(A352),1),$A$2:$A$400,0))-1,""))</f>
        <v/>
      </c>
    </row>
    <row r="353">
      <c r="A353" s="117" t="n"/>
      <c r="B353" s="118" t="n"/>
      <c r="C353" s="115">
        <f>IF(OR(B353="",B352=""),"",B353/B352-1)</f>
        <v/>
      </c>
      <c r="D353" s="115">
        <f>IF(B353="","",IFERROR(B353/INDEX($B$2:$B$400,MATCH(DATE(YEAR(A353)-1,12,1),$A$2:$A$400,0))-1,""))</f>
        <v/>
      </c>
      <c r="E353" s="115">
        <f>IF(B353="","",IFERROR(B353/INDEX($B$2:$B$400,MATCH(DATE(YEAR(A353)-1,MONTH(A353),1),$A$2:$A$400,0))-1,""))</f>
        <v/>
      </c>
    </row>
    <row r="354">
      <c r="A354" s="117" t="n"/>
      <c r="B354" s="118" t="n"/>
      <c r="C354" s="115">
        <f>IF(OR(B354="",B353=""),"",B354/B353-1)</f>
        <v/>
      </c>
      <c r="D354" s="115">
        <f>IF(B354="","",IFERROR(B354/INDEX($B$2:$B$400,MATCH(DATE(YEAR(A354)-1,12,1),$A$2:$A$400,0))-1,""))</f>
        <v/>
      </c>
      <c r="E354" s="115">
        <f>IF(B354="","",IFERROR(B354/INDEX($B$2:$B$400,MATCH(DATE(YEAR(A354)-1,MONTH(A354),1),$A$2:$A$400,0))-1,""))</f>
        <v/>
      </c>
    </row>
    <row r="355">
      <c r="A355" s="117" t="n"/>
      <c r="B355" s="118" t="n"/>
      <c r="C355" s="115">
        <f>IF(OR(B355="",B354=""),"",B355/B354-1)</f>
        <v/>
      </c>
      <c r="D355" s="115">
        <f>IF(B355="","",IFERROR(B355/INDEX($B$2:$B$400,MATCH(DATE(YEAR(A355)-1,12,1),$A$2:$A$400,0))-1,""))</f>
        <v/>
      </c>
      <c r="E355" s="115">
        <f>IF(B355="","",IFERROR(B355/INDEX($B$2:$B$400,MATCH(DATE(YEAR(A355)-1,MONTH(A355),1),$A$2:$A$400,0))-1,""))</f>
        <v/>
      </c>
    </row>
    <row r="356">
      <c r="A356" s="117" t="n"/>
      <c r="B356" s="118" t="n"/>
      <c r="C356" s="115">
        <f>IF(OR(B356="",B355=""),"",B356/B355-1)</f>
        <v/>
      </c>
      <c r="D356" s="115">
        <f>IF(B356="","",IFERROR(B356/INDEX($B$2:$B$400,MATCH(DATE(YEAR(A356)-1,12,1),$A$2:$A$400,0))-1,""))</f>
        <v/>
      </c>
      <c r="E356" s="115">
        <f>IF(B356="","",IFERROR(B356/INDEX($B$2:$B$400,MATCH(DATE(YEAR(A356)-1,MONTH(A356),1),$A$2:$A$400,0))-1,""))</f>
        <v/>
      </c>
    </row>
    <row r="357">
      <c r="A357" s="117" t="n"/>
      <c r="B357" s="118" t="n"/>
      <c r="C357" s="115">
        <f>IF(OR(B357="",B356=""),"",B357/B356-1)</f>
        <v/>
      </c>
      <c r="D357" s="115">
        <f>IF(B357="","",IFERROR(B357/INDEX($B$2:$B$400,MATCH(DATE(YEAR(A357)-1,12,1),$A$2:$A$400,0))-1,""))</f>
        <v/>
      </c>
      <c r="E357" s="115">
        <f>IF(B357="","",IFERROR(B357/INDEX($B$2:$B$400,MATCH(DATE(YEAR(A357)-1,MONTH(A357),1),$A$2:$A$400,0))-1,""))</f>
        <v/>
      </c>
    </row>
    <row r="358">
      <c r="A358" s="117" t="n"/>
      <c r="B358" s="118" t="n"/>
      <c r="C358" s="115">
        <f>IF(OR(B358="",B357=""),"",B358/B357-1)</f>
        <v/>
      </c>
      <c r="D358" s="115">
        <f>IF(B358="","",IFERROR(B358/INDEX($B$2:$B$400,MATCH(DATE(YEAR(A358)-1,12,1),$A$2:$A$400,0))-1,""))</f>
        <v/>
      </c>
      <c r="E358" s="115">
        <f>IF(B358="","",IFERROR(B358/INDEX($B$2:$B$400,MATCH(DATE(YEAR(A358)-1,MONTH(A358),1),$A$2:$A$400,0))-1,""))</f>
        <v/>
      </c>
    </row>
    <row r="359">
      <c r="A359" s="117" t="n"/>
      <c r="B359" s="118" t="n"/>
      <c r="C359" s="115">
        <f>IF(OR(B359="",B358=""),"",B359/B358-1)</f>
        <v/>
      </c>
      <c r="D359" s="115">
        <f>IF(B359="","",IFERROR(B359/INDEX($B$2:$B$400,MATCH(DATE(YEAR(A359)-1,12,1),$A$2:$A$400,0))-1,""))</f>
        <v/>
      </c>
      <c r="E359" s="115">
        <f>IF(B359="","",IFERROR(B359/INDEX($B$2:$B$400,MATCH(DATE(YEAR(A359)-1,MONTH(A359),1),$A$2:$A$400,0))-1,""))</f>
        <v/>
      </c>
    </row>
    <row r="360">
      <c r="A360" s="117" t="n"/>
      <c r="B360" s="118" t="n"/>
      <c r="C360" s="115">
        <f>IF(OR(B360="",B359=""),"",B360/B359-1)</f>
        <v/>
      </c>
      <c r="D360" s="115">
        <f>IF(B360="","",IFERROR(B360/INDEX($B$2:$B$400,MATCH(DATE(YEAR(A360)-1,12,1),$A$2:$A$400,0))-1,""))</f>
        <v/>
      </c>
      <c r="E360" s="115">
        <f>IF(B360="","",IFERROR(B360/INDEX($B$2:$B$400,MATCH(DATE(YEAR(A360)-1,MONTH(A360),1),$A$2:$A$400,0))-1,""))</f>
        <v/>
      </c>
    </row>
    <row r="361">
      <c r="A361" s="117" t="n"/>
      <c r="B361" s="118" t="n"/>
      <c r="C361" s="115">
        <f>IF(OR(B361="",B360=""),"",B361/B360-1)</f>
        <v/>
      </c>
      <c r="D361" s="115">
        <f>IF(B361="","",IFERROR(B361/INDEX($B$2:$B$400,MATCH(DATE(YEAR(A361)-1,12,1),$A$2:$A$400,0))-1,""))</f>
        <v/>
      </c>
      <c r="E361" s="115">
        <f>IF(B361="","",IFERROR(B361/INDEX($B$2:$B$400,MATCH(DATE(YEAR(A361)-1,MONTH(A361),1),$A$2:$A$400,0))-1,""))</f>
        <v/>
      </c>
    </row>
    <row r="362">
      <c r="A362" s="117" t="n"/>
      <c r="B362" s="118" t="n"/>
      <c r="C362" s="115">
        <f>IF(OR(B362="",B361=""),"",B362/B361-1)</f>
        <v/>
      </c>
      <c r="D362" s="115">
        <f>IF(B362="","",IFERROR(B362/INDEX($B$2:$B$400,MATCH(DATE(YEAR(A362)-1,12,1),$A$2:$A$400,0))-1,""))</f>
        <v/>
      </c>
      <c r="E362" s="115">
        <f>IF(B362="","",IFERROR(B362/INDEX($B$2:$B$400,MATCH(DATE(YEAR(A362)-1,MONTH(A362),1),$A$2:$A$400,0))-1,""))</f>
        <v/>
      </c>
    </row>
    <row r="363">
      <c r="A363" s="117" t="n"/>
      <c r="B363" s="118" t="n"/>
      <c r="C363" s="115">
        <f>IF(OR(B363="",B362=""),"",B363/B362-1)</f>
        <v/>
      </c>
      <c r="D363" s="115">
        <f>IF(B363="","",IFERROR(B363/INDEX($B$2:$B$400,MATCH(DATE(YEAR(A363)-1,12,1),$A$2:$A$400,0))-1,""))</f>
        <v/>
      </c>
      <c r="E363" s="115">
        <f>IF(B363="","",IFERROR(B363/INDEX($B$2:$B$400,MATCH(DATE(YEAR(A363)-1,MONTH(A363),1),$A$2:$A$400,0))-1,""))</f>
        <v/>
      </c>
    </row>
    <row r="364">
      <c r="A364" s="117" t="n"/>
      <c r="B364" s="118" t="n"/>
      <c r="C364" s="115">
        <f>IF(OR(B364="",B363=""),"",B364/B363-1)</f>
        <v/>
      </c>
      <c r="D364" s="115">
        <f>IF(B364="","",IFERROR(B364/INDEX($B$2:$B$400,MATCH(DATE(YEAR(A364)-1,12,1),$A$2:$A$400,0))-1,""))</f>
        <v/>
      </c>
      <c r="E364" s="115">
        <f>IF(B364="","",IFERROR(B364/INDEX($B$2:$B$400,MATCH(DATE(YEAR(A364)-1,MONTH(A364),1),$A$2:$A$400,0))-1,""))</f>
        <v/>
      </c>
    </row>
    <row r="365">
      <c r="A365" s="117" t="n"/>
      <c r="B365" s="118" t="n"/>
      <c r="C365" s="115">
        <f>IF(OR(B365="",B364=""),"",B365/B364-1)</f>
        <v/>
      </c>
      <c r="D365" s="115">
        <f>IF(B365="","",IFERROR(B365/INDEX($B$2:$B$400,MATCH(DATE(YEAR(A365)-1,12,1),$A$2:$A$400,0))-1,""))</f>
        <v/>
      </c>
      <c r="E365" s="115">
        <f>IF(B365="","",IFERROR(B365/INDEX($B$2:$B$400,MATCH(DATE(YEAR(A365)-1,MONTH(A365),1),$A$2:$A$400,0))-1,""))</f>
        <v/>
      </c>
    </row>
    <row r="366">
      <c r="A366" s="117" t="n"/>
      <c r="B366" s="118" t="n"/>
      <c r="C366" s="115">
        <f>IF(OR(B366="",B365=""),"",B366/B365-1)</f>
        <v/>
      </c>
      <c r="D366" s="115">
        <f>IF(B366="","",IFERROR(B366/INDEX($B$2:$B$400,MATCH(DATE(YEAR(A366)-1,12,1),$A$2:$A$400,0))-1,""))</f>
        <v/>
      </c>
      <c r="E366" s="115">
        <f>IF(B366="","",IFERROR(B366/INDEX($B$2:$B$400,MATCH(DATE(YEAR(A366)-1,MONTH(A366),1),$A$2:$A$400,0))-1,""))</f>
        <v/>
      </c>
    </row>
    <row r="367">
      <c r="A367" s="117" t="n"/>
      <c r="B367" s="118" t="n"/>
      <c r="C367" s="115">
        <f>IF(OR(B367="",B366=""),"",B367/B366-1)</f>
        <v/>
      </c>
      <c r="D367" s="115">
        <f>IF(B367="","",IFERROR(B367/INDEX($B$2:$B$400,MATCH(DATE(YEAR(A367)-1,12,1),$A$2:$A$400,0))-1,""))</f>
        <v/>
      </c>
      <c r="E367" s="115">
        <f>IF(B367="","",IFERROR(B367/INDEX($B$2:$B$400,MATCH(DATE(YEAR(A367)-1,MONTH(A367),1),$A$2:$A$400,0))-1,""))</f>
        <v/>
      </c>
    </row>
    <row r="368">
      <c r="A368" s="117" t="n"/>
      <c r="B368" s="118" t="n"/>
      <c r="C368" s="115">
        <f>IF(OR(B368="",B367=""),"",B368/B367-1)</f>
        <v/>
      </c>
      <c r="D368" s="115">
        <f>IF(B368="","",IFERROR(B368/INDEX($B$2:$B$400,MATCH(DATE(YEAR(A368)-1,12,1),$A$2:$A$400,0))-1,""))</f>
        <v/>
      </c>
      <c r="E368" s="115">
        <f>IF(B368="","",IFERROR(B368/INDEX($B$2:$B$400,MATCH(DATE(YEAR(A368)-1,MONTH(A368),1),$A$2:$A$400,0))-1,""))</f>
        <v/>
      </c>
    </row>
    <row r="369">
      <c r="A369" s="117" t="n"/>
      <c r="B369" s="118" t="n"/>
      <c r="C369" s="115">
        <f>IF(OR(B369="",B368=""),"",B369/B368-1)</f>
        <v/>
      </c>
      <c r="D369" s="115">
        <f>IF(B369="","",IFERROR(B369/INDEX($B$2:$B$400,MATCH(DATE(YEAR(A369)-1,12,1),$A$2:$A$400,0))-1,""))</f>
        <v/>
      </c>
      <c r="E369" s="115">
        <f>IF(B369="","",IFERROR(B369/INDEX($B$2:$B$400,MATCH(DATE(YEAR(A369)-1,MONTH(A369),1),$A$2:$A$400,0))-1,""))</f>
        <v/>
      </c>
    </row>
    <row r="370">
      <c r="A370" s="117" t="n"/>
      <c r="B370" s="118" t="n"/>
      <c r="C370" s="115">
        <f>IF(OR(B370="",B369=""),"",B370/B369-1)</f>
        <v/>
      </c>
      <c r="D370" s="115">
        <f>IF(B370="","",IFERROR(B370/INDEX($B$2:$B$400,MATCH(DATE(YEAR(A370)-1,12,1),$A$2:$A$400,0))-1,""))</f>
        <v/>
      </c>
      <c r="E370" s="115">
        <f>IF(B370="","",IFERROR(B370/INDEX($B$2:$B$400,MATCH(DATE(YEAR(A370)-1,MONTH(A370),1),$A$2:$A$400,0))-1,""))</f>
        <v/>
      </c>
    </row>
    <row r="371">
      <c r="A371" s="117" t="n"/>
      <c r="B371" s="118" t="n"/>
      <c r="C371" s="115">
        <f>IF(OR(B371="",B370=""),"",B371/B370-1)</f>
        <v/>
      </c>
      <c r="D371" s="115">
        <f>IF(B371="","",IFERROR(B371/INDEX($B$2:$B$400,MATCH(DATE(YEAR(A371)-1,12,1),$A$2:$A$400,0))-1,""))</f>
        <v/>
      </c>
      <c r="E371" s="115">
        <f>IF(B371="","",IFERROR(B371/INDEX($B$2:$B$400,MATCH(DATE(YEAR(A371)-1,MONTH(A371),1),$A$2:$A$400,0))-1,""))</f>
        <v/>
      </c>
    </row>
    <row r="372">
      <c r="A372" s="117" t="n"/>
      <c r="B372" s="118" t="n"/>
      <c r="C372" s="115">
        <f>IF(OR(B372="",B371=""),"",B372/B371-1)</f>
        <v/>
      </c>
      <c r="D372" s="115">
        <f>IF(B372="","",IFERROR(B372/INDEX($B$2:$B$400,MATCH(DATE(YEAR(A372)-1,12,1),$A$2:$A$400,0))-1,""))</f>
        <v/>
      </c>
      <c r="E372" s="115">
        <f>IF(B372="","",IFERROR(B372/INDEX($B$2:$B$400,MATCH(DATE(YEAR(A372)-1,MONTH(A372),1),$A$2:$A$400,0))-1,""))</f>
        <v/>
      </c>
    </row>
    <row r="373">
      <c r="A373" s="117" t="n"/>
      <c r="B373" s="118" t="n"/>
      <c r="C373" s="115">
        <f>IF(OR(B373="",B372=""),"",B373/B372-1)</f>
        <v/>
      </c>
      <c r="D373" s="115">
        <f>IF(B373="","",IFERROR(B373/INDEX($B$2:$B$400,MATCH(DATE(YEAR(A373)-1,12,1),$A$2:$A$400,0))-1,""))</f>
        <v/>
      </c>
      <c r="E373" s="115">
        <f>IF(B373="","",IFERROR(B373/INDEX($B$2:$B$400,MATCH(DATE(YEAR(A373)-1,MONTH(A373),1),$A$2:$A$400,0))-1,""))</f>
        <v/>
      </c>
    </row>
    <row r="374">
      <c r="A374" s="117" t="n"/>
      <c r="B374" s="118" t="n"/>
      <c r="C374" s="115">
        <f>IF(OR(B374="",B373=""),"",B374/B373-1)</f>
        <v/>
      </c>
      <c r="D374" s="115">
        <f>IF(B374="","",IFERROR(B374/INDEX($B$2:$B$400,MATCH(DATE(YEAR(A374)-1,12,1),$A$2:$A$400,0))-1,""))</f>
        <v/>
      </c>
      <c r="E374" s="115">
        <f>IF(B374="","",IFERROR(B374/INDEX($B$2:$B$400,MATCH(DATE(YEAR(A374)-1,MONTH(A374),1),$A$2:$A$400,0))-1,""))</f>
        <v/>
      </c>
    </row>
    <row r="375">
      <c r="A375" s="117" t="n"/>
      <c r="B375" s="118" t="n"/>
      <c r="C375" s="115">
        <f>IF(OR(B375="",B374=""),"",B375/B374-1)</f>
        <v/>
      </c>
      <c r="D375" s="115">
        <f>IF(B375="","",IFERROR(B375/INDEX($B$2:$B$400,MATCH(DATE(YEAR(A375)-1,12,1),$A$2:$A$400,0))-1,""))</f>
        <v/>
      </c>
      <c r="E375" s="115">
        <f>IF(B375="","",IFERROR(B375/INDEX($B$2:$B$400,MATCH(DATE(YEAR(A375)-1,MONTH(A375),1),$A$2:$A$400,0))-1,""))</f>
        <v/>
      </c>
    </row>
    <row r="376">
      <c r="A376" s="117" t="n"/>
      <c r="B376" s="118" t="n"/>
      <c r="C376" s="115">
        <f>IF(OR(B376="",B375=""),"",B376/B375-1)</f>
        <v/>
      </c>
      <c r="D376" s="115">
        <f>IF(B376="","",IFERROR(B376/INDEX($B$2:$B$400,MATCH(DATE(YEAR(A376)-1,12,1),$A$2:$A$400,0))-1,""))</f>
        <v/>
      </c>
      <c r="E376" s="115">
        <f>IF(B376="","",IFERROR(B376/INDEX($B$2:$B$400,MATCH(DATE(YEAR(A376)-1,MONTH(A376),1),$A$2:$A$400,0))-1,""))</f>
        <v/>
      </c>
    </row>
    <row r="377">
      <c r="A377" s="117" t="n"/>
      <c r="B377" s="118" t="n"/>
      <c r="C377" s="115">
        <f>IF(OR(B377="",B376=""),"",B377/B376-1)</f>
        <v/>
      </c>
      <c r="D377" s="115">
        <f>IF(B377="","",IFERROR(B377/INDEX($B$2:$B$400,MATCH(DATE(YEAR(A377)-1,12,1),$A$2:$A$400,0))-1,""))</f>
        <v/>
      </c>
      <c r="E377" s="115">
        <f>IF(B377="","",IFERROR(B377/INDEX($B$2:$B$400,MATCH(DATE(YEAR(A377)-1,MONTH(A377),1),$A$2:$A$400,0))-1,""))</f>
        <v/>
      </c>
    </row>
    <row r="378">
      <c r="A378" s="117" t="n"/>
      <c r="B378" s="118" t="n"/>
      <c r="C378" s="115">
        <f>IF(OR(B378="",B377=""),"",B378/B377-1)</f>
        <v/>
      </c>
      <c r="D378" s="115">
        <f>IF(B378="","",IFERROR(B378/INDEX($B$2:$B$400,MATCH(DATE(YEAR(A378)-1,12,1),$A$2:$A$400,0))-1,""))</f>
        <v/>
      </c>
      <c r="E378" s="115">
        <f>IF(B378="","",IFERROR(B378/INDEX($B$2:$B$400,MATCH(DATE(YEAR(A378)-1,MONTH(A378),1),$A$2:$A$400,0))-1,""))</f>
        <v/>
      </c>
    </row>
    <row r="379">
      <c r="A379" s="117" t="n"/>
      <c r="B379" s="118" t="n"/>
      <c r="C379" s="115">
        <f>IF(OR(B379="",B378=""),"",B379/B378-1)</f>
        <v/>
      </c>
      <c r="D379" s="115">
        <f>IF(B379="","",IFERROR(B379/INDEX($B$2:$B$400,MATCH(DATE(YEAR(A379)-1,12,1),$A$2:$A$400,0))-1,""))</f>
        <v/>
      </c>
      <c r="E379" s="115">
        <f>IF(B379="","",IFERROR(B379/INDEX($B$2:$B$400,MATCH(DATE(YEAR(A379)-1,MONTH(A379),1),$A$2:$A$400,0))-1,""))</f>
        <v/>
      </c>
    </row>
    <row r="380">
      <c r="A380" s="117" t="n"/>
      <c r="B380" s="118" t="n"/>
      <c r="C380" s="115">
        <f>IF(OR(B380="",B379=""),"",B380/B379-1)</f>
        <v/>
      </c>
      <c r="D380" s="115">
        <f>IF(B380="","",IFERROR(B380/INDEX($B$2:$B$400,MATCH(DATE(YEAR(A380)-1,12,1),$A$2:$A$400,0))-1,""))</f>
        <v/>
      </c>
      <c r="E380" s="115">
        <f>IF(B380="","",IFERROR(B380/INDEX($B$2:$B$400,MATCH(DATE(YEAR(A380)-1,MONTH(A380),1),$A$2:$A$400,0))-1,""))</f>
        <v/>
      </c>
    </row>
    <row r="381">
      <c r="A381" s="117" t="n"/>
      <c r="B381" s="118" t="n"/>
      <c r="C381" s="115">
        <f>IF(OR(B381="",B380=""),"",B381/B380-1)</f>
        <v/>
      </c>
      <c r="D381" s="115">
        <f>IF(B381="","",IFERROR(B381/INDEX($B$2:$B$400,MATCH(DATE(YEAR(A381)-1,12,1),$A$2:$A$400,0))-1,""))</f>
        <v/>
      </c>
      <c r="E381" s="115">
        <f>IF(B381="","",IFERROR(B381/INDEX($B$2:$B$400,MATCH(DATE(YEAR(A381)-1,MONTH(A381),1),$A$2:$A$400,0))-1,""))</f>
        <v/>
      </c>
    </row>
    <row r="382">
      <c r="A382" s="117" t="n"/>
      <c r="B382" s="118" t="n"/>
      <c r="C382" s="115">
        <f>IF(OR(B382="",B381=""),"",B382/B381-1)</f>
        <v/>
      </c>
      <c r="D382" s="115">
        <f>IF(B382="","",IFERROR(B382/INDEX($B$2:$B$400,MATCH(DATE(YEAR(A382)-1,12,1),$A$2:$A$400,0))-1,""))</f>
        <v/>
      </c>
      <c r="E382" s="115">
        <f>IF(B382="","",IFERROR(B382/INDEX($B$2:$B$400,MATCH(DATE(YEAR(A382)-1,MONTH(A382),1),$A$2:$A$400,0))-1,""))</f>
        <v/>
      </c>
    </row>
    <row r="383">
      <c r="A383" s="117" t="n"/>
      <c r="B383" s="118" t="n"/>
      <c r="C383" s="115">
        <f>IF(OR(B383="",B382=""),"",B383/B382-1)</f>
        <v/>
      </c>
      <c r="D383" s="115">
        <f>IF(B383="","",IFERROR(B383/INDEX($B$2:$B$400,MATCH(DATE(YEAR(A383)-1,12,1),$A$2:$A$400,0))-1,""))</f>
        <v/>
      </c>
      <c r="E383" s="115">
        <f>IF(B383="","",IFERROR(B383/INDEX($B$2:$B$400,MATCH(DATE(YEAR(A383)-1,MONTH(A383),1),$A$2:$A$400,0))-1,""))</f>
        <v/>
      </c>
    </row>
    <row r="384">
      <c r="A384" s="117" t="n"/>
      <c r="B384" s="118" t="n"/>
      <c r="C384" s="115">
        <f>IF(OR(B384="",B383=""),"",B384/B383-1)</f>
        <v/>
      </c>
      <c r="D384" s="115">
        <f>IF(B384="","",IFERROR(B384/INDEX($B$2:$B$400,MATCH(DATE(YEAR(A384)-1,12,1),$A$2:$A$400,0))-1,""))</f>
        <v/>
      </c>
      <c r="E384" s="115">
        <f>IF(B384="","",IFERROR(B384/INDEX($B$2:$B$400,MATCH(DATE(YEAR(A384)-1,MONTH(A384),1),$A$2:$A$400,0))-1,""))</f>
        <v/>
      </c>
    </row>
    <row r="385">
      <c r="A385" s="117" t="n"/>
      <c r="B385" s="118" t="n"/>
      <c r="C385" s="115">
        <f>IF(OR(B385="",B384=""),"",B385/B384-1)</f>
        <v/>
      </c>
      <c r="D385" s="115">
        <f>IF(B385="","",IFERROR(B385/INDEX($B$2:$B$400,MATCH(DATE(YEAR(A385)-1,12,1),$A$2:$A$400,0))-1,""))</f>
        <v/>
      </c>
      <c r="E385" s="115">
        <f>IF(B385="","",IFERROR(B385/INDEX($B$2:$B$400,MATCH(DATE(YEAR(A385)-1,MONTH(A385),1),$A$2:$A$400,0))-1,""))</f>
        <v/>
      </c>
    </row>
    <row r="386">
      <c r="A386" s="117" t="n"/>
      <c r="B386" s="118" t="n"/>
      <c r="C386" s="115">
        <f>IF(OR(B386="",B385=""),"",B386/B385-1)</f>
        <v/>
      </c>
      <c r="D386" s="115">
        <f>IF(B386="","",IFERROR(B386/INDEX($B$2:$B$400,MATCH(DATE(YEAR(A386)-1,12,1),$A$2:$A$400,0))-1,""))</f>
        <v/>
      </c>
      <c r="E386" s="115">
        <f>IF(B386="","",IFERROR(B386/INDEX($B$2:$B$400,MATCH(DATE(YEAR(A386)-1,MONTH(A386),1),$A$2:$A$400,0))-1,""))</f>
        <v/>
      </c>
    </row>
    <row r="387">
      <c r="A387" s="117" t="n"/>
      <c r="B387" s="118" t="n"/>
      <c r="C387" s="115">
        <f>IF(OR(B387="",B386=""),"",B387/B386-1)</f>
        <v/>
      </c>
      <c r="D387" s="115">
        <f>IF(B387="","",IFERROR(B387/INDEX($B$2:$B$400,MATCH(DATE(YEAR(A387)-1,12,1),$A$2:$A$400,0))-1,""))</f>
        <v/>
      </c>
      <c r="E387" s="115">
        <f>IF(B387="","",IFERROR(B387/INDEX($B$2:$B$400,MATCH(DATE(YEAR(A387)-1,MONTH(A387),1),$A$2:$A$400,0))-1,""))</f>
        <v/>
      </c>
    </row>
    <row r="388">
      <c r="A388" s="117" t="n"/>
      <c r="B388" s="118" t="n"/>
      <c r="C388" s="115">
        <f>IF(OR(B388="",B387=""),"",B388/B387-1)</f>
        <v/>
      </c>
      <c r="D388" s="115">
        <f>IF(B388="","",IFERROR(B388/INDEX($B$2:$B$400,MATCH(DATE(YEAR(A388)-1,12,1),$A$2:$A$400,0))-1,""))</f>
        <v/>
      </c>
      <c r="E388" s="115">
        <f>IF(B388="","",IFERROR(B388/INDEX($B$2:$B$400,MATCH(DATE(YEAR(A388)-1,MONTH(A388),1),$A$2:$A$400,0))-1,""))</f>
        <v/>
      </c>
    </row>
    <row r="389">
      <c r="A389" s="117" t="n"/>
      <c r="B389" s="118" t="n"/>
      <c r="C389" s="115">
        <f>IF(OR(B389="",B388=""),"",B389/B388-1)</f>
        <v/>
      </c>
      <c r="D389" s="115">
        <f>IF(B389="","",IFERROR(B389/INDEX($B$2:$B$400,MATCH(DATE(YEAR(A389)-1,12,1),$A$2:$A$400,0))-1,""))</f>
        <v/>
      </c>
      <c r="E389" s="115">
        <f>IF(B389="","",IFERROR(B389/INDEX($B$2:$B$400,MATCH(DATE(YEAR(A389)-1,MONTH(A389),1),$A$2:$A$400,0))-1,""))</f>
        <v/>
      </c>
    </row>
    <row r="390">
      <c r="A390" s="117" t="n"/>
      <c r="B390" s="118" t="n"/>
      <c r="C390" s="115">
        <f>IF(OR(B390="",B389=""),"",B390/B389-1)</f>
        <v/>
      </c>
      <c r="D390" s="115">
        <f>IF(B390="","",IFERROR(B390/INDEX($B$2:$B$400,MATCH(DATE(YEAR(A390)-1,12,1),$A$2:$A$400,0))-1,""))</f>
        <v/>
      </c>
      <c r="E390" s="115">
        <f>IF(B390="","",IFERROR(B390/INDEX($B$2:$B$400,MATCH(DATE(YEAR(A390)-1,MONTH(A390),1),$A$2:$A$400,0))-1,""))</f>
        <v/>
      </c>
    </row>
    <row r="391">
      <c r="A391" s="117" t="n"/>
      <c r="B391" s="118" t="n"/>
      <c r="C391" s="115">
        <f>IF(OR(B391="",B390=""),"",B391/B390-1)</f>
        <v/>
      </c>
      <c r="D391" s="115">
        <f>IF(B391="","",IFERROR(B391/INDEX($B$2:$B$400,MATCH(DATE(YEAR(A391)-1,12,1),$A$2:$A$400,0))-1,""))</f>
        <v/>
      </c>
      <c r="E391" s="115">
        <f>IF(B391="","",IFERROR(B391/INDEX($B$2:$B$400,MATCH(DATE(YEAR(A391)-1,MONTH(A391),1),$A$2:$A$400,0))-1,""))</f>
        <v/>
      </c>
    </row>
    <row r="392">
      <c r="A392" s="117" t="n"/>
      <c r="B392" s="118" t="n"/>
      <c r="C392" s="115">
        <f>IF(OR(B392="",B391=""),"",B392/B391-1)</f>
        <v/>
      </c>
      <c r="D392" s="115">
        <f>IF(B392="","",IFERROR(B392/INDEX($B$2:$B$400,MATCH(DATE(YEAR(A392)-1,12,1),$A$2:$A$400,0))-1,""))</f>
        <v/>
      </c>
      <c r="E392" s="115">
        <f>IF(B392="","",IFERROR(B392/INDEX($B$2:$B$400,MATCH(DATE(YEAR(A392)-1,MONTH(A392),1),$A$2:$A$400,0))-1,""))</f>
        <v/>
      </c>
    </row>
    <row r="393">
      <c r="A393" s="117" t="n"/>
      <c r="B393" s="118" t="n"/>
      <c r="C393" s="115">
        <f>IF(OR(B393="",B392=""),"",B393/B392-1)</f>
        <v/>
      </c>
      <c r="D393" s="115">
        <f>IF(B393="","",IFERROR(B393/INDEX($B$2:$B$400,MATCH(DATE(YEAR(A393)-1,12,1),$A$2:$A$400,0))-1,""))</f>
        <v/>
      </c>
      <c r="E393" s="115">
        <f>IF(B393="","",IFERROR(B393/INDEX($B$2:$B$400,MATCH(DATE(YEAR(A393)-1,MONTH(A393),1),$A$2:$A$400,0))-1,""))</f>
        <v/>
      </c>
    </row>
    <row r="394">
      <c r="A394" s="117" t="n"/>
      <c r="B394" s="118" t="n"/>
      <c r="C394" s="115">
        <f>IF(OR(B394="",B393=""),"",B394/B393-1)</f>
        <v/>
      </c>
      <c r="D394" s="115">
        <f>IF(B394="","",IFERROR(B394/INDEX($B$2:$B$400,MATCH(DATE(YEAR(A394)-1,12,1),$A$2:$A$400,0))-1,""))</f>
        <v/>
      </c>
      <c r="E394" s="115">
        <f>IF(B394="","",IFERROR(B394/INDEX($B$2:$B$400,MATCH(DATE(YEAR(A394)-1,MONTH(A394),1),$A$2:$A$400,0))-1,""))</f>
        <v/>
      </c>
    </row>
    <row r="395">
      <c r="A395" s="117" t="n"/>
      <c r="B395" s="118" t="n"/>
      <c r="C395" s="115">
        <f>IF(OR(B395="",B394=""),"",B395/B394-1)</f>
        <v/>
      </c>
      <c r="D395" s="115">
        <f>IF(B395="","",IFERROR(B395/INDEX($B$2:$B$400,MATCH(DATE(YEAR(A395)-1,12,1),$A$2:$A$400,0))-1,""))</f>
        <v/>
      </c>
      <c r="E395" s="115">
        <f>IF(B395="","",IFERROR(B395/INDEX($B$2:$B$400,MATCH(DATE(YEAR(A395)-1,MONTH(A395),1),$A$2:$A$400,0))-1,""))</f>
        <v/>
      </c>
    </row>
    <row r="396">
      <c r="A396" s="117" t="n"/>
      <c r="B396" s="118" t="n"/>
      <c r="C396" s="115">
        <f>IF(OR(B396="",B395=""),"",B396/B395-1)</f>
        <v/>
      </c>
      <c r="D396" s="115">
        <f>IF(B396="","",IFERROR(B396/INDEX($B$2:$B$400,MATCH(DATE(YEAR(A396)-1,12,1),$A$2:$A$400,0))-1,""))</f>
        <v/>
      </c>
      <c r="E396" s="115">
        <f>IF(B396="","",IFERROR(B396/INDEX($B$2:$B$400,MATCH(DATE(YEAR(A396)-1,MONTH(A396),1),$A$2:$A$400,0))-1,""))</f>
        <v/>
      </c>
    </row>
    <row r="397">
      <c r="A397" s="117" t="n"/>
      <c r="B397" s="118" t="n"/>
      <c r="C397" s="115">
        <f>IF(OR(B397="",B396=""),"",B397/B396-1)</f>
        <v/>
      </c>
      <c r="D397" s="115">
        <f>IF(B397="","",IFERROR(B397/INDEX($B$2:$B$400,MATCH(DATE(YEAR(A397)-1,12,1),$A$2:$A$400,0))-1,""))</f>
        <v/>
      </c>
      <c r="E397" s="115">
        <f>IF(B397="","",IFERROR(B397/INDEX($B$2:$B$400,MATCH(DATE(YEAR(A397)-1,MONTH(A397),1),$A$2:$A$400,0))-1,""))</f>
        <v/>
      </c>
    </row>
    <row r="398">
      <c r="A398" s="117" t="n"/>
      <c r="B398" s="118" t="n"/>
      <c r="C398" s="115">
        <f>IF(OR(B398="",B397=""),"",B398/B397-1)</f>
        <v/>
      </c>
      <c r="D398" s="115">
        <f>IF(B398="","",IFERROR(B398/INDEX($B$2:$B$400,MATCH(DATE(YEAR(A398)-1,12,1),$A$2:$A$400,0))-1,""))</f>
        <v/>
      </c>
      <c r="E398" s="115">
        <f>IF(B398="","",IFERROR(B398/INDEX($B$2:$B$400,MATCH(DATE(YEAR(A398)-1,MONTH(A398),1),$A$2:$A$400,0))-1,""))</f>
        <v/>
      </c>
    </row>
    <row r="399">
      <c r="A399" s="117" t="n"/>
      <c r="B399" s="118" t="n"/>
      <c r="C399" s="115">
        <f>IF(OR(B399="",B398=""),"",B399/B398-1)</f>
        <v/>
      </c>
      <c r="D399" s="115">
        <f>IF(B399="","",IFERROR(B399/INDEX($B$2:$B$400,MATCH(DATE(YEAR(A399)-1,12,1),$A$2:$A$400,0))-1,""))</f>
        <v/>
      </c>
      <c r="E399" s="115">
        <f>IF(B399="","",IFERROR(B399/INDEX($B$2:$B$400,MATCH(DATE(YEAR(A399)-1,MONTH(A399),1),$A$2:$A$400,0))-1,""))</f>
        <v/>
      </c>
    </row>
    <row r="400">
      <c r="A400" s="117" t="n"/>
      <c r="B400" s="118" t="n"/>
      <c r="C400" s="115">
        <f>IF(OR(B400="",B399=""),"",B400/B399-1)</f>
        <v/>
      </c>
      <c r="D400" s="115">
        <f>IF(B400="","",IFERROR(B400/INDEX($B$2:$B$400,MATCH(DATE(YEAR(A400)-1,12,1),$A$2:$A$400,0))-1,""))</f>
        <v/>
      </c>
      <c r="E400" s="115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M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M1" s="116" t="inlineStr">
        <is>
          <t>CÁLCULO (não editar) — situação de cada atividade na data do retrato</t>
        </is>
      </c>
    </row>
    <row r="2">
      <c r="M2" s="2" t="inlineStr">
        <is>
          <t>Pacotes sem de-para →</t>
        </is>
      </c>
      <c r="O2" s="69">
        <f>COUNTIF(M5:M3004,"?")</f>
        <v/>
      </c>
    </row>
    <row r="3">
      <c r="M3" s="6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M4" s="59" t="inlineStr">
        <is>
          <t>PL</t>
        </is>
      </c>
      <c r="N4" s="59" t="inlineStr">
        <is>
          <t>Nº pav.</t>
        </is>
      </c>
      <c r="O4" s="59" t="inlineStr">
        <is>
          <t>Situação na data</t>
        </is>
      </c>
      <c r="R4" s="59" t="inlineStr">
        <is>
          <t>Pacote de trabalho (Prevision)</t>
        </is>
      </c>
      <c r="S4" s="59" t="inlineStr">
        <is>
          <t>PL</t>
        </is>
      </c>
      <c r="T4" s="59" t="inlineStr">
        <is>
          <t>Rótulo nas observações</t>
        </is>
      </c>
      <c r="U4" s="59" t="inlineStr">
        <is>
          <t>Exibir?</t>
        </is>
      </c>
      <c r="V4" s="59" t="inlineStr">
        <is>
          <t>Nº ativ.</t>
        </is>
      </c>
      <c r="W4" s="59" t="inlineStr">
        <is>
          <t>Concluídas</t>
        </is>
      </c>
      <c r="X4" s="59" t="inlineStr">
        <is>
          <t>Em execução</t>
        </is>
      </c>
      <c r="Y4" s="59" t="inlineStr">
        <is>
          <t>Maior pav.
concluído</t>
        </is>
      </c>
      <c r="Z4" s="59" t="inlineStr">
        <is>
          <t>Maior pav.
em execução</t>
        </is>
      </c>
      <c r="AA4" s="59" t="inlineStr">
        <is>
          <t>Texto (observação)</t>
        </is>
      </c>
    </row>
    <row r="5"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5" t="inlineStr">
        <is>
          <t>LOCAÇÃO DE OBRA</t>
        </is>
      </c>
      <c r="S5" s="5" t="inlineStr">
        <is>
          <t>12</t>
        </is>
      </c>
      <c r="T5" s="5" t="inlineStr">
        <is>
          <t>Locação de obra</t>
        </is>
      </c>
      <c r="U5" s="5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5" t="inlineStr">
        <is>
          <t>DEMOLIÇÃO</t>
        </is>
      </c>
      <c r="S6" s="5" t="inlineStr">
        <is>
          <t>12</t>
        </is>
      </c>
      <c r="T6" s="5" t="inlineStr">
        <is>
          <t>Demolição</t>
        </is>
      </c>
      <c r="U6" s="5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5" t="inlineStr">
        <is>
          <t>CONTENÇÕES EM ESTACAS</t>
        </is>
      </c>
      <c r="S7" s="5" t="inlineStr">
        <is>
          <t>13</t>
        </is>
      </c>
      <c r="T7" s="5" t="inlineStr">
        <is>
          <t>Contenções em estacas</t>
        </is>
      </c>
      <c r="U7" s="5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5" t="inlineStr">
        <is>
          <t>VIGA DE COROAMENTO (TRECHO - CENTRAL DE POLÍMEROS)</t>
        </is>
      </c>
      <c r="S8" s="5" t="inlineStr">
        <is>
          <t>15</t>
        </is>
      </c>
      <c r="T8" s="5" t="inlineStr">
        <is>
          <t>Viga de coroamento (trecho - central de polímeros)</t>
        </is>
      </c>
      <c r="U8" s="5" t="inlineStr">
        <is>
          <t>NÃO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5" t="inlineStr">
        <is>
          <t>VIGA DE COROAMENTO (TRECHO - RUA MANACA 1º ETAPA)</t>
        </is>
      </c>
      <c r="S9" s="5" t="inlineStr">
        <is>
          <t>15</t>
        </is>
      </c>
      <c r="T9" s="5" t="inlineStr">
        <is>
          <t>Viga de coroamento (trecho - rua manaca 1º etapa)</t>
        </is>
      </c>
      <c r="U9" s="5" t="inlineStr">
        <is>
          <t>NÃO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5" t="inlineStr">
        <is>
          <t>VIGA DE COROAMENTO (TRECHO - RUA MANACA 2º ETAPA)</t>
        </is>
      </c>
      <c r="S10" s="5" t="inlineStr">
        <is>
          <t>15</t>
        </is>
      </c>
      <c r="T10" s="5" t="inlineStr">
        <is>
          <t>Viga de coroamento (trecho - rua manaca 2º etapa)</t>
        </is>
      </c>
      <c r="U10" s="5" t="inlineStr">
        <is>
          <t>NÃO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5" t="inlineStr">
        <is>
          <t>FUNDAÇÃO PROFUNDA</t>
        </is>
      </c>
      <c r="S11" s="5" t="inlineStr">
        <is>
          <t>15</t>
        </is>
      </c>
      <c r="T11" s="5" t="inlineStr">
        <is>
          <t>Fundação profunda</t>
        </is>
      </c>
      <c r="U11" s="5" t="inlineStr">
        <is>
          <t>SIM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5" t="inlineStr">
        <is>
          <t>VIGA DE COROAMENTO (TRECHO - RUA IPÊ 1º ETAPA)</t>
        </is>
      </c>
      <c r="S12" s="5" t="inlineStr">
        <is>
          <t>15</t>
        </is>
      </c>
      <c r="T12" s="5" t="inlineStr">
        <is>
          <t>Viga de coroamento (trecho - rua ipê 1º etapa)</t>
        </is>
      </c>
      <c r="U12" s="5" t="inlineStr">
        <is>
          <t>NÃO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5" t="inlineStr">
        <is>
          <t>VIGA DE COROAMENTO (TRECHO - RUA IPÊ 2º ETAPA)</t>
        </is>
      </c>
      <c r="S13" s="5" t="inlineStr">
        <is>
          <t>15</t>
        </is>
      </c>
      <c r="T13" s="5" t="inlineStr">
        <is>
          <t>Viga de coroamento (trecho - rua ipê 2º etapa)</t>
        </is>
      </c>
      <c r="U13" s="5" t="inlineStr">
        <is>
          <t>NÃO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5" t="inlineStr">
        <is>
          <t>VIGA DE COROAMENTO (TRECHO - RUA BOM JESUS)</t>
        </is>
      </c>
      <c r="S14" s="5" t="inlineStr">
        <is>
          <t>15</t>
        </is>
      </c>
      <c r="T14" s="5" t="inlineStr">
        <is>
          <t>Viga de coroamento (trecho - rua bom jesus)</t>
        </is>
      </c>
      <c r="U14" s="5" t="inlineStr">
        <is>
          <t>NÃO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5" t="inlineStr">
        <is>
          <t>FUNDAÇÃO PROFUNDA - MEDIÇÃO</t>
        </is>
      </c>
      <c r="S15" s="5" t="inlineStr">
        <is>
          <t>15</t>
        </is>
      </c>
      <c r="T15" s="5" t="inlineStr">
        <is>
          <t>Fundação profunda - medição</t>
        </is>
      </c>
      <c r="U15" s="5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5" t="inlineStr">
        <is>
          <t>VIGA DE COROAMENTO (TRECHO - RUA IPÊ 3º ETAPA)</t>
        </is>
      </c>
      <c r="S16" s="5" t="inlineStr">
        <is>
          <t>15</t>
        </is>
      </c>
      <c r="T16" s="5" t="inlineStr">
        <is>
          <t>Viga de coroamento (trecho - rua ipê 3º etapa)</t>
        </is>
      </c>
      <c r="U16" s="5" t="inlineStr">
        <is>
          <t>NÃO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5" t="inlineStr">
        <is>
          <t>TERRAPLENAGEM (FASE 1)</t>
        </is>
      </c>
      <c r="S17" s="5" t="inlineStr">
        <is>
          <t>14</t>
        </is>
      </c>
      <c r="T17" s="5" t="inlineStr">
        <is>
          <t>Terraplenagem (fase 1)</t>
        </is>
      </c>
      <c r="U17" s="5" t="inlineStr">
        <is>
          <t>SIM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5" t="inlineStr">
        <is>
          <t>FUNDAÇÃO SUPERFICIAL</t>
        </is>
      </c>
      <c r="S18" s="5" t="inlineStr">
        <is>
          <t>16</t>
        </is>
      </c>
      <c r="T18" s="5" t="inlineStr">
        <is>
          <t>Fundação superficial</t>
        </is>
      </c>
      <c r="U18" s="5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5" t="inlineStr">
        <is>
          <t>FUNDAÇÃO SUPERFICIAL - FASE 1</t>
        </is>
      </c>
      <c r="S19" s="5" t="inlineStr">
        <is>
          <t>16</t>
        </is>
      </c>
      <c r="T19" s="5" t="inlineStr">
        <is>
          <t>Fundação superficial - fase 1</t>
        </is>
      </c>
      <c r="U19" s="5" t="inlineStr">
        <is>
          <t>NÃO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5" t="inlineStr">
        <is>
          <t>FUNDAÇÃO SUPERFICIAL - FASE 2</t>
        </is>
      </c>
      <c r="S20" s="5" t="inlineStr">
        <is>
          <t>16</t>
        </is>
      </c>
      <c r="T20" s="5" t="inlineStr">
        <is>
          <t>Fundação superficial - fase 2</t>
        </is>
      </c>
      <c r="U20" s="5" t="inlineStr">
        <is>
          <t>SIM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5" t="inlineStr">
        <is>
          <t>CONTENÇÃO - BLOCO DO ELEVADOR</t>
        </is>
      </c>
      <c r="S21" s="5" t="inlineStr">
        <is>
          <t>13</t>
        </is>
      </c>
      <c r="T21" s="5" t="inlineStr">
        <is>
          <t>Contenção - bloco do elevador</t>
        </is>
      </c>
      <c r="U21" s="5" t="inlineStr">
        <is>
          <t>SIM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5" t="inlineStr">
        <is>
          <t>FUNDAÇÃO SUPERFICIAL - FASE 3</t>
        </is>
      </c>
      <c r="S22" s="5" t="inlineStr">
        <is>
          <t>16</t>
        </is>
      </c>
      <c r="T22" s="5" t="inlineStr">
        <is>
          <t>Fundação superficial - fase 3</t>
        </is>
      </c>
      <c r="U22" s="5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5" t="inlineStr">
        <is>
          <t>FUNDAÇÃO SUPERFICIAL - NUCLEO</t>
        </is>
      </c>
      <c r="S23" s="5" t="inlineStr">
        <is>
          <t>16</t>
        </is>
      </c>
      <c r="T23" s="5" t="inlineStr">
        <is>
          <t>Fundação superficial - nucleo</t>
        </is>
      </c>
      <c r="U23" s="5" t="inlineStr">
        <is>
          <t>NÃO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5" t="inlineStr">
        <is>
          <t>FUNDAÇÃO SUPERFICIAL - FASE 4</t>
        </is>
      </c>
      <c r="S24" s="5" t="inlineStr">
        <is>
          <t>16</t>
        </is>
      </c>
      <c r="T24" s="5" t="inlineStr">
        <is>
          <t>Fundação superficial - fase 4</t>
        </is>
      </c>
      <c r="U24" s="5" t="inlineStr">
        <is>
          <t>NÃO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5" t="inlineStr">
        <is>
          <t>ESTRUTURA</t>
        </is>
      </c>
      <c r="S25" s="5" t="inlineStr">
        <is>
          <t>17</t>
        </is>
      </c>
      <c r="T25" s="5" t="inlineStr">
        <is>
          <t>Estrutura</t>
        </is>
      </c>
      <c r="U25" s="5" t="inlineStr">
        <is>
          <t>SIM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5" t="inlineStr">
        <is>
          <t>FUNDAÇÃO SUPERFICIAL - FASE 5</t>
        </is>
      </c>
      <c r="S26" s="5" t="inlineStr">
        <is>
          <t>16</t>
        </is>
      </c>
      <c r="T26" s="5" t="inlineStr">
        <is>
          <t>Fundação superficial - fase 5</t>
        </is>
      </c>
      <c r="U26" s="5" t="inlineStr">
        <is>
          <t>SIM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5" t="inlineStr">
        <is>
          <t>FUNDAÇÃO SUPERFICIAL - FASE 6</t>
        </is>
      </c>
      <c r="S27" s="5" t="inlineStr">
        <is>
          <t>16</t>
        </is>
      </c>
      <c r="T27" s="5" t="inlineStr">
        <is>
          <t>Fundação superficial - fase 6</t>
        </is>
      </c>
      <c r="U27" s="5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5" t="inlineStr">
        <is>
          <t>Estrutura Térreo - Fase 2</t>
        </is>
      </c>
      <c r="S28" s="5" t="inlineStr">
        <is>
          <t>17</t>
        </is>
      </c>
      <c r="T28" s="5" t="inlineStr">
        <is>
          <t>Estrutura térreo - fase 2</t>
        </is>
      </c>
      <c r="U28" s="5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5" t="inlineStr">
        <is>
          <t>Estrutura Térreo - Fase 3</t>
        </is>
      </c>
      <c r="S29" s="5" t="inlineStr">
        <is>
          <t>17</t>
        </is>
      </c>
      <c r="T29" s="5" t="inlineStr">
        <is>
          <t>Estrutura térreo - fase 3</t>
        </is>
      </c>
      <c r="U29" s="5" t="inlineStr">
        <is>
          <t>NÃO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5" t="inlineStr">
        <is>
          <t>Estrutura Térreo - Fase 4</t>
        </is>
      </c>
      <c r="S30" s="5" t="inlineStr">
        <is>
          <t>17</t>
        </is>
      </c>
      <c r="T30" s="5" t="inlineStr">
        <is>
          <t>Estrutura térreo - fase 4</t>
        </is>
      </c>
      <c r="U30" s="5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5" t="inlineStr">
        <is>
          <t>Estrutura Mezanino</t>
        </is>
      </c>
      <c r="S31" s="5" t="inlineStr">
        <is>
          <t>17</t>
        </is>
      </c>
      <c r="T31" s="5" t="inlineStr">
        <is>
          <t>Estrutura mezanino</t>
        </is>
      </c>
      <c r="U31" s="5" t="inlineStr">
        <is>
          <t>NÃO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5" t="inlineStr">
        <is>
          <t>Estrutura 2º Pav - Fase 1</t>
        </is>
      </c>
      <c r="S32" s="5" t="inlineStr">
        <is>
          <t>17</t>
        </is>
      </c>
      <c r="T32" s="5" t="inlineStr">
        <is>
          <t>Estrutura 2º pav - fase 1</t>
        </is>
      </c>
      <c r="U32" s="5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5" t="inlineStr">
        <is>
          <t>TERRAPLENAGEM (FASE 2)</t>
        </is>
      </c>
      <c r="S33" s="5" t="inlineStr">
        <is>
          <t>14</t>
        </is>
      </c>
      <c r="T33" s="5" t="inlineStr">
        <is>
          <t>Terraplenagem (fase 2)</t>
        </is>
      </c>
      <c r="U33" s="5" t="inlineStr">
        <is>
          <t>SIM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5" t="inlineStr">
        <is>
          <t>CINTAS FASE 1</t>
        </is>
      </c>
      <c r="S34" s="5" t="inlineStr">
        <is>
          <t>16</t>
        </is>
      </c>
      <c r="T34" s="5" t="inlineStr">
        <is>
          <t>Cintas fase 1</t>
        </is>
      </c>
      <c r="U34" s="5" t="inlineStr">
        <is>
          <t>NÃO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5" t="inlineStr">
        <is>
          <t>CINTAS FASE 2</t>
        </is>
      </c>
      <c r="S35" s="5" t="inlineStr">
        <is>
          <t>16</t>
        </is>
      </c>
      <c r="T35" s="5" t="inlineStr">
        <is>
          <t>Cintas fase 2</t>
        </is>
      </c>
      <c r="U35" s="5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5" t="inlineStr">
        <is>
          <t>FECHAMENTO DE CORTINA - CONTENÇÕES</t>
        </is>
      </c>
      <c r="S36" s="5" t="inlineStr">
        <is>
          <t>13</t>
        </is>
      </c>
      <c r="T36" s="5" t="inlineStr">
        <is>
          <t>Fechamento de cortina - contenções</t>
        </is>
      </c>
      <c r="U36" s="5" t="inlineStr">
        <is>
          <t>SIM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5" t="inlineStr">
        <is>
          <t>CINTAS FASE 3</t>
        </is>
      </c>
      <c r="S37" s="5" t="inlineStr">
        <is>
          <t>16</t>
        </is>
      </c>
      <c r="T37" s="5" t="inlineStr">
        <is>
          <t>Cintas fase 3</t>
        </is>
      </c>
      <c r="U37" s="5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5" t="inlineStr">
        <is>
          <t>CINTAS FASE 4</t>
        </is>
      </c>
      <c r="S38" s="5" t="inlineStr">
        <is>
          <t>16</t>
        </is>
      </c>
      <c r="T38" s="5" t="inlineStr">
        <is>
          <t>Cintas fase 4</t>
        </is>
      </c>
      <c r="U38" s="5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5" t="inlineStr">
        <is>
          <t>TRATAMENTO DE CONCRETO - TETO</t>
        </is>
      </c>
      <c r="S39" s="5" t="inlineStr">
        <is>
          <t>35</t>
        </is>
      </c>
      <c r="T39" s="5" t="inlineStr">
        <is>
          <t>Tratamento de concreto - teto</t>
        </is>
      </c>
      <c r="U39" s="5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5" t="inlineStr">
        <is>
          <t>TRATAMENTO DE CONTENÇÕES</t>
        </is>
      </c>
      <c r="S40" s="5" t="inlineStr">
        <is>
          <t>13</t>
        </is>
      </c>
      <c r="T40" s="5" t="inlineStr">
        <is>
          <t>Tratamento de contenções</t>
        </is>
      </c>
      <c r="U40" s="5" t="inlineStr">
        <is>
          <t>SIM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5" t="inlineStr">
        <is>
          <t>DISTRIBUIÇÃO HIDRÁULICA - INFRAS ENTERRADAS</t>
        </is>
      </c>
      <c r="S41" s="5" t="inlineStr">
        <is>
          <t>21</t>
        </is>
      </c>
      <c r="T41" s="5" t="inlineStr">
        <is>
          <t>Distribuição hidráulica - infras enterradas</t>
        </is>
      </c>
      <c r="U41" s="5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5" t="inlineStr">
        <is>
          <t>ENTRADA DE ENERGIA</t>
        </is>
      </c>
      <c r="S42" s="5" t="inlineStr">
        <is>
          <t>20</t>
        </is>
      </c>
      <c r="T42" s="5" t="inlineStr">
        <is>
          <t>Entrada de energia</t>
        </is>
      </c>
      <c r="U42" s="5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5" t="inlineStr">
        <is>
          <t>ESTRUTURA IGREJA</t>
        </is>
      </c>
      <c r="S43" s="5" t="inlineStr">
        <is>
          <t>17</t>
        </is>
      </c>
      <c r="T43" s="5" t="inlineStr">
        <is>
          <t>Estrutura igreja</t>
        </is>
      </c>
      <c r="U43" s="5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5" t="inlineStr">
        <is>
          <t>INFRA ELÉTRICA - TETO</t>
        </is>
      </c>
      <c r="S44" s="5" t="inlineStr">
        <is>
          <t>20</t>
        </is>
      </c>
      <c r="T44" s="5" t="inlineStr">
        <is>
          <t>Infra elétrica - teto</t>
        </is>
      </c>
      <c r="U44" s="5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5" t="inlineStr">
        <is>
          <t>ESTRUTURA - PISO ARMADO</t>
        </is>
      </c>
      <c r="S45" s="5" t="inlineStr">
        <is>
          <t>17</t>
        </is>
      </c>
      <c r="T45" s="5" t="inlineStr">
        <is>
          <t>Estrutura - piso armado</t>
        </is>
      </c>
      <c r="U45" s="5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5" t="inlineStr">
        <is>
          <t>FUNDAÇÃO - PROJEÇÃO IGREJA</t>
        </is>
      </c>
      <c r="S46" s="5" t="inlineStr">
        <is>
          <t>16</t>
        </is>
      </c>
      <c r="T46" s="5" t="inlineStr">
        <is>
          <t>Fundação - projeção igreja</t>
        </is>
      </c>
      <c r="U46" s="5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5" t="inlineStr">
        <is>
          <t>ALVENARIA</t>
        </is>
      </c>
      <c r="S47" s="5" t="inlineStr">
        <is>
          <t>18</t>
        </is>
      </c>
      <c r="T47" s="5" t="inlineStr">
        <is>
          <t>Alvenaria</t>
        </is>
      </c>
      <c r="U47" s="5" t="inlineStr">
        <is>
          <t>SIM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5" t="inlineStr">
        <is>
          <t>BLOCOS E CINTAS - IGREJA</t>
        </is>
      </c>
      <c r="S48" s="5" t="inlineStr">
        <is>
          <t>16</t>
        </is>
      </c>
      <c r="T48" s="5" t="inlineStr">
        <is>
          <t>Blocos e cintas - igreja</t>
        </is>
      </c>
      <c r="U48" s="5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5" t="inlineStr">
        <is>
          <t>PRUMADA DE INCÊNDIO</t>
        </is>
      </c>
      <c r="S49" s="5" t="inlineStr">
        <is>
          <t>22</t>
        </is>
      </c>
      <c r="T49" s="5" t="inlineStr">
        <is>
          <t>Prumada de incêndio</t>
        </is>
      </c>
      <c r="U49" s="5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5" t="inlineStr">
        <is>
          <t>PRUMADA HIDROSSANITÁRIA</t>
        </is>
      </c>
      <c r="S50" s="5" t="inlineStr">
        <is>
          <t>21</t>
        </is>
      </c>
      <c r="T50" s="5" t="inlineStr">
        <is>
          <t>Prumada hidrossanitária</t>
        </is>
      </c>
      <c r="U50" s="5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5" t="inlineStr">
        <is>
          <t>ENCUNHAMENTO</t>
        </is>
      </c>
      <c r="S51" s="5" t="inlineStr">
        <is>
          <t>18</t>
        </is>
      </c>
      <c r="T51" s="5" t="inlineStr">
        <is>
          <t>Encunhamento</t>
        </is>
      </c>
      <c r="U51" s="5" t="inlineStr">
        <is>
          <t>SIM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5" t="inlineStr">
        <is>
          <t>ALVENARIA - ISOLAMENTO DE CONTENÇÕES</t>
        </is>
      </c>
      <c r="S52" s="5" t="inlineStr">
        <is>
          <t>18</t>
        </is>
      </c>
      <c r="T52" s="5" t="inlineStr">
        <is>
          <t>Alvenaria - isolamento de contenções</t>
        </is>
      </c>
      <c r="U52" s="5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5" t="inlineStr">
        <is>
          <t>TALISCAMENTO</t>
        </is>
      </c>
      <c r="S53" s="5" t="inlineStr">
        <is>
          <t>29</t>
        </is>
      </c>
      <c r="T53" s="5" t="inlineStr">
        <is>
          <t>Taliscamento</t>
        </is>
      </c>
      <c r="U53" s="5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5" t="inlineStr">
        <is>
          <t>DISTRIBUIÇÃO HIDROSSANITÁRIA</t>
        </is>
      </c>
      <c r="S54" s="5" t="inlineStr">
        <is>
          <t>21</t>
        </is>
      </c>
      <c r="T54" s="5" t="inlineStr">
        <is>
          <t>Distribuição hidrossanitária</t>
        </is>
      </c>
      <c r="U54" s="5" t="inlineStr">
        <is>
          <t>SIM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5" t="inlineStr">
        <is>
          <t>DISTRIBUIÇÃO ELÉTRICA / QUADRO</t>
        </is>
      </c>
      <c r="S55" s="5" t="inlineStr">
        <is>
          <t>20</t>
        </is>
      </c>
      <c r="T55" s="5" t="inlineStr">
        <is>
          <t>Distribuição elétrica / quadro</t>
        </is>
      </c>
      <c r="U55" s="5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5" t="inlineStr">
        <is>
          <t>DISTRIBUIÇÃO DE GÁS</t>
        </is>
      </c>
      <c r="S56" s="5" t="inlineStr">
        <is>
          <t>21</t>
        </is>
      </c>
      <c r="T56" s="5" t="inlineStr">
        <is>
          <t>Distribuição de gás</t>
        </is>
      </c>
      <c r="U56" s="5" t="inlineStr">
        <is>
          <t>SIM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5" t="inlineStr">
        <is>
          <t>CONTRAMARCO</t>
        </is>
      </c>
      <c r="S57" s="5" t="inlineStr">
        <is>
          <t>25</t>
        </is>
      </c>
      <c r="T57" s="5" t="inlineStr">
        <is>
          <t>Contramarco</t>
        </is>
      </c>
      <c r="U57" s="5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5" t="inlineStr">
        <is>
          <t>REBOCO INTERNO</t>
        </is>
      </c>
      <c r="S58" s="5" t="inlineStr">
        <is>
          <t>29</t>
        </is>
      </c>
      <c r="T58" s="5" t="inlineStr">
        <is>
          <t>Reboco interno</t>
        </is>
      </c>
      <c r="U58" s="5" t="inlineStr">
        <is>
          <t>SIM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5" t="inlineStr">
        <is>
          <t>SHAFT INTERNO INST. HIDRAÚLICAS</t>
        </is>
      </c>
      <c r="S59" s="5" t="inlineStr">
        <is>
          <t>21</t>
        </is>
      </c>
      <c r="T59" s="5" t="inlineStr">
        <is>
          <t>Shaft interno inst. hidraúlicas</t>
        </is>
      </c>
      <c r="U59" s="5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5" t="inlineStr">
        <is>
          <t>PRUMADA ELÉTRICA - INFRA</t>
        </is>
      </c>
      <c r="S60" s="5" t="inlineStr">
        <is>
          <t>20</t>
        </is>
      </c>
      <c r="T60" s="5" t="inlineStr">
        <is>
          <t>Prumada elétrica - infra</t>
        </is>
      </c>
      <c r="U60" s="5" t="inlineStr">
        <is>
          <t>SIM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5" t="inlineStr">
        <is>
          <t>CHUMBAMENTO DE PCF</t>
        </is>
      </c>
      <c r="S61" s="5" t="inlineStr">
        <is>
          <t>26</t>
        </is>
      </c>
      <c r="T61" s="5" t="inlineStr">
        <is>
          <t>Chumbamento de PCF</t>
        </is>
      </c>
      <c r="U61" s="5" t="inlineStr">
        <is>
          <t>SIM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5" t="inlineStr">
        <is>
          <t>CONTRAPISO</t>
        </is>
      </c>
      <c r="S62" s="5" t="inlineStr">
        <is>
          <t>28</t>
        </is>
      </c>
      <c r="T62" s="5" t="inlineStr">
        <is>
          <t>Contrapiso</t>
        </is>
      </c>
      <c r="U62" s="5" t="inlineStr">
        <is>
          <t>SIM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5" t="inlineStr">
        <is>
          <t>DISTRIBUIÇÃO HIDRÁULICA</t>
        </is>
      </c>
      <c r="S63" s="5" t="inlineStr">
        <is>
          <t>21</t>
        </is>
      </c>
      <c r="T63" s="5" t="inlineStr">
        <is>
          <t>Distribuição hidráulica</t>
        </is>
      </c>
      <c r="U63" s="5" t="inlineStr">
        <is>
          <t>SIM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5" t="inlineStr">
        <is>
          <t>DRYWALL 1º FACE</t>
        </is>
      </c>
      <c r="S64" s="5" t="inlineStr">
        <is>
          <t>18</t>
        </is>
      </c>
      <c r="T64" s="5" t="inlineStr">
        <is>
          <t>Drywall 1ª face</t>
        </is>
      </c>
      <c r="U64" s="5" t="inlineStr">
        <is>
          <t>SIM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5" t="inlineStr">
        <is>
          <t>DISTRIBUIÇÃO DE GÁS - DRYWALL</t>
        </is>
      </c>
      <c r="S65" s="5" t="inlineStr">
        <is>
          <t>21</t>
        </is>
      </c>
      <c r="T65" s="5" t="inlineStr">
        <is>
          <t>Distribuição de gás - drywall</t>
        </is>
      </c>
      <c r="U65" s="5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5" t="inlineStr">
        <is>
          <t>DISTRIBUIÇÃO ELÉTRICA/QUADRO - DRYWALL</t>
        </is>
      </c>
      <c r="S66" s="5" t="inlineStr">
        <is>
          <t>20</t>
        </is>
      </c>
      <c r="T66" s="5" t="inlineStr">
        <is>
          <t>Distribuição elétrica/quadro - drywall</t>
        </is>
      </c>
      <c r="U66" s="5" t="inlineStr">
        <is>
          <t>SIM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5" t="inlineStr">
        <is>
          <t>DISTRIBUIÇÃO HIDRÁULICA - DRYWALL</t>
        </is>
      </c>
      <c r="S67" s="5" t="inlineStr">
        <is>
          <t>21</t>
        </is>
      </c>
      <c r="T67" s="5" t="inlineStr">
        <is>
          <t>Distribuição hidráulica - drywall</t>
        </is>
      </c>
      <c r="U67" s="5" t="inlineStr">
        <is>
          <t>SIM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5" t="inlineStr">
        <is>
          <t>INFRAESTRUTURA - AR CONDICIONADO</t>
        </is>
      </c>
      <c r="S68" s="5" t="inlineStr">
        <is>
          <t>23</t>
        </is>
      </c>
      <c r="T68" s="5" t="inlineStr">
        <is>
          <t>Infraestrutura - ar condicionado</t>
        </is>
      </c>
      <c r="U68" s="5" t="inlineStr">
        <is>
          <t>SIM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5" t="inlineStr">
        <is>
          <t>DRYWALL 2º FACE</t>
        </is>
      </c>
      <c r="S69" s="5" t="inlineStr">
        <is>
          <t>18</t>
        </is>
      </c>
      <c r="T69" s="5" t="inlineStr">
        <is>
          <t>Drywall 2ª face</t>
        </is>
      </c>
      <c r="U69" s="5" t="inlineStr">
        <is>
          <t>SIM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5" t="inlineStr">
        <is>
          <t>SERRALHERIA</t>
        </is>
      </c>
      <c r="S70" s="5" t="inlineStr">
        <is>
          <t>26</t>
        </is>
      </c>
      <c r="T70" s="5" t="inlineStr">
        <is>
          <t>Serralheria</t>
        </is>
      </c>
      <c r="U70" s="5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5" t="inlineStr">
        <is>
          <t>IMPERMEABILIZAÇÃO</t>
        </is>
      </c>
      <c r="S71" s="5" t="inlineStr">
        <is>
          <t>19</t>
        </is>
      </c>
      <c r="T71" s="5" t="inlineStr">
        <is>
          <t>Impermeabilização</t>
        </is>
      </c>
      <c r="U71" s="5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5" t="inlineStr">
        <is>
          <t>PREPARAÇÃO PARA FACHADA AERADA - F1 + F2 (1º ETAPA)</t>
        </is>
      </c>
      <c r="S72" s="5" t="inlineStr">
        <is>
          <t>32</t>
        </is>
      </c>
      <c r="T72" s="5" t="inlineStr">
        <is>
          <t>Preparação para fachada aerada - F1 + F2 (1º etapa)</t>
        </is>
      </c>
      <c r="U72" s="5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5" t="inlineStr">
        <is>
          <t>REVESTIMENTO PORCELANATO PAREDE</t>
        </is>
      </c>
      <c r="S73" s="5" t="inlineStr">
        <is>
          <t>30</t>
        </is>
      </c>
      <c r="T73" s="5" t="inlineStr">
        <is>
          <t>Revestimento porcelanato parede</t>
        </is>
      </c>
      <c r="U73" s="5" t="inlineStr">
        <is>
          <t>SIM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5" t="inlineStr">
        <is>
          <t>FACHADA LOJA</t>
        </is>
      </c>
      <c r="S74" s="5" t="inlineStr">
        <is>
          <t>32</t>
        </is>
      </c>
      <c r="T74" s="5" t="inlineStr">
        <is>
          <t>Fachada loja</t>
        </is>
      </c>
      <c r="U74" s="5" t="inlineStr">
        <is>
          <t>SIM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5" t="inlineStr">
        <is>
          <t>REVESTIMENTOS PORCELANATO PISO</t>
        </is>
      </c>
      <c r="S75" s="5" t="inlineStr">
        <is>
          <t>30</t>
        </is>
      </c>
      <c r="T75" s="5" t="inlineStr">
        <is>
          <t>Revestimentos porcelanato piso</t>
        </is>
      </c>
      <c r="U75" s="5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5" t="inlineStr">
        <is>
          <t>FACHADA AERADA - F1 + F2 (1º ETAPA)</t>
        </is>
      </c>
      <c r="S76" s="5" t="inlineStr">
        <is>
          <t>32</t>
        </is>
      </c>
      <c r="T76" s="5" t="inlineStr">
        <is>
          <t>Fachada aerada - F1 + F2 (1º etapa)</t>
        </is>
      </c>
      <c r="U76" s="5" t="inlineStr">
        <is>
          <t>SIM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5" t="inlineStr">
        <is>
          <t>DRYWALL</t>
        </is>
      </c>
      <c r="S77" s="5" t="inlineStr">
        <is>
          <t>18</t>
        </is>
      </c>
      <c r="T77" s="5" t="inlineStr">
        <is>
          <t>Drywall</t>
        </is>
      </c>
      <c r="U77" s="5" t="inlineStr">
        <is>
          <t>SIM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5" t="inlineStr">
        <is>
          <t>INSTALAÇÃO DE ADUELAS (ELEVADORES)</t>
        </is>
      </c>
      <c r="S78" s="5" t="inlineStr">
        <is>
          <t>24</t>
        </is>
      </c>
      <c r="T78" s="5" t="inlineStr">
        <is>
          <t>Aduelas (elevadores)</t>
        </is>
      </c>
      <c r="U78" s="5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5" t="inlineStr">
        <is>
          <t>REVESTIMENTO DE GRANITO PISO</t>
        </is>
      </c>
      <c r="S79" s="5" t="inlineStr">
        <is>
          <t>30</t>
        </is>
      </c>
      <c r="T79" s="5" t="inlineStr">
        <is>
          <t>Revestimento de granito piso</t>
        </is>
      </c>
      <c r="U79" s="5" t="inlineStr">
        <is>
          <t>NÃO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5" t="inlineStr">
        <is>
          <t>BANCADAS</t>
        </is>
      </c>
      <c r="S80" s="5" t="inlineStr">
        <is>
          <t>30</t>
        </is>
      </c>
      <c r="T80" s="5" t="inlineStr">
        <is>
          <t>Bancadas</t>
        </is>
      </c>
      <c r="U80" s="5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5" t="inlineStr">
        <is>
          <t>INSTALAÇÕES ELÉTRICAS</t>
        </is>
      </c>
      <c r="S81" s="5" t="inlineStr">
        <is>
          <t>20</t>
        </is>
      </c>
      <c r="T81" s="5" t="inlineStr">
        <is>
          <t>Inst. elétricas</t>
        </is>
      </c>
      <c r="U81" s="5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5" t="inlineStr">
        <is>
          <t>INSTALAÇÕES HIDRÁULICAS</t>
        </is>
      </c>
      <c r="S82" s="5" t="inlineStr">
        <is>
          <t>21</t>
        </is>
      </c>
      <c r="T82" s="5" t="inlineStr">
        <is>
          <t>Inst. hidráulicas</t>
        </is>
      </c>
      <c r="U82" s="5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5" t="inlineStr">
        <is>
          <t>FIAÇÃO ELÉTRICA</t>
        </is>
      </c>
      <c r="S83" s="5" t="inlineStr">
        <is>
          <t>20</t>
        </is>
      </c>
      <c r="T83" s="5" t="inlineStr">
        <is>
          <t>Fiação elétrica</t>
        </is>
      </c>
      <c r="U83" s="5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5" t="inlineStr">
        <is>
          <t>PRUMADA ELÉTRICA - CABOS</t>
        </is>
      </c>
      <c r="S84" s="5" t="inlineStr">
        <is>
          <t>20</t>
        </is>
      </c>
      <c r="T84" s="5" t="inlineStr">
        <is>
          <t>Prumada elétrica - cabos</t>
        </is>
      </c>
      <c r="U84" s="5" t="inlineStr">
        <is>
          <t>SIM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5" t="inlineStr">
        <is>
          <t>FIAÇÃO TELECOM/DADOS</t>
        </is>
      </c>
      <c r="S85" s="5" t="inlineStr">
        <is>
          <t>20</t>
        </is>
      </c>
      <c r="T85" s="5" t="inlineStr">
        <is>
          <t>Fiação telecom/dados</t>
        </is>
      </c>
      <c r="U85" s="5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5" t="inlineStr">
        <is>
          <t>INSTALAÇÕES DE INCÊNDIO</t>
        </is>
      </c>
      <c r="S86" s="5" t="inlineStr">
        <is>
          <t>22</t>
        </is>
      </c>
      <c r="T86" s="5" t="inlineStr">
        <is>
          <t>Inst. de incêndio</t>
        </is>
      </c>
      <c r="U86" s="5" t="inlineStr">
        <is>
          <t>NÃO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5" t="inlineStr">
        <is>
          <t>PREPARAÇÃO PARA FACHADA AERADA - F3 + F4 (1º ETAPA)</t>
        </is>
      </c>
      <c r="S87" s="5" t="inlineStr">
        <is>
          <t>32</t>
        </is>
      </c>
      <c r="T87" s="5" t="inlineStr">
        <is>
          <t>Preparação para fachada aerada - F3 + F4 (1º etapa)</t>
        </is>
      </c>
      <c r="U87" s="5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5" t="inlineStr">
        <is>
          <t>FORRO</t>
        </is>
      </c>
      <c r="S88" s="5" t="inlineStr">
        <is>
          <t>33</t>
        </is>
      </c>
      <c r="T88" s="5" t="inlineStr">
        <is>
          <t>Forro</t>
        </is>
      </c>
      <c r="U88" s="5" t="inlineStr">
        <is>
          <t>SIM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5" t="inlineStr">
        <is>
          <t>SHAFT</t>
        </is>
      </c>
      <c r="S89" s="5" t="inlineStr">
        <is>
          <t>18</t>
        </is>
      </c>
      <c r="T89" s="5" t="inlineStr">
        <is>
          <t>Shaft</t>
        </is>
      </c>
      <c r="U89" s="5" t="inlineStr">
        <is>
          <t>NÃO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5" t="inlineStr">
        <is>
          <t>PRESSURIZAÇÃO (VENTILAÇÃO)</t>
        </is>
      </c>
      <c r="S90" s="5" t="inlineStr">
        <is>
          <t>23</t>
        </is>
      </c>
      <c r="T90" s="5" t="inlineStr">
        <is>
          <t>Pressurização (ventilação)</t>
        </is>
      </c>
      <c r="U90" s="5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5" t="inlineStr">
        <is>
          <t>RESERVATÓRIO</t>
        </is>
      </c>
      <c r="S91" s="5" t="inlineStr">
        <is>
          <t>21</t>
        </is>
      </c>
      <c r="T91" s="5" t="inlineStr">
        <is>
          <t>Reservatório</t>
        </is>
      </c>
      <c r="U91" s="5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5" t="inlineStr">
        <is>
          <t>FACHADA AERADA - F3 + F4 (1º ETAPA)</t>
        </is>
      </c>
      <c r="S92" s="5" t="inlineStr">
        <is>
          <t>32</t>
        </is>
      </c>
      <c r="T92" s="5" t="inlineStr">
        <is>
          <t>Fachada aerada - F3 + F4 (1º etapa)</t>
        </is>
      </c>
      <c r="U92" s="5" t="inlineStr">
        <is>
          <t>SIM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5" t="inlineStr">
        <is>
          <t>PEITORIS E REQUADROS DE FACHADA - F1 + F2 (1º ETAPA)</t>
        </is>
      </c>
      <c r="S93" s="5" t="inlineStr">
        <is>
          <t>32</t>
        </is>
      </c>
      <c r="T93" s="5" t="inlineStr">
        <is>
          <t>Peitoris e requadros de fachada - F1 + F2 (1º etapa)</t>
        </is>
      </c>
      <c r="U93" s="5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5" t="inlineStr">
        <is>
          <t>MASSA CORRIDA</t>
        </is>
      </c>
      <c r="S94" s="5" t="inlineStr">
        <is>
          <t>35</t>
        </is>
      </c>
      <c r="T94" s="5" t="inlineStr">
        <is>
          <t>Massa corrida</t>
        </is>
      </c>
      <c r="U94" s="5" t="inlineStr">
        <is>
          <t>SIM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5" t="inlineStr">
        <is>
          <t>PASSEIOS, MURETAS E RAMPAS</t>
        </is>
      </c>
      <c r="S95" s="5" t="inlineStr">
        <is>
          <t>31</t>
        </is>
      </c>
      <c r="T95" s="5" t="inlineStr">
        <is>
          <t>Passeios, muretas e rampas</t>
        </is>
      </c>
      <c r="U95" s="5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5" t="inlineStr">
        <is>
          <t>ESQUADRIA DE ALUMÍNIO</t>
        </is>
      </c>
      <c r="S96" s="5" t="inlineStr">
        <is>
          <t>25</t>
        </is>
      </c>
      <c r="T96" s="5" t="inlineStr">
        <is>
          <t>Esquadria de alumínio</t>
        </is>
      </c>
      <c r="U96" s="5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5" t="inlineStr">
        <is>
          <t>PREPARAÇÃO PARA FACHADA AERADA - F5 (1º ETAPA)</t>
        </is>
      </c>
      <c r="S97" s="5" t="inlineStr">
        <is>
          <t>32</t>
        </is>
      </c>
      <c r="T97" s="5" t="inlineStr">
        <is>
          <t>Preparação para fachada aerada - F5 (1º etapa)</t>
        </is>
      </c>
      <c r="U97" s="5" t="inlineStr">
        <is>
          <t>SIM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5" t="inlineStr">
        <is>
          <t>PEITORIS E REQUADROS DE FACHADA - F3 + F4 (1º ETAPA)</t>
        </is>
      </c>
      <c r="S98" s="5" t="inlineStr">
        <is>
          <t>32</t>
        </is>
      </c>
      <c r="T98" s="5" t="inlineStr">
        <is>
          <t>Peitoris e requadros de fachada - F3 + F4 (1º etapa)</t>
        </is>
      </c>
      <c r="U98" s="5" t="inlineStr">
        <is>
          <t>SIM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5" t="inlineStr">
        <is>
          <t>PINTURA 1º DEMÃO</t>
        </is>
      </c>
      <c r="S99" s="5" t="inlineStr">
        <is>
          <t>35</t>
        </is>
      </c>
      <c r="T99" s="5" t="inlineStr">
        <is>
          <t>Pintura 1ª demão</t>
        </is>
      </c>
      <c r="U99" s="5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5" t="inlineStr">
        <is>
          <t>FACHADA AERADA - F5 (1º ETAPA)</t>
        </is>
      </c>
      <c r="S100" s="5" t="inlineStr">
        <is>
          <t>32</t>
        </is>
      </c>
      <c r="T100" s="5" t="inlineStr">
        <is>
          <t>Fachada aerada - F5 (1º etapa)</t>
        </is>
      </c>
      <c r="U100" s="5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5" t="inlineStr">
        <is>
          <t>GERADOR/TRANSFORMADOR</t>
        </is>
      </c>
      <c r="S101" s="5" t="inlineStr">
        <is>
          <t>20</t>
        </is>
      </c>
      <c r="T101" s="5" t="inlineStr">
        <is>
          <t>Gerador/transformador</t>
        </is>
      </c>
      <c r="U101" s="5" t="inlineStr">
        <is>
          <t>NÃO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5" t="inlineStr">
        <is>
          <t>DISJUNTORES / MIOLOS</t>
        </is>
      </c>
      <c r="S102" s="5" t="inlineStr">
        <is>
          <t>20</t>
        </is>
      </c>
      <c r="T102" s="5" t="inlineStr">
        <is>
          <t>Disjuntores / miolos</t>
        </is>
      </c>
      <c r="U102" s="5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5" t="inlineStr">
        <is>
          <t>INSTALAÇÃO DE LUMINÁRIAS E SENSORES</t>
        </is>
      </c>
      <c r="S103" s="5" t="inlineStr">
        <is>
          <t>20</t>
        </is>
      </c>
      <c r="T103" s="5" t="inlineStr">
        <is>
          <t>Luminárias e sensores</t>
        </is>
      </c>
      <c r="U103" s="5" t="inlineStr">
        <is>
          <t>NÃO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5" t="inlineStr">
        <is>
          <t>PISO VINÍLICO / LAMINADO</t>
        </is>
      </c>
      <c r="S104" s="5" t="inlineStr">
        <is>
          <t>30</t>
        </is>
      </c>
      <c r="T104" s="5" t="inlineStr">
        <is>
          <t>Piso vinílico / laminado</t>
        </is>
      </c>
      <c r="U104" s="5" t="inlineStr">
        <is>
          <t>SIM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5" t="inlineStr">
        <is>
          <t>INSTALAÇÕES INCÊNDIO</t>
        </is>
      </c>
      <c r="S105" s="5" t="inlineStr">
        <is>
          <t>22</t>
        </is>
      </c>
      <c r="T105" s="5" t="inlineStr">
        <is>
          <t>Inst. incêndio</t>
        </is>
      </c>
      <c r="U105" s="5" t="inlineStr">
        <is>
          <t>NÃO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5" t="inlineStr">
        <is>
          <t>INST. MÓDULOS CHURRASQUEIRA</t>
        </is>
      </c>
      <c r="S106" s="5" t="inlineStr">
        <is>
          <t>23</t>
        </is>
      </c>
      <c r="T106" s="5" t="inlineStr">
        <is>
          <t>Inst. módulos churrasqueira</t>
        </is>
      </c>
      <c r="U106" s="5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5" t="inlineStr">
        <is>
          <t>ESQUADRIA MADEIRA</t>
        </is>
      </c>
      <c r="S107" s="5" t="inlineStr">
        <is>
          <t>25</t>
        </is>
      </c>
      <c r="T107" s="5" t="inlineStr">
        <is>
          <t>Esquadria madeira</t>
        </is>
      </c>
      <c r="U107" s="5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5" t="inlineStr">
        <is>
          <t>PLACAS E IDEINTIFIC. VISUAIS</t>
        </is>
      </c>
      <c r="S108" s="5" t="n"/>
      <c r="T108" s="5" t="inlineStr">
        <is>
          <t>Placas e ideintific. visuais</t>
        </is>
      </c>
      <c r="U108" s="5" t="inlineStr">
        <is>
          <t>NÃO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5" t="inlineStr">
        <is>
          <t>INSTALAÇÃO DE LUMINÁRIAS</t>
        </is>
      </c>
      <c r="S109" s="5" t="inlineStr">
        <is>
          <t>20</t>
        </is>
      </c>
      <c r="T109" s="5" t="inlineStr">
        <is>
          <t>Luminárias</t>
        </is>
      </c>
      <c r="U109" s="5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5" t="inlineStr">
        <is>
          <t>INSTALAÇÃO DE PCF (FOLHA)</t>
        </is>
      </c>
      <c r="S110" s="5" t="inlineStr">
        <is>
          <t>26</t>
        </is>
      </c>
      <c r="T110" s="5" t="inlineStr">
        <is>
          <t>PCF (folha)</t>
        </is>
      </c>
      <c r="U110" s="5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5" t="inlineStr">
        <is>
          <t>MARCENARIA - SHAFTS</t>
        </is>
      </c>
      <c r="S111" s="5" t="inlineStr">
        <is>
          <t>27</t>
        </is>
      </c>
      <c r="T111" s="5" t="inlineStr">
        <is>
          <t>Marcenaria - shafts</t>
        </is>
      </c>
      <c r="U111" s="5" t="inlineStr">
        <is>
          <t>SIM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5" t="inlineStr">
        <is>
          <t>PREPARAÇÃO - POÇO DE ELEVADOR</t>
        </is>
      </c>
      <c r="S112" s="5" t="inlineStr">
        <is>
          <t>24</t>
        </is>
      </c>
      <c r="T112" s="5" t="inlineStr">
        <is>
          <t>Preparação - poço de elevador</t>
        </is>
      </c>
      <c r="U112" s="5" t="inlineStr">
        <is>
          <t>SIM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5" t="inlineStr">
        <is>
          <t>PREPARAÇÃO PARA FACHADA AERADA - F1 + F2 (2º ETAPA)</t>
        </is>
      </c>
      <c r="S113" s="5" t="inlineStr">
        <is>
          <t>32</t>
        </is>
      </c>
      <c r="T113" s="5" t="inlineStr">
        <is>
          <t>Preparação para fachada aerada - F1 + F2 (2º etapa)</t>
        </is>
      </c>
      <c r="U113" s="5" t="inlineStr">
        <is>
          <t>SIM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5" t="inlineStr">
        <is>
          <t>RODAPÉ MADEIRA / PVC</t>
        </is>
      </c>
      <c r="S114" s="5" t="inlineStr">
        <is>
          <t>30</t>
        </is>
      </c>
      <c r="T114" s="5" t="inlineStr">
        <is>
          <t>Rodapé madeira / pvc</t>
        </is>
      </c>
      <c r="U114" s="5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5" t="inlineStr">
        <is>
          <t>INSTALAÇÃO DE CORRIMÃO (SERRALHERIA)</t>
        </is>
      </c>
      <c r="S115" s="5" t="inlineStr">
        <is>
          <t>26</t>
        </is>
      </c>
      <c r="T115" s="5" t="inlineStr">
        <is>
          <t>Corrimão (serralheria)</t>
        </is>
      </c>
      <c r="U115" s="5" t="inlineStr">
        <is>
          <t>SIM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5" t="inlineStr">
        <is>
          <t>LOUÇAS</t>
        </is>
      </c>
      <c r="S116" s="5" t="inlineStr">
        <is>
          <t>34</t>
        </is>
      </c>
      <c r="T116" s="5" t="inlineStr">
        <is>
          <t>Louças</t>
        </is>
      </c>
      <c r="U116" s="5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5" t="inlineStr">
        <is>
          <t>METAIS</t>
        </is>
      </c>
      <c r="S117" s="5" t="inlineStr">
        <is>
          <t>34</t>
        </is>
      </c>
      <c r="T117" s="5" t="inlineStr">
        <is>
          <t>Metais</t>
        </is>
      </c>
      <c r="U117" s="5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5" t="inlineStr">
        <is>
          <t>COMUNICAÇÃO E ALARME</t>
        </is>
      </c>
      <c r="S118" s="5" t="inlineStr">
        <is>
          <t>23</t>
        </is>
      </c>
      <c r="T118" s="5" t="inlineStr">
        <is>
          <t>Comunicação e alarme</t>
        </is>
      </c>
      <c r="U118" s="5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5" t="inlineStr">
        <is>
          <t>REBOCO EXTERNO</t>
        </is>
      </c>
      <c r="S119" s="5" t="inlineStr">
        <is>
          <t>32</t>
        </is>
      </c>
      <c r="T119" s="5" t="inlineStr">
        <is>
          <t>Reboco externo</t>
        </is>
      </c>
      <c r="U119" s="5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5" t="inlineStr">
        <is>
          <t>FACHADA AERADA - F1 + F2 (2º ETAPA)</t>
        </is>
      </c>
      <c r="S120" s="5" t="inlineStr">
        <is>
          <t>32</t>
        </is>
      </c>
      <c r="T120" s="5" t="inlineStr">
        <is>
          <t>Fachada aerada - F1 + F2 (2º etapa)</t>
        </is>
      </c>
      <c r="U120" s="5" t="inlineStr">
        <is>
          <t>SIM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5" t="inlineStr">
        <is>
          <t>LIMPEZA GROSSA</t>
        </is>
      </c>
      <c r="S121" s="5" t="inlineStr">
        <is>
          <t>37</t>
        </is>
      </c>
      <c r="T121" s="5" t="inlineStr">
        <is>
          <t>Limpeza grossa</t>
        </is>
      </c>
      <c r="U121" s="5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5" t="inlineStr">
        <is>
          <t>PEITORIS E REQUADROS DE FACHADA - F5 (1º ETAPA)</t>
        </is>
      </c>
      <c r="S122" s="5" t="inlineStr">
        <is>
          <t>32</t>
        </is>
      </c>
      <c r="T122" s="5" t="inlineStr">
        <is>
          <t>Peitoris e requadros de fachada - F5 (1º etapa)</t>
        </is>
      </c>
      <c r="U122" s="5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5" t="inlineStr">
        <is>
          <t>POLIMENTO DE PISO</t>
        </is>
      </c>
      <c r="S123" s="5" t="inlineStr">
        <is>
          <t>30</t>
        </is>
      </c>
      <c r="T123" s="5" t="inlineStr">
        <is>
          <t>Polimento de piso</t>
        </is>
      </c>
      <c r="U123" s="5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5" t="inlineStr">
        <is>
          <t>PREPARAÇÃO PARA FACHADA AERADA - F3 + F4 (2º ETAPA)</t>
        </is>
      </c>
      <c r="S124" s="5" t="inlineStr">
        <is>
          <t>32</t>
        </is>
      </c>
      <c r="T124" s="5" t="inlineStr">
        <is>
          <t>Preparação para fachada aerada - F3 + F4 (2º etapa)</t>
        </is>
      </c>
      <c r="U124" s="5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5" t="inlineStr">
        <is>
          <t>PINTURA 2º DEMÃO</t>
        </is>
      </c>
      <c r="S125" s="5" t="inlineStr">
        <is>
          <t>35</t>
        </is>
      </c>
      <c r="T125" s="5" t="inlineStr">
        <is>
          <t>Pintura 2ª demão</t>
        </is>
      </c>
      <c r="U125" s="5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5" t="inlineStr">
        <is>
          <t>TEXTURA - EXTERNA</t>
        </is>
      </c>
      <c r="S126" s="5" t="inlineStr">
        <is>
          <t>32</t>
        </is>
      </c>
      <c r="T126" s="5" t="inlineStr">
        <is>
          <t>Textura - externa</t>
        </is>
      </c>
      <c r="U126" s="5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5" t="inlineStr">
        <is>
          <t>PONTOS DE ANCORAGEM INOX</t>
        </is>
      </c>
      <c r="S127" s="5" t="inlineStr">
        <is>
          <t>26</t>
        </is>
      </c>
      <c r="T127" s="5" t="inlineStr">
        <is>
          <t>Pontos de ancoragem inox</t>
        </is>
      </c>
      <c r="U127" s="5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5" t="inlineStr">
        <is>
          <t>ACABAMENTOS ELÉTRICOS</t>
        </is>
      </c>
      <c r="S128" s="5" t="inlineStr">
        <is>
          <t>20</t>
        </is>
      </c>
      <c r="T128" s="5" t="inlineStr">
        <is>
          <t>Acabamentos elétricos</t>
        </is>
      </c>
      <c r="U128" s="5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5" t="inlineStr">
        <is>
          <t>TEXTURA - 1º DEMÃO</t>
        </is>
      </c>
      <c r="S129" s="5" t="inlineStr">
        <is>
          <t>35</t>
        </is>
      </c>
      <c r="T129" s="5" t="inlineStr">
        <is>
          <t>Textura - 1ª demão</t>
        </is>
      </c>
      <c r="U129" s="5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5" t="inlineStr">
        <is>
          <t>PINTURA DE TUBULAÇÕES (PAREDE E TETO)</t>
        </is>
      </c>
      <c r="S130" s="5" t="inlineStr">
        <is>
          <t>35</t>
        </is>
      </c>
      <c r="T130" s="5" t="inlineStr">
        <is>
          <t>Pintura de tubulações (parede e teto)</t>
        </is>
      </c>
      <c r="U130" s="5" t="inlineStr">
        <is>
          <t>NÃO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5" t="inlineStr">
        <is>
          <t>PEITORIS E REQUADROS DE FACHADA - F1 + F2 (2º ETAPA)</t>
        </is>
      </c>
      <c r="S131" s="5" t="inlineStr">
        <is>
          <t>32</t>
        </is>
      </c>
      <c r="T131" s="5" t="inlineStr">
        <is>
          <t>Peitoris e requadros de fachada - F1 + F2 (2º etapa)</t>
        </is>
      </c>
      <c r="U131" s="5" t="inlineStr">
        <is>
          <t>SIM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5" t="inlineStr">
        <is>
          <t>CHECKLIST</t>
        </is>
      </c>
      <c r="S132" s="5" t="n"/>
      <c r="T132" s="5" t="inlineStr">
        <is>
          <t>Checklist</t>
        </is>
      </c>
      <c r="U132" s="5" t="inlineStr">
        <is>
          <t>SIM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5" t="inlineStr">
        <is>
          <t>FACHADA AERADA - F3 + F4 (2º ETAPA)</t>
        </is>
      </c>
      <c r="S133" s="5" t="inlineStr">
        <is>
          <t>32</t>
        </is>
      </c>
      <c r="T133" s="5" t="inlineStr">
        <is>
          <t>Fachada aerada - F3 + F4 (2º etapa)</t>
        </is>
      </c>
      <c r="U133" s="5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5" t="inlineStr">
        <is>
          <t>PINTURA 3º DEMÃO</t>
        </is>
      </c>
      <c r="S134" s="5" t="inlineStr">
        <is>
          <t>35</t>
        </is>
      </c>
      <c r="T134" s="5" t="inlineStr">
        <is>
          <t>Pintura 3ª demão</t>
        </is>
      </c>
      <c r="U134" s="5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5" t="inlineStr">
        <is>
          <t>PINTURA - CORRIMÃO</t>
        </is>
      </c>
      <c r="S135" s="5" t="inlineStr">
        <is>
          <t>35</t>
        </is>
      </c>
      <c r="T135" s="5" t="inlineStr">
        <is>
          <t>Pintura - corrimão</t>
        </is>
      </c>
      <c r="U135" s="5" t="inlineStr">
        <is>
          <t>NÃO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5" t="inlineStr">
        <is>
          <t>PREPARAÇÃO PARA FACHADA AERADA - F5 (2º ETAPA)</t>
        </is>
      </c>
      <c r="S136" s="5" t="inlineStr">
        <is>
          <t>32</t>
        </is>
      </c>
      <c r="T136" s="5" t="inlineStr">
        <is>
          <t>Preparação para fachada aerada - F5 (2º etapa)</t>
        </is>
      </c>
      <c r="U136" s="5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5" t="inlineStr">
        <is>
          <t>INSTALAÇÃO DE SHADOWBOX E BRISE - F1 + F2</t>
        </is>
      </c>
      <c r="S137" s="5" t="inlineStr">
        <is>
          <t>25</t>
        </is>
      </c>
      <c r="T137" s="5" t="inlineStr">
        <is>
          <t>Shadowbox e brise - F1 + F2</t>
        </is>
      </c>
      <c r="U137" s="5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5" t="inlineStr">
        <is>
          <t>LIMPEZA FINA</t>
        </is>
      </c>
      <c r="S138" s="5" t="inlineStr">
        <is>
          <t>37</t>
        </is>
      </c>
      <c r="T138" s="5" t="inlineStr">
        <is>
          <t>Limpeza fina</t>
        </is>
      </c>
      <c r="U138" s="5" t="inlineStr">
        <is>
          <t>SIM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5" t="inlineStr">
        <is>
          <t>PISO EMBORRACHADO</t>
        </is>
      </c>
      <c r="S139" s="5" t="inlineStr">
        <is>
          <t>30</t>
        </is>
      </c>
      <c r="T139" s="5" t="inlineStr">
        <is>
          <t>Piso emborrachado</t>
        </is>
      </c>
      <c r="U139" s="5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5" t="inlineStr">
        <is>
          <t>DEMARCAÇÃO DE VAGAS</t>
        </is>
      </c>
      <c r="S140" s="5" t="inlineStr">
        <is>
          <t>31</t>
        </is>
      </c>
      <c r="T140" s="5" t="inlineStr">
        <is>
          <t>Demarcação de vagas</t>
        </is>
      </c>
      <c r="U140" s="5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5" t="inlineStr">
        <is>
          <t>INSTALAÇÃO DE METAIS</t>
        </is>
      </c>
      <c r="S141" s="5" t="inlineStr">
        <is>
          <t>34</t>
        </is>
      </c>
      <c r="T141" s="5" t="inlineStr">
        <is>
          <t>Metais</t>
        </is>
      </c>
      <c r="U141" s="5" t="inlineStr">
        <is>
          <t>NÃO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5" t="inlineStr">
        <is>
          <t>INST. CARREGADOR DE VEÍCULOS</t>
        </is>
      </c>
      <c r="S142" s="5" t="inlineStr">
        <is>
          <t>20</t>
        </is>
      </c>
      <c r="T142" s="5" t="inlineStr">
        <is>
          <t>Inst. carregador de veículos</t>
        </is>
      </c>
      <c r="U142" s="5" t="inlineStr">
        <is>
          <t>NÃO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5" t="inlineStr">
        <is>
          <t>MONTAGEM - ELEVADOR 1</t>
        </is>
      </c>
      <c r="S143" s="5" t="inlineStr">
        <is>
          <t>24</t>
        </is>
      </c>
      <c r="T143" s="5" t="inlineStr">
        <is>
          <t>Montagem - elevador 1</t>
        </is>
      </c>
      <c r="U143" s="5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5" t="inlineStr">
        <is>
          <t>REVESTIMENTO ACABAMENTO</t>
        </is>
      </c>
      <c r="S144" s="5" t="inlineStr">
        <is>
          <t>30</t>
        </is>
      </c>
      <c r="T144" s="5" t="inlineStr">
        <is>
          <t>Revestimento acabamento</t>
        </is>
      </c>
      <c r="U144" s="5" t="inlineStr">
        <is>
          <t>NÃO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5" t="inlineStr">
        <is>
          <t>PEITORIS E REQUADROS DE FACHADA - F3 + F4 (2º ETAPA)</t>
        </is>
      </c>
      <c r="S145" s="5" t="inlineStr">
        <is>
          <t>32</t>
        </is>
      </c>
      <c r="T145" s="5" t="inlineStr">
        <is>
          <t>Peitoris e requadros de fachada - F3 + F4 (2º etapa)</t>
        </is>
      </c>
      <c r="U145" s="5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5" t="inlineStr">
        <is>
          <t>AQUECEDOR (SAUNA)</t>
        </is>
      </c>
      <c r="S146" s="5" t="inlineStr">
        <is>
          <t>23</t>
        </is>
      </c>
      <c r="T146" s="5" t="inlineStr">
        <is>
          <t>Aquecedor (sauna)</t>
        </is>
      </c>
      <c r="U146" s="5" t="inlineStr">
        <is>
          <t>NÃO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5" t="inlineStr">
        <is>
          <t>IRRIGAÇÃO</t>
        </is>
      </c>
      <c r="S147" s="5" t="inlineStr">
        <is>
          <t>36</t>
        </is>
      </c>
      <c r="T147" s="5" t="inlineStr">
        <is>
          <t>Irrigação</t>
        </is>
      </c>
      <c r="U147" s="5" t="inlineStr">
        <is>
          <t>SIM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5" t="inlineStr">
        <is>
          <t>FACHADA AERADA - F5 (2º ETAPA)</t>
        </is>
      </c>
      <c r="S148" s="5" t="inlineStr">
        <is>
          <t>32</t>
        </is>
      </c>
      <c r="T148" s="5" t="inlineStr">
        <is>
          <t>Fachada aerada - F5 (2º etapa)</t>
        </is>
      </c>
      <c r="U148" s="5" t="inlineStr">
        <is>
          <t>SIM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5" t="inlineStr">
        <is>
          <t>TEXTURA - 2º E 3º DEMÃO</t>
        </is>
      </c>
      <c r="S149" s="5" t="inlineStr">
        <is>
          <t>35</t>
        </is>
      </c>
      <c r="T149" s="5" t="inlineStr">
        <is>
          <t>Textura - 2ª e 3ª demão</t>
        </is>
      </c>
      <c r="U149" s="5" t="inlineStr">
        <is>
          <t>NÃO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5" t="inlineStr">
        <is>
          <t>PAISAGISMO</t>
        </is>
      </c>
      <c r="S150" s="5" t="inlineStr">
        <is>
          <t>36</t>
        </is>
      </c>
      <c r="T150" s="5" t="inlineStr">
        <is>
          <t>Paisagismo</t>
        </is>
      </c>
      <c r="U150" s="5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5" t="inlineStr">
        <is>
          <t>FACHADA</t>
        </is>
      </c>
      <c r="S151" s="5" t="inlineStr">
        <is>
          <t>32</t>
        </is>
      </c>
      <c r="T151" s="5" t="inlineStr">
        <is>
          <t>Fachada</t>
        </is>
      </c>
      <c r="U151" s="5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5" t="inlineStr">
        <is>
          <t>PRESSURIZAÇÃO (HIDRÁULICA)</t>
        </is>
      </c>
      <c r="S152" s="5" t="inlineStr">
        <is>
          <t>21</t>
        </is>
      </c>
      <c r="T152" s="5" t="inlineStr">
        <is>
          <t>Pressurização (hidráulica)</t>
        </is>
      </c>
      <c r="U152" s="5" t="inlineStr">
        <is>
          <t>NÃO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5" t="inlineStr">
        <is>
          <t>INSTALAÇÃO DE SHADOWBOX E BRISES - F3 + F4</t>
        </is>
      </c>
      <c r="S153" s="5" t="inlineStr">
        <is>
          <t>25</t>
        </is>
      </c>
      <c r="T153" s="5" t="inlineStr">
        <is>
          <t>Shadowbox e brises - F3 + F4</t>
        </is>
      </c>
      <c r="U153" s="5" t="inlineStr">
        <is>
          <t>NÃO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5" t="inlineStr">
        <is>
          <t>TRATAMENTO DE CONCRETO APARENTE - F1 + F2</t>
        </is>
      </c>
      <c r="S154" s="5" t="inlineStr">
        <is>
          <t>35</t>
        </is>
      </c>
      <c r="T154" s="5" t="inlineStr">
        <is>
          <t>Tratamento de concreto aparente - F1 + F2</t>
        </is>
      </c>
      <c r="U154" s="5" t="inlineStr">
        <is>
          <t>NÃO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5" t="inlineStr">
        <is>
          <t>LIMPEZA</t>
        </is>
      </c>
      <c r="S155" s="5" t="inlineStr">
        <is>
          <t>37</t>
        </is>
      </c>
      <c r="T155" s="5" t="inlineStr">
        <is>
          <t>Limpeza</t>
        </is>
      </c>
      <c r="U155" s="5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5" t="inlineStr">
        <is>
          <t>MONTAGEM - ELEVADOR 2</t>
        </is>
      </c>
      <c r="S156" s="5" t="inlineStr">
        <is>
          <t>24</t>
        </is>
      </c>
      <c r="T156" s="5" t="inlineStr">
        <is>
          <t>Montagem - elevador 2</t>
        </is>
      </c>
      <c r="U156" s="5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5" t="inlineStr">
        <is>
          <t>PEITORIS E REQUADROS DE FACHADA - F5 (2º ETAPA)</t>
        </is>
      </c>
      <c r="S157" s="5" t="inlineStr">
        <is>
          <t>32</t>
        </is>
      </c>
      <c r="T157" s="5" t="inlineStr">
        <is>
          <t>Peitoris e requadros de fachada - F5 (2º etapa)</t>
        </is>
      </c>
      <c r="U157" s="5" t="inlineStr">
        <is>
          <t>SIM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5" t="inlineStr">
        <is>
          <t>MONTAGEM - BOILERS E AQUECEDORES</t>
        </is>
      </c>
      <c r="S158" s="5" t="inlineStr">
        <is>
          <t>21</t>
        </is>
      </c>
      <c r="T158" s="5" t="inlineStr">
        <is>
          <t>Montagem - boilers e aquecedores</t>
        </is>
      </c>
      <c r="U158" s="5" t="inlineStr">
        <is>
          <t>NÃO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5" t="inlineStr">
        <is>
          <t>BRISE</t>
        </is>
      </c>
      <c r="S159" s="5" t="inlineStr">
        <is>
          <t>25</t>
        </is>
      </c>
      <c r="T159" s="5" t="inlineStr">
        <is>
          <t>Brise</t>
        </is>
      </c>
      <c r="U159" s="5" t="inlineStr">
        <is>
          <t>NÃO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5" t="inlineStr">
        <is>
          <t>EQUIPAMENTOS - PISCINA</t>
        </is>
      </c>
      <c r="S160" s="5" t="inlineStr">
        <is>
          <t>23</t>
        </is>
      </c>
      <c r="T160" s="5" t="inlineStr">
        <is>
          <t>Equipamentos - piscina</t>
        </is>
      </c>
      <c r="U160" s="5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5" t="inlineStr">
        <is>
          <t>SPDA</t>
        </is>
      </c>
      <c r="S161" s="5" t="inlineStr">
        <is>
          <t>20</t>
        </is>
      </c>
      <c r="T161" s="5" t="inlineStr">
        <is>
          <t>Spda</t>
        </is>
      </c>
      <c r="U161" s="5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5" t="inlineStr">
        <is>
          <t>TRATAMENTO DE CONCRETO APARENTE - F3 + F4</t>
        </is>
      </c>
      <c r="S162" s="5" t="inlineStr">
        <is>
          <t>35</t>
        </is>
      </c>
      <c r="T162" s="5" t="inlineStr">
        <is>
          <t>Tratamento de concreto aparente - F3 + F4</t>
        </is>
      </c>
      <c r="U162" s="5" t="inlineStr">
        <is>
          <t>NÃO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5" t="inlineStr">
        <is>
          <t>QUADRA DE RECREAÇÃO</t>
        </is>
      </c>
      <c r="S163" s="5" t="inlineStr">
        <is>
          <t>31</t>
        </is>
      </c>
      <c r="T163" s="5" t="inlineStr">
        <is>
          <t>Quadra de recreação</t>
        </is>
      </c>
      <c r="U163" s="5" t="inlineStr">
        <is>
          <t>SIM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5" t="inlineStr">
        <is>
          <t>INSTALAÇÃO DE SHADOWBOX E BRISES - F5</t>
        </is>
      </c>
      <c r="S164" s="5" t="inlineStr">
        <is>
          <t>25</t>
        </is>
      </c>
      <c r="T164" s="5" t="inlineStr">
        <is>
          <t>Shadowbox e brises - F5</t>
        </is>
      </c>
      <c r="U164" s="5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5" t="inlineStr">
        <is>
          <t>FACHADA EMBASAMENTO</t>
        </is>
      </c>
      <c r="S165" s="5" t="inlineStr">
        <is>
          <t>32</t>
        </is>
      </c>
      <c r="T165" s="5" t="inlineStr">
        <is>
          <t>Fachada embasamento</t>
        </is>
      </c>
      <c r="U165" s="5" t="inlineStr">
        <is>
          <t>SIM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5" t="inlineStr">
        <is>
          <t>MONTAGEM - ELEVADOR 3</t>
        </is>
      </c>
      <c r="S166" s="5" t="inlineStr">
        <is>
          <t>24</t>
        </is>
      </c>
      <c r="T166" s="5" t="inlineStr">
        <is>
          <t>Montagem - elevador 3</t>
        </is>
      </c>
      <c r="U166" s="5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5" t="inlineStr">
        <is>
          <t>PRESSURIZAÇÃO (INCÊNDIO)</t>
        </is>
      </c>
      <c r="S167" s="5" t="inlineStr">
        <is>
          <t>22</t>
        </is>
      </c>
      <c r="T167" s="5" t="inlineStr">
        <is>
          <t>Pressurização (incêndio)</t>
        </is>
      </c>
      <c r="U167" s="5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5" t="inlineStr">
        <is>
          <t>PISO ELEVADO</t>
        </is>
      </c>
      <c r="S168" s="5" t="inlineStr">
        <is>
          <t>30</t>
        </is>
      </c>
      <c r="T168" s="5" t="inlineStr">
        <is>
          <t>Piso elevado</t>
        </is>
      </c>
      <c r="U168" s="5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5" t="inlineStr">
        <is>
          <t>TRATAMENTO DE CONCRETO APARENTE - F5</t>
        </is>
      </c>
      <c r="S169" s="5" t="inlineStr">
        <is>
          <t>35</t>
        </is>
      </c>
      <c r="T169" s="5" t="inlineStr">
        <is>
          <t>Tratamento de concreto aparente - F5</t>
        </is>
      </c>
      <c r="U169" s="5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5" t="inlineStr">
        <is>
          <t>CHECKLIST FINAL</t>
        </is>
      </c>
      <c r="S170" s="5" t="n"/>
      <c r="T170" s="5" t="inlineStr">
        <is>
          <t>Checklist final</t>
        </is>
      </c>
      <c r="U170" s="5" t="inlineStr">
        <is>
          <t>SIM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5" t="inlineStr">
        <is>
          <t>ENXOVAL</t>
        </is>
      </c>
      <c r="S171" s="5" t="n"/>
      <c r="T171" s="5" t="inlineStr">
        <is>
          <t>Enxoval</t>
        </is>
      </c>
      <c r="U171" s="5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5" t="inlineStr">
        <is>
          <t>VISTORIA APTOS</t>
        </is>
      </c>
      <c r="S172" s="5" t="n"/>
      <c r="T172" s="5" t="inlineStr">
        <is>
          <t>Vistoria aptos</t>
        </is>
      </c>
      <c r="U172" s="5" t="inlineStr">
        <is>
          <t>SIM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5" t="inlineStr">
        <is>
          <t>HABITE-SE</t>
        </is>
      </c>
      <c r="S173" s="5" t="n"/>
      <c r="T173" s="5" t="inlineStr">
        <is>
          <t>Habite-se</t>
        </is>
      </c>
      <c r="U173" s="5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5" t="inlineStr">
        <is>
          <t>ENTREGA SÍNDICO</t>
        </is>
      </c>
      <c r="S174" s="5" t="n"/>
      <c r="T174" s="5" t="inlineStr">
        <is>
          <t>Entrega síndico</t>
        </is>
      </c>
      <c r="U174" s="5" t="inlineStr">
        <is>
          <t>NÃO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5" t="n"/>
      <c r="S175" s="5" t="n"/>
      <c r="T175" s="5" t="n"/>
      <c r="U175" s="5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5" t="n"/>
      <c r="S176" s="5" t="n"/>
      <c r="T176" s="5" t="n"/>
      <c r="U176" s="5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5" t="n"/>
      <c r="S177" s="5" t="n"/>
      <c r="T177" s="5" t="n"/>
      <c r="U177" s="5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5" t="n"/>
      <c r="S178" s="5" t="n"/>
      <c r="T178" s="5" t="n"/>
      <c r="U178" s="5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5" t="n"/>
      <c r="S179" s="5" t="n"/>
      <c r="T179" s="5" t="n"/>
      <c r="U179" s="5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5" t="n"/>
      <c r="S180" s="5" t="n"/>
      <c r="T180" s="5" t="n"/>
      <c r="U180" s="5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5" t="n"/>
      <c r="S181" s="5" t="n"/>
      <c r="T181" s="5" t="n"/>
      <c r="U181" s="5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5" t="n"/>
      <c r="S182" s="5" t="n"/>
      <c r="T182" s="5" t="n"/>
      <c r="U182" s="5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5" t="n"/>
      <c r="S183" s="5" t="n"/>
      <c r="T183" s="5" t="n"/>
      <c r="U183" s="5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5" t="n"/>
      <c r="S184" s="5" t="n"/>
      <c r="T184" s="5" t="n"/>
      <c r="U184" s="5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5" t="n"/>
      <c r="S185" s="5" t="n"/>
      <c r="T185" s="5" t="n"/>
      <c r="U185" s="5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5" t="n"/>
      <c r="S186" s="5" t="n"/>
      <c r="T186" s="5" t="n"/>
      <c r="U186" s="5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5" t="n"/>
      <c r="S187" s="5" t="n"/>
      <c r="T187" s="5" t="n"/>
      <c r="U187" s="5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5" t="n"/>
      <c r="S188" s="5" t="n"/>
      <c r="T188" s="5" t="n"/>
      <c r="U188" s="5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5" t="n"/>
      <c r="S189" s="5" t="n"/>
      <c r="T189" s="5" t="n"/>
      <c r="U189" s="5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5" t="n"/>
      <c r="S190" s="5" t="n"/>
      <c r="T190" s="5" t="n"/>
      <c r="U190" s="5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5" t="n"/>
      <c r="S191" s="5" t="n"/>
      <c r="T191" s="5" t="n"/>
      <c r="U191" s="5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5" t="n"/>
      <c r="S192" s="5" t="n"/>
      <c r="T192" s="5" t="n"/>
      <c r="U192" s="5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5" t="n"/>
      <c r="S193" s="5" t="n"/>
      <c r="T193" s="5" t="n"/>
      <c r="U193" s="5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5" t="n"/>
      <c r="S194" s="5" t="n"/>
      <c r="T194" s="5" t="n"/>
      <c r="U194" s="5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5" t="n"/>
      <c r="S195" s="5" t="n"/>
      <c r="T195" s="5" t="n"/>
      <c r="U195" s="5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5" t="n"/>
      <c r="S196" s="5" t="n"/>
      <c r="T196" s="5" t="n"/>
      <c r="U196" s="5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5" t="n"/>
      <c r="S197" s="5" t="n"/>
      <c r="T197" s="5" t="n"/>
      <c r="U197" s="5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5" t="n"/>
      <c r="S198" s="5" t="n"/>
      <c r="T198" s="5" t="n"/>
      <c r="U198" s="5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5" t="n"/>
      <c r="S199" s="5" t="n"/>
      <c r="T199" s="5" t="n"/>
      <c r="U199" s="5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5" t="n"/>
      <c r="S200" s="5" t="n"/>
      <c r="T200" s="5" t="n"/>
      <c r="U200" s="5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5" t="n"/>
      <c r="S201" s="5" t="n"/>
      <c r="T201" s="5" t="n"/>
      <c r="U201" s="5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5" t="n"/>
      <c r="S202" s="5" t="n"/>
      <c r="T202" s="5" t="n"/>
      <c r="U202" s="5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5" t="n"/>
      <c r="S203" s="5" t="n"/>
      <c r="T203" s="5" t="n"/>
      <c r="U203" s="5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5" t="n"/>
      <c r="S204" s="5" t="n"/>
      <c r="T204" s="5" t="n"/>
      <c r="U204" s="5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5" t="n"/>
      <c r="S205" s="5" t="n"/>
      <c r="T205" s="5" t="n"/>
      <c r="U205" s="5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5" t="n"/>
      <c r="S206" s="5" t="n"/>
      <c r="T206" s="5" t="n"/>
      <c r="U206" s="5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5" t="n"/>
      <c r="S207" s="5" t="n"/>
      <c r="T207" s="5" t="n"/>
      <c r="U207" s="5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5" t="n"/>
      <c r="S208" s="5" t="n"/>
      <c r="T208" s="5" t="n"/>
      <c r="U208" s="5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5" t="n"/>
      <c r="S209" s="5" t="n"/>
      <c r="T209" s="5" t="n"/>
      <c r="U209" s="5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5" t="n"/>
      <c r="S210" s="5" t="n"/>
      <c r="T210" s="5" t="n"/>
      <c r="U210" s="5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5" t="n"/>
      <c r="S211" s="5" t="n"/>
      <c r="T211" s="5" t="n"/>
      <c r="U211" s="5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5" t="n"/>
      <c r="S212" s="5" t="n"/>
      <c r="T212" s="5" t="n"/>
      <c r="U212" s="5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5" t="n"/>
      <c r="S213" s="5" t="n"/>
      <c r="T213" s="5" t="n"/>
      <c r="U213" s="5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5" t="n"/>
      <c r="S214" s="5" t="n"/>
      <c r="T214" s="5" t="n"/>
      <c r="U214" s="5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5" t="n"/>
      <c r="S215" s="5" t="n"/>
      <c r="T215" s="5" t="n"/>
      <c r="U215" s="5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5" t="n"/>
      <c r="S216" s="5" t="n"/>
      <c r="T216" s="5" t="n"/>
      <c r="U216" s="5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5" t="n"/>
      <c r="S217" s="5" t="n"/>
      <c r="T217" s="5" t="n"/>
      <c r="U217" s="5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5" t="n"/>
      <c r="S218" s="5" t="n"/>
      <c r="T218" s="5" t="n"/>
      <c r="U218" s="5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5" t="n"/>
      <c r="S219" s="5" t="n"/>
      <c r="T219" s="5" t="n"/>
      <c r="U219" s="5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5" t="n"/>
      <c r="S220" s="5" t="n"/>
      <c r="T220" s="5" t="n"/>
      <c r="U220" s="5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5" t="n"/>
      <c r="S221" s="5" t="n"/>
      <c r="T221" s="5" t="n"/>
      <c r="U221" s="5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5" t="n"/>
      <c r="S222" s="5" t="n"/>
      <c r="T222" s="5" t="n"/>
      <c r="U222" s="5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5" t="n"/>
      <c r="S223" s="5" t="n"/>
      <c r="T223" s="5" t="n"/>
      <c r="U223" s="5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5" t="n"/>
      <c r="S224" s="5" t="n"/>
      <c r="T224" s="5" t="n"/>
      <c r="U224" s="5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5" t="n"/>
      <c r="S225" s="5" t="n"/>
      <c r="T225" s="5" t="n"/>
      <c r="U225" s="5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5" t="n"/>
      <c r="S226" s="5" t="n"/>
      <c r="T226" s="5" t="n"/>
      <c r="U226" s="5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5" t="n"/>
      <c r="S227" s="5" t="n"/>
      <c r="T227" s="5" t="n"/>
      <c r="U227" s="5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5" t="n"/>
      <c r="S228" s="5" t="n"/>
      <c r="T228" s="5" t="n"/>
      <c r="U228" s="5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5" t="n"/>
      <c r="S229" s="5" t="n"/>
      <c r="T229" s="5" t="n"/>
      <c r="U229" s="5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5" t="n"/>
      <c r="S230" s="5" t="n"/>
      <c r="T230" s="5" t="n"/>
      <c r="U230" s="5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5" t="n"/>
      <c r="S231" s="5" t="n"/>
      <c r="T231" s="5" t="n"/>
      <c r="U231" s="5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5" t="n"/>
      <c r="S232" s="5" t="n"/>
      <c r="T232" s="5" t="n"/>
      <c r="U232" s="5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5" t="n"/>
      <c r="S233" s="5" t="n"/>
      <c r="T233" s="5" t="n"/>
      <c r="U233" s="5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5" t="n"/>
      <c r="S234" s="5" t="n"/>
      <c r="T234" s="5" t="n"/>
      <c r="U234" s="5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5" t="n"/>
      <c r="S235" s="5" t="n"/>
      <c r="T235" s="5" t="n"/>
      <c r="U235" s="5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5" t="n"/>
      <c r="S236" s="5" t="n"/>
      <c r="T236" s="5" t="n"/>
      <c r="U236" s="5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5" t="n"/>
      <c r="S237" s="5" t="n"/>
      <c r="T237" s="5" t="n"/>
      <c r="U237" s="5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5" t="n"/>
      <c r="S238" s="5" t="n"/>
      <c r="T238" s="5" t="n"/>
      <c r="U238" s="5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5" t="n"/>
      <c r="S239" s="5" t="n"/>
      <c r="T239" s="5" t="n"/>
      <c r="U239" s="5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5" t="n"/>
      <c r="S240" s="5" t="n"/>
      <c r="T240" s="5" t="n"/>
      <c r="U240" s="5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5" t="n"/>
      <c r="S241" s="5" t="n"/>
      <c r="T241" s="5" t="n"/>
      <c r="U241" s="5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5" t="n"/>
      <c r="S242" s="5" t="n"/>
      <c r="T242" s="5" t="n"/>
      <c r="U242" s="5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5" t="n"/>
      <c r="S243" s="5" t="n"/>
      <c r="T243" s="5" t="n"/>
      <c r="U243" s="5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5" t="n"/>
      <c r="S244" s="5" t="n"/>
      <c r="T244" s="5" t="n"/>
      <c r="U244" s="5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5" t="n"/>
      <c r="S245" s="5" t="n"/>
      <c r="T245" s="5" t="n"/>
      <c r="U245" s="5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5" t="n"/>
      <c r="S246" s="5" t="n"/>
      <c r="T246" s="5" t="n"/>
      <c r="U246" s="5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5" t="n"/>
      <c r="S247" s="5" t="n"/>
      <c r="T247" s="5" t="n"/>
      <c r="U247" s="5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5" t="n"/>
      <c r="S248" s="5" t="n"/>
      <c r="T248" s="5" t="n"/>
      <c r="U248" s="5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5" t="n"/>
      <c r="S249" s="5" t="n"/>
      <c r="T249" s="5" t="n"/>
      <c r="U249" s="5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5" t="n"/>
      <c r="S250" s="5" t="n"/>
      <c r="T250" s="5" t="n"/>
      <c r="U250" s="5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5" t="n"/>
      <c r="S251" s="5" t="n"/>
      <c r="T251" s="5" t="n"/>
      <c r="U251" s="5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5" t="n"/>
      <c r="S252" s="5" t="n"/>
      <c r="T252" s="5" t="n"/>
      <c r="U252" s="5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5" t="n"/>
      <c r="S253" s="5" t="n"/>
      <c r="T253" s="5" t="n"/>
      <c r="U253" s="5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5" t="n"/>
      <c r="S254" s="5" t="n"/>
      <c r="T254" s="5" t="n"/>
      <c r="U254" s="5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5" t="n"/>
      <c r="S255" s="5" t="n"/>
      <c r="T255" s="5" t="n"/>
      <c r="U255" s="5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5" t="n"/>
      <c r="S256" s="5" t="n"/>
      <c r="T256" s="5" t="n"/>
      <c r="U256" s="5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5" t="n"/>
      <c r="S257" s="5" t="n"/>
      <c r="T257" s="5" t="n"/>
      <c r="U257" s="5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5" t="n"/>
      <c r="S258" s="5" t="n"/>
      <c r="T258" s="5" t="n"/>
      <c r="U258" s="5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5" t="n"/>
      <c r="S259" s="5" t="n"/>
      <c r="T259" s="5" t="n"/>
      <c r="U259" s="5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5" t="n"/>
      <c r="S260" s="5" t="n"/>
      <c r="T260" s="5" t="n"/>
      <c r="U260" s="5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5" t="n"/>
      <c r="S261" s="5" t="n"/>
      <c r="T261" s="5" t="n"/>
      <c r="U261" s="5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5" t="n"/>
      <c r="S262" s="5" t="n"/>
      <c r="T262" s="5" t="n"/>
      <c r="U262" s="5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5" t="n"/>
      <c r="S263" s="5" t="n"/>
      <c r="T263" s="5" t="n"/>
      <c r="U263" s="5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5" t="n"/>
      <c r="S264" s="5" t="n"/>
      <c r="T264" s="5" t="n"/>
      <c r="U264" s="5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5" t="n"/>
      <c r="S265" s="5" t="n"/>
      <c r="T265" s="5" t="n"/>
      <c r="U265" s="5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5" t="n"/>
      <c r="S266" s="5" t="n"/>
      <c r="T266" s="5" t="n"/>
      <c r="U266" s="5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5" t="n"/>
      <c r="S267" s="5" t="n"/>
      <c r="T267" s="5" t="n"/>
      <c r="U267" s="5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5" t="n"/>
      <c r="S268" s="5" t="n"/>
      <c r="T268" s="5" t="n"/>
      <c r="U268" s="5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5" t="n"/>
      <c r="S269" s="5" t="n"/>
      <c r="T269" s="5" t="n"/>
      <c r="U269" s="5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5" t="n"/>
      <c r="S270" s="5" t="n"/>
      <c r="T270" s="5" t="n"/>
      <c r="U270" s="5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5" t="n"/>
      <c r="S271" s="5" t="n"/>
      <c r="T271" s="5" t="n"/>
      <c r="U271" s="5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5" t="n"/>
      <c r="S272" s="5" t="n"/>
      <c r="T272" s="5" t="n"/>
      <c r="U272" s="5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5" t="n"/>
      <c r="S273" s="5" t="n"/>
      <c r="T273" s="5" t="n"/>
      <c r="U273" s="5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5" t="n"/>
      <c r="S274" s="5" t="n"/>
      <c r="T274" s="5" t="n"/>
      <c r="U274" s="5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5" t="n"/>
      <c r="S275" s="5" t="n"/>
      <c r="T275" s="5" t="n"/>
      <c r="U275" s="5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5" t="n"/>
      <c r="S276" s="5" t="n"/>
      <c r="T276" s="5" t="n"/>
      <c r="U276" s="5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5" t="n"/>
      <c r="S277" s="5" t="n"/>
      <c r="T277" s="5" t="n"/>
      <c r="U277" s="5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5" t="n"/>
      <c r="S278" s="5" t="n"/>
      <c r="T278" s="5" t="n"/>
      <c r="U278" s="5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5" t="n"/>
      <c r="S279" s="5" t="n"/>
      <c r="T279" s="5" t="n"/>
      <c r="U279" s="5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5" t="n"/>
      <c r="S280" s="5" t="n"/>
      <c r="T280" s="5" t="n"/>
      <c r="U280" s="5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5" t="n"/>
      <c r="S281" s="5" t="n"/>
      <c r="T281" s="5" t="n"/>
      <c r="U281" s="5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5" t="n"/>
      <c r="S282" s="5" t="n"/>
      <c r="T282" s="5" t="n"/>
      <c r="U282" s="5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5" t="n"/>
      <c r="S283" s="5" t="n"/>
      <c r="T283" s="5" t="n"/>
      <c r="U283" s="5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5" t="n"/>
      <c r="S284" s="5" t="n"/>
      <c r="T284" s="5" t="n"/>
      <c r="U284" s="5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5" t="n"/>
      <c r="S285" s="5" t="n"/>
      <c r="T285" s="5" t="n"/>
      <c r="U285" s="5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5" t="n"/>
      <c r="S286" s="5" t="n"/>
      <c r="T286" s="5" t="n"/>
      <c r="U286" s="5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5" t="n"/>
      <c r="S287" s="5" t="n"/>
      <c r="T287" s="5" t="n"/>
      <c r="U287" s="5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5" t="n"/>
      <c r="S288" s="5" t="n"/>
      <c r="T288" s="5" t="n"/>
      <c r="U288" s="5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5" t="n"/>
      <c r="S289" s="5" t="n"/>
      <c r="T289" s="5" t="n"/>
      <c r="U289" s="5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5" t="n"/>
      <c r="S290" s="5" t="n"/>
      <c r="T290" s="5" t="n"/>
      <c r="U290" s="5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5" t="n"/>
      <c r="S291" s="5" t="n"/>
      <c r="T291" s="5" t="n"/>
      <c r="U291" s="5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5" t="n"/>
      <c r="S292" s="5" t="n"/>
      <c r="T292" s="5" t="n"/>
      <c r="U292" s="5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5" t="n"/>
      <c r="S293" s="5" t="n"/>
      <c r="T293" s="5" t="n"/>
      <c r="U293" s="5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5" t="n"/>
      <c r="S294" s="5" t="n"/>
      <c r="T294" s="5" t="n"/>
      <c r="U294" s="5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5" t="n"/>
      <c r="S295" s="5" t="n"/>
      <c r="T295" s="5" t="n"/>
      <c r="U295" s="5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5" t="n"/>
      <c r="S296" s="5" t="n"/>
      <c r="T296" s="5" t="n"/>
      <c r="U296" s="5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5" t="n"/>
      <c r="S297" s="5" t="n"/>
      <c r="T297" s="5" t="n"/>
      <c r="U297" s="5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5" t="n"/>
      <c r="S298" s="5" t="n"/>
      <c r="T298" s="5" t="n"/>
      <c r="U298" s="5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5" t="n"/>
      <c r="S299" s="5" t="n"/>
      <c r="T299" s="5" t="n"/>
      <c r="U299" s="5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5" t="n"/>
      <c r="S300" s="5" t="n"/>
      <c r="T300" s="5" t="n"/>
      <c r="U300" s="5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5" t="n"/>
      <c r="S301" s="5" t="n"/>
      <c r="T301" s="5" t="n"/>
      <c r="U301" s="5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5" t="n"/>
      <c r="S302" s="5" t="n"/>
      <c r="T302" s="5" t="n"/>
      <c r="U302" s="5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5" t="n"/>
      <c r="S303" s="5" t="n"/>
      <c r="T303" s="5" t="n"/>
      <c r="U303" s="5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5" t="n"/>
      <c r="S304" s="5" t="n"/>
      <c r="T304" s="5" t="n"/>
      <c r="U304" s="5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16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9" t="inlineStr">
        <is>
          <t>PL</t>
        </is>
      </c>
      <c r="B4" s="59" t="inlineStr">
        <is>
          <t>DESCRIÇÃO</t>
        </is>
      </c>
      <c r="C4" s="59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PL'!Q11="",'VALOR POR PL'!C11,'VALOR POR PL'!Q11)</f>
        <v/>
      </c>
      <c r="B5" s="61">
        <f>'VALOR POR PL'!D11</f>
        <v/>
      </c>
      <c r="C5" s="70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PL'!Q12="",'VALOR POR PL'!C12,'VALOR POR PL'!Q12)</f>
        <v/>
      </c>
      <c r="B6" s="61">
        <f>'VALOR POR PL'!D12</f>
        <v/>
      </c>
      <c r="C6" s="70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PL'!Q13="",'VALOR POR PL'!C13,'VALOR POR PL'!Q13)</f>
        <v/>
      </c>
      <c r="B7" s="61">
        <f>'VALOR POR PL'!D13</f>
        <v/>
      </c>
      <c r="C7" s="70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PL'!Q14="",'VALOR POR PL'!C14,'VALOR POR PL'!Q14)</f>
        <v/>
      </c>
      <c r="B8" s="61">
        <f>'VALOR POR PL'!D14</f>
        <v/>
      </c>
      <c r="C8" s="70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PL'!Q15="",'VALOR POR PL'!C15,'VALOR POR PL'!Q15)</f>
        <v/>
      </c>
      <c r="B9" s="61">
        <f>'VALOR POR PL'!D15</f>
        <v/>
      </c>
      <c r="C9" s="70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PL'!Q16="",'VALOR POR PL'!C16,'VALOR POR PL'!Q16)</f>
        <v/>
      </c>
      <c r="B10" s="61">
        <f>'VALOR POR PL'!D16</f>
        <v/>
      </c>
      <c r="C10" s="70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PL'!Q17="",'VALOR POR PL'!C17,'VALOR POR PL'!Q17)</f>
        <v/>
      </c>
      <c r="B11" s="61">
        <f>'VALOR POR PL'!D17</f>
        <v/>
      </c>
      <c r="C11" s="70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PL'!Q18="",'VALOR POR PL'!C18,'VALOR POR PL'!Q18)</f>
        <v/>
      </c>
      <c r="B12" s="61">
        <f>'VALOR POR PL'!D18</f>
        <v/>
      </c>
      <c r="C12" s="70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PL'!Q19="",'VALOR POR PL'!C19,'VALOR POR PL'!Q19)</f>
        <v/>
      </c>
      <c r="B13" s="61">
        <f>'VALOR POR PL'!D19</f>
        <v/>
      </c>
      <c r="C13" s="70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PL'!Q20="",'VALOR POR PL'!C20,'VALOR POR PL'!Q20)</f>
        <v/>
      </c>
      <c r="B14" s="61">
        <f>'VALOR POR PL'!D20</f>
        <v/>
      </c>
      <c r="C14" s="70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PL'!Q21="",'VALOR POR PL'!C21,'VALOR POR PL'!Q21)</f>
        <v/>
      </c>
      <c r="B15" s="61">
        <f>'VALOR POR PL'!D21</f>
        <v/>
      </c>
      <c r="C15" s="70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PL'!Q22="",'VALOR POR PL'!C22,'VALOR POR PL'!Q22)</f>
        <v/>
      </c>
      <c r="B16" s="61">
        <f>'VALOR POR PL'!D22</f>
        <v/>
      </c>
      <c r="C16" s="70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PL'!Q23="",'VALOR POR PL'!C23,'VALOR POR PL'!Q23)</f>
        <v/>
      </c>
      <c r="B17" s="61">
        <f>'VALOR POR PL'!D23</f>
        <v/>
      </c>
      <c r="C17" s="70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PL'!Q24="",'VALOR POR PL'!C24,'VALOR POR PL'!Q24)</f>
        <v/>
      </c>
      <c r="B18" s="61">
        <f>'VALOR POR PL'!D24</f>
        <v/>
      </c>
      <c r="C18" s="70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PL'!Q25="",'VALOR POR PL'!C25,'VALOR POR PL'!Q25)</f>
        <v/>
      </c>
      <c r="B19" s="61">
        <f>'VALOR POR PL'!D25</f>
        <v/>
      </c>
      <c r="C19" s="70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PL'!Q26="",'VALOR POR PL'!C26,'VALOR POR PL'!Q26)</f>
        <v/>
      </c>
      <c r="B20" s="61">
        <f>'VALOR POR PL'!D26</f>
        <v/>
      </c>
      <c r="C20" s="70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PL'!Q27="",'VALOR POR PL'!C27,'VALOR POR PL'!Q27)</f>
        <v/>
      </c>
      <c r="B21" s="61">
        <f>'VALOR POR PL'!D27</f>
        <v/>
      </c>
      <c r="C21" s="70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PL'!Q28="",'VALOR POR PL'!C28,'VALOR POR PL'!Q28)</f>
        <v/>
      </c>
      <c r="B22" s="61">
        <f>'VALOR POR PL'!D28</f>
        <v/>
      </c>
      <c r="C22" s="70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PL'!Q29="",'VALOR POR PL'!C29,'VALOR POR PL'!Q29)</f>
        <v/>
      </c>
      <c r="B23" s="61">
        <f>'VALOR POR PL'!D29</f>
        <v/>
      </c>
      <c r="C23" s="70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PL'!Q30="",'VALOR POR PL'!C30,'VALOR POR PL'!Q30)</f>
        <v/>
      </c>
      <c r="B24" s="61">
        <f>'VALOR POR PL'!D30</f>
        <v/>
      </c>
      <c r="C24" s="70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PL'!Q31="",'VALOR POR PL'!C31,'VALOR POR PL'!Q31)</f>
        <v/>
      </c>
      <c r="B25" s="61">
        <f>'VALOR POR PL'!D31</f>
        <v/>
      </c>
      <c r="C25" s="70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PL'!Q32="",'VALOR POR PL'!C32,'VALOR POR PL'!Q32)</f>
        <v/>
      </c>
      <c r="B26" s="61">
        <f>'VALOR POR PL'!D32</f>
        <v/>
      </c>
      <c r="C26" s="70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PL'!Q33="",'VALOR POR PL'!C33,'VALOR POR PL'!Q33)</f>
        <v/>
      </c>
      <c r="B27" s="61">
        <f>'VALOR POR PL'!D33</f>
        <v/>
      </c>
      <c r="C27" s="70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PL'!Q34="",'VALOR POR PL'!C34,'VALOR POR PL'!Q34)</f>
        <v/>
      </c>
      <c r="B28" s="61">
        <f>'VALOR POR PL'!D34</f>
        <v/>
      </c>
      <c r="C28" s="70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PL'!Q35="",'VALOR POR PL'!C35,'VALOR POR PL'!Q35)</f>
        <v/>
      </c>
      <c r="B29" s="61">
        <f>'VALOR POR PL'!D35</f>
        <v/>
      </c>
      <c r="C29" s="70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PL'!Q36="",'VALOR POR PL'!C36,'VALOR POR PL'!Q36)</f>
        <v/>
      </c>
      <c r="B30" s="61">
        <f>'VALOR POR PL'!D36</f>
        <v/>
      </c>
      <c r="C30" s="70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PL'!Q37="",'VALOR POR PL'!C37,'VALOR POR PL'!Q37)</f>
        <v/>
      </c>
      <c r="B31" s="61">
        <f>'VALOR POR PL'!D37</f>
        <v/>
      </c>
      <c r="C31" s="70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PL'!Q38="",'VALOR POR PL'!C38,'VALOR POR PL'!Q38)</f>
        <v/>
      </c>
      <c r="B32" s="61">
        <f>'VALOR POR PL'!D38</f>
        <v/>
      </c>
      <c r="C32" s="70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PL'!Q39="",'VALOR POR PL'!C39,'VALOR POR PL'!Q39)</f>
        <v/>
      </c>
      <c r="B33" s="61">
        <f>'VALOR POR PL'!D39</f>
        <v/>
      </c>
      <c r="C33" s="70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PL'!Q40="",'VALOR POR PL'!C40,'VALOR POR PL'!Q40)</f>
        <v/>
      </c>
      <c r="B34" s="61">
        <f>'VALOR POR PL'!D40</f>
        <v/>
      </c>
      <c r="C34" s="70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PL'!Q41="",'VALOR POR PL'!C41,'VALOR POR PL'!Q41)</f>
        <v/>
      </c>
      <c r="B35" s="61">
        <f>'VALOR POR PL'!D41</f>
        <v/>
      </c>
      <c r="C35" s="70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PL'!Q42="",'VALOR POR PL'!C42,'VALOR POR PL'!Q42)</f>
        <v/>
      </c>
      <c r="B36" s="61">
        <f>'VALOR POR PL'!D42</f>
        <v/>
      </c>
      <c r="C36" s="70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PL'!Q43="",'VALOR POR PL'!C43,'VALOR POR PL'!Q43)</f>
        <v/>
      </c>
      <c r="B37" s="61">
        <f>'VALOR POR PL'!D43</f>
        <v/>
      </c>
      <c r="C37" s="70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PL'!Q44="",'VALOR POR PL'!C44,'VALOR POR PL'!Q44)</f>
        <v/>
      </c>
      <c r="B38" s="61">
        <f>'VALOR POR PL'!D44</f>
        <v/>
      </c>
      <c r="C38" s="70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PL'!Q45="",'VALOR POR PL'!C45,'VALOR POR PL'!Q45)</f>
        <v/>
      </c>
      <c r="B39" s="61">
        <f>'VALOR POR PL'!D45</f>
        <v/>
      </c>
      <c r="C39" s="70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PL'!Q46="",'VALOR POR PL'!C46,'VALOR POR PL'!Q46)</f>
        <v/>
      </c>
      <c r="B40" s="61">
        <f>'VALOR POR PL'!D46</f>
        <v/>
      </c>
      <c r="C40" s="70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PL'!Q47="",'VALOR POR PL'!C47,'VALOR POR PL'!Q47)</f>
        <v/>
      </c>
      <c r="B41" s="61">
        <f>'VALOR POR PL'!D47</f>
        <v/>
      </c>
      <c r="C41" s="70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PL'!Q48="",'VALOR POR PL'!C48,'VALOR POR PL'!Q48)</f>
        <v/>
      </c>
      <c r="B42" s="61">
        <f>'VALOR POR PL'!D48</f>
        <v/>
      </c>
      <c r="C42" s="70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9" t="inlineStr">
        <is>
          <t>PL</t>
        </is>
      </c>
      <c r="B46" s="59" t="inlineStr">
        <is>
          <t>DESCRIÇÃO</t>
        </is>
      </c>
      <c r="C46" s="59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2">
        <f>A5</f>
        <v/>
      </c>
      <c r="B47" s="52">
        <f>B5</f>
        <v/>
      </c>
      <c r="C47" s="69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2">
        <f>A6</f>
        <v/>
      </c>
      <c r="B48" s="52">
        <f>B6</f>
        <v/>
      </c>
      <c r="C48" s="69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2">
        <f>A7</f>
        <v/>
      </c>
      <c r="B49" s="52">
        <f>B7</f>
        <v/>
      </c>
      <c r="C49" s="69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2">
        <f>A8</f>
        <v/>
      </c>
      <c r="B50" s="52">
        <f>B8</f>
        <v/>
      </c>
      <c r="C50" s="69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2">
        <f>A9</f>
        <v/>
      </c>
      <c r="B51" s="52">
        <f>B9</f>
        <v/>
      </c>
      <c r="C51" s="69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2">
        <f>A10</f>
        <v/>
      </c>
      <c r="B52" s="52">
        <f>B10</f>
        <v/>
      </c>
      <c r="C52" s="69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2">
        <f>A11</f>
        <v/>
      </c>
      <c r="B53" s="52">
        <f>B11</f>
        <v/>
      </c>
      <c r="C53" s="69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2">
        <f>A12</f>
        <v/>
      </c>
      <c r="B54" s="52">
        <f>B12</f>
        <v/>
      </c>
      <c r="C54" s="69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2">
        <f>A13</f>
        <v/>
      </c>
      <c r="B55" s="52">
        <f>B13</f>
        <v/>
      </c>
      <c r="C55" s="69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2">
        <f>A14</f>
        <v/>
      </c>
      <c r="B56" s="52">
        <f>B14</f>
        <v/>
      </c>
      <c r="C56" s="69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2">
        <f>A15</f>
        <v/>
      </c>
      <c r="B57" s="52">
        <f>B15</f>
        <v/>
      </c>
      <c r="C57" s="69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2">
        <f>A16</f>
        <v/>
      </c>
      <c r="B58" s="52">
        <f>B16</f>
        <v/>
      </c>
      <c r="C58" s="69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2">
        <f>A17</f>
        <v/>
      </c>
      <c r="B59" s="52">
        <f>B17</f>
        <v/>
      </c>
      <c r="C59" s="69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2">
        <f>A18</f>
        <v/>
      </c>
      <c r="B60" s="52">
        <f>B18</f>
        <v/>
      </c>
      <c r="C60" s="69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2">
        <f>A19</f>
        <v/>
      </c>
      <c r="B61" s="52">
        <f>B19</f>
        <v/>
      </c>
      <c r="C61" s="69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2">
        <f>A20</f>
        <v/>
      </c>
      <c r="B62" s="52">
        <f>B20</f>
        <v/>
      </c>
      <c r="C62" s="69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2">
        <f>A21</f>
        <v/>
      </c>
      <c r="B63" s="52">
        <f>B21</f>
        <v/>
      </c>
      <c r="C63" s="69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2">
        <f>A22</f>
        <v/>
      </c>
      <c r="B64" s="52">
        <f>B22</f>
        <v/>
      </c>
      <c r="C64" s="69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2">
        <f>A23</f>
        <v/>
      </c>
      <c r="B65" s="52">
        <f>B23</f>
        <v/>
      </c>
      <c r="C65" s="69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2">
        <f>A24</f>
        <v/>
      </c>
      <c r="B66" s="52">
        <f>B24</f>
        <v/>
      </c>
      <c r="C66" s="69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2">
        <f>A25</f>
        <v/>
      </c>
      <c r="B67" s="52">
        <f>B25</f>
        <v/>
      </c>
      <c r="C67" s="69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2">
        <f>A26</f>
        <v/>
      </c>
      <c r="B68" s="52">
        <f>B26</f>
        <v/>
      </c>
      <c r="C68" s="69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2">
        <f>A27</f>
        <v/>
      </c>
      <c r="B69" s="52">
        <f>B27</f>
        <v/>
      </c>
      <c r="C69" s="69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2">
        <f>A28</f>
        <v/>
      </c>
      <c r="B70" s="52">
        <f>B28</f>
        <v/>
      </c>
      <c r="C70" s="69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2">
        <f>A29</f>
        <v/>
      </c>
      <c r="B71" s="52">
        <f>B29</f>
        <v/>
      </c>
      <c r="C71" s="69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2">
        <f>A30</f>
        <v/>
      </c>
      <c r="B72" s="52">
        <f>B30</f>
        <v/>
      </c>
      <c r="C72" s="69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2">
        <f>A31</f>
        <v/>
      </c>
      <c r="B73" s="52">
        <f>B31</f>
        <v/>
      </c>
      <c r="C73" s="69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2">
        <f>A32</f>
        <v/>
      </c>
      <c r="B74" s="52">
        <f>B32</f>
        <v/>
      </c>
      <c r="C74" s="69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2">
        <f>A33</f>
        <v/>
      </c>
      <c r="B75" s="52">
        <f>B33</f>
        <v/>
      </c>
      <c r="C75" s="69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2">
        <f>A34</f>
        <v/>
      </c>
      <c r="B76" s="52">
        <f>B34</f>
        <v/>
      </c>
      <c r="C76" s="69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2">
        <f>A35</f>
        <v/>
      </c>
      <c r="B77" s="52">
        <f>B35</f>
        <v/>
      </c>
      <c r="C77" s="69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2">
        <f>A36</f>
        <v/>
      </c>
      <c r="B78" s="52">
        <f>B36</f>
        <v/>
      </c>
      <c r="C78" s="69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2">
        <f>A37</f>
        <v/>
      </c>
      <c r="B79" s="52">
        <f>B37</f>
        <v/>
      </c>
      <c r="C79" s="69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2">
        <f>A38</f>
        <v/>
      </c>
      <c r="B80" s="52">
        <f>B38</f>
        <v/>
      </c>
      <c r="C80" s="69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2">
        <f>A39</f>
        <v/>
      </c>
      <c r="B81" s="52">
        <f>B39</f>
        <v/>
      </c>
      <c r="C81" s="69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2">
        <f>A40</f>
        <v/>
      </c>
      <c r="B82" s="52">
        <f>B40</f>
        <v/>
      </c>
      <c r="C82" s="69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2">
        <f>A41</f>
        <v/>
      </c>
      <c r="B83" s="52">
        <f>B41</f>
        <v/>
      </c>
      <c r="C83" s="69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2">
        <f>A42</f>
        <v/>
      </c>
      <c r="B84" s="52">
        <f>B42</f>
        <v/>
      </c>
      <c r="C84" s="69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16" t="inlineStr">
        <is>
          <t>CÁLCULO AUXILIAR — soma por coluna da aba DADOS BRUTOS (não editar)</t>
        </is>
      </c>
    </row>
    <row r="3">
      <c r="D3" s="116" t="inlineStr">
        <is>
          <t>Acu até →</t>
        </is>
      </c>
      <c r="CB3" s="116">
        <f>"B"</f>
        <v/>
      </c>
      <c r="CC3" s="116">
        <f>"C"</f>
        <v/>
      </c>
      <c r="CD3" s="116">
        <f>"D"</f>
        <v/>
      </c>
      <c r="CE3" s="116">
        <f>"E"</f>
        <v/>
      </c>
      <c r="CF3" s="116">
        <f>"F"</f>
        <v/>
      </c>
      <c r="CG3" s="116">
        <f>"G"</f>
        <v/>
      </c>
      <c r="CH3" s="116">
        <f>"H"</f>
        <v/>
      </c>
      <c r="CI3" s="116">
        <f>"I"</f>
        <v/>
      </c>
      <c r="CJ3" s="116">
        <f>"J"</f>
        <v/>
      </c>
      <c r="CK3" s="116">
        <f>"K"</f>
        <v/>
      </c>
      <c r="CL3" s="116">
        <f>"L"</f>
        <v/>
      </c>
      <c r="CM3" s="116">
        <f>"M"</f>
        <v/>
      </c>
      <c r="CN3" s="116">
        <f>"N"</f>
        <v/>
      </c>
      <c r="CO3" s="116">
        <f>"O"</f>
        <v/>
      </c>
      <c r="CP3" s="116">
        <f>"P"</f>
        <v/>
      </c>
      <c r="CQ3" s="116">
        <f>"Q"</f>
        <v/>
      </c>
      <c r="CR3" s="116">
        <f>"R"</f>
        <v/>
      </c>
      <c r="CS3" s="116">
        <f>"S"</f>
        <v/>
      </c>
      <c r="CT3" s="116">
        <f>"T"</f>
        <v/>
      </c>
      <c r="CU3" s="116">
        <f>"U"</f>
        <v/>
      </c>
      <c r="CV3" s="116">
        <f>"V"</f>
        <v/>
      </c>
      <c r="CW3" s="116">
        <f>"W"</f>
        <v/>
      </c>
      <c r="CX3" s="116">
        <f>"X"</f>
        <v/>
      </c>
      <c r="CY3" s="116">
        <f>"Y"</f>
        <v/>
      </c>
      <c r="CZ3" s="116">
        <f>"Z"</f>
        <v/>
      </c>
      <c r="DA3" s="116">
        <f>"AA"</f>
        <v/>
      </c>
      <c r="DB3" s="116">
        <f>"AB"</f>
        <v/>
      </c>
      <c r="DC3" s="116">
        <f>"AC"</f>
        <v/>
      </c>
      <c r="DD3" s="116">
        <f>"AD"</f>
        <v/>
      </c>
      <c r="DE3" s="116">
        <f>"AE"</f>
        <v/>
      </c>
      <c r="DF3" s="116">
        <f>"AF"</f>
        <v/>
      </c>
      <c r="DG3" s="116">
        <f>"AG"</f>
        <v/>
      </c>
      <c r="DH3" s="116">
        <f>"AH"</f>
        <v/>
      </c>
      <c r="DI3" s="116">
        <f>"AI"</f>
        <v/>
      </c>
      <c r="DJ3" s="116">
        <f>"AJ"</f>
        <v/>
      </c>
      <c r="DK3" s="116">
        <f>"AK"</f>
        <v/>
      </c>
      <c r="DL3" s="116">
        <f>"AL"</f>
        <v/>
      </c>
      <c r="DM3" s="116">
        <f>"AM"</f>
        <v/>
      </c>
      <c r="DN3" s="116">
        <f>"AN"</f>
        <v/>
      </c>
      <c r="DO3" s="116">
        <f>"AO"</f>
        <v/>
      </c>
      <c r="DP3" s="116">
        <f>"AP"</f>
        <v/>
      </c>
      <c r="DQ3" s="116">
        <f>"AQ"</f>
        <v/>
      </c>
      <c r="DR3" s="116">
        <f>"AR"</f>
        <v/>
      </c>
      <c r="DS3" s="116">
        <f>"AS"</f>
        <v/>
      </c>
      <c r="DT3" s="116">
        <f>"AT"</f>
        <v/>
      </c>
      <c r="DU3" s="116">
        <f>"AU"</f>
        <v/>
      </c>
      <c r="DV3" s="116">
        <f>"AV"</f>
        <v/>
      </c>
      <c r="DW3" s="116">
        <f>"AW"</f>
        <v/>
      </c>
      <c r="DX3" s="116">
        <f>"AX"</f>
        <v/>
      </c>
      <c r="DY3" s="116">
        <f>"AY"</f>
        <v/>
      </c>
      <c r="DZ3" s="116">
        <f>"AZ"</f>
        <v/>
      </c>
      <c r="EA3" s="116">
        <f>"BA"</f>
        <v/>
      </c>
      <c r="EB3" s="116">
        <f>"BB"</f>
        <v/>
      </c>
      <c r="EC3" s="116">
        <f>"BC"</f>
        <v/>
      </c>
      <c r="ED3" s="116">
        <f>"BD"</f>
        <v/>
      </c>
      <c r="EE3" s="116">
        <f>"BE"</f>
        <v/>
      </c>
      <c r="EF3" s="116">
        <f>"BF"</f>
        <v/>
      </c>
      <c r="EG3" s="116">
        <f>"BG"</f>
        <v/>
      </c>
      <c r="EH3" s="116">
        <f>"BH"</f>
        <v/>
      </c>
      <c r="EI3" s="116">
        <f>"BI"</f>
        <v/>
      </c>
      <c r="EJ3" s="116">
        <f>"BJ"</f>
        <v/>
      </c>
      <c r="EK3" s="116">
        <f>"BK"</f>
        <v/>
      </c>
      <c r="EL3" s="116">
        <f>"BL"</f>
        <v/>
      </c>
      <c r="EM3" s="116">
        <f>"BM"</f>
        <v/>
      </c>
      <c r="EN3" s="116">
        <f>"BN"</f>
        <v/>
      </c>
      <c r="EO3" s="116">
        <f>"BO"</f>
        <v/>
      </c>
      <c r="EP3" s="116">
        <f>"BP"</f>
        <v/>
      </c>
      <c r="EQ3" s="116">
        <f>"BQ"</f>
        <v/>
      </c>
      <c r="ER3" s="116">
        <f>"BR"</f>
        <v/>
      </c>
      <c r="ES3" s="116">
        <f>"BS"</f>
        <v/>
      </c>
      <c r="ET3" s="116">
        <f>"BT"</f>
        <v/>
      </c>
      <c r="EU3" s="116">
        <f>"BU"</f>
        <v/>
      </c>
      <c r="EV3" s="116">
        <f>"BV"</f>
        <v/>
      </c>
      <c r="EW3" s="116">
        <f>"BW"</f>
        <v/>
      </c>
      <c r="EX3" s="116">
        <f>"BX"</f>
        <v/>
      </c>
      <c r="EY3" s="116">
        <f>"BY"</f>
        <v/>
      </c>
      <c r="EZ3" s="116">
        <f>"BZ"</f>
        <v/>
      </c>
      <c r="FA3" s="116">
        <f>"CA"</f>
        <v/>
      </c>
      <c r="FB3" s="116">
        <f>"CB"</f>
        <v/>
      </c>
      <c r="FC3" s="116">
        <f>"CC"</f>
        <v/>
      </c>
      <c r="FD3" s="116">
        <f>"CD"</f>
        <v/>
      </c>
      <c r="FE3" s="116">
        <f>"CE"</f>
        <v/>
      </c>
      <c r="FF3" s="116">
        <f>"CF"</f>
        <v/>
      </c>
      <c r="FG3" s="116">
        <f>"CG"</f>
        <v/>
      </c>
      <c r="FH3" s="116">
        <f>"CH"</f>
        <v/>
      </c>
      <c r="FI3" s="116">
        <f>"CI"</f>
        <v/>
      </c>
      <c r="FJ3" s="116">
        <f>"CJ"</f>
        <v/>
      </c>
      <c r="FK3" s="116">
        <f>"CK"</f>
        <v/>
      </c>
      <c r="FL3" s="116">
        <f>"CL"</f>
        <v/>
      </c>
      <c r="FM3" s="116">
        <f>"CM"</f>
        <v/>
      </c>
      <c r="FN3" s="116">
        <f>"CN"</f>
        <v/>
      </c>
      <c r="FO3" s="116">
        <f>"CO"</f>
        <v/>
      </c>
      <c r="FP3" s="116">
        <f>"CP"</f>
        <v/>
      </c>
      <c r="FQ3" s="116">
        <f>"CQ"</f>
        <v/>
      </c>
      <c r="FR3" s="116">
        <f>"CR"</f>
        <v/>
      </c>
      <c r="FS3" s="116">
        <f>"CS"</f>
        <v/>
      </c>
      <c r="FT3" s="116">
        <f>"CT"</f>
        <v/>
      </c>
      <c r="FU3" s="116">
        <f>"CU"</f>
        <v/>
      </c>
      <c r="FV3" s="116">
        <f>"CV"</f>
        <v/>
      </c>
      <c r="FW3" s="116">
        <f>"CW"</f>
        <v/>
      </c>
      <c r="FX3" s="116">
        <f>"CX"</f>
        <v/>
      </c>
      <c r="FY3" s="116">
        <f>"CY"</f>
        <v/>
      </c>
      <c r="FZ3" s="116">
        <f>"CZ"</f>
        <v/>
      </c>
      <c r="GA3" s="116">
        <f>"DA"</f>
        <v/>
      </c>
      <c r="GB3" s="116">
        <f>"DB"</f>
        <v/>
      </c>
      <c r="GC3" s="116">
        <f>"DC"</f>
        <v/>
      </c>
      <c r="GD3" s="116">
        <f>"DD"</f>
        <v/>
      </c>
      <c r="GE3" s="116">
        <f>"DE"</f>
        <v/>
      </c>
      <c r="GF3" s="116">
        <f>"DF"</f>
        <v/>
      </c>
      <c r="GG3" s="116">
        <f>"DG"</f>
        <v/>
      </c>
      <c r="GH3" s="116">
        <f>"DH"</f>
        <v/>
      </c>
      <c r="GI3" s="116">
        <f>"DI"</f>
        <v/>
      </c>
      <c r="GJ3" s="116">
        <f>"DJ"</f>
        <v/>
      </c>
      <c r="GK3" s="116">
        <f>"DK"</f>
        <v/>
      </c>
      <c r="GL3" s="116">
        <f>"DL"</f>
        <v/>
      </c>
      <c r="GM3" s="116">
        <f>"DM"</f>
        <v/>
      </c>
      <c r="GN3" s="116">
        <f>"DN"</f>
        <v/>
      </c>
      <c r="GO3" s="116">
        <f>"DO"</f>
        <v/>
      </c>
      <c r="GP3" s="116">
        <f>"DP"</f>
        <v/>
      </c>
      <c r="GQ3" s="116">
        <f>"DQ"</f>
        <v/>
      </c>
      <c r="GR3" s="116">
        <f>"DR"</f>
        <v/>
      </c>
      <c r="GS3" s="116">
        <f>"DS"</f>
        <v/>
      </c>
      <c r="GT3" s="116">
        <f>"DT"</f>
        <v/>
      </c>
      <c r="GU3" s="116">
        <f>"DU"</f>
        <v/>
      </c>
      <c r="GV3" s="116">
        <f>"DV"</f>
        <v/>
      </c>
      <c r="GW3" s="116">
        <f>"DW"</f>
        <v/>
      </c>
      <c r="GX3" s="116">
        <f>"DX"</f>
        <v/>
      </c>
      <c r="GY3" s="116">
        <f>"DY"</f>
        <v/>
      </c>
      <c r="GZ3" s="116">
        <f>"DZ"</f>
        <v/>
      </c>
      <c r="HA3" s="116">
        <f>"EA"</f>
        <v/>
      </c>
      <c r="HB3" s="116">
        <f>"EB"</f>
        <v/>
      </c>
      <c r="HC3" s="116">
        <f>"EC"</f>
        <v/>
      </c>
      <c r="HD3" s="116">
        <f>"ED"</f>
        <v/>
      </c>
      <c r="HE3" s="116">
        <f>"EE"</f>
        <v/>
      </c>
      <c r="HF3" s="116">
        <f>"EF"</f>
        <v/>
      </c>
      <c r="HG3" s="116">
        <f>"EG"</f>
        <v/>
      </c>
      <c r="HH3" s="116">
        <f>"EH"</f>
        <v/>
      </c>
      <c r="HI3" s="116">
        <f>"EI"</f>
        <v/>
      </c>
      <c r="HJ3" s="116">
        <f>"EJ"</f>
        <v/>
      </c>
      <c r="HK3" s="116">
        <f>"EK"</f>
        <v/>
      </c>
      <c r="HL3" s="116">
        <f>"EL"</f>
        <v/>
      </c>
      <c r="HM3" s="116">
        <f>"EM"</f>
        <v/>
      </c>
      <c r="HN3" s="116">
        <f>"EN"</f>
        <v/>
      </c>
      <c r="HO3" s="116">
        <f>"EO"</f>
        <v/>
      </c>
      <c r="HP3" s="116">
        <f>"EP"</f>
        <v/>
      </c>
      <c r="HQ3" s="116">
        <f>"EQ"</f>
        <v/>
      </c>
      <c r="HR3" s="116">
        <f>"ER"</f>
        <v/>
      </c>
      <c r="HS3" s="116">
        <f>"ES"</f>
        <v/>
      </c>
      <c r="HT3" s="116">
        <f>"ET"</f>
        <v/>
      </c>
      <c r="HU3" s="116">
        <f>"EU"</f>
        <v/>
      </c>
      <c r="HV3" s="116">
        <f>"EV"</f>
        <v/>
      </c>
      <c r="HW3" s="116">
        <f>"EW"</f>
        <v/>
      </c>
      <c r="HX3" s="116">
        <f>"EX"</f>
        <v/>
      </c>
      <c r="HY3" s="116">
        <f>"EY"</f>
        <v/>
      </c>
      <c r="HZ3" s="116">
        <f>"EZ"</f>
        <v/>
      </c>
      <c r="IA3" s="116">
        <f>"FA"</f>
        <v/>
      </c>
      <c r="IB3" s="116">
        <f>"FB"</f>
        <v/>
      </c>
      <c r="IC3" s="116">
        <f>"FC"</f>
        <v/>
      </c>
      <c r="ID3" s="116">
        <f>"FD"</f>
        <v/>
      </c>
      <c r="IE3" s="116">
        <f>"FE"</f>
        <v/>
      </c>
      <c r="IF3" s="116">
        <f>"FF"</f>
        <v/>
      </c>
      <c r="IG3" s="116">
        <f>"FG"</f>
        <v/>
      </c>
      <c r="IH3" s="116">
        <f>"FH"</f>
        <v/>
      </c>
      <c r="II3" s="116">
        <f>"FI"</f>
        <v/>
      </c>
      <c r="IJ3" s="116">
        <f>"FJ"</f>
        <v/>
      </c>
      <c r="IK3" s="116">
        <f>"FK"</f>
        <v/>
      </c>
      <c r="IL3" s="116">
        <f>"FL"</f>
        <v/>
      </c>
      <c r="IM3" s="116">
        <f>"FM"</f>
        <v/>
      </c>
      <c r="IN3" s="116">
        <f>"FN"</f>
        <v/>
      </c>
      <c r="IO3" s="116">
        <f>"FO"</f>
        <v/>
      </c>
      <c r="IP3" s="116">
        <f>"FP"</f>
        <v/>
      </c>
      <c r="IQ3" s="116">
        <f>"FQ"</f>
        <v/>
      </c>
      <c r="IR3" s="116">
        <f>"FR"</f>
        <v/>
      </c>
      <c r="IS3" s="116">
        <f>"FS"</f>
        <v/>
      </c>
      <c r="IT3" s="116">
        <f>"FT"</f>
        <v/>
      </c>
      <c r="IU3" s="116">
        <f>"FU"</f>
        <v/>
      </c>
      <c r="IV3" s="116">
        <f>"FV"</f>
        <v/>
      </c>
      <c r="IW3" s="116">
        <f>"FW"</f>
        <v/>
      </c>
      <c r="IX3" s="116">
        <f>"FX"</f>
        <v/>
      </c>
      <c r="IY3" s="116">
        <f>"FY"</f>
        <v/>
      </c>
      <c r="IZ3" s="116">
        <f>"FZ"</f>
        <v/>
      </c>
      <c r="JA3" s="116">
        <f>"GA"</f>
        <v/>
      </c>
      <c r="JB3" s="116">
        <f>"GB"</f>
        <v/>
      </c>
      <c r="JC3" s="116">
        <f>"GC"</f>
        <v/>
      </c>
      <c r="JD3" s="116">
        <f>"GD"</f>
        <v/>
      </c>
      <c r="JE3" s="116">
        <f>"GE"</f>
        <v/>
      </c>
      <c r="JF3" s="116">
        <f>"GF"</f>
        <v/>
      </c>
      <c r="JG3" s="116">
        <f>"GG"</f>
        <v/>
      </c>
      <c r="JH3" s="116">
        <f>"GH"</f>
        <v/>
      </c>
      <c r="JI3" s="116">
        <f>"GI"</f>
        <v/>
      </c>
      <c r="JJ3" s="116">
        <f>"GJ"</f>
        <v/>
      </c>
      <c r="JK3" s="116">
        <f>"GK"</f>
        <v/>
      </c>
      <c r="JL3" s="116">
        <f>"GL"</f>
        <v/>
      </c>
      <c r="JM3" s="116">
        <f>"GM"</f>
        <v/>
      </c>
      <c r="JN3" s="116">
        <f>"GN"</f>
        <v/>
      </c>
      <c r="JO3" s="116">
        <f>"GO"</f>
        <v/>
      </c>
      <c r="JP3" s="116">
        <f>"GP"</f>
        <v/>
      </c>
      <c r="JQ3" s="116">
        <f>"GQ"</f>
        <v/>
      </c>
      <c r="JR3" s="116">
        <f>"GR"</f>
        <v/>
      </c>
      <c r="JS3" s="116">
        <f>"GS"</f>
        <v/>
      </c>
    </row>
    <row r="4">
      <c r="A4" s="59" t="inlineStr">
        <is>
          <t>ITEM</t>
        </is>
      </c>
      <c r="B4" s="59" t="inlineStr">
        <is>
          <t>NOME NO ERP (1)</t>
        </is>
      </c>
      <c r="C4" s="59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9" t="inlineStr">
        <is>
          <t>FORA DO
HORIZONTE</t>
        </is>
      </c>
      <c r="BY4" s="59" t="inlineStr">
        <is>
          <t>TOTAL NO ERP</t>
        </is>
      </c>
      <c r="CB4" s="112">
        <f>IF(ISNUMBER('DADOS BRUTOS'!B$2),DATE(YEAR('DADOS BRUTOS'!B$2),MONTH('DADOS BRUTOS'!B$2),1),"")</f>
        <v/>
      </c>
      <c r="CC4" s="112">
        <f>IF(ISNUMBER('DADOS BRUTOS'!C$2),DATE(YEAR('DADOS BRUTOS'!C$2),MONTH('DADOS BRUTOS'!C$2),1),"")</f>
        <v/>
      </c>
      <c r="CD4" s="112">
        <f>IF(ISNUMBER('DADOS BRUTOS'!D$2),DATE(YEAR('DADOS BRUTOS'!D$2),MONTH('DADOS BRUTOS'!D$2),1),"")</f>
        <v/>
      </c>
      <c r="CE4" s="112">
        <f>IF(ISNUMBER('DADOS BRUTOS'!E$2),DATE(YEAR('DADOS BRUTOS'!E$2),MONTH('DADOS BRUTOS'!E$2),1),"")</f>
        <v/>
      </c>
      <c r="CF4" s="112">
        <f>IF(ISNUMBER('DADOS BRUTOS'!F$2),DATE(YEAR('DADOS BRUTOS'!F$2),MONTH('DADOS BRUTOS'!F$2),1),"")</f>
        <v/>
      </c>
      <c r="CG4" s="112">
        <f>IF(ISNUMBER('DADOS BRUTOS'!G$2),DATE(YEAR('DADOS BRUTOS'!G$2),MONTH('DADOS BRUTOS'!G$2),1),"")</f>
        <v/>
      </c>
      <c r="CH4" s="112">
        <f>IF(ISNUMBER('DADOS BRUTOS'!H$2),DATE(YEAR('DADOS BRUTOS'!H$2),MONTH('DADOS BRUTOS'!H$2),1),"")</f>
        <v/>
      </c>
      <c r="CI4" s="112">
        <f>IF(ISNUMBER('DADOS BRUTOS'!I$2),DATE(YEAR('DADOS BRUTOS'!I$2),MONTH('DADOS BRUTOS'!I$2),1),"")</f>
        <v/>
      </c>
      <c r="CJ4" s="112">
        <f>IF(ISNUMBER('DADOS BRUTOS'!J$2),DATE(YEAR('DADOS BRUTOS'!J$2),MONTH('DADOS BRUTOS'!J$2),1),"")</f>
        <v/>
      </c>
      <c r="CK4" s="112">
        <f>IF(ISNUMBER('DADOS BRUTOS'!K$2),DATE(YEAR('DADOS BRUTOS'!K$2),MONTH('DADOS BRUTOS'!K$2),1),"")</f>
        <v/>
      </c>
      <c r="CL4" s="112">
        <f>IF(ISNUMBER('DADOS BRUTOS'!L$2),DATE(YEAR('DADOS BRUTOS'!L$2),MONTH('DADOS BRUTOS'!L$2),1),"")</f>
        <v/>
      </c>
      <c r="CM4" s="112">
        <f>IF(ISNUMBER('DADOS BRUTOS'!M$2),DATE(YEAR('DADOS BRUTOS'!M$2),MONTH('DADOS BRUTOS'!M$2),1),"")</f>
        <v/>
      </c>
      <c r="CN4" s="112">
        <f>IF(ISNUMBER('DADOS BRUTOS'!N$2),DATE(YEAR('DADOS BRUTOS'!N$2),MONTH('DADOS BRUTOS'!N$2),1),"")</f>
        <v/>
      </c>
      <c r="CO4" s="112">
        <f>IF(ISNUMBER('DADOS BRUTOS'!O$2),DATE(YEAR('DADOS BRUTOS'!O$2),MONTH('DADOS BRUTOS'!O$2),1),"")</f>
        <v/>
      </c>
      <c r="CP4" s="112">
        <f>IF(ISNUMBER('DADOS BRUTOS'!P$2),DATE(YEAR('DADOS BRUTOS'!P$2),MONTH('DADOS BRUTOS'!P$2),1),"")</f>
        <v/>
      </c>
      <c r="CQ4" s="112">
        <f>IF(ISNUMBER('DADOS BRUTOS'!Q$2),DATE(YEAR('DADOS BRUTOS'!Q$2),MONTH('DADOS BRUTOS'!Q$2),1),"")</f>
        <v/>
      </c>
      <c r="CR4" s="112">
        <f>IF(ISNUMBER('DADOS BRUTOS'!R$2),DATE(YEAR('DADOS BRUTOS'!R$2),MONTH('DADOS BRUTOS'!R$2),1),"")</f>
        <v/>
      </c>
      <c r="CS4" s="112">
        <f>IF(ISNUMBER('DADOS BRUTOS'!S$2),DATE(YEAR('DADOS BRUTOS'!S$2),MONTH('DADOS BRUTOS'!S$2),1),"")</f>
        <v/>
      </c>
      <c r="CT4" s="112">
        <f>IF(ISNUMBER('DADOS BRUTOS'!T$2),DATE(YEAR('DADOS BRUTOS'!T$2),MONTH('DADOS BRUTOS'!T$2),1),"")</f>
        <v/>
      </c>
      <c r="CU4" s="112">
        <f>IF(ISNUMBER('DADOS BRUTOS'!U$2),DATE(YEAR('DADOS BRUTOS'!U$2),MONTH('DADOS BRUTOS'!U$2),1),"")</f>
        <v/>
      </c>
      <c r="CV4" s="112">
        <f>IF(ISNUMBER('DADOS BRUTOS'!V$2),DATE(YEAR('DADOS BRUTOS'!V$2),MONTH('DADOS BRUTOS'!V$2),1),"")</f>
        <v/>
      </c>
      <c r="CW4" s="112">
        <f>IF(ISNUMBER('DADOS BRUTOS'!W$2),DATE(YEAR('DADOS BRUTOS'!W$2),MONTH('DADOS BRUTOS'!W$2),1),"")</f>
        <v/>
      </c>
      <c r="CX4" s="112">
        <f>IF(ISNUMBER('DADOS BRUTOS'!X$2),DATE(YEAR('DADOS BRUTOS'!X$2),MONTH('DADOS BRUTOS'!X$2),1),"")</f>
        <v/>
      </c>
      <c r="CY4" s="112">
        <f>IF(ISNUMBER('DADOS BRUTOS'!Y$2),DATE(YEAR('DADOS BRUTOS'!Y$2),MONTH('DADOS BRUTOS'!Y$2),1),"")</f>
        <v/>
      </c>
      <c r="CZ4" s="112">
        <f>IF(ISNUMBER('DADOS BRUTOS'!Z$2),DATE(YEAR('DADOS BRUTOS'!Z$2),MONTH('DADOS BRUTOS'!Z$2),1),"")</f>
        <v/>
      </c>
      <c r="DA4" s="112">
        <f>IF(ISNUMBER('DADOS BRUTOS'!AA$2),DATE(YEAR('DADOS BRUTOS'!AA$2),MONTH('DADOS BRUTOS'!AA$2),1),"")</f>
        <v/>
      </c>
      <c r="DB4" s="112">
        <f>IF(ISNUMBER('DADOS BRUTOS'!AB$2),DATE(YEAR('DADOS BRUTOS'!AB$2),MONTH('DADOS BRUTOS'!AB$2),1),"")</f>
        <v/>
      </c>
      <c r="DC4" s="112">
        <f>IF(ISNUMBER('DADOS BRUTOS'!AC$2),DATE(YEAR('DADOS BRUTOS'!AC$2),MONTH('DADOS BRUTOS'!AC$2),1),"")</f>
        <v/>
      </c>
      <c r="DD4" s="112">
        <f>IF(ISNUMBER('DADOS BRUTOS'!AD$2),DATE(YEAR('DADOS BRUTOS'!AD$2),MONTH('DADOS BRUTOS'!AD$2),1),"")</f>
        <v/>
      </c>
      <c r="DE4" s="112">
        <f>IF(ISNUMBER('DADOS BRUTOS'!AE$2),DATE(YEAR('DADOS BRUTOS'!AE$2),MONTH('DADOS BRUTOS'!AE$2),1),"")</f>
        <v/>
      </c>
      <c r="DF4" s="112">
        <f>IF(ISNUMBER('DADOS BRUTOS'!AF$2),DATE(YEAR('DADOS BRUTOS'!AF$2),MONTH('DADOS BRUTOS'!AF$2),1),"")</f>
        <v/>
      </c>
      <c r="DG4" s="112">
        <f>IF(ISNUMBER('DADOS BRUTOS'!AG$2),DATE(YEAR('DADOS BRUTOS'!AG$2),MONTH('DADOS BRUTOS'!AG$2),1),"")</f>
        <v/>
      </c>
      <c r="DH4" s="112">
        <f>IF(ISNUMBER('DADOS BRUTOS'!AH$2),DATE(YEAR('DADOS BRUTOS'!AH$2),MONTH('DADOS BRUTOS'!AH$2),1),"")</f>
        <v/>
      </c>
      <c r="DI4" s="112">
        <f>IF(ISNUMBER('DADOS BRUTOS'!AI$2),DATE(YEAR('DADOS BRUTOS'!AI$2),MONTH('DADOS BRUTOS'!AI$2),1),"")</f>
        <v/>
      </c>
      <c r="DJ4" s="112">
        <f>IF(ISNUMBER('DADOS BRUTOS'!AJ$2),DATE(YEAR('DADOS BRUTOS'!AJ$2),MONTH('DADOS BRUTOS'!AJ$2),1),"")</f>
        <v/>
      </c>
      <c r="DK4" s="112">
        <f>IF(ISNUMBER('DADOS BRUTOS'!AK$2),DATE(YEAR('DADOS BRUTOS'!AK$2),MONTH('DADOS BRUTOS'!AK$2),1),"")</f>
        <v/>
      </c>
      <c r="DL4" s="112">
        <f>IF(ISNUMBER('DADOS BRUTOS'!AL$2),DATE(YEAR('DADOS BRUTOS'!AL$2),MONTH('DADOS BRUTOS'!AL$2),1),"")</f>
        <v/>
      </c>
      <c r="DM4" s="112">
        <f>IF(ISNUMBER('DADOS BRUTOS'!AM$2),DATE(YEAR('DADOS BRUTOS'!AM$2),MONTH('DADOS BRUTOS'!AM$2),1),"")</f>
        <v/>
      </c>
      <c r="DN4" s="112">
        <f>IF(ISNUMBER('DADOS BRUTOS'!AN$2),DATE(YEAR('DADOS BRUTOS'!AN$2),MONTH('DADOS BRUTOS'!AN$2),1),"")</f>
        <v/>
      </c>
      <c r="DO4" s="112">
        <f>IF(ISNUMBER('DADOS BRUTOS'!AO$2),DATE(YEAR('DADOS BRUTOS'!AO$2),MONTH('DADOS BRUTOS'!AO$2),1),"")</f>
        <v/>
      </c>
      <c r="DP4" s="112">
        <f>IF(ISNUMBER('DADOS BRUTOS'!AP$2),DATE(YEAR('DADOS BRUTOS'!AP$2),MONTH('DADOS BRUTOS'!AP$2),1),"")</f>
        <v/>
      </c>
      <c r="DQ4" s="112">
        <f>IF(ISNUMBER('DADOS BRUTOS'!AQ$2),DATE(YEAR('DADOS BRUTOS'!AQ$2),MONTH('DADOS BRUTOS'!AQ$2),1),"")</f>
        <v/>
      </c>
      <c r="DR4" s="112">
        <f>IF(ISNUMBER('DADOS BRUTOS'!AR$2),DATE(YEAR('DADOS BRUTOS'!AR$2),MONTH('DADOS BRUTOS'!AR$2),1),"")</f>
        <v/>
      </c>
      <c r="DS4" s="112">
        <f>IF(ISNUMBER('DADOS BRUTOS'!AS$2),DATE(YEAR('DADOS BRUTOS'!AS$2),MONTH('DADOS BRUTOS'!AS$2),1),"")</f>
        <v/>
      </c>
      <c r="DT4" s="112">
        <f>IF(ISNUMBER('DADOS BRUTOS'!AT$2),DATE(YEAR('DADOS BRUTOS'!AT$2),MONTH('DADOS BRUTOS'!AT$2),1),"")</f>
        <v/>
      </c>
      <c r="DU4" s="112">
        <f>IF(ISNUMBER('DADOS BRUTOS'!AU$2),DATE(YEAR('DADOS BRUTOS'!AU$2),MONTH('DADOS BRUTOS'!AU$2),1),"")</f>
        <v/>
      </c>
      <c r="DV4" s="112">
        <f>IF(ISNUMBER('DADOS BRUTOS'!AV$2),DATE(YEAR('DADOS BRUTOS'!AV$2),MONTH('DADOS BRUTOS'!AV$2),1),"")</f>
        <v/>
      </c>
      <c r="DW4" s="112">
        <f>IF(ISNUMBER('DADOS BRUTOS'!AW$2),DATE(YEAR('DADOS BRUTOS'!AW$2),MONTH('DADOS BRUTOS'!AW$2),1),"")</f>
        <v/>
      </c>
      <c r="DX4" s="112">
        <f>IF(ISNUMBER('DADOS BRUTOS'!AX$2),DATE(YEAR('DADOS BRUTOS'!AX$2),MONTH('DADOS BRUTOS'!AX$2),1),"")</f>
        <v/>
      </c>
      <c r="DY4" s="112">
        <f>IF(ISNUMBER('DADOS BRUTOS'!AY$2),DATE(YEAR('DADOS BRUTOS'!AY$2),MONTH('DADOS BRUTOS'!AY$2),1),"")</f>
        <v/>
      </c>
      <c r="DZ4" s="112">
        <f>IF(ISNUMBER('DADOS BRUTOS'!AZ$2),DATE(YEAR('DADOS BRUTOS'!AZ$2),MONTH('DADOS BRUTOS'!AZ$2),1),"")</f>
        <v/>
      </c>
      <c r="EA4" s="112">
        <f>IF(ISNUMBER('DADOS BRUTOS'!BA$2),DATE(YEAR('DADOS BRUTOS'!BA$2),MONTH('DADOS BRUTOS'!BA$2),1),"")</f>
        <v/>
      </c>
      <c r="EB4" s="112">
        <f>IF(ISNUMBER('DADOS BRUTOS'!BB$2),DATE(YEAR('DADOS BRUTOS'!BB$2),MONTH('DADOS BRUTOS'!BB$2),1),"")</f>
        <v/>
      </c>
      <c r="EC4" s="112">
        <f>IF(ISNUMBER('DADOS BRUTOS'!BC$2),DATE(YEAR('DADOS BRUTOS'!BC$2),MONTH('DADOS BRUTOS'!BC$2),1),"")</f>
        <v/>
      </c>
      <c r="ED4" s="112">
        <f>IF(ISNUMBER('DADOS BRUTOS'!BD$2),DATE(YEAR('DADOS BRUTOS'!BD$2),MONTH('DADOS BRUTOS'!BD$2),1),"")</f>
        <v/>
      </c>
      <c r="EE4" s="112">
        <f>IF(ISNUMBER('DADOS BRUTOS'!BE$2),DATE(YEAR('DADOS BRUTOS'!BE$2),MONTH('DADOS BRUTOS'!BE$2),1),"")</f>
        <v/>
      </c>
      <c r="EF4" s="112">
        <f>IF(ISNUMBER('DADOS BRUTOS'!BF$2),DATE(YEAR('DADOS BRUTOS'!BF$2),MONTH('DADOS BRUTOS'!BF$2),1),"")</f>
        <v/>
      </c>
      <c r="EG4" s="112">
        <f>IF(ISNUMBER('DADOS BRUTOS'!BG$2),DATE(YEAR('DADOS BRUTOS'!BG$2),MONTH('DADOS BRUTOS'!BG$2),1),"")</f>
        <v/>
      </c>
      <c r="EH4" s="112">
        <f>IF(ISNUMBER('DADOS BRUTOS'!BH$2),DATE(YEAR('DADOS BRUTOS'!BH$2),MONTH('DADOS BRUTOS'!BH$2),1),"")</f>
        <v/>
      </c>
      <c r="EI4" s="112">
        <f>IF(ISNUMBER('DADOS BRUTOS'!BI$2),DATE(YEAR('DADOS BRUTOS'!BI$2),MONTH('DADOS BRUTOS'!BI$2),1),"")</f>
        <v/>
      </c>
      <c r="EJ4" s="112">
        <f>IF(ISNUMBER('DADOS BRUTOS'!BJ$2),DATE(YEAR('DADOS BRUTOS'!BJ$2),MONTH('DADOS BRUTOS'!BJ$2),1),"")</f>
        <v/>
      </c>
      <c r="EK4" s="112">
        <f>IF(ISNUMBER('DADOS BRUTOS'!BK$2),DATE(YEAR('DADOS BRUTOS'!BK$2),MONTH('DADOS BRUTOS'!BK$2),1),"")</f>
        <v/>
      </c>
      <c r="EL4" s="112">
        <f>IF(ISNUMBER('DADOS BRUTOS'!BL$2),DATE(YEAR('DADOS BRUTOS'!BL$2),MONTH('DADOS BRUTOS'!BL$2),1),"")</f>
        <v/>
      </c>
      <c r="EM4" s="112">
        <f>IF(ISNUMBER('DADOS BRUTOS'!BM$2),DATE(YEAR('DADOS BRUTOS'!BM$2),MONTH('DADOS BRUTOS'!BM$2),1),"")</f>
        <v/>
      </c>
      <c r="EN4" s="112">
        <f>IF(ISNUMBER('DADOS BRUTOS'!BN$2),DATE(YEAR('DADOS BRUTOS'!BN$2),MONTH('DADOS BRUTOS'!BN$2),1),"")</f>
        <v/>
      </c>
      <c r="EO4" s="112">
        <f>IF(ISNUMBER('DADOS BRUTOS'!BO$2),DATE(YEAR('DADOS BRUTOS'!BO$2),MONTH('DADOS BRUTOS'!BO$2),1),"")</f>
        <v/>
      </c>
      <c r="EP4" s="112">
        <f>IF(ISNUMBER('DADOS BRUTOS'!BP$2),DATE(YEAR('DADOS BRUTOS'!BP$2),MONTH('DADOS BRUTOS'!BP$2),1),"")</f>
        <v/>
      </c>
      <c r="EQ4" s="112">
        <f>IF(ISNUMBER('DADOS BRUTOS'!BQ$2),DATE(YEAR('DADOS BRUTOS'!BQ$2),MONTH('DADOS BRUTOS'!BQ$2),1),"")</f>
        <v/>
      </c>
      <c r="ER4" s="112">
        <f>IF(ISNUMBER('DADOS BRUTOS'!BR$2),DATE(YEAR('DADOS BRUTOS'!BR$2),MONTH('DADOS BRUTOS'!BR$2),1),"")</f>
        <v/>
      </c>
      <c r="ES4" s="112">
        <f>IF(ISNUMBER('DADOS BRUTOS'!BS$2),DATE(YEAR('DADOS BRUTOS'!BS$2),MONTH('DADOS BRUTOS'!BS$2),1),"")</f>
        <v/>
      </c>
      <c r="ET4" s="112">
        <f>IF(ISNUMBER('DADOS BRUTOS'!BT$2),DATE(YEAR('DADOS BRUTOS'!BT$2),MONTH('DADOS BRUTOS'!BT$2),1),"")</f>
        <v/>
      </c>
      <c r="EU4" s="112">
        <f>IF(ISNUMBER('DADOS BRUTOS'!BU$2),DATE(YEAR('DADOS BRUTOS'!BU$2),MONTH('DADOS BRUTOS'!BU$2),1),"")</f>
        <v/>
      </c>
      <c r="EV4" s="112">
        <f>IF(ISNUMBER('DADOS BRUTOS'!BV$2),DATE(YEAR('DADOS BRUTOS'!BV$2),MONTH('DADOS BRUTOS'!BV$2),1),"")</f>
        <v/>
      </c>
      <c r="EW4" s="112">
        <f>IF(ISNUMBER('DADOS BRUTOS'!BW$2),DATE(YEAR('DADOS BRUTOS'!BW$2),MONTH('DADOS BRUTOS'!BW$2),1),"")</f>
        <v/>
      </c>
      <c r="EX4" s="112">
        <f>IF(ISNUMBER('DADOS BRUTOS'!BX$2),DATE(YEAR('DADOS BRUTOS'!BX$2),MONTH('DADOS BRUTOS'!BX$2),1),"")</f>
        <v/>
      </c>
      <c r="EY4" s="112">
        <f>IF(ISNUMBER('DADOS BRUTOS'!BY$2),DATE(YEAR('DADOS BRUTOS'!BY$2),MONTH('DADOS BRUTOS'!BY$2),1),"")</f>
        <v/>
      </c>
      <c r="EZ4" s="112">
        <f>IF(ISNUMBER('DADOS BRUTOS'!BZ$2),DATE(YEAR('DADOS BRUTOS'!BZ$2),MONTH('DADOS BRUTOS'!BZ$2),1),"")</f>
        <v/>
      </c>
      <c r="FA4" s="112">
        <f>IF(ISNUMBER('DADOS BRUTOS'!CA$2),DATE(YEAR('DADOS BRUTOS'!CA$2),MONTH('DADOS BRUTOS'!CA$2),1),"")</f>
        <v/>
      </c>
      <c r="FB4" s="112">
        <f>IF(ISNUMBER('DADOS BRUTOS'!CB$2),DATE(YEAR('DADOS BRUTOS'!CB$2),MONTH('DADOS BRUTOS'!CB$2),1),"")</f>
        <v/>
      </c>
      <c r="FC4" s="112">
        <f>IF(ISNUMBER('DADOS BRUTOS'!CC$2),DATE(YEAR('DADOS BRUTOS'!CC$2),MONTH('DADOS BRUTOS'!CC$2),1),"")</f>
        <v/>
      </c>
      <c r="FD4" s="112">
        <f>IF(ISNUMBER('DADOS BRUTOS'!CD$2),DATE(YEAR('DADOS BRUTOS'!CD$2),MONTH('DADOS BRUTOS'!CD$2),1),"")</f>
        <v/>
      </c>
      <c r="FE4" s="112">
        <f>IF(ISNUMBER('DADOS BRUTOS'!CE$2),DATE(YEAR('DADOS BRUTOS'!CE$2),MONTH('DADOS BRUTOS'!CE$2),1),"")</f>
        <v/>
      </c>
      <c r="FF4" s="112">
        <f>IF(ISNUMBER('DADOS BRUTOS'!CF$2),DATE(YEAR('DADOS BRUTOS'!CF$2),MONTH('DADOS BRUTOS'!CF$2),1),"")</f>
        <v/>
      </c>
      <c r="FG4" s="112">
        <f>IF(ISNUMBER('DADOS BRUTOS'!CG$2),DATE(YEAR('DADOS BRUTOS'!CG$2),MONTH('DADOS BRUTOS'!CG$2),1),"")</f>
        <v/>
      </c>
      <c r="FH4" s="112">
        <f>IF(ISNUMBER('DADOS BRUTOS'!CH$2),DATE(YEAR('DADOS BRUTOS'!CH$2),MONTH('DADOS BRUTOS'!CH$2),1),"")</f>
        <v/>
      </c>
      <c r="FI4" s="112">
        <f>IF(ISNUMBER('DADOS BRUTOS'!CI$2),DATE(YEAR('DADOS BRUTOS'!CI$2),MONTH('DADOS BRUTOS'!CI$2),1),"")</f>
        <v/>
      </c>
      <c r="FJ4" s="112">
        <f>IF(ISNUMBER('DADOS BRUTOS'!CJ$2),DATE(YEAR('DADOS BRUTOS'!CJ$2),MONTH('DADOS BRUTOS'!CJ$2),1),"")</f>
        <v/>
      </c>
      <c r="FK4" s="112">
        <f>IF(ISNUMBER('DADOS BRUTOS'!CK$2),DATE(YEAR('DADOS BRUTOS'!CK$2),MONTH('DADOS BRUTOS'!CK$2),1),"")</f>
        <v/>
      </c>
      <c r="FL4" s="112">
        <f>IF(ISNUMBER('DADOS BRUTOS'!CL$2),DATE(YEAR('DADOS BRUTOS'!CL$2),MONTH('DADOS BRUTOS'!CL$2),1),"")</f>
        <v/>
      </c>
      <c r="FM4" s="112">
        <f>IF(ISNUMBER('DADOS BRUTOS'!CM$2),DATE(YEAR('DADOS BRUTOS'!CM$2),MONTH('DADOS BRUTOS'!CM$2),1),"")</f>
        <v/>
      </c>
      <c r="FN4" s="112">
        <f>IF(ISNUMBER('DADOS BRUTOS'!CN$2),DATE(YEAR('DADOS BRUTOS'!CN$2),MONTH('DADOS BRUTOS'!CN$2),1),"")</f>
        <v/>
      </c>
      <c r="FO4" s="112">
        <f>IF(ISNUMBER('DADOS BRUTOS'!CO$2),DATE(YEAR('DADOS BRUTOS'!CO$2),MONTH('DADOS BRUTOS'!CO$2),1),"")</f>
        <v/>
      </c>
      <c r="FP4" s="112">
        <f>IF(ISNUMBER('DADOS BRUTOS'!CP$2),DATE(YEAR('DADOS BRUTOS'!CP$2),MONTH('DADOS BRUTOS'!CP$2),1),"")</f>
        <v/>
      </c>
      <c r="FQ4" s="112">
        <f>IF(ISNUMBER('DADOS BRUTOS'!CQ$2),DATE(YEAR('DADOS BRUTOS'!CQ$2),MONTH('DADOS BRUTOS'!CQ$2),1),"")</f>
        <v/>
      </c>
      <c r="FR4" s="112">
        <f>IF(ISNUMBER('DADOS BRUTOS'!CR$2),DATE(YEAR('DADOS BRUTOS'!CR$2),MONTH('DADOS BRUTOS'!CR$2),1),"")</f>
        <v/>
      </c>
      <c r="FS4" s="112">
        <f>IF(ISNUMBER('DADOS BRUTOS'!CS$2),DATE(YEAR('DADOS BRUTOS'!CS$2),MONTH('DADOS BRUTOS'!CS$2),1),"")</f>
        <v/>
      </c>
      <c r="FT4" s="112">
        <f>IF(ISNUMBER('DADOS BRUTOS'!CT$2),DATE(YEAR('DADOS BRUTOS'!CT$2),MONTH('DADOS BRUTOS'!CT$2),1),"")</f>
        <v/>
      </c>
      <c r="FU4" s="112">
        <f>IF(ISNUMBER('DADOS BRUTOS'!CU$2),DATE(YEAR('DADOS BRUTOS'!CU$2),MONTH('DADOS BRUTOS'!CU$2),1),"")</f>
        <v/>
      </c>
      <c r="FV4" s="112">
        <f>IF(ISNUMBER('DADOS BRUTOS'!CV$2),DATE(YEAR('DADOS BRUTOS'!CV$2),MONTH('DADOS BRUTOS'!CV$2),1),"")</f>
        <v/>
      </c>
      <c r="FW4" s="112">
        <f>IF(ISNUMBER('DADOS BRUTOS'!CW$2),DATE(YEAR('DADOS BRUTOS'!CW$2),MONTH('DADOS BRUTOS'!CW$2),1),"")</f>
        <v/>
      </c>
      <c r="FX4" s="112">
        <f>IF(ISNUMBER('DADOS BRUTOS'!CX$2),DATE(YEAR('DADOS BRUTOS'!CX$2),MONTH('DADOS BRUTOS'!CX$2),1),"")</f>
        <v/>
      </c>
      <c r="FY4" s="112">
        <f>IF(ISNUMBER('DADOS BRUTOS'!CY$2),DATE(YEAR('DADOS BRUTOS'!CY$2),MONTH('DADOS BRUTOS'!CY$2),1),"")</f>
        <v/>
      </c>
      <c r="FZ4" s="112">
        <f>IF(ISNUMBER('DADOS BRUTOS'!CZ$2),DATE(YEAR('DADOS BRUTOS'!CZ$2),MONTH('DADOS BRUTOS'!CZ$2),1),"")</f>
        <v/>
      </c>
      <c r="GA4" s="112">
        <f>IF(ISNUMBER('DADOS BRUTOS'!DA$2),DATE(YEAR('DADOS BRUTOS'!DA$2),MONTH('DADOS BRUTOS'!DA$2),1),"")</f>
        <v/>
      </c>
      <c r="GB4" s="112">
        <f>IF(ISNUMBER('DADOS BRUTOS'!DB$2),DATE(YEAR('DADOS BRUTOS'!DB$2),MONTH('DADOS BRUTOS'!DB$2),1),"")</f>
        <v/>
      </c>
      <c r="GC4" s="112">
        <f>IF(ISNUMBER('DADOS BRUTOS'!DC$2),DATE(YEAR('DADOS BRUTOS'!DC$2),MONTH('DADOS BRUTOS'!DC$2),1),"")</f>
        <v/>
      </c>
      <c r="GD4" s="112">
        <f>IF(ISNUMBER('DADOS BRUTOS'!DD$2),DATE(YEAR('DADOS BRUTOS'!DD$2),MONTH('DADOS BRUTOS'!DD$2),1),"")</f>
        <v/>
      </c>
      <c r="GE4" s="112">
        <f>IF(ISNUMBER('DADOS BRUTOS'!DE$2),DATE(YEAR('DADOS BRUTOS'!DE$2),MONTH('DADOS BRUTOS'!DE$2),1),"")</f>
        <v/>
      </c>
      <c r="GF4" s="112">
        <f>IF(ISNUMBER('DADOS BRUTOS'!DF$2),DATE(YEAR('DADOS BRUTOS'!DF$2),MONTH('DADOS BRUTOS'!DF$2),1),"")</f>
        <v/>
      </c>
      <c r="GG4" s="112">
        <f>IF(ISNUMBER('DADOS BRUTOS'!DG$2),DATE(YEAR('DADOS BRUTOS'!DG$2),MONTH('DADOS BRUTOS'!DG$2),1),"")</f>
        <v/>
      </c>
      <c r="GH4" s="112">
        <f>IF(ISNUMBER('DADOS BRUTOS'!DH$2),DATE(YEAR('DADOS BRUTOS'!DH$2),MONTH('DADOS BRUTOS'!DH$2),1),"")</f>
        <v/>
      </c>
      <c r="GI4" s="112">
        <f>IF(ISNUMBER('DADOS BRUTOS'!DI$2),DATE(YEAR('DADOS BRUTOS'!DI$2),MONTH('DADOS BRUTOS'!DI$2),1),"")</f>
        <v/>
      </c>
      <c r="GJ4" s="112">
        <f>IF(ISNUMBER('DADOS BRUTOS'!DJ$2),DATE(YEAR('DADOS BRUTOS'!DJ$2),MONTH('DADOS BRUTOS'!DJ$2),1),"")</f>
        <v/>
      </c>
      <c r="GK4" s="112">
        <f>IF(ISNUMBER('DADOS BRUTOS'!DK$2),DATE(YEAR('DADOS BRUTOS'!DK$2),MONTH('DADOS BRUTOS'!DK$2),1),"")</f>
        <v/>
      </c>
      <c r="GL4" s="112">
        <f>IF(ISNUMBER('DADOS BRUTOS'!DL$2),DATE(YEAR('DADOS BRUTOS'!DL$2),MONTH('DADOS BRUTOS'!DL$2),1),"")</f>
        <v/>
      </c>
      <c r="GM4" s="112">
        <f>IF(ISNUMBER('DADOS BRUTOS'!DM$2),DATE(YEAR('DADOS BRUTOS'!DM$2),MONTH('DADOS BRUTOS'!DM$2),1),"")</f>
        <v/>
      </c>
      <c r="GN4" s="112">
        <f>IF(ISNUMBER('DADOS BRUTOS'!DN$2),DATE(YEAR('DADOS BRUTOS'!DN$2),MONTH('DADOS BRUTOS'!DN$2),1),"")</f>
        <v/>
      </c>
      <c r="GO4" s="112">
        <f>IF(ISNUMBER('DADOS BRUTOS'!DO$2),DATE(YEAR('DADOS BRUTOS'!DO$2),MONTH('DADOS BRUTOS'!DO$2),1),"")</f>
        <v/>
      </c>
      <c r="GP4" s="112">
        <f>IF(ISNUMBER('DADOS BRUTOS'!DP$2),DATE(YEAR('DADOS BRUTOS'!DP$2),MONTH('DADOS BRUTOS'!DP$2),1),"")</f>
        <v/>
      </c>
      <c r="GQ4" s="112">
        <f>IF(ISNUMBER('DADOS BRUTOS'!DQ$2),DATE(YEAR('DADOS BRUTOS'!DQ$2),MONTH('DADOS BRUTOS'!DQ$2),1),"")</f>
        <v/>
      </c>
      <c r="GR4" s="112">
        <f>IF(ISNUMBER('DADOS BRUTOS'!DR$2),DATE(YEAR('DADOS BRUTOS'!DR$2),MONTH('DADOS BRUTOS'!DR$2),1),"")</f>
        <v/>
      </c>
      <c r="GS4" s="112">
        <f>IF(ISNUMBER('DADOS BRUTOS'!DS$2),DATE(YEAR('DADOS BRUTOS'!DS$2),MONTH('DADOS BRUTOS'!DS$2),1),"")</f>
        <v/>
      </c>
      <c r="GT4" s="112">
        <f>IF(ISNUMBER('DADOS BRUTOS'!DT$2),DATE(YEAR('DADOS BRUTOS'!DT$2),MONTH('DADOS BRUTOS'!DT$2),1),"")</f>
        <v/>
      </c>
      <c r="GU4" s="112">
        <f>IF(ISNUMBER('DADOS BRUTOS'!DU$2),DATE(YEAR('DADOS BRUTOS'!DU$2),MONTH('DADOS BRUTOS'!DU$2),1),"")</f>
        <v/>
      </c>
      <c r="GV4" s="112">
        <f>IF(ISNUMBER('DADOS BRUTOS'!DV$2),DATE(YEAR('DADOS BRUTOS'!DV$2),MONTH('DADOS BRUTOS'!DV$2),1),"")</f>
        <v/>
      </c>
      <c r="GW4" s="112">
        <f>IF(ISNUMBER('DADOS BRUTOS'!DW$2),DATE(YEAR('DADOS BRUTOS'!DW$2),MONTH('DADOS BRUTOS'!DW$2),1),"")</f>
        <v/>
      </c>
      <c r="GX4" s="112">
        <f>IF(ISNUMBER('DADOS BRUTOS'!DX$2),DATE(YEAR('DADOS BRUTOS'!DX$2),MONTH('DADOS BRUTOS'!DX$2),1),"")</f>
        <v/>
      </c>
      <c r="GY4" s="112">
        <f>IF(ISNUMBER('DADOS BRUTOS'!DY$2),DATE(YEAR('DADOS BRUTOS'!DY$2),MONTH('DADOS BRUTOS'!DY$2),1),"")</f>
        <v/>
      </c>
      <c r="GZ4" s="112">
        <f>IF(ISNUMBER('DADOS BRUTOS'!DZ$2),DATE(YEAR('DADOS BRUTOS'!DZ$2),MONTH('DADOS BRUTOS'!DZ$2),1),"")</f>
        <v/>
      </c>
      <c r="HA4" s="112">
        <f>IF(ISNUMBER('DADOS BRUTOS'!EA$2),DATE(YEAR('DADOS BRUTOS'!EA$2),MONTH('DADOS BRUTOS'!EA$2),1),"")</f>
        <v/>
      </c>
      <c r="HB4" s="112">
        <f>IF(ISNUMBER('DADOS BRUTOS'!EB$2),DATE(YEAR('DADOS BRUTOS'!EB$2),MONTH('DADOS BRUTOS'!EB$2),1),"")</f>
        <v/>
      </c>
      <c r="HC4" s="112">
        <f>IF(ISNUMBER('DADOS BRUTOS'!EC$2),DATE(YEAR('DADOS BRUTOS'!EC$2),MONTH('DADOS BRUTOS'!EC$2),1),"")</f>
        <v/>
      </c>
      <c r="HD4" s="112">
        <f>IF(ISNUMBER('DADOS BRUTOS'!ED$2),DATE(YEAR('DADOS BRUTOS'!ED$2),MONTH('DADOS BRUTOS'!ED$2),1),"")</f>
        <v/>
      </c>
      <c r="HE4" s="112">
        <f>IF(ISNUMBER('DADOS BRUTOS'!EE$2),DATE(YEAR('DADOS BRUTOS'!EE$2),MONTH('DADOS BRUTOS'!EE$2),1),"")</f>
        <v/>
      </c>
      <c r="HF4" s="112">
        <f>IF(ISNUMBER('DADOS BRUTOS'!EF$2),DATE(YEAR('DADOS BRUTOS'!EF$2),MONTH('DADOS BRUTOS'!EF$2),1),"")</f>
        <v/>
      </c>
      <c r="HG4" s="112">
        <f>IF(ISNUMBER('DADOS BRUTOS'!EG$2),DATE(YEAR('DADOS BRUTOS'!EG$2),MONTH('DADOS BRUTOS'!EG$2),1),"")</f>
        <v/>
      </c>
      <c r="HH4" s="112">
        <f>IF(ISNUMBER('DADOS BRUTOS'!EH$2),DATE(YEAR('DADOS BRUTOS'!EH$2),MONTH('DADOS BRUTOS'!EH$2),1),"")</f>
        <v/>
      </c>
      <c r="HI4" s="112">
        <f>IF(ISNUMBER('DADOS BRUTOS'!EI$2),DATE(YEAR('DADOS BRUTOS'!EI$2),MONTH('DADOS BRUTOS'!EI$2),1),"")</f>
        <v/>
      </c>
      <c r="HJ4" s="112">
        <f>IF(ISNUMBER('DADOS BRUTOS'!EJ$2),DATE(YEAR('DADOS BRUTOS'!EJ$2),MONTH('DADOS BRUTOS'!EJ$2),1),"")</f>
        <v/>
      </c>
      <c r="HK4" s="112">
        <f>IF(ISNUMBER('DADOS BRUTOS'!EK$2),DATE(YEAR('DADOS BRUTOS'!EK$2),MONTH('DADOS BRUTOS'!EK$2),1),"")</f>
        <v/>
      </c>
      <c r="HL4" s="112">
        <f>IF(ISNUMBER('DADOS BRUTOS'!EL$2),DATE(YEAR('DADOS BRUTOS'!EL$2),MONTH('DADOS BRUTOS'!EL$2),1),"")</f>
        <v/>
      </c>
      <c r="HM4" s="112">
        <f>IF(ISNUMBER('DADOS BRUTOS'!EM$2),DATE(YEAR('DADOS BRUTOS'!EM$2),MONTH('DADOS BRUTOS'!EM$2),1),"")</f>
        <v/>
      </c>
      <c r="HN4" s="112">
        <f>IF(ISNUMBER('DADOS BRUTOS'!EN$2),DATE(YEAR('DADOS BRUTOS'!EN$2),MONTH('DADOS BRUTOS'!EN$2),1),"")</f>
        <v/>
      </c>
      <c r="HO4" s="112">
        <f>IF(ISNUMBER('DADOS BRUTOS'!EO$2),DATE(YEAR('DADOS BRUTOS'!EO$2),MONTH('DADOS BRUTOS'!EO$2),1),"")</f>
        <v/>
      </c>
      <c r="HP4" s="112">
        <f>IF(ISNUMBER('DADOS BRUTOS'!EP$2),DATE(YEAR('DADOS BRUTOS'!EP$2),MONTH('DADOS BRUTOS'!EP$2),1),"")</f>
        <v/>
      </c>
      <c r="HQ4" s="112">
        <f>IF(ISNUMBER('DADOS BRUTOS'!EQ$2),DATE(YEAR('DADOS BRUTOS'!EQ$2),MONTH('DADOS BRUTOS'!EQ$2),1),"")</f>
        <v/>
      </c>
      <c r="HR4" s="112">
        <f>IF(ISNUMBER('DADOS BRUTOS'!ER$2),DATE(YEAR('DADOS BRUTOS'!ER$2),MONTH('DADOS BRUTOS'!ER$2),1),"")</f>
        <v/>
      </c>
      <c r="HS4" s="112">
        <f>IF(ISNUMBER('DADOS BRUTOS'!ES$2),DATE(YEAR('DADOS BRUTOS'!ES$2),MONTH('DADOS BRUTOS'!ES$2),1),"")</f>
        <v/>
      </c>
      <c r="HT4" s="112">
        <f>IF(ISNUMBER('DADOS BRUTOS'!ET$2),DATE(YEAR('DADOS BRUTOS'!ET$2),MONTH('DADOS BRUTOS'!ET$2),1),"")</f>
        <v/>
      </c>
      <c r="HU4" s="112">
        <f>IF(ISNUMBER('DADOS BRUTOS'!EU$2),DATE(YEAR('DADOS BRUTOS'!EU$2),MONTH('DADOS BRUTOS'!EU$2),1),"")</f>
        <v/>
      </c>
      <c r="HV4" s="112">
        <f>IF(ISNUMBER('DADOS BRUTOS'!EV$2),DATE(YEAR('DADOS BRUTOS'!EV$2),MONTH('DADOS BRUTOS'!EV$2),1),"")</f>
        <v/>
      </c>
      <c r="HW4" s="112">
        <f>IF(ISNUMBER('DADOS BRUTOS'!EW$2),DATE(YEAR('DADOS BRUTOS'!EW$2),MONTH('DADOS BRUTOS'!EW$2),1),"")</f>
        <v/>
      </c>
      <c r="HX4" s="112">
        <f>IF(ISNUMBER('DADOS BRUTOS'!EX$2),DATE(YEAR('DADOS BRUTOS'!EX$2),MONTH('DADOS BRUTOS'!EX$2),1),"")</f>
        <v/>
      </c>
      <c r="HY4" s="112">
        <f>IF(ISNUMBER('DADOS BRUTOS'!EY$2),DATE(YEAR('DADOS BRUTOS'!EY$2),MONTH('DADOS BRUTOS'!EY$2),1),"")</f>
        <v/>
      </c>
      <c r="HZ4" s="112">
        <f>IF(ISNUMBER('DADOS BRUTOS'!EZ$2),DATE(YEAR('DADOS BRUTOS'!EZ$2),MONTH('DADOS BRUTOS'!EZ$2),1),"")</f>
        <v/>
      </c>
      <c r="IA4" s="112">
        <f>IF(ISNUMBER('DADOS BRUTOS'!FA$2),DATE(YEAR('DADOS BRUTOS'!FA$2),MONTH('DADOS BRUTOS'!FA$2),1),"")</f>
        <v/>
      </c>
      <c r="IB4" s="112">
        <f>IF(ISNUMBER('DADOS BRUTOS'!FB$2),DATE(YEAR('DADOS BRUTOS'!FB$2),MONTH('DADOS BRUTOS'!FB$2),1),"")</f>
        <v/>
      </c>
      <c r="IC4" s="112">
        <f>IF(ISNUMBER('DADOS BRUTOS'!FC$2),DATE(YEAR('DADOS BRUTOS'!FC$2),MONTH('DADOS BRUTOS'!FC$2),1),"")</f>
        <v/>
      </c>
      <c r="ID4" s="112">
        <f>IF(ISNUMBER('DADOS BRUTOS'!FD$2),DATE(YEAR('DADOS BRUTOS'!FD$2),MONTH('DADOS BRUTOS'!FD$2),1),"")</f>
        <v/>
      </c>
      <c r="IE4" s="112">
        <f>IF(ISNUMBER('DADOS BRUTOS'!FE$2),DATE(YEAR('DADOS BRUTOS'!FE$2),MONTH('DADOS BRUTOS'!FE$2),1),"")</f>
        <v/>
      </c>
      <c r="IF4" s="112">
        <f>IF(ISNUMBER('DADOS BRUTOS'!FF$2),DATE(YEAR('DADOS BRUTOS'!FF$2),MONTH('DADOS BRUTOS'!FF$2),1),"")</f>
        <v/>
      </c>
      <c r="IG4" s="112">
        <f>IF(ISNUMBER('DADOS BRUTOS'!FG$2),DATE(YEAR('DADOS BRUTOS'!FG$2),MONTH('DADOS BRUTOS'!FG$2),1),"")</f>
        <v/>
      </c>
      <c r="IH4" s="112">
        <f>IF(ISNUMBER('DADOS BRUTOS'!FH$2),DATE(YEAR('DADOS BRUTOS'!FH$2),MONTH('DADOS BRUTOS'!FH$2),1),"")</f>
        <v/>
      </c>
      <c r="II4" s="112">
        <f>IF(ISNUMBER('DADOS BRUTOS'!FI$2),DATE(YEAR('DADOS BRUTOS'!FI$2),MONTH('DADOS BRUTOS'!FI$2),1),"")</f>
        <v/>
      </c>
      <c r="IJ4" s="112">
        <f>IF(ISNUMBER('DADOS BRUTOS'!FJ$2),DATE(YEAR('DADOS BRUTOS'!FJ$2),MONTH('DADOS BRUTOS'!FJ$2),1),"")</f>
        <v/>
      </c>
      <c r="IK4" s="112">
        <f>IF(ISNUMBER('DADOS BRUTOS'!FK$2),DATE(YEAR('DADOS BRUTOS'!FK$2),MONTH('DADOS BRUTOS'!FK$2),1),"")</f>
        <v/>
      </c>
      <c r="IL4" s="112">
        <f>IF(ISNUMBER('DADOS BRUTOS'!FL$2),DATE(YEAR('DADOS BRUTOS'!FL$2),MONTH('DADOS BRUTOS'!FL$2),1),"")</f>
        <v/>
      </c>
      <c r="IM4" s="112">
        <f>IF(ISNUMBER('DADOS BRUTOS'!FM$2),DATE(YEAR('DADOS BRUTOS'!FM$2),MONTH('DADOS BRUTOS'!FM$2),1),"")</f>
        <v/>
      </c>
      <c r="IN4" s="112">
        <f>IF(ISNUMBER('DADOS BRUTOS'!FN$2),DATE(YEAR('DADOS BRUTOS'!FN$2),MONTH('DADOS BRUTOS'!FN$2),1),"")</f>
        <v/>
      </c>
      <c r="IO4" s="112">
        <f>IF(ISNUMBER('DADOS BRUTOS'!FO$2),DATE(YEAR('DADOS BRUTOS'!FO$2),MONTH('DADOS BRUTOS'!FO$2),1),"")</f>
        <v/>
      </c>
      <c r="IP4" s="112">
        <f>IF(ISNUMBER('DADOS BRUTOS'!FP$2),DATE(YEAR('DADOS BRUTOS'!FP$2),MONTH('DADOS BRUTOS'!FP$2),1),"")</f>
        <v/>
      </c>
      <c r="IQ4" s="112">
        <f>IF(ISNUMBER('DADOS BRUTOS'!FQ$2),DATE(YEAR('DADOS BRUTOS'!FQ$2),MONTH('DADOS BRUTOS'!FQ$2),1),"")</f>
        <v/>
      </c>
      <c r="IR4" s="112">
        <f>IF(ISNUMBER('DADOS BRUTOS'!FR$2),DATE(YEAR('DADOS BRUTOS'!FR$2),MONTH('DADOS BRUTOS'!FR$2),1),"")</f>
        <v/>
      </c>
      <c r="IS4" s="112">
        <f>IF(ISNUMBER('DADOS BRUTOS'!FS$2),DATE(YEAR('DADOS BRUTOS'!FS$2),MONTH('DADOS BRUTOS'!FS$2),1),"")</f>
        <v/>
      </c>
      <c r="IT4" s="112">
        <f>IF(ISNUMBER('DADOS BRUTOS'!FT$2),DATE(YEAR('DADOS BRUTOS'!FT$2),MONTH('DADOS BRUTOS'!FT$2),1),"")</f>
        <v/>
      </c>
      <c r="IU4" s="112">
        <f>IF(ISNUMBER('DADOS BRUTOS'!FU$2),DATE(YEAR('DADOS BRUTOS'!FU$2),MONTH('DADOS BRUTOS'!FU$2),1),"")</f>
        <v/>
      </c>
      <c r="IV4" s="112">
        <f>IF(ISNUMBER('DADOS BRUTOS'!FV$2),DATE(YEAR('DADOS BRUTOS'!FV$2),MONTH('DADOS BRUTOS'!FV$2),1),"")</f>
        <v/>
      </c>
      <c r="IW4" s="112">
        <f>IF(ISNUMBER('DADOS BRUTOS'!FW$2),DATE(YEAR('DADOS BRUTOS'!FW$2),MONTH('DADOS BRUTOS'!FW$2),1),"")</f>
        <v/>
      </c>
      <c r="IX4" s="112">
        <f>IF(ISNUMBER('DADOS BRUTOS'!FX$2),DATE(YEAR('DADOS BRUTOS'!FX$2),MONTH('DADOS BRUTOS'!FX$2),1),"")</f>
        <v/>
      </c>
      <c r="IY4" s="112">
        <f>IF(ISNUMBER('DADOS BRUTOS'!FY$2),DATE(YEAR('DADOS BRUTOS'!FY$2),MONTH('DADOS BRUTOS'!FY$2),1),"")</f>
        <v/>
      </c>
      <c r="IZ4" s="112">
        <f>IF(ISNUMBER('DADOS BRUTOS'!FZ$2),DATE(YEAR('DADOS BRUTOS'!FZ$2),MONTH('DADOS BRUTOS'!FZ$2),1),"")</f>
        <v/>
      </c>
      <c r="JA4" s="112">
        <f>IF(ISNUMBER('DADOS BRUTOS'!GA$2),DATE(YEAR('DADOS BRUTOS'!GA$2),MONTH('DADOS BRUTOS'!GA$2),1),"")</f>
        <v/>
      </c>
      <c r="JB4" s="112">
        <f>IF(ISNUMBER('DADOS BRUTOS'!GB$2),DATE(YEAR('DADOS BRUTOS'!GB$2),MONTH('DADOS BRUTOS'!GB$2),1),"")</f>
        <v/>
      </c>
      <c r="JC4" s="112">
        <f>IF(ISNUMBER('DADOS BRUTOS'!GC$2),DATE(YEAR('DADOS BRUTOS'!GC$2),MONTH('DADOS BRUTOS'!GC$2),1),"")</f>
        <v/>
      </c>
      <c r="JD4" s="112">
        <f>IF(ISNUMBER('DADOS BRUTOS'!GD$2),DATE(YEAR('DADOS BRUTOS'!GD$2),MONTH('DADOS BRUTOS'!GD$2),1),"")</f>
        <v/>
      </c>
      <c r="JE4" s="112">
        <f>IF(ISNUMBER('DADOS BRUTOS'!GE$2),DATE(YEAR('DADOS BRUTOS'!GE$2),MONTH('DADOS BRUTOS'!GE$2),1),"")</f>
        <v/>
      </c>
      <c r="JF4" s="112">
        <f>IF(ISNUMBER('DADOS BRUTOS'!GF$2),DATE(YEAR('DADOS BRUTOS'!GF$2),MONTH('DADOS BRUTOS'!GF$2),1),"")</f>
        <v/>
      </c>
      <c r="JG4" s="112">
        <f>IF(ISNUMBER('DADOS BRUTOS'!GG$2),DATE(YEAR('DADOS BRUTOS'!GG$2),MONTH('DADOS BRUTOS'!GG$2),1),"")</f>
        <v/>
      </c>
      <c r="JH4" s="112">
        <f>IF(ISNUMBER('DADOS BRUTOS'!GH$2),DATE(YEAR('DADOS BRUTOS'!GH$2),MONTH('DADOS BRUTOS'!GH$2),1),"")</f>
        <v/>
      </c>
      <c r="JI4" s="112">
        <f>IF(ISNUMBER('DADOS BRUTOS'!GI$2),DATE(YEAR('DADOS BRUTOS'!GI$2),MONTH('DADOS BRUTOS'!GI$2),1),"")</f>
        <v/>
      </c>
      <c r="JJ4" s="112">
        <f>IF(ISNUMBER('DADOS BRUTOS'!GJ$2),DATE(YEAR('DADOS BRUTOS'!GJ$2),MONTH('DADOS BRUTOS'!GJ$2),1),"")</f>
        <v/>
      </c>
      <c r="JK4" s="112">
        <f>IF(ISNUMBER('DADOS BRUTOS'!GK$2),DATE(YEAR('DADOS BRUTOS'!GK$2),MONTH('DADOS BRUTOS'!GK$2),1),"")</f>
        <v/>
      </c>
      <c r="JL4" s="112">
        <f>IF(ISNUMBER('DADOS BRUTOS'!GL$2),DATE(YEAR('DADOS BRUTOS'!GL$2),MONTH('DADOS BRUTOS'!GL$2),1),"")</f>
        <v/>
      </c>
      <c r="JM4" s="112">
        <f>IF(ISNUMBER('DADOS BRUTOS'!GM$2),DATE(YEAR('DADOS BRUTOS'!GM$2),MONTH('DADOS BRUTOS'!GM$2),1),"")</f>
        <v/>
      </c>
      <c r="JN4" s="112">
        <f>IF(ISNUMBER('DADOS BRUTOS'!GN$2),DATE(YEAR('DADOS BRUTOS'!GN$2),MONTH('DADOS BRUTOS'!GN$2),1),"")</f>
        <v/>
      </c>
      <c r="JO4" s="112">
        <f>IF(ISNUMBER('DADOS BRUTOS'!GO$2),DATE(YEAR('DADOS BRUTOS'!GO$2),MONTH('DADOS BRUTOS'!GO$2),1),"")</f>
        <v/>
      </c>
      <c r="JP4" s="112">
        <f>IF(ISNUMBER('DADOS BRUTOS'!GP$2),DATE(YEAR('DADOS BRUTOS'!GP$2),MONTH('DADOS BRUTOS'!GP$2),1),"")</f>
        <v/>
      </c>
      <c r="JQ4" s="112">
        <f>IF(ISNUMBER('DADOS BRUTOS'!GQ$2),DATE(YEAR('DADOS BRUTOS'!GQ$2),MONTH('DADOS BRUTOS'!GQ$2),1),"")</f>
        <v/>
      </c>
      <c r="JR4" s="112">
        <f>IF(ISNUMBER('DADOS BRUTOS'!GR$2),DATE(YEAR('DADOS BRUTOS'!GR$2),MONTH('DADOS BRUTOS'!GR$2),1),"")</f>
        <v/>
      </c>
      <c r="JS4" s="112">
        <f>IF(ISNUMBER('DADOS BRUTOS'!GS$2),DATE(YEAR('DADOS BRUTOS'!GS$2),MONTH('DADOS BRUTOS'!GS$2),1),"")</f>
        <v/>
      </c>
    </row>
    <row r="5">
      <c r="A5" s="61">
        <f>'VALOR POR PL'!D11</f>
        <v/>
      </c>
      <c r="B5" s="60" t="inlineStr">
        <is>
          <t>PROJETOS</t>
        </is>
      </c>
      <c r="C5" s="60" t="n"/>
      <c r="D5" s="55">
        <f>SUMIF($CB$4:$JS$4,"&lt;="&amp;D$4,$CB5:$JS5)</f>
        <v/>
      </c>
      <c r="E5" s="55">
        <f>SUMIF($CB$4:$JS$4,E$4,$CB5:$JS5)</f>
        <v/>
      </c>
      <c r="F5" s="55">
        <f>SUMIF($CB$4:$JS$4,F$4,$CB5:$JS5)</f>
        <v/>
      </c>
      <c r="G5" s="55">
        <f>SUMIF($CB$4:$JS$4,G$4,$CB5:$JS5)</f>
        <v/>
      </c>
      <c r="H5" s="55">
        <f>SUMIF($CB$4:$JS$4,H$4,$CB5:$JS5)</f>
        <v/>
      </c>
      <c r="I5" s="55">
        <f>SUMIF($CB$4:$JS$4,I$4,$CB5:$JS5)</f>
        <v/>
      </c>
      <c r="J5" s="55">
        <f>SUMIF($CB$4:$JS$4,J$4,$CB5:$JS5)</f>
        <v/>
      </c>
      <c r="K5" s="55">
        <f>SUMIF($CB$4:$JS$4,K$4,$CB5:$JS5)</f>
        <v/>
      </c>
      <c r="L5" s="55">
        <f>SUMIF($CB$4:$JS$4,L$4,$CB5:$JS5)</f>
        <v/>
      </c>
      <c r="M5" s="55">
        <f>SUMIF($CB$4:$JS$4,M$4,$CB5:$JS5)</f>
        <v/>
      </c>
      <c r="N5" s="55">
        <f>SUMIF($CB$4:$JS$4,N$4,$CB5:$JS5)</f>
        <v/>
      </c>
      <c r="O5" s="55">
        <f>SUMIF($CB$4:$JS$4,O$4,$CB5:$JS5)</f>
        <v/>
      </c>
      <c r="P5" s="55">
        <f>SUMIF($CB$4:$JS$4,P$4,$CB5:$JS5)</f>
        <v/>
      </c>
      <c r="Q5" s="55">
        <f>SUMIF($CB$4:$JS$4,Q$4,$CB5:$JS5)</f>
        <v/>
      </c>
      <c r="R5" s="55">
        <f>SUMIF($CB$4:$JS$4,R$4,$CB5:$JS5)</f>
        <v/>
      </c>
      <c r="S5" s="55">
        <f>SUMIF($CB$4:$JS$4,S$4,$CB5:$JS5)</f>
        <v/>
      </c>
      <c r="T5" s="55">
        <f>SUMIF($CB$4:$JS$4,T$4,$CB5:$JS5)</f>
        <v/>
      </c>
      <c r="U5" s="55">
        <f>SUMIF($CB$4:$JS$4,U$4,$CB5:$JS5)</f>
        <v/>
      </c>
      <c r="V5" s="55">
        <f>SUMIF($CB$4:$JS$4,V$4,$CB5:$JS5)</f>
        <v/>
      </c>
      <c r="W5" s="55">
        <f>SUMIF($CB$4:$JS$4,W$4,$CB5:$JS5)</f>
        <v/>
      </c>
      <c r="X5" s="55">
        <f>SUMIF($CB$4:$JS$4,X$4,$CB5:$JS5)</f>
        <v/>
      </c>
      <c r="Y5" s="55">
        <f>SUMIF($CB$4:$JS$4,Y$4,$CB5:$JS5)</f>
        <v/>
      </c>
      <c r="Z5" s="55">
        <f>SUMIF($CB$4:$JS$4,Z$4,$CB5:$JS5)</f>
        <v/>
      </c>
      <c r="AA5" s="55">
        <f>SUMIF($CB$4:$JS$4,AA$4,$CB5:$JS5)</f>
        <v/>
      </c>
      <c r="AB5" s="55">
        <f>SUMIF($CB$4:$JS$4,AB$4,$CB5:$JS5)</f>
        <v/>
      </c>
      <c r="AC5" s="55">
        <f>SUMIF($CB$4:$JS$4,AC$4,$CB5:$JS5)</f>
        <v/>
      </c>
      <c r="AD5" s="55">
        <f>SUMIF($CB$4:$JS$4,AD$4,$CB5:$JS5)</f>
        <v/>
      </c>
      <c r="AE5" s="55">
        <f>SUMIF($CB$4:$JS$4,AE$4,$CB5:$JS5)</f>
        <v/>
      </c>
      <c r="AF5" s="55">
        <f>SUMIF($CB$4:$JS$4,AF$4,$CB5:$JS5)</f>
        <v/>
      </c>
      <c r="AG5" s="55">
        <f>SUMIF($CB$4:$JS$4,AG$4,$CB5:$JS5)</f>
        <v/>
      </c>
      <c r="AH5" s="55">
        <f>SUMIF($CB$4:$JS$4,AH$4,$CB5:$JS5)</f>
        <v/>
      </c>
      <c r="AI5" s="55">
        <f>SUMIF($CB$4:$JS$4,AI$4,$CB5:$JS5)</f>
        <v/>
      </c>
      <c r="AJ5" s="55">
        <f>SUMIF($CB$4:$JS$4,AJ$4,$CB5:$JS5)</f>
        <v/>
      </c>
      <c r="AK5" s="55">
        <f>SUMIF($CB$4:$JS$4,AK$4,$CB5:$JS5)</f>
        <v/>
      </c>
      <c r="AL5" s="55">
        <f>SUMIF($CB$4:$JS$4,AL$4,$CB5:$JS5)</f>
        <v/>
      </c>
      <c r="AM5" s="55">
        <f>SUMIF($CB$4:$JS$4,AM$4,$CB5:$JS5)</f>
        <v/>
      </c>
      <c r="AN5" s="55">
        <f>SUMIF($CB$4:$JS$4,AN$4,$CB5:$JS5)</f>
        <v/>
      </c>
      <c r="AO5" s="55">
        <f>SUMIF($CB$4:$JS$4,AO$4,$CB5:$JS5)</f>
        <v/>
      </c>
      <c r="AP5" s="55">
        <f>SUMIF($CB$4:$JS$4,AP$4,$CB5:$JS5)</f>
        <v/>
      </c>
      <c r="AQ5" s="55">
        <f>SUMIF($CB$4:$JS$4,AQ$4,$CB5:$JS5)</f>
        <v/>
      </c>
      <c r="AR5" s="55">
        <f>SUMIF($CB$4:$JS$4,AR$4,$CB5:$JS5)</f>
        <v/>
      </c>
      <c r="AS5" s="55">
        <f>SUMIF($CB$4:$JS$4,AS$4,$CB5:$JS5)</f>
        <v/>
      </c>
      <c r="AT5" s="55">
        <f>SUMIF($CB$4:$JS$4,AT$4,$CB5:$JS5)</f>
        <v/>
      </c>
      <c r="AU5" s="55">
        <f>SUMIF($CB$4:$JS$4,AU$4,$CB5:$JS5)</f>
        <v/>
      </c>
      <c r="AV5" s="55">
        <f>SUMIF($CB$4:$JS$4,AV$4,$CB5:$JS5)</f>
        <v/>
      </c>
      <c r="AW5" s="55">
        <f>SUMIF($CB$4:$JS$4,AW$4,$CB5:$JS5)</f>
        <v/>
      </c>
      <c r="AX5" s="55">
        <f>SUMIF($CB$4:$JS$4,AX$4,$CB5:$JS5)</f>
        <v/>
      </c>
      <c r="AY5" s="55">
        <f>SUMIF($CB$4:$JS$4,AY$4,$CB5:$JS5)</f>
        <v/>
      </c>
      <c r="AZ5" s="55">
        <f>SUMIF($CB$4:$JS$4,AZ$4,$CB5:$JS5)</f>
        <v/>
      </c>
      <c r="BA5" s="55">
        <f>SUMIF($CB$4:$JS$4,BA$4,$CB5:$JS5)</f>
        <v/>
      </c>
      <c r="BB5" s="55">
        <f>SUMIF($CB$4:$JS$4,BB$4,$CB5:$JS5)</f>
        <v/>
      </c>
      <c r="BC5" s="55">
        <f>SUMIF($CB$4:$JS$4,BC$4,$CB5:$JS5)</f>
        <v/>
      </c>
      <c r="BD5" s="55">
        <f>SUMIF($CB$4:$JS$4,BD$4,$CB5:$JS5)</f>
        <v/>
      </c>
      <c r="BE5" s="55">
        <f>SUMIF($CB$4:$JS$4,BE$4,$CB5:$JS5)</f>
        <v/>
      </c>
      <c r="BF5" s="55">
        <f>SUMIF($CB$4:$JS$4,BF$4,$CB5:$JS5)</f>
        <v/>
      </c>
      <c r="BG5" s="55">
        <f>SUMIF($CB$4:$JS$4,BG$4,$CB5:$JS5)</f>
        <v/>
      </c>
      <c r="BH5" s="55">
        <f>SUMIF($CB$4:$JS$4,BH$4,$CB5:$JS5)</f>
        <v/>
      </c>
      <c r="BI5" s="55">
        <f>SUMIF($CB$4:$JS$4,BI$4,$CB5:$JS5)</f>
        <v/>
      </c>
      <c r="BJ5" s="55">
        <f>SUMIF($CB$4:$JS$4,BJ$4,$CB5:$JS5)</f>
        <v/>
      </c>
      <c r="BK5" s="55">
        <f>SUMIF($CB$4:$JS$4,BK$4,$CB5:$JS5)</f>
        <v/>
      </c>
      <c r="BL5" s="55">
        <f>SUMIF($CB$4:$JS$4,BL$4,$CB5:$JS5)</f>
        <v/>
      </c>
      <c r="BM5" s="55">
        <f>SUMIF($CB$4:$JS$4,BM$4,$CB5:$JS5)</f>
        <v/>
      </c>
      <c r="BN5" s="55">
        <f>SUMIF($CB$4:$JS$4,BN$4,$CB5:$JS5)</f>
        <v/>
      </c>
      <c r="BO5" s="55">
        <f>SUMIF($CB$4:$JS$4,BO$4,$CB5:$JS5)</f>
        <v/>
      </c>
      <c r="BP5" s="55">
        <f>SUMIF($CB$4:$JS$4,BP$4,$CB5:$JS5)</f>
        <v/>
      </c>
      <c r="BQ5" s="55">
        <f>SUMIF($CB$4:$JS$4,BQ$4,$CB5:$JS5)</f>
        <v/>
      </c>
      <c r="BR5" s="55">
        <f>SUMIF($CB$4:$JS$4,BR$4,$CB5:$JS5)</f>
        <v/>
      </c>
      <c r="BS5" s="55">
        <f>SUMIF($CB$4:$JS$4,BS$4,$CB5:$JS5)</f>
        <v/>
      </c>
      <c r="BT5" s="55">
        <f>SUMIF($CB$4:$JS$4,BT$4,$CB5:$JS5)</f>
        <v/>
      </c>
      <c r="BU5" s="55">
        <f>SUMIF($CB$4:$JS$4,BU$4,$CB5:$JS5)</f>
        <v/>
      </c>
      <c r="BV5" s="55">
        <f>SUMIF($CB$4:$JS$4,BV$4,$CB5:$JS5)</f>
        <v/>
      </c>
      <c r="BW5" s="55">
        <f>SUMIF($CB$4:$JS$4,BW$4,$CB5:$JS5)</f>
        <v/>
      </c>
      <c r="BX5" s="55">
        <f>SUMIF($CB$4:$JS$4,"&gt;"&amp;'VALOR POR PL'!$P$8,$CB5:$JS5)</f>
        <v/>
      </c>
      <c r="BY5" s="55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60" t="inlineStr">
        <is>
          <t>SEGUROS</t>
        </is>
      </c>
      <c r="C6" s="60" t="n"/>
      <c r="D6" s="55">
        <f>SUMIF($CB$4:$JS$4,"&lt;="&amp;D$4,$CB6:$JS6)</f>
        <v/>
      </c>
      <c r="E6" s="55">
        <f>SUMIF($CB$4:$JS$4,E$4,$CB6:$JS6)</f>
        <v/>
      </c>
      <c r="F6" s="55">
        <f>SUMIF($CB$4:$JS$4,F$4,$CB6:$JS6)</f>
        <v/>
      </c>
      <c r="G6" s="55">
        <f>SUMIF($CB$4:$JS$4,G$4,$CB6:$JS6)</f>
        <v/>
      </c>
      <c r="H6" s="55">
        <f>SUMIF($CB$4:$JS$4,H$4,$CB6:$JS6)</f>
        <v/>
      </c>
      <c r="I6" s="55">
        <f>SUMIF($CB$4:$JS$4,I$4,$CB6:$JS6)</f>
        <v/>
      </c>
      <c r="J6" s="55">
        <f>SUMIF($CB$4:$JS$4,J$4,$CB6:$JS6)</f>
        <v/>
      </c>
      <c r="K6" s="55">
        <f>SUMIF($CB$4:$JS$4,K$4,$CB6:$JS6)</f>
        <v/>
      </c>
      <c r="L6" s="55">
        <f>SUMIF($CB$4:$JS$4,L$4,$CB6:$JS6)</f>
        <v/>
      </c>
      <c r="M6" s="55">
        <f>SUMIF($CB$4:$JS$4,M$4,$CB6:$JS6)</f>
        <v/>
      </c>
      <c r="N6" s="55">
        <f>SUMIF($CB$4:$JS$4,N$4,$CB6:$JS6)</f>
        <v/>
      </c>
      <c r="O6" s="55">
        <f>SUMIF($CB$4:$JS$4,O$4,$CB6:$JS6)</f>
        <v/>
      </c>
      <c r="P6" s="55">
        <f>SUMIF($CB$4:$JS$4,P$4,$CB6:$JS6)</f>
        <v/>
      </c>
      <c r="Q6" s="55">
        <f>SUMIF($CB$4:$JS$4,Q$4,$CB6:$JS6)</f>
        <v/>
      </c>
      <c r="R6" s="55">
        <f>SUMIF($CB$4:$JS$4,R$4,$CB6:$JS6)</f>
        <v/>
      </c>
      <c r="S6" s="55">
        <f>SUMIF($CB$4:$JS$4,S$4,$CB6:$JS6)</f>
        <v/>
      </c>
      <c r="T6" s="55">
        <f>SUMIF($CB$4:$JS$4,T$4,$CB6:$JS6)</f>
        <v/>
      </c>
      <c r="U6" s="55">
        <f>SUMIF($CB$4:$JS$4,U$4,$CB6:$JS6)</f>
        <v/>
      </c>
      <c r="V6" s="55">
        <f>SUMIF($CB$4:$JS$4,V$4,$CB6:$JS6)</f>
        <v/>
      </c>
      <c r="W6" s="55">
        <f>SUMIF($CB$4:$JS$4,W$4,$CB6:$JS6)</f>
        <v/>
      </c>
      <c r="X6" s="55">
        <f>SUMIF($CB$4:$JS$4,X$4,$CB6:$JS6)</f>
        <v/>
      </c>
      <c r="Y6" s="55">
        <f>SUMIF($CB$4:$JS$4,Y$4,$CB6:$JS6)</f>
        <v/>
      </c>
      <c r="Z6" s="55">
        <f>SUMIF($CB$4:$JS$4,Z$4,$CB6:$JS6)</f>
        <v/>
      </c>
      <c r="AA6" s="55">
        <f>SUMIF($CB$4:$JS$4,AA$4,$CB6:$JS6)</f>
        <v/>
      </c>
      <c r="AB6" s="55">
        <f>SUMIF($CB$4:$JS$4,AB$4,$CB6:$JS6)</f>
        <v/>
      </c>
      <c r="AC6" s="55">
        <f>SUMIF($CB$4:$JS$4,AC$4,$CB6:$JS6)</f>
        <v/>
      </c>
      <c r="AD6" s="55">
        <f>SUMIF($CB$4:$JS$4,AD$4,$CB6:$JS6)</f>
        <v/>
      </c>
      <c r="AE6" s="55">
        <f>SUMIF($CB$4:$JS$4,AE$4,$CB6:$JS6)</f>
        <v/>
      </c>
      <c r="AF6" s="55">
        <f>SUMIF($CB$4:$JS$4,AF$4,$CB6:$JS6)</f>
        <v/>
      </c>
      <c r="AG6" s="55">
        <f>SUMIF($CB$4:$JS$4,AG$4,$CB6:$JS6)</f>
        <v/>
      </c>
      <c r="AH6" s="55">
        <f>SUMIF($CB$4:$JS$4,AH$4,$CB6:$JS6)</f>
        <v/>
      </c>
      <c r="AI6" s="55">
        <f>SUMIF($CB$4:$JS$4,AI$4,$CB6:$JS6)</f>
        <v/>
      </c>
      <c r="AJ6" s="55">
        <f>SUMIF($CB$4:$JS$4,AJ$4,$CB6:$JS6)</f>
        <v/>
      </c>
      <c r="AK6" s="55">
        <f>SUMIF($CB$4:$JS$4,AK$4,$CB6:$JS6)</f>
        <v/>
      </c>
      <c r="AL6" s="55">
        <f>SUMIF($CB$4:$JS$4,AL$4,$CB6:$JS6)</f>
        <v/>
      </c>
      <c r="AM6" s="55">
        <f>SUMIF($CB$4:$JS$4,AM$4,$CB6:$JS6)</f>
        <v/>
      </c>
      <c r="AN6" s="55">
        <f>SUMIF($CB$4:$JS$4,AN$4,$CB6:$JS6)</f>
        <v/>
      </c>
      <c r="AO6" s="55">
        <f>SUMIF($CB$4:$JS$4,AO$4,$CB6:$JS6)</f>
        <v/>
      </c>
      <c r="AP6" s="55">
        <f>SUMIF($CB$4:$JS$4,AP$4,$CB6:$JS6)</f>
        <v/>
      </c>
      <c r="AQ6" s="55">
        <f>SUMIF($CB$4:$JS$4,AQ$4,$CB6:$JS6)</f>
        <v/>
      </c>
      <c r="AR6" s="55">
        <f>SUMIF($CB$4:$JS$4,AR$4,$CB6:$JS6)</f>
        <v/>
      </c>
      <c r="AS6" s="55">
        <f>SUMIF($CB$4:$JS$4,AS$4,$CB6:$JS6)</f>
        <v/>
      </c>
      <c r="AT6" s="55">
        <f>SUMIF($CB$4:$JS$4,AT$4,$CB6:$JS6)</f>
        <v/>
      </c>
      <c r="AU6" s="55">
        <f>SUMIF($CB$4:$JS$4,AU$4,$CB6:$JS6)</f>
        <v/>
      </c>
      <c r="AV6" s="55">
        <f>SUMIF($CB$4:$JS$4,AV$4,$CB6:$JS6)</f>
        <v/>
      </c>
      <c r="AW6" s="55">
        <f>SUMIF($CB$4:$JS$4,AW$4,$CB6:$JS6)</f>
        <v/>
      </c>
      <c r="AX6" s="55">
        <f>SUMIF($CB$4:$JS$4,AX$4,$CB6:$JS6)</f>
        <v/>
      </c>
      <c r="AY6" s="55">
        <f>SUMIF($CB$4:$JS$4,AY$4,$CB6:$JS6)</f>
        <v/>
      </c>
      <c r="AZ6" s="55">
        <f>SUMIF($CB$4:$JS$4,AZ$4,$CB6:$JS6)</f>
        <v/>
      </c>
      <c r="BA6" s="55">
        <f>SUMIF($CB$4:$JS$4,BA$4,$CB6:$JS6)</f>
        <v/>
      </c>
      <c r="BB6" s="55">
        <f>SUMIF($CB$4:$JS$4,BB$4,$CB6:$JS6)</f>
        <v/>
      </c>
      <c r="BC6" s="55">
        <f>SUMIF($CB$4:$JS$4,BC$4,$CB6:$JS6)</f>
        <v/>
      </c>
      <c r="BD6" s="55">
        <f>SUMIF($CB$4:$JS$4,BD$4,$CB6:$JS6)</f>
        <v/>
      </c>
      <c r="BE6" s="55">
        <f>SUMIF($CB$4:$JS$4,BE$4,$CB6:$JS6)</f>
        <v/>
      </c>
      <c r="BF6" s="55">
        <f>SUMIF($CB$4:$JS$4,BF$4,$CB6:$JS6)</f>
        <v/>
      </c>
      <c r="BG6" s="55">
        <f>SUMIF($CB$4:$JS$4,BG$4,$CB6:$JS6)</f>
        <v/>
      </c>
      <c r="BH6" s="55">
        <f>SUMIF($CB$4:$JS$4,BH$4,$CB6:$JS6)</f>
        <v/>
      </c>
      <c r="BI6" s="55">
        <f>SUMIF($CB$4:$JS$4,BI$4,$CB6:$JS6)</f>
        <v/>
      </c>
      <c r="BJ6" s="55">
        <f>SUMIF($CB$4:$JS$4,BJ$4,$CB6:$JS6)</f>
        <v/>
      </c>
      <c r="BK6" s="55">
        <f>SUMIF($CB$4:$JS$4,BK$4,$CB6:$JS6)</f>
        <v/>
      </c>
      <c r="BL6" s="55">
        <f>SUMIF($CB$4:$JS$4,BL$4,$CB6:$JS6)</f>
        <v/>
      </c>
      <c r="BM6" s="55">
        <f>SUMIF($CB$4:$JS$4,BM$4,$CB6:$JS6)</f>
        <v/>
      </c>
      <c r="BN6" s="55">
        <f>SUMIF($CB$4:$JS$4,BN$4,$CB6:$JS6)</f>
        <v/>
      </c>
      <c r="BO6" s="55">
        <f>SUMIF($CB$4:$JS$4,BO$4,$CB6:$JS6)</f>
        <v/>
      </c>
      <c r="BP6" s="55">
        <f>SUMIF($CB$4:$JS$4,BP$4,$CB6:$JS6)</f>
        <v/>
      </c>
      <c r="BQ6" s="55">
        <f>SUMIF($CB$4:$JS$4,BQ$4,$CB6:$JS6)</f>
        <v/>
      </c>
      <c r="BR6" s="55">
        <f>SUMIF($CB$4:$JS$4,BR$4,$CB6:$JS6)</f>
        <v/>
      </c>
      <c r="BS6" s="55">
        <f>SUMIF($CB$4:$JS$4,BS$4,$CB6:$JS6)</f>
        <v/>
      </c>
      <c r="BT6" s="55">
        <f>SUMIF($CB$4:$JS$4,BT$4,$CB6:$JS6)</f>
        <v/>
      </c>
      <c r="BU6" s="55">
        <f>SUMIF($CB$4:$JS$4,BU$4,$CB6:$JS6)</f>
        <v/>
      </c>
      <c r="BV6" s="55">
        <f>SUMIF($CB$4:$JS$4,BV$4,$CB6:$JS6)</f>
        <v/>
      </c>
      <c r="BW6" s="55">
        <f>SUMIF($CB$4:$JS$4,BW$4,$CB6:$JS6)</f>
        <v/>
      </c>
      <c r="BX6" s="55">
        <f>SUMIF($CB$4:$JS$4,"&gt;"&amp;'VALOR POR PL'!$P$8,$CB6:$JS6)</f>
        <v/>
      </c>
      <c r="BY6" s="55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60" t="inlineStr">
        <is>
          <t>TAXAS DIVERSAS</t>
        </is>
      </c>
      <c r="C7" s="60" t="n"/>
      <c r="D7" s="55">
        <f>SUMIF($CB$4:$JS$4,"&lt;="&amp;D$4,$CB7:$JS7)</f>
        <v/>
      </c>
      <c r="E7" s="55">
        <f>SUMIF($CB$4:$JS$4,E$4,$CB7:$JS7)</f>
        <v/>
      </c>
      <c r="F7" s="55">
        <f>SUMIF($CB$4:$JS$4,F$4,$CB7:$JS7)</f>
        <v/>
      </c>
      <c r="G7" s="55">
        <f>SUMIF($CB$4:$JS$4,G$4,$CB7:$JS7)</f>
        <v/>
      </c>
      <c r="H7" s="55">
        <f>SUMIF($CB$4:$JS$4,H$4,$CB7:$JS7)</f>
        <v/>
      </c>
      <c r="I7" s="55">
        <f>SUMIF($CB$4:$JS$4,I$4,$CB7:$JS7)</f>
        <v/>
      </c>
      <c r="J7" s="55">
        <f>SUMIF($CB$4:$JS$4,J$4,$CB7:$JS7)</f>
        <v/>
      </c>
      <c r="K7" s="55">
        <f>SUMIF($CB$4:$JS$4,K$4,$CB7:$JS7)</f>
        <v/>
      </c>
      <c r="L7" s="55">
        <f>SUMIF($CB$4:$JS$4,L$4,$CB7:$JS7)</f>
        <v/>
      </c>
      <c r="M7" s="55">
        <f>SUMIF($CB$4:$JS$4,M$4,$CB7:$JS7)</f>
        <v/>
      </c>
      <c r="N7" s="55">
        <f>SUMIF($CB$4:$JS$4,N$4,$CB7:$JS7)</f>
        <v/>
      </c>
      <c r="O7" s="55">
        <f>SUMIF($CB$4:$JS$4,O$4,$CB7:$JS7)</f>
        <v/>
      </c>
      <c r="P7" s="55">
        <f>SUMIF($CB$4:$JS$4,P$4,$CB7:$JS7)</f>
        <v/>
      </c>
      <c r="Q7" s="55">
        <f>SUMIF($CB$4:$JS$4,Q$4,$CB7:$JS7)</f>
        <v/>
      </c>
      <c r="R7" s="55">
        <f>SUMIF($CB$4:$JS$4,R$4,$CB7:$JS7)</f>
        <v/>
      </c>
      <c r="S7" s="55">
        <f>SUMIF($CB$4:$JS$4,S$4,$CB7:$JS7)</f>
        <v/>
      </c>
      <c r="T7" s="55">
        <f>SUMIF($CB$4:$JS$4,T$4,$CB7:$JS7)</f>
        <v/>
      </c>
      <c r="U7" s="55">
        <f>SUMIF($CB$4:$JS$4,U$4,$CB7:$JS7)</f>
        <v/>
      </c>
      <c r="V7" s="55">
        <f>SUMIF($CB$4:$JS$4,V$4,$CB7:$JS7)</f>
        <v/>
      </c>
      <c r="W7" s="55">
        <f>SUMIF($CB$4:$JS$4,W$4,$CB7:$JS7)</f>
        <v/>
      </c>
      <c r="X7" s="55">
        <f>SUMIF($CB$4:$JS$4,X$4,$CB7:$JS7)</f>
        <v/>
      </c>
      <c r="Y7" s="55">
        <f>SUMIF($CB$4:$JS$4,Y$4,$CB7:$JS7)</f>
        <v/>
      </c>
      <c r="Z7" s="55">
        <f>SUMIF($CB$4:$JS$4,Z$4,$CB7:$JS7)</f>
        <v/>
      </c>
      <c r="AA7" s="55">
        <f>SUMIF($CB$4:$JS$4,AA$4,$CB7:$JS7)</f>
        <v/>
      </c>
      <c r="AB7" s="55">
        <f>SUMIF($CB$4:$JS$4,AB$4,$CB7:$JS7)</f>
        <v/>
      </c>
      <c r="AC7" s="55">
        <f>SUMIF($CB$4:$JS$4,AC$4,$CB7:$JS7)</f>
        <v/>
      </c>
      <c r="AD7" s="55">
        <f>SUMIF($CB$4:$JS$4,AD$4,$CB7:$JS7)</f>
        <v/>
      </c>
      <c r="AE7" s="55">
        <f>SUMIF($CB$4:$JS$4,AE$4,$CB7:$JS7)</f>
        <v/>
      </c>
      <c r="AF7" s="55">
        <f>SUMIF($CB$4:$JS$4,AF$4,$CB7:$JS7)</f>
        <v/>
      </c>
      <c r="AG7" s="55">
        <f>SUMIF($CB$4:$JS$4,AG$4,$CB7:$JS7)</f>
        <v/>
      </c>
      <c r="AH7" s="55">
        <f>SUMIF($CB$4:$JS$4,AH$4,$CB7:$JS7)</f>
        <v/>
      </c>
      <c r="AI7" s="55">
        <f>SUMIF($CB$4:$JS$4,AI$4,$CB7:$JS7)</f>
        <v/>
      </c>
      <c r="AJ7" s="55">
        <f>SUMIF($CB$4:$JS$4,AJ$4,$CB7:$JS7)</f>
        <v/>
      </c>
      <c r="AK7" s="55">
        <f>SUMIF($CB$4:$JS$4,AK$4,$CB7:$JS7)</f>
        <v/>
      </c>
      <c r="AL7" s="55">
        <f>SUMIF($CB$4:$JS$4,AL$4,$CB7:$JS7)</f>
        <v/>
      </c>
      <c r="AM7" s="55">
        <f>SUMIF($CB$4:$JS$4,AM$4,$CB7:$JS7)</f>
        <v/>
      </c>
      <c r="AN7" s="55">
        <f>SUMIF($CB$4:$JS$4,AN$4,$CB7:$JS7)</f>
        <v/>
      </c>
      <c r="AO7" s="55">
        <f>SUMIF($CB$4:$JS$4,AO$4,$CB7:$JS7)</f>
        <v/>
      </c>
      <c r="AP7" s="55">
        <f>SUMIF($CB$4:$JS$4,AP$4,$CB7:$JS7)</f>
        <v/>
      </c>
      <c r="AQ7" s="55">
        <f>SUMIF($CB$4:$JS$4,AQ$4,$CB7:$JS7)</f>
        <v/>
      </c>
      <c r="AR7" s="55">
        <f>SUMIF($CB$4:$JS$4,AR$4,$CB7:$JS7)</f>
        <v/>
      </c>
      <c r="AS7" s="55">
        <f>SUMIF($CB$4:$JS$4,AS$4,$CB7:$JS7)</f>
        <v/>
      </c>
      <c r="AT7" s="55">
        <f>SUMIF($CB$4:$JS$4,AT$4,$CB7:$JS7)</f>
        <v/>
      </c>
      <c r="AU7" s="55">
        <f>SUMIF($CB$4:$JS$4,AU$4,$CB7:$JS7)</f>
        <v/>
      </c>
      <c r="AV7" s="55">
        <f>SUMIF($CB$4:$JS$4,AV$4,$CB7:$JS7)</f>
        <v/>
      </c>
      <c r="AW7" s="55">
        <f>SUMIF($CB$4:$JS$4,AW$4,$CB7:$JS7)</f>
        <v/>
      </c>
      <c r="AX7" s="55">
        <f>SUMIF($CB$4:$JS$4,AX$4,$CB7:$JS7)</f>
        <v/>
      </c>
      <c r="AY7" s="55">
        <f>SUMIF($CB$4:$JS$4,AY$4,$CB7:$JS7)</f>
        <v/>
      </c>
      <c r="AZ7" s="55">
        <f>SUMIF($CB$4:$JS$4,AZ$4,$CB7:$JS7)</f>
        <v/>
      </c>
      <c r="BA7" s="55">
        <f>SUMIF($CB$4:$JS$4,BA$4,$CB7:$JS7)</f>
        <v/>
      </c>
      <c r="BB7" s="55">
        <f>SUMIF($CB$4:$JS$4,BB$4,$CB7:$JS7)</f>
        <v/>
      </c>
      <c r="BC7" s="55">
        <f>SUMIF($CB$4:$JS$4,BC$4,$CB7:$JS7)</f>
        <v/>
      </c>
      <c r="BD7" s="55">
        <f>SUMIF($CB$4:$JS$4,BD$4,$CB7:$JS7)</f>
        <v/>
      </c>
      <c r="BE7" s="55">
        <f>SUMIF($CB$4:$JS$4,BE$4,$CB7:$JS7)</f>
        <v/>
      </c>
      <c r="BF7" s="55">
        <f>SUMIF($CB$4:$JS$4,BF$4,$CB7:$JS7)</f>
        <v/>
      </c>
      <c r="BG7" s="55">
        <f>SUMIF($CB$4:$JS$4,BG$4,$CB7:$JS7)</f>
        <v/>
      </c>
      <c r="BH7" s="55">
        <f>SUMIF($CB$4:$JS$4,BH$4,$CB7:$JS7)</f>
        <v/>
      </c>
      <c r="BI7" s="55">
        <f>SUMIF($CB$4:$JS$4,BI$4,$CB7:$JS7)</f>
        <v/>
      </c>
      <c r="BJ7" s="55">
        <f>SUMIF($CB$4:$JS$4,BJ$4,$CB7:$JS7)</f>
        <v/>
      </c>
      <c r="BK7" s="55">
        <f>SUMIF($CB$4:$JS$4,BK$4,$CB7:$JS7)</f>
        <v/>
      </c>
      <c r="BL7" s="55">
        <f>SUMIF($CB$4:$JS$4,BL$4,$CB7:$JS7)</f>
        <v/>
      </c>
      <c r="BM7" s="55">
        <f>SUMIF($CB$4:$JS$4,BM$4,$CB7:$JS7)</f>
        <v/>
      </c>
      <c r="BN7" s="55">
        <f>SUMIF($CB$4:$JS$4,BN$4,$CB7:$JS7)</f>
        <v/>
      </c>
      <c r="BO7" s="55">
        <f>SUMIF($CB$4:$JS$4,BO$4,$CB7:$JS7)</f>
        <v/>
      </c>
      <c r="BP7" s="55">
        <f>SUMIF($CB$4:$JS$4,BP$4,$CB7:$JS7)</f>
        <v/>
      </c>
      <c r="BQ7" s="55">
        <f>SUMIF($CB$4:$JS$4,BQ$4,$CB7:$JS7)</f>
        <v/>
      </c>
      <c r="BR7" s="55">
        <f>SUMIF($CB$4:$JS$4,BR$4,$CB7:$JS7)</f>
        <v/>
      </c>
      <c r="BS7" s="55">
        <f>SUMIF($CB$4:$JS$4,BS$4,$CB7:$JS7)</f>
        <v/>
      </c>
      <c r="BT7" s="55">
        <f>SUMIF($CB$4:$JS$4,BT$4,$CB7:$JS7)</f>
        <v/>
      </c>
      <c r="BU7" s="55">
        <f>SUMIF($CB$4:$JS$4,BU$4,$CB7:$JS7)</f>
        <v/>
      </c>
      <c r="BV7" s="55">
        <f>SUMIF($CB$4:$JS$4,BV$4,$CB7:$JS7)</f>
        <v/>
      </c>
      <c r="BW7" s="55">
        <f>SUMIF($CB$4:$JS$4,BW$4,$CB7:$JS7)</f>
        <v/>
      </c>
      <c r="BX7" s="55">
        <f>SUMIF($CB$4:$JS$4,"&gt;"&amp;'VALOR POR PL'!$P$8,$CB7:$JS7)</f>
        <v/>
      </c>
      <c r="BY7" s="55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60" t="inlineStr">
        <is>
          <t>BARRACAO DE OBRA</t>
        </is>
      </c>
      <c r="C8" s="60" t="n"/>
      <c r="D8" s="55">
        <f>SUMIF($CB$4:$JS$4,"&lt;="&amp;D$4,$CB8:$JS8)</f>
        <v/>
      </c>
      <c r="E8" s="55">
        <f>SUMIF($CB$4:$JS$4,E$4,$CB8:$JS8)</f>
        <v/>
      </c>
      <c r="F8" s="55">
        <f>SUMIF($CB$4:$JS$4,F$4,$CB8:$JS8)</f>
        <v/>
      </c>
      <c r="G8" s="55">
        <f>SUMIF($CB$4:$JS$4,G$4,$CB8:$JS8)</f>
        <v/>
      </c>
      <c r="H8" s="55">
        <f>SUMIF($CB$4:$JS$4,H$4,$CB8:$JS8)</f>
        <v/>
      </c>
      <c r="I8" s="55">
        <f>SUMIF($CB$4:$JS$4,I$4,$CB8:$JS8)</f>
        <v/>
      </c>
      <c r="J8" s="55">
        <f>SUMIF($CB$4:$JS$4,J$4,$CB8:$JS8)</f>
        <v/>
      </c>
      <c r="K8" s="55">
        <f>SUMIF($CB$4:$JS$4,K$4,$CB8:$JS8)</f>
        <v/>
      </c>
      <c r="L8" s="55">
        <f>SUMIF($CB$4:$JS$4,L$4,$CB8:$JS8)</f>
        <v/>
      </c>
      <c r="M8" s="55">
        <f>SUMIF($CB$4:$JS$4,M$4,$CB8:$JS8)</f>
        <v/>
      </c>
      <c r="N8" s="55">
        <f>SUMIF($CB$4:$JS$4,N$4,$CB8:$JS8)</f>
        <v/>
      </c>
      <c r="O8" s="55">
        <f>SUMIF($CB$4:$JS$4,O$4,$CB8:$JS8)</f>
        <v/>
      </c>
      <c r="P8" s="55">
        <f>SUMIF($CB$4:$JS$4,P$4,$CB8:$JS8)</f>
        <v/>
      </c>
      <c r="Q8" s="55">
        <f>SUMIF($CB$4:$JS$4,Q$4,$CB8:$JS8)</f>
        <v/>
      </c>
      <c r="R8" s="55">
        <f>SUMIF($CB$4:$JS$4,R$4,$CB8:$JS8)</f>
        <v/>
      </c>
      <c r="S8" s="55">
        <f>SUMIF($CB$4:$JS$4,S$4,$CB8:$JS8)</f>
        <v/>
      </c>
      <c r="T8" s="55">
        <f>SUMIF($CB$4:$JS$4,T$4,$CB8:$JS8)</f>
        <v/>
      </c>
      <c r="U8" s="55">
        <f>SUMIF($CB$4:$JS$4,U$4,$CB8:$JS8)</f>
        <v/>
      </c>
      <c r="V8" s="55">
        <f>SUMIF($CB$4:$JS$4,V$4,$CB8:$JS8)</f>
        <v/>
      </c>
      <c r="W8" s="55">
        <f>SUMIF($CB$4:$JS$4,W$4,$CB8:$JS8)</f>
        <v/>
      </c>
      <c r="X8" s="55">
        <f>SUMIF($CB$4:$JS$4,X$4,$CB8:$JS8)</f>
        <v/>
      </c>
      <c r="Y8" s="55">
        <f>SUMIF($CB$4:$JS$4,Y$4,$CB8:$JS8)</f>
        <v/>
      </c>
      <c r="Z8" s="55">
        <f>SUMIF($CB$4:$JS$4,Z$4,$CB8:$JS8)</f>
        <v/>
      </c>
      <c r="AA8" s="55">
        <f>SUMIF($CB$4:$JS$4,AA$4,$CB8:$JS8)</f>
        <v/>
      </c>
      <c r="AB8" s="55">
        <f>SUMIF($CB$4:$JS$4,AB$4,$CB8:$JS8)</f>
        <v/>
      </c>
      <c r="AC8" s="55">
        <f>SUMIF($CB$4:$JS$4,AC$4,$CB8:$JS8)</f>
        <v/>
      </c>
      <c r="AD8" s="55">
        <f>SUMIF($CB$4:$JS$4,AD$4,$CB8:$JS8)</f>
        <v/>
      </c>
      <c r="AE8" s="55">
        <f>SUMIF($CB$4:$JS$4,AE$4,$CB8:$JS8)</f>
        <v/>
      </c>
      <c r="AF8" s="55">
        <f>SUMIF($CB$4:$JS$4,AF$4,$CB8:$JS8)</f>
        <v/>
      </c>
      <c r="AG8" s="55">
        <f>SUMIF($CB$4:$JS$4,AG$4,$CB8:$JS8)</f>
        <v/>
      </c>
      <c r="AH8" s="55">
        <f>SUMIF($CB$4:$JS$4,AH$4,$CB8:$JS8)</f>
        <v/>
      </c>
      <c r="AI8" s="55">
        <f>SUMIF($CB$4:$JS$4,AI$4,$CB8:$JS8)</f>
        <v/>
      </c>
      <c r="AJ8" s="55">
        <f>SUMIF($CB$4:$JS$4,AJ$4,$CB8:$JS8)</f>
        <v/>
      </c>
      <c r="AK8" s="55">
        <f>SUMIF($CB$4:$JS$4,AK$4,$CB8:$JS8)</f>
        <v/>
      </c>
      <c r="AL8" s="55">
        <f>SUMIF($CB$4:$JS$4,AL$4,$CB8:$JS8)</f>
        <v/>
      </c>
      <c r="AM8" s="55">
        <f>SUMIF($CB$4:$JS$4,AM$4,$CB8:$JS8)</f>
        <v/>
      </c>
      <c r="AN8" s="55">
        <f>SUMIF($CB$4:$JS$4,AN$4,$CB8:$JS8)</f>
        <v/>
      </c>
      <c r="AO8" s="55">
        <f>SUMIF($CB$4:$JS$4,AO$4,$CB8:$JS8)</f>
        <v/>
      </c>
      <c r="AP8" s="55">
        <f>SUMIF($CB$4:$JS$4,AP$4,$CB8:$JS8)</f>
        <v/>
      </c>
      <c r="AQ8" s="55">
        <f>SUMIF($CB$4:$JS$4,AQ$4,$CB8:$JS8)</f>
        <v/>
      </c>
      <c r="AR8" s="55">
        <f>SUMIF($CB$4:$JS$4,AR$4,$CB8:$JS8)</f>
        <v/>
      </c>
      <c r="AS8" s="55">
        <f>SUMIF($CB$4:$JS$4,AS$4,$CB8:$JS8)</f>
        <v/>
      </c>
      <c r="AT8" s="55">
        <f>SUMIF($CB$4:$JS$4,AT$4,$CB8:$JS8)</f>
        <v/>
      </c>
      <c r="AU8" s="55">
        <f>SUMIF($CB$4:$JS$4,AU$4,$CB8:$JS8)</f>
        <v/>
      </c>
      <c r="AV8" s="55">
        <f>SUMIF($CB$4:$JS$4,AV$4,$CB8:$JS8)</f>
        <v/>
      </c>
      <c r="AW8" s="55">
        <f>SUMIF($CB$4:$JS$4,AW$4,$CB8:$JS8)</f>
        <v/>
      </c>
      <c r="AX8" s="55">
        <f>SUMIF($CB$4:$JS$4,AX$4,$CB8:$JS8)</f>
        <v/>
      </c>
      <c r="AY8" s="55">
        <f>SUMIF($CB$4:$JS$4,AY$4,$CB8:$JS8)</f>
        <v/>
      </c>
      <c r="AZ8" s="55">
        <f>SUMIF($CB$4:$JS$4,AZ$4,$CB8:$JS8)</f>
        <v/>
      </c>
      <c r="BA8" s="55">
        <f>SUMIF($CB$4:$JS$4,BA$4,$CB8:$JS8)</f>
        <v/>
      </c>
      <c r="BB8" s="55">
        <f>SUMIF($CB$4:$JS$4,BB$4,$CB8:$JS8)</f>
        <v/>
      </c>
      <c r="BC8" s="55">
        <f>SUMIF($CB$4:$JS$4,BC$4,$CB8:$JS8)</f>
        <v/>
      </c>
      <c r="BD8" s="55">
        <f>SUMIF($CB$4:$JS$4,BD$4,$CB8:$JS8)</f>
        <v/>
      </c>
      <c r="BE8" s="55">
        <f>SUMIF($CB$4:$JS$4,BE$4,$CB8:$JS8)</f>
        <v/>
      </c>
      <c r="BF8" s="55">
        <f>SUMIF($CB$4:$JS$4,BF$4,$CB8:$JS8)</f>
        <v/>
      </c>
      <c r="BG8" s="55">
        <f>SUMIF($CB$4:$JS$4,BG$4,$CB8:$JS8)</f>
        <v/>
      </c>
      <c r="BH8" s="55">
        <f>SUMIF($CB$4:$JS$4,BH$4,$CB8:$JS8)</f>
        <v/>
      </c>
      <c r="BI8" s="55">
        <f>SUMIF($CB$4:$JS$4,BI$4,$CB8:$JS8)</f>
        <v/>
      </c>
      <c r="BJ8" s="55">
        <f>SUMIF($CB$4:$JS$4,BJ$4,$CB8:$JS8)</f>
        <v/>
      </c>
      <c r="BK8" s="55">
        <f>SUMIF($CB$4:$JS$4,BK$4,$CB8:$JS8)</f>
        <v/>
      </c>
      <c r="BL8" s="55">
        <f>SUMIF($CB$4:$JS$4,BL$4,$CB8:$JS8)</f>
        <v/>
      </c>
      <c r="BM8" s="55">
        <f>SUMIF($CB$4:$JS$4,BM$4,$CB8:$JS8)</f>
        <v/>
      </c>
      <c r="BN8" s="55">
        <f>SUMIF($CB$4:$JS$4,BN$4,$CB8:$JS8)</f>
        <v/>
      </c>
      <c r="BO8" s="55">
        <f>SUMIF($CB$4:$JS$4,BO$4,$CB8:$JS8)</f>
        <v/>
      </c>
      <c r="BP8" s="55">
        <f>SUMIF($CB$4:$JS$4,BP$4,$CB8:$JS8)</f>
        <v/>
      </c>
      <c r="BQ8" s="55">
        <f>SUMIF($CB$4:$JS$4,BQ$4,$CB8:$JS8)</f>
        <v/>
      </c>
      <c r="BR8" s="55">
        <f>SUMIF($CB$4:$JS$4,BR$4,$CB8:$JS8)</f>
        <v/>
      </c>
      <c r="BS8" s="55">
        <f>SUMIF($CB$4:$JS$4,BS$4,$CB8:$JS8)</f>
        <v/>
      </c>
      <c r="BT8" s="55">
        <f>SUMIF($CB$4:$JS$4,BT$4,$CB8:$JS8)</f>
        <v/>
      </c>
      <c r="BU8" s="55">
        <f>SUMIF($CB$4:$JS$4,BU$4,$CB8:$JS8)</f>
        <v/>
      </c>
      <c r="BV8" s="55">
        <f>SUMIF($CB$4:$JS$4,BV$4,$CB8:$JS8)</f>
        <v/>
      </c>
      <c r="BW8" s="55">
        <f>SUMIF($CB$4:$JS$4,BW$4,$CB8:$JS8)</f>
        <v/>
      </c>
      <c r="BX8" s="55">
        <f>SUMIF($CB$4:$JS$4,"&gt;"&amp;'VALOR POR PL'!$P$8,$CB8:$JS8)</f>
        <v/>
      </c>
      <c r="BY8" s="55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60" t="inlineStr">
        <is>
          <t>LIGAÇÕES PROVISÓRIAS AGUA, ENERGIA,TELEFONIA, ESGOTO</t>
        </is>
      </c>
      <c r="C9" s="60" t="n"/>
      <c r="D9" s="55">
        <f>SUMIF($CB$4:$JS$4,"&lt;="&amp;D$4,$CB9:$JS9)</f>
        <v/>
      </c>
      <c r="E9" s="55">
        <f>SUMIF($CB$4:$JS$4,E$4,$CB9:$JS9)</f>
        <v/>
      </c>
      <c r="F9" s="55">
        <f>SUMIF($CB$4:$JS$4,F$4,$CB9:$JS9)</f>
        <v/>
      </c>
      <c r="G9" s="55">
        <f>SUMIF($CB$4:$JS$4,G$4,$CB9:$JS9)</f>
        <v/>
      </c>
      <c r="H9" s="55">
        <f>SUMIF($CB$4:$JS$4,H$4,$CB9:$JS9)</f>
        <v/>
      </c>
      <c r="I9" s="55">
        <f>SUMIF($CB$4:$JS$4,I$4,$CB9:$JS9)</f>
        <v/>
      </c>
      <c r="J9" s="55">
        <f>SUMIF($CB$4:$JS$4,J$4,$CB9:$JS9)</f>
        <v/>
      </c>
      <c r="K9" s="55">
        <f>SUMIF($CB$4:$JS$4,K$4,$CB9:$JS9)</f>
        <v/>
      </c>
      <c r="L9" s="55">
        <f>SUMIF($CB$4:$JS$4,L$4,$CB9:$JS9)</f>
        <v/>
      </c>
      <c r="M9" s="55">
        <f>SUMIF($CB$4:$JS$4,M$4,$CB9:$JS9)</f>
        <v/>
      </c>
      <c r="N9" s="55">
        <f>SUMIF($CB$4:$JS$4,N$4,$CB9:$JS9)</f>
        <v/>
      </c>
      <c r="O9" s="55">
        <f>SUMIF($CB$4:$JS$4,O$4,$CB9:$JS9)</f>
        <v/>
      </c>
      <c r="P9" s="55">
        <f>SUMIF($CB$4:$JS$4,P$4,$CB9:$JS9)</f>
        <v/>
      </c>
      <c r="Q9" s="55">
        <f>SUMIF($CB$4:$JS$4,Q$4,$CB9:$JS9)</f>
        <v/>
      </c>
      <c r="R9" s="55">
        <f>SUMIF($CB$4:$JS$4,R$4,$CB9:$JS9)</f>
        <v/>
      </c>
      <c r="S9" s="55">
        <f>SUMIF($CB$4:$JS$4,S$4,$CB9:$JS9)</f>
        <v/>
      </c>
      <c r="T9" s="55">
        <f>SUMIF($CB$4:$JS$4,T$4,$CB9:$JS9)</f>
        <v/>
      </c>
      <c r="U9" s="55">
        <f>SUMIF($CB$4:$JS$4,U$4,$CB9:$JS9)</f>
        <v/>
      </c>
      <c r="V9" s="55">
        <f>SUMIF($CB$4:$JS$4,V$4,$CB9:$JS9)</f>
        <v/>
      </c>
      <c r="W9" s="55">
        <f>SUMIF($CB$4:$JS$4,W$4,$CB9:$JS9)</f>
        <v/>
      </c>
      <c r="X9" s="55">
        <f>SUMIF($CB$4:$JS$4,X$4,$CB9:$JS9)</f>
        <v/>
      </c>
      <c r="Y9" s="55">
        <f>SUMIF($CB$4:$JS$4,Y$4,$CB9:$JS9)</f>
        <v/>
      </c>
      <c r="Z9" s="55">
        <f>SUMIF($CB$4:$JS$4,Z$4,$CB9:$JS9)</f>
        <v/>
      </c>
      <c r="AA9" s="55">
        <f>SUMIF($CB$4:$JS$4,AA$4,$CB9:$JS9)</f>
        <v/>
      </c>
      <c r="AB9" s="55">
        <f>SUMIF($CB$4:$JS$4,AB$4,$CB9:$JS9)</f>
        <v/>
      </c>
      <c r="AC9" s="55">
        <f>SUMIF($CB$4:$JS$4,AC$4,$CB9:$JS9)</f>
        <v/>
      </c>
      <c r="AD9" s="55">
        <f>SUMIF($CB$4:$JS$4,AD$4,$CB9:$JS9)</f>
        <v/>
      </c>
      <c r="AE9" s="55">
        <f>SUMIF($CB$4:$JS$4,AE$4,$CB9:$JS9)</f>
        <v/>
      </c>
      <c r="AF9" s="55">
        <f>SUMIF($CB$4:$JS$4,AF$4,$CB9:$JS9)</f>
        <v/>
      </c>
      <c r="AG9" s="55">
        <f>SUMIF($CB$4:$JS$4,AG$4,$CB9:$JS9)</f>
        <v/>
      </c>
      <c r="AH9" s="55">
        <f>SUMIF($CB$4:$JS$4,AH$4,$CB9:$JS9)</f>
        <v/>
      </c>
      <c r="AI9" s="55">
        <f>SUMIF($CB$4:$JS$4,AI$4,$CB9:$JS9)</f>
        <v/>
      </c>
      <c r="AJ9" s="55">
        <f>SUMIF($CB$4:$JS$4,AJ$4,$CB9:$JS9)</f>
        <v/>
      </c>
      <c r="AK9" s="55">
        <f>SUMIF($CB$4:$JS$4,AK$4,$CB9:$JS9)</f>
        <v/>
      </c>
      <c r="AL9" s="55">
        <f>SUMIF($CB$4:$JS$4,AL$4,$CB9:$JS9)</f>
        <v/>
      </c>
      <c r="AM9" s="55">
        <f>SUMIF($CB$4:$JS$4,AM$4,$CB9:$JS9)</f>
        <v/>
      </c>
      <c r="AN9" s="55">
        <f>SUMIF($CB$4:$JS$4,AN$4,$CB9:$JS9)</f>
        <v/>
      </c>
      <c r="AO9" s="55">
        <f>SUMIF($CB$4:$JS$4,AO$4,$CB9:$JS9)</f>
        <v/>
      </c>
      <c r="AP9" s="55">
        <f>SUMIF($CB$4:$JS$4,AP$4,$CB9:$JS9)</f>
        <v/>
      </c>
      <c r="AQ9" s="55">
        <f>SUMIF($CB$4:$JS$4,AQ$4,$CB9:$JS9)</f>
        <v/>
      </c>
      <c r="AR9" s="55">
        <f>SUMIF($CB$4:$JS$4,AR$4,$CB9:$JS9)</f>
        <v/>
      </c>
      <c r="AS9" s="55">
        <f>SUMIF($CB$4:$JS$4,AS$4,$CB9:$JS9)</f>
        <v/>
      </c>
      <c r="AT9" s="55">
        <f>SUMIF($CB$4:$JS$4,AT$4,$CB9:$JS9)</f>
        <v/>
      </c>
      <c r="AU9" s="55">
        <f>SUMIF($CB$4:$JS$4,AU$4,$CB9:$JS9)</f>
        <v/>
      </c>
      <c r="AV9" s="55">
        <f>SUMIF($CB$4:$JS$4,AV$4,$CB9:$JS9)</f>
        <v/>
      </c>
      <c r="AW9" s="55">
        <f>SUMIF($CB$4:$JS$4,AW$4,$CB9:$JS9)</f>
        <v/>
      </c>
      <c r="AX9" s="55">
        <f>SUMIF($CB$4:$JS$4,AX$4,$CB9:$JS9)</f>
        <v/>
      </c>
      <c r="AY9" s="55">
        <f>SUMIF($CB$4:$JS$4,AY$4,$CB9:$JS9)</f>
        <v/>
      </c>
      <c r="AZ9" s="55">
        <f>SUMIF($CB$4:$JS$4,AZ$4,$CB9:$JS9)</f>
        <v/>
      </c>
      <c r="BA9" s="55">
        <f>SUMIF($CB$4:$JS$4,BA$4,$CB9:$JS9)</f>
        <v/>
      </c>
      <c r="BB9" s="55">
        <f>SUMIF($CB$4:$JS$4,BB$4,$CB9:$JS9)</f>
        <v/>
      </c>
      <c r="BC9" s="55">
        <f>SUMIF($CB$4:$JS$4,BC$4,$CB9:$JS9)</f>
        <v/>
      </c>
      <c r="BD9" s="55">
        <f>SUMIF($CB$4:$JS$4,BD$4,$CB9:$JS9)</f>
        <v/>
      </c>
      <c r="BE9" s="55">
        <f>SUMIF($CB$4:$JS$4,BE$4,$CB9:$JS9)</f>
        <v/>
      </c>
      <c r="BF9" s="55">
        <f>SUMIF($CB$4:$JS$4,BF$4,$CB9:$JS9)</f>
        <v/>
      </c>
      <c r="BG9" s="55">
        <f>SUMIF($CB$4:$JS$4,BG$4,$CB9:$JS9)</f>
        <v/>
      </c>
      <c r="BH9" s="55">
        <f>SUMIF($CB$4:$JS$4,BH$4,$CB9:$JS9)</f>
        <v/>
      </c>
      <c r="BI9" s="55">
        <f>SUMIF($CB$4:$JS$4,BI$4,$CB9:$JS9)</f>
        <v/>
      </c>
      <c r="BJ9" s="55">
        <f>SUMIF($CB$4:$JS$4,BJ$4,$CB9:$JS9)</f>
        <v/>
      </c>
      <c r="BK9" s="55">
        <f>SUMIF($CB$4:$JS$4,BK$4,$CB9:$JS9)</f>
        <v/>
      </c>
      <c r="BL9" s="55">
        <f>SUMIF($CB$4:$JS$4,BL$4,$CB9:$JS9)</f>
        <v/>
      </c>
      <c r="BM9" s="55">
        <f>SUMIF($CB$4:$JS$4,BM$4,$CB9:$JS9)</f>
        <v/>
      </c>
      <c r="BN9" s="55">
        <f>SUMIF($CB$4:$JS$4,BN$4,$CB9:$JS9)</f>
        <v/>
      </c>
      <c r="BO9" s="55">
        <f>SUMIF($CB$4:$JS$4,BO$4,$CB9:$JS9)</f>
        <v/>
      </c>
      <c r="BP9" s="55">
        <f>SUMIF($CB$4:$JS$4,BP$4,$CB9:$JS9)</f>
        <v/>
      </c>
      <c r="BQ9" s="55">
        <f>SUMIF($CB$4:$JS$4,BQ$4,$CB9:$JS9)</f>
        <v/>
      </c>
      <c r="BR9" s="55">
        <f>SUMIF($CB$4:$JS$4,BR$4,$CB9:$JS9)</f>
        <v/>
      </c>
      <c r="BS9" s="55">
        <f>SUMIF($CB$4:$JS$4,BS$4,$CB9:$JS9)</f>
        <v/>
      </c>
      <c r="BT9" s="55">
        <f>SUMIF($CB$4:$JS$4,BT$4,$CB9:$JS9)</f>
        <v/>
      </c>
      <c r="BU9" s="55">
        <f>SUMIF($CB$4:$JS$4,BU$4,$CB9:$JS9)</f>
        <v/>
      </c>
      <c r="BV9" s="55">
        <f>SUMIF($CB$4:$JS$4,BV$4,$CB9:$JS9)</f>
        <v/>
      </c>
      <c r="BW9" s="55">
        <f>SUMIF($CB$4:$JS$4,BW$4,$CB9:$JS9)</f>
        <v/>
      </c>
      <c r="BX9" s="55">
        <f>SUMIF($CB$4:$JS$4,"&gt;"&amp;'VALOR POR PL'!$P$8,$CB9:$JS9)</f>
        <v/>
      </c>
      <c r="BY9" s="55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60" t="inlineStr">
        <is>
          <t>CONSUMO DE ÁGUA, ENERGIA, ETC.</t>
        </is>
      </c>
      <c r="C10" s="60" t="n"/>
      <c r="D10" s="55">
        <f>SUMIF($CB$4:$JS$4,"&lt;="&amp;D$4,$CB10:$JS10)</f>
        <v/>
      </c>
      <c r="E10" s="55">
        <f>SUMIF($CB$4:$JS$4,E$4,$CB10:$JS10)</f>
        <v/>
      </c>
      <c r="F10" s="55">
        <f>SUMIF($CB$4:$JS$4,F$4,$CB10:$JS10)</f>
        <v/>
      </c>
      <c r="G10" s="55">
        <f>SUMIF($CB$4:$JS$4,G$4,$CB10:$JS10)</f>
        <v/>
      </c>
      <c r="H10" s="55">
        <f>SUMIF($CB$4:$JS$4,H$4,$CB10:$JS10)</f>
        <v/>
      </c>
      <c r="I10" s="55">
        <f>SUMIF($CB$4:$JS$4,I$4,$CB10:$JS10)</f>
        <v/>
      </c>
      <c r="J10" s="55">
        <f>SUMIF($CB$4:$JS$4,J$4,$CB10:$JS10)</f>
        <v/>
      </c>
      <c r="K10" s="55">
        <f>SUMIF($CB$4:$JS$4,K$4,$CB10:$JS10)</f>
        <v/>
      </c>
      <c r="L10" s="55">
        <f>SUMIF($CB$4:$JS$4,L$4,$CB10:$JS10)</f>
        <v/>
      </c>
      <c r="M10" s="55">
        <f>SUMIF($CB$4:$JS$4,M$4,$CB10:$JS10)</f>
        <v/>
      </c>
      <c r="N10" s="55">
        <f>SUMIF($CB$4:$JS$4,N$4,$CB10:$JS10)</f>
        <v/>
      </c>
      <c r="O10" s="55">
        <f>SUMIF($CB$4:$JS$4,O$4,$CB10:$JS10)</f>
        <v/>
      </c>
      <c r="P10" s="55">
        <f>SUMIF($CB$4:$JS$4,P$4,$CB10:$JS10)</f>
        <v/>
      </c>
      <c r="Q10" s="55">
        <f>SUMIF($CB$4:$JS$4,Q$4,$CB10:$JS10)</f>
        <v/>
      </c>
      <c r="R10" s="55">
        <f>SUMIF($CB$4:$JS$4,R$4,$CB10:$JS10)</f>
        <v/>
      </c>
      <c r="S10" s="55">
        <f>SUMIF($CB$4:$JS$4,S$4,$CB10:$JS10)</f>
        <v/>
      </c>
      <c r="T10" s="55">
        <f>SUMIF($CB$4:$JS$4,T$4,$CB10:$JS10)</f>
        <v/>
      </c>
      <c r="U10" s="55">
        <f>SUMIF($CB$4:$JS$4,U$4,$CB10:$JS10)</f>
        <v/>
      </c>
      <c r="V10" s="55">
        <f>SUMIF($CB$4:$JS$4,V$4,$CB10:$JS10)</f>
        <v/>
      </c>
      <c r="W10" s="55">
        <f>SUMIF($CB$4:$JS$4,W$4,$CB10:$JS10)</f>
        <v/>
      </c>
      <c r="X10" s="55">
        <f>SUMIF($CB$4:$JS$4,X$4,$CB10:$JS10)</f>
        <v/>
      </c>
      <c r="Y10" s="55">
        <f>SUMIF($CB$4:$JS$4,Y$4,$CB10:$JS10)</f>
        <v/>
      </c>
      <c r="Z10" s="55">
        <f>SUMIF($CB$4:$JS$4,Z$4,$CB10:$JS10)</f>
        <v/>
      </c>
      <c r="AA10" s="55">
        <f>SUMIF($CB$4:$JS$4,AA$4,$CB10:$JS10)</f>
        <v/>
      </c>
      <c r="AB10" s="55">
        <f>SUMIF($CB$4:$JS$4,AB$4,$CB10:$JS10)</f>
        <v/>
      </c>
      <c r="AC10" s="55">
        <f>SUMIF($CB$4:$JS$4,AC$4,$CB10:$JS10)</f>
        <v/>
      </c>
      <c r="AD10" s="55">
        <f>SUMIF($CB$4:$JS$4,AD$4,$CB10:$JS10)</f>
        <v/>
      </c>
      <c r="AE10" s="55">
        <f>SUMIF($CB$4:$JS$4,AE$4,$CB10:$JS10)</f>
        <v/>
      </c>
      <c r="AF10" s="55">
        <f>SUMIF($CB$4:$JS$4,AF$4,$CB10:$JS10)</f>
        <v/>
      </c>
      <c r="AG10" s="55">
        <f>SUMIF($CB$4:$JS$4,AG$4,$CB10:$JS10)</f>
        <v/>
      </c>
      <c r="AH10" s="55">
        <f>SUMIF($CB$4:$JS$4,AH$4,$CB10:$JS10)</f>
        <v/>
      </c>
      <c r="AI10" s="55">
        <f>SUMIF($CB$4:$JS$4,AI$4,$CB10:$JS10)</f>
        <v/>
      </c>
      <c r="AJ10" s="55">
        <f>SUMIF($CB$4:$JS$4,AJ$4,$CB10:$JS10)</f>
        <v/>
      </c>
      <c r="AK10" s="55">
        <f>SUMIF($CB$4:$JS$4,AK$4,$CB10:$JS10)</f>
        <v/>
      </c>
      <c r="AL10" s="55">
        <f>SUMIF($CB$4:$JS$4,AL$4,$CB10:$JS10)</f>
        <v/>
      </c>
      <c r="AM10" s="55">
        <f>SUMIF($CB$4:$JS$4,AM$4,$CB10:$JS10)</f>
        <v/>
      </c>
      <c r="AN10" s="55">
        <f>SUMIF($CB$4:$JS$4,AN$4,$CB10:$JS10)</f>
        <v/>
      </c>
      <c r="AO10" s="55">
        <f>SUMIF($CB$4:$JS$4,AO$4,$CB10:$JS10)</f>
        <v/>
      </c>
      <c r="AP10" s="55">
        <f>SUMIF($CB$4:$JS$4,AP$4,$CB10:$JS10)</f>
        <v/>
      </c>
      <c r="AQ10" s="55">
        <f>SUMIF($CB$4:$JS$4,AQ$4,$CB10:$JS10)</f>
        <v/>
      </c>
      <c r="AR10" s="55">
        <f>SUMIF($CB$4:$JS$4,AR$4,$CB10:$JS10)</f>
        <v/>
      </c>
      <c r="AS10" s="55">
        <f>SUMIF($CB$4:$JS$4,AS$4,$CB10:$JS10)</f>
        <v/>
      </c>
      <c r="AT10" s="55">
        <f>SUMIF($CB$4:$JS$4,AT$4,$CB10:$JS10)</f>
        <v/>
      </c>
      <c r="AU10" s="55">
        <f>SUMIF($CB$4:$JS$4,AU$4,$CB10:$JS10)</f>
        <v/>
      </c>
      <c r="AV10" s="55">
        <f>SUMIF($CB$4:$JS$4,AV$4,$CB10:$JS10)</f>
        <v/>
      </c>
      <c r="AW10" s="55">
        <f>SUMIF($CB$4:$JS$4,AW$4,$CB10:$JS10)</f>
        <v/>
      </c>
      <c r="AX10" s="55">
        <f>SUMIF($CB$4:$JS$4,AX$4,$CB10:$JS10)</f>
        <v/>
      </c>
      <c r="AY10" s="55">
        <f>SUMIF($CB$4:$JS$4,AY$4,$CB10:$JS10)</f>
        <v/>
      </c>
      <c r="AZ10" s="55">
        <f>SUMIF($CB$4:$JS$4,AZ$4,$CB10:$JS10)</f>
        <v/>
      </c>
      <c r="BA10" s="55">
        <f>SUMIF($CB$4:$JS$4,BA$4,$CB10:$JS10)</f>
        <v/>
      </c>
      <c r="BB10" s="55">
        <f>SUMIF($CB$4:$JS$4,BB$4,$CB10:$JS10)</f>
        <v/>
      </c>
      <c r="BC10" s="55">
        <f>SUMIF($CB$4:$JS$4,BC$4,$CB10:$JS10)</f>
        <v/>
      </c>
      <c r="BD10" s="55">
        <f>SUMIF($CB$4:$JS$4,BD$4,$CB10:$JS10)</f>
        <v/>
      </c>
      <c r="BE10" s="55">
        <f>SUMIF($CB$4:$JS$4,BE$4,$CB10:$JS10)</f>
        <v/>
      </c>
      <c r="BF10" s="55">
        <f>SUMIF($CB$4:$JS$4,BF$4,$CB10:$JS10)</f>
        <v/>
      </c>
      <c r="BG10" s="55">
        <f>SUMIF($CB$4:$JS$4,BG$4,$CB10:$JS10)</f>
        <v/>
      </c>
      <c r="BH10" s="55">
        <f>SUMIF($CB$4:$JS$4,BH$4,$CB10:$JS10)</f>
        <v/>
      </c>
      <c r="BI10" s="55">
        <f>SUMIF($CB$4:$JS$4,BI$4,$CB10:$JS10)</f>
        <v/>
      </c>
      <c r="BJ10" s="55">
        <f>SUMIF($CB$4:$JS$4,BJ$4,$CB10:$JS10)</f>
        <v/>
      </c>
      <c r="BK10" s="55">
        <f>SUMIF($CB$4:$JS$4,BK$4,$CB10:$JS10)</f>
        <v/>
      </c>
      <c r="BL10" s="55">
        <f>SUMIF($CB$4:$JS$4,BL$4,$CB10:$JS10)</f>
        <v/>
      </c>
      <c r="BM10" s="55">
        <f>SUMIF($CB$4:$JS$4,BM$4,$CB10:$JS10)</f>
        <v/>
      </c>
      <c r="BN10" s="55">
        <f>SUMIF($CB$4:$JS$4,BN$4,$CB10:$JS10)</f>
        <v/>
      </c>
      <c r="BO10" s="55">
        <f>SUMIF($CB$4:$JS$4,BO$4,$CB10:$JS10)</f>
        <v/>
      </c>
      <c r="BP10" s="55">
        <f>SUMIF($CB$4:$JS$4,BP$4,$CB10:$JS10)</f>
        <v/>
      </c>
      <c r="BQ10" s="55">
        <f>SUMIF($CB$4:$JS$4,BQ$4,$CB10:$JS10)</f>
        <v/>
      </c>
      <c r="BR10" s="55">
        <f>SUMIF($CB$4:$JS$4,BR$4,$CB10:$JS10)</f>
        <v/>
      </c>
      <c r="BS10" s="55">
        <f>SUMIF($CB$4:$JS$4,BS$4,$CB10:$JS10)</f>
        <v/>
      </c>
      <c r="BT10" s="55">
        <f>SUMIF($CB$4:$JS$4,BT$4,$CB10:$JS10)</f>
        <v/>
      </c>
      <c r="BU10" s="55">
        <f>SUMIF($CB$4:$JS$4,BU$4,$CB10:$JS10)</f>
        <v/>
      </c>
      <c r="BV10" s="55">
        <f>SUMIF($CB$4:$JS$4,BV$4,$CB10:$JS10)</f>
        <v/>
      </c>
      <c r="BW10" s="55">
        <f>SUMIF($CB$4:$JS$4,BW$4,$CB10:$JS10)</f>
        <v/>
      </c>
      <c r="BX10" s="55">
        <f>SUMIF($CB$4:$JS$4,"&gt;"&amp;'VALOR POR PL'!$P$8,$CB10:$JS10)</f>
        <v/>
      </c>
      <c r="BY10" s="55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60" t="inlineStr">
        <is>
          <t>DIVERSOS</t>
        </is>
      </c>
      <c r="C11" s="60" t="inlineStr">
        <is>
          <t>SERVIÇOS TERCEIRIZADOS</t>
        </is>
      </c>
      <c r="D11" s="55">
        <f>SUMIF($CB$4:$JS$4,"&lt;="&amp;D$4,$CB11:$JS11)</f>
        <v/>
      </c>
      <c r="E11" s="55">
        <f>SUMIF($CB$4:$JS$4,E$4,$CB11:$JS11)</f>
        <v/>
      </c>
      <c r="F11" s="55">
        <f>SUMIF($CB$4:$JS$4,F$4,$CB11:$JS11)</f>
        <v/>
      </c>
      <c r="G11" s="55">
        <f>SUMIF($CB$4:$JS$4,G$4,$CB11:$JS11)</f>
        <v/>
      </c>
      <c r="H11" s="55">
        <f>SUMIF($CB$4:$JS$4,H$4,$CB11:$JS11)</f>
        <v/>
      </c>
      <c r="I11" s="55">
        <f>SUMIF($CB$4:$JS$4,I$4,$CB11:$JS11)</f>
        <v/>
      </c>
      <c r="J11" s="55">
        <f>SUMIF($CB$4:$JS$4,J$4,$CB11:$JS11)</f>
        <v/>
      </c>
      <c r="K11" s="55">
        <f>SUMIF($CB$4:$JS$4,K$4,$CB11:$JS11)</f>
        <v/>
      </c>
      <c r="L11" s="55">
        <f>SUMIF($CB$4:$JS$4,L$4,$CB11:$JS11)</f>
        <v/>
      </c>
      <c r="M11" s="55">
        <f>SUMIF($CB$4:$JS$4,M$4,$CB11:$JS11)</f>
        <v/>
      </c>
      <c r="N11" s="55">
        <f>SUMIF($CB$4:$JS$4,N$4,$CB11:$JS11)</f>
        <v/>
      </c>
      <c r="O11" s="55">
        <f>SUMIF($CB$4:$JS$4,O$4,$CB11:$JS11)</f>
        <v/>
      </c>
      <c r="P11" s="55">
        <f>SUMIF($CB$4:$JS$4,P$4,$CB11:$JS11)</f>
        <v/>
      </c>
      <c r="Q11" s="55">
        <f>SUMIF($CB$4:$JS$4,Q$4,$CB11:$JS11)</f>
        <v/>
      </c>
      <c r="R11" s="55">
        <f>SUMIF($CB$4:$JS$4,R$4,$CB11:$JS11)</f>
        <v/>
      </c>
      <c r="S11" s="55">
        <f>SUMIF($CB$4:$JS$4,S$4,$CB11:$JS11)</f>
        <v/>
      </c>
      <c r="T11" s="55">
        <f>SUMIF($CB$4:$JS$4,T$4,$CB11:$JS11)</f>
        <v/>
      </c>
      <c r="U11" s="55">
        <f>SUMIF($CB$4:$JS$4,U$4,$CB11:$JS11)</f>
        <v/>
      </c>
      <c r="V11" s="55">
        <f>SUMIF($CB$4:$JS$4,V$4,$CB11:$JS11)</f>
        <v/>
      </c>
      <c r="W11" s="55">
        <f>SUMIF($CB$4:$JS$4,W$4,$CB11:$JS11)</f>
        <v/>
      </c>
      <c r="X11" s="55">
        <f>SUMIF($CB$4:$JS$4,X$4,$CB11:$JS11)</f>
        <v/>
      </c>
      <c r="Y11" s="55">
        <f>SUMIF($CB$4:$JS$4,Y$4,$CB11:$JS11)</f>
        <v/>
      </c>
      <c r="Z11" s="55">
        <f>SUMIF($CB$4:$JS$4,Z$4,$CB11:$JS11)</f>
        <v/>
      </c>
      <c r="AA11" s="55">
        <f>SUMIF($CB$4:$JS$4,AA$4,$CB11:$JS11)</f>
        <v/>
      </c>
      <c r="AB11" s="55">
        <f>SUMIF($CB$4:$JS$4,AB$4,$CB11:$JS11)</f>
        <v/>
      </c>
      <c r="AC11" s="55">
        <f>SUMIF($CB$4:$JS$4,AC$4,$CB11:$JS11)</f>
        <v/>
      </c>
      <c r="AD11" s="55">
        <f>SUMIF($CB$4:$JS$4,AD$4,$CB11:$JS11)</f>
        <v/>
      </c>
      <c r="AE11" s="55">
        <f>SUMIF($CB$4:$JS$4,AE$4,$CB11:$JS11)</f>
        <v/>
      </c>
      <c r="AF11" s="55">
        <f>SUMIF($CB$4:$JS$4,AF$4,$CB11:$JS11)</f>
        <v/>
      </c>
      <c r="AG11" s="55">
        <f>SUMIF($CB$4:$JS$4,AG$4,$CB11:$JS11)</f>
        <v/>
      </c>
      <c r="AH11" s="55">
        <f>SUMIF($CB$4:$JS$4,AH$4,$CB11:$JS11)</f>
        <v/>
      </c>
      <c r="AI11" s="55">
        <f>SUMIF($CB$4:$JS$4,AI$4,$CB11:$JS11)</f>
        <v/>
      </c>
      <c r="AJ11" s="55">
        <f>SUMIF($CB$4:$JS$4,AJ$4,$CB11:$JS11)</f>
        <v/>
      </c>
      <c r="AK11" s="55">
        <f>SUMIF($CB$4:$JS$4,AK$4,$CB11:$JS11)</f>
        <v/>
      </c>
      <c r="AL11" s="55">
        <f>SUMIF($CB$4:$JS$4,AL$4,$CB11:$JS11)</f>
        <v/>
      </c>
      <c r="AM11" s="55">
        <f>SUMIF($CB$4:$JS$4,AM$4,$CB11:$JS11)</f>
        <v/>
      </c>
      <c r="AN11" s="55">
        <f>SUMIF($CB$4:$JS$4,AN$4,$CB11:$JS11)</f>
        <v/>
      </c>
      <c r="AO11" s="55">
        <f>SUMIF($CB$4:$JS$4,AO$4,$CB11:$JS11)</f>
        <v/>
      </c>
      <c r="AP11" s="55">
        <f>SUMIF($CB$4:$JS$4,AP$4,$CB11:$JS11)</f>
        <v/>
      </c>
      <c r="AQ11" s="55">
        <f>SUMIF($CB$4:$JS$4,AQ$4,$CB11:$JS11)</f>
        <v/>
      </c>
      <c r="AR11" s="55">
        <f>SUMIF($CB$4:$JS$4,AR$4,$CB11:$JS11)</f>
        <v/>
      </c>
      <c r="AS11" s="55">
        <f>SUMIF($CB$4:$JS$4,AS$4,$CB11:$JS11)</f>
        <v/>
      </c>
      <c r="AT11" s="55">
        <f>SUMIF($CB$4:$JS$4,AT$4,$CB11:$JS11)</f>
        <v/>
      </c>
      <c r="AU11" s="55">
        <f>SUMIF($CB$4:$JS$4,AU$4,$CB11:$JS11)</f>
        <v/>
      </c>
      <c r="AV11" s="55">
        <f>SUMIF($CB$4:$JS$4,AV$4,$CB11:$JS11)</f>
        <v/>
      </c>
      <c r="AW11" s="55">
        <f>SUMIF($CB$4:$JS$4,AW$4,$CB11:$JS11)</f>
        <v/>
      </c>
      <c r="AX11" s="55">
        <f>SUMIF($CB$4:$JS$4,AX$4,$CB11:$JS11)</f>
        <v/>
      </c>
      <c r="AY11" s="55">
        <f>SUMIF($CB$4:$JS$4,AY$4,$CB11:$JS11)</f>
        <v/>
      </c>
      <c r="AZ11" s="55">
        <f>SUMIF($CB$4:$JS$4,AZ$4,$CB11:$JS11)</f>
        <v/>
      </c>
      <c r="BA11" s="55">
        <f>SUMIF($CB$4:$JS$4,BA$4,$CB11:$JS11)</f>
        <v/>
      </c>
      <c r="BB11" s="55">
        <f>SUMIF($CB$4:$JS$4,BB$4,$CB11:$JS11)</f>
        <v/>
      </c>
      <c r="BC11" s="55">
        <f>SUMIF($CB$4:$JS$4,BC$4,$CB11:$JS11)</f>
        <v/>
      </c>
      <c r="BD11" s="55">
        <f>SUMIF($CB$4:$JS$4,BD$4,$CB11:$JS11)</f>
        <v/>
      </c>
      <c r="BE11" s="55">
        <f>SUMIF($CB$4:$JS$4,BE$4,$CB11:$JS11)</f>
        <v/>
      </c>
      <c r="BF11" s="55">
        <f>SUMIF($CB$4:$JS$4,BF$4,$CB11:$JS11)</f>
        <v/>
      </c>
      <c r="BG11" s="55">
        <f>SUMIF($CB$4:$JS$4,BG$4,$CB11:$JS11)</f>
        <v/>
      </c>
      <c r="BH11" s="55">
        <f>SUMIF($CB$4:$JS$4,BH$4,$CB11:$JS11)</f>
        <v/>
      </c>
      <c r="BI11" s="55">
        <f>SUMIF($CB$4:$JS$4,BI$4,$CB11:$JS11)</f>
        <v/>
      </c>
      <c r="BJ11" s="55">
        <f>SUMIF($CB$4:$JS$4,BJ$4,$CB11:$JS11)</f>
        <v/>
      </c>
      <c r="BK11" s="55">
        <f>SUMIF($CB$4:$JS$4,BK$4,$CB11:$JS11)</f>
        <v/>
      </c>
      <c r="BL11" s="55">
        <f>SUMIF($CB$4:$JS$4,BL$4,$CB11:$JS11)</f>
        <v/>
      </c>
      <c r="BM11" s="55">
        <f>SUMIF($CB$4:$JS$4,BM$4,$CB11:$JS11)</f>
        <v/>
      </c>
      <c r="BN11" s="55">
        <f>SUMIF($CB$4:$JS$4,BN$4,$CB11:$JS11)</f>
        <v/>
      </c>
      <c r="BO11" s="55">
        <f>SUMIF($CB$4:$JS$4,BO$4,$CB11:$JS11)</f>
        <v/>
      </c>
      <c r="BP11" s="55">
        <f>SUMIF($CB$4:$JS$4,BP$4,$CB11:$JS11)</f>
        <v/>
      </c>
      <c r="BQ11" s="55">
        <f>SUMIF($CB$4:$JS$4,BQ$4,$CB11:$JS11)</f>
        <v/>
      </c>
      <c r="BR11" s="55">
        <f>SUMIF($CB$4:$JS$4,BR$4,$CB11:$JS11)</f>
        <v/>
      </c>
      <c r="BS11" s="55">
        <f>SUMIF($CB$4:$JS$4,BS$4,$CB11:$JS11)</f>
        <v/>
      </c>
      <c r="BT11" s="55">
        <f>SUMIF($CB$4:$JS$4,BT$4,$CB11:$JS11)</f>
        <v/>
      </c>
      <c r="BU11" s="55">
        <f>SUMIF($CB$4:$JS$4,BU$4,$CB11:$JS11)</f>
        <v/>
      </c>
      <c r="BV11" s="55">
        <f>SUMIF($CB$4:$JS$4,BV$4,$CB11:$JS11)</f>
        <v/>
      </c>
      <c r="BW11" s="55">
        <f>SUMIF($CB$4:$JS$4,BW$4,$CB11:$JS11)</f>
        <v/>
      </c>
      <c r="BX11" s="55">
        <f>SUMIF($CB$4:$JS$4,"&gt;"&amp;'VALOR POR PL'!$P$8,$CB11:$JS11)</f>
        <v/>
      </c>
      <c r="BY11" s="55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60" t="inlineStr">
        <is>
          <t>TRANSPORTES</t>
        </is>
      </c>
      <c r="C12" s="60" t="n"/>
      <c r="D12" s="55">
        <f>SUMIF($CB$4:$JS$4,"&lt;="&amp;D$4,$CB12:$JS12)</f>
        <v/>
      </c>
      <c r="E12" s="55">
        <f>SUMIF($CB$4:$JS$4,E$4,$CB12:$JS12)</f>
        <v/>
      </c>
      <c r="F12" s="55">
        <f>SUMIF($CB$4:$JS$4,F$4,$CB12:$JS12)</f>
        <v/>
      </c>
      <c r="G12" s="55">
        <f>SUMIF($CB$4:$JS$4,G$4,$CB12:$JS12)</f>
        <v/>
      </c>
      <c r="H12" s="55">
        <f>SUMIF($CB$4:$JS$4,H$4,$CB12:$JS12)</f>
        <v/>
      </c>
      <c r="I12" s="55">
        <f>SUMIF($CB$4:$JS$4,I$4,$CB12:$JS12)</f>
        <v/>
      </c>
      <c r="J12" s="55">
        <f>SUMIF($CB$4:$JS$4,J$4,$CB12:$JS12)</f>
        <v/>
      </c>
      <c r="K12" s="55">
        <f>SUMIF($CB$4:$JS$4,K$4,$CB12:$JS12)</f>
        <v/>
      </c>
      <c r="L12" s="55">
        <f>SUMIF($CB$4:$JS$4,L$4,$CB12:$JS12)</f>
        <v/>
      </c>
      <c r="M12" s="55">
        <f>SUMIF($CB$4:$JS$4,M$4,$CB12:$JS12)</f>
        <v/>
      </c>
      <c r="N12" s="55">
        <f>SUMIF($CB$4:$JS$4,N$4,$CB12:$JS12)</f>
        <v/>
      </c>
      <c r="O12" s="55">
        <f>SUMIF($CB$4:$JS$4,O$4,$CB12:$JS12)</f>
        <v/>
      </c>
      <c r="P12" s="55">
        <f>SUMIF($CB$4:$JS$4,P$4,$CB12:$JS12)</f>
        <v/>
      </c>
      <c r="Q12" s="55">
        <f>SUMIF($CB$4:$JS$4,Q$4,$CB12:$JS12)</f>
        <v/>
      </c>
      <c r="R12" s="55">
        <f>SUMIF($CB$4:$JS$4,R$4,$CB12:$JS12)</f>
        <v/>
      </c>
      <c r="S12" s="55">
        <f>SUMIF($CB$4:$JS$4,S$4,$CB12:$JS12)</f>
        <v/>
      </c>
      <c r="T12" s="55">
        <f>SUMIF($CB$4:$JS$4,T$4,$CB12:$JS12)</f>
        <v/>
      </c>
      <c r="U12" s="55">
        <f>SUMIF($CB$4:$JS$4,U$4,$CB12:$JS12)</f>
        <v/>
      </c>
      <c r="V12" s="55">
        <f>SUMIF($CB$4:$JS$4,V$4,$CB12:$JS12)</f>
        <v/>
      </c>
      <c r="W12" s="55">
        <f>SUMIF($CB$4:$JS$4,W$4,$CB12:$JS12)</f>
        <v/>
      </c>
      <c r="X12" s="55">
        <f>SUMIF($CB$4:$JS$4,X$4,$CB12:$JS12)</f>
        <v/>
      </c>
      <c r="Y12" s="55">
        <f>SUMIF($CB$4:$JS$4,Y$4,$CB12:$JS12)</f>
        <v/>
      </c>
      <c r="Z12" s="55">
        <f>SUMIF($CB$4:$JS$4,Z$4,$CB12:$JS12)</f>
        <v/>
      </c>
      <c r="AA12" s="55">
        <f>SUMIF($CB$4:$JS$4,AA$4,$CB12:$JS12)</f>
        <v/>
      </c>
      <c r="AB12" s="55">
        <f>SUMIF($CB$4:$JS$4,AB$4,$CB12:$JS12)</f>
        <v/>
      </c>
      <c r="AC12" s="55">
        <f>SUMIF($CB$4:$JS$4,AC$4,$CB12:$JS12)</f>
        <v/>
      </c>
      <c r="AD12" s="55">
        <f>SUMIF($CB$4:$JS$4,AD$4,$CB12:$JS12)</f>
        <v/>
      </c>
      <c r="AE12" s="55">
        <f>SUMIF($CB$4:$JS$4,AE$4,$CB12:$JS12)</f>
        <v/>
      </c>
      <c r="AF12" s="55">
        <f>SUMIF($CB$4:$JS$4,AF$4,$CB12:$JS12)</f>
        <v/>
      </c>
      <c r="AG12" s="55">
        <f>SUMIF($CB$4:$JS$4,AG$4,$CB12:$JS12)</f>
        <v/>
      </c>
      <c r="AH12" s="55">
        <f>SUMIF($CB$4:$JS$4,AH$4,$CB12:$JS12)</f>
        <v/>
      </c>
      <c r="AI12" s="55">
        <f>SUMIF($CB$4:$JS$4,AI$4,$CB12:$JS12)</f>
        <v/>
      </c>
      <c r="AJ12" s="55">
        <f>SUMIF($CB$4:$JS$4,AJ$4,$CB12:$JS12)</f>
        <v/>
      </c>
      <c r="AK12" s="55">
        <f>SUMIF($CB$4:$JS$4,AK$4,$CB12:$JS12)</f>
        <v/>
      </c>
      <c r="AL12" s="55">
        <f>SUMIF($CB$4:$JS$4,AL$4,$CB12:$JS12)</f>
        <v/>
      </c>
      <c r="AM12" s="55">
        <f>SUMIF($CB$4:$JS$4,AM$4,$CB12:$JS12)</f>
        <v/>
      </c>
      <c r="AN12" s="55">
        <f>SUMIF($CB$4:$JS$4,AN$4,$CB12:$JS12)</f>
        <v/>
      </c>
      <c r="AO12" s="55">
        <f>SUMIF($CB$4:$JS$4,AO$4,$CB12:$JS12)</f>
        <v/>
      </c>
      <c r="AP12" s="55">
        <f>SUMIF($CB$4:$JS$4,AP$4,$CB12:$JS12)</f>
        <v/>
      </c>
      <c r="AQ12" s="55">
        <f>SUMIF($CB$4:$JS$4,AQ$4,$CB12:$JS12)</f>
        <v/>
      </c>
      <c r="AR12" s="55">
        <f>SUMIF($CB$4:$JS$4,AR$4,$CB12:$JS12)</f>
        <v/>
      </c>
      <c r="AS12" s="55">
        <f>SUMIF($CB$4:$JS$4,AS$4,$CB12:$JS12)</f>
        <v/>
      </c>
      <c r="AT12" s="55">
        <f>SUMIF($CB$4:$JS$4,AT$4,$CB12:$JS12)</f>
        <v/>
      </c>
      <c r="AU12" s="55">
        <f>SUMIF($CB$4:$JS$4,AU$4,$CB12:$JS12)</f>
        <v/>
      </c>
      <c r="AV12" s="55">
        <f>SUMIF($CB$4:$JS$4,AV$4,$CB12:$JS12)</f>
        <v/>
      </c>
      <c r="AW12" s="55">
        <f>SUMIF($CB$4:$JS$4,AW$4,$CB12:$JS12)</f>
        <v/>
      </c>
      <c r="AX12" s="55">
        <f>SUMIF($CB$4:$JS$4,AX$4,$CB12:$JS12)</f>
        <v/>
      </c>
      <c r="AY12" s="55">
        <f>SUMIF($CB$4:$JS$4,AY$4,$CB12:$JS12)</f>
        <v/>
      </c>
      <c r="AZ12" s="55">
        <f>SUMIF($CB$4:$JS$4,AZ$4,$CB12:$JS12)</f>
        <v/>
      </c>
      <c r="BA12" s="55">
        <f>SUMIF($CB$4:$JS$4,BA$4,$CB12:$JS12)</f>
        <v/>
      </c>
      <c r="BB12" s="55">
        <f>SUMIF($CB$4:$JS$4,BB$4,$CB12:$JS12)</f>
        <v/>
      </c>
      <c r="BC12" s="55">
        <f>SUMIF($CB$4:$JS$4,BC$4,$CB12:$JS12)</f>
        <v/>
      </c>
      <c r="BD12" s="55">
        <f>SUMIF($CB$4:$JS$4,BD$4,$CB12:$JS12)</f>
        <v/>
      </c>
      <c r="BE12" s="55">
        <f>SUMIF($CB$4:$JS$4,BE$4,$CB12:$JS12)</f>
        <v/>
      </c>
      <c r="BF12" s="55">
        <f>SUMIF($CB$4:$JS$4,BF$4,$CB12:$JS12)</f>
        <v/>
      </c>
      <c r="BG12" s="55">
        <f>SUMIF($CB$4:$JS$4,BG$4,$CB12:$JS12)</f>
        <v/>
      </c>
      <c r="BH12" s="55">
        <f>SUMIF($CB$4:$JS$4,BH$4,$CB12:$JS12)</f>
        <v/>
      </c>
      <c r="BI12" s="55">
        <f>SUMIF($CB$4:$JS$4,BI$4,$CB12:$JS12)</f>
        <v/>
      </c>
      <c r="BJ12" s="55">
        <f>SUMIF($CB$4:$JS$4,BJ$4,$CB12:$JS12)</f>
        <v/>
      </c>
      <c r="BK12" s="55">
        <f>SUMIF($CB$4:$JS$4,BK$4,$CB12:$JS12)</f>
        <v/>
      </c>
      <c r="BL12" s="55">
        <f>SUMIF($CB$4:$JS$4,BL$4,$CB12:$JS12)</f>
        <v/>
      </c>
      <c r="BM12" s="55">
        <f>SUMIF($CB$4:$JS$4,BM$4,$CB12:$JS12)</f>
        <v/>
      </c>
      <c r="BN12" s="55">
        <f>SUMIF($CB$4:$JS$4,BN$4,$CB12:$JS12)</f>
        <v/>
      </c>
      <c r="BO12" s="55">
        <f>SUMIF($CB$4:$JS$4,BO$4,$CB12:$JS12)</f>
        <v/>
      </c>
      <c r="BP12" s="55">
        <f>SUMIF($CB$4:$JS$4,BP$4,$CB12:$JS12)</f>
        <v/>
      </c>
      <c r="BQ12" s="55">
        <f>SUMIF($CB$4:$JS$4,BQ$4,$CB12:$JS12)</f>
        <v/>
      </c>
      <c r="BR12" s="55">
        <f>SUMIF($CB$4:$JS$4,BR$4,$CB12:$JS12)</f>
        <v/>
      </c>
      <c r="BS12" s="55">
        <f>SUMIF($CB$4:$JS$4,BS$4,$CB12:$JS12)</f>
        <v/>
      </c>
      <c r="BT12" s="55">
        <f>SUMIF($CB$4:$JS$4,BT$4,$CB12:$JS12)</f>
        <v/>
      </c>
      <c r="BU12" s="55">
        <f>SUMIF($CB$4:$JS$4,BU$4,$CB12:$JS12)</f>
        <v/>
      </c>
      <c r="BV12" s="55">
        <f>SUMIF($CB$4:$JS$4,BV$4,$CB12:$JS12)</f>
        <v/>
      </c>
      <c r="BW12" s="55">
        <f>SUMIF($CB$4:$JS$4,BW$4,$CB12:$JS12)</f>
        <v/>
      </c>
      <c r="BX12" s="55">
        <f>SUMIF($CB$4:$JS$4,"&gt;"&amp;'VALOR POR PL'!$P$8,$CB12:$JS12)</f>
        <v/>
      </c>
      <c r="BY12" s="55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60" t="inlineStr">
        <is>
          <t>CONSULTORIAS (OBRAS)</t>
        </is>
      </c>
      <c r="C13" s="60" t="n"/>
      <c r="D13" s="55">
        <f>SUMIF($CB$4:$JS$4,"&lt;="&amp;D$4,$CB13:$JS13)</f>
        <v/>
      </c>
      <c r="E13" s="55">
        <f>SUMIF($CB$4:$JS$4,E$4,$CB13:$JS13)</f>
        <v/>
      </c>
      <c r="F13" s="55">
        <f>SUMIF($CB$4:$JS$4,F$4,$CB13:$JS13)</f>
        <v/>
      </c>
      <c r="G13" s="55">
        <f>SUMIF($CB$4:$JS$4,G$4,$CB13:$JS13)</f>
        <v/>
      </c>
      <c r="H13" s="55">
        <f>SUMIF($CB$4:$JS$4,H$4,$CB13:$JS13)</f>
        <v/>
      </c>
      <c r="I13" s="55">
        <f>SUMIF($CB$4:$JS$4,I$4,$CB13:$JS13)</f>
        <v/>
      </c>
      <c r="J13" s="55">
        <f>SUMIF($CB$4:$JS$4,J$4,$CB13:$JS13)</f>
        <v/>
      </c>
      <c r="K13" s="55">
        <f>SUMIF($CB$4:$JS$4,K$4,$CB13:$JS13)</f>
        <v/>
      </c>
      <c r="L13" s="55">
        <f>SUMIF($CB$4:$JS$4,L$4,$CB13:$JS13)</f>
        <v/>
      </c>
      <c r="M13" s="55">
        <f>SUMIF($CB$4:$JS$4,M$4,$CB13:$JS13)</f>
        <v/>
      </c>
      <c r="N13" s="55">
        <f>SUMIF($CB$4:$JS$4,N$4,$CB13:$JS13)</f>
        <v/>
      </c>
      <c r="O13" s="55">
        <f>SUMIF($CB$4:$JS$4,O$4,$CB13:$JS13)</f>
        <v/>
      </c>
      <c r="P13" s="55">
        <f>SUMIF($CB$4:$JS$4,P$4,$CB13:$JS13)</f>
        <v/>
      </c>
      <c r="Q13" s="55">
        <f>SUMIF($CB$4:$JS$4,Q$4,$CB13:$JS13)</f>
        <v/>
      </c>
      <c r="R13" s="55">
        <f>SUMIF($CB$4:$JS$4,R$4,$CB13:$JS13)</f>
        <v/>
      </c>
      <c r="S13" s="55">
        <f>SUMIF($CB$4:$JS$4,S$4,$CB13:$JS13)</f>
        <v/>
      </c>
      <c r="T13" s="55">
        <f>SUMIF($CB$4:$JS$4,T$4,$CB13:$JS13)</f>
        <v/>
      </c>
      <c r="U13" s="55">
        <f>SUMIF($CB$4:$JS$4,U$4,$CB13:$JS13)</f>
        <v/>
      </c>
      <c r="V13" s="55">
        <f>SUMIF($CB$4:$JS$4,V$4,$CB13:$JS13)</f>
        <v/>
      </c>
      <c r="W13" s="55">
        <f>SUMIF($CB$4:$JS$4,W$4,$CB13:$JS13)</f>
        <v/>
      </c>
      <c r="X13" s="55">
        <f>SUMIF($CB$4:$JS$4,X$4,$CB13:$JS13)</f>
        <v/>
      </c>
      <c r="Y13" s="55">
        <f>SUMIF($CB$4:$JS$4,Y$4,$CB13:$JS13)</f>
        <v/>
      </c>
      <c r="Z13" s="55">
        <f>SUMIF($CB$4:$JS$4,Z$4,$CB13:$JS13)</f>
        <v/>
      </c>
      <c r="AA13" s="55">
        <f>SUMIF($CB$4:$JS$4,AA$4,$CB13:$JS13)</f>
        <v/>
      </c>
      <c r="AB13" s="55">
        <f>SUMIF($CB$4:$JS$4,AB$4,$CB13:$JS13)</f>
        <v/>
      </c>
      <c r="AC13" s="55">
        <f>SUMIF($CB$4:$JS$4,AC$4,$CB13:$JS13)</f>
        <v/>
      </c>
      <c r="AD13" s="55">
        <f>SUMIF($CB$4:$JS$4,AD$4,$CB13:$JS13)</f>
        <v/>
      </c>
      <c r="AE13" s="55">
        <f>SUMIF($CB$4:$JS$4,AE$4,$CB13:$JS13)</f>
        <v/>
      </c>
      <c r="AF13" s="55">
        <f>SUMIF($CB$4:$JS$4,AF$4,$CB13:$JS13)</f>
        <v/>
      </c>
      <c r="AG13" s="55">
        <f>SUMIF($CB$4:$JS$4,AG$4,$CB13:$JS13)</f>
        <v/>
      </c>
      <c r="AH13" s="55">
        <f>SUMIF($CB$4:$JS$4,AH$4,$CB13:$JS13)</f>
        <v/>
      </c>
      <c r="AI13" s="55">
        <f>SUMIF($CB$4:$JS$4,AI$4,$CB13:$JS13)</f>
        <v/>
      </c>
      <c r="AJ13" s="55">
        <f>SUMIF($CB$4:$JS$4,AJ$4,$CB13:$JS13)</f>
        <v/>
      </c>
      <c r="AK13" s="55">
        <f>SUMIF($CB$4:$JS$4,AK$4,$CB13:$JS13)</f>
        <v/>
      </c>
      <c r="AL13" s="55">
        <f>SUMIF($CB$4:$JS$4,AL$4,$CB13:$JS13)</f>
        <v/>
      </c>
      <c r="AM13" s="55">
        <f>SUMIF($CB$4:$JS$4,AM$4,$CB13:$JS13)</f>
        <v/>
      </c>
      <c r="AN13" s="55">
        <f>SUMIF($CB$4:$JS$4,AN$4,$CB13:$JS13)</f>
        <v/>
      </c>
      <c r="AO13" s="55">
        <f>SUMIF($CB$4:$JS$4,AO$4,$CB13:$JS13)</f>
        <v/>
      </c>
      <c r="AP13" s="55">
        <f>SUMIF($CB$4:$JS$4,AP$4,$CB13:$JS13)</f>
        <v/>
      </c>
      <c r="AQ13" s="55">
        <f>SUMIF($CB$4:$JS$4,AQ$4,$CB13:$JS13)</f>
        <v/>
      </c>
      <c r="AR13" s="55">
        <f>SUMIF($CB$4:$JS$4,AR$4,$CB13:$JS13)</f>
        <v/>
      </c>
      <c r="AS13" s="55">
        <f>SUMIF($CB$4:$JS$4,AS$4,$CB13:$JS13)</f>
        <v/>
      </c>
      <c r="AT13" s="55">
        <f>SUMIF($CB$4:$JS$4,AT$4,$CB13:$JS13)</f>
        <v/>
      </c>
      <c r="AU13" s="55">
        <f>SUMIF($CB$4:$JS$4,AU$4,$CB13:$JS13)</f>
        <v/>
      </c>
      <c r="AV13" s="55">
        <f>SUMIF($CB$4:$JS$4,AV$4,$CB13:$JS13)</f>
        <v/>
      </c>
      <c r="AW13" s="55">
        <f>SUMIF($CB$4:$JS$4,AW$4,$CB13:$JS13)</f>
        <v/>
      </c>
      <c r="AX13" s="55">
        <f>SUMIF($CB$4:$JS$4,AX$4,$CB13:$JS13)</f>
        <v/>
      </c>
      <c r="AY13" s="55">
        <f>SUMIF($CB$4:$JS$4,AY$4,$CB13:$JS13)</f>
        <v/>
      </c>
      <c r="AZ13" s="55">
        <f>SUMIF($CB$4:$JS$4,AZ$4,$CB13:$JS13)</f>
        <v/>
      </c>
      <c r="BA13" s="55">
        <f>SUMIF($CB$4:$JS$4,BA$4,$CB13:$JS13)</f>
        <v/>
      </c>
      <c r="BB13" s="55">
        <f>SUMIF($CB$4:$JS$4,BB$4,$CB13:$JS13)</f>
        <v/>
      </c>
      <c r="BC13" s="55">
        <f>SUMIF($CB$4:$JS$4,BC$4,$CB13:$JS13)</f>
        <v/>
      </c>
      <c r="BD13" s="55">
        <f>SUMIF($CB$4:$JS$4,BD$4,$CB13:$JS13)</f>
        <v/>
      </c>
      <c r="BE13" s="55">
        <f>SUMIF($CB$4:$JS$4,BE$4,$CB13:$JS13)</f>
        <v/>
      </c>
      <c r="BF13" s="55">
        <f>SUMIF($CB$4:$JS$4,BF$4,$CB13:$JS13)</f>
        <v/>
      </c>
      <c r="BG13" s="55">
        <f>SUMIF($CB$4:$JS$4,BG$4,$CB13:$JS13)</f>
        <v/>
      </c>
      <c r="BH13" s="55">
        <f>SUMIF($CB$4:$JS$4,BH$4,$CB13:$JS13)</f>
        <v/>
      </c>
      <c r="BI13" s="55">
        <f>SUMIF($CB$4:$JS$4,BI$4,$CB13:$JS13)</f>
        <v/>
      </c>
      <c r="BJ13" s="55">
        <f>SUMIF($CB$4:$JS$4,BJ$4,$CB13:$JS13)</f>
        <v/>
      </c>
      <c r="BK13" s="55">
        <f>SUMIF($CB$4:$JS$4,BK$4,$CB13:$JS13)</f>
        <v/>
      </c>
      <c r="BL13" s="55">
        <f>SUMIF($CB$4:$JS$4,BL$4,$CB13:$JS13)</f>
        <v/>
      </c>
      <c r="BM13" s="55">
        <f>SUMIF($CB$4:$JS$4,BM$4,$CB13:$JS13)</f>
        <v/>
      </c>
      <c r="BN13" s="55">
        <f>SUMIF($CB$4:$JS$4,BN$4,$CB13:$JS13)</f>
        <v/>
      </c>
      <c r="BO13" s="55">
        <f>SUMIF($CB$4:$JS$4,BO$4,$CB13:$JS13)</f>
        <v/>
      </c>
      <c r="BP13" s="55">
        <f>SUMIF($CB$4:$JS$4,BP$4,$CB13:$JS13)</f>
        <v/>
      </c>
      <c r="BQ13" s="55">
        <f>SUMIF($CB$4:$JS$4,BQ$4,$CB13:$JS13)</f>
        <v/>
      </c>
      <c r="BR13" s="55">
        <f>SUMIF($CB$4:$JS$4,BR$4,$CB13:$JS13)</f>
        <v/>
      </c>
      <c r="BS13" s="55">
        <f>SUMIF($CB$4:$JS$4,BS$4,$CB13:$JS13)</f>
        <v/>
      </c>
      <c r="BT13" s="55">
        <f>SUMIF($CB$4:$JS$4,BT$4,$CB13:$JS13)</f>
        <v/>
      </c>
      <c r="BU13" s="55">
        <f>SUMIF($CB$4:$JS$4,BU$4,$CB13:$JS13)</f>
        <v/>
      </c>
      <c r="BV13" s="55">
        <f>SUMIF($CB$4:$JS$4,BV$4,$CB13:$JS13)</f>
        <v/>
      </c>
      <c r="BW13" s="55">
        <f>SUMIF($CB$4:$JS$4,BW$4,$CB13:$JS13)</f>
        <v/>
      </c>
      <c r="BX13" s="55">
        <f>SUMIF($CB$4:$JS$4,"&gt;"&amp;'VALOR POR PL'!$P$8,$CB13:$JS13)</f>
        <v/>
      </c>
      <c r="BY13" s="55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60" t="inlineStr">
        <is>
          <t>MÃO DE OBRA PRÓPRIA</t>
        </is>
      </c>
      <c r="C14" s="60" t="n"/>
      <c r="D14" s="55">
        <f>SUMIF($CB$4:$JS$4,"&lt;="&amp;D$4,$CB14:$JS14)</f>
        <v/>
      </c>
      <c r="E14" s="55">
        <f>SUMIF($CB$4:$JS$4,E$4,$CB14:$JS14)</f>
        <v/>
      </c>
      <c r="F14" s="55">
        <f>SUMIF($CB$4:$JS$4,F$4,$CB14:$JS14)</f>
        <v/>
      </c>
      <c r="G14" s="55">
        <f>SUMIF($CB$4:$JS$4,G$4,$CB14:$JS14)</f>
        <v/>
      </c>
      <c r="H14" s="55">
        <f>SUMIF($CB$4:$JS$4,H$4,$CB14:$JS14)</f>
        <v/>
      </c>
      <c r="I14" s="55">
        <f>SUMIF($CB$4:$JS$4,I$4,$CB14:$JS14)</f>
        <v/>
      </c>
      <c r="J14" s="55">
        <f>SUMIF($CB$4:$JS$4,J$4,$CB14:$JS14)</f>
        <v/>
      </c>
      <c r="K14" s="55">
        <f>SUMIF($CB$4:$JS$4,K$4,$CB14:$JS14)</f>
        <v/>
      </c>
      <c r="L14" s="55">
        <f>SUMIF($CB$4:$JS$4,L$4,$CB14:$JS14)</f>
        <v/>
      </c>
      <c r="M14" s="55">
        <f>SUMIF($CB$4:$JS$4,M$4,$CB14:$JS14)</f>
        <v/>
      </c>
      <c r="N14" s="55">
        <f>SUMIF($CB$4:$JS$4,N$4,$CB14:$JS14)</f>
        <v/>
      </c>
      <c r="O14" s="55">
        <f>SUMIF($CB$4:$JS$4,O$4,$CB14:$JS14)</f>
        <v/>
      </c>
      <c r="P14" s="55">
        <f>SUMIF($CB$4:$JS$4,P$4,$CB14:$JS14)</f>
        <v/>
      </c>
      <c r="Q14" s="55">
        <f>SUMIF($CB$4:$JS$4,Q$4,$CB14:$JS14)</f>
        <v/>
      </c>
      <c r="R14" s="55">
        <f>SUMIF($CB$4:$JS$4,R$4,$CB14:$JS14)</f>
        <v/>
      </c>
      <c r="S14" s="55">
        <f>SUMIF($CB$4:$JS$4,S$4,$CB14:$JS14)</f>
        <v/>
      </c>
      <c r="T14" s="55">
        <f>SUMIF($CB$4:$JS$4,T$4,$CB14:$JS14)</f>
        <v/>
      </c>
      <c r="U14" s="55">
        <f>SUMIF($CB$4:$JS$4,U$4,$CB14:$JS14)</f>
        <v/>
      </c>
      <c r="V14" s="55">
        <f>SUMIF($CB$4:$JS$4,V$4,$CB14:$JS14)</f>
        <v/>
      </c>
      <c r="W14" s="55">
        <f>SUMIF($CB$4:$JS$4,W$4,$CB14:$JS14)</f>
        <v/>
      </c>
      <c r="X14" s="55">
        <f>SUMIF($CB$4:$JS$4,X$4,$CB14:$JS14)</f>
        <v/>
      </c>
      <c r="Y14" s="55">
        <f>SUMIF($CB$4:$JS$4,Y$4,$CB14:$JS14)</f>
        <v/>
      </c>
      <c r="Z14" s="55">
        <f>SUMIF($CB$4:$JS$4,Z$4,$CB14:$JS14)</f>
        <v/>
      </c>
      <c r="AA14" s="55">
        <f>SUMIF($CB$4:$JS$4,AA$4,$CB14:$JS14)</f>
        <v/>
      </c>
      <c r="AB14" s="55">
        <f>SUMIF($CB$4:$JS$4,AB$4,$CB14:$JS14)</f>
        <v/>
      </c>
      <c r="AC14" s="55">
        <f>SUMIF($CB$4:$JS$4,AC$4,$CB14:$JS14)</f>
        <v/>
      </c>
      <c r="AD14" s="55">
        <f>SUMIF($CB$4:$JS$4,AD$4,$CB14:$JS14)</f>
        <v/>
      </c>
      <c r="AE14" s="55">
        <f>SUMIF($CB$4:$JS$4,AE$4,$CB14:$JS14)</f>
        <v/>
      </c>
      <c r="AF14" s="55">
        <f>SUMIF($CB$4:$JS$4,AF$4,$CB14:$JS14)</f>
        <v/>
      </c>
      <c r="AG14" s="55">
        <f>SUMIF($CB$4:$JS$4,AG$4,$CB14:$JS14)</f>
        <v/>
      </c>
      <c r="AH14" s="55">
        <f>SUMIF($CB$4:$JS$4,AH$4,$CB14:$JS14)</f>
        <v/>
      </c>
      <c r="AI14" s="55">
        <f>SUMIF($CB$4:$JS$4,AI$4,$CB14:$JS14)</f>
        <v/>
      </c>
      <c r="AJ14" s="55">
        <f>SUMIF($CB$4:$JS$4,AJ$4,$CB14:$JS14)</f>
        <v/>
      </c>
      <c r="AK14" s="55">
        <f>SUMIF($CB$4:$JS$4,AK$4,$CB14:$JS14)</f>
        <v/>
      </c>
      <c r="AL14" s="55">
        <f>SUMIF($CB$4:$JS$4,AL$4,$CB14:$JS14)</f>
        <v/>
      </c>
      <c r="AM14" s="55">
        <f>SUMIF($CB$4:$JS$4,AM$4,$CB14:$JS14)</f>
        <v/>
      </c>
      <c r="AN14" s="55">
        <f>SUMIF($CB$4:$JS$4,AN$4,$CB14:$JS14)</f>
        <v/>
      </c>
      <c r="AO14" s="55">
        <f>SUMIF($CB$4:$JS$4,AO$4,$CB14:$JS14)</f>
        <v/>
      </c>
      <c r="AP14" s="55">
        <f>SUMIF($CB$4:$JS$4,AP$4,$CB14:$JS14)</f>
        <v/>
      </c>
      <c r="AQ14" s="55">
        <f>SUMIF($CB$4:$JS$4,AQ$4,$CB14:$JS14)</f>
        <v/>
      </c>
      <c r="AR14" s="55">
        <f>SUMIF($CB$4:$JS$4,AR$4,$CB14:$JS14)</f>
        <v/>
      </c>
      <c r="AS14" s="55">
        <f>SUMIF($CB$4:$JS$4,AS$4,$CB14:$JS14)</f>
        <v/>
      </c>
      <c r="AT14" s="55">
        <f>SUMIF($CB$4:$JS$4,AT$4,$CB14:$JS14)</f>
        <v/>
      </c>
      <c r="AU14" s="55">
        <f>SUMIF($CB$4:$JS$4,AU$4,$CB14:$JS14)</f>
        <v/>
      </c>
      <c r="AV14" s="55">
        <f>SUMIF($CB$4:$JS$4,AV$4,$CB14:$JS14)</f>
        <v/>
      </c>
      <c r="AW14" s="55">
        <f>SUMIF($CB$4:$JS$4,AW$4,$CB14:$JS14)</f>
        <v/>
      </c>
      <c r="AX14" s="55">
        <f>SUMIF($CB$4:$JS$4,AX$4,$CB14:$JS14)</f>
        <v/>
      </c>
      <c r="AY14" s="55">
        <f>SUMIF($CB$4:$JS$4,AY$4,$CB14:$JS14)</f>
        <v/>
      </c>
      <c r="AZ14" s="55">
        <f>SUMIF($CB$4:$JS$4,AZ$4,$CB14:$JS14)</f>
        <v/>
      </c>
      <c r="BA14" s="55">
        <f>SUMIF($CB$4:$JS$4,BA$4,$CB14:$JS14)</f>
        <v/>
      </c>
      <c r="BB14" s="55">
        <f>SUMIF($CB$4:$JS$4,BB$4,$CB14:$JS14)</f>
        <v/>
      </c>
      <c r="BC14" s="55">
        <f>SUMIF($CB$4:$JS$4,BC$4,$CB14:$JS14)</f>
        <v/>
      </c>
      <c r="BD14" s="55">
        <f>SUMIF($CB$4:$JS$4,BD$4,$CB14:$JS14)</f>
        <v/>
      </c>
      <c r="BE14" s="55">
        <f>SUMIF($CB$4:$JS$4,BE$4,$CB14:$JS14)</f>
        <v/>
      </c>
      <c r="BF14" s="55">
        <f>SUMIF($CB$4:$JS$4,BF$4,$CB14:$JS14)</f>
        <v/>
      </c>
      <c r="BG14" s="55">
        <f>SUMIF($CB$4:$JS$4,BG$4,$CB14:$JS14)</f>
        <v/>
      </c>
      <c r="BH14" s="55">
        <f>SUMIF($CB$4:$JS$4,BH$4,$CB14:$JS14)</f>
        <v/>
      </c>
      <c r="BI14" s="55">
        <f>SUMIF($CB$4:$JS$4,BI$4,$CB14:$JS14)</f>
        <v/>
      </c>
      <c r="BJ14" s="55">
        <f>SUMIF($CB$4:$JS$4,BJ$4,$CB14:$JS14)</f>
        <v/>
      </c>
      <c r="BK14" s="55">
        <f>SUMIF($CB$4:$JS$4,BK$4,$CB14:$JS14)</f>
        <v/>
      </c>
      <c r="BL14" s="55">
        <f>SUMIF($CB$4:$JS$4,BL$4,$CB14:$JS14)</f>
        <v/>
      </c>
      <c r="BM14" s="55">
        <f>SUMIF($CB$4:$JS$4,BM$4,$CB14:$JS14)</f>
        <v/>
      </c>
      <c r="BN14" s="55">
        <f>SUMIF($CB$4:$JS$4,BN$4,$CB14:$JS14)</f>
        <v/>
      </c>
      <c r="BO14" s="55">
        <f>SUMIF($CB$4:$JS$4,BO$4,$CB14:$JS14)</f>
        <v/>
      </c>
      <c r="BP14" s="55">
        <f>SUMIF($CB$4:$JS$4,BP$4,$CB14:$JS14)</f>
        <v/>
      </c>
      <c r="BQ14" s="55">
        <f>SUMIF($CB$4:$JS$4,BQ$4,$CB14:$JS14)</f>
        <v/>
      </c>
      <c r="BR14" s="55">
        <f>SUMIF($CB$4:$JS$4,BR$4,$CB14:$JS14)</f>
        <v/>
      </c>
      <c r="BS14" s="55">
        <f>SUMIF($CB$4:$JS$4,BS$4,$CB14:$JS14)</f>
        <v/>
      </c>
      <c r="BT14" s="55">
        <f>SUMIF($CB$4:$JS$4,BT$4,$CB14:$JS14)</f>
        <v/>
      </c>
      <c r="BU14" s="55">
        <f>SUMIF($CB$4:$JS$4,BU$4,$CB14:$JS14)</f>
        <v/>
      </c>
      <c r="BV14" s="55">
        <f>SUMIF($CB$4:$JS$4,BV$4,$CB14:$JS14)</f>
        <v/>
      </c>
      <c r="BW14" s="55">
        <f>SUMIF($CB$4:$JS$4,BW$4,$CB14:$JS14)</f>
        <v/>
      </c>
      <c r="BX14" s="55">
        <f>SUMIF($CB$4:$JS$4,"&gt;"&amp;'VALOR POR PL'!$P$8,$CB14:$JS14)</f>
        <v/>
      </c>
      <c r="BY14" s="55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60" t="inlineStr">
        <is>
          <t>EQUIPAMENTOS E FERRAMENTAS</t>
        </is>
      </c>
      <c r="C15" s="60" t="n"/>
      <c r="D15" s="55">
        <f>SUMIF($CB$4:$JS$4,"&lt;="&amp;D$4,$CB15:$JS15)</f>
        <v/>
      </c>
      <c r="E15" s="55">
        <f>SUMIF($CB$4:$JS$4,E$4,$CB15:$JS15)</f>
        <v/>
      </c>
      <c r="F15" s="55">
        <f>SUMIF($CB$4:$JS$4,F$4,$CB15:$JS15)</f>
        <v/>
      </c>
      <c r="G15" s="55">
        <f>SUMIF($CB$4:$JS$4,G$4,$CB15:$JS15)</f>
        <v/>
      </c>
      <c r="H15" s="55">
        <f>SUMIF($CB$4:$JS$4,H$4,$CB15:$JS15)</f>
        <v/>
      </c>
      <c r="I15" s="55">
        <f>SUMIF($CB$4:$JS$4,I$4,$CB15:$JS15)</f>
        <v/>
      </c>
      <c r="J15" s="55">
        <f>SUMIF($CB$4:$JS$4,J$4,$CB15:$JS15)</f>
        <v/>
      </c>
      <c r="K15" s="55">
        <f>SUMIF($CB$4:$JS$4,K$4,$CB15:$JS15)</f>
        <v/>
      </c>
      <c r="L15" s="55">
        <f>SUMIF($CB$4:$JS$4,L$4,$CB15:$JS15)</f>
        <v/>
      </c>
      <c r="M15" s="55">
        <f>SUMIF($CB$4:$JS$4,M$4,$CB15:$JS15)</f>
        <v/>
      </c>
      <c r="N15" s="55">
        <f>SUMIF($CB$4:$JS$4,N$4,$CB15:$JS15)</f>
        <v/>
      </c>
      <c r="O15" s="55">
        <f>SUMIF($CB$4:$JS$4,O$4,$CB15:$JS15)</f>
        <v/>
      </c>
      <c r="P15" s="55">
        <f>SUMIF($CB$4:$JS$4,P$4,$CB15:$JS15)</f>
        <v/>
      </c>
      <c r="Q15" s="55">
        <f>SUMIF($CB$4:$JS$4,Q$4,$CB15:$JS15)</f>
        <v/>
      </c>
      <c r="R15" s="55">
        <f>SUMIF($CB$4:$JS$4,R$4,$CB15:$JS15)</f>
        <v/>
      </c>
      <c r="S15" s="55">
        <f>SUMIF($CB$4:$JS$4,S$4,$CB15:$JS15)</f>
        <v/>
      </c>
      <c r="T15" s="55">
        <f>SUMIF($CB$4:$JS$4,T$4,$CB15:$JS15)</f>
        <v/>
      </c>
      <c r="U15" s="55">
        <f>SUMIF($CB$4:$JS$4,U$4,$CB15:$JS15)</f>
        <v/>
      </c>
      <c r="V15" s="55">
        <f>SUMIF($CB$4:$JS$4,V$4,$CB15:$JS15)</f>
        <v/>
      </c>
      <c r="W15" s="55">
        <f>SUMIF($CB$4:$JS$4,W$4,$CB15:$JS15)</f>
        <v/>
      </c>
      <c r="X15" s="55">
        <f>SUMIF($CB$4:$JS$4,X$4,$CB15:$JS15)</f>
        <v/>
      </c>
      <c r="Y15" s="55">
        <f>SUMIF($CB$4:$JS$4,Y$4,$CB15:$JS15)</f>
        <v/>
      </c>
      <c r="Z15" s="55">
        <f>SUMIF($CB$4:$JS$4,Z$4,$CB15:$JS15)</f>
        <v/>
      </c>
      <c r="AA15" s="55">
        <f>SUMIF($CB$4:$JS$4,AA$4,$CB15:$JS15)</f>
        <v/>
      </c>
      <c r="AB15" s="55">
        <f>SUMIF($CB$4:$JS$4,AB$4,$CB15:$JS15)</f>
        <v/>
      </c>
      <c r="AC15" s="55">
        <f>SUMIF($CB$4:$JS$4,AC$4,$CB15:$JS15)</f>
        <v/>
      </c>
      <c r="AD15" s="55">
        <f>SUMIF($CB$4:$JS$4,AD$4,$CB15:$JS15)</f>
        <v/>
      </c>
      <c r="AE15" s="55">
        <f>SUMIF($CB$4:$JS$4,AE$4,$CB15:$JS15)</f>
        <v/>
      </c>
      <c r="AF15" s="55">
        <f>SUMIF($CB$4:$JS$4,AF$4,$CB15:$JS15)</f>
        <v/>
      </c>
      <c r="AG15" s="55">
        <f>SUMIF($CB$4:$JS$4,AG$4,$CB15:$JS15)</f>
        <v/>
      </c>
      <c r="AH15" s="55">
        <f>SUMIF($CB$4:$JS$4,AH$4,$CB15:$JS15)</f>
        <v/>
      </c>
      <c r="AI15" s="55">
        <f>SUMIF($CB$4:$JS$4,AI$4,$CB15:$JS15)</f>
        <v/>
      </c>
      <c r="AJ15" s="55">
        <f>SUMIF($CB$4:$JS$4,AJ$4,$CB15:$JS15)</f>
        <v/>
      </c>
      <c r="AK15" s="55">
        <f>SUMIF($CB$4:$JS$4,AK$4,$CB15:$JS15)</f>
        <v/>
      </c>
      <c r="AL15" s="55">
        <f>SUMIF($CB$4:$JS$4,AL$4,$CB15:$JS15)</f>
        <v/>
      </c>
      <c r="AM15" s="55">
        <f>SUMIF($CB$4:$JS$4,AM$4,$CB15:$JS15)</f>
        <v/>
      </c>
      <c r="AN15" s="55">
        <f>SUMIF($CB$4:$JS$4,AN$4,$CB15:$JS15)</f>
        <v/>
      </c>
      <c r="AO15" s="55">
        <f>SUMIF($CB$4:$JS$4,AO$4,$CB15:$JS15)</f>
        <v/>
      </c>
      <c r="AP15" s="55">
        <f>SUMIF($CB$4:$JS$4,AP$4,$CB15:$JS15)</f>
        <v/>
      </c>
      <c r="AQ15" s="55">
        <f>SUMIF($CB$4:$JS$4,AQ$4,$CB15:$JS15)</f>
        <v/>
      </c>
      <c r="AR15" s="55">
        <f>SUMIF($CB$4:$JS$4,AR$4,$CB15:$JS15)</f>
        <v/>
      </c>
      <c r="AS15" s="55">
        <f>SUMIF($CB$4:$JS$4,AS$4,$CB15:$JS15)</f>
        <v/>
      </c>
      <c r="AT15" s="55">
        <f>SUMIF($CB$4:$JS$4,AT$4,$CB15:$JS15)</f>
        <v/>
      </c>
      <c r="AU15" s="55">
        <f>SUMIF($CB$4:$JS$4,AU$4,$CB15:$JS15)</f>
        <v/>
      </c>
      <c r="AV15" s="55">
        <f>SUMIF($CB$4:$JS$4,AV$4,$CB15:$JS15)</f>
        <v/>
      </c>
      <c r="AW15" s="55">
        <f>SUMIF($CB$4:$JS$4,AW$4,$CB15:$JS15)</f>
        <v/>
      </c>
      <c r="AX15" s="55">
        <f>SUMIF($CB$4:$JS$4,AX$4,$CB15:$JS15)</f>
        <v/>
      </c>
      <c r="AY15" s="55">
        <f>SUMIF($CB$4:$JS$4,AY$4,$CB15:$JS15)</f>
        <v/>
      </c>
      <c r="AZ15" s="55">
        <f>SUMIF($CB$4:$JS$4,AZ$4,$CB15:$JS15)</f>
        <v/>
      </c>
      <c r="BA15" s="55">
        <f>SUMIF($CB$4:$JS$4,BA$4,$CB15:$JS15)</f>
        <v/>
      </c>
      <c r="BB15" s="55">
        <f>SUMIF($CB$4:$JS$4,BB$4,$CB15:$JS15)</f>
        <v/>
      </c>
      <c r="BC15" s="55">
        <f>SUMIF($CB$4:$JS$4,BC$4,$CB15:$JS15)</f>
        <v/>
      </c>
      <c r="BD15" s="55">
        <f>SUMIF($CB$4:$JS$4,BD$4,$CB15:$JS15)</f>
        <v/>
      </c>
      <c r="BE15" s="55">
        <f>SUMIF($CB$4:$JS$4,BE$4,$CB15:$JS15)</f>
        <v/>
      </c>
      <c r="BF15" s="55">
        <f>SUMIF($CB$4:$JS$4,BF$4,$CB15:$JS15)</f>
        <v/>
      </c>
      <c r="BG15" s="55">
        <f>SUMIF($CB$4:$JS$4,BG$4,$CB15:$JS15)</f>
        <v/>
      </c>
      <c r="BH15" s="55">
        <f>SUMIF($CB$4:$JS$4,BH$4,$CB15:$JS15)</f>
        <v/>
      </c>
      <c r="BI15" s="55">
        <f>SUMIF($CB$4:$JS$4,BI$4,$CB15:$JS15)</f>
        <v/>
      </c>
      <c r="BJ15" s="55">
        <f>SUMIF($CB$4:$JS$4,BJ$4,$CB15:$JS15)</f>
        <v/>
      </c>
      <c r="BK15" s="55">
        <f>SUMIF($CB$4:$JS$4,BK$4,$CB15:$JS15)</f>
        <v/>
      </c>
      <c r="BL15" s="55">
        <f>SUMIF($CB$4:$JS$4,BL$4,$CB15:$JS15)</f>
        <v/>
      </c>
      <c r="BM15" s="55">
        <f>SUMIF($CB$4:$JS$4,BM$4,$CB15:$JS15)</f>
        <v/>
      </c>
      <c r="BN15" s="55">
        <f>SUMIF($CB$4:$JS$4,BN$4,$CB15:$JS15)</f>
        <v/>
      </c>
      <c r="BO15" s="55">
        <f>SUMIF($CB$4:$JS$4,BO$4,$CB15:$JS15)</f>
        <v/>
      </c>
      <c r="BP15" s="55">
        <f>SUMIF($CB$4:$JS$4,BP$4,$CB15:$JS15)</f>
        <v/>
      </c>
      <c r="BQ15" s="55">
        <f>SUMIF($CB$4:$JS$4,BQ$4,$CB15:$JS15)</f>
        <v/>
      </c>
      <c r="BR15" s="55">
        <f>SUMIF($CB$4:$JS$4,BR$4,$CB15:$JS15)</f>
        <v/>
      </c>
      <c r="BS15" s="55">
        <f>SUMIF($CB$4:$JS$4,BS$4,$CB15:$JS15)</f>
        <v/>
      </c>
      <c r="BT15" s="55">
        <f>SUMIF($CB$4:$JS$4,BT$4,$CB15:$JS15)</f>
        <v/>
      </c>
      <c r="BU15" s="55">
        <f>SUMIF($CB$4:$JS$4,BU$4,$CB15:$JS15)</f>
        <v/>
      </c>
      <c r="BV15" s="55">
        <f>SUMIF($CB$4:$JS$4,BV$4,$CB15:$JS15)</f>
        <v/>
      </c>
      <c r="BW15" s="55">
        <f>SUMIF($CB$4:$JS$4,BW$4,$CB15:$JS15)</f>
        <v/>
      </c>
      <c r="BX15" s="55">
        <f>SUMIF($CB$4:$JS$4,"&gt;"&amp;'VALOR POR PL'!$P$8,$CB15:$JS15)</f>
        <v/>
      </c>
      <c r="BY15" s="55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60" t="inlineStr">
        <is>
          <t>SERVIÇOS INICIAIS</t>
        </is>
      </c>
      <c r="C16" s="60" t="n"/>
      <c r="D16" s="55">
        <f>SUMIF($CB$4:$JS$4,"&lt;="&amp;D$4,$CB16:$JS16)</f>
        <v/>
      </c>
      <c r="E16" s="55">
        <f>SUMIF($CB$4:$JS$4,E$4,$CB16:$JS16)</f>
        <v/>
      </c>
      <c r="F16" s="55">
        <f>SUMIF($CB$4:$JS$4,F$4,$CB16:$JS16)</f>
        <v/>
      </c>
      <c r="G16" s="55">
        <f>SUMIF($CB$4:$JS$4,G$4,$CB16:$JS16)</f>
        <v/>
      </c>
      <c r="H16" s="55">
        <f>SUMIF($CB$4:$JS$4,H$4,$CB16:$JS16)</f>
        <v/>
      </c>
      <c r="I16" s="55">
        <f>SUMIF($CB$4:$JS$4,I$4,$CB16:$JS16)</f>
        <v/>
      </c>
      <c r="J16" s="55">
        <f>SUMIF($CB$4:$JS$4,J$4,$CB16:$JS16)</f>
        <v/>
      </c>
      <c r="K16" s="55">
        <f>SUMIF($CB$4:$JS$4,K$4,$CB16:$JS16)</f>
        <v/>
      </c>
      <c r="L16" s="55">
        <f>SUMIF($CB$4:$JS$4,L$4,$CB16:$JS16)</f>
        <v/>
      </c>
      <c r="M16" s="55">
        <f>SUMIF($CB$4:$JS$4,M$4,$CB16:$JS16)</f>
        <v/>
      </c>
      <c r="N16" s="55">
        <f>SUMIF($CB$4:$JS$4,N$4,$CB16:$JS16)</f>
        <v/>
      </c>
      <c r="O16" s="55">
        <f>SUMIF($CB$4:$JS$4,O$4,$CB16:$JS16)</f>
        <v/>
      </c>
      <c r="P16" s="55">
        <f>SUMIF($CB$4:$JS$4,P$4,$CB16:$JS16)</f>
        <v/>
      </c>
      <c r="Q16" s="55">
        <f>SUMIF($CB$4:$JS$4,Q$4,$CB16:$JS16)</f>
        <v/>
      </c>
      <c r="R16" s="55">
        <f>SUMIF($CB$4:$JS$4,R$4,$CB16:$JS16)</f>
        <v/>
      </c>
      <c r="S16" s="55">
        <f>SUMIF($CB$4:$JS$4,S$4,$CB16:$JS16)</f>
        <v/>
      </c>
      <c r="T16" s="55">
        <f>SUMIF($CB$4:$JS$4,T$4,$CB16:$JS16)</f>
        <v/>
      </c>
      <c r="U16" s="55">
        <f>SUMIF($CB$4:$JS$4,U$4,$CB16:$JS16)</f>
        <v/>
      </c>
      <c r="V16" s="55">
        <f>SUMIF($CB$4:$JS$4,V$4,$CB16:$JS16)</f>
        <v/>
      </c>
      <c r="W16" s="55">
        <f>SUMIF($CB$4:$JS$4,W$4,$CB16:$JS16)</f>
        <v/>
      </c>
      <c r="X16" s="55">
        <f>SUMIF($CB$4:$JS$4,X$4,$CB16:$JS16)</f>
        <v/>
      </c>
      <c r="Y16" s="55">
        <f>SUMIF($CB$4:$JS$4,Y$4,$CB16:$JS16)</f>
        <v/>
      </c>
      <c r="Z16" s="55">
        <f>SUMIF($CB$4:$JS$4,Z$4,$CB16:$JS16)</f>
        <v/>
      </c>
      <c r="AA16" s="55">
        <f>SUMIF($CB$4:$JS$4,AA$4,$CB16:$JS16)</f>
        <v/>
      </c>
      <c r="AB16" s="55">
        <f>SUMIF($CB$4:$JS$4,AB$4,$CB16:$JS16)</f>
        <v/>
      </c>
      <c r="AC16" s="55">
        <f>SUMIF($CB$4:$JS$4,AC$4,$CB16:$JS16)</f>
        <v/>
      </c>
      <c r="AD16" s="55">
        <f>SUMIF($CB$4:$JS$4,AD$4,$CB16:$JS16)</f>
        <v/>
      </c>
      <c r="AE16" s="55">
        <f>SUMIF($CB$4:$JS$4,AE$4,$CB16:$JS16)</f>
        <v/>
      </c>
      <c r="AF16" s="55">
        <f>SUMIF($CB$4:$JS$4,AF$4,$CB16:$JS16)</f>
        <v/>
      </c>
      <c r="AG16" s="55">
        <f>SUMIF($CB$4:$JS$4,AG$4,$CB16:$JS16)</f>
        <v/>
      </c>
      <c r="AH16" s="55">
        <f>SUMIF($CB$4:$JS$4,AH$4,$CB16:$JS16)</f>
        <v/>
      </c>
      <c r="AI16" s="55">
        <f>SUMIF($CB$4:$JS$4,AI$4,$CB16:$JS16)</f>
        <v/>
      </c>
      <c r="AJ16" s="55">
        <f>SUMIF($CB$4:$JS$4,AJ$4,$CB16:$JS16)</f>
        <v/>
      </c>
      <c r="AK16" s="55">
        <f>SUMIF($CB$4:$JS$4,AK$4,$CB16:$JS16)</f>
        <v/>
      </c>
      <c r="AL16" s="55">
        <f>SUMIF($CB$4:$JS$4,AL$4,$CB16:$JS16)</f>
        <v/>
      </c>
      <c r="AM16" s="55">
        <f>SUMIF($CB$4:$JS$4,AM$4,$CB16:$JS16)</f>
        <v/>
      </c>
      <c r="AN16" s="55">
        <f>SUMIF($CB$4:$JS$4,AN$4,$CB16:$JS16)</f>
        <v/>
      </c>
      <c r="AO16" s="55">
        <f>SUMIF($CB$4:$JS$4,AO$4,$CB16:$JS16)</f>
        <v/>
      </c>
      <c r="AP16" s="55">
        <f>SUMIF($CB$4:$JS$4,AP$4,$CB16:$JS16)</f>
        <v/>
      </c>
      <c r="AQ16" s="55">
        <f>SUMIF($CB$4:$JS$4,AQ$4,$CB16:$JS16)</f>
        <v/>
      </c>
      <c r="AR16" s="55">
        <f>SUMIF($CB$4:$JS$4,AR$4,$CB16:$JS16)</f>
        <v/>
      </c>
      <c r="AS16" s="55">
        <f>SUMIF($CB$4:$JS$4,AS$4,$CB16:$JS16)</f>
        <v/>
      </c>
      <c r="AT16" s="55">
        <f>SUMIF($CB$4:$JS$4,AT$4,$CB16:$JS16)</f>
        <v/>
      </c>
      <c r="AU16" s="55">
        <f>SUMIF($CB$4:$JS$4,AU$4,$CB16:$JS16)</f>
        <v/>
      </c>
      <c r="AV16" s="55">
        <f>SUMIF($CB$4:$JS$4,AV$4,$CB16:$JS16)</f>
        <v/>
      </c>
      <c r="AW16" s="55">
        <f>SUMIF($CB$4:$JS$4,AW$4,$CB16:$JS16)</f>
        <v/>
      </c>
      <c r="AX16" s="55">
        <f>SUMIF($CB$4:$JS$4,AX$4,$CB16:$JS16)</f>
        <v/>
      </c>
      <c r="AY16" s="55">
        <f>SUMIF($CB$4:$JS$4,AY$4,$CB16:$JS16)</f>
        <v/>
      </c>
      <c r="AZ16" s="55">
        <f>SUMIF($CB$4:$JS$4,AZ$4,$CB16:$JS16)</f>
        <v/>
      </c>
      <c r="BA16" s="55">
        <f>SUMIF($CB$4:$JS$4,BA$4,$CB16:$JS16)</f>
        <v/>
      </c>
      <c r="BB16" s="55">
        <f>SUMIF($CB$4:$JS$4,BB$4,$CB16:$JS16)</f>
        <v/>
      </c>
      <c r="BC16" s="55">
        <f>SUMIF($CB$4:$JS$4,BC$4,$CB16:$JS16)</f>
        <v/>
      </c>
      <c r="BD16" s="55">
        <f>SUMIF($CB$4:$JS$4,BD$4,$CB16:$JS16)</f>
        <v/>
      </c>
      <c r="BE16" s="55">
        <f>SUMIF($CB$4:$JS$4,BE$4,$CB16:$JS16)</f>
        <v/>
      </c>
      <c r="BF16" s="55">
        <f>SUMIF($CB$4:$JS$4,BF$4,$CB16:$JS16)</f>
        <v/>
      </c>
      <c r="BG16" s="55">
        <f>SUMIF($CB$4:$JS$4,BG$4,$CB16:$JS16)</f>
        <v/>
      </c>
      <c r="BH16" s="55">
        <f>SUMIF($CB$4:$JS$4,BH$4,$CB16:$JS16)</f>
        <v/>
      </c>
      <c r="BI16" s="55">
        <f>SUMIF($CB$4:$JS$4,BI$4,$CB16:$JS16)</f>
        <v/>
      </c>
      <c r="BJ16" s="55">
        <f>SUMIF($CB$4:$JS$4,BJ$4,$CB16:$JS16)</f>
        <v/>
      </c>
      <c r="BK16" s="55">
        <f>SUMIF($CB$4:$JS$4,BK$4,$CB16:$JS16)</f>
        <v/>
      </c>
      <c r="BL16" s="55">
        <f>SUMIF($CB$4:$JS$4,BL$4,$CB16:$JS16)</f>
        <v/>
      </c>
      <c r="BM16" s="55">
        <f>SUMIF($CB$4:$JS$4,BM$4,$CB16:$JS16)</f>
        <v/>
      </c>
      <c r="BN16" s="55">
        <f>SUMIF($CB$4:$JS$4,BN$4,$CB16:$JS16)</f>
        <v/>
      </c>
      <c r="BO16" s="55">
        <f>SUMIF($CB$4:$JS$4,BO$4,$CB16:$JS16)</f>
        <v/>
      </c>
      <c r="BP16" s="55">
        <f>SUMIF($CB$4:$JS$4,BP$4,$CB16:$JS16)</f>
        <v/>
      </c>
      <c r="BQ16" s="55">
        <f>SUMIF($CB$4:$JS$4,BQ$4,$CB16:$JS16)</f>
        <v/>
      </c>
      <c r="BR16" s="55">
        <f>SUMIF($CB$4:$JS$4,BR$4,$CB16:$JS16)</f>
        <v/>
      </c>
      <c r="BS16" s="55">
        <f>SUMIF($CB$4:$JS$4,BS$4,$CB16:$JS16)</f>
        <v/>
      </c>
      <c r="BT16" s="55">
        <f>SUMIF($CB$4:$JS$4,BT$4,$CB16:$JS16)</f>
        <v/>
      </c>
      <c r="BU16" s="55">
        <f>SUMIF($CB$4:$JS$4,BU$4,$CB16:$JS16)</f>
        <v/>
      </c>
      <c r="BV16" s="55">
        <f>SUMIF($CB$4:$JS$4,BV$4,$CB16:$JS16)</f>
        <v/>
      </c>
      <c r="BW16" s="55">
        <f>SUMIF($CB$4:$JS$4,BW$4,$CB16:$JS16)</f>
        <v/>
      </c>
      <c r="BX16" s="55">
        <f>SUMIF($CB$4:$JS$4,"&gt;"&amp;'VALOR POR PL'!$P$8,$CB16:$JS16)</f>
        <v/>
      </c>
      <c r="BY16" s="55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60" t="inlineStr">
        <is>
          <t>CONTENÇÃO</t>
        </is>
      </c>
      <c r="C17" s="60" t="n"/>
      <c r="D17" s="55">
        <f>SUMIF($CB$4:$JS$4,"&lt;="&amp;D$4,$CB17:$JS17)</f>
        <v/>
      </c>
      <c r="E17" s="55">
        <f>SUMIF($CB$4:$JS$4,E$4,$CB17:$JS17)</f>
        <v/>
      </c>
      <c r="F17" s="55">
        <f>SUMIF($CB$4:$JS$4,F$4,$CB17:$JS17)</f>
        <v/>
      </c>
      <c r="G17" s="55">
        <f>SUMIF($CB$4:$JS$4,G$4,$CB17:$JS17)</f>
        <v/>
      </c>
      <c r="H17" s="55">
        <f>SUMIF($CB$4:$JS$4,H$4,$CB17:$JS17)</f>
        <v/>
      </c>
      <c r="I17" s="55">
        <f>SUMIF($CB$4:$JS$4,I$4,$CB17:$JS17)</f>
        <v/>
      </c>
      <c r="J17" s="55">
        <f>SUMIF($CB$4:$JS$4,J$4,$CB17:$JS17)</f>
        <v/>
      </c>
      <c r="K17" s="55">
        <f>SUMIF($CB$4:$JS$4,K$4,$CB17:$JS17)</f>
        <v/>
      </c>
      <c r="L17" s="55">
        <f>SUMIF($CB$4:$JS$4,L$4,$CB17:$JS17)</f>
        <v/>
      </c>
      <c r="M17" s="55">
        <f>SUMIF($CB$4:$JS$4,M$4,$CB17:$JS17)</f>
        <v/>
      </c>
      <c r="N17" s="55">
        <f>SUMIF($CB$4:$JS$4,N$4,$CB17:$JS17)</f>
        <v/>
      </c>
      <c r="O17" s="55">
        <f>SUMIF($CB$4:$JS$4,O$4,$CB17:$JS17)</f>
        <v/>
      </c>
      <c r="P17" s="55">
        <f>SUMIF($CB$4:$JS$4,P$4,$CB17:$JS17)</f>
        <v/>
      </c>
      <c r="Q17" s="55">
        <f>SUMIF($CB$4:$JS$4,Q$4,$CB17:$JS17)</f>
        <v/>
      </c>
      <c r="R17" s="55">
        <f>SUMIF($CB$4:$JS$4,R$4,$CB17:$JS17)</f>
        <v/>
      </c>
      <c r="S17" s="55">
        <f>SUMIF($CB$4:$JS$4,S$4,$CB17:$JS17)</f>
        <v/>
      </c>
      <c r="T17" s="55">
        <f>SUMIF($CB$4:$JS$4,T$4,$CB17:$JS17)</f>
        <v/>
      </c>
      <c r="U17" s="55">
        <f>SUMIF($CB$4:$JS$4,U$4,$CB17:$JS17)</f>
        <v/>
      </c>
      <c r="V17" s="55">
        <f>SUMIF($CB$4:$JS$4,V$4,$CB17:$JS17)</f>
        <v/>
      </c>
      <c r="W17" s="55">
        <f>SUMIF($CB$4:$JS$4,W$4,$CB17:$JS17)</f>
        <v/>
      </c>
      <c r="X17" s="55">
        <f>SUMIF($CB$4:$JS$4,X$4,$CB17:$JS17)</f>
        <v/>
      </c>
      <c r="Y17" s="55">
        <f>SUMIF($CB$4:$JS$4,Y$4,$CB17:$JS17)</f>
        <v/>
      </c>
      <c r="Z17" s="55">
        <f>SUMIF($CB$4:$JS$4,Z$4,$CB17:$JS17)</f>
        <v/>
      </c>
      <c r="AA17" s="55">
        <f>SUMIF($CB$4:$JS$4,AA$4,$CB17:$JS17)</f>
        <v/>
      </c>
      <c r="AB17" s="55">
        <f>SUMIF($CB$4:$JS$4,AB$4,$CB17:$JS17)</f>
        <v/>
      </c>
      <c r="AC17" s="55">
        <f>SUMIF($CB$4:$JS$4,AC$4,$CB17:$JS17)</f>
        <v/>
      </c>
      <c r="AD17" s="55">
        <f>SUMIF($CB$4:$JS$4,AD$4,$CB17:$JS17)</f>
        <v/>
      </c>
      <c r="AE17" s="55">
        <f>SUMIF($CB$4:$JS$4,AE$4,$CB17:$JS17)</f>
        <v/>
      </c>
      <c r="AF17" s="55">
        <f>SUMIF($CB$4:$JS$4,AF$4,$CB17:$JS17)</f>
        <v/>
      </c>
      <c r="AG17" s="55">
        <f>SUMIF($CB$4:$JS$4,AG$4,$CB17:$JS17)</f>
        <v/>
      </c>
      <c r="AH17" s="55">
        <f>SUMIF($CB$4:$JS$4,AH$4,$CB17:$JS17)</f>
        <v/>
      </c>
      <c r="AI17" s="55">
        <f>SUMIF($CB$4:$JS$4,AI$4,$CB17:$JS17)</f>
        <v/>
      </c>
      <c r="AJ17" s="55">
        <f>SUMIF($CB$4:$JS$4,AJ$4,$CB17:$JS17)</f>
        <v/>
      </c>
      <c r="AK17" s="55">
        <f>SUMIF($CB$4:$JS$4,AK$4,$CB17:$JS17)</f>
        <v/>
      </c>
      <c r="AL17" s="55">
        <f>SUMIF($CB$4:$JS$4,AL$4,$CB17:$JS17)</f>
        <v/>
      </c>
      <c r="AM17" s="55">
        <f>SUMIF($CB$4:$JS$4,AM$4,$CB17:$JS17)</f>
        <v/>
      </c>
      <c r="AN17" s="55">
        <f>SUMIF($CB$4:$JS$4,AN$4,$CB17:$JS17)</f>
        <v/>
      </c>
      <c r="AO17" s="55">
        <f>SUMIF($CB$4:$JS$4,AO$4,$CB17:$JS17)</f>
        <v/>
      </c>
      <c r="AP17" s="55">
        <f>SUMIF($CB$4:$JS$4,AP$4,$CB17:$JS17)</f>
        <v/>
      </c>
      <c r="AQ17" s="55">
        <f>SUMIF($CB$4:$JS$4,AQ$4,$CB17:$JS17)</f>
        <v/>
      </c>
      <c r="AR17" s="55">
        <f>SUMIF($CB$4:$JS$4,AR$4,$CB17:$JS17)</f>
        <v/>
      </c>
      <c r="AS17" s="55">
        <f>SUMIF($CB$4:$JS$4,AS$4,$CB17:$JS17)</f>
        <v/>
      </c>
      <c r="AT17" s="55">
        <f>SUMIF($CB$4:$JS$4,AT$4,$CB17:$JS17)</f>
        <v/>
      </c>
      <c r="AU17" s="55">
        <f>SUMIF($CB$4:$JS$4,AU$4,$CB17:$JS17)</f>
        <v/>
      </c>
      <c r="AV17" s="55">
        <f>SUMIF($CB$4:$JS$4,AV$4,$CB17:$JS17)</f>
        <v/>
      </c>
      <c r="AW17" s="55">
        <f>SUMIF($CB$4:$JS$4,AW$4,$CB17:$JS17)</f>
        <v/>
      </c>
      <c r="AX17" s="55">
        <f>SUMIF($CB$4:$JS$4,AX$4,$CB17:$JS17)</f>
        <v/>
      </c>
      <c r="AY17" s="55">
        <f>SUMIF($CB$4:$JS$4,AY$4,$CB17:$JS17)</f>
        <v/>
      </c>
      <c r="AZ17" s="55">
        <f>SUMIF($CB$4:$JS$4,AZ$4,$CB17:$JS17)</f>
        <v/>
      </c>
      <c r="BA17" s="55">
        <f>SUMIF($CB$4:$JS$4,BA$4,$CB17:$JS17)</f>
        <v/>
      </c>
      <c r="BB17" s="55">
        <f>SUMIF($CB$4:$JS$4,BB$4,$CB17:$JS17)</f>
        <v/>
      </c>
      <c r="BC17" s="55">
        <f>SUMIF($CB$4:$JS$4,BC$4,$CB17:$JS17)</f>
        <v/>
      </c>
      <c r="BD17" s="55">
        <f>SUMIF($CB$4:$JS$4,BD$4,$CB17:$JS17)</f>
        <v/>
      </c>
      <c r="BE17" s="55">
        <f>SUMIF($CB$4:$JS$4,BE$4,$CB17:$JS17)</f>
        <v/>
      </c>
      <c r="BF17" s="55">
        <f>SUMIF($CB$4:$JS$4,BF$4,$CB17:$JS17)</f>
        <v/>
      </c>
      <c r="BG17" s="55">
        <f>SUMIF($CB$4:$JS$4,BG$4,$CB17:$JS17)</f>
        <v/>
      </c>
      <c r="BH17" s="55">
        <f>SUMIF($CB$4:$JS$4,BH$4,$CB17:$JS17)</f>
        <v/>
      </c>
      <c r="BI17" s="55">
        <f>SUMIF($CB$4:$JS$4,BI$4,$CB17:$JS17)</f>
        <v/>
      </c>
      <c r="BJ17" s="55">
        <f>SUMIF($CB$4:$JS$4,BJ$4,$CB17:$JS17)</f>
        <v/>
      </c>
      <c r="BK17" s="55">
        <f>SUMIF($CB$4:$JS$4,BK$4,$CB17:$JS17)</f>
        <v/>
      </c>
      <c r="BL17" s="55">
        <f>SUMIF($CB$4:$JS$4,BL$4,$CB17:$JS17)</f>
        <v/>
      </c>
      <c r="BM17" s="55">
        <f>SUMIF($CB$4:$JS$4,BM$4,$CB17:$JS17)</f>
        <v/>
      </c>
      <c r="BN17" s="55">
        <f>SUMIF($CB$4:$JS$4,BN$4,$CB17:$JS17)</f>
        <v/>
      </c>
      <c r="BO17" s="55">
        <f>SUMIF($CB$4:$JS$4,BO$4,$CB17:$JS17)</f>
        <v/>
      </c>
      <c r="BP17" s="55">
        <f>SUMIF($CB$4:$JS$4,BP$4,$CB17:$JS17)</f>
        <v/>
      </c>
      <c r="BQ17" s="55">
        <f>SUMIF($CB$4:$JS$4,BQ$4,$CB17:$JS17)</f>
        <v/>
      </c>
      <c r="BR17" s="55">
        <f>SUMIF($CB$4:$JS$4,BR$4,$CB17:$JS17)</f>
        <v/>
      </c>
      <c r="BS17" s="55">
        <f>SUMIF($CB$4:$JS$4,BS$4,$CB17:$JS17)</f>
        <v/>
      </c>
      <c r="BT17" s="55">
        <f>SUMIF($CB$4:$JS$4,BT$4,$CB17:$JS17)</f>
        <v/>
      </c>
      <c r="BU17" s="55">
        <f>SUMIF($CB$4:$JS$4,BU$4,$CB17:$JS17)</f>
        <v/>
      </c>
      <c r="BV17" s="55">
        <f>SUMIF($CB$4:$JS$4,BV$4,$CB17:$JS17)</f>
        <v/>
      </c>
      <c r="BW17" s="55">
        <f>SUMIF($CB$4:$JS$4,BW$4,$CB17:$JS17)</f>
        <v/>
      </c>
      <c r="BX17" s="55">
        <f>SUMIF($CB$4:$JS$4,"&gt;"&amp;'VALOR POR PL'!$P$8,$CB17:$JS17)</f>
        <v/>
      </c>
      <c r="BY17" s="55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60" t="inlineStr">
        <is>
          <t>TERRAPLENAGEM</t>
        </is>
      </c>
      <c r="C18" s="60" t="n"/>
      <c r="D18" s="55">
        <f>SUMIF($CB$4:$JS$4,"&lt;="&amp;D$4,$CB18:$JS18)</f>
        <v/>
      </c>
      <c r="E18" s="55">
        <f>SUMIF($CB$4:$JS$4,E$4,$CB18:$JS18)</f>
        <v/>
      </c>
      <c r="F18" s="55">
        <f>SUMIF($CB$4:$JS$4,F$4,$CB18:$JS18)</f>
        <v/>
      </c>
      <c r="G18" s="55">
        <f>SUMIF($CB$4:$JS$4,G$4,$CB18:$JS18)</f>
        <v/>
      </c>
      <c r="H18" s="55">
        <f>SUMIF($CB$4:$JS$4,H$4,$CB18:$JS18)</f>
        <v/>
      </c>
      <c r="I18" s="55">
        <f>SUMIF($CB$4:$JS$4,I$4,$CB18:$JS18)</f>
        <v/>
      </c>
      <c r="J18" s="55">
        <f>SUMIF($CB$4:$JS$4,J$4,$CB18:$JS18)</f>
        <v/>
      </c>
      <c r="K18" s="55">
        <f>SUMIF($CB$4:$JS$4,K$4,$CB18:$JS18)</f>
        <v/>
      </c>
      <c r="L18" s="55">
        <f>SUMIF($CB$4:$JS$4,L$4,$CB18:$JS18)</f>
        <v/>
      </c>
      <c r="M18" s="55">
        <f>SUMIF($CB$4:$JS$4,M$4,$CB18:$JS18)</f>
        <v/>
      </c>
      <c r="N18" s="55">
        <f>SUMIF($CB$4:$JS$4,N$4,$CB18:$JS18)</f>
        <v/>
      </c>
      <c r="O18" s="55">
        <f>SUMIF($CB$4:$JS$4,O$4,$CB18:$JS18)</f>
        <v/>
      </c>
      <c r="P18" s="55">
        <f>SUMIF($CB$4:$JS$4,P$4,$CB18:$JS18)</f>
        <v/>
      </c>
      <c r="Q18" s="55">
        <f>SUMIF($CB$4:$JS$4,Q$4,$CB18:$JS18)</f>
        <v/>
      </c>
      <c r="R18" s="55">
        <f>SUMIF($CB$4:$JS$4,R$4,$CB18:$JS18)</f>
        <v/>
      </c>
      <c r="S18" s="55">
        <f>SUMIF($CB$4:$JS$4,S$4,$CB18:$JS18)</f>
        <v/>
      </c>
      <c r="T18" s="55">
        <f>SUMIF($CB$4:$JS$4,T$4,$CB18:$JS18)</f>
        <v/>
      </c>
      <c r="U18" s="55">
        <f>SUMIF($CB$4:$JS$4,U$4,$CB18:$JS18)</f>
        <v/>
      </c>
      <c r="V18" s="55">
        <f>SUMIF($CB$4:$JS$4,V$4,$CB18:$JS18)</f>
        <v/>
      </c>
      <c r="W18" s="55">
        <f>SUMIF($CB$4:$JS$4,W$4,$CB18:$JS18)</f>
        <v/>
      </c>
      <c r="X18" s="55">
        <f>SUMIF($CB$4:$JS$4,X$4,$CB18:$JS18)</f>
        <v/>
      </c>
      <c r="Y18" s="55">
        <f>SUMIF($CB$4:$JS$4,Y$4,$CB18:$JS18)</f>
        <v/>
      </c>
      <c r="Z18" s="55">
        <f>SUMIF($CB$4:$JS$4,Z$4,$CB18:$JS18)</f>
        <v/>
      </c>
      <c r="AA18" s="55">
        <f>SUMIF($CB$4:$JS$4,AA$4,$CB18:$JS18)</f>
        <v/>
      </c>
      <c r="AB18" s="55">
        <f>SUMIF($CB$4:$JS$4,AB$4,$CB18:$JS18)</f>
        <v/>
      </c>
      <c r="AC18" s="55">
        <f>SUMIF($CB$4:$JS$4,AC$4,$CB18:$JS18)</f>
        <v/>
      </c>
      <c r="AD18" s="55">
        <f>SUMIF($CB$4:$JS$4,AD$4,$CB18:$JS18)</f>
        <v/>
      </c>
      <c r="AE18" s="55">
        <f>SUMIF($CB$4:$JS$4,AE$4,$CB18:$JS18)</f>
        <v/>
      </c>
      <c r="AF18" s="55">
        <f>SUMIF($CB$4:$JS$4,AF$4,$CB18:$JS18)</f>
        <v/>
      </c>
      <c r="AG18" s="55">
        <f>SUMIF($CB$4:$JS$4,AG$4,$CB18:$JS18)</f>
        <v/>
      </c>
      <c r="AH18" s="55">
        <f>SUMIF($CB$4:$JS$4,AH$4,$CB18:$JS18)</f>
        <v/>
      </c>
      <c r="AI18" s="55">
        <f>SUMIF($CB$4:$JS$4,AI$4,$CB18:$JS18)</f>
        <v/>
      </c>
      <c r="AJ18" s="55">
        <f>SUMIF($CB$4:$JS$4,AJ$4,$CB18:$JS18)</f>
        <v/>
      </c>
      <c r="AK18" s="55">
        <f>SUMIF($CB$4:$JS$4,AK$4,$CB18:$JS18)</f>
        <v/>
      </c>
      <c r="AL18" s="55">
        <f>SUMIF($CB$4:$JS$4,AL$4,$CB18:$JS18)</f>
        <v/>
      </c>
      <c r="AM18" s="55">
        <f>SUMIF($CB$4:$JS$4,AM$4,$CB18:$JS18)</f>
        <v/>
      </c>
      <c r="AN18" s="55">
        <f>SUMIF($CB$4:$JS$4,AN$4,$CB18:$JS18)</f>
        <v/>
      </c>
      <c r="AO18" s="55">
        <f>SUMIF($CB$4:$JS$4,AO$4,$CB18:$JS18)</f>
        <v/>
      </c>
      <c r="AP18" s="55">
        <f>SUMIF($CB$4:$JS$4,AP$4,$CB18:$JS18)</f>
        <v/>
      </c>
      <c r="AQ18" s="55">
        <f>SUMIF($CB$4:$JS$4,AQ$4,$CB18:$JS18)</f>
        <v/>
      </c>
      <c r="AR18" s="55">
        <f>SUMIF($CB$4:$JS$4,AR$4,$CB18:$JS18)</f>
        <v/>
      </c>
      <c r="AS18" s="55">
        <f>SUMIF($CB$4:$JS$4,AS$4,$CB18:$JS18)</f>
        <v/>
      </c>
      <c r="AT18" s="55">
        <f>SUMIF($CB$4:$JS$4,AT$4,$CB18:$JS18)</f>
        <v/>
      </c>
      <c r="AU18" s="55">
        <f>SUMIF($CB$4:$JS$4,AU$4,$CB18:$JS18)</f>
        <v/>
      </c>
      <c r="AV18" s="55">
        <f>SUMIF($CB$4:$JS$4,AV$4,$CB18:$JS18)</f>
        <v/>
      </c>
      <c r="AW18" s="55">
        <f>SUMIF($CB$4:$JS$4,AW$4,$CB18:$JS18)</f>
        <v/>
      </c>
      <c r="AX18" s="55">
        <f>SUMIF($CB$4:$JS$4,AX$4,$CB18:$JS18)</f>
        <v/>
      </c>
      <c r="AY18" s="55">
        <f>SUMIF($CB$4:$JS$4,AY$4,$CB18:$JS18)</f>
        <v/>
      </c>
      <c r="AZ18" s="55">
        <f>SUMIF($CB$4:$JS$4,AZ$4,$CB18:$JS18)</f>
        <v/>
      </c>
      <c r="BA18" s="55">
        <f>SUMIF($CB$4:$JS$4,BA$4,$CB18:$JS18)</f>
        <v/>
      </c>
      <c r="BB18" s="55">
        <f>SUMIF($CB$4:$JS$4,BB$4,$CB18:$JS18)</f>
        <v/>
      </c>
      <c r="BC18" s="55">
        <f>SUMIF($CB$4:$JS$4,BC$4,$CB18:$JS18)</f>
        <v/>
      </c>
      <c r="BD18" s="55">
        <f>SUMIF($CB$4:$JS$4,BD$4,$CB18:$JS18)</f>
        <v/>
      </c>
      <c r="BE18" s="55">
        <f>SUMIF($CB$4:$JS$4,BE$4,$CB18:$JS18)</f>
        <v/>
      </c>
      <c r="BF18" s="55">
        <f>SUMIF($CB$4:$JS$4,BF$4,$CB18:$JS18)</f>
        <v/>
      </c>
      <c r="BG18" s="55">
        <f>SUMIF($CB$4:$JS$4,BG$4,$CB18:$JS18)</f>
        <v/>
      </c>
      <c r="BH18" s="55">
        <f>SUMIF($CB$4:$JS$4,BH$4,$CB18:$JS18)</f>
        <v/>
      </c>
      <c r="BI18" s="55">
        <f>SUMIF($CB$4:$JS$4,BI$4,$CB18:$JS18)</f>
        <v/>
      </c>
      <c r="BJ18" s="55">
        <f>SUMIF($CB$4:$JS$4,BJ$4,$CB18:$JS18)</f>
        <v/>
      </c>
      <c r="BK18" s="55">
        <f>SUMIF($CB$4:$JS$4,BK$4,$CB18:$JS18)</f>
        <v/>
      </c>
      <c r="BL18" s="55">
        <f>SUMIF($CB$4:$JS$4,BL$4,$CB18:$JS18)</f>
        <v/>
      </c>
      <c r="BM18" s="55">
        <f>SUMIF($CB$4:$JS$4,BM$4,$CB18:$JS18)</f>
        <v/>
      </c>
      <c r="BN18" s="55">
        <f>SUMIF($CB$4:$JS$4,BN$4,$CB18:$JS18)</f>
        <v/>
      </c>
      <c r="BO18" s="55">
        <f>SUMIF($CB$4:$JS$4,BO$4,$CB18:$JS18)</f>
        <v/>
      </c>
      <c r="BP18" s="55">
        <f>SUMIF($CB$4:$JS$4,BP$4,$CB18:$JS18)</f>
        <v/>
      </c>
      <c r="BQ18" s="55">
        <f>SUMIF($CB$4:$JS$4,BQ$4,$CB18:$JS18)</f>
        <v/>
      </c>
      <c r="BR18" s="55">
        <f>SUMIF($CB$4:$JS$4,BR$4,$CB18:$JS18)</f>
        <v/>
      </c>
      <c r="BS18" s="55">
        <f>SUMIF($CB$4:$JS$4,BS$4,$CB18:$JS18)</f>
        <v/>
      </c>
      <c r="BT18" s="55">
        <f>SUMIF($CB$4:$JS$4,BT$4,$CB18:$JS18)</f>
        <v/>
      </c>
      <c r="BU18" s="55">
        <f>SUMIF($CB$4:$JS$4,BU$4,$CB18:$JS18)</f>
        <v/>
      </c>
      <c r="BV18" s="55">
        <f>SUMIF($CB$4:$JS$4,BV$4,$CB18:$JS18)</f>
        <v/>
      </c>
      <c r="BW18" s="55">
        <f>SUMIF($CB$4:$JS$4,BW$4,$CB18:$JS18)</f>
        <v/>
      </c>
      <c r="BX18" s="55">
        <f>SUMIF($CB$4:$JS$4,"&gt;"&amp;'VALOR POR PL'!$P$8,$CB18:$JS18)</f>
        <v/>
      </c>
      <c r="BY18" s="55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60" t="inlineStr">
        <is>
          <t>FUNDAÇÃO PROFUNDA</t>
        </is>
      </c>
      <c r="C19" s="60" t="n"/>
      <c r="D19" s="55">
        <f>SUMIF($CB$4:$JS$4,"&lt;="&amp;D$4,$CB19:$JS19)</f>
        <v/>
      </c>
      <c r="E19" s="55">
        <f>SUMIF($CB$4:$JS$4,E$4,$CB19:$JS19)</f>
        <v/>
      </c>
      <c r="F19" s="55">
        <f>SUMIF($CB$4:$JS$4,F$4,$CB19:$JS19)</f>
        <v/>
      </c>
      <c r="G19" s="55">
        <f>SUMIF($CB$4:$JS$4,G$4,$CB19:$JS19)</f>
        <v/>
      </c>
      <c r="H19" s="55">
        <f>SUMIF($CB$4:$JS$4,H$4,$CB19:$JS19)</f>
        <v/>
      </c>
      <c r="I19" s="55">
        <f>SUMIF($CB$4:$JS$4,I$4,$CB19:$JS19)</f>
        <v/>
      </c>
      <c r="J19" s="55">
        <f>SUMIF($CB$4:$JS$4,J$4,$CB19:$JS19)</f>
        <v/>
      </c>
      <c r="K19" s="55">
        <f>SUMIF($CB$4:$JS$4,K$4,$CB19:$JS19)</f>
        <v/>
      </c>
      <c r="L19" s="55">
        <f>SUMIF($CB$4:$JS$4,L$4,$CB19:$JS19)</f>
        <v/>
      </c>
      <c r="M19" s="55">
        <f>SUMIF($CB$4:$JS$4,M$4,$CB19:$JS19)</f>
        <v/>
      </c>
      <c r="N19" s="55">
        <f>SUMIF($CB$4:$JS$4,N$4,$CB19:$JS19)</f>
        <v/>
      </c>
      <c r="O19" s="55">
        <f>SUMIF($CB$4:$JS$4,O$4,$CB19:$JS19)</f>
        <v/>
      </c>
      <c r="P19" s="55">
        <f>SUMIF($CB$4:$JS$4,P$4,$CB19:$JS19)</f>
        <v/>
      </c>
      <c r="Q19" s="55">
        <f>SUMIF($CB$4:$JS$4,Q$4,$CB19:$JS19)</f>
        <v/>
      </c>
      <c r="R19" s="55">
        <f>SUMIF($CB$4:$JS$4,R$4,$CB19:$JS19)</f>
        <v/>
      </c>
      <c r="S19" s="55">
        <f>SUMIF($CB$4:$JS$4,S$4,$CB19:$JS19)</f>
        <v/>
      </c>
      <c r="T19" s="55">
        <f>SUMIF($CB$4:$JS$4,T$4,$CB19:$JS19)</f>
        <v/>
      </c>
      <c r="U19" s="55">
        <f>SUMIF($CB$4:$JS$4,U$4,$CB19:$JS19)</f>
        <v/>
      </c>
      <c r="V19" s="55">
        <f>SUMIF($CB$4:$JS$4,V$4,$CB19:$JS19)</f>
        <v/>
      </c>
      <c r="W19" s="55">
        <f>SUMIF($CB$4:$JS$4,W$4,$CB19:$JS19)</f>
        <v/>
      </c>
      <c r="X19" s="55">
        <f>SUMIF($CB$4:$JS$4,X$4,$CB19:$JS19)</f>
        <v/>
      </c>
      <c r="Y19" s="55">
        <f>SUMIF($CB$4:$JS$4,Y$4,$CB19:$JS19)</f>
        <v/>
      </c>
      <c r="Z19" s="55">
        <f>SUMIF($CB$4:$JS$4,Z$4,$CB19:$JS19)</f>
        <v/>
      </c>
      <c r="AA19" s="55">
        <f>SUMIF($CB$4:$JS$4,AA$4,$CB19:$JS19)</f>
        <v/>
      </c>
      <c r="AB19" s="55">
        <f>SUMIF($CB$4:$JS$4,AB$4,$CB19:$JS19)</f>
        <v/>
      </c>
      <c r="AC19" s="55">
        <f>SUMIF($CB$4:$JS$4,AC$4,$CB19:$JS19)</f>
        <v/>
      </c>
      <c r="AD19" s="55">
        <f>SUMIF($CB$4:$JS$4,AD$4,$CB19:$JS19)</f>
        <v/>
      </c>
      <c r="AE19" s="55">
        <f>SUMIF($CB$4:$JS$4,AE$4,$CB19:$JS19)</f>
        <v/>
      </c>
      <c r="AF19" s="55">
        <f>SUMIF($CB$4:$JS$4,AF$4,$CB19:$JS19)</f>
        <v/>
      </c>
      <c r="AG19" s="55">
        <f>SUMIF($CB$4:$JS$4,AG$4,$CB19:$JS19)</f>
        <v/>
      </c>
      <c r="AH19" s="55">
        <f>SUMIF($CB$4:$JS$4,AH$4,$CB19:$JS19)</f>
        <v/>
      </c>
      <c r="AI19" s="55">
        <f>SUMIF($CB$4:$JS$4,AI$4,$CB19:$JS19)</f>
        <v/>
      </c>
      <c r="AJ19" s="55">
        <f>SUMIF($CB$4:$JS$4,AJ$4,$CB19:$JS19)</f>
        <v/>
      </c>
      <c r="AK19" s="55">
        <f>SUMIF($CB$4:$JS$4,AK$4,$CB19:$JS19)</f>
        <v/>
      </c>
      <c r="AL19" s="55">
        <f>SUMIF($CB$4:$JS$4,AL$4,$CB19:$JS19)</f>
        <v/>
      </c>
      <c r="AM19" s="55">
        <f>SUMIF($CB$4:$JS$4,AM$4,$CB19:$JS19)</f>
        <v/>
      </c>
      <c r="AN19" s="55">
        <f>SUMIF($CB$4:$JS$4,AN$4,$CB19:$JS19)</f>
        <v/>
      </c>
      <c r="AO19" s="55">
        <f>SUMIF($CB$4:$JS$4,AO$4,$CB19:$JS19)</f>
        <v/>
      </c>
      <c r="AP19" s="55">
        <f>SUMIF($CB$4:$JS$4,AP$4,$CB19:$JS19)</f>
        <v/>
      </c>
      <c r="AQ19" s="55">
        <f>SUMIF($CB$4:$JS$4,AQ$4,$CB19:$JS19)</f>
        <v/>
      </c>
      <c r="AR19" s="55">
        <f>SUMIF($CB$4:$JS$4,AR$4,$CB19:$JS19)</f>
        <v/>
      </c>
      <c r="AS19" s="55">
        <f>SUMIF($CB$4:$JS$4,AS$4,$CB19:$JS19)</f>
        <v/>
      </c>
      <c r="AT19" s="55">
        <f>SUMIF($CB$4:$JS$4,AT$4,$CB19:$JS19)</f>
        <v/>
      </c>
      <c r="AU19" s="55">
        <f>SUMIF($CB$4:$JS$4,AU$4,$CB19:$JS19)</f>
        <v/>
      </c>
      <c r="AV19" s="55">
        <f>SUMIF($CB$4:$JS$4,AV$4,$CB19:$JS19)</f>
        <v/>
      </c>
      <c r="AW19" s="55">
        <f>SUMIF($CB$4:$JS$4,AW$4,$CB19:$JS19)</f>
        <v/>
      </c>
      <c r="AX19" s="55">
        <f>SUMIF($CB$4:$JS$4,AX$4,$CB19:$JS19)</f>
        <v/>
      </c>
      <c r="AY19" s="55">
        <f>SUMIF($CB$4:$JS$4,AY$4,$CB19:$JS19)</f>
        <v/>
      </c>
      <c r="AZ19" s="55">
        <f>SUMIF($CB$4:$JS$4,AZ$4,$CB19:$JS19)</f>
        <v/>
      </c>
      <c r="BA19" s="55">
        <f>SUMIF($CB$4:$JS$4,BA$4,$CB19:$JS19)</f>
        <v/>
      </c>
      <c r="BB19" s="55">
        <f>SUMIF($CB$4:$JS$4,BB$4,$CB19:$JS19)</f>
        <v/>
      </c>
      <c r="BC19" s="55">
        <f>SUMIF($CB$4:$JS$4,BC$4,$CB19:$JS19)</f>
        <v/>
      </c>
      <c r="BD19" s="55">
        <f>SUMIF($CB$4:$JS$4,BD$4,$CB19:$JS19)</f>
        <v/>
      </c>
      <c r="BE19" s="55">
        <f>SUMIF($CB$4:$JS$4,BE$4,$CB19:$JS19)</f>
        <v/>
      </c>
      <c r="BF19" s="55">
        <f>SUMIF($CB$4:$JS$4,BF$4,$CB19:$JS19)</f>
        <v/>
      </c>
      <c r="BG19" s="55">
        <f>SUMIF($CB$4:$JS$4,BG$4,$CB19:$JS19)</f>
        <v/>
      </c>
      <c r="BH19" s="55">
        <f>SUMIF($CB$4:$JS$4,BH$4,$CB19:$JS19)</f>
        <v/>
      </c>
      <c r="BI19" s="55">
        <f>SUMIF($CB$4:$JS$4,BI$4,$CB19:$JS19)</f>
        <v/>
      </c>
      <c r="BJ19" s="55">
        <f>SUMIF($CB$4:$JS$4,BJ$4,$CB19:$JS19)</f>
        <v/>
      </c>
      <c r="BK19" s="55">
        <f>SUMIF($CB$4:$JS$4,BK$4,$CB19:$JS19)</f>
        <v/>
      </c>
      <c r="BL19" s="55">
        <f>SUMIF($CB$4:$JS$4,BL$4,$CB19:$JS19)</f>
        <v/>
      </c>
      <c r="BM19" s="55">
        <f>SUMIF($CB$4:$JS$4,BM$4,$CB19:$JS19)</f>
        <v/>
      </c>
      <c r="BN19" s="55">
        <f>SUMIF($CB$4:$JS$4,BN$4,$CB19:$JS19)</f>
        <v/>
      </c>
      <c r="BO19" s="55">
        <f>SUMIF($CB$4:$JS$4,BO$4,$CB19:$JS19)</f>
        <v/>
      </c>
      <c r="BP19" s="55">
        <f>SUMIF($CB$4:$JS$4,BP$4,$CB19:$JS19)</f>
        <v/>
      </c>
      <c r="BQ19" s="55">
        <f>SUMIF($CB$4:$JS$4,BQ$4,$CB19:$JS19)</f>
        <v/>
      </c>
      <c r="BR19" s="55">
        <f>SUMIF($CB$4:$JS$4,BR$4,$CB19:$JS19)</f>
        <v/>
      </c>
      <c r="BS19" s="55">
        <f>SUMIF($CB$4:$JS$4,BS$4,$CB19:$JS19)</f>
        <v/>
      </c>
      <c r="BT19" s="55">
        <f>SUMIF($CB$4:$JS$4,BT$4,$CB19:$JS19)</f>
        <v/>
      </c>
      <c r="BU19" s="55">
        <f>SUMIF($CB$4:$JS$4,BU$4,$CB19:$JS19)</f>
        <v/>
      </c>
      <c r="BV19" s="55">
        <f>SUMIF($CB$4:$JS$4,BV$4,$CB19:$JS19)</f>
        <v/>
      </c>
      <c r="BW19" s="55">
        <f>SUMIF($CB$4:$JS$4,BW$4,$CB19:$JS19)</f>
        <v/>
      </c>
      <c r="BX19" s="55">
        <f>SUMIF($CB$4:$JS$4,"&gt;"&amp;'VALOR POR PL'!$P$8,$CB19:$JS19)</f>
        <v/>
      </c>
      <c r="BY19" s="55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60" t="inlineStr">
        <is>
          <t>FUNDAÇÃO SUPERFICIAL</t>
        </is>
      </c>
      <c r="C20" s="60" t="n"/>
      <c r="D20" s="55">
        <f>SUMIF($CB$4:$JS$4,"&lt;="&amp;D$4,$CB20:$JS20)</f>
        <v/>
      </c>
      <c r="E20" s="55">
        <f>SUMIF($CB$4:$JS$4,E$4,$CB20:$JS20)</f>
        <v/>
      </c>
      <c r="F20" s="55">
        <f>SUMIF($CB$4:$JS$4,F$4,$CB20:$JS20)</f>
        <v/>
      </c>
      <c r="G20" s="55">
        <f>SUMIF($CB$4:$JS$4,G$4,$CB20:$JS20)</f>
        <v/>
      </c>
      <c r="H20" s="55">
        <f>SUMIF($CB$4:$JS$4,H$4,$CB20:$JS20)</f>
        <v/>
      </c>
      <c r="I20" s="55">
        <f>SUMIF($CB$4:$JS$4,I$4,$CB20:$JS20)</f>
        <v/>
      </c>
      <c r="J20" s="55">
        <f>SUMIF($CB$4:$JS$4,J$4,$CB20:$JS20)</f>
        <v/>
      </c>
      <c r="K20" s="55">
        <f>SUMIF($CB$4:$JS$4,K$4,$CB20:$JS20)</f>
        <v/>
      </c>
      <c r="L20" s="55">
        <f>SUMIF($CB$4:$JS$4,L$4,$CB20:$JS20)</f>
        <v/>
      </c>
      <c r="M20" s="55">
        <f>SUMIF($CB$4:$JS$4,M$4,$CB20:$JS20)</f>
        <v/>
      </c>
      <c r="N20" s="55">
        <f>SUMIF($CB$4:$JS$4,N$4,$CB20:$JS20)</f>
        <v/>
      </c>
      <c r="O20" s="55">
        <f>SUMIF($CB$4:$JS$4,O$4,$CB20:$JS20)</f>
        <v/>
      </c>
      <c r="P20" s="55">
        <f>SUMIF($CB$4:$JS$4,P$4,$CB20:$JS20)</f>
        <v/>
      </c>
      <c r="Q20" s="55">
        <f>SUMIF($CB$4:$JS$4,Q$4,$CB20:$JS20)</f>
        <v/>
      </c>
      <c r="R20" s="55">
        <f>SUMIF($CB$4:$JS$4,R$4,$CB20:$JS20)</f>
        <v/>
      </c>
      <c r="S20" s="55">
        <f>SUMIF($CB$4:$JS$4,S$4,$CB20:$JS20)</f>
        <v/>
      </c>
      <c r="T20" s="55">
        <f>SUMIF($CB$4:$JS$4,T$4,$CB20:$JS20)</f>
        <v/>
      </c>
      <c r="U20" s="55">
        <f>SUMIF($CB$4:$JS$4,U$4,$CB20:$JS20)</f>
        <v/>
      </c>
      <c r="V20" s="55">
        <f>SUMIF($CB$4:$JS$4,V$4,$CB20:$JS20)</f>
        <v/>
      </c>
      <c r="W20" s="55">
        <f>SUMIF($CB$4:$JS$4,W$4,$CB20:$JS20)</f>
        <v/>
      </c>
      <c r="X20" s="55">
        <f>SUMIF($CB$4:$JS$4,X$4,$CB20:$JS20)</f>
        <v/>
      </c>
      <c r="Y20" s="55">
        <f>SUMIF($CB$4:$JS$4,Y$4,$CB20:$JS20)</f>
        <v/>
      </c>
      <c r="Z20" s="55">
        <f>SUMIF($CB$4:$JS$4,Z$4,$CB20:$JS20)</f>
        <v/>
      </c>
      <c r="AA20" s="55">
        <f>SUMIF($CB$4:$JS$4,AA$4,$CB20:$JS20)</f>
        <v/>
      </c>
      <c r="AB20" s="55">
        <f>SUMIF($CB$4:$JS$4,AB$4,$CB20:$JS20)</f>
        <v/>
      </c>
      <c r="AC20" s="55">
        <f>SUMIF($CB$4:$JS$4,AC$4,$CB20:$JS20)</f>
        <v/>
      </c>
      <c r="AD20" s="55">
        <f>SUMIF($CB$4:$JS$4,AD$4,$CB20:$JS20)</f>
        <v/>
      </c>
      <c r="AE20" s="55">
        <f>SUMIF($CB$4:$JS$4,AE$4,$CB20:$JS20)</f>
        <v/>
      </c>
      <c r="AF20" s="55">
        <f>SUMIF($CB$4:$JS$4,AF$4,$CB20:$JS20)</f>
        <v/>
      </c>
      <c r="AG20" s="55">
        <f>SUMIF($CB$4:$JS$4,AG$4,$CB20:$JS20)</f>
        <v/>
      </c>
      <c r="AH20" s="55">
        <f>SUMIF($CB$4:$JS$4,AH$4,$CB20:$JS20)</f>
        <v/>
      </c>
      <c r="AI20" s="55">
        <f>SUMIF($CB$4:$JS$4,AI$4,$CB20:$JS20)</f>
        <v/>
      </c>
      <c r="AJ20" s="55">
        <f>SUMIF($CB$4:$JS$4,AJ$4,$CB20:$JS20)</f>
        <v/>
      </c>
      <c r="AK20" s="55">
        <f>SUMIF($CB$4:$JS$4,AK$4,$CB20:$JS20)</f>
        <v/>
      </c>
      <c r="AL20" s="55">
        <f>SUMIF($CB$4:$JS$4,AL$4,$CB20:$JS20)</f>
        <v/>
      </c>
      <c r="AM20" s="55">
        <f>SUMIF($CB$4:$JS$4,AM$4,$CB20:$JS20)</f>
        <v/>
      </c>
      <c r="AN20" s="55">
        <f>SUMIF($CB$4:$JS$4,AN$4,$CB20:$JS20)</f>
        <v/>
      </c>
      <c r="AO20" s="55">
        <f>SUMIF($CB$4:$JS$4,AO$4,$CB20:$JS20)</f>
        <v/>
      </c>
      <c r="AP20" s="55">
        <f>SUMIF($CB$4:$JS$4,AP$4,$CB20:$JS20)</f>
        <v/>
      </c>
      <c r="AQ20" s="55">
        <f>SUMIF($CB$4:$JS$4,AQ$4,$CB20:$JS20)</f>
        <v/>
      </c>
      <c r="AR20" s="55">
        <f>SUMIF($CB$4:$JS$4,AR$4,$CB20:$JS20)</f>
        <v/>
      </c>
      <c r="AS20" s="55">
        <f>SUMIF($CB$4:$JS$4,AS$4,$CB20:$JS20)</f>
        <v/>
      </c>
      <c r="AT20" s="55">
        <f>SUMIF($CB$4:$JS$4,AT$4,$CB20:$JS20)</f>
        <v/>
      </c>
      <c r="AU20" s="55">
        <f>SUMIF($CB$4:$JS$4,AU$4,$CB20:$JS20)</f>
        <v/>
      </c>
      <c r="AV20" s="55">
        <f>SUMIF($CB$4:$JS$4,AV$4,$CB20:$JS20)</f>
        <v/>
      </c>
      <c r="AW20" s="55">
        <f>SUMIF($CB$4:$JS$4,AW$4,$CB20:$JS20)</f>
        <v/>
      </c>
      <c r="AX20" s="55">
        <f>SUMIF($CB$4:$JS$4,AX$4,$CB20:$JS20)</f>
        <v/>
      </c>
      <c r="AY20" s="55">
        <f>SUMIF($CB$4:$JS$4,AY$4,$CB20:$JS20)</f>
        <v/>
      </c>
      <c r="AZ20" s="55">
        <f>SUMIF($CB$4:$JS$4,AZ$4,$CB20:$JS20)</f>
        <v/>
      </c>
      <c r="BA20" s="55">
        <f>SUMIF($CB$4:$JS$4,BA$4,$CB20:$JS20)</f>
        <v/>
      </c>
      <c r="BB20" s="55">
        <f>SUMIF($CB$4:$JS$4,BB$4,$CB20:$JS20)</f>
        <v/>
      </c>
      <c r="BC20" s="55">
        <f>SUMIF($CB$4:$JS$4,BC$4,$CB20:$JS20)</f>
        <v/>
      </c>
      <c r="BD20" s="55">
        <f>SUMIF($CB$4:$JS$4,BD$4,$CB20:$JS20)</f>
        <v/>
      </c>
      <c r="BE20" s="55">
        <f>SUMIF($CB$4:$JS$4,BE$4,$CB20:$JS20)</f>
        <v/>
      </c>
      <c r="BF20" s="55">
        <f>SUMIF($CB$4:$JS$4,BF$4,$CB20:$JS20)</f>
        <v/>
      </c>
      <c r="BG20" s="55">
        <f>SUMIF($CB$4:$JS$4,BG$4,$CB20:$JS20)</f>
        <v/>
      </c>
      <c r="BH20" s="55">
        <f>SUMIF($CB$4:$JS$4,BH$4,$CB20:$JS20)</f>
        <v/>
      </c>
      <c r="BI20" s="55">
        <f>SUMIF($CB$4:$JS$4,BI$4,$CB20:$JS20)</f>
        <v/>
      </c>
      <c r="BJ20" s="55">
        <f>SUMIF($CB$4:$JS$4,BJ$4,$CB20:$JS20)</f>
        <v/>
      </c>
      <c r="BK20" s="55">
        <f>SUMIF($CB$4:$JS$4,BK$4,$CB20:$JS20)</f>
        <v/>
      </c>
      <c r="BL20" s="55">
        <f>SUMIF($CB$4:$JS$4,BL$4,$CB20:$JS20)</f>
        <v/>
      </c>
      <c r="BM20" s="55">
        <f>SUMIF($CB$4:$JS$4,BM$4,$CB20:$JS20)</f>
        <v/>
      </c>
      <c r="BN20" s="55">
        <f>SUMIF($CB$4:$JS$4,BN$4,$CB20:$JS20)</f>
        <v/>
      </c>
      <c r="BO20" s="55">
        <f>SUMIF($CB$4:$JS$4,BO$4,$CB20:$JS20)</f>
        <v/>
      </c>
      <c r="BP20" s="55">
        <f>SUMIF($CB$4:$JS$4,BP$4,$CB20:$JS20)</f>
        <v/>
      </c>
      <c r="BQ20" s="55">
        <f>SUMIF($CB$4:$JS$4,BQ$4,$CB20:$JS20)</f>
        <v/>
      </c>
      <c r="BR20" s="55">
        <f>SUMIF($CB$4:$JS$4,BR$4,$CB20:$JS20)</f>
        <v/>
      </c>
      <c r="BS20" s="55">
        <f>SUMIF($CB$4:$JS$4,BS$4,$CB20:$JS20)</f>
        <v/>
      </c>
      <c r="BT20" s="55">
        <f>SUMIF($CB$4:$JS$4,BT$4,$CB20:$JS20)</f>
        <v/>
      </c>
      <c r="BU20" s="55">
        <f>SUMIF($CB$4:$JS$4,BU$4,$CB20:$JS20)</f>
        <v/>
      </c>
      <c r="BV20" s="55">
        <f>SUMIF($CB$4:$JS$4,BV$4,$CB20:$JS20)</f>
        <v/>
      </c>
      <c r="BW20" s="55">
        <f>SUMIF($CB$4:$JS$4,BW$4,$CB20:$JS20)</f>
        <v/>
      </c>
      <c r="BX20" s="55">
        <f>SUMIF($CB$4:$JS$4,"&gt;"&amp;'VALOR POR PL'!$P$8,$CB20:$JS20)</f>
        <v/>
      </c>
      <c r="BY20" s="55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60" t="inlineStr">
        <is>
          <t>ESTRUTURA EM CONCRETO ARMADO</t>
        </is>
      </c>
      <c r="C21" s="60" t="inlineStr">
        <is>
          <t>ESTRUTURA EM CONTRETO ARMADO</t>
        </is>
      </c>
      <c r="D21" s="55">
        <f>SUMIF($CB$4:$JS$4,"&lt;="&amp;D$4,$CB21:$JS21)</f>
        <v/>
      </c>
      <c r="E21" s="55">
        <f>SUMIF($CB$4:$JS$4,E$4,$CB21:$JS21)</f>
        <v/>
      </c>
      <c r="F21" s="55">
        <f>SUMIF($CB$4:$JS$4,F$4,$CB21:$JS21)</f>
        <v/>
      </c>
      <c r="G21" s="55">
        <f>SUMIF($CB$4:$JS$4,G$4,$CB21:$JS21)</f>
        <v/>
      </c>
      <c r="H21" s="55">
        <f>SUMIF($CB$4:$JS$4,H$4,$CB21:$JS21)</f>
        <v/>
      </c>
      <c r="I21" s="55">
        <f>SUMIF($CB$4:$JS$4,I$4,$CB21:$JS21)</f>
        <v/>
      </c>
      <c r="J21" s="55">
        <f>SUMIF($CB$4:$JS$4,J$4,$CB21:$JS21)</f>
        <v/>
      </c>
      <c r="K21" s="55">
        <f>SUMIF($CB$4:$JS$4,K$4,$CB21:$JS21)</f>
        <v/>
      </c>
      <c r="L21" s="55">
        <f>SUMIF($CB$4:$JS$4,L$4,$CB21:$JS21)</f>
        <v/>
      </c>
      <c r="M21" s="55">
        <f>SUMIF($CB$4:$JS$4,M$4,$CB21:$JS21)</f>
        <v/>
      </c>
      <c r="N21" s="55">
        <f>SUMIF($CB$4:$JS$4,N$4,$CB21:$JS21)</f>
        <v/>
      </c>
      <c r="O21" s="55">
        <f>SUMIF($CB$4:$JS$4,O$4,$CB21:$JS21)</f>
        <v/>
      </c>
      <c r="P21" s="55">
        <f>SUMIF($CB$4:$JS$4,P$4,$CB21:$JS21)</f>
        <v/>
      </c>
      <c r="Q21" s="55">
        <f>SUMIF($CB$4:$JS$4,Q$4,$CB21:$JS21)</f>
        <v/>
      </c>
      <c r="R21" s="55">
        <f>SUMIF($CB$4:$JS$4,R$4,$CB21:$JS21)</f>
        <v/>
      </c>
      <c r="S21" s="55">
        <f>SUMIF($CB$4:$JS$4,S$4,$CB21:$JS21)</f>
        <v/>
      </c>
      <c r="T21" s="55">
        <f>SUMIF($CB$4:$JS$4,T$4,$CB21:$JS21)</f>
        <v/>
      </c>
      <c r="U21" s="55">
        <f>SUMIF($CB$4:$JS$4,U$4,$CB21:$JS21)</f>
        <v/>
      </c>
      <c r="V21" s="55">
        <f>SUMIF($CB$4:$JS$4,V$4,$CB21:$JS21)</f>
        <v/>
      </c>
      <c r="W21" s="55">
        <f>SUMIF($CB$4:$JS$4,W$4,$CB21:$JS21)</f>
        <v/>
      </c>
      <c r="X21" s="55">
        <f>SUMIF($CB$4:$JS$4,X$4,$CB21:$JS21)</f>
        <v/>
      </c>
      <c r="Y21" s="55">
        <f>SUMIF($CB$4:$JS$4,Y$4,$CB21:$JS21)</f>
        <v/>
      </c>
      <c r="Z21" s="55">
        <f>SUMIF($CB$4:$JS$4,Z$4,$CB21:$JS21)</f>
        <v/>
      </c>
      <c r="AA21" s="55">
        <f>SUMIF($CB$4:$JS$4,AA$4,$CB21:$JS21)</f>
        <v/>
      </c>
      <c r="AB21" s="55">
        <f>SUMIF($CB$4:$JS$4,AB$4,$CB21:$JS21)</f>
        <v/>
      </c>
      <c r="AC21" s="55">
        <f>SUMIF($CB$4:$JS$4,AC$4,$CB21:$JS21)</f>
        <v/>
      </c>
      <c r="AD21" s="55">
        <f>SUMIF($CB$4:$JS$4,AD$4,$CB21:$JS21)</f>
        <v/>
      </c>
      <c r="AE21" s="55">
        <f>SUMIF($CB$4:$JS$4,AE$4,$CB21:$JS21)</f>
        <v/>
      </c>
      <c r="AF21" s="55">
        <f>SUMIF($CB$4:$JS$4,AF$4,$CB21:$JS21)</f>
        <v/>
      </c>
      <c r="AG21" s="55">
        <f>SUMIF($CB$4:$JS$4,AG$4,$CB21:$JS21)</f>
        <v/>
      </c>
      <c r="AH21" s="55">
        <f>SUMIF($CB$4:$JS$4,AH$4,$CB21:$JS21)</f>
        <v/>
      </c>
      <c r="AI21" s="55">
        <f>SUMIF($CB$4:$JS$4,AI$4,$CB21:$JS21)</f>
        <v/>
      </c>
      <c r="AJ21" s="55">
        <f>SUMIF($CB$4:$JS$4,AJ$4,$CB21:$JS21)</f>
        <v/>
      </c>
      <c r="AK21" s="55">
        <f>SUMIF($CB$4:$JS$4,AK$4,$CB21:$JS21)</f>
        <v/>
      </c>
      <c r="AL21" s="55">
        <f>SUMIF($CB$4:$JS$4,AL$4,$CB21:$JS21)</f>
        <v/>
      </c>
      <c r="AM21" s="55">
        <f>SUMIF($CB$4:$JS$4,AM$4,$CB21:$JS21)</f>
        <v/>
      </c>
      <c r="AN21" s="55">
        <f>SUMIF($CB$4:$JS$4,AN$4,$CB21:$JS21)</f>
        <v/>
      </c>
      <c r="AO21" s="55">
        <f>SUMIF($CB$4:$JS$4,AO$4,$CB21:$JS21)</f>
        <v/>
      </c>
      <c r="AP21" s="55">
        <f>SUMIF($CB$4:$JS$4,AP$4,$CB21:$JS21)</f>
        <v/>
      </c>
      <c r="AQ21" s="55">
        <f>SUMIF($CB$4:$JS$4,AQ$4,$CB21:$JS21)</f>
        <v/>
      </c>
      <c r="AR21" s="55">
        <f>SUMIF($CB$4:$JS$4,AR$4,$CB21:$JS21)</f>
        <v/>
      </c>
      <c r="AS21" s="55">
        <f>SUMIF($CB$4:$JS$4,AS$4,$CB21:$JS21)</f>
        <v/>
      </c>
      <c r="AT21" s="55">
        <f>SUMIF($CB$4:$JS$4,AT$4,$CB21:$JS21)</f>
        <v/>
      </c>
      <c r="AU21" s="55">
        <f>SUMIF($CB$4:$JS$4,AU$4,$CB21:$JS21)</f>
        <v/>
      </c>
      <c r="AV21" s="55">
        <f>SUMIF($CB$4:$JS$4,AV$4,$CB21:$JS21)</f>
        <v/>
      </c>
      <c r="AW21" s="55">
        <f>SUMIF($CB$4:$JS$4,AW$4,$CB21:$JS21)</f>
        <v/>
      </c>
      <c r="AX21" s="55">
        <f>SUMIF($CB$4:$JS$4,AX$4,$CB21:$JS21)</f>
        <v/>
      </c>
      <c r="AY21" s="55">
        <f>SUMIF($CB$4:$JS$4,AY$4,$CB21:$JS21)</f>
        <v/>
      </c>
      <c r="AZ21" s="55">
        <f>SUMIF($CB$4:$JS$4,AZ$4,$CB21:$JS21)</f>
        <v/>
      </c>
      <c r="BA21" s="55">
        <f>SUMIF($CB$4:$JS$4,BA$4,$CB21:$JS21)</f>
        <v/>
      </c>
      <c r="BB21" s="55">
        <f>SUMIF($CB$4:$JS$4,BB$4,$CB21:$JS21)</f>
        <v/>
      </c>
      <c r="BC21" s="55">
        <f>SUMIF($CB$4:$JS$4,BC$4,$CB21:$JS21)</f>
        <v/>
      </c>
      <c r="BD21" s="55">
        <f>SUMIF($CB$4:$JS$4,BD$4,$CB21:$JS21)</f>
        <v/>
      </c>
      <c r="BE21" s="55">
        <f>SUMIF($CB$4:$JS$4,BE$4,$CB21:$JS21)</f>
        <v/>
      </c>
      <c r="BF21" s="55">
        <f>SUMIF($CB$4:$JS$4,BF$4,$CB21:$JS21)</f>
        <v/>
      </c>
      <c r="BG21" s="55">
        <f>SUMIF($CB$4:$JS$4,BG$4,$CB21:$JS21)</f>
        <v/>
      </c>
      <c r="BH21" s="55">
        <f>SUMIF($CB$4:$JS$4,BH$4,$CB21:$JS21)</f>
        <v/>
      </c>
      <c r="BI21" s="55">
        <f>SUMIF($CB$4:$JS$4,BI$4,$CB21:$JS21)</f>
        <v/>
      </c>
      <c r="BJ21" s="55">
        <f>SUMIF($CB$4:$JS$4,BJ$4,$CB21:$JS21)</f>
        <v/>
      </c>
      <c r="BK21" s="55">
        <f>SUMIF($CB$4:$JS$4,BK$4,$CB21:$JS21)</f>
        <v/>
      </c>
      <c r="BL21" s="55">
        <f>SUMIF($CB$4:$JS$4,BL$4,$CB21:$JS21)</f>
        <v/>
      </c>
      <c r="BM21" s="55">
        <f>SUMIF($CB$4:$JS$4,BM$4,$CB21:$JS21)</f>
        <v/>
      </c>
      <c r="BN21" s="55">
        <f>SUMIF($CB$4:$JS$4,BN$4,$CB21:$JS21)</f>
        <v/>
      </c>
      <c r="BO21" s="55">
        <f>SUMIF($CB$4:$JS$4,BO$4,$CB21:$JS21)</f>
        <v/>
      </c>
      <c r="BP21" s="55">
        <f>SUMIF($CB$4:$JS$4,BP$4,$CB21:$JS21)</f>
        <v/>
      </c>
      <c r="BQ21" s="55">
        <f>SUMIF($CB$4:$JS$4,BQ$4,$CB21:$JS21)</f>
        <v/>
      </c>
      <c r="BR21" s="55">
        <f>SUMIF($CB$4:$JS$4,BR$4,$CB21:$JS21)</f>
        <v/>
      </c>
      <c r="BS21" s="55">
        <f>SUMIF($CB$4:$JS$4,BS$4,$CB21:$JS21)</f>
        <v/>
      </c>
      <c r="BT21" s="55">
        <f>SUMIF($CB$4:$JS$4,BT$4,$CB21:$JS21)</f>
        <v/>
      </c>
      <c r="BU21" s="55">
        <f>SUMIF($CB$4:$JS$4,BU$4,$CB21:$JS21)</f>
        <v/>
      </c>
      <c r="BV21" s="55">
        <f>SUMIF($CB$4:$JS$4,BV$4,$CB21:$JS21)</f>
        <v/>
      </c>
      <c r="BW21" s="55">
        <f>SUMIF($CB$4:$JS$4,BW$4,$CB21:$JS21)</f>
        <v/>
      </c>
      <c r="BX21" s="55">
        <f>SUMIF($CB$4:$JS$4,"&gt;"&amp;'VALOR POR PL'!$P$8,$CB21:$JS21)</f>
        <v/>
      </c>
      <c r="BY21" s="55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60" t="inlineStr">
        <is>
          <t>ALVENARIA</t>
        </is>
      </c>
      <c r="C22" s="60" t="n"/>
      <c r="D22" s="55">
        <f>SUMIF($CB$4:$JS$4,"&lt;="&amp;D$4,$CB22:$JS22)</f>
        <v/>
      </c>
      <c r="E22" s="55">
        <f>SUMIF($CB$4:$JS$4,E$4,$CB22:$JS22)</f>
        <v/>
      </c>
      <c r="F22" s="55">
        <f>SUMIF($CB$4:$JS$4,F$4,$CB22:$JS22)</f>
        <v/>
      </c>
      <c r="G22" s="55">
        <f>SUMIF($CB$4:$JS$4,G$4,$CB22:$JS22)</f>
        <v/>
      </c>
      <c r="H22" s="55">
        <f>SUMIF($CB$4:$JS$4,H$4,$CB22:$JS22)</f>
        <v/>
      </c>
      <c r="I22" s="55">
        <f>SUMIF($CB$4:$JS$4,I$4,$CB22:$JS22)</f>
        <v/>
      </c>
      <c r="J22" s="55">
        <f>SUMIF($CB$4:$JS$4,J$4,$CB22:$JS22)</f>
        <v/>
      </c>
      <c r="K22" s="55">
        <f>SUMIF($CB$4:$JS$4,K$4,$CB22:$JS22)</f>
        <v/>
      </c>
      <c r="L22" s="55">
        <f>SUMIF($CB$4:$JS$4,L$4,$CB22:$JS22)</f>
        <v/>
      </c>
      <c r="M22" s="55">
        <f>SUMIF($CB$4:$JS$4,M$4,$CB22:$JS22)</f>
        <v/>
      </c>
      <c r="N22" s="55">
        <f>SUMIF($CB$4:$JS$4,N$4,$CB22:$JS22)</f>
        <v/>
      </c>
      <c r="O22" s="55">
        <f>SUMIF($CB$4:$JS$4,O$4,$CB22:$JS22)</f>
        <v/>
      </c>
      <c r="P22" s="55">
        <f>SUMIF($CB$4:$JS$4,P$4,$CB22:$JS22)</f>
        <v/>
      </c>
      <c r="Q22" s="55">
        <f>SUMIF($CB$4:$JS$4,Q$4,$CB22:$JS22)</f>
        <v/>
      </c>
      <c r="R22" s="55">
        <f>SUMIF($CB$4:$JS$4,R$4,$CB22:$JS22)</f>
        <v/>
      </c>
      <c r="S22" s="55">
        <f>SUMIF($CB$4:$JS$4,S$4,$CB22:$JS22)</f>
        <v/>
      </c>
      <c r="T22" s="55">
        <f>SUMIF($CB$4:$JS$4,T$4,$CB22:$JS22)</f>
        <v/>
      </c>
      <c r="U22" s="55">
        <f>SUMIF($CB$4:$JS$4,U$4,$CB22:$JS22)</f>
        <v/>
      </c>
      <c r="V22" s="55">
        <f>SUMIF($CB$4:$JS$4,V$4,$CB22:$JS22)</f>
        <v/>
      </c>
      <c r="W22" s="55">
        <f>SUMIF($CB$4:$JS$4,W$4,$CB22:$JS22)</f>
        <v/>
      </c>
      <c r="X22" s="55">
        <f>SUMIF($CB$4:$JS$4,X$4,$CB22:$JS22)</f>
        <v/>
      </c>
      <c r="Y22" s="55">
        <f>SUMIF($CB$4:$JS$4,Y$4,$CB22:$JS22)</f>
        <v/>
      </c>
      <c r="Z22" s="55">
        <f>SUMIF($CB$4:$JS$4,Z$4,$CB22:$JS22)</f>
        <v/>
      </c>
      <c r="AA22" s="55">
        <f>SUMIF($CB$4:$JS$4,AA$4,$CB22:$JS22)</f>
        <v/>
      </c>
      <c r="AB22" s="55">
        <f>SUMIF($CB$4:$JS$4,AB$4,$CB22:$JS22)</f>
        <v/>
      </c>
      <c r="AC22" s="55">
        <f>SUMIF($CB$4:$JS$4,AC$4,$CB22:$JS22)</f>
        <v/>
      </c>
      <c r="AD22" s="55">
        <f>SUMIF($CB$4:$JS$4,AD$4,$CB22:$JS22)</f>
        <v/>
      </c>
      <c r="AE22" s="55">
        <f>SUMIF($CB$4:$JS$4,AE$4,$CB22:$JS22)</f>
        <v/>
      </c>
      <c r="AF22" s="55">
        <f>SUMIF($CB$4:$JS$4,AF$4,$CB22:$JS22)</f>
        <v/>
      </c>
      <c r="AG22" s="55">
        <f>SUMIF($CB$4:$JS$4,AG$4,$CB22:$JS22)</f>
        <v/>
      </c>
      <c r="AH22" s="55">
        <f>SUMIF($CB$4:$JS$4,AH$4,$CB22:$JS22)</f>
        <v/>
      </c>
      <c r="AI22" s="55">
        <f>SUMIF($CB$4:$JS$4,AI$4,$CB22:$JS22)</f>
        <v/>
      </c>
      <c r="AJ22" s="55">
        <f>SUMIF($CB$4:$JS$4,AJ$4,$CB22:$JS22)</f>
        <v/>
      </c>
      <c r="AK22" s="55">
        <f>SUMIF($CB$4:$JS$4,AK$4,$CB22:$JS22)</f>
        <v/>
      </c>
      <c r="AL22" s="55">
        <f>SUMIF($CB$4:$JS$4,AL$4,$CB22:$JS22)</f>
        <v/>
      </c>
      <c r="AM22" s="55">
        <f>SUMIF($CB$4:$JS$4,AM$4,$CB22:$JS22)</f>
        <v/>
      </c>
      <c r="AN22" s="55">
        <f>SUMIF($CB$4:$JS$4,AN$4,$CB22:$JS22)</f>
        <v/>
      </c>
      <c r="AO22" s="55">
        <f>SUMIF($CB$4:$JS$4,AO$4,$CB22:$JS22)</f>
        <v/>
      </c>
      <c r="AP22" s="55">
        <f>SUMIF($CB$4:$JS$4,AP$4,$CB22:$JS22)</f>
        <v/>
      </c>
      <c r="AQ22" s="55">
        <f>SUMIF($CB$4:$JS$4,AQ$4,$CB22:$JS22)</f>
        <v/>
      </c>
      <c r="AR22" s="55">
        <f>SUMIF($CB$4:$JS$4,AR$4,$CB22:$JS22)</f>
        <v/>
      </c>
      <c r="AS22" s="55">
        <f>SUMIF($CB$4:$JS$4,AS$4,$CB22:$JS22)</f>
        <v/>
      </c>
      <c r="AT22" s="55">
        <f>SUMIF($CB$4:$JS$4,AT$4,$CB22:$JS22)</f>
        <v/>
      </c>
      <c r="AU22" s="55">
        <f>SUMIF($CB$4:$JS$4,AU$4,$CB22:$JS22)</f>
        <v/>
      </c>
      <c r="AV22" s="55">
        <f>SUMIF($CB$4:$JS$4,AV$4,$CB22:$JS22)</f>
        <v/>
      </c>
      <c r="AW22" s="55">
        <f>SUMIF($CB$4:$JS$4,AW$4,$CB22:$JS22)</f>
        <v/>
      </c>
      <c r="AX22" s="55">
        <f>SUMIF($CB$4:$JS$4,AX$4,$CB22:$JS22)</f>
        <v/>
      </c>
      <c r="AY22" s="55">
        <f>SUMIF($CB$4:$JS$4,AY$4,$CB22:$JS22)</f>
        <v/>
      </c>
      <c r="AZ22" s="55">
        <f>SUMIF($CB$4:$JS$4,AZ$4,$CB22:$JS22)</f>
        <v/>
      </c>
      <c r="BA22" s="55">
        <f>SUMIF($CB$4:$JS$4,BA$4,$CB22:$JS22)</f>
        <v/>
      </c>
      <c r="BB22" s="55">
        <f>SUMIF($CB$4:$JS$4,BB$4,$CB22:$JS22)</f>
        <v/>
      </c>
      <c r="BC22" s="55">
        <f>SUMIF($CB$4:$JS$4,BC$4,$CB22:$JS22)</f>
        <v/>
      </c>
      <c r="BD22" s="55">
        <f>SUMIF($CB$4:$JS$4,BD$4,$CB22:$JS22)</f>
        <v/>
      </c>
      <c r="BE22" s="55">
        <f>SUMIF($CB$4:$JS$4,BE$4,$CB22:$JS22)</f>
        <v/>
      </c>
      <c r="BF22" s="55">
        <f>SUMIF($CB$4:$JS$4,BF$4,$CB22:$JS22)</f>
        <v/>
      </c>
      <c r="BG22" s="55">
        <f>SUMIF($CB$4:$JS$4,BG$4,$CB22:$JS22)</f>
        <v/>
      </c>
      <c r="BH22" s="55">
        <f>SUMIF($CB$4:$JS$4,BH$4,$CB22:$JS22)</f>
        <v/>
      </c>
      <c r="BI22" s="55">
        <f>SUMIF($CB$4:$JS$4,BI$4,$CB22:$JS22)</f>
        <v/>
      </c>
      <c r="BJ22" s="55">
        <f>SUMIF($CB$4:$JS$4,BJ$4,$CB22:$JS22)</f>
        <v/>
      </c>
      <c r="BK22" s="55">
        <f>SUMIF($CB$4:$JS$4,BK$4,$CB22:$JS22)</f>
        <v/>
      </c>
      <c r="BL22" s="55">
        <f>SUMIF($CB$4:$JS$4,BL$4,$CB22:$JS22)</f>
        <v/>
      </c>
      <c r="BM22" s="55">
        <f>SUMIF($CB$4:$JS$4,BM$4,$CB22:$JS22)</f>
        <v/>
      </c>
      <c r="BN22" s="55">
        <f>SUMIF($CB$4:$JS$4,BN$4,$CB22:$JS22)</f>
        <v/>
      </c>
      <c r="BO22" s="55">
        <f>SUMIF($CB$4:$JS$4,BO$4,$CB22:$JS22)</f>
        <v/>
      </c>
      <c r="BP22" s="55">
        <f>SUMIF($CB$4:$JS$4,BP$4,$CB22:$JS22)</f>
        <v/>
      </c>
      <c r="BQ22" s="55">
        <f>SUMIF($CB$4:$JS$4,BQ$4,$CB22:$JS22)</f>
        <v/>
      </c>
      <c r="BR22" s="55">
        <f>SUMIF($CB$4:$JS$4,BR$4,$CB22:$JS22)</f>
        <v/>
      </c>
      <c r="BS22" s="55">
        <f>SUMIF($CB$4:$JS$4,BS$4,$CB22:$JS22)</f>
        <v/>
      </c>
      <c r="BT22" s="55">
        <f>SUMIF($CB$4:$JS$4,BT$4,$CB22:$JS22)</f>
        <v/>
      </c>
      <c r="BU22" s="55">
        <f>SUMIF($CB$4:$JS$4,BU$4,$CB22:$JS22)</f>
        <v/>
      </c>
      <c r="BV22" s="55">
        <f>SUMIF($CB$4:$JS$4,BV$4,$CB22:$JS22)</f>
        <v/>
      </c>
      <c r="BW22" s="55">
        <f>SUMIF($CB$4:$JS$4,BW$4,$CB22:$JS22)</f>
        <v/>
      </c>
      <c r="BX22" s="55">
        <f>SUMIF($CB$4:$JS$4,"&gt;"&amp;'VALOR POR PL'!$P$8,$CB22:$JS22)</f>
        <v/>
      </c>
      <c r="BY22" s="55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60" t="inlineStr">
        <is>
          <t>IMPERMEABILIZAÇÃO</t>
        </is>
      </c>
      <c r="C23" s="60" t="n"/>
      <c r="D23" s="55">
        <f>SUMIF($CB$4:$JS$4,"&lt;="&amp;D$4,$CB23:$JS23)</f>
        <v/>
      </c>
      <c r="E23" s="55">
        <f>SUMIF($CB$4:$JS$4,E$4,$CB23:$JS23)</f>
        <v/>
      </c>
      <c r="F23" s="55">
        <f>SUMIF($CB$4:$JS$4,F$4,$CB23:$JS23)</f>
        <v/>
      </c>
      <c r="G23" s="55">
        <f>SUMIF($CB$4:$JS$4,G$4,$CB23:$JS23)</f>
        <v/>
      </c>
      <c r="H23" s="55">
        <f>SUMIF($CB$4:$JS$4,H$4,$CB23:$JS23)</f>
        <v/>
      </c>
      <c r="I23" s="55">
        <f>SUMIF($CB$4:$JS$4,I$4,$CB23:$JS23)</f>
        <v/>
      </c>
      <c r="J23" s="55">
        <f>SUMIF($CB$4:$JS$4,J$4,$CB23:$JS23)</f>
        <v/>
      </c>
      <c r="K23" s="55">
        <f>SUMIF($CB$4:$JS$4,K$4,$CB23:$JS23)</f>
        <v/>
      </c>
      <c r="L23" s="55">
        <f>SUMIF($CB$4:$JS$4,L$4,$CB23:$JS23)</f>
        <v/>
      </c>
      <c r="M23" s="55">
        <f>SUMIF($CB$4:$JS$4,M$4,$CB23:$JS23)</f>
        <v/>
      </c>
      <c r="N23" s="55">
        <f>SUMIF($CB$4:$JS$4,N$4,$CB23:$JS23)</f>
        <v/>
      </c>
      <c r="O23" s="55">
        <f>SUMIF($CB$4:$JS$4,O$4,$CB23:$JS23)</f>
        <v/>
      </c>
      <c r="P23" s="55">
        <f>SUMIF($CB$4:$JS$4,P$4,$CB23:$JS23)</f>
        <v/>
      </c>
      <c r="Q23" s="55">
        <f>SUMIF($CB$4:$JS$4,Q$4,$CB23:$JS23)</f>
        <v/>
      </c>
      <c r="R23" s="55">
        <f>SUMIF($CB$4:$JS$4,R$4,$CB23:$JS23)</f>
        <v/>
      </c>
      <c r="S23" s="55">
        <f>SUMIF($CB$4:$JS$4,S$4,$CB23:$JS23)</f>
        <v/>
      </c>
      <c r="T23" s="55">
        <f>SUMIF($CB$4:$JS$4,T$4,$CB23:$JS23)</f>
        <v/>
      </c>
      <c r="U23" s="55">
        <f>SUMIF($CB$4:$JS$4,U$4,$CB23:$JS23)</f>
        <v/>
      </c>
      <c r="V23" s="55">
        <f>SUMIF($CB$4:$JS$4,V$4,$CB23:$JS23)</f>
        <v/>
      </c>
      <c r="W23" s="55">
        <f>SUMIF($CB$4:$JS$4,W$4,$CB23:$JS23)</f>
        <v/>
      </c>
      <c r="X23" s="55">
        <f>SUMIF($CB$4:$JS$4,X$4,$CB23:$JS23)</f>
        <v/>
      </c>
      <c r="Y23" s="55">
        <f>SUMIF($CB$4:$JS$4,Y$4,$CB23:$JS23)</f>
        <v/>
      </c>
      <c r="Z23" s="55">
        <f>SUMIF($CB$4:$JS$4,Z$4,$CB23:$JS23)</f>
        <v/>
      </c>
      <c r="AA23" s="55">
        <f>SUMIF($CB$4:$JS$4,AA$4,$CB23:$JS23)</f>
        <v/>
      </c>
      <c r="AB23" s="55">
        <f>SUMIF($CB$4:$JS$4,AB$4,$CB23:$JS23)</f>
        <v/>
      </c>
      <c r="AC23" s="55">
        <f>SUMIF($CB$4:$JS$4,AC$4,$CB23:$JS23)</f>
        <v/>
      </c>
      <c r="AD23" s="55">
        <f>SUMIF($CB$4:$JS$4,AD$4,$CB23:$JS23)</f>
        <v/>
      </c>
      <c r="AE23" s="55">
        <f>SUMIF($CB$4:$JS$4,AE$4,$CB23:$JS23)</f>
        <v/>
      </c>
      <c r="AF23" s="55">
        <f>SUMIF($CB$4:$JS$4,AF$4,$CB23:$JS23)</f>
        <v/>
      </c>
      <c r="AG23" s="55">
        <f>SUMIF($CB$4:$JS$4,AG$4,$CB23:$JS23)</f>
        <v/>
      </c>
      <c r="AH23" s="55">
        <f>SUMIF($CB$4:$JS$4,AH$4,$CB23:$JS23)</f>
        <v/>
      </c>
      <c r="AI23" s="55">
        <f>SUMIF($CB$4:$JS$4,AI$4,$CB23:$JS23)</f>
        <v/>
      </c>
      <c r="AJ23" s="55">
        <f>SUMIF($CB$4:$JS$4,AJ$4,$CB23:$JS23)</f>
        <v/>
      </c>
      <c r="AK23" s="55">
        <f>SUMIF($CB$4:$JS$4,AK$4,$CB23:$JS23)</f>
        <v/>
      </c>
      <c r="AL23" s="55">
        <f>SUMIF($CB$4:$JS$4,AL$4,$CB23:$JS23)</f>
        <v/>
      </c>
      <c r="AM23" s="55">
        <f>SUMIF($CB$4:$JS$4,AM$4,$CB23:$JS23)</f>
        <v/>
      </c>
      <c r="AN23" s="55">
        <f>SUMIF($CB$4:$JS$4,AN$4,$CB23:$JS23)</f>
        <v/>
      </c>
      <c r="AO23" s="55">
        <f>SUMIF($CB$4:$JS$4,AO$4,$CB23:$JS23)</f>
        <v/>
      </c>
      <c r="AP23" s="55">
        <f>SUMIF($CB$4:$JS$4,AP$4,$CB23:$JS23)</f>
        <v/>
      </c>
      <c r="AQ23" s="55">
        <f>SUMIF($CB$4:$JS$4,AQ$4,$CB23:$JS23)</f>
        <v/>
      </c>
      <c r="AR23" s="55">
        <f>SUMIF($CB$4:$JS$4,AR$4,$CB23:$JS23)</f>
        <v/>
      </c>
      <c r="AS23" s="55">
        <f>SUMIF($CB$4:$JS$4,AS$4,$CB23:$JS23)</f>
        <v/>
      </c>
      <c r="AT23" s="55">
        <f>SUMIF($CB$4:$JS$4,AT$4,$CB23:$JS23)</f>
        <v/>
      </c>
      <c r="AU23" s="55">
        <f>SUMIF($CB$4:$JS$4,AU$4,$CB23:$JS23)</f>
        <v/>
      </c>
      <c r="AV23" s="55">
        <f>SUMIF($CB$4:$JS$4,AV$4,$CB23:$JS23)</f>
        <v/>
      </c>
      <c r="AW23" s="55">
        <f>SUMIF($CB$4:$JS$4,AW$4,$CB23:$JS23)</f>
        <v/>
      </c>
      <c r="AX23" s="55">
        <f>SUMIF($CB$4:$JS$4,AX$4,$CB23:$JS23)</f>
        <v/>
      </c>
      <c r="AY23" s="55">
        <f>SUMIF($CB$4:$JS$4,AY$4,$CB23:$JS23)</f>
        <v/>
      </c>
      <c r="AZ23" s="55">
        <f>SUMIF($CB$4:$JS$4,AZ$4,$CB23:$JS23)</f>
        <v/>
      </c>
      <c r="BA23" s="55">
        <f>SUMIF($CB$4:$JS$4,BA$4,$CB23:$JS23)</f>
        <v/>
      </c>
      <c r="BB23" s="55">
        <f>SUMIF($CB$4:$JS$4,BB$4,$CB23:$JS23)</f>
        <v/>
      </c>
      <c r="BC23" s="55">
        <f>SUMIF($CB$4:$JS$4,BC$4,$CB23:$JS23)</f>
        <v/>
      </c>
      <c r="BD23" s="55">
        <f>SUMIF($CB$4:$JS$4,BD$4,$CB23:$JS23)</f>
        <v/>
      </c>
      <c r="BE23" s="55">
        <f>SUMIF($CB$4:$JS$4,BE$4,$CB23:$JS23)</f>
        <v/>
      </c>
      <c r="BF23" s="55">
        <f>SUMIF($CB$4:$JS$4,BF$4,$CB23:$JS23)</f>
        <v/>
      </c>
      <c r="BG23" s="55">
        <f>SUMIF($CB$4:$JS$4,BG$4,$CB23:$JS23)</f>
        <v/>
      </c>
      <c r="BH23" s="55">
        <f>SUMIF($CB$4:$JS$4,BH$4,$CB23:$JS23)</f>
        <v/>
      </c>
      <c r="BI23" s="55">
        <f>SUMIF($CB$4:$JS$4,BI$4,$CB23:$JS23)</f>
        <v/>
      </c>
      <c r="BJ23" s="55">
        <f>SUMIF($CB$4:$JS$4,BJ$4,$CB23:$JS23)</f>
        <v/>
      </c>
      <c r="BK23" s="55">
        <f>SUMIF($CB$4:$JS$4,BK$4,$CB23:$JS23)</f>
        <v/>
      </c>
      <c r="BL23" s="55">
        <f>SUMIF($CB$4:$JS$4,BL$4,$CB23:$JS23)</f>
        <v/>
      </c>
      <c r="BM23" s="55">
        <f>SUMIF($CB$4:$JS$4,BM$4,$CB23:$JS23)</f>
        <v/>
      </c>
      <c r="BN23" s="55">
        <f>SUMIF($CB$4:$JS$4,BN$4,$CB23:$JS23)</f>
        <v/>
      </c>
      <c r="BO23" s="55">
        <f>SUMIF($CB$4:$JS$4,BO$4,$CB23:$JS23)</f>
        <v/>
      </c>
      <c r="BP23" s="55">
        <f>SUMIF($CB$4:$JS$4,BP$4,$CB23:$JS23)</f>
        <v/>
      </c>
      <c r="BQ23" s="55">
        <f>SUMIF($CB$4:$JS$4,BQ$4,$CB23:$JS23)</f>
        <v/>
      </c>
      <c r="BR23" s="55">
        <f>SUMIF($CB$4:$JS$4,BR$4,$CB23:$JS23)</f>
        <v/>
      </c>
      <c r="BS23" s="55">
        <f>SUMIF($CB$4:$JS$4,BS$4,$CB23:$JS23)</f>
        <v/>
      </c>
      <c r="BT23" s="55">
        <f>SUMIF($CB$4:$JS$4,BT$4,$CB23:$JS23)</f>
        <v/>
      </c>
      <c r="BU23" s="55">
        <f>SUMIF($CB$4:$JS$4,BU$4,$CB23:$JS23)</f>
        <v/>
      </c>
      <c r="BV23" s="55">
        <f>SUMIF($CB$4:$JS$4,BV$4,$CB23:$JS23)</f>
        <v/>
      </c>
      <c r="BW23" s="55">
        <f>SUMIF($CB$4:$JS$4,BW$4,$CB23:$JS23)</f>
        <v/>
      </c>
      <c r="BX23" s="55">
        <f>SUMIF($CB$4:$JS$4,"&gt;"&amp;'VALOR POR PL'!$P$8,$CB23:$JS23)</f>
        <v/>
      </c>
      <c r="BY23" s="55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60" t="inlineStr">
        <is>
          <t>INSTALAÇÕES ELÉTRICAS</t>
        </is>
      </c>
      <c r="C24" s="60" t="n"/>
      <c r="D24" s="55">
        <f>SUMIF($CB$4:$JS$4,"&lt;="&amp;D$4,$CB24:$JS24)</f>
        <v/>
      </c>
      <c r="E24" s="55">
        <f>SUMIF($CB$4:$JS$4,E$4,$CB24:$JS24)</f>
        <v/>
      </c>
      <c r="F24" s="55">
        <f>SUMIF($CB$4:$JS$4,F$4,$CB24:$JS24)</f>
        <v/>
      </c>
      <c r="G24" s="55">
        <f>SUMIF($CB$4:$JS$4,G$4,$CB24:$JS24)</f>
        <v/>
      </c>
      <c r="H24" s="55">
        <f>SUMIF($CB$4:$JS$4,H$4,$CB24:$JS24)</f>
        <v/>
      </c>
      <c r="I24" s="55">
        <f>SUMIF($CB$4:$JS$4,I$4,$CB24:$JS24)</f>
        <v/>
      </c>
      <c r="J24" s="55">
        <f>SUMIF($CB$4:$JS$4,J$4,$CB24:$JS24)</f>
        <v/>
      </c>
      <c r="K24" s="55">
        <f>SUMIF($CB$4:$JS$4,K$4,$CB24:$JS24)</f>
        <v/>
      </c>
      <c r="L24" s="55">
        <f>SUMIF($CB$4:$JS$4,L$4,$CB24:$JS24)</f>
        <v/>
      </c>
      <c r="M24" s="55">
        <f>SUMIF($CB$4:$JS$4,M$4,$CB24:$JS24)</f>
        <v/>
      </c>
      <c r="N24" s="55">
        <f>SUMIF($CB$4:$JS$4,N$4,$CB24:$JS24)</f>
        <v/>
      </c>
      <c r="O24" s="55">
        <f>SUMIF($CB$4:$JS$4,O$4,$CB24:$JS24)</f>
        <v/>
      </c>
      <c r="P24" s="55">
        <f>SUMIF($CB$4:$JS$4,P$4,$CB24:$JS24)</f>
        <v/>
      </c>
      <c r="Q24" s="55">
        <f>SUMIF($CB$4:$JS$4,Q$4,$CB24:$JS24)</f>
        <v/>
      </c>
      <c r="R24" s="55">
        <f>SUMIF($CB$4:$JS$4,R$4,$CB24:$JS24)</f>
        <v/>
      </c>
      <c r="S24" s="55">
        <f>SUMIF($CB$4:$JS$4,S$4,$CB24:$JS24)</f>
        <v/>
      </c>
      <c r="T24" s="55">
        <f>SUMIF($CB$4:$JS$4,T$4,$CB24:$JS24)</f>
        <v/>
      </c>
      <c r="U24" s="55">
        <f>SUMIF($CB$4:$JS$4,U$4,$CB24:$JS24)</f>
        <v/>
      </c>
      <c r="V24" s="55">
        <f>SUMIF($CB$4:$JS$4,V$4,$CB24:$JS24)</f>
        <v/>
      </c>
      <c r="W24" s="55">
        <f>SUMIF($CB$4:$JS$4,W$4,$CB24:$JS24)</f>
        <v/>
      </c>
      <c r="X24" s="55">
        <f>SUMIF($CB$4:$JS$4,X$4,$CB24:$JS24)</f>
        <v/>
      </c>
      <c r="Y24" s="55">
        <f>SUMIF($CB$4:$JS$4,Y$4,$CB24:$JS24)</f>
        <v/>
      </c>
      <c r="Z24" s="55">
        <f>SUMIF($CB$4:$JS$4,Z$4,$CB24:$JS24)</f>
        <v/>
      </c>
      <c r="AA24" s="55">
        <f>SUMIF($CB$4:$JS$4,AA$4,$CB24:$JS24)</f>
        <v/>
      </c>
      <c r="AB24" s="55">
        <f>SUMIF($CB$4:$JS$4,AB$4,$CB24:$JS24)</f>
        <v/>
      </c>
      <c r="AC24" s="55">
        <f>SUMIF($CB$4:$JS$4,AC$4,$CB24:$JS24)</f>
        <v/>
      </c>
      <c r="AD24" s="55">
        <f>SUMIF($CB$4:$JS$4,AD$4,$CB24:$JS24)</f>
        <v/>
      </c>
      <c r="AE24" s="55">
        <f>SUMIF($CB$4:$JS$4,AE$4,$CB24:$JS24)</f>
        <v/>
      </c>
      <c r="AF24" s="55">
        <f>SUMIF($CB$4:$JS$4,AF$4,$CB24:$JS24)</f>
        <v/>
      </c>
      <c r="AG24" s="55">
        <f>SUMIF($CB$4:$JS$4,AG$4,$CB24:$JS24)</f>
        <v/>
      </c>
      <c r="AH24" s="55">
        <f>SUMIF($CB$4:$JS$4,AH$4,$CB24:$JS24)</f>
        <v/>
      </c>
      <c r="AI24" s="55">
        <f>SUMIF($CB$4:$JS$4,AI$4,$CB24:$JS24)</f>
        <v/>
      </c>
      <c r="AJ24" s="55">
        <f>SUMIF($CB$4:$JS$4,AJ$4,$CB24:$JS24)</f>
        <v/>
      </c>
      <c r="AK24" s="55">
        <f>SUMIF($CB$4:$JS$4,AK$4,$CB24:$JS24)</f>
        <v/>
      </c>
      <c r="AL24" s="55">
        <f>SUMIF($CB$4:$JS$4,AL$4,$CB24:$JS24)</f>
        <v/>
      </c>
      <c r="AM24" s="55">
        <f>SUMIF($CB$4:$JS$4,AM$4,$CB24:$JS24)</f>
        <v/>
      </c>
      <c r="AN24" s="55">
        <f>SUMIF($CB$4:$JS$4,AN$4,$CB24:$JS24)</f>
        <v/>
      </c>
      <c r="AO24" s="55">
        <f>SUMIF($CB$4:$JS$4,AO$4,$CB24:$JS24)</f>
        <v/>
      </c>
      <c r="AP24" s="55">
        <f>SUMIF($CB$4:$JS$4,AP$4,$CB24:$JS24)</f>
        <v/>
      </c>
      <c r="AQ24" s="55">
        <f>SUMIF($CB$4:$JS$4,AQ$4,$CB24:$JS24)</f>
        <v/>
      </c>
      <c r="AR24" s="55">
        <f>SUMIF($CB$4:$JS$4,AR$4,$CB24:$JS24)</f>
        <v/>
      </c>
      <c r="AS24" s="55">
        <f>SUMIF($CB$4:$JS$4,AS$4,$CB24:$JS24)</f>
        <v/>
      </c>
      <c r="AT24" s="55">
        <f>SUMIF($CB$4:$JS$4,AT$4,$CB24:$JS24)</f>
        <v/>
      </c>
      <c r="AU24" s="55">
        <f>SUMIF($CB$4:$JS$4,AU$4,$CB24:$JS24)</f>
        <v/>
      </c>
      <c r="AV24" s="55">
        <f>SUMIF($CB$4:$JS$4,AV$4,$CB24:$JS24)</f>
        <v/>
      </c>
      <c r="AW24" s="55">
        <f>SUMIF($CB$4:$JS$4,AW$4,$CB24:$JS24)</f>
        <v/>
      </c>
      <c r="AX24" s="55">
        <f>SUMIF($CB$4:$JS$4,AX$4,$CB24:$JS24)</f>
        <v/>
      </c>
      <c r="AY24" s="55">
        <f>SUMIF($CB$4:$JS$4,AY$4,$CB24:$JS24)</f>
        <v/>
      </c>
      <c r="AZ24" s="55">
        <f>SUMIF($CB$4:$JS$4,AZ$4,$CB24:$JS24)</f>
        <v/>
      </c>
      <c r="BA24" s="55">
        <f>SUMIF($CB$4:$JS$4,BA$4,$CB24:$JS24)</f>
        <v/>
      </c>
      <c r="BB24" s="55">
        <f>SUMIF($CB$4:$JS$4,BB$4,$CB24:$JS24)</f>
        <v/>
      </c>
      <c r="BC24" s="55">
        <f>SUMIF($CB$4:$JS$4,BC$4,$CB24:$JS24)</f>
        <v/>
      </c>
      <c r="BD24" s="55">
        <f>SUMIF($CB$4:$JS$4,BD$4,$CB24:$JS24)</f>
        <v/>
      </c>
      <c r="BE24" s="55">
        <f>SUMIF($CB$4:$JS$4,BE$4,$CB24:$JS24)</f>
        <v/>
      </c>
      <c r="BF24" s="55">
        <f>SUMIF($CB$4:$JS$4,BF$4,$CB24:$JS24)</f>
        <v/>
      </c>
      <c r="BG24" s="55">
        <f>SUMIF($CB$4:$JS$4,BG$4,$CB24:$JS24)</f>
        <v/>
      </c>
      <c r="BH24" s="55">
        <f>SUMIF($CB$4:$JS$4,BH$4,$CB24:$JS24)</f>
        <v/>
      </c>
      <c r="BI24" s="55">
        <f>SUMIF($CB$4:$JS$4,BI$4,$CB24:$JS24)</f>
        <v/>
      </c>
      <c r="BJ24" s="55">
        <f>SUMIF($CB$4:$JS$4,BJ$4,$CB24:$JS24)</f>
        <v/>
      </c>
      <c r="BK24" s="55">
        <f>SUMIF($CB$4:$JS$4,BK$4,$CB24:$JS24)</f>
        <v/>
      </c>
      <c r="BL24" s="55">
        <f>SUMIF($CB$4:$JS$4,BL$4,$CB24:$JS24)</f>
        <v/>
      </c>
      <c r="BM24" s="55">
        <f>SUMIF($CB$4:$JS$4,BM$4,$CB24:$JS24)</f>
        <v/>
      </c>
      <c r="BN24" s="55">
        <f>SUMIF($CB$4:$JS$4,BN$4,$CB24:$JS24)</f>
        <v/>
      </c>
      <c r="BO24" s="55">
        <f>SUMIF($CB$4:$JS$4,BO$4,$CB24:$JS24)</f>
        <v/>
      </c>
      <c r="BP24" s="55">
        <f>SUMIF($CB$4:$JS$4,BP$4,$CB24:$JS24)</f>
        <v/>
      </c>
      <c r="BQ24" s="55">
        <f>SUMIF($CB$4:$JS$4,BQ$4,$CB24:$JS24)</f>
        <v/>
      </c>
      <c r="BR24" s="55">
        <f>SUMIF($CB$4:$JS$4,BR$4,$CB24:$JS24)</f>
        <v/>
      </c>
      <c r="BS24" s="55">
        <f>SUMIF($CB$4:$JS$4,BS$4,$CB24:$JS24)</f>
        <v/>
      </c>
      <c r="BT24" s="55">
        <f>SUMIF($CB$4:$JS$4,BT$4,$CB24:$JS24)</f>
        <v/>
      </c>
      <c r="BU24" s="55">
        <f>SUMIF($CB$4:$JS$4,BU$4,$CB24:$JS24)</f>
        <v/>
      </c>
      <c r="BV24" s="55">
        <f>SUMIF($CB$4:$JS$4,BV$4,$CB24:$JS24)</f>
        <v/>
      </c>
      <c r="BW24" s="55">
        <f>SUMIF($CB$4:$JS$4,BW$4,$CB24:$JS24)</f>
        <v/>
      </c>
      <c r="BX24" s="55">
        <f>SUMIF($CB$4:$JS$4,"&gt;"&amp;'VALOR POR PL'!$P$8,$CB24:$JS24)</f>
        <v/>
      </c>
      <c r="BY24" s="55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60" t="inlineStr">
        <is>
          <t>INSTALAÇÕES HIDROSANITÁRIAS</t>
        </is>
      </c>
      <c r="C25" s="60" t="n"/>
      <c r="D25" s="55">
        <f>SUMIF($CB$4:$JS$4,"&lt;="&amp;D$4,$CB25:$JS25)</f>
        <v/>
      </c>
      <c r="E25" s="55">
        <f>SUMIF($CB$4:$JS$4,E$4,$CB25:$JS25)</f>
        <v/>
      </c>
      <c r="F25" s="55">
        <f>SUMIF($CB$4:$JS$4,F$4,$CB25:$JS25)</f>
        <v/>
      </c>
      <c r="G25" s="55">
        <f>SUMIF($CB$4:$JS$4,G$4,$CB25:$JS25)</f>
        <v/>
      </c>
      <c r="H25" s="55">
        <f>SUMIF($CB$4:$JS$4,H$4,$CB25:$JS25)</f>
        <v/>
      </c>
      <c r="I25" s="55">
        <f>SUMIF($CB$4:$JS$4,I$4,$CB25:$JS25)</f>
        <v/>
      </c>
      <c r="J25" s="55">
        <f>SUMIF($CB$4:$JS$4,J$4,$CB25:$JS25)</f>
        <v/>
      </c>
      <c r="K25" s="55">
        <f>SUMIF($CB$4:$JS$4,K$4,$CB25:$JS25)</f>
        <v/>
      </c>
      <c r="L25" s="55">
        <f>SUMIF($CB$4:$JS$4,L$4,$CB25:$JS25)</f>
        <v/>
      </c>
      <c r="M25" s="55">
        <f>SUMIF($CB$4:$JS$4,M$4,$CB25:$JS25)</f>
        <v/>
      </c>
      <c r="N25" s="55">
        <f>SUMIF($CB$4:$JS$4,N$4,$CB25:$JS25)</f>
        <v/>
      </c>
      <c r="O25" s="55">
        <f>SUMIF($CB$4:$JS$4,O$4,$CB25:$JS25)</f>
        <v/>
      </c>
      <c r="P25" s="55">
        <f>SUMIF($CB$4:$JS$4,P$4,$CB25:$JS25)</f>
        <v/>
      </c>
      <c r="Q25" s="55">
        <f>SUMIF($CB$4:$JS$4,Q$4,$CB25:$JS25)</f>
        <v/>
      </c>
      <c r="R25" s="55">
        <f>SUMIF($CB$4:$JS$4,R$4,$CB25:$JS25)</f>
        <v/>
      </c>
      <c r="S25" s="55">
        <f>SUMIF($CB$4:$JS$4,S$4,$CB25:$JS25)</f>
        <v/>
      </c>
      <c r="T25" s="55">
        <f>SUMIF($CB$4:$JS$4,T$4,$CB25:$JS25)</f>
        <v/>
      </c>
      <c r="U25" s="55">
        <f>SUMIF($CB$4:$JS$4,U$4,$CB25:$JS25)</f>
        <v/>
      </c>
      <c r="V25" s="55">
        <f>SUMIF($CB$4:$JS$4,V$4,$CB25:$JS25)</f>
        <v/>
      </c>
      <c r="W25" s="55">
        <f>SUMIF($CB$4:$JS$4,W$4,$CB25:$JS25)</f>
        <v/>
      </c>
      <c r="X25" s="55">
        <f>SUMIF($CB$4:$JS$4,X$4,$CB25:$JS25)</f>
        <v/>
      </c>
      <c r="Y25" s="55">
        <f>SUMIF($CB$4:$JS$4,Y$4,$CB25:$JS25)</f>
        <v/>
      </c>
      <c r="Z25" s="55">
        <f>SUMIF($CB$4:$JS$4,Z$4,$CB25:$JS25)</f>
        <v/>
      </c>
      <c r="AA25" s="55">
        <f>SUMIF($CB$4:$JS$4,AA$4,$CB25:$JS25)</f>
        <v/>
      </c>
      <c r="AB25" s="55">
        <f>SUMIF($CB$4:$JS$4,AB$4,$CB25:$JS25)</f>
        <v/>
      </c>
      <c r="AC25" s="55">
        <f>SUMIF($CB$4:$JS$4,AC$4,$CB25:$JS25)</f>
        <v/>
      </c>
      <c r="AD25" s="55">
        <f>SUMIF($CB$4:$JS$4,AD$4,$CB25:$JS25)</f>
        <v/>
      </c>
      <c r="AE25" s="55">
        <f>SUMIF($CB$4:$JS$4,AE$4,$CB25:$JS25)</f>
        <v/>
      </c>
      <c r="AF25" s="55">
        <f>SUMIF($CB$4:$JS$4,AF$4,$CB25:$JS25)</f>
        <v/>
      </c>
      <c r="AG25" s="55">
        <f>SUMIF($CB$4:$JS$4,AG$4,$CB25:$JS25)</f>
        <v/>
      </c>
      <c r="AH25" s="55">
        <f>SUMIF($CB$4:$JS$4,AH$4,$CB25:$JS25)</f>
        <v/>
      </c>
      <c r="AI25" s="55">
        <f>SUMIF($CB$4:$JS$4,AI$4,$CB25:$JS25)</f>
        <v/>
      </c>
      <c r="AJ25" s="55">
        <f>SUMIF($CB$4:$JS$4,AJ$4,$CB25:$JS25)</f>
        <v/>
      </c>
      <c r="AK25" s="55">
        <f>SUMIF($CB$4:$JS$4,AK$4,$CB25:$JS25)</f>
        <v/>
      </c>
      <c r="AL25" s="55">
        <f>SUMIF($CB$4:$JS$4,AL$4,$CB25:$JS25)</f>
        <v/>
      </c>
      <c r="AM25" s="55">
        <f>SUMIF($CB$4:$JS$4,AM$4,$CB25:$JS25)</f>
        <v/>
      </c>
      <c r="AN25" s="55">
        <f>SUMIF($CB$4:$JS$4,AN$4,$CB25:$JS25)</f>
        <v/>
      </c>
      <c r="AO25" s="55">
        <f>SUMIF($CB$4:$JS$4,AO$4,$CB25:$JS25)</f>
        <v/>
      </c>
      <c r="AP25" s="55">
        <f>SUMIF($CB$4:$JS$4,AP$4,$CB25:$JS25)</f>
        <v/>
      </c>
      <c r="AQ25" s="55">
        <f>SUMIF($CB$4:$JS$4,AQ$4,$CB25:$JS25)</f>
        <v/>
      </c>
      <c r="AR25" s="55">
        <f>SUMIF($CB$4:$JS$4,AR$4,$CB25:$JS25)</f>
        <v/>
      </c>
      <c r="AS25" s="55">
        <f>SUMIF($CB$4:$JS$4,AS$4,$CB25:$JS25)</f>
        <v/>
      </c>
      <c r="AT25" s="55">
        <f>SUMIF($CB$4:$JS$4,AT$4,$CB25:$JS25)</f>
        <v/>
      </c>
      <c r="AU25" s="55">
        <f>SUMIF($CB$4:$JS$4,AU$4,$CB25:$JS25)</f>
        <v/>
      </c>
      <c r="AV25" s="55">
        <f>SUMIF($CB$4:$JS$4,AV$4,$CB25:$JS25)</f>
        <v/>
      </c>
      <c r="AW25" s="55">
        <f>SUMIF($CB$4:$JS$4,AW$4,$CB25:$JS25)</f>
        <v/>
      </c>
      <c r="AX25" s="55">
        <f>SUMIF($CB$4:$JS$4,AX$4,$CB25:$JS25)</f>
        <v/>
      </c>
      <c r="AY25" s="55">
        <f>SUMIF($CB$4:$JS$4,AY$4,$CB25:$JS25)</f>
        <v/>
      </c>
      <c r="AZ25" s="55">
        <f>SUMIF($CB$4:$JS$4,AZ$4,$CB25:$JS25)</f>
        <v/>
      </c>
      <c r="BA25" s="55">
        <f>SUMIF($CB$4:$JS$4,BA$4,$CB25:$JS25)</f>
        <v/>
      </c>
      <c r="BB25" s="55">
        <f>SUMIF($CB$4:$JS$4,BB$4,$CB25:$JS25)</f>
        <v/>
      </c>
      <c r="BC25" s="55">
        <f>SUMIF($CB$4:$JS$4,BC$4,$CB25:$JS25)</f>
        <v/>
      </c>
      <c r="BD25" s="55">
        <f>SUMIF($CB$4:$JS$4,BD$4,$CB25:$JS25)</f>
        <v/>
      </c>
      <c r="BE25" s="55">
        <f>SUMIF($CB$4:$JS$4,BE$4,$CB25:$JS25)</f>
        <v/>
      </c>
      <c r="BF25" s="55">
        <f>SUMIF($CB$4:$JS$4,BF$4,$CB25:$JS25)</f>
        <v/>
      </c>
      <c r="BG25" s="55">
        <f>SUMIF($CB$4:$JS$4,BG$4,$CB25:$JS25)</f>
        <v/>
      </c>
      <c r="BH25" s="55">
        <f>SUMIF($CB$4:$JS$4,BH$4,$CB25:$JS25)</f>
        <v/>
      </c>
      <c r="BI25" s="55">
        <f>SUMIF($CB$4:$JS$4,BI$4,$CB25:$JS25)</f>
        <v/>
      </c>
      <c r="BJ25" s="55">
        <f>SUMIF($CB$4:$JS$4,BJ$4,$CB25:$JS25)</f>
        <v/>
      </c>
      <c r="BK25" s="55">
        <f>SUMIF($CB$4:$JS$4,BK$4,$CB25:$JS25)</f>
        <v/>
      </c>
      <c r="BL25" s="55">
        <f>SUMIF($CB$4:$JS$4,BL$4,$CB25:$JS25)</f>
        <v/>
      </c>
      <c r="BM25" s="55">
        <f>SUMIF($CB$4:$JS$4,BM$4,$CB25:$JS25)</f>
        <v/>
      </c>
      <c r="BN25" s="55">
        <f>SUMIF($CB$4:$JS$4,BN$4,$CB25:$JS25)</f>
        <v/>
      </c>
      <c r="BO25" s="55">
        <f>SUMIF($CB$4:$JS$4,BO$4,$CB25:$JS25)</f>
        <v/>
      </c>
      <c r="BP25" s="55">
        <f>SUMIF($CB$4:$JS$4,BP$4,$CB25:$JS25)</f>
        <v/>
      </c>
      <c r="BQ25" s="55">
        <f>SUMIF($CB$4:$JS$4,BQ$4,$CB25:$JS25)</f>
        <v/>
      </c>
      <c r="BR25" s="55">
        <f>SUMIF($CB$4:$JS$4,BR$4,$CB25:$JS25)</f>
        <v/>
      </c>
      <c r="BS25" s="55">
        <f>SUMIF($CB$4:$JS$4,BS$4,$CB25:$JS25)</f>
        <v/>
      </c>
      <c r="BT25" s="55">
        <f>SUMIF($CB$4:$JS$4,BT$4,$CB25:$JS25)</f>
        <v/>
      </c>
      <c r="BU25" s="55">
        <f>SUMIF($CB$4:$JS$4,BU$4,$CB25:$JS25)</f>
        <v/>
      </c>
      <c r="BV25" s="55">
        <f>SUMIF($CB$4:$JS$4,BV$4,$CB25:$JS25)</f>
        <v/>
      </c>
      <c r="BW25" s="55">
        <f>SUMIF($CB$4:$JS$4,BW$4,$CB25:$JS25)</f>
        <v/>
      </c>
      <c r="BX25" s="55">
        <f>SUMIF($CB$4:$JS$4,"&gt;"&amp;'VALOR POR PL'!$P$8,$CB25:$JS25)</f>
        <v/>
      </c>
      <c r="BY25" s="55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60" t="inlineStr">
        <is>
          <t>INSTALAÇÕES COMBATE INCÊNDIO</t>
        </is>
      </c>
      <c r="C26" s="60" t="n"/>
      <c r="D26" s="55">
        <f>SUMIF($CB$4:$JS$4,"&lt;="&amp;D$4,$CB26:$JS26)</f>
        <v/>
      </c>
      <c r="E26" s="55">
        <f>SUMIF($CB$4:$JS$4,E$4,$CB26:$JS26)</f>
        <v/>
      </c>
      <c r="F26" s="55">
        <f>SUMIF($CB$4:$JS$4,F$4,$CB26:$JS26)</f>
        <v/>
      </c>
      <c r="G26" s="55">
        <f>SUMIF($CB$4:$JS$4,G$4,$CB26:$JS26)</f>
        <v/>
      </c>
      <c r="H26" s="55">
        <f>SUMIF($CB$4:$JS$4,H$4,$CB26:$JS26)</f>
        <v/>
      </c>
      <c r="I26" s="55">
        <f>SUMIF($CB$4:$JS$4,I$4,$CB26:$JS26)</f>
        <v/>
      </c>
      <c r="J26" s="55">
        <f>SUMIF($CB$4:$JS$4,J$4,$CB26:$JS26)</f>
        <v/>
      </c>
      <c r="K26" s="55">
        <f>SUMIF($CB$4:$JS$4,K$4,$CB26:$JS26)</f>
        <v/>
      </c>
      <c r="L26" s="55">
        <f>SUMIF($CB$4:$JS$4,L$4,$CB26:$JS26)</f>
        <v/>
      </c>
      <c r="M26" s="55">
        <f>SUMIF($CB$4:$JS$4,M$4,$CB26:$JS26)</f>
        <v/>
      </c>
      <c r="N26" s="55">
        <f>SUMIF($CB$4:$JS$4,N$4,$CB26:$JS26)</f>
        <v/>
      </c>
      <c r="O26" s="55">
        <f>SUMIF($CB$4:$JS$4,O$4,$CB26:$JS26)</f>
        <v/>
      </c>
      <c r="P26" s="55">
        <f>SUMIF($CB$4:$JS$4,P$4,$CB26:$JS26)</f>
        <v/>
      </c>
      <c r="Q26" s="55">
        <f>SUMIF($CB$4:$JS$4,Q$4,$CB26:$JS26)</f>
        <v/>
      </c>
      <c r="R26" s="55">
        <f>SUMIF($CB$4:$JS$4,R$4,$CB26:$JS26)</f>
        <v/>
      </c>
      <c r="S26" s="55">
        <f>SUMIF($CB$4:$JS$4,S$4,$CB26:$JS26)</f>
        <v/>
      </c>
      <c r="T26" s="55">
        <f>SUMIF($CB$4:$JS$4,T$4,$CB26:$JS26)</f>
        <v/>
      </c>
      <c r="U26" s="55">
        <f>SUMIF($CB$4:$JS$4,U$4,$CB26:$JS26)</f>
        <v/>
      </c>
      <c r="V26" s="55">
        <f>SUMIF($CB$4:$JS$4,V$4,$CB26:$JS26)</f>
        <v/>
      </c>
      <c r="W26" s="55">
        <f>SUMIF($CB$4:$JS$4,W$4,$CB26:$JS26)</f>
        <v/>
      </c>
      <c r="X26" s="55">
        <f>SUMIF($CB$4:$JS$4,X$4,$CB26:$JS26)</f>
        <v/>
      </c>
      <c r="Y26" s="55">
        <f>SUMIF($CB$4:$JS$4,Y$4,$CB26:$JS26)</f>
        <v/>
      </c>
      <c r="Z26" s="55">
        <f>SUMIF($CB$4:$JS$4,Z$4,$CB26:$JS26)</f>
        <v/>
      </c>
      <c r="AA26" s="55">
        <f>SUMIF($CB$4:$JS$4,AA$4,$CB26:$JS26)</f>
        <v/>
      </c>
      <c r="AB26" s="55">
        <f>SUMIF($CB$4:$JS$4,AB$4,$CB26:$JS26)</f>
        <v/>
      </c>
      <c r="AC26" s="55">
        <f>SUMIF($CB$4:$JS$4,AC$4,$CB26:$JS26)</f>
        <v/>
      </c>
      <c r="AD26" s="55">
        <f>SUMIF($CB$4:$JS$4,AD$4,$CB26:$JS26)</f>
        <v/>
      </c>
      <c r="AE26" s="55">
        <f>SUMIF($CB$4:$JS$4,AE$4,$CB26:$JS26)</f>
        <v/>
      </c>
      <c r="AF26" s="55">
        <f>SUMIF($CB$4:$JS$4,AF$4,$CB26:$JS26)</f>
        <v/>
      </c>
      <c r="AG26" s="55">
        <f>SUMIF($CB$4:$JS$4,AG$4,$CB26:$JS26)</f>
        <v/>
      </c>
      <c r="AH26" s="55">
        <f>SUMIF($CB$4:$JS$4,AH$4,$CB26:$JS26)</f>
        <v/>
      </c>
      <c r="AI26" s="55">
        <f>SUMIF($CB$4:$JS$4,AI$4,$CB26:$JS26)</f>
        <v/>
      </c>
      <c r="AJ26" s="55">
        <f>SUMIF($CB$4:$JS$4,AJ$4,$CB26:$JS26)</f>
        <v/>
      </c>
      <c r="AK26" s="55">
        <f>SUMIF($CB$4:$JS$4,AK$4,$CB26:$JS26)</f>
        <v/>
      </c>
      <c r="AL26" s="55">
        <f>SUMIF($CB$4:$JS$4,AL$4,$CB26:$JS26)</f>
        <v/>
      </c>
      <c r="AM26" s="55">
        <f>SUMIF($CB$4:$JS$4,AM$4,$CB26:$JS26)</f>
        <v/>
      </c>
      <c r="AN26" s="55">
        <f>SUMIF($CB$4:$JS$4,AN$4,$CB26:$JS26)</f>
        <v/>
      </c>
      <c r="AO26" s="55">
        <f>SUMIF($CB$4:$JS$4,AO$4,$CB26:$JS26)</f>
        <v/>
      </c>
      <c r="AP26" s="55">
        <f>SUMIF($CB$4:$JS$4,AP$4,$CB26:$JS26)</f>
        <v/>
      </c>
      <c r="AQ26" s="55">
        <f>SUMIF($CB$4:$JS$4,AQ$4,$CB26:$JS26)</f>
        <v/>
      </c>
      <c r="AR26" s="55">
        <f>SUMIF($CB$4:$JS$4,AR$4,$CB26:$JS26)</f>
        <v/>
      </c>
      <c r="AS26" s="55">
        <f>SUMIF($CB$4:$JS$4,AS$4,$CB26:$JS26)</f>
        <v/>
      </c>
      <c r="AT26" s="55">
        <f>SUMIF($CB$4:$JS$4,AT$4,$CB26:$JS26)</f>
        <v/>
      </c>
      <c r="AU26" s="55">
        <f>SUMIF($CB$4:$JS$4,AU$4,$CB26:$JS26)</f>
        <v/>
      </c>
      <c r="AV26" s="55">
        <f>SUMIF($CB$4:$JS$4,AV$4,$CB26:$JS26)</f>
        <v/>
      </c>
      <c r="AW26" s="55">
        <f>SUMIF($CB$4:$JS$4,AW$4,$CB26:$JS26)</f>
        <v/>
      </c>
      <c r="AX26" s="55">
        <f>SUMIF($CB$4:$JS$4,AX$4,$CB26:$JS26)</f>
        <v/>
      </c>
      <c r="AY26" s="55">
        <f>SUMIF($CB$4:$JS$4,AY$4,$CB26:$JS26)</f>
        <v/>
      </c>
      <c r="AZ26" s="55">
        <f>SUMIF($CB$4:$JS$4,AZ$4,$CB26:$JS26)</f>
        <v/>
      </c>
      <c r="BA26" s="55">
        <f>SUMIF($CB$4:$JS$4,BA$4,$CB26:$JS26)</f>
        <v/>
      </c>
      <c r="BB26" s="55">
        <f>SUMIF($CB$4:$JS$4,BB$4,$CB26:$JS26)</f>
        <v/>
      </c>
      <c r="BC26" s="55">
        <f>SUMIF($CB$4:$JS$4,BC$4,$CB26:$JS26)</f>
        <v/>
      </c>
      <c r="BD26" s="55">
        <f>SUMIF($CB$4:$JS$4,BD$4,$CB26:$JS26)</f>
        <v/>
      </c>
      <c r="BE26" s="55">
        <f>SUMIF($CB$4:$JS$4,BE$4,$CB26:$JS26)</f>
        <v/>
      </c>
      <c r="BF26" s="55">
        <f>SUMIF($CB$4:$JS$4,BF$4,$CB26:$JS26)</f>
        <v/>
      </c>
      <c r="BG26" s="55">
        <f>SUMIF($CB$4:$JS$4,BG$4,$CB26:$JS26)</f>
        <v/>
      </c>
      <c r="BH26" s="55">
        <f>SUMIF($CB$4:$JS$4,BH$4,$CB26:$JS26)</f>
        <v/>
      </c>
      <c r="BI26" s="55">
        <f>SUMIF($CB$4:$JS$4,BI$4,$CB26:$JS26)</f>
        <v/>
      </c>
      <c r="BJ26" s="55">
        <f>SUMIF($CB$4:$JS$4,BJ$4,$CB26:$JS26)</f>
        <v/>
      </c>
      <c r="BK26" s="55">
        <f>SUMIF($CB$4:$JS$4,BK$4,$CB26:$JS26)</f>
        <v/>
      </c>
      <c r="BL26" s="55">
        <f>SUMIF($CB$4:$JS$4,BL$4,$CB26:$JS26)</f>
        <v/>
      </c>
      <c r="BM26" s="55">
        <f>SUMIF($CB$4:$JS$4,BM$4,$CB26:$JS26)</f>
        <v/>
      </c>
      <c r="BN26" s="55">
        <f>SUMIF($CB$4:$JS$4,BN$4,$CB26:$JS26)</f>
        <v/>
      </c>
      <c r="BO26" s="55">
        <f>SUMIF($CB$4:$JS$4,BO$4,$CB26:$JS26)</f>
        <v/>
      </c>
      <c r="BP26" s="55">
        <f>SUMIF($CB$4:$JS$4,BP$4,$CB26:$JS26)</f>
        <v/>
      </c>
      <c r="BQ26" s="55">
        <f>SUMIF($CB$4:$JS$4,BQ$4,$CB26:$JS26)</f>
        <v/>
      </c>
      <c r="BR26" s="55">
        <f>SUMIF($CB$4:$JS$4,BR$4,$CB26:$JS26)</f>
        <v/>
      </c>
      <c r="BS26" s="55">
        <f>SUMIF($CB$4:$JS$4,BS$4,$CB26:$JS26)</f>
        <v/>
      </c>
      <c r="BT26" s="55">
        <f>SUMIF($CB$4:$JS$4,BT$4,$CB26:$JS26)</f>
        <v/>
      </c>
      <c r="BU26" s="55">
        <f>SUMIF($CB$4:$JS$4,BU$4,$CB26:$JS26)</f>
        <v/>
      </c>
      <c r="BV26" s="55">
        <f>SUMIF($CB$4:$JS$4,BV$4,$CB26:$JS26)</f>
        <v/>
      </c>
      <c r="BW26" s="55">
        <f>SUMIF($CB$4:$JS$4,BW$4,$CB26:$JS26)</f>
        <v/>
      </c>
      <c r="BX26" s="55">
        <f>SUMIF($CB$4:$JS$4,"&gt;"&amp;'VALOR POR PL'!$P$8,$CB26:$JS26)</f>
        <v/>
      </c>
      <c r="BY26" s="55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60" t="inlineStr">
        <is>
          <t>INSTALAÇÕES ESPECIAIS</t>
        </is>
      </c>
      <c r="C27" s="60" t="n"/>
      <c r="D27" s="55">
        <f>SUMIF($CB$4:$JS$4,"&lt;="&amp;D$4,$CB27:$JS27)</f>
        <v/>
      </c>
      <c r="E27" s="55">
        <f>SUMIF($CB$4:$JS$4,E$4,$CB27:$JS27)</f>
        <v/>
      </c>
      <c r="F27" s="55">
        <f>SUMIF($CB$4:$JS$4,F$4,$CB27:$JS27)</f>
        <v/>
      </c>
      <c r="G27" s="55">
        <f>SUMIF($CB$4:$JS$4,G$4,$CB27:$JS27)</f>
        <v/>
      </c>
      <c r="H27" s="55">
        <f>SUMIF($CB$4:$JS$4,H$4,$CB27:$JS27)</f>
        <v/>
      </c>
      <c r="I27" s="55">
        <f>SUMIF($CB$4:$JS$4,I$4,$CB27:$JS27)</f>
        <v/>
      </c>
      <c r="J27" s="55">
        <f>SUMIF($CB$4:$JS$4,J$4,$CB27:$JS27)</f>
        <v/>
      </c>
      <c r="K27" s="55">
        <f>SUMIF($CB$4:$JS$4,K$4,$CB27:$JS27)</f>
        <v/>
      </c>
      <c r="L27" s="55">
        <f>SUMIF($CB$4:$JS$4,L$4,$CB27:$JS27)</f>
        <v/>
      </c>
      <c r="M27" s="55">
        <f>SUMIF($CB$4:$JS$4,M$4,$CB27:$JS27)</f>
        <v/>
      </c>
      <c r="N27" s="55">
        <f>SUMIF($CB$4:$JS$4,N$4,$CB27:$JS27)</f>
        <v/>
      </c>
      <c r="O27" s="55">
        <f>SUMIF($CB$4:$JS$4,O$4,$CB27:$JS27)</f>
        <v/>
      </c>
      <c r="P27" s="55">
        <f>SUMIF($CB$4:$JS$4,P$4,$CB27:$JS27)</f>
        <v/>
      </c>
      <c r="Q27" s="55">
        <f>SUMIF($CB$4:$JS$4,Q$4,$CB27:$JS27)</f>
        <v/>
      </c>
      <c r="R27" s="55">
        <f>SUMIF($CB$4:$JS$4,R$4,$CB27:$JS27)</f>
        <v/>
      </c>
      <c r="S27" s="55">
        <f>SUMIF($CB$4:$JS$4,S$4,$CB27:$JS27)</f>
        <v/>
      </c>
      <c r="T27" s="55">
        <f>SUMIF($CB$4:$JS$4,T$4,$CB27:$JS27)</f>
        <v/>
      </c>
      <c r="U27" s="55">
        <f>SUMIF($CB$4:$JS$4,U$4,$CB27:$JS27)</f>
        <v/>
      </c>
      <c r="V27" s="55">
        <f>SUMIF($CB$4:$JS$4,V$4,$CB27:$JS27)</f>
        <v/>
      </c>
      <c r="W27" s="55">
        <f>SUMIF($CB$4:$JS$4,W$4,$CB27:$JS27)</f>
        <v/>
      </c>
      <c r="X27" s="55">
        <f>SUMIF($CB$4:$JS$4,X$4,$CB27:$JS27)</f>
        <v/>
      </c>
      <c r="Y27" s="55">
        <f>SUMIF($CB$4:$JS$4,Y$4,$CB27:$JS27)</f>
        <v/>
      </c>
      <c r="Z27" s="55">
        <f>SUMIF($CB$4:$JS$4,Z$4,$CB27:$JS27)</f>
        <v/>
      </c>
      <c r="AA27" s="55">
        <f>SUMIF($CB$4:$JS$4,AA$4,$CB27:$JS27)</f>
        <v/>
      </c>
      <c r="AB27" s="55">
        <f>SUMIF($CB$4:$JS$4,AB$4,$CB27:$JS27)</f>
        <v/>
      </c>
      <c r="AC27" s="55">
        <f>SUMIF($CB$4:$JS$4,AC$4,$CB27:$JS27)</f>
        <v/>
      </c>
      <c r="AD27" s="55">
        <f>SUMIF($CB$4:$JS$4,AD$4,$CB27:$JS27)</f>
        <v/>
      </c>
      <c r="AE27" s="55">
        <f>SUMIF($CB$4:$JS$4,AE$4,$CB27:$JS27)</f>
        <v/>
      </c>
      <c r="AF27" s="55">
        <f>SUMIF($CB$4:$JS$4,AF$4,$CB27:$JS27)</f>
        <v/>
      </c>
      <c r="AG27" s="55">
        <f>SUMIF($CB$4:$JS$4,AG$4,$CB27:$JS27)</f>
        <v/>
      </c>
      <c r="AH27" s="55">
        <f>SUMIF($CB$4:$JS$4,AH$4,$CB27:$JS27)</f>
        <v/>
      </c>
      <c r="AI27" s="55">
        <f>SUMIF($CB$4:$JS$4,AI$4,$CB27:$JS27)</f>
        <v/>
      </c>
      <c r="AJ27" s="55">
        <f>SUMIF($CB$4:$JS$4,AJ$4,$CB27:$JS27)</f>
        <v/>
      </c>
      <c r="AK27" s="55">
        <f>SUMIF($CB$4:$JS$4,AK$4,$CB27:$JS27)</f>
        <v/>
      </c>
      <c r="AL27" s="55">
        <f>SUMIF($CB$4:$JS$4,AL$4,$CB27:$JS27)</f>
        <v/>
      </c>
      <c r="AM27" s="55">
        <f>SUMIF($CB$4:$JS$4,AM$4,$CB27:$JS27)</f>
        <v/>
      </c>
      <c r="AN27" s="55">
        <f>SUMIF($CB$4:$JS$4,AN$4,$CB27:$JS27)</f>
        <v/>
      </c>
      <c r="AO27" s="55">
        <f>SUMIF($CB$4:$JS$4,AO$4,$CB27:$JS27)</f>
        <v/>
      </c>
      <c r="AP27" s="55">
        <f>SUMIF($CB$4:$JS$4,AP$4,$CB27:$JS27)</f>
        <v/>
      </c>
      <c r="AQ27" s="55">
        <f>SUMIF($CB$4:$JS$4,AQ$4,$CB27:$JS27)</f>
        <v/>
      </c>
      <c r="AR27" s="55">
        <f>SUMIF($CB$4:$JS$4,AR$4,$CB27:$JS27)</f>
        <v/>
      </c>
      <c r="AS27" s="55">
        <f>SUMIF($CB$4:$JS$4,AS$4,$CB27:$JS27)</f>
        <v/>
      </c>
      <c r="AT27" s="55">
        <f>SUMIF($CB$4:$JS$4,AT$4,$CB27:$JS27)</f>
        <v/>
      </c>
      <c r="AU27" s="55">
        <f>SUMIF($CB$4:$JS$4,AU$4,$CB27:$JS27)</f>
        <v/>
      </c>
      <c r="AV27" s="55">
        <f>SUMIF($CB$4:$JS$4,AV$4,$CB27:$JS27)</f>
        <v/>
      </c>
      <c r="AW27" s="55">
        <f>SUMIF($CB$4:$JS$4,AW$4,$CB27:$JS27)</f>
        <v/>
      </c>
      <c r="AX27" s="55">
        <f>SUMIF($CB$4:$JS$4,AX$4,$CB27:$JS27)</f>
        <v/>
      </c>
      <c r="AY27" s="55">
        <f>SUMIF($CB$4:$JS$4,AY$4,$CB27:$JS27)</f>
        <v/>
      </c>
      <c r="AZ27" s="55">
        <f>SUMIF($CB$4:$JS$4,AZ$4,$CB27:$JS27)</f>
        <v/>
      </c>
      <c r="BA27" s="55">
        <f>SUMIF($CB$4:$JS$4,BA$4,$CB27:$JS27)</f>
        <v/>
      </c>
      <c r="BB27" s="55">
        <f>SUMIF($CB$4:$JS$4,BB$4,$CB27:$JS27)</f>
        <v/>
      </c>
      <c r="BC27" s="55">
        <f>SUMIF($CB$4:$JS$4,BC$4,$CB27:$JS27)</f>
        <v/>
      </c>
      <c r="BD27" s="55">
        <f>SUMIF($CB$4:$JS$4,BD$4,$CB27:$JS27)</f>
        <v/>
      </c>
      <c r="BE27" s="55">
        <f>SUMIF($CB$4:$JS$4,BE$4,$CB27:$JS27)</f>
        <v/>
      </c>
      <c r="BF27" s="55">
        <f>SUMIF($CB$4:$JS$4,BF$4,$CB27:$JS27)</f>
        <v/>
      </c>
      <c r="BG27" s="55">
        <f>SUMIF($CB$4:$JS$4,BG$4,$CB27:$JS27)</f>
        <v/>
      </c>
      <c r="BH27" s="55">
        <f>SUMIF($CB$4:$JS$4,BH$4,$CB27:$JS27)</f>
        <v/>
      </c>
      <c r="BI27" s="55">
        <f>SUMIF($CB$4:$JS$4,BI$4,$CB27:$JS27)</f>
        <v/>
      </c>
      <c r="BJ27" s="55">
        <f>SUMIF($CB$4:$JS$4,BJ$4,$CB27:$JS27)</f>
        <v/>
      </c>
      <c r="BK27" s="55">
        <f>SUMIF($CB$4:$JS$4,BK$4,$CB27:$JS27)</f>
        <v/>
      </c>
      <c r="BL27" s="55">
        <f>SUMIF($CB$4:$JS$4,BL$4,$CB27:$JS27)</f>
        <v/>
      </c>
      <c r="BM27" s="55">
        <f>SUMIF($CB$4:$JS$4,BM$4,$CB27:$JS27)</f>
        <v/>
      </c>
      <c r="BN27" s="55">
        <f>SUMIF($CB$4:$JS$4,BN$4,$CB27:$JS27)</f>
        <v/>
      </c>
      <c r="BO27" s="55">
        <f>SUMIF($CB$4:$JS$4,BO$4,$CB27:$JS27)</f>
        <v/>
      </c>
      <c r="BP27" s="55">
        <f>SUMIF($CB$4:$JS$4,BP$4,$CB27:$JS27)</f>
        <v/>
      </c>
      <c r="BQ27" s="55">
        <f>SUMIF($CB$4:$JS$4,BQ$4,$CB27:$JS27)</f>
        <v/>
      </c>
      <c r="BR27" s="55">
        <f>SUMIF($CB$4:$JS$4,BR$4,$CB27:$JS27)</f>
        <v/>
      </c>
      <c r="BS27" s="55">
        <f>SUMIF($CB$4:$JS$4,BS$4,$CB27:$JS27)</f>
        <v/>
      </c>
      <c r="BT27" s="55">
        <f>SUMIF($CB$4:$JS$4,BT$4,$CB27:$JS27)</f>
        <v/>
      </c>
      <c r="BU27" s="55">
        <f>SUMIF($CB$4:$JS$4,BU$4,$CB27:$JS27)</f>
        <v/>
      </c>
      <c r="BV27" s="55">
        <f>SUMIF($CB$4:$JS$4,BV$4,$CB27:$JS27)</f>
        <v/>
      </c>
      <c r="BW27" s="55">
        <f>SUMIF($CB$4:$JS$4,BW$4,$CB27:$JS27)</f>
        <v/>
      </c>
      <c r="BX27" s="55">
        <f>SUMIF($CB$4:$JS$4,"&gt;"&amp;'VALOR POR PL'!$P$8,$CB27:$JS27)</f>
        <v/>
      </c>
      <c r="BY27" s="55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60" t="inlineStr">
        <is>
          <t>ELEVADORES</t>
        </is>
      </c>
      <c r="C28" s="60" t="n"/>
      <c r="D28" s="55">
        <f>SUMIF($CB$4:$JS$4,"&lt;="&amp;D$4,$CB28:$JS28)</f>
        <v/>
      </c>
      <c r="E28" s="55">
        <f>SUMIF($CB$4:$JS$4,E$4,$CB28:$JS28)</f>
        <v/>
      </c>
      <c r="F28" s="55">
        <f>SUMIF($CB$4:$JS$4,F$4,$CB28:$JS28)</f>
        <v/>
      </c>
      <c r="G28" s="55">
        <f>SUMIF($CB$4:$JS$4,G$4,$CB28:$JS28)</f>
        <v/>
      </c>
      <c r="H28" s="55">
        <f>SUMIF($CB$4:$JS$4,H$4,$CB28:$JS28)</f>
        <v/>
      </c>
      <c r="I28" s="55">
        <f>SUMIF($CB$4:$JS$4,I$4,$CB28:$JS28)</f>
        <v/>
      </c>
      <c r="J28" s="55">
        <f>SUMIF($CB$4:$JS$4,J$4,$CB28:$JS28)</f>
        <v/>
      </c>
      <c r="K28" s="55">
        <f>SUMIF($CB$4:$JS$4,K$4,$CB28:$JS28)</f>
        <v/>
      </c>
      <c r="L28" s="55">
        <f>SUMIF($CB$4:$JS$4,L$4,$CB28:$JS28)</f>
        <v/>
      </c>
      <c r="M28" s="55">
        <f>SUMIF($CB$4:$JS$4,M$4,$CB28:$JS28)</f>
        <v/>
      </c>
      <c r="N28" s="55">
        <f>SUMIF($CB$4:$JS$4,N$4,$CB28:$JS28)</f>
        <v/>
      </c>
      <c r="O28" s="55">
        <f>SUMIF($CB$4:$JS$4,O$4,$CB28:$JS28)</f>
        <v/>
      </c>
      <c r="P28" s="55">
        <f>SUMIF($CB$4:$JS$4,P$4,$CB28:$JS28)</f>
        <v/>
      </c>
      <c r="Q28" s="55">
        <f>SUMIF($CB$4:$JS$4,Q$4,$CB28:$JS28)</f>
        <v/>
      </c>
      <c r="R28" s="55">
        <f>SUMIF($CB$4:$JS$4,R$4,$CB28:$JS28)</f>
        <v/>
      </c>
      <c r="S28" s="55">
        <f>SUMIF($CB$4:$JS$4,S$4,$CB28:$JS28)</f>
        <v/>
      </c>
      <c r="T28" s="55">
        <f>SUMIF($CB$4:$JS$4,T$4,$CB28:$JS28)</f>
        <v/>
      </c>
      <c r="U28" s="55">
        <f>SUMIF($CB$4:$JS$4,U$4,$CB28:$JS28)</f>
        <v/>
      </c>
      <c r="V28" s="55">
        <f>SUMIF($CB$4:$JS$4,V$4,$CB28:$JS28)</f>
        <v/>
      </c>
      <c r="W28" s="55">
        <f>SUMIF($CB$4:$JS$4,W$4,$CB28:$JS28)</f>
        <v/>
      </c>
      <c r="X28" s="55">
        <f>SUMIF($CB$4:$JS$4,X$4,$CB28:$JS28)</f>
        <v/>
      </c>
      <c r="Y28" s="55">
        <f>SUMIF($CB$4:$JS$4,Y$4,$CB28:$JS28)</f>
        <v/>
      </c>
      <c r="Z28" s="55">
        <f>SUMIF($CB$4:$JS$4,Z$4,$CB28:$JS28)</f>
        <v/>
      </c>
      <c r="AA28" s="55">
        <f>SUMIF($CB$4:$JS$4,AA$4,$CB28:$JS28)</f>
        <v/>
      </c>
      <c r="AB28" s="55">
        <f>SUMIF($CB$4:$JS$4,AB$4,$CB28:$JS28)</f>
        <v/>
      </c>
      <c r="AC28" s="55">
        <f>SUMIF($CB$4:$JS$4,AC$4,$CB28:$JS28)</f>
        <v/>
      </c>
      <c r="AD28" s="55">
        <f>SUMIF($CB$4:$JS$4,AD$4,$CB28:$JS28)</f>
        <v/>
      </c>
      <c r="AE28" s="55">
        <f>SUMIF($CB$4:$JS$4,AE$4,$CB28:$JS28)</f>
        <v/>
      </c>
      <c r="AF28" s="55">
        <f>SUMIF($CB$4:$JS$4,AF$4,$CB28:$JS28)</f>
        <v/>
      </c>
      <c r="AG28" s="55">
        <f>SUMIF($CB$4:$JS$4,AG$4,$CB28:$JS28)</f>
        <v/>
      </c>
      <c r="AH28" s="55">
        <f>SUMIF($CB$4:$JS$4,AH$4,$CB28:$JS28)</f>
        <v/>
      </c>
      <c r="AI28" s="55">
        <f>SUMIF($CB$4:$JS$4,AI$4,$CB28:$JS28)</f>
        <v/>
      </c>
      <c r="AJ28" s="55">
        <f>SUMIF($CB$4:$JS$4,AJ$4,$CB28:$JS28)</f>
        <v/>
      </c>
      <c r="AK28" s="55">
        <f>SUMIF($CB$4:$JS$4,AK$4,$CB28:$JS28)</f>
        <v/>
      </c>
      <c r="AL28" s="55">
        <f>SUMIF($CB$4:$JS$4,AL$4,$CB28:$JS28)</f>
        <v/>
      </c>
      <c r="AM28" s="55">
        <f>SUMIF($CB$4:$JS$4,AM$4,$CB28:$JS28)</f>
        <v/>
      </c>
      <c r="AN28" s="55">
        <f>SUMIF($CB$4:$JS$4,AN$4,$CB28:$JS28)</f>
        <v/>
      </c>
      <c r="AO28" s="55">
        <f>SUMIF($CB$4:$JS$4,AO$4,$CB28:$JS28)</f>
        <v/>
      </c>
      <c r="AP28" s="55">
        <f>SUMIF($CB$4:$JS$4,AP$4,$CB28:$JS28)</f>
        <v/>
      </c>
      <c r="AQ28" s="55">
        <f>SUMIF($CB$4:$JS$4,AQ$4,$CB28:$JS28)</f>
        <v/>
      </c>
      <c r="AR28" s="55">
        <f>SUMIF($CB$4:$JS$4,AR$4,$CB28:$JS28)</f>
        <v/>
      </c>
      <c r="AS28" s="55">
        <f>SUMIF($CB$4:$JS$4,AS$4,$CB28:$JS28)</f>
        <v/>
      </c>
      <c r="AT28" s="55">
        <f>SUMIF($CB$4:$JS$4,AT$4,$CB28:$JS28)</f>
        <v/>
      </c>
      <c r="AU28" s="55">
        <f>SUMIF($CB$4:$JS$4,AU$4,$CB28:$JS28)</f>
        <v/>
      </c>
      <c r="AV28" s="55">
        <f>SUMIF($CB$4:$JS$4,AV$4,$CB28:$JS28)</f>
        <v/>
      </c>
      <c r="AW28" s="55">
        <f>SUMIF($CB$4:$JS$4,AW$4,$CB28:$JS28)</f>
        <v/>
      </c>
      <c r="AX28" s="55">
        <f>SUMIF($CB$4:$JS$4,AX$4,$CB28:$JS28)</f>
        <v/>
      </c>
      <c r="AY28" s="55">
        <f>SUMIF($CB$4:$JS$4,AY$4,$CB28:$JS28)</f>
        <v/>
      </c>
      <c r="AZ28" s="55">
        <f>SUMIF($CB$4:$JS$4,AZ$4,$CB28:$JS28)</f>
        <v/>
      </c>
      <c r="BA28" s="55">
        <f>SUMIF($CB$4:$JS$4,BA$4,$CB28:$JS28)</f>
        <v/>
      </c>
      <c r="BB28" s="55">
        <f>SUMIF($CB$4:$JS$4,BB$4,$CB28:$JS28)</f>
        <v/>
      </c>
      <c r="BC28" s="55">
        <f>SUMIF($CB$4:$JS$4,BC$4,$CB28:$JS28)</f>
        <v/>
      </c>
      <c r="BD28" s="55">
        <f>SUMIF($CB$4:$JS$4,BD$4,$CB28:$JS28)</f>
        <v/>
      </c>
      <c r="BE28" s="55">
        <f>SUMIF($CB$4:$JS$4,BE$4,$CB28:$JS28)</f>
        <v/>
      </c>
      <c r="BF28" s="55">
        <f>SUMIF($CB$4:$JS$4,BF$4,$CB28:$JS28)</f>
        <v/>
      </c>
      <c r="BG28" s="55">
        <f>SUMIF($CB$4:$JS$4,BG$4,$CB28:$JS28)</f>
        <v/>
      </c>
      <c r="BH28" s="55">
        <f>SUMIF($CB$4:$JS$4,BH$4,$CB28:$JS28)</f>
        <v/>
      </c>
      <c r="BI28" s="55">
        <f>SUMIF($CB$4:$JS$4,BI$4,$CB28:$JS28)</f>
        <v/>
      </c>
      <c r="BJ28" s="55">
        <f>SUMIF($CB$4:$JS$4,BJ$4,$CB28:$JS28)</f>
        <v/>
      </c>
      <c r="BK28" s="55">
        <f>SUMIF($CB$4:$JS$4,BK$4,$CB28:$JS28)</f>
        <v/>
      </c>
      <c r="BL28" s="55">
        <f>SUMIF($CB$4:$JS$4,BL$4,$CB28:$JS28)</f>
        <v/>
      </c>
      <c r="BM28" s="55">
        <f>SUMIF($CB$4:$JS$4,BM$4,$CB28:$JS28)</f>
        <v/>
      </c>
      <c r="BN28" s="55">
        <f>SUMIF($CB$4:$JS$4,BN$4,$CB28:$JS28)</f>
        <v/>
      </c>
      <c r="BO28" s="55">
        <f>SUMIF($CB$4:$JS$4,BO$4,$CB28:$JS28)</f>
        <v/>
      </c>
      <c r="BP28" s="55">
        <f>SUMIF($CB$4:$JS$4,BP$4,$CB28:$JS28)</f>
        <v/>
      </c>
      <c r="BQ28" s="55">
        <f>SUMIF($CB$4:$JS$4,BQ$4,$CB28:$JS28)</f>
        <v/>
      </c>
      <c r="BR28" s="55">
        <f>SUMIF($CB$4:$JS$4,BR$4,$CB28:$JS28)</f>
        <v/>
      </c>
      <c r="BS28" s="55">
        <f>SUMIF($CB$4:$JS$4,BS$4,$CB28:$JS28)</f>
        <v/>
      </c>
      <c r="BT28" s="55">
        <f>SUMIF($CB$4:$JS$4,BT$4,$CB28:$JS28)</f>
        <v/>
      </c>
      <c r="BU28" s="55">
        <f>SUMIF($CB$4:$JS$4,BU$4,$CB28:$JS28)</f>
        <v/>
      </c>
      <c r="BV28" s="55">
        <f>SUMIF($CB$4:$JS$4,BV$4,$CB28:$JS28)</f>
        <v/>
      </c>
      <c r="BW28" s="55">
        <f>SUMIF($CB$4:$JS$4,BW$4,$CB28:$JS28)</f>
        <v/>
      </c>
      <c r="BX28" s="55">
        <f>SUMIF($CB$4:$JS$4,"&gt;"&amp;'VALOR POR PL'!$P$8,$CB28:$JS28)</f>
        <v/>
      </c>
      <c r="BY28" s="55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60" t="inlineStr">
        <is>
          <t>ESQUADRIAS</t>
        </is>
      </c>
      <c r="C29" s="60" t="n"/>
      <c r="D29" s="55">
        <f>SUMIF($CB$4:$JS$4,"&lt;="&amp;D$4,$CB29:$JS29)</f>
        <v/>
      </c>
      <c r="E29" s="55">
        <f>SUMIF($CB$4:$JS$4,E$4,$CB29:$JS29)</f>
        <v/>
      </c>
      <c r="F29" s="55">
        <f>SUMIF($CB$4:$JS$4,F$4,$CB29:$JS29)</f>
        <v/>
      </c>
      <c r="G29" s="55">
        <f>SUMIF($CB$4:$JS$4,G$4,$CB29:$JS29)</f>
        <v/>
      </c>
      <c r="H29" s="55">
        <f>SUMIF($CB$4:$JS$4,H$4,$CB29:$JS29)</f>
        <v/>
      </c>
      <c r="I29" s="55">
        <f>SUMIF($CB$4:$JS$4,I$4,$CB29:$JS29)</f>
        <v/>
      </c>
      <c r="J29" s="55">
        <f>SUMIF($CB$4:$JS$4,J$4,$CB29:$JS29)</f>
        <v/>
      </c>
      <c r="K29" s="55">
        <f>SUMIF($CB$4:$JS$4,K$4,$CB29:$JS29)</f>
        <v/>
      </c>
      <c r="L29" s="55">
        <f>SUMIF($CB$4:$JS$4,L$4,$CB29:$JS29)</f>
        <v/>
      </c>
      <c r="M29" s="55">
        <f>SUMIF($CB$4:$JS$4,M$4,$CB29:$JS29)</f>
        <v/>
      </c>
      <c r="N29" s="55">
        <f>SUMIF($CB$4:$JS$4,N$4,$CB29:$JS29)</f>
        <v/>
      </c>
      <c r="O29" s="55">
        <f>SUMIF($CB$4:$JS$4,O$4,$CB29:$JS29)</f>
        <v/>
      </c>
      <c r="P29" s="55">
        <f>SUMIF($CB$4:$JS$4,P$4,$CB29:$JS29)</f>
        <v/>
      </c>
      <c r="Q29" s="55">
        <f>SUMIF($CB$4:$JS$4,Q$4,$CB29:$JS29)</f>
        <v/>
      </c>
      <c r="R29" s="55">
        <f>SUMIF($CB$4:$JS$4,R$4,$CB29:$JS29)</f>
        <v/>
      </c>
      <c r="S29" s="55">
        <f>SUMIF($CB$4:$JS$4,S$4,$CB29:$JS29)</f>
        <v/>
      </c>
      <c r="T29" s="55">
        <f>SUMIF($CB$4:$JS$4,T$4,$CB29:$JS29)</f>
        <v/>
      </c>
      <c r="U29" s="55">
        <f>SUMIF($CB$4:$JS$4,U$4,$CB29:$JS29)</f>
        <v/>
      </c>
      <c r="V29" s="55">
        <f>SUMIF($CB$4:$JS$4,V$4,$CB29:$JS29)</f>
        <v/>
      </c>
      <c r="W29" s="55">
        <f>SUMIF($CB$4:$JS$4,W$4,$CB29:$JS29)</f>
        <v/>
      </c>
      <c r="X29" s="55">
        <f>SUMIF($CB$4:$JS$4,X$4,$CB29:$JS29)</f>
        <v/>
      </c>
      <c r="Y29" s="55">
        <f>SUMIF($CB$4:$JS$4,Y$4,$CB29:$JS29)</f>
        <v/>
      </c>
      <c r="Z29" s="55">
        <f>SUMIF($CB$4:$JS$4,Z$4,$CB29:$JS29)</f>
        <v/>
      </c>
      <c r="AA29" s="55">
        <f>SUMIF($CB$4:$JS$4,AA$4,$CB29:$JS29)</f>
        <v/>
      </c>
      <c r="AB29" s="55">
        <f>SUMIF($CB$4:$JS$4,AB$4,$CB29:$JS29)</f>
        <v/>
      </c>
      <c r="AC29" s="55">
        <f>SUMIF($CB$4:$JS$4,AC$4,$CB29:$JS29)</f>
        <v/>
      </c>
      <c r="AD29" s="55">
        <f>SUMIF($CB$4:$JS$4,AD$4,$CB29:$JS29)</f>
        <v/>
      </c>
      <c r="AE29" s="55">
        <f>SUMIF($CB$4:$JS$4,AE$4,$CB29:$JS29)</f>
        <v/>
      </c>
      <c r="AF29" s="55">
        <f>SUMIF($CB$4:$JS$4,AF$4,$CB29:$JS29)</f>
        <v/>
      </c>
      <c r="AG29" s="55">
        <f>SUMIF($CB$4:$JS$4,AG$4,$CB29:$JS29)</f>
        <v/>
      </c>
      <c r="AH29" s="55">
        <f>SUMIF($CB$4:$JS$4,AH$4,$CB29:$JS29)</f>
        <v/>
      </c>
      <c r="AI29" s="55">
        <f>SUMIF($CB$4:$JS$4,AI$4,$CB29:$JS29)</f>
        <v/>
      </c>
      <c r="AJ29" s="55">
        <f>SUMIF($CB$4:$JS$4,AJ$4,$CB29:$JS29)</f>
        <v/>
      </c>
      <c r="AK29" s="55">
        <f>SUMIF($CB$4:$JS$4,AK$4,$CB29:$JS29)</f>
        <v/>
      </c>
      <c r="AL29" s="55">
        <f>SUMIF($CB$4:$JS$4,AL$4,$CB29:$JS29)</f>
        <v/>
      </c>
      <c r="AM29" s="55">
        <f>SUMIF($CB$4:$JS$4,AM$4,$CB29:$JS29)</f>
        <v/>
      </c>
      <c r="AN29" s="55">
        <f>SUMIF($CB$4:$JS$4,AN$4,$CB29:$JS29)</f>
        <v/>
      </c>
      <c r="AO29" s="55">
        <f>SUMIF($CB$4:$JS$4,AO$4,$CB29:$JS29)</f>
        <v/>
      </c>
      <c r="AP29" s="55">
        <f>SUMIF($CB$4:$JS$4,AP$4,$CB29:$JS29)</f>
        <v/>
      </c>
      <c r="AQ29" s="55">
        <f>SUMIF($CB$4:$JS$4,AQ$4,$CB29:$JS29)</f>
        <v/>
      </c>
      <c r="AR29" s="55">
        <f>SUMIF($CB$4:$JS$4,AR$4,$CB29:$JS29)</f>
        <v/>
      </c>
      <c r="AS29" s="55">
        <f>SUMIF($CB$4:$JS$4,AS$4,$CB29:$JS29)</f>
        <v/>
      </c>
      <c r="AT29" s="55">
        <f>SUMIF($CB$4:$JS$4,AT$4,$CB29:$JS29)</f>
        <v/>
      </c>
      <c r="AU29" s="55">
        <f>SUMIF($CB$4:$JS$4,AU$4,$CB29:$JS29)</f>
        <v/>
      </c>
      <c r="AV29" s="55">
        <f>SUMIF($CB$4:$JS$4,AV$4,$CB29:$JS29)</f>
        <v/>
      </c>
      <c r="AW29" s="55">
        <f>SUMIF($CB$4:$JS$4,AW$4,$CB29:$JS29)</f>
        <v/>
      </c>
      <c r="AX29" s="55">
        <f>SUMIF($CB$4:$JS$4,AX$4,$CB29:$JS29)</f>
        <v/>
      </c>
      <c r="AY29" s="55">
        <f>SUMIF($CB$4:$JS$4,AY$4,$CB29:$JS29)</f>
        <v/>
      </c>
      <c r="AZ29" s="55">
        <f>SUMIF($CB$4:$JS$4,AZ$4,$CB29:$JS29)</f>
        <v/>
      </c>
      <c r="BA29" s="55">
        <f>SUMIF($CB$4:$JS$4,BA$4,$CB29:$JS29)</f>
        <v/>
      </c>
      <c r="BB29" s="55">
        <f>SUMIF($CB$4:$JS$4,BB$4,$CB29:$JS29)</f>
        <v/>
      </c>
      <c r="BC29" s="55">
        <f>SUMIF($CB$4:$JS$4,BC$4,$CB29:$JS29)</f>
        <v/>
      </c>
      <c r="BD29" s="55">
        <f>SUMIF($CB$4:$JS$4,BD$4,$CB29:$JS29)</f>
        <v/>
      </c>
      <c r="BE29" s="55">
        <f>SUMIF($CB$4:$JS$4,BE$4,$CB29:$JS29)</f>
        <v/>
      </c>
      <c r="BF29" s="55">
        <f>SUMIF($CB$4:$JS$4,BF$4,$CB29:$JS29)</f>
        <v/>
      </c>
      <c r="BG29" s="55">
        <f>SUMIF($CB$4:$JS$4,BG$4,$CB29:$JS29)</f>
        <v/>
      </c>
      <c r="BH29" s="55">
        <f>SUMIF($CB$4:$JS$4,BH$4,$CB29:$JS29)</f>
        <v/>
      </c>
      <c r="BI29" s="55">
        <f>SUMIF($CB$4:$JS$4,BI$4,$CB29:$JS29)</f>
        <v/>
      </c>
      <c r="BJ29" s="55">
        <f>SUMIF($CB$4:$JS$4,BJ$4,$CB29:$JS29)</f>
        <v/>
      </c>
      <c r="BK29" s="55">
        <f>SUMIF($CB$4:$JS$4,BK$4,$CB29:$JS29)</f>
        <v/>
      </c>
      <c r="BL29" s="55">
        <f>SUMIF($CB$4:$JS$4,BL$4,$CB29:$JS29)</f>
        <v/>
      </c>
      <c r="BM29" s="55">
        <f>SUMIF($CB$4:$JS$4,BM$4,$CB29:$JS29)</f>
        <v/>
      </c>
      <c r="BN29" s="55">
        <f>SUMIF($CB$4:$JS$4,BN$4,$CB29:$JS29)</f>
        <v/>
      </c>
      <c r="BO29" s="55">
        <f>SUMIF($CB$4:$JS$4,BO$4,$CB29:$JS29)</f>
        <v/>
      </c>
      <c r="BP29" s="55">
        <f>SUMIF($CB$4:$JS$4,BP$4,$CB29:$JS29)</f>
        <v/>
      </c>
      <c r="BQ29" s="55">
        <f>SUMIF($CB$4:$JS$4,BQ$4,$CB29:$JS29)</f>
        <v/>
      </c>
      <c r="BR29" s="55">
        <f>SUMIF($CB$4:$JS$4,BR$4,$CB29:$JS29)</f>
        <v/>
      </c>
      <c r="BS29" s="55">
        <f>SUMIF($CB$4:$JS$4,BS$4,$CB29:$JS29)</f>
        <v/>
      </c>
      <c r="BT29" s="55">
        <f>SUMIF($CB$4:$JS$4,BT$4,$CB29:$JS29)</f>
        <v/>
      </c>
      <c r="BU29" s="55">
        <f>SUMIF($CB$4:$JS$4,BU$4,$CB29:$JS29)</f>
        <v/>
      </c>
      <c r="BV29" s="55">
        <f>SUMIF($CB$4:$JS$4,BV$4,$CB29:$JS29)</f>
        <v/>
      </c>
      <c r="BW29" s="55">
        <f>SUMIF($CB$4:$JS$4,BW$4,$CB29:$JS29)</f>
        <v/>
      </c>
      <c r="BX29" s="55">
        <f>SUMIF($CB$4:$JS$4,"&gt;"&amp;'VALOR POR PL'!$P$8,$CB29:$JS29)</f>
        <v/>
      </c>
      <c r="BY29" s="55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60" t="inlineStr">
        <is>
          <t>SERRALHERIA</t>
        </is>
      </c>
      <c r="C30" s="60" t="n"/>
      <c r="D30" s="55">
        <f>SUMIF($CB$4:$JS$4,"&lt;="&amp;D$4,$CB30:$JS30)</f>
        <v/>
      </c>
      <c r="E30" s="55">
        <f>SUMIF($CB$4:$JS$4,E$4,$CB30:$JS30)</f>
        <v/>
      </c>
      <c r="F30" s="55">
        <f>SUMIF($CB$4:$JS$4,F$4,$CB30:$JS30)</f>
        <v/>
      </c>
      <c r="G30" s="55">
        <f>SUMIF($CB$4:$JS$4,G$4,$CB30:$JS30)</f>
        <v/>
      </c>
      <c r="H30" s="55">
        <f>SUMIF($CB$4:$JS$4,H$4,$CB30:$JS30)</f>
        <v/>
      </c>
      <c r="I30" s="55">
        <f>SUMIF($CB$4:$JS$4,I$4,$CB30:$JS30)</f>
        <v/>
      </c>
      <c r="J30" s="55">
        <f>SUMIF($CB$4:$JS$4,J$4,$CB30:$JS30)</f>
        <v/>
      </c>
      <c r="K30" s="55">
        <f>SUMIF($CB$4:$JS$4,K$4,$CB30:$JS30)</f>
        <v/>
      </c>
      <c r="L30" s="55">
        <f>SUMIF($CB$4:$JS$4,L$4,$CB30:$JS30)</f>
        <v/>
      </c>
      <c r="M30" s="55">
        <f>SUMIF($CB$4:$JS$4,M$4,$CB30:$JS30)</f>
        <v/>
      </c>
      <c r="N30" s="55">
        <f>SUMIF($CB$4:$JS$4,N$4,$CB30:$JS30)</f>
        <v/>
      </c>
      <c r="O30" s="55">
        <f>SUMIF($CB$4:$JS$4,O$4,$CB30:$JS30)</f>
        <v/>
      </c>
      <c r="P30" s="55">
        <f>SUMIF($CB$4:$JS$4,P$4,$CB30:$JS30)</f>
        <v/>
      </c>
      <c r="Q30" s="55">
        <f>SUMIF($CB$4:$JS$4,Q$4,$CB30:$JS30)</f>
        <v/>
      </c>
      <c r="R30" s="55">
        <f>SUMIF($CB$4:$JS$4,R$4,$CB30:$JS30)</f>
        <v/>
      </c>
      <c r="S30" s="55">
        <f>SUMIF($CB$4:$JS$4,S$4,$CB30:$JS30)</f>
        <v/>
      </c>
      <c r="T30" s="55">
        <f>SUMIF($CB$4:$JS$4,T$4,$CB30:$JS30)</f>
        <v/>
      </c>
      <c r="U30" s="55">
        <f>SUMIF($CB$4:$JS$4,U$4,$CB30:$JS30)</f>
        <v/>
      </c>
      <c r="V30" s="55">
        <f>SUMIF($CB$4:$JS$4,V$4,$CB30:$JS30)</f>
        <v/>
      </c>
      <c r="W30" s="55">
        <f>SUMIF($CB$4:$JS$4,W$4,$CB30:$JS30)</f>
        <v/>
      </c>
      <c r="X30" s="55">
        <f>SUMIF($CB$4:$JS$4,X$4,$CB30:$JS30)</f>
        <v/>
      </c>
      <c r="Y30" s="55">
        <f>SUMIF($CB$4:$JS$4,Y$4,$CB30:$JS30)</f>
        <v/>
      </c>
      <c r="Z30" s="55">
        <f>SUMIF($CB$4:$JS$4,Z$4,$CB30:$JS30)</f>
        <v/>
      </c>
      <c r="AA30" s="55">
        <f>SUMIF($CB$4:$JS$4,AA$4,$CB30:$JS30)</f>
        <v/>
      </c>
      <c r="AB30" s="55">
        <f>SUMIF($CB$4:$JS$4,AB$4,$CB30:$JS30)</f>
        <v/>
      </c>
      <c r="AC30" s="55">
        <f>SUMIF($CB$4:$JS$4,AC$4,$CB30:$JS30)</f>
        <v/>
      </c>
      <c r="AD30" s="55">
        <f>SUMIF($CB$4:$JS$4,AD$4,$CB30:$JS30)</f>
        <v/>
      </c>
      <c r="AE30" s="55">
        <f>SUMIF($CB$4:$JS$4,AE$4,$CB30:$JS30)</f>
        <v/>
      </c>
      <c r="AF30" s="55">
        <f>SUMIF($CB$4:$JS$4,AF$4,$CB30:$JS30)</f>
        <v/>
      </c>
      <c r="AG30" s="55">
        <f>SUMIF($CB$4:$JS$4,AG$4,$CB30:$JS30)</f>
        <v/>
      </c>
      <c r="AH30" s="55">
        <f>SUMIF($CB$4:$JS$4,AH$4,$CB30:$JS30)</f>
        <v/>
      </c>
      <c r="AI30" s="55">
        <f>SUMIF($CB$4:$JS$4,AI$4,$CB30:$JS30)</f>
        <v/>
      </c>
      <c r="AJ30" s="55">
        <f>SUMIF($CB$4:$JS$4,AJ$4,$CB30:$JS30)</f>
        <v/>
      </c>
      <c r="AK30" s="55">
        <f>SUMIF($CB$4:$JS$4,AK$4,$CB30:$JS30)</f>
        <v/>
      </c>
      <c r="AL30" s="55">
        <f>SUMIF($CB$4:$JS$4,AL$4,$CB30:$JS30)</f>
        <v/>
      </c>
      <c r="AM30" s="55">
        <f>SUMIF($CB$4:$JS$4,AM$4,$CB30:$JS30)</f>
        <v/>
      </c>
      <c r="AN30" s="55">
        <f>SUMIF($CB$4:$JS$4,AN$4,$CB30:$JS30)</f>
        <v/>
      </c>
      <c r="AO30" s="55">
        <f>SUMIF($CB$4:$JS$4,AO$4,$CB30:$JS30)</f>
        <v/>
      </c>
      <c r="AP30" s="55">
        <f>SUMIF($CB$4:$JS$4,AP$4,$CB30:$JS30)</f>
        <v/>
      </c>
      <c r="AQ30" s="55">
        <f>SUMIF($CB$4:$JS$4,AQ$4,$CB30:$JS30)</f>
        <v/>
      </c>
      <c r="AR30" s="55">
        <f>SUMIF($CB$4:$JS$4,AR$4,$CB30:$JS30)</f>
        <v/>
      </c>
      <c r="AS30" s="55">
        <f>SUMIF($CB$4:$JS$4,AS$4,$CB30:$JS30)</f>
        <v/>
      </c>
      <c r="AT30" s="55">
        <f>SUMIF($CB$4:$JS$4,AT$4,$CB30:$JS30)</f>
        <v/>
      </c>
      <c r="AU30" s="55">
        <f>SUMIF($CB$4:$JS$4,AU$4,$CB30:$JS30)</f>
        <v/>
      </c>
      <c r="AV30" s="55">
        <f>SUMIF($CB$4:$JS$4,AV$4,$CB30:$JS30)</f>
        <v/>
      </c>
      <c r="AW30" s="55">
        <f>SUMIF($CB$4:$JS$4,AW$4,$CB30:$JS30)</f>
        <v/>
      </c>
      <c r="AX30" s="55">
        <f>SUMIF($CB$4:$JS$4,AX$4,$CB30:$JS30)</f>
        <v/>
      </c>
      <c r="AY30" s="55">
        <f>SUMIF($CB$4:$JS$4,AY$4,$CB30:$JS30)</f>
        <v/>
      </c>
      <c r="AZ30" s="55">
        <f>SUMIF($CB$4:$JS$4,AZ$4,$CB30:$JS30)</f>
        <v/>
      </c>
      <c r="BA30" s="55">
        <f>SUMIF($CB$4:$JS$4,BA$4,$CB30:$JS30)</f>
        <v/>
      </c>
      <c r="BB30" s="55">
        <f>SUMIF($CB$4:$JS$4,BB$4,$CB30:$JS30)</f>
        <v/>
      </c>
      <c r="BC30" s="55">
        <f>SUMIF($CB$4:$JS$4,BC$4,$CB30:$JS30)</f>
        <v/>
      </c>
      <c r="BD30" s="55">
        <f>SUMIF($CB$4:$JS$4,BD$4,$CB30:$JS30)</f>
        <v/>
      </c>
      <c r="BE30" s="55">
        <f>SUMIF($CB$4:$JS$4,BE$4,$CB30:$JS30)</f>
        <v/>
      </c>
      <c r="BF30" s="55">
        <f>SUMIF($CB$4:$JS$4,BF$4,$CB30:$JS30)</f>
        <v/>
      </c>
      <c r="BG30" s="55">
        <f>SUMIF($CB$4:$JS$4,BG$4,$CB30:$JS30)</f>
        <v/>
      </c>
      <c r="BH30" s="55">
        <f>SUMIF($CB$4:$JS$4,BH$4,$CB30:$JS30)</f>
        <v/>
      </c>
      <c r="BI30" s="55">
        <f>SUMIF($CB$4:$JS$4,BI$4,$CB30:$JS30)</f>
        <v/>
      </c>
      <c r="BJ30" s="55">
        <f>SUMIF($CB$4:$JS$4,BJ$4,$CB30:$JS30)</f>
        <v/>
      </c>
      <c r="BK30" s="55">
        <f>SUMIF($CB$4:$JS$4,BK$4,$CB30:$JS30)</f>
        <v/>
      </c>
      <c r="BL30" s="55">
        <f>SUMIF($CB$4:$JS$4,BL$4,$CB30:$JS30)</f>
        <v/>
      </c>
      <c r="BM30" s="55">
        <f>SUMIF($CB$4:$JS$4,BM$4,$CB30:$JS30)</f>
        <v/>
      </c>
      <c r="BN30" s="55">
        <f>SUMIF($CB$4:$JS$4,BN$4,$CB30:$JS30)</f>
        <v/>
      </c>
      <c r="BO30" s="55">
        <f>SUMIF($CB$4:$JS$4,BO$4,$CB30:$JS30)</f>
        <v/>
      </c>
      <c r="BP30" s="55">
        <f>SUMIF($CB$4:$JS$4,BP$4,$CB30:$JS30)</f>
        <v/>
      </c>
      <c r="BQ30" s="55">
        <f>SUMIF($CB$4:$JS$4,BQ$4,$CB30:$JS30)</f>
        <v/>
      </c>
      <c r="BR30" s="55">
        <f>SUMIF($CB$4:$JS$4,BR$4,$CB30:$JS30)</f>
        <v/>
      </c>
      <c r="BS30" s="55">
        <f>SUMIF($CB$4:$JS$4,BS$4,$CB30:$JS30)</f>
        <v/>
      </c>
      <c r="BT30" s="55">
        <f>SUMIF($CB$4:$JS$4,BT$4,$CB30:$JS30)</f>
        <v/>
      </c>
      <c r="BU30" s="55">
        <f>SUMIF($CB$4:$JS$4,BU$4,$CB30:$JS30)</f>
        <v/>
      </c>
      <c r="BV30" s="55">
        <f>SUMIF($CB$4:$JS$4,BV$4,$CB30:$JS30)</f>
        <v/>
      </c>
      <c r="BW30" s="55">
        <f>SUMIF($CB$4:$JS$4,BW$4,$CB30:$JS30)</f>
        <v/>
      </c>
      <c r="BX30" s="55">
        <f>SUMIF($CB$4:$JS$4,"&gt;"&amp;'VALOR POR PL'!$P$8,$CB30:$JS30)</f>
        <v/>
      </c>
      <c r="BY30" s="55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60" t="inlineStr">
        <is>
          <t>MARCENARIA</t>
        </is>
      </c>
      <c r="C31" s="60" t="n"/>
      <c r="D31" s="55">
        <f>SUMIF($CB$4:$JS$4,"&lt;="&amp;D$4,$CB31:$JS31)</f>
        <v/>
      </c>
      <c r="E31" s="55">
        <f>SUMIF($CB$4:$JS$4,E$4,$CB31:$JS31)</f>
        <v/>
      </c>
      <c r="F31" s="55">
        <f>SUMIF($CB$4:$JS$4,F$4,$CB31:$JS31)</f>
        <v/>
      </c>
      <c r="G31" s="55">
        <f>SUMIF($CB$4:$JS$4,G$4,$CB31:$JS31)</f>
        <v/>
      </c>
      <c r="H31" s="55">
        <f>SUMIF($CB$4:$JS$4,H$4,$CB31:$JS31)</f>
        <v/>
      </c>
      <c r="I31" s="55">
        <f>SUMIF($CB$4:$JS$4,I$4,$CB31:$JS31)</f>
        <v/>
      </c>
      <c r="J31" s="55">
        <f>SUMIF($CB$4:$JS$4,J$4,$CB31:$JS31)</f>
        <v/>
      </c>
      <c r="K31" s="55">
        <f>SUMIF($CB$4:$JS$4,K$4,$CB31:$JS31)</f>
        <v/>
      </c>
      <c r="L31" s="55">
        <f>SUMIF($CB$4:$JS$4,L$4,$CB31:$JS31)</f>
        <v/>
      </c>
      <c r="M31" s="55">
        <f>SUMIF($CB$4:$JS$4,M$4,$CB31:$JS31)</f>
        <v/>
      </c>
      <c r="N31" s="55">
        <f>SUMIF($CB$4:$JS$4,N$4,$CB31:$JS31)</f>
        <v/>
      </c>
      <c r="O31" s="55">
        <f>SUMIF($CB$4:$JS$4,O$4,$CB31:$JS31)</f>
        <v/>
      </c>
      <c r="P31" s="55">
        <f>SUMIF($CB$4:$JS$4,P$4,$CB31:$JS31)</f>
        <v/>
      </c>
      <c r="Q31" s="55">
        <f>SUMIF($CB$4:$JS$4,Q$4,$CB31:$JS31)</f>
        <v/>
      </c>
      <c r="R31" s="55">
        <f>SUMIF($CB$4:$JS$4,R$4,$CB31:$JS31)</f>
        <v/>
      </c>
      <c r="S31" s="55">
        <f>SUMIF($CB$4:$JS$4,S$4,$CB31:$JS31)</f>
        <v/>
      </c>
      <c r="T31" s="55">
        <f>SUMIF($CB$4:$JS$4,T$4,$CB31:$JS31)</f>
        <v/>
      </c>
      <c r="U31" s="55">
        <f>SUMIF($CB$4:$JS$4,U$4,$CB31:$JS31)</f>
        <v/>
      </c>
      <c r="V31" s="55">
        <f>SUMIF($CB$4:$JS$4,V$4,$CB31:$JS31)</f>
        <v/>
      </c>
      <c r="W31" s="55">
        <f>SUMIF($CB$4:$JS$4,W$4,$CB31:$JS31)</f>
        <v/>
      </c>
      <c r="X31" s="55">
        <f>SUMIF($CB$4:$JS$4,X$4,$CB31:$JS31)</f>
        <v/>
      </c>
      <c r="Y31" s="55">
        <f>SUMIF($CB$4:$JS$4,Y$4,$CB31:$JS31)</f>
        <v/>
      </c>
      <c r="Z31" s="55">
        <f>SUMIF($CB$4:$JS$4,Z$4,$CB31:$JS31)</f>
        <v/>
      </c>
      <c r="AA31" s="55">
        <f>SUMIF($CB$4:$JS$4,AA$4,$CB31:$JS31)</f>
        <v/>
      </c>
      <c r="AB31" s="55">
        <f>SUMIF($CB$4:$JS$4,AB$4,$CB31:$JS31)</f>
        <v/>
      </c>
      <c r="AC31" s="55">
        <f>SUMIF($CB$4:$JS$4,AC$4,$CB31:$JS31)</f>
        <v/>
      </c>
      <c r="AD31" s="55">
        <f>SUMIF($CB$4:$JS$4,AD$4,$CB31:$JS31)</f>
        <v/>
      </c>
      <c r="AE31" s="55">
        <f>SUMIF($CB$4:$JS$4,AE$4,$CB31:$JS31)</f>
        <v/>
      </c>
      <c r="AF31" s="55">
        <f>SUMIF($CB$4:$JS$4,AF$4,$CB31:$JS31)</f>
        <v/>
      </c>
      <c r="AG31" s="55">
        <f>SUMIF($CB$4:$JS$4,AG$4,$CB31:$JS31)</f>
        <v/>
      </c>
      <c r="AH31" s="55">
        <f>SUMIF($CB$4:$JS$4,AH$4,$CB31:$JS31)</f>
        <v/>
      </c>
      <c r="AI31" s="55">
        <f>SUMIF($CB$4:$JS$4,AI$4,$CB31:$JS31)</f>
        <v/>
      </c>
      <c r="AJ31" s="55">
        <f>SUMIF($CB$4:$JS$4,AJ$4,$CB31:$JS31)</f>
        <v/>
      </c>
      <c r="AK31" s="55">
        <f>SUMIF($CB$4:$JS$4,AK$4,$CB31:$JS31)</f>
        <v/>
      </c>
      <c r="AL31" s="55">
        <f>SUMIF($CB$4:$JS$4,AL$4,$CB31:$JS31)</f>
        <v/>
      </c>
      <c r="AM31" s="55">
        <f>SUMIF($CB$4:$JS$4,AM$4,$CB31:$JS31)</f>
        <v/>
      </c>
      <c r="AN31" s="55">
        <f>SUMIF($CB$4:$JS$4,AN$4,$CB31:$JS31)</f>
        <v/>
      </c>
      <c r="AO31" s="55">
        <f>SUMIF($CB$4:$JS$4,AO$4,$CB31:$JS31)</f>
        <v/>
      </c>
      <c r="AP31" s="55">
        <f>SUMIF($CB$4:$JS$4,AP$4,$CB31:$JS31)</f>
        <v/>
      </c>
      <c r="AQ31" s="55">
        <f>SUMIF($CB$4:$JS$4,AQ$4,$CB31:$JS31)</f>
        <v/>
      </c>
      <c r="AR31" s="55">
        <f>SUMIF($CB$4:$JS$4,AR$4,$CB31:$JS31)</f>
        <v/>
      </c>
      <c r="AS31" s="55">
        <f>SUMIF($CB$4:$JS$4,AS$4,$CB31:$JS31)</f>
        <v/>
      </c>
      <c r="AT31" s="55">
        <f>SUMIF($CB$4:$JS$4,AT$4,$CB31:$JS31)</f>
        <v/>
      </c>
      <c r="AU31" s="55">
        <f>SUMIF($CB$4:$JS$4,AU$4,$CB31:$JS31)</f>
        <v/>
      </c>
      <c r="AV31" s="55">
        <f>SUMIF($CB$4:$JS$4,AV$4,$CB31:$JS31)</f>
        <v/>
      </c>
      <c r="AW31" s="55">
        <f>SUMIF($CB$4:$JS$4,AW$4,$CB31:$JS31)</f>
        <v/>
      </c>
      <c r="AX31" s="55">
        <f>SUMIF($CB$4:$JS$4,AX$4,$CB31:$JS31)</f>
        <v/>
      </c>
      <c r="AY31" s="55">
        <f>SUMIF($CB$4:$JS$4,AY$4,$CB31:$JS31)</f>
        <v/>
      </c>
      <c r="AZ31" s="55">
        <f>SUMIF($CB$4:$JS$4,AZ$4,$CB31:$JS31)</f>
        <v/>
      </c>
      <c r="BA31" s="55">
        <f>SUMIF($CB$4:$JS$4,BA$4,$CB31:$JS31)</f>
        <v/>
      </c>
      <c r="BB31" s="55">
        <f>SUMIF($CB$4:$JS$4,BB$4,$CB31:$JS31)</f>
        <v/>
      </c>
      <c r="BC31" s="55">
        <f>SUMIF($CB$4:$JS$4,BC$4,$CB31:$JS31)</f>
        <v/>
      </c>
      <c r="BD31" s="55">
        <f>SUMIF($CB$4:$JS$4,BD$4,$CB31:$JS31)</f>
        <v/>
      </c>
      <c r="BE31" s="55">
        <f>SUMIF($CB$4:$JS$4,BE$4,$CB31:$JS31)</f>
        <v/>
      </c>
      <c r="BF31" s="55">
        <f>SUMIF($CB$4:$JS$4,BF$4,$CB31:$JS31)</f>
        <v/>
      </c>
      <c r="BG31" s="55">
        <f>SUMIF($CB$4:$JS$4,BG$4,$CB31:$JS31)</f>
        <v/>
      </c>
      <c r="BH31" s="55">
        <f>SUMIF($CB$4:$JS$4,BH$4,$CB31:$JS31)</f>
        <v/>
      </c>
      <c r="BI31" s="55">
        <f>SUMIF($CB$4:$JS$4,BI$4,$CB31:$JS31)</f>
        <v/>
      </c>
      <c r="BJ31" s="55">
        <f>SUMIF($CB$4:$JS$4,BJ$4,$CB31:$JS31)</f>
        <v/>
      </c>
      <c r="BK31" s="55">
        <f>SUMIF($CB$4:$JS$4,BK$4,$CB31:$JS31)</f>
        <v/>
      </c>
      <c r="BL31" s="55">
        <f>SUMIF($CB$4:$JS$4,BL$4,$CB31:$JS31)</f>
        <v/>
      </c>
      <c r="BM31" s="55">
        <f>SUMIF($CB$4:$JS$4,BM$4,$CB31:$JS31)</f>
        <v/>
      </c>
      <c r="BN31" s="55">
        <f>SUMIF($CB$4:$JS$4,BN$4,$CB31:$JS31)</f>
        <v/>
      </c>
      <c r="BO31" s="55">
        <f>SUMIF($CB$4:$JS$4,BO$4,$CB31:$JS31)</f>
        <v/>
      </c>
      <c r="BP31" s="55">
        <f>SUMIF($CB$4:$JS$4,BP$4,$CB31:$JS31)</f>
        <v/>
      </c>
      <c r="BQ31" s="55">
        <f>SUMIF($CB$4:$JS$4,BQ$4,$CB31:$JS31)</f>
        <v/>
      </c>
      <c r="BR31" s="55">
        <f>SUMIF($CB$4:$JS$4,BR$4,$CB31:$JS31)</f>
        <v/>
      </c>
      <c r="BS31" s="55">
        <f>SUMIF($CB$4:$JS$4,BS$4,$CB31:$JS31)</f>
        <v/>
      </c>
      <c r="BT31" s="55">
        <f>SUMIF($CB$4:$JS$4,BT$4,$CB31:$JS31)</f>
        <v/>
      </c>
      <c r="BU31" s="55">
        <f>SUMIF($CB$4:$JS$4,BU$4,$CB31:$JS31)</f>
        <v/>
      </c>
      <c r="BV31" s="55">
        <f>SUMIF($CB$4:$JS$4,BV$4,$CB31:$JS31)</f>
        <v/>
      </c>
      <c r="BW31" s="55">
        <f>SUMIF($CB$4:$JS$4,BW$4,$CB31:$JS31)</f>
        <v/>
      </c>
      <c r="BX31" s="55">
        <f>SUMIF($CB$4:$JS$4,"&gt;"&amp;'VALOR POR PL'!$P$8,$CB31:$JS31)</f>
        <v/>
      </c>
      <c r="BY31" s="55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60" t="inlineStr">
        <is>
          <t>REVESTIMENTOS DE MASSA EM PISOS</t>
        </is>
      </c>
      <c r="C32" s="60" t="n"/>
      <c r="D32" s="55">
        <f>SUMIF($CB$4:$JS$4,"&lt;="&amp;D$4,$CB32:$JS32)</f>
        <v/>
      </c>
      <c r="E32" s="55">
        <f>SUMIF($CB$4:$JS$4,E$4,$CB32:$JS32)</f>
        <v/>
      </c>
      <c r="F32" s="55">
        <f>SUMIF($CB$4:$JS$4,F$4,$CB32:$JS32)</f>
        <v/>
      </c>
      <c r="G32" s="55">
        <f>SUMIF($CB$4:$JS$4,G$4,$CB32:$JS32)</f>
        <v/>
      </c>
      <c r="H32" s="55">
        <f>SUMIF($CB$4:$JS$4,H$4,$CB32:$JS32)</f>
        <v/>
      </c>
      <c r="I32" s="55">
        <f>SUMIF($CB$4:$JS$4,I$4,$CB32:$JS32)</f>
        <v/>
      </c>
      <c r="J32" s="55">
        <f>SUMIF($CB$4:$JS$4,J$4,$CB32:$JS32)</f>
        <v/>
      </c>
      <c r="K32" s="55">
        <f>SUMIF($CB$4:$JS$4,K$4,$CB32:$JS32)</f>
        <v/>
      </c>
      <c r="L32" s="55">
        <f>SUMIF($CB$4:$JS$4,L$4,$CB32:$JS32)</f>
        <v/>
      </c>
      <c r="M32" s="55">
        <f>SUMIF($CB$4:$JS$4,M$4,$CB32:$JS32)</f>
        <v/>
      </c>
      <c r="N32" s="55">
        <f>SUMIF($CB$4:$JS$4,N$4,$CB32:$JS32)</f>
        <v/>
      </c>
      <c r="O32" s="55">
        <f>SUMIF($CB$4:$JS$4,O$4,$CB32:$JS32)</f>
        <v/>
      </c>
      <c r="P32" s="55">
        <f>SUMIF($CB$4:$JS$4,P$4,$CB32:$JS32)</f>
        <v/>
      </c>
      <c r="Q32" s="55">
        <f>SUMIF($CB$4:$JS$4,Q$4,$CB32:$JS32)</f>
        <v/>
      </c>
      <c r="R32" s="55">
        <f>SUMIF($CB$4:$JS$4,R$4,$CB32:$JS32)</f>
        <v/>
      </c>
      <c r="S32" s="55">
        <f>SUMIF($CB$4:$JS$4,S$4,$CB32:$JS32)</f>
        <v/>
      </c>
      <c r="T32" s="55">
        <f>SUMIF($CB$4:$JS$4,T$4,$CB32:$JS32)</f>
        <v/>
      </c>
      <c r="U32" s="55">
        <f>SUMIF($CB$4:$JS$4,U$4,$CB32:$JS32)</f>
        <v/>
      </c>
      <c r="V32" s="55">
        <f>SUMIF($CB$4:$JS$4,V$4,$CB32:$JS32)</f>
        <v/>
      </c>
      <c r="W32" s="55">
        <f>SUMIF($CB$4:$JS$4,W$4,$CB32:$JS32)</f>
        <v/>
      </c>
      <c r="X32" s="55">
        <f>SUMIF($CB$4:$JS$4,X$4,$CB32:$JS32)</f>
        <v/>
      </c>
      <c r="Y32" s="55">
        <f>SUMIF($CB$4:$JS$4,Y$4,$CB32:$JS32)</f>
        <v/>
      </c>
      <c r="Z32" s="55">
        <f>SUMIF($CB$4:$JS$4,Z$4,$CB32:$JS32)</f>
        <v/>
      </c>
      <c r="AA32" s="55">
        <f>SUMIF($CB$4:$JS$4,AA$4,$CB32:$JS32)</f>
        <v/>
      </c>
      <c r="AB32" s="55">
        <f>SUMIF($CB$4:$JS$4,AB$4,$CB32:$JS32)</f>
        <v/>
      </c>
      <c r="AC32" s="55">
        <f>SUMIF($CB$4:$JS$4,AC$4,$CB32:$JS32)</f>
        <v/>
      </c>
      <c r="AD32" s="55">
        <f>SUMIF($CB$4:$JS$4,AD$4,$CB32:$JS32)</f>
        <v/>
      </c>
      <c r="AE32" s="55">
        <f>SUMIF($CB$4:$JS$4,AE$4,$CB32:$JS32)</f>
        <v/>
      </c>
      <c r="AF32" s="55">
        <f>SUMIF($CB$4:$JS$4,AF$4,$CB32:$JS32)</f>
        <v/>
      </c>
      <c r="AG32" s="55">
        <f>SUMIF($CB$4:$JS$4,AG$4,$CB32:$JS32)</f>
        <v/>
      </c>
      <c r="AH32" s="55">
        <f>SUMIF($CB$4:$JS$4,AH$4,$CB32:$JS32)</f>
        <v/>
      </c>
      <c r="AI32" s="55">
        <f>SUMIF($CB$4:$JS$4,AI$4,$CB32:$JS32)</f>
        <v/>
      </c>
      <c r="AJ32" s="55">
        <f>SUMIF($CB$4:$JS$4,AJ$4,$CB32:$JS32)</f>
        <v/>
      </c>
      <c r="AK32" s="55">
        <f>SUMIF($CB$4:$JS$4,AK$4,$CB32:$JS32)</f>
        <v/>
      </c>
      <c r="AL32" s="55">
        <f>SUMIF($CB$4:$JS$4,AL$4,$CB32:$JS32)</f>
        <v/>
      </c>
      <c r="AM32" s="55">
        <f>SUMIF($CB$4:$JS$4,AM$4,$CB32:$JS32)</f>
        <v/>
      </c>
      <c r="AN32" s="55">
        <f>SUMIF($CB$4:$JS$4,AN$4,$CB32:$JS32)</f>
        <v/>
      </c>
      <c r="AO32" s="55">
        <f>SUMIF($CB$4:$JS$4,AO$4,$CB32:$JS32)</f>
        <v/>
      </c>
      <c r="AP32" s="55">
        <f>SUMIF($CB$4:$JS$4,AP$4,$CB32:$JS32)</f>
        <v/>
      </c>
      <c r="AQ32" s="55">
        <f>SUMIF($CB$4:$JS$4,AQ$4,$CB32:$JS32)</f>
        <v/>
      </c>
      <c r="AR32" s="55">
        <f>SUMIF($CB$4:$JS$4,AR$4,$CB32:$JS32)</f>
        <v/>
      </c>
      <c r="AS32" s="55">
        <f>SUMIF($CB$4:$JS$4,AS$4,$CB32:$JS32)</f>
        <v/>
      </c>
      <c r="AT32" s="55">
        <f>SUMIF($CB$4:$JS$4,AT$4,$CB32:$JS32)</f>
        <v/>
      </c>
      <c r="AU32" s="55">
        <f>SUMIF($CB$4:$JS$4,AU$4,$CB32:$JS32)</f>
        <v/>
      </c>
      <c r="AV32" s="55">
        <f>SUMIF($CB$4:$JS$4,AV$4,$CB32:$JS32)</f>
        <v/>
      </c>
      <c r="AW32" s="55">
        <f>SUMIF($CB$4:$JS$4,AW$4,$CB32:$JS32)</f>
        <v/>
      </c>
      <c r="AX32" s="55">
        <f>SUMIF($CB$4:$JS$4,AX$4,$CB32:$JS32)</f>
        <v/>
      </c>
      <c r="AY32" s="55">
        <f>SUMIF($CB$4:$JS$4,AY$4,$CB32:$JS32)</f>
        <v/>
      </c>
      <c r="AZ32" s="55">
        <f>SUMIF($CB$4:$JS$4,AZ$4,$CB32:$JS32)</f>
        <v/>
      </c>
      <c r="BA32" s="55">
        <f>SUMIF($CB$4:$JS$4,BA$4,$CB32:$JS32)</f>
        <v/>
      </c>
      <c r="BB32" s="55">
        <f>SUMIF($CB$4:$JS$4,BB$4,$CB32:$JS32)</f>
        <v/>
      </c>
      <c r="BC32" s="55">
        <f>SUMIF($CB$4:$JS$4,BC$4,$CB32:$JS32)</f>
        <v/>
      </c>
      <c r="BD32" s="55">
        <f>SUMIF($CB$4:$JS$4,BD$4,$CB32:$JS32)</f>
        <v/>
      </c>
      <c r="BE32" s="55">
        <f>SUMIF($CB$4:$JS$4,BE$4,$CB32:$JS32)</f>
        <v/>
      </c>
      <c r="BF32" s="55">
        <f>SUMIF($CB$4:$JS$4,BF$4,$CB32:$JS32)</f>
        <v/>
      </c>
      <c r="BG32" s="55">
        <f>SUMIF($CB$4:$JS$4,BG$4,$CB32:$JS32)</f>
        <v/>
      </c>
      <c r="BH32" s="55">
        <f>SUMIF($CB$4:$JS$4,BH$4,$CB32:$JS32)</f>
        <v/>
      </c>
      <c r="BI32" s="55">
        <f>SUMIF($CB$4:$JS$4,BI$4,$CB32:$JS32)</f>
        <v/>
      </c>
      <c r="BJ32" s="55">
        <f>SUMIF($CB$4:$JS$4,BJ$4,$CB32:$JS32)</f>
        <v/>
      </c>
      <c r="BK32" s="55">
        <f>SUMIF($CB$4:$JS$4,BK$4,$CB32:$JS32)</f>
        <v/>
      </c>
      <c r="BL32" s="55">
        <f>SUMIF($CB$4:$JS$4,BL$4,$CB32:$JS32)</f>
        <v/>
      </c>
      <c r="BM32" s="55">
        <f>SUMIF($CB$4:$JS$4,BM$4,$CB32:$JS32)</f>
        <v/>
      </c>
      <c r="BN32" s="55">
        <f>SUMIF($CB$4:$JS$4,BN$4,$CB32:$JS32)</f>
        <v/>
      </c>
      <c r="BO32" s="55">
        <f>SUMIF($CB$4:$JS$4,BO$4,$CB32:$JS32)</f>
        <v/>
      </c>
      <c r="BP32" s="55">
        <f>SUMIF($CB$4:$JS$4,BP$4,$CB32:$JS32)</f>
        <v/>
      </c>
      <c r="BQ32" s="55">
        <f>SUMIF($CB$4:$JS$4,BQ$4,$CB32:$JS32)</f>
        <v/>
      </c>
      <c r="BR32" s="55">
        <f>SUMIF($CB$4:$JS$4,BR$4,$CB32:$JS32)</f>
        <v/>
      </c>
      <c r="BS32" s="55">
        <f>SUMIF($CB$4:$JS$4,BS$4,$CB32:$JS32)</f>
        <v/>
      </c>
      <c r="BT32" s="55">
        <f>SUMIF($CB$4:$JS$4,BT$4,$CB32:$JS32)</f>
        <v/>
      </c>
      <c r="BU32" s="55">
        <f>SUMIF($CB$4:$JS$4,BU$4,$CB32:$JS32)</f>
        <v/>
      </c>
      <c r="BV32" s="55">
        <f>SUMIF($CB$4:$JS$4,BV$4,$CB32:$JS32)</f>
        <v/>
      </c>
      <c r="BW32" s="55">
        <f>SUMIF($CB$4:$JS$4,BW$4,$CB32:$JS32)</f>
        <v/>
      </c>
      <c r="BX32" s="55">
        <f>SUMIF($CB$4:$JS$4,"&gt;"&amp;'VALOR POR PL'!$P$8,$CB32:$JS32)</f>
        <v/>
      </c>
      <c r="BY32" s="55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60" t="inlineStr">
        <is>
          <t>REVESTIMENTOS DE MASSAS EM PAREDES</t>
        </is>
      </c>
      <c r="C33" s="60" t="n"/>
      <c r="D33" s="55">
        <f>SUMIF($CB$4:$JS$4,"&lt;="&amp;D$4,$CB33:$JS33)</f>
        <v/>
      </c>
      <c r="E33" s="55">
        <f>SUMIF($CB$4:$JS$4,E$4,$CB33:$JS33)</f>
        <v/>
      </c>
      <c r="F33" s="55">
        <f>SUMIF($CB$4:$JS$4,F$4,$CB33:$JS33)</f>
        <v/>
      </c>
      <c r="G33" s="55">
        <f>SUMIF($CB$4:$JS$4,G$4,$CB33:$JS33)</f>
        <v/>
      </c>
      <c r="H33" s="55">
        <f>SUMIF($CB$4:$JS$4,H$4,$CB33:$JS33)</f>
        <v/>
      </c>
      <c r="I33" s="55">
        <f>SUMIF($CB$4:$JS$4,I$4,$CB33:$JS33)</f>
        <v/>
      </c>
      <c r="J33" s="55">
        <f>SUMIF($CB$4:$JS$4,J$4,$CB33:$JS33)</f>
        <v/>
      </c>
      <c r="K33" s="55">
        <f>SUMIF($CB$4:$JS$4,K$4,$CB33:$JS33)</f>
        <v/>
      </c>
      <c r="L33" s="55">
        <f>SUMIF($CB$4:$JS$4,L$4,$CB33:$JS33)</f>
        <v/>
      </c>
      <c r="M33" s="55">
        <f>SUMIF($CB$4:$JS$4,M$4,$CB33:$JS33)</f>
        <v/>
      </c>
      <c r="N33" s="55">
        <f>SUMIF($CB$4:$JS$4,N$4,$CB33:$JS33)</f>
        <v/>
      </c>
      <c r="O33" s="55">
        <f>SUMIF($CB$4:$JS$4,O$4,$CB33:$JS33)</f>
        <v/>
      </c>
      <c r="P33" s="55">
        <f>SUMIF($CB$4:$JS$4,P$4,$CB33:$JS33)</f>
        <v/>
      </c>
      <c r="Q33" s="55">
        <f>SUMIF($CB$4:$JS$4,Q$4,$CB33:$JS33)</f>
        <v/>
      </c>
      <c r="R33" s="55">
        <f>SUMIF($CB$4:$JS$4,R$4,$CB33:$JS33)</f>
        <v/>
      </c>
      <c r="S33" s="55">
        <f>SUMIF($CB$4:$JS$4,S$4,$CB33:$JS33)</f>
        <v/>
      </c>
      <c r="T33" s="55">
        <f>SUMIF($CB$4:$JS$4,T$4,$CB33:$JS33)</f>
        <v/>
      </c>
      <c r="U33" s="55">
        <f>SUMIF($CB$4:$JS$4,U$4,$CB33:$JS33)</f>
        <v/>
      </c>
      <c r="V33" s="55">
        <f>SUMIF($CB$4:$JS$4,V$4,$CB33:$JS33)</f>
        <v/>
      </c>
      <c r="W33" s="55">
        <f>SUMIF($CB$4:$JS$4,W$4,$CB33:$JS33)</f>
        <v/>
      </c>
      <c r="X33" s="55">
        <f>SUMIF($CB$4:$JS$4,X$4,$CB33:$JS33)</f>
        <v/>
      </c>
      <c r="Y33" s="55">
        <f>SUMIF($CB$4:$JS$4,Y$4,$CB33:$JS33)</f>
        <v/>
      </c>
      <c r="Z33" s="55">
        <f>SUMIF($CB$4:$JS$4,Z$4,$CB33:$JS33)</f>
        <v/>
      </c>
      <c r="AA33" s="55">
        <f>SUMIF($CB$4:$JS$4,AA$4,$CB33:$JS33)</f>
        <v/>
      </c>
      <c r="AB33" s="55">
        <f>SUMIF($CB$4:$JS$4,AB$4,$CB33:$JS33)</f>
        <v/>
      </c>
      <c r="AC33" s="55">
        <f>SUMIF($CB$4:$JS$4,AC$4,$CB33:$JS33)</f>
        <v/>
      </c>
      <c r="AD33" s="55">
        <f>SUMIF($CB$4:$JS$4,AD$4,$CB33:$JS33)</f>
        <v/>
      </c>
      <c r="AE33" s="55">
        <f>SUMIF($CB$4:$JS$4,AE$4,$CB33:$JS33)</f>
        <v/>
      </c>
      <c r="AF33" s="55">
        <f>SUMIF($CB$4:$JS$4,AF$4,$CB33:$JS33)</f>
        <v/>
      </c>
      <c r="AG33" s="55">
        <f>SUMIF($CB$4:$JS$4,AG$4,$CB33:$JS33)</f>
        <v/>
      </c>
      <c r="AH33" s="55">
        <f>SUMIF($CB$4:$JS$4,AH$4,$CB33:$JS33)</f>
        <v/>
      </c>
      <c r="AI33" s="55">
        <f>SUMIF($CB$4:$JS$4,AI$4,$CB33:$JS33)</f>
        <v/>
      </c>
      <c r="AJ33" s="55">
        <f>SUMIF($CB$4:$JS$4,AJ$4,$CB33:$JS33)</f>
        <v/>
      </c>
      <c r="AK33" s="55">
        <f>SUMIF($CB$4:$JS$4,AK$4,$CB33:$JS33)</f>
        <v/>
      </c>
      <c r="AL33" s="55">
        <f>SUMIF($CB$4:$JS$4,AL$4,$CB33:$JS33)</f>
        <v/>
      </c>
      <c r="AM33" s="55">
        <f>SUMIF($CB$4:$JS$4,AM$4,$CB33:$JS33)</f>
        <v/>
      </c>
      <c r="AN33" s="55">
        <f>SUMIF($CB$4:$JS$4,AN$4,$CB33:$JS33)</f>
        <v/>
      </c>
      <c r="AO33" s="55">
        <f>SUMIF($CB$4:$JS$4,AO$4,$CB33:$JS33)</f>
        <v/>
      </c>
      <c r="AP33" s="55">
        <f>SUMIF($CB$4:$JS$4,AP$4,$CB33:$JS33)</f>
        <v/>
      </c>
      <c r="AQ33" s="55">
        <f>SUMIF($CB$4:$JS$4,AQ$4,$CB33:$JS33)</f>
        <v/>
      </c>
      <c r="AR33" s="55">
        <f>SUMIF($CB$4:$JS$4,AR$4,$CB33:$JS33)</f>
        <v/>
      </c>
      <c r="AS33" s="55">
        <f>SUMIF($CB$4:$JS$4,AS$4,$CB33:$JS33)</f>
        <v/>
      </c>
      <c r="AT33" s="55">
        <f>SUMIF($CB$4:$JS$4,AT$4,$CB33:$JS33)</f>
        <v/>
      </c>
      <c r="AU33" s="55">
        <f>SUMIF($CB$4:$JS$4,AU$4,$CB33:$JS33)</f>
        <v/>
      </c>
      <c r="AV33" s="55">
        <f>SUMIF($CB$4:$JS$4,AV$4,$CB33:$JS33)</f>
        <v/>
      </c>
      <c r="AW33" s="55">
        <f>SUMIF($CB$4:$JS$4,AW$4,$CB33:$JS33)</f>
        <v/>
      </c>
      <c r="AX33" s="55">
        <f>SUMIF($CB$4:$JS$4,AX$4,$CB33:$JS33)</f>
        <v/>
      </c>
      <c r="AY33" s="55">
        <f>SUMIF($CB$4:$JS$4,AY$4,$CB33:$JS33)</f>
        <v/>
      </c>
      <c r="AZ33" s="55">
        <f>SUMIF($CB$4:$JS$4,AZ$4,$CB33:$JS33)</f>
        <v/>
      </c>
      <c r="BA33" s="55">
        <f>SUMIF($CB$4:$JS$4,BA$4,$CB33:$JS33)</f>
        <v/>
      </c>
      <c r="BB33" s="55">
        <f>SUMIF($CB$4:$JS$4,BB$4,$CB33:$JS33)</f>
        <v/>
      </c>
      <c r="BC33" s="55">
        <f>SUMIF($CB$4:$JS$4,BC$4,$CB33:$JS33)</f>
        <v/>
      </c>
      <c r="BD33" s="55">
        <f>SUMIF($CB$4:$JS$4,BD$4,$CB33:$JS33)</f>
        <v/>
      </c>
      <c r="BE33" s="55">
        <f>SUMIF($CB$4:$JS$4,BE$4,$CB33:$JS33)</f>
        <v/>
      </c>
      <c r="BF33" s="55">
        <f>SUMIF($CB$4:$JS$4,BF$4,$CB33:$JS33)</f>
        <v/>
      </c>
      <c r="BG33" s="55">
        <f>SUMIF($CB$4:$JS$4,BG$4,$CB33:$JS33)</f>
        <v/>
      </c>
      <c r="BH33" s="55">
        <f>SUMIF($CB$4:$JS$4,BH$4,$CB33:$JS33)</f>
        <v/>
      </c>
      <c r="BI33" s="55">
        <f>SUMIF($CB$4:$JS$4,BI$4,$CB33:$JS33)</f>
        <v/>
      </c>
      <c r="BJ33" s="55">
        <f>SUMIF($CB$4:$JS$4,BJ$4,$CB33:$JS33)</f>
        <v/>
      </c>
      <c r="BK33" s="55">
        <f>SUMIF($CB$4:$JS$4,BK$4,$CB33:$JS33)</f>
        <v/>
      </c>
      <c r="BL33" s="55">
        <f>SUMIF($CB$4:$JS$4,BL$4,$CB33:$JS33)</f>
        <v/>
      </c>
      <c r="BM33" s="55">
        <f>SUMIF($CB$4:$JS$4,BM$4,$CB33:$JS33)</f>
        <v/>
      </c>
      <c r="BN33" s="55">
        <f>SUMIF($CB$4:$JS$4,BN$4,$CB33:$JS33)</f>
        <v/>
      </c>
      <c r="BO33" s="55">
        <f>SUMIF($CB$4:$JS$4,BO$4,$CB33:$JS33)</f>
        <v/>
      </c>
      <c r="BP33" s="55">
        <f>SUMIF($CB$4:$JS$4,BP$4,$CB33:$JS33)</f>
        <v/>
      </c>
      <c r="BQ33" s="55">
        <f>SUMIF($CB$4:$JS$4,BQ$4,$CB33:$JS33)</f>
        <v/>
      </c>
      <c r="BR33" s="55">
        <f>SUMIF($CB$4:$JS$4,BR$4,$CB33:$JS33)</f>
        <v/>
      </c>
      <c r="BS33" s="55">
        <f>SUMIF($CB$4:$JS$4,BS$4,$CB33:$JS33)</f>
        <v/>
      </c>
      <c r="BT33" s="55">
        <f>SUMIF($CB$4:$JS$4,BT$4,$CB33:$JS33)</f>
        <v/>
      </c>
      <c r="BU33" s="55">
        <f>SUMIF($CB$4:$JS$4,BU$4,$CB33:$JS33)</f>
        <v/>
      </c>
      <c r="BV33" s="55">
        <f>SUMIF($CB$4:$JS$4,BV$4,$CB33:$JS33)</f>
        <v/>
      </c>
      <c r="BW33" s="55">
        <f>SUMIF($CB$4:$JS$4,BW$4,$CB33:$JS33)</f>
        <v/>
      </c>
      <c r="BX33" s="55">
        <f>SUMIF($CB$4:$JS$4,"&gt;"&amp;'VALOR POR PL'!$P$8,$CB33:$JS33)</f>
        <v/>
      </c>
      <c r="BY33" s="55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60" t="inlineStr">
        <is>
          <t>REVESTIMENTOS</t>
        </is>
      </c>
      <c r="C34" s="60" t="n"/>
      <c r="D34" s="55">
        <f>SUMIF($CB$4:$JS$4,"&lt;="&amp;D$4,$CB34:$JS34)</f>
        <v/>
      </c>
      <c r="E34" s="55">
        <f>SUMIF($CB$4:$JS$4,E$4,$CB34:$JS34)</f>
        <v/>
      </c>
      <c r="F34" s="55">
        <f>SUMIF($CB$4:$JS$4,F$4,$CB34:$JS34)</f>
        <v/>
      </c>
      <c r="G34" s="55">
        <f>SUMIF($CB$4:$JS$4,G$4,$CB34:$JS34)</f>
        <v/>
      </c>
      <c r="H34" s="55">
        <f>SUMIF($CB$4:$JS$4,H$4,$CB34:$JS34)</f>
        <v/>
      </c>
      <c r="I34" s="55">
        <f>SUMIF($CB$4:$JS$4,I$4,$CB34:$JS34)</f>
        <v/>
      </c>
      <c r="J34" s="55">
        <f>SUMIF($CB$4:$JS$4,J$4,$CB34:$JS34)</f>
        <v/>
      </c>
      <c r="K34" s="55">
        <f>SUMIF($CB$4:$JS$4,K$4,$CB34:$JS34)</f>
        <v/>
      </c>
      <c r="L34" s="55">
        <f>SUMIF($CB$4:$JS$4,L$4,$CB34:$JS34)</f>
        <v/>
      </c>
      <c r="M34" s="55">
        <f>SUMIF($CB$4:$JS$4,M$4,$CB34:$JS34)</f>
        <v/>
      </c>
      <c r="N34" s="55">
        <f>SUMIF($CB$4:$JS$4,N$4,$CB34:$JS34)</f>
        <v/>
      </c>
      <c r="O34" s="55">
        <f>SUMIF($CB$4:$JS$4,O$4,$CB34:$JS34)</f>
        <v/>
      </c>
      <c r="P34" s="55">
        <f>SUMIF($CB$4:$JS$4,P$4,$CB34:$JS34)</f>
        <v/>
      </c>
      <c r="Q34" s="55">
        <f>SUMIF($CB$4:$JS$4,Q$4,$CB34:$JS34)</f>
        <v/>
      </c>
      <c r="R34" s="55">
        <f>SUMIF($CB$4:$JS$4,R$4,$CB34:$JS34)</f>
        <v/>
      </c>
      <c r="S34" s="55">
        <f>SUMIF($CB$4:$JS$4,S$4,$CB34:$JS34)</f>
        <v/>
      </c>
      <c r="T34" s="55">
        <f>SUMIF($CB$4:$JS$4,T$4,$CB34:$JS34)</f>
        <v/>
      </c>
      <c r="U34" s="55">
        <f>SUMIF($CB$4:$JS$4,U$4,$CB34:$JS34)</f>
        <v/>
      </c>
      <c r="V34" s="55">
        <f>SUMIF($CB$4:$JS$4,V$4,$CB34:$JS34)</f>
        <v/>
      </c>
      <c r="W34" s="55">
        <f>SUMIF($CB$4:$JS$4,W$4,$CB34:$JS34)</f>
        <v/>
      </c>
      <c r="X34" s="55">
        <f>SUMIF($CB$4:$JS$4,X$4,$CB34:$JS34)</f>
        <v/>
      </c>
      <c r="Y34" s="55">
        <f>SUMIF($CB$4:$JS$4,Y$4,$CB34:$JS34)</f>
        <v/>
      </c>
      <c r="Z34" s="55">
        <f>SUMIF($CB$4:$JS$4,Z$4,$CB34:$JS34)</f>
        <v/>
      </c>
      <c r="AA34" s="55">
        <f>SUMIF($CB$4:$JS$4,AA$4,$CB34:$JS34)</f>
        <v/>
      </c>
      <c r="AB34" s="55">
        <f>SUMIF($CB$4:$JS$4,AB$4,$CB34:$JS34)</f>
        <v/>
      </c>
      <c r="AC34" s="55">
        <f>SUMIF($CB$4:$JS$4,AC$4,$CB34:$JS34)</f>
        <v/>
      </c>
      <c r="AD34" s="55">
        <f>SUMIF($CB$4:$JS$4,AD$4,$CB34:$JS34)</f>
        <v/>
      </c>
      <c r="AE34" s="55">
        <f>SUMIF($CB$4:$JS$4,AE$4,$CB34:$JS34)</f>
        <v/>
      </c>
      <c r="AF34" s="55">
        <f>SUMIF($CB$4:$JS$4,AF$4,$CB34:$JS34)</f>
        <v/>
      </c>
      <c r="AG34" s="55">
        <f>SUMIF($CB$4:$JS$4,AG$4,$CB34:$JS34)</f>
        <v/>
      </c>
      <c r="AH34" s="55">
        <f>SUMIF($CB$4:$JS$4,AH$4,$CB34:$JS34)</f>
        <v/>
      </c>
      <c r="AI34" s="55">
        <f>SUMIF($CB$4:$JS$4,AI$4,$CB34:$JS34)</f>
        <v/>
      </c>
      <c r="AJ34" s="55">
        <f>SUMIF($CB$4:$JS$4,AJ$4,$CB34:$JS34)</f>
        <v/>
      </c>
      <c r="AK34" s="55">
        <f>SUMIF($CB$4:$JS$4,AK$4,$CB34:$JS34)</f>
        <v/>
      </c>
      <c r="AL34" s="55">
        <f>SUMIF($CB$4:$JS$4,AL$4,$CB34:$JS34)</f>
        <v/>
      </c>
      <c r="AM34" s="55">
        <f>SUMIF($CB$4:$JS$4,AM$4,$CB34:$JS34)</f>
        <v/>
      </c>
      <c r="AN34" s="55">
        <f>SUMIF($CB$4:$JS$4,AN$4,$CB34:$JS34)</f>
        <v/>
      </c>
      <c r="AO34" s="55">
        <f>SUMIF($CB$4:$JS$4,AO$4,$CB34:$JS34)</f>
        <v/>
      </c>
      <c r="AP34" s="55">
        <f>SUMIF($CB$4:$JS$4,AP$4,$CB34:$JS34)</f>
        <v/>
      </c>
      <c r="AQ34" s="55">
        <f>SUMIF($CB$4:$JS$4,AQ$4,$CB34:$JS34)</f>
        <v/>
      </c>
      <c r="AR34" s="55">
        <f>SUMIF($CB$4:$JS$4,AR$4,$CB34:$JS34)</f>
        <v/>
      </c>
      <c r="AS34" s="55">
        <f>SUMIF($CB$4:$JS$4,AS$4,$CB34:$JS34)</f>
        <v/>
      </c>
      <c r="AT34" s="55">
        <f>SUMIF($CB$4:$JS$4,AT$4,$CB34:$JS34)</f>
        <v/>
      </c>
      <c r="AU34" s="55">
        <f>SUMIF($CB$4:$JS$4,AU$4,$CB34:$JS34)</f>
        <v/>
      </c>
      <c r="AV34" s="55">
        <f>SUMIF($CB$4:$JS$4,AV$4,$CB34:$JS34)</f>
        <v/>
      </c>
      <c r="AW34" s="55">
        <f>SUMIF($CB$4:$JS$4,AW$4,$CB34:$JS34)</f>
        <v/>
      </c>
      <c r="AX34" s="55">
        <f>SUMIF($CB$4:$JS$4,AX$4,$CB34:$JS34)</f>
        <v/>
      </c>
      <c r="AY34" s="55">
        <f>SUMIF($CB$4:$JS$4,AY$4,$CB34:$JS34)</f>
        <v/>
      </c>
      <c r="AZ34" s="55">
        <f>SUMIF($CB$4:$JS$4,AZ$4,$CB34:$JS34)</f>
        <v/>
      </c>
      <c r="BA34" s="55">
        <f>SUMIF($CB$4:$JS$4,BA$4,$CB34:$JS34)</f>
        <v/>
      </c>
      <c r="BB34" s="55">
        <f>SUMIF($CB$4:$JS$4,BB$4,$CB34:$JS34)</f>
        <v/>
      </c>
      <c r="BC34" s="55">
        <f>SUMIF($CB$4:$JS$4,BC$4,$CB34:$JS34)</f>
        <v/>
      </c>
      <c r="BD34" s="55">
        <f>SUMIF($CB$4:$JS$4,BD$4,$CB34:$JS34)</f>
        <v/>
      </c>
      <c r="BE34" s="55">
        <f>SUMIF($CB$4:$JS$4,BE$4,$CB34:$JS34)</f>
        <v/>
      </c>
      <c r="BF34" s="55">
        <f>SUMIF($CB$4:$JS$4,BF$4,$CB34:$JS34)</f>
        <v/>
      </c>
      <c r="BG34" s="55">
        <f>SUMIF($CB$4:$JS$4,BG$4,$CB34:$JS34)</f>
        <v/>
      </c>
      <c r="BH34" s="55">
        <f>SUMIF($CB$4:$JS$4,BH$4,$CB34:$JS34)</f>
        <v/>
      </c>
      <c r="BI34" s="55">
        <f>SUMIF($CB$4:$JS$4,BI$4,$CB34:$JS34)</f>
        <v/>
      </c>
      <c r="BJ34" s="55">
        <f>SUMIF($CB$4:$JS$4,BJ$4,$CB34:$JS34)</f>
        <v/>
      </c>
      <c r="BK34" s="55">
        <f>SUMIF($CB$4:$JS$4,BK$4,$CB34:$JS34)</f>
        <v/>
      </c>
      <c r="BL34" s="55">
        <f>SUMIF($CB$4:$JS$4,BL$4,$CB34:$JS34)</f>
        <v/>
      </c>
      <c r="BM34" s="55">
        <f>SUMIF($CB$4:$JS$4,BM$4,$CB34:$JS34)</f>
        <v/>
      </c>
      <c r="BN34" s="55">
        <f>SUMIF($CB$4:$JS$4,BN$4,$CB34:$JS34)</f>
        <v/>
      </c>
      <c r="BO34" s="55">
        <f>SUMIF($CB$4:$JS$4,BO$4,$CB34:$JS34)</f>
        <v/>
      </c>
      <c r="BP34" s="55">
        <f>SUMIF($CB$4:$JS$4,BP$4,$CB34:$JS34)</f>
        <v/>
      </c>
      <c r="BQ34" s="55">
        <f>SUMIF($CB$4:$JS$4,BQ$4,$CB34:$JS34)</f>
        <v/>
      </c>
      <c r="BR34" s="55">
        <f>SUMIF($CB$4:$JS$4,BR$4,$CB34:$JS34)</f>
        <v/>
      </c>
      <c r="BS34" s="55">
        <f>SUMIF($CB$4:$JS$4,BS$4,$CB34:$JS34)</f>
        <v/>
      </c>
      <c r="BT34" s="55">
        <f>SUMIF($CB$4:$JS$4,BT$4,$CB34:$JS34)</f>
        <v/>
      </c>
      <c r="BU34" s="55">
        <f>SUMIF($CB$4:$JS$4,BU$4,$CB34:$JS34)</f>
        <v/>
      </c>
      <c r="BV34" s="55">
        <f>SUMIF($CB$4:$JS$4,BV$4,$CB34:$JS34)</f>
        <v/>
      </c>
      <c r="BW34" s="55">
        <f>SUMIF($CB$4:$JS$4,BW$4,$CB34:$JS34)</f>
        <v/>
      </c>
      <c r="BX34" s="55">
        <f>SUMIF($CB$4:$JS$4,"&gt;"&amp;'VALOR POR PL'!$P$8,$CB34:$JS34)</f>
        <v/>
      </c>
      <c r="BY34" s="55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60" t="inlineStr">
        <is>
          <t>PAVIMENTAÇÃO</t>
        </is>
      </c>
      <c r="C35" s="60" t="n"/>
      <c r="D35" s="55">
        <f>SUMIF($CB$4:$JS$4,"&lt;="&amp;D$4,$CB35:$JS35)</f>
        <v/>
      </c>
      <c r="E35" s="55">
        <f>SUMIF($CB$4:$JS$4,E$4,$CB35:$JS35)</f>
        <v/>
      </c>
      <c r="F35" s="55">
        <f>SUMIF($CB$4:$JS$4,F$4,$CB35:$JS35)</f>
        <v/>
      </c>
      <c r="G35" s="55">
        <f>SUMIF($CB$4:$JS$4,G$4,$CB35:$JS35)</f>
        <v/>
      </c>
      <c r="H35" s="55">
        <f>SUMIF($CB$4:$JS$4,H$4,$CB35:$JS35)</f>
        <v/>
      </c>
      <c r="I35" s="55">
        <f>SUMIF($CB$4:$JS$4,I$4,$CB35:$JS35)</f>
        <v/>
      </c>
      <c r="J35" s="55">
        <f>SUMIF($CB$4:$JS$4,J$4,$CB35:$JS35)</f>
        <v/>
      </c>
      <c r="K35" s="55">
        <f>SUMIF($CB$4:$JS$4,K$4,$CB35:$JS35)</f>
        <v/>
      </c>
      <c r="L35" s="55">
        <f>SUMIF($CB$4:$JS$4,L$4,$CB35:$JS35)</f>
        <v/>
      </c>
      <c r="M35" s="55">
        <f>SUMIF($CB$4:$JS$4,M$4,$CB35:$JS35)</f>
        <v/>
      </c>
      <c r="N35" s="55">
        <f>SUMIF($CB$4:$JS$4,N$4,$CB35:$JS35)</f>
        <v/>
      </c>
      <c r="O35" s="55">
        <f>SUMIF($CB$4:$JS$4,O$4,$CB35:$JS35)</f>
        <v/>
      </c>
      <c r="P35" s="55">
        <f>SUMIF($CB$4:$JS$4,P$4,$CB35:$JS35)</f>
        <v/>
      </c>
      <c r="Q35" s="55">
        <f>SUMIF($CB$4:$JS$4,Q$4,$CB35:$JS35)</f>
        <v/>
      </c>
      <c r="R35" s="55">
        <f>SUMIF($CB$4:$JS$4,R$4,$CB35:$JS35)</f>
        <v/>
      </c>
      <c r="S35" s="55">
        <f>SUMIF($CB$4:$JS$4,S$4,$CB35:$JS35)</f>
        <v/>
      </c>
      <c r="T35" s="55">
        <f>SUMIF($CB$4:$JS$4,T$4,$CB35:$JS35)</f>
        <v/>
      </c>
      <c r="U35" s="55">
        <f>SUMIF($CB$4:$JS$4,U$4,$CB35:$JS35)</f>
        <v/>
      </c>
      <c r="V35" s="55">
        <f>SUMIF($CB$4:$JS$4,V$4,$CB35:$JS35)</f>
        <v/>
      </c>
      <c r="W35" s="55">
        <f>SUMIF($CB$4:$JS$4,W$4,$CB35:$JS35)</f>
        <v/>
      </c>
      <c r="X35" s="55">
        <f>SUMIF($CB$4:$JS$4,X$4,$CB35:$JS35)</f>
        <v/>
      </c>
      <c r="Y35" s="55">
        <f>SUMIF($CB$4:$JS$4,Y$4,$CB35:$JS35)</f>
        <v/>
      </c>
      <c r="Z35" s="55">
        <f>SUMIF($CB$4:$JS$4,Z$4,$CB35:$JS35)</f>
        <v/>
      </c>
      <c r="AA35" s="55">
        <f>SUMIF($CB$4:$JS$4,AA$4,$CB35:$JS35)</f>
        <v/>
      </c>
      <c r="AB35" s="55">
        <f>SUMIF($CB$4:$JS$4,AB$4,$CB35:$JS35)</f>
        <v/>
      </c>
      <c r="AC35" s="55">
        <f>SUMIF($CB$4:$JS$4,AC$4,$CB35:$JS35)</f>
        <v/>
      </c>
      <c r="AD35" s="55">
        <f>SUMIF($CB$4:$JS$4,AD$4,$CB35:$JS35)</f>
        <v/>
      </c>
      <c r="AE35" s="55">
        <f>SUMIF($CB$4:$JS$4,AE$4,$CB35:$JS35)</f>
        <v/>
      </c>
      <c r="AF35" s="55">
        <f>SUMIF($CB$4:$JS$4,AF$4,$CB35:$JS35)</f>
        <v/>
      </c>
      <c r="AG35" s="55">
        <f>SUMIF($CB$4:$JS$4,AG$4,$CB35:$JS35)</f>
        <v/>
      </c>
      <c r="AH35" s="55">
        <f>SUMIF($CB$4:$JS$4,AH$4,$CB35:$JS35)</f>
        <v/>
      </c>
      <c r="AI35" s="55">
        <f>SUMIF($CB$4:$JS$4,AI$4,$CB35:$JS35)</f>
        <v/>
      </c>
      <c r="AJ35" s="55">
        <f>SUMIF($CB$4:$JS$4,AJ$4,$CB35:$JS35)</f>
        <v/>
      </c>
      <c r="AK35" s="55">
        <f>SUMIF($CB$4:$JS$4,AK$4,$CB35:$JS35)</f>
        <v/>
      </c>
      <c r="AL35" s="55">
        <f>SUMIF($CB$4:$JS$4,AL$4,$CB35:$JS35)</f>
        <v/>
      </c>
      <c r="AM35" s="55">
        <f>SUMIF($CB$4:$JS$4,AM$4,$CB35:$JS35)</f>
        <v/>
      </c>
      <c r="AN35" s="55">
        <f>SUMIF($CB$4:$JS$4,AN$4,$CB35:$JS35)</f>
        <v/>
      </c>
      <c r="AO35" s="55">
        <f>SUMIF($CB$4:$JS$4,AO$4,$CB35:$JS35)</f>
        <v/>
      </c>
      <c r="AP35" s="55">
        <f>SUMIF($CB$4:$JS$4,AP$4,$CB35:$JS35)</f>
        <v/>
      </c>
      <c r="AQ35" s="55">
        <f>SUMIF($CB$4:$JS$4,AQ$4,$CB35:$JS35)</f>
        <v/>
      </c>
      <c r="AR35" s="55">
        <f>SUMIF($CB$4:$JS$4,AR$4,$CB35:$JS35)</f>
        <v/>
      </c>
      <c r="AS35" s="55">
        <f>SUMIF($CB$4:$JS$4,AS$4,$CB35:$JS35)</f>
        <v/>
      </c>
      <c r="AT35" s="55">
        <f>SUMIF($CB$4:$JS$4,AT$4,$CB35:$JS35)</f>
        <v/>
      </c>
      <c r="AU35" s="55">
        <f>SUMIF($CB$4:$JS$4,AU$4,$CB35:$JS35)</f>
        <v/>
      </c>
      <c r="AV35" s="55">
        <f>SUMIF($CB$4:$JS$4,AV$4,$CB35:$JS35)</f>
        <v/>
      </c>
      <c r="AW35" s="55">
        <f>SUMIF($CB$4:$JS$4,AW$4,$CB35:$JS35)</f>
        <v/>
      </c>
      <c r="AX35" s="55">
        <f>SUMIF($CB$4:$JS$4,AX$4,$CB35:$JS35)</f>
        <v/>
      </c>
      <c r="AY35" s="55">
        <f>SUMIF($CB$4:$JS$4,AY$4,$CB35:$JS35)</f>
        <v/>
      </c>
      <c r="AZ35" s="55">
        <f>SUMIF($CB$4:$JS$4,AZ$4,$CB35:$JS35)</f>
        <v/>
      </c>
      <c r="BA35" s="55">
        <f>SUMIF($CB$4:$JS$4,BA$4,$CB35:$JS35)</f>
        <v/>
      </c>
      <c r="BB35" s="55">
        <f>SUMIF($CB$4:$JS$4,BB$4,$CB35:$JS35)</f>
        <v/>
      </c>
      <c r="BC35" s="55">
        <f>SUMIF($CB$4:$JS$4,BC$4,$CB35:$JS35)</f>
        <v/>
      </c>
      <c r="BD35" s="55">
        <f>SUMIF($CB$4:$JS$4,BD$4,$CB35:$JS35)</f>
        <v/>
      </c>
      <c r="BE35" s="55">
        <f>SUMIF($CB$4:$JS$4,BE$4,$CB35:$JS35)</f>
        <v/>
      </c>
      <c r="BF35" s="55">
        <f>SUMIF($CB$4:$JS$4,BF$4,$CB35:$JS35)</f>
        <v/>
      </c>
      <c r="BG35" s="55">
        <f>SUMIF($CB$4:$JS$4,BG$4,$CB35:$JS35)</f>
        <v/>
      </c>
      <c r="BH35" s="55">
        <f>SUMIF($CB$4:$JS$4,BH$4,$CB35:$JS35)</f>
        <v/>
      </c>
      <c r="BI35" s="55">
        <f>SUMIF($CB$4:$JS$4,BI$4,$CB35:$JS35)</f>
        <v/>
      </c>
      <c r="BJ35" s="55">
        <f>SUMIF($CB$4:$JS$4,BJ$4,$CB35:$JS35)</f>
        <v/>
      </c>
      <c r="BK35" s="55">
        <f>SUMIF($CB$4:$JS$4,BK$4,$CB35:$JS35)</f>
        <v/>
      </c>
      <c r="BL35" s="55">
        <f>SUMIF($CB$4:$JS$4,BL$4,$CB35:$JS35)</f>
        <v/>
      </c>
      <c r="BM35" s="55">
        <f>SUMIF($CB$4:$JS$4,BM$4,$CB35:$JS35)</f>
        <v/>
      </c>
      <c r="BN35" s="55">
        <f>SUMIF($CB$4:$JS$4,BN$4,$CB35:$JS35)</f>
        <v/>
      </c>
      <c r="BO35" s="55">
        <f>SUMIF($CB$4:$JS$4,BO$4,$CB35:$JS35)</f>
        <v/>
      </c>
      <c r="BP35" s="55">
        <f>SUMIF($CB$4:$JS$4,BP$4,$CB35:$JS35)</f>
        <v/>
      </c>
      <c r="BQ35" s="55">
        <f>SUMIF($CB$4:$JS$4,BQ$4,$CB35:$JS35)</f>
        <v/>
      </c>
      <c r="BR35" s="55">
        <f>SUMIF($CB$4:$JS$4,BR$4,$CB35:$JS35)</f>
        <v/>
      </c>
      <c r="BS35" s="55">
        <f>SUMIF($CB$4:$JS$4,BS$4,$CB35:$JS35)</f>
        <v/>
      </c>
      <c r="BT35" s="55">
        <f>SUMIF($CB$4:$JS$4,BT$4,$CB35:$JS35)</f>
        <v/>
      </c>
      <c r="BU35" s="55">
        <f>SUMIF($CB$4:$JS$4,BU$4,$CB35:$JS35)</f>
        <v/>
      </c>
      <c r="BV35" s="55">
        <f>SUMIF($CB$4:$JS$4,BV$4,$CB35:$JS35)</f>
        <v/>
      </c>
      <c r="BW35" s="55">
        <f>SUMIF($CB$4:$JS$4,BW$4,$CB35:$JS35)</f>
        <v/>
      </c>
      <c r="BX35" s="55">
        <f>SUMIF($CB$4:$JS$4,"&gt;"&amp;'VALOR POR PL'!$P$8,$CB35:$JS35)</f>
        <v/>
      </c>
      <c r="BY35" s="55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60" t="inlineStr">
        <is>
          <t>REVESTIMENTO DIVERSOS   FACHADA</t>
        </is>
      </c>
      <c r="C36" s="60" t="inlineStr">
        <is>
          <t>REVESTIMENTO DIVERSOS - FACHADA</t>
        </is>
      </c>
      <c r="D36" s="55">
        <f>SUMIF($CB$4:$JS$4,"&lt;="&amp;D$4,$CB36:$JS36)</f>
        <v/>
      </c>
      <c r="E36" s="55">
        <f>SUMIF($CB$4:$JS$4,E$4,$CB36:$JS36)</f>
        <v/>
      </c>
      <c r="F36" s="55">
        <f>SUMIF($CB$4:$JS$4,F$4,$CB36:$JS36)</f>
        <v/>
      </c>
      <c r="G36" s="55">
        <f>SUMIF($CB$4:$JS$4,G$4,$CB36:$JS36)</f>
        <v/>
      </c>
      <c r="H36" s="55">
        <f>SUMIF($CB$4:$JS$4,H$4,$CB36:$JS36)</f>
        <v/>
      </c>
      <c r="I36" s="55">
        <f>SUMIF($CB$4:$JS$4,I$4,$CB36:$JS36)</f>
        <v/>
      </c>
      <c r="J36" s="55">
        <f>SUMIF($CB$4:$JS$4,J$4,$CB36:$JS36)</f>
        <v/>
      </c>
      <c r="K36" s="55">
        <f>SUMIF($CB$4:$JS$4,K$4,$CB36:$JS36)</f>
        <v/>
      </c>
      <c r="L36" s="55">
        <f>SUMIF($CB$4:$JS$4,L$4,$CB36:$JS36)</f>
        <v/>
      </c>
      <c r="M36" s="55">
        <f>SUMIF($CB$4:$JS$4,M$4,$CB36:$JS36)</f>
        <v/>
      </c>
      <c r="N36" s="55">
        <f>SUMIF($CB$4:$JS$4,N$4,$CB36:$JS36)</f>
        <v/>
      </c>
      <c r="O36" s="55">
        <f>SUMIF($CB$4:$JS$4,O$4,$CB36:$JS36)</f>
        <v/>
      </c>
      <c r="P36" s="55">
        <f>SUMIF($CB$4:$JS$4,P$4,$CB36:$JS36)</f>
        <v/>
      </c>
      <c r="Q36" s="55">
        <f>SUMIF($CB$4:$JS$4,Q$4,$CB36:$JS36)</f>
        <v/>
      </c>
      <c r="R36" s="55">
        <f>SUMIF($CB$4:$JS$4,R$4,$CB36:$JS36)</f>
        <v/>
      </c>
      <c r="S36" s="55">
        <f>SUMIF($CB$4:$JS$4,S$4,$CB36:$JS36)</f>
        <v/>
      </c>
      <c r="T36" s="55">
        <f>SUMIF($CB$4:$JS$4,T$4,$CB36:$JS36)</f>
        <v/>
      </c>
      <c r="U36" s="55">
        <f>SUMIF($CB$4:$JS$4,U$4,$CB36:$JS36)</f>
        <v/>
      </c>
      <c r="V36" s="55">
        <f>SUMIF($CB$4:$JS$4,V$4,$CB36:$JS36)</f>
        <v/>
      </c>
      <c r="W36" s="55">
        <f>SUMIF($CB$4:$JS$4,W$4,$CB36:$JS36)</f>
        <v/>
      </c>
      <c r="X36" s="55">
        <f>SUMIF($CB$4:$JS$4,X$4,$CB36:$JS36)</f>
        <v/>
      </c>
      <c r="Y36" s="55">
        <f>SUMIF($CB$4:$JS$4,Y$4,$CB36:$JS36)</f>
        <v/>
      </c>
      <c r="Z36" s="55">
        <f>SUMIF($CB$4:$JS$4,Z$4,$CB36:$JS36)</f>
        <v/>
      </c>
      <c r="AA36" s="55">
        <f>SUMIF($CB$4:$JS$4,AA$4,$CB36:$JS36)</f>
        <v/>
      </c>
      <c r="AB36" s="55">
        <f>SUMIF($CB$4:$JS$4,AB$4,$CB36:$JS36)</f>
        <v/>
      </c>
      <c r="AC36" s="55">
        <f>SUMIF($CB$4:$JS$4,AC$4,$CB36:$JS36)</f>
        <v/>
      </c>
      <c r="AD36" s="55">
        <f>SUMIF($CB$4:$JS$4,AD$4,$CB36:$JS36)</f>
        <v/>
      </c>
      <c r="AE36" s="55">
        <f>SUMIF($CB$4:$JS$4,AE$4,$CB36:$JS36)</f>
        <v/>
      </c>
      <c r="AF36" s="55">
        <f>SUMIF($CB$4:$JS$4,AF$4,$CB36:$JS36)</f>
        <v/>
      </c>
      <c r="AG36" s="55">
        <f>SUMIF($CB$4:$JS$4,AG$4,$CB36:$JS36)</f>
        <v/>
      </c>
      <c r="AH36" s="55">
        <f>SUMIF($CB$4:$JS$4,AH$4,$CB36:$JS36)</f>
        <v/>
      </c>
      <c r="AI36" s="55">
        <f>SUMIF($CB$4:$JS$4,AI$4,$CB36:$JS36)</f>
        <v/>
      </c>
      <c r="AJ36" s="55">
        <f>SUMIF($CB$4:$JS$4,AJ$4,$CB36:$JS36)</f>
        <v/>
      </c>
      <c r="AK36" s="55">
        <f>SUMIF($CB$4:$JS$4,AK$4,$CB36:$JS36)</f>
        <v/>
      </c>
      <c r="AL36" s="55">
        <f>SUMIF($CB$4:$JS$4,AL$4,$CB36:$JS36)</f>
        <v/>
      </c>
      <c r="AM36" s="55">
        <f>SUMIF($CB$4:$JS$4,AM$4,$CB36:$JS36)</f>
        <v/>
      </c>
      <c r="AN36" s="55">
        <f>SUMIF($CB$4:$JS$4,AN$4,$CB36:$JS36)</f>
        <v/>
      </c>
      <c r="AO36" s="55">
        <f>SUMIF($CB$4:$JS$4,AO$4,$CB36:$JS36)</f>
        <v/>
      </c>
      <c r="AP36" s="55">
        <f>SUMIF($CB$4:$JS$4,AP$4,$CB36:$JS36)</f>
        <v/>
      </c>
      <c r="AQ36" s="55">
        <f>SUMIF($CB$4:$JS$4,AQ$4,$CB36:$JS36)</f>
        <v/>
      </c>
      <c r="AR36" s="55">
        <f>SUMIF($CB$4:$JS$4,AR$4,$CB36:$JS36)</f>
        <v/>
      </c>
      <c r="AS36" s="55">
        <f>SUMIF($CB$4:$JS$4,AS$4,$CB36:$JS36)</f>
        <v/>
      </c>
      <c r="AT36" s="55">
        <f>SUMIF($CB$4:$JS$4,AT$4,$CB36:$JS36)</f>
        <v/>
      </c>
      <c r="AU36" s="55">
        <f>SUMIF($CB$4:$JS$4,AU$4,$CB36:$JS36)</f>
        <v/>
      </c>
      <c r="AV36" s="55">
        <f>SUMIF($CB$4:$JS$4,AV$4,$CB36:$JS36)</f>
        <v/>
      </c>
      <c r="AW36" s="55">
        <f>SUMIF($CB$4:$JS$4,AW$4,$CB36:$JS36)</f>
        <v/>
      </c>
      <c r="AX36" s="55">
        <f>SUMIF($CB$4:$JS$4,AX$4,$CB36:$JS36)</f>
        <v/>
      </c>
      <c r="AY36" s="55">
        <f>SUMIF($CB$4:$JS$4,AY$4,$CB36:$JS36)</f>
        <v/>
      </c>
      <c r="AZ36" s="55">
        <f>SUMIF($CB$4:$JS$4,AZ$4,$CB36:$JS36)</f>
        <v/>
      </c>
      <c r="BA36" s="55">
        <f>SUMIF($CB$4:$JS$4,BA$4,$CB36:$JS36)</f>
        <v/>
      </c>
      <c r="BB36" s="55">
        <f>SUMIF($CB$4:$JS$4,BB$4,$CB36:$JS36)</f>
        <v/>
      </c>
      <c r="BC36" s="55">
        <f>SUMIF($CB$4:$JS$4,BC$4,$CB36:$JS36)</f>
        <v/>
      </c>
      <c r="BD36" s="55">
        <f>SUMIF($CB$4:$JS$4,BD$4,$CB36:$JS36)</f>
        <v/>
      </c>
      <c r="BE36" s="55">
        <f>SUMIF($CB$4:$JS$4,BE$4,$CB36:$JS36)</f>
        <v/>
      </c>
      <c r="BF36" s="55">
        <f>SUMIF($CB$4:$JS$4,BF$4,$CB36:$JS36)</f>
        <v/>
      </c>
      <c r="BG36" s="55">
        <f>SUMIF($CB$4:$JS$4,BG$4,$CB36:$JS36)</f>
        <v/>
      </c>
      <c r="BH36" s="55">
        <f>SUMIF($CB$4:$JS$4,BH$4,$CB36:$JS36)</f>
        <v/>
      </c>
      <c r="BI36" s="55">
        <f>SUMIF($CB$4:$JS$4,BI$4,$CB36:$JS36)</f>
        <v/>
      </c>
      <c r="BJ36" s="55">
        <f>SUMIF($CB$4:$JS$4,BJ$4,$CB36:$JS36)</f>
        <v/>
      </c>
      <c r="BK36" s="55">
        <f>SUMIF($CB$4:$JS$4,BK$4,$CB36:$JS36)</f>
        <v/>
      </c>
      <c r="BL36" s="55">
        <f>SUMIF($CB$4:$JS$4,BL$4,$CB36:$JS36)</f>
        <v/>
      </c>
      <c r="BM36" s="55">
        <f>SUMIF($CB$4:$JS$4,BM$4,$CB36:$JS36)</f>
        <v/>
      </c>
      <c r="BN36" s="55">
        <f>SUMIF($CB$4:$JS$4,BN$4,$CB36:$JS36)</f>
        <v/>
      </c>
      <c r="BO36" s="55">
        <f>SUMIF($CB$4:$JS$4,BO$4,$CB36:$JS36)</f>
        <v/>
      </c>
      <c r="BP36" s="55">
        <f>SUMIF($CB$4:$JS$4,BP$4,$CB36:$JS36)</f>
        <v/>
      </c>
      <c r="BQ36" s="55">
        <f>SUMIF($CB$4:$JS$4,BQ$4,$CB36:$JS36)</f>
        <v/>
      </c>
      <c r="BR36" s="55">
        <f>SUMIF($CB$4:$JS$4,BR$4,$CB36:$JS36)</f>
        <v/>
      </c>
      <c r="BS36" s="55">
        <f>SUMIF($CB$4:$JS$4,BS$4,$CB36:$JS36)</f>
        <v/>
      </c>
      <c r="BT36" s="55">
        <f>SUMIF($CB$4:$JS$4,BT$4,$CB36:$JS36)</f>
        <v/>
      </c>
      <c r="BU36" s="55">
        <f>SUMIF($CB$4:$JS$4,BU$4,$CB36:$JS36)</f>
        <v/>
      </c>
      <c r="BV36" s="55">
        <f>SUMIF($CB$4:$JS$4,BV$4,$CB36:$JS36)</f>
        <v/>
      </c>
      <c r="BW36" s="55">
        <f>SUMIF($CB$4:$JS$4,BW$4,$CB36:$JS36)</f>
        <v/>
      </c>
      <c r="BX36" s="55">
        <f>SUMIF($CB$4:$JS$4,"&gt;"&amp;'VALOR POR PL'!$P$8,$CB36:$JS36)</f>
        <v/>
      </c>
      <c r="BY36" s="55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60" t="inlineStr">
        <is>
          <t>FORRO</t>
        </is>
      </c>
      <c r="C37" s="60" t="n"/>
      <c r="D37" s="55">
        <f>SUMIF($CB$4:$JS$4,"&lt;="&amp;D$4,$CB37:$JS37)</f>
        <v/>
      </c>
      <c r="E37" s="55">
        <f>SUMIF($CB$4:$JS$4,E$4,$CB37:$JS37)</f>
        <v/>
      </c>
      <c r="F37" s="55">
        <f>SUMIF($CB$4:$JS$4,F$4,$CB37:$JS37)</f>
        <v/>
      </c>
      <c r="G37" s="55">
        <f>SUMIF($CB$4:$JS$4,G$4,$CB37:$JS37)</f>
        <v/>
      </c>
      <c r="H37" s="55">
        <f>SUMIF($CB$4:$JS$4,H$4,$CB37:$JS37)</f>
        <v/>
      </c>
      <c r="I37" s="55">
        <f>SUMIF($CB$4:$JS$4,I$4,$CB37:$JS37)</f>
        <v/>
      </c>
      <c r="J37" s="55">
        <f>SUMIF($CB$4:$JS$4,J$4,$CB37:$JS37)</f>
        <v/>
      </c>
      <c r="K37" s="55">
        <f>SUMIF($CB$4:$JS$4,K$4,$CB37:$JS37)</f>
        <v/>
      </c>
      <c r="L37" s="55">
        <f>SUMIF($CB$4:$JS$4,L$4,$CB37:$JS37)</f>
        <v/>
      </c>
      <c r="M37" s="55">
        <f>SUMIF($CB$4:$JS$4,M$4,$CB37:$JS37)</f>
        <v/>
      </c>
      <c r="N37" s="55">
        <f>SUMIF($CB$4:$JS$4,N$4,$CB37:$JS37)</f>
        <v/>
      </c>
      <c r="O37" s="55">
        <f>SUMIF($CB$4:$JS$4,O$4,$CB37:$JS37)</f>
        <v/>
      </c>
      <c r="P37" s="55">
        <f>SUMIF($CB$4:$JS$4,P$4,$CB37:$JS37)</f>
        <v/>
      </c>
      <c r="Q37" s="55">
        <f>SUMIF($CB$4:$JS$4,Q$4,$CB37:$JS37)</f>
        <v/>
      </c>
      <c r="R37" s="55">
        <f>SUMIF($CB$4:$JS$4,R$4,$CB37:$JS37)</f>
        <v/>
      </c>
      <c r="S37" s="55">
        <f>SUMIF($CB$4:$JS$4,S$4,$CB37:$JS37)</f>
        <v/>
      </c>
      <c r="T37" s="55">
        <f>SUMIF($CB$4:$JS$4,T$4,$CB37:$JS37)</f>
        <v/>
      </c>
      <c r="U37" s="55">
        <f>SUMIF($CB$4:$JS$4,U$4,$CB37:$JS37)</f>
        <v/>
      </c>
      <c r="V37" s="55">
        <f>SUMIF($CB$4:$JS$4,V$4,$CB37:$JS37)</f>
        <v/>
      </c>
      <c r="W37" s="55">
        <f>SUMIF($CB$4:$JS$4,W$4,$CB37:$JS37)</f>
        <v/>
      </c>
      <c r="X37" s="55">
        <f>SUMIF($CB$4:$JS$4,X$4,$CB37:$JS37)</f>
        <v/>
      </c>
      <c r="Y37" s="55">
        <f>SUMIF($CB$4:$JS$4,Y$4,$CB37:$JS37)</f>
        <v/>
      </c>
      <c r="Z37" s="55">
        <f>SUMIF($CB$4:$JS$4,Z$4,$CB37:$JS37)</f>
        <v/>
      </c>
      <c r="AA37" s="55">
        <f>SUMIF($CB$4:$JS$4,AA$4,$CB37:$JS37)</f>
        <v/>
      </c>
      <c r="AB37" s="55">
        <f>SUMIF($CB$4:$JS$4,AB$4,$CB37:$JS37)</f>
        <v/>
      </c>
      <c r="AC37" s="55">
        <f>SUMIF($CB$4:$JS$4,AC$4,$CB37:$JS37)</f>
        <v/>
      </c>
      <c r="AD37" s="55">
        <f>SUMIF($CB$4:$JS$4,AD$4,$CB37:$JS37)</f>
        <v/>
      </c>
      <c r="AE37" s="55">
        <f>SUMIF($CB$4:$JS$4,AE$4,$CB37:$JS37)</f>
        <v/>
      </c>
      <c r="AF37" s="55">
        <f>SUMIF($CB$4:$JS$4,AF$4,$CB37:$JS37)</f>
        <v/>
      </c>
      <c r="AG37" s="55">
        <f>SUMIF($CB$4:$JS$4,AG$4,$CB37:$JS37)</f>
        <v/>
      </c>
      <c r="AH37" s="55">
        <f>SUMIF($CB$4:$JS$4,AH$4,$CB37:$JS37)</f>
        <v/>
      </c>
      <c r="AI37" s="55">
        <f>SUMIF($CB$4:$JS$4,AI$4,$CB37:$JS37)</f>
        <v/>
      </c>
      <c r="AJ37" s="55">
        <f>SUMIF($CB$4:$JS$4,AJ$4,$CB37:$JS37)</f>
        <v/>
      </c>
      <c r="AK37" s="55">
        <f>SUMIF($CB$4:$JS$4,AK$4,$CB37:$JS37)</f>
        <v/>
      </c>
      <c r="AL37" s="55">
        <f>SUMIF($CB$4:$JS$4,AL$4,$CB37:$JS37)</f>
        <v/>
      </c>
      <c r="AM37" s="55">
        <f>SUMIF($CB$4:$JS$4,AM$4,$CB37:$JS37)</f>
        <v/>
      </c>
      <c r="AN37" s="55">
        <f>SUMIF($CB$4:$JS$4,AN$4,$CB37:$JS37)</f>
        <v/>
      </c>
      <c r="AO37" s="55">
        <f>SUMIF($CB$4:$JS$4,AO$4,$CB37:$JS37)</f>
        <v/>
      </c>
      <c r="AP37" s="55">
        <f>SUMIF($CB$4:$JS$4,AP$4,$CB37:$JS37)</f>
        <v/>
      </c>
      <c r="AQ37" s="55">
        <f>SUMIF($CB$4:$JS$4,AQ$4,$CB37:$JS37)</f>
        <v/>
      </c>
      <c r="AR37" s="55">
        <f>SUMIF($CB$4:$JS$4,AR$4,$CB37:$JS37)</f>
        <v/>
      </c>
      <c r="AS37" s="55">
        <f>SUMIF($CB$4:$JS$4,AS$4,$CB37:$JS37)</f>
        <v/>
      </c>
      <c r="AT37" s="55">
        <f>SUMIF($CB$4:$JS$4,AT$4,$CB37:$JS37)</f>
        <v/>
      </c>
      <c r="AU37" s="55">
        <f>SUMIF($CB$4:$JS$4,AU$4,$CB37:$JS37)</f>
        <v/>
      </c>
      <c r="AV37" s="55">
        <f>SUMIF($CB$4:$JS$4,AV$4,$CB37:$JS37)</f>
        <v/>
      </c>
      <c r="AW37" s="55">
        <f>SUMIF($CB$4:$JS$4,AW$4,$CB37:$JS37)</f>
        <v/>
      </c>
      <c r="AX37" s="55">
        <f>SUMIF($CB$4:$JS$4,AX$4,$CB37:$JS37)</f>
        <v/>
      </c>
      <c r="AY37" s="55">
        <f>SUMIF($CB$4:$JS$4,AY$4,$CB37:$JS37)</f>
        <v/>
      </c>
      <c r="AZ37" s="55">
        <f>SUMIF($CB$4:$JS$4,AZ$4,$CB37:$JS37)</f>
        <v/>
      </c>
      <c r="BA37" s="55">
        <f>SUMIF($CB$4:$JS$4,BA$4,$CB37:$JS37)</f>
        <v/>
      </c>
      <c r="BB37" s="55">
        <f>SUMIF($CB$4:$JS$4,BB$4,$CB37:$JS37)</f>
        <v/>
      </c>
      <c r="BC37" s="55">
        <f>SUMIF($CB$4:$JS$4,BC$4,$CB37:$JS37)</f>
        <v/>
      </c>
      <c r="BD37" s="55">
        <f>SUMIF($CB$4:$JS$4,BD$4,$CB37:$JS37)</f>
        <v/>
      </c>
      <c r="BE37" s="55">
        <f>SUMIF($CB$4:$JS$4,BE$4,$CB37:$JS37)</f>
        <v/>
      </c>
      <c r="BF37" s="55">
        <f>SUMIF($CB$4:$JS$4,BF$4,$CB37:$JS37)</f>
        <v/>
      </c>
      <c r="BG37" s="55">
        <f>SUMIF($CB$4:$JS$4,BG$4,$CB37:$JS37)</f>
        <v/>
      </c>
      <c r="BH37" s="55">
        <f>SUMIF($CB$4:$JS$4,BH$4,$CB37:$JS37)</f>
        <v/>
      </c>
      <c r="BI37" s="55">
        <f>SUMIF($CB$4:$JS$4,BI$4,$CB37:$JS37)</f>
        <v/>
      </c>
      <c r="BJ37" s="55">
        <f>SUMIF($CB$4:$JS$4,BJ$4,$CB37:$JS37)</f>
        <v/>
      </c>
      <c r="BK37" s="55">
        <f>SUMIF($CB$4:$JS$4,BK$4,$CB37:$JS37)</f>
        <v/>
      </c>
      <c r="BL37" s="55">
        <f>SUMIF($CB$4:$JS$4,BL$4,$CB37:$JS37)</f>
        <v/>
      </c>
      <c r="BM37" s="55">
        <f>SUMIF($CB$4:$JS$4,BM$4,$CB37:$JS37)</f>
        <v/>
      </c>
      <c r="BN37" s="55">
        <f>SUMIF($CB$4:$JS$4,BN$4,$CB37:$JS37)</f>
        <v/>
      </c>
      <c r="BO37" s="55">
        <f>SUMIF($CB$4:$JS$4,BO$4,$CB37:$JS37)</f>
        <v/>
      </c>
      <c r="BP37" s="55">
        <f>SUMIF($CB$4:$JS$4,BP$4,$CB37:$JS37)</f>
        <v/>
      </c>
      <c r="BQ37" s="55">
        <f>SUMIF($CB$4:$JS$4,BQ$4,$CB37:$JS37)</f>
        <v/>
      </c>
      <c r="BR37" s="55">
        <f>SUMIF($CB$4:$JS$4,BR$4,$CB37:$JS37)</f>
        <v/>
      </c>
      <c r="BS37" s="55">
        <f>SUMIF($CB$4:$JS$4,BS$4,$CB37:$JS37)</f>
        <v/>
      </c>
      <c r="BT37" s="55">
        <f>SUMIF($CB$4:$JS$4,BT$4,$CB37:$JS37)</f>
        <v/>
      </c>
      <c r="BU37" s="55">
        <f>SUMIF($CB$4:$JS$4,BU$4,$CB37:$JS37)</f>
        <v/>
      </c>
      <c r="BV37" s="55">
        <f>SUMIF($CB$4:$JS$4,BV$4,$CB37:$JS37)</f>
        <v/>
      </c>
      <c r="BW37" s="55">
        <f>SUMIF($CB$4:$JS$4,BW$4,$CB37:$JS37)</f>
        <v/>
      </c>
      <c r="BX37" s="55">
        <f>SUMIF($CB$4:$JS$4,"&gt;"&amp;'VALOR POR PL'!$P$8,$CB37:$JS37)</f>
        <v/>
      </c>
      <c r="BY37" s="55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60" t="inlineStr">
        <is>
          <t>LOUÇAS SANITÁRIAS</t>
        </is>
      </c>
      <c r="C38" s="60" t="n"/>
      <c r="D38" s="55">
        <f>SUMIF($CB$4:$JS$4,"&lt;="&amp;D$4,$CB38:$JS38)</f>
        <v/>
      </c>
      <c r="E38" s="55">
        <f>SUMIF($CB$4:$JS$4,E$4,$CB38:$JS38)</f>
        <v/>
      </c>
      <c r="F38" s="55">
        <f>SUMIF($CB$4:$JS$4,F$4,$CB38:$JS38)</f>
        <v/>
      </c>
      <c r="G38" s="55">
        <f>SUMIF($CB$4:$JS$4,G$4,$CB38:$JS38)</f>
        <v/>
      </c>
      <c r="H38" s="55">
        <f>SUMIF($CB$4:$JS$4,H$4,$CB38:$JS38)</f>
        <v/>
      </c>
      <c r="I38" s="55">
        <f>SUMIF($CB$4:$JS$4,I$4,$CB38:$JS38)</f>
        <v/>
      </c>
      <c r="J38" s="55">
        <f>SUMIF($CB$4:$JS$4,J$4,$CB38:$JS38)</f>
        <v/>
      </c>
      <c r="K38" s="55">
        <f>SUMIF($CB$4:$JS$4,K$4,$CB38:$JS38)</f>
        <v/>
      </c>
      <c r="L38" s="55">
        <f>SUMIF($CB$4:$JS$4,L$4,$CB38:$JS38)</f>
        <v/>
      </c>
      <c r="M38" s="55">
        <f>SUMIF($CB$4:$JS$4,M$4,$CB38:$JS38)</f>
        <v/>
      </c>
      <c r="N38" s="55">
        <f>SUMIF($CB$4:$JS$4,N$4,$CB38:$JS38)</f>
        <v/>
      </c>
      <c r="O38" s="55">
        <f>SUMIF($CB$4:$JS$4,O$4,$CB38:$JS38)</f>
        <v/>
      </c>
      <c r="P38" s="55">
        <f>SUMIF($CB$4:$JS$4,P$4,$CB38:$JS38)</f>
        <v/>
      </c>
      <c r="Q38" s="55">
        <f>SUMIF($CB$4:$JS$4,Q$4,$CB38:$JS38)</f>
        <v/>
      </c>
      <c r="R38" s="55">
        <f>SUMIF($CB$4:$JS$4,R$4,$CB38:$JS38)</f>
        <v/>
      </c>
      <c r="S38" s="55">
        <f>SUMIF($CB$4:$JS$4,S$4,$CB38:$JS38)</f>
        <v/>
      </c>
      <c r="T38" s="55">
        <f>SUMIF($CB$4:$JS$4,T$4,$CB38:$JS38)</f>
        <v/>
      </c>
      <c r="U38" s="55">
        <f>SUMIF($CB$4:$JS$4,U$4,$CB38:$JS38)</f>
        <v/>
      </c>
      <c r="V38" s="55">
        <f>SUMIF($CB$4:$JS$4,V$4,$CB38:$JS38)</f>
        <v/>
      </c>
      <c r="W38" s="55">
        <f>SUMIF($CB$4:$JS$4,W$4,$CB38:$JS38)</f>
        <v/>
      </c>
      <c r="X38" s="55">
        <f>SUMIF($CB$4:$JS$4,X$4,$CB38:$JS38)</f>
        <v/>
      </c>
      <c r="Y38" s="55">
        <f>SUMIF($CB$4:$JS$4,Y$4,$CB38:$JS38)</f>
        <v/>
      </c>
      <c r="Z38" s="55">
        <f>SUMIF($CB$4:$JS$4,Z$4,$CB38:$JS38)</f>
        <v/>
      </c>
      <c r="AA38" s="55">
        <f>SUMIF($CB$4:$JS$4,AA$4,$CB38:$JS38)</f>
        <v/>
      </c>
      <c r="AB38" s="55">
        <f>SUMIF($CB$4:$JS$4,AB$4,$CB38:$JS38)</f>
        <v/>
      </c>
      <c r="AC38" s="55">
        <f>SUMIF($CB$4:$JS$4,AC$4,$CB38:$JS38)</f>
        <v/>
      </c>
      <c r="AD38" s="55">
        <f>SUMIF($CB$4:$JS$4,AD$4,$CB38:$JS38)</f>
        <v/>
      </c>
      <c r="AE38" s="55">
        <f>SUMIF($CB$4:$JS$4,AE$4,$CB38:$JS38)</f>
        <v/>
      </c>
      <c r="AF38" s="55">
        <f>SUMIF($CB$4:$JS$4,AF$4,$CB38:$JS38)</f>
        <v/>
      </c>
      <c r="AG38" s="55">
        <f>SUMIF($CB$4:$JS$4,AG$4,$CB38:$JS38)</f>
        <v/>
      </c>
      <c r="AH38" s="55">
        <f>SUMIF($CB$4:$JS$4,AH$4,$CB38:$JS38)</f>
        <v/>
      </c>
      <c r="AI38" s="55">
        <f>SUMIF($CB$4:$JS$4,AI$4,$CB38:$JS38)</f>
        <v/>
      </c>
      <c r="AJ38" s="55">
        <f>SUMIF($CB$4:$JS$4,AJ$4,$CB38:$JS38)</f>
        <v/>
      </c>
      <c r="AK38" s="55">
        <f>SUMIF($CB$4:$JS$4,AK$4,$CB38:$JS38)</f>
        <v/>
      </c>
      <c r="AL38" s="55">
        <f>SUMIF($CB$4:$JS$4,AL$4,$CB38:$JS38)</f>
        <v/>
      </c>
      <c r="AM38" s="55">
        <f>SUMIF($CB$4:$JS$4,AM$4,$CB38:$JS38)</f>
        <v/>
      </c>
      <c r="AN38" s="55">
        <f>SUMIF($CB$4:$JS$4,AN$4,$CB38:$JS38)</f>
        <v/>
      </c>
      <c r="AO38" s="55">
        <f>SUMIF($CB$4:$JS$4,AO$4,$CB38:$JS38)</f>
        <v/>
      </c>
      <c r="AP38" s="55">
        <f>SUMIF($CB$4:$JS$4,AP$4,$CB38:$JS38)</f>
        <v/>
      </c>
      <c r="AQ38" s="55">
        <f>SUMIF($CB$4:$JS$4,AQ$4,$CB38:$JS38)</f>
        <v/>
      </c>
      <c r="AR38" s="55">
        <f>SUMIF($CB$4:$JS$4,AR$4,$CB38:$JS38)</f>
        <v/>
      </c>
      <c r="AS38" s="55">
        <f>SUMIF($CB$4:$JS$4,AS$4,$CB38:$JS38)</f>
        <v/>
      </c>
      <c r="AT38" s="55">
        <f>SUMIF($CB$4:$JS$4,AT$4,$CB38:$JS38)</f>
        <v/>
      </c>
      <c r="AU38" s="55">
        <f>SUMIF($CB$4:$JS$4,AU$4,$CB38:$JS38)</f>
        <v/>
      </c>
      <c r="AV38" s="55">
        <f>SUMIF($CB$4:$JS$4,AV$4,$CB38:$JS38)</f>
        <v/>
      </c>
      <c r="AW38" s="55">
        <f>SUMIF($CB$4:$JS$4,AW$4,$CB38:$JS38)</f>
        <v/>
      </c>
      <c r="AX38" s="55">
        <f>SUMIF($CB$4:$JS$4,AX$4,$CB38:$JS38)</f>
        <v/>
      </c>
      <c r="AY38" s="55">
        <f>SUMIF($CB$4:$JS$4,AY$4,$CB38:$JS38)</f>
        <v/>
      </c>
      <c r="AZ38" s="55">
        <f>SUMIF($CB$4:$JS$4,AZ$4,$CB38:$JS38)</f>
        <v/>
      </c>
      <c r="BA38" s="55">
        <f>SUMIF($CB$4:$JS$4,BA$4,$CB38:$JS38)</f>
        <v/>
      </c>
      <c r="BB38" s="55">
        <f>SUMIF($CB$4:$JS$4,BB$4,$CB38:$JS38)</f>
        <v/>
      </c>
      <c r="BC38" s="55">
        <f>SUMIF($CB$4:$JS$4,BC$4,$CB38:$JS38)</f>
        <v/>
      </c>
      <c r="BD38" s="55">
        <f>SUMIF($CB$4:$JS$4,BD$4,$CB38:$JS38)</f>
        <v/>
      </c>
      <c r="BE38" s="55">
        <f>SUMIF($CB$4:$JS$4,BE$4,$CB38:$JS38)</f>
        <v/>
      </c>
      <c r="BF38" s="55">
        <f>SUMIF($CB$4:$JS$4,BF$4,$CB38:$JS38)</f>
        <v/>
      </c>
      <c r="BG38" s="55">
        <f>SUMIF($CB$4:$JS$4,BG$4,$CB38:$JS38)</f>
        <v/>
      </c>
      <c r="BH38" s="55">
        <f>SUMIF($CB$4:$JS$4,BH$4,$CB38:$JS38)</f>
        <v/>
      </c>
      <c r="BI38" s="55">
        <f>SUMIF($CB$4:$JS$4,BI$4,$CB38:$JS38)</f>
        <v/>
      </c>
      <c r="BJ38" s="55">
        <f>SUMIF($CB$4:$JS$4,BJ$4,$CB38:$JS38)</f>
        <v/>
      </c>
      <c r="BK38" s="55">
        <f>SUMIF($CB$4:$JS$4,BK$4,$CB38:$JS38)</f>
        <v/>
      </c>
      <c r="BL38" s="55">
        <f>SUMIF($CB$4:$JS$4,BL$4,$CB38:$JS38)</f>
        <v/>
      </c>
      <c r="BM38" s="55">
        <f>SUMIF($CB$4:$JS$4,BM$4,$CB38:$JS38)</f>
        <v/>
      </c>
      <c r="BN38" s="55">
        <f>SUMIF($CB$4:$JS$4,BN$4,$CB38:$JS38)</f>
        <v/>
      </c>
      <c r="BO38" s="55">
        <f>SUMIF($CB$4:$JS$4,BO$4,$CB38:$JS38)</f>
        <v/>
      </c>
      <c r="BP38" s="55">
        <f>SUMIF($CB$4:$JS$4,BP$4,$CB38:$JS38)</f>
        <v/>
      </c>
      <c r="BQ38" s="55">
        <f>SUMIF($CB$4:$JS$4,BQ$4,$CB38:$JS38)</f>
        <v/>
      </c>
      <c r="BR38" s="55">
        <f>SUMIF($CB$4:$JS$4,BR$4,$CB38:$JS38)</f>
        <v/>
      </c>
      <c r="BS38" s="55">
        <f>SUMIF($CB$4:$JS$4,BS$4,$CB38:$JS38)</f>
        <v/>
      </c>
      <c r="BT38" s="55">
        <f>SUMIF($CB$4:$JS$4,BT$4,$CB38:$JS38)</f>
        <v/>
      </c>
      <c r="BU38" s="55">
        <f>SUMIF($CB$4:$JS$4,BU$4,$CB38:$JS38)</f>
        <v/>
      </c>
      <c r="BV38" s="55">
        <f>SUMIF($CB$4:$JS$4,BV$4,$CB38:$JS38)</f>
        <v/>
      </c>
      <c r="BW38" s="55">
        <f>SUMIF($CB$4:$JS$4,BW$4,$CB38:$JS38)</f>
        <v/>
      </c>
      <c r="BX38" s="55">
        <f>SUMIF($CB$4:$JS$4,"&gt;"&amp;'VALOR POR PL'!$P$8,$CB38:$JS38)</f>
        <v/>
      </c>
      <c r="BY38" s="55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60" t="inlineStr">
        <is>
          <t>PINTURA</t>
        </is>
      </c>
      <c r="C39" s="60" t="n"/>
      <c r="D39" s="55">
        <f>SUMIF($CB$4:$JS$4,"&lt;="&amp;D$4,$CB39:$JS39)</f>
        <v/>
      </c>
      <c r="E39" s="55">
        <f>SUMIF($CB$4:$JS$4,E$4,$CB39:$JS39)</f>
        <v/>
      </c>
      <c r="F39" s="55">
        <f>SUMIF($CB$4:$JS$4,F$4,$CB39:$JS39)</f>
        <v/>
      </c>
      <c r="G39" s="55">
        <f>SUMIF($CB$4:$JS$4,G$4,$CB39:$JS39)</f>
        <v/>
      </c>
      <c r="H39" s="55">
        <f>SUMIF($CB$4:$JS$4,H$4,$CB39:$JS39)</f>
        <v/>
      </c>
      <c r="I39" s="55">
        <f>SUMIF($CB$4:$JS$4,I$4,$CB39:$JS39)</f>
        <v/>
      </c>
      <c r="J39" s="55">
        <f>SUMIF($CB$4:$JS$4,J$4,$CB39:$JS39)</f>
        <v/>
      </c>
      <c r="K39" s="55">
        <f>SUMIF($CB$4:$JS$4,K$4,$CB39:$JS39)</f>
        <v/>
      </c>
      <c r="L39" s="55">
        <f>SUMIF($CB$4:$JS$4,L$4,$CB39:$JS39)</f>
        <v/>
      </c>
      <c r="M39" s="55">
        <f>SUMIF($CB$4:$JS$4,M$4,$CB39:$JS39)</f>
        <v/>
      </c>
      <c r="N39" s="55">
        <f>SUMIF($CB$4:$JS$4,N$4,$CB39:$JS39)</f>
        <v/>
      </c>
      <c r="O39" s="55">
        <f>SUMIF($CB$4:$JS$4,O$4,$CB39:$JS39)</f>
        <v/>
      </c>
      <c r="P39" s="55">
        <f>SUMIF($CB$4:$JS$4,P$4,$CB39:$JS39)</f>
        <v/>
      </c>
      <c r="Q39" s="55">
        <f>SUMIF($CB$4:$JS$4,Q$4,$CB39:$JS39)</f>
        <v/>
      </c>
      <c r="R39" s="55">
        <f>SUMIF($CB$4:$JS$4,R$4,$CB39:$JS39)</f>
        <v/>
      </c>
      <c r="S39" s="55">
        <f>SUMIF($CB$4:$JS$4,S$4,$CB39:$JS39)</f>
        <v/>
      </c>
      <c r="T39" s="55">
        <f>SUMIF($CB$4:$JS$4,T$4,$CB39:$JS39)</f>
        <v/>
      </c>
      <c r="U39" s="55">
        <f>SUMIF($CB$4:$JS$4,U$4,$CB39:$JS39)</f>
        <v/>
      </c>
      <c r="V39" s="55">
        <f>SUMIF($CB$4:$JS$4,V$4,$CB39:$JS39)</f>
        <v/>
      </c>
      <c r="W39" s="55">
        <f>SUMIF($CB$4:$JS$4,W$4,$CB39:$JS39)</f>
        <v/>
      </c>
      <c r="X39" s="55">
        <f>SUMIF($CB$4:$JS$4,X$4,$CB39:$JS39)</f>
        <v/>
      </c>
      <c r="Y39" s="55">
        <f>SUMIF($CB$4:$JS$4,Y$4,$CB39:$JS39)</f>
        <v/>
      </c>
      <c r="Z39" s="55">
        <f>SUMIF($CB$4:$JS$4,Z$4,$CB39:$JS39)</f>
        <v/>
      </c>
      <c r="AA39" s="55">
        <f>SUMIF($CB$4:$JS$4,AA$4,$CB39:$JS39)</f>
        <v/>
      </c>
      <c r="AB39" s="55">
        <f>SUMIF($CB$4:$JS$4,AB$4,$CB39:$JS39)</f>
        <v/>
      </c>
      <c r="AC39" s="55">
        <f>SUMIF($CB$4:$JS$4,AC$4,$CB39:$JS39)</f>
        <v/>
      </c>
      <c r="AD39" s="55">
        <f>SUMIF($CB$4:$JS$4,AD$4,$CB39:$JS39)</f>
        <v/>
      </c>
      <c r="AE39" s="55">
        <f>SUMIF($CB$4:$JS$4,AE$4,$CB39:$JS39)</f>
        <v/>
      </c>
      <c r="AF39" s="55">
        <f>SUMIF($CB$4:$JS$4,AF$4,$CB39:$JS39)</f>
        <v/>
      </c>
      <c r="AG39" s="55">
        <f>SUMIF($CB$4:$JS$4,AG$4,$CB39:$JS39)</f>
        <v/>
      </c>
      <c r="AH39" s="55">
        <f>SUMIF($CB$4:$JS$4,AH$4,$CB39:$JS39)</f>
        <v/>
      </c>
      <c r="AI39" s="55">
        <f>SUMIF($CB$4:$JS$4,AI$4,$CB39:$JS39)</f>
        <v/>
      </c>
      <c r="AJ39" s="55">
        <f>SUMIF($CB$4:$JS$4,AJ$4,$CB39:$JS39)</f>
        <v/>
      </c>
      <c r="AK39" s="55">
        <f>SUMIF($CB$4:$JS$4,AK$4,$CB39:$JS39)</f>
        <v/>
      </c>
      <c r="AL39" s="55">
        <f>SUMIF($CB$4:$JS$4,AL$4,$CB39:$JS39)</f>
        <v/>
      </c>
      <c r="AM39" s="55">
        <f>SUMIF($CB$4:$JS$4,AM$4,$CB39:$JS39)</f>
        <v/>
      </c>
      <c r="AN39" s="55">
        <f>SUMIF($CB$4:$JS$4,AN$4,$CB39:$JS39)</f>
        <v/>
      </c>
      <c r="AO39" s="55">
        <f>SUMIF($CB$4:$JS$4,AO$4,$CB39:$JS39)</f>
        <v/>
      </c>
      <c r="AP39" s="55">
        <f>SUMIF($CB$4:$JS$4,AP$4,$CB39:$JS39)</f>
        <v/>
      </c>
      <c r="AQ39" s="55">
        <f>SUMIF($CB$4:$JS$4,AQ$4,$CB39:$JS39)</f>
        <v/>
      </c>
      <c r="AR39" s="55">
        <f>SUMIF($CB$4:$JS$4,AR$4,$CB39:$JS39)</f>
        <v/>
      </c>
      <c r="AS39" s="55">
        <f>SUMIF($CB$4:$JS$4,AS$4,$CB39:$JS39)</f>
        <v/>
      </c>
      <c r="AT39" s="55">
        <f>SUMIF($CB$4:$JS$4,AT$4,$CB39:$JS39)</f>
        <v/>
      </c>
      <c r="AU39" s="55">
        <f>SUMIF($CB$4:$JS$4,AU$4,$CB39:$JS39)</f>
        <v/>
      </c>
      <c r="AV39" s="55">
        <f>SUMIF($CB$4:$JS$4,AV$4,$CB39:$JS39)</f>
        <v/>
      </c>
      <c r="AW39" s="55">
        <f>SUMIF($CB$4:$JS$4,AW$4,$CB39:$JS39)</f>
        <v/>
      </c>
      <c r="AX39" s="55">
        <f>SUMIF($CB$4:$JS$4,AX$4,$CB39:$JS39)</f>
        <v/>
      </c>
      <c r="AY39" s="55">
        <f>SUMIF($CB$4:$JS$4,AY$4,$CB39:$JS39)</f>
        <v/>
      </c>
      <c r="AZ39" s="55">
        <f>SUMIF($CB$4:$JS$4,AZ$4,$CB39:$JS39)</f>
        <v/>
      </c>
      <c r="BA39" s="55">
        <f>SUMIF($CB$4:$JS$4,BA$4,$CB39:$JS39)</f>
        <v/>
      </c>
      <c r="BB39" s="55">
        <f>SUMIF($CB$4:$JS$4,BB$4,$CB39:$JS39)</f>
        <v/>
      </c>
      <c r="BC39" s="55">
        <f>SUMIF($CB$4:$JS$4,BC$4,$CB39:$JS39)</f>
        <v/>
      </c>
      <c r="BD39" s="55">
        <f>SUMIF($CB$4:$JS$4,BD$4,$CB39:$JS39)</f>
        <v/>
      </c>
      <c r="BE39" s="55">
        <f>SUMIF($CB$4:$JS$4,BE$4,$CB39:$JS39)</f>
        <v/>
      </c>
      <c r="BF39" s="55">
        <f>SUMIF($CB$4:$JS$4,BF$4,$CB39:$JS39)</f>
        <v/>
      </c>
      <c r="BG39" s="55">
        <f>SUMIF($CB$4:$JS$4,BG$4,$CB39:$JS39)</f>
        <v/>
      </c>
      <c r="BH39" s="55">
        <f>SUMIF($CB$4:$JS$4,BH$4,$CB39:$JS39)</f>
        <v/>
      </c>
      <c r="BI39" s="55">
        <f>SUMIF($CB$4:$JS$4,BI$4,$CB39:$JS39)</f>
        <v/>
      </c>
      <c r="BJ39" s="55">
        <f>SUMIF($CB$4:$JS$4,BJ$4,$CB39:$JS39)</f>
        <v/>
      </c>
      <c r="BK39" s="55">
        <f>SUMIF($CB$4:$JS$4,BK$4,$CB39:$JS39)</f>
        <v/>
      </c>
      <c r="BL39" s="55">
        <f>SUMIF($CB$4:$JS$4,BL$4,$CB39:$JS39)</f>
        <v/>
      </c>
      <c r="BM39" s="55">
        <f>SUMIF($CB$4:$JS$4,BM$4,$CB39:$JS39)</f>
        <v/>
      </c>
      <c r="BN39" s="55">
        <f>SUMIF($CB$4:$JS$4,BN$4,$CB39:$JS39)</f>
        <v/>
      </c>
      <c r="BO39" s="55">
        <f>SUMIF($CB$4:$JS$4,BO$4,$CB39:$JS39)</f>
        <v/>
      </c>
      <c r="BP39" s="55">
        <f>SUMIF($CB$4:$JS$4,BP$4,$CB39:$JS39)</f>
        <v/>
      </c>
      <c r="BQ39" s="55">
        <f>SUMIF($CB$4:$JS$4,BQ$4,$CB39:$JS39)</f>
        <v/>
      </c>
      <c r="BR39" s="55">
        <f>SUMIF($CB$4:$JS$4,BR$4,$CB39:$JS39)</f>
        <v/>
      </c>
      <c r="BS39" s="55">
        <f>SUMIF($CB$4:$JS$4,BS$4,$CB39:$JS39)</f>
        <v/>
      </c>
      <c r="BT39" s="55">
        <f>SUMIF($CB$4:$JS$4,BT$4,$CB39:$JS39)</f>
        <v/>
      </c>
      <c r="BU39" s="55">
        <f>SUMIF($CB$4:$JS$4,BU$4,$CB39:$JS39)</f>
        <v/>
      </c>
      <c r="BV39" s="55">
        <f>SUMIF($CB$4:$JS$4,BV$4,$CB39:$JS39)</f>
        <v/>
      </c>
      <c r="BW39" s="55">
        <f>SUMIF($CB$4:$JS$4,BW$4,$CB39:$JS39)</f>
        <v/>
      </c>
      <c r="BX39" s="55">
        <f>SUMIF($CB$4:$JS$4,"&gt;"&amp;'VALOR POR PL'!$P$8,$CB39:$JS39)</f>
        <v/>
      </c>
      <c r="BY39" s="55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60" t="inlineStr">
        <is>
          <t>PAISAGISMO</t>
        </is>
      </c>
      <c r="C40" s="60" t="n"/>
      <c r="D40" s="55">
        <f>SUMIF($CB$4:$JS$4,"&lt;="&amp;D$4,$CB40:$JS40)</f>
        <v/>
      </c>
      <c r="E40" s="55">
        <f>SUMIF($CB$4:$JS$4,E$4,$CB40:$JS40)</f>
        <v/>
      </c>
      <c r="F40" s="55">
        <f>SUMIF($CB$4:$JS$4,F$4,$CB40:$JS40)</f>
        <v/>
      </c>
      <c r="G40" s="55">
        <f>SUMIF($CB$4:$JS$4,G$4,$CB40:$JS40)</f>
        <v/>
      </c>
      <c r="H40" s="55">
        <f>SUMIF($CB$4:$JS$4,H$4,$CB40:$JS40)</f>
        <v/>
      </c>
      <c r="I40" s="55">
        <f>SUMIF($CB$4:$JS$4,I$4,$CB40:$JS40)</f>
        <v/>
      </c>
      <c r="J40" s="55">
        <f>SUMIF($CB$4:$JS$4,J$4,$CB40:$JS40)</f>
        <v/>
      </c>
      <c r="K40" s="55">
        <f>SUMIF($CB$4:$JS$4,K$4,$CB40:$JS40)</f>
        <v/>
      </c>
      <c r="L40" s="55">
        <f>SUMIF($CB$4:$JS$4,L$4,$CB40:$JS40)</f>
        <v/>
      </c>
      <c r="M40" s="55">
        <f>SUMIF($CB$4:$JS$4,M$4,$CB40:$JS40)</f>
        <v/>
      </c>
      <c r="N40" s="55">
        <f>SUMIF($CB$4:$JS$4,N$4,$CB40:$JS40)</f>
        <v/>
      </c>
      <c r="O40" s="55">
        <f>SUMIF($CB$4:$JS$4,O$4,$CB40:$JS40)</f>
        <v/>
      </c>
      <c r="P40" s="55">
        <f>SUMIF($CB$4:$JS$4,P$4,$CB40:$JS40)</f>
        <v/>
      </c>
      <c r="Q40" s="55">
        <f>SUMIF($CB$4:$JS$4,Q$4,$CB40:$JS40)</f>
        <v/>
      </c>
      <c r="R40" s="55">
        <f>SUMIF($CB$4:$JS$4,R$4,$CB40:$JS40)</f>
        <v/>
      </c>
      <c r="S40" s="55">
        <f>SUMIF($CB$4:$JS$4,S$4,$CB40:$JS40)</f>
        <v/>
      </c>
      <c r="T40" s="55">
        <f>SUMIF($CB$4:$JS$4,T$4,$CB40:$JS40)</f>
        <v/>
      </c>
      <c r="U40" s="55">
        <f>SUMIF($CB$4:$JS$4,U$4,$CB40:$JS40)</f>
        <v/>
      </c>
      <c r="V40" s="55">
        <f>SUMIF($CB$4:$JS$4,V$4,$CB40:$JS40)</f>
        <v/>
      </c>
      <c r="W40" s="55">
        <f>SUMIF($CB$4:$JS$4,W$4,$CB40:$JS40)</f>
        <v/>
      </c>
      <c r="X40" s="55">
        <f>SUMIF($CB$4:$JS$4,X$4,$CB40:$JS40)</f>
        <v/>
      </c>
      <c r="Y40" s="55">
        <f>SUMIF($CB$4:$JS$4,Y$4,$CB40:$JS40)</f>
        <v/>
      </c>
      <c r="Z40" s="55">
        <f>SUMIF($CB$4:$JS$4,Z$4,$CB40:$JS40)</f>
        <v/>
      </c>
      <c r="AA40" s="55">
        <f>SUMIF($CB$4:$JS$4,AA$4,$CB40:$JS40)</f>
        <v/>
      </c>
      <c r="AB40" s="55">
        <f>SUMIF($CB$4:$JS$4,AB$4,$CB40:$JS40)</f>
        <v/>
      </c>
      <c r="AC40" s="55">
        <f>SUMIF($CB$4:$JS$4,AC$4,$CB40:$JS40)</f>
        <v/>
      </c>
      <c r="AD40" s="55">
        <f>SUMIF($CB$4:$JS$4,AD$4,$CB40:$JS40)</f>
        <v/>
      </c>
      <c r="AE40" s="55">
        <f>SUMIF($CB$4:$JS$4,AE$4,$CB40:$JS40)</f>
        <v/>
      </c>
      <c r="AF40" s="55">
        <f>SUMIF($CB$4:$JS$4,AF$4,$CB40:$JS40)</f>
        <v/>
      </c>
      <c r="AG40" s="55">
        <f>SUMIF($CB$4:$JS$4,AG$4,$CB40:$JS40)</f>
        <v/>
      </c>
      <c r="AH40" s="55">
        <f>SUMIF($CB$4:$JS$4,AH$4,$CB40:$JS40)</f>
        <v/>
      </c>
      <c r="AI40" s="55">
        <f>SUMIF($CB$4:$JS$4,AI$4,$CB40:$JS40)</f>
        <v/>
      </c>
      <c r="AJ40" s="55">
        <f>SUMIF($CB$4:$JS$4,AJ$4,$CB40:$JS40)</f>
        <v/>
      </c>
      <c r="AK40" s="55">
        <f>SUMIF($CB$4:$JS$4,AK$4,$CB40:$JS40)</f>
        <v/>
      </c>
      <c r="AL40" s="55">
        <f>SUMIF($CB$4:$JS$4,AL$4,$CB40:$JS40)</f>
        <v/>
      </c>
      <c r="AM40" s="55">
        <f>SUMIF($CB$4:$JS$4,AM$4,$CB40:$JS40)</f>
        <v/>
      </c>
      <c r="AN40" s="55">
        <f>SUMIF($CB$4:$JS$4,AN$4,$CB40:$JS40)</f>
        <v/>
      </c>
      <c r="AO40" s="55">
        <f>SUMIF($CB$4:$JS$4,AO$4,$CB40:$JS40)</f>
        <v/>
      </c>
      <c r="AP40" s="55">
        <f>SUMIF($CB$4:$JS$4,AP$4,$CB40:$JS40)</f>
        <v/>
      </c>
      <c r="AQ40" s="55">
        <f>SUMIF($CB$4:$JS$4,AQ$4,$CB40:$JS40)</f>
        <v/>
      </c>
      <c r="AR40" s="55">
        <f>SUMIF($CB$4:$JS$4,AR$4,$CB40:$JS40)</f>
        <v/>
      </c>
      <c r="AS40" s="55">
        <f>SUMIF($CB$4:$JS$4,AS$4,$CB40:$JS40)</f>
        <v/>
      </c>
      <c r="AT40" s="55">
        <f>SUMIF($CB$4:$JS$4,AT$4,$CB40:$JS40)</f>
        <v/>
      </c>
      <c r="AU40" s="55">
        <f>SUMIF($CB$4:$JS$4,AU$4,$CB40:$JS40)</f>
        <v/>
      </c>
      <c r="AV40" s="55">
        <f>SUMIF($CB$4:$JS$4,AV$4,$CB40:$JS40)</f>
        <v/>
      </c>
      <c r="AW40" s="55">
        <f>SUMIF($CB$4:$JS$4,AW$4,$CB40:$JS40)</f>
        <v/>
      </c>
      <c r="AX40" s="55">
        <f>SUMIF($CB$4:$JS$4,AX$4,$CB40:$JS40)</f>
        <v/>
      </c>
      <c r="AY40" s="55">
        <f>SUMIF($CB$4:$JS$4,AY$4,$CB40:$JS40)</f>
        <v/>
      </c>
      <c r="AZ40" s="55">
        <f>SUMIF($CB$4:$JS$4,AZ$4,$CB40:$JS40)</f>
        <v/>
      </c>
      <c r="BA40" s="55">
        <f>SUMIF($CB$4:$JS$4,BA$4,$CB40:$JS40)</f>
        <v/>
      </c>
      <c r="BB40" s="55">
        <f>SUMIF($CB$4:$JS$4,BB$4,$CB40:$JS40)</f>
        <v/>
      </c>
      <c r="BC40" s="55">
        <f>SUMIF($CB$4:$JS$4,BC$4,$CB40:$JS40)</f>
        <v/>
      </c>
      <c r="BD40" s="55">
        <f>SUMIF($CB$4:$JS$4,BD$4,$CB40:$JS40)</f>
        <v/>
      </c>
      <c r="BE40" s="55">
        <f>SUMIF($CB$4:$JS$4,BE$4,$CB40:$JS40)</f>
        <v/>
      </c>
      <c r="BF40" s="55">
        <f>SUMIF($CB$4:$JS$4,BF$4,$CB40:$JS40)</f>
        <v/>
      </c>
      <c r="BG40" s="55">
        <f>SUMIF($CB$4:$JS$4,BG$4,$CB40:$JS40)</f>
        <v/>
      </c>
      <c r="BH40" s="55">
        <f>SUMIF($CB$4:$JS$4,BH$4,$CB40:$JS40)</f>
        <v/>
      </c>
      <c r="BI40" s="55">
        <f>SUMIF($CB$4:$JS$4,BI$4,$CB40:$JS40)</f>
        <v/>
      </c>
      <c r="BJ40" s="55">
        <f>SUMIF($CB$4:$JS$4,BJ$4,$CB40:$JS40)</f>
        <v/>
      </c>
      <c r="BK40" s="55">
        <f>SUMIF($CB$4:$JS$4,BK$4,$CB40:$JS40)</f>
        <v/>
      </c>
      <c r="BL40" s="55">
        <f>SUMIF($CB$4:$JS$4,BL$4,$CB40:$JS40)</f>
        <v/>
      </c>
      <c r="BM40" s="55">
        <f>SUMIF($CB$4:$JS$4,BM$4,$CB40:$JS40)</f>
        <v/>
      </c>
      <c r="BN40" s="55">
        <f>SUMIF($CB$4:$JS$4,BN$4,$CB40:$JS40)</f>
        <v/>
      </c>
      <c r="BO40" s="55">
        <f>SUMIF($CB$4:$JS$4,BO$4,$CB40:$JS40)</f>
        <v/>
      </c>
      <c r="BP40" s="55">
        <f>SUMIF($CB$4:$JS$4,BP$4,$CB40:$JS40)</f>
        <v/>
      </c>
      <c r="BQ40" s="55">
        <f>SUMIF($CB$4:$JS$4,BQ$4,$CB40:$JS40)</f>
        <v/>
      </c>
      <c r="BR40" s="55">
        <f>SUMIF($CB$4:$JS$4,BR$4,$CB40:$JS40)</f>
        <v/>
      </c>
      <c r="BS40" s="55">
        <f>SUMIF($CB$4:$JS$4,BS$4,$CB40:$JS40)</f>
        <v/>
      </c>
      <c r="BT40" s="55">
        <f>SUMIF($CB$4:$JS$4,BT$4,$CB40:$JS40)</f>
        <v/>
      </c>
      <c r="BU40" s="55">
        <f>SUMIF($CB$4:$JS$4,BU$4,$CB40:$JS40)</f>
        <v/>
      </c>
      <c r="BV40" s="55">
        <f>SUMIF($CB$4:$JS$4,BV$4,$CB40:$JS40)</f>
        <v/>
      </c>
      <c r="BW40" s="55">
        <f>SUMIF($CB$4:$JS$4,BW$4,$CB40:$JS40)</f>
        <v/>
      </c>
      <c r="BX40" s="55">
        <f>SUMIF($CB$4:$JS$4,"&gt;"&amp;'VALOR POR PL'!$P$8,$CB40:$JS40)</f>
        <v/>
      </c>
      <c r="BY40" s="55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60" t="inlineStr">
        <is>
          <t>LIMPEZA FINAL DE OBRA</t>
        </is>
      </c>
      <c r="C41" s="60" t="n"/>
      <c r="D41" s="55">
        <f>SUMIF($CB$4:$JS$4,"&lt;="&amp;D$4,$CB41:$JS41)</f>
        <v/>
      </c>
      <c r="E41" s="55">
        <f>SUMIF($CB$4:$JS$4,E$4,$CB41:$JS41)</f>
        <v/>
      </c>
      <c r="F41" s="55">
        <f>SUMIF($CB$4:$JS$4,F$4,$CB41:$JS41)</f>
        <v/>
      </c>
      <c r="G41" s="55">
        <f>SUMIF($CB$4:$JS$4,G$4,$CB41:$JS41)</f>
        <v/>
      </c>
      <c r="H41" s="55">
        <f>SUMIF($CB$4:$JS$4,H$4,$CB41:$JS41)</f>
        <v/>
      </c>
      <c r="I41" s="55">
        <f>SUMIF($CB$4:$JS$4,I$4,$CB41:$JS41)</f>
        <v/>
      </c>
      <c r="J41" s="55">
        <f>SUMIF($CB$4:$JS$4,J$4,$CB41:$JS41)</f>
        <v/>
      </c>
      <c r="K41" s="55">
        <f>SUMIF($CB$4:$JS$4,K$4,$CB41:$JS41)</f>
        <v/>
      </c>
      <c r="L41" s="55">
        <f>SUMIF($CB$4:$JS$4,L$4,$CB41:$JS41)</f>
        <v/>
      </c>
      <c r="M41" s="55">
        <f>SUMIF($CB$4:$JS$4,M$4,$CB41:$JS41)</f>
        <v/>
      </c>
      <c r="N41" s="55">
        <f>SUMIF($CB$4:$JS$4,N$4,$CB41:$JS41)</f>
        <v/>
      </c>
      <c r="O41" s="55">
        <f>SUMIF($CB$4:$JS$4,O$4,$CB41:$JS41)</f>
        <v/>
      </c>
      <c r="P41" s="55">
        <f>SUMIF($CB$4:$JS$4,P$4,$CB41:$JS41)</f>
        <v/>
      </c>
      <c r="Q41" s="55">
        <f>SUMIF($CB$4:$JS$4,Q$4,$CB41:$JS41)</f>
        <v/>
      </c>
      <c r="R41" s="55">
        <f>SUMIF($CB$4:$JS$4,R$4,$CB41:$JS41)</f>
        <v/>
      </c>
      <c r="S41" s="55">
        <f>SUMIF($CB$4:$JS$4,S$4,$CB41:$JS41)</f>
        <v/>
      </c>
      <c r="T41" s="55">
        <f>SUMIF($CB$4:$JS$4,T$4,$CB41:$JS41)</f>
        <v/>
      </c>
      <c r="U41" s="55">
        <f>SUMIF($CB$4:$JS$4,U$4,$CB41:$JS41)</f>
        <v/>
      </c>
      <c r="V41" s="55">
        <f>SUMIF($CB$4:$JS$4,V$4,$CB41:$JS41)</f>
        <v/>
      </c>
      <c r="W41" s="55">
        <f>SUMIF($CB$4:$JS$4,W$4,$CB41:$JS41)</f>
        <v/>
      </c>
      <c r="X41" s="55">
        <f>SUMIF($CB$4:$JS$4,X$4,$CB41:$JS41)</f>
        <v/>
      </c>
      <c r="Y41" s="55">
        <f>SUMIF($CB$4:$JS$4,Y$4,$CB41:$JS41)</f>
        <v/>
      </c>
      <c r="Z41" s="55">
        <f>SUMIF($CB$4:$JS$4,Z$4,$CB41:$JS41)</f>
        <v/>
      </c>
      <c r="AA41" s="55">
        <f>SUMIF($CB$4:$JS$4,AA$4,$CB41:$JS41)</f>
        <v/>
      </c>
      <c r="AB41" s="55">
        <f>SUMIF($CB$4:$JS$4,AB$4,$CB41:$JS41)</f>
        <v/>
      </c>
      <c r="AC41" s="55">
        <f>SUMIF($CB$4:$JS$4,AC$4,$CB41:$JS41)</f>
        <v/>
      </c>
      <c r="AD41" s="55">
        <f>SUMIF($CB$4:$JS$4,AD$4,$CB41:$JS41)</f>
        <v/>
      </c>
      <c r="AE41" s="55">
        <f>SUMIF($CB$4:$JS$4,AE$4,$CB41:$JS41)</f>
        <v/>
      </c>
      <c r="AF41" s="55">
        <f>SUMIF($CB$4:$JS$4,AF$4,$CB41:$JS41)</f>
        <v/>
      </c>
      <c r="AG41" s="55">
        <f>SUMIF($CB$4:$JS$4,AG$4,$CB41:$JS41)</f>
        <v/>
      </c>
      <c r="AH41" s="55">
        <f>SUMIF($CB$4:$JS$4,AH$4,$CB41:$JS41)</f>
        <v/>
      </c>
      <c r="AI41" s="55">
        <f>SUMIF($CB$4:$JS$4,AI$4,$CB41:$JS41)</f>
        <v/>
      </c>
      <c r="AJ41" s="55">
        <f>SUMIF($CB$4:$JS$4,AJ$4,$CB41:$JS41)</f>
        <v/>
      </c>
      <c r="AK41" s="55">
        <f>SUMIF($CB$4:$JS$4,AK$4,$CB41:$JS41)</f>
        <v/>
      </c>
      <c r="AL41" s="55">
        <f>SUMIF($CB$4:$JS$4,AL$4,$CB41:$JS41)</f>
        <v/>
      </c>
      <c r="AM41" s="55">
        <f>SUMIF($CB$4:$JS$4,AM$4,$CB41:$JS41)</f>
        <v/>
      </c>
      <c r="AN41" s="55">
        <f>SUMIF($CB$4:$JS$4,AN$4,$CB41:$JS41)</f>
        <v/>
      </c>
      <c r="AO41" s="55">
        <f>SUMIF($CB$4:$JS$4,AO$4,$CB41:$JS41)</f>
        <v/>
      </c>
      <c r="AP41" s="55">
        <f>SUMIF($CB$4:$JS$4,AP$4,$CB41:$JS41)</f>
        <v/>
      </c>
      <c r="AQ41" s="55">
        <f>SUMIF($CB$4:$JS$4,AQ$4,$CB41:$JS41)</f>
        <v/>
      </c>
      <c r="AR41" s="55">
        <f>SUMIF($CB$4:$JS$4,AR$4,$CB41:$JS41)</f>
        <v/>
      </c>
      <c r="AS41" s="55">
        <f>SUMIF($CB$4:$JS$4,AS$4,$CB41:$JS41)</f>
        <v/>
      </c>
      <c r="AT41" s="55">
        <f>SUMIF($CB$4:$JS$4,AT$4,$CB41:$JS41)</f>
        <v/>
      </c>
      <c r="AU41" s="55">
        <f>SUMIF($CB$4:$JS$4,AU$4,$CB41:$JS41)</f>
        <v/>
      </c>
      <c r="AV41" s="55">
        <f>SUMIF($CB$4:$JS$4,AV$4,$CB41:$JS41)</f>
        <v/>
      </c>
      <c r="AW41" s="55">
        <f>SUMIF($CB$4:$JS$4,AW$4,$CB41:$JS41)</f>
        <v/>
      </c>
      <c r="AX41" s="55">
        <f>SUMIF($CB$4:$JS$4,AX$4,$CB41:$JS41)</f>
        <v/>
      </c>
      <c r="AY41" s="55">
        <f>SUMIF($CB$4:$JS$4,AY$4,$CB41:$JS41)</f>
        <v/>
      </c>
      <c r="AZ41" s="55">
        <f>SUMIF($CB$4:$JS$4,AZ$4,$CB41:$JS41)</f>
        <v/>
      </c>
      <c r="BA41" s="55">
        <f>SUMIF($CB$4:$JS$4,BA$4,$CB41:$JS41)</f>
        <v/>
      </c>
      <c r="BB41" s="55">
        <f>SUMIF($CB$4:$JS$4,BB$4,$CB41:$JS41)</f>
        <v/>
      </c>
      <c r="BC41" s="55">
        <f>SUMIF($CB$4:$JS$4,BC$4,$CB41:$JS41)</f>
        <v/>
      </c>
      <c r="BD41" s="55">
        <f>SUMIF($CB$4:$JS$4,BD$4,$CB41:$JS41)</f>
        <v/>
      </c>
      <c r="BE41" s="55">
        <f>SUMIF($CB$4:$JS$4,BE$4,$CB41:$JS41)</f>
        <v/>
      </c>
      <c r="BF41" s="55">
        <f>SUMIF($CB$4:$JS$4,BF$4,$CB41:$JS41)</f>
        <v/>
      </c>
      <c r="BG41" s="55">
        <f>SUMIF($CB$4:$JS$4,BG$4,$CB41:$JS41)</f>
        <v/>
      </c>
      <c r="BH41" s="55">
        <f>SUMIF($CB$4:$JS$4,BH$4,$CB41:$JS41)</f>
        <v/>
      </c>
      <c r="BI41" s="55">
        <f>SUMIF($CB$4:$JS$4,BI$4,$CB41:$JS41)</f>
        <v/>
      </c>
      <c r="BJ41" s="55">
        <f>SUMIF($CB$4:$JS$4,BJ$4,$CB41:$JS41)</f>
        <v/>
      </c>
      <c r="BK41" s="55">
        <f>SUMIF($CB$4:$JS$4,BK$4,$CB41:$JS41)</f>
        <v/>
      </c>
      <c r="BL41" s="55">
        <f>SUMIF($CB$4:$JS$4,BL$4,$CB41:$JS41)</f>
        <v/>
      </c>
      <c r="BM41" s="55">
        <f>SUMIF($CB$4:$JS$4,BM$4,$CB41:$JS41)</f>
        <v/>
      </c>
      <c r="BN41" s="55">
        <f>SUMIF($CB$4:$JS$4,BN$4,$CB41:$JS41)</f>
        <v/>
      </c>
      <c r="BO41" s="55">
        <f>SUMIF($CB$4:$JS$4,BO$4,$CB41:$JS41)</f>
        <v/>
      </c>
      <c r="BP41" s="55">
        <f>SUMIF($CB$4:$JS$4,BP$4,$CB41:$JS41)</f>
        <v/>
      </c>
      <c r="BQ41" s="55">
        <f>SUMIF($CB$4:$JS$4,BQ$4,$CB41:$JS41)</f>
        <v/>
      </c>
      <c r="BR41" s="55">
        <f>SUMIF($CB$4:$JS$4,BR$4,$CB41:$JS41)</f>
        <v/>
      </c>
      <c r="BS41" s="55">
        <f>SUMIF($CB$4:$JS$4,BS$4,$CB41:$JS41)</f>
        <v/>
      </c>
      <c r="BT41" s="55">
        <f>SUMIF($CB$4:$JS$4,BT$4,$CB41:$JS41)</f>
        <v/>
      </c>
      <c r="BU41" s="55">
        <f>SUMIF($CB$4:$JS$4,BU$4,$CB41:$JS41)</f>
        <v/>
      </c>
      <c r="BV41" s="55">
        <f>SUMIF($CB$4:$JS$4,BV$4,$CB41:$JS41)</f>
        <v/>
      </c>
      <c r="BW41" s="55">
        <f>SUMIF($CB$4:$JS$4,BW$4,$CB41:$JS41)</f>
        <v/>
      </c>
      <c r="BX41" s="55">
        <f>SUMIF($CB$4:$JS$4,"&gt;"&amp;'VALOR POR PL'!$P$8,$CB41:$JS41)</f>
        <v/>
      </c>
      <c r="BY41" s="55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60" t="inlineStr">
        <is>
          <t>TAXA DE ADMINISTRAÇÃO</t>
        </is>
      </c>
      <c r="C42" s="60" t="n"/>
      <c r="D42" s="55">
        <f>SUMIF($CB$4:$JS$4,"&lt;="&amp;D$4,$CB42:$JS42)</f>
        <v/>
      </c>
      <c r="E42" s="55">
        <f>SUMIF($CB$4:$JS$4,E$4,$CB42:$JS42)</f>
        <v/>
      </c>
      <c r="F42" s="55">
        <f>SUMIF($CB$4:$JS$4,F$4,$CB42:$JS42)</f>
        <v/>
      </c>
      <c r="G42" s="55">
        <f>SUMIF($CB$4:$JS$4,G$4,$CB42:$JS42)</f>
        <v/>
      </c>
      <c r="H42" s="55">
        <f>SUMIF($CB$4:$JS$4,H$4,$CB42:$JS42)</f>
        <v/>
      </c>
      <c r="I42" s="55">
        <f>SUMIF($CB$4:$JS$4,I$4,$CB42:$JS42)</f>
        <v/>
      </c>
      <c r="J42" s="55">
        <f>SUMIF($CB$4:$JS$4,J$4,$CB42:$JS42)</f>
        <v/>
      </c>
      <c r="K42" s="55">
        <f>SUMIF($CB$4:$JS$4,K$4,$CB42:$JS42)</f>
        <v/>
      </c>
      <c r="L42" s="55">
        <f>SUMIF($CB$4:$JS$4,L$4,$CB42:$JS42)</f>
        <v/>
      </c>
      <c r="M42" s="55">
        <f>SUMIF($CB$4:$JS$4,M$4,$CB42:$JS42)</f>
        <v/>
      </c>
      <c r="N42" s="55">
        <f>SUMIF($CB$4:$JS$4,N$4,$CB42:$JS42)</f>
        <v/>
      </c>
      <c r="O42" s="55">
        <f>SUMIF($CB$4:$JS$4,O$4,$CB42:$JS42)</f>
        <v/>
      </c>
      <c r="P42" s="55">
        <f>SUMIF($CB$4:$JS$4,P$4,$CB42:$JS42)</f>
        <v/>
      </c>
      <c r="Q42" s="55">
        <f>SUMIF($CB$4:$JS$4,Q$4,$CB42:$JS42)</f>
        <v/>
      </c>
      <c r="R42" s="55">
        <f>SUMIF($CB$4:$JS$4,R$4,$CB42:$JS42)</f>
        <v/>
      </c>
      <c r="S42" s="55">
        <f>SUMIF($CB$4:$JS$4,S$4,$CB42:$JS42)</f>
        <v/>
      </c>
      <c r="T42" s="55">
        <f>SUMIF($CB$4:$JS$4,T$4,$CB42:$JS42)</f>
        <v/>
      </c>
      <c r="U42" s="55">
        <f>SUMIF($CB$4:$JS$4,U$4,$CB42:$JS42)</f>
        <v/>
      </c>
      <c r="V42" s="55">
        <f>SUMIF($CB$4:$JS$4,V$4,$CB42:$JS42)</f>
        <v/>
      </c>
      <c r="W42" s="55">
        <f>SUMIF($CB$4:$JS$4,W$4,$CB42:$JS42)</f>
        <v/>
      </c>
      <c r="X42" s="55">
        <f>SUMIF($CB$4:$JS$4,X$4,$CB42:$JS42)</f>
        <v/>
      </c>
      <c r="Y42" s="55">
        <f>SUMIF($CB$4:$JS$4,Y$4,$CB42:$JS42)</f>
        <v/>
      </c>
      <c r="Z42" s="55">
        <f>SUMIF($CB$4:$JS$4,Z$4,$CB42:$JS42)</f>
        <v/>
      </c>
      <c r="AA42" s="55">
        <f>SUMIF($CB$4:$JS$4,AA$4,$CB42:$JS42)</f>
        <v/>
      </c>
      <c r="AB42" s="55">
        <f>SUMIF($CB$4:$JS$4,AB$4,$CB42:$JS42)</f>
        <v/>
      </c>
      <c r="AC42" s="55">
        <f>SUMIF($CB$4:$JS$4,AC$4,$CB42:$JS42)</f>
        <v/>
      </c>
      <c r="AD42" s="55">
        <f>SUMIF($CB$4:$JS$4,AD$4,$CB42:$JS42)</f>
        <v/>
      </c>
      <c r="AE42" s="55">
        <f>SUMIF($CB$4:$JS$4,AE$4,$CB42:$JS42)</f>
        <v/>
      </c>
      <c r="AF42" s="55">
        <f>SUMIF($CB$4:$JS$4,AF$4,$CB42:$JS42)</f>
        <v/>
      </c>
      <c r="AG42" s="55">
        <f>SUMIF($CB$4:$JS$4,AG$4,$CB42:$JS42)</f>
        <v/>
      </c>
      <c r="AH42" s="55">
        <f>SUMIF($CB$4:$JS$4,AH$4,$CB42:$JS42)</f>
        <v/>
      </c>
      <c r="AI42" s="55">
        <f>SUMIF($CB$4:$JS$4,AI$4,$CB42:$JS42)</f>
        <v/>
      </c>
      <c r="AJ42" s="55">
        <f>SUMIF($CB$4:$JS$4,AJ$4,$CB42:$JS42)</f>
        <v/>
      </c>
      <c r="AK42" s="55">
        <f>SUMIF($CB$4:$JS$4,AK$4,$CB42:$JS42)</f>
        <v/>
      </c>
      <c r="AL42" s="55">
        <f>SUMIF($CB$4:$JS$4,AL$4,$CB42:$JS42)</f>
        <v/>
      </c>
      <c r="AM42" s="55">
        <f>SUMIF($CB$4:$JS$4,AM$4,$CB42:$JS42)</f>
        <v/>
      </c>
      <c r="AN42" s="55">
        <f>SUMIF($CB$4:$JS$4,AN$4,$CB42:$JS42)</f>
        <v/>
      </c>
      <c r="AO42" s="55">
        <f>SUMIF($CB$4:$JS$4,AO$4,$CB42:$JS42)</f>
        <v/>
      </c>
      <c r="AP42" s="55">
        <f>SUMIF($CB$4:$JS$4,AP$4,$CB42:$JS42)</f>
        <v/>
      </c>
      <c r="AQ42" s="55">
        <f>SUMIF($CB$4:$JS$4,AQ$4,$CB42:$JS42)</f>
        <v/>
      </c>
      <c r="AR42" s="55">
        <f>SUMIF($CB$4:$JS$4,AR$4,$CB42:$JS42)</f>
        <v/>
      </c>
      <c r="AS42" s="55">
        <f>SUMIF($CB$4:$JS$4,AS$4,$CB42:$JS42)</f>
        <v/>
      </c>
      <c r="AT42" s="55">
        <f>SUMIF($CB$4:$JS$4,AT$4,$CB42:$JS42)</f>
        <v/>
      </c>
      <c r="AU42" s="55">
        <f>SUMIF($CB$4:$JS$4,AU$4,$CB42:$JS42)</f>
        <v/>
      </c>
      <c r="AV42" s="55">
        <f>SUMIF($CB$4:$JS$4,AV$4,$CB42:$JS42)</f>
        <v/>
      </c>
      <c r="AW42" s="55">
        <f>SUMIF($CB$4:$JS$4,AW$4,$CB42:$JS42)</f>
        <v/>
      </c>
      <c r="AX42" s="55">
        <f>SUMIF($CB$4:$JS$4,AX$4,$CB42:$JS42)</f>
        <v/>
      </c>
      <c r="AY42" s="55">
        <f>SUMIF($CB$4:$JS$4,AY$4,$CB42:$JS42)</f>
        <v/>
      </c>
      <c r="AZ42" s="55">
        <f>SUMIF($CB$4:$JS$4,AZ$4,$CB42:$JS42)</f>
        <v/>
      </c>
      <c r="BA42" s="55">
        <f>SUMIF($CB$4:$JS$4,BA$4,$CB42:$JS42)</f>
        <v/>
      </c>
      <c r="BB42" s="55">
        <f>SUMIF($CB$4:$JS$4,BB$4,$CB42:$JS42)</f>
        <v/>
      </c>
      <c r="BC42" s="55">
        <f>SUMIF($CB$4:$JS$4,BC$4,$CB42:$JS42)</f>
        <v/>
      </c>
      <c r="BD42" s="55">
        <f>SUMIF($CB$4:$JS$4,BD$4,$CB42:$JS42)</f>
        <v/>
      </c>
      <c r="BE42" s="55">
        <f>SUMIF($CB$4:$JS$4,BE$4,$CB42:$JS42)</f>
        <v/>
      </c>
      <c r="BF42" s="55">
        <f>SUMIF($CB$4:$JS$4,BF$4,$CB42:$JS42)</f>
        <v/>
      </c>
      <c r="BG42" s="55">
        <f>SUMIF($CB$4:$JS$4,BG$4,$CB42:$JS42)</f>
        <v/>
      </c>
      <c r="BH42" s="55">
        <f>SUMIF($CB$4:$JS$4,BH$4,$CB42:$JS42)</f>
        <v/>
      </c>
      <c r="BI42" s="55">
        <f>SUMIF($CB$4:$JS$4,BI$4,$CB42:$JS42)</f>
        <v/>
      </c>
      <c r="BJ42" s="55">
        <f>SUMIF($CB$4:$JS$4,BJ$4,$CB42:$JS42)</f>
        <v/>
      </c>
      <c r="BK42" s="55">
        <f>SUMIF($CB$4:$JS$4,BK$4,$CB42:$JS42)</f>
        <v/>
      </c>
      <c r="BL42" s="55">
        <f>SUMIF($CB$4:$JS$4,BL$4,$CB42:$JS42)</f>
        <v/>
      </c>
      <c r="BM42" s="55">
        <f>SUMIF($CB$4:$JS$4,BM$4,$CB42:$JS42)</f>
        <v/>
      </c>
      <c r="BN42" s="55">
        <f>SUMIF($CB$4:$JS$4,BN$4,$CB42:$JS42)</f>
        <v/>
      </c>
      <c r="BO42" s="55">
        <f>SUMIF($CB$4:$JS$4,BO$4,$CB42:$JS42)</f>
        <v/>
      </c>
      <c r="BP42" s="55">
        <f>SUMIF($CB$4:$JS$4,BP$4,$CB42:$JS42)</f>
        <v/>
      </c>
      <c r="BQ42" s="55">
        <f>SUMIF($CB$4:$JS$4,BQ$4,$CB42:$JS42)</f>
        <v/>
      </c>
      <c r="BR42" s="55">
        <f>SUMIF($CB$4:$JS$4,BR$4,$CB42:$JS42)</f>
        <v/>
      </c>
      <c r="BS42" s="55">
        <f>SUMIF($CB$4:$JS$4,BS$4,$CB42:$JS42)</f>
        <v/>
      </c>
      <c r="BT42" s="55">
        <f>SUMIF($CB$4:$JS$4,BT$4,$CB42:$JS42)</f>
        <v/>
      </c>
      <c r="BU42" s="55">
        <f>SUMIF($CB$4:$JS$4,BU$4,$CB42:$JS42)</f>
        <v/>
      </c>
      <c r="BV42" s="55">
        <f>SUMIF($CB$4:$JS$4,BV$4,$CB42:$JS42)</f>
        <v/>
      </c>
      <c r="BW42" s="55">
        <f>SUMIF($CB$4:$JS$4,BW$4,$CB42:$JS42)</f>
        <v/>
      </c>
      <c r="BX42" s="55">
        <f>SUMIF($CB$4:$JS$4,"&gt;"&amp;'VALOR POR PL'!$P$8,$CB42:$JS42)</f>
        <v/>
      </c>
      <c r="BY42" s="55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7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7" t="inlineStr">
        <is>
          <t>TOTAL ACUMULADO</t>
        </is>
      </c>
      <c r="D45" s="109">
        <f>D44</f>
        <v/>
      </c>
      <c r="E45" s="109">
        <f>D45+E44</f>
        <v/>
      </c>
      <c r="F45" s="109">
        <f>E45+F44</f>
        <v/>
      </c>
      <c r="G45" s="109">
        <f>F45+G44</f>
        <v/>
      </c>
      <c r="H45" s="109">
        <f>G45+H44</f>
        <v/>
      </c>
      <c r="I45" s="109">
        <f>H45+I44</f>
        <v/>
      </c>
      <c r="J45" s="109">
        <f>I45+J44</f>
        <v/>
      </c>
      <c r="K45" s="109">
        <f>J45+K44</f>
        <v/>
      </c>
      <c r="L45" s="109">
        <f>K45+L44</f>
        <v/>
      </c>
      <c r="M45" s="109">
        <f>L45+M44</f>
        <v/>
      </c>
      <c r="N45" s="109">
        <f>M45+N44</f>
        <v/>
      </c>
      <c r="O45" s="109">
        <f>N45+O44</f>
        <v/>
      </c>
      <c r="P45" s="109">
        <f>O45+P44</f>
        <v/>
      </c>
      <c r="Q45" s="109">
        <f>P45+Q44</f>
        <v/>
      </c>
      <c r="R45" s="109">
        <f>Q45+R44</f>
        <v/>
      </c>
      <c r="S45" s="109">
        <f>R45+S44</f>
        <v/>
      </c>
      <c r="T45" s="109">
        <f>S45+T44</f>
        <v/>
      </c>
      <c r="U45" s="109">
        <f>T45+U44</f>
        <v/>
      </c>
      <c r="V45" s="109">
        <f>U45+V44</f>
        <v/>
      </c>
      <c r="W45" s="109">
        <f>V45+W44</f>
        <v/>
      </c>
      <c r="X45" s="109">
        <f>W45+X44</f>
        <v/>
      </c>
      <c r="Y45" s="109">
        <f>X45+Y44</f>
        <v/>
      </c>
      <c r="Z45" s="109">
        <f>Y45+Z44</f>
        <v/>
      </c>
      <c r="AA45" s="109">
        <f>Z45+AA44</f>
        <v/>
      </c>
      <c r="AB45" s="109">
        <f>AA45+AB44</f>
        <v/>
      </c>
      <c r="AC45" s="109">
        <f>AB45+AC44</f>
        <v/>
      </c>
      <c r="AD45" s="109">
        <f>AC45+AD44</f>
        <v/>
      </c>
      <c r="AE45" s="109">
        <f>AD45+AE44</f>
        <v/>
      </c>
      <c r="AF45" s="109">
        <f>AE45+AF44</f>
        <v/>
      </c>
      <c r="AG45" s="109">
        <f>AF45+AG44</f>
        <v/>
      </c>
      <c r="AH45" s="109">
        <f>AG45+AH44</f>
        <v/>
      </c>
      <c r="AI45" s="109">
        <f>AH45+AI44</f>
        <v/>
      </c>
      <c r="AJ45" s="109">
        <f>AI45+AJ44</f>
        <v/>
      </c>
      <c r="AK45" s="109">
        <f>AJ45+AK44</f>
        <v/>
      </c>
      <c r="AL45" s="109">
        <f>AK45+AL44</f>
        <v/>
      </c>
      <c r="AM45" s="109">
        <f>AL45+AM44</f>
        <v/>
      </c>
      <c r="AN45" s="109">
        <f>AM45+AN44</f>
        <v/>
      </c>
      <c r="AO45" s="109">
        <f>AN45+AO44</f>
        <v/>
      </c>
      <c r="AP45" s="109">
        <f>AO45+AP44</f>
        <v/>
      </c>
      <c r="AQ45" s="109">
        <f>AP45+AQ44</f>
        <v/>
      </c>
      <c r="AR45" s="109">
        <f>AQ45+AR44</f>
        <v/>
      </c>
      <c r="AS45" s="109">
        <f>AR45+AS44</f>
        <v/>
      </c>
      <c r="AT45" s="109">
        <f>AS45+AT44</f>
        <v/>
      </c>
      <c r="AU45" s="109">
        <f>AT45+AU44</f>
        <v/>
      </c>
      <c r="AV45" s="109">
        <f>AU45+AV44</f>
        <v/>
      </c>
      <c r="AW45" s="109">
        <f>AV45+AW44</f>
        <v/>
      </c>
      <c r="AX45" s="109">
        <f>AW45+AX44</f>
        <v/>
      </c>
      <c r="AY45" s="109">
        <f>AX45+AY44</f>
        <v/>
      </c>
      <c r="AZ45" s="109">
        <f>AY45+AZ44</f>
        <v/>
      </c>
      <c r="BA45" s="109">
        <f>AZ45+BA44</f>
        <v/>
      </c>
      <c r="BB45" s="109">
        <f>BA45+BB44</f>
        <v/>
      </c>
      <c r="BC45" s="109">
        <f>BB45+BC44</f>
        <v/>
      </c>
      <c r="BD45" s="109">
        <f>BC45+BD44</f>
        <v/>
      </c>
      <c r="BE45" s="109">
        <f>BD45+BE44</f>
        <v/>
      </c>
      <c r="BF45" s="109">
        <f>BE45+BF44</f>
        <v/>
      </c>
      <c r="BG45" s="109">
        <f>BF45+BG44</f>
        <v/>
      </c>
      <c r="BH45" s="109">
        <f>BG45+BH44</f>
        <v/>
      </c>
      <c r="BI45" s="109">
        <f>BH45+BI44</f>
        <v/>
      </c>
      <c r="BJ45" s="109">
        <f>BI45+BJ44</f>
        <v/>
      </c>
      <c r="BK45" s="109">
        <f>BJ45+BK44</f>
        <v/>
      </c>
      <c r="BL45" s="109">
        <f>BK45+BL44</f>
        <v/>
      </c>
      <c r="BM45" s="109">
        <f>BL45+BM44</f>
        <v/>
      </c>
      <c r="BN45" s="109">
        <f>BM45+BN44</f>
        <v/>
      </c>
      <c r="BO45" s="109">
        <f>BN45+BO44</f>
        <v/>
      </c>
      <c r="BP45" s="109">
        <f>BO45+BP44</f>
        <v/>
      </c>
      <c r="BQ45" s="109">
        <f>BP45+BQ44</f>
        <v/>
      </c>
      <c r="BR45" s="109">
        <f>BQ45+BR44</f>
        <v/>
      </c>
      <c r="BS45" s="109">
        <f>BR45+BS44</f>
        <v/>
      </c>
      <c r="BT45" s="109">
        <f>BS45+BT44</f>
        <v/>
      </c>
      <c r="BU45" s="109">
        <f>BT45+BU44</f>
        <v/>
      </c>
      <c r="BV45" s="109">
        <f>BU45+BV44</f>
        <v/>
      </c>
      <c r="BW45" s="109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60" t="inlineStr">
        <is>
          <t>APORTES</t>
        </is>
      </c>
    </row>
    <row r="51">
      <c r="A51" s="60" t="inlineStr">
        <is>
          <t>CUSTOS COM OBRAS</t>
        </is>
      </c>
    </row>
    <row r="52">
      <c r="A52" s="60" t="inlineStr">
        <is>
          <t>MATERIAIS E SERVIÇOS PRESTADOS</t>
        </is>
      </c>
    </row>
    <row r="53">
      <c r="A53" s="60" t="inlineStr">
        <is>
          <t>Total Geral</t>
        </is>
      </c>
    </row>
    <row r="54">
      <c r="A54" s="60" t="inlineStr">
        <is>
          <t>REEMBOLSO MATERIAIS E SERVIÇOS</t>
        </is>
      </c>
    </row>
    <row r="55">
      <c r="A55" s="60" t="inlineStr">
        <is>
          <t>DEDUÇÕES DA RECEITA</t>
        </is>
      </c>
    </row>
    <row r="56">
      <c r="A56" s="60" t="inlineStr">
        <is>
          <t>MAIS COPY GRAFICA RAPIDA E COPIADORA LTDA</t>
        </is>
      </c>
    </row>
    <row r="57">
      <c r="A57" s="60" t="inlineStr">
        <is>
          <t>EMPRESARIAL TRANSPORTES E LOGISTICA ES LTDA</t>
        </is>
      </c>
    </row>
    <row r="58">
      <c r="A58" s="60" t="n"/>
    </row>
    <row r="59">
      <c r="A59" s="60" t="n"/>
    </row>
    <row r="60">
      <c r="A60" s="60" t="n"/>
    </row>
    <row r="61">
      <c r="A61" s="60" t="n"/>
    </row>
    <row r="62">
      <c r="A62" s="60" t="n"/>
    </row>
    <row r="63">
      <c r="A63" s="60" t="n"/>
    </row>
    <row r="64">
      <c r="A64" s="60" t="n"/>
    </row>
    <row r="65">
      <c r="A65" s="60" t="n"/>
    </row>
    <row r="66">
      <c r="A66" s="60" t="n"/>
    </row>
    <row r="67">
      <c r="A67" s="60" t="n"/>
    </row>
    <row r="68">
      <c r="A68" s="60" t="n"/>
    </row>
    <row r="69">
      <c r="A69" s="60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A1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/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PL'!F11</f>
        <v/>
      </c>
      <c r="K5" s="63">
        <f>'VALOR POR PL'!G11</f>
        <v/>
      </c>
      <c r="M5" s="127">
        <f>'CP RESUMO'!D5</f>
        <v/>
      </c>
      <c r="N5" s="128" t="n">
        <v>0</v>
      </c>
      <c r="O5" s="127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RESUMO'!E5</f>
        <v/>
      </c>
      <c r="N6" s="128">
        <f>MAX(0,M6-M5)</f>
        <v/>
      </c>
      <c r="O6" s="127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PL'!L11</f>
        <v/>
      </c>
      <c r="M7" s="127">
        <f>'CP RESUMO'!F5</f>
        <v/>
      </c>
      <c r="N7" s="128">
        <f>MAX(0,M7-M6)</f>
        <v/>
      </c>
      <c r="O7" s="127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RESUMO'!G5</f>
        <v/>
      </c>
      <c r="N8" s="128">
        <f>MAX(0,M8-M7)</f>
        <v/>
      </c>
      <c r="O8" s="127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RESUMO'!H5</f>
        <v/>
      </c>
      <c r="N9" s="128">
        <f>MAX(0,M9-M8)</f>
        <v/>
      </c>
      <c r="O9" s="127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RESUMO'!I5</f>
        <v/>
      </c>
      <c r="N10" s="128">
        <f>MAX(0,M10-M9)</f>
        <v/>
      </c>
      <c r="O10" s="127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RESUMO'!J5</f>
        <v/>
      </c>
      <c r="N11" s="128">
        <f>MAX(0,M11-M10)</f>
        <v/>
      </c>
      <c r="O11" s="127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RESUMO'!K5</f>
        <v/>
      </c>
      <c r="N12" s="128">
        <f>MAX(0,M12-M11)</f>
        <v/>
      </c>
      <c r="O12" s="127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PL'!I11</f>
        <v/>
      </c>
      <c r="M13" s="127">
        <f>'CP RESUMO'!L5</f>
        <v/>
      </c>
      <c r="N13" s="128">
        <f>MAX(0,M13-M12)</f>
        <v/>
      </c>
      <c r="O13" s="127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M14" s="127">
        <f>'CP RESUMO'!M5</f>
        <v/>
      </c>
      <c r="N14" s="128">
        <f>MAX(0,M14-M13)</f>
        <v/>
      </c>
      <c r="O14" s="127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RESUMO'!N5</f>
        <v/>
      </c>
      <c r="N15" s="128">
        <f>MAX(0,M15-M14)</f>
        <v/>
      </c>
      <c r="O15" s="127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RESUMO'!O5</f>
        <v/>
      </c>
      <c r="N16" s="128">
        <f>MAX(0,M16-M15)</f>
        <v/>
      </c>
      <c r="O16" s="127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RESUMO'!P5</f>
        <v/>
      </c>
      <c r="N17" s="128">
        <f>MAX(0,M17-M16)</f>
        <v/>
      </c>
      <c r="O17" s="127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RESUMO'!Q5</f>
        <v/>
      </c>
      <c r="N18" s="128">
        <f>MAX(0,M18-M17)</f>
        <v/>
      </c>
      <c r="O18" s="127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RESUMO'!R5</f>
        <v/>
      </c>
      <c r="N19" s="128">
        <f>MAX(0,M19-M18)</f>
        <v/>
      </c>
      <c r="O19" s="127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RESUMO'!S5</f>
        <v/>
      </c>
      <c r="N20" s="128">
        <f>MAX(0,M20-M19)</f>
        <v/>
      </c>
      <c r="O20" s="127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RESUMO'!T5</f>
        <v/>
      </c>
      <c r="N21" s="128">
        <f>MAX(0,M21-M20)</f>
        <v/>
      </c>
      <c r="O21" s="127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RESUMO'!U5</f>
        <v/>
      </c>
      <c r="N22" s="128">
        <f>MAX(0,M22-M21)</f>
        <v/>
      </c>
      <c r="O22" s="127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RESUMO'!V5</f>
        <v/>
      </c>
      <c r="N23" s="128">
        <f>MAX(0,M23-M22)</f>
        <v/>
      </c>
      <c r="O23" s="127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RESUMO'!W5</f>
        <v/>
      </c>
      <c r="N24" s="128">
        <f>MAX(0,M24-M23)</f>
        <v/>
      </c>
      <c r="O24" s="127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RESUMO'!X5</f>
        <v/>
      </c>
      <c r="N25" s="128">
        <f>MAX(0,M25-M24)</f>
        <v/>
      </c>
      <c r="O25" s="127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RESUMO'!Y5</f>
        <v/>
      </c>
      <c r="N26" s="128">
        <f>MAX(0,M26-M25)</f>
        <v/>
      </c>
      <c r="O26" s="127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RESUMO'!Z5</f>
        <v/>
      </c>
      <c r="N27" s="128">
        <f>MAX(0,M27-M26)</f>
        <v/>
      </c>
      <c r="O27" s="127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RESUMO'!AA5</f>
        <v/>
      </c>
      <c r="N28" s="128">
        <f>MAX(0,M28-M27)</f>
        <v/>
      </c>
      <c r="O28" s="127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RESUMO'!AB5</f>
        <v/>
      </c>
      <c r="N29" s="128">
        <f>MAX(0,M29-M28)</f>
        <v/>
      </c>
      <c r="O29" s="127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RESUMO'!AC5</f>
        <v/>
      </c>
      <c r="N30" s="128">
        <f>MAX(0,M30-M29)</f>
        <v/>
      </c>
      <c r="O30" s="127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RESUMO'!AD5</f>
        <v/>
      </c>
      <c r="N31" s="128">
        <f>MAX(0,M31-M30)</f>
        <v/>
      </c>
      <c r="O31" s="127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RESUMO'!AE5</f>
        <v/>
      </c>
      <c r="N32" s="128">
        <f>MAX(0,M32-M31)</f>
        <v/>
      </c>
      <c r="O32" s="127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RESUMO'!AF5</f>
        <v/>
      </c>
      <c r="N33" s="128">
        <f>MAX(0,M33-M32)</f>
        <v/>
      </c>
      <c r="O33" s="127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RESUMO'!AG5</f>
        <v/>
      </c>
      <c r="N34" s="128">
        <f>MAX(0,M34-M33)</f>
        <v/>
      </c>
      <c r="O34" s="127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RESUMO'!AH5</f>
        <v/>
      </c>
      <c r="N35" s="128">
        <f>MAX(0,M35-M34)</f>
        <v/>
      </c>
      <c r="O35" s="127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RESUMO'!AI5</f>
        <v/>
      </c>
      <c r="N36" s="128">
        <f>MAX(0,M36-M35)</f>
        <v/>
      </c>
      <c r="O36" s="127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RESUMO'!AJ5</f>
        <v/>
      </c>
      <c r="N37" s="128">
        <f>MAX(0,M37-M36)</f>
        <v/>
      </c>
      <c r="O37" s="127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RESUMO'!AK5</f>
        <v/>
      </c>
      <c r="N38" s="128">
        <f>MAX(0,M38-M37)</f>
        <v/>
      </c>
      <c r="O38" s="127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RESUMO'!AL5</f>
        <v/>
      </c>
      <c r="N39" s="128">
        <f>MAX(0,M39-M38)</f>
        <v/>
      </c>
      <c r="O39" s="127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RESUMO'!AM5</f>
        <v/>
      </c>
      <c r="N40" s="128">
        <f>MAX(0,M40-M39)</f>
        <v/>
      </c>
      <c r="O40" s="127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RESUMO'!AN5</f>
        <v/>
      </c>
      <c r="N41" s="128">
        <f>MAX(0,M41-M40)</f>
        <v/>
      </c>
      <c r="O41" s="127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RESUMO'!AO5</f>
        <v/>
      </c>
      <c r="N42" s="128">
        <f>MAX(0,M42-M41)</f>
        <v/>
      </c>
      <c r="O42" s="127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RESUMO'!AP5</f>
        <v/>
      </c>
      <c r="N43" s="128">
        <f>MAX(0,M43-M42)</f>
        <v/>
      </c>
      <c r="O43" s="127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RESUMO'!AQ5</f>
        <v/>
      </c>
      <c r="N44" s="128">
        <f>MAX(0,M44-M43)</f>
        <v/>
      </c>
      <c r="O44" s="127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RESUMO'!AR5</f>
        <v/>
      </c>
      <c r="N45" s="128">
        <f>MAX(0,M45-M44)</f>
        <v/>
      </c>
      <c r="O45" s="127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RESUMO'!AS5</f>
        <v/>
      </c>
      <c r="N46" s="128">
        <f>MAX(0,M46-M45)</f>
        <v/>
      </c>
      <c r="O46" s="127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RESUMO'!AT5</f>
        <v/>
      </c>
      <c r="N47" s="128">
        <f>MAX(0,M47-M46)</f>
        <v/>
      </c>
      <c r="O47" s="127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RESUMO'!AU5</f>
        <v/>
      </c>
      <c r="N48" s="128">
        <f>MAX(0,M48-M47)</f>
        <v/>
      </c>
      <c r="O48" s="127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RESUMO'!AV5</f>
        <v/>
      </c>
      <c r="N49" s="128">
        <f>MAX(0,M49-M48)</f>
        <v/>
      </c>
      <c r="O49" s="127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RESUMO'!AW5</f>
        <v/>
      </c>
      <c r="N50" s="128">
        <f>MAX(0,M50-M49)</f>
        <v/>
      </c>
      <c r="O50" s="127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RESUMO'!AX5</f>
        <v/>
      </c>
      <c r="N51" s="128">
        <f>MAX(0,M51-M50)</f>
        <v/>
      </c>
      <c r="O51" s="127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RESUMO'!AY5</f>
        <v/>
      </c>
      <c r="N52" s="128">
        <f>MAX(0,M52-M51)</f>
        <v/>
      </c>
      <c r="O52" s="127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RESUMO'!AZ5</f>
        <v/>
      </c>
      <c r="N53" s="128">
        <f>MAX(0,M53-M52)</f>
        <v/>
      </c>
      <c r="O53" s="127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RESUMO'!BA5</f>
        <v/>
      </c>
      <c r="N54" s="128">
        <f>MAX(0,M54-M53)</f>
        <v/>
      </c>
      <c r="O54" s="127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RESUMO'!BB5</f>
        <v/>
      </c>
      <c r="N55" s="128">
        <f>MAX(0,M55-M54)</f>
        <v/>
      </c>
      <c r="O55" s="127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RESUMO'!BC5</f>
        <v/>
      </c>
      <c r="N56" s="128">
        <f>MAX(0,M56-M55)</f>
        <v/>
      </c>
      <c r="O56" s="127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RESUMO'!BD5</f>
        <v/>
      </c>
      <c r="N57" s="128">
        <f>MAX(0,M57-M56)</f>
        <v/>
      </c>
      <c r="O57" s="127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RESUMO'!BE5</f>
        <v/>
      </c>
      <c r="N58" s="128">
        <f>MAX(0,M58-M57)</f>
        <v/>
      </c>
      <c r="O58" s="127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RESUMO'!BF5</f>
        <v/>
      </c>
      <c r="N59" s="128">
        <f>MAX(0,M59-M58)</f>
        <v/>
      </c>
      <c r="O59" s="127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RESUMO'!BG5</f>
        <v/>
      </c>
      <c r="N60" s="128">
        <f>MAX(0,M60-M59)</f>
        <v/>
      </c>
      <c r="O60" s="127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RESUMO'!BH5</f>
        <v/>
      </c>
      <c r="N61" s="128">
        <f>MAX(0,M61-M60)</f>
        <v/>
      </c>
      <c r="O61" s="127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RESUMO'!BI5</f>
        <v/>
      </c>
      <c r="N62" s="128">
        <f>MAX(0,M62-M61)</f>
        <v/>
      </c>
      <c r="O62" s="127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RESUMO'!BJ5</f>
        <v/>
      </c>
      <c r="N63" s="128">
        <f>MAX(0,M63-M62)</f>
        <v/>
      </c>
      <c r="O63" s="127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RESUMO'!BK5</f>
        <v/>
      </c>
      <c r="N64" s="128">
        <f>MAX(0,M64-M63)</f>
        <v/>
      </c>
      <c r="O64" s="127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RESUMO'!BL5</f>
        <v/>
      </c>
      <c r="N65" s="128">
        <f>MAX(0,M65-M64)</f>
        <v/>
      </c>
      <c r="O65" s="127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RESUMO'!BM5</f>
        <v/>
      </c>
      <c r="N66" s="128">
        <f>MAX(0,M66-M65)</f>
        <v/>
      </c>
      <c r="O66" s="127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RESUMO'!BN5</f>
        <v/>
      </c>
      <c r="N67" s="128">
        <f>MAX(0,M67-M66)</f>
        <v/>
      </c>
      <c r="O67" s="127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RESUMO'!BO5</f>
        <v/>
      </c>
      <c r="N68" s="128">
        <f>MAX(0,M68-M67)</f>
        <v/>
      </c>
      <c r="O68" s="127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RESUMO'!BP5</f>
        <v/>
      </c>
      <c r="N69" s="128">
        <f>MAX(0,M69-M68)</f>
        <v/>
      </c>
      <c r="O69" s="127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RESUMO'!BQ5</f>
        <v/>
      </c>
      <c r="N70" s="128">
        <f>MAX(0,M70-M69)</f>
        <v/>
      </c>
      <c r="O70" s="127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RESUMO'!BR5</f>
        <v/>
      </c>
      <c r="N71" s="128">
        <f>MAX(0,M71-M70)</f>
        <v/>
      </c>
      <c r="O71" s="127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RESUMO'!BS5</f>
        <v/>
      </c>
      <c r="N72" s="128">
        <f>MAX(0,M72-M71)</f>
        <v/>
      </c>
      <c r="O72" s="127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RESUMO'!BT5</f>
        <v/>
      </c>
      <c r="N73" s="128">
        <f>MAX(0,M73-M72)</f>
        <v/>
      </c>
      <c r="O73" s="127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RESUMO'!BU5</f>
        <v/>
      </c>
      <c r="N74" s="128">
        <f>MAX(0,M74-M73)</f>
        <v/>
      </c>
      <c r="O74" s="127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RESUMO'!BV5</f>
        <v/>
      </c>
      <c r="N75" s="128">
        <f>MAX(0,M75-M74)</f>
        <v/>
      </c>
      <c r="O75" s="127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RESUMO'!BW5</f>
        <v/>
      </c>
      <c r="N76" s="128">
        <f>MAX(0,M76-M75)</f>
        <v/>
      </c>
      <c r="O76" s="127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HISTORICOS'!D42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PL'!F48</f>
        <v/>
      </c>
      <c r="K5" s="63">
        <f>'VALOR POR PL'!G48</f>
        <v/>
      </c>
      <c r="M5" s="127">
        <f>'CP RESUMO'!D42</f>
        <v/>
      </c>
      <c r="N5" s="128" t="n">
        <v>0</v>
      </c>
      <c r="O5" s="127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HISTORICOS'!E42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RESUMO'!E42</f>
        <v/>
      </c>
      <c r="N6" s="128">
        <f>MAX(0,M6-M5)</f>
        <v/>
      </c>
      <c r="O6" s="127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HISTORICOS'!F42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PL'!L48</f>
        <v/>
      </c>
      <c r="M7" s="127">
        <f>'CP RESUMO'!F42</f>
        <v/>
      </c>
      <c r="N7" s="128">
        <f>MAX(0,M7-M6)</f>
        <v/>
      </c>
      <c r="O7" s="127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HISTORICOS'!G42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RESUMO'!G42</f>
        <v/>
      </c>
      <c r="N8" s="128">
        <f>MAX(0,M8-M7)</f>
        <v/>
      </c>
      <c r="O8" s="127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HISTORICOS'!H42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RESUMO'!H42</f>
        <v/>
      </c>
      <c r="N9" s="128">
        <f>MAX(0,M9-M8)</f>
        <v/>
      </c>
      <c r="O9" s="127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HISTORICOS'!I42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RESUMO'!I42</f>
        <v/>
      </c>
      <c r="N10" s="128">
        <f>MAX(0,M10-M9)</f>
        <v/>
      </c>
      <c r="O10" s="127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HISTORICOS'!J42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RESUMO'!J42</f>
        <v/>
      </c>
      <c r="N11" s="128">
        <f>MAX(0,M11-M10)</f>
        <v/>
      </c>
      <c r="O11" s="127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HISTORICOS'!K42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RESUMO'!K42</f>
        <v/>
      </c>
      <c r="N12" s="128">
        <f>MAX(0,M12-M11)</f>
        <v/>
      </c>
      <c r="O12" s="127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HISTORICOS'!L42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PL'!I48</f>
        <v/>
      </c>
      <c r="M13" s="127">
        <f>'CP RESUMO'!L42</f>
        <v/>
      </c>
      <c r="N13" s="128">
        <f>MAX(0,M13-M12)</f>
        <v/>
      </c>
      <c r="O13" s="127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HISTORICOS'!M42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M14" s="127">
        <f>'CP RESUMO'!M42</f>
        <v/>
      </c>
      <c r="N14" s="128">
        <f>MAX(0,M14-M13)</f>
        <v/>
      </c>
      <c r="O14" s="127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HISTORICOS'!N42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RESUMO'!N42</f>
        <v/>
      </c>
      <c r="N15" s="128">
        <f>MAX(0,M15-M14)</f>
        <v/>
      </c>
      <c r="O15" s="127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HISTORICOS'!O42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RESUMO'!O42</f>
        <v/>
      </c>
      <c r="N16" s="128">
        <f>MAX(0,M16-M15)</f>
        <v/>
      </c>
      <c r="O16" s="127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HISTORICOS'!P42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RESUMO'!P42</f>
        <v/>
      </c>
      <c r="N17" s="128">
        <f>MAX(0,M17-M16)</f>
        <v/>
      </c>
      <c r="O17" s="127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HISTORICOS'!Q42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RESUMO'!Q42</f>
        <v/>
      </c>
      <c r="N18" s="128">
        <f>MAX(0,M18-M17)</f>
        <v/>
      </c>
      <c r="O18" s="127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HISTORICOS'!R42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RESUMO'!R42</f>
        <v/>
      </c>
      <c r="N19" s="128">
        <f>MAX(0,M19-M18)</f>
        <v/>
      </c>
      <c r="O19" s="127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HISTORICOS'!S42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RESUMO'!S42</f>
        <v/>
      </c>
      <c r="N20" s="128">
        <f>MAX(0,M20-M19)</f>
        <v/>
      </c>
      <c r="O20" s="127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HISTORICOS'!T42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RESUMO'!T42</f>
        <v/>
      </c>
      <c r="N21" s="128">
        <f>MAX(0,M21-M20)</f>
        <v/>
      </c>
      <c r="O21" s="127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HISTORICOS'!U42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RESUMO'!U42</f>
        <v/>
      </c>
      <c r="N22" s="128">
        <f>MAX(0,M22-M21)</f>
        <v/>
      </c>
      <c r="O22" s="127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HISTORICOS'!V42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RESUMO'!V42</f>
        <v/>
      </c>
      <c r="N23" s="128">
        <f>MAX(0,M23-M22)</f>
        <v/>
      </c>
      <c r="O23" s="127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HISTORICOS'!W42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Somente o incorrido no ERP: a projeção (VALOR POR PL!L48) é o próprio incorrido, sem previsão futura.</t>
        </is>
      </c>
      <c r="M24" s="127">
        <f>'CP RESUMO'!W42</f>
        <v/>
      </c>
      <c r="N24" s="128">
        <f>MAX(0,M24-M23)</f>
        <v/>
      </c>
      <c r="O24" s="127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HISTORICOS'!X42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RESUMO'!X42</f>
        <v/>
      </c>
      <c r="N25" s="128">
        <f>MAX(0,M25-M24)</f>
        <v/>
      </c>
      <c r="O25" s="127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HISTORICOS'!Y42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RESUMO'!Y42</f>
        <v/>
      </c>
      <c r="N26" s="128">
        <f>MAX(0,M26-M25)</f>
        <v/>
      </c>
      <c r="O26" s="127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HISTORICOS'!Z42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RESUMO'!Z42</f>
        <v/>
      </c>
      <c r="N27" s="128">
        <f>MAX(0,M27-M26)</f>
        <v/>
      </c>
      <c r="O27" s="127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HISTORICOS'!AA42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RESUMO'!AA42</f>
        <v/>
      </c>
      <c r="N28" s="128">
        <f>MAX(0,M28-M27)</f>
        <v/>
      </c>
      <c r="O28" s="127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HISTORICOS'!AB42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RESUMO'!AB42</f>
        <v/>
      </c>
      <c r="N29" s="128">
        <f>MAX(0,M29-M28)</f>
        <v/>
      </c>
      <c r="O29" s="127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HISTORICOS'!AC42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RESUMO'!AC42</f>
        <v/>
      </c>
      <c r="N30" s="128">
        <f>MAX(0,M30-M29)</f>
        <v/>
      </c>
      <c r="O30" s="127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HISTORICOS'!AD42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RESUMO'!AD42</f>
        <v/>
      </c>
      <c r="N31" s="128">
        <f>MAX(0,M31-M30)</f>
        <v/>
      </c>
      <c r="O31" s="127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HISTORICOS'!AE42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RESUMO'!AE42</f>
        <v/>
      </c>
      <c r="N32" s="128">
        <f>MAX(0,M32-M31)</f>
        <v/>
      </c>
      <c r="O32" s="127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HISTORICOS'!AF42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RESUMO'!AF42</f>
        <v/>
      </c>
      <c r="N33" s="128">
        <f>MAX(0,M33-M32)</f>
        <v/>
      </c>
      <c r="O33" s="127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HISTORICOS'!AG42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RESUMO'!AG42</f>
        <v/>
      </c>
      <c r="N34" s="128">
        <f>MAX(0,M34-M33)</f>
        <v/>
      </c>
      <c r="O34" s="127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HISTORICOS'!AH42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RESUMO'!AH42</f>
        <v/>
      </c>
      <c r="N35" s="128">
        <f>MAX(0,M35-M34)</f>
        <v/>
      </c>
      <c r="O35" s="127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HISTORICOS'!AI42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RESUMO'!AI42</f>
        <v/>
      </c>
      <c r="N36" s="128">
        <f>MAX(0,M36-M35)</f>
        <v/>
      </c>
      <c r="O36" s="127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HISTORICOS'!AJ42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RESUMO'!AJ42</f>
        <v/>
      </c>
      <c r="N37" s="128">
        <f>MAX(0,M37-M36)</f>
        <v/>
      </c>
      <c r="O37" s="127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HISTORICOS'!AK42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RESUMO'!AK42</f>
        <v/>
      </c>
      <c r="N38" s="128">
        <f>MAX(0,M38-M37)</f>
        <v/>
      </c>
      <c r="O38" s="127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HISTORICOS'!AL42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RESUMO'!AL42</f>
        <v/>
      </c>
      <c r="N39" s="128">
        <f>MAX(0,M39-M38)</f>
        <v/>
      </c>
      <c r="O39" s="127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HISTORICOS'!AM42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RESUMO'!AM42</f>
        <v/>
      </c>
      <c r="N40" s="128">
        <f>MAX(0,M40-M39)</f>
        <v/>
      </c>
      <c r="O40" s="127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HISTORICOS'!AN42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RESUMO'!AN42</f>
        <v/>
      </c>
      <c r="N41" s="128">
        <f>MAX(0,M41-M40)</f>
        <v/>
      </c>
      <c r="O41" s="127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HISTORICOS'!AO42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RESUMO'!AO42</f>
        <v/>
      </c>
      <c r="N42" s="128">
        <f>MAX(0,M42-M41)</f>
        <v/>
      </c>
      <c r="O42" s="127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HISTORICOS'!AP42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RESUMO'!AP42</f>
        <v/>
      </c>
      <c r="N43" s="128">
        <f>MAX(0,M43-M42)</f>
        <v/>
      </c>
      <c r="O43" s="127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HISTORICOS'!AQ42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RESUMO'!AQ42</f>
        <v/>
      </c>
      <c r="N44" s="128">
        <f>MAX(0,M44-M43)</f>
        <v/>
      </c>
      <c r="O44" s="127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HISTORICOS'!AR42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RESUMO'!AR42</f>
        <v/>
      </c>
      <c r="N45" s="128">
        <f>MAX(0,M45-M44)</f>
        <v/>
      </c>
      <c r="O45" s="127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HISTORICOS'!AS42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RESUMO'!AS42</f>
        <v/>
      </c>
      <c r="N46" s="128">
        <f>MAX(0,M46-M45)</f>
        <v/>
      </c>
      <c r="O46" s="127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HISTORICOS'!AT42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RESUMO'!AT42</f>
        <v/>
      </c>
      <c r="N47" s="128">
        <f>MAX(0,M47-M46)</f>
        <v/>
      </c>
      <c r="O47" s="127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HISTORICOS'!AU42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RESUMO'!AU42</f>
        <v/>
      </c>
      <c r="N48" s="128">
        <f>MAX(0,M48-M47)</f>
        <v/>
      </c>
      <c r="O48" s="127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HISTORICOS'!AV42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RESUMO'!AV42</f>
        <v/>
      </c>
      <c r="N49" s="128">
        <f>MAX(0,M49-M48)</f>
        <v/>
      </c>
      <c r="O49" s="127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HISTORICOS'!AW42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RESUMO'!AW42</f>
        <v/>
      </c>
      <c r="N50" s="128">
        <f>MAX(0,M50-M49)</f>
        <v/>
      </c>
      <c r="O50" s="127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HISTORICOS'!AX42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RESUMO'!AX42</f>
        <v/>
      </c>
      <c r="N51" s="128">
        <f>MAX(0,M51-M50)</f>
        <v/>
      </c>
      <c r="O51" s="127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HISTORICOS'!AY42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RESUMO'!AY42</f>
        <v/>
      </c>
      <c r="N52" s="128">
        <f>MAX(0,M52-M51)</f>
        <v/>
      </c>
      <c r="O52" s="127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HISTORICOS'!AZ42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RESUMO'!AZ42</f>
        <v/>
      </c>
      <c r="N53" s="128">
        <f>MAX(0,M53-M52)</f>
        <v/>
      </c>
      <c r="O53" s="127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HISTORICOS'!BA42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RESUMO'!BA42</f>
        <v/>
      </c>
      <c r="N54" s="128">
        <f>MAX(0,M54-M53)</f>
        <v/>
      </c>
      <c r="O54" s="127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HISTORICOS'!BB42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RESUMO'!BB42</f>
        <v/>
      </c>
      <c r="N55" s="128">
        <f>MAX(0,M55-M54)</f>
        <v/>
      </c>
      <c r="O55" s="127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HISTORICOS'!BC42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RESUMO'!BC42</f>
        <v/>
      </c>
      <c r="N56" s="128">
        <f>MAX(0,M56-M55)</f>
        <v/>
      </c>
      <c r="O56" s="127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HISTORICOS'!BD42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RESUMO'!BD42</f>
        <v/>
      </c>
      <c r="N57" s="128">
        <f>MAX(0,M57-M56)</f>
        <v/>
      </c>
      <c r="O57" s="127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HISTORICOS'!BE42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RESUMO'!BE42</f>
        <v/>
      </c>
      <c r="N58" s="128">
        <f>MAX(0,M58-M57)</f>
        <v/>
      </c>
      <c r="O58" s="127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HISTORICOS'!BF42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RESUMO'!BF42</f>
        <v/>
      </c>
      <c r="N59" s="128">
        <f>MAX(0,M59-M58)</f>
        <v/>
      </c>
      <c r="O59" s="127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HISTORICOS'!BG42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RESUMO'!BG42</f>
        <v/>
      </c>
      <c r="N60" s="128">
        <f>MAX(0,M60-M59)</f>
        <v/>
      </c>
      <c r="O60" s="127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HISTORICOS'!BH42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RESUMO'!BH42</f>
        <v/>
      </c>
      <c r="N61" s="128">
        <f>MAX(0,M61-M60)</f>
        <v/>
      </c>
      <c r="O61" s="127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HISTORICOS'!BI42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RESUMO'!BI42</f>
        <v/>
      </c>
      <c r="N62" s="128">
        <f>MAX(0,M62-M61)</f>
        <v/>
      </c>
      <c r="O62" s="127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HISTORICOS'!BJ42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RESUMO'!BJ42</f>
        <v/>
      </c>
      <c r="N63" s="128">
        <f>MAX(0,M63-M62)</f>
        <v/>
      </c>
      <c r="O63" s="127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HISTORICOS'!BK42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RESUMO'!BK42</f>
        <v/>
      </c>
      <c r="N64" s="128">
        <f>MAX(0,M64-M63)</f>
        <v/>
      </c>
      <c r="O64" s="127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HISTORICOS'!BL42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RESUMO'!BL42</f>
        <v/>
      </c>
      <c r="N65" s="128">
        <f>MAX(0,M65-M64)</f>
        <v/>
      </c>
      <c r="O65" s="127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HISTORICOS'!BM42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RESUMO'!BM42</f>
        <v/>
      </c>
      <c r="N66" s="128">
        <f>MAX(0,M66-M65)</f>
        <v/>
      </c>
      <c r="O66" s="127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HISTORICOS'!BN42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RESUMO'!BN42</f>
        <v/>
      </c>
      <c r="N67" s="128">
        <f>MAX(0,M67-M66)</f>
        <v/>
      </c>
      <c r="O67" s="127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HISTORICOS'!BO42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RESUMO'!BO42</f>
        <v/>
      </c>
      <c r="N68" s="128">
        <f>MAX(0,M68-M67)</f>
        <v/>
      </c>
      <c r="O68" s="127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HISTORICOS'!BP42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RESUMO'!BP42</f>
        <v/>
      </c>
      <c r="N69" s="128">
        <f>MAX(0,M69-M68)</f>
        <v/>
      </c>
      <c r="O69" s="127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HISTORICOS'!BQ42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RESUMO'!BQ42</f>
        <v/>
      </c>
      <c r="N70" s="128">
        <f>MAX(0,M70-M69)</f>
        <v/>
      </c>
      <c r="O70" s="127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HISTORICOS'!BR42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RESUMO'!BR42</f>
        <v/>
      </c>
      <c r="N71" s="128">
        <f>MAX(0,M71-M70)</f>
        <v/>
      </c>
      <c r="O71" s="127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HISTORICOS'!BS42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RESUMO'!BS42</f>
        <v/>
      </c>
      <c r="N72" s="128">
        <f>MAX(0,M72-M71)</f>
        <v/>
      </c>
      <c r="O72" s="127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HISTORICOS'!BT42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RESUMO'!BT42</f>
        <v/>
      </c>
      <c r="N73" s="128">
        <f>MAX(0,M73-M72)</f>
        <v/>
      </c>
      <c r="O73" s="127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HISTORICOS'!BU42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RESUMO'!BU42</f>
        <v/>
      </c>
      <c r="N74" s="128">
        <f>MAX(0,M74-M73)</f>
        <v/>
      </c>
      <c r="O74" s="127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HISTORICOS'!BV42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RESUMO'!BV42</f>
        <v/>
      </c>
      <c r="N75" s="128">
        <f>MAX(0,M75-M74)</f>
        <v/>
      </c>
      <c r="O75" s="127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HISTORICOS'!BW42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RESUMO'!BW42</f>
        <v/>
      </c>
      <c r="N76" s="128">
        <f>MAX(0,M76-M75)</f>
        <v/>
      </c>
      <c r="O76" s="127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PL'!F12</f>
        <v/>
      </c>
      <c r="K5" s="63">
        <f>'VALOR POR PL'!G12</f>
        <v/>
      </c>
      <c r="M5" s="127">
        <f>'CP RESUMO'!D6</f>
        <v/>
      </c>
      <c r="N5" s="128" t="n">
        <v>0</v>
      </c>
      <c r="O5" s="127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RESUMO'!E6</f>
        <v/>
      </c>
      <c r="N6" s="128">
        <f>MAX(0,M6-M5)</f>
        <v/>
      </c>
      <c r="O6" s="127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PL'!L12</f>
        <v/>
      </c>
      <c r="M7" s="127">
        <f>'CP RESUMO'!F6</f>
        <v/>
      </c>
      <c r="N7" s="128">
        <f>MAX(0,M7-M6)</f>
        <v/>
      </c>
      <c r="O7" s="127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RESUMO'!G6</f>
        <v/>
      </c>
      <c r="N8" s="128">
        <f>MAX(0,M8-M7)</f>
        <v/>
      </c>
      <c r="O8" s="127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RESUMO'!H6</f>
        <v/>
      </c>
      <c r="N9" s="128">
        <f>MAX(0,M9-M8)</f>
        <v/>
      </c>
      <c r="O9" s="127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RESUMO'!I6</f>
        <v/>
      </c>
      <c r="N10" s="128">
        <f>MAX(0,M10-M9)</f>
        <v/>
      </c>
      <c r="O10" s="127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RESUMO'!J6</f>
        <v/>
      </c>
      <c r="N11" s="128">
        <f>MAX(0,M11-M10)</f>
        <v/>
      </c>
      <c r="O11" s="127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RESUMO'!K6</f>
        <v/>
      </c>
      <c r="N12" s="128">
        <f>MAX(0,M12-M11)</f>
        <v/>
      </c>
      <c r="O12" s="127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PL'!I12</f>
        <v/>
      </c>
      <c r="M13" s="127">
        <f>'CP RESUMO'!L6</f>
        <v/>
      </c>
      <c r="N13" s="128">
        <f>MAX(0,M13-M12)</f>
        <v/>
      </c>
      <c r="O13" s="127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M14" s="127">
        <f>'CP RESUMO'!M6</f>
        <v/>
      </c>
      <c r="N14" s="128">
        <f>MAX(0,M14-M13)</f>
        <v/>
      </c>
      <c r="O14" s="127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RESUMO'!N6</f>
        <v/>
      </c>
      <c r="N15" s="128">
        <f>MAX(0,M15-M14)</f>
        <v/>
      </c>
      <c r="O15" s="127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RESUMO'!O6</f>
        <v/>
      </c>
      <c r="N16" s="128">
        <f>MAX(0,M16-M15)</f>
        <v/>
      </c>
      <c r="O16" s="127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RESUMO'!P6</f>
        <v/>
      </c>
      <c r="N17" s="128">
        <f>MAX(0,M17-M16)</f>
        <v/>
      </c>
      <c r="O17" s="127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RESUMO'!Q6</f>
        <v/>
      </c>
      <c r="N18" s="128">
        <f>MAX(0,M18-M17)</f>
        <v/>
      </c>
      <c r="O18" s="127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RESUMO'!R6</f>
        <v/>
      </c>
      <c r="N19" s="128">
        <f>MAX(0,M19-M18)</f>
        <v/>
      </c>
      <c r="O19" s="127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RESUMO'!S6</f>
        <v/>
      </c>
      <c r="N20" s="128">
        <f>MAX(0,M20-M19)</f>
        <v/>
      </c>
      <c r="O20" s="127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RESUMO'!T6</f>
        <v/>
      </c>
      <c r="N21" s="128">
        <f>MAX(0,M21-M20)</f>
        <v/>
      </c>
      <c r="O21" s="127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RESUMO'!U6</f>
        <v/>
      </c>
      <c r="N22" s="128">
        <f>MAX(0,M22-M21)</f>
        <v/>
      </c>
      <c r="O22" s="127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RESUMO'!V6</f>
        <v/>
      </c>
      <c r="N23" s="128">
        <f>MAX(0,M23-M22)</f>
        <v/>
      </c>
      <c r="O23" s="127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RESUMO'!W6</f>
        <v/>
      </c>
      <c r="N24" s="128">
        <f>MAX(0,M24-M23)</f>
        <v/>
      </c>
      <c r="O24" s="127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RESUMO'!X6</f>
        <v/>
      </c>
      <c r="N25" s="128">
        <f>MAX(0,M25-M24)</f>
        <v/>
      </c>
      <c r="O25" s="127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RESUMO'!Y6</f>
        <v/>
      </c>
      <c r="N26" s="128">
        <f>MAX(0,M26-M25)</f>
        <v/>
      </c>
      <c r="O26" s="127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RESUMO'!Z6</f>
        <v/>
      </c>
      <c r="N27" s="128">
        <f>MAX(0,M27-M26)</f>
        <v/>
      </c>
      <c r="O27" s="127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RESUMO'!AA6</f>
        <v/>
      </c>
      <c r="N28" s="128">
        <f>MAX(0,M28-M27)</f>
        <v/>
      </c>
      <c r="O28" s="127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RESUMO'!AB6</f>
        <v/>
      </c>
      <c r="N29" s="128">
        <f>MAX(0,M29-M28)</f>
        <v/>
      </c>
      <c r="O29" s="127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RESUMO'!AC6</f>
        <v/>
      </c>
      <c r="N30" s="128">
        <f>MAX(0,M30-M29)</f>
        <v/>
      </c>
      <c r="O30" s="127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RESUMO'!AD6</f>
        <v/>
      </c>
      <c r="N31" s="128">
        <f>MAX(0,M31-M30)</f>
        <v/>
      </c>
      <c r="O31" s="127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RESUMO'!AE6</f>
        <v/>
      </c>
      <c r="N32" s="128">
        <f>MAX(0,M32-M31)</f>
        <v/>
      </c>
      <c r="O32" s="127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RESUMO'!AF6</f>
        <v/>
      </c>
      <c r="N33" s="128">
        <f>MAX(0,M33-M32)</f>
        <v/>
      </c>
      <c r="O33" s="127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RESUMO'!AG6</f>
        <v/>
      </c>
      <c r="N34" s="128">
        <f>MAX(0,M34-M33)</f>
        <v/>
      </c>
      <c r="O34" s="127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RESUMO'!AH6</f>
        <v/>
      </c>
      <c r="N35" s="128">
        <f>MAX(0,M35-M34)</f>
        <v/>
      </c>
      <c r="O35" s="127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RESUMO'!AI6</f>
        <v/>
      </c>
      <c r="N36" s="128">
        <f>MAX(0,M36-M35)</f>
        <v/>
      </c>
      <c r="O36" s="127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RESUMO'!AJ6</f>
        <v/>
      </c>
      <c r="N37" s="128">
        <f>MAX(0,M37-M36)</f>
        <v/>
      </c>
      <c r="O37" s="127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RESUMO'!AK6</f>
        <v/>
      </c>
      <c r="N38" s="128">
        <f>MAX(0,M38-M37)</f>
        <v/>
      </c>
      <c r="O38" s="127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RESUMO'!AL6</f>
        <v/>
      </c>
      <c r="N39" s="128">
        <f>MAX(0,M39-M38)</f>
        <v/>
      </c>
      <c r="O39" s="127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RESUMO'!AM6</f>
        <v/>
      </c>
      <c r="N40" s="128">
        <f>MAX(0,M40-M39)</f>
        <v/>
      </c>
      <c r="O40" s="127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RESUMO'!AN6</f>
        <v/>
      </c>
      <c r="N41" s="128">
        <f>MAX(0,M41-M40)</f>
        <v/>
      </c>
      <c r="O41" s="127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RESUMO'!AO6</f>
        <v/>
      </c>
      <c r="N42" s="128">
        <f>MAX(0,M42-M41)</f>
        <v/>
      </c>
      <c r="O42" s="127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RESUMO'!AP6</f>
        <v/>
      </c>
      <c r="N43" s="128">
        <f>MAX(0,M43-M42)</f>
        <v/>
      </c>
      <c r="O43" s="127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RESUMO'!AQ6</f>
        <v/>
      </c>
      <c r="N44" s="128">
        <f>MAX(0,M44-M43)</f>
        <v/>
      </c>
      <c r="O44" s="127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RESUMO'!AR6</f>
        <v/>
      </c>
      <c r="N45" s="128">
        <f>MAX(0,M45-M44)</f>
        <v/>
      </c>
      <c r="O45" s="127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RESUMO'!AS6</f>
        <v/>
      </c>
      <c r="N46" s="128">
        <f>MAX(0,M46-M45)</f>
        <v/>
      </c>
      <c r="O46" s="127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RESUMO'!AT6</f>
        <v/>
      </c>
      <c r="N47" s="128">
        <f>MAX(0,M47-M46)</f>
        <v/>
      </c>
      <c r="O47" s="127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RESUMO'!AU6</f>
        <v/>
      </c>
      <c r="N48" s="128">
        <f>MAX(0,M48-M47)</f>
        <v/>
      </c>
      <c r="O48" s="127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RESUMO'!AV6</f>
        <v/>
      </c>
      <c r="N49" s="128">
        <f>MAX(0,M49-M48)</f>
        <v/>
      </c>
      <c r="O49" s="127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RESUMO'!AW6</f>
        <v/>
      </c>
      <c r="N50" s="128">
        <f>MAX(0,M50-M49)</f>
        <v/>
      </c>
      <c r="O50" s="127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RESUMO'!AX6</f>
        <v/>
      </c>
      <c r="N51" s="128">
        <f>MAX(0,M51-M50)</f>
        <v/>
      </c>
      <c r="O51" s="127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RESUMO'!AY6</f>
        <v/>
      </c>
      <c r="N52" s="128">
        <f>MAX(0,M52-M51)</f>
        <v/>
      </c>
      <c r="O52" s="127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RESUMO'!AZ6</f>
        <v/>
      </c>
      <c r="N53" s="128">
        <f>MAX(0,M53-M52)</f>
        <v/>
      </c>
      <c r="O53" s="127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RESUMO'!BA6</f>
        <v/>
      </c>
      <c r="N54" s="128">
        <f>MAX(0,M54-M53)</f>
        <v/>
      </c>
      <c r="O54" s="127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RESUMO'!BB6</f>
        <v/>
      </c>
      <c r="N55" s="128">
        <f>MAX(0,M55-M54)</f>
        <v/>
      </c>
      <c r="O55" s="127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RESUMO'!BC6</f>
        <v/>
      </c>
      <c r="N56" s="128">
        <f>MAX(0,M56-M55)</f>
        <v/>
      </c>
      <c r="O56" s="127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RESUMO'!BD6</f>
        <v/>
      </c>
      <c r="N57" s="128">
        <f>MAX(0,M57-M56)</f>
        <v/>
      </c>
      <c r="O57" s="127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RESUMO'!BE6</f>
        <v/>
      </c>
      <c r="N58" s="128">
        <f>MAX(0,M58-M57)</f>
        <v/>
      </c>
      <c r="O58" s="127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RESUMO'!BF6</f>
        <v/>
      </c>
      <c r="N59" s="128">
        <f>MAX(0,M59-M58)</f>
        <v/>
      </c>
      <c r="O59" s="127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RESUMO'!BG6</f>
        <v/>
      </c>
      <c r="N60" s="128">
        <f>MAX(0,M60-M59)</f>
        <v/>
      </c>
      <c r="O60" s="127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RESUMO'!BH6</f>
        <v/>
      </c>
      <c r="N61" s="128">
        <f>MAX(0,M61-M60)</f>
        <v/>
      </c>
      <c r="O61" s="127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RESUMO'!BI6</f>
        <v/>
      </c>
      <c r="N62" s="128">
        <f>MAX(0,M62-M61)</f>
        <v/>
      </c>
      <c r="O62" s="127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RESUMO'!BJ6</f>
        <v/>
      </c>
      <c r="N63" s="128">
        <f>MAX(0,M63-M62)</f>
        <v/>
      </c>
      <c r="O63" s="127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RESUMO'!BK6</f>
        <v/>
      </c>
      <c r="N64" s="128">
        <f>MAX(0,M64-M63)</f>
        <v/>
      </c>
      <c r="O64" s="127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RESUMO'!BL6</f>
        <v/>
      </c>
      <c r="N65" s="128">
        <f>MAX(0,M65-M64)</f>
        <v/>
      </c>
      <c r="O65" s="127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RESUMO'!BM6</f>
        <v/>
      </c>
      <c r="N66" s="128">
        <f>MAX(0,M66-M65)</f>
        <v/>
      </c>
      <c r="O66" s="127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RESUMO'!BN6</f>
        <v/>
      </c>
      <c r="N67" s="128">
        <f>MAX(0,M67-M66)</f>
        <v/>
      </c>
      <c r="O67" s="127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RESUMO'!BO6</f>
        <v/>
      </c>
      <c r="N68" s="128">
        <f>MAX(0,M68-M67)</f>
        <v/>
      </c>
      <c r="O68" s="127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RESUMO'!BP6</f>
        <v/>
      </c>
      <c r="N69" s="128">
        <f>MAX(0,M69-M68)</f>
        <v/>
      </c>
      <c r="O69" s="127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RESUMO'!BQ6</f>
        <v/>
      </c>
      <c r="N70" s="128">
        <f>MAX(0,M70-M69)</f>
        <v/>
      </c>
      <c r="O70" s="127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RESUMO'!BR6</f>
        <v/>
      </c>
      <c r="N71" s="128">
        <f>MAX(0,M71-M70)</f>
        <v/>
      </c>
      <c r="O71" s="127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RESUMO'!BS6</f>
        <v/>
      </c>
      <c r="N72" s="128">
        <f>MAX(0,M72-M71)</f>
        <v/>
      </c>
      <c r="O72" s="127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RESUMO'!BT6</f>
        <v/>
      </c>
      <c r="N73" s="128">
        <f>MAX(0,M73-M72)</f>
        <v/>
      </c>
      <c r="O73" s="127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RESUMO'!BU6</f>
        <v/>
      </c>
      <c r="N74" s="128">
        <f>MAX(0,M74-M73)</f>
        <v/>
      </c>
      <c r="O74" s="127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RESUMO'!BV6</f>
        <v/>
      </c>
      <c r="N75" s="128">
        <f>MAX(0,M75-M74)</f>
        <v/>
      </c>
      <c r="O75" s="127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RESUMO'!BW6</f>
        <v/>
      </c>
      <c r="N76" s="128">
        <f>MAX(0,M76-M75)</f>
        <v/>
      </c>
      <c r="O76" s="127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PL'!F13</f>
        <v/>
      </c>
      <c r="K5" s="63">
        <f>'VALOR POR PL'!G13</f>
        <v/>
      </c>
      <c r="M5" s="127">
        <f>'CP RESUMO'!D7</f>
        <v/>
      </c>
      <c r="N5" s="128" t="n">
        <v>0</v>
      </c>
      <c r="O5" s="127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RESUMO'!E7</f>
        <v/>
      </c>
      <c r="N6" s="128">
        <f>MAX(0,M6-M5)</f>
        <v/>
      </c>
      <c r="O6" s="127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PL'!L13</f>
        <v/>
      </c>
      <c r="M7" s="127">
        <f>'CP RESUMO'!F7</f>
        <v/>
      </c>
      <c r="N7" s="128">
        <f>MAX(0,M7-M6)</f>
        <v/>
      </c>
      <c r="O7" s="127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RESUMO'!G7</f>
        <v/>
      </c>
      <c r="N8" s="128">
        <f>MAX(0,M8-M7)</f>
        <v/>
      </c>
      <c r="O8" s="127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RESUMO'!H7</f>
        <v/>
      </c>
      <c r="N9" s="128">
        <f>MAX(0,M9-M8)</f>
        <v/>
      </c>
      <c r="O9" s="127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RESUMO'!I7</f>
        <v/>
      </c>
      <c r="N10" s="128">
        <f>MAX(0,M10-M9)</f>
        <v/>
      </c>
      <c r="O10" s="127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RESUMO'!J7</f>
        <v/>
      </c>
      <c r="N11" s="128">
        <f>MAX(0,M11-M10)</f>
        <v/>
      </c>
      <c r="O11" s="127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RESUMO'!K7</f>
        <v/>
      </c>
      <c r="N12" s="128">
        <f>MAX(0,M12-M11)</f>
        <v/>
      </c>
      <c r="O12" s="127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PL'!I13</f>
        <v/>
      </c>
      <c r="M13" s="127">
        <f>'CP RESUMO'!L7</f>
        <v/>
      </c>
      <c r="N13" s="128">
        <f>MAX(0,M13-M12)</f>
        <v/>
      </c>
      <c r="O13" s="127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M14" s="127">
        <f>'CP RESUMO'!M7</f>
        <v/>
      </c>
      <c r="N14" s="128">
        <f>MAX(0,M14-M13)</f>
        <v/>
      </c>
      <c r="O14" s="127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RESUMO'!N7</f>
        <v/>
      </c>
      <c r="N15" s="128">
        <f>MAX(0,M15-M14)</f>
        <v/>
      </c>
      <c r="O15" s="127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RESUMO'!O7</f>
        <v/>
      </c>
      <c r="N16" s="128">
        <f>MAX(0,M16-M15)</f>
        <v/>
      </c>
      <c r="O16" s="127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RESUMO'!P7</f>
        <v/>
      </c>
      <c r="N17" s="128">
        <f>MAX(0,M17-M16)</f>
        <v/>
      </c>
      <c r="O17" s="127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RESUMO'!Q7</f>
        <v/>
      </c>
      <c r="N18" s="128">
        <f>MAX(0,M18-M17)</f>
        <v/>
      </c>
      <c r="O18" s="127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RESUMO'!R7</f>
        <v/>
      </c>
      <c r="N19" s="128">
        <f>MAX(0,M19-M18)</f>
        <v/>
      </c>
      <c r="O19" s="127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RESUMO'!S7</f>
        <v/>
      </c>
      <c r="N20" s="128">
        <f>MAX(0,M20-M19)</f>
        <v/>
      </c>
      <c r="O20" s="127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RESUMO'!T7</f>
        <v/>
      </c>
      <c r="N21" s="128">
        <f>MAX(0,M21-M20)</f>
        <v/>
      </c>
      <c r="O21" s="127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RESUMO'!U7</f>
        <v/>
      </c>
      <c r="N22" s="128">
        <f>MAX(0,M22-M21)</f>
        <v/>
      </c>
      <c r="O22" s="127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RESUMO'!V7</f>
        <v/>
      </c>
      <c r="N23" s="128">
        <f>MAX(0,M23-M22)</f>
        <v/>
      </c>
      <c r="O23" s="127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RESUMO'!W7</f>
        <v/>
      </c>
      <c r="N24" s="128">
        <f>MAX(0,M24-M23)</f>
        <v/>
      </c>
      <c r="O24" s="127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RESUMO'!X7</f>
        <v/>
      </c>
      <c r="N25" s="128">
        <f>MAX(0,M25-M24)</f>
        <v/>
      </c>
      <c r="O25" s="127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RESUMO'!Y7</f>
        <v/>
      </c>
      <c r="N26" s="128">
        <f>MAX(0,M26-M25)</f>
        <v/>
      </c>
      <c r="O26" s="127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RESUMO'!Z7</f>
        <v/>
      </c>
      <c r="N27" s="128">
        <f>MAX(0,M27-M26)</f>
        <v/>
      </c>
      <c r="O27" s="127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RESUMO'!AA7</f>
        <v/>
      </c>
      <c r="N28" s="128">
        <f>MAX(0,M28-M27)</f>
        <v/>
      </c>
      <c r="O28" s="127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RESUMO'!AB7</f>
        <v/>
      </c>
      <c r="N29" s="128">
        <f>MAX(0,M29-M28)</f>
        <v/>
      </c>
      <c r="O29" s="127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RESUMO'!AC7</f>
        <v/>
      </c>
      <c r="N30" s="128">
        <f>MAX(0,M30-M29)</f>
        <v/>
      </c>
      <c r="O30" s="127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RESUMO'!AD7</f>
        <v/>
      </c>
      <c r="N31" s="128">
        <f>MAX(0,M31-M30)</f>
        <v/>
      </c>
      <c r="O31" s="127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RESUMO'!AE7</f>
        <v/>
      </c>
      <c r="N32" s="128">
        <f>MAX(0,M32-M31)</f>
        <v/>
      </c>
      <c r="O32" s="127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RESUMO'!AF7</f>
        <v/>
      </c>
      <c r="N33" s="128">
        <f>MAX(0,M33-M32)</f>
        <v/>
      </c>
      <c r="O33" s="127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RESUMO'!AG7</f>
        <v/>
      </c>
      <c r="N34" s="128">
        <f>MAX(0,M34-M33)</f>
        <v/>
      </c>
      <c r="O34" s="127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RESUMO'!AH7</f>
        <v/>
      </c>
      <c r="N35" s="128">
        <f>MAX(0,M35-M34)</f>
        <v/>
      </c>
      <c r="O35" s="127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RESUMO'!AI7</f>
        <v/>
      </c>
      <c r="N36" s="128">
        <f>MAX(0,M36-M35)</f>
        <v/>
      </c>
      <c r="O36" s="127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RESUMO'!AJ7</f>
        <v/>
      </c>
      <c r="N37" s="128">
        <f>MAX(0,M37-M36)</f>
        <v/>
      </c>
      <c r="O37" s="127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RESUMO'!AK7</f>
        <v/>
      </c>
      <c r="N38" s="128">
        <f>MAX(0,M38-M37)</f>
        <v/>
      </c>
      <c r="O38" s="127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RESUMO'!AL7</f>
        <v/>
      </c>
      <c r="N39" s="128">
        <f>MAX(0,M39-M38)</f>
        <v/>
      </c>
      <c r="O39" s="127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RESUMO'!AM7</f>
        <v/>
      </c>
      <c r="N40" s="128">
        <f>MAX(0,M40-M39)</f>
        <v/>
      </c>
      <c r="O40" s="127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RESUMO'!AN7</f>
        <v/>
      </c>
      <c r="N41" s="128">
        <f>MAX(0,M41-M40)</f>
        <v/>
      </c>
      <c r="O41" s="127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RESUMO'!AO7</f>
        <v/>
      </c>
      <c r="N42" s="128">
        <f>MAX(0,M42-M41)</f>
        <v/>
      </c>
      <c r="O42" s="127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RESUMO'!AP7</f>
        <v/>
      </c>
      <c r="N43" s="128">
        <f>MAX(0,M43-M42)</f>
        <v/>
      </c>
      <c r="O43" s="127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RESUMO'!AQ7</f>
        <v/>
      </c>
      <c r="N44" s="128">
        <f>MAX(0,M44-M43)</f>
        <v/>
      </c>
      <c r="O44" s="127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RESUMO'!AR7</f>
        <v/>
      </c>
      <c r="N45" s="128">
        <f>MAX(0,M45-M44)</f>
        <v/>
      </c>
      <c r="O45" s="127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RESUMO'!AS7</f>
        <v/>
      </c>
      <c r="N46" s="128">
        <f>MAX(0,M46-M45)</f>
        <v/>
      </c>
      <c r="O46" s="127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RESUMO'!AT7</f>
        <v/>
      </c>
      <c r="N47" s="128">
        <f>MAX(0,M47-M46)</f>
        <v/>
      </c>
      <c r="O47" s="127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RESUMO'!AU7</f>
        <v/>
      </c>
      <c r="N48" s="128">
        <f>MAX(0,M48-M47)</f>
        <v/>
      </c>
      <c r="O48" s="127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RESUMO'!AV7</f>
        <v/>
      </c>
      <c r="N49" s="128">
        <f>MAX(0,M49-M48)</f>
        <v/>
      </c>
      <c r="O49" s="127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RESUMO'!AW7</f>
        <v/>
      </c>
      <c r="N50" s="128">
        <f>MAX(0,M50-M49)</f>
        <v/>
      </c>
      <c r="O50" s="127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RESUMO'!AX7</f>
        <v/>
      </c>
      <c r="N51" s="128">
        <f>MAX(0,M51-M50)</f>
        <v/>
      </c>
      <c r="O51" s="127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RESUMO'!AY7</f>
        <v/>
      </c>
      <c r="N52" s="128">
        <f>MAX(0,M52-M51)</f>
        <v/>
      </c>
      <c r="O52" s="127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RESUMO'!AZ7</f>
        <v/>
      </c>
      <c r="N53" s="128">
        <f>MAX(0,M53-M52)</f>
        <v/>
      </c>
      <c r="O53" s="127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RESUMO'!BA7</f>
        <v/>
      </c>
      <c r="N54" s="128">
        <f>MAX(0,M54-M53)</f>
        <v/>
      </c>
      <c r="O54" s="127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RESUMO'!BB7</f>
        <v/>
      </c>
      <c r="N55" s="128">
        <f>MAX(0,M55-M54)</f>
        <v/>
      </c>
      <c r="O55" s="127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RESUMO'!BC7</f>
        <v/>
      </c>
      <c r="N56" s="128">
        <f>MAX(0,M56-M55)</f>
        <v/>
      </c>
      <c r="O56" s="127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RESUMO'!BD7</f>
        <v/>
      </c>
      <c r="N57" s="128">
        <f>MAX(0,M57-M56)</f>
        <v/>
      </c>
      <c r="O57" s="127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RESUMO'!BE7</f>
        <v/>
      </c>
      <c r="N58" s="128">
        <f>MAX(0,M58-M57)</f>
        <v/>
      </c>
      <c r="O58" s="127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RESUMO'!BF7</f>
        <v/>
      </c>
      <c r="N59" s="128">
        <f>MAX(0,M59-M58)</f>
        <v/>
      </c>
      <c r="O59" s="127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RESUMO'!BG7</f>
        <v/>
      </c>
      <c r="N60" s="128">
        <f>MAX(0,M60-M59)</f>
        <v/>
      </c>
      <c r="O60" s="127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RESUMO'!BH7</f>
        <v/>
      </c>
      <c r="N61" s="128">
        <f>MAX(0,M61-M60)</f>
        <v/>
      </c>
      <c r="O61" s="127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RESUMO'!BI7</f>
        <v/>
      </c>
      <c r="N62" s="128">
        <f>MAX(0,M62-M61)</f>
        <v/>
      </c>
      <c r="O62" s="127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RESUMO'!BJ7</f>
        <v/>
      </c>
      <c r="N63" s="128">
        <f>MAX(0,M63-M62)</f>
        <v/>
      </c>
      <c r="O63" s="127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RESUMO'!BK7</f>
        <v/>
      </c>
      <c r="N64" s="128">
        <f>MAX(0,M64-M63)</f>
        <v/>
      </c>
      <c r="O64" s="127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RESUMO'!BL7</f>
        <v/>
      </c>
      <c r="N65" s="128">
        <f>MAX(0,M65-M64)</f>
        <v/>
      </c>
      <c r="O65" s="127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RESUMO'!BM7</f>
        <v/>
      </c>
      <c r="N66" s="128">
        <f>MAX(0,M66-M65)</f>
        <v/>
      </c>
      <c r="O66" s="127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RESUMO'!BN7</f>
        <v/>
      </c>
      <c r="N67" s="128">
        <f>MAX(0,M67-M66)</f>
        <v/>
      </c>
      <c r="O67" s="127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RESUMO'!BO7</f>
        <v/>
      </c>
      <c r="N68" s="128">
        <f>MAX(0,M68-M67)</f>
        <v/>
      </c>
      <c r="O68" s="127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RESUMO'!BP7</f>
        <v/>
      </c>
      <c r="N69" s="128">
        <f>MAX(0,M69-M68)</f>
        <v/>
      </c>
      <c r="O69" s="127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RESUMO'!BQ7</f>
        <v/>
      </c>
      <c r="N70" s="128">
        <f>MAX(0,M70-M69)</f>
        <v/>
      </c>
      <c r="O70" s="127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RESUMO'!BR7</f>
        <v/>
      </c>
      <c r="N71" s="128">
        <f>MAX(0,M71-M70)</f>
        <v/>
      </c>
      <c r="O71" s="127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RESUMO'!BS7</f>
        <v/>
      </c>
      <c r="N72" s="128">
        <f>MAX(0,M72-M71)</f>
        <v/>
      </c>
      <c r="O72" s="127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RESUMO'!BT7</f>
        <v/>
      </c>
      <c r="N73" s="128">
        <f>MAX(0,M73-M72)</f>
        <v/>
      </c>
      <c r="O73" s="127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RESUMO'!BU7</f>
        <v/>
      </c>
      <c r="N74" s="128">
        <f>MAX(0,M74-M73)</f>
        <v/>
      </c>
      <c r="O74" s="127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RESUMO'!BV7</f>
        <v/>
      </c>
      <c r="N75" s="128">
        <f>MAX(0,M75-M74)</f>
        <v/>
      </c>
      <c r="O75" s="127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RESUMO'!BW7</f>
        <v/>
      </c>
      <c r="N76" s="128">
        <f>MAX(0,M76-M75)</f>
        <v/>
      </c>
      <c r="O76" s="127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PL'!F14</f>
        <v/>
      </c>
      <c r="K5" s="63">
        <f>'VALOR POR PL'!G14</f>
        <v/>
      </c>
      <c r="M5" s="127">
        <f>'CP RESUMO'!D8</f>
        <v/>
      </c>
      <c r="N5" s="128" t="n">
        <v>0</v>
      </c>
      <c r="O5" s="127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RESUMO'!E8</f>
        <v/>
      </c>
      <c r="N6" s="128">
        <f>MAX(0,M6-M5)</f>
        <v/>
      </c>
      <c r="O6" s="127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PL'!L14</f>
        <v/>
      </c>
      <c r="M7" s="127">
        <f>'CP RESUMO'!F8</f>
        <v/>
      </c>
      <c r="N7" s="128">
        <f>MAX(0,M7-M6)</f>
        <v/>
      </c>
      <c r="O7" s="127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RESUMO'!G8</f>
        <v/>
      </c>
      <c r="N8" s="128">
        <f>MAX(0,M8-M7)</f>
        <v/>
      </c>
      <c r="O8" s="127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RESUMO'!H8</f>
        <v/>
      </c>
      <c r="N9" s="128">
        <f>MAX(0,M9-M8)</f>
        <v/>
      </c>
      <c r="O9" s="127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RESUMO'!I8</f>
        <v/>
      </c>
      <c r="N10" s="128">
        <f>MAX(0,M10-M9)</f>
        <v/>
      </c>
      <c r="O10" s="127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RESUMO'!J8</f>
        <v/>
      </c>
      <c r="N11" s="128">
        <f>MAX(0,M11-M10)</f>
        <v/>
      </c>
      <c r="O11" s="127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RESUMO'!K8</f>
        <v/>
      </c>
      <c r="N12" s="128">
        <f>MAX(0,M12-M11)</f>
        <v/>
      </c>
      <c r="O12" s="127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PL'!I14</f>
        <v/>
      </c>
      <c r="M13" s="127">
        <f>'CP RESUMO'!L8</f>
        <v/>
      </c>
      <c r="N13" s="128">
        <f>MAX(0,M13-M12)</f>
        <v/>
      </c>
      <c r="O13" s="127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M14" s="127">
        <f>'CP RESUMO'!M8</f>
        <v/>
      </c>
      <c r="N14" s="128">
        <f>MAX(0,M14-M13)</f>
        <v/>
      </c>
      <c r="O14" s="127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RESUMO'!N8</f>
        <v/>
      </c>
      <c r="N15" s="128">
        <f>MAX(0,M15-M14)</f>
        <v/>
      </c>
      <c r="O15" s="127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RESUMO'!O8</f>
        <v/>
      </c>
      <c r="N16" s="128">
        <f>MAX(0,M16-M15)</f>
        <v/>
      </c>
      <c r="O16" s="127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RESUMO'!P8</f>
        <v/>
      </c>
      <c r="N17" s="128">
        <f>MAX(0,M17-M16)</f>
        <v/>
      </c>
      <c r="O17" s="127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RESUMO'!Q8</f>
        <v/>
      </c>
      <c r="N18" s="128">
        <f>MAX(0,M18-M17)</f>
        <v/>
      </c>
      <c r="O18" s="127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RESUMO'!R8</f>
        <v/>
      </c>
      <c r="N19" s="128">
        <f>MAX(0,M19-M18)</f>
        <v/>
      </c>
      <c r="O19" s="127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RESUMO'!S8</f>
        <v/>
      </c>
      <c r="N20" s="128">
        <f>MAX(0,M20-M19)</f>
        <v/>
      </c>
      <c r="O20" s="127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RESUMO'!T8</f>
        <v/>
      </c>
      <c r="N21" s="128">
        <f>MAX(0,M21-M20)</f>
        <v/>
      </c>
      <c r="O21" s="127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RESUMO'!U8</f>
        <v/>
      </c>
      <c r="N22" s="128">
        <f>MAX(0,M22-M21)</f>
        <v/>
      </c>
      <c r="O22" s="127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RESUMO'!V8</f>
        <v/>
      </c>
      <c r="N23" s="128">
        <f>MAX(0,M23-M22)</f>
        <v/>
      </c>
      <c r="O23" s="127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RESUMO'!W8</f>
        <v/>
      </c>
      <c r="N24" s="128">
        <f>MAX(0,M24-M23)</f>
        <v/>
      </c>
      <c r="O24" s="127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RESUMO'!X8</f>
        <v/>
      </c>
      <c r="N25" s="128">
        <f>MAX(0,M25-M24)</f>
        <v/>
      </c>
      <c r="O25" s="127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RESUMO'!Y8</f>
        <v/>
      </c>
      <c r="N26" s="128">
        <f>MAX(0,M26-M25)</f>
        <v/>
      </c>
      <c r="O26" s="127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RESUMO'!Z8</f>
        <v/>
      </c>
      <c r="N27" s="128">
        <f>MAX(0,M27-M26)</f>
        <v/>
      </c>
      <c r="O27" s="127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RESUMO'!AA8</f>
        <v/>
      </c>
      <c r="N28" s="128">
        <f>MAX(0,M28-M27)</f>
        <v/>
      </c>
      <c r="O28" s="127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RESUMO'!AB8</f>
        <v/>
      </c>
      <c r="N29" s="128">
        <f>MAX(0,M29-M28)</f>
        <v/>
      </c>
      <c r="O29" s="127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RESUMO'!AC8</f>
        <v/>
      </c>
      <c r="N30" s="128">
        <f>MAX(0,M30-M29)</f>
        <v/>
      </c>
      <c r="O30" s="127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RESUMO'!AD8</f>
        <v/>
      </c>
      <c r="N31" s="128">
        <f>MAX(0,M31-M30)</f>
        <v/>
      </c>
      <c r="O31" s="127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RESUMO'!AE8</f>
        <v/>
      </c>
      <c r="N32" s="128">
        <f>MAX(0,M32-M31)</f>
        <v/>
      </c>
      <c r="O32" s="127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RESUMO'!AF8</f>
        <v/>
      </c>
      <c r="N33" s="128">
        <f>MAX(0,M33-M32)</f>
        <v/>
      </c>
      <c r="O33" s="127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RESUMO'!AG8</f>
        <v/>
      </c>
      <c r="N34" s="128">
        <f>MAX(0,M34-M33)</f>
        <v/>
      </c>
      <c r="O34" s="127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RESUMO'!AH8</f>
        <v/>
      </c>
      <c r="N35" s="128">
        <f>MAX(0,M35-M34)</f>
        <v/>
      </c>
      <c r="O35" s="127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RESUMO'!AI8</f>
        <v/>
      </c>
      <c r="N36" s="128">
        <f>MAX(0,M36-M35)</f>
        <v/>
      </c>
      <c r="O36" s="127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RESUMO'!AJ8</f>
        <v/>
      </c>
      <c r="N37" s="128">
        <f>MAX(0,M37-M36)</f>
        <v/>
      </c>
      <c r="O37" s="127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RESUMO'!AK8</f>
        <v/>
      </c>
      <c r="N38" s="128">
        <f>MAX(0,M38-M37)</f>
        <v/>
      </c>
      <c r="O38" s="127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RESUMO'!AL8</f>
        <v/>
      </c>
      <c r="N39" s="128">
        <f>MAX(0,M39-M38)</f>
        <v/>
      </c>
      <c r="O39" s="127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RESUMO'!AM8</f>
        <v/>
      </c>
      <c r="N40" s="128">
        <f>MAX(0,M40-M39)</f>
        <v/>
      </c>
      <c r="O40" s="127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RESUMO'!AN8</f>
        <v/>
      </c>
      <c r="N41" s="128">
        <f>MAX(0,M41-M40)</f>
        <v/>
      </c>
      <c r="O41" s="127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RESUMO'!AO8</f>
        <v/>
      </c>
      <c r="N42" s="128">
        <f>MAX(0,M42-M41)</f>
        <v/>
      </c>
      <c r="O42" s="127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RESUMO'!AP8</f>
        <v/>
      </c>
      <c r="N43" s="128">
        <f>MAX(0,M43-M42)</f>
        <v/>
      </c>
      <c r="O43" s="127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RESUMO'!AQ8</f>
        <v/>
      </c>
      <c r="N44" s="128">
        <f>MAX(0,M44-M43)</f>
        <v/>
      </c>
      <c r="O44" s="127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RESUMO'!AR8</f>
        <v/>
      </c>
      <c r="N45" s="128">
        <f>MAX(0,M45-M44)</f>
        <v/>
      </c>
      <c r="O45" s="127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RESUMO'!AS8</f>
        <v/>
      </c>
      <c r="N46" s="128">
        <f>MAX(0,M46-M45)</f>
        <v/>
      </c>
      <c r="O46" s="127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RESUMO'!AT8</f>
        <v/>
      </c>
      <c r="N47" s="128">
        <f>MAX(0,M47-M46)</f>
        <v/>
      </c>
      <c r="O47" s="127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RESUMO'!AU8</f>
        <v/>
      </c>
      <c r="N48" s="128">
        <f>MAX(0,M48-M47)</f>
        <v/>
      </c>
      <c r="O48" s="127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RESUMO'!AV8</f>
        <v/>
      </c>
      <c r="N49" s="128">
        <f>MAX(0,M49-M48)</f>
        <v/>
      </c>
      <c r="O49" s="127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RESUMO'!AW8</f>
        <v/>
      </c>
      <c r="N50" s="128">
        <f>MAX(0,M50-M49)</f>
        <v/>
      </c>
      <c r="O50" s="127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RESUMO'!AX8</f>
        <v/>
      </c>
      <c r="N51" s="128">
        <f>MAX(0,M51-M50)</f>
        <v/>
      </c>
      <c r="O51" s="127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RESUMO'!AY8</f>
        <v/>
      </c>
      <c r="N52" s="128">
        <f>MAX(0,M52-M51)</f>
        <v/>
      </c>
      <c r="O52" s="127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RESUMO'!AZ8</f>
        <v/>
      </c>
      <c r="N53" s="128">
        <f>MAX(0,M53-M52)</f>
        <v/>
      </c>
      <c r="O53" s="127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RESUMO'!BA8</f>
        <v/>
      </c>
      <c r="N54" s="128">
        <f>MAX(0,M54-M53)</f>
        <v/>
      </c>
      <c r="O54" s="127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RESUMO'!BB8</f>
        <v/>
      </c>
      <c r="N55" s="128">
        <f>MAX(0,M55-M54)</f>
        <v/>
      </c>
      <c r="O55" s="127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RESUMO'!BC8</f>
        <v/>
      </c>
      <c r="N56" s="128">
        <f>MAX(0,M56-M55)</f>
        <v/>
      </c>
      <c r="O56" s="127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RESUMO'!BD8</f>
        <v/>
      </c>
      <c r="N57" s="128">
        <f>MAX(0,M57-M56)</f>
        <v/>
      </c>
      <c r="O57" s="127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RESUMO'!BE8</f>
        <v/>
      </c>
      <c r="N58" s="128">
        <f>MAX(0,M58-M57)</f>
        <v/>
      </c>
      <c r="O58" s="127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RESUMO'!BF8</f>
        <v/>
      </c>
      <c r="N59" s="128">
        <f>MAX(0,M59-M58)</f>
        <v/>
      </c>
      <c r="O59" s="127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RESUMO'!BG8</f>
        <v/>
      </c>
      <c r="N60" s="128">
        <f>MAX(0,M60-M59)</f>
        <v/>
      </c>
      <c r="O60" s="127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RESUMO'!BH8</f>
        <v/>
      </c>
      <c r="N61" s="128">
        <f>MAX(0,M61-M60)</f>
        <v/>
      </c>
      <c r="O61" s="127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RESUMO'!BI8</f>
        <v/>
      </c>
      <c r="N62" s="128">
        <f>MAX(0,M62-M61)</f>
        <v/>
      </c>
      <c r="O62" s="127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RESUMO'!BJ8</f>
        <v/>
      </c>
      <c r="N63" s="128">
        <f>MAX(0,M63-M62)</f>
        <v/>
      </c>
      <c r="O63" s="127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RESUMO'!BK8</f>
        <v/>
      </c>
      <c r="N64" s="128">
        <f>MAX(0,M64-M63)</f>
        <v/>
      </c>
      <c r="O64" s="127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RESUMO'!BL8</f>
        <v/>
      </c>
      <c r="N65" s="128">
        <f>MAX(0,M65-M64)</f>
        <v/>
      </c>
      <c r="O65" s="127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RESUMO'!BM8</f>
        <v/>
      </c>
      <c r="N66" s="128">
        <f>MAX(0,M66-M65)</f>
        <v/>
      </c>
      <c r="O66" s="127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RESUMO'!BN8</f>
        <v/>
      </c>
      <c r="N67" s="128">
        <f>MAX(0,M67-M66)</f>
        <v/>
      </c>
      <c r="O67" s="127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RESUMO'!BO8</f>
        <v/>
      </c>
      <c r="N68" s="128">
        <f>MAX(0,M68-M67)</f>
        <v/>
      </c>
      <c r="O68" s="127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RESUMO'!BP8</f>
        <v/>
      </c>
      <c r="N69" s="128">
        <f>MAX(0,M69-M68)</f>
        <v/>
      </c>
      <c r="O69" s="127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RESUMO'!BQ8</f>
        <v/>
      </c>
      <c r="N70" s="128">
        <f>MAX(0,M70-M69)</f>
        <v/>
      </c>
      <c r="O70" s="127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RESUMO'!BR8</f>
        <v/>
      </c>
      <c r="N71" s="128">
        <f>MAX(0,M71-M70)</f>
        <v/>
      </c>
      <c r="O71" s="127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RESUMO'!BS8</f>
        <v/>
      </c>
      <c r="N72" s="128">
        <f>MAX(0,M72-M71)</f>
        <v/>
      </c>
      <c r="O72" s="127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RESUMO'!BT8</f>
        <v/>
      </c>
      <c r="N73" s="128">
        <f>MAX(0,M73-M72)</f>
        <v/>
      </c>
      <c r="O73" s="127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RESUMO'!BU8</f>
        <v/>
      </c>
      <c r="N74" s="128">
        <f>MAX(0,M74-M73)</f>
        <v/>
      </c>
      <c r="O74" s="127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RESUMO'!BV8</f>
        <v/>
      </c>
      <c r="N75" s="128">
        <f>MAX(0,M75-M74)</f>
        <v/>
      </c>
      <c r="O75" s="127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RESUMO'!BW8</f>
        <v/>
      </c>
      <c r="N76" s="128">
        <f>MAX(0,M76-M75)</f>
        <v/>
      </c>
      <c r="O76" s="127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PL'!F15</f>
        <v/>
      </c>
      <c r="K5" s="63">
        <f>'VALOR POR PL'!G15</f>
        <v/>
      </c>
      <c r="M5" s="127">
        <f>'CP RESUMO'!D9</f>
        <v/>
      </c>
      <c r="N5" s="128" t="n">
        <v>0</v>
      </c>
      <c r="O5" s="127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RESUMO'!E9</f>
        <v/>
      </c>
      <c r="N6" s="128">
        <f>MAX(0,M6-M5)</f>
        <v/>
      </c>
      <c r="O6" s="127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PL'!L15</f>
        <v/>
      </c>
      <c r="M7" s="127">
        <f>'CP RESUMO'!F9</f>
        <v/>
      </c>
      <c r="N7" s="128">
        <f>MAX(0,M7-M6)</f>
        <v/>
      </c>
      <c r="O7" s="127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RESUMO'!G9</f>
        <v/>
      </c>
      <c r="N8" s="128">
        <f>MAX(0,M8-M7)</f>
        <v/>
      </c>
      <c r="O8" s="127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RESUMO'!H9</f>
        <v/>
      </c>
      <c r="N9" s="128">
        <f>MAX(0,M9-M8)</f>
        <v/>
      </c>
      <c r="O9" s="127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RESUMO'!I9</f>
        <v/>
      </c>
      <c r="N10" s="128">
        <f>MAX(0,M10-M9)</f>
        <v/>
      </c>
      <c r="O10" s="127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RESUMO'!J9</f>
        <v/>
      </c>
      <c r="N11" s="128">
        <f>MAX(0,M11-M10)</f>
        <v/>
      </c>
      <c r="O11" s="127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RESUMO'!K9</f>
        <v/>
      </c>
      <c r="N12" s="128">
        <f>MAX(0,M12-M11)</f>
        <v/>
      </c>
      <c r="O12" s="127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PL'!I15</f>
        <v/>
      </c>
      <c r="M13" s="127">
        <f>'CP RESUMO'!L9</f>
        <v/>
      </c>
      <c r="N13" s="128">
        <f>MAX(0,M13-M12)</f>
        <v/>
      </c>
      <c r="O13" s="127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M14" s="127">
        <f>'CP RESUMO'!M9</f>
        <v/>
      </c>
      <c r="N14" s="128">
        <f>MAX(0,M14-M13)</f>
        <v/>
      </c>
      <c r="O14" s="127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RESUMO'!N9</f>
        <v/>
      </c>
      <c r="N15" s="128">
        <f>MAX(0,M15-M14)</f>
        <v/>
      </c>
      <c r="O15" s="127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RESUMO'!O9</f>
        <v/>
      </c>
      <c r="N16" s="128">
        <f>MAX(0,M16-M15)</f>
        <v/>
      </c>
      <c r="O16" s="127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RESUMO'!P9</f>
        <v/>
      </c>
      <c r="N17" s="128">
        <f>MAX(0,M17-M16)</f>
        <v/>
      </c>
      <c r="O17" s="127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RESUMO'!Q9</f>
        <v/>
      </c>
      <c r="N18" s="128">
        <f>MAX(0,M18-M17)</f>
        <v/>
      </c>
      <c r="O18" s="127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RESUMO'!R9</f>
        <v/>
      </c>
      <c r="N19" s="128">
        <f>MAX(0,M19-M18)</f>
        <v/>
      </c>
      <c r="O19" s="127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RESUMO'!S9</f>
        <v/>
      </c>
      <c r="N20" s="128">
        <f>MAX(0,M20-M19)</f>
        <v/>
      </c>
      <c r="O20" s="127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RESUMO'!T9</f>
        <v/>
      </c>
      <c r="N21" s="128">
        <f>MAX(0,M21-M20)</f>
        <v/>
      </c>
      <c r="O21" s="127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RESUMO'!U9</f>
        <v/>
      </c>
      <c r="N22" s="128">
        <f>MAX(0,M22-M21)</f>
        <v/>
      </c>
      <c r="O22" s="127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RESUMO'!V9</f>
        <v/>
      </c>
      <c r="N23" s="128">
        <f>MAX(0,M23-M22)</f>
        <v/>
      </c>
      <c r="O23" s="127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RESUMO'!W9</f>
        <v/>
      </c>
      <c r="N24" s="128">
        <f>MAX(0,M24-M23)</f>
        <v/>
      </c>
      <c r="O24" s="127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RESUMO'!X9</f>
        <v/>
      </c>
      <c r="N25" s="128">
        <f>MAX(0,M25-M24)</f>
        <v/>
      </c>
      <c r="O25" s="127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RESUMO'!Y9</f>
        <v/>
      </c>
      <c r="N26" s="128">
        <f>MAX(0,M26-M25)</f>
        <v/>
      </c>
      <c r="O26" s="127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RESUMO'!Z9</f>
        <v/>
      </c>
      <c r="N27" s="128">
        <f>MAX(0,M27-M26)</f>
        <v/>
      </c>
      <c r="O27" s="127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RESUMO'!AA9</f>
        <v/>
      </c>
      <c r="N28" s="128">
        <f>MAX(0,M28-M27)</f>
        <v/>
      </c>
      <c r="O28" s="127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RESUMO'!AB9</f>
        <v/>
      </c>
      <c r="N29" s="128">
        <f>MAX(0,M29-M28)</f>
        <v/>
      </c>
      <c r="O29" s="127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RESUMO'!AC9</f>
        <v/>
      </c>
      <c r="N30" s="128">
        <f>MAX(0,M30-M29)</f>
        <v/>
      </c>
      <c r="O30" s="127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RESUMO'!AD9</f>
        <v/>
      </c>
      <c r="N31" s="128">
        <f>MAX(0,M31-M30)</f>
        <v/>
      </c>
      <c r="O31" s="127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RESUMO'!AE9</f>
        <v/>
      </c>
      <c r="N32" s="128">
        <f>MAX(0,M32-M31)</f>
        <v/>
      </c>
      <c r="O32" s="127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RESUMO'!AF9</f>
        <v/>
      </c>
      <c r="N33" s="128">
        <f>MAX(0,M33-M32)</f>
        <v/>
      </c>
      <c r="O33" s="127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RESUMO'!AG9</f>
        <v/>
      </c>
      <c r="N34" s="128">
        <f>MAX(0,M34-M33)</f>
        <v/>
      </c>
      <c r="O34" s="127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RESUMO'!AH9</f>
        <v/>
      </c>
      <c r="N35" s="128">
        <f>MAX(0,M35-M34)</f>
        <v/>
      </c>
      <c r="O35" s="127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RESUMO'!AI9</f>
        <v/>
      </c>
      <c r="N36" s="128">
        <f>MAX(0,M36-M35)</f>
        <v/>
      </c>
      <c r="O36" s="127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RESUMO'!AJ9</f>
        <v/>
      </c>
      <c r="N37" s="128">
        <f>MAX(0,M37-M36)</f>
        <v/>
      </c>
      <c r="O37" s="127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RESUMO'!AK9</f>
        <v/>
      </c>
      <c r="N38" s="128">
        <f>MAX(0,M38-M37)</f>
        <v/>
      </c>
      <c r="O38" s="127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RESUMO'!AL9</f>
        <v/>
      </c>
      <c r="N39" s="128">
        <f>MAX(0,M39-M38)</f>
        <v/>
      </c>
      <c r="O39" s="127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RESUMO'!AM9</f>
        <v/>
      </c>
      <c r="N40" s="128">
        <f>MAX(0,M40-M39)</f>
        <v/>
      </c>
      <c r="O40" s="127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RESUMO'!AN9</f>
        <v/>
      </c>
      <c r="N41" s="128">
        <f>MAX(0,M41-M40)</f>
        <v/>
      </c>
      <c r="O41" s="127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RESUMO'!AO9</f>
        <v/>
      </c>
      <c r="N42" s="128">
        <f>MAX(0,M42-M41)</f>
        <v/>
      </c>
      <c r="O42" s="127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RESUMO'!AP9</f>
        <v/>
      </c>
      <c r="N43" s="128">
        <f>MAX(0,M43-M42)</f>
        <v/>
      </c>
      <c r="O43" s="127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RESUMO'!AQ9</f>
        <v/>
      </c>
      <c r="N44" s="128">
        <f>MAX(0,M44-M43)</f>
        <v/>
      </c>
      <c r="O44" s="127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RESUMO'!AR9</f>
        <v/>
      </c>
      <c r="N45" s="128">
        <f>MAX(0,M45-M44)</f>
        <v/>
      </c>
      <c r="O45" s="127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RESUMO'!AS9</f>
        <v/>
      </c>
      <c r="N46" s="128">
        <f>MAX(0,M46-M45)</f>
        <v/>
      </c>
      <c r="O46" s="127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RESUMO'!AT9</f>
        <v/>
      </c>
      <c r="N47" s="128">
        <f>MAX(0,M47-M46)</f>
        <v/>
      </c>
      <c r="O47" s="127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RESUMO'!AU9</f>
        <v/>
      </c>
      <c r="N48" s="128">
        <f>MAX(0,M48-M47)</f>
        <v/>
      </c>
      <c r="O48" s="127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RESUMO'!AV9</f>
        <v/>
      </c>
      <c r="N49" s="128">
        <f>MAX(0,M49-M48)</f>
        <v/>
      </c>
      <c r="O49" s="127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RESUMO'!AW9</f>
        <v/>
      </c>
      <c r="N50" s="128">
        <f>MAX(0,M50-M49)</f>
        <v/>
      </c>
      <c r="O50" s="127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RESUMO'!AX9</f>
        <v/>
      </c>
      <c r="N51" s="128">
        <f>MAX(0,M51-M50)</f>
        <v/>
      </c>
      <c r="O51" s="127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RESUMO'!AY9</f>
        <v/>
      </c>
      <c r="N52" s="128">
        <f>MAX(0,M52-M51)</f>
        <v/>
      </c>
      <c r="O52" s="127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RESUMO'!AZ9</f>
        <v/>
      </c>
      <c r="N53" s="128">
        <f>MAX(0,M53-M52)</f>
        <v/>
      </c>
      <c r="O53" s="127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RESUMO'!BA9</f>
        <v/>
      </c>
      <c r="N54" s="128">
        <f>MAX(0,M54-M53)</f>
        <v/>
      </c>
      <c r="O54" s="127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RESUMO'!BB9</f>
        <v/>
      </c>
      <c r="N55" s="128">
        <f>MAX(0,M55-M54)</f>
        <v/>
      </c>
      <c r="O55" s="127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RESUMO'!BC9</f>
        <v/>
      </c>
      <c r="N56" s="128">
        <f>MAX(0,M56-M55)</f>
        <v/>
      </c>
      <c r="O56" s="127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RESUMO'!BD9</f>
        <v/>
      </c>
      <c r="N57" s="128">
        <f>MAX(0,M57-M56)</f>
        <v/>
      </c>
      <c r="O57" s="127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RESUMO'!BE9</f>
        <v/>
      </c>
      <c r="N58" s="128">
        <f>MAX(0,M58-M57)</f>
        <v/>
      </c>
      <c r="O58" s="127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RESUMO'!BF9</f>
        <v/>
      </c>
      <c r="N59" s="128">
        <f>MAX(0,M59-M58)</f>
        <v/>
      </c>
      <c r="O59" s="127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RESUMO'!BG9</f>
        <v/>
      </c>
      <c r="N60" s="128">
        <f>MAX(0,M60-M59)</f>
        <v/>
      </c>
      <c r="O60" s="127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RESUMO'!BH9</f>
        <v/>
      </c>
      <c r="N61" s="128">
        <f>MAX(0,M61-M60)</f>
        <v/>
      </c>
      <c r="O61" s="127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RESUMO'!BI9</f>
        <v/>
      </c>
      <c r="N62" s="128">
        <f>MAX(0,M62-M61)</f>
        <v/>
      </c>
      <c r="O62" s="127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RESUMO'!BJ9</f>
        <v/>
      </c>
      <c r="N63" s="128">
        <f>MAX(0,M63-M62)</f>
        <v/>
      </c>
      <c r="O63" s="127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RESUMO'!BK9</f>
        <v/>
      </c>
      <c r="N64" s="128">
        <f>MAX(0,M64-M63)</f>
        <v/>
      </c>
      <c r="O64" s="127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RESUMO'!BL9</f>
        <v/>
      </c>
      <c r="N65" s="128">
        <f>MAX(0,M65-M64)</f>
        <v/>
      </c>
      <c r="O65" s="127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RESUMO'!BM9</f>
        <v/>
      </c>
      <c r="N66" s="128">
        <f>MAX(0,M66-M65)</f>
        <v/>
      </c>
      <c r="O66" s="127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RESUMO'!BN9</f>
        <v/>
      </c>
      <c r="N67" s="128">
        <f>MAX(0,M67-M66)</f>
        <v/>
      </c>
      <c r="O67" s="127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RESUMO'!BO9</f>
        <v/>
      </c>
      <c r="N68" s="128">
        <f>MAX(0,M68-M67)</f>
        <v/>
      </c>
      <c r="O68" s="127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RESUMO'!BP9</f>
        <v/>
      </c>
      <c r="N69" s="128">
        <f>MAX(0,M69-M68)</f>
        <v/>
      </c>
      <c r="O69" s="127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RESUMO'!BQ9</f>
        <v/>
      </c>
      <c r="N70" s="128">
        <f>MAX(0,M70-M69)</f>
        <v/>
      </c>
      <c r="O70" s="127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RESUMO'!BR9</f>
        <v/>
      </c>
      <c r="N71" s="128">
        <f>MAX(0,M71-M70)</f>
        <v/>
      </c>
      <c r="O71" s="127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RESUMO'!BS9</f>
        <v/>
      </c>
      <c r="N72" s="128">
        <f>MAX(0,M72-M71)</f>
        <v/>
      </c>
      <c r="O72" s="127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RESUMO'!BT9</f>
        <v/>
      </c>
      <c r="N73" s="128">
        <f>MAX(0,M73-M72)</f>
        <v/>
      </c>
      <c r="O73" s="127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RESUMO'!BU9</f>
        <v/>
      </c>
      <c r="N74" s="128">
        <f>MAX(0,M74-M73)</f>
        <v/>
      </c>
      <c r="O74" s="127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RESUMO'!BV9</f>
        <v/>
      </c>
      <c r="N75" s="128">
        <f>MAX(0,M75-M74)</f>
        <v/>
      </c>
      <c r="O75" s="127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RESUMO'!BW9</f>
        <v/>
      </c>
      <c r="N76" s="128">
        <f>MAX(0,M76-M75)</f>
        <v/>
      </c>
      <c r="O76" s="127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PL'!F16</f>
        <v/>
      </c>
      <c r="K5" s="63">
        <f>'VALOR POR PL'!G16</f>
        <v/>
      </c>
      <c r="M5" s="127">
        <f>'CP RESUMO'!D10</f>
        <v/>
      </c>
      <c r="N5" s="128" t="n">
        <v>0</v>
      </c>
      <c r="O5" s="127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RESUMO'!E10</f>
        <v/>
      </c>
      <c r="N6" s="128">
        <f>MAX(0,M6-M5)</f>
        <v/>
      </c>
      <c r="O6" s="127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PL'!L16</f>
        <v/>
      </c>
      <c r="M7" s="127">
        <f>'CP RESUMO'!F10</f>
        <v/>
      </c>
      <c r="N7" s="128">
        <f>MAX(0,M7-M6)</f>
        <v/>
      </c>
      <c r="O7" s="127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RESUMO'!G10</f>
        <v/>
      </c>
      <c r="N8" s="128">
        <f>MAX(0,M8-M7)</f>
        <v/>
      </c>
      <c r="O8" s="127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RESUMO'!H10</f>
        <v/>
      </c>
      <c r="N9" s="128">
        <f>MAX(0,M9-M8)</f>
        <v/>
      </c>
      <c r="O9" s="127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RESUMO'!I10</f>
        <v/>
      </c>
      <c r="N10" s="128">
        <f>MAX(0,M10-M9)</f>
        <v/>
      </c>
      <c r="O10" s="127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RESUMO'!J10</f>
        <v/>
      </c>
      <c r="N11" s="128">
        <f>MAX(0,M11-M10)</f>
        <v/>
      </c>
      <c r="O11" s="127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RESUMO'!K10</f>
        <v/>
      </c>
      <c r="N12" s="128">
        <f>MAX(0,M12-M11)</f>
        <v/>
      </c>
      <c r="O12" s="127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PL'!I16</f>
        <v/>
      </c>
      <c r="M13" s="127">
        <f>'CP RESUMO'!L10</f>
        <v/>
      </c>
      <c r="N13" s="128">
        <f>MAX(0,M13-M12)</f>
        <v/>
      </c>
      <c r="O13" s="127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M14" s="127">
        <f>'CP RESUMO'!M10</f>
        <v/>
      </c>
      <c r="N14" s="128">
        <f>MAX(0,M14-M13)</f>
        <v/>
      </c>
      <c r="O14" s="127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RESUMO'!N10</f>
        <v/>
      </c>
      <c r="N15" s="128">
        <f>MAX(0,M15-M14)</f>
        <v/>
      </c>
      <c r="O15" s="127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RESUMO'!O10</f>
        <v/>
      </c>
      <c r="N16" s="128">
        <f>MAX(0,M16-M15)</f>
        <v/>
      </c>
      <c r="O16" s="127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RESUMO'!P10</f>
        <v/>
      </c>
      <c r="N17" s="128">
        <f>MAX(0,M17-M16)</f>
        <v/>
      </c>
      <c r="O17" s="127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RESUMO'!Q10</f>
        <v/>
      </c>
      <c r="N18" s="128">
        <f>MAX(0,M18-M17)</f>
        <v/>
      </c>
      <c r="O18" s="127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RESUMO'!R10</f>
        <v/>
      </c>
      <c r="N19" s="128">
        <f>MAX(0,M19-M18)</f>
        <v/>
      </c>
      <c r="O19" s="127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RESUMO'!S10</f>
        <v/>
      </c>
      <c r="N20" s="128">
        <f>MAX(0,M20-M19)</f>
        <v/>
      </c>
      <c r="O20" s="127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RESUMO'!T10</f>
        <v/>
      </c>
      <c r="N21" s="128">
        <f>MAX(0,M21-M20)</f>
        <v/>
      </c>
      <c r="O21" s="127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RESUMO'!U10</f>
        <v/>
      </c>
      <c r="N22" s="128">
        <f>MAX(0,M22-M21)</f>
        <v/>
      </c>
      <c r="O22" s="127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RESUMO'!V10</f>
        <v/>
      </c>
      <c r="N23" s="128">
        <f>MAX(0,M23-M22)</f>
        <v/>
      </c>
      <c r="O23" s="127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RESUMO'!W10</f>
        <v/>
      </c>
      <c r="N24" s="128">
        <f>MAX(0,M24-M23)</f>
        <v/>
      </c>
      <c r="O24" s="127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RESUMO'!X10</f>
        <v/>
      </c>
      <c r="N25" s="128">
        <f>MAX(0,M25-M24)</f>
        <v/>
      </c>
      <c r="O25" s="127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RESUMO'!Y10</f>
        <v/>
      </c>
      <c r="N26" s="128">
        <f>MAX(0,M26-M25)</f>
        <v/>
      </c>
      <c r="O26" s="127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RESUMO'!Z10</f>
        <v/>
      </c>
      <c r="N27" s="128">
        <f>MAX(0,M27-M26)</f>
        <v/>
      </c>
      <c r="O27" s="127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RESUMO'!AA10</f>
        <v/>
      </c>
      <c r="N28" s="128">
        <f>MAX(0,M28-M27)</f>
        <v/>
      </c>
      <c r="O28" s="127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RESUMO'!AB10</f>
        <v/>
      </c>
      <c r="N29" s="128">
        <f>MAX(0,M29-M28)</f>
        <v/>
      </c>
      <c r="O29" s="127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RESUMO'!AC10</f>
        <v/>
      </c>
      <c r="N30" s="128">
        <f>MAX(0,M30-M29)</f>
        <v/>
      </c>
      <c r="O30" s="127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RESUMO'!AD10</f>
        <v/>
      </c>
      <c r="N31" s="128">
        <f>MAX(0,M31-M30)</f>
        <v/>
      </c>
      <c r="O31" s="127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RESUMO'!AE10</f>
        <v/>
      </c>
      <c r="N32" s="128">
        <f>MAX(0,M32-M31)</f>
        <v/>
      </c>
      <c r="O32" s="127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RESUMO'!AF10</f>
        <v/>
      </c>
      <c r="N33" s="128">
        <f>MAX(0,M33-M32)</f>
        <v/>
      </c>
      <c r="O33" s="127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RESUMO'!AG10</f>
        <v/>
      </c>
      <c r="N34" s="128">
        <f>MAX(0,M34-M33)</f>
        <v/>
      </c>
      <c r="O34" s="127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RESUMO'!AH10</f>
        <v/>
      </c>
      <c r="N35" s="128">
        <f>MAX(0,M35-M34)</f>
        <v/>
      </c>
      <c r="O35" s="127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RESUMO'!AI10</f>
        <v/>
      </c>
      <c r="N36" s="128">
        <f>MAX(0,M36-M35)</f>
        <v/>
      </c>
      <c r="O36" s="127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RESUMO'!AJ10</f>
        <v/>
      </c>
      <c r="N37" s="128">
        <f>MAX(0,M37-M36)</f>
        <v/>
      </c>
      <c r="O37" s="127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RESUMO'!AK10</f>
        <v/>
      </c>
      <c r="N38" s="128">
        <f>MAX(0,M38-M37)</f>
        <v/>
      </c>
      <c r="O38" s="127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RESUMO'!AL10</f>
        <v/>
      </c>
      <c r="N39" s="128">
        <f>MAX(0,M39-M38)</f>
        <v/>
      </c>
      <c r="O39" s="127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RESUMO'!AM10</f>
        <v/>
      </c>
      <c r="N40" s="128">
        <f>MAX(0,M40-M39)</f>
        <v/>
      </c>
      <c r="O40" s="127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RESUMO'!AN10</f>
        <v/>
      </c>
      <c r="N41" s="128">
        <f>MAX(0,M41-M40)</f>
        <v/>
      </c>
      <c r="O41" s="127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RESUMO'!AO10</f>
        <v/>
      </c>
      <c r="N42" s="128">
        <f>MAX(0,M42-M41)</f>
        <v/>
      </c>
      <c r="O42" s="127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RESUMO'!AP10</f>
        <v/>
      </c>
      <c r="N43" s="128">
        <f>MAX(0,M43-M42)</f>
        <v/>
      </c>
      <c r="O43" s="127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RESUMO'!AQ10</f>
        <v/>
      </c>
      <c r="N44" s="128">
        <f>MAX(0,M44-M43)</f>
        <v/>
      </c>
      <c r="O44" s="127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RESUMO'!AR10</f>
        <v/>
      </c>
      <c r="N45" s="128">
        <f>MAX(0,M45-M44)</f>
        <v/>
      </c>
      <c r="O45" s="127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RESUMO'!AS10</f>
        <v/>
      </c>
      <c r="N46" s="128">
        <f>MAX(0,M46-M45)</f>
        <v/>
      </c>
      <c r="O46" s="127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RESUMO'!AT10</f>
        <v/>
      </c>
      <c r="N47" s="128">
        <f>MAX(0,M47-M46)</f>
        <v/>
      </c>
      <c r="O47" s="127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RESUMO'!AU10</f>
        <v/>
      </c>
      <c r="N48" s="128">
        <f>MAX(0,M48-M47)</f>
        <v/>
      </c>
      <c r="O48" s="127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RESUMO'!AV10</f>
        <v/>
      </c>
      <c r="N49" s="128">
        <f>MAX(0,M49-M48)</f>
        <v/>
      </c>
      <c r="O49" s="127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RESUMO'!AW10</f>
        <v/>
      </c>
      <c r="N50" s="128">
        <f>MAX(0,M50-M49)</f>
        <v/>
      </c>
      <c r="O50" s="127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RESUMO'!AX10</f>
        <v/>
      </c>
      <c r="N51" s="128">
        <f>MAX(0,M51-M50)</f>
        <v/>
      </c>
      <c r="O51" s="127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RESUMO'!AY10</f>
        <v/>
      </c>
      <c r="N52" s="128">
        <f>MAX(0,M52-M51)</f>
        <v/>
      </c>
      <c r="O52" s="127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RESUMO'!AZ10</f>
        <v/>
      </c>
      <c r="N53" s="128">
        <f>MAX(0,M53-M52)</f>
        <v/>
      </c>
      <c r="O53" s="127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RESUMO'!BA10</f>
        <v/>
      </c>
      <c r="N54" s="128">
        <f>MAX(0,M54-M53)</f>
        <v/>
      </c>
      <c r="O54" s="127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RESUMO'!BB10</f>
        <v/>
      </c>
      <c r="N55" s="128">
        <f>MAX(0,M55-M54)</f>
        <v/>
      </c>
      <c r="O55" s="127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RESUMO'!BC10</f>
        <v/>
      </c>
      <c r="N56" s="128">
        <f>MAX(0,M56-M55)</f>
        <v/>
      </c>
      <c r="O56" s="127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RESUMO'!BD10</f>
        <v/>
      </c>
      <c r="N57" s="128">
        <f>MAX(0,M57-M56)</f>
        <v/>
      </c>
      <c r="O57" s="127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RESUMO'!BE10</f>
        <v/>
      </c>
      <c r="N58" s="128">
        <f>MAX(0,M58-M57)</f>
        <v/>
      </c>
      <c r="O58" s="127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RESUMO'!BF10</f>
        <v/>
      </c>
      <c r="N59" s="128">
        <f>MAX(0,M59-M58)</f>
        <v/>
      </c>
      <c r="O59" s="127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RESUMO'!BG10</f>
        <v/>
      </c>
      <c r="N60" s="128">
        <f>MAX(0,M60-M59)</f>
        <v/>
      </c>
      <c r="O60" s="127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RESUMO'!BH10</f>
        <v/>
      </c>
      <c r="N61" s="128">
        <f>MAX(0,M61-M60)</f>
        <v/>
      </c>
      <c r="O61" s="127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RESUMO'!BI10</f>
        <v/>
      </c>
      <c r="N62" s="128">
        <f>MAX(0,M62-M61)</f>
        <v/>
      </c>
      <c r="O62" s="127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RESUMO'!BJ10</f>
        <v/>
      </c>
      <c r="N63" s="128">
        <f>MAX(0,M63-M62)</f>
        <v/>
      </c>
      <c r="O63" s="127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RESUMO'!BK10</f>
        <v/>
      </c>
      <c r="N64" s="128">
        <f>MAX(0,M64-M63)</f>
        <v/>
      </c>
      <c r="O64" s="127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RESUMO'!BL10</f>
        <v/>
      </c>
      <c r="N65" s="128">
        <f>MAX(0,M65-M64)</f>
        <v/>
      </c>
      <c r="O65" s="127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RESUMO'!BM10</f>
        <v/>
      </c>
      <c r="N66" s="128">
        <f>MAX(0,M66-M65)</f>
        <v/>
      </c>
      <c r="O66" s="127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RESUMO'!BN10</f>
        <v/>
      </c>
      <c r="N67" s="128">
        <f>MAX(0,M67-M66)</f>
        <v/>
      </c>
      <c r="O67" s="127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RESUMO'!BO10</f>
        <v/>
      </c>
      <c r="N68" s="128">
        <f>MAX(0,M68-M67)</f>
        <v/>
      </c>
      <c r="O68" s="127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RESUMO'!BP10</f>
        <v/>
      </c>
      <c r="N69" s="128">
        <f>MAX(0,M69-M68)</f>
        <v/>
      </c>
      <c r="O69" s="127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RESUMO'!BQ10</f>
        <v/>
      </c>
      <c r="N70" s="128">
        <f>MAX(0,M70-M69)</f>
        <v/>
      </c>
      <c r="O70" s="127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RESUMO'!BR10</f>
        <v/>
      </c>
      <c r="N71" s="128">
        <f>MAX(0,M71-M70)</f>
        <v/>
      </c>
      <c r="O71" s="127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RESUMO'!BS10</f>
        <v/>
      </c>
      <c r="N72" s="128">
        <f>MAX(0,M72-M71)</f>
        <v/>
      </c>
      <c r="O72" s="127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RESUMO'!BT10</f>
        <v/>
      </c>
      <c r="N73" s="128">
        <f>MAX(0,M73-M72)</f>
        <v/>
      </c>
      <c r="O73" s="127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RESUMO'!BU10</f>
        <v/>
      </c>
      <c r="N74" s="128">
        <f>MAX(0,M74-M73)</f>
        <v/>
      </c>
      <c r="O74" s="127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RESUMO'!BV10</f>
        <v/>
      </c>
      <c r="N75" s="128">
        <f>MAX(0,M75-M74)</f>
        <v/>
      </c>
      <c r="O75" s="127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RESUMO'!BW10</f>
        <v/>
      </c>
      <c r="N76" s="128">
        <f>MAX(0,M76-M75)</f>
        <v/>
      </c>
      <c r="O76" s="127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PL'!F17</f>
        <v/>
      </c>
      <c r="K5" s="63">
        <f>'VALOR POR PL'!G17</f>
        <v/>
      </c>
      <c r="M5" s="127">
        <f>'CP RESUMO'!D11</f>
        <v/>
      </c>
      <c r="N5" s="128" t="n">
        <v>0</v>
      </c>
      <c r="O5" s="127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RESUMO'!E11</f>
        <v/>
      </c>
      <c r="N6" s="128">
        <f>MAX(0,M6-M5)</f>
        <v/>
      </c>
      <c r="O6" s="127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PL'!L17</f>
        <v/>
      </c>
      <c r="M7" s="127">
        <f>'CP RESUMO'!F11</f>
        <v/>
      </c>
      <c r="N7" s="128">
        <f>MAX(0,M7-M6)</f>
        <v/>
      </c>
      <c r="O7" s="127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RESUMO'!G11</f>
        <v/>
      </c>
      <c r="N8" s="128">
        <f>MAX(0,M8-M7)</f>
        <v/>
      </c>
      <c r="O8" s="127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RESUMO'!H11</f>
        <v/>
      </c>
      <c r="N9" s="128">
        <f>MAX(0,M9-M8)</f>
        <v/>
      </c>
      <c r="O9" s="127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RESUMO'!I11</f>
        <v/>
      </c>
      <c r="N10" s="128">
        <f>MAX(0,M10-M9)</f>
        <v/>
      </c>
      <c r="O10" s="127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RESUMO'!J11</f>
        <v/>
      </c>
      <c r="N11" s="128">
        <f>MAX(0,M11-M10)</f>
        <v/>
      </c>
      <c r="O11" s="127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RESUMO'!K11</f>
        <v/>
      </c>
      <c r="N12" s="128">
        <f>MAX(0,M12-M11)</f>
        <v/>
      </c>
      <c r="O12" s="127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PL'!I17</f>
        <v/>
      </c>
      <c r="M13" s="127">
        <f>'CP RESUMO'!L11</f>
        <v/>
      </c>
      <c r="N13" s="128">
        <f>MAX(0,M13-M12)</f>
        <v/>
      </c>
      <c r="O13" s="127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M14" s="127">
        <f>'CP RESUMO'!M11</f>
        <v/>
      </c>
      <c r="N14" s="128">
        <f>MAX(0,M14-M13)</f>
        <v/>
      </c>
      <c r="O14" s="127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RESUMO'!N11</f>
        <v/>
      </c>
      <c r="N15" s="128">
        <f>MAX(0,M15-M14)</f>
        <v/>
      </c>
      <c r="O15" s="127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RESUMO'!O11</f>
        <v/>
      </c>
      <c r="N16" s="128">
        <f>MAX(0,M16-M15)</f>
        <v/>
      </c>
      <c r="O16" s="127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RESUMO'!P11</f>
        <v/>
      </c>
      <c r="N17" s="128">
        <f>MAX(0,M17-M16)</f>
        <v/>
      </c>
      <c r="O17" s="127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RESUMO'!Q11</f>
        <v/>
      </c>
      <c r="N18" s="128">
        <f>MAX(0,M18-M17)</f>
        <v/>
      </c>
      <c r="O18" s="127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RESUMO'!R11</f>
        <v/>
      </c>
      <c r="N19" s="128">
        <f>MAX(0,M19-M18)</f>
        <v/>
      </c>
      <c r="O19" s="127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RESUMO'!S11</f>
        <v/>
      </c>
      <c r="N20" s="128">
        <f>MAX(0,M20-M19)</f>
        <v/>
      </c>
      <c r="O20" s="127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RESUMO'!T11</f>
        <v/>
      </c>
      <c r="N21" s="128">
        <f>MAX(0,M21-M20)</f>
        <v/>
      </c>
      <c r="O21" s="127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RESUMO'!U11</f>
        <v/>
      </c>
      <c r="N22" s="128">
        <f>MAX(0,M22-M21)</f>
        <v/>
      </c>
      <c r="O22" s="127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RESUMO'!V11</f>
        <v/>
      </c>
      <c r="N23" s="128">
        <f>MAX(0,M23-M22)</f>
        <v/>
      </c>
      <c r="O23" s="127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RESUMO'!W11</f>
        <v/>
      </c>
      <c r="N24" s="128">
        <f>MAX(0,M24-M23)</f>
        <v/>
      </c>
      <c r="O24" s="127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RESUMO'!X11</f>
        <v/>
      </c>
      <c r="N25" s="128">
        <f>MAX(0,M25-M24)</f>
        <v/>
      </c>
      <c r="O25" s="127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RESUMO'!Y11</f>
        <v/>
      </c>
      <c r="N26" s="128">
        <f>MAX(0,M26-M25)</f>
        <v/>
      </c>
      <c r="O26" s="127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RESUMO'!Z11</f>
        <v/>
      </c>
      <c r="N27" s="128">
        <f>MAX(0,M27-M26)</f>
        <v/>
      </c>
      <c r="O27" s="127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RESUMO'!AA11</f>
        <v/>
      </c>
      <c r="N28" s="128">
        <f>MAX(0,M28-M27)</f>
        <v/>
      </c>
      <c r="O28" s="127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RESUMO'!AB11</f>
        <v/>
      </c>
      <c r="N29" s="128">
        <f>MAX(0,M29-M28)</f>
        <v/>
      </c>
      <c r="O29" s="127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RESUMO'!AC11</f>
        <v/>
      </c>
      <c r="N30" s="128">
        <f>MAX(0,M30-M29)</f>
        <v/>
      </c>
      <c r="O30" s="127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RESUMO'!AD11</f>
        <v/>
      </c>
      <c r="N31" s="128">
        <f>MAX(0,M31-M30)</f>
        <v/>
      </c>
      <c r="O31" s="127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RESUMO'!AE11</f>
        <v/>
      </c>
      <c r="N32" s="128">
        <f>MAX(0,M32-M31)</f>
        <v/>
      </c>
      <c r="O32" s="127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RESUMO'!AF11</f>
        <v/>
      </c>
      <c r="N33" s="128">
        <f>MAX(0,M33-M32)</f>
        <v/>
      </c>
      <c r="O33" s="127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RESUMO'!AG11</f>
        <v/>
      </c>
      <c r="N34" s="128">
        <f>MAX(0,M34-M33)</f>
        <v/>
      </c>
      <c r="O34" s="127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RESUMO'!AH11</f>
        <v/>
      </c>
      <c r="N35" s="128">
        <f>MAX(0,M35-M34)</f>
        <v/>
      </c>
      <c r="O35" s="127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RESUMO'!AI11</f>
        <v/>
      </c>
      <c r="N36" s="128">
        <f>MAX(0,M36-M35)</f>
        <v/>
      </c>
      <c r="O36" s="127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RESUMO'!AJ11</f>
        <v/>
      </c>
      <c r="N37" s="128">
        <f>MAX(0,M37-M36)</f>
        <v/>
      </c>
      <c r="O37" s="127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RESUMO'!AK11</f>
        <v/>
      </c>
      <c r="N38" s="128">
        <f>MAX(0,M38-M37)</f>
        <v/>
      </c>
      <c r="O38" s="127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RESUMO'!AL11</f>
        <v/>
      </c>
      <c r="N39" s="128">
        <f>MAX(0,M39-M38)</f>
        <v/>
      </c>
      <c r="O39" s="127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RESUMO'!AM11</f>
        <v/>
      </c>
      <c r="N40" s="128">
        <f>MAX(0,M40-M39)</f>
        <v/>
      </c>
      <c r="O40" s="127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RESUMO'!AN11</f>
        <v/>
      </c>
      <c r="N41" s="128">
        <f>MAX(0,M41-M40)</f>
        <v/>
      </c>
      <c r="O41" s="127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RESUMO'!AO11</f>
        <v/>
      </c>
      <c r="N42" s="128">
        <f>MAX(0,M42-M41)</f>
        <v/>
      </c>
      <c r="O42" s="127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RESUMO'!AP11</f>
        <v/>
      </c>
      <c r="N43" s="128">
        <f>MAX(0,M43-M42)</f>
        <v/>
      </c>
      <c r="O43" s="127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RESUMO'!AQ11</f>
        <v/>
      </c>
      <c r="N44" s="128">
        <f>MAX(0,M44-M43)</f>
        <v/>
      </c>
      <c r="O44" s="127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RESUMO'!AR11</f>
        <v/>
      </c>
      <c r="N45" s="128">
        <f>MAX(0,M45-M44)</f>
        <v/>
      </c>
      <c r="O45" s="127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RESUMO'!AS11</f>
        <v/>
      </c>
      <c r="N46" s="128">
        <f>MAX(0,M46-M45)</f>
        <v/>
      </c>
      <c r="O46" s="127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RESUMO'!AT11</f>
        <v/>
      </c>
      <c r="N47" s="128">
        <f>MAX(0,M47-M46)</f>
        <v/>
      </c>
      <c r="O47" s="127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RESUMO'!AU11</f>
        <v/>
      </c>
      <c r="N48" s="128">
        <f>MAX(0,M48-M47)</f>
        <v/>
      </c>
      <c r="O48" s="127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RESUMO'!AV11</f>
        <v/>
      </c>
      <c r="N49" s="128">
        <f>MAX(0,M49-M48)</f>
        <v/>
      </c>
      <c r="O49" s="127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RESUMO'!AW11</f>
        <v/>
      </c>
      <c r="N50" s="128">
        <f>MAX(0,M50-M49)</f>
        <v/>
      </c>
      <c r="O50" s="127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RESUMO'!AX11</f>
        <v/>
      </c>
      <c r="N51" s="128">
        <f>MAX(0,M51-M50)</f>
        <v/>
      </c>
      <c r="O51" s="127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RESUMO'!AY11</f>
        <v/>
      </c>
      <c r="N52" s="128">
        <f>MAX(0,M52-M51)</f>
        <v/>
      </c>
      <c r="O52" s="127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RESUMO'!AZ11</f>
        <v/>
      </c>
      <c r="N53" s="128">
        <f>MAX(0,M53-M52)</f>
        <v/>
      </c>
      <c r="O53" s="127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RESUMO'!BA11</f>
        <v/>
      </c>
      <c r="N54" s="128">
        <f>MAX(0,M54-M53)</f>
        <v/>
      </c>
      <c r="O54" s="127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RESUMO'!BB11</f>
        <v/>
      </c>
      <c r="N55" s="128">
        <f>MAX(0,M55-M54)</f>
        <v/>
      </c>
      <c r="O55" s="127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RESUMO'!BC11</f>
        <v/>
      </c>
      <c r="N56" s="128">
        <f>MAX(0,M56-M55)</f>
        <v/>
      </c>
      <c r="O56" s="127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RESUMO'!BD11</f>
        <v/>
      </c>
      <c r="N57" s="128">
        <f>MAX(0,M57-M56)</f>
        <v/>
      </c>
      <c r="O57" s="127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RESUMO'!BE11</f>
        <v/>
      </c>
      <c r="N58" s="128">
        <f>MAX(0,M58-M57)</f>
        <v/>
      </c>
      <c r="O58" s="127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RESUMO'!BF11</f>
        <v/>
      </c>
      <c r="N59" s="128">
        <f>MAX(0,M59-M58)</f>
        <v/>
      </c>
      <c r="O59" s="127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RESUMO'!BG11</f>
        <v/>
      </c>
      <c r="N60" s="128">
        <f>MAX(0,M60-M59)</f>
        <v/>
      </c>
      <c r="O60" s="127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RESUMO'!BH11</f>
        <v/>
      </c>
      <c r="N61" s="128">
        <f>MAX(0,M61-M60)</f>
        <v/>
      </c>
      <c r="O61" s="127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RESUMO'!BI11</f>
        <v/>
      </c>
      <c r="N62" s="128">
        <f>MAX(0,M62-M61)</f>
        <v/>
      </c>
      <c r="O62" s="127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RESUMO'!BJ11</f>
        <v/>
      </c>
      <c r="N63" s="128">
        <f>MAX(0,M63-M62)</f>
        <v/>
      </c>
      <c r="O63" s="127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RESUMO'!BK11</f>
        <v/>
      </c>
      <c r="N64" s="128">
        <f>MAX(0,M64-M63)</f>
        <v/>
      </c>
      <c r="O64" s="127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RESUMO'!BL11</f>
        <v/>
      </c>
      <c r="N65" s="128">
        <f>MAX(0,M65-M64)</f>
        <v/>
      </c>
      <c r="O65" s="127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RESUMO'!BM11</f>
        <v/>
      </c>
      <c r="N66" s="128">
        <f>MAX(0,M66-M65)</f>
        <v/>
      </c>
      <c r="O66" s="127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RESUMO'!BN11</f>
        <v/>
      </c>
      <c r="N67" s="128">
        <f>MAX(0,M67-M66)</f>
        <v/>
      </c>
      <c r="O67" s="127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RESUMO'!BO11</f>
        <v/>
      </c>
      <c r="N68" s="128">
        <f>MAX(0,M68-M67)</f>
        <v/>
      </c>
      <c r="O68" s="127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RESUMO'!BP11</f>
        <v/>
      </c>
      <c r="N69" s="128">
        <f>MAX(0,M69-M68)</f>
        <v/>
      </c>
      <c r="O69" s="127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RESUMO'!BQ11</f>
        <v/>
      </c>
      <c r="N70" s="128">
        <f>MAX(0,M70-M69)</f>
        <v/>
      </c>
      <c r="O70" s="127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RESUMO'!BR11</f>
        <v/>
      </c>
      <c r="N71" s="128">
        <f>MAX(0,M71-M70)</f>
        <v/>
      </c>
      <c r="O71" s="127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RESUMO'!BS11</f>
        <v/>
      </c>
      <c r="N72" s="128">
        <f>MAX(0,M72-M71)</f>
        <v/>
      </c>
      <c r="O72" s="127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RESUMO'!BT11</f>
        <v/>
      </c>
      <c r="N73" s="128">
        <f>MAX(0,M73-M72)</f>
        <v/>
      </c>
      <c r="O73" s="127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RESUMO'!BU11</f>
        <v/>
      </c>
      <c r="N74" s="128">
        <f>MAX(0,M74-M73)</f>
        <v/>
      </c>
      <c r="O74" s="127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RESUMO'!BV11</f>
        <v/>
      </c>
      <c r="N75" s="128">
        <f>MAX(0,M75-M74)</f>
        <v/>
      </c>
      <c r="O75" s="127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RESUMO'!BW11</f>
        <v/>
      </c>
      <c r="N76" s="128">
        <f>MAX(0,M76-M75)</f>
        <v/>
      </c>
      <c r="O76" s="127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PL'!F18</f>
        <v/>
      </c>
      <c r="K5" s="63">
        <f>'VALOR POR PL'!G18</f>
        <v/>
      </c>
      <c r="M5" s="127">
        <f>'CP RESUMO'!D12</f>
        <v/>
      </c>
      <c r="N5" s="128" t="n">
        <v>0</v>
      </c>
      <c r="O5" s="127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RESUMO'!E12</f>
        <v/>
      </c>
      <c r="N6" s="128">
        <f>MAX(0,M6-M5)</f>
        <v/>
      </c>
      <c r="O6" s="127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PL'!L18</f>
        <v/>
      </c>
      <c r="M7" s="127">
        <f>'CP RESUMO'!F12</f>
        <v/>
      </c>
      <c r="N7" s="128">
        <f>MAX(0,M7-M6)</f>
        <v/>
      </c>
      <c r="O7" s="127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RESUMO'!G12</f>
        <v/>
      </c>
      <c r="N8" s="128">
        <f>MAX(0,M8-M7)</f>
        <v/>
      </c>
      <c r="O8" s="127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RESUMO'!H12</f>
        <v/>
      </c>
      <c r="N9" s="128">
        <f>MAX(0,M9-M8)</f>
        <v/>
      </c>
      <c r="O9" s="127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RESUMO'!I12</f>
        <v/>
      </c>
      <c r="N10" s="128">
        <f>MAX(0,M10-M9)</f>
        <v/>
      </c>
      <c r="O10" s="127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RESUMO'!J12</f>
        <v/>
      </c>
      <c r="N11" s="128">
        <f>MAX(0,M11-M10)</f>
        <v/>
      </c>
      <c r="O11" s="127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RESUMO'!K12</f>
        <v/>
      </c>
      <c r="N12" s="128">
        <f>MAX(0,M12-M11)</f>
        <v/>
      </c>
      <c r="O12" s="127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PL'!I18</f>
        <v/>
      </c>
      <c r="M13" s="127">
        <f>'CP RESUMO'!L12</f>
        <v/>
      </c>
      <c r="N13" s="128">
        <f>MAX(0,M13-M12)</f>
        <v/>
      </c>
      <c r="O13" s="127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M14" s="127">
        <f>'CP RESUMO'!M12</f>
        <v/>
      </c>
      <c r="N14" s="128">
        <f>MAX(0,M14-M13)</f>
        <v/>
      </c>
      <c r="O14" s="127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RESUMO'!N12</f>
        <v/>
      </c>
      <c r="N15" s="128">
        <f>MAX(0,M15-M14)</f>
        <v/>
      </c>
      <c r="O15" s="127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RESUMO'!O12</f>
        <v/>
      </c>
      <c r="N16" s="128">
        <f>MAX(0,M16-M15)</f>
        <v/>
      </c>
      <c r="O16" s="127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RESUMO'!P12</f>
        <v/>
      </c>
      <c r="N17" s="128">
        <f>MAX(0,M17-M16)</f>
        <v/>
      </c>
      <c r="O17" s="127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RESUMO'!Q12</f>
        <v/>
      </c>
      <c r="N18" s="128">
        <f>MAX(0,M18-M17)</f>
        <v/>
      </c>
      <c r="O18" s="127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RESUMO'!R12</f>
        <v/>
      </c>
      <c r="N19" s="128">
        <f>MAX(0,M19-M18)</f>
        <v/>
      </c>
      <c r="O19" s="127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RESUMO'!S12</f>
        <v/>
      </c>
      <c r="N20" s="128">
        <f>MAX(0,M20-M19)</f>
        <v/>
      </c>
      <c r="O20" s="127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RESUMO'!T12</f>
        <v/>
      </c>
      <c r="N21" s="128">
        <f>MAX(0,M21-M20)</f>
        <v/>
      </c>
      <c r="O21" s="127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RESUMO'!U12</f>
        <v/>
      </c>
      <c r="N22" s="128">
        <f>MAX(0,M22-M21)</f>
        <v/>
      </c>
      <c r="O22" s="127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RESUMO'!V12</f>
        <v/>
      </c>
      <c r="N23" s="128">
        <f>MAX(0,M23-M22)</f>
        <v/>
      </c>
      <c r="O23" s="127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RESUMO'!W12</f>
        <v/>
      </c>
      <c r="N24" s="128">
        <f>MAX(0,M24-M23)</f>
        <v/>
      </c>
      <c r="O24" s="127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RESUMO'!X12</f>
        <v/>
      </c>
      <c r="N25" s="128">
        <f>MAX(0,M25-M24)</f>
        <v/>
      </c>
      <c r="O25" s="127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RESUMO'!Y12</f>
        <v/>
      </c>
      <c r="N26" s="128">
        <f>MAX(0,M26-M25)</f>
        <v/>
      </c>
      <c r="O26" s="127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RESUMO'!Z12</f>
        <v/>
      </c>
      <c r="N27" s="128">
        <f>MAX(0,M27-M26)</f>
        <v/>
      </c>
      <c r="O27" s="127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RESUMO'!AA12</f>
        <v/>
      </c>
      <c r="N28" s="128">
        <f>MAX(0,M28-M27)</f>
        <v/>
      </c>
      <c r="O28" s="127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RESUMO'!AB12</f>
        <v/>
      </c>
      <c r="N29" s="128">
        <f>MAX(0,M29-M28)</f>
        <v/>
      </c>
      <c r="O29" s="127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RESUMO'!AC12</f>
        <v/>
      </c>
      <c r="N30" s="128">
        <f>MAX(0,M30-M29)</f>
        <v/>
      </c>
      <c r="O30" s="127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RESUMO'!AD12</f>
        <v/>
      </c>
      <c r="N31" s="128">
        <f>MAX(0,M31-M30)</f>
        <v/>
      </c>
      <c r="O31" s="127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RESUMO'!AE12</f>
        <v/>
      </c>
      <c r="N32" s="128">
        <f>MAX(0,M32-M31)</f>
        <v/>
      </c>
      <c r="O32" s="127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RESUMO'!AF12</f>
        <v/>
      </c>
      <c r="N33" s="128">
        <f>MAX(0,M33-M32)</f>
        <v/>
      </c>
      <c r="O33" s="127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RESUMO'!AG12</f>
        <v/>
      </c>
      <c r="N34" s="128">
        <f>MAX(0,M34-M33)</f>
        <v/>
      </c>
      <c r="O34" s="127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RESUMO'!AH12</f>
        <v/>
      </c>
      <c r="N35" s="128">
        <f>MAX(0,M35-M34)</f>
        <v/>
      </c>
      <c r="O35" s="127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RESUMO'!AI12</f>
        <v/>
      </c>
      <c r="N36" s="128">
        <f>MAX(0,M36-M35)</f>
        <v/>
      </c>
      <c r="O36" s="127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RESUMO'!AJ12</f>
        <v/>
      </c>
      <c r="N37" s="128">
        <f>MAX(0,M37-M36)</f>
        <v/>
      </c>
      <c r="O37" s="127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RESUMO'!AK12</f>
        <v/>
      </c>
      <c r="N38" s="128">
        <f>MAX(0,M38-M37)</f>
        <v/>
      </c>
      <c r="O38" s="127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RESUMO'!AL12</f>
        <v/>
      </c>
      <c r="N39" s="128">
        <f>MAX(0,M39-M38)</f>
        <v/>
      </c>
      <c r="O39" s="127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RESUMO'!AM12</f>
        <v/>
      </c>
      <c r="N40" s="128">
        <f>MAX(0,M40-M39)</f>
        <v/>
      </c>
      <c r="O40" s="127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RESUMO'!AN12</f>
        <v/>
      </c>
      <c r="N41" s="128">
        <f>MAX(0,M41-M40)</f>
        <v/>
      </c>
      <c r="O41" s="127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RESUMO'!AO12</f>
        <v/>
      </c>
      <c r="N42" s="128">
        <f>MAX(0,M42-M41)</f>
        <v/>
      </c>
      <c r="O42" s="127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RESUMO'!AP12</f>
        <v/>
      </c>
      <c r="N43" s="128">
        <f>MAX(0,M43-M42)</f>
        <v/>
      </c>
      <c r="O43" s="127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RESUMO'!AQ12</f>
        <v/>
      </c>
      <c r="N44" s="128">
        <f>MAX(0,M44-M43)</f>
        <v/>
      </c>
      <c r="O44" s="127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RESUMO'!AR12</f>
        <v/>
      </c>
      <c r="N45" s="128">
        <f>MAX(0,M45-M44)</f>
        <v/>
      </c>
      <c r="O45" s="127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RESUMO'!AS12</f>
        <v/>
      </c>
      <c r="N46" s="128">
        <f>MAX(0,M46-M45)</f>
        <v/>
      </c>
      <c r="O46" s="127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RESUMO'!AT12</f>
        <v/>
      </c>
      <c r="N47" s="128">
        <f>MAX(0,M47-M46)</f>
        <v/>
      </c>
      <c r="O47" s="127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RESUMO'!AU12</f>
        <v/>
      </c>
      <c r="N48" s="128">
        <f>MAX(0,M48-M47)</f>
        <v/>
      </c>
      <c r="O48" s="127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RESUMO'!AV12</f>
        <v/>
      </c>
      <c r="N49" s="128">
        <f>MAX(0,M49-M48)</f>
        <v/>
      </c>
      <c r="O49" s="127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RESUMO'!AW12</f>
        <v/>
      </c>
      <c r="N50" s="128">
        <f>MAX(0,M50-M49)</f>
        <v/>
      </c>
      <c r="O50" s="127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RESUMO'!AX12</f>
        <v/>
      </c>
      <c r="N51" s="128">
        <f>MAX(0,M51-M50)</f>
        <v/>
      </c>
      <c r="O51" s="127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RESUMO'!AY12</f>
        <v/>
      </c>
      <c r="N52" s="128">
        <f>MAX(0,M52-M51)</f>
        <v/>
      </c>
      <c r="O52" s="127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RESUMO'!AZ12</f>
        <v/>
      </c>
      <c r="N53" s="128">
        <f>MAX(0,M53-M52)</f>
        <v/>
      </c>
      <c r="O53" s="127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RESUMO'!BA12</f>
        <v/>
      </c>
      <c r="N54" s="128">
        <f>MAX(0,M54-M53)</f>
        <v/>
      </c>
      <c r="O54" s="127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RESUMO'!BB12</f>
        <v/>
      </c>
      <c r="N55" s="128">
        <f>MAX(0,M55-M54)</f>
        <v/>
      </c>
      <c r="O55" s="127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RESUMO'!BC12</f>
        <v/>
      </c>
      <c r="N56" s="128">
        <f>MAX(0,M56-M55)</f>
        <v/>
      </c>
      <c r="O56" s="127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RESUMO'!BD12</f>
        <v/>
      </c>
      <c r="N57" s="128">
        <f>MAX(0,M57-M56)</f>
        <v/>
      </c>
      <c r="O57" s="127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RESUMO'!BE12</f>
        <v/>
      </c>
      <c r="N58" s="128">
        <f>MAX(0,M58-M57)</f>
        <v/>
      </c>
      <c r="O58" s="127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RESUMO'!BF12</f>
        <v/>
      </c>
      <c r="N59" s="128">
        <f>MAX(0,M59-M58)</f>
        <v/>
      </c>
      <c r="O59" s="127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RESUMO'!BG12</f>
        <v/>
      </c>
      <c r="N60" s="128">
        <f>MAX(0,M60-M59)</f>
        <v/>
      </c>
      <c r="O60" s="127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RESUMO'!BH12</f>
        <v/>
      </c>
      <c r="N61" s="128">
        <f>MAX(0,M61-M60)</f>
        <v/>
      </c>
      <c r="O61" s="127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RESUMO'!BI12</f>
        <v/>
      </c>
      <c r="N62" s="128">
        <f>MAX(0,M62-M61)</f>
        <v/>
      </c>
      <c r="O62" s="127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RESUMO'!BJ12</f>
        <v/>
      </c>
      <c r="N63" s="128">
        <f>MAX(0,M63-M62)</f>
        <v/>
      </c>
      <c r="O63" s="127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RESUMO'!BK12</f>
        <v/>
      </c>
      <c r="N64" s="128">
        <f>MAX(0,M64-M63)</f>
        <v/>
      </c>
      <c r="O64" s="127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RESUMO'!BL12</f>
        <v/>
      </c>
      <c r="N65" s="128">
        <f>MAX(0,M65-M64)</f>
        <v/>
      </c>
      <c r="O65" s="127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RESUMO'!BM12</f>
        <v/>
      </c>
      <c r="N66" s="128">
        <f>MAX(0,M66-M65)</f>
        <v/>
      </c>
      <c r="O66" s="127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RESUMO'!BN12</f>
        <v/>
      </c>
      <c r="N67" s="128">
        <f>MAX(0,M67-M66)</f>
        <v/>
      </c>
      <c r="O67" s="127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RESUMO'!BO12</f>
        <v/>
      </c>
      <c r="N68" s="128">
        <f>MAX(0,M68-M67)</f>
        <v/>
      </c>
      <c r="O68" s="127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RESUMO'!BP12</f>
        <v/>
      </c>
      <c r="N69" s="128">
        <f>MAX(0,M69-M68)</f>
        <v/>
      </c>
      <c r="O69" s="127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RESUMO'!BQ12</f>
        <v/>
      </c>
      <c r="N70" s="128">
        <f>MAX(0,M70-M69)</f>
        <v/>
      </c>
      <c r="O70" s="127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RESUMO'!BR12</f>
        <v/>
      </c>
      <c r="N71" s="128">
        <f>MAX(0,M71-M70)</f>
        <v/>
      </c>
      <c r="O71" s="127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RESUMO'!BS12</f>
        <v/>
      </c>
      <c r="N72" s="128">
        <f>MAX(0,M72-M71)</f>
        <v/>
      </c>
      <c r="O72" s="127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RESUMO'!BT12</f>
        <v/>
      </c>
      <c r="N73" s="128">
        <f>MAX(0,M73-M72)</f>
        <v/>
      </c>
      <c r="O73" s="127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RESUMO'!BU12</f>
        <v/>
      </c>
      <c r="N74" s="128">
        <f>MAX(0,M74-M73)</f>
        <v/>
      </c>
      <c r="O74" s="127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RESUMO'!BV12</f>
        <v/>
      </c>
      <c r="N75" s="128">
        <f>MAX(0,M75-M74)</f>
        <v/>
      </c>
      <c r="O75" s="127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RESUMO'!BW12</f>
        <v/>
      </c>
      <c r="N76" s="128">
        <f>MAX(0,M76-M75)</f>
        <v/>
      </c>
      <c r="O76" s="127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PL'!D19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PL'!F19</f>
        <v/>
      </c>
      <c r="K5" s="63">
        <f>'VALOR POR PL'!G19</f>
        <v/>
      </c>
      <c r="M5" s="127">
        <f>'CP RESUMO'!D13</f>
        <v/>
      </c>
      <c r="N5" s="128" t="n">
        <v>0</v>
      </c>
      <c r="O5" s="127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RESUMO'!E13</f>
        <v/>
      </c>
      <c r="N6" s="128">
        <f>MAX(0,M6-M5)</f>
        <v/>
      </c>
      <c r="O6" s="127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PL'!L19</f>
        <v/>
      </c>
      <c r="M7" s="127">
        <f>'CP RESUMO'!F13</f>
        <v/>
      </c>
      <c r="N7" s="128">
        <f>MAX(0,M7-M6)</f>
        <v/>
      </c>
      <c r="O7" s="127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RESUMO'!G13</f>
        <v/>
      </c>
      <c r="N8" s="128">
        <f>MAX(0,M8-M7)</f>
        <v/>
      </c>
      <c r="O8" s="127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RESUMO'!H13</f>
        <v/>
      </c>
      <c r="N9" s="128">
        <f>MAX(0,M9-M8)</f>
        <v/>
      </c>
      <c r="O9" s="127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RESUMO'!I13</f>
        <v/>
      </c>
      <c r="N10" s="128">
        <f>MAX(0,M10-M9)</f>
        <v/>
      </c>
      <c r="O10" s="127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RESUMO'!J13</f>
        <v/>
      </c>
      <c r="N11" s="128">
        <f>MAX(0,M11-M10)</f>
        <v/>
      </c>
      <c r="O11" s="127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RESUMO'!K13</f>
        <v/>
      </c>
      <c r="N12" s="128">
        <f>MAX(0,M12-M11)</f>
        <v/>
      </c>
      <c r="O12" s="127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PL'!I19</f>
        <v/>
      </c>
      <c r="M13" s="127">
        <f>'CP RESUMO'!L13</f>
        <v/>
      </c>
      <c r="N13" s="128">
        <f>MAX(0,M13-M12)</f>
        <v/>
      </c>
      <c r="O13" s="127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M14" s="127">
        <f>'CP RESUMO'!M13</f>
        <v/>
      </c>
      <c r="N14" s="128">
        <f>MAX(0,M14-M13)</f>
        <v/>
      </c>
      <c r="O14" s="127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RESUMO'!N13</f>
        <v/>
      </c>
      <c r="N15" s="128">
        <f>MAX(0,M15-M14)</f>
        <v/>
      </c>
      <c r="O15" s="127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RESUMO'!O13</f>
        <v/>
      </c>
      <c r="N16" s="128">
        <f>MAX(0,M16-M15)</f>
        <v/>
      </c>
      <c r="O16" s="127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RESUMO'!P13</f>
        <v/>
      </c>
      <c r="N17" s="128">
        <f>MAX(0,M17-M16)</f>
        <v/>
      </c>
      <c r="O17" s="127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RESUMO'!Q13</f>
        <v/>
      </c>
      <c r="N18" s="128">
        <f>MAX(0,M18-M17)</f>
        <v/>
      </c>
      <c r="O18" s="127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RESUMO'!R13</f>
        <v/>
      </c>
      <c r="N19" s="128">
        <f>MAX(0,M19-M18)</f>
        <v/>
      </c>
      <c r="O19" s="127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RESUMO'!S13</f>
        <v/>
      </c>
      <c r="N20" s="128">
        <f>MAX(0,M20-M19)</f>
        <v/>
      </c>
      <c r="O20" s="127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RESUMO'!T13</f>
        <v/>
      </c>
      <c r="N21" s="128">
        <f>MAX(0,M21-M20)</f>
        <v/>
      </c>
      <c r="O21" s="127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RESUMO'!U13</f>
        <v/>
      </c>
      <c r="N22" s="128">
        <f>MAX(0,M22-M21)</f>
        <v/>
      </c>
      <c r="O22" s="127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RESUMO'!V13</f>
        <v/>
      </c>
      <c r="N23" s="128">
        <f>MAX(0,M23-M22)</f>
        <v/>
      </c>
      <c r="O23" s="127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RESUMO'!W13</f>
        <v/>
      </c>
      <c r="N24" s="128">
        <f>MAX(0,M24-M23)</f>
        <v/>
      </c>
      <c r="O24" s="127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RESUMO'!X13</f>
        <v/>
      </c>
      <c r="N25" s="128">
        <f>MAX(0,M25-M24)</f>
        <v/>
      </c>
      <c r="O25" s="127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RESUMO'!Y13</f>
        <v/>
      </c>
      <c r="N26" s="128">
        <f>MAX(0,M26-M25)</f>
        <v/>
      </c>
      <c r="O26" s="127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RESUMO'!Z13</f>
        <v/>
      </c>
      <c r="N27" s="128">
        <f>MAX(0,M27-M26)</f>
        <v/>
      </c>
      <c r="O27" s="127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RESUMO'!AA13</f>
        <v/>
      </c>
      <c r="N28" s="128">
        <f>MAX(0,M28-M27)</f>
        <v/>
      </c>
      <c r="O28" s="127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RESUMO'!AB13</f>
        <v/>
      </c>
      <c r="N29" s="128">
        <f>MAX(0,M29-M28)</f>
        <v/>
      </c>
      <c r="O29" s="127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RESUMO'!AC13</f>
        <v/>
      </c>
      <c r="N30" s="128">
        <f>MAX(0,M30-M29)</f>
        <v/>
      </c>
      <c r="O30" s="127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RESUMO'!AD13</f>
        <v/>
      </c>
      <c r="N31" s="128">
        <f>MAX(0,M31-M30)</f>
        <v/>
      </c>
      <c r="O31" s="127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RESUMO'!AE13</f>
        <v/>
      </c>
      <c r="N32" s="128">
        <f>MAX(0,M32-M31)</f>
        <v/>
      </c>
      <c r="O32" s="127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RESUMO'!AF13</f>
        <v/>
      </c>
      <c r="N33" s="128">
        <f>MAX(0,M33-M32)</f>
        <v/>
      </c>
      <c r="O33" s="127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RESUMO'!AG13</f>
        <v/>
      </c>
      <c r="N34" s="128">
        <f>MAX(0,M34-M33)</f>
        <v/>
      </c>
      <c r="O34" s="127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RESUMO'!AH13</f>
        <v/>
      </c>
      <c r="N35" s="128">
        <f>MAX(0,M35-M34)</f>
        <v/>
      </c>
      <c r="O35" s="127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RESUMO'!AI13</f>
        <v/>
      </c>
      <c r="N36" s="128">
        <f>MAX(0,M36-M35)</f>
        <v/>
      </c>
      <c r="O36" s="127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RESUMO'!AJ13</f>
        <v/>
      </c>
      <c r="N37" s="128">
        <f>MAX(0,M37-M36)</f>
        <v/>
      </c>
      <c r="O37" s="127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RESUMO'!AK13</f>
        <v/>
      </c>
      <c r="N38" s="128">
        <f>MAX(0,M38-M37)</f>
        <v/>
      </c>
      <c r="O38" s="127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RESUMO'!AL13</f>
        <v/>
      </c>
      <c r="N39" s="128">
        <f>MAX(0,M39-M38)</f>
        <v/>
      </c>
      <c r="O39" s="127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RESUMO'!AM13</f>
        <v/>
      </c>
      <c r="N40" s="128">
        <f>MAX(0,M40-M39)</f>
        <v/>
      </c>
      <c r="O40" s="127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RESUMO'!AN13</f>
        <v/>
      </c>
      <c r="N41" s="128">
        <f>MAX(0,M41-M40)</f>
        <v/>
      </c>
      <c r="O41" s="127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RESUMO'!AO13</f>
        <v/>
      </c>
      <c r="N42" s="128">
        <f>MAX(0,M42-M41)</f>
        <v/>
      </c>
      <c r="O42" s="127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RESUMO'!AP13</f>
        <v/>
      </c>
      <c r="N43" s="128">
        <f>MAX(0,M43-M42)</f>
        <v/>
      </c>
      <c r="O43" s="127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RESUMO'!AQ13</f>
        <v/>
      </c>
      <c r="N44" s="128">
        <f>MAX(0,M44-M43)</f>
        <v/>
      </c>
      <c r="O44" s="127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RESUMO'!AR13</f>
        <v/>
      </c>
      <c r="N45" s="128">
        <f>MAX(0,M45-M44)</f>
        <v/>
      </c>
      <c r="O45" s="127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RESUMO'!AS13</f>
        <v/>
      </c>
      <c r="N46" s="128">
        <f>MAX(0,M46-M45)</f>
        <v/>
      </c>
      <c r="O46" s="127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RESUMO'!AT13</f>
        <v/>
      </c>
      <c r="N47" s="128">
        <f>MAX(0,M47-M46)</f>
        <v/>
      </c>
      <c r="O47" s="127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RESUMO'!AU13</f>
        <v/>
      </c>
      <c r="N48" s="128">
        <f>MAX(0,M48-M47)</f>
        <v/>
      </c>
      <c r="O48" s="127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RESUMO'!AV13</f>
        <v/>
      </c>
      <c r="N49" s="128">
        <f>MAX(0,M49-M48)</f>
        <v/>
      </c>
      <c r="O49" s="127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RESUMO'!AW13</f>
        <v/>
      </c>
      <c r="N50" s="128">
        <f>MAX(0,M50-M49)</f>
        <v/>
      </c>
      <c r="O50" s="127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RESUMO'!AX13</f>
        <v/>
      </c>
      <c r="N51" s="128">
        <f>MAX(0,M51-M50)</f>
        <v/>
      </c>
      <c r="O51" s="127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RESUMO'!AY13</f>
        <v/>
      </c>
      <c r="N52" s="128">
        <f>MAX(0,M52-M51)</f>
        <v/>
      </c>
      <c r="O52" s="127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RESUMO'!AZ13</f>
        <v/>
      </c>
      <c r="N53" s="128">
        <f>MAX(0,M53-M52)</f>
        <v/>
      </c>
      <c r="O53" s="127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RESUMO'!BA13</f>
        <v/>
      </c>
      <c r="N54" s="128">
        <f>MAX(0,M54-M53)</f>
        <v/>
      </c>
      <c r="O54" s="127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RESUMO'!BB13</f>
        <v/>
      </c>
      <c r="N55" s="128">
        <f>MAX(0,M55-M54)</f>
        <v/>
      </c>
      <c r="O55" s="127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RESUMO'!BC13</f>
        <v/>
      </c>
      <c r="N56" s="128">
        <f>MAX(0,M56-M55)</f>
        <v/>
      </c>
      <c r="O56" s="127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RESUMO'!BD13</f>
        <v/>
      </c>
      <c r="N57" s="128">
        <f>MAX(0,M57-M56)</f>
        <v/>
      </c>
      <c r="O57" s="127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RESUMO'!BE13</f>
        <v/>
      </c>
      <c r="N58" s="128">
        <f>MAX(0,M58-M57)</f>
        <v/>
      </c>
      <c r="O58" s="127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RESUMO'!BF13</f>
        <v/>
      </c>
      <c r="N59" s="128">
        <f>MAX(0,M59-M58)</f>
        <v/>
      </c>
      <c r="O59" s="127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RESUMO'!BG13</f>
        <v/>
      </c>
      <c r="N60" s="128">
        <f>MAX(0,M60-M59)</f>
        <v/>
      </c>
      <c r="O60" s="127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RESUMO'!BH13</f>
        <v/>
      </c>
      <c r="N61" s="128">
        <f>MAX(0,M61-M60)</f>
        <v/>
      </c>
      <c r="O61" s="127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RESUMO'!BI13</f>
        <v/>
      </c>
      <c r="N62" s="128">
        <f>MAX(0,M62-M61)</f>
        <v/>
      </c>
      <c r="O62" s="127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RESUMO'!BJ13</f>
        <v/>
      </c>
      <c r="N63" s="128">
        <f>MAX(0,M63-M62)</f>
        <v/>
      </c>
      <c r="O63" s="127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RESUMO'!BK13</f>
        <v/>
      </c>
      <c r="N64" s="128">
        <f>MAX(0,M64-M63)</f>
        <v/>
      </c>
      <c r="O64" s="127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RESUMO'!BL13</f>
        <v/>
      </c>
      <c r="N65" s="128">
        <f>MAX(0,M65-M64)</f>
        <v/>
      </c>
      <c r="O65" s="127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RESUMO'!BM13</f>
        <v/>
      </c>
      <c r="N66" s="128">
        <f>MAX(0,M66-M65)</f>
        <v/>
      </c>
      <c r="O66" s="127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RESUMO'!BN13</f>
        <v/>
      </c>
      <c r="N67" s="128">
        <f>MAX(0,M67-M66)</f>
        <v/>
      </c>
      <c r="O67" s="127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RESUMO'!BO13</f>
        <v/>
      </c>
      <c r="N68" s="128">
        <f>MAX(0,M68-M67)</f>
        <v/>
      </c>
      <c r="O68" s="127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RESUMO'!BP13</f>
        <v/>
      </c>
      <c r="N69" s="128">
        <f>MAX(0,M69-M68)</f>
        <v/>
      </c>
      <c r="O69" s="127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RESUMO'!BQ13</f>
        <v/>
      </c>
      <c r="N70" s="128">
        <f>MAX(0,M70-M69)</f>
        <v/>
      </c>
      <c r="O70" s="127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RESUMO'!BR13</f>
        <v/>
      </c>
      <c r="N71" s="128">
        <f>MAX(0,M71-M70)</f>
        <v/>
      </c>
      <c r="O71" s="127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RESUMO'!BS13</f>
        <v/>
      </c>
      <c r="N72" s="128">
        <f>MAX(0,M72-M71)</f>
        <v/>
      </c>
      <c r="O72" s="127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RESUMO'!BT13</f>
        <v/>
      </c>
      <c r="N73" s="128">
        <f>MAX(0,M73-M72)</f>
        <v/>
      </c>
      <c r="O73" s="127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RESUMO'!BU13</f>
        <v/>
      </c>
      <c r="N74" s="128">
        <f>MAX(0,M74-M73)</f>
        <v/>
      </c>
      <c r="O74" s="127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RESUMO'!BV13</f>
        <v/>
      </c>
      <c r="N75" s="128">
        <f>MAX(0,M75-M74)</f>
        <v/>
      </c>
      <c r="O75" s="127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RESUMO'!BW13</f>
        <v/>
      </c>
      <c r="N76" s="128">
        <f>MAX(0,M76-M75)</f>
        <v/>
      </c>
      <c r="O76" s="127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PL'!F20</f>
        <v/>
      </c>
      <c r="K5" s="63">
        <f>'VALOR POR PL'!G20</f>
        <v/>
      </c>
      <c r="M5" s="127">
        <f>'CP RESUMO'!D14</f>
        <v/>
      </c>
      <c r="N5" s="128" t="n">
        <v>0</v>
      </c>
      <c r="O5" s="127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RESUMO'!E14</f>
        <v/>
      </c>
      <c r="N6" s="128">
        <f>MAX(0,M6-M5)</f>
        <v/>
      </c>
      <c r="O6" s="127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PL'!L20</f>
        <v/>
      </c>
      <c r="M7" s="127">
        <f>'CP RESUMO'!F14</f>
        <v/>
      </c>
      <c r="N7" s="128">
        <f>MAX(0,M7-M6)</f>
        <v/>
      </c>
      <c r="O7" s="127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RESUMO'!G14</f>
        <v/>
      </c>
      <c r="N8" s="128">
        <f>MAX(0,M8-M7)</f>
        <v/>
      </c>
      <c r="O8" s="127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RESUMO'!H14</f>
        <v/>
      </c>
      <c r="N9" s="128">
        <f>MAX(0,M9-M8)</f>
        <v/>
      </c>
      <c r="O9" s="127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RESUMO'!I14</f>
        <v/>
      </c>
      <c r="N10" s="128">
        <f>MAX(0,M10-M9)</f>
        <v/>
      </c>
      <c r="O10" s="127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RESUMO'!J14</f>
        <v/>
      </c>
      <c r="N11" s="128">
        <f>MAX(0,M11-M10)</f>
        <v/>
      </c>
      <c r="O11" s="127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RESUMO'!K14</f>
        <v/>
      </c>
      <c r="N12" s="128">
        <f>MAX(0,M12-M11)</f>
        <v/>
      </c>
      <c r="O12" s="127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PL'!I20</f>
        <v/>
      </c>
      <c r="M13" s="127">
        <f>'CP RESUMO'!L14</f>
        <v/>
      </c>
      <c r="N13" s="128">
        <f>MAX(0,M13-M12)</f>
        <v/>
      </c>
      <c r="O13" s="127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M14" s="127">
        <f>'CP RESUMO'!M14</f>
        <v/>
      </c>
      <c r="N14" s="128">
        <f>MAX(0,M14-M13)</f>
        <v/>
      </c>
      <c r="O14" s="127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RESUMO'!N14</f>
        <v/>
      </c>
      <c r="N15" s="128">
        <f>MAX(0,M15-M14)</f>
        <v/>
      </c>
      <c r="O15" s="127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RESUMO'!O14</f>
        <v/>
      </c>
      <c r="N16" s="128">
        <f>MAX(0,M16-M15)</f>
        <v/>
      </c>
      <c r="O16" s="127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RESUMO'!P14</f>
        <v/>
      </c>
      <c r="N17" s="128">
        <f>MAX(0,M17-M16)</f>
        <v/>
      </c>
      <c r="O17" s="127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RESUMO'!Q14</f>
        <v/>
      </c>
      <c r="N18" s="128">
        <f>MAX(0,M18-M17)</f>
        <v/>
      </c>
      <c r="O18" s="127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RESUMO'!R14</f>
        <v/>
      </c>
      <c r="N19" s="128">
        <f>MAX(0,M19-M18)</f>
        <v/>
      </c>
      <c r="O19" s="127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RESUMO'!S14</f>
        <v/>
      </c>
      <c r="N20" s="128">
        <f>MAX(0,M20-M19)</f>
        <v/>
      </c>
      <c r="O20" s="127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RESUMO'!T14</f>
        <v/>
      </c>
      <c r="N21" s="128">
        <f>MAX(0,M21-M20)</f>
        <v/>
      </c>
      <c r="O21" s="127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RESUMO'!U14</f>
        <v/>
      </c>
      <c r="N22" s="128">
        <f>MAX(0,M22-M21)</f>
        <v/>
      </c>
      <c r="O22" s="127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RESUMO'!V14</f>
        <v/>
      </c>
      <c r="N23" s="128">
        <f>MAX(0,M23-M22)</f>
        <v/>
      </c>
      <c r="O23" s="127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RESUMO'!W14</f>
        <v/>
      </c>
      <c r="N24" s="128">
        <f>MAX(0,M24-M23)</f>
        <v/>
      </c>
      <c r="O24" s="127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RESUMO'!X14</f>
        <v/>
      </c>
      <c r="N25" s="128">
        <f>MAX(0,M25-M24)</f>
        <v/>
      </c>
      <c r="O25" s="127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RESUMO'!Y14</f>
        <v/>
      </c>
      <c r="N26" s="128">
        <f>MAX(0,M26-M25)</f>
        <v/>
      </c>
      <c r="O26" s="127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RESUMO'!Z14</f>
        <v/>
      </c>
      <c r="N27" s="128">
        <f>MAX(0,M27-M26)</f>
        <v/>
      </c>
      <c r="O27" s="127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RESUMO'!AA14</f>
        <v/>
      </c>
      <c r="N28" s="128">
        <f>MAX(0,M28-M27)</f>
        <v/>
      </c>
      <c r="O28" s="127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RESUMO'!AB14</f>
        <v/>
      </c>
      <c r="N29" s="128">
        <f>MAX(0,M29-M28)</f>
        <v/>
      </c>
      <c r="O29" s="127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RESUMO'!AC14</f>
        <v/>
      </c>
      <c r="N30" s="128">
        <f>MAX(0,M30-M29)</f>
        <v/>
      </c>
      <c r="O30" s="127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RESUMO'!AD14</f>
        <v/>
      </c>
      <c r="N31" s="128">
        <f>MAX(0,M31-M30)</f>
        <v/>
      </c>
      <c r="O31" s="127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RESUMO'!AE14</f>
        <v/>
      </c>
      <c r="N32" s="128">
        <f>MAX(0,M32-M31)</f>
        <v/>
      </c>
      <c r="O32" s="127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RESUMO'!AF14</f>
        <v/>
      </c>
      <c r="N33" s="128">
        <f>MAX(0,M33-M32)</f>
        <v/>
      </c>
      <c r="O33" s="127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RESUMO'!AG14</f>
        <v/>
      </c>
      <c r="N34" s="128">
        <f>MAX(0,M34-M33)</f>
        <v/>
      </c>
      <c r="O34" s="127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RESUMO'!AH14</f>
        <v/>
      </c>
      <c r="N35" s="128">
        <f>MAX(0,M35-M34)</f>
        <v/>
      </c>
      <c r="O35" s="127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RESUMO'!AI14</f>
        <v/>
      </c>
      <c r="N36" s="128">
        <f>MAX(0,M36-M35)</f>
        <v/>
      </c>
      <c r="O36" s="127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RESUMO'!AJ14</f>
        <v/>
      </c>
      <c r="N37" s="128">
        <f>MAX(0,M37-M36)</f>
        <v/>
      </c>
      <c r="O37" s="127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RESUMO'!AK14</f>
        <v/>
      </c>
      <c r="N38" s="128">
        <f>MAX(0,M38-M37)</f>
        <v/>
      </c>
      <c r="O38" s="127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RESUMO'!AL14</f>
        <v/>
      </c>
      <c r="N39" s="128">
        <f>MAX(0,M39-M38)</f>
        <v/>
      </c>
      <c r="O39" s="127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RESUMO'!AM14</f>
        <v/>
      </c>
      <c r="N40" s="128">
        <f>MAX(0,M40-M39)</f>
        <v/>
      </c>
      <c r="O40" s="127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RESUMO'!AN14</f>
        <v/>
      </c>
      <c r="N41" s="128">
        <f>MAX(0,M41-M40)</f>
        <v/>
      </c>
      <c r="O41" s="127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RESUMO'!AO14</f>
        <v/>
      </c>
      <c r="N42" s="128">
        <f>MAX(0,M42-M41)</f>
        <v/>
      </c>
      <c r="O42" s="127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RESUMO'!AP14</f>
        <v/>
      </c>
      <c r="N43" s="128">
        <f>MAX(0,M43-M42)</f>
        <v/>
      </c>
      <c r="O43" s="127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RESUMO'!AQ14</f>
        <v/>
      </c>
      <c r="N44" s="128">
        <f>MAX(0,M44-M43)</f>
        <v/>
      </c>
      <c r="O44" s="127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RESUMO'!AR14</f>
        <v/>
      </c>
      <c r="N45" s="128">
        <f>MAX(0,M45-M44)</f>
        <v/>
      </c>
      <c r="O45" s="127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RESUMO'!AS14</f>
        <v/>
      </c>
      <c r="N46" s="128">
        <f>MAX(0,M46-M45)</f>
        <v/>
      </c>
      <c r="O46" s="127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RESUMO'!AT14</f>
        <v/>
      </c>
      <c r="N47" s="128">
        <f>MAX(0,M47-M46)</f>
        <v/>
      </c>
      <c r="O47" s="127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RESUMO'!AU14</f>
        <v/>
      </c>
      <c r="N48" s="128">
        <f>MAX(0,M48-M47)</f>
        <v/>
      </c>
      <c r="O48" s="127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RESUMO'!AV14</f>
        <v/>
      </c>
      <c r="N49" s="128">
        <f>MAX(0,M49-M48)</f>
        <v/>
      </c>
      <c r="O49" s="127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RESUMO'!AW14</f>
        <v/>
      </c>
      <c r="N50" s="128">
        <f>MAX(0,M50-M49)</f>
        <v/>
      </c>
      <c r="O50" s="127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RESUMO'!AX14</f>
        <v/>
      </c>
      <c r="N51" s="128">
        <f>MAX(0,M51-M50)</f>
        <v/>
      </c>
      <c r="O51" s="127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RESUMO'!AY14</f>
        <v/>
      </c>
      <c r="N52" s="128">
        <f>MAX(0,M52-M51)</f>
        <v/>
      </c>
      <c r="O52" s="127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RESUMO'!AZ14</f>
        <v/>
      </c>
      <c r="N53" s="128">
        <f>MAX(0,M53-M52)</f>
        <v/>
      </c>
      <c r="O53" s="127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RESUMO'!BA14</f>
        <v/>
      </c>
      <c r="N54" s="128">
        <f>MAX(0,M54-M53)</f>
        <v/>
      </c>
      <c r="O54" s="127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RESUMO'!BB14</f>
        <v/>
      </c>
      <c r="N55" s="128">
        <f>MAX(0,M55-M54)</f>
        <v/>
      </c>
      <c r="O55" s="127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RESUMO'!BC14</f>
        <v/>
      </c>
      <c r="N56" s="128">
        <f>MAX(0,M56-M55)</f>
        <v/>
      </c>
      <c r="O56" s="127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RESUMO'!BD14</f>
        <v/>
      </c>
      <c r="N57" s="128">
        <f>MAX(0,M57-M56)</f>
        <v/>
      </c>
      <c r="O57" s="127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RESUMO'!BE14</f>
        <v/>
      </c>
      <c r="N58" s="128">
        <f>MAX(0,M58-M57)</f>
        <v/>
      </c>
      <c r="O58" s="127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RESUMO'!BF14</f>
        <v/>
      </c>
      <c r="N59" s="128">
        <f>MAX(0,M59-M58)</f>
        <v/>
      </c>
      <c r="O59" s="127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RESUMO'!BG14</f>
        <v/>
      </c>
      <c r="N60" s="128">
        <f>MAX(0,M60-M59)</f>
        <v/>
      </c>
      <c r="O60" s="127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RESUMO'!BH14</f>
        <v/>
      </c>
      <c r="N61" s="128">
        <f>MAX(0,M61-M60)</f>
        <v/>
      </c>
      <c r="O61" s="127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RESUMO'!BI14</f>
        <v/>
      </c>
      <c r="N62" s="128">
        <f>MAX(0,M62-M61)</f>
        <v/>
      </c>
      <c r="O62" s="127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RESUMO'!BJ14</f>
        <v/>
      </c>
      <c r="N63" s="128">
        <f>MAX(0,M63-M62)</f>
        <v/>
      </c>
      <c r="O63" s="127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RESUMO'!BK14</f>
        <v/>
      </c>
      <c r="N64" s="128">
        <f>MAX(0,M64-M63)</f>
        <v/>
      </c>
      <c r="O64" s="127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RESUMO'!BL14</f>
        <v/>
      </c>
      <c r="N65" s="128">
        <f>MAX(0,M65-M64)</f>
        <v/>
      </c>
      <c r="O65" s="127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RESUMO'!BM14</f>
        <v/>
      </c>
      <c r="N66" s="128">
        <f>MAX(0,M66-M65)</f>
        <v/>
      </c>
      <c r="O66" s="127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RESUMO'!BN14</f>
        <v/>
      </c>
      <c r="N67" s="128">
        <f>MAX(0,M67-M66)</f>
        <v/>
      </c>
      <c r="O67" s="127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RESUMO'!BO14</f>
        <v/>
      </c>
      <c r="N68" s="128">
        <f>MAX(0,M68-M67)</f>
        <v/>
      </c>
      <c r="O68" s="127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RESUMO'!BP14</f>
        <v/>
      </c>
      <c r="N69" s="128">
        <f>MAX(0,M69-M68)</f>
        <v/>
      </c>
      <c r="O69" s="127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RESUMO'!BQ14</f>
        <v/>
      </c>
      <c r="N70" s="128">
        <f>MAX(0,M70-M69)</f>
        <v/>
      </c>
      <c r="O70" s="127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RESUMO'!BR14</f>
        <v/>
      </c>
      <c r="N71" s="128">
        <f>MAX(0,M71-M70)</f>
        <v/>
      </c>
      <c r="O71" s="127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RESUMO'!BS14</f>
        <v/>
      </c>
      <c r="N72" s="128">
        <f>MAX(0,M72-M71)</f>
        <v/>
      </c>
      <c r="O72" s="127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RESUMO'!BT14</f>
        <v/>
      </c>
      <c r="N73" s="128">
        <f>MAX(0,M73-M72)</f>
        <v/>
      </c>
      <c r="O73" s="127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RESUMO'!BU14</f>
        <v/>
      </c>
      <c r="N74" s="128">
        <f>MAX(0,M74-M73)</f>
        <v/>
      </c>
      <c r="O74" s="127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RESUMO'!BV14</f>
        <v/>
      </c>
      <c r="N75" s="128">
        <f>MAX(0,M75-M74)</f>
        <v/>
      </c>
      <c r="O75" s="127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RESUMO'!BW14</f>
        <v/>
      </c>
      <c r="N76" s="128">
        <f>MAX(0,M76-M75)</f>
        <v/>
      </c>
      <c r="O76" s="127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PL'!F21</f>
        <v/>
      </c>
      <c r="K5" s="63">
        <f>'VALOR POR PL'!G21</f>
        <v/>
      </c>
      <c r="M5" s="127">
        <f>'CP RESUMO'!D15</f>
        <v/>
      </c>
      <c r="N5" s="128" t="n">
        <v>0</v>
      </c>
      <c r="O5" s="127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RESUMO'!E15</f>
        <v/>
      </c>
      <c r="N6" s="128">
        <f>MAX(0,M6-M5)</f>
        <v/>
      </c>
      <c r="O6" s="127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PL'!L21</f>
        <v/>
      </c>
      <c r="M7" s="127">
        <f>'CP RESUMO'!F15</f>
        <v/>
      </c>
      <c r="N7" s="128">
        <f>MAX(0,M7-M6)</f>
        <v/>
      </c>
      <c r="O7" s="127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RESUMO'!G15</f>
        <v/>
      </c>
      <c r="N8" s="128">
        <f>MAX(0,M8-M7)</f>
        <v/>
      </c>
      <c r="O8" s="127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RESUMO'!H15</f>
        <v/>
      </c>
      <c r="N9" s="128">
        <f>MAX(0,M9-M8)</f>
        <v/>
      </c>
      <c r="O9" s="127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RESUMO'!I15</f>
        <v/>
      </c>
      <c r="N10" s="128">
        <f>MAX(0,M10-M9)</f>
        <v/>
      </c>
      <c r="O10" s="127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RESUMO'!J15</f>
        <v/>
      </c>
      <c r="N11" s="128">
        <f>MAX(0,M11-M10)</f>
        <v/>
      </c>
      <c r="O11" s="127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RESUMO'!K15</f>
        <v/>
      </c>
      <c r="N12" s="128">
        <f>MAX(0,M12-M11)</f>
        <v/>
      </c>
      <c r="O12" s="127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PL'!I21</f>
        <v/>
      </c>
      <c r="M13" s="127">
        <f>'CP RESUMO'!L15</f>
        <v/>
      </c>
      <c r="N13" s="128">
        <f>MAX(0,M13-M12)</f>
        <v/>
      </c>
      <c r="O13" s="127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M14" s="127">
        <f>'CP RESUMO'!M15</f>
        <v/>
      </c>
      <c r="N14" s="128">
        <f>MAX(0,M14-M13)</f>
        <v/>
      </c>
      <c r="O14" s="127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RESUMO'!N15</f>
        <v/>
      </c>
      <c r="N15" s="128">
        <f>MAX(0,M15-M14)</f>
        <v/>
      </c>
      <c r="O15" s="127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RESUMO'!O15</f>
        <v/>
      </c>
      <c r="N16" s="128">
        <f>MAX(0,M16-M15)</f>
        <v/>
      </c>
      <c r="O16" s="127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RESUMO'!P15</f>
        <v/>
      </c>
      <c r="N17" s="128">
        <f>MAX(0,M17-M16)</f>
        <v/>
      </c>
      <c r="O17" s="127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RESUMO'!Q15</f>
        <v/>
      </c>
      <c r="N18" s="128">
        <f>MAX(0,M18-M17)</f>
        <v/>
      </c>
      <c r="O18" s="127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RESUMO'!R15</f>
        <v/>
      </c>
      <c r="N19" s="128">
        <f>MAX(0,M19-M18)</f>
        <v/>
      </c>
      <c r="O19" s="127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RESUMO'!S15</f>
        <v/>
      </c>
      <c r="N20" s="128">
        <f>MAX(0,M20-M19)</f>
        <v/>
      </c>
      <c r="O20" s="127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RESUMO'!T15</f>
        <v/>
      </c>
      <c r="N21" s="128">
        <f>MAX(0,M21-M20)</f>
        <v/>
      </c>
      <c r="O21" s="127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RESUMO'!U15</f>
        <v/>
      </c>
      <c r="N22" s="128">
        <f>MAX(0,M22-M21)</f>
        <v/>
      </c>
      <c r="O22" s="127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RESUMO'!V15</f>
        <v/>
      </c>
      <c r="N23" s="128">
        <f>MAX(0,M23-M22)</f>
        <v/>
      </c>
      <c r="O23" s="127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RESUMO'!W15</f>
        <v/>
      </c>
      <c r="N24" s="128">
        <f>MAX(0,M24-M23)</f>
        <v/>
      </c>
      <c r="O24" s="127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RESUMO'!X15</f>
        <v/>
      </c>
      <c r="N25" s="128">
        <f>MAX(0,M25-M24)</f>
        <v/>
      </c>
      <c r="O25" s="127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RESUMO'!Y15</f>
        <v/>
      </c>
      <c r="N26" s="128">
        <f>MAX(0,M26-M25)</f>
        <v/>
      </c>
      <c r="O26" s="127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RESUMO'!Z15</f>
        <v/>
      </c>
      <c r="N27" s="128">
        <f>MAX(0,M27-M26)</f>
        <v/>
      </c>
      <c r="O27" s="127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RESUMO'!AA15</f>
        <v/>
      </c>
      <c r="N28" s="128">
        <f>MAX(0,M28-M27)</f>
        <v/>
      </c>
      <c r="O28" s="127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RESUMO'!AB15</f>
        <v/>
      </c>
      <c r="N29" s="128">
        <f>MAX(0,M29-M28)</f>
        <v/>
      </c>
      <c r="O29" s="127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RESUMO'!AC15</f>
        <v/>
      </c>
      <c r="N30" s="128">
        <f>MAX(0,M30-M29)</f>
        <v/>
      </c>
      <c r="O30" s="127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RESUMO'!AD15</f>
        <v/>
      </c>
      <c r="N31" s="128">
        <f>MAX(0,M31-M30)</f>
        <v/>
      </c>
      <c r="O31" s="127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RESUMO'!AE15</f>
        <v/>
      </c>
      <c r="N32" s="128">
        <f>MAX(0,M32-M31)</f>
        <v/>
      </c>
      <c r="O32" s="127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RESUMO'!AF15</f>
        <v/>
      </c>
      <c r="N33" s="128">
        <f>MAX(0,M33-M32)</f>
        <v/>
      </c>
      <c r="O33" s="127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RESUMO'!AG15</f>
        <v/>
      </c>
      <c r="N34" s="128">
        <f>MAX(0,M34-M33)</f>
        <v/>
      </c>
      <c r="O34" s="127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RESUMO'!AH15</f>
        <v/>
      </c>
      <c r="N35" s="128">
        <f>MAX(0,M35-M34)</f>
        <v/>
      </c>
      <c r="O35" s="127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RESUMO'!AI15</f>
        <v/>
      </c>
      <c r="N36" s="128">
        <f>MAX(0,M36-M35)</f>
        <v/>
      </c>
      <c r="O36" s="127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RESUMO'!AJ15</f>
        <v/>
      </c>
      <c r="N37" s="128">
        <f>MAX(0,M37-M36)</f>
        <v/>
      </c>
      <c r="O37" s="127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RESUMO'!AK15</f>
        <v/>
      </c>
      <c r="N38" s="128">
        <f>MAX(0,M38-M37)</f>
        <v/>
      </c>
      <c r="O38" s="127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RESUMO'!AL15</f>
        <v/>
      </c>
      <c r="N39" s="128">
        <f>MAX(0,M39-M38)</f>
        <v/>
      </c>
      <c r="O39" s="127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RESUMO'!AM15</f>
        <v/>
      </c>
      <c r="N40" s="128">
        <f>MAX(0,M40-M39)</f>
        <v/>
      </c>
      <c r="O40" s="127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RESUMO'!AN15</f>
        <v/>
      </c>
      <c r="N41" s="128">
        <f>MAX(0,M41-M40)</f>
        <v/>
      </c>
      <c r="O41" s="127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RESUMO'!AO15</f>
        <v/>
      </c>
      <c r="N42" s="128">
        <f>MAX(0,M42-M41)</f>
        <v/>
      </c>
      <c r="O42" s="127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RESUMO'!AP15</f>
        <v/>
      </c>
      <c r="N43" s="128">
        <f>MAX(0,M43-M42)</f>
        <v/>
      </c>
      <c r="O43" s="127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RESUMO'!AQ15</f>
        <v/>
      </c>
      <c r="N44" s="128">
        <f>MAX(0,M44-M43)</f>
        <v/>
      </c>
      <c r="O44" s="127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RESUMO'!AR15</f>
        <v/>
      </c>
      <c r="N45" s="128">
        <f>MAX(0,M45-M44)</f>
        <v/>
      </c>
      <c r="O45" s="127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RESUMO'!AS15</f>
        <v/>
      </c>
      <c r="N46" s="128">
        <f>MAX(0,M46-M45)</f>
        <v/>
      </c>
      <c r="O46" s="127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RESUMO'!AT15</f>
        <v/>
      </c>
      <c r="N47" s="128">
        <f>MAX(0,M47-M46)</f>
        <v/>
      </c>
      <c r="O47" s="127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RESUMO'!AU15</f>
        <v/>
      </c>
      <c r="N48" s="128">
        <f>MAX(0,M48-M47)</f>
        <v/>
      </c>
      <c r="O48" s="127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RESUMO'!AV15</f>
        <v/>
      </c>
      <c r="N49" s="128">
        <f>MAX(0,M49-M48)</f>
        <v/>
      </c>
      <c r="O49" s="127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RESUMO'!AW15</f>
        <v/>
      </c>
      <c r="N50" s="128">
        <f>MAX(0,M50-M49)</f>
        <v/>
      </c>
      <c r="O50" s="127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RESUMO'!AX15</f>
        <v/>
      </c>
      <c r="N51" s="128">
        <f>MAX(0,M51-M50)</f>
        <v/>
      </c>
      <c r="O51" s="127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RESUMO'!AY15</f>
        <v/>
      </c>
      <c r="N52" s="128">
        <f>MAX(0,M52-M51)</f>
        <v/>
      </c>
      <c r="O52" s="127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RESUMO'!AZ15</f>
        <v/>
      </c>
      <c r="N53" s="128">
        <f>MAX(0,M53-M52)</f>
        <v/>
      </c>
      <c r="O53" s="127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RESUMO'!BA15</f>
        <v/>
      </c>
      <c r="N54" s="128">
        <f>MAX(0,M54-M53)</f>
        <v/>
      </c>
      <c r="O54" s="127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RESUMO'!BB15</f>
        <v/>
      </c>
      <c r="N55" s="128">
        <f>MAX(0,M55-M54)</f>
        <v/>
      </c>
      <c r="O55" s="127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RESUMO'!BC15</f>
        <v/>
      </c>
      <c r="N56" s="128">
        <f>MAX(0,M56-M55)</f>
        <v/>
      </c>
      <c r="O56" s="127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RESUMO'!BD15</f>
        <v/>
      </c>
      <c r="N57" s="128">
        <f>MAX(0,M57-M56)</f>
        <v/>
      </c>
      <c r="O57" s="127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RESUMO'!BE15</f>
        <v/>
      </c>
      <c r="N58" s="128">
        <f>MAX(0,M58-M57)</f>
        <v/>
      </c>
      <c r="O58" s="127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RESUMO'!BF15</f>
        <v/>
      </c>
      <c r="N59" s="128">
        <f>MAX(0,M59-M58)</f>
        <v/>
      </c>
      <c r="O59" s="127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RESUMO'!BG15</f>
        <v/>
      </c>
      <c r="N60" s="128">
        <f>MAX(0,M60-M59)</f>
        <v/>
      </c>
      <c r="O60" s="127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RESUMO'!BH15</f>
        <v/>
      </c>
      <c r="N61" s="128">
        <f>MAX(0,M61-M60)</f>
        <v/>
      </c>
      <c r="O61" s="127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RESUMO'!BI15</f>
        <v/>
      </c>
      <c r="N62" s="128">
        <f>MAX(0,M62-M61)</f>
        <v/>
      </c>
      <c r="O62" s="127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RESUMO'!BJ15</f>
        <v/>
      </c>
      <c r="N63" s="128">
        <f>MAX(0,M63-M62)</f>
        <v/>
      </c>
      <c r="O63" s="127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RESUMO'!BK15</f>
        <v/>
      </c>
      <c r="N64" s="128">
        <f>MAX(0,M64-M63)</f>
        <v/>
      </c>
      <c r="O64" s="127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RESUMO'!BL15</f>
        <v/>
      </c>
      <c r="N65" s="128">
        <f>MAX(0,M65-M64)</f>
        <v/>
      </c>
      <c r="O65" s="127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RESUMO'!BM15</f>
        <v/>
      </c>
      <c r="N66" s="128">
        <f>MAX(0,M66-M65)</f>
        <v/>
      </c>
      <c r="O66" s="127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RESUMO'!BN15</f>
        <v/>
      </c>
      <c r="N67" s="128">
        <f>MAX(0,M67-M66)</f>
        <v/>
      </c>
      <c r="O67" s="127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RESUMO'!BO15</f>
        <v/>
      </c>
      <c r="N68" s="128">
        <f>MAX(0,M68-M67)</f>
        <v/>
      </c>
      <c r="O68" s="127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RESUMO'!BP15</f>
        <v/>
      </c>
      <c r="N69" s="128">
        <f>MAX(0,M69-M68)</f>
        <v/>
      </c>
      <c r="O69" s="127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RESUMO'!BQ15</f>
        <v/>
      </c>
      <c r="N70" s="128">
        <f>MAX(0,M70-M69)</f>
        <v/>
      </c>
      <c r="O70" s="127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RESUMO'!BR15</f>
        <v/>
      </c>
      <c r="N71" s="128">
        <f>MAX(0,M71-M70)</f>
        <v/>
      </c>
      <c r="O71" s="127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RESUMO'!BS15</f>
        <v/>
      </c>
      <c r="N72" s="128">
        <f>MAX(0,M72-M71)</f>
        <v/>
      </c>
      <c r="O72" s="127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RESUMO'!BT15</f>
        <v/>
      </c>
      <c r="N73" s="128">
        <f>MAX(0,M73-M72)</f>
        <v/>
      </c>
      <c r="O73" s="127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RESUMO'!BU15</f>
        <v/>
      </c>
      <c r="N74" s="128">
        <f>MAX(0,M74-M73)</f>
        <v/>
      </c>
      <c r="O74" s="127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RESUMO'!BV15</f>
        <v/>
      </c>
      <c r="N75" s="128">
        <f>MAX(0,M75-M74)</f>
        <v/>
      </c>
      <c r="O75" s="127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RESUMO'!BW15</f>
        <v/>
      </c>
      <c r="N76" s="128">
        <f>MAX(0,M76-M75)</f>
        <v/>
      </c>
      <c r="O76" s="127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PL'!F22</f>
        <v/>
      </c>
      <c r="K5" s="63">
        <f>'VALOR POR PL'!G22</f>
        <v/>
      </c>
      <c r="M5" s="127">
        <f>'CP RESUMO'!D16</f>
        <v/>
      </c>
      <c r="N5" s="128" t="n">
        <v>0</v>
      </c>
      <c r="O5" s="127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RESUMO'!E16</f>
        <v/>
      </c>
      <c r="N6" s="128">
        <f>MAX(0,M6-M5)</f>
        <v/>
      </c>
      <c r="O6" s="127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PL'!L22</f>
        <v/>
      </c>
      <c r="M7" s="127">
        <f>'CP RESUMO'!F16</f>
        <v/>
      </c>
      <c r="N7" s="128">
        <f>MAX(0,M7-M6)</f>
        <v/>
      </c>
      <c r="O7" s="127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RESUMO'!G16</f>
        <v/>
      </c>
      <c r="N8" s="128">
        <f>MAX(0,M8-M7)</f>
        <v/>
      </c>
      <c r="O8" s="127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RESUMO'!H16</f>
        <v/>
      </c>
      <c r="N9" s="128">
        <f>MAX(0,M9-M8)</f>
        <v/>
      </c>
      <c r="O9" s="127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RESUMO'!I16</f>
        <v/>
      </c>
      <c r="N10" s="128">
        <f>MAX(0,M10-M9)</f>
        <v/>
      </c>
      <c r="O10" s="127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RESUMO'!J16</f>
        <v/>
      </c>
      <c r="N11" s="128">
        <f>MAX(0,M11-M10)</f>
        <v/>
      </c>
      <c r="O11" s="127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RESUMO'!K16</f>
        <v/>
      </c>
      <c r="N12" s="128">
        <f>MAX(0,M12-M11)</f>
        <v/>
      </c>
      <c r="O12" s="127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PL'!I22</f>
        <v/>
      </c>
      <c r="M13" s="127">
        <f>'CP RESUMO'!L16</f>
        <v/>
      </c>
      <c r="N13" s="128">
        <f>MAX(0,M13-M12)</f>
        <v/>
      </c>
      <c r="O13" s="127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M14" s="127">
        <f>'CP RESUMO'!M16</f>
        <v/>
      </c>
      <c r="N14" s="128">
        <f>MAX(0,M14-M13)</f>
        <v/>
      </c>
      <c r="O14" s="127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RESUMO'!N16</f>
        <v/>
      </c>
      <c r="N15" s="128">
        <f>MAX(0,M15-M14)</f>
        <v/>
      </c>
      <c r="O15" s="127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RESUMO'!O16</f>
        <v/>
      </c>
      <c r="N16" s="128">
        <f>MAX(0,M16-M15)</f>
        <v/>
      </c>
      <c r="O16" s="127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RESUMO'!P16</f>
        <v/>
      </c>
      <c r="N17" s="128">
        <f>MAX(0,M17-M16)</f>
        <v/>
      </c>
      <c r="O17" s="127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RESUMO'!Q16</f>
        <v/>
      </c>
      <c r="N18" s="128">
        <f>MAX(0,M18-M17)</f>
        <v/>
      </c>
      <c r="O18" s="127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RESUMO'!R16</f>
        <v/>
      </c>
      <c r="N19" s="128">
        <f>MAX(0,M19-M18)</f>
        <v/>
      </c>
      <c r="O19" s="127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RESUMO'!S16</f>
        <v/>
      </c>
      <c r="N20" s="128">
        <f>MAX(0,M20-M19)</f>
        <v/>
      </c>
      <c r="O20" s="127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RESUMO'!T16</f>
        <v/>
      </c>
      <c r="N21" s="128">
        <f>MAX(0,M21-M20)</f>
        <v/>
      </c>
      <c r="O21" s="127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RESUMO'!U16</f>
        <v/>
      </c>
      <c r="N22" s="128">
        <f>MAX(0,M22-M21)</f>
        <v/>
      </c>
      <c r="O22" s="127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RESUMO'!V16</f>
        <v/>
      </c>
      <c r="N23" s="128">
        <f>MAX(0,M23-M22)</f>
        <v/>
      </c>
      <c r="O23" s="127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RESUMO'!W16</f>
        <v/>
      </c>
      <c r="N24" s="128">
        <f>MAX(0,M24-M23)</f>
        <v/>
      </c>
      <c r="O24" s="127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RESUMO'!X16</f>
        <v/>
      </c>
      <c r="N25" s="128">
        <f>MAX(0,M25-M24)</f>
        <v/>
      </c>
      <c r="O25" s="127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RESUMO'!Y16</f>
        <v/>
      </c>
      <c r="N26" s="128">
        <f>MAX(0,M26-M25)</f>
        <v/>
      </c>
      <c r="O26" s="127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RESUMO'!Z16</f>
        <v/>
      </c>
      <c r="N27" s="128">
        <f>MAX(0,M27-M26)</f>
        <v/>
      </c>
      <c r="O27" s="127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RESUMO'!AA16</f>
        <v/>
      </c>
      <c r="N28" s="128">
        <f>MAX(0,M28-M27)</f>
        <v/>
      </c>
      <c r="O28" s="127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RESUMO'!AB16</f>
        <v/>
      </c>
      <c r="N29" s="128">
        <f>MAX(0,M29-M28)</f>
        <v/>
      </c>
      <c r="O29" s="127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RESUMO'!AC16</f>
        <v/>
      </c>
      <c r="N30" s="128">
        <f>MAX(0,M30-M29)</f>
        <v/>
      </c>
      <c r="O30" s="127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RESUMO'!AD16</f>
        <v/>
      </c>
      <c r="N31" s="128">
        <f>MAX(0,M31-M30)</f>
        <v/>
      </c>
      <c r="O31" s="127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RESUMO'!AE16</f>
        <v/>
      </c>
      <c r="N32" s="128">
        <f>MAX(0,M32-M31)</f>
        <v/>
      </c>
      <c r="O32" s="127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RESUMO'!AF16</f>
        <v/>
      </c>
      <c r="N33" s="128">
        <f>MAX(0,M33-M32)</f>
        <v/>
      </c>
      <c r="O33" s="127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RESUMO'!AG16</f>
        <v/>
      </c>
      <c r="N34" s="128">
        <f>MAX(0,M34-M33)</f>
        <v/>
      </c>
      <c r="O34" s="127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RESUMO'!AH16</f>
        <v/>
      </c>
      <c r="N35" s="128">
        <f>MAX(0,M35-M34)</f>
        <v/>
      </c>
      <c r="O35" s="127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RESUMO'!AI16</f>
        <v/>
      </c>
      <c r="N36" s="128">
        <f>MAX(0,M36-M35)</f>
        <v/>
      </c>
      <c r="O36" s="127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RESUMO'!AJ16</f>
        <v/>
      </c>
      <c r="N37" s="128">
        <f>MAX(0,M37-M36)</f>
        <v/>
      </c>
      <c r="O37" s="127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RESUMO'!AK16</f>
        <v/>
      </c>
      <c r="N38" s="128">
        <f>MAX(0,M38-M37)</f>
        <v/>
      </c>
      <c r="O38" s="127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RESUMO'!AL16</f>
        <v/>
      </c>
      <c r="N39" s="128">
        <f>MAX(0,M39-M38)</f>
        <v/>
      </c>
      <c r="O39" s="127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RESUMO'!AM16</f>
        <v/>
      </c>
      <c r="N40" s="128">
        <f>MAX(0,M40-M39)</f>
        <v/>
      </c>
      <c r="O40" s="127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RESUMO'!AN16</f>
        <v/>
      </c>
      <c r="N41" s="128">
        <f>MAX(0,M41-M40)</f>
        <v/>
      </c>
      <c r="O41" s="127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RESUMO'!AO16</f>
        <v/>
      </c>
      <c r="N42" s="128">
        <f>MAX(0,M42-M41)</f>
        <v/>
      </c>
      <c r="O42" s="127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RESUMO'!AP16</f>
        <v/>
      </c>
      <c r="N43" s="128">
        <f>MAX(0,M43-M42)</f>
        <v/>
      </c>
      <c r="O43" s="127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RESUMO'!AQ16</f>
        <v/>
      </c>
      <c r="N44" s="128">
        <f>MAX(0,M44-M43)</f>
        <v/>
      </c>
      <c r="O44" s="127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RESUMO'!AR16</f>
        <v/>
      </c>
      <c r="N45" s="128">
        <f>MAX(0,M45-M44)</f>
        <v/>
      </c>
      <c r="O45" s="127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RESUMO'!AS16</f>
        <v/>
      </c>
      <c r="N46" s="128">
        <f>MAX(0,M46-M45)</f>
        <v/>
      </c>
      <c r="O46" s="127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RESUMO'!AT16</f>
        <v/>
      </c>
      <c r="N47" s="128">
        <f>MAX(0,M47-M46)</f>
        <v/>
      </c>
      <c r="O47" s="127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RESUMO'!AU16</f>
        <v/>
      </c>
      <c r="N48" s="128">
        <f>MAX(0,M48-M47)</f>
        <v/>
      </c>
      <c r="O48" s="127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RESUMO'!AV16</f>
        <v/>
      </c>
      <c r="N49" s="128">
        <f>MAX(0,M49-M48)</f>
        <v/>
      </c>
      <c r="O49" s="127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RESUMO'!AW16</f>
        <v/>
      </c>
      <c r="N50" s="128">
        <f>MAX(0,M50-M49)</f>
        <v/>
      </c>
      <c r="O50" s="127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RESUMO'!AX16</f>
        <v/>
      </c>
      <c r="N51" s="128">
        <f>MAX(0,M51-M50)</f>
        <v/>
      </c>
      <c r="O51" s="127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RESUMO'!AY16</f>
        <v/>
      </c>
      <c r="N52" s="128">
        <f>MAX(0,M52-M51)</f>
        <v/>
      </c>
      <c r="O52" s="127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RESUMO'!AZ16</f>
        <v/>
      </c>
      <c r="N53" s="128">
        <f>MAX(0,M53-M52)</f>
        <v/>
      </c>
      <c r="O53" s="127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RESUMO'!BA16</f>
        <v/>
      </c>
      <c r="N54" s="128">
        <f>MAX(0,M54-M53)</f>
        <v/>
      </c>
      <c r="O54" s="127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RESUMO'!BB16</f>
        <v/>
      </c>
      <c r="N55" s="128">
        <f>MAX(0,M55-M54)</f>
        <v/>
      </c>
      <c r="O55" s="127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RESUMO'!BC16</f>
        <v/>
      </c>
      <c r="N56" s="128">
        <f>MAX(0,M56-M55)</f>
        <v/>
      </c>
      <c r="O56" s="127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RESUMO'!BD16</f>
        <v/>
      </c>
      <c r="N57" s="128">
        <f>MAX(0,M57-M56)</f>
        <v/>
      </c>
      <c r="O57" s="127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RESUMO'!BE16</f>
        <v/>
      </c>
      <c r="N58" s="128">
        <f>MAX(0,M58-M57)</f>
        <v/>
      </c>
      <c r="O58" s="127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RESUMO'!BF16</f>
        <v/>
      </c>
      <c r="N59" s="128">
        <f>MAX(0,M59-M58)</f>
        <v/>
      </c>
      <c r="O59" s="127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RESUMO'!BG16</f>
        <v/>
      </c>
      <c r="N60" s="128">
        <f>MAX(0,M60-M59)</f>
        <v/>
      </c>
      <c r="O60" s="127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RESUMO'!BH16</f>
        <v/>
      </c>
      <c r="N61" s="128">
        <f>MAX(0,M61-M60)</f>
        <v/>
      </c>
      <c r="O61" s="127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RESUMO'!BI16</f>
        <v/>
      </c>
      <c r="N62" s="128">
        <f>MAX(0,M62-M61)</f>
        <v/>
      </c>
      <c r="O62" s="127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RESUMO'!BJ16</f>
        <v/>
      </c>
      <c r="N63" s="128">
        <f>MAX(0,M63-M62)</f>
        <v/>
      </c>
      <c r="O63" s="127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RESUMO'!BK16</f>
        <v/>
      </c>
      <c r="N64" s="128">
        <f>MAX(0,M64-M63)</f>
        <v/>
      </c>
      <c r="O64" s="127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RESUMO'!BL16</f>
        <v/>
      </c>
      <c r="N65" s="128">
        <f>MAX(0,M65-M64)</f>
        <v/>
      </c>
      <c r="O65" s="127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RESUMO'!BM16</f>
        <v/>
      </c>
      <c r="N66" s="128">
        <f>MAX(0,M66-M65)</f>
        <v/>
      </c>
      <c r="O66" s="127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RESUMO'!BN16</f>
        <v/>
      </c>
      <c r="N67" s="128">
        <f>MAX(0,M67-M66)</f>
        <v/>
      </c>
      <c r="O67" s="127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RESUMO'!BO16</f>
        <v/>
      </c>
      <c r="N68" s="128">
        <f>MAX(0,M68-M67)</f>
        <v/>
      </c>
      <c r="O68" s="127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RESUMO'!BP16</f>
        <v/>
      </c>
      <c r="N69" s="128">
        <f>MAX(0,M69-M68)</f>
        <v/>
      </c>
      <c r="O69" s="127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RESUMO'!BQ16</f>
        <v/>
      </c>
      <c r="N70" s="128">
        <f>MAX(0,M70-M69)</f>
        <v/>
      </c>
      <c r="O70" s="127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RESUMO'!BR16</f>
        <v/>
      </c>
      <c r="N71" s="128">
        <f>MAX(0,M71-M70)</f>
        <v/>
      </c>
      <c r="O71" s="127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RESUMO'!BS16</f>
        <v/>
      </c>
      <c r="N72" s="128">
        <f>MAX(0,M72-M71)</f>
        <v/>
      </c>
      <c r="O72" s="127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RESUMO'!BT16</f>
        <v/>
      </c>
      <c r="N73" s="128">
        <f>MAX(0,M73-M72)</f>
        <v/>
      </c>
      <c r="O73" s="127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RESUMO'!BU16</f>
        <v/>
      </c>
      <c r="N74" s="128">
        <f>MAX(0,M74-M73)</f>
        <v/>
      </c>
      <c r="O74" s="127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RESUMO'!BV16</f>
        <v/>
      </c>
      <c r="N75" s="128">
        <f>MAX(0,M75-M74)</f>
        <v/>
      </c>
      <c r="O75" s="127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RESUMO'!BW16</f>
        <v/>
      </c>
      <c r="N76" s="128">
        <f>MAX(0,M76-M75)</f>
        <v/>
      </c>
      <c r="O76" s="127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PL'!F23</f>
        <v/>
      </c>
      <c r="K5" s="63">
        <f>'VALOR POR PL'!G23</f>
        <v/>
      </c>
      <c r="M5" s="127">
        <f>'CP RESUMO'!D17</f>
        <v/>
      </c>
      <c r="N5" s="128" t="n">
        <v>0</v>
      </c>
      <c r="O5" s="127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RESUMO'!E17</f>
        <v/>
      </c>
      <c r="N6" s="128">
        <f>MAX(0,M6-M5)</f>
        <v/>
      </c>
      <c r="O6" s="127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PL'!L23</f>
        <v/>
      </c>
      <c r="M7" s="127">
        <f>'CP RESUMO'!F17</f>
        <v/>
      </c>
      <c r="N7" s="128">
        <f>MAX(0,M7-M6)</f>
        <v/>
      </c>
      <c r="O7" s="127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RESUMO'!G17</f>
        <v/>
      </c>
      <c r="N8" s="128">
        <f>MAX(0,M8-M7)</f>
        <v/>
      </c>
      <c r="O8" s="127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RESUMO'!H17</f>
        <v/>
      </c>
      <c r="N9" s="128">
        <f>MAX(0,M9-M8)</f>
        <v/>
      </c>
      <c r="O9" s="127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RESUMO'!I17</f>
        <v/>
      </c>
      <c r="N10" s="128">
        <f>MAX(0,M10-M9)</f>
        <v/>
      </c>
      <c r="O10" s="127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RESUMO'!J17</f>
        <v/>
      </c>
      <c r="N11" s="128">
        <f>MAX(0,M11-M10)</f>
        <v/>
      </c>
      <c r="O11" s="127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RESUMO'!K17</f>
        <v/>
      </c>
      <c r="N12" s="128">
        <f>MAX(0,M12-M11)</f>
        <v/>
      </c>
      <c r="O12" s="127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PL'!I23</f>
        <v/>
      </c>
      <c r="M13" s="127">
        <f>'CP RESUMO'!L17</f>
        <v/>
      </c>
      <c r="N13" s="128">
        <f>MAX(0,M13-M12)</f>
        <v/>
      </c>
      <c r="O13" s="127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M14" s="127">
        <f>'CP RESUMO'!M17</f>
        <v/>
      </c>
      <c r="N14" s="128">
        <f>MAX(0,M14-M13)</f>
        <v/>
      </c>
      <c r="O14" s="127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RESUMO'!N17</f>
        <v/>
      </c>
      <c r="N15" s="128">
        <f>MAX(0,M15-M14)</f>
        <v/>
      </c>
      <c r="O15" s="127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RESUMO'!O17</f>
        <v/>
      </c>
      <c r="N16" s="128">
        <f>MAX(0,M16-M15)</f>
        <v/>
      </c>
      <c r="O16" s="127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RESUMO'!P17</f>
        <v/>
      </c>
      <c r="N17" s="128">
        <f>MAX(0,M17-M16)</f>
        <v/>
      </c>
      <c r="O17" s="127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RESUMO'!Q17</f>
        <v/>
      </c>
      <c r="N18" s="128">
        <f>MAX(0,M18-M17)</f>
        <v/>
      </c>
      <c r="O18" s="127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RESUMO'!R17</f>
        <v/>
      </c>
      <c r="N19" s="128">
        <f>MAX(0,M19-M18)</f>
        <v/>
      </c>
      <c r="O19" s="127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RESUMO'!S17</f>
        <v/>
      </c>
      <c r="N20" s="128">
        <f>MAX(0,M20-M19)</f>
        <v/>
      </c>
      <c r="O20" s="127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RESUMO'!T17</f>
        <v/>
      </c>
      <c r="N21" s="128">
        <f>MAX(0,M21-M20)</f>
        <v/>
      </c>
      <c r="O21" s="127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RESUMO'!U17</f>
        <v/>
      </c>
      <c r="N22" s="128">
        <f>MAX(0,M22-M21)</f>
        <v/>
      </c>
      <c r="O22" s="127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RESUMO'!V17</f>
        <v/>
      </c>
      <c r="N23" s="128">
        <f>MAX(0,M23-M22)</f>
        <v/>
      </c>
      <c r="O23" s="127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RESUMO'!W17</f>
        <v/>
      </c>
      <c r="N24" s="128">
        <f>MAX(0,M24-M23)</f>
        <v/>
      </c>
      <c r="O24" s="127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RESUMO'!X17</f>
        <v/>
      </c>
      <c r="N25" s="128">
        <f>MAX(0,M25-M24)</f>
        <v/>
      </c>
      <c r="O25" s="127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RESUMO'!Y17</f>
        <v/>
      </c>
      <c r="N26" s="128">
        <f>MAX(0,M26-M25)</f>
        <v/>
      </c>
      <c r="O26" s="127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RESUMO'!Z17</f>
        <v/>
      </c>
      <c r="N27" s="128">
        <f>MAX(0,M27-M26)</f>
        <v/>
      </c>
      <c r="O27" s="127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RESUMO'!AA17</f>
        <v/>
      </c>
      <c r="N28" s="128">
        <f>MAX(0,M28-M27)</f>
        <v/>
      </c>
      <c r="O28" s="127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RESUMO'!AB17</f>
        <v/>
      </c>
      <c r="N29" s="128">
        <f>MAX(0,M29-M28)</f>
        <v/>
      </c>
      <c r="O29" s="127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RESUMO'!AC17</f>
        <v/>
      </c>
      <c r="N30" s="128">
        <f>MAX(0,M30-M29)</f>
        <v/>
      </c>
      <c r="O30" s="127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RESUMO'!AD17</f>
        <v/>
      </c>
      <c r="N31" s="128">
        <f>MAX(0,M31-M30)</f>
        <v/>
      </c>
      <c r="O31" s="127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RESUMO'!AE17</f>
        <v/>
      </c>
      <c r="N32" s="128">
        <f>MAX(0,M32-M31)</f>
        <v/>
      </c>
      <c r="O32" s="127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RESUMO'!AF17</f>
        <v/>
      </c>
      <c r="N33" s="128">
        <f>MAX(0,M33-M32)</f>
        <v/>
      </c>
      <c r="O33" s="127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RESUMO'!AG17</f>
        <v/>
      </c>
      <c r="N34" s="128">
        <f>MAX(0,M34-M33)</f>
        <v/>
      </c>
      <c r="O34" s="127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RESUMO'!AH17</f>
        <v/>
      </c>
      <c r="N35" s="128">
        <f>MAX(0,M35-M34)</f>
        <v/>
      </c>
      <c r="O35" s="127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RESUMO'!AI17</f>
        <v/>
      </c>
      <c r="N36" s="128">
        <f>MAX(0,M36-M35)</f>
        <v/>
      </c>
      <c r="O36" s="127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RESUMO'!AJ17</f>
        <v/>
      </c>
      <c r="N37" s="128">
        <f>MAX(0,M37-M36)</f>
        <v/>
      </c>
      <c r="O37" s="127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RESUMO'!AK17</f>
        <v/>
      </c>
      <c r="N38" s="128">
        <f>MAX(0,M38-M37)</f>
        <v/>
      </c>
      <c r="O38" s="127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RESUMO'!AL17</f>
        <v/>
      </c>
      <c r="N39" s="128">
        <f>MAX(0,M39-M38)</f>
        <v/>
      </c>
      <c r="O39" s="127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RESUMO'!AM17</f>
        <v/>
      </c>
      <c r="N40" s="128">
        <f>MAX(0,M40-M39)</f>
        <v/>
      </c>
      <c r="O40" s="127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RESUMO'!AN17</f>
        <v/>
      </c>
      <c r="N41" s="128">
        <f>MAX(0,M41-M40)</f>
        <v/>
      </c>
      <c r="O41" s="127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RESUMO'!AO17</f>
        <v/>
      </c>
      <c r="N42" s="128">
        <f>MAX(0,M42-M41)</f>
        <v/>
      </c>
      <c r="O42" s="127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RESUMO'!AP17</f>
        <v/>
      </c>
      <c r="N43" s="128">
        <f>MAX(0,M43-M42)</f>
        <v/>
      </c>
      <c r="O43" s="127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RESUMO'!AQ17</f>
        <v/>
      </c>
      <c r="N44" s="128">
        <f>MAX(0,M44-M43)</f>
        <v/>
      </c>
      <c r="O44" s="127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RESUMO'!AR17</f>
        <v/>
      </c>
      <c r="N45" s="128">
        <f>MAX(0,M45-M44)</f>
        <v/>
      </c>
      <c r="O45" s="127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RESUMO'!AS17</f>
        <v/>
      </c>
      <c r="N46" s="128">
        <f>MAX(0,M46-M45)</f>
        <v/>
      </c>
      <c r="O46" s="127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RESUMO'!AT17</f>
        <v/>
      </c>
      <c r="N47" s="128">
        <f>MAX(0,M47-M46)</f>
        <v/>
      </c>
      <c r="O47" s="127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RESUMO'!AU17</f>
        <v/>
      </c>
      <c r="N48" s="128">
        <f>MAX(0,M48-M47)</f>
        <v/>
      </c>
      <c r="O48" s="127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RESUMO'!AV17</f>
        <v/>
      </c>
      <c r="N49" s="128">
        <f>MAX(0,M49-M48)</f>
        <v/>
      </c>
      <c r="O49" s="127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RESUMO'!AW17</f>
        <v/>
      </c>
      <c r="N50" s="128">
        <f>MAX(0,M50-M49)</f>
        <v/>
      </c>
      <c r="O50" s="127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RESUMO'!AX17</f>
        <v/>
      </c>
      <c r="N51" s="128">
        <f>MAX(0,M51-M50)</f>
        <v/>
      </c>
      <c r="O51" s="127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RESUMO'!AY17</f>
        <v/>
      </c>
      <c r="N52" s="128">
        <f>MAX(0,M52-M51)</f>
        <v/>
      </c>
      <c r="O52" s="127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RESUMO'!AZ17</f>
        <v/>
      </c>
      <c r="N53" s="128">
        <f>MAX(0,M53-M52)</f>
        <v/>
      </c>
      <c r="O53" s="127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RESUMO'!BA17</f>
        <v/>
      </c>
      <c r="N54" s="128">
        <f>MAX(0,M54-M53)</f>
        <v/>
      </c>
      <c r="O54" s="127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RESUMO'!BB17</f>
        <v/>
      </c>
      <c r="N55" s="128">
        <f>MAX(0,M55-M54)</f>
        <v/>
      </c>
      <c r="O55" s="127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RESUMO'!BC17</f>
        <v/>
      </c>
      <c r="N56" s="128">
        <f>MAX(0,M56-M55)</f>
        <v/>
      </c>
      <c r="O56" s="127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RESUMO'!BD17</f>
        <v/>
      </c>
      <c r="N57" s="128">
        <f>MAX(0,M57-M56)</f>
        <v/>
      </c>
      <c r="O57" s="127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RESUMO'!BE17</f>
        <v/>
      </c>
      <c r="N58" s="128">
        <f>MAX(0,M58-M57)</f>
        <v/>
      </c>
      <c r="O58" s="127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RESUMO'!BF17</f>
        <v/>
      </c>
      <c r="N59" s="128">
        <f>MAX(0,M59-M58)</f>
        <v/>
      </c>
      <c r="O59" s="127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RESUMO'!BG17</f>
        <v/>
      </c>
      <c r="N60" s="128">
        <f>MAX(0,M60-M59)</f>
        <v/>
      </c>
      <c r="O60" s="127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RESUMO'!BH17</f>
        <v/>
      </c>
      <c r="N61" s="128">
        <f>MAX(0,M61-M60)</f>
        <v/>
      </c>
      <c r="O61" s="127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RESUMO'!BI17</f>
        <v/>
      </c>
      <c r="N62" s="128">
        <f>MAX(0,M62-M61)</f>
        <v/>
      </c>
      <c r="O62" s="127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RESUMO'!BJ17</f>
        <v/>
      </c>
      <c r="N63" s="128">
        <f>MAX(0,M63-M62)</f>
        <v/>
      </c>
      <c r="O63" s="127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RESUMO'!BK17</f>
        <v/>
      </c>
      <c r="N64" s="128">
        <f>MAX(0,M64-M63)</f>
        <v/>
      </c>
      <c r="O64" s="127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RESUMO'!BL17</f>
        <v/>
      </c>
      <c r="N65" s="128">
        <f>MAX(0,M65-M64)</f>
        <v/>
      </c>
      <c r="O65" s="127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RESUMO'!BM17</f>
        <v/>
      </c>
      <c r="N66" s="128">
        <f>MAX(0,M66-M65)</f>
        <v/>
      </c>
      <c r="O66" s="127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RESUMO'!BN17</f>
        <v/>
      </c>
      <c r="N67" s="128">
        <f>MAX(0,M67-M66)</f>
        <v/>
      </c>
      <c r="O67" s="127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RESUMO'!BO17</f>
        <v/>
      </c>
      <c r="N68" s="128">
        <f>MAX(0,M68-M67)</f>
        <v/>
      </c>
      <c r="O68" s="127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RESUMO'!BP17</f>
        <v/>
      </c>
      <c r="N69" s="128">
        <f>MAX(0,M69-M68)</f>
        <v/>
      </c>
      <c r="O69" s="127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RESUMO'!BQ17</f>
        <v/>
      </c>
      <c r="N70" s="128">
        <f>MAX(0,M70-M69)</f>
        <v/>
      </c>
      <c r="O70" s="127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RESUMO'!BR17</f>
        <v/>
      </c>
      <c r="N71" s="128">
        <f>MAX(0,M71-M70)</f>
        <v/>
      </c>
      <c r="O71" s="127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RESUMO'!BS17</f>
        <v/>
      </c>
      <c r="N72" s="128">
        <f>MAX(0,M72-M71)</f>
        <v/>
      </c>
      <c r="O72" s="127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RESUMO'!BT17</f>
        <v/>
      </c>
      <c r="N73" s="128">
        <f>MAX(0,M73-M72)</f>
        <v/>
      </c>
      <c r="O73" s="127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RESUMO'!BU17</f>
        <v/>
      </c>
      <c r="N74" s="128">
        <f>MAX(0,M74-M73)</f>
        <v/>
      </c>
      <c r="O74" s="127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RESUMO'!BV17</f>
        <v/>
      </c>
      <c r="N75" s="128">
        <f>MAX(0,M75-M74)</f>
        <v/>
      </c>
      <c r="O75" s="127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RESUMO'!BW17</f>
        <v/>
      </c>
      <c r="N76" s="128">
        <f>MAX(0,M76-M75)</f>
        <v/>
      </c>
      <c r="O76" s="127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PL'!F24</f>
        <v/>
      </c>
      <c r="K5" s="63">
        <f>'VALOR POR PL'!G24</f>
        <v/>
      </c>
      <c r="M5" s="127">
        <f>'CP RESUMO'!D18</f>
        <v/>
      </c>
      <c r="N5" s="128" t="n">
        <v>0</v>
      </c>
      <c r="O5" s="127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RESUMO'!E18</f>
        <v/>
      </c>
      <c r="N6" s="128">
        <f>MAX(0,M6-M5)</f>
        <v/>
      </c>
      <c r="O6" s="127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PL'!L24</f>
        <v/>
      </c>
      <c r="M7" s="127">
        <f>'CP RESUMO'!F18</f>
        <v/>
      </c>
      <c r="N7" s="128">
        <f>MAX(0,M7-M6)</f>
        <v/>
      </c>
      <c r="O7" s="127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RESUMO'!G18</f>
        <v/>
      </c>
      <c r="N8" s="128">
        <f>MAX(0,M8-M7)</f>
        <v/>
      </c>
      <c r="O8" s="127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RESUMO'!H18</f>
        <v/>
      </c>
      <c r="N9" s="128">
        <f>MAX(0,M9-M8)</f>
        <v/>
      </c>
      <c r="O9" s="127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RESUMO'!I18</f>
        <v/>
      </c>
      <c r="N10" s="128">
        <f>MAX(0,M10-M9)</f>
        <v/>
      </c>
      <c r="O10" s="127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RESUMO'!J18</f>
        <v/>
      </c>
      <c r="N11" s="128">
        <f>MAX(0,M11-M10)</f>
        <v/>
      </c>
      <c r="O11" s="127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RESUMO'!K18</f>
        <v/>
      </c>
      <c r="N12" s="128">
        <f>MAX(0,M12-M11)</f>
        <v/>
      </c>
      <c r="O12" s="127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PL'!I24</f>
        <v/>
      </c>
      <c r="M13" s="127">
        <f>'CP RESUMO'!L18</f>
        <v/>
      </c>
      <c r="N13" s="128">
        <f>MAX(0,M13-M12)</f>
        <v/>
      </c>
      <c r="O13" s="127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M14" s="127">
        <f>'CP RESUMO'!M18</f>
        <v/>
      </c>
      <c r="N14" s="128">
        <f>MAX(0,M14-M13)</f>
        <v/>
      </c>
      <c r="O14" s="127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RESUMO'!N18</f>
        <v/>
      </c>
      <c r="N15" s="128">
        <f>MAX(0,M15-M14)</f>
        <v/>
      </c>
      <c r="O15" s="127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RESUMO'!O18</f>
        <v/>
      </c>
      <c r="N16" s="128">
        <f>MAX(0,M16-M15)</f>
        <v/>
      </c>
      <c r="O16" s="127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RESUMO'!P18</f>
        <v/>
      </c>
      <c r="N17" s="128">
        <f>MAX(0,M17-M16)</f>
        <v/>
      </c>
      <c r="O17" s="127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RESUMO'!Q18</f>
        <v/>
      </c>
      <c r="N18" s="128">
        <f>MAX(0,M18-M17)</f>
        <v/>
      </c>
      <c r="O18" s="127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RESUMO'!R18</f>
        <v/>
      </c>
      <c r="N19" s="128">
        <f>MAX(0,M19-M18)</f>
        <v/>
      </c>
      <c r="O19" s="127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RESUMO'!S18</f>
        <v/>
      </c>
      <c r="N20" s="128">
        <f>MAX(0,M20-M19)</f>
        <v/>
      </c>
      <c r="O20" s="127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RESUMO'!T18</f>
        <v/>
      </c>
      <c r="N21" s="128">
        <f>MAX(0,M21-M20)</f>
        <v/>
      </c>
      <c r="O21" s="127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RESUMO'!U18</f>
        <v/>
      </c>
      <c r="N22" s="128">
        <f>MAX(0,M22-M21)</f>
        <v/>
      </c>
      <c r="O22" s="127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RESUMO'!V18</f>
        <v/>
      </c>
      <c r="N23" s="128">
        <f>MAX(0,M23-M22)</f>
        <v/>
      </c>
      <c r="O23" s="127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RESUMO'!W18</f>
        <v/>
      </c>
      <c r="N24" s="128">
        <f>MAX(0,M24-M23)</f>
        <v/>
      </c>
      <c r="O24" s="127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RESUMO'!X18</f>
        <v/>
      </c>
      <c r="N25" s="128">
        <f>MAX(0,M25-M24)</f>
        <v/>
      </c>
      <c r="O25" s="127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RESUMO'!Y18</f>
        <v/>
      </c>
      <c r="N26" s="128">
        <f>MAX(0,M26-M25)</f>
        <v/>
      </c>
      <c r="O26" s="127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RESUMO'!Z18</f>
        <v/>
      </c>
      <c r="N27" s="128">
        <f>MAX(0,M27-M26)</f>
        <v/>
      </c>
      <c r="O27" s="127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RESUMO'!AA18</f>
        <v/>
      </c>
      <c r="N28" s="128">
        <f>MAX(0,M28-M27)</f>
        <v/>
      </c>
      <c r="O28" s="127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RESUMO'!AB18</f>
        <v/>
      </c>
      <c r="N29" s="128">
        <f>MAX(0,M29-M28)</f>
        <v/>
      </c>
      <c r="O29" s="127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RESUMO'!AC18</f>
        <v/>
      </c>
      <c r="N30" s="128">
        <f>MAX(0,M30-M29)</f>
        <v/>
      </c>
      <c r="O30" s="127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RESUMO'!AD18</f>
        <v/>
      </c>
      <c r="N31" s="128">
        <f>MAX(0,M31-M30)</f>
        <v/>
      </c>
      <c r="O31" s="127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RESUMO'!AE18</f>
        <v/>
      </c>
      <c r="N32" s="128">
        <f>MAX(0,M32-M31)</f>
        <v/>
      </c>
      <c r="O32" s="127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RESUMO'!AF18</f>
        <v/>
      </c>
      <c r="N33" s="128">
        <f>MAX(0,M33-M32)</f>
        <v/>
      </c>
      <c r="O33" s="127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RESUMO'!AG18</f>
        <v/>
      </c>
      <c r="N34" s="128">
        <f>MAX(0,M34-M33)</f>
        <v/>
      </c>
      <c r="O34" s="127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RESUMO'!AH18</f>
        <v/>
      </c>
      <c r="N35" s="128">
        <f>MAX(0,M35-M34)</f>
        <v/>
      </c>
      <c r="O35" s="127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RESUMO'!AI18</f>
        <v/>
      </c>
      <c r="N36" s="128">
        <f>MAX(0,M36-M35)</f>
        <v/>
      </c>
      <c r="O36" s="127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RESUMO'!AJ18</f>
        <v/>
      </c>
      <c r="N37" s="128">
        <f>MAX(0,M37-M36)</f>
        <v/>
      </c>
      <c r="O37" s="127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RESUMO'!AK18</f>
        <v/>
      </c>
      <c r="N38" s="128">
        <f>MAX(0,M38-M37)</f>
        <v/>
      </c>
      <c r="O38" s="127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RESUMO'!AL18</f>
        <v/>
      </c>
      <c r="N39" s="128">
        <f>MAX(0,M39-M38)</f>
        <v/>
      </c>
      <c r="O39" s="127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RESUMO'!AM18</f>
        <v/>
      </c>
      <c r="N40" s="128">
        <f>MAX(0,M40-M39)</f>
        <v/>
      </c>
      <c r="O40" s="127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RESUMO'!AN18</f>
        <v/>
      </c>
      <c r="N41" s="128">
        <f>MAX(0,M41-M40)</f>
        <v/>
      </c>
      <c r="O41" s="127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RESUMO'!AO18</f>
        <v/>
      </c>
      <c r="N42" s="128">
        <f>MAX(0,M42-M41)</f>
        <v/>
      </c>
      <c r="O42" s="127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RESUMO'!AP18</f>
        <v/>
      </c>
      <c r="N43" s="128">
        <f>MAX(0,M43-M42)</f>
        <v/>
      </c>
      <c r="O43" s="127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RESUMO'!AQ18</f>
        <v/>
      </c>
      <c r="N44" s="128">
        <f>MAX(0,M44-M43)</f>
        <v/>
      </c>
      <c r="O44" s="127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RESUMO'!AR18</f>
        <v/>
      </c>
      <c r="N45" s="128">
        <f>MAX(0,M45-M44)</f>
        <v/>
      </c>
      <c r="O45" s="127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RESUMO'!AS18</f>
        <v/>
      </c>
      <c r="N46" s="128">
        <f>MAX(0,M46-M45)</f>
        <v/>
      </c>
      <c r="O46" s="127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RESUMO'!AT18</f>
        <v/>
      </c>
      <c r="N47" s="128">
        <f>MAX(0,M47-M46)</f>
        <v/>
      </c>
      <c r="O47" s="127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RESUMO'!AU18</f>
        <v/>
      </c>
      <c r="N48" s="128">
        <f>MAX(0,M48-M47)</f>
        <v/>
      </c>
      <c r="O48" s="127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RESUMO'!AV18</f>
        <v/>
      </c>
      <c r="N49" s="128">
        <f>MAX(0,M49-M48)</f>
        <v/>
      </c>
      <c r="O49" s="127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RESUMO'!AW18</f>
        <v/>
      </c>
      <c r="N50" s="128">
        <f>MAX(0,M50-M49)</f>
        <v/>
      </c>
      <c r="O50" s="127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RESUMO'!AX18</f>
        <v/>
      </c>
      <c r="N51" s="128">
        <f>MAX(0,M51-M50)</f>
        <v/>
      </c>
      <c r="O51" s="127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RESUMO'!AY18</f>
        <v/>
      </c>
      <c r="N52" s="128">
        <f>MAX(0,M52-M51)</f>
        <v/>
      </c>
      <c r="O52" s="127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RESUMO'!AZ18</f>
        <v/>
      </c>
      <c r="N53" s="128">
        <f>MAX(0,M53-M52)</f>
        <v/>
      </c>
      <c r="O53" s="127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RESUMO'!BA18</f>
        <v/>
      </c>
      <c r="N54" s="128">
        <f>MAX(0,M54-M53)</f>
        <v/>
      </c>
      <c r="O54" s="127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RESUMO'!BB18</f>
        <v/>
      </c>
      <c r="N55" s="128">
        <f>MAX(0,M55-M54)</f>
        <v/>
      </c>
      <c r="O55" s="127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RESUMO'!BC18</f>
        <v/>
      </c>
      <c r="N56" s="128">
        <f>MAX(0,M56-M55)</f>
        <v/>
      </c>
      <c r="O56" s="127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RESUMO'!BD18</f>
        <v/>
      </c>
      <c r="N57" s="128">
        <f>MAX(0,M57-M56)</f>
        <v/>
      </c>
      <c r="O57" s="127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RESUMO'!BE18</f>
        <v/>
      </c>
      <c r="N58" s="128">
        <f>MAX(0,M58-M57)</f>
        <v/>
      </c>
      <c r="O58" s="127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RESUMO'!BF18</f>
        <v/>
      </c>
      <c r="N59" s="128">
        <f>MAX(0,M59-M58)</f>
        <v/>
      </c>
      <c r="O59" s="127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RESUMO'!BG18</f>
        <v/>
      </c>
      <c r="N60" s="128">
        <f>MAX(0,M60-M59)</f>
        <v/>
      </c>
      <c r="O60" s="127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RESUMO'!BH18</f>
        <v/>
      </c>
      <c r="N61" s="128">
        <f>MAX(0,M61-M60)</f>
        <v/>
      </c>
      <c r="O61" s="127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RESUMO'!BI18</f>
        <v/>
      </c>
      <c r="N62" s="128">
        <f>MAX(0,M62-M61)</f>
        <v/>
      </c>
      <c r="O62" s="127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RESUMO'!BJ18</f>
        <v/>
      </c>
      <c r="N63" s="128">
        <f>MAX(0,M63-M62)</f>
        <v/>
      </c>
      <c r="O63" s="127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RESUMO'!BK18</f>
        <v/>
      </c>
      <c r="N64" s="128">
        <f>MAX(0,M64-M63)</f>
        <v/>
      </c>
      <c r="O64" s="127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RESUMO'!BL18</f>
        <v/>
      </c>
      <c r="N65" s="128">
        <f>MAX(0,M65-M64)</f>
        <v/>
      </c>
      <c r="O65" s="127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RESUMO'!BM18</f>
        <v/>
      </c>
      <c r="N66" s="128">
        <f>MAX(0,M66-M65)</f>
        <v/>
      </c>
      <c r="O66" s="127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RESUMO'!BN18</f>
        <v/>
      </c>
      <c r="N67" s="128">
        <f>MAX(0,M67-M66)</f>
        <v/>
      </c>
      <c r="O67" s="127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RESUMO'!BO18</f>
        <v/>
      </c>
      <c r="N68" s="128">
        <f>MAX(0,M68-M67)</f>
        <v/>
      </c>
      <c r="O68" s="127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RESUMO'!BP18</f>
        <v/>
      </c>
      <c r="N69" s="128">
        <f>MAX(0,M69-M68)</f>
        <v/>
      </c>
      <c r="O69" s="127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RESUMO'!BQ18</f>
        <v/>
      </c>
      <c r="N70" s="128">
        <f>MAX(0,M70-M69)</f>
        <v/>
      </c>
      <c r="O70" s="127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RESUMO'!BR18</f>
        <v/>
      </c>
      <c r="N71" s="128">
        <f>MAX(0,M71-M70)</f>
        <v/>
      </c>
      <c r="O71" s="127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RESUMO'!BS18</f>
        <v/>
      </c>
      <c r="N72" s="128">
        <f>MAX(0,M72-M71)</f>
        <v/>
      </c>
      <c r="O72" s="127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RESUMO'!BT18</f>
        <v/>
      </c>
      <c r="N73" s="128">
        <f>MAX(0,M73-M72)</f>
        <v/>
      </c>
      <c r="O73" s="127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RESUMO'!BU18</f>
        <v/>
      </c>
      <c r="N74" s="128">
        <f>MAX(0,M74-M73)</f>
        <v/>
      </c>
      <c r="O74" s="127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RESUMO'!BV18</f>
        <v/>
      </c>
      <c r="N75" s="128">
        <f>MAX(0,M75-M74)</f>
        <v/>
      </c>
      <c r="O75" s="127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RESUMO'!BW18</f>
        <v/>
      </c>
      <c r="N76" s="128">
        <f>MAX(0,M76-M75)</f>
        <v/>
      </c>
      <c r="O76" s="127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HISTORICOS'!D19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PL'!F25</f>
        <v/>
      </c>
      <c r="K5" s="63">
        <f>'VALOR POR PL'!G25</f>
        <v/>
      </c>
      <c r="M5" s="127">
        <f>'CP RESUMO'!D19</f>
        <v/>
      </c>
      <c r="N5" s="128" t="n">
        <v>0</v>
      </c>
      <c r="O5" s="127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HISTORICOS'!E19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RESUMO'!E19</f>
        <v/>
      </c>
      <c r="N6" s="128">
        <f>MAX(0,M6-M5)</f>
        <v/>
      </c>
      <c r="O6" s="127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HISTORICOS'!F19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PL'!L25</f>
        <v/>
      </c>
      <c r="M7" s="127">
        <f>'CP RESUMO'!F19</f>
        <v/>
      </c>
      <c r="N7" s="128">
        <f>MAX(0,M7-M6)</f>
        <v/>
      </c>
      <c r="O7" s="127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HISTORICOS'!G19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RESUMO'!G19</f>
        <v/>
      </c>
      <c r="N8" s="128">
        <f>MAX(0,M8-M7)</f>
        <v/>
      </c>
      <c r="O8" s="127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HISTORICOS'!H19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RESUMO'!H19</f>
        <v/>
      </c>
      <c r="N9" s="128">
        <f>MAX(0,M9-M8)</f>
        <v/>
      </c>
      <c r="O9" s="127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HISTORICOS'!I19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RESUMO'!I19</f>
        <v/>
      </c>
      <c r="N10" s="128">
        <f>MAX(0,M10-M9)</f>
        <v/>
      </c>
      <c r="O10" s="127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HISTORICOS'!J19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RESUMO'!J19</f>
        <v/>
      </c>
      <c r="N11" s="128">
        <f>MAX(0,M11-M10)</f>
        <v/>
      </c>
      <c r="O11" s="127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HISTORICOS'!K19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RESUMO'!K19</f>
        <v/>
      </c>
      <c r="N12" s="128">
        <f>MAX(0,M12-M11)</f>
        <v/>
      </c>
      <c r="O12" s="127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HISTORICOS'!L19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PL'!I25</f>
        <v/>
      </c>
      <c r="M13" s="127">
        <f>'CP RESUMO'!L19</f>
        <v/>
      </c>
      <c r="N13" s="128">
        <f>MAX(0,M13-M12)</f>
        <v/>
      </c>
      <c r="O13" s="127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HISTORICOS'!M19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M14" s="127">
        <f>'CP RESUMO'!M19</f>
        <v/>
      </c>
      <c r="N14" s="128">
        <f>MAX(0,M14-M13)</f>
        <v/>
      </c>
      <c r="O14" s="127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HISTORICOS'!N19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RESUMO'!N19</f>
        <v/>
      </c>
      <c r="N15" s="128">
        <f>MAX(0,M15-M14)</f>
        <v/>
      </c>
      <c r="O15" s="127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HISTORICOS'!O19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RESUMO'!O19</f>
        <v/>
      </c>
      <c r="N16" s="128">
        <f>MAX(0,M16-M15)</f>
        <v/>
      </c>
      <c r="O16" s="127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HISTORICOS'!P19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RESUMO'!P19</f>
        <v/>
      </c>
      <c r="N17" s="128">
        <f>MAX(0,M17-M16)</f>
        <v/>
      </c>
      <c r="O17" s="127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HISTORICOS'!Q19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RESUMO'!Q19</f>
        <v/>
      </c>
      <c r="N18" s="128">
        <f>MAX(0,M18-M17)</f>
        <v/>
      </c>
      <c r="O18" s="127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HISTORICOS'!R19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RESUMO'!R19</f>
        <v/>
      </c>
      <c r="N19" s="128">
        <f>MAX(0,M19-M18)</f>
        <v/>
      </c>
      <c r="O19" s="127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HISTORICOS'!S19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RESUMO'!S19</f>
        <v/>
      </c>
      <c r="N20" s="128">
        <f>MAX(0,M20-M19)</f>
        <v/>
      </c>
      <c r="O20" s="127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HISTORICOS'!T19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RESUMO'!T19</f>
        <v/>
      </c>
      <c r="N21" s="128">
        <f>MAX(0,M21-M20)</f>
        <v/>
      </c>
      <c r="O21" s="127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HISTORICOS'!U19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RESUMO'!U19</f>
        <v/>
      </c>
      <c r="N22" s="128">
        <f>MAX(0,M22-M21)</f>
        <v/>
      </c>
      <c r="O22" s="127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HISTORICOS'!V19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RESUMO'!V19</f>
        <v/>
      </c>
      <c r="N23" s="128">
        <f>MAX(0,M23-M22)</f>
        <v/>
      </c>
      <c r="O23" s="127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HISTORICOS'!W19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RESUMO'!W19</f>
        <v/>
      </c>
      <c r="N24" s="128">
        <f>MAX(0,M24-M23)</f>
        <v/>
      </c>
      <c r="O24" s="127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HISTORICOS'!X19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RESUMO'!X19</f>
        <v/>
      </c>
      <c r="N25" s="128">
        <f>MAX(0,M25-M24)</f>
        <v/>
      </c>
      <c r="O25" s="127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HISTORICOS'!Y19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RESUMO'!Y19</f>
        <v/>
      </c>
      <c r="N26" s="128">
        <f>MAX(0,M26-M25)</f>
        <v/>
      </c>
      <c r="O26" s="127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HISTORICOS'!Z19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RESUMO'!Z19</f>
        <v/>
      </c>
      <c r="N27" s="128">
        <f>MAX(0,M27-M26)</f>
        <v/>
      </c>
      <c r="O27" s="127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HISTORICOS'!AA19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RESUMO'!AA19</f>
        <v/>
      </c>
      <c r="N28" s="128">
        <f>MAX(0,M28-M27)</f>
        <v/>
      </c>
      <c r="O28" s="127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HISTORICOS'!AB19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RESUMO'!AB19</f>
        <v/>
      </c>
      <c r="N29" s="128">
        <f>MAX(0,M29-M28)</f>
        <v/>
      </c>
      <c r="O29" s="127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HISTORICOS'!AC19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RESUMO'!AC19</f>
        <v/>
      </c>
      <c r="N30" s="128">
        <f>MAX(0,M30-M29)</f>
        <v/>
      </c>
      <c r="O30" s="127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HISTORICOS'!AD19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RESUMO'!AD19</f>
        <v/>
      </c>
      <c r="N31" s="128">
        <f>MAX(0,M31-M30)</f>
        <v/>
      </c>
      <c r="O31" s="127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HISTORICOS'!AE19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RESUMO'!AE19</f>
        <v/>
      </c>
      <c r="N32" s="128">
        <f>MAX(0,M32-M31)</f>
        <v/>
      </c>
      <c r="O32" s="127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HISTORICOS'!AF19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RESUMO'!AF19</f>
        <v/>
      </c>
      <c r="N33" s="128">
        <f>MAX(0,M33-M32)</f>
        <v/>
      </c>
      <c r="O33" s="127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HISTORICOS'!AG19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RESUMO'!AG19</f>
        <v/>
      </c>
      <c r="N34" s="128">
        <f>MAX(0,M34-M33)</f>
        <v/>
      </c>
      <c r="O34" s="127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HISTORICOS'!AH19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RESUMO'!AH19</f>
        <v/>
      </c>
      <c r="N35" s="128">
        <f>MAX(0,M35-M34)</f>
        <v/>
      </c>
      <c r="O35" s="127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HISTORICOS'!AI19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RESUMO'!AI19</f>
        <v/>
      </c>
      <c r="N36" s="128">
        <f>MAX(0,M36-M35)</f>
        <v/>
      </c>
      <c r="O36" s="127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HISTORICOS'!AJ19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RESUMO'!AJ19</f>
        <v/>
      </c>
      <c r="N37" s="128">
        <f>MAX(0,M37-M36)</f>
        <v/>
      </c>
      <c r="O37" s="127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HISTORICOS'!AK19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RESUMO'!AK19</f>
        <v/>
      </c>
      <c r="N38" s="128">
        <f>MAX(0,M38-M37)</f>
        <v/>
      </c>
      <c r="O38" s="127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HISTORICOS'!AL19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RESUMO'!AL19</f>
        <v/>
      </c>
      <c r="N39" s="128">
        <f>MAX(0,M39-M38)</f>
        <v/>
      </c>
      <c r="O39" s="127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HISTORICOS'!AM19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RESUMO'!AM19</f>
        <v/>
      </c>
      <c r="N40" s="128">
        <f>MAX(0,M40-M39)</f>
        <v/>
      </c>
      <c r="O40" s="127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HISTORICOS'!AN19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RESUMO'!AN19</f>
        <v/>
      </c>
      <c r="N41" s="128">
        <f>MAX(0,M41-M40)</f>
        <v/>
      </c>
      <c r="O41" s="127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HISTORICOS'!AO19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RESUMO'!AO19</f>
        <v/>
      </c>
      <c r="N42" s="128">
        <f>MAX(0,M42-M41)</f>
        <v/>
      </c>
      <c r="O42" s="127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HISTORICOS'!AP19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RESUMO'!AP19</f>
        <v/>
      </c>
      <c r="N43" s="128">
        <f>MAX(0,M43-M42)</f>
        <v/>
      </c>
      <c r="O43" s="127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HISTORICOS'!AQ19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RESUMO'!AQ19</f>
        <v/>
      </c>
      <c r="N44" s="128">
        <f>MAX(0,M44-M43)</f>
        <v/>
      </c>
      <c r="O44" s="127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HISTORICOS'!AR19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RESUMO'!AR19</f>
        <v/>
      </c>
      <c r="N45" s="128">
        <f>MAX(0,M45-M44)</f>
        <v/>
      </c>
      <c r="O45" s="127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HISTORICOS'!AS19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RESUMO'!AS19</f>
        <v/>
      </c>
      <c r="N46" s="128">
        <f>MAX(0,M46-M45)</f>
        <v/>
      </c>
      <c r="O46" s="127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HISTORICOS'!AT19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RESUMO'!AT19</f>
        <v/>
      </c>
      <c r="N47" s="128">
        <f>MAX(0,M47-M46)</f>
        <v/>
      </c>
      <c r="O47" s="127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HISTORICOS'!AU19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RESUMO'!AU19</f>
        <v/>
      </c>
      <c r="N48" s="128">
        <f>MAX(0,M48-M47)</f>
        <v/>
      </c>
      <c r="O48" s="127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HISTORICOS'!AV19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RESUMO'!AV19</f>
        <v/>
      </c>
      <c r="N49" s="128">
        <f>MAX(0,M49-M48)</f>
        <v/>
      </c>
      <c r="O49" s="127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HISTORICOS'!AW19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RESUMO'!AW19</f>
        <v/>
      </c>
      <c r="N50" s="128">
        <f>MAX(0,M50-M49)</f>
        <v/>
      </c>
      <c r="O50" s="127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HISTORICOS'!AX19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RESUMO'!AX19</f>
        <v/>
      </c>
      <c r="N51" s="128">
        <f>MAX(0,M51-M50)</f>
        <v/>
      </c>
      <c r="O51" s="127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HISTORICOS'!AY19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RESUMO'!AY19</f>
        <v/>
      </c>
      <c r="N52" s="128">
        <f>MAX(0,M52-M51)</f>
        <v/>
      </c>
      <c r="O52" s="127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HISTORICOS'!AZ19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RESUMO'!AZ19</f>
        <v/>
      </c>
      <c r="N53" s="128">
        <f>MAX(0,M53-M52)</f>
        <v/>
      </c>
      <c r="O53" s="127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HISTORICOS'!BA19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RESUMO'!BA19</f>
        <v/>
      </c>
      <c r="N54" s="128">
        <f>MAX(0,M54-M53)</f>
        <v/>
      </c>
      <c r="O54" s="127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HISTORICOS'!BB19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RESUMO'!BB19</f>
        <v/>
      </c>
      <c r="N55" s="128">
        <f>MAX(0,M55-M54)</f>
        <v/>
      </c>
      <c r="O55" s="127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HISTORICOS'!BC19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RESUMO'!BC19</f>
        <v/>
      </c>
      <c r="N56" s="128">
        <f>MAX(0,M56-M55)</f>
        <v/>
      </c>
      <c r="O56" s="127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HISTORICOS'!BD19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RESUMO'!BD19</f>
        <v/>
      </c>
      <c r="N57" s="128">
        <f>MAX(0,M57-M56)</f>
        <v/>
      </c>
      <c r="O57" s="127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HISTORICOS'!BE19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RESUMO'!BE19</f>
        <v/>
      </c>
      <c r="N58" s="128">
        <f>MAX(0,M58-M57)</f>
        <v/>
      </c>
      <c r="O58" s="127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HISTORICOS'!BF19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RESUMO'!BF19</f>
        <v/>
      </c>
      <c r="N59" s="128">
        <f>MAX(0,M59-M58)</f>
        <v/>
      </c>
      <c r="O59" s="127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HISTORICOS'!BG19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RESUMO'!BG19</f>
        <v/>
      </c>
      <c r="N60" s="128">
        <f>MAX(0,M60-M59)</f>
        <v/>
      </c>
      <c r="O60" s="127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HISTORICOS'!BH19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RESUMO'!BH19</f>
        <v/>
      </c>
      <c r="N61" s="128">
        <f>MAX(0,M61-M60)</f>
        <v/>
      </c>
      <c r="O61" s="127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HISTORICOS'!BI19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RESUMO'!BI19</f>
        <v/>
      </c>
      <c r="N62" s="128">
        <f>MAX(0,M62-M61)</f>
        <v/>
      </c>
      <c r="O62" s="127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HISTORICOS'!BJ19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RESUMO'!BJ19</f>
        <v/>
      </c>
      <c r="N63" s="128">
        <f>MAX(0,M63-M62)</f>
        <v/>
      </c>
      <c r="O63" s="127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HISTORICOS'!BK19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RESUMO'!BK19</f>
        <v/>
      </c>
      <c r="N64" s="128">
        <f>MAX(0,M64-M63)</f>
        <v/>
      </c>
      <c r="O64" s="127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HISTORICOS'!BL19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RESUMO'!BL19</f>
        <v/>
      </c>
      <c r="N65" s="128">
        <f>MAX(0,M65-M64)</f>
        <v/>
      </c>
      <c r="O65" s="127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HISTORICOS'!BM19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RESUMO'!BM19</f>
        <v/>
      </c>
      <c r="N66" s="128">
        <f>MAX(0,M66-M65)</f>
        <v/>
      </c>
      <c r="O66" s="127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HISTORICOS'!BN19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RESUMO'!BN19</f>
        <v/>
      </c>
      <c r="N67" s="128">
        <f>MAX(0,M67-M66)</f>
        <v/>
      </c>
      <c r="O67" s="127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HISTORICOS'!BO19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RESUMO'!BO19</f>
        <v/>
      </c>
      <c r="N68" s="128">
        <f>MAX(0,M68-M67)</f>
        <v/>
      </c>
      <c r="O68" s="127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HISTORICOS'!BP19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RESUMO'!BP19</f>
        <v/>
      </c>
      <c r="N69" s="128">
        <f>MAX(0,M69-M68)</f>
        <v/>
      </c>
      <c r="O69" s="127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HISTORICOS'!BQ19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RESUMO'!BQ19</f>
        <v/>
      </c>
      <c r="N70" s="128">
        <f>MAX(0,M70-M69)</f>
        <v/>
      </c>
      <c r="O70" s="127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HISTORICOS'!BR19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RESUMO'!BR19</f>
        <v/>
      </c>
      <c r="N71" s="128">
        <f>MAX(0,M71-M70)</f>
        <v/>
      </c>
      <c r="O71" s="127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HISTORICOS'!BS19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RESUMO'!BS19</f>
        <v/>
      </c>
      <c r="N72" s="128">
        <f>MAX(0,M72-M71)</f>
        <v/>
      </c>
      <c r="O72" s="127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HISTORICOS'!BT19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RESUMO'!BT19</f>
        <v/>
      </c>
      <c r="N73" s="128">
        <f>MAX(0,M73-M72)</f>
        <v/>
      </c>
      <c r="O73" s="127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HISTORICOS'!BU19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RESUMO'!BU19</f>
        <v/>
      </c>
      <c r="N74" s="128">
        <f>MAX(0,M74-M73)</f>
        <v/>
      </c>
      <c r="O74" s="127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HISTORICOS'!BV19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RESUMO'!BV19</f>
        <v/>
      </c>
      <c r="N75" s="128">
        <f>MAX(0,M75-M74)</f>
        <v/>
      </c>
      <c r="O75" s="127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HISTORICOS'!BW19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RESUMO'!BW19</f>
        <v/>
      </c>
      <c r="N76" s="128">
        <f>MAX(0,M76-M75)</f>
        <v/>
      </c>
      <c r="O76" s="127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PL'!F26</f>
        <v/>
      </c>
      <c r="K5" s="63">
        <f>'VALOR POR PL'!G26</f>
        <v/>
      </c>
      <c r="M5" s="127">
        <f>'CP RESUMO'!D20</f>
        <v/>
      </c>
      <c r="N5" s="128" t="n">
        <v>0</v>
      </c>
      <c r="O5" s="127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RESUMO'!E20</f>
        <v/>
      </c>
      <c r="N6" s="128">
        <f>MAX(0,M6-M5)</f>
        <v/>
      </c>
      <c r="O6" s="127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PL'!L26</f>
        <v/>
      </c>
      <c r="M7" s="127">
        <f>'CP RESUMO'!F20</f>
        <v/>
      </c>
      <c r="N7" s="128">
        <f>MAX(0,M7-M6)</f>
        <v/>
      </c>
      <c r="O7" s="127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RESUMO'!G20</f>
        <v/>
      </c>
      <c r="N8" s="128">
        <f>MAX(0,M8-M7)</f>
        <v/>
      </c>
      <c r="O8" s="127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RESUMO'!H20</f>
        <v/>
      </c>
      <c r="N9" s="128">
        <f>MAX(0,M9-M8)</f>
        <v/>
      </c>
      <c r="O9" s="127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RESUMO'!I20</f>
        <v/>
      </c>
      <c r="N10" s="128">
        <f>MAX(0,M10-M9)</f>
        <v/>
      </c>
      <c r="O10" s="127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RESUMO'!J20</f>
        <v/>
      </c>
      <c r="N11" s="128">
        <f>MAX(0,M11-M10)</f>
        <v/>
      </c>
      <c r="O11" s="127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RESUMO'!K20</f>
        <v/>
      </c>
      <c r="N12" s="128">
        <f>MAX(0,M12-M11)</f>
        <v/>
      </c>
      <c r="O12" s="127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PL'!I26</f>
        <v/>
      </c>
      <c r="M13" s="127">
        <f>'CP RESUMO'!L20</f>
        <v/>
      </c>
      <c r="N13" s="128">
        <f>MAX(0,M13-M12)</f>
        <v/>
      </c>
      <c r="O13" s="127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M14" s="127">
        <f>'CP RESUMO'!M20</f>
        <v/>
      </c>
      <c r="N14" s="128">
        <f>MAX(0,M14-M13)</f>
        <v/>
      </c>
      <c r="O14" s="127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RESUMO'!N20</f>
        <v/>
      </c>
      <c r="N15" s="128">
        <f>MAX(0,M15-M14)</f>
        <v/>
      </c>
      <c r="O15" s="127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RESUMO'!O20</f>
        <v/>
      </c>
      <c r="N16" s="128">
        <f>MAX(0,M16-M15)</f>
        <v/>
      </c>
      <c r="O16" s="127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RESUMO'!P20</f>
        <v/>
      </c>
      <c r="N17" s="128">
        <f>MAX(0,M17-M16)</f>
        <v/>
      </c>
      <c r="O17" s="127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RESUMO'!Q20</f>
        <v/>
      </c>
      <c r="N18" s="128">
        <f>MAX(0,M18-M17)</f>
        <v/>
      </c>
      <c r="O18" s="127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RESUMO'!R20</f>
        <v/>
      </c>
      <c r="N19" s="128">
        <f>MAX(0,M19-M18)</f>
        <v/>
      </c>
      <c r="O19" s="127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RESUMO'!S20</f>
        <v/>
      </c>
      <c r="N20" s="128">
        <f>MAX(0,M20-M19)</f>
        <v/>
      </c>
      <c r="O20" s="127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RESUMO'!T20</f>
        <v/>
      </c>
      <c r="N21" s="128">
        <f>MAX(0,M21-M20)</f>
        <v/>
      </c>
      <c r="O21" s="127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RESUMO'!U20</f>
        <v/>
      </c>
      <c r="N22" s="128">
        <f>MAX(0,M22-M21)</f>
        <v/>
      </c>
      <c r="O22" s="127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RESUMO'!V20</f>
        <v/>
      </c>
      <c r="N23" s="128">
        <f>MAX(0,M23-M22)</f>
        <v/>
      </c>
      <c r="O23" s="127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RESUMO'!W20</f>
        <v/>
      </c>
      <c r="N24" s="128">
        <f>MAX(0,M24-M23)</f>
        <v/>
      </c>
      <c r="O24" s="127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RESUMO'!X20</f>
        <v/>
      </c>
      <c r="N25" s="128">
        <f>MAX(0,M25-M24)</f>
        <v/>
      </c>
      <c r="O25" s="127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RESUMO'!Y20</f>
        <v/>
      </c>
      <c r="N26" s="128">
        <f>MAX(0,M26-M25)</f>
        <v/>
      </c>
      <c r="O26" s="127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RESUMO'!Z20</f>
        <v/>
      </c>
      <c r="N27" s="128">
        <f>MAX(0,M27-M26)</f>
        <v/>
      </c>
      <c r="O27" s="127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RESUMO'!AA20</f>
        <v/>
      </c>
      <c r="N28" s="128">
        <f>MAX(0,M28-M27)</f>
        <v/>
      </c>
      <c r="O28" s="127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RESUMO'!AB20</f>
        <v/>
      </c>
      <c r="N29" s="128">
        <f>MAX(0,M29-M28)</f>
        <v/>
      </c>
      <c r="O29" s="127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RESUMO'!AC20</f>
        <v/>
      </c>
      <c r="N30" s="128">
        <f>MAX(0,M30-M29)</f>
        <v/>
      </c>
      <c r="O30" s="127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RESUMO'!AD20</f>
        <v/>
      </c>
      <c r="N31" s="128">
        <f>MAX(0,M31-M30)</f>
        <v/>
      </c>
      <c r="O31" s="127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RESUMO'!AE20</f>
        <v/>
      </c>
      <c r="N32" s="128">
        <f>MAX(0,M32-M31)</f>
        <v/>
      </c>
      <c r="O32" s="127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RESUMO'!AF20</f>
        <v/>
      </c>
      <c r="N33" s="128">
        <f>MAX(0,M33-M32)</f>
        <v/>
      </c>
      <c r="O33" s="127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RESUMO'!AG20</f>
        <v/>
      </c>
      <c r="N34" s="128">
        <f>MAX(0,M34-M33)</f>
        <v/>
      </c>
      <c r="O34" s="127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RESUMO'!AH20</f>
        <v/>
      </c>
      <c r="N35" s="128">
        <f>MAX(0,M35-M34)</f>
        <v/>
      </c>
      <c r="O35" s="127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RESUMO'!AI20</f>
        <v/>
      </c>
      <c r="N36" s="128">
        <f>MAX(0,M36-M35)</f>
        <v/>
      </c>
      <c r="O36" s="127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RESUMO'!AJ20</f>
        <v/>
      </c>
      <c r="N37" s="128">
        <f>MAX(0,M37-M36)</f>
        <v/>
      </c>
      <c r="O37" s="127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RESUMO'!AK20</f>
        <v/>
      </c>
      <c r="N38" s="128">
        <f>MAX(0,M38-M37)</f>
        <v/>
      </c>
      <c r="O38" s="127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RESUMO'!AL20</f>
        <v/>
      </c>
      <c r="N39" s="128">
        <f>MAX(0,M39-M38)</f>
        <v/>
      </c>
      <c r="O39" s="127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RESUMO'!AM20</f>
        <v/>
      </c>
      <c r="N40" s="128">
        <f>MAX(0,M40-M39)</f>
        <v/>
      </c>
      <c r="O40" s="127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RESUMO'!AN20</f>
        <v/>
      </c>
      <c r="N41" s="128">
        <f>MAX(0,M41-M40)</f>
        <v/>
      </c>
      <c r="O41" s="127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RESUMO'!AO20</f>
        <v/>
      </c>
      <c r="N42" s="128">
        <f>MAX(0,M42-M41)</f>
        <v/>
      </c>
      <c r="O42" s="127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RESUMO'!AP20</f>
        <v/>
      </c>
      <c r="N43" s="128">
        <f>MAX(0,M43-M42)</f>
        <v/>
      </c>
      <c r="O43" s="127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RESUMO'!AQ20</f>
        <v/>
      </c>
      <c r="N44" s="128">
        <f>MAX(0,M44-M43)</f>
        <v/>
      </c>
      <c r="O44" s="127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RESUMO'!AR20</f>
        <v/>
      </c>
      <c r="N45" s="128">
        <f>MAX(0,M45-M44)</f>
        <v/>
      </c>
      <c r="O45" s="127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RESUMO'!AS20</f>
        <v/>
      </c>
      <c r="N46" s="128">
        <f>MAX(0,M46-M45)</f>
        <v/>
      </c>
      <c r="O46" s="127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RESUMO'!AT20</f>
        <v/>
      </c>
      <c r="N47" s="128">
        <f>MAX(0,M47-M46)</f>
        <v/>
      </c>
      <c r="O47" s="127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RESUMO'!AU20</f>
        <v/>
      </c>
      <c r="N48" s="128">
        <f>MAX(0,M48-M47)</f>
        <v/>
      </c>
      <c r="O48" s="127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RESUMO'!AV20</f>
        <v/>
      </c>
      <c r="N49" s="128">
        <f>MAX(0,M49-M48)</f>
        <v/>
      </c>
      <c r="O49" s="127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RESUMO'!AW20</f>
        <v/>
      </c>
      <c r="N50" s="128">
        <f>MAX(0,M50-M49)</f>
        <v/>
      </c>
      <c r="O50" s="127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RESUMO'!AX20</f>
        <v/>
      </c>
      <c r="N51" s="128">
        <f>MAX(0,M51-M50)</f>
        <v/>
      </c>
      <c r="O51" s="127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RESUMO'!AY20</f>
        <v/>
      </c>
      <c r="N52" s="128">
        <f>MAX(0,M52-M51)</f>
        <v/>
      </c>
      <c r="O52" s="127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RESUMO'!AZ20</f>
        <v/>
      </c>
      <c r="N53" s="128">
        <f>MAX(0,M53-M52)</f>
        <v/>
      </c>
      <c r="O53" s="127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RESUMO'!BA20</f>
        <v/>
      </c>
      <c r="N54" s="128">
        <f>MAX(0,M54-M53)</f>
        <v/>
      </c>
      <c r="O54" s="127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RESUMO'!BB20</f>
        <v/>
      </c>
      <c r="N55" s="128">
        <f>MAX(0,M55-M54)</f>
        <v/>
      </c>
      <c r="O55" s="127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RESUMO'!BC20</f>
        <v/>
      </c>
      <c r="N56" s="128">
        <f>MAX(0,M56-M55)</f>
        <v/>
      </c>
      <c r="O56" s="127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RESUMO'!BD20</f>
        <v/>
      </c>
      <c r="N57" s="128">
        <f>MAX(0,M57-M56)</f>
        <v/>
      </c>
      <c r="O57" s="127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RESUMO'!BE20</f>
        <v/>
      </c>
      <c r="N58" s="128">
        <f>MAX(0,M58-M57)</f>
        <v/>
      </c>
      <c r="O58" s="127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RESUMO'!BF20</f>
        <v/>
      </c>
      <c r="N59" s="128">
        <f>MAX(0,M59-M58)</f>
        <v/>
      </c>
      <c r="O59" s="127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RESUMO'!BG20</f>
        <v/>
      </c>
      <c r="N60" s="128">
        <f>MAX(0,M60-M59)</f>
        <v/>
      </c>
      <c r="O60" s="127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RESUMO'!BH20</f>
        <v/>
      </c>
      <c r="N61" s="128">
        <f>MAX(0,M61-M60)</f>
        <v/>
      </c>
      <c r="O61" s="127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RESUMO'!BI20</f>
        <v/>
      </c>
      <c r="N62" s="128">
        <f>MAX(0,M62-M61)</f>
        <v/>
      </c>
      <c r="O62" s="127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RESUMO'!BJ20</f>
        <v/>
      </c>
      <c r="N63" s="128">
        <f>MAX(0,M63-M62)</f>
        <v/>
      </c>
      <c r="O63" s="127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RESUMO'!BK20</f>
        <v/>
      </c>
      <c r="N64" s="128">
        <f>MAX(0,M64-M63)</f>
        <v/>
      </c>
      <c r="O64" s="127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RESUMO'!BL20</f>
        <v/>
      </c>
      <c r="N65" s="128">
        <f>MAX(0,M65-M64)</f>
        <v/>
      </c>
      <c r="O65" s="127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RESUMO'!BM20</f>
        <v/>
      </c>
      <c r="N66" s="128">
        <f>MAX(0,M66-M65)</f>
        <v/>
      </c>
      <c r="O66" s="127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RESUMO'!BN20</f>
        <v/>
      </c>
      <c r="N67" s="128">
        <f>MAX(0,M67-M66)</f>
        <v/>
      </c>
      <c r="O67" s="127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RESUMO'!BO20</f>
        <v/>
      </c>
      <c r="N68" s="128">
        <f>MAX(0,M68-M67)</f>
        <v/>
      </c>
      <c r="O68" s="127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RESUMO'!BP20</f>
        <v/>
      </c>
      <c r="N69" s="128">
        <f>MAX(0,M69-M68)</f>
        <v/>
      </c>
      <c r="O69" s="127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RESUMO'!BQ20</f>
        <v/>
      </c>
      <c r="N70" s="128">
        <f>MAX(0,M70-M69)</f>
        <v/>
      </c>
      <c r="O70" s="127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RESUMO'!BR20</f>
        <v/>
      </c>
      <c r="N71" s="128">
        <f>MAX(0,M71-M70)</f>
        <v/>
      </c>
      <c r="O71" s="127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RESUMO'!BS20</f>
        <v/>
      </c>
      <c r="N72" s="128">
        <f>MAX(0,M72-M71)</f>
        <v/>
      </c>
      <c r="O72" s="127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RESUMO'!BT20</f>
        <v/>
      </c>
      <c r="N73" s="128">
        <f>MAX(0,M73-M72)</f>
        <v/>
      </c>
      <c r="O73" s="127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RESUMO'!BU20</f>
        <v/>
      </c>
      <c r="N74" s="128">
        <f>MAX(0,M74-M73)</f>
        <v/>
      </c>
      <c r="O74" s="127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RESUMO'!BV20</f>
        <v/>
      </c>
      <c r="N75" s="128">
        <f>MAX(0,M75-M74)</f>
        <v/>
      </c>
      <c r="O75" s="127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RESUMO'!BW20</f>
        <v/>
      </c>
      <c r="N76" s="128">
        <f>MAX(0,M76-M75)</f>
        <v/>
      </c>
      <c r="O76" s="127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PL'!F27</f>
        <v/>
      </c>
      <c r="K5" s="63">
        <f>'VALOR POR PL'!G27</f>
        <v/>
      </c>
      <c r="M5" s="127">
        <f>'CP RESUMO'!D21</f>
        <v/>
      </c>
      <c r="N5" s="128" t="n">
        <v>0</v>
      </c>
      <c r="O5" s="127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RESUMO'!E21</f>
        <v/>
      </c>
      <c r="N6" s="128">
        <f>MAX(0,M6-M5)</f>
        <v/>
      </c>
      <c r="O6" s="127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PL'!L27</f>
        <v/>
      </c>
      <c r="M7" s="127">
        <f>'CP RESUMO'!F21</f>
        <v/>
      </c>
      <c r="N7" s="128">
        <f>MAX(0,M7-M6)</f>
        <v/>
      </c>
      <c r="O7" s="127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RESUMO'!G21</f>
        <v/>
      </c>
      <c r="N8" s="128">
        <f>MAX(0,M8-M7)</f>
        <v/>
      </c>
      <c r="O8" s="127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RESUMO'!H21</f>
        <v/>
      </c>
      <c r="N9" s="128">
        <f>MAX(0,M9-M8)</f>
        <v/>
      </c>
      <c r="O9" s="127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RESUMO'!I21</f>
        <v/>
      </c>
      <c r="N10" s="128">
        <f>MAX(0,M10-M9)</f>
        <v/>
      </c>
      <c r="O10" s="127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RESUMO'!J21</f>
        <v/>
      </c>
      <c r="N11" s="128">
        <f>MAX(0,M11-M10)</f>
        <v/>
      </c>
      <c r="O11" s="127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RESUMO'!K21</f>
        <v/>
      </c>
      <c r="N12" s="128">
        <f>MAX(0,M12-M11)</f>
        <v/>
      </c>
      <c r="O12" s="127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PL'!I27</f>
        <v/>
      </c>
      <c r="M13" s="127">
        <f>'CP RESUMO'!L21</f>
        <v/>
      </c>
      <c r="N13" s="128">
        <f>MAX(0,M13-M12)</f>
        <v/>
      </c>
      <c r="O13" s="127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M14" s="127">
        <f>'CP RESUMO'!M21</f>
        <v/>
      </c>
      <c r="N14" s="128">
        <f>MAX(0,M14-M13)</f>
        <v/>
      </c>
      <c r="O14" s="127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RESUMO'!N21</f>
        <v/>
      </c>
      <c r="N15" s="128">
        <f>MAX(0,M15-M14)</f>
        <v/>
      </c>
      <c r="O15" s="127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RESUMO'!O21</f>
        <v/>
      </c>
      <c r="N16" s="128">
        <f>MAX(0,M16-M15)</f>
        <v/>
      </c>
      <c r="O16" s="127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RESUMO'!P21</f>
        <v/>
      </c>
      <c r="N17" s="128">
        <f>MAX(0,M17-M16)</f>
        <v/>
      </c>
      <c r="O17" s="127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RESUMO'!Q21</f>
        <v/>
      </c>
      <c r="N18" s="128">
        <f>MAX(0,M18-M17)</f>
        <v/>
      </c>
      <c r="O18" s="127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RESUMO'!R21</f>
        <v/>
      </c>
      <c r="N19" s="128">
        <f>MAX(0,M19-M18)</f>
        <v/>
      </c>
      <c r="O19" s="127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RESUMO'!S21</f>
        <v/>
      </c>
      <c r="N20" s="128">
        <f>MAX(0,M20-M19)</f>
        <v/>
      </c>
      <c r="O20" s="127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RESUMO'!T21</f>
        <v/>
      </c>
      <c r="N21" s="128">
        <f>MAX(0,M21-M20)</f>
        <v/>
      </c>
      <c r="O21" s="127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RESUMO'!U21</f>
        <v/>
      </c>
      <c r="N22" s="128">
        <f>MAX(0,M22-M21)</f>
        <v/>
      </c>
      <c r="O22" s="127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RESUMO'!V21</f>
        <v/>
      </c>
      <c r="N23" s="128">
        <f>MAX(0,M23-M22)</f>
        <v/>
      </c>
      <c r="O23" s="127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RESUMO'!W21</f>
        <v/>
      </c>
      <c r="N24" s="128">
        <f>MAX(0,M24-M23)</f>
        <v/>
      </c>
      <c r="O24" s="127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RESUMO'!X21</f>
        <v/>
      </c>
      <c r="N25" s="128">
        <f>MAX(0,M25-M24)</f>
        <v/>
      </c>
      <c r="O25" s="127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RESUMO'!Y21</f>
        <v/>
      </c>
      <c r="N26" s="128">
        <f>MAX(0,M26-M25)</f>
        <v/>
      </c>
      <c r="O26" s="127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RESUMO'!Z21</f>
        <v/>
      </c>
      <c r="N27" s="128">
        <f>MAX(0,M27-M26)</f>
        <v/>
      </c>
      <c r="O27" s="127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RESUMO'!AA21</f>
        <v/>
      </c>
      <c r="N28" s="128">
        <f>MAX(0,M28-M27)</f>
        <v/>
      </c>
      <c r="O28" s="127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RESUMO'!AB21</f>
        <v/>
      </c>
      <c r="N29" s="128">
        <f>MAX(0,M29-M28)</f>
        <v/>
      </c>
      <c r="O29" s="127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RESUMO'!AC21</f>
        <v/>
      </c>
      <c r="N30" s="128">
        <f>MAX(0,M30-M29)</f>
        <v/>
      </c>
      <c r="O30" s="127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RESUMO'!AD21</f>
        <v/>
      </c>
      <c r="N31" s="128">
        <f>MAX(0,M31-M30)</f>
        <v/>
      </c>
      <c r="O31" s="127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RESUMO'!AE21</f>
        <v/>
      </c>
      <c r="N32" s="128">
        <f>MAX(0,M32-M31)</f>
        <v/>
      </c>
      <c r="O32" s="127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RESUMO'!AF21</f>
        <v/>
      </c>
      <c r="N33" s="128">
        <f>MAX(0,M33-M32)</f>
        <v/>
      </c>
      <c r="O33" s="127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RESUMO'!AG21</f>
        <v/>
      </c>
      <c r="N34" s="128">
        <f>MAX(0,M34-M33)</f>
        <v/>
      </c>
      <c r="O34" s="127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RESUMO'!AH21</f>
        <v/>
      </c>
      <c r="N35" s="128">
        <f>MAX(0,M35-M34)</f>
        <v/>
      </c>
      <c r="O35" s="127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RESUMO'!AI21</f>
        <v/>
      </c>
      <c r="N36" s="128">
        <f>MAX(0,M36-M35)</f>
        <v/>
      </c>
      <c r="O36" s="127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RESUMO'!AJ21</f>
        <v/>
      </c>
      <c r="N37" s="128">
        <f>MAX(0,M37-M36)</f>
        <v/>
      </c>
      <c r="O37" s="127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RESUMO'!AK21</f>
        <v/>
      </c>
      <c r="N38" s="128">
        <f>MAX(0,M38-M37)</f>
        <v/>
      </c>
      <c r="O38" s="127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RESUMO'!AL21</f>
        <v/>
      </c>
      <c r="N39" s="128">
        <f>MAX(0,M39-M38)</f>
        <v/>
      </c>
      <c r="O39" s="127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RESUMO'!AM21</f>
        <v/>
      </c>
      <c r="N40" s="128">
        <f>MAX(0,M40-M39)</f>
        <v/>
      </c>
      <c r="O40" s="127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RESUMO'!AN21</f>
        <v/>
      </c>
      <c r="N41" s="128">
        <f>MAX(0,M41-M40)</f>
        <v/>
      </c>
      <c r="O41" s="127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RESUMO'!AO21</f>
        <v/>
      </c>
      <c r="N42" s="128">
        <f>MAX(0,M42-M41)</f>
        <v/>
      </c>
      <c r="O42" s="127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RESUMO'!AP21</f>
        <v/>
      </c>
      <c r="N43" s="128">
        <f>MAX(0,M43-M42)</f>
        <v/>
      </c>
      <c r="O43" s="127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RESUMO'!AQ21</f>
        <v/>
      </c>
      <c r="N44" s="128">
        <f>MAX(0,M44-M43)</f>
        <v/>
      </c>
      <c r="O44" s="127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RESUMO'!AR21</f>
        <v/>
      </c>
      <c r="N45" s="128">
        <f>MAX(0,M45-M44)</f>
        <v/>
      </c>
      <c r="O45" s="127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RESUMO'!AS21</f>
        <v/>
      </c>
      <c r="N46" s="128">
        <f>MAX(0,M46-M45)</f>
        <v/>
      </c>
      <c r="O46" s="127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RESUMO'!AT21</f>
        <v/>
      </c>
      <c r="N47" s="128">
        <f>MAX(0,M47-M46)</f>
        <v/>
      </c>
      <c r="O47" s="127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RESUMO'!AU21</f>
        <v/>
      </c>
      <c r="N48" s="128">
        <f>MAX(0,M48-M47)</f>
        <v/>
      </c>
      <c r="O48" s="127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RESUMO'!AV21</f>
        <v/>
      </c>
      <c r="N49" s="128">
        <f>MAX(0,M49-M48)</f>
        <v/>
      </c>
      <c r="O49" s="127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RESUMO'!AW21</f>
        <v/>
      </c>
      <c r="N50" s="128">
        <f>MAX(0,M50-M49)</f>
        <v/>
      </c>
      <c r="O50" s="127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RESUMO'!AX21</f>
        <v/>
      </c>
      <c r="N51" s="128">
        <f>MAX(0,M51-M50)</f>
        <v/>
      </c>
      <c r="O51" s="127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RESUMO'!AY21</f>
        <v/>
      </c>
      <c r="N52" s="128">
        <f>MAX(0,M52-M51)</f>
        <v/>
      </c>
      <c r="O52" s="127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RESUMO'!AZ21</f>
        <v/>
      </c>
      <c r="N53" s="128">
        <f>MAX(0,M53-M52)</f>
        <v/>
      </c>
      <c r="O53" s="127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RESUMO'!BA21</f>
        <v/>
      </c>
      <c r="N54" s="128">
        <f>MAX(0,M54-M53)</f>
        <v/>
      </c>
      <c r="O54" s="127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RESUMO'!BB21</f>
        <v/>
      </c>
      <c r="N55" s="128">
        <f>MAX(0,M55-M54)</f>
        <v/>
      </c>
      <c r="O55" s="127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RESUMO'!BC21</f>
        <v/>
      </c>
      <c r="N56" s="128">
        <f>MAX(0,M56-M55)</f>
        <v/>
      </c>
      <c r="O56" s="127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RESUMO'!BD21</f>
        <v/>
      </c>
      <c r="N57" s="128">
        <f>MAX(0,M57-M56)</f>
        <v/>
      </c>
      <c r="O57" s="127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RESUMO'!BE21</f>
        <v/>
      </c>
      <c r="N58" s="128">
        <f>MAX(0,M58-M57)</f>
        <v/>
      </c>
      <c r="O58" s="127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RESUMO'!BF21</f>
        <v/>
      </c>
      <c r="N59" s="128">
        <f>MAX(0,M59-M58)</f>
        <v/>
      </c>
      <c r="O59" s="127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RESUMO'!BG21</f>
        <v/>
      </c>
      <c r="N60" s="128">
        <f>MAX(0,M60-M59)</f>
        <v/>
      </c>
      <c r="O60" s="127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RESUMO'!BH21</f>
        <v/>
      </c>
      <c r="N61" s="128">
        <f>MAX(0,M61-M60)</f>
        <v/>
      </c>
      <c r="O61" s="127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RESUMO'!BI21</f>
        <v/>
      </c>
      <c r="N62" s="128">
        <f>MAX(0,M62-M61)</f>
        <v/>
      </c>
      <c r="O62" s="127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RESUMO'!BJ21</f>
        <v/>
      </c>
      <c r="N63" s="128">
        <f>MAX(0,M63-M62)</f>
        <v/>
      </c>
      <c r="O63" s="127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RESUMO'!BK21</f>
        <v/>
      </c>
      <c r="N64" s="128">
        <f>MAX(0,M64-M63)</f>
        <v/>
      </c>
      <c r="O64" s="127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RESUMO'!BL21</f>
        <v/>
      </c>
      <c r="N65" s="128">
        <f>MAX(0,M65-M64)</f>
        <v/>
      </c>
      <c r="O65" s="127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RESUMO'!BM21</f>
        <v/>
      </c>
      <c r="N66" s="128">
        <f>MAX(0,M66-M65)</f>
        <v/>
      </c>
      <c r="O66" s="127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RESUMO'!BN21</f>
        <v/>
      </c>
      <c r="N67" s="128">
        <f>MAX(0,M67-M66)</f>
        <v/>
      </c>
      <c r="O67" s="127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RESUMO'!BO21</f>
        <v/>
      </c>
      <c r="N68" s="128">
        <f>MAX(0,M68-M67)</f>
        <v/>
      </c>
      <c r="O68" s="127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RESUMO'!BP21</f>
        <v/>
      </c>
      <c r="N69" s="128">
        <f>MAX(0,M69-M68)</f>
        <v/>
      </c>
      <c r="O69" s="127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RESUMO'!BQ21</f>
        <v/>
      </c>
      <c r="N70" s="128">
        <f>MAX(0,M70-M69)</f>
        <v/>
      </c>
      <c r="O70" s="127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RESUMO'!BR21</f>
        <v/>
      </c>
      <c r="N71" s="128">
        <f>MAX(0,M71-M70)</f>
        <v/>
      </c>
      <c r="O71" s="127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RESUMO'!BS21</f>
        <v/>
      </c>
      <c r="N72" s="128">
        <f>MAX(0,M72-M71)</f>
        <v/>
      </c>
      <c r="O72" s="127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RESUMO'!BT21</f>
        <v/>
      </c>
      <c r="N73" s="128">
        <f>MAX(0,M73-M72)</f>
        <v/>
      </c>
      <c r="O73" s="127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RESUMO'!BU21</f>
        <v/>
      </c>
      <c r="N74" s="128">
        <f>MAX(0,M74-M73)</f>
        <v/>
      </c>
      <c r="O74" s="127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RESUMO'!BV21</f>
        <v/>
      </c>
      <c r="N75" s="128">
        <f>MAX(0,M75-M74)</f>
        <v/>
      </c>
      <c r="O75" s="127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RESUMO'!BW21</f>
        <v/>
      </c>
      <c r="N76" s="128">
        <f>MAX(0,M76-M75)</f>
        <v/>
      </c>
      <c r="O76" s="127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PL'!F28</f>
        <v/>
      </c>
      <c r="K5" s="63">
        <f>'VALOR POR PL'!G28</f>
        <v/>
      </c>
      <c r="M5" s="127">
        <f>'CP RESUMO'!D22</f>
        <v/>
      </c>
      <c r="N5" s="128" t="n">
        <v>0</v>
      </c>
      <c r="O5" s="127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RESUMO'!E22</f>
        <v/>
      </c>
      <c r="N6" s="128">
        <f>MAX(0,M6-M5)</f>
        <v/>
      </c>
      <c r="O6" s="127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PL'!L28</f>
        <v/>
      </c>
      <c r="M7" s="127">
        <f>'CP RESUMO'!F22</f>
        <v/>
      </c>
      <c r="N7" s="128">
        <f>MAX(0,M7-M6)</f>
        <v/>
      </c>
      <c r="O7" s="127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RESUMO'!G22</f>
        <v/>
      </c>
      <c r="N8" s="128">
        <f>MAX(0,M8-M7)</f>
        <v/>
      </c>
      <c r="O8" s="127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RESUMO'!H22</f>
        <v/>
      </c>
      <c r="N9" s="128">
        <f>MAX(0,M9-M8)</f>
        <v/>
      </c>
      <c r="O9" s="127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RESUMO'!I22</f>
        <v/>
      </c>
      <c r="N10" s="128">
        <f>MAX(0,M10-M9)</f>
        <v/>
      </c>
      <c r="O10" s="127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RESUMO'!J22</f>
        <v/>
      </c>
      <c r="N11" s="128">
        <f>MAX(0,M11-M10)</f>
        <v/>
      </c>
      <c r="O11" s="127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RESUMO'!K22</f>
        <v/>
      </c>
      <c r="N12" s="128">
        <f>MAX(0,M12-M11)</f>
        <v/>
      </c>
      <c r="O12" s="127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PL'!I28</f>
        <v/>
      </c>
      <c r="M13" s="127">
        <f>'CP RESUMO'!L22</f>
        <v/>
      </c>
      <c r="N13" s="128">
        <f>MAX(0,M13-M12)</f>
        <v/>
      </c>
      <c r="O13" s="127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M14" s="127">
        <f>'CP RESUMO'!M22</f>
        <v/>
      </c>
      <c r="N14" s="128">
        <f>MAX(0,M14-M13)</f>
        <v/>
      </c>
      <c r="O14" s="127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RESUMO'!N22</f>
        <v/>
      </c>
      <c r="N15" s="128">
        <f>MAX(0,M15-M14)</f>
        <v/>
      </c>
      <c r="O15" s="127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RESUMO'!O22</f>
        <v/>
      </c>
      <c r="N16" s="128">
        <f>MAX(0,M16-M15)</f>
        <v/>
      </c>
      <c r="O16" s="127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RESUMO'!P22</f>
        <v/>
      </c>
      <c r="N17" s="128">
        <f>MAX(0,M17-M16)</f>
        <v/>
      </c>
      <c r="O17" s="127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RESUMO'!Q22</f>
        <v/>
      </c>
      <c r="N18" s="128">
        <f>MAX(0,M18-M17)</f>
        <v/>
      </c>
      <c r="O18" s="127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RESUMO'!R22</f>
        <v/>
      </c>
      <c r="N19" s="128">
        <f>MAX(0,M19-M18)</f>
        <v/>
      </c>
      <c r="O19" s="127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RESUMO'!S22</f>
        <v/>
      </c>
      <c r="N20" s="128">
        <f>MAX(0,M20-M19)</f>
        <v/>
      </c>
      <c r="O20" s="127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RESUMO'!T22</f>
        <v/>
      </c>
      <c r="N21" s="128">
        <f>MAX(0,M21-M20)</f>
        <v/>
      </c>
      <c r="O21" s="127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RESUMO'!U22</f>
        <v/>
      </c>
      <c r="N22" s="128">
        <f>MAX(0,M22-M21)</f>
        <v/>
      </c>
      <c r="O22" s="127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RESUMO'!V22</f>
        <v/>
      </c>
      <c r="N23" s="128">
        <f>MAX(0,M23-M22)</f>
        <v/>
      </c>
      <c r="O23" s="127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RESUMO'!W22</f>
        <v/>
      </c>
      <c r="N24" s="128">
        <f>MAX(0,M24-M23)</f>
        <v/>
      </c>
      <c r="O24" s="127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RESUMO'!X22</f>
        <v/>
      </c>
      <c r="N25" s="128">
        <f>MAX(0,M25-M24)</f>
        <v/>
      </c>
      <c r="O25" s="127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RESUMO'!Y22</f>
        <v/>
      </c>
      <c r="N26" s="128">
        <f>MAX(0,M26-M25)</f>
        <v/>
      </c>
      <c r="O26" s="127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RESUMO'!Z22</f>
        <v/>
      </c>
      <c r="N27" s="128">
        <f>MAX(0,M27-M26)</f>
        <v/>
      </c>
      <c r="O27" s="127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RESUMO'!AA22</f>
        <v/>
      </c>
      <c r="N28" s="128">
        <f>MAX(0,M28-M27)</f>
        <v/>
      </c>
      <c r="O28" s="127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RESUMO'!AB22</f>
        <v/>
      </c>
      <c r="N29" s="128">
        <f>MAX(0,M29-M28)</f>
        <v/>
      </c>
      <c r="O29" s="127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RESUMO'!AC22</f>
        <v/>
      </c>
      <c r="N30" s="128">
        <f>MAX(0,M30-M29)</f>
        <v/>
      </c>
      <c r="O30" s="127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RESUMO'!AD22</f>
        <v/>
      </c>
      <c r="N31" s="128">
        <f>MAX(0,M31-M30)</f>
        <v/>
      </c>
      <c r="O31" s="127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RESUMO'!AE22</f>
        <v/>
      </c>
      <c r="N32" s="128">
        <f>MAX(0,M32-M31)</f>
        <v/>
      </c>
      <c r="O32" s="127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RESUMO'!AF22</f>
        <v/>
      </c>
      <c r="N33" s="128">
        <f>MAX(0,M33-M32)</f>
        <v/>
      </c>
      <c r="O33" s="127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RESUMO'!AG22</f>
        <v/>
      </c>
      <c r="N34" s="128">
        <f>MAX(0,M34-M33)</f>
        <v/>
      </c>
      <c r="O34" s="127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RESUMO'!AH22</f>
        <v/>
      </c>
      <c r="N35" s="128">
        <f>MAX(0,M35-M34)</f>
        <v/>
      </c>
      <c r="O35" s="127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RESUMO'!AI22</f>
        <v/>
      </c>
      <c r="N36" s="128">
        <f>MAX(0,M36-M35)</f>
        <v/>
      </c>
      <c r="O36" s="127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RESUMO'!AJ22</f>
        <v/>
      </c>
      <c r="N37" s="128">
        <f>MAX(0,M37-M36)</f>
        <v/>
      </c>
      <c r="O37" s="127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RESUMO'!AK22</f>
        <v/>
      </c>
      <c r="N38" s="128">
        <f>MAX(0,M38-M37)</f>
        <v/>
      </c>
      <c r="O38" s="127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RESUMO'!AL22</f>
        <v/>
      </c>
      <c r="N39" s="128">
        <f>MAX(0,M39-M38)</f>
        <v/>
      </c>
      <c r="O39" s="127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RESUMO'!AM22</f>
        <v/>
      </c>
      <c r="N40" s="128">
        <f>MAX(0,M40-M39)</f>
        <v/>
      </c>
      <c r="O40" s="127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RESUMO'!AN22</f>
        <v/>
      </c>
      <c r="N41" s="128">
        <f>MAX(0,M41-M40)</f>
        <v/>
      </c>
      <c r="O41" s="127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RESUMO'!AO22</f>
        <v/>
      </c>
      <c r="N42" s="128">
        <f>MAX(0,M42-M41)</f>
        <v/>
      </c>
      <c r="O42" s="127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RESUMO'!AP22</f>
        <v/>
      </c>
      <c r="N43" s="128">
        <f>MAX(0,M43-M42)</f>
        <v/>
      </c>
      <c r="O43" s="127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RESUMO'!AQ22</f>
        <v/>
      </c>
      <c r="N44" s="128">
        <f>MAX(0,M44-M43)</f>
        <v/>
      </c>
      <c r="O44" s="127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RESUMO'!AR22</f>
        <v/>
      </c>
      <c r="N45" s="128">
        <f>MAX(0,M45-M44)</f>
        <v/>
      </c>
      <c r="O45" s="127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RESUMO'!AS22</f>
        <v/>
      </c>
      <c r="N46" s="128">
        <f>MAX(0,M46-M45)</f>
        <v/>
      </c>
      <c r="O46" s="127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RESUMO'!AT22</f>
        <v/>
      </c>
      <c r="N47" s="128">
        <f>MAX(0,M47-M46)</f>
        <v/>
      </c>
      <c r="O47" s="127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RESUMO'!AU22</f>
        <v/>
      </c>
      <c r="N48" s="128">
        <f>MAX(0,M48-M47)</f>
        <v/>
      </c>
      <c r="O48" s="127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RESUMO'!AV22</f>
        <v/>
      </c>
      <c r="N49" s="128">
        <f>MAX(0,M49-M48)</f>
        <v/>
      </c>
      <c r="O49" s="127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RESUMO'!AW22</f>
        <v/>
      </c>
      <c r="N50" s="128">
        <f>MAX(0,M50-M49)</f>
        <v/>
      </c>
      <c r="O50" s="127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RESUMO'!AX22</f>
        <v/>
      </c>
      <c r="N51" s="128">
        <f>MAX(0,M51-M50)</f>
        <v/>
      </c>
      <c r="O51" s="127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RESUMO'!AY22</f>
        <v/>
      </c>
      <c r="N52" s="128">
        <f>MAX(0,M52-M51)</f>
        <v/>
      </c>
      <c r="O52" s="127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RESUMO'!AZ22</f>
        <v/>
      </c>
      <c r="N53" s="128">
        <f>MAX(0,M53-M52)</f>
        <v/>
      </c>
      <c r="O53" s="127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RESUMO'!BA22</f>
        <v/>
      </c>
      <c r="N54" s="128">
        <f>MAX(0,M54-M53)</f>
        <v/>
      </c>
      <c r="O54" s="127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RESUMO'!BB22</f>
        <v/>
      </c>
      <c r="N55" s="128">
        <f>MAX(0,M55-M54)</f>
        <v/>
      </c>
      <c r="O55" s="127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RESUMO'!BC22</f>
        <v/>
      </c>
      <c r="N56" s="128">
        <f>MAX(0,M56-M55)</f>
        <v/>
      </c>
      <c r="O56" s="127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RESUMO'!BD22</f>
        <v/>
      </c>
      <c r="N57" s="128">
        <f>MAX(0,M57-M56)</f>
        <v/>
      </c>
      <c r="O57" s="127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RESUMO'!BE22</f>
        <v/>
      </c>
      <c r="N58" s="128">
        <f>MAX(0,M58-M57)</f>
        <v/>
      </c>
      <c r="O58" s="127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RESUMO'!BF22</f>
        <v/>
      </c>
      <c r="N59" s="128">
        <f>MAX(0,M59-M58)</f>
        <v/>
      </c>
      <c r="O59" s="127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RESUMO'!BG22</f>
        <v/>
      </c>
      <c r="N60" s="128">
        <f>MAX(0,M60-M59)</f>
        <v/>
      </c>
      <c r="O60" s="127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RESUMO'!BH22</f>
        <v/>
      </c>
      <c r="N61" s="128">
        <f>MAX(0,M61-M60)</f>
        <v/>
      </c>
      <c r="O61" s="127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RESUMO'!BI22</f>
        <v/>
      </c>
      <c r="N62" s="128">
        <f>MAX(0,M62-M61)</f>
        <v/>
      </c>
      <c r="O62" s="127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RESUMO'!BJ22</f>
        <v/>
      </c>
      <c r="N63" s="128">
        <f>MAX(0,M63-M62)</f>
        <v/>
      </c>
      <c r="O63" s="127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RESUMO'!BK22</f>
        <v/>
      </c>
      <c r="N64" s="128">
        <f>MAX(0,M64-M63)</f>
        <v/>
      </c>
      <c r="O64" s="127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RESUMO'!BL22</f>
        <v/>
      </c>
      <c r="N65" s="128">
        <f>MAX(0,M65-M64)</f>
        <v/>
      </c>
      <c r="O65" s="127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RESUMO'!BM22</f>
        <v/>
      </c>
      <c r="N66" s="128">
        <f>MAX(0,M66-M65)</f>
        <v/>
      </c>
      <c r="O66" s="127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RESUMO'!BN22</f>
        <v/>
      </c>
      <c r="N67" s="128">
        <f>MAX(0,M67-M66)</f>
        <v/>
      </c>
      <c r="O67" s="127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RESUMO'!BO22</f>
        <v/>
      </c>
      <c r="N68" s="128">
        <f>MAX(0,M68-M67)</f>
        <v/>
      </c>
      <c r="O68" s="127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RESUMO'!BP22</f>
        <v/>
      </c>
      <c r="N69" s="128">
        <f>MAX(0,M69-M68)</f>
        <v/>
      </c>
      <c r="O69" s="127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RESUMO'!BQ22</f>
        <v/>
      </c>
      <c r="N70" s="128">
        <f>MAX(0,M70-M69)</f>
        <v/>
      </c>
      <c r="O70" s="127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RESUMO'!BR22</f>
        <v/>
      </c>
      <c r="N71" s="128">
        <f>MAX(0,M71-M70)</f>
        <v/>
      </c>
      <c r="O71" s="127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RESUMO'!BS22</f>
        <v/>
      </c>
      <c r="N72" s="128">
        <f>MAX(0,M72-M71)</f>
        <v/>
      </c>
      <c r="O72" s="127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RESUMO'!BT22</f>
        <v/>
      </c>
      <c r="N73" s="128">
        <f>MAX(0,M73-M72)</f>
        <v/>
      </c>
      <c r="O73" s="127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RESUMO'!BU22</f>
        <v/>
      </c>
      <c r="N74" s="128">
        <f>MAX(0,M74-M73)</f>
        <v/>
      </c>
      <c r="O74" s="127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RESUMO'!BV22</f>
        <v/>
      </c>
      <c r="N75" s="128">
        <f>MAX(0,M75-M74)</f>
        <v/>
      </c>
      <c r="O75" s="127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RESUMO'!BW22</f>
        <v/>
      </c>
      <c r="N76" s="128">
        <f>MAX(0,M76-M75)</f>
        <v/>
      </c>
      <c r="O76" s="127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PL'!D29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PL'!F29</f>
        <v/>
      </c>
      <c r="K5" s="63">
        <f>'VALOR POR PL'!G29</f>
        <v/>
      </c>
      <c r="M5" s="127">
        <f>'CP RESUMO'!D23</f>
        <v/>
      </c>
      <c r="N5" s="128" t="n">
        <v>0</v>
      </c>
      <c r="O5" s="127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RESUMO'!E23</f>
        <v/>
      </c>
      <c r="N6" s="128">
        <f>MAX(0,M6-M5)</f>
        <v/>
      </c>
      <c r="O6" s="127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PL'!L29</f>
        <v/>
      </c>
      <c r="M7" s="127">
        <f>'CP RESUMO'!F23</f>
        <v/>
      </c>
      <c r="N7" s="128">
        <f>MAX(0,M7-M6)</f>
        <v/>
      </c>
      <c r="O7" s="127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RESUMO'!G23</f>
        <v/>
      </c>
      <c r="N8" s="128">
        <f>MAX(0,M8-M7)</f>
        <v/>
      </c>
      <c r="O8" s="127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RESUMO'!H23</f>
        <v/>
      </c>
      <c r="N9" s="128">
        <f>MAX(0,M9-M8)</f>
        <v/>
      </c>
      <c r="O9" s="127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RESUMO'!I23</f>
        <v/>
      </c>
      <c r="N10" s="128">
        <f>MAX(0,M10-M9)</f>
        <v/>
      </c>
      <c r="O10" s="127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RESUMO'!J23</f>
        <v/>
      </c>
      <c r="N11" s="128">
        <f>MAX(0,M11-M10)</f>
        <v/>
      </c>
      <c r="O11" s="127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RESUMO'!K23</f>
        <v/>
      </c>
      <c r="N12" s="128">
        <f>MAX(0,M12-M11)</f>
        <v/>
      </c>
      <c r="O12" s="127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PL'!I29</f>
        <v/>
      </c>
      <c r="M13" s="127">
        <f>'CP RESUMO'!L23</f>
        <v/>
      </c>
      <c r="N13" s="128">
        <f>MAX(0,M13-M12)</f>
        <v/>
      </c>
      <c r="O13" s="127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M14" s="127">
        <f>'CP RESUMO'!M23</f>
        <v/>
      </c>
      <c r="N14" s="128">
        <f>MAX(0,M14-M13)</f>
        <v/>
      </c>
      <c r="O14" s="127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RESUMO'!N23</f>
        <v/>
      </c>
      <c r="N15" s="128">
        <f>MAX(0,M15-M14)</f>
        <v/>
      </c>
      <c r="O15" s="127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RESUMO'!O23</f>
        <v/>
      </c>
      <c r="N16" s="128">
        <f>MAX(0,M16-M15)</f>
        <v/>
      </c>
      <c r="O16" s="127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RESUMO'!P23</f>
        <v/>
      </c>
      <c r="N17" s="128">
        <f>MAX(0,M17-M16)</f>
        <v/>
      </c>
      <c r="O17" s="127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RESUMO'!Q23</f>
        <v/>
      </c>
      <c r="N18" s="128">
        <f>MAX(0,M18-M17)</f>
        <v/>
      </c>
      <c r="O18" s="127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RESUMO'!R23</f>
        <v/>
      </c>
      <c r="N19" s="128">
        <f>MAX(0,M19-M18)</f>
        <v/>
      </c>
      <c r="O19" s="127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RESUMO'!S23</f>
        <v/>
      </c>
      <c r="N20" s="128">
        <f>MAX(0,M20-M19)</f>
        <v/>
      </c>
      <c r="O20" s="127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RESUMO'!T23</f>
        <v/>
      </c>
      <c r="N21" s="128">
        <f>MAX(0,M21-M20)</f>
        <v/>
      </c>
      <c r="O21" s="127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RESUMO'!U23</f>
        <v/>
      </c>
      <c r="N22" s="128">
        <f>MAX(0,M22-M21)</f>
        <v/>
      </c>
      <c r="O22" s="127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RESUMO'!V23</f>
        <v/>
      </c>
      <c r="N23" s="128">
        <f>MAX(0,M23-M22)</f>
        <v/>
      </c>
      <c r="O23" s="127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RESUMO'!W23</f>
        <v/>
      </c>
      <c r="N24" s="128">
        <f>MAX(0,M24-M23)</f>
        <v/>
      </c>
      <c r="O24" s="127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RESUMO'!X23</f>
        <v/>
      </c>
      <c r="N25" s="128">
        <f>MAX(0,M25-M24)</f>
        <v/>
      </c>
      <c r="O25" s="127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RESUMO'!Y23</f>
        <v/>
      </c>
      <c r="N26" s="128">
        <f>MAX(0,M26-M25)</f>
        <v/>
      </c>
      <c r="O26" s="127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RESUMO'!Z23</f>
        <v/>
      </c>
      <c r="N27" s="128">
        <f>MAX(0,M27-M26)</f>
        <v/>
      </c>
      <c r="O27" s="127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RESUMO'!AA23</f>
        <v/>
      </c>
      <c r="N28" s="128">
        <f>MAX(0,M28-M27)</f>
        <v/>
      </c>
      <c r="O28" s="127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RESUMO'!AB23</f>
        <v/>
      </c>
      <c r="N29" s="128">
        <f>MAX(0,M29-M28)</f>
        <v/>
      </c>
      <c r="O29" s="127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RESUMO'!AC23</f>
        <v/>
      </c>
      <c r="N30" s="128">
        <f>MAX(0,M30-M29)</f>
        <v/>
      </c>
      <c r="O30" s="127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RESUMO'!AD23</f>
        <v/>
      </c>
      <c r="N31" s="128">
        <f>MAX(0,M31-M30)</f>
        <v/>
      </c>
      <c r="O31" s="127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RESUMO'!AE23</f>
        <v/>
      </c>
      <c r="N32" s="128">
        <f>MAX(0,M32-M31)</f>
        <v/>
      </c>
      <c r="O32" s="127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RESUMO'!AF23</f>
        <v/>
      </c>
      <c r="N33" s="128">
        <f>MAX(0,M33-M32)</f>
        <v/>
      </c>
      <c r="O33" s="127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RESUMO'!AG23</f>
        <v/>
      </c>
      <c r="N34" s="128">
        <f>MAX(0,M34-M33)</f>
        <v/>
      </c>
      <c r="O34" s="127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RESUMO'!AH23</f>
        <v/>
      </c>
      <c r="N35" s="128">
        <f>MAX(0,M35-M34)</f>
        <v/>
      </c>
      <c r="O35" s="127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RESUMO'!AI23</f>
        <v/>
      </c>
      <c r="N36" s="128">
        <f>MAX(0,M36-M35)</f>
        <v/>
      </c>
      <c r="O36" s="127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RESUMO'!AJ23</f>
        <v/>
      </c>
      <c r="N37" s="128">
        <f>MAX(0,M37-M36)</f>
        <v/>
      </c>
      <c r="O37" s="127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RESUMO'!AK23</f>
        <v/>
      </c>
      <c r="N38" s="128">
        <f>MAX(0,M38-M37)</f>
        <v/>
      </c>
      <c r="O38" s="127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RESUMO'!AL23</f>
        <v/>
      </c>
      <c r="N39" s="128">
        <f>MAX(0,M39-M38)</f>
        <v/>
      </c>
      <c r="O39" s="127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RESUMO'!AM23</f>
        <v/>
      </c>
      <c r="N40" s="128">
        <f>MAX(0,M40-M39)</f>
        <v/>
      </c>
      <c r="O40" s="127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RESUMO'!AN23</f>
        <v/>
      </c>
      <c r="N41" s="128">
        <f>MAX(0,M41-M40)</f>
        <v/>
      </c>
      <c r="O41" s="127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RESUMO'!AO23</f>
        <v/>
      </c>
      <c r="N42" s="128">
        <f>MAX(0,M42-M41)</f>
        <v/>
      </c>
      <c r="O42" s="127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RESUMO'!AP23</f>
        <v/>
      </c>
      <c r="N43" s="128">
        <f>MAX(0,M43-M42)</f>
        <v/>
      </c>
      <c r="O43" s="127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RESUMO'!AQ23</f>
        <v/>
      </c>
      <c r="N44" s="128">
        <f>MAX(0,M44-M43)</f>
        <v/>
      </c>
      <c r="O44" s="127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RESUMO'!AR23</f>
        <v/>
      </c>
      <c r="N45" s="128">
        <f>MAX(0,M45-M44)</f>
        <v/>
      </c>
      <c r="O45" s="127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RESUMO'!AS23</f>
        <v/>
      </c>
      <c r="N46" s="128">
        <f>MAX(0,M46-M45)</f>
        <v/>
      </c>
      <c r="O46" s="127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RESUMO'!AT23</f>
        <v/>
      </c>
      <c r="N47" s="128">
        <f>MAX(0,M47-M46)</f>
        <v/>
      </c>
      <c r="O47" s="127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RESUMO'!AU23</f>
        <v/>
      </c>
      <c r="N48" s="128">
        <f>MAX(0,M48-M47)</f>
        <v/>
      </c>
      <c r="O48" s="127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RESUMO'!AV23</f>
        <v/>
      </c>
      <c r="N49" s="128">
        <f>MAX(0,M49-M48)</f>
        <v/>
      </c>
      <c r="O49" s="127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RESUMO'!AW23</f>
        <v/>
      </c>
      <c r="N50" s="128">
        <f>MAX(0,M50-M49)</f>
        <v/>
      </c>
      <c r="O50" s="127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RESUMO'!AX23</f>
        <v/>
      </c>
      <c r="N51" s="128">
        <f>MAX(0,M51-M50)</f>
        <v/>
      </c>
      <c r="O51" s="127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RESUMO'!AY23</f>
        <v/>
      </c>
      <c r="N52" s="128">
        <f>MAX(0,M52-M51)</f>
        <v/>
      </c>
      <c r="O52" s="127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RESUMO'!AZ23</f>
        <v/>
      </c>
      <c r="N53" s="128">
        <f>MAX(0,M53-M52)</f>
        <v/>
      </c>
      <c r="O53" s="127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RESUMO'!BA23</f>
        <v/>
      </c>
      <c r="N54" s="128">
        <f>MAX(0,M54-M53)</f>
        <v/>
      </c>
      <c r="O54" s="127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RESUMO'!BB23</f>
        <v/>
      </c>
      <c r="N55" s="128">
        <f>MAX(0,M55-M54)</f>
        <v/>
      </c>
      <c r="O55" s="127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RESUMO'!BC23</f>
        <v/>
      </c>
      <c r="N56" s="128">
        <f>MAX(0,M56-M55)</f>
        <v/>
      </c>
      <c r="O56" s="127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RESUMO'!BD23</f>
        <v/>
      </c>
      <c r="N57" s="128">
        <f>MAX(0,M57-M56)</f>
        <v/>
      </c>
      <c r="O57" s="127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RESUMO'!BE23</f>
        <v/>
      </c>
      <c r="N58" s="128">
        <f>MAX(0,M58-M57)</f>
        <v/>
      </c>
      <c r="O58" s="127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RESUMO'!BF23</f>
        <v/>
      </c>
      <c r="N59" s="128">
        <f>MAX(0,M59-M58)</f>
        <v/>
      </c>
      <c r="O59" s="127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RESUMO'!BG23</f>
        <v/>
      </c>
      <c r="N60" s="128">
        <f>MAX(0,M60-M59)</f>
        <v/>
      </c>
      <c r="O60" s="127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RESUMO'!BH23</f>
        <v/>
      </c>
      <c r="N61" s="128">
        <f>MAX(0,M61-M60)</f>
        <v/>
      </c>
      <c r="O61" s="127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RESUMO'!BI23</f>
        <v/>
      </c>
      <c r="N62" s="128">
        <f>MAX(0,M62-M61)</f>
        <v/>
      </c>
      <c r="O62" s="127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RESUMO'!BJ23</f>
        <v/>
      </c>
      <c r="N63" s="128">
        <f>MAX(0,M63-M62)</f>
        <v/>
      </c>
      <c r="O63" s="127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RESUMO'!BK23</f>
        <v/>
      </c>
      <c r="N64" s="128">
        <f>MAX(0,M64-M63)</f>
        <v/>
      </c>
      <c r="O64" s="127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RESUMO'!BL23</f>
        <v/>
      </c>
      <c r="N65" s="128">
        <f>MAX(0,M65-M64)</f>
        <v/>
      </c>
      <c r="O65" s="127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RESUMO'!BM23</f>
        <v/>
      </c>
      <c r="N66" s="128">
        <f>MAX(0,M66-M65)</f>
        <v/>
      </c>
      <c r="O66" s="127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RESUMO'!BN23</f>
        <v/>
      </c>
      <c r="N67" s="128">
        <f>MAX(0,M67-M66)</f>
        <v/>
      </c>
      <c r="O67" s="127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RESUMO'!BO23</f>
        <v/>
      </c>
      <c r="N68" s="128">
        <f>MAX(0,M68-M67)</f>
        <v/>
      </c>
      <c r="O68" s="127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RESUMO'!BP23</f>
        <v/>
      </c>
      <c r="N69" s="128">
        <f>MAX(0,M69-M68)</f>
        <v/>
      </c>
      <c r="O69" s="127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RESUMO'!BQ23</f>
        <v/>
      </c>
      <c r="N70" s="128">
        <f>MAX(0,M70-M69)</f>
        <v/>
      </c>
      <c r="O70" s="127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RESUMO'!BR23</f>
        <v/>
      </c>
      <c r="N71" s="128">
        <f>MAX(0,M71-M70)</f>
        <v/>
      </c>
      <c r="O71" s="127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RESUMO'!BS23</f>
        <v/>
      </c>
      <c r="N72" s="128">
        <f>MAX(0,M72-M71)</f>
        <v/>
      </c>
      <c r="O72" s="127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RESUMO'!BT23</f>
        <v/>
      </c>
      <c r="N73" s="128">
        <f>MAX(0,M73-M72)</f>
        <v/>
      </c>
      <c r="O73" s="127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RESUMO'!BU23</f>
        <v/>
      </c>
      <c r="N74" s="128">
        <f>MAX(0,M74-M73)</f>
        <v/>
      </c>
      <c r="O74" s="127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RESUMO'!BV23</f>
        <v/>
      </c>
      <c r="N75" s="128">
        <f>MAX(0,M75-M74)</f>
        <v/>
      </c>
      <c r="O75" s="127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RESUMO'!BW23</f>
        <v/>
      </c>
      <c r="N76" s="128">
        <f>MAX(0,M76-M75)</f>
        <v/>
      </c>
      <c r="O76" s="127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PL'!F30</f>
        <v/>
      </c>
      <c r="K5" s="63">
        <f>'VALOR POR PL'!G30</f>
        <v/>
      </c>
      <c r="M5" s="127">
        <f>'CP RESUMO'!D24</f>
        <v/>
      </c>
      <c r="N5" s="128" t="n">
        <v>0</v>
      </c>
      <c r="O5" s="127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RESUMO'!E24</f>
        <v/>
      </c>
      <c r="N6" s="128">
        <f>MAX(0,M6-M5)</f>
        <v/>
      </c>
      <c r="O6" s="127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PL'!L30</f>
        <v/>
      </c>
      <c r="M7" s="127">
        <f>'CP RESUMO'!F24</f>
        <v/>
      </c>
      <c r="N7" s="128">
        <f>MAX(0,M7-M6)</f>
        <v/>
      </c>
      <c r="O7" s="127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RESUMO'!G24</f>
        <v/>
      </c>
      <c r="N8" s="128">
        <f>MAX(0,M8-M7)</f>
        <v/>
      </c>
      <c r="O8" s="127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RESUMO'!H24</f>
        <v/>
      </c>
      <c r="N9" s="128">
        <f>MAX(0,M9-M8)</f>
        <v/>
      </c>
      <c r="O9" s="127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RESUMO'!I24</f>
        <v/>
      </c>
      <c r="N10" s="128">
        <f>MAX(0,M10-M9)</f>
        <v/>
      </c>
      <c r="O10" s="127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RESUMO'!J24</f>
        <v/>
      </c>
      <c r="N11" s="128">
        <f>MAX(0,M11-M10)</f>
        <v/>
      </c>
      <c r="O11" s="127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RESUMO'!K24</f>
        <v/>
      </c>
      <c r="N12" s="128">
        <f>MAX(0,M12-M11)</f>
        <v/>
      </c>
      <c r="O12" s="127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PL'!I30</f>
        <v/>
      </c>
      <c r="M13" s="127">
        <f>'CP RESUMO'!L24</f>
        <v/>
      </c>
      <c r="N13" s="128">
        <f>MAX(0,M13-M12)</f>
        <v/>
      </c>
      <c r="O13" s="127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M14" s="127">
        <f>'CP RESUMO'!M24</f>
        <v/>
      </c>
      <c r="N14" s="128">
        <f>MAX(0,M14-M13)</f>
        <v/>
      </c>
      <c r="O14" s="127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RESUMO'!N24</f>
        <v/>
      </c>
      <c r="N15" s="128">
        <f>MAX(0,M15-M14)</f>
        <v/>
      </c>
      <c r="O15" s="127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RESUMO'!O24</f>
        <v/>
      </c>
      <c r="N16" s="128">
        <f>MAX(0,M16-M15)</f>
        <v/>
      </c>
      <c r="O16" s="127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RESUMO'!P24</f>
        <v/>
      </c>
      <c r="N17" s="128">
        <f>MAX(0,M17-M16)</f>
        <v/>
      </c>
      <c r="O17" s="127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RESUMO'!Q24</f>
        <v/>
      </c>
      <c r="N18" s="128">
        <f>MAX(0,M18-M17)</f>
        <v/>
      </c>
      <c r="O18" s="127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RESUMO'!R24</f>
        <v/>
      </c>
      <c r="N19" s="128">
        <f>MAX(0,M19-M18)</f>
        <v/>
      </c>
      <c r="O19" s="127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RESUMO'!S24</f>
        <v/>
      </c>
      <c r="N20" s="128">
        <f>MAX(0,M20-M19)</f>
        <v/>
      </c>
      <c r="O20" s="127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RESUMO'!T24</f>
        <v/>
      </c>
      <c r="N21" s="128">
        <f>MAX(0,M21-M20)</f>
        <v/>
      </c>
      <c r="O21" s="127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RESUMO'!U24</f>
        <v/>
      </c>
      <c r="N22" s="128">
        <f>MAX(0,M22-M21)</f>
        <v/>
      </c>
      <c r="O22" s="127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RESUMO'!V24</f>
        <v/>
      </c>
      <c r="N23" s="128">
        <f>MAX(0,M23-M22)</f>
        <v/>
      </c>
      <c r="O23" s="127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RESUMO'!W24</f>
        <v/>
      </c>
      <c r="N24" s="128">
        <f>MAX(0,M24-M23)</f>
        <v/>
      </c>
      <c r="O24" s="127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RESUMO'!X24</f>
        <v/>
      </c>
      <c r="N25" s="128">
        <f>MAX(0,M25-M24)</f>
        <v/>
      </c>
      <c r="O25" s="127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RESUMO'!Y24</f>
        <v/>
      </c>
      <c r="N26" s="128">
        <f>MAX(0,M26-M25)</f>
        <v/>
      </c>
      <c r="O26" s="127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RESUMO'!Z24</f>
        <v/>
      </c>
      <c r="N27" s="128">
        <f>MAX(0,M27-M26)</f>
        <v/>
      </c>
      <c r="O27" s="127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RESUMO'!AA24</f>
        <v/>
      </c>
      <c r="N28" s="128">
        <f>MAX(0,M28-M27)</f>
        <v/>
      </c>
      <c r="O28" s="127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RESUMO'!AB24</f>
        <v/>
      </c>
      <c r="N29" s="128">
        <f>MAX(0,M29-M28)</f>
        <v/>
      </c>
      <c r="O29" s="127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RESUMO'!AC24</f>
        <v/>
      </c>
      <c r="N30" s="128">
        <f>MAX(0,M30-M29)</f>
        <v/>
      </c>
      <c r="O30" s="127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RESUMO'!AD24</f>
        <v/>
      </c>
      <c r="N31" s="128">
        <f>MAX(0,M31-M30)</f>
        <v/>
      </c>
      <c r="O31" s="127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RESUMO'!AE24</f>
        <v/>
      </c>
      <c r="N32" s="128">
        <f>MAX(0,M32-M31)</f>
        <v/>
      </c>
      <c r="O32" s="127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RESUMO'!AF24</f>
        <v/>
      </c>
      <c r="N33" s="128">
        <f>MAX(0,M33-M32)</f>
        <v/>
      </c>
      <c r="O33" s="127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RESUMO'!AG24</f>
        <v/>
      </c>
      <c r="N34" s="128">
        <f>MAX(0,M34-M33)</f>
        <v/>
      </c>
      <c r="O34" s="127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RESUMO'!AH24</f>
        <v/>
      </c>
      <c r="N35" s="128">
        <f>MAX(0,M35-M34)</f>
        <v/>
      </c>
      <c r="O35" s="127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RESUMO'!AI24</f>
        <v/>
      </c>
      <c r="N36" s="128">
        <f>MAX(0,M36-M35)</f>
        <v/>
      </c>
      <c r="O36" s="127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RESUMO'!AJ24</f>
        <v/>
      </c>
      <c r="N37" s="128">
        <f>MAX(0,M37-M36)</f>
        <v/>
      </c>
      <c r="O37" s="127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RESUMO'!AK24</f>
        <v/>
      </c>
      <c r="N38" s="128">
        <f>MAX(0,M38-M37)</f>
        <v/>
      </c>
      <c r="O38" s="127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RESUMO'!AL24</f>
        <v/>
      </c>
      <c r="N39" s="128">
        <f>MAX(0,M39-M38)</f>
        <v/>
      </c>
      <c r="O39" s="127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RESUMO'!AM24</f>
        <v/>
      </c>
      <c r="N40" s="128">
        <f>MAX(0,M40-M39)</f>
        <v/>
      </c>
      <c r="O40" s="127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RESUMO'!AN24</f>
        <v/>
      </c>
      <c r="N41" s="128">
        <f>MAX(0,M41-M40)</f>
        <v/>
      </c>
      <c r="O41" s="127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RESUMO'!AO24</f>
        <v/>
      </c>
      <c r="N42" s="128">
        <f>MAX(0,M42-M41)</f>
        <v/>
      </c>
      <c r="O42" s="127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RESUMO'!AP24</f>
        <v/>
      </c>
      <c r="N43" s="128">
        <f>MAX(0,M43-M42)</f>
        <v/>
      </c>
      <c r="O43" s="127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RESUMO'!AQ24</f>
        <v/>
      </c>
      <c r="N44" s="128">
        <f>MAX(0,M44-M43)</f>
        <v/>
      </c>
      <c r="O44" s="127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RESUMO'!AR24</f>
        <v/>
      </c>
      <c r="N45" s="128">
        <f>MAX(0,M45-M44)</f>
        <v/>
      </c>
      <c r="O45" s="127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RESUMO'!AS24</f>
        <v/>
      </c>
      <c r="N46" s="128">
        <f>MAX(0,M46-M45)</f>
        <v/>
      </c>
      <c r="O46" s="127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RESUMO'!AT24</f>
        <v/>
      </c>
      <c r="N47" s="128">
        <f>MAX(0,M47-M46)</f>
        <v/>
      </c>
      <c r="O47" s="127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RESUMO'!AU24</f>
        <v/>
      </c>
      <c r="N48" s="128">
        <f>MAX(0,M48-M47)</f>
        <v/>
      </c>
      <c r="O48" s="127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RESUMO'!AV24</f>
        <v/>
      </c>
      <c r="N49" s="128">
        <f>MAX(0,M49-M48)</f>
        <v/>
      </c>
      <c r="O49" s="127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RESUMO'!AW24</f>
        <v/>
      </c>
      <c r="N50" s="128">
        <f>MAX(0,M50-M49)</f>
        <v/>
      </c>
      <c r="O50" s="127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RESUMO'!AX24</f>
        <v/>
      </c>
      <c r="N51" s="128">
        <f>MAX(0,M51-M50)</f>
        <v/>
      </c>
      <c r="O51" s="127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RESUMO'!AY24</f>
        <v/>
      </c>
      <c r="N52" s="128">
        <f>MAX(0,M52-M51)</f>
        <v/>
      </c>
      <c r="O52" s="127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RESUMO'!AZ24</f>
        <v/>
      </c>
      <c r="N53" s="128">
        <f>MAX(0,M53-M52)</f>
        <v/>
      </c>
      <c r="O53" s="127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RESUMO'!BA24</f>
        <v/>
      </c>
      <c r="N54" s="128">
        <f>MAX(0,M54-M53)</f>
        <v/>
      </c>
      <c r="O54" s="127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RESUMO'!BB24</f>
        <v/>
      </c>
      <c r="N55" s="128">
        <f>MAX(0,M55-M54)</f>
        <v/>
      </c>
      <c r="O55" s="127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RESUMO'!BC24</f>
        <v/>
      </c>
      <c r="N56" s="128">
        <f>MAX(0,M56-M55)</f>
        <v/>
      </c>
      <c r="O56" s="127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RESUMO'!BD24</f>
        <v/>
      </c>
      <c r="N57" s="128">
        <f>MAX(0,M57-M56)</f>
        <v/>
      </c>
      <c r="O57" s="127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RESUMO'!BE24</f>
        <v/>
      </c>
      <c r="N58" s="128">
        <f>MAX(0,M58-M57)</f>
        <v/>
      </c>
      <c r="O58" s="127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RESUMO'!BF24</f>
        <v/>
      </c>
      <c r="N59" s="128">
        <f>MAX(0,M59-M58)</f>
        <v/>
      </c>
      <c r="O59" s="127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RESUMO'!BG24</f>
        <v/>
      </c>
      <c r="N60" s="128">
        <f>MAX(0,M60-M59)</f>
        <v/>
      </c>
      <c r="O60" s="127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RESUMO'!BH24</f>
        <v/>
      </c>
      <c r="N61" s="128">
        <f>MAX(0,M61-M60)</f>
        <v/>
      </c>
      <c r="O61" s="127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RESUMO'!BI24</f>
        <v/>
      </c>
      <c r="N62" s="128">
        <f>MAX(0,M62-M61)</f>
        <v/>
      </c>
      <c r="O62" s="127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RESUMO'!BJ24</f>
        <v/>
      </c>
      <c r="N63" s="128">
        <f>MAX(0,M63-M62)</f>
        <v/>
      </c>
      <c r="O63" s="127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RESUMO'!BK24</f>
        <v/>
      </c>
      <c r="N64" s="128">
        <f>MAX(0,M64-M63)</f>
        <v/>
      </c>
      <c r="O64" s="127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RESUMO'!BL24</f>
        <v/>
      </c>
      <c r="N65" s="128">
        <f>MAX(0,M65-M64)</f>
        <v/>
      </c>
      <c r="O65" s="127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RESUMO'!BM24</f>
        <v/>
      </c>
      <c r="N66" s="128">
        <f>MAX(0,M66-M65)</f>
        <v/>
      </c>
      <c r="O66" s="127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RESUMO'!BN24</f>
        <v/>
      </c>
      <c r="N67" s="128">
        <f>MAX(0,M67-M66)</f>
        <v/>
      </c>
      <c r="O67" s="127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RESUMO'!BO24</f>
        <v/>
      </c>
      <c r="N68" s="128">
        <f>MAX(0,M68-M67)</f>
        <v/>
      </c>
      <c r="O68" s="127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RESUMO'!BP24</f>
        <v/>
      </c>
      <c r="N69" s="128">
        <f>MAX(0,M69-M68)</f>
        <v/>
      </c>
      <c r="O69" s="127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RESUMO'!BQ24</f>
        <v/>
      </c>
      <c r="N70" s="128">
        <f>MAX(0,M70-M69)</f>
        <v/>
      </c>
      <c r="O70" s="127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RESUMO'!BR24</f>
        <v/>
      </c>
      <c r="N71" s="128">
        <f>MAX(0,M71-M70)</f>
        <v/>
      </c>
      <c r="O71" s="127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RESUMO'!BS24</f>
        <v/>
      </c>
      <c r="N72" s="128">
        <f>MAX(0,M72-M71)</f>
        <v/>
      </c>
      <c r="O72" s="127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RESUMO'!BT24</f>
        <v/>
      </c>
      <c r="N73" s="128">
        <f>MAX(0,M73-M72)</f>
        <v/>
      </c>
      <c r="O73" s="127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RESUMO'!BU24</f>
        <v/>
      </c>
      <c r="N74" s="128">
        <f>MAX(0,M74-M73)</f>
        <v/>
      </c>
      <c r="O74" s="127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RESUMO'!BV24</f>
        <v/>
      </c>
      <c r="N75" s="128">
        <f>MAX(0,M75-M74)</f>
        <v/>
      </c>
      <c r="O75" s="127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RESUMO'!BW24</f>
        <v/>
      </c>
      <c r="N76" s="128">
        <f>MAX(0,M76-M75)</f>
        <v/>
      </c>
      <c r="O76" s="127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PL'!F31</f>
        <v/>
      </c>
      <c r="K5" s="63">
        <f>'VALOR POR PL'!G31</f>
        <v/>
      </c>
      <c r="M5" s="127">
        <f>'CP RESUMO'!D25</f>
        <v/>
      </c>
      <c r="N5" s="128" t="n">
        <v>0</v>
      </c>
      <c r="O5" s="127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RESUMO'!E25</f>
        <v/>
      </c>
      <c r="N6" s="128">
        <f>MAX(0,M6-M5)</f>
        <v/>
      </c>
      <c r="O6" s="127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PL'!L31</f>
        <v/>
      </c>
      <c r="M7" s="127">
        <f>'CP RESUMO'!F25</f>
        <v/>
      </c>
      <c r="N7" s="128">
        <f>MAX(0,M7-M6)</f>
        <v/>
      </c>
      <c r="O7" s="127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RESUMO'!G25</f>
        <v/>
      </c>
      <c r="N8" s="128">
        <f>MAX(0,M8-M7)</f>
        <v/>
      </c>
      <c r="O8" s="127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RESUMO'!H25</f>
        <v/>
      </c>
      <c r="N9" s="128">
        <f>MAX(0,M9-M8)</f>
        <v/>
      </c>
      <c r="O9" s="127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RESUMO'!I25</f>
        <v/>
      </c>
      <c r="N10" s="128">
        <f>MAX(0,M10-M9)</f>
        <v/>
      </c>
      <c r="O10" s="127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RESUMO'!J25</f>
        <v/>
      </c>
      <c r="N11" s="128">
        <f>MAX(0,M11-M10)</f>
        <v/>
      </c>
      <c r="O11" s="127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RESUMO'!K25</f>
        <v/>
      </c>
      <c r="N12" s="128">
        <f>MAX(0,M12-M11)</f>
        <v/>
      </c>
      <c r="O12" s="127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PL'!I31</f>
        <v/>
      </c>
      <c r="M13" s="127">
        <f>'CP RESUMO'!L25</f>
        <v/>
      </c>
      <c r="N13" s="128">
        <f>MAX(0,M13-M12)</f>
        <v/>
      </c>
      <c r="O13" s="127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M14" s="127">
        <f>'CP RESUMO'!M25</f>
        <v/>
      </c>
      <c r="N14" s="128">
        <f>MAX(0,M14-M13)</f>
        <v/>
      </c>
      <c r="O14" s="127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RESUMO'!N25</f>
        <v/>
      </c>
      <c r="N15" s="128">
        <f>MAX(0,M15-M14)</f>
        <v/>
      </c>
      <c r="O15" s="127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RESUMO'!O25</f>
        <v/>
      </c>
      <c r="N16" s="128">
        <f>MAX(0,M16-M15)</f>
        <v/>
      </c>
      <c r="O16" s="127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RESUMO'!P25</f>
        <v/>
      </c>
      <c r="N17" s="128">
        <f>MAX(0,M17-M16)</f>
        <v/>
      </c>
      <c r="O17" s="127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RESUMO'!Q25</f>
        <v/>
      </c>
      <c r="N18" s="128">
        <f>MAX(0,M18-M17)</f>
        <v/>
      </c>
      <c r="O18" s="127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RESUMO'!R25</f>
        <v/>
      </c>
      <c r="N19" s="128">
        <f>MAX(0,M19-M18)</f>
        <v/>
      </c>
      <c r="O19" s="127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RESUMO'!S25</f>
        <v/>
      </c>
      <c r="N20" s="128">
        <f>MAX(0,M20-M19)</f>
        <v/>
      </c>
      <c r="O20" s="127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RESUMO'!T25</f>
        <v/>
      </c>
      <c r="N21" s="128">
        <f>MAX(0,M21-M20)</f>
        <v/>
      </c>
      <c r="O21" s="127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RESUMO'!U25</f>
        <v/>
      </c>
      <c r="N22" s="128">
        <f>MAX(0,M22-M21)</f>
        <v/>
      </c>
      <c r="O22" s="127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RESUMO'!V25</f>
        <v/>
      </c>
      <c r="N23" s="128">
        <f>MAX(0,M23-M22)</f>
        <v/>
      </c>
      <c r="O23" s="127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RESUMO'!W25</f>
        <v/>
      </c>
      <c r="N24" s="128">
        <f>MAX(0,M24-M23)</f>
        <v/>
      </c>
      <c r="O24" s="127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RESUMO'!X25</f>
        <v/>
      </c>
      <c r="N25" s="128">
        <f>MAX(0,M25-M24)</f>
        <v/>
      </c>
      <c r="O25" s="127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RESUMO'!Y25</f>
        <v/>
      </c>
      <c r="N26" s="128">
        <f>MAX(0,M26-M25)</f>
        <v/>
      </c>
      <c r="O26" s="127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RESUMO'!Z25</f>
        <v/>
      </c>
      <c r="N27" s="128">
        <f>MAX(0,M27-M26)</f>
        <v/>
      </c>
      <c r="O27" s="127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RESUMO'!AA25</f>
        <v/>
      </c>
      <c r="N28" s="128">
        <f>MAX(0,M28-M27)</f>
        <v/>
      </c>
      <c r="O28" s="127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RESUMO'!AB25</f>
        <v/>
      </c>
      <c r="N29" s="128">
        <f>MAX(0,M29-M28)</f>
        <v/>
      </c>
      <c r="O29" s="127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RESUMO'!AC25</f>
        <v/>
      </c>
      <c r="N30" s="128">
        <f>MAX(0,M30-M29)</f>
        <v/>
      </c>
      <c r="O30" s="127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RESUMO'!AD25</f>
        <v/>
      </c>
      <c r="N31" s="128">
        <f>MAX(0,M31-M30)</f>
        <v/>
      </c>
      <c r="O31" s="127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RESUMO'!AE25</f>
        <v/>
      </c>
      <c r="N32" s="128">
        <f>MAX(0,M32-M31)</f>
        <v/>
      </c>
      <c r="O32" s="127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RESUMO'!AF25</f>
        <v/>
      </c>
      <c r="N33" s="128">
        <f>MAX(0,M33-M32)</f>
        <v/>
      </c>
      <c r="O33" s="127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RESUMO'!AG25</f>
        <v/>
      </c>
      <c r="N34" s="128">
        <f>MAX(0,M34-M33)</f>
        <v/>
      </c>
      <c r="O34" s="127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RESUMO'!AH25</f>
        <v/>
      </c>
      <c r="N35" s="128">
        <f>MAX(0,M35-M34)</f>
        <v/>
      </c>
      <c r="O35" s="127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RESUMO'!AI25</f>
        <v/>
      </c>
      <c r="N36" s="128">
        <f>MAX(0,M36-M35)</f>
        <v/>
      </c>
      <c r="O36" s="127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RESUMO'!AJ25</f>
        <v/>
      </c>
      <c r="N37" s="128">
        <f>MAX(0,M37-M36)</f>
        <v/>
      </c>
      <c r="O37" s="127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RESUMO'!AK25</f>
        <v/>
      </c>
      <c r="N38" s="128">
        <f>MAX(0,M38-M37)</f>
        <v/>
      </c>
      <c r="O38" s="127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RESUMO'!AL25</f>
        <v/>
      </c>
      <c r="N39" s="128">
        <f>MAX(0,M39-M38)</f>
        <v/>
      </c>
      <c r="O39" s="127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RESUMO'!AM25</f>
        <v/>
      </c>
      <c r="N40" s="128">
        <f>MAX(0,M40-M39)</f>
        <v/>
      </c>
      <c r="O40" s="127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RESUMO'!AN25</f>
        <v/>
      </c>
      <c r="N41" s="128">
        <f>MAX(0,M41-M40)</f>
        <v/>
      </c>
      <c r="O41" s="127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RESUMO'!AO25</f>
        <v/>
      </c>
      <c r="N42" s="128">
        <f>MAX(0,M42-M41)</f>
        <v/>
      </c>
      <c r="O42" s="127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RESUMO'!AP25</f>
        <v/>
      </c>
      <c r="N43" s="128">
        <f>MAX(0,M43-M42)</f>
        <v/>
      </c>
      <c r="O43" s="127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RESUMO'!AQ25</f>
        <v/>
      </c>
      <c r="N44" s="128">
        <f>MAX(0,M44-M43)</f>
        <v/>
      </c>
      <c r="O44" s="127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RESUMO'!AR25</f>
        <v/>
      </c>
      <c r="N45" s="128">
        <f>MAX(0,M45-M44)</f>
        <v/>
      </c>
      <c r="O45" s="127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RESUMO'!AS25</f>
        <v/>
      </c>
      <c r="N46" s="128">
        <f>MAX(0,M46-M45)</f>
        <v/>
      </c>
      <c r="O46" s="127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RESUMO'!AT25</f>
        <v/>
      </c>
      <c r="N47" s="128">
        <f>MAX(0,M47-M46)</f>
        <v/>
      </c>
      <c r="O47" s="127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RESUMO'!AU25</f>
        <v/>
      </c>
      <c r="N48" s="128">
        <f>MAX(0,M48-M47)</f>
        <v/>
      </c>
      <c r="O48" s="127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RESUMO'!AV25</f>
        <v/>
      </c>
      <c r="N49" s="128">
        <f>MAX(0,M49-M48)</f>
        <v/>
      </c>
      <c r="O49" s="127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RESUMO'!AW25</f>
        <v/>
      </c>
      <c r="N50" s="128">
        <f>MAX(0,M50-M49)</f>
        <v/>
      </c>
      <c r="O50" s="127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RESUMO'!AX25</f>
        <v/>
      </c>
      <c r="N51" s="128">
        <f>MAX(0,M51-M50)</f>
        <v/>
      </c>
      <c r="O51" s="127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RESUMO'!AY25</f>
        <v/>
      </c>
      <c r="N52" s="128">
        <f>MAX(0,M52-M51)</f>
        <v/>
      </c>
      <c r="O52" s="127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RESUMO'!AZ25</f>
        <v/>
      </c>
      <c r="N53" s="128">
        <f>MAX(0,M53-M52)</f>
        <v/>
      </c>
      <c r="O53" s="127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RESUMO'!BA25</f>
        <v/>
      </c>
      <c r="N54" s="128">
        <f>MAX(0,M54-M53)</f>
        <v/>
      </c>
      <c r="O54" s="127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RESUMO'!BB25</f>
        <v/>
      </c>
      <c r="N55" s="128">
        <f>MAX(0,M55-M54)</f>
        <v/>
      </c>
      <c r="O55" s="127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RESUMO'!BC25</f>
        <v/>
      </c>
      <c r="N56" s="128">
        <f>MAX(0,M56-M55)</f>
        <v/>
      </c>
      <c r="O56" s="127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RESUMO'!BD25</f>
        <v/>
      </c>
      <c r="N57" s="128">
        <f>MAX(0,M57-M56)</f>
        <v/>
      </c>
      <c r="O57" s="127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RESUMO'!BE25</f>
        <v/>
      </c>
      <c r="N58" s="128">
        <f>MAX(0,M58-M57)</f>
        <v/>
      </c>
      <c r="O58" s="127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RESUMO'!BF25</f>
        <v/>
      </c>
      <c r="N59" s="128">
        <f>MAX(0,M59-M58)</f>
        <v/>
      </c>
      <c r="O59" s="127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RESUMO'!BG25</f>
        <v/>
      </c>
      <c r="N60" s="128">
        <f>MAX(0,M60-M59)</f>
        <v/>
      </c>
      <c r="O60" s="127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RESUMO'!BH25</f>
        <v/>
      </c>
      <c r="N61" s="128">
        <f>MAX(0,M61-M60)</f>
        <v/>
      </c>
      <c r="O61" s="127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RESUMO'!BI25</f>
        <v/>
      </c>
      <c r="N62" s="128">
        <f>MAX(0,M62-M61)</f>
        <v/>
      </c>
      <c r="O62" s="127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RESUMO'!BJ25</f>
        <v/>
      </c>
      <c r="N63" s="128">
        <f>MAX(0,M63-M62)</f>
        <v/>
      </c>
      <c r="O63" s="127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RESUMO'!BK25</f>
        <v/>
      </c>
      <c r="N64" s="128">
        <f>MAX(0,M64-M63)</f>
        <v/>
      </c>
      <c r="O64" s="127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RESUMO'!BL25</f>
        <v/>
      </c>
      <c r="N65" s="128">
        <f>MAX(0,M65-M64)</f>
        <v/>
      </c>
      <c r="O65" s="127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RESUMO'!BM25</f>
        <v/>
      </c>
      <c r="N66" s="128">
        <f>MAX(0,M66-M65)</f>
        <v/>
      </c>
      <c r="O66" s="127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RESUMO'!BN25</f>
        <v/>
      </c>
      <c r="N67" s="128">
        <f>MAX(0,M67-M66)</f>
        <v/>
      </c>
      <c r="O67" s="127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RESUMO'!BO25</f>
        <v/>
      </c>
      <c r="N68" s="128">
        <f>MAX(0,M68-M67)</f>
        <v/>
      </c>
      <c r="O68" s="127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RESUMO'!BP25</f>
        <v/>
      </c>
      <c r="N69" s="128">
        <f>MAX(0,M69-M68)</f>
        <v/>
      </c>
      <c r="O69" s="127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RESUMO'!BQ25</f>
        <v/>
      </c>
      <c r="N70" s="128">
        <f>MAX(0,M70-M69)</f>
        <v/>
      </c>
      <c r="O70" s="127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RESUMO'!BR25</f>
        <v/>
      </c>
      <c r="N71" s="128">
        <f>MAX(0,M71-M70)</f>
        <v/>
      </c>
      <c r="O71" s="127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RESUMO'!BS25</f>
        <v/>
      </c>
      <c r="N72" s="128">
        <f>MAX(0,M72-M71)</f>
        <v/>
      </c>
      <c r="O72" s="127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RESUMO'!BT25</f>
        <v/>
      </c>
      <c r="N73" s="128">
        <f>MAX(0,M73-M72)</f>
        <v/>
      </c>
      <c r="O73" s="127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RESUMO'!BU25</f>
        <v/>
      </c>
      <c r="N74" s="128">
        <f>MAX(0,M74-M73)</f>
        <v/>
      </c>
      <c r="O74" s="127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RESUMO'!BV25</f>
        <v/>
      </c>
      <c r="N75" s="128">
        <f>MAX(0,M75-M74)</f>
        <v/>
      </c>
      <c r="O75" s="127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RESUMO'!BW25</f>
        <v/>
      </c>
      <c r="N76" s="128">
        <f>MAX(0,M76-M75)</f>
        <v/>
      </c>
      <c r="O76" s="127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PL'!F32</f>
        <v/>
      </c>
      <c r="K5" s="63">
        <f>'VALOR POR PL'!G32</f>
        <v/>
      </c>
      <c r="M5" s="127">
        <f>'CP RESUMO'!D26</f>
        <v/>
      </c>
      <c r="N5" s="128" t="n">
        <v>0</v>
      </c>
      <c r="O5" s="127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RESUMO'!E26</f>
        <v/>
      </c>
      <c r="N6" s="128">
        <f>MAX(0,M6-M5)</f>
        <v/>
      </c>
      <c r="O6" s="127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PL'!L32</f>
        <v/>
      </c>
      <c r="M7" s="127">
        <f>'CP RESUMO'!F26</f>
        <v/>
      </c>
      <c r="N7" s="128">
        <f>MAX(0,M7-M6)</f>
        <v/>
      </c>
      <c r="O7" s="127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RESUMO'!G26</f>
        <v/>
      </c>
      <c r="N8" s="128">
        <f>MAX(0,M8-M7)</f>
        <v/>
      </c>
      <c r="O8" s="127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RESUMO'!H26</f>
        <v/>
      </c>
      <c r="N9" s="128">
        <f>MAX(0,M9-M8)</f>
        <v/>
      </c>
      <c r="O9" s="127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RESUMO'!I26</f>
        <v/>
      </c>
      <c r="N10" s="128">
        <f>MAX(0,M10-M9)</f>
        <v/>
      </c>
      <c r="O10" s="127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RESUMO'!J26</f>
        <v/>
      </c>
      <c r="N11" s="128">
        <f>MAX(0,M11-M10)</f>
        <v/>
      </c>
      <c r="O11" s="127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RESUMO'!K26</f>
        <v/>
      </c>
      <c r="N12" s="128">
        <f>MAX(0,M12-M11)</f>
        <v/>
      </c>
      <c r="O12" s="127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PL'!I32</f>
        <v/>
      </c>
      <c r="M13" s="127">
        <f>'CP RESUMO'!L26</f>
        <v/>
      </c>
      <c r="N13" s="128">
        <f>MAX(0,M13-M12)</f>
        <v/>
      </c>
      <c r="O13" s="127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M14" s="127">
        <f>'CP RESUMO'!M26</f>
        <v/>
      </c>
      <c r="N14" s="128">
        <f>MAX(0,M14-M13)</f>
        <v/>
      </c>
      <c r="O14" s="127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RESUMO'!N26</f>
        <v/>
      </c>
      <c r="N15" s="128">
        <f>MAX(0,M15-M14)</f>
        <v/>
      </c>
      <c r="O15" s="127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RESUMO'!O26</f>
        <v/>
      </c>
      <c r="N16" s="128">
        <f>MAX(0,M16-M15)</f>
        <v/>
      </c>
      <c r="O16" s="127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RESUMO'!P26</f>
        <v/>
      </c>
      <c r="N17" s="128">
        <f>MAX(0,M17-M16)</f>
        <v/>
      </c>
      <c r="O17" s="127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RESUMO'!Q26</f>
        <v/>
      </c>
      <c r="N18" s="128">
        <f>MAX(0,M18-M17)</f>
        <v/>
      </c>
      <c r="O18" s="127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RESUMO'!R26</f>
        <v/>
      </c>
      <c r="N19" s="128">
        <f>MAX(0,M19-M18)</f>
        <v/>
      </c>
      <c r="O19" s="127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RESUMO'!S26</f>
        <v/>
      </c>
      <c r="N20" s="128">
        <f>MAX(0,M20-M19)</f>
        <v/>
      </c>
      <c r="O20" s="127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RESUMO'!T26</f>
        <v/>
      </c>
      <c r="N21" s="128">
        <f>MAX(0,M21-M20)</f>
        <v/>
      </c>
      <c r="O21" s="127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RESUMO'!U26</f>
        <v/>
      </c>
      <c r="N22" s="128">
        <f>MAX(0,M22-M21)</f>
        <v/>
      </c>
      <c r="O22" s="127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RESUMO'!V26</f>
        <v/>
      </c>
      <c r="N23" s="128">
        <f>MAX(0,M23-M22)</f>
        <v/>
      </c>
      <c r="O23" s="127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RESUMO'!W26</f>
        <v/>
      </c>
      <c r="N24" s="128">
        <f>MAX(0,M24-M23)</f>
        <v/>
      </c>
      <c r="O24" s="127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RESUMO'!X26</f>
        <v/>
      </c>
      <c r="N25" s="128">
        <f>MAX(0,M25-M24)</f>
        <v/>
      </c>
      <c r="O25" s="127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RESUMO'!Y26</f>
        <v/>
      </c>
      <c r="N26" s="128">
        <f>MAX(0,M26-M25)</f>
        <v/>
      </c>
      <c r="O26" s="127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RESUMO'!Z26</f>
        <v/>
      </c>
      <c r="N27" s="128">
        <f>MAX(0,M27-M26)</f>
        <v/>
      </c>
      <c r="O27" s="127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RESUMO'!AA26</f>
        <v/>
      </c>
      <c r="N28" s="128">
        <f>MAX(0,M28-M27)</f>
        <v/>
      </c>
      <c r="O28" s="127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RESUMO'!AB26</f>
        <v/>
      </c>
      <c r="N29" s="128">
        <f>MAX(0,M29-M28)</f>
        <v/>
      </c>
      <c r="O29" s="127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RESUMO'!AC26</f>
        <v/>
      </c>
      <c r="N30" s="128">
        <f>MAX(0,M30-M29)</f>
        <v/>
      </c>
      <c r="O30" s="127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RESUMO'!AD26</f>
        <v/>
      </c>
      <c r="N31" s="128">
        <f>MAX(0,M31-M30)</f>
        <v/>
      </c>
      <c r="O31" s="127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RESUMO'!AE26</f>
        <v/>
      </c>
      <c r="N32" s="128">
        <f>MAX(0,M32-M31)</f>
        <v/>
      </c>
      <c r="O32" s="127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RESUMO'!AF26</f>
        <v/>
      </c>
      <c r="N33" s="128">
        <f>MAX(0,M33-M32)</f>
        <v/>
      </c>
      <c r="O33" s="127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RESUMO'!AG26</f>
        <v/>
      </c>
      <c r="N34" s="128">
        <f>MAX(0,M34-M33)</f>
        <v/>
      </c>
      <c r="O34" s="127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RESUMO'!AH26</f>
        <v/>
      </c>
      <c r="N35" s="128">
        <f>MAX(0,M35-M34)</f>
        <v/>
      </c>
      <c r="O35" s="127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RESUMO'!AI26</f>
        <v/>
      </c>
      <c r="N36" s="128">
        <f>MAX(0,M36-M35)</f>
        <v/>
      </c>
      <c r="O36" s="127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RESUMO'!AJ26</f>
        <v/>
      </c>
      <c r="N37" s="128">
        <f>MAX(0,M37-M36)</f>
        <v/>
      </c>
      <c r="O37" s="127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RESUMO'!AK26</f>
        <v/>
      </c>
      <c r="N38" s="128">
        <f>MAX(0,M38-M37)</f>
        <v/>
      </c>
      <c r="O38" s="127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RESUMO'!AL26</f>
        <v/>
      </c>
      <c r="N39" s="128">
        <f>MAX(0,M39-M38)</f>
        <v/>
      </c>
      <c r="O39" s="127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RESUMO'!AM26</f>
        <v/>
      </c>
      <c r="N40" s="128">
        <f>MAX(0,M40-M39)</f>
        <v/>
      </c>
      <c r="O40" s="127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RESUMO'!AN26</f>
        <v/>
      </c>
      <c r="N41" s="128">
        <f>MAX(0,M41-M40)</f>
        <v/>
      </c>
      <c r="O41" s="127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RESUMO'!AO26</f>
        <v/>
      </c>
      <c r="N42" s="128">
        <f>MAX(0,M42-M41)</f>
        <v/>
      </c>
      <c r="O42" s="127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RESUMO'!AP26</f>
        <v/>
      </c>
      <c r="N43" s="128">
        <f>MAX(0,M43-M42)</f>
        <v/>
      </c>
      <c r="O43" s="127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RESUMO'!AQ26</f>
        <v/>
      </c>
      <c r="N44" s="128">
        <f>MAX(0,M44-M43)</f>
        <v/>
      </c>
      <c r="O44" s="127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RESUMO'!AR26</f>
        <v/>
      </c>
      <c r="N45" s="128">
        <f>MAX(0,M45-M44)</f>
        <v/>
      </c>
      <c r="O45" s="127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RESUMO'!AS26</f>
        <v/>
      </c>
      <c r="N46" s="128">
        <f>MAX(0,M46-M45)</f>
        <v/>
      </c>
      <c r="O46" s="127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RESUMO'!AT26</f>
        <v/>
      </c>
      <c r="N47" s="128">
        <f>MAX(0,M47-M46)</f>
        <v/>
      </c>
      <c r="O47" s="127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RESUMO'!AU26</f>
        <v/>
      </c>
      <c r="N48" s="128">
        <f>MAX(0,M48-M47)</f>
        <v/>
      </c>
      <c r="O48" s="127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RESUMO'!AV26</f>
        <v/>
      </c>
      <c r="N49" s="128">
        <f>MAX(0,M49-M48)</f>
        <v/>
      </c>
      <c r="O49" s="127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RESUMO'!AW26</f>
        <v/>
      </c>
      <c r="N50" s="128">
        <f>MAX(0,M50-M49)</f>
        <v/>
      </c>
      <c r="O50" s="127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RESUMO'!AX26</f>
        <v/>
      </c>
      <c r="N51" s="128">
        <f>MAX(0,M51-M50)</f>
        <v/>
      </c>
      <c r="O51" s="127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RESUMO'!AY26</f>
        <v/>
      </c>
      <c r="N52" s="128">
        <f>MAX(0,M52-M51)</f>
        <v/>
      </c>
      <c r="O52" s="127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RESUMO'!AZ26</f>
        <v/>
      </c>
      <c r="N53" s="128">
        <f>MAX(0,M53-M52)</f>
        <v/>
      </c>
      <c r="O53" s="127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RESUMO'!BA26</f>
        <v/>
      </c>
      <c r="N54" s="128">
        <f>MAX(0,M54-M53)</f>
        <v/>
      </c>
      <c r="O54" s="127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RESUMO'!BB26</f>
        <v/>
      </c>
      <c r="N55" s="128">
        <f>MAX(0,M55-M54)</f>
        <v/>
      </c>
      <c r="O55" s="127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RESUMO'!BC26</f>
        <v/>
      </c>
      <c r="N56" s="128">
        <f>MAX(0,M56-M55)</f>
        <v/>
      </c>
      <c r="O56" s="127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RESUMO'!BD26</f>
        <v/>
      </c>
      <c r="N57" s="128">
        <f>MAX(0,M57-M56)</f>
        <v/>
      </c>
      <c r="O57" s="127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RESUMO'!BE26</f>
        <v/>
      </c>
      <c r="N58" s="128">
        <f>MAX(0,M58-M57)</f>
        <v/>
      </c>
      <c r="O58" s="127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RESUMO'!BF26</f>
        <v/>
      </c>
      <c r="N59" s="128">
        <f>MAX(0,M59-M58)</f>
        <v/>
      </c>
      <c r="O59" s="127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RESUMO'!BG26</f>
        <v/>
      </c>
      <c r="N60" s="128">
        <f>MAX(0,M60-M59)</f>
        <v/>
      </c>
      <c r="O60" s="127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RESUMO'!BH26</f>
        <v/>
      </c>
      <c r="N61" s="128">
        <f>MAX(0,M61-M60)</f>
        <v/>
      </c>
      <c r="O61" s="127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RESUMO'!BI26</f>
        <v/>
      </c>
      <c r="N62" s="128">
        <f>MAX(0,M62-M61)</f>
        <v/>
      </c>
      <c r="O62" s="127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RESUMO'!BJ26</f>
        <v/>
      </c>
      <c r="N63" s="128">
        <f>MAX(0,M63-M62)</f>
        <v/>
      </c>
      <c r="O63" s="127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RESUMO'!BK26</f>
        <v/>
      </c>
      <c r="N64" s="128">
        <f>MAX(0,M64-M63)</f>
        <v/>
      </c>
      <c r="O64" s="127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RESUMO'!BL26</f>
        <v/>
      </c>
      <c r="N65" s="128">
        <f>MAX(0,M65-M64)</f>
        <v/>
      </c>
      <c r="O65" s="127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RESUMO'!BM26</f>
        <v/>
      </c>
      <c r="N66" s="128">
        <f>MAX(0,M66-M65)</f>
        <v/>
      </c>
      <c r="O66" s="127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RESUMO'!BN26</f>
        <v/>
      </c>
      <c r="N67" s="128">
        <f>MAX(0,M67-M66)</f>
        <v/>
      </c>
      <c r="O67" s="127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RESUMO'!BO26</f>
        <v/>
      </c>
      <c r="N68" s="128">
        <f>MAX(0,M68-M67)</f>
        <v/>
      </c>
      <c r="O68" s="127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RESUMO'!BP26</f>
        <v/>
      </c>
      <c r="N69" s="128">
        <f>MAX(0,M69-M68)</f>
        <v/>
      </c>
      <c r="O69" s="127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RESUMO'!BQ26</f>
        <v/>
      </c>
      <c r="N70" s="128">
        <f>MAX(0,M70-M69)</f>
        <v/>
      </c>
      <c r="O70" s="127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RESUMO'!BR26</f>
        <v/>
      </c>
      <c r="N71" s="128">
        <f>MAX(0,M71-M70)</f>
        <v/>
      </c>
      <c r="O71" s="127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RESUMO'!BS26</f>
        <v/>
      </c>
      <c r="N72" s="128">
        <f>MAX(0,M72-M71)</f>
        <v/>
      </c>
      <c r="O72" s="127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RESUMO'!BT26</f>
        <v/>
      </c>
      <c r="N73" s="128">
        <f>MAX(0,M73-M72)</f>
        <v/>
      </c>
      <c r="O73" s="127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RESUMO'!BU26</f>
        <v/>
      </c>
      <c r="N74" s="128">
        <f>MAX(0,M74-M73)</f>
        <v/>
      </c>
      <c r="O74" s="127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RESUMO'!BV26</f>
        <v/>
      </c>
      <c r="N75" s="128">
        <f>MAX(0,M75-M74)</f>
        <v/>
      </c>
      <c r="O75" s="127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RESUMO'!BW26</f>
        <v/>
      </c>
      <c r="N76" s="128">
        <f>MAX(0,M76-M75)</f>
        <v/>
      </c>
      <c r="O76" s="127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PL'!F33</f>
        <v/>
      </c>
      <c r="K5" s="63">
        <f>'VALOR POR PL'!G33</f>
        <v/>
      </c>
      <c r="M5" s="127">
        <f>'CP RESUMO'!D27</f>
        <v/>
      </c>
      <c r="N5" s="128" t="n">
        <v>0</v>
      </c>
      <c r="O5" s="127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RESUMO'!E27</f>
        <v/>
      </c>
      <c r="N6" s="128">
        <f>MAX(0,M6-M5)</f>
        <v/>
      </c>
      <c r="O6" s="127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PL'!L33</f>
        <v/>
      </c>
      <c r="M7" s="127">
        <f>'CP RESUMO'!F27</f>
        <v/>
      </c>
      <c r="N7" s="128">
        <f>MAX(0,M7-M6)</f>
        <v/>
      </c>
      <c r="O7" s="127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RESUMO'!G27</f>
        <v/>
      </c>
      <c r="N8" s="128">
        <f>MAX(0,M8-M7)</f>
        <v/>
      </c>
      <c r="O8" s="127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RESUMO'!H27</f>
        <v/>
      </c>
      <c r="N9" s="128">
        <f>MAX(0,M9-M8)</f>
        <v/>
      </c>
      <c r="O9" s="127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RESUMO'!I27</f>
        <v/>
      </c>
      <c r="N10" s="128">
        <f>MAX(0,M10-M9)</f>
        <v/>
      </c>
      <c r="O10" s="127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RESUMO'!J27</f>
        <v/>
      </c>
      <c r="N11" s="128">
        <f>MAX(0,M11-M10)</f>
        <v/>
      </c>
      <c r="O11" s="127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RESUMO'!K27</f>
        <v/>
      </c>
      <c r="N12" s="128">
        <f>MAX(0,M12-M11)</f>
        <v/>
      </c>
      <c r="O12" s="127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PL'!I33</f>
        <v/>
      </c>
      <c r="M13" s="127">
        <f>'CP RESUMO'!L27</f>
        <v/>
      </c>
      <c r="N13" s="128">
        <f>MAX(0,M13-M12)</f>
        <v/>
      </c>
      <c r="O13" s="127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M14" s="127">
        <f>'CP RESUMO'!M27</f>
        <v/>
      </c>
      <c r="N14" s="128">
        <f>MAX(0,M14-M13)</f>
        <v/>
      </c>
      <c r="O14" s="127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RESUMO'!N27</f>
        <v/>
      </c>
      <c r="N15" s="128">
        <f>MAX(0,M15-M14)</f>
        <v/>
      </c>
      <c r="O15" s="127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RESUMO'!O27</f>
        <v/>
      </c>
      <c r="N16" s="128">
        <f>MAX(0,M16-M15)</f>
        <v/>
      </c>
      <c r="O16" s="127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RESUMO'!P27</f>
        <v/>
      </c>
      <c r="N17" s="128">
        <f>MAX(0,M17-M16)</f>
        <v/>
      </c>
      <c r="O17" s="127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RESUMO'!Q27</f>
        <v/>
      </c>
      <c r="N18" s="128">
        <f>MAX(0,M18-M17)</f>
        <v/>
      </c>
      <c r="O18" s="127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RESUMO'!R27</f>
        <v/>
      </c>
      <c r="N19" s="128">
        <f>MAX(0,M19-M18)</f>
        <v/>
      </c>
      <c r="O19" s="127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RESUMO'!S27</f>
        <v/>
      </c>
      <c r="N20" s="128">
        <f>MAX(0,M20-M19)</f>
        <v/>
      </c>
      <c r="O20" s="127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RESUMO'!T27</f>
        <v/>
      </c>
      <c r="N21" s="128">
        <f>MAX(0,M21-M20)</f>
        <v/>
      </c>
      <c r="O21" s="127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RESUMO'!U27</f>
        <v/>
      </c>
      <c r="N22" s="128">
        <f>MAX(0,M22-M21)</f>
        <v/>
      </c>
      <c r="O22" s="127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RESUMO'!V27</f>
        <v/>
      </c>
      <c r="N23" s="128">
        <f>MAX(0,M23-M22)</f>
        <v/>
      </c>
      <c r="O23" s="127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RESUMO'!W27</f>
        <v/>
      </c>
      <c r="N24" s="128">
        <f>MAX(0,M24-M23)</f>
        <v/>
      </c>
      <c r="O24" s="127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RESUMO'!X27</f>
        <v/>
      </c>
      <c r="N25" s="128">
        <f>MAX(0,M25-M24)</f>
        <v/>
      </c>
      <c r="O25" s="127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RESUMO'!Y27</f>
        <v/>
      </c>
      <c r="N26" s="128">
        <f>MAX(0,M26-M25)</f>
        <v/>
      </c>
      <c r="O26" s="127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RESUMO'!Z27</f>
        <v/>
      </c>
      <c r="N27" s="128">
        <f>MAX(0,M27-M26)</f>
        <v/>
      </c>
      <c r="O27" s="127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RESUMO'!AA27</f>
        <v/>
      </c>
      <c r="N28" s="128">
        <f>MAX(0,M28-M27)</f>
        <v/>
      </c>
      <c r="O28" s="127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RESUMO'!AB27</f>
        <v/>
      </c>
      <c r="N29" s="128">
        <f>MAX(0,M29-M28)</f>
        <v/>
      </c>
      <c r="O29" s="127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RESUMO'!AC27</f>
        <v/>
      </c>
      <c r="N30" s="128">
        <f>MAX(0,M30-M29)</f>
        <v/>
      </c>
      <c r="O30" s="127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RESUMO'!AD27</f>
        <v/>
      </c>
      <c r="N31" s="128">
        <f>MAX(0,M31-M30)</f>
        <v/>
      </c>
      <c r="O31" s="127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RESUMO'!AE27</f>
        <v/>
      </c>
      <c r="N32" s="128">
        <f>MAX(0,M32-M31)</f>
        <v/>
      </c>
      <c r="O32" s="127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RESUMO'!AF27</f>
        <v/>
      </c>
      <c r="N33" s="128">
        <f>MAX(0,M33-M32)</f>
        <v/>
      </c>
      <c r="O33" s="127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RESUMO'!AG27</f>
        <v/>
      </c>
      <c r="N34" s="128">
        <f>MAX(0,M34-M33)</f>
        <v/>
      </c>
      <c r="O34" s="127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RESUMO'!AH27</f>
        <v/>
      </c>
      <c r="N35" s="128">
        <f>MAX(0,M35-M34)</f>
        <v/>
      </c>
      <c r="O35" s="127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RESUMO'!AI27</f>
        <v/>
      </c>
      <c r="N36" s="128">
        <f>MAX(0,M36-M35)</f>
        <v/>
      </c>
      <c r="O36" s="127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RESUMO'!AJ27</f>
        <v/>
      </c>
      <c r="N37" s="128">
        <f>MAX(0,M37-M36)</f>
        <v/>
      </c>
      <c r="O37" s="127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RESUMO'!AK27</f>
        <v/>
      </c>
      <c r="N38" s="128">
        <f>MAX(0,M38-M37)</f>
        <v/>
      </c>
      <c r="O38" s="127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RESUMO'!AL27</f>
        <v/>
      </c>
      <c r="N39" s="128">
        <f>MAX(0,M39-M38)</f>
        <v/>
      </c>
      <c r="O39" s="127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RESUMO'!AM27</f>
        <v/>
      </c>
      <c r="N40" s="128">
        <f>MAX(0,M40-M39)</f>
        <v/>
      </c>
      <c r="O40" s="127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RESUMO'!AN27</f>
        <v/>
      </c>
      <c r="N41" s="128">
        <f>MAX(0,M41-M40)</f>
        <v/>
      </c>
      <c r="O41" s="127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RESUMO'!AO27</f>
        <v/>
      </c>
      <c r="N42" s="128">
        <f>MAX(0,M42-M41)</f>
        <v/>
      </c>
      <c r="O42" s="127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RESUMO'!AP27</f>
        <v/>
      </c>
      <c r="N43" s="128">
        <f>MAX(0,M43-M42)</f>
        <v/>
      </c>
      <c r="O43" s="127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RESUMO'!AQ27</f>
        <v/>
      </c>
      <c r="N44" s="128">
        <f>MAX(0,M44-M43)</f>
        <v/>
      </c>
      <c r="O44" s="127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RESUMO'!AR27</f>
        <v/>
      </c>
      <c r="N45" s="128">
        <f>MAX(0,M45-M44)</f>
        <v/>
      </c>
      <c r="O45" s="127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RESUMO'!AS27</f>
        <v/>
      </c>
      <c r="N46" s="128">
        <f>MAX(0,M46-M45)</f>
        <v/>
      </c>
      <c r="O46" s="127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RESUMO'!AT27</f>
        <v/>
      </c>
      <c r="N47" s="128">
        <f>MAX(0,M47-M46)</f>
        <v/>
      </c>
      <c r="O47" s="127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RESUMO'!AU27</f>
        <v/>
      </c>
      <c r="N48" s="128">
        <f>MAX(0,M48-M47)</f>
        <v/>
      </c>
      <c r="O48" s="127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RESUMO'!AV27</f>
        <v/>
      </c>
      <c r="N49" s="128">
        <f>MAX(0,M49-M48)</f>
        <v/>
      </c>
      <c r="O49" s="127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RESUMO'!AW27</f>
        <v/>
      </c>
      <c r="N50" s="128">
        <f>MAX(0,M50-M49)</f>
        <v/>
      </c>
      <c r="O50" s="127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RESUMO'!AX27</f>
        <v/>
      </c>
      <c r="N51" s="128">
        <f>MAX(0,M51-M50)</f>
        <v/>
      </c>
      <c r="O51" s="127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RESUMO'!AY27</f>
        <v/>
      </c>
      <c r="N52" s="128">
        <f>MAX(0,M52-M51)</f>
        <v/>
      </c>
      <c r="O52" s="127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RESUMO'!AZ27</f>
        <v/>
      </c>
      <c r="N53" s="128">
        <f>MAX(0,M53-M52)</f>
        <v/>
      </c>
      <c r="O53" s="127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RESUMO'!BA27</f>
        <v/>
      </c>
      <c r="N54" s="128">
        <f>MAX(0,M54-M53)</f>
        <v/>
      </c>
      <c r="O54" s="127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RESUMO'!BB27</f>
        <v/>
      </c>
      <c r="N55" s="128">
        <f>MAX(0,M55-M54)</f>
        <v/>
      </c>
      <c r="O55" s="127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RESUMO'!BC27</f>
        <v/>
      </c>
      <c r="N56" s="128">
        <f>MAX(0,M56-M55)</f>
        <v/>
      </c>
      <c r="O56" s="127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RESUMO'!BD27</f>
        <v/>
      </c>
      <c r="N57" s="128">
        <f>MAX(0,M57-M56)</f>
        <v/>
      </c>
      <c r="O57" s="127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RESUMO'!BE27</f>
        <v/>
      </c>
      <c r="N58" s="128">
        <f>MAX(0,M58-M57)</f>
        <v/>
      </c>
      <c r="O58" s="127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RESUMO'!BF27</f>
        <v/>
      </c>
      <c r="N59" s="128">
        <f>MAX(0,M59-M58)</f>
        <v/>
      </c>
      <c r="O59" s="127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RESUMO'!BG27</f>
        <v/>
      </c>
      <c r="N60" s="128">
        <f>MAX(0,M60-M59)</f>
        <v/>
      </c>
      <c r="O60" s="127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RESUMO'!BH27</f>
        <v/>
      </c>
      <c r="N61" s="128">
        <f>MAX(0,M61-M60)</f>
        <v/>
      </c>
      <c r="O61" s="127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RESUMO'!BI27</f>
        <v/>
      </c>
      <c r="N62" s="128">
        <f>MAX(0,M62-M61)</f>
        <v/>
      </c>
      <c r="O62" s="127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RESUMO'!BJ27</f>
        <v/>
      </c>
      <c r="N63" s="128">
        <f>MAX(0,M63-M62)</f>
        <v/>
      </c>
      <c r="O63" s="127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RESUMO'!BK27</f>
        <v/>
      </c>
      <c r="N64" s="128">
        <f>MAX(0,M64-M63)</f>
        <v/>
      </c>
      <c r="O64" s="127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RESUMO'!BL27</f>
        <v/>
      </c>
      <c r="N65" s="128">
        <f>MAX(0,M65-M64)</f>
        <v/>
      </c>
      <c r="O65" s="127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RESUMO'!BM27</f>
        <v/>
      </c>
      <c r="N66" s="128">
        <f>MAX(0,M66-M65)</f>
        <v/>
      </c>
      <c r="O66" s="127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RESUMO'!BN27</f>
        <v/>
      </c>
      <c r="N67" s="128">
        <f>MAX(0,M67-M66)</f>
        <v/>
      </c>
      <c r="O67" s="127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RESUMO'!BO27</f>
        <v/>
      </c>
      <c r="N68" s="128">
        <f>MAX(0,M68-M67)</f>
        <v/>
      </c>
      <c r="O68" s="127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RESUMO'!BP27</f>
        <v/>
      </c>
      <c r="N69" s="128">
        <f>MAX(0,M69-M68)</f>
        <v/>
      </c>
      <c r="O69" s="127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RESUMO'!BQ27</f>
        <v/>
      </c>
      <c r="N70" s="128">
        <f>MAX(0,M70-M69)</f>
        <v/>
      </c>
      <c r="O70" s="127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RESUMO'!BR27</f>
        <v/>
      </c>
      <c r="N71" s="128">
        <f>MAX(0,M71-M70)</f>
        <v/>
      </c>
      <c r="O71" s="127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RESUMO'!BS27</f>
        <v/>
      </c>
      <c r="N72" s="128">
        <f>MAX(0,M72-M71)</f>
        <v/>
      </c>
      <c r="O72" s="127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RESUMO'!BT27</f>
        <v/>
      </c>
      <c r="N73" s="128">
        <f>MAX(0,M73-M72)</f>
        <v/>
      </c>
      <c r="O73" s="127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RESUMO'!BU27</f>
        <v/>
      </c>
      <c r="N74" s="128">
        <f>MAX(0,M74-M73)</f>
        <v/>
      </c>
      <c r="O74" s="127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RESUMO'!BV27</f>
        <v/>
      </c>
      <c r="N75" s="128">
        <f>MAX(0,M75-M74)</f>
        <v/>
      </c>
      <c r="O75" s="127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RESUMO'!BW27</f>
        <v/>
      </c>
      <c r="N76" s="128">
        <f>MAX(0,M76-M75)</f>
        <v/>
      </c>
      <c r="O76" s="127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HISTORICOS'!D28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PL'!F34</f>
        <v/>
      </c>
      <c r="K5" s="63">
        <f>'VALOR POR PL'!G34</f>
        <v/>
      </c>
      <c r="M5" s="127">
        <f>'CP RESUMO'!D28</f>
        <v/>
      </c>
      <c r="N5" s="128" t="n">
        <v>0</v>
      </c>
      <c r="O5" s="127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HISTORICOS'!E28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RESUMO'!E28</f>
        <v/>
      </c>
      <c r="N6" s="128">
        <f>MAX(0,M6-M5)</f>
        <v/>
      </c>
      <c r="O6" s="127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HISTORICOS'!F28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PL'!L34</f>
        <v/>
      </c>
      <c r="M7" s="127">
        <f>'CP RESUMO'!F28</f>
        <v/>
      </c>
      <c r="N7" s="128">
        <f>MAX(0,M7-M6)</f>
        <v/>
      </c>
      <c r="O7" s="127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HISTORICOS'!G28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RESUMO'!G28</f>
        <v/>
      </c>
      <c r="N8" s="128">
        <f>MAX(0,M8-M7)</f>
        <v/>
      </c>
      <c r="O8" s="127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HISTORICOS'!H28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RESUMO'!H28</f>
        <v/>
      </c>
      <c r="N9" s="128">
        <f>MAX(0,M9-M8)</f>
        <v/>
      </c>
      <c r="O9" s="127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HISTORICOS'!I28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RESUMO'!I28</f>
        <v/>
      </c>
      <c r="N10" s="128">
        <f>MAX(0,M10-M9)</f>
        <v/>
      </c>
      <c r="O10" s="127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HISTORICOS'!J28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RESUMO'!J28</f>
        <v/>
      </c>
      <c r="N11" s="128">
        <f>MAX(0,M11-M10)</f>
        <v/>
      </c>
      <c r="O11" s="127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HISTORICOS'!K28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RESUMO'!K28</f>
        <v/>
      </c>
      <c r="N12" s="128">
        <f>MAX(0,M12-M11)</f>
        <v/>
      </c>
      <c r="O12" s="127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HISTORICOS'!L28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PL'!I34</f>
        <v/>
      </c>
      <c r="M13" s="127">
        <f>'CP RESUMO'!L28</f>
        <v/>
      </c>
      <c r="N13" s="128">
        <f>MAX(0,M13-M12)</f>
        <v/>
      </c>
      <c r="O13" s="127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HISTORICOS'!M28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M14" s="127">
        <f>'CP RESUMO'!M28</f>
        <v/>
      </c>
      <c r="N14" s="128">
        <f>MAX(0,M14-M13)</f>
        <v/>
      </c>
      <c r="O14" s="127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HISTORICOS'!N28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RESUMO'!N28</f>
        <v/>
      </c>
      <c r="N15" s="128">
        <f>MAX(0,M15-M14)</f>
        <v/>
      </c>
      <c r="O15" s="127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HISTORICOS'!O28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RESUMO'!O28</f>
        <v/>
      </c>
      <c r="N16" s="128">
        <f>MAX(0,M16-M15)</f>
        <v/>
      </c>
      <c r="O16" s="127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HISTORICOS'!P28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RESUMO'!P28</f>
        <v/>
      </c>
      <c r="N17" s="128">
        <f>MAX(0,M17-M16)</f>
        <v/>
      </c>
      <c r="O17" s="127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HISTORICOS'!Q28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RESUMO'!Q28</f>
        <v/>
      </c>
      <c r="N18" s="128">
        <f>MAX(0,M18-M17)</f>
        <v/>
      </c>
      <c r="O18" s="127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HISTORICOS'!R28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RESUMO'!R28</f>
        <v/>
      </c>
      <c r="N19" s="128">
        <f>MAX(0,M19-M18)</f>
        <v/>
      </c>
      <c r="O19" s="127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HISTORICOS'!S28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RESUMO'!S28</f>
        <v/>
      </c>
      <c r="N20" s="128">
        <f>MAX(0,M20-M19)</f>
        <v/>
      </c>
      <c r="O20" s="127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HISTORICOS'!T28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RESUMO'!T28</f>
        <v/>
      </c>
      <c r="N21" s="128">
        <f>MAX(0,M21-M20)</f>
        <v/>
      </c>
      <c r="O21" s="127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HISTORICOS'!U28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RESUMO'!U28</f>
        <v/>
      </c>
      <c r="N22" s="128">
        <f>MAX(0,M22-M21)</f>
        <v/>
      </c>
      <c r="O22" s="127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HISTORICOS'!V28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RESUMO'!V28</f>
        <v/>
      </c>
      <c r="N23" s="128">
        <f>MAX(0,M23-M22)</f>
        <v/>
      </c>
      <c r="O23" s="127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HISTORICOS'!W28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pedido 1 ano antes, 12 pagamentos.</t>
        </is>
      </c>
      <c r="M24" s="127">
        <f>'CP RESUMO'!W28</f>
        <v/>
      </c>
      <c r="N24" s="128">
        <f>MAX(0,M24-M23)</f>
        <v/>
      </c>
      <c r="O24" s="127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HISTORICOS'!X28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RESUMO'!X28</f>
        <v/>
      </c>
      <c r="N25" s="128">
        <f>MAX(0,M25-M24)</f>
        <v/>
      </c>
      <c r="O25" s="127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HISTORICOS'!Y28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RESUMO'!Y28</f>
        <v/>
      </c>
      <c r="N26" s="128">
        <f>MAX(0,M26-M25)</f>
        <v/>
      </c>
      <c r="O26" s="127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HISTORICOS'!Z28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RESUMO'!Z28</f>
        <v/>
      </c>
      <c r="N27" s="128">
        <f>MAX(0,M27-M26)</f>
        <v/>
      </c>
      <c r="O27" s="127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HISTORICOS'!AA28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RESUMO'!AA28</f>
        <v/>
      </c>
      <c r="N28" s="128">
        <f>MAX(0,M28-M27)</f>
        <v/>
      </c>
      <c r="O28" s="127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HISTORICOS'!AB28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RESUMO'!AB28</f>
        <v/>
      </c>
      <c r="N29" s="128">
        <f>MAX(0,M29-M28)</f>
        <v/>
      </c>
      <c r="O29" s="127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HISTORICOS'!AC28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RESUMO'!AC28</f>
        <v/>
      </c>
      <c r="N30" s="128">
        <f>MAX(0,M30-M29)</f>
        <v/>
      </c>
      <c r="O30" s="127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HISTORICOS'!AD28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RESUMO'!AD28</f>
        <v/>
      </c>
      <c r="N31" s="128">
        <f>MAX(0,M31-M30)</f>
        <v/>
      </c>
      <c r="O31" s="127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HISTORICOS'!AE28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RESUMO'!AE28</f>
        <v/>
      </c>
      <c r="N32" s="128">
        <f>MAX(0,M32-M31)</f>
        <v/>
      </c>
      <c r="O32" s="127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HISTORICOS'!AF28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RESUMO'!AF28</f>
        <v/>
      </c>
      <c r="N33" s="128">
        <f>MAX(0,M33-M32)</f>
        <v/>
      </c>
      <c r="O33" s="127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HISTORICOS'!AG28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RESUMO'!AG28</f>
        <v/>
      </c>
      <c r="N34" s="128">
        <f>MAX(0,M34-M33)</f>
        <v/>
      </c>
      <c r="O34" s="127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HISTORICOS'!AH28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RESUMO'!AH28</f>
        <v/>
      </c>
      <c r="N35" s="128">
        <f>MAX(0,M35-M34)</f>
        <v/>
      </c>
      <c r="O35" s="127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HISTORICOS'!AI28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RESUMO'!AI28</f>
        <v/>
      </c>
      <c r="N36" s="128">
        <f>MAX(0,M36-M35)</f>
        <v/>
      </c>
      <c r="O36" s="127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HISTORICOS'!AJ28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RESUMO'!AJ28</f>
        <v/>
      </c>
      <c r="N37" s="128">
        <f>MAX(0,M37-M36)</f>
        <v/>
      </c>
      <c r="O37" s="127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HISTORICOS'!AK28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RESUMO'!AK28</f>
        <v/>
      </c>
      <c r="N38" s="128">
        <f>MAX(0,M38-M37)</f>
        <v/>
      </c>
      <c r="O38" s="127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HISTORICOS'!AL28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RESUMO'!AL28</f>
        <v/>
      </c>
      <c r="N39" s="128">
        <f>MAX(0,M39-M38)</f>
        <v/>
      </c>
      <c r="O39" s="127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HISTORICOS'!AM28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RESUMO'!AM28</f>
        <v/>
      </c>
      <c r="N40" s="128">
        <f>MAX(0,M40-M39)</f>
        <v/>
      </c>
      <c r="O40" s="127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HISTORICOS'!AN28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RESUMO'!AN28</f>
        <v/>
      </c>
      <c r="N41" s="128">
        <f>MAX(0,M41-M40)</f>
        <v/>
      </c>
      <c r="O41" s="127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HISTORICOS'!AO28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RESUMO'!AO28</f>
        <v/>
      </c>
      <c r="N42" s="128">
        <f>MAX(0,M42-M41)</f>
        <v/>
      </c>
      <c r="O42" s="127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HISTORICOS'!AP28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RESUMO'!AP28</f>
        <v/>
      </c>
      <c r="N43" s="128">
        <f>MAX(0,M43-M42)</f>
        <v/>
      </c>
      <c r="O43" s="127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HISTORICOS'!AQ28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RESUMO'!AQ28</f>
        <v/>
      </c>
      <c r="N44" s="128">
        <f>MAX(0,M44-M43)</f>
        <v/>
      </c>
      <c r="O44" s="127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HISTORICOS'!AR28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RESUMO'!AR28</f>
        <v/>
      </c>
      <c r="N45" s="128">
        <f>MAX(0,M45-M44)</f>
        <v/>
      </c>
      <c r="O45" s="127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HISTORICOS'!AS28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RESUMO'!AS28</f>
        <v/>
      </c>
      <c r="N46" s="128">
        <f>MAX(0,M46-M45)</f>
        <v/>
      </c>
      <c r="O46" s="127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HISTORICOS'!AT28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RESUMO'!AT28</f>
        <v/>
      </c>
      <c r="N47" s="128">
        <f>MAX(0,M47-M46)</f>
        <v/>
      </c>
      <c r="O47" s="127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HISTORICOS'!AU28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RESUMO'!AU28</f>
        <v/>
      </c>
      <c r="N48" s="128">
        <f>MAX(0,M48-M47)</f>
        <v/>
      </c>
      <c r="O48" s="127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HISTORICOS'!AV28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RESUMO'!AV28</f>
        <v/>
      </c>
      <c r="N49" s="128">
        <f>MAX(0,M49-M48)</f>
        <v/>
      </c>
      <c r="O49" s="127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HISTORICOS'!AW28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RESUMO'!AW28</f>
        <v/>
      </c>
      <c r="N50" s="128">
        <f>MAX(0,M50-M49)</f>
        <v/>
      </c>
      <c r="O50" s="127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HISTORICOS'!AX28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RESUMO'!AX28</f>
        <v/>
      </c>
      <c r="N51" s="128">
        <f>MAX(0,M51-M50)</f>
        <v/>
      </c>
      <c r="O51" s="127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HISTORICOS'!AY28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RESUMO'!AY28</f>
        <v/>
      </c>
      <c r="N52" s="128">
        <f>MAX(0,M52-M51)</f>
        <v/>
      </c>
      <c r="O52" s="127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HISTORICOS'!AZ28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RESUMO'!AZ28</f>
        <v/>
      </c>
      <c r="N53" s="128">
        <f>MAX(0,M53-M52)</f>
        <v/>
      </c>
      <c r="O53" s="127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HISTORICOS'!BA28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RESUMO'!BA28</f>
        <v/>
      </c>
      <c r="N54" s="128">
        <f>MAX(0,M54-M53)</f>
        <v/>
      </c>
      <c r="O54" s="127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HISTORICOS'!BB28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RESUMO'!BB28</f>
        <v/>
      </c>
      <c r="N55" s="128">
        <f>MAX(0,M55-M54)</f>
        <v/>
      </c>
      <c r="O55" s="127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HISTORICOS'!BC28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RESUMO'!BC28</f>
        <v/>
      </c>
      <c r="N56" s="128">
        <f>MAX(0,M56-M55)</f>
        <v/>
      </c>
      <c r="O56" s="127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HISTORICOS'!BD28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RESUMO'!BD28</f>
        <v/>
      </c>
      <c r="N57" s="128">
        <f>MAX(0,M57-M56)</f>
        <v/>
      </c>
      <c r="O57" s="127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HISTORICOS'!BE28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RESUMO'!BE28</f>
        <v/>
      </c>
      <c r="N58" s="128">
        <f>MAX(0,M58-M57)</f>
        <v/>
      </c>
      <c r="O58" s="127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HISTORICOS'!BF28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RESUMO'!BF28</f>
        <v/>
      </c>
      <c r="N59" s="128">
        <f>MAX(0,M59-M58)</f>
        <v/>
      </c>
      <c r="O59" s="127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HISTORICOS'!BG28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RESUMO'!BG28</f>
        <v/>
      </c>
      <c r="N60" s="128">
        <f>MAX(0,M60-M59)</f>
        <v/>
      </c>
      <c r="O60" s="127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HISTORICOS'!BH28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RESUMO'!BH28</f>
        <v/>
      </c>
      <c r="N61" s="128">
        <f>MAX(0,M61-M60)</f>
        <v/>
      </c>
      <c r="O61" s="127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HISTORICOS'!BI28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RESUMO'!BI28</f>
        <v/>
      </c>
      <c r="N62" s="128">
        <f>MAX(0,M62-M61)</f>
        <v/>
      </c>
      <c r="O62" s="127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HISTORICOS'!BJ28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RESUMO'!BJ28</f>
        <v/>
      </c>
      <c r="N63" s="128">
        <f>MAX(0,M63-M62)</f>
        <v/>
      </c>
      <c r="O63" s="127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HISTORICOS'!BK28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RESUMO'!BK28</f>
        <v/>
      </c>
      <c r="N64" s="128">
        <f>MAX(0,M64-M63)</f>
        <v/>
      </c>
      <c r="O64" s="127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HISTORICOS'!BL28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RESUMO'!BL28</f>
        <v/>
      </c>
      <c r="N65" s="128">
        <f>MAX(0,M65-M64)</f>
        <v/>
      </c>
      <c r="O65" s="127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HISTORICOS'!BM28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RESUMO'!BM28</f>
        <v/>
      </c>
      <c r="N66" s="128">
        <f>MAX(0,M66-M65)</f>
        <v/>
      </c>
      <c r="O66" s="127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HISTORICOS'!BN28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RESUMO'!BN28</f>
        <v/>
      </c>
      <c r="N67" s="128">
        <f>MAX(0,M67-M66)</f>
        <v/>
      </c>
      <c r="O67" s="127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HISTORICOS'!BO28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RESUMO'!BO28</f>
        <v/>
      </c>
      <c r="N68" s="128">
        <f>MAX(0,M68-M67)</f>
        <v/>
      </c>
      <c r="O68" s="127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HISTORICOS'!BP28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RESUMO'!BP28</f>
        <v/>
      </c>
      <c r="N69" s="128">
        <f>MAX(0,M69-M68)</f>
        <v/>
      </c>
      <c r="O69" s="127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HISTORICOS'!BQ28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RESUMO'!BQ28</f>
        <v/>
      </c>
      <c r="N70" s="128">
        <f>MAX(0,M70-M69)</f>
        <v/>
      </c>
      <c r="O70" s="127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HISTORICOS'!BR28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RESUMO'!BR28</f>
        <v/>
      </c>
      <c r="N71" s="128">
        <f>MAX(0,M71-M70)</f>
        <v/>
      </c>
      <c r="O71" s="127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HISTORICOS'!BS28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RESUMO'!BS28</f>
        <v/>
      </c>
      <c r="N72" s="128">
        <f>MAX(0,M72-M71)</f>
        <v/>
      </c>
      <c r="O72" s="127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HISTORICOS'!BT28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RESUMO'!BT28</f>
        <v/>
      </c>
      <c r="N73" s="128">
        <f>MAX(0,M73-M72)</f>
        <v/>
      </c>
      <c r="O73" s="127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HISTORICOS'!BU28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RESUMO'!BU28</f>
        <v/>
      </c>
      <c r="N74" s="128">
        <f>MAX(0,M74-M73)</f>
        <v/>
      </c>
      <c r="O74" s="127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HISTORICOS'!BV28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RESUMO'!BV28</f>
        <v/>
      </c>
      <c r="N75" s="128">
        <f>MAX(0,M75-M74)</f>
        <v/>
      </c>
      <c r="O75" s="127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HISTORICOS'!BW28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RESUMO'!BW28</f>
        <v/>
      </c>
      <c r="N76" s="128">
        <f>MAX(0,M76-M75)</f>
        <v/>
      </c>
      <c r="O76" s="127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HISTORICOS'!D29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PL'!F35</f>
        <v/>
      </c>
      <c r="K5" s="63">
        <f>'VALOR POR PL'!G35</f>
        <v/>
      </c>
      <c r="M5" s="127">
        <f>'CP RESUMO'!D29</f>
        <v/>
      </c>
      <c r="N5" s="128" t="n">
        <v>0</v>
      </c>
      <c r="O5" s="127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HISTORICOS'!E29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RESUMO'!E29</f>
        <v/>
      </c>
      <c r="N6" s="128">
        <f>MAX(0,M6-M5)</f>
        <v/>
      </c>
      <c r="O6" s="127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HISTORICOS'!F29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PL'!L35</f>
        <v/>
      </c>
      <c r="M7" s="127">
        <f>'CP RESUMO'!F29</f>
        <v/>
      </c>
      <c r="N7" s="128">
        <f>MAX(0,M7-M6)</f>
        <v/>
      </c>
      <c r="O7" s="127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HISTORICOS'!G29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RESUMO'!G29</f>
        <v/>
      </c>
      <c r="N8" s="128">
        <f>MAX(0,M8-M7)</f>
        <v/>
      </c>
      <c r="O8" s="127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HISTORICOS'!H29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RESUMO'!H29</f>
        <v/>
      </c>
      <c r="N9" s="128">
        <f>MAX(0,M9-M8)</f>
        <v/>
      </c>
      <c r="O9" s="127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HISTORICOS'!I29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RESUMO'!I29</f>
        <v/>
      </c>
      <c r="N10" s="128">
        <f>MAX(0,M10-M9)</f>
        <v/>
      </c>
      <c r="O10" s="127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HISTORICOS'!J29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RESUMO'!J29</f>
        <v/>
      </c>
      <c r="N11" s="128">
        <f>MAX(0,M11-M10)</f>
        <v/>
      </c>
      <c r="O11" s="127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HISTORICOS'!K29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RESUMO'!K29</f>
        <v/>
      </c>
      <c r="N12" s="128">
        <f>MAX(0,M12-M11)</f>
        <v/>
      </c>
      <c r="O12" s="127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HISTORICOS'!L29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PL'!I35</f>
        <v/>
      </c>
      <c r="M13" s="127">
        <f>'CP RESUMO'!L29</f>
        <v/>
      </c>
      <c r="N13" s="128">
        <f>MAX(0,M13-M12)</f>
        <v/>
      </c>
      <c r="O13" s="127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HISTORICOS'!M29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M14" s="127">
        <f>'CP RESUMO'!M29</f>
        <v/>
      </c>
      <c r="N14" s="128">
        <f>MAX(0,M14-M13)</f>
        <v/>
      </c>
      <c r="O14" s="127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HISTORICOS'!N29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PREVISÃO INFORMADA</t>
        </is>
      </c>
      <c r="M15" s="127">
        <f>'CP RESUMO'!N29</f>
        <v/>
      </c>
      <c r="N15" s="128">
        <f>MAX(0,M15-M14)</f>
        <v/>
      </c>
      <c r="O15" s="127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HISTORICOS'!O29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RESUMO'!O29</f>
        <v/>
      </c>
      <c r="N16" s="128">
        <f>MAX(0,M16-M15)</f>
        <v/>
      </c>
      <c r="O16" s="127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HISTORICOS'!P29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RESUMO'!P29</f>
        <v/>
      </c>
      <c r="N17" s="128">
        <f>MAX(0,M17-M16)</f>
        <v/>
      </c>
      <c r="O17" s="127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HISTORICOS'!Q29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RESUMO'!Q29</f>
        <v/>
      </c>
      <c r="N18" s="128">
        <f>MAX(0,M18-M17)</f>
        <v/>
      </c>
      <c r="O18" s="127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HISTORICOS'!R29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RESUMO'!R29</f>
        <v/>
      </c>
      <c r="N19" s="128">
        <f>MAX(0,M19-M18)</f>
        <v/>
      </c>
      <c r="O19" s="127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HISTORICOS'!S29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RESUMO'!S29</f>
        <v/>
      </c>
      <c r="N20" s="128">
        <f>MAX(0,M20-M19)</f>
        <v/>
      </c>
      <c r="O20" s="127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HISTORICOS'!T29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RESUMO'!T29</f>
        <v/>
      </c>
      <c r="N21" s="128">
        <f>MAX(0,M21-M20)</f>
        <v/>
      </c>
      <c r="O21" s="127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HISTORICOS'!U29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RESUMO'!U29</f>
        <v/>
      </c>
      <c r="N22" s="128">
        <f>MAX(0,M22-M21)</f>
        <v/>
      </c>
      <c r="O22" s="127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HISTORICOS'!V29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RESUMO'!V29</f>
        <v/>
      </c>
      <c r="N23" s="128">
        <f>MAX(0,M23-M22)</f>
        <v/>
      </c>
      <c r="O23" s="127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HISTORICOS'!W29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Previsão informada mantida (decisão do usuário). Premissa: 60% em 10 pagamentos + 40% por medição direta.</t>
        </is>
      </c>
      <c r="M24" s="127">
        <f>'CP RESUMO'!W29</f>
        <v/>
      </c>
      <c r="N24" s="128">
        <f>MAX(0,M24-M23)</f>
        <v/>
      </c>
      <c r="O24" s="127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HISTORICOS'!X29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RESUMO'!X29</f>
        <v/>
      </c>
      <c r="N25" s="128">
        <f>MAX(0,M25-M24)</f>
        <v/>
      </c>
      <c r="O25" s="127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HISTORICOS'!Y29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RESUMO'!Y29</f>
        <v/>
      </c>
      <c r="N26" s="128">
        <f>MAX(0,M26-M25)</f>
        <v/>
      </c>
      <c r="O26" s="127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HISTORICOS'!Z29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RESUMO'!Z29</f>
        <v/>
      </c>
      <c r="N27" s="128">
        <f>MAX(0,M27-M26)</f>
        <v/>
      </c>
      <c r="O27" s="127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HISTORICOS'!AA29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RESUMO'!AA29</f>
        <v/>
      </c>
      <c r="N28" s="128">
        <f>MAX(0,M28-M27)</f>
        <v/>
      </c>
      <c r="O28" s="127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HISTORICOS'!AB29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RESUMO'!AB29</f>
        <v/>
      </c>
      <c r="N29" s="128">
        <f>MAX(0,M29-M28)</f>
        <v/>
      </c>
      <c r="O29" s="127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HISTORICOS'!AC29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RESUMO'!AC29</f>
        <v/>
      </c>
      <c r="N30" s="128">
        <f>MAX(0,M30-M29)</f>
        <v/>
      </c>
      <c r="O30" s="127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HISTORICOS'!AD29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RESUMO'!AD29</f>
        <v/>
      </c>
      <c r="N31" s="128">
        <f>MAX(0,M31-M30)</f>
        <v/>
      </c>
      <c r="O31" s="127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HISTORICOS'!AE29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RESUMO'!AE29</f>
        <v/>
      </c>
      <c r="N32" s="128">
        <f>MAX(0,M32-M31)</f>
        <v/>
      </c>
      <c r="O32" s="127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HISTORICOS'!AF29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RESUMO'!AF29</f>
        <v/>
      </c>
      <c r="N33" s="128">
        <f>MAX(0,M33-M32)</f>
        <v/>
      </c>
      <c r="O33" s="127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HISTORICOS'!AG29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RESUMO'!AG29</f>
        <v/>
      </c>
      <c r="N34" s="128">
        <f>MAX(0,M34-M33)</f>
        <v/>
      </c>
      <c r="O34" s="127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HISTORICOS'!AH29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RESUMO'!AH29</f>
        <v/>
      </c>
      <c r="N35" s="128">
        <f>MAX(0,M35-M34)</f>
        <v/>
      </c>
      <c r="O35" s="127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HISTORICOS'!AI29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RESUMO'!AI29</f>
        <v/>
      </c>
      <c r="N36" s="128">
        <f>MAX(0,M36-M35)</f>
        <v/>
      </c>
      <c r="O36" s="127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HISTORICOS'!AJ29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RESUMO'!AJ29</f>
        <v/>
      </c>
      <c r="N37" s="128">
        <f>MAX(0,M37-M36)</f>
        <v/>
      </c>
      <c r="O37" s="127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HISTORICOS'!AK29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RESUMO'!AK29</f>
        <v/>
      </c>
      <c r="N38" s="128">
        <f>MAX(0,M38-M37)</f>
        <v/>
      </c>
      <c r="O38" s="127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HISTORICOS'!AL29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RESUMO'!AL29</f>
        <v/>
      </c>
      <c r="N39" s="128">
        <f>MAX(0,M39-M38)</f>
        <v/>
      </c>
      <c r="O39" s="127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HISTORICOS'!AM29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RESUMO'!AM29</f>
        <v/>
      </c>
      <c r="N40" s="128">
        <f>MAX(0,M40-M39)</f>
        <v/>
      </c>
      <c r="O40" s="127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HISTORICOS'!AN29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RESUMO'!AN29</f>
        <v/>
      </c>
      <c r="N41" s="128">
        <f>MAX(0,M41-M40)</f>
        <v/>
      </c>
      <c r="O41" s="127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HISTORICOS'!AO29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RESUMO'!AO29</f>
        <v/>
      </c>
      <c r="N42" s="128">
        <f>MAX(0,M42-M41)</f>
        <v/>
      </c>
      <c r="O42" s="127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HISTORICOS'!AP29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RESUMO'!AP29</f>
        <v/>
      </c>
      <c r="N43" s="128">
        <f>MAX(0,M43-M42)</f>
        <v/>
      </c>
      <c r="O43" s="127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HISTORICOS'!AQ29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RESUMO'!AQ29</f>
        <v/>
      </c>
      <c r="N44" s="128">
        <f>MAX(0,M44-M43)</f>
        <v/>
      </c>
      <c r="O44" s="127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HISTORICOS'!AR29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RESUMO'!AR29</f>
        <v/>
      </c>
      <c r="N45" s="128">
        <f>MAX(0,M45-M44)</f>
        <v/>
      </c>
      <c r="O45" s="127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HISTORICOS'!AS29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RESUMO'!AS29</f>
        <v/>
      </c>
      <c r="N46" s="128">
        <f>MAX(0,M46-M45)</f>
        <v/>
      </c>
      <c r="O46" s="127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HISTORICOS'!AT29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RESUMO'!AT29</f>
        <v/>
      </c>
      <c r="N47" s="128">
        <f>MAX(0,M47-M46)</f>
        <v/>
      </c>
      <c r="O47" s="127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HISTORICOS'!AU29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RESUMO'!AU29</f>
        <v/>
      </c>
      <c r="N48" s="128">
        <f>MAX(0,M48-M47)</f>
        <v/>
      </c>
      <c r="O48" s="127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HISTORICOS'!AV29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RESUMO'!AV29</f>
        <v/>
      </c>
      <c r="N49" s="128">
        <f>MAX(0,M49-M48)</f>
        <v/>
      </c>
      <c r="O49" s="127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HISTORICOS'!AW29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RESUMO'!AW29</f>
        <v/>
      </c>
      <c r="N50" s="128">
        <f>MAX(0,M50-M49)</f>
        <v/>
      </c>
      <c r="O50" s="127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HISTORICOS'!AX29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RESUMO'!AX29</f>
        <v/>
      </c>
      <c r="N51" s="128">
        <f>MAX(0,M51-M50)</f>
        <v/>
      </c>
      <c r="O51" s="127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HISTORICOS'!AY29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RESUMO'!AY29</f>
        <v/>
      </c>
      <c r="N52" s="128">
        <f>MAX(0,M52-M51)</f>
        <v/>
      </c>
      <c r="O52" s="127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HISTORICOS'!AZ29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RESUMO'!AZ29</f>
        <v/>
      </c>
      <c r="N53" s="128">
        <f>MAX(0,M53-M52)</f>
        <v/>
      </c>
      <c r="O53" s="127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HISTORICOS'!BA29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RESUMO'!BA29</f>
        <v/>
      </c>
      <c r="N54" s="128">
        <f>MAX(0,M54-M53)</f>
        <v/>
      </c>
      <c r="O54" s="127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HISTORICOS'!BB29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RESUMO'!BB29</f>
        <v/>
      </c>
      <c r="N55" s="128">
        <f>MAX(0,M55-M54)</f>
        <v/>
      </c>
      <c r="O55" s="127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HISTORICOS'!BC29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RESUMO'!BC29</f>
        <v/>
      </c>
      <c r="N56" s="128">
        <f>MAX(0,M56-M55)</f>
        <v/>
      </c>
      <c r="O56" s="127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HISTORICOS'!BD29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RESUMO'!BD29</f>
        <v/>
      </c>
      <c r="N57" s="128">
        <f>MAX(0,M57-M56)</f>
        <v/>
      </c>
      <c r="O57" s="127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HISTORICOS'!BE29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RESUMO'!BE29</f>
        <v/>
      </c>
      <c r="N58" s="128">
        <f>MAX(0,M58-M57)</f>
        <v/>
      </c>
      <c r="O58" s="127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HISTORICOS'!BF29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RESUMO'!BF29</f>
        <v/>
      </c>
      <c r="N59" s="128">
        <f>MAX(0,M59-M58)</f>
        <v/>
      </c>
      <c r="O59" s="127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HISTORICOS'!BG29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RESUMO'!BG29</f>
        <v/>
      </c>
      <c r="N60" s="128">
        <f>MAX(0,M60-M59)</f>
        <v/>
      </c>
      <c r="O60" s="127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HISTORICOS'!BH29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RESUMO'!BH29</f>
        <v/>
      </c>
      <c r="N61" s="128">
        <f>MAX(0,M61-M60)</f>
        <v/>
      </c>
      <c r="O61" s="127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HISTORICOS'!BI29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RESUMO'!BI29</f>
        <v/>
      </c>
      <c r="N62" s="128">
        <f>MAX(0,M62-M61)</f>
        <v/>
      </c>
      <c r="O62" s="127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HISTORICOS'!BJ29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RESUMO'!BJ29</f>
        <v/>
      </c>
      <c r="N63" s="128">
        <f>MAX(0,M63-M62)</f>
        <v/>
      </c>
      <c r="O63" s="127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HISTORICOS'!BK29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RESUMO'!BK29</f>
        <v/>
      </c>
      <c r="N64" s="128">
        <f>MAX(0,M64-M63)</f>
        <v/>
      </c>
      <c r="O64" s="127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HISTORICOS'!BL29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RESUMO'!BL29</f>
        <v/>
      </c>
      <c r="N65" s="128">
        <f>MAX(0,M65-M64)</f>
        <v/>
      </c>
      <c r="O65" s="127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HISTORICOS'!BM29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RESUMO'!BM29</f>
        <v/>
      </c>
      <c r="N66" s="128">
        <f>MAX(0,M66-M65)</f>
        <v/>
      </c>
      <c r="O66" s="127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HISTORICOS'!BN29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RESUMO'!BN29</f>
        <v/>
      </c>
      <c r="N67" s="128">
        <f>MAX(0,M67-M66)</f>
        <v/>
      </c>
      <c r="O67" s="127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HISTORICOS'!BO29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RESUMO'!BO29</f>
        <v/>
      </c>
      <c r="N68" s="128">
        <f>MAX(0,M68-M67)</f>
        <v/>
      </c>
      <c r="O68" s="127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HISTORICOS'!BP29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RESUMO'!BP29</f>
        <v/>
      </c>
      <c r="N69" s="128">
        <f>MAX(0,M69-M68)</f>
        <v/>
      </c>
      <c r="O69" s="127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HISTORICOS'!BQ29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RESUMO'!BQ29</f>
        <v/>
      </c>
      <c r="N70" s="128">
        <f>MAX(0,M70-M69)</f>
        <v/>
      </c>
      <c r="O70" s="127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HISTORICOS'!BR29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RESUMO'!BR29</f>
        <v/>
      </c>
      <c r="N71" s="128">
        <f>MAX(0,M71-M70)</f>
        <v/>
      </c>
      <c r="O71" s="127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HISTORICOS'!BS29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RESUMO'!BS29</f>
        <v/>
      </c>
      <c r="N72" s="128">
        <f>MAX(0,M72-M71)</f>
        <v/>
      </c>
      <c r="O72" s="127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HISTORICOS'!BT29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RESUMO'!BT29</f>
        <v/>
      </c>
      <c r="N73" s="128">
        <f>MAX(0,M73-M72)</f>
        <v/>
      </c>
      <c r="O73" s="127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HISTORICOS'!BU29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RESUMO'!BU29</f>
        <v/>
      </c>
      <c r="N74" s="128">
        <f>MAX(0,M74-M73)</f>
        <v/>
      </c>
      <c r="O74" s="127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HISTORICOS'!BV29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RESUMO'!BV29</f>
        <v/>
      </c>
      <c r="N75" s="128">
        <f>MAX(0,M75-M74)</f>
        <v/>
      </c>
      <c r="O75" s="127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HISTORICOS'!BW29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RESUMO'!BW29</f>
        <v/>
      </c>
      <c r="N76" s="128">
        <f>MAX(0,M76-M75)</f>
        <v/>
      </c>
      <c r="O76" s="127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PL'!F36</f>
        <v/>
      </c>
      <c r="K5" s="63">
        <f>'VALOR POR PL'!G36</f>
        <v/>
      </c>
      <c r="M5" s="127">
        <f>'CP RESUMO'!D30</f>
        <v/>
      </c>
      <c r="N5" s="128" t="n">
        <v>0</v>
      </c>
      <c r="O5" s="127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RESUMO'!E30</f>
        <v/>
      </c>
      <c r="N6" s="128">
        <f>MAX(0,M6-M5)</f>
        <v/>
      </c>
      <c r="O6" s="127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PL'!L36</f>
        <v/>
      </c>
      <c r="M7" s="127">
        <f>'CP RESUMO'!F30</f>
        <v/>
      </c>
      <c r="N7" s="128">
        <f>MAX(0,M7-M6)</f>
        <v/>
      </c>
      <c r="O7" s="127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RESUMO'!G30</f>
        <v/>
      </c>
      <c r="N8" s="128">
        <f>MAX(0,M8-M7)</f>
        <v/>
      </c>
      <c r="O8" s="127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RESUMO'!H30</f>
        <v/>
      </c>
      <c r="N9" s="128">
        <f>MAX(0,M9-M8)</f>
        <v/>
      </c>
      <c r="O9" s="127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RESUMO'!I30</f>
        <v/>
      </c>
      <c r="N10" s="128">
        <f>MAX(0,M10-M9)</f>
        <v/>
      </c>
      <c r="O10" s="127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RESUMO'!J30</f>
        <v/>
      </c>
      <c r="N11" s="128">
        <f>MAX(0,M11-M10)</f>
        <v/>
      </c>
      <c r="O11" s="127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RESUMO'!K30</f>
        <v/>
      </c>
      <c r="N12" s="128">
        <f>MAX(0,M12-M11)</f>
        <v/>
      </c>
      <c r="O12" s="127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PL'!I36</f>
        <v/>
      </c>
      <c r="M13" s="127">
        <f>'CP RESUMO'!L30</f>
        <v/>
      </c>
      <c r="N13" s="128">
        <f>MAX(0,M13-M12)</f>
        <v/>
      </c>
      <c r="O13" s="127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M14" s="127">
        <f>'CP RESUMO'!M30</f>
        <v/>
      </c>
      <c r="N14" s="128">
        <f>MAX(0,M14-M13)</f>
        <v/>
      </c>
      <c r="O14" s="127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RESUMO'!N30</f>
        <v/>
      </c>
      <c r="N15" s="128">
        <f>MAX(0,M15-M14)</f>
        <v/>
      </c>
      <c r="O15" s="127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RESUMO'!O30</f>
        <v/>
      </c>
      <c r="N16" s="128">
        <f>MAX(0,M16-M15)</f>
        <v/>
      </c>
      <c r="O16" s="127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RESUMO'!P30</f>
        <v/>
      </c>
      <c r="N17" s="128">
        <f>MAX(0,M17-M16)</f>
        <v/>
      </c>
      <c r="O17" s="127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RESUMO'!Q30</f>
        <v/>
      </c>
      <c r="N18" s="128">
        <f>MAX(0,M18-M17)</f>
        <v/>
      </c>
      <c r="O18" s="127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RESUMO'!R30</f>
        <v/>
      </c>
      <c r="N19" s="128">
        <f>MAX(0,M19-M18)</f>
        <v/>
      </c>
      <c r="O19" s="127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RESUMO'!S30</f>
        <v/>
      </c>
      <c r="N20" s="128">
        <f>MAX(0,M20-M19)</f>
        <v/>
      </c>
      <c r="O20" s="127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RESUMO'!T30</f>
        <v/>
      </c>
      <c r="N21" s="128">
        <f>MAX(0,M21-M20)</f>
        <v/>
      </c>
      <c r="O21" s="127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RESUMO'!U30</f>
        <v/>
      </c>
      <c r="N22" s="128">
        <f>MAX(0,M22-M21)</f>
        <v/>
      </c>
      <c r="O22" s="127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RESUMO'!V30</f>
        <v/>
      </c>
      <c r="N23" s="128">
        <f>MAX(0,M23-M22)</f>
        <v/>
      </c>
      <c r="O23" s="127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RESUMO'!W30</f>
        <v/>
      </c>
      <c r="N24" s="128">
        <f>MAX(0,M24-M23)</f>
        <v/>
      </c>
      <c r="O24" s="127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RESUMO'!X30</f>
        <v/>
      </c>
      <c r="N25" s="128">
        <f>MAX(0,M25-M24)</f>
        <v/>
      </c>
      <c r="O25" s="127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RESUMO'!Y30</f>
        <v/>
      </c>
      <c r="N26" s="128">
        <f>MAX(0,M26-M25)</f>
        <v/>
      </c>
      <c r="O26" s="127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RESUMO'!Z30</f>
        <v/>
      </c>
      <c r="N27" s="128">
        <f>MAX(0,M27-M26)</f>
        <v/>
      </c>
      <c r="O27" s="127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RESUMO'!AA30</f>
        <v/>
      </c>
      <c r="N28" s="128">
        <f>MAX(0,M28-M27)</f>
        <v/>
      </c>
      <c r="O28" s="127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RESUMO'!AB30</f>
        <v/>
      </c>
      <c r="N29" s="128">
        <f>MAX(0,M29-M28)</f>
        <v/>
      </c>
      <c r="O29" s="127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RESUMO'!AC30</f>
        <v/>
      </c>
      <c r="N30" s="128">
        <f>MAX(0,M30-M29)</f>
        <v/>
      </c>
      <c r="O30" s="127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RESUMO'!AD30</f>
        <v/>
      </c>
      <c r="N31" s="128">
        <f>MAX(0,M31-M30)</f>
        <v/>
      </c>
      <c r="O31" s="127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RESUMO'!AE30</f>
        <v/>
      </c>
      <c r="N32" s="128">
        <f>MAX(0,M32-M31)</f>
        <v/>
      </c>
      <c r="O32" s="127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RESUMO'!AF30</f>
        <v/>
      </c>
      <c r="N33" s="128">
        <f>MAX(0,M33-M32)</f>
        <v/>
      </c>
      <c r="O33" s="127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RESUMO'!AG30</f>
        <v/>
      </c>
      <c r="N34" s="128">
        <f>MAX(0,M34-M33)</f>
        <v/>
      </c>
      <c r="O34" s="127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RESUMO'!AH30</f>
        <v/>
      </c>
      <c r="N35" s="128">
        <f>MAX(0,M35-M34)</f>
        <v/>
      </c>
      <c r="O35" s="127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RESUMO'!AI30</f>
        <v/>
      </c>
      <c r="N36" s="128">
        <f>MAX(0,M36-M35)</f>
        <v/>
      </c>
      <c r="O36" s="127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RESUMO'!AJ30</f>
        <v/>
      </c>
      <c r="N37" s="128">
        <f>MAX(0,M37-M36)</f>
        <v/>
      </c>
      <c r="O37" s="127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RESUMO'!AK30</f>
        <v/>
      </c>
      <c r="N38" s="128">
        <f>MAX(0,M38-M37)</f>
        <v/>
      </c>
      <c r="O38" s="127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RESUMO'!AL30</f>
        <v/>
      </c>
      <c r="N39" s="128">
        <f>MAX(0,M39-M38)</f>
        <v/>
      </c>
      <c r="O39" s="127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RESUMO'!AM30</f>
        <v/>
      </c>
      <c r="N40" s="128">
        <f>MAX(0,M40-M39)</f>
        <v/>
      </c>
      <c r="O40" s="127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RESUMO'!AN30</f>
        <v/>
      </c>
      <c r="N41" s="128">
        <f>MAX(0,M41-M40)</f>
        <v/>
      </c>
      <c r="O41" s="127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RESUMO'!AO30</f>
        <v/>
      </c>
      <c r="N42" s="128">
        <f>MAX(0,M42-M41)</f>
        <v/>
      </c>
      <c r="O42" s="127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RESUMO'!AP30</f>
        <v/>
      </c>
      <c r="N43" s="128">
        <f>MAX(0,M43-M42)</f>
        <v/>
      </c>
      <c r="O43" s="127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RESUMO'!AQ30</f>
        <v/>
      </c>
      <c r="N44" s="128">
        <f>MAX(0,M44-M43)</f>
        <v/>
      </c>
      <c r="O44" s="127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RESUMO'!AR30</f>
        <v/>
      </c>
      <c r="N45" s="128">
        <f>MAX(0,M45-M44)</f>
        <v/>
      </c>
      <c r="O45" s="127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RESUMO'!AS30</f>
        <v/>
      </c>
      <c r="N46" s="128">
        <f>MAX(0,M46-M45)</f>
        <v/>
      </c>
      <c r="O46" s="127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RESUMO'!AT30</f>
        <v/>
      </c>
      <c r="N47" s="128">
        <f>MAX(0,M47-M46)</f>
        <v/>
      </c>
      <c r="O47" s="127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RESUMO'!AU30</f>
        <v/>
      </c>
      <c r="N48" s="128">
        <f>MAX(0,M48-M47)</f>
        <v/>
      </c>
      <c r="O48" s="127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RESUMO'!AV30</f>
        <v/>
      </c>
      <c r="N49" s="128">
        <f>MAX(0,M49-M48)</f>
        <v/>
      </c>
      <c r="O49" s="127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RESUMO'!AW30</f>
        <v/>
      </c>
      <c r="N50" s="128">
        <f>MAX(0,M50-M49)</f>
        <v/>
      </c>
      <c r="O50" s="127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RESUMO'!AX30</f>
        <v/>
      </c>
      <c r="N51" s="128">
        <f>MAX(0,M51-M50)</f>
        <v/>
      </c>
      <c r="O51" s="127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RESUMO'!AY30</f>
        <v/>
      </c>
      <c r="N52" s="128">
        <f>MAX(0,M52-M51)</f>
        <v/>
      </c>
      <c r="O52" s="127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RESUMO'!AZ30</f>
        <v/>
      </c>
      <c r="N53" s="128">
        <f>MAX(0,M53-M52)</f>
        <v/>
      </c>
      <c r="O53" s="127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RESUMO'!BA30</f>
        <v/>
      </c>
      <c r="N54" s="128">
        <f>MAX(0,M54-M53)</f>
        <v/>
      </c>
      <c r="O54" s="127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RESUMO'!BB30</f>
        <v/>
      </c>
      <c r="N55" s="128">
        <f>MAX(0,M55-M54)</f>
        <v/>
      </c>
      <c r="O55" s="127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RESUMO'!BC30</f>
        <v/>
      </c>
      <c r="N56" s="128">
        <f>MAX(0,M56-M55)</f>
        <v/>
      </c>
      <c r="O56" s="127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RESUMO'!BD30</f>
        <v/>
      </c>
      <c r="N57" s="128">
        <f>MAX(0,M57-M56)</f>
        <v/>
      </c>
      <c r="O57" s="127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RESUMO'!BE30</f>
        <v/>
      </c>
      <c r="N58" s="128">
        <f>MAX(0,M58-M57)</f>
        <v/>
      </c>
      <c r="O58" s="127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RESUMO'!BF30</f>
        <v/>
      </c>
      <c r="N59" s="128">
        <f>MAX(0,M59-M58)</f>
        <v/>
      </c>
      <c r="O59" s="127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RESUMO'!BG30</f>
        <v/>
      </c>
      <c r="N60" s="128">
        <f>MAX(0,M60-M59)</f>
        <v/>
      </c>
      <c r="O60" s="127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RESUMO'!BH30</f>
        <v/>
      </c>
      <c r="N61" s="128">
        <f>MAX(0,M61-M60)</f>
        <v/>
      </c>
      <c r="O61" s="127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RESUMO'!BI30</f>
        <v/>
      </c>
      <c r="N62" s="128">
        <f>MAX(0,M62-M61)</f>
        <v/>
      </c>
      <c r="O62" s="127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RESUMO'!BJ30</f>
        <v/>
      </c>
      <c r="N63" s="128">
        <f>MAX(0,M63-M62)</f>
        <v/>
      </c>
      <c r="O63" s="127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RESUMO'!BK30</f>
        <v/>
      </c>
      <c r="N64" s="128">
        <f>MAX(0,M64-M63)</f>
        <v/>
      </c>
      <c r="O64" s="127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RESUMO'!BL30</f>
        <v/>
      </c>
      <c r="N65" s="128">
        <f>MAX(0,M65-M64)</f>
        <v/>
      </c>
      <c r="O65" s="127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RESUMO'!BM30</f>
        <v/>
      </c>
      <c r="N66" s="128">
        <f>MAX(0,M66-M65)</f>
        <v/>
      </c>
      <c r="O66" s="127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RESUMO'!BN30</f>
        <v/>
      </c>
      <c r="N67" s="128">
        <f>MAX(0,M67-M66)</f>
        <v/>
      </c>
      <c r="O67" s="127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RESUMO'!BO30</f>
        <v/>
      </c>
      <c r="N68" s="128">
        <f>MAX(0,M68-M67)</f>
        <v/>
      </c>
      <c r="O68" s="127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RESUMO'!BP30</f>
        <v/>
      </c>
      <c r="N69" s="128">
        <f>MAX(0,M69-M68)</f>
        <v/>
      </c>
      <c r="O69" s="127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RESUMO'!BQ30</f>
        <v/>
      </c>
      <c r="N70" s="128">
        <f>MAX(0,M70-M69)</f>
        <v/>
      </c>
      <c r="O70" s="127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RESUMO'!BR30</f>
        <v/>
      </c>
      <c r="N71" s="128">
        <f>MAX(0,M71-M70)</f>
        <v/>
      </c>
      <c r="O71" s="127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RESUMO'!BS30</f>
        <v/>
      </c>
      <c r="N72" s="128">
        <f>MAX(0,M72-M71)</f>
        <v/>
      </c>
      <c r="O72" s="127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RESUMO'!BT30</f>
        <v/>
      </c>
      <c r="N73" s="128">
        <f>MAX(0,M73-M72)</f>
        <v/>
      </c>
      <c r="O73" s="127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RESUMO'!BU30</f>
        <v/>
      </c>
      <c r="N74" s="128">
        <f>MAX(0,M74-M73)</f>
        <v/>
      </c>
      <c r="O74" s="127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RESUMO'!BV30</f>
        <v/>
      </c>
      <c r="N75" s="128">
        <f>MAX(0,M75-M74)</f>
        <v/>
      </c>
      <c r="O75" s="127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RESUMO'!BW30</f>
        <v/>
      </c>
      <c r="N76" s="128">
        <f>MAX(0,M76-M75)</f>
        <v/>
      </c>
      <c r="O76" s="127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PL'!F37</f>
        <v/>
      </c>
      <c r="K5" s="63">
        <f>'VALOR POR PL'!G37</f>
        <v/>
      </c>
      <c r="M5" s="127">
        <f>'CP RESUMO'!D31</f>
        <v/>
      </c>
      <c r="N5" s="128" t="n">
        <v>0</v>
      </c>
      <c r="O5" s="127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RESUMO'!E31</f>
        <v/>
      </c>
      <c r="N6" s="128">
        <f>MAX(0,M6-M5)</f>
        <v/>
      </c>
      <c r="O6" s="127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PL'!L37</f>
        <v/>
      </c>
      <c r="M7" s="127">
        <f>'CP RESUMO'!F31</f>
        <v/>
      </c>
      <c r="N7" s="128">
        <f>MAX(0,M7-M6)</f>
        <v/>
      </c>
      <c r="O7" s="127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RESUMO'!G31</f>
        <v/>
      </c>
      <c r="N8" s="128">
        <f>MAX(0,M8-M7)</f>
        <v/>
      </c>
      <c r="O8" s="127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RESUMO'!H31</f>
        <v/>
      </c>
      <c r="N9" s="128">
        <f>MAX(0,M9-M8)</f>
        <v/>
      </c>
      <c r="O9" s="127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RESUMO'!I31</f>
        <v/>
      </c>
      <c r="N10" s="128">
        <f>MAX(0,M10-M9)</f>
        <v/>
      </c>
      <c r="O10" s="127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RESUMO'!J31</f>
        <v/>
      </c>
      <c r="N11" s="128">
        <f>MAX(0,M11-M10)</f>
        <v/>
      </c>
      <c r="O11" s="127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RESUMO'!K31</f>
        <v/>
      </c>
      <c r="N12" s="128">
        <f>MAX(0,M12-M11)</f>
        <v/>
      </c>
      <c r="O12" s="127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PL'!I37</f>
        <v/>
      </c>
      <c r="M13" s="127">
        <f>'CP RESUMO'!L31</f>
        <v/>
      </c>
      <c r="N13" s="128">
        <f>MAX(0,M13-M12)</f>
        <v/>
      </c>
      <c r="O13" s="127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M14" s="127">
        <f>'CP RESUMO'!M31</f>
        <v/>
      </c>
      <c r="N14" s="128">
        <f>MAX(0,M14-M13)</f>
        <v/>
      </c>
      <c r="O14" s="127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RESUMO'!N31</f>
        <v/>
      </c>
      <c r="N15" s="128">
        <f>MAX(0,M15-M14)</f>
        <v/>
      </c>
      <c r="O15" s="127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RESUMO'!O31</f>
        <v/>
      </c>
      <c r="N16" s="128">
        <f>MAX(0,M16-M15)</f>
        <v/>
      </c>
      <c r="O16" s="127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RESUMO'!P31</f>
        <v/>
      </c>
      <c r="N17" s="128">
        <f>MAX(0,M17-M16)</f>
        <v/>
      </c>
      <c r="O17" s="127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RESUMO'!Q31</f>
        <v/>
      </c>
      <c r="N18" s="128">
        <f>MAX(0,M18-M17)</f>
        <v/>
      </c>
      <c r="O18" s="127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RESUMO'!R31</f>
        <v/>
      </c>
      <c r="N19" s="128">
        <f>MAX(0,M19-M18)</f>
        <v/>
      </c>
      <c r="O19" s="127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RESUMO'!S31</f>
        <v/>
      </c>
      <c r="N20" s="128">
        <f>MAX(0,M20-M19)</f>
        <v/>
      </c>
      <c r="O20" s="127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RESUMO'!T31</f>
        <v/>
      </c>
      <c r="N21" s="128">
        <f>MAX(0,M21-M20)</f>
        <v/>
      </c>
      <c r="O21" s="127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RESUMO'!U31</f>
        <v/>
      </c>
      <c r="N22" s="128">
        <f>MAX(0,M22-M21)</f>
        <v/>
      </c>
      <c r="O22" s="127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RESUMO'!V31</f>
        <v/>
      </c>
      <c r="N23" s="128">
        <f>MAX(0,M23-M22)</f>
        <v/>
      </c>
      <c r="O23" s="127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RESUMO'!W31</f>
        <v/>
      </c>
      <c r="N24" s="128">
        <f>MAX(0,M24-M23)</f>
        <v/>
      </c>
      <c r="O24" s="127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RESUMO'!X31</f>
        <v/>
      </c>
      <c r="N25" s="128">
        <f>MAX(0,M25-M24)</f>
        <v/>
      </c>
      <c r="O25" s="127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RESUMO'!Y31</f>
        <v/>
      </c>
      <c r="N26" s="128">
        <f>MAX(0,M26-M25)</f>
        <v/>
      </c>
      <c r="O26" s="127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RESUMO'!Z31</f>
        <v/>
      </c>
      <c r="N27" s="128">
        <f>MAX(0,M27-M26)</f>
        <v/>
      </c>
      <c r="O27" s="127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RESUMO'!AA31</f>
        <v/>
      </c>
      <c r="N28" s="128">
        <f>MAX(0,M28-M27)</f>
        <v/>
      </c>
      <c r="O28" s="127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RESUMO'!AB31</f>
        <v/>
      </c>
      <c r="N29" s="128">
        <f>MAX(0,M29-M28)</f>
        <v/>
      </c>
      <c r="O29" s="127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RESUMO'!AC31</f>
        <v/>
      </c>
      <c r="N30" s="128">
        <f>MAX(0,M30-M29)</f>
        <v/>
      </c>
      <c r="O30" s="127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RESUMO'!AD31</f>
        <v/>
      </c>
      <c r="N31" s="128">
        <f>MAX(0,M31-M30)</f>
        <v/>
      </c>
      <c r="O31" s="127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RESUMO'!AE31</f>
        <v/>
      </c>
      <c r="N32" s="128">
        <f>MAX(0,M32-M31)</f>
        <v/>
      </c>
      <c r="O32" s="127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RESUMO'!AF31</f>
        <v/>
      </c>
      <c r="N33" s="128">
        <f>MAX(0,M33-M32)</f>
        <v/>
      </c>
      <c r="O33" s="127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RESUMO'!AG31</f>
        <v/>
      </c>
      <c r="N34" s="128">
        <f>MAX(0,M34-M33)</f>
        <v/>
      </c>
      <c r="O34" s="127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RESUMO'!AH31</f>
        <v/>
      </c>
      <c r="N35" s="128">
        <f>MAX(0,M35-M34)</f>
        <v/>
      </c>
      <c r="O35" s="127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RESUMO'!AI31</f>
        <v/>
      </c>
      <c r="N36" s="128">
        <f>MAX(0,M36-M35)</f>
        <v/>
      </c>
      <c r="O36" s="127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RESUMO'!AJ31</f>
        <v/>
      </c>
      <c r="N37" s="128">
        <f>MAX(0,M37-M36)</f>
        <v/>
      </c>
      <c r="O37" s="127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RESUMO'!AK31</f>
        <v/>
      </c>
      <c r="N38" s="128">
        <f>MAX(0,M38-M37)</f>
        <v/>
      </c>
      <c r="O38" s="127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RESUMO'!AL31</f>
        <v/>
      </c>
      <c r="N39" s="128">
        <f>MAX(0,M39-M38)</f>
        <v/>
      </c>
      <c r="O39" s="127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RESUMO'!AM31</f>
        <v/>
      </c>
      <c r="N40" s="128">
        <f>MAX(0,M40-M39)</f>
        <v/>
      </c>
      <c r="O40" s="127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RESUMO'!AN31</f>
        <v/>
      </c>
      <c r="N41" s="128">
        <f>MAX(0,M41-M40)</f>
        <v/>
      </c>
      <c r="O41" s="127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RESUMO'!AO31</f>
        <v/>
      </c>
      <c r="N42" s="128">
        <f>MAX(0,M42-M41)</f>
        <v/>
      </c>
      <c r="O42" s="127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RESUMO'!AP31</f>
        <v/>
      </c>
      <c r="N43" s="128">
        <f>MAX(0,M43-M42)</f>
        <v/>
      </c>
      <c r="O43" s="127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RESUMO'!AQ31</f>
        <v/>
      </c>
      <c r="N44" s="128">
        <f>MAX(0,M44-M43)</f>
        <v/>
      </c>
      <c r="O44" s="127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RESUMO'!AR31</f>
        <v/>
      </c>
      <c r="N45" s="128">
        <f>MAX(0,M45-M44)</f>
        <v/>
      </c>
      <c r="O45" s="127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RESUMO'!AS31</f>
        <v/>
      </c>
      <c r="N46" s="128">
        <f>MAX(0,M46-M45)</f>
        <v/>
      </c>
      <c r="O46" s="127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RESUMO'!AT31</f>
        <v/>
      </c>
      <c r="N47" s="128">
        <f>MAX(0,M47-M46)</f>
        <v/>
      </c>
      <c r="O47" s="127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RESUMO'!AU31</f>
        <v/>
      </c>
      <c r="N48" s="128">
        <f>MAX(0,M48-M47)</f>
        <v/>
      </c>
      <c r="O48" s="127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RESUMO'!AV31</f>
        <v/>
      </c>
      <c r="N49" s="128">
        <f>MAX(0,M49-M48)</f>
        <v/>
      </c>
      <c r="O49" s="127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RESUMO'!AW31</f>
        <v/>
      </c>
      <c r="N50" s="128">
        <f>MAX(0,M50-M49)</f>
        <v/>
      </c>
      <c r="O50" s="127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RESUMO'!AX31</f>
        <v/>
      </c>
      <c r="N51" s="128">
        <f>MAX(0,M51-M50)</f>
        <v/>
      </c>
      <c r="O51" s="127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RESUMO'!AY31</f>
        <v/>
      </c>
      <c r="N52" s="128">
        <f>MAX(0,M52-M51)</f>
        <v/>
      </c>
      <c r="O52" s="127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RESUMO'!AZ31</f>
        <v/>
      </c>
      <c r="N53" s="128">
        <f>MAX(0,M53-M52)</f>
        <v/>
      </c>
      <c r="O53" s="127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RESUMO'!BA31</f>
        <v/>
      </c>
      <c r="N54" s="128">
        <f>MAX(0,M54-M53)</f>
        <v/>
      </c>
      <c r="O54" s="127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RESUMO'!BB31</f>
        <v/>
      </c>
      <c r="N55" s="128">
        <f>MAX(0,M55-M54)</f>
        <v/>
      </c>
      <c r="O55" s="127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RESUMO'!BC31</f>
        <v/>
      </c>
      <c r="N56" s="128">
        <f>MAX(0,M56-M55)</f>
        <v/>
      </c>
      <c r="O56" s="127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RESUMO'!BD31</f>
        <v/>
      </c>
      <c r="N57" s="128">
        <f>MAX(0,M57-M56)</f>
        <v/>
      </c>
      <c r="O57" s="127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RESUMO'!BE31</f>
        <v/>
      </c>
      <c r="N58" s="128">
        <f>MAX(0,M58-M57)</f>
        <v/>
      </c>
      <c r="O58" s="127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RESUMO'!BF31</f>
        <v/>
      </c>
      <c r="N59" s="128">
        <f>MAX(0,M59-M58)</f>
        <v/>
      </c>
      <c r="O59" s="127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RESUMO'!BG31</f>
        <v/>
      </c>
      <c r="N60" s="128">
        <f>MAX(0,M60-M59)</f>
        <v/>
      </c>
      <c r="O60" s="127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RESUMO'!BH31</f>
        <v/>
      </c>
      <c r="N61" s="128">
        <f>MAX(0,M61-M60)</f>
        <v/>
      </c>
      <c r="O61" s="127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RESUMO'!BI31</f>
        <v/>
      </c>
      <c r="N62" s="128">
        <f>MAX(0,M62-M61)</f>
        <v/>
      </c>
      <c r="O62" s="127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RESUMO'!BJ31</f>
        <v/>
      </c>
      <c r="N63" s="128">
        <f>MAX(0,M63-M62)</f>
        <v/>
      </c>
      <c r="O63" s="127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RESUMO'!BK31</f>
        <v/>
      </c>
      <c r="N64" s="128">
        <f>MAX(0,M64-M63)</f>
        <v/>
      </c>
      <c r="O64" s="127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RESUMO'!BL31</f>
        <v/>
      </c>
      <c r="N65" s="128">
        <f>MAX(0,M65-M64)</f>
        <v/>
      </c>
      <c r="O65" s="127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RESUMO'!BM31</f>
        <v/>
      </c>
      <c r="N66" s="128">
        <f>MAX(0,M66-M65)</f>
        <v/>
      </c>
      <c r="O66" s="127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RESUMO'!BN31</f>
        <v/>
      </c>
      <c r="N67" s="128">
        <f>MAX(0,M67-M66)</f>
        <v/>
      </c>
      <c r="O67" s="127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RESUMO'!BO31</f>
        <v/>
      </c>
      <c r="N68" s="128">
        <f>MAX(0,M68-M67)</f>
        <v/>
      </c>
      <c r="O68" s="127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RESUMO'!BP31</f>
        <v/>
      </c>
      <c r="N69" s="128">
        <f>MAX(0,M69-M68)</f>
        <v/>
      </c>
      <c r="O69" s="127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RESUMO'!BQ31</f>
        <v/>
      </c>
      <c r="N70" s="128">
        <f>MAX(0,M70-M69)</f>
        <v/>
      </c>
      <c r="O70" s="127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RESUMO'!BR31</f>
        <v/>
      </c>
      <c r="N71" s="128">
        <f>MAX(0,M71-M70)</f>
        <v/>
      </c>
      <c r="O71" s="127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RESUMO'!BS31</f>
        <v/>
      </c>
      <c r="N72" s="128">
        <f>MAX(0,M72-M71)</f>
        <v/>
      </c>
      <c r="O72" s="127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RESUMO'!BT31</f>
        <v/>
      </c>
      <c r="N73" s="128">
        <f>MAX(0,M73-M72)</f>
        <v/>
      </c>
      <c r="O73" s="127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RESUMO'!BU31</f>
        <v/>
      </c>
      <c r="N74" s="128">
        <f>MAX(0,M74-M73)</f>
        <v/>
      </c>
      <c r="O74" s="127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RESUMO'!BV31</f>
        <v/>
      </c>
      <c r="N75" s="128">
        <f>MAX(0,M75-M74)</f>
        <v/>
      </c>
      <c r="O75" s="127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RESUMO'!BW31</f>
        <v/>
      </c>
      <c r="N76" s="128">
        <f>MAX(0,M76-M75)</f>
        <v/>
      </c>
      <c r="O76" s="127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PL'!D38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HISTORICOS'!D32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PL'!F38</f>
        <v/>
      </c>
      <c r="K5" s="63">
        <f>'VALOR POR PL'!G38</f>
        <v/>
      </c>
      <c r="M5" s="127">
        <f>'CP RESUMO'!D32</f>
        <v/>
      </c>
      <c r="N5" s="128" t="n">
        <v>0</v>
      </c>
      <c r="O5" s="127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HISTORICOS'!E32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RESUMO'!E32</f>
        <v/>
      </c>
      <c r="N6" s="128">
        <f>MAX(0,M6-M5)</f>
        <v/>
      </c>
      <c r="O6" s="127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HISTORICOS'!F32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PL'!L38</f>
        <v/>
      </c>
      <c r="M7" s="127">
        <f>'CP RESUMO'!F32</f>
        <v/>
      </c>
      <c r="N7" s="128">
        <f>MAX(0,M7-M6)</f>
        <v/>
      </c>
      <c r="O7" s="127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HISTORICOS'!G32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RESUMO'!G32</f>
        <v/>
      </c>
      <c r="N8" s="128">
        <f>MAX(0,M8-M7)</f>
        <v/>
      </c>
      <c r="O8" s="127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HISTORICOS'!H32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RESUMO'!H32</f>
        <v/>
      </c>
      <c r="N9" s="128">
        <f>MAX(0,M9-M8)</f>
        <v/>
      </c>
      <c r="O9" s="127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HISTORICOS'!I32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RESUMO'!I32</f>
        <v/>
      </c>
      <c r="N10" s="128">
        <f>MAX(0,M10-M9)</f>
        <v/>
      </c>
      <c r="O10" s="127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HISTORICOS'!J32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RESUMO'!J32</f>
        <v/>
      </c>
      <c r="N11" s="128">
        <f>MAX(0,M11-M10)</f>
        <v/>
      </c>
      <c r="O11" s="127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HISTORICOS'!K32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RESUMO'!K32</f>
        <v/>
      </c>
      <c r="N12" s="128">
        <f>MAX(0,M12-M11)</f>
        <v/>
      </c>
      <c r="O12" s="127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HISTORICOS'!L32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PL'!I38</f>
        <v/>
      </c>
      <c r="M13" s="127">
        <f>'CP RESUMO'!L32</f>
        <v/>
      </c>
      <c r="N13" s="128">
        <f>MAX(0,M13-M12)</f>
        <v/>
      </c>
      <c r="O13" s="127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HISTORICOS'!M32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M14" s="127">
        <f>'CP RESUMO'!M32</f>
        <v/>
      </c>
      <c r="N14" s="128">
        <f>MAX(0,M14-M13)</f>
        <v/>
      </c>
      <c r="O14" s="127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HISTORICOS'!N32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RESUMO'!N32</f>
        <v/>
      </c>
      <c r="N15" s="128">
        <f>MAX(0,M15-M14)</f>
        <v/>
      </c>
      <c r="O15" s="127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HISTORICOS'!O32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RESUMO'!O32</f>
        <v/>
      </c>
      <c r="N16" s="128">
        <f>MAX(0,M16-M15)</f>
        <v/>
      </c>
      <c r="O16" s="127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HISTORICOS'!P32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RESUMO'!P32</f>
        <v/>
      </c>
      <c r="N17" s="128">
        <f>MAX(0,M17-M16)</f>
        <v/>
      </c>
      <c r="O17" s="127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HISTORICOS'!Q32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RESUMO'!Q32</f>
        <v/>
      </c>
      <c r="N18" s="128">
        <f>MAX(0,M18-M17)</f>
        <v/>
      </c>
      <c r="O18" s="127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HISTORICOS'!R32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RESUMO'!R32</f>
        <v/>
      </c>
      <c r="N19" s="128">
        <f>MAX(0,M19-M18)</f>
        <v/>
      </c>
      <c r="O19" s="127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HISTORICOS'!S32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RESUMO'!S32</f>
        <v/>
      </c>
      <c r="N20" s="128">
        <f>MAX(0,M20-M19)</f>
        <v/>
      </c>
      <c r="O20" s="127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HISTORICOS'!T32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RESUMO'!T32</f>
        <v/>
      </c>
      <c r="N21" s="128">
        <f>MAX(0,M21-M20)</f>
        <v/>
      </c>
      <c r="O21" s="127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HISTORICOS'!U32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RESUMO'!U32</f>
        <v/>
      </c>
      <c r="N22" s="128">
        <f>MAX(0,M22-M21)</f>
        <v/>
      </c>
      <c r="O22" s="127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HISTORICOS'!V32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RESUMO'!V32</f>
        <v/>
      </c>
      <c r="N23" s="128">
        <f>MAX(0,M23-M22)</f>
        <v/>
      </c>
      <c r="O23" s="127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HISTORICOS'!W32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RESUMO'!W32</f>
        <v/>
      </c>
      <c r="N24" s="128">
        <f>MAX(0,M24-M23)</f>
        <v/>
      </c>
      <c r="O24" s="127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HISTORICOS'!X32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RESUMO'!X32</f>
        <v/>
      </c>
      <c r="N25" s="128">
        <f>MAX(0,M25-M24)</f>
        <v/>
      </c>
      <c r="O25" s="127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HISTORICOS'!Y32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RESUMO'!Y32</f>
        <v/>
      </c>
      <c r="N26" s="128">
        <f>MAX(0,M26-M25)</f>
        <v/>
      </c>
      <c r="O26" s="127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HISTORICOS'!Z32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RESUMO'!Z32</f>
        <v/>
      </c>
      <c r="N27" s="128">
        <f>MAX(0,M27-M26)</f>
        <v/>
      </c>
      <c r="O27" s="127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HISTORICOS'!AA32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RESUMO'!AA32</f>
        <v/>
      </c>
      <c r="N28" s="128">
        <f>MAX(0,M28-M27)</f>
        <v/>
      </c>
      <c r="O28" s="127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HISTORICOS'!AB32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RESUMO'!AB32</f>
        <v/>
      </c>
      <c r="N29" s="128">
        <f>MAX(0,M29-M28)</f>
        <v/>
      </c>
      <c r="O29" s="127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HISTORICOS'!AC32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RESUMO'!AC32</f>
        <v/>
      </c>
      <c r="N30" s="128">
        <f>MAX(0,M30-M29)</f>
        <v/>
      </c>
      <c r="O30" s="127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HISTORICOS'!AD32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RESUMO'!AD32</f>
        <v/>
      </c>
      <c r="N31" s="128">
        <f>MAX(0,M31-M30)</f>
        <v/>
      </c>
      <c r="O31" s="127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HISTORICOS'!AE32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RESUMO'!AE32</f>
        <v/>
      </c>
      <c r="N32" s="128">
        <f>MAX(0,M32-M31)</f>
        <v/>
      </c>
      <c r="O32" s="127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HISTORICOS'!AF32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RESUMO'!AF32</f>
        <v/>
      </c>
      <c r="N33" s="128">
        <f>MAX(0,M33-M32)</f>
        <v/>
      </c>
      <c r="O33" s="127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HISTORICOS'!AG32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RESUMO'!AG32</f>
        <v/>
      </c>
      <c r="N34" s="128">
        <f>MAX(0,M34-M33)</f>
        <v/>
      </c>
      <c r="O34" s="127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HISTORICOS'!AH32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RESUMO'!AH32</f>
        <v/>
      </c>
      <c r="N35" s="128">
        <f>MAX(0,M35-M34)</f>
        <v/>
      </c>
      <c r="O35" s="127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HISTORICOS'!AI32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RESUMO'!AI32</f>
        <v/>
      </c>
      <c r="N36" s="128">
        <f>MAX(0,M36-M35)</f>
        <v/>
      </c>
      <c r="O36" s="127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HISTORICOS'!AJ32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RESUMO'!AJ32</f>
        <v/>
      </c>
      <c r="N37" s="128">
        <f>MAX(0,M37-M36)</f>
        <v/>
      </c>
      <c r="O37" s="127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HISTORICOS'!AK32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RESUMO'!AK32</f>
        <v/>
      </c>
      <c r="N38" s="128">
        <f>MAX(0,M38-M37)</f>
        <v/>
      </c>
      <c r="O38" s="127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HISTORICOS'!AL32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RESUMO'!AL32</f>
        <v/>
      </c>
      <c r="N39" s="128">
        <f>MAX(0,M39-M38)</f>
        <v/>
      </c>
      <c r="O39" s="127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HISTORICOS'!AM32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RESUMO'!AM32</f>
        <v/>
      </c>
      <c r="N40" s="128">
        <f>MAX(0,M40-M39)</f>
        <v/>
      </c>
      <c r="O40" s="127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HISTORICOS'!AN32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RESUMO'!AN32</f>
        <v/>
      </c>
      <c r="N41" s="128">
        <f>MAX(0,M41-M40)</f>
        <v/>
      </c>
      <c r="O41" s="127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HISTORICOS'!AO32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RESUMO'!AO32</f>
        <v/>
      </c>
      <c r="N42" s="128">
        <f>MAX(0,M42-M41)</f>
        <v/>
      </c>
      <c r="O42" s="127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HISTORICOS'!AP32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RESUMO'!AP32</f>
        <v/>
      </c>
      <c r="N43" s="128">
        <f>MAX(0,M43-M42)</f>
        <v/>
      </c>
      <c r="O43" s="127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HISTORICOS'!AQ32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RESUMO'!AQ32</f>
        <v/>
      </c>
      <c r="N44" s="128">
        <f>MAX(0,M44-M43)</f>
        <v/>
      </c>
      <c r="O44" s="127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HISTORICOS'!AR32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RESUMO'!AR32</f>
        <v/>
      </c>
      <c r="N45" s="128">
        <f>MAX(0,M45-M44)</f>
        <v/>
      </c>
      <c r="O45" s="127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HISTORICOS'!AS32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RESUMO'!AS32</f>
        <v/>
      </c>
      <c r="N46" s="128">
        <f>MAX(0,M46-M45)</f>
        <v/>
      </c>
      <c r="O46" s="127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HISTORICOS'!AT32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RESUMO'!AT32</f>
        <v/>
      </c>
      <c r="N47" s="128">
        <f>MAX(0,M47-M46)</f>
        <v/>
      </c>
      <c r="O47" s="127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HISTORICOS'!AU32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RESUMO'!AU32</f>
        <v/>
      </c>
      <c r="N48" s="128">
        <f>MAX(0,M48-M47)</f>
        <v/>
      </c>
      <c r="O48" s="127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HISTORICOS'!AV32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RESUMO'!AV32</f>
        <v/>
      </c>
      <c r="N49" s="128">
        <f>MAX(0,M49-M48)</f>
        <v/>
      </c>
      <c r="O49" s="127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HISTORICOS'!AW32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RESUMO'!AW32</f>
        <v/>
      </c>
      <c r="N50" s="128">
        <f>MAX(0,M50-M49)</f>
        <v/>
      </c>
      <c r="O50" s="127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HISTORICOS'!AX32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RESUMO'!AX32</f>
        <v/>
      </c>
      <c r="N51" s="128">
        <f>MAX(0,M51-M50)</f>
        <v/>
      </c>
      <c r="O51" s="127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HISTORICOS'!AY32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RESUMO'!AY32</f>
        <v/>
      </c>
      <c r="N52" s="128">
        <f>MAX(0,M52-M51)</f>
        <v/>
      </c>
      <c r="O52" s="127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HISTORICOS'!AZ32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RESUMO'!AZ32</f>
        <v/>
      </c>
      <c r="N53" s="128">
        <f>MAX(0,M53-M52)</f>
        <v/>
      </c>
      <c r="O53" s="127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HISTORICOS'!BA32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RESUMO'!BA32</f>
        <v/>
      </c>
      <c r="N54" s="128">
        <f>MAX(0,M54-M53)</f>
        <v/>
      </c>
      <c r="O54" s="127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HISTORICOS'!BB32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RESUMO'!BB32</f>
        <v/>
      </c>
      <c r="N55" s="128">
        <f>MAX(0,M55-M54)</f>
        <v/>
      </c>
      <c r="O55" s="127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HISTORICOS'!BC32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RESUMO'!BC32</f>
        <v/>
      </c>
      <c r="N56" s="128">
        <f>MAX(0,M56-M55)</f>
        <v/>
      </c>
      <c r="O56" s="127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HISTORICOS'!BD32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RESUMO'!BD32</f>
        <v/>
      </c>
      <c r="N57" s="128">
        <f>MAX(0,M57-M56)</f>
        <v/>
      </c>
      <c r="O57" s="127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HISTORICOS'!BE32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RESUMO'!BE32</f>
        <v/>
      </c>
      <c r="N58" s="128">
        <f>MAX(0,M58-M57)</f>
        <v/>
      </c>
      <c r="O58" s="127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HISTORICOS'!BF32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RESUMO'!BF32</f>
        <v/>
      </c>
      <c r="N59" s="128">
        <f>MAX(0,M59-M58)</f>
        <v/>
      </c>
      <c r="O59" s="127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HISTORICOS'!BG32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RESUMO'!BG32</f>
        <v/>
      </c>
      <c r="N60" s="128">
        <f>MAX(0,M60-M59)</f>
        <v/>
      </c>
      <c r="O60" s="127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HISTORICOS'!BH32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RESUMO'!BH32</f>
        <v/>
      </c>
      <c r="N61" s="128">
        <f>MAX(0,M61-M60)</f>
        <v/>
      </c>
      <c r="O61" s="127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HISTORICOS'!BI32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RESUMO'!BI32</f>
        <v/>
      </c>
      <c r="N62" s="128">
        <f>MAX(0,M62-M61)</f>
        <v/>
      </c>
      <c r="O62" s="127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HISTORICOS'!BJ32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RESUMO'!BJ32</f>
        <v/>
      </c>
      <c r="N63" s="128">
        <f>MAX(0,M63-M62)</f>
        <v/>
      </c>
      <c r="O63" s="127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HISTORICOS'!BK32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RESUMO'!BK32</f>
        <v/>
      </c>
      <c r="N64" s="128">
        <f>MAX(0,M64-M63)</f>
        <v/>
      </c>
      <c r="O64" s="127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HISTORICOS'!BL32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RESUMO'!BL32</f>
        <v/>
      </c>
      <c r="N65" s="128">
        <f>MAX(0,M65-M64)</f>
        <v/>
      </c>
      <c r="O65" s="127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HISTORICOS'!BM32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RESUMO'!BM32</f>
        <v/>
      </c>
      <c r="N66" s="128">
        <f>MAX(0,M66-M65)</f>
        <v/>
      </c>
      <c r="O66" s="127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HISTORICOS'!BN32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RESUMO'!BN32</f>
        <v/>
      </c>
      <c r="N67" s="128">
        <f>MAX(0,M67-M66)</f>
        <v/>
      </c>
      <c r="O67" s="127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HISTORICOS'!BO32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RESUMO'!BO32</f>
        <v/>
      </c>
      <c r="N68" s="128">
        <f>MAX(0,M68-M67)</f>
        <v/>
      </c>
      <c r="O68" s="127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HISTORICOS'!BP32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RESUMO'!BP32</f>
        <v/>
      </c>
      <c r="N69" s="128">
        <f>MAX(0,M69-M68)</f>
        <v/>
      </c>
      <c r="O69" s="127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HISTORICOS'!BQ32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RESUMO'!BQ32</f>
        <v/>
      </c>
      <c r="N70" s="128">
        <f>MAX(0,M70-M69)</f>
        <v/>
      </c>
      <c r="O70" s="127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HISTORICOS'!BR32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RESUMO'!BR32</f>
        <v/>
      </c>
      <c r="N71" s="128">
        <f>MAX(0,M71-M70)</f>
        <v/>
      </c>
      <c r="O71" s="127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HISTORICOS'!BS32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RESUMO'!BS32</f>
        <v/>
      </c>
      <c r="N72" s="128">
        <f>MAX(0,M72-M71)</f>
        <v/>
      </c>
      <c r="O72" s="127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HISTORICOS'!BT32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RESUMO'!BT32</f>
        <v/>
      </c>
      <c r="N73" s="128">
        <f>MAX(0,M73-M72)</f>
        <v/>
      </c>
      <c r="O73" s="127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HISTORICOS'!BU32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RESUMO'!BU32</f>
        <v/>
      </c>
      <c r="N74" s="128">
        <f>MAX(0,M74-M73)</f>
        <v/>
      </c>
      <c r="O74" s="127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HISTORICOS'!BV32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RESUMO'!BV32</f>
        <v/>
      </c>
      <c r="N75" s="128">
        <f>MAX(0,M75-M74)</f>
        <v/>
      </c>
      <c r="O75" s="127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HISTORICOS'!BW32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RESUMO'!BW32</f>
        <v/>
      </c>
      <c r="N76" s="128">
        <f>MAX(0,M76-M75)</f>
        <v/>
      </c>
      <c r="O76" s="127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PL'!D39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HISTORICOS'!D33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PL'!F39</f>
        <v/>
      </c>
      <c r="K5" s="63">
        <f>'VALOR POR PL'!G39</f>
        <v/>
      </c>
      <c r="M5" s="127">
        <f>'CP RESUMO'!D33</f>
        <v/>
      </c>
      <c r="N5" s="128" t="n">
        <v>0</v>
      </c>
      <c r="O5" s="127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HISTORICOS'!E33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RESUMO'!E33</f>
        <v/>
      </c>
      <c r="N6" s="128">
        <f>MAX(0,M6-M5)</f>
        <v/>
      </c>
      <c r="O6" s="127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HISTORICOS'!F33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PL'!L39</f>
        <v/>
      </c>
      <c r="M7" s="127">
        <f>'CP RESUMO'!F33</f>
        <v/>
      </c>
      <c r="N7" s="128">
        <f>MAX(0,M7-M6)</f>
        <v/>
      </c>
      <c r="O7" s="127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HISTORICOS'!G33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RESUMO'!G33</f>
        <v/>
      </c>
      <c r="N8" s="128">
        <f>MAX(0,M8-M7)</f>
        <v/>
      </c>
      <c r="O8" s="127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HISTORICOS'!H33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RESUMO'!H33</f>
        <v/>
      </c>
      <c r="N9" s="128">
        <f>MAX(0,M9-M8)</f>
        <v/>
      </c>
      <c r="O9" s="127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HISTORICOS'!I33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RESUMO'!I33</f>
        <v/>
      </c>
      <c r="N10" s="128">
        <f>MAX(0,M10-M9)</f>
        <v/>
      </c>
      <c r="O10" s="127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HISTORICOS'!J33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RESUMO'!J33</f>
        <v/>
      </c>
      <c r="N11" s="128">
        <f>MAX(0,M11-M10)</f>
        <v/>
      </c>
      <c r="O11" s="127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HISTORICOS'!K33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RESUMO'!K33</f>
        <v/>
      </c>
      <c r="N12" s="128">
        <f>MAX(0,M12-M11)</f>
        <v/>
      </c>
      <c r="O12" s="127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HISTORICOS'!L33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PL'!I39</f>
        <v/>
      </c>
      <c r="M13" s="127">
        <f>'CP RESUMO'!L33</f>
        <v/>
      </c>
      <c r="N13" s="128">
        <f>MAX(0,M13-M12)</f>
        <v/>
      </c>
      <c r="O13" s="127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HISTORICOS'!M33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M14" s="127">
        <f>'CP RESUMO'!M33</f>
        <v/>
      </c>
      <c r="N14" s="128">
        <f>MAX(0,M14-M13)</f>
        <v/>
      </c>
      <c r="O14" s="127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HISTORICOS'!N33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RESUMO'!N33</f>
        <v/>
      </c>
      <c r="N15" s="128">
        <f>MAX(0,M15-M14)</f>
        <v/>
      </c>
      <c r="O15" s="127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HISTORICOS'!O33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RESUMO'!O33</f>
        <v/>
      </c>
      <c r="N16" s="128">
        <f>MAX(0,M16-M15)</f>
        <v/>
      </c>
      <c r="O16" s="127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HISTORICOS'!P33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RESUMO'!P33</f>
        <v/>
      </c>
      <c r="N17" s="128">
        <f>MAX(0,M17-M16)</f>
        <v/>
      </c>
      <c r="O17" s="127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HISTORICOS'!Q33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RESUMO'!Q33</f>
        <v/>
      </c>
      <c r="N18" s="128">
        <f>MAX(0,M18-M17)</f>
        <v/>
      </c>
      <c r="O18" s="127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HISTORICOS'!R33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RESUMO'!R33</f>
        <v/>
      </c>
      <c r="N19" s="128">
        <f>MAX(0,M19-M18)</f>
        <v/>
      </c>
      <c r="O19" s="127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HISTORICOS'!S33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RESUMO'!S33</f>
        <v/>
      </c>
      <c r="N20" s="128">
        <f>MAX(0,M20-M19)</f>
        <v/>
      </c>
      <c r="O20" s="127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HISTORICOS'!T33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RESUMO'!T33</f>
        <v/>
      </c>
      <c r="N21" s="128">
        <f>MAX(0,M21-M20)</f>
        <v/>
      </c>
      <c r="O21" s="127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HISTORICOS'!U33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RESUMO'!U33</f>
        <v/>
      </c>
      <c r="N22" s="128">
        <f>MAX(0,M22-M21)</f>
        <v/>
      </c>
      <c r="O22" s="127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HISTORICOS'!V33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RESUMO'!V33</f>
        <v/>
      </c>
      <c r="N23" s="128">
        <f>MAX(0,M23-M22)</f>
        <v/>
      </c>
      <c r="O23" s="127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HISTORICOS'!W33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RESUMO'!W33</f>
        <v/>
      </c>
      <c r="N24" s="128">
        <f>MAX(0,M24-M23)</f>
        <v/>
      </c>
      <c r="O24" s="127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HISTORICOS'!X33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RESUMO'!X33</f>
        <v/>
      </c>
      <c r="N25" s="128">
        <f>MAX(0,M25-M24)</f>
        <v/>
      </c>
      <c r="O25" s="127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HISTORICOS'!Y33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RESUMO'!Y33</f>
        <v/>
      </c>
      <c r="N26" s="128">
        <f>MAX(0,M26-M25)</f>
        <v/>
      </c>
      <c r="O26" s="127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HISTORICOS'!Z33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RESUMO'!Z33</f>
        <v/>
      </c>
      <c r="N27" s="128">
        <f>MAX(0,M27-M26)</f>
        <v/>
      </c>
      <c r="O27" s="127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HISTORICOS'!AA33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RESUMO'!AA33</f>
        <v/>
      </c>
      <c r="N28" s="128">
        <f>MAX(0,M28-M27)</f>
        <v/>
      </c>
      <c r="O28" s="127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HISTORICOS'!AB33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RESUMO'!AB33</f>
        <v/>
      </c>
      <c r="N29" s="128">
        <f>MAX(0,M29-M28)</f>
        <v/>
      </c>
      <c r="O29" s="127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HISTORICOS'!AC33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RESUMO'!AC33</f>
        <v/>
      </c>
      <c r="N30" s="128">
        <f>MAX(0,M30-M29)</f>
        <v/>
      </c>
      <c r="O30" s="127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HISTORICOS'!AD33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RESUMO'!AD33</f>
        <v/>
      </c>
      <c r="N31" s="128">
        <f>MAX(0,M31-M30)</f>
        <v/>
      </c>
      <c r="O31" s="127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HISTORICOS'!AE33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RESUMO'!AE33</f>
        <v/>
      </c>
      <c r="N32" s="128">
        <f>MAX(0,M32-M31)</f>
        <v/>
      </c>
      <c r="O32" s="127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HISTORICOS'!AF33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RESUMO'!AF33</f>
        <v/>
      </c>
      <c r="N33" s="128">
        <f>MAX(0,M33-M32)</f>
        <v/>
      </c>
      <c r="O33" s="127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HISTORICOS'!AG33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RESUMO'!AG33</f>
        <v/>
      </c>
      <c r="N34" s="128">
        <f>MAX(0,M34-M33)</f>
        <v/>
      </c>
      <c r="O34" s="127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HISTORICOS'!AH33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RESUMO'!AH33</f>
        <v/>
      </c>
      <c r="N35" s="128">
        <f>MAX(0,M35-M34)</f>
        <v/>
      </c>
      <c r="O35" s="127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HISTORICOS'!AI33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RESUMO'!AI33</f>
        <v/>
      </c>
      <c r="N36" s="128">
        <f>MAX(0,M36-M35)</f>
        <v/>
      </c>
      <c r="O36" s="127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HISTORICOS'!AJ33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RESUMO'!AJ33</f>
        <v/>
      </c>
      <c r="N37" s="128">
        <f>MAX(0,M37-M36)</f>
        <v/>
      </c>
      <c r="O37" s="127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HISTORICOS'!AK33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RESUMO'!AK33</f>
        <v/>
      </c>
      <c r="N38" s="128">
        <f>MAX(0,M38-M37)</f>
        <v/>
      </c>
      <c r="O38" s="127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HISTORICOS'!AL33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RESUMO'!AL33</f>
        <v/>
      </c>
      <c r="N39" s="128">
        <f>MAX(0,M39-M38)</f>
        <v/>
      </c>
      <c r="O39" s="127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HISTORICOS'!AM33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RESUMO'!AM33</f>
        <v/>
      </c>
      <c r="N40" s="128">
        <f>MAX(0,M40-M39)</f>
        <v/>
      </c>
      <c r="O40" s="127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HISTORICOS'!AN33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RESUMO'!AN33</f>
        <v/>
      </c>
      <c r="N41" s="128">
        <f>MAX(0,M41-M40)</f>
        <v/>
      </c>
      <c r="O41" s="127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HISTORICOS'!AO33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RESUMO'!AO33</f>
        <v/>
      </c>
      <c r="N42" s="128">
        <f>MAX(0,M42-M41)</f>
        <v/>
      </c>
      <c r="O42" s="127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HISTORICOS'!AP33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RESUMO'!AP33</f>
        <v/>
      </c>
      <c r="N43" s="128">
        <f>MAX(0,M43-M42)</f>
        <v/>
      </c>
      <c r="O43" s="127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HISTORICOS'!AQ33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RESUMO'!AQ33</f>
        <v/>
      </c>
      <c r="N44" s="128">
        <f>MAX(0,M44-M43)</f>
        <v/>
      </c>
      <c r="O44" s="127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HISTORICOS'!AR33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RESUMO'!AR33</f>
        <v/>
      </c>
      <c r="N45" s="128">
        <f>MAX(0,M45-M44)</f>
        <v/>
      </c>
      <c r="O45" s="127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HISTORICOS'!AS33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RESUMO'!AS33</f>
        <v/>
      </c>
      <c r="N46" s="128">
        <f>MAX(0,M46-M45)</f>
        <v/>
      </c>
      <c r="O46" s="127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HISTORICOS'!AT33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RESUMO'!AT33</f>
        <v/>
      </c>
      <c r="N47" s="128">
        <f>MAX(0,M47-M46)</f>
        <v/>
      </c>
      <c r="O47" s="127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HISTORICOS'!AU33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RESUMO'!AU33</f>
        <v/>
      </c>
      <c r="N48" s="128">
        <f>MAX(0,M48-M47)</f>
        <v/>
      </c>
      <c r="O48" s="127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HISTORICOS'!AV33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RESUMO'!AV33</f>
        <v/>
      </c>
      <c r="N49" s="128">
        <f>MAX(0,M49-M48)</f>
        <v/>
      </c>
      <c r="O49" s="127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HISTORICOS'!AW33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RESUMO'!AW33</f>
        <v/>
      </c>
      <c r="N50" s="128">
        <f>MAX(0,M50-M49)</f>
        <v/>
      </c>
      <c r="O50" s="127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HISTORICOS'!AX33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RESUMO'!AX33</f>
        <v/>
      </c>
      <c r="N51" s="128">
        <f>MAX(0,M51-M50)</f>
        <v/>
      </c>
      <c r="O51" s="127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HISTORICOS'!AY33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RESUMO'!AY33</f>
        <v/>
      </c>
      <c r="N52" s="128">
        <f>MAX(0,M52-M51)</f>
        <v/>
      </c>
      <c r="O52" s="127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HISTORICOS'!AZ33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RESUMO'!AZ33</f>
        <v/>
      </c>
      <c r="N53" s="128">
        <f>MAX(0,M53-M52)</f>
        <v/>
      </c>
      <c r="O53" s="127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HISTORICOS'!BA33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RESUMO'!BA33</f>
        <v/>
      </c>
      <c r="N54" s="128">
        <f>MAX(0,M54-M53)</f>
        <v/>
      </c>
      <c r="O54" s="127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HISTORICOS'!BB33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RESUMO'!BB33</f>
        <v/>
      </c>
      <c r="N55" s="128">
        <f>MAX(0,M55-M54)</f>
        <v/>
      </c>
      <c r="O55" s="127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HISTORICOS'!BC33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RESUMO'!BC33</f>
        <v/>
      </c>
      <c r="N56" s="128">
        <f>MAX(0,M56-M55)</f>
        <v/>
      </c>
      <c r="O56" s="127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HISTORICOS'!BD33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RESUMO'!BD33</f>
        <v/>
      </c>
      <c r="N57" s="128">
        <f>MAX(0,M57-M56)</f>
        <v/>
      </c>
      <c r="O57" s="127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HISTORICOS'!BE33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RESUMO'!BE33</f>
        <v/>
      </c>
      <c r="N58" s="128">
        <f>MAX(0,M58-M57)</f>
        <v/>
      </c>
      <c r="O58" s="127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HISTORICOS'!BF33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RESUMO'!BF33</f>
        <v/>
      </c>
      <c r="N59" s="128">
        <f>MAX(0,M59-M58)</f>
        <v/>
      </c>
      <c r="O59" s="127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HISTORICOS'!BG33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RESUMO'!BG33</f>
        <v/>
      </c>
      <c r="N60" s="128">
        <f>MAX(0,M60-M59)</f>
        <v/>
      </c>
      <c r="O60" s="127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HISTORICOS'!BH33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RESUMO'!BH33</f>
        <v/>
      </c>
      <c r="N61" s="128">
        <f>MAX(0,M61-M60)</f>
        <v/>
      </c>
      <c r="O61" s="127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HISTORICOS'!BI33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RESUMO'!BI33</f>
        <v/>
      </c>
      <c r="N62" s="128">
        <f>MAX(0,M62-M61)</f>
        <v/>
      </c>
      <c r="O62" s="127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HISTORICOS'!BJ33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RESUMO'!BJ33</f>
        <v/>
      </c>
      <c r="N63" s="128">
        <f>MAX(0,M63-M62)</f>
        <v/>
      </c>
      <c r="O63" s="127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HISTORICOS'!BK33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RESUMO'!BK33</f>
        <v/>
      </c>
      <c r="N64" s="128">
        <f>MAX(0,M64-M63)</f>
        <v/>
      </c>
      <c r="O64" s="127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HISTORICOS'!BL33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RESUMO'!BL33</f>
        <v/>
      </c>
      <c r="N65" s="128">
        <f>MAX(0,M65-M64)</f>
        <v/>
      </c>
      <c r="O65" s="127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HISTORICOS'!BM33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RESUMO'!BM33</f>
        <v/>
      </c>
      <c r="N66" s="128">
        <f>MAX(0,M66-M65)</f>
        <v/>
      </c>
      <c r="O66" s="127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HISTORICOS'!BN33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RESUMO'!BN33</f>
        <v/>
      </c>
      <c r="N67" s="128">
        <f>MAX(0,M67-M66)</f>
        <v/>
      </c>
      <c r="O67" s="127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HISTORICOS'!BO33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RESUMO'!BO33</f>
        <v/>
      </c>
      <c r="N68" s="128">
        <f>MAX(0,M68-M67)</f>
        <v/>
      </c>
      <c r="O68" s="127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HISTORICOS'!BP33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RESUMO'!BP33</f>
        <v/>
      </c>
      <c r="N69" s="128">
        <f>MAX(0,M69-M68)</f>
        <v/>
      </c>
      <c r="O69" s="127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HISTORICOS'!BQ33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RESUMO'!BQ33</f>
        <v/>
      </c>
      <c r="N70" s="128">
        <f>MAX(0,M70-M69)</f>
        <v/>
      </c>
      <c r="O70" s="127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HISTORICOS'!BR33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RESUMO'!BR33</f>
        <v/>
      </c>
      <c r="N71" s="128">
        <f>MAX(0,M71-M70)</f>
        <v/>
      </c>
      <c r="O71" s="127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HISTORICOS'!BS33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RESUMO'!BS33</f>
        <v/>
      </c>
      <c r="N72" s="128">
        <f>MAX(0,M72-M71)</f>
        <v/>
      </c>
      <c r="O72" s="127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HISTORICOS'!BT33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RESUMO'!BT33</f>
        <v/>
      </c>
      <c r="N73" s="128">
        <f>MAX(0,M73-M72)</f>
        <v/>
      </c>
      <c r="O73" s="127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HISTORICOS'!BU33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RESUMO'!BU33</f>
        <v/>
      </c>
      <c r="N74" s="128">
        <f>MAX(0,M74-M73)</f>
        <v/>
      </c>
      <c r="O74" s="127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HISTORICOS'!BV33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RESUMO'!BV33</f>
        <v/>
      </c>
      <c r="N75" s="128">
        <f>MAX(0,M75-M74)</f>
        <v/>
      </c>
      <c r="O75" s="127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HISTORICOS'!BW33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RESUMO'!BW33</f>
        <v/>
      </c>
      <c r="N76" s="128">
        <f>MAX(0,M76-M75)</f>
        <v/>
      </c>
      <c r="O76" s="127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PL'!D40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HISTORICOS'!D34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PL'!F40</f>
        <v/>
      </c>
      <c r="K5" s="63">
        <f>'VALOR POR PL'!G40</f>
        <v/>
      </c>
      <c r="M5" s="127">
        <f>'CP RESUMO'!D34</f>
        <v/>
      </c>
      <c r="N5" s="128" t="n">
        <v>0</v>
      </c>
      <c r="O5" s="127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HISTORICOS'!E34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RESUMO'!E34</f>
        <v/>
      </c>
      <c r="N6" s="128">
        <f>MAX(0,M6-M5)</f>
        <v/>
      </c>
      <c r="O6" s="127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HISTORICOS'!F34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PL'!L40</f>
        <v/>
      </c>
      <c r="M7" s="127">
        <f>'CP RESUMO'!F34</f>
        <v/>
      </c>
      <c r="N7" s="128">
        <f>MAX(0,M7-M6)</f>
        <v/>
      </c>
      <c r="O7" s="127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HISTORICOS'!G34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RESUMO'!G34</f>
        <v/>
      </c>
      <c r="N8" s="128">
        <f>MAX(0,M8-M7)</f>
        <v/>
      </c>
      <c r="O8" s="127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HISTORICOS'!H34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RESUMO'!H34</f>
        <v/>
      </c>
      <c r="N9" s="128">
        <f>MAX(0,M9-M8)</f>
        <v/>
      </c>
      <c r="O9" s="127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HISTORICOS'!I34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RESUMO'!I34</f>
        <v/>
      </c>
      <c r="N10" s="128">
        <f>MAX(0,M10-M9)</f>
        <v/>
      </c>
      <c r="O10" s="127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HISTORICOS'!J34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RESUMO'!J34</f>
        <v/>
      </c>
      <c r="N11" s="128">
        <f>MAX(0,M11-M10)</f>
        <v/>
      </c>
      <c r="O11" s="127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HISTORICOS'!K34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RESUMO'!K34</f>
        <v/>
      </c>
      <c r="N12" s="128">
        <f>MAX(0,M12-M11)</f>
        <v/>
      </c>
      <c r="O12" s="127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HISTORICOS'!L34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PL'!I40</f>
        <v/>
      </c>
      <c r="M13" s="127">
        <f>'CP RESUMO'!L34</f>
        <v/>
      </c>
      <c r="N13" s="128">
        <f>MAX(0,M13-M12)</f>
        <v/>
      </c>
      <c r="O13" s="127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HISTORICOS'!M34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M14" s="127">
        <f>'CP RESUMO'!M34</f>
        <v/>
      </c>
      <c r="N14" s="128">
        <f>MAX(0,M14-M13)</f>
        <v/>
      </c>
      <c r="O14" s="127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HISTORICOS'!N34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RESUMO'!N34</f>
        <v/>
      </c>
      <c r="N15" s="128">
        <f>MAX(0,M15-M14)</f>
        <v/>
      </c>
      <c r="O15" s="127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HISTORICOS'!O34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RESUMO'!O34</f>
        <v/>
      </c>
      <c r="N16" s="128">
        <f>MAX(0,M16-M15)</f>
        <v/>
      </c>
      <c r="O16" s="127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HISTORICOS'!P34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RESUMO'!P34</f>
        <v/>
      </c>
      <c r="N17" s="128">
        <f>MAX(0,M17-M16)</f>
        <v/>
      </c>
      <c r="O17" s="127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HISTORICOS'!Q34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RESUMO'!Q34</f>
        <v/>
      </c>
      <c r="N18" s="128">
        <f>MAX(0,M18-M17)</f>
        <v/>
      </c>
      <c r="O18" s="127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HISTORICOS'!R34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RESUMO'!R34</f>
        <v/>
      </c>
      <c r="N19" s="128">
        <f>MAX(0,M19-M18)</f>
        <v/>
      </c>
      <c r="O19" s="127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HISTORICOS'!S34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RESUMO'!S34</f>
        <v/>
      </c>
      <c r="N20" s="128">
        <f>MAX(0,M20-M19)</f>
        <v/>
      </c>
      <c r="O20" s="127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HISTORICOS'!T34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RESUMO'!T34</f>
        <v/>
      </c>
      <c r="N21" s="128">
        <f>MAX(0,M21-M20)</f>
        <v/>
      </c>
      <c r="O21" s="127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HISTORICOS'!U34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RESUMO'!U34</f>
        <v/>
      </c>
      <c r="N22" s="128">
        <f>MAX(0,M22-M21)</f>
        <v/>
      </c>
      <c r="O22" s="127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HISTORICOS'!V34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RESUMO'!V34</f>
        <v/>
      </c>
      <c r="N23" s="128">
        <f>MAX(0,M23-M22)</f>
        <v/>
      </c>
      <c r="O23" s="127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HISTORICOS'!W34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RESUMO'!W34</f>
        <v/>
      </c>
      <c r="N24" s="128">
        <f>MAX(0,M24-M23)</f>
        <v/>
      </c>
      <c r="O24" s="127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HISTORICOS'!X34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RESUMO'!X34</f>
        <v/>
      </c>
      <c r="N25" s="128">
        <f>MAX(0,M25-M24)</f>
        <v/>
      </c>
      <c r="O25" s="127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HISTORICOS'!Y34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RESUMO'!Y34</f>
        <v/>
      </c>
      <c r="N26" s="128">
        <f>MAX(0,M26-M25)</f>
        <v/>
      </c>
      <c r="O26" s="127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HISTORICOS'!Z34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RESUMO'!Z34</f>
        <v/>
      </c>
      <c r="N27" s="128">
        <f>MAX(0,M27-M26)</f>
        <v/>
      </c>
      <c r="O27" s="127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HISTORICOS'!AA34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RESUMO'!AA34</f>
        <v/>
      </c>
      <c r="N28" s="128">
        <f>MAX(0,M28-M27)</f>
        <v/>
      </c>
      <c r="O28" s="127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HISTORICOS'!AB34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RESUMO'!AB34</f>
        <v/>
      </c>
      <c r="N29" s="128">
        <f>MAX(0,M29-M28)</f>
        <v/>
      </c>
      <c r="O29" s="127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HISTORICOS'!AC34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RESUMO'!AC34</f>
        <v/>
      </c>
      <c r="N30" s="128">
        <f>MAX(0,M30-M29)</f>
        <v/>
      </c>
      <c r="O30" s="127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HISTORICOS'!AD34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RESUMO'!AD34</f>
        <v/>
      </c>
      <c r="N31" s="128">
        <f>MAX(0,M31-M30)</f>
        <v/>
      </c>
      <c r="O31" s="127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HISTORICOS'!AE34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RESUMO'!AE34</f>
        <v/>
      </c>
      <c r="N32" s="128">
        <f>MAX(0,M32-M31)</f>
        <v/>
      </c>
      <c r="O32" s="127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HISTORICOS'!AF34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RESUMO'!AF34</f>
        <v/>
      </c>
      <c r="N33" s="128">
        <f>MAX(0,M33-M32)</f>
        <v/>
      </c>
      <c r="O33" s="127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HISTORICOS'!AG34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RESUMO'!AG34</f>
        <v/>
      </c>
      <c r="N34" s="128">
        <f>MAX(0,M34-M33)</f>
        <v/>
      </c>
      <c r="O34" s="127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HISTORICOS'!AH34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RESUMO'!AH34</f>
        <v/>
      </c>
      <c r="N35" s="128">
        <f>MAX(0,M35-M34)</f>
        <v/>
      </c>
      <c r="O35" s="127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HISTORICOS'!AI34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RESUMO'!AI34</f>
        <v/>
      </c>
      <c r="N36" s="128">
        <f>MAX(0,M36-M35)</f>
        <v/>
      </c>
      <c r="O36" s="127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HISTORICOS'!AJ34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RESUMO'!AJ34</f>
        <v/>
      </c>
      <c r="N37" s="128">
        <f>MAX(0,M37-M36)</f>
        <v/>
      </c>
      <c r="O37" s="127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HISTORICOS'!AK34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RESUMO'!AK34</f>
        <v/>
      </c>
      <c r="N38" s="128">
        <f>MAX(0,M38-M37)</f>
        <v/>
      </c>
      <c r="O38" s="127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HISTORICOS'!AL34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RESUMO'!AL34</f>
        <v/>
      </c>
      <c r="N39" s="128">
        <f>MAX(0,M39-M38)</f>
        <v/>
      </c>
      <c r="O39" s="127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HISTORICOS'!AM34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RESUMO'!AM34</f>
        <v/>
      </c>
      <c r="N40" s="128">
        <f>MAX(0,M40-M39)</f>
        <v/>
      </c>
      <c r="O40" s="127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HISTORICOS'!AN34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RESUMO'!AN34</f>
        <v/>
      </c>
      <c r="N41" s="128">
        <f>MAX(0,M41-M40)</f>
        <v/>
      </c>
      <c r="O41" s="127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HISTORICOS'!AO34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RESUMO'!AO34</f>
        <v/>
      </c>
      <c r="N42" s="128">
        <f>MAX(0,M42-M41)</f>
        <v/>
      </c>
      <c r="O42" s="127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HISTORICOS'!AP34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RESUMO'!AP34</f>
        <v/>
      </c>
      <c r="N43" s="128">
        <f>MAX(0,M43-M42)</f>
        <v/>
      </c>
      <c r="O43" s="127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HISTORICOS'!AQ34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RESUMO'!AQ34</f>
        <v/>
      </c>
      <c r="N44" s="128">
        <f>MAX(0,M44-M43)</f>
        <v/>
      </c>
      <c r="O44" s="127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HISTORICOS'!AR34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RESUMO'!AR34</f>
        <v/>
      </c>
      <c r="N45" s="128">
        <f>MAX(0,M45-M44)</f>
        <v/>
      </c>
      <c r="O45" s="127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HISTORICOS'!AS34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RESUMO'!AS34</f>
        <v/>
      </c>
      <c r="N46" s="128">
        <f>MAX(0,M46-M45)</f>
        <v/>
      </c>
      <c r="O46" s="127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HISTORICOS'!AT34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RESUMO'!AT34</f>
        <v/>
      </c>
      <c r="N47" s="128">
        <f>MAX(0,M47-M46)</f>
        <v/>
      </c>
      <c r="O47" s="127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HISTORICOS'!AU34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RESUMO'!AU34</f>
        <v/>
      </c>
      <c r="N48" s="128">
        <f>MAX(0,M48-M47)</f>
        <v/>
      </c>
      <c r="O48" s="127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HISTORICOS'!AV34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RESUMO'!AV34</f>
        <v/>
      </c>
      <c r="N49" s="128">
        <f>MAX(0,M49-M48)</f>
        <v/>
      </c>
      <c r="O49" s="127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HISTORICOS'!AW34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RESUMO'!AW34</f>
        <v/>
      </c>
      <c r="N50" s="128">
        <f>MAX(0,M50-M49)</f>
        <v/>
      </c>
      <c r="O50" s="127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HISTORICOS'!AX34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RESUMO'!AX34</f>
        <v/>
      </c>
      <c r="N51" s="128">
        <f>MAX(0,M51-M50)</f>
        <v/>
      </c>
      <c r="O51" s="127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HISTORICOS'!AY34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RESUMO'!AY34</f>
        <v/>
      </c>
      <c r="N52" s="128">
        <f>MAX(0,M52-M51)</f>
        <v/>
      </c>
      <c r="O52" s="127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HISTORICOS'!AZ34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RESUMO'!AZ34</f>
        <v/>
      </c>
      <c r="N53" s="128">
        <f>MAX(0,M53-M52)</f>
        <v/>
      </c>
      <c r="O53" s="127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HISTORICOS'!BA34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RESUMO'!BA34</f>
        <v/>
      </c>
      <c r="N54" s="128">
        <f>MAX(0,M54-M53)</f>
        <v/>
      </c>
      <c r="O54" s="127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HISTORICOS'!BB34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RESUMO'!BB34</f>
        <v/>
      </c>
      <c r="N55" s="128">
        <f>MAX(0,M55-M54)</f>
        <v/>
      </c>
      <c r="O55" s="127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HISTORICOS'!BC34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RESUMO'!BC34</f>
        <v/>
      </c>
      <c r="N56" s="128">
        <f>MAX(0,M56-M55)</f>
        <v/>
      </c>
      <c r="O56" s="127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HISTORICOS'!BD34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RESUMO'!BD34</f>
        <v/>
      </c>
      <c r="N57" s="128">
        <f>MAX(0,M57-M56)</f>
        <v/>
      </c>
      <c r="O57" s="127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HISTORICOS'!BE34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RESUMO'!BE34</f>
        <v/>
      </c>
      <c r="N58" s="128">
        <f>MAX(0,M58-M57)</f>
        <v/>
      </c>
      <c r="O58" s="127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HISTORICOS'!BF34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RESUMO'!BF34</f>
        <v/>
      </c>
      <c r="N59" s="128">
        <f>MAX(0,M59-M58)</f>
        <v/>
      </c>
      <c r="O59" s="127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HISTORICOS'!BG34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RESUMO'!BG34</f>
        <v/>
      </c>
      <c r="N60" s="128">
        <f>MAX(0,M60-M59)</f>
        <v/>
      </c>
      <c r="O60" s="127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HISTORICOS'!BH34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RESUMO'!BH34</f>
        <v/>
      </c>
      <c r="N61" s="128">
        <f>MAX(0,M61-M60)</f>
        <v/>
      </c>
      <c r="O61" s="127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HISTORICOS'!BI34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RESUMO'!BI34</f>
        <v/>
      </c>
      <c r="N62" s="128">
        <f>MAX(0,M62-M61)</f>
        <v/>
      </c>
      <c r="O62" s="127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HISTORICOS'!BJ34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RESUMO'!BJ34</f>
        <v/>
      </c>
      <c r="N63" s="128">
        <f>MAX(0,M63-M62)</f>
        <v/>
      </c>
      <c r="O63" s="127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HISTORICOS'!BK34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RESUMO'!BK34</f>
        <v/>
      </c>
      <c r="N64" s="128">
        <f>MAX(0,M64-M63)</f>
        <v/>
      </c>
      <c r="O64" s="127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HISTORICOS'!BL34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RESUMO'!BL34</f>
        <v/>
      </c>
      <c r="N65" s="128">
        <f>MAX(0,M65-M64)</f>
        <v/>
      </c>
      <c r="O65" s="127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HISTORICOS'!BM34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RESUMO'!BM34</f>
        <v/>
      </c>
      <c r="N66" s="128">
        <f>MAX(0,M66-M65)</f>
        <v/>
      </c>
      <c r="O66" s="127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HISTORICOS'!BN34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RESUMO'!BN34</f>
        <v/>
      </c>
      <c r="N67" s="128">
        <f>MAX(0,M67-M66)</f>
        <v/>
      </c>
      <c r="O67" s="127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HISTORICOS'!BO34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RESUMO'!BO34</f>
        <v/>
      </c>
      <c r="N68" s="128">
        <f>MAX(0,M68-M67)</f>
        <v/>
      </c>
      <c r="O68" s="127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HISTORICOS'!BP34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RESUMO'!BP34</f>
        <v/>
      </c>
      <c r="N69" s="128">
        <f>MAX(0,M69-M68)</f>
        <v/>
      </c>
      <c r="O69" s="127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HISTORICOS'!BQ34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RESUMO'!BQ34</f>
        <v/>
      </c>
      <c r="N70" s="128">
        <f>MAX(0,M70-M69)</f>
        <v/>
      </c>
      <c r="O70" s="127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HISTORICOS'!BR34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RESUMO'!BR34</f>
        <v/>
      </c>
      <c r="N71" s="128">
        <f>MAX(0,M71-M70)</f>
        <v/>
      </c>
      <c r="O71" s="127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HISTORICOS'!BS34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RESUMO'!BS34</f>
        <v/>
      </c>
      <c r="N72" s="128">
        <f>MAX(0,M72-M71)</f>
        <v/>
      </c>
      <c r="O72" s="127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HISTORICOS'!BT34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RESUMO'!BT34</f>
        <v/>
      </c>
      <c r="N73" s="128">
        <f>MAX(0,M73-M72)</f>
        <v/>
      </c>
      <c r="O73" s="127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HISTORICOS'!BU34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RESUMO'!BU34</f>
        <v/>
      </c>
      <c r="N74" s="128">
        <f>MAX(0,M74-M73)</f>
        <v/>
      </c>
      <c r="O74" s="127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HISTORICOS'!BV34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RESUMO'!BV34</f>
        <v/>
      </c>
      <c r="N75" s="128">
        <f>MAX(0,M75-M74)</f>
        <v/>
      </c>
      <c r="O75" s="127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HISTORICOS'!BW34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RESUMO'!BW34</f>
        <v/>
      </c>
      <c r="N76" s="128">
        <f>MAX(0,M76-M75)</f>
        <v/>
      </c>
      <c r="O76" s="127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PL'!D41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HISTORICOS'!D35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PL'!F41</f>
        <v/>
      </c>
      <c r="K5" s="63">
        <f>'VALOR POR PL'!G41</f>
        <v/>
      </c>
      <c r="M5" s="127">
        <f>'CP RESUMO'!D35</f>
        <v/>
      </c>
      <c r="N5" s="128" t="n">
        <v>0</v>
      </c>
      <c r="O5" s="127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HISTORICOS'!E35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RESUMO'!E35</f>
        <v/>
      </c>
      <c r="N6" s="128">
        <f>MAX(0,M6-M5)</f>
        <v/>
      </c>
      <c r="O6" s="127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HISTORICOS'!F35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PL'!L41</f>
        <v/>
      </c>
      <c r="M7" s="127">
        <f>'CP RESUMO'!F35</f>
        <v/>
      </c>
      <c r="N7" s="128">
        <f>MAX(0,M7-M6)</f>
        <v/>
      </c>
      <c r="O7" s="127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HISTORICOS'!G35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RESUMO'!G35</f>
        <v/>
      </c>
      <c r="N8" s="128">
        <f>MAX(0,M8-M7)</f>
        <v/>
      </c>
      <c r="O8" s="127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HISTORICOS'!H35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RESUMO'!H35</f>
        <v/>
      </c>
      <c r="N9" s="128">
        <f>MAX(0,M9-M8)</f>
        <v/>
      </c>
      <c r="O9" s="127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HISTORICOS'!I35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RESUMO'!I35</f>
        <v/>
      </c>
      <c r="N10" s="128">
        <f>MAX(0,M10-M9)</f>
        <v/>
      </c>
      <c r="O10" s="127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HISTORICOS'!J35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RESUMO'!J35</f>
        <v/>
      </c>
      <c r="N11" s="128">
        <f>MAX(0,M11-M10)</f>
        <v/>
      </c>
      <c r="O11" s="127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HISTORICOS'!K35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RESUMO'!K35</f>
        <v/>
      </c>
      <c r="N12" s="128">
        <f>MAX(0,M12-M11)</f>
        <v/>
      </c>
      <c r="O12" s="127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HISTORICOS'!L35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PL'!I41</f>
        <v/>
      </c>
      <c r="M13" s="127">
        <f>'CP RESUMO'!L35</f>
        <v/>
      </c>
      <c r="N13" s="128">
        <f>MAX(0,M13-M12)</f>
        <v/>
      </c>
      <c r="O13" s="127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HISTORICOS'!M35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M14" s="127">
        <f>'CP RESUMO'!M35</f>
        <v/>
      </c>
      <c r="N14" s="128">
        <f>MAX(0,M14-M13)</f>
        <v/>
      </c>
      <c r="O14" s="127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HISTORICOS'!N35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RESUMO'!N35</f>
        <v/>
      </c>
      <c r="N15" s="128">
        <f>MAX(0,M15-M14)</f>
        <v/>
      </c>
      <c r="O15" s="127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HISTORICOS'!O35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RESUMO'!O35</f>
        <v/>
      </c>
      <c r="N16" s="128">
        <f>MAX(0,M16-M15)</f>
        <v/>
      </c>
      <c r="O16" s="127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HISTORICOS'!P35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RESUMO'!P35</f>
        <v/>
      </c>
      <c r="N17" s="128">
        <f>MAX(0,M17-M16)</f>
        <v/>
      </c>
      <c r="O17" s="127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HISTORICOS'!Q35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RESUMO'!Q35</f>
        <v/>
      </c>
      <c r="N18" s="128">
        <f>MAX(0,M18-M17)</f>
        <v/>
      </c>
      <c r="O18" s="127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HISTORICOS'!R35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RESUMO'!R35</f>
        <v/>
      </c>
      <c r="N19" s="128">
        <f>MAX(0,M19-M18)</f>
        <v/>
      </c>
      <c r="O19" s="127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HISTORICOS'!S35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RESUMO'!S35</f>
        <v/>
      </c>
      <c r="N20" s="128">
        <f>MAX(0,M20-M19)</f>
        <v/>
      </c>
      <c r="O20" s="127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HISTORICOS'!T35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RESUMO'!T35</f>
        <v/>
      </c>
      <c r="N21" s="128">
        <f>MAX(0,M21-M20)</f>
        <v/>
      </c>
      <c r="O21" s="127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HISTORICOS'!U35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RESUMO'!U35</f>
        <v/>
      </c>
      <c r="N22" s="128">
        <f>MAX(0,M22-M21)</f>
        <v/>
      </c>
      <c r="O22" s="127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HISTORICOS'!V35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RESUMO'!V35</f>
        <v/>
      </c>
      <c r="N23" s="128">
        <f>MAX(0,M23-M22)</f>
        <v/>
      </c>
      <c r="O23" s="127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HISTORICOS'!W35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RESUMO'!W35</f>
        <v/>
      </c>
      <c r="N24" s="128">
        <f>MAX(0,M24-M23)</f>
        <v/>
      </c>
      <c r="O24" s="127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HISTORICOS'!X35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RESUMO'!X35</f>
        <v/>
      </c>
      <c r="N25" s="128">
        <f>MAX(0,M25-M24)</f>
        <v/>
      </c>
      <c r="O25" s="127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HISTORICOS'!Y35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RESUMO'!Y35</f>
        <v/>
      </c>
      <c r="N26" s="128">
        <f>MAX(0,M26-M25)</f>
        <v/>
      </c>
      <c r="O26" s="127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HISTORICOS'!Z35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RESUMO'!Z35</f>
        <v/>
      </c>
      <c r="N27" s="128">
        <f>MAX(0,M27-M26)</f>
        <v/>
      </c>
      <c r="O27" s="127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HISTORICOS'!AA35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RESUMO'!AA35</f>
        <v/>
      </c>
      <c r="N28" s="128">
        <f>MAX(0,M28-M27)</f>
        <v/>
      </c>
      <c r="O28" s="127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HISTORICOS'!AB35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RESUMO'!AB35</f>
        <v/>
      </c>
      <c r="N29" s="128">
        <f>MAX(0,M29-M28)</f>
        <v/>
      </c>
      <c r="O29" s="127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HISTORICOS'!AC35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RESUMO'!AC35</f>
        <v/>
      </c>
      <c r="N30" s="128">
        <f>MAX(0,M30-M29)</f>
        <v/>
      </c>
      <c r="O30" s="127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HISTORICOS'!AD35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RESUMO'!AD35</f>
        <v/>
      </c>
      <c r="N31" s="128">
        <f>MAX(0,M31-M30)</f>
        <v/>
      </c>
      <c r="O31" s="127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HISTORICOS'!AE35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RESUMO'!AE35</f>
        <v/>
      </c>
      <c r="N32" s="128">
        <f>MAX(0,M32-M31)</f>
        <v/>
      </c>
      <c r="O32" s="127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HISTORICOS'!AF35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RESUMO'!AF35</f>
        <v/>
      </c>
      <c r="N33" s="128">
        <f>MAX(0,M33-M32)</f>
        <v/>
      </c>
      <c r="O33" s="127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HISTORICOS'!AG35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RESUMO'!AG35</f>
        <v/>
      </c>
      <c r="N34" s="128">
        <f>MAX(0,M34-M33)</f>
        <v/>
      </c>
      <c r="O34" s="127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HISTORICOS'!AH35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RESUMO'!AH35</f>
        <v/>
      </c>
      <c r="N35" s="128">
        <f>MAX(0,M35-M34)</f>
        <v/>
      </c>
      <c r="O35" s="127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HISTORICOS'!AI35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RESUMO'!AI35</f>
        <v/>
      </c>
      <c r="N36" s="128">
        <f>MAX(0,M36-M35)</f>
        <v/>
      </c>
      <c r="O36" s="127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HISTORICOS'!AJ35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RESUMO'!AJ35</f>
        <v/>
      </c>
      <c r="N37" s="128">
        <f>MAX(0,M37-M36)</f>
        <v/>
      </c>
      <c r="O37" s="127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HISTORICOS'!AK35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RESUMO'!AK35</f>
        <v/>
      </c>
      <c r="N38" s="128">
        <f>MAX(0,M38-M37)</f>
        <v/>
      </c>
      <c r="O38" s="127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HISTORICOS'!AL35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RESUMO'!AL35</f>
        <v/>
      </c>
      <c r="N39" s="128">
        <f>MAX(0,M39-M38)</f>
        <v/>
      </c>
      <c r="O39" s="127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HISTORICOS'!AM35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RESUMO'!AM35</f>
        <v/>
      </c>
      <c r="N40" s="128">
        <f>MAX(0,M40-M39)</f>
        <v/>
      </c>
      <c r="O40" s="127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HISTORICOS'!AN35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RESUMO'!AN35</f>
        <v/>
      </c>
      <c r="N41" s="128">
        <f>MAX(0,M41-M40)</f>
        <v/>
      </c>
      <c r="O41" s="127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HISTORICOS'!AO35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RESUMO'!AO35</f>
        <v/>
      </c>
      <c r="N42" s="128">
        <f>MAX(0,M42-M41)</f>
        <v/>
      </c>
      <c r="O42" s="127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HISTORICOS'!AP35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RESUMO'!AP35</f>
        <v/>
      </c>
      <c r="N43" s="128">
        <f>MAX(0,M43-M42)</f>
        <v/>
      </c>
      <c r="O43" s="127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HISTORICOS'!AQ35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RESUMO'!AQ35</f>
        <v/>
      </c>
      <c r="N44" s="128">
        <f>MAX(0,M44-M43)</f>
        <v/>
      </c>
      <c r="O44" s="127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HISTORICOS'!AR35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RESUMO'!AR35</f>
        <v/>
      </c>
      <c r="N45" s="128">
        <f>MAX(0,M45-M44)</f>
        <v/>
      </c>
      <c r="O45" s="127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HISTORICOS'!AS35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RESUMO'!AS35</f>
        <v/>
      </c>
      <c r="N46" s="128">
        <f>MAX(0,M46-M45)</f>
        <v/>
      </c>
      <c r="O46" s="127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HISTORICOS'!AT35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RESUMO'!AT35</f>
        <v/>
      </c>
      <c r="N47" s="128">
        <f>MAX(0,M47-M46)</f>
        <v/>
      </c>
      <c r="O47" s="127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HISTORICOS'!AU35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RESUMO'!AU35</f>
        <v/>
      </c>
      <c r="N48" s="128">
        <f>MAX(0,M48-M47)</f>
        <v/>
      </c>
      <c r="O48" s="127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HISTORICOS'!AV35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RESUMO'!AV35</f>
        <v/>
      </c>
      <c r="N49" s="128">
        <f>MAX(0,M49-M48)</f>
        <v/>
      </c>
      <c r="O49" s="127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HISTORICOS'!AW35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RESUMO'!AW35</f>
        <v/>
      </c>
      <c r="N50" s="128">
        <f>MAX(0,M50-M49)</f>
        <v/>
      </c>
      <c r="O50" s="127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HISTORICOS'!AX35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RESUMO'!AX35</f>
        <v/>
      </c>
      <c r="N51" s="128">
        <f>MAX(0,M51-M50)</f>
        <v/>
      </c>
      <c r="O51" s="127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HISTORICOS'!AY35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RESUMO'!AY35</f>
        <v/>
      </c>
      <c r="N52" s="128">
        <f>MAX(0,M52-M51)</f>
        <v/>
      </c>
      <c r="O52" s="127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HISTORICOS'!AZ35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RESUMO'!AZ35</f>
        <v/>
      </c>
      <c r="N53" s="128">
        <f>MAX(0,M53-M52)</f>
        <v/>
      </c>
      <c r="O53" s="127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HISTORICOS'!BA35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RESUMO'!BA35</f>
        <v/>
      </c>
      <c r="N54" s="128">
        <f>MAX(0,M54-M53)</f>
        <v/>
      </c>
      <c r="O54" s="127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HISTORICOS'!BB35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RESUMO'!BB35</f>
        <v/>
      </c>
      <c r="N55" s="128">
        <f>MAX(0,M55-M54)</f>
        <v/>
      </c>
      <c r="O55" s="127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HISTORICOS'!BC35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RESUMO'!BC35</f>
        <v/>
      </c>
      <c r="N56" s="128">
        <f>MAX(0,M56-M55)</f>
        <v/>
      </c>
      <c r="O56" s="127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HISTORICOS'!BD35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RESUMO'!BD35</f>
        <v/>
      </c>
      <c r="N57" s="128">
        <f>MAX(0,M57-M56)</f>
        <v/>
      </c>
      <c r="O57" s="127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HISTORICOS'!BE35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RESUMO'!BE35</f>
        <v/>
      </c>
      <c r="N58" s="128">
        <f>MAX(0,M58-M57)</f>
        <v/>
      </c>
      <c r="O58" s="127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HISTORICOS'!BF35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RESUMO'!BF35</f>
        <v/>
      </c>
      <c r="N59" s="128">
        <f>MAX(0,M59-M58)</f>
        <v/>
      </c>
      <c r="O59" s="127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HISTORICOS'!BG35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RESUMO'!BG35</f>
        <v/>
      </c>
      <c r="N60" s="128">
        <f>MAX(0,M60-M59)</f>
        <v/>
      </c>
      <c r="O60" s="127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HISTORICOS'!BH35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RESUMO'!BH35</f>
        <v/>
      </c>
      <c r="N61" s="128">
        <f>MAX(0,M61-M60)</f>
        <v/>
      </c>
      <c r="O61" s="127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HISTORICOS'!BI35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RESUMO'!BI35</f>
        <v/>
      </c>
      <c r="N62" s="128">
        <f>MAX(0,M62-M61)</f>
        <v/>
      </c>
      <c r="O62" s="127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HISTORICOS'!BJ35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RESUMO'!BJ35</f>
        <v/>
      </c>
      <c r="N63" s="128">
        <f>MAX(0,M63-M62)</f>
        <v/>
      </c>
      <c r="O63" s="127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HISTORICOS'!BK35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RESUMO'!BK35</f>
        <v/>
      </c>
      <c r="N64" s="128">
        <f>MAX(0,M64-M63)</f>
        <v/>
      </c>
      <c r="O64" s="127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HISTORICOS'!BL35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RESUMO'!BL35</f>
        <v/>
      </c>
      <c r="N65" s="128">
        <f>MAX(0,M65-M64)</f>
        <v/>
      </c>
      <c r="O65" s="127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HISTORICOS'!BM35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RESUMO'!BM35</f>
        <v/>
      </c>
      <c r="N66" s="128">
        <f>MAX(0,M66-M65)</f>
        <v/>
      </c>
      <c r="O66" s="127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HISTORICOS'!BN35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RESUMO'!BN35</f>
        <v/>
      </c>
      <c r="N67" s="128">
        <f>MAX(0,M67-M66)</f>
        <v/>
      </c>
      <c r="O67" s="127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HISTORICOS'!BO35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RESUMO'!BO35</f>
        <v/>
      </c>
      <c r="N68" s="128">
        <f>MAX(0,M68-M67)</f>
        <v/>
      </c>
      <c r="O68" s="127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HISTORICOS'!BP35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RESUMO'!BP35</f>
        <v/>
      </c>
      <c r="N69" s="128">
        <f>MAX(0,M69-M68)</f>
        <v/>
      </c>
      <c r="O69" s="127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HISTORICOS'!BQ35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RESUMO'!BQ35</f>
        <v/>
      </c>
      <c r="N70" s="128">
        <f>MAX(0,M70-M69)</f>
        <v/>
      </c>
      <c r="O70" s="127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HISTORICOS'!BR35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RESUMO'!BR35</f>
        <v/>
      </c>
      <c r="N71" s="128">
        <f>MAX(0,M71-M70)</f>
        <v/>
      </c>
      <c r="O71" s="127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HISTORICOS'!BS35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RESUMO'!BS35</f>
        <v/>
      </c>
      <c r="N72" s="128">
        <f>MAX(0,M72-M71)</f>
        <v/>
      </c>
      <c r="O72" s="127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HISTORICOS'!BT35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RESUMO'!BT35</f>
        <v/>
      </c>
      <c r="N73" s="128">
        <f>MAX(0,M73-M72)</f>
        <v/>
      </c>
      <c r="O73" s="127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HISTORICOS'!BU35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RESUMO'!BU35</f>
        <v/>
      </c>
      <c r="N74" s="128">
        <f>MAX(0,M74-M73)</f>
        <v/>
      </c>
      <c r="O74" s="127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HISTORICOS'!BV35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RESUMO'!BV35</f>
        <v/>
      </c>
      <c r="N75" s="128">
        <f>MAX(0,M75-M74)</f>
        <v/>
      </c>
      <c r="O75" s="127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HISTORICOS'!BW35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RESUMO'!BW35</f>
        <v/>
      </c>
      <c r="N76" s="128">
        <f>MAX(0,M76-M75)</f>
        <v/>
      </c>
      <c r="O76" s="127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PL'!D42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HISTORICOS'!D36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PL'!F42</f>
        <v/>
      </c>
      <c r="K5" s="63">
        <f>'VALOR POR PL'!G42</f>
        <v/>
      </c>
      <c r="M5" s="127">
        <f>'CP RESUMO'!D36</f>
        <v/>
      </c>
      <c r="N5" s="128" t="n">
        <v>0</v>
      </c>
      <c r="O5" s="127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HISTORICOS'!E36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RESUMO'!E36</f>
        <v/>
      </c>
      <c r="N6" s="128">
        <f>MAX(0,M6-M5)</f>
        <v/>
      </c>
      <c r="O6" s="127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HISTORICOS'!F36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PL'!L42</f>
        <v/>
      </c>
      <c r="M7" s="127">
        <f>'CP RESUMO'!F36</f>
        <v/>
      </c>
      <c r="N7" s="128">
        <f>MAX(0,M7-M6)</f>
        <v/>
      </c>
      <c r="O7" s="127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HISTORICOS'!G36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RESUMO'!G36</f>
        <v/>
      </c>
      <c r="N8" s="128">
        <f>MAX(0,M8-M7)</f>
        <v/>
      </c>
      <c r="O8" s="127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HISTORICOS'!H36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RESUMO'!H36</f>
        <v/>
      </c>
      <c r="N9" s="128">
        <f>MAX(0,M9-M8)</f>
        <v/>
      </c>
      <c r="O9" s="127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HISTORICOS'!I36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RESUMO'!I36</f>
        <v/>
      </c>
      <c r="N10" s="128">
        <f>MAX(0,M10-M9)</f>
        <v/>
      </c>
      <c r="O10" s="127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HISTORICOS'!J36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RESUMO'!J36</f>
        <v/>
      </c>
      <c r="N11" s="128">
        <f>MAX(0,M11-M10)</f>
        <v/>
      </c>
      <c r="O11" s="127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HISTORICOS'!K36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RESUMO'!K36</f>
        <v/>
      </c>
      <c r="N12" s="128">
        <f>MAX(0,M12-M11)</f>
        <v/>
      </c>
      <c r="O12" s="127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HISTORICOS'!L36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PL'!I42</f>
        <v/>
      </c>
      <c r="M13" s="127">
        <f>'CP RESUMO'!L36</f>
        <v/>
      </c>
      <c r="N13" s="128">
        <f>MAX(0,M13-M12)</f>
        <v/>
      </c>
      <c r="O13" s="127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HISTORICOS'!M36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M14" s="127">
        <f>'CP RESUMO'!M36</f>
        <v/>
      </c>
      <c r="N14" s="128">
        <f>MAX(0,M14-M13)</f>
        <v/>
      </c>
      <c r="O14" s="127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HISTORICOS'!N36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RESUMO'!N36</f>
        <v/>
      </c>
      <c r="N15" s="128">
        <f>MAX(0,M15-M14)</f>
        <v/>
      </c>
      <c r="O15" s="127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HISTORICOS'!O36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RESUMO'!O36</f>
        <v/>
      </c>
      <c r="N16" s="128">
        <f>MAX(0,M16-M15)</f>
        <v/>
      </c>
      <c r="O16" s="127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HISTORICOS'!P36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RESUMO'!P36</f>
        <v/>
      </c>
      <c r="N17" s="128">
        <f>MAX(0,M17-M16)</f>
        <v/>
      </c>
      <c r="O17" s="127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HISTORICOS'!Q36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RESUMO'!Q36</f>
        <v/>
      </c>
      <c r="N18" s="128">
        <f>MAX(0,M18-M17)</f>
        <v/>
      </c>
      <c r="O18" s="127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HISTORICOS'!R36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RESUMO'!R36</f>
        <v/>
      </c>
      <c r="N19" s="128">
        <f>MAX(0,M19-M18)</f>
        <v/>
      </c>
      <c r="O19" s="127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HISTORICOS'!S36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RESUMO'!S36</f>
        <v/>
      </c>
      <c r="N20" s="128">
        <f>MAX(0,M20-M19)</f>
        <v/>
      </c>
      <c r="O20" s="127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HISTORICOS'!T36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RESUMO'!T36</f>
        <v/>
      </c>
      <c r="N21" s="128">
        <f>MAX(0,M21-M20)</f>
        <v/>
      </c>
      <c r="O21" s="127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HISTORICOS'!U36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RESUMO'!U36</f>
        <v/>
      </c>
      <c r="N22" s="128">
        <f>MAX(0,M22-M21)</f>
        <v/>
      </c>
      <c r="O22" s="127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HISTORICOS'!V36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RESUMO'!V36</f>
        <v/>
      </c>
      <c r="N23" s="128">
        <f>MAX(0,M23-M22)</f>
        <v/>
      </c>
      <c r="O23" s="127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HISTORICOS'!W36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RESUMO'!W36</f>
        <v/>
      </c>
      <c r="N24" s="128">
        <f>MAX(0,M24-M23)</f>
        <v/>
      </c>
      <c r="O24" s="127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HISTORICOS'!X36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RESUMO'!X36</f>
        <v/>
      </c>
      <c r="N25" s="128">
        <f>MAX(0,M25-M24)</f>
        <v/>
      </c>
      <c r="O25" s="127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HISTORICOS'!Y36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RESUMO'!Y36</f>
        <v/>
      </c>
      <c r="N26" s="128">
        <f>MAX(0,M26-M25)</f>
        <v/>
      </c>
      <c r="O26" s="127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HISTORICOS'!Z36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RESUMO'!Z36</f>
        <v/>
      </c>
      <c r="N27" s="128">
        <f>MAX(0,M27-M26)</f>
        <v/>
      </c>
      <c r="O27" s="127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HISTORICOS'!AA36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RESUMO'!AA36</f>
        <v/>
      </c>
      <c r="N28" s="128">
        <f>MAX(0,M28-M27)</f>
        <v/>
      </c>
      <c r="O28" s="127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HISTORICOS'!AB36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RESUMO'!AB36</f>
        <v/>
      </c>
      <c r="N29" s="128">
        <f>MAX(0,M29-M28)</f>
        <v/>
      </c>
      <c r="O29" s="127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HISTORICOS'!AC36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RESUMO'!AC36</f>
        <v/>
      </c>
      <c r="N30" s="128">
        <f>MAX(0,M30-M29)</f>
        <v/>
      </c>
      <c r="O30" s="127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HISTORICOS'!AD36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RESUMO'!AD36</f>
        <v/>
      </c>
      <c r="N31" s="128">
        <f>MAX(0,M31-M30)</f>
        <v/>
      </c>
      <c r="O31" s="127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HISTORICOS'!AE36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RESUMO'!AE36</f>
        <v/>
      </c>
      <c r="N32" s="128">
        <f>MAX(0,M32-M31)</f>
        <v/>
      </c>
      <c r="O32" s="127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HISTORICOS'!AF36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RESUMO'!AF36</f>
        <v/>
      </c>
      <c r="N33" s="128">
        <f>MAX(0,M33-M32)</f>
        <v/>
      </c>
      <c r="O33" s="127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HISTORICOS'!AG36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RESUMO'!AG36</f>
        <v/>
      </c>
      <c r="N34" s="128">
        <f>MAX(0,M34-M33)</f>
        <v/>
      </c>
      <c r="O34" s="127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HISTORICOS'!AH36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RESUMO'!AH36</f>
        <v/>
      </c>
      <c r="N35" s="128">
        <f>MAX(0,M35-M34)</f>
        <v/>
      </c>
      <c r="O35" s="127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HISTORICOS'!AI36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RESUMO'!AI36</f>
        <v/>
      </c>
      <c r="N36" s="128">
        <f>MAX(0,M36-M35)</f>
        <v/>
      </c>
      <c r="O36" s="127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HISTORICOS'!AJ36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RESUMO'!AJ36</f>
        <v/>
      </c>
      <c r="N37" s="128">
        <f>MAX(0,M37-M36)</f>
        <v/>
      </c>
      <c r="O37" s="127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HISTORICOS'!AK36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RESUMO'!AK36</f>
        <v/>
      </c>
      <c r="N38" s="128">
        <f>MAX(0,M38-M37)</f>
        <v/>
      </c>
      <c r="O38" s="127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HISTORICOS'!AL36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RESUMO'!AL36</f>
        <v/>
      </c>
      <c r="N39" s="128">
        <f>MAX(0,M39-M38)</f>
        <v/>
      </c>
      <c r="O39" s="127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HISTORICOS'!AM36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RESUMO'!AM36</f>
        <v/>
      </c>
      <c r="N40" s="128">
        <f>MAX(0,M40-M39)</f>
        <v/>
      </c>
      <c r="O40" s="127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HISTORICOS'!AN36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RESUMO'!AN36</f>
        <v/>
      </c>
      <c r="N41" s="128">
        <f>MAX(0,M41-M40)</f>
        <v/>
      </c>
      <c r="O41" s="127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HISTORICOS'!AO36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RESUMO'!AO36</f>
        <v/>
      </c>
      <c r="N42" s="128">
        <f>MAX(0,M42-M41)</f>
        <v/>
      </c>
      <c r="O42" s="127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HISTORICOS'!AP36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RESUMO'!AP36</f>
        <v/>
      </c>
      <c r="N43" s="128">
        <f>MAX(0,M43-M42)</f>
        <v/>
      </c>
      <c r="O43" s="127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HISTORICOS'!AQ36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RESUMO'!AQ36</f>
        <v/>
      </c>
      <c r="N44" s="128">
        <f>MAX(0,M44-M43)</f>
        <v/>
      </c>
      <c r="O44" s="127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HISTORICOS'!AR36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RESUMO'!AR36</f>
        <v/>
      </c>
      <c r="N45" s="128">
        <f>MAX(0,M45-M44)</f>
        <v/>
      </c>
      <c r="O45" s="127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HISTORICOS'!AS36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RESUMO'!AS36</f>
        <v/>
      </c>
      <c r="N46" s="128">
        <f>MAX(0,M46-M45)</f>
        <v/>
      </c>
      <c r="O46" s="127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HISTORICOS'!AT36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RESUMO'!AT36</f>
        <v/>
      </c>
      <c r="N47" s="128">
        <f>MAX(0,M47-M46)</f>
        <v/>
      </c>
      <c r="O47" s="127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HISTORICOS'!AU36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RESUMO'!AU36</f>
        <v/>
      </c>
      <c r="N48" s="128">
        <f>MAX(0,M48-M47)</f>
        <v/>
      </c>
      <c r="O48" s="127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HISTORICOS'!AV36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RESUMO'!AV36</f>
        <v/>
      </c>
      <c r="N49" s="128">
        <f>MAX(0,M49-M48)</f>
        <v/>
      </c>
      <c r="O49" s="127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HISTORICOS'!AW36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RESUMO'!AW36</f>
        <v/>
      </c>
      <c r="N50" s="128">
        <f>MAX(0,M50-M49)</f>
        <v/>
      </c>
      <c r="O50" s="127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HISTORICOS'!AX36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RESUMO'!AX36</f>
        <v/>
      </c>
      <c r="N51" s="128">
        <f>MAX(0,M51-M50)</f>
        <v/>
      </c>
      <c r="O51" s="127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HISTORICOS'!AY36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RESUMO'!AY36</f>
        <v/>
      </c>
      <c r="N52" s="128">
        <f>MAX(0,M52-M51)</f>
        <v/>
      </c>
      <c r="O52" s="127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HISTORICOS'!AZ36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RESUMO'!AZ36</f>
        <v/>
      </c>
      <c r="N53" s="128">
        <f>MAX(0,M53-M52)</f>
        <v/>
      </c>
      <c r="O53" s="127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HISTORICOS'!BA36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RESUMO'!BA36</f>
        <v/>
      </c>
      <c r="N54" s="128">
        <f>MAX(0,M54-M53)</f>
        <v/>
      </c>
      <c r="O54" s="127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HISTORICOS'!BB36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RESUMO'!BB36</f>
        <v/>
      </c>
      <c r="N55" s="128">
        <f>MAX(0,M55-M54)</f>
        <v/>
      </c>
      <c r="O55" s="127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HISTORICOS'!BC36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RESUMO'!BC36</f>
        <v/>
      </c>
      <c r="N56" s="128">
        <f>MAX(0,M56-M55)</f>
        <v/>
      </c>
      <c r="O56" s="127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HISTORICOS'!BD36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RESUMO'!BD36</f>
        <v/>
      </c>
      <c r="N57" s="128">
        <f>MAX(0,M57-M56)</f>
        <v/>
      </c>
      <c r="O57" s="127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HISTORICOS'!BE36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RESUMO'!BE36</f>
        <v/>
      </c>
      <c r="N58" s="128">
        <f>MAX(0,M58-M57)</f>
        <v/>
      </c>
      <c r="O58" s="127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HISTORICOS'!BF36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RESUMO'!BF36</f>
        <v/>
      </c>
      <c r="N59" s="128">
        <f>MAX(0,M59-M58)</f>
        <v/>
      </c>
      <c r="O59" s="127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HISTORICOS'!BG36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RESUMO'!BG36</f>
        <v/>
      </c>
      <c r="N60" s="128">
        <f>MAX(0,M60-M59)</f>
        <v/>
      </c>
      <c r="O60" s="127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HISTORICOS'!BH36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RESUMO'!BH36</f>
        <v/>
      </c>
      <c r="N61" s="128">
        <f>MAX(0,M61-M60)</f>
        <v/>
      </c>
      <c r="O61" s="127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HISTORICOS'!BI36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RESUMO'!BI36</f>
        <v/>
      </c>
      <c r="N62" s="128">
        <f>MAX(0,M62-M61)</f>
        <v/>
      </c>
      <c r="O62" s="127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HISTORICOS'!BJ36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RESUMO'!BJ36</f>
        <v/>
      </c>
      <c r="N63" s="128">
        <f>MAX(0,M63-M62)</f>
        <v/>
      </c>
      <c r="O63" s="127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HISTORICOS'!BK36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RESUMO'!BK36</f>
        <v/>
      </c>
      <c r="N64" s="128">
        <f>MAX(0,M64-M63)</f>
        <v/>
      </c>
      <c r="O64" s="127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HISTORICOS'!BL36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RESUMO'!BL36</f>
        <v/>
      </c>
      <c r="N65" s="128">
        <f>MAX(0,M65-M64)</f>
        <v/>
      </c>
      <c r="O65" s="127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HISTORICOS'!BM36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RESUMO'!BM36</f>
        <v/>
      </c>
      <c r="N66" s="128">
        <f>MAX(0,M66-M65)</f>
        <v/>
      </c>
      <c r="O66" s="127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HISTORICOS'!BN36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RESUMO'!BN36</f>
        <v/>
      </c>
      <c r="N67" s="128">
        <f>MAX(0,M67-M66)</f>
        <v/>
      </c>
      <c r="O67" s="127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HISTORICOS'!BO36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RESUMO'!BO36</f>
        <v/>
      </c>
      <c r="N68" s="128">
        <f>MAX(0,M68-M67)</f>
        <v/>
      </c>
      <c r="O68" s="127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HISTORICOS'!BP36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RESUMO'!BP36</f>
        <v/>
      </c>
      <c r="N69" s="128">
        <f>MAX(0,M69-M68)</f>
        <v/>
      </c>
      <c r="O69" s="127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HISTORICOS'!BQ36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RESUMO'!BQ36</f>
        <v/>
      </c>
      <c r="N70" s="128">
        <f>MAX(0,M70-M69)</f>
        <v/>
      </c>
      <c r="O70" s="127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HISTORICOS'!BR36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RESUMO'!BR36</f>
        <v/>
      </c>
      <c r="N71" s="128">
        <f>MAX(0,M71-M70)</f>
        <v/>
      </c>
      <c r="O71" s="127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HISTORICOS'!BS36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RESUMO'!BS36</f>
        <v/>
      </c>
      <c r="N72" s="128">
        <f>MAX(0,M72-M71)</f>
        <v/>
      </c>
      <c r="O72" s="127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HISTORICOS'!BT36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RESUMO'!BT36</f>
        <v/>
      </c>
      <c r="N73" s="128">
        <f>MAX(0,M73-M72)</f>
        <v/>
      </c>
      <c r="O73" s="127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HISTORICOS'!BU36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RESUMO'!BU36</f>
        <v/>
      </c>
      <c r="N74" s="128">
        <f>MAX(0,M74-M73)</f>
        <v/>
      </c>
      <c r="O74" s="127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HISTORICOS'!BV36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RESUMO'!BV36</f>
        <v/>
      </c>
      <c r="N75" s="128">
        <f>MAX(0,M75-M74)</f>
        <v/>
      </c>
      <c r="O75" s="127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HISTORICOS'!BW36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RESUMO'!BW36</f>
        <v/>
      </c>
      <c r="N76" s="128">
        <f>MAX(0,M76-M75)</f>
        <v/>
      </c>
      <c r="O76" s="127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PL'!D43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HISTORICOS'!D37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PL'!F43</f>
        <v/>
      </c>
      <c r="K5" s="63">
        <f>'VALOR POR PL'!G43</f>
        <v/>
      </c>
      <c r="M5" s="127">
        <f>'CP RESUMO'!D37</f>
        <v/>
      </c>
      <c r="N5" s="128" t="n">
        <v>0</v>
      </c>
      <c r="O5" s="127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HISTORICOS'!E37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RESUMO'!E37</f>
        <v/>
      </c>
      <c r="N6" s="128">
        <f>MAX(0,M6-M5)</f>
        <v/>
      </c>
      <c r="O6" s="127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HISTORICOS'!F37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PL'!L43</f>
        <v/>
      </c>
      <c r="M7" s="127">
        <f>'CP RESUMO'!F37</f>
        <v/>
      </c>
      <c r="N7" s="128">
        <f>MAX(0,M7-M6)</f>
        <v/>
      </c>
      <c r="O7" s="127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HISTORICOS'!G37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RESUMO'!G37</f>
        <v/>
      </c>
      <c r="N8" s="128">
        <f>MAX(0,M8-M7)</f>
        <v/>
      </c>
      <c r="O8" s="127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HISTORICOS'!H37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RESUMO'!H37</f>
        <v/>
      </c>
      <c r="N9" s="128">
        <f>MAX(0,M9-M8)</f>
        <v/>
      </c>
      <c r="O9" s="127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HISTORICOS'!I37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RESUMO'!I37</f>
        <v/>
      </c>
      <c r="N10" s="128">
        <f>MAX(0,M10-M9)</f>
        <v/>
      </c>
      <c r="O10" s="127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HISTORICOS'!J37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RESUMO'!J37</f>
        <v/>
      </c>
      <c r="N11" s="128">
        <f>MAX(0,M11-M10)</f>
        <v/>
      </c>
      <c r="O11" s="127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HISTORICOS'!K37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RESUMO'!K37</f>
        <v/>
      </c>
      <c r="N12" s="128">
        <f>MAX(0,M12-M11)</f>
        <v/>
      </c>
      <c r="O12" s="127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HISTORICOS'!L37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PL'!I43</f>
        <v/>
      </c>
      <c r="M13" s="127">
        <f>'CP RESUMO'!L37</f>
        <v/>
      </c>
      <c r="N13" s="128">
        <f>MAX(0,M13-M12)</f>
        <v/>
      </c>
      <c r="O13" s="127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HISTORICOS'!M37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M14" s="127">
        <f>'CP RESUMO'!M37</f>
        <v/>
      </c>
      <c r="N14" s="128">
        <f>MAX(0,M14-M13)</f>
        <v/>
      </c>
      <c r="O14" s="127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HISTORICOS'!N37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RESUMO'!N37</f>
        <v/>
      </c>
      <c r="N15" s="128">
        <f>MAX(0,M15-M14)</f>
        <v/>
      </c>
      <c r="O15" s="127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HISTORICOS'!O37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RESUMO'!O37</f>
        <v/>
      </c>
      <c r="N16" s="128">
        <f>MAX(0,M16-M15)</f>
        <v/>
      </c>
      <c r="O16" s="127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HISTORICOS'!P37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RESUMO'!P37</f>
        <v/>
      </c>
      <c r="N17" s="128">
        <f>MAX(0,M17-M16)</f>
        <v/>
      </c>
      <c r="O17" s="127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HISTORICOS'!Q37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RESUMO'!Q37</f>
        <v/>
      </c>
      <c r="N18" s="128">
        <f>MAX(0,M18-M17)</f>
        <v/>
      </c>
      <c r="O18" s="127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HISTORICOS'!R37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RESUMO'!R37</f>
        <v/>
      </c>
      <c r="N19" s="128">
        <f>MAX(0,M19-M18)</f>
        <v/>
      </c>
      <c r="O19" s="127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HISTORICOS'!S37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RESUMO'!S37</f>
        <v/>
      </c>
      <c r="N20" s="128">
        <f>MAX(0,M20-M19)</f>
        <v/>
      </c>
      <c r="O20" s="127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HISTORICOS'!T37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RESUMO'!T37</f>
        <v/>
      </c>
      <c r="N21" s="128">
        <f>MAX(0,M21-M20)</f>
        <v/>
      </c>
      <c r="O21" s="127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HISTORICOS'!U37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RESUMO'!U37</f>
        <v/>
      </c>
      <c r="N22" s="128">
        <f>MAX(0,M22-M21)</f>
        <v/>
      </c>
      <c r="O22" s="127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HISTORICOS'!V37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RESUMO'!V37</f>
        <v/>
      </c>
      <c r="N23" s="128">
        <f>MAX(0,M23-M22)</f>
        <v/>
      </c>
      <c r="O23" s="127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HISTORICOS'!W37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RESUMO'!W37</f>
        <v/>
      </c>
      <c r="N24" s="128">
        <f>MAX(0,M24-M23)</f>
        <v/>
      </c>
      <c r="O24" s="127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HISTORICOS'!X37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RESUMO'!X37</f>
        <v/>
      </c>
      <c r="N25" s="128">
        <f>MAX(0,M25-M24)</f>
        <v/>
      </c>
      <c r="O25" s="127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HISTORICOS'!Y37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RESUMO'!Y37</f>
        <v/>
      </c>
      <c r="N26" s="128">
        <f>MAX(0,M26-M25)</f>
        <v/>
      </c>
      <c r="O26" s="127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HISTORICOS'!Z37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RESUMO'!Z37</f>
        <v/>
      </c>
      <c r="N27" s="128">
        <f>MAX(0,M27-M26)</f>
        <v/>
      </c>
      <c r="O27" s="127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HISTORICOS'!AA37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RESUMO'!AA37</f>
        <v/>
      </c>
      <c r="N28" s="128">
        <f>MAX(0,M28-M27)</f>
        <v/>
      </c>
      <c r="O28" s="127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HISTORICOS'!AB37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RESUMO'!AB37</f>
        <v/>
      </c>
      <c r="N29" s="128">
        <f>MAX(0,M29-M28)</f>
        <v/>
      </c>
      <c r="O29" s="127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HISTORICOS'!AC37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RESUMO'!AC37</f>
        <v/>
      </c>
      <c r="N30" s="128">
        <f>MAX(0,M30-M29)</f>
        <v/>
      </c>
      <c r="O30" s="127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HISTORICOS'!AD37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RESUMO'!AD37</f>
        <v/>
      </c>
      <c r="N31" s="128">
        <f>MAX(0,M31-M30)</f>
        <v/>
      </c>
      <c r="O31" s="127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HISTORICOS'!AE37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RESUMO'!AE37</f>
        <v/>
      </c>
      <c r="N32" s="128">
        <f>MAX(0,M32-M31)</f>
        <v/>
      </c>
      <c r="O32" s="127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HISTORICOS'!AF37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RESUMO'!AF37</f>
        <v/>
      </c>
      <c r="N33" s="128">
        <f>MAX(0,M33-M32)</f>
        <v/>
      </c>
      <c r="O33" s="127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HISTORICOS'!AG37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RESUMO'!AG37</f>
        <v/>
      </c>
      <c r="N34" s="128">
        <f>MAX(0,M34-M33)</f>
        <v/>
      </c>
      <c r="O34" s="127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HISTORICOS'!AH37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RESUMO'!AH37</f>
        <v/>
      </c>
      <c r="N35" s="128">
        <f>MAX(0,M35-M34)</f>
        <v/>
      </c>
      <c r="O35" s="127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HISTORICOS'!AI37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RESUMO'!AI37</f>
        <v/>
      </c>
      <c r="N36" s="128">
        <f>MAX(0,M36-M35)</f>
        <v/>
      </c>
      <c r="O36" s="127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HISTORICOS'!AJ37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RESUMO'!AJ37</f>
        <v/>
      </c>
      <c r="N37" s="128">
        <f>MAX(0,M37-M36)</f>
        <v/>
      </c>
      <c r="O37" s="127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HISTORICOS'!AK37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RESUMO'!AK37</f>
        <v/>
      </c>
      <c r="N38" s="128">
        <f>MAX(0,M38-M37)</f>
        <v/>
      </c>
      <c r="O38" s="127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HISTORICOS'!AL37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RESUMO'!AL37</f>
        <v/>
      </c>
      <c r="N39" s="128">
        <f>MAX(0,M39-M38)</f>
        <v/>
      </c>
      <c r="O39" s="127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HISTORICOS'!AM37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RESUMO'!AM37</f>
        <v/>
      </c>
      <c r="N40" s="128">
        <f>MAX(0,M40-M39)</f>
        <v/>
      </c>
      <c r="O40" s="127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HISTORICOS'!AN37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RESUMO'!AN37</f>
        <v/>
      </c>
      <c r="N41" s="128">
        <f>MAX(0,M41-M40)</f>
        <v/>
      </c>
      <c r="O41" s="127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HISTORICOS'!AO37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RESUMO'!AO37</f>
        <v/>
      </c>
      <c r="N42" s="128">
        <f>MAX(0,M42-M41)</f>
        <v/>
      </c>
      <c r="O42" s="127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HISTORICOS'!AP37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RESUMO'!AP37</f>
        <v/>
      </c>
      <c r="N43" s="128">
        <f>MAX(0,M43-M42)</f>
        <v/>
      </c>
      <c r="O43" s="127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HISTORICOS'!AQ37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RESUMO'!AQ37</f>
        <v/>
      </c>
      <c r="N44" s="128">
        <f>MAX(0,M44-M43)</f>
        <v/>
      </c>
      <c r="O44" s="127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HISTORICOS'!AR37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RESUMO'!AR37</f>
        <v/>
      </c>
      <c r="N45" s="128">
        <f>MAX(0,M45-M44)</f>
        <v/>
      </c>
      <c r="O45" s="127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HISTORICOS'!AS37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RESUMO'!AS37</f>
        <v/>
      </c>
      <c r="N46" s="128">
        <f>MAX(0,M46-M45)</f>
        <v/>
      </c>
      <c r="O46" s="127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HISTORICOS'!AT37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RESUMO'!AT37</f>
        <v/>
      </c>
      <c r="N47" s="128">
        <f>MAX(0,M47-M46)</f>
        <v/>
      </c>
      <c r="O47" s="127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HISTORICOS'!AU37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RESUMO'!AU37</f>
        <v/>
      </c>
      <c r="N48" s="128">
        <f>MAX(0,M48-M47)</f>
        <v/>
      </c>
      <c r="O48" s="127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HISTORICOS'!AV37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RESUMO'!AV37</f>
        <v/>
      </c>
      <c r="N49" s="128">
        <f>MAX(0,M49-M48)</f>
        <v/>
      </c>
      <c r="O49" s="127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HISTORICOS'!AW37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RESUMO'!AW37</f>
        <v/>
      </c>
      <c r="N50" s="128">
        <f>MAX(0,M50-M49)</f>
        <v/>
      </c>
      <c r="O50" s="127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HISTORICOS'!AX37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RESUMO'!AX37</f>
        <v/>
      </c>
      <c r="N51" s="128">
        <f>MAX(0,M51-M50)</f>
        <v/>
      </c>
      <c r="O51" s="127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HISTORICOS'!AY37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RESUMO'!AY37</f>
        <v/>
      </c>
      <c r="N52" s="128">
        <f>MAX(0,M52-M51)</f>
        <v/>
      </c>
      <c r="O52" s="127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HISTORICOS'!AZ37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RESUMO'!AZ37</f>
        <v/>
      </c>
      <c r="N53" s="128">
        <f>MAX(0,M53-M52)</f>
        <v/>
      </c>
      <c r="O53" s="127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HISTORICOS'!BA37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RESUMO'!BA37</f>
        <v/>
      </c>
      <c r="N54" s="128">
        <f>MAX(0,M54-M53)</f>
        <v/>
      </c>
      <c r="O54" s="127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HISTORICOS'!BB37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RESUMO'!BB37</f>
        <v/>
      </c>
      <c r="N55" s="128">
        <f>MAX(0,M55-M54)</f>
        <v/>
      </c>
      <c r="O55" s="127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HISTORICOS'!BC37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RESUMO'!BC37</f>
        <v/>
      </c>
      <c r="N56" s="128">
        <f>MAX(0,M56-M55)</f>
        <v/>
      </c>
      <c r="O56" s="127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HISTORICOS'!BD37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RESUMO'!BD37</f>
        <v/>
      </c>
      <c r="N57" s="128">
        <f>MAX(0,M57-M56)</f>
        <v/>
      </c>
      <c r="O57" s="127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HISTORICOS'!BE37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RESUMO'!BE37</f>
        <v/>
      </c>
      <c r="N58" s="128">
        <f>MAX(0,M58-M57)</f>
        <v/>
      </c>
      <c r="O58" s="127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HISTORICOS'!BF37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RESUMO'!BF37</f>
        <v/>
      </c>
      <c r="N59" s="128">
        <f>MAX(0,M59-M58)</f>
        <v/>
      </c>
      <c r="O59" s="127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HISTORICOS'!BG37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RESUMO'!BG37</f>
        <v/>
      </c>
      <c r="N60" s="128">
        <f>MAX(0,M60-M59)</f>
        <v/>
      </c>
      <c r="O60" s="127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HISTORICOS'!BH37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RESUMO'!BH37</f>
        <v/>
      </c>
      <c r="N61" s="128">
        <f>MAX(0,M61-M60)</f>
        <v/>
      </c>
      <c r="O61" s="127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HISTORICOS'!BI37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RESUMO'!BI37</f>
        <v/>
      </c>
      <c r="N62" s="128">
        <f>MAX(0,M62-M61)</f>
        <v/>
      </c>
      <c r="O62" s="127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HISTORICOS'!BJ37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RESUMO'!BJ37</f>
        <v/>
      </c>
      <c r="N63" s="128">
        <f>MAX(0,M63-M62)</f>
        <v/>
      </c>
      <c r="O63" s="127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HISTORICOS'!BK37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RESUMO'!BK37</f>
        <v/>
      </c>
      <c r="N64" s="128">
        <f>MAX(0,M64-M63)</f>
        <v/>
      </c>
      <c r="O64" s="127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HISTORICOS'!BL37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RESUMO'!BL37</f>
        <v/>
      </c>
      <c r="N65" s="128">
        <f>MAX(0,M65-M64)</f>
        <v/>
      </c>
      <c r="O65" s="127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HISTORICOS'!BM37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RESUMO'!BM37</f>
        <v/>
      </c>
      <c r="N66" s="128">
        <f>MAX(0,M66-M65)</f>
        <v/>
      </c>
      <c r="O66" s="127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HISTORICOS'!BN37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RESUMO'!BN37</f>
        <v/>
      </c>
      <c r="N67" s="128">
        <f>MAX(0,M67-M66)</f>
        <v/>
      </c>
      <c r="O67" s="127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HISTORICOS'!BO37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RESUMO'!BO37</f>
        <v/>
      </c>
      <c r="N68" s="128">
        <f>MAX(0,M68-M67)</f>
        <v/>
      </c>
      <c r="O68" s="127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HISTORICOS'!BP37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RESUMO'!BP37</f>
        <v/>
      </c>
      <c r="N69" s="128">
        <f>MAX(0,M69-M68)</f>
        <v/>
      </c>
      <c r="O69" s="127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HISTORICOS'!BQ37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RESUMO'!BQ37</f>
        <v/>
      </c>
      <c r="N70" s="128">
        <f>MAX(0,M70-M69)</f>
        <v/>
      </c>
      <c r="O70" s="127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HISTORICOS'!BR37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RESUMO'!BR37</f>
        <v/>
      </c>
      <c r="N71" s="128">
        <f>MAX(0,M71-M70)</f>
        <v/>
      </c>
      <c r="O71" s="127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HISTORICOS'!BS37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RESUMO'!BS37</f>
        <v/>
      </c>
      <c r="N72" s="128">
        <f>MAX(0,M72-M71)</f>
        <v/>
      </c>
      <c r="O72" s="127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HISTORICOS'!BT37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RESUMO'!BT37</f>
        <v/>
      </c>
      <c r="N73" s="128">
        <f>MAX(0,M73-M72)</f>
        <v/>
      </c>
      <c r="O73" s="127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HISTORICOS'!BU37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RESUMO'!BU37</f>
        <v/>
      </c>
      <c r="N74" s="128">
        <f>MAX(0,M74-M73)</f>
        <v/>
      </c>
      <c r="O74" s="127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HISTORICOS'!BV37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RESUMO'!BV37</f>
        <v/>
      </c>
      <c r="N75" s="128">
        <f>MAX(0,M75-M74)</f>
        <v/>
      </c>
      <c r="O75" s="127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HISTORICOS'!BW37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RESUMO'!BW37</f>
        <v/>
      </c>
      <c r="N76" s="128">
        <f>MAX(0,M76-M75)</f>
        <v/>
      </c>
      <c r="O76" s="127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1">
        <f>'VALOR POR PL'!D44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  <c r="R4" s="59" t="inlineStr">
        <is>
          <t>MDO
(R$)</t>
        </is>
      </c>
      <c r="S4" s="59" t="inlineStr">
        <is>
          <t>MATERIAL
peso (pagamento
do pedido)</t>
        </is>
      </c>
      <c r="T4" s="59" t="inlineStr">
        <is>
          <t>MATERIAL
peso ajustado
(só futuro)</t>
        </is>
      </c>
      <c r="U4" s="59" t="inlineStr">
        <is>
          <t>MATERIAL
(R$)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HISTORICOS'!D38</f>
        <v/>
      </c>
      <c r="D5" s="50">
        <f>IF(B5&lt;='VALOR POR PL'!$P$5,0,IF($K$16="MDO PREVISION + MATERIAL PREMISSA",R5+U5,IF($K$17&gt;0,$K$18*P5/$K$17,0)))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PL'!F44</f>
        <v/>
      </c>
      <c r="K5" s="63">
        <f>'VALOR POR PL'!G44</f>
        <v/>
      </c>
      <c r="M5" s="127">
        <f>'CP RESUMO'!D38</f>
        <v/>
      </c>
      <c r="N5" s="128" t="n">
        <v>0</v>
      </c>
      <c r="O5" s="127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50">
        <f>IF(OR(B5&lt;='VALOR POR PL'!$P$5,$K$12=0),0,$K$18*$K$26*N5/$K$12)</f>
        <v/>
      </c>
      <c r="S5" s="128">
        <f>(IF(AND(1+$K$33&gt;=1,1+$K$33&lt;=72),INDEX($N$5:$N$76,1+$K$33),0)+IF(AND(1+$K$34&gt;=1,1+$K$34&lt;=72),INDEX($N$5:$N$76,1+$K$34),0)+IF(AND(1+$K$35&gt;=1,1+$K$35&lt;=72),INDEX($N$5:$N$76,1+$K$35),0))/3</f>
        <v/>
      </c>
      <c r="T5" s="128">
        <f>IF(B5&lt;='VALOR POR PL'!$P$5,0,S5+IF(B5=DATE(YEAR('VALOR POR PL'!$P$5),MONTH('VALOR POR PL'!$P$5)+1,1),SUMPRODUCT((B5:B76&lt;='VALOR POR PL'!$P$5)*S5:S76),0))</f>
        <v/>
      </c>
      <c r="U5" s="50">
        <f>IF($K$32=0,0,$K$18*$K$27*T5/$K$32)</f>
        <v/>
      </c>
    </row>
    <row r="6">
      <c r="B6" s="129">
        <f>DATE(YEAR(B5),MONTH(B5)+1,1)</f>
        <v/>
      </c>
      <c r="C6" s="63">
        <f>'DADOS HISTORICOS'!E38</f>
        <v/>
      </c>
      <c r="D6" s="50">
        <f>IF(B6&lt;='VALOR POR PL'!$P$5,0,IF($K$16="MDO PREVISION + MATERIAL PREMISSA",R6+U6,IF($K$17&gt;0,$K$18*P6/$K$17,0)))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RESUMO'!E38</f>
        <v/>
      </c>
      <c r="N6" s="128">
        <f>MAX(0,M6-M5)</f>
        <v/>
      </c>
      <c r="O6" s="127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50">
        <f>IF(OR(B6&lt;='VALOR POR PL'!$P$5,$K$12=0),0,$K$18*$K$26*N6/$K$12)</f>
        <v/>
      </c>
      <c r="S6" s="128">
        <f>(IF(AND(2+$K$33&gt;=1,2+$K$33&lt;=72),INDEX($N$5:$N$76,2+$K$33),0)+IF(AND(2+$K$34&gt;=1,2+$K$34&lt;=72),INDEX($N$5:$N$76,2+$K$34),0)+IF(AND(2+$K$35&gt;=1,2+$K$35&lt;=72),INDEX($N$5:$N$76,2+$K$35),0))/3</f>
        <v/>
      </c>
      <c r="T6" s="128">
        <f>IF(B6&lt;='VALOR POR PL'!$P$5,0,S6+IF(B6=DATE(YEAR('VALOR POR PL'!$P$5),MONTH('VALOR POR PL'!$P$5)+1,1),SUMPRODUCT((B5:B76&lt;='VALOR POR PL'!$P$5)*S5:S76),0))</f>
        <v/>
      </c>
      <c r="U6" s="50">
        <f>IF($K$32=0,0,$K$18*$K$27*T6/$K$32)</f>
        <v/>
      </c>
    </row>
    <row r="7">
      <c r="B7" s="129">
        <f>DATE(YEAR(B6),MONTH(B6)+1,1)</f>
        <v/>
      </c>
      <c r="C7" s="63">
        <f>'DADOS HISTORICOS'!F38</f>
        <v/>
      </c>
      <c r="D7" s="50">
        <f>IF(B7&lt;='VALOR POR PL'!$P$5,0,IF($K$16="MDO PREVISION + MATERIAL PREMISSA",R7+U7,IF($K$17&gt;0,$K$18*P7/$K$17,0)))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PL'!L44</f>
        <v/>
      </c>
      <c r="M7" s="127">
        <f>'CP RESUMO'!F38</f>
        <v/>
      </c>
      <c r="N7" s="128">
        <f>MAX(0,M7-M6)</f>
        <v/>
      </c>
      <c r="O7" s="127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50">
        <f>IF(OR(B7&lt;='VALOR POR PL'!$P$5,$K$12=0),0,$K$18*$K$26*N7/$K$12)</f>
        <v/>
      </c>
      <c r="S7" s="128">
        <f>(IF(AND(3+$K$33&gt;=1,3+$K$33&lt;=72),INDEX($N$5:$N$76,3+$K$33),0)+IF(AND(3+$K$34&gt;=1,3+$K$34&lt;=72),INDEX($N$5:$N$76,3+$K$34),0)+IF(AND(3+$K$35&gt;=1,3+$K$35&lt;=72),INDEX($N$5:$N$76,3+$K$35),0))/3</f>
        <v/>
      </c>
      <c r="T7" s="128">
        <f>IF(B7&lt;='VALOR POR PL'!$P$5,0,S7+IF(B7=DATE(YEAR('VALOR POR PL'!$P$5),MONTH('VALOR POR PL'!$P$5)+1,1),SUMPRODUCT((B5:B76&lt;='VALOR POR PL'!$P$5)*S5:S76),0))</f>
        <v/>
      </c>
      <c r="U7" s="50">
        <f>IF($K$32=0,0,$K$18*$K$27*T7/$K$32)</f>
        <v/>
      </c>
    </row>
    <row r="8">
      <c r="B8" s="129">
        <f>DATE(YEAR(B7),MONTH(B7)+1,1)</f>
        <v/>
      </c>
      <c r="C8" s="63">
        <f>'DADOS HISTORICOS'!G38</f>
        <v/>
      </c>
      <c r="D8" s="50">
        <f>IF(B8&lt;='VALOR POR PL'!$P$5,0,IF($K$16="MDO PREVISION + MATERIAL PREMISSA",R8+U8,IF($K$17&gt;0,$K$18*P8/$K$17,0)))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RESUMO'!G38</f>
        <v/>
      </c>
      <c r="N8" s="128">
        <f>MAX(0,M8-M7)</f>
        <v/>
      </c>
      <c r="O8" s="127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50">
        <f>IF(OR(B8&lt;='VALOR POR PL'!$P$5,$K$12=0),0,$K$18*$K$26*N8/$K$12)</f>
        <v/>
      </c>
      <c r="S8" s="128">
        <f>(IF(AND(4+$K$33&gt;=1,4+$K$33&lt;=72),INDEX($N$5:$N$76,4+$K$33),0)+IF(AND(4+$K$34&gt;=1,4+$K$34&lt;=72),INDEX($N$5:$N$76,4+$K$34),0)+IF(AND(4+$K$35&gt;=1,4+$K$35&lt;=72),INDEX($N$5:$N$76,4+$K$35),0))/3</f>
        <v/>
      </c>
      <c r="T8" s="128">
        <f>IF(B8&lt;='VALOR POR PL'!$P$5,0,S8+IF(B8=DATE(YEAR('VALOR POR PL'!$P$5),MONTH('VALOR POR PL'!$P$5)+1,1),SUMPRODUCT((B5:B76&lt;='VALOR POR PL'!$P$5)*S5:S76),0))</f>
        <v/>
      </c>
      <c r="U8" s="50">
        <f>IF($K$32=0,0,$K$18*$K$27*T8/$K$32)</f>
        <v/>
      </c>
    </row>
    <row r="9">
      <c r="B9" s="129">
        <f>DATE(YEAR(B8),MONTH(B8)+1,1)</f>
        <v/>
      </c>
      <c r="C9" s="63">
        <f>'DADOS HISTORICOS'!H38</f>
        <v/>
      </c>
      <c r="D9" s="50">
        <f>IF(B9&lt;='VALOR POR PL'!$P$5,0,IF($K$16="MDO PREVISION + MATERIAL PREMISSA",R9+U9,IF($K$17&gt;0,$K$18*P9/$K$17,0)))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RESUMO'!H38</f>
        <v/>
      </c>
      <c r="N9" s="128">
        <f>MAX(0,M9-M8)</f>
        <v/>
      </c>
      <c r="O9" s="127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50">
        <f>IF(OR(B9&lt;='VALOR POR PL'!$P$5,$K$12=0),0,$K$18*$K$26*N9/$K$12)</f>
        <v/>
      </c>
      <c r="S9" s="128">
        <f>(IF(AND(5+$K$33&gt;=1,5+$K$33&lt;=72),INDEX($N$5:$N$76,5+$K$33),0)+IF(AND(5+$K$34&gt;=1,5+$K$34&lt;=72),INDEX($N$5:$N$76,5+$K$34),0)+IF(AND(5+$K$35&gt;=1,5+$K$35&lt;=72),INDEX($N$5:$N$76,5+$K$35),0))/3</f>
        <v/>
      </c>
      <c r="T9" s="128">
        <f>IF(B9&lt;='VALOR POR PL'!$P$5,0,S9+IF(B9=DATE(YEAR('VALOR POR PL'!$P$5),MONTH('VALOR POR PL'!$P$5)+1,1),SUMPRODUCT((B5:B76&lt;='VALOR POR PL'!$P$5)*S5:S76),0))</f>
        <v/>
      </c>
      <c r="U9" s="50">
        <f>IF($K$32=0,0,$K$18*$K$27*T9/$K$32)</f>
        <v/>
      </c>
    </row>
    <row r="10">
      <c r="B10" s="129">
        <f>DATE(YEAR(B9),MONTH(B9)+1,1)</f>
        <v/>
      </c>
      <c r="C10" s="63">
        <f>'DADOS HISTORICOS'!I38</f>
        <v/>
      </c>
      <c r="D10" s="50">
        <f>IF(B10&lt;='VALOR POR PL'!$P$5,0,IF($K$16="MDO PREVISION + MATERIAL PREMISSA",R10+U10,IF($K$17&gt;0,$K$18*P10/$K$17,0)))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RESUMO'!I38</f>
        <v/>
      </c>
      <c r="N10" s="128">
        <f>MAX(0,M10-M9)</f>
        <v/>
      </c>
      <c r="O10" s="127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50">
        <f>IF(OR(B10&lt;='VALOR POR PL'!$P$5,$K$12=0),0,$K$18*$K$26*N10/$K$12)</f>
        <v/>
      </c>
      <c r="S10" s="128">
        <f>(IF(AND(6+$K$33&gt;=1,6+$K$33&lt;=72),INDEX($N$5:$N$76,6+$K$33),0)+IF(AND(6+$K$34&gt;=1,6+$K$34&lt;=72),INDEX($N$5:$N$76,6+$K$34),0)+IF(AND(6+$K$35&gt;=1,6+$K$35&lt;=72),INDEX($N$5:$N$76,6+$K$35),0))/3</f>
        <v/>
      </c>
      <c r="T10" s="128">
        <f>IF(B10&lt;='VALOR POR PL'!$P$5,0,S10+IF(B10=DATE(YEAR('VALOR POR PL'!$P$5),MONTH('VALOR POR PL'!$P$5)+1,1),SUMPRODUCT((B5:B76&lt;='VALOR POR PL'!$P$5)*S5:S76),0))</f>
        <v/>
      </c>
      <c r="U10" s="50">
        <f>IF($K$32=0,0,$K$18*$K$27*T10/$K$32)</f>
        <v/>
      </c>
    </row>
    <row r="11">
      <c r="B11" s="129">
        <f>DATE(YEAR(B10),MONTH(B10)+1,1)</f>
        <v/>
      </c>
      <c r="C11" s="63">
        <f>'DADOS HISTORICOS'!J38</f>
        <v/>
      </c>
      <c r="D11" s="50">
        <f>IF(B11&lt;='VALOR POR PL'!$P$5,0,IF($K$16="MDO PREVISION + MATERIAL PREMISSA",R11+U11,IF($K$17&gt;0,$K$18*P11/$K$17,0)))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RESUMO'!J38</f>
        <v/>
      </c>
      <c r="N11" s="128">
        <f>MAX(0,M11-M10)</f>
        <v/>
      </c>
      <c r="O11" s="127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50">
        <f>IF(OR(B11&lt;='VALOR POR PL'!$P$5,$K$12=0),0,$K$18*$K$26*N11/$K$12)</f>
        <v/>
      </c>
      <c r="S11" s="128">
        <f>(IF(AND(7+$K$33&gt;=1,7+$K$33&lt;=72),INDEX($N$5:$N$76,7+$K$33),0)+IF(AND(7+$K$34&gt;=1,7+$K$34&lt;=72),INDEX($N$5:$N$76,7+$K$34),0)+IF(AND(7+$K$35&gt;=1,7+$K$35&lt;=72),INDEX($N$5:$N$76,7+$K$35),0))/3</f>
        <v/>
      </c>
      <c r="T11" s="128">
        <f>IF(B11&lt;='VALOR POR PL'!$P$5,0,S11+IF(B11=DATE(YEAR('VALOR POR PL'!$P$5),MONTH('VALOR POR PL'!$P$5)+1,1),SUMPRODUCT((B5:B76&lt;='VALOR POR PL'!$P$5)*S5:S76),0))</f>
        <v/>
      </c>
      <c r="U11" s="50">
        <f>IF($K$32=0,0,$K$18*$K$27*T11/$K$32)</f>
        <v/>
      </c>
    </row>
    <row r="12">
      <c r="B12" s="129">
        <f>DATE(YEAR(B11),MONTH(B11)+1,1)</f>
        <v/>
      </c>
      <c r="C12" s="63">
        <f>'DADOS HISTORICOS'!K38</f>
        <v/>
      </c>
      <c r="D12" s="50">
        <f>IF(B12&lt;='VALOR POR PL'!$P$5,0,IF($K$16="MDO PREVISION + MATERIAL PREMISSA",R12+U12,IF($K$17&gt;0,$K$18*P12/$K$17,0)))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RESUMO'!K38</f>
        <v/>
      </c>
      <c r="N12" s="128">
        <f>MAX(0,M12-M11)</f>
        <v/>
      </c>
      <c r="O12" s="127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50">
        <f>IF(OR(B12&lt;='VALOR POR PL'!$P$5,$K$12=0),0,$K$18*$K$26*N12/$K$12)</f>
        <v/>
      </c>
      <c r="S12" s="128">
        <f>(IF(AND(8+$K$33&gt;=1,8+$K$33&lt;=72),INDEX($N$5:$N$76,8+$K$33),0)+IF(AND(8+$K$34&gt;=1,8+$K$34&lt;=72),INDEX($N$5:$N$76,8+$K$34),0)+IF(AND(8+$K$35&gt;=1,8+$K$35&lt;=72),INDEX($N$5:$N$76,8+$K$35),0))/3</f>
        <v/>
      </c>
      <c r="T12" s="128">
        <f>IF(B12&lt;='VALOR POR PL'!$P$5,0,S12+IF(B12=DATE(YEAR('VALOR POR PL'!$P$5),MONTH('VALOR POR PL'!$P$5)+1,1),SUMPRODUCT((B5:B76&lt;='VALOR POR PL'!$P$5)*S5:S76),0))</f>
        <v/>
      </c>
      <c r="U12" s="50">
        <f>IF($K$32=0,0,$K$18*$K$27*T12/$K$32)</f>
        <v/>
      </c>
    </row>
    <row r="13">
      <c r="B13" s="129">
        <f>DATE(YEAR(B12),MONTH(B12)+1,1)</f>
        <v/>
      </c>
      <c r="C13" s="63">
        <f>'DADOS HISTORICOS'!L38</f>
        <v/>
      </c>
      <c r="D13" s="50">
        <f>IF(B13&lt;='VALOR POR PL'!$P$5,0,IF($K$16="MDO PREVISION + MATERIAL PREMISSA",R13+U13,IF($K$17&gt;0,$K$18*P13/$K$17,0)))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PL'!I44</f>
        <v/>
      </c>
      <c r="M13" s="127">
        <f>'CP RESUMO'!L38</f>
        <v/>
      </c>
      <c r="N13" s="128">
        <f>MAX(0,M13-M12)</f>
        <v/>
      </c>
      <c r="O13" s="127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50">
        <f>IF(OR(B13&lt;='VALOR POR PL'!$P$5,$K$12=0),0,$K$18*$K$26*N13/$K$12)</f>
        <v/>
      </c>
      <c r="S13" s="128">
        <f>(IF(AND(9+$K$33&gt;=1,9+$K$33&lt;=72),INDEX($N$5:$N$76,9+$K$33),0)+IF(AND(9+$K$34&gt;=1,9+$K$34&lt;=72),INDEX($N$5:$N$76,9+$K$34),0)+IF(AND(9+$K$35&gt;=1,9+$K$35&lt;=72),INDEX($N$5:$N$76,9+$K$35),0))/3</f>
        <v/>
      </c>
      <c r="T13" s="128">
        <f>IF(B13&lt;='VALOR POR PL'!$P$5,0,S13+IF(B13=DATE(YEAR('VALOR POR PL'!$P$5),MONTH('VALOR POR PL'!$P$5)+1,1),SUMPRODUCT((B5:B76&lt;='VALOR POR PL'!$P$5)*S5:S76),0))</f>
        <v/>
      </c>
      <c r="U13" s="50">
        <f>IF($K$32=0,0,$K$18*$K$27*T13/$K$32)</f>
        <v/>
      </c>
    </row>
    <row r="14">
      <c r="B14" s="129">
        <f>DATE(YEAR(B13),MONTH(B13)+1,1)</f>
        <v/>
      </c>
      <c r="C14" s="63">
        <f>'DADOS HISTORICOS'!M38</f>
        <v/>
      </c>
      <c r="D14" s="50">
        <f>IF(B14&lt;='VALOR POR PL'!$P$5,0,IF($K$16="MDO PREVISION + MATERIAL PREMISSA",R14+U14,IF($K$17&gt;0,$K$18*P14/$K$17,0)))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M14" s="127">
        <f>'CP RESUMO'!M38</f>
        <v/>
      </c>
      <c r="N14" s="128">
        <f>MAX(0,M14-M13)</f>
        <v/>
      </c>
      <c r="O14" s="127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50">
        <f>IF(OR(B14&lt;='VALOR POR PL'!$P$5,$K$12=0),0,$K$18*$K$26*N14/$K$12)</f>
        <v/>
      </c>
      <c r="S14" s="128">
        <f>(IF(AND(10+$K$33&gt;=1,10+$K$33&lt;=72),INDEX($N$5:$N$76,10+$K$33),0)+IF(AND(10+$K$34&gt;=1,10+$K$34&lt;=72),INDEX($N$5:$N$76,10+$K$34),0)+IF(AND(10+$K$35&gt;=1,10+$K$35&lt;=72),INDEX($N$5:$N$76,10+$K$35),0))/3</f>
        <v/>
      </c>
      <c r="T14" s="128">
        <f>IF(B14&lt;='VALOR POR PL'!$P$5,0,S14+IF(B14=DATE(YEAR('VALOR POR PL'!$P$5),MONTH('VALOR POR PL'!$P$5)+1,1),SUMPRODUCT((B5:B76&lt;='VALOR POR PL'!$P$5)*S5:S76),0))</f>
        <v/>
      </c>
      <c r="U14" s="50">
        <f>IF($K$32=0,0,$K$18*$K$27*T14/$K$32)</f>
        <v/>
      </c>
    </row>
    <row r="15">
      <c r="B15" s="129">
        <f>DATE(YEAR(B14),MONTH(B14)+1,1)</f>
        <v/>
      </c>
      <c r="C15" s="63">
        <f>'DADOS HISTORICOS'!N38</f>
        <v/>
      </c>
      <c r="D15" s="50">
        <f>IF(B15&lt;='VALOR POR PL'!$P$5,0,IF($K$16="MDO PREVISION + MATERIAL PREMISSA",R15+U15,IF($K$17&gt;0,$K$18*P15/$K$17,0)))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MDO PREVISION + MATERIAL PREMISSA</t>
        </is>
      </c>
      <c r="M15" s="127">
        <f>'CP RESUMO'!N38</f>
        <v/>
      </c>
      <c r="N15" s="128">
        <f>MAX(0,M15-M14)</f>
        <v/>
      </c>
      <c r="O15" s="127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50">
        <f>IF(OR(B15&lt;='VALOR POR PL'!$P$5,$K$12=0),0,$K$18*$K$26*N15/$K$12)</f>
        <v/>
      </c>
      <c r="S15" s="128">
        <f>(IF(AND(11+$K$33&gt;=1,11+$K$33&lt;=72),INDEX($N$5:$N$76,11+$K$33),0)+IF(AND(11+$K$34&gt;=1,11+$K$34&lt;=72),INDEX($N$5:$N$76,11+$K$34),0)+IF(AND(11+$K$35&gt;=1,11+$K$35&lt;=72),INDEX($N$5:$N$76,11+$K$35),0))/3</f>
        <v/>
      </c>
      <c r="T15" s="128">
        <f>IF(B15&lt;='VALOR POR PL'!$P$5,0,S15+IF(B15=DATE(YEAR('VALOR POR PL'!$P$5),MONTH('VALOR POR PL'!$P$5)+1,1),SUMPRODUCT((B5:B76&lt;='VALOR POR PL'!$P$5)*S5:S76),0))</f>
        <v/>
      </c>
      <c r="U15" s="50">
        <f>IF($K$32=0,0,$K$18*$K$27*T15/$K$32)</f>
        <v/>
      </c>
    </row>
    <row r="16">
      <c r="B16" s="129">
        <f>DATE(YEAR(B15),MONTH(B15)+1,1)</f>
        <v/>
      </c>
      <c r="C16" s="63">
        <f>'DADOS HISTORICOS'!O38</f>
        <v/>
      </c>
      <c r="D16" s="50">
        <f>IF(B16&lt;='VALOR POR PL'!$P$5,0,IF($K$16="MDO PREVISION + MATERIAL PREMISSA",R16+U16,IF($K$17&gt;0,$K$18*P16/$K$17,0)))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7">
        <f>'CP RESUMO'!O38</f>
        <v/>
      </c>
      <c r="N16" s="128">
        <f>MAX(0,M16-M15)</f>
        <v/>
      </c>
      <c r="O16" s="127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50">
        <f>IF(OR(B16&lt;='VALOR POR PL'!$P$5,$K$12=0),0,$K$18*$K$26*N16/$K$12)</f>
        <v/>
      </c>
      <c r="S16" s="128">
        <f>(IF(AND(12+$K$33&gt;=1,12+$K$33&lt;=72),INDEX($N$5:$N$76,12+$K$33),0)+IF(AND(12+$K$34&gt;=1,12+$K$34&lt;=72),INDEX($N$5:$N$76,12+$K$34),0)+IF(AND(12+$K$35&gt;=1,12+$K$35&lt;=72),INDEX($N$5:$N$76,12+$K$35),0))/3</f>
        <v/>
      </c>
      <c r="T16" s="128">
        <f>IF(B16&lt;='VALOR POR PL'!$P$5,0,S16+IF(B16=DATE(YEAR('VALOR POR PL'!$P$5),MONTH('VALOR POR PL'!$P$5)+1,1),SUMPRODUCT((B5:B76&lt;='VALOR POR PL'!$P$5)*S5:S76),0))</f>
        <v/>
      </c>
      <c r="U16" s="50">
        <f>IF($K$32=0,0,$K$18*$K$27*T16/$K$32)</f>
        <v/>
      </c>
    </row>
    <row r="17">
      <c r="B17" s="129">
        <f>DATE(YEAR(B16),MONTH(B16)+1,1)</f>
        <v/>
      </c>
      <c r="C17" s="63">
        <f>'DADOS HISTORICOS'!P38</f>
        <v/>
      </c>
      <c r="D17" s="50">
        <f>IF(B17&lt;='VALOR POR PL'!$P$5,0,IF($K$16="MDO PREVISION + MATERIAL PREMISSA",R17+U17,IF($K$17&gt;0,$K$18*P17/$K$17,0)))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RESUMO'!P38</f>
        <v/>
      </c>
      <c r="N17" s="128">
        <f>MAX(0,M17-M16)</f>
        <v/>
      </c>
      <c r="O17" s="127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50">
        <f>IF(OR(B17&lt;='VALOR POR PL'!$P$5,$K$12=0),0,$K$18*$K$26*N17/$K$12)</f>
        <v/>
      </c>
      <c r="S17" s="128">
        <f>(IF(AND(13+$K$33&gt;=1,13+$K$33&lt;=72),INDEX($N$5:$N$76,13+$K$33),0)+IF(AND(13+$K$34&gt;=1,13+$K$34&lt;=72),INDEX($N$5:$N$76,13+$K$34),0)+IF(AND(13+$K$35&gt;=1,13+$K$35&lt;=72),INDEX($N$5:$N$76,13+$K$35),0))/3</f>
        <v/>
      </c>
      <c r="T17" s="128">
        <f>IF(B17&lt;='VALOR POR PL'!$P$5,0,S17+IF(B17=DATE(YEAR('VALOR POR PL'!$P$5),MONTH('VALOR POR PL'!$P$5)+1,1),SUMPRODUCT((B5:B76&lt;='VALOR POR PL'!$P$5)*S5:S76),0))</f>
        <v/>
      </c>
      <c r="U17" s="50">
        <f>IF($K$32=0,0,$K$18*$K$27*T17/$K$32)</f>
        <v/>
      </c>
    </row>
    <row r="18">
      <c r="B18" s="129">
        <f>DATE(YEAR(B17),MONTH(B17)+1,1)</f>
        <v/>
      </c>
      <c r="C18" s="63">
        <f>'DADOS HISTORICOS'!Q38</f>
        <v/>
      </c>
      <c r="D18" s="50">
        <f>IF(B18&lt;='VALOR POR PL'!$P$5,0,IF($K$16="MDO PREVISION + MATERIAL PREMISSA",R18+U18,IF($K$17&gt;0,$K$18*P18/$K$17,0)))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RESUMO'!Q38</f>
        <v/>
      </c>
      <c r="N18" s="128">
        <f>MAX(0,M18-M17)</f>
        <v/>
      </c>
      <c r="O18" s="127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50">
        <f>IF(OR(B18&lt;='VALOR POR PL'!$P$5,$K$12=0),0,$K$18*$K$26*N18/$K$12)</f>
        <v/>
      </c>
      <c r="S18" s="128">
        <f>(IF(AND(14+$K$33&gt;=1,14+$K$33&lt;=72),INDEX($N$5:$N$76,14+$K$33),0)+IF(AND(14+$K$34&gt;=1,14+$K$34&lt;=72),INDEX($N$5:$N$76,14+$K$34),0)+IF(AND(14+$K$35&gt;=1,14+$K$35&lt;=72),INDEX($N$5:$N$76,14+$K$35),0))/3</f>
        <v/>
      </c>
      <c r="T18" s="128">
        <f>IF(B18&lt;='VALOR POR PL'!$P$5,0,S18+IF(B18=DATE(YEAR('VALOR POR PL'!$P$5),MONTH('VALOR POR PL'!$P$5)+1,1),SUMPRODUCT((B5:B76&lt;='VALOR POR PL'!$P$5)*S5:S76),0))</f>
        <v/>
      </c>
      <c r="U18" s="50">
        <f>IF($K$32=0,0,$K$18*$K$27*T18/$K$32)</f>
        <v/>
      </c>
    </row>
    <row r="19">
      <c r="B19" s="129">
        <f>DATE(YEAR(B18),MONTH(B18)+1,1)</f>
        <v/>
      </c>
      <c r="C19" s="63">
        <f>'DADOS HISTORICOS'!R38</f>
        <v/>
      </c>
      <c r="D19" s="50">
        <f>IF(B19&lt;='VALOR POR PL'!$P$5,0,IF($K$16="MDO PREVISION + MATERIAL PREMISSA",R19+U19,IF($K$17&gt;0,$K$18*P19/$K$17,0)))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RESUMO'!R38</f>
        <v/>
      </c>
      <c r="N19" s="128">
        <f>MAX(0,M19-M18)</f>
        <v/>
      </c>
      <c r="O19" s="127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50">
        <f>IF(OR(B19&lt;='VALOR POR PL'!$P$5,$K$12=0),0,$K$18*$K$26*N19/$K$12)</f>
        <v/>
      </c>
      <c r="S19" s="128">
        <f>(IF(AND(15+$K$33&gt;=1,15+$K$33&lt;=72),INDEX($N$5:$N$76,15+$K$33),0)+IF(AND(15+$K$34&gt;=1,15+$K$34&lt;=72),INDEX($N$5:$N$76,15+$K$34),0)+IF(AND(15+$K$35&gt;=1,15+$K$35&lt;=72),INDEX($N$5:$N$76,15+$K$35),0))/3</f>
        <v/>
      </c>
      <c r="T19" s="128">
        <f>IF(B19&lt;='VALOR POR PL'!$P$5,0,S19+IF(B19=DATE(YEAR('VALOR POR PL'!$P$5),MONTH('VALOR POR PL'!$P$5)+1,1),SUMPRODUCT((B5:B76&lt;='VALOR POR PL'!$P$5)*S5:S76),0))</f>
        <v/>
      </c>
      <c r="U19" s="50">
        <f>IF($K$32=0,0,$K$18*$K$27*T19/$K$32)</f>
        <v/>
      </c>
    </row>
    <row r="20" ht="30" customHeight="1">
      <c r="B20" s="129">
        <f>DATE(YEAR(B19),MONTH(B19)+1,1)</f>
        <v/>
      </c>
      <c r="C20" s="63">
        <f>'DADOS HISTORICOS'!S38</f>
        <v/>
      </c>
      <c r="D20" s="50">
        <f>IF(B20&lt;='VALOR POR PL'!$P$5,0,IF($K$16="MDO PREVISION + MATERIAL PREMISSA",R20+U20,IF($K$17&gt;0,$K$18*P20/$K$17,0)))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RESUMO'!S38</f>
        <v/>
      </c>
      <c r="N20" s="128">
        <f>MAX(0,M20-M19)</f>
        <v/>
      </c>
      <c r="O20" s="127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50">
        <f>IF(OR(B20&lt;='VALOR POR PL'!$P$5,$K$12=0),0,$K$18*$K$26*N20/$K$12)</f>
        <v/>
      </c>
      <c r="S20" s="128">
        <f>(IF(AND(16+$K$33&gt;=1,16+$K$33&lt;=72),INDEX($N$5:$N$76,16+$K$33),0)+IF(AND(16+$K$34&gt;=1,16+$K$34&lt;=72),INDEX($N$5:$N$76,16+$K$34),0)+IF(AND(16+$K$35&gt;=1,16+$K$35&lt;=72),INDEX($N$5:$N$76,16+$K$35),0))/3</f>
        <v/>
      </c>
      <c r="T20" s="128">
        <f>IF(B20&lt;='VALOR POR PL'!$P$5,0,S20+IF(B20=DATE(YEAR('VALOR POR PL'!$P$5),MONTH('VALOR POR PL'!$P$5)+1,1),SUMPRODUCT((B5:B76&lt;='VALOR POR PL'!$P$5)*S5:S76),0))</f>
        <v/>
      </c>
      <c r="U20" s="50">
        <f>IF($K$32=0,0,$K$18*$K$27*T20/$K$32)</f>
        <v/>
      </c>
    </row>
    <row r="21">
      <c r="B21" s="129">
        <f>DATE(YEAR(B20),MONTH(B20)+1,1)</f>
        <v/>
      </c>
      <c r="C21" s="63">
        <f>'DADOS HISTORICOS'!T38</f>
        <v/>
      </c>
      <c r="D21" s="50">
        <f>IF(B21&lt;='VALOR POR PL'!$P$5,0,IF($K$16="MDO PREVISION + MATERIAL PREMISSA",R21+U21,IF($K$17&gt;0,$K$18*P21/$K$17,0)))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RESUMO'!T38</f>
        <v/>
      </c>
      <c r="N21" s="128">
        <f>MAX(0,M21-M20)</f>
        <v/>
      </c>
      <c r="O21" s="127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50">
        <f>IF(OR(B21&lt;='VALOR POR PL'!$P$5,$K$12=0),0,$K$18*$K$26*N21/$K$12)</f>
        <v/>
      </c>
      <c r="S21" s="128">
        <f>(IF(AND(17+$K$33&gt;=1,17+$K$33&lt;=72),INDEX($N$5:$N$76,17+$K$33),0)+IF(AND(17+$K$34&gt;=1,17+$K$34&lt;=72),INDEX($N$5:$N$76,17+$K$34),0)+IF(AND(17+$K$35&gt;=1,17+$K$35&lt;=72),INDEX($N$5:$N$76,17+$K$35),0))/3</f>
        <v/>
      </c>
      <c r="T21" s="128">
        <f>IF(B21&lt;='VALOR POR PL'!$P$5,0,S21+IF(B21=DATE(YEAR('VALOR POR PL'!$P$5),MONTH('VALOR POR PL'!$P$5)+1,1),SUMPRODUCT((B5:B76&lt;='VALOR POR PL'!$P$5)*S5:S76),0))</f>
        <v/>
      </c>
      <c r="U21" s="50">
        <f>IF($K$32=0,0,$K$18*$K$27*T21/$K$32)</f>
        <v/>
      </c>
    </row>
    <row r="22">
      <c r="B22" s="129">
        <f>DATE(YEAR(B21),MONTH(B21)+1,1)</f>
        <v/>
      </c>
      <c r="C22" s="63">
        <f>'DADOS HISTORICOS'!U38</f>
        <v/>
      </c>
      <c r="D22" s="50">
        <f>IF(B22&lt;='VALOR POR PL'!$P$5,0,IF($K$16="MDO PREVISION + MATERIAL PREMISSA",R22+U22,IF($K$17&gt;0,$K$18*P22/$K$17,0)))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RESUMO'!U38</f>
        <v/>
      </c>
      <c r="N22" s="128">
        <f>MAX(0,M22-M21)</f>
        <v/>
      </c>
      <c r="O22" s="127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50">
        <f>IF(OR(B22&lt;='VALOR POR PL'!$P$5,$K$12=0),0,$K$18*$K$26*N22/$K$12)</f>
        <v/>
      </c>
      <c r="S22" s="128">
        <f>(IF(AND(18+$K$33&gt;=1,18+$K$33&lt;=72),INDEX($N$5:$N$76,18+$K$33),0)+IF(AND(18+$K$34&gt;=1,18+$K$34&lt;=72),INDEX($N$5:$N$76,18+$K$34),0)+IF(AND(18+$K$35&gt;=1,18+$K$35&lt;=72),INDEX($N$5:$N$76,18+$K$35),0))/3</f>
        <v/>
      </c>
      <c r="T22" s="128">
        <f>IF(B22&lt;='VALOR POR PL'!$P$5,0,S22+IF(B22=DATE(YEAR('VALOR POR PL'!$P$5),MONTH('VALOR POR PL'!$P$5)+1,1),SUMPRODUCT((B5:B76&lt;='VALOR POR PL'!$P$5)*S5:S76),0))</f>
        <v/>
      </c>
      <c r="U22" s="50">
        <f>IF($K$32=0,0,$K$18*$K$27*T22/$K$32)</f>
        <v/>
      </c>
    </row>
    <row r="23">
      <c r="B23" s="129">
        <f>DATE(YEAR(B22),MONTH(B22)+1,1)</f>
        <v/>
      </c>
      <c r="C23" s="63">
        <f>'DADOS HISTORICOS'!V38</f>
        <v/>
      </c>
      <c r="D23" s="50">
        <f>IF(B23&lt;='VALOR POR PL'!$P$5,0,IF($K$16="MDO PREVISION + MATERIAL PREMISSA",R23+U23,IF($K$17&gt;0,$K$18*P23/$K$17,0)))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RESUMO'!V38</f>
        <v/>
      </c>
      <c r="N23" s="128">
        <f>MAX(0,M23-M22)</f>
        <v/>
      </c>
      <c r="O23" s="127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50">
        <f>IF(OR(B23&lt;='VALOR POR PL'!$P$5,$K$12=0),0,$K$18*$K$26*N23/$K$12)</f>
        <v/>
      </c>
      <c r="S23" s="128">
        <f>(IF(AND(19+$K$33&gt;=1,19+$K$33&lt;=72),INDEX($N$5:$N$76,19+$K$33),0)+IF(AND(19+$K$34&gt;=1,19+$K$34&lt;=72),INDEX($N$5:$N$76,19+$K$34),0)+IF(AND(19+$K$35&gt;=1,19+$K$35&lt;=72),INDEX($N$5:$N$76,19+$K$35),0))/3</f>
        <v/>
      </c>
      <c r="T23" s="128">
        <f>IF(B23&lt;='VALOR POR PL'!$P$5,0,S23+IF(B23=DATE(YEAR('VALOR POR PL'!$P$5),MONTH('VALOR POR PL'!$P$5)+1,1),SUMPRODUCT((B5:B76&lt;='VALOR POR PL'!$P$5)*S5:S76),0))</f>
        <v/>
      </c>
      <c r="U23" s="50">
        <f>IF($K$32=0,0,$K$18*$K$27*T23/$K$32)</f>
        <v/>
      </c>
    </row>
    <row r="24" ht="45" customHeight="1">
      <c r="B24" s="129">
        <f>DATE(YEAR(B23),MONTH(B23)+1,1)</f>
        <v/>
      </c>
      <c r="C24" s="63">
        <f>'DADOS HISTORICOS'!W38</f>
        <v/>
      </c>
      <c r="D24" s="50">
        <f>IF(B24&lt;='VALOR POR PL'!$P$5,0,IF($K$16="MDO PREVISION + MATERIAL PREMISSA",R24+U24,IF($K$17&gt;0,$K$18*P24/$K$17,0)))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inlineStr">
        <is>
          <t>Saldo dividido: MDO segue a curva do Prevision; material segue a premissa (pedido antecipado, pagamento 28/56/84 dias).</t>
        </is>
      </c>
      <c r="M24" s="127">
        <f>'CP RESUMO'!W38</f>
        <v/>
      </c>
      <c r="N24" s="128">
        <f>MAX(0,M24-M23)</f>
        <v/>
      </c>
      <c r="O24" s="127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50">
        <f>IF(OR(B24&lt;='VALOR POR PL'!$P$5,$K$12=0),0,$K$18*$K$26*N24/$K$12)</f>
        <v/>
      </c>
      <c r="S24" s="128">
        <f>(IF(AND(20+$K$33&gt;=1,20+$K$33&lt;=72),INDEX($N$5:$N$76,20+$K$33),0)+IF(AND(20+$K$34&gt;=1,20+$K$34&lt;=72),INDEX($N$5:$N$76,20+$K$34),0)+IF(AND(20+$K$35&gt;=1,20+$K$35&lt;=72),INDEX($N$5:$N$76,20+$K$35),0))/3</f>
        <v/>
      </c>
      <c r="T24" s="128">
        <f>IF(B24&lt;='VALOR POR PL'!$P$5,0,S24+IF(B24=DATE(YEAR('VALOR POR PL'!$P$5),MONTH('VALOR POR PL'!$P$5)+1,1),SUMPRODUCT((B5:B76&lt;='VALOR POR PL'!$P$5)*S5:S76),0))</f>
        <v/>
      </c>
      <c r="U24" s="50">
        <f>IF($K$32=0,0,$K$18*$K$27*T24/$K$32)</f>
        <v/>
      </c>
    </row>
    <row r="25">
      <c r="B25" s="129">
        <f>DATE(YEAR(B24),MONTH(B24)+1,1)</f>
        <v/>
      </c>
      <c r="C25" s="63">
        <f>'DADOS HISTORICOS'!X38</f>
        <v/>
      </c>
      <c r="D25" s="50">
        <f>IF(B25&lt;='VALOR POR PL'!$P$5,0,IF($K$16="MDO PREVISION + MATERIAL PREMISSA",R25+U25,IF($K$17&gt;0,$K$18*P25/$K$17,0)))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I25" s="66" t="inlineStr">
        <is>
          <t>DIVISÃO MDO × MATERIAL</t>
        </is>
      </c>
      <c r="J25" s="67" t="n"/>
      <c r="K25" s="68" t="n"/>
      <c r="M25" s="127">
        <f>'CP RESUMO'!X38</f>
        <v/>
      </c>
      <c r="N25" s="128">
        <f>MAX(0,M25-M24)</f>
        <v/>
      </c>
      <c r="O25" s="127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50">
        <f>IF(OR(B25&lt;='VALOR POR PL'!$P$5,$K$12=0),0,$K$18*$K$26*N25/$K$12)</f>
        <v/>
      </c>
      <c r="S25" s="128">
        <f>(IF(AND(21+$K$33&gt;=1,21+$K$33&lt;=72),INDEX($N$5:$N$76,21+$K$33),0)+IF(AND(21+$K$34&gt;=1,21+$K$34&lt;=72),INDEX($N$5:$N$76,21+$K$34),0)+IF(AND(21+$K$35&gt;=1,21+$K$35&lt;=72),INDEX($N$5:$N$76,21+$K$35),0))/3</f>
        <v/>
      </c>
      <c r="T25" s="128">
        <f>IF(B25&lt;='VALOR POR PL'!$P$5,0,S25+IF(B25=DATE(YEAR('VALOR POR PL'!$P$5),MONTH('VALOR POR PL'!$P$5)+1,1),SUMPRODUCT((B5:B76&lt;='VALOR POR PL'!$P$5)*S5:S76),0))</f>
        <v/>
      </c>
      <c r="U25" s="50">
        <f>IF($K$32=0,0,$K$18*$K$27*T25/$K$32)</f>
        <v/>
      </c>
    </row>
    <row r="26">
      <c r="B26" s="129">
        <f>DATE(YEAR(B25),MONTH(B25)+1,1)</f>
        <v/>
      </c>
      <c r="C26" s="63">
        <f>'DADOS HISTORICOS'!Y38</f>
        <v/>
      </c>
      <c r="D26" s="50">
        <f>IF(B26&lt;='VALOR POR PL'!$P$5,0,IF($K$16="MDO PREVISION + MATERIAL PREMISSA",R26+U26,IF($K$17&gt;0,$K$18*P26/$K$17,0)))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I26" s="47" t="inlineStr">
        <is>
          <t>% MÃO DE OBRA (segue a curva do Prevision)</t>
        </is>
      </c>
      <c r="K26" s="56" t="n">
        <v>0.4</v>
      </c>
      <c r="M26" s="127">
        <f>'CP RESUMO'!Y38</f>
        <v/>
      </c>
      <c r="N26" s="128">
        <f>MAX(0,M26-M25)</f>
        <v/>
      </c>
      <c r="O26" s="127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50">
        <f>IF(OR(B26&lt;='VALOR POR PL'!$P$5,$K$12=0),0,$K$18*$K$26*N26/$K$12)</f>
        <v/>
      </c>
      <c r="S26" s="128">
        <f>(IF(AND(22+$K$33&gt;=1,22+$K$33&lt;=72),INDEX($N$5:$N$76,22+$K$33),0)+IF(AND(22+$K$34&gt;=1,22+$K$34&lt;=72),INDEX($N$5:$N$76,22+$K$34),0)+IF(AND(22+$K$35&gt;=1,22+$K$35&lt;=72),INDEX($N$5:$N$76,22+$K$35),0))/3</f>
        <v/>
      </c>
      <c r="T26" s="128">
        <f>IF(B26&lt;='VALOR POR PL'!$P$5,0,S26+IF(B26=DATE(YEAR('VALOR POR PL'!$P$5),MONTH('VALOR POR PL'!$P$5)+1,1),SUMPRODUCT((B5:B76&lt;='VALOR POR PL'!$P$5)*S5:S76),0))</f>
        <v/>
      </c>
      <c r="U26" s="50">
        <f>IF($K$32=0,0,$K$18*$K$27*T26/$K$32)</f>
        <v/>
      </c>
    </row>
    <row r="27">
      <c r="B27" s="129">
        <f>DATE(YEAR(B26),MONTH(B26)+1,1)</f>
        <v/>
      </c>
      <c r="C27" s="63">
        <f>'DADOS HISTORICOS'!Z38</f>
        <v/>
      </c>
      <c r="D27" s="50">
        <f>IF(B27&lt;='VALOR POR PL'!$P$5,0,IF($K$16="MDO PREVISION + MATERIAL PREMISSA",R27+U27,IF($K$17&gt;0,$K$18*P27/$K$17,0)))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I27" s="47" t="inlineStr">
        <is>
          <t>% MATERIAL (segue a premissa)</t>
        </is>
      </c>
      <c r="K27" s="137">
        <f>1-K26</f>
        <v/>
      </c>
      <c r="M27" s="127">
        <f>'CP RESUMO'!Z38</f>
        <v/>
      </c>
      <c r="N27" s="128">
        <f>MAX(0,M27-M26)</f>
        <v/>
      </c>
      <c r="O27" s="127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50">
        <f>IF(OR(B27&lt;='VALOR POR PL'!$P$5,$K$12=0),0,$K$18*$K$26*N27/$K$12)</f>
        <v/>
      </c>
      <c r="S27" s="128">
        <f>(IF(AND(23+$K$33&gt;=1,23+$K$33&lt;=72),INDEX($N$5:$N$76,23+$K$33),0)+IF(AND(23+$K$34&gt;=1,23+$K$34&lt;=72),INDEX($N$5:$N$76,23+$K$34),0)+IF(AND(23+$K$35&gt;=1,23+$K$35&lt;=72),INDEX($N$5:$N$76,23+$K$35),0))/3</f>
        <v/>
      </c>
      <c r="T27" s="128">
        <f>IF(B27&lt;='VALOR POR PL'!$P$5,0,S27+IF(B27=DATE(YEAR('VALOR POR PL'!$P$5),MONTH('VALOR POR PL'!$P$5)+1,1),SUMPRODUCT((B5:B76&lt;='VALOR POR PL'!$P$5)*S5:S76),0))</f>
        <v/>
      </c>
      <c r="U27" s="50">
        <f>IF($K$32=0,0,$K$18*$K$27*T27/$K$32)</f>
        <v/>
      </c>
    </row>
    <row r="28">
      <c r="B28" s="129">
        <f>DATE(YEAR(B27),MONTH(B27)+1,1)</f>
        <v/>
      </c>
      <c r="C28" s="63">
        <f>'DADOS HISTORICOS'!AA38</f>
        <v/>
      </c>
      <c r="D28" s="50">
        <f>IF(B28&lt;='VALOR POR PL'!$P$5,0,IF($K$16="MDO PREVISION + MATERIAL PREMISSA",R28+U28,IF($K$17&gt;0,$K$18*P28/$K$17,0)))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I28" s="47" t="inlineStr">
        <is>
          <t>ANTECEDÊNCIA DO PEDIDO (dias antes da instalação)</t>
        </is>
      </c>
      <c r="K28" s="138" t="n">
        <v>180</v>
      </c>
      <c r="M28" s="127">
        <f>'CP RESUMO'!AA38</f>
        <v/>
      </c>
      <c r="N28" s="128">
        <f>MAX(0,M28-M27)</f>
        <v/>
      </c>
      <c r="O28" s="127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50">
        <f>IF(OR(B28&lt;='VALOR POR PL'!$P$5,$K$12=0),0,$K$18*$K$26*N28/$K$12)</f>
        <v/>
      </c>
      <c r="S28" s="128">
        <f>(IF(AND(24+$K$33&gt;=1,24+$K$33&lt;=72),INDEX($N$5:$N$76,24+$K$33),0)+IF(AND(24+$K$34&gt;=1,24+$K$34&lt;=72),INDEX($N$5:$N$76,24+$K$34),0)+IF(AND(24+$K$35&gt;=1,24+$K$35&lt;=72),INDEX($N$5:$N$76,24+$K$35),0))/3</f>
        <v/>
      </c>
      <c r="T28" s="128">
        <f>IF(B28&lt;='VALOR POR PL'!$P$5,0,S28+IF(B28=DATE(YEAR('VALOR POR PL'!$P$5),MONTH('VALOR POR PL'!$P$5)+1,1),SUMPRODUCT((B5:B76&lt;='VALOR POR PL'!$P$5)*S5:S76),0))</f>
        <v/>
      </c>
      <c r="U28" s="50">
        <f>IF($K$32=0,0,$K$18*$K$27*T28/$K$32)</f>
        <v/>
      </c>
    </row>
    <row r="29">
      <c r="B29" s="129">
        <f>DATE(YEAR(B28),MONTH(B28)+1,1)</f>
        <v/>
      </c>
      <c r="C29" s="63">
        <f>'DADOS HISTORICOS'!AB38</f>
        <v/>
      </c>
      <c r="D29" s="50">
        <f>IF(B29&lt;='VALOR POR PL'!$P$5,0,IF($K$16="MDO PREVISION + MATERIAL PREMISSA",R29+U29,IF($K$17&gt;0,$K$18*P29/$K$17,0)))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I29" s="47" t="inlineStr">
        <is>
          <t>1ª PARCELA (dias após o pedido)</t>
        </is>
      </c>
      <c r="K29" s="138" t="n">
        <v>28</v>
      </c>
      <c r="M29" s="127">
        <f>'CP RESUMO'!AB38</f>
        <v/>
      </c>
      <c r="N29" s="128">
        <f>MAX(0,M29-M28)</f>
        <v/>
      </c>
      <c r="O29" s="127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50">
        <f>IF(OR(B29&lt;='VALOR POR PL'!$P$5,$K$12=0),0,$K$18*$K$26*N29/$K$12)</f>
        <v/>
      </c>
      <c r="S29" s="128">
        <f>(IF(AND(25+$K$33&gt;=1,25+$K$33&lt;=72),INDEX($N$5:$N$76,25+$K$33),0)+IF(AND(25+$K$34&gt;=1,25+$K$34&lt;=72),INDEX($N$5:$N$76,25+$K$34),0)+IF(AND(25+$K$35&gt;=1,25+$K$35&lt;=72),INDEX($N$5:$N$76,25+$K$35),0))/3</f>
        <v/>
      </c>
      <c r="T29" s="128">
        <f>IF(B29&lt;='VALOR POR PL'!$P$5,0,S29+IF(B29=DATE(YEAR('VALOR POR PL'!$P$5),MONTH('VALOR POR PL'!$P$5)+1,1),SUMPRODUCT((B5:B76&lt;='VALOR POR PL'!$P$5)*S5:S76),0))</f>
        <v/>
      </c>
      <c r="U29" s="50">
        <f>IF($K$32=0,0,$K$18*$K$27*T29/$K$32)</f>
        <v/>
      </c>
    </row>
    <row r="30">
      <c r="B30" s="129">
        <f>DATE(YEAR(B29),MONTH(B29)+1,1)</f>
        <v/>
      </c>
      <c r="C30" s="63">
        <f>'DADOS HISTORICOS'!AC38</f>
        <v/>
      </c>
      <c r="D30" s="50">
        <f>IF(B30&lt;='VALOR POR PL'!$P$5,0,IF($K$16="MDO PREVISION + MATERIAL PREMISSA",R30+U30,IF($K$17&gt;0,$K$18*P30/$K$17,0)))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I30" s="47" t="inlineStr">
        <is>
          <t>2ª PARCELA (dias após o pedido)</t>
        </is>
      </c>
      <c r="K30" s="138" t="n">
        <v>56</v>
      </c>
      <c r="M30" s="127">
        <f>'CP RESUMO'!AC38</f>
        <v/>
      </c>
      <c r="N30" s="128">
        <f>MAX(0,M30-M29)</f>
        <v/>
      </c>
      <c r="O30" s="127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50">
        <f>IF(OR(B30&lt;='VALOR POR PL'!$P$5,$K$12=0),0,$K$18*$K$26*N30/$K$12)</f>
        <v/>
      </c>
      <c r="S30" s="128">
        <f>(IF(AND(26+$K$33&gt;=1,26+$K$33&lt;=72),INDEX($N$5:$N$76,26+$K$33),0)+IF(AND(26+$K$34&gt;=1,26+$K$34&lt;=72),INDEX($N$5:$N$76,26+$K$34),0)+IF(AND(26+$K$35&gt;=1,26+$K$35&lt;=72),INDEX($N$5:$N$76,26+$K$35),0))/3</f>
        <v/>
      </c>
      <c r="T30" s="128">
        <f>IF(B30&lt;='VALOR POR PL'!$P$5,0,S30+IF(B30=DATE(YEAR('VALOR POR PL'!$P$5),MONTH('VALOR POR PL'!$P$5)+1,1),SUMPRODUCT((B5:B76&lt;='VALOR POR PL'!$P$5)*S5:S76),0))</f>
        <v/>
      </c>
      <c r="U30" s="50">
        <f>IF($K$32=0,0,$K$18*$K$27*T30/$K$32)</f>
        <v/>
      </c>
    </row>
    <row r="31">
      <c r="B31" s="129">
        <f>DATE(YEAR(B30),MONTH(B30)+1,1)</f>
        <v/>
      </c>
      <c r="C31" s="63">
        <f>'DADOS HISTORICOS'!AD38</f>
        <v/>
      </c>
      <c r="D31" s="50">
        <f>IF(B31&lt;='VALOR POR PL'!$P$5,0,IF($K$16="MDO PREVISION + MATERIAL PREMISSA",R31+U31,IF($K$17&gt;0,$K$18*P31/$K$17,0)))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I31" s="47" t="inlineStr">
        <is>
          <t>3ª PARCELA (dias após o pedido)</t>
        </is>
      </c>
      <c r="K31" s="138" t="n">
        <v>84</v>
      </c>
      <c r="M31" s="127">
        <f>'CP RESUMO'!AD38</f>
        <v/>
      </c>
      <c r="N31" s="128">
        <f>MAX(0,M31-M30)</f>
        <v/>
      </c>
      <c r="O31" s="127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50">
        <f>IF(OR(B31&lt;='VALOR POR PL'!$P$5,$K$12=0),0,$K$18*$K$26*N31/$K$12)</f>
        <v/>
      </c>
      <c r="S31" s="128">
        <f>(IF(AND(27+$K$33&gt;=1,27+$K$33&lt;=72),INDEX($N$5:$N$76,27+$K$33),0)+IF(AND(27+$K$34&gt;=1,27+$K$34&lt;=72),INDEX($N$5:$N$76,27+$K$34),0)+IF(AND(27+$K$35&gt;=1,27+$K$35&lt;=72),INDEX($N$5:$N$76,27+$K$35),0))/3</f>
        <v/>
      </c>
      <c r="T31" s="128">
        <f>IF(B31&lt;='VALOR POR PL'!$P$5,0,S31+IF(B31=DATE(YEAR('VALOR POR PL'!$P$5),MONTH('VALOR POR PL'!$P$5)+1,1),SUMPRODUCT((B5:B76&lt;='VALOR POR PL'!$P$5)*S5:S76),0))</f>
        <v/>
      </c>
      <c r="U31" s="50">
        <f>IF($K$32=0,0,$K$18*$K$27*T31/$K$32)</f>
        <v/>
      </c>
    </row>
    <row r="32">
      <c r="B32" s="129">
        <f>DATE(YEAR(B31),MONTH(B31)+1,1)</f>
        <v/>
      </c>
      <c r="C32" s="63">
        <f>'DADOS HISTORICOS'!AE38</f>
        <v/>
      </c>
      <c r="D32" s="50">
        <f>IF(B32&lt;='VALOR POR PL'!$P$5,0,IF($K$16="MDO PREVISION + MATERIAL PREMISSA",R32+U32,IF($K$17&gt;0,$K$18*P32/$K$17,0)))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I32" s="47" t="inlineStr">
        <is>
          <t>Σ PESOS DO MATERIAL (meses futuros)</t>
        </is>
      </c>
      <c r="K32" s="128">
        <f>SUM(T5:T76)</f>
        <v/>
      </c>
      <c r="M32" s="127">
        <f>'CP RESUMO'!AE38</f>
        <v/>
      </c>
      <c r="N32" s="128">
        <f>MAX(0,M32-M31)</f>
        <v/>
      </c>
      <c r="O32" s="127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50">
        <f>IF(OR(B32&lt;='VALOR POR PL'!$P$5,$K$12=0),0,$K$18*$K$26*N32/$K$12)</f>
        <v/>
      </c>
      <c r="S32" s="128">
        <f>(IF(AND(28+$K$33&gt;=1,28+$K$33&lt;=72),INDEX($N$5:$N$76,28+$K$33),0)+IF(AND(28+$K$34&gt;=1,28+$K$34&lt;=72),INDEX($N$5:$N$76,28+$K$34),0)+IF(AND(28+$K$35&gt;=1,28+$K$35&lt;=72),INDEX($N$5:$N$76,28+$K$35),0))/3</f>
        <v/>
      </c>
      <c r="T32" s="128">
        <f>IF(B32&lt;='VALOR POR PL'!$P$5,0,S32+IF(B32=DATE(YEAR('VALOR POR PL'!$P$5),MONTH('VALOR POR PL'!$P$5)+1,1),SUMPRODUCT((B5:B76&lt;='VALOR POR PL'!$P$5)*S5:S76),0))</f>
        <v/>
      </c>
      <c r="U32" s="50">
        <f>IF($K$32=0,0,$K$18*$K$27*T32/$K$32)</f>
        <v/>
      </c>
    </row>
    <row r="33">
      <c r="B33" s="129">
        <f>DATE(YEAR(B32),MONTH(B32)+1,1)</f>
        <v/>
      </c>
      <c r="C33" s="63">
        <f>'DADOS HISTORICOS'!AF38</f>
        <v/>
      </c>
      <c r="D33" s="50">
        <f>IF(B33&lt;='VALOR POR PL'!$P$5,0,IF($K$16="MDO PREVISION + MATERIAL PREMISSA",R33+U33,IF($K$17&gt;0,$K$18*P33/$K$17,0)))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I33" s="47" t="inlineStr">
        <is>
          <t>Parcela 1 paga X meses antes da instalação</t>
        </is>
      </c>
      <c r="K33" s="69">
        <f>ROUND((K28-K29)/30,0)</f>
        <v/>
      </c>
      <c r="M33" s="127">
        <f>'CP RESUMO'!AF38</f>
        <v/>
      </c>
      <c r="N33" s="128">
        <f>MAX(0,M33-M32)</f>
        <v/>
      </c>
      <c r="O33" s="127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50">
        <f>IF(OR(B33&lt;='VALOR POR PL'!$P$5,$K$12=0),0,$K$18*$K$26*N33/$K$12)</f>
        <v/>
      </c>
      <c r="S33" s="128">
        <f>(IF(AND(29+$K$33&gt;=1,29+$K$33&lt;=72),INDEX($N$5:$N$76,29+$K$33),0)+IF(AND(29+$K$34&gt;=1,29+$K$34&lt;=72),INDEX($N$5:$N$76,29+$K$34),0)+IF(AND(29+$K$35&gt;=1,29+$K$35&lt;=72),INDEX($N$5:$N$76,29+$K$35),0))/3</f>
        <v/>
      </c>
      <c r="T33" s="128">
        <f>IF(B33&lt;='VALOR POR PL'!$P$5,0,S33+IF(B33=DATE(YEAR('VALOR POR PL'!$P$5),MONTH('VALOR POR PL'!$P$5)+1,1),SUMPRODUCT((B5:B76&lt;='VALOR POR PL'!$P$5)*S5:S76),0))</f>
        <v/>
      </c>
      <c r="U33" s="50">
        <f>IF($K$32=0,0,$K$18*$K$27*T33/$K$32)</f>
        <v/>
      </c>
    </row>
    <row r="34">
      <c r="B34" s="129">
        <f>DATE(YEAR(B33),MONTH(B33)+1,1)</f>
        <v/>
      </c>
      <c r="C34" s="63">
        <f>'DADOS HISTORICOS'!AG38</f>
        <v/>
      </c>
      <c r="D34" s="50">
        <f>IF(B34&lt;='VALOR POR PL'!$P$5,0,IF($K$16="MDO PREVISION + MATERIAL PREMISSA",R34+U34,IF($K$17&gt;0,$K$18*P34/$K$17,0)))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I34" s="47" t="inlineStr">
        <is>
          <t>Parcela 2 paga X meses antes da instalação</t>
        </is>
      </c>
      <c r="K34" s="69">
        <f>ROUND((K28-K30)/30,0)</f>
        <v/>
      </c>
      <c r="M34" s="127">
        <f>'CP RESUMO'!AG38</f>
        <v/>
      </c>
      <c r="N34" s="128">
        <f>MAX(0,M34-M33)</f>
        <v/>
      </c>
      <c r="O34" s="127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50">
        <f>IF(OR(B34&lt;='VALOR POR PL'!$P$5,$K$12=0),0,$K$18*$K$26*N34/$K$12)</f>
        <v/>
      </c>
      <c r="S34" s="128">
        <f>(IF(AND(30+$K$33&gt;=1,30+$K$33&lt;=72),INDEX($N$5:$N$76,30+$K$33),0)+IF(AND(30+$K$34&gt;=1,30+$K$34&lt;=72),INDEX($N$5:$N$76,30+$K$34),0)+IF(AND(30+$K$35&gt;=1,30+$K$35&lt;=72),INDEX($N$5:$N$76,30+$K$35),0))/3</f>
        <v/>
      </c>
      <c r="T34" s="128">
        <f>IF(B34&lt;='VALOR POR PL'!$P$5,0,S34+IF(B34=DATE(YEAR('VALOR POR PL'!$P$5),MONTH('VALOR POR PL'!$P$5)+1,1),SUMPRODUCT((B5:B76&lt;='VALOR POR PL'!$P$5)*S5:S76),0))</f>
        <v/>
      </c>
      <c r="U34" s="50">
        <f>IF($K$32=0,0,$K$18*$K$27*T34/$K$32)</f>
        <v/>
      </c>
    </row>
    <row r="35">
      <c r="B35" s="129">
        <f>DATE(YEAR(B34),MONTH(B34)+1,1)</f>
        <v/>
      </c>
      <c r="C35" s="63">
        <f>'DADOS HISTORICOS'!AH38</f>
        <v/>
      </c>
      <c r="D35" s="50">
        <f>IF(B35&lt;='VALOR POR PL'!$P$5,0,IF($K$16="MDO PREVISION + MATERIAL PREMISSA",R35+U35,IF($K$17&gt;0,$K$18*P35/$K$17,0)))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I35" s="47" t="inlineStr">
        <is>
          <t>Parcela 3 paga X meses antes da instalação</t>
        </is>
      </c>
      <c r="K35" s="69">
        <f>ROUND((K28-K31)/30,0)</f>
        <v/>
      </c>
      <c r="M35" s="127">
        <f>'CP RESUMO'!AH38</f>
        <v/>
      </c>
      <c r="N35" s="128">
        <f>MAX(0,M35-M34)</f>
        <v/>
      </c>
      <c r="O35" s="127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50">
        <f>IF(OR(B35&lt;='VALOR POR PL'!$P$5,$K$12=0),0,$K$18*$K$26*N35/$K$12)</f>
        <v/>
      </c>
      <c r="S35" s="128">
        <f>(IF(AND(31+$K$33&gt;=1,31+$K$33&lt;=72),INDEX($N$5:$N$76,31+$K$33),0)+IF(AND(31+$K$34&gt;=1,31+$K$34&lt;=72),INDEX($N$5:$N$76,31+$K$34),0)+IF(AND(31+$K$35&gt;=1,31+$K$35&lt;=72),INDEX($N$5:$N$76,31+$K$35),0))/3</f>
        <v/>
      </c>
      <c r="T35" s="128">
        <f>IF(B35&lt;='VALOR POR PL'!$P$5,0,S35+IF(B35=DATE(YEAR('VALOR POR PL'!$P$5),MONTH('VALOR POR PL'!$P$5)+1,1),SUMPRODUCT((B5:B76&lt;='VALOR POR PL'!$P$5)*S5:S76),0))</f>
        <v/>
      </c>
      <c r="U35" s="50">
        <f>IF($K$32=0,0,$K$18*$K$27*T35/$K$32)</f>
        <v/>
      </c>
    </row>
    <row r="36">
      <c r="B36" s="129">
        <f>DATE(YEAR(B35),MONTH(B35)+1,1)</f>
        <v/>
      </c>
      <c r="C36" s="63">
        <f>'DADOS HISTORICOS'!AI38</f>
        <v/>
      </c>
      <c r="D36" s="50">
        <f>IF(B36&lt;='VALOR POR PL'!$P$5,0,IF($K$16="MDO PREVISION + MATERIAL PREMISSA",R36+U36,IF($K$17&gt;0,$K$18*P36/$K$17,0)))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I36" s="47" t="inlineStr">
        <is>
          <t>MDO no fluxo (R$)</t>
        </is>
      </c>
      <c r="K36" s="50">
        <f>SUM(R5:R76)</f>
        <v/>
      </c>
      <c r="M36" s="127">
        <f>'CP RESUMO'!AI38</f>
        <v/>
      </c>
      <c r="N36" s="128">
        <f>MAX(0,M36-M35)</f>
        <v/>
      </c>
      <c r="O36" s="127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50">
        <f>IF(OR(B36&lt;='VALOR POR PL'!$P$5,$K$12=0),0,$K$18*$K$26*N36/$K$12)</f>
        <v/>
      </c>
      <c r="S36" s="128">
        <f>(IF(AND(32+$K$33&gt;=1,32+$K$33&lt;=72),INDEX($N$5:$N$76,32+$K$33),0)+IF(AND(32+$K$34&gt;=1,32+$K$34&lt;=72),INDEX($N$5:$N$76,32+$K$34),0)+IF(AND(32+$K$35&gt;=1,32+$K$35&lt;=72),INDEX($N$5:$N$76,32+$K$35),0))/3</f>
        <v/>
      </c>
      <c r="T36" s="128">
        <f>IF(B36&lt;='VALOR POR PL'!$P$5,0,S36+IF(B36=DATE(YEAR('VALOR POR PL'!$P$5),MONTH('VALOR POR PL'!$P$5)+1,1),SUMPRODUCT((B5:B76&lt;='VALOR POR PL'!$P$5)*S5:S76),0))</f>
        <v/>
      </c>
      <c r="U36" s="50">
        <f>IF($K$32=0,0,$K$18*$K$27*T36/$K$32)</f>
        <v/>
      </c>
    </row>
    <row r="37">
      <c r="B37" s="129">
        <f>DATE(YEAR(B36),MONTH(B36)+1,1)</f>
        <v/>
      </c>
      <c r="C37" s="63">
        <f>'DADOS HISTORICOS'!AJ38</f>
        <v/>
      </c>
      <c r="D37" s="50">
        <f>IF(B37&lt;='VALOR POR PL'!$P$5,0,IF($K$16="MDO PREVISION + MATERIAL PREMISSA",R37+U37,IF($K$17&gt;0,$K$18*P37/$K$17,0)))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I37" s="47" t="inlineStr">
        <is>
          <t>MATERIAL no fluxo (R$)</t>
        </is>
      </c>
      <c r="K37" s="50">
        <f>SUM(U5:U76)</f>
        <v/>
      </c>
      <c r="M37" s="127">
        <f>'CP RESUMO'!AJ38</f>
        <v/>
      </c>
      <c r="N37" s="128">
        <f>MAX(0,M37-M36)</f>
        <v/>
      </c>
      <c r="O37" s="127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50">
        <f>IF(OR(B37&lt;='VALOR POR PL'!$P$5,$K$12=0),0,$K$18*$K$26*N37/$K$12)</f>
        <v/>
      </c>
      <c r="S37" s="128">
        <f>(IF(AND(33+$K$33&gt;=1,33+$K$33&lt;=72),INDEX($N$5:$N$76,33+$K$33),0)+IF(AND(33+$K$34&gt;=1,33+$K$34&lt;=72),INDEX($N$5:$N$76,33+$K$34),0)+IF(AND(33+$K$35&gt;=1,33+$K$35&lt;=72),INDEX($N$5:$N$76,33+$K$35),0))/3</f>
        <v/>
      </c>
      <c r="T37" s="128">
        <f>IF(B37&lt;='VALOR POR PL'!$P$5,0,S37+IF(B37=DATE(YEAR('VALOR POR PL'!$P$5),MONTH('VALOR POR PL'!$P$5)+1,1),SUMPRODUCT((B5:B76&lt;='VALOR POR PL'!$P$5)*S5:S76),0))</f>
        <v/>
      </c>
      <c r="U37" s="50">
        <f>IF($K$32=0,0,$K$18*$K$27*T37/$K$32)</f>
        <v/>
      </c>
    </row>
    <row r="38">
      <c r="B38" s="129">
        <f>DATE(YEAR(B37),MONTH(B37)+1,1)</f>
        <v/>
      </c>
      <c r="C38" s="63">
        <f>'DADOS HISTORICOS'!AK38</f>
        <v/>
      </c>
      <c r="D38" s="50">
        <f>IF(B38&lt;='VALOR POR PL'!$P$5,0,IF($K$16="MDO PREVISION + MATERIAL PREMISSA",R38+U38,IF($K$17&gt;0,$K$18*P38/$K$17,0)))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RESUMO'!AK38</f>
        <v/>
      </c>
      <c r="N38" s="128">
        <f>MAX(0,M38-M37)</f>
        <v/>
      </c>
      <c r="O38" s="127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50">
        <f>IF(OR(B38&lt;='VALOR POR PL'!$P$5,$K$12=0),0,$K$18*$K$26*N38/$K$12)</f>
        <v/>
      </c>
      <c r="S38" s="128">
        <f>(IF(AND(34+$K$33&gt;=1,34+$K$33&lt;=72),INDEX($N$5:$N$76,34+$K$33),0)+IF(AND(34+$K$34&gt;=1,34+$K$34&lt;=72),INDEX($N$5:$N$76,34+$K$34),0)+IF(AND(34+$K$35&gt;=1,34+$K$35&lt;=72),INDEX($N$5:$N$76,34+$K$35),0))/3</f>
        <v/>
      </c>
      <c r="T38" s="128">
        <f>IF(B38&lt;='VALOR POR PL'!$P$5,0,S38+IF(B38=DATE(YEAR('VALOR POR PL'!$P$5),MONTH('VALOR POR PL'!$P$5)+1,1),SUMPRODUCT((B5:B76&lt;='VALOR POR PL'!$P$5)*S5:S76),0))</f>
        <v/>
      </c>
      <c r="U38" s="50">
        <f>IF($K$32=0,0,$K$18*$K$27*T38/$K$32)</f>
        <v/>
      </c>
    </row>
    <row r="39">
      <c r="B39" s="129">
        <f>DATE(YEAR(B38),MONTH(B38)+1,1)</f>
        <v/>
      </c>
      <c r="C39" s="63">
        <f>'DADOS HISTORICOS'!AL38</f>
        <v/>
      </c>
      <c r="D39" s="50">
        <f>IF(B39&lt;='VALOR POR PL'!$P$5,0,IF($K$16="MDO PREVISION + MATERIAL PREMISSA",R39+U39,IF($K$17&gt;0,$K$18*P39/$K$17,0)))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RESUMO'!AL38</f>
        <v/>
      </c>
      <c r="N39" s="128">
        <f>MAX(0,M39-M38)</f>
        <v/>
      </c>
      <c r="O39" s="127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50">
        <f>IF(OR(B39&lt;='VALOR POR PL'!$P$5,$K$12=0),0,$K$18*$K$26*N39/$K$12)</f>
        <v/>
      </c>
      <c r="S39" s="128">
        <f>(IF(AND(35+$K$33&gt;=1,35+$K$33&lt;=72),INDEX($N$5:$N$76,35+$K$33),0)+IF(AND(35+$K$34&gt;=1,35+$K$34&lt;=72),INDEX($N$5:$N$76,35+$K$34),0)+IF(AND(35+$K$35&gt;=1,35+$K$35&lt;=72),INDEX($N$5:$N$76,35+$K$35),0))/3</f>
        <v/>
      </c>
      <c r="T39" s="128">
        <f>IF(B39&lt;='VALOR POR PL'!$P$5,0,S39+IF(B39=DATE(YEAR('VALOR POR PL'!$P$5),MONTH('VALOR POR PL'!$P$5)+1,1),SUMPRODUCT((B5:B76&lt;='VALOR POR PL'!$P$5)*S5:S76),0))</f>
        <v/>
      </c>
      <c r="U39" s="50">
        <f>IF($K$32=0,0,$K$18*$K$27*T39/$K$32)</f>
        <v/>
      </c>
    </row>
    <row r="40">
      <c r="B40" s="129">
        <f>DATE(YEAR(B39),MONTH(B39)+1,1)</f>
        <v/>
      </c>
      <c r="C40" s="63">
        <f>'DADOS HISTORICOS'!AM38</f>
        <v/>
      </c>
      <c r="D40" s="50">
        <f>IF(B40&lt;='VALOR POR PL'!$P$5,0,IF($K$16="MDO PREVISION + MATERIAL PREMISSA",R40+U40,IF($K$17&gt;0,$K$18*P40/$K$17,0)))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RESUMO'!AM38</f>
        <v/>
      </c>
      <c r="N40" s="128">
        <f>MAX(0,M40-M39)</f>
        <v/>
      </c>
      <c r="O40" s="127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50">
        <f>IF(OR(B40&lt;='VALOR POR PL'!$P$5,$K$12=0),0,$K$18*$K$26*N40/$K$12)</f>
        <v/>
      </c>
      <c r="S40" s="128">
        <f>(IF(AND(36+$K$33&gt;=1,36+$K$33&lt;=72),INDEX($N$5:$N$76,36+$K$33),0)+IF(AND(36+$K$34&gt;=1,36+$K$34&lt;=72),INDEX($N$5:$N$76,36+$K$34),0)+IF(AND(36+$K$35&gt;=1,36+$K$35&lt;=72),INDEX($N$5:$N$76,36+$K$35),0))/3</f>
        <v/>
      </c>
      <c r="T40" s="128">
        <f>IF(B40&lt;='VALOR POR PL'!$P$5,0,S40+IF(B40=DATE(YEAR('VALOR POR PL'!$P$5),MONTH('VALOR POR PL'!$P$5)+1,1),SUMPRODUCT((B5:B76&lt;='VALOR POR PL'!$P$5)*S5:S76),0))</f>
        <v/>
      </c>
      <c r="U40" s="50">
        <f>IF($K$32=0,0,$K$18*$K$27*T40/$K$32)</f>
        <v/>
      </c>
    </row>
    <row r="41">
      <c r="B41" s="129">
        <f>DATE(YEAR(B40),MONTH(B40)+1,1)</f>
        <v/>
      </c>
      <c r="C41" s="63">
        <f>'DADOS HISTORICOS'!AN38</f>
        <v/>
      </c>
      <c r="D41" s="50">
        <f>IF(B41&lt;='VALOR POR PL'!$P$5,0,IF($K$16="MDO PREVISION + MATERIAL PREMISSA",R41+U41,IF($K$17&gt;0,$K$18*P41/$K$17,0)))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RESUMO'!AN38</f>
        <v/>
      </c>
      <c r="N41" s="128">
        <f>MAX(0,M41-M40)</f>
        <v/>
      </c>
      <c r="O41" s="127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50">
        <f>IF(OR(B41&lt;='VALOR POR PL'!$P$5,$K$12=0),0,$K$18*$K$26*N41/$K$12)</f>
        <v/>
      </c>
      <c r="S41" s="128">
        <f>(IF(AND(37+$K$33&gt;=1,37+$K$33&lt;=72),INDEX($N$5:$N$76,37+$K$33),0)+IF(AND(37+$K$34&gt;=1,37+$K$34&lt;=72),INDEX($N$5:$N$76,37+$K$34),0)+IF(AND(37+$K$35&gt;=1,37+$K$35&lt;=72),INDEX($N$5:$N$76,37+$K$35),0))/3</f>
        <v/>
      </c>
      <c r="T41" s="128">
        <f>IF(B41&lt;='VALOR POR PL'!$P$5,0,S41+IF(B41=DATE(YEAR('VALOR POR PL'!$P$5),MONTH('VALOR POR PL'!$P$5)+1,1),SUMPRODUCT((B5:B76&lt;='VALOR POR PL'!$P$5)*S5:S76),0))</f>
        <v/>
      </c>
      <c r="U41" s="50">
        <f>IF($K$32=0,0,$K$18*$K$27*T41/$K$32)</f>
        <v/>
      </c>
    </row>
    <row r="42">
      <c r="B42" s="129">
        <f>DATE(YEAR(B41),MONTH(B41)+1,1)</f>
        <v/>
      </c>
      <c r="C42" s="63">
        <f>'DADOS HISTORICOS'!AO38</f>
        <v/>
      </c>
      <c r="D42" s="50">
        <f>IF(B42&lt;='VALOR POR PL'!$P$5,0,IF($K$16="MDO PREVISION + MATERIAL PREMISSA",R42+U42,IF($K$17&gt;0,$K$18*P42/$K$17,0)))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RESUMO'!AO38</f>
        <v/>
      </c>
      <c r="N42" s="128">
        <f>MAX(0,M42-M41)</f>
        <v/>
      </c>
      <c r="O42" s="127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50">
        <f>IF(OR(B42&lt;='VALOR POR PL'!$P$5,$K$12=0),0,$K$18*$K$26*N42/$K$12)</f>
        <v/>
      </c>
      <c r="S42" s="128">
        <f>(IF(AND(38+$K$33&gt;=1,38+$K$33&lt;=72),INDEX($N$5:$N$76,38+$K$33),0)+IF(AND(38+$K$34&gt;=1,38+$K$34&lt;=72),INDEX($N$5:$N$76,38+$K$34),0)+IF(AND(38+$K$35&gt;=1,38+$K$35&lt;=72),INDEX($N$5:$N$76,38+$K$35),0))/3</f>
        <v/>
      </c>
      <c r="T42" s="128">
        <f>IF(B42&lt;='VALOR POR PL'!$P$5,0,S42+IF(B42=DATE(YEAR('VALOR POR PL'!$P$5),MONTH('VALOR POR PL'!$P$5)+1,1),SUMPRODUCT((B5:B76&lt;='VALOR POR PL'!$P$5)*S5:S76),0))</f>
        <v/>
      </c>
      <c r="U42" s="50">
        <f>IF($K$32=0,0,$K$18*$K$27*T42/$K$32)</f>
        <v/>
      </c>
    </row>
    <row r="43">
      <c r="B43" s="129">
        <f>DATE(YEAR(B42),MONTH(B42)+1,1)</f>
        <v/>
      </c>
      <c r="C43" s="63">
        <f>'DADOS HISTORICOS'!AP38</f>
        <v/>
      </c>
      <c r="D43" s="50">
        <f>IF(B43&lt;='VALOR POR PL'!$P$5,0,IF($K$16="MDO PREVISION + MATERIAL PREMISSA",R43+U43,IF($K$17&gt;0,$K$18*P43/$K$17,0)))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RESUMO'!AP38</f>
        <v/>
      </c>
      <c r="N43" s="128">
        <f>MAX(0,M43-M42)</f>
        <v/>
      </c>
      <c r="O43" s="127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50">
        <f>IF(OR(B43&lt;='VALOR POR PL'!$P$5,$K$12=0),0,$K$18*$K$26*N43/$K$12)</f>
        <v/>
      </c>
      <c r="S43" s="128">
        <f>(IF(AND(39+$K$33&gt;=1,39+$K$33&lt;=72),INDEX($N$5:$N$76,39+$K$33),0)+IF(AND(39+$K$34&gt;=1,39+$K$34&lt;=72),INDEX($N$5:$N$76,39+$K$34),0)+IF(AND(39+$K$35&gt;=1,39+$K$35&lt;=72),INDEX($N$5:$N$76,39+$K$35),0))/3</f>
        <v/>
      </c>
      <c r="T43" s="128">
        <f>IF(B43&lt;='VALOR POR PL'!$P$5,0,S43+IF(B43=DATE(YEAR('VALOR POR PL'!$P$5),MONTH('VALOR POR PL'!$P$5)+1,1),SUMPRODUCT((B5:B76&lt;='VALOR POR PL'!$P$5)*S5:S76),0))</f>
        <v/>
      </c>
      <c r="U43" s="50">
        <f>IF($K$32=0,0,$K$18*$K$27*T43/$K$32)</f>
        <v/>
      </c>
    </row>
    <row r="44">
      <c r="B44" s="129">
        <f>DATE(YEAR(B43),MONTH(B43)+1,1)</f>
        <v/>
      </c>
      <c r="C44" s="63">
        <f>'DADOS HISTORICOS'!AQ38</f>
        <v/>
      </c>
      <c r="D44" s="50">
        <f>IF(B44&lt;='VALOR POR PL'!$P$5,0,IF($K$16="MDO PREVISION + MATERIAL PREMISSA",R44+U44,IF($K$17&gt;0,$K$18*P44/$K$17,0)))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RESUMO'!AQ38</f>
        <v/>
      </c>
      <c r="N44" s="128">
        <f>MAX(0,M44-M43)</f>
        <v/>
      </c>
      <c r="O44" s="127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50">
        <f>IF(OR(B44&lt;='VALOR POR PL'!$P$5,$K$12=0),0,$K$18*$K$26*N44/$K$12)</f>
        <v/>
      </c>
      <c r="S44" s="128">
        <f>(IF(AND(40+$K$33&gt;=1,40+$K$33&lt;=72),INDEX($N$5:$N$76,40+$K$33),0)+IF(AND(40+$K$34&gt;=1,40+$K$34&lt;=72),INDEX($N$5:$N$76,40+$K$34),0)+IF(AND(40+$K$35&gt;=1,40+$K$35&lt;=72),INDEX($N$5:$N$76,40+$K$35),0))/3</f>
        <v/>
      </c>
      <c r="T44" s="128">
        <f>IF(B44&lt;='VALOR POR PL'!$P$5,0,S44+IF(B44=DATE(YEAR('VALOR POR PL'!$P$5),MONTH('VALOR POR PL'!$P$5)+1,1),SUMPRODUCT((B5:B76&lt;='VALOR POR PL'!$P$5)*S5:S76),0))</f>
        <v/>
      </c>
      <c r="U44" s="50">
        <f>IF($K$32=0,0,$K$18*$K$27*T44/$K$32)</f>
        <v/>
      </c>
    </row>
    <row r="45">
      <c r="B45" s="129">
        <f>DATE(YEAR(B44),MONTH(B44)+1,1)</f>
        <v/>
      </c>
      <c r="C45" s="63">
        <f>'DADOS HISTORICOS'!AR38</f>
        <v/>
      </c>
      <c r="D45" s="50">
        <f>IF(B45&lt;='VALOR POR PL'!$P$5,0,IF($K$16="MDO PREVISION + MATERIAL PREMISSA",R45+U45,IF($K$17&gt;0,$K$18*P45/$K$17,0)))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RESUMO'!AR38</f>
        <v/>
      </c>
      <c r="N45" s="128">
        <f>MAX(0,M45-M44)</f>
        <v/>
      </c>
      <c r="O45" s="127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50">
        <f>IF(OR(B45&lt;='VALOR POR PL'!$P$5,$K$12=0),0,$K$18*$K$26*N45/$K$12)</f>
        <v/>
      </c>
      <c r="S45" s="128">
        <f>(IF(AND(41+$K$33&gt;=1,41+$K$33&lt;=72),INDEX($N$5:$N$76,41+$K$33),0)+IF(AND(41+$K$34&gt;=1,41+$K$34&lt;=72),INDEX($N$5:$N$76,41+$K$34),0)+IF(AND(41+$K$35&gt;=1,41+$K$35&lt;=72),INDEX($N$5:$N$76,41+$K$35),0))/3</f>
        <v/>
      </c>
      <c r="T45" s="128">
        <f>IF(B45&lt;='VALOR POR PL'!$P$5,0,S45+IF(B45=DATE(YEAR('VALOR POR PL'!$P$5),MONTH('VALOR POR PL'!$P$5)+1,1),SUMPRODUCT((B5:B76&lt;='VALOR POR PL'!$P$5)*S5:S76),0))</f>
        <v/>
      </c>
      <c r="U45" s="50">
        <f>IF($K$32=0,0,$K$18*$K$27*T45/$K$32)</f>
        <v/>
      </c>
    </row>
    <row r="46">
      <c r="B46" s="129">
        <f>DATE(YEAR(B45),MONTH(B45)+1,1)</f>
        <v/>
      </c>
      <c r="C46" s="63">
        <f>'DADOS HISTORICOS'!AS38</f>
        <v/>
      </c>
      <c r="D46" s="50">
        <f>IF(B46&lt;='VALOR POR PL'!$P$5,0,IF($K$16="MDO PREVISION + MATERIAL PREMISSA",R46+U46,IF($K$17&gt;0,$K$18*P46/$K$17,0)))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RESUMO'!AS38</f>
        <v/>
      </c>
      <c r="N46" s="128">
        <f>MAX(0,M46-M45)</f>
        <v/>
      </c>
      <c r="O46" s="127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50">
        <f>IF(OR(B46&lt;='VALOR POR PL'!$P$5,$K$12=0),0,$K$18*$K$26*N46/$K$12)</f>
        <v/>
      </c>
      <c r="S46" s="128">
        <f>(IF(AND(42+$K$33&gt;=1,42+$K$33&lt;=72),INDEX($N$5:$N$76,42+$K$33),0)+IF(AND(42+$K$34&gt;=1,42+$K$34&lt;=72),INDEX($N$5:$N$76,42+$K$34),0)+IF(AND(42+$K$35&gt;=1,42+$K$35&lt;=72),INDEX($N$5:$N$76,42+$K$35),0))/3</f>
        <v/>
      </c>
      <c r="T46" s="128">
        <f>IF(B46&lt;='VALOR POR PL'!$P$5,0,S46+IF(B46=DATE(YEAR('VALOR POR PL'!$P$5),MONTH('VALOR POR PL'!$P$5)+1,1),SUMPRODUCT((B5:B76&lt;='VALOR POR PL'!$P$5)*S5:S76),0))</f>
        <v/>
      </c>
      <c r="U46" s="50">
        <f>IF($K$32=0,0,$K$18*$K$27*T46/$K$32)</f>
        <v/>
      </c>
    </row>
    <row r="47">
      <c r="B47" s="129">
        <f>DATE(YEAR(B46),MONTH(B46)+1,1)</f>
        <v/>
      </c>
      <c r="C47" s="63">
        <f>'DADOS HISTORICOS'!AT38</f>
        <v/>
      </c>
      <c r="D47" s="50">
        <f>IF(B47&lt;='VALOR POR PL'!$P$5,0,IF($K$16="MDO PREVISION + MATERIAL PREMISSA",R47+U47,IF($K$17&gt;0,$K$18*P47/$K$17,0)))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RESUMO'!AT38</f>
        <v/>
      </c>
      <c r="N47" s="128">
        <f>MAX(0,M47-M46)</f>
        <v/>
      </c>
      <c r="O47" s="127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50">
        <f>IF(OR(B47&lt;='VALOR POR PL'!$P$5,$K$12=0),0,$K$18*$K$26*N47/$K$12)</f>
        <v/>
      </c>
      <c r="S47" s="128">
        <f>(IF(AND(43+$K$33&gt;=1,43+$K$33&lt;=72),INDEX($N$5:$N$76,43+$K$33),0)+IF(AND(43+$K$34&gt;=1,43+$K$34&lt;=72),INDEX($N$5:$N$76,43+$K$34),0)+IF(AND(43+$K$35&gt;=1,43+$K$35&lt;=72),INDEX($N$5:$N$76,43+$K$35),0))/3</f>
        <v/>
      </c>
      <c r="T47" s="128">
        <f>IF(B47&lt;='VALOR POR PL'!$P$5,0,S47+IF(B47=DATE(YEAR('VALOR POR PL'!$P$5),MONTH('VALOR POR PL'!$P$5)+1,1),SUMPRODUCT((B5:B76&lt;='VALOR POR PL'!$P$5)*S5:S76),0))</f>
        <v/>
      </c>
      <c r="U47" s="50">
        <f>IF($K$32=0,0,$K$18*$K$27*T47/$K$32)</f>
        <v/>
      </c>
    </row>
    <row r="48">
      <c r="B48" s="129">
        <f>DATE(YEAR(B47),MONTH(B47)+1,1)</f>
        <v/>
      </c>
      <c r="C48" s="63">
        <f>'DADOS HISTORICOS'!AU38</f>
        <v/>
      </c>
      <c r="D48" s="50">
        <f>IF(B48&lt;='VALOR POR PL'!$P$5,0,IF($K$16="MDO PREVISION + MATERIAL PREMISSA",R48+U48,IF($K$17&gt;0,$K$18*P48/$K$17,0)))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RESUMO'!AU38</f>
        <v/>
      </c>
      <c r="N48" s="128">
        <f>MAX(0,M48-M47)</f>
        <v/>
      </c>
      <c r="O48" s="127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50">
        <f>IF(OR(B48&lt;='VALOR POR PL'!$P$5,$K$12=0),0,$K$18*$K$26*N48/$K$12)</f>
        <v/>
      </c>
      <c r="S48" s="128">
        <f>(IF(AND(44+$K$33&gt;=1,44+$K$33&lt;=72),INDEX($N$5:$N$76,44+$K$33),0)+IF(AND(44+$K$34&gt;=1,44+$K$34&lt;=72),INDEX($N$5:$N$76,44+$K$34),0)+IF(AND(44+$K$35&gt;=1,44+$K$35&lt;=72),INDEX($N$5:$N$76,44+$K$35),0))/3</f>
        <v/>
      </c>
      <c r="T48" s="128">
        <f>IF(B48&lt;='VALOR POR PL'!$P$5,0,S48+IF(B48=DATE(YEAR('VALOR POR PL'!$P$5),MONTH('VALOR POR PL'!$P$5)+1,1),SUMPRODUCT((B5:B76&lt;='VALOR POR PL'!$P$5)*S5:S76),0))</f>
        <v/>
      </c>
      <c r="U48" s="50">
        <f>IF($K$32=0,0,$K$18*$K$27*T48/$K$32)</f>
        <v/>
      </c>
    </row>
    <row r="49">
      <c r="B49" s="129">
        <f>DATE(YEAR(B48),MONTH(B48)+1,1)</f>
        <v/>
      </c>
      <c r="C49" s="63">
        <f>'DADOS HISTORICOS'!AV38</f>
        <v/>
      </c>
      <c r="D49" s="50">
        <f>IF(B49&lt;='VALOR POR PL'!$P$5,0,IF($K$16="MDO PREVISION + MATERIAL PREMISSA",R49+U49,IF($K$17&gt;0,$K$18*P49/$K$17,0)))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RESUMO'!AV38</f>
        <v/>
      </c>
      <c r="N49" s="128">
        <f>MAX(0,M49-M48)</f>
        <v/>
      </c>
      <c r="O49" s="127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50">
        <f>IF(OR(B49&lt;='VALOR POR PL'!$P$5,$K$12=0),0,$K$18*$K$26*N49/$K$12)</f>
        <v/>
      </c>
      <c r="S49" s="128">
        <f>(IF(AND(45+$K$33&gt;=1,45+$K$33&lt;=72),INDEX($N$5:$N$76,45+$K$33),0)+IF(AND(45+$K$34&gt;=1,45+$K$34&lt;=72),INDEX($N$5:$N$76,45+$K$34),0)+IF(AND(45+$K$35&gt;=1,45+$K$35&lt;=72),INDEX($N$5:$N$76,45+$K$35),0))/3</f>
        <v/>
      </c>
      <c r="T49" s="128">
        <f>IF(B49&lt;='VALOR POR PL'!$P$5,0,S49+IF(B49=DATE(YEAR('VALOR POR PL'!$P$5),MONTH('VALOR POR PL'!$P$5)+1,1),SUMPRODUCT((B5:B76&lt;='VALOR POR PL'!$P$5)*S5:S76),0))</f>
        <v/>
      </c>
      <c r="U49" s="50">
        <f>IF($K$32=0,0,$K$18*$K$27*T49/$K$32)</f>
        <v/>
      </c>
    </row>
    <row r="50">
      <c r="B50" s="129">
        <f>DATE(YEAR(B49),MONTH(B49)+1,1)</f>
        <v/>
      </c>
      <c r="C50" s="63">
        <f>'DADOS HISTORICOS'!AW38</f>
        <v/>
      </c>
      <c r="D50" s="50">
        <f>IF(B50&lt;='VALOR POR PL'!$P$5,0,IF($K$16="MDO PREVISION + MATERIAL PREMISSA",R50+U50,IF($K$17&gt;0,$K$18*P50/$K$17,0)))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RESUMO'!AW38</f>
        <v/>
      </c>
      <c r="N50" s="128">
        <f>MAX(0,M50-M49)</f>
        <v/>
      </c>
      <c r="O50" s="127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50">
        <f>IF(OR(B50&lt;='VALOR POR PL'!$P$5,$K$12=0),0,$K$18*$K$26*N50/$K$12)</f>
        <v/>
      </c>
      <c r="S50" s="128">
        <f>(IF(AND(46+$K$33&gt;=1,46+$K$33&lt;=72),INDEX($N$5:$N$76,46+$K$33),0)+IF(AND(46+$K$34&gt;=1,46+$K$34&lt;=72),INDEX($N$5:$N$76,46+$K$34),0)+IF(AND(46+$K$35&gt;=1,46+$K$35&lt;=72),INDEX($N$5:$N$76,46+$K$35),0))/3</f>
        <v/>
      </c>
      <c r="T50" s="128">
        <f>IF(B50&lt;='VALOR POR PL'!$P$5,0,S50+IF(B50=DATE(YEAR('VALOR POR PL'!$P$5),MONTH('VALOR POR PL'!$P$5)+1,1),SUMPRODUCT((B5:B76&lt;='VALOR POR PL'!$P$5)*S5:S76),0))</f>
        <v/>
      </c>
      <c r="U50" s="50">
        <f>IF($K$32=0,0,$K$18*$K$27*T50/$K$32)</f>
        <v/>
      </c>
    </row>
    <row r="51">
      <c r="B51" s="129">
        <f>DATE(YEAR(B50),MONTH(B50)+1,1)</f>
        <v/>
      </c>
      <c r="C51" s="63">
        <f>'DADOS HISTORICOS'!AX38</f>
        <v/>
      </c>
      <c r="D51" s="50">
        <f>IF(B51&lt;='VALOR POR PL'!$P$5,0,IF($K$16="MDO PREVISION + MATERIAL PREMISSA",R51+U51,IF($K$17&gt;0,$K$18*P51/$K$17,0)))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RESUMO'!AX38</f>
        <v/>
      </c>
      <c r="N51" s="128">
        <f>MAX(0,M51-M50)</f>
        <v/>
      </c>
      <c r="O51" s="127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50">
        <f>IF(OR(B51&lt;='VALOR POR PL'!$P$5,$K$12=0),0,$K$18*$K$26*N51/$K$12)</f>
        <v/>
      </c>
      <c r="S51" s="128">
        <f>(IF(AND(47+$K$33&gt;=1,47+$K$33&lt;=72),INDEX($N$5:$N$76,47+$K$33),0)+IF(AND(47+$K$34&gt;=1,47+$K$34&lt;=72),INDEX($N$5:$N$76,47+$K$34),0)+IF(AND(47+$K$35&gt;=1,47+$K$35&lt;=72),INDEX($N$5:$N$76,47+$K$35),0))/3</f>
        <v/>
      </c>
      <c r="T51" s="128">
        <f>IF(B51&lt;='VALOR POR PL'!$P$5,0,S51+IF(B51=DATE(YEAR('VALOR POR PL'!$P$5),MONTH('VALOR POR PL'!$P$5)+1,1),SUMPRODUCT((B5:B76&lt;='VALOR POR PL'!$P$5)*S5:S76),0))</f>
        <v/>
      </c>
      <c r="U51" s="50">
        <f>IF($K$32=0,0,$K$18*$K$27*T51/$K$32)</f>
        <v/>
      </c>
    </row>
    <row r="52">
      <c r="B52" s="129">
        <f>DATE(YEAR(B51),MONTH(B51)+1,1)</f>
        <v/>
      </c>
      <c r="C52" s="63">
        <f>'DADOS HISTORICOS'!AY38</f>
        <v/>
      </c>
      <c r="D52" s="50">
        <f>IF(B52&lt;='VALOR POR PL'!$P$5,0,IF($K$16="MDO PREVISION + MATERIAL PREMISSA",R52+U52,IF($K$17&gt;0,$K$18*P52/$K$17,0)))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RESUMO'!AY38</f>
        <v/>
      </c>
      <c r="N52" s="128">
        <f>MAX(0,M52-M51)</f>
        <v/>
      </c>
      <c r="O52" s="127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50">
        <f>IF(OR(B52&lt;='VALOR POR PL'!$P$5,$K$12=0),0,$K$18*$K$26*N52/$K$12)</f>
        <v/>
      </c>
      <c r="S52" s="128">
        <f>(IF(AND(48+$K$33&gt;=1,48+$K$33&lt;=72),INDEX($N$5:$N$76,48+$K$33),0)+IF(AND(48+$K$34&gt;=1,48+$K$34&lt;=72),INDEX($N$5:$N$76,48+$K$34),0)+IF(AND(48+$K$35&gt;=1,48+$K$35&lt;=72),INDEX($N$5:$N$76,48+$K$35),0))/3</f>
        <v/>
      </c>
      <c r="T52" s="128">
        <f>IF(B52&lt;='VALOR POR PL'!$P$5,0,S52+IF(B52=DATE(YEAR('VALOR POR PL'!$P$5),MONTH('VALOR POR PL'!$P$5)+1,1),SUMPRODUCT((B5:B76&lt;='VALOR POR PL'!$P$5)*S5:S76),0))</f>
        <v/>
      </c>
      <c r="U52" s="50">
        <f>IF($K$32=0,0,$K$18*$K$27*T52/$K$32)</f>
        <v/>
      </c>
    </row>
    <row r="53">
      <c r="B53" s="129">
        <f>DATE(YEAR(B52),MONTH(B52)+1,1)</f>
        <v/>
      </c>
      <c r="C53" s="63">
        <f>'DADOS HISTORICOS'!AZ38</f>
        <v/>
      </c>
      <c r="D53" s="50">
        <f>IF(B53&lt;='VALOR POR PL'!$P$5,0,IF($K$16="MDO PREVISION + MATERIAL PREMISSA",R53+U53,IF($K$17&gt;0,$K$18*P53/$K$17,0)))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RESUMO'!AZ38</f>
        <v/>
      </c>
      <c r="N53" s="128">
        <f>MAX(0,M53-M52)</f>
        <v/>
      </c>
      <c r="O53" s="127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50">
        <f>IF(OR(B53&lt;='VALOR POR PL'!$P$5,$K$12=0),0,$K$18*$K$26*N53/$K$12)</f>
        <v/>
      </c>
      <c r="S53" s="128">
        <f>(IF(AND(49+$K$33&gt;=1,49+$K$33&lt;=72),INDEX($N$5:$N$76,49+$K$33),0)+IF(AND(49+$K$34&gt;=1,49+$K$34&lt;=72),INDEX($N$5:$N$76,49+$K$34),0)+IF(AND(49+$K$35&gt;=1,49+$K$35&lt;=72),INDEX($N$5:$N$76,49+$K$35),0))/3</f>
        <v/>
      </c>
      <c r="T53" s="128">
        <f>IF(B53&lt;='VALOR POR PL'!$P$5,0,S53+IF(B53=DATE(YEAR('VALOR POR PL'!$P$5),MONTH('VALOR POR PL'!$P$5)+1,1),SUMPRODUCT((B5:B76&lt;='VALOR POR PL'!$P$5)*S5:S76),0))</f>
        <v/>
      </c>
      <c r="U53" s="50">
        <f>IF($K$32=0,0,$K$18*$K$27*T53/$K$32)</f>
        <v/>
      </c>
    </row>
    <row r="54">
      <c r="B54" s="129">
        <f>DATE(YEAR(B53),MONTH(B53)+1,1)</f>
        <v/>
      </c>
      <c r="C54" s="63">
        <f>'DADOS HISTORICOS'!BA38</f>
        <v/>
      </c>
      <c r="D54" s="50">
        <f>IF(B54&lt;='VALOR POR PL'!$P$5,0,IF($K$16="MDO PREVISION + MATERIAL PREMISSA",R54+U54,IF($K$17&gt;0,$K$18*P54/$K$17,0)))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RESUMO'!BA38</f>
        <v/>
      </c>
      <c r="N54" s="128">
        <f>MAX(0,M54-M53)</f>
        <v/>
      </c>
      <c r="O54" s="127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50">
        <f>IF(OR(B54&lt;='VALOR POR PL'!$P$5,$K$12=0),0,$K$18*$K$26*N54/$K$12)</f>
        <v/>
      </c>
      <c r="S54" s="128">
        <f>(IF(AND(50+$K$33&gt;=1,50+$K$33&lt;=72),INDEX($N$5:$N$76,50+$K$33),0)+IF(AND(50+$K$34&gt;=1,50+$K$34&lt;=72),INDEX($N$5:$N$76,50+$K$34),0)+IF(AND(50+$K$35&gt;=1,50+$K$35&lt;=72),INDEX($N$5:$N$76,50+$K$35),0))/3</f>
        <v/>
      </c>
      <c r="T54" s="128">
        <f>IF(B54&lt;='VALOR POR PL'!$P$5,0,S54+IF(B54=DATE(YEAR('VALOR POR PL'!$P$5),MONTH('VALOR POR PL'!$P$5)+1,1),SUMPRODUCT((B5:B76&lt;='VALOR POR PL'!$P$5)*S5:S76),0))</f>
        <v/>
      </c>
      <c r="U54" s="50">
        <f>IF($K$32=0,0,$K$18*$K$27*T54/$K$32)</f>
        <v/>
      </c>
    </row>
    <row r="55">
      <c r="B55" s="129">
        <f>DATE(YEAR(B54),MONTH(B54)+1,1)</f>
        <v/>
      </c>
      <c r="C55" s="63">
        <f>'DADOS HISTORICOS'!BB38</f>
        <v/>
      </c>
      <c r="D55" s="50">
        <f>IF(B55&lt;='VALOR POR PL'!$P$5,0,IF($K$16="MDO PREVISION + MATERIAL PREMISSA",R55+U55,IF($K$17&gt;0,$K$18*P55/$K$17,0)))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RESUMO'!BB38</f>
        <v/>
      </c>
      <c r="N55" s="128">
        <f>MAX(0,M55-M54)</f>
        <v/>
      </c>
      <c r="O55" s="127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50">
        <f>IF(OR(B55&lt;='VALOR POR PL'!$P$5,$K$12=0),0,$K$18*$K$26*N55/$K$12)</f>
        <v/>
      </c>
      <c r="S55" s="128">
        <f>(IF(AND(51+$K$33&gt;=1,51+$K$33&lt;=72),INDEX($N$5:$N$76,51+$K$33),0)+IF(AND(51+$K$34&gt;=1,51+$K$34&lt;=72),INDEX($N$5:$N$76,51+$K$34),0)+IF(AND(51+$K$35&gt;=1,51+$K$35&lt;=72),INDEX($N$5:$N$76,51+$K$35),0))/3</f>
        <v/>
      </c>
      <c r="T55" s="128">
        <f>IF(B55&lt;='VALOR POR PL'!$P$5,0,S55+IF(B55=DATE(YEAR('VALOR POR PL'!$P$5),MONTH('VALOR POR PL'!$P$5)+1,1),SUMPRODUCT((B5:B76&lt;='VALOR POR PL'!$P$5)*S5:S76),0))</f>
        <v/>
      </c>
      <c r="U55" s="50">
        <f>IF($K$32=0,0,$K$18*$K$27*T55/$K$32)</f>
        <v/>
      </c>
    </row>
    <row r="56">
      <c r="B56" s="129">
        <f>DATE(YEAR(B55),MONTH(B55)+1,1)</f>
        <v/>
      </c>
      <c r="C56" s="63">
        <f>'DADOS HISTORICOS'!BC38</f>
        <v/>
      </c>
      <c r="D56" s="50">
        <f>IF(B56&lt;='VALOR POR PL'!$P$5,0,IF($K$16="MDO PREVISION + MATERIAL PREMISSA",R56+U56,IF($K$17&gt;0,$K$18*P56/$K$17,0)))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RESUMO'!BC38</f>
        <v/>
      </c>
      <c r="N56" s="128">
        <f>MAX(0,M56-M55)</f>
        <v/>
      </c>
      <c r="O56" s="127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50">
        <f>IF(OR(B56&lt;='VALOR POR PL'!$P$5,$K$12=0),0,$K$18*$K$26*N56/$K$12)</f>
        <v/>
      </c>
      <c r="S56" s="128">
        <f>(IF(AND(52+$K$33&gt;=1,52+$K$33&lt;=72),INDEX($N$5:$N$76,52+$K$33),0)+IF(AND(52+$K$34&gt;=1,52+$K$34&lt;=72),INDEX($N$5:$N$76,52+$K$34),0)+IF(AND(52+$K$35&gt;=1,52+$K$35&lt;=72),INDEX($N$5:$N$76,52+$K$35),0))/3</f>
        <v/>
      </c>
      <c r="T56" s="128">
        <f>IF(B56&lt;='VALOR POR PL'!$P$5,0,S56+IF(B56=DATE(YEAR('VALOR POR PL'!$P$5),MONTH('VALOR POR PL'!$P$5)+1,1),SUMPRODUCT((B5:B76&lt;='VALOR POR PL'!$P$5)*S5:S76),0))</f>
        <v/>
      </c>
      <c r="U56" s="50">
        <f>IF($K$32=0,0,$K$18*$K$27*T56/$K$32)</f>
        <v/>
      </c>
    </row>
    <row r="57">
      <c r="B57" s="129">
        <f>DATE(YEAR(B56),MONTH(B56)+1,1)</f>
        <v/>
      </c>
      <c r="C57" s="63">
        <f>'DADOS HISTORICOS'!BD38</f>
        <v/>
      </c>
      <c r="D57" s="50">
        <f>IF(B57&lt;='VALOR POR PL'!$P$5,0,IF($K$16="MDO PREVISION + MATERIAL PREMISSA",R57+U57,IF($K$17&gt;0,$K$18*P57/$K$17,0)))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RESUMO'!BD38</f>
        <v/>
      </c>
      <c r="N57" s="128">
        <f>MAX(0,M57-M56)</f>
        <v/>
      </c>
      <c r="O57" s="127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50">
        <f>IF(OR(B57&lt;='VALOR POR PL'!$P$5,$K$12=0),0,$K$18*$K$26*N57/$K$12)</f>
        <v/>
      </c>
      <c r="S57" s="128">
        <f>(IF(AND(53+$K$33&gt;=1,53+$K$33&lt;=72),INDEX($N$5:$N$76,53+$K$33),0)+IF(AND(53+$K$34&gt;=1,53+$K$34&lt;=72),INDEX($N$5:$N$76,53+$K$34),0)+IF(AND(53+$K$35&gt;=1,53+$K$35&lt;=72),INDEX($N$5:$N$76,53+$K$35),0))/3</f>
        <v/>
      </c>
      <c r="T57" s="128">
        <f>IF(B57&lt;='VALOR POR PL'!$P$5,0,S57+IF(B57=DATE(YEAR('VALOR POR PL'!$P$5),MONTH('VALOR POR PL'!$P$5)+1,1),SUMPRODUCT((B5:B76&lt;='VALOR POR PL'!$P$5)*S5:S76),0))</f>
        <v/>
      </c>
      <c r="U57" s="50">
        <f>IF($K$32=0,0,$K$18*$K$27*T57/$K$32)</f>
        <v/>
      </c>
    </row>
    <row r="58">
      <c r="B58" s="129">
        <f>DATE(YEAR(B57),MONTH(B57)+1,1)</f>
        <v/>
      </c>
      <c r="C58" s="63">
        <f>'DADOS HISTORICOS'!BE38</f>
        <v/>
      </c>
      <c r="D58" s="50">
        <f>IF(B58&lt;='VALOR POR PL'!$P$5,0,IF($K$16="MDO PREVISION + MATERIAL PREMISSA",R58+U58,IF($K$17&gt;0,$K$18*P58/$K$17,0)))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RESUMO'!BE38</f>
        <v/>
      </c>
      <c r="N58" s="128">
        <f>MAX(0,M58-M57)</f>
        <v/>
      </c>
      <c r="O58" s="127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50">
        <f>IF(OR(B58&lt;='VALOR POR PL'!$P$5,$K$12=0),0,$K$18*$K$26*N58/$K$12)</f>
        <v/>
      </c>
      <c r="S58" s="128">
        <f>(IF(AND(54+$K$33&gt;=1,54+$K$33&lt;=72),INDEX($N$5:$N$76,54+$K$33),0)+IF(AND(54+$K$34&gt;=1,54+$K$34&lt;=72),INDEX($N$5:$N$76,54+$K$34),0)+IF(AND(54+$K$35&gt;=1,54+$K$35&lt;=72),INDEX($N$5:$N$76,54+$K$35),0))/3</f>
        <v/>
      </c>
      <c r="T58" s="128">
        <f>IF(B58&lt;='VALOR POR PL'!$P$5,0,S58+IF(B58=DATE(YEAR('VALOR POR PL'!$P$5),MONTH('VALOR POR PL'!$P$5)+1,1),SUMPRODUCT((B5:B76&lt;='VALOR POR PL'!$P$5)*S5:S76),0))</f>
        <v/>
      </c>
      <c r="U58" s="50">
        <f>IF($K$32=0,0,$K$18*$K$27*T58/$K$32)</f>
        <v/>
      </c>
    </row>
    <row r="59">
      <c r="B59" s="129">
        <f>DATE(YEAR(B58),MONTH(B58)+1,1)</f>
        <v/>
      </c>
      <c r="C59" s="63">
        <f>'DADOS HISTORICOS'!BF38</f>
        <v/>
      </c>
      <c r="D59" s="50">
        <f>IF(B59&lt;='VALOR POR PL'!$P$5,0,IF($K$16="MDO PREVISION + MATERIAL PREMISSA",R59+U59,IF($K$17&gt;0,$K$18*P59/$K$17,0)))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RESUMO'!BF38</f>
        <v/>
      </c>
      <c r="N59" s="128">
        <f>MAX(0,M59-M58)</f>
        <v/>
      </c>
      <c r="O59" s="127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50">
        <f>IF(OR(B59&lt;='VALOR POR PL'!$P$5,$K$12=0),0,$K$18*$K$26*N59/$K$12)</f>
        <v/>
      </c>
      <c r="S59" s="128">
        <f>(IF(AND(55+$K$33&gt;=1,55+$K$33&lt;=72),INDEX($N$5:$N$76,55+$K$33),0)+IF(AND(55+$K$34&gt;=1,55+$K$34&lt;=72),INDEX($N$5:$N$76,55+$K$34),0)+IF(AND(55+$K$35&gt;=1,55+$K$35&lt;=72),INDEX($N$5:$N$76,55+$K$35),0))/3</f>
        <v/>
      </c>
      <c r="T59" s="128">
        <f>IF(B59&lt;='VALOR POR PL'!$P$5,0,S59+IF(B59=DATE(YEAR('VALOR POR PL'!$P$5),MONTH('VALOR POR PL'!$P$5)+1,1),SUMPRODUCT((B5:B76&lt;='VALOR POR PL'!$P$5)*S5:S76),0))</f>
        <v/>
      </c>
      <c r="U59" s="50">
        <f>IF($K$32=0,0,$K$18*$K$27*T59/$K$32)</f>
        <v/>
      </c>
    </row>
    <row r="60">
      <c r="B60" s="129">
        <f>DATE(YEAR(B59),MONTH(B59)+1,1)</f>
        <v/>
      </c>
      <c r="C60" s="63">
        <f>'DADOS HISTORICOS'!BG38</f>
        <v/>
      </c>
      <c r="D60" s="50">
        <f>IF(B60&lt;='VALOR POR PL'!$P$5,0,IF($K$16="MDO PREVISION + MATERIAL PREMISSA",R60+U60,IF($K$17&gt;0,$K$18*P60/$K$17,0)))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RESUMO'!BG38</f>
        <v/>
      </c>
      <c r="N60" s="128">
        <f>MAX(0,M60-M59)</f>
        <v/>
      </c>
      <c r="O60" s="127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50">
        <f>IF(OR(B60&lt;='VALOR POR PL'!$P$5,$K$12=0),0,$K$18*$K$26*N60/$K$12)</f>
        <v/>
      </c>
      <c r="S60" s="128">
        <f>(IF(AND(56+$K$33&gt;=1,56+$K$33&lt;=72),INDEX($N$5:$N$76,56+$K$33),0)+IF(AND(56+$K$34&gt;=1,56+$K$34&lt;=72),INDEX($N$5:$N$76,56+$K$34),0)+IF(AND(56+$K$35&gt;=1,56+$K$35&lt;=72),INDEX($N$5:$N$76,56+$K$35),0))/3</f>
        <v/>
      </c>
      <c r="T60" s="128">
        <f>IF(B60&lt;='VALOR POR PL'!$P$5,0,S60+IF(B60=DATE(YEAR('VALOR POR PL'!$P$5),MONTH('VALOR POR PL'!$P$5)+1,1),SUMPRODUCT((B5:B76&lt;='VALOR POR PL'!$P$5)*S5:S76),0))</f>
        <v/>
      </c>
      <c r="U60" s="50">
        <f>IF($K$32=0,0,$K$18*$K$27*T60/$K$32)</f>
        <v/>
      </c>
    </row>
    <row r="61">
      <c r="B61" s="129">
        <f>DATE(YEAR(B60),MONTH(B60)+1,1)</f>
        <v/>
      </c>
      <c r="C61" s="63">
        <f>'DADOS HISTORICOS'!BH38</f>
        <v/>
      </c>
      <c r="D61" s="50">
        <f>IF(B61&lt;='VALOR POR PL'!$P$5,0,IF($K$16="MDO PREVISION + MATERIAL PREMISSA",R61+U61,IF($K$17&gt;0,$K$18*P61/$K$17,0)))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RESUMO'!BH38</f>
        <v/>
      </c>
      <c r="N61" s="128">
        <f>MAX(0,M61-M60)</f>
        <v/>
      </c>
      <c r="O61" s="127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50">
        <f>IF(OR(B61&lt;='VALOR POR PL'!$P$5,$K$12=0),0,$K$18*$K$26*N61/$K$12)</f>
        <v/>
      </c>
      <c r="S61" s="128">
        <f>(IF(AND(57+$K$33&gt;=1,57+$K$33&lt;=72),INDEX($N$5:$N$76,57+$K$33),0)+IF(AND(57+$K$34&gt;=1,57+$K$34&lt;=72),INDEX($N$5:$N$76,57+$K$34),0)+IF(AND(57+$K$35&gt;=1,57+$K$35&lt;=72),INDEX($N$5:$N$76,57+$K$35),0))/3</f>
        <v/>
      </c>
      <c r="T61" s="128">
        <f>IF(B61&lt;='VALOR POR PL'!$P$5,0,S61+IF(B61=DATE(YEAR('VALOR POR PL'!$P$5),MONTH('VALOR POR PL'!$P$5)+1,1),SUMPRODUCT((B5:B76&lt;='VALOR POR PL'!$P$5)*S5:S76),0))</f>
        <v/>
      </c>
      <c r="U61" s="50">
        <f>IF($K$32=0,0,$K$18*$K$27*T61/$K$32)</f>
        <v/>
      </c>
    </row>
    <row r="62">
      <c r="B62" s="129">
        <f>DATE(YEAR(B61),MONTH(B61)+1,1)</f>
        <v/>
      </c>
      <c r="C62" s="63">
        <f>'DADOS HISTORICOS'!BI38</f>
        <v/>
      </c>
      <c r="D62" s="50">
        <f>IF(B62&lt;='VALOR POR PL'!$P$5,0,IF($K$16="MDO PREVISION + MATERIAL PREMISSA",R62+U62,IF($K$17&gt;0,$K$18*P62/$K$17,0)))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RESUMO'!BI38</f>
        <v/>
      </c>
      <c r="N62" s="128">
        <f>MAX(0,M62-M61)</f>
        <v/>
      </c>
      <c r="O62" s="127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50">
        <f>IF(OR(B62&lt;='VALOR POR PL'!$P$5,$K$12=0),0,$K$18*$K$26*N62/$K$12)</f>
        <v/>
      </c>
      <c r="S62" s="128">
        <f>(IF(AND(58+$K$33&gt;=1,58+$K$33&lt;=72),INDEX($N$5:$N$76,58+$K$33),0)+IF(AND(58+$K$34&gt;=1,58+$K$34&lt;=72),INDEX($N$5:$N$76,58+$K$34),0)+IF(AND(58+$K$35&gt;=1,58+$K$35&lt;=72),INDEX($N$5:$N$76,58+$K$35),0))/3</f>
        <v/>
      </c>
      <c r="T62" s="128">
        <f>IF(B62&lt;='VALOR POR PL'!$P$5,0,S62+IF(B62=DATE(YEAR('VALOR POR PL'!$P$5),MONTH('VALOR POR PL'!$P$5)+1,1),SUMPRODUCT((B5:B76&lt;='VALOR POR PL'!$P$5)*S5:S76),0))</f>
        <v/>
      </c>
      <c r="U62" s="50">
        <f>IF($K$32=0,0,$K$18*$K$27*T62/$K$32)</f>
        <v/>
      </c>
    </row>
    <row r="63">
      <c r="B63" s="129">
        <f>DATE(YEAR(B62),MONTH(B62)+1,1)</f>
        <v/>
      </c>
      <c r="C63" s="63">
        <f>'DADOS HISTORICOS'!BJ38</f>
        <v/>
      </c>
      <c r="D63" s="50">
        <f>IF(B63&lt;='VALOR POR PL'!$P$5,0,IF($K$16="MDO PREVISION + MATERIAL PREMISSA",R63+U63,IF($K$17&gt;0,$K$18*P63/$K$17,0)))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RESUMO'!BJ38</f>
        <v/>
      </c>
      <c r="N63" s="128">
        <f>MAX(0,M63-M62)</f>
        <v/>
      </c>
      <c r="O63" s="127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50">
        <f>IF(OR(B63&lt;='VALOR POR PL'!$P$5,$K$12=0),0,$K$18*$K$26*N63/$K$12)</f>
        <v/>
      </c>
      <c r="S63" s="128">
        <f>(IF(AND(59+$K$33&gt;=1,59+$K$33&lt;=72),INDEX($N$5:$N$76,59+$K$33),0)+IF(AND(59+$K$34&gt;=1,59+$K$34&lt;=72),INDEX($N$5:$N$76,59+$K$34),0)+IF(AND(59+$K$35&gt;=1,59+$K$35&lt;=72),INDEX($N$5:$N$76,59+$K$35),0))/3</f>
        <v/>
      </c>
      <c r="T63" s="128">
        <f>IF(B63&lt;='VALOR POR PL'!$P$5,0,S63+IF(B63=DATE(YEAR('VALOR POR PL'!$P$5),MONTH('VALOR POR PL'!$P$5)+1,1),SUMPRODUCT((B5:B76&lt;='VALOR POR PL'!$P$5)*S5:S76),0))</f>
        <v/>
      </c>
      <c r="U63" s="50">
        <f>IF($K$32=0,0,$K$18*$K$27*T63/$K$32)</f>
        <v/>
      </c>
    </row>
    <row r="64">
      <c r="B64" s="129">
        <f>DATE(YEAR(B63),MONTH(B63)+1,1)</f>
        <v/>
      </c>
      <c r="C64" s="63">
        <f>'DADOS HISTORICOS'!BK38</f>
        <v/>
      </c>
      <c r="D64" s="50">
        <f>IF(B64&lt;='VALOR POR PL'!$P$5,0,IF($K$16="MDO PREVISION + MATERIAL PREMISSA",R64+U64,IF($K$17&gt;0,$K$18*P64/$K$17,0)))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RESUMO'!BK38</f>
        <v/>
      </c>
      <c r="N64" s="128">
        <f>MAX(0,M64-M63)</f>
        <v/>
      </c>
      <c r="O64" s="127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50">
        <f>IF(OR(B64&lt;='VALOR POR PL'!$P$5,$K$12=0),0,$K$18*$K$26*N64/$K$12)</f>
        <v/>
      </c>
      <c r="S64" s="128">
        <f>(IF(AND(60+$K$33&gt;=1,60+$K$33&lt;=72),INDEX($N$5:$N$76,60+$K$33),0)+IF(AND(60+$K$34&gt;=1,60+$K$34&lt;=72),INDEX($N$5:$N$76,60+$K$34),0)+IF(AND(60+$K$35&gt;=1,60+$K$35&lt;=72),INDEX($N$5:$N$76,60+$K$35),0))/3</f>
        <v/>
      </c>
      <c r="T64" s="128">
        <f>IF(B64&lt;='VALOR POR PL'!$P$5,0,S64+IF(B64=DATE(YEAR('VALOR POR PL'!$P$5),MONTH('VALOR POR PL'!$P$5)+1,1),SUMPRODUCT((B5:B76&lt;='VALOR POR PL'!$P$5)*S5:S76),0))</f>
        <v/>
      </c>
      <c r="U64" s="50">
        <f>IF($K$32=0,0,$K$18*$K$27*T64/$K$32)</f>
        <v/>
      </c>
    </row>
    <row r="65">
      <c r="B65" s="129">
        <f>DATE(YEAR(B64),MONTH(B64)+1,1)</f>
        <v/>
      </c>
      <c r="C65" s="63">
        <f>'DADOS HISTORICOS'!BL38</f>
        <v/>
      </c>
      <c r="D65" s="50">
        <f>IF(B65&lt;='VALOR POR PL'!$P$5,0,IF($K$16="MDO PREVISION + MATERIAL PREMISSA",R65+U65,IF($K$17&gt;0,$K$18*P65/$K$17,0)))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RESUMO'!BL38</f>
        <v/>
      </c>
      <c r="N65" s="128">
        <f>MAX(0,M65-M64)</f>
        <v/>
      </c>
      <c r="O65" s="127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50">
        <f>IF(OR(B65&lt;='VALOR POR PL'!$P$5,$K$12=0),0,$K$18*$K$26*N65/$K$12)</f>
        <v/>
      </c>
      <c r="S65" s="128">
        <f>(IF(AND(61+$K$33&gt;=1,61+$K$33&lt;=72),INDEX($N$5:$N$76,61+$K$33),0)+IF(AND(61+$K$34&gt;=1,61+$K$34&lt;=72),INDEX($N$5:$N$76,61+$K$34),0)+IF(AND(61+$K$35&gt;=1,61+$K$35&lt;=72),INDEX($N$5:$N$76,61+$K$35),0))/3</f>
        <v/>
      </c>
      <c r="T65" s="128">
        <f>IF(B65&lt;='VALOR POR PL'!$P$5,0,S65+IF(B65=DATE(YEAR('VALOR POR PL'!$P$5),MONTH('VALOR POR PL'!$P$5)+1,1),SUMPRODUCT((B5:B76&lt;='VALOR POR PL'!$P$5)*S5:S76),0))</f>
        <v/>
      </c>
      <c r="U65" s="50">
        <f>IF($K$32=0,0,$K$18*$K$27*T65/$K$32)</f>
        <v/>
      </c>
    </row>
    <row r="66">
      <c r="B66" s="129">
        <f>DATE(YEAR(B65),MONTH(B65)+1,1)</f>
        <v/>
      </c>
      <c r="C66" s="63">
        <f>'DADOS HISTORICOS'!BM38</f>
        <v/>
      </c>
      <c r="D66" s="50">
        <f>IF(B66&lt;='VALOR POR PL'!$P$5,0,IF($K$16="MDO PREVISION + MATERIAL PREMISSA",R66+U66,IF($K$17&gt;0,$K$18*P66/$K$17,0)))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RESUMO'!BM38</f>
        <v/>
      </c>
      <c r="N66" s="128">
        <f>MAX(0,M66-M65)</f>
        <v/>
      </c>
      <c r="O66" s="127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50">
        <f>IF(OR(B66&lt;='VALOR POR PL'!$P$5,$K$12=0),0,$K$18*$K$26*N66/$K$12)</f>
        <v/>
      </c>
      <c r="S66" s="128">
        <f>(IF(AND(62+$K$33&gt;=1,62+$K$33&lt;=72),INDEX($N$5:$N$76,62+$K$33),0)+IF(AND(62+$K$34&gt;=1,62+$K$34&lt;=72),INDEX($N$5:$N$76,62+$K$34),0)+IF(AND(62+$K$35&gt;=1,62+$K$35&lt;=72),INDEX($N$5:$N$76,62+$K$35),0))/3</f>
        <v/>
      </c>
      <c r="T66" s="128">
        <f>IF(B66&lt;='VALOR POR PL'!$P$5,0,S66+IF(B66=DATE(YEAR('VALOR POR PL'!$P$5),MONTH('VALOR POR PL'!$P$5)+1,1),SUMPRODUCT((B5:B76&lt;='VALOR POR PL'!$P$5)*S5:S76),0))</f>
        <v/>
      </c>
      <c r="U66" s="50">
        <f>IF($K$32=0,0,$K$18*$K$27*T66/$K$32)</f>
        <v/>
      </c>
    </row>
    <row r="67">
      <c r="B67" s="129">
        <f>DATE(YEAR(B66),MONTH(B66)+1,1)</f>
        <v/>
      </c>
      <c r="C67" s="63">
        <f>'DADOS HISTORICOS'!BN38</f>
        <v/>
      </c>
      <c r="D67" s="50">
        <f>IF(B67&lt;='VALOR POR PL'!$P$5,0,IF($K$16="MDO PREVISION + MATERIAL PREMISSA",R67+U67,IF($K$17&gt;0,$K$18*P67/$K$17,0)))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RESUMO'!BN38</f>
        <v/>
      </c>
      <c r="N67" s="128">
        <f>MAX(0,M67-M66)</f>
        <v/>
      </c>
      <c r="O67" s="127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50">
        <f>IF(OR(B67&lt;='VALOR POR PL'!$P$5,$K$12=0),0,$K$18*$K$26*N67/$K$12)</f>
        <v/>
      </c>
      <c r="S67" s="128">
        <f>(IF(AND(63+$K$33&gt;=1,63+$K$33&lt;=72),INDEX($N$5:$N$76,63+$K$33),0)+IF(AND(63+$K$34&gt;=1,63+$K$34&lt;=72),INDEX($N$5:$N$76,63+$K$34),0)+IF(AND(63+$K$35&gt;=1,63+$K$35&lt;=72),INDEX($N$5:$N$76,63+$K$35),0))/3</f>
        <v/>
      </c>
      <c r="T67" s="128">
        <f>IF(B67&lt;='VALOR POR PL'!$P$5,0,S67+IF(B67=DATE(YEAR('VALOR POR PL'!$P$5),MONTH('VALOR POR PL'!$P$5)+1,1),SUMPRODUCT((B5:B76&lt;='VALOR POR PL'!$P$5)*S5:S76),0))</f>
        <v/>
      </c>
      <c r="U67" s="50">
        <f>IF($K$32=0,0,$K$18*$K$27*T67/$K$32)</f>
        <v/>
      </c>
    </row>
    <row r="68">
      <c r="B68" s="129">
        <f>DATE(YEAR(B67),MONTH(B67)+1,1)</f>
        <v/>
      </c>
      <c r="C68" s="63">
        <f>'DADOS HISTORICOS'!BO38</f>
        <v/>
      </c>
      <c r="D68" s="50">
        <f>IF(B68&lt;='VALOR POR PL'!$P$5,0,IF($K$16="MDO PREVISION + MATERIAL PREMISSA",R68+U68,IF($K$17&gt;0,$K$18*P68/$K$17,0)))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RESUMO'!BO38</f>
        <v/>
      </c>
      <c r="N68" s="128">
        <f>MAX(0,M68-M67)</f>
        <v/>
      </c>
      <c r="O68" s="127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50">
        <f>IF(OR(B68&lt;='VALOR POR PL'!$P$5,$K$12=0),0,$K$18*$K$26*N68/$K$12)</f>
        <v/>
      </c>
      <c r="S68" s="128">
        <f>(IF(AND(64+$K$33&gt;=1,64+$K$33&lt;=72),INDEX($N$5:$N$76,64+$K$33),0)+IF(AND(64+$K$34&gt;=1,64+$K$34&lt;=72),INDEX($N$5:$N$76,64+$K$34),0)+IF(AND(64+$K$35&gt;=1,64+$K$35&lt;=72),INDEX($N$5:$N$76,64+$K$35),0))/3</f>
        <v/>
      </c>
      <c r="T68" s="128">
        <f>IF(B68&lt;='VALOR POR PL'!$P$5,0,S68+IF(B68=DATE(YEAR('VALOR POR PL'!$P$5),MONTH('VALOR POR PL'!$P$5)+1,1),SUMPRODUCT((B5:B76&lt;='VALOR POR PL'!$P$5)*S5:S76),0))</f>
        <v/>
      </c>
      <c r="U68" s="50">
        <f>IF($K$32=0,0,$K$18*$K$27*T68/$K$32)</f>
        <v/>
      </c>
    </row>
    <row r="69">
      <c r="B69" s="129">
        <f>DATE(YEAR(B68),MONTH(B68)+1,1)</f>
        <v/>
      </c>
      <c r="C69" s="63">
        <f>'DADOS HISTORICOS'!BP38</f>
        <v/>
      </c>
      <c r="D69" s="50">
        <f>IF(B69&lt;='VALOR POR PL'!$P$5,0,IF($K$16="MDO PREVISION + MATERIAL PREMISSA",R69+U69,IF($K$17&gt;0,$K$18*P69/$K$17,0)))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RESUMO'!BP38</f>
        <v/>
      </c>
      <c r="N69" s="128">
        <f>MAX(0,M69-M68)</f>
        <v/>
      </c>
      <c r="O69" s="127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50">
        <f>IF(OR(B69&lt;='VALOR POR PL'!$P$5,$K$12=0),0,$K$18*$K$26*N69/$K$12)</f>
        <v/>
      </c>
      <c r="S69" s="128">
        <f>(IF(AND(65+$K$33&gt;=1,65+$K$33&lt;=72),INDEX($N$5:$N$76,65+$K$33),0)+IF(AND(65+$K$34&gt;=1,65+$K$34&lt;=72),INDEX($N$5:$N$76,65+$K$34),0)+IF(AND(65+$K$35&gt;=1,65+$K$35&lt;=72),INDEX($N$5:$N$76,65+$K$35),0))/3</f>
        <v/>
      </c>
      <c r="T69" s="128">
        <f>IF(B69&lt;='VALOR POR PL'!$P$5,0,S69+IF(B69=DATE(YEAR('VALOR POR PL'!$P$5),MONTH('VALOR POR PL'!$P$5)+1,1),SUMPRODUCT((B5:B76&lt;='VALOR POR PL'!$P$5)*S5:S76),0))</f>
        <v/>
      </c>
      <c r="U69" s="50">
        <f>IF($K$32=0,0,$K$18*$K$27*T69/$K$32)</f>
        <v/>
      </c>
    </row>
    <row r="70">
      <c r="B70" s="129">
        <f>DATE(YEAR(B69),MONTH(B69)+1,1)</f>
        <v/>
      </c>
      <c r="C70" s="63">
        <f>'DADOS HISTORICOS'!BQ38</f>
        <v/>
      </c>
      <c r="D70" s="50">
        <f>IF(B70&lt;='VALOR POR PL'!$P$5,0,IF($K$16="MDO PREVISION + MATERIAL PREMISSA",R70+U70,IF($K$17&gt;0,$K$18*P70/$K$17,0)))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RESUMO'!BQ38</f>
        <v/>
      </c>
      <c r="N70" s="128">
        <f>MAX(0,M70-M69)</f>
        <v/>
      </c>
      <c r="O70" s="127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50">
        <f>IF(OR(B70&lt;='VALOR POR PL'!$P$5,$K$12=0),0,$K$18*$K$26*N70/$K$12)</f>
        <v/>
      </c>
      <c r="S70" s="128">
        <f>(IF(AND(66+$K$33&gt;=1,66+$K$33&lt;=72),INDEX($N$5:$N$76,66+$K$33),0)+IF(AND(66+$K$34&gt;=1,66+$K$34&lt;=72),INDEX($N$5:$N$76,66+$K$34),0)+IF(AND(66+$K$35&gt;=1,66+$K$35&lt;=72),INDEX($N$5:$N$76,66+$K$35),0))/3</f>
        <v/>
      </c>
      <c r="T70" s="128">
        <f>IF(B70&lt;='VALOR POR PL'!$P$5,0,S70+IF(B70=DATE(YEAR('VALOR POR PL'!$P$5),MONTH('VALOR POR PL'!$P$5)+1,1),SUMPRODUCT((B5:B76&lt;='VALOR POR PL'!$P$5)*S5:S76),0))</f>
        <v/>
      </c>
      <c r="U70" s="50">
        <f>IF($K$32=0,0,$K$18*$K$27*T70/$K$32)</f>
        <v/>
      </c>
    </row>
    <row r="71">
      <c r="B71" s="129">
        <f>DATE(YEAR(B70),MONTH(B70)+1,1)</f>
        <v/>
      </c>
      <c r="C71" s="63">
        <f>'DADOS HISTORICOS'!BR38</f>
        <v/>
      </c>
      <c r="D71" s="50">
        <f>IF(B71&lt;='VALOR POR PL'!$P$5,0,IF($K$16="MDO PREVISION + MATERIAL PREMISSA",R71+U71,IF($K$17&gt;0,$K$18*P71/$K$17,0)))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RESUMO'!BR38</f>
        <v/>
      </c>
      <c r="N71" s="128">
        <f>MAX(0,M71-M70)</f>
        <v/>
      </c>
      <c r="O71" s="127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50">
        <f>IF(OR(B71&lt;='VALOR POR PL'!$P$5,$K$12=0),0,$K$18*$K$26*N71/$K$12)</f>
        <v/>
      </c>
      <c r="S71" s="128">
        <f>(IF(AND(67+$K$33&gt;=1,67+$K$33&lt;=72),INDEX($N$5:$N$76,67+$K$33),0)+IF(AND(67+$K$34&gt;=1,67+$K$34&lt;=72),INDEX($N$5:$N$76,67+$K$34),0)+IF(AND(67+$K$35&gt;=1,67+$K$35&lt;=72),INDEX($N$5:$N$76,67+$K$35),0))/3</f>
        <v/>
      </c>
      <c r="T71" s="128">
        <f>IF(B71&lt;='VALOR POR PL'!$P$5,0,S71+IF(B71=DATE(YEAR('VALOR POR PL'!$P$5),MONTH('VALOR POR PL'!$P$5)+1,1),SUMPRODUCT((B5:B76&lt;='VALOR POR PL'!$P$5)*S5:S76),0))</f>
        <v/>
      </c>
      <c r="U71" s="50">
        <f>IF($K$32=0,0,$K$18*$K$27*T71/$K$32)</f>
        <v/>
      </c>
    </row>
    <row r="72">
      <c r="B72" s="129">
        <f>DATE(YEAR(B71),MONTH(B71)+1,1)</f>
        <v/>
      </c>
      <c r="C72" s="63">
        <f>'DADOS HISTORICOS'!BS38</f>
        <v/>
      </c>
      <c r="D72" s="50">
        <f>IF(B72&lt;='VALOR POR PL'!$P$5,0,IF($K$16="MDO PREVISION + MATERIAL PREMISSA",R72+U72,IF($K$17&gt;0,$K$18*P72/$K$17,0)))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RESUMO'!BS38</f>
        <v/>
      </c>
      <c r="N72" s="128">
        <f>MAX(0,M72-M71)</f>
        <v/>
      </c>
      <c r="O72" s="127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50">
        <f>IF(OR(B72&lt;='VALOR POR PL'!$P$5,$K$12=0),0,$K$18*$K$26*N72/$K$12)</f>
        <v/>
      </c>
      <c r="S72" s="128">
        <f>(IF(AND(68+$K$33&gt;=1,68+$K$33&lt;=72),INDEX($N$5:$N$76,68+$K$33),0)+IF(AND(68+$K$34&gt;=1,68+$K$34&lt;=72),INDEX($N$5:$N$76,68+$K$34),0)+IF(AND(68+$K$35&gt;=1,68+$K$35&lt;=72),INDEX($N$5:$N$76,68+$K$35),0))/3</f>
        <v/>
      </c>
      <c r="T72" s="128">
        <f>IF(B72&lt;='VALOR POR PL'!$P$5,0,S72+IF(B72=DATE(YEAR('VALOR POR PL'!$P$5),MONTH('VALOR POR PL'!$P$5)+1,1),SUMPRODUCT((B5:B76&lt;='VALOR POR PL'!$P$5)*S5:S76),0))</f>
        <v/>
      </c>
      <c r="U72" s="50">
        <f>IF($K$32=0,0,$K$18*$K$27*T72/$K$32)</f>
        <v/>
      </c>
    </row>
    <row r="73">
      <c r="B73" s="129">
        <f>DATE(YEAR(B72),MONTH(B72)+1,1)</f>
        <v/>
      </c>
      <c r="C73" s="63">
        <f>'DADOS HISTORICOS'!BT38</f>
        <v/>
      </c>
      <c r="D73" s="50">
        <f>IF(B73&lt;='VALOR POR PL'!$P$5,0,IF($K$16="MDO PREVISION + MATERIAL PREMISSA",R73+U73,IF($K$17&gt;0,$K$18*P73/$K$17,0)))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RESUMO'!BT38</f>
        <v/>
      </c>
      <c r="N73" s="128">
        <f>MAX(0,M73-M72)</f>
        <v/>
      </c>
      <c r="O73" s="127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50">
        <f>IF(OR(B73&lt;='VALOR POR PL'!$P$5,$K$12=0),0,$K$18*$K$26*N73/$K$12)</f>
        <v/>
      </c>
      <c r="S73" s="128">
        <f>(IF(AND(69+$K$33&gt;=1,69+$K$33&lt;=72),INDEX($N$5:$N$76,69+$K$33),0)+IF(AND(69+$K$34&gt;=1,69+$K$34&lt;=72),INDEX($N$5:$N$76,69+$K$34),0)+IF(AND(69+$K$35&gt;=1,69+$K$35&lt;=72),INDEX($N$5:$N$76,69+$K$35),0))/3</f>
        <v/>
      </c>
      <c r="T73" s="128">
        <f>IF(B73&lt;='VALOR POR PL'!$P$5,0,S73+IF(B73=DATE(YEAR('VALOR POR PL'!$P$5),MONTH('VALOR POR PL'!$P$5)+1,1),SUMPRODUCT((B5:B76&lt;='VALOR POR PL'!$P$5)*S5:S76),0))</f>
        <v/>
      </c>
      <c r="U73" s="50">
        <f>IF($K$32=0,0,$K$18*$K$27*T73/$K$32)</f>
        <v/>
      </c>
    </row>
    <row r="74">
      <c r="B74" s="129">
        <f>DATE(YEAR(B73),MONTH(B73)+1,1)</f>
        <v/>
      </c>
      <c r="C74" s="63">
        <f>'DADOS HISTORICOS'!BU38</f>
        <v/>
      </c>
      <c r="D74" s="50">
        <f>IF(B74&lt;='VALOR POR PL'!$P$5,0,IF($K$16="MDO PREVISION + MATERIAL PREMISSA",R74+U74,IF($K$17&gt;0,$K$18*P74/$K$17,0)))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RESUMO'!BU38</f>
        <v/>
      </c>
      <c r="N74" s="128">
        <f>MAX(0,M74-M73)</f>
        <v/>
      </c>
      <c r="O74" s="127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50">
        <f>IF(OR(B74&lt;='VALOR POR PL'!$P$5,$K$12=0),0,$K$18*$K$26*N74/$K$12)</f>
        <v/>
      </c>
      <c r="S74" s="128">
        <f>(IF(AND(70+$K$33&gt;=1,70+$K$33&lt;=72),INDEX($N$5:$N$76,70+$K$33),0)+IF(AND(70+$K$34&gt;=1,70+$K$34&lt;=72),INDEX($N$5:$N$76,70+$K$34),0)+IF(AND(70+$K$35&gt;=1,70+$K$35&lt;=72),INDEX($N$5:$N$76,70+$K$35),0))/3</f>
        <v/>
      </c>
      <c r="T74" s="128">
        <f>IF(B74&lt;='VALOR POR PL'!$P$5,0,S74+IF(B74=DATE(YEAR('VALOR POR PL'!$P$5),MONTH('VALOR POR PL'!$P$5)+1,1),SUMPRODUCT((B5:B76&lt;='VALOR POR PL'!$P$5)*S5:S76),0))</f>
        <v/>
      </c>
      <c r="U74" s="50">
        <f>IF($K$32=0,0,$K$18*$K$27*T74/$K$32)</f>
        <v/>
      </c>
    </row>
    <row r="75">
      <c r="B75" s="129">
        <f>DATE(YEAR(B74),MONTH(B74)+1,1)</f>
        <v/>
      </c>
      <c r="C75" s="63">
        <f>'DADOS HISTORICOS'!BV38</f>
        <v/>
      </c>
      <c r="D75" s="50">
        <f>IF(B75&lt;='VALOR POR PL'!$P$5,0,IF($K$16="MDO PREVISION + MATERIAL PREMISSA",R75+U75,IF($K$17&gt;0,$K$18*P75/$K$17,0)))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RESUMO'!BV38</f>
        <v/>
      </c>
      <c r="N75" s="128">
        <f>MAX(0,M75-M74)</f>
        <v/>
      </c>
      <c r="O75" s="127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50">
        <f>IF(OR(B75&lt;='VALOR POR PL'!$P$5,$K$12=0),0,$K$18*$K$26*N75/$K$12)</f>
        <v/>
      </c>
      <c r="S75" s="128">
        <f>(IF(AND(71+$K$33&gt;=1,71+$K$33&lt;=72),INDEX($N$5:$N$76,71+$K$33),0)+IF(AND(71+$K$34&gt;=1,71+$K$34&lt;=72),INDEX($N$5:$N$76,71+$K$34),0)+IF(AND(71+$K$35&gt;=1,71+$K$35&lt;=72),INDEX($N$5:$N$76,71+$K$35),0))/3</f>
        <v/>
      </c>
      <c r="T75" s="128">
        <f>IF(B75&lt;='VALOR POR PL'!$P$5,0,S75+IF(B75=DATE(YEAR('VALOR POR PL'!$P$5),MONTH('VALOR POR PL'!$P$5)+1,1),SUMPRODUCT((B5:B76&lt;='VALOR POR PL'!$P$5)*S5:S76),0))</f>
        <v/>
      </c>
      <c r="U75" s="50">
        <f>IF($K$32=0,0,$K$18*$K$27*T75/$K$32)</f>
        <v/>
      </c>
    </row>
    <row r="76">
      <c r="B76" s="129">
        <f>DATE(YEAR(B75),MONTH(B75)+1,1)</f>
        <v/>
      </c>
      <c r="C76" s="63">
        <f>'DADOS HISTORICOS'!BW38</f>
        <v/>
      </c>
      <c r="D76" s="50">
        <f>IF(B76&lt;='VALOR POR PL'!$P$5,0,IF($K$16="MDO PREVISION + MATERIAL PREMISSA",R76+U76,IF($K$17&gt;0,$K$18*P76/$K$17,0)))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RESUMO'!BW38</f>
        <v/>
      </c>
      <c r="N76" s="128">
        <f>MAX(0,M76-M75)</f>
        <v/>
      </c>
      <c r="O76" s="127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50">
        <f>IF(OR(B76&lt;='VALOR POR PL'!$P$5,$K$12=0),0,$K$18*$K$26*N76/$K$12)</f>
        <v/>
      </c>
      <c r="S76" s="128">
        <f>(IF(AND(72+$K$33&gt;=1,72+$K$33&lt;=72),INDEX($N$5:$N$76,72+$K$33),0)+IF(AND(72+$K$34&gt;=1,72+$K$34&lt;=72),INDEX($N$5:$N$76,72+$K$34),0)+IF(AND(72+$K$35&gt;=1,72+$K$35&lt;=72),INDEX($N$5:$N$76,72+$K$35),0))/3</f>
        <v/>
      </c>
      <c r="T76" s="128">
        <f>IF(B76&lt;='VALOR POR PL'!$P$5,0,S76+IF(B76=DATE(YEAR('VALOR POR PL'!$P$5),MONTH('VALOR POR PL'!$P$5)+1,1),SUMPRODUCT((B5:B76&lt;='VALOR POR PL'!$P$5)*S5:S76),0))</f>
        <v/>
      </c>
      <c r="U76" s="50">
        <f>IF($K$32=0,0,$K$18*$K$27*T76/$K$32)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  <c r="R78" s="65">
        <f>SUM(R5:R76)</f>
        <v/>
      </c>
      <c r="U78" s="65">
        <f>SUM(U5:U76)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PL'!D45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HISTORICOS'!D39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PL'!F45</f>
        <v/>
      </c>
      <c r="K5" s="63">
        <f>'VALOR POR PL'!G45</f>
        <v/>
      </c>
      <c r="M5" s="127">
        <f>'CP RESUMO'!D39</f>
        <v/>
      </c>
      <c r="N5" s="128" t="n">
        <v>0</v>
      </c>
      <c r="O5" s="127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HISTORICOS'!E39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RESUMO'!E39</f>
        <v/>
      </c>
      <c r="N6" s="128">
        <f>MAX(0,M6-M5)</f>
        <v/>
      </c>
      <c r="O6" s="127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HISTORICOS'!F39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PL'!L45</f>
        <v/>
      </c>
      <c r="M7" s="127">
        <f>'CP RESUMO'!F39</f>
        <v/>
      </c>
      <c r="N7" s="128">
        <f>MAX(0,M7-M6)</f>
        <v/>
      </c>
      <c r="O7" s="127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HISTORICOS'!G39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RESUMO'!G39</f>
        <v/>
      </c>
      <c r="N8" s="128">
        <f>MAX(0,M8-M7)</f>
        <v/>
      </c>
      <c r="O8" s="127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HISTORICOS'!H39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RESUMO'!H39</f>
        <v/>
      </c>
      <c r="N9" s="128">
        <f>MAX(0,M9-M8)</f>
        <v/>
      </c>
      <c r="O9" s="127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HISTORICOS'!I39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RESUMO'!I39</f>
        <v/>
      </c>
      <c r="N10" s="128">
        <f>MAX(0,M10-M9)</f>
        <v/>
      </c>
      <c r="O10" s="127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HISTORICOS'!J39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RESUMO'!J39</f>
        <v/>
      </c>
      <c r="N11" s="128">
        <f>MAX(0,M11-M10)</f>
        <v/>
      </c>
      <c r="O11" s="127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HISTORICOS'!K39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RESUMO'!K39</f>
        <v/>
      </c>
      <c r="N12" s="128">
        <f>MAX(0,M12-M11)</f>
        <v/>
      </c>
      <c r="O12" s="127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HISTORICOS'!L39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PL'!I45</f>
        <v/>
      </c>
      <c r="M13" s="127">
        <f>'CP RESUMO'!L39</f>
        <v/>
      </c>
      <c r="N13" s="128">
        <f>MAX(0,M13-M12)</f>
        <v/>
      </c>
      <c r="O13" s="127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HISTORICOS'!M39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M14" s="127">
        <f>'CP RESUMO'!M39</f>
        <v/>
      </c>
      <c r="N14" s="128">
        <f>MAX(0,M14-M13)</f>
        <v/>
      </c>
      <c r="O14" s="127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HISTORICOS'!N39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RESUMO'!N39</f>
        <v/>
      </c>
      <c r="N15" s="128">
        <f>MAX(0,M15-M14)</f>
        <v/>
      </c>
      <c r="O15" s="127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HISTORICOS'!O39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RESUMO'!O39</f>
        <v/>
      </c>
      <c r="N16" s="128">
        <f>MAX(0,M16-M15)</f>
        <v/>
      </c>
      <c r="O16" s="127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HISTORICOS'!P39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RESUMO'!P39</f>
        <v/>
      </c>
      <c r="N17" s="128">
        <f>MAX(0,M17-M16)</f>
        <v/>
      </c>
      <c r="O17" s="127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HISTORICOS'!Q39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RESUMO'!Q39</f>
        <v/>
      </c>
      <c r="N18" s="128">
        <f>MAX(0,M18-M17)</f>
        <v/>
      </c>
      <c r="O18" s="127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HISTORICOS'!R39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RESUMO'!R39</f>
        <v/>
      </c>
      <c r="N19" s="128">
        <f>MAX(0,M19-M18)</f>
        <v/>
      </c>
      <c r="O19" s="127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HISTORICOS'!S39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RESUMO'!S39</f>
        <v/>
      </c>
      <c r="N20" s="128">
        <f>MAX(0,M20-M19)</f>
        <v/>
      </c>
      <c r="O20" s="127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HISTORICOS'!T39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RESUMO'!T39</f>
        <v/>
      </c>
      <c r="N21" s="128">
        <f>MAX(0,M21-M20)</f>
        <v/>
      </c>
      <c r="O21" s="127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HISTORICOS'!U39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RESUMO'!U39</f>
        <v/>
      </c>
      <c r="N22" s="128">
        <f>MAX(0,M22-M21)</f>
        <v/>
      </c>
      <c r="O22" s="127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HISTORICOS'!V39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RESUMO'!V39</f>
        <v/>
      </c>
      <c r="N23" s="128">
        <f>MAX(0,M23-M22)</f>
        <v/>
      </c>
      <c r="O23" s="127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HISTORICOS'!W39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RESUMO'!W39</f>
        <v/>
      </c>
      <c r="N24" s="128">
        <f>MAX(0,M24-M23)</f>
        <v/>
      </c>
      <c r="O24" s="127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HISTORICOS'!X39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RESUMO'!X39</f>
        <v/>
      </c>
      <c r="N25" s="128">
        <f>MAX(0,M25-M24)</f>
        <v/>
      </c>
      <c r="O25" s="127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HISTORICOS'!Y39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RESUMO'!Y39</f>
        <v/>
      </c>
      <c r="N26" s="128">
        <f>MAX(0,M26-M25)</f>
        <v/>
      </c>
      <c r="O26" s="127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HISTORICOS'!Z39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RESUMO'!Z39</f>
        <v/>
      </c>
      <c r="N27" s="128">
        <f>MAX(0,M27-M26)</f>
        <v/>
      </c>
      <c r="O27" s="127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HISTORICOS'!AA39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RESUMO'!AA39</f>
        <v/>
      </c>
      <c r="N28" s="128">
        <f>MAX(0,M28-M27)</f>
        <v/>
      </c>
      <c r="O28" s="127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HISTORICOS'!AB39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RESUMO'!AB39</f>
        <v/>
      </c>
      <c r="N29" s="128">
        <f>MAX(0,M29-M28)</f>
        <v/>
      </c>
      <c r="O29" s="127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HISTORICOS'!AC39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RESUMO'!AC39</f>
        <v/>
      </c>
      <c r="N30" s="128">
        <f>MAX(0,M30-M29)</f>
        <v/>
      </c>
      <c r="O30" s="127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HISTORICOS'!AD39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RESUMO'!AD39</f>
        <v/>
      </c>
      <c r="N31" s="128">
        <f>MAX(0,M31-M30)</f>
        <v/>
      </c>
      <c r="O31" s="127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HISTORICOS'!AE39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RESUMO'!AE39</f>
        <v/>
      </c>
      <c r="N32" s="128">
        <f>MAX(0,M32-M31)</f>
        <v/>
      </c>
      <c r="O32" s="127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HISTORICOS'!AF39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RESUMO'!AF39</f>
        <v/>
      </c>
      <c r="N33" s="128">
        <f>MAX(0,M33-M32)</f>
        <v/>
      </c>
      <c r="O33" s="127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HISTORICOS'!AG39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RESUMO'!AG39</f>
        <v/>
      </c>
      <c r="N34" s="128">
        <f>MAX(0,M34-M33)</f>
        <v/>
      </c>
      <c r="O34" s="127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HISTORICOS'!AH39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RESUMO'!AH39</f>
        <v/>
      </c>
      <c r="N35" s="128">
        <f>MAX(0,M35-M34)</f>
        <v/>
      </c>
      <c r="O35" s="127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HISTORICOS'!AI39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RESUMO'!AI39</f>
        <v/>
      </c>
      <c r="N36" s="128">
        <f>MAX(0,M36-M35)</f>
        <v/>
      </c>
      <c r="O36" s="127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HISTORICOS'!AJ39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RESUMO'!AJ39</f>
        <v/>
      </c>
      <c r="N37" s="128">
        <f>MAX(0,M37-M36)</f>
        <v/>
      </c>
      <c r="O37" s="127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HISTORICOS'!AK39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RESUMO'!AK39</f>
        <v/>
      </c>
      <c r="N38" s="128">
        <f>MAX(0,M38-M37)</f>
        <v/>
      </c>
      <c r="O38" s="127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HISTORICOS'!AL39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RESUMO'!AL39</f>
        <v/>
      </c>
      <c r="N39" s="128">
        <f>MAX(0,M39-M38)</f>
        <v/>
      </c>
      <c r="O39" s="127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HISTORICOS'!AM39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RESUMO'!AM39</f>
        <v/>
      </c>
      <c r="N40" s="128">
        <f>MAX(0,M40-M39)</f>
        <v/>
      </c>
      <c r="O40" s="127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HISTORICOS'!AN39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RESUMO'!AN39</f>
        <v/>
      </c>
      <c r="N41" s="128">
        <f>MAX(0,M41-M40)</f>
        <v/>
      </c>
      <c r="O41" s="127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HISTORICOS'!AO39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RESUMO'!AO39</f>
        <v/>
      </c>
      <c r="N42" s="128">
        <f>MAX(0,M42-M41)</f>
        <v/>
      </c>
      <c r="O42" s="127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HISTORICOS'!AP39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RESUMO'!AP39</f>
        <v/>
      </c>
      <c r="N43" s="128">
        <f>MAX(0,M43-M42)</f>
        <v/>
      </c>
      <c r="O43" s="127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HISTORICOS'!AQ39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RESUMO'!AQ39</f>
        <v/>
      </c>
      <c r="N44" s="128">
        <f>MAX(0,M44-M43)</f>
        <v/>
      </c>
      <c r="O44" s="127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HISTORICOS'!AR39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RESUMO'!AR39</f>
        <v/>
      </c>
      <c r="N45" s="128">
        <f>MAX(0,M45-M44)</f>
        <v/>
      </c>
      <c r="O45" s="127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HISTORICOS'!AS39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RESUMO'!AS39</f>
        <v/>
      </c>
      <c r="N46" s="128">
        <f>MAX(0,M46-M45)</f>
        <v/>
      </c>
      <c r="O46" s="127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HISTORICOS'!AT39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RESUMO'!AT39</f>
        <v/>
      </c>
      <c r="N47" s="128">
        <f>MAX(0,M47-M46)</f>
        <v/>
      </c>
      <c r="O47" s="127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HISTORICOS'!AU39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RESUMO'!AU39</f>
        <v/>
      </c>
      <c r="N48" s="128">
        <f>MAX(0,M48-M47)</f>
        <v/>
      </c>
      <c r="O48" s="127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HISTORICOS'!AV39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RESUMO'!AV39</f>
        <v/>
      </c>
      <c r="N49" s="128">
        <f>MAX(0,M49-M48)</f>
        <v/>
      </c>
      <c r="O49" s="127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HISTORICOS'!AW39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RESUMO'!AW39</f>
        <v/>
      </c>
      <c r="N50" s="128">
        <f>MAX(0,M50-M49)</f>
        <v/>
      </c>
      <c r="O50" s="127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HISTORICOS'!AX39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RESUMO'!AX39</f>
        <v/>
      </c>
      <c r="N51" s="128">
        <f>MAX(0,M51-M50)</f>
        <v/>
      </c>
      <c r="O51" s="127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HISTORICOS'!AY39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RESUMO'!AY39</f>
        <v/>
      </c>
      <c r="N52" s="128">
        <f>MAX(0,M52-M51)</f>
        <v/>
      </c>
      <c r="O52" s="127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HISTORICOS'!AZ39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RESUMO'!AZ39</f>
        <v/>
      </c>
      <c r="N53" s="128">
        <f>MAX(0,M53-M52)</f>
        <v/>
      </c>
      <c r="O53" s="127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HISTORICOS'!BA39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RESUMO'!BA39</f>
        <v/>
      </c>
      <c r="N54" s="128">
        <f>MAX(0,M54-M53)</f>
        <v/>
      </c>
      <c r="O54" s="127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HISTORICOS'!BB39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RESUMO'!BB39</f>
        <v/>
      </c>
      <c r="N55" s="128">
        <f>MAX(0,M55-M54)</f>
        <v/>
      </c>
      <c r="O55" s="127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HISTORICOS'!BC39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RESUMO'!BC39</f>
        <v/>
      </c>
      <c r="N56" s="128">
        <f>MAX(0,M56-M55)</f>
        <v/>
      </c>
      <c r="O56" s="127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HISTORICOS'!BD39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RESUMO'!BD39</f>
        <v/>
      </c>
      <c r="N57" s="128">
        <f>MAX(0,M57-M56)</f>
        <v/>
      </c>
      <c r="O57" s="127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HISTORICOS'!BE39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RESUMO'!BE39</f>
        <v/>
      </c>
      <c r="N58" s="128">
        <f>MAX(0,M58-M57)</f>
        <v/>
      </c>
      <c r="O58" s="127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HISTORICOS'!BF39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RESUMO'!BF39</f>
        <v/>
      </c>
      <c r="N59" s="128">
        <f>MAX(0,M59-M58)</f>
        <v/>
      </c>
      <c r="O59" s="127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HISTORICOS'!BG39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RESUMO'!BG39</f>
        <v/>
      </c>
      <c r="N60" s="128">
        <f>MAX(0,M60-M59)</f>
        <v/>
      </c>
      <c r="O60" s="127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HISTORICOS'!BH39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RESUMO'!BH39</f>
        <v/>
      </c>
      <c r="N61" s="128">
        <f>MAX(0,M61-M60)</f>
        <v/>
      </c>
      <c r="O61" s="127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HISTORICOS'!BI39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RESUMO'!BI39</f>
        <v/>
      </c>
      <c r="N62" s="128">
        <f>MAX(0,M62-M61)</f>
        <v/>
      </c>
      <c r="O62" s="127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HISTORICOS'!BJ39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RESUMO'!BJ39</f>
        <v/>
      </c>
      <c r="N63" s="128">
        <f>MAX(0,M63-M62)</f>
        <v/>
      </c>
      <c r="O63" s="127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HISTORICOS'!BK39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RESUMO'!BK39</f>
        <v/>
      </c>
      <c r="N64" s="128">
        <f>MAX(0,M64-M63)</f>
        <v/>
      </c>
      <c r="O64" s="127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HISTORICOS'!BL39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RESUMO'!BL39</f>
        <v/>
      </c>
      <c r="N65" s="128">
        <f>MAX(0,M65-M64)</f>
        <v/>
      </c>
      <c r="O65" s="127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HISTORICOS'!BM39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RESUMO'!BM39</f>
        <v/>
      </c>
      <c r="N66" s="128">
        <f>MAX(0,M66-M65)</f>
        <v/>
      </c>
      <c r="O66" s="127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HISTORICOS'!BN39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RESUMO'!BN39</f>
        <v/>
      </c>
      <c r="N67" s="128">
        <f>MAX(0,M67-M66)</f>
        <v/>
      </c>
      <c r="O67" s="127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HISTORICOS'!BO39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RESUMO'!BO39</f>
        <v/>
      </c>
      <c r="N68" s="128">
        <f>MAX(0,M68-M67)</f>
        <v/>
      </c>
      <c r="O68" s="127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HISTORICOS'!BP39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RESUMO'!BP39</f>
        <v/>
      </c>
      <c r="N69" s="128">
        <f>MAX(0,M69-M68)</f>
        <v/>
      </c>
      <c r="O69" s="127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HISTORICOS'!BQ39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RESUMO'!BQ39</f>
        <v/>
      </c>
      <c r="N70" s="128">
        <f>MAX(0,M70-M69)</f>
        <v/>
      </c>
      <c r="O70" s="127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HISTORICOS'!BR39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RESUMO'!BR39</f>
        <v/>
      </c>
      <c r="N71" s="128">
        <f>MAX(0,M71-M70)</f>
        <v/>
      </c>
      <c r="O71" s="127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HISTORICOS'!BS39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RESUMO'!BS39</f>
        <v/>
      </c>
      <c r="N72" s="128">
        <f>MAX(0,M72-M71)</f>
        <v/>
      </c>
      <c r="O72" s="127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HISTORICOS'!BT39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RESUMO'!BT39</f>
        <v/>
      </c>
      <c r="N73" s="128">
        <f>MAX(0,M73-M72)</f>
        <v/>
      </c>
      <c r="O73" s="127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HISTORICOS'!BU39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RESUMO'!BU39</f>
        <v/>
      </c>
      <c r="N74" s="128">
        <f>MAX(0,M74-M73)</f>
        <v/>
      </c>
      <c r="O74" s="127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HISTORICOS'!BV39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RESUMO'!BV39</f>
        <v/>
      </c>
      <c r="N75" s="128">
        <f>MAX(0,M75-M74)</f>
        <v/>
      </c>
      <c r="O75" s="127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HISTORICOS'!BW39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RESUMO'!BW39</f>
        <v/>
      </c>
      <c r="N76" s="128">
        <f>MAX(0,M76-M75)</f>
        <v/>
      </c>
      <c r="O76" s="127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PL'!D46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HISTORICOS'!D40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PL'!F46</f>
        <v/>
      </c>
      <c r="K5" s="63">
        <f>'VALOR POR PL'!G46</f>
        <v/>
      </c>
      <c r="M5" s="127">
        <f>'CP RESUMO'!D40</f>
        <v/>
      </c>
      <c r="N5" s="128" t="n">
        <v>0</v>
      </c>
      <c r="O5" s="127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HISTORICOS'!E40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RESUMO'!E40</f>
        <v/>
      </c>
      <c r="N6" s="128">
        <f>MAX(0,M6-M5)</f>
        <v/>
      </c>
      <c r="O6" s="127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HISTORICOS'!F40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PL'!L46</f>
        <v/>
      </c>
      <c r="M7" s="127">
        <f>'CP RESUMO'!F40</f>
        <v/>
      </c>
      <c r="N7" s="128">
        <f>MAX(0,M7-M6)</f>
        <v/>
      </c>
      <c r="O7" s="127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HISTORICOS'!G40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RESUMO'!G40</f>
        <v/>
      </c>
      <c r="N8" s="128">
        <f>MAX(0,M8-M7)</f>
        <v/>
      </c>
      <c r="O8" s="127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HISTORICOS'!H40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RESUMO'!H40</f>
        <v/>
      </c>
      <c r="N9" s="128">
        <f>MAX(0,M9-M8)</f>
        <v/>
      </c>
      <c r="O9" s="127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HISTORICOS'!I40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RESUMO'!I40</f>
        <v/>
      </c>
      <c r="N10" s="128">
        <f>MAX(0,M10-M9)</f>
        <v/>
      </c>
      <c r="O10" s="127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HISTORICOS'!J40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RESUMO'!J40</f>
        <v/>
      </c>
      <c r="N11" s="128">
        <f>MAX(0,M11-M10)</f>
        <v/>
      </c>
      <c r="O11" s="127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HISTORICOS'!K40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RESUMO'!K40</f>
        <v/>
      </c>
      <c r="N12" s="128">
        <f>MAX(0,M12-M11)</f>
        <v/>
      </c>
      <c r="O12" s="127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HISTORICOS'!L40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PL'!I46</f>
        <v/>
      </c>
      <c r="M13" s="127">
        <f>'CP RESUMO'!L40</f>
        <v/>
      </c>
      <c r="N13" s="128">
        <f>MAX(0,M13-M12)</f>
        <v/>
      </c>
      <c r="O13" s="127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HISTORICOS'!M40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M14" s="127">
        <f>'CP RESUMO'!M40</f>
        <v/>
      </c>
      <c r="N14" s="128">
        <f>MAX(0,M14-M13)</f>
        <v/>
      </c>
      <c r="O14" s="127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HISTORICOS'!N40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RESUMO'!N40</f>
        <v/>
      </c>
      <c r="N15" s="128">
        <f>MAX(0,M15-M14)</f>
        <v/>
      </c>
      <c r="O15" s="127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HISTORICOS'!O40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RESUMO'!O40</f>
        <v/>
      </c>
      <c r="N16" s="128">
        <f>MAX(0,M16-M15)</f>
        <v/>
      </c>
      <c r="O16" s="127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HISTORICOS'!P40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RESUMO'!P40</f>
        <v/>
      </c>
      <c r="N17" s="128">
        <f>MAX(0,M17-M16)</f>
        <v/>
      </c>
      <c r="O17" s="127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HISTORICOS'!Q40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RESUMO'!Q40</f>
        <v/>
      </c>
      <c r="N18" s="128">
        <f>MAX(0,M18-M17)</f>
        <v/>
      </c>
      <c r="O18" s="127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HISTORICOS'!R40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RESUMO'!R40</f>
        <v/>
      </c>
      <c r="N19" s="128">
        <f>MAX(0,M19-M18)</f>
        <v/>
      </c>
      <c r="O19" s="127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HISTORICOS'!S40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RESUMO'!S40</f>
        <v/>
      </c>
      <c r="N20" s="128">
        <f>MAX(0,M20-M19)</f>
        <v/>
      </c>
      <c r="O20" s="127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HISTORICOS'!T40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RESUMO'!T40</f>
        <v/>
      </c>
      <c r="N21" s="128">
        <f>MAX(0,M21-M20)</f>
        <v/>
      </c>
      <c r="O21" s="127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HISTORICOS'!U40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RESUMO'!U40</f>
        <v/>
      </c>
      <c r="N22" s="128">
        <f>MAX(0,M22-M21)</f>
        <v/>
      </c>
      <c r="O22" s="127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HISTORICOS'!V40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RESUMO'!V40</f>
        <v/>
      </c>
      <c r="N23" s="128">
        <f>MAX(0,M23-M22)</f>
        <v/>
      </c>
      <c r="O23" s="127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HISTORICOS'!W40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RESUMO'!W40</f>
        <v/>
      </c>
      <c r="N24" s="128">
        <f>MAX(0,M24-M23)</f>
        <v/>
      </c>
      <c r="O24" s="127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HISTORICOS'!X40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RESUMO'!X40</f>
        <v/>
      </c>
      <c r="N25" s="128">
        <f>MAX(0,M25-M24)</f>
        <v/>
      </c>
      <c r="O25" s="127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HISTORICOS'!Y40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RESUMO'!Y40</f>
        <v/>
      </c>
      <c r="N26" s="128">
        <f>MAX(0,M26-M25)</f>
        <v/>
      </c>
      <c r="O26" s="127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HISTORICOS'!Z40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RESUMO'!Z40</f>
        <v/>
      </c>
      <c r="N27" s="128">
        <f>MAX(0,M27-M26)</f>
        <v/>
      </c>
      <c r="O27" s="127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HISTORICOS'!AA40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RESUMO'!AA40</f>
        <v/>
      </c>
      <c r="N28" s="128">
        <f>MAX(0,M28-M27)</f>
        <v/>
      </c>
      <c r="O28" s="127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HISTORICOS'!AB40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RESUMO'!AB40</f>
        <v/>
      </c>
      <c r="N29" s="128">
        <f>MAX(0,M29-M28)</f>
        <v/>
      </c>
      <c r="O29" s="127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HISTORICOS'!AC40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RESUMO'!AC40</f>
        <v/>
      </c>
      <c r="N30" s="128">
        <f>MAX(0,M30-M29)</f>
        <v/>
      </c>
      <c r="O30" s="127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HISTORICOS'!AD40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RESUMO'!AD40</f>
        <v/>
      </c>
      <c r="N31" s="128">
        <f>MAX(0,M31-M30)</f>
        <v/>
      </c>
      <c r="O31" s="127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HISTORICOS'!AE40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RESUMO'!AE40</f>
        <v/>
      </c>
      <c r="N32" s="128">
        <f>MAX(0,M32-M31)</f>
        <v/>
      </c>
      <c r="O32" s="127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HISTORICOS'!AF40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RESUMO'!AF40</f>
        <v/>
      </c>
      <c r="N33" s="128">
        <f>MAX(0,M33-M32)</f>
        <v/>
      </c>
      <c r="O33" s="127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HISTORICOS'!AG40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RESUMO'!AG40</f>
        <v/>
      </c>
      <c r="N34" s="128">
        <f>MAX(0,M34-M33)</f>
        <v/>
      </c>
      <c r="O34" s="127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HISTORICOS'!AH40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RESUMO'!AH40</f>
        <v/>
      </c>
      <c r="N35" s="128">
        <f>MAX(0,M35-M34)</f>
        <v/>
      </c>
      <c r="O35" s="127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HISTORICOS'!AI40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RESUMO'!AI40</f>
        <v/>
      </c>
      <c r="N36" s="128">
        <f>MAX(0,M36-M35)</f>
        <v/>
      </c>
      <c r="O36" s="127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HISTORICOS'!AJ40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RESUMO'!AJ40</f>
        <v/>
      </c>
      <c r="N37" s="128">
        <f>MAX(0,M37-M36)</f>
        <v/>
      </c>
      <c r="O37" s="127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HISTORICOS'!AK40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RESUMO'!AK40</f>
        <v/>
      </c>
      <c r="N38" s="128">
        <f>MAX(0,M38-M37)</f>
        <v/>
      </c>
      <c r="O38" s="127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HISTORICOS'!AL40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RESUMO'!AL40</f>
        <v/>
      </c>
      <c r="N39" s="128">
        <f>MAX(0,M39-M38)</f>
        <v/>
      </c>
      <c r="O39" s="127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HISTORICOS'!AM40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RESUMO'!AM40</f>
        <v/>
      </c>
      <c r="N40" s="128">
        <f>MAX(0,M40-M39)</f>
        <v/>
      </c>
      <c r="O40" s="127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HISTORICOS'!AN40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RESUMO'!AN40</f>
        <v/>
      </c>
      <c r="N41" s="128">
        <f>MAX(0,M41-M40)</f>
        <v/>
      </c>
      <c r="O41" s="127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HISTORICOS'!AO40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RESUMO'!AO40</f>
        <v/>
      </c>
      <c r="N42" s="128">
        <f>MAX(0,M42-M41)</f>
        <v/>
      </c>
      <c r="O42" s="127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HISTORICOS'!AP40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RESUMO'!AP40</f>
        <v/>
      </c>
      <c r="N43" s="128">
        <f>MAX(0,M43-M42)</f>
        <v/>
      </c>
      <c r="O43" s="127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HISTORICOS'!AQ40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RESUMO'!AQ40</f>
        <v/>
      </c>
      <c r="N44" s="128">
        <f>MAX(0,M44-M43)</f>
        <v/>
      </c>
      <c r="O44" s="127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HISTORICOS'!AR40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RESUMO'!AR40</f>
        <v/>
      </c>
      <c r="N45" s="128">
        <f>MAX(0,M45-M44)</f>
        <v/>
      </c>
      <c r="O45" s="127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HISTORICOS'!AS40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RESUMO'!AS40</f>
        <v/>
      </c>
      <c r="N46" s="128">
        <f>MAX(0,M46-M45)</f>
        <v/>
      </c>
      <c r="O46" s="127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HISTORICOS'!AT40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RESUMO'!AT40</f>
        <v/>
      </c>
      <c r="N47" s="128">
        <f>MAX(0,M47-M46)</f>
        <v/>
      </c>
      <c r="O47" s="127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HISTORICOS'!AU40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RESUMO'!AU40</f>
        <v/>
      </c>
      <c r="N48" s="128">
        <f>MAX(0,M48-M47)</f>
        <v/>
      </c>
      <c r="O48" s="127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HISTORICOS'!AV40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RESUMO'!AV40</f>
        <v/>
      </c>
      <c r="N49" s="128">
        <f>MAX(0,M49-M48)</f>
        <v/>
      </c>
      <c r="O49" s="127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HISTORICOS'!AW40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RESUMO'!AW40</f>
        <v/>
      </c>
      <c r="N50" s="128">
        <f>MAX(0,M50-M49)</f>
        <v/>
      </c>
      <c r="O50" s="127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HISTORICOS'!AX40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RESUMO'!AX40</f>
        <v/>
      </c>
      <c r="N51" s="128">
        <f>MAX(0,M51-M50)</f>
        <v/>
      </c>
      <c r="O51" s="127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HISTORICOS'!AY40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RESUMO'!AY40</f>
        <v/>
      </c>
      <c r="N52" s="128">
        <f>MAX(0,M52-M51)</f>
        <v/>
      </c>
      <c r="O52" s="127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HISTORICOS'!AZ40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RESUMO'!AZ40</f>
        <v/>
      </c>
      <c r="N53" s="128">
        <f>MAX(0,M53-M52)</f>
        <v/>
      </c>
      <c r="O53" s="127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HISTORICOS'!BA40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RESUMO'!BA40</f>
        <v/>
      </c>
      <c r="N54" s="128">
        <f>MAX(0,M54-M53)</f>
        <v/>
      </c>
      <c r="O54" s="127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HISTORICOS'!BB40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RESUMO'!BB40</f>
        <v/>
      </c>
      <c r="N55" s="128">
        <f>MAX(0,M55-M54)</f>
        <v/>
      </c>
      <c r="O55" s="127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HISTORICOS'!BC40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RESUMO'!BC40</f>
        <v/>
      </c>
      <c r="N56" s="128">
        <f>MAX(0,M56-M55)</f>
        <v/>
      </c>
      <c r="O56" s="127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HISTORICOS'!BD40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RESUMO'!BD40</f>
        <v/>
      </c>
      <c r="N57" s="128">
        <f>MAX(0,M57-M56)</f>
        <v/>
      </c>
      <c r="O57" s="127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HISTORICOS'!BE40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RESUMO'!BE40</f>
        <v/>
      </c>
      <c r="N58" s="128">
        <f>MAX(0,M58-M57)</f>
        <v/>
      </c>
      <c r="O58" s="127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HISTORICOS'!BF40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RESUMO'!BF40</f>
        <v/>
      </c>
      <c r="N59" s="128">
        <f>MAX(0,M59-M58)</f>
        <v/>
      </c>
      <c r="O59" s="127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HISTORICOS'!BG40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RESUMO'!BG40</f>
        <v/>
      </c>
      <c r="N60" s="128">
        <f>MAX(0,M60-M59)</f>
        <v/>
      </c>
      <c r="O60" s="127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HISTORICOS'!BH40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RESUMO'!BH40</f>
        <v/>
      </c>
      <c r="N61" s="128">
        <f>MAX(0,M61-M60)</f>
        <v/>
      </c>
      <c r="O61" s="127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HISTORICOS'!BI40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RESUMO'!BI40</f>
        <v/>
      </c>
      <c r="N62" s="128">
        <f>MAX(0,M62-M61)</f>
        <v/>
      </c>
      <c r="O62" s="127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HISTORICOS'!BJ40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RESUMO'!BJ40</f>
        <v/>
      </c>
      <c r="N63" s="128">
        <f>MAX(0,M63-M62)</f>
        <v/>
      </c>
      <c r="O63" s="127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HISTORICOS'!BK40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RESUMO'!BK40</f>
        <v/>
      </c>
      <c r="N64" s="128">
        <f>MAX(0,M64-M63)</f>
        <v/>
      </c>
      <c r="O64" s="127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HISTORICOS'!BL40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RESUMO'!BL40</f>
        <v/>
      </c>
      <c r="N65" s="128">
        <f>MAX(0,M65-M64)</f>
        <v/>
      </c>
      <c r="O65" s="127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HISTORICOS'!BM40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RESUMO'!BM40</f>
        <v/>
      </c>
      <c r="N66" s="128">
        <f>MAX(0,M66-M65)</f>
        <v/>
      </c>
      <c r="O66" s="127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HISTORICOS'!BN40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RESUMO'!BN40</f>
        <v/>
      </c>
      <c r="N67" s="128">
        <f>MAX(0,M67-M66)</f>
        <v/>
      </c>
      <c r="O67" s="127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HISTORICOS'!BO40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RESUMO'!BO40</f>
        <v/>
      </c>
      <c r="N68" s="128">
        <f>MAX(0,M68-M67)</f>
        <v/>
      </c>
      <c r="O68" s="127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HISTORICOS'!BP40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RESUMO'!BP40</f>
        <v/>
      </c>
      <c r="N69" s="128">
        <f>MAX(0,M69-M68)</f>
        <v/>
      </c>
      <c r="O69" s="127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HISTORICOS'!BQ40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RESUMO'!BQ40</f>
        <v/>
      </c>
      <c r="N70" s="128">
        <f>MAX(0,M70-M69)</f>
        <v/>
      </c>
      <c r="O70" s="127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HISTORICOS'!BR40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RESUMO'!BR40</f>
        <v/>
      </c>
      <c r="N71" s="128">
        <f>MAX(0,M71-M70)</f>
        <v/>
      </c>
      <c r="O71" s="127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HISTORICOS'!BS40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RESUMO'!BS40</f>
        <v/>
      </c>
      <c r="N72" s="128">
        <f>MAX(0,M72-M71)</f>
        <v/>
      </c>
      <c r="O72" s="127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HISTORICOS'!BT40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RESUMO'!BT40</f>
        <v/>
      </c>
      <c r="N73" s="128">
        <f>MAX(0,M73-M72)</f>
        <v/>
      </c>
      <c r="O73" s="127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HISTORICOS'!BU40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RESUMO'!BU40</f>
        <v/>
      </c>
      <c r="N74" s="128">
        <f>MAX(0,M74-M73)</f>
        <v/>
      </c>
      <c r="O74" s="127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HISTORICOS'!BV40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RESUMO'!BV40</f>
        <v/>
      </c>
      <c r="N75" s="128">
        <f>MAX(0,M75-M74)</f>
        <v/>
      </c>
      <c r="O75" s="127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HISTORICOS'!BW40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RESUMO'!BW40</f>
        <v/>
      </c>
      <c r="N76" s="128">
        <f>MAX(0,M76-M75)</f>
        <v/>
      </c>
      <c r="O76" s="127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1">
        <f>'VALOR POR PL'!D47</f>
        <v/>
      </c>
      <c r="J2" s="3" t="inlineStr">
        <is>
          <t>INCC CORTE →</t>
        </is>
      </c>
      <c r="K2" s="57">
        <f>'VALOR POR PL'!$P$7</f>
        <v/>
      </c>
    </row>
    <row r="4" ht="58" customHeight="1">
      <c r="B4" s="59" t="inlineStr">
        <is>
          <t>ITEM</t>
        </is>
      </c>
      <c r="C4" s="59" t="inlineStr">
        <is>
          <t>INCORRIDO
(R$)</t>
        </is>
      </c>
      <c r="D4" s="59" t="inlineStr">
        <is>
          <t>PREVISÃO
(R$) — calculada</t>
        </is>
      </c>
      <c r="E4" s="59" t="inlineStr">
        <is>
          <t>INCC</t>
        </is>
      </c>
      <c r="F4" s="59" t="inlineStr">
        <is>
          <t>CURVA MÊS</t>
        </is>
      </c>
      <c r="G4" s="59" t="inlineStr">
        <is>
          <t>CURVA
ACUMULADA</t>
        </is>
      </c>
      <c r="H4" s="125" t="inlineStr">
        <is>
          <t>PREVISÃO INFORMADA
(R$ ou peso) ← digite</t>
        </is>
      </c>
      <c r="I4" s="59" t="inlineStr">
        <is>
          <t>ORIGEM</t>
        </is>
      </c>
      <c r="J4" s="59" t="inlineStr">
        <is>
          <t>VALOR R$</t>
        </is>
      </c>
      <c r="K4" s="59" t="inlineStr">
        <is>
          <t>INCC</t>
        </is>
      </c>
      <c r="M4" s="59" t="inlineStr">
        <is>
          <t>PREVISION
% PREVISTO
ACUMULADO</t>
        </is>
      </c>
      <c r="N4" s="59" t="inlineStr">
        <is>
          <t>PREVISION
% PREVISTO
NO MÊS</t>
        </is>
      </c>
      <c r="O4" s="59" t="inlineStr">
        <is>
          <t>PREVISION
% REALIZADO
ACUMULADO</t>
        </is>
      </c>
      <c r="P4" s="59" t="inlineStr">
        <is>
          <t>PESO USADO
(curva da
previsão)</t>
        </is>
      </c>
    </row>
    <row r="5">
      <c r="A5" s="116" t="inlineStr">
        <is>
          <t>Acu até →</t>
        </is>
      </c>
      <c r="B5" s="112">
        <f>'VALOR POR PL'!$P$6</f>
        <v/>
      </c>
      <c r="C5" s="63">
        <f>'DADOS HISTORICOS'!D41</f>
        <v/>
      </c>
      <c r="D5" s="50">
        <f>IF(B5&lt;='VALOR POR PL'!$P$5,0,IF($K$17&gt;0,$K$18*P5/$K$17,0))</f>
        <v/>
      </c>
      <c r="E5" s="50">
        <f>(C5+D5)/IF(B5&lt;='VALOR POR PL'!$P$5,IFERROR(INDEX('"INCC-FGV"'!$B$2:$B$400,MATCH(B5,'"INCC-FGV"'!$A$2:$A$400,0)),$K$2),$K$2)</f>
        <v/>
      </c>
      <c r="F5" s="110">
        <f>IF($K$9=0,0,E5/$K$9)</f>
        <v/>
      </c>
      <c r="G5" s="110">
        <f>F5</f>
        <v/>
      </c>
      <c r="H5" s="126" t="n"/>
      <c r="I5" s="47" t="inlineStr">
        <is>
          <t>VALOR ORÇADO</t>
        </is>
      </c>
      <c r="J5" s="63">
        <f>'VALOR POR PL'!F47</f>
        <v/>
      </c>
      <c r="K5" s="63">
        <f>'VALOR POR PL'!G47</f>
        <v/>
      </c>
      <c r="M5" s="127">
        <f>'CP RESUMO'!D41</f>
        <v/>
      </c>
      <c r="N5" s="128" t="n">
        <v>0</v>
      </c>
      <c r="O5" s="127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29">
        <f>DATE(YEAR(B5),MONTH(B5)+1,1)</f>
        <v/>
      </c>
      <c r="C6" s="63">
        <f>'DADOS HISTORICOS'!E41</f>
        <v/>
      </c>
      <c r="D6" s="50">
        <f>IF(B6&lt;='VALOR POR PL'!$P$5,0,IF($K$17&gt;0,$K$18*P6/$K$17,0))</f>
        <v/>
      </c>
      <c r="E6" s="50">
        <f>(C6+D6)/IF(B6&lt;='VALOR POR PL'!$P$5,IFERROR(INDEX('"INCC-FGV"'!$B$2:$B$400,MATCH(B6,'"INCC-FGV"'!$A$2:$A$400,0)),$K$2),$K$2)</f>
        <v/>
      </c>
      <c r="F6" s="110">
        <f>IF($K$9=0,0,E6/$K$9)</f>
        <v/>
      </c>
      <c r="G6" s="110">
        <f>G5+F6</f>
        <v/>
      </c>
      <c r="H6" s="126" t="n"/>
      <c r="M6" s="127">
        <f>'CP RESUMO'!E41</f>
        <v/>
      </c>
      <c r="N6" s="128">
        <f>MAX(0,M6-M5)</f>
        <v/>
      </c>
      <c r="O6" s="127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29">
        <f>DATE(YEAR(B6),MONTH(B6)+1,1)</f>
        <v/>
      </c>
      <c r="C7" s="63">
        <f>'DADOS HISTORICOS'!F41</f>
        <v/>
      </c>
      <c r="D7" s="50">
        <f>IF(B7&lt;='VALOR POR PL'!$P$5,0,IF($K$17&gt;0,$K$18*P7/$K$17,0))</f>
        <v/>
      </c>
      <c r="E7" s="50">
        <f>(C7+D7)/IF(B7&lt;='VALOR POR PL'!$P$5,IFERROR(INDEX('"INCC-FGV"'!$B$2:$B$400,MATCH(B7,'"INCC-FGV"'!$A$2:$A$400,0)),$K$2),$K$2)</f>
        <v/>
      </c>
      <c r="F7" s="110">
        <f>IF($K$9=0,0,E7/$K$9)</f>
        <v/>
      </c>
      <c r="G7" s="110">
        <f>G6+F7</f>
        <v/>
      </c>
      <c r="H7" s="126" t="n"/>
      <c r="I7" s="47" t="inlineStr">
        <is>
          <t>PROJEÇÃO IEC</t>
        </is>
      </c>
      <c r="J7" s="63">
        <f>'VALOR POR PL'!L47</f>
        <v/>
      </c>
      <c r="M7" s="127">
        <f>'CP RESUMO'!F41</f>
        <v/>
      </c>
      <c r="N7" s="128">
        <f>MAX(0,M7-M6)</f>
        <v/>
      </c>
      <c r="O7" s="127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29">
        <f>DATE(YEAR(B7),MONTH(B7)+1,1)</f>
        <v/>
      </c>
      <c r="C8" s="63">
        <f>'DADOS HISTORICOS'!G41</f>
        <v/>
      </c>
      <c r="D8" s="50">
        <f>IF(B8&lt;='VALOR POR PL'!$P$5,0,IF($K$17&gt;0,$K$18*P8/$K$17,0))</f>
        <v/>
      </c>
      <c r="E8" s="50">
        <f>(C8+D8)/IF(B8&lt;='VALOR POR PL'!$P$5,IFERROR(INDEX('"INCC-FGV"'!$B$2:$B$400,MATCH(B8,'"INCC-FGV"'!$A$2:$A$400,0)),$K$2),$K$2)</f>
        <v/>
      </c>
      <c r="F8" s="110">
        <f>IF($K$9=0,0,E8/$K$9)</f>
        <v/>
      </c>
      <c r="G8" s="110">
        <f>G7+F8</f>
        <v/>
      </c>
      <c r="H8" s="126" t="n"/>
      <c r="M8" s="127">
        <f>'CP RESUMO'!G41</f>
        <v/>
      </c>
      <c r="N8" s="128">
        <f>MAX(0,M8-M7)</f>
        <v/>
      </c>
      <c r="O8" s="127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29">
        <f>DATE(YEAR(B8),MONTH(B8)+1,1)</f>
        <v/>
      </c>
      <c r="C9" s="63">
        <f>'DADOS HISTORICOS'!H41</f>
        <v/>
      </c>
      <c r="D9" s="50">
        <f>IF(B9&lt;='VALOR POR PL'!$P$5,0,IF($K$17&gt;0,$K$18*P9/$K$17,0))</f>
        <v/>
      </c>
      <c r="E9" s="50">
        <f>(C9+D9)/IF(B9&lt;='VALOR POR PL'!$P$5,IFERROR(INDEX('"INCC-FGV"'!$B$2:$B$400,MATCH(B9,'"INCC-FGV"'!$A$2:$A$400,0)),$K$2),$K$2)</f>
        <v/>
      </c>
      <c r="F9" s="110">
        <f>IF($K$9=0,0,E9/$K$9)</f>
        <v/>
      </c>
      <c r="G9" s="110">
        <f>G8+F9</f>
        <v/>
      </c>
      <c r="H9" s="126" t="n"/>
      <c r="I9" s="47" t="inlineStr">
        <is>
          <t>TOTAL NO FLUXO</t>
        </is>
      </c>
      <c r="J9" s="50">
        <f>C78+D78</f>
        <v/>
      </c>
      <c r="K9" s="50">
        <f>E78</f>
        <v/>
      </c>
      <c r="M9" s="127">
        <f>'CP RESUMO'!H41</f>
        <v/>
      </c>
      <c r="N9" s="128">
        <f>MAX(0,M9-M8)</f>
        <v/>
      </c>
      <c r="O9" s="127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29">
        <f>DATE(YEAR(B9),MONTH(B9)+1,1)</f>
        <v/>
      </c>
      <c r="C10" s="63">
        <f>'DADOS HISTORICOS'!I41</f>
        <v/>
      </c>
      <c r="D10" s="50">
        <f>IF(B10&lt;='VALOR POR PL'!$P$5,0,IF($K$17&gt;0,$K$18*P10/$K$17,0))</f>
        <v/>
      </c>
      <c r="E10" s="50">
        <f>(C10+D10)/IF(B10&lt;='VALOR POR PL'!$P$5,IFERROR(INDEX('"INCC-FGV"'!$B$2:$B$400,MATCH(B10,'"INCC-FGV"'!$A$2:$A$400,0)),$K$2),$K$2)</f>
        <v/>
      </c>
      <c r="F10" s="110">
        <f>IF($K$9=0,0,E10/$K$9)</f>
        <v/>
      </c>
      <c r="G10" s="110">
        <f>G9+F10</f>
        <v/>
      </c>
      <c r="H10" s="126" t="n"/>
      <c r="M10" s="127">
        <f>'CP RESUMO'!I41</f>
        <v/>
      </c>
      <c r="N10" s="128">
        <f>MAX(0,M10-M9)</f>
        <v/>
      </c>
      <c r="O10" s="127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29">
        <f>DATE(YEAR(B10),MONTH(B10)+1,1)</f>
        <v/>
      </c>
      <c r="C11" s="63">
        <f>'DADOS HISTORICOS'!J41</f>
        <v/>
      </c>
      <c r="D11" s="50">
        <f>IF(B11&lt;='VALOR POR PL'!$P$5,0,IF($K$17&gt;0,$K$18*P11/$K$17,0))</f>
        <v/>
      </c>
      <c r="E11" s="50">
        <f>(C11+D11)/IF(B11&lt;='VALOR POR PL'!$P$5,IFERROR(INDEX('"INCC-FGV"'!$B$2:$B$400,MATCH(B11,'"INCC-FGV"'!$A$2:$A$400,0)),$K$2),$K$2)</f>
        <v/>
      </c>
      <c r="F11" s="110">
        <f>IF($K$9=0,0,E11/$K$9)</f>
        <v/>
      </c>
      <c r="G11" s="110">
        <f>G10+F11</f>
        <v/>
      </c>
      <c r="H11" s="126" t="n"/>
      <c r="I11" s="47" t="inlineStr">
        <is>
          <t>Σ PREVISÃO INFORMADA (meses futuros)</t>
        </is>
      </c>
      <c r="K11" s="63">
        <f>SUMPRODUCT((B5:B76&gt;'VALOR POR PL'!$P$5)*H5:H76)</f>
        <v/>
      </c>
      <c r="M11" s="127">
        <f>'CP RESUMO'!J41</f>
        <v/>
      </c>
      <c r="N11" s="128">
        <f>MAX(0,M11-M10)</f>
        <v/>
      </c>
      <c r="O11" s="127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29">
        <f>DATE(YEAR(B11),MONTH(B11)+1,1)</f>
        <v/>
      </c>
      <c r="C12" s="63">
        <f>'DADOS HISTORICOS'!K41</f>
        <v/>
      </c>
      <c r="D12" s="50">
        <f>IF(B12&lt;='VALOR POR PL'!$P$5,0,IF($K$17&gt;0,$K$18*P12/$K$17,0))</f>
        <v/>
      </c>
      <c r="E12" s="50">
        <f>(C12+D12)/IF(B12&lt;='VALOR POR PL'!$P$5,IFERROR(INDEX('"INCC-FGV"'!$B$2:$B$400,MATCH(B12,'"INCC-FGV"'!$A$2:$A$400,0)),$K$2),$K$2)</f>
        <v/>
      </c>
      <c r="F12" s="110">
        <f>IF($K$9=0,0,E12/$K$9)</f>
        <v/>
      </c>
      <c r="G12" s="110">
        <f>G11+F12</f>
        <v/>
      </c>
      <c r="H12" s="126" t="n"/>
      <c r="I12" s="47" t="inlineStr">
        <is>
          <t>Σ CURVA PREVISION (meses futuros, %)</t>
        </is>
      </c>
      <c r="K12" s="127">
        <f>SUMPRODUCT((B5:B76&gt;'VALOR POR PL'!$P$5)*N5:N76)</f>
        <v/>
      </c>
      <c r="M12" s="127">
        <f>'CP RESUMO'!K41</f>
        <v/>
      </c>
      <c r="N12" s="128">
        <f>MAX(0,M12-M11)</f>
        <v/>
      </c>
      <c r="O12" s="127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29">
        <f>DATE(YEAR(B12),MONTH(B12)+1,1)</f>
        <v/>
      </c>
      <c r="C13" s="63">
        <f>'DADOS HISTORICOS'!L41</f>
        <v/>
      </c>
      <c r="D13" s="50">
        <f>IF(B13&lt;='VALOR POR PL'!$P$5,0,IF($K$17&gt;0,$K$18*P13/$K$17,0))</f>
        <v/>
      </c>
      <c r="E13" s="50">
        <f>(C13+D13)/IF(B13&lt;='VALOR POR PL'!$P$5,IFERROR(INDEX('"INCC-FGV"'!$B$2:$B$400,MATCH(B13,'"INCC-FGV"'!$A$2:$A$400,0)),$K$2),$K$2)</f>
        <v/>
      </c>
      <c r="F13" s="110">
        <f>IF($K$9=0,0,E13/$K$9)</f>
        <v/>
      </c>
      <c r="G13" s="110">
        <f>G12+F13</f>
        <v/>
      </c>
      <c r="H13" s="126" t="n"/>
      <c r="I13" s="47" t="inlineStr">
        <is>
          <t>TIPO DO ITEM</t>
        </is>
      </c>
      <c r="K13" s="63">
        <f>'VALOR POR PL'!I47</f>
        <v/>
      </c>
      <c r="M13" s="127">
        <f>'CP RESUMO'!L41</f>
        <v/>
      </c>
      <c r="N13" s="128">
        <f>MAX(0,M13-M12)</f>
        <v/>
      </c>
      <c r="O13" s="127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29">
        <f>DATE(YEAR(B13),MONTH(B13)+1,1)</f>
        <v/>
      </c>
      <c r="C14" s="63">
        <f>'DADOS HISTORICOS'!M41</f>
        <v/>
      </c>
      <c r="D14" s="50">
        <f>IF(B14&lt;='VALOR POR PL'!$P$5,0,IF($K$17&gt;0,$K$18*P14/$K$17,0))</f>
        <v/>
      </c>
      <c r="E14" s="50">
        <f>(C14+D14)/IF(B14&lt;='VALOR POR PL'!$P$5,IFERROR(INDEX('"INCC-FGV"'!$B$2:$B$400,MATCH(B14,'"INCC-FGV"'!$A$2:$A$400,0)),$K$2),$K$2)</f>
        <v/>
      </c>
      <c r="F14" s="110">
        <f>IF($K$9=0,0,E14/$K$9)</f>
        <v/>
      </c>
      <c r="G14" s="110">
        <f>G13+F14</f>
        <v/>
      </c>
      <c r="H14" s="126" t="n"/>
      <c r="I14" s="47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M14" s="127">
        <f>'CP RESUMO'!M41</f>
        <v/>
      </c>
      <c r="N14" s="128">
        <f>MAX(0,M14-M13)</f>
        <v/>
      </c>
      <c r="O14" s="127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29">
        <f>DATE(YEAR(B14),MONTH(B14)+1,1)</f>
        <v/>
      </c>
      <c r="C15" s="63">
        <f>'DADOS HISTORICOS'!N41</f>
        <v/>
      </c>
      <c r="D15" s="50">
        <f>IF(B15&lt;='VALOR POR PL'!$P$5,0,IF($K$17&gt;0,$K$18*P15/$K$17,0))</f>
        <v/>
      </c>
      <c r="E15" s="50">
        <f>(C15+D15)/IF(B15&lt;='VALOR POR PL'!$P$5,IFERROR(INDEX('"INCC-FGV"'!$B$2:$B$400,MATCH(B15,'"INCC-FGV"'!$A$2:$A$400,0)),$K$2),$K$2)</f>
        <v/>
      </c>
      <c r="F15" s="110">
        <f>IF($K$9=0,0,E15/$K$9)</f>
        <v/>
      </c>
      <c r="G15" s="110">
        <f>G14+F15</f>
        <v/>
      </c>
      <c r="H15" s="126" t="n"/>
      <c r="I15" s="47" t="inlineStr">
        <is>
          <t>FORÇAR FONTE (opcional)</t>
        </is>
      </c>
      <c r="K15" s="130" t="inlineStr">
        <is>
          <t>AUTOMÁTICO</t>
        </is>
      </c>
      <c r="M15" s="127">
        <f>'CP RESUMO'!N41</f>
        <v/>
      </c>
      <c r="N15" s="128">
        <f>MAX(0,M15-M14)</f>
        <v/>
      </c>
      <c r="O15" s="127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29">
        <f>DATE(YEAR(B15),MONTH(B15)+1,1)</f>
        <v/>
      </c>
      <c r="C16" s="63">
        <f>'DADOS HISTORICOS'!O41</f>
        <v/>
      </c>
      <c r="D16" s="50">
        <f>IF(B16&lt;='VALOR POR PL'!$P$5,0,IF($K$17&gt;0,$K$18*P16/$K$17,0))</f>
        <v/>
      </c>
      <c r="E16" s="50">
        <f>(C16+D16)/IF(B16&lt;='VALOR POR PL'!$P$5,IFERROR(INDEX('"INCC-FGV"'!$B$2:$B$400,MATCH(B16,'"INCC-FGV"'!$A$2:$A$400,0)),$K$2),$K$2)</f>
        <v/>
      </c>
      <c r="F16" s="110">
        <f>IF($K$9=0,0,E16/$K$9)</f>
        <v/>
      </c>
      <c r="G16" s="110">
        <f>G15+F16</f>
        <v/>
      </c>
      <c r="H16" s="126" t="n"/>
      <c r="I16" s="47" t="inlineStr">
        <is>
          <t>FONTE DA CURVA USADA</t>
        </is>
      </c>
      <c r="K16" s="63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7">
        <f>'CP RESUMO'!O41</f>
        <v/>
      </c>
      <c r="N16" s="128">
        <f>MAX(0,M16-M15)</f>
        <v/>
      </c>
      <c r="O16" s="127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29">
        <f>DATE(YEAR(B16),MONTH(B16)+1,1)</f>
        <v/>
      </c>
      <c r="C17" s="63">
        <f>'DADOS HISTORICOS'!P41</f>
        <v/>
      </c>
      <c r="D17" s="50">
        <f>IF(B17&lt;='VALOR POR PL'!$P$5,0,IF($K$17&gt;0,$K$18*P17/$K$17,0))</f>
        <v/>
      </c>
      <c r="E17" s="50">
        <f>(C17+D17)/IF(B17&lt;='VALOR POR PL'!$P$5,IFERROR(INDEX('"INCC-FGV"'!$B$2:$B$400,MATCH(B17,'"INCC-FGV"'!$A$2:$A$400,0)),$K$2),$K$2)</f>
        <v/>
      </c>
      <c r="F17" s="110">
        <f>IF($K$9=0,0,E17/$K$9)</f>
        <v/>
      </c>
      <c r="G17" s="110">
        <f>G16+F17</f>
        <v/>
      </c>
      <c r="H17" s="126" t="n"/>
      <c r="I17" s="47" t="inlineStr">
        <is>
          <t>Σ PESOS USADOS</t>
        </is>
      </c>
      <c r="K17" s="50">
        <f>SUM(P5:P76)</f>
        <v/>
      </c>
      <c r="M17" s="127">
        <f>'CP RESUMO'!P41</f>
        <v/>
      </c>
      <c r="N17" s="128">
        <f>MAX(0,M17-M16)</f>
        <v/>
      </c>
      <c r="O17" s="127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29">
        <f>DATE(YEAR(B17),MONTH(B17)+1,1)</f>
        <v/>
      </c>
      <c r="C18" s="63">
        <f>'DADOS HISTORICOS'!Q41</f>
        <v/>
      </c>
      <c r="D18" s="50">
        <f>IF(B18&lt;='VALOR POR PL'!$P$5,0,IF($K$17&gt;0,$K$18*P18/$K$17,0))</f>
        <v/>
      </c>
      <c r="E18" s="50">
        <f>(C18+D18)/IF(B18&lt;='VALOR POR PL'!$P$5,IFERROR(INDEX('"INCC-FGV"'!$B$2:$B$400,MATCH(B18,'"INCC-FGV"'!$A$2:$A$400,0)),$K$2),$K$2)</f>
        <v/>
      </c>
      <c r="F18" s="110">
        <f>IF($K$9=0,0,E18/$K$9)</f>
        <v/>
      </c>
      <c r="G18" s="110">
        <f>G17+F18</f>
        <v/>
      </c>
      <c r="H18" s="126" t="n"/>
      <c r="I18" s="47" t="inlineStr">
        <is>
          <t>SALDO A DISTRIBUIR (R$)</t>
        </is>
      </c>
      <c r="K18" s="50">
        <f>MAX(0,J7-C78)</f>
        <v/>
      </c>
      <c r="M18" s="127">
        <f>'CP RESUMO'!Q41</f>
        <v/>
      </c>
      <c r="N18" s="128">
        <f>MAX(0,M18-M17)</f>
        <v/>
      </c>
      <c r="O18" s="127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29">
        <f>DATE(YEAR(B18),MONTH(B18)+1,1)</f>
        <v/>
      </c>
      <c r="C19" s="63">
        <f>'DADOS HISTORICOS'!R41</f>
        <v/>
      </c>
      <c r="D19" s="50">
        <f>IF(B19&lt;='VALOR POR PL'!$P$5,0,IF($K$17&gt;0,$K$18*P19/$K$17,0))</f>
        <v/>
      </c>
      <c r="E19" s="50">
        <f>(C19+D19)/IF(B19&lt;='VALOR POR PL'!$P$5,IFERROR(INDEX('"INCC-FGV"'!$B$2:$B$400,MATCH(B19,'"INCC-FGV"'!$A$2:$A$400,0)),$K$2),$K$2)</f>
        <v/>
      </c>
      <c r="F19" s="110">
        <f>IF($K$9=0,0,E19/$K$9)</f>
        <v/>
      </c>
      <c r="G19" s="110">
        <f>G18+F19</f>
        <v/>
      </c>
      <c r="H19" s="126" t="n"/>
      <c r="I19" s="47" t="inlineStr">
        <is>
          <t>AJUSTE APLICADO À PREVISÃO INFORMADA</t>
        </is>
      </c>
      <c r="K19" s="131">
        <f>IF(AND(K16="PREVISÃO INFORMADA",K11&gt;0),K18/K11-1,"")</f>
        <v/>
      </c>
      <c r="M19" s="127">
        <f>'CP RESUMO'!R41</f>
        <v/>
      </c>
      <c r="N19" s="128">
        <f>MAX(0,M19-M18)</f>
        <v/>
      </c>
      <c r="O19" s="127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29">
        <f>DATE(YEAR(B19),MONTH(B19)+1,1)</f>
        <v/>
      </c>
      <c r="C20" s="63">
        <f>'DADOS HISTORICOS'!S41</f>
        <v/>
      </c>
      <c r="D20" s="50">
        <f>IF(B20&lt;='VALOR POR PL'!$P$5,0,IF($K$17&gt;0,$K$18*P20/$K$17,0))</f>
        <v/>
      </c>
      <c r="E20" s="50">
        <f>(C20+D20)/IF(B20&lt;='VALOR POR PL'!$P$5,IFERROR(INDEX('"INCC-FGV"'!$B$2:$B$400,MATCH(B20,'"INCC-FGV"'!$A$2:$A$400,0)),$K$2),$K$2)</f>
        <v/>
      </c>
      <c r="F20" s="110">
        <f>IF($K$9=0,0,E20/$K$9)</f>
        <v/>
      </c>
      <c r="G20" s="110">
        <f>G19+F20</f>
        <v/>
      </c>
      <c r="H20" s="126" t="n"/>
      <c r="I20" s="47" t="inlineStr">
        <is>
          <t>MOTIVO</t>
        </is>
      </c>
      <c r="K20" s="13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7">
        <f>'CP RESUMO'!S41</f>
        <v/>
      </c>
      <c r="N20" s="128">
        <f>MAX(0,M20-M19)</f>
        <v/>
      </c>
      <c r="O20" s="127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29">
        <f>DATE(YEAR(B20),MONTH(B20)+1,1)</f>
        <v/>
      </c>
      <c r="C21" s="63">
        <f>'DADOS HISTORICOS'!T41</f>
        <v/>
      </c>
      <c r="D21" s="50">
        <f>IF(B21&lt;='VALOR POR PL'!$P$5,0,IF($K$17&gt;0,$K$18*P21/$K$17,0))</f>
        <v/>
      </c>
      <c r="E21" s="50">
        <f>(C21+D21)/IF(B21&lt;='VALOR POR PL'!$P$5,IFERROR(INDEX('"INCC-FGV"'!$B$2:$B$400,MATCH(B21,'"INCC-FGV"'!$A$2:$A$400,0)),$K$2),$K$2)</f>
        <v/>
      </c>
      <c r="F21" s="110">
        <f>IF($K$9=0,0,E21/$K$9)</f>
        <v/>
      </c>
      <c r="G21" s="110">
        <f>G20+F21</f>
        <v/>
      </c>
      <c r="H21" s="126" t="n"/>
      <c r="K21" s="133" t="n"/>
      <c r="M21" s="127">
        <f>'CP RESUMO'!T41</f>
        <v/>
      </c>
      <c r="N21" s="128">
        <f>MAX(0,M21-M20)</f>
        <v/>
      </c>
      <c r="O21" s="127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29">
        <f>DATE(YEAR(B21),MONTH(B21)+1,1)</f>
        <v/>
      </c>
      <c r="C22" s="63">
        <f>'DADOS HISTORICOS'!U41</f>
        <v/>
      </c>
      <c r="D22" s="50">
        <f>IF(B22&lt;='VALOR POR PL'!$P$5,0,IF($K$17&gt;0,$K$18*P22/$K$17,0))</f>
        <v/>
      </c>
      <c r="E22" s="50">
        <f>(C22+D22)/IF(B22&lt;='VALOR POR PL'!$P$5,IFERROR(INDEX('"INCC-FGV"'!$B$2:$B$400,MATCH(B22,'"INCC-FGV"'!$A$2:$A$400,0)),$K$2),$K$2)</f>
        <v/>
      </c>
      <c r="F22" s="110">
        <f>IF($K$9=0,0,E22/$K$9)</f>
        <v/>
      </c>
      <c r="G22" s="110">
        <f>G21+F22</f>
        <v/>
      </c>
      <c r="H22" s="126" t="n"/>
      <c r="M22" s="127">
        <f>'CP RESUMO'!U41</f>
        <v/>
      </c>
      <c r="N22" s="128">
        <f>MAX(0,M22-M21)</f>
        <v/>
      </c>
      <c r="O22" s="127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29">
        <f>DATE(YEAR(B22),MONTH(B22)+1,1)</f>
        <v/>
      </c>
      <c r="C23" s="63">
        <f>'DADOS HISTORICOS'!V41</f>
        <v/>
      </c>
      <c r="D23" s="50">
        <f>IF(B23&lt;='VALOR POR PL'!$P$5,0,IF($K$17&gt;0,$K$18*P23/$K$17,0))</f>
        <v/>
      </c>
      <c r="E23" s="50">
        <f>(C23+D23)/IF(B23&lt;='VALOR POR PL'!$P$5,IFERROR(INDEX('"INCC-FGV"'!$B$2:$B$400,MATCH(B23,'"INCC-FGV"'!$A$2:$A$400,0)),$K$2),$K$2)</f>
        <v/>
      </c>
      <c r="F23" s="110">
        <f>IF($K$9=0,0,E23/$K$9)</f>
        <v/>
      </c>
      <c r="G23" s="110">
        <f>G22+F23</f>
        <v/>
      </c>
      <c r="H23" s="126" t="n"/>
      <c r="I23" s="3" t="inlineStr">
        <is>
          <t>Critério / observações:</t>
        </is>
      </c>
      <c r="M23" s="127">
        <f>'CP RESUMO'!V41</f>
        <v/>
      </c>
      <c r="N23" s="128">
        <f>MAX(0,M23-M22)</f>
        <v/>
      </c>
      <c r="O23" s="127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29">
        <f>DATE(YEAR(B23),MONTH(B23)+1,1)</f>
        <v/>
      </c>
      <c r="C24" s="63">
        <f>'DADOS HISTORICOS'!W41</f>
        <v/>
      </c>
      <c r="D24" s="50">
        <f>IF(B24&lt;='VALOR POR PL'!$P$5,0,IF($K$17&gt;0,$K$18*P24/$K$17,0))</f>
        <v/>
      </c>
      <c r="E24" s="50">
        <f>(C24+D24)/IF(B24&lt;='VALOR POR PL'!$P$5,IFERROR(INDEX('"INCC-FGV"'!$B$2:$B$400,MATCH(B24,'"INCC-FGV"'!$A$2:$A$400,0)),$K$2),$K$2)</f>
        <v/>
      </c>
      <c r="F24" s="110">
        <f>IF($K$9=0,0,E24/$K$9)</f>
        <v/>
      </c>
      <c r="G24" s="110">
        <f>G23+F24</f>
        <v/>
      </c>
      <c r="H24" s="126" t="n"/>
      <c r="I24" s="134" t="n"/>
      <c r="M24" s="127">
        <f>'CP RESUMO'!W41</f>
        <v/>
      </c>
      <c r="N24" s="128">
        <f>MAX(0,M24-M23)</f>
        <v/>
      </c>
      <c r="O24" s="127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29">
        <f>DATE(YEAR(B24),MONTH(B24)+1,1)</f>
        <v/>
      </c>
      <c r="C25" s="63">
        <f>'DADOS HISTORICOS'!X41</f>
        <v/>
      </c>
      <c r="D25" s="50">
        <f>IF(B25&lt;='VALOR POR PL'!$P$5,0,IF($K$17&gt;0,$K$18*P25/$K$17,0))</f>
        <v/>
      </c>
      <c r="E25" s="50">
        <f>(C25+D25)/IF(B25&lt;='VALOR POR PL'!$P$5,IFERROR(INDEX('"INCC-FGV"'!$B$2:$B$400,MATCH(B25,'"INCC-FGV"'!$A$2:$A$400,0)),$K$2),$K$2)</f>
        <v/>
      </c>
      <c r="F25" s="110">
        <f>IF($K$9=0,0,E25/$K$9)</f>
        <v/>
      </c>
      <c r="G25" s="110">
        <f>G24+F25</f>
        <v/>
      </c>
      <c r="H25" s="126" t="n"/>
      <c r="M25" s="127">
        <f>'CP RESUMO'!X41</f>
        <v/>
      </c>
      <c r="N25" s="128">
        <f>MAX(0,M25-M24)</f>
        <v/>
      </c>
      <c r="O25" s="127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29">
        <f>DATE(YEAR(B25),MONTH(B25)+1,1)</f>
        <v/>
      </c>
      <c r="C26" s="63">
        <f>'DADOS HISTORICOS'!Y41</f>
        <v/>
      </c>
      <c r="D26" s="50">
        <f>IF(B26&lt;='VALOR POR PL'!$P$5,0,IF($K$17&gt;0,$K$18*P26/$K$17,0))</f>
        <v/>
      </c>
      <c r="E26" s="50">
        <f>(C26+D26)/IF(B26&lt;='VALOR POR PL'!$P$5,IFERROR(INDEX('"INCC-FGV"'!$B$2:$B$400,MATCH(B26,'"INCC-FGV"'!$A$2:$A$400,0)),$K$2),$K$2)</f>
        <v/>
      </c>
      <c r="F26" s="110">
        <f>IF($K$9=0,0,E26/$K$9)</f>
        <v/>
      </c>
      <c r="G26" s="110">
        <f>G25+F26</f>
        <v/>
      </c>
      <c r="H26" s="126" t="n"/>
      <c r="M26" s="127">
        <f>'CP RESUMO'!Y41</f>
        <v/>
      </c>
      <c r="N26" s="128">
        <f>MAX(0,M26-M25)</f>
        <v/>
      </c>
      <c r="O26" s="127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29">
        <f>DATE(YEAR(B26),MONTH(B26)+1,1)</f>
        <v/>
      </c>
      <c r="C27" s="63">
        <f>'DADOS HISTORICOS'!Z41</f>
        <v/>
      </c>
      <c r="D27" s="50">
        <f>IF(B27&lt;='VALOR POR PL'!$P$5,0,IF($K$17&gt;0,$K$18*P27/$K$17,0))</f>
        <v/>
      </c>
      <c r="E27" s="50">
        <f>(C27+D27)/IF(B27&lt;='VALOR POR PL'!$P$5,IFERROR(INDEX('"INCC-FGV"'!$B$2:$B$400,MATCH(B27,'"INCC-FGV"'!$A$2:$A$400,0)),$K$2),$K$2)</f>
        <v/>
      </c>
      <c r="F27" s="110">
        <f>IF($K$9=0,0,E27/$K$9)</f>
        <v/>
      </c>
      <c r="G27" s="110">
        <f>G26+F27</f>
        <v/>
      </c>
      <c r="H27" s="126" t="n"/>
      <c r="M27" s="127">
        <f>'CP RESUMO'!Z41</f>
        <v/>
      </c>
      <c r="N27" s="128">
        <f>MAX(0,M27-M26)</f>
        <v/>
      </c>
      <c r="O27" s="127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29">
        <f>DATE(YEAR(B27),MONTH(B27)+1,1)</f>
        <v/>
      </c>
      <c r="C28" s="63">
        <f>'DADOS HISTORICOS'!AA41</f>
        <v/>
      </c>
      <c r="D28" s="50">
        <f>IF(B28&lt;='VALOR POR PL'!$P$5,0,IF($K$17&gt;0,$K$18*P28/$K$17,0))</f>
        <v/>
      </c>
      <c r="E28" s="50">
        <f>(C28+D28)/IF(B28&lt;='VALOR POR PL'!$P$5,IFERROR(INDEX('"INCC-FGV"'!$B$2:$B$400,MATCH(B28,'"INCC-FGV"'!$A$2:$A$400,0)),$K$2),$K$2)</f>
        <v/>
      </c>
      <c r="F28" s="110">
        <f>IF($K$9=0,0,E28/$K$9)</f>
        <v/>
      </c>
      <c r="G28" s="110">
        <f>G27+F28</f>
        <v/>
      </c>
      <c r="H28" s="126" t="n"/>
      <c r="M28" s="127">
        <f>'CP RESUMO'!AA41</f>
        <v/>
      </c>
      <c r="N28" s="128">
        <f>MAX(0,M28-M27)</f>
        <v/>
      </c>
      <c r="O28" s="127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29">
        <f>DATE(YEAR(B28),MONTH(B28)+1,1)</f>
        <v/>
      </c>
      <c r="C29" s="63">
        <f>'DADOS HISTORICOS'!AB41</f>
        <v/>
      </c>
      <c r="D29" s="50">
        <f>IF(B29&lt;='VALOR POR PL'!$P$5,0,IF($K$17&gt;0,$K$18*P29/$K$17,0))</f>
        <v/>
      </c>
      <c r="E29" s="50">
        <f>(C29+D29)/IF(B29&lt;='VALOR POR PL'!$P$5,IFERROR(INDEX('"INCC-FGV"'!$B$2:$B$400,MATCH(B29,'"INCC-FGV"'!$A$2:$A$400,0)),$K$2),$K$2)</f>
        <v/>
      </c>
      <c r="F29" s="110">
        <f>IF($K$9=0,0,E29/$K$9)</f>
        <v/>
      </c>
      <c r="G29" s="110">
        <f>G28+F29</f>
        <v/>
      </c>
      <c r="H29" s="126" t="n"/>
      <c r="M29" s="127">
        <f>'CP RESUMO'!AB41</f>
        <v/>
      </c>
      <c r="N29" s="128">
        <f>MAX(0,M29-M28)</f>
        <v/>
      </c>
      <c r="O29" s="127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29">
        <f>DATE(YEAR(B29),MONTH(B29)+1,1)</f>
        <v/>
      </c>
      <c r="C30" s="63">
        <f>'DADOS HISTORICOS'!AC41</f>
        <v/>
      </c>
      <c r="D30" s="50">
        <f>IF(B30&lt;='VALOR POR PL'!$P$5,0,IF($K$17&gt;0,$K$18*P30/$K$17,0))</f>
        <v/>
      </c>
      <c r="E30" s="50">
        <f>(C30+D30)/IF(B30&lt;='VALOR POR PL'!$P$5,IFERROR(INDEX('"INCC-FGV"'!$B$2:$B$400,MATCH(B30,'"INCC-FGV"'!$A$2:$A$400,0)),$K$2),$K$2)</f>
        <v/>
      </c>
      <c r="F30" s="110">
        <f>IF($K$9=0,0,E30/$K$9)</f>
        <v/>
      </c>
      <c r="G30" s="110">
        <f>G29+F30</f>
        <v/>
      </c>
      <c r="H30" s="126" t="n"/>
      <c r="M30" s="127">
        <f>'CP RESUMO'!AC41</f>
        <v/>
      </c>
      <c r="N30" s="128">
        <f>MAX(0,M30-M29)</f>
        <v/>
      </c>
      <c r="O30" s="127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29">
        <f>DATE(YEAR(B30),MONTH(B30)+1,1)</f>
        <v/>
      </c>
      <c r="C31" s="63">
        <f>'DADOS HISTORICOS'!AD41</f>
        <v/>
      </c>
      <c r="D31" s="50">
        <f>IF(B31&lt;='VALOR POR PL'!$P$5,0,IF($K$17&gt;0,$K$18*P31/$K$17,0))</f>
        <v/>
      </c>
      <c r="E31" s="50">
        <f>(C31+D31)/IF(B31&lt;='VALOR POR PL'!$P$5,IFERROR(INDEX('"INCC-FGV"'!$B$2:$B$400,MATCH(B31,'"INCC-FGV"'!$A$2:$A$400,0)),$K$2),$K$2)</f>
        <v/>
      </c>
      <c r="F31" s="110">
        <f>IF($K$9=0,0,E31/$K$9)</f>
        <v/>
      </c>
      <c r="G31" s="110">
        <f>G30+F31</f>
        <v/>
      </c>
      <c r="H31" s="126" t="n"/>
      <c r="M31" s="127">
        <f>'CP RESUMO'!AD41</f>
        <v/>
      </c>
      <c r="N31" s="128">
        <f>MAX(0,M31-M30)</f>
        <v/>
      </c>
      <c r="O31" s="127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29">
        <f>DATE(YEAR(B31),MONTH(B31)+1,1)</f>
        <v/>
      </c>
      <c r="C32" s="63">
        <f>'DADOS HISTORICOS'!AE41</f>
        <v/>
      </c>
      <c r="D32" s="50">
        <f>IF(B32&lt;='VALOR POR PL'!$P$5,0,IF($K$17&gt;0,$K$18*P32/$K$17,0))</f>
        <v/>
      </c>
      <c r="E32" s="50">
        <f>(C32+D32)/IF(B32&lt;='VALOR POR PL'!$P$5,IFERROR(INDEX('"INCC-FGV"'!$B$2:$B$400,MATCH(B32,'"INCC-FGV"'!$A$2:$A$400,0)),$K$2),$K$2)</f>
        <v/>
      </c>
      <c r="F32" s="110">
        <f>IF($K$9=0,0,E32/$K$9)</f>
        <v/>
      </c>
      <c r="G32" s="110">
        <f>G31+F32</f>
        <v/>
      </c>
      <c r="H32" s="126" t="n"/>
      <c r="M32" s="127">
        <f>'CP RESUMO'!AE41</f>
        <v/>
      </c>
      <c r="N32" s="128">
        <f>MAX(0,M32-M31)</f>
        <v/>
      </c>
      <c r="O32" s="127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29">
        <f>DATE(YEAR(B32),MONTH(B32)+1,1)</f>
        <v/>
      </c>
      <c r="C33" s="63">
        <f>'DADOS HISTORICOS'!AF41</f>
        <v/>
      </c>
      <c r="D33" s="50">
        <f>IF(B33&lt;='VALOR POR PL'!$P$5,0,IF($K$17&gt;0,$K$18*P33/$K$17,0))</f>
        <v/>
      </c>
      <c r="E33" s="50">
        <f>(C33+D33)/IF(B33&lt;='VALOR POR PL'!$P$5,IFERROR(INDEX('"INCC-FGV"'!$B$2:$B$400,MATCH(B33,'"INCC-FGV"'!$A$2:$A$400,0)),$K$2),$K$2)</f>
        <v/>
      </c>
      <c r="F33" s="110">
        <f>IF($K$9=0,0,E33/$K$9)</f>
        <v/>
      </c>
      <c r="G33" s="110">
        <f>G32+F33</f>
        <v/>
      </c>
      <c r="H33" s="126" t="n"/>
      <c r="M33" s="127">
        <f>'CP RESUMO'!AF41</f>
        <v/>
      </c>
      <c r="N33" s="128">
        <f>MAX(0,M33-M32)</f>
        <v/>
      </c>
      <c r="O33" s="127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29">
        <f>DATE(YEAR(B33),MONTH(B33)+1,1)</f>
        <v/>
      </c>
      <c r="C34" s="63">
        <f>'DADOS HISTORICOS'!AG41</f>
        <v/>
      </c>
      <c r="D34" s="50">
        <f>IF(B34&lt;='VALOR POR PL'!$P$5,0,IF($K$17&gt;0,$K$18*P34/$K$17,0))</f>
        <v/>
      </c>
      <c r="E34" s="50">
        <f>(C34+D34)/IF(B34&lt;='VALOR POR PL'!$P$5,IFERROR(INDEX('"INCC-FGV"'!$B$2:$B$400,MATCH(B34,'"INCC-FGV"'!$A$2:$A$400,0)),$K$2),$K$2)</f>
        <v/>
      </c>
      <c r="F34" s="110">
        <f>IF($K$9=0,0,E34/$K$9)</f>
        <v/>
      </c>
      <c r="G34" s="110">
        <f>G33+F34</f>
        <v/>
      </c>
      <c r="H34" s="126" t="n"/>
      <c r="M34" s="127">
        <f>'CP RESUMO'!AG41</f>
        <v/>
      </c>
      <c r="N34" s="128">
        <f>MAX(0,M34-M33)</f>
        <v/>
      </c>
      <c r="O34" s="127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29">
        <f>DATE(YEAR(B34),MONTH(B34)+1,1)</f>
        <v/>
      </c>
      <c r="C35" s="63">
        <f>'DADOS HISTORICOS'!AH41</f>
        <v/>
      </c>
      <c r="D35" s="50">
        <f>IF(B35&lt;='VALOR POR PL'!$P$5,0,IF($K$17&gt;0,$K$18*P35/$K$17,0))</f>
        <v/>
      </c>
      <c r="E35" s="50">
        <f>(C35+D35)/IF(B35&lt;='VALOR POR PL'!$P$5,IFERROR(INDEX('"INCC-FGV"'!$B$2:$B$400,MATCH(B35,'"INCC-FGV"'!$A$2:$A$400,0)),$K$2),$K$2)</f>
        <v/>
      </c>
      <c r="F35" s="110">
        <f>IF($K$9=0,0,E35/$K$9)</f>
        <v/>
      </c>
      <c r="G35" s="110">
        <f>G34+F35</f>
        <v/>
      </c>
      <c r="H35" s="126" t="n"/>
      <c r="M35" s="127">
        <f>'CP RESUMO'!AH41</f>
        <v/>
      </c>
      <c r="N35" s="128">
        <f>MAX(0,M35-M34)</f>
        <v/>
      </c>
      <c r="O35" s="127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29">
        <f>DATE(YEAR(B35),MONTH(B35)+1,1)</f>
        <v/>
      </c>
      <c r="C36" s="63">
        <f>'DADOS HISTORICOS'!AI41</f>
        <v/>
      </c>
      <c r="D36" s="50">
        <f>IF(B36&lt;='VALOR POR PL'!$P$5,0,IF($K$17&gt;0,$K$18*P36/$K$17,0))</f>
        <v/>
      </c>
      <c r="E36" s="50">
        <f>(C36+D36)/IF(B36&lt;='VALOR POR PL'!$P$5,IFERROR(INDEX('"INCC-FGV"'!$B$2:$B$400,MATCH(B36,'"INCC-FGV"'!$A$2:$A$400,0)),$K$2),$K$2)</f>
        <v/>
      </c>
      <c r="F36" s="110">
        <f>IF($K$9=0,0,E36/$K$9)</f>
        <v/>
      </c>
      <c r="G36" s="110">
        <f>G35+F36</f>
        <v/>
      </c>
      <c r="H36" s="126" t="n"/>
      <c r="M36" s="127">
        <f>'CP RESUMO'!AI41</f>
        <v/>
      </c>
      <c r="N36" s="128">
        <f>MAX(0,M36-M35)</f>
        <v/>
      </c>
      <c r="O36" s="127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29">
        <f>DATE(YEAR(B36),MONTH(B36)+1,1)</f>
        <v/>
      </c>
      <c r="C37" s="63">
        <f>'DADOS HISTORICOS'!AJ41</f>
        <v/>
      </c>
      <c r="D37" s="50">
        <f>IF(B37&lt;='VALOR POR PL'!$P$5,0,IF($K$17&gt;0,$K$18*P37/$K$17,0))</f>
        <v/>
      </c>
      <c r="E37" s="50">
        <f>(C37+D37)/IF(B37&lt;='VALOR POR PL'!$P$5,IFERROR(INDEX('"INCC-FGV"'!$B$2:$B$400,MATCH(B37,'"INCC-FGV"'!$A$2:$A$400,0)),$K$2),$K$2)</f>
        <v/>
      </c>
      <c r="F37" s="110">
        <f>IF($K$9=0,0,E37/$K$9)</f>
        <v/>
      </c>
      <c r="G37" s="110">
        <f>G36+F37</f>
        <v/>
      </c>
      <c r="H37" s="126" t="n"/>
      <c r="M37" s="127">
        <f>'CP RESUMO'!AJ41</f>
        <v/>
      </c>
      <c r="N37" s="128">
        <f>MAX(0,M37-M36)</f>
        <v/>
      </c>
      <c r="O37" s="127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29">
        <f>DATE(YEAR(B37),MONTH(B37)+1,1)</f>
        <v/>
      </c>
      <c r="C38" s="63">
        <f>'DADOS HISTORICOS'!AK41</f>
        <v/>
      </c>
      <c r="D38" s="50">
        <f>IF(B38&lt;='VALOR POR PL'!$P$5,0,IF($K$17&gt;0,$K$18*P38/$K$17,0))</f>
        <v/>
      </c>
      <c r="E38" s="50">
        <f>(C38+D38)/IF(B38&lt;='VALOR POR PL'!$P$5,IFERROR(INDEX('"INCC-FGV"'!$B$2:$B$400,MATCH(B38,'"INCC-FGV"'!$A$2:$A$400,0)),$K$2),$K$2)</f>
        <v/>
      </c>
      <c r="F38" s="110">
        <f>IF($K$9=0,0,E38/$K$9)</f>
        <v/>
      </c>
      <c r="G38" s="110">
        <f>G37+F38</f>
        <v/>
      </c>
      <c r="H38" s="126" t="n"/>
      <c r="M38" s="127">
        <f>'CP RESUMO'!AK41</f>
        <v/>
      </c>
      <c r="N38" s="128">
        <f>MAX(0,M38-M37)</f>
        <v/>
      </c>
      <c r="O38" s="127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29">
        <f>DATE(YEAR(B38),MONTH(B38)+1,1)</f>
        <v/>
      </c>
      <c r="C39" s="63">
        <f>'DADOS HISTORICOS'!AL41</f>
        <v/>
      </c>
      <c r="D39" s="50">
        <f>IF(B39&lt;='VALOR POR PL'!$P$5,0,IF($K$17&gt;0,$K$18*P39/$K$17,0))</f>
        <v/>
      </c>
      <c r="E39" s="50">
        <f>(C39+D39)/IF(B39&lt;='VALOR POR PL'!$P$5,IFERROR(INDEX('"INCC-FGV"'!$B$2:$B$400,MATCH(B39,'"INCC-FGV"'!$A$2:$A$400,0)),$K$2),$K$2)</f>
        <v/>
      </c>
      <c r="F39" s="110">
        <f>IF($K$9=0,0,E39/$K$9)</f>
        <v/>
      </c>
      <c r="G39" s="110">
        <f>G38+F39</f>
        <v/>
      </c>
      <c r="H39" s="126" t="n"/>
      <c r="M39" s="127">
        <f>'CP RESUMO'!AL41</f>
        <v/>
      </c>
      <c r="N39" s="128">
        <f>MAX(0,M39-M38)</f>
        <v/>
      </c>
      <c r="O39" s="127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29">
        <f>DATE(YEAR(B39),MONTH(B39)+1,1)</f>
        <v/>
      </c>
      <c r="C40" s="63">
        <f>'DADOS HISTORICOS'!AM41</f>
        <v/>
      </c>
      <c r="D40" s="50">
        <f>IF(B40&lt;='VALOR POR PL'!$P$5,0,IF($K$17&gt;0,$K$18*P40/$K$17,0))</f>
        <v/>
      </c>
      <c r="E40" s="50">
        <f>(C40+D40)/IF(B40&lt;='VALOR POR PL'!$P$5,IFERROR(INDEX('"INCC-FGV"'!$B$2:$B$400,MATCH(B40,'"INCC-FGV"'!$A$2:$A$400,0)),$K$2),$K$2)</f>
        <v/>
      </c>
      <c r="F40" s="110">
        <f>IF($K$9=0,0,E40/$K$9)</f>
        <v/>
      </c>
      <c r="G40" s="110">
        <f>G39+F40</f>
        <v/>
      </c>
      <c r="H40" s="126" t="n"/>
      <c r="M40" s="127">
        <f>'CP RESUMO'!AM41</f>
        <v/>
      </c>
      <c r="N40" s="128">
        <f>MAX(0,M40-M39)</f>
        <v/>
      </c>
      <c r="O40" s="127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29">
        <f>DATE(YEAR(B40),MONTH(B40)+1,1)</f>
        <v/>
      </c>
      <c r="C41" s="63">
        <f>'DADOS HISTORICOS'!AN41</f>
        <v/>
      </c>
      <c r="D41" s="50">
        <f>IF(B41&lt;='VALOR POR PL'!$P$5,0,IF($K$17&gt;0,$K$18*P41/$K$17,0))</f>
        <v/>
      </c>
      <c r="E41" s="50">
        <f>(C41+D41)/IF(B41&lt;='VALOR POR PL'!$P$5,IFERROR(INDEX('"INCC-FGV"'!$B$2:$B$400,MATCH(B41,'"INCC-FGV"'!$A$2:$A$400,0)),$K$2),$K$2)</f>
        <v/>
      </c>
      <c r="F41" s="110">
        <f>IF($K$9=0,0,E41/$K$9)</f>
        <v/>
      </c>
      <c r="G41" s="110">
        <f>G40+F41</f>
        <v/>
      </c>
      <c r="H41" s="126" t="n"/>
      <c r="M41" s="127">
        <f>'CP RESUMO'!AN41</f>
        <v/>
      </c>
      <c r="N41" s="128">
        <f>MAX(0,M41-M40)</f>
        <v/>
      </c>
      <c r="O41" s="127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29">
        <f>DATE(YEAR(B41),MONTH(B41)+1,1)</f>
        <v/>
      </c>
      <c r="C42" s="63">
        <f>'DADOS HISTORICOS'!AO41</f>
        <v/>
      </c>
      <c r="D42" s="50">
        <f>IF(B42&lt;='VALOR POR PL'!$P$5,0,IF($K$17&gt;0,$K$18*P42/$K$17,0))</f>
        <v/>
      </c>
      <c r="E42" s="50">
        <f>(C42+D42)/IF(B42&lt;='VALOR POR PL'!$P$5,IFERROR(INDEX('"INCC-FGV"'!$B$2:$B$400,MATCH(B42,'"INCC-FGV"'!$A$2:$A$400,0)),$K$2),$K$2)</f>
        <v/>
      </c>
      <c r="F42" s="110">
        <f>IF($K$9=0,0,E42/$K$9)</f>
        <v/>
      </c>
      <c r="G42" s="110">
        <f>G41+F42</f>
        <v/>
      </c>
      <c r="H42" s="126" t="n"/>
      <c r="M42" s="127">
        <f>'CP RESUMO'!AO41</f>
        <v/>
      </c>
      <c r="N42" s="128">
        <f>MAX(0,M42-M41)</f>
        <v/>
      </c>
      <c r="O42" s="127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29">
        <f>DATE(YEAR(B42),MONTH(B42)+1,1)</f>
        <v/>
      </c>
      <c r="C43" s="63">
        <f>'DADOS HISTORICOS'!AP41</f>
        <v/>
      </c>
      <c r="D43" s="50">
        <f>IF(B43&lt;='VALOR POR PL'!$P$5,0,IF($K$17&gt;0,$K$18*P43/$K$17,0))</f>
        <v/>
      </c>
      <c r="E43" s="50">
        <f>(C43+D43)/IF(B43&lt;='VALOR POR PL'!$P$5,IFERROR(INDEX('"INCC-FGV"'!$B$2:$B$400,MATCH(B43,'"INCC-FGV"'!$A$2:$A$400,0)),$K$2),$K$2)</f>
        <v/>
      </c>
      <c r="F43" s="110">
        <f>IF($K$9=0,0,E43/$K$9)</f>
        <v/>
      </c>
      <c r="G43" s="110">
        <f>G42+F43</f>
        <v/>
      </c>
      <c r="H43" s="126" t="n"/>
      <c r="M43" s="127">
        <f>'CP RESUMO'!AP41</f>
        <v/>
      </c>
      <c r="N43" s="128">
        <f>MAX(0,M43-M42)</f>
        <v/>
      </c>
      <c r="O43" s="127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29">
        <f>DATE(YEAR(B43),MONTH(B43)+1,1)</f>
        <v/>
      </c>
      <c r="C44" s="63">
        <f>'DADOS HISTORICOS'!AQ41</f>
        <v/>
      </c>
      <c r="D44" s="50">
        <f>IF(B44&lt;='VALOR POR PL'!$P$5,0,IF($K$17&gt;0,$K$18*P44/$K$17,0))</f>
        <v/>
      </c>
      <c r="E44" s="50">
        <f>(C44+D44)/IF(B44&lt;='VALOR POR PL'!$P$5,IFERROR(INDEX('"INCC-FGV"'!$B$2:$B$400,MATCH(B44,'"INCC-FGV"'!$A$2:$A$400,0)),$K$2),$K$2)</f>
        <v/>
      </c>
      <c r="F44" s="110">
        <f>IF($K$9=0,0,E44/$K$9)</f>
        <v/>
      </c>
      <c r="G44" s="110">
        <f>G43+F44</f>
        <v/>
      </c>
      <c r="H44" s="126" t="n"/>
      <c r="M44" s="127">
        <f>'CP RESUMO'!AQ41</f>
        <v/>
      </c>
      <c r="N44" s="128">
        <f>MAX(0,M44-M43)</f>
        <v/>
      </c>
      <c r="O44" s="127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29">
        <f>DATE(YEAR(B44),MONTH(B44)+1,1)</f>
        <v/>
      </c>
      <c r="C45" s="63">
        <f>'DADOS HISTORICOS'!AR41</f>
        <v/>
      </c>
      <c r="D45" s="50">
        <f>IF(B45&lt;='VALOR POR PL'!$P$5,0,IF($K$17&gt;0,$K$18*P45/$K$17,0))</f>
        <v/>
      </c>
      <c r="E45" s="50">
        <f>(C45+D45)/IF(B45&lt;='VALOR POR PL'!$P$5,IFERROR(INDEX('"INCC-FGV"'!$B$2:$B$400,MATCH(B45,'"INCC-FGV"'!$A$2:$A$400,0)),$K$2),$K$2)</f>
        <v/>
      </c>
      <c r="F45" s="110">
        <f>IF($K$9=0,0,E45/$K$9)</f>
        <v/>
      </c>
      <c r="G45" s="110">
        <f>G44+F45</f>
        <v/>
      </c>
      <c r="H45" s="126" t="n"/>
      <c r="M45" s="127">
        <f>'CP RESUMO'!AR41</f>
        <v/>
      </c>
      <c r="N45" s="128">
        <f>MAX(0,M45-M44)</f>
        <v/>
      </c>
      <c r="O45" s="127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29">
        <f>DATE(YEAR(B45),MONTH(B45)+1,1)</f>
        <v/>
      </c>
      <c r="C46" s="63">
        <f>'DADOS HISTORICOS'!AS41</f>
        <v/>
      </c>
      <c r="D46" s="50">
        <f>IF(B46&lt;='VALOR POR PL'!$P$5,0,IF($K$17&gt;0,$K$18*P46/$K$17,0))</f>
        <v/>
      </c>
      <c r="E46" s="50">
        <f>(C46+D46)/IF(B46&lt;='VALOR POR PL'!$P$5,IFERROR(INDEX('"INCC-FGV"'!$B$2:$B$400,MATCH(B46,'"INCC-FGV"'!$A$2:$A$400,0)),$K$2),$K$2)</f>
        <v/>
      </c>
      <c r="F46" s="110">
        <f>IF($K$9=0,0,E46/$K$9)</f>
        <v/>
      </c>
      <c r="G46" s="110">
        <f>G45+F46</f>
        <v/>
      </c>
      <c r="H46" s="126" t="n"/>
      <c r="M46" s="127">
        <f>'CP RESUMO'!AS41</f>
        <v/>
      </c>
      <c r="N46" s="128">
        <f>MAX(0,M46-M45)</f>
        <v/>
      </c>
      <c r="O46" s="127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29">
        <f>DATE(YEAR(B46),MONTH(B46)+1,1)</f>
        <v/>
      </c>
      <c r="C47" s="63">
        <f>'DADOS HISTORICOS'!AT41</f>
        <v/>
      </c>
      <c r="D47" s="50">
        <f>IF(B47&lt;='VALOR POR PL'!$P$5,0,IF($K$17&gt;0,$K$18*P47/$K$17,0))</f>
        <v/>
      </c>
      <c r="E47" s="50">
        <f>(C47+D47)/IF(B47&lt;='VALOR POR PL'!$P$5,IFERROR(INDEX('"INCC-FGV"'!$B$2:$B$400,MATCH(B47,'"INCC-FGV"'!$A$2:$A$400,0)),$K$2),$K$2)</f>
        <v/>
      </c>
      <c r="F47" s="110">
        <f>IF($K$9=0,0,E47/$K$9)</f>
        <v/>
      </c>
      <c r="G47" s="110">
        <f>G46+F47</f>
        <v/>
      </c>
      <c r="H47" s="126" t="n"/>
      <c r="M47" s="127">
        <f>'CP RESUMO'!AT41</f>
        <v/>
      </c>
      <c r="N47" s="128">
        <f>MAX(0,M47-M46)</f>
        <v/>
      </c>
      <c r="O47" s="127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29">
        <f>DATE(YEAR(B47),MONTH(B47)+1,1)</f>
        <v/>
      </c>
      <c r="C48" s="63">
        <f>'DADOS HISTORICOS'!AU41</f>
        <v/>
      </c>
      <c r="D48" s="50">
        <f>IF(B48&lt;='VALOR POR PL'!$P$5,0,IF($K$17&gt;0,$K$18*P48/$K$17,0))</f>
        <v/>
      </c>
      <c r="E48" s="50">
        <f>(C48+D48)/IF(B48&lt;='VALOR POR PL'!$P$5,IFERROR(INDEX('"INCC-FGV"'!$B$2:$B$400,MATCH(B48,'"INCC-FGV"'!$A$2:$A$400,0)),$K$2),$K$2)</f>
        <v/>
      </c>
      <c r="F48" s="110">
        <f>IF($K$9=0,0,E48/$K$9)</f>
        <v/>
      </c>
      <c r="G48" s="110">
        <f>G47+F48</f>
        <v/>
      </c>
      <c r="H48" s="126" t="n"/>
      <c r="M48" s="127">
        <f>'CP RESUMO'!AU41</f>
        <v/>
      </c>
      <c r="N48" s="128">
        <f>MAX(0,M48-M47)</f>
        <v/>
      </c>
      <c r="O48" s="127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29">
        <f>DATE(YEAR(B48),MONTH(B48)+1,1)</f>
        <v/>
      </c>
      <c r="C49" s="63">
        <f>'DADOS HISTORICOS'!AV41</f>
        <v/>
      </c>
      <c r="D49" s="50">
        <f>IF(B49&lt;='VALOR POR PL'!$P$5,0,IF($K$17&gt;0,$K$18*P49/$K$17,0))</f>
        <v/>
      </c>
      <c r="E49" s="50">
        <f>(C49+D49)/IF(B49&lt;='VALOR POR PL'!$P$5,IFERROR(INDEX('"INCC-FGV"'!$B$2:$B$400,MATCH(B49,'"INCC-FGV"'!$A$2:$A$400,0)),$K$2),$K$2)</f>
        <v/>
      </c>
      <c r="F49" s="110">
        <f>IF($K$9=0,0,E49/$K$9)</f>
        <v/>
      </c>
      <c r="G49" s="110">
        <f>G48+F49</f>
        <v/>
      </c>
      <c r="H49" s="126" t="n"/>
      <c r="M49" s="127">
        <f>'CP RESUMO'!AV41</f>
        <v/>
      </c>
      <c r="N49" s="128">
        <f>MAX(0,M49-M48)</f>
        <v/>
      </c>
      <c r="O49" s="127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29">
        <f>DATE(YEAR(B49),MONTH(B49)+1,1)</f>
        <v/>
      </c>
      <c r="C50" s="63">
        <f>'DADOS HISTORICOS'!AW41</f>
        <v/>
      </c>
      <c r="D50" s="50">
        <f>IF(B50&lt;='VALOR POR PL'!$P$5,0,IF($K$17&gt;0,$K$18*P50/$K$17,0))</f>
        <v/>
      </c>
      <c r="E50" s="50">
        <f>(C50+D50)/IF(B50&lt;='VALOR POR PL'!$P$5,IFERROR(INDEX('"INCC-FGV"'!$B$2:$B$400,MATCH(B50,'"INCC-FGV"'!$A$2:$A$400,0)),$K$2),$K$2)</f>
        <v/>
      </c>
      <c r="F50" s="110">
        <f>IF($K$9=0,0,E50/$K$9)</f>
        <v/>
      </c>
      <c r="G50" s="110">
        <f>G49+F50</f>
        <v/>
      </c>
      <c r="H50" s="126" t="n"/>
      <c r="M50" s="127">
        <f>'CP RESUMO'!AW41</f>
        <v/>
      </c>
      <c r="N50" s="128">
        <f>MAX(0,M50-M49)</f>
        <v/>
      </c>
      <c r="O50" s="127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29">
        <f>DATE(YEAR(B50),MONTH(B50)+1,1)</f>
        <v/>
      </c>
      <c r="C51" s="63">
        <f>'DADOS HISTORICOS'!AX41</f>
        <v/>
      </c>
      <c r="D51" s="50">
        <f>IF(B51&lt;='VALOR POR PL'!$P$5,0,IF($K$17&gt;0,$K$18*P51/$K$17,0))</f>
        <v/>
      </c>
      <c r="E51" s="50">
        <f>(C51+D51)/IF(B51&lt;='VALOR POR PL'!$P$5,IFERROR(INDEX('"INCC-FGV"'!$B$2:$B$400,MATCH(B51,'"INCC-FGV"'!$A$2:$A$400,0)),$K$2),$K$2)</f>
        <v/>
      </c>
      <c r="F51" s="110">
        <f>IF($K$9=0,0,E51/$K$9)</f>
        <v/>
      </c>
      <c r="G51" s="110">
        <f>G50+F51</f>
        <v/>
      </c>
      <c r="H51" s="126" t="n"/>
      <c r="M51" s="127">
        <f>'CP RESUMO'!AX41</f>
        <v/>
      </c>
      <c r="N51" s="128">
        <f>MAX(0,M51-M50)</f>
        <v/>
      </c>
      <c r="O51" s="127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29">
        <f>DATE(YEAR(B51),MONTH(B51)+1,1)</f>
        <v/>
      </c>
      <c r="C52" s="63">
        <f>'DADOS HISTORICOS'!AY41</f>
        <v/>
      </c>
      <c r="D52" s="50">
        <f>IF(B52&lt;='VALOR POR PL'!$P$5,0,IF($K$17&gt;0,$K$18*P52/$K$17,0))</f>
        <v/>
      </c>
      <c r="E52" s="50">
        <f>(C52+D52)/IF(B52&lt;='VALOR POR PL'!$P$5,IFERROR(INDEX('"INCC-FGV"'!$B$2:$B$400,MATCH(B52,'"INCC-FGV"'!$A$2:$A$400,0)),$K$2),$K$2)</f>
        <v/>
      </c>
      <c r="F52" s="110">
        <f>IF($K$9=0,0,E52/$K$9)</f>
        <v/>
      </c>
      <c r="G52" s="110">
        <f>G51+F52</f>
        <v/>
      </c>
      <c r="H52" s="126" t="n"/>
      <c r="M52" s="127">
        <f>'CP RESUMO'!AY41</f>
        <v/>
      </c>
      <c r="N52" s="128">
        <f>MAX(0,M52-M51)</f>
        <v/>
      </c>
      <c r="O52" s="127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29">
        <f>DATE(YEAR(B52),MONTH(B52)+1,1)</f>
        <v/>
      </c>
      <c r="C53" s="63">
        <f>'DADOS HISTORICOS'!AZ41</f>
        <v/>
      </c>
      <c r="D53" s="50">
        <f>IF(B53&lt;='VALOR POR PL'!$P$5,0,IF($K$17&gt;0,$K$18*P53/$K$17,0))</f>
        <v/>
      </c>
      <c r="E53" s="50">
        <f>(C53+D53)/IF(B53&lt;='VALOR POR PL'!$P$5,IFERROR(INDEX('"INCC-FGV"'!$B$2:$B$400,MATCH(B53,'"INCC-FGV"'!$A$2:$A$400,0)),$K$2),$K$2)</f>
        <v/>
      </c>
      <c r="F53" s="110">
        <f>IF($K$9=0,0,E53/$K$9)</f>
        <v/>
      </c>
      <c r="G53" s="110">
        <f>G52+F53</f>
        <v/>
      </c>
      <c r="H53" s="126" t="n"/>
      <c r="M53" s="127">
        <f>'CP RESUMO'!AZ41</f>
        <v/>
      </c>
      <c r="N53" s="128">
        <f>MAX(0,M53-M52)</f>
        <v/>
      </c>
      <c r="O53" s="127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29">
        <f>DATE(YEAR(B53),MONTH(B53)+1,1)</f>
        <v/>
      </c>
      <c r="C54" s="63">
        <f>'DADOS HISTORICOS'!BA41</f>
        <v/>
      </c>
      <c r="D54" s="50">
        <f>IF(B54&lt;='VALOR POR PL'!$P$5,0,IF($K$17&gt;0,$K$18*P54/$K$17,0))</f>
        <v/>
      </c>
      <c r="E54" s="50">
        <f>(C54+D54)/IF(B54&lt;='VALOR POR PL'!$P$5,IFERROR(INDEX('"INCC-FGV"'!$B$2:$B$400,MATCH(B54,'"INCC-FGV"'!$A$2:$A$400,0)),$K$2),$K$2)</f>
        <v/>
      </c>
      <c r="F54" s="110">
        <f>IF($K$9=0,0,E54/$K$9)</f>
        <v/>
      </c>
      <c r="G54" s="110">
        <f>G53+F54</f>
        <v/>
      </c>
      <c r="H54" s="126" t="n"/>
      <c r="M54" s="127">
        <f>'CP RESUMO'!BA41</f>
        <v/>
      </c>
      <c r="N54" s="128">
        <f>MAX(0,M54-M53)</f>
        <v/>
      </c>
      <c r="O54" s="127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29">
        <f>DATE(YEAR(B54),MONTH(B54)+1,1)</f>
        <v/>
      </c>
      <c r="C55" s="63">
        <f>'DADOS HISTORICOS'!BB41</f>
        <v/>
      </c>
      <c r="D55" s="50">
        <f>IF(B55&lt;='VALOR POR PL'!$P$5,0,IF($K$17&gt;0,$K$18*P55/$K$17,0))</f>
        <v/>
      </c>
      <c r="E55" s="50">
        <f>(C55+D55)/IF(B55&lt;='VALOR POR PL'!$P$5,IFERROR(INDEX('"INCC-FGV"'!$B$2:$B$400,MATCH(B55,'"INCC-FGV"'!$A$2:$A$400,0)),$K$2),$K$2)</f>
        <v/>
      </c>
      <c r="F55" s="110">
        <f>IF($K$9=0,0,E55/$K$9)</f>
        <v/>
      </c>
      <c r="G55" s="110">
        <f>G54+F55</f>
        <v/>
      </c>
      <c r="H55" s="126" t="n"/>
      <c r="M55" s="127">
        <f>'CP RESUMO'!BB41</f>
        <v/>
      </c>
      <c r="N55" s="128">
        <f>MAX(0,M55-M54)</f>
        <v/>
      </c>
      <c r="O55" s="127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29">
        <f>DATE(YEAR(B55),MONTH(B55)+1,1)</f>
        <v/>
      </c>
      <c r="C56" s="63">
        <f>'DADOS HISTORICOS'!BC41</f>
        <v/>
      </c>
      <c r="D56" s="50">
        <f>IF(B56&lt;='VALOR POR PL'!$P$5,0,IF($K$17&gt;0,$K$18*P56/$K$17,0))</f>
        <v/>
      </c>
      <c r="E56" s="50">
        <f>(C56+D56)/IF(B56&lt;='VALOR POR PL'!$P$5,IFERROR(INDEX('"INCC-FGV"'!$B$2:$B$400,MATCH(B56,'"INCC-FGV"'!$A$2:$A$400,0)),$K$2),$K$2)</f>
        <v/>
      </c>
      <c r="F56" s="110">
        <f>IF($K$9=0,0,E56/$K$9)</f>
        <v/>
      </c>
      <c r="G56" s="110">
        <f>G55+F56</f>
        <v/>
      </c>
      <c r="H56" s="126" t="n"/>
      <c r="M56" s="127">
        <f>'CP RESUMO'!BC41</f>
        <v/>
      </c>
      <c r="N56" s="128">
        <f>MAX(0,M56-M55)</f>
        <v/>
      </c>
      <c r="O56" s="127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29">
        <f>DATE(YEAR(B56),MONTH(B56)+1,1)</f>
        <v/>
      </c>
      <c r="C57" s="63">
        <f>'DADOS HISTORICOS'!BD41</f>
        <v/>
      </c>
      <c r="D57" s="50">
        <f>IF(B57&lt;='VALOR POR PL'!$P$5,0,IF($K$17&gt;0,$K$18*P57/$K$17,0))</f>
        <v/>
      </c>
      <c r="E57" s="50">
        <f>(C57+D57)/IF(B57&lt;='VALOR POR PL'!$P$5,IFERROR(INDEX('"INCC-FGV"'!$B$2:$B$400,MATCH(B57,'"INCC-FGV"'!$A$2:$A$400,0)),$K$2),$K$2)</f>
        <v/>
      </c>
      <c r="F57" s="110">
        <f>IF($K$9=0,0,E57/$K$9)</f>
        <v/>
      </c>
      <c r="G57" s="110">
        <f>G56+F57</f>
        <v/>
      </c>
      <c r="H57" s="126" t="n"/>
      <c r="M57" s="127">
        <f>'CP RESUMO'!BD41</f>
        <v/>
      </c>
      <c r="N57" s="128">
        <f>MAX(0,M57-M56)</f>
        <v/>
      </c>
      <c r="O57" s="127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29">
        <f>DATE(YEAR(B57),MONTH(B57)+1,1)</f>
        <v/>
      </c>
      <c r="C58" s="63">
        <f>'DADOS HISTORICOS'!BE41</f>
        <v/>
      </c>
      <c r="D58" s="50">
        <f>IF(B58&lt;='VALOR POR PL'!$P$5,0,IF($K$17&gt;0,$K$18*P58/$K$17,0))</f>
        <v/>
      </c>
      <c r="E58" s="50">
        <f>(C58+D58)/IF(B58&lt;='VALOR POR PL'!$P$5,IFERROR(INDEX('"INCC-FGV"'!$B$2:$B$400,MATCH(B58,'"INCC-FGV"'!$A$2:$A$400,0)),$K$2),$K$2)</f>
        <v/>
      </c>
      <c r="F58" s="110">
        <f>IF($K$9=0,0,E58/$K$9)</f>
        <v/>
      </c>
      <c r="G58" s="110">
        <f>G57+F58</f>
        <v/>
      </c>
      <c r="H58" s="126" t="n"/>
      <c r="M58" s="127">
        <f>'CP RESUMO'!BE41</f>
        <v/>
      </c>
      <c r="N58" s="128">
        <f>MAX(0,M58-M57)</f>
        <v/>
      </c>
      <c r="O58" s="127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29">
        <f>DATE(YEAR(B58),MONTH(B58)+1,1)</f>
        <v/>
      </c>
      <c r="C59" s="63">
        <f>'DADOS HISTORICOS'!BF41</f>
        <v/>
      </c>
      <c r="D59" s="50">
        <f>IF(B59&lt;='VALOR POR PL'!$P$5,0,IF($K$17&gt;0,$K$18*P59/$K$17,0))</f>
        <v/>
      </c>
      <c r="E59" s="50">
        <f>(C59+D59)/IF(B59&lt;='VALOR POR PL'!$P$5,IFERROR(INDEX('"INCC-FGV"'!$B$2:$B$400,MATCH(B59,'"INCC-FGV"'!$A$2:$A$400,0)),$K$2),$K$2)</f>
        <v/>
      </c>
      <c r="F59" s="110">
        <f>IF($K$9=0,0,E59/$K$9)</f>
        <v/>
      </c>
      <c r="G59" s="110">
        <f>G58+F59</f>
        <v/>
      </c>
      <c r="H59" s="126" t="n"/>
      <c r="M59" s="127">
        <f>'CP RESUMO'!BF41</f>
        <v/>
      </c>
      <c r="N59" s="128">
        <f>MAX(0,M59-M58)</f>
        <v/>
      </c>
      <c r="O59" s="127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29">
        <f>DATE(YEAR(B59),MONTH(B59)+1,1)</f>
        <v/>
      </c>
      <c r="C60" s="63">
        <f>'DADOS HISTORICOS'!BG41</f>
        <v/>
      </c>
      <c r="D60" s="50">
        <f>IF(B60&lt;='VALOR POR PL'!$P$5,0,IF($K$17&gt;0,$K$18*P60/$K$17,0))</f>
        <v/>
      </c>
      <c r="E60" s="50">
        <f>(C60+D60)/IF(B60&lt;='VALOR POR PL'!$P$5,IFERROR(INDEX('"INCC-FGV"'!$B$2:$B$400,MATCH(B60,'"INCC-FGV"'!$A$2:$A$400,0)),$K$2),$K$2)</f>
        <v/>
      </c>
      <c r="F60" s="110">
        <f>IF($K$9=0,0,E60/$K$9)</f>
        <v/>
      </c>
      <c r="G60" s="110">
        <f>G59+F60</f>
        <v/>
      </c>
      <c r="H60" s="126" t="n"/>
      <c r="M60" s="127">
        <f>'CP RESUMO'!BG41</f>
        <v/>
      </c>
      <c r="N60" s="128">
        <f>MAX(0,M60-M59)</f>
        <v/>
      </c>
      <c r="O60" s="127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29">
        <f>DATE(YEAR(B60),MONTH(B60)+1,1)</f>
        <v/>
      </c>
      <c r="C61" s="63">
        <f>'DADOS HISTORICOS'!BH41</f>
        <v/>
      </c>
      <c r="D61" s="50">
        <f>IF(B61&lt;='VALOR POR PL'!$P$5,0,IF($K$17&gt;0,$K$18*P61/$K$17,0))</f>
        <v/>
      </c>
      <c r="E61" s="50">
        <f>(C61+D61)/IF(B61&lt;='VALOR POR PL'!$P$5,IFERROR(INDEX('"INCC-FGV"'!$B$2:$B$400,MATCH(B61,'"INCC-FGV"'!$A$2:$A$400,0)),$K$2),$K$2)</f>
        <v/>
      </c>
      <c r="F61" s="110">
        <f>IF($K$9=0,0,E61/$K$9)</f>
        <v/>
      </c>
      <c r="G61" s="110">
        <f>G60+F61</f>
        <v/>
      </c>
      <c r="H61" s="126" t="n"/>
      <c r="M61" s="127">
        <f>'CP RESUMO'!BH41</f>
        <v/>
      </c>
      <c r="N61" s="128">
        <f>MAX(0,M61-M60)</f>
        <v/>
      </c>
      <c r="O61" s="127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29">
        <f>DATE(YEAR(B61),MONTH(B61)+1,1)</f>
        <v/>
      </c>
      <c r="C62" s="63">
        <f>'DADOS HISTORICOS'!BI41</f>
        <v/>
      </c>
      <c r="D62" s="50">
        <f>IF(B62&lt;='VALOR POR PL'!$P$5,0,IF($K$17&gt;0,$K$18*P62/$K$17,0))</f>
        <v/>
      </c>
      <c r="E62" s="50">
        <f>(C62+D62)/IF(B62&lt;='VALOR POR PL'!$P$5,IFERROR(INDEX('"INCC-FGV"'!$B$2:$B$400,MATCH(B62,'"INCC-FGV"'!$A$2:$A$400,0)),$K$2),$K$2)</f>
        <v/>
      </c>
      <c r="F62" s="110">
        <f>IF($K$9=0,0,E62/$K$9)</f>
        <v/>
      </c>
      <c r="G62" s="110">
        <f>G61+F62</f>
        <v/>
      </c>
      <c r="H62" s="126" t="n"/>
      <c r="M62" s="127">
        <f>'CP RESUMO'!BI41</f>
        <v/>
      </c>
      <c r="N62" s="128">
        <f>MAX(0,M62-M61)</f>
        <v/>
      </c>
      <c r="O62" s="127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29">
        <f>DATE(YEAR(B62),MONTH(B62)+1,1)</f>
        <v/>
      </c>
      <c r="C63" s="63">
        <f>'DADOS HISTORICOS'!BJ41</f>
        <v/>
      </c>
      <c r="D63" s="50">
        <f>IF(B63&lt;='VALOR POR PL'!$P$5,0,IF($K$17&gt;0,$K$18*P63/$K$17,0))</f>
        <v/>
      </c>
      <c r="E63" s="50">
        <f>(C63+D63)/IF(B63&lt;='VALOR POR PL'!$P$5,IFERROR(INDEX('"INCC-FGV"'!$B$2:$B$400,MATCH(B63,'"INCC-FGV"'!$A$2:$A$400,0)),$K$2),$K$2)</f>
        <v/>
      </c>
      <c r="F63" s="110">
        <f>IF($K$9=0,0,E63/$K$9)</f>
        <v/>
      </c>
      <c r="G63" s="110">
        <f>G62+F63</f>
        <v/>
      </c>
      <c r="H63" s="126" t="n"/>
      <c r="M63" s="127">
        <f>'CP RESUMO'!BJ41</f>
        <v/>
      </c>
      <c r="N63" s="128">
        <f>MAX(0,M63-M62)</f>
        <v/>
      </c>
      <c r="O63" s="127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29">
        <f>DATE(YEAR(B63),MONTH(B63)+1,1)</f>
        <v/>
      </c>
      <c r="C64" s="63">
        <f>'DADOS HISTORICOS'!BK41</f>
        <v/>
      </c>
      <c r="D64" s="50">
        <f>IF(B64&lt;='VALOR POR PL'!$P$5,0,IF($K$17&gt;0,$K$18*P64/$K$17,0))</f>
        <v/>
      </c>
      <c r="E64" s="50">
        <f>(C64+D64)/IF(B64&lt;='VALOR POR PL'!$P$5,IFERROR(INDEX('"INCC-FGV"'!$B$2:$B$400,MATCH(B64,'"INCC-FGV"'!$A$2:$A$400,0)),$K$2),$K$2)</f>
        <v/>
      </c>
      <c r="F64" s="110">
        <f>IF($K$9=0,0,E64/$K$9)</f>
        <v/>
      </c>
      <c r="G64" s="110">
        <f>G63+F64</f>
        <v/>
      </c>
      <c r="H64" s="126" t="n"/>
      <c r="M64" s="127">
        <f>'CP RESUMO'!BK41</f>
        <v/>
      </c>
      <c r="N64" s="128">
        <f>MAX(0,M64-M63)</f>
        <v/>
      </c>
      <c r="O64" s="127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29">
        <f>DATE(YEAR(B64),MONTH(B64)+1,1)</f>
        <v/>
      </c>
      <c r="C65" s="63">
        <f>'DADOS HISTORICOS'!BL41</f>
        <v/>
      </c>
      <c r="D65" s="50">
        <f>IF(B65&lt;='VALOR POR PL'!$P$5,0,IF($K$17&gt;0,$K$18*P65/$K$17,0))</f>
        <v/>
      </c>
      <c r="E65" s="50">
        <f>(C65+D65)/IF(B65&lt;='VALOR POR PL'!$P$5,IFERROR(INDEX('"INCC-FGV"'!$B$2:$B$400,MATCH(B65,'"INCC-FGV"'!$A$2:$A$400,0)),$K$2),$K$2)</f>
        <v/>
      </c>
      <c r="F65" s="110">
        <f>IF($K$9=0,0,E65/$K$9)</f>
        <v/>
      </c>
      <c r="G65" s="110">
        <f>G64+F65</f>
        <v/>
      </c>
      <c r="H65" s="126" t="n"/>
      <c r="M65" s="127">
        <f>'CP RESUMO'!BL41</f>
        <v/>
      </c>
      <c r="N65" s="128">
        <f>MAX(0,M65-M64)</f>
        <v/>
      </c>
      <c r="O65" s="127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29">
        <f>DATE(YEAR(B65),MONTH(B65)+1,1)</f>
        <v/>
      </c>
      <c r="C66" s="63">
        <f>'DADOS HISTORICOS'!BM41</f>
        <v/>
      </c>
      <c r="D66" s="50">
        <f>IF(B66&lt;='VALOR POR PL'!$P$5,0,IF($K$17&gt;0,$K$18*P66/$K$17,0))</f>
        <v/>
      </c>
      <c r="E66" s="50">
        <f>(C66+D66)/IF(B66&lt;='VALOR POR PL'!$P$5,IFERROR(INDEX('"INCC-FGV"'!$B$2:$B$400,MATCH(B66,'"INCC-FGV"'!$A$2:$A$400,0)),$K$2),$K$2)</f>
        <v/>
      </c>
      <c r="F66" s="110">
        <f>IF($K$9=0,0,E66/$K$9)</f>
        <v/>
      </c>
      <c r="G66" s="110">
        <f>G65+F66</f>
        <v/>
      </c>
      <c r="H66" s="126" t="n"/>
      <c r="M66" s="127">
        <f>'CP RESUMO'!BM41</f>
        <v/>
      </c>
      <c r="N66" s="128">
        <f>MAX(0,M66-M65)</f>
        <v/>
      </c>
      <c r="O66" s="127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29">
        <f>DATE(YEAR(B66),MONTH(B66)+1,1)</f>
        <v/>
      </c>
      <c r="C67" s="63">
        <f>'DADOS HISTORICOS'!BN41</f>
        <v/>
      </c>
      <c r="D67" s="50">
        <f>IF(B67&lt;='VALOR POR PL'!$P$5,0,IF($K$17&gt;0,$K$18*P67/$K$17,0))</f>
        <v/>
      </c>
      <c r="E67" s="50">
        <f>(C67+D67)/IF(B67&lt;='VALOR POR PL'!$P$5,IFERROR(INDEX('"INCC-FGV"'!$B$2:$B$400,MATCH(B67,'"INCC-FGV"'!$A$2:$A$400,0)),$K$2),$K$2)</f>
        <v/>
      </c>
      <c r="F67" s="110">
        <f>IF($K$9=0,0,E67/$K$9)</f>
        <v/>
      </c>
      <c r="G67" s="110">
        <f>G66+F67</f>
        <v/>
      </c>
      <c r="H67" s="126" t="n"/>
      <c r="M67" s="127">
        <f>'CP RESUMO'!BN41</f>
        <v/>
      </c>
      <c r="N67" s="128">
        <f>MAX(0,M67-M66)</f>
        <v/>
      </c>
      <c r="O67" s="127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29">
        <f>DATE(YEAR(B67),MONTH(B67)+1,1)</f>
        <v/>
      </c>
      <c r="C68" s="63">
        <f>'DADOS HISTORICOS'!BO41</f>
        <v/>
      </c>
      <c r="D68" s="50">
        <f>IF(B68&lt;='VALOR POR PL'!$P$5,0,IF($K$17&gt;0,$K$18*P68/$K$17,0))</f>
        <v/>
      </c>
      <c r="E68" s="50">
        <f>(C68+D68)/IF(B68&lt;='VALOR POR PL'!$P$5,IFERROR(INDEX('"INCC-FGV"'!$B$2:$B$400,MATCH(B68,'"INCC-FGV"'!$A$2:$A$400,0)),$K$2),$K$2)</f>
        <v/>
      </c>
      <c r="F68" s="110">
        <f>IF($K$9=0,0,E68/$K$9)</f>
        <v/>
      </c>
      <c r="G68" s="110">
        <f>G67+F68</f>
        <v/>
      </c>
      <c r="H68" s="126" t="n"/>
      <c r="M68" s="127">
        <f>'CP RESUMO'!BO41</f>
        <v/>
      </c>
      <c r="N68" s="128">
        <f>MAX(0,M68-M67)</f>
        <v/>
      </c>
      <c r="O68" s="127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29">
        <f>DATE(YEAR(B68),MONTH(B68)+1,1)</f>
        <v/>
      </c>
      <c r="C69" s="63">
        <f>'DADOS HISTORICOS'!BP41</f>
        <v/>
      </c>
      <c r="D69" s="50">
        <f>IF(B69&lt;='VALOR POR PL'!$P$5,0,IF($K$17&gt;0,$K$18*P69/$K$17,0))</f>
        <v/>
      </c>
      <c r="E69" s="50">
        <f>(C69+D69)/IF(B69&lt;='VALOR POR PL'!$P$5,IFERROR(INDEX('"INCC-FGV"'!$B$2:$B$400,MATCH(B69,'"INCC-FGV"'!$A$2:$A$400,0)),$K$2),$K$2)</f>
        <v/>
      </c>
      <c r="F69" s="110">
        <f>IF($K$9=0,0,E69/$K$9)</f>
        <v/>
      </c>
      <c r="G69" s="110">
        <f>G68+F69</f>
        <v/>
      </c>
      <c r="H69" s="126" t="n"/>
      <c r="M69" s="127">
        <f>'CP RESUMO'!BP41</f>
        <v/>
      </c>
      <c r="N69" s="128">
        <f>MAX(0,M69-M68)</f>
        <v/>
      </c>
      <c r="O69" s="127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29">
        <f>DATE(YEAR(B69),MONTH(B69)+1,1)</f>
        <v/>
      </c>
      <c r="C70" s="63">
        <f>'DADOS HISTORICOS'!BQ41</f>
        <v/>
      </c>
      <c r="D70" s="50">
        <f>IF(B70&lt;='VALOR POR PL'!$P$5,0,IF($K$17&gt;0,$K$18*P70/$K$17,0))</f>
        <v/>
      </c>
      <c r="E70" s="50">
        <f>(C70+D70)/IF(B70&lt;='VALOR POR PL'!$P$5,IFERROR(INDEX('"INCC-FGV"'!$B$2:$B$400,MATCH(B70,'"INCC-FGV"'!$A$2:$A$400,0)),$K$2),$K$2)</f>
        <v/>
      </c>
      <c r="F70" s="110">
        <f>IF($K$9=0,0,E70/$K$9)</f>
        <v/>
      </c>
      <c r="G70" s="110">
        <f>G69+F70</f>
        <v/>
      </c>
      <c r="H70" s="126" t="n"/>
      <c r="M70" s="127">
        <f>'CP RESUMO'!BQ41</f>
        <v/>
      </c>
      <c r="N70" s="128">
        <f>MAX(0,M70-M69)</f>
        <v/>
      </c>
      <c r="O70" s="127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29">
        <f>DATE(YEAR(B70),MONTH(B70)+1,1)</f>
        <v/>
      </c>
      <c r="C71" s="63">
        <f>'DADOS HISTORICOS'!BR41</f>
        <v/>
      </c>
      <c r="D71" s="50">
        <f>IF(B71&lt;='VALOR POR PL'!$P$5,0,IF($K$17&gt;0,$K$18*P71/$K$17,0))</f>
        <v/>
      </c>
      <c r="E71" s="50">
        <f>(C71+D71)/IF(B71&lt;='VALOR POR PL'!$P$5,IFERROR(INDEX('"INCC-FGV"'!$B$2:$B$400,MATCH(B71,'"INCC-FGV"'!$A$2:$A$400,0)),$K$2),$K$2)</f>
        <v/>
      </c>
      <c r="F71" s="110">
        <f>IF($K$9=0,0,E71/$K$9)</f>
        <v/>
      </c>
      <c r="G71" s="110">
        <f>G70+F71</f>
        <v/>
      </c>
      <c r="H71" s="126" t="n"/>
      <c r="M71" s="127">
        <f>'CP RESUMO'!BR41</f>
        <v/>
      </c>
      <c r="N71" s="128">
        <f>MAX(0,M71-M70)</f>
        <v/>
      </c>
      <c r="O71" s="127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29">
        <f>DATE(YEAR(B71),MONTH(B71)+1,1)</f>
        <v/>
      </c>
      <c r="C72" s="63">
        <f>'DADOS HISTORICOS'!BS41</f>
        <v/>
      </c>
      <c r="D72" s="50">
        <f>IF(B72&lt;='VALOR POR PL'!$P$5,0,IF($K$17&gt;0,$K$18*P72/$K$17,0))</f>
        <v/>
      </c>
      <c r="E72" s="50">
        <f>(C72+D72)/IF(B72&lt;='VALOR POR PL'!$P$5,IFERROR(INDEX('"INCC-FGV"'!$B$2:$B$400,MATCH(B72,'"INCC-FGV"'!$A$2:$A$400,0)),$K$2),$K$2)</f>
        <v/>
      </c>
      <c r="F72" s="110">
        <f>IF($K$9=0,0,E72/$K$9)</f>
        <v/>
      </c>
      <c r="G72" s="110">
        <f>G71+F72</f>
        <v/>
      </c>
      <c r="H72" s="126" t="n"/>
      <c r="M72" s="127">
        <f>'CP RESUMO'!BS41</f>
        <v/>
      </c>
      <c r="N72" s="128">
        <f>MAX(0,M72-M71)</f>
        <v/>
      </c>
      <c r="O72" s="127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29">
        <f>DATE(YEAR(B72),MONTH(B72)+1,1)</f>
        <v/>
      </c>
      <c r="C73" s="63">
        <f>'DADOS HISTORICOS'!BT41</f>
        <v/>
      </c>
      <c r="D73" s="50">
        <f>IF(B73&lt;='VALOR POR PL'!$P$5,0,IF($K$17&gt;0,$K$18*P73/$K$17,0))</f>
        <v/>
      </c>
      <c r="E73" s="50">
        <f>(C73+D73)/IF(B73&lt;='VALOR POR PL'!$P$5,IFERROR(INDEX('"INCC-FGV"'!$B$2:$B$400,MATCH(B73,'"INCC-FGV"'!$A$2:$A$400,0)),$K$2),$K$2)</f>
        <v/>
      </c>
      <c r="F73" s="110">
        <f>IF($K$9=0,0,E73/$K$9)</f>
        <v/>
      </c>
      <c r="G73" s="110">
        <f>G72+F73</f>
        <v/>
      </c>
      <c r="H73" s="126" t="n"/>
      <c r="M73" s="127">
        <f>'CP RESUMO'!BT41</f>
        <v/>
      </c>
      <c r="N73" s="128">
        <f>MAX(0,M73-M72)</f>
        <v/>
      </c>
      <c r="O73" s="127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29">
        <f>DATE(YEAR(B73),MONTH(B73)+1,1)</f>
        <v/>
      </c>
      <c r="C74" s="63">
        <f>'DADOS HISTORICOS'!BU41</f>
        <v/>
      </c>
      <c r="D74" s="50">
        <f>IF(B74&lt;='VALOR POR PL'!$P$5,0,IF($K$17&gt;0,$K$18*P74/$K$17,0))</f>
        <v/>
      </c>
      <c r="E74" s="50">
        <f>(C74+D74)/IF(B74&lt;='VALOR POR PL'!$P$5,IFERROR(INDEX('"INCC-FGV"'!$B$2:$B$400,MATCH(B74,'"INCC-FGV"'!$A$2:$A$400,0)),$K$2),$K$2)</f>
        <v/>
      </c>
      <c r="F74" s="110">
        <f>IF($K$9=0,0,E74/$K$9)</f>
        <v/>
      </c>
      <c r="G74" s="110">
        <f>G73+F74</f>
        <v/>
      </c>
      <c r="H74" s="126" t="n"/>
      <c r="M74" s="127">
        <f>'CP RESUMO'!BU41</f>
        <v/>
      </c>
      <c r="N74" s="128">
        <f>MAX(0,M74-M73)</f>
        <v/>
      </c>
      <c r="O74" s="127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29">
        <f>DATE(YEAR(B74),MONTH(B74)+1,1)</f>
        <v/>
      </c>
      <c r="C75" s="63">
        <f>'DADOS HISTORICOS'!BV41</f>
        <v/>
      </c>
      <c r="D75" s="50">
        <f>IF(B75&lt;='VALOR POR PL'!$P$5,0,IF($K$17&gt;0,$K$18*P75/$K$17,0))</f>
        <v/>
      </c>
      <c r="E75" s="50">
        <f>(C75+D75)/IF(B75&lt;='VALOR POR PL'!$P$5,IFERROR(INDEX('"INCC-FGV"'!$B$2:$B$400,MATCH(B75,'"INCC-FGV"'!$A$2:$A$400,0)),$K$2),$K$2)</f>
        <v/>
      </c>
      <c r="F75" s="110">
        <f>IF($K$9=0,0,E75/$K$9)</f>
        <v/>
      </c>
      <c r="G75" s="110">
        <f>G74+F75</f>
        <v/>
      </c>
      <c r="H75" s="126" t="n"/>
      <c r="M75" s="127">
        <f>'CP RESUMO'!BV41</f>
        <v/>
      </c>
      <c r="N75" s="128">
        <f>MAX(0,M75-M74)</f>
        <v/>
      </c>
      <c r="O75" s="127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29">
        <f>DATE(YEAR(B75),MONTH(B75)+1,1)</f>
        <v/>
      </c>
      <c r="C76" s="63">
        <f>'DADOS HISTORICOS'!BW41</f>
        <v/>
      </c>
      <c r="D76" s="50">
        <f>IF(B76&lt;='VALOR POR PL'!$P$5,0,IF($K$17&gt;0,$K$18*P76/$K$17,0))</f>
        <v/>
      </c>
      <c r="E76" s="50">
        <f>(C76+D76)/IF(B76&lt;='VALOR POR PL'!$P$5,IFERROR(INDEX('"INCC-FGV"'!$B$2:$B$400,MATCH(B76,'"INCC-FGV"'!$A$2:$A$400,0)),$K$2),$K$2)</f>
        <v/>
      </c>
      <c r="F76" s="110">
        <f>IF($K$9=0,0,E76/$K$9)</f>
        <v/>
      </c>
      <c r="G76" s="110">
        <f>G75+F76</f>
        <v/>
      </c>
      <c r="H76" s="126" t="n"/>
      <c r="M76" s="127">
        <f>'CP RESUMO'!BW41</f>
        <v/>
      </c>
      <c r="N76" s="128">
        <f>MAX(0,M76-M75)</f>
        <v/>
      </c>
      <c r="O76" s="127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7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35">
        <f>SUM(F5:F76)</f>
        <v/>
      </c>
      <c r="H78" s="65">
        <f>SUM(H5:H76)</f>
        <v/>
      </c>
    </row>
    <row r="80">
      <c r="B80" s="47" t="inlineStr">
        <is>
          <t>DIFERENÇA (fluxo − projeção)</t>
        </is>
      </c>
      <c r="D80" s="136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2026-09-28T03:52:01Z</dcterms:created>
  <dcterms:modified xsi:type="dcterms:W3CDTF">2026-09-28T03:52:02Z</dcterms:modified>
</cp:coreProperties>
</file>