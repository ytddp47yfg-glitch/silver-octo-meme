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5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64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IFERROR(INDEX('"INCC-FGV"'!$B$2:$B$400,MATCH(P5,'"INCC-FGV"'!$A$2:$A$400,0)),IFERROR(INDEX('"INCC-FGV"'!$B$2:$B$400,MATCH(P5,'"INCC-FGV"'!$A$2:$A$400,1)),"FALTA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  <c r="Q11" s="60" t="inlineStr">
        <is>
          <t>01</t>
        </is>
      </c>
      <c r="R11" s="60" t="n"/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  <c r="Q12" s="60" t="inlineStr">
        <is>
          <t>02</t>
        </is>
      </c>
      <c r="R12" s="60" t="n"/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  <c r="Q13" s="60" t="inlineStr">
        <is>
          <t>03</t>
        </is>
      </c>
      <c r="R13" s="60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  <c r="Q14" s="60" t="inlineStr">
        <is>
          <t>04</t>
        </is>
      </c>
      <c r="R14" s="60" t="n"/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  <c r="Q15" s="60" t="inlineStr">
        <is>
          <t>05</t>
        </is>
      </c>
      <c r="R15" s="60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  <c r="Q16" s="60" t="inlineStr">
        <is>
          <t>06</t>
        </is>
      </c>
      <c r="R16" s="60" t="n"/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  <c r="Q17" s="60" t="inlineStr">
        <is>
          <t>07</t>
        </is>
      </c>
      <c r="R17" s="60" t="n"/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  <c r="Q18" s="60" t="inlineStr">
        <is>
          <t>08</t>
        </is>
      </c>
      <c r="R18" s="60" t="n"/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  <c r="Q19" s="60" t="inlineStr">
        <is>
          <t>09</t>
        </is>
      </c>
      <c r="R19" s="60" t="n"/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  <c r="Q20" s="60" t="inlineStr">
        <is>
          <t>10</t>
        </is>
      </c>
      <c r="R20" s="60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  <c r="Q21" s="60" t="inlineStr">
        <is>
          <t>11</t>
        </is>
      </c>
      <c r="R21" s="60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  <c r="Q22" s="60" t="inlineStr">
        <is>
          <t>12</t>
        </is>
      </c>
      <c r="R22" s="60" t="n"/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  <c r="Q23" s="60" t="inlineStr">
        <is>
          <t>13</t>
        </is>
      </c>
      <c r="R23" s="60" t="n"/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  <c r="Q24" s="60" t="inlineStr">
        <is>
          <t>14</t>
        </is>
      </c>
      <c r="R24" s="60" t="n"/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  <c r="Q25" s="60" t="inlineStr">
        <is>
          <t>15</t>
        </is>
      </c>
      <c r="R25" s="60" t="n"/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  <c r="Q26" s="60" t="inlineStr">
        <is>
          <t>16</t>
        </is>
      </c>
      <c r="R26" s="60" t="n"/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  <c r="Q27" s="60" t="inlineStr">
        <is>
          <t>17</t>
        </is>
      </c>
      <c r="R27" s="60" t="n"/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  <c r="Q28" s="60" t="inlineStr">
        <is>
          <t>18</t>
        </is>
      </c>
      <c r="R28" s="60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  <c r="Q29" s="60" t="inlineStr">
        <is>
          <t>19</t>
        </is>
      </c>
      <c r="R29" s="60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  <c r="Q30" s="60" t="inlineStr">
        <is>
          <t>20</t>
        </is>
      </c>
      <c r="R30" s="60" t="n"/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  <c r="Q31" s="60" t="inlineStr">
        <is>
          <t>21</t>
        </is>
      </c>
      <c r="R31" s="60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  <c r="Q32" s="60" t="inlineStr">
        <is>
          <t>22</t>
        </is>
      </c>
      <c r="R32" s="60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  <c r="Q33" s="60" t="inlineStr">
        <is>
          <t>23</t>
        </is>
      </c>
      <c r="R33" s="60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  <c r="Q34" s="60" t="inlineStr">
        <is>
          <t>24</t>
        </is>
      </c>
      <c r="R34" s="60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  <c r="Q35" s="60" t="inlineStr">
        <is>
          <t>25</t>
        </is>
      </c>
      <c r="R35" s="60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  <c r="Q36" s="60" t="inlineStr">
        <is>
          <t>26</t>
        </is>
      </c>
      <c r="R36" s="60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  <c r="Q37" s="60" t="inlineStr">
        <is>
          <t>27</t>
        </is>
      </c>
      <c r="R37" s="60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  <c r="Q38" s="60" t="inlineStr">
        <is>
          <t>28</t>
        </is>
      </c>
      <c r="R38" s="60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  <c r="Q39" s="60" t="inlineStr">
        <is>
          <t>29</t>
        </is>
      </c>
      <c r="R39" s="60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  <c r="Q40" s="60" t="inlineStr">
        <is>
          <t>30</t>
        </is>
      </c>
      <c r="R40" s="60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  <c r="Q41" s="60" t="inlineStr">
        <is>
          <t>31</t>
        </is>
      </c>
      <c r="R41" s="60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  <c r="Q42" s="60" t="inlineStr">
        <is>
          <t>32</t>
        </is>
      </c>
      <c r="R42" s="60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  <c r="Q43" s="60" t="inlineStr">
        <is>
          <t>33</t>
        </is>
      </c>
      <c r="R43" s="60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  <c r="Q44" s="60" t="inlineStr">
        <is>
          <t>34</t>
        </is>
      </c>
      <c r="R44" s="60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  <c r="Q45" s="60" t="inlineStr">
        <is>
          <t>35</t>
        </is>
      </c>
      <c r="R45" s="60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  <c r="Q46" s="60" t="inlineStr">
        <is>
          <t>36</t>
        </is>
      </c>
      <c r="R46" s="60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  <c r="Q47" s="60" t="inlineStr">
        <is>
          <t>37</t>
        </is>
      </c>
      <c r="R47" s="60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3">
        <f>'TAX. ADM'!$C$78</f>
        <v/>
      </c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  <c r="Q48" s="60" t="inlineStr">
        <is>
          <t>00</t>
        </is>
      </c>
      <c r="R48" s="60" t="n"/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IF(COUNTIF('"INCC-FGV"'!$A$2:$A$400,P5)&gt;0,"OK",IF(E57&gt;0,"⚠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BI'!$H$1:$CA$1&lt;=P5)*(COUNTIF('"INCC-FGV"'!$A$2:$A$400,'MODELO PARA BI'!$H$1:$CA$1)=0))</f>
        <v/>
      </c>
      <c r="F58" s="52">
        <f>IF(E58=0,"OK","⚠ Complete a aba INCC-FGV")</f>
        <v/>
      </c>
      <c r="G58" s="67" t="n"/>
      <c r="H58" s="68" t="n"/>
    </row>
    <row r="59">
      <c r="D59" s="52" t="inlineStr">
        <is>
          <t>Fluxo total − projeção total (R$)</t>
        </is>
      </c>
      <c r="E59" s="71">
        <f>'MODELO PARA BI'!E64-L50</f>
        <v/>
      </c>
      <c r="F59" s="52">
        <f>IF(L50=0,"⚠ Preencha o orçamento e a projeção (colunas F e L)",IF(ABS(E59)&lt;1,"OK","⚠ Há saldo sem distribuição"))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IFERROR(INDEX('"INCC-FGV"'!$B$2:$B$400,MATCH(DATE(YEAR(F5),MONTH(F5),1),'"INCC-FGV"'!$A$2:$A$400,0)),IFERROR(INDEX('"INCC-FGV"'!$B$2:$B$400,MATCH(DATE(YEAR(F5),MONTH(F5),1),'"INCC-FGV"'!$A$2:$A$400,1)),"FALTA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3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3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3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3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3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3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3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3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3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3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3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3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3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3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3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3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3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3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3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3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3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3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3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3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3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3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3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3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3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3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3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3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3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3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3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3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3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3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3">
        <f>IF(A4&lt;='VALOR POR PL'!$P$5,'MODELO PARA BI'!H61,0)</f>
        <v/>
      </c>
      <c r="E4" s="63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PL'!$P$5,IFERROR(INDEX('"INCC-FGV"'!$B$2:$B$400,MATCH(A4,'"INCC-FGV"'!$A$2:$A$400,0)),'VALOR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3">
        <f>IF(A5&lt;='VALOR POR PL'!$P$5,'MODELO PARA BI'!I61,0)</f>
        <v/>
      </c>
      <c r="E5" s="63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PL'!$P$5,IFERROR(INDEX('"INCC-FGV"'!$B$2:$B$400,MATCH(A5,'"INCC-FGV"'!$A$2:$A$400,0)),'VALOR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3">
        <f>IF(A6&lt;='VALOR POR PL'!$P$5,'MODELO PARA BI'!J61,0)</f>
        <v/>
      </c>
      <c r="E6" s="63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PL'!$P$5,IFERROR(INDEX('"INCC-FGV"'!$B$2:$B$400,MATCH(A6,'"INCC-FGV"'!$A$2:$A$400,0)),'VALOR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3">
        <f>IF(A7&lt;='VALOR POR PL'!$P$5,'MODELO PARA BI'!K61,0)</f>
        <v/>
      </c>
      <c r="E7" s="63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PL'!$P$5,IFERROR(INDEX('"INCC-FGV"'!$B$2:$B$400,MATCH(A7,'"INCC-FGV"'!$A$2:$A$400,0)),'VALOR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3">
        <f>IF(A8&lt;='VALOR POR PL'!$P$5,'MODELO PARA BI'!L61,0)</f>
        <v/>
      </c>
      <c r="E8" s="63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PL'!$P$5,IFERROR(INDEX('"INCC-FGV"'!$B$2:$B$400,MATCH(A8,'"INCC-FGV"'!$A$2:$A$400,0)),'VALOR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3">
        <f>IF(A9&lt;='VALOR POR PL'!$P$5,'MODELO PARA BI'!M61,0)</f>
        <v/>
      </c>
      <c r="E9" s="63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PL'!$P$5,IFERROR(INDEX('"INCC-FGV"'!$B$2:$B$400,MATCH(A9,'"INCC-FGV"'!$A$2:$A$400,0)),'VALOR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3">
        <f>IF(A10&lt;='VALOR POR PL'!$P$5,'MODELO PARA BI'!N61,0)</f>
        <v/>
      </c>
      <c r="E10" s="63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PL'!$P$5,IFERROR(INDEX('"INCC-FGV"'!$B$2:$B$400,MATCH(A10,'"INCC-FGV"'!$A$2:$A$400,0)),'VALOR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3">
        <f>IF(A11&lt;='VALOR POR PL'!$P$5,'MODELO PARA BI'!O61,0)</f>
        <v/>
      </c>
      <c r="E11" s="63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PL'!$P$5,IFERROR(INDEX('"INCC-FGV"'!$B$2:$B$400,MATCH(A11,'"INCC-FGV"'!$A$2:$A$400,0)),'VALOR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3">
        <f>IF(A12&lt;='VALOR POR PL'!$P$5,'MODELO PARA BI'!P61,0)</f>
        <v/>
      </c>
      <c r="E12" s="63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PL'!$P$5,IFERROR(INDEX('"INCC-FGV"'!$B$2:$B$400,MATCH(A12,'"INCC-FGV"'!$A$2:$A$400,0)),'VALOR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3">
        <f>IF(A13&lt;='VALOR POR PL'!$P$5,'MODELO PARA BI'!Q61,0)</f>
        <v/>
      </c>
      <c r="E13" s="63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PL'!$P$5,IFERROR(INDEX('"INCC-FGV"'!$B$2:$B$400,MATCH(A13,'"INCC-FGV"'!$A$2:$A$400,0)),'VALOR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3">
        <f>IF(A14&lt;='VALOR POR PL'!$P$5,'MODELO PARA BI'!R61,0)</f>
        <v/>
      </c>
      <c r="E14" s="63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PL'!$P$5,IFERROR(INDEX('"INCC-FGV"'!$B$2:$B$400,MATCH(A14,'"INCC-FGV"'!$A$2:$A$400,0)),'VALOR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3">
        <f>IF(A15&lt;='VALOR POR PL'!$P$5,'MODELO PARA BI'!S61,0)</f>
        <v/>
      </c>
      <c r="E15" s="63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PL'!$P$5,IFERROR(INDEX('"INCC-FGV"'!$B$2:$B$400,MATCH(A15,'"INCC-FGV"'!$A$2:$A$400,0)),'VALOR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3">
        <f>IF(A16&lt;='VALOR POR PL'!$P$5,'MODELO PARA BI'!T61,0)</f>
        <v/>
      </c>
      <c r="E16" s="63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PL'!$P$5,IFERROR(INDEX('"INCC-FGV"'!$B$2:$B$400,MATCH(A16,'"INCC-FGV"'!$A$2:$A$400,0)),'VALOR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3">
        <f>IF(A17&lt;='VALOR POR PL'!$P$5,'MODELO PARA BI'!U61,0)</f>
        <v/>
      </c>
      <c r="E17" s="63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PL'!$P$5,IFERROR(INDEX('"INCC-FGV"'!$B$2:$B$400,MATCH(A17,'"INCC-FGV"'!$A$2:$A$400,0)),'VALOR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3">
        <f>IF(A18&lt;='VALOR POR PL'!$P$5,'MODELO PARA BI'!V61,0)</f>
        <v/>
      </c>
      <c r="E18" s="63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PL'!$P$5,IFERROR(INDEX('"INCC-FGV"'!$B$2:$B$400,MATCH(A18,'"INCC-FGV"'!$A$2:$A$400,0)),'VALOR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3">
        <f>IF(A19&lt;='VALOR POR PL'!$P$5,'MODELO PARA BI'!W61,0)</f>
        <v/>
      </c>
      <c r="E19" s="63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PL'!$P$5,IFERROR(INDEX('"INCC-FGV"'!$B$2:$B$400,MATCH(A19,'"INCC-FGV"'!$A$2:$A$400,0)),'VALOR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3">
        <f>IF(A20&lt;='VALOR POR PL'!$P$5,'MODELO PARA BI'!X61,0)</f>
        <v/>
      </c>
      <c r="E20" s="63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PL'!$P$5,IFERROR(INDEX('"INCC-FGV"'!$B$2:$B$400,MATCH(A20,'"INCC-FGV"'!$A$2:$A$400,0)),'VALOR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3">
        <f>IF(A21&lt;='VALOR POR PL'!$P$5,'MODELO PARA BI'!Y61,0)</f>
        <v/>
      </c>
      <c r="E21" s="63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PL'!$P$5,IFERROR(INDEX('"INCC-FGV"'!$B$2:$B$400,MATCH(A21,'"INCC-FGV"'!$A$2:$A$400,0)),'VALOR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3">
        <f>IF(A22&lt;='VALOR POR PL'!$P$5,'MODELO PARA BI'!Z61,0)</f>
        <v/>
      </c>
      <c r="E22" s="63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PL'!$P$5,IFERROR(INDEX('"INCC-FGV"'!$B$2:$B$400,MATCH(A22,'"INCC-FGV"'!$A$2:$A$400,0)),'VALOR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3">
        <f>IF(A23&lt;='VALOR POR PL'!$P$5,'MODELO PARA BI'!AA61,0)</f>
        <v/>
      </c>
      <c r="E23" s="63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PL'!$P$5,IFERROR(INDEX('"INCC-FGV"'!$B$2:$B$400,MATCH(A23,'"INCC-FGV"'!$A$2:$A$400,0)),'VALOR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3">
        <f>IF(A24&lt;='VALOR POR PL'!$P$5,'MODELO PARA BI'!AB61,0)</f>
        <v/>
      </c>
      <c r="E24" s="63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PL'!$P$5,IFERROR(INDEX('"INCC-FGV"'!$B$2:$B$400,MATCH(A24,'"INCC-FGV"'!$A$2:$A$400,0)),'VALOR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3">
        <f>IF(A25&lt;='VALOR POR PL'!$P$5,'MODELO PARA BI'!AC61,0)</f>
        <v/>
      </c>
      <c r="E25" s="63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PL'!$P$5,IFERROR(INDEX('"INCC-FGV"'!$B$2:$B$400,MATCH(A25,'"INCC-FGV"'!$A$2:$A$400,0)),'VALOR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3">
        <f>IF(A26&lt;='VALOR POR PL'!$P$5,'MODELO PARA BI'!AD61,0)</f>
        <v/>
      </c>
      <c r="E26" s="63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PL'!$P$5,IFERROR(INDEX('"INCC-FGV"'!$B$2:$B$400,MATCH(A26,'"INCC-FGV"'!$A$2:$A$400,0)),'VALOR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3">
        <f>IF(A27&lt;='VALOR POR PL'!$P$5,'MODELO PARA BI'!AE61,0)</f>
        <v/>
      </c>
      <c r="E27" s="63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PL'!$P$5,IFERROR(INDEX('"INCC-FGV"'!$B$2:$B$400,MATCH(A27,'"INCC-FGV"'!$A$2:$A$400,0)),'VALOR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3">
        <f>IF(A28&lt;='VALOR POR PL'!$P$5,'MODELO PARA BI'!AF61,0)</f>
        <v/>
      </c>
      <c r="E28" s="63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PL'!$P$5,IFERROR(INDEX('"INCC-FGV"'!$B$2:$B$400,MATCH(A28,'"INCC-FGV"'!$A$2:$A$400,0)),'VALOR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3">
        <f>IF(A29&lt;='VALOR POR PL'!$P$5,'MODELO PARA BI'!AG61,0)</f>
        <v/>
      </c>
      <c r="E29" s="63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PL'!$P$5,IFERROR(INDEX('"INCC-FGV"'!$B$2:$B$400,MATCH(A29,'"INCC-FGV"'!$A$2:$A$400,0)),'VALOR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3">
        <f>IF(A30&lt;='VALOR POR PL'!$P$5,'MODELO PARA BI'!AH61,0)</f>
        <v/>
      </c>
      <c r="E30" s="63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PL'!$P$5,IFERROR(INDEX('"INCC-FGV"'!$B$2:$B$400,MATCH(A30,'"INCC-FGV"'!$A$2:$A$400,0)),'VALOR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3">
        <f>IF(A31&lt;='VALOR POR PL'!$P$5,'MODELO PARA BI'!AI61,0)</f>
        <v/>
      </c>
      <c r="E31" s="63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PL'!$P$5,IFERROR(INDEX('"INCC-FGV"'!$B$2:$B$400,MATCH(A31,'"INCC-FGV"'!$A$2:$A$400,0)),'VALOR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3">
        <f>IF(A32&lt;='VALOR POR PL'!$P$5,'MODELO PARA BI'!AJ61,0)</f>
        <v/>
      </c>
      <c r="E32" s="63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PL'!$P$5,IFERROR(INDEX('"INCC-FGV"'!$B$2:$B$400,MATCH(A32,'"INCC-FGV"'!$A$2:$A$400,0)),'VALOR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3">
        <f>IF(A33&lt;='VALOR POR PL'!$P$5,'MODELO PARA BI'!AK61,0)</f>
        <v/>
      </c>
      <c r="E33" s="63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PL'!$P$5,IFERROR(INDEX('"INCC-FGV"'!$B$2:$B$400,MATCH(A33,'"INCC-FGV"'!$A$2:$A$400,0)),'VALOR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3">
        <f>IF(A34&lt;='VALOR POR PL'!$P$5,'MODELO PARA BI'!AL61,0)</f>
        <v/>
      </c>
      <c r="E34" s="63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PL'!$P$5,IFERROR(INDEX('"INCC-FGV"'!$B$2:$B$400,MATCH(A34,'"INCC-FGV"'!$A$2:$A$400,0)),'VALOR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3">
        <f>IF(A35&lt;='VALOR POR PL'!$P$5,'MODELO PARA BI'!AM61,0)</f>
        <v/>
      </c>
      <c r="E35" s="63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PL'!$P$5,IFERROR(INDEX('"INCC-FGV"'!$B$2:$B$400,MATCH(A35,'"INCC-FGV"'!$A$2:$A$400,0)),'VALOR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3">
        <f>IF(A36&lt;='VALOR POR PL'!$P$5,'MODELO PARA BI'!AN61,0)</f>
        <v/>
      </c>
      <c r="E36" s="63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PL'!$P$5,IFERROR(INDEX('"INCC-FGV"'!$B$2:$B$400,MATCH(A36,'"INCC-FGV"'!$A$2:$A$400,0)),'VALOR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3">
        <f>IF(A37&lt;='VALOR POR PL'!$P$5,'MODELO PARA BI'!AO61,0)</f>
        <v/>
      </c>
      <c r="E37" s="63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PL'!$P$5,IFERROR(INDEX('"INCC-FGV"'!$B$2:$B$400,MATCH(A37,'"INCC-FGV"'!$A$2:$A$400,0)),'VALOR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3">
        <f>IF(A38&lt;='VALOR POR PL'!$P$5,'MODELO PARA BI'!AP61,0)</f>
        <v/>
      </c>
      <c r="E38" s="63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PL'!$P$5,IFERROR(INDEX('"INCC-FGV"'!$B$2:$B$400,MATCH(A38,'"INCC-FGV"'!$A$2:$A$400,0)),'VALOR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3">
        <f>IF(A39&lt;='VALOR POR PL'!$P$5,'MODELO PARA BI'!AQ61,0)</f>
        <v/>
      </c>
      <c r="E39" s="63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PL'!$P$5,IFERROR(INDEX('"INCC-FGV"'!$B$2:$B$400,MATCH(A39,'"INCC-FGV"'!$A$2:$A$400,0)),'VALOR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3">
        <f>IF(A40&lt;='VALOR POR PL'!$P$5,'MODELO PARA BI'!AR61,0)</f>
        <v/>
      </c>
      <c r="E40" s="63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PL'!$P$5,IFERROR(INDEX('"INCC-FGV"'!$B$2:$B$400,MATCH(A40,'"INCC-FGV"'!$A$2:$A$400,0)),'VALOR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3">
        <f>IF(A41&lt;='VALOR POR PL'!$P$5,'MODELO PARA BI'!AS61,0)</f>
        <v/>
      </c>
      <c r="E41" s="63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PL'!$P$5,IFERROR(INDEX('"INCC-FGV"'!$B$2:$B$400,MATCH(A41,'"INCC-FGV"'!$A$2:$A$400,0)),'VALOR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3">
        <f>IF(A42&lt;='VALOR POR PL'!$P$5,'MODELO PARA BI'!AT61,0)</f>
        <v/>
      </c>
      <c r="E42" s="63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PL'!$P$5,IFERROR(INDEX('"INCC-FGV"'!$B$2:$B$400,MATCH(A42,'"INCC-FGV"'!$A$2:$A$400,0)),'VALOR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3">
        <f>IF(A43&lt;='VALOR POR PL'!$P$5,'MODELO PARA BI'!AU61,0)</f>
        <v/>
      </c>
      <c r="E43" s="63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PL'!$P$5,IFERROR(INDEX('"INCC-FGV"'!$B$2:$B$400,MATCH(A43,'"INCC-FGV"'!$A$2:$A$400,0)),'VALOR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3">
        <f>IF(A44&lt;='VALOR POR PL'!$P$5,'MODELO PARA BI'!AV61,0)</f>
        <v/>
      </c>
      <c r="E44" s="63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PL'!$P$5,IFERROR(INDEX('"INCC-FGV"'!$B$2:$B$400,MATCH(A44,'"INCC-FGV"'!$A$2:$A$400,0)),'VALOR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3">
        <f>IF(A45&lt;='VALOR POR PL'!$P$5,'MODELO PARA BI'!AW61,0)</f>
        <v/>
      </c>
      <c r="E45" s="63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PL'!$P$5,IFERROR(INDEX('"INCC-FGV"'!$B$2:$B$400,MATCH(A45,'"INCC-FGV"'!$A$2:$A$400,0)),'VALOR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3">
        <f>IF(A46&lt;='VALOR POR PL'!$P$5,'MODELO PARA BI'!AX61,0)</f>
        <v/>
      </c>
      <c r="E46" s="63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PL'!$P$5,IFERROR(INDEX('"INCC-FGV"'!$B$2:$B$400,MATCH(A46,'"INCC-FGV"'!$A$2:$A$400,0)),'VALOR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3">
        <f>IF(A47&lt;='VALOR POR PL'!$P$5,'MODELO PARA BI'!AY61,0)</f>
        <v/>
      </c>
      <c r="E47" s="63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PL'!$P$5,IFERROR(INDEX('"INCC-FGV"'!$B$2:$B$400,MATCH(A47,'"INCC-FGV"'!$A$2:$A$400,0)),'VALOR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3">
        <f>IF(A48&lt;='VALOR POR PL'!$P$5,'MODELO PARA BI'!AZ61,0)</f>
        <v/>
      </c>
      <c r="E48" s="63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PL'!$P$5,IFERROR(INDEX('"INCC-FGV"'!$B$2:$B$400,MATCH(A48,'"INCC-FGV"'!$A$2:$A$400,0)),'VALOR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3">
        <f>IF(A49&lt;='VALOR POR PL'!$P$5,'MODELO PARA BI'!BA61,0)</f>
        <v/>
      </c>
      <c r="E49" s="63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PL'!$P$5,IFERROR(INDEX('"INCC-FGV"'!$B$2:$B$400,MATCH(A49,'"INCC-FGV"'!$A$2:$A$400,0)),'VALOR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3">
        <f>IF(A50&lt;='VALOR POR PL'!$P$5,'MODELO PARA BI'!BB61,0)</f>
        <v/>
      </c>
      <c r="E50" s="63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PL'!$P$5,IFERROR(INDEX('"INCC-FGV"'!$B$2:$B$400,MATCH(A50,'"INCC-FGV"'!$A$2:$A$400,0)),'VALOR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3">
        <f>IF(A51&lt;='VALOR POR PL'!$P$5,'MODELO PARA BI'!BC61,0)</f>
        <v/>
      </c>
      <c r="E51" s="63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PL'!$P$5,IFERROR(INDEX('"INCC-FGV"'!$B$2:$B$400,MATCH(A51,'"INCC-FGV"'!$A$2:$A$400,0)),'VALOR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3">
        <f>IF(A52&lt;='VALOR POR PL'!$P$5,'MODELO PARA BI'!BD61,0)</f>
        <v/>
      </c>
      <c r="E52" s="63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PL'!$P$5,IFERROR(INDEX('"INCC-FGV"'!$B$2:$B$400,MATCH(A52,'"INCC-FGV"'!$A$2:$A$400,0)),'VALOR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3">
        <f>IF(A53&lt;='VALOR POR PL'!$P$5,'MODELO PARA BI'!BE61,0)</f>
        <v/>
      </c>
      <c r="E53" s="63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PL'!$P$5,IFERROR(INDEX('"INCC-FGV"'!$B$2:$B$400,MATCH(A53,'"INCC-FGV"'!$A$2:$A$400,0)),'VALOR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3">
        <f>IF(A54&lt;='VALOR POR PL'!$P$5,'MODELO PARA BI'!BF61,0)</f>
        <v/>
      </c>
      <c r="E54" s="63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PL'!$P$5,IFERROR(INDEX('"INCC-FGV"'!$B$2:$B$400,MATCH(A54,'"INCC-FGV"'!$A$2:$A$400,0)),'VALOR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3">
        <f>IF(A55&lt;='VALOR POR PL'!$P$5,'MODELO PARA BI'!BG61,0)</f>
        <v/>
      </c>
      <c r="E55" s="63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PL'!$P$5,IFERROR(INDEX('"INCC-FGV"'!$B$2:$B$400,MATCH(A55,'"INCC-FGV"'!$A$2:$A$400,0)),'VALOR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3">
        <f>IF(A56&lt;='VALOR POR PL'!$P$5,'MODELO PARA BI'!BH61,0)</f>
        <v/>
      </c>
      <c r="E56" s="63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PL'!$P$5,IFERROR(INDEX('"INCC-FGV"'!$B$2:$B$400,MATCH(A56,'"INCC-FGV"'!$A$2:$A$400,0)),'VALOR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3">
        <f>IF(A57&lt;='VALOR POR PL'!$P$5,'MODELO PARA BI'!BI61,0)</f>
        <v/>
      </c>
      <c r="E57" s="63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PL'!$P$5,IFERROR(INDEX('"INCC-FGV"'!$B$2:$B$400,MATCH(A57,'"INCC-FGV"'!$A$2:$A$400,0)),'VALOR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3">
        <f>IF(A58&lt;='VALOR POR PL'!$P$5,'MODELO PARA BI'!BJ61,0)</f>
        <v/>
      </c>
      <c r="E58" s="63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PL'!$P$5,IFERROR(INDEX('"INCC-FGV"'!$B$2:$B$400,MATCH(A58,'"INCC-FGV"'!$A$2:$A$400,0)),'VALOR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3">
        <f>IF(A59&lt;='VALOR POR PL'!$P$5,'MODELO PARA BI'!BK61,0)</f>
        <v/>
      </c>
      <c r="E59" s="63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PL'!$P$5,IFERROR(INDEX('"INCC-FGV"'!$B$2:$B$400,MATCH(A59,'"INCC-FGV"'!$A$2:$A$400,0)),'VALOR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3">
        <f>IF(A60&lt;='VALOR POR PL'!$P$5,'MODELO PARA BI'!BL61,0)</f>
        <v/>
      </c>
      <c r="E60" s="63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PL'!$P$5,IFERROR(INDEX('"INCC-FGV"'!$B$2:$B$400,MATCH(A60,'"INCC-FGV"'!$A$2:$A$400,0)),'VALOR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3">
        <f>IF(A61&lt;='VALOR POR PL'!$P$5,'MODELO PARA BI'!BM61,0)</f>
        <v/>
      </c>
      <c r="E61" s="63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PL'!$P$5,IFERROR(INDEX('"INCC-FGV"'!$B$2:$B$400,MATCH(A61,'"INCC-FGV"'!$A$2:$A$400,0)),'VALOR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3">
        <f>IF(A62&lt;='VALOR POR PL'!$P$5,'MODELO PARA BI'!BN61,0)</f>
        <v/>
      </c>
      <c r="E62" s="63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PL'!$P$5,IFERROR(INDEX('"INCC-FGV"'!$B$2:$B$400,MATCH(A62,'"INCC-FGV"'!$A$2:$A$400,0)),'VALOR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3">
        <f>IF(A63&lt;='VALOR POR PL'!$P$5,'MODELO PARA BI'!BO61,0)</f>
        <v/>
      </c>
      <c r="E63" s="63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PL'!$P$5,IFERROR(INDEX('"INCC-FGV"'!$B$2:$B$400,MATCH(A63,'"INCC-FGV"'!$A$2:$A$400,0)),'VALOR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3">
        <f>IF(A64&lt;='VALOR POR PL'!$P$5,'MODELO PARA BI'!BP61,0)</f>
        <v/>
      </c>
      <c r="E64" s="63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PL'!$P$5,IFERROR(INDEX('"INCC-FGV"'!$B$2:$B$400,MATCH(A64,'"INCC-FGV"'!$A$2:$A$400,0)),'VALOR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3">
        <f>IF(A65&lt;='VALOR POR PL'!$P$5,'MODELO PARA BI'!BQ61,0)</f>
        <v/>
      </c>
      <c r="E65" s="63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PL'!$P$5,IFERROR(INDEX('"INCC-FGV"'!$B$2:$B$400,MATCH(A65,'"INCC-FGV"'!$A$2:$A$400,0)),'VALOR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3">
        <f>IF(A66&lt;='VALOR POR PL'!$P$5,'MODELO PARA BI'!BR61,0)</f>
        <v/>
      </c>
      <c r="E66" s="63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PL'!$P$5,IFERROR(INDEX('"INCC-FGV"'!$B$2:$B$400,MATCH(A66,'"INCC-FGV"'!$A$2:$A$400,0)),'VALOR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3">
        <f>IF(A67&lt;='VALOR POR PL'!$P$5,'MODELO PARA BI'!BS61,0)</f>
        <v/>
      </c>
      <c r="E67" s="63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PL'!$P$5,IFERROR(INDEX('"INCC-FGV"'!$B$2:$B$400,MATCH(A67,'"INCC-FGV"'!$A$2:$A$400,0)),'VALOR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3">
        <f>IF(A68&lt;='VALOR POR PL'!$P$5,'MODELO PARA BI'!BT61,0)</f>
        <v/>
      </c>
      <c r="E68" s="63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PL'!$P$5,IFERROR(INDEX('"INCC-FGV"'!$B$2:$B$400,MATCH(A68,'"INCC-FGV"'!$A$2:$A$400,0)),'VALOR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3">
        <f>IF(A69&lt;='VALOR POR PL'!$P$5,'MODELO PARA BI'!BU61,0)</f>
        <v/>
      </c>
      <c r="E69" s="63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PL'!$P$5,IFERROR(INDEX('"INCC-FGV"'!$B$2:$B$400,MATCH(A69,'"INCC-FGV"'!$A$2:$A$400,0)),'VALOR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3">
        <f>IF(A70&lt;='VALOR POR PL'!$P$5,'MODELO PARA BI'!BV61,0)</f>
        <v/>
      </c>
      <c r="E70" s="63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PL'!$P$5,IFERROR(INDEX('"INCC-FGV"'!$B$2:$B$400,MATCH(A70,'"INCC-FGV"'!$A$2:$A$400,0)),'VALOR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3">
        <f>IF(A71&lt;='VALOR POR PL'!$P$5,'MODELO PARA BI'!BW61,0)</f>
        <v/>
      </c>
      <c r="E71" s="63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PL'!$P$5,IFERROR(INDEX('"INCC-FGV"'!$B$2:$B$400,MATCH(A71,'"INCC-FGV"'!$A$2:$A$400,0)),'VALOR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3">
        <f>IF(A72&lt;='VALOR POR PL'!$P$5,'MODELO PARA BI'!BX61,0)</f>
        <v/>
      </c>
      <c r="E72" s="63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PL'!$P$5,IFERROR(INDEX('"INCC-FGV"'!$B$2:$B$400,MATCH(A72,'"INCC-FGV"'!$A$2:$A$400,0)),'VALOR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3">
        <f>IF(A73&lt;='VALOR POR PL'!$P$5,'MODELO PARA BI'!BY61,0)</f>
        <v/>
      </c>
      <c r="E73" s="63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PL'!$P$5,IFERROR(INDEX('"INCC-FGV"'!$B$2:$B$400,MATCH(A73,'"INCC-FGV"'!$A$2:$A$400,0)),'VALOR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3">
        <f>IF(A74&lt;='VALOR POR PL'!$P$5,'MODELO PARA BI'!BZ61,0)</f>
        <v/>
      </c>
      <c r="E74" s="63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PL'!$P$5,IFERROR(INDEX('"INCC-FGV"'!$B$2:$B$400,MATCH(A74,'"INCC-FGV"'!$A$2:$A$400,0)),'VALOR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3">
        <f>IF(A75&lt;='VALOR POR PL'!$P$5,'MODELO PARA BI'!CA61,0)</f>
        <v/>
      </c>
      <c r="E75" s="63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PL'!$P$5,IFERROR(INDEX('"INCC-FGV"'!$B$2:$B$400,MATCH(A75,'"INCC-FGV"'!$A$2:$A$400,0)),'VALOR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45536</v>
      </c>
      <c r="B2" s="48" t="n">
        <v>1136.521</v>
      </c>
      <c r="D2" s="115">
        <f>IF(B2="","",IFERROR(B2/INDEX($B$2:$B$400,MATCH(DATE(YEAR(A2)-1,12,1),$A$2:$A$400,0))-1,""))</f>
        <v/>
      </c>
      <c r="E2" s="115">
        <f>IF(B2="","",IFERROR(B2/INDEX($B$2:$B$400,MATCH(DATE(YEAR(A2)-1,MONTH(A2),1),$A$2:$A$400,0))-1,""))</f>
        <v/>
      </c>
      <c r="G2" s="116" t="inlineStr">
        <is>
          <t>Fonte: FGV (INCC-DI). Acrescente uma linha por mês.</t>
        </is>
      </c>
    </row>
    <row r="3">
      <c r="A3" s="114" t="n">
        <v>45566</v>
      </c>
      <c r="B3" s="48" t="n">
        <v>1144.136</v>
      </c>
      <c r="C3" s="115">
        <f>IF(OR(B3="",B2=""),"",B3/B2-1)</f>
        <v/>
      </c>
      <c r="D3" s="115">
        <f>IF(B3="","",IFERROR(B3/INDEX($B$2:$B$400,MATCH(DATE(YEAR(A3)-1,12,1),$A$2:$A$400,0))-1,""))</f>
        <v/>
      </c>
      <c r="E3" s="115">
        <f>IF(B3="","",IFERROR(B3/INDEX($B$2:$B$400,MATCH(DATE(YEAR(A3)-1,MONTH(A3),1),$A$2:$A$400,0))-1,""))</f>
        <v/>
      </c>
    </row>
    <row r="4">
      <c r="A4" s="114" t="n">
        <v>45597</v>
      </c>
      <c r="B4" s="48" t="n">
        <v>1149.158</v>
      </c>
      <c r="C4" s="115">
        <f>IF(OR(B4="",B3=""),"",B4/B3-1)</f>
        <v/>
      </c>
      <c r="D4" s="115">
        <f>IF(B4="","",IFERROR(B4/INDEX($B$2:$B$400,MATCH(DATE(YEAR(A4)-1,12,1),$A$2:$A$400,0))-1,""))</f>
        <v/>
      </c>
      <c r="E4" s="115">
        <f>IF(B4="","",IFERROR(B4/INDEX($B$2:$B$400,MATCH(DATE(YEAR(A4)-1,MONTH(A4),1),$A$2:$A$400,0))-1,""))</f>
        <v/>
      </c>
    </row>
    <row r="5">
      <c r="A5" s="114" t="n">
        <v>45627</v>
      </c>
      <c r="B5" s="48" t="n">
        <v>1154.99</v>
      </c>
      <c r="C5" s="115">
        <f>IF(OR(B5="",B4=""),"",B5/B4-1)</f>
        <v/>
      </c>
      <c r="D5" s="115">
        <f>IF(B5="","",IFERROR(B5/INDEX($B$2:$B$400,MATCH(DATE(YEAR(A5)-1,12,1),$A$2:$A$400,0))-1,""))</f>
        <v/>
      </c>
      <c r="E5" s="115">
        <f>IF(B5="","",IFERROR(B5/INDEX($B$2:$B$400,MATCH(DATE(YEAR(A5)-1,MONTH(A5),1),$A$2:$A$400,0))-1,""))</f>
        <v/>
      </c>
    </row>
    <row r="6">
      <c r="A6" s="114" t="n">
        <v>45658</v>
      </c>
      <c r="B6" s="48" t="n">
        <v>1163.221</v>
      </c>
      <c r="C6" s="115">
        <f>IF(OR(B6="",B5=""),"",B6/B5-1)</f>
        <v/>
      </c>
      <c r="D6" s="115">
        <f>IF(B6="","",IFERROR(B6/INDEX($B$2:$B$400,MATCH(DATE(YEAR(A6)-1,12,1),$A$2:$A$400,0))-1,""))</f>
        <v/>
      </c>
      <c r="E6" s="115">
        <f>IF(B6="","",IFERROR(B6/INDEX($B$2:$B$400,MATCH(DATE(YEAR(A6)-1,MONTH(A6),1),$A$2:$A$400,0))-1,""))</f>
        <v/>
      </c>
    </row>
    <row r="7">
      <c r="A7" s="114" t="n">
        <v>45689</v>
      </c>
      <c r="B7" s="48" t="n">
        <v>1169.156</v>
      </c>
      <c r="C7" s="115">
        <f>IF(OR(B7="",B6=""),"",B7/B6-1)</f>
        <v/>
      </c>
      <c r="D7" s="115">
        <f>IF(B7="","",IFERROR(B7/INDEX($B$2:$B$400,MATCH(DATE(YEAR(A7)-1,12,1),$A$2:$A$400,0))-1,""))</f>
        <v/>
      </c>
      <c r="E7" s="115">
        <f>IF(B7="","",IFERROR(B7/INDEX($B$2:$B$400,MATCH(DATE(YEAR(A7)-1,MONTH(A7),1),$A$2:$A$400,0))-1,""))</f>
        <v/>
      </c>
    </row>
    <row r="8">
      <c r="A8" s="114" t="n">
        <v>45717</v>
      </c>
      <c r="B8" s="48" t="n">
        <v>1173.586</v>
      </c>
      <c r="C8" s="115">
        <f>IF(OR(B8="",B7=""),"",B8/B7-1)</f>
        <v/>
      </c>
      <c r="D8" s="115">
        <f>IF(B8="","",IFERROR(B8/INDEX($B$2:$B$400,MATCH(DATE(YEAR(A8)-1,12,1),$A$2:$A$400,0))-1,""))</f>
        <v/>
      </c>
      <c r="E8" s="115">
        <f>IF(B8="","",IFERROR(B8/INDEX($B$2:$B$400,MATCH(DATE(YEAR(A8)-1,MONTH(A8),1),$A$2:$A$400,0))-1,""))</f>
        <v/>
      </c>
    </row>
    <row r="9">
      <c r="A9" s="114" t="n">
        <v>45748</v>
      </c>
      <c r="B9" s="48" t="n">
        <v>1180.564</v>
      </c>
      <c r="C9" s="115">
        <f>IF(OR(B9="",B8=""),"",B9/B8-1)</f>
        <v/>
      </c>
      <c r="D9" s="115">
        <f>IF(B9="","",IFERROR(B9/INDEX($B$2:$B$400,MATCH(DATE(YEAR(A9)-1,12,1),$A$2:$A$400,0))-1,""))</f>
        <v/>
      </c>
      <c r="E9" s="115">
        <f>IF(B9="","",IFERROR(B9/INDEX($B$2:$B$400,MATCH(DATE(YEAR(A9)-1,MONTH(A9),1),$A$2:$A$400,0))-1,""))</f>
        <v/>
      </c>
    </row>
    <row r="10">
      <c r="A10" s="114" t="n">
        <v>45778</v>
      </c>
      <c r="B10" s="48" t="n">
        <v>1183.606</v>
      </c>
      <c r="C10" s="115">
        <f>IF(OR(B10="",B9=""),"",B10/B9-1)</f>
        <v/>
      </c>
      <c r="D10" s="115">
        <f>IF(B10="","",IFERROR(B10/INDEX($B$2:$B$400,MATCH(DATE(YEAR(A10)-1,12,1),$A$2:$A$400,0))-1,""))</f>
        <v/>
      </c>
      <c r="E10" s="115">
        <f>IF(B10="","",IFERROR(B10/INDEX($B$2:$B$400,MATCH(DATE(YEAR(A10)-1,MONTH(A10),1),$A$2:$A$400,0))-1,""))</f>
        <v/>
      </c>
    </row>
    <row r="11">
      <c r="A11" s="114" t="n">
        <v>45809</v>
      </c>
      <c r="B11" s="48" t="n">
        <v>1194.912</v>
      </c>
      <c r="C11" s="115">
        <f>IF(OR(B11="",B10=""),"",B11/B10-1)</f>
        <v/>
      </c>
      <c r="D11" s="115">
        <f>IF(B11="","",IFERROR(B11/INDEX($B$2:$B$400,MATCH(DATE(YEAR(A11)-1,12,1),$A$2:$A$400,0))-1,""))</f>
        <v/>
      </c>
      <c r="E11" s="115">
        <f>IF(B11="","",IFERROR(B11/INDEX($B$2:$B$400,MATCH(DATE(YEAR(A11)-1,MONTH(A11),1),$A$2:$A$400,0))-1,""))</f>
        <v/>
      </c>
    </row>
    <row r="12">
      <c r="A12" s="114" t="n">
        <v>45839</v>
      </c>
      <c r="B12" s="48" t="n">
        <v>1205.838</v>
      </c>
      <c r="C12" s="115">
        <f>IF(OR(B12="",B11=""),"",B12/B11-1)</f>
        <v/>
      </c>
      <c r="D12" s="115">
        <f>IF(B12="","",IFERROR(B12/INDEX($B$2:$B$400,MATCH(DATE(YEAR(A12)-1,12,1),$A$2:$A$400,0))-1,""))</f>
        <v/>
      </c>
      <c r="E12" s="115">
        <f>IF(B12="","",IFERROR(B12/INDEX($B$2:$B$400,MATCH(DATE(YEAR(A12)-1,MONTH(A12),1),$A$2:$A$400,0))-1,""))</f>
        <v/>
      </c>
    </row>
    <row r="13">
      <c r="A13" s="114" t="n">
        <v>45870</v>
      </c>
      <c r="B13" s="48" t="n">
        <v>1214.239</v>
      </c>
      <c r="C13" s="115">
        <f>IF(OR(B13="",B12=""),"",B13/B12-1)</f>
        <v/>
      </c>
      <c r="D13" s="115">
        <f>IF(B13="","",IFERROR(B13/INDEX($B$2:$B$400,MATCH(DATE(YEAR(A13)-1,12,1),$A$2:$A$400,0))-1,""))</f>
        <v/>
      </c>
      <c r="E13" s="115">
        <f>IF(B13="","",IFERROR(B13/INDEX($B$2:$B$400,MATCH(DATE(YEAR(A13)-1,MONTH(A13),1),$A$2:$A$400,0))-1,""))</f>
        <v/>
      </c>
    </row>
    <row r="14">
      <c r="A14" s="114" t="n">
        <v>45901</v>
      </c>
      <c r="B14" s="48" t="n">
        <v>1216.825</v>
      </c>
      <c r="C14" s="115">
        <f>IF(OR(B14="",B13=""),"",B14/B13-1)</f>
        <v/>
      </c>
      <c r="D14" s="115">
        <f>IF(B14="","",IFERROR(B14/INDEX($B$2:$B$400,MATCH(DATE(YEAR(A14)-1,12,1),$A$2:$A$400,0))-1,""))</f>
        <v/>
      </c>
      <c r="E14" s="115">
        <f>IF(B14="","",IFERROR(B14/INDEX($B$2:$B$400,MATCH(DATE(YEAR(A14)-1,MONTH(A14),1),$A$2:$A$400,0))-1,""))</f>
        <v/>
      </c>
    </row>
    <row r="15">
      <c r="A15" s="114" t="n">
        <v>45931</v>
      </c>
      <c r="B15" s="48" t="n">
        <v>1219.407</v>
      </c>
      <c r="C15" s="115">
        <f>IF(OR(B15="",B14=""),"",B15/B14-1)</f>
        <v/>
      </c>
      <c r="D15" s="115">
        <f>IF(B15="","",IFERROR(B15/INDEX($B$2:$B$400,MATCH(DATE(YEAR(A15)-1,12,1),$A$2:$A$400,0))-1,""))</f>
        <v/>
      </c>
      <c r="E15" s="115">
        <f>IF(B15="","",IFERROR(B15/INDEX($B$2:$B$400,MATCH(DATE(YEAR(A15)-1,MONTH(A15),1),$A$2:$A$400,0))-1,""))</f>
        <v/>
      </c>
    </row>
    <row r="16">
      <c r="A16" s="114" t="n">
        <v>45962</v>
      </c>
      <c r="B16" s="48" t="n">
        <v>1222.865</v>
      </c>
      <c r="C16" s="115">
        <f>IF(OR(B16="",B15=""),"",B16/B15-1)</f>
        <v/>
      </c>
      <c r="D16" s="115">
        <f>IF(B16="","",IFERROR(B16/INDEX($B$2:$B$400,MATCH(DATE(YEAR(A16)-1,12,1),$A$2:$A$400,0))-1,""))</f>
        <v/>
      </c>
      <c r="E16" s="115">
        <f>IF(B16="","",IFERROR(B16/INDEX($B$2:$B$400,MATCH(DATE(YEAR(A16)-1,MONTH(A16),1),$A$2:$A$400,0))-1,""))</f>
        <v/>
      </c>
    </row>
    <row r="17">
      <c r="A17" s="114" t="n">
        <v>45992</v>
      </c>
      <c r="B17" s="48" t="n">
        <v>1225.398</v>
      </c>
      <c r="C17" s="115">
        <f>IF(OR(B17="",B16=""),"",B17/B16-1)</f>
        <v/>
      </c>
      <c r="D17" s="115">
        <f>IF(B17="","",IFERROR(B17/INDEX($B$2:$B$400,MATCH(DATE(YEAR(A17)-1,12,1),$A$2:$A$400,0))-1,""))</f>
        <v/>
      </c>
      <c r="E17" s="115">
        <f>IF(B17="","",IFERROR(B17/INDEX($B$2:$B$400,MATCH(DATE(YEAR(A17)-1,MONTH(A17),1),$A$2:$A$400,0))-1,""))</f>
        <v/>
      </c>
    </row>
    <row r="18">
      <c r="A18" s="114" t="n">
        <v>46023</v>
      </c>
      <c r="B18" s="48" t="n">
        <v>1233.096</v>
      </c>
      <c r="C18" s="115">
        <f>IF(OR(B18="",B17=""),"",B18/B17-1)</f>
        <v/>
      </c>
      <c r="D18" s="115">
        <f>IF(B18="","",IFERROR(B18/INDEX($B$2:$B$400,MATCH(DATE(YEAR(A18)-1,12,1),$A$2:$A$400,0))-1,""))</f>
        <v/>
      </c>
      <c r="E18" s="115">
        <f>IF(B18="","",IFERROR(B18/INDEX($B$2:$B$400,MATCH(DATE(YEAR(A18)-1,MONTH(A18),1),$A$2:$A$400,0))-1,""))</f>
        <v/>
      </c>
    </row>
    <row r="19">
      <c r="A19" s="114" t="n">
        <v>46054</v>
      </c>
      <c r="B19" s="48" t="n">
        <v>1237.312</v>
      </c>
      <c r="C19" s="115">
        <f>IF(OR(B19="",B18=""),"",B19/B18-1)</f>
        <v/>
      </c>
      <c r="D19" s="115">
        <f>IF(B19="","",IFERROR(B19/INDEX($B$2:$B$400,MATCH(DATE(YEAR(A19)-1,12,1),$A$2:$A$400,0))-1,""))</f>
        <v/>
      </c>
      <c r="E19" s="115">
        <f>IF(B19="","",IFERROR(B19/INDEX($B$2:$B$400,MATCH(DATE(YEAR(A19)-1,MONTH(A19),1),$A$2:$A$400,0))-1,""))</f>
        <v/>
      </c>
    </row>
    <row r="20">
      <c r="A20" s="114" t="n">
        <v>46082</v>
      </c>
      <c r="B20" s="48" t="n">
        <v>1247.181</v>
      </c>
      <c r="C20" s="115">
        <f>IF(OR(B20="",B19=""),"",B20/B19-1)</f>
        <v/>
      </c>
      <c r="D20" s="115">
        <f>IF(B20="","",IFERROR(B20/INDEX($B$2:$B$400,MATCH(DATE(YEAR(A20)-1,12,1),$A$2:$A$400,0))-1,""))</f>
        <v/>
      </c>
      <c r="E20" s="115">
        <f>IF(B20="","",IFERROR(B20/INDEX($B$2:$B$400,MATCH(DATE(YEAR(A20)-1,MONTH(A20),1),$A$2:$A$400,0))-1,""))</f>
        <v/>
      </c>
    </row>
    <row r="21">
      <c r="A21" s="114" t="n">
        <v>46113</v>
      </c>
      <c r="B21" s="48" t="n">
        <v>1259.652</v>
      </c>
      <c r="C21" s="115">
        <f>IF(OR(B21="",B20=""),"",B21/B20-1)</f>
        <v/>
      </c>
      <c r="D21" s="115">
        <f>IF(B21="","",IFERROR(B21/INDEX($B$2:$B$400,MATCH(DATE(YEAR(A21)-1,12,1),$A$2:$A$400,0))-1,""))</f>
        <v/>
      </c>
      <c r="E21" s="115">
        <f>IF(B21="","",IFERROR(B21/INDEX($B$2:$B$400,MATCH(DATE(YEAR(A21)-1,MONTH(A21),1),$A$2:$A$400,0))-1,""))</f>
        <v/>
      </c>
    </row>
    <row r="22">
      <c r="A22" s="114" t="n">
        <v>46143</v>
      </c>
      <c r="B22" s="48" t="n">
        <v>1270.695</v>
      </c>
      <c r="C22" s="115">
        <f>IF(OR(B22="",B21=""),"",B22/B21-1)</f>
        <v/>
      </c>
      <c r="D22" s="115">
        <f>IF(B22="","",IFERROR(B22/INDEX($B$2:$B$400,MATCH(DATE(YEAR(A22)-1,12,1),$A$2:$A$400,0))-1,""))</f>
        <v/>
      </c>
      <c r="E22" s="115">
        <f>IF(B22="","",IFERROR(B22/INDEX($B$2:$B$400,MATCH(DATE(YEAR(A22)-1,MONTH(A22),1),$A$2:$A$400,0))-1,""))</f>
        <v/>
      </c>
    </row>
    <row r="23">
      <c r="A23" s="114" t="n">
        <v>46174</v>
      </c>
      <c r="B23" s="48" t="n">
        <v>1280.641</v>
      </c>
      <c r="C23" s="115">
        <f>IF(OR(B23="",B22=""),"",B23/B22-1)</f>
        <v/>
      </c>
      <c r="D23" s="115">
        <f>IF(B23="","",IFERROR(B23/INDEX($B$2:$B$400,MATCH(DATE(YEAR(A23)-1,12,1),$A$2:$A$400,0))-1,""))</f>
        <v/>
      </c>
      <c r="E23" s="115">
        <f>IF(B23="","",IFERROR(B23/INDEX($B$2:$B$400,MATCH(DATE(YEAR(A23)-1,MONTH(A23),1),$A$2:$A$400,0))-1,""))</f>
        <v/>
      </c>
    </row>
    <row r="24">
      <c r="A24" s="114" t="n">
        <v>46204</v>
      </c>
      <c r="B24" s="48" t="n">
        <v>1288.431</v>
      </c>
      <c r="C24" s="115">
        <f>IF(OR(B24="",B23=""),"",B24/B23-1)</f>
        <v/>
      </c>
      <c r="D24" s="115">
        <f>IF(B24="","",IFERROR(B24/INDEX($B$2:$B$400,MATCH(DATE(YEAR(A24)-1,12,1),$A$2:$A$400,0))-1,""))</f>
        <v/>
      </c>
      <c r="E24" s="115">
        <f>IF(B24="","",IFERROR(B24/INDEX($B$2:$B$400,MATCH(DATE(YEAR(A24)-1,MONTH(A24),1),$A$2:$A$400,0))-1,""))</f>
        <v/>
      </c>
    </row>
    <row r="25">
      <c r="A25" s="114" t="n">
        <v>46235</v>
      </c>
      <c r="B25" s="48" t="n">
        <v>1296.889</v>
      </c>
      <c r="C25" s="115">
        <f>IF(OR(B25="",B24=""),"",B25/B24-1)</f>
        <v/>
      </c>
      <c r="D25" s="115">
        <f>IF(B25="","",IFERROR(B25/INDEX($B$2:$B$400,MATCH(DATE(YEAR(A25)-1,12,1),$A$2:$A$400,0))-1,""))</f>
        <v/>
      </c>
      <c r="E25" s="115">
        <f>IF(B25="","",IFERROR(B25/INDEX($B$2:$B$400,MATCH(DATE(YEAR(A25)-1,MONTH(A25),1),$A$2:$A$400,0))-1,""))</f>
        <v/>
      </c>
    </row>
    <row r="26">
      <c r="A26" s="117" t="n"/>
      <c r="B26" s="118" t="n"/>
      <c r="C26" s="115">
        <f>IF(OR(B26="",B25=""),"",B26/B25-1)</f>
        <v/>
      </c>
      <c r="D26" s="115">
        <f>IF(B26="","",IFERROR(B26/INDEX($B$2:$B$400,MATCH(DATE(YEAR(A26)-1,12,1),$A$2:$A$400,0))-1,""))</f>
        <v/>
      </c>
      <c r="E26" s="115">
        <f>IF(B26="","",IFERROR(B26/INDEX($B$2:$B$400,MATCH(DATE(YEAR(A26)-1,MONTH(A26),1),$A$2:$A$400,0))-1,""))</f>
        <v/>
      </c>
    </row>
    <row r="27">
      <c r="A27" s="117" t="n"/>
      <c r="B27" s="118" t="n"/>
      <c r="C27" s="115">
        <f>IF(OR(B27="",B26=""),"",B27/B26-1)</f>
        <v/>
      </c>
      <c r="D27" s="115">
        <f>IF(B27="","",IFERROR(B27/INDEX($B$2:$B$400,MATCH(DATE(YEAR(A27)-1,12,1),$A$2:$A$400,0))-1,""))</f>
        <v/>
      </c>
      <c r="E27" s="115">
        <f>IF(B27="","",IFERROR(B27/INDEX($B$2:$B$400,MATCH(DATE(YEAR(A27)-1,MONTH(A27),1),$A$2:$A$400,0))-1,""))</f>
        <v/>
      </c>
    </row>
    <row r="28">
      <c r="A28" s="117" t="n"/>
      <c r="B28" s="118" t="n"/>
      <c r="C28" s="115">
        <f>IF(OR(B28="",B27=""),"",B28/B27-1)</f>
        <v/>
      </c>
      <c r="D28" s="115">
        <f>IF(B28="","",IFERROR(B28/INDEX($B$2:$B$400,MATCH(DATE(YEAR(A28)-1,12,1),$A$2:$A$400,0))-1,""))</f>
        <v/>
      </c>
      <c r="E28" s="115">
        <f>IF(B28="","",IFERROR(B28/INDEX($B$2:$B$400,MATCH(DATE(YEAR(A28)-1,MONTH(A28),1),$A$2:$A$400,0))-1,""))</f>
        <v/>
      </c>
    </row>
    <row r="29">
      <c r="A29" s="117" t="n"/>
      <c r="B29" s="118" t="n"/>
      <c r="C29" s="115">
        <f>IF(OR(B29="",B28=""),"",B29/B28-1)</f>
        <v/>
      </c>
      <c r="D29" s="115">
        <f>IF(B29="","",IFERROR(B29/INDEX($B$2:$B$400,MATCH(DATE(YEAR(A29)-1,12,1),$A$2:$A$400,0))-1,""))</f>
        <v/>
      </c>
      <c r="E29" s="115">
        <f>IF(B29="","",IFERROR(B29/INDEX($B$2:$B$400,MATCH(DATE(YEAR(A29)-1,MONTH(A29),1),$A$2:$A$400,0))-1,""))</f>
        <v/>
      </c>
    </row>
    <row r="30">
      <c r="A30" s="117" t="n"/>
      <c r="B30" s="118" t="n"/>
      <c r="C30" s="115">
        <f>IF(OR(B30="",B29=""),"",B30/B29-1)</f>
        <v/>
      </c>
      <c r="D30" s="115">
        <f>IF(B30="","",IFERROR(B30/INDEX($B$2:$B$400,MATCH(DATE(YEAR(A30)-1,12,1),$A$2:$A$400,0))-1,""))</f>
        <v/>
      </c>
      <c r="E30" s="115">
        <f>IF(B30="","",IFERROR(B30/INDEX($B$2:$B$400,MATCH(DATE(YEAR(A30)-1,MONTH(A30),1),$A$2:$A$400,0))-1,""))</f>
        <v/>
      </c>
    </row>
    <row r="31">
      <c r="A31" s="117" t="n"/>
      <c r="B31" s="118" t="n"/>
      <c r="C31" s="115">
        <f>IF(OR(B31="",B30=""),"",B31/B30-1)</f>
        <v/>
      </c>
      <c r="D31" s="115">
        <f>IF(B31="","",IFERROR(B31/INDEX($B$2:$B$400,MATCH(DATE(YEAR(A31)-1,12,1),$A$2:$A$400,0))-1,""))</f>
        <v/>
      </c>
      <c r="E31" s="115">
        <f>IF(B31="","",IFERROR(B31/INDEX($B$2:$B$400,MATCH(DATE(YEAR(A31)-1,MONTH(A31),1),$A$2:$A$400,0))-1,""))</f>
        <v/>
      </c>
    </row>
    <row r="32">
      <c r="A32" s="117" t="n"/>
      <c r="B32" s="118" t="n"/>
      <c r="C32" s="115">
        <f>IF(OR(B32="",B31=""),"",B32/B31-1)</f>
        <v/>
      </c>
      <c r="D32" s="115">
        <f>IF(B32="","",IFERROR(B32/INDEX($B$2:$B$400,MATCH(DATE(YEAR(A32)-1,12,1),$A$2:$A$400,0))-1,""))</f>
        <v/>
      </c>
      <c r="E32" s="115">
        <f>IF(B32="","",IFERROR(B32/INDEX($B$2:$B$400,MATCH(DATE(YEAR(A32)-1,MONTH(A32),1),$A$2:$A$400,0))-1,""))</f>
        <v/>
      </c>
    </row>
    <row r="33">
      <c r="A33" s="117" t="n"/>
      <c r="B33" s="118" t="n"/>
      <c r="C33" s="115">
        <f>IF(OR(B33="",B32=""),"",B33/B32-1)</f>
        <v/>
      </c>
      <c r="D33" s="115">
        <f>IF(B33="","",IFERROR(B33/INDEX($B$2:$B$400,MATCH(DATE(YEAR(A33)-1,12,1),$A$2:$A$400,0))-1,""))</f>
        <v/>
      </c>
      <c r="E33" s="115">
        <f>IF(B33="","",IFERROR(B33/INDEX($B$2:$B$400,MATCH(DATE(YEAR(A33)-1,MONTH(A33),1),$A$2:$A$400,0))-1,""))</f>
        <v/>
      </c>
    </row>
    <row r="34">
      <c r="A34" s="117" t="n"/>
      <c r="B34" s="118" t="n"/>
      <c r="C34" s="115">
        <f>IF(OR(B34="",B33=""),"",B34/B33-1)</f>
        <v/>
      </c>
      <c r="D34" s="115">
        <f>IF(B34="","",IFERROR(B34/INDEX($B$2:$B$400,MATCH(DATE(YEAR(A34)-1,12,1),$A$2:$A$400,0))-1,""))</f>
        <v/>
      </c>
      <c r="E34" s="115">
        <f>IF(B34="","",IFERROR(B34/INDEX($B$2:$B$400,MATCH(DATE(YEAR(A34)-1,MONTH(A34),1),$A$2:$A$400,0))-1,""))</f>
        <v/>
      </c>
    </row>
    <row r="35">
      <c r="A35" s="117" t="n"/>
      <c r="B35" s="118" t="n"/>
      <c r="C35" s="115">
        <f>IF(OR(B35="",B34=""),"",B35/B34-1)</f>
        <v/>
      </c>
      <c r="D35" s="115">
        <f>IF(B35="","",IFERROR(B35/INDEX($B$2:$B$400,MATCH(DATE(YEAR(A35)-1,12,1),$A$2:$A$400,0))-1,""))</f>
        <v/>
      </c>
      <c r="E35" s="115">
        <f>IF(B35="","",IFERROR(B35/INDEX($B$2:$B$400,MATCH(DATE(YEAR(A35)-1,MONTH(A35),1),$A$2:$A$400,0))-1,""))</f>
        <v/>
      </c>
    </row>
    <row r="36">
      <c r="A36" s="117" t="n"/>
      <c r="B36" s="118" t="n"/>
      <c r="C36" s="115">
        <f>IF(OR(B36="",B35=""),"",B36/B35-1)</f>
        <v/>
      </c>
      <c r="D36" s="115">
        <f>IF(B36="","",IFERROR(B36/INDEX($B$2:$B$400,MATCH(DATE(YEAR(A36)-1,12,1),$A$2:$A$400,0))-1,""))</f>
        <v/>
      </c>
      <c r="E36" s="115">
        <f>IF(B36="","",IFERROR(B36/INDEX($B$2:$B$400,MATCH(DATE(YEAR(A36)-1,MONTH(A36),1),$A$2:$A$400,0))-1,""))</f>
        <v/>
      </c>
    </row>
    <row r="37">
      <c r="A37" s="117" t="n"/>
      <c r="B37" s="118" t="n"/>
      <c r="C37" s="115">
        <f>IF(OR(B37="",B36=""),"",B37/B36-1)</f>
        <v/>
      </c>
      <c r="D37" s="115">
        <f>IF(B37="","",IFERROR(B37/INDEX($B$2:$B$400,MATCH(DATE(YEAR(A37)-1,12,1),$A$2:$A$400,0))-1,""))</f>
        <v/>
      </c>
      <c r="E37" s="115">
        <f>IF(B37="","",IFERROR(B37/INDEX($B$2:$B$400,MATCH(DATE(YEAR(A37)-1,MONTH(A37),1),$A$2:$A$400,0))-1,""))</f>
        <v/>
      </c>
    </row>
    <row r="38">
      <c r="A38" s="117" t="n"/>
      <c r="B38" s="118" t="n"/>
      <c r="C38" s="115">
        <f>IF(OR(B38="",B37=""),"",B38/B37-1)</f>
        <v/>
      </c>
      <c r="D38" s="115">
        <f>IF(B38="","",IFERROR(B38/INDEX($B$2:$B$400,MATCH(DATE(YEAR(A38)-1,12,1),$A$2:$A$400,0))-1,""))</f>
        <v/>
      </c>
      <c r="E38" s="115">
        <f>IF(B38="","",IFERROR(B38/INDEX($B$2:$B$400,MATCH(DATE(YEAR(A38)-1,MONTH(A38),1),$A$2:$A$400,0))-1,""))</f>
        <v/>
      </c>
    </row>
    <row r="39">
      <c r="A39" s="117" t="n"/>
      <c r="B39" s="118" t="n"/>
      <c r="C39" s="115">
        <f>IF(OR(B39="",B38=""),"",B39/B38-1)</f>
        <v/>
      </c>
      <c r="D39" s="115">
        <f>IF(B39="","",IFERROR(B39/INDEX($B$2:$B$400,MATCH(DATE(YEAR(A39)-1,12,1),$A$2:$A$400,0))-1,""))</f>
        <v/>
      </c>
      <c r="E39" s="115">
        <f>IF(B39="","",IFERROR(B39/INDEX($B$2:$B$400,MATCH(DATE(YEAR(A39)-1,MONTH(A39),1),$A$2:$A$400,0))-1,""))</f>
        <v/>
      </c>
    </row>
    <row r="40">
      <c r="A40" s="117" t="n"/>
      <c r="B40" s="118" t="n"/>
      <c r="C40" s="115">
        <f>IF(OR(B40="",B39=""),"",B40/B39-1)</f>
        <v/>
      </c>
      <c r="D40" s="115">
        <f>IF(B40="","",IFERROR(B40/INDEX($B$2:$B$400,MATCH(DATE(YEAR(A40)-1,12,1),$A$2:$A$400,0))-1,""))</f>
        <v/>
      </c>
      <c r="E40" s="115">
        <f>IF(B40="","",IFERROR(B40/INDEX($B$2:$B$400,MATCH(DATE(YEAR(A40)-1,MONTH(A40),1),$A$2:$A$400,0))-1,""))</f>
        <v/>
      </c>
    </row>
    <row r="41">
      <c r="A41" s="117" t="n"/>
      <c r="B41" s="118" t="n"/>
      <c r="C41" s="115">
        <f>IF(OR(B41="",B40=""),"",B41/B40-1)</f>
        <v/>
      </c>
      <c r="D41" s="115">
        <f>IF(B41="","",IFERROR(B41/INDEX($B$2:$B$400,MATCH(DATE(YEAR(A41)-1,12,1),$A$2:$A$400,0))-1,""))</f>
        <v/>
      </c>
      <c r="E41" s="115">
        <f>IF(B41="","",IFERROR(B41/INDEX($B$2:$B$400,MATCH(DATE(YEAR(A41)-1,MONTH(A41),1),$A$2:$A$400,0))-1,""))</f>
        <v/>
      </c>
    </row>
    <row r="42">
      <c r="A42" s="117" t="n"/>
      <c r="B42" s="118" t="n"/>
      <c r="C42" s="115">
        <f>IF(OR(B42="",B41=""),"",B42/B41-1)</f>
        <v/>
      </c>
      <c r="D42" s="115">
        <f>IF(B42="","",IFERROR(B42/INDEX($B$2:$B$400,MATCH(DATE(YEAR(A42)-1,12,1),$A$2:$A$400,0))-1,""))</f>
        <v/>
      </c>
      <c r="E42" s="115">
        <f>IF(B42="","",IFERROR(B42/INDEX($B$2:$B$400,MATCH(DATE(YEAR(A42)-1,MONTH(A42),1),$A$2:$A$400,0))-1,""))</f>
        <v/>
      </c>
    </row>
    <row r="43">
      <c r="A43" s="117" t="n"/>
      <c r="B43" s="118" t="n"/>
      <c r="C43" s="115">
        <f>IF(OR(B43="",B42=""),"",B43/B42-1)</f>
        <v/>
      </c>
      <c r="D43" s="115">
        <f>IF(B43="","",IFERROR(B43/INDEX($B$2:$B$400,MATCH(DATE(YEAR(A43)-1,12,1),$A$2:$A$400,0))-1,""))</f>
        <v/>
      </c>
      <c r="E43" s="115">
        <f>IF(B43="","",IFERROR(B43/INDEX($B$2:$B$400,MATCH(DATE(YEAR(A43)-1,MONTH(A43),1),$A$2:$A$400,0))-1,""))</f>
        <v/>
      </c>
    </row>
    <row r="44">
      <c r="A44" s="117" t="n"/>
      <c r="B44" s="118" t="n"/>
      <c r="C44" s="115">
        <f>IF(OR(B44="",B43=""),"",B44/B43-1)</f>
        <v/>
      </c>
      <c r="D44" s="115">
        <f>IF(B44="","",IFERROR(B44/INDEX($B$2:$B$400,MATCH(DATE(YEAR(A44)-1,12,1),$A$2:$A$400,0))-1,""))</f>
        <v/>
      </c>
      <c r="E44" s="115">
        <f>IF(B44="","",IFERROR(B44/INDEX($B$2:$B$400,MATCH(DATE(YEAR(A44)-1,MONTH(A44),1),$A$2:$A$400,0))-1,""))</f>
        <v/>
      </c>
    </row>
    <row r="45">
      <c r="A45" s="117" t="n"/>
      <c r="B45" s="118" t="n"/>
      <c r="C45" s="115">
        <f>IF(OR(B45="",B44=""),"",B45/B44-1)</f>
        <v/>
      </c>
      <c r="D45" s="115">
        <f>IF(B45="","",IFERROR(B45/INDEX($B$2:$B$400,MATCH(DATE(YEAR(A45)-1,12,1),$A$2:$A$400,0))-1,""))</f>
        <v/>
      </c>
      <c r="E45" s="115">
        <f>IF(B45="","",IFERROR(B45/INDEX($B$2:$B$400,MATCH(DATE(YEAR(A45)-1,MONTH(A45),1),$A$2:$A$400,0))-1,""))</f>
        <v/>
      </c>
    </row>
    <row r="46">
      <c r="A46" s="117" t="n"/>
      <c r="B46" s="118" t="n"/>
      <c r="C46" s="115">
        <f>IF(OR(B46="",B45=""),"",B46/B45-1)</f>
        <v/>
      </c>
      <c r="D46" s="115">
        <f>IF(B46="","",IFERROR(B46/INDEX($B$2:$B$400,MATCH(DATE(YEAR(A46)-1,12,1),$A$2:$A$400,0))-1,""))</f>
        <v/>
      </c>
      <c r="E46" s="115">
        <f>IF(B46="","",IFERROR(B46/INDEX($B$2:$B$400,MATCH(DATE(YEAR(A46)-1,MONTH(A46),1),$A$2:$A$400,0))-1,""))</f>
        <v/>
      </c>
    </row>
    <row r="47">
      <c r="A47" s="117" t="n"/>
      <c r="B47" s="118" t="n"/>
      <c r="C47" s="115">
        <f>IF(OR(B47="",B46=""),"",B47/B46-1)</f>
        <v/>
      </c>
      <c r="D47" s="115">
        <f>IF(B47="","",IFERROR(B47/INDEX($B$2:$B$400,MATCH(DATE(YEAR(A47)-1,12,1),$A$2:$A$400,0))-1,""))</f>
        <v/>
      </c>
      <c r="E47" s="115">
        <f>IF(B47="","",IFERROR(B47/INDEX($B$2:$B$400,MATCH(DATE(YEAR(A47)-1,MONTH(A47),1),$A$2:$A$400,0))-1,""))</f>
        <v/>
      </c>
    </row>
    <row r="48">
      <c r="A48" s="117" t="n"/>
      <c r="B48" s="118" t="n"/>
      <c r="C48" s="115">
        <f>IF(OR(B48="",B47=""),"",B48/B47-1)</f>
        <v/>
      </c>
      <c r="D48" s="115">
        <f>IF(B48="","",IFERROR(B48/INDEX($B$2:$B$400,MATCH(DATE(YEAR(A48)-1,12,1),$A$2:$A$400,0))-1,""))</f>
        <v/>
      </c>
      <c r="E48" s="115">
        <f>IF(B48="","",IFERROR(B48/INDEX($B$2:$B$400,MATCH(DATE(YEAR(A48)-1,MONTH(A48),1),$A$2:$A$400,0))-1,""))</f>
        <v/>
      </c>
    </row>
    <row r="49">
      <c r="A49" s="117" t="n"/>
      <c r="B49" s="118" t="n"/>
      <c r="C49" s="115">
        <f>IF(OR(B49="",B48=""),"",B49/B48-1)</f>
        <v/>
      </c>
      <c r="D49" s="115">
        <f>IF(B49="","",IFERROR(B49/INDEX($B$2:$B$400,MATCH(DATE(YEAR(A49)-1,12,1),$A$2:$A$400,0))-1,""))</f>
        <v/>
      </c>
      <c r="E49" s="115">
        <f>IF(B49="","",IFERROR(B49/INDEX($B$2:$B$400,MATCH(DATE(YEAR(A49)-1,MONTH(A49),1),$A$2:$A$400,0))-1,""))</f>
        <v/>
      </c>
    </row>
    <row r="50">
      <c r="A50" s="117" t="n"/>
      <c r="B50" s="118" t="n"/>
      <c r="C50" s="115">
        <f>IF(OR(B50="",B49=""),"",B50/B49-1)</f>
        <v/>
      </c>
      <c r="D50" s="115">
        <f>IF(B50="","",IFERROR(B50/INDEX($B$2:$B$400,MATCH(DATE(YEAR(A50)-1,12,1),$A$2:$A$400,0))-1,""))</f>
        <v/>
      </c>
      <c r="E50" s="115">
        <f>IF(B50="","",IFERROR(B50/INDEX($B$2:$B$400,MATCH(DATE(YEAR(A50)-1,MONTH(A50),1),$A$2:$A$400,0))-1,""))</f>
        <v/>
      </c>
    </row>
    <row r="51">
      <c r="A51" s="117" t="n"/>
      <c r="B51" s="118" t="n"/>
      <c r="C51" s="115">
        <f>IF(OR(B51="",B50=""),"",B51/B50-1)</f>
        <v/>
      </c>
      <c r="D51" s="115">
        <f>IF(B51="","",IFERROR(B51/INDEX($B$2:$B$400,MATCH(DATE(YEAR(A51)-1,12,1),$A$2:$A$400,0))-1,""))</f>
        <v/>
      </c>
      <c r="E51" s="115">
        <f>IF(B51="","",IFERROR(B51/INDEX($B$2:$B$400,MATCH(DATE(YEAR(A51)-1,MONTH(A51),1),$A$2:$A$400,0))-1,""))</f>
        <v/>
      </c>
    </row>
    <row r="52">
      <c r="A52" s="117" t="n"/>
      <c r="B52" s="118" t="n"/>
      <c r="C52" s="115">
        <f>IF(OR(B52="",B51=""),"",B52/B51-1)</f>
        <v/>
      </c>
      <c r="D52" s="115">
        <f>IF(B52="","",IFERROR(B52/INDEX($B$2:$B$400,MATCH(DATE(YEAR(A52)-1,12,1),$A$2:$A$400,0))-1,""))</f>
        <v/>
      </c>
      <c r="E52" s="115">
        <f>IF(B52="","",IFERROR(B52/INDEX($B$2:$B$400,MATCH(DATE(YEAR(A52)-1,MONTH(A52),1),$A$2:$A$400,0))-1,""))</f>
        <v/>
      </c>
    </row>
    <row r="53">
      <c r="A53" s="117" t="n"/>
      <c r="B53" s="118" t="n"/>
      <c r="C53" s="115">
        <f>IF(OR(B53="",B52=""),"",B53/B52-1)</f>
        <v/>
      </c>
      <c r="D53" s="115">
        <f>IF(B53="","",IFERROR(B53/INDEX($B$2:$B$400,MATCH(DATE(YEAR(A53)-1,12,1),$A$2:$A$400,0))-1,""))</f>
        <v/>
      </c>
      <c r="E53" s="115">
        <f>IF(B53="","",IFERROR(B53/INDEX($B$2:$B$400,MATCH(DATE(YEAR(A53)-1,MONTH(A53),1),$A$2:$A$400,0))-1,""))</f>
        <v/>
      </c>
    </row>
    <row r="54">
      <c r="A54" s="117" t="n"/>
      <c r="B54" s="118" t="n"/>
      <c r="C54" s="115">
        <f>IF(OR(B54="",B53=""),"",B54/B53-1)</f>
        <v/>
      </c>
      <c r="D54" s="115">
        <f>IF(B54="","",IFERROR(B54/INDEX($B$2:$B$400,MATCH(DATE(YEAR(A54)-1,12,1),$A$2:$A$400,0))-1,""))</f>
        <v/>
      </c>
      <c r="E54" s="115">
        <f>IF(B54="","",IFERROR(B54/INDEX($B$2:$B$400,MATCH(DATE(YEAR(A54)-1,MONTH(A54),1),$A$2:$A$400,0))-1,""))</f>
        <v/>
      </c>
    </row>
    <row r="55">
      <c r="A55" s="117" t="n"/>
      <c r="B55" s="118" t="n"/>
      <c r="C55" s="115">
        <f>IF(OR(B55="",B54=""),"",B55/B54-1)</f>
        <v/>
      </c>
      <c r="D55" s="115">
        <f>IF(B55="","",IFERROR(B55/INDEX($B$2:$B$400,MATCH(DATE(YEAR(A55)-1,12,1),$A$2:$A$400,0))-1,""))</f>
        <v/>
      </c>
      <c r="E55" s="115">
        <f>IF(B55="","",IFERROR(B55/INDEX($B$2:$B$400,MATCH(DATE(YEAR(A55)-1,MONTH(A55),1),$A$2:$A$400,0))-1,""))</f>
        <v/>
      </c>
    </row>
    <row r="56">
      <c r="A56" s="117" t="n"/>
      <c r="B56" s="118" t="n"/>
      <c r="C56" s="115">
        <f>IF(OR(B56="",B55=""),"",B56/B55-1)</f>
        <v/>
      </c>
      <c r="D56" s="115">
        <f>IF(B56="","",IFERROR(B56/INDEX($B$2:$B$400,MATCH(DATE(YEAR(A56)-1,12,1),$A$2:$A$400,0))-1,""))</f>
        <v/>
      </c>
      <c r="E56" s="115">
        <f>IF(B56="","",IFERROR(B56/INDEX($B$2:$B$400,MATCH(DATE(YEAR(A56)-1,MONTH(A56),1),$A$2:$A$400,0))-1,""))</f>
        <v/>
      </c>
    </row>
    <row r="57">
      <c r="A57" s="117" t="n"/>
      <c r="B57" s="118" t="n"/>
      <c r="C57" s="115">
        <f>IF(OR(B57="",B56=""),"",B57/B56-1)</f>
        <v/>
      </c>
      <c r="D57" s="115">
        <f>IF(B57="","",IFERROR(B57/INDEX($B$2:$B$400,MATCH(DATE(YEAR(A57)-1,12,1),$A$2:$A$400,0))-1,""))</f>
        <v/>
      </c>
      <c r="E57" s="115">
        <f>IF(B57="","",IFERROR(B57/INDEX($B$2:$B$400,MATCH(DATE(YEAR(A57)-1,MONTH(A57),1),$A$2:$A$400,0))-1,""))</f>
        <v/>
      </c>
    </row>
    <row r="58">
      <c r="A58" s="117" t="n"/>
      <c r="B58" s="118" t="n"/>
      <c r="C58" s="115">
        <f>IF(OR(B58="",B57=""),"",B58/B57-1)</f>
        <v/>
      </c>
      <c r="D58" s="115">
        <f>IF(B58="","",IFERROR(B58/INDEX($B$2:$B$400,MATCH(DATE(YEAR(A58)-1,12,1),$A$2:$A$400,0))-1,""))</f>
        <v/>
      </c>
      <c r="E58" s="115">
        <f>IF(B58="","",IFERROR(B58/INDEX($B$2:$B$400,MATCH(DATE(YEAR(A58)-1,MONTH(A58),1),$A$2:$A$400,0))-1,""))</f>
        <v/>
      </c>
    </row>
    <row r="59">
      <c r="A59" s="117" t="n"/>
      <c r="B59" s="118" t="n"/>
      <c r="C59" s="115">
        <f>IF(OR(B59="",B58=""),"",B59/B58-1)</f>
        <v/>
      </c>
      <c r="D59" s="115">
        <f>IF(B59="","",IFERROR(B59/INDEX($B$2:$B$400,MATCH(DATE(YEAR(A59)-1,12,1),$A$2:$A$400,0))-1,""))</f>
        <v/>
      </c>
      <c r="E59" s="115">
        <f>IF(B59="","",IFERROR(B59/INDEX($B$2:$B$400,MATCH(DATE(YEAR(A59)-1,MONTH(A59),1),$A$2:$A$400,0))-1,""))</f>
        <v/>
      </c>
    </row>
    <row r="60">
      <c r="A60" s="117" t="n"/>
      <c r="B60" s="118" t="n"/>
      <c r="C60" s="115">
        <f>IF(OR(B60="",B59=""),"",B60/B59-1)</f>
        <v/>
      </c>
      <c r="D60" s="115">
        <f>IF(B60="","",IFERROR(B60/INDEX($B$2:$B$400,MATCH(DATE(YEAR(A60)-1,12,1),$A$2:$A$400,0))-1,""))</f>
        <v/>
      </c>
      <c r="E60" s="115">
        <f>IF(B60="","",IFERROR(B60/INDEX($B$2:$B$400,MATCH(DATE(YEAR(A60)-1,MONTH(A60),1),$A$2:$A$400,0))-1,""))</f>
        <v/>
      </c>
    </row>
    <row r="61">
      <c r="A61" s="117" t="n"/>
      <c r="B61" s="118" t="n"/>
      <c r="C61" s="115">
        <f>IF(OR(B61="",B60=""),"",B61/B60-1)</f>
        <v/>
      </c>
      <c r="D61" s="115">
        <f>IF(B61="","",IFERROR(B61/INDEX($B$2:$B$400,MATCH(DATE(YEAR(A61)-1,12,1),$A$2:$A$400,0))-1,""))</f>
        <v/>
      </c>
      <c r="E61" s="115">
        <f>IF(B61="","",IFERROR(B61/INDEX($B$2:$B$400,MATCH(DATE(YEAR(A61)-1,MONTH(A61),1),$A$2:$A$400,0))-1,""))</f>
        <v/>
      </c>
    </row>
    <row r="62">
      <c r="A62" s="117" t="n"/>
      <c r="B62" s="118" t="n"/>
      <c r="C62" s="115">
        <f>IF(OR(B62="",B61=""),"",B62/B61-1)</f>
        <v/>
      </c>
      <c r="D62" s="115">
        <f>IF(B62="","",IFERROR(B62/INDEX($B$2:$B$400,MATCH(DATE(YEAR(A62)-1,12,1),$A$2:$A$400,0))-1,""))</f>
        <v/>
      </c>
      <c r="E62" s="115">
        <f>IF(B62="","",IFERROR(B62/INDEX($B$2:$B$400,MATCH(DATE(YEAR(A62)-1,MONTH(A62),1),$A$2:$A$400,0))-1,""))</f>
        <v/>
      </c>
    </row>
    <row r="63">
      <c r="A63" s="117" t="n"/>
      <c r="B63" s="118" t="n"/>
      <c r="C63" s="115">
        <f>IF(OR(B63="",B62=""),"",B63/B62-1)</f>
        <v/>
      </c>
      <c r="D63" s="115">
        <f>IF(B63="","",IFERROR(B63/INDEX($B$2:$B$400,MATCH(DATE(YEAR(A63)-1,12,1),$A$2:$A$400,0))-1,""))</f>
        <v/>
      </c>
      <c r="E63" s="115">
        <f>IF(B63="","",IFERROR(B63/INDEX($B$2:$B$400,MATCH(DATE(YEAR(A63)-1,MONTH(A63),1),$A$2:$A$400,0))-1,""))</f>
        <v/>
      </c>
    </row>
    <row r="64">
      <c r="A64" s="117" t="n"/>
      <c r="B64" s="118" t="n"/>
      <c r="C64" s="115">
        <f>IF(OR(B64="",B63=""),"",B64/B63-1)</f>
        <v/>
      </c>
      <c r="D64" s="115">
        <f>IF(B64="","",IFERROR(B64/INDEX($B$2:$B$400,MATCH(DATE(YEAR(A64)-1,12,1),$A$2:$A$400,0))-1,""))</f>
        <v/>
      </c>
      <c r="E64" s="115">
        <f>IF(B64="","",IFERROR(B64/INDEX($B$2:$B$400,MATCH(DATE(YEAR(A64)-1,MONTH(A64),1),$A$2:$A$400,0))-1,""))</f>
        <v/>
      </c>
    </row>
    <row r="65">
      <c r="A65" s="117" t="n"/>
      <c r="B65" s="118" t="n"/>
      <c r="C65" s="115">
        <f>IF(OR(B65="",B64=""),"",B65/B64-1)</f>
        <v/>
      </c>
      <c r="D65" s="115">
        <f>IF(B65="","",IFERROR(B65/INDEX($B$2:$B$400,MATCH(DATE(YEAR(A65)-1,12,1),$A$2:$A$400,0))-1,""))</f>
        <v/>
      </c>
      <c r="E65" s="115">
        <f>IF(B65="","",IFERROR(B65/INDEX($B$2:$B$400,MATCH(DATE(YEAR(A65)-1,MONTH(A65),1),$A$2:$A$400,0))-1,""))</f>
        <v/>
      </c>
    </row>
    <row r="66">
      <c r="A66" s="117" t="n"/>
      <c r="B66" s="118" t="n"/>
      <c r="C66" s="115">
        <f>IF(OR(B66="",B65=""),"",B66/B65-1)</f>
        <v/>
      </c>
      <c r="D66" s="115">
        <f>IF(B66="","",IFERROR(B66/INDEX($B$2:$B$400,MATCH(DATE(YEAR(A66)-1,12,1),$A$2:$A$400,0))-1,""))</f>
        <v/>
      </c>
      <c r="E66" s="115">
        <f>IF(B66="","",IFERROR(B66/INDEX($B$2:$B$400,MATCH(DATE(YEAR(A66)-1,MONTH(A66),1),$A$2:$A$400,0))-1,""))</f>
        <v/>
      </c>
    </row>
    <row r="67">
      <c r="A67" s="117" t="n"/>
      <c r="B67" s="118" t="n"/>
      <c r="C67" s="115">
        <f>IF(OR(B67="",B66=""),"",B67/B66-1)</f>
        <v/>
      </c>
      <c r="D67" s="115">
        <f>IF(B67="","",IFERROR(B67/INDEX($B$2:$B$400,MATCH(DATE(YEAR(A67)-1,12,1),$A$2:$A$400,0))-1,""))</f>
        <v/>
      </c>
      <c r="E67" s="115">
        <f>IF(B67="","",IFERROR(B67/INDEX($B$2:$B$400,MATCH(DATE(YEAR(A67)-1,MONTH(A67),1),$A$2:$A$400,0))-1,""))</f>
        <v/>
      </c>
    </row>
    <row r="68">
      <c r="A68" s="117" t="n"/>
      <c r="B68" s="118" t="n"/>
      <c r="C68" s="115">
        <f>IF(OR(B68="",B67=""),"",B68/B67-1)</f>
        <v/>
      </c>
      <c r="D68" s="115">
        <f>IF(B68="","",IFERROR(B68/INDEX($B$2:$B$400,MATCH(DATE(YEAR(A68)-1,12,1),$A$2:$A$400,0))-1,""))</f>
        <v/>
      </c>
      <c r="E68" s="115">
        <f>IF(B68="","",IFERROR(B68/INDEX($B$2:$B$400,MATCH(DATE(YEAR(A68)-1,MONTH(A68),1),$A$2:$A$400,0))-1,""))</f>
        <v/>
      </c>
    </row>
    <row r="69">
      <c r="A69" s="117" t="n"/>
      <c r="B69" s="118" t="n"/>
      <c r="C69" s="115">
        <f>IF(OR(B69="",B68=""),"",B69/B68-1)</f>
        <v/>
      </c>
      <c r="D69" s="115">
        <f>IF(B69="","",IFERROR(B69/INDEX($B$2:$B$400,MATCH(DATE(YEAR(A69)-1,12,1),$A$2:$A$400,0))-1,""))</f>
        <v/>
      </c>
      <c r="E69" s="115">
        <f>IF(B69="","",IFERROR(B69/INDEX($B$2:$B$400,MATCH(DATE(YEAR(A69)-1,MONTH(A69),1),$A$2:$A$400,0))-1,""))</f>
        <v/>
      </c>
    </row>
    <row r="70">
      <c r="A70" s="117" t="n"/>
      <c r="B70" s="118" t="n"/>
      <c r="C70" s="115">
        <f>IF(OR(B70="",B69=""),"",B70/B69-1)</f>
        <v/>
      </c>
      <c r="D70" s="115">
        <f>IF(B70="","",IFERROR(B70/INDEX($B$2:$B$400,MATCH(DATE(YEAR(A70)-1,12,1),$A$2:$A$400,0))-1,""))</f>
        <v/>
      </c>
      <c r="E70" s="115">
        <f>IF(B70="","",IFERROR(B70/INDEX($B$2:$B$400,MATCH(DATE(YEAR(A70)-1,MONTH(A70),1),$A$2:$A$400,0))-1,""))</f>
        <v/>
      </c>
    </row>
    <row r="71">
      <c r="A71" s="117" t="n"/>
      <c r="B71" s="118" t="n"/>
      <c r="C71" s="115">
        <f>IF(OR(B71="",B70=""),"",B71/B70-1)</f>
        <v/>
      </c>
      <c r="D71" s="115">
        <f>IF(B71="","",IFERROR(B71/INDEX($B$2:$B$400,MATCH(DATE(YEAR(A71)-1,12,1),$A$2:$A$400,0))-1,""))</f>
        <v/>
      </c>
      <c r="E71" s="115">
        <f>IF(B71="","",IFERROR(B71/INDEX($B$2:$B$400,MATCH(DATE(YEAR(A71)-1,MONTH(A71),1),$A$2:$A$400,0))-1,""))</f>
        <v/>
      </c>
    </row>
    <row r="72">
      <c r="A72" s="117" t="n"/>
      <c r="B72" s="118" t="n"/>
      <c r="C72" s="115">
        <f>IF(OR(B72="",B71=""),"",B72/B71-1)</f>
        <v/>
      </c>
      <c r="D72" s="115">
        <f>IF(B72="","",IFERROR(B72/INDEX($B$2:$B$400,MATCH(DATE(YEAR(A72)-1,12,1),$A$2:$A$400,0))-1,""))</f>
        <v/>
      </c>
      <c r="E72" s="115">
        <f>IF(B72="","",IFERROR(B72/INDEX($B$2:$B$400,MATCH(DATE(YEAR(A72)-1,MONTH(A72),1),$A$2:$A$400,0))-1,""))</f>
        <v/>
      </c>
    </row>
    <row r="73">
      <c r="A73" s="117" t="n"/>
      <c r="B73" s="118" t="n"/>
      <c r="C73" s="115">
        <f>IF(OR(B73="",B72=""),"",B73/B72-1)</f>
        <v/>
      </c>
      <c r="D73" s="115">
        <f>IF(B73="","",IFERROR(B73/INDEX($B$2:$B$400,MATCH(DATE(YEAR(A73)-1,12,1),$A$2:$A$400,0))-1,""))</f>
        <v/>
      </c>
      <c r="E73" s="115">
        <f>IF(B73="","",IFERROR(B73/INDEX($B$2:$B$400,MATCH(DATE(YEAR(A73)-1,MONTH(A73),1),$A$2:$A$400,0))-1,""))</f>
        <v/>
      </c>
    </row>
    <row r="74">
      <c r="A74" s="117" t="n"/>
      <c r="B74" s="118" t="n"/>
      <c r="C74" s="115">
        <f>IF(OR(B74="",B73=""),"",B74/B73-1)</f>
        <v/>
      </c>
      <c r="D74" s="115">
        <f>IF(B74="","",IFERROR(B74/INDEX($B$2:$B$400,MATCH(DATE(YEAR(A74)-1,12,1),$A$2:$A$400,0))-1,""))</f>
        <v/>
      </c>
      <c r="E74" s="115">
        <f>IF(B74="","",IFERROR(B74/INDEX($B$2:$B$400,MATCH(DATE(YEAR(A74)-1,MONTH(A74),1),$A$2:$A$400,0))-1,""))</f>
        <v/>
      </c>
    </row>
    <row r="75">
      <c r="A75" s="117" t="n"/>
      <c r="B75" s="118" t="n"/>
      <c r="C75" s="115">
        <f>IF(OR(B75="",B74=""),"",B75/B74-1)</f>
        <v/>
      </c>
      <c r="D75" s="115">
        <f>IF(B75="","",IFERROR(B75/INDEX($B$2:$B$400,MATCH(DATE(YEAR(A75)-1,12,1),$A$2:$A$400,0))-1,""))</f>
        <v/>
      </c>
      <c r="E75" s="115">
        <f>IF(B75="","",IFERROR(B75/INDEX($B$2:$B$400,MATCH(DATE(YEAR(A75)-1,MONTH(A75),1),$A$2:$A$400,0))-1,""))</f>
        <v/>
      </c>
    </row>
    <row r="76">
      <c r="A76" s="117" t="n"/>
      <c r="B76" s="118" t="n"/>
      <c r="C76" s="115">
        <f>IF(OR(B76="",B75=""),"",B76/B75-1)</f>
        <v/>
      </c>
      <c r="D76" s="115">
        <f>IF(B76="","",IFERROR(B76/INDEX($B$2:$B$400,MATCH(DATE(YEAR(A76)-1,12,1),$A$2:$A$400,0))-1,""))</f>
        <v/>
      </c>
      <c r="E76" s="115">
        <f>IF(B76="","",IFERROR(B76/INDEX($B$2:$B$400,MATCH(DATE(YEAR(A76)-1,MONTH(A76),1),$A$2:$A$400,0))-1,""))</f>
        <v/>
      </c>
    </row>
    <row r="77">
      <c r="A77" s="117" t="n"/>
      <c r="B77" s="118" t="n"/>
      <c r="C77" s="115">
        <f>IF(OR(B77="",B76=""),"",B77/B76-1)</f>
        <v/>
      </c>
      <c r="D77" s="115">
        <f>IF(B77="","",IFERROR(B77/INDEX($B$2:$B$400,MATCH(DATE(YEAR(A77)-1,12,1),$A$2:$A$400,0))-1,""))</f>
        <v/>
      </c>
      <c r="E77" s="115">
        <f>IF(B77="","",IFERROR(B77/INDEX($B$2:$B$400,MATCH(DATE(YEAR(A77)-1,MONTH(A77),1),$A$2:$A$400,0))-1,""))</f>
        <v/>
      </c>
    </row>
    <row r="78">
      <c r="A78" s="117" t="n"/>
      <c r="B78" s="118" t="n"/>
      <c r="C78" s="115">
        <f>IF(OR(B78="",B77=""),"",B78/B77-1)</f>
        <v/>
      </c>
      <c r="D78" s="115">
        <f>IF(B78="","",IFERROR(B78/INDEX($B$2:$B$400,MATCH(DATE(YEAR(A78)-1,12,1),$A$2:$A$400,0))-1,""))</f>
        <v/>
      </c>
      <c r="E78" s="115">
        <f>IF(B78="","",IFERROR(B78/INDEX($B$2:$B$400,MATCH(DATE(YEAR(A78)-1,MONTH(A78),1),$A$2:$A$400,0))-1,""))</f>
        <v/>
      </c>
    </row>
    <row r="79">
      <c r="A79" s="117" t="n"/>
      <c r="B79" s="118" t="n"/>
      <c r="C79" s="115">
        <f>IF(OR(B79="",B78=""),"",B79/B78-1)</f>
        <v/>
      </c>
      <c r="D79" s="115">
        <f>IF(B79="","",IFERROR(B79/INDEX($B$2:$B$400,MATCH(DATE(YEAR(A79)-1,12,1),$A$2:$A$400,0))-1,""))</f>
        <v/>
      </c>
      <c r="E79" s="115">
        <f>IF(B79="","",IFERROR(B79/INDEX($B$2:$B$400,MATCH(DATE(YEAR(A79)-1,MONTH(A79),1),$A$2:$A$400,0))-1,""))</f>
        <v/>
      </c>
    </row>
    <row r="80">
      <c r="A80" s="117" t="n"/>
      <c r="B80" s="118" t="n"/>
      <c r="C80" s="115">
        <f>IF(OR(B80="",B79=""),"",B80/B79-1)</f>
        <v/>
      </c>
      <c r="D80" s="115">
        <f>IF(B80="","",IFERROR(B80/INDEX($B$2:$B$400,MATCH(DATE(YEAR(A80)-1,12,1),$A$2:$A$400,0))-1,""))</f>
        <v/>
      </c>
      <c r="E80" s="115">
        <f>IF(B80="","",IFERROR(B80/INDEX($B$2:$B$400,MATCH(DATE(YEAR(A80)-1,MONTH(A80),1),$A$2:$A$400,0))-1,""))</f>
        <v/>
      </c>
    </row>
    <row r="81">
      <c r="A81" s="117" t="n"/>
      <c r="B81" s="118" t="n"/>
      <c r="C81" s="115">
        <f>IF(OR(B81="",B80=""),"",B81/B80-1)</f>
        <v/>
      </c>
      <c r="D81" s="115">
        <f>IF(B81="","",IFERROR(B81/INDEX($B$2:$B$400,MATCH(DATE(YEAR(A81)-1,12,1),$A$2:$A$400,0))-1,""))</f>
        <v/>
      </c>
      <c r="E81" s="115">
        <f>IF(B81="","",IFERROR(B81/INDEX($B$2:$B$400,MATCH(DATE(YEAR(A81)-1,MONTH(A81),1),$A$2:$A$400,0))-1,""))</f>
        <v/>
      </c>
    </row>
    <row r="82">
      <c r="A82" s="117" t="n"/>
      <c r="B82" s="118" t="n"/>
      <c r="C82" s="115">
        <f>IF(OR(B82="",B81=""),"",B82/B81-1)</f>
        <v/>
      </c>
      <c r="D82" s="115">
        <f>IF(B82="","",IFERROR(B82/INDEX($B$2:$B$400,MATCH(DATE(YEAR(A82)-1,12,1),$A$2:$A$400,0))-1,""))</f>
        <v/>
      </c>
      <c r="E82" s="115">
        <f>IF(B82="","",IFERROR(B82/INDEX($B$2:$B$400,MATCH(DATE(YEAR(A82)-1,MONTH(A82),1),$A$2:$A$400,0))-1,""))</f>
        <v/>
      </c>
    </row>
    <row r="83">
      <c r="A83" s="117" t="n"/>
      <c r="B83" s="118" t="n"/>
      <c r="C83" s="115">
        <f>IF(OR(B83="",B82=""),"",B83/B82-1)</f>
        <v/>
      </c>
      <c r="D83" s="115">
        <f>IF(B83="","",IFERROR(B83/INDEX($B$2:$B$400,MATCH(DATE(YEAR(A83)-1,12,1),$A$2:$A$400,0))-1,""))</f>
        <v/>
      </c>
      <c r="E83" s="115">
        <f>IF(B83="","",IFERROR(B83/INDEX($B$2:$B$400,MATCH(DATE(YEAR(A83)-1,MONTH(A83),1),$A$2:$A$400,0))-1,""))</f>
        <v/>
      </c>
    </row>
    <row r="84">
      <c r="A84" s="117" t="n"/>
      <c r="B84" s="118" t="n"/>
      <c r="C84" s="115">
        <f>IF(OR(B84="",B83=""),"",B84/B83-1)</f>
        <v/>
      </c>
      <c r="D84" s="115">
        <f>IF(B84="","",IFERROR(B84/INDEX($B$2:$B$400,MATCH(DATE(YEAR(A84)-1,12,1),$A$2:$A$400,0))-1,""))</f>
        <v/>
      </c>
      <c r="E84" s="115">
        <f>IF(B84="","",IFERROR(B84/INDEX($B$2:$B$400,MATCH(DATE(YEAR(A84)-1,MONTH(A84),1),$A$2:$A$400,0))-1,""))</f>
        <v/>
      </c>
    </row>
    <row r="85">
      <c r="A85" s="117" t="n"/>
      <c r="B85" s="118" t="n"/>
      <c r="C85" s="115">
        <f>IF(OR(B85="",B84=""),"",B85/B84-1)</f>
        <v/>
      </c>
      <c r="D85" s="115">
        <f>IF(B85="","",IFERROR(B85/INDEX($B$2:$B$400,MATCH(DATE(YEAR(A85)-1,12,1),$A$2:$A$400,0))-1,""))</f>
        <v/>
      </c>
      <c r="E85" s="115">
        <f>IF(B85="","",IFERROR(B85/INDEX($B$2:$B$400,MATCH(DATE(YEAR(A85)-1,MONTH(A85),1),$A$2:$A$400,0))-1,""))</f>
        <v/>
      </c>
    </row>
    <row r="86">
      <c r="A86" s="117" t="n"/>
      <c r="B86" s="118" t="n"/>
      <c r="C86" s="115">
        <f>IF(OR(B86="",B85=""),"",B86/B85-1)</f>
        <v/>
      </c>
      <c r="D86" s="115">
        <f>IF(B86="","",IFERROR(B86/INDEX($B$2:$B$400,MATCH(DATE(YEAR(A86)-1,12,1),$A$2:$A$400,0))-1,""))</f>
        <v/>
      </c>
      <c r="E86" s="115">
        <f>IF(B86="","",IFERROR(B86/INDEX($B$2:$B$400,MATCH(DATE(YEAR(A86)-1,MONTH(A86),1),$A$2:$A$400,0))-1,""))</f>
        <v/>
      </c>
    </row>
    <row r="87">
      <c r="A87" s="117" t="n"/>
      <c r="B87" s="118" t="n"/>
      <c r="C87" s="115">
        <f>IF(OR(B87="",B86=""),"",B87/B86-1)</f>
        <v/>
      </c>
      <c r="D87" s="115">
        <f>IF(B87="","",IFERROR(B87/INDEX($B$2:$B$400,MATCH(DATE(YEAR(A87)-1,12,1),$A$2:$A$400,0))-1,""))</f>
        <v/>
      </c>
      <c r="E87" s="115">
        <f>IF(B87="","",IFERROR(B87/INDEX($B$2:$B$400,MATCH(DATE(YEAR(A87)-1,MONTH(A87),1),$A$2:$A$400,0))-1,""))</f>
        <v/>
      </c>
    </row>
    <row r="88">
      <c r="A88" s="117" t="n"/>
      <c r="B88" s="118" t="n"/>
      <c r="C88" s="115">
        <f>IF(OR(B88="",B87=""),"",B88/B87-1)</f>
        <v/>
      </c>
      <c r="D88" s="115">
        <f>IF(B88="","",IFERROR(B88/INDEX($B$2:$B$400,MATCH(DATE(YEAR(A88)-1,12,1),$A$2:$A$400,0))-1,""))</f>
        <v/>
      </c>
      <c r="E88" s="115">
        <f>IF(B88="","",IFERROR(B88/INDEX($B$2:$B$400,MATCH(DATE(YEAR(A88)-1,MONTH(A88),1),$A$2:$A$400,0))-1,""))</f>
        <v/>
      </c>
    </row>
    <row r="89">
      <c r="A89" s="117" t="n"/>
      <c r="B89" s="118" t="n"/>
      <c r="C89" s="115">
        <f>IF(OR(B89="",B88=""),"",B89/B88-1)</f>
        <v/>
      </c>
      <c r="D89" s="115">
        <f>IF(B89="","",IFERROR(B89/INDEX($B$2:$B$400,MATCH(DATE(YEAR(A89)-1,12,1),$A$2:$A$400,0))-1,""))</f>
        <v/>
      </c>
      <c r="E89" s="115">
        <f>IF(B89="","",IFERROR(B89/INDEX($B$2:$B$400,MATCH(DATE(YEAR(A89)-1,MONTH(A89),1),$A$2:$A$400,0))-1,""))</f>
        <v/>
      </c>
    </row>
    <row r="90">
      <c r="A90" s="117" t="n"/>
      <c r="B90" s="118" t="n"/>
      <c r="C90" s="115">
        <f>IF(OR(B90="",B89=""),"",B90/B89-1)</f>
        <v/>
      </c>
      <c r="D90" s="115">
        <f>IF(B90="","",IFERROR(B90/INDEX($B$2:$B$400,MATCH(DATE(YEAR(A90)-1,12,1),$A$2:$A$400,0))-1,""))</f>
        <v/>
      </c>
      <c r="E90" s="115">
        <f>IF(B90="","",IFERROR(B90/INDEX($B$2:$B$400,MATCH(DATE(YEAR(A90)-1,MONTH(A90),1),$A$2:$A$400,0))-1,""))</f>
        <v/>
      </c>
    </row>
    <row r="91">
      <c r="A91" s="117" t="n"/>
      <c r="B91" s="118" t="n"/>
      <c r="C91" s="115">
        <f>IF(OR(B91="",B90=""),"",B91/B90-1)</f>
        <v/>
      </c>
      <c r="D91" s="115">
        <f>IF(B91="","",IFERROR(B91/INDEX($B$2:$B$400,MATCH(DATE(YEAR(A91)-1,12,1),$A$2:$A$400,0))-1,""))</f>
        <v/>
      </c>
      <c r="E91" s="115">
        <f>IF(B91="","",IFERROR(B91/INDEX($B$2:$B$400,MATCH(DATE(YEAR(A91)-1,MONTH(A91),1),$A$2:$A$400,0))-1,""))</f>
        <v/>
      </c>
    </row>
    <row r="92">
      <c r="A92" s="117" t="n"/>
      <c r="B92" s="118" t="n"/>
      <c r="C92" s="115">
        <f>IF(OR(B92="",B91=""),"",B92/B91-1)</f>
        <v/>
      </c>
      <c r="D92" s="115">
        <f>IF(B92="","",IFERROR(B92/INDEX($B$2:$B$400,MATCH(DATE(YEAR(A92)-1,12,1),$A$2:$A$400,0))-1,""))</f>
        <v/>
      </c>
      <c r="E92" s="115">
        <f>IF(B92="","",IFERROR(B92/INDEX($B$2:$B$400,MATCH(DATE(YEAR(A92)-1,MONTH(A92),1),$A$2:$A$400,0))-1,""))</f>
        <v/>
      </c>
    </row>
    <row r="93">
      <c r="A93" s="117" t="n"/>
      <c r="B93" s="118" t="n"/>
      <c r="C93" s="115">
        <f>IF(OR(B93="",B92=""),"",B93/B92-1)</f>
        <v/>
      </c>
      <c r="D93" s="115">
        <f>IF(B93="","",IFERROR(B93/INDEX($B$2:$B$400,MATCH(DATE(YEAR(A93)-1,12,1),$A$2:$A$400,0))-1,""))</f>
        <v/>
      </c>
      <c r="E93" s="115">
        <f>IF(B93="","",IFERROR(B93/INDEX($B$2:$B$400,MATCH(DATE(YEAR(A93)-1,MONTH(A93),1),$A$2:$A$400,0))-1,""))</f>
        <v/>
      </c>
    </row>
    <row r="94">
      <c r="A94" s="117" t="n"/>
      <c r="B94" s="118" t="n"/>
      <c r="C94" s="115">
        <f>IF(OR(B94="",B93=""),"",B94/B93-1)</f>
        <v/>
      </c>
      <c r="D94" s="115">
        <f>IF(B94="","",IFERROR(B94/INDEX($B$2:$B$400,MATCH(DATE(YEAR(A94)-1,12,1),$A$2:$A$400,0))-1,""))</f>
        <v/>
      </c>
      <c r="E94" s="115">
        <f>IF(B94="","",IFERROR(B94/INDEX($B$2:$B$400,MATCH(DATE(YEAR(A94)-1,MONTH(A94),1),$A$2:$A$400,0))-1,""))</f>
        <v/>
      </c>
    </row>
    <row r="95">
      <c r="A95" s="117" t="n"/>
      <c r="B95" s="118" t="n"/>
      <c r="C95" s="115">
        <f>IF(OR(B95="",B94=""),"",B95/B94-1)</f>
        <v/>
      </c>
      <c r="D95" s="115">
        <f>IF(B95="","",IFERROR(B95/INDEX($B$2:$B$400,MATCH(DATE(YEAR(A95)-1,12,1),$A$2:$A$400,0))-1,""))</f>
        <v/>
      </c>
      <c r="E95" s="115">
        <f>IF(B95="","",IFERROR(B95/INDEX($B$2:$B$400,MATCH(DATE(YEAR(A95)-1,MONTH(A95),1),$A$2:$A$400,0))-1,""))</f>
        <v/>
      </c>
    </row>
    <row r="96">
      <c r="A96" s="117" t="n"/>
      <c r="B96" s="118" t="n"/>
      <c r="C96" s="115">
        <f>IF(OR(B96="",B95=""),"",B96/B95-1)</f>
        <v/>
      </c>
      <c r="D96" s="115">
        <f>IF(B96="","",IFERROR(B96/INDEX($B$2:$B$400,MATCH(DATE(YEAR(A96)-1,12,1),$A$2:$A$400,0))-1,""))</f>
        <v/>
      </c>
      <c r="E96" s="115">
        <f>IF(B96="","",IFERROR(B96/INDEX($B$2:$B$400,MATCH(DATE(YEAR(A96)-1,MONTH(A96),1),$A$2:$A$400,0))-1,""))</f>
        <v/>
      </c>
    </row>
    <row r="97">
      <c r="A97" s="117" t="n"/>
      <c r="B97" s="118" t="n"/>
      <c r="C97" s="115">
        <f>IF(OR(B97="",B96=""),"",B97/B96-1)</f>
        <v/>
      </c>
      <c r="D97" s="115">
        <f>IF(B97="","",IFERROR(B97/INDEX($B$2:$B$400,MATCH(DATE(YEAR(A97)-1,12,1),$A$2:$A$400,0))-1,""))</f>
        <v/>
      </c>
      <c r="E97" s="115">
        <f>IF(B97="","",IFERROR(B97/INDEX($B$2:$B$400,MATCH(DATE(YEAR(A97)-1,MONTH(A97),1),$A$2:$A$400,0))-1,""))</f>
        <v/>
      </c>
    </row>
    <row r="98">
      <c r="A98" s="117" t="n"/>
      <c r="B98" s="118" t="n"/>
      <c r="C98" s="115">
        <f>IF(OR(B98="",B97=""),"",B98/B97-1)</f>
        <v/>
      </c>
      <c r="D98" s="115">
        <f>IF(B98="","",IFERROR(B98/INDEX($B$2:$B$400,MATCH(DATE(YEAR(A98)-1,12,1),$A$2:$A$400,0))-1,""))</f>
        <v/>
      </c>
      <c r="E98" s="115">
        <f>IF(B98="","",IFERROR(B98/INDEX($B$2:$B$400,MATCH(DATE(YEAR(A98)-1,MONTH(A98),1),$A$2:$A$400,0))-1,""))</f>
        <v/>
      </c>
    </row>
    <row r="99">
      <c r="A99" s="117" t="n"/>
      <c r="B99" s="118" t="n"/>
      <c r="C99" s="115">
        <f>IF(OR(B99="",B98=""),"",B99/B98-1)</f>
        <v/>
      </c>
      <c r="D99" s="115">
        <f>IF(B99="","",IFERROR(B99/INDEX($B$2:$B$400,MATCH(DATE(YEAR(A99)-1,12,1),$A$2:$A$400,0))-1,""))</f>
        <v/>
      </c>
      <c r="E99" s="115">
        <f>IF(B99="","",IFERROR(B99/INDEX($B$2:$B$400,MATCH(DATE(YEAR(A99)-1,MONTH(A99),1),$A$2:$A$400,0))-1,""))</f>
        <v/>
      </c>
    </row>
    <row r="100">
      <c r="A100" s="117" t="n"/>
      <c r="B100" s="118" t="n"/>
      <c r="C100" s="115">
        <f>IF(OR(B100="",B99=""),"",B100/B99-1)</f>
        <v/>
      </c>
      <c r="D100" s="115">
        <f>IF(B100="","",IFERROR(B100/INDEX($B$2:$B$400,MATCH(DATE(YEAR(A100)-1,12,1),$A$2:$A$400,0))-1,""))</f>
        <v/>
      </c>
      <c r="E100" s="115">
        <f>IF(B100="","",IFERROR(B100/INDEX($B$2:$B$400,MATCH(DATE(YEAR(A100)-1,MONTH(A100),1),$A$2:$A$400,0))-1,""))</f>
        <v/>
      </c>
    </row>
    <row r="101">
      <c r="A101" s="117" t="n"/>
      <c r="B101" s="118" t="n"/>
      <c r="C101" s="115">
        <f>IF(OR(B101="",B100=""),"",B101/B100-1)</f>
        <v/>
      </c>
      <c r="D101" s="115">
        <f>IF(B101="","",IFERROR(B101/INDEX($B$2:$B$400,MATCH(DATE(YEAR(A101)-1,12,1),$A$2:$A$400,0))-1,""))</f>
        <v/>
      </c>
      <c r="E101" s="115">
        <f>IF(B101="","",IFERROR(B101/INDEX($B$2:$B$400,MATCH(DATE(YEAR(A101)-1,MONTH(A101),1),$A$2:$A$400,0))-1,""))</f>
        <v/>
      </c>
    </row>
    <row r="102">
      <c r="A102" s="117" t="n"/>
      <c r="B102" s="118" t="n"/>
      <c r="C102" s="115">
        <f>IF(OR(B102="",B101=""),"",B102/B101-1)</f>
        <v/>
      </c>
      <c r="D102" s="115">
        <f>IF(B102="","",IFERROR(B102/INDEX($B$2:$B$400,MATCH(DATE(YEAR(A102)-1,12,1),$A$2:$A$400,0))-1,""))</f>
        <v/>
      </c>
      <c r="E102" s="115">
        <f>IF(B102="","",IFERROR(B102/INDEX($B$2:$B$400,MATCH(DATE(YEAR(A102)-1,MONTH(A102),1),$A$2:$A$400,0))-1,""))</f>
        <v/>
      </c>
    </row>
    <row r="103">
      <c r="A103" s="117" t="n"/>
      <c r="B103" s="118" t="n"/>
      <c r="C103" s="115">
        <f>IF(OR(B103="",B102=""),"",B103/B102-1)</f>
        <v/>
      </c>
      <c r="D103" s="115">
        <f>IF(B103="","",IFERROR(B103/INDEX($B$2:$B$400,MATCH(DATE(YEAR(A103)-1,12,1),$A$2:$A$400,0))-1,""))</f>
        <v/>
      </c>
      <c r="E103" s="115">
        <f>IF(B103="","",IFERROR(B103/INDEX($B$2:$B$400,MATCH(DATE(YEAR(A103)-1,MONTH(A103),1),$A$2:$A$400,0))-1,""))</f>
        <v/>
      </c>
    </row>
    <row r="104">
      <c r="A104" s="117" t="n"/>
      <c r="B104" s="118" t="n"/>
      <c r="C104" s="115">
        <f>IF(OR(B104="",B103=""),"",B104/B103-1)</f>
        <v/>
      </c>
      <c r="D104" s="115">
        <f>IF(B104="","",IFERROR(B104/INDEX($B$2:$B$400,MATCH(DATE(YEAR(A104)-1,12,1),$A$2:$A$400,0))-1,""))</f>
        <v/>
      </c>
      <c r="E104" s="115">
        <f>IF(B104="","",IFERROR(B104/INDEX($B$2:$B$400,MATCH(DATE(YEAR(A104)-1,MONTH(A104),1),$A$2:$A$400,0))-1,""))</f>
        <v/>
      </c>
    </row>
    <row r="105">
      <c r="A105" s="117" t="n"/>
      <c r="B105" s="118" t="n"/>
      <c r="C105" s="115">
        <f>IF(OR(B105="",B104=""),"",B105/B104-1)</f>
        <v/>
      </c>
      <c r="D105" s="115">
        <f>IF(B105="","",IFERROR(B105/INDEX($B$2:$B$400,MATCH(DATE(YEAR(A105)-1,12,1),$A$2:$A$400,0))-1,""))</f>
        <v/>
      </c>
      <c r="E105" s="115">
        <f>IF(B105="","",IFERROR(B105/INDEX($B$2:$B$400,MATCH(DATE(YEAR(A105)-1,MONTH(A105),1),$A$2:$A$400,0))-1,""))</f>
        <v/>
      </c>
    </row>
    <row r="106">
      <c r="A106" s="117" t="n"/>
      <c r="B106" s="118" t="n"/>
      <c r="C106" s="115">
        <f>IF(OR(B106="",B105=""),"",B106/B105-1)</f>
        <v/>
      </c>
      <c r="D106" s="115">
        <f>IF(B106="","",IFERROR(B106/INDEX($B$2:$B$400,MATCH(DATE(YEAR(A106)-1,12,1),$A$2:$A$400,0))-1,""))</f>
        <v/>
      </c>
      <c r="E106" s="115">
        <f>IF(B106="","",IFERROR(B106/INDEX($B$2:$B$400,MATCH(DATE(YEAR(A106)-1,MONTH(A106),1),$A$2:$A$400,0))-1,""))</f>
        <v/>
      </c>
    </row>
    <row r="107">
      <c r="A107" s="117" t="n"/>
      <c r="B107" s="118" t="n"/>
      <c r="C107" s="115">
        <f>IF(OR(B107="",B106=""),"",B107/B106-1)</f>
        <v/>
      </c>
      <c r="D107" s="115">
        <f>IF(B107="","",IFERROR(B107/INDEX($B$2:$B$400,MATCH(DATE(YEAR(A107)-1,12,1),$A$2:$A$400,0))-1,""))</f>
        <v/>
      </c>
      <c r="E107" s="115">
        <f>IF(B107="","",IFERROR(B107/INDEX($B$2:$B$400,MATCH(DATE(YEAR(A107)-1,MONTH(A107),1),$A$2:$A$400,0))-1,""))</f>
        <v/>
      </c>
    </row>
    <row r="108">
      <c r="A108" s="117" t="n"/>
      <c r="B108" s="118" t="n"/>
      <c r="C108" s="115">
        <f>IF(OR(B108="",B107=""),"",B108/B107-1)</f>
        <v/>
      </c>
      <c r="D108" s="115">
        <f>IF(B108="","",IFERROR(B108/INDEX($B$2:$B$400,MATCH(DATE(YEAR(A108)-1,12,1),$A$2:$A$400,0))-1,""))</f>
        <v/>
      </c>
      <c r="E108" s="115">
        <f>IF(B108="","",IFERROR(B108/INDEX($B$2:$B$400,MATCH(DATE(YEAR(A108)-1,MONTH(A108),1),$A$2:$A$400,0))-1,""))</f>
        <v/>
      </c>
    </row>
    <row r="109">
      <c r="A109" s="117" t="n"/>
      <c r="B109" s="118" t="n"/>
      <c r="C109" s="115">
        <f>IF(OR(B109="",B108=""),"",B109/B108-1)</f>
        <v/>
      </c>
      <c r="D109" s="115">
        <f>IF(B109="","",IFERROR(B109/INDEX($B$2:$B$400,MATCH(DATE(YEAR(A109)-1,12,1),$A$2:$A$400,0))-1,""))</f>
        <v/>
      </c>
      <c r="E109" s="115">
        <f>IF(B109="","",IFERROR(B109/INDEX($B$2:$B$400,MATCH(DATE(YEAR(A109)-1,MONTH(A109),1),$A$2:$A$400,0))-1,""))</f>
        <v/>
      </c>
    </row>
    <row r="110">
      <c r="A110" s="117" t="n"/>
      <c r="B110" s="118" t="n"/>
      <c r="C110" s="115">
        <f>IF(OR(B110="",B109=""),"",B110/B109-1)</f>
        <v/>
      </c>
      <c r="D110" s="115">
        <f>IF(B110="","",IFERROR(B110/INDEX($B$2:$B$400,MATCH(DATE(YEAR(A110)-1,12,1),$A$2:$A$400,0))-1,""))</f>
        <v/>
      </c>
      <c r="E110" s="115">
        <f>IF(B110="","",IFERROR(B110/INDEX($B$2:$B$400,MATCH(DATE(YEAR(A110)-1,MONTH(A110),1),$A$2:$A$400,0))-1,""))</f>
        <v/>
      </c>
    </row>
    <row r="111">
      <c r="A111" s="117" t="n"/>
      <c r="B111" s="118" t="n"/>
      <c r="C111" s="115">
        <f>IF(OR(B111="",B110=""),"",B111/B110-1)</f>
        <v/>
      </c>
      <c r="D111" s="115">
        <f>IF(B111="","",IFERROR(B111/INDEX($B$2:$B$400,MATCH(DATE(YEAR(A111)-1,12,1),$A$2:$A$400,0))-1,""))</f>
        <v/>
      </c>
      <c r="E111" s="115">
        <f>IF(B111="","",IFERROR(B111/INDEX($B$2:$B$400,MATCH(DATE(YEAR(A111)-1,MONTH(A111),1),$A$2:$A$400,0))-1,""))</f>
        <v/>
      </c>
    </row>
    <row r="112">
      <c r="A112" s="117" t="n"/>
      <c r="B112" s="118" t="n"/>
      <c r="C112" s="115">
        <f>IF(OR(B112="",B111=""),"",B112/B111-1)</f>
        <v/>
      </c>
      <c r="D112" s="115">
        <f>IF(B112="","",IFERROR(B112/INDEX($B$2:$B$400,MATCH(DATE(YEAR(A112)-1,12,1),$A$2:$A$400,0))-1,""))</f>
        <v/>
      </c>
      <c r="E112" s="115">
        <f>IF(B112="","",IFERROR(B112/INDEX($B$2:$B$400,MATCH(DATE(YEAR(A112)-1,MONTH(A112),1),$A$2:$A$400,0))-1,""))</f>
        <v/>
      </c>
    </row>
    <row r="113">
      <c r="A113" s="117" t="n"/>
      <c r="B113" s="118" t="n"/>
      <c r="C113" s="115">
        <f>IF(OR(B113="",B112=""),"",B113/B112-1)</f>
        <v/>
      </c>
      <c r="D113" s="115">
        <f>IF(B113="","",IFERROR(B113/INDEX($B$2:$B$400,MATCH(DATE(YEAR(A113)-1,12,1),$A$2:$A$400,0))-1,""))</f>
        <v/>
      </c>
      <c r="E113" s="115">
        <f>IF(B113="","",IFERROR(B113/INDEX($B$2:$B$400,MATCH(DATE(YEAR(A113)-1,MONTH(A113),1),$A$2:$A$400,0))-1,""))</f>
        <v/>
      </c>
    </row>
    <row r="114">
      <c r="A114" s="117" t="n"/>
      <c r="B114" s="118" t="n"/>
      <c r="C114" s="115">
        <f>IF(OR(B114="",B113=""),"",B114/B113-1)</f>
        <v/>
      </c>
      <c r="D114" s="115">
        <f>IF(B114="","",IFERROR(B114/INDEX($B$2:$B$400,MATCH(DATE(YEAR(A114)-1,12,1),$A$2:$A$400,0))-1,""))</f>
        <v/>
      </c>
      <c r="E114" s="115">
        <f>IF(B114="","",IFERROR(B114/INDEX($B$2:$B$400,MATCH(DATE(YEAR(A114)-1,MONTH(A114),1),$A$2:$A$400,0))-1,""))</f>
        <v/>
      </c>
    </row>
    <row r="115">
      <c r="A115" s="117" t="n"/>
      <c r="B115" s="118" t="n"/>
      <c r="C115" s="115">
        <f>IF(OR(B115="",B114=""),"",B115/B114-1)</f>
        <v/>
      </c>
      <c r="D115" s="115">
        <f>IF(B115="","",IFERROR(B115/INDEX($B$2:$B$400,MATCH(DATE(YEAR(A115)-1,12,1),$A$2:$A$400,0))-1,""))</f>
        <v/>
      </c>
      <c r="E115" s="115">
        <f>IF(B115="","",IFERROR(B115/INDEX($B$2:$B$400,MATCH(DATE(YEAR(A115)-1,MONTH(A115),1),$A$2:$A$400,0))-1,""))</f>
        <v/>
      </c>
    </row>
    <row r="116">
      <c r="A116" s="117" t="n"/>
      <c r="B116" s="118" t="n"/>
      <c r="C116" s="115">
        <f>IF(OR(B116="",B115=""),"",B116/B115-1)</f>
        <v/>
      </c>
      <c r="D116" s="115">
        <f>IF(B116="","",IFERROR(B116/INDEX($B$2:$B$400,MATCH(DATE(YEAR(A116)-1,12,1),$A$2:$A$400,0))-1,""))</f>
        <v/>
      </c>
      <c r="E116" s="115">
        <f>IF(B116="","",IFERROR(B116/INDEX($B$2:$B$400,MATCH(DATE(YEAR(A116)-1,MONTH(A116),1),$A$2:$A$400,0))-1,""))</f>
        <v/>
      </c>
    </row>
    <row r="117">
      <c r="A117" s="117" t="n"/>
      <c r="B117" s="118" t="n"/>
      <c r="C117" s="115">
        <f>IF(OR(B117="",B116=""),"",B117/B116-1)</f>
        <v/>
      </c>
      <c r="D117" s="115">
        <f>IF(B117="","",IFERROR(B117/INDEX($B$2:$B$400,MATCH(DATE(YEAR(A117)-1,12,1),$A$2:$A$400,0))-1,""))</f>
        <v/>
      </c>
      <c r="E117" s="115">
        <f>IF(B117="","",IFERROR(B117/INDEX($B$2:$B$400,MATCH(DATE(YEAR(A117)-1,MONTH(A117),1),$A$2:$A$400,0))-1,""))</f>
        <v/>
      </c>
    </row>
    <row r="118">
      <c r="A118" s="117" t="n"/>
      <c r="B118" s="118" t="n"/>
      <c r="C118" s="115">
        <f>IF(OR(B118="",B117=""),"",B118/B117-1)</f>
        <v/>
      </c>
      <c r="D118" s="115">
        <f>IF(B118="","",IFERROR(B118/INDEX($B$2:$B$400,MATCH(DATE(YEAR(A118)-1,12,1),$A$2:$A$400,0))-1,""))</f>
        <v/>
      </c>
      <c r="E118" s="115">
        <f>IF(B118="","",IFERROR(B118/INDEX($B$2:$B$400,MATCH(DATE(YEAR(A118)-1,MONTH(A118),1),$A$2:$A$400,0))-1,""))</f>
        <v/>
      </c>
    </row>
    <row r="119">
      <c r="A119" s="117" t="n"/>
      <c r="B119" s="118" t="n"/>
      <c r="C119" s="115">
        <f>IF(OR(B119="",B118=""),"",B119/B118-1)</f>
        <v/>
      </c>
      <c r="D119" s="115">
        <f>IF(B119="","",IFERROR(B119/INDEX($B$2:$B$400,MATCH(DATE(YEAR(A119)-1,12,1),$A$2:$A$400,0))-1,""))</f>
        <v/>
      </c>
      <c r="E119" s="115">
        <f>IF(B119="","",IFERROR(B119/INDEX($B$2:$B$400,MATCH(DATE(YEAR(A119)-1,MONTH(A119),1),$A$2:$A$400,0))-1,""))</f>
        <v/>
      </c>
    </row>
    <row r="120">
      <c r="A120" s="117" t="n"/>
      <c r="B120" s="118" t="n"/>
      <c r="C120" s="115">
        <f>IF(OR(B120="",B119=""),"",B120/B119-1)</f>
        <v/>
      </c>
      <c r="D120" s="115">
        <f>IF(B120="","",IFERROR(B120/INDEX($B$2:$B$400,MATCH(DATE(YEAR(A120)-1,12,1),$A$2:$A$400,0))-1,""))</f>
        <v/>
      </c>
      <c r="E120" s="115">
        <f>IF(B120="","",IFERROR(B120/INDEX($B$2:$B$400,MATCH(DATE(YEAR(A120)-1,MONTH(A120),1),$A$2:$A$400,0))-1,""))</f>
        <v/>
      </c>
    </row>
    <row r="121">
      <c r="A121" s="117" t="n"/>
      <c r="B121" s="118" t="n"/>
      <c r="C121" s="115">
        <f>IF(OR(B121="",B120=""),"",B121/B120-1)</f>
        <v/>
      </c>
      <c r="D121" s="115">
        <f>IF(B121="","",IFERROR(B121/INDEX($B$2:$B$400,MATCH(DATE(YEAR(A121)-1,12,1),$A$2:$A$400,0))-1,""))</f>
        <v/>
      </c>
      <c r="E121" s="115">
        <f>IF(B121="","",IFERROR(B121/INDEX($B$2:$B$400,MATCH(DATE(YEAR(A121)-1,MONTH(A121),1),$A$2:$A$400,0))-1,""))</f>
        <v/>
      </c>
    </row>
    <row r="122">
      <c r="A122" s="117" t="n"/>
      <c r="B122" s="118" t="n"/>
      <c r="C122" s="115">
        <f>IF(OR(B122="",B121=""),"",B122/B121-1)</f>
        <v/>
      </c>
      <c r="D122" s="115">
        <f>IF(B122="","",IFERROR(B122/INDEX($B$2:$B$400,MATCH(DATE(YEAR(A122)-1,12,1),$A$2:$A$400,0))-1,""))</f>
        <v/>
      </c>
      <c r="E122" s="115">
        <f>IF(B122="","",IFERROR(B122/INDEX($B$2:$B$400,MATCH(DATE(YEAR(A122)-1,MONTH(A122),1),$A$2:$A$400,0))-1,""))</f>
        <v/>
      </c>
    </row>
    <row r="123">
      <c r="A123" s="117" t="n"/>
      <c r="B123" s="118" t="n"/>
      <c r="C123" s="115">
        <f>IF(OR(B123="",B122=""),"",B123/B122-1)</f>
        <v/>
      </c>
      <c r="D123" s="115">
        <f>IF(B123="","",IFERROR(B123/INDEX($B$2:$B$400,MATCH(DATE(YEAR(A123)-1,12,1),$A$2:$A$400,0))-1,""))</f>
        <v/>
      </c>
      <c r="E123" s="115">
        <f>IF(B123="","",IFERROR(B123/INDEX($B$2:$B$400,MATCH(DATE(YEAR(A123)-1,MONTH(A123),1),$A$2:$A$400,0))-1,""))</f>
        <v/>
      </c>
    </row>
    <row r="124">
      <c r="A124" s="117" t="n"/>
      <c r="B124" s="118" t="n"/>
      <c r="C124" s="115">
        <f>IF(OR(B124="",B123=""),"",B124/B123-1)</f>
        <v/>
      </c>
      <c r="D124" s="115">
        <f>IF(B124="","",IFERROR(B124/INDEX($B$2:$B$400,MATCH(DATE(YEAR(A124)-1,12,1),$A$2:$A$400,0))-1,""))</f>
        <v/>
      </c>
      <c r="E124" s="115">
        <f>IF(B124="","",IFERROR(B124/INDEX($B$2:$B$400,MATCH(DATE(YEAR(A124)-1,MONTH(A124),1),$A$2:$A$400,0))-1,""))</f>
        <v/>
      </c>
    </row>
    <row r="125">
      <c r="A125" s="117" t="n"/>
      <c r="B125" s="118" t="n"/>
      <c r="C125" s="115">
        <f>IF(OR(B125="",B124=""),"",B125/B124-1)</f>
        <v/>
      </c>
      <c r="D125" s="115">
        <f>IF(B125="","",IFERROR(B125/INDEX($B$2:$B$400,MATCH(DATE(YEAR(A125)-1,12,1),$A$2:$A$400,0))-1,""))</f>
        <v/>
      </c>
      <c r="E125" s="115">
        <f>IF(B125="","",IFERROR(B125/INDEX($B$2:$B$400,MATCH(DATE(YEAR(A125)-1,MONTH(A125),1),$A$2:$A$400,0))-1,""))</f>
        <v/>
      </c>
    </row>
    <row r="126">
      <c r="A126" s="117" t="n"/>
      <c r="B126" s="118" t="n"/>
      <c r="C126" s="115">
        <f>IF(OR(B126="",B125=""),"",B126/B125-1)</f>
        <v/>
      </c>
      <c r="D126" s="115">
        <f>IF(B126="","",IFERROR(B126/INDEX($B$2:$B$400,MATCH(DATE(YEAR(A126)-1,12,1),$A$2:$A$400,0))-1,""))</f>
        <v/>
      </c>
      <c r="E126" s="115">
        <f>IF(B126="","",IFERROR(B126/INDEX($B$2:$B$400,MATCH(DATE(YEAR(A126)-1,MONTH(A126),1),$A$2:$A$400,0))-1,""))</f>
        <v/>
      </c>
    </row>
    <row r="127">
      <c r="A127" s="117" t="n"/>
      <c r="B127" s="118" t="n"/>
      <c r="C127" s="115">
        <f>IF(OR(B127="",B126=""),"",B127/B126-1)</f>
        <v/>
      </c>
      <c r="D127" s="115">
        <f>IF(B127="","",IFERROR(B127/INDEX($B$2:$B$400,MATCH(DATE(YEAR(A127)-1,12,1),$A$2:$A$400,0))-1,""))</f>
        <v/>
      </c>
      <c r="E127" s="115">
        <f>IF(B127="","",IFERROR(B127/INDEX($B$2:$B$400,MATCH(DATE(YEAR(A127)-1,MONTH(A127),1),$A$2:$A$400,0))-1,""))</f>
        <v/>
      </c>
    </row>
    <row r="128">
      <c r="A128" s="117" t="n"/>
      <c r="B128" s="118" t="n"/>
      <c r="C128" s="115">
        <f>IF(OR(B128="",B127=""),"",B128/B127-1)</f>
        <v/>
      </c>
      <c r="D128" s="115">
        <f>IF(B128="","",IFERROR(B128/INDEX($B$2:$B$400,MATCH(DATE(YEAR(A128)-1,12,1),$A$2:$A$400,0))-1,""))</f>
        <v/>
      </c>
      <c r="E128" s="115">
        <f>IF(B128="","",IFERROR(B128/INDEX($B$2:$B$400,MATCH(DATE(YEAR(A128)-1,MONTH(A128),1),$A$2:$A$400,0))-1,""))</f>
        <v/>
      </c>
    </row>
    <row r="129">
      <c r="A129" s="117" t="n"/>
      <c r="B129" s="118" t="n"/>
      <c r="C129" s="115">
        <f>IF(OR(B129="",B128=""),"",B129/B128-1)</f>
        <v/>
      </c>
      <c r="D129" s="115">
        <f>IF(B129="","",IFERROR(B129/INDEX($B$2:$B$400,MATCH(DATE(YEAR(A129)-1,12,1),$A$2:$A$400,0))-1,""))</f>
        <v/>
      </c>
      <c r="E129" s="115">
        <f>IF(B129="","",IFERROR(B129/INDEX($B$2:$B$400,MATCH(DATE(YEAR(A129)-1,MONTH(A129),1),$A$2:$A$400,0))-1,""))</f>
        <v/>
      </c>
    </row>
    <row r="130">
      <c r="A130" s="117" t="n"/>
      <c r="B130" s="118" t="n"/>
      <c r="C130" s="115">
        <f>IF(OR(B130="",B129=""),"",B130/B129-1)</f>
        <v/>
      </c>
      <c r="D130" s="115">
        <f>IF(B130="","",IFERROR(B130/INDEX($B$2:$B$400,MATCH(DATE(YEAR(A130)-1,12,1),$A$2:$A$400,0))-1,""))</f>
        <v/>
      </c>
      <c r="E130" s="115">
        <f>IF(B130="","",IFERROR(B130/INDEX($B$2:$B$400,MATCH(DATE(YEAR(A130)-1,MONTH(A130),1),$A$2:$A$400,0))-1,""))</f>
        <v/>
      </c>
    </row>
    <row r="131">
      <c r="A131" s="117" t="n"/>
      <c r="B131" s="118" t="n"/>
      <c r="C131" s="115">
        <f>IF(OR(B131="",B130=""),"",B131/B130-1)</f>
        <v/>
      </c>
      <c r="D131" s="115">
        <f>IF(B131="","",IFERROR(B131/INDEX($B$2:$B$400,MATCH(DATE(YEAR(A131)-1,12,1),$A$2:$A$400,0))-1,""))</f>
        <v/>
      </c>
      <c r="E131" s="115">
        <f>IF(B131="","",IFERROR(B131/INDEX($B$2:$B$400,MATCH(DATE(YEAR(A131)-1,MONTH(A131),1),$A$2:$A$400,0))-1,""))</f>
        <v/>
      </c>
    </row>
    <row r="132">
      <c r="A132" s="117" t="n"/>
      <c r="B132" s="118" t="n"/>
      <c r="C132" s="115">
        <f>IF(OR(B132="",B131=""),"",B132/B131-1)</f>
        <v/>
      </c>
      <c r="D132" s="115">
        <f>IF(B132="","",IFERROR(B132/INDEX($B$2:$B$400,MATCH(DATE(YEAR(A132)-1,12,1),$A$2:$A$400,0))-1,""))</f>
        <v/>
      </c>
      <c r="E132" s="115">
        <f>IF(B132="","",IFERROR(B132/INDEX($B$2:$B$400,MATCH(DATE(YEAR(A132)-1,MONTH(A132),1),$A$2:$A$400,0))-1,""))</f>
        <v/>
      </c>
    </row>
    <row r="133">
      <c r="A133" s="117" t="n"/>
      <c r="B133" s="118" t="n"/>
      <c r="C133" s="115">
        <f>IF(OR(B133="",B132=""),"",B133/B132-1)</f>
        <v/>
      </c>
      <c r="D133" s="115">
        <f>IF(B133="","",IFERROR(B133/INDEX($B$2:$B$400,MATCH(DATE(YEAR(A133)-1,12,1),$A$2:$A$400,0))-1,""))</f>
        <v/>
      </c>
      <c r="E133" s="115">
        <f>IF(B133="","",IFERROR(B133/INDEX($B$2:$B$400,MATCH(DATE(YEAR(A133)-1,MONTH(A133),1),$A$2:$A$400,0))-1,""))</f>
        <v/>
      </c>
    </row>
    <row r="134">
      <c r="A134" s="117" t="n"/>
      <c r="B134" s="118" t="n"/>
      <c r="C134" s="115">
        <f>IF(OR(B134="",B133=""),"",B134/B133-1)</f>
        <v/>
      </c>
      <c r="D134" s="115">
        <f>IF(B134="","",IFERROR(B134/INDEX($B$2:$B$400,MATCH(DATE(YEAR(A134)-1,12,1),$A$2:$A$400,0))-1,""))</f>
        <v/>
      </c>
      <c r="E134" s="115">
        <f>IF(B134="","",IFERROR(B134/INDEX($B$2:$B$400,MATCH(DATE(YEAR(A134)-1,MONTH(A134),1),$A$2:$A$400,0))-1,""))</f>
        <v/>
      </c>
    </row>
    <row r="135">
      <c r="A135" s="117" t="n"/>
      <c r="B135" s="118" t="n"/>
      <c r="C135" s="115">
        <f>IF(OR(B135="",B134=""),"",B135/B134-1)</f>
        <v/>
      </c>
      <c r="D135" s="115">
        <f>IF(B135="","",IFERROR(B135/INDEX($B$2:$B$400,MATCH(DATE(YEAR(A135)-1,12,1),$A$2:$A$400,0))-1,""))</f>
        <v/>
      </c>
      <c r="E135" s="115">
        <f>IF(B135="","",IFERROR(B135/INDEX($B$2:$B$400,MATCH(DATE(YEAR(A135)-1,MONTH(A135),1),$A$2:$A$400,0))-1,""))</f>
        <v/>
      </c>
    </row>
    <row r="136">
      <c r="A136" s="117" t="n"/>
      <c r="B136" s="118" t="n"/>
      <c r="C136" s="115">
        <f>IF(OR(B136="",B135=""),"",B136/B135-1)</f>
        <v/>
      </c>
      <c r="D136" s="115">
        <f>IF(B136="","",IFERROR(B136/INDEX($B$2:$B$400,MATCH(DATE(YEAR(A136)-1,12,1),$A$2:$A$400,0))-1,""))</f>
        <v/>
      </c>
      <c r="E136" s="115">
        <f>IF(B136="","",IFERROR(B136/INDEX($B$2:$B$400,MATCH(DATE(YEAR(A136)-1,MONTH(A136),1),$A$2:$A$400,0))-1,""))</f>
        <v/>
      </c>
    </row>
    <row r="137">
      <c r="A137" s="117" t="n"/>
      <c r="B137" s="118" t="n"/>
      <c r="C137" s="115">
        <f>IF(OR(B137="",B136=""),"",B137/B136-1)</f>
        <v/>
      </c>
      <c r="D137" s="115">
        <f>IF(B137="","",IFERROR(B137/INDEX($B$2:$B$400,MATCH(DATE(YEAR(A137)-1,12,1),$A$2:$A$400,0))-1,""))</f>
        <v/>
      </c>
      <c r="E137" s="115">
        <f>IF(B137="","",IFERROR(B137/INDEX($B$2:$B$400,MATCH(DATE(YEAR(A137)-1,MONTH(A137),1),$A$2:$A$400,0))-1,""))</f>
        <v/>
      </c>
    </row>
    <row r="138">
      <c r="A138" s="117" t="n"/>
      <c r="B138" s="118" t="n"/>
      <c r="C138" s="115">
        <f>IF(OR(B138="",B137=""),"",B138/B137-1)</f>
        <v/>
      </c>
      <c r="D138" s="115">
        <f>IF(B138="","",IFERROR(B138/INDEX($B$2:$B$400,MATCH(DATE(YEAR(A138)-1,12,1),$A$2:$A$400,0))-1,""))</f>
        <v/>
      </c>
      <c r="E138" s="115">
        <f>IF(B138="","",IFERROR(B138/INDEX($B$2:$B$400,MATCH(DATE(YEAR(A138)-1,MONTH(A138),1),$A$2:$A$400,0))-1,""))</f>
        <v/>
      </c>
    </row>
    <row r="139">
      <c r="A139" s="117" t="n"/>
      <c r="B139" s="118" t="n"/>
      <c r="C139" s="115">
        <f>IF(OR(B139="",B138=""),"",B139/B138-1)</f>
        <v/>
      </c>
      <c r="D139" s="115">
        <f>IF(B139="","",IFERROR(B139/INDEX($B$2:$B$400,MATCH(DATE(YEAR(A139)-1,12,1),$A$2:$A$400,0))-1,""))</f>
        <v/>
      </c>
      <c r="E139" s="115">
        <f>IF(B139="","",IFERROR(B139/INDEX($B$2:$B$400,MATCH(DATE(YEAR(A139)-1,MONTH(A139),1),$A$2:$A$400,0))-1,""))</f>
        <v/>
      </c>
    </row>
    <row r="140">
      <c r="A140" s="117" t="n"/>
      <c r="B140" s="118" t="n"/>
      <c r="C140" s="115">
        <f>IF(OR(B140="",B139=""),"",B140/B139-1)</f>
        <v/>
      </c>
      <c r="D140" s="115">
        <f>IF(B140="","",IFERROR(B140/INDEX($B$2:$B$400,MATCH(DATE(YEAR(A140)-1,12,1),$A$2:$A$400,0))-1,""))</f>
        <v/>
      </c>
      <c r="E140" s="115">
        <f>IF(B140="","",IFERROR(B140/INDEX($B$2:$B$400,MATCH(DATE(YEAR(A140)-1,MONTH(A140),1),$A$2:$A$400,0))-1,""))</f>
        <v/>
      </c>
    </row>
    <row r="141">
      <c r="A141" s="117" t="n"/>
      <c r="B141" s="118" t="n"/>
      <c r="C141" s="115">
        <f>IF(OR(B141="",B140=""),"",B141/B140-1)</f>
        <v/>
      </c>
      <c r="D141" s="115">
        <f>IF(B141="","",IFERROR(B141/INDEX($B$2:$B$400,MATCH(DATE(YEAR(A141)-1,12,1),$A$2:$A$400,0))-1,""))</f>
        <v/>
      </c>
      <c r="E141" s="115">
        <f>IF(B141="","",IFERROR(B141/INDEX($B$2:$B$400,MATCH(DATE(YEAR(A141)-1,MONTH(A141),1),$A$2:$A$400,0))-1,""))</f>
        <v/>
      </c>
    </row>
    <row r="142">
      <c r="A142" s="117" t="n"/>
      <c r="B142" s="118" t="n"/>
      <c r="C142" s="115">
        <f>IF(OR(B142="",B141=""),"",B142/B141-1)</f>
        <v/>
      </c>
      <c r="D142" s="115">
        <f>IF(B142="","",IFERROR(B142/INDEX($B$2:$B$400,MATCH(DATE(YEAR(A142)-1,12,1),$A$2:$A$400,0))-1,""))</f>
        <v/>
      </c>
      <c r="E142" s="115">
        <f>IF(B142="","",IFERROR(B142/INDEX($B$2:$B$400,MATCH(DATE(YEAR(A142)-1,MONTH(A142),1),$A$2:$A$400,0))-1,""))</f>
        <v/>
      </c>
    </row>
    <row r="143">
      <c r="A143" s="117" t="n"/>
      <c r="B143" s="118" t="n"/>
      <c r="C143" s="115">
        <f>IF(OR(B143="",B142=""),"",B143/B142-1)</f>
        <v/>
      </c>
      <c r="D143" s="115">
        <f>IF(B143="","",IFERROR(B143/INDEX($B$2:$B$400,MATCH(DATE(YEAR(A143)-1,12,1),$A$2:$A$400,0))-1,""))</f>
        <v/>
      </c>
      <c r="E143" s="115">
        <f>IF(B143="","",IFERROR(B143/INDEX($B$2:$B$400,MATCH(DATE(YEAR(A143)-1,MONTH(A143),1),$A$2:$A$400,0))-1,""))</f>
        <v/>
      </c>
    </row>
    <row r="144">
      <c r="A144" s="117" t="n"/>
      <c r="B144" s="118" t="n"/>
      <c r="C144" s="115">
        <f>IF(OR(B144="",B143=""),"",B144/B143-1)</f>
        <v/>
      </c>
      <c r="D144" s="115">
        <f>IF(B144="","",IFERROR(B144/INDEX($B$2:$B$400,MATCH(DATE(YEAR(A144)-1,12,1),$A$2:$A$400,0))-1,""))</f>
        <v/>
      </c>
      <c r="E144" s="115">
        <f>IF(B144="","",IFERROR(B144/INDEX($B$2:$B$400,MATCH(DATE(YEAR(A144)-1,MONTH(A144),1),$A$2:$A$400,0))-1,""))</f>
        <v/>
      </c>
    </row>
    <row r="145">
      <c r="A145" s="117" t="n"/>
      <c r="B145" s="118" t="n"/>
      <c r="C145" s="115">
        <f>IF(OR(B145="",B144=""),"",B145/B144-1)</f>
        <v/>
      </c>
      <c r="D145" s="115">
        <f>IF(B145="","",IFERROR(B145/INDEX($B$2:$B$400,MATCH(DATE(YEAR(A145)-1,12,1),$A$2:$A$400,0))-1,""))</f>
        <v/>
      </c>
      <c r="E145" s="115">
        <f>IF(B145="","",IFERROR(B145/INDEX($B$2:$B$400,MATCH(DATE(YEAR(A145)-1,MONTH(A145),1),$A$2:$A$400,0))-1,""))</f>
        <v/>
      </c>
    </row>
    <row r="146">
      <c r="A146" s="117" t="n"/>
      <c r="B146" s="118" t="n"/>
      <c r="C146" s="115">
        <f>IF(OR(B146="",B145=""),"",B146/B145-1)</f>
        <v/>
      </c>
      <c r="D146" s="115">
        <f>IF(B146="","",IFERROR(B146/INDEX($B$2:$B$400,MATCH(DATE(YEAR(A146)-1,12,1),$A$2:$A$400,0))-1,""))</f>
        <v/>
      </c>
      <c r="E146" s="115">
        <f>IF(B146="","",IFERROR(B146/INDEX($B$2:$B$400,MATCH(DATE(YEAR(A146)-1,MONTH(A146),1),$A$2:$A$400,0))-1,""))</f>
        <v/>
      </c>
    </row>
    <row r="147">
      <c r="A147" s="117" t="n"/>
      <c r="B147" s="118" t="n"/>
      <c r="C147" s="115">
        <f>IF(OR(B147="",B146=""),"",B147/B146-1)</f>
        <v/>
      </c>
      <c r="D147" s="115">
        <f>IF(B147="","",IFERROR(B147/INDEX($B$2:$B$400,MATCH(DATE(YEAR(A147)-1,12,1),$A$2:$A$400,0))-1,""))</f>
        <v/>
      </c>
      <c r="E147" s="115">
        <f>IF(B147="","",IFERROR(B147/INDEX($B$2:$B$400,MATCH(DATE(YEAR(A147)-1,MONTH(A147),1),$A$2:$A$400,0))-1,""))</f>
        <v/>
      </c>
    </row>
    <row r="148">
      <c r="A148" s="117" t="n"/>
      <c r="B148" s="118" t="n"/>
      <c r="C148" s="115">
        <f>IF(OR(B148="",B147=""),"",B148/B147-1)</f>
        <v/>
      </c>
      <c r="D148" s="115">
        <f>IF(B148="","",IFERROR(B148/INDEX($B$2:$B$400,MATCH(DATE(YEAR(A148)-1,12,1),$A$2:$A$400,0))-1,""))</f>
        <v/>
      </c>
      <c r="E148" s="115">
        <f>IF(B148="","",IFERROR(B148/INDEX($B$2:$B$400,MATCH(DATE(YEAR(A148)-1,MONTH(A148),1),$A$2:$A$400,0))-1,""))</f>
        <v/>
      </c>
    </row>
    <row r="149">
      <c r="A149" s="117" t="n"/>
      <c r="B149" s="118" t="n"/>
      <c r="C149" s="115">
        <f>IF(OR(B149="",B148=""),"",B149/B148-1)</f>
        <v/>
      </c>
      <c r="D149" s="115">
        <f>IF(B149="","",IFERROR(B149/INDEX($B$2:$B$400,MATCH(DATE(YEAR(A149)-1,12,1),$A$2:$A$400,0))-1,""))</f>
        <v/>
      </c>
      <c r="E149" s="115">
        <f>IF(B149="","",IFERROR(B149/INDEX($B$2:$B$400,MATCH(DATE(YEAR(A149)-1,MONTH(A149),1),$A$2:$A$400,0))-1,""))</f>
        <v/>
      </c>
    </row>
    <row r="150">
      <c r="A150" s="117" t="n"/>
      <c r="B150" s="118" t="n"/>
      <c r="C150" s="115">
        <f>IF(OR(B150="",B149=""),"",B150/B149-1)</f>
        <v/>
      </c>
      <c r="D150" s="115">
        <f>IF(B150="","",IFERROR(B150/INDEX($B$2:$B$400,MATCH(DATE(YEAR(A150)-1,12,1),$A$2:$A$400,0))-1,""))</f>
        <v/>
      </c>
      <c r="E150" s="115">
        <f>IF(B150="","",IFERROR(B150/INDEX($B$2:$B$400,MATCH(DATE(YEAR(A150)-1,MONTH(A150),1),$A$2:$A$400,0))-1,""))</f>
        <v/>
      </c>
    </row>
    <row r="151">
      <c r="A151" s="117" t="n"/>
      <c r="B151" s="118" t="n"/>
      <c r="C151" s="115">
        <f>IF(OR(B151="",B150=""),"",B151/B150-1)</f>
        <v/>
      </c>
      <c r="D151" s="115">
        <f>IF(B151="","",IFERROR(B151/INDEX($B$2:$B$400,MATCH(DATE(YEAR(A151)-1,12,1),$A$2:$A$400,0))-1,""))</f>
        <v/>
      </c>
      <c r="E151" s="115">
        <f>IF(B151="","",IFERROR(B151/INDEX($B$2:$B$400,MATCH(DATE(YEAR(A151)-1,MONTH(A151),1),$A$2:$A$400,0))-1,""))</f>
        <v/>
      </c>
    </row>
    <row r="152">
      <c r="A152" s="117" t="n"/>
      <c r="B152" s="118" t="n"/>
      <c r="C152" s="115">
        <f>IF(OR(B152="",B151=""),"",B152/B151-1)</f>
        <v/>
      </c>
      <c r="D152" s="115">
        <f>IF(B152="","",IFERROR(B152/INDEX($B$2:$B$400,MATCH(DATE(YEAR(A152)-1,12,1),$A$2:$A$400,0))-1,""))</f>
        <v/>
      </c>
      <c r="E152" s="115">
        <f>IF(B152="","",IFERROR(B152/INDEX($B$2:$B$400,MATCH(DATE(YEAR(A152)-1,MONTH(A152),1),$A$2:$A$400,0))-1,""))</f>
        <v/>
      </c>
    </row>
    <row r="153">
      <c r="A153" s="117" t="n"/>
      <c r="B153" s="118" t="n"/>
      <c r="C153" s="115">
        <f>IF(OR(B153="",B152=""),"",B153/B152-1)</f>
        <v/>
      </c>
      <c r="D153" s="115">
        <f>IF(B153="","",IFERROR(B153/INDEX($B$2:$B$400,MATCH(DATE(YEAR(A153)-1,12,1),$A$2:$A$400,0))-1,""))</f>
        <v/>
      </c>
      <c r="E153" s="115">
        <f>IF(B153="","",IFERROR(B153/INDEX($B$2:$B$400,MATCH(DATE(YEAR(A153)-1,MONTH(A153),1),$A$2:$A$400,0))-1,""))</f>
        <v/>
      </c>
    </row>
    <row r="154">
      <c r="A154" s="117" t="n"/>
      <c r="B154" s="118" t="n"/>
      <c r="C154" s="115">
        <f>IF(OR(B154="",B153=""),"",B154/B153-1)</f>
        <v/>
      </c>
      <c r="D154" s="115">
        <f>IF(B154="","",IFERROR(B154/INDEX($B$2:$B$400,MATCH(DATE(YEAR(A154)-1,12,1),$A$2:$A$400,0))-1,""))</f>
        <v/>
      </c>
      <c r="E154" s="115">
        <f>IF(B154="","",IFERROR(B154/INDEX($B$2:$B$400,MATCH(DATE(YEAR(A154)-1,MONTH(A154),1),$A$2:$A$400,0))-1,""))</f>
        <v/>
      </c>
    </row>
    <row r="155">
      <c r="A155" s="117" t="n"/>
      <c r="B155" s="118" t="n"/>
      <c r="C155" s="115">
        <f>IF(OR(B155="",B154=""),"",B155/B154-1)</f>
        <v/>
      </c>
      <c r="D155" s="115">
        <f>IF(B155="","",IFERROR(B155/INDEX($B$2:$B$400,MATCH(DATE(YEAR(A155)-1,12,1),$A$2:$A$400,0))-1,""))</f>
        <v/>
      </c>
      <c r="E155" s="115">
        <f>IF(B155="","",IFERROR(B155/INDEX($B$2:$B$400,MATCH(DATE(YEAR(A155)-1,MONTH(A155),1),$A$2:$A$400,0))-1,""))</f>
        <v/>
      </c>
    </row>
    <row r="156">
      <c r="A156" s="117" t="n"/>
      <c r="B156" s="118" t="n"/>
      <c r="C156" s="115">
        <f>IF(OR(B156="",B155=""),"",B156/B155-1)</f>
        <v/>
      </c>
      <c r="D156" s="115">
        <f>IF(B156="","",IFERROR(B156/INDEX($B$2:$B$400,MATCH(DATE(YEAR(A156)-1,12,1),$A$2:$A$400,0))-1,""))</f>
        <v/>
      </c>
      <c r="E156" s="115">
        <f>IF(B156="","",IFERROR(B156/INDEX($B$2:$B$400,MATCH(DATE(YEAR(A156)-1,MONTH(A156),1),$A$2:$A$400,0))-1,""))</f>
        <v/>
      </c>
    </row>
    <row r="157">
      <c r="A157" s="117" t="n"/>
      <c r="B157" s="118" t="n"/>
      <c r="C157" s="115">
        <f>IF(OR(B157="",B156=""),"",B157/B156-1)</f>
        <v/>
      </c>
      <c r="D157" s="115">
        <f>IF(B157="","",IFERROR(B157/INDEX($B$2:$B$400,MATCH(DATE(YEAR(A157)-1,12,1),$A$2:$A$400,0))-1,""))</f>
        <v/>
      </c>
      <c r="E157" s="115">
        <f>IF(B157="","",IFERROR(B157/INDEX($B$2:$B$400,MATCH(DATE(YEAR(A157)-1,MONTH(A157),1),$A$2:$A$400,0))-1,""))</f>
        <v/>
      </c>
    </row>
    <row r="158">
      <c r="A158" s="117" t="n"/>
      <c r="B158" s="118" t="n"/>
      <c r="C158" s="115">
        <f>IF(OR(B158="",B157=""),"",B158/B157-1)</f>
        <v/>
      </c>
      <c r="D158" s="115">
        <f>IF(B158="","",IFERROR(B158/INDEX($B$2:$B$400,MATCH(DATE(YEAR(A158)-1,12,1),$A$2:$A$400,0))-1,""))</f>
        <v/>
      </c>
      <c r="E158" s="115">
        <f>IF(B158="","",IFERROR(B158/INDEX($B$2:$B$400,MATCH(DATE(YEAR(A158)-1,MONTH(A158),1),$A$2:$A$400,0))-1,""))</f>
        <v/>
      </c>
    </row>
    <row r="159">
      <c r="A159" s="117" t="n"/>
      <c r="B159" s="118" t="n"/>
      <c r="C159" s="115">
        <f>IF(OR(B159="",B158=""),"",B159/B158-1)</f>
        <v/>
      </c>
      <c r="D159" s="115">
        <f>IF(B159="","",IFERROR(B159/INDEX($B$2:$B$400,MATCH(DATE(YEAR(A159)-1,12,1),$A$2:$A$400,0))-1,""))</f>
        <v/>
      </c>
      <c r="E159" s="115">
        <f>IF(B159="","",IFERROR(B159/INDEX($B$2:$B$400,MATCH(DATE(YEAR(A159)-1,MONTH(A159),1),$A$2:$A$400,0))-1,""))</f>
        <v/>
      </c>
    </row>
    <row r="160">
      <c r="A160" s="117" t="n"/>
      <c r="B160" s="118" t="n"/>
      <c r="C160" s="115">
        <f>IF(OR(B160="",B159=""),"",B160/B159-1)</f>
        <v/>
      </c>
      <c r="D160" s="115">
        <f>IF(B160="","",IFERROR(B160/INDEX($B$2:$B$400,MATCH(DATE(YEAR(A160)-1,12,1),$A$2:$A$400,0))-1,""))</f>
        <v/>
      </c>
      <c r="E160" s="115">
        <f>IF(B160="","",IFERROR(B160/INDEX($B$2:$B$400,MATCH(DATE(YEAR(A160)-1,MONTH(A160),1),$A$2:$A$400,0))-1,""))</f>
        <v/>
      </c>
    </row>
    <row r="161">
      <c r="A161" s="117" t="n"/>
      <c r="B161" s="118" t="n"/>
      <c r="C161" s="115">
        <f>IF(OR(B161="",B160=""),"",B161/B160-1)</f>
        <v/>
      </c>
      <c r="D161" s="115">
        <f>IF(B161="","",IFERROR(B161/INDEX($B$2:$B$400,MATCH(DATE(YEAR(A161)-1,12,1),$A$2:$A$400,0))-1,""))</f>
        <v/>
      </c>
      <c r="E161" s="115">
        <f>IF(B161="","",IFERROR(B161/INDEX($B$2:$B$400,MATCH(DATE(YEAR(A161)-1,MONTH(A161),1),$A$2:$A$400,0))-1,""))</f>
        <v/>
      </c>
    </row>
    <row r="162">
      <c r="A162" s="117" t="n"/>
      <c r="B162" s="118" t="n"/>
      <c r="C162" s="115">
        <f>IF(OR(B162="",B161=""),"",B162/B161-1)</f>
        <v/>
      </c>
      <c r="D162" s="115">
        <f>IF(B162="","",IFERROR(B162/INDEX($B$2:$B$400,MATCH(DATE(YEAR(A162)-1,12,1),$A$2:$A$400,0))-1,""))</f>
        <v/>
      </c>
      <c r="E162" s="115">
        <f>IF(B162="","",IFERROR(B162/INDEX($B$2:$B$400,MATCH(DATE(YEAR(A162)-1,MONTH(A162),1),$A$2:$A$400,0))-1,""))</f>
        <v/>
      </c>
    </row>
    <row r="163">
      <c r="A163" s="117" t="n"/>
      <c r="B163" s="118" t="n"/>
      <c r="C163" s="115">
        <f>IF(OR(B163="",B162=""),"",B163/B162-1)</f>
        <v/>
      </c>
      <c r="D163" s="115">
        <f>IF(B163="","",IFERROR(B163/INDEX($B$2:$B$400,MATCH(DATE(YEAR(A163)-1,12,1),$A$2:$A$400,0))-1,""))</f>
        <v/>
      </c>
      <c r="E163" s="115">
        <f>IF(B163="","",IFERROR(B163/INDEX($B$2:$B$400,MATCH(DATE(YEAR(A163)-1,MONTH(A163),1),$A$2:$A$400,0))-1,""))</f>
        <v/>
      </c>
    </row>
    <row r="164">
      <c r="A164" s="117" t="n"/>
      <c r="B164" s="118" t="n"/>
      <c r="C164" s="115">
        <f>IF(OR(B164="",B163=""),"",B164/B163-1)</f>
        <v/>
      </c>
      <c r="D164" s="115">
        <f>IF(B164="","",IFERROR(B164/INDEX($B$2:$B$400,MATCH(DATE(YEAR(A164)-1,12,1),$A$2:$A$400,0))-1,""))</f>
        <v/>
      </c>
      <c r="E164" s="115">
        <f>IF(B164="","",IFERROR(B164/INDEX($B$2:$B$400,MATCH(DATE(YEAR(A164)-1,MONTH(A164),1),$A$2:$A$400,0))-1,""))</f>
        <v/>
      </c>
    </row>
    <row r="165">
      <c r="A165" s="117" t="n"/>
      <c r="B165" s="118" t="n"/>
      <c r="C165" s="115">
        <f>IF(OR(B165="",B164=""),"",B165/B164-1)</f>
        <v/>
      </c>
      <c r="D165" s="115">
        <f>IF(B165="","",IFERROR(B165/INDEX($B$2:$B$400,MATCH(DATE(YEAR(A165)-1,12,1),$A$2:$A$400,0))-1,""))</f>
        <v/>
      </c>
      <c r="E165" s="115">
        <f>IF(B165="","",IFERROR(B165/INDEX($B$2:$B$400,MATCH(DATE(YEAR(A165)-1,MONTH(A165),1),$A$2:$A$400,0))-1,""))</f>
        <v/>
      </c>
    </row>
    <row r="166">
      <c r="A166" s="117" t="n"/>
      <c r="B166" s="118" t="n"/>
      <c r="C166" s="115">
        <f>IF(OR(B166="",B165=""),"",B166/B165-1)</f>
        <v/>
      </c>
      <c r="D166" s="115">
        <f>IF(B166="","",IFERROR(B166/INDEX($B$2:$B$400,MATCH(DATE(YEAR(A166)-1,12,1),$A$2:$A$400,0))-1,""))</f>
        <v/>
      </c>
      <c r="E166" s="115">
        <f>IF(B166="","",IFERROR(B166/INDEX($B$2:$B$400,MATCH(DATE(YEAR(A166)-1,MONTH(A166),1),$A$2:$A$400,0))-1,""))</f>
        <v/>
      </c>
    </row>
    <row r="167">
      <c r="A167" s="117" t="n"/>
      <c r="B167" s="118" t="n"/>
      <c r="C167" s="115">
        <f>IF(OR(B167="",B166=""),"",B167/B166-1)</f>
        <v/>
      </c>
      <c r="D167" s="115">
        <f>IF(B167="","",IFERROR(B167/INDEX($B$2:$B$400,MATCH(DATE(YEAR(A167)-1,12,1),$A$2:$A$400,0))-1,""))</f>
        <v/>
      </c>
      <c r="E167" s="115">
        <f>IF(B167="","",IFERROR(B167/INDEX($B$2:$B$400,MATCH(DATE(YEAR(A167)-1,MONTH(A167),1),$A$2:$A$400,0))-1,""))</f>
        <v/>
      </c>
    </row>
    <row r="168">
      <c r="A168" s="117" t="n"/>
      <c r="B168" s="118" t="n"/>
      <c r="C168" s="115">
        <f>IF(OR(B168="",B167=""),"",B168/B167-1)</f>
        <v/>
      </c>
      <c r="D168" s="115">
        <f>IF(B168="","",IFERROR(B168/INDEX($B$2:$B$400,MATCH(DATE(YEAR(A168)-1,12,1),$A$2:$A$400,0))-1,""))</f>
        <v/>
      </c>
      <c r="E168" s="115">
        <f>IF(B168="","",IFERROR(B168/INDEX($B$2:$B$400,MATCH(DATE(YEAR(A168)-1,MONTH(A168),1),$A$2:$A$400,0))-1,""))</f>
        <v/>
      </c>
    </row>
    <row r="169">
      <c r="A169" s="117" t="n"/>
      <c r="B169" s="118" t="n"/>
      <c r="C169" s="115">
        <f>IF(OR(B169="",B168=""),"",B169/B168-1)</f>
        <v/>
      </c>
      <c r="D169" s="115">
        <f>IF(B169="","",IFERROR(B169/INDEX($B$2:$B$400,MATCH(DATE(YEAR(A169)-1,12,1),$A$2:$A$400,0))-1,""))</f>
        <v/>
      </c>
      <c r="E169" s="115">
        <f>IF(B169="","",IFERROR(B169/INDEX($B$2:$B$400,MATCH(DATE(YEAR(A169)-1,MONTH(A169),1),$A$2:$A$400,0))-1,""))</f>
        <v/>
      </c>
    </row>
    <row r="170">
      <c r="A170" s="117" t="n"/>
      <c r="B170" s="118" t="n"/>
      <c r="C170" s="115">
        <f>IF(OR(B170="",B169=""),"",B170/B169-1)</f>
        <v/>
      </c>
      <c r="D170" s="115">
        <f>IF(B170="","",IFERROR(B170/INDEX($B$2:$B$400,MATCH(DATE(YEAR(A170)-1,12,1),$A$2:$A$400,0))-1,""))</f>
        <v/>
      </c>
      <c r="E170" s="115">
        <f>IF(B170="","",IFERROR(B170/INDEX($B$2:$B$400,MATCH(DATE(YEAR(A170)-1,MONTH(A170),1),$A$2:$A$400,0))-1,""))</f>
        <v/>
      </c>
    </row>
    <row r="171">
      <c r="A171" s="117" t="n"/>
      <c r="B171" s="118" t="n"/>
      <c r="C171" s="115">
        <f>IF(OR(B171="",B170=""),"",B171/B170-1)</f>
        <v/>
      </c>
      <c r="D171" s="115">
        <f>IF(B171="","",IFERROR(B171/INDEX($B$2:$B$400,MATCH(DATE(YEAR(A171)-1,12,1),$A$2:$A$400,0))-1,""))</f>
        <v/>
      </c>
      <c r="E171" s="115">
        <f>IF(B171="","",IFERROR(B171/INDEX($B$2:$B$400,MATCH(DATE(YEAR(A171)-1,MONTH(A171),1),$A$2:$A$400,0))-1,""))</f>
        <v/>
      </c>
    </row>
    <row r="172">
      <c r="A172" s="117" t="n"/>
      <c r="B172" s="118" t="n"/>
      <c r="C172" s="115">
        <f>IF(OR(B172="",B171=""),"",B172/B171-1)</f>
        <v/>
      </c>
      <c r="D172" s="115">
        <f>IF(B172="","",IFERROR(B172/INDEX($B$2:$B$400,MATCH(DATE(YEAR(A172)-1,12,1),$A$2:$A$400,0))-1,""))</f>
        <v/>
      </c>
      <c r="E172" s="115">
        <f>IF(B172="","",IFERROR(B172/INDEX($B$2:$B$400,MATCH(DATE(YEAR(A172)-1,MONTH(A172),1),$A$2:$A$400,0))-1,""))</f>
        <v/>
      </c>
    </row>
    <row r="173">
      <c r="A173" s="117" t="n"/>
      <c r="B173" s="118" t="n"/>
      <c r="C173" s="115">
        <f>IF(OR(B173="",B172=""),"",B173/B172-1)</f>
        <v/>
      </c>
      <c r="D173" s="115">
        <f>IF(B173="","",IFERROR(B173/INDEX($B$2:$B$400,MATCH(DATE(YEAR(A173)-1,12,1),$A$2:$A$400,0))-1,""))</f>
        <v/>
      </c>
      <c r="E173" s="115">
        <f>IF(B173="","",IFERROR(B173/INDEX($B$2:$B$400,MATCH(DATE(YEAR(A173)-1,MONTH(A173),1),$A$2:$A$400,0))-1,""))</f>
        <v/>
      </c>
    </row>
    <row r="174">
      <c r="A174" s="117" t="n"/>
      <c r="B174" s="118" t="n"/>
      <c r="C174" s="115">
        <f>IF(OR(B174="",B173=""),"",B174/B173-1)</f>
        <v/>
      </c>
      <c r="D174" s="115">
        <f>IF(B174="","",IFERROR(B174/INDEX($B$2:$B$400,MATCH(DATE(YEAR(A174)-1,12,1),$A$2:$A$400,0))-1,""))</f>
        <v/>
      </c>
      <c r="E174" s="115">
        <f>IF(B174="","",IFERROR(B174/INDEX($B$2:$B$400,MATCH(DATE(YEAR(A174)-1,MONTH(A174),1),$A$2:$A$400,0))-1,""))</f>
        <v/>
      </c>
    </row>
    <row r="175">
      <c r="A175" s="117" t="n"/>
      <c r="B175" s="118" t="n"/>
      <c r="C175" s="115">
        <f>IF(OR(B175="",B174=""),"",B175/B174-1)</f>
        <v/>
      </c>
      <c r="D175" s="115">
        <f>IF(B175="","",IFERROR(B175/INDEX($B$2:$B$400,MATCH(DATE(YEAR(A175)-1,12,1),$A$2:$A$400,0))-1,""))</f>
        <v/>
      </c>
      <c r="E175" s="115">
        <f>IF(B175="","",IFERROR(B175/INDEX($B$2:$B$400,MATCH(DATE(YEAR(A175)-1,MONTH(A175),1),$A$2:$A$400,0))-1,""))</f>
        <v/>
      </c>
    </row>
    <row r="176">
      <c r="A176" s="117" t="n"/>
      <c r="B176" s="118" t="n"/>
      <c r="C176" s="115">
        <f>IF(OR(B176="",B175=""),"",B176/B175-1)</f>
        <v/>
      </c>
      <c r="D176" s="115">
        <f>IF(B176="","",IFERROR(B176/INDEX($B$2:$B$400,MATCH(DATE(YEAR(A176)-1,12,1),$A$2:$A$400,0))-1,""))</f>
        <v/>
      </c>
      <c r="E176" s="115">
        <f>IF(B176="","",IFERROR(B176/INDEX($B$2:$B$400,MATCH(DATE(YEAR(A176)-1,MONTH(A176),1),$A$2:$A$400,0))-1,""))</f>
        <v/>
      </c>
    </row>
    <row r="177">
      <c r="A177" s="117" t="n"/>
      <c r="B177" s="118" t="n"/>
      <c r="C177" s="115">
        <f>IF(OR(B177="",B176=""),"",B177/B176-1)</f>
        <v/>
      </c>
      <c r="D177" s="115">
        <f>IF(B177="","",IFERROR(B177/INDEX($B$2:$B$400,MATCH(DATE(YEAR(A177)-1,12,1),$A$2:$A$400,0))-1,""))</f>
        <v/>
      </c>
      <c r="E177" s="115">
        <f>IF(B177="","",IFERROR(B177/INDEX($B$2:$B$400,MATCH(DATE(YEAR(A177)-1,MONTH(A177),1),$A$2:$A$400,0))-1,""))</f>
        <v/>
      </c>
    </row>
    <row r="178">
      <c r="A178" s="117" t="n"/>
      <c r="B178" s="118" t="n"/>
      <c r="C178" s="115">
        <f>IF(OR(B178="",B177=""),"",B178/B177-1)</f>
        <v/>
      </c>
      <c r="D178" s="115">
        <f>IF(B178="","",IFERROR(B178/INDEX($B$2:$B$400,MATCH(DATE(YEAR(A178)-1,12,1),$A$2:$A$400,0))-1,""))</f>
        <v/>
      </c>
      <c r="E178" s="115">
        <f>IF(B178="","",IFERROR(B178/INDEX($B$2:$B$400,MATCH(DATE(YEAR(A178)-1,MONTH(A178),1),$A$2:$A$400,0))-1,""))</f>
        <v/>
      </c>
    </row>
    <row r="179">
      <c r="A179" s="117" t="n"/>
      <c r="B179" s="118" t="n"/>
      <c r="C179" s="115">
        <f>IF(OR(B179="",B178=""),"",B179/B178-1)</f>
        <v/>
      </c>
      <c r="D179" s="115">
        <f>IF(B179="","",IFERROR(B179/INDEX($B$2:$B$400,MATCH(DATE(YEAR(A179)-1,12,1),$A$2:$A$400,0))-1,""))</f>
        <v/>
      </c>
      <c r="E179" s="115">
        <f>IF(B179="","",IFERROR(B179/INDEX($B$2:$B$400,MATCH(DATE(YEAR(A179)-1,MONTH(A179),1),$A$2:$A$400,0))-1,""))</f>
        <v/>
      </c>
    </row>
    <row r="180">
      <c r="A180" s="117" t="n"/>
      <c r="B180" s="118" t="n"/>
      <c r="C180" s="115">
        <f>IF(OR(B180="",B179=""),"",B180/B179-1)</f>
        <v/>
      </c>
      <c r="D180" s="115">
        <f>IF(B180="","",IFERROR(B180/INDEX($B$2:$B$400,MATCH(DATE(YEAR(A180)-1,12,1),$A$2:$A$400,0))-1,""))</f>
        <v/>
      </c>
      <c r="E180" s="115">
        <f>IF(B180="","",IFERROR(B180/INDEX($B$2:$B$400,MATCH(DATE(YEAR(A180)-1,MONTH(A180),1),$A$2:$A$400,0))-1,""))</f>
        <v/>
      </c>
    </row>
    <row r="181">
      <c r="A181" s="117" t="n"/>
      <c r="B181" s="118" t="n"/>
      <c r="C181" s="115">
        <f>IF(OR(B181="",B180=""),"",B181/B180-1)</f>
        <v/>
      </c>
      <c r="D181" s="115">
        <f>IF(B181="","",IFERROR(B181/INDEX($B$2:$B$400,MATCH(DATE(YEAR(A181)-1,12,1),$A$2:$A$400,0))-1,""))</f>
        <v/>
      </c>
      <c r="E181" s="115">
        <f>IF(B181="","",IFERROR(B181/INDEX($B$2:$B$400,MATCH(DATE(YEAR(A181)-1,MONTH(A181),1),$A$2:$A$400,0))-1,""))</f>
        <v/>
      </c>
    </row>
    <row r="182">
      <c r="A182" s="117" t="n"/>
      <c r="B182" s="118" t="n"/>
      <c r="C182" s="115">
        <f>IF(OR(B182="",B181=""),"",B182/B181-1)</f>
        <v/>
      </c>
      <c r="D182" s="115">
        <f>IF(B182="","",IFERROR(B182/INDEX($B$2:$B$400,MATCH(DATE(YEAR(A182)-1,12,1),$A$2:$A$400,0))-1,""))</f>
        <v/>
      </c>
      <c r="E182" s="115">
        <f>IF(B182="","",IFERROR(B182/INDEX($B$2:$B$400,MATCH(DATE(YEAR(A182)-1,MONTH(A182),1),$A$2:$A$400,0))-1,""))</f>
        <v/>
      </c>
    </row>
    <row r="183">
      <c r="A183" s="117" t="n"/>
      <c r="B183" s="118" t="n"/>
      <c r="C183" s="115">
        <f>IF(OR(B183="",B182=""),"",B183/B182-1)</f>
        <v/>
      </c>
      <c r="D183" s="115">
        <f>IF(B183="","",IFERROR(B183/INDEX($B$2:$B$400,MATCH(DATE(YEAR(A183)-1,12,1),$A$2:$A$400,0))-1,""))</f>
        <v/>
      </c>
      <c r="E183" s="115">
        <f>IF(B183="","",IFERROR(B183/INDEX($B$2:$B$400,MATCH(DATE(YEAR(A183)-1,MONTH(A183),1),$A$2:$A$400,0))-1,""))</f>
        <v/>
      </c>
    </row>
    <row r="184">
      <c r="A184" s="117" t="n"/>
      <c r="B184" s="118" t="n"/>
      <c r="C184" s="115">
        <f>IF(OR(B184="",B183=""),"",B184/B183-1)</f>
        <v/>
      </c>
      <c r="D184" s="115">
        <f>IF(B184="","",IFERROR(B184/INDEX($B$2:$B$400,MATCH(DATE(YEAR(A184)-1,12,1),$A$2:$A$400,0))-1,""))</f>
        <v/>
      </c>
      <c r="E184" s="115">
        <f>IF(B184="","",IFERROR(B184/INDEX($B$2:$B$400,MATCH(DATE(YEAR(A184)-1,MONTH(A184),1),$A$2:$A$400,0))-1,""))</f>
        <v/>
      </c>
    </row>
    <row r="185">
      <c r="A185" s="117" t="n"/>
      <c r="B185" s="118" t="n"/>
      <c r="C185" s="115">
        <f>IF(OR(B185="",B184=""),"",B185/B184-1)</f>
        <v/>
      </c>
      <c r="D185" s="115">
        <f>IF(B185="","",IFERROR(B185/INDEX($B$2:$B$400,MATCH(DATE(YEAR(A185)-1,12,1),$A$2:$A$400,0))-1,""))</f>
        <v/>
      </c>
      <c r="E185" s="115">
        <f>IF(B185="","",IFERROR(B185/INDEX($B$2:$B$400,MATCH(DATE(YEAR(A185)-1,MONTH(A185),1),$A$2:$A$400,0))-1,""))</f>
        <v/>
      </c>
    </row>
    <row r="186">
      <c r="A186" s="117" t="n"/>
      <c r="B186" s="118" t="n"/>
      <c r="C186" s="115">
        <f>IF(OR(B186="",B185=""),"",B186/B185-1)</f>
        <v/>
      </c>
      <c r="D186" s="115">
        <f>IF(B186="","",IFERROR(B186/INDEX($B$2:$B$400,MATCH(DATE(YEAR(A186)-1,12,1),$A$2:$A$400,0))-1,""))</f>
        <v/>
      </c>
      <c r="E186" s="115">
        <f>IF(B186="","",IFERROR(B186/INDEX($B$2:$B$400,MATCH(DATE(YEAR(A186)-1,MONTH(A186),1),$A$2:$A$400,0))-1,""))</f>
        <v/>
      </c>
    </row>
    <row r="187">
      <c r="A187" s="117" t="n"/>
      <c r="B187" s="118" t="n"/>
      <c r="C187" s="115">
        <f>IF(OR(B187="",B186=""),"",B187/B186-1)</f>
        <v/>
      </c>
      <c r="D187" s="115">
        <f>IF(B187="","",IFERROR(B187/INDEX($B$2:$B$400,MATCH(DATE(YEAR(A187)-1,12,1),$A$2:$A$400,0))-1,""))</f>
        <v/>
      </c>
      <c r="E187" s="115">
        <f>IF(B187="","",IFERROR(B187/INDEX($B$2:$B$400,MATCH(DATE(YEAR(A187)-1,MONTH(A187),1),$A$2:$A$400,0))-1,""))</f>
        <v/>
      </c>
    </row>
    <row r="188">
      <c r="A188" s="117" t="n"/>
      <c r="B188" s="118" t="n"/>
      <c r="C188" s="115">
        <f>IF(OR(B188="",B187=""),"",B188/B187-1)</f>
        <v/>
      </c>
      <c r="D188" s="115">
        <f>IF(B188="","",IFERROR(B188/INDEX($B$2:$B$400,MATCH(DATE(YEAR(A188)-1,12,1),$A$2:$A$400,0))-1,""))</f>
        <v/>
      </c>
      <c r="E188" s="115">
        <f>IF(B188="","",IFERROR(B188/INDEX($B$2:$B$400,MATCH(DATE(YEAR(A188)-1,MONTH(A188),1),$A$2:$A$400,0))-1,""))</f>
        <v/>
      </c>
    </row>
    <row r="189">
      <c r="A189" s="117" t="n"/>
      <c r="B189" s="118" t="n"/>
      <c r="C189" s="115">
        <f>IF(OR(B189="",B188=""),"",B189/B188-1)</f>
        <v/>
      </c>
      <c r="D189" s="115">
        <f>IF(B189="","",IFERROR(B189/INDEX($B$2:$B$400,MATCH(DATE(YEAR(A189)-1,12,1),$A$2:$A$400,0))-1,""))</f>
        <v/>
      </c>
      <c r="E189" s="115">
        <f>IF(B189="","",IFERROR(B189/INDEX($B$2:$B$400,MATCH(DATE(YEAR(A189)-1,MONTH(A189),1),$A$2:$A$400,0))-1,""))</f>
        <v/>
      </c>
    </row>
    <row r="190">
      <c r="A190" s="117" t="n"/>
      <c r="B190" s="118" t="n"/>
      <c r="C190" s="115">
        <f>IF(OR(B190="",B189=""),"",B190/B189-1)</f>
        <v/>
      </c>
      <c r="D190" s="115">
        <f>IF(B190="","",IFERROR(B190/INDEX($B$2:$B$400,MATCH(DATE(YEAR(A190)-1,12,1),$A$2:$A$400,0))-1,""))</f>
        <v/>
      </c>
      <c r="E190" s="115">
        <f>IF(B190="","",IFERROR(B190/INDEX($B$2:$B$400,MATCH(DATE(YEAR(A190)-1,MONTH(A190),1),$A$2:$A$400,0))-1,""))</f>
        <v/>
      </c>
    </row>
    <row r="191">
      <c r="A191" s="117" t="n"/>
      <c r="B191" s="118" t="n"/>
      <c r="C191" s="115">
        <f>IF(OR(B191="",B190=""),"",B191/B190-1)</f>
        <v/>
      </c>
      <c r="D191" s="115">
        <f>IF(B191="","",IFERROR(B191/INDEX($B$2:$B$400,MATCH(DATE(YEAR(A191)-1,12,1),$A$2:$A$400,0))-1,""))</f>
        <v/>
      </c>
      <c r="E191" s="115">
        <f>IF(B191="","",IFERROR(B191/INDEX($B$2:$B$400,MATCH(DATE(YEAR(A191)-1,MONTH(A191),1),$A$2:$A$400,0))-1,""))</f>
        <v/>
      </c>
    </row>
    <row r="192">
      <c r="A192" s="117" t="n"/>
      <c r="B192" s="118" t="n"/>
      <c r="C192" s="115">
        <f>IF(OR(B192="",B191=""),"",B192/B191-1)</f>
        <v/>
      </c>
      <c r="D192" s="115">
        <f>IF(B192="","",IFERROR(B192/INDEX($B$2:$B$400,MATCH(DATE(YEAR(A192)-1,12,1),$A$2:$A$400,0))-1,""))</f>
        <v/>
      </c>
      <c r="E192" s="115">
        <f>IF(B192="","",IFERROR(B192/INDEX($B$2:$B$400,MATCH(DATE(YEAR(A192)-1,MONTH(A192),1),$A$2:$A$400,0))-1,""))</f>
        <v/>
      </c>
    </row>
    <row r="193">
      <c r="A193" s="117" t="n"/>
      <c r="B193" s="118" t="n"/>
      <c r="C193" s="115">
        <f>IF(OR(B193="",B192=""),"",B193/B192-1)</f>
        <v/>
      </c>
      <c r="D193" s="115">
        <f>IF(B193="","",IFERROR(B193/INDEX($B$2:$B$400,MATCH(DATE(YEAR(A193)-1,12,1),$A$2:$A$400,0))-1,""))</f>
        <v/>
      </c>
      <c r="E193" s="115">
        <f>IF(B193="","",IFERROR(B193/INDEX($B$2:$B$400,MATCH(DATE(YEAR(A193)-1,MONTH(A193),1),$A$2:$A$400,0))-1,""))</f>
        <v/>
      </c>
    </row>
    <row r="194">
      <c r="A194" s="117" t="n"/>
      <c r="B194" s="118" t="n"/>
      <c r="C194" s="115">
        <f>IF(OR(B194="",B193=""),"",B194/B193-1)</f>
        <v/>
      </c>
      <c r="D194" s="115">
        <f>IF(B194="","",IFERROR(B194/INDEX($B$2:$B$400,MATCH(DATE(YEAR(A194)-1,12,1),$A$2:$A$400,0))-1,""))</f>
        <v/>
      </c>
      <c r="E194" s="115">
        <f>IF(B194="","",IFERROR(B194/INDEX($B$2:$B$400,MATCH(DATE(YEAR(A194)-1,MONTH(A194),1),$A$2:$A$400,0))-1,""))</f>
        <v/>
      </c>
    </row>
    <row r="195">
      <c r="A195" s="117" t="n"/>
      <c r="B195" s="118" t="n"/>
      <c r="C195" s="115">
        <f>IF(OR(B195="",B194=""),"",B195/B194-1)</f>
        <v/>
      </c>
      <c r="D195" s="115">
        <f>IF(B195="","",IFERROR(B195/INDEX($B$2:$B$400,MATCH(DATE(YEAR(A195)-1,12,1),$A$2:$A$400,0))-1,""))</f>
        <v/>
      </c>
      <c r="E195" s="115">
        <f>IF(B195="","",IFERROR(B195/INDEX($B$2:$B$400,MATCH(DATE(YEAR(A195)-1,MONTH(A195),1),$A$2:$A$400,0))-1,""))</f>
        <v/>
      </c>
    </row>
    <row r="196">
      <c r="A196" s="117" t="n"/>
      <c r="B196" s="118" t="n"/>
      <c r="C196" s="115">
        <f>IF(OR(B196="",B195=""),"",B196/B195-1)</f>
        <v/>
      </c>
      <c r="D196" s="115">
        <f>IF(B196="","",IFERROR(B196/INDEX($B$2:$B$400,MATCH(DATE(YEAR(A196)-1,12,1),$A$2:$A$400,0))-1,""))</f>
        <v/>
      </c>
      <c r="E196" s="115">
        <f>IF(B196="","",IFERROR(B196/INDEX($B$2:$B$400,MATCH(DATE(YEAR(A196)-1,MONTH(A196),1),$A$2:$A$400,0))-1,""))</f>
        <v/>
      </c>
    </row>
    <row r="197">
      <c r="A197" s="117" t="n"/>
      <c r="B197" s="118" t="n"/>
      <c r="C197" s="115">
        <f>IF(OR(B197="",B196=""),"",B197/B196-1)</f>
        <v/>
      </c>
      <c r="D197" s="115">
        <f>IF(B197="","",IFERROR(B197/INDEX($B$2:$B$400,MATCH(DATE(YEAR(A197)-1,12,1),$A$2:$A$400,0))-1,""))</f>
        <v/>
      </c>
      <c r="E197" s="115">
        <f>IF(B197="","",IFERROR(B197/INDEX($B$2:$B$400,MATCH(DATE(YEAR(A197)-1,MONTH(A197),1),$A$2:$A$400,0))-1,""))</f>
        <v/>
      </c>
    </row>
    <row r="198">
      <c r="A198" s="117" t="n"/>
      <c r="B198" s="118" t="n"/>
      <c r="C198" s="115">
        <f>IF(OR(B198="",B197=""),"",B198/B197-1)</f>
        <v/>
      </c>
      <c r="D198" s="115">
        <f>IF(B198="","",IFERROR(B198/INDEX($B$2:$B$400,MATCH(DATE(YEAR(A198)-1,12,1),$A$2:$A$400,0))-1,""))</f>
        <v/>
      </c>
      <c r="E198" s="115">
        <f>IF(B198="","",IFERROR(B198/INDEX($B$2:$B$400,MATCH(DATE(YEAR(A198)-1,MONTH(A198),1),$A$2:$A$400,0))-1,""))</f>
        <v/>
      </c>
    </row>
    <row r="199">
      <c r="A199" s="117" t="n"/>
      <c r="B199" s="118" t="n"/>
      <c r="C199" s="115">
        <f>IF(OR(B199="",B198=""),"",B199/B198-1)</f>
        <v/>
      </c>
      <c r="D199" s="115">
        <f>IF(B199="","",IFERROR(B199/INDEX($B$2:$B$400,MATCH(DATE(YEAR(A199)-1,12,1),$A$2:$A$400,0))-1,""))</f>
        <v/>
      </c>
      <c r="E199" s="115">
        <f>IF(B199="","",IFERROR(B199/INDEX($B$2:$B$400,MATCH(DATE(YEAR(A199)-1,MONTH(A199),1),$A$2:$A$400,0))-1,""))</f>
        <v/>
      </c>
    </row>
    <row r="200">
      <c r="A200" s="117" t="n"/>
      <c r="B200" s="118" t="n"/>
      <c r="C200" s="115">
        <f>IF(OR(B200="",B199=""),"",B200/B199-1)</f>
        <v/>
      </c>
      <c r="D200" s="115">
        <f>IF(B200="","",IFERROR(B200/INDEX($B$2:$B$400,MATCH(DATE(YEAR(A200)-1,12,1),$A$2:$A$400,0))-1,""))</f>
        <v/>
      </c>
      <c r="E200" s="115">
        <f>IF(B200="","",IFERROR(B200/INDEX($B$2:$B$400,MATCH(DATE(YEAR(A200)-1,MONTH(A200),1),$A$2:$A$400,0))-1,""))</f>
        <v/>
      </c>
    </row>
    <row r="201">
      <c r="A201" s="117" t="n"/>
      <c r="B201" s="118" t="n"/>
      <c r="C201" s="115">
        <f>IF(OR(B201="",B200=""),"",B201/B200-1)</f>
        <v/>
      </c>
      <c r="D201" s="115">
        <f>IF(B201="","",IFERROR(B201/INDEX($B$2:$B$400,MATCH(DATE(YEAR(A201)-1,12,1),$A$2:$A$400,0))-1,""))</f>
        <v/>
      </c>
      <c r="E201" s="115">
        <f>IF(B201="","",IFERROR(B201/INDEX($B$2:$B$400,MATCH(DATE(YEAR(A201)-1,MONTH(A201),1),$A$2:$A$400,0))-1,""))</f>
        <v/>
      </c>
    </row>
    <row r="202">
      <c r="A202" s="117" t="n"/>
      <c r="B202" s="118" t="n"/>
      <c r="C202" s="115">
        <f>IF(OR(B202="",B201=""),"",B202/B201-1)</f>
        <v/>
      </c>
      <c r="D202" s="115">
        <f>IF(B202="","",IFERROR(B202/INDEX($B$2:$B$400,MATCH(DATE(YEAR(A202)-1,12,1),$A$2:$A$400,0))-1,""))</f>
        <v/>
      </c>
      <c r="E202" s="115">
        <f>IF(B202="","",IFERROR(B202/INDEX($B$2:$B$400,MATCH(DATE(YEAR(A202)-1,MONTH(A202),1),$A$2:$A$400,0))-1,""))</f>
        <v/>
      </c>
    </row>
    <row r="203">
      <c r="A203" s="117" t="n"/>
      <c r="B203" s="118" t="n"/>
      <c r="C203" s="115">
        <f>IF(OR(B203="",B202=""),"",B203/B202-1)</f>
        <v/>
      </c>
      <c r="D203" s="115">
        <f>IF(B203="","",IFERROR(B203/INDEX($B$2:$B$400,MATCH(DATE(YEAR(A203)-1,12,1),$A$2:$A$400,0))-1,""))</f>
        <v/>
      </c>
      <c r="E203" s="115">
        <f>IF(B203="","",IFERROR(B203/INDEX($B$2:$B$400,MATCH(DATE(YEAR(A203)-1,MONTH(A203),1),$A$2:$A$400,0))-1,""))</f>
        <v/>
      </c>
    </row>
    <row r="204">
      <c r="A204" s="117" t="n"/>
      <c r="B204" s="118" t="n"/>
      <c r="C204" s="115">
        <f>IF(OR(B204="",B203=""),"",B204/B203-1)</f>
        <v/>
      </c>
      <c r="D204" s="115">
        <f>IF(B204="","",IFERROR(B204/INDEX($B$2:$B$400,MATCH(DATE(YEAR(A204)-1,12,1),$A$2:$A$400,0))-1,""))</f>
        <v/>
      </c>
      <c r="E204" s="115">
        <f>IF(B204="","",IFERROR(B204/INDEX($B$2:$B$400,MATCH(DATE(YEAR(A204)-1,MONTH(A204),1),$A$2:$A$400,0))-1,""))</f>
        <v/>
      </c>
    </row>
    <row r="205">
      <c r="A205" s="117" t="n"/>
      <c r="B205" s="118" t="n"/>
      <c r="C205" s="115">
        <f>IF(OR(B205="",B204=""),"",B205/B204-1)</f>
        <v/>
      </c>
      <c r="D205" s="115">
        <f>IF(B205="","",IFERROR(B205/INDEX($B$2:$B$400,MATCH(DATE(YEAR(A205)-1,12,1),$A$2:$A$400,0))-1,""))</f>
        <v/>
      </c>
      <c r="E205" s="115">
        <f>IF(B205="","",IFERROR(B205/INDEX($B$2:$B$400,MATCH(DATE(YEAR(A205)-1,MONTH(A205),1),$A$2:$A$400,0))-1,""))</f>
        <v/>
      </c>
    </row>
    <row r="206">
      <c r="A206" s="117" t="n"/>
      <c r="B206" s="118" t="n"/>
      <c r="C206" s="115">
        <f>IF(OR(B206="",B205=""),"",B206/B205-1)</f>
        <v/>
      </c>
      <c r="D206" s="115">
        <f>IF(B206="","",IFERROR(B206/INDEX($B$2:$B$400,MATCH(DATE(YEAR(A206)-1,12,1),$A$2:$A$400,0))-1,""))</f>
        <v/>
      </c>
      <c r="E206" s="115">
        <f>IF(B206="","",IFERROR(B206/INDEX($B$2:$B$400,MATCH(DATE(YEAR(A206)-1,MONTH(A206),1),$A$2:$A$400,0))-1,""))</f>
        <v/>
      </c>
    </row>
    <row r="207">
      <c r="A207" s="117" t="n"/>
      <c r="B207" s="118" t="n"/>
      <c r="C207" s="115">
        <f>IF(OR(B207="",B206=""),"",B207/B206-1)</f>
        <v/>
      </c>
      <c r="D207" s="115">
        <f>IF(B207="","",IFERROR(B207/INDEX($B$2:$B$400,MATCH(DATE(YEAR(A207)-1,12,1),$A$2:$A$400,0))-1,""))</f>
        <v/>
      </c>
      <c r="E207" s="115">
        <f>IF(B207="","",IFERROR(B207/INDEX($B$2:$B$400,MATCH(DATE(YEAR(A207)-1,MONTH(A207),1),$A$2:$A$400,0))-1,""))</f>
        <v/>
      </c>
    </row>
    <row r="208">
      <c r="A208" s="117" t="n"/>
      <c r="B208" s="118" t="n"/>
      <c r="C208" s="115">
        <f>IF(OR(B208="",B207=""),"",B208/B207-1)</f>
        <v/>
      </c>
      <c r="D208" s="115">
        <f>IF(B208="","",IFERROR(B208/INDEX($B$2:$B$400,MATCH(DATE(YEAR(A208)-1,12,1),$A$2:$A$400,0))-1,""))</f>
        <v/>
      </c>
      <c r="E208" s="115">
        <f>IF(B208="","",IFERROR(B208/INDEX($B$2:$B$400,MATCH(DATE(YEAR(A208)-1,MONTH(A208),1),$A$2:$A$400,0))-1,""))</f>
        <v/>
      </c>
    </row>
    <row r="209">
      <c r="A209" s="117" t="n"/>
      <c r="B209" s="118" t="n"/>
      <c r="C209" s="115">
        <f>IF(OR(B209="",B208=""),"",B209/B208-1)</f>
        <v/>
      </c>
      <c r="D209" s="115">
        <f>IF(B209="","",IFERROR(B209/INDEX($B$2:$B$400,MATCH(DATE(YEAR(A209)-1,12,1),$A$2:$A$400,0))-1,""))</f>
        <v/>
      </c>
      <c r="E209" s="115">
        <f>IF(B209="","",IFERROR(B209/INDEX($B$2:$B$400,MATCH(DATE(YEAR(A209)-1,MONTH(A209),1),$A$2:$A$400,0))-1,""))</f>
        <v/>
      </c>
    </row>
    <row r="210">
      <c r="A210" s="117" t="n"/>
      <c r="B210" s="118" t="n"/>
      <c r="C210" s="115">
        <f>IF(OR(B210="",B209=""),"",B210/B209-1)</f>
        <v/>
      </c>
      <c r="D210" s="115">
        <f>IF(B210="","",IFERROR(B210/INDEX($B$2:$B$400,MATCH(DATE(YEAR(A210)-1,12,1),$A$2:$A$400,0))-1,""))</f>
        <v/>
      </c>
      <c r="E210" s="115">
        <f>IF(B210="","",IFERROR(B210/INDEX($B$2:$B$400,MATCH(DATE(YEAR(A210)-1,MONTH(A210),1),$A$2:$A$400,0))-1,""))</f>
        <v/>
      </c>
    </row>
    <row r="211">
      <c r="A211" s="117" t="n"/>
      <c r="B211" s="118" t="n"/>
      <c r="C211" s="115">
        <f>IF(OR(B211="",B210=""),"",B211/B210-1)</f>
        <v/>
      </c>
      <c r="D211" s="115">
        <f>IF(B211="","",IFERROR(B211/INDEX($B$2:$B$400,MATCH(DATE(YEAR(A211)-1,12,1),$A$2:$A$400,0))-1,""))</f>
        <v/>
      </c>
      <c r="E211" s="115">
        <f>IF(B211="","",IFERROR(B211/INDEX($B$2:$B$400,MATCH(DATE(YEAR(A211)-1,MONTH(A211),1),$A$2:$A$400,0))-1,""))</f>
        <v/>
      </c>
    </row>
    <row r="212">
      <c r="A212" s="117" t="n"/>
      <c r="B212" s="118" t="n"/>
      <c r="C212" s="115">
        <f>IF(OR(B212="",B211=""),"",B212/B211-1)</f>
        <v/>
      </c>
      <c r="D212" s="115">
        <f>IF(B212="","",IFERROR(B212/INDEX($B$2:$B$400,MATCH(DATE(YEAR(A212)-1,12,1),$A$2:$A$400,0))-1,""))</f>
        <v/>
      </c>
      <c r="E212" s="115">
        <f>IF(B212="","",IFERROR(B212/INDEX($B$2:$B$400,MATCH(DATE(YEAR(A212)-1,MONTH(A212),1),$A$2:$A$400,0))-1,""))</f>
        <v/>
      </c>
    </row>
    <row r="213">
      <c r="A213" s="117" t="n"/>
      <c r="B213" s="118" t="n"/>
      <c r="C213" s="115">
        <f>IF(OR(B213="",B212=""),"",B213/B212-1)</f>
        <v/>
      </c>
      <c r="D213" s="115">
        <f>IF(B213="","",IFERROR(B213/INDEX($B$2:$B$400,MATCH(DATE(YEAR(A213)-1,12,1),$A$2:$A$400,0))-1,""))</f>
        <v/>
      </c>
      <c r="E213" s="115">
        <f>IF(B213="","",IFERROR(B213/INDEX($B$2:$B$400,MATCH(DATE(YEAR(A213)-1,MONTH(A213),1),$A$2:$A$400,0))-1,""))</f>
        <v/>
      </c>
    </row>
    <row r="214">
      <c r="A214" s="117" t="n"/>
      <c r="B214" s="118" t="n"/>
      <c r="C214" s="115">
        <f>IF(OR(B214="",B213=""),"",B214/B213-1)</f>
        <v/>
      </c>
      <c r="D214" s="115">
        <f>IF(B214="","",IFERROR(B214/INDEX($B$2:$B$400,MATCH(DATE(YEAR(A214)-1,12,1),$A$2:$A$400,0))-1,""))</f>
        <v/>
      </c>
      <c r="E214" s="115">
        <f>IF(B214="","",IFERROR(B214/INDEX($B$2:$B$400,MATCH(DATE(YEAR(A214)-1,MONTH(A214),1),$A$2:$A$400,0))-1,""))</f>
        <v/>
      </c>
    </row>
    <row r="215">
      <c r="A215" s="117" t="n"/>
      <c r="B215" s="118" t="n"/>
      <c r="C215" s="115">
        <f>IF(OR(B215="",B214=""),"",B215/B214-1)</f>
        <v/>
      </c>
      <c r="D215" s="115">
        <f>IF(B215="","",IFERROR(B215/INDEX($B$2:$B$400,MATCH(DATE(YEAR(A215)-1,12,1),$A$2:$A$400,0))-1,""))</f>
        <v/>
      </c>
      <c r="E215" s="115">
        <f>IF(B215="","",IFERROR(B215/INDEX($B$2:$B$400,MATCH(DATE(YEAR(A215)-1,MONTH(A215),1),$A$2:$A$400,0))-1,""))</f>
        <v/>
      </c>
    </row>
    <row r="216">
      <c r="A216" s="117" t="n"/>
      <c r="B216" s="118" t="n"/>
      <c r="C216" s="115">
        <f>IF(OR(B216="",B215=""),"",B216/B215-1)</f>
        <v/>
      </c>
      <c r="D216" s="115">
        <f>IF(B216="","",IFERROR(B216/INDEX($B$2:$B$400,MATCH(DATE(YEAR(A216)-1,12,1),$A$2:$A$400,0))-1,""))</f>
        <v/>
      </c>
      <c r="E216" s="115">
        <f>IF(B216="","",IFERROR(B216/INDEX($B$2:$B$400,MATCH(DATE(YEAR(A216)-1,MONTH(A216),1),$A$2:$A$400,0))-1,""))</f>
        <v/>
      </c>
    </row>
    <row r="217">
      <c r="A217" s="117" t="n"/>
      <c r="B217" s="118" t="n"/>
      <c r="C217" s="115">
        <f>IF(OR(B217="",B216=""),"",B217/B216-1)</f>
        <v/>
      </c>
      <c r="D217" s="115">
        <f>IF(B217="","",IFERROR(B217/INDEX($B$2:$B$400,MATCH(DATE(YEAR(A217)-1,12,1),$A$2:$A$400,0))-1,""))</f>
        <v/>
      </c>
      <c r="E217" s="115">
        <f>IF(B217="","",IFERROR(B217/INDEX($B$2:$B$400,MATCH(DATE(YEAR(A217)-1,MONTH(A217),1),$A$2:$A$400,0))-1,""))</f>
        <v/>
      </c>
    </row>
    <row r="218">
      <c r="A218" s="117" t="n"/>
      <c r="B218" s="118" t="n"/>
      <c r="C218" s="115">
        <f>IF(OR(B218="",B217=""),"",B218/B217-1)</f>
        <v/>
      </c>
      <c r="D218" s="115">
        <f>IF(B218="","",IFERROR(B218/INDEX($B$2:$B$400,MATCH(DATE(YEAR(A218)-1,12,1),$A$2:$A$400,0))-1,""))</f>
        <v/>
      </c>
      <c r="E218" s="115">
        <f>IF(B218="","",IFERROR(B218/INDEX($B$2:$B$400,MATCH(DATE(YEAR(A218)-1,MONTH(A218),1),$A$2:$A$400,0))-1,""))</f>
        <v/>
      </c>
    </row>
    <row r="219">
      <c r="A219" s="117" t="n"/>
      <c r="B219" s="118" t="n"/>
      <c r="C219" s="115">
        <f>IF(OR(B219="",B218=""),"",B219/B218-1)</f>
        <v/>
      </c>
      <c r="D219" s="115">
        <f>IF(B219="","",IFERROR(B219/INDEX($B$2:$B$400,MATCH(DATE(YEAR(A219)-1,12,1),$A$2:$A$400,0))-1,""))</f>
        <v/>
      </c>
      <c r="E219" s="115">
        <f>IF(B219="","",IFERROR(B219/INDEX($B$2:$B$400,MATCH(DATE(YEAR(A219)-1,MONTH(A219),1),$A$2:$A$400,0))-1,""))</f>
        <v/>
      </c>
    </row>
    <row r="220">
      <c r="A220" s="117" t="n"/>
      <c r="B220" s="118" t="n"/>
      <c r="C220" s="115">
        <f>IF(OR(B220="",B219=""),"",B220/B219-1)</f>
        <v/>
      </c>
      <c r="D220" s="115">
        <f>IF(B220="","",IFERROR(B220/INDEX($B$2:$B$400,MATCH(DATE(YEAR(A220)-1,12,1),$A$2:$A$400,0))-1,""))</f>
        <v/>
      </c>
      <c r="E220" s="115">
        <f>IF(B220="","",IFERROR(B220/INDEX($B$2:$B$400,MATCH(DATE(YEAR(A220)-1,MONTH(A220),1),$A$2:$A$400,0))-1,""))</f>
        <v/>
      </c>
    </row>
    <row r="221">
      <c r="A221" s="117" t="n"/>
      <c r="B221" s="118" t="n"/>
      <c r="C221" s="115">
        <f>IF(OR(B221="",B220=""),"",B221/B220-1)</f>
        <v/>
      </c>
      <c r="D221" s="115">
        <f>IF(B221="","",IFERROR(B221/INDEX($B$2:$B$400,MATCH(DATE(YEAR(A221)-1,12,1),$A$2:$A$400,0))-1,""))</f>
        <v/>
      </c>
      <c r="E221" s="115">
        <f>IF(B221="","",IFERROR(B221/INDEX($B$2:$B$400,MATCH(DATE(YEAR(A221)-1,MONTH(A221),1),$A$2:$A$400,0))-1,""))</f>
        <v/>
      </c>
    </row>
    <row r="222">
      <c r="A222" s="117" t="n"/>
      <c r="B222" s="118" t="n"/>
      <c r="C222" s="115">
        <f>IF(OR(B222="",B221=""),"",B222/B221-1)</f>
        <v/>
      </c>
      <c r="D222" s="115">
        <f>IF(B222="","",IFERROR(B222/INDEX($B$2:$B$400,MATCH(DATE(YEAR(A222)-1,12,1),$A$2:$A$400,0))-1,""))</f>
        <v/>
      </c>
      <c r="E222" s="115">
        <f>IF(B222="","",IFERROR(B222/INDEX($B$2:$B$400,MATCH(DATE(YEAR(A222)-1,MONTH(A222),1),$A$2:$A$400,0))-1,""))</f>
        <v/>
      </c>
    </row>
    <row r="223">
      <c r="A223" s="117" t="n"/>
      <c r="B223" s="118" t="n"/>
      <c r="C223" s="115">
        <f>IF(OR(B223="",B222=""),"",B223/B222-1)</f>
        <v/>
      </c>
      <c r="D223" s="115">
        <f>IF(B223="","",IFERROR(B223/INDEX($B$2:$B$400,MATCH(DATE(YEAR(A223)-1,12,1),$A$2:$A$400,0))-1,""))</f>
        <v/>
      </c>
      <c r="E223" s="115">
        <f>IF(B223="","",IFERROR(B223/INDEX($B$2:$B$400,MATCH(DATE(YEAR(A223)-1,MONTH(A223),1),$A$2:$A$400,0))-1,""))</f>
        <v/>
      </c>
    </row>
    <row r="224">
      <c r="A224" s="117" t="n"/>
      <c r="B224" s="118" t="n"/>
      <c r="C224" s="115">
        <f>IF(OR(B224="",B223=""),"",B224/B223-1)</f>
        <v/>
      </c>
      <c r="D224" s="115">
        <f>IF(B224="","",IFERROR(B224/INDEX($B$2:$B$400,MATCH(DATE(YEAR(A224)-1,12,1),$A$2:$A$400,0))-1,""))</f>
        <v/>
      </c>
      <c r="E224" s="115">
        <f>IF(B224="","",IFERROR(B224/INDEX($B$2:$B$400,MATCH(DATE(YEAR(A224)-1,MONTH(A224),1),$A$2:$A$400,0))-1,""))</f>
        <v/>
      </c>
    </row>
    <row r="225">
      <c r="A225" s="117" t="n"/>
      <c r="B225" s="118" t="n"/>
      <c r="C225" s="115">
        <f>IF(OR(B225="",B224=""),"",B225/B224-1)</f>
        <v/>
      </c>
      <c r="D225" s="115">
        <f>IF(B225="","",IFERROR(B225/INDEX($B$2:$B$400,MATCH(DATE(YEAR(A225)-1,12,1),$A$2:$A$400,0))-1,""))</f>
        <v/>
      </c>
      <c r="E225" s="115">
        <f>IF(B225="","",IFERROR(B225/INDEX($B$2:$B$400,MATCH(DATE(YEAR(A225)-1,MONTH(A225),1),$A$2:$A$400,0))-1,""))</f>
        <v/>
      </c>
    </row>
    <row r="226">
      <c r="A226" s="117" t="n"/>
      <c r="B226" s="118" t="n"/>
      <c r="C226" s="115">
        <f>IF(OR(B226="",B225=""),"",B226/B225-1)</f>
        <v/>
      </c>
      <c r="D226" s="115">
        <f>IF(B226="","",IFERROR(B226/INDEX($B$2:$B$400,MATCH(DATE(YEAR(A226)-1,12,1),$A$2:$A$400,0))-1,""))</f>
        <v/>
      </c>
      <c r="E226" s="115">
        <f>IF(B226="","",IFERROR(B226/INDEX($B$2:$B$400,MATCH(DATE(YEAR(A226)-1,MONTH(A226),1),$A$2:$A$400,0))-1,""))</f>
        <v/>
      </c>
    </row>
    <row r="227">
      <c r="A227" s="117" t="n"/>
      <c r="B227" s="118" t="n"/>
      <c r="C227" s="115">
        <f>IF(OR(B227="",B226=""),"",B227/B226-1)</f>
        <v/>
      </c>
      <c r="D227" s="115">
        <f>IF(B227="","",IFERROR(B227/INDEX($B$2:$B$400,MATCH(DATE(YEAR(A227)-1,12,1),$A$2:$A$400,0))-1,""))</f>
        <v/>
      </c>
      <c r="E227" s="115">
        <f>IF(B227="","",IFERROR(B227/INDEX($B$2:$B$400,MATCH(DATE(YEAR(A227)-1,MONTH(A227),1),$A$2:$A$400,0))-1,""))</f>
        <v/>
      </c>
    </row>
    <row r="228">
      <c r="A228" s="117" t="n"/>
      <c r="B228" s="118" t="n"/>
      <c r="C228" s="115">
        <f>IF(OR(B228="",B227=""),"",B228/B227-1)</f>
        <v/>
      </c>
      <c r="D228" s="115">
        <f>IF(B228="","",IFERROR(B228/INDEX($B$2:$B$400,MATCH(DATE(YEAR(A228)-1,12,1),$A$2:$A$400,0))-1,""))</f>
        <v/>
      </c>
      <c r="E228" s="115">
        <f>IF(B228="","",IFERROR(B228/INDEX($B$2:$B$400,MATCH(DATE(YEAR(A228)-1,MONTH(A228),1),$A$2:$A$400,0))-1,""))</f>
        <v/>
      </c>
    </row>
    <row r="229">
      <c r="A229" s="117" t="n"/>
      <c r="B229" s="118" t="n"/>
      <c r="C229" s="115">
        <f>IF(OR(B229="",B228=""),"",B229/B228-1)</f>
        <v/>
      </c>
      <c r="D229" s="115">
        <f>IF(B229="","",IFERROR(B229/INDEX($B$2:$B$400,MATCH(DATE(YEAR(A229)-1,12,1),$A$2:$A$400,0))-1,""))</f>
        <v/>
      </c>
      <c r="E229" s="115">
        <f>IF(B229="","",IFERROR(B229/INDEX($B$2:$B$400,MATCH(DATE(YEAR(A229)-1,MONTH(A229),1),$A$2:$A$400,0))-1,""))</f>
        <v/>
      </c>
    </row>
    <row r="230">
      <c r="A230" s="117" t="n"/>
      <c r="B230" s="118" t="n"/>
      <c r="C230" s="115">
        <f>IF(OR(B230="",B229=""),"",B230/B229-1)</f>
        <v/>
      </c>
      <c r="D230" s="115">
        <f>IF(B230="","",IFERROR(B230/INDEX($B$2:$B$400,MATCH(DATE(YEAR(A230)-1,12,1),$A$2:$A$400,0))-1,""))</f>
        <v/>
      </c>
      <c r="E230" s="115">
        <f>IF(B230="","",IFERROR(B230/INDEX($B$2:$B$400,MATCH(DATE(YEAR(A230)-1,MONTH(A230),1),$A$2:$A$400,0))-1,""))</f>
        <v/>
      </c>
    </row>
    <row r="231">
      <c r="A231" s="117" t="n"/>
      <c r="B231" s="118" t="n"/>
      <c r="C231" s="115">
        <f>IF(OR(B231="",B230=""),"",B231/B230-1)</f>
        <v/>
      </c>
      <c r="D231" s="115">
        <f>IF(B231="","",IFERROR(B231/INDEX($B$2:$B$400,MATCH(DATE(YEAR(A231)-1,12,1),$A$2:$A$400,0))-1,""))</f>
        <v/>
      </c>
      <c r="E231" s="115">
        <f>IF(B231="","",IFERROR(B231/INDEX($B$2:$B$400,MATCH(DATE(YEAR(A231)-1,MONTH(A231),1),$A$2:$A$400,0))-1,""))</f>
        <v/>
      </c>
    </row>
    <row r="232">
      <c r="A232" s="117" t="n"/>
      <c r="B232" s="118" t="n"/>
      <c r="C232" s="115">
        <f>IF(OR(B232="",B231=""),"",B232/B231-1)</f>
        <v/>
      </c>
      <c r="D232" s="115">
        <f>IF(B232="","",IFERROR(B232/INDEX($B$2:$B$400,MATCH(DATE(YEAR(A232)-1,12,1),$A$2:$A$400,0))-1,""))</f>
        <v/>
      </c>
      <c r="E232" s="115">
        <f>IF(B232="","",IFERROR(B232/INDEX($B$2:$B$400,MATCH(DATE(YEAR(A232)-1,MONTH(A232),1),$A$2:$A$400,0))-1,""))</f>
        <v/>
      </c>
    </row>
    <row r="233">
      <c r="A233" s="117" t="n"/>
      <c r="B233" s="118" t="n"/>
      <c r="C233" s="115">
        <f>IF(OR(B233="",B232=""),"",B233/B232-1)</f>
        <v/>
      </c>
      <c r="D233" s="115">
        <f>IF(B233="","",IFERROR(B233/INDEX($B$2:$B$400,MATCH(DATE(YEAR(A233)-1,12,1),$A$2:$A$400,0))-1,""))</f>
        <v/>
      </c>
      <c r="E233" s="115">
        <f>IF(B233="","",IFERROR(B233/INDEX($B$2:$B$400,MATCH(DATE(YEAR(A233)-1,MONTH(A233),1),$A$2:$A$400,0))-1,""))</f>
        <v/>
      </c>
    </row>
    <row r="234">
      <c r="A234" s="117" t="n"/>
      <c r="B234" s="118" t="n"/>
      <c r="C234" s="115">
        <f>IF(OR(B234="",B233=""),"",B234/B233-1)</f>
        <v/>
      </c>
      <c r="D234" s="115">
        <f>IF(B234="","",IFERROR(B234/INDEX($B$2:$B$400,MATCH(DATE(YEAR(A234)-1,12,1),$A$2:$A$400,0))-1,""))</f>
        <v/>
      </c>
      <c r="E234" s="115">
        <f>IF(B234="","",IFERROR(B234/INDEX($B$2:$B$400,MATCH(DATE(YEAR(A234)-1,MONTH(A234),1),$A$2:$A$400,0))-1,""))</f>
        <v/>
      </c>
    </row>
    <row r="235">
      <c r="A235" s="117" t="n"/>
      <c r="B235" s="118" t="n"/>
      <c r="C235" s="115">
        <f>IF(OR(B235="",B234=""),"",B235/B234-1)</f>
        <v/>
      </c>
      <c r="D235" s="115">
        <f>IF(B235="","",IFERROR(B235/INDEX($B$2:$B$400,MATCH(DATE(YEAR(A235)-1,12,1),$A$2:$A$400,0))-1,""))</f>
        <v/>
      </c>
      <c r="E235" s="115">
        <f>IF(B235="","",IFERROR(B235/INDEX($B$2:$B$400,MATCH(DATE(YEAR(A235)-1,MONTH(A235),1),$A$2:$A$400,0))-1,""))</f>
        <v/>
      </c>
    </row>
    <row r="236">
      <c r="A236" s="117" t="n"/>
      <c r="B236" s="118" t="n"/>
      <c r="C236" s="115">
        <f>IF(OR(B236="",B235=""),"",B236/B235-1)</f>
        <v/>
      </c>
      <c r="D236" s="115">
        <f>IF(B236="","",IFERROR(B236/INDEX($B$2:$B$400,MATCH(DATE(YEAR(A236)-1,12,1),$A$2:$A$400,0))-1,""))</f>
        <v/>
      </c>
      <c r="E236" s="115">
        <f>IF(B236="","",IFERROR(B236/INDEX($B$2:$B$400,MATCH(DATE(YEAR(A236)-1,MONTH(A236),1),$A$2:$A$400,0))-1,""))</f>
        <v/>
      </c>
    </row>
    <row r="237">
      <c r="A237" s="117" t="n"/>
      <c r="B237" s="118" t="n"/>
      <c r="C237" s="115">
        <f>IF(OR(B237="",B236=""),"",B237/B236-1)</f>
        <v/>
      </c>
      <c r="D237" s="115">
        <f>IF(B237="","",IFERROR(B237/INDEX($B$2:$B$400,MATCH(DATE(YEAR(A237)-1,12,1),$A$2:$A$400,0))-1,""))</f>
        <v/>
      </c>
      <c r="E237" s="115">
        <f>IF(B237="","",IFERROR(B237/INDEX($B$2:$B$400,MATCH(DATE(YEAR(A237)-1,MONTH(A237),1),$A$2:$A$400,0))-1,""))</f>
        <v/>
      </c>
    </row>
    <row r="238">
      <c r="A238" s="117" t="n"/>
      <c r="B238" s="118" t="n"/>
      <c r="C238" s="115">
        <f>IF(OR(B238="",B237=""),"",B238/B237-1)</f>
        <v/>
      </c>
      <c r="D238" s="115">
        <f>IF(B238="","",IFERROR(B238/INDEX($B$2:$B$400,MATCH(DATE(YEAR(A238)-1,12,1),$A$2:$A$400,0))-1,""))</f>
        <v/>
      </c>
      <c r="E238" s="115">
        <f>IF(B238="","",IFERROR(B238/INDEX($B$2:$B$400,MATCH(DATE(YEAR(A238)-1,MONTH(A238),1),$A$2:$A$400,0))-1,""))</f>
        <v/>
      </c>
    </row>
    <row r="239">
      <c r="A239" s="117" t="n"/>
      <c r="B239" s="118" t="n"/>
      <c r="C239" s="115">
        <f>IF(OR(B239="",B238=""),"",B239/B238-1)</f>
        <v/>
      </c>
      <c r="D239" s="115">
        <f>IF(B239="","",IFERROR(B239/INDEX($B$2:$B$400,MATCH(DATE(YEAR(A239)-1,12,1),$A$2:$A$400,0))-1,""))</f>
        <v/>
      </c>
      <c r="E239" s="115">
        <f>IF(B239="","",IFERROR(B239/INDEX($B$2:$B$400,MATCH(DATE(YEAR(A239)-1,MONTH(A239),1),$A$2:$A$400,0))-1,""))</f>
        <v/>
      </c>
    </row>
    <row r="240">
      <c r="A240" s="117" t="n"/>
      <c r="B240" s="118" t="n"/>
      <c r="C240" s="115">
        <f>IF(OR(B240="",B239=""),"",B240/B239-1)</f>
        <v/>
      </c>
      <c r="D240" s="115">
        <f>IF(B240="","",IFERROR(B240/INDEX($B$2:$B$400,MATCH(DATE(YEAR(A240)-1,12,1),$A$2:$A$400,0))-1,""))</f>
        <v/>
      </c>
      <c r="E240" s="115">
        <f>IF(B240="","",IFERROR(B240/INDEX($B$2:$B$400,MATCH(DATE(YEAR(A240)-1,MONTH(A240),1),$A$2:$A$400,0))-1,""))</f>
        <v/>
      </c>
    </row>
    <row r="241">
      <c r="A241" s="117" t="n"/>
      <c r="B241" s="118" t="n"/>
      <c r="C241" s="115">
        <f>IF(OR(B241="",B240=""),"",B241/B240-1)</f>
        <v/>
      </c>
      <c r="D241" s="115">
        <f>IF(B241="","",IFERROR(B241/INDEX($B$2:$B$400,MATCH(DATE(YEAR(A241)-1,12,1),$A$2:$A$400,0))-1,""))</f>
        <v/>
      </c>
      <c r="E241" s="115">
        <f>IF(B241="","",IFERROR(B241/INDEX($B$2:$B$400,MATCH(DATE(YEAR(A241)-1,MONTH(A241),1),$A$2:$A$400,0))-1,""))</f>
        <v/>
      </c>
    </row>
    <row r="242">
      <c r="A242" s="117" t="n"/>
      <c r="B242" s="118" t="n"/>
      <c r="C242" s="115">
        <f>IF(OR(B242="",B241=""),"",B242/B241-1)</f>
        <v/>
      </c>
      <c r="D242" s="115">
        <f>IF(B242="","",IFERROR(B242/INDEX($B$2:$B$400,MATCH(DATE(YEAR(A242)-1,12,1),$A$2:$A$400,0))-1,""))</f>
        <v/>
      </c>
      <c r="E242" s="115">
        <f>IF(B242="","",IFERROR(B242/INDEX($B$2:$B$400,MATCH(DATE(YEAR(A242)-1,MONTH(A242),1),$A$2:$A$400,0))-1,""))</f>
        <v/>
      </c>
    </row>
    <row r="243">
      <c r="A243" s="117" t="n"/>
      <c r="B243" s="118" t="n"/>
      <c r="C243" s="115">
        <f>IF(OR(B243="",B242=""),"",B243/B242-1)</f>
        <v/>
      </c>
      <c r="D243" s="115">
        <f>IF(B243="","",IFERROR(B243/INDEX($B$2:$B$400,MATCH(DATE(YEAR(A243)-1,12,1),$A$2:$A$400,0))-1,""))</f>
        <v/>
      </c>
      <c r="E243" s="115">
        <f>IF(B243="","",IFERROR(B243/INDEX($B$2:$B$400,MATCH(DATE(YEAR(A243)-1,MONTH(A243),1),$A$2:$A$400,0))-1,""))</f>
        <v/>
      </c>
    </row>
    <row r="244">
      <c r="A244" s="117" t="n"/>
      <c r="B244" s="118" t="n"/>
      <c r="C244" s="115">
        <f>IF(OR(B244="",B243=""),"",B244/B243-1)</f>
        <v/>
      </c>
      <c r="D244" s="115">
        <f>IF(B244="","",IFERROR(B244/INDEX($B$2:$B$400,MATCH(DATE(YEAR(A244)-1,12,1),$A$2:$A$400,0))-1,""))</f>
        <v/>
      </c>
      <c r="E244" s="115">
        <f>IF(B244="","",IFERROR(B244/INDEX($B$2:$B$400,MATCH(DATE(YEAR(A244)-1,MONTH(A244),1),$A$2:$A$400,0))-1,""))</f>
        <v/>
      </c>
    </row>
    <row r="245">
      <c r="A245" s="117" t="n"/>
      <c r="B245" s="118" t="n"/>
      <c r="C245" s="115">
        <f>IF(OR(B245="",B244=""),"",B245/B244-1)</f>
        <v/>
      </c>
      <c r="D245" s="115">
        <f>IF(B245="","",IFERROR(B245/INDEX($B$2:$B$400,MATCH(DATE(YEAR(A245)-1,12,1),$A$2:$A$400,0))-1,""))</f>
        <v/>
      </c>
      <c r="E245" s="115">
        <f>IF(B245="","",IFERROR(B245/INDEX($B$2:$B$400,MATCH(DATE(YEAR(A245)-1,MONTH(A245),1),$A$2:$A$400,0))-1,""))</f>
        <v/>
      </c>
    </row>
    <row r="246">
      <c r="A246" s="117" t="n"/>
      <c r="B246" s="118" t="n"/>
      <c r="C246" s="115">
        <f>IF(OR(B246="",B245=""),"",B246/B245-1)</f>
        <v/>
      </c>
      <c r="D246" s="115">
        <f>IF(B246="","",IFERROR(B246/INDEX($B$2:$B$400,MATCH(DATE(YEAR(A246)-1,12,1),$A$2:$A$400,0))-1,""))</f>
        <v/>
      </c>
      <c r="E246" s="115">
        <f>IF(B246="","",IFERROR(B246/INDEX($B$2:$B$400,MATCH(DATE(YEAR(A246)-1,MONTH(A246),1),$A$2:$A$400,0))-1,""))</f>
        <v/>
      </c>
    </row>
    <row r="247">
      <c r="A247" s="117" t="n"/>
      <c r="B247" s="118" t="n"/>
      <c r="C247" s="115">
        <f>IF(OR(B247="",B246=""),"",B247/B246-1)</f>
        <v/>
      </c>
      <c r="D247" s="115">
        <f>IF(B247="","",IFERROR(B247/INDEX($B$2:$B$400,MATCH(DATE(YEAR(A247)-1,12,1),$A$2:$A$400,0))-1,""))</f>
        <v/>
      </c>
      <c r="E247" s="115">
        <f>IF(B247="","",IFERROR(B247/INDEX($B$2:$B$400,MATCH(DATE(YEAR(A247)-1,MONTH(A247),1),$A$2:$A$400,0))-1,""))</f>
        <v/>
      </c>
    </row>
    <row r="248">
      <c r="A248" s="117" t="n"/>
      <c r="B248" s="118" t="n"/>
      <c r="C248" s="115">
        <f>IF(OR(B248="",B247=""),"",B248/B247-1)</f>
        <v/>
      </c>
      <c r="D248" s="115">
        <f>IF(B248="","",IFERROR(B248/INDEX($B$2:$B$400,MATCH(DATE(YEAR(A248)-1,12,1),$A$2:$A$400,0))-1,""))</f>
        <v/>
      </c>
      <c r="E248" s="115">
        <f>IF(B248="","",IFERROR(B248/INDEX($B$2:$B$400,MATCH(DATE(YEAR(A248)-1,MONTH(A248),1),$A$2:$A$400,0))-1,""))</f>
        <v/>
      </c>
    </row>
    <row r="249">
      <c r="A249" s="117" t="n"/>
      <c r="B249" s="118" t="n"/>
      <c r="C249" s="115">
        <f>IF(OR(B249="",B248=""),"",B249/B248-1)</f>
        <v/>
      </c>
      <c r="D249" s="115">
        <f>IF(B249="","",IFERROR(B249/INDEX($B$2:$B$400,MATCH(DATE(YEAR(A249)-1,12,1),$A$2:$A$400,0))-1,""))</f>
        <v/>
      </c>
      <c r="E249" s="115">
        <f>IF(B249="","",IFERROR(B249/INDEX($B$2:$B$400,MATCH(DATE(YEAR(A249)-1,MONTH(A249),1),$A$2:$A$400,0))-1,""))</f>
        <v/>
      </c>
    </row>
    <row r="250">
      <c r="A250" s="117" t="n"/>
      <c r="B250" s="118" t="n"/>
      <c r="C250" s="115">
        <f>IF(OR(B250="",B249=""),"",B250/B249-1)</f>
        <v/>
      </c>
      <c r="D250" s="115">
        <f>IF(B250="","",IFERROR(B250/INDEX($B$2:$B$400,MATCH(DATE(YEAR(A250)-1,12,1),$A$2:$A$400,0))-1,""))</f>
        <v/>
      </c>
      <c r="E250" s="115">
        <f>IF(B250="","",IFERROR(B250/INDEX($B$2:$B$400,MATCH(DATE(YEAR(A250)-1,MONTH(A250),1),$A$2:$A$400,0))-1,""))</f>
        <v/>
      </c>
    </row>
    <row r="251">
      <c r="A251" s="117" t="n"/>
      <c r="B251" s="118" t="n"/>
      <c r="C251" s="115">
        <f>IF(OR(B251="",B250=""),"",B251/B250-1)</f>
        <v/>
      </c>
      <c r="D251" s="115">
        <f>IF(B251="","",IFERROR(B251/INDEX($B$2:$B$400,MATCH(DATE(YEAR(A251)-1,12,1),$A$2:$A$400,0))-1,""))</f>
        <v/>
      </c>
      <c r="E251" s="115">
        <f>IF(B251="","",IFERROR(B251/INDEX($B$2:$B$400,MATCH(DATE(YEAR(A251)-1,MONTH(A251),1),$A$2:$A$400,0))-1,""))</f>
        <v/>
      </c>
    </row>
    <row r="252">
      <c r="A252" s="117" t="n"/>
      <c r="B252" s="118" t="n"/>
      <c r="C252" s="115">
        <f>IF(OR(B252="",B251=""),"",B252/B251-1)</f>
        <v/>
      </c>
      <c r="D252" s="115">
        <f>IF(B252="","",IFERROR(B252/INDEX($B$2:$B$400,MATCH(DATE(YEAR(A252)-1,12,1),$A$2:$A$400,0))-1,""))</f>
        <v/>
      </c>
      <c r="E252" s="115">
        <f>IF(B252="","",IFERROR(B252/INDEX($B$2:$B$400,MATCH(DATE(YEAR(A252)-1,MONTH(A252),1),$A$2:$A$400,0))-1,""))</f>
        <v/>
      </c>
    </row>
    <row r="253">
      <c r="A253" s="117" t="n"/>
      <c r="B253" s="118" t="n"/>
      <c r="C253" s="115">
        <f>IF(OR(B253="",B252=""),"",B253/B252-1)</f>
        <v/>
      </c>
      <c r="D253" s="115">
        <f>IF(B253="","",IFERROR(B253/INDEX($B$2:$B$400,MATCH(DATE(YEAR(A253)-1,12,1),$A$2:$A$400,0))-1,""))</f>
        <v/>
      </c>
      <c r="E253" s="115">
        <f>IF(B253="","",IFERROR(B253/INDEX($B$2:$B$400,MATCH(DATE(YEAR(A253)-1,MONTH(A253),1),$A$2:$A$400,0))-1,""))</f>
        <v/>
      </c>
    </row>
    <row r="254">
      <c r="A254" s="117" t="n"/>
      <c r="B254" s="118" t="n"/>
      <c r="C254" s="115">
        <f>IF(OR(B254="",B253=""),"",B254/B253-1)</f>
        <v/>
      </c>
      <c r="D254" s="115">
        <f>IF(B254="","",IFERROR(B254/INDEX($B$2:$B$400,MATCH(DATE(YEAR(A254)-1,12,1),$A$2:$A$400,0))-1,""))</f>
        <v/>
      </c>
      <c r="E254" s="115">
        <f>IF(B254="","",IFERROR(B254/INDEX($B$2:$B$400,MATCH(DATE(YEAR(A254)-1,MONTH(A254),1),$A$2:$A$400,0))-1,""))</f>
        <v/>
      </c>
    </row>
    <row r="255">
      <c r="A255" s="117" t="n"/>
      <c r="B255" s="118" t="n"/>
      <c r="C255" s="115">
        <f>IF(OR(B255="",B254=""),"",B255/B254-1)</f>
        <v/>
      </c>
      <c r="D255" s="115">
        <f>IF(B255="","",IFERROR(B255/INDEX($B$2:$B$400,MATCH(DATE(YEAR(A255)-1,12,1),$A$2:$A$400,0))-1,""))</f>
        <v/>
      </c>
      <c r="E255" s="115">
        <f>IF(B255="","",IFERROR(B255/INDEX($B$2:$B$400,MATCH(DATE(YEAR(A255)-1,MONTH(A255),1),$A$2:$A$400,0))-1,""))</f>
        <v/>
      </c>
    </row>
    <row r="256">
      <c r="A256" s="117" t="n"/>
      <c r="B256" s="118" t="n"/>
      <c r="C256" s="115">
        <f>IF(OR(B256="",B255=""),"",B256/B255-1)</f>
        <v/>
      </c>
      <c r="D256" s="115">
        <f>IF(B256="","",IFERROR(B256/INDEX($B$2:$B$400,MATCH(DATE(YEAR(A256)-1,12,1),$A$2:$A$400,0))-1,""))</f>
        <v/>
      </c>
      <c r="E256" s="115">
        <f>IF(B256="","",IFERROR(B256/INDEX($B$2:$B$400,MATCH(DATE(YEAR(A256)-1,MONTH(A256),1),$A$2:$A$400,0))-1,""))</f>
        <v/>
      </c>
    </row>
    <row r="257">
      <c r="A257" s="117" t="n"/>
      <c r="B257" s="118" t="n"/>
      <c r="C257" s="115">
        <f>IF(OR(B257="",B256=""),"",B257/B256-1)</f>
        <v/>
      </c>
      <c r="D257" s="115">
        <f>IF(B257="","",IFERROR(B257/INDEX($B$2:$B$400,MATCH(DATE(YEAR(A257)-1,12,1),$A$2:$A$400,0))-1,""))</f>
        <v/>
      </c>
      <c r="E257" s="115">
        <f>IF(B257="","",IFERROR(B257/INDEX($B$2:$B$400,MATCH(DATE(YEAR(A257)-1,MONTH(A257),1),$A$2:$A$400,0))-1,""))</f>
        <v/>
      </c>
    </row>
    <row r="258">
      <c r="A258" s="117" t="n"/>
      <c r="B258" s="118" t="n"/>
      <c r="C258" s="115">
        <f>IF(OR(B258="",B257=""),"",B258/B257-1)</f>
        <v/>
      </c>
      <c r="D258" s="115">
        <f>IF(B258="","",IFERROR(B258/INDEX($B$2:$B$400,MATCH(DATE(YEAR(A258)-1,12,1),$A$2:$A$400,0))-1,""))</f>
        <v/>
      </c>
      <c r="E258" s="115">
        <f>IF(B258="","",IFERROR(B258/INDEX($B$2:$B$400,MATCH(DATE(YEAR(A258)-1,MONTH(A258),1),$A$2:$A$400,0))-1,""))</f>
        <v/>
      </c>
    </row>
    <row r="259">
      <c r="A259" s="117" t="n"/>
      <c r="B259" s="118" t="n"/>
      <c r="C259" s="115">
        <f>IF(OR(B259="",B258=""),"",B259/B258-1)</f>
        <v/>
      </c>
      <c r="D259" s="115">
        <f>IF(B259="","",IFERROR(B259/INDEX($B$2:$B$400,MATCH(DATE(YEAR(A259)-1,12,1),$A$2:$A$400,0))-1,""))</f>
        <v/>
      </c>
      <c r="E259" s="115">
        <f>IF(B259="","",IFERROR(B259/INDEX($B$2:$B$400,MATCH(DATE(YEAR(A259)-1,MONTH(A259),1),$A$2:$A$400,0))-1,""))</f>
        <v/>
      </c>
    </row>
    <row r="260">
      <c r="A260" s="117" t="n"/>
      <c r="B260" s="118" t="n"/>
      <c r="C260" s="115">
        <f>IF(OR(B260="",B259=""),"",B260/B259-1)</f>
        <v/>
      </c>
      <c r="D260" s="115">
        <f>IF(B260="","",IFERROR(B260/INDEX($B$2:$B$400,MATCH(DATE(YEAR(A260)-1,12,1),$A$2:$A$400,0))-1,""))</f>
        <v/>
      </c>
      <c r="E260" s="115">
        <f>IF(B260="","",IFERROR(B260/INDEX($B$2:$B$400,MATCH(DATE(YEAR(A260)-1,MONTH(A260),1),$A$2:$A$400,0))-1,""))</f>
        <v/>
      </c>
    </row>
    <row r="261">
      <c r="A261" s="117" t="n"/>
      <c r="B261" s="118" t="n"/>
      <c r="C261" s="115">
        <f>IF(OR(B261="",B260=""),"",B261/B260-1)</f>
        <v/>
      </c>
      <c r="D261" s="115">
        <f>IF(B261="","",IFERROR(B261/INDEX($B$2:$B$400,MATCH(DATE(YEAR(A261)-1,12,1),$A$2:$A$400,0))-1,""))</f>
        <v/>
      </c>
      <c r="E261" s="115">
        <f>IF(B261="","",IFERROR(B261/INDEX($B$2:$B$400,MATCH(DATE(YEAR(A261)-1,MONTH(A261),1),$A$2:$A$400,0))-1,""))</f>
        <v/>
      </c>
    </row>
    <row r="262">
      <c r="A262" s="117" t="n"/>
      <c r="B262" s="118" t="n"/>
      <c r="C262" s="115">
        <f>IF(OR(B262="",B261=""),"",B262/B261-1)</f>
        <v/>
      </c>
      <c r="D262" s="115">
        <f>IF(B262="","",IFERROR(B262/INDEX($B$2:$B$400,MATCH(DATE(YEAR(A262)-1,12,1),$A$2:$A$400,0))-1,""))</f>
        <v/>
      </c>
      <c r="E262" s="115">
        <f>IF(B262="","",IFERROR(B262/INDEX($B$2:$B$400,MATCH(DATE(YEAR(A262)-1,MONTH(A262),1),$A$2:$A$400,0))-1,""))</f>
        <v/>
      </c>
    </row>
    <row r="263">
      <c r="A263" s="117" t="n"/>
      <c r="B263" s="118" t="n"/>
      <c r="C263" s="115">
        <f>IF(OR(B263="",B262=""),"",B263/B262-1)</f>
        <v/>
      </c>
      <c r="D263" s="115">
        <f>IF(B263="","",IFERROR(B263/INDEX($B$2:$B$400,MATCH(DATE(YEAR(A263)-1,12,1),$A$2:$A$400,0))-1,""))</f>
        <v/>
      </c>
      <c r="E263" s="115">
        <f>IF(B263="","",IFERROR(B263/INDEX($B$2:$B$400,MATCH(DATE(YEAR(A263)-1,MONTH(A263),1),$A$2:$A$400,0))-1,""))</f>
        <v/>
      </c>
    </row>
    <row r="264">
      <c r="A264" s="117" t="n"/>
      <c r="B264" s="118" t="n"/>
      <c r="C264" s="115">
        <f>IF(OR(B264="",B263=""),"",B264/B263-1)</f>
        <v/>
      </c>
      <c r="D264" s="115">
        <f>IF(B264="","",IFERROR(B264/INDEX($B$2:$B$400,MATCH(DATE(YEAR(A264)-1,12,1),$A$2:$A$400,0))-1,""))</f>
        <v/>
      </c>
      <c r="E264" s="115">
        <f>IF(B264="","",IFERROR(B264/INDEX($B$2:$B$400,MATCH(DATE(YEAR(A264)-1,MONTH(A264),1),$A$2:$A$400,0))-1,""))</f>
        <v/>
      </c>
    </row>
    <row r="265">
      <c r="A265" s="117" t="n"/>
      <c r="B265" s="118" t="n"/>
      <c r="C265" s="115">
        <f>IF(OR(B265="",B264=""),"",B265/B264-1)</f>
        <v/>
      </c>
      <c r="D265" s="115">
        <f>IF(B265="","",IFERROR(B265/INDEX($B$2:$B$400,MATCH(DATE(YEAR(A265)-1,12,1),$A$2:$A$400,0))-1,""))</f>
        <v/>
      </c>
      <c r="E265" s="115">
        <f>IF(B265="","",IFERROR(B265/INDEX($B$2:$B$400,MATCH(DATE(YEAR(A265)-1,MONTH(A265),1),$A$2:$A$400,0))-1,""))</f>
        <v/>
      </c>
    </row>
    <row r="266">
      <c r="A266" s="117" t="n"/>
      <c r="B266" s="118" t="n"/>
      <c r="C266" s="115">
        <f>IF(OR(B266="",B265=""),"",B266/B265-1)</f>
        <v/>
      </c>
      <c r="D266" s="115">
        <f>IF(B266="","",IFERROR(B266/INDEX($B$2:$B$400,MATCH(DATE(YEAR(A266)-1,12,1),$A$2:$A$400,0))-1,""))</f>
        <v/>
      </c>
      <c r="E266" s="115">
        <f>IF(B266="","",IFERROR(B266/INDEX($B$2:$B$400,MATCH(DATE(YEAR(A266)-1,MONTH(A266),1),$A$2:$A$400,0))-1,""))</f>
        <v/>
      </c>
    </row>
    <row r="267">
      <c r="A267" s="117" t="n"/>
      <c r="B267" s="118" t="n"/>
      <c r="C267" s="115">
        <f>IF(OR(B267="",B266=""),"",B267/B266-1)</f>
        <v/>
      </c>
      <c r="D267" s="115">
        <f>IF(B267="","",IFERROR(B267/INDEX($B$2:$B$400,MATCH(DATE(YEAR(A267)-1,12,1),$A$2:$A$400,0))-1,""))</f>
        <v/>
      </c>
      <c r="E267" s="115">
        <f>IF(B267="","",IFERROR(B267/INDEX($B$2:$B$400,MATCH(DATE(YEAR(A267)-1,MONTH(A267),1),$A$2:$A$400,0))-1,""))</f>
        <v/>
      </c>
    </row>
    <row r="268">
      <c r="A268" s="117" t="n"/>
      <c r="B268" s="118" t="n"/>
      <c r="C268" s="115">
        <f>IF(OR(B268="",B267=""),"",B268/B267-1)</f>
        <v/>
      </c>
      <c r="D268" s="115">
        <f>IF(B268="","",IFERROR(B268/INDEX($B$2:$B$400,MATCH(DATE(YEAR(A268)-1,12,1),$A$2:$A$400,0))-1,""))</f>
        <v/>
      </c>
      <c r="E268" s="115">
        <f>IF(B268="","",IFERROR(B268/INDEX($B$2:$B$400,MATCH(DATE(YEAR(A268)-1,MONTH(A268),1),$A$2:$A$400,0))-1,""))</f>
        <v/>
      </c>
    </row>
    <row r="269">
      <c r="A269" s="117" t="n"/>
      <c r="B269" s="118" t="n"/>
      <c r="C269" s="115">
        <f>IF(OR(B269="",B268=""),"",B269/B268-1)</f>
        <v/>
      </c>
      <c r="D269" s="115">
        <f>IF(B269="","",IFERROR(B269/INDEX($B$2:$B$400,MATCH(DATE(YEAR(A269)-1,12,1),$A$2:$A$400,0))-1,""))</f>
        <v/>
      </c>
      <c r="E269" s="115">
        <f>IF(B269="","",IFERROR(B269/INDEX($B$2:$B$400,MATCH(DATE(YEAR(A269)-1,MONTH(A269),1),$A$2:$A$400,0))-1,""))</f>
        <v/>
      </c>
    </row>
    <row r="270">
      <c r="A270" s="117" t="n"/>
      <c r="B270" s="118" t="n"/>
      <c r="C270" s="115">
        <f>IF(OR(B270="",B269=""),"",B270/B269-1)</f>
        <v/>
      </c>
      <c r="D270" s="115">
        <f>IF(B270="","",IFERROR(B270/INDEX($B$2:$B$400,MATCH(DATE(YEAR(A270)-1,12,1),$A$2:$A$400,0))-1,""))</f>
        <v/>
      </c>
      <c r="E270" s="115">
        <f>IF(B270="","",IFERROR(B270/INDEX($B$2:$B$400,MATCH(DATE(YEAR(A270)-1,MONTH(A270),1),$A$2:$A$400,0))-1,""))</f>
        <v/>
      </c>
    </row>
    <row r="271">
      <c r="A271" s="117" t="n"/>
      <c r="B271" s="118" t="n"/>
      <c r="C271" s="115">
        <f>IF(OR(B271="",B270=""),"",B271/B270-1)</f>
        <v/>
      </c>
      <c r="D271" s="115">
        <f>IF(B271="","",IFERROR(B271/INDEX($B$2:$B$400,MATCH(DATE(YEAR(A271)-1,12,1),$A$2:$A$400,0))-1,""))</f>
        <v/>
      </c>
      <c r="E271" s="115">
        <f>IF(B271="","",IFERROR(B271/INDEX($B$2:$B$400,MATCH(DATE(YEAR(A271)-1,MONTH(A271),1),$A$2:$A$400,0))-1,""))</f>
        <v/>
      </c>
    </row>
    <row r="272">
      <c r="A272" s="117" t="n"/>
      <c r="B272" s="118" t="n"/>
      <c r="C272" s="115">
        <f>IF(OR(B272="",B271=""),"",B272/B271-1)</f>
        <v/>
      </c>
      <c r="D272" s="115">
        <f>IF(B272="","",IFERROR(B272/INDEX($B$2:$B$400,MATCH(DATE(YEAR(A272)-1,12,1),$A$2:$A$400,0))-1,""))</f>
        <v/>
      </c>
      <c r="E272" s="115">
        <f>IF(B272="","",IFERROR(B272/INDEX($B$2:$B$400,MATCH(DATE(YEAR(A272)-1,MONTH(A272),1),$A$2:$A$400,0))-1,""))</f>
        <v/>
      </c>
    </row>
    <row r="273">
      <c r="A273" s="117" t="n"/>
      <c r="B273" s="118" t="n"/>
      <c r="C273" s="115">
        <f>IF(OR(B273="",B272=""),"",B273/B272-1)</f>
        <v/>
      </c>
      <c r="D273" s="115">
        <f>IF(B273="","",IFERROR(B273/INDEX($B$2:$B$400,MATCH(DATE(YEAR(A273)-1,12,1),$A$2:$A$400,0))-1,""))</f>
        <v/>
      </c>
      <c r="E273" s="115">
        <f>IF(B273="","",IFERROR(B273/INDEX($B$2:$B$400,MATCH(DATE(YEAR(A273)-1,MONTH(A273),1),$A$2:$A$400,0))-1,""))</f>
        <v/>
      </c>
    </row>
    <row r="274">
      <c r="A274" s="117" t="n"/>
      <c r="B274" s="118" t="n"/>
      <c r="C274" s="115">
        <f>IF(OR(B274="",B273=""),"",B274/B273-1)</f>
        <v/>
      </c>
      <c r="D274" s="115">
        <f>IF(B274="","",IFERROR(B274/INDEX($B$2:$B$400,MATCH(DATE(YEAR(A274)-1,12,1),$A$2:$A$400,0))-1,""))</f>
        <v/>
      </c>
      <c r="E274" s="115">
        <f>IF(B274="","",IFERROR(B274/INDEX($B$2:$B$400,MATCH(DATE(YEAR(A274)-1,MONTH(A274),1),$A$2:$A$400,0))-1,""))</f>
        <v/>
      </c>
    </row>
    <row r="275">
      <c r="A275" s="117" t="n"/>
      <c r="B275" s="118" t="n"/>
      <c r="C275" s="115">
        <f>IF(OR(B275="",B274=""),"",B275/B274-1)</f>
        <v/>
      </c>
      <c r="D275" s="115">
        <f>IF(B275="","",IFERROR(B275/INDEX($B$2:$B$400,MATCH(DATE(YEAR(A275)-1,12,1),$A$2:$A$400,0))-1,""))</f>
        <v/>
      </c>
      <c r="E275" s="115">
        <f>IF(B275="","",IFERROR(B275/INDEX($B$2:$B$400,MATCH(DATE(YEAR(A275)-1,MONTH(A275),1),$A$2:$A$400,0))-1,""))</f>
        <v/>
      </c>
    </row>
    <row r="276">
      <c r="A276" s="117" t="n"/>
      <c r="B276" s="118" t="n"/>
      <c r="C276" s="115">
        <f>IF(OR(B276="",B275=""),"",B276/B275-1)</f>
        <v/>
      </c>
      <c r="D276" s="115">
        <f>IF(B276="","",IFERROR(B276/INDEX($B$2:$B$400,MATCH(DATE(YEAR(A276)-1,12,1),$A$2:$A$400,0))-1,""))</f>
        <v/>
      </c>
      <c r="E276" s="115">
        <f>IF(B276="","",IFERROR(B276/INDEX($B$2:$B$400,MATCH(DATE(YEAR(A276)-1,MONTH(A276),1),$A$2:$A$400,0))-1,""))</f>
        <v/>
      </c>
    </row>
    <row r="277">
      <c r="A277" s="117" t="n"/>
      <c r="B277" s="118" t="n"/>
      <c r="C277" s="115">
        <f>IF(OR(B277="",B276=""),"",B277/B276-1)</f>
        <v/>
      </c>
      <c r="D277" s="115">
        <f>IF(B277="","",IFERROR(B277/INDEX($B$2:$B$400,MATCH(DATE(YEAR(A277)-1,12,1),$A$2:$A$400,0))-1,""))</f>
        <v/>
      </c>
      <c r="E277" s="115">
        <f>IF(B277="","",IFERROR(B277/INDEX($B$2:$B$400,MATCH(DATE(YEAR(A277)-1,MONTH(A277),1),$A$2:$A$400,0))-1,""))</f>
        <v/>
      </c>
    </row>
    <row r="278">
      <c r="A278" s="117" t="n"/>
      <c r="B278" s="118" t="n"/>
      <c r="C278" s="115">
        <f>IF(OR(B278="",B277=""),"",B278/B277-1)</f>
        <v/>
      </c>
      <c r="D278" s="115">
        <f>IF(B278="","",IFERROR(B278/INDEX($B$2:$B$400,MATCH(DATE(YEAR(A278)-1,12,1),$A$2:$A$400,0))-1,""))</f>
        <v/>
      </c>
      <c r="E278" s="115">
        <f>IF(B278="","",IFERROR(B278/INDEX($B$2:$B$400,MATCH(DATE(YEAR(A278)-1,MONTH(A278),1),$A$2:$A$400,0))-1,""))</f>
        <v/>
      </c>
    </row>
    <row r="279">
      <c r="A279" s="117" t="n"/>
      <c r="B279" s="118" t="n"/>
      <c r="C279" s="115">
        <f>IF(OR(B279="",B278=""),"",B279/B278-1)</f>
        <v/>
      </c>
      <c r="D279" s="115">
        <f>IF(B279="","",IFERROR(B279/INDEX($B$2:$B$400,MATCH(DATE(YEAR(A279)-1,12,1),$A$2:$A$400,0))-1,""))</f>
        <v/>
      </c>
      <c r="E279" s="115">
        <f>IF(B279="","",IFERROR(B279/INDEX($B$2:$B$400,MATCH(DATE(YEAR(A279)-1,MONTH(A279),1),$A$2:$A$400,0))-1,""))</f>
        <v/>
      </c>
    </row>
    <row r="280">
      <c r="A280" s="117" t="n"/>
      <c r="B280" s="118" t="n"/>
      <c r="C280" s="115">
        <f>IF(OR(B280="",B279=""),"",B280/B279-1)</f>
        <v/>
      </c>
      <c r="D280" s="115">
        <f>IF(B280="","",IFERROR(B280/INDEX($B$2:$B$400,MATCH(DATE(YEAR(A280)-1,12,1),$A$2:$A$400,0))-1,""))</f>
        <v/>
      </c>
      <c r="E280" s="115">
        <f>IF(B280="","",IFERROR(B280/INDEX($B$2:$B$400,MATCH(DATE(YEAR(A280)-1,MONTH(A280),1),$A$2:$A$400,0))-1,""))</f>
        <v/>
      </c>
    </row>
    <row r="281">
      <c r="A281" s="117" t="n"/>
      <c r="B281" s="118" t="n"/>
      <c r="C281" s="115">
        <f>IF(OR(B281="",B280=""),"",B281/B280-1)</f>
        <v/>
      </c>
      <c r="D281" s="115">
        <f>IF(B281="","",IFERROR(B281/INDEX($B$2:$B$400,MATCH(DATE(YEAR(A281)-1,12,1),$A$2:$A$400,0))-1,""))</f>
        <v/>
      </c>
      <c r="E281" s="115">
        <f>IF(B281="","",IFERROR(B281/INDEX($B$2:$B$400,MATCH(DATE(YEAR(A281)-1,MONTH(A281),1),$A$2:$A$400,0))-1,""))</f>
        <v/>
      </c>
    </row>
    <row r="282">
      <c r="A282" s="117" t="n"/>
      <c r="B282" s="118" t="n"/>
      <c r="C282" s="115">
        <f>IF(OR(B282="",B281=""),"",B282/B281-1)</f>
        <v/>
      </c>
      <c r="D282" s="115">
        <f>IF(B282="","",IFERROR(B282/INDEX($B$2:$B$400,MATCH(DATE(YEAR(A282)-1,12,1),$A$2:$A$400,0))-1,""))</f>
        <v/>
      </c>
      <c r="E282" s="115">
        <f>IF(B282="","",IFERROR(B282/INDEX($B$2:$B$400,MATCH(DATE(YEAR(A282)-1,MONTH(A282),1),$A$2:$A$400,0))-1,""))</f>
        <v/>
      </c>
    </row>
    <row r="283">
      <c r="A283" s="117" t="n"/>
      <c r="B283" s="118" t="n"/>
      <c r="C283" s="115">
        <f>IF(OR(B283="",B282=""),"",B283/B282-1)</f>
        <v/>
      </c>
      <c r="D283" s="115">
        <f>IF(B283="","",IFERROR(B283/INDEX($B$2:$B$400,MATCH(DATE(YEAR(A283)-1,12,1),$A$2:$A$400,0))-1,""))</f>
        <v/>
      </c>
      <c r="E283" s="115">
        <f>IF(B283="","",IFERROR(B283/INDEX($B$2:$B$400,MATCH(DATE(YEAR(A283)-1,MONTH(A283),1),$A$2:$A$400,0))-1,""))</f>
        <v/>
      </c>
    </row>
    <row r="284">
      <c r="A284" s="117" t="n"/>
      <c r="B284" s="118" t="n"/>
      <c r="C284" s="115">
        <f>IF(OR(B284="",B283=""),"",B284/B283-1)</f>
        <v/>
      </c>
      <c r="D284" s="115">
        <f>IF(B284="","",IFERROR(B284/INDEX($B$2:$B$400,MATCH(DATE(YEAR(A284)-1,12,1),$A$2:$A$400,0))-1,""))</f>
        <v/>
      </c>
      <c r="E284" s="115">
        <f>IF(B284="","",IFERROR(B284/INDEX($B$2:$B$400,MATCH(DATE(YEAR(A284)-1,MONTH(A284),1),$A$2:$A$400,0))-1,""))</f>
        <v/>
      </c>
    </row>
    <row r="285">
      <c r="A285" s="117" t="n"/>
      <c r="B285" s="118" t="n"/>
      <c r="C285" s="115">
        <f>IF(OR(B285="",B284=""),"",B285/B284-1)</f>
        <v/>
      </c>
      <c r="D285" s="115">
        <f>IF(B285="","",IFERROR(B285/INDEX($B$2:$B$400,MATCH(DATE(YEAR(A285)-1,12,1),$A$2:$A$400,0))-1,""))</f>
        <v/>
      </c>
      <c r="E285" s="115">
        <f>IF(B285="","",IFERROR(B285/INDEX($B$2:$B$400,MATCH(DATE(YEAR(A285)-1,MONTH(A285),1),$A$2:$A$400,0))-1,""))</f>
        <v/>
      </c>
    </row>
    <row r="286">
      <c r="A286" s="117" t="n"/>
      <c r="B286" s="118" t="n"/>
      <c r="C286" s="115">
        <f>IF(OR(B286="",B285=""),"",B286/B285-1)</f>
        <v/>
      </c>
      <c r="D286" s="115">
        <f>IF(B286="","",IFERROR(B286/INDEX($B$2:$B$400,MATCH(DATE(YEAR(A286)-1,12,1),$A$2:$A$400,0))-1,""))</f>
        <v/>
      </c>
      <c r="E286" s="115">
        <f>IF(B286="","",IFERROR(B286/INDEX($B$2:$B$400,MATCH(DATE(YEAR(A286)-1,MONTH(A286),1),$A$2:$A$400,0))-1,""))</f>
        <v/>
      </c>
    </row>
    <row r="287">
      <c r="A287" s="117" t="n"/>
      <c r="B287" s="118" t="n"/>
      <c r="C287" s="115">
        <f>IF(OR(B287="",B286=""),"",B287/B286-1)</f>
        <v/>
      </c>
      <c r="D287" s="115">
        <f>IF(B287="","",IFERROR(B287/INDEX($B$2:$B$400,MATCH(DATE(YEAR(A287)-1,12,1),$A$2:$A$400,0))-1,""))</f>
        <v/>
      </c>
      <c r="E287" s="115">
        <f>IF(B287="","",IFERROR(B287/INDEX($B$2:$B$400,MATCH(DATE(YEAR(A287)-1,MONTH(A287),1),$A$2:$A$400,0))-1,""))</f>
        <v/>
      </c>
    </row>
    <row r="288">
      <c r="A288" s="117" t="n"/>
      <c r="B288" s="118" t="n"/>
      <c r="C288" s="115">
        <f>IF(OR(B288="",B287=""),"",B288/B287-1)</f>
        <v/>
      </c>
      <c r="D288" s="115">
        <f>IF(B288="","",IFERROR(B288/INDEX($B$2:$B$400,MATCH(DATE(YEAR(A288)-1,12,1),$A$2:$A$400,0))-1,""))</f>
        <v/>
      </c>
      <c r="E288" s="115">
        <f>IF(B288="","",IFERROR(B288/INDEX($B$2:$B$400,MATCH(DATE(YEAR(A288)-1,MONTH(A288),1),$A$2:$A$400,0))-1,""))</f>
        <v/>
      </c>
    </row>
    <row r="289">
      <c r="A289" s="117" t="n"/>
      <c r="B289" s="118" t="n"/>
      <c r="C289" s="115">
        <f>IF(OR(B289="",B288=""),"",B289/B288-1)</f>
        <v/>
      </c>
      <c r="D289" s="115">
        <f>IF(B289="","",IFERROR(B289/INDEX($B$2:$B$400,MATCH(DATE(YEAR(A289)-1,12,1),$A$2:$A$400,0))-1,""))</f>
        <v/>
      </c>
      <c r="E289" s="115">
        <f>IF(B289="","",IFERROR(B289/INDEX($B$2:$B$400,MATCH(DATE(YEAR(A289)-1,MONTH(A289),1),$A$2:$A$400,0))-1,""))</f>
        <v/>
      </c>
    </row>
    <row r="290">
      <c r="A290" s="117" t="n"/>
      <c r="B290" s="118" t="n"/>
      <c r="C290" s="115">
        <f>IF(OR(B290="",B289=""),"",B290/B289-1)</f>
        <v/>
      </c>
      <c r="D290" s="115">
        <f>IF(B290="","",IFERROR(B290/INDEX($B$2:$B$400,MATCH(DATE(YEAR(A290)-1,12,1),$A$2:$A$400,0))-1,""))</f>
        <v/>
      </c>
      <c r="E290" s="115">
        <f>IF(B290="","",IFERROR(B290/INDEX($B$2:$B$400,MATCH(DATE(YEAR(A290)-1,MONTH(A290),1),$A$2:$A$400,0))-1,""))</f>
        <v/>
      </c>
    </row>
    <row r="291">
      <c r="A291" s="117" t="n"/>
      <c r="B291" s="118" t="n"/>
      <c r="C291" s="115">
        <f>IF(OR(B291="",B290=""),"",B291/B290-1)</f>
        <v/>
      </c>
      <c r="D291" s="115">
        <f>IF(B291="","",IFERROR(B291/INDEX($B$2:$B$400,MATCH(DATE(YEAR(A291)-1,12,1),$A$2:$A$400,0))-1,""))</f>
        <v/>
      </c>
      <c r="E291" s="115">
        <f>IF(B291="","",IFERROR(B291/INDEX($B$2:$B$400,MATCH(DATE(YEAR(A291)-1,MONTH(A291),1),$A$2:$A$400,0))-1,""))</f>
        <v/>
      </c>
    </row>
    <row r="292">
      <c r="A292" s="117" t="n"/>
      <c r="B292" s="118" t="n"/>
      <c r="C292" s="115">
        <f>IF(OR(B292="",B291=""),"",B292/B291-1)</f>
        <v/>
      </c>
      <c r="D292" s="115">
        <f>IF(B292="","",IFERROR(B292/INDEX($B$2:$B$400,MATCH(DATE(YEAR(A292)-1,12,1),$A$2:$A$400,0))-1,""))</f>
        <v/>
      </c>
      <c r="E292" s="115">
        <f>IF(B292="","",IFERROR(B292/INDEX($B$2:$B$400,MATCH(DATE(YEAR(A292)-1,MONTH(A292),1),$A$2:$A$400,0))-1,""))</f>
        <v/>
      </c>
    </row>
    <row r="293">
      <c r="A293" s="117" t="n"/>
      <c r="B293" s="118" t="n"/>
      <c r="C293" s="115">
        <f>IF(OR(B293="",B292=""),"",B293/B292-1)</f>
        <v/>
      </c>
      <c r="D293" s="115">
        <f>IF(B293="","",IFERROR(B293/INDEX($B$2:$B$400,MATCH(DATE(YEAR(A293)-1,12,1),$A$2:$A$400,0))-1,""))</f>
        <v/>
      </c>
      <c r="E293" s="115">
        <f>IF(B293="","",IFERROR(B293/INDEX($B$2:$B$400,MATCH(DATE(YEAR(A293)-1,MONTH(A293),1),$A$2:$A$400,0))-1,""))</f>
        <v/>
      </c>
    </row>
    <row r="294">
      <c r="A294" s="117" t="n"/>
      <c r="B294" s="118" t="n"/>
      <c r="C294" s="115">
        <f>IF(OR(B294="",B293=""),"",B294/B293-1)</f>
        <v/>
      </c>
      <c r="D294" s="115">
        <f>IF(B294="","",IFERROR(B294/INDEX($B$2:$B$400,MATCH(DATE(YEAR(A294)-1,12,1),$A$2:$A$400,0))-1,""))</f>
        <v/>
      </c>
      <c r="E294" s="115">
        <f>IF(B294="","",IFERROR(B294/INDEX($B$2:$B$400,MATCH(DATE(YEAR(A294)-1,MONTH(A294),1),$A$2:$A$400,0))-1,""))</f>
        <v/>
      </c>
    </row>
    <row r="295">
      <c r="A295" s="117" t="n"/>
      <c r="B295" s="118" t="n"/>
      <c r="C295" s="115">
        <f>IF(OR(B295="",B294=""),"",B295/B294-1)</f>
        <v/>
      </c>
      <c r="D295" s="115">
        <f>IF(B295="","",IFERROR(B295/INDEX($B$2:$B$400,MATCH(DATE(YEAR(A295)-1,12,1),$A$2:$A$400,0))-1,""))</f>
        <v/>
      </c>
      <c r="E295" s="115">
        <f>IF(B295="","",IFERROR(B295/INDEX($B$2:$B$400,MATCH(DATE(YEAR(A295)-1,MONTH(A295),1),$A$2:$A$400,0))-1,""))</f>
        <v/>
      </c>
    </row>
    <row r="296">
      <c r="A296" s="117" t="n"/>
      <c r="B296" s="118" t="n"/>
      <c r="C296" s="115">
        <f>IF(OR(B296="",B295=""),"",B296/B295-1)</f>
        <v/>
      </c>
      <c r="D296" s="115">
        <f>IF(B296="","",IFERROR(B296/INDEX($B$2:$B$400,MATCH(DATE(YEAR(A296)-1,12,1),$A$2:$A$400,0))-1,""))</f>
        <v/>
      </c>
      <c r="E296" s="115">
        <f>IF(B296="","",IFERROR(B296/INDEX($B$2:$B$400,MATCH(DATE(YEAR(A296)-1,MONTH(A296),1),$A$2:$A$400,0))-1,""))</f>
        <v/>
      </c>
    </row>
    <row r="297">
      <c r="A297" s="117" t="n"/>
      <c r="B297" s="118" t="n"/>
      <c r="C297" s="115">
        <f>IF(OR(B297="",B296=""),"",B297/B296-1)</f>
        <v/>
      </c>
      <c r="D297" s="115">
        <f>IF(B297="","",IFERROR(B297/INDEX($B$2:$B$400,MATCH(DATE(YEAR(A297)-1,12,1),$A$2:$A$400,0))-1,""))</f>
        <v/>
      </c>
      <c r="E297" s="115">
        <f>IF(B297="","",IFERROR(B297/INDEX($B$2:$B$400,MATCH(DATE(YEAR(A297)-1,MONTH(A297),1),$A$2:$A$400,0))-1,""))</f>
        <v/>
      </c>
    </row>
    <row r="298">
      <c r="A298" s="117" t="n"/>
      <c r="B298" s="118" t="n"/>
      <c r="C298" s="115">
        <f>IF(OR(B298="",B297=""),"",B298/B297-1)</f>
        <v/>
      </c>
      <c r="D298" s="115">
        <f>IF(B298="","",IFERROR(B298/INDEX($B$2:$B$400,MATCH(DATE(YEAR(A298)-1,12,1),$A$2:$A$400,0))-1,""))</f>
        <v/>
      </c>
      <c r="E298" s="115">
        <f>IF(B298="","",IFERROR(B298/INDEX($B$2:$B$400,MATCH(DATE(YEAR(A298)-1,MONTH(A298),1),$A$2:$A$400,0))-1,""))</f>
        <v/>
      </c>
    </row>
    <row r="299">
      <c r="A299" s="117" t="n"/>
      <c r="B299" s="118" t="n"/>
      <c r="C299" s="115">
        <f>IF(OR(B299="",B298=""),"",B299/B298-1)</f>
        <v/>
      </c>
      <c r="D299" s="115">
        <f>IF(B299="","",IFERROR(B299/INDEX($B$2:$B$400,MATCH(DATE(YEAR(A299)-1,12,1),$A$2:$A$400,0))-1,""))</f>
        <v/>
      </c>
      <c r="E299" s="115">
        <f>IF(B299="","",IFERROR(B299/INDEX($B$2:$B$400,MATCH(DATE(YEAR(A299)-1,MONTH(A299),1),$A$2:$A$400,0))-1,""))</f>
        <v/>
      </c>
    </row>
    <row r="300">
      <c r="A300" s="117" t="n"/>
      <c r="B300" s="118" t="n"/>
      <c r="C300" s="115">
        <f>IF(OR(B300="",B299=""),"",B300/B299-1)</f>
        <v/>
      </c>
      <c r="D300" s="115">
        <f>IF(B300="","",IFERROR(B300/INDEX($B$2:$B$400,MATCH(DATE(YEAR(A300)-1,12,1),$A$2:$A$400,0))-1,""))</f>
        <v/>
      </c>
      <c r="E300" s="115">
        <f>IF(B300="","",IFERROR(B300/INDEX($B$2:$B$400,MATCH(DATE(YEAR(A300)-1,MONTH(A300),1),$A$2:$A$400,0))-1,""))</f>
        <v/>
      </c>
    </row>
    <row r="301">
      <c r="A301" s="117" t="n"/>
      <c r="B301" s="118" t="n"/>
      <c r="C301" s="115">
        <f>IF(OR(B301="",B300=""),"",B301/B300-1)</f>
        <v/>
      </c>
      <c r="D301" s="115">
        <f>IF(B301="","",IFERROR(B301/INDEX($B$2:$B$400,MATCH(DATE(YEAR(A301)-1,12,1),$A$2:$A$400,0))-1,""))</f>
        <v/>
      </c>
      <c r="E301" s="115">
        <f>IF(B301="","",IFERROR(B301/INDEX($B$2:$B$400,MATCH(DATE(YEAR(A301)-1,MONTH(A301),1),$A$2:$A$400,0))-1,""))</f>
        <v/>
      </c>
    </row>
    <row r="302">
      <c r="A302" s="117" t="n"/>
      <c r="B302" s="118" t="n"/>
      <c r="C302" s="115">
        <f>IF(OR(B302="",B301=""),"",B302/B301-1)</f>
        <v/>
      </c>
      <c r="D302" s="115">
        <f>IF(B302="","",IFERROR(B302/INDEX($B$2:$B$400,MATCH(DATE(YEAR(A302)-1,12,1),$A$2:$A$400,0))-1,""))</f>
        <v/>
      </c>
      <c r="E302" s="115">
        <f>IF(B302="","",IFERROR(B302/INDEX($B$2:$B$400,MATCH(DATE(YEAR(A302)-1,MONTH(A302),1),$A$2:$A$400,0))-1,""))</f>
        <v/>
      </c>
    </row>
    <row r="303">
      <c r="A303" s="117" t="n"/>
      <c r="B303" s="118" t="n"/>
      <c r="C303" s="115">
        <f>IF(OR(B303="",B302=""),"",B303/B302-1)</f>
        <v/>
      </c>
      <c r="D303" s="115">
        <f>IF(B303="","",IFERROR(B303/INDEX($B$2:$B$400,MATCH(DATE(YEAR(A303)-1,12,1),$A$2:$A$400,0))-1,""))</f>
        <v/>
      </c>
      <c r="E303" s="115">
        <f>IF(B303="","",IFERROR(B303/INDEX($B$2:$B$400,MATCH(DATE(YEAR(A303)-1,MONTH(A303),1),$A$2:$A$400,0))-1,""))</f>
        <v/>
      </c>
    </row>
    <row r="304">
      <c r="A304" s="117" t="n"/>
      <c r="B304" s="118" t="n"/>
      <c r="C304" s="115">
        <f>IF(OR(B304="",B303=""),"",B304/B303-1)</f>
        <v/>
      </c>
      <c r="D304" s="115">
        <f>IF(B304="","",IFERROR(B304/INDEX($B$2:$B$400,MATCH(DATE(YEAR(A304)-1,12,1),$A$2:$A$400,0))-1,""))</f>
        <v/>
      </c>
      <c r="E304" s="115">
        <f>IF(B304="","",IFERROR(B304/INDEX($B$2:$B$400,MATCH(DATE(YEAR(A304)-1,MONTH(A304),1),$A$2:$A$400,0))-1,""))</f>
        <v/>
      </c>
    </row>
    <row r="305">
      <c r="A305" s="117" t="n"/>
      <c r="B305" s="118" t="n"/>
      <c r="C305" s="115">
        <f>IF(OR(B305="",B304=""),"",B305/B304-1)</f>
        <v/>
      </c>
      <c r="D305" s="115">
        <f>IF(B305="","",IFERROR(B305/INDEX($B$2:$B$400,MATCH(DATE(YEAR(A305)-1,12,1),$A$2:$A$400,0))-1,""))</f>
        <v/>
      </c>
      <c r="E305" s="115">
        <f>IF(B305="","",IFERROR(B305/INDEX($B$2:$B$400,MATCH(DATE(YEAR(A305)-1,MONTH(A305),1),$A$2:$A$400,0))-1,""))</f>
        <v/>
      </c>
    </row>
    <row r="306">
      <c r="A306" s="117" t="n"/>
      <c r="B306" s="118" t="n"/>
      <c r="C306" s="115">
        <f>IF(OR(B306="",B305=""),"",B306/B305-1)</f>
        <v/>
      </c>
      <c r="D306" s="115">
        <f>IF(B306="","",IFERROR(B306/INDEX($B$2:$B$400,MATCH(DATE(YEAR(A306)-1,12,1),$A$2:$A$400,0))-1,""))</f>
        <v/>
      </c>
      <c r="E306" s="115">
        <f>IF(B306="","",IFERROR(B306/INDEX($B$2:$B$400,MATCH(DATE(YEAR(A306)-1,MONTH(A306),1),$A$2:$A$400,0))-1,""))</f>
        <v/>
      </c>
    </row>
    <row r="307">
      <c r="A307" s="117" t="n"/>
      <c r="B307" s="118" t="n"/>
      <c r="C307" s="115">
        <f>IF(OR(B307="",B306=""),"",B307/B306-1)</f>
        <v/>
      </c>
      <c r="D307" s="115">
        <f>IF(B307="","",IFERROR(B307/INDEX($B$2:$B$400,MATCH(DATE(YEAR(A307)-1,12,1),$A$2:$A$400,0))-1,""))</f>
        <v/>
      </c>
      <c r="E307" s="115">
        <f>IF(B307="","",IFERROR(B307/INDEX($B$2:$B$400,MATCH(DATE(YEAR(A307)-1,MONTH(A307),1),$A$2:$A$400,0))-1,""))</f>
        <v/>
      </c>
    </row>
    <row r="308">
      <c r="A308" s="117" t="n"/>
      <c r="B308" s="118" t="n"/>
      <c r="C308" s="115">
        <f>IF(OR(B308="",B307=""),"",B308/B307-1)</f>
        <v/>
      </c>
      <c r="D308" s="115">
        <f>IF(B308="","",IFERROR(B308/INDEX($B$2:$B$400,MATCH(DATE(YEAR(A308)-1,12,1),$A$2:$A$400,0))-1,""))</f>
        <v/>
      </c>
      <c r="E308" s="115">
        <f>IF(B308="","",IFERROR(B308/INDEX($B$2:$B$400,MATCH(DATE(YEAR(A308)-1,MONTH(A308),1),$A$2:$A$400,0))-1,""))</f>
        <v/>
      </c>
    </row>
    <row r="309">
      <c r="A309" s="117" t="n"/>
      <c r="B309" s="118" t="n"/>
      <c r="C309" s="115">
        <f>IF(OR(B309="",B308=""),"",B309/B308-1)</f>
        <v/>
      </c>
      <c r="D309" s="115">
        <f>IF(B309="","",IFERROR(B309/INDEX($B$2:$B$400,MATCH(DATE(YEAR(A309)-1,12,1),$A$2:$A$400,0))-1,""))</f>
        <v/>
      </c>
      <c r="E309" s="115">
        <f>IF(B309="","",IFERROR(B309/INDEX($B$2:$B$400,MATCH(DATE(YEAR(A309)-1,MONTH(A309),1),$A$2:$A$400,0))-1,""))</f>
        <v/>
      </c>
    </row>
    <row r="310">
      <c r="A310" s="117" t="n"/>
      <c r="B310" s="118" t="n"/>
      <c r="C310" s="115">
        <f>IF(OR(B310="",B309=""),"",B310/B309-1)</f>
        <v/>
      </c>
      <c r="D310" s="115">
        <f>IF(B310="","",IFERROR(B310/INDEX($B$2:$B$400,MATCH(DATE(YEAR(A310)-1,12,1),$A$2:$A$400,0))-1,""))</f>
        <v/>
      </c>
      <c r="E310" s="115">
        <f>IF(B310="","",IFERROR(B310/INDEX($B$2:$B$400,MATCH(DATE(YEAR(A310)-1,MONTH(A310),1),$A$2:$A$400,0))-1,""))</f>
        <v/>
      </c>
    </row>
    <row r="311">
      <c r="A311" s="117" t="n"/>
      <c r="B311" s="118" t="n"/>
      <c r="C311" s="115">
        <f>IF(OR(B311="",B310=""),"",B311/B310-1)</f>
        <v/>
      </c>
      <c r="D311" s="115">
        <f>IF(B311="","",IFERROR(B311/INDEX($B$2:$B$400,MATCH(DATE(YEAR(A311)-1,12,1),$A$2:$A$400,0))-1,""))</f>
        <v/>
      </c>
      <c r="E311" s="115">
        <f>IF(B311="","",IFERROR(B311/INDEX($B$2:$B$400,MATCH(DATE(YEAR(A311)-1,MONTH(A311),1),$A$2:$A$400,0))-1,""))</f>
        <v/>
      </c>
    </row>
    <row r="312">
      <c r="A312" s="117" t="n"/>
      <c r="B312" s="118" t="n"/>
      <c r="C312" s="115">
        <f>IF(OR(B312="",B311=""),"",B312/B311-1)</f>
        <v/>
      </c>
      <c r="D312" s="115">
        <f>IF(B312="","",IFERROR(B312/INDEX($B$2:$B$400,MATCH(DATE(YEAR(A312)-1,12,1),$A$2:$A$400,0))-1,""))</f>
        <v/>
      </c>
      <c r="E312" s="115">
        <f>IF(B312="","",IFERROR(B312/INDEX($B$2:$B$400,MATCH(DATE(YEAR(A312)-1,MONTH(A312),1),$A$2:$A$400,0))-1,""))</f>
        <v/>
      </c>
    </row>
    <row r="313">
      <c r="A313" s="117" t="n"/>
      <c r="B313" s="118" t="n"/>
      <c r="C313" s="115">
        <f>IF(OR(B313="",B312=""),"",B313/B312-1)</f>
        <v/>
      </c>
      <c r="D313" s="115">
        <f>IF(B313="","",IFERROR(B313/INDEX($B$2:$B$400,MATCH(DATE(YEAR(A313)-1,12,1),$A$2:$A$400,0))-1,""))</f>
        <v/>
      </c>
      <c r="E313" s="115">
        <f>IF(B313="","",IFERROR(B313/INDEX($B$2:$B$400,MATCH(DATE(YEAR(A313)-1,MONTH(A313),1),$A$2:$A$400,0))-1,""))</f>
        <v/>
      </c>
    </row>
    <row r="314">
      <c r="A314" s="117" t="n"/>
      <c r="B314" s="118" t="n"/>
      <c r="C314" s="115">
        <f>IF(OR(B314="",B313=""),"",B314/B313-1)</f>
        <v/>
      </c>
      <c r="D314" s="115">
        <f>IF(B314="","",IFERROR(B314/INDEX($B$2:$B$400,MATCH(DATE(YEAR(A314)-1,12,1),$A$2:$A$400,0))-1,""))</f>
        <v/>
      </c>
      <c r="E314" s="115">
        <f>IF(B314="","",IFERROR(B314/INDEX($B$2:$B$400,MATCH(DATE(YEAR(A314)-1,MONTH(A314),1),$A$2:$A$400,0))-1,""))</f>
        <v/>
      </c>
    </row>
    <row r="315">
      <c r="A315" s="117" t="n"/>
      <c r="B315" s="118" t="n"/>
      <c r="C315" s="115">
        <f>IF(OR(B315="",B314=""),"",B315/B314-1)</f>
        <v/>
      </c>
      <c r="D315" s="115">
        <f>IF(B315="","",IFERROR(B315/INDEX($B$2:$B$400,MATCH(DATE(YEAR(A315)-1,12,1),$A$2:$A$400,0))-1,""))</f>
        <v/>
      </c>
      <c r="E315" s="115">
        <f>IF(B315="","",IFERROR(B315/INDEX($B$2:$B$400,MATCH(DATE(YEAR(A315)-1,MONTH(A315),1),$A$2:$A$400,0))-1,""))</f>
        <v/>
      </c>
    </row>
    <row r="316">
      <c r="A316" s="117" t="n"/>
      <c r="B316" s="118" t="n"/>
      <c r="C316" s="115">
        <f>IF(OR(B316="",B315=""),"",B316/B315-1)</f>
        <v/>
      </c>
      <c r="D316" s="115">
        <f>IF(B316="","",IFERROR(B316/INDEX($B$2:$B$400,MATCH(DATE(YEAR(A316)-1,12,1),$A$2:$A$400,0))-1,""))</f>
        <v/>
      </c>
      <c r="E316" s="115">
        <f>IF(B316="","",IFERROR(B316/INDEX($B$2:$B$400,MATCH(DATE(YEAR(A316)-1,MONTH(A316),1),$A$2:$A$400,0))-1,""))</f>
        <v/>
      </c>
    </row>
    <row r="317">
      <c r="A317" s="117" t="n"/>
      <c r="B317" s="118" t="n"/>
      <c r="C317" s="115">
        <f>IF(OR(B317="",B316=""),"",B317/B316-1)</f>
        <v/>
      </c>
      <c r="D317" s="115">
        <f>IF(B317="","",IFERROR(B317/INDEX($B$2:$B$400,MATCH(DATE(YEAR(A317)-1,12,1),$A$2:$A$400,0))-1,""))</f>
        <v/>
      </c>
      <c r="E317" s="115">
        <f>IF(B317="","",IFERROR(B317/INDEX($B$2:$B$400,MATCH(DATE(YEAR(A317)-1,MONTH(A317),1),$A$2:$A$400,0))-1,""))</f>
        <v/>
      </c>
    </row>
    <row r="318">
      <c r="A318" s="117" t="n"/>
      <c r="B318" s="118" t="n"/>
      <c r="C318" s="115">
        <f>IF(OR(B318="",B317=""),"",B318/B317-1)</f>
        <v/>
      </c>
      <c r="D318" s="115">
        <f>IF(B318="","",IFERROR(B318/INDEX($B$2:$B$400,MATCH(DATE(YEAR(A318)-1,12,1),$A$2:$A$400,0))-1,""))</f>
        <v/>
      </c>
      <c r="E318" s="115">
        <f>IF(B318="","",IFERROR(B318/INDEX($B$2:$B$400,MATCH(DATE(YEAR(A318)-1,MONTH(A318),1),$A$2:$A$400,0))-1,""))</f>
        <v/>
      </c>
    </row>
    <row r="319">
      <c r="A319" s="117" t="n"/>
      <c r="B319" s="118" t="n"/>
      <c r="C319" s="115">
        <f>IF(OR(B319="",B318=""),"",B319/B318-1)</f>
        <v/>
      </c>
      <c r="D319" s="115">
        <f>IF(B319="","",IFERROR(B319/INDEX($B$2:$B$400,MATCH(DATE(YEAR(A319)-1,12,1),$A$2:$A$400,0))-1,""))</f>
        <v/>
      </c>
      <c r="E319" s="115">
        <f>IF(B319="","",IFERROR(B319/INDEX($B$2:$B$400,MATCH(DATE(YEAR(A319)-1,MONTH(A319),1),$A$2:$A$400,0))-1,""))</f>
        <v/>
      </c>
    </row>
    <row r="320">
      <c r="A320" s="117" t="n"/>
      <c r="B320" s="118" t="n"/>
      <c r="C320" s="115">
        <f>IF(OR(B320="",B319=""),"",B320/B319-1)</f>
        <v/>
      </c>
      <c r="D320" s="115">
        <f>IF(B320="","",IFERROR(B320/INDEX($B$2:$B$400,MATCH(DATE(YEAR(A320)-1,12,1),$A$2:$A$400,0))-1,""))</f>
        <v/>
      </c>
      <c r="E320" s="115">
        <f>IF(B320="","",IFERROR(B320/INDEX($B$2:$B$400,MATCH(DATE(YEAR(A320)-1,MONTH(A320),1),$A$2:$A$400,0))-1,""))</f>
        <v/>
      </c>
    </row>
    <row r="321">
      <c r="A321" s="117" t="n"/>
      <c r="B321" s="118" t="n"/>
      <c r="C321" s="115">
        <f>IF(OR(B321="",B320=""),"",B321/B320-1)</f>
        <v/>
      </c>
      <c r="D321" s="115">
        <f>IF(B321="","",IFERROR(B321/INDEX($B$2:$B$400,MATCH(DATE(YEAR(A321)-1,12,1),$A$2:$A$400,0))-1,""))</f>
        <v/>
      </c>
      <c r="E321" s="115">
        <f>IF(B321="","",IFERROR(B321/INDEX($B$2:$B$400,MATCH(DATE(YEAR(A321)-1,MONTH(A321),1),$A$2:$A$400,0))-1,""))</f>
        <v/>
      </c>
    </row>
    <row r="322">
      <c r="A322" s="117" t="n"/>
      <c r="B322" s="118" t="n"/>
      <c r="C322" s="115">
        <f>IF(OR(B322="",B321=""),"",B322/B321-1)</f>
        <v/>
      </c>
      <c r="D322" s="115">
        <f>IF(B322="","",IFERROR(B322/INDEX($B$2:$B$400,MATCH(DATE(YEAR(A322)-1,12,1),$A$2:$A$400,0))-1,""))</f>
        <v/>
      </c>
      <c r="E322" s="115">
        <f>IF(B322="","",IFERROR(B322/INDEX($B$2:$B$400,MATCH(DATE(YEAR(A322)-1,MONTH(A322),1),$A$2:$A$400,0))-1,""))</f>
        <v/>
      </c>
    </row>
    <row r="323">
      <c r="A323" s="117" t="n"/>
      <c r="B323" s="118" t="n"/>
      <c r="C323" s="115">
        <f>IF(OR(B323="",B322=""),"",B323/B322-1)</f>
        <v/>
      </c>
      <c r="D323" s="115">
        <f>IF(B323="","",IFERROR(B323/INDEX($B$2:$B$400,MATCH(DATE(YEAR(A323)-1,12,1),$A$2:$A$400,0))-1,""))</f>
        <v/>
      </c>
      <c r="E323" s="115">
        <f>IF(B323="","",IFERROR(B323/INDEX($B$2:$B$400,MATCH(DATE(YEAR(A323)-1,MONTH(A323),1),$A$2:$A$400,0))-1,""))</f>
        <v/>
      </c>
    </row>
    <row r="324">
      <c r="A324" s="117" t="n"/>
      <c r="B324" s="118" t="n"/>
      <c r="C324" s="115">
        <f>IF(OR(B324="",B323=""),"",B324/B323-1)</f>
        <v/>
      </c>
      <c r="D324" s="115">
        <f>IF(B324="","",IFERROR(B324/INDEX($B$2:$B$400,MATCH(DATE(YEAR(A324)-1,12,1),$A$2:$A$400,0))-1,""))</f>
        <v/>
      </c>
      <c r="E324" s="115">
        <f>IF(B324="","",IFERROR(B324/INDEX($B$2:$B$400,MATCH(DATE(YEAR(A324)-1,MONTH(A324),1),$A$2:$A$400,0))-1,""))</f>
        <v/>
      </c>
    </row>
    <row r="325">
      <c r="A325" s="117" t="n"/>
      <c r="B325" s="118" t="n"/>
      <c r="C325" s="115">
        <f>IF(OR(B325="",B324=""),"",B325/B324-1)</f>
        <v/>
      </c>
      <c r="D325" s="115">
        <f>IF(B325="","",IFERROR(B325/INDEX($B$2:$B$400,MATCH(DATE(YEAR(A325)-1,12,1),$A$2:$A$400,0))-1,""))</f>
        <v/>
      </c>
      <c r="E325" s="115">
        <f>IF(B325="","",IFERROR(B325/INDEX($B$2:$B$400,MATCH(DATE(YEAR(A325)-1,MONTH(A325),1),$A$2:$A$400,0))-1,""))</f>
        <v/>
      </c>
    </row>
    <row r="326">
      <c r="A326" s="117" t="n"/>
      <c r="B326" s="118" t="n"/>
      <c r="C326" s="115">
        <f>IF(OR(B326="",B325=""),"",B326/B325-1)</f>
        <v/>
      </c>
      <c r="D326" s="115">
        <f>IF(B326="","",IFERROR(B326/INDEX($B$2:$B$400,MATCH(DATE(YEAR(A326)-1,12,1),$A$2:$A$400,0))-1,""))</f>
        <v/>
      </c>
      <c r="E326" s="115">
        <f>IF(B326="","",IFERROR(B326/INDEX($B$2:$B$400,MATCH(DATE(YEAR(A326)-1,MONTH(A326),1),$A$2:$A$400,0))-1,""))</f>
        <v/>
      </c>
    </row>
    <row r="327">
      <c r="A327" s="117" t="n"/>
      <c r="B327" s="118" t="n"/>
      <c r="C327" s="115">
        <f>IF(OR(B327="",B326=""),"",B327/B326-1)</f>
        <v/>
      </c>
      <c r="D327" s="115">
        <f>IF(B327="","",IFERROR(B327/INDEX($B$2:$B$400,MATCH(DATE(YEAR(A327)-1,12,1),$A$2:$A$400,0))-1,""))</f>
        <v/>
      </c>
      <c r="E327" s="115">
        <f>IF(B327="","",IFERROR(B327/INDEX($B$2:$B$400,MATCH(DATE(YEAR(A327)-1,MONTH(A327),1),$A$2:$A$400,0))-1,""))</f>
        <v/>
      </c>
    </row>
    <row r="328">
      <c r="A328" s="117" t="n"/>
      <c r="B328" s="118" t="n"/>
      <c r="C328" s="115">
        <f>IF(OR(B328="",B327=""),"",B328/B327-1)</f>
        <v/>
      </c>
      <c r="D328" s="115">
        <f>IF(B328="","",IFERROR(B328/INDEX($B$2:$B$400,MATCH(DATE(YEAR(A328)-1,12,1),$A$2:$A$400,0))-1,""))</f>
        <v/>
      </c>
      <c r="E328" s="115">
        <f>IF(B328="","",IFERROR(B328/INDEX($B$2:$B$400,MATCH(DATE(YEAR(A328)-1,MONTH(A328),1),$A$2:$A$400,0))-1,""))</f>
        <v/>
      </c>
    </row>
    <row r="329">
      <c r="A329" s="117" t="n"/>
      <c r="B329" s="118" t="n"/>
      <c r="C329" s="115">
        <f>IF(OR(B329="",B328=""),"",B329/B328-1)</f>
        <v/>
      </c>
      <c r="D329" s="115">
        <f>IF(B329="","",IFERROR(B329/INDEX($B$2:$B$400,MATCH(DATE(YEAR(A329)-1,12,1),$A$2:$A$400,0))-1,""))</f>
        <v/>
      </c>
      <c r="E329" s="115">
        <f>IF(B329="","",IFERROR(B329/INDEX($B$2:$B$400,MATCH(DATE(YEAR(A329)-1,MONTH(A329),1),$A$2:$A$400,0))-1,""))</f>
        <v/>
      </c>
    </row>
    <row r="330">
      <c r="A330" s="117" t="n"/>
      <c r="B330" s="118" t="n"/>
      <c r="C330" s="115">
        <f>IF(OR(B330="",B329=""),"",B330/B329-1)</f>
        <v/>
      </c>
      <c r="D330" s="115">
        <f>IF(B330="","",IFERROR(B330/INDEX($B$2:$B$400,MATCH(DATE(YEAR(A330)-1,12,1),$A$2:$A$400,0))-1,""))</f>
        <v/>
      </c>
      <c r="E330" s="115">
        <f>IF(B330="","",IFERROR(B330/INDEX($B$2:$B$400,MATCH(DATE(YEAR(A330)-1,MONTH(A330),1),$A$2:$A$400,0))-1,""))</f>
        <v/>
      </c>
    </row>
    <row r="331">
      <c r="A331" s="117" t="n"/>
      <c r="B331" s="118" t="n"/>
      <c r="C331" s="115">
        <f>IF(OR(B331="",B330=""),"",B331/B330-1)</f>
        <v/>
      </c>
      <c r="D331" s="115">
        <f>IF(B331="","",IFERROR(B331/INDEX($B$2:$B$400,MATCH(DATE(YEAR(A331)-1,12,1),$A$2:$A$400,0))-1,""))</f>
        <v/>
      </c>
      <c r="E331" s="115">
        <f>IF(B331="","",IFERROR(B331/INDEX($B$2:$B$400,MATCH(DATE(YEAR(A331)-1,MONTH(A331),1),$A$2:$A$400,0))-1,""))</f>
        <v/>
      </c>
    </row>
    <row r="332">
      <c r="A332" s="117" t="n"/>
      <c r="B332" s="118" t="n"/>
      <c r="C332" s="115">
        <f>IF(OR(B332="",B331=""),"",B332/B331-1)</f>
        <v/>
      </c>
      <c r="D332" s="115">
        <f>IF(B332="","",IFERROR(B332/INDEX($B$2:$B$400,MATCH(DATE(YEAR(A332)-1,12,1),$A$2:$A$400,0))-1,""))</f>
        <v/>
      </c>
      <c r="E332" s="115">
        <f>IF(B332="","",IFERROR(B332/INDEX($B$2:$B$400,MATCH(DATE(YEAR(A332)-1,MONTH(A332),1),$A$2:$A$400,0))-1,""))</f>
        <v/>
      </c>
    </row>
    <row r="333">
      <c r="A333" s="117" t="n"/>
      <c r="B333" s="118" t="n"/>
      <c r="C333" s="115">
        <f>IF(OR(B333="",B332=""),"",B333/B332-1)</f>
        <v/>
      </c>
      <c r="D333" s="115">
        <f>IF(B333="","",IFERROR(B333/INDEX($B$2:$B$400,MATCH(DATE(YEAR(A333)-1,12,1),$A$2:$A$400,0))-1,""))</f>
        <v/>
      </c>
      <c r="E333" s="115">
        <f>IF(B333="","",IFERROR(B333/INDEX($B$2:$B$400,MATCH(DATE(YEAR(A333)-1,MONTH(A333),1),$A$2:$A$400,0))-1,""))</f>
        <v/>
      </c>
    </row>
    <row r="334">
      <c r="A334" s="117" t="n"/>
      <c r="B334" s="118" t="n"/>
      <c r="C334" s="115">
        <f>IF(OR(B334="",B333=""),"",B334/B333-1)</f>
        <v/>
      </c>
      <c r="D334" s="115">
        <f>IF(B334="","",IFERROR(B334/INDEX($B$2:$B$400,MATCH(DATE(YEAR(A334)-1,12,1),$A$2:$A$400,0))-1,""))</f>
        <v/>
      </c>
      <c r="E334" s="115">
        <f>IF(B334="","",IFERROR(B334/INDEX($B$2:$B$400,MATCH(DATE(YEAR(A334)-1,MONTH(A334),1),$A$2:$A$400,0))-1,""))</f>
        <v/>
      </c>
    </row>
    <row r="335">
      <c r="A335" s="117" t="n"/>
      <c r="B335" s="118" t="n"/>
      <c r="C335" s="115">
        <f>IF(OR(B335="",B334=""),"",B335/B334-1)</f>
        <v/>
      </c>
      <c r="D335" s="115">
        <f>IF(B335="","",IFERROR(B335/INDEX($B$2:$B$400,MATCH(DATE(YEAR(A335)-1,12,1),$A$2:$A$400,0))-1,""))</f>
        <v/>
      </c>
      <c r="E335" s="115">
        <f>IF(B335="","",IFERROR(B335/INDEX($B$2:$B$400,MATCH(DATE(YEAR(A335)-1,MONTH(A335),1),$A$2:$A$400,0))-1,""))</f>
        <v/>
      </c>
    </row>
    <row r="336">
      <c r="A336" s="117" t="n"/>
      <c r="B336" s="118" t="n"/>
      <c r="C336" s="115">
        <f>IF(OR(B336="",B335=""),"",B336/B335-1)</f>
        <v/>
      </c>
      <c r="D336" s="115">
        <f>IF(B336="","",IFERROR(B336/INDEX($B$2:$B$400,MATCH(DATE(YEAR(A336)-1,12,1),$A$2:$A$400,0))-1,""))</f>
        <v/>
      </c>
      <c r="E336" s="115">
        <f>IF(B336="","",IFERROR(B336/INDEX($B$2:$B$400,MATCH(DATE(YEAR(A336)-1,MONTH(A336),1),$A$2:$A$400,0))-1,""))</f>
        <v/>
      </c>
    </row>
    <row r="337">
      <c r="A337" s="117" t="n"/>
      <c r="B337" s="118" t="n"/>
      <c r="C337" s="115">
        <f>IF(OR(B337="",B336=""),"",B337/B336-1)</f>
        <v/>
      </c>
      <c r="D337" s="115">
        <f>IF(B337="","",IFERROR(B337/INDEX($B$2:$B$400,MATCH(DATE(YEAR(A337)-1,12,1),$A$2:$A$400,0))-1,""))</f>
        <v/>
      </c>
      <c r="E337" s="115">
        <f>IF(B337="","",IFERROR(B337/INDEX($B$2:$B$400,MATCH(DATE(YEAR(A337)-1,MONTH(A337),1),$A$2:$A$400,0))-1,""))</f>
        <v/>
      </c>
    </row>
    <row r="338">
      <c r="A338" s="117" t="n"/>
      <c r="B338" s="118" t="n"/>
      <c r="C338" s="115">
        <f>IF(OR(B338="",B337=""),"",B338/B337-1)</f>
        <v/>
      </c>
      <c r="D338" s="115">
        <f>IF(B338="","",IFERROR(B338/INDEX($B$2:$B$400,MATCH(DATE(YEAR(A338)-1,12,1),$A$2:$A$400,0))-1,""))</f>
        <v/>
      </c>
      <c r="E338" s="115">
        <f>IF(B338="","",IFERROR(B338/INDEX($B$2:$B$400,MATCH(DATE(YEAR(A338)-1,MONTH(A338),1),$A$2:$A$400,0))-1,""))</f>
        <v/>
      </c>
    </row>
    <row r="339">
      <c r="A339" s="117" t="n"/>
      <c r="B339" s="118" t="n"/>
      <c r="C339" s="115">
        <f>IF(OR(B339="",B338=""),"",B339/B338-1)</f>
        <v/>
      </c>
      <c r="D339" s="115">
        <f>IF(B339="","",IFERROR(B339/INDEX($B$2:$B$400,MATCH(DATE(YEAR(A339)-1,12,1),$A$2:$A$400,0))-1,""))</f>
        <v/>
      </c>
      <c r="E339" s="115">
        <f>IF(B339="","",IFERROR(B339/INDEX($B$2:$B$400,MATCH(DATE(YEAR(A339)-1,MONTH(A339),1),$A$2:$A$400,0))-1,""))</f>
        <v/>
      </c>
    </row>
    <row r="340">
      <c r="A340" s="117" t="n"/>
      <c r="B340" s="118" t="n"/>
      <c r="C340" s="115">
        <f>IF(OR(B340="",B339=""),"",B340/B339-1)</f>
        <v/>
      </c>
      <c r="D340" s="115">
        <f>IF(B340="","",IFERROR(B340/INDEX($B$2:$B$400,MATCH(DATE(YEAR(A340)-1,12,1),$A$2:$A$400,0))-1,""))</f>
        <v/>
      </c>
      <c r="E340" s="115">
        <f>IF(B340="","",IFERROR(B340/INDEX($B$2:$B$400,MATCH(DATE(YEAR(A340)-1,MONTH(A340),1),$A$2:$A$400,0))-1,""))</f>
        <v/>
      </c>
    </row>
    <row r="341">
      <c r="A341" s="117" t="n"/>
      <c r="B341" s="118" t="n"/>
      <c r="C341" s="115">
        <f>IF(OR(B341="",B340=""),"",B341/B340-1)</f>
        <v/>
      </c>
      <c r="D341" s="115">
        <f>IF(B341="","",IFERROR(B341/INDEX($B$2:$B$400,MATCH(DATE(YEAR(A341)-1,12,1),$A$2:$A$400,0))-1,""))</f>
        <v/>
      </c>
      <c r="E341" s="115">
        <f>IF(B341="","",IFERROR(B341/INDEX($B$2:$B$400,MATCH(DATE(YEAR(A341)-1,MONTH(A341),1),$A$2:$A$400,0))-1,""))</f>
        <v/>
      </c>
    </row>
    <row r="342">
      <c r="A342" s="117" t="n"/>
      <c r="B342" s="118" t="n"/>
      <c r="C342" s="115">
        <f>IF(OR(B342="",B341=""),"",B342/B341-1)</f>
        <v/>
      </c>
      <c r="D342" s="115">
        <f>IF(B342="","",IFERROR(B342/INDEX($B$2:$B$400,MATCH(DATE(YEAR(A342)-1,12,1),$A$2:$A$400,0))-1,""))</f>
        <v/>
      </c>
      <c r="E342" s="115">
        <f>IF(B342="","",IFERROR(B342/INDEX($B$2:$B$400,MATCH(DATE(YEAR(A342)-1,MONTH(A342),1),$A$2:$A$400,0))-1,""))</f>
        <v/>
      </c>
    </row>
    <row r="343">
      <c r="A343" s="117" t="n"/>
      <c r="B343" s="118" t="n"/>
      <c r="C343" s="115">
        <f>IF(OR(B343="",B342=""),"",B343/B342-1)</f>
        <v/>
      </c>
      <c r="D343" s="115">
        <f>IF(B343="","",IFERROR(B343/INDEX($B$2:$B$400,MATCH(DATE(YEAR(A343)-1,12,1),$A$2:$A$400,0))-1,""))</f>
        <v/>
      </c>
      <c r="E343" s="115">
        <f>IF(B343="","",IFERROR(B343/INDEX($B$2:$B$400,MATCH(DATE(YEAR(A343)-1,MONTH(A343),1),$A$2:$A$400,0))-1,""))</f>
        <v/>
      </c>
    </row>
    <row r="344">
      <c r="A344" s="117" t="n"/>
      <c r="B344" s="118" t="n"/>
      <c r="C344" s="115">
        <f>IF(OR(B344="",B343=""),"",B344/B343-1)</f>
        <v/>
      </c>
      <c r="D344" s="115">
        <f>IF(B344="","",IFERROR(B344/INDEX($B$2:$B$400,MATCH(DATE(YEAR(A344)-1,12,1),$A$2:$A$400,0))-1,""))</f>
        <v/>
      </c>
      <c r="E344" s="115">
        <f>IF(B344="","",IFERROR(B344/INDEX($B$2:$B$400,MATCH(DATE(YEAR(A344)-1,MONTH(A344),1),$A$2:$A$400,0))-1,""))</f>
        <v/>
      </c>
    </row>
    <row r="345">
      <c r="A345" s="117" t="n"/>
      <c r="B345" s="118" t="n"/>
      <c r="C345" s="115">
        <f>IF(OR(B345="",B344=""),"",B345/B344-1)</f>
        <v/>
      </c>
      <c r="D345" s="115">
        <f>IF(B345="","",IFERROR(B345/INDEX($B$2:$B$400,MATCH(DATE(YEAR(A345)-1,12,1),$A$2:$A$400,0))-1,""))</f>
        <v/>
      </c>
      <c r="E345" s="115">
        <f>IF(B345="","",IFERROR(B345/INDEX($B$2:$B$400,MATCH(DATE(YEAR(A345)-1,MONTH(A345),1),$A$2:$A$400,0))-1,""))</f>
        <v/>
      </c>
    </row>
    <row r="346">
      <c r="A346" s="117" t="n"/>
      <c r="B346" s="118" t="n"/>
      <c r="C346" s="115">
        <f>IF(OR(B346="",B345=""),"",B346/B345-1)</f>
        <v/>
      </c>
      <c r="D346" s="115">
        <f>IF(B346="","",IFERROR(B346/INDEX($B$2:$B$400,MATCH(DATE(YEAR(A346)-1,12,1),$A$2:$A$400,0))-1,""))</f>
        <v/>
      </c>
      <c r="E346" s="115">
        <f>IF(B346="","",IFERROR(B346/INDEX($B$2:$B$400,MATCH(DATE(YEAR(A346)-1,MONTH(A346),1),$A$2:$A$400,0))-1,""))</f>
        <v/>
      </c>
    </row>
    <row r="347">
      <c r="A347" s="117" t="n"/>
      <c r="B347" s="118" t="n"/>
      <c r="C347" s="115">
        <f>IF(OR(B347="",B346=""),"",B347/B346-1)</f>
        <v/>
      </c>
      <c r="D347" s="115">
        <f>IF(B347="","",IFERROR(B347/INDEX($B$2:$B$400,MATCH(DATE(YEAR(A347)-1,12,1),$A$2:$A$400,0))-1,""))</f>
        <v/>
      </c>
      <c r="E347" s="115">
        <f>IF(B347="","",IFERROR(B347/INDEX($B$2:$B$400,MATCH(DATE(YEAR(A347)-1,MONTH(A347),1),$A$2:$A$400,0))-1,""))</f>
        <v/>
      </c>
    </row>
    <row r="348">
      <c r="A348" s="117" t="n"/>
      <c r="B348" s="118" t="n"/>
      <c r="C348" s="115">
        <f>IF(OR(B348="",B347=""),"",B348/B347-1)</f>
        <v/>
      </c>
      <c r="D348" s="115">
        <f>IF(B348="","",IFERROR(B348/INDEX($B$2:$B$400,MATCH(DATE(YEAR(A348)-1,12,1),$A$2:$A$400,0))-1,""))</f>
        <v/>
      </c>
      <c r="E348" s="115">
        <f>IF(B348="","",IFERROR(B348/INDEX($B$2:$B$400,MATCH(DATE(YEAR(A348)-1,MONTH(A348),1),$A$2:$A$400,0))-1,""))</f>
        <v/>
      </c>
    </row>
    <row r="349">
      <c r="A349" s="117" t="n"/>
      <c r="B349" s="118" t="n"/>
      <c r="C349" s="115">
        <f>IF(OR(B349="",B348=""),"",B349/B348-1)</f>
        <v/>
      </c>
      <c r="D349" s="115">
        <f>IF(B349="","",IFERROR(B349/INDEX($B$2:$B$400,MATCH(DATE(YEAR(A349)-1,12,1),$A$2:$A$400,0))-1,""))</f>
        <v/>
      </c>
      <c r="E349" s="115">
        <f>IF(B349="","",IFERROR(B349/INDEX($B$2:$B$400,MATCH(DATE(YEAR(A349)-1,MONTH(A349),1),$A$2:$A$400,0))-1,""))</f>
        <v/>
      </c>
    </row>
    <row r="350">
      <c r="A350" s="117" t="n"/>
      <c r="B350" s="118" t="n"/>
      <c r="C350" s="115">
        <f>IF(OR(B350="",B349=""),"",B350/B349-1)</f>
        <v/>
      </c>
      <c r="D350" s="115">
        <f>IF(B350="","",IFERROR(B350/INDEX($B$2:$B$400,MATCH(DATE(YEAR(A350)-1,12,1),$A$2:$A$400,0))-1,""))</f>
        <v/>
      </c>
      <c r="E350" s="115">
        <f>IF(B350="","",IFERROR(B350/INDEX($B$2:$B$400,MATCH(DATE(YEAR(A350)-1,MONTH(A350),1),$A$2:$A$400,0))-1,""))</f>
        <v/>
      </c>
    </row>
    <row r="351">
      <c r="A351" s="117" t="n"/>
      <c r="B351" s="118" t="n"/>
      <c r="C351" s="115">
        <f>IF(OR(B351="",B350=""),"",B351/B350-1)</f>
        <v/>
      </c>
      <c r="D351" s="115">
        <f>IF(B351="","",IFERROR(B351/INDEX($B$2:$B$400,MATCH(DATE(YEAR(A351)-1,12,1),$A$2:$A$400,0))-1,""))</f>
        <v/>
      </c>
      <c r="E351" s="115">
        <f>IF(B351="","",IFERROR(B351/INDEX($B$2:$B$400,MATCH(DATE(YEAR(A351)-1,MONTH(A351),1),$A$2:$A$400,0))-1,""))</f>
        <v/>
      </c>
    </row>
    <row r="352">
      <c r="A352" s="117" t="n"/>
      <c r="B352" s="118" t="n"/>
      <c r="C352" s="115">
        <f>IF(OR(B352="",B351=""),"",B352/B351-1)</f>
        <v/>
      </c>
      <c r="D352" s="115">
        <f>IF(B352="","",IFERROR(B352/INDEX($B$2:$B$400,MATCH(DATE(YEAR(A352)-1,12,1),$A$2:$A$400,0))-1,""))</f>
        <v/>
      </c>
      <c r="E352" s="115">
        <f>IF(B352="","",IFERROR(B352/INDEX($B$2:$B$400,MATCH(DATE(YEAR(A352)-1,MONTH(A352),1),$A$2:$A$400,0))-1,""))</f>
        <v/>
      </c>
    </row>
    <row r="353">
      <c r="A353" s="117" t="n"/>
      <c r="B353" s="118" t="n"/>
      <c r="C353" s="115">
        <f>IF(OR(B353="",B352=""),"",B353/B352-1)</f>
        <v/>
      </c>
      <c r="D353" s="115">
        <f>IF(B353="","",IFERROR(B353/INDEX($B$2:$B$400,MATCH(DATE(YEAR(A353)-1,12,1),$A$2:$A$400,0))-1,""))</f>
        <v/>
      </c>
      <c r="E353" s="115">
        <f>IF(B353="","",IFERROR(B353/INDEX($B$2:$B$400,MATCH(DATE(YEAR(A353)-1,MONTH(A353),1),$A$2:$A$400,0))-1,""))</f>
        <v/>
      </c>
    </row>
    <row r="354">
      <c r="A354" s="117" t="n"/>
      <c r="B354" s="118" t="n"/>
      <c r="C354" s="115">
        <f>IF(OR(B354="",B353=""),"",B354/B353-1)</f>
        <v/>
      </c>
      <c r="D354" s="115">
        <f>IF(B354="","",IFERROR(B354/INDEX($B$2:$B$400,MATCH(DATE(YEAR(A354)-1,12,1),$A$2:$A$400,0))-1,""))</f>
        <v/>
      </c>
      <c r="E354" s="115">
        <f>IF(B354="","",IFERROR(B354/INDEX($B$2:$B$400,MATCH(DATE(YEAR(A354)-1,MONTH(A354),1),$A$2:$A$400,0))-1,""))</f>
        <v/>
      </c>
    </row>
    <row r="355">
      <c r="A355" s="117" t="n"/>
      <c r="B355" s="118" t="n"/>
      <c r="C355" s="115">
        <f>IF(OR(B355="",B354=""),"",B355/B354-1)</f>
        <v/>
      </c>
      <c r="D355" s="115">
        <f>IF(B355="","",IFERROR(B355/INDEX($B$2:$B$400,MATCH(DATE(YEAR(A355)-1,12,1),$A$2:$A$400,0))-1,""))</f>
        <v/>
      </c>
      <c r="E355" s="115">
        <f>IF(B355="","",IFERROR(B355/INDEX($B$2:$B$400,MATCH(DATE(YEAR(A355)-1,MONTH(A355),1),$A$2:$A$400,0))-1,""))</f>
        <v/>
      </c>
    </row>
    <row r="356">
      <c r="A356" s="117" t="n"/>
      <c r="B356" s="118" t="n"/>
      <c r="C356" s="115">
        <f>IF(OR(B356="",B355=""),"",B356/B355-1)</f>
        <v/>
      </c>
      <c r="D356" s="115">
        <f>IF(B356="","",IFERROR(B356/INDEX($B$2:$B$400,MATCH(DATE(YEAR(A356)-1,12,1),$A$2:$A$400,0))-1,""))</f>
        <v/>
      </c>
      <c r="E356" s="115">
        <f>IF(B356="","",IFERROR(B356/INDEX($B$2:$B$400,MATCH(DATE(YEAR(A356)-1,MONTH(A356),1),$A$2:$A$400,0))-1,""))</f>
        <v/>
      </c>
    </row>
    <row r="357">
      <c r="A357" s="117" t="n"/>
      <c r="B357" s="118" t="n"/>
      <c r="C357" s="115">
        <f>IF(OR(B357="",B356=""),"",B357/B356-1)</f>
        <v/>
      </c>
      <c r="D357" s="115">
        <f>IF(B357="","",IFERROR(B357/INDEX($B$2:$B$400,MATCH(DATE(YEAR(A357)-1,12,1),$A$2:$A$400,0))-1,""))</f>
        <v/>
      </c>
      <c r="E357" s="115">
        <f>IF(B357="","",IFERROR(B357/INDEX($B$2:$B$400,MATCH(DATE(YEAR(A357)-1,MONTH(A357),1),$A$2:$A$400,0))-1,""))</f>
        <v/>
      </c>
    </row>
    <row r="358">
      <c r="A358" s="117" t="n"/>
      <c r="B358" s="118" t="n"/>
      <c r="C358" s="115">
        <f>IF(OR(B358="",B357=""),"",B358/B357-1)</f>
        <v/>
      </c>
      <c r="D358" s="115">
        <f>IF(B358="","",IFERROR(B358/INDEX($B$2:$B$400,MATCH(DATE(YEAR(A358)-1,12,1),$A$2:$A$400,0))-1,""))</f>
        <v/>
      </c>
      <c r="E358" s="115">
        <f>IF(B358="","",IFERROR(B358/INDEX($B$2:$B$400,MATCH(DATE(YEAR(A358)-1,MONTH(A358),1),$A$2:$A$400,0))-1,""))</f>
        <v/>
      </c>
    </row>
    <row r="359">
      <c r="A359" s="117" t="n"/>
      <c r="B359" s="118" t="n"/>
      <c r="C359" s="115">
        <f>IF(OR(B359="",B358=""),"",B359/B358-1)</f>
        <v/>
      </c>
      <c r="D359" s="115">
        <f>IF(B359="","",IFERROR(B359/INDEX($B$2:$B$400,MATCH(DATE(YEAR(A359)-1,12,1),$A$2:$A$400,0))-1,""))</f>
        <v/>
      </c>
      <c r="E359" s="115">
        <f>IF(B359="","",IFERROR(B359/INDEX($B$2:$B$400,MATCH(DATE(YEAR(A359)-1,MONTH(A359),1),$A$2:$A$400,0))-1,""))</f>
        <v/>
      </c>
    </row>
    <row r="360">
      <c r="A360" s="117" t="n"/>
      <c r="B360" s="118" t="n"/>
      <c r="C360" s="115">
        <f>IF(OR(B360="",B359=""),"",B360/B359-1)</f>
        <v/>
      </c>
      <c r="D360" s="115">
        <f>IF(B360="","",IFERROR(B360/INDEX($B$2:$B$400,MATCH(DATE(YEAR(A360)-1,12,1),$A$2:$A$400,0))-1,""))</f>
        <v/>
      </c>
      <c r="E360" s="115">
        <f>IF(B360="","",IFERROR(B360/INDEX($B$2:$B$400,MATCH(DATE(YEAR(A360)-1,MONTH(A360),1),$A$2:$A$400,0))-1,""))</f>
        <v/>
      </c>
    </row>
    <row r="361">
      <c r="A361" s="117" t="n"/>
      <c r="B361" s="118" t="n"/>
      <c r="C361" s="115">
        <f>IF(OR(B361="",B360=""),"",B361/B360-1)</f>
        <v/>
      </c>
      <c r="D361" s="115">
        <f>IF(B361="","",IFERROR(B361/INDEX($B$2:$B$400,MATCH(DATE(YEAR(A361)-1,12,1),$A$2:$A$400,0))-1,""))</f>
        <v/>
      </c>
      <c r="E361" s="115">
        <f>IF(B361="","",IFERROR(B361/INDEX($B$2:$B$400,MATCH(DATE(YEAR(A361)-1,MONTH(A361),1),$A$2:$A$400,0))-1,""))</f>
        <v/>
      </c>
    </row>
    <row r="362">
      <c r="A362" s="117" t="n"/>
      <c r="B362" s="118" t="n"/>
      <c r="C362" s="115">
        <f>IF(OR(B362="",B361=""),"",B362/B361-1)</f>
        <v/>
      </c>
      <c r="D362" s="115">
        <f>IF(B362="","",IFERROR(B362/INDEX($B$2:$B$400,MATCH(DATE(YEAR(A362)-1,12,1),$A$2:$A$400,0))-1,""))</f>
        <v/>
      </c>
      <c r="E362" s="115">
        <f>IF(B362="","",IFERROR(B362/INDEX($B$2:$B$400,MATCH(DATE(YEAR(A362)-1,MONTH(A362),1),$A$2:$A$400,0))-1,""))</f>
        <v/>
      </c>
    </row>
    <row r="363">
      <c r="A363" s="117" t="n"/>
      <c r="B363" s="118" t="n"/>
      <c r="C363" s="115">
        <f>IF(OR(B363="",B362=""),"",B363/B362-1)</f>
        <v/>
      </c>
      <c r="D363" s="115">
        <f>IF(B363="","",IFERROR(B363/INDEX($B$2:$B$400,MATCH(DATE(YEAR(A363)-1,12,1),$A$2:$A$400,0))-1,""))</f>
        <v/>
      </c>
      <c r="E363" s="115">
        <f>IF(B363="","",IFERROR(B363/INDEX($B$2:$B$400,MATCH(DATE(YEAR(A363)-1,MONTH(A363),1),$A$2:$A$400,0))-1,""))</f>
        <v/>
      </c>
    </row>
    <row r="364">
      <c r="A364" s="117" t="n"/>
      <c r="B364" s="118" t="n"/>
      <c r="C364" s="115">
        <f>IF(OR(B364="",B363=""),"",B364/B363-1)</f>
        <v/>
      </c>
      <c r="D364" s="115">
        <f>IF(B364="","",IFERROR(B364/INDEX($B$2:$B$400,MATCH(DATE(YEAR(A364)-1,12,1),$A$2:$A$400,0))-1,""))</f>
        <v/>
      </c>
      <c r="E364" s="115">
        <f>IF(B364="","",IFERROR(B364/INDEX($B$2:$B$400,MATCH(DATE(YEAR(A364)-1,MONTH(A364),1),$A$2:$A$400,0))-1,""))</f>
        <v/>
      </c>
    </row>
    <row r="365">
      <c r="A365" s="117" t="n"/>
      <c r="B365" s="118" t="n"/>
      <c r="C365" s="115">
        <f>IF(OR(B365="",B364=""),"",B365/B364-1)</f>
        <v/>
      </c>
      <c r="D365" s="115">
        <f>IF(B365="","",IFERROR(B365/INDEX($B$2:$B$400,MATCH(DATE(YEAR(A365)-1,12,1),$A$2:$A$400,0))-1,""))</f>
        <v/>
      </c>
      <c r="E365" s="115">
        <f>IF(B365="","",IFERROR(B365/INDEX($B$2:$B$400,MATCH(DATE(YEAR(A365)-1,MONTH(A365),1),$A$2:$A$400,0))-1,""))</f>
        <v/>
      </c>
    </row>
    <row r="366">
      <c r="A366" s="117" t="n"/>
      <c r="B366" s="118" t="n"/>
      <c r="C366" s="115">
        <f>IF(OR(B366="",B365=""),"",B366/B365-1)</f>
        <v/>
      </c>
      <c r="D366" s="115">
        <f>IF(B366="","",IFERROR(B366/INDEX($B$2:$B$400,MATCH(DATE(YEAR(A366)-1,12,1),$A$2:$A$400,0))-1,""))</f>
        <v/>
      </c>
      <c r="E366" s="115">
        <f>IF(B366="","",IFERROR(B366/INDEX($B$2:$B$400,MATCH(DATE(YEAR(A366)-1,MONTH(A366),1),$A$2:$A$400,0))-1,""))</f>
        <v/>
      </c>
    </row>
    <row r="367">
      <c r="A367" s="117" t="n"/>
      <c r="B367" s="118" t="n"/>
      <c r="C367" s="115">
        <f>IF(OR(B367="",B366=""),"",B367/B366-1)</f>
        <v/>
      </c>
      <c r="D367" s="115">
        <f>IF(B367="","",IFERROR(B367/INDEX($B$2:$B$400,MATCH(DATE(YEAR(A367)-1,12,1),$A$2:$A$400,0))-1,""))</f>
        <v/>
      </c>
      <c r="E367" s="115">
        <f>IF(B367="","",IFERROR(B367/INDEX($B$2:$B$400,MATCH(DATE(YEAR(A367)-1,MONTH(A367),1),$A$2:$A$400,0))-1,""))</f>
        <v/>
      </c>
    </row>
    <row r="368">
      <c r="A368" s="117" t="n"/>
      <c r="B368" s="118" t="n"/>
      <c r="C368" s="115">
        <f>IF(OR(B368="",B367=""),"",B368/B367-1)</f>
        <v/>
      </c>
      <c r="D368" s="115">
        <f>IF(B368="","",IFERROR(B368/INDEX($B$2:$B$400,MATCH(DATE(YEAR(A368)-1,12,1),$A$2:$A$400,0))-1,""))</f>
        <v/>
      </c>
      <c r="E368" s="115">
        <f>IF(B368="","",IFERROR(B368/INDEX($B$2:$B$400,MATCH(DATE(YEAR(A368)-1,MONTH(A368),1),$A$2:$A$400,0))-1,""))</f>
        <v/>
      </c>
    </row>
    <row r="369">
      <c r="A369" s="117" t="n"/>
      <c r="B369" s="118" t="n"/>
      <c r="C369" s="115">
        <f>IF(OR(B369="",B368=""),"",B369/B368-1)</f>
        <v/>
      </c>
      <c r="D369" s="115">
        <f>IF(B369="","",IFERROR(B369/INDEX($B$2:$B$400,MATCH(DATE(YEAR(A369)-1,12,1),$A$2:$A$400,0))-1,""))</f>
        <v/>
      </c>
      <c r="E369" s="115">
        <f>IF(B369="","",IFERROR(B369/INDEX($B$2:$B$400,MATCH(DATE(YEAR(A369)-1,MONTH(A369),1),$A$2:$A$400,0))-1,""))</f>
        <v/>
      </c>
    </row>
    <row r="370">
      <c r="A370" s="117" t="n"/>
      <c r="B370" s="118" t="n"/>
      <c r="C370" s="115">
        <f>IF(OR(B370="",B369=""),"",B370/B369-1)</f>
        <v/>
      </c>
      <c r="D370" s="115">
        <f>IF(B370="","",IFERROR(B370/INDEX($B$2:$B$400,MATCH(DATE(YEAR(A370)-1,12,1),$A$2:$A$400,0))-1,""))</f>
        <v/>
      </c>
      <c r="E370" s="115">
        <f>IF(B370="","",IFERROR(B370/INDEX($B$2:$B$400,MATCH(DATE(YEAR(A370)-1,MONTH(A370),1),$A$2:$A$400,0))-1,""))</f>
        <v/>
      </c>
    </row>
    <row r="371">
      <c r="A371" s="117" t="n"/>
      <c r="B371" s="118" t="n"/>
      <c r="C371" s="115">
        <f>IF(OR(B371="",B370=""),"",B371/B370-1)</f>
        <v/>
      </c>
      <c r="D371" s="115">
        <f>IF(B371="","",IFERROR(B371/INDEX($B$2:$B$400,MATCH(DATE(YEAR(A371)-1,12,1),$A$2:$A$400,0))-1,""))</f>
        <v/>
      </c>
      <c r="E371" s="115">
        <f>IF(B371="","",IFERROR(B371/INDEX($B$2:$B$400,MATCH(DATE(YEAR(A371)-1,MONTH(A371),1),$A$2:$A$400,0))-1,""))</f>
        <v/>
      </c>
    </row>
    <row r="372">
      <c r="A372" s="117" t="n"/>
      <c r="B372" s="118" t="n"/>
      <c r="C372" s="115">
        <f>IF(OR(B372="",B371=""),"",B372/B371-1)</f>
        <v/>
      </c>
      <c r="D372" s="115">
        <f>IF(B372="","",IFERROR(B372/INDEX($B$2:$B$400,MATCH(DATE(YEAR(A372)-1,12,1),$A$2:$A$400,0))-1,""))</f>
        <v/>
      </c>
      <c r="E372" s="115">
        <f>IF(B372="","",IFERROR(B372/INDEX($B$2:$B$400,MATCH(DATE(YEAR(A372)-1,MONTH(A372),1),$A$2:$A$400,0))-1,""))</f>
        <v/>
      </c>
    </row>
    <row r="373">
      <c r="A373" s="117" t="n"/>
      <c r="B373" s="118" t="n"/>
      <c r="C373" s="115">
        <f>IF(OR(B373="",B372=""),"",B373/B372-1)</f>
        <v/>
      </c>
      <c r="D373" s="115">
        <f>IF(B373="","",IFERROR(B373/INDEX($B$2:$B$400,MATCH(DATE(YEAR(A373)-1,12,1),$A$2:$A$400,0))-1,""))</f>
        <v/>
      </c>
      <c r="E373" s="115">
        <f>IF(B373="","",IFERROR(B373/INDEX($B$2:$B$400,MATCH(DATE(YEAR(A373)-1,MONTH(A373),1),$A$2:$A$400,0))-1,""))</f>
        <v/>
      </c>
    </row>
    <row r="374">
      <c r="A374" s="117" t="n"/>
      <c r="B374" s="118" t="n"/>
      <c r="C374" s="115">
        <f>IF(OR(B374="",B373=""),"",B374/B373-1)</f>
        <v/>
      </c>
      <c r="D374" s="115">
        <f>IF(B374="","",IFERROR(B374/INDEX($B$2:$B$400,MATCH(DATE(YEAR(A374)-1,12,1),$A$2:$A$400,0))-1,""))</f>
        <v/>
      </c>
      <c r="E374" s="115">
        <f>IF(B374="","",IFERROR(B374/INDEX($B$2:$B$400,MATCH(DATE(YEAR(A374)-1,MONTH(A374),1),$A$2:$A$400,0))-1,""))</f>
        <v/>
      </c>
    </row>
    <row r="375">
      <c r="A375" s="117" t="n"/>
      <c r="B375" s="118" t="n"/>
      <c r="C375" s="115">
        <f>IF(OR(B375="",B374=""),"",B375/B374-1)</f>
        <v/>
      </c>
      <c r="D375" s="115">
        <f>IF(B375="","",IFERROR(B375/INDEX($B$2:$B$400,MATCH(DATE(YEAR(A375)-1,12,1),$A$2:$A$400,0))-1,""))</f>
        <v/>
      </c>
      <c r="E375" s="115">
        <f>IF(B375="","",IFERROR(B375/INDEX($B$2:$B$400,MATCH(DATE(YEAR(A375)-1,MONTH(A375),1),$A$2:$A$400,0))-1,""))</f>
        <v/>
      </c>
    </row>
    <row r="376">
      <c r="A376" s="117" t="n"/>
      <c r="B376" s="118" t="n"/>
      <c r="C376" s="115">
        <f>IF(OR(B376="",B375=""),"",B376/B375-1)</f>
        <v/>
      </c>
      <c r="D376" s="115">
        <f>IF(B376="","",IFERROR(B376/INDEX($B$2:$B$400,MATCH(DATE(YEAR(A376)-1,12,1),$A$2:$A$400,0))-1,""))</f>
        <v/>
      </c>
      <c r="E376" s="115">
        <f>IF(B376="","",IFERROR(B376/INDEX($B$2:$B$400,MATCH(DATE(YEAR(A376)-1,MONTH(A376),1),$A$2:$A$400,0))-1,""))</f>
        <v/>
      </c>
    </row>
    <row r="377">
      <c r="A377" s="117" t="n"/>
      <c r="B377" s="118" t="n"/>
      <c r="C377" s="115">
        <f>IF(OR(B377="",B376=""),"",B377/B376-1)</f>
        <v/>
      </c>
      <c r="D377" s="115">
        <f>IF(B377="","",IFERROR(B377/INDEX($B$2:$B$400,MATCH(DATE(YEAR(A377)-1,12,1),$A$2:$A$400,0))-1,""))</f>
        <v/>
      </c>
      <c r="E377" s="115">
        <f>IF(B377="","",IFERROR(B377/INDEX($B$2:$B$400,MATCH(DATE(YEAR(A377)-1,MONTH(A377),1),$A$2:$A$400,0))-1,""))</f>
        <v/>
      </c>
    </row>
    <row r="378">
      <c r="A378" s="117" t="n"/>
      <c r="B378" s="118" t="n"/>
      <c r="C378" s="115">
        <f>IF(OR(B378="",B377=""),"",B378/B377-1)</f>
        <v/>
      </c>
      <c r="D378" s="115">
        <f>IF(B378="","",IFERROR(B378/INDEX($B$2:$B$400,MATCH(DATE(YEAR(A378)-1,12,1),$A$2:$A$400,0))-1,""))</f>
        <v/>
      </c>
      <c r="E378" s="115">
        <f>IF(B378="","",IFERROR(B378/INDEX($B$2:$B$400,MATCH(DATE(YEAR(A378)-1,MONTH(A378),1),$A$2:$A$400,0))-1,""))</f>
        <v/>
      </c>
    </row>
    <row r="379">
      <c r="A379" s="117" t="n"/>
      <c r="B379" s="118" t="n"/>
      <c r="C379" s="115">
        <f>IF(OR(B379="",B378=""),"",B379/B378-1)</f>
        <v/>
      </c>
      <c r="D379" s="115">
        <f>IF(B379="","",IFERROR(B379/INDEX($B$2:$B$400,MATCH(DATE(YEAR(A379)-1,12,1),$A$2:$A$400,0))-1,""))</f>
        <v/>
      </c>
      <c r="E379" s="115">
        <f>IF(B379="","",IFERROR(B379/INDEX($B$2:$B$400,MATCH(DATE(YEAR(A379)-1,MONTH(A379),1),$A$2:$A$400,0))-1,""))</f>
        <v/>
      </c>
    </row>
    <row r="380">
      <c r="A380" s="117" t="n"/>
      <c r="B380" s="118" t="n"/>
      <c r="C380" s="115">
        <f>IF(OR(B380="",B379=""),"",B380/B379-1)</f>
        <v/>
      </c>
      <c r="D380" s="115">
        <f>IF(B380="","",IFERROR(B380/INDEX($B$2:$B$400,MATCH(DATE(YEAR(A380)-1,12,1),$A$2:$A$400,0))-1,""))</f>
        <v/>
      </c>
      <c r="E380" s="115">
        <f>IF(B380="","",IFERROR(B380/INDEX($B$2:$B$400,MATCH(DATE(YEAR(A380)-1,MONTH(A380),1),$A$2:$A$400,0))-1,""))</f>
        <v/>
      </c>
    </row>
    <row r="381">
      <c r="A381" s="117" t="n"/>
      <c r="B381" s="118" t="n"/>
      <c r="C381" s="115">
        <f>IF(OR(B381="",B380=""),"",B381/B380-1)</f>
        <v/>
      </c>
      <c r="D381" s="115">
        <f>IF(B381="","",IFERROR(B381/INDEX($B$2:$B$400,MATCH(DATE(YEAR(A381)-1,12,1),$A$2:$A$400,0))-1,""))</f>
        <v/>
      </c>
      <c r="E381" s="115">
        <f>IF(B381="","",IFERROR(B381/INDEX($B$2:$B$400,MATCH(DATE(YEAR(A381)-1,MONTH(A381),1),$A$2:$A$400,0))-1,""))</f>
        <v/>
      </c>
    </row>
    <row r="382">
      <c r="A382" s="117" t="n"/>
      <c r="B382" s="118" t="n"/>
      <c r="C382" s="115">
        <f>IF(OR(B382="",B381=""),"",B382/B381-1)</f>
        <v/>
      </c>
      <c r="D382" s="115">
        <f>IF(B382="","",IFERROR(B382/INDEX($B$2:$B$400,MATCH(DATE(YEAR(A382)-1,12,1),$A$2:$A$400,0))-1,""))</f>
        <v/>
      </c>
      <c r="E382" s="115">
        <f>IF(B382="","",IFERROR(B382/INDEX($B$2:$B$400,MATCH(DATE(YEAR(A382)-1,MONTH(A382),1),$A$2:$A$400,0))-1,""))</f>
        <v/>
      </c>
    </row>
    <row r="383">
      <c r="A383" s="117" t="n"/>
      <c r="B383" s="118" t="n"/>
      <c r="C383" s="115">
        <f>IF(OR(B383="",B382=""),"",B383/B382-1)</f>
        <v/>
      </c>
      <c r="D383" s="115">
        <f>IF(B383="","",IFERROR(B383/INDEX($B$2:$B$400,MATCH(DATE(YEAR(A383)-1,12,1),$A$2:$A$400,0))-1,""))</f>
        <v/>
      </c>
      <c r="E383" s="115">
        <f>IF(B383="","",IFERROR(B383/INDEX($B$2:$B$400,MATCH(DATE(YEAR(A383)-1,MONTH(A383),1),$A$2:$A$400,0))-1,""))</f>
        <v/>
      </c>
    </row>
    <row r="384">
      <c r="A384" s="117" t="n"/>
      <c r="B384" s="118" t="n"/>
      <c r="C384" s="115">
        <f>IF(OR(B384="",B383=""),"",B384/B383-1)</f>
        <v/>
      </c>
      <c r="D384" s="115">
        <f>IF(B384="","",IFERROR(B384/INDEX($B$2:$B$400,MATCH(DATE(YEAR(A384)-1,12,1),$A$2:$A$400,0))-1,""))</f>
        <v/>
      </c>
      <c r="E384" s="115">
        <f>IF(B384="","",IFERROR(B384/INDEX($B$2:$B$400,MATCH(DATE(YEAR(A384)-1,MONTH(A384),1),$A$2:$A$400,0))-1,""))</f>
        <v/>
      </c>
    </row>
    <row r="385">
      <c r="A385" s="117" t="n"/>
      <c r="B385" s="118" t="n"/>
      <c r="C385" s="115">
        <f>IF(OR(B385="",B384=""),"",B385/B384-1)</f>
        <v/>
      </c>
      <c r="D385" s="115">
        <f>IF(B385="","",IFERROR(B385/INDEX($B$2:$B$400,MATCH(DATE(YEAR(A385)-1,12,1),$A$2:$A$400,0))-1,""))</f>
        <v/>
      </c>
      <c r="E385" s="115">
        <f>IF(B385="","",IFERROR(B385/INDEX($B$2:$B$400,MATCH(DATE(YEAR(A385)-1,MONTH(A385),1),$A$2:$A$400,0))-1,""))</f>
        <v/>
      </c>
    </row>
    <row r="386">
      <c r="A386" s="117" t="n"/>
      <c r="B386" s="118" t="n"/>
      <c r="C386" s="115">
        <f>IF(OR(B386="",B385=""),"",B386/B385-1)</f>
        <v/>
      </c>
      <c r="D386" s="115">
        <f>IF(B386="","",IFERROR(B386/INDEX($B$2:$B$400,MATCH(DATE(YEAR(A386)-1,12,1),$A$2:$A$400,0))-1,""))</f>
        <v/>
      </c>
      <c r="E386" s="115">
        <f>IF(B386="","",IFERROR(B386/INDEX($B$2:$B$400,MATCH(DATE(YEAR(A386)-1,MONTH(A386),1),$A$2:$A$400,0))-1,""))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IF(B387="","",IFERROR(B387/INDEX($B$2:$B$400,MATCH(DATE(YEAR(A387)-1,12,1),$A$2:$A$400,0))-1,""))</f>
        <v/>
      </c>
      <c r="E387" s="115">
        <f>IF(B387="","",IFERROR(B387/INDEX($B$2:$B$400,MATCH(DATE(YEAR(A387)-1,MONTH(A387),1),$A$2:$A$400,0))-1,""))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IF(B388="","",IFERROR(B388/INDEX($B$2:$B$400,MATCH(DATE(YEAR(A388)-1,12,1),$A$2:$A$400,0))-1,""))</f>
        <v/>
      </c>
      <c r="E388" s="115">
        <f>IF(B388="","",IFERROR(B388/INDEX($B$2:$B$400,MATCH(DATE(YEAR(A388)-1,MONTH(A388),1),$A$2:$A$400,0))-1,""))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IF(B389="","",IFERROR(B389/INDEX($B$2:$B$400,MATCH(DATE(YEAR(A389)-1,12,1),$A$2:$A$400,0))-1,""))</f>
        <v/>
      </c>
      <c r="E389" s="115">
        <f>IF(B389="","",IFERROR(B389/INDEX($B$2:$B$400,MATCH(DATE(YEAR(A389)-1,MONTH(A389),1),$A$2:$A$400,0))-1,""))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IF(B390="","",IFERROR(B390/INDEX($B$2:$B$400,MATCH(DATE(YEAR(A390)-1,12,1),$A$2:$A$400,0))-1,""))</f>
        <v/>
      </c>
      <c r="E390" s="115">
        <f>IF(B390="","",IFERROR(B390/INDEX($B$2:$B$400,MATCH(DATE(YEAR(A390)-1,MONTH(A390),1),$A$2:$A$400,0))-1,""))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IF(B391="","",IFERROR(B391/INDEX($B$2:$B$400,MATCH(DATE(YEAR(A391)-1,12,1),$A$2:$A$400,0))-1,""))</f>
        <v/>
      </c>
      <c r="E391" s="115">
        <f>IF(B391="","",IFERROR(B391/INDEX($B$2:$B$400,MATCH(DATE(YEAR(A391)-1,MONTH(A391),1),$A$2:$A$400,0))-1,""))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IF(B392="","",IFERROR(B392/INDEX($B$2:$B$400,MATCH(DATE(YEAR(A392)-1,12,1),$A$2:$A$400,0))-1,""))</f>
        <v/>
      </c>
      <c r="E392" s="115">
        <f>IF(B392="","",IFERROR(B392/INDEX($B$2:$B$400,MATCH(DATE(YEAR(A392)-1,MONTH(A392),1),$A$2:$A$400,0))-1,""))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IF(B393="","",IFERROR(B393/INDEX($B$2:$B$400,MATCH(DATE(YEAR(A393)-1,12,1),$A$2:$A$400,0))-1,""))</f>
        <v/>
      </c>
      <c r="E393" s="115">
        <f>IF(B393="","",IFERROR(B393/INDEX($B$2:$B$400,MATCH(DATE(YEAR(A393)-1,MONTH(A393),1),$A$2:$A$400,0))-1,""))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IF(B394="","",IFERROR(B394/INDEX($B$2:$B$400,MATCH(DATE(YEAR(A394)-1,12,1),$A$2:$A$400,0))-1,""))</f>
        <v/>
      </c>
      <c r="E394" s="115">
        <f>IF(B394="","",IFERROR(B394/INDEX($B$2:$B$400,MATCH(DATE(YEAR(A394)-1,MONTH(A394),1),$A$2:$A$400,0))-1,""))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IF(B395="","",IFERROR(B395/INDEX($B$2:$B$400,MATCH(DATE(YEAR(A395)-1,12,1),$A$2:$A$400,0))-1,""))</f>
        <v/>
      </c>
      <c r="E395" s="115">
        <f>IF(B395="","",IFERROR(B395/INDEX($B$2:$B$400,MATCH(DATE(YEAR(A395)-1,MONTH(A395),1),$A$2:$A$400,0))-1,""))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IF(B396="","",IFERROR(B396/INDEX($B$2:$B$400,MATCH(DATE(YEAR(A396)-1,12,1),$A$2:$A$400,0))-1,""))</f>
        <v/>
      </c>
      <c r="E396" s="115">
        <f>IF(B396="","",IFERROR(B396/INDEX($B$2:$B$400,MATCH(DATE(YEAR(A396)-1,MONTH(A396),1),$A$2:$A$400,0))-1,""))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IF(B397="","",IFERROR(B397/INDEX($B$2:$B$400,MATCH(DATE(YEAR(A397)-1,12,1),$A$2:$A$400,0))-1,""))</f>
        <v/>
      </c>
      <c r="E397" s="115">
        <f>IF(B397="","",IFERROR(B397/INDEX($B$2:$B$400,MATCH(DATE(YEAR(A397)-1,MONTH(A397),1),$A$2:$A$400,0))-1,""))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IF(B398="","",IFERROR(B398/INDEX($B$2:$B$400,MATCH(DATE(YEAR(A398)-1,12,1),$A$2:$A$400,0))-1,""))</f>
        <v/>
      </c>
      <c r="E398" s="115">
        <f>IF(B398="","",IFERROR(B398/INDEX($B$2:$B$400,MATCH(DATE(YEAR(A398)-1,MONTH(A398),1),$A$2:$A$400,0))-1,""))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IF(B399="","",IFERROR(B399/INDEX($B$2:$B$400,MATCH(DATE(YEAR(A399)-1,12,1),$A$2:$A$400,0))-1,""))</f>
        <v/>
      </c>
      <c r="E399" s="115">
        <f>IF(B399="","",IFERROR(B399/INDEX($B$2:$B$400,MATCH(DATE(YEAR(A399)-1,MONTH(A399),1),$A$2:$A$400,0))-1,""))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IF(B400="","",IFERROR(B400/INDEX($B$2:$B$400,MATCH(DATE(YEAR(A400)-1,12,1),$A$2:$A$400,0))-1,""))</f>
        <v/>
      </c>
      <c r="E400" s="115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COUNTIF(M5:M3004,"?")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2">
        <f>B5</f>
        <v/>
      </c>
      <c r="C47" s="70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2">
        <f>B6</f>
        <v/>
      </c>
      <c r="C48" s="70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2">
        <f>B7</f>
        <v/>
      </c>
      <c r="C49" s="70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2">
        <f>B8</f>
        <v/>
      </c>
      <c r="C50" s="70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2">
        <f>B9</f>
        <v/>
      </c>
      <c r="C51" s="70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2">
        <f>B10</f>
        <v/>
      </c>
      <c r="C52" s="70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2">
        <f>B11</f>
        <v/>
      </c>
      <c r="C53" s="70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2">
        <f>B12</f>
        <v/>
      </c>
      <c r="C54" s="70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2">
        <f>B13</f>
        <v/>
      </c>
      <c r="C55" s="70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2">
        <f>B14</f>
        <v/>
      </c>
      <c r="C56" s="70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2">
        <f>B15</f>
        <v/>
      </c>
      <c r="C57" s="70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2">
        <f>B16</f>
        <v/>
      </c>
      <c r="C58" s="70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2">
        <f>B17</f>
        <v/>
      </c>
      <c r="C59" s="70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2">
        <f>B18</f>
        <v/>
      </c>
      <c r="C60" s="70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2">
        <f>B19</f>
        <v/>
      </c>
      <c r="C61" s="70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2">
        <f>B20</f>
        <v/>
      </c>
      <c r="C62" s="70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2">
        <f>B21</f>
        <v/>
      </c>
      <c r="C63" s="70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2">
        <f>B22</f>
        <v/>
      </c>
      <c r="C64" s="70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2">
        <f>B23</f>
        <v/>
      </c>
      <c r="C65" s="70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2">
        <f>B24</f>
        <v/>
      </c>
      <c r="C66" s="70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2">
        <f>B25</f>
        <v/>
      </c>
      <c r="C67" s="70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2">
        <f>B26</f>
        <v/>
      </c>
      <c r="C68" s="70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2">
        <f>B27</f>
        <v/>
      </c>
      <c r="C69" s="70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2">
        <f>B28</f>
        <v/>
      </c>
      <c r="C70" s="70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2">
        <f>B29</f>
        <v/>
      </c>
      <c r="C71" s="70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2">
        <f>B30</f>
        <v/>
      </c>
      <c r="C72" s="70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2">
        <f>B31</f>
        <v/>
      </c>
      <c r="C73" s="70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2">
        <f>B32</f>
        <v/>
      </c>
      <c r="C74" s="70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2">
        <f>B33</f>
        <v/>
      </c>
      <c r="C75" s="70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2">
        <f>B34</f>
        <v/>
      </c>
      <c r="C76" s="70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2">
        <f>B35</f>
        <v/>
      </c>
      <c r="C77" s="70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2">
        <f>B36</f>
        <v/>
      </c>
      <c r="C78" s="70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2">
        <f>B37</f>
        <v/>
      </c>
      <c r="C79" s="70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2">
        <f>B38</f>
        <v/>
      </c>
      <c r="C80" s="70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2">
        <f>B39</f>
        <v/>
      </c>
      <c r="C81" s="70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2">
        <f>B40</f>
        <v/>
      </c>
      <c r="C82" s="70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2">
        <f>B41</f>
        <v/>
      </c>
      <c r="C83" s="70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2">
        <f>B42</f>
        <v/>
      </c>
      <c r="C84" s="70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PL'!F11</f>
        <v/>
      </c>
      <c r="K5" s="63">
        <f>'VALOR POR PL'!G11</f>
        <v/>
      </c>
      <c r="M5" s="127">
        <f>'CP RESUMO'!D5</f>
        <v/>
      </c>
      <c r="N5" s="128" t="n">
        <v>0</v>
      </c>
      <c r="O5" s="127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RESUMO'!E5</f>
        <v/>
      </c>
      <c r="N6" s="128">
        <f>MAX(0,M6-M5)</f>
        <v/>
      </c>
      <c r="O6" s="127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PL'!L11</f>
        <v/>
      </c>
      <c r="M7" s="127">
        <f>'CP RESUMO'!F5</f>
        <v/>
      </c>
      <c r="N7" s="128">
        <f>MAX(0,M7-M6)</f>
        <v/>
      </c>
      <c r="O7" s="127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RESUMO'!G5</f>
        <v/>
      </c>
      <c r="N8" s="128">
        <f>MAX(0,M8-M7)</f>
        <v/>
      </c>
      <c r="O8" s="127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RESUMO'!H5</f>
        <v/>
      </c>
      <c r="N9" s="128">
        <f>MAX(0,M9-M8)</f>
        <v/>
      </c>
      <c r="O9" s="127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RESUMO'!I5</f>
        <v/>
      </c>
      <c r="N10" s="128">
        <f>MAX(0,M10-M9)</f>
        <v/>
      </c>
      <c r="O10" s="127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RESUMO'!J5</f>
        <v/>
      </c>
      <c r="N11" s="128">
        <f>MAX(0,M11-M10)</f>
        <v/>
      </c>
      <c r="O11" s="127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RESUMO'!K5</f>
        <v/>
      </c>
      <c r="N12" s="128">
        <f>MAX(0,M12-M11)</f>
        <v/>
      </c>
      <c r="O12" s="127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PL'!I11</f>
        <v/>
      </c>
      <c r="M13" s="127">
        <f>'CP RESUMO'!L5</f>
        <v/>
      </c>
      <c r="N13" s="128">
        <f>MAX(0,M13-M12)</f>
        <v/>
      </c>
      <c r="O13" s="127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7">
        <f>'CP RESUMO'!M5</f>
        <v/>
      </c>
      <c r="N14" s="128">
        <f>MAX(0,M14-M13)</f>
        <v/>
      </c>
      <c r="O14" s="127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RESUMO'!N5</f>
        <v/>
      </c>
      <c r="N15" s="128">
        <f>MAX(0,M15-M14)</f>
        <v/>
      </c>
      <c r="O15" s="127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RESUMO'!O5</f>
        <v/>
      </c>
      <c r="N16" s="128">
        <f>MAX(0,M16-M15)</f>
        <v/>
      </c>
      <c r="O16" s="127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RESUMO'!P5</f>
        <v/>
      </c>
      <c r="N17" s="128">
        <f>MAX(0,M17-M16)</f>
        <v/>
      </c>
      <c r="O17" s="127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RESUMO'!Q5</f>
        <v/>
      </c>
      <c r="N18" s="128">
        <f>MAX(0,M18-M17)</f>
        <v/>
      </c>
      <c r="O18" s="127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RESUMO'!R5</f>
        <v/>
      </c>
      <c r="N19" s="128">
        <f>MAX(0,M19-M18)</f>
        <v/>
      </c>
      <c r="O19" s="127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RESUMO'!S5</f>
        <v/>
      </c>
      <c r="N20" s="128">
        <f>MAX(0,M20-M19)</f>
        <v/>
      </c>
      <c r="O20" s="127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RESUMO'!T5</f>
        <v/>
      </c>
      <c r="N21" s="128">
        <f>MAX(0,M21-M20)</f>
        <v/>
      </c>
      <c r="O21" s="127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RESUMO'!U5</f>
        <v/>
      </c>
      <c r="N22" s="128">
        <f>MAX(0,M22-M21)</f>
        <v/>
      </c>
      <c r="O22" s="127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RESUMO'!V5</f>
        <v/>
      </c>
      <c r="N23" s="128">
        <f>MAX(0,M23-M22)</f>
        <v/>
      </c>
      <c r="O23" s="127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RESUMO'!W5</f>
        <v/>
      </c>
      <c r="N24" s="128">
        <f>MAX(0,M24-M23)</f>
        <v/>
      </c>
      <c r="O24" s="127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RESUMO'!X5</f>
        <v/>
      </c>
      <c r="N25" s="128">
        <f>MAX(0,M25-M24)</f>
        <v/>
      </c>
      <c r="O25" s="127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RESUMO'!Y5</f>
        <v/>
      </c>
      <c r="N26" s="128">
        <f>MAX(0,M26-M25)</f>
        <v/>
      </c>
      <c r="O26" s="127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RESUMO'!Z5</f>
        <v/>
      </c>
      <c r="N27" s="128">
        <f>MAX(0,M27-M26)</f>
        <v/>
      </c>
      <c r="O27" s="127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RESUMO'!AA5</f>
        <v/>
      </c>
      <c r="N28" s="128">
        <f>MAX(0,M28-M27)</f>
        <v/>
      </c>
      <c r="O28" s="127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RESUMO'!AB5</f>
        <v/>
      </c>
      <c r="N29" s="128">
        <f>MAX(0,M29-M28)</f>
        <v/>
      </c>
      <c r="O29" s="127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RESUMO'!AC5</f>
        <v/>
      </c>
      <c r="N30" s="128">
        <f>MAX(0,M30-M29)</f>
        <v/>
      </c>
      <c r="O30" s="127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RESUMO'!AD5</f>
        <v/>
      </c>
      <c r="N31" s="128">
        <f>MAX(0,M31-M30)</f>
        <v/>
      </c>
      <c r="O31" s="127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RESUMO'!AE5</f>
        <v/>
      </c>
      <c r="N32" s="128">
        <f>MAX(0,M32-M31)</f>
        <v/>
      </c>
      <c r="O32" s="127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RESUMO'!AF5</f>
        <v/>
      </c>
      <c r="N33" s="128">
        <f>MAX(0,M33-M32)</f>
        <v/>
      </c>
      <c r="O33" s="127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RESUMO'!AG5</f>
        <v/>
      </c>
      <c r="N34" s="128">
        <f>MAX(0,M34-M33)</f>
        <v/>
      </c>
      <c r="O34" s="127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RESUMO'!AH5</f>
        <v/>
      </c>
      <c r="N35" s="128">
        <f>MAX(0,M35-M34)</f>
        <v/>
      </c>
      <c r="O35" s="127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RESUMO'!AI5</f>
        <v/>
      </c>
      <c r="N36" s="128">
        <f>MAX(0,M36-M35)</f>
        <v/>
      </c>
      <c r="O36" s="127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RESUMO'!AJ5</f>
        <v/>
      </c>
      <c r="N37" s="128">
        <f>MAX(0,M37-M36)</f>
        <v/>
      </c>
      <c r="O37" s="127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RESUMO'!AK5</f>
        <v/>
      </c>
      <c r="N38" s="128">
        <f>MAX(0,M38-M37)</f>
        <v/>
      </c>
      <c r="O38" s="127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RESUMO'!AL5</f>
        <v/>
      </c>
      <c r="N39" s="128">
        <f>MAX(0,M39-M38)</f>
        <v/>
      </c>
      <c r="O39" s="127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RESUMO'!AM5</f>
        <v/>
      </c>
      <c r="N40" s="128">
        <f>MAX(0,M40-M39)</f>
        <v/>
      </c>
      <c r="O40" s="127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RESUMO'!AN5</f>
        <v/>
      </c>
      <c r="N41" s="128">
        <f>MAX(0,M41-M40)</f>
        <v/>
      </c>
      <c r="O41" s="127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RESUMO'!AO5</f>
        <v/>
      </c>
      <c r="N42" s="128">
        <f>MAX(0,M42-M41)</f>
        <v/>
      </c>
      <c r="O42" s="127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RESUMO'!AP5</f>
        <v/>
      </c>
      <c r="N43" s="128">
        <f>MAX(0,M43-M42)</f>
        <v/>
      </c>
      <c r="O43" s="127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RESUMO'!AQ5</f>
        <v/>
      </c>
      <c r="N44" s="128">
        <f>MAX(0,M44-M43)</f>
        <v/>
      </c>
      <c r="O44" s="127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RESUMO'!AR5</f>
        <v/>
      </c>
      <c r="N45" s="128">
        <f>MAX(0,M45-M44)</f>
        <v/>
      </c>
      <c r="O45" s="127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RESUMO'!AS5</f>
        <v/>
      </c>
      <c r="N46" s="128">
        <f>MAX(0,M46-M45)</f>
        <v/>
      </c>
      <c r="O46" s="127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RESUMO'!AT5</f>
        <v/>
      </c>
      <c r="N47" s="128">
        <f>MAX(0,M47-M46)</f>
        <v/>
      </c>
      <c r="O47" s="127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RESUMO'!AU5</f>
        <v/>
      </c>
      <c r="N48" s="128">
        <f>MAX(0,M48-M47)</f>
        <v/>
      </c>
      <c r="O48" s="127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RESUMO'!AV5</f>
        <v/>
      </c>
      <c r="N49" s="128">
        <f>MAX(0,M49-M48)</f>
        <v/>
      </c>
      <c r="O49" s="127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RESUMO'!AW5</f>
        <v/>
      </c>
      <c r="N50" s="128">
        <f>MAX(0,M50-M49)</f>
        <v/>
      </c>
      <c r="O50" s="127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RESUMO'!AX5</f>
        <v/>
      </c>
      <c r="N51" s="128">
        <f>MAX(0,M51-M50)</f>
        <v/>
      </c>
      <c r="O51" s="127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RESUMO'!AY5</f>
        <v/>
      </c>
      <c r="N52" s="128">
        <f>MAX(0,M52-M51)</f>
        <v/>
      </c>
      <c r="O52" s="127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RESUMO'!AZ5</f>
        <v/>
      </c>
      <c r="N53" s="128">
        <f>MAX(0,M53-M52)</f>
        <v/>
      </c>
      <c r="O53" s="127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RESUMO'!BA5</f>
        <v/>
      </c>
      <c r="N54" s="128">
        <f>MAX(0,M54-M53)</f>
        <v/>
      </c>
      <c r="O54" s="127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RESUMO'!BB5</f>
        <v/>
      </c>
      <c r="N55" s="128">
        <f>MAX(0,M55-M54)</f>
        <v/>
      </c>
      <c r="O55" s="127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RESUMO'!BC5</f>
        <v/>
      </c>
      <c r="N56" s="128">
        <f>MAX(0,M56-M55)</f>
        <v/>
      </c>
      <c r="O56" s="127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RESUMO'!BD5</f>
        <v/>
      </c>
      <c r="N57" s="128">
        <f>MAX(0,M57-M56)</f>
        <v/>
      </c>
      <c r="O57" s="127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RESUMO'!BE5</f>
        <v/>
      </c>
      <c r="N58" s="128">
        <f>MAX(0,M58-M57)</f>
        <v/>
      </c>
      <c r="O58" s="127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RESUMO'!BF5</f>
        <v/>
      </c>
      <c r="N59" s="128">
        <f>MAX(0,M59-M58)</f>
        <v/>
      </c>
      <c r="O59" s="127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RESUMO'!BG5</f>
        <v/>
      </c>
      <c r="N60" s="128">
        <f>MAX(0,M60-M59)</f>
        <v/>
      </c>
      <c r="O60" s="127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RESUMO'!BH5</f>
        <v/>
      </c>
      <c r="N61" s="128">
        <f>MAX(0,M61-M60)</f>
        <v/>
      </c>
      <c r="O61" s="127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RESUMO'!BI5</f>
        <v/>
      </c>
      <c r="N62" s="128">
        <f>MAX(0,M62-M61)</f>
        <v/>
      </c>
      <c r="O62" s="127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RESUMO'!BJ5</f>
        <v/>
      </c>
      <c r="N63" s="128">
        <f>MAX(0,M63-M62)</f>
        <v/>
      </c>
      <c r="O63" s="127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RESUMO'!BK5</f>
        <v/>
      </c>
      <c r="N64" s="128">
        <f>MAX(0,M64-M63)</f>
        <v/>
      </c>
      <c r="O64" s="127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RESUMO'!BL5</f>
        <v/>
      </c>
      <c r="N65" s="128">
        <f>MAX(0,M65-M64)</f>
        <v/>
      </c>
      <c r="O65" s="127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RESUMO'!BM5</f>
        <v/>
      </c>
      <c r="N66" s="128">
        <f>MAX(0,M66-M65)</f>
        <v/>
      </c>
      <c r="O66" s="127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RESUMO'!BN5</f>
        <v/>
      </c>
      <c r="N67" s="128">
        <f>MAX(0,M67-M66)</f>
        <v/>
      </c>
      <c r="O67" s="127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RESUMO'!BO5</f>
        <v/>
      </c>
      <c r="N68" s="128">
        <f>MAX(0,M68-M67)</f>
        <v/>
      </c>
      <c r="O68" s="127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RESUMO'!BP5</f>
        <v/>
      </c>
      <c r="N69" s="128">
        <f>MAX(0,M69-M68)</f>
        <v/>
      </c>
      <c r="O69" s="127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RESUMO'!BQ5</f>
        <v/>
      </c>
      <c r="N70" s="128">
        <f>MAX(0,M70-M69)</f>
        <v/>
      </c>
      <c r="O70" s="127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RESUMO'!BR5</f>
        <v/>
      </c>
      <c r="N71" s="128">
        <f>MAX(0,M71-M70)</f>
        <v/>
      </c>
      <c r="O71" s="127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RESUMO'!BS5</f>
        <v/>
      </c>
      <c r="N72" s="128">
        <f>MAX(0,M72-M71)</f>
        <v/>
      </c>
      <c r="O72" s="127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RESUMO'!BT5</f>
        <v/>
      </c>
      <c r="N73" s="128">
        <f>MAX(0,M73-M72)</f>
        <v/>
      </c>
      <c r="O73" s="127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RESUMO'!BU5</f>
        <v/>
      </c>
      <c r="N74" s="128">
        <f>MAX(0,M74-M73)</f>
        <v/>
      </c>
      <c r="O74" s="127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RESUMO'!BV5</f>
        <v/>
      </c>
      <c r="N75" s="128">
        <f>MAX(0,M75-M74)</f>
        <v/>
      </c>
      <c r="O75" s="127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RESUMO'!BW5</f>
        <v/>
      </c>
      <c r="N76" s="128">
        <f>MAX(0,M76-M75)</f>
        <v/>
      </c>
      <c r="O76" s="127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PL'!F48</f>
        <v/>
      </c>
      <c r="K5" s="63">
        <f>'VALOR POR PL'!G48</f>
        <v/>
      </c>
      <c r="M5" s="127">
        <f>'CP RESUMO'!D42</f>
        <v/>
      </c>
      <c r="N5" s="128" t="n">
        <v>0</v>
      </c>
      <c r="O5" s="127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RESUMO'!E42</f>
        <v/>
      </c>
      <c r="N6" s="128">
        <f>MAX(0,M6-M5)</f>
        <v/>
      </c>
      <c r="O6" s="127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PL'!L48</f>
        <v/>
      </c>
      <c r="M7" s="127">
        <f>'CP RESUMO'!F42</f>
        <v/>
      </c>
      <c r="N7" s="128">
        <f>MAX(0,M7-M6)</f>
        <v/>
      </c>
      <c r="O7" s="127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RESUMO'!G42</f>
        <v/>
      </c>
      <c r="N8" s="128">
        <f>MAX(0,M8-M7)</f>
        <v/>
      </c>
      <c r="O8" s="127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RESUMO'!H42</f>
        <v/>
      </c>
      <c r="N9" s="128">
        <f>MAX(0,M9-M8)</f>
        <v/>
      </c>
      <c r="O9" s="127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RESUMO'!I42</f>
        <v/>
      </c>
      <c r="N10" s="128">
        <f>MAX(0,M10-M9)</f>
        <v/>
      </c>
      <c r="O10" s="127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RESUMO'!J42</f>
        <v/>
      </c>
      <c r="N11" s="128">
        <f>MAX(0,M11-M10)</f>
        <v/>
      </c>
      <c r="O11" s="127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RESUMO'!K42</f>
        <v/>
      </c>
      <c r="N12" s="128">
        <f>MAX(0,M12-M11)</f>
        <v/>
      </c>
      <c r="O12" s="127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PL'!I48</f>
        <v/>
      </c>
      <c r="M13" s="127">
        <f>'CP RESUMO'!L42</f>
        <v/>
      </c>
      <c r="N13" s="128">
        <f>MAX(0,M13-M12)</f>
        <v/>
      </c>
      <c r="O13" s="127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7">
        <f>'CP RESUMO'!M42</f>
        <v/>
      </c>
      <c r="N14" s="128">
        <f>MAX(0,M14-M13)</f>
        <v/>
      </c>
      <c r="O14" s="127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RESUMO'!N42</f>
        <v/>
      </c>
      <c r="N15" s="128">
        <f>MAX(0,M15-M14)</f>
        <v/>
      </c>
      <c r="O15" s="127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RESUMO'!O42</f>
        <v/>
      </c>
      <c r="N16" s="128">
        <f>MAX(0,M16-M15)</f>
        <v/>
      </c>
      <c r="O16" s="127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RESUMO'!P42</f>
        <v/>
      </c>
      <c r="N17" s="128">
        <f>MAX(0,M17-M16)</f>
        <v/>
      </c>
      <c r="O17" s="127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RESUMO'!Q42</f>
        <v/>
      </c>
      <c r="N18" s="128">
        <f>MAX(0,M18-M17)</f>
        <v/>
      </c>
      <c r="O18" s="127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RESUMO'!R42</f>
        <v/>
      </c>
      <c r="N19" s="128">
        <f>MAX(0,M19-M18)</f>
        <v/>
      </c>
      <c r="O19" s="127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RESUMO'!S42</f>
        <v/>
      </c>
      <c r="N20" s="128">
        <f>MAX(0,M20-M19)</f>
        <v/>
      </c>
      <c r="O20" s="127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RESUMO'!T42</f>
        <v/>
      </c>
      <c r="N21" s="128">
        <f>MAX(0,M21-M20)</f>
        <v/>
      </c>
      <c r="O21" s="127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RESUMO'!U42</f>
        <v/>
      </c>
      <c r="N22" s="128">
        <f>MAX(0,M22-M21)</f>
        <v/>
      </c>
      <c r="O22" s="127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RESUMO'!V42</f>
        <v/>
      </c>
      <c r="N23" s="128">
        <f>MAX(0,M23-M22)</f>
        <v/>
      </c>
      <c r="O23" s="127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Somente o incorrido no ERP: a projeção (VALOR POR PL!L48) é o próprio incorrido, sem previsão futura.</t>
        </is>
      </c>
      <c r="M24" s="127">
        <f>'CP RESUMO'!W42</f>
        <v/>
      </c>
      <c r="N24" s="128">
        <f>MAX(0,M24-M23)</f>
        <v/>
      </c>
      <c r="O24" s="127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RESUMO'!X42</f>
        <v/>
      </c>
      <c r="N25" s="128">
        <f>MAX(0,M25-M24)</f>
        <v/>
      </c>
      <c r="O25" s="127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RESUMO'!Y42</f>
        <v/>
      </c>
      <c r="N26" s="128">
        <f>MAX(0,M26-M25)</f>
        <v/>
      </c>
      <c r="O26" s="127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RESUMO'!Z42</f>
        <v/>
      </c>
      <c r="N27" s="128">
        <f>MAX(0,M27-M26)</f>
        <v/>
      </c>
      <c r="O27" s="127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RESUMO'!AA42</f>
        <v/>
      </c>
      <c r="N28" s="128">
        <f>MAX(0,M28-M27)</f>
        <v/>
      </c>
      <c r="O28" s="127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RESUMO'!AB42</f>
        <v/>
      </c>
      <c r="N29" s="128">
        <f>MAX(0,M29-M28)</f>
        <v/>
      </c>
      <c r="O29" s="127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RESUMO'!AC42</f>
        <v/>
      </c>
      <c r="N30" s="128">
        <f>MAX(0,M30-M29)</f>
        <v/>
      </c>
      <c r="O30" s="127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RESUMO'!AD42</f>
        <v/>
      </c>
      <c r="N31" s="128">
        <f>MAX(0,M31-M30)</f>
        <v/>
      </c>
      <c r="O31" s="127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RESUMO'!AE42</f>
        <v/>
      </c>
      <c r="N32" s="128">
        <f>MAX(0,M32-M31)</f>
        <v/>
      </c>
      <c r="O32" s="127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RESUMO'!AF42</f>
        <v/>
      </c>
      <c r="N33" s="128">
        <f>MAX(0,M33-M32)</f>
        <v/>
      </c>
      <c r="O33" s="127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RESUMO'!AG42</f>
        <v/>
      </c>
      <c r="N34" s="128">
        <f>MAX(0,M34-M33)</f>
        <v/>
      </c>
      <c r="O34" s="127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RESUMO'!AH42</f>
        <v/>
      </c>
      <c r="N35" s="128">
        <f>MAX(0,M35-M34)</f>
        <v/>
      </c>
      <c r="O35" s="127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RESUMO'!AI42</f>
        <v/>
      </c>
      <c r="N36" s="128">
        <f>MAX(0,M36-M35)</f>
        <v/>
      </c>
      <c r="O36" s="127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RESUMO'!AJ42</f>
        <v/>
      </c>
      <c r="N37" s="128">
        <f>MAX(0,M37-M36)</f>
        <v/>
      </c>
      <c r="O37" s="127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RESUMO'!AK42</f>
        <v/>
      </c>
      <c r="N38" s="128">
        <f>MAX(0,M38-M37)</f>
        <v/>
      </c>
      <c r="O38" s="127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RESUMO'!AL42</f>
        <v/>
      </c>
      <c r="N39" s="128">
        <f>MAX(0,M39-M38)</f>
        <v/>
      </c>
      <c r="O39" s="127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RESUMO'!AM42</f>
        <v/>
      </c>
      <c r="N40" s="128">
        <f>MAX(0,M40-M39)</f>
        <v/>
      </c>
      <c r="O40" s="127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RESUMO'!AN42</f>
        <v/>
      </c>
      <c r="N41" s="128">
        <f>MAX(0,M41-M40)</f>
        <v/>
      </c>
      <c r="O41" s="127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RESUMO'!AO42</f>
        <v/>
      </c>
      <c r="N42" s="128">
        <f>MAX(0,M42-M41)</f>
        <v/>
      </c>
      <c r="O42" s="127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RESUMO'!AP42</f>
        <v/>
      </c>
      <c r="N43" s="128">
        <f>MAX(0,M43-M42)</f>
        <v/>
      </c>
      <c r="O43" s="127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RESUMO'!AQ42</f>
        <v/>
      </c>
      <c r="N44" s="128">
        <f>MAX(0,M44-M43)</f>
        <v/>
      </c>
      <c r="O44" s="127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RESUMO'!AR42</f>
        <v/>
      </c>
      <c r="N45" s="128">
        <f>MAX(0,M45-M44)</f>
        <v/>
      </c>
      <c r="O45" s="127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RESUMO'!AS42</f>
        <v/>
      </c>
      <c r="N46" s="128">
        <f>MAX(0,M46-M45)</f>
        <v/>
      </c>
      <c r="O46" s="127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RESUMO'!AT42</f>
        <v/>
      </c>
      <c r="N47" s="128">
        <f>MAX(0,M47-M46)</f>
        <v/>
      </c>
      <c r="O47" s="127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RESUMO'!AU42</f>
        <v/>
      </c>
      <c r="N48" s="128">
        <f>MAX(0,M48-M47)</f>
        <v/>
      </c>
      <c r="O48" s="127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RESUMO'!AV42</f>
        <v/>
      </c>
      <c r="N49" s="128">
        <f>MAX(0,M49-M48)</f>
        <v/>
      </c>
      <c r="O49" s="127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RESUMO'!AW42</f>
        <v/>
      </c>
      <c r="N50" s="128">
        <f>MAX(0,M50-M49)</f>
        <v/>
      </c>
      <c r="O50" s="127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RESUMO'!AX42</f>
        <v/>
      </c>
      <c r="N51" s="128">
        <f>MAX(0,M51-M50)</f>
        <v/>
      </c>
      <c r="O51" s="127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RESUMO'!AY42</f>
        <v/>
      </c>
      <c r="N52" s="128">
        <f>MAX(0,M52-M51)</f>
        <v/>
      </c>
      <c r="O52" s="127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RESUMO'!AZ42</f>
        <v/>
      </c>
      <c r="N53" s="128">
        <f>MAX(0,M53-M52)</f>
        <v/>
      </c>
      <c r="O53" s="127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RESUMO'!BA42</f>
        <v/>
      </c>
      <c r="N54" s="128">
        <f>MAX(0,M54-M53)</f>
        <v/>
      </c>
      <c r="O54" s="127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RESUMO'!BB42</f>
        <v/>
      </c>
      <c r="N55" s="128">
        <f>MAX(0,M55-M54)</f>
        <v/>
      </c>
      <c r="O55" s="127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RESUMO'!BC42</f>
        <v/>
      </c>
      <c r="N56" s="128">
        <f>MAX(0,M56-M55)</f>
        <v/>
      </c>
      <c r="O56" s="127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RESUMO'!BD42</f>
        <v/>
      </c>
      <c r="N57" s="128">
        <f>MAX(0,M57-M56)</f>
        <v/>
      </c>
      <c r="O57" s="127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RESUMO'!BE42</f>
        <v/>
      </c>
      <c r="N58" s="128">
        <f>MAX(0,M58-M57)</f>
        <v/>
      </c>
      <c r="O58" s="127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RESUMO'!BF42</f>
        <v/>
      </c>
      <c r="N59" s="128">
        <f>MAX(0,M59-M58)</f>
        <v/>
      </c>
      <c r="O59" s="127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RESUMO'!BG42</f>
        <v/>
      </c>
      <c r="N60" s="128">
        <f>MAX(0,M60-M59)</f>
        <v/>
      </c>
      <c r="O60" s="127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RESUMO'!BH42</f>
        <v/>
      </c>
      <c r="N61" s="128">
        <f>MAX(0,M61-M60)</f>
        <v/>
      </c>
      <c r="O61" s="127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RESUMO'!BI42</f>
        <v/>
      </c>
      <c r="N62" s="128">
        <f>MAX(0,M62-M61)</f>
        <v/>
      </c>
      <c r="O62" s="127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RESUMO'!BJ42</f>
        <v/>
      </c>
      <c r="N63" s="128">
        <f>MAX(0,M63-M62)</f>
        <v/>
      </c>
      <c r="O63" s="127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RESUMO'!BK42</f>
        <v/>
      </c>
      <c r="N64" s="128">
        <f>MAX(0,M64-M63)</f>
        <v/>
      </c>
      <c r="O64" s="127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RESUMO'!BL42</f>
        <v/>
      </c>
      <c r="N65" s="128">
        <f>MAX(0,M65-M64)</f>
        <v/>
      </c>
      <c r="O65" s="127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RESUMO'!BM42</f>
        <v/>
      </c>
      <c r="N66" s="128">
        <f>MAX(0,M66-M65)</f>
        <v/>
      </c>
      <c r="O66" s="127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RESUMO'!BN42</f>
        <v/>
      </c>
      <c r="N67" s="128">
        <f>MAX(0,M67-M66)</f>
        <v/>
      </c>
      <c r="O67" s="127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RESUMO'!BO42</f>
        <v/>
      </c>
      <c r="N68" s="128">
        <f>MAX(0,M68-M67)</f>
        <v/>
      </c>
      <c r="O68" s="127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RESUMO'!BP42</f>
        <v/>
      </c>
      <c r="N69" s="128">
        <f>MAX(0,M69-M68)</f>
        <v/>
      </c>
      <c r="O69" s="127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RESUMO'!BQ42</f>
        <v/>
      </c>
      <c r="N70" s="128">
        <f>MAX(0,M70-M69)</f>
        <v/>
      </c>
      <c r="O70" s="127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RESUMO'!BR42</f>
        <v/>
      </c>
      <c r="N71" s="128">
        <f>MAX(0,M71-M70)</f>
        <v/>
      </c>
      <c r="O71" s="127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RESUMO'!BS42</f>
        <v/>
      </c>
      <c r="N72" s="128">
        <f>MAX(0,M72-M71)</f>
        <v/>
      </c>
      <c r="O72" s="127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RESUMO'!BT42</f>
        <v/>
      </c>
      <c r="N73" s="128">
        <f>MAX(0,M73-M72)</f>
        <v/>
      </c>
      <c r="O73" s="127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RESUMO'!BU42</f>
        <v/>
      </c>
      <c r="N74" s="128">
        <f>MAX(0,M74-M73)</f>
        <v/>
      </c>
      <c r="O74" s="127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RESUMO'!BV42</f>
        <v/>
      </c>
      <c r="N75" s="128">
        <f>MAX(0,M75-M74)</f>
        <v/>
      </c>
      <c r="O75" s="127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RESUMO'!BW42</f>
        <v/>
      </c>
      <c r="N76" s="128">
        <f>MAX(0,M76-M75)</f>
        <v/>
      </c>
      <c r="O76" s="127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PL'!F12</f>
        <v/>
      </c>
      <c r="K5" s="63">
        <f>'VALOR POR PL'!G12</f>
        <v/>
      </c>
      <c r="M5" s="127">
        <f>'CP RESUMO'!D6</f>
        <v/>
      </c>
      <c r="N5" s="128" t="n">
        <v>0</v>
      </c>
      <c r="O5" s="127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RESUMO'!E6</f>
        <v/>
      </c>
      <c r="N6" s="128">
        <f>MAX(0,M6-M5)</f>
        <v/>
      </c>
      <c r="O6" s="127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PL'!L12</f>
        <v/>
      </c>
      <c r="M7" s="127">
        <f>'CP RESUMO'!F6</f>
        <v/>
      </c>
      <c r="N7" s="128">
        <f>MAX(0,M7-M6)</f>
        <v/>
      </c>
      <c r="O7" s="127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RESUMO'!G6</f>
        <v/>
      </c>
      <c r="N8" s="128">
        <f>MAX(0,M8-M7)</f>
        <v/>
      </c>
      <c r="O8" s="127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RESUMO'!H6</f>
        <v/>
      </c>
      <c r="N9" s="128">
        <f>MAX(0,M9-M8)</f>
        <v/>
      </c>
      <c r="O9" s="127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RESUMO'!I6</f>
        <v/>
      </c>
      <c r="N10" s="128">
        <f>MAX(0,M10-M9)</f>
        <v/>
      </c>
      <c r="O10" s="127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RESUMO'!J6</f>
        <v/>
      </c>
      <c r="N11" s="128">
        <f>MAX(0,M11-M10)</f>
        <v/>
      </c>
      <c r="O11" s="127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RESUMO'!K6</f>
        <v/>
      </c>
      <c r="N12" s="128">
        <f>MAX(0,M12-M11)</f>
        <v/>
      </c>
      <c r="O12" s="127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PL'!I12</f>
        <v/>
      </c>
      <c r="M13" s="127">
        <f>'CP RESUMO'!L6</f>
        <v/>
      </c>
      <c r="N13" s="128">
        <f>MAX(0,M13-M12)</f>
        <v/>
      </c>
      <c r="O13" s="127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7">
        <f>'CP RESUMO'!M6</f>
        <v/>
      </c>
      <c r="N14" s="128">
        <f>MAX(0,M14-M13)</f>
        <v/>
      </c>
      <c r="O14" s="127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RESUMO'!N6</f>
        <v/>
      </c>
      <c r="N15" s="128">
        <f>MAX(0,M15-M14)</f>
        <v/>
      </c>
      <c r="O15" s="127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RESUMO'!O6</f>
        <v/>
      </c>
      <c r="N16" s="128">
        <f>MAX(0,M16-M15)</f>
        <v/>
      </c>
      <c r="O16" s="127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RESUMO'!P6</f>
        <v/>
      </c>
      <c r="N17" s="128">
        <f>MAX(0,M17-M16)</f>
        <v/>
      </c>
      <c r="O17" s="127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RESUMO'!Q6</f>
        <v/>
      </c>
      <c r="N18" s="128">
        <f>MAX(0,M18-M17)</f>
        <v/>
      </c>
      <c r="O18" s="127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RESUMO'!R6</f>
        <v/>
      </c>
      <c r="N19" s="128">
        <f>MAX(0,M19-M18)</f>
        <v/>
      </c>
      <c r="O19" s="127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RESUMO'!S6</f>
        <v/>
      </c>
      <c r="N20" s="128">
        <f>MAX(0,M20-M19)</f>
        <v/>
      </c>
      <c r="O20" s="127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RESUMO'!T6</f>
        <v/>
      </c>
      <c r="N21" s="128">
        <f>MAX(0,M21-M20)</f>
        <v/>
      </c>
      <c r="O21" s="127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RESUMO'!U6</f>
        <v/>
      </c>
      <c r="N22" s="128">
        <f>MAX(0,M22-M21)</f>
        <v/>
      </c>
      <c r="O22" s="127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RESUMO'!V6</f>
        <v/>
      </c>
      <c r="N23" s="128">
        <f>MAX(0,M23-M22)</f>
        <v/>
      </c>
      <c r="O23" s="127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RESUMO'!W6</f>
        <v/>
      </c>
      <c r="N24" s="128">
        <f>MAX(0,M24-M23)</f>
        <v/>
      </c>
      <c r="O24" s="127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RESUMO'!X6</f>
        <v/>
      </c>
      <c r="N25" s="128">
        <f>MAX(0,M25-M24)</f>
        <v/>
      </c>
      <c r="O25" s="127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RESUMO'!Y6</f>
        <v/>
      </c>
      <c r="N26" s="128">
        <f>MAX(0,M26-M25)</f>
        <v/>
      </c>
      <c r="O26" s="127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RESUMO'!Z6</f>
        <v/>
      </c>
      <c r="N27" s="128">
        <f>MAX(0,M27-M26)</f>
        <v/>
      </c>
      <c r="O27" s="127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RESUMO'!AA6</f>
        <v/>
      </c>
      <c r="N28" s="128">
        <f>MAX(0,M28-M27)</f>
        <v/>
      </c>
      <c r="O28" s="127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RESUMO'!AB6</f>
        <v/>
      </c>
      <c r="N29" s="128">
        <f>MAX(0,M29-M28)</f>
        <v/>
      </c>
      <c r="O29" s="127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RESUMO'!AC6</f>
        <v/>
      </c>
      <c r="N30" s="128">
        <f>MAX(0,M30-M29)</f>
        <v/>
      </c>
      <c r="O30" s="127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RESUMO'!AD6</f>
        <v/>
      </c>
      <c r="N31" s="128">
        <f>MAX(0,M31-M30)</f>
        <v/>
      </c>
      <c r="O31" s="127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RESUMO'!AE6</f>
        <v/>
      </c>
      <c r="N32" s="128">
        <f>MAX(0,M32-M31)</f>
        <v/>
      </c>
      <c r="O32" s="127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RESUMO'!AF6</f>
        <v/>
      </c>
      <c r="N33" s="128">
        <f>MAX(0,M33-M32)</f>
        <v/>
      </c>
      <c r="O33" s="127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RESUMO'!AG6</f>
        <v/>
      </c>
      <c r="N34" s="128">
        <f>MAX(0,M34-M33)</f>
        <v/>
      </c>
      <c r="O34" s="127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RESUMO'!AH6</f>
        <v/>
      </c>
      <c r="N35" s="128">
        <f>MAX(0,M35-M34)</f>
        <v/>
      </c>
      <c r="O35" s="127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RESUMO'!AI6</f>
        <v/>
      </c>
      <c r="N36" s="128">
        <f>MAX(0,M36-M35)</f>
        <v/>
      </c>
      <c r="O36" s="127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RESUMO'!AJ6</f>
        <v/>
      </c>
      <c r="N37" s="128">
        <f>MAX(0,M37-M36)</f>
        <v/>
      </c>
      <c r="O37" s="127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RESUMO'!AK6</f>
        <v/>
      </c>
      <c r="N38" s="128">
        <f>MAX(0,M38-M37)</f>
        <v/>
      </c>
      <c r="O38" s="127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RESUMO'!AL6</f>
        <v/>
      </c>
      <c r="N39" s="128">
        <f>MAX(0,M39-M38)</f>
        <v/>
      </c>
      <c r="O39" s="127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RESUMO'!AM6</f>
        <v/>
      </c>
      <c r="N40" s="128">
        <f>MAX(0,M40-M39)</f>
        <v/>
      </c>
      <c r="O40" s="127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RESUMO'!AN6</f>
        <v/>
      </c>
      <c r="N41" s="128">
        <f>MAX(0,M41-M40)</f>
        <v/>
      </c>
      <c r="O41" s="127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RESUMO'!AO6</f>
        <v/>
      </c>
      <c r="N42" s="128">
        <f>MAX(0,M42-M41)</f>
        <v/>
      </c>
      <c r="O42" s="127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RESUMO'!AP6</f>
        <v/>
      </c>
      <c r="N43" s="128">
        <f>MAX(0,M43-M42)</f>
        <v/>
      </c>
      <c r="O43" s="127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RESUMO'!AQ6</f>
        <v/>
      </c>
      <c r="N44" s="128">
        <f>MAX(0,M44-M43)</f>
        <v/>
      </c>
      <c r="O44" s="127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RESUMO'!AR6</f>
        <v/>
      </c>
      <c r="N45" s="128">
        <f>MAX(0,M45-M44)</f>
        <v/>
      </c>
      <c r="O45" s="127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RESUMO'!AS6</f>
        <v/>
      </c>
      <c r="N46" s="128">
        <f>MAX(0,M46-M45)</f>
        <v/>
      </c>
      <c r="O46" s="127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RESUMO'!AT6</f>
        <v/>
      </c>
      <c r="N47" s="128">
        <f>MAX(0,M47-M46)</f>
        <v/>
      </c>
      <c r="O47" s="127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RESUMO'!AU6</f>
        <v/>
      </c>
      <c r="N48" s="128">
        <f>MAX(0,M48-M47)</f>
        <v/>
      </c>
      <c r="O48" s="127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RESUMO'!AV6</f>
        <v/>
      </c>
      <c r="N49" s="128">
        <f>MAX(0,M49-M48)</f>
        <v/>
      </c>
      <c r="O49" s="127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RESUMO'!AW6</f>
        <v/>
      </c>
      <c r="N50" s="128">
        <f>MAX(0,M50-M49)</f>
        <v/>
      </c>
      <c r="O50" s="127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RESUMO'!AX6</f>
        <v/>
      </c>
      <c r="N51" s="128">
        <f>MAX(0,M51-M50)</f>
        <v/>
      </c>
      <c r="O51" s="127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RESUMO'!AY6</f>
        <v/>
      </c>
      <c r="N52" s="128">
        <f>MAX(0,M52-M51)</f>
        <v/>
      </c>
      <c r="O52" s="127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RESUMO'!AZ6</f>
        <v/>
      </c>
      <c r="N53" s="128">
        <f>MAX(0,M53-M52)</f>
        <v/>
      </c>
      <c r="O53" s="127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RESUMO'!BA6</f>
        <v/>
      </c>
      <c r="N54" s="128">
        <f>MAX(0,M54-M53)</f>
        <v/>
      </c>
      <c r="O54" s="127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RESUMO'!BB6</f>
        <v/>
      </c>
      <c r="N55" s="128">
        <f>MAX(0,M55-M54)</f>
        <v/>
      </c>
      <c r="O55" s="127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RESUMO'!BC6</f>
        <v/>
      </c>
      <c r="N56" s="128">
        <f>MAX(0,M56-M55)</f>
        <v/>
      </c>
      <c r="O56" s="127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RESUMO'!BD6</f>
        <v/>
      </c>
      <c r="N57" s="128">
        <f>MAX(0,M57-M56)</f>
        <v/>
      </c>
      <c r="O57" s="127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RESUMO'!BE6</f>
        <v/>
      </c>
      <c r="N58" s="128">
        <f>MAX(0,M58-M57)</f>
        <v/>
      </c>
      <c r="O58" s="127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RESUMO'!BF6</f>
        <v/>
      </c>
      <c r="N59" s="128">
        <f>MAX(0,M59-M58)</f>
        <v/>
      </c>
      <c r="O59" s="127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RESUMO'!BG6</f>
        <v/>
      </c>
      <c r="N60" s="128">
        <f>MAX(0,M60-M59)</f>
        <v/>
      </c>
      <c r="O60" s="127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RESUMO'!BH6</f>
        <v/>
      </c>
      <c r="N61" s="128">
        <f>MAX(0,M61-M60)</f>
        <v/>
      </c>
      <c r="O61" s="127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RESUMO'!BI6</f>
        <v/>
      </c>
      <c r="N62" s="128">
        <f>MAX(0,M62-M61)</f>
        <v/>
      </c>
      <c r="O62" s="127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RESUMO'!BJ6</f>
        <v/>
      </c>
      <c r="N63" s="128">
        <f>MAX(0,M63-M62)</f>
        <v/>
      </c>
      <c r="O63" s="127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RESUMO'!BK6</f>
        <v/>
      </c>
      <c r="N64" s="128">
        <f>MAX(0,M64-M63)</f>
        <v/>
      </c>
      <c r="O64" s="127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RESUMO'!BL6</f>
        <v/>
      </c>
      <c r="N65" s="128">
        <f>MAX(0,M65-M64)</f>
        <v/>
      </c>
      <c r="O65" s="127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RESUMO'!BM6</f>
        <v/>
      </c>
      <c r="N66" s="128">
        <f>MAX(0,M66-M65)</f>
        <v/>
      </c>
      <c r="O66" s="127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RESUMO'!BN6</f>
        <v/>
      </c>
      <c r="N67" s="128">
        <f>MAX(0,M67-M66)</f>
        <v/>
      </c>
      <c r="O67" s="127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RESUMO'!BO6</f>
        <v/>
      </c>
      <c r="N68" s="128">
        <f>MAX(0,M68-M67)</f>
        <v/>
      </c>
      <c r="O68" s="127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RESUMO'!BP6</f>
        <v/>
      </c>
      <c r="N69" s="128">
        <f>MAX(0,M69-M68)</f>
        <v/>
      </c>
      <c r="O69" s="127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RESUMO'!BQ6</f>
        <v/>
      </c>
      <c r="N70" s="128">
        <f>MAX(0,M70-M69)</f>
        <v/>
      </c>
      <c r="O70" s="127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RESUMO'!BR6</f>
        <v/>
      </c>
      <c r="N71" s="128">
        <f>MAX(0,M71-M70)</f>
        <v/>
      </c>
      <c r="O71" s="127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RESUMO'!BS6</f>
        <v/>
      </c>
      <c r="N72" s="128">
        <f>MAX(0,M72-M71)</f>
        <v/>
      </c>
      <c r="O72" s="127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RESUMO'!BT6</f>
        <v/>
      </c>
      <c r="N73" s="128">
        <f>MAX(0,M73-M72)</f>
        <v/>
      </c>
      <c r="O73" s="127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RESUMO'!BU6</f>
        <v/>
      </c>
      <c r="N74" s="128">
        <f>MAX(0,M74-M73)</f>
        <v/>
      </c>
      <c r="O74" s="127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RESUMO'!BV6</f>
        <v/>
      </c>
      <c r="N75" s="128">
        <f>MAX(0,M75-M74)</f>
        <v/>
      </c>
      <c r="O75" s="127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RESUMO'!BW6</f>
        <v/>
      </c>
      <c r="N76" s="128">
        <f>MAX(0,M76-M75)</f>
        <v/>
      </c>
      <c r="O76" s="127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PL'!F13</f>
        <v/>
      </c>
      <c r="K5" s="63">
        <f>'VALOR POR PL'!G13</f>
        <v/>
      </c>
      <c r="M5" s="127">
        <f>'CP RESUMO'!D7</f>
        <v/>
      </c>
      <c r="N5" s="128" t="n">
        <v>0</v>
      </c>
      <c r="O5" s="127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RESUMO'!E7</f>
        <v/>
      </c>
      <c r="N6" s="128">
        <f>MAX(0,M6-M5)</f>
        <v/>
      </c>
      <c r="O6" s="127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PL'!L13</f>
        <v/>
      </c>
      <c r="M7" s="127">
        <f>'CP RESUMO'!F7</f>
        <v/>
      </c>
      <c r="N7" s="128">
        <f>MAX(0,M7-M6)</f>
        <v/>
      </c>
      <c r="O7" s="127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RESUMO'!G7</f>
        <v/>
      </c>
      <c r="N8" s="128">
        <f>MAX(0,M8-M7)</f>
        <v/>
      </c>
      <c r="O8" s="127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RESUMO'!H7</f>
        <v/>
      </c>
      <c r="N9" s="128">
        <f>MAX(0,M9-M8)</f>
        <v/>
      </c>
      <c r="O9" s="127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RESUMO'!I7</f>
        <v/>
      </c>
      <c r="N10" s="128">
        <f>MAX(0,M10-M9)</f>
        <v/>
      </c>
      <c r="O10" s="127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RESUMO'!J7</f>
        <v/>
      </c>
      <c r="N11" s="128">
        <f>MAX(0,M11-M10)</f>
        <v/>
      </c>
      <c r="O11" s="127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RESUMO'!K7</f>
        <v/>
      </c>
      <c r="N12" s="128">
        <f>MAX(0,M12-M11)</f>
        <v/>
      </c>
      <c r="O12" s="127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PL'!I13</f>
        <v/>
      </c>
      <c r="M13" s="127">
        <f>'CP RESUMO'!L7</f>
        <v/>
      </c>
      <c r="N13" s="128">
        <f>MAX(0,M13-M12)</f>
        <v/>
      </c>
      <c r="O13" s="127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7">
        <f>'CP RESUMO'!M7</f>
        <v/>
      </c>
      <c r="N14" s="128">
        <f>MAX(0,M14-M13)</f>
        <v/>
      </c>
      <c r="O14" s="127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RESUMO'!N7</f>
        <v/>
      </c>
      <c r="N15" s="128">
        <f>MAX(0,M15-M14)</f>
        <v/>
      </c>
      <c r="O15" s="127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RESUMO'!O7</f>
        <v/>
      </c>
      <c r="N16" s="128">
        <f>MAX(0,M16-M15)</f>
        <v/>
      </c>
      <c r="O16" s="127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RESUMO'!P7</f>
        <v/>
      </c>
      <c r="N17" s="128">
        <f>MAX(0,M17-M16)</f>
        <v/>
      </c>
      <c r="O17" s="127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RESUMO'!Q7</f>
        <v/>
      </c>
      <c r="N18" s="128">
        <f>MAX(0,M18-M17)</f>
        <v/>
      </c>
      <c r="O18" s="127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RESUMO'!R7</f>
        <v/>
      </c>
      <c r="N19" s="128">
        <f>MAX(0,M19-M18)</f>
        <v/>
      </c>
      <c r="O19" s="127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RESUMO'!S7</f>
        <v/>
      </c>
      <c r="N20" s="128">
        <f>MAX(0,M20-M19)</f>
        <v/>
      </c>
      <c r="O20" s="127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RESUMO'!T7</f>
        <v/>
      </c>
      <c r="N21" s="128">
        <f>MAX(0,M21-M20)</f>
        <v/>
      </c>
      <c r="O21" s="127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RESUMO'!U7</f>
        <v/>
      </c>
      <c r="N22" s="128">
        <f>MAX(0,M22-M21)</f>
        <v/>
      </c>
      <c r="O22" s="127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RESUMO'!V7</f>
        <v/>
      </c>
      <c r="N23" s="128">
        <f>MAX(0,M23-M22)</f>
        <v/>
      </c>
      <c r="O23" s="127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RESUMO'!W7</f>
        <v/>
      </c>
      <c r="N24" s="128">
        <f>MAX(0,M24-M23)</f>
        <v/>
      </c>
      <c r="O24" s="127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RESUMO'!X7</f>
        <v/>
      </c>
      <c r="N25" s="128">
        <f>MAX(0,M25-M24)</f>
        <v/>
      </c>
      <c r="O25" s="127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RESUMO'!Y7</f>
        <v/>
      </c>
      <c r="N26" s="128">
        <f>MAX(0,M26-M25)</f>
        <v/>
      </c>
      <c r="O26" s="127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RESUMO'!Z7</f>
        <v/>
      </c>
      <c r="N27" s="128">
        <f>MAX(0,M27-M26)</f>
        <v/>
      </c>
      <c r="O27" s="127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RESUMO'!AA7</f>
        <v/>
      </c>
      <c r="N28" s="128">
        <f>MAX(0,M28-M27)</f>
        <v/>
      </c>
      <c r="O28" s="127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RESUMO'!AB7</f>
        <v/>
      </c>
      <c r="N29" s="128">
        <f>MAX(0,M29-M28)</f>
        <v/>
      </c>
      <c r="O29" s="127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RESUMO'!AC7</f>
        <v/>
      </c>
      <c r="N30" s="128">
        <f>MAX(0,M30-M29)</f>
        <v/>
      </c>
      <c r="O30" s="127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RESUMO'!AD7</f>
        <v/>
      </c>
      <c r="N31" s="128">
        <f>MAX(0,M31-M30)</f>
        <v/>
      </c>
      <c r="O31" s="127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RESUMO'!AE7</f>
        <v/>
      </c>
      <c r="N32" s="128">
        <f>MAX(0,M32-M31)</f>
        <v/>
      </c>
      <c r="O32" s="127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RESUMO'!AF7</f>
        <v/>
      </c>
      <c r="N33" s="128">
        <f>MAX(0,M33-M32)</f>
        <v/>
      </c>
      <c r="O33" s="127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RESUMO'!AG7</f>
        <v/>
      </c>
      <c r="N34" s="128">
        <f>MAX(0,M34-M33)</f>
        <v/>
      </c>
      <c r="O34" s="127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RESUMO'!AH7</f>
        <v/>
      </c>
      <c r="N35" s="128">
        <f>MAX(0,M35-M34)</f>
        <v/>
      </c>
      <c r="O35" s="127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RESUMO'!AI7</f>
        <v/>
      </c>
      <c r="N36" s="128">
        <f>MAX(0,M36-M35)</f>
        <v/>
      </c>
      <c r="O36" s="127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RESUMO'!AJ7</f>
        <v/>
      </c>
      <c r="N37" s="128">
        <f>MAX(0,M37-M36)</f>
        <v/>
      </c>
      <c r="O37" s="127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RESUMO'!AK7</f>
        <v/>
      </c>
      <c r="N38" s="128">
        <f>MAX(0,M38-M37)</f>
        <v/>
      </c>
      <c r="O38" s="127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RESUMO'!AL7</f>
        <v/>
      </c>
      <c r="N39" s="128">
        <f>MAX(0,M39-M38)</f>
        <v/>
      </c>
      <c r="O39" s="127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RESUMO'!AM7</f>
        <v/>
      </c>
      <c r="N40" s="128">
        <f>MAX(0,M40-M39)</f>
        <v/>
      </c>
      <c r="O40" s="127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RESUMO'!AN7</f>
        <v/>
      </c>
      <c r="N41" s="128">
        <f>MAX(0,M41-M40)</f>
        <v/>
      </c>
      <c r="O41" s="127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RESUMO'!AO7</f>
        <v/>
      </c>
      <c r="N42" s="128">
        <f>MAX(0,M42-M41)</f>
        <v/>
      </c>
      <c r="O42" s="127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RESUMO'!AP7</f>
        <v/>
      </c>
      <c r="N43" s="128">
        <f>MAX(0,M43-M42)</f>
        <v/>
      </c>
      <c r="O43" s="127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RESUMO'!AQ7</f>
        <v/>
      </c>
      <c r="N44" s="128">
        <f>MAX(0,M44-M43)</f>
        <v/>
      </c>
      <c r="O44" s="127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RESUMO'!AR7</f>
        <v/>
      </c>
      <c r="N45" s="128">
        <f>MAX(0,M45-M44)</f>
        <v/>
      </c>
      <c r="O45" s="127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RESUMO'!AS7</f>
        <v/>
      </c>
      <c r="N46" s="128">
        <f>MAX(0,M46-M45)</f>
        <v/>
      </c>
      <c r="O46" s="127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RESUMO'!AT7</f>
        <v/>
      </c>
      <c r="N47" s="128">
        <f>MAX(0,M47-M46)</f>
        <v/>
      </c>
      <c r="O47" s="127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RESUMO'!AU7</f>
        <v/>
      </c>
      <c r="N48" s="128">
        <f>MAX(0,M48-M47)</f>
        <v/>
      </c>
      <c r="O48" s="127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RESUMO'!AV7</f>
        <v/>
      </c>
      <c r="N49" s="128">
        <f>MAX(0,M49-M48)</f>
        <v/>
      </c>
      <c r="O49" s="127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RESUMO'!AW7</f>
        <v/>
      </c>
      <c r="N50" s="128">
        <f>MAX(0,M50-M49)</f>
        <v/>
      </c>
      <c r="O50" s="127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RESUMO'!AX7</f>
        <v/>
      </c>
      <c r="N51" s="128">
        <f>MAX(0,M51-M50)</f>
        <v/>
      </c>
      <c r="O51" s="127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RESUMO'!AY7</f>
        <v/>
      </c>
      <c r="N52" s="128">
        <f>MAX(0,M52-M51)</f>
        <v/>
      </c>
      <c r="O52" s="127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RESUMO'!AZ7</f>
        <v/>
      </c>
      <c r="N53" s="128">
        <f>MAX(0,M53-M52)</f>
        <v/>
      </c>
      <c r="O53" s="127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RESUMO'!BA7</f>
        <v/>
      </c>
      <c r="N54" s="128">
        <f>MAX(0,M54-M53)</f>
        <v/>
      </c>
      <c r="O54" s="127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RESUMO'!BB7</f>
        <v/>
      </c>
      <c r="N55" s="128">
        <f>MAX(0,M55-M54)</f>
        <v/>
      </c>
      <c r="O55" s="127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RESUMO'!BC7</f>
        <v/>
      </c>
      <c r="N56" s="128">
        <f>MAX(0,M56-M55)</f>
        <v/>
      </c>
      <c r="O56" s="127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RESUMO'!BD7</f>
        <v/>
      </c>
      <c r="N57" s="128">
        <f>MAX(0,M57-M56)</f>
        <v/>
      </c>
      <c r="O57" s="127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RESUMO'!BE7</f>
        <v/>
      </c>
      <c r="N58" s="128">
        <f>MAX(0,M58-M57)</f>
        <v/>
      </c>
      <c r="O58" s="127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RESUMO'!BF7</f>
        <v/>
      </c>
      <c r="N59" s="128">
        <f>MAX(0,M59-M58)</f>
        <v/>
      </c>
      <c r="O59" s="127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RESUMO'!BG7</f>
        <v/>
      </c>
      <c r="N60" s="128">
        <f>MAX(0,M60-M59)</f>
        <v/>
      </c>
      <c r="O60" s="127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RESUMO'!BH7</f>
        <v/>
      </c>
      <c r="N61" s="128">
        <f>MAX(0,M61-M60)</f>
        <v/>
      </c>
      <c r="O61" s="127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RESUMO'!BI7</f>
        <v/>
      </c>
      <c r="N62" s="128">
        <f>MAX(0,M62-M61)</f>
        <v/>
      </c>
      <c r="O62" s="127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RESUMO'!BJ7</f>
        <v/>
      </c>
      <c r="N63" s="128">
        <f>MAX(0,M63-M62)</f>
        <v/>
      </c>
      <c r="O63" s="127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RESUMO'!BK7</f>
        <v/>
      </c>
      <c r="N64" s="128">
        <f>MAX(0,M64-M63)</f>
        <v/>
      </c>
      <c r="O64" s="127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RESUMO'!BL7</f>
        <v/>
      </c>
      <c r="N65" s="128">
        <f>MAX(0,M65-M64)</f>
        <v/>
      </c>
      <c r="O65" s="127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RESUMO'!BM7</f>
        <v/>
      </c>
      <c r="N66" s="128">
        <f>MAX(0,M66-M65)</f>
        <v/>
      </c>
      <c r="O66" s="127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RESUMO'!BN7</f>
        <v/>
      </c>
      <c r="N67" s="128">
        <f>MAX(0,M67-M66)</f>
        <v/>
      </c>
      <c r="O67" s="127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RESUMO'!BO7</f>
        <v/>
      </c>
      <c r="N68" s="128">
        <f>MAX(0,M68-M67)</f>
        <v/>
      </c>
      <c r="O68" s="127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RESUMO'!BP7</f>
        <v/>
      </c>
      <c r="N69" s="128">
        <f>MAX(0,M69-M68)</f>
        <v/>
      </c>
      <c r="O69" s="127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RESUMO'!BQ7</f>
        <v/>
      </c>
      <c r="N70" s="128">
        <f>MAX(0,M70-M69)</f>
        <v/>
      </c>
      <c r="O70" s="127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RESUMO'!BR7</f>
        <v/>
      </c>
      <c r="N71" s="128">
        <f>MAX(0,M71-M70)</f>
        <v/>
      </c>
      <c r="O71" s="127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RESUMO'!BS7</f>
        <v/>
      </c>
      <c r="N72" s="128">
        <f>MAX(0,M72-M71)</f>
        <v/>
      </c>
      <c r="O72" s="127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RESUMO'!BT7</f>
        <v/>
      </c>
      <c r="N73" s="128">
        <f>MAX(0,M73-M72)</f>
        <v/>
      </c>
      <c r="O73" s="127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RESUMO'!BU7</f>
        <v/>
      </c>
      <c r="N74" s="128">
        <f>MAX(0,M74-M73)</f>
        <v/>
      </c>
      <c r="O74" s="127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RESUMO'!BV7</f>
        <v/>
      </c>
      <c r="N75" s="128">
        <f>MAX(0,M75-M74)</f>
        <v/>
      </c>
      <c r="O75" s="127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RESUMO'!BW7</f>
        <v/>
      </c>
      <c r="N76" s="128">
        <f>MAX(0,M76-M75)</f>
        <v/>
      </c>
      <c r="O76" s="127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PL'!F14</f>
        <v/>
      </c>
      <c r="K5" s="63">
        <f>'VALOR POR PL'!G14</f>
        <v/>
      </c>
      <c r="M5" s="127">
        <f>'CP RESUMO'!D8</f>
        <v/>
      </c>
      <c r="N5" s="128" t="n">
        <v>0</v>
      </c>
      <c r="O5" s="127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RESUMO'!E8</f>
        <v/>
      </c>
      <c r="N6" s="128">
        <f>MAX(0,M6-M5)</f>
        <v/>
      </c>
      <c r="O6" s="127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PL'!L14</f>
        <v/>
      </c>
      <c r="M7" s="127">
        <f>'CP RESUMO'!F8</f>
        <v/>
      </c>
      <c r="N7" s="128">
        <f>MAX(0,M7-M6)</f>
        <v/>
      </c>
      <c r="O7" s="127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RESUMO'!G8</f>
        <v/>
      </c>
      <c r="N8" s="128">
        <f>MAX(0,M8-M7)</f>
        <v/>
      </c>
      <c r="O8" s="127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RESUMO'!H8</f>
        <v/>
      </c>
      <c r="N9" s="128">
        <f>MAX(0,M9-M8)</f>
        <v/>
      </c>
      <c r="O9" s="127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RESUMO'!I8</f>
        <v/>
      </c>
      <c r="N10" s="128">
        <f>MAX(0,M10-M9)</f>
        <v/>
      </c>
      <c r="O10" s="127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RESUMO'!J8</f>
        <v/>
      </c>
      <c r="N11" s="128">
        <f>MAX(0,M11-M10)</f>
        <v/>
      </c>
      <c r="O11" s="127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RESUMO'!K8</f>
        <v/>
      </c>
      <c r="N12" s="128">
        <f>MAX(0,M12-M11)</f>
        <v/>
      </c>
      <c r="O12" s="127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PL'!I14</f>
        <v/>
      </c>
      <c r="M13" s="127">
        <f>'CP RESUMO'!L8</f>
        <v/>
      </c>
      <c r="N13" s="128">
        <f>MAX(0,M13-M12)</f>
        <v/>
      </c>
      <c r="O13" s="127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7">
        <f>'CP RESUMO'!M8</f>
        <v/>
      </c>
      <c r="N14" s="128">
        <f>MAX(0,M14-M13)</f>
        <v/>
      </c>
      <c r="O14" s="127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RESUMO'!N8</f>
        <v/>
      </c>
      <c r="N15" s="128">
        <f>MAX(0,M15-M14)</f>
        <v/>
      </c>
      <c r="O15" s="127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RESUMO'!O8</f>
        <v/>
      </c>
      <c r="N16" s="128">
        <f>MAX(0,M16-M15)</f>
        <v/>
      </c>
      <c r="O16" s="127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RESUMO'!P8</f>
        <v/>
      </c>
      <c r="N17" s="128">
        <f>MAX(0,M17-M16)</f>
        <v/>
      </c>
      <c r="O17" s="127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RESUMO'!Q8</f>
        <v/>
      </c>
      <c r="N18" s="128">
        <f>MAX(0,M18-M17)</f>
        <v/>
      </c>
      <c r="O18" s="127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RESUMO'!R8</f>
        <v/>
      </c>
      <c r="N19" s="128">
        <f>MAX(0,M19-M18)</f>
        <v/>
      </c>
      <c r="O19" s="127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RESUMO'!S8</f>
        <v/>
      </c>
      <c r="N20" s="128">
        <f>MAX(0,M20-M19)</f>
        <v/>
      </c>
      <c r="O20" s="127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RESUMO'!T8</f>
        <v/>
      </c>
      <c r="N21" s="128">
        <f>MAX(0,M21-M20)</f>
        <v/>
      </c>
      <c r="O21" s="127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RESUMO'!U8</f>
        <v/>
      </c>
      <c r="N22" s="128">
        <f>MAX(0,M22-M21)</f>
        <v/>
      </c>
      <c r="O22" s="127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RESUMO'!V8</f>
        <v/>
      </c>
      <c r="N23" s="128">
        <f>MAX(0,M23-M22)</f>
        <v/>
      </c>
      <c r="O23" s="127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RESUMO'!W8</f>
        <v/>
      </c>
      <c r="N24" s="128">
        <f>MAX(0,M24-M23)</f>
        <v/>
      </c>
      <c r="O24" s="127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RESUMO'!X8</f>
        <v/>
      </c>
      <c r="N25" s="128">
        <f>MAX(0,M25-M24)</f>
        <v/>
      </c>
      <c r="O25" s="127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RESUMO'!Y8</f>
        <v/>
      </c>
      <c r="N26" s="128">
        <f>MAX(0,M26-M25)</f>
        <v/>
      </c>
      <c r="O26" s="127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RESUMO'!Z8</f>
        <v/>
      </c>
      <c r="N27" s="128">
        <f>MAX(0,M27-M26)</f>
        <v/>
      </c>
      <c r="O27" s="127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RESUMO'!AA8</f>
        <v/>
      </c>
      <c r="N28" s="128">
        <f>MAX(0,M28-M27)</f>
        <v/>
      </c>
      <c r="O28" s="127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RESUMO'!AB8</f>
        <v/>
      </c>
      <c r="N29" s="128">
        <f>MAX(0,M29-M28)</f>
        <v/>
      </c>
      <c r="O29" s="127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RESUMO'!AC8</f>
        <v/>
      </c>
      <c r="N30" s="128">
        <f>MAX(0,M30-M29)</f>
        <v/>
      </c>
      <c r="O30" s="127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RESUMO'!AD8</f>
        <v/>
      </c>
      <c r="N31" s="128">
        <f>MAX(0,M31-M30)</f>
        <v/>
      </c>
      <c r="O31" s="127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RESUMO'!AE8</f>
        <v/>
      </c>
      <c r="N32" s="128">
        <f>MAX(0,M32-M31)</f>
        <v/>
      </c>
      <c r="O32" s="127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RESUMO'!AF8</f>
        <v/>
      </c>
      <c r="N33" s="128">
        <f>MAX(0,M33-M32)</f>
        <v/>
      </c>
      <c r="O33" s="127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RESUMO'!AG8</f>
        <v/>
      </c>
      <c r="N34" s="128">
        <f>MAX(0,M34-M33)</f>
        <v/>
      </c>
      <c r="O34" s="127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RESUMO'!AH8</f>
        <v/>
      </c>
      <c r="N35" s="128">
        <f>MAX(0,M35-M34)</f>
        <v/>
      </c>
      <c r="O35" s="127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RESUMO'!AI8</f>
        <v/>
      </c>
      <c r="N36" s="128">
        <f>MAX(0,M36-M35)</f>
        <v/>
      </c>
      <c r="O36" s="127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RESUMO'!AJ8</f>
        <v/>
      </c>
      <c r="N37" s="128">
        <f>MAX(0,M37-M36)</f>
        <v/>
      </c>
      <c r="O37" s="127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RESUMO'!AK8</f>
        <v/>
      </c>
      <c r="N38" s="128">
        <f>MAX(0,M38-M37)</f>
        <v/>
      </c>
      <c r="O38" s="127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RESUMO'!AL8</f>
        <v/>
      </c>
      <c r="N39" s="128">
        <f>MAX(0,M39-M38)</f>
        <v/>
      </c>
      <c r="O39" s="127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RESUMO'!AM8</f>
        <v/>
      </c>
      <c r="N40" s="128">
        <f>MAX(0,M40-M39)</f>
        <v/>
      </c>
      <c r="O40" s="127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RESUMO'!AN8</f>
        <v/>
      </c>
      <c r="N41" s="128">
        <f>MAX(0,M41-M40)</f>
        <v/>
      </c>
      <c r="O41" s="127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RESUMO'!AO8</f>
        <v/>
      </c>
      <c r="N42" s="128">
        <f>MAX(0,M42-M41)</f>
        <v/>
      </c>
      <c r="O42" s="127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RESUMO'!AP8</f>
        <v/>
      </c>
      <c r="N43" s="128">
        <f>MAX(0,M43-M42)</f>
        <v/>
      </c>
      <c r="O43" s="127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RESUMO'!AQ8</f>
        <v/>
      </c>
      <c r="N44" s="128">
        <f>MAX(0,M44-M43)</f>
        <v/>
      </c>
      <c r="O44" s="127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RESUMO'!AR8</f>
        <v/>
      </c>
      <c r="N45" s="128">
        <f>MAX(0,M45-M44)</f>
        <v/>
      </c>
      <c r="O45" s="127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RESUMO'!AS8</f>
        <v/>
      </c>
      <c r="N46" s="128">
        <f>MAX(0,M46-M45)</f>
        <v/>
      </c>
      <c r="O46" s="127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RESUMO'!AT8</f>
        <v/>
      </c>
      <c r="N47" s="128">
        <f>MAX(0,M47-M46)</f>
        <v/>
      </c>
      <c r="O47" s="127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RESUMO'!AU8</f>
        <v/>
      </c>
      <c r="N48" s="128">
        <f>MAX(0,M48-M47)</f>
        <v/>
      </c>
      <c r="O48" s="127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RESUMO'!AV8</f>
        <v/>
      </c>
      <c r="N49" s="128">
        <f>MAX(0,M49-M48)</f>
        <v/>
      </c>
      <c r="O49" s="127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RESUMO'!AW8</f>
        <v/>
      </c>
      <c r="N50" s="128">
        <f>MAX(0,M50-M49)</f>
        <v/>
      </c>
      <c r="O50" s="127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RESUMO'!AX8</f>
        <v/>
      </c>
      <c r="N51" s="128">
        <f>MAX(0,M51-M50)</f>
        <v/>
      </c>
      <c r="O51" s="127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RESUMO'!AY8</f>
        <v/>
      </c>
      <c r="N52" s="128">
        <f>MAX(0,M52-M51)</f>
        <v/>
      </c>
      <c r="O52" s="127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RESUMO'!AZ8</f>
        <v/>
      </c>
      <c r="N53" s="128">
        <f>MAX(0,M53-M52)</f>
        <v/>
      </c>
      <c r="O53" s="127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RESUMO'!BA8</f>
        <v/>
      </c>
      <c r="N54" s="128">
        <f>MAX(0,M54-M53)</f>
        <v/>
      </c>
      <c r="O54" s="127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RESUMO'!BB8</f>
        <v/>
      </c>
      <c r="N55" s="128">
        <f>MAX(0,M55-M54)</f>
        <v/>
      </c>
      <c r="O55" s="127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RESUMO'!BC8</f>
        <v/>
      </c>
      <c r="N56" s="128">
        <f>MAX(0,M56-M55)</f>
        <v/>
      </c>
      <c r="O56" s="127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RESUMO'!BD8</f>
        <v/>
      </c>
      <c r="N57" s="128">
        <f>MAX(0,M57-M56)</f>
        <v/>
      </c>
      <c r="O57" s="127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RESUMO'!BE8</f>
        <v/>
      </c>
      <c r="N58" s="128">
        <f>MAX(0,M58-M57)</f>
        <v/>
      </c>
      <c r="O58" s="127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RESUMO'!BF8</f>
        <v/>
      </c>
      <c r="N59" s="128">
        <f>MAX(0,M59-M58)</f>
        <v/>
      </c>
      <c r="O59" s="127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RESUMO'!BG8</f>
        <v/>
      </c>
      <c r="N60" s="128">
        <f>MAX(0,M60-M59)</f>
        <v/>
      </c>
      <c r="O60" s="127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RESUMO'!BH8</f>
        <v/>
      </c>
      <c r="N61" s="128">
        <f>MAX(0,M61-M60)</f>
        <v/>
      </c>
      <c r="O61" s="127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RESUMO'!BI8</f>
        <v/>
      </c>
      <c r="N62" s="128">
        <f>MAX(0,M62-M61)</f>
        <v/>
      </c>
      <c r="O62" s="127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RESUMO'!BJ8</f>
        <v/>
      </c>
      <c r="N63" s="128">
        <f>MAX(0,M63-M62)</f>
        <v/>
      </c>
      <c r="O63" s="127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RESUMO'!BK8</f>
        <v/>
      </c>
      <c r="N64" s="128">
        <f>MAX(0,M64-M63)</f>
        <v/>
      </c>
      <c r="O64" s="127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RESUMO'!BL8</f>
        <v/>
      </c>
      <c r="N65" s="128">
        <f>MAX(0,M65-M64)</f>
        <v/>
      </c>
      <c r="O65" s="127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RESUMO'!BM8</f>
        <v/>
      </c>
      <c r="N66" s="128">
        <f>MAX(0,M66-M65)</f>
        <v/>
      </c>
      <c r="O66" s="127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RESUMO'!BN8</f>
        <v/>
      </c>
      <c r="N67" s="128">
        <f>MAX(0,M67-M66)</f>
        <v/>
      </c>
      <c r="O67" s="127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RESUMO'!BO8</f>
        <v/>
      </c>
      <c r="N68" s="128">
        <f>MAX(0,M68-M67)</f>
        <v/>
      </c>
      <c r="O68" s="127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RESUMO'!BP8</f>
        <v/>
      </c>
      <c r="N69" s="128">
        <f>MAX(0,M69-M68)</f>
        <v/>
      </c>
      <c r="O69" s="127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RESUMO'!BQ8</f>
        <v/>
      </c>
      <c r="N70" s="128">
        <f>MAX(0,M70-M69)</f>
        <v/>
      </c>
      <c r="O70" s="127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RESUMO'!BR8</f>
        <v/>
      </c>
      <c r="N71" s="128">
        <f>MAX(0,M71-M70)</f>
        <v/>
      </c>
      <c r="O71" s="127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RESUMO'!BS8</f>
        <v/>
      </c>
      <c r="N72" s="128">
        <f>MAX(0,M72-M71)</f>
        <v/>
      </c>
      <c r="O72" s="127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RESUMO'!BT8</f>
        <v/>
      </c>
      <c r="N73" s="128">
        <f>MAX(0,M73-M72)</f>
        <v/>
      </c>
      <c r="O73" s="127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RESUMO'!BU8</f>
        <v/>
      </c>
      <c r="N74" s="128">
        <f>MAX(0,M74-M73)</f>
        <v/>
      </c>
      <c r="O74" s="127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RESUMO'!BV8</f>
        <v/>
      </c>
      <c r="N75" s="128">
        <f>MAX(0,M75-M74)</f>
        <v/>
      </c>
      <c r="O75" s="127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RESUMO'!BW8</f>
        <v/>
      </c>
      <c r="N76" s="128">
        <f>MAX(0,M76-M75)</f>
        <v/>
      </c>
      <c r="O76" s="127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PL'!F15</f>
        <v/>
      </c>
      <c r="K5" s="63">
        <f>'VALOR POR PL'!G15</f>
        <v/>
      </c>
      <c r="M5" s="127">
        <f>'CP RESUMO'!D9</f>
        <v/>
      </c>
      <c r="N5" s="128" t="n">
        <v>0</v>
      </c>
      <c r="O5" s="127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RESUMO'!E9</f>
        <v/>
      </c>
      <c r="N6" s="128">
        <f>MAX(0,M6-M5)</f>
        <v/>
      </c>
      <c r="O6" s="127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PL'!L15</f>
        <v/>
      </c>
      <c r="M7" s="127">
        <f>'CP RESUMO'!F9</f>
        <v/>
      </c>
      <c r="N7" s="128">
        <f>MAX(0,M7-M6)</f>
        <v/>
      </c>
      <c r="O7" s="127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RESUMO'!G9</f>
        <v/>
      </c>
      <c r="N8" s="128">
        <f>MAX(0,M8-M7)</f>
        <v/>
      </c>
      <c r="O8" s="127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RESUMO'!H9</f>
        <v/>
      </c>
      <c r="N9" s="128">
        <f>MAX(0,M9-M8)</f>
        <v/>
      </c>
      <c r="O9" s="127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RESUMO'!I9</f>
        <v/>
      </c>
      <c r="N10" s="128">
        <f>MAX(0,M10-M9)</f>
        <v/>
      </c>
      <c r="O10" s="127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RESUMO'!J9</f>
        <v/>
      </c>
      <c r="N11" s="128">
        <f>MAX(0,M11-M10)</f>
        <v/>
      </c>
      <c r="O11" s="127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RESUMO'!K9</f>
        <v/>
      </c>
      <c r="N12" s="128">
        <f>MAX(0,M12-M11)</f>
        <v/>
      </c>
      <c r="O12" s="127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PL'!I15</f>
        <v/>
      </c>
      <c r="M13" s="127">
        <f>'CP RESUMO'!L9</f>
        <v/>
      </c>
      <c r="N13" s="128">
        <f>MAX(0,M13-M12)</f>
        <v/>
      </c>
      <c r="O13" s="127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7">
        <f>'CP RESUMO'!M9</f>
        <v/>
      </c>
      <c r="N14" s="128">
        <f>MAX(0,M14-M13)</f>
        <v/>
      </c>
      <c r="O14" s="127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RESUMO'!N9</f>
        <v/>
      </c>
      <c r="N15" s="128">
        <f>MAX(0,M15-M14)</f>
        <v/>
      </c>
      <c r="O15" s="127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RESUMO'!O9</f>
        <v/>
      </c>
      <c r="N16" s="128">
        <f>MAX(0,M16-M15)</f>
        <v/>
      </c>
      <c r="O16" s="127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RESUMO'!P9</f>
        <v/>
      </c>
      <c r="N17" s="128">
        <f>MAX(0,M17-M16)</f>
        <v/>
      </c>
      <c r="O17" s="127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RESUMO'!Q9</f>
        <v/>
      </c>
      <c r="N18" s="128">
        <f>MAX(0,M18-M17)</f>
        <v/>
      </c>
      <c r="O18" s="127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RESUMO'!R9</f>
        <v/>
      </c>
      <c r="N19" s="128">
        <f>MAX(0,M19-M18)</f>
        <v/>
      </c>
      <c r="O19" s="127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RESUMO'!S9</f>
        <v/>
      </c>
      <c r="N20" s="128">
        <f>MAX(0,M20-M19)</f>
        <v/>
      </c>
      <c r="O20" s="127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RESUMO'!T9</f>
        <v/>
      </c>
      <c r="N21" s="128">
        <f>MAX(0,M21-M20)</f>
        <v/>
      </c>
      <c r="O21" s="127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RESUMO'!U9</f>
        <v/>
      </c>
      <c r="N22" s="128">
        <f>MAX(0,M22-M21)</f>
        <v/>
      </c>
      <c r="O22" s="127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RESUMO'!V9</f>
        <v/>
      </c>
      <c r="N23" s="128">
        <f>MAX(0,M23-M22)</f>
        <v/>
      </c>
      <c r="O23" s="127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RESUMO'!W9</f>
        <v/>
      </c>
      <c r="N24" s="128">
        <f>MAX(0,M24-M23)</f>
        <v/>
      </c>
      <c r="O24" s="127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RESUMO'!X9</f>
        <v/>
      </c>
      <c r="N25" s="128">
        <f>MAX(0,M25-M24)</f>
        <v/>
      </c>
      <c r="O25" s="127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RESUMO'!Y9</f>
        <v/>
      </c>
      <c r="N26" s="128">
        <f>MAX(0,M26-M25)</f>
        <v/>
      </c>
      <c r="O26" s="127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RESUMO'!Z9</f>
        <v/>
      </c>
      <c r="N27" s="128">
        <f>MAX(0,M27-M26)</f>
        <v/>
      </c>
      <c r="O27" s="127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RESUMO'!AA9</f>
        <v/>
      </c>
      <c r="N28" s="128">
        <f>MAX(0,M28-M27)</f>
        <v/>
      </c>
      <c r="O28" s="127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RESUMO'!AB9</f>
        <v/>
      </c>
      <c r="N29" s="128">
        <f>MAX(0,M29-M28)</f>
        <v/>
      </c>
      <c r="O29" s="127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RESUMO'!AC9</f>
        <v/>
      </c>
      <c r="N30" s="128">
        <f>MAX(0,M30-M29)</f>
        <v/>
      </c>
      <c r="O30" s="127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RESUMO'!AD9</f>
        <v/>
      </c>
      <c r="N31" s="128">
        <f>MAX(0,M31-M30)</f>
        <v/>
      </c>
      <c r="O31" s="127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RESUMO'!AE9</f>
        <v/>
      </c>
      <c r="N32" s="128">
        <f>MAX(0,M32-M31)</f>
        <v/>
      </c>
      <c r="O32" s="127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RESUMO'!AF9</f>
        <v/>
      </c>
      <c r="N33" s="128">
        <f>MAX(0,M33-M32)</f>
        <v/>
      </c>
      <c r="O33" s="127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RESUMO'!AG9</f>
        <v/>
      </c>
      <c r="N34" s="128">
        <f>MAX(0,M34-M33)</f>
        <v/>
      </c>
      <c r="O34" s="127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RESUMO'!AH9</f>
        <v/>
      </c>
      <c r="N35" s="128">
        <f>MAX(0,M35-M34)</f>
        <v/>
      </c>
      <c r="O35" s="127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RESUMO'!AI9</f>
        <v/>
      </c>
      <c r="N36" s="128">
        <f>MAX(0,M36-M35)</f>
        <v/>
      </c>
      <c r="O36" s="127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RESUMO'!AJ9</f>
        <v/>
      </c>
      <c r="N37" s="128">
        <f>MAX(0,M37-M36)</f>
        <v/>
      </c>
      <c r="O37" s="127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RESUMO'!AK9</f>
        <v/>
      </c>
      <c r="N38" s="128">
        <f>MAX(0,M38-M37)</f>
        <v/>
      </c>
      <c r="O38" s="127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RESUMO'!AL9</f>
        <v/>
      </c>
      <c r="N39" s="128">
        <f>MAX(0,M39-M38)</f>
        <v/>
      </c>
      <c r="O39" s="127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RESUMO'!AM9</f>
        <v/>
      </c>
      <c r="N40" s="128">
        <f>MAX(0,M40-M39)</f>
        <v/>
      </c>
      <c r="O40" s="127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RESUMO'!AN9</f>
        <v/>
      </c>
      <c r="N41" s="128">
        <f>MAX(0,M41-M40)</f>
        <v/>
      </c>
      <c r="O41" s="127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RESUMO'!AO9</f>
        <v/>
      </c>
      <c r="N42" s="128">
        <f>MAX(0,M42-M41)</f>
        <v/>
      </c>
      <c r="O42" s="127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RESUMO'!AP9</f>
        <v/>
      </c>
      <c r="N43" s="128">
        <f>MAX(0,M43-M42)</f>
        <v/>
      </c>
      <c r="O43" s="127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RESUMO'!AQ9</f>
        <v/>
      </c>
      <c r="N44" s="128">
        <f>MAX(0,M44-M43)</f>
        <v/>
      </c>
      <c r="O44" s="127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RESUMO'!AR9</f>
        <v/>
      </c>
      <c r="N45" s="128">
        <f>MAX(0,M45-M44)</f>
        <v/>
      </c>
      <c r="O45" s="127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RESUMO'!AS9</f>
        <v/>
      </c>
      <c r="N46" s="128">
        <f>MAX(0,M46-M45)</f>
        <v/>
      </c>
      <c r="O46" s="127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RESUMO'!AT9</f>
        <v/>
      </c>
      <c r="N47" s="128">
        <f>MAX(0,M47-M46)</f>
        <v/>
      </c>
      <c r="O47" s="127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RESUMO'!AU9</f>
        <v/>
      </c>
      <c r="N48" s="128">
        <f>MAX(0,M48-M47)</f>
        <v/>
      </c>
      <c r="O48" s="127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RESUMO'!AV9</f>
        <v/>
      </c>
      <c r="N49" s="128">
        <f>MAX(0,M49-M48)</f>
        <v/>
      </c>
      <c r="O49" s="127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RESUMO'!AW9</f>
        <v/>
      </c>
      <c r="N50" s="128">
        <f>MAX(0,M50-M49)</f>
        <v/>
      </c>
      <c r="O50" s="127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RESUMO'!AX9</f>
        <v/>
      </c>
      <c r="N51" s="128">
        <f>MAX(0,M51-M50)</f>
        <v/>
      </c>
      <c r="O51" s="127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RESUMO'!AY9</f>
        <v/>
      </c>
      <c r="N52" s="128">
        <f>MAX(0,M52-M51)</f>
        <v/>
      </c>
      <c r="O52" s="127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RESUMO'!AZ9</f>
        <v/>
      </c>
      <c r="N53" s="128">
        <f>MAX(0,M53-M52)</f>
        <v/>
      </c>
      <c r="O53" s="127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RESUMO'!BA9</f>
        <v/>
      </c>
      <c r="N54" s="128">
        <f>MAX(0,M54-M53)</f>
        <v/>
      </c>
      <c r="O54" s="127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RESUMO'!BB9</f>
        <v/>
      </c>
      <c r="N55" s="128">
        <f>MAX(0,M55-M54)</f>
        <v/>
      </c>
      <c r="O55" s="127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RESUMO'!BC9</f>
        <v/>
      </c>
      <c r="N56" s="128">
        <f>MAX(0,M56-M55)</f>
        <v/>
      </c>
      <c r="O56" s="127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RESUMO'!BD9</f>
        <v/>
      </c>
      <c r="N57" s="128">
        <f>MAX(0,M57-M56)</f>
        <v/>
      </c>
      <c r="O57" s="127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RESUMO'!BE9</f>
        <v/>
      </c>
      <c r="N58" s="128">
        <f>MAX(0,M58-M57)</f>
        <v/>
      </c>
      <c r="O58" s="127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RESUMO'!BF9</f>
        <v/>
      </c>
      <c r="N59" s="128">
        <f>MAX(0,M59-M58)</f>
        <v/>
      </c>
      <c r="O59" s="127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RESUMO'!BG9</f>
        <v/>
      </c>
      <c r="N60" s="128">
        <f>MAX(0,M60-M59)</f>
        <v/>
      </c>
      <c r="O60" s="127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RESUMO'!BH9</f>
        <v/>
      </c>
      <c r="N61" s="128">
        <f>MAX(0,M61-M60)</f>
        <v/>
      </c>
      <c r="O61" s="127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RESUMO'!BI9</f>
        <v/>
      </c>
      <c r="N62" s="128">
        <f>MAX(0,M62-M61)</f>
        <v/>
      </c>
      <c r="O62" s="127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RESUMO'!BJ9</f>
        <v/>
      </c>
      <c r="N63" s="128">
        <f>MAX(0,M63-M62)</f>
        <v/>
      </c>
      <c r="O63" s="127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RESUMO'!BK9</f>
        <v/>
      </c>
      <c r="N64" s="128">
        <f>MAX(0,M64-M63)</f>
        <v/>
      </c>
      <c r="O64" s="127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RESUMO'!BL9</f>
        <v/>
      </c>
      <c r="N65" s="128">
        <f>MAX(0,M65-M64)</f>
        <v/>
      </c>
      <c r="O65" s="127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RESUMO'!BM9</f>
        <v/>
      </c>
      <c r="N66" s="128">
        <f>MAX(0,M66-M65)</f>
        <v/>
      </c>
      <c r="O66" s="127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RESUMO'!BN9</f>
        <v/>
      </c>
      <c r="N67" s="128">
        <f>MAX(0,M67-M66)</f>
        <v/>
      </c>
      <c r="O67" s="127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RESUMO'!BO9</f>
        <v/>
      </c>
      <c r="N68" s="128">
        <f>MAX(0,M68-M67)</f>
        <v/>
      </c>
      <c r="O68" s="127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RESUMO'!BP9</f>
        <v/>
      </c>
      <c r="N69" s="128">
        <f>MAX(0,M69-M68)</f>
        <v/>
      </c>
      <c r="O69" s="127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RESUMO'!BQ9</f>
        <v/>
      </c>
      <c r="N70" s="128">
        <f>MAX(0,M70-M69)</f>
        <v/>
      </c>
      <c r="O70" s="127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RESUMO'!BR9</f>
        <v/>
      </c>
      <c r="N71" s="128">
        <f>MAX(0,M71-M70)</f>
        <v/>
      </c>
      <c r="O71" s="127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RESUMO'!BS9</f>
        <v/>
      </c>
      <c r="N72" s="128">
        <f>MAX(0,M72-M71)</f>
        <v/>
      </c>
      <c r="O72" s="127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RESUMO'!BT9</f>
        <v/>
      </c>
      <c r="N73" s="128">
        <f>MAX(0,M73-M72)</f>
        <v/>
      </c>
      <c r="O73" s="127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RESUMO'!BU9</f>
        <v/>
      </c>
      <c r="N74" s="128">
        <f>MAX(0,M74-M73)</f>
        <v/>
      </c>
      <c r="O74" s="127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RESUMO'!BV9</f>
        <v/>
      </c>
      <c r="N75" s="128">
        <f>MAX(0,M75-M74)</f>
        <v/>
      </c>
      <c r="O75" s="127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RESUMO'!BW9</f>
        <v/>
      </c>
      <c r="N76" s="128">
        <f>MAX(0,M76-M75)</f>
        <v/>
      </c>
      <c r="O76" s="127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PL'!F16</f>
        <v/>
      </c>
      <c r="K5" s="63">
        <f>'VALOR POR PL'!G16</f>
        <v/>
      </c>
      <c r="M5" s="127">
        <f>'CP RESUMO'!D10</f>
        <v/>
      </c>
      <c r="N5" s="128" t="n">
        <v>0</v>
      </c>
      <c r="O5" s="127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RESUMO'!E10</f>
        <v/>
      </c>
      <c r="N6" s="128">
        <f>MAX(0,M6-M5)</f>
        <v/>
      </c>
      <c r="O6" s="127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PL'!L16</f>
        <v/>
      </c>
      <c r="M7" s="127">
        <f>'CP RESUMO'!F10</f>
        <v/>
      </c>
      <c r="N7" s="128">
        <f>MAX(0,M7-M6)</f>
        <v/>
      </c>
      <c r="O7" s="127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RESUMO'!G10</f>
        <v/>
      </c>
      <c r="N8" s="128">
        <f>MAX(0,M8-M7)</f>
        <v/>
      </c>
      <c r="O8" s="127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RESUMO'!H10</f>
        <v/>
      </c>
      <c r="N9" s="128">
        <f>MAX(0,M9-M8)</f>
        <v/>
      </c>
      <c r="O9" s="127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RESUMO'!I10</f>
        <v/>
      </c>
      <c r="N10" s="128">
        <f>MAX(0,M10-M9)</f>
        <v/>
      </c>
      <c r="O10" s="127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RESUMO'!J10</f>
        <v/>
      </c>
      <c r="N11" s="128">
        <f>MAX(0,M11-M10)</f>
        <v/>
      </c>
      <c r="O11" s="127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RESUMO'!K10</f>
        <v/>
      </c>
      <c r="N12" s="128">
        <f>MAX(0,M12-M11)</f>
        <v/>
      </c>
      <c r="O12" s="127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PL'!I16</f>
        <v/>
      </c>
      <c r="M13" s="127">
        <f>'CP RESUMO'!L10</f>
        <v/>
      </c>
      <c r="N13" s="128">
        <f>MAX(0,M13-M12)</f>
        <v/>
      </c>
      <c r="O13" s="127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7">
        <f>'CP RESUMO'!M10</f>
        <v/>
      </c>
      <c r="N14" s="128">
        <f>MAX(0,M14-M13)</f>
        <v/>
      </c>
      <c r="O14" s="127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RESUMO'!N10</f>
        <v/>
      </c>
      <c r="N15" s="128">
        <f>MAX(0,M15-M14)</f>
        <v/>
      </c>
      <c r="O15" s="127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RESUMO'!O10</f>
        <v/>
      </c>
      <c r="N16" s="128">
        <f>MAX(0,M16-M15)</f>
        <v/>
      </c>
      <c r="O16" s="127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RESUMO'!P10</f>
        <v/>
      </c>
      <c r="N17" s="128">
        <f>MAX(0,M17-M16)</f>
        <v/>
      </c>
      <c r="O17" s="127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RESUMO'!Q10</f>
        <v/>
      </c>
      <c r="N18" s="128">
        <f>MAX(0,M18-M17)</f>
        <v/>
      </c>
      <c r="O18" s="127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RESUMO'!R10</f>
        <v/>
      </c>
      <c r="N19" s="128">
        <f>MAX(0,M19-M18)</f>
        <v/>
      </c>
      <c r="O19" s="127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RESUMO'!S10</f>
        <v/>
      </c>
      <c r="N20" s="128">
        <f>MAX(0,M20-M19)</f>
        <v/>
      </c>
      <c r="O20" s="127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RESUMO'!T10</f>
        <v/>
      </c>
      <c r="N21" s="128">
        <f>MAX(0,M21-M20)</f>
        <v/>
      </c>
      <c r="O21" s="127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RESUMO'!U10</f>
        <v/>
      </c>
      <c r="N22" s="128">
        <f>MAX(0,M22-M21)</f>
        <v/>
      </c>
      <c r="O22" s="127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RESUMO'!V10</f>
        <v/>
      </c>
      <c r="N23" s="128">
        <f>MAX(0,M23-M22)</f>
        <v/>
      </c>
      <c r="O23" s="127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RESUMO'!W10</f>
        <v/>
      </c>
      <c r="N24" s="128">
        <f>MAX(0,M24-M23)</f>
        <v/>
      </c>
      <c r="O24" s="127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RESUMO'!X10</f>
        <v/>
      </c>
      <c r="N25" s="128">
        <f>MAX(0,M25-M24)</f>
        <v/>
      </c>
      <c r="O25" s="127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RESUMO'!Y10</f>
        <v/>
      </c>
      <c r="N26" s="128">
        <f>MAX(0,M26-M25)</f>
        <v/>
      </c>
      <c r="O26" s="127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RESUMO'!Z10</f>
        <v/>
      </c>
      <c r="N27" s="128">
        <f>MAX(0,M27-M26)</f>
        <v/>
      </c>
      <c r="O27" s="127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RESUMO'!AA10</f>
        <v/>
      </c>
      <c r="N28" s="128">
        <f>MAX(0,M28-M27)</f>
        <v/>
      </c>
      <c r="O28" s="127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RESUMO'!AB10</f>
        <v/>
      </c>
      <c r="N29" s="128">
        <f>MAX(0,M29-M28)</f>
        <v/>
      </c>
      <c r="O29" s="127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RESUMO'!AC10</f>
        <v/>
      </c>
      <c r="N30" s="128">
        <f>MAX(0,M30-M29)</f>
        <v/>
      </c>
      <c r="O30" s="127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RESUMO'!AD10</f>
        <v/>
      </c>
      <c r="N31" s="128">
        <f>MAX(0,M31-M30)</f>
        <v/>
      </c>
      <c r="O31" s="127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RESUMO'!AE10</f>
        <v/>
      </c>
      <c r="N32" s="128">
        <f>MAX(0,M32-M31)</f>
        <v/>
      </c>
      <c r="O32" s="127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RESUMO'!AF10</f>
        <v/>
      </c>
      <c r="N33" s="128">
        <f>MAX(0,M33-M32)</f>
        <v/>
      </c>
      <c r="O33" s="127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RESUMO'!AG10</f>
        <v/>
      </c>
      <c r="N34" s="128">
        <f>MAX(0,M34-M33)</f>
        <v/>
      </c>
      <c r="O34" s="127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RESUMO'!AH10</f>
        <v/>
      </c>
      <c r="N35" s="128">
        <f>MAX(0,M35-M34)</f>
        <v/>
      </c>
      <c r="O35" s="127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RESUMO'!AI10</f>
        <v/>
      </c>
      <c r="N36" s="128">
        <f>MAX(0,M36-M35)</f>
        <v/>
      </c>
      <c r="O36" s="127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RESUMO'!AJ10</f>
        <v/>
      </c>
      <c r="N37" s="128">
        <f>MAX(0,M37-M36)</f>
        <v/>
      </c>
      <c r="O37" s="127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RESUMO'!AK10</f>
        <v/>
      </c>
      <c r="N38" s="128">
        <f>MAX(0,M38-M37)</f>
        <v/>
      </c>
      <c r="O38" s="127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RESUMO'!AL10</f>
        <v/>
      </c>
      <c r="N39" s="128">
        <f>MAX(0,M39-M38)</f>
        <v/>
      </c>
      <c r="O39" s="127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RESUMO'!AM10</f>
        <v/>
      </c>
      <c r="N40" s="128">
        <f>MAX(0,M40-M39)</f>
        <v/>
      </c>
      <c r="O40" s="127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RESUMO'!AN10</f>
        <v/>
      </c>
      <c r="N41" s="128">
        <f>MAX(0,M41-M40)</f>
        <v/>
      </c>
      <c r="O41" s="127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RESUMO'!AO10</f>
        <v/>
      </c>
      <c r="N42" s="128">
        <f>MAX(0,M42-M41)</f>
        <v/>
      </c>
      <c r="O42" s="127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RESUMO'!AP10</f>
        <v/>
      </c>
      <c r="N43" s="128">
        <f>MAX(0,M43-M42)</f>
        <v/>
      </c>
      <c r="O43" s="127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RESUMO'!AQ10</f>
        <v/>
      </c>
      <c r="N44" s="128">
        <f>MAX(0,M44-M43)</f>
        <v/>
      </c>
      <c r="O44" s="127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RESUMO'!AR10</f>
        <v/>
      </c>
      <c r="N45" s="128">
        <f>MAX(0,M45-M44)</f>
        <v/>
      </c>
      <c r="O45" s="127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RESUMO'!AS10</f>
        <v/>
      </c>
      <c r="N46" s="128">
        <f>MAX(0,M46-M45)</f>
        <v/>
      </c>
      <c r="O46" s="127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RESUMO'!AT10</f>
        <v/>
      </c>
      <c r="N47" s="128">
        <f>MAX(0,M47-M46)</f>
        <v/>
      </c>
      <c r="O47" s="127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RESUMO'!AU10</f>
        <v/>
      </c>
      <c r="N48" s="128">
        <f>MAX(0,M48-M47)</f>
        <v/>
      </c>
      <c r="O48" s="127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RESUMO'!AV10</f>
        <v/>
      </c>
      <c r="N49" s="128">
        <f>MAX(0,M49-M48)</f>
        <v/>
      </c>
      <c r="O49" s="127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RESUMO'!AW10</f>
        <v/>
      </c>
      <c r="N50" s="128">
        <f>MAX(0,M50-M49)</f>
        <v/>
      </c>
      <c r="O50" s="127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RESUMO'!AX10</f>
        <v/>
      </c>
      <c r="N51" s="128">
        <f>MAX(0,M51-M50)</f>
        <v/>
      </c>
      <c r="O51" s="127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RESUMO'!AY10</f>
        <v/>
      </c>
      <c r="N52" s="128">
        <f>MAX(0,M52-M51)</f>
        <v/>
      </c>
      <c r="O52" s="127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RESUMO'!AZ10</f>
        <v/>
      </c>
      <c r="N53" s="128">
        <f>MAX(0,M53-M52)</f>
        <v/>
      </c>
      <c r="O53" s="127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RESUMO'!BA10</f>
        <v/>
      </c>
      <c r="N54" s="128">
        <f>MAX(0,M54-M53)</f>
        <v/>
      </c>
      <c r="O54" s="127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RESUMO'!BB10</f>
        <v/>
      </c>
      <c r="N55" s="128">
        <f>MAX(0,M55-M54)</f>
        <v/>
      </c>
      <c r="O55" s="127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RESUMO'!BC10</f>
        <v/>
      </c>
      <c r="N56" s="128">
        <f>MAX(0,M56-M55)</f>
        <v/>
      </c>
      <c r="O56" s="127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RESUMO'!BD10</f>
        <v/>
      </c>
      <c r="N57" s="128">
        <f>MAX(0,M57-M56)</f>
        <v/>
      </c>
      <c r="O57" s="127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RESUMO'!BE10</f>
        <v/>
      </c>
      <c r="N58" s="128">
        <f>MAX(0,M58-M57)</f>
        <v/>
      </c>
      <c r="O58" s="127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RESUMO'!BF10</f>
        <v/>
      </c>
      <c r="N59" s="128">
        <f>MAX(0,M59-M58)</f>
        <v/>
      </c>
      <c r="O59" s="127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RESUMO'!BG10</f>
        <v/>
      </c>
      <c r="N60" s="128">
        <f>MAX(0,M60-M59)</f>
        <v/>
      </c>
      <c r="O60" s="127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RESUMO'!BH10</f>
        <v/>
      </c>
      <c r="N61" s="128">
        <f>MAX(0,M61-M60)</f>
        <v/>
      </c>
      <c r="O61" s="127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RESUMO'!BI10</f>
        <v/>
      </c>
      <c r="N62" s="128">
        <f>MAX(0,M62-M61)</f>
        <v/>
      </c>
      <c r="O62" s="127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RESUMO'!BJ10</f>
        <v/>
      </c>
      <c r="N63" s="128">
        <f>MAX(0,M63-M62)</f>
        <v/>
      </c>
      <c r="O63" s="127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RESUMO'!BK10</f>
        <v/>
      </c>
      <c r="N64" s="128">
        <f>MAX(0,M64-M63)</f>
        <v/>
      </c>
      <c r="O64" s="127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RESUMO'!BL10</f>
        <v/>
      </c>
      <c r="N65" s="128">
        <f>MAX(0,M65-M64)</f>
        <v/>
      </c>
      <c r="O65" s="127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RESUMO'!BM10</f>
        <v/>
      </c>
      <c r="N66" s="128">
        <f>MAX(0,M66-M65)</f>
        <v/>
      </c>
      <c r="O66" s="127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RESUMO'!BN10</f>
        <v/>
      </c>
      <c r="N67" s="128">
        <f>MAX(0,M67-M66)</f>
        <v/>
      </c>
      <c r="O67" s="127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RESUMO'!BO10</f>
        <v/>
      </c>
      <c r="N68" s="128">
        <f>MAX(0,M68-M67)</f>
        <v/>
      </c>
      <c r="O68" s="127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RESUMO'!BP10</f>
        <v/>
      </c>
      <c r="N69" s="128">
        <f>MAX(0,M69-M68)</f>
        <v/>
      </c>
      <c r="O69" s="127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RESUMO'!BQ10</f>
        <v/>
      </c>
      <c r="N70" s="128">
        <f>MAX(0,M70-M69)</f>
        <v/>
      </c>
      <c r="O70" s="127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RESUMO'!BR10</f>
        <v/>
      </c>
      <c r="N71" s="128">
        <f>MAX(0,M71-M70)</f>
        <v/>
      </c>
      <c r="O71" s="127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RESUMO'!BS10</f>
        <v/>
      </c>
      <c r="N72" s="128">
        <f>MAX(0,M72-M71)</f>
        <v/>
      </c>
      <c r="O72" s="127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RESUMO'!BT10</f>
        <v/>
      </c>
      <c r="N73" s="128">
        <f>MAX(0,M73-M72)</f>
        <v/>
      </c>
      <c r="O73" s="127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RESUMO'!BU10</f>
        <v/>
      </c>
      <c r="N74" s="128">
        <f>MAX(0,M74-M73)</f>
        <v/>
      </c>
      <c r="O74" s="127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RESUMO'!BV10</f>
        <v/>
      </c>
      <c r="N75" s="128">
        <f>MAX(0,M75-M74)</f>
        <v/>
      </c>
      <c r="O75" s="127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RESUMO'!BW10</f>
        <v/>
      </c>
      <c r="N76" s="128">
        <f>MAX(0,M76-M75)</f>
        <v/>
      </c>
      <c r="O76" s="127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PL'!F17</f>
        <v/>
      </c>
      <c r="K5" s="63">
        <f>'VALOR POR PL'!G17</f>
        <v/>
      </c>
      <c r="M5" s="127">
        <f>'CP RESUMO'!D11</f>
        <v/>
      </c>
      <c r="N5" s="128" t="n">
        <v>0</v>
      </c>
      <c r="O5" s="127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RESUMO'!E11</f>
        <v/>
      </c>
      <c r="N6" s="128">
        <f>MAX(0,M6-M5)</f>
        <v/>
      </c>
      <c r="O6" s="127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PL'!L17</f>
        <v/>
      </c>
      <c r="M7" s="127">
        <f>'CP RESUMO'!F11</f>
        <v/>
      </c>
      <c r="N7" s="128">
        <f>MAX(0,M7-M6)</f>
        <v/>
      </c>
      <c r="O7" s="127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RESUMO'!G11</f>
        <v/>
      </c>
      <c r="N8" s="128">
        <f>MAX(0,M8-M7)</f>
        <v/>
      </c>
      <c r="O8" s="127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RESUMO'!H11</f>
        <v/>
      </c>
      <c r="N9" s="128">
        <f>MAX(0,M9-M8)</f>
        <v/>
      </c>
      <c r="O9" s="127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RESUMO'!I11</f>
        <v/>
      </c>
      <c r="N10" s="128">
        <f>MAX(0,M10-M9)</f>
        <v/>
      </c>
      <c r="O10" s="127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RESUMO'!J11</f>
        <v/>
      </c>
      <c r="N11" s="128">
        <f>MAX(0,M11-M10)</f>
        <v/>
      </c>
      <c r="O11" s="127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RESUMO'!K11</f>
        <v/>
      </c>
      <c r="N12" s="128">
        <f>MAX(0,M12-M11)</f>
        <v/>
      </c>
      <c r="O12" s="127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PL'!I17</f>
        <v/>
      </c>
      <c r="M13" s="127">
        <f>'CP RESUMO'!L11</f>
        <v/>
      </c>
      <c r="N13" s="128">
        <f>MAX(0,M13-M12)</f>
        <v/>
      </c>
      <c r="O13" s="127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7">
        <f>'CP RESUMO'!M11</f>
        <v/>
      </c>
      <c r="N14" s="128">
        <f>MAX(0,M14-M13)</f>
        <v/>
      </c>
      <c r="O14" s="127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RESUMO'!N11</f>
        <v/>
      </c>
      <c r="N15" s="128">
        <f>MAX(0,M15-M14)</f>
        <v/>
      </c>
      <c r="O15" s="127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RESUMO'!O11</f>
        <v/>
      </c>
      <c r="N16" s="128">
        <f>MAX(0,M16-M15)</f>
        <v/>
      </c>
      <c r="O16" s="127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RESUMO'!P11</f>
        <v/>
      </c>
      <c r="N17" s="128">
        <f>MAX(0,M17-M16)</f>
        <v/>
      </c>
      <c r="O17" s="127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RESUMO'!Q11</f>
        <v/>
      </c>
      <c r="N18" s="128">
        <f>MAX(0,M18-M17)</f>
        <v/>
      </c>
      <c r="O18" s="127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RESUMO'!R11</f>
        <v/>
      </c>
      <c r="N19" s="128">
        <f>MAX(0,M19-M18)</f>
        <v/>
      </c>
      <c r="O19" s="127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RESUMO'!S11</f>
        <v/>
      </c>
      <c r="N20" s="128">
        <f>MAX(0,M20-M19)</f>
        <v/>
      </c>
      <c r="O20" s="127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RESUMO'!T11</f>
        <v/>
      </c>
      <c r="N21" s="128">
        <f>MAX(0,M21-M20)</f>
        <v/>
      </c>
      <c r="O21" s="127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RESUMO'!U11</f>
        <v/>
      </c>
      <c r="N22" s="128">
        <f>MAX(0,M22-M21)</f>
        <v/>
      </c>
      <c r="O22" s="127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RESUMO'!V11</f>
        <v/>
      </c>
      <c r="N23" s="128">
        <f>MAX(0,M23-M22)</f>
        <v/>
      </c>
      <c r="O23" s="127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RESUMO'!W11</f>
        <v/>
      </c>
      <c r="N24" s="128">
        <f>MAX(0,M24-M23)</f>
        <v/>
      </c>
      <c r="O24" s="127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RESUMO'!X11</f>
        <v/>
      </c>
      <c r="N25" s="128">
        <f>MAX(0,M25-M24)</f>
        <v/>
      </c>
      <c r="O25" s="127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RESUMO'!Y11</f>
        <v/>
      </c>
      <c r="N26" s="128">
        <f>MAX(0,M26-M25)</f>
        <v/>
      </c>
      <c r="O26" s="127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RESUMO'!Z11</f>
        <v/>
      </c>
      <c r="N27" s="128">
        <f>MAX(0,M27-M26)</f>
        <v/>
      </c>
      <c r="O27" s="127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RESUMO'!AA11</f>
        <v/>
      </c>
      <c r="N28" s="128">
        <f>MAX(0,M28-M27)</f>
        <v/>
      </c>
      <c r="O28" s="127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RESUMO'!AB11</f>
        <v/>
      </c>
      <c r="N29" s="128">
        <f>MAX(0,M29-M28)</f>
        <v/>
      </c>
      <c r="O29" s="127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RESUMO'!AC11</f>
        <v/>
      </c>
      <c r="N30" s="128">
        <f>MAX(0,M30-M29)</f>
        <v/>
      </c>
      <c r="O30" s="127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RESUMO'!AD11</f>
        <v/>
      </c>
      <c r="N31" s="128">
        <f>MAX(0,M31-M30)</f>
        <v/>
      </c>
      <c r="O31" s="127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RESUMO'!AE11</f>
        <v/>
      </c>
      <c r="N32" s="128">
        <f>MAX(0,M32-M31)</f>
        <v/>
      </c>
      <c r="O32" s="127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RESUMO'!AF11</f>
        <v/>
      </c>
      <c r="N33" s="128">
        <f>MAX(0,M33-M32)</f>
        <v/>
      </c>
      <c r="O33" s="127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RESUMO'!AG11</f>
        <v/>
      </c>
      <c r="N34" s="128">
        <f>MAX(0,M34-M33)</f>
        <v/>
      </c>
      <c r="O34" s="127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RESUMO'!AH11</f>
        <v/>
      </c>
      <c r="N35" s="128">
        <f>MAX(0,M35-M34)</f>
        <v/>
      </c>
      <c r="O35" s="127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RESUMO'!AI11</f>
        <v/>
      </c>
      <c r="N36" s="128">
        <f>MAX(0,M36-M35)</f>
        <v/>
      </c>
      <c r="O36" s="127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RESUMO'!AJ11</f>
        <v/>
      </c>
      <c r="N37" s="128">
        <f>MAX(0,M37-M36)</f>
        <v/>
      </c>
      <c r="O37" s="127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RESUMO'!AK11</f>
        <v/>
      </c>
      <c r="N38" s="128">
        <f>MAX(0,M38-M37)</f>
        <v/>
      </c>
      <c r="O38" s="127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RESUMO'!AL11</f>
        <v/>
      </c>
      <c r="N39" s="128">
        <f>MAX(0,M39-M38)</f>
        <v/>
      </c>
      <c r="O39" s="127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RESUMO'!AM11</f>
        <v/>
      </c>
      <c r="N40" s="128">
        <f>MAX(0,M40-M39)</f>
        <v/>
      </c>
      <c r="O40" s="127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RESUMO'!AN11</f>
        <v/>
      </c>
      <c r="N41" s="128">
        <f>MAX(0,M41-M40)</f>
        <v/>
      </c>
      <c r="O41" s="127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RESUMO'!AO11</f>
        <v/>
      </c>
      <c r="N42" s="128">
        <f>MAX(0,M42-M41)</f>
        <v/>
      </c>
      <c r="O42" s="127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RESUMO'!AP11</f>
        <v/>
      </c>
      <c r="N43" s="128">
        <f>MAX(0,M43-M42)</f>
        <v/>
      </c>
      <c r="O43" s="127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RESUMO'!AQ11</f>
        <v/>
      </c>
      <c r="N44" s="128">
        <f>MAX(0,M44-M43)</f>
        <v/>
      </c>
      <c r="O44" s="127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RESUMO'!AR11</f>
        <v/>
      </c>
      <c r="N45" s="128">
        <f>MAX(0,M45-M44)</f>
        <v/>
      </c>
      <c r="O45" s="127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RESUMO'!AS11</f>
        <v/>
      </c>
      <c r="N46" s="128">
        <f>MAX(0,M46-M45)</f>
        <v/>
      </c>
      <c r="O46" s="127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RESUMO'!AT11</f>
        <v/>
      </c>
      <c r="N47" s="128">
        <f>MAX(0,M47-M46)</f>
        <v/>
      </c>
      <c r="O47" s="127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RESUMO'!AU11</f>
        <v/>
      </c>
      <c r="N48" s="128">
        <f>MAX(0,M48-M47)</f>
        <v/>
      </c>
      <c r="O48" s="127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RESUMO'!AV11</f>
        <v/>
      </c>
      <c r="N49" s="128">
        <f>MAX(0,M49-M48)</f>
        <v/>
      </c>
      <c r="O49" s="127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RESUMO'!AW11</f>
        <v/>
      </c>
      <c r="N50" s="128">
        <f>MAX(0,M50-M49)</f>
        <v/>
      </c>
      <c r="O50" s="127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RESUMO'!AX11</f>
        <v/>
      </c>
      <c r="N51" s="128">
        <f>MAX(0,M51-M50)</f>
        <v/>
      </c>
      <c r="O51" s="127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RESUMO'!AY11</f>
        <v/>
      </c>
      <c r="N52" s="128">
        <f>MAX(0,M52-M51)</f>
        <v/>
      </c>
      <c r="O52" s="127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RESUMO'!AZ11</f>
        <v/>
      </c>
      <c r="N53" s="128">
        <f>MAX(0,M53-M52)</f>
        <v/>
      </c>
      <c r="O53" s="127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RESUMO'!BA11</f>
        <v/>
      </c>
      <c r="N54" s="128">
        <f>MAX(0,M54-M53)</f>
        <v/>
      </c>
      <c r="O54" s="127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RESUMO'!BB11</f>
        <v/>
      </c>
      <c r="N55" s="128">
        <f>MAX(0,M55-M54)</f>
        <v/>
      </c>
      <c r="O55" s="127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RESUMO'!BC11</f>
        <v/>
      </c>
      <c r="N56" s="128">
        <f>MAX(0,M56-M55)</f>
        <v/>
      </c>
      <c r="O56" s="127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RESUMO'!BD11</f>
        <v/>
      </c>
      <c r="N57" s="128">
        <f>MAX(0,M57-M56)</f>
        <v/>
      </c>
      <c r="O57" s="127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RESUMO'!BE11</f>
        <v/>
      </c>
      <c r="N58" s="128">
        <f>MAX(0,M58-M57)</f>
        <v/>
      </c>
      <c r="O58" s="127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RESUMO'!BF11</f>
        <v/>
      </c>
      <c r="N59" s="128">
        <f>MAX(0,M59-M58)</f>
        <v/>
      </c>
      <c r="O59" s="127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RESUMO'!BG11</f>
        <v/>
      </c>
      <c r="N60" s="128">
        <f>MAX(0,M60-M59)</f>
        <v/>
      </c>
      <c r="O60" s="127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RESUMO'!BH11</f>
        <v/>
      </c>
      <c r="N61" s="128">
        <f>MAX(0,M61-M60)</f>
        <v/>
      </c>
      <c r="O61" s="127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RESUMO'!BI11</f>
        <v/>
      </c>
      <c r="N62" s="128">
        <f>MAX(0,M62-M61)</f>
        <v/>
      </c>
      <c r="O62" s="127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RESUMO'!BJ11</f>
        <v/>
      </c>
      <c r="N63" s="128">
        <f>MAX(0,M63-M62)</f>
        <v/>
      </c>
      <c r="O63" s="127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RESUMO'!BK11</f>
        <v/>
      </c>
      <c r="N64" s="128">
        <f>MAX(0,M64-M63)</f>
        <v/>
      </c>
      <c r="O64" s="127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RESUMO'!BL11</f>
        <v/>
      </c>
      <c r="N65" s="128">
        <f>MAX(0,M65-M64)</f>
        <v/>
      </c>
      <c r="O65" s="127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RESUMO'!BM11</f>
        <v/>
      </c>
      <c r="N66" s="128">
        <f>MAX(0,M66-M65)</f>
        <v/>
      </c>
      <c r="O66" s="127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RESUMO'!BN11</f>
        <v/>
      </c>
      <c r="N67" s="128">
        <f>MAX(0,M67-M66)</f>
        <v/>
      </c>
      <c r="O67" s="127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RESUMO'!BO11</f>
        <v/>
      </c>
      <c r="N68" s="128">
        <f>MAX(0,M68-M67)</f>
        <v/>
      </c>
      <c r="O68" s="127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RESUMO'!BP11</f>
        <v/>
      </c>
      <c r="N69" s="128">
        <f>MAX(0,M69-M68)</f>
        <v/>
      </c>
      <c r="O69" s="127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RESUMO'!BQ11</f>
        <v/>
      </c>
      <c r="N70" s="128">
        <f>MAX(0,M70-M69)</f>
        <v/>
      </c>
      <c r="O70" s="127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RESUMO'!BR11</f>
        <v/>
      </c>
      <c r="N71" s="128">
        <f>MAX(0,M71-M70)</f>
        <v/>
      </c>
      <c r="O71" s="127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RESUMO'!BS11</f>
        <v/>
      </c>
      <c r="N72" s="128">
        <f>MAX(0,M72-M71)</f>
        <v/>
      </c>
      <c r="O72" s="127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RESUMO'!BT11</f>
        <v/>
      </c>
      <c r="N73" s="128">
        <f>MAX(0,M73-M72)</f>
        <v/>
      </c>
      <c r="O73" s="127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RESUMO'!BU11</f>
        <v/>
      </c>
      <c r="N74" s="128">
        <f>MAX(0,M74-M73)</f>
        <v/>
      </c>
      <c r="O74" s="127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RESUMO'!BV11</f>
        <v/>
      </c>
      <c r="N75" s="128">
        <f>MAX(0,M75-M74)</f>
        <v/>
      </c>
      <c r="O75" s="127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RESUMO'!BW11</f>
        <v/>
      </c>
      <c r="N76" s="128">
        <f>MAX(0,M76-M75)</f>
        <v/>
      </c>
      <c r="O76" s="127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PL'!F18</f>
        <v/>
      </c>
      <c r="K5" s="63">
        <f>'VALOR POR PL'!G18</f>
        <v/>
      </c>
      <c r="M5" s="127">
        <f>'CP RESUMO'!D12</f>
        <v/>
      </c>
      <c r="N5" s="128" t="n">
        <v>0</v>
      </c>
      <c r="O5" s="127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RESUMO'!E12</f>
        <v/>
      </c>
      <c r="N6" s="128">
        <f>MAX(0,M6-M5)</f>
        <v/>
      </c>
      <c r="O6" s="127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PL'!L18</f>
        <v/>
      </c>
      <c r="M7" s="127">
        <f>'CP RESUMO'!F12</f>
        <v/>
      </c>
      <c r="N7" s="128">
        <f>MAX(0,M7-M6)</f>
        <v/>
      </c>
      <c r="O7" s="127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RESUMO'!G12</f>
        <v/>
      </c>
      <c r="N8" s="128">
        <f>MAX(0,M8-M7)</f>
        <v/>
      </c>
      <c r="O8" s="127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RESUMO'!H12</f>
        <v/>
      </c>
      <c r="N9" s="128">
        <f>MAX(0,M9-M8)</f>
        <v/>
      </c>
      <c r="O9" s="127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RESUMO'!I12</f>
        <v/>
      </c>
      <c r="N10" s="128">
        <f>MAX(0,M10-M9)</f>
        <v/>
      </c>
      <c r="O10" s="127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RESUMO'!J12</f>
        <v/>
      </c>
      <c r="N11" s="128">
        <f>MAX(0,M11-M10)</f>
        <v/>
      </c>
      <c r="O11" s="127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RESUMO'!K12</f>
        <v/>
      </c>
      <c r="N12" s="128">
        <f>MAX(0,M12-M11)</f>
        <v/>
      </c>
      <c r="O12" s="127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PL'!I18</f>
        <v/>
      </c>
      <c r="M13" s="127">
        <f>'CP RESUMO'!L12</f>
        <v/>
      </c>
      <c r="N13" s="128">
        <f>MAX(0,M13-M12)</f>
        <v/>
      </c>
      <c r="O13" s="127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7">
        <f>'CP RESUMO'!M12</f>
        <v/>
      </c>
      <c r="N14" s="128">
        <f>MAX(0,M14-M13)</f>
        <v/>
      </c>
      <c r="O14" s="127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RESUMO'!N12</f>
        <v/>
      </c>
      <c r="N15" s="128">
        <f>MAX(0,M15-M14)</f>
        <v/>
      </c>
      <c r="O15" s="127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RESUMO'!O12</f>
        <v/>
      </c>
      <c r="N16" s="128">
        <f>MAX(0,M16-M15)</f>
        <v/>
      </c>
      <c r="O16" s="127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RESUMO'!P12</f>
        <v/>
      </c>
      <c r="N17" s="128">
        <f>MAX(0,M17-M16)</f>
        <v/>
      </c>
      <c r="O17" s="127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RESUMO'!Q12</f>
        <v/>
      </c>
      <c r="N18" s="128">
        <f>MAX(0,M18-M17)</f>
        <v/>
      </c>
      <c r="O18" s="127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RESUMO'!R12</f>
        <v/>
      </c>
      <c r="N19" s="128">
        <f>MAX(0,M19-M18)</f>
        <v/>
      </c>
      <c r="O19" s="127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RESUMO'!S12</f>
        <v/>
      </c>
      <c r="N20" s="128">
        <f>MAX(0,M20-M19)</f>
        <v/>
      </c>
      <c r="O20" s="127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RESUMO'!T12</f>
        <v/>
      </c>
      <c r="N21" s="128">
        <f>MAX(0,M21-M20)</f>
        <v/>
      </c>
      <c r="O21" s="127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RESUMO'!U12</f>
        <v/>
      </c>
      <c r="N22" s="128">
        <f>MAX(0,M22-M21)</f>
        <v/>
      </c>
      <c r="O22" s="127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RESUMO'!V12</f>
        <v/>
      </c>
      <c r="N23" s="128">
        <f>MAX(0,M23-M22)</f>
        <v/>
      </c>
      <c r="O23" s="127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RESUMO'!W12</f>
        <v/>
      </c>
      <c r="N24" s="128">
        <f>MAX(0,M24-M23)</f>
        <v/>
      </c>
      <c r="O24" s="127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RESUMO'!X12</f>
        <v/>
      </c>
      <c r="N25" s="128">
        <f>MAX(0,M25-M24)</f>
        <v/>
      </c>
      <c r="O25" s="127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RESUMO'!Y12</f>
        <v/>
      </c>
      <c r="N26" s="128">
        <f>MAX(0,M26-M25)</f>
        <v/>
      </c>
      <c r="O26" s="127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RESUMO'!Z12</f>
        <v/>
      </c>
      <c r="N27" s="128">
        <f>MAX(0,M27-M26)</f>
        <v/>
      </c>
      <c r="O27" s="127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RESUMO'!AA12</f>
        <v/>
      </c>
      <c r="N28" s="128">
        <f>MAX(0,M28-M27)</f>
        <v/>
      </c>
      <c r="O28" s="127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RESUMO'!AB12</f>
        <v/>
      </c>
      <c r="N29" s="128">
        <f>MAX(0,M29-M28)</f>
        <v/>
      </c>
      <c r="O29" s="127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RESUMO'!AC12</f>
        <v/>
      </c>
      <c r="N30" s="128">
        <f>MAX(0,M30-M29)</f>
        <v/>
      </c>
      <c r="O30" s="127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RESUMO'!AD12</f>
        <v/>
      </c>
      <c r="N31" s="128">
        <f>MAX(0,M31-M30)</f>
        <v/>
      </c>
      <c r="O31" s="127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RESUMO'!AE12</f>
        <v/>
      </c>
      <c r="N32" s="128">
        <f>MAX(0,M32-M31)</f>
        <v/>
      </c>
      <c r="O32" s="127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RESUMO'!AF12</f>
        <v/>
      </c>
      <c r="N33" s="128">
        <f>MAX(0,M33-M32)</f>
        <v/>
      </c>
      <c r="O33" s="127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RESUMO'!AG12</f>
        <v/>
      </c>
      <c r="N34" s="128">
        <f>MAX(0,M34-M33)</f>
        <v/>
      </c>
      <c r="O34" s="127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RESUMO'!AH12</f>
        <v/>
      </c>
      <c r="N35" s="128">
        <f>MAX(0,M35-M34)</f>
        <v/>
      </c>
      <c r="O35" s="127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RESUMO'!AI12</f>
        <v/>
      </c>
      <c r="N36" s="128">
        <f>MAX(0,M36-M35)</f>
        <v/>
      </c>
      <c r="O36" s="127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RESUMO'!AJ12</f>
        <v/>
      </c>
      <c r="N37" s="128">
        <f>MAX(0,M37-M36)</f>
        <v/>
      </c>
      <c r="O37" s="127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RESUMO'!AK12</f>
        <v/>
      </c>
      <c r="N38" s="128">
        <f>MAX(0,M38-M37)</f>
        <v/>
      </c>
      <c r="O38" s="127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RESUMO'!AL12</f>
        <v/>
      </c>
      <c r="N39" s="128">
        <f>MAX(0,M39-M38)</f>
        <v/>
      </c>
      <c r="O39" s="127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RESUMO'!AM12</f>
        <v/>
      </c>
      <c r="N40" s="128">
        <f>MAX(0,M40-M39)</f>
        <v/>
      </c>
      <c r="O40" s="127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RESUMO'!AN12</f>
        <v/>
      </c>
      <c r="N41" s="128">
        <f>MAX(0,M41-M40)</f>
        <v/>
      </c>
      <c r="O41" s="127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RESUMO'!AO12</f>
        <v/>
      </c>
      <c r="N42" s="128">
        <f>MAX(0,M42-M41)</f>
        <v/>
      </c>
      <c r="O42" s="127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RESUMO'!AP12</f>
        <v/>
      </c>
      <c r="N43" s="128">
        <f>MAX(0,M43-M42)</f>
        <v/>
      </c>
      <c r="O43" s="127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RESUMO'!AQ12</f>
        <v/>
      </c>
      <c r="N44" s="128">
        <f>MAX(0,M44-M43)</f>
        <v/>
      </c>
      <c r="O44" s="127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RESUMO'!AR12</f>
        <v/>
      </c>
      <c r="N45" s="128">
        <f>MAX(0,M45-M44)</f>
        <v/>
      </c>
      <c r="O45" s="127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RESUMO'!AS12</f>
        <v/>
      </c>
      <c r="N46" s="128">
        <f>MAX(0,M46-M45)</f>
        <v/>
      </c>
      <c r="O46" s="127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RESUMO'!AT12</f>
        <v/>
      </c>
      <c r="N47" s="128">
        <f>MAX(0,M47-M46)</f>
        <v/>
      </c>
      <c r="O47" s="127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RESUMO'!AU12</f>
        <v/>
      </c>
      <c r="N48" s="128">
        <f>MAX(0,M48-M47)</f>
        <v/>
      </c>
      <c r="O48" s="127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RESUMO'!AV12</f>
        <v/>
      </c>
      <c r="N49" s="128">
        <f>MAX(0,M49-M48)</f>
        <v/>
      </c>
      <c r="O49" s="127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RESUMO'!AW12</f>
        <v/>
      </c>
      <c r="N50" s="128">
        <f>MAX(0,M50-M49)</f>
        <v/>
      </c>
      <c r="O50" s="127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RESUMO'!AX12</f>
        <v/>
      </c>
      <c r="N51" s="128">
        <f>MAX(0,M51-M50)</f>
        <v/>
      </c>
      <c r="O51" s="127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RESUMO'!AY12</f>
        <v/>
      </c>
      <c r="N52" s="128">
        <f>MAX(0,M52-M51)</f>
        <v/>
      </c>
      <c r="O52" s="127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RESUMO'!AZ12</f>
        <v/>
      </c>
      <c r="N53" s="128">
        <f>MAX(0,M53-M52)</f>
        <v/>
      </c>
      <c r="O53" s="127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RESUMO'!BA12</f>
        <v/>
      </c>
      <c r="N54" s="128">
        <f>MAX(0,M54-M53)</f>
        <v/>
      </c>
      <c r="O54" s="127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RESUMO'!BB12</f>
        <v/>
      </c>
      <c r="N55" s="128">
        <f>MAX(0,M55-M54)</f>
        <v/>
      </c>
      <c r="O55" s="127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RESUMO'!BC12</f>
        <v/>
      </c>
      <c r="N56" s="128">
        <f>MAX(0,M56-M55)</f>
        <v/>
      </c>
      <c r="O56" s="127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RESUMO'!BD12</f>
        <v/>
      </c>
      <c r="N57" s="128">
        <f>MAX(0,M57-M56)</f>
        <v/>
      </c>
      <c r="O57" s="127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RESUMO'!BE12</f>
        <v/>
      </c>
      <c r="N58" s="128">
        <f>MAX(0,M58-M57)</f>
        <v/>
      </c>
      <c r="O58" s="127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RESUMO'!BF12</f>
        <v/>
      </c>
      <c r="N59" s="128">
        <f>MAX(0,M59-M58)</f>
        <v/>
      </c>
      <c r="O59" s="127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RESUMO'!BG12</f>
        <v/>
      </c>
      <c r="N60" s="128">
        <f>MAX(0,M60-M59)</f>
        <v/>
      </c>
      <c r="O60" s="127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RESUMO'!BH12</f>
        <v/>
      </c>
      <c r="N61" s="128">
        <f>MAX(0,M61-M60)</f>
        <v/>
      </c>
      <c r="O61" s="127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RESUMO'!BI12</f>
        <v/>
      </c>
      <c r="N62" s="128">
        <f>MAX(0,M62-M61)</f>
        <v/>
      </c>
      <c r="O62" s="127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RESUMO'!BJ12</f>
        <v/>
      </c>
      <c r="N63" s="128">
        <f>MAX(0,M63-M62)</f>
        <v/>
      </c>
      <c r="O63" s="127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RESUMO'!BK12</f>
        <v/>
      </c>
      <c r="N64" s="128">
        <f>MAX(0,M64-M63)</f>
        <v/>
      </c>
      <c r="O64" s="127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RESUMO'!BL12</f>
        <v/>
      </c>
      <c r="N65" s="128">
        <f>MAX(0,M65-M64)</f>
        <v/>
      </c>
      <c r="O65" s="127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RESUMO'!BM12</f>
        <v/>
      </c>
      <c r="N66" s="128">
        <f>MAX(0,M66-M65)</f>
        <v/>
      </c>
      <c r="O66" s="127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RESUMO'!BN12</f>
        <v/>
      </c>
      <c r="N67" s="128">
        <f>MAX(0,M67-M66)</f>
        <v/>
      </c>
      <c r="O67" s="127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RESUMO'!BO12</f>
        <v/>
      </c>
      <c r="N68" s="128">
        <f>MAX(0,M68-M67)</f>
        <v/>
      </c>
      <c r="O68" s="127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RESUMO'!BP12</f>
        <v/>
      </c>
      <c r="N69" s="128">
        <f>MAX(0,M69-M68)</f>
        <v/>
      </c>
      <c r="O69" s="127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RESUMO'!BQ12</f>
        <v/>
      </c>
      <c r="N70" s="128">
        <f>MAX(0,M70-M69)</f>
        <v/>
      </c>
      <c r="O70" s="127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RESUMO'!BR12</f>
        <v/>
      </c>
      <c r="N71" s="128">
        <f>MAX(0,M71-M70)</f>
        <v/>
      </c>
      <c r="O71" s="127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RESUMO'!BS12</f>
        <v/>
      </c>
      <c r="N72" s="128">
        <f>MAX(0,M72-M71)</f>
        <v/>
      </c>
      <c r="O72" s="127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RESUMO'!BT12</f>
        <v/>
      </c>
      <c r="N73" s="128">
        <f>MAX(0,M73-M72)</f>
        <v/>
      </c>
      <c r="O73" s="127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RESUMO'!BU12</f>
        <v/>
      </c>
      <c r="N74" s="128">
        <f>MAX(0,M74-M73)</f>
        <v/>
      </c>
      <c r="O74" s="127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RESUMO'!BV12</f>
        <v/>
      </c>
      <c r="N75" s="128">
        <f>MAX(0,M75-M74)</f>
        <v/>
      </c>
      <c r="O75" s="127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RESUMO'!BW12</f>
        <v/>
      </c>
      <c r="N76" s="128">
        <f>MAX(0,M76-M75)</f>
        <v/>
      </c>
      <c r="O76" s="127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PL'!F19</f>
        <v/>
      </c>
      <c r="K5" s="63">
        <f>'VALOR POR PL'!G19</f>
        <v/>
      </c>
      <c r="M5" s="127">
        <f>'CP RESUMO'!D13</f>
        <v/>
      </c>
      <c r="N5" s="128" t="n">
        <v>0</v>
      </c>
      <c r="O5" s="127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RESUMO'!E13</f>
        <v/>
      </c>
      <c r="N6" s="128">
        <f>MAX(0,M6-M5)</f>
        <v/>
      </c>
      <c r="O6" s="127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PL'!L19</f>
        <v/>
      </c>
      <c r="M7" s="127">
        <f>'CP RESUMO'!F13</f>
        <v/>
      </c>
      <c r="N7" s="128">
        <f>MAX(0,M7-M6)</f>
        <v/>
      </c>
      <c r="O7" s="127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RESUMO'!G13</f>
        <v/>
      </c>
      <c r="N8" s="128">
        <f>MAX(0,M8-M7)</f>
        <v/>
      </c>
      <c r="O8" s="127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RESUMO'!H13</f>
        <v/>
      </c>
      <c r="N9" s="128">
        <f>MAX(0,M9-M8)</f>
        <v/>
      </c>
      <c r="O9" s="127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RESUMO'!I13</f>
        <v/>
      </c>
      <c r="N10" s="128">
        <f>MAX(0,M10-M9)</f>
        <v/>
      </c>
      <c r="O10" s="127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RESUMO'!J13</f>
        <v/>
      </c>
      <c r="N11" s="128">
        <f>MAX(0,M11-M10)</f>
        <v/>
      </c>
      <c r="O11" s="127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RESUMO'!K13</f>
        <v/>
      </c>
      <c r="N12" s="128">
        <f>MAX(0,M12-M11)</f>
        <v/>
      </c>
      <c r="O12" s="127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PL'!I19</f>
        <v/>
      </c>
      <c r="M13" s="127">
        <f>'CP RESUMO'!L13</f>
        <v/>
      </c>
      <c r="N13" s="128">
        <f>MAX(0,M13-M12)</f>
        <v/>
      </c>
      <c r="O13" s="127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7">
        <f>'CP RESUMO'!M13</f>
        <v/>
      </c>
      <c r="N14" s="128">
        <f>MAX(0,M14-M13)</f>
        <v/>
      </c>
      <c r="O14" s="127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RESUMO'!N13</f>
        <v/>
      </c>
      <c r="N15" s="128">
        <f>MAX(0,M15-M14)</f>
        <v/>
      </c>
      <c r="O15" s="127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RESUMO'!O13</f>
        <v/>
      </c>
      <c r="N16" s="128">
        <f>MAX(0,M16-M15)</f>
        <v/>
      </c>
      <c r="O16" s="127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RESUMO'!P13</f>
        <v/>
      </c>
      <c r="N17" s="128">
        <f>MAX(0,M17-M16)</f>
        <v/>
      </c>
      <c r="O17" s="127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RESUMO'!Q13</f>
        <v/>
      </c>
      <c r="N18" s="128">
        <f>MAX(0,M18-M17)</f>
        <v/>
      </c>
      <c r="O18" s="127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RESUMO'!R13</f>
        <v/>
      </c>
      <c r="N19" s="128">
        <f>MAX(0,M19-M18)</f>
        <v/>
      </c>
      <c r="O19" s="127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RESUMO'!S13</f>
        <v/>
      </c>
      <c r="N20" s="128">
        <f>MAX(0,M20-M19)</f>
        <v/>
      </c>
      <c r="O20" s="127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RESUMO'!T13</f>
        <v/>
      </c>
      <c r="N21" s="128">
        <f>MAX(0,M21-M20)</f>
        <v/>
      </c>
      <c r="O21" s="127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RESUMO'!U13</f>
        <v/>
      </c>
      <c r="N22" s="128">
        <f>MAX(0,M22-M21)</f>
        <v/>
      </c>
      <c r="O22" s="127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RESUMO'!V13</f>
        <v/>
      </c>
      <c r="N23" s="128">
        <f>MAX(0,M23-M22)</f>
        <v/>
      </c>
      <c r="O23" s="127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RESUMO'!W13</f>
        <v/>
      </c>
      <c r="N24" s="128">
        <f>MAX(0,M24-M23)</f>
        <v/>
      </c>
      <c r="O24" s="127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RESUMO'!X13</f>
        <v/>
      </c>
      <c r="N25" s="128">
        <f>MAX(0,M25-M24)</f>
        <v/>
      </c>
      <c r="O25" s="127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RESUMO'!Y13</f>
        <v/>
      </c>
      <c r="N26" s="128">
        <f>MAX(0,M26-M25)</f>
        <v/>
      </c>
      <c r="O26" s="127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RESUMO'!Z13</f>
        <v/>
      </c>
      <c r="N27" s="128">
        <f>MAX(0,M27-M26)</f>
        <v/>
      </c>
      <c r="O27" s="127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RESUMO'!AA13</f>
        <v/>
      </c>
      <c r="N28" s="128">
        <f>MAX(0,M28-M27)</f>
        <v/>
      </c>
      <c r="O28" s="127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RESUMO'!AB13</f>
        <v/>
      </c>
      <c r="N29" s="128">
        <f>MAX(0,M29-M28)</f>
        <v/>
      </c>
      <c r="O29" s="127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RESUMO'!AC13</f>
        <v/>
      </c>
      <c r="N30" s="128">
        <f>MAX(0,M30-M29)</f>
        <v/>
      </c>
      <c r="O30" s="127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RESUMO'!AD13</f>
        <v/>
      </c>
      <c r="N31" s="128">
        <f>MAX(0,M31-M30)</f>
        <v/>
      </c>
      <c r="O31" s="127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RESUMO'!AE13</f>
        <v/>
      </c>
      <c r="N32" s="128">
        <f>MAX(0,M32-M31)</f>
        <v/>
      </c>
      <c r="O32" s="127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RESUMO'!AF13</f>
        <v/>
      </c>
      <c r="N33" s="128">
        <f>MAX(0,M33-M32)</f>
        <v/>
      </c>
      <c r="O33" s="127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RESUMO'!AG13</f>
        <v/>
      </c>
      <c r="N34" s="128">
        <f>MAX(0,M34-M33)</f>
        <v/>
      </c>
      <c r="O34" s="127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RESUMO'!AH13</f>
        <v/>
      </c>
      <c r="N35" s="128">
        <f>MAX(0,M35-M34)</f>
        <v/>
      </c>
      <c r="O35" s="127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RESUMO'!AI13</f>
        <v/>
      </c>
      <c r="N36" s="128">
        <f>MAX(0,M36-M35)</f>
        <v/>
      </c>
      <c r="O36" s="127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RESUMO'!AJ13</f>
        <v/>
      </c>
      <c r="N37" s="128">
        <f>MAX(0,M37-M36)</f>
        <v/>
      </c>
      <c r="O37" s="127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RESUMO'!AK13</f>
        <v/>
      </c>
      <c r="N38" s="128">
        <f>MAX(0,M38-M37)</f>
        <v/>
      </c>
      <c r="O38" s="127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RESUMO'!AL13</f>
        <v/>
      </c>
      <c r="N39" s="128">
        <f>MAX(0,M39-M38)</f>
        <v/>
      </c>
      <c r="O39" s="127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RESUMO'!AM13</f>
        <v/>
      </c>
      <c r="N40" s="128">
        <f>MAX(0,M40-M39)</f>
        <v/>
      </c>
      <c r="O40" s="127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RESUMO'!AN13</f>
        <v/>
      </c>
      <c r="N41" s="128">
        <f>MAX(0,M41-M40)</f>
        <v/>
      </c>
      <c r="O41" s="127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RESUMO'!AO13</f>
        <v/>
      </c>
      <c r="N42" s="128">
        <f>MAX(0,M42-M41)</f>
        <v/>
      </c>
      <c r="O42" s="127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RESUMO'!AP13</f>
        <v/>
      </c>
      <c r="N43" s="128">
        <f>MAX(0,M43-M42)</f>
        <v/>
      </c>
      <c r="O43" s="127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RESUMO'!AQ13</f>
        <v/>
      </c>
      <c r="N44" s="128">
        <f>MAX(0,M44-M43)</f>
        <v/>
      </c>
      <c r="O44" s="127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RESUMO'!AR13</f>
        <v/>
      </c>
      <c r="N45" s="128">
        <f>MAX(0,M45-M44)</f>
        <v/>
      </c>
      <c r="O45" s="127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RESUMO'!AS13</f>
        <v/>
      </c>
      <c r="N46" s="128">
        <f>MAX(0,M46-M45)</f>
        <v/>
      </c>
      <c r="O46" s="127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RESUMO'!AT13</f>
        <v/>
      </c>
      <c r="N47" s="128">
        <f>MAX(0,M47-M46)</f>
        <v/>
      </c>
      <c r="O47" s="127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RESUMO'!AU13</f>
        <v/>
      </c>
      <c r="N48" s="128">
        <f>MAX(0,M48-M47)</f>
        <v/>
      </c>
      <c r="O48" s="127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RESUMO'!AV13</f>
        <v/>
      </c>
      <c r="N49" s="128">
        <f>MAX(0,M49-M48)</f>
        <v/>
      </c>
      <c r="O49" s="127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RESUMO'!AW13</f>
        <v/>
      </c>
      <c r="N50" s="128">
        <f>MAX(0,M50-M49)</f>
        <v/>
      </c>
      <c r="O50" s="127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RESUMO'!AX13</f>
        <v/>
      </c>
      <c r="N51" s="128">
        <f>MAX(0,M51-M50)</f>
        <v/>
      </c>
      <c r="O51" s="127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RESUMO'!AY13</f>
        <v/>
      </c>
      <c r="N52" s="128">
        <f>MAX(0,M52-M51)</f>
        <v/>
      </c>
      <c r="O52" s="127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RESUMO'!AZ13</f>
        <v/>
      </c>
      <c r="N53" s="128">
        <f>MAX(0,M53-M52)</f>
        <v/>
      </c>
      <c r="O53" s="127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RESUMO'!BA13</f>
        <v/>
      </c>
      <c r="N54" s="128">
        <f>MAX(0,M54-M53)</f>
        <v/>
      </c>
      <c r="O54" s="127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RESUMO'!BB13</f>
        <v/>
      </c>
      <c r="N55" s="128">
        <f>MAX(0,M55-M54)</f>
        <v/>
      </c>
      <c r="O55" s="127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RESUMO'!BC13</f>
        <v/>
      </c>
      <c r="N56" s="128">
        <f>MAX(0,M56-M55)</f>
        <v/>
      </c>
      <c r="O56" s="127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RESUMO'!BD13</f>
        <v/>
      </c>
      <c r="N57" s="128">
        <f>MAX(0,M57-M56)</f>
        <v/>
      </c>
      <c r="O57" s="127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RESUMO'!BE13</f>
        <v/>
      </c>
      <c r="N58" s="128">
        <f>MAX(0,M58-M57)</f>
        <v/>
      </c>
      <c r="O58" s="127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RESUMO'!BF13</f>
        <v/>
      </c>
      <c r="N59" s="128">
        <f>MAX(0,M59-M58)</f>
        <v/>
      </c>
      <c r="O59" s="127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RESUMO'!BG13</f>
        <v/>
      </c>
      <c r="N60" s="128">
        <f>MAX(0,M60-M59)</f>
        <v/>
      </c>
      <c r="O60" s="127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RESUMO'!BH13</f>
        <v/>
      </c>
      <c r="N61" s="128">
        <f>MAX(0,M61-M60)</f>
        <v/>
      </c>
      <c r="O61" s="127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RESUMO'!BI13</f>
        <v/>
      </c>
      <c r="N62" s="128">
        <f>MAX(0,M62-M61)</f>
        <v/>
      </c>
      <c r="O62" s="127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RESUMO'!BJ13</f>
        <v/>
      </c>
      <c r="N63" s="128">
        <f>MAX(0,M63-M62)</f>
        <v/>
      </c>
      <c r="O63" s="127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RESUMO'!BK13</f>
        <v/>
      </c>
      <c r="N64" s="128">
        <f>MAX(0,M64-M63)</f>
        <v/>
      </c>
      <c r="O64" s="127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RESUMO'!BL13</f>
        <v/>
      </c>
      <c r="N65" s="128">
        <f>MAX(0,M65-M64)</f>
        <v/>
      </c>
      <c r="O65" s="127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RESUMO'!BM13</f>
        <v/>
      </c>
      <c r="N66" s="128">
        <f>MAX(0,M66-M65)</f>
        <v/>
      </c>
      <c r="O66" s="127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RESUMO'!BN13</f>
        <v/>
      </c>
      <c r="N67" s="128">
        <f>MAX(0,M67-M66)</f>
        <v/>
      </c>
      <c r="O67" s="127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RESUMO'!BO13</f>
        <v/>
      </c>
      <c r="N68" s="128">
        <f>MAX(0,M68-M67)</f>
        <v/>
      </c>
      <c r="O68" s="127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RESUMO'!BP13</f>
        <v/>
      </c>
      <c r="N69" s="128">
        <f>MAX(0,M69-M68)</f>
        <v/>
      </c>
      <c r="O69" s="127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RESUMO'!BQ13</f>
        <v/>
      </c>
      <c r="N70" s="128">
        <f>MAX(0,M70-M69)</f>
        <v/>
      </c>
      <c r="O70" s="127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RESUMO'!BR13</f>
        <v/>
      </c>
      <c r="N71" s="128">
        <f>MAX(0,M71-M70)</f>
        <v/>
      </c>
      <c r="O71" s="127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RESUMO'!BS13</f>
        <v/>
      </c>
      <c r="N72" s="128">
        <f>MAX(0,M72-M71)</f>
        <v/>
      </c>
      <c r="O72" s="127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RESUMO'!BT13</f>
        <v/>
      </c>
      <c r="N73" s="128">
        <f>MAX(0,M73-M72)</f>
        <v/>
      </c>
      <c r="O73" s="127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RESUMO'!BU13</f>
        <v/>
      </c>
      <c r="N74" s="128">
        <f>MAX(0,M74-M73)</f>
        <v/>
      </c>
      <c r="O74" s="127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RESUMO'!BV13</f>
        <v/>
      </c>
      <c r="N75" s="128">
        <f>MAX(0,M75-M74)</f>
        <v/>
      </c>
      <c r="O75" s="127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RESUMO'!BW13</f>
        <v/>
      </c>
      <c r="N76" s="128">
        <f>MAX(0,M76-M75)</f>
        <v/>
      </c>
      <c r="O76" s="127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PL'!F20</f>
        <v/>
      </c>
      <c r="K5" s="63">
        <f>'VALOR POR PL'!G20</f>
        <v/>
      </c>
      <c r="M5" s="127">
        <f>'CP RESUMO'!D14</f>
        <v/>
      </c>
      <c r="N5" s="128" t="n">
        <v>0</v>
      </c>
      <c r="O5" s="127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RESUMO'!E14</f>
        <v/>
      </c>
      <c r="N6" s="128">
        <f>MAX(0,M6-M5)</f>
        <v/>
      </c>
      <c r="O6" s="127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PL'!L20</f>
        <v/>
      </c>
      <c r="M7" s="127">
        <f>'CP RESUMO'!F14</f>
        <v/>
      </c>
      <c r="N7" s="128">
        <f>MAX(0,M7-M6)</f>
        <v/>
      </c>
      <c r="O7" s="127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RESUMO'!G14</f>
        <v/>
      </c>
      <c r="N8" s="128">
        <f>MAX(0,M8-M7)</f>
        <v/>
      </c>
      <c r="O8" s="127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RESUMO'!H14</f>
        <v/>
      </c>
      <c r="N9" s="128">
        <f>MAX(0,M9-M8)</f>
        <v/>
      </c>
      <c r="O9" s="127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RESUMO'!I14</f>
        <v/>
      </c>
      <c r="N10" s="128">
        <f>MAX(0,M10-M9)</f>
        <v/>
      </c>
      <c r="O10" s="127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RESUMO'!J14</f>
        <v/>
      </c>
      <c r="N11" s="128">
        <f>MAX(0,M11-M10)</f>
        <v/>
      </c>
      <c r="O11" s="127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RESUMO'!K14</f>
        <v/>
      </c>
      <c r="N12" s="128">
        <f>MAX(0,M12-M11)</f>
        <v/>
      </c>
      <c r="O12" s="127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PL'!I20</f>
        <v/>
      </c>
      <c r="M13" s="127">
        <f>'CP RESUMO'!L14</f>
        <v/>
      </c>
      <c r="N13" s="128">
        <f>MAX(0,M13-M12)</f>
        <v/>
      </c>
      <c r="O13" s="127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7">
        <f>'CP RESUMO'!M14</f>
        <v/>
      </c>
      <c r="N14" s="128">
        <f>MAX(0,M14-M13)</f>
        <v/>
      </c>
      <c r="O14" s="127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RESUMO'!N14</f>
        <v/>
      </c>
      <c r="N15" s="128">
        <f>MAX(0,M15-M14)</f>
        <v/>
      </c>
      <c r="O15" s="127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RESUMO'!O14</f>
        <v/>
      </c>
      <c r="N16" s="128">
        <f>MAX(0,M16-M15)</f>
        <v/>
      </c>
      <c r="O16" s="127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RESUMO'!P14</f>
        <v/>
      </c>
      <c r="N17" s="128">
        <f>MAX(0,M17-M16)</f>
        <v/>
      </c>
      <c r="O17" s="127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RESUMO'!Q14</f>
        <v/>
      </c>
      <c r="N18" s="128">
        <f>MAX(0,M18-M17)</f>
        <v/>
      </c>
      <c r="O18" s="127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RESUMO'!R14</f>
        <v/>
      </c>
      <c r="N19" s="128">
        <f>MAX(0,M19-M18)</f>
        <v/>
      </c>
      <c r="O19" s="127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RESUMO'!S14</f>
        <v/>
      </c>
      <c r="N20" s="128">
        <f>MAX(0,M20-M19)</f>
        <v/>
      </c>
      <c r="O20" s="127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RESUMO'!T14</f>
        <v/>
      </c>
      <c r="N21" s="128">
        <f>MAX(0,M21-M20)</f>
        <v/>
      </c>
      <c r="O21" s="127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RESUMO'!U14</f>
        <v/>
      </c>
      <c r="N22" s="128">
        <f>MAX(0,M22-M21)</f>
        <v/>
      </c>
      <c r="O22" s="127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RESUMO'!V14</f>
        <v/>
      </c>
      <c r="N23" s="128">
        <f>MAX(0,M23-M22)</f>
        <v/>
      </c>
      <c r="O23" s="127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RESUMO'!W14</f>
        <v/>
      </c>
      <c r="N24" s="128">
        <f>MAX(0,M24-M23)</f>
        <v/>
      </c>
      <c r="O24" s="127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RESUMO'!X14</f>
        <v/>
      </c>
      <c r="N25" s="128">
        <f>MAX(0,M25-M24)</f>
        <v/>
      </c>
      <c r="O25" s="127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RESUMO'!Y14</f>
        <v/>
      </c>
      <c r="N26" s="128">
        <f>MAX(0,M26-M25)</f>
        <v/>
      </c>
      <c r="O26" s="127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RESUMO'!Z14</f>
        <v/>
      </c>
      <c r="N27" s="128">
        <f>MAX(0,M27-M26)</f>
        <v/>
      </c>
      <c r="O27" s="127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RESUMO'!AA14</f>
        <v/>
      </c>
      <c r="N28" s="128">
        <f>MAX(0,M28-M27)</f>
        <v/>
      </c>
      <c r="O28" s="127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RESUMO'!AB14</f>
        <v/>
      </c>
      <c r="N29" s="128">
        <f>MAX(0,M29-M28)</f>
        <v/>
      </c>
      <c r="O29" s="127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RESUMO'!AC14</f>
        <v/>
      </c>
      <c r="N30" s="128">
        <f>MAX(0,M30-M29)</f>
        <v/>
      </c>
      <c r="O30" s="127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RESUMO'!AD14</f>
        <v/>
      </c>
      <c r="N31" s="128">
        <f>MAX(0,M31-M30)</f>
        <v/>
      </c>
      <c r="O31" s="127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RESUMO'!AE14</f>
        <v/>
      </c>
      <c r="N32" s="128">
        <f>MAX(0,M32-M31)</f>
        <v/>
      </c>
      <c r="O32" s="127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RESUMO'!AF14</f>
        <v/>
      </c>
      <c r="N33" s="128">
        <f>MAX(0,M33-M32)</f>
        <v/>
      </c>
      <c r="O33" s="127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RESUMO'!AG14</f>
        <v/>
      </c>
      <c r="N34" s="128">
        <f>MAX(0,M34-M33)</f>
        <v/>
      </c>
      <c r="O34" s="127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RESUMO'!AH14</f>
        <v/>
      </c>
      <c r="N35" s="128">
        <f>MAX(0,M35-M34)</f>
        <v/>
      </c>
      <c r="O35" s="127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RESUMO'!AI14</f>
        <v/>
      </c>
      <c r="N36" s="128">
        <f>MAX(0,M36-M35)</f>
        <v/>
      </c>
      <c r="O36" s="127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RESUMO'!AJ14</f>
        <v/>
      </c>
      <c r="N37" s="128">
        <f>MAX(0,M37-M36)</f>
        <v/>
      </c>
      <c r="O37" s="127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RESUMO'!AK14</f>
        <v/>
      </c>
      <c r="N38" s="128">
        <f>MAX(0,M38-M37)</f>
        <v/>
      </c>
      <c r="O38" s="127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RESUMO'!AL14</f>
        <v/>
      </c>
      <c r="N39" s="128">
        <f>MAX(0,M39-M38)</f>
        <v/>
      </c>
      <c r="O39" s="127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RESUMO'!AM14</f>
        <v/>
      </c>
      <c r="N40" s="128">
        <f>MAX(0,M40-M39)</f>
        <v/>
      </c>
      <c r="O40" s="127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RESUMO'!AN14</f>
        <v/>
      </c>
      <c r="N41" s="128">
        <f>MAX(0,M41-M40)</f>
        <v/>
      </c>
      <c r="O41" s="127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RESUMO'!AO14</f>
        <v/>
      </c>
      <c r="N42" s="128">
        <f>MAX(0,M42-M41)</f>
        <v/>
      </c>
      <c r="O42" s="127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RESUMO'!AP14</f>
        <v/>
      </c>
      <c r="N43" s="128">
        <f>MAX(0,M43-M42)</f>
        <v/>
      </c>
      <c r="O43" s="127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RESUMO'!AQ14</f>
        <v/>
      </c>
      <c r="N44" s="128">
        <f>MAX(0,M44-M43)</f>
        <v/>
      </c>
      <c r="O44" s="127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RESUMO'!AR14</f>
        <v/>
      </c>
      <c r="N45" s="128">
        <f>MAX(0,M45-M44)</f>
        <v/>
      </c>
      <c r="O45" s="127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RESUMO'!AS14</f>
        <v/>
      </c>
      <c r="N46" s="128">
        <f>MAX(0,M46-M45)</f>
        <v/>
      </c>
      <c r="O46" s="127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RESUMO'!AT14</f>
        <v/>
      </c>
      <c r="N47" s="128">
        <f>MAX(0,M47-M46)</f>
        <v/>
      </c>
      <c r="O47" s="127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RESUMO'!AU14</f>
        <v/>
      </c>
      <c r="N48" s="128">
        <f>MAX(0,M48-M47)</f>
        <v/>
      </c>
      <c r="O48" s="127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RESUMO'!AV14</f>
        <v/>
      </c>
      <c r="N49" s="128">
        <f>MAX(0,M49-M48)</f>
        <v/>
      </c>
      <c r="O49" s="127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RESUMO'!AW14</f>
        <v/>
      </c>
      <c r="N50" s="128">
        <f>MAX(0,M50-M49)</f>
        <v/>
      </c>
      <c r="O50" s="127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RESUMO'!AX14</f>
        <v/>
      </c>
      <c r="N51" s="128">
        <f>MAX(0,M51-M50)</f>
        <v/>
      </c>
      <c r="O51" s="127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RESUMO'!AY14</f>
        <v/>
      </c>
      <c r="N52" s="128">
        <f>MAX(0,M52-M51)</f>
        <v/>
      </c>
      <c r="O52" s="127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RESUMO'!AZ14</f>
        <v/>
      </c>
      <c r="N53" s="128">
        <f>MAX(0,M53-M52)</f>
        <v/>
      </c>
      <c r="O53" s="127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RESUMO'!BA14</f>
        <v/>
      </c>
      <c r="N54" s="128">
        <f>MAX(0,M54-M53)</f>
        <v/>
      </c>
      <c r="O54" s="127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RESUMO'!BB14</f>
        <v/>
      </c>
      <c r="N55" s="128">
        <f>MAX(0,M55-M54)</f>
        <v/>
      </c>
      <c r="O55" s="127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RESUMO'!BC14</f>
        <v/>
      </c>
      <c r="N56" s="128">
        <f>MAX(0,M56-M55)</f>
        <v/>
      </c>
      <c r="O56" s="127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RESUMO'!BD14</f>
        <v/>
      </c>
      <c r="N57" s="128">
        <f>MAX(0,M57-M56)</f>
        <v/>
      </c>
      <c r="O57" s="127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RESUMO'!BE14</f>
        <v/>
      </c>
      <c r="N58" s="128">
        <f>MAX(0,M58-M57)</f>
        <v/>
      </c>
      <c r="O58" s="127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RESUMO'!BF14</f>
        <v/>
      </c>
      <c r="N59" s="128">
        <f>MAX(0,M59-M58)</f>
        <v/>
      </c>
      <c r="O59" s="127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RESUMO'!BG14</f>
        <v/>
      </c>
      <c r="N60" s="128">
        <f>MAX(0,M60-M59)</f>
        <v/>
      </c>
      <c r="O60" s="127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RESUMO'!BH14</f>
        <v/>
      </c>
      <c r="N61" s="128">
        <f>MAX(0,M61-M60)</f>
        <v/>
      </c>
      <c r="O61" s="127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RESUMO'!BI14</f>
        <v/>
      </c>
      <c r="N62" s="128">
        <f>MAX(0,M62-M61)</f>
        <v/>
      </c>
      <c r="O62" s="127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RESUMO'!BJ14</f>
        <v/>
      </c>
      <c r="N63" s="128">
        <f>MAX(0,M63-M62)</f>
        <v/>
      </c>
      <c r="O63" s="127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RESUMO'!BK14</f>
        <v/>
      </c>
      <c r="N64" s="128">
        <f>MAX(0,M64-M63)</f>
        <v/>
      </c>
      <c r="O64" s="127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RESUMO'!BL14</f>
        <v/>
      </c>
      <c r="N65" s="128">
        <f>MAX(0,M65-M64)</f>
        <v/>
      </c>
      <c r="O65" s="127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RESUMO'!BM14</f>
        <v/>
      </c>
      <c r="N66" s="128">
        <f>MAX(0,M66-M65)</f>
        <v/>
      </c>
      <c r="O66" s="127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RESUMO'!BN14</f>
        <v/>
      </c>
      <c r="N67" s="128">
        <f>MAX(0,M67-M66)</f>
        <v/>
      </c>
      <c r="O67" s="127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RESUMO'!BO14</f>
        <v/>
      </c>
      <c r="N68" s="128">
        <f>MAX(0,M68-M67)</f>
        <v/>
      </c>
      <c r="O68" s="127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RESUMO'!BP14</f>
        <v/>
      </c>
      <c r="N69" s="128">
        <f>MAX(0,M69-M68)</f>
        <v/>
      </c>
      <c r="O69" s="127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RESUMO'!BQ14</f>
        <v/>
      </c>
      <c r="N70" s="128">
        <f>MAX(0,M70-M69)</f>
        <v/>
      </c>
      <c r="O70" s="127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RESUMO'!BR14</f>
        <v/>
      </c>
      <c r="N71" s="128">
        <f>MAX(0,M71-M70)</f>
        <v/>
      </c>
      <c r="O71" s="127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RESUMO'!BS14</f>
        <v/>
      </c>
      <c r="N72" s="128">
        <f>MAX(0,M72-M71)</f>
        <v/>
      </c>
      <c r="O72" s="127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RESUMO'!BT14</f>
        <v/>
      </c>
      <c r="N73" s="128">
        <f>MAX(0,M73-M72)</f>
        <v/>
      </c>
      <c r="O73" s="127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RESUMO'!BU14</f>
        <v/>
      </c>
      <c r="N74" s="128">
        <f>MAX(0,M74-M73)</f>
        <v/>
      </c>
      <c r="O74" s="127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RESUMO'!BV14</f>
        <v/>
      </c>
      <c r="N75" s="128">
        <f>MAX(0,M75-M74)</f>
        <v/>
      </c>
      <c r="O75" s="127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RESUMO'!BW14</f>
        <v/>
      </c>
      <c r="N76" s="128">
        <f>MAX(0,M76-M75)</f>
        <v/>
      </c>
      <c r="O76" s="127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PL'!F21</f>
        <v/>
      </c>
      <c r="K5" s="63">
        <f>'VALOR POR PL'!G21</f>
        <v/>
      </c>
      <c r="M5" s="127">
        <f>'CP RESUMO'!D15</f>
        <v/>
      </c>
      <c r="N5" s="128" t="n">
        <v>0</v>
      </c>
      <c r="O5" s="127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RESUMO'!E15</f>
        <v/>
      </c>
      <c r="N6" s="128">
        <f>MAX(0,M6-M5)</f>
        <v/>
      </c>
      <c r="O6" s="127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PL'!L21</f>
        <v/>
      </c>
      <c r="M7" s="127">
        <f>'CP RESUMO'!F15</f>
        <v/>
      </c>
      <c r="N7" s="128">
        <f>MAX(0,M7-M6)</f>
        <v/>
      </c>
      <c r="O7" s="127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RESUMO'!G15</f>
        <v/>
      </c>
      <c r="N8" s="128">
        <f>MAX(0,M8-M7)</f>
        <v/>
      </c>
      <c r="O8" s="127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RESUMO'!H15</f>
        <v/>
      </c>
      <c r="N9" s="128">
        <f>MAX(0,M9-M8)</f>
        <v/>
      </c>
      <c r="O9" s="127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RESUMO'!I15</f>
        <v/>
      </c>
      <c r="N10" s="128">
        <f>MAX(0,M10-M9)</f>
        <v/>
      </c>
      <c r="O10" s="127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RESUMO'!J15</f>
        <v/>
      </c>
      <c r="N11" s="128">
        <f>MAX(0,M11-M10)</f>
        <v/>
      </c>
      <c r="O11" s="127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RESUMO'!K15</f>
        <v/>
      </c>
      <c r="N12" s="128">
        <f>MAX(0,M12-M11)</f>
        <v/>
      </c>
      <c r="O12" s="127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PL'!I21</f>
        <v/>
      </c>
      <c r="M13" s="127">
        <f>'CP RESUMO'!L15</f>
        <v/>
      </c>
      <c r="N13" s="128">
        <f>MAX(0,M13-M12)</f>
        <v/>
      </c>
      <c r="O13" s="127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7">
        <f>'CP RESUMO'!M15</f>
        <v/>
      </c>
      <c r="N14" s="128">
        <f>MAX(0,M14-M13)</f>
        <v/>
      </c>
      <c r="O14" s="127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RESUMO'!N15</f>
        <v/>
      </c>
      <c r="N15" s="128">
        <f>MAX(0,M15-M14)</f>
        <v/>
      </c>
      <c r="O15" s="127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RESUMO'!O15</f>
        <v/>
      </c>
      <c r="N16" s="128">
        <f>MAX(0,M16-M15)</f>
        <v/>
      </c>
      <c r="O16" s="127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RESUMO'!P15</f>
        <v/>
      </c>
      <c r="N17" s="128">
        <f>MAX(0,M17-M16)</f>
        <v/>
      </c>
      <c r="O17" s="127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RESUMO'!Q15</f>
        <v/>
      </c>
      <c r="N18" s="128">
        <f>MAX(0,M18-M17)</f>
        <v/>
      </c>
      <c r="O18" s="127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RESUMO'!R15</f>
        <v/>
      </c>
      <c r="N19" s="128">
        <f>MAX(0,M19-M18)</f>
        <v/>
      </c>
      <c r="O19" s="127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RESUMO'!S15</f>
        <v/>
      </c>
      <c r="N20" s="128">
        <f>MAX(0,M20-M19)</f>
        <v/>
      </c>
      <c r="O20" s="127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RESUMO'!T15</f>
        <v/>
      </c>
      <c r="N21" s="128">
        <f>MAX(0,M21-M20)</f>
        <v/>
      </c>
      <c r="O21" s="127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RESUMO'!U15</f>
        <v/>
      </c>
      <c r="N22" s="128">
        <f>MAX(0,M22-M21)</f>
        <v/>
      </c>
      <c r="O22" s="127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RESUMO'!V15</f>
        <v/>
      </c>
      <c r="N23" s="128">
        <f>MAX(0,M23-M22)</f>
        <v/>
      </c>
      <c r="O23" s="127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RESUMO'!W15</f>
        <v/>
      </c>
      <c r="N24" s="128">
        <f>MAX(0,M24-M23)</f>
        <v/>
      </c>
      <c r="O24" s="127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RESUMO'!X15</f>
        <v/>
      </c>
      <c r="N25" s="128">
        <f>MAX(0,M25-M24)</f>
        <v/>
      </c>
      <c r="O25" s="127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RESUMO'!Y15</f>
        <v/>
      </c>
      <c r="N26" s="128">
        <f>MAX(0,M26-M25)</f>
        <v/>
      </c>
      <c r="O26" s="127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RESUMO'!Z15</f>
        <v/>
      </c>
      <c r="N27" s="128">
        <f>MAX(0,M27-M26)</f>
        <v/>
      </c>
      <c r="O27" s="127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RESUMO'!AA15</f>
        <v/>
      </c>
      <c r="N28" s="128">
        <f>MAX(0,M28-M27)</f>
        <v/>
      </c>
      <c r="O28" s="127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RESUMO'!AB15</f>
        <v/>
      </c>
      <c r="N29" s="128">
        <f>MAX(0,M29-M28)</f>
        <v/>
      </c>
      <c r="O29" s="127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RESUMO'!AC15</f>
        <v/>
      </c>
      <c r="N30" s="128">
        <f>MAX(0,M30-M29)</f>
        <v/>
      </c>
      <c r="O30" s="127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RESUMO'!AD15</f>
        <v/>
      </c>
      <c r="N31" s="128">
        <f>MAX(0,M31-M30)</f>
        <v/>
      </c>
      <c r="O31" s="127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RESUMO'!AE15</f>
        <v/>
      </c>
      <c r="N32" s="128">
        <f>MAX(0,M32-M31)</f>
        <v/>
      </c>
      <c r="O32" s="127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RESUMO'!AF15</f>
        <v/>
      </c>
      <c r="N33" s="128">
        <f>MAX(0,M33-M32)</f>
        <v/>
      </c>
      <c r="O33" s="127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RESUMO'!AG15</f>
        <v/>
      </c>
      <c r="N34" s="128">
        <f>MAX(0,M34-M33)</f>
        <v/>
      </c>
      <c r="O34" s="127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RESUMO'!AH15</f>
        <v/>
      </c>
      <c r="N35" s="128">
        <f>MAX(0,M35-M34)</f>
        <v/>
      </c>
      <c r="O35" s="127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RESUMO'!AI15</f>
        <v/>
      </c>
      <c r="N36" s="128">
        <f>MAX(0,M36-M35)</f>
        <v/>
      </c>
      <c r="O36" s="127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RESUMO'!AJ15</f>
        <v/>
      </c>
      <c r="N37" s="128">
        <f>MAX(0,M37-M36)</f>
        <v/>
      </c>
      <c r="O37" s="127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RESUMO'!AK15</f>
        <v/>
      </c>
      <c r="N38" s="128">
        <f>MAX(0,M38-M37)</f>
        <v/>
      </c>
      <c r="O38" s="127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RESUMO'!AL15</f>
        <v/>
      </c>
      <c r="N39" s="128">
        <f>MAX(0,M39-M38)</f>
        <v/>
      </c>
      <c r="O39" s="127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RESUMO'!AM15</f>
        <v/>
      </c>
      <c r="N40" s="128">
        <f>MAX(0,M40-M39)</f>
        <v/>
      </c>
      <c r="O40" s="127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RESUMO'!AN15</f>
        <v/>
      </c>
      <c r="N41" s="128">
        <f>MAX(0,M41-M40)</f>
        <v/>
      </c>
      <c r="O41" s="127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RESUMO'!AO15</f>
        <v/>
      </c>
      <c r="N42" s="128">
        <f>MAX(0,M42-M41)</f>
        <v/>
      </c>
      <c r="O42" s="127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RESUMO'!AP15</f>
        <v/>
      </c>
      <c r="N43" s="128">
        <f>MAX(0,M43-M42)</f>
        <v/>
      </c>
      <c r="O43" s="127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RESUMO'!AQ15</f>
        <v/>
      </c>
      <c r="N44" s="128">
        <f>MAX(0,M44-M43)</f>
        <v/>
      </c>
      <c r="O44" s="127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RESUMO'!AR15</f>
        <v/>
      </c>
      <c r="N45" s="128">
        <f>MAX(0,M45-M44)</f>
        <v/>
      </c>
      <c r="O45" s="127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RESUMO'!AS15</f>
        <v/>
      </c>
      <c r="N46" s="128">
        <f>MAX(0,M46-M45)</f>
        <v/>
      </c>
      <c r="O46" s="127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RESUMO'!AT15</f>
        <v/>
      </c>
      <c r="N47" s="128">
        <f>MAX(0,M47-M46)</f>
        <v/>
      </c>
      <c r="O47" s="127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RESUMO'!AU15</f>
        <v/>
      </c>
      <c r="N48" s="128">
        <f>MAX(0,M48-M47)</f>
        <v/>
      </c>
      <c r="O48" s="127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RESUMO'!AV15</f>
        <v/>
      </c>
      <c r="N49" s="128">
        <f>MAX(0,M49-M48)</f>
        <v/>
      </c>
      <c r="O49" s="127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RESUMO'!AW15</f>
        <v/>
      </c>
      <c r="N50" s="128">
        <f>MAX(0,M50-M49)</f>
        <v/>
      </c>
      <c r="O50" s="127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RESUMO'!AX15</f>
        <v/>
      </c>
      <c r="N51" s="128">
        <f>MAX(0,M51-M50)</f>
        <v/>
      </c>
      <c r="O51" s="127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RESUMO'!AY15</f>
        <v/>
      </c>
      <c r="N52" s="128">
        <f>MAX(0,M52-M51)</f>
        <v/>
      </c>
      <c r="O52" s="127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RESUMO'!AZ15</f>
        <v/>
      </c>
      <c r="N53" s="128">
        <f>MAX(0,M53-M52)</f>
        <v/>
      </c>
      <c r="O53" s="127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RESUMO'!BA15</f>
        <v/>
      </c>
      <c r="N54" s="128">
        <f>MAX(0,M54-M53)</f>
        <v/>
      </c>
      <c r="O54" s="127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RESUMO'!BB15</f>
        <v/>
      </c>
      <c r="N55" s="128">
        <f>MAX(0,M55-M54)</f>
        <v/>
      </c>
      <c r="O55" s="127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RESUMO'!BC15</f>
        <v/>
      </c>
      <c r="N56" s="128">
        <f>MAX(0,M56-M55)</f>
        <v/>
      </c>
      <c r="O56" s="127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RESUMO'!BD15</f>
        <v/>
      </c>
      <c r="N57" s="128">
        <f>MAX(0,M57-M56)</f>
        <v/>
      </c>
      <c r="O57" s="127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RESUMO'!BE15</f>
        <v/>
      </c>
      <c r="N58" s="128">
        <f>MAX(0,M58-M57)</f>
        <v/>
      </c>
      <c r="O58" s="127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RESUMO'!BF15</f>
        <v/>
      </c>
      <c r="N59" s="128">
        <f>MAX(0,M59-M58)</f>
        <v/>
      </c>
      <c r="O59" s="127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RESUMO'!BG15</f>
        <v/>
      </c>
      <c r="N60" s="128">
        <f>MAX(0,M60-M59)</f>
        <v/>
      </c>
      <c r="O60" s="127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RESUMO'!BH15</f>
        <v/>
      </c>
      <c r="N61" s="128">
        <f>MAX(0,M61-M60)</f>
        <v/>
      </c>
      <c r="O61" s="127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RESUMO'!BI15</f>
        <v/>
      </c>
      <c r="N62" s="128">
        <f>MAX(0,M62-M61)</f>
        <v/>
      </c>
      <c r="O62" s="127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RESUMO'!BJ15</f>
        <v/>
      </c>
      <c r="N63" s="128">
        <f>MAX(0,M63-M62)</f>
        <v/>
      </c>
      <c r="O63" s="127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RESUMO'!BK15</f>
        <v/>
      </c>
      <c r="N64" s="128">
        <f>MAX(0,M64-M63)</f>
        <v/>
      </c>
      <c r="O64" s="127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RESUMO'!BL15</f>
        <v/>
      </c>
      <c r="N65" s="128">
        <f>MAX(0,M65-M64)</f>
        <v/>
      </c>
      <c r="O65" s="127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RESUMO'!BM15</f>
        <v/>
      </c>
      <c r="N66" s="128">
        <f>MAX(0,M66-M65)</f>
        <v/>
      </c>
      <c r="O66" s="127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RESUMO'!BN15</f>
        <v/>
      </c>
      <c r="N67" s="128">
        <f>MAX(0,M67-M66)</f>
        <v/>
      </c>
      <c r="O67" s="127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RESUMO'!BO15</f>
        <v/>
      </c>
      <c r="N68" s="128">
        <f>MAX(0,M68-M67)</f>
        <v/>
      </c>
      <c r="O68" s="127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RESUMO'!BP15</f>
        <v/>
      </c>
      <c r="N69" s="128">
        <f>MAX(0,M69-M68)</f>
        <v/>
      </c>
      <c r="O69" s="127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RESUMO'!BQ15</f>
        <v/>
      </c>
      <c r="N70" s="128">
        <f>MAX(0,M70-M69)</f>
        <v/>
      </c>
      <c r="O70" s="127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RESUMO'!BR15</f>
        <v/>
      </c>
      <c r="N71" s="128">
        <f>MAX(0,M71-M70)</f>
        <v/>
      </c>
      <c r="O71" s="127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RESUMO'!BS15</f>
        <v/>
      </c>
      <c r="N72" s="128">
        <f>MAX(0,M72-M71)</f>
        <v/>
      </c>
      <c r="O72" s="127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RESUMO'!BT15</f>
        <v/>
      </c>
      <c r="N73" s="128">
        <f>MAX(0,M73-M72)</f>
        <v/>
      </c>
      <c r="O73" s="127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RESUMO'!BU15</f>
        <v/>
      </c>
      <c r="N74" s="128">
        <f>MAX(0,M74-M73)</f>
        <v/>
      </c>
      <c r="O74" s="127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RESUMO'!BV15</f>
        <v/>
      </c>
      <c r="N75" s="128">
        <f>MAX(0,M75-M74)</f>
        <v/>
      </c>
      <c r="O75" s="127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RESUMO'!BW15</f>
        <v/>
      </c>
      <c r="N76" s="128">
        <f>MAX(0,M76-M75)</f>
        <v/>
      </c>
      <c r="O76" s="127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PL'!F22</f>
        <v/>
      </c>
      <c r="K5" s="63">
        <f>'VALOR POR PL'!G22</f>
        <v/>
      </c>
      <c r="M5" s="127">
        <f>'CP RESUMO'!D16</f>
        <v/>
      </c>
      <c r="N5" s="128" t="n">
        <v>0</v>
      </c>
      <c r="O5" s="127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RESUMO'!E16</f>
        <v/>
      </c>
      <c r="N6" s="128">
        <f>MAX(0,M6-M5)</f>
        <v/>
      </c>
      <c r="O6" s="127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PL'!L22</f>
        <v/>
      </c>
      <c r="M7" s="127">
        <f>'CP RESUMO'!F16</f>
        <v/>
      </c>
      <c r="N7" s="128">
        <f>MAX(0,M7-M6)</f>
        <v/>
      </c>
      <c r="O7" s="127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RESUMO'!G16</f>
        <v/>
      </c>
      <c r="N8" s="128">
        <f>MAX(0,M8-M7)</f>
        <v/>
      </c>
      <c r="O8" s="127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RESUMO'!H16</f>
        <v/>
      </c>
      <c r="N9" s="128">
        <f>MAX(0,M9-M8)</f>
        <v/>
      </c>
      <c r="O9" s="127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RESUMO'!I16</f>
        <v/>
      </c>
      <c r="N10" s="128">
        <f>MAX(0,M10-M9)</f>
        <v/>
      </c>
      <c r="O10" s="127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RESUMO'!J16</f>
        <v/>
      </c>
      <c r="N11" s="128">
        <f>MAX(0,M11-M10)</f>
        <v/>
      </c>
      <c r="O11" s="127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RESUMO'!K16</f>
        <v/>
      </c>
      <c r="N12" s="128">
        <f>MAX(0,M12-M11)</f>
        <v/>
      </c>
      <c r="O12" s="127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PL'!I22</f>
        <v/>
      </c>
      <c r="M13" s="127">
        <f>'CP RESUMO'!L16</f>
        <v/>
      </c>
      <c r="N13" s="128">
        <f>MAX(0,M13-M12)</f>
        <v/>
      </c>
      <c r="O13" s="127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7">
        <f>'CP RESUMO'!M16</f>
        <v/>
      </c>
      <c r="N14" s="128">
        <f>MAX(0,M14-M13)</f>
        <v/>
      </c>
      <c r="O14" s="127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RESUMO'!N16</f>
        <v/>
      </c>
      <c r="N15" s="128">
        <f>MAX(0,M15-M14)</f>
        <v/>
      </c>
      <c r="O15" s="127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RESUMO'!O16</f>
        <v/>
      </c>
      <c r="N16" s="128">
        <f>MAX(0,M16-M15)</f>
        <v/>
      </c>
      <c r="O16" s="127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RESUMO'!P16</f>
        <v/>
      </c>
      <c r="N17" s="128">
        <f>MAX(0,M17-M16)</f>
        <v/>
      </c>
      <c r="O17" s="127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RESUMO'!Q16</f>
        <v/>
      </c>
      <c r="N18" s="128">
        <f>MAX(0,M18-M17)</f>
        <v/>
      </c>
      <c r="O18" s="127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RESUMO'!R16</f>
        <v/>
      </c>
      <c r="N19" s="128">
        <f>MAX(0,M19-M18)</f>
        <v/>
      </c>
      <c r="O19" s="127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RESUMO'!S16</f>
        <v/>
      </c>
      <c r="N20" s="128">
        <f>MAX(0,M20-M19)</f>
        <v/>
      </c>
      <c r="O20" s="127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RESUMO'!T16</f>
        <v/>
      </c>
      <c r="N21" s="128">
        <f>MAX(0,M21-M20)</f>
        <v/>
      </c>
      <c r="O21" s="127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RESUMO'!U16</f>
        <v/>
      </c>
      <c r="N22" s="128">
        <f>MAX(0,M22-M21)</f>
        <v/>
      </c>
      <c r="O22" s="127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RESUMO'!V16</f>
        <v/>
      </c>
      <c r="N23" s="128">
        <f>MAX(0,M23-M22)</f>
        <v/>
      </c>
      <c r="O23" s="127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RESUMO'!W16</f>
        <v/>
      </c>
      <c r="N24" s="128">
        <f>MAX(0,M24-M23)</f>
        <v/>
      </c>
      <c r="O24" s="127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RESUMO'!X16</f>
        <v/>
      </c>
      <c r="N25" s="128">
        <f>MAX(0,M25-M24)</f>
        <v/>
      </c>
      <c r="O25" s="127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RESUMO'!Y16</f>
        <v/>
      </c>
      <c r="N26" s="128">
        <f>MAX(0,M26-M25)</f>
        <v/>
      </c>
      <c r="O26" s="127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RESUMO'!Z16</f>
        <v/>
      </c>
      <c r="N27" s="128">
        <f>MAX(0,M27-M26)</f>
        <v/>
      </c>
      <c r="O27" s="127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RESUMO'!AA16</f>
        <v/>
      </c>
      <c r="N28" s="128">
        <f>MAX(0,M28-M27)</f>
        <v/>
      </c>
      <c r="O28" s="127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RESUMO'!AB16</f>
        <v/>
      </c>
      <c r="N29" s="128">
        <f>MAX(0,M29-M28)</f>
        <v/>
      </c>
      <c r="O29" s="127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RESUMO'!AC16</f>
        <v/>
      </c>
      <c r="N30" s="128">
        <f>MAX(0,M30-M29)</f>
        <v/>
      </c>
      <c r="O30" s="127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RESUMO'!AD16</f>
        <v/>
      </c>
      <c r="N31" s="128">
        <f>MAX(0,M31-M30)</f>
        <v/>
      </c>
      <c r="O31" s="127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RESUMO'!AE16</f>
        <v/>
      </c>
      <c r="N32" s="128">
        <f>MAX(0,M32-M31)</f>
        <v/>
      </c>
      <c r="O32" s="127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RESUMO'!AF16</f>
        <v/>
      </c>
      <c r="N33" s="128">
        <f>MAX(0,M33-M32)</f>
        <v/>
      </c>
      <c r="O33" s="127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RESUMO'!AG16</f>
        <v/>
      </c>
      <c r="N34" s="128">
        <f>MAX(0,M34-M33)</f>
        <v/>
      </c>
      <c r="O34" s="127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RESUMO'!AH16</f>
        <v/>
      </c>
      <c r="N35" s="128">
        <f>MAX(0,M35-M34)</f>
        <v/>
      </c>
      <c r="O35" s="127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RESUMO'!AI16</f>
        <v/>
      </c>
      <c r="N36" s="128">
        <f>MAX(0,M36-M35)</f>
        <v/>
      </c>
      <c r="O36" s="127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RESUMO'!AJ16</f>
        <v/>
      </c>
      <c r="N37" s="128">
        <f>MAX(0,M37-M36)</f>
        <v/>
      </c>
      <c r="O37" s="127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RESUMO'!AK16</f>
        <v/>
      </c>
      <c r="N38" s="128">
        <f>MAX(0,M38-M37)</f>
        <v/>
      </c>
      <c r="O38" s="127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RESUMO'!AL16</f>
        <v/>
      </c>
      <c r="N39" s="128">
        <f>MAX(0,M39-M38)</f>
        <v/>
      </c>
      <c r="O39" s="127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RESUMO'!AM16</f>
        <v/>
      </c>
      <c r="N40" s="128">
        <f>MAX(0,M40-M39)</f>
        <v/>
      </c>
      <c r="O40" s="127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RESUMO'!AN16</f>
        <v/>
      </c>
      <c r="N41" s="128">
        <f>MAX(0,M41-M40)</f>
        <v/>
      </c>
      <c r="O41" s="127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RESUMO'!AO16</f>
        <v/>
      </c>
      <c r="N42" s="128">
        <f>MAX(0,M42-M41)</f>
        <v/>
      </c>
      <c r="O42" s="127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RESUMO'!AP16</f>
        <v/>
      </c>
      <c r="N43" s="128">
        <f>MAX(0,M43-M42)</f>
        <v/>
      </c>
      <c r="O43" s="127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RESUMO'!AQ16</f>
        <v/>
      </c>
      <c r="N44" s="128">
        <f>MAX(0,M44-M43)</f>
        <v/>
      </c>
      <c r="O44" s="127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RESUMO'!AR16</f>
        <v/>
      </c>
      <c r="N45" s="128">
        <f>MAX(0,M45-M44)</f>
        <v/>
      </c>
      <c r="O45" s="127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RESUMO'!AS16</f>
        <v/>
      </c>
      <c r="N46" s="128">
        <f>MAX(0,M46-M45)</f>
        <v/>
      </c>
      <c r="O46" s="127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RESUMO'!AT16</f>
        <v/>
      </c>
      <c r="N47" s="128">
        <f>MAX(0,M47-M46)</f>
        <v/>
      </c>
      <c r="O47" s="127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RESUMO'!AU16</f>
        <v/>
      </c>
      <c r="N48" s="128">
        <f>MAX(0,M48-M47)</f>
        <v/>
      </c>
      <c r="O48" s="127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RESUMO'!AV16</f>
        <v/>
      </c>
      <c r="N49" s="128">
        <f>MAX(0,M49-M48)</f>
        <v/>
      </c>
      <c r="O49" s="127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RESUMO'!AW16</f>
        <v/>
      </c>
      <c r="N50" s="128">
        <f>MAX(0,M50-M49)</f>
        <v/>
      </c>
      <c r="O50" s="127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RESUMO'!AX16</f>
        <v/>
      </c>
      <c r="N51" s="128">
        <f>MAX(0,M51-M50)</f>
        <v/>
      </c>
      <c r="O51" s="127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RESUMO'!AY16</f>
        <v/>
      </c>
      <c r="N52" s="128">
        <f>MAX(0,M52-M51)</f>
        <v/>
      </c>
      <c r="O52" s="127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RESUMO'!AZ16</f>
        <v/>
      </c>
      <c r="N53" s="128">
        <f>MAX(0,M53-M52)</f>
        <v/>
      </c>
      <c r="O53" s="127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RESUMO'!BA16</f>
        <v/>
      </c>
      <c r="N54" s="128">
        <f>MAX(0,M54-M53)</f>
        <v/>
      </c>
      <c r="O54" s="127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RESUMO'!BB16</f>
        <v/>
      </c>
      <c r="N55" s="128">
        <f>MAX(0,M55-M54)</f>
        <v/>
      </c>
      <c r="O55" s="127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RESUMO'!BC16</f>
        <v/>
      </c>
      <c r="N56" s="128">
        <f>MAX(0,M56-M55)</f>
        <v/>
      </c>
      <c r="O56" s="127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RESUMO'!BD16</f>
        <v/>
      </c>
      <c r="N57" s="128">
        <f>MAX(0,M57-M56)</f>
        <v/>
      </c>
      <c r="O57" s="127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RESUMO'!BE16</f>
        <v/>
      </c>
      <c r="N58" s="128">
        <f>MAX(0,M58-M57)</f>
        <v/>
      </c>
      <c r="O58" s="127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RESUMO'!BF16</f>
        <v/>
      </c>
      <c r="N59" s="128">
        <f>MAX(0,M59-M58)</f>
        <v/>
      </c>
      <c r="O59" s="127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RESUMO'!BG16</f>
        <v/>
      </c>
      <c r="N60" s="128">
        <f>MAX(0,M60-M59)</f>
        <v/>
      </c>
      <c r="O60" s="127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RESUMO'!BH16</f>
        <v/>
      </c>
      <c r="N61" s="128">
        <f>MAX(0,M61-M60)</f>
        <v/>
      </c>
      <c r="O61" s="127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RESUMO'!BI16</f>
        <v/>
      </c>
      <c r="N62" s="128">
        <f>MAX(0,M62-M61)</f>
        <v/>
      </c>
      <c r="O62" s="127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RESUMO'!BJ16</f>
        <v/>
      </c>
      <c r="N63" s="128">
        <f>MAX(0,M63-M62)</f>
        <v/>
      </c>
      <c r="O63" s="127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RESUMO'!BK16</f>
        <v/>
      </c>
      <c r="N64" s="128">
        <f>MAX(0,M64-M63)</f>
        <v/>
      </c>
      <c r="O64" s="127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RESUMO'!BL16</f>
        <v/>
      </c>
      <c r="N65" s="128">
        <f>MAX(0,M65-M64)</f>
        <v/>
      </c>
      <c r="O65" s="127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RESUMO'!BM16</f>
        <v/>
      </c>
      <c r="N66" s="128">
        <f>MAX(0,M66-M65)</f>
        <v/>
      </c>
      <c r="O66" s="127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RESUMO'!BN16</f>
        <v/>
      </c>
      <c r="N67" s="128">
        <f>MAX(0,M67-M66)</f>
        <v/>
      </c>
      <c r="O67" s="127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RESUMO'!BO16</f>
        <v/>
      </c>
      <c r="N68" s="128">
        <f>MAX(0,M68-M67)</f>
        <v/>
      </c>
      <c r="O68" s="127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RESUMO'!BP16</f>
        <v/>
      </c>
      <c r="N69" s="128">
        <f>MAX(0,M69-M68)</f>
        <v/>
      </c>
      <c r="O69" s="127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RESUMO'!BQ16</f>
        <v/>
      </c>
      <c r="N70" s="128">
        <f>MAX(0,M70-M69)</f>
        <v/>
      </c>
      <c r="O70" s="127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RESUMO'!BR16</f>
        <v/>
      </c>
      <c r="N71" s="128">
        <f>MAX(0,M71-M70)</f>
        <v/>
      </c>
      <c r="O71" s="127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RESUMO'!BS16</f>
        <v/>
      </c>
      <c r="N72" s="128">
        <f>MAX(0,M72-M71)</f>
        <v/>
      </c>
      <c r="O72" s="127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RESUMO'!BT16</f>
        <v/>
      </c>
      <c r="N73" s="128">
        <f>MAX(0,M73-M72)</f>
        <v/>
      </c>
      <c r="O73" s="127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RESUMO'!BU16</f>
        <v/>
      </c>
      <c r="N74" s="128">
        <f>MAX(0,M74-M73)</f>
        <v/>
      </c>
      <c r="O74" s="127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RESUMO'!BV16</f>
        <v/>
      </c>
      <c r="N75" s="128">
        <f>MAX(0,M75-M74)</f>
        <v/>
      </c>
      <c r="O75" s="127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RESUMO'!BW16</f>
        <v/>
      </c>
      <c r="N76" s="128">
        <f>MAX(0,M76-M75)</f>
        <v/>
      </c>
      <c r="O76" s="127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PL'!F23</f>
        <v/>
      </c>
      <c r="K5" s="63">
        <f>'VALOR POR PL'!G23</f>
        <v/>
      </c>
      <c r="M5" s="127">
        <f>'CP RESUMO'!D17</f>
        <v/>
      </c>
      <c r="N5" s="128" t="n">
        <v>0</v>
      </c>
      <c r="O5" s="127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RESUMO'!E17</f>
        <v/>
      </c>
      <c r="N6" s="128">
        <f>MAX(0,M6-M5)</f>
        <v/>
      </c>
      <c r="O6" s="127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PL'!L23</f>
        <v/>
      </c>
      <c r="M7" s="127">
        <f>'CP RESUMO'!F17</f>
        <v/>
      </c>
      <c r="N7" s="128">
        <f>MAX(0,M7-M6)</f>
        <v/>
      </c>
      <c r="O7" s="127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RESUMO'!G17</f>
        <v/>
      </c>
      <c r="N8" s="128">
        <f>MAX(0,M8-M7)</f>
        <v/>
      </c>
      <c r="O8" s="127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RESUMO'!H17</f>
        <v/>
      </c>
      <c r="N9" s="128">
        <f>MAX(0,M9-M8)</f>
        <v/>
      </c>
      <c r="O9" s="127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RESUMO'!I17</f>
        <v/>
      </c>
      <c r="N10" s="128">
        <f>MAX(0,M10-M9)</f>
        <v/>
      </c>
      <c r="O10" s="127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RESUMO'!J17</f>
        <v/>
      </c>
      <c r="N11" s="128">
        <f>MAX(0,M11-M10)</f>
        <v/>
      </c>
      <c r="O11" s="127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RESUMO'!K17</f>
        <v/>
      </c>
      <c r="N12" s="128">
        <f>MAX(0,M12-M11)</f>
        <v/>
      </c>
      <c r="O12" s="127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PL'!I23</f>
        <v/>
      </c>
      <c r="M13" s="127">
        <f>'CP RESUMO'!L17</f>
        <v/>
      </c>
      <c r="N13" s="128">
        <f>MAX(0,M13-M12)</f>
        <v/>
      </c>
      <c r="O13" s="127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7">
        <f>'CP RESUMO'!M17</f>
        <v/>
      </c>
      <c r="N14" s="128">
        <f>MAX(0,M14-M13)</f>
        <v/>
      </c>
      <c r="O14" s="127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RESUMO'!N17</f>
        <v/>
      </c>
      <c r="N15" s="128">
        <f>MAX(0,M15-M14)</f>
        <v/>
      </c>
      <c r="O15" s="127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RESUMO'!O17</f>
        <v/>
      </c>
      <c r="N16" s="128">
        <f>MAX(0,M16-M15)</f>
        <v/>
      </c>
      <c r="O16" s="127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RESUMO'!P17</f>
        <v/>
      </c>
      <c r="N17" s="128">
        <f>MAX(0,M17-M16)</f>
        <v/>
      </c>
      <c r="O17" s="127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RESUMO'!Q17</f>
        <v/>
      </c>
      <c r="N18" s="128">
        <f>MAX(0,M18-M17)</f>
        <v/>
      </c>
      <c r="O18" s="127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RESUMO'!R17</f>
        <v/>
      </c>
      <c r="N19" s="128">
        <f>MAX(0,M19-M18)</f>
        <v/>
      </c>
      <c r="O19" s="127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RESUMO'!S17</f>
        <v/>
      </c>
      <c r="N20" s="128">
        <f>MAX(0,M20-M19)</f>
        <v/>
      </c>
      <c r="O20" s="127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RESUMO'!T17</f>
        <v/>
      </c>
      <c r="N21" s="128">
        <f>MAX(0,M21-M20)</f>
        <v/>
      </c>
      <c r="O21" s="127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RESUMO'!U17</f>
        <v/>
      </c>
      <c r="N22" s="128">
        <f>MAX(0,M22-M21)</f>
        <v/>
      </c>
      <c r="O22" s="127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RESUMO'!V17</f>
        <v/>
      </c>
      <c r="N23" s="128">
        <f>MAX(0,M23-M22)</f>
        <v/>
      </c>
      <c r="O23" s="127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RESUMO'!W17</f>
        <v/>
      </c>
      <c r="N24" s="128">
        <f>MAX(0,M24-M23)</f>
        <v/>
      </c>
      <c r="O24" s="127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RESUMO'!X17</f>
        <v/>
      </c>
      <c r="N25" s="128">
        <f>MAX(0,M25-M24)</f>
        <v/>
      </c>
      <c r="O25" s="127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RESUMO'!Y17</f>
        <v/>
      </c>
      <c r="N26" s="128">
        <f>MAX(0,M26-M25)</f>
        <v/>
      </c>
      <c r="O26" s="127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RESUMO'!Z17</f>
        <v/>
      </c>
      <c r="N27" s="128">
        <f>MAX(0,M27-M26)</f>
        <v/>
      </c>
      <c r="O27" s="127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RESUMO'!AA17</f>
        <v/>
      </c>
      <c r="N28" s="128">
        <f>MAX(0,M28-M27)</f>
        <v/>
      </c>
      <c r="O28" s="127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RESUMO'!AB17</f>
        <v/>
      </c>
      <c r="N29" s="128">
        <f>MAX(0,M29-M28)</f>
        <v/>
      </c>
      <c r="O29" s="127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RESUMO'!AC17</f>
        <v/>
      </c>
      <c r="N30" s="128">
        <f>MAX(0,M30-M29)</f>
        <v/>
      </c>
      <c r="O30" s="127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RESUMO'!AD17</f>
        <v/>
      </c>
      <c r="N31" s="128">
        <f>MAX(0,M31-M30)</f>
        <v/>
      </c>
      <c r="O31" s="127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RESUMO'!AE17</f>
        <v/>
      </c>
      <c r="N32" s="128">
        <f>MAX(0,M32-M31)</f>
        <v/>
      </c>
      <c r="O32" s="127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RESUMO'!AF17</f>
        <v/>
      </c>
      <c r="N33" s="128">
        <f>MAX(0,M33-M32)</f>
        <v/>
      </c>
      <c r="O33" s="127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RESUMO'!AG17</f>
        <v/>
      </c>
      <c r="N34" s="128">
        <f>MAX(0,M34-M33)</f>
        <v/>
      </c>
      <c r="O34" s="127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RESUMO'!AH17</f>
        <v/>
      </c>
      <c r="N35" s="128">
        <f>MAX(0,M35-M34)</f>
        <v/>
      </c>
      <c r="O35" s="127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RESUMO'!AI17</f>
        <v/>
      </c>
      <c r="N36" s="128">
        <f>MAX(0,M36-M35)</f>
        <v/>
      </c>
      <c r="O36" s="127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RESUMO'!AJ17</f>
        <v/>
      </c>
      <c r="N37" s="128">
        <f>MAX(0,M37-M36)</f>
        <v/>
      </c>
      <c r="O37" s="127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RESUMO'!AK17</f>
        <v/>
      </c>
      <c r="N38" s="128">
        <f>MAX(0,M38-M37)</f>
        <v/>
      </c>
      <c r="O38" s="127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RESUMO'!AL17</f>
        <v/>
      </c>
      <c r="N39" s="128">
        <f>MAX(0,M39-M38)</f>
        <v/>
      </c>
      <c r="O39" s="127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RESUMO'!AM17</f>
        <v/>
      </c>
      <c r="N40" s="128">
        <f>MAX(0,M40-M39)</f>
        <v/>
      </c>
      <c r="O40" s="127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RESUMO'!AN17</f>
        <v/>
      </c>
      <c r="N41" s="128">
        <f>MAX(0,M41-M40)</f>
        <v/>
      </c>
      <c r="O41" s="127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RESUMO'!AO17</f>
        <v/>
      </c>
      <c r="N42" s="128">
        <f>MAX(0,M42-M41)</f>
        <v/>
      </c>
      <c r="O42" s="127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RESUMO'!AP17</f>
        <v/>
      </c>
      <c r="N43" s="128">
        <f>MAX(0,M43-M42)</f>
        <v/>
      </c>
      <c r="O43" s="127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RESUMO'!AQ17</f>
        <v/>
      </c>
      <c r="N44" s="128">
        <f>MAX(0,M44-M43)</f>
        <v/>
      </c>
      <c r="O44" s="127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RESUMO'!AR17</f>
        <v/>
      </c>
      <c r="N45" s="128">
        <f>MAX(0,M45-M44)</f>
        <v/>
      </c>
      <c r="O45" s="127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RESUMO'!AS17</f>
        <v/>
      </c>
      <c r="N46" s="128">
        <f>MAX(0,M46-M45)</f>
        <v/>
      </c>
      <c r="O46" s="127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RESUMO'!AT17</f>
        <v/>
      </c>
      <c r="N47" s="128">
        <f>MAX(0,M47-M46)</f>
        <v/>
      </c>
      <c r="O47" s="127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RESUMO'!AU17</f>
        <v/>
      </c>
      <c r="N48" s="128">
        <f>MAX(0,M48-M47)</f>
        <v/>
      </c>
      <c r="O48" s="127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RESUMO'!AV17</f>
        <v/>
      </c>
      <c r="N49" s="128">
        <f>MAX(0,M49-M48)</f>
        <v/>
      </c>
      <c r="O49" s="127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RESUMO'!AW17</f>
        <v/>
      </c>
      <c r="N50" s="128">
        <f>MAX(0,M50-M49)</f>
        <v/>
      </c>
      <c r="O50" s="127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RESUMO'!AX17</f>
        <v/>
      </c>
      <c r="N51" s="128">
        <f>MAX(0,M51-M50)</f>
        <v/>
      </c>
      <c r="O51" s="127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RESUMO'!AY17</f>
        <v/>
      </c>
      <c r="N52" s="128">
        <f>MAX(0,M52-M51)</f>
        <v/>
      </c>
      <c r="O52" s="127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RESUMO'!AZ17</f>
        <v/>
      </c>
      <c r="N53" s="128">
        <f>MAX(0,M53-M52)</f>
        <v/>
      </c>
      <c r="O53" s="127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RESUMO'!BA17</f>
        <v/>
      </c>
      <c r="N54" s="128">
        <f>MAX(0,M54-M53)</f>
        <v/>
      </c>
      <c r="O54" s="127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RESUMO'!BB17</f>
        <v/>
      </c>
      <c r="N55" s="128">
        <f>MAX(0,M55-M54)</f>
        <v/>
      </c>
      <c r="O55" s="127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RESUMO'!BC17</f>
        <v/>
      </c>
      <c r="N56" s="128">
        <f>MAX(0,M56-M55)</f>
        <v/>
      </c>
      <c r="O56" s="127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RESUMO'!BD17</f>
        <v/>
      </c>
      <c r="N57" s="128">
        <f>MAX(0,M57-M56)</f>
        <v/>
      </c>
      <c r="O57" s="127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RESUMO'!BE17</f>
        <v/>
      </c>
      <c r="N58" s="128">
        <f>MAX(0,M58-M57)</f>
        <v/>
      </c>
      <c r="O58" s="127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RESUMO'!BF17</f>
        <v/>
      </c>
      <c r="N59" s="128">
        <f>MAX(0,M59-M58)</f>
        <v/>
      </c>
      <c r="O59" s="127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RESUMO'!BG17</f>
        <v/>
      </c>
      <c r="N60" s="128">
        <f>MAX(0,M60-M59)</f>
        <v/>
      </c>
      <c r="O60" s="127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RESUMO'!BH17</f>
        <v/>
      </c>
      <c r="N61" s="128">
        <f>MAX(0,M61-M60)</f>
        <v/>
      </c>
      <c r="O61" s="127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RESUMO'!BI17</f>
        <v/>
      </c>
      <c r="N62" s="128">
        <f>MAX(0,M62-M61)</f>
        <v/>
      </c>
      <c r="O62" s="127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RESUMO'!BJ17</f>
        <v/>
      </c>
      <c r="N63" s="128">
        <f>MAX(0,M63-M62)</f>
        <v/>
      </c>
      <c r="O63" s="127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RESUMO'!BK17</f>
        <v/>
      </c>
      <c r="N64" s="128">
        <f>MAX(0,M64-M63)</f>
        <v/>
      </c>
      <c r="O64" s="127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RESUMO'!BL17</f>
        <v/>
      </c>
      <c r="N65" s="128">
        <f>MAX(0,M65-M64)</f>
        <v/>
      </c>
      <c r="O65" s="127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RESUMO'!BM17</f>
        <v/>
      </c>
      <c r="N66" s="128">
        <f>MAX(0,M66-M65)</f>
        <v/>
      </c>
      <c r="O66" s="127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RESUMO'!BN17</f>
        <v/>
      </c>
      <c r="N67" s="128">
        <f>MAX(0,M67-M66)</f>
        <v/>
      </c>
      <c r="O67" s="127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RESUMO'!BO17</f>
        <v/>
      </c>
      <c r="N68" s="128">
        <f>MAX(0,M68-M67)</f>
        <v/>
      </c>
      <c r="O68" s="127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RESUMO'!BP17</f>
        <v/>
      </c>
      <c r="N69" s="128">
        <f>MAX(0,M69-M68)</f>
        <v/>
      </c>
      <c r="O69" s="127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RESUMO'!BQ17</f>
        <v/>
      </c>
      <c r="N70" s="128">
        <f>MAX(0,M70-M69)</f>
        <v/>
      </c>
      <c r="O70" s="127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RESUMO'!BR17</f>
        <v/>
      </c>
      <c r="N71" s="128">
        <f>MAX(0,M71-M70)</f>
        <v/>
      </c>
      <c r="O71" s="127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RESUMO'!BS17</f>
        <v/>
      </c>
      <c r="N72" s="128">
        <f>MAX(0,M72-M71)</f>
        <v/>
      </c>
      <c r="O72" s="127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RESUMO'!BT17</f>
        <v/>
      </c>
      <c r="N73" s="128">
        <f>MAX(0,M73-M72)</f>
        <v/>
      </c>
      <c r="O73" s="127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RESUMO'!BU17</f>
        <v/>
      </c>
      <c r="N74" s="128">
        <f>MAX(0,M74-M73)</f>
        <v/>
      </c>
      <c r="O74" s="127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RESUMO'!BV17</f>
        <v/>
      </c>
      <c r="N75" s="128">
        <f>MAX(0,M75-M74)</f>
        <v/>
      </c>
      <c r="O75" s="127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RESUMO'!BW17</f>
        <v/>
      </c>
      <c r="N76" s="128">
        <f>MAX(0,M76-M75)</f>
        <v/>
      </c>
      <c r="O76" s="127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PL'!F24</f>
        <v/>
      </c>
      <c r="K5" s="63">
        <f>'VALOR POR PL'!G24</f>
        <v/>
      </c>
      <c r="M5" s="127">
        <f>'CP RESUMO'!D18</f>
        <v/>
      </c>
      <c r="N5" s="128" t="n">
        <v>0</v>
      </c>
      <c r="O5" s="127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RESUMO'!E18</f>
        <v/>
      </c>
      <c r="N6" s="128">
        <f>MAX(0,M6-M5)</f>
        <v/>
      </c>
      <c r="O6" s="127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PL'!L24</f>
        <v/>
      </c>
      <c r="M7" s="127">
        <f>'CP RESUMO'!F18</f>
        <v/>
      </c>
      <c r="N7" s="128">
        <f>MAX(0,M7-M6)</f>
        <v/>
      </c>
      <c r="O7" s="127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RESUMO'!G18</f>
        <v/>
      </c>
      <c r="N8" s="128">
        <f>MAX(0,M8-M7)</f>
        <v/>
      </c>
      <c r="O8" s="127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RESUMO'!H18</f>
        <v/>
      </c>
      <c r="N9" s="128">
        <f>MAX(0,M9-M8)</f>
        <v/>
      </c>
      <c r="O9" s="127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RESUMO'!I18</f>
        <v/>
      </c>
      <c r="N10" s="128">
        <f>MAX(0,M10-M9)</f>
        <v/>
      </c>
      <c r="O10" s="127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RESUMO'!J18</f>
        <v/>
      </c>
      <c r="N11" s="128">
        <f>MAX(0,M11-M10)</f>
        <v/>
      </c>
      <c r="O11" s="127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RESUMO'!K18</f>
        <v/>
      </c>
      <c r="N12" s="128">
        <f>MAX(0,M12-M11)</f>
        <v/>
      </c>
      <c r="O12" s="127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PL'!I24</f>
        <v/>
      </c>
      <c r="M13" s="127">
        <f>'CP RESUMO'!L18</f>
        <v/>
      </c>
      <c r="N13" s="128">
        <f>MAX(0,M13-M12)</f>
        <v/>
      </c>
      <c r="O13" s="127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7">
        <f>'CP RESUMO'!M18</f>
        <v/>
      </c>
      <c r="N14" s="128">
        <f>MAX(0,M14-M13)</f>
        <v/>
      </c>
      <c r="O14" s="127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RESUMO'!N18</f>
        <v/>
      </c>
      <c r="N15" s="128">
        <f>MAX(0,M15-M14)</f>
        <v/>
      </c>
      <c r="O15" s="127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RESUMO'!O18</f>
        <v/>
      </c>
      <c r="N16" s="128">
        <f>MAX(0,M16-M15)</f>
        <v/>
      </c>
      <c r="O16" s="127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RESUMO'!P18</f>
        <v/>
      </c>
      <c r="N17" s="128">
        <f>MAX(0,M17-M16)</f>
        <v/>
      </c>
      <c r="O17" s="127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RESUMO'!Q18</f>
        <v/>
      </c>
      <c r="N18" s="128">
        <f>MAX(0,M18-M17)</f>
        <v/>
      </c>
      <c r="O18" s="127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RESUMO'!R18</f>
        <v/>
      </c>
      <c r="N19" s="128">
        <f>MAX(0,M19-M18)</f>
        <v/>
      </c>
      <c r="O19" s="127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RESUMO'!S18</f>
        <v/>
      </c>
      <c r="N20" s="128">
        <f>MAX(0,M20-M19)</f>
        <v/>
      </c>
      <c r="O20" s="127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RESUMO'!T18</f>
        <v/>
      </c>
      <c r="N21" s="128">
        <f>MAX(0,M21-M20)</f>
        <v/>
      </c>
      <c r="O21" s="127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RESUMO'!U18</f>
        <v/>
      </c>
      <c r="N22" s="128">
        <f>MAX(0,M22-M21)</f>
        <v/>
      </c>
      <c r="O22" s="127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RESUMO'!V18</f>
        <v/>
      </c>
      <c r="N23" s="128">
        <f>MAX(0,M23-M22)</f>
        <v/>
      </c>
      <c r="O23" s="127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RESUMO'!W18</f>
        <v/>
      </c>
      <c r="N24" s="128">
        <f>MAX(0,M24-M23)</f>
        <v/>
      </c>
      <c r="O24" s="127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RESUMO'!X18</f>
        <v/>
      </c>
      <c r="N25" s="128">
        <f>MAX(0,M25-M24)</f>
        <v/>
      </c>
      <c r="O25" s="127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RESUMO'!Y18</f>
        <v/>
      </c>
      <c r="N26" s="128">
        <f>MAX(0,M26-M25)</f>
        <v/>
      </c>
      <c r="O26" s="127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RESUMO'!Z18</f>
        <v/>
      </c>
      <c r="N27" s="128">
        <f>MAX(0,M27-M26)</f>
        <v/>
      </c>
      <c r="O27" s="127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RESUMO'!AA18</f>
        <v/>
      </c>
      <c r="N28" s="128">
        <f>MAX(0,M28-M27)</f>
        <v/>
      </c>
      <c r="O28" s="127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RESUMO'!AB18</f>
        <v/>
      </c>
      <c r="N29" s="128">
        <f>MAX(0,M29-M28)</f>
        <v/>
      </c>
      <c r="O29" s="127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RESUMO'!AC18</f>
        <v/>
      </c>
      <c r="N30" s="128">
        <f>MAX(0,M30-M29)</f>
        <v/>
      </c>
      <c r="O30" s="127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RESUMO'!AD18</f>
        <v/>
      </c>
      <c r="N31" s="128">
        <f>MAX(0,M31-M30)</f>
        <v/>
      </c>
      <c r="O31" s="127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RESUMO'!AE18</f>
        <v/>
      </c>
      <c r="N32" s="128">
        <f>MAX(0,M32-M31)</f>
        <v/>
      </c>
      <c r="O32" s="127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RESUMO'!AF18</f>
        <v/>
      </c>
      <c r="N33" s="128">
        <f>MAX(0,M33-M32)</f>
        <v/>
      </c>
      <c r="O33" s="127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RESUMO'!AG18</f>
        <v/>
      </c>
      <c r="N34" s="128">
        <f>MAX(0,M34-M33)</f>
        <v/>
      </c>
      <c r="O34" s="127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RESUMO'!AH18</f>
        <v/>
      </c>
      <c r="N35" s="128">
        <f>MAX(0,M35-M34)</f>
        <v/>
      </c>
      <c r="O35" s="127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RESUMO'!AI18</f>
        <v/>
      </c>
      <c r="N36" s="128">
        <f>MAX(0,M36-M35)</f>
        <v/>
      </c>
      <c r="O36" s="127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RESUMO'!AJ18</f>
        <v/>
      </c>
      <c r="N37" s="128">
        <f>MAX(0,M37-M36)</f>
        <v/>
      </c>
      <c r="O37" s="127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RESUMO'!AK18</f>
        <v/>
      </c>
      <c r="N38" s="128">
        <f>MAX(0,M38-M37)</f>
        <v/>
      </c>
      <c r="O38" s="127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RESUMO'!AL18</f>
        <v/>
      </c>
      <c r="N39" s="128">
        <f>MAX(0,M39-M38)</f>
        <v/>
      </c>
      <c r="O39" s="127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RESUMO'!AM18</f>
        <v/>
      </c>
      <c r="N40" s="128">
        <f>MAX(0,M40-M39)</f>
        <v/>
      </c>
      <c r="O40" s="127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RESUMO'!AN18</f>
        <v/>
      </c>
      <c r="N41" s="128">
        <f>MAX(0,M41-M40)</f>
        <v/>
      </c>
      <c r="O41" s="127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RESUMO'!AO18</f>
        <v/>
      </c>
      <c r="N42" s="128">
        <f>MAX(0,M42-M41)</f>
        <v/>
      </c>
      <c r="O42" s="127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RESUMO'!AP18</f>
        <v/>
      </c>
      <c r="N43" s="128">
        <f>MAX(0,M43-M42)</f>
        <v/>
      </c>
      <c r="O43" s="127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RESUMO'!AQ18</f>
        <v/>
      </c>
      <c r="N44" s="128">
        <f>MAX(0,M44-M43)</f>
        <v/>
      </c>
      <c r="O44" s="127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RESUMO'!AR18</f>
        <v/>
      </c>
      <c r="N45" s="128">
        <f>MAX(0,M45-M44)</f>
        <v/>
      </c>
      <c r="O45" s="127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RESUMO'!AS18</f>
        <v/>
      </c>
      <c r="N46" s="128">
        <f>MAX(0,M46-M45)</f>
        <v/>
      </c>
      <c r="O46" s="127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RESUMO'!AT18</f>
        <v/>
      </c>
      <c r="N47" s="128">
        <f>MAX(0,M47-M46)</f>
        <v/>
      </c>
      <c r="O47" s="127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RESUMO'!AU18</f>
        <v/>
      </c>
      <c r="N48" s="128">
        <f>MAX(0,M48-M47)</f>
        <v/>
      </c>
      <c r="O48" s="127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RESUMO'!AV18</f>
        <v/>
      </c>
      <c r="N49" s="128">
        <f>MAX(0,M49-M48)</f>
        <v/>
      </c>
      <c r="O49" s="127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RESUMO'!AW18</f>
        <v/>
      </c>
      <c r="N50" s="128">
        <f>MAX(0,M50-M49)</f>
        <v/>
      </c>
      <c r="O50" s="127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RESUMO'!AX18</f>
        <v/>
      </c>
      <c r="N51" s="128">
        <f>MAX(0,M51-M50)</f>
        <v/>
      </c>
      <c r="O51" s="127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RESUMO'!AY18</f>
        <v/>
      </c>
      <c r="N52" s="128">
        <f>MAX(0,M52-M51)</f>
        <v/>
      </c>
      <c r="O52" s="127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RESUMO'!AZ18</f>
        <v/>
      </c>
      <c r="N53" s="128">
        <f>MAX(0,M53-M52)</f>
        <v/>
      </c>
      <c r="O53" s="127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RESUMO'!BA18</f>
        <v/>
      </c>
      <c r="N54" s="128">
        <f>MAX(0,M54-M53)</f>
        <v/>
      </c>
      <c r="O54" s="127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RESUMO'!BB18</f>
        <v/>
      </c>
      <c r="N55" s="128">
        <f>MAX(0,M55-M54)</f>
        <v/>
      </c>
      <c r="O55" s="127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RESUMO'!BC18</f>
        <v/>
      </c>
      <c r="N56" s="128">
        <f>MAX(0,M56-M55)</f>
        <v/>
      </c>
      <c r="O56" s="127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RESUMO'!BD18</f>
        <v/>
      </c>
      <c r="N57" s="128">
        <f>MAX(0,M57-M56)</f>
        <v/>
      </c>
      <c r="O57" s="127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RESUMO'!BE18</f>
        <v/>
      </c>
      <c r="N58" s="128">
        <f>MAX(0,M58-M57)</f>
        <v/>
      </c>
      <c r="O58" s="127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RESUMO'!BF18</f>
        <v/>
      </c>
      <c r="N59" s="128">
        <f>MAX(0,M59-M58)</f>
        <v/>
      </c>
      <c r="O59" s="127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RESUMO'!BG18</f>
        <v/>
      </c>
      <c r="N60" s="128">
        <f>MAX(0,M60-M59)</f>
        <v/>
      </c>
      <c r="O60" s="127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RESUMO'!BH18</f>
        <v/>
      </c>
      <c r="N61" s="128">
        <f>MAX(0,M61-M60)</f>
        <v/>
      </c>
      <c r="O61" s="127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RESUMO'!BI18</f>
        <v/>
      </c>
      <c r="N62" s="128">
        <f>MAX(0,M62-M61)</f>
        <v/>
      </c>
      <c r="O62" s="127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RESUMO'!BJ18</f>
        <v/>
      </c>
      <c r="N63" s="128">
        <f>MAX(0,M63-M62)</f>
        <v/>
      </c>
      <c r="O63" s="127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RESUMO'!BK18</f>
        <v/>
      </c>
      <c r="N64" s="128">
        <f>MAX(0,M64-M63)</f>
        <v/>
      </c>
      <c r="O64" s="127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RESUMO'!BL18</f>
        <v/>
      </c>
      <c r="N65" s="128">
        <f>MAX(0,M65-M64)</f>
        <v/>
      </c>
      <c r="O65" s="127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RESUMO'!BM18</f>
        <v/>
      </c>
      <c r="N66" s="128">
        <f>MAX(0,M66-M65)</f>
        <v/>
      </c>
      <c r="O66" s="127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RESUMO'!BN18</f>
        <v/>
      </c>
      <c r="N67" s="128">
        <f>MAX(0,M67-M66)</f>
        <v/>
      </c>
      <c r="O67" s="127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RESUMO'!BO18</f>
        <v/>
      </c>
      <c r="N68" s="128">
        <f>MAX(0,M68-M67)</f>
        <v/>
      </c>
      <c r="O68" s="127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RESUMO'!BP18</f>
        <v/>
      </c>
      <c r="N69" s="128">
        <f>MAX(0,M69-M68)</f>
        <v/>
      </c>
      <c r="O69" s="127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RESUMO'!BQ18</f>
        <v/>
      </c>
      <c r="N70" s="128">
        <f>MAX(0,M70-M69)</f>
        <v/>
      </c>
      <c r="O70" s="127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RESUMO'!BR18</f>
        <v/>
      </c>
      <c r="N71" s="128">
        <f>MAX(0,M71-M70)</f>
        <v/>
      </c>
      <c r="O71" s="127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RESUMO'!BS18</f>
        <v/>
      </c>
      <c r="N72" s="128">
        <f>MAX(0,M72-M71)</f>
        <v/>
      </c>
      <c r="O72" s="127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RESUMO'!BT18</f>
        <v/>
      </c>
      <c r="N73" s="128">
        <f>MAX(0,M73-M72)</f>
        <v/>
      </c>
      <c r="O73" s="127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RESUMO'!BU18</f>
        <v/>
      </c>
      <c r="N74" s="128">
        <f>MAX(0,M74-M73)</f>
        <v/>
      </c>
      <c r="O74" s="127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RESUMO'!BV18</f>
        <v/>
      </c>
      <c r="N75" s="128">
        <f>MAX(0,M75-M74)</f>
        <v/>
      </c>
      <c r="O75" s="127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RESUMO'!BW18</f>
        <v/>
      </c>
      <c r="N76" s="128">
        <f>MAX(0,M76-M75)</f>
        <v/>
      </c>
      <c r="O76" s="127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PL'!F25</f>
        <v/>
      </c>
      <c r="K5" s="63">
        <f>'VALOR POR PL'!G25</f>
        <v/>
      </c>
      <c r="M5" s="127">
        <f>'CP RESUMO'!D19</f>
        <v/>
      </c>
      <c r="N5" s="128" t="n">
        <v>0</v>
      </c>
      <c r="O5" s="127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RESUMO'!E19</f>
        <v/>
      </c>
      <c r="N6" s="128">
        <f>MAX(0,M6-M5)</f>
        <v/>
      </c>
      <c r="O6" s="127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PL'!L25</f>
        <v/>
      </c>
      <c r="M7" s="127">
        <f>'CP RESUMO'!F19</f>
        <v/>
      </c>
      <c r="N7" s="128">
        <f>MAX(0,M7-M6)</f>
        <v/>
      </c>
      <c r="O7" s="127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RESUMO'!G19</f>
        <v/>
      </c>
      <c r="N8" s="128">
        <f>MAX(0,M8-M7)</f>
        <v/>
      </c>
      <c r="O8" s="127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RESUMO'!H19</f>
        <v/>
      </c>
      <c r="N9" s="128">
        <f>MAX(0,M9-M8)</f>
        <v/>
      </c>
      <c r="O9" s="127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RESUMO'!I19</f>
        <v/>
      </c>
      <c r="N10" s="128">
        <f>MAX(0,M10-M9)</f>
        <v/>
      </c>
      <c r="O10" s="127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RESUMO'!J19</f>
        <v/>
      </c>
      <c r="N11" s="128">
        <f>MAX(0,M11-M10)</f>
        <v/>
      </c>
      <c r="O11" s="127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RESUMO'!K19</f>
        <v/>
      </c>
      <c r="N12" s="128">
        <f>MAX(0,M12-M11)</f>
        <v/>
      </c>
      <c r="O12" s="127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PL'!I25</f>
        <v/>
      </c>
      <c r="M13" s="127">
        <f>'CP RESUMO'!L19</f>
        <v/>
      </c>
      <c r="N13" s="128">
        <f>MAX(0,M13-M12)</f>
        <v/>
      </c>
      <c r="O13" s="127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7">
        <f>'CP RESUMO'!M19</f>
        <v/>
      </c>
      <c r="N14" s="128">
        <f>MAX(0,M14-M13)</f>
        <v/>
      </c>
      <c r="O14" s="127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RESUMO'!N19</f>
        <v/>
      </c>
      <c r="N15" s="128">
        <f>MAX(0,M15-M14)</f>
        <v/>
      </c>
      <c r="O15" s="127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RESUMO'!O19</f>
        <v/>
      </c>
      <c r="N16" s="128">
        <f>MAX(0,M16-M15)</f>
        <v/>
      </c>
      <c r="O16" s="127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RESUMO'!P19</f>
        <v/>
      </c>
      <c r="N17" s="128">
        <f>MAX(0,M17-M16)</f>
        <v/>
      </c>
      <c r="O17" s="127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RESUMO'!Q19</f>
        <v/>
      </c>
      <c r="N18" s="128">
        <f>MAX(0,M18-M17)</f>
        <v/>
      </c>
      <c r="O18" s="127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RESUMO'!R19</f>
        <v/>
      </c>
      <c r="N19" s="128">
        <f>MAX(0,M19-M18)</f>
        <v/>
      </c>
      <c r="O19" s="127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RESUMO'!S19</f>
        <v/>
      </c>
      <c r="N20" s="128">
        <f>MAX(0,M20-M19)</f>
        <v/>
      </c>
      <c r="O20" s="127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RESUMO'!T19</f>
        <v/>
      </c>
      <c r="N21" s="128">
        <f>MAX(0,M21-M20)</f>
        <v/>
      </c>
      <c r="O21" s="127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RESUMO'!U19</f>
        <v/>
      </c>
      <c r="N22" s="128">
        <f>MAX(0,M22-M21)</f>
        <v/>
      </c>
      <c r="O22" s="127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RESUMO'!V19</f>
        <v/>
      </c>
      <c r="N23" s="128">
        <f>MAX(0,M23-M22)</f>
        <v/>
      </c>
      <c r="O23" s="127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RESUMO'!W19</f>
        <v/>
      </c>
      <c r="N24" s="128">
        <f>MAX(0,M24-M23)</f>
        <v/>
      </c>
      <c r="O24" s="127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RESUMO'!X19</f>
        <v/>
      </c>
      <c r="N25" s="128">
        <f>MAX(0,M25-M24)</f>
        <v/>
      </c>
      <c r="O25" s="127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RESUMO'!Y19</f>
        <v/>
      </c>
      <c r="N26" s="128">
        <f>MAX(0,M26-M25)</f>
        <v/>
      </c>
      <c r="O26" s="127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RESUMO'!Z19</f>
        <v/>
      </c>
      <c r="N27" s="128">
        <f>MAX(0,M27-M26)</f>
        <v/>
      </c>
      <c r="O27" s="127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RESUMO'!AA19</f>
        <v/>
      </c>
      <c r="N28" s="128">
        <f>MAX(0,M28-M27)</f>
        <v/>
      </c>
      <c r="O28" s="127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RESUMO'!AB19</f>
        <v/>
      </c>
      <c r="N29" s="128">
        <f>MAX(0,M29-M28)</f>
        <v/>
      </c>
      <c r="O29" s="127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RESUMO'!AC19</f>
        <v/>
      </c>
      <c r="N30" s="128">
        <f>MAX(0,M30-M29)</f>
        <v/>
      </c>
      <c r="O30" s="127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RESUMO'!AD19</f>
        <v/>
      </c>
      <c r="N31" s="128">
        <f>MAX(0,M31-M30)</f>
        <v/>
      </c>
      <c r="O31" s="127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RESUMO'!AE19</f>
        <v/>
      </c>
      <c r="N32" s="128">
        <f>MAX(0,M32-M31)</f>
        <v/>
      </c>
      <c r="O32" s="127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RESUMO'!AF19</f>
        <v/>
      </c>
      <c r="N33" s="128">
        <f>MAX(0,M33-M32)</f>
        <v/>
      </c>
      <c r="O33" s="127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RESUMO'!AG19</f>
        <v/>
      </c>
      <c r="N34" s="128">
        <f>MAX(0,M34-M33)</f>
        <v/>
      </c>
      <c r="O34" s="127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RESUMO'!AH19</f>
        <v/>
      </c>
      <c r="N35" s="128">
        <f>MAX(0,M35-M34)</f>
        <v/>
      </c>
      <c r="O35" s="127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RESUMO'!AI19</f>
        <v/>
      </c>
      <c r="N36" s="128">
        <f>MAX(0,M36-M35)</f>
        <v/>
      </c>
      <c r="O36" s="127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RESUMO'!AJ19</f>
        <v/>
      </c>
      <c r="N37" s="128">
        <f>MAX(0,M37-M36)</f>
        <v/>
      </c>
      <c r="O37" s="127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RESUMO'!AK19</f>
        <v/>
      </c>
      <c r="N38" s="128">
        <f>MAX(0,M38-M37)</f>
        <v/>
      </c>
      <c r="O38" s="127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RESUMO'!AL19</f>
        <v/>
      </c>
      <c r="N39" s="128">
        <f>MAX(0,M39-M38)</f>
        <v/>
      </c>
      <c r="O39" s="127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RESUMO'!AM19</f>
        <v/>
      </c>
      <c r="N40" s="128">
        <f>MAX(0,M40-M39)</f>
        <v/>
      </c>
      <c r="O40" s="127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RESUMO'!AN19</f>
        <v/>
      </c>
      <c r="N41" s="128">
        <f>MAX(0,M41-M40)</f>
        <v/>
      </c>
      <c r="O41" s="127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RESUMO'!AO19</f>
        <v/>
      </c>
      <c r="N42" s="128">
        <f>MAX(0,M42-M41)</f>
        <v/>
      </c>
      <c r="O42" s="127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RESUMO'!AP19</f>
        <v/>
      </c>
      <c r="N43" s="128">
        <f>MAX(0,M43-M42)</f>
        <v/>
      </c>
      <c r="O43" s="127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RESUMO'!AQ19</f>
        <v/>
      </c>
      <c r="N44" s="128">
        <f>MAX(0,M44-M43)</f>
        <v/>
      </c>
      <c r="O44" s="127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RESUMO'!AR19</f>
        <v/>
      </c>
      <c r="N45" s="128">
        <f>MAX(0,M45-M44)</f>
        <v/>
      </c>
      <c r="O45" s="127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RESUMO'!AS19</f>
        <v/>
      </c>
      <c r="N46" s="128">
        <f>MAX(0,M46-M45)</f>
        <v/>
      </c>
      <c r="O46" s="127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RESUMO'!AT19</f>
        <v/>
      </c>
      <c r="N47" s="128">
        <f>MAX(0,M47-M46)</f>
        <v/>
      </c>
      <c r="O47" s="127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RESUMO'!AU19</f>
        <v/>
      </c>
      <c r="N48" s="128">
        <f>MAX(0,M48-M47)</f>
        <v/>
      </c>
      <c r="O48" s="127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RESUMO'!AV19</f>
        <v/>
      </c>
      <c r="N49" s="128">
        <f>MAX(0,M49-M48)</f>
        <v/>
      </c>
      <c r="O49" s="127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RESUMO'!AW19</f>
        <v/>
      </c>
      <c r="N50" s="128">
        <f>MAX(0,M50-M49)</f>
        <v/>
      </c>
      <c r="O50" s="127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RESUMO'!AX19</f>
        <v/>
      </c>
      <c r="N51" s="128">
        <f>MAX(0,M51-M50)</f>
        <v/>
      </c>
      <c r="O51" s="127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RESUMO'!AY19</f>
        <v/>
      </c>
      <c r="N52" s="128">
        <f>MAX(0,M52-M51)</f>
        <v/>
      </c>
      <c r="O52" s="127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RESUMO'!AZ19</f>
        <v/>
      </c>
      <c r="N53" s="128">
        <f>MAX(0,M53-M52)</f>
        <v/>
      </c>
      <c r="O53" s="127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RESUMO'!BA19</f>
        <v/>
      </c>
      <c r="N54" s="128">
        <f>MAX(0,M54-M53)</f>
        <v/>
      </c>
      <c r="O54" s="127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RESUMO'!BB19</f>
        <v/>
      </c>
      <c r="N55" s="128">
        <f>MAX(0,M55-M54)</f>
        <v/>
      </c>
      <c r="O55" s="127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RESUMO'!BC19</f>
        <v/>
      </c>
      <c r="N56" s="128">
        <f>MAX(0,M56-M55)</f>
        <v/>
      </c>
      <c r="O56" s="127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RESUMO'!BD19</f>
        <v/>
      </c>
      <c r="N57" s="128">
        <f>MAX(0,M57-M56)</f>
        <v/>
      </c>
      <c r="O57" s="127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RESUMO'!BE19</f>
        <v/>
      </c>
      <c r="N58" s="128">
        <f>MAX(0,M58-M57)</f>
        <v/>
      </c>
      <c r="O58" s="127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RESUMO'!BF19</f>
        <v/>
      </c>
      <c r="N59" s="128">
        <f>MAX(0,M59-M58)</f>
        <v/>
      </c>
      <c r="O59" s="127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RESUMO'!BG19</f>
        <v/>
      </c>
      <c r="N60" s="128">
        <f>MAX(0,M60-M59)</f>
        <v/>
      </c>
      <c r="O60" s="127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RESUMO'!BH19</f>
        <v/>
      </c>
      <c r="N61" s="128">
        <f>MAX(0,M61-M60)</f>
        <v/>
      </c>
      <c r="O61" s="127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RESUMO'!BI19</f>
        <v/>
      </c>
      <c r="N62" s="128">
        <f>MAX(0,M62-M61)</f>
        <v/>
      </c>
      <c r="O62" s="127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RESUMO'!BJ19</f>
        <v/>
      </c>
      <c r="N63" s="128">
        <f>MAX(0,M63-M62)</f>
        <v/>
      </c>
      <c r="O63" s="127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RESUMO'!BK19</f>
        <v/>
      </c>
      <c r="N64" s="128">
        <f>MAX(0,M64-M63)</f>
        <v/>
      </c>
      <c r="O64" s="127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RESUMO'!BL19</f>
        <v/>
      </c>
      <c r="N65" s="128">
        <f>MAX(0,M65-M64)</f>
        <v/>
      </c>
      <c r="O65" s="127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RESUMO'!BM19</f>
        <v/>
      </c>
      <c r="N66" s="128">
        <f>MAX(0,M66-M65)</f>
        <v/>
      </c>
      <c r="O66" s="127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RESUMO'!BN19</f>
        <v/>
      </c>
      <c r="N67" s="128">
        <f>MAX(0,M67-M66)</f>
        <v/>
      </c>
      <c r="O67" s="127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RESUMO'!BO19</f>
        <v/>
      </c>
      <c r="N68" s="128">
        <f>MAX(0,M68-M67)</f>
        <v/>
      </c>
      <c r="O68" s="127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RESUMO'!BP19</f>
        <v/>
      </c>
      <c r="N69" s="128">
        <f>MAX(0,M69-M68)</f>
        <v/>
      </c>
      <c r="O69" s="127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RESUMO'!BQ19</f>
        <v/>
      </c>
      <c r="N70" s="128">
        <f>MAX(0,M70-M69)</f>
        <v/>
      </c>
      <c r="O70" s="127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RESUMO'!BR19</f>
        <v/>
      </c>
      <c r="N71" s="128">
        <f>MAX(0,M71-M70)</f>
        <v/>
      </c>
      <c r="O71" s="127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RESUMO'!BS19</f>
        <v/>
      </c>
      <c r="N72" s="128">
        <f>MAX(0,M72-M71)</f>
        <v/>
      </c>
      <c r="O72" s="127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RESUMO'!BT19</f>
        <v/>
      </c>
      <c r="N73" s="128">
        <f>MAX(0,M73-M72)</f>
        <v/>
      </c>
      <c r="O73" s="127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RESUMO'!BU19</f>
        <v/>
      </c>
      <c r="N74" s="128">
        <f>MAX(0,M74-M73)</f>
        <v/>
      </c>
      <c r="O74" s="127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RESUMO'!BV19</f>
        <v/>
      </c>
      <c r="N75" s="128">
        <f>MAX(0,M75-M74)</f>
        <v/>
      </c>
      <c r="O75" s="127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RESUMO'!BW19</f>
        <v/>
      </c>
      <c r="N76" s="128">
        <f>MAX(0,M76-M75)</f>
        <v/>
      </c>
      <c r="O76" s="127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PL'!F26</f>
        <v/>
      </c>
      <c r="K5" s="63">
        <f>'VALOR POR PL'!G26</f>
        <v/>
      </c>
      <c r="M5" s="127">
        <f>'CP RESUMO'!D20</f>
        <v/>
      </c>
      <c r="N5" s="128" t="n">
        <v>0</v>
      </c>
      <c r="O5" s="127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RESUMO'!E20</f>
        <v/>
      </c>
      <c r="N6" s="128">
        <f>MAX(0,M6-M5)</f>
        <v/>
      </c>
      <c r="O6" s="127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PL'!L26</f>
        <v/>
      </c>
      <c r="M7" s="127">
        <f>'CP RESUMO'!F20</f>
        <v/>
      </c>
      <c r="N7" s="128">
        <f>MAX(0,M7-M6)</f>
        <v/>
      </c>
      <c r="O7" s="127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RESUMO'!G20</f>
        <v/>
      </c>
      <c r="N8" s="128">
        <f>MAX(0,M8-M7)</f>
        <v/>
      </c>
      <c r="O8" s="127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RESUMO'!H20</f>
        <v/>
      </c>
      <c r="N9" s="128">
        <f>MAX(0,M9-M8)</f>
        <v/>
      </c>
      <c r="O9" s="127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RESUMO'!I20</f>
        <v/>
      </c>
      <c r="N10" s="128">
        <f>MAX(0,M10-M9)</f>
        <v/>
      </c>
      <c r="O10" s="127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RESUMO'!J20</f>
        <v/>
      </c>
      <c r="N11" s="128">
        <f>MAX(0,M11-M10)</f>
        <v/>
      </c>
      <c r="O11" s="127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RESUMO'!K20</f>
        <v/>
      </c>
      <c r="N12" s="128">
        <f>MAX(0,M12-M11)</f>
        <v/>
      </c>
      <c r="O12" s="127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PL'!I26</f>
        <v/>
      </c>
      <c r="M13" s="127">
        <f>'CP RESUMO'!L20</f>
        <v/>
      </c>
      <c r="N13" s="128">
        <f>MAX(0,M13-M12)</f>
        <v/>
      </c>
      <c r="O13" s="127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7">
        <f>'CP RESUMO'!M20</f>
        <v/>
      </c>
      <c r="N14" s="128">
        <f>MAX(0,M14-M13)</f>
        <v/>
      </c>
      <c r="O14" s="127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RESUMO'!N20</f>
        <v/>
      </c>
      <c r="N15" s="128">
        <f>MAX(0,M15-M14)</f>
        <v/>
      </c>
      <c r="O15" s="127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RESUMO'!O20</f>
        <v/>
      </c>
      <c r="N16" s="128">
        <f>MAX(0,M16-M15)</f>
        <v/>
      </c>
      <c r="O16" s="127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RESUMO'!P20</f>
        <v/>
      </c>
      <c r="N17" s="128">
        <f>MAX(0,M17-M16)</f>
        <v/>
      </c>
      <c r="O17" s="127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RESUMO'!Q20</f>
        <v/>
      </c>
      <c r="N18" s="128">
        <f>MAX(0,M18-M17)</f>
        <v/>
      </c>
      <c r="O18" s="127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RESUMO'!R20</f>
        <v/>
      </c>
      <c r="N19" s="128">
        <f>MAX(0,M19-M18)</f>
        <v/>
      </c>
      <c r="O19" s="127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RESUMO'!S20</f>
        <v/>
      </c>
      <c r="N20" s="128">
        <f>MAX(0,M20-M19)</f>
        <v/>
      </c>
      <c r="O20" s="127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RESUMO'!T20</f>
        <v/>
      </c>
      <c r="N21" s="128">
        <f>MAX(0,M21-M20)</f>
        <v/>
      </c>
      <c r="O21" s="127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RESUMO'!U20</f>
        <v/>
      </c>
      <c r="N22" s="128">
        <f>MAX(0,M22-M21)</f>
        <v/>
      </c>
      <c r="O22" s="127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RESUMO'!V20</f>
        <v/>
      </c>
      <c r="N23" s="128">
        <f>MAX(0,M23-M22)</f>
        <v/>
      </c>
      <c r="O23" s="127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RESUMO'!W20</f>
        <v/>
      </c>
      <c r="N24" s="128">
        <f>MAX(0,M24-M23)</f>
        <v/>
      </c>
      <c r="O24" s="127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RESUMO'!X20</f>
        <v/>
      </c>
      <c r="N25" s="128">
        <f>MAX(0,M25-M24)</f>
        <v/>
      </c>
      <c r="O25" s="127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RESUMO'!Y20</f>
        <v/>
      </c>
      <c r="N26" s="128">
        <f>MAX(0,M26-M25)</f>
        <v/>
      </c>
      <c r="O26" s="127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RESUMO'!Z20</f>
        <v/>
      </c>
      <c r="N27" s="128">
        <f>MAX(0,M27-M26)</f>
        <v/>
      </c>
      <c r="O27" s="127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RESUMO'!AA20</f>
        <v/>
      </c>
      <c r="N28" s="128">
        <f>MAX(0,M28-M27)</f>
        <v/>
      </c>
      <c r="O28" s="127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RESUMO'!AB20</f>
        <v/>
      </c>
      <c r="N29" s="128">
        <f>MAX(0,M29-M28)</f>
        <v/>
      </c>
      <c r="O29" s="127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RESUMO'!AC20</f>
        <v/>
      </c>
      <c r="N30" s="128">
        <f>MAX(0,M30-M29)</f>
        <v/>
      </c>
      <c r="O30" s="127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RESUMO'!AD20</f>
        <v/>
      </c>
      <c r="N31" s="128">
        <f>MAX(0,M31-M30)</f>
        <v/>
      </c>
      <c r="O31" s="127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RESUMO'!AE20</f>
        <v/>
      </c>
      <c r="N32" s="128">
        <f>MAX(0,M32-M31)</f>
        <v/>
      </c>
      <c r="O32" s="127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RESUMO'!AF20</f>
        <v/>
      </c>
      <c r="N33" s="128">
        <f>MAX(0,M33-M32)</f>
        <v/>
      </c>
      <c r="O33" s="127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RESUMO'!AG20</f>
        <v/>
      </c>
      <c r="N34" s="128">
        <f>MAX(0,M34-M33)</f>
        <v/>
      </c>
      <c r="O34" s="127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RESUMO'!AH20</f>
        <v/>
      </c>
      <c r="N35" s="128">
        <f>MAX(0,M35-M34)</f>
        <v/>
      </c>
      <c r="O35" s="127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RESUMO'!AI20</f>
        <v/>
      </c>
      <c r="N36" s="128">
        <f>MAX(0,M36-M35)</f>
        <v/>
      </c>
      <c r="O36" s="127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RESUMO'!AJ20</f>
        <v/>
      </c>
      <c r="N37" s="128">
        <f>MAX(0,M37-M36)</f>
        <v/>
      </c>
      <c r="O37" s="127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RESUMO'!AK20</f>
        <v/>
      </c>
      <c r="N38" s="128">
        <f>MAX(0,M38-M37)</f>
        <v/>
      </c>
      <c r="O38" s="127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RESUMO'!AL20</f>
        <v/>
      </c>
      <c r="N39" s="128">
        <f>MAX(0,M39-M38)</f>
        <v/>
      </c>
      <c r="O39" s="127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RESUMO'!AM20</f>
        <v/>
      </c>
      <c r="N40" s="128">
        <f>MAX(0,M40-M39)</f>
        <v/>
      </c>
      <c r="O40" s="127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RESUMO'!AN20</f>
        <v/>
      </c>
      <c r="N41" s="128">
        <f>MAX(0,M41-M40)</f>
        <v/>
      </c>
      <c r="O41" s="127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RESUMO'!AO20</f>
        <v/>
      </c>
      <c r="N42" s="128">
        <f>MAX(0,M42-M41)</f>
        <v/>
      </c>
      <c r="O42" s="127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RESUMO'!AP20</f>
        <v/>
      </c>
      <c r="N43" s="128">
        <f>MAX(0,M43-M42)</f>
        <v/>
      </c>
      <c r="O43" s="127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RESUMO'!AQ20</f>
        <v/>
      </c>
      <c r="N44" s="128">
        <f>MAX(0,M44-M43)</f>
        <v/>
      </c>
      <c r="O44" s="127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RESUMO'!AR20</f>
        <v/>
      </c>
      <c r="N45" s="128">
        <f>MAX(0,M45-M44)</f>
        <v/>
      </c>
      <c r="O45" s="127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RESUMO'!AS20</f>
        <v/>
      </c>
      <c r="N46" s="128">
        <f>MAX(0,M46-M45)</f>
        <v/>
      </c>
      <c r="O46" s="127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RESUMO'!AT20</f>
        <v/>
      </c>
      <c r="N47" s="128">
        <f>MAX(0,M47-M46)</f>
        <v/>
      </c>
      <c r="O47" s="127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RESUMO'!AU20</f>
        <v/>
      </c>
      <c r="N48" s="128">
        <f>MAX(0,M48-M47)</f>
        <v/>
      </c>
      <c r="O48" s="127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RESUMO'!AV20</f>
        <v/>
      </c>
      <c r="N49" s="128">
        <f>MAX(0,M49-M48)</f>
        <v/>
      </c>
      <c r="O49" s="127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RESUMO'!AW20</f>
        <v/>
      </c>
      <c r="N50" s="128">
        <f>MAX(0,M50-M49)</f>
        <v/>
      </c>
      <c r="O50" s="127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RESUMO'!AX20</f>
        <v/>
      </c>
      <c r="N51" s="128">
        <f>MAX(0,M51-M50)</f>
        <v/>
      </c>
      <c r="O51" s="127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RESUMO'!AY20</f>
        <v/>
      </c>
      <c r="N52" s="128">
        <f>MAX(0,M52-M51)</f>
        <v/>
      </c>
      <c r="O52" s="127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RESUMO'!AZ20</f>
        <v/>
      </c>
      <c r="N53" s="128">
        <f>MAX(0,M53-M52)</f>
        <v/>
      </c>
      <c r="O53" s="127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RESUMO'!BA20</f>
        <v/>
      </c>
      <c r="N54" s="128">
        <f>MAX(0,M54-M53)</f>
        <v/>
      </c>
      <c r="O54" s="127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RESUMO'!BB20</f>
        <v/>
      </c>
      <c r="N55" s="128">
        <f>MAX(0,M55-M54)</f>
        <v/>
      </c>
      <c r="O55" s="127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RESUMO'!BC20</f>
        <v/>
      </c>
      <c r="N56" s="128">
        <f>MAX(0,M56-M55)</f>
        <v/>
      </c>
      <c r="O56" s="127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RESUMO'!BD20</f>
        <v/>
      </c>
      <c r="N57" s="128">
        <f>MAX(0,M57-M56)</f>
        <v/>
      </c>
      <c r="O57" s="127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RESUMO'!BE20</f>
        <v/>
      </c>
      <c r="N58" s="128">
        <f>MAX(0,M58-M57)</f>
        <v/>
      </c>
      <c r="O58" s="127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RESUMO'!BF20</f>
        <v/>
      </c>
      <c r="N59" s="128">
        <f>MAX(0,M59-M58)</f>
        <v/>
      </c>
      <c r="O59" s="127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RESUMO'!BG20</f>
        <v/>
      </c>
      <c r="N60" s="128">
        <f>MAX(0,M60-M59)</f>
        <v/>
      </c>
      <c r="O60" s="127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RESUMO'!BH20</f>
        <v/>
      </c>
      <c r="N61" s="128">
        <f>MAX(0,M61-M60)</f>
        <v/>
      </c>
      <c r="O61" s="127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RESUMO'!BI20</f>
        <v/>
      </c>
      <c r="N62" s="128">
        <f>MAX(0,M62-M61)</f>
        <v/>
      </c>
      <c r="O62" s="127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RESUMO'!BJ20</f>
        <v/>
      </c>
      <c r="N63" s="128">
        <f>MAX(0,M63-M62)</f>
        <v/>
      </c>
      <c r="O63" s="127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RESUMO'!BK20</f>
        <v/>
      </c>
      <c r="N64" s="128">
        <f>MAX(0,M64-M63)</f>
        <v/>
      </c>
      <c r="O64" s="127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RESUMO'!BL20</f>
        <v/>
      </c>
      <c r="N65" s="128">
        <f>MAX(0,M65-M64)</f>
        <v/>
      </c>
      <c r="O65" s="127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RESUMO'!BM20</f>
        <v/>
      </c>
      <c r="N66" s="128">
        <f>MAX(0,M66-M65)</f>
        <v/>
      </c>
      <c r="O66" s="127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RESUMO'!BN20</f>
        <v/>
      </c>
      <c r="N67" s="128">
        <f>MAX(0,M67-M66)</f>
        <v/>
      </c>
      <c r="O67" s="127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RESUMO'!BO20</f>
        <v/>
      </c>
      <c r="N68" s="128">
        <f>MAX(0,M68-M67)</f>
        <v/>
      </c>
      <c r="O68" s="127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RESUMO'!BP20</f>
        <v/>
      </c>
      <c r="N69" s="128">
        <f>MAX(0,M69-M68)</f>
        <v/>
      </c>
      <c r="O69" s="127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RESUMO'!BQ20</f>
        <v/>
      </c>
      <c r="N70" s="128">
        <f>MAX(0,M70-M69)</f>
        <v/>
      </c>
      <c r="O70" s="127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RESUMO'!BR20</f>
        <v/>
      </c>
      <c r="N71" s="128">
        <f>MAX(0,M71-M70)</f>
        <v/>
      </c>
      <c r="O71" s="127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RESUMO'!BS20</f>
        <v/>
      </c>
      <c r="N72" s="128">
        <f>MAX(0,M72-M71)</f>
        <v/>
      </c>
      <c r="O72" s="127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RESUMO'!BT20</f>
        <v/>
      </c>
      <c r="N73" s="128">
        <f>MAX(0,M73-M72)</f>
        <v/>
      </c>
      <c r="O73" s="127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RESUMO'!BU20</f>
        <v/>
      </c>
      <c r="N74" s="128">
        <f>MAX(0,M74-M73)</f>
        <v/>
      </c>
      <c r="O74" s="127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RESUMO'!BV20</f>
        <v/>
      </c>
      <c r="N75" s="128">
        <f>MAX(0,M75-M74)</f>
        <v/>
      </c>
      <c r="O75" s="127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RESUMO'!BW20</f>
        <v/>
      </c>
      <c r="N76" s="128">
        <f>MAX(0,M76-M75)</f>
        <v/>
      </c>
      <c r="O76" s="127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PL'!F27</f>
        <v/>
      </c>
      <c r="K5" s="63">
        <f>'VALOR POR PL'!G27</f>
        <v/>
      </c>
      <c r="M5" s="127">
        <f>'CP RESUMO'!D21</f>
        <v/>
      </c>
      <c r="N5" s="128" t="n">
        <v>0</v>
      </c>
      <c r="O5" s="127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RESUMO'!E21</f>
        <v/>
      </c>
      <c r="N6" s="128">
        <f>MAX(0,M6-M5)</f>
        <v/>
      </c>
      <c r="O6" s="127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PL'!L27</f>
        <v/>
      </c>
      <c r="M7" s="127">
        <f>'CP RESUMO'!F21</f>
        <v/>
      </c>
      <c r="N7" s="128">
        <f>MAX(0,M7-M6)</f>
        <v/>
      </c>
      <c r="O7" s="127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RESUMO'!G21</f>
        <v/>
      </c>
      <c r="N8" s="128">
        <f>MAX(0,M8-M7)</f>
        <v/>
      </c>
      <c r="O8" s="127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RESUMO'!H21</f>
        <v/>
      </c>
      <c r="N9" s="128">
        <f>MAX(0,M9-M8)</f>
        <v/>
      </c>
      <c r="O9" s="127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RESUMO'!I21</f>
        <v/>
      </c>
      <c r="N10" s="128">
        <f>MAX(0,M10-M9)</f>
        <v/>
      </c>
      <c r="O10" s="127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RESUMO'!J21</f>
        <v/>
      </c>
      <c r="N11" s="128">
        <f>MAX(0,M11-M10)</f>
        <v/>
      </c>
      <c r="O11" s="127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RESUMO'!K21</f>
        <v/>
      </c>
      <c r="N12" s="128">
        <f>MAX(0,M12-M11)</f>
        <v/>
      </c>
      <c r="O12" s="127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PL'!I27</f>
        <v/>
      </c>
      <c r="M13" s="127">
        <f>'CP RESUMO'!L21</f>
        <v/>
      </c>
      <c r="N13" s="128">
        <f>MAX(0,M13-M12)</f>
        <v/>
      </c>
      <c r="O13" s="127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7">
        <f>'CP RESUMO'!M21</f>
        <v/>
      </c>
      <c r="N14" s="128">
        <f>MAX(0,M14-M13)</f>
        <v/>
      </c>
      <c r="O14" s="127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RESUMO'!N21</f>
        <v/>
      </c>
      <c r="N15" s="128">
        <f>MAX(0,M15-M14)</f>
        <v/>
      </c>
      <c r="O15" s="127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RESUMO'!O21</f>
        <v/>
      </c>
      <c r="N16" s="128">
        <f>MAX(0,M16-M15)</f>
        <v/>
      </c>
      <c r="O16" s="127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RESUMO'!P21</f>
        <v/>
      </c>
      <c r="N17" s="128">
        <f>MAX(0,M17-M16)</f>
        <v/>
      </c>
      <c r="O17" s="127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RESUMO'!Q21</f>
        <v/>
      </c>
      <c r="N18" s="128">
        <f>MAX(0,M18-M17)</f>
        <v/>
      </c>
      <c r="O18" s="127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RESUMO'!R21</f>
        <v/>
      </c>
      <c r="N19" s="128">
        <f>MAX(0,M19-M18)</f>
        <v/>
      </c>
      <c r="O19" s="127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RESUMO'!S21</f>
        <v/>
      </c>
      <c r="N20" s="128">
        <f>MAX(0,M20-M19)</f>
        <v/>
      </c>
      <c r="O20" s="127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RESUMO'!T21</f>
        <v/>
      </c>
      <c r="N21" s="128">
        <f>MAX(0,M21-M20)</f>
        <v/>
      </c>
      <c r="O21" s="127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RESUMO'!U21</f>
        <v/>
      </c>
      <c r="N22" s="128">
        <f>MAX(0,M22-M21)</f>
        <v/>
      </c>
      <c r="O22" s="127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RESUMO'!V21</f>
        <v/>
      </c>
      <c r="N23" s="128">
        <f>MAX(0,M23-M22)</f>
        <v/>
      </c>
      <c r="O23" s="127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RESUMO'!W21</f>
        <v/>
      </c>
      <c r="N24" s="128">
        <f>MAX(0,M24-M23)</f>
        <v/>
      </c>
      <c r="O24" s="127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RESUMO'!X21</f>
        <v/>
      </c>
      <c r="N25" s="128">
        <f>MAX(0,M25-M24)</f>
        <v/>
      </c>
      <c r="O25" s="127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RESUMO'!Y21</f>
        <v/>
      </c>
      <c r="N26" s="128">
        <f>MAX(0,M26-M25)</f>
        <v/>
      </c>
      <c r="O26" s="127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RESUMO'!Z21</f>
        <v/>
      </c>
      <c r="N27" s="128">
        <f>MAX(0,M27-M26)</f>
        <v/>
      </c>
      <c r="O27" s="127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RESUMO'!AA21</f>
        <v/>
      </c>
      <c r="N28" s="128">
        <f>MAX(0,M28-M27)</f>
        <v/>
      </c>
      <c r="O28" s="127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RESUMO'!AB21</f>
        <v/>
      </c>
      <c r="N29" s="128">
        <f>MAX(0,M29-M28)</f>
        <v/>
      </c>
      <c r="O29" s="127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RESUMO'!AC21</f>
        <v/>
      </c>
      <c r="N30" s="128">
        <f>MAX(0,M30-M29)</f>
        <v/>
      </c>
      <c r="O30" s="127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RESUMO'!AD21</f>
        <v/>
      </c>
      <c r="N31" s="128">
        <f>MAX(0,M31-M30)</f>
        <v/>
      </c>
      <c r="O31" s="127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RESUMO'!AE21</f>
        <v/>
      </c>
      <c r="N32" s="128">
        <f>MAX(0,M32-M31)</f>
        <v/>
      </c>
      <c r="O32" s="127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RESUMO'!AF21</f>
        <v/>
      </c>
      <c r="N33" s="128">
        <f>MAX(0,M33-M32)</f>
        <v/>
      </c>
      <c r="O33" s="127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RESUMO'!AG21</f>
        <v/>
      </c>
      <c r="N34" s="128">
        <f>MAX(0,M34-M33)</f>
        <v/>
      </c>
      <c r="O34" s="127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RESUMO'!AH21</f>
        <v/>
      </c>
      <c r="N35" s="128">
        <f>MAX(0,M35-M34)</f>
        <v/>
      </c>
      <c r="O35" s="127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RESUMO'!AI21</f>
        <v/>
      </c>
      <c r="N36" s="128">
        <f>MAX(0,M36-M35)</f>
        <v/>
      </c>
      <c r="O36" s="127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RESUMO'!AJ21</f>
        <v/>
      </c>
      <c r="N37" s="128">
        <f>MAX(0,M37-M36)</f>
        <v/>
      </c>
      <c r="O37" s="127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RESUMO'!AK21</f>
        <v/>
      </c>
      <c r="N38" s="128">
        <f>MAX(0,M38-M37)</f>
        <v/>
      </c>
      <c r="O38" s="127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RESUMO'!AL21</f>
        <v/>
      </c>
      <c r="N39" s="128">
        <f>MAX(0,M39-M38)</f>
        <v/>
      </c>
      <c r="O39" s="127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RESUMO'!AM21</f>
        <v/>
      </c>
      <c r="N40" s="128">
        <f>MAX(0,M40-M39)</f>
        <v/>
      </c>
      <c r="O40" s="127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RESUMO'!AN21</f>
        <v/>
      </c>
      <c r="N41" s="128">
        <f>MAX(0,M41-M40)</f>
        <v/>
      </c>
      <c r="O41" s="127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RESUMO'!AO21</f>
        <v/>
      </c>
      <c r="N42" s="128">
        <f>MAX(0,M42-M41)</f>
        <v/>
      </c>
      <c r="O42" s="127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RESUMO'!AP21</f>
        <v/>
      </c>
      <c r="N43" s="128">
        <f>MAX(0,M43-M42)</f>
        <v/>
      </c>
      <c r="O43" s="127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RESUMO'!AQ21</f>
        <v/>
      </c>
      <c r="N44" s="128">
        <f>MAX(0,M44-M43)</f>
        <v/>
      </c>
      <c r="O44" s="127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RESUMO'!AR21</f>
        <v/>
      </c>
      <c r="N45" s="128">
        <f>MAX(0,M45-M44)</f>
        <v/>
      </c>
      <c r="O45" s="127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RESUMO'!AS21</f>
        <v/>
      </c>
      <c r="N46" s="128">
        <f>MAX(0,M46-M45)</f>
        <v/>
      </c>
      <c r="O46" s="127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RESUMO'!AT21</f>
        <v/>
      </c>
      <c r="N47" s="128">
        <f>MAX(0,M47-M46)</f>
        <v/>
      </c>
      <c r="O47" s="127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RESUMO'!AU21</f>
        <v/>
      </c>
      <c r="N48" s="128">
        <f>MAX(0,M48-M47)</f>
        <v/>
      </c>
      <c r="O48" s="127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RESUMO'!AV21</f>
        <v/>
      </c>
      <c r="N49" s="128">
        <f>MAX(0,M49-M48)</f>
        <v/>
      </c>
      <c r="O49" s="127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RESUMO'!AW21</f>
        <v/>
      </c>
      <c r="N50" s="128">
        <f>MAX(0,M50-M49)</f>
        <v/>
      </c>
      <c r="O50" s="127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RESUMO'!AX21</f>
        <v/>
      </c>
      <c r="N51" s="128">
        <f>MAX(0,M51-M50)</f>
        <v/>
      </c>
      <c r="O51" s="127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RESUMO'!AY21</f>
        <v/>
      </c>
      <c r="N52" s="128">
        <f>MAX(0,M52-M51)</f>
        <v/>
      </c>
      <c r="O52" s="127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RESUMO'!AZ21</f>
        <v/>
      </c>
      <c r="N53" s="128">
        <f>MAX(0,M53-M52)</f>
        <v/>
      </c>
      <c r="O53" s="127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RESUMO'!BA21</f>
        <v/>
      </c>
      <c r="N54" s="128">
        <f>MAX(0,M54-M53)</f>
        <v/>
      </c>
      <c r="O54" s="127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RESUMO'!BB21</f>
        <v/>
      </c>
      <c r="N55" s="128">
        <f>MAX(0,M55-M54)</f>
        <v/>
      </c>
      <c r="O55" s="127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RESUMO'!BC21</f>
        <v/>
      </c>
      <c r="N56" s="128">
        <f>MAX(0,M56-M55)</f>
        <v/>
      </c>
      <c r="O56" s="127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RESUMO'!BD21</f>
        <v/>
      </c>
      <c r="N57" s="128">
        <f>MAX(0,M57-M56)</f>
        <v/>
      </c>
      <c r="O57" s="127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RESUMO'!BE21</f>
        <v/>
      </c>
      <c r="N58" s="128">
        <f>MAX(0,M58-M57)</f>
        <v/>
      </c>
      <c r="O58" s="127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RESUMO'!BF21</f>
        <v/>
      </c>
      <c r="N59" s="128">
        <f>MAX(0,M59-M58)</f>
        <v/>
      </c>
      <c r="O59" s="127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RESUMO'!BG21</f>
        <v/>
      </c>
      <c r="N60" s="128">
        <f>MAX(0,M60-M59)</f>
        <v/>
      </c>
      <c r="O60" s="127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RESUMO'!BH21</f>
        <v/>
      </c>
      <c r="N61" s="128">
        <f>MAX(0,M61-M60)</f>
        <v/>
      </c>
      <c r="O61" s="127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RESUMO'!BI21</f>
        <v/>
      </c>
      <c r="N62" s="128">
        <f>MAX(0,M62-M61)</f>
        <v/>
      </c>
      <c r="O62" s="127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RESUMO'!BJ21</f>
        <v/>
      </c>
      <c r="N63" s="128">
        <f>MAX(0,M63-M62)</f>
        <v/>
      </c>
      <c r="O63" s="127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RESUMO'!BK21</f>
        <v/>
      </c>
      <c r="N64" s="128">
        <f>MAX(0,M64-M63)</f>
        <v/>
      </c>
      <c r="O64" s="127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RESUMO'!BL21</f>
        <v/>
      </c>
      <c r="N65" s="128">
        <f>MAX(0,M65-M64)</f>
        <v/>
      </c>
      <c r="O65" s="127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RESUMO'!BM21</f>
        <v/>
      </c>
      <c r="N66" s="128">
        <f>MAX(0,M66-M65)</f>
        <v/>
      </c>
      <c r="O66" s="127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RESUMO'!BN21</f>
        <v/>
      </c>
      <c r="N67" s="128">
        <f>MAX(0,M67-M66)</f>
        <v/>
      </c>
      <c r="O67" s="127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RESUMO'!BO21</f>
        <v/>
      </c>
      <c r="N68" s="128">
        <f>MAX(0,M68-M67)</f>
        <v/>
      </c>
      <c r="O68" s="127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RESUMO'!BP21</f>
        <v/>
      </c>
      <c r="N69" s="128">
        <f>MAX(0,M69-M68)</f>
        <v/>
      </c>
      <c r="O69" s="127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RESUMO'!BQ21</f>
        <v/>
      </c>
      <c r="N70" s="128">
        <f>MAX(0,M70-M69)</f>
        <v/>
      </c>
      <c r="O70" s="127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RESUMO'!BR21</f>
        <v/>
      </c>
      <c r="N71" s="128">
        <f>MAX(0,M71-M70)</f>
        <v/>
      </c>
      <c r="O71" s="127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RESUMO'!BS21</f>
        <v/>
      </c>
      <c r="N72" s="128">
        <f>MAX(0,M72-M71)</f>
        <v/>
      </c>
      <c r="O72" s="127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RESUMO'!BT21</f>
        <v/>
      </c>
      <c r="N73" s="128">
        <f>MAX(0,M73-M72)</f>
        <v/>
      </c>
      <c r="O73" s="127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RESUMO'!BU21</f>
        <v/>
      </c>
      <c r="N74" s="128">
        <f>MAX(0,M74-M73)</f>
        <v/>
      </c>
      <c r="O74" s="127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RESUMO'!BV21</f>
        <v/>
      </c>
      <c r="N75" s="128">
        <f>MAX(0,M75-M74)</f>
        <v/>
      </c>
      <c r="O75" s="127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RESUMO'!BW21</f>
        <v/>
      </c>
      <c r="N76" s="128">
        <f>MAX(0,M76-M75)</f>
        <v/>
      </c>
      <c r="O76" s="127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PL'!F28</f>
        <v/>
      </c>
      <c r="K5" s="63">
        <f>'VALOR POR PL'!G28</f>
        <v/>
      </c>
      <c r="M5" s="127">
        <f>'CP RESUMO'!D22</f>
        <v/>
      </c>
      <c r="N5" s="128" t="n">
        <v>0</v>
      </c>
      <c r="O5" s="127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RESUMO'!E22</f>
        <v/>
      </c>
      <c r="N6" s="128">
        <f>MAX(0,M6-M5)</f>
        <v/>
      </c>
      <c r="O6" s="127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PL'!L28</f>
        <v/>
      </c>
      <c r="M7" s="127">
        <f>'CP RESUMO'!F22</f>
        <v/>
      </c>
      <c r="N7" s="128">
        <f>MAX(0,M7-M6)</f>
        <v/>
      </c>
      <c r="O7" s="127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RESUMO'!G22</f>
        <v/>
      </c>
      <c r="N8" s="128">
        <f>MAX(0,M8-M7)</f>
        <v/>
      </c>
      <c r="O8" s="127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RESUMO'!H22</f>
        <v/>
      </c>
      <c r="N9" s="128">
        <f>MAX(0,M9-M8)</f>
        <v/>
      </c>
      <c r="O9" s="127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RESUMO'!I22</f>
        <v/>
      </c>
      <c r="N10" s="128">
        <f>MAX(0,M10-M9)</f>
        <v/>
      </c>
      <c r="O10" s="127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RESUMO'!J22</f>
        <v/>
      </c>
      <c r="N11" s="128">
        <f>MAX(0,M11-M10)</f>
        <v/>
      </c>
      <c r="O11" s="127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RESUMO'!K22</f>
        <v/>
      </c>
      <c r="N12" s="128">
        <f>MAX(0,M12-M11)</f>
        <v/>
      </c>
      <c r="O12" s="127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PL'!I28</f>
        <v/>
      </c>
      <c r="M13" s="127">
        <f>'CP RESUMO'!L22</f>
        <v/>
      </c>
      <c r="N13" s="128">
        <f>MAX(0,M13-M12)</f>
        <v/>
      </c>
      <c r="O13" s="127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7">
        <f>'CP RESUMO'!M22</f>
        <v/>
      </c>
      <c r="N14" s="128">
        <f>MAX(0,M14-M13)</f>
        <v/>
      </c>
      <c r="O14" s="127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RESUMO'!N22</f>
        <v/>
      </c>
      <c r="N15" s="128">
        <f>MAX(0,M15-M14)</f>
        <v/>
      </c>
      <c r="O15" s="127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RESUMO'!O22</f>
        <v/>
      </c>
      <c r="N16" s="128">
        <f>MAX(0,M16-M15)</f>
        <v/>
      </c>
      <c r="O16" s="127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RESUMO'!P22</f>
        <v/>
      </c>
      <c r="N17" s="128">
        <f>MAX(0,M17-M16)</f>
        <v/>
      </c>
      <c r="O17" s="127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RESUMO'!Q22</f>
        <v/>
      </c>
      <c r="N18" s="128">
        <f>MAX(0,M18-M17)</f>
        <v/>
      </c>
      <c r="O18" s="127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RESUMO'!R22</f>
        <v/>
      </c>
      <c r="N19" s="128">
        <f>MAX(0,M19-M18)</f>
        <v/>
      </c>
      <c r="O19" s="127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RESUMO'!S22</f>
        <v/>
      </c>
      <c r="N20" s="128">
        <f>MAX(0,M20-M19)</f>
        <v/>
      </c>
      <c r="O20" s="127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RESUMO'!T22</f>
        <v/>
      </c>
      <c r="N21" s="128">
        <f>MAX(0,M21-M20)</f>
        <v/>
      </c>
      <c r="O21" s="127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RESUMO'!U22</f>
        <v/>
      </c>
      <c r="N22" s="128">
        <f>MAX(0,M22-M21)</f>
        <v/>
      </c>
      <c r="O22" s="127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RESUMO'!V22</f>
        <v/>
      </c>
      <c r="N23" s="128">
        <f>MAX(0,M23-M22)</f>
        <v/>
      </c>
      <c r="O23" s="127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RESUMO'!W22</f>
        <v/>
      </c>
      <c r="N24" s="128">
        <f>MAX(0,M24-M23)</f>
        <v/>
      </c>
      <c r="O24" s="127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RESUMO'!X22</f>
        <v/>
      </c>
      <c r="N25" s="128">
        <f>MAX(0,M25-M24)</f>
        <v/>
      </c>
      <c r="O25" s="127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RESUMO'!Y22</f>
        <v/>
      </c>
      <c r="N26" s="128">
        <f>MAX(0,M26-M25)</f>
        <v/>
      </c>
      <c r="O26" s="127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RESUMO'!Z22</f>
        <v/>
      </c>
      <c r="N27" s="128">
        <f>MAX(0,M27-M26)</f>
        <v/>
      </c>
      <c r="O27" s="127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RESUMO'!AA22</f>
        <v/>
      </c>
      <c r="N28" s="128">
        <f>MAX(0,M28-M27)</f>
        <v/>
      </c>
      <c r="O28" s="127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RESUMO'!AB22</f>
        <v/>
      </c>
      <c r="N29" s="128">
        <f>MAX(0,M29-M28)</f>
        <v/>
      </c>
      <c r="O29" s="127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RESUMO'!AC22</f>
        <v/>
      </c>
      <c r="N30" s="128">
        <f>MAX(0,M30-M29)</f>
        <v/>
      </c>
      <c r="O30" s="127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RESUMO'!AD22</f>
        <v/>
      </c>
      <c r="N31" s="128">
        <f>MAX(0,M31-M30)</f>
        <v/>
      </c>
      <c r="O31" s="127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RESUMO'!AE22</f>
        <v/>
      </c>
      <c r="N32" s="128">
        <f>MAX(0,M32-M31)</f>
        <v/>
      </c>
      <c r="O32" s="127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RESUMO'!AF22</f>
        <v/>
      </c>
      <c r="N33" s="128">
        <f>MAX(0,M33-M32)</f>
        <v/>
      </c>
      <c r="O33" s="127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RESUMO'!AG22</f>
        <v/>
      </c>
      <c r="N34" s="128">
        <f>MAX(0,M34-M33)</f>
        <v/>
      </c>
      <c r="O34" s="127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RESUMO'!AH22</f>
        <v/>
      </c>
      <c r="N35" s="128">
        <f>MAX(0,M35-M34)</f>
        <v/>
      </c>
      <c r="O35" s="127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RESUMO'!AI22</f>
        <v/>
      </c>
      <c r="N36" s="128">
        <f>MAX(0,M36-M35)</f>
        <v/>
      </c>
      <c r="O36" s="127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RESUMO'!AJ22</f>
        <v/>
      </c>
      <c r="N37" s="128">
        <f>MAX(0,M37-M36)</f>
        <v/>
      </c>
      <c r="O37" s="127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RESUMO'!AK22</f>
        <v/>
      </c>
      <c r="N38" s="128">
        <f>MAX(0,M38-M37)</f>
        <v/>
      </c>
      <c r="O38" s="127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RESUMO'!AL22</f>
        <v/>
      </c>
      <c r="N39" s="128">
        <f>MAX(0,M39-M38)</f>
        <v/>
      </c>
      <c r="O39" s="127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RESUMO'!AM22</f>
        <v/>
      </c>
      <c r="N40" s="128">
        <f>MAX(0,M40-M39)</f>
        <v/>
      </c>
      <c r="O40" s="127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RESUMO'!AN22</f>
        <v/>
      </c>
      <c r="N41" s="128">
        <f>MAX(0,M41-M40)</f>
        <v/>
      </c>
      <c r="O41" s="127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RESUMO'!AO22</f>
        <v/>
      </c>
      <c r="N42" s="128">
        <f>MAX(0,M42-M41)</f>
        <v/>
      </c>
      <c r="O42" s="127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RESUMO'!AP22</f>
        <v/>
      </c>
      <c r="N43" s="128">
        <f>MAX(0,M43-M42)</f>
        <v/>
      </c>
      <c r="O43" s="127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RESUMO'!AQ22</f>
        <v/>
      </c>
      <c r="N44" s="128">
        <f>MAX(0,M44-M43)</f>
        <v/>
      </c>
      <c r="O44" s="127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RESUMO'!AR22</f>
        <v/>
      </c>
      <c r="N45" s="128">
        <f>MAX(0,M45-M44)</f>
        <v/>
      </c>
      <c r="O45" s="127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RESUMO'!AS22</f>
        <v/>
      </c>
      <c r="N46" s="128">
        <f>MAX(0,M46-M45)</f>
        <v/>
      </c>
      <c r="O46" s="127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RESUMO'!AT22</f>
        <v/>
      </c>
      <c r="N47" s="128">
        <f>MAX(0,M47-M46)</f>
        <v/>
      </c>
      <c r="O47" s="127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RESUMO'!AU22</f>
        <v/>
      </c>
      <c r="N48" s="128">
        <f>MAX(0,M48-M47)</f>
        <v/>
      </c>
      <c r="O48" s="127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RESUMO'!AV22</f>
        <v/>
      </c>
      <c r="N49" s="128">
        <f>MAX(0,M49-M48)</f>
        <v/>
      </c>
      <c r="O49" s="127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RESUMO'!AW22</f>
        <v/>
      </c>
      <c r="N50" s="128">
        <f>MAX(0,M50-M49)</f>
        <v/>
      </c>
      <c r="O50" s="127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RESUMO'!AX22</f>
        <v/>
      </c>
      <c r="N51" s="128">
        <f>MAX(0,M51-M50)</f>
        <v/>
      </c>
      <c r="O51" s="127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RESUMO'!AY22</f>
        <v/>
      </c>
      <c r="N52" s="128">
        <f>MAX(0,M52-M51)</f>
        <v/>
      </c>
      <c r="O52" s="127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RESUMO'!AZ22</f>
        <v/>
      </c>
      <c r="N53" s="128">
        <f>MAX(0,M53-M52)</f>
        <v/>
      </c>
      <c r="O53" s="127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RESUMO'!BA22</f>
        <v/>
      </c>
      <c r="N54" s="128">
        <f>MAX(0,M54-M53)</f>
        <v/>
      </c>
      <c r="O54" s="127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RESUMO'!BB22</f>
        <v/>
      </c>
      <c r="N55" s="128">
        <f>MAX(0,M55-M54)</f>
        <v/>
      </c>
      <c r="O55" s="127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RESUMO'!BC22</f>
        <v/>
      </c>
      <c r="N56" s="128">
        <f>MAX(0,M56-M55)</f>
        <v/>
      </c>
      <c r="O56" s="127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RESUMO'!BD22</f>
        <v/>
      </c>
      <c r="N57" s="128">
        <f>MAX(0,M57-M56)</f>
        <v/>
      </c>
      <c r="O57" s="127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RESUMO'!BE22</f>
        <v/>
      </c>
      <c r="N58" s="128">
        <f>MAX(0,M58-M57)</f>
        <v/>
      </c>
      <c r="O58" s="127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RESUMO'!BF22</f>
        <v/>
      </c>
      <c r="N59" s="128">
        <f>MAX(0,M59-M58)</f>
        <v/>
      </c>
      <c r="O59" s="127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RESUMO'!BG22</f>
        <v/>
      </c>
      <c r="N60" s="128">
        <f>MAX(0,M60-M59)</f>
        <v/>
      </c>
      <c r="O60" s="127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RESUMO'!BH22</f>
        <v/>
      </c>
      <c r="N61" s="128">
        <f>MAX(0,M61-M60)</f>
        <v/>
      </c>
      <c r="O61" s="127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RESUMO'!BI22</f>
        <v/>
      </c>
      <c r="N62" s="128">
        <f>MAX(0,M62-M61)</f>
        <v/>
      </c>
      <c r="O62" s="127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RESUMO'!BJ22</f>
        <v/>
      </c>
      <c r="N63" s="128">
        <f>MAX(0,M63-M62)</f>
        <v/>
      </c>
      <c r="O63" s="127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RESUMO'!BK22</f>
        <v/>
      </c>
      <c r="N64" s="128">
        <f>MAX(0,M64-M63)</f>
        <v/>
      </c>
      <c r="O64" s="127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RESUMO'!BL22</f>
        <v/>
      </c>
      <c r="N65" s="128">
        <f>MAX(0,M65-M64)</f>
        <v/>
      </c>
      <c r="O65" s="127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RESUMO'!BM22</f>
        <v/>
      </c>
      <c r="N66" s="128">
        <f>MAX(0,M66-M65)</f>
        <v/>
      </c>
      <c r="O66" s="127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RESUMO'!BN22</f>
        <v/>
      </c>
      <c r="N67" s="128">
        <f>MAX(0,M67-M66)</f>
        <v/>
      </c>
      <c r="O67" s="127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RESUMO'!BO22</f>
        <v/>
      </c>
      <c r="N68" s="128">
        <f>MAX(0,M68-M67)</f>
        <v/>
      </c>
      <c r="O68" s="127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RESUMO'!BP22</f>
        <v/>
      </c>
      <c r="N69" s="128">
        <f>MAX(0,M69-M68)</f>
        <v/>
      </c>
      <c r="O69" s="127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RESUMO'!BQ22</f>
        <v/>
      </c>
      <c r="N70" s="128">
        <f>MAX(0,M70-M69)</f>
        <v/>
      </c>
      <c r="O70" s="127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RESUMO'!BR22</f>
        <v/>
      </c>
      <c r="N71" s="128">
        <f>MAX(0,M71-M70)</f>
        <v/>
      </c>
      <c r="O71" s="127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RESUMO'!BS22</f>
        <v/>
      </c>
      <c r="N72" s="128">
        <f>MAX(0,M72-M71)</f>
        <v/>
      </c>
      <c r="O72" s="127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RESUMO'!BT22</f>
        <v/>
      </c>
      <c r="N73" s="128">
        <f>MAX(0,M73-M72)</f>
        <v/>
      </c>
      <c r="O73" s="127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RESUMO'!BU22</f>
        <v/>
      </c>
      <c r="N74" s="128">
        <f>MAX(0,M74-M73)</f>
        <v/>
      </c>
      <c r="O74" s="127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RESUMO'!BV22</f>
        <v/>
      </c>
      <c r="N75" s="128">
        <f>MAX(0,M75-M74)</f>
        <v/>
      </c>
      <c r="O75" s="127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RESUMO'!BW22</f>
        <v/>
      </c>
      <c r="N76" s="128">
        <f>MAX(0,M76-M75)</f>
        <v/>
      </c>
      <c r="O76" s="127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PL'!F29</f>
        <v/>
      </c>
      <c r="K5" s="63">
        <f>'VALOR POR PL'!G29</f>
        <v/>
      </c>
      <c r="M5" s="127">
        <f>'CP RESUMO'!D23</f>
        <v/>
      </c>
      <c r="N5" s="128" t="n">
        <v>0</v>
      </c>
      <c r="O5" s="127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RESUMO'!E23</f>
        <v/>
      </c>
      <c r="N6" s="128">
        <f>MAX(0,M6-M5)</f>
        <v/>
      </c>
      <c r="O6" s="127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PL'!L29</f>
        <v/>
      </c>
      <c r="M7" s="127">
        <f>'CP RESUMO'!F23</f>
        <v/>
      </c>
      <c r="N7" s="128">
        <f>MAX(0,M7-M6)</f>
        <v/>
      </c>
      <c r="O7" s="127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RESUMO'!G23</f>
        <v/>
      </c>
      <c r="N8" s="128">
        <f>MAX(0,M8-M7)</f>
        <v/>
      </c>
      <c r="O8" s="127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RESUMO'!H23</f>
        <v/>
      </c>
      <c r="N9" s="128">
        <f>MAX(0,M9-M8)</f>
        <v/>
      </c>
      <c r="O9" s="127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RESUMO'!I23</f>
        <v/>
      </c>
      <c r="N10" s="128">
        <f>MAX(0,M10-M9)</f>
        <v/>
      </c>
      <c r="O10" s="127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RESUMO'!J23</f>
        <v/>
      </c>
      <c r="N11" s="128">
        <f>MAX(0,M11-M10)</f>
        <v/>
      </c>
      <c r="O11" s="127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RESUMO'!K23</f>
        <v/>
      </c>
      <c r="N12" s="128">
        <f>MAX(0,M12-M11)</f>
        <v/>
      </c>
      <c r="O12" s="127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PL'!I29</f>
        <v/>
      </c>
      <c r="M13" s="127">
        <f>'CP RESUMO'!L23</f>
        <v/>
      </c>
      <c r="N13" s="128">
        <f>MAX(0,M13-M12)</f>
        <v/>
      </c>
      <c r="O13" s="127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7">
        <f>'CP RESUMO'!M23</f>
        <v/>
      </c>
      <c r="N14" s="128">
        <f>MAX(0,M14-M13)</f>
        <v/>
      </c>
      <c r="O14" s="127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RESUMO'!N23</f>
        <v/>
      </c>
      <c r="N15" s="128">
        <f>MAX(0,M15-M14)</f>
        <v/>
      </c>
      <c r="O15" s="127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RESUMO'!O23</f>
        <v/>
      </c>
      <c r="N16" s="128">
        <f>MAX(0,M16-M15)</f>
        <v/>
      </c>
      <c r="O16" s="127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RESUMO'!P23</f>
        <v/>
      </c>
      <c r="N17" s="128">
        <f>MAX(0,M17-M16)</f>
        <v/>
      </c>
      <c r="O17" s="127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RESUMO'!Q23</f>
        <v/>
      </c>
      <c r="N18" s="128">
        <f>MAX(0,M18-M17)</f>
        <v/>
      </c>
      <c r="O18" s="127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RESUMO'!R23</f>
        <v/>
      </c>
      <c r="N19" s="128">
        <f>MAX(0,M19-M18)</f>
        <v/>
      </c>
      <c r="O19" s="127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RESUMO'!S23</f>
        <v/>
      </c>
      <c r="N20" s="128">
        <f>MAX(0,M20-M19)</f>
        <v/>
      </c>
      <c r="O20" s="127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RESUMO'!T23</f>
        <v/>
      </c>
      <c r="N21" s="128">
        <f>MAX(0,M21-M20)</f>
        <v/>
      </c>
      <c r="O21" s="127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RESUMO'!U23</f>
        <v/>
      </c>
      <c r="N22" s="128">
        <f>MAX(0,M22-M21)</f>
        <v/>
      </c>
      <c r="O22" s="127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RESUMO'!V23</f>
        <v/>
      </c>
      <c r="N23" s="128">
        <f>MAX(0,M23-M22)</f>
        <v/>
      </c>
      <c r="O23" s="127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RESUMO'!W23</f>
        <v/>
      </c>
      <c r="N24" s="128">
        <f>MAX(0,M24-M23)</f>
        <v/>
      </c>
      <c r="O24" s="127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RESUMO'!X23</f>
        <v/>
      </c>
      <c r="N25" s="128">
        <f>MAX(0,M25-M24)</f>
        <v/>
      </c>
      <c r="O25" s="127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RESUMO'!Y23</f>
        <v/>
      </c>
      <c r="N26" s="128">
        <f>MAX(0,M26-M25)</f>
        <v/>
      </c>
      <c r="O26" s="127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RESUMO'!Z23</f>
        <v/>
      </c>
      <c r="N27" s="128">
        <f>MAX(0,M27-M26)</f>
        <v/>
      </c>
      <c r="O27" s="127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RESUMO'!AA23</f>
        <v/>
      </c>
      <c r="N28" s="128">
        <f>MAX(0,M28-M27)</f>
        <v/>
      </c>
      <c r="O28" s="127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RESUMO'!AB23</f>
        <v/>
      </c>
      <c r="N29" s="128">
        <f>MAX(0,M29-M28)</f>
        <v/>
      </c>
      <c r="O29" s="127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RESUMO'!AC23</f>
        <v/>
      </c>
      <c r="N30" s="128">
        <f>MAX(0,M30-M29)</f>
        <v/>
      </c>
      <c r="O30" s="127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RESUMO'!AD23</f>
        <v/>
      </c>
      <c r="N31" s="128">
        <f>MAX(0,M31-M30)</f>
        <v/>
      </c>
      <c r="O31" s="127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RESUMO'!AE23</f>
        <v/>
      </c>
      <c r="N32" s="128">
        <f>MAX(0,M32-M31)</f>
        <v/>
      </c>
      <c r="O32" s="127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RESUMO'!AF23</f>
        <v/>
      </c>
      <c r="N33" s="128">
        <f>MAX(0,M33-M32)</f>
        <v/>
      </c>
      <c r="O33" s="127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RESUMO'!AG23</f>
        <v/>
      </c>
      <c r="N34" s="128">
        <f>MAX(0,M34-M33)</f>
        <v/>
      </c>
      <c r="O34" s="127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RESUMO'!AH23</f>
        <v/>
      </c>
      <c r="N35" s="128">
        <f>MAX(0,M35-M34)</f>
        <v/>
      </c>
      <c r="O35" s="127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RESUMO'!AI23</f>
        <v/>
      </c>
      <c r="N36" s="128">
        <f>MAX(0,M36-M35)</f>
        <v/>
      </c>
      <c r="O36" s="127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RESUMO'!AJ23</f>
        <v/>
      </c>
      <c r="N37" s="128">
        <f>MAX(0,M37-M36)</f>
        <v/>
      </c>
      <c r="O37" s="127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RESUMO'!AK23</f>
        <v/>
      </c>
      <c r="N38" s="128">
        <f>MAX(0,M38-M37)</f>
        <v/>
      </c>
      <c r="O38" s="127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RESUMO'!AL23</f>
        <v/>
      </c>
      <c r="N39" s="128">
        <f>MAX(0,M39-M38)</f>
        <v/>
      </c>
      <c r="O39" s="127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RESUMO'!AM23</f>
        <v/>
      </c>
      <c r="N40" s="128">
        <f>MAX(0,M40-M39)</f>
        <v/>
      </c>
      <c r="O40" s="127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RESUMO'!AN23</f>
        <v/>
      </c>
      <c r="N41" s="128">
        <f>MAX(0,M41-M40)</f>
        <v/>
      </c>
      <c r="O41" s="127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RESUMO'!AO23</f>
        <v/>
      </c>
      <c r="N42" s="128">
        <f>MAX(0,M42-M41)</f>
        <v/>
      </c>
      <c r="O42" s="127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RESUMO'!AP23</f>
        <v/>
      </c>
      <c r="N43" s="128">
        <f>MAX(0,M43-M42)</f>
        <v/>
      </c>
      <c r="O43" s="127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RESUMO'!AQ23</f>
        <v/>
      </c>
      <c r="N44" s="128">
        <f>MAX(0,M44-M43)</f>
        <v/>
      </c>
      <c r="O44" s="127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RESUMO'!AR23</f>
        <v/>
      </c>
      <c r="N45" s="128">
        <f>MAX(0,M45-M44)</f>
        <v/>
      </c>
      <c r="O45" s="127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RESUMO'!AS23</f>
        <v/>
      </c>
      <c r="N46" s="128">
        <f>MAX(0,M46-M45)</f>
        <v/>
      </c>
      <c r="O46" s="127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RESUMO'!AT23</f>
        <v/>
      </c>
      <c r="N47" s="128">
        <f>MAX(0,M47-M46)</f>
        <v/>
      </c>
      <c r="O47" s="127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RESUMO'!AU23</f>
        <v/>
      </c>
      <c r="N48" s="128">
        <f>MAX(0,M48-M47)</f>
        <v/>
      </c>
      <c r="O48" s="127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RESUMO'!AV23</f>
        <v/>
      </c>
      <c r="N49" s="128">
        <f>MAX(0,M49-M48)</f>
        <v/>
      </c>
      <c r="O49" s="127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RESUMO'!AW23</f>
        <v/>
      </c>
      <c r="N50" s="128">
        <f>MAX(0,M50-M49)</f>
        <v/>
      </c>
      <c r="O50" s="127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RESUMO'!AX23</f>
        <v/>
      </c>
      <c r="N51" s="128">
        <f>MAX(0,M51-M50)</f>
        <v/>
      </c>
      <c r="O51" s="127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RESUMO'!AY23</f>
        <v/>
      </c>
      <c r="N52" s="128">
        <f>MAX(0,M52-M51)</f>
        <v/>
      </c>
      <c r="O52" s="127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RESUMO'!AZ23</f>
        <v/>
      </c>
      <c r="N53" s="128">
        <f>MAX(0,M53-M52)</f>
        <v/>
      </c>
      <c r="O53" s="127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RESUMO'!BA23</f>
        <v/>
      </c>
      <c r="N54" s="128">
        <f>MAX(0,M54-M53)</f>
        <v/>
      </c>
      <c r="O54" s="127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RESUMO'!BB23</f>
        <v/>
      </c>
      <c r="N55" s="128">
        <f>MAX(0,M55-M54)</f>
        <v/>
      </c>
      <c r="O55" s="127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RESUMO'!BC23</f>
        <v/>
      </c>
      <c r="N56" s="128">
        <f>MAX(0,M56-M55)</f>
        <v/>
      </c>
      <c r="O56" s="127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RESUMO'!BD23</f>
        <v/>
      </c>
      <c r="N57" s="128">
        <f>MAX(0,M57-M56)</f>
        <v/>
      </c>
      <c r="O57" s="127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RESUMO'!BE23</f>
        <v/>
      </c>
      <c r="N58" s="128">
        <f>MAX(0,M58-M57)</f>
        <v/>
      </c>
      <c r="O58" s="127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RESUMO'!BF23</f>
        <v/>
      </c>
      <c r="N59" s="128">
        <f>MAX(0,M59-M58)</f>
        <v/>
      </c>
      <c r="O59" s="127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RESUMO'!BG23</f>
        <v/>
      </c>
      <c r="N60" s="128">
        <f>MAX(0,M60-M59)</f>
        <v/>
      </c>
      <c r="O60" s="127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RESUMO'!BH23</f>
        <v/>
      </c>
      <c r="N61" s="128">
        <f>MAX(0,M61-M60)</f>
        <v/>
      </c>
      <c r="O61" s="127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RESUMO'!BI23</f>
        <v/>
      </c>
      <c r="N62" s="128">
        <f>MAX(0,M62-M61)</f>
        <v/>
      </c>
      <c r="O62" s="127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RESUMO'!BJ23</f>
        <v/>
      </c>
      <c r="N63" s="128">
        <f>MAX(0,M63-M62)</f>
        <v/>
      </c>
      <c r="O63" s="127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RESUMO'!BK23</f>
        <v/>
      </c>
      <c r="N64" s="128">
        <f>MAX(0,M64-M63)</f>
        <v/>
      </c>
      <c r="O64" s="127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RESUMO'!BL23</f>
        <v/>
      </c>
      <c r="N65" s="128">
        <f>MAX(0,M65-M64)</f>
        <v/>
      </c>
      <c r="O65" s="127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RESUMO'!BM23</f>
        <v/>
      </c>
      <c r="N66" s="128">
        <f>MAX(0,M66-M65)</f>
        <v/>
      </c>
      <c r="O66" s="127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RESUMO'!BN23</f>
        <v/>
      </c>
      <c r="N67" s="128">
        <f>MAX(0,M67-M66)</f>
        <v/>
      </c>
      <c r="O67" s="127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RESUMO'!BO23</f>
        <v/>
      </c>
      <c r="N68" s="128">
        <f>MAX(0,M68-M67)</f>
        <v/>
      </c>
      <c r="O68" s="127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RESUMO'!BP23</f>
        <v/>
      </c>
      <c r="N69" s="128">
        <f>MAX(0,M69-M68)</f>
        <v/>
      </c>
      <c r="O69" s="127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RESUMO'!BQ23</f>
        <v/>
      </c>
      <c r="N70" s="128">
        <f>MAX(0,M70-M69)</f>
        <v/>
      </c>
      <c r="O70" s="127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RESUMO'!BR23</f>
        <v/>
      </c>
      <c r="N71" s="128">
        <f>MAX(0,M71-M70)</f>
        <v/>
      </c>
      <c r="O71" s="127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RESUMO'!BS23</f>
        <v/>
      </c>
      <c r="N72" s="128">
        <f>MAX(0,M72-M71)</f>
        <v/>
      </c>
      <c r="O72" s="127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RESUMO'!BT23</f>
        <v/>
      </c>
      <c r="N73" s="128">
        <f>MAX(0,M73-M72)</f>
        <v/>
      </c>
      <c r="O73" s="127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RESUMO'!BU23</f>
        <v/>
      </c>
      <c r="N74" s="128">
        <f>MAX(0,M74-M73)</f>
        <v/>
      </c>
      <c r="O74" s="127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RESUMO'!BV23</f>
        <v/>
      </c>
      <c r="N75" s="128">
        <f>MAX(0,M75-M74)</f>
        <v/>
      </c>
      <c r="O75" s="127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RESUMO'!BW23</f>
        <v/>
      </c>
      <c r="N76" s="128">
        <f>MAX(0,M76-M75)</f>
        <v/>
      </c>
      <c r="O76" s="127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PL'!F30</f>
        <v/>
      </c>
      <c r="K5" s="63">
        <f>'VALOR POR PL'!G30</f>
        <v/>
      </c>
      <c r="M5" s="127">
        <f>'CP RESUMO'!D24</f>
        <v/>
      </c>
      <c r="N5" s="128" t="n">
        <v>0</v>
      </c>
      <c r="O5" s="127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RESUMO'!E24</f>
        <v/>
      </c>
      <c r="N6" s="128">
        <f>MAX(0,M6-M5)</f>
        <v/>
      </c>
      <c r="O6" s="127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PL'!L30</f>
        <v/>
      </c>
      <c r="M7" s="127">
        <f>'CP RESUMO'!F24</f>
        <v/>
      </c>
      <c r="N7" s="128">
        <f>MAX(0,M7-M6)</f>
        <v/>
      </c>
      <c r="O7" s="127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RESUMO'!G24</f>
        <v/>
      </c>
      <c r="N8" s="128">
        <f>MAX(0,M8-M7)</f>
        <v/>
      </c>
      <c r="O8" s="127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RESUMO'!H24</f>
        <v/>
      </c>
      <c r="N9" s="128">
        <f>MAX(0,M9-M8)</f>
        <v/>
      </c>
      <c r="O9" s="127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RESUMO'!I24</f>
        <v/>
      </c>
      <c r="N10" s="128">
        <f>MAX(0,M10-M9)</f>
        <v/>
      </c>
      <c r="O10" s="127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RESUMO'!J24</f>
        <v/>
      </c>
      <c r="N11" s="128">
        <f>MAX(0,M11-M10)</f>
        <v/>
      </c>
      <c r="O11" s="127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RESUMO'!K24</f>
        <v/>
      </c>
      <c r="N12" s="128">
        <f>MAX(0,M12-M11)</f>
        <v/>
      </c>
      <c r="O12" s="127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PL'!I30</f>
        <v/>
      </c>
      <c r="M13" s="127">
        <f>'CP RESUMO'!L24</f>
        <v/>
      </c>
      <c r="N13" s="128">
        <f>MAX(0,M13-M12)</f>
        <v/>
      </c>
      <c r="O13" s="127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7">
        <f>'CP RESUMO'!M24</f>
        <v/>
      </c>
      <c r="N14" s="128">
        <f>MAX(0,M14-M13)</f>
        <v/>
      </c>
      <c r="O14" s="127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RESUMO'!N24</f>
        <v/>
      </c>
      <c r="N15" s="128">
        <f>MAX(0,M15-M14)</f>
        <v/>
      </c>
      <c r="O15" s="127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RESUMO'!O24</f>
        <v/>
      </c>
      <c r="N16" s="128">
        <f>MAX(0,M16-M15)</f>
        <v/>
      </c>
      <c r="O16" s="127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RESUMO'!P24</f>
        <v/>
      </c>
      <c r="N17" s="128">
        <f>MAX(0,M17-M16)</f>
        <v/>
      </c>
      <c r="O17" s="127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RESUMO'!Q24</f>
        <v/>
      </c>
      <c r="N18" s="128">
        <f>MAX(0,M18-M17)</f>
        <v/>
      </c>
      <c r="O18" s="127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RESUMO'!R24</f>
        <v/>
      </c>
      <c r="N19" s="128">
        <f>MAX(0,M19-M18)</f>
        <v/>
      </c>
      <c r="O19" s="127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RESUMO'!S24</f>
        <v/>
      </c>
      <c r="N20" s="128">
        <f>MAX(0,M20-M19)</f>
        <v/>
      </c>
      <c r="O20" s="127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RESUMO'!T24</f>
        <v/>
      </c>
      <c r="N21" s="128">
        <f>MAX(0,M21-M20)</f>
        <v/>
      </c>
      <c r="O21" s="127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RESUMO'!U24</f>
        <v/>
      </c>
      <c r="N22" s="128">
        <f>MAX(0,M22-M21)</f>
        <v/>
      </c>
      <c r="O22" s="127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RESUMO'!V24</f>
        <v/>
      </c>
      <c r="N23" s="128">
        <f>MAX(0,M23-M22)</f>
        <v/>
      </c>
      <c r="O23" s="127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RESUMO'!W24</f>
        <v/>
      </c>
      <c r="N24" s="128">
        <f>MAX(0,M24-M23)</f>
        <v/>
      </c>
      <c r="O24" s="127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RESUMO'!X24</f>
        <v/>
      </c>
      <c r="N25" s="128">
        <f>MAX(0,M25-M24)</f>
        <v/>
      </c>
      <c r="O25" s="127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RESUMO'!Y24</f>
        <v/>
      </c>
      <c r="N26" s="128">
        <f>MAX(0,M26-M25)</f>
        <v/>
      </c>
      <c r="O26" s="127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RESUMO'!Z24</f>
        <v/>
      </c>
      <c r="N27" s="128">
        <f>MAX(0,M27-M26)</f>
        <v/>
      </c>
      <c r="O27" s="127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RESUMO'!AA24</f>
        <v/>
      </c>
      <c r="N28" s="128">
        <f>MAX(0,M28-M27)</f>
        <v/>
      </c>
      <c r="O28" s="127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RESUMO'!AB24</f>
        <v/>
      </c>
      <c r="N29" s="128">
        <f>MAX(0,M29-M28)</f>
        <v/>
      </c>
      <c r="O29" s="127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RESUMO'!AC24</f>
        <v/>
      </c>
      <c r="N30" s="128">
        <f>MAX(0,M30-M29)</f>
        <v/>
      </c>
      <c r="O30" s="127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RESUMO'!AD24</f>
        <v/>
      </c>
      <c r="N31" s="128">
        <f>MAX(0,M31-M30)</f>
        <v/>
      </c>
      <c r="O31" s="127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RESUMO'!AE24</f>
        <v/>
      </c>
      <c r="N32" s="128">
        <f>MAX(0,M32-M31)</f>
        <v/>
      </c>
      <c r="O32" s="127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RESUMO'!AF24</f>
        <v/>
      </c>
      <c r="N33" s="128">
        <f>MAX(0,M33-M32)</f>
        <v/>
      </c>
      <c r="O33" s="127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RESUMO'!AG24</f>
        <v/>
      </c>
      <c r="N34" s="128">
        <f>MAX(0,M34-M33)</f>
        <v/>
      </c>
      <c r="O34" s="127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RESUMO'!AH24</f>
        <v/>
      </c>
      <c r="N35" s="128">
        <f>MAX(0,M35-M34)</f>
        <v/>
      </c>
      <c r="O35" s="127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RESUMO'!AI24</f>
        <v/>
      </c>
      <c r="N36" s="128">
        <f>MAX(0,M36-M35)</f>
        <v/>
      </c>
      <c r="O36" s="127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RESUMO'!AJ24</f>
        <v/>
      </c>
      <c r="N37" s="128">
        <f>MAX(0,M37-M36)</f>
        <v/>
      </c>
      <c r="O37" s="127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RESUMO'!AK24</f>
        <v/>
      </c>
      <c r="N38" s="128">
        <f>MAX(0,M38-M37)</f>
        <v/>
      </c>
      <c r="O38" s="127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RESUMO'!AL24</f>
        <v/>
      </c>
      <c r="N39" s="128">
        <f>MAX(0,M39-M38)</f>
        <v/>
      </c>
      <c r="O39" s="127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RESUMO'!AM24</f>
        <v/>
      </c>
      <c r="N40" s="128">
        <f>MAX(0,M40-M39)</f>
        <v/>
      </c>
      <c r="O40" s="127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RESUMO'!AN24</f>
        <v/>
      </c>
      <c r="N41" s="128">
        <f>MAX(0,M41-M40)</f>
        <v/>
      </c>
      <c r="O41" s="127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RESUMO'!AO24</f>
        <v/>
      </c>
      <c r="N42" s="128">
        <f>MAX(0,M42-M41)</f>
        <v/>
      </c>
      <c r="O42" s="127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RESUMO'!AP24</f>
        <v/>
      </c>
      <c r="N43" s="128">
        <f>MAX(0,M43-M42)</f>
        <v/>
      </c>
      <c r="O43" s="127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RESUMO'!AQ24</f>
        <v/>
      </c>
      <c r="N44" s="128">
        <f>MAX(0,M44-M43)</f>
        <v/>
      </c>
      <c r="O44" s="127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RESUMO'!AR24</f>
        <v/>
      </c>
      <c r="N45" s="128">
        <f>MAX(0,M45-M44)</f>
        <v/>
      </c>
      <c r="O45" s="127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RESUMO'!AS24</f>
        <v/>
      </c>
      <c r="N46" s="128">
        <f>MAX(0,M46-M45)</f>
        <v/>
      </c>
      <c r="O46" s="127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RESUMO'!AT24</f>
        <v/>
      </c>
      <c r="N47" s="128">
        <f>MAX(0,M47-M46)</f>
        <v/>
      </c>
      <c r="O47" s="127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RESUMO'!AU24</f>
        <v/>
      </c>
      <c r="N48" s="128">
        <f>MAX(0,M48-M47)</f>
        <v/>
      </c>
      <c r="O48" s="127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RESUMO'!AV24</f>
        <v/>
      </c>
      <c r="N49" s="128">
        <f>MAX(0,M49-M48)</f>
        <v/>
      </c>
      <c r="O49" s="127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RESUMO'!AW24</f>
        <v/>
      </c>
      <c r="N50" s="128">
        <f>MAX(0,M50-M49)</f>
        <v/>
      </c>
      <c r="O50" s="127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RESUMO'!AX24</f>
        <v/>
      </c>
      <c r="N51" s="128">
        <f>MAX(0,M51-M50)</f>
        <v/>
      </c>
      <c r="O51" s="127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RESUMO'!AY24</f>
        <v/>
      </c>
      <c r="N52" s="128">
        <f>MAX(0,M52-M51)</f>
        <v/>
      </c>
      <c r="O52" s="127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RESUMO'!AZ24</f>
        <v/>
      </c>
      <c r="N53" s="128">
        <f>MAX(0,M53-M52)</f>
        <v/>
      </c>
      <c r="O53" s="127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RESUMO'!BA24</f>
        <v/>
      </c>
      <c r="N54" s="128">
        <f>MAX(0,M54-M53)</f>
        <v/>
      </c>
      <c r="O54" s="127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RESUMO'!BB24</f>
        <v/>
      </c>
      <c r="N55" s="128">
        <f>MAX(0,M55-M54)</f>
        <v/>
      </c>
      <c r="O55" s="127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RESUMO'!BC24</f>
        <v/>
      </c>
      <c r="N56" s="128">
        <f>MAX(0,M56-M55)</f>
        <v/>
      </c>
      <c r="O56" s="127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RESUMO'!BD24</f>
        <v/>
      </c>
      <c r="N57" s="128">
        <f>MAX(0,M57-M56)</f>
        <v/>
      </c>
      <c r="O57" s="127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RESUMO'!BE24</f>
        <v/>
      </c>
      <c r="N58" s="128">
        <f>MAX(0,M58-M57)</f>
        <v/>
      </c>
      <c r="O58" s="127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RESUMO'!BF24</f>
        <v/>
      </c>
      <c r="N59" s="128">
        <f>MAX(0,M59-M58)</f>
        <v/>
      </c>
      <c r="O59" s="127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RESUMO'!BG24</f>
        <v/>
      </c>
      <c r="N60" s="128">
        <f>MAX(0,M60-M59)</f>
        <v/>
      </c>
      <c r="O60" s="127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RESUMO'!BH24</f>
        <v/>
      </c>
      <c r="N61" s="128">
        <f>MAX(0,M61-M60)</f>
        <v/>
      </c>
      <c r="O61" s="127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RESUMO'!BI24</f>
        <v/>
      </c>
      <c r="N62" s="128">
        <f>MAX(0,M62-M61)</f>
        <v/>
      </c>
      <c r="O62" s="127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RESUMO'!BJ24</f>
        <v/>
      </c>
      <c r="N63" s="128">
        <f>MAX(0,M63-M62)</f>
        <v/>
      </c>
      <c r="O63" s="127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RESUMO'!BK24</f>
        <v/>
      </c>
      <c r="N64" s="128">
        <f>MAX(0,M64-M63)</f>
        <v/>
      </c>
      <c r="O64" s="127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RESUMO'!BL24</f>
        <v/>
      </c>
      <c r="N65" s="128">
        <f>MAX(0,M65-M64)</f>
        <v/>
      </c>
      <c r="O65" s="127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RESUMO'!BM24</f>
        <v/>
      </c>
      <c r="N66" s="128">
        <f>MAX(0,M66-M65)</f>
        <v/>
      </c>
      <c r="O66" s="127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RESUMO'!BN24</f>
        <v/>
      </c>
      <c r="N67" s="128">
        <f>MAX(0,M67-M66)</f>
        <v/>
      </c>
      <c r="O67" s="127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RESUMO'!BO24</f>
        <v/>
      </c>
      <c r="N68" s="128">
        <f>MAX(0,M68-M67)</f>
        <v/>
      </c>
      <c r="O68" s="127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RESUMO'!BP24</f>
        <v/>
      </c>
      <c r="N69" s="128">
        <f>MAX(0,M69-M68)</f>
        <v/>
      </c>
      <c r="O69" s="127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RESUMO'!BQ24</f>
        <v/>
      </c>
      <c r="N70" s="128">
        <f>MAX(0,M70-M69)</f>
        <v/>
      </c>
      <c r="O70" s="127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RESUMO'!BR24</f>
        <v/>
      </c>
      <c r="N71" s="128">
        <f>MAX(0,M71-M70)</f>
        <v/>
      </c>
      <c r="O71" s="127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RESUMO'!BS24</f>
        <v/>
      </c>
      <c r="N72" s="128">
        <f>MAX(0,M72-M71)</f>
        <v/>
      </c>
      <c r="O72" s="127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RESUMO'!BT24</f>
        <v/>
      </c>
      <c r="N73" s="128">
        <f>MAX(0,M73-M72)</f>
        <v/>
      </c>
      <c r="O73" s="127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RESUMO'!BU24</f>
        <v/>
      </c>
      <c r="N74" s="128">
        <f>MAX(0,M74-M73)</f>
        <v/>
      </c>
      <c r="O74" s="127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RESUMO'!BV24</f>
        <v/>
      </c>
      <c r="N75" s="128">
        <f>MAX(0,M75-M74)</f>
        <v/>
      </c>
      <c r="O75" s="127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RESUMO'!BW24</f>
        <v/>
      </c>
      <c r="N76" s="128">
        <f>MAX(0,M76-M75)</f>
        <v/>
      </c>
      <c r="O76" s="127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PL'!F31</f>
        <v/>
      </c>
      <c r="K5" s="63">
        <f>'VALOR POR PL'!G31</f>
        <v/>
      </c>
      <c r="M5" s="127">
        <f>'CP RESUMO'!D25</f>
        <v/>
      </c>
      <c r="N5" s="128" t="n">
        <v>0</v>
      </c>
      <c r="O5" s="127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RESUMO'!E25</f>
        <v/>
      </c>
      <c r="N6" s="128">
        <f>MAX(0,M6-M5)</f>
        <v/>
      </c>
      <c r="O6" s="127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PL'!L31</f>
        <v/>
      </c>
      <c r="M7" s="127">
        <f>'CP RESUMO'!F25</f>
        <v/>
      </c>
      <c r="N7" s="128">
        <f>MAX(0,M7-M6)</f>
        <v/>
      </c>
      <c r="O7" s="127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RESUMO'!G25</f>
        <v/>
      </c>
      <c r="N8" s="128">
        <f>MAX(0,M8-M7)</f>
        <v/>
      </c>
      <c r="O8" s="127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RESUMO'!H25</f>
        <v/>
      </c>
      <c r="N9" s="128">
        <f>MAX(0,M9-M8)</f>
        <v/>
      </c>
      <c r="O9" s="127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RESUMO'!I25</f>
        <v/>
      </c>
      <c r="N10" s="128">
        <f>MAX(0,M10-M9)</f>
        <v/>
      </c>
      <c r="O10" s="127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RESUMO'!J25</f>
        <v/>
      </c>
      <c r="N11" s="128">
        <f>MAX(0,M11-M10)</f>
        <v/>
      </c>
      <c r="O11" s="127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RESUMO'!K25</f>
        <v/>
      </c>
      <c r="N12" s="128">
        <f>MAX(0,M12-M11)</f>
        <v/>
      </c>
      <c r="O12" s="127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PL'!I31</f>
        <v/>
      </c>
      <c r="M13" s="127">
        <f>'CP RESUMO'!L25</f>
        <v/>
      </c>
      <c r="N13" s="128">
        <f>MAX(0,M13-M12)</f>
        <v/>
      </c>
      <c r="O13" s="127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7">
        <f>'CP RESUMO'!M25</f>
        <v/>
      </c>
      <c r="N14" s="128">
        <f>MAX(0,M14-M13)</f>
        <v/>
      </c>
      <c r="O14" s="127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RESUMO'!N25</f>
        <v/>
      </c>
      <c r="N15" s="128">
        <f>MAX(0,M15-M14)</f>
        <v/>
      </c>
      <c r="O15" s="127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RESUMO'!O25</f>
        <v/>
      </c>
      <c r="N16" s="128">
        <f>MAX(0,M16-M15)</f>
        <v/>
      </c>
      <c r="O16" s="127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RESUMO'!P25</f>
        <v/>
      </c>
      <c r="N17" s="128">
        <f>MAX(0,M17-M16)</f>
        <v/>
      </c>
      <c r="O17" s="127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RESUMO'!Q25</f>
        <v/>
      </c>
      <c r="N18" s="128">
        <f>MAX(0,M18-M17)</f>
        <v/>
      </c>
      <c r="O18" s="127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RESUMO'!R25</f>
        <v/>
      </c>
      <c r="N19" s="128">
        <f>MAX(0,M19-M18)</f>
        <v/>
      </c>
      <c r="O19" s="127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RESUMO'!S25</f>
        <v/>
      </c>
      <c r="N20" s="128">
        <f>MAX(0,M20-M19)</f>
        <v/>
      </c>
      <c r="O20" s="127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RESUMO'!T25</f>
        <v/>
      </c>
      <c r="N21" s="128">
        <f>MAX(0,M21-M20)</f>
        <v/>
      </c>
      <c r="O21" s="127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RESUMO'!U25</f>
        <v/>
      </c>
      <c r="N22" s="128">
        <f>MAX(0,M22-M21)</f>
        <v/>
      </c>
      <c r="O22" s="127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RESUMO'!V25</f>
        <v/>
      </c>
      <c r="N23" s="128">
        <f>MAX(0,M23-M22)</f>
        <v/>
      </c>
      <c r="O23" s="127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RESUMO'!W25</f>
        <v/>
      </c>
      <c r="N24" s="128">
        <f>MAX(0,M24-M23)</f>
        <v/>
      </c>
      <c r="O24" s="127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RESUMO'!X25</f>
        <v/>
      </c>
      <c r="N25" s="128">
        <f>MAX(0,M25-M24)</f>
        <v/>
      </c>
      <c r="O25" s="127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RESUMO'!Y25</f>
        <v/>
      </c>
      <c r="N26" s="128">
        <f>MAX(0,M26-M25)</f>
        <v/>
      </c>
      <c r="O26" s="127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RESUMO'!Z25</f>
        <v/>
      </c>
      <c r="N27" s="128">
        <f>MAX(0,M27-M26)</f>
        <v/>
      </c>
      <c r="O27" s="127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RESUMO'!AA25</f>
        <v/>
      </c>
      <c r="N28" s="128">
        <f>MAX(0,M28-M27)</f>
        <v/>
      </c>
      <c r="O28" s="127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RESUMO'!AB25</f>
        <v/>
      </c>
      <c r="N29" s="128">
        <f>MAX(0,M29-M28)</f>
        <v/>
      </c>
      <c r="O29" s="127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RESUMO'!AC25</f>
        <v/>
      </c>
      <c r="N30" s="128">
        <f>MAX(0,M30-M29)</f>
        <v/>
      </c>
      <c r="O30" s="127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RESUMO'!AD25</f>
        <v/>
      </c>
      <c r="N31" s="128">
        <f>MAX(0,M31-M30)</f>
        <v/>
      </c>
      <c r="O31" s="127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RESUMO'!AE25</f>
        <v/>
      </c>
      <c r="N32" s="128">
        <f>MAX(0,M32-M31)</f>
        <v/>
      </c>
      <c r="O32" s="127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RESUMO'!AF25</f>
        <v/>
      </c>
      <c r="N33" s="128">
        <f>MAX(0,M33-M32)</f>
        <v/>
      </c>
      <c r="O33" s="127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RESUMO'!AG25</f>
        <v/>
      </c>
      <c r="N34" s="128">
        <f>MAX(0,M34-M33)</f>
        <v/>
      </c>
      <c r="O34" s="127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RESUMO'!AH25</f>
        <v/>
      </c>
      <c r="N35" s="128">
        <f>MAX(0,M35-M34)</f>
        <v/>
      </c>
      <c r="O35" s="127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RESUMO'!AI25</f>
        <v/>
      </c>
      <c r="N36" s="128">
        <f>MAX(0,M36-M35)</f>
        <v/>
      </c>
      <c r="O36" s="127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RESUMO'!AJ25</f>
        <v/>
      </c>
      <c r="N37" s="128">
        <f>MAX(0,M37-M36)</f>
        <v/>
      </c>
      <c r="O37" s="127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RESUMO'!AK25</f>
        <v/>
      </c>
      <c r="N38" s="128">
        <f>MAX(0,M38-M37)</f>
        <v/>
      </c>
      <c r="O38" s="127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RESUMO'!AL25</f>
        <v/>
      </c>
      <c r="N39" s="128">
        <f>MAX(0,M39-M38)</f>
        <v/>
      </c>
      <c r="O39" s="127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RESUMO'!AM25</f>
        <v/>
      </c>
      <c r="N40" s="128">
        <f>MAX(0,M40-M39)</f>
        <v/>
      </c>
      <c r="O40" s="127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RESUMO'!AN25</f>
        <v/>
      </c>
      <c r="N41" s="128">
        <f>MAX(0,M41-M40)</f>
        <v/>
      </c>
      <c r="O41" s="127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RESUMO'!AO25</f>
        <v/>
      </c>
      <c r="N42" s="128">
        <f>MAX(0,M42-M41)</f>
        <v/>
      </c>
      <c r="O42" s="127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RESUMO'!AP25</f>
        <v/>
      </c>
      <c r="N43" s="128">
        <f>MAX(0,M43-M42)</f>
        <v/>
      </c>
      <c r="O43" s="127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RESUMO'!AQ25</f>
        <v/>
      </c>
      <c r="N44" s="128">
        <f>MAX(0,M44-M43)</f>
        <v/>
      </c>
      <c r="O44" s="127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RESUMO'!AR25</f>
        <v/>
      </c>
      <c r="N45" s="128">
        <f>MAX(0,M45-M44)</f>
        <v/>
      </c>
      <c r="O45" s="127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RESUMO'!AS25</f>
        <v/>
      </c>
      <c r="N46" s="128">
        <f>MAX(0,M46-M45)</f>
        <v/>
      </c>
      <c r="O46" s="127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RESUMO'!AT25</f>
        <v/>
      </c>
      <c r="N47" s="128">
        <f>MAX(0,M47-M46)</f>
        <v/>
      </c>
      <c r="O47" s="127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RESUMO'!AU25</f>
        <v/>
      </c>
      <c r="N48" s="128">
        <f>MAX(0,M48-M47)</f>
        <v/>
      </c>
      <c r="O48" s="127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RESUMO'!AV25</f>
        <v/>
      </c>
      <c r="N49" s="128">
        <f>MAX(0,M49-M48)</f>
        <v/>
      </c>
      <c r="O49" s="127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RESUMO'!AW25</f>
        <v/>
      </c>
      <c r="N50" s="128">
        <f>MAX(0,M50-M49)</f>
        <v/>
      </c>
      <c r="O50" s="127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RESUMO'!AX25</f>
        <v/>
      </c>
      <c r="N51" s="128">
        <f>MAX(0,M51-M50)</f>
        <v/>
      </c>
      <c r="O51" s="127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RESUMO'!AY25</f>
        <v/>
      </c>
      <c r="N52" s="128">
        <f>MAX(0,M52-M51)</f>
        <v/>
      </c>
      <c r="O52" s="127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RESUMO'!AZ25</f>
        <v/>
      </c>
      <c r="N53" s="128">
        <f>MAX(0,M53-M52)</f>
        <v/>
      </c>
      <c r="O53" s="127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RESUMO'!BA25</f>
        <v/>
      </c>
      <c r="N54" s="128">
        <f>MAX(0,M54-M53)</f>
        <v/>
      </c>
      <c r="O54" s="127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RESUMO'!BB25</f>
        <v/>
      </c>
      <c r="N55" s="128">
        <f>MAX(0,M55-M54)</f>
        <v/>
      </c>
      <c r="O55" s="127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RESUMO'!BC25</f>
        <v/>
      </c>
      <c r="N56" s="128">
        <f>MAX(0,M56-M55)</f>
        <v/>
      </c>
      <c r="O56" s="127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RESUMO'!BD25</f>
        <v/>
      </c>
      <c r="N57" s="128">
        <f>MAX(0,M57-M56)</f>
        <v/>
      </c>
      <c r="O57" s="127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RESUMO'!BE25</f>
        <v/>
      </c>
      <c r="N58" s="128">
        <f>MAX(0,M58-M57)</f>
        <v/>
      </c>
      <c r="O58" s="127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RESUMO'!BF25</f>
        <v/>
      </c>
      <c r="N59" s="128">
        <f>MAX(0,M59-M58)</f>
        <v/>
      </c>
      <c r="O59" s="127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RESUMO'!BG25</f>
        <v/>
      </c>
      <c r="N60" s="128">
        <f>MAX(0,M60-M59)</f>
        <v/>
      </c>
      <c r="O60" s="127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RESUMO'!BH25</f>
        <v/>
      </c>
      <c r="N61" s="128">
        <f>MAX(0,M61-M60)</f>
        <v/>
      </c>
      <c r="O61" s="127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RESUMO'!BI25</f>
        <v/>
      </c>
      <c r="N62" s="128">
        <f>MAX(0,M62-M61)</f>
        <v/>
      </c>
      <c r="O62" s="127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RESUMO'!BJ25</f>
        <v/>
      </c>
      <c r="N63" s="128">
        <f>MAX(0,M63-M62)</f>
        <v/>
      </c>
      <c r="O63" s="127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RESUMO'!BK25</f>
        <v/>
      </c>
      <c r="N64" s="128">
        <f>MAX(0,M64-M63)</f>
        <v/>
      </c>
      <c r="O64" s="127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RESUMO'!BL25</f>
        <v/>
      </c>
      <c r="N65" s="128">
        <f>MAX(0,M65-M64)</f>
        <v/>
      </c>
      <c r="O65" s="127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RESUMO'!BM25</f>
        <v/>
      </c>
      <c r="N66" s="128">
        <f>MAX(0,M66-M65)</f>
        <v/>
      </c>
      <c r="O66" s="127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RESUMO'!BN25</f>
        <v/>
      </c>
      <c r="N67" s="128">
        <f>MAX(0,M67-M66)</f>
        <v/>
      </c>
      <c r="O67" s="127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RESUMO'!BO25</f>
        <v/>
      </c>
      <c r="N68" s="128">
        <f>MAX(0,M68-M67)</f>
        <v/>
      </c>
      <c r="O68" s="127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RESUMO'!BP25</f>
        <v/>
      </c>
      <c r="N69" s="128">
        <f>MAX(0,M69-M68)</f>
        <v/>
      </c>
      <c r="O69" s="127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RESUMO'!BQ25</f>
        <v/>
      </c>
      <c r="N70" s="128">
        <f>MAX(0,M70-M69)</f>
        <v/>
      </c>
      <c r="O70" s="127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RESUMO'!BR25</f>
        <v/>
      </c>
      <c r="N71" s="128">
        <f>MAX(0,M71-M70)</f>
        <v/>
      </c>
      <c r="O71" s="127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RESUMO'!BS25</f>
        <v/>
      </c>
      <c r="N72" s="128">
        <f>MAX(0,M72-M71)</f>
        <v/>
      </c>
      <c r="O72" s="127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RESUMO'!BT25</f>
        <v/>
      </c>
      <c r="N73" s="128">
        <f>MAX(0,M73-M72)</f>
        <v/>
      </c>
      <c r="O73" s="127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RESUMO'!BU25</f>
        <v/>
      </c>
      <c r="N74" s="128">
        <f>MAX(0,M74-M73)</f>
        <v/>
      </c>
      <c r="O74" s="127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RESUMO'!BV25</f>
        <v/>
      </c>
      <c r="N75" s="128">
        <f>MAX(0,M75-M74)</f>
        <v/>
      </c>
      <c r="O75" s="127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RESUMO'!BW25</f>
        <v/>
      </c>
      <c r="N76" s="128">
        <f>MAX(0,M76-M75)</f>
        <v/>
      </c>
      <c r="O76" s="127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PL'!F32</f>
        <v/>
      </c>
      <c r="K5" s="63">
        <f>'VALOR POR PL'!G32</f>
        <v/>
      </c>
      <c r="M5" s="127">
        <f>'CP RESUMO'!D26</f>
        <v/>
      </c>
      <c r="N5" s="128" t="n">
        <v>0</v>
      </c>
      <c r="O5" s="127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RESUMO'!E26</f>
        <v/>
      </c>
      <c r="N6" s="128">
        <f>MAX(0,M6-M5)</f>
        <v/>
      </c>
      <c r="O6" s="127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PL'!L32</f>
        <v/>
      </c>
      <c r="M7" s="127">
        <f>'CP RESUMO'!F26</f>
        <v/>
      </c>
      <c r="N7" s="128">
        <f>MAX(0,M7-M6)</f>
        <v/>
      </c>
      <c r="O7" s="127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RESUMO'!G26</f>
        <v/>
      </c>
      <c r="N8" s="128">
        <f>MAX(0,M8-M7)</f>
        <v/>
      </c>
      <c r="O8" s="127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RESUMO'!H26</f>
        <v/>
      </c>
      <c r="N9" s="128">
        <f>MAX(0,M9-M8)</f>
        <v/>
      </c>
      <c r="O9" s="127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RESUMO'!I26</f>
        <v/>
      </c>
      <c r="N10" s="128">
        <f>MAX(0,M10-M9)</f>
        <v/>
      </c>
      <c r="O10" s="127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RESUMO'!J26</f>
        <v/>
      </c>
      <c r="N11" s="128">
        <f>MAX(0,M11-M10)</f>
        <v/>
      </c>
      <c r="O11" s="127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RESUMO'!K26</f>
        <v/>
      </c>
      <c r="N12" s="128">
        <f>MAX(0,M12-M11)</f>
        <v/>
      </c>
      <c r="O12" s="127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PL'!I32</f>
        <v/>
      </c>
      <c r="M13" s="127">
        <f>'CP RESUMO'!L26</f>
        <v/>
      </c>
      <c r="N13" s="128">
        <f>MAX(0,M13-M12)</f>
        <v/>
      </c>
      <c r="O13" s="127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7">
        <f>'CP RESUMO'!M26</f>
        <v/>
      </c>
      <c r="N14" s="128">
        <f>MAX(0,M14-M13)</f>
        <v/>
      </c>
      <c r="O14" s="127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RESUMO'!N26</f>
        <v/>
      </c>
      <c r="N15" s="128">
        <f>MAX(0,M15-M14)</f>
        <v/>
      </c>
      <c r="O15" s="127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RESUMO'!O26</f>
        <v/>
      </c>
      <c r="N16" s="128">
        <f>MAX(0,M16-M15)</f>
        <v/>
      </c>
      <c r="O16" s="127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RESUMO'!P26</f>
        <v/>
      </c>
      <c r="N17" s="128">
        <f>MAX(0,M17-M16)</f>
        <v/>
      </c>
      <c r="O17" s="127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RESUMO'!Q26</f>
        <v/>
      </c>
      <c r="N18" s="128">
        <f>MAX(0,M18-M17)</f>
        <v/>
      </c>
      <c r="O18" s="127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RESUMO'!R26</f>
        <v/>
      </c>
      <c r="N19" s="128">
        <f>MAX(0,M19-M18)</f>
        <v/>
      </c>
      <c r="O19" s="127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RESUMO'!S26</f>
        <v/>
      </c>
      <c r="N20" s="128">
        <f>MAX(0,M20-M19)</f>
        <v/>
      </c>
      <c r="O20" s="127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RESUMO'!T26</f>
        <v/>
      </c>
      <c r="N21" s="128">
        <f>MAX(0,M21-M20)</f>
        <v/>
      </c>
      <c r="O21" s="127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RESUMO'!U26</f>
        <v/>
      </c>
      <c r="N22" s="128">
        <f>MAX(0,M22-M21)</f>
        <v/>
      </c>
      <c r="O22" s="127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RESUMO'!V26</f>
        <v/>
      </c>
      <c r="N23" s="128">
        <f>MAX(0,M23-M22)</f>
        <v/>
      </c>
      <c r="O23" s="127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RESUMO'!W26</f>
        <v/>
      </c>
      <c r="N24" s="128">
        <f>MAX(0,M24-M23)</f>
        <v/>
      </c>
      <c r="O24" s="127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RESUMO'!X26</f>
        <v/>
      </c>
      <c r="N25" s="128">
        <f>MAX(0,M25-M24)</f>
        <v/>
      </c>
      <c r="O25" s="127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RESUMO'!Y26</f>
        <v/>
      </c>
      <c r="N26" s="128">
        <f>MAX(0,M26-M25)</f>
        <v/>
      </c>
      <c r="O26" s="127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RESUMO'!Z26</f>
        <v/>
      </c>
      <c r="N27" s="128">
        <f>MAX(0,M27-M26)</f>
        <v/>
      </c>
      <c r="O27" s="127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RESUMO'!AA26</f>
        <v/>
      </c>
      <c r="N28" s="128">
        <f>MAX(0,M28-M27)</f>
        <v/>
      </c>
      <c r="O28" s="127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RESUMO'!AB26</f>
        <v/>
      </c>
      <c r="N29" s="128">
        <f>MAX(0,M29-M28)</f>
        <v/>
      </c>
      <c r="O29" s="127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RESUMO'!AC26</f>
        <v/>
      </c>
      <c r="N30" s="128">
        <f>MAX(0,M30-M29)</f>
        <v/>
      </c>
      <c r="O30" s="127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RESUMO'!AD26</f>
        <v/>
      </c>
      <c r="N31" s="128">
        <f>MAX(0,M31-M30)</f>
        <v/>
      </c>
      <c r="O31" s="127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RESUMO'!AE26</f>
        <v/>
      </c>
      <c r="N32" s="128">
        <f>MAX(0,M32-M31)</f>
        <v/>
      </c>
      <c r="O32" s="127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RESUMO'!AF26</f>
        <v/>
      </c>
      <c r="N33" s="128">
        <f>MAX(0,M33-M32)</f>
        <v/>
      </c>
      <c r="O33" s="127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RESUMO'!AG26</f>
        <v/>
      </c>
      <c r="N34" s="128">
        <f>MAX(0,M34-M33)</f>
        <v/>
      </c>
      <c r="O34" s="127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RESUMO'!AH26</f>
        <v/>
      </c>
      <c r="N35" s="128">
        <f>MAX(0,M35-M34)</f>
        <v/>
      </c>
      <c r="O35" s="127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RESUMO'!AI26</f>
        <v/>
      </c>
      <c r="N36" s="128">
        <f>MAX(0,M36-M35)</f>
        <v/>
      </c>
      <c r="O36" s="127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RESUMO'!AJ26</f>
        <v/>
      </c>
      <c r="N37" s="128">
        <f>MAX(0,M37-M36)</f>
        <v/>
      </c>
      <c r="O37" s="127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RESUMO'!AK26</f>
        <v/>
      </c>
      <c r="N38" s="128">
        <f>MAX(0,M38-M37)</f>
        <v/>
      </c>
      <c r="O38" s="127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RESUMO'!AL26</f>
        <v/>
      </c>
      <c r="N39" s="128">
        <f>MAX(0,M39-M38)</f>
        <v/>
      </c>
      <c r="O39" s="127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RESUMO'!AM26</f>
        <v/>
      </c>
      <c r="N40" s="128">
        <f>MAX(0,M40-M39)</f>
        <v/>
      </c>
      <c r="O40" s="127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RESUMO'!AN26</f>
        <v/>
      </c>
      <c r="N41" s="128">
        <f>MAX(0,M41-M40)</f>
        <v/>
      </c>
      <c r="O41" s="127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RESUMO'!AO26</f>
        <v/>
      </c>
      <c r="N42" s="128">
        <f>MAX(0,M42-M41)</f>
        <v/>
      </c>
      <c r="O42" s="127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RESUMO'!AP26</f>
        <v/>
      </c>
      <c r="N43" s="128">
        <f>MAX(0,M43-M42)</f>
        <v/>
      </c>
      <c r="O43" s="127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RESUMO'!AQ26</f>
        <v/>
      </c>
      <c r="N44" s="128">
        <f>MAX(0,M44-M43)</f>
        <v/>
      </c>
      <c r="O44" s="127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RESUMO'!AR26</f>
        <v/>
      </c>
      <c r="N45" s="128">
        <f>MAX(0,M45-M44)</f>
        <v/>
      </c>
      <c r="O45" s="127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RESUMO'!AS26</f>
        <v/>
      </c>
      <c r="N46" s="128">
        <f>MAX(0,M46-M45)</f>
        <v/>
      </c>
      <c r="O46" s="127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RESUMO'!AT26</f>
        <v/>
      </c>
      <c r="N47" s="128">
        <f>MAX(0,M47-M46)</f>
        <v/>
      </c>
      <c r="O47" s="127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RESUMO'!AU26</f>
        <v/>
      </c>
      <c r="N48" s="128">
        <f>MAX(0,M48-M47)</f>
        <v/>
      </c>
      <c r="O48" s="127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RESUMO'!AV26</f>
        <v/>
      </c>
      <c r="N49" s="128">
        <f>MAX(0,M49-M48)</f>
        <v/>
      </c>
      <c r="O49" s="127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RESUMO'!AW26</f>
        <v/>
      </c>
      <c r="N50" s="128">
        <f>MAX(0,M50-M49)</f>
        <v/>
      </c>
      <c r="O50" s="127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RESUMO'!AX26</f>
        <v/>
      </c>
      <c r="N51" s="128">
        <f>MAX(0,M51-M50)</f>
        <v/>
      </c>
      <c r="O51" s="127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RESUMO'!AY26</f>
        <v/>
      </c>
      <c r="N52" s="128">
        <f>MAX(0,M52-M51)</f>
        <v/>
      </c>
      <c r="O52" s="127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RESUMO'!AZ26</f>
        <v/>
      </c>
      <c r="N53" s="128">
        <f>MAX(0,M53-M52)</f>
        <v/>
      </c>
      <c r="O53" s="127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RESUMO'!BA26</f>
        <v/>
      </c>
      <c r="N54" s="128">
        <f>MAX(0,M54-M53)</f>
        <v/>
      </c>
      <c r="O54" s="127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RESUMO'!BB26</f>
        <v/>
      </c>
      <c r="N55" s="128">
        <f>MAX(0,M55-M54)</f>
        <v/>
      </c>
      <c r="O55" s="127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RESUMO'!BC26</f>
        <v/>
      </c>
      <c r="N56" s="128">
        <f>MAX(0,M56-M55)</f>
        <v/>
      </c>
      <c r="O56" s="127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RESUMO'!BD26</f>
        <v/>
      </c>
      <c r="N57" s="128">
        <f>MAX(0,M57-M56)</f>
        <v/>
      </c>
      <c r="O57" s="127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RESUMO'!BE26</f>
        <v/>
      </c>
      <c r="N58" s="128">
        <f>MAX(0,M58-M57)</f>
        <v/>
      </c>
      <c r="O58" s="127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RESUMO'!BF26</f>
        <v/>
      </c>
      <c r="N59" s="128">
        <f>MAX(0,M59-M58)</f>
        <v/>
      </c>
      <c r="O59" s="127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RESUMO'!BG26</f>
        <v/>
      </c>
      <c r="N60" s="128">
        <f>MAX(0,M60-M59)</f>
        <v/>
      </c>
      <c r="O60" s="127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RESUMO'!BH26</f>
        <v/>
      </c>
      <c r="N61" s="128">
        <f>MAX(0,M61-M60)</f>
        <v/>
      </c>
      <c r="O61" s="127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RESUMO'!BI26</f>
        <v/>
      </c>
      <c r="N62" s="128">
        <f>MAX(0,M62-M61)</f>
        <v/>
      </c>
      <c r="O62" s="127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RESUMO'!BJ26</f>
        <v/>
      </c>
      <c r="N63" s="128">
        <f>MAX(0,M63-M62)</f>
        <v/>
      </c>
      <c r="O63" s="127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RESUMO'!BK26</f>
        <v/>
      </c>
      <c r="N64" s="128">
        <f>MAX(0,M64-M63)</f>
        <v/>
      </c>
      <c r="O64" s="127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RESUMO'!BL26</f>
        <v/>
      </c>
      <c r="N65" s="128">
        <f>MAX(0,M65-M64)</f>
        <v/>
      </c>
      <c r="O65" s="127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RESUMO'!BM26</f>
        <v/>
      </c>
      <c r="N66" s="128">
        <f>MAX(0,M66-M65)</f>
        <v/>
      </c>
      <c r="O66" s="127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RESUMO'!BN26</f>
        <v/>
      </c>
      <c r="N67" s="128">
        <f>MAX(0,M67-M66)</f>
        <v/>
      </c>
      <c r="O67" s="127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RESUMO'!BO26</f>
        <v/>
      </c>
      <c r="N68" s="128">
        <f>MAX(0,M68-M67)</f>
        <v/>
      </c>
      <c r="O68" s="127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RESUMO'!BP26</f>
        <v/>
      </c>
      <c r="N69" s="128">
        <f>MAX(0,M69-M68)</f>
        <v/>
      </c>
      <c r="O69" s="127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RESUMO'!BQ26</f>
        <v/>
      </c>
      <c r="N70" s="128">
        <f>MAX(0,M70-M69)</f>
        <v/>
      </c>
      <c r="O70" s="127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RESUMO'!BR26</f>
        <v/>
      </c>
      <c r="N71" s="128">
        <f>MAX(0,M71-M70)</f>
        <v/>
      </c>
      <c r="O71" s="127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RESUMO'!BS26</f>
        <v/>
      </c>
      <c r="N72" s="128">
        <f>MAX(0,M72-M71)</f>
        <v/>
      </c>
      <c r="O72" s="127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RESUMO'!BT26</f>
        <v/>
      </c>
      <c r="N73" s="128">
        <f>MAX(0,M73-M72)</f>
        <v/>
      </c>
      <c r="O73" s="127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RESUMO'!BU26</f>
        <v/>
      </c>
      <c r="N74" s="128">
        <f>MAX(0,M74-M73)</f>
        <v/>
      </c>
      <c r="O74" s="127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RESUMO'!BV26</f>
        <v/>
      </c>
      <c r="N75" s="128">
        <f>MAX(0,M75-M74)</f>
        <v/>
      </c>
      <c r="O75" s="127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RESUMO'!BW26</f>
        <v/>
      </c>
      <c r="N76" s="128">
        <f>MAX(0,M76-M75)</f>
        <v/>
      </c>
      <c r="O76" s="127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PL'!F33</f>
        <v/>
      </c>
      <c r="K5" s="63">
        <f>'VALOR POR PL'!G33</f>
        <v/>
      </c>
      <c r="M5" s="127">
        <f>'CP RESUMO'!D27</f>
        <v/>
      </c>
      <c r="N5" s="128" t="n">
        <v>0</v>
      </c>
      <c r="O5" s="127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RESUMO'!E27</f>
        <v/>
      </c>
      <c r="N6" s="128">
        <f>MAX(0,M6-M5)</f>
        <v/>
      </c>
      <c r="O6" s="127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PL'!L33</f>
        <v/>
      </c>
      <c r="M7" s="127">
        <f>'CP RESUMO'!F27</f>
        <v/>
      </c>
      <c r="N7" s="128">
        <f>MAX(0,M7-M6)</f>
        <v/>
      </c>
      <c r="O7" s="127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RESUMO'!G27</f>
        <v/>
      </c>
      <c r="N8" s="128">
        <f>MAX(0,M8-M7)</f>
        <v/>
      </c>
      <c r="O8" s="127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RESUMO'!H27</f>
        <v/>
      </c>
      <c r="N9" s="128">
        <f>MAX(0,M9-M8)</f>
        <v/>
      </c>
      <c r="O9" s="127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RESUMO'!I27</f>
        <v/>
      </c>
      <c r="N10" s="128">
        <f>MAX(0,M10-M9)</f>
        <v/>
      </c>
      <c r="O10" s="127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RESUMO'!J27</f>
        <v/>
      </c>
      <c r="N11" s="128">
        <f>MAX(0,M11-M10)</f>
        <v/>
      </c>
      <c r="O11" s="127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RESUMO'!K27</f>
        <v/>
      </c>
      <c r="N12" s="128">
        <f>MAX(0,M12-M11)</f>
        <v/>
      </c>
      <c r="O12" s="127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PL'!I33</f>
        <v/>
      </c>
      <c r="M13" s="127">
        <f>'CP RESUMO'!L27</f>
        <v/>
      </c>
      <c r="N13" s="128">
        <f>MAX(0,M13-M12)</f>
        <v/>
      </c>
      <c r="O13" s="127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7">
        <f>'CP RESUMO'!M27</f>
        <v/>
      </c>
      <c r="N14" s="128">
        <f>MAX(0,M14-M13)</f>
        <v/>
      </c>
      <c r="O14" s="127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RESUMO'!N27</f>
        <v/>
      </c>
      <c r="N15" s="128">
        <f>MAX(0,M15-M14)</f>
        <v/>
      </c>
      <c r="O15" s="127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RESUMO'!O27</f>
        <v/>
      </c>
      <c r="N16" s="128">
        <f>MAX(0,M16-M15)</f>
        <v/>
      </c>
      <c r="O16" s="127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RESUMO'!P27</f>
        <v/>
      </c>
      <c r="N17" s="128">
        <f>MAX(0,M17-M16)</f>
        <v/>
      </c>
      <c r="O17" s="127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RESUMO'!Q27</f>
        <v/>
      </c>
      <c r="N18" s="128">
        <f>MAX(0,M18-M17)</f>
        <v/>
      </c>
      <c r="O18" s="127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RESUMO'!R27</f>
        <v/>
      </c>
      <c r="N19" s="128">
        <f>MAX(0,M19-M18)</f>
        <v/>
      </c>
      <c r="O19" s="127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RESUMO'!S27</f>
        <v/>
      </c>
      <c r="N20" s="128">
        <f>MAX(0,M20-M19)</f>
        <v/>
      </c>
      <c r="O20" s="127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RESUMO'!T27</f>
        <v/>
      </c>
      <c r="N21" s="128">
        <f>MAX(0,M21-M20)</f>
        <v/>
      </c>
      <c r="O21" s="127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RESUMO'!U27</f>
        <v/>
      </c>
      <c r="N22" s="128">
        <f>MAX(0,M22-M21)</f>
        <v/>
      </c>
      <c r="O22" s="127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RESUMO'!V27</f>
        <v/>
      </c>
      <c r="N23" s="128">
        <f>MAX(0,M23-M22)</f>
        <v/>
      </c>
      <c r="O23" s="127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RESUMO'!W27</f>
        <v/>
      </c>
      <c r="N24" s="128">
        <f>MAX(0,M24-M23)</f>
        <v/>
      </c>
      <c r="O24" s="127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RESUMO'!X27</f>
        <v/>
      </c>
      <c r="N25" s="128">
        <f>MAX(0,M25-M24)</f>
        <v/>
      </c>
      <c r="O25" s="127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RESUMO'!Y27</f>
        <v/>
      </c>
      <c r="N26" s="128">
        <f>MAX(0,M26-M25)</f>
        <v/>
      </c>
      <c r="O26" s="127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RESUMO'!Z27</f>
        <v/>
      </c>
      <c r="N27" s="128">
        <f>MAX(0,M27-M26)</f>
        <v/>
      </c>
      <c r="O27" s="127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RESUMO'!AA27</f>
        <v/>
      </c>
      <c r="N28" s="128">
        <f>MAX(0,M28-M27)</f>
        <v/>
      </c>
      <c r="O28" s="127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RESUMO'!AB27</f>
        <v/>
      </c>
      <c r="N29" s="128">
        <f>MAX(0,M29-M28)</f>
        <v/>
      </c>
      <c r="O29" s="127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RESUMO'!AC27</f>
        <v/>
      </c>
      <c r="N30" s="128">
        <f>MAX(0,M30-M29)</f>
        <v/>
      </c>
      <c r="O30" s="127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RESUMO'!AD27</f>
        <v/>
      </c>
      <c r="N31" s="128">
        <f>MAX(0,M31-M30)</f>
        <v/>
      </c>
      <c r="O31" s="127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RESUMO'!AE27</f>
        <v/>
      </c>
      <c r="N32" s="128">
        <f>MAX(0,M32-M31)</f>
        <v/>
      </c>
      <c r="O32" s="127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RESUMO'!AF27</f>
        <v/>
      </c>
      <c r="N33" s="128">
        <f>MAX(0,M33-M32)</f>
        <v/>
      </c>
      <c r="O33" s="127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RESUMO'!AG27</f>
        <v/>
      </c>
      <c r="N34" s="128">
        <f>MAX(0,M34-M33)</f>
        <v/>
      </c>
      <c r="O34" s="127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RESUMO'!AH27</f>
        <v/>
      </c>
      <c r="N35" s="128">
        <f>MAX(0,M35-M34)</f>
        <v/>
      </c>
      <c r="O35" s="127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RESUMO'!AI27</f>
        <v/>
      </c>
      <c r="N36" s="128">
        <f>MAX(0,M36-M35)</f>
        <v/>
      </c>
      <c r="O36" s="127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RESUMO'!AJ27</f>
        <v/>
      </c>
      <c r="N37" s="128">
        <f>MAX(0,M37-M36)</f>
        <v/>
      </c>
      <c r="O37" s="127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RESUMO'!AK27</f>
        <v/>
      </c>
      <c r="N38" s="128">
        <f>MAX(0,M38-M37)</f>
        <v/>
      </c>
      <c r="O38" s="127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RESUMO'!AL27</f>
        <v/>
      </c>
      <c r="N39" s="128">
        <f>MAX(0,M39-M38)</f>
        <v/>
      </c>
      <c r="O39" s="127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RESUMO'!AM27</f>
        <v/>
      </c>
      <c r="N40" s="128">
        <f>MAX(0,M40-M39)</f>
        <v/>
      </c>
      <c r="O40" s="127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RESUMO'!AN27</f>
        <v/>
      </c>
      <c r="N41" s="128">
        <f>MAX(0,M41-M40)</f>
        <v/>
      </c>
      <c r="O41" s="127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RESUMO'!AO27</f>
        <v/>
      </c>
      <c r="N42" s="128">
        <f>MAX(0,M42-M41)</f>
        <v/>
      </c>
      <c r="O42" s="127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RESUMO'!AP27</f>
        <v/>
      </c>
      <c r="N43" s="128">
        <f>MAX(0,M43-M42)</f>
        <v/>
      </c>
      <c r="O43" s="127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RESUMO'!AQ27</f>
        <v/>
      </c>
      <c r="N44" s="128">
        <f>MAX(0,M44-M43)</f>
        <v/>
      </c>
      <c r="O44" s="127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RESUMO'!AR27</f>
        <v/>
      </c>
      <c r="N45" s="128">
        <f>MAX(0,M45-M44)</f>
        <v/>
      </c>
      <c r="O45" s="127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RESUMO'!AS27</f>
        <v/>
      </c>
      <c r="N46" s="128">
        <f>MAX(0,M46-M45)</f>
        <v/>
      </c>
      <c r="O46" s="127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RESUMO'!AT27</f>
        <v/>
      </c>
      <c r="N47" s="128">
        <f>MAX(0,M47-M46)</f>
        <v/>
      </c>
      <c r="O47" s="127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RESUMO'!AU27</f>
        <v/>
      </c>
      <c r="N48" s="128">
        <f>MAX(0,M48-M47)</f>
        <v/>
      </c>
      <c r="O48" s="127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RESUMO'!AV27</f>
        <v/>
      </c>
      <c r="N49" s="128">
        <f>MAX(0,M49-M48)</f>
        <v/>
      </c>
      <c r="O49" s="127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RESUMO'!AW27</f>
        <v/>
      </c>
      <c r="N50" s="128">
        <f>MAX(0,M50-M49)</f>
        <v/>
      </c>
      <c r="O50" s="127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RESUMO'!AX27</f>
        <v/>
      </c>
      <c r="N51" s="128">
        <f>MAX(0,M51-M50)</f>
        <v/>
      </c>
      <c r="O51" s="127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RESUMO'!AY27</f>
        <v/>
      </c>
      <c r="N52" s="128">
        <f>MAX(0,M52-M51)</f>
        <v/>
      </c>
      <c r="O52" s="127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RESUMO'!AZ27</f>
        <v/>
      </c>
      <c r="N53" s="128">
        <f>MAX(0,M53-M52)</f>
        <v/>
      </c>
      <c r="O53" s="127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RESUMO'!BA27</f>
        <v/>
      </c>
      <c r="N54" s="128">
        <f>MAX(0,M54-M53)</f>
        <v/>
      </c>
      <c r="O54" s="127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RESUMO'!BB27</f>
        <v/>
      </c>
      <c r="N55" s="128">
        <f>MAX(0,M55-M54)</f>
        <v/>
      </c>
      <c r="O55" s="127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RESUMO'!BC27</f>
        <v/>
      </c>
      <c r="N56" s="128">
        <f>MAX(0,M56-M55)</f>
        <v/>
      </c>
      <c r="O56" s="127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RESUMO'!BD27</f>
        <v/>
      </c>
      <c r="N57" s="128">
        <f>MAX(0,M57-M56)</f>
        <v/>
      </c>
      <c r="O57" s="127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RESUMO'!BE27</f>
        <v/>
      </c>
      <c r="N58" s="128">
        <f>MAX(0,M58-M57)</f>
        <v/>
      </c>
      <c r="O58" s="127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RESUMO'!BF27</f>
        <v/>
      </c>
      <c r="N59" s="128">
        <f>MAX(0,M59-M58)</f>
        <v/>
      </c>
      <c r="O59" s="127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RESUMO'!BG27</f>
        <v/>
      </c>
      <c r="N60" s="128">
        <f>MAX(0,M60-M59)</f>
        <v/>
      </c>
      <c r="O60" s="127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RESUMO'!BH27</f>
        <v/>
      </c>
      <c r="N61" s="128">
        <f>MAX(0,M61-M60)</f>
        <v/>
      </c>
      <c r="O61" s="127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RESUMO'!BI27</f>
        <v/>
      </c>
      <c r="N62" s="128">
        <f>MAX(0,M62-M61)</f>
        <v/>
      </c>
      <c r="O62" s="127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RESUMO'!BJ27</f>
        <v/>
      </c>
      <c r="N63" s="128">
        <f>MAX(0,M63-M62)</f>
        <v/>
      </c>
      <c r="O63" s="127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RESUMO'!BK27</f>
        <v/>
      </c>
      <c r="N64" s="128">
        <f>MAX(0,M64-M63)</f>
        <v/>
      </c>
      <c r="O64" s="127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RESUMO'!BL27</f>
        <v/>
      </c>
      <c r="N65" s="128">
        <f>MAX(0,M65-M64)</f>
        <v/>
      </c>
      <c r="O65" s="127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RESUMO'!BM27</f>
        <v/>
      </c>
      <c r="N66" s="128">
        <f>MAX(0,M66-M65)</f>
        <v/>
      </c>
      <c r="O66" s="127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RESUMO'!BN27</f>
        <v/>
      </c>
      <c r="N67" s="128">
        <f>MAX(0,M67-M66)</f>
        <v/>
      </c>
      <c r="O67" s="127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RESUMO'!BO27</f>
        <v/>
      </c>
      <c r="N68" s="128">
        <f>MAX(0,M68-M67)</f>
        <v/>
      </c>
      <c r="O68" s="127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RESUMO'!BP27</f>
        <v/>
      </c>
      <c r="N69" s="128">
        <f>MAX(0,M69-M68)</f>
        <v/>
      </c>
      <c r="O69" s="127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RESUMO'!BQ27</f>
        <v/>
      </c>
      <c r="N70" s="128">
        <f>MAX(0,M70-M69)</f>
        <v/>
      </c>
      <c r="O70" s="127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RESUMO'!BR27</f>
        <v/>
      </c>
      <c r="N71" s="128">
        <f>MAX(0,M71-M70)</f>
        <v/>
      </c>
      <c r="O71" s="127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RESUMO'!BS27</f>
        <v/>
      </c>
      <c r="N72" s="128">
        <f>MAX(0,M72-M71)</f>
        <v/>
      </c>
      <c r="O72" s="127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RESUMO'!BT27</f>
        <v/>
      </c>
      <c r="N73" s="128">
        <f>MAX(0,M73-M72)</f>
        <v/>
      </c>
      <c r="O73" s="127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RESUMO'!BU27</f>
        <v/>
      </c>
      <c r="N74" s="128">
        <f>MAX(0,M74-M73)</f>
        <v/>
      </c>
      <c r="O74" s="127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RESUMO'!BV27</f>
        <v/>
      </c>
      <c r="N75" s="128">
        <f>MAX(0,M75-M74)</f>
        <v/>
      </c>
      <c r="O75" s="127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RESUMO'!BW27</f>
        <v/>
      </c>
      <c r="N76" s="128">
        <f>MAX(0,M76-M75)</f>
        <v/>
      </c>
      <c r="O76" s="127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PL'!F34</f>
        <v/>
      </c>
      <c r="K5" s="63">
        <f>'VALOR POR PL'!G34</f>
        <v/>
      </c>
      <c r="M5" s="127">
        <f>'CP RESUMO'!D28</f>
        <v/>
      </c>
      <c r="N5" s="128" t="n">
        <v>0</v>
      </c>
      <c r="O5" s="127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RESUMO'!E28</f>
        <v/>
      </c>
      <c r="N6" s="128">
        <f>MAX(0,M6-M5)</f>
        <v/>
      </c>
      <c r="O6" s="127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PL'!L34</f>
        <v/>
      </c>
      <c r="M7" s="127">
        <f>'CP RESUMO'!F28</f>
        <v/>
      </c>
      <c r="N7" s="128">
        <f>MAX(0,M7-M6)</f>
        <v/>
      </c>
      <c r="O7" s="127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RESUMO'!G28</f>
        <v/>
      </c>
      <c r="N8" s="128">
        <f>MAX(0,M8-M7)</f>
        <v/>
      </c>
      <c r="O8" s="127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RESUMO'!H28</f>
        <v/>
      </c>
      <c r="N9" s="128">
        <f>MAX(0,M9-M8)</f>
        <v/>
      </c>
      <c r="O9" s="127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RESUMO'!I28</f>
        <v/>
      </c>
      <c r="N10" s="128">
        <f>MAX(0,M10-M9)</f>
        <v/>
      </c>
      <c r="O10" s="127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RESUMO'!J28</f>
        <v/>
      </c>
      <c r="N11" s="128">
        <f>MAX(0,M11-M10)</f>
        <v/>
      </c>
      <c r="O11" s="127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RESUMO'!K28</f>
        <v/>
      </c>
      <c r="N12" s="128">
        <f>MAX(0,M12-M11)</f>
        <v/>
      </c>
      <c r="O12" s="127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PL'!I34</f>
        <v/>
      </c>
      <c r="M13" s="127">
        <f>'CP RESUMO'!L28</f>
        <v/>
      </c>
      <c r="N13" s="128">
        <f>MAX(0,M13-M12)</f>
        <v/>
      </c>
      <c r="O13" s="127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7">
        <f>'CP RESUMO'!M28</f>
        <v/>
      </c>
      <c r="N14" s="128">
        <f>MAX(0,M14-M13)</f>
        <v/>
      </c>
      <c r="O14" s="127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RESUMO'!N28</f>
        <v/>
      </c>
      <c r="N15" s="128">
        <f>MAX(0,M15-M14)</f>
        <v/>
      </c>
      <c r="O15" s="127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RESUMO'!O28</f>
        <v/>
      </c>
      <c r="N16" s="128">
        <f>MAX(0,M16-M15)</f>
        <v/>
      </c>
      <c r="O16" s="127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RESUMO'!P28</f>
        <v/>
      </c>
      <c r="N17" s="128">
        <f>MAX(0,M17-M16)</f>
        <v/>
      </c>
      <c r="O17" s="127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RESUMO'!Q28</f>
        <v/>
      </c>
      <c r="N18" s="128">
        <f>MAX(0,M18-M17)</f>
        <v/>
      </c>
      <c r="O18" s="127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RESUMO'!R28</f>
        <v/>
      </c>
      <c r="N19" s="128">
        <f>MAX(0,M19-M18)</f>
        <v/>
      </c>
      <c r="O19" s="127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RESUMO'!S28</f>
        <v/>
      </c>
      <c r="N20" s="128">
        <f>MAX(0,M20-M19)</f>
        <v/>
      </c>
      <c r="O20" s="127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RESUMO'!T28</f>
        <v/>
      </c>
      <c r="N21" s="128">
        <f>MAX(0,M21-M20)</f>
        <v/>
      </c>
      <c r="O21" s="127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RESUMO'!U28</f>
        <v/>
      </c>
      <c r="N22" s="128">
        <f>MAX(0,M22-M21)</f>
        <v/>
      </c>
      <c r="O22" s="127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RESUMO'!V28</f>
        <v/>
      </c>
      <c r="N23" s="128">
        <f>MAX(0,M23-M22)</f>
        <v/>
      </c>
      <c r="O23" s="127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pedido 1 ano antes, 12 pagamentos.</t>
        </is>
      </c>
      <c r="M24" s="127">
        <f>'CP RESUMO'!W28</f>
        <v/>
      </c>
      <c r="N24" s="128">
        <f>MAX(0,M24-M23)</f>
        <v/>
      </c>
      <c r="O24" s="127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RESUMO'!X28</f>
        <v/>
      </c>
      <c r="N25" s="128">
        <f>MAX(0,M25-M24)</f>
        <v/>
      </c>
      <c r="O25" s="127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RESUMO'!Y28</f>
        <v/>
      </c>
      <c r="N26" s="128">
        <f>MAX(0,M26-M25)</f>
        <v/>
      </c>
      <c r="O26" s="127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RESUMO'!Z28</f>
        <v/>
      </c>
      <c r="N27" s="128">
        <f>MAX(0,M27-M26)</f>
        <v/>
      </c>
      <c r="O27" s="127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RESUMO'!AA28</f>
        <v/>
      </c>
      <c r="N28" s="128">
        <f>MAX(0,M28-M27)</f>
        <v/>
      </c>
      <c r="O28" s="127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RESUMO'!AB28</f>
        <v/>
      </c>
      <c r="N29" s="128">
        <f>MAX(0,M29-M28)</f>
        <v/>
      </c>
      <c r="O29" s="127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RESUMO'!AC28</f>
        <v/>
      </c>
      <c r="N30" s="128">
        <f>MAX(0,M30-M29)</f>
        <v/>
      </c>
      <c r="O30" s="127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RESUMO'!AD28</f>
        <v/>
      </c>
      <c r="N31" s="128">
        <f>MAX(0,M31-M30)</f>
        <v/>
      </c>
      <c r="O31" s="127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RESUMO'!AE28</f>
        <v/>
      </c>
      <c r="N32" s="128">
        <f>MAX(0,M32-M31)</f>
        <v/>
      </c>
      <c r="O32" s="127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RESUMO'!AF28</f>
        <v/>
      </c>
      <c r="N33" s="128">
        <f>MAX(0,M33-M32)</f>
        <v/>
      </c>
      <c r="O33" s="127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RESUMO'!AG28</f>
        <v/>
      </c>
      <c r="N34" s="128">
        <f>MAX(0,M34-M33)</f>
        <v/>
      </c>
      <c r="O34" s="127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RESUMO'!AH28</f>
        <v/>
      </c>
      <c r="N35" s="128">
        <f>MAX(0,M35-M34)</f>
        <v/>
      </c>
      <c r="O35" s="127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RESUMO'!AI28</f>
        <v/>
      </c>
      <c r="N36" s="128">
        <f>MAX(0,M36-M35)</f>
        <v/>
      </c>
      <c r="O36" s="127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RESUMO'!AJ28</f>
        <v/>
      </c>
      <c r="N37" s="128">
        <f>MAX(0,M37-M36)</f>
        <v/>
      </c>
      <c r="O37" s="127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RESUMO'!AK28</f>
        <v/>
      </c>
      <c r="N38" s="128">
        <f>MAX(0,M38-M37)</f>
        <v/>
      </c>
      <c r="O38" s="127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RESUMO'!AL28</f>
        <v/>
      </c>
      <c r="N39" s="128">
        <f>MAX(0,M39-M38)</f>
        <v/>
      </c>
      <c r="O39" s="127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RESUMO'!AM28</f>
        <v/>
      </c>
      <c r="N40" s="128">
        <f>MAX(0,M40-M39)</f>
        <v/>
      </c>
      <c r="O40" s="127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RESUMO'!AN28</f>
        <v/>
      </c>
      <c r="N41" s="128">
        <f>MAX(0,M41-M40)</f>
        <v/>
      </c>
      <c r="O41" s="127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RESUMO'!AO28</f>
        <v/>
      </c>
      <c r="N42" s="128">
        <f>MAX(0,M42-M41)</f>
        <v/>
      </c>
      <c r="O42" s="127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RESUMO'!AP28</f>
        <v/>
      </c>
      <c r="N43" s="128">
        <f>MAX(0,M43-M42)</f>
        <v/>
      </c>
      <c r="O43" s="127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RESUMO'!AQ28</f>
        <v/>
      </c>
      <c r="N44" s="128">
        <f>MAX(0,M44-M43)</f>
        <v/>
      </c>
      <c r="O44" s="127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RESUMO'!AR28</f>
        <v/>
      </c>
      <c r="N45" s="128">
        <f>MAX(0,M45-M44)</f>
        <v/>
      </c>
      <c r="O45" s="127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RESUMO'!AS28</f>
        <v/>
      </c>
      <c r="N46" s="128">
        <f>MAX(0,M46-M45)</f>
        <v/>
      </c>
      <c r="O46" s="127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RESUMO'!AT28</f>
        <v/>
      </c>
      <c r="N47" s="128">
        <f>MAX(0,M47-M46)</f>
        <v/>
      </c>
      <c r="O47" s="127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RESUMO'!AU28</f>
        <v/>
      </c>
      <c r="N48" s="128">
        <f>MAX(0,M48-M47)</f>
        <v/>
      </c>
      <c r="O48" s="127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RESUMO'!AV28</f>
        <v/>
      </c>
      <c r="N49" s="128">
        <f>MAX(0,M49-M48)</f>
        <v/>
      </c>
      <c r="O49" s="127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RESUMO'!AW28</f>
        <v/>
      </c>
      <c r="N50" s="128">
        <f>MAX(0,M50-M49)</f>
        <v/>
      </c>
      <c r="O50" s="127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RESUMO'!AX28</f>
        <v/>
      </c>
      <c r="N51" s="128">
        <f>MAX(0,M51-M50)</f>
        <v/>
      </c>
      <c r="O51" s="127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RESUMO'!AY28</f>
        <v/>
      </c>
      <c r="N52" s="128">
        <f>MAX(0,M52-M51)</f>
        <v/>
      </c>
      <c r="O52" s="127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RESUMO'!AZ28</f>
        <v/>
      </c>
      <c r="N53" s="128">
        <f>MAX(0,M53-M52)</f>
        <v/>
      </c>
      <c r="O53" s="127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RESUMO'!BA28</f>
        <v/>
      </c>
      <c r="N54" s="128">
        <f>MAX(0,M54-M53)</f>
        <v/>
      </c>
      <c r="O54" s="127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RESUMO'!BB28</f>
        <v/>
      </c>
      <c r="N55" s="128">
        <f>MAX(0,M55-M54)</f>
        <v/>
      </c>
      <c r="O55" s="127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RESUMO'!BC28</f>
        <v/>
      </c>
      <c r="N56" s="128">
        <f>MAX(0,M56-M55)</f>
        <v/>
      </c>
      <c r="O56" s="127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RESUMO'!BD28</f>
        <v/>
      </c>
      <c r="N57" s="128">
        <f>MAX(0,M57-M56)</f>
        <v/>
      </c>
      <c r="O57" s="127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RESUMO'!BE28</f>
        <v/>
      </c>
      <c r="N58" s="128">
        <f>MAX(0,M58-M57)</f>
        <v/>
      </c>
      <c r="O58" s="127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RESUMO'!BF28</f>
        <v/>
      </c>
      <c r="N59" s="128">
        <f>MAX(0,M59-M58)</f>
        <v/>
      </c>
      <c r="O59" s="127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RESUMO'!BG28</f>
        <v/>
      </c>
      <c r="N60" s="128">
        <f>MAX(0,M60-M59)</f>
        <v/>
      </c>
      <c r="O60" s="127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RESUMO'!BH28</f>
        <v/>
      </c>
      <c r="N61" s="128">
        <f>MAX(0,M61-M60)</f>
        <v/>
      </c>
      <c r="O61" s="127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RESUMO'!BI28</f>
        <v/>
      </c>
      <c r="N62" s="128">
        <f>MAX(0,M62-M61)</f>
        <v/>
      </c>
      <c r="O62" s="127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RESUMO'!BJ28</f>
        <v/>
      </c>
      <c r="N63" s="128">
        <f>MAX(0,M63-M62)</f>
        <v/>
      </c>
      <c r="O63" s="127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RESUMO'!BK28</f>
        <v/>
      </c>
      <c r="N64" s="128">
        <f>MAX(0,M64-M63)</f>
        <v/>
      </c>
      <c r="O64" s="127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RESUMO'!BL28</f>
        <v/>
      </c>
      <c r="N65" s="128">
        <f>MAX(0,M65-M64)</f>
        <v/>
      </c>
      <c r="O65" s="127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RESUMO'!BM28</f>
        <v/>
      </c>
      <c r="N66" s="128">
        <f>MAX(0,M66-M65)</f>
        <v/>
      </c>
      <c r="O66" s="127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RESUMO'!BN28</f>
        <v/>
      </c>
      <c r="N67" s="128">
        <f>MAX(0,M67-M66)</f>
        <v/>
      </c>
      <c r="O67" s="127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RESUMO'!BO28</f>
        <v/>
      </c>
      <c r="N68" s="128">
        <f>MAX(0,M68-M67)</f>
        <v/>
      </c>
      <c r="O68" s="127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RESUMO'!BP28</f>
        <v/>
      </c>
      <c r="N69" s="128">
        <f>MAX(0,M69-M68)</f>
        <v/>
      </c>
      <c r="O69" s="127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RESUMO'!BQ28</f>
        <v/>
      </c>
      <c r="N70" s="128">
        <f>MAX(0,M70-M69)</f>
        <v/>
      </c>
      <c r="O70" s="127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RESUMO'!BR28</f>
        <v/>
      </c>
      <c r="N71" s="128">
        <f>MAX(0,M71-M70)</f>
        <v/>
      </c>
      <c r="O71" s="127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RESUMO'!BS28</f>
        <v/>
      </c>
      <c r="N72" s="128">
        <f>MAX(0,M72-M71)</f>
        <v/>
      </c>
      <c r="O72" s="127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RESUMO'!BT28</f>
        <v/>
      </c>
      <c r="N73" s="128">
        <f>MAX(0,M73-M72)</f>
        <v/>
      </c>
      <c r="O73" s="127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RESUMO'!BU28</f>
        <v/>
      </c>
      <c r="N74" s="128">
        <f>MAX(0,M74-M73)</f>
        <v/>
      </c>
      <c r="O74" s="127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RESUMO'!BV28</f>
        <v/>
      </c>
      <c r="N75" s="128">
        <f>MAX(0,M75-M74)</f>
        <v/>
      </c>
      <c r="O75" s="127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RESUMO'!BW28</f>
        <v/>
      </c>
      <c r="N76" s="128">
        <f>MAX(0,M76-M75)</f>
        <v/>
      </c>
      <c r="O76" s="127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PL'!F35</f>
        <v/>
      </c>
      <c r="K5" s="63">
        <f>'VALOR POR PL'!G35</f>
        <v/>
      </c>
      <c r="M5" s="127">
        <f>'CP RESUMO'!D29</f>
        <v/>
      </c>
      <c r="N5" s="128" t="n">
        <v>0</v>
      </c>
      <c r="O5" s="127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RESUMO'!E29</f>
        <v/>
      </c>
      <c r="N6" s="128">
        <f>MAX(0,M6-M5)</f>
        <v/>
      </c>
      <c r="O6" s="127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PL'!L35</f>
        <v/>
      </c>
      <c r="M7" s="127">
        <f>'CP RESUMO'!F29</f>
        <v/>
      </c>
      <c r="N7" s="128">
        <f>MAX(0,M7-M6)</f>
        <v/>
      </c>
      <c r="O7" s="127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RESUMO'!G29</f>
        <v/>
      </c>
      <c r="N8" s="128">
        <f>MAX(0,M8-M7)</f>
        <v/>
      </c>
      <c r="O8" s="127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RESUMO'!H29</f>
        <v/>
      </c>
      <c r="N9" s="128">
        <f>MAX(0,M9-M8)</f>
        <v/>
      </c>
      <c r="O9" s="127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RESUMO'!I29</f>
        <v/>
      </c>
      <c r="N10" s="128">
        <f>MAX(0,M10-M9)</f>
        <v/>
      </c>
      <c r="O10" s="127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RESUMO'!J29</f>
        <v/>
      </c>
      <c r="N11" s="128">
        <f>MAX(0,M11-M10)</f>
        <v/>
      </c>
      <c r="O11" s="127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RESUMO'!K29</f>
        <v/>
      </c>
      <c r="N12" s="128">
        <f>MAX(0,M12-M11)</f>
        <v/>
      </c>
      <c r="O12" s="127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PL'!I35</f>
        <v/>
      </c>
      <c r="M13" s="127">
        <f>'CP RESUMO'!L29</f>
        <v/>
      </c>
      <c r="N13" s="128">
        <f>MAX(0,M13-M12)</f>
        <v/>
      </c>
      <c r="O13" s="127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7">
        <f>'CP RESUMO'!M29</f>
        <v/>
      </c>
      <c r="N14" s="128">
        <f>MAX(0,M14-M13)</f>
        <v/>
      </c>
      <c r="O14" s="127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RESUMO'!N29</f>
        <v/>
      </c>
      <c r="N15" s="128">
        <f>MAX(0,M15-M14)</f>
        <v/>
      </c>
      <c r="O15" s="127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RESUMO'!O29</f>
        <v/>
      </c>
      <c r="N16" s="128">
        <f>MAX(0,M16-M15)</f>
        <v/>
      </c>
      <c r="O16" s="127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RESUMO'!P29</f>
        <v/>
      </c>
      <c r="N17" s="128">
        <f>MAX(0,M17-M16)</f>
        <v/>
      </c>
      <c r="O17" s="127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RESUMO'!Q29</f>
        <v/>
      </c>
      <c r="N18" s="128">
        <f>MAX(0,M18-M17)</f>
        <v/>
      </c>
      <c r="O18" s="127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RESUMO'!R29</f>
        <v/>
      </c>
      <c r="N19" s="128">
        <f>MAX(0,M19-M18)</f>
        <v/>
      </c>
      <c r="O19" s="127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RESUMO'!S29</f>
        <v/>
      </c>
      <c r="N20" s="128">
        <f>MAX(0,M20-M19)</f>
        <v/>
      </c>
      <c r="O20" s="127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RESUMO'!T29</f>
        <v/>
      </c>
      <c r="N21" s="128">
        <f>MAX(0,M21-M20)</f>
        <v/>
      </c>
      <c r="O21" s="127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RESUMO'!U29</f>
        <v/>
      </c>
      <c r="N22" s="128">
        <f>MAX(0,M22-M21)</f>
        <v/>
      </c>
      <c r="O22" s="127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RESUMO'!V29</f>
        <v/>
      </c>
      <c r="N23" s="128">
        <f>MAX(0,M23-M22)</f>
        <v/>
      </c>
      <c r="O23" s="127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60% em 10 pagamentos + 40% por medição direta.</t>
        </is>
      </c>
      <c r="M24" s="127">
        <f>'CP RESUMO'!W29</f>
        <v/>
      </c>
      <c r="N24" s="128">
        <f>MAX(0,M24-M23)</f>
        <v/>
      </c>
      <c r="O24" s="127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RESUMO'!X29</f>
        <v/>
      </c>
      <c r="N25" s="128">
        <f>MAX(0,M25-M24)</f>
        <v/>
      </c>
      <c r="O25" s="127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RESUMO'!Y29</f>
        <v/>
      </c>
      <c r="N26" s="128">
        <f>MAX(0,M26-M25)</f>
        <v/>
      </c>
      <c r="O26" s="127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RESUMO'!Z29</f>
        <v/>
      </c>
      <c r="N27" s="128">
        <f>MAX(0,M27-M26)</f>
        <v/>
      </c>
      <c r="O27" s="127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RESUMO'!AA29</f>
        <v/>
      </c>
      <c r="N28" s="128">
        <f>MAX(0,M28-M27)</f>
        <v/>
      </c>
      <c r="O28" s="127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RESUMO'!AB29</f>
        <v/>
      </c>
      <c r="N29" s="128">
        <f>MAX(0,M29-M28)</f>
        <v/>
      </c>
      <c r="O29" s="127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RESUMO'!AC29</f>
        <v/>
      </c>
      <c r="N30" s="128">
        <f>MAX(0,M30-M29)</f>
        <v/>
      </c>
      <c r="O30" s="127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RESUMO'!AD29</f>
        <v/>
      </c>
      <c r="N31" s="128">
        <f>MAX(0,M31-M30)</f>
        <v/>
      </c>
      <c r="O31" s="127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RESUMO'!AE29</f>
        <v/>
      </c>
      <c r="N32" s="128">
        <f>MAX(0,M32-M31)</f>
        <v/>
      </c>
      <c r="O32" s="127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RESUMO'!AF29</f>
        <v/>
      </c>
      <c r="N33" s="128">
        <f>MAX(0,M33-M32)</f>
        <v/>
      </c>
      <c r="O33" s="127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RESUMO'!AG29</f>
        <v/>
      </c>
      <c r="N34" s="128">
        <f>MAX(0,M34-M33)</f>
        <v/>
      </c>
      <c r="O34" s="127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RESUMO'!AH29</f>
        <v/>
      </c>
      <c r="N35" s="128">
        <f>MAX(0,M35-M34)</f>
        <v/>
      </c>
      <c r="O35" s="127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RESUMO'!AI29</f>
        <v/>
      </c>
      <c r="N36" s="128">
        <f>MAX(0,M36-M35)</f>
        <v/>
      </c>
      <c r="O36" s="127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RESUMO'!AJ29</f>
        <v/>
      </c>
      <c r="N37" s="128">
        <f>MAX(0,M37-M36)</f>
        <v/>
      </c>
      <c r="O37" s="127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RESUMO'!AK29</f>
        <v/>
      </c>
      <c r="N38" s="128">
        <f>MAX(0,M38-M37)</f>
        <v/>
      </c>
      <c r="O38" s="127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RESUMO'!AL29</f>
        <v/>
      </c>
      <c r="N39" s="128">
        <f>MAX(0,M39-M38)</f>
        <v/>
      </c>
      <c r="O39" s="127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RESUMO'!AM29</f>
        <v/>
      </c>
      <c r="N40" s="128">
        <f>MAX(0,M40-M39)</f>
        <v/>
      </c>
      <c r="O40" s="127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RESUMO'!AN29</f>
        <v/>
      </c>
      <c r="N41" s="128">
        <f>MAX(0,M41-M40)</f>
        <v/>
      </c>
      <c r="O41" s="127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RESUMO'!AO29</f>
        <v/>
      </c>
      <c r="N42" s="128">
        <f>MAX(0,M42-M41)</f>
        <v/>
      </c>
      <c r="O42" s="127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RESUMO'!AP29</f>
        <v/>
      </c>
      <c r="N43" s="128">
        <f>MAX(0,M43-M42)</f>
        <v/>
      </c>
      <c r="O43" s="127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RESUMO'!AQ29</f>
        <v/>
      </c>
      <c r="N44" s="128">
        <f>MAX(0,M44-M43)</f>
        <v/>
      </c>
      <c r="O44" s="127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RESUMO'!AR29</f>
        <v/>
      </c>
      <c r="N45" s="128">
        <f>MAX(0,M45-M44)</f>
        <v/>
      </c>
      <c r="O45" s="127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RESUMO'!AS29</f>
        <v/>
      </c>
      <c r="N46" s="128">
        <f>MAX(0,M46-M45)</f>
        <v/>
      </c>
      <c r="O46" s="127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RESUMO'!AT29</f>
        <v/>
      </c>
      <c r="N47" s="128">
        <f>MAX(0,M47-M46)</f>
        <v/>
      </c>
      <c r="O47" s="127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RESUMO'!AU29</f>
        <v/>
      </c>
      <c r="N48" s="128">
        <f>MAX(0,M48-M47)</f>
        <v/>
      </c>
      <c r="O48" s="127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RESUMO'!AV29</f>
        <v/>
      </c>
      <c r="N49" s="128">
        <f>MAX(0,M49-M48)</f>
        <v/>
      </c>
      <c r="O49" s="127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RESUMO'!AW29</f>
        <v/>
      </c>
      <c r="N50" s="128">
        <f>MAX(0,M50-M49)</f>
        <v/>
      </c>
      <c r="O50" s="127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RESUMO'!AX29</f>
        <v/>
      </c>
      <c r="N51" s="128">
        <f>MAX(0,M51-M50)</f>
        <v/>
      </c>
      <c r="O51" s="127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RESUMO'!AY29</f>
        <v/>
      </c>
      <c r="N52" s="128">
        <f>MAX(0,M52-M51)</f>
        <v/>
      </c>
      <c r="O52" s="127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RESUMO'!AZ29</f>
        <v/>
      </c>
      <c r="N53" s="128">
        <f>MAX(0,M53-M52)</f>
        <v/>
      </c>
      <c r="O53" s="127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RESUMO'!BA29</f>
        <v/>
      </c>
      <c r="N54" s="128">
        <f>MAX(0,M54-M53)</f>
        <v/>
      </c>
      <c r="O54" s="127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RESUMO'!BB29</f>
        <v/>
      </c>
      <c r="N55" s="128">
        <f>MAX(0,M55-M54)</f>
        <v/>
      </c>
      <c r="O55" s="127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RESUMO'!BC29</f>
        <v/>
      </c>
      <c r="N56" s="128">
        <f>MAX(0,M56-M55)</f>
        <v/>
      </c>
      <c r="O56" s="127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RESUMO'!BD29</f>
        <v/>
      </c>
      <c r="N57" s="128">
        <f>MAX(0,M57-M56)</f>
        <v/>
      </c>
      <c r="O57" s="127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RESUMO'!BE29</f>
        <v/>
      </c>
      <c r="N58" s="128">
        <f>MAX(0,M58-M57)</f>
        <v/>
      </c>
      <c r="O58" s="127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RESUMO'!BF29</f>
        <v/>
      </c>
      <c r="N59" s="128">
        <f>MAX(0,M59-M58)</f>
        <v/>
      </c>
      <c r="O59" s="127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RESUMO'!BG29</f>
        <v/>
      </c>
      <c r="N60" s="128">
        <f>MAX(0,M60-M59)</f>
        <v/>
      </c>
      <c r="O60" s="127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RESUMO'!BH29</f>
        <v/>
      </c>
      <c r="N61" s="128">
        <f>MAX(0,M61-M60)</f>
        <v/>
      </c>
      <c r="O61" s="127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RESUMO'!BI29</f>
        <v/>
      </c>
      <c r="N62" s="128">
        <f>MAX(0,M62-M61)</f>
        <v/>
      </c>
      <c r="O62" s="127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RESUMO'!BJ29</f>
        <v/>
      </c>
      <c r="N63" s="128">
        <f>MAX(0,M63-M62)</f>
        <v/>
      </c>
      <c r="O63" s="127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RESUMO'!BK29</f>
        <v/>
      </c>
      <c r="N64" s="128">
        <f>MAX(0,M64-M63)</f>
        <v/>
      </c>
      <c r="O64" s="127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RESUMO'!BL29</f>
        <v/>
      </c>
      <c r="N65" s="128">
        <f>MAX(0,M65-M64)</f>
        <v/>
      </c>
      <c r="O65" s="127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RESUMO'!BM29</f>
        <v/>
      </c>
      <c r="N66" s="128">
        <f>MAX(0,M66-M65)</f>
        <v/>
      </c>
      <c r="O66" s="127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RESUMO'!BN29</f>
        <v/>
      </c>
      <c r="N67" s="128">
        <f>MAX(0,M67-M66)</f>
        <v/>
      </c>
      <c r="O67" s="127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RESUMO'!BO29</f>
        <v/>
      </c>
      <c r="N68" s="128">
        <f>MAX(0,M68-M67)</f>
        <v/>
      </c>
      <c r="O68" s="127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RESUMO'!BP29</f>
        <v/>
      </c>
      <c r="N69" s="128">
        <f>MAX(0,M69-M68)</f>
        <v/>
      </c>
      <c r="O69" s="127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RESUMO'!BQ29</f>
        <v/>
      </c>
      <c r="N70" s="128">
        <f>MAX(0,M70-M69)</f>
        <v/>
      </c>
      <c r="O70" s="127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RESUMO'!BR29</f>
        <v/>
      </c>
      <c r="N71" s="128">
        <f>MAX(0,M71-M70)</f>
        <v/>
      </c>
      <c r="O71" s="127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RESUMO'!BS29</f>
        <v/>
      </c>
      <c r="N72" s="128">
        <f>MAX(0,M72-M71)</f>
        <v/>
      </c>
      <c r="O72" s="127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RESUMO'!BT29</f>
        <v/>
      </c>
      <c r="N73" s="128">
        <f>MAX(0,M73-M72)</f>
        <v/>
      </c>
      <c r="O73" s="127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RESUMO'!BU29</f>
        <v/>
      </c>
      <c r="N74" s="128">
        <f>MAX(0,M74-M73)</f>
        <v/>
      </c>
      <c r="O74" s="127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RESUMO'!BV29</f>
        <v/>
      </c>
      <c r="N75" s="128">
        <f>MAX(0,M75-M74)</f>
        <v/>
      </c>
      <c r="O75" s="127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RESUMO'!BW29</f>
        <v/>
      </c>
      <c r="N76" s="128">
        <f>MAX(0,M76-M75)</f>
        <v/>
      </c>
      <c r="O76" s="127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PL'!F36</f>
        <v/>
      </c>
      <c r="K5" s="63">
        <f>'VALOR POR PL'!G36</f>
        <v/>
      </c>
      <c r="M5" s="127">
        <f>'CP RESUMO'!D30</f>
        <v/>
      </c>
      <c r="N5" s="128" t="n">
        <v>0</v>
      </c>
      <c r="O5" s="127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RESUMO'!E30</f>
        <v/>
      </c>
      <c r="N6" s="128">
        <f>MAX(0,M6-M5)</f>
        <v/>
      </c>
      <c r="O6" s="127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PL'!L36</f>
        <v/>
      </c>
      <c r="M7" s="127">
        <f>'CP RESUMO'!F30</f>
        <v/>
      </c>
      <c r="N7" s="128">
        <f>MAX(0,M7-M6)</f>
        <v/>
      </c>
      <c r="O7" s="127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RESUMO'!G30</f>
        <v/>
      </c>
      <c r="N8" s="128">
        <f>MAX(0,M8-M7)</f>
        <v/>
      </c>
      <c r="O8" s="127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RESUMO'!H30</f>
        <v/>
      </c>
      <c r="N9" s="128">
        <f>MAX(0,M9-M8)</f>
        <v/>
      </c>
      <c r="O9" s="127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RESUMO'!I30</f>
        <v/>
      </c>
      <c r="N10" s="128">
        <f>MAX(0,M10-M9)</f>
        <v/>
      </c>
      <c r="O10" s="127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RESUMO'!J30</f>
        <v/>
      </c>
      <c r="N11" s="128">
        <f>MAX(0,M11-M10)</f>
        <v/>
      </c>
      <c r="O11" s="127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RESUMO'!K30</f>
        <v/>
      </c>
      <c r="N12" s="128">
        <f>MAX(0,M12-M11)</f>
        <v/>
      </c>
      <c r="O12" s="127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PL'!I36</f>
        <v/>
      </c>
      <c r="M13" s="127">
        <f>'CP RESUMO'!L30</f>
        <v/>
      </c>
      <c r="N13" s="128">
        <f>MAX(0,M13-M12)</f>
        <v/>
      </c>
      <c r="O13" s="127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7">
        <f>'CP RESUMO'!M30</f>
        <v/>
      </c>
      <c r="N14" s="128">
        <f>MAX(0,M14-M13)</f>
        <v/>
      </c>
      <c r="O14" s="127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RESUMO'!N30</f>
        <v/>
      </c>
      <c r="N15" s="128">
        <f>MAX(0,M15-M14)</f>
        <v/>
      </c>
      <c r="O15" s="127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RESUMO'!O30</f>
        <v/>
      </c>
      <c r="N16" s="128">
        <f>MAX(0,M16-M15)</f>
        <v/>
      </c>
      <c r="O16" s="127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RESUMO'!P30</f>
        <v/>
      </c>
      <c r="N17" s="128">
        <f>MAX(0,M17-M16)</f>
        <v/>
      </c>
      <c r="O17" s="127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RESUMO'!Q30</f>
        <v/>
      </c>
      <c r="N18" s="128">
        <f>MAX(0,M18-M17)</f>
        <v/>
      </c>
      <c r="O18" s="127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RESUMO'!R30</f>
        <v/>
      </c>
      <c r="N19" s="128">
        <f>MAX(0,M19-M18)</f>
        <v/>
      </c>
      <c r="O19" s="127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RESUMO'!S30</f>
        <v/>
      </c>
      <c r="N20" s="128">
        <f>MAX(0,M20-M19)</f>
        <v/>
      </c>
      <c r="O20" s="127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RESUMO'!T30</f>
        <v/>
      </c>
      <c r="N21" s="128">
        <f>MAX(0,M21-M20)</f>
        <v/>
      </c>
      <c r="O21" s="127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RESUMO'!U30</f>
        <v/>
      </c>
      <c r="N22" s="128">
        <f>MAX(0,M22-M21)</f>
        <v/>
      </c>
      <c r="O22" s="127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RESUMO'!V30</f>
        <v/>
      </c>
      <c r="N23" s="128">
        <f>MAX(0,M23-M22)</f>
        <v/>
      </c>
      <c r="O23" s="127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RESUMO'!W30</f>
        <v/>
      </c>
      <c r="N24" s="128">
        <f>MAX(0,M24-M23)</f>
        <v/>
      </c>
      <c r="O24" s="127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RESUMO'!X30</f>
        <v/>
      </c>
      <c r="N25" s="128">
        <f>MAX(0,M25-M24)</f>
        <v/>
      </c>
      <c r="O25" s="127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RESUMO'!Y30</f>
        <v/>
      </c>
      <c r="N26" s="128">
        <f>MAX(0,M26-M25)</f>
        <v/>
      </c>
      <c r="O26" s="127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RESUMO'!Z30</f>
        <v/>
      </c>
      <c r="N27" s="128">
        <f>MAX(0,M27-M26)</f>
        <v/>
      </c>
      <c r="O27" s="127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RESUMO'!AA30</f>
        <v/>
      </c>
      <c r="N28" s="128">
        <f>MAX(0,M28-M27)</f>
        <v/>
      </c>
      <c r="O28" s="127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RESUMO'!AB30</f>
        <v/>
      </c>
      <c r="N29" s="128">
        <f>MAX(0,M29-M28)</f>
        <v/>
      </c>
      <c r="O29" s="127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RESUMO'!AC30</f>
        <v/>
      </c>
      <c r="N30" s="128">
        <f>MAX(0,M30-M29)</f>
        <v/>
      </c>
      <c r="O30" s="127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RESUMO'!AD30</f>
        <v/>
      </c>
      <c r="N31" s="128">
        <f>MAX(0,M31-M30)</f>
        <v/>
      </c>
      <c r="O31" s="127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RESUMO'!AE30</f>
        <v/>
      </c>
      <c r="N32" s="128">
        <f>MAX(0,M32-M31)</f>
        <v/>
      </c>
      <c r="O32" s="127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RESUMO'!AF30</f>
        <v/>
      </c>
      <c r="N33" s="128">
        <f>MAX(0,M33-M32)</f>
        <v/>
      </c>
      <c r="O33" s="127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RESUMO'!AG30</f>
        <v/>
      </c>
      <c r="N34" s="128">
        <f>MAX(0,M34-M33)</f>
        <v/>
      </c>
      <c r="O34" s="127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RESUMO'!AH30</f>
        <v/>
      </c>
      <c r="N35" s="128">
        <f>MAX(0,M35-M34)</f>
        <v/>
      </c>
      <c r="O35" s="127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RESUMO'!AI30</f>
        <v/>
      </c>
      <c r="N36" s="128">
        <f>MAX(0,M36-M35)</f>
        <v/>
      </c>
      <c r="O36" s="127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RESUMO'!AJ30</f>
        <v/>
      </c>
      <c r="N37" s="128">
        <f>MAX(0,M37-M36)</f>
        <v/>
      </c>
      <c r="O37" s="127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RESUMO'!AK30</f>
        <v/>
      </c>
      <c r="N38" s="128">
        <f>MAX(0,M38-M37)</f>
        <v/>
      </c>
      <c r="O38" s="127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RESUMO'!AL30</f>
        <v/>
      </c>
      <c r="N39" s="128">
        <f>MAX(0,M39-M38)</f>
        <v/>
      </c>
      <c r="O39" s="127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RESUMO'!AM30</f>
        <v/>
      </c>
      <c r="N40" s="128">
        <f>MAX(0,M40-M39)</f>
        <v/>
      </c>
      <c r="O40" s="127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RESUMO'!AN30</f>
        <v/>
      </c>
      <c r="N41" s="128">
        <f>MAX(0,M41-M40)</f>
        <v/>
      </c>
      <c r="O41" s="127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RESUMO'!AO30</f>
        <v/>
      </c>
      <c r="N42" s="128">
        <f>MAX(0,M42-M41)</f>
        <v/>
      </c>
      <c r="O42" s="127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RESUMO'!AP30</f>
        <v/>
      </c>
      <c r="N43" s="128">
        <f>MAX(0,M43-M42)</f>
        <v/>
      </c>
      <c r="O43" s="127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RESUMO'!AQ30</f>
        <v/>
      </c>
      <c r="N44" s="128">
        <f>MAX(0,M44-M43)</f>
        <v/>
      </c>
      <c r="O44" s="127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RESUMO'!AR30</f>
        <v/>
      </c>
      <c r="N45" s="128">
        <f>MAX(0,M45-M44)</f>
        <v/>
      </c>
      <c r="O45" s="127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RESUMO'!AS30</f>
        <v/>
      </c>
      <c r="N46" s="128">
        <f>MAX(0,M46-M45)</f>
        <v/>
      </c>
      <c r="O46" s="127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RESUMO'!AT30</f>
        <v/>
      </c>
      <c r="N47" s="128">
        <f>MAX(0,M47-M46)</f>
        <v/>
      </c>
      <c r="O47" s="127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RESUMO'!AU30</f>
        <v/>
      </c>
      <c r="N48" s="128">
        <f>MAX(0,M48-M47)</f>
        <v/>
      </c>
      <c r="O48" s="127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RESUMO'!AV30</f>
        <v/>
      </c>
      <c r="N49" s="128">
        <f>MAX(0,M49-M48)</f>
        <v/>
      </c>
      <c r="O49" s="127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RESUMO'!AW30</f>
        <v/>
      </c>
      <c r="N50" s="128">
        <f>MAX(0,M50-M49)</f>
        <v/>
      </c>
      <c r="O50" s="127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RESUMO'!AX30</f>
        <v/>
      </c>
      <c r="N51" s="128">
        <f>MAX(0,M51-M50)</f>
        <v/>
      </c>
      <c r="O51" s="127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RESUMO'!AY30</f>
        <v/>
      </c>
      <c r="N52" s="128">
        <f>MAX(0,M52-M51)</f>
        <v/>
      </c>
      <c r="O52" s="127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RESUMO'!AZ30</f>
        <v/>
      </c>
      <c r="N53" s="128">
        <f>MAX(0,M53-M52)</f>
        <v/>
      </c>
      <c r="O53" s="127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RESUMO'!BA30</f>
        <v/>
      </c>
      <c r="N54" s="128">
        <f>MAX(0,M54-M53)</f>
        <v/>
      </c>
      <c r="O54" s="127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RESUMO'!BB30</f>
        <v/>
      </c>
      <c r="N55" s="128">
        <f>MAX(0,M55-M54)</f>
        <v/>
      </c>
      <c r="O55" s="127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RESUMO'!BC30</f>
        <v/>
      </c>
      <c r="N56" s="128">
        <f>MAX(0,M56-M55)</f>
        <v/>
      </c>
      <c r="O56" s="127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RESUMO'!BD30</f>
        <v/>
      </c>
      <c r="N57" s="128">
        <f>MAX(0,M57-M56)</f>
        <v/>
      </c>
      <c r="O57" s="127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RESUMO'!BE30</f>
        <v/>
      </c>
      <c r="N58" s="128">
        <f>MAX(0,M58-M57)</f>
        <v/>
      </c>
      <c r="O58" s="127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RESUMO'!BF30</f>
        <v/>
      </c>
      <c r="N59" s="128">
        <f>MAX(0,M59-M58)</f>
        <v/>
      </c>
      <c r="O59" s="127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RESUMO'!BG30</f>
        <v/>
      </c>
      <c r="N60" s="128">
        <f>MAX(0,M60-M59)</f>
        <v/>
      </c>
      <c r="O60" s="127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RESUMO'!BH30</f>
        <v/>
      </c>
      <c r="N61" s="128">
        <f>MAX(0,M61-M60)</f>
        <v/>
      </c>
      <c r="O61" s="127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RESUMO'!BI30</f>
        <v/>
      </c>
      <c r="N62" s="128">
        <f>MAX(0,M62-M61)</f>
        <v/>
      </c>
      <c r="O62" s="127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RESUMO'!BJ30</f>
        <v/>
      </c>
      <c r="N63" s="128">
        <f>MAX(0,M63-M62)</f>
        <v/>
      </c>
      <c r="O63" s="127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RESUMO'!BK30</f>
        <v/>
      </c>
      <c r="N64" s="128">
        <f>MAX(0,M64-M63)</f>
        <v/>
      </c>
      <c r="O64" s="127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RESUMO'!BL30</f>
        <v/>
      </c>
      <c r="N65" s="128">
        <f>MAX(0,M65-M64)</f>
        <v/>
      </c>
      <c r="O65" s="127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RESUMO'!BM30</f>
        <v/>
      </c>
      <c r="N66" s="128">
        <f>MAX(0,M66-M65)</f>
        <v/>
      </c>
      <c r="O66" s="127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RESUMO'!BN30</f>
        <v/>
      </c>
      <c r="N67" s="128">
        <f>MAX(0,M67-M66)</f>
        <v/>
      </c>
      <c r="O67" s="127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RESUMO'!BO30</f>
        <v/>
      </c>
      <c r="N68" s="128">
        <f>MAX(0,M68-M67)</f>
        <v/>
      </c>
      <c r="O68" s="127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RESUMO'!BP30</f>
        <v/>
      </c>
      <c r="N69" s="128">
        <f>MAX(0,M69-M68)</f>
        <v/>
      </c>
      <c r="O69" s="127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RESUMO'!BQ30</f>
        <v/>
      </c>
      <c r="N70" s="128">
        <f>MAX(0,M70-M69)</f>
        <v/>
      </c>
      <c r="O70" s="127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RESUMO'!BR30</f>
        <v/>
      </c>
      <c r="N71" s="128">
        <f>MAX(0,M71-M70)</f>
        <v/>
      </c>
      <c r="O71" s="127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RESUMO'!BS30</f>
        <v/>
      </c>
      <c r="N72" s="128">
        <f>MAX(0,M72-M71)</f>
        <v/>
      </c>
      <c r="O72" s="127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RESUMO'!BT30</f>
        <v/>
      </c>
      <c r="N73" s="128">
        <f>MAX(0,M73-M72)</f>
        <v/>
      </c>
      <c r="O73" s="127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RESUMO'!BU30</f>
        <v/>
      </c>
      <c r="N74" s="128">
        <f>MAX(0,M74-M73)</f>
        <v/>
      </c>
      <c r="O74" s="127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RESUMO'!BV30</f>
        <v/>
      </c>
      <c r="N75" s="128">
        <f>MAX(0,M75-M74)</f>
        <v/>
      </c>
      <c r="O75" s="127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RESUMO'!BW30</f>
        <v/>
      </c>
      <c r="N76" s="128">
        <f>MAX(0,M76-M75)</f>
        <v/>
      </c>
      <c r="O76" s="127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PL'!F37</f>
        <v/>
      </c>
      <c r="K5" s="63">
        <f>'VALOR POR PL'!G37</f>
        <v/>
      </c>
      <c r="M5" s="127">
        <f>'CP RESUMO'!D31</f>
        <v/>
      </c>
      <c r="N5" s="128" t="n">
        <v>0</v>
      </c>
      <c r="O5" s="127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RESUMO'!E31</f>
        <v/>
      </c>
      <c r="N6" s="128">
        <f>MAX(0,M6-M5)</f>
        <v/>
      </c>
      <c r="O6" s="127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PL'!L37</f>
        <v/>
      </c>
      <c r="M7" s="127">
        <f>'CP RESUMO'!F31</f>
        <v/>
      </c>
      <c r="N7" s="128">
        <f>MAX(0,M7-M6)</f>
        <v/>
      </c>
      <c r="O7" s="127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RESUMO'!G31</f>
        <v/>
      </c>
      <c r="N8" s="128">
        <f>MAX(0,M8-M7)</f>
        <v/>
      </c>
      <c r="O8" s="127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RESUMO'!H31</f>
        <v/>
      </c>
      <c r="N9" s="128">
        <f>MAX(0,M9-M8)</f>
        <v/>
      </c>
      <c r="O9" s="127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RESUMO'!I31</f>
        <v/>
      </c>
      <c r="N10" s="128">
        <f>MAX(0,M10-M9)</f>
        <v/>
      </c>
      <c r="O10" s="127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RESUMO'!J31</f>
        <v/>
      </c>
      <c r="N11" s="128">
        <f>MAX(0,M11-M10)</f>
        <v/>
      </c>
      <c r="O11" s="127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RESUMO'!K31</f>
        <v/>
      </c>
      <c r="N12" s="128">
        <f>MAX(0,M12-M11)</f>
        <v/>
      </c>
      <c r="O12" s="127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PL'!I37</f>
        <v/>
      </c>
      <c r="M13" s="127">
        <f>'CP RESUMO'!L31</f>
        <v/>
      </c>
      <c r="N13" s="128">
        <f>MAX(0,M13-M12)</f>
        <v/>
      </c>
      <c r="O13" s="127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7">
        <f>'CP RESUMO'!M31</f>
        <v/>
      </c>
      <c r="N14" s="128">
        <f>MAX(0,M14-M13)</f>
        <v/>
      </c>
      <c r="O14" s="127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RESUMO'!N31</f>
        <v/>
      </c>
      <c r="N15" s="128">
        <f>MAX(0,M15-M14)</f>
        <v/>
      </c>
      <c r="O15" s="127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RESUMO'!O31</f>
        <v/>
      </c>
      <c r="N16" s="128">
        <f>MAX(0,M16-M15)</f>
        <v/>
      </c>
      <c r="O16" s="127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RESUMO'!P31</f>
        <v/>
      </c>
      <c r="N17" s="128">
        <f>MAX(0,M17-M16)</f>
        <v/>
      </c>
      <c r="O17" s="127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RESUMO'!Q31</f>
        <v/>
      </c>
      <c r="N18" s="128">
        <f>MAX(0,M18-M17)</f>
        <v/>
      </c>
      <c r="O18" s="127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RESUMO'!R31</f>
        <v/>
      </c>
      <c r="N19" s="128">
        <f>MAX(0,M19-M18)</f>
        <v/>
      </c>
      <c r="O19" s="127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RESUMO'!S31</f>
        <v/>
      </c>
      <c r="N20" s="128">
        <f>MAX(0,M20-M19)</f>
        <v/>
      </c>
      <c r="O20" s="127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RESUMO'!T31</f>
        <v/>
      </c>
      <c r="N21" s="128">
        <f>MAX(0,M21-M20)</f>
        <v/>
      </c>
      <c r="O21" s="127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RESUMO'!U31</f>
        <v/>
      </c>
      <c r="N22" s="128">
        <f>MAX(0,M22-M21)</f>
        <v/>
      </c>
      <c r="O22" s="127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RESUMO'!V31</f>
        <v/>
      </c>
      <c r="N23" s="128">
        <f>MAX(0,M23-M22)</f>
        <v/>
      </c>
      <c r="O23" s="127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RESUMO'!W31</f>
        <v/>
      </c>
      <c r="N24" s="128">
        <f>MAX(0,M24-M23)</f>
        <v/>
      </c>
      <c r="O24" s="127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RESUMO'!X31</f>
        <v/>
      </c>
      <c r="N25" s="128">
        <f>MAX(0,M25-M24)</f>
        <v/>
      </c>
      <c r="O25" s="127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RESUMO'!Y31</f>
        <v/>
      </c>
      <c r="N26" s="128">
        <f>MAX(0,M26-M25)</f>
        <v/>
      </c>
      <c r="O26" s="127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RESUMO'!Z31</f>
        <v/>
      </c>
      <c r="N27" s="128">
        <f>MAX(0,M27-M26)</f>
        <v/>
      </c>
      <c r="O27" s="127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RESUMO'!AA31</f>
        <v/>
      </c>
      <c r="N28" s="128">
        <f>MAX(0,M28-M27)</f>
        <v/>
      </c>
      <c r="O28" s="127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RESUMO'!AB31</f>
        <v/>
      </c>
      <c r="N29" s="128">
        <f>MAX(0,M29-M28)</f>
        <v/>
      </c>
      <c r="O29" s="127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RESUMO'!AC31</f>
        <v/>
      </c>
      <c r="N30" s="128">
        <f>MAX(0,M30-M29)</f>
        <v/>
      </c>
      <c r="O30" s="127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RESUMO'!AD31</f>
        <v/>
      </c>
      <c r="N31" s="128">
        <f>MAX(0,M31-M30)</f>
        <v/>
      </c>
      <c r="O31" s="127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RESUMO'!AE31</f>
        <v/>
      </c>
      <c r="N32" s="128">
        <f>MAX(0,M32-M31)</f>
        <v/>
      </c>
      <c r="O32" s="127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RESUMO'!AF31</f>
        <v/>
      </c>
      <c r="N33" s="128">
        <f>MAX(0,M33-M32)</f>
        <v/>
      </c>
      <c r="O33" s="127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RESUMO'!AG31</f>
        <v/>
      </c>
      <c r="N34" s="128">
        <f>MAX(0,M34-M33)</f>
        <v/>
      </c>
      <c r="O34" s="127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RESUMO'!AH31</f>
        <v/>
      </c>
      <c r="N35" s="128">
        <f>MAX(0,M35-M34)</f>
        <v/>
      </c>
      <c r="O35" s="127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RESUMO'!AI31</f>
        <v/>
      </c>
      <c r="N36" s="128">
        <f>MAX(0,M36-M35)</f>
        <v/>
      </c>
      <c r="O36" s="127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RESUMO'!AJ31</f>
        <v/>
      </c>
      <c r="N37" s="128">
        <f>MAX(0,M37-M36)</f>
        <v/>
      </c>
      <c r="O37" s="127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RESUMO'!AK31</f>
        <v/>
      </c>
      <c r="N38" s="128">
        <f>MAX(0,M38-M37)</f>
        <v/>
      </c>
      <c r="O38" s="127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RESUMO'!AL31</f>
        <v/>
      </c>
      <c r="N39" s="128">
        <f>MAX(0,M39-M38)</f>
        <v/>
      </c>
      <c r="O39" s="127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RESUMO'!AM31</f>
        <v/>
      </c>
      <c r="N40" s="128">
        <f>MAX(0,M40-M39)</f>
        <v/>
      </c>
      <c r="O40" s="127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RESUMO'!AN31</f>
        <v/>
      </c>
      <c r="N41" s="128">
        <f>MAX(0,M41-M40)</f>
        <v/>
      </c>
      <c r="O41" s="127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RESUMO'!AO31</f>
        <v/>
      </c>
      <c r="N42" s="128">
        <f>MAX(0,M42-M41)</f>
        <v/>
      </c>
      <c r="O42" s="127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RESUMO'!AP31</f>
        <v/>
      </c>
      <c r="N43" s="128">
        <f>MAX(0,M43-M42)</f>
        <v/>
      </c>
      <c r="O43" s="127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RESUMO'!AQ31</f>
        <v/>
      </c>
      <c r="N44" s="128">
        <f>MAX(0,M44-M43)</f>
        <v/>
      </c>
      <c r="O44" s="127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RESUMO'!AR31</f>
        <v/>
      </c>
      <c r="N45" s="128">
        <f>MAX(0,M45-M44)</f>
        <v/>
      </c>
      <c r="O45" s="127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RESUMO'!AS31</f>
        <v/>
      </c>
      <c r="N46" s="128">
        <f>MAX(0,M46-M45)</f>
        <v/>
      </c>
      <c r="O46" s="127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RESUMO'!AT31</f>
        <v/>
      </c>
      <c r="N47" s="128">
        <f>MAX(0,M47-M46)</f>
        <v/>
      </c>
      <c r="O47" s="127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RESUMO'!AU31</f>
        <v/>
      </c>
      <c r="N48" s="128">
        <f>MAX(0,M48-M47)</f>
        <v/>
      </c>
      <c r="O48" s="127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RESUMO'!AV31</f>
        <v/>
      </c>
      <c r="N49" s="128">
        <f>MAX(0,M49-M48)</f>
        <v/>
      </c>
      <c r="O49" s="127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RESUMO'!AW31</f>
        <v/>
      </c>
      <c r="N50" s="128">
        <f>MAX(0,M50-M49)</f>
        <v/>
      </c>
      <c r="O50" s="127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RESUMO'!AX31</f>
        <v/>
      </c>
      <c r="N51" s="128">
        <f>MAX(0,M51-M50)</f>
        <v/>
      </c>
      <c r="O51" s="127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RESUMO'!AY31</f>
        <v/>
      </c>
      <c r="N52" s="128">
        <f>MAX(0,M52-M51)</f>
        <v/>
      </c>
      <c r="O52" s="127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RESUMO'!AZ31</f>
        <v/>
      </c>
      <c r="N53" s="128">
        <f>MAX(0,M53-M52)</f>
        <v/>
      </c>
      <c r="O53" s="127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RESUMO'!BA31</f>
        <v/>
      </c>
      <c r="N54" s="128">
        <f>MAX(0,M54-M53)</f>
        <v/>
      </c>
      <c r="O54" s="127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RESUMO'!BB31</f>
        <v/>
      </c>
      <c r="N55" s="128">
        <f>MAX(0,M55-M54)</f>
        <v/>
      </c>
      <c r="O55" s="127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RESUMO'!BC31</f>
        <v/>
      </c>
      <c r="N56" s="128">
        <f>MAX(0,M56-M55)</f>
        <v/>
      </c>
      <c r="O56" s="127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RESUMO'!BD31</f>
        <v/>
      </c>
      <c r="N57" s="128">
        <f>MAX(0,M57-M56)</f>
        <v/>
      </c>
      <c r="O57" s="127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RESUMO'!BE31</f>
        <v/>
      </c>
      <c r="N58" s="128">
        <f>MAX(0,M58-M57)</f>
        <v/>
      </c>
      <c r="O58" s="127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RESUMO'!BF31</f>
        <v/>
      </c>
      <c r="N59" s="128">
        <f>MAX(0,M59-M58)</f>
        <v/>
      </c>
      <c r="O59" s="127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RESUMO'!BG31</f>
        <v/>
      </c>
      <c r="N60" s="128">
        <f>MAX(0,M60-M59)</f>
        <v/>
      </c>
      <c r="O60" s="127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RESUMO'!BH31</f>
        <v/>
      </c>
      <c r="N61" s="128">
        <f>MAX(0,M61-M60)</f>
        <v/>
      </c>
      <c r="O61" s="127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RESUMO'!BI31</f>
        <v/>
      </c>
      <c r="N62" s="128">
        <f>MAX(0,M62-M61)</f>
        <v/>
      </c>
      <c r="O62" s="127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RESUMO'!BJ31</f>
        <v/>
      </c>
      <c r="N63" s="128">
        <f>MAX(0,M63-M62)</f>
        <v/>
      </c>
      <c r="O63" s="127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RESUMO'!BK31</f>
        <v/>
      </c>
      <c r="N64" s="128">
        <f>MAX(0,M64-M63)</f>
        <v/>
      </c>
      <c r="O64" s="127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RESUMO'!BL31</f>
        <v/>
      </c>
      <c r="N65" s="128">
        <f>MAX(0,M65-M64)</f>
        <v/>
      </c>
      <c r="O65" s="127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RESUMO'!BM31</f>
        <v/>
      </c>
      <c r="N66" s="128">
        <f>MAX(0,M66-M65)</f>
        <v/>
      </c>
      <c r="O66" s="127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RESUMO'!BN31</f>
        <v/>
      </c>
      <c r="N67" s="128">
        <f>MAX(0,M67-M66)</f>
        <v/>
      </c>
      <c r="O67" s="127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RESUMO'!BO31</f>
        <v/>
      </c>
      <c r="N68" s="128">
        <f>MAX(0,M68-M67)</f>
        <v/>
      </c>
      <c r="O68" s="127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RESUMO'!BP31</f>
        <v/>
      </c>
      <c r="N69" s="128">
        <f>MAX(0,M69-M68)</f>
        <v/>
      </c>
      <c r="O69" s="127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RESUMO'!BQ31</f>
        <v/>
      </c>
      <c r="N70" s="128">
        <f>MAX(0,M70-M69)</f>
        <v/>
      </c>
      <c r="O70" s="127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RESUMO'!BR31</f>
        <v/>
      </c>
      <c r="N71" s="128">
        <f>MAX(0,M71-M70)</f>
        <v/>
      </c>
      <c r="O71" s="127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RESUMO'!BS31</f>
        <v/>
      </c>
      <c r="N72" s="128">
        <f>MAX(0,M72-M71)</f>
        <v/>
      </c>
      <c r="O72" s="127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RESUMO'!BT31</f>
        <v/>
      </c>
      <c r="N73" s="128">
        <f>MAX(0,M73-M72)</f>
        <v/>
      </c>
      <c r="O73" s="127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RESUMO'!BU31</f>
        <v/>
      </c>
      <c r="N74" s="128">
        <f>MAX(0,M74-M73)</f>
        <v/>
      </c>
      <c r="O74" s="127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RESUMO'!BV31</f>
        <v/>
      </c>
      <c r="N75" s="128">
        <f>MAX(0,M75-M74)</f>
        <v/>
      </c>
      <c r="O75" s="127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RESUMO'!BW31</f>
        <v/>
      </c>
      <c r="N76" s="128">
        <f>MAX(0,M76-M75)</f>
        <v/>
      </c>
      <c r="O76" s="127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PL'!F38</f>
        <v/>
      </c>
      <c r="K5" s="63">
        <f>'VALOR POR PL'!G38</f>
        <v/>
      </c>
      <c r="M5" s="127">
        <f>'CP RESUMO'!D32</f>
        <v/>
      </c>
      <c r="N5" s="128" t="n">
        <v>0</v>
      </c>
      <c r="O5" s="127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RESUMO'!E32</f>
        <v/>
      </c>
      <c r="N6" s="128">
        <f>MAX(0,M6-M5)</f>
        <v/>
      </c>
      <c r="O6" s="127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PL'!L38</f>
        <v/>
      </c>
      <c r="M7" s="127">
        <f>'CP RESUMO'!F32</f>
        <v/>
      </c>
      <c r="N7" s="128">
        <f>MAX(0,M7-M6)</f>
        <v/>
      </c>
      <c r="O7" s="127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RESUMO'!G32</f>
        <v/>
      </c>
      <c r="N8" s="128">
        <f>MAX(0,M8-M7)</f>
        <v/>
      </c>
      <c r="O8" s="127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RESUMO'!H32</f>
        <v/>
      </c>
      <c r="N9" s="128">
        <f>MAX(0,M9-M8)</f>
        <v/>
      </c>
      <c r="O9" s="127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RESUMO'!I32</f>
        <v/>
      </c>
      <c r="N10" s="128">
        <f>MAX(0,M10-M9)</f>
        <v/>
      </c>
      <c r="O10" s="127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RESUMO'!J32</f>
        <v/>
      </c>
      <c r="N11" s="128">
        <f>MAX(0,M11-M10)</f>
        <v/>
      </c>
      <c r="O11" s="127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RESUMO'!K32</f>
        <v/>
      </c>
      <c r="N12" s="128">
        <f>MAX(0,M12-M11)</f>
        <v/>
      </c>
      <c r="O12" s="127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PL'!I38</f>
        <v/>
      </c>
      <c r="M13" s="127">
        <f>'CP RESUMO'!L32</f>
        <v/>
      </c>
      <c r="N13" s="128">
        <f>MAX(0,M13-M12)</f>
        <v/>
      </c>
      <c r="O13" s="127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7">
        <f>'CP RESUMO'!M32</f>
        <v/>
      </c>
      <c r="N14" s="128">
        <f>MAX(0,M14-M13)</f>
        <v/>
      </c>
      <c r="O14" s="127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RESUMO'!N32</f>
        <v/>
      </c>
      <c r="N15" s="128">
        <f>MAX(0,M15-M14)</f>
        <v/>
      </c>
      <c r="O15" s="127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RESUMO'!O32</f>
        <v/>
      </c>
      <c r="N16" s="128">
        <f>MAX(0,M16-M15)</f>
        <v/>
      </c>
      <c r="O16" s="127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RESUMO'!P32</f>
        <v/>
      </c>
      <c r="N17" s="128">
        <f>MAX(0,M17-M16)</f>
        <v/>
      </c>
      <c r="O17" s="127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RESUMO'!Q32</f>
        <v/>
      </c>
      <c r="N18" s="128">
        <f>MAX(0,M18-M17)</f>
        <v/>
      </c>
      <c r="O18" s="127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RESUMO'!R32</f>
        <v/>
      </c>
      <c r="N19" s="128">
        <f>MAX(0,M19-M18)</f>
        <v/>
      </c>
      <c r="O19" s="127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RESUMO'!S32</f>
        <v/>
      </c>
      <c r="N20" s="128">
        <f>MAX(0,M20-M19)</f>
        <v/>
      </c>
      <c r="O20" s="127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RESUMO'!T32</f>
        <v/>
      </c>
      <c r="N21" s="128">
        <f>MAX(0,M21-M20)</f>
        <v/>
      </c>
      <c r="O21" s="127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RESUMO'!U32</f>
        <v/>
      </c>
      <c r="N22" s="128">
        <f>MAX(0,M22-M21)</f>
        <v/>
      </c>
      <c r="O22" s="127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RESUMO'!V32</f>
        <v/>
      </c>
      <c r="N23" s="128">
        <f>MAX(0,M23-M22)</f>
        <v/>
      </c>
      <c r="O23" s="127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RESUMO'!W32</f>
        <v/>
      </c>
      <c r="N24" s="128">
        <f>MAX(0,M24-M23)</f>
        <v/>
      </c>
      <c r="O24" s="127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RESUMO'!X32</f>
        <v/>
      </c>
      <c r="N25" s="128">
        <f>MAX(0,M25-M24)</f>
        <v/>
      </c>
      <c r="O25" s="127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RESUMO'!Y32</f>
        <v/>
      </c>
      <c r="N26" s="128">
        <f>MAX(0,M26-M25)</f>
        <v/>
      </c>
      <c r="O26" s="127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RESUMO'!Z32</f>
        <v/>
      </c>
      <c r="N27" s="128">
        <f>MAX(0,M27-M26)</f>
        <v/>
      </c>
      <c r="O27" s="127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RESUMO'!AA32</f>
        <v/>
      </c>
      <c r="N28" s="128">
        <f>MAX(0,M28-M27)</f>
        <v/>
      </c>
      <c r="O28" s="127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RESUMO'!AB32</f>
        <v/>
      </c>
      <c r="N29" s="128">
        <f>MAX(0,M29-M28)</f>
        <v/>
      </c>
      <c r="O29" s="127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RESUMO'!AC32</f>
        <v/>
      </c>
      <c r="N30" s="128">
        <f>MAX(0,M30-M29)</f>
        <v/>
      </c>
      <c r="O30" s="127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RESUMO'!AD32</f>
        <v/>
      </c>
      <c r="N31" s="128">
        <f>MAX(0,M31-M30)</f>
        <v/>
      </c>
      <c r="O31" s="127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RESUMO'!AE32</f>
        <v/>
      </c>
      <c r="N32" s="128">
        <f>MAX(0,M32-M31)</f>
        <v/>
      </c>
      <c r="O32" s="127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RESUMO'!AF32</f>
        <v/>
      </c>
      <c r="N33" s="128">
        <f>MAX(0,M33-M32)</f>
        <v/>
      </c>
      <c r="O33" s="127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RESUMO'!AG32</f>
        <v/>
      </c>
      <c r="N34" s="128">
        <f>MAX(0,M34-M33)</f>
        <v/>
      </c>
      <c r="O34" s="127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RESUMO'!AH32</f>
        <v/>
      </c>
      <c r="N35" s="128">
        <f>MAX(0,M35-M34)</f>
        <v/>
      </c>
      <c r="O35" s="127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RESUMO'!AI32</f>
        <v/>
      </c>
      <c r="N36" s="128">
        <f>MAX(0,M36-M35)</f>
        <v/>
      </c>
      <c r="O36" s="127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RESUMO'!AJ32</f>
        <v/>
      </c>
      <c r="N37" s="128">
        <f>MAX(0,M37-M36)</f>
        <v/>
      </c>
      <c r="O37" s="127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RESUMO'!AK32</f>
        <v/>
      </c>
      <c r="N38" s="128">
        <f>MAX(0,M38-M37)</f>
        <v/>
      </c>
      <c r="O38" s="127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RESUMO'!AL32</f>
        <v/>
      </c>
      <c r="N39" s="128">
        <f>MAX(0,M39-M38)</f>
        <v/>
      </c>
      <c r="O39" s="127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RESUMO'!AM32</f>
        <v/>
      </c>
      <c r="N40" s="128">
        <f>MAX(0,M40-M39)</f>
        <v/>
      </c>
      <c r="O40" s="127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RESUMO'!AN32</f>
        <v/>
      </c>
      <c r="N41" s="128">
        <f>MAX(0,M41-M40)</f>
        <v/>
      </c>
      <c r="O41" s="127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RESUMO'!AO32</f>
        <v/>
      </c>
      <c r="N42" s="128">
        <f>MAX(0,M42-M41)</f>
        <v/>
      </c>
      <c r="O42" s="127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RESUMO'!AP32</f>
        <v/>
      </c>
      <c r="N43" s="128">
        <f>MAX(0,M43-M42)</f>
        <v/>
      </c>
      <c r="O43" s="127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RESUMO'!AQ32</f>
        <v/>
      </c>
      <c r="N44" s="128">
        <f>MAX(0,M44-M43)</f>
        <v/>
      </c>
      <c r="O44" s="127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RESUMO'!AR32</f>
        <v/>
      </c>
      <c r="N45" s="128">
        <f>MAX(0,M45-M44)</f>
        <v/>
      </c>
      <c r="O45" s="127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RESUMO'!AS32</f>
        <v/>
      </c>
      <c r="N46" s="128">
        <f>MAX(0,M46-M45)</f>
        <v/>
      </c>
      <c r="O46" s="127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RESUMO'!AT32</f>
        <v/>
      </c>
      <c r="N47" s="128">
        <f>MAX(0,M47-M46)</f>
        <v/>
      </c>
      <c r="O47" s="127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RESUMO'!AU32</f>
        <v/>
      </c>
      <c r="N48" s="128">
        <f>MAX(0,M48-M47)</f>
        <v/>
      </c>
      <c r="O48" s="127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RESUMO'!AV32</f>
        <v/>
      </c>
      <c r="N49" s="128">
        <f>MAX(0,M49-M48)</f>
        <v/>
      </c>
      <c r="O49" s="127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RESUMO'!AW32</f>
        <v/>
      </c>
      <c r="N50" s="128">
        <f>MAX(0,M50-M49)</f>
        <v/>
      </c>
      <c r="O50" s="127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RESUMO'!AX32</f>
        <v/>
      </c>
      <c r="N51" s="128">
        <f>MAX(0,M51-M50)</f>
        <v/>
      </c>
      <c r="O51" s="127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RESUMO'!AY32</f>
        <v/>
      </c>
      <c r="N52" s="128">
        <f>MAX(0,M52-M51)</f>
        <v/>
      </c>
      <c r="O52" s="127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RESUMO'!AZ32</f>
        <v/>
      </c>
      <c r="N53" s="128">
        <f>MAX(0,M53-M52)</f>
        <v/>
      </c>
      <c r="O53" s="127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RESUMO'!BA32</f>
        <v/>
      </c>
      <c r="N54" s="128">
        <f>MAX(0,M54-M53)</f>
        <v/>
      </c>
      <c r="O54" s="127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RESUMO'!BB32</f>
        <v/>
      </c>
      <c r="N55" s="128">
        <f>MAX(0,M55-M54)</f>
        <v/>
      </c>
      <c r="O55" s="127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RESUMO'!BC32</f>
        <v/>
      </c>
      <c r="N56" s="128">
        <f>MAX(0,M56-M55)</f>
        <v/>
      </c>
      <c r="O56" s="127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RESUMO'!BD32</f>
        <v/>
      </c>
      <c r="N57" s="128">
        <f>MAX(0,M57-M56)</f>
        <v/>
      </c>
      <c r="O57" s="127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RESUMO'!BE32</f>
        <v/>
      </c>
      <c r="N58" s="128">
        <f>MAX(0,M58-M57)</f>
        <v/>
      </c>
      <c r="O58" s="127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RESUMO'!BF32</f>
        <v/>
      </c>
      <c r="N59" s="128">
        <f>MAX(0,M59-M58)</f>
        <v/>
      </c>
      <c r="O59" s="127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RESUMO'!BG32</f>
        <v/>
      </c>
      <c r="N60" s="128">
        <f>MAX(0,M60-M59)</f>
        <v/>
      </c>
      <c r="O60" s="127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RESUMO'!BH32</f>
        <v/>
      </c>
      <c r="N61" s="128">
        <f>MAX(0,M61-M60)</f>
        <v/>
      </c>
      <c r="O61" s="127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RESUMO'!BI32</f>
        <v/>
      </c>
      <c r="N62" s="128">
        <f>MAX(0,M62-M61)</f>
        <v/>
      </c>
      <c r="O62" s="127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RESUMO'!BJ32</f>
        <v/>
      </c>
      <c r="N63" s="128">
        <f>MAX(0,M63-M62)</f>
        <v/>
      </c>
      <c r="O63" s="127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RESUMO'!BK32</f>
        <v/>
      </c>
      <c r="N64" s="128">
        <f>MAX(0,M64-M63)</f>
        <v/>
      </c>
      <c r="O64" s="127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RESUMO'!BL32</f>
        <v/>
      </c>
      <c r="N65" s="128">
        <f>MAX(0,M65-M64)</f>
        <v/>
      </c>
      <c r="O65" s="127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RESUMO'!BM32</f>
        <v/>
      </c>
      <c r="N66" s="128">
        <f>MAX(0,M66-M65)</f>
        <v/>
      </c>
      <c r="O66" s="127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RESUMO'!BN32</f>
        <v/>
      </c>
      <c r="N67" s="128">
        <f>MAX(0,M67-M66)</f>
        <v/>
      </c>
      <c r="O67" s="127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RESUMO'!BO32</f>
        <v/>
      </c>
      <c r="N68" s="128">
        <f>MAX(0,M68-M67)</f>
        <v/>
      </c>
      <c r="O68" s="127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RESUMO'!BP32</f>
        <v/>
      </c>
      <c r="N69" s="128">
        <f>MAX(0,M69-M68)</f>
        <v/>
      </c>
      <c r="O69" s="127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RESUMO'!BQ32</f>
        <v/>
      </c>
      <c r="N70" s="128">
        <f>MAX(0,M70-M69)</f>
        <v/>
      </c>
      <c r="O70" s="127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RESUMO'!BR32</f>
        <v/>
      </c>
      <c r="N71" s="128">
        <f>MAX(0,M71-M70)</f>
        <v/>
      </c>
      <c r="O71" s="127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RESUMO'!BS32</f>
        <v/>
      </c>
      <c r="N72" s="128">
        <f>MAX(0,M72-M71)</f>
        <v/>
      </c>
      <c r="O72" s="127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RESUMO'!BT32</f>
        <v/>
      </c>
      <c r="N73" s="128">
        <f>MAX(0,M73-M72)</f>
        <v/>
      </c>
      <c r="O73" s="127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RESUMO'!BU32</f>
        <v/>
      </c>
      <c r="N74" s="128">
        <f>MAX(0,M74-M73)</f>
        <v/>
      </c>
      <c r="O74" s="127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RESUMO'!BV32</f>
        <v/>
      </c>
      <c r="N75" s="128">
        <f>MAX(0,M75-M74)</f>
        <v/>
      </c>
      <c r="O75" s="127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RESUMO'!BW32</f>
        <v/>
      </c>
      <c r="N76" s="128">
        <f>MAX(0,M76-M75)</f>
        <v/>
      </c>
      <c r="O76" s="127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PL'!F39</f>
        <v/>
      </c>
      <c r="K5" s="63">
        <f>'VALOR POR PL'!G39</f>
        <v/>
      </c>
      <c r="M5" s="127">
        <f>'CP RESUMO'!D33</f>
        <v/>
      </c>
      <c r="N5" s="128" t="n">
        <v>0</v>
      </c>
      <c r="O5" s="127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RESUMO'!E33</f>
        <v/>
      </c>
      <c r="N6" s="128">
        <f>MAX(0,M6-M5)</f>
        <v/>
      </c>
      <c r="O6" s="127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PL'!L39</f>
        <v/>
      </c>
      <c r="M7" s="127">
        <f>'CP RESUMO'!F33</f>
        <v/>
      </c>
      <c r="N7" s="128">
        <f>MAX(0,M7-M6)</f>
        <v/>
      </c>
      <c r="O7" s="127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RESUMO'!G33</f>
        <v/>
      </c>
      <c r="N8" s="128">
        <f>MAX(0,M8-M7)</f>
        <v/>
      </c>
      <c r="O8" s="127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RESUMO'!H33</f>
        <v/>
      </c>
      <c r="N9" s="128">
        <f>MAX(0,M9-M8)</f>
        <v/>
      </c>
      <c r="O9" s="127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RESUMO'!I33</f>
        <v/>
      </c>
      <c r="N10" s="128">
        <f>MAX(0,M10-M9)</f>
        <v/>
      </c>
      <c r="O10" s="127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RESUMO'!J33</f>
        <v/>
      </c>
      <c r="N11" s="128">
        <f>MAX(0,M11-M10)</f>
        <v/>
      </c>
      <c r="O11" s="127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RESUMO'!K33</f>
        <v/>
      </c>
      <c r="N12" s="128">
        <f>MAX(0,M12-M11)</f>
        <v/>
      </c>
      <c r="O12" s="127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PL'!I39</f>
        <v/>
      </c>
      <c r="M13" s="127">
        <f>'CP RESUMO'!L33</f>
        <v/>
      </c>
      <c r="N13" s="128">
        <f>MAX(0,M13-M12)</f>
        <v/>
      </c>
      <c r="O13" s="127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7">
        <f>'CP RESUMO'!M33</f>
        <v/>
      </c>
      <c r="N14" s="128">
        <f>MAX(0,M14-M13)</f>
        <v/>
      </c>
      <c r="O14" s="127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RESUMO'!N33</f>
        <v/>
      </c>
      <c r="N15" s="128">
        <f>MAX(0,M15-M14)</f>
        <v/>
      </c>
      <c r="O15" s="127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RESUMO'!O33</f>
        <v/>
      </c>
      <c r="N16" s="128">
        <f>MAX(0,M16-M15)</f>
        <v/>
      </c>
      <c r="O16" s="127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RESUMO'!P33</f>
        <v/>
      </c>
      <c r="N17" s="128">
        <f>MAX(0,M17-M16)</f>
        <v/>
      </c>
      <c r="O17" s="127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RESUMO'!Q33</f>
        <v/>
      </c>
      <c r="N18" s="128">
        <f>MAX(0,M18-M17)</f>
        <v/>
      </c>
      <c r="O18" s="127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RESUMO'!R33</f>
        <v/>
      </c>
      <c r="N19" s="128">
        <f>MAX(0,M19-M18)</f>
        <v/>
      </c>
      <c r="O19" s="127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RESUMO'!S33</f>
        <v/>
      </c>
      <c r="N20" s="128">
        <f>MAX(0,M20-M19)</f>
        <v/>
      </c>
      <c r="O20" s="127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RESUMO'!T33</f>
        <v/>
      </c>
      <c r="N21" s="128">
        <f>MAX(0,M21-M20)</f>
        <v/>
      </c>
      <c r="O21" s="127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RESUMO'!U33</f>
        <v/>
      </c>
      <c r="N22" s="128">
        <f>MAX(0,M22-M21)</f>
        <v/>
      </c>
      <c r="O22" s="127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RESUMO'!V33</f>
        <v/>
      </c>
      <c r="N23" s="128">
        <f>MAX(0,M23-M22)</f>
        <v/>
      </c>
      <c r="O23" s="127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RESUMO'!W33</f>
        <v/>
      </c>
      <c r="N24" s="128">
        <f>MAX(0,M24-M23)</f>
        <v/>
      </c>
      <c r="O24" s="127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RESUMO'!X33</f>
        <v/>
      </c>
      <c r="N25" s="128">
        <f>MAX(0,M25-M24)</f>
        <v/>
      </c>
      <c r="O25" s="127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RESUMO'!Y33</f>
        <v/>
      </c>
      <c r="N26" s="128">
        <f>MAX(0,M26-M25)</f>
        <v/>
      </c>
      <c r="O26" s="127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RESUMO'!Z33</f>
        <v/>
      </c>
      <c r="N27" s="128">
        <f>MAX(0,M27-M26)</f>
        <v/>
      </c>
      <c r="O27" s="127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RESUMO'!AA33</f>
        <v/>
      </c>
      <c r="N28" s="128">
        <f>MAX(0,M28-M27)</f>
        <v/>
      </c>
      <c r="O28" s="127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RESUMO'!AB33</f>
        <v/>
      </c>
      <c r="N29" s="128">
        <f>MAX(0,M29-M28)</f>
        <v/>
      </c>
      <c r="O29" s="127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RESUMO'!AC33</f>
        <v/>
      </c>
      <c r="N30" s="128">
        <f>MAX(0,M30-M29)</f>
        <v/>
      </c>
      <c r="O30" s="127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RESUMO'!AD33</f>
        <v/>
      </c>
      <c r="N31" s="128">
        <f>MAX(0,M31-M30)</f>
        <v/>
      </c>
      <c r="O31" s="127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RESUMO'!AE33</f>
        <v/>
      </c>
      <c r="N32" s="128">
        <f>MAX(0,M32-M31)</f>
        <v/>
      </c>
      <c r="O32" s="127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RESUMO'!AF33</f>
        <v/>
      </c>
      <c r="N33" s="128">
        <f>MAX(0,M33-M32)</f>
        <v/>
      </c>
      <c r="O33" s="127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RESUMO'!AG33</f>
        <v/>
      </c>
      <c r="N34" s="128">
        <f>MAX(0,M34-M33)</f>
        <v/>
      </c>
      <c r="O34" s="127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RESUMO'!AH33</f>
        <v/>
      </c>
      <c r="N35" s="128">
        <f>MAX(0,M35-M34)</f>
        <v/>
      </c>
      <c r="O35" s="127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RESUMO'!AI33</f>
        <v/>
      </c>
      <c r="N36" s="128">
        <f>MAX(0,M36-M35)</f>
        <v/>
      </c>
      <c r="O36" s="127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RESUMO'!AJ33</f>
        <v/>
      </c>
      <c r="N37" s="128">
        <f>MAX(0,M37-M36)</f>
        <v/>
      </c>
      <c r="O37" s="127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RESUMO'!AK33</f>
        <v/>
      </c>
      <c r="N38" s="128">
        <f>MAX(0,M38-M37)</f>
        <v/>
      </c>
      <c r="O38" s="127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RESUMO'!AL33</f>
        <v/>
      </c>
      <c r="N39" s="128">
        <f>MAX(0,M39-M38)</f>
        <v/>
      </c>
      <c r="O39" s="127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RESUMO'!AM33</f>
        <v/>
      </c>
      <c r="N40" s="128">
        <f>MAX(0,M40-M39)</f>
        <v/>
      </c>
      <c r="O40" s="127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RESUMO'!AN33</f>
        <v/>
      </c>
      <c r="N41" s="128">
        <f>MAX(0,M41-M40)</f>
        <v/>
      </c>
      <c r="O41" s="127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RESUMO'!AO33</f>
        <v/>
      </c>
      <c r="N42" s="128">
        <f>MAX(0,M42-M41)</f>
        <v/>
      </c>
      <c r="O42" s="127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RESUMO'!AP33</f>
        <v/>
      </c>
      <c r="N43" s="128">
        <f>MAX(0,M43-M42)</f>
        <v/>
      </c>
      <c r="O43" s="127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RESUMO'!AQ33</f>
        <v/>
      </c>
      <c r="N44" s="128">
        <f>MAX(0,M44-M43)</f>
        <v/>
      </c>
      <c r="O44" s="127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RESUMO'!AR33</f>
        <v/>
      </c>
      <c r="N45" s="128">
        <f>MAX(0,M45-M44)</f>
        <v/>
      </c>
      <c r="O45" s="127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RESUMO'!AS33</f>
        <v/>
      </c>
      <c r="N46" s="128">
        <f>MAX(0,M46-M45)</f>
        <v/>
      </c>
      <c r="O46" s="127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RESUMO'!AT33</f>
        <v/>
      </c>
      <c r="N47" s="128">
        <f>MAX(0,M47-M46)</f>
        <v/>
      </c>
      <c r="O47" s="127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RESUMO'!AU33</f>
        <v/>
      </c>
      <c r="N48" s="128">
        <f>MAX(0,M48-M47)</f>
        <v/>
      </c>
      <c r="O48" s="127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RESUMO'!AV33</f>
        <v/>
      </c>
      <c r="N49" s="128">
        <f>MAX(0,M49-M48)</f>
        <v/>
      </c>
      <c r="O49" s="127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RESUMO'!AW33</f>
        <v/>
      </c>
      <c r="N50" s="128">
        <f>MAX(0,M50-M49)</f>
        <v/>
      </c>
      <c r="O50" s="127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RESUMO'!AX33</f>
        <v/>
      </c>
      <c r="N51" s="128">
        <f>MAX(0,M51-M50)</f>
        <v/>
      </c>
      <c r="O51" s="127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RESUMO'!AY33</f>
        <v/>
      </c>
      <c r="N52" s="128">
        <f>MAX(0,M52-M51)</f>
        <v/>
      </c>
      <c r="O52" s="127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RESUMO'!AZ33</f>
        <v/>
      </c>
      <c r="N53" s="128">
        <f>MAX(0,M53-M52)</f>
        <v/>
      </c>
      <c r="O53" s="127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RESUMO'!BA33</f>
        <v/>
      </c>
      <c r="N54" s="128">
        <f>MAX(0,M54-M53)</f>
        <v/>
      </c>
      <c r="O54" s="127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RESUMO'!BB33</f>
        <v/>
      </c>
      <c r="N55" s="128">
        <f>MAX(0,M55-M54)</f>
        <v/>
      </c>
      <c r="O55" s="127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RESUMO'!BC33</f>
        <v/>
      </c>
      <c r="N56" s="128">
        <f>MAX(0,M56-M55)</f>
        <v/>
      </c>
      <c r="O56" s="127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RESUMO'!BD33</f>
        <v/>
      </c>
      <c r="N57" s="128">
        <f>MAX(0,M57-M56)</f>
        <v/>
      </c>
      <c r="O57" s="127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RESUMO'!BE33</f>
        <v/>
      </c>
      <c r="N58" s="128">
        <f>MAX(0,M58-M57)</f>
        <v/>
      </c>
      <c r="O58" s="127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RESUMO'!BF33</f>
        <v/>
      </c>
      <c r="N59" s="128">
        <f>MAX(0,M59-M58)</f>
        <v/>
      </c>
      <c r="O59" s="127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RESUMO'!BG33</f>
        <v/>
      </c>
      <c r="N60" s="128">
        <f>MAX(0,M60-M59)</f>
        <v/>
      </c>
      <c r="O60" s="127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RESUMO'!BH33</f>
        <v/>
      </c>
      <c r="N61" s="128">
        <f>MAX(0,M61-M60)</f>
        <v/>
      </c>
      <c r="O61" s="127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RESUMO'!BI33</f>
        <v/>
      </c>
      <c r="N62" s="128">
        <f>MAX(0,M62-M61)</f>
        <v/>
      </c>
      <c r="O62" s="127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RESUMO'!BJ33</f>
        <v/>
      </c>
      <c r="N63" s="128">
        <f>MAX(0,M63-M62)</f>
        <v/>
      </c>
      <c r="O63" s="127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RESUMO'!BK33</f>
        <v/>
      </c>
      <c r="N64" s="128">
        <f>MAX(0,M64-M63)</f>
        <v/>
      </c>
      <c r="O64" s="127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RESUMO'!BL33</f>
        <v/>
      </c>
      <c r="N65" s="128">
        <f>MAX(0,M65-M64)</f>
        <v/>
      </c>
      <c r="O65" s="127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RESUMO'!BM33</f>
        <v/>
      </c>
      <c r="N66" s="128">
        <f>MAX(0,M66-M65)</f>
        <v/>
      </c>
      <c r="O66" s="127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RESUMO'!BN33</f>
        <v/>
      </c>
      <c r="N67" s="128">
        <f>MAX(0,M67-M66)</f>
        <v/>
      </c>
      <c r="O67" s="127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RESUMO'!BO33</f>
        <v/>
      </c>
      <c r="N68" s="128">
        <f>MAX(0,M68-M67)</f>
        <v/>
      </c>
      <c r="O68" s="127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RESUMO'!BP33</f>
        <v/>
      </c>
      <c r="N69" s="128">
        <f>MAX(0,M69-M68)</f>
        <v/>
      </c>
      <c r="O69" s="127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RESUMO'!BQ33</f>
        <v/>
      </c>
      <c r="N70" s="128">
        <f>MAX(0,M70-M69)</f>
        <v/>
      </c>
      <c r="O70" s="127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RESUMO'!BR33</f>
        <v/>
      </c>
      <c r="N71" s="128">
        <f>MAX(0,M71-M70)</f>
        <v/>
      </c>
      <c r="O71" s="127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RESUMO'!BS33</f>
        <v/>
      </c>
      <c r="N72" s="128">
        <f>MAX(0,M72-M71)</f>
        <v/>
      </c>
      <c r="O72" s="127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RESUMO'!BT33</f>
        <v/>
      </c>
      <c r="N73" s="128">
        <f>MAX(0,M73-M72)</f>
        <v/>
      </c>
      <c r="O73" s="127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RESUMO'!BU33</f>
        <v/>
      </c>
      <c r="N74" s="128">
        <f>MAX(0,M74-M73)</f>
        <v/>
      </c>
      <c r="O74" s="127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RESUMO'!BV33</f>
        <v/>
      </c>
      <c r="N75" s="128">
        <f>MAX(0,M75-M74)</f>
        <v/>
      </c>
      <c r="O75" s="127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RESUMO'!BW33</f>
        <v/>
      </c>
      <c r="N76" s="128">
        <f>MAX(0,M76-M75)</f>
        <v/>
      </c>
      <c r="O76" s="127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PL'!F40</f>
        <v/>
      </c>
      <c r="K5" s="63">
        <f>'VALOR POR PL'!G40</f>
        <v/>
      </c>
      <c r="M5" s="127">
        <f>'CP RESUMO'!D34</f>
        <v/>
      </c>
      <c r="N5" s="128" t="n">
        <v>0</v>
      </c>
      <c r="O5" s="127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RESUMO'!E34</f>
        <v/>
      </c>
      <c r="N6" s="128">
        <f>MAX(0,M6-M5)</f>
        <v/>
      </c>
      <c r="O6" s="127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PL'!L40</f>
        <v/>
      </c>
      <c r="M7" s="127">
        <f>'CP RESUMO'!F34</f>
        <v/>
      </c>
      <c r="N7" s="128">
        <f>MAX(0,M7-M6)</f>
        <v/>
      </c>
      <c r="O7" s="127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RESUMO'!G34</f>
        <v/>
      </c>
      <c r="N8" s="128">
        <f>MAX(0,M8-M7)</f>
        <v/>
      </c>
      <c r="O8" s="127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RESUMO'!H34</f>
        <v/>
      </c>
      <c r="N9" s="128">
        <f>MAX(0,M9-M8)</f>
        <v/>
      </c>
      <c r="O9" s="127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RESUMO'!I34</f>
        <v/>
      </c>
      <c r="N10" s="128">
        <f>MAX(0,M10-M9)</f>
        <v/>
      </c>
      <c r="O10" s="127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RESUMO'!J34</f>
        <v/>
      </c>
      <c r="N11" s="128">
        <f>MAX(0,M11-M10)</f>
        <v/>
      </c>
      <c r="O11" s="127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RESUMO'!K34</f>
        <v/>
      </c>
      <c r="N12" s="128">
        <f>MAX(0,M12-M11)</f>
        <v/>
      </c>
      <c r="O12" s="127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PL'!I40</f>
        <v/>
      </c>
      <c r="M13" s="127">
        <f>'CP RESUMO'!L34</f>
        <v/>
      </c>
      <c r="N13" s="128">
        <f>MAX(0,M13-M12)</f>
        <v/>
      </c>
      <c r="O13" s="127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7">
        <f>'CP RESUMO'!M34</f>
        <v/>
      </c>
      <c r="N14" s="128">
        <f>MAX(0,M14-M13)</f>
        <v/>
      </c>
      <c r="O14" s="127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RESUMO'!N34</f>
        <v/>
      </c>
      <c r="N15" s="128">
        <f>MAX(0,M15-M14)</f>
        <v/>
      </c>
      <c r="O15" s="127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RESUMO'!O34</f>
        <v/>
      </c>
      <c r="N16" s="128">
        <f>MAX(0,M16-M15)</f>
        <v/>
      </c>
      <c r="O16" s="127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RESUMO'!P34</f>
        <v/>
      </c>
      <c r="N17" s="128">
        <f>MAX(0,M17-M16)</f>
        <v/>
      </c>
      <c r="O17" s="127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RESUMO'!Q34</f>
        <v/>
      </c>
      <c r="N18" s="128">
        <f>MAX(0,M18-M17)</f>
        <v/>
      </c>
      <c r="O18" s="127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RESUMO'!R34</f>
        <v/>
      </c>
      <c r="N19" s="128">
        <f>MAX(0,M19-M18)</f>
        <v/>
      </c>
      <c r="O19" s="127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RESUMO'!S34</f>
        <v/>
      </c>
      <c r="N20" s="128">
        <f>MAX(0,M20-M19)</f>
        <v/>
      </c>
      <c r="O20" s="127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RESUMO'!T34</f>
        <v/>
      </c>
      <c r="N21" s="128">
        <f>MAX(0,M21-M20)</f>
        <v/>
      </c>
      <c r="O21" s="127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RESUMO'!U34</f>
        <v/>
      </c>
      <c r="N22" s="128">
        <f>MAX(0,M22-M21)</f>
        <v/>
      </c>
      <c r="O22" s="127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RESUMO'!V34</f>
        <v/>
      </c>
      <c r="N23" s="128">
        <f>MAX(0,M23-M22)</f>
        <v/>
      </c>
      <c r="O23" s="127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RESUMO'!W34</f>
        <v/>
      </c>
      <c r="N24" s="128">
        <f>MAX(0,M24-M23)</f>
        <v/>
      </c>
      <c r="O24" s="127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RESUMO'!X34</f>
        <v/>
      </c>
      <c r="N25" s="128">
        <f>MAX(0,M25-M24)</f>
        <v/>
      </c>
      <c r="O25" s="127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RESUMO'!Y34</f>
        <v/>
      </c>
      <c r="N26" s="128">
        <f>MAX(0,M26-M25)</f>
        <v/>
      </c>
      <c r="O26" s="127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RESUMO'!Z34</f>
        <v/>
      </c>
      <c r="N27" s="128">
        <f>MAX(0,M27-M26)</f>
        <v/>
      </c>
      <c r="O27" s="127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RESUMO'!AA34</f>
        <v/>
      </c>
      <c r="N28" s="128">
        <f>MAX(0,M28-M27)</f>
        <v/>
      </c>
      <c r="O28" s="127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RESUMO'!AB34</f>
        <v/>
      </c>
      <c r="N29" s="128">
        <f>MAX(0,M29-M28)</f>
        <v/>
      </c>
      <c r="O29" s="127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RESUMO'!AC34</f>
        <v/>
      </c>
      <c r="N30" s="128">
        <f>MAX(0,M30-M29)</f>
        <v/>
      </c>
      <c r="O30" s="127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RESUMO'!AD34</f>
        <v/>
      </c>
      <c r="N31" s="128">
        <f>MAX(0,M31-M30)</f>
        <v/>
      </c>
      <c r="O31" s="127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RESUMO'!AE34</f>
        <v/>
      </c>
      <c r="N32" s="128">
        <f>MAX(0,M32-M31)</f>
        <v/>
      </c>
      <c r="O32" s="127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RESUMO'!AF34</f>
        <v/>
      </c>
      <c r="N33" s="128">
        <f>MAX(0,M33-M32)</f>
        <v/>
      </c>
      <c r="O33" s="127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RESUMO'!AG34</f>
        <v/>
      </c>
      <c r="N34" s="128">
        <f>MAX(0,M34-M33)</f>
        <v/>
      </c>
      <c r="O34" s="127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RESUMO'!AH34</f>
        <v/>
      </c>
      <c r="N35" s="128">
        <f>MAX(0,M35-M34)</f>
        <v/>
      </c>
      <c r="O35" s="127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RESUMO'!AI34</f>
        <v/>
      </c>
      <c r="N36" s="128">
        <f>MAX(0,M36-M35)</f>
        <v/>
      </c>
      <c r="O36" s="127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RESUMO'!AJ34</f>
        <v/>
      </c>
      <c r="N37" s="128">
        <f>MAX(0,M37-M36)</f>
        <v/>
      </c>
      <c r="O37" s="127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RESUMO'!AK34</f>
        <v/>
      </c>
      <c r="N38" s="128">
        <f>MAX(0,M38-M37)</f>
        <v/>
      </c>
      <c r="O38" s="127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RESUMO'!AL34</f>
        <v/>
      </c>
      <c r="N39" s="128">
        <f>MAX(0,M39-M38)</f>
        <v/>
      </c>
      <c r="O39" s="127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RESUMO'!AM34</f>
        <v/>
      </c>
      <c r="N40" s="128">
        <f>MAX(0,M40-M39)</f>
        <v/>
      </c>
      <c r="O40" s="127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RESUMO'!AN34</f>
        <v/>
      </c>
      <c r="N41" s="128">
        <f>MAX(0,M41-M40)</f>
        <v/>
      </c>
      <c r="O41" s="127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RESUMO'!AO34</f>
        <v/>
      </c>
      <c r="N42" s="128">
        <f>MAX(0,M42-M41)</f>
        <v/>
      </c>
      <c r="O42" s="127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RESUMO'!AP34</f>
        <v/>
      </c>
      <c r="N43" s="128">
        <f>MAX(0,M43-M42)</f>
        <v/>
      </c>
      <c r="O43" s="127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RESUMO'!AQ34</f>
        <v/>
      </c>
      <c r="N44" s="128">
        <f>MAX(0,M44-M43)</f>
        <v/>
      </c>
      <c r="O44" s="127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RESUMO'!AR34</f>
        <v/>
      </c>
      <c r="N45" s="128">
        <f>MAX(0,M45-M44)</f>
        <v/>
      </c>
      <c r="O45" s="127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RESUMO'!AS34</f>
        <v/>
      </c>
      <c r="N46" s="128">
        <f>MAX(0,M46-M45)</f>
        <v/>
      </c>
      <c r="O46" s="127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RESUMO'!AT34</f>
        <v/>
      </c>
      <c r="N47" s="128">
        <f>MAX(0,M47-M46)</f>
        <v/>
      </c>
      <c r="O47" s="127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RESUMO'!AU34</f>
        <v/>
      </c>
      <c r="N48" s="128">
        <f>MAX(0,M48-M47)</f>
        <v/>
      </c>
      <c r="O48" s="127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RESUMO'!AV34</f>
        <v/>
      </c>
      <c r="N49" s="128">
        <f>MAX(0,M49-M48)</f>
        <v/>
      </c>
      <c r="O49" s="127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RESUMO'!AW34</f>
        <v/>
      </c>
      <c r="N50" s="128">
        <f>MAX(0,M50-M49)</f>
        <v/>
      </c>
      <c r="O50" s="127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RESUMO'!AX34</f>
        <v/>
      </c>
      <c r="N51" s="128">
        <f>MAX(0,M51-M50)</f>
        <v/>
      </c>
      <c r="O51" s="127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RESUMO'!AY34</f>
        <v/>
      </c>
      <c r="N52" s="128">
        <f>MAX(0,M52-M51)</f>
        <v/>
      </c>
      <c r="O52" s="127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RESUMO'!AZ34</f>
        <v/>
      </c>
      <c r="N53" s="128">
        <f>MAX(0,M53-M52)</f>
        <v/>
      </c>
      <c r="O53" s="127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RESUMO'!BA34</f>
        <v/>
      </c>
      <c r="N54" s="128">
        <f>MAX(0,M54-M53)</f>
        <v/>
      </c>
      <c r="O54" s="127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RESUMO'!BB34</f>
        <v/>
      </c>
      <c r="N55" s="128">
        <f>MAX(0,M55-M54)</f>
        <v/>
      </c>
      <c r="O55" s="127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RESUMO'!BC34</f>
        <v/>
      </c>
      <c r="N56" s="128">
        <f>MAX(0,M56-M55)</f>
        <v/>
      </c>
      <c r="O56" s="127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RESUMO'!BD34</f>
        <v/>
      </c>
      <c r="N57" s="128">
        <f>MAX(0,M57-M56)</f>
        <v/>
      </c>
      <c r="O57" s="127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RESUMO'!BE34</f>
        <v/>
      </c>
      <c r="N58" s="128">
        <f>MAX(0,M58-M57)</f>
        <v/>
      </c>
      <c r="O58" s="127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RESUMO'!BF34</f>
        <v/>
      </c>
      <c r="N59" s="128">
        <f>MAX(0,M59-M58)</f>
        <v/>
      </c>
      <c r="O59" s="127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RESUMO'!BG34</f>
        <v/>
      </c>
      <c r="N60" s="128">
        <f>MAX(0,M60-M59)</f>
        <v/>
      </c>
      <c r="O60" s="127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RESUMO'!BH34</f>
        <v/>
      </c>
      <c r="N61" s="128">
        <f>MAX(0,M61-M60)</f>
        <v/>
      </c>
      <c r="O61" s="127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RESUMO'!BI34</f>
        <v/>
      </c>
      <c r="N62" s="128">
        <f>MAX(0,M62-M61)</f>
        <v/>
      </c>
      <c r="O62" s="127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RESUMO'!BJ34</f>
        <v/>
      </c>
      <c r="N63" s="128">
        <f>MAX(0,M63-M62)</f>
        <v/>
      </c>
      <c r="O63" s="127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RESUMO'!BK34</f>
        <v/>
      </c>
      <c r="N64" s="128">
        <f>MAX(0,M64-M63)</f>
        <v/>
      </c>
      <c r="O64" s="127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RESUMO'!BL34</f>
        <v/>
      </c>
      <c r="N65" s="128">
        <f>MAX(0,M65-M64)</f>
        <v/>
      </c>
      <c r="O65" s="127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RESUMO'!BM34</f>
        <v/>
      </c>
      <c r="N66" s="128">
        <f>MAX(0,M66-M65)</f>
        <v/>
      </c>
      <c r="O66" s="127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RESUMO'!BN34</f>
        <v/>
      </c>
      <c r="N67" s="128">
        <f>MAX(0,M67-M66)</f>
        <v/>
      </c>
      <c r="O67" s="127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RESUMO'!BO34</f>
        <v/>
      </c>
      <c r="N68" s="128">
        <f>MAX(0,M68-M67)</f>
        <v/>
      </c>
      <c r="O68" s="127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RESUMO'!BP34</f>
        <v/>
      </c>
      <c r="N69" s="128">
        <f>MAX(0,M69-M68)</f>
        <v/>
      </c>
      <c r="O69" s="127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RESUMO'!BQ34</f>
        <v/>
      </c>
      <c r="N70" s="128">
        <f>MAX(0,M70-M69)</f>
        <v/>
      </c>
      <c r="O70" s="127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RESUMO'!BR34</f>
        <v/>
      </c>
      <c r="N71" s="128">
        <f>MAX(0,M71-M70)</f>
        <v/>
      </c>
      <c r="O71" s="127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RESUMO'!BS34</f>
        <v/>
      </c>
      <c r="N72" s="128">
        <f>MAX(0,M72-M71)</f>
        <v/>
      </c>
      <c r="O72" s="127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RESUMO'!BT34</f>
        <v/>
      </c>
      <c r="N73" s="128">
        <f>MAX(0,M73-M72)</f>
        <v/>
      </c>
      <c r="O73" s="127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RESUMO'!BU34</f>
        <v/>
      </c>
      <c r="N74" s="128">
        <f>MAX(0,M74-M73)</f>
        <v/>
      </c>
      <c r="O74" s="127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RESUMO'!BV34</f>
        <v/>
      </c>
      <c r="N75" s="128">
        <f>MAX(0,M75-M74)</f>
        <v/>
      </c>
      <c r="O75" s="127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RESUMO'!BW34</f>
        <v/>
      </c>
      <c r="N76" s="128">
        <f>MAX(0,M76-M75)</f>
        <v/>
      </c>
      <c r="O76" s="127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PL'!F41</f>
        <v/>
      </c>
      <c r="K5" s="63">
        <f>'VALOR POR PL'!G41</f>
        <v/>
      </c>
      <c r="M5" s="127">
        <f>'CP RESUMO'!D35</f>
        <v/>
      </c>
      <c r="N5" s="128" t="n">
        <v>0</v>
      </c>
      <c r="O5" s="127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RESUMO'!E35</f>
        <v/>
      </c>
      <c r="N6" s="128">
        <f>MAX(0,M6-M5)</f>
        <v/>
      </c>
      <c r="O6" s="127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PL'!L41</f>
        <v/>
      </c>
      <c r="M7" s="127">
        <f>'CP RESUMO'!F35</f>
        <v/>
      </c>
      <c r="N7" s="128">
        <f>MAX(0,M7-M6)</f>
        <v/>
      </c>
      <c r="O7" s="127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RESUMO'!G35</f>
        <v/>
      </c>
      <c r="N8" s="128">
        <f>MAX(0,M8-M7)</f>
        <v/>
      </c>
      <c r="O8" s="127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RESUMO'!H35</f>
        <v/>
      </c>
      <c r="N9" s="128">
        <f>MAX(0,M9-M8)</f>
        <v/>
      </c>
      <c r="O9" s="127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RESUMO'!I35</f>
        <v/>
      </c>
      <c r="N10" s="128">
        <f>MAX(0,M10-M9)</f>
        <v/>
      </c>
      <c r="O10" s="127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RESUMO'!J35</f>
        <v/>
      </c>
      <c r="N11" s="128">
        <f>MAX(0,M11-M10)</f>
        <v/>
      </c>
      <c r="O11" s="127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RESUMO'!K35</f>
        <v/>
      </c>
      <c r="N12" s="128">
        <f>MAX(0,M12-M11)</f>
        <v/>
      </c>
      <c r="O12" s="127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PL'!I41</f>
        <v/>
      </c>
      <c r="M13" s="127">
        <f>'CP RESUMO'!L35</f>
        <v/>
      </c>
      <c r="N13" s="128">
        <f>MAX(0,M13-M12)</f>
        <v/>
      </c>
      <c r="O13" s="127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7">
        <f>'CP RESUMO'!M35</f>
        <v/>
      </c>
      <c r="N14" s="128">
        <f>MAX(0,M14-M13)</f>
        <v/>
      </c>
      <c r="O14" s="127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RESUMO'!N35</f>
        <v/>
      </c>
      <c r="N15" s="128">
        <f>MAX(0,M15-M14)</f>
        <v/>
      </c>
      <c r="O15" s="127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RESUMO'!O35</f>
        <v/>
      </c>
      <c r="N16" s="128">
        <f>MAX(0,M16-M15)</f>
        <v/>
      </c>
      <c r="O16" s="127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RESUMO'!P35</f>
        <v/>
      </c>
      <c r="N17" s="128">
        <f>MAX(0,M17-M16)</f>
        <v/>
      </c>
      <c r="O17" s="127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RESUMO'!Q35</f>
        <v/>
      </c>
      <c r="N18" s="128">
        <f>MAX(0,M18-M17)</f>
        <v/>
      </c>
      <c r="O18" s="127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RESUMO'!R35</f>
        <v/>
      </c>
      <c r="N19" s="128">
        <f>MAX(0,M19-M18)</f>
        <v/>
      </c>
      <c r="O19" s="127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RESUMO'!S35</f>
        <v/>
      </c>
      <c r="N20" s="128">
        <f>MAX(0,M20-M19)</f>
        <v/>
      </c>
      <c r="O20" s="127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RESUMO'!T35</f>
        <v/>
      </c>
      <c r="N21" s="128">
        <f>MAX(0,M21-M20)</f>
        <v/>
      </c>
      <c r="O21" s="127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RESUMO'!U35</f>
        <v/>
      </c>
      <c r="N22" s="128">
        <f>MAX(0,M22-M21)</f>
        <v/>
      </c>
      <c r="O22" s="127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RESUMO'!V35</f>
        <v/>
      </c>
      <c r="N23" s="128">
        <f>MAX(0,M23-M22)</f>
        <v/>
      </c>
      <c r="O23" s="127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RESUMO'!W35</f>
        <v/>
      </c>
      <c r="N24" s="128">
        <f>MAX(0,M24-M23)</f>
        <v/>
      </c>
      <c r="O24" s="127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RESUMO'!X35</f>
        <v/>
      </c>
      <c r="N25" s="128">
        <f>MAX(0,M25-M24)</f>
        <v/>
      </c>
      <c r="O25" s="127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RESUMO'!Y35</f>
        <v/>
      </c>
      <c r="N26" s="128">
        <f>MAX(0,M26-M25)</f>
        <v/>
      </c>
      <c r="O26" s="127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RESUMO'!Z35</f>
        <v/>
      </c>
      <c r="N27" s="128">
        <f>MAX(0,M27-M26)</f>
        <v/>
      </c>
      <c r="O27" s="127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RESUMO'!AA35</f>
        <v/>
      </c>
      <c r="N28" s="128">
        <f>MAX(0,M28-M27)</f>
        <v/>
      </c>
      <c r="O28" s="127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RESUMO'!AB35</f>
        <v/>
      </c>
      <c r="N29" s="128">
        <f>MAX(0,M29-M28)</f>
        <v/>
      </c>
      <c r="O29" s="127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RESUMO'!AC35</f>
        <v/>
      </c>
      <c r="N30" s="128">
        <f>MAX(0,M30-M29)</f>
        <v/>
      </c>
      <c r="O30" s="127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RESUMO'!AD35</f>
        <v/>
      </c>
      <c r="N31" s="128">
        <f>MAX(0,M31-M30)</f>
        <v/>
      </c>
      <c r="O31" s="127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RESUMO'!AE35</f>
        <v/>
      </c>
      <c r="N32" s="128">
        <f>MAX(0,M32-M31)</f>
        <v/>
      </c>
      <c r="O32" s="127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RESUMO'!AF35</f>
        <v/>
      </c>
      <c r="N33" s="128">
        <f>MAX(0,M33-M32)</f>
        <v/>
      </c>
      <c r="O33" s="127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RESUMO'!AG35</f>
        <v/>
      </c>
      <c r="N34" s="128">
        <f>MAX(0,M34-M33)</f>
        <v/>
      </c>
      <c r="O34" s="127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RESUMO'!AH35</f>
        <v/>
      </c>
      <c r="N35" s="128">
        <f>MAX(0,M35-M34)</f>
        <v/>
      </c>
      <c r="O35" s="127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RESUMO'!AI35</f>
        <v/>
      </c>
      <c r="N36" s="128">
        <f>MAX(0,M36-M35)</f>
        <v/>
      </c>
      <c r="O36" s="127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RESUMO'!AJ35</f>
        <v/>
      </c>
      <c r="N37" s="128">
        <f>MAX(0,M37-M36)</f>
        <v/>
      </c>
      <c r="O37" s="127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RESUMO'!AK35</f>
        <v/>
      </c>
      <c r="N38" s="128">
        <f>MAX(0,M38-M37)</f>
        <v/>
      </c>
      <c r="O38" s="127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RESUMO'!AL35</f>
        <v/>
      </c>
      <c r="N39" s="128">
        <f>MAX(0,M39-M38)</f>
        <v/>
      </c>
      <c r="O39" s="127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RESUMO'!AM35</f>
        <v/>
      </c>
      <c r="N40" s="128">
        <f>MAX(0,M40-M39)</f>
        <v/>
      </c>
      <c r="O40" s="127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RESUMO'!AN35</f>
        <v/>
      </c>
      <c r="N41" s="128">
        <f>MAX(0,M41-M40)</f>
        <v/>
      </c>
      <c r="O41" s="127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RESUMO'!AO35</f>
        <v/>
      </c>
      <c r="N42" s="128">
        <f>MAX(0,M42-M41)</f>
        <v/>
      </c>
      <c r="O42" s="127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RESUMO'!AP35</f>
        <v/>
      </c>
      <c r="N43" s="128">
        <f>MAX(0,M43-M42)</f>
        <v/>
      </c>
      <c r="O43" s="127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RESUMO'!AQ35</f>
        <v/>
      </c>
      <c r="N44" s="128">
        <f>MAX(0,M44-M43)</f>
        <v/>
      </c>
      <c r="O44" s="127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RESUMO'!AR35</f>
        <v/>
      </c>
      <c r="N45" s="128">
        <f>MAX(0,M45-M44)</f>
        <v/>
      </c>
      <c r="O45" s="127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RESUMO'!AS35</f>
        <v/>
      </c>
      <c r="N46" s="128">
        <f>MAX(0,M46-M45)</f>
        <v/>
      </c>
      <c r="O46" s="127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RESUMO'!AT35</f>
        <v/>
      </c>
      <c r="N47" s="128">
        <f>MAX(0,M47-M46)</f>
        <v/>
      </c>
      <c r="O47" s="127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RESUMO'!AU35</f>
        <v/>
      </c>
      <c r="N48" s="128">
        <f>MAX(0,M48-M47)</f>
        <v/>
      </c>
      <c r="O48" s="127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RESUMO'!AV35</f>
        <v/>
      </c>
      <c r="N49" s="128">
        <f>MAX(0,M49-M48)</f>
        <v/>
      </c>
      <c r="O49" s="127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RESUMO'!AW35</f>
        <v/>
      </c>
      <c r="N50" s="128">
        <f>MAX(0,M50-M49)</f>
        <v/>
      </c>
      <c r="O50" s="127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RESUMO'!AX35</f>
        <v/>
      </c>
      <c r="N51" s="128">
        <f>MAX(0,M51-M50)</f>
        <v/>
      </c>
      <c r="O51" s="127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RESUMO'!AY35</f>
        <v/>
      </c>
      <c r="N52" s="128">
        <f>MAX(0,M52-M51)</f>
        <v/>
      </c>
      <c r="O52" s="127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RESUMO'!AZ35</f>
        <v/>
      </c>
      <c r="N53" s="128">
        <f>MAX(0,M53-M52)</f>
        <v/>
      </c>
      <c r="O53" s="127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RESUMO'!BA35</f>
        <v/>
      </c>
      <c r="N54" s="128">
        <f>MAX(0,M54-M53)</f>
        <v/>
      </c>
      <c r="O54" s="127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RESUMO'!BB35</f>
        <v/>
      </c>
      <c r="N55" s="128">
        <f>MAX(0,M55-M54)</f>
        <v/>
      </c>
      <c r="O55" s="127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RESUMO'!BC35</f>
        <v/>
      </c>
      <c r="N56" s="128">
        <f>MAX(0,M56-M55)</f>
        <v/>
      </c>
      <c r="O56" s="127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RESUMO'!BD35</f>
        <v/>
      </c>
      <c r="N57" s="128">
        <f>MAX(0,M57-M56)</f>
        <v/>
      </c>
      <c r="O57" s="127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RESUMO'!BE35</f>
        <v/>
      </c>
      <c r="N58" s="128">
        <f>MAX(0,M58-M57)</f>
        <v/>
      </c>
      <c r="O58" s="127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RESUMO'!BF35</f>
        <v/>
      </c>
      <c r="N59" s="128">
        <f>MAX(0,M59-M58)</f>
        <v/>
      </c>
      <c r="O59" s="127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RESUMO'!BG35</f>
        <v/>
      </c>
      <c r="N60" s="128">
        <f>MAX(0,M60-M59)</f>
        <v/>
      </c>
      <c r="O60" s="127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RESUMO'!BH35</f>
        <v/>
      </c>
      <c r="N61" s="128">
        <f>MAX(0,M61-M60)</f>
        <v/>
      </c>
      <c r="O61" s="127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RESUMO'!BI35</f>
        <v/>
      </c>
      <c r="N62" s="128">
        <f>MAX(0,M62-M61)</f>
        <v/>
      </c>
      <c r="O62" s="127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RESUMO'!BJ35</f>
        <v/>
      </c>
      <c r="N63" s="128">
        <f>MAX(0,M63-M62)</f>
        <v/>
      </c>
      <c r="O63" s="127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RESUMO'!BK35</f>
        <v/>
      </c>
      <c r="N64" s="128">
        <f>MAX(0,M64-M63)</f>
        <v/>
      </c>
      <c r="O64" s="127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RESUMO'!BL35</f>
        <v/>
      </c>
      <c r="N65" s="128">
        <f>MAX(0,M65-M64)</f>
        <v/>
      </c>
      <c r="O65" s="127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RESUMO'!BM35</f>
        <v/>
      </c>
      <c r="N66" s="128">
        <f>MAX(0,M66-M65)</f>
        <v/>
      </c>
      <c r="O66" s="127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RESUMO'!BN35</f>
        <v/>
      </c>
      <c r="N67" s="128">
        <f>MAX(0,M67-M66)</f>
        <v/>
      </c>
      <c r="O67" s="127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RESUMO'!BO35</f>
        <v/>
      </c>
      <c r="N68" s="128">
        <f>MAX(0,M68-M67)</f>
        <v/>
      </c>
      <c r="O68" s="127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RESUMO'!BP35</f>
        <v/>
      </c>
      <c r="N69" s="128">
        <f>MAX(0,M69-M68)</f>
        <v/>
      </c>
      <c r="O69" s="127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RESUMO'!BQ35</f>
        <v/>
      </c>
      <c r="N70" s="128">
        <f>MAX(0,M70-M69)</f>
        <v/>
      </c>
      <c r="O70" s="127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RESUMO'!BR35</f>
        <v/>
      </c>
      <c r="N71" s="128">
        <f>MAX(0,M71-M70)</f>
        <v/>
      </c>
      <c r="O71" s="127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RESUMO'!BS35</f>
        <v/>
      </c>
      <c r="N72" s="128">
        <f>MAX(0,M72-M71)</f>
        <v/>
      </c>
      <c r="O72" s="127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RESUMO'!BT35</f>
        <v/>
      </c>
      <c r="N73" s="128">
        <f>MAX(0,M73-M72)</f>
        <v/>
      </c>
      <c r="O73" s="127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RESUMO'!BU35</f>
        <v/>
      </c>
      <c r="N74" s="128">
        <f>MAX(0,M74-M73)</f>
        <v/>
      </c>
      <c r="O74" s="127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RESUMO'!BV35</f>
        <v/>
      </c>
      <c r="N75" s="128">
        <f>MAX(0,M75-M74)</f>
        <v/>
      </c>
      <c r="O75" s="127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RESUMO'!BW35</f>
        <v/>
      </c>
      <c r="N76" s="128">
        <f>MAX(0,M76-M75)</f>
        <v/>
      </c>
      <c r="O76" s="127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PL'!F42</f>
        <v/>
      </c>
      <c r="K5" s="63">
        <f>'VALOR POR PL'!G42</f>
        <v/>
      </c>
      <c r="M5" s="127">
        <f>'CP RESUMO'!D36</f>
        <v/>
      </c>
      <c r="N5" s="128" t="n">
        <v>0</v>
      </c>
      <c r="O5" s="127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RESUMO'!E36</f>
        <v/>
      </c>
      <c r="N6" s="128">
        <f>MAX(0,M6-M5)</f>
        <v/>
      </c>
      <c r="O6" s="127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PL'!L42</f>
        <v/>
      </c>
      <c r="M7" s="127">
        <f>'CP RESUMO'!F36</f>
        <v/>
      </c>
      <c r="N7" s="128">
        <f>MAX(0,M7-M6)</f>
        <v/>
      </c>
      <c r="O7" s="127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RESUMO'!G36</f>
        <v/>
      </c>
      <c r="N8" s="128">
        <f>MAX(0,M8-M7)</f>
        <v/>
      </c>
      <c r="O8" s="127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RESUMO'!H36</f>
        <v/>
      </c>
      <c r="N9" s="128">
        <f>MAX(0,M9-M8)</f>
        <v/>
      </c>
      <c r="O9" s="127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RESUMO'!I36</f>
        <v/>
      </c>
      <c r="N10" s="128">
        <f>MAX(0,M10-M9)</f>
        <v/>
      </c>
      <c r="O10" s="127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RESUMO'!J36</f>
        <v/>
      </c>
      <c r="N11" s="128">
        <f>MAX(0,M11-M10)</f>
        <v/>
      </c>
      <c r="O11" s="127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RESUMO'!K36</f>
        <v/>
      </c>
      <c r="N12" s="128">
        <f>MAX(0,M12-M11)</f>
        <v/>
      </c>
      <c r="O12" s="127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PL'!I42</f>
        <v/>
      </c>
      <c r="M13" s="127">
        <f>'CP RESUMO'!L36</f>
        <v/>
      </c>
      <c r="N13" s="128">
        <f>MAX(0,M13-M12)</f>
        <v/>
      </c>
      <c r="O13" s="127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7">
        <f>'CP RESUMO'!M36</f>
        <v/>
      </c>
      <c r="N14" s="128">
        <f>MAX(0,M14-M13)</f>
        <v/>
      </c>
      <c r="O14" s="127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RESUMO'!N36</f>
        <v/>
      </c>
      <c r="N15" s="128">
        <f>MAX(0,M15-M14)</f>
        <v/>
      </c>
      <c r="O15" s="127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RESUMO'!O36</f>
        <v/>
      </c>
      <c r="N16" s="128">
        <f>MAX(0,M16-M15)</f>
        <v/>
      </c>
      <c r="O16" s="127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RESUMO'!P36</f>
        <v/>
      </c>
      <c r="N17" s="128">
        <f>MAX(0,M17-M16)</f>
        <v/>
      </c>
      <c r="O17" s="127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RESUMO'!Q36</f>
        <v/>
      </c>
      <c r="N18" s="128">
        <f>MAX(0,M18-M17)</f>
        <v/>
      </c>
      <c r="O18" s="127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RESUMO'!R36</f>
        <v/>
      </c>
      <c r="N19" s="128">
        <f>MAX(0,M19-M18)</f>
        <v/>
      </c>
      <c r="O19" s="127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RESUMO'!S36</f>
        <v/>
      </c>
      <c r="N20" s="128">
        <f>MAX(0,M20-M19)</f>
        <v/>
      </c>
      <c r="O20" s="127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RESUMO'!T36</f>
        <v/>
      </c>
      <c r="N21" s="128">
        <f>MAX(0,M21-M20)</f>
        <v/>
      </c>
      <c r="O21" s="127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RESUMO'!U36</f>
        <v/>
      </c>
      <c r="N22" s="128">
        <f>MAX(0,M22-M21)</f>
        <v/>
      </c>
      <c r="O22" s="127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RESUMO'!V36</f>
        <v/>
      </c>
      <c r="N23" s="128">
        <f>MAX(0,M23-M22)</f>
        <v/>
      </c>
      <c r="O23" s="127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RESUMO'!W36</f>
        <v/>
      </c>
      <c r="N24" s="128">
        <f>MAX(0,M24-M23)</f>
        <v/>
      </c>
      <c r="O24" s="127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RESUMO'!X36</f>
        <v/>
      </c>
      <c r="N25" s="128">
        <f>MAX(0,M25-M24)</f>
        <v/>
      </c>
      <c r="O25" s="127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RESUMO'!Y36</f>
        <v/>
      </c>
      <c r="N26" s="128">
        <f>MAX(0,M26-M25)</f>
        <v/>
      </c>
      <c r="O26" s="127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RESUMO'!Z36</f>
        <v/>
      </c>
      <c r="N27" s="128">
        <f>MAX(0,M27-M26)</f>
        <v/>
      </c>
      <c r="O27" s="127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RESUMO'!AA36</f>
        <v/>
      </c>
      <c r="N28" s="128">
        <f>MAX(0,M28-M27)</f>
        <v/>
      </c>
      <c r="O28" s="127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RESUMO'!AB36</f>
        <v/>
      </c>
      <c r="N29" s="128">
        <f>MAX(0,M29-M28)</f>
        <v/>
      </c>
      <c r="O29" s="127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RESUMO'!AC36</f>
        <v/>
      </c>
      <c r="N30" s="128">
        <f>MAX(0,M30-M29)</f>
        <v/>
      </c>
      <c r="O30" s="127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RESUMO'!AD36</f>
        <v/>
      </c>
      <c r="N31" s="128">
        <f>MAX(0,M31-M30)</f>
        <v/>
      </c>
      <c r="O31" s="127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RESUMO'!AE36</f>
        <v/>
      </c>
      <c r="N32" s="128">
        <f>MAX(0,M32-M31)</f>
        <v/>
      </c>
      <c r="O32" s="127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RESUMO'!AF36</f>
        <v/>
      </c>
      <c r="N33" s="128">
        <f>MAX(0,M33-M32)</f>
        <v/>
      </c>
      <c r="O33" s="127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RESUMO'!AG36</f>
        <v/>
      </c>
      <c r="N34" s="128">
        <f>MAX(0,M34-M33)</f>
        <v/>
      </c>
      <c r="O34" s="127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RESUMO'!AH36</f>
        <v/>
      </c>
      <c r="N35" s="128">
        <f>MAX(0,M35-M34)</f>
        <v/>
      </c>
      <c r="O35" s="127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RESUMO'!AI36</f>
        <v/>
      </c>
      <c r="N36" s="128">
        <f>MAX(0,M36-M35)</f>
        <v/>
      </c>
      <c r="O36" s="127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RESUMO'!AJ36</f>
        <v/>
      </c>
      <c r="N37" s="128">
        <f>MAX(0,M37-M36)</f>
        <v/>
      </c>
      <c r="O37" s="127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RESUMO'!AK36</f>
        <v/>
      </c>
      <c r="N38" s="128">
        <f>MAX(0,M38-M37)</f>
        <v/>
      </c>
      <c r="O38" s="127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RESUMO'!AL36</f>
        <v/>
      </c>
      <c r="N39" s="128">
        <f>MAX(0,M39-M38)</f>
        <v/>
      </c>
      <c r="O39" s="127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RESUMO'!AM36</f>
        <v/>
      </c>
      <c r="N40" s="128">
        <f>MAX(0,M40-M39)</f>
        <v/>
      </c>
      <c r="O40" s="127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RESUMO'!AN36</f>
        <v/>
      </c>
      <c r="N41" s="128">
        <f>MAX(0,M41-M40)</f>
        <v/>
      </c>
      <c r="O41" s="127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RESUMO'!AO36</f>
        <v/>
      </c>
      <c r="N42" s="128">
        <f>MAX(0,M42-M41)</f>
        <v/>
      </c>
      <c r="O42" s="127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RESUMO'!AP36</f>
        <v/>
      </c>
      <c r="N43" s="128">
        <f>MAX(0,M43-M42)</f>
        <v/>
      </c>
      <c r="O43" s="127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RESUMO'!AQ36</f>
        <v/>
      </c>
      <c r="N44" s="128">
        <f>MAX(0,M44-M43)</f>
        <v/>
      </c>
      <c r="O44" s="127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RESUMO'!AR36</f>
        <v/>
      </c>
      <c r="N45" s="128">
        <f>MAX(0,M45-M44)</f>
        <v/>
      </c>
      <c r="O45" s="127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RESUMO'!AS36</f>
        <v/>
      </c>
      <c r="N46" s="128">
        <f>MAX(0,M46-M45)</f>
        <v/>
      </c>
      <c r="O46" s="127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RESUMO'!AT36</f>
        <v/>
      </c>
      <c r="N47" s="128">
        <f>MAX(0,M47-M46)</f>
        <v/>
      </c>
      <c r="O47" s="127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RESUMO'!AU36</f>
        <v/>
      </c>
      <c r="N48" s="128">
        <f>MAX(0,M48-M47)</f>
        <v/>
      </c>
      <c r="O48" s="127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RESUMO'!AV36</f>
        <v/>
      </c>
      <c r="N49" s="128">
        <f>MAX(0,M49-M48)</f>
        <v/>
      </c>
      <c r="O49" s="127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RESUMO'!AW36</f>
        <v/>
      </c>
      <c r="N50" s="128">
        <f>MAX(0,M50-M49)</f>
        <v/>
      </c>
      <c r="O50" s="127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RESUMO'!AX36</f>
        <v/>
      </c>
      <c r="N51" s="128">
        <f>MAX(0,M51-M50)</f>
        <v/>
      </c>
      <c r="O51" s="127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RESUMO'!AY36</f>
        <v/>
      </c>
      <c r="N52" s="128">
        <f>MAX(0,M52-M51)</f>
        <v/>
      </c>
      <c r="O52" s="127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RESUMO'!AZ36</f>
        <v/>
      </c>
      <c r="N53" s="128">
        <f>MAX(0,M53-M52)</f>
        <v/>
      </c>
      <c r="O53" s="127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RESUMO'!BA36</f>
        <v/>
      </c>
      <c r="N54" s="128">
        <f>MAX(0,M54-M53)</f>
        <v/>
      </c>
      <c r="O54" s="127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RESUMO'!BB36</f>
        <v/>
      </c>
      <c r="N55" s="128">
        <f>MAX(0,M55-M54)</f>
        <v/>
      </c>
      <c r="O55" s="127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RESUMO'!BC36</f>
        <v/>
      </c>
      <c r="N56" s="128">
        <f>MAX(0,M56-M55)</f>
        <v/>
      </c>
      <c r="O56" s="127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RESUMO'!BD36</f>
        <v/>
      </c>
      <c r="N57" s="128">
        <f>MAX(0,M57-M56)</f>
        <v/>
      </c>
      <c r="O57" s="127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RESUMO'!BE36</f>
        <v/>
      </c>
      <c r="N58" s="128">
        <f>MAX(0,M58-M57)</f>
        <v/>
      </c>
      <c r="O58" s="127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RESUMO'!BF36</f>
        <v/>
      </c>
      <c r="N59" s="128">
        <f>MAX(0,M59-M58)</f>
        <v/>
      </c>
      <c r="O59" s="127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RESUMO'!BG36</f>
        <v/>
      </c>
      <c r="N60" s="128">
        <f>MAX(0,M60-M59)</f>
        <v/>
      </c>
      <c r="O60" s="127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RESUMO'!BH36</f>
        <v/>
      </c>
      <c r="N61" s="128">
        <f>MAX(0,M61-M60)</f>
        <v/>
      </c>
      <c r="O61" s="127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RESUMO'!BI36</f>
        <v/>
      </c>
      <c r="N62" s="128">
        <f>MAX(0,M62-M61)</f>
        <v/>
      </c>
      <c r="O62" s="127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RESUMO'!BJ36</f>
        <v/>
      </c>
      <c r="N63" s="128">
        <f>MAX(0,M63-M62)</f>
        <v/>
      </c>
      <c r="O63" s="127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RESUMO'!BK36</f>
        <v/>
      </c>
      <c r="N64" s="128">
        <f>MAX(0,M64-M63)</f>
        <v/>
      </c>
      <c r="O64" s="127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RESUMO'!BL36</f>
        <v/>
      </c>
      <c r="N65" s="128">
        <f>MAX(0,M65-M64)</f>
        <v/>
      </c>
      <c r="O65" s="127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RESUMO'!BM36</f>
        <v/>
      </c>
      <c r="N66" s="128">
        <f>MAX(0,M66-M65)</f>
        <v/>
      </c>
      <c r="O66" s="127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RESUMO'!BN36</f>
        <v/>
      </c>
      <c r="N67" s="128">
        <f>MAX(0,M67-M66)</f>
        <v/>
      </c>
      <c r="O67" s="127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RESUMO'!BO36</f>
        <v/>
      </c>
      <c r="N68" s="128">
        <f>MAX(0,M68-M67)</f>
        <v/>
      </c>
      <c r="O68" s="127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RESUMO'!BP36</f>
        <v/>
      </c>
      <c r="N69" s="128">
        <f>MAX(0,M69-M68)</f>
        <v/>
      </c>
      <c r="O69" s="127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RESUMO'!BQ36</f>
        <v/>
      </c>
      <c r="N70" s="128">
        <f>MAX(0,M70-M69)</f>
        <v/>
      </c>
      <c r="O70" s="127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RESUMO'!BR36</f>
        <v/>
      </c>
      <c r="N71" s="128">
        <f>MAX(0,M71-M70)</f>
        <v/>
      </c>
      <c r="O71" s="127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RESUMO'!BS36</f>
        <v/>
      </c>
      <c r="N72" s="128">
        <f>MAX(0,M72-M71)</f>
        <v/>
      </c>
      <c r="O72" s="127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RESUMO'!BT36</f>
        <v/>
      </c>
      <c r="N73" s="128">
        <f>MAX(0,M73-M72)</f>
        <v/>
      </c>
      <c r="O73" s="127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RESUMO'!BU36</f>
        <v/>
      </c>
      <c r="N74" s="128">
        <f>MAX(0,M74-M73)</f>
        <v/>
      </c>
      <c r="O74" s="127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RESUMO'!BV36</f>
        <v/>
      </c>
      <c r="N75" s="128">
        <f>MAX(0,M75-M74)</f>
        <v/>
      </c>
      <c r="O75" s="127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RESUMO'!BW36</f>
        <v/>
      </c>
      <c r="N76" s="128">
        <f>MAX(0,M76-M75)</f>
        <v/>
      </c>
      <c r="O76" s="127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PL'!F43</f>
        <v/>
      </c>
      <c r="K5" s="63">
        <f>'VALOR POR PL'!G43</f>
        <v/>
      </c>
      <c r="M5" s="127">
        <f>'CP RESUMO'!D37</f>
        <v/>
      </c>
      <c r="N5" s="128" t="n">
        <v>0</v>
      </c>
      <c r="O5" s="127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RESUMO'!E37</f>
        <v/>
      </c>
      <c r="N6" s="128">
        <f>MAX(0,M6-M5)</f>
        <v/>
      </c>
      <c r="O6" s="127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PL'!L43</f>
        <v/>
      </c>
      <c r="M7" s="127">
        <f>'CP RESUMO'!F37</f>
        <v/>
      </c>
      <c r="N7" s="128">
        <f>MAX(0,M7-M6)</f>
        <v/>
      </c>
      <c r="O7" s="127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RESUMO'!G37</f>
        <v/>
      </c>
      <c r="N8" s="128">
        <f>MAX(0,M8-M7)</f>
        <v/>
      </c>
      <c r="O8" s="127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RESUMO'!H37</f>
        <v/>
      </c>
      <c r="N9" s="128">
        <f>MAX(0,M9-M8)</f>
        <v/>
      </c>
      <c r="O9" s="127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RESUMO'!I37</f>
        <v/>
      </c>
      <c r="N10" s="128">
        <f>MAX(0,M10-M9)</f>
        <v/>
      </c>
      <c r="O10" s="127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RESUMO'!J37</f>
        <v/>
      </c>
      <c r="N11" s="128">
        <f>MAX(0,M11-M10)</f>
        <v/>
      </c>
      <c r="O11" s="127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RESUMO'!K37</f>
        <v/>
      </c>
      <c r="N12" s="128">
        <f>MAX(0,M12-M11)</f>
        <v/>
      </c>
      <c r="O12" s="127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PL'!I43</f>
        <v/>
      </c>
      <c r="M13" s="127">
        <f>'CP RESUMO'!L37</f>
        <v/>
      </c>
      <c r="N13" s="128">
        <f>MAX(0,M13-M12)</f>
        <v/>
      </c>
      <c r="O13" s="127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7">
        <f>'CP RESUMO'!M37</f>
        <v/>
      </c>
      <c r="N14" s="128">
        <f>MAX(0,M14-M13)</f>
        <v/>
      </c>
      <c r="O14" s="127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RESUMO'!N37</f>
        <v/>
      </c>
      <c r="N15" s="128">
        <f>MAX(0,M15-M14)</f>
        <v/>
      </c>
      <c r="O15" s="127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RESUMO'!O37</f>
        <v/>
      </c>
      <c r="N16" s="128">
        <f>MAX(0,M16-M15)</f>
        <v/>
      </c>
      <c r="O16" s="127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RESUMO'!P37</f>
        <v/>
      </c>
      <c r="N17" s="128">
        <f>MAX(0,M17-M16)</f>
        <v/>
      </c>
      <c r="O17" s="127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RESUMO'!Q37</f>
        <v/>
      </c>
      <c r="N18" s="128">
        <f>MAX(0,M18-M17)</f>
        <v/>
      </c>
      <c r="O18" s="127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RESUMO'!R37</f>
        <v/>
      </c>
      <c r="N19" s="128">
        <f>MAX(0,M19-M18)</f>
        <v/>
      </c>
      <c r="O19" s="127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RESUMO'!S37</f>
        <v/>
      </c>
      <c r="N20" s="128">
        <f>MAX(0,M20-M19)</f>
        <v/>
      </c>
      <c r="O20" s="127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RESUMO'!T37</f>
        <v/>
      </c>
      <c r="N21" s="128">
        <f>MAX(0,M21-M20)</f>
        <v/>
      </c>
      <c r="O21" s="127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RESUMO'!U37</f>
        <v/>
      </c>
      <c r="N22" s="128">
        <f>MAX(0,M22-M21)</f>
        <v/>
      </c>
      <c r="O22" s="127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RESUMO'!V37</f>
        <v/>
      </c>
      <c r="N23" s="128">
        <f>MAX(0,M23-M22)</f>
        <v/>
      </c>
      <c r="O23" s="127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RESUMO'!W37</f>
        <v/>
      </c>
      <c r="N24" s="128">
        <f>MAX(0,M24-M23)</f>
        <v/>
      </c>
      <c r="O24" s="127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RESUMO'!X37</f>
        <v/>
      </c>
      <c r="N25" s="128">
        <f>MAX(0,M25-M24)</f>
        <v/>
      </c>
      <c r="O25" s="127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RESUMO'!Y37</f>
        <v/>
      </c>
      <c r="N26" s="128">
        <f>MAX(0,M26-M25)</f>
        <v/>
      </c>
      <c r="O26" s="127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RESUMO'!Z37</f>
        <v/>
      </c>
      <c r="N27" s="128">
        <f>MAX(0,M27-M26)</f>
        <v/>
      </c>
      <c r="O27" s="127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RESUMO'!AA37</f>
        <v/>
      </c>
      <c r="N28" s="128">
        <f>MAX(0,M28-M27)</f>
        <v/>
      </c>
      <c r="O28" s="127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RESUMO'!AB37</f>
        <v/>
      </c>
      <c r="N29" s="128">
        <f>MAX(0,M29-M28)</f>
        <v/>
      </c>
      <c r="O29" s="127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RESUMO'!AC37</f>
        <v/>
      </c>
      <c r="N30" s="128">
        <f>MAX(0,M30-M29)</f>
        <v/>
      </c>
      <c r="O30" s="127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RESUMO'!AD37</f>
        <v/>
      </c>
      <c r="N31" s="128">
        <f>MAX(0,M31-M30)</f>
        <v/>
      </c>
      <c r="O31" s="127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RESUMO'!AE37</f>
        <v/>
      </c>
      <c r="N32" s="128">
        <f>MAX(0,M32-M31)</f>
        <v/>
      </c>
      <c r="O32" s="127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RESUMO'!AF37</f>
        <v/>
      </c>
      <c r="N33" s="128">
        <f>MAX(0,M33-M32)</f>
        <v/>
      </c>
      <c r="O33" s="127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RESUMO'!AG37</f>
        <v/>
      </c>
      <c r="N34" s="128">
        <f>MAX(0,M34-M33)</f>
        <v/>
      </c>
      <c r="O34" s="127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RESUMO'!AH37</f>
        <v/>
      </c>
      <c r="N35" s="128">
        <f>MAX(0,M35-M34)</f>
        <v/>
      </c>
      <c r="O35" s="127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RESUMO'!AI37</f>
        <v/>
      </c>
      <c r="N36" s="128">
        <f>MAX(0,M36-M35)</f>
        <v/>
      </c>
      <c r="O36" s="127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RESUMO'!AJ37</f>
        <v/>
      </c>
      <c r="N37" s="128">
        <f>MAX(0,M37-M36)</f>
        <v/>
      </c>
      <c r="O37" s="127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RESUMO'!AK37</f>
        <v/>
      </c>
      <c r="N38" s="128">
        <f>MAX(0,M38-M37)</f>
        <v/>
      </c>
      <c r="O38" s="127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RESUMO'!AL37</f>
        <v/>
      </c>
      <c r="N39" s="128">
        <f>MAX(0,M39-M38)</f>
        <v/>
      </c>
      <c r="O39" s="127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RESUMO'!AM37</f>
        <v/>
      </c>
      <c r="N40" s="128">
        <f>MAX(0,M40-M39)</f>
        <v/>
      </c>
      <c r="O40" s="127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RESUMO'!AN37</f>
        <v/>
      </c>
      <c r="N41" s="128">
        <f>MAX(0,M41-M40)</f>
        <v/>
      </c>
      <c r="O41" s="127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RESUMO'!AO37</f>
        <v/>
      </c>
      <c r="N42" s="128">
        <f>MAX(0,M42-M41)</f>
        <v/>
      </c>
      <c r="O42" s="127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RESUMO'!AP37</f>
        <v/>
      </c>
      <c r="N43" s="128">
        <f>MAX(0,M43-M42)</f>
        <v/>
      </c>
      <c r="O43" s="127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RESUMO'!AQ37</f>
        <v/>
      </c>
      <c r="N44" s="128">
        <f>MAX(0,M44-M43)</f>
        <v/>
      </c>
      <c r="O44" s="127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RESUMO'!AR37</f>
        <v/>
      </c>
      <c r="N45" s="128">
        <f>MAX(0,M45-M44)</f>
        <v/>
      </c>
      <c r="O45" s="127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RESUMO'!AS37</f>
        <v/>
      </c>
      <c r="N46" s="128">
        <f>MAX(0,M46-M45)</f>
        <v/>
      </c>
      <c r="O46" s="127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RESUMO'!AT37</f>
        <v/>
      </c>
      <c r="N47" s="128">
        <f>MAX(0,M47-M46)</f>
        <v/>
      </c>
      <c r="O47" s="127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RESUMO'!AU37</f>
        <v/>
      </c>
      <c r="N48" s="128">
        <f>MAX(0,M48-M47)</f>
        <v/>
      </c>
      <c r="O48" s="127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RESUMO'!AV37</f>
        <v/>
      </c>
      <c r="N49" s="128">
        <f>MAX(0,M49-M48)</f>
        <v/>
      </c>
      <c r="O49" s="127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RESUMO'!AW37</f>
        <v/>
      </c>
      <c r="N50" s="128">
        <f>MAX(0,M50-M49)</f>
        <v/>
      </c>
      <c r="O50" s="127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RESUMO'!AX37</f>
        <v/>
      </c>
      <c r="N51" s="128">
        <f>MAX(0,M51-M50)</f>
        <v/>
      </c>
      <c r="O51" s="127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RESUMO'!AY37</f>
        <v/>
      </c>
      <c r="N52" s="128">
        <f>MAX(0,M52-M51)</f>
        <v/>
      </c>
      <c r="O52" s="127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RESUMO'!AZ37</f>
        <v/>
      </c>
      <c r="N53" s="128">
        <f>MAX(0,M53-M52)</f>
        <v/>
      </c>
      <c r="O53" s="127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RESUMO'!BA37</f>
        <v/>
      </c>
      <c r="N54" s="128">
        <f>MAX(0,M54-M53)</f>
        <v/>
      </c>
      <c r="O54" s="127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RESUMO'!BB37</f>
        <v/>
      </c>
      <c r="N55" s="128">
        <f>MAX(0,M55-M54)</f>
        <v/>
      </c>
      <c r="O55" s="127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RESUMO'!BC37</f>
        <v/>
      </c>
      <c r="N56" s="128">
        <f>MAX(0,M56-M55)</f>
        <v/>
      </c>
      <c r="O56" s="127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RESUMO'!BD37</f>
        <v/>
      </c>
      <c r="N57" s="128">
        <f>MAX(0,M57-M56)</f>
        <v/>
      </c>
      <c r="O57" s="127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RESUMO'!BE37</f>
        <v/>
      </c>
      <c r="N58" s="128">
        <f>MAX(0,M58-M57)</f>
        <v/>
      </c>
      <c r="O58" s="127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RESUMO'!BF37</f>
        <v/>
      </c>
      <c r="N59" s="128">
        <f>MAX(0,M59-M58)</f>
        <v/>
      </c>
      <c r="O59" s="127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RESUMO'!BG37</f>
        <v/>
      </c>
      <c r="N60" s="128">
        <f>MAX(0,M60-M59)</f>
        <v/>
      </c>
      <c r="O60" s="127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RESUMO'!BH37</f>
        <v/>
      </c>
      <c r="N61" s="128">
        <f>MAX(0,M61-M60)</f>
        <v/>
      </c>
      <c r="O61" s="127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RESUMO'!BI37</f>
        <v/>
      </c>
      <c r="N62" s="128">
        <f>MAX(0,M62-M61)</f>
        <v/>
      </c>
      <c r="O62" s="127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RESUMO'!BJ37</f>
        <v/>
      </c>
      <c r="N63" s="128">
        <f>MAX(0,M63-M62)</f>
        <v/>
      </c>
      <c r="O63" s="127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RESUMO'!BK37</f>
        <v/>
      </c>
      <c r="N64" s="128">
        <f>MAX(0,M64-M63)</f>
        <v/>
      </c>
      <c r="O64" s="127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RESUMO'!BL37</f>
        <v/>
      </c>
      <c r="N65" s="128">
        <f>MAX(0,M65-M64)</f>
        <v/>
      </c>
      <c r="O65" s="127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RESUMO'!BM37</f>
        <v/>
      </c>
      <c r="N66" s="128">
        <f>MAX(0,M66-M65)</f>
        <v/>
      </c>
      <c r="O66" s="127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RESUMO'!BN37</f>
        <v/>
      </c>
      <c r="N67" s="128">
        <f>MAX(0,M67-M66)</f>
        <v/>
      </c>
      <c r="O67" s="127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RESUMO'!BO37</f>
        <v/>
      </c>
      <c r="N68" s="128">
        <f>MAX(0,M68-M67)</f>
        <v/>
      </c>
      <c r="O68" s="127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RESUMO'!BP37</f>
        <v/>
      </c>
      <c r="N69" s="128">
        <f>MAX(0,M69-M68)</f>
        <v/>
      </c>
      <c r="O69" s="127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RESUMO'!BQ37</f>
        <v/>
      </c>
      <c r="N70" s="128">
        <f>MAX(0,M70-M69)</f>
        <v/>
      </c>
      <c r="O70" s="127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RESUMO'!BR37</f>
        <v/>
      </c>
      <c r="N71" s="128">
        <f>MAX(0,M71-M70)</f>
        <v/>
      </c>
      <c r="O71" s="127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RESUMO'!BS37</f>
        <v/>
      </c>
      <c r="N72" s="128">
        <f>MAX(0,M72-M71)</f>
        <v/>
      </c>
      <c r="O72" s="127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RESUMO'!BT37</f>
        <v/>
      </c>
      <c r="N73" s="128">
        <f>MAX(0,M73-M72)</f>
        <v/>
      </c>
      <c r="O73" s="127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RESUMO'!BU37</f>
        <v/>
      </c>
      <c r="N74" s="128">
        <f>MAX(0,M74-M73)</f>
        <v/>
      </c>
      <c r="O74" s="127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RESUMO'!BV37</f>
        <v/>
      </c>
      <c r="N75" s="128">
        <f>MAX(0,M75-M74)</f>
        <v/>
      </c>
      <c r="O75" s="127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RESUMO'!BW37</f>
        <v/>
      </c>
      <c r="N76" s="128">
        <f>MAX(0,M76-M75)</f>
        <v/>
      </c>
      <c r="O76" s="127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PL'!F44</f>
        <v/>
      </c>
      <c r="K5" s="63">
        <f>'VALOR POR PL'!G44</f>
        <v/>
      </c>
      <c r="M5" s="127">
        <f>'CP RESUMO'!D38</f>
        <v/>
      </c>
      <c r="N5" s="128" t="n">
        <v>0</v>
      </c>
      <c r="O5" s="127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8">
        <f>(IF(AND(1+$K$33&gt;=1,1+$K$33&lt;=72),INDEX($N$5:$N$76,1+$K$33),0)+IF(AND(1+$K$34&gt;=1,1+$K$34&lt;=72),INDEX($N$5:$N$76,1+$K$34),0)+IF(AND(1+$K$35&gt;=1,1+$K$35&lt;=72),INDEX($N$5:$N$76,1+$K$35),0))/3</f>
        <v/>
      </c>
      <c r="T5" s="12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29">
        <f>DATE(YEAR(B5),MONTH(B5)+1,1)</f>
        <v/>
      </c>
      <c r="C6" s="63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RESUMO'!E38</f>
        <v/>
      </c>
      <c r="N6" s="128">
        <f>MAX(0,M6-M5)</f>
        <v/>
      </c>
      <c r="O6" s="127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8">
        <f>(IF(AND(2+$K$33&gt;=1,2+$K$33&lt;=72),INDEX($N$5:$N$76,2+$K$33),0)+IF(AND(2+$K$34&gt;=1,2+$K$34&lt;=72),INDEX($N$5:$N$76,2+$K$34),0)+IF(AND(2+$K$35&gt;=1,2+$K$35&lt;=72),INDEX($N$5:$N$76,2+$K$35),0))/3</f>
        <v/>
      </c>
      <c r="T6" s="12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29">
        <f>DATE(YEAR(B6),MONTH(B6)+1,1)</f>
        <v/>
      </c>
      <c r="C7" s="63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PL'!L44</f>
        <v/>
      </c>
      <c r="M7" s="127">
        <f>'CP RESUMO'!F38</f>
        <v/>
      </c>
      <c r="N7" s="128">
        <f>MAX(0,M7-M6)</f>
        <v/>
      </c>
      <c r="O7" s="127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8">
        <f>(IF(AND(3+$K$33&gt;=1,3+$K$33&lt;=72),INDEX($N$5:$N$76,3+$K$33),0)+IF(AND(3+$K$34&gt;=1,3+$K$34&lt;=72),INDEX($N$5:$N$76,3+$K$34),0)+IF(AND(3+$K$35&gt;=1,3+$K$35&lt;=72),INDEX($N$5:$N$76,3+$K$35),0))/3</f>
        <v/>
      </c>
      <c r="T7" s="12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29">
        <f>DATE(YEAR(B7),MONTH(B7)+1,1)</f>
        <v/>
      </c>
      <c r="C8" s="63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RESUMO'!G38</f>
        <v/>
      </c>
      <c r="N8" s="128">
        <f>MAX(0,M8-M7)</f>
        <v/>
      </c>
      <c r="O8" s="127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8">
        <f>(IF(AND(4+$K$33&gt;=1,4+$K$33&lt;=72),INDEX($N$5:$N$76,4+$K$33),0)+IF(AND(4+$K$34&gt;=1,4+$K$34&lt;=72),INDEX($N$5:$N$76,4+$K$34),0)+IF(AND(4+$K$35&gt;=1,4+$K$35&lt;=72),INDEX($N$5:$N$76,4+$K$35),0))/3</f>
        <v/>
      </c>
      <c r="T8" s="12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29">
        <f>DATE(YEAR(B8),MONTH(B8)+1,1)</f>
        <v/>
      </c>
      <c r="C9" s="63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RESUMO'!H38</f>
        <v/>
      </c>
      <c r="N9" s="128">
        <f>MAX(0,M9-M8)</f>
        <v/>
      </c>
      <c r="O9" s="127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8">
        <f>(IF(AND(5+$K$33&gt;=1,5+$K$33&lt;=72),INDEX($N$5:$N$76,5+$K$33),0)+IF(AND(5+$K$34&gt;=1,5+$K$34&lt;=72),INDEX($N$5:$N$76,5+$K$34),0)+IF(AND(5+$K$35&gt;=1,5+$K$35&lt;=72),INDEX($N$5:$N$76,5+$K$35),0))/3</f>
        <v/>
      </c>
      <c r="T9" s="12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29">
        <f>DATE(YEAR(B9),MONTH(B9)+1,1)</f>
        <v/>
      </c>
      <c r="C10" s="63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RESUMO'!I38</f>
        <v/>
      </c>
      <c r="N10" s="128">
        <f>MAX(0,M10-M9)</f>
        <v/>
      </c>
      <c r="O10" s="127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8">
        <f>(IF(AND(6+$K$33&gt;=1,6+$K$33&lt;=72),INDEX($N$5:$N$76,6+$K$33),0)+IF(AND(6+$K$34&gt;=1,6+$K$34&lt;=72),INDEX($N$5:$N$76,6+$K$34),0)+IF(AND(6+$K$35&gt;=1,6+$K$35&lt;=72),INDEX($N$5:$N$76,6+$K$35),0))/3</f>
        <v/>
      </c>
      <c r="T10" s="12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29">
        <f>DATE(YEAR(B10),MONTH(B10)+1,1)</f>
        <v/>
      </c>
      <c r="C11" s="63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RESUMO'!J38</f>
        <v/>
      </c>
      <c r="N11" s="128">
        <f>MAX(0,M11-M10)</f>
        <v/>
      </c>
      <c r="O11" s="127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8">
        <f>(IF(AND(7+$K$33&gt;=1,7+$K$33&lt;=72),INDEX($N$5:$N$76,7+$K$33),0)+IF(AND(7+$K$34&gt;=1,7+$K$34&lt;=72),INDEX($N$5:$N$76,7+$K$34),0)+IF(AND(7+$K$35&gt;=1,7+$K$35&lt;=72),INDEX($N$5:$N$76,7+$K$35),0))/3</f>
        <v/>
      </c>
      <c r="T11" s="12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29">
        <f>DATE(YEAR(B11),MONTH(B11)+1,1)</f>
        <v/>
      </c>
      <c r="C12" s="63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RESUMO'!K38</f>
        <v/>
      </c>
      <c r="N12" s="128">
        <f>MAX(0,M12-M11)</f>
        <v/>
      </c>
      <c r="O12" s="127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8">
        <f>(IF(AND(8+$K$33&gt;=1,8+$K$33&lt;=72),INDEX($N$5:$N$76,8+$K$33),0)+IF(AND(8+$K$34&gt;=1,8+$K$34&lt;=72),INDEX($N$5:$N$76,8+$K$34),0)+IF(AND(8+$K$35&gt;=1,8+$K$35&lt;=72),INDEX($N$5:$N$76,8+$K$35),0))/3</f>
        <v/>
      </c>
      <c r="T12" s="12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29">
        <f>DATE(YEAR(B12),MONTH(B12)+1,1)</f>
        <v/>
      </c>
      <c r="C13" s="63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PL'!I44</f>
        <v/>
      </c>
      <c r="M13" s="127">
        <f>'CP RESUMO'!L38</f>
        <v/>
      </c>
      <c r="N13" s="128">
        <f>MAX(0,M13-M12)</f>
        <v/>
      </c>
      <c r="O13" s="127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8">
        <f>(IF(AND(9+$K$33&gt;=1,9+$K$33&lt;=72),INDEX($N$5:$N$76,9+$K$33),0)+IF(AND(9+$K$34&gt;=1,9+$K$34&lt;=72),INDEX($N$5:$N$76,9+$K$34),0)+IF(AND(9+$K$35&gt;=1,9+$K$35&lt;=72),INDEX($N$5:$N$76,9+$K$35),0))/3</f>
        <v/>
      </c>
      <c r="T13" s="12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29">
        <f>DATE(YEAR(B13),MONTH(B13)+1,1)</f>
        <v/>
      </c>
      <c r="C14" s="63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7">
        <f>'CP RESUMO'!M38</f>
        <v/>
      </c>
      <c r="N14" s="128">
        <f>MAX(0,M14-M13)</f>
        <v/>
      </c>
      <c r="O14" s="127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8">
        <f>(IF(AND(10+$K$33&gt;=1,10+$K$33&lt;=72),INDEX($N$5:$N$76,10+$K$33),0)+IF(AND(10+$K$34&gt;=1,10+$K$34&lt;=72),INDEX($N$5:$N$76,10+$K$34),0)+IF(AND(10+$K$35&gt;=1,10+$K$35&lt;=72),INDEX($N$5:$N$76,10+$K$35),0))/3</f>
        <v/>
      </c>
      <c r="T14" s="12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29">
        <f>DATE(YEAR(B14),MONTH(B14)+1,1)</f>
        <v/>
      </c>
      <c r="C15" s="63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MDO PREVISION + MATERIAL PREMISSA</t>
        </is>
      </c>
      <c r="M15" s="127">
        <f>'CP RESUMO'!N38</f>
        <v/>
      </c>
      <c r="N15" s="128">
        <f>MAX(0,M15-M14)</f>
        <v/>
      </c>
      <c r="O15" s="127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8">
        <f>(IF(AND(11+$K$33&gt;=1,11+$K$33&lt;=72),INDEX($N$5:$N$76,11+$K$33),0)+IF(AND(11+$K$34&gt;=1,11+$K$34&lt;=72),INDEX($N$5:$N$76,11+$K$34),0)+IF(AND(11+$K$35&gt;=1,11+$K$35&lt;=72),INDEX($N$5:$N$76,11+$K$35),0))/3</f>
        <v/>
      </c>
      <c r="T15" s="12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29">
        <f>DATE(YEAR(B15),MONTH(B15)+1,1)</f>
        <v/>
      </c>
      <c r="C16" s="63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7">
        <f>'CP RESUMO'!O38</f>
        <v/>
      </c>
      <c r="N16" s="128">
        <f>MAX(0,M16-M15)</f>
        <v/>
      </c>
      <c r="O16" s="127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8">
        <f>(IF(AND(12+$K$33&gt;=1,12+$K$33&lt;=72),INDEX($N$5:$N$76,12+$K$33),0)+IF(AND(12+$K$34&gt;=1,12+$K$34&lt;=72),INDEX($N$5:$N$76,12+$K$34),0)+IF(AND(12+$K$35&gt;=1,12+$K$35&lt;=72),INDEX($N$5:$N$76,12+$K$35),0))/3</f>
        <v/>
      </c>
      <c r="T16" s="12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29">
        <f>DATE(YEAR(B16),MONTH(B16)+1,1)</f>
        <v/>
      </c>
      <c r="C17" s="63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RESUMO'!P38</f>
        <v/>
      </c>
      <c r="N17" s="128">
        <f>MAX(0,M17-M16)</f>
        <v/>
      </c>
      <c r="O17" s="127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8">
        <f>(IF(AND(13+$K$33&gt;=1,13+$K$33&lt;=72),INDEX($N$5:$N$76,13+$K$33),0)+IF(AND(13+$K$34&gt;=1,13+$K$34&lt;=72),INDEX($N$5:$N$76,13+$K$34),0)+IF(AND(13+$K$35&gt;=1,13+$K$35&lt;=72),INDEX($N$5:$N$76,13+$K$35),0))/3</f>
        <v/>
      </c>
      <c r="T17" s="12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29">
        <f>DATE(YEAR(B17),MONTH(B17)+1,1)</f>
        <v/>
      </c>
      <c r="C18" s="63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RESUMO'!Q38</f>
        <v/>
      </c>
      <c r="N18" s="128">
        <f>MAX(0,M18-M17)</f>
        <v/>
      </c>
      <c r="O18" s="127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8">
        <f>(IF(AND(14+$K$33&gt;=1,14+$K$33&lt;=72),INDEX($N$5:$N$76,14+$K$33),0)+IF(AND(14+$K$34&gt;=1,14+$K$34&lt;=72),INDEX($N$5:$N$76,14+$K$34),0)+IF(AND(14+$K$35&gt;=1,14+$K$35&lt;=72),INDEX($N$5:$N$76,14+$K$35),0))/3</f>
        <v/>
      </c>
      <c r="T18" s="12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29">
        <f>DATE(YEAR(B18),MONTH(B18)+1,1)</f>
        <v/>
      </c>
      <c r="C19" s="63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RESUMO'!R38</f>
        <v/>
      </c>
      <c r="N19" s="128">
        <f>MAX(0,M19-M18)</f>
        <v/>
      </c>
      <c r="O19" s="127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8">
        <f>(IF(AND(15+$K$33&gt;=1,15+$K$33&lt;=72),INDEX($N$5:$N$76,15+$K$33),0)+IF(AND(15+$K$34&gt;=1,15+$K$34&lt;=72),INDEX($N$5:$N$76,15+$K$34),0)+IF(AND(15+$K$35&gt;=1,15+$K$35&lt;=72),INDEX($N$5:$N$76,15+$K$35),0))/3</f>
        <v/>
      </c>
      <c r="T19" s="12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RESUMO'!S38</f>
        <v/>
      </c>
      <c r="N20" s="128">
        <f>MAX(0,M20-M19)</f>
        <v/>
      </c>
      <c r="O20" s="127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8">
        <f>(IF(AND(16+$K$33&gt;=1,16+$K$33&lt;=72),INDEX($N$5:$N$76,16+$K$33),0)+IF(AND(16+$K$34&gt;=1,16+$K$34&lt;=72),INDEX($N$5:$N$76,16+$K$34),0)+IF(AND(16+$K$35&gt;=1,16+$K$35&lt;=72),INDEX($N$5:$N$76,16+$K$35),0))/3</f>
        <v/>
      </c>
      <c r="T20" s="12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29">
        <f>DATE(YEAR(B20),MONTH(B20)+1,1)</f>
        <v/>
      </c>
      <c r="C21" s="63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RESUMO'!T38</f>
        <v/>
      </c>
      <c r="N21" s="128">
        <f>MAX(0,M21-M20)</f>
        <v/>
      </c>
      <c r="O21" s="127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8">
        <f>(IF(AND(17+$K$33&gt;=1,17+$K$33&lt;=72),INDEX($N$5:$N$76,17+$K$33),0)+IF(AND(17+$K$34&gt;=1,17+$K$34&lt;=72),INDEX($N$5:$N$76,17+$K$34),0)+IF(AND(17+$K$35&gt;=1,17+$K$35&lt;=72),INDEX($N$5:$N$76,17+$K$35),0))/3</f>
        <v/>
      </c>
      <c r="T21" s="12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29">
        <f>DATE(YEAR(B21),MONTH(B21)+1,1)</f>
        <v/>
      </c>
      <c r="C22" s="63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RESUMO'!U38</f>
        <v/>
      </c>
      <c r="N22" s="128">
        <f>MAX(0,M22-M21)</f>
        <v/>
      </c>
      <c r="O22" s="127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8">
        <f>(IF(AND(18+$K$33&gt;=1,18+$K$33&lt;=72),INDEX($N$5:$N$76,18+$K$33),0)+IF(AND(18+$K$34&gt;=1,18+$K$34&lt;=72),INDEX($N$5:$N$76,18+$K$34),0)+IF(AND(18+$K$35&gt;=1,18+$K$35&lt;=72),INDEX($N$5:$N$76,18+$K$35),0))/3</f>
        <v/>
      </c>
      <c r="T22" s="12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29">
        <f>DATE(YEAR(B22),MONTH(B22)+1,1)</f>
        <v/>
      </c>
      <c r="C23" s="63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RESUMO'!V38</f>
        <v/>
      </c>
      <c r="N23" s="128">
        <f>MAX(0,M23-M22)</f>
        <v/>
      </c>
      <c r="O23" s="127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8">
        <f>(IF(AND(19+$K$33&gt;=1,19+$K$33&lt;=72),INDEX($N$5:$N$76,19+$K$33),0)+IF(AND(19+$K$34&gt;=1,19+$K$34&lt;=72),INDEX($N$5:$N$76,19+$K$34),0)+IF(AND(19+$K$35&gt;=1,19+$K$35&lt;=72),INDEX($N$5:$N$76,19+$K$35),0))/3</f>
        <v/>
      </c>
      <c r="T23" s="12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Saldo dividido: MDO segue a curva do Prevision; material segue a premissa (pedido antecipado, pagamento 28/56/84 dias).</t>
        </is>
      </c>
      <c r="M24" s="127">
        <f>'CP RESUMO'!W38</f>
        <v/>
      </c>
      <c r="N24" s="128">
        <f>MAX(0,M24-M23)</f>
        <v/>
      </c>
      <c r="O24" s="127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8">
        <f>(IF(AND(20+$K$33&gt;=1,20+$K$33&lt;=72),INDEX($N$5:$N$76,20+$K$33),0)+IF(AND(20+$K$34&gt;=1,20+$K$34&lt;=72),INDEX($N$5:$N$76,20+$K$34),0)+IF(AND(20+$K$35&gt;=1,20+$K$35&lt;=72),INDEX($N$5:$N$76,20+$K$35),0))/3</f>
        <v/>
      </c>
      <c r="T24" s="12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29">
        <f>DATE(YEAR(B24),MONTH(B24)+1,1)</f>
        <v/>
      </c>
      <c r="C25" s="63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I25" s="66" t="inlineStr">
        <is>
          <t>DIVISÃO MDO × MATERIAL</t>
        </is>
      </c>
      <c r="J25" s="67" t="n"/>
      <c r="K25" s="68" t="n"/>
      <c r="M25" s="127">
        <f>'CP RESUMO'!X38</f>
        <v/>
      </c>
      <c r="N25" s="128">
        <f>MAX(0,M25-M24)</f>
        <v/>
      </c>
      <c r="O25" s="127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8">
        <f>(IF(AND(21+$K$33&gt;=1,21+$K$33&lt;=72),INDEX($N$5:$N$76,21+$K$33),0)+IF(AND(21+$K$34&gt;=1,21+$K$34&lt;=72),INDEX($N$5:$N$76,21+$K$34),0)+IF(AND(21+$K$35&gt;=1,21+$K$35&lt;=72),INDEX($N$5:$N$76,21+$K$35),0))/3</f>
        <v/>
      </c>
      <c r="T25" s="12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29">
        <f>DATE(YEAR(B25),MONTH(B25)+1,1)</f>
        <v/>
      </c>
      <c r="C26" s="63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I26" s="47" t="inlineStr">
        <is>
          <t>% MÃO DE OBRA (segue a curva do Prevision)</t>
        </is>
      </c>
      <c r="K26" s="56" t="n">
        <v>0.4</v>
      </c>
      <c r="M26" s="127">
        <f>'CP RESUMO'!Y38</f>
        <v/>
      </c>
      <c r="N26" s="128">
        <f>MAX(0,M26-M25)</f>
        <v/>
      </c>
      <c r="O26" s="127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8">
        <f>(IF(AND(22+$K$33&gt;=1,22+$K$33&lt;=72),INDEX($N$5:$N$76,22+$K$33),0)+IF(AND(22+$K$34&gt;=1,22+$K$34&lt;=72),INDEX($N$5:$N$76,22+$K$34),0)+IF(AND(22+$K$35&gt;=1,22+$K$35&lt;=72),INDEX($N$5:$N$76,22+$K$35),0))/3</f>
        <v/>
      </c>
      <c r="T26" s="12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29">
        <f>DATE(YEAR(B26),MONTH(B26)+1,1)</f>
        <v/>
      </c>
      <c r="C27" s="63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I27" s="47" t="inlineStr">
        <is>
          <t>% MATERIAL (segue a premissa)</t>
        </is>
      </c>
      <c r="K27" s="137">
        <f>1-K26</f>
        <v/>
      </c>
      <c r="M27" s="127">
        <f>'CP RESUMO'!Z38</f>
        <v/>
      </c>
      <c r="N27" s="128">
        <f>MAX(0,M27-M26)</f>
        <v/>
      </c>
      <c r="O27" s="127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8">
        <f>(IF(AND(23+$K$33&gt;=1,23+$K$33&lt;=72),INDEX($N$5:$N$76,23+$K$33),0)+IF(AND(23+$K$34&gt;=1,23+$K$34&lt;=72),INDEX($N$5:$N$76,23+$K$34),0)+IF(AND(23+$K$35&gt;=1,23+$K$35&lt;=72),INDEX($N$5:$N$76,23+$K$35),0))/3</f>
        <v/>
      </c>
      <c r="T27" s="12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29">
        <f>DATE(YEAR(B27),MONTH(B27)+1,1)</f>
        <v/>
      </c>
      <c r="C28" s="63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I28" s="47" t="inlineStr">
        <is>
          <t>ANTECEDÊNCIA DO PEDIDO (dias antes da instalação)</t>
        </is>
      </c>
      <c r="K28" s="138" t="n">
        <v>180</v>
      </c>
      <c r="M28" s="127">
        <f>'CP RESUMO'!AA38</f>
        <v/>
      </c>
      <c r="N28" s="128">
        <f>MAX(0,M28-M27)</f>
        <v/>
      </c>
      <c r="O28" s="127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8">
        <f>(IF(AND(24+$K$33&gt;=1,24+$K$33&lt;=72),INDEX($N$5:$N$76,24+$K$33),0)+IF(AND(24+$K$34&gt;=1,24+$K$34&lt;=72),INDEX($N$5:$N$76,24+$K$34),0)+IF(AND(24+$K$35&gt;=1,24+$K$35&lt;=72),INDEX($N$5:$N$76,24+$K$35),0))/3</f>
        <v/>
      </c>
      <c r="T28" s="12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29">
        <f>DATE(YEAR(B28),MONTH(B28)+1,1)</f>
        <v/>
      </c>
      <c r="C29" s="63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I29" s="47" t="inlineStr">
        <is>
          <t>1ª PARCELA (dias após o pedido)</t>
        </is>
      </c>
      <c r="K29" s="138" t="n">
        <v>28</v>
      </c>
      <c r="M29" s="127">
        <f>'CP RESUMO'!AB38</f>
        <v/>
      </c>
      <c r="N29" s="128">
        <f>MAX(0,M29-M28)</f>
        <v/>
      </c>
      <c r="O29" s="127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8">
        <f>(IF(AND(25+$K$33&gt;=1,25+$K$33&lt;=72),INDEX($N$5:$N$76,25+$K$33),0)+IF(AND(25+$K$34&gt;=1,25+$K$34&lt;=72),INDEX($N$5:$N$76,25+$K$34),0)+IF(AND(25+$K$35&gt;=1,25+$K$35&lt;=72),INDEX($N$5:$N$76,25+$K$35),0))/3</f>
        <v/>
      </c>
      <c r="T29" s="12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29">
        <f>DATE(YEAR(B29),MONTH(B29)+1,1)</f>
        <v/>
      </c>
      <c r="C30" s="63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I30" s="47" t="inlineStr">
        <is>
          <t>2ª PARCELA (dias após o pedido)</t>
        </is>
      </c>
      <c r="K30" s="138" t="n">
        <v>56</v>
      </c>
      <c r="M30" s="127">
        <f>'CP RESUMO'!AC38</f>
        <v/>
      </c>
      <c r="N30" s="128">
        <f>MAX(0,M30-M29)</f>
        <v/>
      </c>
      <c r="O30" s="127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8">
        <f>(IF(AND(26+$K$33&gt;=1,26+$K$33&lt;=72),INDEX($N$5:$N$76,26+$K$33),0)+IF(AND(26+$K$34&gt;=1,26+$K$34&lt;=72),INDEX($N$5:$N$76,26+$K$34),0)+IF(AND(26+$K$35&gt;=1,26+$K$35&lt;=72),INDEX($N$5:$N$76,26+$K$35),0))/3</f>
        <v/>
      </c>
      <c r="T30" s="12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29">
        <f>DATE(YEAR(B30),MONTH(B30)+1,1)</f>
        <v/>
      </c>
      <c r="C31" s="63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I31" s="47" t="inlineStr">
        <is>
          <t>3ª PARCELA (dias após o pedido)</t>
        </is>
      </c>
      <c r="K31" s="138" t="n">
        <v>84</v>
      </c>
      <c r="M31" s="127">
        <f>'CP RESUMO'!AD38</f>
        <v/>
      </c>
      <c r="N31" s="128">
        <f>MAX(0,M31-M30)</f>
        <v/>
      </c>
      <c r="O31" s="127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8">
        <f>(IF(AND(27+$K$33&gt;=1,27+$K$33&lt;=72),INDEX($N$5:$N$76,27+$K$33),0)+IF(AND(27+$K$34&gt;=1,27+$K$34&lt;=72),INDEX($N$5:$N$76,27+$K$34),0)+IF(AND(27+$K$35&gt;=1,27+$K$35&lt;=72),INDEX($N$5:$N$76,27+$K$35),0))/3</f>
        <v/>
      </c>
      <c r="T31" s="12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29">
        <f>DATE(YEAR(B31),MONTH(B31)+1,1)</f>
        <v/>
      </c>
      <c r="C32" s="63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I32" s="47" t="inlineStr">
        <is>
          <t>Σ PESOS DO MATERIAL (meses futuros)</t>
        </is>
      </c>
      <c r="K32" s="128">
        <f>SUM(T5:T76)</f>
        <v/>
      </c>
      <c r="M32" s="127">
        <f>'CP RESUMO'!AE38</f>
        <v/>
      </c>
      <c r="N32" s="128">
        <f>MAX(0,M32-M31)</f>
        <v/>
      </c>
      <c r="O32" s="127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8">
        <f>(IF(AND(28+$K$33&gt;=1,28+$K$33&lt;=72),INDEX($N$5:$N$76,28+$K$33),0)+IF(AND(28+$K$34&gt;=1,28+$K$34&lt;=72),INDEX($N$5:$N$76,28+$K$34),0)+IF(AND(28+$K$35&gt;=1,28+$K$35&lt;=72),INDEX($N$5:$N$76,28+$K$35),0))/3</f>
        <v/>
      </c>
      <c r="T32" s="12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29">
        <f>DATE(YEAR(B32),MONTH(B32)+1,1)</f>
        <v/>
      </c>
      <c r="C33" s="63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I33" s="47" t="inlineStr">
        <is>
          <t>Parcela 1 paga X meses antes da instalação</t>
        </is>
      </c>
      <c r="K33" s="69">
        <f>ROUND((K28-K29)/30,0)</f>
        <v/>
      </c>
      <c r="M33" s="127">
        <f>'CP RESUMO'!AF38</f>
        <v/>
      </c>
      <c r="N33" s="128">
        <f>MAX(0,M33-M32)</f>
        <v/>
      </c>
      <c r="O33" s="127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8">
        <f>(IF(AND(29+$K$33&gt;=1,29+$K$33&lt;=72),INDEX($N$5:$N$76,29+$K$33),0)+IF(AND(29+$K$34&gt;=1,29+$K$34&lt;=72),INDEX($N$5:$N$76,29+$K$34),0)+IF(AND(29+$K$35&gt;=1,29+$K$35&lt;=72),INDEX($N$5:$N$76,29+$K$35),0))/3</f>
        <v/>
      </c>
      <c r="T33" s="12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29">
        <f>DATE(YEAR(B33),MONTH(B33)+1,1)</f>
        <v/>
      </c>
      <c r="C34" s="63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I34" s="47" t="inlineStr">
        <is>
          <t>Parcela 2 paga X meses antes da instalação</t>
        </is>
      </c>
      <c r="K34" s="69">
        <f>ROUND((K28-K30)/30,0)</f>
        <v/>
      </c>
      <c r="M34" s="127">
        <f>'CP RESUMO'!AG38</f>
        <v/>
      </c>
      <c r="N34" s="128">
        <f>MAX(0,M34-M33)</f>
        <v/>
      </c>
      <c r="O34" s="127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8">
        <f>(IF(AND(30+$K$33&gt;=1,30+$K$33&lt;=72),INDEX($N$5:$N$76,30+$K$33),0)+IF(AND(30+$K$34&gt;=1,30+$K$34&lt;=72),INDEX($N$5:$N$76,30+$K$34),0)+IF(AND(30+$K$35&gt;=1,30+$K$35&lt;=72),INDEX($N$5:$N$76,30+$K$35),0))/3</f>
        <v/>
      </c>
      <c r="T34" s="12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29">
        <f>DATE(YEAR(B34),MONTH(B34)+1,1)</f>
        <v/>
      </c>
      <c r="C35" s="63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I35" s="47" t="inlineStr">
        <is>
          <t>Parcela 3 paga X meses antes da instalação</t>
        </is>
      </c>
      <c r="K35" s="69">
        <f>ROUND((K28-K31)/30,0)</f>
        <v/>
      </c>
      <c r="M35" s="127">
        <f>'CP RESUMO'!AH38</f>
        <v/>
      </c>
      <c r="N35" s="128">
        <f>MAX(0,M35-M34)</f>
        <v/>
      </c>
      <c r="O35" s="127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8">
        <f>(IF(AND(31+$K$33&gt;=1,31+$K$33&lt;=72),INDEX($N$5:$N$76,31+$K$33),0)+IF(AND(31+$K$34&gt;=1,31+$K$34&lt;=72),INDEX($N$5:$N$76,31+$K$34),0)+IF(AND(31+$K$35&gt;=1,31+$K$35&lt;=72),INDEX($N$5:$N$76,31+$K$35),0))/3</f>
        <v/>
      </c>
      <c r="T35" s="12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29">
        <f>DATE(YEAR(B35),MONTH(B35)+1,1)</f>
        <v/>
      </c>
      <c r="C36" s="63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I36" s="47" t="inlineStr">
        <is>
          <t>MDO no fluxo (R$)</t>
        </is>
      </c>
      <c r="K36" s="50">
        <f>SUM(R5:R76)</f>
        <v/>
      </c>
      <c r="M36" s="127">
        <f>'CP RESUMO'!AI38</f>
        <v/>
      </c>
      <c r="N36" s="128">
        <f>MAX(0,M36-M35)</f>
        <v/>
      </c>
      <c r="O36" s="127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8">
        <f>(IF(AND(32+$K$33&gt;=1,32+$K$33&lt;=72),INDEX($N$5:$N$76,32+$K$33),0)+IF(AND(32+$K$34&gt;=1,32+$K$34&lt;=72),INDEX($N$5:$N$76,32+$K$34),0)+IF(AND(32+$K$35&gt;=1,32+$K$35&lt;=72),INDEX($N$5:$N$76,32+$K$35),0))/3</f>
        <v/>
      </c>
      <c r="T36" s="12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29">
        <f>DATE(YEAR(B36),MONTH(B36)+1,1)</f>
        <v/>
      </c>
      <c r="C37" s="63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I37" s="47" t="inlineStr">
        <is>
          <t>MATERIAL no fluxo (R$)</t>
        </is>
      </c>
      <c r="K37" s="50">
        <f>SUM(U5:U76)</f>
        <v/>
      </c>
      <c r="M37" s="127">
        <f>'CP RESUMO'!AJ38</f>
        <v/>
      </c>
      <c r="N37" s="128">
        <f>MAX(0,M37-M36)</f>
        <v/>
      </c>
      <c r="O37" s="127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8">
        <f>(IF(AND(33+$K$33&gt;=1,33+$K$33&lt;=72),INDEX($N$5:$N$76,33+$K$33),0)+IF(AND(33+$K$34&gt;=1,33+$K$34&lt;=72),INDEX($N$5:$N$76,33+$K$34),0)+IF(AND(33+$K$35&gt;=1,33+$K$35&lt;=72),INDEX($N$5:$N$76,33+$K$35),0))/3</f>
        <v/>
      </c>
      <c r="T37" s="12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29">
        <f>DATE(YEAR(B37),MONTH(B37)+1,1)</f>
        <v/>
      </c>
      <c r="C38" s="63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RESUMO'!AK38</f>
        <v/>
      </c>
      <c r="N38" s="128">
        <f>MAX(0,M38-M37)</f>
        <v/>
      </c>
      <c r="O38" s="127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8">
        <f>(IF(AND(34+$K$33&gt;=1,34+$K$33&lt;=72),INDEX($N$5:$N$76,34+$K$33),0)+IF(AND(34+$K$34&gt;=1,34+$K$34&lt;=72),INDEX($N$5:$N$76,34+$K$34),0)+IF(AND(34+$K$35&gt;=1,34+$K$35&lt;=72),INDEX($N$5:$N$76,34+$K$35),0))/3</f>
        <v/>
      </c>
      <c r="T38" s="12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29">
        <f>DATE(YEAR(B38),MONTH(B38)+1,1)</f>
        <v/>
      </c>
      <c r="C39" s="63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RESUMO'!AL38</f>
        <v/>
      </c>
      <c r="N39" s="128">
        <f>MAX(0,M39-M38)</f>
        <v/>
      </c>
      <c r="O39" s="127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8">
        <f>(IF(AND(35+$K$33&gt;=1,35+$K$33&lt;=72),INDEX($N$5:$N$76,35+$K$33),0)+IF(AND(35+$K$34&gt;=1,35+$K$34&lt;=72),INDEX($N$5:$N$76,35+$K$34),0)+IF(AND(35+$K$35&gt;=1,35+$K$35&lt;=72),INDEX($N$5:$N$76,35+$K$35),0))/3</f>
        <v/>
      </c>
      <c r="T39" s="12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29">
        <f>DATE(YEAR(B39),MONTH(B39)+1,1)</f>
        <v/>
      </c>
      <c r="C40" s="63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RESUMO'!AM38</f>
        <v/>
      </c>
      <c r="N40" s="128">
        <f>MAX(0,M40-M39)</f>
        <v/>
      </c>
      <c r="O40" s="127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8">
        <f>(IF(AND(36+$K$33&gt;=1,36+$K$33&lt;=72),INDEX($N$5:$N$76,36+$K$33),0)+IF(AND(36+$K$34&gt;=1,36+$K$34&lt;=72),INDEX($N$5:$N$76,36+$K$34),0)+IF(AND(36+$K$35&gt;=1,36+$K$35&lt;=72),INDEX($N$5:$N$76,36+$K$35),0))/3</f>
        <v/>
      </c>
      <c r="T40" s="12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29">
        <f>DATE(YEAR(B40),MONTH(B40)+1,1)</f>
        <v/>
      </c>
      <c r="C41" s="63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RESUMO'!AN38</f>
        <v/>
      </c>
      <c r="N41" s="128">
        <f>MAX(0,M41-M40)</f>
        <v/>
      </c>
      <c r="O41" s="127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8">
        <f>(IF(AND(37+$K$33&gt;=1,37+$K$33&lt;=72),INDEX($N$5:$N$76,37+$K$33),0)+IF(AND(37+$K$34&gt;=1,37+$K$34&lt;=72),INDEX($N$5:$N$76,37+$K$34),0)+IF(AND(37+$K$35&gt;=1,37+$K$35&lt;=72),INDEX($N$5:$N$76,37+$K$35),0))/3</f>
        <v/>
      </c>
      <c r="T41" s="12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29">
        <f>DATE(YEAR(B41),MONTH(B41)+1,1)</f>
        <v/>
      </c>
      <c r="C42" s="63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RESUMO'!AO38</f>
        <v/>
      </c>
      <c r="N42" s="128">
        <f>MAX(0,M42-M41)</f>
        <v/>
      </c>
      <c r="O42" s="127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8">
        <f>(IF(AND(38+$K$33&gt;=1,38+$K$33&lt;=72),INDEX($N$5:$N$76,38+$K$33),0)+IF(AND(38+$K$34&gt;=1,38+$K$34&lt;=72),INDEX($N$5:$N$76,38+$K$34),0)+IF(AND(38+$K$35&gt;=1,38+$K$35&lt;=72),INDEX($N$5:$N$76,38+$K$35),0))/3</f>
        <v/>
      </c>
      <c r="T42" s="12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29">
        <f>DATE(YEAR(B42),MONTH(B42)+1,1)</f>
        <v/>
      </c>
      <c r="C43" s="63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RESUMO'!AP38</f>
        <v/>
      </c>
      <c r="N43" s="128">
        <f>MAX(0,M43-M42)</f>
        <v/>
      </c>
      <c r="O43" s="127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8">
        <f>(IF(AND(39+$K$33&gt;=1,39+$K$33&lt;=72),INDEX($N$5:$N$76,39+$K$33),0)+IF(AND(39+$K$34&gt;=1,39+$K$34&lt;=72),INDEX($N$5:$N$76,39+$K$34),0)+IF(AND(39+$K$35&gt;=1,39+$K$35&lt;=72),INDEX($N$5:$N$76,39+$K$35),0))/3</f>
        <v/>
      </c>
      <c r="T43" s="12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29">
        <f>DATE(YEAR(B43),MONTH(B43)+1,1)</f>
        <v/>
      </c>
      <c r="C44" s="63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RESUMO'!AQ38</f>
        <v/>
      </c>
      <c r="N44" s="128">
        <f>MAX(0,M44-M43)</f>
        <v/>
      </c>
      <c r="O44" s="127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8">
        <f>(IF(AND(40+$K$33&gt;=1,40+$K$33&lt;=72),INDEX($N$5:$N$76,40+$K$33),0)+IF(AND(40+$K$34&gt;=1,40+$K$34&lt;=72),INDEX($N$5:$N$76,40+$K$34),0)+IF(AND(40+$K$35&gt;=1,40+$K$35&lt;=72),INDEX($N$5:$N$76,40+$K$35),0))/3</f>
        <v/>
      </c>
      <c r="T44" s="12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29">
        <f>DATE(YEAR(B44),MONTH(B44)+1,1)</f>
        <v/>
      </c>
      <c r="C45" s="63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RESUMO'!AR38</f>
        <v/>
      </c>
      <c r="N45" s="128">
        <f>MAX(0,M45-M44)</f>
        <v/>
      </c>
      <c r="O45" s="127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8">
        <f>(IF(AND(41+$K$33&gt;=1,41+$K$33&lt;=72),INDEX($N$5:$N$76,41+$K$33),0)+IF(AND(41+$K$34&gt;=1,41+$K$34&lt;=72),INDEX($N$5:$N$76,41+$K$34),0)+IF(AND(41+$K$35&gt;=1,41+$K$35&lt;=72),INDEX($N$5:$N$76,41+$K$35),0))/3</f>
        <v/>
      </c>
      <c r="T45" s="12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29">
        <f>DATE(YEAR(B45),MONTH(B45)+1,1)</f>
        <v/>
      </c>
      <c r="C46" s="63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RESUMO'!AS38</f>
        <v/>
      </c>
      <c r="N46" s="128">
        <f>MAX(0,M46-M45)</f>
        <v/>
      </c>
      <c r="O46" s="127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8">
        <f>(IF(AND(42+$K$33&gt;=1,42+$K$33&lt;=72),INDEX($N$5:$N$76,42+$K$33),0)+IF(AND(42+$K$34&gt;=1,42+$K$34&lt;=72),INDEX($N$5:$N$76,42+$K$34),0)+IF(AND(42+$K$35&gt;=1,42+$K$35&lt;=72),INDEX($N$5:$N$76,42+$K$35),0))/3</f>
        <v/>
      </c>
      <c r="T46" s="12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29">
        <f>DATE(YEAR(B46),MONTH(B46)+1,1)</f>
        <v/>
      </c>
      <c r="C47" s="63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RESUMO'!AT38</f>
        <v/>
      </c>
      <c r="N47" s="128">
        <f>MAX(0,M47-M46)</f>
        <v/>
      </c>
      <c r="O47" s="127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8">
        <f>(IF(AND(43+$K$33&gt;=1,43+$K$33&lt;=72),INDEX($N$5:$N$76,43+$K$33),0)+IF(AND(43+$K$34&gt;=1,43+$K$34&lt;=72),INDEX($N$5:$N$76,43+$K$34),0)+IF(AND(43+$K$35&gt;=1,43+$K$35&lt;=72),INDEX($N$5:$N$76,43+$K$35),0))/3</f>
        <v/>
      </c>
      <c r="T47" s="12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29">
        <f>DATE(YEAR(B47),MONTH(B47)+1,1)</f>
        <v/>
      </c>
      <c r="C48" s="63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RESUMO'!AU38</f>
        <v/>
      </c>
      <c r="N48" s="128">
        <f>MAX(0,M48-M47)</f>
        <v/>
      </c>
      <c r="O48" s="127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8">
        <f>(IF(AND(44+$K$33&gt;=1,44+$K$33&lt;=72),INDEX($N$5:$N$76,44+$K$33),0)+IF(AND(44+$K$34&gt;=1,44+$K$34&lt;=72),INDEX($N$5:$N$76,44+$K$34),0)+IF(AND(44+$K$35&gt;=1,44+$K$35&lt;=72),INDEX($N$5:$N$76,44+$K$35),0))/3</f>
        <v/>
      </c>
      <c r="T48" s="12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29">
        <f>DATE(YEAR(B48),MONTH(B48)+1,1)</f>
        <v/>
      </c>
      <c r="C49" s="63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RESUMO'!AV38</f>
        <v/>
      </c>
      <c r="N49" s="128">
        <f>MAX(0,M49-M48)</f>
        <v/>
      </c>
      <c r="O49" s="127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8">
        <f>(IF(AND(45+$K$33&gt;=1,45+$K$33&lt;=72),INDEX($N$5:$N$76,45+$K$33),0)+IF(AND(45+$K$34&gt;=1,45+$K$34&lt;=72),INDEX($N$5:$N$76,45+$K$34),0)+IF(AND(45+$K$35&gt;=1,45+$K$35&lt;=72),INDEX($N$5:$N$76,45+$K$35),0))/3</f>
        <v/>
      </c>
      <c r="T49" s="12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29">
        <f>DATE(YEAR(B49),MONTH(B49)+1,1)</f>
        <v/>
      </c>
      <c r="C50" s="63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RESUMO'!AW38</f>
        <v/>
      </c>
      <c r="N50" s="128">
        <f>MAX(0,M50-M49)</f>
        <v/>
      </c>
      <c r="O50" s="127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8">
        <f>(IF(AND(46+$K$33&gt;=1,46+$K$33&lt;=72),INDEX($N$5:$N$76,46+$K$33),0)+IF(AND(46+$K$34&gt;=1,46+$K$34&lt;=72),INDEX($N$5:$N$76,46+$K$34),0)+IF(AND(46+$K$35&gt;=1,46+$K$35&lt;=72),INDEX($N$5:$N$76,46+$K$35),0))/3</f>
        <v/>
      </c>
      <c r="T50" s="12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29">
        <f>DATE(YEAR(B50),MONTH(B50)+1,1)</f>
        <v/>
      </c>
      <c r="C51" s="63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RESUMO'!AX38</f>
        <v/>
      </c>
      <c r="N51" s="128">
        <f>MAX(0,M51-M50)</f>
        <v/>
      </c>
      <c r="O51" s="127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8">
        <f>(IF(AND(47+$K$33&gt;=1,47+$K$33&lt;=72),INDEX($N$5:$N$76,47+$K$33),0)+IF(AND(47+$K$34&gt;=1,47+$K$34&lt;=72),INDEX($N$5:$N$76,47+$K$34),0)+IF(AND(47+$K$35&gt;=1,47+$K$35&lt;=72),INDEX($N$5:$N$76,47+$K$35),0))/3</f>
        <v/>
      </c>
      <c r="T51" s="12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29">
        <f>DATE(YEAR(B51),MONTH(B51)+1,1)</f>
        <v/>
      </c>
      <c r="C52" s="63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RESUMO'!AY38</f>
        <v/>
      </c>
      <c r="N52" s="128">
        <f>MAX(0,M52-M51)</f>
        <v/>
      </c>
      <c r="O52" s="127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8">
        <f>(IF(AND(48+$K$33&gt;=1,48+$K$33&lt;=72),INDEX($N$5:$N$76,48+$K$33),0)+IF(AND(48+$K$34&gt;=1,48+$K$34&lt;=72),INDEX($N$5:$N$76,48+$K$34),0)+IF(AND(48+$K$35&gt;=1,48+$K$35&lt;=72),INDEX($N$5:$N$76,48+$K$35),0))/3</f>
        <v/>
      </c>
      <c r="T52" s="12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29">
        <f>DATE(YEAR(B52),MONTH(B52)+1,1)</f>
        <v/>
      </c>
      <c r="C53" s="63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RESUMO'!AZ38</f>
        <v/>
      </c>
      <c r="N53" s="128">
        <f>MAX(0,M53-M52)</f>
        <v/>
      </c>
      <c r="O53" s="127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8">
        <f>(IF(AND(49+$K$33&gt;=1,49+$K$33&lt;=72),INDEX($N$5:$N$76,49+$K$33),0)+IF(AND(49+$K$34&gt;=1,49+$K$34&lt;=72),INDEX($N$5:$N$76,49+$K$34),0)+IF(AND(49+$K$35&gt;=1,49+$K$35&lt;=72),INDEX($N$5:$N$76,49+$K$35),0))/3</f>
        <v/>
      </c>
      <c r="T53" s="12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29">
        <f>DATE(YEAR(B53),MONTH(B53)+1,1)</f>
        <v/>
      </c>
      <c r="C54" s="63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RESUMO'!BA38</f>
        <v/>
      </c>
      <c r="N54" s="128">
        <f>MAX(0,M54-M53)</f>
        <v/>
      </c>
      <c r="O54" s="127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8">
        <f>(IF(AND(50+$K$33&gt;=1,50+$K$33&lt;=72),INDEX($N$5:$N$76,50+$K$33),0)+IF(AND(50+$K$34&gt;=1,50+$K$34&lt;=72),INDEX($N$5:$N$76,50+$K$34),0)+IF(AND(50+$K$35&gt;=1,50+$K$35&lt;=72),INDEX($N$5:$N$76,50+$K$35),0))/3</f>
        <v/>
      </c>
      <c r="T54" s="12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29">
        <f>DATE(YEAR(B54),MONTH(B54)+1,1)</f>
        <v/>
      </c>
      <c r="C55" s="63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RESUMO'!BB38</f>
        <v/>
      </c>
      <c r="N55" s="128">
        <f>MAX(0,M55-M54)</f>
        <v/>
      </c>
      <c r="O55" s="127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8">
        <f>(IF(AND(51+$K$33&gt;=1,51+$K$33&lt;=72),INDEX($N$5:$N$76,51+$K$33),0)+IF(AND(51+$K$34&gt;=1,51+$K$34&lt;=72),INDEX($N$5:$N$76,51+$K$34),0)+IF(AND(51+$K$35&gt;=1,51+$K$35&lt;=72),INDEX($N$5:$N$76,51+$K$35),0))/3</f>
        <v/>
      </c>
      <c r="T55" s="12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29">
        <f>DATE(YEAR(B55),MONTH(B55)+1,1)</f>
        <v/>
      </c>
      <c r="C56" s="63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RESUMO'!BC38</f>
        <v/>
      </c>
      <c r="N56" s="128">
        <f>MAX(0,M56-M55)</f>
        <v/>
      </c>
      <c r="O56" s="127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8">
        <f>(IF(AND(52+$K$33&gt;=1,52+$K$33&lt;=72),INDEX($N$5:$N$76,52+$K$33),0)+IF(AND(52+$K$34&gt;=1,52+$K$34&lt;=72),INDEX($N$5:$N$76,52+$K$34),0)+IF(AND(52+$K$35&gt;=1,52+$K$35&lt;=72),INDEX($N$5:$N$76,52+$K$35),0))/3</f>
        <v/>
      </c>
      <c r="T56" s="12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29">
        <f>DATE(YEAR(B56),MONTH(B56)+1,1)</f>
        <v/>
      </c>
      <c r="C57" s="63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RESUMO'!BD38</f>
        <v/>
      </c>
      <c r="N57" s="128">
        <f>MAX(0,M57-M56)</f>
        <v/>
      </c>
      <c r="O57" s="127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8">
        <f>(IF(AND(53+$K$33&gt;=1,53+$K$33&lt;=72),INDEX($N$5:$N$76,53+$K$33),0)+IF(AND(53+$K$34&gt;=1,53+$K$34&lt;=72),INDEX($N$5:$N$76,53+$K$34),0)+IF(AND(53+$K$35&gt;=1,53+$K$35&lt;=72),INDEX($N$5:$N$76,53+$K$35),0))/3</f>
        <v/>
      </c>
      <c r="T57" s="12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29">
        <f>DATE(YEAR(B57),MONTH(B57)+1,1)</f>
        <v/>
      </c>
      <c r="C58" s="63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RESUMO'!BE38</f>
        <v/>
      </c>
      <c r="N58" s="128">
        <f>MAX(0,M58-M57)</f>
        <v/>
      </c>
      <c r="O58" s="127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8">
        <f>(IF(AND(54+$K$33&gt;=1,54+$K$33&lt;=72),INDEX($N$5:$N$76,54+$K$33),0)+IF(AND(54+$K$34&gt;=1,54+$K$34&lt;=72),INDEX($N$5:$N$76,54+$K$34),0)+IF(AND(54+$K$35&gt;=1,54+$K$35&lt;=72),INDEX($N$5:$N$76,54+$K$35),0))/3</f>
        <v/>
      </c>
      <c r="T58" s="12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29">
        <f>DATE(YEAR(B58),MONTH(B58)+1,1)</f>
        <v/>
      </c>
      <c r="C59" s="63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RESUMO'!BF38</f>
        <v/>
      </c>
      <c r="N59" s="128">
        <f>MAX(0,M59-M58)</f>
        <v/>
      </c>
      <c r="O59" s="127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8">
        <f>(IF(AND(55+$K$33&gt;=1,55+$K$33&lt;=72),INDEX($N$5:$N$76,55+$K$33),0)+IF(AND(55+$K$34&gt;=1,55+$K$34&lt;=72),INDEX($N$5:$N$76,55+$K$34),0)+IF(AND(55+$K$35&gt;=1,55+$K$35&lt;=72),INDEX($N$5:$N$76,55+$K$35),0))/3</f>
        <v/>
      </c>
      <c r="T59" s="12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29">
        <f>DATE(YEAR(B59),MONTH(B59)+1,1)</f>
        <v/>
      </c>
      <c r="C60" s="63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RESUMO'!BG38</f>
        <v/>
      </c>
      <c r="N60" s="128">
        <f>MAX(0,M60-M59)</f>
        <v/>
      </c>
      <c r="O60" s="127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8">
        <f>(IF(AND(56+$K$33&gt;=1,56+$K$33&lt;=72),INDEX($N$5:$N$76,56+$K$33),0)+IF(AND(56+$K$34&gt;=1,56+$K$34&lt;=72),INDEX($N$5:$N$76,56+$K$34),0)+IF(AND(56+$K$35&gt;=1,56+$K$35&lt;=72),INDEX($N$5:$N$76,56+$K$35),0))/3</f>
        <v/>
      </c>
      <c r="T60" s="12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29">
        <f>DATE(YEAR(B60),MONTH(B60)+1,1)</f>
        <v/>
      </c>
      <c r="C61" s="63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RESUMO'!BH38</f>
        <v/>
      </c>
      <c r="N61" s="128">
        <f>MAX(0,M61-M60)</f>
        <v/>
      </c>
      <c r="O61" s="127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8">
        <f>(IF(AND(57+$K$33&gt;=1,57+$K$33&lt;=72),INDEX($N$5:$N$76,57+$K$33),0)+IF(AND(57+$K$34&gt;=1,57+$K$34&lt;=72),INDEX($N$5:$N$76,57+$K$34),0)+IF(AND(57+$K$35&gt;=1,57+$K$35&lt;=72),INDEX($N$5:$N$76,57+$K$35),0))/3</f>
        <v/>
      </c>
      <c r="T61" s="12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29">
        <f>DATE(YEAR(B61),MONTH(B61)+1,1)</f>
        <v/>
      </c>
      <c r="C62" s="63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RESUMO'!BI38</f>
        <v/>
      </c>
      <c r="N62" s="128">
        <f>MAX(0,M62-M61)</f>
        <v/>
      </c>
      <c r="O62" s="127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8">
        <f>(IF(AND(58+$K$33&gt;=1,58+$K$33&lt;=72),INDEX($N$5:$N$76,58+$K$33),0)+IF(AND(58+$K$34&gt;=1,58+$K$34&lt;=72),INDEX($N$5:$N$76,58+$K$34),0)+IF(AND(58+$K$35&gt;=1,58+$K$35&lt;=72),INDEX($N$5:$N$76,58+$K$35),0))/3</f>
        <v/>
      </c>
      <c r="T62" s="12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29">
        <f>DATE(YEAR(B62),MONTH(B62)+1,1)</f>
        <v/>
      </c>
      <c r="C63" s="63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RESUMO'!BJ38</f>
        <v/>
      </c>
      <c r="N63" s="128">
        <f>MAX(0,M63-M62)</f>
        <v/>
      </c>
      <c r="O63" s="127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8">
        <f>(IF(AND(59+$K$33&gt;=1,59+$K$33&lt;=72),INDEX($N$5:$N$76,59+$K$33),0)+IF(AND(59+$K$34&gt;=1,59+$K$34&lt;=72),INDEX($N$5:$N$76,59+$K$34),0)+IF(AND(59+$K$35&gt;=1,59+$K$35&lt;=72),INDEX($N$5:$N$76,59+$K$35),0))/3</f>
        <v/>
      </c>
      <c r="T63" s="12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29">
        <f>DATE(YEAR(B63),MONTH(B63)+1,1)</f>
        <v/>
      </c>
      <c r="C64" s="63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RESUMO'!BK38</f>
        <v/>
      </c>
      <c r="N64" s="128">
        <f>MAX(0,M64-M63)</f>
        <v/>
      </c>
      <c r="O64" s="127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8">
        <f>(IF(AND(60+$K$33&gt;=1,60+$K$33&lt;=72),INDEX($N$5:$N$76,60+$K$33),0)+IF(AND(60+$K$34&gt;=1,60+$K$34&lt;=72),INDEX($N$5:$N$76,60+$K$34),0)+IF(AND(60+$K$35&gt;=1,60+$K$35&lt;=72),INDEX($N$5:$N$76,60+$K$35),0))/3</f>
        <v/>
      </c>
      <c r="T64" s="12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29">
        <f>DATE(YEAR(B64),MONTH(B64)+1,1)</f>
        <v/>
      </c>
      <c r="C65" s="63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RESUMO'!BL38</f>
        <v/>
      </c>
      <c r="N65" s="128">
        <f>MAX(0,M65-M64)</f>
        <v/>
      </c>
      <c r="O65" s="127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8">
        <f>(IF(AND(61+$K$33&gt;=1,61+$K$33&lt;=72),INDEX($N$5:$N$76,61+$K$33),0)+IF(AND(61+$K$34&gt;=1,61+$K$34&lt;=72),INDEX($N$5:$N$76,61+$K$34),0)+IF(AND(61+$K$35&gt;=1,61+$K$35&lt;=72),INDEX($N$5:$N$76,61+$K$35),0))/3</f>
        <v/>
      </c>
      <c r="T65" s="12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29">
        <f>DATE(YEAR(B65),MONTH(B65)+1,1)</f>
        <v/>
      </c>
      <c r="C66" s="63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RESUMO'!BM38</f>
        <v/>
      </c>
      <c r="N66" s="128">
        <f>MAX(0,M66-M65)</f>
        <v/>
      </c>
      <c r="O66" s="127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8">
        <f>(IF(AND(62+$K$33&gt;=1,62+$K$33&lt;=72),INDEX($N$5:$N$76,62+$K$33),0)+IF(AND(62+$K$34&gt;=1,62+$K$34&lt;=72),INDEX($N$5:$N$76,62+$K$34),0)+IF(AND(62+$K$35&gt;=1,62+$K$35&lt;=72),INDEX($N$5:$N$76,62+$K$35),0))/3</f>
        <v/>
      </c>
      <c r="T66" s="12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29">
        <f>DATE(YEAR(B66),MONTH(B66)+1,1)</f>
        <v/>
      </c>
      <c r="C67" s="63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RESUMO'!BN38</f>
        <v/>
      </c>
      <c r="N67" s="128">
        <f>MAX(0,M67-M66)</f>
        <v/>
      </c>
      <c r="O67" s="127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8">
        <f>(IF(AND(63+$K$33&gt;=1,63+$K$33&lt;=72),INDEX($N$5:$N$76,63+$K$33),0)+IF(AND(63+$K$34&gt;=1,63+$K$34&lt;=72),INDEX($N$5:$N$76,63+$K$34),0)+IF(AND(63+$K$35&gt;=1,63+$K$35&lt;=72),INDEX($N$5:$N$76,63+$K$35),0))/3</f>
        <v/>
      </c>
      <c r="T67" s="12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29">
        <f>DATE(YEAR(B67),MONTH(B67)+1,1)</f>
        <v/>
      </c>
      <c r="C68" s="63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RESUMO'!BO38</f>
        <v/>
      </c>
      <c r="N68" s="128">
        <f>MAX(0,M68-M67)</f>
        <v/>
      </c>
      <c r="O68" s="127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8">
        <f>(IF(AND(64+$K$33&gt;=1,64+$K$33&lt;=72),INDEX($N$5:$N$76,64+$K$33),0)+IF(AND(64+$K$34&gt;=1,64+$K$34&lt;=72),INDEX($N$5:$N$76,64+$K$34),0)+IF(AND(64+$K$35&gt;=1,64+$K$35&lt;=72),INDEX($N$5:$N$76,64+$K$35),0))/3</f>
        <v/>
      </c>
      <c r="T68" s="12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29">
        <f>DATE(YEAR(B68),MONTH(B68)+1,1)</f>
        <v/>
      </c>
      <c r="C69" s="63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RESUMO'!BP38</f>
        <v/>
      </c>
      <c r="N69" s="128">
        <f>MAX(0,M69-M68)</f>
        <v/>
      </c>
      <c r="O69" s="127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8">
        <f>(IF(AND(65+$K$33&gt;=1,65+$K$33&lt;=72),INDEX($N$5:$N$76,65+$K$33),0)+IF(AND(65+$K$34&gt;=1,65+$K$34&lt;=72),INDEX($N$5:$N$76,65+$K$34),0)+IF(AND(65+$K$35&gt;=1,65+$K$35&lt;=72),INDEX($N$5:$N$76,65+$K$35),0))/3</f>
        <v/>
      </c>
      <c r="T69" s="12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29">
        <f>DATE(YEAR(B69),MONTH(B69)+1,1)</f>
        <v/>
      </c>
      <c r="C70" s="63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RESUMO'!BQ38</f>
        <v/>
      </c>
      <c r="N70" s="128">
        <f>MAX(0,M70-M69)</f>
        <v/>
      </c>
      <c r="O70" s="127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8">
        <f>(IF(AND(66+$K$33&gt;=1,66+$K$33&lt;=72),INDEX($N$5:$N$76,66+$K$33),0)+IF(AND(66+$K$34&gt;=1,66+$K$34&lt;=72),INDEX($N$5:$N$76,66+$K$34),0)+IF(AND(66+$K$35&gt;=1,66+$K$35&lt;=72),INDEX($N$5:$N$76,66+$K$35),0))/3</f>
        <v/>
      </c>
      <c r="T70" s="12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29">
        <f>DATE(YEAR(B70),MONTH(B70)+1,1)</f>
        <v/>
      </c>
      <c r="C71" s="63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RESUMO'!BR38</f>
        <v/>
      </c>
      <c r="N71" s="128">
        <f>MAX(0,M71-M70)</f>
        <v/>
      </c>
      <c r="O71" s="127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8">
        <f>(IF(AND(67+$K$33&gt;=1,67+$K$33&lt;=72),INDEX($N$5:$N$76,67+$K$33),0)+IF(AND(67+$K$34&gt;=1,67+$K$34&lt;=72),INDEX($N$5:$N$76,67+$K$34),0)+IF(AND(67+$K$35&gt;=1,67+$K$35&lt;=72),INDEX($N$5:$N$76,67+$K$35),0))/3</f>
        <v/>
      </c>
      <c r="T71" s="12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29">
        <f>DATE(YEAR(B71),MONTH(B71)+1,1)</f>
        <v/>
      </c>
      <c r="C72" s="63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RESUMO'!BS38</f>
        <v/>
      </c>
      <c r="N72" s="128">
        <f>MAX(0,M72-M71)</f>
        <v/>
      </c>
      <c r="O72" s="127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8">
        <f>(IF(AND(68+$K$33&gt;=1,68+$K$33&lt;=72),INDEX($N$5:$N$76,68+$K$33),0)+IF(AND(68+$K$34&gt;=1,68+$K$34&lt;=72),INDEX($N$5:$N$76,68+$K$34),0)+IF(AND(68+$K$35&gt;=1,68+$K$35&lt;=72),INDEX($N$5:$N$76,68+$K$35),0))/3</f>
        <v/>
      </c>
      <c r="T72" s="12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29">
        <f>DATE(YEAR(B72),MONTH(B72)+1,1)</f>
        <v/>
      </c>
      <c r="C73" s="63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RESUMO'!BT38</f>
        <v/>
      </c>
      <c r="N73" s="128">
        <f>MAX(0,M73-M72)</f>
        <v/>
      </c>
      <c r="O73" s="127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8">
        <f>(IF(AND(69+$K$33&gt;=1,69+$K$33&lt;=72),INDEX($N$5:$N$76,69+$K$33),0)+IF(AND(69+$K$34&gt;=1,69+$K$34&lt;=72),INDEX($N$5:$N$76,69+$K$34),0)+IF(AND(69+$K$35&gt;=1,69+$K$35&lt;=72),INDEX($N$5:$N$76,69+$K$35),0))/3</f>
        <v/>
      </c>
      <c r="T73" s="12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29">
        <f>DATE(YEAR(B73),MONTH(B73)+1,1)</f>
        <v/>
      </c>
      <c r="C74" s="63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RESUMO'!BU38</f>
        <v/>
      </c>
      <c r="N74" s="128">
        <f>MAX(0,M74-M73)</f>
        <v/>
      </c>
      <c r="O74" s="127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8">
        <f>(IF(AND(70+$K$33&gt;=1,70+$K$33&lt;=72),INDEX($N$5:$N$76,70+$K$33),0)+IF(AND(70+$K$34&gt;=1,70+$K$34&lt;=72),INDEX($N$5:$N$76,70+$K$34),0)+IF(AND(70+$K$35&gt;=1,70+$K$35&lt;=72),INDEX($N$5:$N$76,70+$K$35),0))/3</f>
        <v/>
      </c>
      <c r="T74" s="12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29">
        <f>DATE(YEAR(B74),MONTH(B74)+1,1)</f>
        <v/>
      </c>
      <c r="C75" s="63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RESUMO'!BV38</f>
        <v/>
      </c>
      <c r="N75" s="128">
        <f>MAX(0,M75-M74)</f>
        <v/>
      </c>
      <c r="O75" s="127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8">
        <f>(IF(AND(71+$K$33&gt;=1,71+$K$33&lt;=72),INDEX($N$5:$N$76,71+$K$33),0)+IF(AND(71+$K$34&gt;=1,71+$K$34&lt;=72),INDEX($N$5:$N$76,71+$K$34),0)+IF(AND(71+$K$35&gt;=1,71+$K$35&lt;=72),INDEX($N$5:$N$76,71+$K$35),0))/3</f>
        <v/>
      </c>
      <c r="T75" s="12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29">
        <f>DATE(YEAR(B75),MONTH(B75)+1,1)</f>
        <v/>
      </c>
      <c r="C76" s="63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RESUMO'!BW38</f>
        <v/>
      </c>
      <c r="N76" s="128">
        <f>MAX(0,M76-M75)</f>
        <v/>
      </c>
      <c r="O76" s="127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8">
        <f>(IF(AND(72+$K$33&gt;=1,72+$K$33&lt;=72),INDEX($N$5:$N$76,72+$K$33),0)+IF(AND(72+$K$34&gt;=1,72+$K$34&lt;=72),INDEX($N$5:$N$76,72+$K$34),0)+IF(AND(72+$K$35&gt;=1,72+$K$35&lt;=72),INDEX($N$5:$N$76,72+$K$35),0))/3</f>
        <v/>
      </c>
      <c r="T76" s="12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PL'!F45</f>
        <v/>
      </c>
      <c r="K5" s="63">
        <f>'VALOR POR PL'!G45</f>
        <v/>
      </c>
      <c r="M5" s="127">
        <f>'CP RESUMO'!D39</f>
        <v/>
      </c>
      <c r="N5" s="128" t="n">
        <v>0</v>
      </c>
      <c r="O5" s="127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RESUMO'!E39</f>
        <v/>
      </c>
      <c r="N6" s="128">
        <f>MAX(0,M6-M5)</f>
        <v/>
      </c>
      <c r="O6" s="127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PL'!L45</f>
        <v/>
      </c>
      <c r="M7" s="127">
        <f>'CP RESUMO'!F39</f>
        <v/>
      </c>
      <c r="N7" s="128">
        <f>MAX(0,M7-M6)</f>
        <v/>
      </c>
      <c r="O7" s="127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RESUMO'!G39</f>
        <v/>
      </c>
      <c r="N8" s="128">
        <f>MAX(0,M8-M7)</f>
        <v/>
      </c>
      <c r="O8" s="127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RESUMO'!H39</f>
        <v/>
      </c>
      <c r="N9" s="128">
        <f>MAX(0,M9-M8)</f>
        <v/>
      </c>
      <c r="O9" s="127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RESUMO'!I39</f>
        <v/>
      </c>
      <c r="N10" s="128">
        <f>MAX(0,M10-M9)</f>
        <v/>
      </c>
      <c r="O10" s="127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RESUMO'!J39</f>
        <v/>
      </c>
      <c r="N11" s="128">
        <f>MAX(0,M11-M10)</f>
        <v/>
      </c>
      <c r="O11" s="127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RESUMO'!K39</f>
        <v/>
      </c>
      <c r="N12" s="128">
        <f>MAX(0,M12-M11)</f>
        <v/>
      </c>
      <c r="O12" s="127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PL'!I45</f>
        <v/>
      </c>
      <c r="M13" s="127">
        <f>'CP RESUMO'!L39</f>
        <v/>
      </c>
      <c r="N13" s="128">
        <f>MAX(0,M13-M12)</f>
        <v/>
      </c>
      <c r="O13" s="127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7">
        <f>'CP RESUMO'!M39</f>
        <v/>
      </c>
      <c r="N14" s="128">
        <f>MAX(0,M14-M13)</f>
        <v/>
      </c>
      <c r="O14" s="127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RESUMO'!N39</f>
        <v/>
      </c>
      <c r="N15" s="128">
        <f>MAX(0,M15-M14)</f>
        <v/>
      </c>
      <c r="O15" s="127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RESUMO'!O39</f>
        <v/>
      </c>
      <c r="N16" s="128">
        <f>MAX(0,M16-M15)</f>
        <v/>
      </c>
      <c r="O16" s="127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RESUMO'!P39</f>
        <v/>
      </c>
      <c r="N17" s="128">
        <f>MAX(0,M17-M16)</f>
        <v/>
      </c>
      <c r="O17" s="127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RESUMO'!Q39</f>
        <v/>
      </c>
      <c r="N18" s="128">
        <f>MAX(0,M18-M17)</f>
        <v/>
      </c>
      <c r="O18" s="127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RESUMO'!R39</f>
        <v/>
      </c>
      <c r="N19" s="128">
        <f>MAX(0,M19-M18)</f>
        <v/>
      </c>
      <c r="O19" s="127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RESUMO'!S39</f>
        <v/>
      </c>
      <c r="N20" s="128">
        <f>MAX(0,M20-M19)</f>
        <v/>
      </c>
      <c r="O20" s="127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RESUMO'!T39</f>
        <v/>
      </c>
      <c r="N21" s="128">
        <f>MAX(0,M21-M20)</f>
        <v/>
      </c>
      <c r="O21" s="127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RESUMO'!U39</f>
        <v/>
      </c>
      <c r="N22" s="128">
        <f>MAX(0,M22-M21)</f>
        <v/>
      </c>
      <c r="O22" s="127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RESUMO'!V39</f>
        <v/>
      </c>
      <c r="N23" s="128">
        <f>MAX(0,M23-M22)</f>
        <v/>
      </c>
      <c r="O23" s="127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RESUMO'!W39</f>
        <v/>
      </c>
      <c r="N24" s="128">
        <f>MAX(0,M24-M23)</f>
        <v/>
      </c>
      <c r="O24" s="127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RESUMO'!X39</f>
        <v/>
      </c>
      <c r="N25" s="128">
        <f>MAX(0,M25-M24)</f>
        <v/>
      </c>
      <c r="O25" s="127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RESUMO'!Y39</f>
        <v/>
      </c>
      <c r="N26" s="128">
        <f>MAX(0,M26-M25)</f>
        <v/>
      </c>
      <c r="O26" s="127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RESUMO'!Z39</f>
        <v/>
      </c>
      <c r="N27" s="128">
        <f>MAX(0,M27-M26)</f>
        <v/>
      </c>
      <c r="O27" s="127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RESUMO'!AA39</f>
        <v/>
      </c>
      <c r="N28" s="128">
        <f>MAX(0,M28-M27)</f>
        <v/>
      </c>
      <c r="O28" s="127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RESUMO'!AB39</f>
        <v/>
      </c>
      <c r="N29" s="128">
        <f>MAX(0,M29-M28)</f>
        <v/>
      </c>
      <c r="O29" s="127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RESUMO'!AC39</f>
        <v/>
      </c>
      <c r="N30" s="128">
        <f>MAX(0,M30-M29)</f>
        <v/>
      </c>
      <c r="O30" s="127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RESUMO'!AD39</f>
        <v/>
      </c>
      <c r="N31" s="128">
        <f>MAX(0,M31-M30)</f>
        <v/>
      </c>
      <c r="O31" s="127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RESUMO'!AE39</f>
        <v/>
      </c>
      <c r="N32" s="128">
        <f>MAX(0,M32-M31)</f>
        <v/>
      </c>
      <c r="O32" s="127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RESUMO'!AF39</f>
        <v/>
      </c>
      <c r="N33" s="128">
        <f>MAX(0,M33-M32)</f>
        <v/>
      </c>
      <c r="O33" s="127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RESUMO'!AG39</f>
        <v/>
      </c>
      <c r="N34" s="128">
        <f>MAX(0,M34-M33)</f>
        <v/>
      </c>
      <c r="O34" s="127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RESUMO'!AH39</f>
        <v/>
      </c>
      <c r="N35" s="128">
        <f>MAX(0,M35-M34)</f>
        <v/>
      </c>
      <c r="O35" s="127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RESUMO'!AI39</f>
        <v/>
      </c>
      <c r="N36" s="128">
        <f>MAX(0,M36-M35)</f>
        <v/>
      </c>
      <c r="O36" s="127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RESUMO'!AJ39</f>
        <v/>
      </c>
      <c r="N37" s="128">
        <f>MAX(0,M37-M36)</f>
        <v/>
      </c>
      <c r="O37" s="127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RESUMO'!AK39</f>
        <v/>
      </c>
      <c r="N38" s="128">
        <f>MAX(0,M38-M37)</f>
        <v/>
      </c>
      <c r="O38" s="127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RESUMO'!AL39</f>
        <v/>
      </c>
      <c r="N39" s="128">
        <f>MAX(0,M39-M38)</f>
        <v/>
      </c>
      <c r="O39" s="127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RESUMO'!AM39</f>
        <v/>
      </c>
      <c r="N40" s="128">
        <f>MAX(0,M40-M39)</f>
        <v/>
      </c>
      <c r="O40" s="127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RESUMO'!AN39</f>
        <v/>
      </c>
      <c r="N41" s="128">
        <f>MAX(0,M41-M40)</f>
        <v/>
      </c>
      <c r="O41" s="127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RESUMO'!AO39</f>
        <v/>
      </c>
      <c r="N42" s="128">
        <f>MAX(0,M42-M41)</f>
        <v/>
      </c>
      <c r="O42" s="127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RESUMO'!AP39</f>
        <v/>
      </c>
      <c r="N43" s="128">
        <f>MAX(0,M43-M42)</f>
        <v/>
      </c>
      <c r="O43" s="127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RESUMO'!AQ39</f>
        <v/>
      </c>
      <c r="N44" s="128">
        <f>MAX(0,M44-M43)</f>
        <v/>
      </c>
      <c r="O44" s="127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RESUMO'!AR39</f>
        <v/>
      </c>
      <c r="N45" s="128">
        <f>MAX(0,M45-M44)</f>
        <v/>
      </c>
      <c r="O45" s="127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RESUMO'!AS39</f>
        <v/>
      </c>
      <c r="N46" s="128">
        <f>MAX(0,M46-M45)</f>
        <v/>
      </c>
      <c r="O46" s="127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RESUMO'!AT39</f>
        <v/>
      </c>
      <c r="N47" s="128">
        <f>MAX(0,M47-M46)</f>
        <v/>
      </c>
      <c r="O47" s="127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RESUMO'!AU39</f>
        <v/>
      </c>
      <c r="N48" s="128">
        <f>MAX(0,M48-M47)</f>
        <v/>
      </c>
      <c r="O48" s="127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RESUMO'!AV39</f>
        <v/>
      </c>
      <c r="N49" s="128">
        <f>MAX(0,M49-M48)</f>
        <v/>
      </c>
      <c r="O49" s="127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RESUMO'!AW39</f>
        <v/>
      </c>
      <c r="N50" s="128">
        <f>MAX(0,M50-M49)</f>
        <v/>
      </c>
      <c r="O50" s="127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RESUMO'!AX39</f>
        <v/>
      </c>
      <c r="N51" s="128">
        <f>MAX(0,M51-M50)</f>
        <v/>
      </c>
      <c r="O51" s="127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RESUMO'!AY39</f>
        <v/>
      </c>
      <c r="N52" s="128">
        <f>MAX(0,M52-M51)</f>
        <v/>
      </c>
      <c r="O52" s="127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RESUMO'!AZ39</f>
        <v/>
      </c>
      <c r="N53" s="128">
        <f>MAX(0,M53-M52)</f>
        <v/>
      </c>
      <c r="O53" s="127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RESUMO'!BA39</f>
        <v/>
      </c>
      <c r="N54" s="128">
        <f>MAX(0,M54-M53)</f>
        <v/>
      </c>
      <c r="O54" s="127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RESUMO'!BB39</f>
        <v/>
      </c>
      <c r="N55" s="128">
        <f>MAX(0,M55-M54)</f>
        <v/>
      </c>
      <c r="O55" s="127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RESUMO'!BC39</f>
        <v/>
      </c>
      <c r="N56" s="128">
        <f>MAX(0,M56-M55)</f>
        <v/>
      </c>
      <c r="O56" s="127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RESUMO'!BD39</f>
        <v/>
      </c>
      <c r="N57" s="128">
        <f>MAX(0,M57-M56)</f>
        <v/>
      </c>
      <c r="O57" s="127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RESUMO'!BE39</f>
        <v/>
      </c>
      <c r="N58" s="128">
        <f>MAX(0,M58-M57)</f>
        <v/>
      </c>
      <c r="O58" s="127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RESUMO'!BF39</f>
        <v/>
      </c>
      <c r="N59" s="128">
        <f>MAX(0,M59-M58)</f>
        <v/>
      </c>
      <c r="O59" s="127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RESUMO'!BG39</f>
        <v/>
      </c>
      <c r="N60" s="128">
        <f>MAX(0,M60-M59)</f>
        <v/>
      </c>
      <c r="O60" s="127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RESUMO'!BH39</f>
        <v/>
      </c>
      <c r="N61" s="128">
        <f>MAX(0,M61-M60)</f>
        <v/>
      </c>
      <c r="O61" s="127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RESUMO'!BI39</f>
        <v/>
      </c>
      <c r="N62" s="128">
        <f>MAX(0,M62-M61)</f>
        <v/>
      </c>
      <c r="O62" s="127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RESUMO'!BJ39</f>
        <v/>
      </c>
      <c r="N63" s="128">
        <f>MAX(0,M63-M62)</f>
        <v/>
      </c>
      <c r="O63" s="127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RESUMO'!BK39</f>
        <v/>
      </c>
      <c r="N64" s="128">
        <f>MAX(0,M64-M63)</f>
        <v/>
      </c>
      <c r="O64" s="127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RESUMO'!BL39</f>
        <v/>
      </c>
      <c r="N65" s="128">
        <f>MAX(0,M65-M64)</f>
        <v/>
      </c>
      <c r="O65" s="127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RESUMO'!BM39</f>
        <v/>
      </c>
      <c r="N66" s="128">
        <f>MAX(0,M66-M65)</f>
        <v/>
      </c>
      <c r="O66" s="127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RESUMO'!BN39</f>
        <v/>
      </c>
      <c r="N67" s="128">
        <f>MAX(0,M67-M66)</f>
        <v/>
      </c>
      <c r="O67" s="127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RESUMO'!BO39</f>
        <v/>
      </c>
      <c r="N68" s="128">
        <f>MAX(0,M68-M67)</f>
        <v/>
      </c>
      <c r="O68" s="127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RESUMO'!BP39</f>
        <v/>
      </c>
      <c r="N69" s="128">
        <f>MAX(0,M69-M68)</f>
        <v/>
      </c>
      <c r="O69" s="127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RESUMO'!BQ39</f>
        <v/>
      </c>
      <c r="N70" s="128">
        <f>MAX(0,M70-M69)</f>
        <v/>
      </c>
      <c r="O70" s="127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RESUMO'!BR39</f>
        <v/>
      </c>
      <c r="N71" s="128">
        <f>MAX(0,M71-M70)</f>
        <v/>
      </c>
      <c r="O71" s="127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RESUMO'!BS39</f>
        <v/>
      </c>
      <c r="N72" s="128">
        <f>MAX(0,M72-M71)</f>
        <v/>
      </c>
      <c r="O72" s="127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RESUMO'!BT39</f>
        <v/>
      </c>
      <c r="N73" s="128">
        <f>MAX(0,M73-M72)</f>
        <v/>
      </c>
      <c r="O73" s="127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RESUMO'!BU39</f>
        <v/>
      </c>
      <c r="N74" s="128">
        <f>MAX(0,M74-M73)</f>
        <v/>
      </c>
      <c r="O74" s="127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RESUMO'!BV39</f>
        <v/>
      </c>
      <c r="N75" s="128">
        <f>MAX(0,M75-M74)</f>
        <v/>
      </c>
      <c r="O75" s="127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RESUMO'!BW39</f>
        <v/>
      </c>
      <c r="N76" s="128">
        <f>MAX(0,M76-M75)</f>
        <v/>
      </c>
      <c r="O76" s="127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PL'!F46</f>
        <v/>
      </c>
      <c r="K5" s="63">
        <f>'VALOR POR PL'!G46</f>
        <v/>
      </c>
      <c r="M5" s="127">
        <f>'CP RESUMO'!D40</f>
        <v/>
      </c>
      <c r="N5" s="128" t="n">
        <v>0</v>
      </c>
      <c r="O5" s="127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RESUMO'!E40</f>
        <v/>
      </c>
      <c r="N6" s="128">
        <f>MAX(0,M6-M5)</f>
        <v/>
      </c>
      <c r="O6" s="127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PL'!L46</f>
        <v/>
      </c>
      <c r="M7" s="127">
        <f>'CP RESUMO'!F40</f>
        <v/>
      </c>
      <c r="N7" s="128">
        <f>MAX(0,M7-M6)</f>
        <v/>
      </c>
      <c r="O7" s="127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RESUMO'!G40</f>
        <v/>
      </c>
      <c r="N8" s="128">
        <f>MAX(0,M8-M7)</f>
        <v/>
      </c>
      <c r="O8" s="127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RESUMO'!H40</f>
        <v/>
      </c>
      <c r="N9" s="128">
        <f>MAX(0,M9-M8)</f>
        <v/>
      </c>
      <c r="O9" s="127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RESUMO'!I40</f>
        <v/>
      </c>
      <c r="N10" s="128">
        <f>MAX(0,M10-M9)</f>
        <v/>
      </c>
      <c r="O10" s="127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RESUMO'!J40</f>
        <v/>
      </c>
      <c r="N11" s="128">
        <f>MAX(0,M11-M10)</f>
        <v/>
      </c>
      <c r="O11" s="127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RESUMO'!K40</f>
        <v/>
      </c>
      <c r="N12" s="128">
        <f>MAX(0,M12-M11)</f>
        <v/>
      </c>
      <c r="O12" s="127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PL'!I46</f>
        <v/>
      </c>
      <c r="M13" s="127">
        <f>'CP RESUMO'!L40</f>
        <v/>
      </c>
      <c r="N13" s="128">
        <f>MAX(0,M13-M12)</f>
        <v/>
      </c>
      <c r="O13" s="127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7">
        <f>'CP RESUMO'!M40</f>
        <v/>
      </c>
      <c r="N14" s="128">
        <f>MAX(0,M14-M13)</f>
        <v/>
      </c>
      <c r="O14" s="127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RESUMO'!N40</f>
        <v/>
      </c>
      <c r="N15" s="128">
        <f>MAX(0,M15-M14)</f>
        <v/>
      </c>
      <c r="O15" s="127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RESUMO'!O40</f>
        <v/>
      </c>
      <c r="N16" s="128">
        <f>MAX(0,M16-M15)</f>
        <v/>
      </c>
      <c r="O16" s="127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RESUMO'!P40</f>
        <v/>
      </c>
      <c r="N17" s="128">
        <f>MAX(0,M17-M16)</f>
        <v/>
      </c>
      <c r="O17" s="127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RESUMO'!Q40</f>
        <v/>
      </c>
      <c r="N18" s="128">
        <f>MAX(0,M18-M17)</f>
        <v/>
      </c>
      <c r="O18" s="127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RESUMO'!R40</f>
        <v/>
      </c>
      <c r="N19" s="128">
        <f>MAX(0,M19-M18)</f>
        <v/>
      </c>
      <c r="O19" s="127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RESUMO'!S40</f>
        <v/>
      </c>
      <c r="N20" s="128">
        <f>MAX(0,M20-M19)</f>
        <v/>
      </c>
      <c r="O20" s="127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RESUMO'!T40</f>
        <v/>
      </c>
      <c r="N21" s="128">
        <f>MAX(0,M21-M20)</f>
        <v/>
      </c>
      <c r="O21" s="127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RESUMO'!U40</f>
        <v/>
      </c>
      <c r="N22" s="128">
        <f>MAX(0,M22-M21)</f>
        <v/>
      </c>
      <c r="O22" s="127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RESUMO'!V40</f>
        <v/>
      </c>
      <c r="N23" s="128">
        <f>MAX(0,M23-M22)</f>
        <v/>
      </c>
      <c r="O23" s="127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RESUMO'!W40</f>
        <v/>
      </c>
      <c r="N24" s="128">
        <f>MAX(0,M24-M23)</f>
        <v/>
      </c>
      <c r="O24" s="127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RESUMO'!X40</f>
        <v/>
      </c>
      <c r="N25" s="128">
        <f>MAX(0,M25-M24)</f>
        <v/>
      </c>
      <c r="O25" s="127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RESUMO'!Y40</f>
        <v/>
      </c>
      <c r="N26" s="128">
        <f>MAX(0,M26-M25)</f>
        <v/>
      </c>
      <c r="O26" s="127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RESUMO'!Z40</f>
        <v/>
      </c>
      <c r="N27" s="128">
        <f>MAX(0,M27-M26)</f>
        <v/>
      </c>
      <c r="O27" s="127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RESUMO'!AA40</f>
        <v/>
      </c>
      <c r="N28" s="128">
        <f>MAX(0,M28-M27)</f>
        <v/>
      </c>
      <c r="O28" s="127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RESUMO'!AB40</f>
        <v/>
      </c>
      <c r="N29" s="128">
        <f>MAX(0,M29-M28)</f>
        <v/>
      </c>
      <c r="O29" s="127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RESUMO'!AC40</f>
        <v/>
      </c>
      <c r="N30" s="128">
        <f>MAX(0,M30-M29)</f>
        <v/>
      </c>
      <c r="O30" s="127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RESUMO'!AD40</f>
        <v/>
      </c>
      <c r="N31" s="128">
        <f>MAX(0,M31-M30)</f>
        <v/>
      </c>
      <c r="O31" s="127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RESUMO'!AE40</f>
        <v/>
      </c>
      <c r="N32" s="128">
        <f>MAX(0,M32-M31)</f>
        <v/>
      </c>
      <c r="O32" s="127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RESUMO'!AF40</f>
        <v/>
      </c>
      <c r="N33" s="128">
        <f>MAX(0,M33-M32)</f>
        <v/>
      </c>
      <c r="O33" s="127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RESUMO'!AG40</f>
        <v/>
      </c>
      <c r="N34" s="128">
        <f>MAX(0,M34-M33)</f>
        <v/>
      </c>
      <c r="O34" s="127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RESUMO'!AH40</f>
        <v/>
      </c>
      <c r="N35" s="128">
        <f>MAX(0,M35-M34)</f>
        <v/>
      </c>
      <c r="O35" s="127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RESUMO'!AI40</f>
        <v/>
      </c>
      <c r="N36" s="128">
        <f>MAX(0,M36-M35)</f>
        <v/>
      </c>
      <c r="O36" s="127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RESUMO'!AJ40</f>
        <v/>
      </c>
      <c r="N37" s="128">
        <f>MAX(0,M37-M36)</f>
        <v/>
      </c>
      <c r="O37" s="127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RESUMO'!AK40</f>
        <v/>
      </c>
      <c r="N38" s="128">
        <f>MAX(0,M38-M37)</f>
        <v/>
      </c>
      <c r="O38" s="127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RESUMO'!AL40</f>
        <v/>
      </c>
      <c r="N39" s="128">
        <f>MAX(0,M39-M38)</f>
        <v/>
      </c>
      <c r="O39" s="127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RESUMO'!AM40</f>
        <v/>
      </c>
      <c r="N40" s="128">
        <f>MAX(0,M40-M39)</f>
        <v/>
      </c>
      <c r="O40" s="127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RESUMO'!AN40</f>
        <v/>
      </c>
      <c r="N41" s="128">
        <f>MAX(0,M41-M40)</f>
        <v/>
      </c>
      <c r="O41" s="127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RESUMO'!AO40</f>
        <v/>
      </c>
      <c r="N42" s="128">
        <f>MAX(0,M42-M41)</f>
        <v/>
      </c>
      <c r="O42" s="127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RESUMO'!AP40</f>
        <v/>
      </c>
      <c r="N43" s="128">
        <f>MAX(0,M43-M42)</f>
        <v/>
      </c>
      <c r="O43" s="127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RESUMO'!AQ40</f>
        <v/>
      </c>
      <c r="N44" s="128">
        <f>MAX(0,M44-M43)</f>
        <v/>
      </c>
      <c r="O44" s="127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RESUMO'!AR40</f>
        <v/>
      </c>
      <c r="N45" s="128">
        <f>MAX(0,M45-M44)</f>
        <v/>
      </c>
      <c r="O45" s="127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RESUMO'!AS40</f>
        <v/>
      </c>
      <c r="N46" s="128">
        <f>MAX(0,M46-M45)</f>
        <v/>
      </c>
      <c r="O46" s="127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RESUMO'!AT40</f>
        <v/>
      </c>
      <c r="N47" s="128">
        <f>MAX(0,M47-M46)</f>
        <v/>
      </c>
      <c r="O47" s="127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RESUMO'!AU40</f>
        <v/>
      </c>
      <c r="N48" s="128">
        <f>MAX(0,M48-M47)</f>
        <v/>
      </c>
      <c r="O48" s="127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RESUMO'!AV40</f>
        <v/>
      </c>
      <c r="N49" s="128">
        <f>MAX(0,M49-M48)</f>
        <v/>
      </c>
      <c r="O49" s="127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RESUMO'!AW40</f>
        <v/>
      </c>
      <c r="N50" s="128">
        <f>MAX(0,M50-M49)</f>
        <v/>
      </c>
      <c r="O50" s="127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RESUMO'!AX40</f>
        <v/>
      </c>
      <c r="N51" s="128">
        <f>MAX(0,M51-M50)</f>
        <v/>
      </c>
      <c r="O51" s="127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RESUMO'!AY40</f>
        <v/>
      </c>
      <c r="N52" s="128">
        <f>MAX(0,M52-M51)</f>
        <v/>
      </c>
      <c r="O52" s="127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RESUMO'!AZ40</f>
        <v/>
      </c>
      <c r="N53" s="128">
        <f>MAX(0,M53-M52)</f>
        <v/>
      </c>
      <c r="O53" s="127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RESUMO'!BA40</f>
        <v/>
      </c>
      <c r="N54" s="128">
        <f>MAX(0,M54-M53)</f>
        <v/>
      </c>
      <c r="O54" s="127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RESUMO'!BB40</f>
        <v/>
      </c>
      <c r="N55" s="128">
        <f>MAX(0,M55-M54)</f>
        <v/>
      </c>
      <c r="O55" s="127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RESUMO'!BC40</f>
        <v/>
      </c>
      <c r="N56" s="128">
        <f>MAX(0,M56-M55)</f>
        <v/>
      </c>
      <c r="O56" s="127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RESUMO'!BD40</f>
        <v/>
      </c>
      <c r="N57" s="128">
        <f>MAX(0,M57-M56)</f>
        <v/>
      </c>
      <c r="O57" s="127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RESUMO'!BE40</f>
        <v/>
      </c>
      <c r="N58" s="128">
        <f>MAX(0,M58-M57)</f>
        <v/>
      </c>
      <c r="O58" s="127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RESUMO'!BF40</f>
        <v/>
      </c>
      <c r="N59" s="128">
        <f>MAX(0,M59-M58)</f>
        <v/>
      </c>
      <c r="O59" s="127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RESUMO'!BG40</f>
        <v/>
      </c>
      <c r="N60" s="128">
        <f>MAX(0,M60-M59)</f>
        <v/>
      </c>
      <c r="O60" s="127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RESUMO'!BH40</f>
        <v/>
      </c>
      <c r="N61" s="128">
        <f>MAX(0,M61-M60)</f>
        <v/>
      </c>
      <c r="O61" s="127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RESUMO'!BI40</f>
        <v/>
      </c>
      <c r="N62" s="128">
        <f>MAX(0,M62-M61)</f>
        <v/>
      </c>
      <c r="O62" s="127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RESUMO'!BJ40</f>
        <v/>
      </c>
      <c r="N63" s="128">
        <f>MAX(0,M63-M62)</f>
        <v/>
      </c>
      <c r="O63" s="127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RESUMO'!BK40</f>
        <v/>
      </c>
      <c r="N64" s="128">
        <f>MAX(0,M64-M63)</f>
        <v/>
      </c>
      <c r="O64" s="127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RESUMO'!BL40</f>
        <v/>
      </c>
      <c r="N65" s="128">
        <f>MAX(0,M65-M64)</f>
        <v/>
      </c>
      <c r="O65" s="127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RESUMO'!BM40</f>
        <v/>
      </c>
      <c r="N66" s="128">
        <f>MAX(0,M66-M65)</f>
        <v/>
      </c>
      <c r="O66" s="127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RESUMO'!BN40</f>
        <v/>
      </c>
      <c r="N67" s="128">
        <f>MAX(0,M67-M66)</f>
        <v/>
      </c>
      <c r="O67" s="127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RESUMO'!BO40</f>
        <v/>
      </c>
      <c r="N68" s="128">
        <f>MAX(0,M68-M67)</f>
        <v/>
      </c>
      <c r="O68" s="127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RESUMO'!BP40</f>
        <v/>
      </c>
      <c r="N69" s="128">
        <f>MAX(0,M69-M68)</f>
        <v/>
      </c>
      <c r="O69" s="127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RESUMO'!BQ40</f>
        <v/>
      </c>
      <c r="N70" s="128">
        <f>MAX(0,M70-M69)</f>
        <v/>
      </c>
      <c r="O70" s="127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RESUMO'!BR40</f>
        <v/>
      </c>
      <c r="N71" s="128">
        <f>MAX(0,M71-M70)</f>
        <v/>
      </c>
      <c r="O71" s="127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RESUMO'!BS40</f>
        <v/>
      </c>
      <c r="N72" s="128">
        <f>MAX(0,M72-M71)</f>
        <v/>
      </c>
      <c r="O72" s="127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RESUMO'!BT40</f>
        <v/>
      </c>
      <c r="N73" s="128">
        <f>MAX(0,M73-M72)</f>
        <v/>
      </c>
      <c r="O73" s="127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RESUMO'!BU40</f>
        <v/>
      </c>
      <c r="N74" s="128">
        <f>MAX(0,M74-M73)</f>
        <v/>
      </c>
      <c r="O74" s="127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RESUMO'!BV40</f>
        <v/>
      </c>
      <c r="N75" s="128">
        <f>MAX(0,M75-M74)</f>
        <v/>
      </c>
      <c r="O75" s="127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RESUMO'!BW40</f>
        <v/>
      </c>
      <c r="N76" s="128">
        <f>MAX(0,M76-M75)</f>
        <v/>
      </c>
      <c r="O76" s="127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PL'!F47</f>
        <v/>
      </c>
      <c r="K5" s="63">
        <f>'VALOR POR PL'!G47</f>
        <v/>
      </c>
      <c r="M5" s="127">
        <f>'CP RESUMO'!D41</f>
        <v/>
      </c>
      <c r="N5" s="128" t="n">
        <v>0</v>
      </c>
      <c r="O5" s="127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RESUMO'!E41</f>
        <v/>
      </c>
      <c r="N6" s="128">
        <f>MAX(0,M6-M5)</f>
        <v/>
      </c>
      <c r="O6" s="127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PL'!L47</f>
        <v/>
      </c>
      <c r="M7" s="127">
        <f>'CP RESUMO'!F41</f>
        <v/>
      </c>
      <c r="N7" s="128">
        <f>MAX(0,M7-M6)</f>
        <v/>
      </c>
      <c r="O7" s="127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RESUMO'!G41</f>
        <v/>
      </c>
      <c r="N8" s="128">
        <f>MAX(0,M8-M7)</f>
        <v/>
      </c>
      <c r="O8" s="127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RESUMO'!H41</f>
        <v/>
      </c>
      <c r="N9" s="128">
        <f>MAX(0,M9-M8)</f>
        <v/>
      </c>
      <c r="O9" s="127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RESUMO'!I41</f>
        <v/>
      </c>
      <c r="N10" s="128">
        <f>MAX(0,M10-M9)</f>
        <v/>
      </c>
      <c r="O10" s="127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RESUMO'!J41</f>
        <v/>
      </c>
      <c r="N11" s="128">
        <f>MAX(0,M11-M10)</f>
        <v/>
      </c>
      <c r="O11" s="127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RESUMO'!K41</f>
        <v/>
      </c>
      <c r="N12" s="128">
        <f>MAX(0,M12-M11)</f>
        <v/>
      </c>
      <c r="O12" s="127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PL'!I47</f>
        <v/>
      </c>
      <c r="M13" s="127">
        <f>'CP RESUMO'!L41</f>
        <v/>
      </c>
      <c r="N13" s="128">
        <f>MAX(0,M13-M12)</f>
        <v/>
      </c>
      <c r="O13" s="127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7">
        <f>'CP RESUMO'!M41</f>
        <v/>
      </c>
      <c r="N14" s="128">
        <f>MAX(0,M14-M13)</f>
        <v/>
      </c>
      <c r="O14" s="127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RESUMO'!N41</f>
        <v/>
      </c>
      <c r="N15" s="128">
        <f>MAX(0,M15-M14)</f>
        <v/>
      </c>
      <c r="O15" s="127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RESUMO'!O41</f>
        <v/>
      </c>
      <c r="N16" s="128">
        <f>MAX(0,M16-M15)</f>
        <v/>
      </c>
      <c r="O16" s="127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RESUMO'!P41</f>
        <v/>
      </c>
      <c r="N17" s="128">
        <f>MAX(0,M17-M16)</f>
        <v/>
      </c>
      <c r="O17" s="127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RESUMO'!Q41</f>
        <v/>
      </c>
      <c r="N18" s="128">
        <f>MAX(0,M18-M17)</f>
        <v/>
      </c>
      <c r="O18" s="127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RESUMO'!R41</f>
        <v/>
      </c>
      <c r="N19" s="128">
        <f>MAX(0,M19-M18)</f>
        <v/>
      </c>
      <c r="O19" s="127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RESUMO'!S41</f>
        <v/>
      </c>
      <c r="N20" s="128">
        <f>MAX(0,M20-M19)</f>
        <v/>
      </c>
      <c r="O20" s="127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RESUMO'!T41</f>
        <v/>
      </c>
      <c r="N21" s="128">
        <f>MAX(0,M21-M20)</f>
        <v/>
      </c>
      <c r="O21" s="127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RESUMO'!U41</f>
        <v/>
      </c>
      <c r="N22" s="128">
        <f>MAX(0,M22-M21)</f>
        <v/>
      </c>
      <c r="O22" s="127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RESUMO'!V41</f>
        <v/>
      </c>
      <c r="N23" s="128">
        <f>MAX(0,M23-M22)</f>
        <v/>
      </c>
      <c r="O23" s="127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RESUMO'!W41</f>
        <v/>
      </c>
      <c r="N24" s="128">
        <f>MAX(0,M24-M23)</f>
        <v/>
      </c>
      <c r="O24" s="127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RESUMO'!X41</f>
        <v/>
      </c>
      <c r="N25" s="128">
        <f>MAX(0,M25-M24)</f>
        <v/>
      </c>
      <c r="O25" s="127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RESUMO'!Y41</f>
        <v/>
      </c>
      <c r="N26" s="128">
        <f>MAX(0,M26-M25)</f>
        <v/>
      </c>
      <c r="O26" s="127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RESUMO'!Z41</f>
        <v/>
      </c>
      <c r="N27" s="128">
        <f>MAX(0,M27-M26)</f>
        <v/>
      </c>
      <c r="O27" s="127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RESUMO'!AA41</f>
        <v/>
      </c>
      <c r="N28" s="128">
        <f>MAX(0,M28-M27)</f>
        <v/>
      </c>
      <c r="O28" s="127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RESUMO'!AB41</f>
        <v/>
      </c>
      <c r="N29" s="128">
        <f>MAX(0,M29-M28)</f>
        <v/>
      </c>
      <c r="O29" s="127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RESUMO'!AC41</f>
        <v/>
      </c>
      <c r="N30" s="128">
        <f>MAX(0,M30-M29)</f>
        <v/>
      </c>
      <c r="O30" s="127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RESUMO'!AD41</f>
        <v/>
      </c>
      <c r="N31" s="128">
        <f>MAX(0,M31-M30)</f>
        <v/>
      </c>
      <c r="O31" s="127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RESUMO'!AE41</f>
        <v/>
      </c>
      <c r="N32" s="128">
        <f>MAX(0,M32-M31)</f>
        <v/>
      </c>
      <c r="O32" s="127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RESUMO'!AF41</f>
        <v/>
      </c>
      <c r="N33" s="128">
        <f>MAX(0,M33-M32)</f>
        <v/>
      </c>
      <c r="O33" s="127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RESUMO'!AG41</f>
        <v/>
      </c>
      <c r="N34" s="128">
        <f>MAX(0,M34-M33)</f>
        <v/>
      </c>
      <c r="O34" s="127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RESUMO'!AH41</f>
        <v/>
      </c>
      <c r="N35" s="128">
        <f>MAX(0,M35-M34)</f>
        <v/>
      </c>
      <c r="O35" s="127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RESUMO'!AI41</f>
        <v/>
      </c>
      <c r="N36" s="128">
        <f>MAX(0,M36-M35)</f>
        <v/>
      </c>
      <c r="O36" s="127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RESUMO'!AJ41</f>
        <v/>
      </c>
      <c r="N37" s="128">
        <f>MAX(0,M37-M36)</f>
        <v/>
      </c>
      <c r="O37" s="127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RESUMO'!AK41</f>
        <v/>
      </c>
      <c r="N38" s="128">
        <f>MAX(0,M38-M37)</f>
        <v/>
      </c>
      <c r="O38" s="127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RESUMO'!AL41</f>
        <v/>
      </c>
      <c r="N39" s="128">
        <f>MAX(0,M39-M38)</f>
        <v/>
      </c>
      <c r="O39" s="127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RESUMO'!AM41</f>
        <v/>
      </c>
      <c r="N40" s="128">
        <f>MAX(0,M40-M39)</f>
        <v/>
      </c>
      <c r="O40" s="127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RESUMO'!AN41</f>
        <v/>
      </c>
      <c r="N41" s="128">
        <f>MAX(0,M41-M40)</f>
        <v/>
      </c>
      <c r="O41" s="127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RESUMO'!AO41</f>
        <v/>
      </c>
      <c r="N42" s="128">
        <f>MAX(0,M42-M41)</f>
        <v/>
      </c>
      <c r="O42" s="127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RESUMO'!AP41</f>
        <v/>
      </c>
      <c r="N43" s="128">
        <f>MAX(0,M43-M42)</f>
        <v/>
      </c>
      <c r="O43" s="127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RESUMO'!AQ41</f>
        <v/>
      </c>
      <c r="N44" s="128">
        <f>MAX(0,M44-M43)</f>
        <v/>
      </c>
      <c r="O44" s="127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RESUMO'!AR41</f>
        <v/>
      </c>
      <c r="N45" s="128">
        <f>MAX(0,M45-M44)</f>
        <v/>
      </c>
      <c r="O45" s="127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RESUMO'!AS41</f>
        <v/>
      </c>
      <c r="N46" s="128">
        <f>MAX(0,M46-M45)</f>
        <v/>
      </c>
      <c r="O46" s="127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RESUMO'!AT41</f>
        <v/>
      </c>
      <c r="N47" s="128">
        <f>MAX(0,M47-M46)</f>
        <v/>
      </c>
      <c r="O47" s="127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RESUMO'!AU41</f>
        <v/>
      </c>
      <c r="N48" s="128">
        <f>MAX(0,M48-M47)</f>
        <v/>
      </c>
      <c r="O48" s="127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RESUMO'!AV41</f>
        <v/>
      </c>
      <c r="N49" s="128">
        <f>MAX(0,M49-M48)</f>
        <v/>
      </c>
      <c r="O49" s="127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RESUMO'!AW41</f>
        <v/>
      </c>
      <c r="N50" s="128">
        <f>MAX(0,M50-M49)</f>
        <v/>
      </c>
      <c r="O50" s="127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RESUMO'!AX41</f>
        <v/>
      </c>
      <c r="N51" s="128">
        <f>MAX(0,M51-M50)</f>
        <v/>
      </c>
      <c r="O51" s="127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RESUMO'!AY41</f>
        <v/>
      </c>
      <c r="N52" s="128">
        <f>MAX(0,M52-M51)</f>
        <v/>
      </c>
      <c r="O52" s="127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RESUMO'!AZ41</f>
        <v/>
      </c>
      <c r="N53" s="128">
        <f>MAX(0,M53-M52)</f>
        <v/>
      </c>
      <c r="O53" s="127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RESUMO'!BA41</f>
        <v/>
      </c>
      <c r="N54" s="128">
        <f>MAX(0,M54-M53)</f>
        <v/>
      </c>
      <c r="O54" s="127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RESUMO'!BB41</f>
        <v/>
      </c>
      <c r="N55" s="128">
        <f>MAX(0,M55-M54)</f>
        <v/>
      </c>
      <c r="O55" s="127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RESUMO'!BC41</f>
        <v/>
      </c>
      <c r="N56" s="128">
        <f>MAX(0,M56-M55)</f>
        <v/>
      </c>
      <c r="O56" s="127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RESUMO'!BD41</f>
        <v/>
      </c>
      <c r="N57" s="128">
        <f>MAX(0,M57-M56)</f>
        <v/>
      </c>
      <c r="O57" s="127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RESUMO'!BE41</f>
        <v/>
      </c>
      <c r="N58" s="128">
        <f>MAX(0,M58-M57)</f>
        <v/>
      </c>
      <c r="O58" s="127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RESUMO'!BF41</f>
        <v/>
      </c>
      <c r="N59" s="128">
        <f>MAX(0,M59-M58)</f>
        <v/>
      </c>
      <c r="O59" s="127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RESUMO'!BG41</f>
        <v/>
      </c>
      <c r="N60" s="128">
        <f>MAX(0,M60-M59)</f>
        <v/>
      </c>
      <c r="O60" s="127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RESUMO'!BH41</f>
        <v/>
      </c>
      <c r="N61" s="128">
        <f>MAX(0,M61-M60)</f>
        <v/>
      </c>
      <c r="O61" s="127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RESUMO'!BI41</f>
        <v/>
      </c>
      <c r="N62" s="128">
        <f>MAX(0,M62-M61)</f>
        <v/>
      </c>
      <c r="O62" s="127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RESUMO'!BJ41</f>
        <v/>
      </c>
      <c r="N63" s="128">
        <f>MAX(0,M63-M62)</f>
        <v/>
      </c>
      <c r="O63" s="127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RESUMO'!BK41</f>
        <v/>
      </c>
      <c r="N64" s="128">
        <f>MAX(0,M64-M63)</f>
        <v/>
      </c>
      <c r="O64" s="127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RESUMO'!BL41</f>
        <v/>
      </c>
      <c r="N65" s="128">
        <f>MAX(0,M65-M64)</f>
        <v/>
      </c>
      <c r="O65" s="127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RESUMO'!BM41</f>
        <v/>
      </c>
      <c r="N66" s="128">
        <f>MAX(0,M66-M65)</f>
        <v/>
      </c>
      <c r="O66" s="127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RESUMO'!BN41</f>
        <v/>
      </c>
      <c r="N67" s="128">
        <f>MAX(0,M67-M66)</f>
        <v/>
      </c>
      <c r="O67" s="127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RESUMO'!BO41</f>
        <v/>
      </c>
      <c r="N68" s="128">
        <f>MAX(0,M68-M67)</f>
        <v/>
      </c>
      <c r="O68" s="127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RESUMO'!BP41</f>
        <v/>
      </c>
      <c r="N69" s="128">
        <f>MAX(0,M69-M68)</f>
        <v/>
      </c>
      <c r="O69" s="127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RESUMO'!BQ41</f>
        <v/>
      </c>
      <c r="N70" s="128">
        <f>MAX(0,M70-M69)</f>
        <v/>
      </c>
      <c r="O70" s="127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RESUMO'!BR41</f>
        <v/>
      </c>
      <c r="N71" s="128">
        <f>MAX(0,M71-M70)</f>
        <v/>
      </c>
      <c r="O71" s="127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RESUMO'!BS41</f>
        <v/>
      </c>
      <c r="N72" s="128">
        <f>MAX(0,M72-M71)</f>
        <v/>
      </c>
      <c r="O72" s="127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RESUMO'!BT41</f>
        <v/>
      </c>
      <c r="N73" s="128">
        <f>MAX(0,M73-M72)</f>
        <v/>
      </c>
      <c r="O73" s="127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RESUMO'!BU41</f>
        <v/>
      </c>
      <c r="N74" s="128">
        <f>MAX(0,M74-M73)</f>
        <v/>
      </c>
      <c r="O74" s="127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RESUMO'!BV41</f>
        <v/>
      </c>
      <c r="N75" s="128">
        <f>MAX(0,M75-M74)</f>
        <v/>
      </c>
      <c r="O75" s="127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RESUMO'!BW41</f>
        <v/>
      </c>
      <c r="N76" s="128">
        <f>MAX(0,M76-M75)</f>
        <v/>
      </c>
      <c r="O76" s="127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2026-09-28T12:10:10Z</dcterms:created>
  <dcterms:modified xsi:type="dcterms:W3CDTF">2026-09-28T12:10:11Z</dcterms:modified>
</cp:coreProperties>
</file>