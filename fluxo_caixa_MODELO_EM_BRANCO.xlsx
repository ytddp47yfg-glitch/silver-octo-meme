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5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4" fontId="6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0.1</v>
      </c>
      <c r="O7" s="52" t="inlineStr">
        <is>
          <t>INCC no mês de corte</t>
        </is>
      </c>
      <c r="P7" s="57">
        <f>IFERROR(INDEX('"INCC-FGV"'!$B$2:$B$400,MATCH(P5,'"INCC-FGV"'!$A$2:$A$400,0)),IFERROR(INDEX('"INCC-FGV"'!$B$2:$B$400,MATCH(P5,'"INCC-FGV"'!$A$2:$A$400,1)),"FALTA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54" t="n"/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</row>
    <row r="49">
      <c r="D49" s="47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7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2" t="inlineStr">
        <is>
          <t>Disciplinas com pendência (coluna N)</t>
        </is>
      </c>
      <c r="E54" s="68">
        <f>COUNTIF(N11:N48,"⚠*")</f>
        <v/>
      </c>
      <c r="F54" s="52">
        <f>IF(E54=0,"OK","⚠ Veja a coluna N")</f>
        <v/>
      </c>
      <c r="G54" s="66" t="n"/>
      <c r="H54" s="67" t="n"/>
    </row>
    <row r="55">
      <c r="D55" s="52" t="inlineStr">
        <is>
          <t>Grupos do ERP sem correspondência</t>
        </is>
      </c>
      <c r="E55" s="69">
        <f>'DADOS HISTORICOS'!C2</f>
        <v/>
      </c>
      <c r="F55" s="52">
        <f>IF(E55=0,"OK","⚠ Veja nomes em vermelho em DADOS BRUTOS")</f>
        <v/>
      </c>
      <c r="G55" s="66" t="n"/>
      <c r="H55" s="67" t="n"/>
    </row>
    <row r="56">
      <c r="D56" s="52" t="inlineStr">
        <is>
          <t>Valores do ERP fora do horizonte (R$)</t>
        </is>
      </c>
      <c r="E56" s="70">
        <f>'DADOS HISTORICOS'!BX44</f>
        <v/>
      </c>
      <c r="F56" s="52">
        <f>IF(ABS(E56)&lt;1,"OK","⚠ Aumente o horizonte ou revise datas")</f>
        <v/>
      </c>
      <c r="G56" s="66" t="n"/>
      <c r="H56" s="67" t="n"/>
    </row>
    <row r="57">
      <c r="D57" s="52" t="inlineStr">
        <is>
          <t>INCC do mês de corte</t>
        </is>
      </c>
      <c r="E57" s="71">
        <f>IF(ISNUMBER(P7),P7,0)</f>
        <v/>
      </c>
      <c r="F57" s="52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2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2">
        <f>IF(E58=0,"OK","⚠ Complete a aba INCC-FGV")</f>
        <v/>
      </c>
      <c r="G58" s="66" t="n"/>
      <c r="H58" s="67" t="n"/>
    </row>
    <row r="59">
      <c r="D59" s="52" t="inlineStr">
        <is>
          <t>Fluxo total − projeção total (R$)</t>
        </is>
      </c>
      <c r="E59" s="70">
        <f>'MODELO PARA BI'!E64-L50</f>
        <v/>
      </c>
      <c r="F59" s="52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2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7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79">
        <f>INDEX(C12:C50,MATCH(MAX(F12:F50),F12:F50,0))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29.4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29.4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29.4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29.4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29.4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29.4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29.4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29.4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29.4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29.4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29.4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29.4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29.4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29.4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29.4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29.4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29.4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29.4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29.4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29.4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29.4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29.4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29.4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29.4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29.4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29.4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29.4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4" t="n"/>
      <c r="K51" s="34" t="n"/>
      <c r="L51" s="34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108">
        <f>'ALVENARIA'!$K$5</f>
        <v/>
      </c>
      <c r="E2" s="50">
        <f>SUM(H2:CA2)</f>
        <v/>
      </c>
      <c r="F2" s="50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108">
        <f>'BARRACÃO DE OBRA'!$K$5</f>
        <v/>
      </c>
      <c r="E3" s="50">
        <f>SUM(H3:CA3)</f>
        <v/>
      </c>
      <c r="F3" s="50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108">
        <f>'CONSULTORIAS'!$K$5</f>
        <v/>
      </c>
      <c r="E4" s="50">
        <f>SUM(H4:CA4)</f>
        <v/>
      </c>
      <c r="F4" s="50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108">
        <f>'CONSUMOS'!$K$5</f>
        <v/>
      </c>
      <c r="E5" s="50">
        <f>SUM(H5:CA5)</f>
        <v/>
      </c>
      <c r="F5" s="50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108">
        <f>'CONTENÇÃO'!$K$5</f>
        <v/>
      </c>
      <c r="E6" s="50">
        <f>SUM(H6:CA6)</f>
        <v/>
      </c>
      <c r="F6" s="50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108">
        <f>'DIVERSOS'!$K$5</f>
        <v/>
      </c>
      <c r="E9" s="50">
        <f>SUM(H9:CA9)</f>
        <v/>
      </c>
      <c r="F9" s="50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108">
        <f>'ELEVADORES '!$K$5</f>
        <v/>
      </c>
      <c r="E10" s="50">
        <f>SUM(H10:CA10)</f>
        <v/>
      </c>
      <c r="F10" s="50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108">
        <f>'EQUIP E FER'!$K$5</f>
        <v/>
      </c>
      <c r="E11" s="50">
        <f>SUM(H11:CA11)</f>
        <v/>
      </c>
      <c r="F11" s="50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108">
        <f>'ESQUADRIAS'!$K$5</f>
        <v/>
      </c>
      <c r="E12" s="50">
        <f>SUM(H12:CA12)</f>
        <v/>
      </c>
      <c r="F12" s="50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108">
        <f>'ESTRUTURA'!$K$5</f>
        <v/>
      </c>
      <c r="E13" s="50">
        <f>SUM(H13:CA13)</f>
        <v/>
      </c>
      <c r="F13" s="50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108">
        <f>'FORRO'!$K$5</f>
        <v/>
      </c>
      <c r="E14" s="50">
        <f>SUM(H14:CA14)</f>
        <v/>
      </c>
      <c r="F14" s="50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108">
        <f>'FUND. PROF'!$K$5</f>
        <v/>
      </c>
      <c r="E15" s="50">
        <f>SUM(H15:CA15)</f>
        <v/>
      </c>
      <c r="F15" s="50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108">
        <f>'FUND. SUP'!$K$5</f>
        <v/>
      </c>
      <c r="E16" s="50">
        <f>SUM(H16:CA16)</f>
        <v/>
      </c>
      <c r="F16" s="50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108">
        <f>'IMPERMEABILIZAÇÃO'!$K$5</f>
        <v/>
      </c>
      <c r="E17" s="50">
        <f>SUM(H17:CA17)</f>
        <v/>
      </c>
      <c r="F17" s="50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108">
        <f>'INST. INC'!$K$5</f>
        <v/>
      </c>
      <c r="E18" s="50">
        <f>SUM(H18:CA18)</f>
        <v/>
      </c>
      <c r="F18" s="50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108">
        <f>'INST. ELÉTRICA'!$K$5</f>
        <v/>
      </c>
      <c r="E19" s="50">
        <f>SUM(H19:CA19)</f>
        <v/>
      </c>
      <c r="F19" s="50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108">
        <f>'INST. ESP'!$K$5</f>
        <v/>
      </c>
      <c r="E20" s="50">
        <f>SUM(H20:CA20)</f>
        <v/>
      </c>
      <c r="F20" s="50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108">
        <f>'INST. HIDRO'!$K$5</f>
        <v/>
      </c>
      <c r="E21" s="50">
        <f>SUM(H21:CA21)</f>
        <v/>
      </c>
      <c r="F21" s="50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108">
        <f>'LOUÇAS'!$K$5</f>
        <v/>
      </c>
      <c r="E23" s="50">
        <f>SUM(H23:CA23)</f>
        <v/>
      </c>
      <c r="F23" s="50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108">
        <f>'LIMPEZA'!$K$5</f>
        <v/>
      </c>
      <c r="E24" s="50">
        <f>SUM(H24:CA24)</f>
        <v/>
      </c>
      <c r="F24" s="50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108">
        <f>'MARCENARIA'!$K$5</f>
        <v/>
      </c>
      <c r="E25" s="50">
        <f>SUM(H25:CA25)</f>
        <v/>
      </c>
      <c r="F25" s="50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108">
        <f>'PAISAGISMO'!$K$5</f>
        <v/>
      </c>
      <c r="E26" s="50">
        <f>SUM(H26:CA26)</f>
        <v/>
      </c>
      <c r="F26" s="50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108">
        <f>'PAVIMENTAÇÃO'!$K$5</f>
        <v/>
      </c>
      <c r="E27" s="50">
        <f>SUM(H27:CA27)</f>
        <v/>
      </c>
      <c r="F27" s="50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108">
        <f>'PINTURA'!$K$5</f>
        <v/>
      </c>
      <c r="E28" s="50">
        <f>SUM(H28:CA28)</f>
        <v/>
      </c>
      <c r="F28" s="50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108">
        <f>'PROJETO'!$K$5</f>
        <v/>
      </c>
      <c r="E29" s="50">
        <f>SUM(H29:CA29)</f>
        <v/>
      </c>
      <c r="F29" s="50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108">
        <f>'REV. FACHADA'!$K$5</f>
        <v/>
      </c>
      <c r="E31" s="50">
        <f>SUM(H31:CA31)</f>
        <v/>
      </c>
      <c r="F31" s="50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108">
        <f>'REV. ACAB'!$K$5</f>
        <v/>
      </c>
      <c r="E32" s="50">
        <f>SUM(H32:CA32)</f>
        <v/>
      </c>
      <c r="F32" s="50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108">
        <f>'REV. PISOS'!$K$5</f>
        <v/>
      </c>
      <c r="E33" s="50">
        <f>SUM(H33:CA33)</f>
        <v/>
      </c>
      <c r="F33" s="50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108">
        <f>'REV. PAREDE'!$K$5</f>
        <v/>
      </c>
      <c r="E34" s="50">
        <f>SUM(H34:CA34)</f>
        <v/>
      </c>
      <c r="F34" s="50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108">
        <f>'SEGUROS'!$K$5</f>
        <v/>
      </c>
      <c r="E40" s="50">
        <f>SUM(H40:CA40)</f>
        <v/>
      </c>
      <c r="F40" s="50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108">
        <f>'SERRALHERIA'!$K$5</f>
        <v/>
      </c>
      <c r="E41" s="50">
        <f>SUM(H41:CA41)</f>
        <v/>
      </c>
      <c r="F41" s="50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108">
        <f>'LIG. PROVISÓRIAS'!$K$5</f>
        <v/>
      </c>
      <c r="E42" s="50">
        <f>SUM(H42:CA42)</f>
        <v/>
      </c>
      <c r="F42" s="50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108">
        <f>'TAX. ADM'!$K$5</f>
        <v/>
      </c>
      <c r="E43" s="50">
        <f>SUM(H43:CA43)</f>
        <v/>
      </c>
      <c r="F43" s="50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108">
        <f>'TERRAPLENAGEM'!$K$5</f>
        <v/>
      </c>
      <c r="E44" s="50">
        <f>SUM(H44:CA44)</f>
        <v/>
      </c>
      <c r="F44" s="50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108">
        <f>'TRANSPORTES'!$K$5</f>
        <v/>
      </c>
      <c r="E46" s="50">
        <f>SUM(H46:CA46)</f>
        <v/>
      </c>
      <c r="F46" s="50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108">
        <f>'MDO'!$K$5</f>
        <v/>
      </c>
      <c r="E49" s="50">
        <f>SUM(H49:CA49)</f>
        <v/>
      </c>
      <c r="F49" s="50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108">
        <f>'TAX. DIVERSAS'!$K$5</f>
        <v/>
      </c>
      <c r="E50" s="50">
        <f>SUM(H50:CA50)</f>
        <v/>
      </c>
      <c r="F50" s="50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108">
        <f>'SERV. INICIAIS'!$K$5</f>
        <v/>
      </c>
      <c r="E52" s="50">
        <f>SUM(H52:CA52)</f>
        <v/>
      </c>
      <c r="F52" s="50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7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7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5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108">
        <f>IF(A4&lt;='VALOR POR PL'!$P$5,'MODELO PARA BI'!H61,0)</f>
        <v/>
      </c>
      <c r="E4" s="108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108">
        <f>IF(A5&lt;='VALOR POR PL'!$P$5,'MODELO PARA BI'!I61,0)</f>
        <v/>
      </c>
      <c r="E5" s="108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108">
        <f>IF(A6&lt;='VALOR POR PL'!$P$5,'MODELO PARA BI'!J61,0)</f>
        <v/>
      </c>
      <c r="E6" s="108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108">
        <f>IF(A7&lt;='VALOR POR PL'!$P$5,'MODELO PARA BI'!K61,0)</f>
        <v/>
      </c>
      <c r="E7" s="108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108">
        <f>IF(A8&lt;='VALOR POR PL'!$P$5,'MODELO PARA BI'!L61,0)</f>
        <v/>
      </c>
      <c r="E8" s="108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108">
        <f>IF(A9&lt;='VALOR POR PL'!$P$5,'MODELO PARA BI'!M61,0)</f>
        <v/>
      </c>
      <c r="E9" s="108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108">
        <f>IF(A10&lt;='VALOR POR PL'!$P$5,'MODELO PARA BI'!N61,0)</f>
        <v/>
      </c>
      <c r="E10" s="108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108">
        <f>IF(A11&lt;='VALOR POR PL'!$P$5,'MODELO PARA BI'!O61,0)</f>
        <v/>
      </c>
      <c r="E11" s="108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108">
        <f>IF(A12&lt;='VALOR POR PL'!$P$5,'MODELO PARA BI'!P61,0)</f>
        <v/>
      </c>
      <c r="E12" s="108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108">
        <f>IF(A13&lt;='VALOR POR PL'!$P$5,'MODELO PARA BI'!Q61,0)</f>
        <v/>
      </c>
      <c r="E13" s="108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108">
        <f>IF(A14&lt;='VALOR POR PL'!$P$5,'MODELO PARA BI'!R61,0)</f>
        <v/>
      </c>
      <c r="E14" s="108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108">
        <f>IF(A15&lt;='VALOR POR PL'!$P$5,'MODELO PARA BI'!S61,0)</f>
        <v/>
      </c>
      <c r="E15" s="108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108">
        <f>IF(A16&lt;='VALOR POR PL'!$P$5,'MODELO PARA BI'!T61,0)</f>
        <v/>
      </c>
      <c r="E16" s="108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108">
        <f>IF(A17&lt;='VALOR POR PL'!$P$5,'MODELO PARA BI'!U61,0)</f>
        <v/>
      </c>
      <c r="E17" s="108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108">
        <f>IF(A18&lt;='VALOR POR PL'!$P$5,'MODELO PARA BI'!V61,0)</f>
        <v/>
      </c>
      <c r="E18" s="108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108">
        <f>IF(A19&lt;='VALOR POR PL'!$P$5,'MODELO PARA BI'!W61,0)</f>
        <v/>
      </c>
      <c r="E19" s="108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108">
        <f>IF(A20&lt;='VALOR POR PL'!$P$5,'MODELO PARA BI'!X61,0)</f>
        <v/>
      </c>
      <c r="E20" s="108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108">
        <f>IF(A21&lt;='VALOR POR PL'!$P$5,'MODELO PARA BI'!Y61,0)</f>
        <v/>
      </c>
      <c r="E21" s="108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108">
        <f>IF(A22&lt;='VALOR POR PL'!$P$5,'MODELO PARA BI'!Z61,0)</f>
        <v/>
      </c>
      <c r="E22" s="108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108">
        <f>IF(A23&lt;='VALOR POR PL'!$P$5,'MODELO PARA BI'!AA61,0)</f>
        <v/>
      </c>
      <c r="E23" s="108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108">
        <f>IF(A24&lt;='VALOR POR PL'!$P$5,'MODELO PARA BI'!AB61,0)</f>
        <v/>
      </c>
      <c r="E24" s="108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108">
        <f>IF(A25&lt;='VALOR POR PL'!$P$5,'MODELO PARA BI'!AC61,0)</f>
        <v/>
      </c>
      <c r="E25" s="108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108">
        <f>IF(A26&lt;='VALOR POR PL'!$P$5,'MODELO PARA BI'!AD61,0)</f>
        <v/>
      </c>
      <c r="E26" s="108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108">
        <f>IF(A27&lt;='VALOR POR PL'!$P$5,'MODELO PARA BI'!AE61,0)</f>
        <v/>
      </c>
      <c r="E27" s="108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108">
        <f>IF(A28&lt;='VALOR POR PL'!$P$5,'MODELO PARA BI'!AF61,0)</f>
        <v/>
      </c>
      <c r="E28" s="108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108">
        <f>IF(A29&lt;='VALOR POR PL'!$P$5,'MODELO PARA BI'!AG61,0)</f>
        <v/>
      </c>
      <c r="E29" s="108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108">
        <f>IF(A30&lt;='VALOR POR PL'!$P$5,'MODELO PARA BI'!AH61,0)</f>
        <v/>
      </c>
      <c r="E30" s="108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108">
        <f>IF(A31&lt;='VALOR POR PL'!$P$5,'MODELO PARA BI'!AI61,0)</f>
        <v/>
      </c>
      <c r="E31" s="108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108">
        <f>IF(A32&lt;='VALOR POR PL'!$P$5,'MODELO PARA BI'!AJ61,0)</f>
        <v/>
      </c>
      <c r="E32" s="108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108">
        <f>IF(A33&lt;='VALOR POR PL'!$P$5,'MODELO PARA BI'!AK61,0)</f>
        <v/>
      </c>
      <c r="E33" s="108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108">
        <f>IF(A34&lt;='VALOR POR PL'!$P$5,'MODELO PARA BI'!AL61,0)</f>
        <v/>
      </c>
      <c r="E34" s="108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108">
        <f>IF(A35&lt;='VALOR POR PL'!$P$5,'MODELO PARA BI'!AM61,0)</f>
        <v/>
      </c>
      <c r="E35" s="108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108">
        <f>IF(A36&lt;='VALOR POR PL'!$P$5,'MODELO PARA BI'!AN61,0)</f>
        <v/>
      </c>
      <c r="E36" s="108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108">
        <f>IF(A37&lt;='VALOR POR PL'!$P$5,'MODELO PARA BI'!AO61,0)</f>
        <v/>
      </c>
      <c r="E37" s="108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108">
        <f>IF(A38&lt;='VALOR POR PL'!$P$5,'MODELO PARA BI'!AP61,0)</f>
        <v/>
      </c>
      <c r="E38" s="108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108">
        <f>IF(A39&lt;='VALOR POR PL'!$P$5,'MODELO PARA BI'!AQ61,0)</f>
        <v/>
      </c>
      <c r="E39" s="108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108">
        <f>IF(A40&lt;='VALOR POR PL'!$P$5,'MODELO PARA BI'!AR61,0)</f>
        <v/>
      </c>
      <c r="E40" s="108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108">
        <f>IF(A41&lt;='VALOR POR PL'!$P$5,'MODELO PARA BI'!AS61,0)</f>
        <v/>
      </c>
      <c r="E41" s="108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108">
        <f>IF(A42&lt;='VALOR POR PL'!$P$5,'MODELO PARA BI'!AT61,0)</f>
        <v/>
      </c>
      <c r="E42" s="108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108">
        <f>IF(A43&lt;='VALOR POR PL'!$P$5,'MODELO PARA BI'!AU61,0)</f>
        <v/>
      </c>
      <c r="E43" s="108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108">
        <f>IF(A44&lt;='VALOR POR PL'!$P$5,'MODELO PARA BI'!AV61,0)</f>
        <v/>
      </c>
      <c r="E44" s="108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108">
        <f>IF(A45&lt;='VALOR POR PL'!$P$5,'MODELO PARA BI'!AW61,0)</f>
        <v/>
      </c>
      <c r="E45" s="108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108">
        <f>IF(A46&lt;='VALOR POR PL'!$P$5,'MODELO PARA BI'!AX61,0)</f>
        <v/>
      </c>
      <c r="E46" s="108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108">
        <f>IF(A47&lt;='VALOR POR PL'!$P$5,'MODELO PARA BI'!AY61,0)</f>
        <v/>
      </c>
      <c r="E47" s="108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108">
        <f>IF(A48&lt;='VALOR POR PL'!$P$5,'MODELO PARA BI'!AZ61,0)</f>
        <v/>
      </c>
      <c r="E48" s="108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108">
        <f>IF(A49&lt;='VALOR POR PL'!$P$5,'MODELO PARA BI'!BA61,0)</f>
        <v/>
      </c>
      <c r="E49" s="108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108">
        <f>IF(A50&lt;='VALOR POR PL'!$P$5,'MODELO PARA BI'!BB61,0)</f>
        <v/>
      </c>
      <c r="E50" s="108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108">
        <f>IF(A51&lt;='VALOR POR PL'!$P$5,'MODELO PARA BI'!BC61,0)</f>
        <v/>
      </c>
      <c r="E51" s="108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108">
        <f>IF(A52&lt;='VALOR POR PL'!$P$5,'MODELO PARA BI'!BD61,0)</f>
        <v/>
      </c>
      <c r="E52" s="108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108">
        <f>IF(A53&lt;='VALOR POR PL'!$P$5,'MODELO PARA BI'!BE61,0)</f>
        <v/>
      </c>
      <c r="E53" s="108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108">
        <f>IF(A54&lt;='VALOR POR PL'!$P$5,'MODELO PARA BI'!BF61,0)</f>
        <v/>
      </c>
      <c r="E54" s="108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108">
        <f>IF(A55&lt;='VALOR POR PL'!$P$5,'MODELO PARA BI'!BG61,0)</f>
        <v/>
      </c>
      <c r="E55" s="108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108">
        <f>IF(A56&lt;='VALOR POR PL'!$P$5,'MODELO PARA BI'!BH61,0)</f>
        <v/>
      </c>
      <c r="E56" s="108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108">
        <f>IF(A57&lt;='VALOR POR PL'!$P$5,'MODELO PARA BI'!BI61,0)</f>
        <v/>
      </c>
      <c r="E57" s="108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108">
        <f>IF(A58&lt;='VALOR POR PL'!$P$5,'MODELO PARA BI'!BJ61,0)</f>
        <v/>
      </c>
      <c r="E58" s="108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108">
        <f>IF(A59&lt;='VALOR POR PL'!$P$5,'MODELO PARA BI'!BK61,0)</f>
        <v/>
      </c>
      <c r="E59" s="108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108">
        <f>IF(A60&lt;='VALOR POR PL'!$P$5,'MODELO PARA BI'!BL61,0)</f>
        <v/>
      </c>
      <c r="E60" s="108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108">
        <f>IF(A61&lt;='VALOR POR PL'!$P$5,'MODELO PARA BI'!BM61,0)</f>
        <v/>
      </c>
      <c r="E61" s="108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108">
        <f>IF(A62&lt;='VALOR POR PL'!$P$5,'MODELO PARA BI'!BN61,0)</f>
        <v/>
      </c>
      <c r="E62" s="108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108">
        <f>IF(A63&lt;='VALOR POR PL'!$P$5,'MODELO PARA BI'!BO61,0)</f>
        <v/>
      </c>
      <c r="E63" s="108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108">
        <f>IF(A64&lt;='VALOR POR PL'!$P$5,'MODELO PARA BI'!BP61,0)</f>
        <v/>
      </c>
      <c r="E64" s="108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108">
        <f>IF(A65&lt;='VALOR POR PL'!$P$5,'MODELO PARA BI'!BQ61,0)</f>
        <v/>
      </c>
      <c r="E65" s="108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108">
        <f>IF(A66&lt;='VALOR POR PL'!$P$5,'MODELO PARA BI'!BR61,0)</f>
        <v/>
      </c>
      <c r="E66" s="108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108">
        <f>IF(A67&lt;='VALOR POR PL'!$P$5,'MODELO PARA BI'!BS61,0)</f>
        <v/>
      </c>
      <c r="E67" s="108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108">
        <f>IF(A68&lt;='VALOR POR PL'!$P$5,'MODELO PARA BI'!BT61,0)</f>
        <v/>
      </c>
      <c r="E68" s="108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108">
        <f>IF(A69&lt;='VALOR POR PL'!$P$5,'MODELO PARA BI'!BU61,0)</f>
        <v/>
      </c>
      <c r="E69" s="108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108">
        <f>IF(A70&lt;='VALOR POR PL'!$P$5,'MODELO PARA BI'!BV61,0)</f>
        <v/>
      </c>
      <c r="E70" s="108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108">
        <f>IF(A71&lt;='VALOR POR PL'!$P$5,'MODELO PARA BI'!BW61,0)</f>
        <v/>
      </c>
      <c r="E71" s="108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108">
        <f>IF(A72&lt;='VALOR POR PL'!$P$5,'MODELO PARA BI'!BX61,0)</f>
        <v/>
      </c>
      <c r="E72" s="108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108">
        <f>IF(A73&lt;='VALOR POR PL'!$P$5,'MODELO PARA BI'!BY61,0)</f>
        <v/>
      </c>
      <c r="E73" s="108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108">
        <f>IF(A74&lt;='VALOR POR PL'!$P$5,'MODELO PARA BI'!BZ61,0)</f>
        <v/>
      </c>
      <c r="E74" s="108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108">
        <f>IF(A75&lt;='VALOR POR PL'!$P$5,'MODELO PARA BI'!CA61,0)</f>
        <v/>
      </c>
      <c r="E75" s="108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45536</v>
      </c>
      <c r="B2" s="48" t="n">
        <v>1136.521</v>
      </c>
      <c r="D2" s="115">
        <f>IF(B2="","",IFERROR(B2/INDEX($B$2:$B$400,MATCH(DATE(YEAR(A2)-1,12,1),$A$2:$A$400,0))-1,""))</f>
        <v/>
      </c>
      <c r="E2" s="115">
        <f>IF(B2="","",IFERROR(B2/INDEX($B$2:$B$400,MATCH(DATE(YEAR(A2)-1,MONTH(A2),1),$A$2:$A$400,0))-1,""))</f>
        <v/>
      </c>
      <c r="G2" s="116" t="inlineStr">
        <is>
          <t>Fonte: FGV (INCC-DI). Acrescente uma linha por mês.</t>
        </is>
      </c>
    </row>
    <row r="3">
      <c r="A3" s="114" t="n">
        <v>45566</v>
      </c>
      <c r="B3" s="48" t="n">
        <v>1144.136</v>
      </c>
      <c r="C3" s="115">
        <f>IF(OR(B3="",B2=""),"",B3/B2-1)</f>
        <v/>
      </c>
      <c r="D3" s="115">
        <f>IF(B3="","",IFERROR(B3/INDEX($B$2:$B$400,MATCH(DATE(YEAR(A3)-1,12,1),$A$2:$A$400,0))-1,""))</f>
        <v/>
      </c>
      <c r="E3" s="115">
        <f>IF(B3="","",IFERROR(B3/INDEX($B$2:$B$400,MATCH(DATE(YEAR(A3)-1,MONTH(A3),1),$A$2:$A$400,0))-1,""))</f>
        <v/>
      </c>
    </row>
    <row r="4">
      <c r="A4" s="114" t="n">
        <v>45597</v>
      </c>
      <c r="B4" s="48" t="n">
        <v>1149.158</v>
      </c>
      <c r="C4" s="115">
        <f>IF(OR(B4="",B3=""),"",B4/B3-1)</f>
        <v/>
      </c>
      <c r="D4" s="115">
        <f>IF(B4="","",IFERROR(B4/INDEX($B$2:$B$400,MATCH(DATE(YEAR(A4)-1,12,1),$A$2:$A$400,0))-1,""))</f>
        <v/>
      </c>
      <c r="E4" s="115">
        <f>IF(B4="","",IFERROR(B4/INDEX($B$2:$B$400,MATCH(DATE(YEAR(A4)-1,MONTH(A4),1),$A$2:$A$400,0))-1,""))</f>
        <v/>
      </c>
    </row>
    <row r="5">
      <c r="A5" s="114" t="n">
        <v>45627</v>
      </c>
      <c r="B5" s="48" t="n">
        <v>1154.99</v>
      </c>
      <c r="C5" s="115">
        <f>IF(OR(B5="",B4=""),"",B5/B4-1)</f>
        <v/>
      </c>
      <c r="D5" s="115">
        <f>IF(B5="","",IFERROR(B5/INDEX($B$2:$B$400,MATCH(DATE(YEAR(A5)-1,12,1),$A$2:$A$400,0))-1,""))</f>
        <v/>
      </c>
      <c r="E5" s="115">
        <f>IF(B5="","",IFERROR(B5/INDEX($B$2:$B$400,MATCH(DATE(YEAR(A5)-1,MONTH(A5),1),$A$2:$A$400,0))-1,""))</f>
        <v/>
      </c>
    </row>
    <row r="6">
      <c r="A6" s="114" t="n">
        <v>45658</v>
      </c>
      <c r="B6" s="48" t="n">
        <v>1163.221</v>
      </c>
      <c r="C6" s="115">
        <f>IF(OR(B6="",B5=""),"",B6/B5-1)</f>
        <v/>
      </c>
      <c r="D6" s="115">
        <f>IF(B6="","",IFERROR(B6/INDEX($B$2:$B$400,MATCH(DATE(YEAR(A6)-1,12,1),$A$2:$A$400,0))-1,""))</f>
        <v/>
      </c>
      <c r="E6" s="115">
        <f>IF(B6="","",IFERROR(B6/INDEX($B$2:$B$400,MATCH(DATE(YEAR(A6)-1,MONTH(A6),1),$A$2:$A$400,0))-1,""))</f>
        <v/>
      </c>
    </row>
    <row r="7">
      <c r="A7" s="114" t="n">
        <v>45689</v>
      </c>
      <c r="B7" s="48" t="n">
        <v>1169.156</v>
      </c>
      <c r="C7" s="115">
        <f>IF(OR(B7="",B6=""),"",B7/B6-1)</f>
        <v/>
      </c>
      <c r="D7" s="115">
        <f>IF(B7="","",IFERROR(B7/INDEX($B$2:$B$400,MATCH(DATE(YEAR(A7)-1,12,1),$A$2:$A$400,0))-1,""))</f>
        <v/>
      </c>
      <c r="E7" s="115">
        <f>IF(B7="","",IFERROR(B7/INDEX($B$2:$B$400,MATCH(DATE(YEAR(A7)-1,MONTH(A7),1),$A$2:$A$400,0))-1,""))</f>
        <v/>
      </c>
    </row>
    <row r="8">
      <c r="A8" s="114" t="n">
        <v>45717</v>
      </c>
      <c r="B8" s="48" t="n">
        <v>1173.586</v>
      </c>
      <c r="C8" s="115">
        <f>IF(OR(B8="",B7=""),"",B8/B7-1)</f>
        <v/>
      </c>
      <c r="D8" s="115">
        <f>IF(B8="","",IFERROR(B8/INDEX($B$2:$B$400,MATCH(DATE(YEAR(A8)-1,12,1),$A$2:$A$400,0))-1,""))</f>
        <v/>
      </c>
      <c r="E8" s="115">
        <f>IF(B8="","",IFERROR(B8/INDEX($B$2:$B$400,MATCH(DATE(YEAR(A8)-1,MONTH(A8),1),$A$2:$A$400,0))-1,""))</f>
        <v/>
      </c>
    </row>
    <row r="9">
      <c r="A9" s="114" t="n">
        <v>45748</v>
      </c>
      <c r="B9" s="48" t="n">
        <v>1180.564</v>
      </c>
      <c r="C9" s="115">
        <f>IF(OR(B9="",B8=""),"",B9/B8-1)</f>
        <v/>
      </c>
      <c r="D9" s="115">
        <f>IF(B9="","",IFERROR(B9/INDEX($B$2:$B$400,MATCH(DATE(YEAR(A9)-1,12,1),$A$2:$A$400,0))-1,""))</f>
        <v/>
      </c>
      <c r="E9" s="115">
        <f>IF(B9="","",IFERROR(B9/INDEX($B$2:$B$400,MATCH(DATE(YEAR(A9)-1,MONTH(A9),1),$A$2:$A$400,0))-1,""))</f>
        <v/>
      </c>
    </row>
    <row r="10">
      <c r="A10" s="114" t="n">
        <v>45778</v>
      </c>
      <c r="B10" s="48" t="n">
        <v>1183.606</v>
      </c>
      <c r="C10" s="115">
        <f>IF(OR(B10="",B9=""),"",B10/B9-1)</f>
        <v/>
      </c>
      <c r="D10" s="115">
        <f>IF(B10="","",IFERROR(B10/INDEX($B$2:$B$400,MATCH(DATE(YEAR(A10)-1,12,1),$A$2:$A$400,0))-1,""))</f>
        <v/>
      </c>
      <c r="E10" s="115">
        <f>IF(B10="","",IFERROR(B10/INDEX($B$2:$B$400,MATCH(DATE(YEAR(A10)-1,MONTH(A10),1),$A$2:$A$400,0))-1,""))</f>
        <v/>
      </c>
    </row>
    <row r="11">
      <c r="A11" s="114" t="n">
        <v>45809</v>
      </c>
      <c r="B11" s="48" t="n">
        <v>1194.912</v>
      </c>
      <c r="C11" s="115">
        <f>IF(OR(B11="",B10=""),"",B11/B10-1)</f>
        <v/>
      </c>
      <c r="D11" s="115">
        <f>IF(B11="","",IFERROR(B11/INDEX($B$2:$B$400,MATCH(DATE(YEAR(A11)-1,12,1),$A$2:$A$400,0))-1,""))</f>
        <v/>
      </c>
      <c r="E11" s="115">
        <f>IF(B11="","",IFERROR(B11/INDEX($B$2:$B$400,MATCH(DATE(YEAR(A11)-1,MONTH(A11),1),$A$2:$A$400,0))-1,""))</f>
        <v/>
      </c>
    </row>
    <row r="12">
      <c r="A12" s="114" t="n">
        <v>45839</v>
      </c>
      <c r="B12" s="48" t="n">
        <v>1205.838</v>
      </c>
      <c r="C12" s="115">
        <f>IF(OR(B12="",B11=""),"",B12/B11-1)</f>
        <v/>
      </c>
      <c r="D12" s="115">
        <f>IF(B12="","",IFERROR(B12/INDEX($B$2:$B$400,MATCH(DATE(YEAR(A12)-1,12,1),$A$2:$A$400,0))-1,""))</f>
        <v/>
      </c>
      <c r="E12" s="115">
        <f>IF(B12="","",IFERROR(B12/INDEX($B$2:$B$400,MATCH(DATE(YEAR(A12)-1,MONTH(A12),1),$A$2:$A$400,0))-1,""))</f>
        <v/>
      </c>
    </row>
    <row r="13">
      <c r="A13" s="114" t="n">
        <v>45870</v>
      </c>
      <c r="B13" s="48" t="n">
        <v>1214.239</v>
      </c>
      <c r="C13" s="115">
        <f>IF(OR(B13="",B12=""),"",B13/B12-1)</f>
        <v/>
      </c>
      <c r="D13" s="115">
        <f>IF(B13="","",IFERROR(B13/INDEX($B$2:$B$400,MATCH(DATE(YEAR(A13)-1,12,1),$A$2:$A$400,0))-1,""))</f>
        <v/>
      </c>
      <c r="E13" s="115">
        <f>IF(B13="","",IFERROR(B13/INDEX($B$2:$B$400,MATCH(DATE(YEAR(A13)-1,MONTH(A13),1),$A$2:$A$400,0))-1,""))</f>
        <v/>
      </c>
    </row>
    <row r="14">
      <c r="A14" s="114" t="n">
        <v>45901</v>
      </c>
      <c r="B14" s="48" t="n">
        <v>1216.825</v>
      </c>
      <c r="C14" s="115">
        <f>IF(OR(B14="",B13=""),"",B14/B13-1)</f>
        <v/>
      </c>
      <c r="D14" s="115">
        <f>IF(B14="","",IFERROR(B14/INDEX($B$2:$B$400,MATCH(DATE(YEAR(A14)-1,12,1),$A$2:$A$400,0))-1,""))</f>
        <v/>
      </c>
      <c r="E14" s="115">
        <f>IF(B14="","",IFERROR(B14/INDEX($B$2:$B$400,MATCH(DATE(YEAR(A14)-1,MONTH(A14),1),$A$2:$A$400,0))-1,""))</f>
        <v/>
      </c>
    </row>
    <row r="15">
      <c r="A15" s="114" t="n">
        <v>45931</v>
      </c>
      <c r="B15" s="48" t="n">
        <v>1219.407</v>
      </c>
      <c r="C15" s="115">
        <f>IF(OR(B15="",B14=""),"",B15/B14-1)</f>
        <v/>
      </c>
      <c r="D15" s="115">
        <f>IF(B15="","",IFERROR(B15/INDEX($B$2:$B$400,MATCH(DATE(YEAR(A15)-1,12,1),$A$2:$A$400,0))-1,""))</f>
        <v/>
      </c>
      <c r="E15" s="115">
        <f>IF(B15="","",IFERROR(B15/INDEX($B$2:$B$400,MATCH(DATE(YEAR(A15)-1,MONTH(A15),1),$A$2:$A$400,0))-1,""))</f>
        <v/>
      </c>
    </row>
    <row r="16">
      <c r="A16" s="114" t="n">
        <v>45962</v>
      </c>
      <c r="B16" s="48" t="n">
        <v>1222.865</v>
      </c>
      <c r="C16" s="115">
        <f>IF(OR(B16="",B15=""),"",B16/B15-1)</f>
        <v/>
      </c>
      <c r="D16" s="115">
        <f>IF(B16="","",IFERROR(B16/INDEX($B$2:$B$400,MATCH(DATE(YEAR(A16)-1,12,1),$A$2:$A$400,0))-1,""))</f>
        <v/>
      </c>
      <c r="E16" s="115">
        <f>IF(B16="","",IFERROR(B16/INDEX($B$2:$B$400,MATCH(DATE(YEAR(A16)-1,MONTH(A16),1),$A$2:$A$400,0))-1,""))</f>
        <v/>
      </c>
    </row>
    <row r="17">
      <c r="A17" s="114" t="n">
        <v>45992</v>
      </c>
      <c r="B17" s="48" t="n">
        <v>1225.398</v>
      </c>
      <c r="C17" s="115">
        <f>IF(OR(B17="",B16=""),"",B17/B16-1)</f>
        <v/>
      </c>
      <c r="D17" s="115">
        <f>IF(B17="","",IFERROR(B17/INDEX($B$2:$B$400,MATCH(DATE(YEAR(A17)-1,12,1),$A$2:$A$400,0))-1,""))</f>
        <v/>
      </c>
      <c r="E17" s="115">
        <f>IF(B17="","",IFERROR(B17/INDEX($B$2:$B$400,MATCH(DATE(YEAR(A17)-1,MONTH(A17),1),$A$2:$A$400,0))-1,""))</f>
        <v/>
      </c>
    </row>
    <row r="18">
      <c r="A18" s="114" t="n">
        <v>46023</v>
      </c>
      <c r="B18" s="48" t="n">
        <v>1233.096</v>
      </c>
      <c r="C18" s="115">
        <f>IF(OR(B18="",B17=""),"",B18/B17-1)</f>
        <v/>
      </c>
      <c r="D18" s="115">
        <f>IF(B18="","",IFERROR(B18/INDEX($B$2:$B$400,MATCH(DATE(YEAR(A18)-1,12,1),$A$2:$A$400,0))-1,""))</f>
        <v/>
      </c>
      <c r="E18" s="115">
        <f>IF(B18="","",IFERROR(B18/INDEX($B$2:$B$400,MATCH(DATE(YEAR(A18)-1,MONTH(A18),1),$A$2:$A$400,0))-1,""))</f>
        <v/>
      </c>
    </row>
    <row r="19">
      <c r="A19" s="114" t="n">
        <v>46054</v>
      </c>
      <c r="B19" s="48" t="n">
        <v>1237.312</v>
      </c>
      <c r="C19" s="115">
        <f>IF(OR(B19="",B18=""),"",B19/B18-1)</f>
        <v/>
      </c>
      <c r="D19" s="115">
        <f>IF(B19="","",IFERROR(B19/INDEX($B$2:$B$400,MATCH(DATE(YEAR(A19)-1,12,1),$A$2:$A$400,0))-1,""))</f>
        <v/>
      </c>
      <c r="E19" s="115">
        <f>IF(B19="","",IFERROR(B19/INDEX($B$2:$B$400,MATCH(DATE(YEAR(A19)-1,MONTH(A19),1),$A$2:$A$400,0))-1,""))</f>
        <v/>
      </c>
    </row>
    <row r="20">
      <c r="A20" s="114" t="n">
        <v>46082</v>
      </c>
      <c r="B20" s="48" t="n">
        <v>1247.181</v>
      </c>
      <c r="C20" s="115">
        <f>IF(OR(B20="",B19=""),"",B20/B19-1)</f>
        <v/>
      </c>
      <c r="D20" s="115">
        <f>IF(B20="","",IFERROR(B20/INDEX($B$2:$B$400,MATCH(DATE(YEAR(A20)-1,12,1),$A$2:$A$400,0))-1,""))</f>
        <v/>
      </c>
      <c r="E20" s="115">
        <f>IF(B20="","",IFERROR(B20/INDEX($B$2:$B$400,MATCH(DATE(YEAR(A20)-1,MONTH(A20),1),$A$2:$A$400,0))-1,""))</f>
        <v/>
      </c>
    </row>
    <row r="21">
      <c r="A21" s="114" t="n">
        <v>46113</v>
      </c>
      <c r="B21" s="48" t="n">
        <v>1259.652</v>
      </c>
      <c r="C21" s="115">
        <f>IF(OR(B21="",B20=""),"",B21/B20-1)</f>
        <v/>
      </c>
      <c r="D21" s="115">
        <f>IF(B21="","",IFERROR(B21/INDEX($B$2:$B$400,MATCH(DATE(YEAR(A21)-1,12,1),$A$2:$A$400,0))-1,""))</f>
        <v/>
      </c>
      <c r="E21" s="115">
        <f>IF(B21="","",IFERROR(B21/INDEX($B$2:$B$400,MATCH(DATE(YEAR(A21)-1,MONTH(A21),1),$A$2:$A$400,0))-1,""))</f>
        <v/>
      </c>
    </row>
    <row r="22">
      <c r="A22" s="114" t="n">
        <v>46143</v>
      </c>
      <c r="B22" s="48" t="n">
        <v>1270.695</v>
      </c>
      <c r="C22" s="115">
        <f>IF(OR(B22="",B21=""),"",B22/B21-1)</f>
        <v/>
      </c>
      <c r="D22" s="115">
        <f>IF(B22="","",IFERROR(B22/INDEX($B$2:$B$400,MATCH(DATE(YEAR(A22)-1,12,1),$A$2:$A$400,0))-1,""))</f>
        <v/>
      </c>
      <c r="E22" s="115">
        <f>IF(B22="","",IFERROR(B22/INDEX($B$2:$B$400,MATCH(DATE(YEAR(A22)-1,MONTH(A22),1),$A$2:$A$400,0))-1,""))</f>
        <v/>
      </c>
    </row>
    <row r="23">
      <c r="A23" s="114" t="n">
        <v>46174</v>
      </c>
      <c r="B23" s="48" t="n">
        <v>1280.641</v>
      </c>
      <c r="C23" s="115">
        <f>IF(OR(B23="",B22=""),"",B23/B22-1)</f>
        <v/>
      </c>
      <c r="D23" s="115">
        <f>IF(B23="","",IFERROR(B23/INDEX($B$2:$B$400,MATCH(DATE(YEAR(A23)-1,12,1),$A$2:$A$400,0))-1,""))</f>
        <v/>
      </c>
      <c r="E23" s="115">
        <f>IF(B23="","",IFERROR(B23/INDEX($B$2:$B$400,MATCH(DATE(YEAR(A23)-1,MONTH(A23),1),$A$2:$A$400,0))-1,""))</f>
        <v/>
      </c>
    </row>
    <row r="24">
      <c r="A24" s="114" t="n">
        <v>46204</v>
      </c>
      <c r="B24" s="48" t="n">
        <v>1288.431</v>
      </c>
      <c r="C24" s="115">
        <f>IF(OR(B24="",B23=""),"",B24/B23-1)</f>
        <v/>
      </c>
      <c r="D24" s="115">
        <f>IF(B24="","",IFERROR(B24/INDEX($B$2:$B$400,MATCH(DATE(YEAR(A24)-1,12,1),$A$2:$A$400,0))-1,""))</f>
        <v/>
      </c>
      <c r="E24" s="115">
        <f>IF(B24="","",IFERROR(B24/INDEX($B$2:$B$400,MATCH(DATE(YEAR(A24)-1,MONTH(A24),1),$A$2:$A$400,0))-1,""))</f>
        <v/>
      </c>
    </row>
    <row r="25">
      <c r="A25" s="114" t="n">
        <v>46235</v>
      </c>
      <c r="B25" s="48" t="n">
        <v>1296.889</v>
      </c>
      <c r="C25" s="115">
        <f>IF(OR(B25="",B24=""),"",B25/B24-1)</f>
        <v/>
      </c>
      <c r="D25" s="115">
        <f>IF(B25="","",IFERROR(B25/INDEX($B$2:$B$400,MATCH(DATE(YEAR(A25)-1,12,1),$A$2:$A$400,0))-1,""))</f>
        <v/>
      </c>
      <c r="E25" s="115">
        <f>IF(B25="","",IFERROR(B25/INDEX($B$2:$B$400,MATCH(DATE(YEAR(A25)-1,MONTH(A25),1),$A$2:$A$400,0))-1,""))</f>
        <v/>
      </c>
    </row>
    <row r="26">
      <c r="A26" s="117" t="n"/>
      <c r="B26" s="118" t="n"/>
      <c r="C26" s="115">
        <f>IF(OR(B26="",B25=""),"",B26/B25-1)</f>
        <v/>
      </c>
      <c r="D26" s="115">
        <f>IF(B26="","",IFERROR(B26/INDEX($B$2:$B$400,MATCH(DATE(YEAR(A26)-1,12,1),$A$2:$A$400,0))-1,""))</f>
        <v/>
      </c>
      <c r="E26" s="115">
        <f>IF(B26="","",IFERROR(B26/INDEX($B$2:$B$400,MATCH(DATE(YEAR(A26)-1,MONTH(A26),1),$A$2:$A$400,0))-1,""))</f>
        <v/>
      </c>
    </row>
    <row r="27">
      <c r="A27" s="117" t="n"/>
      <c r="B27" s="118" t="n"/>
      <c r="C27" s="115">
        <f>IF(OR(B27="",B26=""),"",B27/B26-1)</f>
        <v/>
      </c>
      <c r="D27" s="115">
        <f>IF(B27="","",IFERROR(B27/INDEX($B$2:$B$400,MATCH(DATE(YEAR(A27)-1,12,1),$A$2:$A$400,0))-1,""))</f>
        <v/>
      </c>
      <c r="E27" s="115">
        <f>IF(B27="","",IFERROR(B27/INDEX($B$2:$B$400,MATCH(DATE(YEAR(A27)-1,MONTH(A27),1),$A$2:$A$400,0))-1,""))</f>
        <v/>
      </c>
    </row>
    <row r="28">
      <c r="A28" s="117" t="n"/>
      <c r="B28" s="118" t="n"/>
      <c r="C28" s="115">
        <f>IF(OR(B28="",B27=""),"",B28/B27-1)</f>
        <v/>
      </c>
      <c r="D28" s="115">
        <f>IF(B28="","",IFERROR(B28/INDEX($B$2:$B$400,MATCH(DATE(YEAR(A28)-1,12,1),$A$2:$A$400,0))-1,""))</f>
        <v/>
      </c>
      <c r="E28" s="115">
        <f>IF(B28="","",IFERROR(B28/INDEX($B$2:$B$400,MATCH(DATE(YEAR(A28)-1,MONTH(A28),1),$A$2:$A$400,0))-1,""))</f>
        <v/>
      </c>
    </row>
    <row r="29">
      <c r="A29" s="117" t="n"/>
      <c r="B29" s="118" t="n"/>
      <c r="C29" s="115">
        <f>IF(OR(B29="",B28=""),"",B29/B28-1)</f>
        <v/>
      </c>
      <c r="D29" s="115">
        <f>IF(B29="","",IFERROR(B29/INDEX($B$2:$B$400,MATCH(DATE(YEAR(A29)-1,12,1),$A$2:$A$400,0))-1,""))</f>
        <v/>
      </c>
      <c r="E29" s="115">
        <f>IF(B29="","",IFERROR(B29/INDEX($B$2:$B$400,MATCH(DATE(YEAR(A29)-1,MONTH(A29),1),$A$2:$A$400,0))-1,""))</f>
        <v/>
      </c>
    </row>
    <row r="30">
      <c r="A30" s="117" t="n"/>
      <c r="B30" s="118" t="n"/>
      <c r="C30" s="115">
        <f>IF(OR(B30="",B29=""),"",B30/B29-1)</f>
        <v/>
      </c>
      <c r="D30" s="115">
        <f>IF(B30="","",IFERROR(B30/INDEX($B$2:$B$400,MATCH(DATE(YEAR(A30)-1,12,1),$A$2:$A$400,0))-1,""))</f>
        <v/>
      </c>
      <c r="E30" s="115">
        <f>IF(B30="","",IFERROR(B30/INDEX($B$2:$B$400,MATCH(DATE(YEAR(A30)-1,MONTH(A30),1),$A$2:$A$400,0))-1,""))</f>
        <v/>
      </c>
    </row>
    <row r="31">
      <c r="A31" s="117" t="n"/>
      <c r="B31" s="118" t="n"/>
      <c r="C31" s="115">
        <f>IF(OR(B31="",B30=""),"",B31/B30-1)</f>
        <v/>
      </c>
      <c r="D31" s="115">
        <f>IF(B31="","",IFERROR(B31/INDEX($B$2:$B$400,MATCH(DATE(YEAR(A31)-1,12,1),$A$2:$A$400,0))-1,""))</f>
        <v/>
      </c>
      <c r="E31" s="115">
        <f>IF(B31="","",IFERROR(B31/INDEX($B$2:$B$400,MATCH(DATE(YEAR(A31)-1,MONTH(A31),1),$A$2:$A$400,0))-1,""))</f>
        <v/>
      </c>
    </row>
    <row r="32">
      <c r="A32" s="117" t="n"/>
      <c r="B32" s="118" t="n"/>
      <c r="C32" s="115">
        <f>IF(OR(B32="",B31=""),"",B32/B31-1)</f>
        <v/>
      </c>
      <c r="D32" s="115">
        <f>IF(B32="","",IFERROR(B32/INDEX($B$2:$B$400,MATCH(DATE(YEAR(A32)-1,12,1),$A$2:$A$400,0))-1,""))</f>
        <v/>
      </c>
      <c r="E32" s="115">
        <f>IF(B32="","",IFERROR(B32/INDEX($B$2:$B$400,MATCH(DATE(YEAR(A32)-1,MONTH(A32),1),$A$2:$A$400,0))-1,""))</f>
        <v/>
      </c>
    </row>
    <row r="33">
      <c r="A33" s="117" t="n"/>
      <c r="B33" s="118" t="n"/>
      <c r="C33" s="115">
        <f>IF(OR(B33="",B32=""),"",B33/B32-1)</f>
        <v/>
      </c>
      <c r="D33" s="115">
        <f>IF(B33="","",IFERROR(B33/INDEX($B$2:$B$400,MATCH(DATE(YEAR(A33)-1,12,1),$A$2:$A$400,0))-1,""))</f>
        <v/>
      </c>
      <c r="E33" s="115">
        <f>IF(B33="","",IFERROR(B33/INDEX($B$2:$B$400,MATCH(DATE(YEAR(A33)-1,MONTH(A33),1),$A$2:$A$400,0))-1,""))</f>
        <v/>
      </c>
    </row>
    <row r="34">
      <c r="A34" s="117" t="n"/>
      <c r="B34" s="118" t="n"/>
      <c r="C34" s="115">
        <f>IF(OR(B34="",B33=""),"",B34/B33-1)</f>
        <v/>
      </c>
      <c r="D34" s="115">
        <f>IF(B34="","",IFERROR(B34/INDEX($B$2:$B$400,MATCH(DATE(YEAR(A34)-1,12,1),$A$2:$A$400,0))-1,""))</f>
        <v/>
      </c>
      <c r="E34" s="115">
        <f>IF(B34="","",IFERROR(B34/INDEX($B$2:$B$400,MATCH(DATE(YEAR(A34)-1,MONTH(A34),1),$A$2:$A$400,0))-1,""))</f>
        <v/>
      </c>
    </row>
    <row r="35">
      <c r="A35" s="117" t="n"/>
      <c r="B35" s="118" t="n"/>
      <c r="C35" s="115">
        <f>IF(OR(B35="",B34=""),"",B35/B34-1)</f>
        <v/>
      </c>
      <c r="D35" s="115">
        <f>IF(B35="","",IFERROR(B35/INDEX($B$2:$B$400,MATCH(DATE(YEAR(A35)-1,12,1),$A$2:$A$400,0))-1,""))</f>
        <v/>
      </c>
      <c r="E35" s="115">
        <f>IF(B35="","",IFERROR(B35/INDEX($B$2:$B$400,MATCH(DATE(YEAR(A35)-1,MONTH(A35),1),$A$2:$A$400,0))-1,""))</f>
        <v/>
      </c>
    </row>
    <row r="36">
      <c r="A36" s="117" t="n"/>
      <c r="B36" s="118" t="n"/>
      <c r="C36" s="115">
        <f>IF(OR(B36="",B35=""),"",B36/B35-1)</f>
        <v/>
      </c>
      <c r="D36" s="115">
        <f>IF(B36="","",IFERROR(B36/INDEX($B$2:$B$400,MATCH(DATE(YEAR(A36)-1,12,1),$A$2:$A$400,0))-1,""))</f>
        <v/>
      </c>
      <c r="E36" s="115">
        <f>IF(B36="","",IFERROR(B36/INDEX($B$2:$B$400,MATCH(DATE(YEAR(A36)-1,MONTH(A36),1),$A$2:$A$400,0))-1,""))</f>
        <v/>
      </c>
    </row>
    <row r="37">
      <c r="A37" s="117" t="n"/>
      <c r="B37" s="118" t="n"/>
      <c r="C37" s="115">
        <f>IF(OR(B37="",B36=""),"",B37/B36-1)</f>
        <v/>
      </c>
      <c r="D37" s="115">
        <f>IF(B37="","",IFERROR(B37/INDEX($B$2:$B$400,MATCH(DATE(YEAR(A37)-1,12,1),$A$2:$A$400,0))-1,""))</f>
        <v/>
      </c>
      <c r="E37" s="115">
        <f>IF(B37="","",IFERROR(B37/INDEX($B$2:$B$400,MATCH(DATE(YEAR(A37)-1,MONTH(A37),1),$A$2:$A$400,0))-1,""))</f>
        <v/>
      </c>
    </row>
    <row r="38">
      <c r="A38" s="117" t="n"/>
      <c r="B38" s="118" t="n"/>
      <c r="C38" s="115">
        <f>IF(OR(B38="",B37=""),"",B38/B37-1)</f>
        <v/>
      </c>
      <c r="D38" s="115">
        <f>IF(B38="","",IFERROR(B38/INDEX($B$2:$B$400,MATCH(DATE(YEAR(A38)-1,12,1),$A$2:$A$400,0))-1,""))</f>
        <v/>
      </c>
      <c r="E38" s="115">
        <f>IF(B38="","",IFERROR(B38/INDEX($B$2:$B$400,MATCH(DATE(YEAR(A38)-1,MONTH(A38),1),$A$2:$A$400,0))-1,""))</f>
        <v/>
      </c>
    </row>
    <row r="39">
      <c r="A39" s="117" t="n"/>
      <c r="B39" s="118" t="n"/>
      <c r="C39" s="115">
        <f>IF(OR(B39="",B38=""),"",B39/B38-1)</f>
        <v/>
      </c>
      <c r="D39" s="115">
        <f>IF(B39="","",IFERROR(B39/INDEX($B$2:$B$400,MATCH(DATE(YEAR(A39)-1,12,1),$A$2:$A$400,0))-1,""))</f>
        <v/>
      </c>
      <c r="E39" s="115">
        <f>IF(B39="","",IFERROR(B39/INDEX($B$2:$B$400,MATCH(DATE(YEAR(A39)-1,MONTH(A39),1),$A$2:$A$400,0))-1,""))</f>
        <v/>
      </c>
    </row>
    <row r="40">
      <c r="A40" s="117" t="n"/>
      <c r="B40" s="118" t="n"/>
      <c r="C40" s="115">
        <f>IF(OR(B40="",B39=""),"",B40/B39-1)</f>
        <v/>
      </c>
      <c r="D40" s="115">
        <f>IF(B40="","",IFERROR(B40/INDEX($B$2:$B$400,MATCH(DATE(YEAR(A40)-1,12,1),$A$2:$A$400,0))-1,""))</f>
        <v/>
      </c>
      <c r="E40" s="115">
        <f>IF(B40="","",IFERROR(B40/INDEX($B$2:$B$400,MATCH(DATE(YEAR(A40)-1,MONTH(A40),1),$A$2:$A$400,0))-1,""))</f>
        <v/>
      </c>
    </row>
    <row r="41">
      <c r="A41" s="117" t="n"/>
      <c r="B41" s="118" t="n"/>
      <c r="C41" s="115">
        <f>IF(OR(B41="",B40=""),"",B41/B40-1)</f>
        <v/>
      </c>
      <c r="D41" s="115">
        <f>IF(B41="","",IFERROR(B41/INDEX($B$2:$B$400,MATCH(DATE(YEAR(A41)-1,12,1),$A$2:$A$400,0))-1,""))</f>
        <v/>
      </c>
      <c r="E41" s="115">
        <f>IF(B41="","",IFERROR(B41/INDEX($B$2:$B$400,MATCH(DATE(YEAR(A41)-1,MONTH(A41),1),$A$2:$A$400,0))-1,""))</f>
        <v/>
      </c>
    </row>
    <row r="42">
      <c r="A42" s="117" t="n"/>
      <c r="B42" s="118" t="n"/>
      <c r="C42" s="115">
        <f>IF(OR(B42="",B41=""),"",B42/B41-1)</f>
        <v/>
      </c>
      <c r="D42" s="115">
        <f>IF(B42="","",IFERROR(B42/INDEX($B$2:$B$400,MATCH(DATE(YEAR(A42)-1,12,1),$A$2:$A$400,0))-1,""))</f>
        <v/>
      </c>
      <c r="E42" s="115">
        <f>IF(B42="","",IFERROR(B42/INDEX($B$2:$B$400,MATCH(DATE(YEAR(A42)-1,MONTH(A42),1),$A$2:$A$400,0))-1,""))</f>
        <v/>
      </c>
    </row>
    <row r="43">
      <c r="A43" s="117" t="n"/>
      <c r="B43" s="118" t="n"/>
      <c r="C43" s="115">
        <f>IF(OR(B43="",B42=""),"",B43/B42-1)</f>
        <v/>
      </c>
      <c r="D43" s="115">
        <f>IF(B43="","",IFERROR(B43/INDEX($B$2:$B$400,MATCH(DATE(YEAR(A43)-1,12,1),$A$2:$A$400,0))-1,""))</f>
        <v/>
      </c>
      <c r="E43" s="115">
        <f>IF(B43="","",IFERROR(B43/INDEX($B$2:$B$400,MATCH(DATE(YEAR(A43)-1,MONTH(A43),1),$A$2:$A$400,0))-1,""))</f>
        <v/>
      </c>
    </row>
    <row r="44">
      <c r="A44" s="117" t="n"/>
      <c r="B44" s="118" t="n"/>
      <c r="C44" s="115">
        <f>IF(OR(B44="",B43=""),"",B44/B43-1)</f>
        <v/>
      </c>
      <c r="D44" s="115">
        <f>IF(B44="","",IFERROR(B44/INDEX($B$2:$B$400,MATCH(DATE(YEAR(A44)-1,12,1),$A$2:$A$400,0))-1,""))</f>
        <v/>
      </c>
      <c r="E44" s="115">
        <f>IF(B44="","",IFERROR(B44/INDEX($B$2:$B$400,MATCH(DATE(YEAR(A44)-1,MONTH(A44),1),$A$2:$A$400,0))-1,""))</f>
        <v/>
      </c>
    </row>
    <row r="45">
      <c r="A45" s="117" t="n"/>
      <c r="B45" s="118" t="n"/>
      <c r="C45" s="115">
        <f>IF(OR(B45="",B44=""),"",B45/B44-1)</f>
        <v/>
      </c>
      <c r="D45" s="115">
        <f>IF(B45="","",IFERROR(B45/INDEX($B$2:$B$400,MATCH(DATE(YEAR(A45)-1,12,1),$A$2:$A$400,0))-1,""))</f>
        <v/>
      </c>
      <c r="E45" s="115">
        <f>IF(B45="","",IFERROR(B45/INDEX($B$2:$B$400,MATCH(DATE(YEAR(A45)-1,MONTH(A45),1),$A$2:$A$400,0))-1,""))</f>
        <v/>
      </c>
    </row>
    <row r="46">
      <c r="A46" s="117" t="n"/>
      <c r="B46" s="118" t="n"/>
      <c r="C46" s="115">
        <f>IF(OR(B46="",B45=""),"",B46/B45-1)</f>
        <v/>
      </c>
      <c r="D46" s="115">
        <f>IF(B46="","",IFERROR(B46/INDEX($B$2:$B$400,MATCH(DATE(YEAR(A46)-1,12,1),$A$2:$A$400,0))-1,""))</f>
        <v/>
      </c>
      <c r="E46" s="115">
        <f>IF(B46="","",IFERROR(B46/INDEX($B$2:$B$400,MATCH(DATE(YEAR(A46)-1,MONTH(A46),1),$A$2:$A$400,0))-1,""))</f>
        <v/>
      </c>
    </row>
    <row r="47">
      <c r="A47" s="117" t="n"/>
      <c r="B47" s="118" t="n"/>
      <c r="C47" s="115">
        <f>IF(OR(B47="",B46=""),"",B47/B46-1)</f>
        <v/>
      </c>
      <c r="D47" s="115">
        <f>IF(B47="","",IFERROR(B47/INDEX($B$2:$B$400,MATCH(DATE(YEAR(A47)-1,12,1),$A$2:$A$400,0))-1,""))</f>
        <v/>
      </c>
      <c r="E47" s="115">
        <f>IF(B47="","",IFERROR(B47/INDEX($B$2:$B$400,MATCH(DATE(YEAR(A47)-1,MONTH(A47),1),$A$2:$A$400,0))-1,""))</f>
        <v/>
      </c>
    </row>
    <row r="48">
      <c r="A48" s="117" t="n"/>
      <c r="B48" s="118" t="n"/>
      <c r="C48" s="115">
        <f>IF(OR(B48="",B47=""),"",B48/B47-1)</f>
        <v/>
      </c>
      <c r="D48" s="115">
        <f>IF(B48="","",IFERROR(B48/INDEX($B$2:$B$400,MATCH(DATE(YEAR(A48)-1,12,1),$A$2:$A$400,0))-1,""))</f>
        <v/>
      </c>
      <c r="E48" s="115">
        <f>IF(B48="","",IFERROR(B48/INDEX($B$2:$B$400,MATCH(DATE(YEAR(A48)-1,MONTH(A48),1),$A$2:$A$400,0))-1,""))</f>
        <v/>
      </c>
    </row>
    <row r="49">
      <c r="A49" s="117" t="n"/>
      <c r="B49" s="118" t="n"/>
      <c r="C49" s="115">
        <f>IF(OR(B49="",B48=""),"",B49/B48-1)</f>
        <v/>
      </c>
      <c r="D49" s="115">
        <f>IF(B49="","",IFERROR(B49/INDEX($B$2:$B$400,MATCH(DATE(YEAR(A49)-1,12,1),$A$2:$A$400,0))-1,""))</f>
        <v/>
      </c>
      <c r="E49" s="115">
        <f>IF(B49="","",IFERROR(B49/INDEX($B$2:$B$400,MATCH(DATE(YEAR(A49)-1,MONTH(A49),1),$A$2:$A$400,0))-1,""))</f>
        <v/>
      </c>
    </row>
    <row r="50">
      <c r="A50" s="117" t="n"/>
      <c r="B50" s="118" t="n"/>
      <c r="C50" s="115">
        <f>IF(OR(B50="",B49=""),"",B50/B49-1)</f>
        <v/>
      </c>
      <c r="D50" s="115">
        <f>IF(B50="","",IFERROR(B50/INDEX($B$2:$B$400,MATCH(DATE(YEAR(A50)-1,12,1),$A$2:$A$400,0))-1,""))</f>
        <v/>
      </c>
      <c r="E50" s="115">
        <f>IF(B50="","",IFERROR(B50/INDEX($B$2:$B$400,MATCH(DATE(YEAR(A50)-1,MONTH(A50),1),$A$2:$A$400,0))-1,""))</f>
        <v/>
      </c>
    </row>
    <row r="51">
      <c r="A51" s="117" t="n"/>
      <c r="B51" s="118" t="n"/>
      <c r="C51" s="115">
        <f>IF(OR(B51="",B50=""),"",B51/B50-1)</f>
        <v/>
      </c>
      <c r="D51" s="115">
        <f>IF(B51="","",IFERROR(B51/INDEX($B$2:$B$400,MATCH(DATE(YEAR(A51)-1,12,1),$A$2:$A$400,0))-1,""))</f>
        <v/>
      </c>
      <c r="E51" s="115">
        <f>IF(B51="","",IFERROR(B51/INDEX($B$2:$B$400,MATCH(DATE(YEAR(A51)-1,MONTH(A51),1),$A$2:$A$400,0))-1,""))</f>
        <v/>
      </c>
    </row>
    <row r="52">
      <c r="A52" s="117" t="n"/>
      <c r="B52" s="118" t="n"/>
      <c r="C52" s="115">
        <f>IF(OR(B52="",B51=""),"",B52/B51-1)</f>
        <v/>
      </c>
      <c r="D52" s="115">
        <f>IF(B52="","",IFERROR(B52/INDEX($B$2:$B$400,MATCH(DATE(YEAR(A52)-1,12,1),$A$2:$A$400,0))-1,""))</f>
        <v/>
      </c>
      <c r="E52" s="115">
        <f>IF(B52="","",IFERROR(B52/INDEX($B$2:$B$400,MATCH(DATE(YEAR(A52)-1,MONTH(A52),1),$A$2:$A$400,0))-1,""))</f>
        <v/>
      </c>
    </row>
    <row r="53">
      <c r="A53" s="117" t="n"/>
      <c r="B53" s="118" t="n"/>
      <c r="C53" s="115">
        <f>IF(OR(B53="",B52=""),"",B53/B52-1)</f>
        <v/>
      </c>
      <c r="D53" s="115">
        <f>IF(B53="","",IFERROR(B53/INDEX($B$2:$B$400,MATCH(DATE(YEAR(A53)-1,12,1),$A$2:$A$400,0))-1,""))</f>
        <v/>
      </c>
      <c r="E53" s="115">
        <f>IF(B53="","",IFERROR(B53/INDEX($B$2:$B$400,MATCH(DATE(YEAR(A53)-1,MONTH(A53),1),$A$2:$A$400,0))-1,""))</f>
        <v/>
      </c>
    </row>
    <row r="54">
      <c r="A54" s="117" t="n"/>
      <c r="B54" s="118" t="n"/>
      <c r="C54" s="115">
        <f>IF(OR(B54="",B53=""),"",B54/B53-1)</f>
        <v/>
      </c>
      <c r="D54" s="115">
        <f>IF(B54="","",IFERROR(B54/INDEX($B$2:$B$400,MATCH(DATE(YEAR(A54)-1,12,1),$A$2:$A$400,0))-1,""))</f>
        <v/>
      </c>
      <c r="E54" s="115">
        <f>IF(B54="","",IFERROR(B54/INDEX($B$2:$B$400,MATCH(DATE(YEAR(A54)-1,MONTH(A54),1),$A$2:$A$400,0))-1,""))</f>
        <v/>
      </c>
    </row>
    <row r="55">
      <c r="A55" s="117" t="n"/>
      <c r="B55" s="118" t="n"/>
      <c r="C55" s="115">
        <f>IF(OR(B55="",B54=""),"",B55/B54-1)</f>
        <v/>
      </c>
      <c r="D55" s="115">
        <f>IF(B55="","",IFERROR(B55/INDEX($B$2:$B$400,MATCH(DATE(YEAR(A55)-1,12,1),$A$2:$A$400,0))-1,""))</f>
        <v/>
      </c>
      <c r="E55" s="115">
        <f>IF(B55="","",IFERROR(B55/INDEX($B$2:$B$400,MATCH(DATE(YEAR(A55)-1,MONTH(A55),1),$A$2:$A$400,0))-1,""))</f>
        <v/>
      </c>
    </row>
    <row r="56">
      <c r="A56" s="117" t="n"/>
      <c r="B56" s="118" t="n"/>
      <c r="C56" s="115">
        <f>IF(OR(B56="",B55=""),"",B56/B55-1)</f>
        <v/>
      </c>
      <c r="D56" s="115">
        <f>IF(B56="","",IFERROR(B56/INDEX($B$2:$B$400,MATCH(DATE(YEAR(A56)-1,12,1),$A$2:$A$400,0))-1,""))</f>
        <v/>
      </c>
      <c r="E56" s="115">
        <f>IF(B56="","",IFERROR(B56/INDEX($B$2:$B$400,MATCH(DATE(YEAR(A56)-1,MONTH(A56),1),$A$2:$A$400,0))-1,""))</f>
        <v/>
      </c>
    </row>
    <row r="57">
      <c r="A57" s="117" t="n"/>
      <c r="B57" s="118" t="n"/>
      <c r="C57" s="115">
        <f>IF(OR(B57="",B56=""),"",B57/B56-1)</f>
        <v/>
      </c>
      <c r="D57" s="115">
        <f>IF(B57="","",IFERROR(B57/INDEX($B$2:$B$400,MATCH(DATE(YEAR(A57)-1,12,1),$A$2:$A$400,0))-1,""))</f>
        <v/>
      </c>
      <c r="E57" s="115">
        <f>IF(B57="","",IFERROR(B57/INDEX($B$2:$B$400,MATCH(DATE(YEAR(A57)-1,MONTH(A57),1),$A$2:$A$400,0))-1,""))</f>
        <v/>
      </c>
    </row>
    <row r="58">
      <c r="A58" s="117" t="n"/>
      <c r="B58" s="118" t="n"/>
      <c r="C58" s="115">
        <f>IF(OR(B58="",B57=""),"",B58/B57-1)</f>
        <v/>
      </c>
      <c r="D58" s="115">
        <f>IF(B58="","",IFERROR(B58/INDEX($B$2:$B$400,MATCH(DATE(YEAR(A58)-1,12,1),$A$2:$A$400,0))-1,""))</f>
        <v/>
      </c>
      <c r="E58" s="115">
        <f>IF(B58="","",IFERROR(B58/INDEX($B$2:$B$400,MATCH(DATE(YEAR(A58)-1,MONTH(A58),1),$A$2:$A$400,0))-1,""))</f>
        <v/>
      </c>
    </row>
    <row r="59">
      <c r="A59" s="117" t="n"/>
      <c r="B59" s="118" t="n"/>
      <c r="C59" s="115">
        <f>IF(OR(B59="",B58=""),"",B59/B58-1)</f>
        <v/>
      </c>
      <c r="D59" s="115">
        <f>IF(B59="","",IFERROR(B59/INDEX($B$2:$B$400,MATCH(DATE(YEAR(A59)-1,12,1),$A$2:$A$400,0))-1,""))</f>
        <v/>
      </c>
      <c r="E59" s="115">
        <f>IF(B59="","",IFERROR(B59/INDEX($B$2:$B$400,MATCH(DATE(YEAR(A59)-1,MONTH(A59),1),$A$2:$A$400,0))-1,""))</f>
        <v/>
      </c>
    </row>
    <row r="60">
      <c r="A60" s="117" t="n"/>
      <c r="B60" s="118" t="n"/>
      <c r="C60" s="115">
        <f>IF(OR(B60="",B59=""),"",B60/B59-1)</f>
        <v/>
      </c>
      <c r="D60" s="115">
        <f>IF(B60="","",IFERROR(B60/INDEX($B$2:$B$400,MATCH(DATE(YEAR(A60)-1,12,1),$A$2:$A$400,0))-1,""))</f>
        <v/>
      </c>
      <c r="E60" s="115">
        <f>IF(B60="","",IFERROR(B60/INDEX($B$2:$B$400,MATCH(DATE(YEAR(A60)-1,MONTH(A60),1),$A$2:$A$400,0))-1,""))</f>
        <v/>
      </c>
    </row>
    <row r="61">
      <c r="A61" s="117" t="n"/>
      <c r="B61" s="118" t="n"/>
      <c r="C61" s="115">
        <f>IF(OR(B61="",B60=""),"",B61/B60-1)</f>
        <v/>
      </c>
      <c r="D61" s="115">
        <f>IF(B61="","",IFERROR(B61/INDEX($B$2:$B$400,MATCH(DATE(YEAR(A61)-1,12,1),$A$2:$A$400,0))-1,""))</f>
        <v/>
      </c>
      <c r="E61" s="115">
        <f>IF(B61="","",IFERROR(B61/INDEX($B$2:$B$400,MATCH(DATE(YEAR(A61)-1,MONTH(A61),1),$A$2:$A$400,0))-1,""))</f>
        <v/>
      </c>
    </row>
    <row r="62">
      <c r="A62" s="117" t="n"/>
      <c r="B62" s="118" t="n"/>
      <c r="C62" s="115">
        <f>IF(OR(B62="",B61=""),"",B62/B61-1)</f>
        <v/>
      </c>
      <c r="D62" s="115">
        <f>IF(B62="","",IFERROR(B62/INDEX($B$2:$B$400,MATCH(DATE(YEAR(A62)-1,12,1),$A$2:$A$400,0))-1,""))</f>
        <v/>
      </c>
      <c r="E62" s="115">
        <f>IF(B62="","",IFERROR(B62/INDEX($B$2:$B$400,MATCH(DATE(YEAR(A62)-1,MONTH(A62),1),$A$2:$A$400,0))-1,""))</f>
        <v/>
      </c>
    </row>
    <row r="63">
      <c r="A63" s="117" t="n"/>
      <c r="B63" s="118" t="n"/>
      <c r="C63" s="115">
        <f>IF(OR(B63="",B62=""),"",B63/B62-1)</f>
        <v/>
      </c>
      <c r="D63" s="115">
        <f>IF(B63="","",IFERROR(B63/INDEX($B$2:$B$400,MATCH(DATE(YEAR(A63)-1,12,1),$A$2:$A$400,0))-1,""))</f>
        <v/>
      </c>
      <c r="E63" s="115">
        <f>IF(B63="","",IFERROR(B63/INDEX($B$2:$B$400,MATCH(DATE(YEAR(A63)-1,MONTH(A63),1),$A$2:$A$400,0))-1,""))</f>
        <v/>
      </c>
    </row>
    <row r="64">
      <c r="A64" s="117" t="n"/>
      <c r="B64" s="118" t="n"/>
      <c r="C64" s="115">
        <f>IF(OR(B64="",B63=""),"",B64/B63-1)</f>
        <v/>
      </c>
      <c r="D64" s="115">
        <f>IF(B64="","",IFERROR(B64/INDEX($B$2:$B$400,MATCH(DATE(YEAR(A64)-1,12,1),$A$2:$A$400,0))-1,""))</f>
        <v/>
      </c>
      <c r="E64" s="115">
        <f>IF(B64="","",IFERROR(B64/INDEX($B$2:$B$400,MATCH(DATE(YEAR(A64)-1,MONTH(A64),1),$A$2:$A$400,0))-1,""))</f>
        <v/>
      </c>
    </row>
    <row r="65">
      <c r="A65" s="117" t="n"/>
      <c r="B65" s="118" t="n"/>
      <c r="C65" s="115">
        <f>IF(OR(B65="",B64=""),"",B65/B64-1)</f>
        <v/>
      </c>
      <c r="D65" s="115">
        <f>IF(B65="","",IFERROR(B65/INDEX($B$2:$B$400,MATCH(DATE(YEAR(A65)-1,12,1),$A$2:$A$400,0))-1,""))</f>
        <v/>
      </c>
      <c r="E65" s="115">
        <f>IF(B65="","",IFERROR(B65/INDEX($B$2:$B$400,MATCH(DATE(YEAR(A65)-1,MONTH(A65),1),$A$2:$A$400,0))-1,""))</f>
        <v/>
      </c>
    </row>
    <row r="66">
      <c r="A66" s="117" t="n"/>
      <c r="B66" s="118" t="n"/>
      <c r="C66" s="115">
        <f>IF(OR(B66="",B65=""),"",B66/B65-1)</f>
        <v/>
      </c>
      <c r="D66" s="115">
        <f>IF(B66="","",IFERROR(B66/INDEX($B$2:$B$400,MATCH(DATE(YEAR(A66)-1,12,1),$A$2:$A$400,0))-1,""))</f>
        <v/>
      </c>
      <c r="E66" s="115">
        <f>IF(B66="","",IFERROR(B66/INDEX($B$2:$B$400,MATCH(DATE(YEAR(A66)-1,MONTH(A66),1),$A$2:$A$400,0))-1,""))</f>
        <v/>
      </c>
    </row>
    <row r="67">
      <c r="A67" s="117" t="n"/>
      <c r="B67" s="118" t="n"/>
      <c r="C67" s="115">
        <f>IF(OR(B67="",B66=""),"",B67/B66-1)</f>
        <v/>
      </c>
      <c r="D67" s="115">
        <f>IF(B67="","",IFERROR(B67/INDEX($B$2:$B$400,MATCH(DATE(YEAR(A67)-1,12,1),$A$2:$A$400,0))-1,""))</f>
        <v/>
      </c>
      <c r="E67" s="115">
        <f>IF(B67="","",IFERROR(B67/INDEX($B$2:$B$400,MATCH(DATE(YEAR(A67)-1,MONTH(A67),1),$A$2:$A$400,0))-1,""))</f>
        <v/>
      </c>
    </row>
    <row r="68">
      <c r="A68" s="117" t="n"/>
      <c r="B68" s="118" t="n"/>
      <c r="C68" s="115">
        <f>IF(OR(B68="",B67=""),"",B68/B67-1)</f>
        <v/>
      </c>
      <c r="D68" s="115">
        <f>IF(B68="","",IFERROR(B68/INDEX($B$2:$B$400,MATCH(DATE(YEAR(A68)-1,12,1),$A$2:$A$400,0))-1,""))</f>
        <v/>
      </c>
      <c r="E68" s="115">
        <f>IF(B68="","",IFERROR(B68/INDEX($B$2:$B$400,MATCH(DATE(YEAR(A68)-1,MONTH(A68),1),$A$2:$A$400,0))-1,""))</f>
        <v/>
      </c>
    </row>
    <row r="69">
      <c r="A69" s="117" t="n"/>
      <c r="B69" s="118" t="n"/>
      <c r="C69" s="115">
        <f>IF(OR(B69="",B68=""),"",B69/B68-1)</f>
        <v/>
      </c>
      <c r="D69" s="115">
        <f>IF(B69="","",IFERROR(B69/INDEX($B$2:$B$400,MATCH(DATE(YEAR(A69)-1,12,1),$A$2:$A$400,0))-1,""))</f>
        <v/>
      </c>
      <c r="E69" s="115">
        <f>IF(B69="","",IFERROR(B69/INDEX($B$2:$B$400,MATCH(DATE(YEAR(A69)-1,MONTH(A69),1),$A$2:$A$400,0))-1,""))</f>
        <v/>
      </c>
    </row>
    <row r="70">
      <c r="A70" s="117" t="n"/>
      <c r="B70" s="118" t="n"/>
      <c r="C70" s="115">
        <f>IF(OR(B70="",B69=""),"",B70/B69-1)</f>
        <v/>
      </c>
      <c r="D70" s="115">
        <f>IF(B70="","",IFERROR(B70/INDEX($B$2:$B$400,MATCH(DATE(YEAR(A70)-1,12,1),$A$2:$A$400,0))-1,""))</f>
        <v/>
      </c>
      <c r="E70" s="115">
        <f>IF(B70="","",IFERROR(B70/INDEX($B$2:$B$400,MATCH(DATE(YEAR(A70)-1,MONTH(A70),1),$A$2:$A$400,0))-1,""))</f>
        <v/>
      </c>
    </row>
    <row r="71">
      <c r="A71" s="117" t="n"/>
      <c r="B71" s="118" t="n"/>
      <c r="C71" s="115">
        <f>IF(OR(B71="",B70=""),"",B71/B70-1)</f>
        <v/>
      </c>
      <c r="D71" s="115">
        <f>IF(B71="","",IFERROR(B71/INDEX($B$2:$B$400,MATCH(DATE(YEAR(A71)-1,12,1),$A$2:$A$400,0))-1,""))</f>
        <v/>
      </c>
      <c r="E71" s="115">
        <f>IF(B71="","",IFERROR(B71/INDEX($B$2:$B$400,MATCH(DATE(YEAR(A71)-1,MONTH(A71),1),$A$2:$A$400,0))-1,""))</f>
        <v/>
      </c>
    </row>
    <row r="72">
      <c r="A72" s="117" t="n"/>
      <c r="B72" s="118" t="n"/>
      <c r="C72" s="115">
        <f>IF(OR(B72="",B71=""),"",B72/B71-1)</f>
        <v/>
      </c>
      <c r="D72" s="115">
        <f>IF(B72="","",IFERROR(B72/INDEX($B$2:$B$400,MATCH(DATE(YEAR(A72)-1,12,1),$A$2:$A$400,0))-1,""))</f>
        <v/>
      </c>
      <c r="E72" s="115">
        <f>IF(B72="","",IFERROR(B72/INDEX($B$2:$B$400,MATCH(DATE(YEAR(A72)-1,MONTH(A72),1),$A$2:$A$400,0))-1,""))</f>
        <v/>
      </c>
    </row>
    <row r="73">
      <c r="A73" s="117" t="n"/>
      <c r="B73" s="118" t="n"/>
      <c r="C73" s="115">
        <f>IF(OR(B73="",B72=""),"",B73/B72-1)</f>
        <v/>
      </c>
      <c r="D73" s="115">
        <f>IF(B73="","",IFERROR(B73/INDEX($B$2:$B$400,MATCH(DATE(YEAR(A73)-1,12,1),$A$2:$A$400,0))-1,""))</f>
        <v/>
      </c>
      <c r="E73" s="115">
        <f>IF(B73="","",IFERROR(B73/INDEX($B$2:$B$400,MATCH(DATE(YEAR(A73)-1,MONTH(A73),1),$A$2:$A$400,0))-1,""))</f>
        <v/>
      </c>
    </row>
    <row r="74">
      <c r="A74" s="117" t="n"/>
      <c r="B74" s="118" t="n"/>
      <c r="C74" s="115">
        <f>IF(OR(B74="",B73=""),"",B74/B73-1)</f>
        <v/>
      </c>
      <c r="D74" s="115">
        <f>IF(B74="","",IFERROR(B74/INDEX($B$2:$B$400,MATCH(DATE(YEAR(A74)-1,12,1),$A$2:$A$400,0))-1,""))</f>
        <v/>
      </c>
      <c r="E74" s="115">
        <f>IF(B74="","",IFERROR(B74/INDEX($B$2:$B$400,MATCH(DATE(YEAR(A74)-1,MONTH(A74),1),$A$2:$A$400,0))-1,""))</f>
        <v/>
      </c>
    </row>
    <row r="75">
      <c r="A75" s="117" t="n"/>
      <c r="B75" s="118" t="n"/>
      <c r="C75" s="115">
        <f>IF(OR(B75="",B74=""),"",B75/B74-1)</f>
        <v/>
      </c>
      <c r="D75" s="115">
        <f>IF(B75="","",IFERROR(B75/INDEX($B$2:$B$400,MATCH(DATE(YEAR(A75)-1,12,1),$A$2:$A$400,0))-1,""))</f>
        <v/>
      </c>
      <c r="E75" s="115">
        <f>IF(B75="","",IFERROR(B75/INDEX($B$2:$B$400,MATCH(DATE(YEAR(A75)-1,MONTH(A75),1),$A$2:$A$400,0))-1,""))</f>
        <v/>
      </c>
    </row>
    <row r="76">
      <c r="A76" s="117" t="n"/>
      <c r="B76" s="118" t="n"/>
      <c r="C76" s="115">
        <f>IF(OR(B76="",B75=""),"",B76/B75-1)</f>
        <v/>
      </c>
      <c r="D76" s="115">
        <f>IF(B76="","",IFERROR(B76/INDEX($B$2:$B$400,MATCH(DATE(YEAR(A76)-1,12,1),$A$2:$A$400,0))-1,""))</f>
        <v/>
      </c>
      <c r="E76" s="115">
        <f>IF(B76="","",IFERROR(B76/INDEX($B$2:$B$400,MATCH(DATE(YEAR(A76)-1,MONTH(A76),1),$A$2:$A$400,0))-1,""))</f>
        <v/>
      </c>
    </row>
    <row r="77">
      <c r="A77" s="117" t="n"/>
      <c r="B77" s="118" t="n"/>
      <c r="C77" s="115">
        <f>IF(OR(B77="",B76=""),"",B77/B76-1)</f>
        <v/>
      </c>
      <c r="D77" s="115">
        <f>IF(B77="","",IFERROR(B77/INDEX($B$2:$B$400,MATCH(DATE(YEAR(A77)-1,12,1),$A$2:$A$400,0))-1,""))</f>
        <v/>
      </c>
      <c r="E77" s="115">
        <f>IF(B77="","",IFERROR(B77/INDEX($B$2:$B$400,MATCH(DATE(YEAR(A77)-1,MONTH(A77),1),$A$2:$A$400,0))-1,""))</f>
        <v/>
      </c>
    </row>
    <row r="78">
      <c r="A78" s="117" t="n"/>
      <c r="B78" s="118" t="n"/>
      <c r="C78" s="115">
        <f>IF(OR(B78="",B77=""),"",B78/B77-1)</f>
        <v/>
      </c>
      <c r="D78" s="115">
        <f>IF(B78="","",IFERROR(B78/INDEX($B$2:$B$400,MATCH(DATE(YEAR(A78)-1,12,1),$A$2:$A$400,0))-1,""))</f>
        <v/>
      </c>
      <c r="E78" s="115">
        <f>IF(B78="","",IFERROR(B78/INDEX($B$2:$B$400,MATCH(DATE(YEAR(A78)-1,MONTH(A78),1),$A$2:$A$400,0))-1,""))</f>
        <v/>
      </c>
    </row>
    <row r="79">
      <c r="A79" s="117" t="n"/>
      <c r="B79" s="118" t="n"/>
      <c r="C79" s="115">
        <f>IF(OR(B79="",B78=""),"",B79/B78-1)</f>
        <v/>
      </c>
      <c r="D79" s="115">
        <f>IF(B79="","",IFERROR(B79/INDEX($B$2:$B$400,MATCH(DATE(YEAR(A79)-1,12,1),$A$2:$A$400,0))-1,""))</f>
        <v/>
      </c>
      <c r="E79" s="115">
        <f>IF(B79="","",IFERROR(B79/INDEX($B$2:$B$400,MATCH(DATE(YEAR(A79)-1,MONTH(A79),1),$A$2:$A$400,0))-1,""))</f>
        <v/>
      </c>
    </row>
    <row r="80">
      <c r="A80" s="117" t="n"/>
      <c r="B80" s="118" t="n"/>
      <c r="C80" s="115">
        <f>IF(OR(B80="",B79=""),"",B80/B79-1)</f>
        <v/>
      </c>
      <c r="D80" s="115">
        <f>IF(B80="","",IFERROR(B80/INDEX($B$2:$B$400,MATCH(DATE(YEAR(A80)-1,12,1),$A$2:$A$400,0))-1,""))</f>
        <v/>
      </c>
      <c r="E80" s="115">
        <f>IF(B80="","",IFERROR(B80/INDEX($B$2:$B$400,MATCH(DATE(YEAR(A80)-1,MONTH(A80),1),$A$2:$A$400,0))-1,""))</f>
        <v/>
      </c>
    </row>
    <row r="81">
      <c r="A81" s="117" t="n"/>
      <c r="B81" s="118" t="n"/>
      <c r="C81" s="115">
        <f>IF(OR(B81="",B80=""),"",B81/B80-1)</f>
        <v/>
      </c>
      <c r="D81" s="115">
        <f>IF(B81="","",IFERROR(B81/INDEX($B$2:$B$400,MATCH(DATE(YEAR(A81)-1,12,1),$A$2:$A$400,0))-1,""))</f>
        <v/>
      </c>
      <c r="E81" s="115">
        <f>IF(B81="","",IFERROR(B81/INDEX($B$2:$B$400,MATCH(DATE(YEAR(A81)-1,MONTH(A81),1),$A$2:$A$400,0))-1,""))</f>
        <v/>
      </c>
    </row>
    <row r="82">
      <c r="A82" s="117" t="n"/>
      <c r="B82" s="118" t="n"/>
      <c r="C82" s="115">
        <f>IF(OR(B82="",B81=""),"",B82/B81-1)</f>
        <v/>
      </c>
      <c r="D82" s="115">
        <f>IF(B82="","",IFERROR(B82/INDEX($B$2:$B$400,MATCH(DATE(YEAR(A82)-1,12,1),$A$2:$A$400,0))-1,""))</f>
        <v/>
      </c>
      <c r="E82" s="115">
        <f>IF(B82="","",IFERROR(B82/INDEX($B$2:$B$400,MATCH(DATE(YEAR(A82)-1,MONTH(A82),1),$A$2:$A$400,0))-1,""))</f>
        <v/>
      </c>
    </row>
    <row r="83">
      <c r="A83" s="117" t="n"/>
      <c r="B83" s="118" t="n"/>
      <c r="C83" s="115">
        <f>IF(OR(B83="",B82=""),"",B83/B82-1)</f>
        <v/>
      </c>
      <c r="D83" s="115">
        <f>IF(B83="","",IFERROR(B83/INDEX($B$2:$B$400,MATCH(DATE(YEAR(A83)-1,12,1),$A$2:$A$400,0))-1,""))</f>
        <v/>
      </c>
      <c r="E83" s="115">
        <f>IF(B83="","",IFERROR(B83/INDEX($B$2:$B$400,MATCH(DATE(YEAR(A83)-1,MONTH(A83),1),$A$2:$A$400,0))-1,""))</f>
        <v/>
      </c>
    </row>
    <row r="84">
      <c r="A84" s="117" t="n"/>
      <c r="B84" s="118" t="n"/>
      <c r="C84" s="115">
        <f>IF(OR(B84="",B83=""),"",B84/B83-1)</f>
        <v/>
      </c>
      <c r="D84" s="115">
        <f>IF(B84="","",IFERROR(B84/INDEX($B$2:$B$400,MATCH(DATE(YEAR(A84)-1,12,1),$A$2:$A$400,0))-1,""))</f>
        <v/>
      </c>
      <c r="E84" s="115">
        <f>IF(B84="","",IFERROR(B84/INDEX($B$2:$B$400,MATCH(DATE(YEAR(A84)-1,MONTH(A84),1),$A$2:$A$400,0))-1,""))</f>
        <v/>
      </c>
    </row>
    <row r="85">
      <c r="A85" s="117" t="n"/>
      <c r="B85" s="118" t="n"/>
      <c r="C85" s="115">
        <f>IF(OR(B85="",B84=""),"",B85/B84-1)</f>
        <v/>
      </c>
      <c r="D85" s="115">
        <f>IF(B85="","",IFERROR(B85/INDEX($B$2:$B$400,MATCH(DATE(YEAR(A85)-1,12,1),$A$2:$A$400,0))-1,""))</f>
        <v/>
      </c>
      <c r="E85" s="115">
        <f>IF(B85="","",IFERROR(B85/INDEX($B$2:$B$400,MATCH(DATE(YEAR(A85)-1,MONTH(A85),1),$A$2:$A$400,0))-1,""))</f>
        <v/>
      </c>
    </row>
    <row r="86">
      <c r="A86" s="117" t="n"/>
      <c r="B86" s="118" t="n"/>
      <c r="C86" s="115">
        <f>IF(OR(B86="",B85=""),"",B86/B85-1)</f>
        <v/>
      </c>
      <c r="D86" s="115">
        <f>IF(B86="","",IFERROR(B86/INDEX($B$2:$B$400,MATCH(DATE(YEAR(A86)-1,12,1),$A$2:$A$400,0))-1,""))</f>
        <v/>
      </c>
      <c r="E86" s="115">
        <f>IF(B86="","",IFERROR(B86/INDEX($B$2:$B$400,MATCH(DATE(YEAR(A86)-1,MONTH(A86),1),$A$2:$A$400,0))-1,""))</f>
        <v/>
      </c>
    </row>
    <row r="87">
      <c r="A87" s="117" t="n"/>
      <c r="B87" s="118" t="n"/>
      <c r="C87" s="115">
        <f>IF(OR(B87="",B86=""),"",B87/B86-1)</f>
        <v/>
      </c>
      <c r="D87" s="115">
        <f>IF(B87="","",IFERROR(B87/INDEX($B$2:$B$400,MATCH(DATE(YEAR(A87)-1,12,1),$A$2:$A$400,0))-1,""))</f>
        <v/>
      </c>
      <c r="E87" s="115">
        <f>IF(B87="","",IFERROR(B87/INDEX($B$2:$B$400,MATCH(DATE(YEAR(A87)-1,MONTH(A87),1),$A$2:$A$400,0))-1,""))</f>
        <v/>
      </c>
    </row>
    <row r="88">
      <c r="A88" s="117" t="n"/>
      <c r="B88" s="118" t="n"/>
      <c r="C88" s="115">
        <f>IF(OR(B88="",B87=""),"",B88/B87-1)</f>
        <v/>
      </c>
      <c r="D88" s="115">
        <f>IF(B88="","",IFERROR(B88/INDEX($B$2:$B$400,MATCH(DATE(YEAR(A88)-1,12,1),$A$2:$A$400,0))-1,""))</f>
        <v/>
      </c>
      <c r="E88" s="115">
        <f>IF(B88="","",IFERROR(B88/INDEX($B$2:$B$400,MATCH(DATE(YEAR(A88)-1,MONTH(A88),1),$A$2:$A$400,0))-1,""))</f>
        <v/>
      </c>
    </row>
    <row r="89">
      <c r="A89" s="117" t="n"/>
      <c r="B89" s="118" t="n"/>
      <c r="C89" s="115">
        <f>IF(OR(B89="",B88=""),"",B89/B88-1)</f>
        <v/>
      </c>
      <c r="D89" s="115">
        <f>IF(B89="","",IFERROR(B89/INDEX($B$2:$B$400,MATCH(DATE(YEAR(A89)-1,12,1),$A$2:$A$400,0))-1,""))</f>
        <v/>
      </c>
      <c r="E89" s="115">
        <f>IF(B89="","",IFERROR(B89/INDEX($B$2:$B$400,MATCH(DATE(YEAR(A89)-1,MONTH(A89),1),$A$2:$A$400,0))-1,""))</f>
        <v/>
      </c>
    </row>
    <row r="90">
      <c r="A90" s="117" t="n"/>
      <c r="B90" s="118" t="n"/>
      <c r="C90" s="115">
        <f>IF(OR(B90="",B89=""),"",B90/B89-1)</f>
        <v/>
      </c>
      <c r="D90" s="115">
        <f>IF(B90="","",IFERROR(B90/INDEX($B$2:$B$400,MATCH(DATE(YEAR(A90)-1,12,1),$A$2:$A$400,0))-1,""))</f>
        <v/>
      </c>
      <c r="E90" s="115">
        <f>IF(B90="","",IFERROR(B90/INDEX($B$2:$B$400,MATCH(DATE(YEAR(A90)-1,MONTH(A90),1),$A$2:$A$400,0))-1,""))</f>
        <v/>
      </c>
    </row>
    <row r="91">
      <c r="A91" s="117" t="n"/>
      <c r="B91" s="118" t="n"/>
      <c r="C91" s="115">
        <f>IF(OR(B91="",B90=""),"",B91/B90-1)</f>
        <v/>
      </c>
      <c r="D91" s="115">
        <f>IF(B91="","",IFERROR(B91/INDEX($B$2:$B$400,MATCH(DATE(YEAR(A91)-1,12,1),$A$2:$A$400,0))-1,""))</f>
        <v/>
      </c>
      <c r="E91" s="115">
        <f>IF(B91="","",IFERROR(B91/INDEX($B$2:$B$400,MATCH(DATE(YEAR(A91)-1,MONTH(A91),1),$A$2:$A$400,0))-1,""))</f>
        <v/>
      </c>
    </row>
    <row r="92">
      <c r="A92" s="117" t="n"/>
      <c r="B92" s="118" t="n"/>
      <c r="C92" s="115">
        <f>IF(OR(B92="",B91=""),"",B92/B91-1)</f>
        <v/>
      </c>
      <c r="D92" s="115">
        <f>IF(B92="","",IFERROR(B92/INDEX($B$2:$B$400,MATCH(DATE(YEAR(A92)-1,12,1),$A$2:$A$400,0))-1,""))</f>
        <v/>
      </c>
      <c r="E92" s="115">
        <f>IF(B92="","",IFERROR(B92/INDEX($B$2:$B$400,MATCH(DATE(YEAR(A92)-1,MONTH(A92),1),$A$2:$A$400,0))-1,""))</f>
        <v/>
      </c>
    </row>
    <row r="93">
      <c r="A93" s="117" t="n"/>
      <c r="B93" s="118" t="n"/>
      <c r="C93" s="115">
        <f>IF(OR(B93="",B92=""),"",B93/B92-1)</f>
        <v/>
      </c>
      <c r="D93" s="115">
        <f>IF(B93="","",IFERROR(B93/INDEX($B$2:$B$400,MATCH(DATE(YEAR(A93)-1,12,1),$A$2:$A$400,0))-1,""))</f>
        <v/>
      </c>
      <c r="E93" s="115">
        <f>IF(B93="","",IFERROR(B93/INDEX($B$2:$B$400,MATCH(DATE(YEAR(A93)-1,MONTH(A93),1),$A$2:$A$400,0))-1,""))</f>
        <v/>
      </c>
    </row>
    <row r="94">
      <c r="A94" s="117" t="n"/>
      <c r="B94" s="118" t="n"/>
      <c r="C94" s="115">
        <f>IF(OR(B94="",B93=""),"",B94/B93-1)</f>
        <v/>
      </c>
      <c r="D94" s="115">
        <f>IF(B94="","",IFERROR(B94/INDEX($B$2:$B$400,MATCH(DATE(YEAR(A94)-1,12,1),$A$2:$A$400,0))-1,""))</f>
        <v/>
      </c>
      <c r="E94" s="115">
        <f>IF(B94="","",IFERROR(B94/INDEX($B$2:$B$400,MATCH(DATE(YEAR(A94)-1,MONTH(A94),1),$A$2:$A$400,0))-1,""))</f>
        <v/>
      </c>
    </row>
    <row r="95">
      <c r="A95" s="117" t="n"/>
      <c r="B95" s="118" t="n"/>
      <c r="C95" s="115">
        <f>IF(OR(B95="",B94=""),"",B95/B94-1)</f>
        <v/>
      </c>
      <c r="D95" s="115">
        <f>IF(B95="","",IFERROR(B95/INDEX($B$2:$B$400,MATCH(DATE(YEAR(A95)-1,12,1),$A$2:$A$400,0))-1,""))</f>
        <v/>
      </c>
      <c r="E95" s="115">
        <f>IF(B95="","",IFERROR(B95/INDEX($B$2:$B$400,MATCH(DATE(YEAR(A95)-1,MONTH(A95),1),$A$2:$A$400,0))-1,""))</f>
        <v/>
      </c>
    </row>
    <row r="96">
      <c r="A96" s="117" t="n"/>
      <c r="B96" s="118" t="n"/>
      <c r="C96" s="115">
        <f>IF(OR(B96="",B95=""),"",B96/B95-1)</f>
        <v/>
      </c>
      <c r="D96" s="115">
        <f>IF(B96="","",IFERROR(B96/INDEX($B$2:$B$400,MATCH(DATE(YEAR(A96)-1,12,1),$A$2:$A$400,0))-1,""))</f>
        <v/>
      </c>
      <c r="E96" s="115">
        <f>IF(B96="","",IFERROR(B96/INDEX($B$2:$B$400,MATCH(DATE(YEAR(A96)-1,MONTH(A96),1),$A$2:$A$400,0))-1,""))</f>
        <v/>
      </c>
    </row>
    <row r="97">
      <c r="A97" s="117" t="n"/>
      <c r="B97" s="118" t="n"/>
      <c r="C97" s="115">
        <f>IF(OR(B97="",B96=""),"",B97/B96-1)</f>
        <v/>
      </c>
      <c r="D97" s="115">
        <f>IF(B97="","",IFERROR(B97/INDEX($B$2:$B$400,MATCH(DATE(YEAR(A97)-1,12,1),$A$2:$A$400,0))-1,""))</f>
        <v/>
      </c>
      <c r="E97" s="115">
        <f>IF(B97="","",IFERROR(B97/INDEX($B$2:$B$400,MATCH(DATE(YEAR(A97)-1,MONTH(A97),1),$A$2:$A$400,0))-1,""))</f>
        <v/>
      </c>
    </row>
    <row r="98">
      <c r="A98" s="117" t="n"/>
      <c r="B98" s="118" t="n"/>
      <c r="C98" s="115">
        <f>IF(OR(B98="",B97=""),"",B98/B97-1)</f>
        <v/>
      </c>
      <c r="D98" s="115">
        <f>IF(B98="","",IFERROR(B98/INDEX($B$2:$B$400,MATCH(DATE(YEAR(A98)-1,12,1),$A$2:$A$400,0))-1,""))</f>
        <v/>
      </c>
      <c r="E98" s="115">
        <f>IF(B98="","",IFERROR(B98/INDEX($B$2:$B$400,MATCH(DATE(YEAR(A98)-1,MONTH(A98),1),$A$2:$A$400,0))-1,""))</f>
        <v/>
      </c>
    </row>
    <row r="99">
      <c r="A99" s="117" t="n"/>
      <c r="B99" s="118" t="n"/>
      <c r="C99" s="115">
        <f>IF(OR(B99="",B98=""),"",B99/B98-1)</f>
        <v/>
      </c>
      <c r="D99" s="115">
        <f>IF(B99="","",IFERROR(B99/INDEX($B$2:$B$400,MATCH(DATE(YEAR(A99)-1,12,1),$A$2:$A$400,0))-1,""))</f>
        <v/>
      </c>
      <c r="E99" s="115">
        <f>IF(B99="","",IFERROR(B99/INDEX($B$2:$B$400,MATCH(DATE(YEAR(A99)-1,MONTH(A99),1),$A$2:$A$400,0))-1,""))</f>
        <v/>
      </c>
    </row>
    <row r="100">
      <c r="A100" s="117" t="n"/>
      <c r="B100" s="118" t="n"/>
      <c r="C100" s="115">
        <f>IF(OR(B100="",B99=""),"",B100/B99-1)</f>
        <v/>
      </c>
      <c r="D100" s="115">
        <f>IF(B100="","",IFERROR(B100/INDEX($B$2:$B$400,MATCH(DATE(YEAR(A100)-1,12,1),$A$2:$A$400,0))-1,""))</f>
        <v/>
      </c>
      <c r="E100" s="115">
        <f>IF(B100="","",IFERROR(B100/INDEX($B$2:$B$400,MATCH(DATE(YEAR(A100)-1,MONTH(A100),1),$A$2:$A$400,0))-1,""))</f>
        <v/>
      </c>
    </row>
    <row r="101">
      <c r="A101" s="117" t="n"/>
      <c r="B101" s="118" t="n"/>
      <c r="C101" s="115">
        <f>IF(OR(B101="",B100=""),"",B101/B100-1)</f>
        <v/>
      </c>
      <c r="D101" s="115">
        <f>IF(B101="","",IFERROR(B101/INDEX($B$2:$B$400,MATCH(DATE(YEAR(A101)-1,12,1),$A$2:$A$400,0))-1,""))</f>
        <v/>
      </c>
      <c r="E101" s="115">
        <f>IF(B101="","",IFERROR(B101/INDEX($B$2:$B$400,MATCH(DATE(YEAR(A101)-1,MONTH(A101),1),$A$2:$A$400,0))-1,""))</f>
        <v/>
      </c>
    </row>
    <row r="102">
      <c r="A102" s="117" t="n"/>
      <c r="B102" s="118" t="n"/>
      <c r="C102" s="115">
        <f>IF(OR(B102="",B101=""),"",B102/B101-1)</f>
        <v/>
      </c>
      <c r="D102" s="115">
        <f>IF(B102="","",IFERROR(B102/INDEX($B$2:$B$400,MATCH(DATE(YEAR(A102)-1,12,1),$A$2:$A$400,0))-1,""))</f>
        <v/>
      </c>
      <c r="E102" s="115">
        <f>IF(B102="","",IFERROR(B102/INDEX($B$2:$B$400,MATCH(DATE(YEAR(A102)-1,MONTH(A102),1),$A$2:$A$400,0))-1,""))</f>
        <v/>
      </c>
    </row>
    <row r="103">
      <c r="A103" s="117" t="n"/>
      <c r="B103" s="118" t="n"/>
      <c r="C103" s="115">
        <f>IF(OR(B103="",B102=""),"",B103/B102-1)</f>
        <v/>
      </c>
      <c r="D103" s="115">
        <f>IF(B103="","",IFERROR(B103/INDEX($B$2:$B$400,MATCH(DATE(YEAR(A103)-1,12,1),$A$2:$A$400,0))-1,""))</f>
        <v/>
      </c>
      <c r="E103" s="115">
        <f>IF(B103="","",IFERROR(B103/INDEX($B$2:$B$400,MATCH(DATE(YEAR(A103)-1,MONTH(A103),1),$A$2:$A$400,0))-1,""))</f>
        <v/>
      </c>
    </row>
    <row r="104">
      <c r="A104" s="117" t="n"/>
      <c r="B104" s="118" t="n"/>
      <c r="C104" s="115">
        <f>IF(OR(B104="",B103=""),"",B104/B103-1)</f>
        <v/>
      </c>
      <c r="D104" s="115">
        <f>IF(B104="","",IFERROR(B104/INDEX($B$2:$B$400,MATCH(DATE(YEAR(A104)-1,12,1),$A$2:$A$400,0))-1,""))</f>
        <v/>
      </c>
      <c r="E104" s="115">
        <f>IF(B104="","",IFERROR(B104/INDEX($B$2:$B$400,MATCH(DATE(YEAR(A104)-1,MONTH(A104),1),$A$2:$A$400,0))-1,""))</f>
        <v/>
      </c>
    </row>
    <row r="105">
      <c r="A105" s="117" t="n"/>
      <c r="B105" s="118" t="n"/>
      <c r="C105" s="115">
        <f>IF(OR(B105="",B104=""),"",B105/B104-1)</f>
        <v/>
      </c>
      <c r="D105" s="115">
        <f>IF(B105="","",IFERROR(B105/INDEX($B$2:$B$400,MATCH(DATE(YEAR(A105)-1,12,1),$A$2:$A$400,0))-1,""))</f>
        <v/>
      </c>
      <c r="E105" s="115">
        <f>IF(B105="","",IFERROR(B105/INDEX($B$2:$B$400,MATCH(DATE(YEAR(A105)-1,MONTH(A105),1),$A$2:$A$400,0))-1,""))</f>
        <v/>
      </c>
    </row>
    <row r="106">
      <c r="A106" s="117" t="n"/>
      <c r="B106" s="118" t="n"/>
      <c r="C106" s="115">
        <f>IF(OR(B106="",B105=""),"",B106/B105-1)</f>
        <v/>
      </c>
      <c r="D106" s="115">
        <f>IF(B106="","",IFERROR(B106/INDEX($B$2:$B$400,MATCH(DATE(YEAR(A106)-1,12,1),$A$2:$A$400,0))-1,""))</f>
        <v/>
      </c>
      <c r="E106" s="115">
        <f>IF(B106="","",IFERROR(B106/INDEX($B$2:$B$400,MATCH(DATE(YEAR(A106)-1,MONTH(A106),1),$A$2:$A$400,0))-1,""))</f>
        <v/>
      </c>
    </row>
    <row r="107">
      <c r="A107" s="117" t="n"/>
      <c r="B107" s="118" t="n"/>
      <c r="C107" s="115">
        <f>IF(OR(B107="",B106=""),"",B107/B106-1)</f>
        <v/>
      </c>
      <c r="D107" s="115">
        <f>IF(B107="","",IFERROR(B107/INDEX($B$2:$B$400,MATCH(DATE(YEAR(A107)-1,12,1),$A$2:$A$400,0))-1,""))</f>
        <v/>
      </c>
      <c r="E107" s="115">
        <f>IF(B107="","",IFERROR(B107/INDEX($B$2:$B$400,MATCH(DATE(YEAR(A107)-1,MONTH(A107),1),$A$2:$A$400,0))-1,""))</f>
        <v/>
      </c>
    </row>
    <row r="108">
      <c r="A108" s="117" t="n"/>
      <c r="B108" s="118" t="n"/>
      <c r="C108" s="115">
        <f>IF(OR(B108="",B107=""),"",B108/B107-1)</f>
        <v/>
      </c>
      <c r="D108" s="115">
        <f>IF(B108="","",IFERROR(B108/INDEX($B$2:$B$400,MATCH(DATE(YEAR(A108)-1,12,1),$A$2:$A$400,0))-1,""))</f>
        <v/>
      </c>
      <c r="E108" s="115">
        <f>IF(B108="","",IFERROR(B108/INDEX($B$2:$B$400,MATCH(DATE(YEAR(A108)-1,MONTH(A108),1),$A$2:$A$400,0))-1,""))</f>
        <v/>
      </c>
    </row>
    <row r="109">
      <c r="A109" s="117" t="n"/>
      <c r="B109" s="118" t="n"/>
      <c r="C109" s="115">
        <f>IF(OR(B109="",B108=""),"",B109/B108-1)</f>
        <v/>
      </c>
      <c r="D109" s="115">
        <f>IF(B109="","",IFERROR(B109/INDEX($B$2:$B$400,MATCH(DATE(YEAR(A109)-1,12,1),$A$2:$A$400,0))-1,""))</f>
        <v/>
      </c>
      <c r="E109" s="115">
        <f>IF(B109="","",IFERROR(B109/INDEX($B$2:$B$400,MATCH(DATE(YEAR(A109)-1,MONTH(A109),1),$A$2:$A$400,0))-1,""))</f>
        <v/>
      </c>
    </row>
    <row r="110">
      <c r="A110" s="117" t="n"/>
      <c r="B110" s="118" t="n"/>
      <c r="C110" s="115">
        <f>IF(OR(B110="",B109=""),"",B110/B109-1)</f>
        <v/>
      </c>
      <c r="D110" s="115">
        <f>IF(B110="","",IFERROR(B110/INDEX($B$2:$B$400,MATCH(DATE(YEAR(A110)-1,12,1),$A$2:$A$400,0))-1,""))</f>
        <v/>
      </c>
      <c r="E110" s="115">
        <f>IF(B110="","",IFERROR(B110/INDEX($B$2:$B$400,MATCH(DATE(YEAR(A110)-1,MONTH(A110),1),$A$2:$A$400,0))-1,""))</f>
        <v/>
      </c>
    </row>
    <row r="111">
      <c r="A111" s="117" t="n"/>
      <c r="B111" s="118" t="n"/>
      <c r="C111" s="115">
        <f>IF(OR(B111="",B110=""),"",B111/B110-1)</f>
        <v/>
      </c>
      <c r="D111" s="115">
        <f>IF(B111="","",IFERROR(B111/INDEX($B$2:$B$400,MATCH(DATE(YEAR(A111)-1,12,1),$A$2:$A$400,0))-1,""))</f>
        <v/>
      </c>
      <c r="E111" s="115">
        <f>IF(B111="","",IFERROR(B111/INDEX($B$2:$B$400,MATCH(DATE(YEAR(A111)-1,MONTH(A111),1),$A$2:$A$400,0))-1,""))</f>
        <v/>
      </c>
    </row>
    <row r="112">
      <c r="A112" s="117" t="n"/>
      <c r="B112" s="118" t="n"/>
      <c r="C112" s="115">
        <f>IF(OR(B112="",B111=""),"",B112/B111-1)</f>
        <v/>
      </c>
      <c r="D112" s="115">
        <f>IF(B112="","",IFERROR(B112/INDEX($B$2:$B$400,MATCH(DATE(YEAR(A112)-1,12,1),$A$2:$A$400,0))-1,""))</f>
        <v/>
      </c>
      <c r="E112" s="115">
        <f>IF(B112="","",IFERROR(B112/INDEX($B$2:$B$400,MATCH(DATE(YEAR(A112)-1,MONTH(A112),1),$A$2:$A$400,0))-1,""))</f>
        <v/>
      </c>
    </row>
    <row r="113">
      <c r="A113" s="117" t="n"/>
      <c r="B113" s="118" t="n"/>
      <c r="C113" s="115">
        <f>IF(OR(B113="",B112=""),"",B113/B112-1)</f>
        <v/>
      </c>
      <c r="D113" s="115">
        <f>IF(B113="","",IFERROR(B113/INDEX($B$2:$B$400,MATCH(DATE(YEAR(A113)-1,12,1),$A$2:$A$400,0))-1,""))</f>
        <v/>
      </c>
      <c r="E113" s="115">
        <f>IF(B113="","",IFERROR(B113/INDEX($B$2:$B$400,MATCH(DATE(YEAR(A113)-1,MONTH(A113),1),$A$2:$A$400,0))-1,""))</f>
        <v/>
      </c>
    </row>
    <row r="114">
      <c r="A114" s="117" t="n"/>
      <c r="B114" s="118" t="n"/>
      <c r="C114" s="115">
        <f>IF(OR(B114="",B113=""),"",B114/B113-1)</f>
        <v/>
      </c>
      <c r="D114" s="115">
        <f>IF(B114="","",IFERROR(B114/INDEX($B$2:$B$400,MATCH(DATE(YEAR(A114)-1,12,1),$A$2:$A$400,0))-1,""))</f>
        <v/>
      </c>
      <c r="E114" s="115">
        <f>IF(B114="","",IFERROR(B114/INDEX($B$2:$B$400,MATCH(DATE(YEAR(A114)-1,MONTH(A114),1),$A$2:$A$400,0))-1,""))</f>
        <v/>
      </c>
    </row>
    <row r="115">
      <c r="A115" s="117" t="n"/>
      <c r="B115" s="118" t="n"/>
      <c r="C115" s="115">
        <f>IF(OR(B115="",B114=""),"",B115/B114-1)</f>
        <v/>
      </c>
      <c r="D115" s="115">
        <f>IF(B115="","",IFERROR(B115/INDEX($B$2:$B$400,MATCH(DATE(YEAR(A115)-1,12,1),$A$2:$A$400,0))-1,""))</f>
        <v/>
      </c>
      <c r="E115" s="115">
        <f>IF(B115="","",IFERROR(B115/INDEX($B$2:$B$400,MATCH(DATE(YEAR(A115)-1,MONTH(A115),1),$A$2:$A$400,0))-1,""))</f>
        <v/>
      </c>
    </row>
    <row r="116">
      <c r="A116" s="117" t="n"/>
      <c r="B116" s="118" t="n"/>
      <c r="C116" s="115">
        <f>IF(OR(B116="",B115=""),"",B116/B115-1)</f>
        <v/>
      </c>
      <c r="D116" s="115">
        <f>IF(B116="","",IFERROR(B116/INDEX($B$2:$B$400,MATCH(DATE(YEAR(A116)-1,12,1),$A$2:$A$400,0))-1,""))</f>
        <v/>
      </c>
      <c r="E116" s="115">
        <f>IF(B116="","",IFERROR(B116/INDEX($B$2:$B$400,MATCH(DATE(YEAR(A116)-1,MONTH(A116),1),$A$2:$A$400,0))-1,""))</f>
        <v/>
      </c>
    </row>
    <row r="117">
      <c r="A117" s="117" t="n"/>
      <c r="B117" s="118" t="n"/>
      <c r="C117" s="115">
        <f>IF(OR(B117="",B116=""),"",B117/B116-1)</f>
        <v/>
      </c>
      <c r="D117" s="115">
        <f>IF(B117="","",IFERROR(B117/INDEX($B$2:$B$400,MATCH(DATE(YEAR(A117)-1,12,1),$A$2:$A$400,0))-1,""))</f>
        <v/>
      </c>
      <c r="E117" s="115">
        <f>IF(B117="","",IFERROR(B117/INDEX($B$2:$B$400,MATCH(DATE(YEAR(A117)-1,MONTH(A117),1),$A$2:$A$400,0))-1,""))</f>
        <v/>
      </c>
    </row>
    <row r="118">
      <c r="A118" s="117" t="n"/>
      <c r="B118" s="118" t="n"/>
      <c r="C118" s="115">
        <f>IF(OR(B118="",B117=""),"",B118/B117-1)</f>
        <v/>
      </c>
      <c r="D118" s="115">
        <f>IF(B118="","",IFERROR(B118/INDEX($B$2:$B$400,MATCH(DATE(YEAR(A118)-1,12,1),$A$2:$A$400,0))-1,""))</f>
        <v/>
      </c>
      <c r="E118" s="115">
        <f>IF(B118="","",IFERROR(B118/INDEX($B$2:$B$400,MATCH(DATE(YEAR(A118)-1,MONTH(A118),1),$A$2:$A$400,0))-1,""))</f>
        <v/>
      </c>
    </row>
    <row r="119">
      <c r="A119" s="117" t="n"/>
      <c r="B119" s="118" t="n"/>
      <c r="C119" s="115">
        <f>IF(OR(B119="",B118=""),"",B119/B118-1)</f>
        <v/>
      </c>
      <c r="D119" s="115">
        <f>IF(B119="","",IFERROR(B119/INDEX($B$2:$B$400,MATCH(DATE(YEAR(A119)-1,12,1),$A$2:$A$400,0))-1,""))</f>
        <v/>
      </c>
      <c r="E119" s="115">
        <f>IF(B119="","",IFERROR(B119/INDEX($B$2:$B$400,MATCH(DATE(YEAR(A119)-1,MONTH(A119),1),$A$2:$A$400,0))-1,""))</f>
        <v/>
      </c>
    </row>
    <row r="120">
      <c r="A120" s="117" t="n"/>
      <c r="B120" s="118" t="n"/>
      <c r="C120" s="115">
        <f>IF(OR(B120="",B119=""),"",B120/B119-1)</f>
        <v/>
      </c>
      <c r="D120" s="115">
        <f>IF(B120="","",IFERROR(B120/INDEX($B$2:$B$400,MATCH(DATE(YEAR(A120)-1,12,1),$A$2:$A$400,0))-1,""))</f>
        <v/>
      </c>
      <c r="E120" s="115">
        <f>IF(B120="","",IFERROR(B120/INDEX($B$2:$B$400,MATCH(DATE(YEAR(A120)-1,MONTH(A120),1),$A$2:$A$400,0))-1,""))</f>
        <v/>
      </c>
    </row>
    <row r="121">
      <c r="A121" s="117" t="n"/>
      <c r="B121" s="118" t="n"/>
      <c r="C121" s="115">
        <f>IF(OR(B121="",B120=""),"",B121/B120-1)</f>
        <v/>
      </c>
      <c r="D121" s="115">
        <f>IF(B121="","",IFERROR(B121/INDEX($B$2:$B$400,MATCH(DATE(YEAR(A121)-1,12,1),$A$2:$A$400,0))-1,""))</f>
        <v/>
      </c>
      <c r="E121" s="115">
        <f>IF(B121="","",IFERROR(B121/INDEX($B$2:$B$400,MATCH(DATE(YEAR(A121)-1,MONTH(A121),1),$A$2:$A$400,0))-1,""))</f>
        <v/>
      </c>
    </row>
    <row r="122">
      <c r="A122" s="117" t="n"/>
      <c r="B122" s="118" t="n"/>
      <c r="C122" s="115">
        <f>IF(OR(B122="",B121=""),"",B122/B121-1)</f>
        <v/>
      </c>
      <c r="D122" s="115">
        <f>IF(B122="","",IFERROR(B122/INDEX($B$2:$B$400,MATCH(DATE(YEAR(A122)-1,12,1),$A$2:$A$400,0))-1,""))</f>
        <v/>
      </c>
      <c r="E122" s="115">
        <f>IF(B122="","",IFERROR(B122/INDEX($B$2:$B$400,MATCH(DATE(YEAR(A122)-1,MONTH(A122),1),$A$2:$A$400,0))-1,""))</f>
        <v/>
      </c>
    </row>
    <row r="123">
      <c r="A123" s="117" t="n"/>
      <c r="B123" s="118" t="n"/>
      <c r="C123" s="115">
        <f>IF(OR(B123="",B122=""),"",B123/B122-1)</f>
        <v/>
      </c>
      <c r="D123" s="115">
        <f>IF(B123="","",IFERROR(B123/INDEX($B$2:$B$400,MATCH(DATE(YEAR(A123)-1,12,1),$A$2:$A$400,0))-1,""))</f>
        <v/>
      </c>
      <c r="E123" s="115">
        <f>IF(B123="","",IFERROR(B123/INDEX($B$2:$B$400,MATCH(DATE(YEAR(A123)-1,MONTH(A123),1),$A$2:$A$400,0))-1,""))</f>
        <v/>
      </c>
    </row>
    <row r="124">
      <c r="A124" s="117" t="n"/>
      <c r="B124" s="118" t="n"/>
      <c r="C124" s="115">
        <f>IF(OR(B124="",B123=""),"",B124/B123-1)</f>
        <v/>
      </c>
      <c r="D124" s="115">
        <f>IF(B124="","",IFERROR(B124/INDEX($B$2:$B$400,MATCH(DATE(YEAR(A124)-1,12,1),$A$2:$A$400,0))-1,""))</f>
        <v/>
      </c>
      <c r="E124" s="115">
        <f>IF(B124="","",IFERROR(B124/INDEX($B$2:$B$400,MATCH(DATE(YEAR(A124)-1,MONTH(A124),1),$A$2:$A$400,0))-1,""))</f>
        <v/>
      </c>
    </row>
    <row r="125">
      <c r="A125" s="117" t="n"/>
      <c r="B125" s="118" t="n"/>
      <c r="C125" s="115">
        <f>IF(OR(B125="",B124=""),"",B125/B124-1)</f>
        <v/>
      </c>
      <c r="D125" s="115">
        <f>IF(B125="","",IFERROR(B125/INDEX($B$2:$B$400,MATCH(DATE(YEAR(A125)-1,12,1),$A$2:$A$400,0))-1,""))</f>
        <v/>
      </c>
      <c r="E125" s="115">
        <f>IF(B125="","",IFERROR(B125/INDEX($B$2:$B$400,MATCH(DATE(YEAR(A125)-1,MONTH(A125),1),$A$2:$A$400,0))-1,""))</f>
        <v/>
      </c>
    </row>
    <row r="126">
      <c r="A126" s="117" t="n"/>
      <c r="B126" s="118" t="n"/>
      <c r="C126" s="115">
        <f>IF(OR(B126="",B125=""),"",B126/B125-1)</f>
        <v/>
      </c>
      <c r="D126" s="115">
        <f>IF(B126="","",IFERROR(B126/INDEX($B$2:$B$400,MATCH(DATE(YEAR(A126)-1,12,1),$A$2:$A$400,0))-1,""))</f>
        <v/>
      </c>
      <c r="E126" s="115">
        <f>IF(B126="","",IFERROR(B126/INDEX($B$2:$B$400,MATCH(DATE(YEAR(A126)-1,MONTH(A126),1),$A$2:$A$400,0))-1,""))</f>
        <v/>
      </c>
    </row>
    <row r="127">
      <c r="A127" s="117" t="n"/>
      <c r="B127" s="118" t="n"/>
      <c r="C127" s="115">
        <f>IF(OR(B127="",B126=""),"",B127/B126-1)</f>
        <v/>
      </c>
      <c r="D127" s="115">
        <f>IF(B127="","",IFERROR(B127/INDEX($B$2:$B$400,MATCH(DATE(YEAR(A127)-1,12,1),$A$2:$A$400,0))-1,""))</f>
        <v/>
      </c>
      <c r="E127" s="115">
        <f>IF(B127="","",IFERROR(B127/INDEX($B$2:$B$400,MATCH(DATE(YEAR(A127)-1,MONTH(A127),1),$A$2:$A$400,0))-1,""))</f>
        <v/>
      </c>
    </row>
    <row r="128">
      <c r="A128" s="117" t="n"/>
      <c r="B128" s="118" t="n"/>
      <c r="C128" s="115">
        <f>IF(OR(B128="",B127=""),"",B128/B127-1)</f>
        <v/>
      </c>
      <c r="D128" s="115">
        <f>IF(B128="","",IFERROR(B128/INDEX($B$2:$B$400,MATCH(DATE(YEAR(A128)-1,12,1),$A$2:$A$400,0))-1,""))</f>
        <v/>
      </c>
      <c r="E128" s="115">
        <f>IF(B128="","",IFERROR(B128/INDEX($B$2:$B$400,MATCH(DATE(YEAR(A128)-1,MONTH(A128),1),$A$2:$A$400,0))-1,""))</f>
        <v/>
      </c>
    </row>
    <row r="129">
      <c r="A129" s="117" t="n"/>
      <c r="B129" s="118" t="n"/>
      <c r="C129" s="115">
        <f>IF(OR(B129="",B128=""),"",B129/B128-1)</f>
        <v/>
      </c>
      <c r="D129" s="115">
        <f>IF(B129="","",IFERROR(B129/INDEX($B$2:$B$400,MATCH(DATE(YEAR(A129)-1,12,1),$A$2:$A$400,0))-1,""))</f>
        <v/>
      </c>
      <c r="E129" s="115">
        <f>IF(B129="","",IFERROR(B129/INDEX($B$2:$B$400,MATCH(DATE(YEAR(A129)-1,MONTH(A129),1),$A$2:$A$400,0))-1,""))</f>
        <v/>
      </c>
    </row>
    <row r="130">
      <c r="A130" s="117" t="n"/>
      <c r="B130" s="118" t="n"/>
      <c r="C130" s="115">
        <f>IF(OR(B130="",B129=""),"",B130/B129-1)</f>
        <v/>
      </c>
      <c r="D130" s="115">
        <f>IF(B130="","",IFERROR(B130/INDEX($B$2:$B$400,MATCH(DATE(YEAR(A130)-1,12,1),$A$2:$A$400,0))-1,""))</f>
        <v/>
      </c>
      <c r="E130" s="115">
        <f>IF(B130="","",IFERROR(B130/INDEX($B$2:$B$400,MATCH(DATE(YEAR(A130)-1,MONTH(A130),1),$A$2:$A$400,0))-1,""))</f>
        <v/>
      </c>
    </row>
    <row r="131">
      <c r="A131" s="117" t="n"/>
      <c r="B131" s="118" t="n"/>
      <c r="C131" s="115">
        <f>IF(OR(B131="",B130=""),"",B131/B130-1)</f>
        <v/>
      </c>
      <c r="D131" s="115">
        <f>IF(B131="","",IFERROR(B131/INDEX($B$2:$B$400,MATCH(DATE(YEAR(A131)-1,12,1),$A$2:$A$400,0))-1,""))</f>
        <v/>
      </c>
      <c r="E131" s="115">
        <f>IF(B131="","",IFERROR(B131/INDEX($B$2:$B$400,MATCH(DATE(YEAR(A131)-1,MONTH(A131),1),$A$2:$A$400,0))-1,""))</f>
        <v/>
      </c>
    </row>
    <row r="132">
      <c r="A132" s="117" t="n"/>
      <c r="B132" s="118" t="n"/>
      <c r="C132" s="115">
        <f>IF(OR(B132="",B131=""),"",B132/B131-1)</f>
        <v/>
      </c>
      <c r="D132" s="115">
        <f>IF(B132="","",IFERROR(B132/INDEX($B$2:$B$400,MATCH(DATE(YEAR(A132)-1,12,1),$A$2:$A$400,0))-1,""))</f>
        <v/>
      </c>
      <c r="E132" s="115">
        <f>IF(B132="","",IFERROR(B132/INDEX($B$2:$B$400,MATCH(DATE(YEAR(A132)-1,MONTH(A132),1),$A$2:$A$400,0))-1,""))</f>
        <v/>
      </c>
    </row>
    <row r="133">
      <c r="A133" s="117" t="n"/>
      <c r="B133" s="118" t="n"/>
      <c r="C133" s="115">
        <f>IF(OR(B133="",B132=""),"",B133/B132-1)</f>
        <v/>
      </c>
      <c r="D133" s="115">
        <f>IF(B133="","",IFERROR(B133/INDEX($B$2:$B$400,MATCH(DATE(YEAR(A133)-1,12,1),$A$2:$A$400,0))-1,""))</f>
        <v/>
      </c>
      <c r="E133" s="115">
        <f>IF(B133="","",IFERROR(B133/INDEX($B$2:$B$400,MATCH(DATE(YEAR(A133)-1,MONTH(A133),1),$A$2:$A$400,0))-1,""))</f>
        <v/>
      </c>
    </row>
    <row r="134">
      <c r="A134" s="117" t="n"/>
      <c r="B134" s="118" t="n"/>
      <c r="C134" s="115">
        <f>IF(OR(B134="",B133=""),"",B134/B133-1)</f>
        <v/>
      </c>
      <c r="D134" s="115">
        <f>IF(B134="","",IFERROR(B134/INDEX($B$2:$B$400,MATCH(DATE(YEAR(A134)-1,12,1),$A$2:$A$400,0))-1,""))</f>
        <v/>
      </c>
      <c r="E134" s="115">
        <f>IF(B134="","",IFERROR(B134/INDEX($B$2:$B$400,MATCH(DATE(YEAR(A134)-1,MONTH(A134),1),$A$2:$A$400,0))-1,""))</f>
        <v/>
      </c>
    </row>
    <row r="135">
      <c r="A135" s="117" t="n"/>
      <c r="B135" s="118" t="n"/>
      <c r="C135" s="115">
        <f>IF(OR(B135="",B134=""),"",B135/B134-1)</f>
        <v/>
      </c>
      <c r="D135" s="115">
        <f>IF(B135="","",IFERROR(B135/INDEX($B$2:$B$400,MATCH(DATE(YEAR(A135)-1,12,1),$A$2:$A$400,0))-1,""))</f>
        <v/>
      </c>
      <c r="E135" s="115">
        <f>IF(B135="","",IFERROR(B135/INDEX($B$2:$B$400,MATCH(DATE(YEAR(A135)-1,MONTH(A135),1),$A$2:$A$400,0))-1,""))</f>
        <v/>
      </c>
    </row>
    <row r="136">
      <c r="A136" s="117" t="n"/>
      <c r="B136" s="118" t="n"/>
      <c r="C136" s="115">
        <f>IF(OR(B136="",B135=""),"",B136/B135-1)</f>
        <v/>
      </c>
      <c r="D136" s="115">
        <f>IF(B136="","",IFERROR(B136/INDEX($B$2:$B$400,MATCH(DATE(YEAR(A136)-1,12,1),$A$2:$A$400,0))-1,""))</f>
        <v/>
      </c>
      <c r="E136" s="115">
        <f>IF(B136="","",IFERROR(B136/INDEX($B$2:$B$400,MATCH(DATE(YEAR(A136)-1,MONTH(A136),1),$A$2:$A$400,0))-1,""))</f>
        <v/>
      </c>
    </row>
    <row r="137">
      <c r="A137" s="117" t="n"/>
      <c r="B137" s="118" t="n"/>
      <c r="C137" s="115">
        <f>IF(OR(B137="",B136=""),"",B137/B136-1)</f>
        <v/>
      </c>
      <c r="D137" s="115">
        <f>IF(B137="","",IFERROR(B137/INDEX($B$2:$B$400,MATCH(DATE(YEAR(A137)-1,12,1),$A$2:$A$400,0))-1,""))</f>
        <v/>
      </c>
      <c r="E137" s="115">
        <f>IF(B137="","",IFERROR(B137/INDEX($B$2:$B$400,MATCH(DATE(YEAR(A137)-1,MONTH(A137),1),$A$2:$A$400,0))-1,""))</f>
        <v/>
      </c>
    </row>
    <row r="138">
      <c r="A138" s="117" t="n"/>
      <c r="B138" s="118" t="n"/>
      <c r="C138" s="115">
        <f>IF(OR(B138="",B137=""),"",B138/B137-1)</f>
        <v/>
      </c>
      <c r="D138" s="115">
        <f>IF(B138="","",IFERROR(B138/INDEX($B$2:$B$400,MATCH(DATE(YEAR(A138)-1,12,1),$A$2:$A$400,0))-1,""))</f>
        <v/>
      </c>
      <c r="E138" s="115">
        <f>IF(B138="","",IFERROR(B138/INDEX($B$2:$B$400,MATCH(DATE(YEAR(A138)-1,MONTH(A138),1),$A$2:$A$400,0))-1,""))</f>
        <v/>
      </c>
    </row>
    <row r="139">
      <c r="A139" s="117" t="n"/>
      <c r="B139" s="118" t="n"/>
      <c r="C139" s="115">
        <f>IF(OR(B139="",B138=""),"",B139/B138-1)</f>
        <v/>
      </c>
      <c r="D139" s="115">
        <f>IF(B139="","",IFERROR(B139/INDEX($B$2:$B$400,MATCH(DATE(YEAR(A139)-1,12,1),$A$2:$A$400,0))-1,""))</f>
        <v/>
      </c>
      <c r="E139" s="115">
        <f>IF(B139="","",IFERROR(B139/INDEX($B$2:$B$400,MATCH(DATE(YEAR(A139)-1,MONTH(A139),1),$A$2:$A$400,0))-1,""))</f>
        <v/>
      </c>
    </row>
    <row r="140">
      <c r="A140" s="117" t="n"/>
      <c r="B140" s="118" t="n"/>
      <c r="C140" s="115">
        <f>IF(OR(B140="",B139=""),"",B140/B139-1)</f>
        <v/>
      </c>
      <c r="D140" s="115">
        <f>IF(B140="","",IFERROR(B140/INDEX($B$2:$B$400,MATCH(DATE(YEAR(A140)-1,12,1),$A$2:$A$400,0))-1,""))</f>
        <v/>
      </c>
      <c r="E140" s="115">
        <f>IF(B140="","",IFERROR(B140/INDEX($B$2:$B$400,MATCH(DATE(YEAR(A140)-1,MONTH(A140),1),$A$2:$A$400,0))-1,""))</f>
        <v/>
      </c>
    </row>
    <row r="141">
      <c r="A141" s="117" t="n"/>
      <c r="B141" s="118" t="n"/>
      <c r="C141" s="115">
        <f>IF(OR(B141="",B140=""),"",B141/B140-1)</f>
        <v/>
      </c>
      <c r="D141" s="115">
        <f>IF(B141="","",IFERROR(B141/INDEX($B$2:$B$400,MATCH(DATE(YEAR(A141)-1,12,1),$A$2:$A$400,0))-1,""))</f>
        <v/>
      </c>
      <c r="E141" s="115">
        <f>IF(B141="","",IFERROR(B141/INDEX($B$2:$B$400,MATCH(DATE(YEAR(A141)-1,MONTH(A141),1),$A$2:$A$400,0))-1,""))</f>
        <v/>
      </c>
    </row>
    <row r="142">
      <c r="A142" s="117" t="n"/>
      <c r="B142" s="118" t="n"/>
      <c r="C142" s="115">
        <f>IF(OR(B142="",B141=""),"",B142/B141-1)</f>
        <v/>
      </c>
      <c r="D142" s="115">
        <f>IF(B142="","",IFERROR(B142/INDEX($B$2:$B$400,MATCH(DATE(YEAR(A142)-1,12,1),$A$2:$A$400,0))-1,""))</f>
        <v/>
      </c>
      <c r="E142" s="115">
        <f>IF(B142="","",IFERROR(B142/INDEX($B$2:$B$400,MATCH(DATE(YEAR(A142)-1,MONTH(A142),1),$A$2:$A$400,0))-1,""))</f>
        <v/>
      </c>
    </row>
    <row r="143">
      <c r="A143" s="117" t="n"/>
      <c r="B143" s="118" t="n"/>
      <c r="C143" s="115">
        <f>IF(OR(B143="",B142=""),"",B143/B142-1)</f>
        <v/>
      </c>
      <c r="D143" s="115">
        <f>IF(B143="","",IFERROR(B143/INDEX($B$2:$B$400,MATCH(DATE(YEAR(A143)-1,12,1),$A$2:$A$400,0))-1,""))</f>
        <v/>
      </c>
      <c r="E143" s="115">
        <f>IF(B143="","",IFERROR(B143/INDEX($B$2:$B$400,MATCH(DATE(YEAR(A143)-1,MONTH(A143),1),$A$2:$A$400,0))-1,""))</f>
        <v/>
      </c>
    </row>
    <row r="144">
      <c r="A144" s="117" t="n"/>
      <c r="B144" s="118" t="n"/>
      <c r="C144" s="115">
        <f>IF(OR(B144="",B143=""),"",B144/B143-1)</f>
        <v/>
      </c>
      <c r="D144" s="115">
        <f>IF(B144="","",IFERROR(B144/INDEX($B$2:$B$400,MATCH(DATE(YEAR(A144)-1,12,1),$A$2:$A$400,0))-1,""))</f>
        <v/>
      </c>
      <c r="E144" s="115">
        <f>IF(B144="","",IFERROR(B144/INDEX($B$2:$B$400,MATCH(DATE(YEAR(A144)-1,MONTH(A144),1),$A$2:$A$400,0))-1,""))</f>
        <v/>
      </c>
    </row>
    <row r="145">
      <c r="A145" s="117" t="n"/>
      <c r="B145" s="118" t="n"/>
      <c r="C145" s="115">
        <f>IF(OR(B145="",B144=""),"",B145/B144-1)</f>
        <v/>
      </c>
      <c r="D145" s="115">
        <f>IF(B145="","",IFERROR(B145/INDEX($B$2:$B$400,MATCH(DATE(YEAR(A145)-1,12,1),$A$2:$A$400,0))-1,""))</f>
        <v/>
      </c>
      <c r="E145" s="115">
        <f>IF(B145="","",IFERROR(B145/INDEX($B$2:$B$400,MATCH(DATE(YEAR(A145)-1,MONTH(A145),1),$A$2:$A$400,0))-1,""))</f>
        <v/>
      </c>
    </row>
    <row r="146">
      <c r="A146" s="117" t="n"/>
      <c r="B146" s="118" t="n"/>
      <c r="C146" s="115">
        <f>IF(OR(B146="",B145=""),"",B146/B145-1)</f>
        <v/>
      </c>
      <c r="D146" s="115">
        <f>IF(B146="","",IFERROR(B146/INDEX($B$2:$B$400,MATCH(DATE(YEAR(A146)-1,12,1),$A$2:$A$400,0))-1,""))</f>
        <v/>
      </c>
      <c r="E146" s="115">
        <f>IF(B146="","",IFERROR(B146/INDEX($B$2:$B$400,MATCH(DATE(YEAR(A146)-1,MONTH(A146),1),$A$2:$A$400,0))-1,""))</f>
        <v/>
      </c>
    </row>
    <row r="147">
      <c r="A147" s="117" t="n"/>
      <c r="B147" s="118" t="n"/>
      <c r="C147" s="115">
        <f>IF(OR(B147="",B146=""),"",B147/B146-1)</f>
        <v/>
      </c>
      <c r="D147" s="115">
        <f>IF(B147="","",IFERROR(B147/INDEX($B$2:$B$400,MATCH(DATE(YEAR(A147)-1,12,1),$A$2:$A$400,0))-1,""))</f>
        <v/>
      </c>
      <c r="E147" s="115">
        <f>IF(B147="","",IFERROR(B147/INDEX($B$2:$B$400,MATCH(DATE(YEAR(A147)-1,MONTH(A147),1),$A$2:$A$400,0))-1,""))</f>
        <v/>
      </c>
    </row>
    <row r="148">
      <c r="A148" s="117" t="n"/>
      <c r="B148" s="118" t="n"/>
      <c r="C148" s="115">
        <f>IF(OR(B148="",B147=""),"",B148/B147-1)</f>
        <v/>
      </c>
      <c r="D148" s="115">
        <f>IF(B148="","",IFERROR(B148/INDEX($B$2:$B$400,MATCH(DATE(YEAR(A148)-1,12,1),$A$2:$A$400,0))-1,""))</f>
        <v/>
      </c>
      <c r="E148" s="115">
        <f>IF(B148="","",IFERROR(B148/INDEX($B$2:$B$400,MATCH(DATE(YEAR(A148)-1,MONTH(A148),1),$A$2:$A$400,0))-1,""))</f>
        <v/>
      </c>
    </row>
    <row r="149">
      <c r="A149" s="117" t="n"/>
      <c r="B149" s="118" t="n"/>
      <c r="C149" s="115">
        <f>IF(OR(B149="",B148=""),"",B149/B148-1)</f>
        <v/>
      </c>
      <c r="D149" s="115">
        <f>IF(B149="","",IFERROR(B149/INDEX($B$2:$B$400,MATCH(DATE(YEAR(A149)-1,12,1),$A$2:$A$400,0))-1,""))</f>
        <v/>
      </c>
      <c r="E149" s="115">
        <f>IF(B149="","",IFERROR(B149/INDEX($B$2:$B$400,MATCH(DATE(YEAR(A149)-1,MONTH(A149),1),$A$2:$A$400,0))-1,""))</f>
        <v/>
      </c>
    </row>
    <row r="150">
      <c r="A150" s="117" t="n"/>
      <c r="B150" s="118" t="n"/>
      <c r="C150" s="115">
        <f>IF(OR(B150="",B149=""),"",B150/B149-1)</f>
        <v/>
      </c>
      <c r="D150" s="115">
        <f>IF(B150="","",IFERROR(B150/INDEX($B$2:$B$400,MATCH(DATE(YEAR(A150)-1,12,1),$A$2:$A$400,0))-1,""))</f>
        <v/>
      </c>
      <c r="E150" s="115">
        <f>IF(B150="","",IFERROR(B150/INDEX($B$2:$B$400,MATCH(DATE(YEAR(A150)-1,MONTH(A150),1),$A$2:$A$400,0))-1,""))</f>
        <v/>
      </c>
    </row>
    <row r="151">
      <c r="A151" s="117" t="n"/>
      <c r="B151" s="118" t="n"/>
      <c r="C151" s="115">
        <f>IF(OR(B151="",B150=""),"",B151/B150-1)</f>
        <v/>
      </c>
      <c r="D151" s="115">
        <f>IF(B151="","",IFERROR(B151/INDEX($B$2:$B$400,MATCH(DATE(YEAR(A151)-1,12,1),$A$2:$A$400,0))-1,""))</f>
        <v/>
      </c>
      <c r="E151" s="115">
        <f>IF(B151="","",IFERROR(B151/INDEX($B$2:$B$400,MATCH(DATE(YEAR(A151)-1,MONTH(A151),1),$A$2:$A$400,0))-1,""))</f>
        <v/>
      </c>
    </row>
    <row r="152">
      <c r="A152" s="117" t="n"/>
      <c r="B152" s="118" t="n"/>
      <c r="C152" s="115">
        <f>IF(OR(B152="",B151=""),"",B152/B151-1)</f>
        <v/>
      </c>
      <c r="D152" s="115">
        <f>IF(B152="","",IFERROR(B152/INDEX($B$2:$B$400,MATCH(DATE(YEAR(A152)-1,12,1),$A$2:$A$400,0))-1,""))</f>
        <v/>
      </c>
      <c r="E152" s="115">
        <f>IF(B152="","",IFERROR(B152/INDEX($B$2:$B$400,MATCH(DATE(YEAR(A152)-1,MONTH(A152),1),$A$2:$A$400,0))-1,""))</f>
        <v/>
      </c>
    </row>
    <row r="153">
      <c r="A153" s="117" t="n"/>
      <c r="B153" s="118" t="n"/>
      <c r="C153" s="115">
        <f>IF(OR(B153="",B152=""),"",B153/B152-1)</f>
        <v/>
      </c>
      <c r="D153" s="115">
        <f>IF(B153="","",IFERROR(B153/INDEX($B$2:$B$400,MATCH(DATE(YEAR(A153)-1,12,1),$A$2:$A$400,0))-1,""))</f>
        <v/>
      </c>
      <c r="E153" s="115">
        <f>IF(B153="","",IFERROR(B153/INDEX($B$2:$B$400,MATCH(DATE(YEAR(A153)-1,MONTH(A153),1),$A$2:$A$400,0))-1,""))</f>
        <v/>
      </c>
    </row>
    <row r="154">
      <c r="A154" s="117" t="n"/>
      <c r="B154" s="118" t="n"/>
      <c r="C154" s="115">
        <f>IF(OR(B154="",B153=""),"",B154/B153-1)</f>
        <v/>
      </c>
      <c r="D154" s="115">
        <f>IF(B154="","",IFERROR(B154/INDEX($B$2:$B$400,MATCH(DATE(YEAR(A154)-1,12,1),$A$2:$A$400,0))-1,""))</f>
        <v/>
      </c>
      <c r="E154" s="115">
        <f>IF(B154="","",IFERROR(B154/INDEX($B$2:$B$400,MATCH(DATE(YEAR(A154)-1,MONTH(A154),1),$A$2:$A$400,0))-1,""))</f>
        <v/>
      </c>
    </row>
    <row r="155">
      <c r="A155" s="117" t="n"/>
      <c r="B155" s="118" t="n"/>
      <c r="C155" s="115">
        <f>IF(OR(B155="",B154=""),"",B155/B154-1)</f>
        <v/>
      </c>
      <c r="D155" s="115">
        <f>IF(B155="","",IFERROR(B155/INDEX($B$2:$B$400,MATCH(DATE(YEAR(A155)-1,12,1),$A$2:$A$400,0))-1,""))</f>
        <v/>
      </c>
      <c r="E155" s="115">
        <f>IF(B155="","",IFERROR(B155/INDEX($B$2:$B$400,MATCH(DATE(YEAR(A155)-1,MONTH(A155),1),$A$2:$A$400,0))-1,""))</f>
        <v/>
      </c>
    </row>
    <row r="156">
      <c r="A156" s="117" t="n"/>
      <c r="B156" s="118" t="n"/>
      <c r="C156" s="115">
        <f>IF(OR(B156="",B155=""),"",B156/B155-1)</f>
        <v/>
      </c>
      <c r="D156" s="115">
        <f>IF(B156="","",IFERROR(B156/INDEX($B$2:$B$400,MATCH(DATE(YEAR(A156)-1,12,1),$A$2:$A$400,0))-1,""))</f>
        <v/>
      </c>
      <c r="E156" s="115">
        <f>IF(B156="","",IFERROR(B156/INDEX($B$2:$B$400,MATCH(DATE(YEAR(A156)-1,MONTH(A156),1),$A$2:$A$400,0))-1,""))</f>
        <v/>
      </c>
    </row>
    <row r="157">
      <c r="A157" s="117" t="n"/>
      <c r="B157" s="118" t="n"/>
      <c r="C157" s="115">
        <f>IF(OR(B157="",B156=""),"",B157/B156-1)</f>
        <v/>
      </c>
      <c r="D157" s="115">
        <f>IF(B157="","",IFERROR(B157/INDEX($B$2:$B$400,MATCH(DATE(YEAR(A157)-1,12,1),$A$2:$A$400,0))-1,""))</f>
        <v/>
      </c>
      <c r="E157" s="115">
        <f>IF(B157="","",IFERROR(B157/INDEX($B$2:$B$400,MATCH(DATE(YEAR(A157)-1,MONTH(A157),1),$A$2:$A$400,0))-1,""))</f>
        <v/>
      </c>
    </row>
    <row r="158">
      <c r="A158" s="117" t="n"/>
      <c r="B158" s="118" t="n"/>
      <c r="C158" s="115">
        <f>IF(OR(B158="",B157=""),"",B158/B157-1)</f>
        <v/>
      </c>
      <c r="D158" s="115">
        <f>IF(B158="","",IFERROR(B158/INDEX($B$2:$B$400,MATCH(DATE(YEAR(A158)-1,12,1),$A$2:$A$400,0))-1,""))</f>
        <v/>
      </c>
      <c r="E158" s="115">
        <f>IF(B158="","",IFERROR(B158/INDEX($B$2:$B$400,MATCH(DATE(YEAR(A158)-1,MONTH(A158),1),$A$2:$A$400,0))-1,""))</f>
        <v/>
      </c>
    </row>
    <row r="159">
      <c r="A159" s="117" t="n"/>
      <c r="B159" s="118" t="n"/>
      <c r="C159" s="115">
        <f>IF(OR(B159="",B158=""),"",B159/B158-1)</f>
        <v/>
      </c>
      <c r="D159" s="115">
        <f>IF(B159="","",IFERROR(B159/INDEX($B$2:$B$400,MATCH(DATE(YEAR(A159)-1,12,1),$A$2:$A$400,0))-1,""))</f>
        <v/>
      </c>
      <c r="E159" s="115">
        <f>IF(B159="","",IFERROR(B159/INDEX($B$2:$B$400,MATCH(DATE(YEAR(A159)-1,MONTH(A159),1),$A$2:$A$400,0))-1,""))</f>
        <v/>
      </c>
    </row>
    <row r="160">
      <c r="A160" s="117" t="n"/>
      <c r="B160" s="118" t="n"/>
      <c r="C160" s="115">
        <f>IF(OR(B160="",B159=""),"",B160/B159-1)</f>
        <v/>
      </c>
      <c r="D160" s="115">
        <f>IF(B160="","",IFERROR(B160/INDEX($B$2:$B$400,MATCH(DATE(YEAR(A160)-1,12,1),$A$2:$A$400,0))-1,""))</f>
        <v/>
      </c>
      <c r="E160" s="115">
        <f>IF(B160="","",IFERROR(B160/INDEX($B$2:$B$400,MATCH(DATE(YEAR(A160)-1,MONTH(A160),1),$A$2:$A$400,0))-1,""))</f>
        <v/>
      </c>
    </row>
    <row r="161">
      <c r="A161" s="117" t="n"/>
      <c r="B161" s="118" t="n"/>
      <c r="C161" s="115">
        <f>IF(OR(B161="",B160=""),"",B161/B160-1)</f>
        <v/>
      </c>
      <c r="D161" s="115">
        <f>IF(B161="","",IFERROR(B161/INDEX($B$2:$B$400,MATCH(DATE(YEAR(A161)-1,12,1),$A$2:$A$400,0))-1,""))</f>
        <v/>
      </c>
      <c r="E161" s="115">
        <f>IF(B161="","",IFERROR(B161/INDEX($B$2:$B$400,MATCH(DATE(YEAR(A161)-1,MONTH(A161),1),$A$2:$A$400,0))-1,""))</f>
        <v/>
      </c>
    </row>
    <row r="162">
      <c r="A162" s="117" t="n"/>
      <c r="B162" s="118" t="n"/>
      <c r="C162" s="115">
        <f>IF(OR(B162="",B161=""),"",B162/B161-1)</f>
        <v/>
      </c>
      <c r="D162" s="115">
        <f>IF(B162="","",IFERROR(B162/INDEX($B$2:$B$400,MATCH(DATE(YEAR(A162)-1,12,1),$A$2:$A$400,0))-1,""))</f>
        <v/>
      </c>
      <c r="E162" s="115">
        <f>IF(B162="","",IFERROR(B162/INDEX($B$2:$B$400,MATCH(DATE(YEAR(A162)-1,MONTH(A162),1),$A$2:$A$400,0))-1,""))</f>
        <v/>
      </c>
    </row>
    <row r="163">
      <c r="A163" s="117" t="n"/>
      <c r="B163" s="118" t="n"/>
      <c r="C163" s="115">
        <f>IF(OR(B163="",B162=""),"",B163/B162-1)</f>
        <v/>
      </c>
      <c r="D163" s="115">
        <f>IF(B163="","",IFERROR(B163/INDEX($B$2:$B$400,MATCH(DATE(YEAR(A163)-1,12,1),$A$2:$A$400,0))-1,""))</f>
        <v/>
      </c>
      <c r="E163" s="115">
        <f>IF(B163="","",IFERROR(B163/INDEX($B$2:$B$400,MATCH(DATE(YEAR(A163)-1,MONTH(A163),1),$A$2:$A$400,0))-1,""))</f>
        <v/>
      </c>
    </row>
    <row r="164">
      <c r="A164" s="117" t="n"/>
      <c r="B164" s="118" t="n"/>
      <c r="C164" s="115">
        <f>IF(OR(B164="",B163=""),"",B164/B163-1)</f>
        <v/>
      </c>
      <c r="D164" s="115">
        <f>IF(B164="","",IFERROR(B164/INDEX($B$2:$B$400,MATCH(DATE(YEAR(A164)-1,12,1),$A$2:$A$400,0))-1,""))</f>
        <v/>
      </c>
      <c r="E164" s="115">
        <f>IF(B164="","",IFERROR(B164/INDEX($B$2:$B$400,MATCH(DATE(YEAR(A164)-1,MONTH(A164),1),$A$2:$A$400,0))-1,""))</f>
        <v/>
      </c>
    </row>
    <row r="165">
      <c r="A165" s="117" t="n"/>
      <c r="B165" s="118" t="n"/>
      <c r="C165" s="115">
        <f>IF(OR(B165="",B164=""),"",B165/B164-1)</f>
        <v/>
      </c>
      <c r="D165" s="115">
        <f>IF(B165="","",IFERROR(B165/INDEX($B$2:$B$400,MATCH(DATE(YEAR(A165)-1,12,1),$A$2:$A$400,0))-1,""))</f>
        <v/>
      </c>
      <c r="E165" s="115">
        <f>IF(B165="","",IFERROR(B165/INDEX($B$2:$B$400,MATCH(DATE(YEAR(A165)-1,MONTH(A165),1),$A$2:$A$400,0))-1,""))</f>
        <v/>
      </c>
    </row>
    <row r="166">
      <c r="A166" s="117" t="n"/>
      <c r="B166" s="118" t="n"/>
      <c r="C166" s="115">
        <f>IF(OR(B166="",B165=""),"",B166/B165-1)</f>
        <v/>
      </c>
      <c r="D166" s="115">
        <f>IF(B166="","",IFERROR(B166/INDEX($B$2:$B$400,MATCH(DATE(YEAR(A166)-1,12,1),$A$2:$A$400,0))-1,""))</f>
        <v/>
      </c>
      <c r="E166" s="115">
        <f>IF(B166="","",IFERROR(B166/INDEX($B$2:$B$400,MATCH(DATE(YEAR(A166)-1,MONTH(A166),1),$A$2:$A$400,0))-1,""))</f>
        <v/>
      </c>
    </row>
    <row r="167">
      <c r="A167" s="117" t="n"/>
      <c r="B167" s="118" t="n"/>
      <c r="C167" s="115">
        <f>IF(OR(B167="",B166=""),"",B167/B166-1)</f>
        <v/>
      </c>
      <c r="D167" s="115">
        <f>IF(B167="","",IFERROR(B167/INDEX($B$2:$B$400,MATCH(DATE(YEAR(A167)-1,12,1),$A$2:$A$400,0))-1,""))</f>
        <v/>
      </c>
      <c r="E167" s="115">
        <f>IF(B167="","",IFERROR(B167/INDEX($B$2:$B$400,MATCH(DATE(YEAR(A167)-1,MONTH(A167),1),$A$2:$A$400,0))-1,""))</f>
        <v/>
      </c>
    </row>
    <row r="168">
      <c r="A168" s="117" t="n"/>
      <c r="B168" s="118" t="n"/>
      <c r="C168" s="115">
        <f>IF(OR(B168="",B167=""),"",B168/B167-1)</f>
        <v/>
      </c>
      <c r="D168" s="115">
        <f>IF(B168="","",IFERROR(B168/INDEX($B$2:$B$400,MATCH(DATE(YEAR(A168)-1,12,1),$A$2:$A$400,0))-1,""))</f>
        <v/>
      </c>
      <c r="E168" s="115">
        <f>IF(B168="","",IFERROR(B168/INDEX($B$2:$B$400,MATCH(DATE(YEAR(A168)-1,MONTH(A168),1),$A$2:$A$400,0))-1,""))</f>
        <v/>
      </c>
    </row>
    <row r="169">
      <c r="A169" s="117" t="n"/>
      <c r="B169" s="118" t="n"/>
      <c r="C169" s="115">
        <f>IF(OR(B169="",B168=""),"",B169/B168-1)</f>
        <v/>
      </c>
      <c r="D169" s="115">
        <f>IF(B169="","",IFERROR(B169/INDEX($B$2:$B$400,MATCH(DATE(YEAR(A169)-1,12,1),$A$2:$A$400,0))-1,""))</f>
        <v/>
      </c>
      <c r="E169" s="115">
        <f>IF(B169="","",IFERROR(B169/INDEX($B$2:$B$400,MATCH(DATE(YEAR(A169)-1,MONTH(A169),1),$A$2:$A$400,0))-1,""))</f>
        <v/>
      </c>
    </row>
    <row r="170">
      <c r="A170" s="117" t="n"/>
      <c r="B170" s="118" t="n"/>
      <c r="C170" s="115">
        <f>IF(OR(B170="",B169=""),"",B170/B169-1)</f>
        <v/>
      </c>
      <c r="D170" s="115">
        <f>IF(B170="","",IFERROR(B170/INDEX($B$2:$B$400,MATCH(DATE(YEAR(A170)-1,12,1),$A$2:$A$400,0))-1,""))</f>
        <v/>
      </c>
      <c r="E170" s="115">
        <f>IF(B170="","",IFERROR(B170/INDEX($B$2:$B$400,MATCH(DATE(YEAR(A170)-1,MONTH(A170),1),$A$2:$A$400,0))-1,""))</f>
        <v/>
      </c>
    </row>
    <row r="171">
      <c r="A171" s="117" t="n"/>
      <c r="B171" s="118" t="n"/>
      <c r="C171" s="115">
        <f>IF(OR(B171="",B170=""),"",B171/B170-1)</f>
        <v/>
      </c>
      <c r="D171" s="115">
        <f>IF(B171="","",IFERROR(B171/INDEX($B$2:$B$400,MATCH(DATE(YEAR(A171)-1,12,1),$A$2:$A$400,0))-1,""))</f>
        <v/>
      </c>
      <c r="E171" s="115">
        <f>IF(B171="","",IFERROR(B171/INDEX($B$2:$B$400,MATCH(DATE(YEAR(A171)-1,MONTH(A171),1),$A$2:$A$400,0))-1,""))</f>
        <v/>
      </c>
    </row>
    <row r="172">
      <c r="A172" s="117" t="n"/>
      <c r="B172" s="118" t="n"/>
      <c r="C172" s="115">
        <f>IF(OR(B172="",B171=""),"",B172/B171-1)</f>
        <v/>
      </c>
      <c r="D172" s="115">
        <f>IF(B172="","",IFERROR(B172/INDEX($B$2:$B$400,MATCH(DATE(YEAR(A172)-1,12,1),$A$2:$A$400,0))-1,""))</f>
        <v/>
      </c>
      <c r="E172" s="115">
        <f>IF(B172="","",IFERROR(B172/INDEX($B$2:$B$400,MATCH(DATE(YEAR(A172)-1,MONTH(A172),1),$A$2:$A$400,0))-1,""))</f>
        <v/>
      </c>
    </row>
    <row r="173">
      <c r="A173" s="117" t="n"/>
      <c r="B173" s="118" t="n"/>
      <c r="C173" s="115">
        <f>IF(OR(B173="",B172=""),"",B173/B172-1)</f>
        <v/>
      </c>
      <c r="D173" s="115">
        <f>IF(B173="","",IFERROR(B173/INDEX($B$2:$B$400,MATCH(DATE(YEAR(A173)-1,12,1),$A$2:$A$400,0))-1,""))</f>
        <v/>
      </c>
      <c r="E173" s="115">
        <f>IF(B173="","",IFERROR(B173/INDEX($B$2:$B$400,MATCH(DATE(YEAR(A173)-1,MONTH(A173),1),$A$2:$A$400,0))-1,""))</f>
        <v/>
      </c>
    </row>
    <row r="174">
      <c r="A174" s="117" t="n"/>
      <c r="B174" s="118" t="n"/>
      <c r="C174" s="115">
        <f>IF(OR(B174="",B173=""),"",B174/B173-1)</f>
        <v/>
      </c>
      <c r="D174" s="115">
        <f>IF(B174="","",IFERROR(B174/INDEX($B$2:$B$400,MATCH(DATE(YEAR(A174)-1,12,1),$A$2:$A$400,0))-1,""))</f>
        <v/>
      </c>
      <c r="E174" s="115">
        <f>IF(B174="","",IFERROR(B174/INDEX($B$2:$B$400,MATCH(DATE(YEAR(A174)-1,MONTH(A174),1),$A$2:$A$400,0))-1,""))</f>
        <v/>
      </c>
    </row>
    <row r="175">
      <c r="A175" s="117" t="n"/>
      <c r="B175" s="118" t="n"/>
      <c r="C175" s="115">
        <f>IF(OR(B175="",B174=""),"",B175/B174-1)</f>
        <v/>
      </c>
      <c r="D175" s="115">
        <f>IF(B175="","",IFERROR(B175/INDEX($B$2:$B$400,MATCH(DATE(YEAR(A175)-1,12,1),$A$2:$A$400,0))-1,""))</f>
        <v/>
      </c>
      <c r="E175" s="115">
        <f>IF(B175="","",IFERROR(B175/INDEX($B$2:$B$400,MATCH(DATE(YEAR(A175)-1,MONTH(A175),1),$A$2:$A$400,0))-1,""))</f>
        <v/>
      </c>
    </row>
    <row r="176">
      <c r="A176" s="117" t="n"/>
      <c r="B176" s="118" t="n"/>
      <c r="C176" s="115">
        <f>IF(OR(B176="",B175=""),"",B176/B175-1)</f>
        <v/>
      </c>
      <c r="D176" s="115">
        <f>IF(B176="","",IFERROR(B176/INDEX($B$2:$B$400,MATCH(DATE(YEAR(A176)-1,12,1),$A$2:$A$400,0))-1,""))</f>
        <v/>
      </c>
      <c r="E176" s="115">
        <f>IF(B176="","",IFERROR(B176/INDEX($B$2:$B$400,MATCH(DATE(YEAR(A176)-1,MONTH(A176),1),$A$2:$A$400,0))-1,""))</f>
        <v/>
      </c>
    </row>
    <row r="177">
      <c r="A177" s="117" t="n"/>
      <c r="B177" s="118" t="n"/>
      <c r="C177" s="115">
        <f>IF(OR(B177="",B176=""),"",B177/B176-1)</f>
        <v/>
      </c>
      <c r="D177" s="115">
        <f>IF(B177="","",IFERROR(B177/INDEX($B$2:$B$400,MATCH(DATE(YEAR(A177)-1,12,1),$A$2:$A$400,0))-1,""))</f>
        <v/>
      </c>
      <c r="E177" s="115">
        <f>IF(B177="","",IFERROR(B177/INDEX($B$2:$B$400,MATCH(DATE(YEAR(A177)-1,MONTH(A177),1),$A$2:$A$400,0))-1,""))</f>
        <v/>
      </c>
    </row>
    <row r="178">
      <c r="A178" s="117" t="n"/>
      <c r="B178" s="118" t="n"/>
      <c r="C178" s="115">
        <f>IF(OR(B178="",B177=""),"",B178/B177-1)</f>
        <v/>
      </c>
      <c r="D178" s="115">
        <f>IF(B178="","",IFERROR(B178/INDEX($B$2:$B$400,MATCH(DATE(YEAR(A178)-1,12,1),$A$2:$A$400,0))-1,""))</f>
        <v/>
      </c>
      <c r="E178" s="115">
        <f>IF(B178="","",IFERROR(B178/INDEX($B$2:$B$400,MATCH(DATE(YEAR(A178)-1,MONTH(A178),1),$A$2:$A$400,0))-1,""))</f>
        <v/>
      </c>
    </row>
    <row r="179">
      <c r="A179" s="117" t="n"/>
      <c r="B179" s="118" t="n"/>
      <c r="C179" s="115">
        <f>IF(OR(B179="",B178=""),"",B179/B178-1)</f>
        <v/>
      </c>
      <c r="D179" s="115">
        <f>IF(B179="","",IFERROR(B179/INDEX($B$2:$B$400,MATCH(DATE(YEAR(A179)-1,12,1),$A$2:$A$400,0))-1,""))</f>
        <v/>
      </c>
      <c r="E179" s="115">
        <f>IF(B179="","",IFERROR(B179/INDEX($B$2:$B$400,MATCH(DATE(YEAR(A179)-1,MONTH(A179),1),$A$2:$A$400,0))-1,""))</f>
        <v/>
      </c>
    </row>
    <row r="180">
      <c r="A180" s="117" t="n"/>
      <c r="B180" s="118" t="n"/>
      <c r="C180" s="115">
        <f>IF(OR(B180="",B179=""),"",B180/B179-1)</f>
        <v/>
      </c>
      <c r="D180" s="115">
        <f>IF(B180="","",IFERROR(B180/INDEX($B$2:$B$400,MATCH(DATE(YEAR(A180)-1,12,1),$A$2:$A$400,0))-1,""))</f>
        <v/>
      </c>
      <c r="E180" s="115">
        <f>IF(B180="","",IFERROR(B180/INDEX($B$2:$B$400,MATCH(DATE(YEAR(A180)-1,MONTH(A180),1),$A$2:$A$400,0))-1,""))</f>
        <v/>
      </c>
    </row>
    <row r="181">
      <c r="A181" s="117" t="n"/>
      <c r="B181" s="118" t="n"/>
      <c r="C181" s="115">
        <f>IF(OR(B181="",B180=""),"",B181/B180-1)</f>
        <v/>
      </c>
      <c r="D181" s="115">
        <f>IF(B181="","",IFERROR(B181/INDEX($B$2:$B$400,MATCH(DATE(YEAR(A181)-1,12,1),$A$2:$A$400,0))-1,""))</f>
        <v/>
      </c>
      <c r="E181" s="115">
        <f>IF(B181="","",IFERROR(B181/INDEX($B$2:$B$400,MATCH(DATE(YEAR(A181)-1,MONTH(A181),1),$A$2:$A$400,0))-1,""))</f>
        <v/>
      </c>
    </row>
    <row r="182">
      <c r="A182" s="117" t="n"/>
      <c r="B182" s="118" t="n"/>
      <c r="C182" s="115">
        <f>IF(OR(B182="",B181=""),"",B182/B181-1)</f>
        <v/>
      </c>
      <c r="D182" s="115">
        <f>IF(B182="","",IFERROR(B182/INDEX($B$2:$B$400,MATCH(DATE(YEAR(A182)-1,12,1),$A$2:$A$400,0))-1,""))</f>
        <v/>
      </c>
      <c r="E182" s="115">
        <f>IF(B182="","",IFERROR(B182/INDEX($B$2:$B$400,MATCH(DATE(YEAR(A182)-1,MONTH(A182),1),$A$2:$A$400,0))-1,""))</f>
        <v/>
      </c>
    </row>
    <row r="183">
      <c r="A183" s="117" t="n"/>
      <c r="B183" s="118" t="n"/>
      <c r="C183" s="115">
        <f>IF(OR(B183="",B182=""),"",B183/B182-1)</f>
        <v/>
      </c>
      <c r="D183" s="115">
        <f>IF(B183="","",IFERROR(B183/INDEX($B$2:$B$400,MATCH(DATE(YEAR(A183)-1,12,1),$A$2:$A$400,0))-1,""))</f>
        <v/>
      </c>
      <c r="E183" s="115">
        <f>IF(B183="","",IFERROR(B183/INDEX($B$2:$B$400,MATCH(DATE(YEAR(A183)-1,MONTH(A183),1),$A$2:$A$400,0))-1,""))</f>
        <v/>
      </c>
    </row>
    <row r="184">
      <c r="A184" s="117" t="n"/>
      <c r="B184" s="118" t="n"/>
      <c r="C184" s="115">
        <f>IF(OR(B184="",B183=""),"",B184/B183-1)</f>
        <v/>
      </c>
      <c r="D184" s="115">
        <f>IF(B184="","",IFERROR(B184/INDEX($B$2:$B$400,MATCH(DATE(YEAR(A184)-1,12,1),$A$2:$A$400,0))-1,""))</f>
        <v/>
      </c>
      <c r="E184" s="115">
        <f>IF(B184="","",IFERROR(B184/INDEX($B$2:$B$400,MATCH(DATE(YEAR(A184)-1,MONTH(A184),1),$A$2:$A$400,0))-1,""))</f>
        <v/>
      </c>
    </row>
    <row r="185">
      <c r="A185" s="117" t="n"/>
      <c r="B185" s="118" t="n"/>
      <c r="C185" s="115">
        <f>IF(OR(B185="",B184=""),"",B185/B184-1)</f>
        <v/>
      </c>
      <c r="D185" s="115">
        <f>IF(B185="","",IFERROR(B185/INDEX($B$2:$B$400,MATCH(DATE(YEAR(A185)-1,12,1),$A$2:$A$400,0))-1,""))</f>
        <v/>
      </c>
      <c r="E185" s="115">
        <f>IF(B185="","",IFERROR(B185/INDEX($B$2:$B$400,MATCH(DATE(YEAR(A185)-1,MONTH(A185),1),$A$2:$A$400,0))-1,""))</f>
        <v/>
      </c>
    </row>
    <row r="186">
      <c r="A186" s="117" t="n"/>
      <c r="B186" s="118" t="n"/>
      <c r="C186" s="115">
        <f>IF(OR(B186="",B185=""),"",B186/B185-1)</f>
        <v/>
      </c>
      <c r="D186" s="115">
        <f>IF(B186="","",IFERROR(B186/INDEX($B$2:$B$400,MATCH(DATE(YEAR(A186)-1,12,1),$A$2:$A$400,0))-1,""))</f>
        <v/>
      </c>
      <c r="E186" s="115">
        <f>IF(B186="","",IFERROR(B186/INDEX($B$2:$B$400,MATCH(DATE(YEAR(A186)-1,MONTH(A186),1),$A$2:$A$400,0))-1,""))</f>
        <v/>
      </c>
    </row>
    <row r="187">
      <c r="A187" s="117" t="n"/>
      <c r="B187" s="118" t="n"/>
      <c r="C187" s="115">
        <f>IF(OR(B187="",B186=""),"",B187/B186-1)</f>
        <v/>
      </c>
      <c r="D187" s="115">
        <f>IF(B187="","",IFERROR(B187/INDEX($B$2:$B$400,MATCH(DATE(YEAR(A187)-1,12,1),$A$2:$A$400,0))-1,""))</f>
        <v/>
      </c>
      <c r="E187" s="115">
        <f>IF(B187="","",IFERROR(B187/INDEX($B$2:$B$400,MATCH(DATE(YEAR(A187)-1,MONTH(A187),1),$A$2:$A$400,0))-1,""))</f>
        <v/>
      </c>
    </row>
    <row r="188">
      <c r="A188" s="117" t="n"/>
      <c r="B188" s="118" t="n"/>
      <c r="C188" s="115">
        <f>IF(OR(B188="",B187=""),"",B188/B187-1)</f>
        <v/>
      </c>
      <c r="D188" s="115">
        <f>IF(B188="","",IFERROR(B188/INDEX($B$2:$B$400,MATCH(DATE(YEAR(A188)-1,12,1),$A$2:$A$400,0))-1,""))</f>
        <v/>
      </c>
      <c r="E188" s="115">
        <f>IF(B188="","",IFERROR(B188/INDEX($B$2:$B$400,MATCH(DATE(YEAR(A188)-1,MONTH(A188),1),$A$2:$A$400,0))-1,""))</f>
        <v/>
      </c>
    </row>
    <row r="189">
      <c r="A189" s="117" t="n"/>
      <c r="B189" s="118" t="n"/>
      <c r="C189" s="115">
        <f>IF(OR(B189="",B188=""),"",B189/B188-1)</f>
        <v/>
      </c>
      <c r="D189" s="115">
        <f>IF(B189="","",IFERROR(B189/INDEX($B$2:$B$400,MATCH(DATE(YEAR(A189)-1,12,1),$A$2:$A$400,0))-1,""))</f>
        <v/>
      </c>
      <c r="E189" s="115">
        <f>IF(B189="","",IFERROR(B189/INDEX($B$2:$B$400,MATCH(DATE(YEAR(A189)-1,MONTH(A189),1),$A$2:$A$400,0))-1,""))</f>
        <v/>
      </c>
    </row>
    <row r="190">
      <c r="A190" s="117" t="n"/>
      <c r="B190" s="118" t="n"/>
      <c r="C190" s="115">
        <f>IF(OR(B190="",B189=""),"",B190/B189-1)</f>
        <v/>
      </c>
      <c r="D190" s="115">
        <f>IF(B190="","",IFERROR(B190/INDEX($B$2:$B$400,MATCH(DATE(YEAR(A190)-1,12,1),$A$2:$A$400,0))-1,""))</f>
        <v/>
      </c>
      <c r="E190" s="115">
        <f>IF(B190="","",IFERROR(B190/INDEX($B$2:$B$400,MATCH(DATE(YEAR(A190)-1,MONTH(A190),1),$A$2:$A$400,0))-1,""))</f>
        <v/>
      </c>
    </row>
    <row r="191">
      <c r="A191" s="117" t="n"/>
      <c r="B191" s="118" t="n"/>
      <c r="C191" s="115">
        <f>IF(OR(B191="",B190=""),"",B191/B190-1)</f>
        <v/>
      </c>
      <c r="D191" s="115">
        <f>IF(B191="","",IFERROR(B191/INDEX($B$2:$B$400,MATCH(DATE(YEAR(A191)-1,12,1),$A$2:$A$400,0))-1,""))</f>
        <v/>
      </c>
      <c r="E191" s="115">
        <f>IF(B191="","",IFERROR(B191/INDEX($B$2:$B$400,MATCH(DATE(YEAR(A191)-1,MONTH(A191),1),$A$2:$A$400,0))-1,""))</f>
        <v/>
      </c>
    </row>
    <row r="192">
      <c r="A192" s="117" t="n"/>
      <c r="B192" s="118" t="n"/>
      <c r="C192" s="115">
        <f>IF(OR(B192="",B191=""),"",B192/B191-1)</f>
        <v/>
      </c>
      <c r="D192" s="115">
        <f>IF(B192="","",IFERROR(B192/INDEX($B$2:$B$400,MATCH(DATE(YEAR(A192)-1,12,1),$A$2:$A$400,0))-1,""))</f>
        <v/>
      </c>
      <c r="E192" s="115">
        <f>IF(B192="","",IFERROR(B192/INDEX($B$2:$B$400,MATCH(DATE(YEAR(A192)-1,MONTH(A192),1),$A$2:$A$400,0))-1,""))</f>
        <v/>
      </c>
    </row>
    <row r="193">
      <c r="A193" s="117" t="n"/>
      <c r="B193" s="118" t="n"/>
      <c r="C193" s="115">
        <f>IF(OR(B193="",B192=""),"",B193/B192-1)</f>
        <v/>
      </c>
      <c r="D193" s="115">
        <f>IF(B193="","",IFERROR(B193/INDEX($B$2:$B$400,MATCH(DATE(YEAR(A193)-1,12,1),$A$2:$A$400,0))-1,""))</f>
        <v/>
      </c>
      <c r="E193" s="115">
        <f>IF(B193="","",IFERROR(B193/INDEX($B$2:$B$400,MATCH(DATE(YEAR(A193)-1,MONTH(A193),1),$A$2:$A$400,0))-1,""))</f>
        <v/>
      </c>
    </row>
    <row r="194">
      <c r="A194" s="117" t="n"/>
      <c r="B194" s="118" t="n"/>
      <c r="C194" s="115">
        <f>IF(OR(B194="",B193=""),"",B194/B193-1)</f>
        <v/>
      </c>
      <c r="D194" s="115">
        <f>IF(B194="","",IFERROR(B194/INDEX($B$2:$B$400,MATCH(DATE(YEAR(A194)-1,12,1),$A$2:$A$400,0))-1,""))</f>
        <v/>
      </c>
      <c r="E194" s="115">
        <f>IF(B194="","",IFERROR(B194/INDEX($B$2:$B$400,MATCH(DATE(YEAR(A194)-1,MONTH(A194),1),$A$2:$A$400,0))-1,""))</f>
        <v/>
      </c>
    </row>
    <row r="195">
      <c r="A195" s="117" t="n"/>
      <c r="B195" s="118" t="n"/>
      <c r="C195" s="115">
        <f>IF(OR(B195="",B194=""),"",B195/B194-1)</f>
        <v/>
      </c>
      <c r="D195" s="115">
        <f>IF(B195="","",IFERROR(B195/INDEX($B$2:$B$400,MATCH(DATE(YEAR(A195)-1,12,1),$A$2:$A$400,0))-1,""))</f>
        <v/>
      </c>
      <c r="E195" s="115">
        <f>IF(B195="","",IFERROR(B195/INDEX($B$2:$B$400,MATCH(DATE(YEAR(A195)-1,MONTH(A195),1),$A$2:$A$400,0))-1,""))</f>
        <v/>
      </c>
    </row>
    <row r="196">
      <c r="A196" s="117" t="n"/>
      <c r="B196" s="118" t="n"/>
      <c r="C196" s="115">
        <f>IF(OR(B196="",B195=""),"",B196/B195-1)</f>
        <v/>
      </c>
      <c r="D196" s="115">
        <f>IF(B196="","",IFERROR(B196/INDEX($B$2:$B$400,MATCH(DATE(YEAR(A196)-1,12,1),$A$2:$A$400,0))-1,""))</f>
        <v/>
      </c>
      <c r="E196" s="115">
        <f>IF(B196="","",IFERROR(B196/INDEX($B$2:$B$400,MATCH(DATE(YEAR(A196)-1,MONTH(A196),1),$A$2:$A$400,0))-1,""))</f>
        <v/>
      </c>
    </row>
    <row r="197">
      <c r="A197" s="117" t="n"/>
      <c r="B197" s="118" t="n"/>
      <c r="C197" s="115">
        <f>IF(OR(B197="",B196=""),"",B197/B196-1)</f>
        <v/>
      </c>
      <c r="D197" s="115">
        <f>IF(B197="","",IFERROR(B197/INDEX($B$2:$B$400,MATCH(DATE(YEAR(A197)-1,12,1),$A$2:$A$400,0))-1,""))</f>
        <v/>
      </c>
      <c r="E197" s="115">
        <f>IF(B197="","",IFERROR(B197/INDEX($B$2:$B$400,MATCH(DATE(YEAR(A197)-1,MONTH(A197),1),$A$2:$A$400,0))-1,""))</f>
        <v/>
      </c>
    </row>
    <row r="198">
      <c r="A198" s="117" t="n"/>
      <c r="B198" s="118" t="n"/>
      <c r="C198" s="115">
        <f>IF(OR(B198="",B197=""),"",B198/B197-1)</f>
        <v/>
      </c>
      <c r="D198" s="115">
        <f>IF(B198="","",IFERROR(B198/INDEX($B$2:$B$400,MATCH(DATE(YEAR(A198)-1,12,1),$A$2:$A$400,0))-1,""))</f>
        <v/>
      </c>
      <c r="E198" s="115">
        <f>IF(B198="","",IFERROR(B198/INDEX($B$2:$B$400,MATCH(DATE(YEAR(A198)-1,MONTH(A198),1),$A$2:$A$400,0))-1,""))</f>
        <v/>
      </c>
    </row>
    <row r="199">
      <c r="A199" s="117" t="n"/>
      <c r="B199" s="118" t="n"/>
      <c r="C199" s="115">
        <f>IF(OR(B199="",B198=""),"",B199/B198-1)</f>
        <v/>
      </c>
      <c r="D199" s="115">
        <f>IF(B199="","",IFERROR(B199/INDEX($B$2:$B$400,MATCH(DATE(YEAR(A199)-1,12,1),$A$2:$A$400,0))-1,""))</f>
        <v/>
      </c>
      <c r="E199" s="115">
        <f>IF(B199="","",IFERROR(B199/INDEX($B$2:$B$400,MATCH(DATE(YEAR(A199)-1,MONTH(A199),1),$A$2:$A$400,0))-1,""))</f>
        <v/>
      </c>
    </row>
    <row r="200">
      <c r="A200" s="117" t="n"/>
      <c r="B200" s="118" t="n"/>
      <c r="C200" s="115">
        <f>IF(OR(B200="",B199=""),"",B200/B199-1)</f>
        <v/>
      </c>
      <c r="D200" s="115">
        <f>IF(B200="","",IFERROR(B200/INDEX($B$2:$B$400,MATCH(DATE(YEAR(A200)-1,12,1),$A$2:$A$400,0))-1,""))</f>
        <v/>
      </c>
      <c r="E200" s="115">
        <f>IF(B200="","",IFERROR(B200/INDEX($B$2:$B$400,MATCH(DATE(YEAR(A200)-1,MONTH(A200),1),$A$2:$A$400,0))-1,""))</f>
        <v/>
      </c>
    </row>
    <row r="201">
      <c r="A201" s="117" t="n"/>
      <c r="B201" s="118" t="n"/>
      <c r="C201" s="115">
        <f>IF(OR(B201="",B200=""),"",B201/B200-1)</f>
        <v/>
      </c>
      <c r="D201" s="115">
        <f>IF(B201="","",IFERROR(B201/INDEX($B$2:$B$400,MATCH(DATE(YEAR(A201)-1,12,1),$A$2:$A$400,0))-1,""))</f>
        <v/>
      </c>
      <c r="E201" s="115">
        <f>IF(B201="","",IFERROR(B201/INDEX($B$2:$B$400,MATCH(DATE(YEAR(A201)-1,MONTH(A201),1),$A$2:$A$400,0))-1,""))</f>
        <v/>
      </c>
    </row>
    <row r="202">
      <c r="A202" s="117" t="n"/>
      <c r="B202" s="118" t="n"/>
      <c r="C202" s="115">
        <f>IF(OR(B202="",B201=""),"",B202/B201-1)</f>
        <v/>
      </c>
      <c r="D202" s="115">
        <f>IF(B202="","",IFERROR(B202/INDEX($B$2:$B$400,MATCH(DATE(YEAR(A202)-1,12,1),$A$2:$A$400,0))-1,""))</f>
        <v/>
      </c>
      <c r="E202" s="115">
        <f>IF(B202="","",IFERROR(B202/INDEX($B$2:$B$400,MATCH(DATE(YEAR(A202)-1,MONTH(A202),1),$A$2:$A$400,0))-1,""))</f>
        <v/>
      </c>
    </row>
    <row r="203">
      <c r="A203" s="117" t="n"/>
      <c r="B203" s="118" t="n"/>
      <c r="C203" s="115">
        <f>IF(OR(B203="",B202=""),"",B203/B202-1)</f>
        <v/>
      </c>
      <c r="D203" s="115">
        <f>IF(B203="","",IFERROR(B203/INDEX($B$2:$B$400,MATCH(DATE(YEAR(A203)-1,12,1),$A$2:$A$400,0))-1,""))</f>
        <v/>
      </c>
      <c r="E203" s="115">
        <f>IF(B203="","",IFERROR(B203/INDEX($B$2:$B$400,MATCH(DATE(YEAR(A203)-1,MONTH(A203),1),$A$2:$A$400,0))-1,""))</f>
        <v/>
      </c>
    </row>
    <row r="204">
      <c r="A204" s="117" t="n"/>
      <c r="B204" s="118" t="n"/>
      <c r="C204" s="115">
        <f>IF(OR(B204="",B203=""),"",B204/B203-1)</f>
        <v/>
      </c>
      <c r="D204" s="115">
        <f>IF(B204="","",IFERROR(B204/INDEX($B$2:$B$400,MATCH(DATE(YEAR(A204)-1,12,1),$A$2:$A$400,0))-1,""))</f>
        <v/>
      </c>
      <c r="E204" s="115">
        <f>IF(B204="","",IFERROR(B204/INDEX($B$2:$B$400,MATCH(DATE(YEAR(A204)-1,MONTH(A204),1),$A$2:$A$400,0))-1,""))</f>
        <v/>
      </c>
    </row>
    <row r="205">
      <c r="A205" s="117" t="n"/>
      <c r="B205" s="118" t="n"/>
      <c r="C205" s="115">
        <f>IF(OR(B205="",B204=""),"",B205/B204-1)</f>
        <v/>
      </c>
      <c r="D205" s="115">
        <f>IF(B205="","",IFERROR(B205/INDEX($B$2:$B$400,MATCH(DATE(YEAR(A205)-1,12,1),$A$2:$A$400,0))-1,""))</f>
        <v/>
      </c>
      <c r="E205" s="115">
        <f>IF(B205="","",IFERROR(B205/INDEX($B$2:$B$400,MATCH(DATE(YEAR(A205)-1,MONTH(A205),1),$A$2:$A$400,0))-1,""))</f>
        <v/>
      </c>
    </row>
    <row r="206">
      <c r="A206" s="117" t="n"/>
      <c r="B206" s="118" t="n"/>
      <c r="C206" s="115">
        <f>IF(OR(B206="",B205=""),"",B206/B205-1)</f>
        <v/>
      </c>
      <c r="D206" s="115">
        <f>IF(B206="","",IFERROR(B206/INDEX($B$2:$B$400,MATCH(DATE(YEAR(A206)-1,12,1),$A$2:$A$400,0))-1,""))</f>
        <v/>
      </c>
      <c r="E206" s="115">
        <f>IF(B206="","",IFERROR(B206/INDEX($B$2:$B$400,MATCH(DATE(YEAR(A206)-1,MONTH(A206),1),$A$2:$A$400,0))-1,""))</f>
        <v/>
      </c>
    </row>
    <row r="207">
      <c r="A207" s="117" t="n"/>
      <c r="B207" s="118" t="n"/>
      <c r="C207" s="115">
        <f>IF(OR(B207="",B206=""),"",B207/B206-1)</f>
        <v/>
      </c>
      <c r="D207" s="115">
        <f>IF(B207="","",IFERROR(B207/INDEX($B$2:$B$400,MATCH(DATE(YEAR(A207)-1,12,1),$A$2:$A$400,0))-1,""))</f>
        <v/>
      </c>
      <c r="E207" s="115">
        <f>IF(B207="","",IFERROR(B207/INDEX($B$2:$B$400,MATCH(DATE(YEAR(A207)-1,MONTH(A207),1),$A$2:$A$400,0))-1,""))</f>
        <v/>
      </c>
    </row>
    <row r="208">
      <c r="A208" s="117" t="n"/>
      <c r="B208" s="118" t="n"/>
      <c r="C208" s="115">
        <f>IF(OR(B208="",B207=""),"",B208/B207-1)</f>
        <v/>
      </c>
      <c r="D208" s="115">
        <f>IF(B208="","",IFERROR(B208/INDEX($B$2:$B$400,MATCH(DATE(YEAR(A208)-1,12,1),$A$2:$A$400,0))-1,""))</f>
        <v/>
      </c>
      <c r="E208" s="115">
        <f>IF(B208="","",IFERROR(B208/INDEX($B$2:$B$400,MATCH(DATE(YEAR(A208)-1,MONTH(A208),1),$A$2:$A$400,0))-1,""))</f>
        <v/>
      </c>
    </row>
    <row r="209">
      <c r="A209" s="117" t="n"/>
      <c r="B209" s="118" t="n"/>
      <c r="C209" s="115">
        <f>IF(OR(B209="",B208=""),"",B209/B208-1)</f>
        <v/>
      </c>
      <c r="D209" s="115">
        <f>IF(B209="","",IFERROR(B209/INDEX($B$2:$B$400,MATCH(DATE(YEAR(A209)-1,12,1),$A$2:$A$400,0))-1,""))</f>
        <v/>
      </c>
      <c r="E209" s="115">
        <f>IF(B209="","",IFERROR(B209/INDEX($B$2:$B$400,MATCH(DATE(YEAR(A209)-1,MONTH(A209),1),$A$2:$A$400,0))-1,""))</f>
        <v/>
      </c>
    </row>
    <row r="210">
      <c r="A210" s="117" t="n"/>
      <c r="B210" s="118" t="n"/>
      <c r="C210" s="115">
        <f>IF(OR(B210="",B209=""),"",B210/B209-1)</f>
        <v/>
      </c>
      <c r="D210" s="115">
        <f>IF(B210="","",IFERROR(B210/INDEX($B$2:$B$400,MATCH(DATE(YEAR(A210)-1,12,1),$A$2:$A$400,0))-1,""))</f>
        <v/>
      </c>
      <c r="E210" s="115">
        <f>IF(B210="","",IFERROR(B210/INDEX($B$2:$B$400,MATCH(DATE(YEAR(A210)-1,MONTH(A210),1),$A$2:$A$400,0))-1,""))</f>
        <v/>
      </c>
    </row>
    <row r="211">
      <c r="A211" s="117" t="n"/>
      <c r="B211" s="118" t="n"/>
      <c r="C211" s="115">
        <f>IF(OR(B211="",B210=""),"",B211/B210-1)</f>
        <v/>
      </c>
      <c r="D211" s="115">
        <f>IF(B211="","",IFERROR(B211/INDEX($B$2:$B$400,MATCH(DATE(YEAR(A211)-1,12,1),$A$2:$A$400,0))-1,""))</f>
        <v/>
      </c>
      <c r="E211" s="115">
        <f>IF(B211="","",IFERROR(B211/INDEX($B$2:$B$400,MATCH(DATE(YEAR(A211)-1,MONTH(A211),1),$A$2:$A$400,0))-1,""))</f>
        <v/>
      </c>
    </row>
    <row r="212">
      <c r="A212" s="117" t="n"/>
      <c r="B212" s="118" t="n"/>
      <c r="C212" s="115">
        <f>IF(OR(B212="",B211=""),"",B212/B211-1)</f>
        <v/>
      </c>
      <c r="D212" s="115">
        <f>IF(B212="","",IFERROR(B212/INDEX($B$2:$B$400,MATCH(DATE(YEAR(A212)-1,12,1),$A$2:$A$400,0))-1,""))</f>
        <v/>
      </c>
      <c r="E212" s="115">
        <f>IF(B212="","",IFERROR(B212/INDEX($B$2:$B$400,MATCH(DATE(YEAR(A212)-1,MONTH(A212),1),$A$2:$A$400,0))-1,""))</f>
        <v/>
      </c>
    </row>
    <row r="213">
      <c r="A213" s="117" t="n"/>
      <c r="B213" s="118" t="n"/>
      <c r="C213" s="115">
        <f>IF(OR(B213="",B212=""),"",B213/B212-1)</f>
        <v/>
      </c>
      <c r="D213" s="115">
        <f>IF(B213="","",IFERROR(B213/INDEX($B$2:$B$400,MATCH(DATE(YEAR(A213)-1,12,1),$A$2:$A$400,0))-1,""))</f>
        <v/>
      </c>
      <c r="E213" s="115">
        <f>IF(B213="","",IFERROR(B213/INDEX($B$2:$B$400,MATCH(DATE(YEAR(A213)-1,MONTH(A213),1),$A$2:$A$400,0))-1,""))</f>
        <v/>
      </c>
    </row>
    <row r="214">
      <c r="A214" s="117" t="n"/>
      <c r="B214" s="118" t="n"/>
      <c r="C214" s="115">
        <f>IF(OR(B214="",B213=""),"",B214/B213-1)</f>
        <v/>
      </c>
      <c r="D214" s="115">
        <f>IF(B214="","",IFERROR(B214/INDEX($B$2:$B$400,MATCH(DATE(YEAR(A214)-1,12,1),$A$2:$A$400,0))-1,""))</f>
        <v/>
      </c>
      <c r="E214" s="115">
        <f>IF(B214="","",IFERROR(B214/INDEX($B$2:$B$400,MATCH(DATE(YEAR(A214)-1,MONTH(A214),1),$A$2:$A$400,0))-1,""))</f>
        <v/>
      </c>
    </row>
    <row r="215">
      <c r="A215" s="117" t="n"/>
      <c r="B215" s="118" t="n"/>
      <c r="C215" s="115">
        <f>IF(OR(B215="",B214=""),"",B215/B214-1)</f>
        <v/>
      </c>
      <c r="D215" s="115">
        <f>IF(B215="","",IFERROR(B215/INDEX($B$2:$B$400,MATCH(DATE(YEAR(A215)-1,12,1),$A$2:$A$400,0))-1,""))</f>
        <v/>
      </c>
      <c r="E215" s="115">
        <f>IF(B215="","",IFERROR(B215/INDEX($B$2:$B$400,MATCH(DATE(YEAR(A215)-1,MONTH(A215),1),$A$2:$A$400,0))-1,""))</f>
        <v/>
      </c>
    </row>
    <row r="216">
      <c r="A216" s="117" t="n"/>
      <c r="B216" s="118" t="n"/>
      <c r="C216" s="115">
        <f>IF(OR(B216="",B215=""),"",B216/B215-1)</f>
        <v/>
      </c>
      <c r="D216" s="115">
        <f>IF(B216="","",IFERROR(B216/INDEX($B$2:$B$400,MATCH(DATE(YEAR(A216)-1,12,1),$A$2:$A$400,0))-1,""))</f>
        <v/>
      </c>
      <c r="E216" s="115">
        <f>IF(B216="","",IFERROR(B216/INDEX($B$2:$B$400,MATCH(DATE(YEAR(A216)-1,MONTH(A216),1),$A$2:$A$400,0))-1,""))</f>
        <v/>
      </c>
    </row>
    <row r="217">
      <c r="A217" s="117" t="n"/>
      <c r="B217" s="118" t="n"/>
      <c r="C217" s="115">
        <f>IF(OR(B217="",B216=""),"",B217/B216-1)</f>
        <v/>
      </c>
      <c r="D217" s="115">
        <f>IF(B217="","",IFERROR(B217/INDEX($B$2:$B$400,MATCH(DATE(YEAR(A217)-1,12,1),$A$2:$A$400,0))-1,""))</f>
        <v/>
      </c>
      <c r="E217" s="115">
        <f>IF(B217="","",IFERROR(B217/INDEX($B$2:$B$400,MATCH(DATE(YEAR(A217)-1,MONTH(A217),1),$A$2:$A$400,0))-1,""))</f>
        <v/>
      </c>
    </row>
    <row r="218">
      <c r="A218" s="117" t="n"/>
      <c r="B218" s="118" t="n"/>
      <c r="C218" s="115">
        <f>IF(OR(B218="",B217=""),"",B218/B217-1)</f>
        <v/>
      </c>
      <c r="D218" s="115">
        <f>IF(B218="","",IFERROR(B218/INDEX($B$2:$B$400,MATCH(DATE(YEAR(A218)-1,12,1),$A$2:$A$400,0))-1,""))</f>
        <v/>
      </c>
      <c r="E218" s="115">
        <f>IF(B218="","",IFERROR(B218/INDEX($B$2:$B$400,MATCH(DATE(YEAR(A218)-1,MONTH(A218),1),$A$2:$A$400,0))-1,""))</f>
        <v/>
      </c>
    </row>
    <row r="219">
      <c r="A219" s="117" t="n"/>
      <c r="B219" s="118" t="n"/>
      <c r="C219" s="115">
        <f>IF(OR(B219="",B218=""),"",B219/B218-1)</f>
        <v/>
      </c>
      <c r="D219" s="115">
        <f>IF(B219="","",IFERROR(B219/INDEX($B$2:$B$400,MATCH(DATE(YEAR(A219)-1,12,1),$A$2:$A$400,0))-1,""))</f>
        <v/>
      </c>
      <c r="E219" s="115">
        <f>IF(B219="","",IFERROR(B219/INDEX($B$2:$B$400,MATCH(DATE(YEAR(A219)-1,MONTH(A219),1),$A$2:$A$400,0))-1,""))</f>
        <v/>
      </c>
    </row>
    <row r="220">
      <c r="A220" s="117" t="n"/>
      <c r="B220" s="118" t="n"/>
      <c r="C220" s="115">
        <f>IF(OR(B220="",B219=""),"",B220/B219-1)</f>
        <v/>
      </c>
      <c r="D220" s="115">
        <f>IF(B220="","",IFERROR(B220/INDEX($B$2:$B$400,MATCH(DATE(YEAR(A220)-1,12,1),$A$2:$A$400,0))-1,""))</f>
        <v/>
      </c>
      <c r="E220" s="115">
        <f>IF(B220="","",IFERROR(B220/INDEX($B$2:$B$400,MATCH(DATE(YEAR(A220)-1,MONTH(A220),1),$A$2:$A$400,0))-1,""))</f>
        <v/>
      </c>
    </row>
    <row r="221">
      <c r="A221" s="117" t="n"/>
      <c r="B221" s="118" t="n"/>
      <c r="C221" s="115">
        <f>IF(OR(B221="",B220=""),"",B221/B220-1)</f>
        <v/>
      </c>
      <c r="D221" s="115">
        <f>IF(B221="","",IFERROR(B221/INDEX($B$2:$B$400,MATCH(DATE(YEAR(A221)-1,12,1),$A$2:$A$400,0))-1,""))</f>
        <v/>
      </c>
      <c r="E221" s="115">
        <f>IF(B221="","",IFERROR(B221/INDEX($B$2:$B$400,MATCH(DATE(YEAR(A221)-1,MONTH(A221),1),$A$2:$A$400,0))-1,""))</f>
        <v/>
      </c>
    </row>
    <row r="222">
      <c r="A222" s="117" t="n"/>
      <c r="B222" s="118" t="n"/>
      <c r="C222" s="115">
        <f>IF(OR(B222="",B221=""),"",B222/B221-1)</f>
        <v/>
      </c>
      <c r="D222" s="115">
        <f>IF(B222="","",IFERROR(B222/INDEX($B$2:$B$400,MATCH(DATE(YEAR(A222)-1,12,1),$A$2:$A$400,0))-1,""))</f>
        <v/>
      </c>
      <c r="E222" s="115">
        <f>IF(B222="","",IFERROR(B222/INDEX($B$2:$B$400,MATCH(DATE(YEAR(A222)-1,MONTH(A222),1),$A$2:$A$400,0))-1,""))</f>
        <v/>
      </c>
    </row>
    <row r="223">
      <c r="A223" s="117" t="n"/>
      <c r="B223" s="118" t="n"/>
      <c r="C223" s="115">
        <f>IF(OR(B223="",B222=""),"",B223/B222-1)</f>
        <v/>
      </c>
      <c r="D223" s="115">
        <f>IF(B223="","",IFERROR(B223/INDEX($B$2:$B$400,MATCH(DATE(YEAR(A223)-1,12,1),$A$2:$A$400,0))-1,""))</f>
        <v/>
      </c>
      <c r="E223" s="115">
        <f>IF(B223="","",IFERROR(B223/INDEX($B$2:$B$400,MATCH(DATE(YEAR(A223)-1,MONTH(A223),1),$A$2:$A$400,0))-1,""))</f>
        <v/>
      </c>
    </row>
    <row r="224">
      <c r="A224" s="117" t="n"/>
      <c r="B224" s="118" t="n"/>
      <c r="C224" s="115">
        <f>IF(OR(B224="",B223=""),"",B224/B223-1)</f>
        <v/>
      </c>
      <c r="D224" s="115">
        <f>IF(B224="","",IFERROR(B224/INDEX($B$2:$B$400,MATCH(DATE(YEAR(A224)-1,12,1),$A$2:$A$400,0))-1,""))</f>
        <v/>
      </c>
      <c r="E224" s="115">
        <f>IF(B224="","",IFERROR(B224/INDEX($B$2:$B$400,MATCH(DATE(YEAR(A224)-1,MONTH(A224),1),$A$2:$A$400,0))-1,""))</f>
        <v/>
      </c>
    </row>
    <row r="225">
      <c r="A225" s="117" t="n"/>
      <c r="B225" s="118" t="n"/>
      <c r="C225" s="115">
        <f>IF(OR(B225="",B224=""),"",B225/B224-1)</f>
        <v/>
      </c>
      <c r="D225" s="115">
        <f>IF(B225="","",IFERROR(B225/INDEX($B$2:$B$400,MATCH(DATE(YEAR(A225)-1,12,1),$A$2:$A$400,0))-1,""))</f>
        <v/>
      </c>
      <c r="E225" s="115">
        <f>IF(B225="","",IFERROR(B225/INDEX($B$2:$B$400,MATCH(DATE(YEAR(A225)-1,MONTH(A225),1),$A$2:$A$400,0))-1,""))</f>
        <v/>
      </c>
    </row>
    <row r="226">
      <c r="A226" s="117" t="n"/>
      <c r="B226" s="118" t="n"/>
      <c r="C226" s="115">
        <f>IF(OR(B226="",B225=""),"",B226/B225-1)</f>
        <v/>
      </c>
      <c r="D226" s="115">
        <f>IF(B226="","",IFERROR(B226/INDEX($B$2:$B$400,MATCH(DATE(YEAR(A226)-1,12,1),$A$2:$A$400,0))-1,""))</f>
        <v/>
      </c>
      <c r="E226" s="115">
        <f>IF(B226="","",IFERROR(B226/INDEX($B$2:$B$400,MATCH(DATE(YEAR(A226)-1,MONTH(A226),1),$A$2:$A$400,0))-1,""))</f>
        <v/>
      </c>
    </row>
    <row r="227">
      <c r="A227" s="117" t="n"/>
      <c r="B227" s="118" t="n"/>
      <c r="C227" s="115">
        <f>IF(OR(B227="",B226=""),"",B227/B226-1)</f>
        <v/>
      </c>
      <c r="D227" s="115">
        <f>IF(B227="","",IFERROR(B227/INDEX($B$2:$B$400,MATCH(DATE(YEAR(A227)-1,12,1),$A$2:$A$400,0))-1,""))</f>
        <v/>
      </c>
      <c r="E227" s="115">
        <f>IF(B227="","",IFERROR(B227/INDEX($B$2:$B$400,MATCH(DATE(YEAR(A227)-1,MONTH(A227),1),$A$2:$A$400,0))-1,""))</f>
        <v/>
      </c>
    </row>
    <row r="228">
      <c r="A228" s="117" t="n"/>
      <c r="B228" s="118" t="n"/>
      <c r="C228" s="115">
        <f>IF(OR(B228="",B227=""),"",B228/B227-1)</f>
        <v/>
      </c>
      <c r="D228" s="115">
        <f>IF(B228="","",IFERROR(B228/INDEX($B$2:$B$400,MATCH(DATE(YEAR(A228)-1,12,1),$A$2:$A$400,0))-1,""))</f>
        <v/>
      </c>
      <c r="E228" s="115">
        <f>IF(B228="","",IFERROR(B228/INDEX($B$2:$B$400,MATCH(DATE(YEAR(A228)-1,MONTH(A228),1),$A$2:$A$400,0))-1,""))</f>
        <v/>
      </c>
    </row>
    <row r="229">
      <c r="A229" s="117" t="n"/>
      <c r="B229" s="118" t="n"/>
      <c r="C229" s="115">
        <f>IF(OR(B229="",B228=""),"",B229/B228-1)</f>
        <v/>
      </c>
      <c r="D229" s="115">
        <f>IF(B229="","",IFERROR(B229/INDEX($B$2:$B$400,MATCH(DATE(YEAR(A229)-1,12,1),$A$2:$A$400,0))-1,""))</f>
        <v/>
      </c>
      <c r="E229" s="115">
        <f>IF(B229="","",IFERROR(B229/INDEX($B$2:$B$400,MATCH(DATE(YEAR(A229)-1,MONTH(A229),1),$A$2:$A$400,0))-1,""))</f>
        <v/>
      </c>
    </row>
    <row r="230">
      <c r="A230" s="117" t="n"/>
      <c r="B230" s="118" t="n"/>
      <c r="C230" s="115">
        <f>IF(OR(B230="",B229=""),"",B230/B229-1)</f>
        <v/>
      </c>
      <c r="D230" s="115">
        <f>IF(B230="","",IFERROR(B230/INDEX($B$2:$B$400,MATCH(DATE(YEAR(A230)-1,12,1),$A$2:$A$400,0))-1,""))</f>
        <v/>
      </c>
      <c r="E230" s="115">
        <f>IF(B230="","",IFERROR(B230/INDEX($B$2:$B$400,MATCH(DATE(YEAR(A230)-1,MONTH(A230),1),$A$2:$A$400,0))-1,""))</f>
        <v/>
      </c>
    </row>
    <row r="231">
      <c r="A231" s="117" t="n"/>
      <c r="B231" s="118" t="n"/>
      <c r="C231" s="115">
        <f>IF(OR(B231="",B230=""),"",B231/B230-1)</f>
        <v/>
      </c>
      <c r="D231" s="115">
        <f>IF(B231="","",IFERROR(B231/INDEX($B$2:$B$400,MATCH(DATE(YEAR(A231)-1,12,1),$A$2:$A$400,0))-1,""))</f>
        <v/>
      </c>
      <c r="E231" s="115">
        <f>IF(B231="","",IFERROR(B231/INDEX($B$2:$B$400,MATCH(DATE(YEAR(A231)-1,MONTH(A231),1),$A$2:$A$400,0))-1,""))</f>
        <v/>
      </c>
    </row>
    <row r="232">
      <c r="A232" s="117" t="n"/>
      <c r="B232" s="118" t="n"/>
      <c r="C232" s="115">
        <f>IF(OR(B232="",B231=""),"",B232/B231-1)</f>
        <v/>
      </c>
      <c r="D232" s="115">
        <f>IF(B232="","",IFERROR(B232/INDEX($B$2:$B$400,MATCH(DATE(YEAR(A232)-1,12,1),$A$2:$A$400,0))-1,""))</f>
        <v/>
      </c>
      <c r="E232" s="115">
        <f>IF(B232="","",IFERROR(B232/INDEX($B$2:$B$400,MATCH(DATE(YEAR(A232)-1,MONTH(A232),1),$A$2:$A$400,0))-1,""))</f>
        <v/>
      </c>
    </row>
    <row r="233">
      <c r="A233" s="117" t="n"/>
      <c r="B233" s="118" t="n"/>
      <c r="C233" s="115">
        <f>IF(OR(B233="",B232=""),"",B233/B232-1)</f>
        <v/>
      </c>
      <c r="D233" s="115">
        <f>IF(B233="","",IFERROR(B233/INDEX($B$2:$B$400,MATCH(DATE(YEAR(A233)-1,12,1),$A$2:$A$400,0))-1,""))</f>
        <v/>
      </c>
      <c r="E233" s="115">
        <f>IF(B233="","",IFERROR(B233/INDEX($B$2:$B$400,MATCH(DATE(YEAR(A233)-1,MONTH(A233),1),$A$2:$A$400,0))-1,""))</f>
        <v/>
      </c>
    </row>
    <row r="234">
      <c r="A234" s="117" t="n"/>
      <c r="B234" s="118" t="n"/>
      <c r="C234" s="115">
        <f>IF(OR(B234="",B233=""),"",B234/B233-1)</f>
        <v/>
      </c>
      <c r="D234" s="115">
        <f>IF(B234="","",IFERROR(B234/INDEX($B$2:$B$400,MATCH(DATE(YEAR(A234)-1,12,1),$A$2:$A$400,0))-1,""))</f>
        <v/>
      </c>
      <c r="E234" s="115">
        <f>IF(B234="","",IFERROR(B234/INDEX($B$2:$B$400,MATCH(DATE(YEAR(A234)-1,MONTH(A234),1),$A$2:$A$400,0))-1,""))</f>
        <v/>
      </c>
    </row>
    <row r="235">
      <c r="A235" s="117" t="n"/>
      <c r="B235" s="118" t="n"/>
      <c r="C235" s="115">
        <f>IF(OR(B235="",B234=""),"",B235/B234-1)</f>
        <v/>
      </c>
      <c r="D235" s="115">
        <f>IF(B235="","",IFERROR(B235/INDEX($B$2:$B$400,MATCH(DATE(YEAR(A235)-1,12,1),$A$2:$A$400,0))-1,""))</f>
        <v/>
      </c>
      <c r="E235" s="115">
        <f>IF(B235="","",IFERROR(B235/INDEX($B$2:$B$400,MATCH(DATE(YEAR(A235)-1,MONTH(A235),1),$A$2:$A$400,0))-1,""))</f>
        <v/>
      </c>
    </row>
    <row r="236">
      <c r="A236" s="117" t="n"/>
      <c r="B236" s="118" t="n"/>
      <c r="C236" s="115">
        <f>IF(OR(B236="",B235=""),"",B236/B235-1)</f>
        <v/>
      </c>
      <c r="D236" s="115">
        <f>IF(B236="","",IFERROR(B236/INDEX($B$2:$B$400,MATCH(DATE(YEAR(A236)-1,12,1),$A$2:$A$400,0))-1,""))</f>
        <v/>
      </c>
      <c r="E236" s="115">
        <f>IF(B236="","",IFERROR(B236/INDEX($B$2:$B$400,MATCH(DATE(YEAR(A236)-1,MONTH(A236),1),$A$2:$A$400,0))-1,""))</f>
        <v/>
      </c>
    </row>
    <row r="237">
      <c r="A237" s="117" t="n"/>
      <c r="B237" s="118" t="n"/>
      <c r="C237" s="115">
        <f>IF(OR(B237="",B236=""),"",B237/B236-1)</f>
        <v/>
      </c>
      <c r="D237" s="115">
        <f>IF(B237="","",IFERROR(B237/INDEX($B$2:$B$400,MATCH(DATE(YEAR(A237)-1,12,1),$A$2:$A$400,0))-1,""))</f>
        <v/>
      </c>
      <c r="E237" s="115">
        <f>IF(B237="","",IFERROR(B237/INDEX($B$2:$B$400,MATCH(DATE(YEAR(A237)-1,MONTH(A237),1),$A$2:$A$400,0))-1,""))</f>
        <v/>
      </c>
    </row>
    <row r="238">
      <c r="A238" s="117" t="n"/>
      <c r="B238" s="118" t="n"/>
      <c r="C238" s="115">
        <f>IF(OR(B238="",B237=""),"",B238/B237-1)</f>
        <v/>
      </c>
      <c r="D238" s="115">
        <f>IF(B238="","",IFERROR(B238/INDEX($B$2:$B$400,MATCH(DATE(YEAR(A238)-1,12,1),$A$2:$A$400,0))-1,""))</f>
        <v/>
      </c>
      <c r="E238" s="115">
        <f>IF(B238="","",IFERROR(B238/INDEX($B$2:$B$400,MATCH(DATE(YEAR(A238)-1,MONTH(A238),1),$A$2:$A$400,0))-1,""))</f>
        <v/>
      </c>
    </row>
    <row r="239">
      <c r="A239" s="117" t="n"/>
      <c r="B239" s="118" t="n"/>
      <c r="C239" s="115">
        <f>IF(OR(B239="",B238=""),"",B239/B238-1)</f>
        <v/>
      </c>
      <c r="D239" s="115">
        <f>IF(B239="","",IFERROR(B239/INDEX($B$2:$B$400,MATCH(DATE(YEAR(A239)-1,12,1),$A$2:$A$400,0))-1,""))</f>
        <v/>
      </c>
      <c r="E239" s="115">
        <f>IF(B239="","",IFERROR(B239/INDEX($B$2:$B$400,MATCH(DATE(YEAR(A239)-1,MONTH(A239),1),$A$2:$A$400,0))-1,""))</f>
        <v/>
      </c>
    </row>
    <row r="240">
      <c r="A240" s="117" t="n"/>
      <c r="B240" s="118" t="n"/>
      <c r="C240" s="115">
        <f>IF(OR(B240="",B239=""),"",B240/B239-1)</f>
        <v/>
      </c>
      <c r="D240" s="115">
        <f>IF(B240="","",IFERROR(B240/INDEX($B$2:$B$400,MATCH(DATE(YEAR(A240)-1,12,1),$A$2:$A$400,0))-1,""))</f>
        <v/>
      </c>
      <c r="E240" s="115">
        <f>IF(B240="","",IFERROR(B240/INDEX($B$2:$B$400,MATCH(DATE(YEAR(A240)-1,MONTH(A240),1),$A$2:$A$400,0))-1,""))</f>
        <v/>
      </c>
    </row>
    <row r="241">
      <c r="A241" s="117" t="n"/>
      <c r="B241" s="118" t="n"/>
      <c r="C241" s="115">
        <f>IF(OR(B241="",B240=""),"",B241/B240-1)</f>
        <v/>
      </c>
      <c r="D241" s="115">
        <f>IF(B241="","",IFERROR(B241/INDEX($B$2:$B$400,MATCH(DATE(YEAR(A241)-1,12,1),$A$2:$A$400,0))-1,""))</f>
        <v/>
      </c>
      <c r="E241" s="115">
        <f>IF(B241="","",IFERROR(B241/INDEX($B$2:$B$400,MATCH(DATE(YEAR(A241)-1,MONTH(A241),1),$A$2:$A$400,0))-1,""))</f>
        <v/>
      </c>
    </row>
    <row r="242">
      <c r="A242" s="117" t="n"/>
      <c r="B242" s="118" t="n"/>
      <c r="C242" s="115">
        <f>IF(OR(B242="",B241=""),"",B242/B241-1)</f>
        <v/>
      </c>
      <c r="D242" s="115">
        <f>IF(B242="","",IFERROR(B242/INDEX($B$2:$B$400,MATCH(DATE(YEAR(A242)-1,12,1),$A$2:$A$400,0))-1,""))</f>
        <v/>
      </c>
      <c r="E242" s="115">
        <f>IF(B242="","",IFERROR(B242/INDEX($B$2:$B$400,MATCH(DATE(YEAR(A242)-1,MONTH(A242),1),$A$2:$A$400,0))-1,""))</f>
        <v/>
      </c>
    </row>
    <row r="243">
      <c r="A243" s="117" t="n"/>
      <c r="B243" s="118" t="n"/>
      <c r="C243" s="115">
        <f>IF(OR(B243="",B242=""),"",B243/B242-1)</f>
        <v/>
      </c>
      <c r="D243" s="115">
        <f>IF(B243="","",IFERROR(B243/INDEX($B$2:$B$400,MATCH(DATE(YEAR(A243)-1,12,1),$A$2:$A$400,0))-1,""))</f>
        <v/>
      </c>
      <c r="E243" s="115">
        <f>IF(B243="","",IFERROR(B243/INDEX($B$2:$B$400,MATCH(DATE(YEAR(A243)-1,MONTH(A243),1),$A$2:$A$400,0))-1,""))</f>
        <v/>
      </c>
    </row>
    <row r="244">
      <c r="A244" s="117" t="n"/>
      <c r="B244" s="118" t="n"/>
      <c r="C244" s="115">
        <f>IF(OR(B244="",B243=""),"",B244/B243-1)</f>
        <v/>
      </c>
      <c r="D244" s="115">
        <f>IF(B244="","",IFERROR(B244/INDEX($B$2:$B$400,MATCH(DATE(YEAR(A244)-1,12,1),$A$2:$A$400,0))-1,""))</f>
        <v/>
      </c>
      <c r="E244" s="115">
        <f>IF(B244="","",IFERROR(B244/INDEX($B$2:$B$400,MATCH(DATE(YEAR(A244)-1,MONTH(A244),1),$A$2:$A$400,0))-1,""))</f>
        <v/>
      </c>
    </row>
    <row r="245">
      <c r="A245" s="117" t="n"/>
      <c r="B245" s="118" t="n"/>
      <c r="C245" s="115">
        <f>IF(OR(B245="",B244=""),"",B245/B244-1)</f>
        <v/>
      </c>
      <c r="D245" s="115">
        <f>IF(B245="","",IFERROR(B245/INDEX($B$2:$B$400,MATCH(DATE(YEAR(A245)-1,12,1),$A$2:$A$400,0))-1,""))</f>
        <v/>
      </c>
      <c r="E245" s="115">
        <f>IF(B245="","",IFERROR(B245/INDEX($B$2:$B$400,MATCH(DATE(YEAR(A245)-1,MONTH(A245),1),$A$2:$A$400,0))-1,""))</f>
        <v/>
      </c>
    </row>
    <row r="246">
      <c r="A246" s="117" t="n"/>
      <c r="B246" s="118" t="n"/>
      <c r="C246" s="115">
        <f>IF(OR(B246="",B245=""),"",B246/B245-1)</f>
        <v/>
      </c>
      <c r="D246" s="115">
        <f>IF(B246="","",IFERROR(B246/INDEX($B$2:$B$400,MATCH(DATE(YEAR(A246)-1,12,1),$A$2:$A$400,0))-1,""))</f>
        <v/>
      </c>
      <c r="E246" s="115">
        <f>IF(B246="","",IFERROR(B246/INDEX($B$2:$B$400,MATCH(DATE(YEAR(A246)-1,MONTH(A246),1),$A$2:$A$400,0))-1,""))</f>
        <v/>
      </c>
    </row>
    <row r="247">
      <c r="A247" s="117" t="n"/>
      <c r="B247" s="118" t="n"/>
      <c r="C247" s="115">
        <f>IF(OR(B247="",B246=""),"",B247/B246-1)</f>
        <v/>
      </c>
      <c r="D247" s="115">
        <f>IF(B247="","",IFERROR(B247/INDEX($B$2:$B$400,MATCH(DATE(YEAR(A247)-1,12,1),$A$2:$A$400,0))-1,""))</f>
        <v/>
      </c>
      <c r="E247" s="115">
        <f>IF(B247="","",IFERROR(B247/INDEX($B$2:$B$400,MATCH(DATE(YEAR(A247)-1,MONTH(A247),1),$A$2:$A$400,0))-1,""))</f>
        <v/>
      </c>
    </row>
    <row r="248">
      <c r="A248" s="117" t="n"/>
      <c r="B248" s="118" t="n"/>
      <c r="C248" s="115">
        <f>IF(OR(B248="",B247=""),"",B248/B247-1)</f>
        <v/>
      </c>
      <c r="D248" s="115">
        <f>IF(B248="","",IFERROR(B248/INDEX($B$2:$B$400,MATCH(DATE(YEAR(A248)-1,12,1),$A$2:$A$400,0))-1,""))</f>
        <v/>
      </c>
      <c r="E248" s="115">
        <f>IF(B248="","",IFERROR(B248/INDEX($B$2:$B$400,MATCH(DATE(YEAR(A248)-1,MONTH(A248),1),$A$2:$A$400,0))-1,""))</f>
        <v/>
      </c>
    </row>
    <row r="249">
      <c r="A249" s="117" t="n"/>
      <c r="B249" s="118" t="n"/>
      <c r="C249" s="115">
        <f>IF(OR(B249="",B248=""),"",B249/B248-1)</f>
        <v/>
      </c>
      <c r="D249" s="115">
        <f>IF(B249="","",IFERROR(B249/INDEX($B$2:$B$400,MATCH(DATE(YEAR(A249)-1,12,1),$A$2:$A$400,0))-1,""))</f>
        <v/>
      </c>
      <c r="E249" s="115">
        <f>IF(B249="","",IFERROR(B249/INDEX($B$2:$B$400,MATCH(DATE(YEAR(A249)-1,MONTH(A249),1),$A$2:$A$400,0))-1,""))</f>
        <v/>
      </c>
    </row>
    <row r="250">
      <c r="A250" s="117" t="n"/>
      <c r="B250" s="118" t="n"/>
      <c r="C250" s="115">
        <f>IF(OR(B250="",B249=""),"",B250/B249-1)</f>
        <v/>
      </c>
      <c r="D250" s="115">
        <f>IF(B250="","",IFERROR(B250/INDEX($B$2:$B$400,MATCH(DATE(YEAR(A250)-1,12,1),$A$2:$A$400,0))-1,""))</f>
        <v/>
      </c>
      <c r="E250" s="115">
        <f>IF(B250="","",IFERROR(B250/INDEX($B$2:$B$400,MATCH(DATE(YEAR(A250)-1,MONTH(A250),1),$A$2:$A$400,0))-1,""))</f>
        <v/>
      </c>
    </row>
    <row r="251">
      <c r="A251" s="117" t="n"/>
      <c r="B251" s="118" t="n"/>
      <c r="C251" s="115">
        <f>IF(OR(B251="",B250=""),"",B251/B250-1)</f>
        <v/>
      </c>
      <c r="D251" s="115">
        <f>IF(B251="","",IFERROR(B251/INDEX($B$2:$B$400,MATCH(DATE(YEAR(A251)-1,12,1),$A$2:$A$400,0))-1,""))</f>
        <v/>
      </c>
      <c r="E251" s="115">
        <f>IF(B251="","",IFERROR(B251/INDEX($B$2:$B$400,MATCH(DATE(YEAR(A251)-1,MONTH(A251),1),$A$2:$A$400,0))-1,""))</f>
        <v/>
      </c>
    </row>
    <row r="252">
      <c r="A252" s="117" t="n"/>
      <c r="B252" s="118" t="n"/>
      <c r="C252" s="115">
        <f>IF(OR(B252="",B251=""),"",B252/B251-1)</f>
        <v/>
      </c>
      <c r="D252" s="115">
        <f>IF(B252="","",IFERROR(B252/INDEX($B$2:$B$400,MATCH(DATE(YEAR(A252)-1,12,1),$A$2:$A$400,0))-1,""))</f>
        <v/>
      </c>
      <c r="E252" s="115">
        <f>IF(B252="","",IFERROR(B252/INDEX($B$2:$B$400,MATCH(DATE(YEAR(A252)-1,MONTH(A252),1),$A$2:$A$400,0))-1,""))</f>
        <v/>
      </c>
    </row>
    <row r="253">
      <c r="A253" s="117" t="n"/>
      <c r="B253" s="118" t="n"/>
      <c r="C253" s="115">
        <f>IF(OR(B253="",B252=""),"",B253/B252-1)</f>
        <v/>
      </c>
      <c r="D253" s="115">
        <f>IF(B253="","",IFERROR(B253/INDEX($B$2:$B$400,MATCH(DATE(YEAR(A253)-1,12,1),$A$2:$A$400,0))-1,""))</f>
        <v/>
      </c>
      <c r="E253" s="115">
        <f>IF(B253="","",IFERROR(B253/INDEX($B$2:$B$400,MATCH(DATE(YEAR(A253)-1,MONTH(A253),1),$A$2:$A$400,0))-1,""))</f>
        <v/>
      </c>
    </row>
    <row r="254">
      <c r="A254" s="117" t="n"/>
      <c r="B254" s="118" t="n"/>
      <c r="C254" s="115">
        <f>IF(OR(B254="",B253=""),"",B254/B253-1)</f>
        <v/>
      </c>
      <c r="D254" s="115">
        <f>IF(B254="","",IFERROR(B254/INDEX($B$2:$B$400,MATCH(DATE(YEAR(A254)-1,12,1),$A$2:$A$400,0))-1,""))</f>
        <v/>
      </c>
      <c r="E254" s="115">
        <f>IF(B254="","",IFERROR(B254/INDEX($B$2:$B$400,MATCH(DATE(YEAR(A254)-1,MONTH(A254),1),$A$2:$A$400,0))-1,""))</f>
        <v/>
      </c>
    </row>
    <row r="255">
      <c r="A255" s="117" t="n"/>
      <c r="B255" s="118" t="n"/>
      <c r="C255" s="115">
        <f>IF(OR(B255="",B254=""),"",B255/B254-1)</f>
        <v/>
      </c>
      <c r="D255" s="115">
        <f>IF(B255="","",IFERROR(B255/INDEX($B$2:$B$400,MATCH(DATE(YEAR(A255)-1,12,1),$A$2:$A$400,0))-1,""))</f>
        <v/>
      </c>
      <c r="E255" s="115">
        <f>IF(B255="","",IFERROR(B255/INDEX($B$2:$B$400,MATCH(DATE(YEAR(A255)-1,MONTH(A255),1),$A$2:$A$400,0))-1,""))</f>
        <v/>
      </c>
    </row>
    <row r="256">
      <c r="A256" s="117" t="n"/>
      <c r="B256" s="118" t="n"/>
      <c r="C256" s="115">
        <f>IF(OR(B256="",B255=""),"",B256/B255-1)</f>
        <v/>
      </c>
      <c r="D256" s="115">
        <f>IF(B256="","",IFERROR(B256/INDEX($B$2:$B$400,MATCH(DATE(YEAR(A256)-1,12,1),$A$2:$A$400,0))-1,""))</f>
        <v/>
      </c>
      <c r="E256" s="115">
        <f>IF(B256="","",IFERROR(B256/INDEX($B$2:$B$400,MATCH(DATE(YEAR(A256)-1,MONTH(A256),1),$A$2:$A$400,0))-1,""))</f>
        <v/>
      </c>
    </row>
    <row r="257">
      <c r="A257" s="117" t="n"/>
      <c r="B257" s="118" t="n"/>
      <c r="C257" s="115">
        <f>IF(OR(B257="",B256=""),"",B257/B256-1)</f>
        <v/>
      </c>
      <c r="D257" s="115">
        <f>IF(B257="","",IFERROR(B257/INDEX($B$2:$B$400,MATCH(DATE(YEAR(A257)-1,12,1),$A$2:$A$400,0))-1,""))</f>
        <v/>
      </c>
      <c r="E257" s="115">
        <f>IF(B257="","",IFERROR(B257/INDEX($B$2:$B$400,MATCH(DATE(YEAR(A257)-1,MONTH(A257),1),$A$2:$A$400,0))-1,""))</f>
        <v/>
      </c>
    </row>
    <row r="258">
      <c r="A258" s="117" t="n"/>
      <c r="B258" s="118" t="n"/>
      <c r="C258" s="115">
        <f>IF(OR(B258="",B257=""),"",B258/B257-1)</f>
        <v/>
      </c>
      <c r="D258" s="115">
        <f>IF(B258="","",IFERROR(B258/INDEX($B$2:$B$400,MATCH(DATE(YEAR(A258)-1,12,1),$A$2:$A$400,0))-1,""))</f>
        <v/>
      </c>
      <c r="E258" s="115">
        <f>IF(B258="","",IFERROR(B258/INDEX($B$2:$B$400,MATCH(DATE(YEAR(A258)-1,MONTH(A258),1),$A$2:$A$400,0))-1,""))</f>
        <v/>
      </c>
    </row>
    <row r="259">
      <c r="A259" s="117" t="n"/>
      <c r="B259" s="118" t="n"/>
      <c r="C259" s="115">
        <f>IF(OR(B259="",B258=""),"",B259/B258-1)</f>
        <v/>
      </c>
      <c r="D259" s="115">
        <f>IF(B259="","",IFERROR(B259/INDEX($B$2:$B$400,MATCH(DATE(YEAR(A259)-1,12,1),$A$2:$A$400,0))-1,""))</f>
        <v/>
      </c>
      <c r="E259" s="115">
        <f>IF(B259="","",IFERROR(B259/INDEX($B$2:$B$400,MATCH(DATE(YEAR(A259)-1,MONTH(A259),1),$A$2:$A$400,0))-1,""))</f>
        <v/>
      </c>
    </row>
    <row r="260">
      <c r="A260" s="117" t="n"/>
      <c r="B260" s="118" t="n"/>
      <c r="C260" s="115">
        <f>IF(OR(B260="",B259=""),"",B260/B259-1)</f>
        <v/>
      </c>
      <c r="D260" s="115">
        <f>IF(B260="","",IFERROR(B260/INDEX($B$2:$B$400,MATCH(DATE(YEAR(A260)-1,12,1),$A$2:$A$400,0))-1,""))</f>
        <v/>
      </c>
      <c r="E260" s="115">
        <f>IF(B260="","",IFERROR(B260/INDEX($B$2:$B$400,MATCH(DATE(YEAR(A260)-1,MONTH(A260),1),$A$2:$A$400,0))-1,""))</f>
        <v/>
      </c>
    </row>
    <row r="261">
      <c r="A261" s="117" t="n"/>
      <c r="B261" s="118" t="n"/>
      <c r="C261" s="115">
        <f>IF(OR(B261="",B260=""),"",B261/B260-1)</f>
        <v/>
      </c>
      <c r="D261" s="115">
        <f>IF(B261="","",IFERROR(B261/INDEX($B$2:$B$400,MATCH(DATE(YEAR(A261)-1,12,1),$A$2:$A$400,0))-1,""))</f>
        <v/>
      </c>
      <c r="E261" s="115">
        <f>IF(B261="","",IFERROR(B261/INDEX($B$2:$B$400,MATCH(DATE(YEAR(A261)-1,MONTH(A261),1),$A$2:$A$400,0))-1,""))</f>
        <v/>
      </c>
    </row>
    <row r="262">
      <c r="A262" s="117" t="n"/>
      <c r="B262" s="118" t="n"/>
      <c r="C262" s="115">
        <f>IF(OR(B262="",B261=""),"",B262/B261-1)</f>
        <v/>
      </c>
      <c r="D262" s="115">
        <f>IF(B262="","",IFERROR(B262/INDEX($B$2:$B$400,MATCH(DATE(YEAR(A262)-1,12,1),$A$2:$A$400,0))-1,""))</f>
        <v/>
      </c>
      <c r="E262" s="115">
        <f>IF(B262="","",IFERROR(B262/INDEX($B$2:$B$400,MATCH(DATE(YEAR(A262)-1,MONTH(A262),1),$A$2:$A$400,0))-1,""))</f>
        <v/>
      </c>
    </row>
    <row r="263">
      <c r="A263" s="117" t="n"/>
      <c r="B263" s="118" t="n"/>
      <c r="C263" s="115">
        <f>IF(OR(B263="",B262=""),"",B263/B262-1)</f>
        <v/>
      </c>
      <c r="D263" s="115">
        <f>IF(B263="","",IFERROR(B263/INDEX($B$2:$B$400,MATCH(DATE(YEAR(A263)-1,12,1),$A$2:$A$400,0))-1,""))</f>
        <v/>
      </c>
      <c r="E263" s="115">
        <f>IF(B263="","",IFERROR(B263/INDEX($B$2:$B$400,MATCH(DATE(YEAR(A263)-1,MONTH(A263),1),$A$2:$A$400,0))-1,""))</f>
        <v/>
      </c>
    </row>
    <row r="264">
      <c r="A264" s="117" t="n"/>
      <c r="B264" s="118" t="n"/>
      <c r="C264" s="115">
        <f>IF(OR(B264="",B263=""),"",B264/B263-1)</f>
        <v/>
      </c>
      <c r="D264" s="115">
        <f>IF(B264="","",IFERROR(B264/INDEX($B$2:$B$400,MATCH(DATE(YEAR(A264)-1,12,1),$A$2:$A$400,0))-1,""))</f>
        <v/>
      </c>
      <c r="E264" s="115">
        <f>IF(B264="","",IFERROR(B264/INDEX($B$2:$B$400,MATCH(DATE(YEAR(A264)-1,MONTH(A264),1),$A$2:$A$400,0))-1,""))</f>
        <v/>
      </c>
    </row>
    <row r="265">
      <c r="A265" s="117" t="n"/>
      <c r="B265" s="118" t="n"/>
      <c r="C265" s="115">
        <f>IF(OR(B265="",B264=""),"",B265/B264-1)</f>
        <v/>
      </c>
      <c r="D265" s="115">
        <f>IF(B265="","",IFERROR(B265/INDEX($B$2:$B$400,MATCH(DATE(YEAR(A265)-1,12,1),$A$2:$A$400,0))-1,""))</f>
        <v/>
      </c>
      <c r="E265" s="115">
        <f>IF(B265="","",IFERROR(B265/INDEX($B$2:$B$400,MATCH(DATE(YEAR(A265)-1,MONTH(A265),1),$A$2:$A$400,0))-1,""))</f>
        <v/>
      </c>
    </row>
    <row r="266">
      <c r="A266" s="117" t="n"/>
      <c r="B266" s="118" t="n"/>
      <c r="C266" s="115">
        <f>IF(OR(B266="",B265=""),"",B266/B265-1)</f>
        <v/>
      </c>
      <c r="D266" s="115">
        <f>IF(B266="","",IFERROR(B266/INDEX($B$2:$B$400,MATCH(DATE(YEAR(A266)-1,12,1),$A$2:$A$400,0))-1,""))</f>
        <v/>
      </c>
      <c r="E266" s="115">
        <f>IF(B266="","",IFERROR(B266/INDEX($B$2:$B$400,MATCH(DATE(YEAR(A266)-1,MONTH(A266),1),$A$2:$A$400,0))-1,""))</f>
        <v/>
      </c>
    </row>
    <row r="267">
      <c r="A267" s="117" t="n"/>
      <c r="B267" s="118" t="n"/>
      <c r="C267" s="115">
        <f>IF(OR(B267="",B266=""),"",B267/B266-1)</f>
        <v/>
      </c>
      <c r="D267" s="115">
        <f>IF(B267="","",IFERROR(B267/INDEX($B$2:$B$400,MATCH(DATE(YEAR(A267)-1,12,1),$A$2:$A$400,0))-1,""))</f>
        <v/>
      </c>
      <c r="E267" s="115">
        <f>IF(B267="","",IFERROR(B267/INDEX($B$2:$B$400,MATCH(DATE(YEAR(A267)-1,MONTH(A267),1),$A$2:$A$400,0))-1,""))</f>
        <v/>
      </c>
    </row>
    <row r="268">
      <c r="A268" s="117" t="n"/>
      <c r="B268" s="118" t="n"/>
      <c r="C268" s="115">
        <f>IF(OR(B268="",B267=""),"",B268/B267-1)</f>
        <v/>
      </c>
      <c r="D268" s="115">
        <f>IF(B268="","",IFERROR(B268/INDEX($B$2:$B$400,MATCH(DATE(YEAR(A268)-1,12,1),$A$2:$A$400,0))-1,""))</f>
        <v/>
      </c>
      <c r="E268" s="115">
        <f>IF(B268="","",IFERROR(B268/INDEX($B$2:$B$400,MATCH(DATE(YEAR(A268)-1,MONTH(A268),1),$A$2:$A$400,0))-1,""))</f>
        <v/>
      </c>
    </row>
    <row r="269">
      <c r="A269" s="117" t="n"/>
      <c r="B269" s="118" t="n"/>
      <c r="C269" s="115">
        <f>IF(OR(B269="",B268=""),"",B269/B268-1)</f>
        <v/>
      </c>
      <c r="D269" s="115">
        <f>IF(B269="","",IFERROR(B269/INDEX($B$2:$B$400,MATCH(DATE(YEAR(A269)-1,12,1),$A$2:$A$400,0))-1,""))</f>
        <v/>
      </c>
      <c r="E269" s="115">
        <f>IF(B269="","",IFERROR(B269/INDEX($B$2:$B$400,MATCH(DATE(YEAR(A269)-1,MONTH(A269),1),$A$2:$A$400,0))-1,""))</f>
        <v/>
      </c>
    </row>
    <row r="270">
      <c r="A270" s="117" t="n"/>
      <c r="B270" s="118" t="n"/>
      <c r="C270" s="115">
        <f>IF(OR(B270="",B269=""),"",B270/B269-1)</f>
        <v/>
      </c>
      <c r="D270" s="115">
        <f>IF(B270="","",IFERROR(B270/INDEX($B$2:$B$400,MATCH(DATE(YEAR(A270)-1,12,1),$A$2:$A$400,0))-1,""))</f>
        <v/>
      </c>
      <c r="E270" s="115">
        <f>IF(B270="","",IFERROR(B270/INDEX($B$2:$B$400,MATCH(DATE(YEAR(A270)-1,MONTH(A270),1),$A$2:$A$400,0))-1,""))</f>
        <v/>
      </c>
    </row>
    <row r="271">
      <c r="A271" s="117" t="n"/>
      <c r="B271" s="118" t="n"/>
      <c r="C271" s="115">
        <f>IF(OR(B271="",B270=""),"",B271/B270-1)</f>
        <v/>
      </c>
      <c r="D271" s="115">
        <f>IF(B271="","",IFERROR(B271/INDEX($B$2:$B$400,MATCH(DATE(YEAR(A271)-1,12,1),$A$2:$A$400,0))-1,""))</f>
        <v/>
      </c>
      <c r="E271" s="115">
        <f>IF(B271="","",IFERROR(B271/INDEX($B$2:$B$400,MATCH(DATE(YEAR(A271)-1,MONTH(A271),1),$A$2:$A$400,0))-1,""))</f>
        <v/>
      </c>
    </row>
    <row r="272">
      <c r="A272" s="117" t="n"/>
      <c r="B272" s="118" t="n"/>
      <c r="C272" s="115">
        <f>IF(OR(B272="",B271=""),"",B272/B271-1)</f>
        <v/>
      </c>
      <c r="D272" s="115">
        <f>IF(B272="","",IFERROR(B272/INDEX($B$2:$B$400,MATCH(DATE(YEAR(A272)-1,12,1),$A$2:$A$400,0))-1,""))</f>
        <v/>
      </c>
      <c r="E272" s="115">
        <f>IF(B272="","",IFERROR(B272/INDEX($B$2:$B$400,MATCH(DATE(YEAR(A272)-1,MONTH(A272),1),$A$2:$A$400,0))-1,""))</f>
        <v/>
      </c>
    </row>
    <row r="273">
      <c r="A273" s="117" t="n"/>
      <c r="B273" s="118" t="n"/>
      <c r="C273" s="115">
        <f>IF(OR(B273="",B272=""),"",B273/B272-1)</f>
        <v/>
      </c>
      <c r="D273" s="115">
        <f>IF(B273="","",IFERROR(B273/INDEX($B$2:$B$400,MATCH(DATE(YEAR(A273)-1,12,1),$A$2:$A$400,0))-1,""))</f>
        <v/>
      </c>
      <c r="E273" s="115">
        <f>IF(B273="","",IFERROR(B273/INDEX($B$2:$B$400,MATCH(DATE(YEAR(A273)-1,MONTH(A273),1),$A$2:$A$400,0))-1,""))</f>
        <v/>
      </c>
    </row>
    <row r="274">
      <c r="A274" s="117" t="n"/>
      <c r="B274" s="118" t="n"/>
      <c r="C274" s="115">
        <f>IF(OR(B274="",B273=""),"",B274/B273-1)</f>
        <v/>
      </c>
      <c r="D274" s="115">
        <f>IF(B274="","",IFERROR(B274/INDEX($B$2:$B$400,MATCH(DATE(YEAR(A274)-1,12,1),$A$2:$A$400,0))-1,""))</f>
        <v/>
      </c>
      <c r="E274" s="115">
        <f>IF(B274="","",IFERROR(B274/INDEX($B$2:$B$400,MATCH(DATE(YEAR(A274)-1,MONTH(A274),1),$A$2:$A$400,0))-1,""))</f>
        <v/>
      </c>
    </row>
    <row r="275">
      <c r="A275" s="117" t="n"/>
      <c r="B275" s="118" t="n"/>
      <c r="C275" s="115">
        <f>IF(OR(B275="",B274=""),"",B275/B274-1)</f>
        <v/>
      </c>
      <c r="D275" s="115">
        <f>IF(B275="","",IFERROR(B275/INDEX($B$2:$B$400,MATCH(DATE(YEAR(A275)-1,12,1),$A$2:$A$400,0))-1,""))</f>
        <v/>
      </c>
      <c r="E275" s="115">
        <f>IF(B275="","",IFERROR(B275/INDEX($B$2:$B$400,MATCH(DATE(YEAR(A275)-1,MONTH(A275),1),$A$2:$A$400,0))-1,""))</f>
        <v/>
      </c>
    </row>
    <row r="276">
      <c r="A276" s="117" t="n"/>
      <c r="B276" s="118" t="n"/>
      <c r="C276" s="115">
        <f>IF(OR(B276="",B275=""),"",B276/B275-1)</f>
        <v/>
      </c>
      <c r="D276" s="115">
        <f>IF(B276="","",IFERROR(B276/INDEX($B$2:$B$400,MATCH(DATE(YEAR(A276)-1,12,1),$A$2:$A$400,0))-1,""))</f>
        <v/>
      </c>
      <c r="E276" s="115">
        <f>IF(B276="","",IFERROR(B276/INDEX($B$2:$B$400,MATCH(DATE(YEAR(A276)-1,MONTH(A276),1),$A$2:$A$400,0))-1,""))</f>
        <v/>
      </c>
    </row>
    <row r="277">
      <c r="A277" s="117" t="n"/>
      <c r="B277" s="118" t="n"/>
      <c r="C277" s="115">
        <f>IF(OR(B277="",B276=""),"",B277/B276-1)</f>
        <v/>
      </c>
      <c r="D277" s="115">
        <f>IF(B277="","",IFERROR(B277/INDEX($B$2:$B$400,MATCH(DATE(YEAR(A277)-1,12,1),$A$2:$A$400,0))-1,""))</f>
        <v/>
      </c>
      <c r="E277" s="115">
        <f>IF(B277="","",IFERROR(B277/INDEX($B$2:$B$400,MATCH(DATE(YEAR(A277)-1,MONTH(A277),1),$A$2:$A$400,0))-1,""))</f>
        <v/>
      </c>
    </row>
    <row r="278">
      <c r="A278" s="117" t="n"/>
      <c r="B278" s="118" t="n"/>
      <c r="C278" s="115">
        <f>IF(OR(B278="",B277=""),"",B278/B277-1)</f>
        <v/>
      </c>
      <c r="D278" s="115">
        <f>IF(B278="","",IFERROR(B278/INDEX($B$2:$B$400,MATCH(DATE(YEAR(A278)-1,12,1),$A$2:$A$400,0))-1,""))</f>
        <v/>
      </c>
      <c r="E278" s="115">
        <f>IF(B278="","",IFERROR(B278/INDEX($B$2:$B$400,MATCH(DATE(YEAR(A278)-1,MONTH(A278),1),$A$2:$A$400,0))-1,""))</f>
        <v/>
      </c>
    </row>
    <row r="279">
      <c r="A279" s="117" t="n"/>
      <c r="B279" s="118" t="n"/>
      <c r="C279" s="115">
        <f>IF(OR(B279="",B278=""),"",B279/B278-1)</f>
        <v/>
      </c>
      <c r="D279" s="115">
        <f>IF(B279="","",IFERROR(B279/INDEX($B$2:$B$400,MATCH(DATE(YEAR(A279)-1,12,1),$A$2:$A$400,0))-1,""))</f>
        <v/>
      </c>
      <c r="E279" s="115">
        <f>IF(B279="","",IFERROR(B279/INDEX($B$2:$B$400,MATCH(DATE(YEAR(A279)-1,MONTH(A279),1),$A$2:$A$400,0))-1,""))</f>
        <v/>
      </c>
    </row>
    <row r="280">
      <c r="A280" s="117" t="n"/>
      <c r="B280" s="118" t="n"/>
      <c r="C280" s="115">
        <f>IF(OR(B280="",B279=""),"",B280/B279-1)</f>
        <v/>
      </c>
      <c r="D280" s="115">
        <f>IF(B280="","",IFERROR(B280/INDEX($B$2:$B$400,MATCH(DATE(YEAR(A280)-1,12,1),$A$2:$A$400,0))-1,""))</f>
        <v/>
      </c>
      <c r="E280" s="115">
        <f>IF(B280="","",IFERROR(B280/INDEX($B$2:$B$400,MATCH(DATE(YEAR(A280)-1,MONTH(A280),1),$A$2:$A$400,0))-1,""))</f>
        <v/>
      </c>
    </row>
    <row r="281">
      <c r="A281" s="117" t="n"/>
      <c r="B281" s="118" t="n"/>
      <c r="C281" s="115">
        <f>IF(OR(B281="",B280=""),"",B281/B280-1)</f>
        <v/>
      </c>
      <c r="D281" s="115">
        <f>IF(B281="","",IFERROR(B281/INDEX($B$2:$B$400,MATCH(DATE(YEAR(A281)-1,12,1),$A$2:$A$400,0))-1,""))</f>
        <v/>
      </c>
      <c r="E281" s="115">
        <f>IF(B281="","",IFERROR(B281/INDEX($B$2:$B$400,MATCH(DATE(YEAR(A281)-1,MONTH(A281),1),$A$2:$A$400,0))-1,""))</f>
        <v/>
      </c>
    </row>
    <row r="282">
      <c r="A282" s="117" t="n"/>
      <c r="B282" s="118" t="n"/>
      <c r="C282" s="115">
        <f>IF(OR(B282="",B281=""),"",B282/B281-1)</f>
        <v/>
      </c>
      <c r="D282" s="115">
        <f>IF(B282="","",IFERROR(B282/INDEX($B$2:$B$400,MATCH(DATE(YEAR(A282)-1,12,1),$A$2:$A$400,0))-1,""))</f>
        <v/>
      </c>
      <c r="E282" s="115">
        <f>IF(B282="","",IFERROR(B282/INDEX($B$2:$B$400,MATCH(DATE(YEAR(A282)-1,MONTH(A282),1),$A$2:$A$400,0))-1,""))</f>
        <v/>
      </c>
    </row>
    <row r="283">
      <c r="A283" s="117" t="n"/>
      <c r="B283" s="118" t="n"/>
      <c r="C283" s="115">
        <f>IF(OR(B283="",B282=""),"",B283/B282-1)</f>
        <v/>
      </c>
      <c r="D283" s="115">
        <f>IF(B283="","",IFERROR(B283/INDEX($B$2:$B$400,MATCH(DATE(YEAR(A283)-1,12,1),$A$2:$A$400,0))-1,""))</f>
        <v/>
      </c>
      <c r="E283" s="115">
        <f>IF(B283="","",IFERROR(B283/INDEX($B$2:$B$400,MATCH(DATE(YEAR(A283)-1,MONTH(A283),1),$A$2:$A$400,0))-1,""))</f>
        <v/>
      </c>
    </row>
    <row r="284">
      <c r="A284" s="117" t="n"/>
      <c r="B284" s="118" t="n"/>
      <c r="C284" s="115">
        <f>IF(OR(B284="",B283=""),"",B284/B283-1)</f>
        <v/>
      </c>
      <c r="D284" s="115">
        <f>IF(B284="","",IFERROR(B284/INDEX($B$2:$B$400,MATCH(DATE(YEAR(A284)-1,12,1),$A$2:$A$400,0))-1,""))</f>
        <v/>
      </c>
      <c r="E284" s="115">
        <f>IF(B284="","",IFERROR(B284/INDEX($B$2:$B$400,MATCH(DATE(YEAR(A284)-1,MONTH(A284),1),$A$2:$A$400,0))-1,""))</f>
        <v/>
      </c>
    </row>
    <row r="285">
      <c r="A285" s="117" t="n"/>
      <c r="B285" s="118" t="n"/>
      <c r="C285" s="115">
        <f>IF(OR(B285="",B284=""),"",B285/B284-1)</f>
        <v/>
      </c>
      <c r="D285" s="115">
        <f>IF(B285="","",IFERROR(B285/INDEX($B$2:$B$400,MATCH(DATE(YEAR(A285)-1,12,1),$A$2:$A$400,0))-1,""))</f>
        <v/>
      </c>
      <c r="E285" s="115">
        <f>IF(B285="","",IFERROR(B285/INDEX($B$2:$B$400,MATCH(DATE(YEAR(A285)-1,MONTH(A285),1),$A$2:$A$400,0))-1,""))</f>
        <v/>
      </c>
    </row>
    <row r="286">
      <c r="A286" s="117" t="n"/>
      <c r="B286" s="118" t="n"/>
      <c r="C286" s="115">
        <f>IF(OR(B286="",B285=""),"",B286/B285-1)</f>
        <v/>
      </c>
      <c r="D286" s="115">
        <f>IF(B286="","",IFERROR(B286/INDEX($B$2:$B$400,MATCH(DATE(YEAR(A286)-1,12,1),$A$2:$A$400,0))-1,""))</f>
        <v/>
      </c>
      <c r="E286" s="115">
        <f>IF(B286="","",IFERROR(B286/INDEX($B$2:$B$400,MATCH(DATE(YEAR(A286)-1,MONTH(A286),1),$A$2:$A$400,0))-1,""))</f>
        <v/>
      </c>
    </row>
    <row r="287">
      <c r="A287" s="117" t="n"/>
      <c r="B287" s="118" t="n"/>
      <c r="C287" s="115">
        <f>IF(OR(B287="",B286=""),"",B287/B286-1)</f>
        <v/>
      </c>
      <c r="D287" s="115">
        <f>IF(B287="","",IFERROR(B287/INDEX($B$2:$B$400,MATCH(DATE(YEAR(A287)-1,12,1),$A$2:$A$400,0))-1,""))</f>
        <v/>
      </c>
      <c r="E287" s="115">
        <f>IF(B287="","",IFERROR(B287/INDEX($B$2:$B$400,MATCH(DATE(YEAR(A287)-1,MONTH(A287),1),$A$2:$A$400,0))-1,""))</f>
        <v/>
      </c>
    </row>
    <row r="288">
      <c r="A288" s="117" t="n"/>
      <c r="B288" s="118" t="n"/>
      <c r="C288" s="115">
        <f>IF(OR(B288="",B287=""),"",B288/B287-1)</f>
        <v/>
      </c>
      <c r="D288" s="115">
        <f>IF(B288="","",IFERROR(B288/INDEX($B$2:$B$400,MATCH(DATE(YEAR(A288)-1,12,1),$A$2:$A$400,0))-1,""))</f>
        <v/>
      </c>
      <c r="E288" s="115">
        <f>IF(B288="","",IFERROR(B288/INDEX($B$2:$B$400,MATCH(DATE(YEAR(A288)-1,MONTH(A288),1),$A$2:$A$400,0))-1,""))</f>
        <v/>
      </c>
    </row>
    <row r="289">
      <c r="A289" s="117" t="n"/>
      <c r="B289" s="118" t="n"/>
      <c r="C289" s="115">
        <f>IF(OR(B289="",B288=""),"",B289/B288-1)</f>
        <v/>
      </c>
      <c r="D289" s="115">
        <f>IF(B289="","",IFERROR(B289/INDEX($B$2:$B$400,MATCH(DATE(YEAR(A289)-1,12,1),$A$2:$A$400,0))-1,""))</f>
        <v/>
      </c>
      <c r="E289" s="115">
        <f>IF(B289="","",IFERROR(B289/INDEX($B$2:$B$400,MATCH(DATE(YEAR(A289)-1,MONTH(A289),1),$A$2:$A$400,0))-1,""))</f>
        <v/>
      </c>
    </row>
    <row r="290">
      <c r="A290" s="117" t="n"/>
      <c r="B290" s="118" t="n"/>
      <c r="C290" s="115">
        <f>IF(OR(B290="",B289=""),"",B290/B289-1)</f>
        <v/>
      </c>
      <c r="D290" s="115">
        <f>IF(B290="","",IFERROR(B290/INDEX($B$2:$B$400,MATCH(DATE(YEAR(A290)-1,12,1),$A$2:$A$400,0))-1,""))</f>
        <v/>
      </c>
      <c r="E290" s="115">
        <f>IF(B290="","",IFERROR(B290/INDEX($B$2:$B$400,MATCH(DATE(YEAR(A290)-1,MONTH(A290),1),$A$2:$A$400,0))-1,""))</f>
        <v/>
      </c>
    </row>
    <row r="291">
      <c r="A291" s="117" t="n"/>
      <c r="B291" s="118" t="n"/>
      <c r="C291" s="115">
        <f>IF(OR(B291="",B290=""),"",B291/B290-1)</f>
        <v/>
      </c>
      <c r="D291" s="115">
        <f>IF(B291="","",IFERROR(B291/INDEX($B$2:$B$400,MATCH(DATE(YEAR(A291)-1,12,1),$A$2:$A$400,0))-1,""))</f>
        <v/>
      </c>
      <c r="E291" s="115">
        <f>IF(B291="","",IFERROR(B291/INDEX($B$2:$B$400,MATCH(DATE(YEAR(A291)-1,MONTH(A291),1),$A$2:$A$400,0))-1,""))</f>
        <v/>
      </c>
    </row>
    <row r="292">
      <c r="A292" s="117" t="n"/>
      <c r="B292" s="118" t="n"/>
      <c r="C292" s="115">
        <f>IF(OR(B292="",B291=""),"",B292/B291-1)</f>
        <v/>
      </c>
      <c r="D292" s="115">
        <f>IF(B292="","",IFERROR(B292/INDEX($B$2:$B$400,MATCH(DATE(YEAR(A292)-1,12,1),$A$2:$A$400,0))-1,""))</f>
        <v/>
      </c>
      <c r="E292" s="115">
        <f>IF(B292="","",IFERROR(B292/INDEX($B$2:$B$400,MATCH(DATE(YEAR(A292)-1,MONTH(A292),1),$A$2:$A$400,0))-1,""))</f>
        <v/>
      </c>
    </row>
    <row r="293">
      <c r="A293" s="117" t="n"/>
      <c r="B293" s="118" t="n"/>
      <c r="C293" s="115">
        <f>IF(OR(B293="",B292=""),"",B293/B292-1)</f>
        <v/>
      </c>
      <c r="D293" s="115">
        <f>IF(B293="","",IFERROR(B293/INDEX($B$2:$B$400,MATCH(DATE(YEAR(A293)-1,12,1),$A$2:$A$400,0))-1,""))</f>
        <v/>
      </c>
      <c r="E293" s="115">
        <f>IF(B293="","",IFERROR(B293/INDEX($B$2:$B$400,MATCH(DATE(YEAR(A293)-1,MONTH(A293),1),$A$2:$A$400,0))-1,""))</f>
        <v/>
      </c>
    </row>
    <row r="294">
      <c r="A294" s="117" t="n"/>
      <c r="B294" s="118" t="n"/>
      <c r="C294" s="115">
        <f>IF(OR(B294="",B293=""),"",B294/B293-1)</f>
        <v/>
      </c>
      <c r="D294" s="115">
        <f>IF(B294="","",IFERROR(B294/INDEX($B$2:$B$400,MATCH(DATE(YEAR(A294)-1,12,1),$A$2:$A$400,0))-1,""))</f>
        <v/>
      </c>
      <c r="E294" s="115">
        <f>IF(B294="","",IFERROR(B294/INDEX($B$2:$B$400,MATCH(DATE(YEAR(A294)-1,MONTH(A294),1),$A$2:$A$400,0))-1,""))</f>
        <v/>
      </c>
    </row>
    <row r="295">
      <c r="A295" s="117" t="n"/>
      <c r="B295" s="118" t="n"/>
      <c r="C295" s="115">
        <f>IF(OR(B295="",B294=""),"",B295/B294-1)</f>
        <v/>
      </c>
      <c r="D295" s="115">
        <f>IF(B295="","",IFERROR(B295/INDEX($B$2:$B$400,MATCH(DATE(YEAR(A295)-1,12,1),$A$2:$A$400,0))-1,""))</f>
        <v/>
      </c>
      <c r="E295" s="115">
        <f>IF(B295="","",IFERROR(B295/INDEX($B$2:$B$400,MATCH(DATE(YEAR(A295)-1,MONTH(A295),1),$A$2:$A$400,0))-1,""))</f>
        <v/>
      </c>
    </row>
    <row r="296">
      <c r="A296" s="117" t="n"/>
      <c r="B296" s="118" t="n"/>
      <c r="C296" s="115">
        <f>IF(OR(B296="",B295=""),"",B296/B295-1)</f>
        <v/>
      </c>
      <c r="D296" s="115">
        <f>IF(B296="","",IFERROR(B296/INDEX($B$2:$B$400,MATCH(DATE(YEAR(A296)-1,12,1),$A$2:$A$400,0))-1,""))</f>
        <v/>
      </c>
      <c r="E296" s="115">
        <f>IF(B296="","",IFERROR(B296/INDEX($B$2:$B$400,MATCH(DATE(YEAR(A296)-1,MONTH(A296),1),$A$2:$A$400,0))-1,""))</f>
        <v/>
      </c>
    </row>
    <row r="297">
      <c r="A297" s="117" t="n"/>
      <c r="B297" s="118" t="n"/>
      <c r="C297" s="115">
        <f>IF(OR(B297="",B296=""),"",B297/B296-1)</f>
        <v/>
      </c>
      <c r="D297" s="115">
        <f>IF(B297="","",IFERROR(B297/INDEX($B$2:$B$400,MATCH(DATE(YEAR(A297)-1,12,1),$A$2:$A$400,0))-1,""))</f>
        <v/>
      </c>
      <c r="E297" s="115">
        <f>IF(B297="","",IFERROR(B297/INDEX($B$2:$B$400,MATCH(DATE(YEAR(A297)-1,MONTH(A297),1),$A$2:$A$400,0))-1,""))</f>
        <v/>
      </c>
    </row>
    <row r="298">
      <c r="A298" s="117" t="n"/>
      <c r="B298" s="118" t="n"/>
      <c r="C298" s="115">
        <f>IF(OR(B298="",B297=""),"",B298/B297-1)</f>
        <v/>
      </c>
      <c r="D298" s="115">
        <f>IF(B298="","",IFERROR(B298/INDEX($B$2:$B$400,MATCH(DATE(YEAR(A298)-1,12,1),$A$2:$A$400,0))-1,""))</f>
        <v/>
      </c>
      <c r="E298" s="115">
        <f>IF(B298="","",IFERROR(B298/INDEX($B$2:$B$400,MATCH(DATE(YEAR(A298)-1,MONTH(A298),1),$A$2:$A$400,0))-1,""))</f>
        <v/>
      </c>
    </row>
    <row r="299">
      <c r="A299" s="117" t="n"/>
      <c r="B299" s="118" t="n"/>
      <c r="C299" s="115">
        <f>IF(OR(B299="",B298=""),"",B299/B298-1)</f>
        <v/>
      </c>
      <c r="D299" s="115">
        <f>IF(B299="","",IFERROR(B299/INDEX($B$2:$B$400,MATCH(DATE(YEAR(A299)-1,12,1),$A$2:$A$400,0))-1,""))</f>
        <v/>
      </c>
      <c r="E299" s="115">
        <f>IF(B299="","",IFERROR(B299/INDEX($B$2:$B$400,MATCH(DATE(YEAR(A299)-1,MONTH(A299),1),$A$2:$A$400,0))-1,""))</f>
        <v/>
      </c>
    </row>
    <row r="300">
      <c r="A300" s="117" t="n"/>
      <c r="B300" s="118" t="n"/>
      <c r="C300" s="115">
        <f>IF(OR(B300="",B299=""),"",B300/B299-1)</f>
        <v/>
      </c>
      <c r="D300" s="115">
        <f>IF(B300="","",IFERROR(B300/INDEX($B$2:$B$400,MATCH(DATE(YEAR(A300)-1,12,1),$A$2:$A$400,0))-1,""))</f>
        <v/>
      </c>
      <c r="E300" s="115">
        <f>IF(B300="","",IFERROR(B300/INDEX($B$2:$B$400,MATCH(DATE(YEAR(A300)-1,MONTH(A300),1),$A$2:$A$400,0))-1,""))</f>
        <v/>
      </c>
    </row>
    <row r="301">
      <c r="A301" s="117" t="n"/>
      <c r="B301" s="118" t="n"/>
      <c r="C301" s="115">
        <f>IF(OR(B301="",B300=""),"",B301/B300-1)</f>
        <v/>
      </c>
      <c r="D301" s="115">
        <f>IF(B301="","",IFERROR(B301/INDEX($B$2:$B$400,MATCH(DATE(YEAR(A301)-1,12,1),$A$2:$A$400,0))-1,""))</f>
        <v/>
      </c>
      <c r="E301" s="115">
        <f>IF(B301="","",IFERROR(B301/INDEX($B$2:$B$400,MATCH(DATE(YEAR(A301)-1,MONTH(A301),1),$A$2:$A$400,0))-1,""))</f>
        <v/>
      </c>
    </row>
    <row r="302">
      <c r="A302" s="117" t="n"/>
      <c r="B302" s="118" t="n"/>
      <c r="C302" s="115">
        <f>IF(OR(B302="",B301=""),"",B302/B301-1)</f>
        <v/>
      </c>
      <c r="D302" s="115">
        <f>IF(B302="","",IFERROR(B302/INDEX($B$2:$B$400,MATCH(DATE(YEAR(A302)-1,12,1),$A$2:$A$400,0))-1,""))</f>
        <v/>
      </c>
      <c r="E302" s="115">
        <f>IF(B302="","",IFERROR(B302/INDEX($B$2:$B$400,MATCH(DATE(YEAR(A302)-1,MONTH(A302),1),$A$2:$A$400,0))-1,""))</f>
        <v/>
      </c>
    </row>
    <row r="303">
      <c r="A303" s="117" t="n"/>
      <c r="B303" s="118" t="n"/>
      <c r="C303" s="115">
        <f>IF(OR(B303="",B302=""),"",B303/B302-1)</f>
        <v/>
      </c>
      <c r="D303" s="115">
        <f>IF(B303="","",IFERROR(B303/INDEX($B$2:$B$400,MATCH(DATE(YEAR(A303)-1,12,1),$A$2:$A$400,0))-1,""))</f>
        <v/>
      </c>
      <c r="E303" s="115">
        <f>IF(B303="","",IFERROR(B303/INDEX($B$2:$B$400,MATCH(DATE(YEAR(A303)-1,MONTH(A303),1),$A$2:$A$400,0))-1,""))</f>
        <v/>
      </c>
    </row>
    <row r="304">
      <c r="A304" s="117" t="n"/>
      <c r="B304" s="118" t="n"/>
      <c r="C304" s="115">
        <f>IF(OR(B304="",B303=""),"",B304/B303-1)</f>
        <v/>
      </c>
      <c r="D304" s="115">
        <f>IF(B304="","",IFERROR(B304/INDEX($B$2:$B$400,MATCH(DATE(YEAR(A304)-1,12,1),$A$2:$A$400,0))-1,""))</f>
        <v/>
      </c>
      <c r="E304" s="115">
        <f>IF(B304="","",IFERROR(B304/INDEX($B$2:$B$400,MATCH(DATE(YEAR(A304)-1,MONTH(A304),1),$A$2:$A$400,0))-1,""))</f>
        <v/>
      </c>
    </row>
    <row r="305">
      <c r="A305" s="117" t="n"/>
      <c r="B305" s="118" t="n"/>
      <c r="C305" s="115">
        <f>IF(OR(B305="",B304=""),"",B305/B304-1)</f>
        <v/>
      </c>
      <c r="D305" s="115">
        <f>IF(B305="","",IFERROR(B305/INDEX($B$2:$B$400,MATCH(DATE(YEAR(A305)-1,12,1),$A$2:$A$400,0))-1,""))</f>
        <v/>
      </c>
      <c r="E305" s="115">
        <f>IF(B305="","",IFERROR(B305/INDEX($B$2:$B$400,MATCH(DATE(YEAR(A305)-1,MONTH(A305),1),$A$2:$A$400,0))-1,""))</f>
        <v/>
      </c>
    </row>
    <row r="306">
      <c r="A306" s="117" t="n"/>
      <c r="B306" s="118" t="n"/>
      <c r="C306" s="115">
        <f>IF(OR(B306="",B305=""),"",B306/B305-1)</f>
        <v/>
      </c>
      <c r="D306" s="115">
        <f>IF(B306="","",IFERROR(B306/INDEX($B$2:$B$400,MATCH(DATE(YEAR(A306)-1,12,1),$A$2:$A$400,0))-1,""))</f>
        <v/>
      </c>
      <c r="E306" s="115">
        <f>IF(B306="","",IFERROR(B306/INDEX($B$2:$B$400,MATCH(DATE(YEAR(A306)-1,MONTH(A306),1),$A$2:$A$400,0))-1,""))</f>
        <v/>
      </c>
    </row>
    <row r="307">
      <c r="A307" s="117" t="n"/>
      <c r="B307" s="118" t="n"/>
      <c r="C307" s="115">
        <f>IF(OR(B307="",B306=""),"",B307/B306-1)</f>
        <v/>
      </c>
      <c r="D307" s="115">
        <f>IF(B307="","",IFERROR(B307/INDEX($B$2:$B$400,MATCH(DATE(YEAR(A307)-1,12,1),$A$2:$A$400,0))-1,""))</f>
        <v/>
      </c>
      <c r="E307" s="115">
        <f>IF(B307="","",IFERROR(B307/INDEX($B$2:$B$400,MATCH(DATE(YEAR(A307)-1,MONTH(A307),1),$A$2:$A$400,0))-1,""))</f>
        <v/>
      </c>
    </row>
    <row r="308">
      <c r="A308" s="117" t="n"/>
      <c r="B308" s="118" t="n"/>
      <c r="C308" s="115">
        <f>IF(OR(B308="",B307=""),"",B308/B307-1)</f>
        <v/>
      </c>
      <c r="D308" s="115">
        <f>IF(B308="","",IFERROR(B308/INDEX($B$2:$B$400,MATCH(DATE(YEAR(A308)-1,12,1),$A$2:$A$400,0))-1,""))</f>
        <v/>
      </c>
      <c r="E308" s="115">
        <f>IF(B308="","",IFERROR(B308/INDEX($B$2:$B$400,MATCH(DATE(YEAR(A308)-1,MONTH(A308),1),$A$2:$A$400,0))-1,""))</f>
        <v/>
      </c>
    </row>
    <row r="309">
      <c r="A309" s="117" t="n"/>
      <c r="B309" s="118" t="n"/>
      <c r="C309" s="115">
        <f>IF(OR(B309="",B308=""),"",B309/B308-1)</f>
        <v/>
      </c>
      <c r="D309" s="115">
        <f>IF(B309="","",IFERROR(B309/INDEX($B$2:$B$400,MATCH(DATE(YEAR(A309)-1,12,1),$A$2:$A$400,0))-1,""))</f>
        <v/>
      </c>
      <c r="E309" s="115">
        <f>IF(B309="","",IFERROR(B309/INDEX($B$2:$B$400,MATCH(DATE(YEAR(A309)-1,MONTH(A309),1),$A$2:$A$400,0))-1,""))</f>
        <v/>
      </c>
    </row>
    <row r="310">
      <c r="A310" s="117" t="n"/>
      <c r="B310" s="118" t="n"/>
      <c r="C310" s="115">
        <f>IF(OR(B310="",B309=""),"",B310/B309-1)</f>
        <v/>
      </c>
      <c r="D310" s="115">
        <f>IF(B310="","",IFERROR(B310/INDEX($B$2:$B$400,MATCH(DATE(YEAR(A310)-1,12,1),$A$2:$A$400,0))-1,""))</f>
        <v/>
      </c>
      <c r="E310" s="115">
        <f>IF(B310="","",IFERROR(B310/INDEX($B$2:$B$400,MATCH(DATE(YEAR(A310)-1,MONTH(A310),1),$A$2:$A$400,0))-1,""))</f>
        <v/>
      </c>
    </row>
    <row r="311">
      <c r="A311" s="117" t="n"/>
      <c r="B311" s="118" t="n"/>
      <c r="C311" s="115">
        <f>IF(OR(B311="",B310=""),"",B311/B310-1)</f>
        <v/>
      </c>
      <c r="D311" s="115">
        <f>IF(B311="","",IFERROR(B311/INDEX($B$2:$B$400,MATCH(DATE(YEAR(A311)-1,12,1),$A$2:$A$400,0))-1,""))</f>
        <v/>
      </c>
      <c r="E311" s="115">
        <f>IF(B311="","",IFERROR(B311/INDEX($B$2:$B$400,MATCH(DATE(YEAR(A311)-1,MONTH(A311),1),$A$2:$A$400,0))-1,""))</f>
        <v/>
      </c>
    </row>
    <row r="312">
      <c r="A312" s="117" t="n"/>
      <c r="B312" s="118" t="n"/>
      <c r="C312" s="115">
        <f>IF(OR(B312="",B311=""),"",B312/B311-1)</f>
        <v/>
      </c>
      <c r="D312" s="115">
        <f>IF(B312="","",IFERROR(B312/INDEX($B$2:$B$400,MATCH(DATE(YEAR(A312)-1,12,1),$A$2:$A$400,0))-1,""))</f>
        <v/>
      </c>
      <c r="E312" s="115">
        <f>IF(B312="","",IFERROR(B312/INDEX($B$2:$B$400,MATCH(DATE(YEAR(A312)-1,MONTH(A312),1),$A$2:$A$400,0))-1,""))</f>
        <v/>
      </c>
    </row>
    <row r="313">
      <c r="A313" s="117" t="n"/>
      <c r="B313" s="118" t="n"/>
      <c r="C313" s="115">
        <f>IF(OR(B313="",B312=""),"",B313/B312-1)</f>
        <v/>
      </c>
      <c r="D313" s="115">
        <f>IF(B313="","",IFERROR(B313/INDEX($B$2:$B$400,MATCH(DATE(YEAR(A313)-1,12,1),$A$2:$A$400,0))-1,""))</f>
        <v/>
      </c>
      <c r="E313" s="115">
        <f>IF(B313="","",IFERROR(B313/INDEX($B$2:$B$400,MATCH(DATE(YEAR(A313)-1,MONTH(A313),1),$A$2:$A$400,0))-1,""))</f>
        <v/>
      </c>
    </row>
    <row r="314">
      <c r="A314" s="117" t="n"/>
      <c r="B314" s="118" t="n"/>
      <c r="C314" s="115">
        <f>IF(OR(B314="",B313=""),"",B314/B313-1)</f>
        <v/>
      </c>
      <c r="D314" s="115">
        <f>IF(B314="","",IFERROR(B314/INDEX($B$2:$B$400,MATCH(DATE(YEAR(A314)-1,12,1),$A$2:$A$400,0))-1,""))</f>
        <v/>
      </c>
      <c r="E314" s="115">
        <f>IF(B314="","",IFERROR(B314/INDEX($B$2:$B$400,MATCH(DATE(YEAR(A314)-1,MONTH(A314),1),$A$2:$A$400,0))-1,""))</f>
        <v/>
      </c>
    </row>
    <row r="315">
      <c r="A315" s="117" t="n"/>
      <c r="B315" s="118" t="n"/>
      <c r="C315" s="115">
        <f>IF(OR(B315="",B314=""),"",B315/B314-1)</f>
        <v/>
      </c>
      <c r="D315" s="115">
        <f>IF(B315="","",IFERROR(B315/INDEX($B$2:$B$400,MATCH(DATE(YEAR(A315)-1,12,1),$A$2:$A$400,0))-1,""))</f>
        <v/>
      </c>
      <c r="E315" s="115">
        <f>IF(B315="","",IFERROR(B315/INDEX($B$2:$B$400,MATCH(DATE(YEAR(A315)-1,MONTH(A315),1),$A$2:$A$400,0))-1,""))</f>
        <v/>
      </c>
    </row>
    <row r="316">
      <c r="A316" s="117" t="n"/>
      <c r="B316" s="118" t="n"/>
      <c r="C316" s="115">
        <f>IF(OR(B316="",B315=""),"",B316/B315-1)</f>
        <v/>
      </c>
      <c r="D316" s="115">
        <f>IF(B316="","",IFERROR(B316/INDEX($B$2:$B$400,MATCH(DATE(YEAR(A316)-1,12,1),$A$2:$A$400,0))-1,""))</f>
        <v/>
      </c>
      <c r="E316" s="115">
        <f>IF(B316="","",IFERROR(B316/INDEX($B$2:$B$400,MATCH(DATE(YEAR(A316)-1,MONTH(A316),1),$A$2:$A$400,0))-1,""))</f>
        <v/>
      </c>
    </row>
    <row r="317">
      <c r="A317" s="117" t="n"/>
      <c r="B317" s="118" t="n"/>
      <c r="C317" s="115">
        <f>IF(OR(B317="",B316=""),"",B317/B316-1)</f>
        <v/>
      </c>
      <c r="D317" s="115">
        <f>IF(B317="","",IFERROR(B317/INDEX($B$2:$B$400,MATCH(DATE(YEAR(A317)-1,12,1),$A$2:$A$400,0))-1,""))</f>
        <v/>
      </c>
      <c r="E317" s="115">
        <f>IF(B317="","",IFERROR(B317/INDEX($B$2:$B$400,MATCH(DATE(YEAR(A317)-1,MONTH(A317),1),$A$2:$A$400,0))-1,""))</f>
        <v/>
      </c>
    </row>
    <row r="318">
      <c r="A318" s="117" t="n"/>
      <c r="B318" s="118" t="n"/>
      <c r="C318" s="115">
        <f>IF(OR(B318="",B317=""),"",B318/B317-1)</f>
        <v/>
      </c>
      <c r="D318" s="115">
        <f>IF(B318="","",IFERROR(B318/INDEX($B$2:$B$400,MATCH(DATE(YEAR(A318)-1,12,1),$A$2:$A$400,0))-1,""))</f>
        <v/>
      </c>
      <c r="E318" s="115">
        <f>IF(B318="","",IFERROR(B318/INDEX($B$2:$B$400,MATCH(DATE(YEAR(A318)-1,MONTH(A318),1),$A$2:$A$400,0))-1,""))</f>
        <v/>
      </c>
    </row>
    <row r="319">
      <c r="A319" s="117" t="n"/>
      <c r="B319" s="118" t="n"/>
      <c r="C319" s="115">
        <f>IF(OR(B319="",B318=""),"",B319/B318-1)</f>
        <v/>
      </c>
      <c r="D319" s="115">
        <f>IF(B319="","",IFERROR(B319/INDEX($B$2:$B$400,MATCH(DATE(YEAR(A319)-1,12,1),$A$2:$A$400,0))-1,""))</f>
        <v/>
      </c>
      <c r="E319" s="115">
        <f>IF(B319="","",IFERROR(B319/INDEX($B$2:$B$400,MATCH(DATE(YEAR(A319)-1,MONTH(A319),1),$A$2:$A$400,0))-1,""))</f>
        <v/>
      </c>
    </row>
    <row r="320">
      <c r="A320" s="117" t="n"/>
      <c r="B320" s="118" t="n"/>
      <c r="C320" s="115">
        <f>IF(OR(B320="",B319=""),"",B320/B319-1)</f>
        <v/>
      </c>
      <c r="D320" s="115">
        <f>IF(B320="","",IFERROR(B320/INDEX($B$2:$B$400,MATCH(DATE(YEAR(A320)-1,12,1),$A$2:$A$400,0))-1,""))</f>
        <v/>
      </c>
      <c r="E320" s="115">
        <f>IF(B320="","",IFERROR(B320/INDEX($B$2:$B$400,MATCH(DATE(YEAR(A320)-1,MONTH(A320),1),$A$2:$A$400,0))-1,""))</f>
        <v/>
      </c>
    </row>
    <row r="321">
      <c r="A321" s="117" t="n"/>
      <c r="B321" s="118" t="n"/>
      <c r="C321" s="115">
        <f>IF(OR(B321="",B320=""),"",B321/B320-1)</f>
        <v/>
      </c>
      <c r="D321" s="115">
        <f>IF(B321="","",IFERROR(B321/INDEX($B$2:$B$400,MATCH(DATE(YEAR(A321)-1,12,1),$A$2:$A$400,0))-1,""))</f>
        <v/>
      </c>
      <c r="E321" s="115">
        <f>IF(B321="","",IFERROR(B321/INDEX($B$2:$B$400,MATCH(DATE(YEAR(A321)-1,MONTH(A321),1),$A$2:$A$400,0))-1,""))</f>
        <v/>
      </c>
    </row>
    <row r="322">
      <c r="A322" s="117" t="n"/>
      <c r="B322" s="118" t="n"/>
      <c r="C322" s="115">
        <f>IF(OR(B322="",B321=""),"",B322/B321-1)</f>
        <v/>
      </c>
      <c r="D322" s="115">
        <f>IF(B322="","",IFERROR(B322/INDEX($B$2:$B$400,MATCH(DATE(YEAR(A322)-1,12,1),$A$2:$A$400,0))-1,""))</f>
        <v/>
      </c>
      <c r="E322" s="115">
        <f>IF(B322="","",IFERROR(B322/INDEX($B$2:$B$400,MATCH(DATE(YEAR(A322)-1,MONTH(A322),1),$A$2:$A$400,0))-1,""))</f>
        <v/>
      </c>
    </row>
    <row r="323">
      <c r="A323" s="117" t="n"/>
      <c r="B323" s="118" t="n"/>
      <c r="C323" s="115">
        <f>IF(OR(B323="",B322=""),"",B323/B322-1)</f>
        <v/>
      </c>
      <c r="D323" s="115">
        <f>IF(B323="","",IFERROR(B323/INDEX($B$2:$B$400,MATCH(DATE(YEAR(A323)-1,12,1),$A$2:$A$400,0))-1,""))</f>
        <v/>
      </c>
      <c r="E323" s="115">
        <f>IF(B323="","",IFERROR(B323/INDEX($B$2:$B$400,MATCH(DATE(YEAR(A323)-1,MONTH(A323),1),$A$2:$A$400,0))-1,""))</f>
        <v/>
      </c>
    </row>
    <row r="324">
      <c r="A324" s="117" t="n"/>
      <c r="B324" s="118" t="n"/>
      <c r="C324" s="115">
        <f>IF(OR(B324="",B323=""),"",B324/B323-1)</f>
        <v/>
      </c>
      <c r="D324" s="115">
        <f>IF(B324="","",IFERROR(B324/INDEX($B$2:$B$400,MATCH(DATE(YEAR(A324)-1,12,1),$A$2:$A$400,0))-1,""))</f>
        <v/>
      </c>
      <c r="E324" s="115">
        <f>IF(B324="","",IFERROR(B324/INDEX($B$2:$B$400,MATCH(DATE(YEAR(A324)-1,MONTH(A324),1),$A$2:$A$400,0))-1,""))</f>
        <v/>
      </c>
    </row>
    <row r="325">
      <c r="A325" s="117" t="n"/>
      <c r="B325" s="118" t="n"/>
      <c r="C325" s="115">
        <f>IF(OR(B325="",B324=""),"",B325/B324-1)</f>
        <v/>
      </c>
      <c r="D325" s="115">
        <f>IF(B325="","",IFERROR(B325/INDEX($B$2:$B$400,MATCH(DATE(YEAR(A325)-1,12,1),$A$2:$A$400,0))-1,""))</f>
        <v/>
      </c>
      <c r="E325" s="115">
        <f>IF(B325="","",IFERROR(B325/INDEX($B$2:$B$400,MATCH(DATE(YEAR(A325)-1,MONTH(A325),1),$A$2:$A$400,0))-1,""))</f>
        <v/>
      </c>
    </row>
    <row r="326">
      <c r="A326" s="117" t="n"/>
      <c r="B326" s="118" t="n"/>
      <c r="C326" s="115">
        <f>IF(OR(B326="",B325=""),"",B326/B325-1)</f>
        <v/>
      </c>
      <c r="D326" s="115">
        <f>IF(B326="","",IFERROR(B326/INDEX($B$2:$B$400,MATCH(DATE(YEAR(A326)-1,12,1),$A$2:$A$400,0))-1,""))</f>
        <v/>
      </c>
      <c r="E326" s="115">
        <f>IF(B326="","",IFERROR(B326/INDEX($B$2:$B$400,MATCH(DATE(YEAR(A326)-1,MONTH(A326),1),$A$2:$A$400,0))-1,""))</f>
        <v/>
      </c>
    </row>
    <row r="327">
      <c r="A327" s="117" t="n"/>
      <c r="B327" s="118" t="n"/>
      <c r="C327" s="115">
        <f>IF(OR(B327="",B326=""),"",B327/B326-1)</f>
        <v/>
      </c>
      <c r="D327" s="115">
        <f>IF(B327="","",IFERROR(B327/INDEX($B$2:$B$400,MATCH(DATE(YEAR(A327)-1,12,1),$A$2:$A$400,0))-1,""))</f>
        <v/>
      </c>
      <c r="E327" s="115">
        <f>IF(B327="","",IFERROR(B327/INDEX($B$2:$B$400,MATCH(DATE(YEAR(A327)-1,MONTH(A327),1),$A$2:$A$400,0))-1,""))</f>
        <v/>
      </c>
    </row>
    <row r="328">
      <c r="A328" s="117" t="n"/>
      <c r="B328" s="118" t="n"/>
      <c r="C328" s="115">
        <f>IF(OR(B328="",B327=""),"",B328/B327-1)</f>
        <v/>
      </c>
      <c r="D328" s="115">
        <f>IF(B328="","",IFERROR(B328/INDEX($B$2:$B$400,MATCH(DATE(YEAR(A328)-1,12,1),$A$2:$A$400,0))-1,""))</f>
        <v/>
      </c>
      <c r="E328" s="115">
        <f>IF(B328="","",IFERROR(B328/INDEX($B$2:$B$400,MATCH(DATE(YEAR(A328)-1,MONTH(A328),1),$A$2:$A$400,0))-1,""))</f>
        <v/>
      </c>
    </row>
    <row r="329">
      <c r="A329" s="117" t="n"/>
      <c r="B329" s="118" t="n"/>
      <c r="C329" s="115">
        <f>IF(OR(B329="",B328=""),"",B329/B328-1)</f>
        <v/>
      </c>
      <c r="D329" s="115">
        <f>IF(B329="","",IFERROR(B329/INDEX($B$2:$B$400,MATCH(DATE(YEAR(A329)-1,12,1),$A$2:$A$400,0))-1,""))</f>
        <v/>
      </c>
      <c r="E329" s="115">
        <f>IF(B329="","",IFERROR(B329/INDEX($B$2:$B$400,MATCH(DATE(YEAR(A329)-1,MONTH(A329),1),$A$2:$A$400,0))-1,""))</f>
        <v/>
      </c>
    </row>
    <row r="330">
      <c r="A330" s="117" t="n"/>
      <c r="B330" s="118" t="n"/>
      <c r="C330" s="115">
        <f>IF(OR(B330="",B329=""),"",B330/B329-1)</f>
        <v/>
      </c>
      <c r="D330" s="115">
        <f>IF(B330="","",IFERROR(B330/INDEX($B$2:$B$400,MATCH(DATE(YEAR(A330)-1,12,1),$A$2:$A$400,0))-1,""))</f>
        <v/>
      </c>
      <c r="E330" s="115">
        <f>IF(B330="","",IFERROR(B330/INDEX($B$2:$B$400,MATCH(DATE(YEAR(A330)-1,MONTH(A330),1),$A$2:$A$400,0))-1,""))</f>
        <v/>
      </c>
    </row>
    <row r="331">
      <c r="A331" s="117" t="n"/>
      <c r="B331" s="118" t="n"/>
      <c r="C331" s="115">
        <f>IF(OR(B331="",B330=""),"",B331/B330-1)</f>
        <v/>
      </c>
      <c r="D331" s="115">
        <f>IF(B331="","",IFERROR(B331/INDEX($B$2:$B$400,MATCH(DATE(YEAR(A331)-1,12,1),$A$2:$A$400,0))-1,""))</f>
        <v/>
      </c>
      <c r="E331" s="115">
        <f>IF(B331="","",IFERROR(B331/INDEX($B$2:$B$400,MATCH(DATE(YEAR(A331)-1,MONTH(A331),1),$A$2:$A$400,0))-1,""))</f>
        <v/>
      </c>
    </row>
    <row r="332">
      <c r="A332" s="117" t="n"/>
      <c r="B332" s="118" t="n"/>
      <c r="C332" s="115">
        <f>IF(OR(B332="",B331=""),"",B332/B331-1)</f>
        <v/>
      </c>
      <c r="D332" s="115">
        <f>IF(B332="","",IFERROR(B332/INDEX($B$2:$B$400,MATCH(DATE(YEAR(A332)-1,12,1),$A$2:$A$400,0))-1,""))</f>
        <v/>
      </c>
      <c r="E332" s="115">
        <f>IF(B332="","",IFERROR(B332/INDEX($B$2:$B$400,MATCH(DATE(YEAR(A332)-1,MONTH(A332),1),$A$2:$A$400,0))-1,""))</f>
        <v/>
      </c>
    </row>
    <row r="333">
      <c r="A333" s="117" t="n"/>
      <c r="B333" s="118" t="n"/>
      <c r="C333" s="115">
        <f>IF(OR(B333="",B332=""),"",B333/B332-1)</f>
        <v/>
      </c>
      <c r="D333" s="115">
        <f>IF(B333="","",IFERROR(B333/INDEX($B$2:$B$400,MATCH(DATE(YEAR(A333)-1,12,1),$A$2:$A$400,0))-1,""))</f>
        <v/>
      </c>
      <c r="E333" s="115">
        <f>IF(B333="","",IFERROR(B333/INDEX($B$2:$B$400,MATCH(DATE(YEAR(A333)-1,MONTH(A333),1),$A$2:$A$400,0))-1,""))</f>
        <v/>
      </c>
    </row>
    <row r="334">
      <c r="A334" s="117" t="n"/>
      <c r="B334" s="118" t="n"/>
      <c r="C334" s="115">
        <f>IF(OR(B334="",B333=""),"",B334/B333-1)</f>
        <v/>
      </c>
      <c r="D334" s="115">
        <f>IF(B334="","",IFERROR(B334/INDEX($B$2:$B$400,MATCH(DATE(YEAR(A334)-1,12,1),$A$2:$A$400,0))-1,""))</f>
        <v/>
      </c>
      <c r="E334" s="115">
        <f>IF(B334="","",IFERROR(B334/INDEX($B$2:$B$400,MATCH(DATE(YEAR(A334)-1,MONTH(A334),1),$A$2:$A$400,0))-1,""))</f>
        <v/>
      </c>
    </row>
    <row r="335">
      <c r="A335" s="117" t="n"/>
      <c r="B335" s="118" t="n"/>
      <c r="C335" s="115">
        <f>IF(OR(B335="",B334=""),"",B335/B334-1)</f>
        <v/>
      </c>
      <c r="D335" s="115">
        <f>IF(B335="","",IFERROR(B335/INDEX($B$2:$B$400,MATCH(DATE(YEAR(A335)-1,12,1),$A$2:$A$400,0))-1,""))</f>
        <v/>
      </c>
      <c r="E335" s="115">
        <f>IF(B335="","",IFERROR(B335/INDEX($B$2:$B$400,MATCH(DATE(YEAR(A335)-1,MONTH(A335),1),$A$2:$A$400,0))-1,""))</f>
        <v/>
      </c>
    </row>
    <row r="336">
      <c r="A336" s="117" t="n"/>
      <c r="B336" s="118" t="n"/>
      <c r="C336" s="115">
        <f>IF(OR(B336="",B335=""),"",B336/B335-1)</f>
        <v/>
      </c>
      <c r="D336" s="115">
        <f>IF(B336="","",IFERROR(B336/INDEX($B$2:$B$400,MATCH(DATE(YEAR(A336)-1,12,1),$A$2:$A$400,0))-1,""))</f>
        <v/>
      </c>
      <c r="E336" s="115">
        <f>IF(B336="","",IFERROR(B336/INDEX($B$2:$B$400,MATCH(DATE(YEAR(A336)-1,MONTH(A336),1),$A$2:$A$400,0))-1,""))</f>
        <v/>
      </c>
    </row>
    <row r="337">
      <c r="A337" s="117" t="n"/>
      <c r="B337" s="118" t="n"/>
      <c r="C337" s="115">
        <f>IF(OR(B337="",B336=""),"",B337/B336-1)</f>
        <v/>
      </c>
      <c r="D337" s="115">
        <f>IF(B337="","",IFERROR(B337/INDEX($B$2:$B$400,MATCH(DATE(YEAR(A337)-1,12,1),$A$2:$A$400,0))-1,""))</f>
        <v/>
      </c>
      <c r="E337" s="115">
        <f>IF(B337="","",IFERROR(B337/INDEX($B$2:$B$400,MATCH(DATE(YEAR(A337)-1,MONTH(A337),1),$A$2:$A$400,0))-1,""))</f>
        <v/>
      </c>
    </row>
    <row r="338">
      <c r="A338" s="117" t="n"/>
      <c r="B338" s="118" t="n"/>
      <c r="C338" s="115">
        <f>IF(OR(B338="",B337=""),"",B338/B337-1)</f>
        <v/>
      </c>
      <c r="D338" s="115">
        <f>IF(B338="","",IFERROR(B338/INDEX($B$2:$B$400,MATCH(DATE(YEAR(A338)-1,12,1),$A$2:$A$400,0))-1,""))</f>
        <v/>
      </c>
      <c r="E338" s="115">
        <f>IF(B338="","",IFERROR(B338/INDEX($B$2:$B$400,MATCH(DATE(YEAR(A338)-1,MONTH(A338),1),$A$2:$A$400,0))-1,""))</f>
        <v/>
      </c>
    </row>
    <row r="339">
      <c r="A339" s="117" t="n"/>
      <c r="B339" s="118" t="n"/>
      <c r="C339" s="115">
        <f>IF(OR(B339="",B338=""),"",B339/B338-1)</f>
        <v/>
      </c>
      <c r="D339" s="115">
        <f>IF(B339="","",IFERROR(B339/INDEX($B$2:$B$400,MATCH(DATE(YEAR(A339)-1,12,1),$A$2:$A$400,0))-1,""))</f>
        <v/>
      </c>
      <c r="E339" s="115">
        <f>IF(B339="","",IFERROR(B339/INDEX($B$2:$B$400,MATCH(DATE(YEAR(A339)-1,MONTH(A339),1),$A$2:$A$400,0))-1,""))</f>
        <v/>
      </c>
    </row>
    <row r="340">
      <c r="A340" s="117" t="n"/>
      <c r="B340" s="118" t="n"/>
      <c r="C340" s="115">
        <f>IF(OR(B340="",B339=""),"",B340/B339-1)</f>
        <v/>
      </c>
      <c r="D340" s="115">
        <f>IF(B340="","",IFERROR(B340/INDEX($B$2:$B$400,MATCH(DATE(YEAR(A340)-1,12,1),$A$2:$A$400,0))-1,""))</f>
        <v/>
      </c>
      <c r="E340" s="115">
        <f>IF(B340="","",IFERROR(B340/INDEX($B$2:$B$400,MATCH(DATE(YEAR(A340)-1,MONTH(A340),1),$A$2:$A$400,0))-1,""))</f>
        <v/>
      </c>
    </row>
    <row r="341">
      <c r="A341" s="117" t="n"/>
      <c r="B341" s="118" t="n"/>
      <c r="C341" s="115">
        <f>IF(OR(B341="",B340=""),"",B341/B340-1)</f>
        <v/>
      </c>
      <c r="D341" s="115">
        <f>IF(B341="","",IFERROR(B341/INDEX($B$2:$B$400,MATCH(DATE(YEAR(A341)-1,12,1),$A$2:$A$400,0))-1,""))</f>
        <v/>
      </c>
      <c r="E341" s="115">
        <f>IF(B341="","",IFERROR(B341/INDEX($B$2:$B$400,MATCH(DATE(YEAR(A341)-1,MONTH(A341),1),$A$2:$A$400,0))-1,""))</f>
        <v/>
      </c>
    </row>
    <row r="342">
      <c r="A342" s="117" t="n"/>
      <c r="B342" s="118" t="n"/>
      <c r="C342" s="115">
        <f>IF(OR(B342="",B341=""),"",B342/B341-1)</f>
        <v/>
      </c>
      <c r="D342" s="115">
        <f>IF(B342="","",IFERROR(B342/INDEX($B$2:$B$400,MATCH(DATE(YEAR(A342)-1,12,1),$A$2:$A$400,0))-1,""))</f>
        <v/>
      </c>
      <c r="E342" s="115">
        <f>IF(B342="","",IFERROR(B342/INDEX($B$2:$B$400,MATCH(DATE(YEAR(A342)-1,MONTH(A342),1),$A$2:$A$400,0))-1,""))</f>
        <v/>
      </c>
    </row>
    <row r="343">
      <c r="A343" s="117" t="n"/>
      <c r="B343" s="118" t="n"/>
      <c r="C343" s="115">
        <f>IF(OR(B343="",B342=""),"",B343/B342-1)</f>
        <v/>
      </c>
      <c r="D343" s="115">
        <f>IF(B343="","",IFERROR(B343/INDEX($B$2:$B$400,MATCH(DATE(YEAR(A343)-1,12,1),$A$2:$A$400,0))-1,""))</f>
        <v/>
      </c>
      <c r="E343" s="115">
        <f>IF(B343="","",IFERROR(B343/INDEX($B$2:$B$400,MATCH(DATE(YEAR(A343)-1,MONTH(A343),1),$A$2:$A$400,0))-1,""))</f>
        <v/>
      </c>
    </row>
    <row r="344">
      <c r="A344" s="117" t="n"/>
      <c r="B344" s="118" t="n"/>
      <c r="C344" s="115">
        <f>IF(OR(B344="",B343=""),"",B344/B343-1)</f>
        <v/>
      </c>
      <c r="D344" s="115">
        <f>IF(B344="","",IFERROR(B344/INDEX($B$2:$B$400,MATCH(DATE(YEAR(A344)-1,12,1),$A$2:$A$400,0))-1,""))</f>
        <v/>
      </c>
      <c r="E344" s="115">
        <f>IF(B344="","",IFERROR(B344/INDEX($B$2:$B$400,MATCH(DATE(YEAR(A344)-1,MONTH(A344),1),$A$2:$A$400,0))-1,""))</f>
        <v/>
      </c>
    </row>
    <row r="345">
      <c r="A345" s="117" t="n"/>
      <c r="B345" s="118" t="n"/>
      <c r="C345" s="115">
        <f>IF(OR(B345="",B344=""),"",B345/B344-1)</f>
        <v/>
      </c>
      <c r="D345" s="115">
        <f>IF(B345="","",IFERROR(B345/INDEX($B$2:$B$400,MATCH(DATE(YEAR(A345)-1,12,1),$A$2:$A$400,0))-1,""))</f>
        <v/>
      </c>
      <c r="E345" s="115">
        <f>IF(B345="","",IFERROR(B345/INDEX($B$2:$B$400,MATCH(DATE(YEAR(A345)-1,MONTH(A345),1),$A$2:$A$400,0))-1,""))</f>
        <v/>
      </c>
    </row>
    <row r="346">
      <c r="A346" s="117" t="n"/>
      <c r="B346" s="118" t="n"/>
      <c r="C346" s="115">
        <f>IF(OR(B346="",B345=""),"",B346/B345-1)</f>
        <v/>
      </c>
      <c r="D346" s="115">
        <f>IF(B346="","",IFERROR(B346/INDEX($B$2:$B$400,MATCH(DATE(YEAR(A346)-1,12,1),$A$2:$A$400,0))-1,""))</f>
        <v/>
      </c>
      <c r="E346" s="115">
        <f>IF(B346="","",IFERROR(B346/INDEX($B$2:$B$400,MATCH(DATE(YEAR(A346)-1,MONTH(A346),1),$A$2:$A$400,0))-1,""))</f>
        <v/>
      </c>
    </row>
    <row r="347">
      <c r="A347" s="117" t="n"/>
      <c r="B347" s="118" t="n"/>
      <c r="C347" s="115">
        <f>IF(OR(B347="",B346=""),"",B347/B346-1)</f>
        <v/>
      </c>
      <c r="D347" s="115">
        <f>IF(B347="","",IFERROR(B347/INDEX($B$2:$B$400,MATCH(DATE(YEAR(A347)-1,12,1),$A$2:$A$400,0))-1,""))</f>
        <v/>
      </c>
      <c r="E347" s="115">
        <f>IF(B347="","",IFERROR(B347/INDEX($B$2:$B$400,MATCH(DATE(YEAR(A347)-1,MONTH(A347),1),$A$2:$A$400,0))-1,""))</f>
        <v/>
      </c>
    </row>
    <row r="348">
      <c r="A348" s="117" t="n"/>
      <c r="B348" s="118" t="n"/>
      <c r="C348" s="115">
        <f>IF(OR(B348="",B347=""),"",B348/B347-1)</f>
        <v/>
      </c>
      <c r="D348" s="115">
        <f>IF(B348="","",IFERROR(B348/INDEX($B$2:$B$400,MATCH(DATE(YEAR(A348)-1,12,1),$A$2:$A$400,0))-1,""))</f>
        <v/>
      </c>
      <c r="E348" s="115">
        <f>IF(B348="","",IFERROR(B348/INDEX($B$2:$B$400,MATCH(DATE(YEAR(A348)-1,MONTH(A348),1),$A$2:$A$400,0))-1,""))</f>
        <v/>
      </c>
    </row>
    <row r="349">
      <c r="A349" s="117" t="n"/>
      <c r="B349" s="118" t="n"/>
      <c r="C349" s="115">
        <f>IF(OR(B349="",B348=""),"",B349/B348-1)</f>
        <v/>
      </c>
      <c r="D349" s="115">
        <f>IF(B349="","",IFERROR(B349/INDEX($B$2:$B$400,MATCH(DATE(YEAR(A349)-1,12,1),$A$2:$A$400,0))-1,""))</f>
        <v/>
      </c>
      <c r="E349" s="115">
        <f>IF(B349="","",IFERROR(B349/INDEX($B$2:$B$400,MATCH(DATE(YEAR(A349)-1,MONTH(A349),1),$A$2:$A$400,0))-1,""))</f>
        <v/>
      </c>
    </row>
    <row r="350">
      <c r="A350" s="117" t="n"/>
      <c r="B350" s="118" t="n"/>
      <c r="C350" s="115">
        <f>IF(OR(B350="",B349=""),"",B350/B349-1)</f>
        <v/>
      </c>
      <c r="D350" s="115">
        <f>IF(B350="","",IFERROR(B350/INDEX($B$2:$B$400,MATCH(DATE(YEAR(A350)-1,12,1),$A$2:$A$400,0))-1,""))</f>
        <v/>
      </c>
      <c r="E350" s="115">
        <f>IF(B350="","",IFERROR(B350/INDEX($B$2:$B$400,MATCH(DATE(YEAR(A350)-1,MONTH(A350),1),$A$2:$A$400,0))-1,""))</f>
        <v/>
      </c>
    </row>
    <row r="351">
      <c r="A351" s="117" t="n"/>
      <c r="B351" s="118" t="n"/>
      <c r="C351" s="115">
        <f>IF(OR(B351="",B350=""),"",B351/B350-1)</f>
        <v/>
      </c>
      <c r="D351" s="115">
        <f>IF(B351="","",IFERROR(B351/INDEX($B$2:$B$400,MATCH(DATE(YEAR(A351)-1,12,1),$A$2:$A$400,0))-1,""))</f>
        <v/>
      </c>
      <c r="E351" s="115">
        <f>IF(B351="","",IFERROR(B351/INDEX($B$2:$B$400,MATCH(DATE(YEAR(A351)-1,MONTH(A351),1),$A$2:$A$400,0))-1,""))</f>
        <v/>
      </c>
    </row>
    <row r="352">
      <c r="A352" s="117" t="n"/>
      <c r="B352" s="118" t="n"/>
      <c r="C352" s="115">
        <f>IF(OR(B352="",B351=""),"",B352/B351-1)</f>
        <v/>
      </c>
      <c r="D352" s="115">
        <f>IF(B352="","",IFERROR(B352/INDEX($B$2:$B$400,MATCH(DATE(YEAR(A352)-1,12,1),$A$2:$A$400,0))-1,""))</f>
        <v/>
      </c>
      <c r="E352" s="115">
        <f>IF(B352="","",IFERROR(B352/INDEX($B$2:$B$400,MATCH(DATE(YEAR(A352)-1,MONTH(A352),1),$A$2:$A$400,0))-1,""))</f>
        <v/>
      </c>
    </row>
    <row r="353">
      <c r="A353" s="117" t="n"/>
      <c r="B353" s="118" t="n"/>
      <c r="C353" s="115">
        <f>IF(OR(B353="",B352=""),"",B353/B352-1)</f>
        <v/>
      </c>
      <c r="D353" s="115">
        <f>IF(B353="","",IFERROR(B353/INDEX($B$2:$B$400,MATCH(DATE(YEAR(A353)-1,12,1),$A$2:$A$400,0))-1,""))</f>
        <v/>
      </c>
      <c r="E353" s="115">
        <f>IF(B353="","",IFERROR(B353/INDEX($B$2:$B$400,MATCH(DATE(YEAR(A353)-1,MONTH(A353),1),$A$2:$A$400,0))-1,""))</f>
        <v/>
      </c>
    </row>
    <row r="354">
      <c r="A354" s="117" t="n"/>
      <c r="B354" s="118" t="n"/>
      <c r="C354" s="115">
        <f>IF(OR(B354="",B353=""),"",B354/B353-1)</f>
        <v/>
      </c>
      <c r="D354" s="115">
        <f>IF(B354="","",IFERROR(B354/INDEX($B$2:$B$400,MATCH(DATE(YEAR(A354)-1,12,1),$A$2:$A$400,0))-1,""))</f>
        <v/>
      </c>
      <c r="E354" s="115">
        <f>IF(B354="","",IFERROR(B354/INDEX($B$2:$B$400,MATCH(DATE(YEAR(A354)-1,MONTH(A354),1),$A$2:$A$400,0))-1,""))</f>
        <v/>
      </c>
    </row>
    <row r="355">
      <c r="A355" s="117" t="n"/>
      <c r="B355" s="118" t="n"/>
      <c r="C355" s="115">
        <f>IF(OR(B355="",B354=""),"",B355/B354-1)</f>
        <v/>
      </c>
      <c r="D355" s="115">
        <f>IF(B355="","",IFERROR(B355/INDEX($B$2:$B$400,MATCH(DATE(YEAR(A355)-1,12,1),$A$2:$A$400,0))-1,""))</f>
        <v/>
      </c>
      <c r="E355" s="115">
        <f>IF(B355="","",IFERROR(B355/INDEX($B$2:$B$400,MATCH(DATE(YEAR(A355)-1,MONTH(A355),1),$A$2:$A$400,0))-1,""))</f>
        <v/>
      </c>
    </row>
    <row r="356">
      <c r="A356" s="117" t="n"/>
      <c r="B356" s="118" t="n"/>
      <c r="C356" s="115">
        <f>IF(OR(B356="",B355=""),"",B356/B355-1)</f>
        <v/>
      </c>
      <c r="D356" s="115">
        <f>IF(B356="","",IFERROR(B356/INDEX($B$2:$B$400,MATCH(DATE(YEAR(A356)-1,12,1),$A$2:$A$400,0))-1,""))</f>
        <v/>
      </c>
      <c r="E356" s="115">
        <f>IF(B356="","",IFERROR(B356/INDEX($B$2:$B$400,MATCH(DATE(YEAR(A356)-1,MONTH(A356),1),$A$2:$A$400,0))-1,""))</f>
        <v/>
      </c>
    </row>
    <row r="357">
      <c r="A357" s="117" t="n"/>
      <c r="B357" s="118" t="n"/>
      <c r="C357" s="115">
        <f>IF(OR(B357="",B356=""),"",B357/B356-1)</f>
        <v/>
      </c>
      <c r="D357" s="115">
        <f>IF(B357="","",IFERROR(B357/INDEX($B$2:$B$400,MATCH(DATE(YEAR(A357)-1,12,1),$A$2:$A$400,0))-1,""))</f>
        <v/>
      </c>
      <c r="E357" s="115">
        <f>IF(B357="","",IFERROR(B357/INDEX($B$2:$B$400,MATCH(DATE(YEAR(A357)-1,MONTH(A357),1),$A$2:$A$400,0))-1,""))</f>
        <v/>
      </c>
    </row>
    <row r="358">
      <c r="A358" s="117" t="n"/>
      <c r="B358" s="118" t="n"/>
      <c r="C358" s="115">
        <f>IF(OR(B358="",B357=""),"",B358/B357-1)</f>
        <v/>
      </c>
      <c r="D358" s="115">
        <f>IF(B358="","",IFERROR(B358/INDEX($B$2:$B$400,MATCH(DATE(YEAR(A358)-1,12,1),$A$2:$A$400,0))-1,""))</f>
        <v/>
      </c>
      <c r="E358" s="115">
        <f>IF(B358="","",IFERROR(B358/INDEX($B$2:$B$400,MATCH(DATE(YEAR(A358)-1,MONTH(A358),1),$A$2:$A$400,0))-1,""))</f>
        <v/>
      </c>
    </row>
    <row r="359">
      <c r="A359" s="117" t="n"/>
      <c r="B359" s="118" t="n"/>
      <c r="C359" s="115">
        <f>IF(OR(B359="",B358=""),"",B359/B358-1)</f>
        <v/>
      </c>
      <c r="D359" s="115">
        <f>IF(B359="","",IFERROR(B359/INDEX($B$2:$B$400,MATCH(DATE(YEAR(A359)-1,12,1),$A$2:$A$400,0))-1,""))</f>
        <v/>
      </c>
      <c r="E359" s="115">
        <f>IF(B359="","",IFERROR(B359/INDEX($B$2:$B$400,MATCH(DATE(YEAR(A359)-1,MONTH(A359),1),$A$2:$A$400,0))-1,""))</f>
        <v/>
      </c>
    </row>
    <row r="360">
      <c r="A360" s="117" t="n"/>
      <c r="B360" s="118" t="n"/>
      <c r="C360" s="115">
        <f>IF(OR(B360="",B359=""),"",B360/B359-1)</f>
        <v/>
      </c>
      <c r="D360" s="115">
        <f>IF(B360="","",IFERROR(B360/INDEX($B$2:$B$400,MATCH(DATE(YEAR(A360)-1,12,1),$A$2:$A$400,0))-1,""))</f>
        <v/>
      </c>
      <c r="E360" s="115">
        <f>IF(B360="","",IFERROR(B360/INDEX($B$2:$B$400,MATCH(DATE(YEAR(A360)-1,MONTH(A360),1),$A$2:$A$400,0))-1,""))</f>
        <v/>
      </c>
    </row>
    <row r="361">
      <c r="A361" s="117" t="n"/>
      <c r="B361" s="118" t="n"/>
      <c r="C361" s="115">
        <f>IF(OR(B361="",B360=""),"",B361/B360-1)</f>
        <v/>
      </c>
      <c r="D361" s="115">
        <f>IF(B361="","",IFERROR(B361/INDEX($B$2:$B$400,MATCH(DATE(YEAR(A361)-1,12,1),$A$2:$A$400,0))-1,""))</f>
        <v/>
      </c>
      <c r="E361" s="115">
        <f>IF(B361="","",IFERROR(B361/INDEX($B$2:$B$400,MATCH(DATE(YEAR(A361)-1,MONTH(A361),1),$A$2:$A$400,0))-1,""))</f>
        <v/>
      </c>
    </row>
    <row r="362">
      <c r="A362" s="117" t="n"/>
      <c r="B362" s="118" t="n"/>
      <c r="C362" s="115">
        <f>IF(OR(B362="",B361=""),"",B362/B361-1)</f>
        <v/>
      </c>
      <c r="D362" s="115">
        <f>IF(B362="","",IFERROR(B362/INDEX($B$2:$B$400,MATCH(DATE(YEAR(A362)-1,12,1),$A$2:$A$400,0))-1,""))</f>
        <v/>
      </c>
      <c r="E362" s="115">
        <f>IF(B362="","",IFERROR(B362/INDEX($B$2:$B$400,MATCH(DATE(YEAR(A362)-1,MONTH(A362),1),$A$2:$A$400,0))-1,""))</f>
        <v/>
      </c>
    </row>
    <row r="363">
      <c r="A363" s="117" t="n"/>
      <c r="B363" s="118" t="n"/>
      <c r="C363" s="115">
        <f>IF(OR(B363="",B362=""),"",B363/B362-1)</f>
        <v/>
      </c>
      <c r="D363" s="115">
        <f>IF(B363="","",IFERROR(B363/INDEX($B$2:$B$400,MATCH(DATE(YEAR(A363)-1,12,1),$A$2:$A$400,0))-1,""))</f>
        <v/>
      </c>
      <c r="E363" s="115">
        <f>IF(B363="","",IFERROR(B363/INDEX($B$2:$B$400,MATCH(DATE(YEAR(A363)-1,MONTH(A363),1),$A$2:$A$400,0))-1,""))</f>
        <v/>
      </c>
    </row>
    <row r="364">
      <c r="A364" s="117" t="n"/>
      <c r="B364" s="118" t="n"/>
      <c r="C364" s="115">
        <f>IF(OR(B364="",B363=""),"",B364/B363-1)</f>
        <v/>
      </c>
      <c r="D364" s="115">
        <f>IF(B364="","",IFERROR(B364/INDEX($B$2:$B$400,MATCH(DATE(YEAR(A364)-1,12,1),$A$2:$A$400,0))-1,""))</f>
        <v/>
      </c>
      <c r="E364" s="115">
        <f>IF(B364="","",IFERROR(B364/INDEX($B$2:$B$400,MATCH(DATE(YEAR(A364)-1,MONTH(A364),1),$A$2:$A$400,0))-1,""))</f>
        <v/>
      </c>
    </row>
    <row r="365">
      <c r="A365" s="117" t="n"/>
      <c r="B365" s="118" t="n"/>
      <c r="C365" s="115">
        <f>IF(OR(B365="",B364=""),"",B365/B364-1)</f>
        <v/>
      </c>
      <c r="D365" s="115">
        <f>IF(B365="","",IFERROR(B365/INDEX($B$2:$B$400,MATCH(DATE(YEAR(A365)-1,12,1),$A$2:$A$400,0))-1,""))</f>
        <v/>
      </c>
      <c r="E365" s="115">
        <f>IF(B365="","",IFERROR(B365/INDEX($B$2:$B$400,MATCH(DATE(YEAR(A365)-1,MONTH(A365),1),$A$2:$A$400,0))-1,""))</f>
        <v/>
      </c>
    </row>
    <row r="366">
      <c r="A366" s="117" t="n"/>
      <c r="B366" s="118" t="n"/>
      <c r="C366" s="115">
        <f>IF(OR(B366="",B365=""),"",B366/B365-1)</f>
        <v/>
      </c>
      <c r="D366" s="115">
        <f>IF(B366="","",IFERROR(B366/INDEX($B$2:$B$400,MATCH(DATE(YEAR(A366)-1,12,1),$A$2:$A$400,0))-1,""))</f>
        <v/>
      </c>
      <c r="E366" s="115">
        <f>IF(B366="","",IFERROR(B366/INDEX($B$2:$B$400,MATCH(DATE(YEAR(A366)-1,MONTH(A366),1),$A$2:$A$400,0))-1,""))</f>
        <v/>
      </c>
    </row>
    <row r="367">
      <c r="A367" s="117" t="n"/>
      <c r="B367" s="118" t="n"/>
      <c r="C367" s="115">
        <f>IF(OR(B367="",B366=""),"",B367/B366-1)</f>
        <v/>
      </c>
      <c r="D367" s="115">
        <f>IF(B367="","",IFERROR(B367/INDEX($B$2:$B$400,MATCH(DATE(YEAR(A367)-1,12,1),$A$2:$A$400,0))-1,""))</f>
        <v/>
      </c>
      <c r="E367" s="115">
        <f>IF(B367="","",IFERROR(B367/INDEX($B$2:$B$400,MATCH(DATE(YEAR(A367)-1,MONTH(A367),1),$A$2:$A$400,0))-1,""))</f>
        <v/>
      </c>
    </row>
    <row r="368">
      <c r="A368" s="117" t="n"/>
      <c r="B368" s="118" t="n"/>
      <c r="C368" s="115">
        <f>IF(OR(B368="",B367=""),"",B368/B367-1)</f>
        <v/>
      </c>
      <c r="D368" s="115">
        <f>IF(B368="","",IFERROR(B368/INDEX($B$2:$B$400,MATCH(DATE(YEAR(A368)-1,12,1),$A$2:$A$400,0))-1,""))</f>
        <v/>
      </c>
      <c r="E368" s="115">
        <f>IF(B368="","",IFERROR(B368/INDEX($B$2:$B$400,MATCH(DATE(YEAR(A368)-1,MONTH(A368),1),$A$2:$A$400,0))-1,""))</f>
        <v/>
      </c>
    </row>
    <row r="369">
      <c r="A369" s="117" t="n"/>
      <c r="B369" s="118" t="n"/>
      <c r="C369" s="115">
        <f>IF(OR(B369="",B368=""),"",B369/B368-1)</f>
        <v/>
      </c>
      <c r="D369" s="115">
        <f>IF(B369="","",IFERROR(B369/INDEX($B$2:$B$400,MATCH(DATE(YEAR(A369)-1,12,1),$A$2:$A$400,0))-1,""))</f>
        <v/>
      </c>
      <c r="E369" s="115">
        <f>IF(B369="","",IFERROR(B369/INDEX($B$2:$B$400,MATCH(DATE(YEAR(A369)-1,MONTH(A369),1),$A$2:$A$400,0))-1,""))</f>
        <v/>
      </c>
    </row>
    <row r="370">
      <c r="A370" s="117" t="n"/>
      <c r="B370" s="118" t="n"/>
      <c r="C370" s="115">
        <f>IF(OR(B370="",B369=""),"",B370/B369-1)</f>
        <v/>
      </c>
      <c r="D370" s="115">
        <f>IF(B370="","",IFERROR(B370/INDEX($B$2:$B$400,MATCH(DATE(YEAR(A370)-1,12,1),$A$2:$A$400,0))-1,""))</f>
        <v/>
      </c>
      <c r="E370" s="115">
        <f>IF(B370="","",IFERROR(B370/INDEX($B$2:$B$400,MATCH(DATE(YEAR(A370)-1,MONTH(A370),1),$A$2:$A$400,0))-1,""))</f>
        <v/>
      </c>
    </row>
    <row r="371">
      <c r="A371" s="117" t="n"/>
      <c r="B371" s="118" t="n"/>
      <c r="C371" s="115">
        <f>IF(OR(B371="",B370=""),"",B371/B370-1)</f>
        <v/>
      </c>
      <c r="D371" s="115">
        <f>IF(B371="","",IFERROR(B371/INDEX($B$2:$B$400,MATCH(DATE(YEAR(A371)-1,12,1),$A$2:$A$400,0))-1,""))</f>
        <v/>
      </c>
      <c r="E371" s="115">
        <f>IF(B371="","",IFERROR(B371/INDEX($B$2:$B$400,MATCH(DATE(YEAR(A371)-1,MONTH(A371),1),$A$2:$A$400,0))-1,""))</f>
        <v/>
      </c>
    </row>
    <row r="372">
      <c r="A372" s="117" t="n"/>
      <c r="B372" s="118" t="n"/>
      <c r="C372" s="115">
        <f>IF(OR(B372="",B371=""),"",B372/B371-1)</f>
        <v/>
      </c>
      <c r="D372" s="115">
        <f>IF(B372="","",IFERROR(B372/INDEX($B$2:$B$400,MATCH(DATE(YEAR(A372)-1,12,1),$A$2:$A$400,0))-1,""))</f>
        <v/>
      </c>
      <c r="E372" s="115">
        <f>IF(B372="","",IFERROR(B372/INDEX($B$2:$B$400,MATCH(DATE(YEAR(A372)-1,MONTH(A372),1),$A$2:$A$400,0))-1,""))</f>
        <v/>
      </c>
    </row>
    <row r="373">
      <c r="A373" s="117" t="n"/>
      <c r="B373" s="118" t="n"/>
      <c r="C373" s="115">
        <f>IF(OR(B373="",B372=""),"",B373/B372-1)</f>
        <v/>
      </c>
      <c r="D373" s="115">
        <f>IF(B373="","",IFERROR(B373/INDEX($B$2:$B$400,MATCH(DATE(YEAR(A373)-1,12,1),$A$2:$A$400,0))-1,""))</f>
        <v/>
      </c>
      <c r="E373" s="115">
        <f>IF(B373="","",IFERROR(B373/INDEX($B$2:$B$400,MATCH(DATE(YEAR(A373)-1,MONTH(A373),1),$A$2:$A$400,0))-1,""))</f>
        <v/>
      </c>
    </row>
    <row r="374">
      <c r="A374" s="117" t="n"/>
      <c r="B374" s="118" t="n"/>
      <c r="C374" s="115">
        <f>IF(OR(B374="",B373=""),"",B374/B373-1)</f>
        <v/>
      </c>
      <c r="D374" s="115">
        <f>IF(B374="","",IFERROR(B374/INDEX($B$2:$B$400,MATCH(DATE(YEAR(A374)-1,12,1),$A$2:$A$400,0))-1,""))</f>
        <v/>
      </c>
      <c r="E374" s="115">
        <f>IF(B374="","",IFERROR(B374/INDEX($B$2:$B$400,MATCH(DATE(YEAR(A374)-1,MONTH(A374),1),$A$2:$A$400,0))-1,""))</f>
        <v/>
      </c>
    </row>
    <row r="375">
      <c r="A375" s="117" t="n"/>
      <c r="B375" s="118" t="n"/>
      <c r="C375" s="115">
        <f>IF(OR(B375="",B374=""),"",B375/B374-1)</f>
        <v/>
      </c>
      <c r="D375" s="115">
        <f>IF(B375="","",IFERROR(B375/INDEX($B$2:$B$400,MATCH(DATE(YEAR(A375)-1,12,1),$A$2:$A$400,0))-1,""))</f>
        <v/>
      </c>
      <c r="E375" s="115">
        <f>IF(B375="","",IFERROR(B375/INDEX($B$2:$B$400,MATCH(DATE(YEAR(A375)-1,MONTH(A375),1),$A$2:$A$400,0))-1,""))</f>
        <v/>
      </c>
    </row>
    <row r="376">
      <c r="A376" s="117" t="n"/>
      <c r="B376" s="118" t="n"/>
      <c r="C376" s="115">
        <f>IF(OR(B376="",B375=""),"",B376/B375-1)</f>
        <v/>
      </c>
      <c r="D376" s="115">
        <f>IF(B376="","",IFERROR(B376/INDEX($B$2:$B$400,MATCH(DATE(YEAR(A376)-1,12,1),$A$2:$A$400,0))-1,""))</f>
        <v/>
      </c>
      <c r="E376" s="115">
        <f>IF(B376="","",IFERROR(B376/INDEX($B$2:$B$400,MATCH(DATE(YEAR(A376)-1,MONTH(A376),1),$A$2:$A$400,0))-1,""))</f>
        <v/>
      </c>
    </row>
    <row r="377">
      <c r="A377" s="117" t="n"/>
      <c r="B377" s="118" t="n"/>
      <c r="C377" s="115">
        <f>IF(OR(B377="",B376=""),"",B377/B376-1)</f>
        <v/>
      </c>
      <c r="D377" s="115">
        <f>IF(B377="","",IFERROR(B377/INDEX($B$2:$B$400,MATCH(DATE(YEAR(A377)-1,12,1),$A$2:$A$400,0))-1,""))</f>
        <v/>
      </c>
      <c r="E377" s="115">
        <f>IF(B377="","",IFERROR(B377/INDEX($B$2:$B$400,MATCH(DATE(YEAR(A377)-1,MONTH(A377),1),$A$2:$A$400,0))-1,""))</f>
        <v/>
      </c>
    </row>
    <row r="378">
      <c r="A378" s="117" t="n"/>
      <c r="B378" s="118" t="n"/>
      <c r="C378" s="115">
        <f>IF(OR(B378="",B377=""),"",B378/B377-1)</f>
        <v/>
      </c>
      <c r="D378" s="115">
        <f>IF(B378="","",IFERROR(B378/INDEX($B$2:$B$400,MATCH(DATE(YEAR(A378)-1,12,1),$A$2:$A$400,0))-1,""))</f>
        <v/>
      </c>
      <c r="E378" s="115">
        <f>IF(B378="","",IFERROR(B378/INDEX($B$2:$B$400,MATCH(DATE(YEAR(A378)-1,MONTH(A378),1),$A$2:$A$400,0))-1,""))</f>
        <v/>
      </c>
    </row>
    <row r="379">
      <c r="A379" s="117" t="n"/>
      <c r="B379" s="118" t="n"/>
      <c r="C379" s="115">
        <f>IF(OR(B379="",B378=""),"",B379/B378-1)</f>
        <v/>
      </c>
      <c r="D379" s="115">
        <f>IF(B379="","",IFERROR(B379/INDEX($B$2:$B$400,MATCH(DATE(YEAR(A379)-1,12,1),$A$2:$A$400,0))-1,""))</f>
        <v/>
      </c>
      <c r="E379" s="115">
        <f>IF(B379="","",IFERROR(B379/INDEX($B$2:$B$400,MATCH(DATE(YEAR(A379)-1,MONTH(A379),1),$A$2:$A$400,0))-1,""))</f>
        <v/>
      </c>
    </row>
    <row r="380">
      <c r="A380" s="117" t="n"/>
      <c r="B380" s="118" t="n"/>
      <c r="C380" s="115">
        <f>IF(OR(B380="",B379=""),"",B380/B379-1)</f>
        <v/>
      </c>
      <c r="D380" s="115">
        <f>IF(B380="","",IFERROR(B380/INDEX($B$2:$B$400,MATCH(DATE(YEAR(A380)-1,12,1),$A$2:$A$400,0))-1,""))</f>
        <v/>
      </c>
      <c r="E380" s="115">
        <f>IF(B380="","",IFERROR(B380/INDEX($B$2:$B$400,MATCH(DATE(YEAR(A380)-1,MONTH(A380),1),$A$2:$A$400,0))-1,""))</f>
        <v/>
      </c>
    </row>
    <row r="381">
      <c r="A381" s="117" t="n"/>
      <c r="B381" s="118" t="n"/>
      <c r="C381" s="115">
        <f>IF(OR(B381="",B380=""),"",B381/B380-1)</f>
        <v/>
      </c>
      <c r="D381" s="115">
        <f>IF(B381="","",IFERROR(B381/INDEX($B$2:$B$400,MATCH(DATE(YEAR(A381)-1,12,1),$A$2:$A$400,0))-1,""))</f>
        <v/>
      </c>
      <c r="E381" s="115">
        <f>IF(B381="","",IFERROR(B381/INDEX($B$2:$B$400,MATCH(DATE(YEAR(A381)-1,MONTH(A381),1),$A$2:$A$400,0))-1,""))</f>
        <v/>
      </c>
    </row>
    <row r="382">
      <c r="A382" s="117" t="n"/>
      <c r="B382" s="118" t="n"/>
      <c r="C382" s="115">
        <f>IF(OR(B382="",B381=""),"",B382/B381-1)</f>
        <v/>
      </c>
      <c r="D382" s="115">
        <f>IF(B382="","",IFERROR(B382/INDEX($B$2:$B$400,MATCH(DATE(YEAR(A382)-1,12,1),$A$2:$A$400,0))-1,""))</f>
        <v/>
      </c>
      <c r="E382" s="115">
        <f>IF(B382="","",IFERROR(B382/INDEX($B$2:$B$400,MATCH(DATE(YEAR(A382)-1,MONTH(A382),1),$A$2:$A$400,0))-1,""))</f>
        <v/>
      </c>
    </row>
    <row r="383">
      <c r="A383" s="117" t="n"/>
      <c r="B383" s="118" t="n"/>
      <c r="C383" s="115">
        <f>IF(OR(B383="",B382=""),"",B383/B382-1)</f>
        <v/>
      </c>
      <c r="D383" s="115">
        <f>IF(B383="","",IFERROR(B383/INDEX($B$2:$B$400,MATCH(DATE(YEAR(A383)-1,12,1),$A$2:$A$400,0))-1,""))</f>
        <v/>
      </c>
      <c r="E383" s="115">
        <f>IF(B383="","",IFERROR(B383/INDEX($B$2:$B$400,MATCH(DATE(YEAR(A383)-1,MONTH(A383),1),$A$2:$A$400,0))-1,""))</f>
        <v/>
      </c>
    </row>
    <row r="384">
      <c r="A384" s="117" t="n"/>
      <c r="B384" s="118" t="n"/>
      <c r="C384" s="115">
        <f>IF(OR(B384="",B383=""),"",B384/B383-1)</f>
        <v/>
      </c>
      <c r="D384" s="115">
        <f>IF(B384="","",IFERROR(B384/INDEX($B$2:$B$400,MATCH(DATE(YEAR(A384)-1,12,1),$A$2:$A$400,0))-1,""))</f>
        <v/>
      </c>
      <c r="E384" s="115">
        <f>IF(B384="","",IFERROR(B384/INDEX($B$2:$B$400,MATCH(DATE(YEAR(A384)-1,MONTH(A384),1),$A$2:$A$400,0))-1,""))</f>
        <v/>
      </c>
    </row>
    <row r="385">
      <c r="A385" s="117" t="n"/>
      <c r="B385" s="118" t="n"/>
      <c r="C385" s="115">
        <f>IF(OR(B385="",B384=""),"",B385/B384-1)</f>
        <v/>
      </c>
      <c r="D385" s="115">
        <f>IF(B385="","",IFERROR(B385/INDEX($B$2:$B$400,MATCH(DATE(YEAR(A385)-1,12,1),$A$2:$A$400,0))-1,""))</f>
        <v/>
      </c>
      <c r="E385" s="115">
        <f>IF(B385="","",IFERROR(B385/INDEX($B$2:$B$400,MATCH(DATE(YEAR(A385)-1,MONTH(A385),1),$A$2:$A$400,0))-1,""))</f>
        <v/>
      </c>
    </row>
    <row r="386">
      <c r="A386" s="117" t="n"/>
      <c r="B386" s="118" t="n"/>
      <c r="C386" s="115">
        <f>IF(OR(B386="",B385=""),"",B386/B385-1)</f>
        <v/>
      </c>
      <c r="D386" s="115">
        <f>IF(B386="","",IFERROR(B386/INDEX($B$2:$B$400,MATCH(DATE(YEAR(A386)-1,12,1),$A$2:$A$400,0))-1,""))</f>
        <v/>
      </c>
      <c r="E386" s="115">
        <f>IF(B386="","",IFERROR(B386/INDEX($B$2:$B$400,MATCH(DATE(YEAR(A386)-1,MONTH(A386),1),$A$2:$A$400,0))-1,""))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IF(B387="","",IFERROR(B387/INDEX($B$2:$B$400,MATCH(DATE(YEAR(A387)-1,12,1),$A$2:$A$400,0))-1,""))</f>
        <v/>
      </c>
      <c r="E387" s="115">
        <f>IF(B387="","",IFERROR(B387/INDEX($B$2:$B$400,MATCH(DATE(YEAR(A387)-1,MONTH(A387),1),$A$2:$A$400,0))-1,""))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IF(B388="","",IFERROR(B388/INDEX($B$2:$B$400,MATCH(DATE(YEAR(A388)-1,12,1),$A$2:$A$400,0))-1,""))</f>
        <v/>
      </c>
      <c r="E388" s="115">
        <f>IF(B388="","",IFERROR(B388/INDEX($B$2:$B$400,MATCH(DATE(YEAR(A388)-1,MONTH(A388),1),$A$2:$A$400,0))-1,""))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IF(B389="","",IFERROR(B389/INDEX($B$2:$B$400,MATCH(DATE(YEAR(A389)-1,12,1),$A$2:$A$400,0))-1,""))</f>
        <v/>
      </c>
      <c r="E389" s="115">
        <f>IF(B389="","",IFERROR(B389/INDEX($B$2:$B$400,MATCH(DATE(YEAR(A389)-1,MONTH(A389),1),$A$2:$A$400,0))-1,""))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IF(B390="","",IFERROR(B390/INDEX($B$2:$B$400,MATCH(DATE(YEAR(A390)-1,12,1),$A$2:$A$400,0))-1,""))</f>
        <v/>
      </c>
      <c r="E390" s="115">
        <f>IF(B390="","",IFERROR(B390/INDEX($B$2:$B$400,MATCH(DATE(YEAR(A390)-1,MONTH(A390),1),$A$2:$A$400,0))-1,""))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IF(B391="","",IFERROR(B391/INDEX($B$2:$B$400,MATCH(DATE(YEAR(A391)-1,12,1),$A$2:$A$400,0))-1,""))</f>
        <v/>
      </c>
      <c r="E391" s="115">
        <f>IF(B391="","",IFERROR(B391/INDEX($B$2:$B$400,MATCH(DATE(YEAR(A391)-1,MONTH(A391),1),$A$2:$A$400,0))-1,""))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IF(B392="","",IFERROR(B392/INDEX($B$2:$B$400,MATCH(DATE(YEAR(A392)-1,12,1),$A$2:$A$400,0))-1,""))</f>
        <v/>
      </c>
      <c r="E392" s="115">
        <f>IF(B392="","",IFERROR(B392/INDEX($B$2:$B$400,MATCH(DATE(YEAR(A392)-1,MONTH(A392),1),$A$2:$A$400,0))-1,""))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IF(B393="","",IFERROR(B393/INDEX($B$2:$B$400,MATCH(DATE(YEAR(A393)-1,12,1),$A$2:$A$400,0))-1,""))</f>
        <v/>
      </c>
      <c r="E393" s="115">
        <f>IF(B393="","",IFERROR(B393/INDEX($B$2:$B$400,MATCH(DATE(YEAR(A393)-1,MONTH(A393),1),$A$2:$A$400,0))-1,""))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IF(B394="","",IFERROR(B394/INDEX($B$2:$B$400,MATCH(DATE(YEAR(A394)-1,12,1),$A$2:$A$400,0))-1,""))</f>
        <v/>
      </c>
      <c r="E394" s="115">
        <f>IF(B394="","",IFERROR(B394/INDEX($B$2:$B$400,MATCH(DATE(YEAR(A394)-1,MONTH(A394),1),$A$2:$A$400,0))-1,""))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IF(B395="","",IFERROR(B395/INDEX($B$2:$B$400,MATCH(DATE(YEAR(A395)-1,12,1),$A$2:$A$400,0))-1,""))</f>
        <v/>
      </c>
      <c r="E395" s="115">
        <f>IF(B395="","",IFERROR(B395/INDEX($B$2:$B$400,MATCH(DATE(YEAR(A395)-1,MONTH(A395),1),$A$2:$A$400,0))-1,""))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IF(B396="","",IFERROR(B396/INDEX($B$2:$B$400,MATCH(DATE(YEAR(A396)-1,12,1),$A$2:$A$400,0))-1,""))</f>
        <v/>
      </c>
      <c r="E396" s="115">
        <f>IF(B396="","",IFERROR(B396/INDEX($B$2:$B$400,MATCH(DATE(YEAR(A396)-1,MONTH(A396),1),$A$2:$A$400,0))-1,""))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IF(B397="","",IFERROR(B397/INDEX($B$2:$B$400,MATCH(DATE(YEAR(A397)-1,12,1),$A$2:$A$400,0))-1,""))</f>
        <v/>
      </c>
      <c r="E397" s="115">
        <f>IF(B397="","",IFERROR(B397/INDEX($B$2:$B$400,MATCH(DATE(YEAR(A397)-1,MONTH(A397),1),$A$2:$A$400,0))-1,""))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IF(B398="","",IFERROR(B398/INDEX($B$2:$B$400,MATCH(DATE(YEAR(A398)-1,12,1),$A$2:$A$400,0))-1,""))</f>
        <v/>
      </c>
      <c r="E398" s="115">
        <f>IF(B398="","",IFERROR(B398/INDEX($B$2:$B$400,MATCH(DATE(YEAR(A398)-1,MONTH(A398),1),$A$2:$A$400,0))-1,""))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IF(B399="","",IFERROR(B399/INDEX($B$2:$B$400,MATCH(DATE(YEAR(A399)-1,12,1),$A$2:$A$400,0))-1,""))</f>
        <v/>
      </c>
      <c r="E399" s="115">
        <f>IF(B399="","",IFERROR(B399/INDEX($B$2:$B$400,MATCH(DATE(YEAR(A399)-1,MONTH(A399),1),$A$2:$A$400,0))-1,""))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IF(B400="","",IFERROR(B400/INDEX($B$2:$B$400,MATCH(DATE(YEAR(A400)-1,12,1),$A$2:$A$400,0))-1,""))</f>
        <v/>
      </c>
      <c r="E400" s="115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8">
        <f>COUNTIF(M5:M3004,"?")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IF(E5="","",IF(LEFT(E5,7)="SUBSOLO",-1,IF(LEFT(E5,6)="TÉRREO",0,IFERROR(VALUE(LEFT(E5,FIND("º",E5)-1)),""))))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IF(E6="","",IF(LEFT(E6,7)="SUBSOLO",-1,IF(LEFT(E6,6)="TÉRREO",0,IFERROR(VALUE(LEFT(E6,FIND("º",E6)-1)),""))))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IF(E7="","",IF(LEFT(E7,7)="SUBSOLO",-1,IF(LEFT(E7,6)="TÉRREO",0,IFERROR(VALUE(LEFT(E7,FIND("º",E7)-1)),""))))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IF(E8="","",IF(LEFT(E8,7)="SUBSOLO",-1,IF(LEFT(E8,6)="TÉRREO",0,IFERROR(VALUE(LEFT(E8,FIND("º",E8)-1)),""))))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IF(E9="","",IF(LEFT(E9,7)="SUBSOLO",-1,IF(LEFT(E9,6)="TÉRREO",0,IFERROR(VALUE(LEFT(E9,FIND("º",E9)-1)),""))))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IF(E10="","",IF(LEFT(E10,7)="SUBSOLO",-1,IF(LEFT(E10,6)="TÉRREO",0,IFERROR(VALUE(LEFT(E10,FIND("º",E10)-1)),""))))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IF(E11="","",IF(LEFT(E11,7)="SUBSOLO",-1,IF(LEFT(E11,6)="TÉRREO",0,IFERROR(VALUE(LEFT(E11,FIND("º",E11)-1)),""))))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IF(E12="","",IF(LEFT(E12,7)="SUBSOLO",-1,IF(LEFT(E12,6)="TÉRREO",0,IFERROR(VALUE(LEFT(E12,FIND("º",E12)-1)),""))))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IF(E13="","",IF(LEFT(E13,7)="SUBSOLO",-1,IF(LEFT(E13,6)="TÉRREO",0,IFERROR(VALUE(LEFT(E13,FIND("º",E13)-1)),""))))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IF(E14="","",IF(LEFT(E14,7)="SUBSOLO",-1,IF(LEFT(E14,6)="TÉRREO",0,IFERROR(VALUE(LEFT(E14,FIND("º",E14)-1)),""))))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IF(E15="","",IF(LEFT(E15,7)="SUBSOLO",-1,IF(LEFT(E15,6)="TÉRREO",0,IFERROR(VALUE(LEFT(E15,FIND("º",E15)-1)),""))))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IF(E16="","",IF(LEFT(E16,7)="SUBSOLO",-1,IF(LEFT(E16,6)="TÉRREO",0,IFERROR(VALUE(LEFT(E16,FIND("º",E16)-1)),""))))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IF(E17="","",IF(LEFT(E17,7)="SUBSOLO",-1,IF(LEFT(E17,6)="TÉRREO",0,IFERROR(VALUE(LEFT(E17,FIND("º",E17)-1)),""))))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IF(E18="","",IF(LEFT(E18,7)="SUBSOLO",-1,IF(LEFT(E18,6)="TÉRREO",0,IFERROR(VALUE(LEFT(E18,FIND("º",E18)-1)),""))))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IF(E19="","",IF(LEFT(E19,7)="SUBSOLO",-1,IF(LEFT(E19,6)="TÉRREO",0,IFERROR(VALUE(LEFT(E19,FIND("º",E19)-1)),""))))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IF(E20="","",IF(LEFT(E20,7)="SUBSOLO",-1,IF(LEFT(E20,6)="TÉRREO",0,IFERROR(VALUE(LEFT(E20,FIND("º",E20)-1)),""))))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IF(E21="","",IF(LEFT(E21,7)="SUBSOLO",-1,IF(LEFT(E21,6)="TÉRREO",0,IFERROR(VALUE(LEFT(E21,FIND("º",E21)-1)),""))))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IF(E22="","",IF(LEFT(E22,7)="SUBSOLO",-1,IF(LEFT(E22,6)="TÉRREO",0,IFERROR(VALUE(LEFT(E22,FIND("º",E22)-1)),""))))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IF(E23="","",IF(LEFT(E23,7)="SUBSOLO",-1,IF(LEFT(E23,6)="TÉRREO",0,IFERROR(VALUE(LEFT(E23,FIND("º",E23)-1)),""))))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IF(E24="","",IF(LEFT(E24,7)="SUBSOLO",-1,IF(LEFT(E24,6)="TÉRREO",0,IFERROR(VALUE(LEFT(E24,FIND("º",E24)-1)),""))))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IF(E25="","",IF(LEFT(E25,7)="SUBSOLO",-1,IF(LEFT(E25,6)="TÉRREO",0,IFERROR(VALUE(LEFT(E25,FIND("º",E25)-1)),""))))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IF(E26="","",IF(LEFT(E26,7)="SUBSOLO",-1,IF(LEFT(E26,6)="TÉRREO",0,IFERROR(VALUE(LEFT(E26,FIND("º",E26)-1)),""))))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IF(E27="","",IF(LEFT(E27,7)="SUBSOLO",-1,IF(LEFT(E27,6)="TÉRREO",0,IFERROR(VALUE(LEFT(E27,FIND("º",E27)-1)),""))))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IF(E28="","",IF(LEFT(E28,7)="SUBSOLO",-1,IF(LEFT(E28,6)="TÉRREO",0,IFERROR(VALUE(LEFT(E28,FIND("º",E28)-1)),""))))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IF(E29="","",IF(LEFT(E29,7)="SUBSOLO",-1,IF(LEFT(E29,6)="TÉRREO",0,IFERROR(VALUE(LEFT(E29,FIND("º",E29)-1)),""))))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IF(E30="","",IF(LEFT(E30,7)="SUBSOLO",-1,IF(LEFT(E30,6)="TÉRREO",0,IFERROR(VALUE(LEFT(E30,FIND("º",E30)-1)),""))))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IF(E31="","",IF(LEFT(E31,7)="SUBSOLO",-1,IF(LEFT(E31,6)="TÉRREO",0,IFERROR(VALUE(LEFT(E31,FIND("º",E31)-1)),""))))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IF(E32="","",IF(LEFT(E32,7)="SUBSOLO",-1,IF(LEFT(E32,6)="TÉRREO",0,IFERROR(VALUE(LEFT(E32,FIND("º",E32)-1)),""))))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IF(E33="","",IF(LEFT(E33,7)="SUBSOLO",-1,IF(LEFT(E33,6)="TÉRREO",0,IFERROR(VALUE(LEFT(E33,FIND("º",E33)-1)),""))))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IF(E34="","",IF(LEFT(E34,7)="SUBSOLO",-1,IF(LEFT(E34,6)="TÉRREO",0,IFERROR(VALUE(LEFT(E34,FIND("º",E34)-1)),""))))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IF(E35="","",IF(LEFT(E35,7)="SUBSOLO",-1,IF(LEFT(E35,6)="TÉRREO",0,IFERROR(VALUE(LEFT(E35,FIND("º",E35)-1)),""))))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IF(E36="","",IF(LEFT(E36,7)="SUBSOLO",-1,IF(LEFT(E36,6)="TÉRREO",0,IFERROR(VALUE(LEFT(E36,FIND("º",E36)-1)),""))))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IF(E37="","",IF(LEFT(E37,7)="SUBSOLO",-1,IF(LEFT(E37,6)="TÉRREO",0,IFERROR(VALUE(LEFT(E37,FIND("º",E37)-1)),""))))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IF(E38="","",IF(LEFT(E38,7)="SUBSOLO",-1,IF(LEFT(E38,6)="TÉRREO",0,IFERROR(VALUE(LEFT(E38,FIND("º",E38)-1)),""))))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IF(E39="","",IF(LEFT(E39,7)="SUBSOLO",-1,IF(LEFT(E39,6)="TÉRREO",0,IFERROR(VALUE(LEFT(E39,FIND("º",E39)-1)),""))))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IF(E40="","",IF(LEFT(E40,7)="SUBSOLO",-1,IF(LEFT(E40,6)="TÉRREO",0,IFERROR(VALUE(LEFT(E40,FIND("º",E40)-1)),""))))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IF(E41="","",IF(LEFT(E41,7)="SUBSOLO",-1,IF(LEFT(E41,6)="TÉRREO",0,IFERROR(VALUE(LEFT(E41,FIND("º",E41)-1)),""))))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IF(E42="","",IF(LEFT(E42,7)="SUBSOLO",-1,IF(LEFT(E42,6)="TÉRREO",0,IFERROR(VALUE(LEFT(E42,FIND("º",E42)-1)),""))))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IF(E43="","",IF(LEFT(E43,7)="SUBSOLO",-1,IF(LEFT(E43,6)="TÉRREO",0,IFERROR(VALUE(LEFT(E43,FIND("º",E43)-1)),""))))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IF(E44="","",IF(LEFT(E44,7)="SUBSOLO",-1,IF(LEFT(E44,6)="TÉRREO",0,IFERROR(VALUE(LEFT(E44,FIND("º",E44)-1)),""))))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IF(E45="","",IF(LEFT(E45,7)="SUBSOLO",-1,IF(LEFT(E45,6)="TÉRREO",0,IFERROR(VALUE(LEFT(E45,FIND("º",E45)-1)),""))))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IF(E46="","",IF(LEFT(E46,7)="SUBSOLO",-1,IF(LEFT(E46,6)="TÉRREO",0,IFERROR(VALUE(LEFT(E46,FIND("º",E46)-1)),""))))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IF(E47="","",IF(LEFT(E47,7)="SUBSOLO",-1,IF(LEFT(E47,6)="TÉRREO",0,IFERROR(VALUE(LEFT(E47,FIND("º",E47)-1)),""))))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IF(E48="","",IF(LEFT(E48,7)="SUBSOLO",-1,IF(LEFT(E48,6)="TÉRREO",0,IFERROR(VALUE(LEFT(E48,FIND("º",E48)-1)),""))))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IF(E49="","",IF(LEFT(E49,7)="SUBSOLO",-1,IF(LEFT(E49,6)="TÉRREO",0,IFERROR(VALUE(LEFT(E49,FIND("º",E49)-1)),""))))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IF(E50="","",IF(LEFT(E50,7)="SUBSOLO",-1,IF(LEFT(E50,6)="TÉRREO",0,IFERROR(VALUE(LEFT(E50,FIND("º",E50)-1)),""))))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IF(E51="","",IF(LEFT(E51,7)="SUBSOLO",-1,IF(LEFT(E51,6)="TÉRREO",0,IFERROR(VALUE(LEFT(E51,FIND("º",E51)-1)),""))))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IF(E52="","",IF(LEFT(E52,7)="SUBSOLO",-1,IF(LEFT(E52,6)="TÉRREO",0,IFERROR(VALUE(LEFT(E52,FIND("º",E52)-1)),""))))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IF(E53="","",IF(LEFT(E53,7)="SUBSOLO",-1,IF(LEFT(E53,6)="TÉRREO",0,IFERROR(VALUE(LEFT(E53,FIND("º",E53)-1)),""))))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IF(E54="","",IF(LEFT(E54,7)="SUBSOLO",-1,IF(LEFT(E54,6)="TÉRREO",0,IFERROR(VALUE(LEFT(E54,FIND("º",E54)-1)),""))))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IF(E55="","",IF(LEFT(E55,7)="SUBSOLO",-1,IF(LEFT(E55,6)="TÉRREO",0,IFERROR(VALUE(LEFT(E55,FIND("º",E55)-1)),""))))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IF(E56="","",IF(LEFT(E56,7)="SUBSOLO",-1,IF(LEFT(E56,6)="TÉRREO",0,IFERROR(VALUE(LEFT(E56,FIND("º",E56)-1)),""))))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IF(E57="","",IF(LEFT(E57,7)="SUBSOLO",-1,IF(LEFT(E57,6)="TÉRREO",0,IFERROR(VALUE(LEFT(E57,FIND("º",E57)-1)),""))))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IF(E58="","",IF(LEFT(E58,7)="SUBSOLO",-1,IF(LEFT(E58,6)="TÉRREO",0,IFERROR(VALUE(LEFT(E58,FIND("º",E58)-1)),""))))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IF(E59="","",IF(LEFT(E59,7)="SUBSOLO",-1,IF(LEFT(E59,6)="TÉRREO",0,IFERROR(VALUE(LEFT(E59,FIND("º",E59)-1)),""))))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IF(E60="","",IF(LEFT(E60,7)="SUBSOLO",-1,IF(LEFT(E60,6)="TÉRREO",0,IFERROR(VALUE(LEFT(E60,FIND("º",E60)-1)),""))))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IF(E61="","",IF(LEFT(E61,7)="SUBSOLO",-1,IF(LEFT(E61,6)="TÉRREO",0,IFERROR(VALUE(LEFT(E61,FIND("º",E61)-1)),""))))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IF(E62="","",IF(LEFT(E62,7)="SUBSOLO",-1,IF(LEFT(E62,6)="TÉRREO",0,IFERROR(VALUE(LEFT(E62,FIND("º",E62)-1)),""))))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IF(E63="","",IF(LEFT(E63,7)="SUBSOLO",-1,IF(LEFT(E63,6)="TÉRREO",0,IFERROR(VALUE(LEFT(E63,FIND("º",E63)-1)),""))))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IF(E64="","",IF(LEFT(E64,7)="SUBSOLO",-1,IF(LEFT(E64,6)="TÉRREO",0,IFERROR(VALUE(LEFT(E64,FIND("º",E64)-1)),""))))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IF(E65="","",IF(LEFT(E65,7)="SUBSOLO",-1,IF(LEFT(E65,6)="TÉRREO",0,IFERROR(VALUE(LEFT(E65,FIND("º",E65)-1)),""))))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IF(E66="","",IF(LEFT(E66,7)="SUBSOLO",-1,IF(LEFT(E66,6)="TÉRREO",0,IFERROR(VALUE(LEFT(E66,FIND("º",E66)-1)),""))))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IF(E67="","",IF(LEFT(E67,7)="SUBSOLO",-1,IF(LEFT(E67,6)="TÉRREO",0,IFERROR(VALUE(LEFT(E67,FIND("º",E67)-1)),""))))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IF(E68="","",IF(LEFT(E68,7)="SUBSOLO",-1,IF(LEFT(E68,6)="TÉRREO",0,IFERROR(VALUE(LEFT(E68,FIND("º",E68)-1)),""))))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IF(E69="","",IF(LEFT(E69,7)="SUBSOLO",-1,IF(LEFT(E69,6)="TÉRREO",0,IFERROR(VALUE(LEFT(E69,FIND("º",E69)-1)),""))))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IF(E70="","",IF(LEFT(E70,7)="SUBSOLO",-1,IF(LEFT(E70,6)="TÉRREO",0,IFERROR(VALUE(LEFT(E70,FIND("º",E70)-1)),""))))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IF(E71="","",IF(LEFT(E71,7)="SUBSOLO",-1,IF(LEFT(E71,6)="TÉRREO",0,IFERROR(VALUE(LEFT(E71,FIND("º",E71)-1)),""))))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IF(E72="","",IF(LEFT(E72,7)="SUBSOLO",-1,IF(LEFT(E72,6)="TÉRREO",0,IFERROR(VALUE(LEFT(E72,FIND("º",E72)-1)),""))))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IF(E73="","",IF(LEFT(E73,7)="SUBSOLO",-1,IF(LEFT(E73,6)="TÉRREO",0,IFERROR(VALUE(LEFT(E73,FIND("º",E73)-1)),""))))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IF(E74="","",IF(LEFT(E74,7)="SUBSOLO",-1,IF(LEFT(E74,6)="TÉRREO",0,IFERROR(VALUE(LEFT(E74,FIND("º",E74)-1)),""))))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IF(E75="","",IF(LEFT(E75,7)="SUBSOLO",-1,IF(LEFT(E75,6)="TÉRREO",0,IFERROR(VALUE(LEFT(E75,FIND("º",E75)-1)),""))))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IF(E76="","",IF(LEFT(E76,7)="SUBSOLO",-1,IF(LEFT(E76,6)="TÉRREO",0,IFERROR(VALUE(LEFT(E76,FIND("º",E76)-1)),""))))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IF(E77="","",IF(LEFT(E77,7)="SUBSOLO",-1,IF(LEFT(E77,6)="TÉRREO",0,IFERROR(VALUE(LEFT(E77,FIND("º",E77)-1)),""))))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IF(E78="","",IF(LEFT(E78,7)="SUBSOLO",-1,IF(LEFT(E78,6)="TÉRREO",0,IFERROR(VALUE(LEFT(E78,FIND("º",E78)-1)),""))))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IF(E79="","",IF(LEFT(E79,7)="SUBSOLO",-1,IF(LEFT(E79,6)="TÉRREO",0,IFERROR(VALUE(LEFT(E79,FIND("º",E79)-1)),""))))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IF(E80="","",IF(LEFT(E80,7)="SUBSOLO",-1,IF(LEFT(E80,6)="TÉRREO",0,IFERROR(VALUE(LEFT(E80,FIND("º",E80)-1)),""))))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IF(E81="","",IF(LEFT(E81,7)="SUBSOLO",-1,IF(LEFT(E81,6)="TÉRREO",0,IFERROR(VALUE(LEFT(E81,FIND("º",E81)-1)),""))))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IF(E82="","",IF(LEFT(E82,7)="SUBSOLO",-1,IF(LEFT(E82,6)="TÉRREO",0,IFERROR(VALUE(LEFT(E82,FIND("º",E82)-1)),""))))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IF(E83="","",IF(LEFT(E83,7)="SUBSOLO",-1,IF(LEFT(E83,6)="TÉRREO",0,IFERROR(VALUE(LEFT(E83,FIND("º",E83)-1)),""))))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IF(E84="","",IF(LEFT(E84,7)="SUBSOLO",-1,IF(LEFT(E84,6)="TÉRREO",0,IFERROR(VALUE(LEFT(E84,FIND("º",E84)-1)),""))))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IF(E85="","",IF(LEFT(E85,7)="SUBSOLO",-1,IF(LEFT(E85,6)="TÉRREO",0,IFERROR(VALUE(LEFT(E85,FIND("º",E85)-1)),""))))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IF(E86="","",IF(LEFT(E86,7)="SUBSOLO",-1,IF(LEFT(E86,6)="TÉRREO",0,IFERROR(VALUE(LEFT(E86,FIND("º",E86)-1)),""))))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IF(E87="","",IF(LEFT(E87,7)="SUBSOLO",-1,IF(LEFT(E87,6)="TÉRREO",0,IFERROR(VALUE(LEFT(E87,FIND("º",E87)-1)),""))))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IF(E88="","",IF(LEFT(E88,7)="SUBSOLO",-1,IF(LEFT(E88,6)="TÉRREO",0,IFERROR(VALUE(LEFT(E88,FIND("º",E88)-1)),""))))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IF(E89="","",IF(LEFT(E89,7)="SUBSOLO",-1,IF(LEFT(E89,6)="TÉRREO",0,IFERROR(VALUE(LEFT(E89,FIND("º",E89)-1)),""))))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IF(E90="","",IF(LEFT(E90,7)="SUBSOLO",-1,IF(LEFT(E90,6)="TÉRREO",0,IFERROR(VALUE(LEFT(E90,FIND("º",E90)-1)),""))))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IF(E91="","",IF(LEFT(E91,7)="SUBSOLO",-1,IF(LEFT(E91,6)="TÉRREO",0,IFERROR(VALUE(LEFT(E91,FIND("º",E91)-1)),""))))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IF(E92="","",IF(LEFT(E92,7)="SUBSOLO",-1,IF(LEFT(E92,6)="TÉRREO",0,IFERROR(VALUE(LEFT(E92,FIND("º",E92)-1)),""))))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IF(E93="","",IF(LEFT(E93,7)="SUBSOLO",-1,IF(LEFT(E93,6)="TÉRREO",0,IFERROR(VALUE(LEFT(E93,FIND("º",E93)-1)),""))))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IF(E94="","",IF(LEFT(E94,7)="SUBSOLO",-1,IF(LEFT(E94,6)="TÉRREO",0,IFERROR(VALUE(LEFT(E94,FIND("º",E94)-1)),""))))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IF(E95="","",IF(LEFT(E95,7)="SUBSOLO",-1,IF(LEFT(E95,6)="TÉRREO",0,IFERROR(VALUE(LEFT(E95,FIND("º",E95)-1)),""))))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IF(E96="","",IF(LEFT(E96,7)="SUBSOLO",-1,IF(LEFT(E96,6)="TÉRREO",0,IFERROR(VALUE(LEFT(E96,FIND("º",E96)-1)),""))))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IF(E97="","",IF(LEFT(E97,7)="SUBSOLO",-1,IF(LEFT(E97,6)="TÉRREO",0,IFERROR(VALUE(LEFT(E97,FIND("º",E97)-1)),""))))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IF(E98="","",IF(LEFT(E98,7)="SUBSOLO",-1,IF(LEFT(E98,6)="TÉRREO",0,IFERROR(VALUE(LEFT(E98,FIND("º",E98)-1)),""))))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IF(E99="","",IF(LEFT(E99,7)="SUBSOLO",-1,IF(LEFT(E99,6)="TÉRREO",0,IFERROR(VALUE(LEFT(E99,FIND("º",E99)-1)),""))))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IF(E100="","",IF(LEFT(E100,7)="SUBSOLO",-1,IF(LEFT(E100,6)="TÉRREO",0,IFERROR(VALUE(LEFT(E100,FIND("º",E100)-1)),""))))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IF(E101="","",IF(LEFT(E101,7)="SUBSOLO",-1,IF(LEFT(E101,6)="TÉRREO",0,IFERROR(VALUE(LEFT(E101,FIND("º",E101)-1)),""))))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IF(E102="","",IF(LEFT(E102,7)="SUBSOLO",-1,IF(LEFT(E102,6)="TÉRREO",0,IFERROR(VALUE(LEFT(E102,FIND("º",E102)-1)),""))))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IF(E103="","",IF(LEFT(E103,7)="SUBSOLO",-1,IF(LEFT(E103,6)="TÉRREO",0,IFERROR(VALUE(LEFT(E103,FIND("º",E103)-1)),""))))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IF(E104="","",IF(LEFT(E104,7)="SUBSOLO",-1,IF(LEFT(E104,6)="TÉRREO",0,IFERROR(VALUE(LEFT(E104,FIND("º",E104)-1)),""))))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IF(E105="","",IF(LEFT(E105,7)="SUBSOLO",-1,IF(LEFT(E105,6)="TÉRREO",0,IFERROR(VALUE(LEFT(E105,FIND("º",E105)-1)),""))))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IF(E106="","",IF(LEFT(E106,7)="SUBSOLO",-1,IF(LEFT(E106,6)="TÉRREO",0,IFERROR(VALUE(LEFT(E106,FIND("º",E106)-1)),""))))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IF(E107="","",IF(LEFT(E107,7)="SUBSOLO",-1,IF(LEFT(E107,6)="TÉRREO",0,IFERROR(VALUE(LEFT(E107,FIND("º",E107)-1)),""))))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IF(E108="","",IF(LEFT(E108,7)="SUBSOLO",-1,IF(LEFT(E108,6)="TÉRREO",0,IFERROR(VALUE(LEFT(E108,FIND("º",E108)-1)),""))))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IF(E109="","",IF(LEFT(E109,7)="SUBSOLO",-1,IF(LEFT(E109,6)="TÉRREO",0,IFERROR(VALUE(LEFT(E109,FIND("º",E109)-1)),""))))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IF(E110="","",IF(LEFT(E110,7)="SUBSOLO",-1,IF(LEFT(E110,6)="TÉRREO",0,IFERROR(VALUE(LEFT(E110,FIND("º",E110)-1)),""))))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IF(E111="","",IF(LEFT(E111,7)="SUBSOLO",-1,IF(LEFT(E111,6)="TÉRREO",0,IFERROR(VALUE(LEFT(E111,FIND("º",E111)-1)),""))))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IF(E112="","",IF(LEFT(E112,7)="SUBSOLO",-1,IF(LEFT(E112,6)="TÉRREO",0,IFERROR(VALUE(LEFT(E112,FIND("º",E112)-1)),""))))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IF(E113="","",IF(LEFT(E113,7)="SUBSOLO",-1,IF(LEFT(E113,6)="TÉRREO",0,IFERROR(VALUE(LEFT(E113,FIND("º",E113)-1)),""))))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IF(E114="","",IF(LEFT(E114,7)="SUBSOLO",-1,IF(LEFT(E114,6)="TÉRREO",0,IFERROR(VALUE(LEFT(E114,FIND("º",E114)-1)),""))))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IF(E115="","",IF(LEFT(E115,7)="SUBSOLO",-1,IF(LEFT(E115,6)="TÉRREO",0,IFERROR(VALUE(LEFT(E115,FIND("º",E115)-1)),""))))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IF(E116="","",IF(LEFT(E116,7)="SUBSOLO",-1,IF(LEFT(E116,6)="TÉRREO",0,IFERROR(VALUE(LEFT(E116,FIND("º",E116)-1)),""))))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IF(E117="","",IF(LEFT(E117,7)="SUBSOLO",-1,IF(LEFT(E117,6)="TÉRREO",0,IFERROR(VALUE(LEFT(E117,FIND("º",E117)-1)),""))))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IF(E118="","",IF(LEFT(E118,7)="SUBSOLO",-1,IF(LEFT(E118,6)="TÉRREO",0,IFERROR(VALUE(LEFT(E118,FIND("º",E118)-1)),""))))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IF(E119="","",IF(LEFT(E119,7)="SUBSOLO",-1,IF(LEFT(E119,6)="TÉRREO",0,IFERROR(VALUE(LEFT(E119,FIND("º",E119)-1)),""))))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IF(E120="","",IF(LEFT(E120,7)="SUBSOLO",-1,IF(LEFT(E120,6)="TÉRREO",0,IFERROR(VALUE(LEFT(E120,FIND("º",E120)-1)),""))))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IF(E121="","",IF(LEFT(E121,7)="SUBSOLO",-1,IF(LEFT(E121,6)="TÉRREO",0,IFERROR(VALUE(LEFT(E121,FIND("º",E121)-1)),""))))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IF(E122="","",IF(LEFT(E122,7)="SUBSOLO",-1,IF(LEFT(E122,6)="TÉRREO",0,IFERROR(VALUE(LEFT(E122,FIND("º",E122)-1)),""))))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IF(E123="","",IF(LEFT(E123,7)="SUBSOLO",-1,IF(LEFT(E123,6)="TÉRREO",0,IFERROR(VALUE(LEFT(E123,FIND("º",E123)-1)),""))))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IF(E124="","",IF(LEFT(E124,7)="SUBSOLO",-1,IF(LEFT(E124,6)="TÉRREO",0,IFERROR(VALUE(LEFT(E124,FIND("º",E124)-1)),""))))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IF(E125="","",IF(LEFT(E125,7)="SUBSOLO",-1,IF(LEFT(E125,6)="TÉRREO",0,IFERROR(VALUE(LEFT(E125,FIND("º",E125)-1)),""))))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IF(E126="","",IF(LEFT(E126,7)="SUBSOLO",-1,IF(LEFT(E126,6)="TÉRREO",0,IFERROR(VALUE(LEFT(E126,FIND("º",E126)-1)),""))))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IF(E127="","",IF(LEFT(E127,7)="SUBSOLO",-1,IF(LEFT(E127,6)="TÉRREO",0,IFERROR(VALUE(LEFT(E127,FIND("º",E127)-1)),""))))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IF(E128="","",IF(LEFT(E128,7)="SUBSOLO",-1,IF(LEFT(E128,6)="TÉRREO",0,IFERROR(VALUE(LEFT(E128,FIND("º",E128)-1)),""))))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IF(E129="","",IF(LEFT(E129,7)="SUBSOLO",-1,IF(LEFT(E129,6)="TÉRREO",0,IFERROR(VALUE(LEFT(E129,FIND("º",E129)-1)),""))))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IF(E130="","",IF(LEFT(E130,7)="SUBSOLO",-1,IF(LEFT(E130,6)="TÉRREO",0,IFERROR(VALUE(LEFT(E130,FIND("º",E130)-1)),""))))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IF(E131="","",IF(LEFT(E131,7)="SUBSOLO",-1,IF(LEFT(E131,6)="TÉRREO",0,IFERROR(VALUE(LEFT(E131,FIND("º",E131)-1)),""))))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IF(E132="","",IF(LEFT(E132,7)="SUBSOLO",-1,IF(LEFT(E132,6)="TÉRREO",0,IFERROR(VALUE(LEFT(E132,FIND("º",E132)-1)),""))))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IF(E133="","",IF(LEFT(E133,7)="SUBSOLO",-1,IF(LEFT(E133,6)="TÉRREO",0,IFERROR(VALUE(LEFT(E133,FIND("º",E133)-1)),""))))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IF(E134="","",IF(LEFT(E134,7)="SUBSOLO",-1,IF(LEFT(E134,6)="TÉRREO",0,IFERROR(VALUE(LEFT(E134,FIND("º",E134)-1)),""))))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IF(E135="","",IF(LEFT(E135,7)="SUBSOLO",-1,IF(LEFT(E135,6)="TÉRREO",0,IFERROR(VALUE(LEFT(E135,FIND("º",E135)-1)),""))))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IF(E136="","",IF(LEFT(E136,7)="SUBSOLO",-1,IF(LEFT(E136,6)="TÉRREO",0,IFERROR(VALUE(LEFT(E136,FIND("º",E136)-1)),""))))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IF(E137="","",IF(LEFT(E137,7)="SUBSOLO",-1,IF(LEFT(E137,6)="TÉRREO",0,IFERROR(VALUE(LEFT(E137,FIND("º",E137)-1)),""))))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IF(E138="","",IF(LEFT(E138,7)="SUBSOLO",-1,IF(LEFT(E138,6)="TÉRREO",0,IFERROR(VALUE(LEFT(E138,FIND("º",E138)-1)),""))))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IF(E139="","",IF(LEFT(E139,7)="SUBSOLO",-1,IF(LEFT(E139,6)="TÉRREO",0,IFERROR(VALUE(LEFT(E139,FIND("º",E139)-1)),""))))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IF(E140="","",IF(LEFT(E140,7)="SUBSOLO",-1,IF(LEFT(E140,6)="TÉRREO",0,IFERROR(VALUE(LEFT(E140,FIND("º",E140)-1)),""))))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IF(E141="","",IF(LEFT(E141,7)="SUBSOLO",-1,IF(LEFT(E141,6)="TÉRREO",0,IFERROR(VALUE(LEFT(E141,FIND("º",E141)-1)),""))))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IF(E142="","",IF(LEFT(E142,7)="SUBSOLO",-1,IF(LEFT(E142,6)="TÉRREO",0,IFERROR(VALUE(LEFT(E142,FIND("º",E142)-1)),""))))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IF(E143="","",IF(LEFT(E143,7)="SUBSOLO",-1,IF(LEFT(E143,6)="TÉRREO",0,IFERROR(VALUE(LEFT(E143,FIND("º",E143)-1)),""))))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IF(E144="","",IF(LEFT(E144,7)="SUBSOLO",-1,IF(LEFT(E144,6)="TÉRREO",0,IFERROR(VALUE(LEFT(E144,FIND("º",E144)-1)),""))))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IF(E145="","",IF(LEFT(E145,7)="SUBSOLO",-1,IF(LEFT(E145,6)="TÉRREO",0,IFERROR(VALUE(LEFT(E145,FIND("º",E145)-1)),""))))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IF(E146="","",IF(LEFT(E146,7)="SUBSOLO",-1,IF(LEFT(E146,6)="TÉRREO",0,IFERROR(VALUE(LEFT(E146,FIND("º",E146)-1)),""))))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IF(E147="","",IF(LEFT(E147,7)="SUBSOLO",-1,IF(LEFT(E147,6)="TÉRREO",0,IFERROR(VALUE(LEFT(E147,FIND("º",E147)-1)),""))))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IF(E148="","",IF(LEFT(E148,7)="SUBSOLO",-1,IF(LEFT(E148,6)="TÉRREO",0,IFERROR(VALUE(LEFT(E148,FIND("º",E148)-1)),""))))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IF(E149="","",IF(LEFT(E149,7)="SUBSOLO",-1,IF(LEFT(E149,6)="TÉRREO",0,IFERROR(VALUE(LEFT(E149,FIND("º",E149)-1)),""))))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IF(E150="","",IF(LEFT(E150,7)="SUBSOLO",-1,IF(LEFT(E150,6)="TÉRREO",0,IFERROR(VALUE(LEFT(E150,FIND("º",E150)-1)),""))))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IF(E151="","",IF(LEFT(E151,7)="SUBSOLO",-1,IF(LEFT(E151,6)="TÉRREO",0,IFERROR(VALUE(LEFT(E151,FIND("º",E151)-1)),""))))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IF(E152="","",IF(LEFT(E152,7)="SUBSOLO",-1,IF(LEFT(E152,6)="TÉRREO",0,IFERROR(VALUE(LEFT(E152,FIND("º",E152)-1)),""))))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IF(E153="","",IF(LEFT(E153,7)="SUBSOLO",-1,IF(LEFT(E153,6)="TÉRREO",0,IFERROR(VALUE(LEFT(E153,FIND("º",E153)-1)),""))))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IF(E154="","",IF(LEFT(E154,7)="SUBSOLO",-1,IF(LEFT(E154,6)="TÉRREO",0,IFERROR(VALUE(LEFT(E154,FIND("º",E154)-1)),""))))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IF(E155="","",IF(LEFT(E155,7)="SUBSOLO",-1,IF(LEFT(E155,6)="TÉRREO",0,IFERROR(VALUE(LEFT(E155,FIND("º",E155)-1)),""))))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IF(E156="","",IF(LEFT(E156,7)="SUBSOLO",-1,IF(LEFT(E156,6)="TÉRREO",0,IFERROR(VALUE(LEFT(E156,FIND("º",E156)-1)),""))))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IF(E157="","",IF(LEFT(E157,7)="SUBSOLO",-1,IF(LEFT(E157,6)="TÉRREO",0,IFERROR(VALUE(LEFT(E157,FIND("º",E157)-1)),""))))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IF(E158="","",IF(LEFT(E158,7)="SUBSOLO",-1,IF(LEFT(E158,6)="TÉRREO",0,IFERROR(VALUE(LEFT(E158,FIND("º",E158)-1)),""))))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IF(E159="","",IF(LEFT(E159,7)="SUBSOLO",-1,IF(LEFT(E159,6)="TÉRREO",0,IFERROR(VALUE(LEFT(E159,FIND("º",E159)-1)),""))))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IF(E160="","",IF(LEFT(E160,7)="SUBSOLO",-1,IF(LEFT(E160,6)="TÉRREO",0,IFERROR(VALUE(LEFT(E160,FIND("º",E160)-1)),""))))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IF(E161="","",IF(LEFT(E161,7)="SUBSOLO",-1,IF(LEFT(E161,6)="TÉRREO",0,IFERROR(VALUE(LEFT(E161,FIND("º",E161)-1)),""))))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IF(E162="","",IF(LEFT(E162,7)="SUBSOLO",-1,IF(LEFT(E162,6)="TÉRREO",0,IFERROR(VALUE(LEFT(E162,FIND("º",E162)-1)),""))))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IF(E163="","",IF(LEFT(E163,7)="SUBSOLO",-1,IF(LEFT(E163,6)="TÉRREO",0,IFERROR(VALUE(LEFT(E163,FIND("º",E163)-1)),""))))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IF(E164="","",IF(LEFT(E164,7)="SUBSOLO",-1,IF(LEFT(E164,6)="TÉRREO",0,IFERROR(VALUE(LEFT(E164,FIND("º",E164)-1)),""))))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IF(E165="","",IF(LEFT(E165,7)="SUBSOLO",-1,IF(LEFT(E165,6)="TÉRREO",0,IFERROR(VALUE(LEFT(E165,FIND("º",E165)-1)),""))))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IF(E166="","",IF(LEFT(E166,7)="SUBSOLO",-1,IF(LEFT(E166,6)="TÉRREO",0,IFERROR(VALUE(LEFT(E166,FIND("º",E166)-1)),""))))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IF(E167="","",IF(LEFT(E167,7)="SUBSOLO",-1,IF(LEFT(E167,6)="TÉRREO",0,IFERROR(VALUE(LEFT(E167,FIND("º",E167)-1)),""))))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IF(E168="","",IF(LEFT(E168,7)="SUBSOLO",-1,IF(LEFT(E168,6)="TÉRREO",0,IFERROR(VALUE(LEFT(E168,FIND("º",E168)-1)),""))))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IF(E169="","",IF(LEFT(E169,7)="SUBSOLO",-1,IF(LEFT(E169,6)="TÉRREO",0,IFERROR(VALUE(LEFT(E169,FIND("º",E169)-1)),""))))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IF(E170="","",IF(LEFT(E170,7)="SUBSOLO",-1,IF(LEFT(E170,6)="TÉRREO",0,IFERROR(VALUE(LEFT(E170,FIND("º",E170)-1)),""))))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IF(E171="","",IF(LEFT(E171,7)="SUBSOLO",-1,IF(LEFT(E171,6)="TÉRREO",0,IFERROR(VALUE(LEFT(E171,FIND("º",E171)-1)),""))))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IF(E172="","",IF(LEFT(E172,7)="SUBSOLO",-1,IF(LEFT(E172,6)="TÉRREO",0,IFERROR(VALUE(LEFT(E172,FIND("º",E172)-1)),""))))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IF(E173="","",IF(LEFT(E173,7)="SUBSOLO",-1,IF(LEFT(E173,6)="TÉRREO",0,IFERROR(VALUE(LEFT(E173,FIND("º",E173)-1)),""))))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IF(E174="","",IF(LEFT(E174,7)="SUBSOLO",-1,IF(LEFT(E174,6)="TÉRREO",0,IFERROR(VALUE(LEFT(E174,FIND("º",E174)-1)),""))))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IF(E175="","",IF(LEFT(E175,7)="SUBSOLO",-1,IF(LEFT(E175,6)="TÉRREO",0,IFERROR(VALUE(LEFT(E175,FIND("º",E175)-1)),""))))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IF(E176="","",IF(LEFT(E176,7)="SUBSOLO",-1,IF(LEFT(E176,6)="TÉRREO",0,IFERROR(VALUE(LEFT(E176,FIND("º",E176)-1)),""))))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IF(E177="","",IF(LEFT(E177,7)="SUBSOLO",-1,IF(LEFT(E177,6)="TÉRREO",0,IFERROR(VALUE(LEFT(E177,FIND("º",E177)-1)),""))))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IF(E178="","",IF(LEFT(E178,7)="SUBSOLO",-1,IF(LEFT(E178,6)="TÉRREO",0,IFERROR(VALUE(LEFT(E178,FIND("º",E178)-1)),""))))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IF(E179="","",IF(LEFT(E179,7)="SUBSOLO",-1,IF(LEFT(E179,6)="TÉRREO",0,IFERROR(VALUE(LEFT(E179,FIND("º",E179)-1)),""))))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IF(E180="","",IF(LEFT(E180,7)="SUBSOLO",-1,IF(LEFT(E180,6)="TÉRREO",0,IFERROR(VALUE(LEFT(E180,FIND("º",E180)-1)),""))))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IF(E181="","",IF(LEFT(E181,7)="SUBSOLO",-1,IF(LEFT(E181,6)="TÉRREO",0,IFERROR(VALUE(LEFT(E181,FIND("º",E181)-1)),""))))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IF(E182="","",IF(LEFT(E182,7)="SUBSOLO",-1,IF(LEFT(E182,6)="TÉRREO",0,IFERROR(VALUE(LEFT(E182,FIND("º",E182)-1)),""))))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IF(E183="","",IF(LEFT(E183,7)="SUBSOLO",-1,IF(LEFT(E183,6)="TÉRREO",0,IFERROR(VALUE(LEFT(E183,FIND("º",E183)-1)),""))))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IF(E184="","",IF(LEFT(E184,7)="SUBSOLO",-1,IF(LEFT(E184,6)="TÉRREO",0,IFERROR(VALUE(LEFT(E184,FIND("º",E184)-1)),""))))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IF(E185="","",IF(LEFT(E185,7)="SUBSOLO",-1,IF(LEFT(E185,6)="TÉRREO",0,IFERROR(VALUE(LEFT(E185,FIND("º",E185)-1)),""))))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IF(E186="","",IF(LEFT(E186,7)="SUBSOLO",-1,IF(LEFT(E186,6)="TÉRREO",0,IFERROR(VALUE(LEFT(E186,FIND("º",E186)-1)),""))))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IF(E187="","",IF(LEFT(E187,7)="SUBSOLO",-1,IF(LEFT(E187,6)="TÉRREO",0,IFERROR(VALUE(LEFT(E187,FIND("º",E187)-1)),""))))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IF(E188="","",IF(LEFT(E188,7)="SUBSOLO",-1,IF(LEFT(E188,6)="TÉRREO",0,IFERROR(VALUE(LEFT(E188,FIND("º",E188)-1)),""))))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IF(E189="","",IF(LEFT(E189,7)="SUBSOLO",-1,IF(LEFT(E189,6)="TÉRREO",0,IFERROR(VALUE(LEFT(E189,FIND("º",E189)-1)),""))))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IF(E190="","",IF(LEFT(E190,7)="SUBSOLO",-1,IF(LEFT(E190,6)="TÉRREO",0,IFERROR(VALUE(LEFT(E190,FIND("º",E190)-1)),""))))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IF(E191="","",IF(LEFT(E191,7)="SUBSOLO",-1,IF(LEFT(E191,6)="TÉRREO",0,IFERROR(VALUE(LEFT(E191,FIND("º",E191)-1)),""))))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IF(E192="","",IF(LEFT(E192,7)="SUBSOLO",-1,IF(LEFT(E192,6)="TÉRREO",0,IFERROR(VALUE(LEFT(E192,FIND("º",E192)-1)),""))))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IF(E193="","",IF(LEFT(E193,7)="SUBSOLO",-1,IF(LEFT(E193,6)="TÉRREO",0,IFERROR(VALUE(LEFT(E193,FIND("º",E193)-1)),""))))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IF(E194="","",IF(LEFT(E194,7)="SUBSOLO",-1,IF(LEFT(E194,6)="TÉRREO",0,IFERROR(VALUE(LEFT(E194,FIND("º",E194)-1)),""))))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IF(E195="","",IF(LEFT(E195,7)="SUBSOLO",-1,IF(LEFT(E195,6)="TÉRREO",0,IFERROR(VALUE(LEFT(E195,FIND("º",E195)-1)),""))))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IF(E196="","",IF(LEFT(E196,7)="SUBSOLO",-1,IF(LEFT(E196,6)="TÉRREO",0,IFERROR(VALUE(LEFT(E196,FIND("º",E196)-1)),""))))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IF(E197="","",IF(LEFT(E197,7)="SUBSOLO",-1,IF(LEFT(E197,6)="TÉRREO",0,IFERROR(VALUE(LEFT(E197,FIND("º",E197)-1)),""))))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IF(E198="","",IF(LEFT(E198,7)="SUBSOLO",-1,IF(LEFT(E198,6)="TÉRREO",0,IFERROR(VALUE(LEFT(E198,FIND("º",E198)-1)),""))))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IF(E199="","",IF(LEFT(E199,7)="SUBSOLO",-1,IF(LEFT(E199,6)="TÉRREO",0,IFERROR(VALUE(LEFT(E199,FIND("º",E199)-1)),""))))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IF(E200="","",IF(LEFT(E200,7)="SUBSOLO",-1,IF(LEFT(E200,6)="TÉRREO",0,IFERROR(VALUE(LEFT(E200,FIND("º",E200)-1)),""))))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IF(E201="","",IF(LEFT(E201,7)="SUBSOLO",-1,IF(LEFT(E201,6)="TÉRREO",0,IFERROR(VALUE(LEFT(E201,FIND("º",E201)-1)),""))))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IF(E202="","",IF(LEFT(E202,7)="SUBSOLO",-1,IF(LEFT(E202,6)="TÉRREO",0,IFERROR(VALUE(LEFT(E202,FIND("º",E202)-1)),""))))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IF(E203="","",IF(LEFT(E203,7)="SUBSOLO",-1,IF(LEFT(E203,6)="TÉRREO",0,IFERROR(VALUE(LEFT(E203,FIND("º",E203)-1)),""))))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IF(E204="","",IF(LEFT(E204,7)="SUBSOLO",-1,IF(LEFT(E204,6)="TÉRREO",0,IFERROR(VALUE(LEFT(E204,FIND("º",E204)-1)),""))))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IF(E205="","",IF(LEFT(E205,7)="SUBSOLO",-1,IF(LEFT(E205,6)="TÉRREO",0,IFERROR(VALUE(LEFT(E205,FIND("º",E205)-1)),""))))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IF(E206="","",IF(LEFT(E206,7)="SUBSOLO",-1,IF(LEFT(E206,6)="TÉRREO",0,IFERROR(VALUE(LEFT(E206,FIND("º",E206)-1)),""))))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IF(E207="","",IF(LEFT(E207,7)="SUBSOLO",-1,IF(LEFT(E207,6)="TÉRREO",0,IFERROR(VALUE(LEFT(E207,FIND("º",E207)-1)),""))))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IF(E208="","",IF(LEFT(E208,7)="SUBSOLO",-1,IF(LEFT(E208,6)="TÉRREO",0,IFERROR(VALUE(LEFT(E208,FIND("º",E208)-1)),""))))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IF(E209="","",IF(LEFT(E209,7)="SUBSOLO",-1,IF(LEFT(E209,6)="TÉRREO",0,IFERROR(VALUE(LEFT(E209,FIND("º",E209)-1)),""))))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IF(E210="","",IF(LEFT(E210,7)="SUBSOLO",-1,IF(LEFT(E210,6)="TÉRREO",0,IFERROR(VALUE(LEFT(E210,FIND("º",E210)-1)),""))))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IF(E211="","",IF(LEFT(E211,7)="SUBSOLO",-1,IF(LEFT(E211,6)="TÉRREO",0,IFERROR(VALUE(LEFT(E211,FIND("º",E211)-1)),""))))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IF(E212="","",IF(LEFT(E212,7)="SUBSOLO",-1,IF(LEFT(E212,6)="TÉRREO",0,IFERROR(VALUE(LEFT(E212,FIND("º",E212)-1)),""))))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IF(E213="","",IF(LEFT(E213,7)="SUBSOLO",-1,IF(LEFT(E213,6)="TÉRREO",0,IFERROR(VALUE(LEFT(E213,FIND("º",E213)-1)),""))))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IF(E214="","",IF(LEFT(E214,7)="SUBSOLO",-1,IF(LEFT(E214,6)="TÉRREO",0,IFERROR(VALUE(LEFT(E214,FIND("º",E214)-1)),""))))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IF(E215="","",IF(LEFT(E215,7)="SUBSOLO",-1,IF(LEFT(E215,6)="TÉRREO",0,IFERROR(VALUE(LEFT(E215,FIND("º",E215)-1)),""))))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IF(E216="","",IF(LEFT(E216,7)="SUBSOLO",-1,IF(LEFT(E216,6)="TÉRREO",0,IFERROR(VALUE(LEFT(E216,FIND("º",E216)-1)),""))))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IF(E217="","",IF(LEFT(E217,7)="SUBSOLO",-1,IF(LEFT(E217,6)="TÉRREO",0,IFERROR(VALUE(LEFT(E217,FIND("º",E217)-1)),""))))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IF(E218="","",IF(LEFT(E218,7)="SUBSOLO",-1,IF(LEFT(E218,6)="TÉRREO",0,IFERROR(VALUE(LEFT(E218,FIND("º",E218)-1)),""))))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IF(E219="","",IF(LEFT(E219,7)="SUBSOLO",-1,IF(LEFT(E219,6)="TÉRREO",0,IFERROR(VALUE(LEFT(E219,FIND("º",E219)-1)),""))))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IF(E220="","",IF(LEFT(E220,7)="SUBSOLO",-1,IF(LEFT(E220,6)="TÉRREO",0,IFERROR(VALUE(LEFT(E220,FIND("º",E220)-1)),""))))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IF(E221="","",IF(LEFT(E221,7)="SUBSOLO",-1,IF(LEFT(E221,6)="TÉRREO",0,IFERROR(VALUE(LEFT(E221,FIND("º",E221)-1)),""))))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IF(E222="","",IF(LEFT(E222,7)="SUBSOLO",-1,IF(LEFT(E222,6)="TÉRREO",0,IFERROR(VALUE(LEFT(E222,FIND("º",E222)-1)),""))))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IF(E223="","",IF(LEFT(E223,7)="SUBSOLO",-1,IF(LEFT(E223,6)="TÉRREO",0,IFERROR(VALUE(LEFT(E223,FIND("º",E223)-1)),""))))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IF(E224="","",IF(LEFT(E224,7)="SUBSOLO",-1,IF(LEFT(E224,6)="TÉRREO",0,IFERROR(VALUE(LEFT(E224,FIND("º",E224)-1)),""))))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IF(E225="","",IF(LEFT(E225,7)="SUBSOLO",-1,IF(LEFT(E225,6)="TÉRREO",0,IFERROR(VALUE(LEFT(E225,FIND("º",E225)-1)),""))))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IF(E226="","",IF(LEFT(E226,7)="SUBSOLO",-1,IF(LEFT(E226,6)="TÉRREO",0,IFERROR(VALUE(LEFT(E226,FIND("º",E226)-1)),""))))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IF(E227="","",IF(LEFT(E227,7)="SUBSOLO",-1,IF(LEFT(E227,6)="TÉRREO",0,IFERROR(VALUE(LEFT(E227,FIND("º",E227)-1)),""))))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IF(E228="","",IF(LEFT(E228,7)="SUBSOLO",-1,IF(LEFT(E228,6)="TÉRREO",0,IFERROR(VALUE(LEFT(E228,FIND("º",E228)-1)),""))))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IF(E229="","",IF(LEFT(E229,7)="SUBSOLO",-1,IF(LEFT(E229,6)="TÉRREO",0,IFERROR(VALUE(LEFT(E229,FIND("º",E229)-1)),""))))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IF(E230="","",IF(LEFT(E230,7)="SUBSOLO",-1,IF(LEFT(E230,6)="TÉRREO",0,IFERROR(VALUE(LEFT(E230,FIND("º",E230)-1)),""))))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IF(E231="","",IF(LEFT(E231,7)="SUBSOLO",-1,IF(LEFT(E231,6)="TÉRREO",0,IFERROR(VALUE(LEFT(E231,FIND("º",E231)-1)),""))))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IF(E232="","",IF(LEFT(E232,7)="SUBSOLO",-1,IF(LEFT(E232,6)="TÉRREO",0,IFERROR(VALUE(LEFT(E232,FIND("º",E232)-1)),""))))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IF(E233="","",IF(LEFT(E233,7)="SUBSOLO",-1,IF(LEFT(E233,6)="TÉRREO",0,IFERROR(VALUE(LEFT(E233,FIND("º",E233)-1)),""))))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IF(E234="","",IF(LEFT(E234,7)="SUBSOLO",-1,IF(LEFT(E234,6)="TÉRREO",0,IFERROR(VALUE(LEFT(E234,FIND("º",E234)-1)),""))))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IF(E235="","",IF(LEFT(E235,7)="SUBSOLO",-1,IF(LEFT(E235,6)="TÉRREO",0,IFERROR(VALUE(LEFT(E235,FIND("º",E235)-1)),""))))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IF(E236="","",IF(LEFT(E236,7)="SUBSOLO",-1,IF(LEFT(E236,6)="TÉRREO",0,IFERROR(VALUE(LEFT(E236,FIND("º",E236)-1)),""))))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IF(E237="","",IF(LEFT(E237,7)="SUBSOLO",-1,IF(LEFT(E237,6)="TÉRREO",0,IFERROR(VALUE(LEFT(E237,FIND("º",E237)-1)),""))))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IF(E238="","",IF(LEFT(E238,7)="SUBSOLO",-1,IF(LEFT(E238,6)="TÉRREO",0,IFERROR(VALUE(LEFT(E238,FIND("º",E238)-1)),""))))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IF(E239="","",IF(LEFT(E239,7)="SUBSOLO",-1,IF(LEFT(E239,6)="TÉRREO",0,IFERROR(VALUE(LEFT(E239,FIND("º",E239)-1)),""))))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IF(E240="","",IF(LEFT(E240,7)="SUBSOLO",-1,IF(LEFT(E240,6)="TÉRREO",0,IFERROR(VALUE(LEFT(E240,FIND("º",E240)-1)),""))))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IF(E241="","",IF(LEFT(E241,7)="SUBSOLO",-1,IF(LEFT(E241,6)="TÉRREO",0,IFERROR(VALUE(LEFT(E241,FIND("º",E241)-1)),""))))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IF(E242="","",IF(LEFT(E242,7)="SUBSOLO",-1,IF(LEFT(E242,6)="TÉRREO",0,IFERROR(VALUE(LEFT(E242,FIND("º",E242)-1)),""))))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IF(E243="","",IF(LEFT(E243,7)="SUBSOLO",-1,IF(LEFT(E243,6)="TÉRREO",0,IFERROR(VALUE(LEFT(E243,FIND("º",E243)-1)),""))))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IF(E244="","",IF(LEFT(E244,7)="SUBSOLO",-1,IF(LEFT(E244,6)="TÉRREO",0,IFERROR(VALUE(LEFT(E244,FIND("º",E244)-1)),""))))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IF(E245="","",IF(LEFT(E245,7)="SUBSOLO",-1,IF(LEFT(E245,6)="TÉRREO",0,IFERROR(VALUE(LEFT(E245,FIND("º",E245)-1)),""))))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IF(E246="","",IF(LEFT(E246,7)="SUBSOLO",-1,IF(LEFT(E246,6)="TÉRREO",0,IFERROR(VALUE(LEFT(E246,FIND("º",E246)-1)),""))))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IF(E247="","",IF(LEFT(E247,7)="SUBSOLO",-1,IF(LEFT(E247,6)="TÉRREO",0,IFERROR(VALUE(LEFT(E247,FIND("º",E247)-1)),""))))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IF(E248="","",IF(LEFT(E248,7)="SUBSOLO",-1,IF(LEFT(E248,6)="TÉRREO",0,IFERROR(VALUE(LEFT(E248,FIND("º",E248)-1)),""))))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IF(E249="","",IF(LEFT(E249,7)="SUBSOLO",-1,IF(LEFT(E249,6)="TÉRREO",0,IFERROR(VALUE(LEFT(E249,FIND("º",E249)-1)),""))))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IF(E250="","",IF(LEFT(E250,7)="SUBSOLO",-1,IF(LEFT(E250,6)="TÉRREO",0,IFERROR(VALUE(LEFT(E250,FIND("º",E250)-1)),""))))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IF(E251="","",IF(LEFT(E251,7)="SUBSOLO",-1,IF(LEFT(E251,6)="TÉRREO",0,IFERROR(VALUE(LEFT(E251,FIND("º",E251)-1)),""))))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IF(E252="","",IF(LEFT(E252,7)="SUBSOLO",-1,IF(LEFT(E252,6)="TÉRREO",0,IFERROR(VALUE(LEFT(E252,FIND("º",E252)-1)),""))))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IF(E253="","",IF(LEFT(E253,7)="SUBSOLO",-1,IF(LEFT(E253,6)="TÉRREO",0,IFERROR(VALUE(LEFT(E253,FIND("º",E253)-1)),""))))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IF(E254="","",IF(LEFT(E254,7)="SUBSOLO",-1,IF(LEFT(E254,6)="TÉRREO",0,IFERROR(VALUE(LEFT(E254,FIND("º",E254)-1)),""))))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IF(E255="","",IF(LEFT(E255,7)="SUBSOLO",-1,IF(LEFT(E255,6)="TÉRREO",0,IFERROR(VALUE(LEFT(E255,FIND("º",E255)-1)),""))))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IF(E256="","",IF(LEFT(E256,7)="SUBSOLO",-1,IF(LEFT(E256,6)="TÉRREO",0,IFERROR(VALUE(LEFT(E256,FIND("º",E256)-1)),""))))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IF(E257="","",IF(LEFT(E257,7)="SUBSOLO",-1,IF(LEFT(E257,6)="TÉRREO",0,IFERROR(VALUE(LEFT(E257,FIND("º",E257)-1)),""))))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IF(E258="","",IF(LEFT(E258,7)="SUBSOLO",-1,IF(LEFT(E258,6)="TÉRREO",0,IFERROR(VALUE(LEFT(E258,FIND("º",E258)-1)),""))))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IF(E259="","",IF(LEFT(E259,7)="SUBSOLO",-1,IF(LEFT(E259,6)="TÉRREO",0,IFERROR(VALUE(LEFT(E259,FIND("º",E259)-1)),""))))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IF(E260="","",IF(LEFT(E260,7)="SUBSOLO",-1,IF(LEFT(E260,6)="TÉRREO",0,IFERROR(VALUE(LEFT(E260,FIND("º",E260)-1)),""))))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IF(E261="","",IF(LEFT(E261,7)="SUBSOLO",-1,IF(LEFT(E261,6)="TÉRREO",0,IFERROR(VALUE(LEFT(E261,FIND("º",E261)-1)),""))))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IF(E262="","",IF(LEFT(E262,7)="SUBSOLO",-1,IF(LEFT(E262,6)="TÉRREO",0,IFERROR(VALUE(LEFT(E262,FIND("º",E262)-1)),""))))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IF(E263="","",IF(LEFT(E263,7)="SUBSOLO",-1,IF(LEFT(E263,6)="TÉRREO",0,IFERROR(VALUE(LEFT(E263,FIND("º",E263)-1)),""))))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IF(E264="","",IF(LEFT(E264,7)="SUBSOLO",-1,IF(LEFT(E264,6)="TÉRREO",0,IFERROR(VALUE(LEFT(E264,FIND("º",E264)-1)),""))))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IF(E265="","",IF(LEFT(E265,7)="SUBSOLO",-1,IF(LEFT(E265,6)="TÉRREO",0,IFERROR(VALUE(LEFT(E265,FIND("º",E265)-1)),""))))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IF(E266="","",IF(LEFT(E266,7)="SUBSOLO",-1,IF(LEFT(E266,6)="TÉRREO",0,IFERROR(VALUE(LEFT(E266,FIND("º",E266)-1)),""))))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IF(E267="","",IF(LEFT(E267,7)="SUBSOLO",-1,IF(LEFT(E267,6)="TÉRREO",0,IFERROR(VALUE(LEFT(E267,FIND("º",E267)-1)),""))))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IF(E268="","",IF(LEFT(E268,7)="SUBSOLO",-1,IF(LEFT(E268,6)="TÉRREO",0,IFERROR(VALUE(LEFT(E268,FIND("º",E268)-1)),""))))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IF(E269="","",IF(LEFT(E269,7)="SUBSOLO",-1,IF(LEFT(E269,6)="TÉRREO",0,IFERROR(VALUE(LEFT(E269,FIND("º",E269)-1)),""))))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IF(E270="","",IF(LEFT(E270,7)="SUBSOLO",-1,IF(LEFT(E270,6)="TÉRREO",0,IFERROR(VALUE(LEFT(E270,FIND("º",E270)-1)),""))))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IF(E271="","",IF(LEFT(E271,7)="SUBSOLO",-1,IF(LEFT(E271,6)="TÉRREO",0,IFERROR(VALUE(LEFT(E271,FIND("º",E271)-1)),""))))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IF(E272="","",IF(LEFT(E272,7)="SUBSOLO",-1,IF(LEFT(E272,6)="TÉRREO",0,IFERROR(VALUE(LEFT(E272,FIND("º",E272)-1)),""))))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IF(E273="","",IF(LEFT(E273,7)="SUBSOLO",-1,IF(LEFT(E273,6)="TÉRREO",0,IFERROR(VALUE(LEFT(E273,FIND("º",E273)-1)),""))))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IF(E274="","",IF(LEFT(E274,7)="SUBSOLO",-1,IF(LEFT(E274,6)="TÉRREO",0,IFERROR(VALUE(LEFT(E274,FIND("º",E274)-1)),""))))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IF(E275="","",IF(LEFT(E275,7)="SUBSOLO",-1,IF(LEFT(E275,6)="TÉRREO",0,IFERROR(VALUE(LEFT(E275,FIND("º",E275)-1)),""))))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IF(E276="","",IF(LEFT(E276,7)="SUBSOLO",-1,IF(LEFT(E276,6)="TÉRREO",0,IFERROR(VALUE(LEFT(E276,FIND("º",E276)-1)),""))))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IF(E277="","",IF(LEFT(E277,7)="SUBSOLO",-1,IF(LEFT(E277,6)="TÉRREO",0,IFERROR(VALUE(LEFT(E277,FIND("º",E277)-1)),""))))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IF(E278="","",IF(LEFT(E278,7)="SUBSOLO",-1,IF(LEFT(E278,6)="TÉRREO",0,IFERROR(VALUE(LEFT(E278,FIND("º",E278)-1)),""))))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IF(E279="","",IF(LEFT(E279,7)="SUBSOLO",-1,IF(LEFT(E279,6)="TÉRREO",0,IFERROR(VALUE(LEFT(E279,FIND("º",E279)-1)),""))))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IF(E280="","",IF(LEFT(E280,7)="SUBSOLO",-1,IF(LEFT(E280,6)="TÉRREO",0,IFERROR(VALUE(LEFT(E280,FIND("º",E280)-1)),""))))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IF(E281="","",IF(LEFT(E281,7)="SUBSOLO",-1,IF(LEFT(E281,6)="TÉRREO",0,IFERROR(VALUE(LEFT(E281,FIND("º",E281)-1)),""))))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IF(E282="","",IF(LEFT(E282,7)="SUBSOLO",-1,IF(LEFT(E282,6)="TÉRREO",0,IFERROR(VALUE(LEFT(E282,FIND("º",E282)-1)),""))))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IF(E283="","",IF(LEFT(E283,7)="SUBSOLO",-1,IF(LEFT(E283,6)="TÉRREO",0,IFERROR(VALUE(LEFT(E283,FIND("º",E283)-1)),""))))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IF(E284="","",IF(LEFT(E284,7)="SUBSOLO",-1,IF(LEFT(E284,6)="TÉRREO",0,IFERROR(VALUE(LEFT(E284,FIND("º",E284)-1)),""))))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IF(E285="","",IF(LEFT(E285,7)="SUBSOLO",-1,IF(LEFT(E285,6)="TÉRREO",0,IFERROR(VALUE(LEFT(E285,FIND("º",E285)-1)),""))))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IF(E286="","",IF(LEFT(E286,7)="SUBSOLO",-1,IF(LEFT(E286,6)="TÉRREO",0,IFERROR(VALUE(LEFT(E286,FIND("º",E286)-1)),""))))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IF(E287="","",IF(LEFT(E287,7)="SUBSOLO",-1,IF(LEFT(E287,6)="TÉRREO",0,IFERROR(VALUE(LEFT(E287,FIND("º",E287)-1)),""))))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IF(E288="","",IF(LEFT(E288,7)="SUBSOLO",-1,IF(LEFT(E288,6)="TÉRREO",0,IFERROR(VALUE(LEFT(E288,FIND("º",E288)-1)),""))))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IF(E289="","",IF(LEFT(E289,7)="SUBSOLO",-1,IF(LEFT(E289,6)="TÉRREO",0,IFERROR(VALUE(LEFT(E289,FIND("º",E289)-1)),""))))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IF(E290="","",IF(LEFT(E290,7)="SUBSOLO",-1,IF(LEFT(E290,6)="TÉRREO",0,IFERROR(VALUE(LEFT(E290,FIND("º",E290)-1)),""))))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IF(E291="","",IF(LEFT(E291,7)="SUBSOLO",-1,IF(LEFT(E291,6)="TÉRREO",0,IFERROR(VALUE(LEFT(E291,FIND("º",E291)-1)),""))))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IF(E292="","",IF(LEFT(E292,7)="SUBSOLO",-1,IF(LEFT(E292,6)="TÉRREO",0,IFERROR(VALUE(LEFT(E292,FIND("º",E292)-1)),""))))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IF(E293="","",IF(LEFT(E293,7)="SUBSOLO",-1,IF(LEFT(E293,6)="TÉRREO",0,IFERROR(VALUE(LEFT(E293,FIND("º",E293)-1)),""))))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IF(E294="","",IF(LEFT(E294,7)="SUBSOLO",-1,IF(LEFT(E294,6)="TÉRREO",0,IFERROR(VALUE(LEFT(E294,FIND("º",E294)-1)),""))))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IF(E295="","",IF(LEFT(E295,7)="SUBSOLO",-1,IF(LEFT(E295,6)="TÉRREO",0,IFERROR(VALUE(LEFT(E295,FIND("º",E295)-1)),""))))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IF(E296="","",IF(LEFT(E296,7)="SUBSOLO",-1,IF(LEFT(E296,6)="TÉRREO",0,IFERROR(VALUE(LEFT(E296,FIND("º",E296)-1)),""))))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IF(E297="","",IF(LEFT(E297,7)="SUBSOLO",-1,IF(LEFT(E297,6)="TÉRREO",0,IFERROR(VALUE(LEFT(E297,FIND("º",E297)-1)),""))))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IF(E298="","",IF(LEFT(E298,7)="SUBSOLO",-1,IF(LEFT(E298,6)="TÉRREO",0,IFERROR(VALUE(LEFT(E298,FIND("º",E298)-1)),""))))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IF(E299="","",IF(LEFT(E299,7)="SUBSOLO",-1,IF(LEFT(E299,6)="TÉRREO",0,IFERROR(VALUE(LEFT(E299,FIND("º",E299)-1)),""))))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IF(E300="","",IF(LEFT(E300,7)="SUBSOLO",-1,IF(LEFT(E300,6)="TÉRREO",0,IFERROR(VALUE(LEFT(E300,FIND("º",E300)-1)),""))))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IF(E301="","",IF(LEFT(E301,7)="SUBSOLO",-1,IF(LEFT(E301,6)="TÉRREO",0,IFERROR(VALUE(LEFT(E301,FIND("º",E301)-1)),""))))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IF(E302="","",IF(LEFT(E302,7)="SUBSOLO",-1,IF(LEFT(E302,6)="TÉRREO",0,IFERROR(VALUE(LEFT(E302,FIND("º",E302)-1)),""))))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IF(E303="","",IF(LEFT(E303,7)="SUBSOLO",-1,IF(LEFT(E303,6)="TÉRREO",0,IFERROR(VALUE(LEFT(E303,FIND("º",E303)-1)),""))))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IF(E304="","",IF(LEFT(E304,7)="SUBSOLO",-1,IF(LEFT(E304,6)="TÉRREO",0,IFERROR(VALUE(LEFT(E304,FIND("º",E304)-1)),""))))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IF(E305="","",IF(LEFT(E305,7)="SUBSOLO",-1,IF(LEFT(E305,6)="TÉRREO",0,IFERROR(VALUE(LEFT(E305,FIND("º",E305)-1)),""))))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IF(E306="","",IF(LEFT(E306,7)="SUBSOLO",-1,IF(LEFT(E306,6)="TÉRREO",0,IFERROR(VALUE(LEFT(E306,FIND("º",E306)-1)),""))))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IF(E307="","",IF(LEFT(E307,7)="SUBSOLO",-1,IF(LEFT(E307,6)="TÉRREO",0,IFERROR(VALUE(LEFT(E307,FIND("º",E307)-1)),""))))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IF(E308="","",IF(LEFT(E308,7)="SUBSOLO",-1,IF(LEFT(E308,6)="TÉRREO",0,IFERROR(VALUE(LEFT(E308,FIND("º",E308)-1)),""))))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IF(E309="","",IF(LEFT(E309,7)="SUBSOLO",-1,IF(LEFT(E309,6)="TÉRREO",0,IFERROR(VALUE(LEFT(E309,FIND("º",E309)-1)),""))))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IF(E310="","",IF(LEFT(E310,7)="SUBSOLO",-1,IF(LEFT(E310,6)="TÉRREO",0,IFERROR(VALUE(LEFT(E310,FIND("º",E310)-1)),""))))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IF(E311="","",IF(LEFT(E311,7)="SUBSOLO",-1,IF(LEFT(E311,6)="TÉRREO",0,IFERROR(VALUE(LEFT(E311,FIND("º",E311)-1)),""))))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IF(E312="","",IF(LEFT(E312,7)="SUBSOLO",-1,IF(LEFT(E312,6)="TÉRREO",0,IFERROR(VALUE(LEFT(E312,FIND("º",E312)-1)),""))))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IF(E313="","",IF(LEFT(E313,7)="SUBSOLO",-1,IF(LEFT(E313,6)="TÉRREO",0,IFERROR(VALUE(LEFT(E313,FIND("º",E313)-1)),""))))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IF(E314="","",IF(LEFT(E314,7)="SUBSOLO",-1,IF(LEFT(E314,6)="TÉRREO",0,IFERROR(VALUE(LEFT(E314,FIND("º",E314)-1)),""))))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IF(E315="","",IF(LEFT(E315,7)="SUBSOLO",-1,IF(LEFT(E315,6)="TÉRREO",0,IFERROR(VALUE(LEFT(E315,FIND("º",E315)-1)),""))))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IF(E316="","",IF(LEFT(E316,7)="SUBSOLO",-1,IF(LEFT(E316,6)="TÉRREO",0,IFERROR(VALUE(LEFT(E316,FIND("º",E316)-1)),""))))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IF(E317="","",IF(LEFT(E317,7)="SUBSOLO",-1,IF(LEFT(E317,6)="TÉRREO",0,IFERROR(VALUE(LEFT(E317,FIND("º",E317)-1)),""))))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IF(E318="","",IF(LEFT(E318,7)="SUBSOLO",-1,IF(LEFT(E318,6)="TÉRREO",0,IFERROR(VALUE(LEFT(E318,FIND("º",E318)-1)),""))))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IF(E319="","",IF(LEFT(E319,7)="SUBSOLO",-1,IF(LEFT(E319,6)="TÉRREO",0,IFERROR(VALUE(LEFT(E319,FIND("º",E319)-1)),""))))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IF(E320="","",IF(LEFT(E320,7)="SUBSOLO",-1,IF(LEFT(E320,6)="TÉRREO",0,IFERROR(VALUE(LEFT(E320,FIND("º",E320)-1)),""))))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IF(E321="","",IF(LEFT(E321,7)="SUBSOLO",-1,IF(LEFT(E321,6)="TÉRREO",0,IFERROR(VALUE(LEFT(E321,FIND("º",E321)-1)),""))))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IF(E322="","",IF(LEFT(E322,7)="SUBSOLO",-1,IF(LEFT(E322,6)="TÉRREO",0,IFERROR(VALUE(LEFT(E322,FIND("º",E322)-1)),""))))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IF(E323="","",IF(LEFT(E323,7)="SUBSOLO",-1,IF(LEFT(E323,6)="TÉRREO",0,IFERROR(VALUE(LEFT(E323,FIND("º",E323)-1)),""))))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IF(E324="","",IF(LEFT(E324,7)="SUBSOLO",-1,IF(LEFT(E324,6)="TÉRREO",0,IFERROR(VALUE(LEFT(E324,FIND("º",E324)-1)),""))))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IF(E325="","",IF(LEFT(E325,7)="SUBSOLO",-1,IF(LEFT(E325,6)="TÉRREO",0,IFERROR(VALUE(LEFT(E325,FIND("º",E325)-1)),""))))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IF(E326="","",IF(LEFT(E326,7)="SUBSOLO",-1,IF(LEFT(E326,6)="TÉRREO",0,IFERROR(VALUE(LEFT(E326,FIND("º",E326)-1)),""))))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IF(E327="","",IF(LEFT(E327,7)="SUBSOLO",-1,IF(LEFT(E327,6)="TÉRREO",0,IFERROR(VALUE(LEFT(E327,FIND("º",E327)-1)),""))))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IF(E328="","",IF(LEFT(E328,7)="SUBSOLO",-1,IF(LEFT(E328,6)="TÉRREO",0,IFERROR(VALUE(LEFT(E328,FIND("º",E328)-1)),""))))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IF(E329="","",IF(LEFT(E329,7)="SUBSOLO",-1,IF(LEFT(E329,6)="TÉRREO",0,IFERROR(VALUE(LEFT(E329,FIND("º",E329)-1)),""))))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IF(E330="","",IF(LEFT(E330,7)="SUBSOLO",-1,IF(LEFT(E330,6)="TÉRREO",0,IFERROR(VALUE(LEFT(E330,FIND("º",E330)-1)),""))))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IF(E331="","",IF(LEFT(E331,7)="SUBSOLO",-1,IF(LEFT(E331,6)="TÉRREO",0,IFERROR(VALUE(LEFT(E331,FIND("º",E331)-1)),""))))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IF(E332="","",IF(LEFT(E332,7)="SUBSOLO",-1,IF(LEFT(E332,6)="TÉRREO",0,IFERROR(VALUE(LEFT(E332,FIND("º",E332)-1)),""))))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IF(E333="","",IF(LEFT(E333,7)="SUBSOLO",-1,IF(LEFT(E333,6)="TÉRREO",0,IFERROR(VALUE(LEFT(E333,FIND("º",E333)-1)),""))))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IF(E334="","",IF(LEFT(E334,7)="SUBSOLO",-1,IF(LEFT(E334,6)="TÉRREO",0,IFERROR(VALUE(LEFT(E334,FIND("º",E334)-1)),""))))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IF(E335="","",IF(LEFT(E335,7)="SUBSOLO",-1,IF(LEFT(E335,6)="TÉRREO",0,IFERROR(VALUE(LEFT(E335,FIND("º",E335)-1)),""))))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IF(E336="","",IF(LEFT(E336,7)="SUBSOLO",-1,IF(LEFT(E336,6)="TÉRREO",0,IFERROR(VALUE(LEFT(E336,FIND("º",E336)-1)),""))))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IF(E337="","",IF(LEFT(E337,7)="SUBSOLO",-1,IF(LEFT(E337,6)="TÉRREO",0,IFERROR(VALUE(LEFT(E337,FIND("º",E337)-1)),""))))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IF(E338="","",IF(LEFT(E338,7)="SUBSOLO",-1,IF(LEFT(E338,6)="TÉRREO",0,IFERROR(VALUE(LEFT(E338,FIND("º",E338)-1)),""))))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IF(E339="","",IF(LEFT(E339,7)="SUBSOLO",-1,IF(LEFT(E339,6)="TÉRREO",0,IFERROR(VALUE(LEFT(E339,FIND("º",E339)-1)),""))))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IF(E340="","",IF(LEFT(E340,7)="SUBSOLO",-1,IF(LEFT(E340,6)="TÉRREO",0,IFERROR(VALUE(LEFT(E340,FIND("º",E340)-1)),""))))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IF(E341="","",IF(LEFT(E341,7)="SUBSOLO",-1,IF(LEFT(E341,6)="TÉRREO",0,IFERROR(VALUE(LEFT(E341,FIND("º",E341)-1)),""))))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IF(E342="","",IF(LEFT(E342,7)="SUBSOLO",-1,IF(LEFT(E342,6)="TÉRREO",0,IFERROR(VALUE(LEFT(E342,FIND("º",E342)-1)),""))))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IF(E343="","",IF(LEFT(E343,7)="SUBSOLO",-1,IF(LEFT(E343,6)="TÉRREO",0,IFERROR(VALUE(LEFT(E343,FIND("º",E343)-1)),""))))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IF(E344="","",IF(LEFT(E344,7)="SUBSOLO",-1,IF(LEFT(E344,6)="TÉRREO",0,IFERROR(VALUE(LEFT(E344,FIND("º",E344)-1)),""))))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IF(E345="","",IF(LEFT(E345,7)="SUBSOLO",-1,IF(LEFT(E345,6)="TÉRREO",0,IFERROR(VALUE(LEFT(E345,FIND("º",E345)-1)),""))))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IF(E346="","",IF(LEFT(E346,7)="SUBSOLO",-1,IF(LEFT(E346,6)="TÉRREO",0,IFERROR(VALUE(LEFT(E346,FIND("º",E346)-1)),""))))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IF(E347="","",IF(LEFT(E347,7)="SUBSOLO",-1,IF(LEFT(E347,6)="TÉRREO",0,IFERROR(VALUE(LEFT(E347,FIND("º",E347)-1)),""))))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IF(E348="","",IF(LEFT(E348,7)="SUBSOLO",-1,IF(LEFT(E348,6)="TÉRREO",0,IFERROR(VALUE(LEFT(E348,FIND("º",E348)-1)),""))))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IF(E349="","",IF(LEFT(E349,7)="SUBSOLO",-1,IF(LEFT(E349,6)="TÉRREO",0,IFERROR(VALUE(LEFT(E349,FIND("º",E349)-1)),""))))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IF(E350="","",IF(LEFT(E350,7)="SUBSOLO",-1,IF(LEFT(E350,6)="TÉRREO",0,IFERROR(VALUE(LEFT(E350,FIND("º",E350)-1)),""))))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IF(E351="","",IF(LEFT(E351,7)="SUBSOLO",-1,IF(LEFT(E351,6)="TÉRREO",0,IFERROR(VALUE(LEFT(E351,FIND("º",E351)-1)),""))))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IF(E352="","",IF(LEFT(E352,7)="SUBSOLO",-1,IF(LEFT(E352,6)="TÉRREO",0,IFERROR(VALUE(LEFT(E352,FIND("º",E352)-1)),""))))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IF(E353="","",IF(LEFT(E353,7)="SUBSOLO",-1,IF(LEFT(E353,6)="TÉRREO",0,IFERROR(VALUE(LEFT(E353,FIND("º",E353)-1)),""))))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IF(E354="","",IF(LEFT(E354,7)="SUBSOLO",-1,IF(LEFT(E354,6)="TÉRREO",0,IFERROR(VALUE(LEFT(E354,FIND("º",E354)-1)),""))))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IF(E355="","",IF(LEFT(E355,7)="SUBSOLO",-1,IF(LEFT(E355,6)="TÉRREO",0,IFERROR(VALUE(LEFT(E355,FIND("º",E355)-1)),""))))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IF(E356="","",IF(LEFT(E356,7)="SUBSOLO",-1,IF(LEFT(E356,6)="TÉRREO",0,IFERROR(VALUE(LEFT(E356,FIND("º",E356)-1)),""))))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IF(E357="","",IF(LEFT(E357,7)="SUBSOLO",-1,IF(LEFT(E357,6)="TÉRREO",0,IFERROR(VALUE(LEFT(E357,FIND("º",E357)-1)),""))))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IF(E358="","",IF(LEFT(E358,7)="SUBSOLO",-1,IF(LEFT(E358,6)="TÉRREO",0,IFERROR(VALUE(LEFT(E358,FIND("º",E358)-1)),""))))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IF(E359="","",IF(LEFT(E359,7)="SUBSOLO",-1,IF(LEFT(E359,6)="TÉRREO",0,IFERROR(VALUE(LEFT(E359,FIND("º",E359)-1)),""))))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IF(E360="","",IF(LEFT(E360,7)="SUBSOLO",-1,IF(LEFT(E360,6)="TÉRREO",0,IFERROR(VALUE(LEFT(E360,FIND("º",E360)-1)),""))))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IF(E361="","",IF(LEFT(E361,7)="SUBSOLO",-1,IF(LEFT(E361,6)="TÉRREO",0,IFERROR(VALUE(LEFT(E361,FIND("º",E361)-1)),""))))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IF(E362="","",IF(LEFT(E362,7)="SUBSOLO",-1,IF(LEFT(E362,6)="TÉRREO",0,IFERROR(VALUE(LEFT(E362,FIND("º",E362)-1)),""))))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IF(E363="","",IF(LEFT(E363,7)="SUBSOLO",-1,IF(LEFT(E363,6)="TÉRREO",0,IFERROR(VALUE(LEFT(E363,FIND("º",E363)-1)),""))))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IF(E364="","",IF(LEFT(E364,7)="SUBSOLO",-1,IF(LEFT(E364,6)="TÉRREO",0,IFERROR(VALUE(LEFT(E364,FIND("º",E364)-1)),""))))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IF(E365="","",IF(LEFT(E365,7)="SUBSOLO",-1,IF(LEFT(E365,6)="TÉRREO",0,IFERROR(VALUE(LEFT(E365,FIND("º",E365)-1)),""))))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IF(E366="","",IF(LEFT(E366,7)="SUBSOLO",-1,IF(LEFT(E366,6)="TÉRREO",0,IFERROR(VALUE(LEFT(E366,FIND("º",E366)-1)),""))))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IF(E367="","",IF(LEFT(E367,7)="SUBSOLO",-1,IF(LEFT(E367,6)="TÉRREO",0,IFERROR(VALUE(LEFT(E367,FIND("º",E367)-1)),""))))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IF(E368="","",IF(LEFT(E368,7)="SUBSOLO",-1,IF(LEFT(E368,6)="TÉRREO",0,IFERROR(VALUE(LEFT(E368,FIND("º",E368)-1)),""))))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IF(E369="","",IF(LEFT(E369,7)="SUBSOLO",-1,IF(LEFT(E369,6)="TÉRREO",0,IFERROR(VALUE(LEFT(E369,FIND("º",E369)-1)),""))))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IF(E370="","",IF(LEFT(E370,7)="SUBSOLO",-1,IF(LEFT(E370,6)="TÉRREO",0,IFERROR(VALUE(LEFT(E370,FIND("º",E370)-1)),""))))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IF(E371="","",IF(LEFT(E371,7)="SUBSOLO",-1,IF(LEFT(E371,6)="TÉRREO",0,IFERROR(VALUE(LEFT(E371,FIND("º",E371)-1)),""))))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IF(E372="","",IF(LEFT(E372,7)="SUBSOLO",-1,IF(LEFT(E372,6)="TÉRREO",0,IFERROR(VALUE(LEFT(E372,FIND("º",E372)-1)),""))))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IF(E373="","",IF(LEFT(E373,7)="SUBSOLO",-1,IF(LEFT(E373,6)="TÉRREO",0,IFERROR(VALUE(LEFT(E373,FIND("º",E373)-1)),""))))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IF(E374="","",IF(LEFT(E374,7)="SUBSOLO",-1,IF(LEFT(E374,6)="TÉRREO",0,IFERROR(VALUE(LEFT(E374,FIND("º",E374)-1)),""))))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IF(E375="","",IF(LEFT(E375,7)="SUBSOLO",-1,IF(LEFT(E375,6)="TÉRREO",0,IFERROR(VALUE(LEFT(E375,FIND("º",E375)-1)),""))))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IF(E376="","",IF(LEFT(E376,7)="SUBSOLO",-1,IF(LEFT(E376,6)="TÉRREO",0,IFERROR(VALUE(LEFT(E376,FIND("º",E376)-1)),""))))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IF(E377="","",IF(LEFT(E377,7)="SUBSOLO",-1,IF(LEFT(E377,6)="TÉRREO",0,IFERROR(VALUE(LEFT(E377,FIND("º",E377)-1)),""))))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IF(E378="","",IF(LEFT(E378,7)="SUBSOLO",-1,IF(LEFT(E378,6)="TÉRREO",0,IFERROR(VALUE(LEFT(E378,FIND("º",E378)-1)),""))))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IF(E379="","",IF(LEFT(E379,7)="SUBSOLO",-1,IF(LEFT(E379,6)="TÉRREO",0,IFERROR(VALUE(LEFT(E379,FIND("º",E379)-1)),""))))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IF(E380="","",IF(LEFT(E380,7)="SUBSOLO",-1,IF(LEFT(E380,6)="TÉRREO",0,IFERROR(VALUE(LEFT(E380,FIND("º",E380)-1)),""))))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IF(E381="","",IF(LEFT(E381,7)="SUBSOLO",-1,IF(LEFT(E381,6)="TÉRREO",0,IFERROR(VALUE(LEFT(E381,FIND("º",E381)-1)),""))))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IF(E382="","",IF(LEFT(E382,7)="SUBSOLO",-1,IF(LEFT(E382,6)="TÉRREO",0,IFERROR(VALUE(LEFT(E382,FIND("º",E382)-1)),""))))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IF(E383="","",IF(LEFT(E383,7)="SUBSOLO",-1,IF(LEFT(E383,6)="TÉRREO",0,IFERROR(VALUE(LEFT(E383,FIND("º",E383)-1)),""))))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IF(E384="","",IF(LEFT(E384,7)="SUBSOLO",-1,IF(LEFT(E384,6)="TÉRREO",0,IFERROR(VALUE(LEFT(E384,FIND("º",E384)-1)),""))))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IF(E385="","",IF(LEFT(E385,7)="SUBSOLO",-1,IF(LEFT(E385,6)="TÉRREO",0,IFERROR(VALUE(LEFT(E385,FIND("º",E385)-1)),""))))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IF(E386="","",IF(LEFT(E386,7)="SUBSOLO",-1,IF(LEFT(E386,6)="TÉRREO",0,IFERROR(VALUE(LEFT(E386,FIND("º",E386)-1)),""))))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IF(E387="","",IF(LEFT(E387,7)="SUBSOLO",-1,IF(LEFT(E387,6)="TÉRREO",0,IFERROR(VALUE(LEFT(E387,FIND("º",E387)-1)),""))))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IF(E388="","",IF(LEFT(E388,7)="SUBSOLO",-1,IF(LEFT(E388,6)="TÉRREO",0,IFERROR(VALUE(LEFT(E388,FIND("º",E388)-1)),""))))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IF(E389="","",IF(LEFT(E389,7)="SUBSOLO",-1,IF(LEFT(E389,6)="TÉRREO",0,IFERROR(VALUE(LEFT(E389,FIND("º",E389)-1)),""))))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IF(E390="","",IF(LEFT(E390,7)="SUBSOLO",-1,IF(LEFT(E390,6)="TÉRREO",0,IFERROR(VALUE(LEFT(E390,FIND("º",E390)-1)),""))))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IF(E391="","",IF(LEFT(E391,7)="SUBSOLO",-1,IF(LEFT(E391,6)="TÉRREO",0,IFERROR(VALUE(LEFT(E391,FIND("º",E391)-1)),""))))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IF(E392="","",IF(LEFT(E392,7)="SUBSOLO",-1,IF(LEFT(E392,6)="TÉRREO",0,IFERROR(VALUE(LEFT(E392,FIND("º",E392)-1)),""))))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IF(E393="","",IF(LEFT(E393,7)="SUBSOLO",-1,IF(LEFT(E393,6)="TÉRREO",0,IFERROR(VALUE(LEFT(E393,FIND("º",E393)-1)),""))))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IF(E394="","",IF(LEFT(E394,7)="SUBSOLO",-1,IF(LEFT(E394,6)="TÉRREO",0,IFERROR(VALUE(LEFT(E394,FIND("º",E394)-1)),""))))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IF(E395="","",IF(LEFT(E395,7)="SUBSOLO",-1,IF(LEFT(E395,6)="TÉRREO",0,IFERROR(VALUE(LEFT(E395,FIND("º",E395)-1)),""))))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IF(E396="","",IF(LEFT(E396,7)="SUBSOLO",-1,IF(LEFT(E396,6)="TÉRREO",0,IFERROR(VALUE(LEFT(E396,FIND("º",E396)-1)),""))))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IF(E397="","",IF(LEFT(E397,7)="SUBSOLO",-1,IF(LEFT(E397,6)="TÉRREO",0,IFERROR(VALUE(LEFT(E397,FIND("º",E397)-1)),""))))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IF(E398="","",IF(LEFT(E398,7)="SUBSOLO",-1,IF(LEFT(E398,6)="TÉRREO",0,IFERROR(VALUE(LEFT(E398,FIND("º",E398)-1)),""))))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IF(E399="","",IF(LEFT(E399,7)="SUBSOLO",-1,IF(LEFT(E399,6)="TÉRREO",0,IFERROR(VALUE(LEFT(E399,FIND("º",E399)-1)),""))))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IF(E400="","",IF(LEFT(E400,7)="SUBSOLO",-1,IF(LEFT(E400,6)="TÉRREO",0,IFERROR(VALUE(LEFT(E400,FIND("º",E400)-1)),""))))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IF(E401="","",IF(LEFT(E401,7)="SUBSOLO",-1,IF(LEFT(E401,6)="TÉRREO",0,IFERROR(VALUE(LEFT(E401,FIND("º",E401)-1)),""))))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IF(E402="","",IF(LEFT(E402,7)="SUBSOLO",-1,IF(LEFT(E402,6)="TÉRREO",0,IFERROR(VALUE(LEFT(E402,FIND("º",E402)-1)),""))))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IF(E403="","",IF(LEFT(E403,7)="SUBSOLO",-1,IF(LEFT(E403,6)="TÉRREO",0,IFERROR(VALUE(LEFT(E403,FIND("º",E403)-1)),""))))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IF(E404="","",IF(LEFT(E404,7)="SUBSOLO",-1,IF(LEFT(E404,6)="TÉRREO",0,IFERROR(VALUE(LEFT(E404,FIND("º",E404)-1)),""))))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IF(E405="","",IF(LEFT(E405,7)="SUBSOLO",-1,IF(LEFT(E405,6)="TÉRREO",0,IFERROR(VALUE(LEFT(E405,FIND("º",E405)-1)),""))))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IF(E406="","",IF(LEFT(E406,7)="SUBSOLO",-1,IF(LEFT(E406,6)="TÉRREO",0,IFERROR(VALUE(LEFT(E406,FIND("º",E406)-1)),""))))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IF(E407="","",IF(LEFT(E407,7)="SUBSOLO",-1,IF(LEFT(E407,6)="TÉRREO",0,IFERROR(VALUE(LEFT(E407,FIND("º",E407)-1)),""))))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IF(E408="","",IF(LEFT(E408,7)="SUBSOLO",-1,IF(LEFT(E408,6)="TÉRREO",0,IFERROR(VALUE(LEFT(E408,FIND("º",E408)-1)),""))))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IF(E409="","",IF(LEFT(E409,7)="SUBSOLO",-1,IF(LEFT(E409,6)="TÉRREO",0,IFERROR(VALUE(LEFT(E409,FIND("º",E409)-1)),""))))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IF(E410="","",IF(LEFT(E410,7)="SUBSOLO",-1,IF(LEFT(E410,6)="TÉRREO",0,IFERROR(VALUE(LEFT(E410,FIND("º",E410)-1)),""))))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IF(E411="","",IF(LEFT(E411,7)="SUBSOLO",-1,IF(LEFT(E411,6)="TÉRREO",0,IFERROR(VALUE(LEFT(E411,FIND("º",E411)-1)),""))))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IF(E412="","",IF(LEFT(E412,7)="SUBSOLO",-1,IF(LEFT(E412,6)="TÉRREO",0,IFERROR(VALUE(LEFT(E412,FIND("º",E412)-1)),""))))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IF(E413="","",IF(LEFT(E413,7)="SUBSOLO",-1,IF(LEFT(E413,6)="TÉRREO",0,IFERROR(VALUE(LEFT(E413,FIND("º",E413)-1)),""))))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IF(E414="","",IF(LEFT(E414,7)="SUBSOLO",-1,IF(LEFT(E414,6)="TÉRREO",0,IFERROR(VALUE(LEFT(E414,FIND("º",E414)-1)),""))))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IF(E415="","",IF(LEFT(E415,7)="SUBSOLO",-1,IF(LEFT(E415,6)="TÉRREO",0,IFERROR(VALUE(LEFT(E415,FIND("º",E415)-1)),""))))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IF(E416="","",IF(LEFT(E416,7)="SUBSOLO",-1,IF(LEFT(E416,6)="TÉRREO",0,IFERROR(VALUE(LEFT(E416,FIND("º",E416)-1)),""))))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IF(E417="","",IF(LEFT(E417,7)="SUBSOLO",-1,IF(LEFT(E417,6)="TÉRREO",0,IFERROR(VALUE(LEFT(E417,FIND("º",E417)-1)),""))))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IF(E418="","",IF(LEFT(E418,7)="SUBSOLO",-1,IF(LEFT(E418,6)="TÉRREO",0,IFERROR(VALUE(LEFT(E418,FIND("º",E418)-1)),""))))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IF(E419="","",IF(LEFT(E419,7)="SUBSOLO",-1,IF(LEFT(E419,6)="TÉRREO",0,IFERROR(VALUE(LEFT(E419,FIND("º",E419)-1)),""))))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IF(E420="","",IF(LEFT(E420,7)="SUBSOLO",-1,IF(LEFT(E420,6)="TÉRREO",0,IFERROR(VALUE(LEFT(E420,FIND("º",E420)-1)),""))))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IF(E421="","",IF(LEFT(E421,7)="SUBSOLO",-1,IF(LEFT(E421,6)="TÉRREO",0,IFERROR(VALUE(LEFT(E421,FIND("º",E421)-1)),""))))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IF(E422="","",IF(LEFT(E422,7)="SUBSOLO",-1,IF(LEFT(E422,6)="TÉRREO",0,IFERROR(VALUE(LEFT(E422,FIND("º",E422)-1)),""))))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IF(E423="","",IF(LEFT(E423,7)="SUBSOLO",-1,IF(LEFT(E423,6)="TÉRREO",0,IFERROR(VALUE(LEFT(E423,FIND("º",E423)-1)),""))))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IF(E424="","",IF(LEFT(E424,7)="SUBSOLO",-1,IF(LEFT(E424,6)="TÉRREO",0,IFERROR(VALUE(LEFT(E424,FIND("º",E424)-1)),""))))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IF(E425="","",IF(LEFT(E425,7)="SUBSOLO",-1,IF(LEFT(E425,6)="TÉRREO",0,IFERROR(VALUE(LEFT(E425,FIND("º",E425)-1)),""))))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IF(E426="","",IF(LEFT(E426,7)="SUBSOLO",-1,IF(LEFT(E426,6)="TÉRREO",0,IFERROR(VALUE(LEFT(E426,FIND("º",E426)-1)),""))))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IF(E427="","",IF(LEFT(E427,7)="SUBSOLO",-1,IF(LEFT(E427,6)="TÉRREO",0,IFERROR(VALUE(LEFT(E427,FIND("º",E427)-1)),""))))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IF(E428="","",IF(LEFT(E428,7)="SUBSOLO",-1,IF(LEFT(E428,6)="TÉRREO",0,IFERROR(VALUE(LEFT(E428,FIND("º",E428)-1)),""))))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IF(E429="","",IF(LEFT(E429,7)="SUBSOLO",-1,IF(LEFT(E429,6)="TÉRREO",0,IFERROR(VALUE(LEFT(E429,FIND("º",E429)-1)),""))))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IF(E430="","",IF(LEFT(E430,7)="SUBSOLO",-1,IF(LEFT(E430,6)="TÉRREO",0,IFERROR(VALUE(LEFT(E430,FIND("º",E430)-1)),""))))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IF(E431="","",IF(LEFT(E431,7)="SUBSOLO",-1,IF(LEFT(E431,6)="TÉRREO",0,IFERROR(VALUE(LEFT(E431,FIND("º",E431)-1)),""))))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IF(E432="","",IF(LEFT(E432,7)="SUBSOLO",-1,IF(LEFT(E432,6)="TÉRREO",0,IFERROR(VALUE(LEFT(E432,FIND("º",E432)-1)),""))))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IF(E433="","",IF(LEFT(E433,7)="SUBSOLO",-1,IF(LEFT(E433,6)="TÉRREO",0,IFERROR(VALUE(LEFT(E433,FIND("º",E433)-1)),""))))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IF(E434="","",IF(LEFT(E434,7)="SUBSOLO",-1,IF(LEFT(E434,6)="TÉRREO",0,IFERROR(VALUE(LEFT(E434,FIND("º",E434)-1)),""))))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IF(E435="","",IF(LEFT(E435,7)="SUBSOLO",-1,IF(LEFT(E435,6)="TÉRREO",0,IFERROR(VALUE(LEFT(E435,FIND("º",E435)-1)),""))))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IF(E436="","",IF(LEFT(E436,7)="SUBSOLO",-1,IF(LEFT(E436,6)="TÉRREO",0,IFERROR(VALUE(LEFT(E436,FIND("º",E436)-1)),""))))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IF(E437="","",IF(LEFT(E437,7)="SUBSOLO",-1,IF(LEFT(E437,6)="TÉRREO",0,IFERROR(VALUE(LEFT(E437,FIND("º",E437)-1)),""))))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IF(E438="","",IF(LEFT(E438,7)="SUBSOLO",-1,IF(LEFT(E438,6)="TÉRREO",0,IFERROR(VALUE(LEFT(E438,FIND("º",E438)-1)),""))))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IF(E439="","",IF(LEFT(E439,7)="SUBSOLO",-1,IF(LEFT(E439,6)="TÉRREO",0,IFERROR(VALUE(LEFT(E439,FIND("º",E439)-1)),""))))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IF(E440="","",IF(LEFT(E440,7)="SUBSOLO",-1,IF(LEFT(E440,6)="TÉRREO",0,IFERROR(VALUE(LEFT(E440,FIND("º",E440)-1)),""))))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IF(E441="","",IF(LEFT(E441,7)="SUBSOLO",-1,IF(LEFT(E441,6)="TÉRREO",0,IFERROR(VALUE(LEFT(E441,FIND("º",E441)-1)),""))))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IF(E442="","",IF(LEFT(E442,7)="SUBSOLO",-1,IF(LEFT(E442,6)="TÉRREO",0,IFERROR(VALUE(LEFT(E442,FIND("º",E442)-1)),""))))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IF(E443="","",IF(LEFT(E443,7)="SUBSOLO",-1,IF(LEFT(E443,6)="TÉRREO",0,IFERROR(VALUE(LEFT(E443,FIND("º",E443)-1)),""))))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IF(E444="","",IF(LEFT(E444,7)="SUBSOLO",-1,IF(LEFT(E444,6)="TÉRREO",0,IFERROR(VALUE(LEFT(E444,FIND("º",E444)-1)),""))))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IF(E445="","",IF(LEFT(E445,7)="SUBSOLO",-1,IF(LEFT(E445,6)="TÉRREO",0,IFERROR(VALUE(LEFT(E445,FIND("º",E445)-1)),""))))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IF(E446="","",IF(LEFT(E446,7)="SUBSOLO",-1,IF(LEFT(E446,6)="TÉRREO",0,IFERROR(VALUE(LEFT(E446,FIND("º",E446)-1)),""))))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IF(E447="","",IF(LEFT(E447,7)="SUBSOLO",-1,IF(LEFT(E447,6)="TÉRREO",0,IFERROR(VALUE(LEFT(E447,FIND("º",E447)-1)),""))))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IF(E448="","",IF(LEFT(E448,7)="SUBSOLO",-1,IF(LEFT(E448,6)="TÉRREO",0,IFERROR(VALUE(LEFT(E448,FIND("º",E448)-1)),""))))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IF(E449="","",IF(LEFT(E449,7)="SUBSOLO",-1,IF(LEFT(E449,6)="TÉRREO",0,IFERROR(VALUE(LEFT(E449,FIND("º",E449)-1)),""))))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IF(E450="","",IF(LEFT(E450,7)="SUBSOLO",-1,IF(LEFT(E450,6)="TÉRREO",0,IFERROR(VALUE(LEFT(E450,FIND("º",E450)-1)),""))))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IF(E451="","",IF(LEFT(E451,7)="SUBSOLO",-1,IF(LEFT(E451,6)="TÉRREO",0,IFERROR(VALUE(LEFT(E451,FIND("º",E451)-1)),""))))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IF(E452="","",IF(LEFT(E452,7)="SUBSOLO",-1,IF(LEFT(E452,6)="TÉRREO",0,IFERROR(VALUE(LEFT(E452,FIND("º",E452)-1)),""))))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IF(E453="","",IF(LEFT(E453,7)="SUBSOLO",-1,IF(LEFT(E453,6)="TÉRREO",0,IFERROR(VALUE(LEFT(E453,FIND("º",E453)-1)),""))))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IF(E454="","",IF(LEFT(E454,7)="SUBSOLO",-1,IF(LEFT(E454,6)="TÉRREO",0,IFERROR(VALUE(LEFT(E454,FIND("º",E454)-1)),""))))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IF(E455="","",IF(LEFT(E455,7)="SUBSOLO",-1,IF(LEFT(E455,6)="TÉRREO",0,IFERROR(VALUE(LEFT(E455,FIND("º",E455)-1)),""))))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IF(E456="","",IF(LEFT(E456,7)="SUBSOLO",-1,IF(LEFT(E456,6)="TÉRREO",0,IFERROR(VALUE(LEFT(E456,FIND("º",E456)-1)),""))))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IF(E457="","",IF(LEFT(E457,7)="SUBSOLO",-1,IF(LEFT(E457,6)="TÉRREO",0,IFERROR(VALUE(LEFT(E457,FIND("º",E457)-1)),""))))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IF(E458="","",IF(LEFT(E458,7)="SUBSOLO",-1,IF(LEFT(E458,6)="TÉRREO",0,IFERROR(VALUE(LEFT(E458,FIND("º",E458)-1)),""))))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IF(E459="","",IF(LEFT(E459,7)="SUBSOLO",-1,IF(LEFT(E459,6)="TÉRREO",0,IFERROR(VALUE(LEFT(E459,FIND("º",E459)-1)),""))))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IF(E460="","",IF(LEFT(E460,7)="SUBSOLO",-1,IF(LEFT(E460,6)="TÉRREO",0,IFERROR(VALUE(LEFT(E460,FIND("º",E460)-1)),""))))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IF(E461="","",IF(LEFT(E461,7)="SUBSOLO",-1,IF(LEFT(E461,6)="TÉRREO",0,IFERROR(VALUE(LEFT(E461,FIND("º",E461)-1)),""))))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IF(E462="","",IF(LEFT(E462,7)="SUBSOLO",-1,IF(LEFT(E462,6)="TÉRREO",0,IFERROR(VALUE(LEFT(E462,FIND("º",E462)-1)),""))))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IF(E463="","",IF(LEFT(E463,7)="SUBSOLO",-1,IF(LEFT(E463,6)="TÉRREO",0,IFERROR(VALUE(LEFT(E463,FIND("º",E463)-1)),""))))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IF(E464="","",IF(LEFT(E464,7)="SUBSOLO",-1,IF(LEFT(E464,6)="TÉRREO",0,IFERROR(VALUE(LEFT(E464,FIND("º",E464)-1)),""))))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IF(E465="","",IF(LEFT(E465,7)="SUBSOLO",-1,IF(LEFT(E465,6)="TÉRREO",0,IFERROR(VALUE(LEFT(E465,FIND("º",E465)-1)),""))))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IF(E466="","",IF(LEFT(E466,7)="SUBSOLO",-1,IF(LEFT(E466,6)="TÉRREO",0,IFERROR(VALUE(LEFT(E466,FIND("º",E466)-1)),""))))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IF(E467="","",IF(LEFT(E467,7)="SUBSOLO",-1,IF(LEFT(E467,6)="TÉRREO",0,IFERROR(VALUE(LEFT(E467,FIND("º",E467)-1)),""))))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IF(E468="","",IF(LEFT(E468,7)="SUBSOLO",-1,IF(LEFT(E468,6)="TÉRREO",0,IFERROR(VALUE(LEFT(E468,FIND("º",E468)-1)),""))))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IF(E469="","",IF(LEFT(E469,7)="SUBSOLO",-1,IF(LEFT(E469,6)="TÉRREO",0,IFERROR(VALUE(LEFT(E469,FIND("º",E469)-1)),""))))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IF(E470="","",IF(LEFT(E470,7)="SUBSOLO",-1,IF(LEFT(E470,6)="TÉRREO",0,IFERROR(VALUE(LEFT(E470,FIND("º",E470)-1)),""))))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IF(E471="","",IF(LEFT(E471,7)="SUBSOLO",-1,IF(LEFT(E471,6)="TÉRREO",0,IFERROR(VALUE(LEFT(E471,FIND("º",E471)-1)),""))))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IF(E472="","",IF(LEFT(E472,7)="SUBSOLO",-1,IF(LEFT(E472,6)="TÉRREO",0,IFERROR(VALUE(LEFT(E472,FIND("º",E472)-1)),""))))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IF(E473="","",IF(LEFT(E473,7)="SUBSOLO",-1,IF(LEFT(E473,6)="TÉRREO",0,IFERROR(VALUE(LEFT(E473,FIND("º",E473)-1)),""))))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IF(E474="","",IF(LEFT(E474,7)="SUBSOLO",-1,IF(LEFT(E474,6)="TÉRREO",0,IFERROR(VALUE(LEFT(E474,FIND("º",E474)-1)),""))))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IF(E475="","",IF(LEFT(E475,7)="SUBSOLO",-1,IF(LEFT(E475,6)="TÉRREO",0,IFERROR(VALUE(LEFT(E475,FIND("º",E475)-1)),""))))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IF(E476="","",IF(LEFT(E476,7)="SUBSOLO",-1,IF(LEFT(E476,6)="TÉRREO",0,IFERROR(VALUE(LEFT(E476,FIND("º",E476)-1)),""))))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IF(E477="","",IF(LEFT(E477,7)="SUBSOLO",-1,IF(LEFT(E477,6)="TÉRREO",0,IFERROR(VALUE(LEFT(E477,FIND("º",E477)-1)),""))))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IF(E478="","",IF(LEFT(E478,7)="SUBSOLO",-1,IF(LEFT(E478,6)="TÉRREO",0,IFERROR(VALUE(LEFT(E478,FIND("º",E478)-1)),""))))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IF(E479="","",IF(LEFT(E479,7)="SUBSOLO",-1,IF(LEFT(E479,6)="TÉRREO",0,IFERROR(VALUE(LEFT(E479,FIND("º",E479)-1)),""))))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IF(E480="","",IF(LEFT(E480,7)="SUBSOLO",-1,IF(LEFT(E480,6)="TÉRREO",0,IFERROR(VALUE(LEFT(E480,FIND("º",E480)-1)),""))))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IF(E481="","",IF(LEFT(E481,7)="SUBSOLO",-1,IF(LEFT(E481,6)="TÉRREO",0,IFERROR(VALUE(LEFT(E481,FIND("º",E481)-1)),""))))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IF(E482="","",IF(LEFT(E482,7)="SUBSOLO",-1,IF(LEFT(E482,6)="TÉRREO",0,IFERROR(VALUE(LEFT(E482,FIND("º",E482)-1)),""))))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IF(E483="","",IF(LEFT(E483,7)="SUBSOLO",-1,IF(LEFT(E483,6)="TÉRREO",0,IFERROR(VALUE(LEFT(E483,FIND("º",E483)-1)),""))))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IF(E484="","",IF(LEFT(E484,7)="SUBSOLO",-1,IF(LEFT(E484,6)="TÉRREO",0,IFERROR(VALUE(LEFT(E484,FIND("º",E484)-1)),""))))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IF(E485="","",IF(LEFT(E485,7)="SUBSOLO",-1,IF(LEFT(E485,6)="TÉRREO",0,IFERROR(VALUE(LEFT(E485,FIND("º",E485)-1)),""))))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IF(E486="","",IF(LEFT(E486,7)="SUBSOLO",-1,IF(LEFT(E486,6)="TÉRREO",0,IFERROR(VALUE(LEFT(E486,FIND("º",E486)-1)),""))))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IF(E487="","",IF(LEFT(E487,7)="SUBSOLO",-1,IF(LEFT(E487,6)="TÉRREO",0,IFERROR(VALUE(LEFT(E487,FIND("º",E487)-1)),""))))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IF(E488="","",IF(LEFT(E488,7)="SUBSOLO",-1,IF(LEFT(E488,6)="TÉRREO",0,IFERROR(VALUE(LEFT(E488,FIND("º",E488)-1)),""))))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IF(E489="","",IF(LEFT(E489,7)="SUBSOLO",-1,IF(LEFT(E489,6)="TÉRREO",0,IFERROR(VALUE(LEFT(E489,FIND("º",E489)-1)),""))))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IF(E490="","",IF(LEFT(E490,7)="SUBSOLO",-1,IF(LEFT(E490,6)="TÉRREO",0,IFERROR(VALUE(LEFT(E490,FIND("º",E490)-1)),""))))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IF(E491="","",IF(LEFT(E491,7)="SUBSOLO",-1,IF(LEFT(E491,6)="TÉRREO",0,IFERROR(VALUE(LEFT(E491,FIND("º",E491)-1)),""))))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IF(E492="","",IF(LEFT(E492,7)="SUBSOLO",-1,IF(LEFT(E492,6)="TÉRREO",0,IFERROR(VALUE(LEFT(E492,FIND("º",E492)-1)),""))))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IF(E493="","",IF(LEFT(E493,7)="SUBSOLO",-1,IF(LEFT(E493,6)="TÉRREO",0,IFERROR(VALUE(LEFT(E493,FIND("º",E493)-1)),""))))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IF(E494="","",IF(LEFT(E494,7)="SUBSOLO",-1,IF(LEFT(E494,6)="TÉRREO",0,IFERROR(VALUE(LEFT(E494,FIND("º",E494)-1)),""))))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IF(E495="","",IF(LEFT(E495,7)="SUBSOLO",-1,IF(LEFT(E495,6)="TÉRREO",0,IFERROR(VALUE(LEFT(E495,FIND("º",E495)-1)),""))))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IF(E496="","",IF(LEFT(E496,7)="SUBSOLO",-1,IF(LEFT(E496,6)="TÉRREO",0,IFERROR(VALUE(LEFT(E496,FIND("º",E496)-1)),""))))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IF(E497="","",IF(LEFT(E497,7)="SUBSOLO",-1,IF(LEFT(E497,6)="TÉRREO",0,IFERROR(VALUE(LEFT(E497,FIND("º",E497)-1)),""))))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IF(E498="","",IF(LEFT(E498,7)="SUBSOLO",-1,IF(LEFT(E498,6)="TÉRREO",0,IFERROR(VALUE(LEFT(E498,FIND("º",E498)-1)),""))))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IF(E499="","",IF(LEFT(E499,7)="SUBSOLO",-1,IF(LEFT(E499,6)="TÉRREO",0,IFERROR(VALUE(LEFT(E499,FIND("º",E499)-1)),""))))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IF(E500="","",IF(LEFT(E500,7)="SUBSOLO",-1,IF(LEFT(E500,6)="TÉRREO",0,IFERROR(VALUE(LEFT(E500,FIND("º",E500)-1)),""))))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IF(E501="","",IF(LEFT(E501,7)="SUBSOLO",-1,IF(LEFT(E501,6)="TÉRREO",0,IFERROR(VALUE(LEFT(E501,FIND("º",E501)-1)),""))))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IF(E502="","",IF(LEFT(E502,7)="SUBSOLO",-1,IF(LEFT(E502,6)="TÉRREO",0,IFERROR(VALUE(LEFT(E502,FIND("º",E502)-1)),""))))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IF(E503="","",IF(LEFT(E503,7)="SUBSOLO",-1,IF(LEFT(E503,6)="TÉRREO",0,IFERROR(VALUE(LEFT(E503,FIND("º",E503)-1)),""))))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IF(E504="","",IF(LEFT(E504,7)="SUBSOLO",-1,IF(LEFT(E504,6)="TÉRREO",0,IFERROR(VALUE(LEFT(E504,FIND("º",E504)-1)),""))))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IF(E505="","",IF(LEFT(E505,7)="SUBSOLO",-1,IF(LEFT(E505,6)="TÉRREO",0,IFERROR(VALUE(LEFT(E505,FIND("º",E505)-1)),""))))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IF(E506="","",IF(LEFT(E506,7)="SUBSOLO",-1,IF(LEFT(E506,6)="TÉRREO",0,IFERROR(VALUE(LEFT(E506,FIND("º",E506)-1)),""))))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IF(E507="","",IF(LEFT(E507,7)="SUBSOLO",-1,IF(LEFT(E507,6)="TÉRREO",0,IFERROR(VALUE(LEFT(E507,FIND("º",E507)-1)),""))))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IF(E508="","",IF(LEFT(E508,7)="SUBSOLO",-1,IF(LEFT(E508,6)="TÉRREO",0,IFERROR(VALUE(LEFT(E508,FIND("º",E508)-1)),""))))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IF(E509="","",IF(LEFT(E509,7)="SUBSOLO",-1,IF(LEFT(E509,6)="TÉRREO",0,IFERROR(VALUE(LEFT(E509,FIND("º",E509)-1)),""))))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IF(E510="","",IF(LEFT(E510,7)="SUBSOLO",-1,IF(LEFT(E510,6)="TÉRREO",0,IFERROR(VALUE(LEFT(E510,FIND("º",E510)-1)),""))))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IF(E511="","",IF(LEFT(E511,7)="SUBSOLO",-1,IF(LEFT(E511,6)="TÉRREO",0,IFERROR(VALUE(LEFT(E511,FIND("º",E511)-1)),""))))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IF(E512="","",IF(LEFT(E512,7)="SUBSOLO",-1,IF(LEFT(E512,6)="TÉRREO",0,IFERROR(VALUE(LEFT(E512,FIND("º",E512)-1)),""))))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IF(E513="","",IF(LEFT(E513,7)="SUBSOLO",-1,IF(LEFT(E513,6)="TÉRREO",0,IFERROR(VALUE(LEFT(E513,FIND("º",E513)-1)),""))))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IF(E514="","",IF(LEFT(E514,7)="SUBSOLO",-1,IF(LEFT(E514,6)="TÉRREO",0,IFERROR(VALUE(LEFT(E514,FIND("º",E514)-1)),""))))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IF(E515="","",IF(LEFT(E515,7)="SUBSOLO",-1,IF(LEFT(E515,6)="TÉRREO",0,IFERROR(VALUE(LEFT(E515,FIND("º",E515)-1)),""))))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IF(E516="","",IF(LEFT(E516,7)="SUBSOLO",-1,IF(LEFT(E516,6)="TÉRREO",0,IFERROR(VALUE(LEFT(E516,FIND("º",E516)-1)),""))))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IF(E517="","",IF(LEFT(E517,7)="SUBSOLO",-1,IF(LEFT(E517,6)="TÉRREO",0,IFERROR(VALUE(LEFT(E517,FIND("º",E517)-1)),""))))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IF(E518="","",IF(LEFT(E518,7)="SUBSOLO",-1,IF(LEFT(E518,6)="TÉRREO",0,IFERROR(VALUE(LEFT(E518,FIND("º",E518)-1)),""))))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IF(E519="","",IF(LEFT(E519,7)="SUBSOLO",-1,IF(LEFT(E519,6)="TÉRREO",0,IFERROR(VALUE(LEFT(E519,FIND("º",E519)-1)),""))))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IF(E520="","",IF(LEFT(E520,7)="SUBSOLO",-1,IF(LEFT(E520,6)="TÉRREO",0,IFERROR(VALUE(LEFT(E520,FIND("º",E520)-1)),""))))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IF(E521="","",IF(LEFT(E521,7)="SUBSOLO",-1,IF(LEFT(E521,6)="TÉRREO",0,IFERROR(VALUE(LEFT(E521,FIND("º",E521)-1)),""))))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IF(E522="","",IF(LEFT(E522,7)="SUBSOLO",-1,IF(LEFT(E522,6)="TÉRREO",0,IFERROR(VALUE(LEFT(E522,FIND("º",E522)-1)),""))))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IF(E523="","",IF(LEFT(E523,7)="SUBSOLO",-1,IF(LEFT(E523,6)="TÉRREO",0,IFERROR(VALUE(LEFT(E523,FIND("º",E523)-1)),""))))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IF(E524="","",IF(LEFT(E524,7)="SUBSOLO",-1,IF(LEFT(E524,6)="TÉRREO",0,IFERROR(VALUE(LEFT(E524,FIND("º",E524)-1)),""))))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IF(E525="","",IF(LEFT(E525,7)="SUBSOLO",-1,IF(LEFT(E525,6)="TÉRREO",0,IFERROR(VALUE(LEFT(E525,FIND("º",E525)-1)),""))))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IF(E526="","",IF(LEFT(E526,7)="SUBSOLO",-1,IF(LEFT(E526,6)="TÉRREO",0,IFERROR(VALUE(LEFT(E526,FIND("º",E526)-1)),""))))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IF(E527="","",IF(LEFT(E527,7)="SUBSOLO",-1,IF(LEFT(E527,6)="TÉRREO",0,IFERROR(VALUE(LEFT(E527,FIND("º",E527)-1)),""))))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IF(E528="","",IF(LEFT(E528,7)="SUBSOLO",-1,IF(LEFT(E528,6)="TÉRREO",0,IFERROR(VALUE(LEFT(E528,FIND("º",E528)-1)),""))))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IF(E529="","",IF(LEFT(E529,7)="SUBSOLO",-1,IF(LEFT(E529,6)="TÉRREO",0,IFERROR(VALUE(LEFT(E529,FIND("º",E529)-1)),""))))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IF(E530="","",IF(LEFT(E530,7)="SUBSOLO",-1,IF(LEFT(E530,6)="TÉRREO",0,IFERROR(VALUE(LEFT(E530,FIND("º",E530)-1)),""))))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IF(E531="","",IF(LEFT(E531,7)="SUBSOLO",-1,IF(LEFT(E531,6)="TÉRREO",0,IFERROR(VALUE(LEFT(E531,FIND("º",E531)-1)),""))))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IF(E532="","",IF(LEFT(E532,7)="SUBSOLO",-1,IF(LEFT(E532,6)="TÉRREO",0,IFERROR(VALUE(LEFT(E532,FIND("º",E532)-1)),""))))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IF(E533="","",IF(LEFT(E533,7)="SUBSOLO",-1,IF(LEFT(E533,6)="TÉRREO",0,IFERROR(VALUE(LEFT(E533,FIND("º",E533)-1)),""))))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IF(E534="","",IF(LEFT(E534,7)="SUBSOLO",-1,IF(LEFT(E534,6)="TÉRREO",0,IFERROR(VALUE(LEFT(E534,FIND("º",E534)-1)),""))))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IF(E535="","",IF(LEFT(E535,7)="SUBSOLO",-1,IF(LEFT(E535,6)="TÉRREO",0,IFERROR(VALUE(LEFT(E535,FIND("º",E535)-1)),""))))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IF(E536="","",IF(LEFT(E536,7)="SUBSOLO",-1,IF(LEFT(E536,6)="TÉRREO",0,IFERROR(VALUE(LEFT(E536,FIND("º",E536)-1)),""))))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IF(E537="","",IF(LEFT(E537,7)="SUBSOLO",-1,IF(LEFT(E537,6)="TÉRREO",0,IFERROR(VALUE(LEFT(E537,FIND("º",E537)-1)),""))))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IF(E538="","",IF(LEFT(E538,7)="SUBSOLO",-1,IF(LEFT(E538,6)="TÉRREO",0,IFERROR(VALUE(LEFT(E538,FIND("º",E538)-1)),""))))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IF(E539="","",IF(LEFT(E539,7)="SUBSOLO",-1,IF(LEFT(E539,6)="TÉRREO",0,IFERROR(VALUE(LEFT(E539,FIND("º",E539)-1)),""))))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IF(E540="","",IF(LEFT(E540,7)="SUBSOLO",-1,IF(LEFT(E540,6)="TÉRREO",0,IFERROR(VALUE(LEFT(E540,FIND("º",E540)-1)),""))))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IF(E541="","",IF(LEFT(E541,7)="SUBSOLO",-1,IF(LEFT(E541,6)="TÉRREO",0,IFERROR(VALUE(LEFT(E541,FIND("º",E541)-1)),""))))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IF(E542="","",IF(LEFT(E542,7)="SUBSOLO",-1,IF(LEFT(E542,6)="TÉRREO",0,IFERROR(VALUE(LEFT(E542,FIND("º",E542)-1)),""))))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IF(E543="","",IF(LEFT(E543,7)="SUBSOLO",-1,IF(LEFT(E543,6)="TÉRREO",0,IFERROR(VALUE(LEFT(E543,FIND("º",E543)-1)),""))))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IF(E544="","",IF(LEFT(E544,7)="SUBSOLO",-1,IF(LEFT(E544,6)="TÉRREO",0,IFERROR(VALUE(LEFT(E544,FIND("º",E544)-1)),""))))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IF(E545="","",IF(LEFT(E545,7)="SUBSOLO",-1,IF(LEFT(E545,6)="TÉRREO",0,IFERROR(VALUE(LEFT(E545,FIND("º",E545)-1)),""))))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IF(E546="","",IF(LEFT(E546,7)="SUBSOLO",-1,IF(LEFT(E546,6)="TÉRREO",0,IFERROR(VALUE(LEFT(E546,FIND("º",E546)-1)),""))))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IF(E547="","",IF(LEFT(E547,7)="SUBSOLO",-1,IF(LEFT(E547,6)="TÉRREO",0,IFERROR(VALUE(LEFT(E547,FIND("º",E547)-1)),""))))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IF(E548="","",IF(LEFT(E548,7)="SUBSOLO",-1,IF(LEFT(E548,6)="TÉRREO",0,IFERROR(VALUE(LEFT(E548,FIND("º",E548)-1)),""))))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IF(E549="","",IF(LEFT(E549,7)="SUBSOLO",-1,IF(LEFT(E549,6)="TÉRREO",0,IFERROR(VALUE(LEFT(E549,FIND("º",E549)-1)),""))))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IF(E550="","",IF(LEFT(E550,7)="SUBSOLO",-1,IF(LEFT(E550,6)="TÉRREO",0,IFERROR(VALUE(LEFT(E550,FIND("º",E550)-1)),""))))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IF(E551="","",IF(LEFT(E551,7)="SUBSOLO",-1,IF(LEFT(E551,6)="TÉRREO",0,IFERROR(VALUE(LEFT(E551,FIND("º",E551)-1)),""))))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IF(E552="","",IF(LEFT(E552,7)="SUBSOLO",-1,IF(LEFT(E552,6)="TÉRREO",0,IFERROR(VALUE(LEFT(E552,FIND("º",E552)-1)),""))))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IF(E553="","",IF(LEFT(E553,7)="SUBSOLO",-1,IF(LEFT(E553,6)="TÉRREO",0,IFERROR(VALUE(LEFT(E553,FIND("º",E553)-1)),""))))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IF(E554="","",IF(LEFT(E554,7)="SUBSOLO",-1,IF(LEFT(E554,6)="TÉRREO",0,IFERROR(VALUE(LEFT(E554,FIND("º",E554)-1)),""))))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IF(E555="","",IF(LEFT(E555,7)="SUBSOLO",-1,IF(LEFT(E555,6)="TÉRREO",0,IFERROR(VALUE(LEFT(E555,FIND("º",E555)-1)),""))))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IF(E556="","",IF(LEFT(E556,7)="SUBSOLO",-1,IF(LEFT(E556,6)="TÉRREO",0,IFERROR(VALUE(LEFT(E556,FIND("º",E556)-1)),""))))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IF(E557="","",IF(LEFT(E557,7)="SUBSOLO",-1,IF(LEFT(E557,6)="TÉRREO",0,IFERROR(VALUE(LEFT(E557,FIND("º",E557)-1)),""))))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IF(E558="","",IF(LEFT(E558,7)="SUBSOLO",-1,IF(LEFT(E558,6)="TÉRREO",0,IFERROR(VALUE(LEFT(E558,FIND("º",E558)-1)),""))))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IF(E559="","",IF(LEFT(E559,7)="SUBSOLO",-1,IF(LEFT(E559,6)="TÉRREO",0,IFERROR(VALUE(LEFT(E559,FIND("º",E559)-1)),""))))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IF(E560="","",IF(LEFT(E560,7)="SUBSOLO",-1,IF(LEFT(E560,6)="TÉRREO",0,IFERROR(VALUE(LEFT(E560,FIND("º",E560)-1)),""))))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IF(E561="","",IF(LEFT(E561,7)="SUBSOLO",-1,IF(LEFT(E561,6)="TÉRREO",0,IFERROR(VALUE(LEFT(E561,FIND("º",E561)-1)),""))))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IF(E562="","",IF(LEFT(E562,7)="SUBSOLO",-1,IF(LEFT(E562,6)="TÉRREO",0,IFERROR(VALUE(LEFT(E562,FIND("º",E562)-1)),""))))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IF(E563="","",IF(LEFT(E563,7)="SUBSOLO",-1,IF(LEFT(E563,6)="TÉRREO",0,IFERROR(VALUE(LEFT(E563,FIND("º",E563)-1)),""))))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IF(E564="","",IF(LEFT(E564,7)="SUBSOLO",-1,IF(LEFT(E564,6)="TÉRREO",0,IFERROR(VALUE(LEFT(E564,FIND("º",E564)-1)),""))))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IF(E565="","",IF(LEFT(E565,7)="SUBSOLO",-1,IF(LEFT(E565,6)="TÉRREO",0,IFERROR(VALUE(LEFT(E565,FIND("º",E565)-1)),""))))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IF(E566="","",IF(LEFT(E566,7)="SUBSOLO",-1,IF(LEFT(E566,6)="TÉRREO",0,IFERROR(VALUE(LEFT(E566,FIND("º",E566)-1)),""))))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IF(E567="","",IF(LEFT(E567,7)="SUBSOLO",-1,IF(LEFT(E567,6)="TÉRREO",0,IFERROR(VALUE(LEFT(E567,FIND("º",E567)-1)),""))))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IF(E568="","",IF(LEFT(E568,7)="SUBSOLO",-1,IF(LEFT(E568,6)="TÉRREO",0,IFERROR(VALUE(LEFT(E568,FIND("º",E568)-1)),""))))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IF(E569="","",IF(LEFT(E569,7)="SUBSOLO",-1,IF(LEFT(E569,6)="TÉRREO",0,IFERROR(VALUE(LEFT(E569,FIND("º",E569)-1)),""))))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IF(E570="","",IF(LEFT(E570,7)="SUBSOLO",-1,IF(LEFT(E570,6)="TÉRREO",0,IFERROR(VALUE(LEFT(E570,FIND("º",E570)-1)),""))))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IF(E571="","",IF(LEFT(E571,7)="SUBSOLO",-1,IF(LEFT(E571,6)="TÉRREO",0,IFERROR(VALUE(LEFT(E571,FIND("º",E571)-1)),""))))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IF(E572="","",IF(LEFT(E572,7)="SUBSOLO",-1,IF(LEFT(E572,6)="TÉRREO",0,IFERROR(VALUE(LEFT(E572,FIND("º",E572)-1)),""))))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IF(E573="","",IF(LEFT(E573,7)="SUBSOLO",-1,IF(LEFT(E573,6)="TÉRREO",0,IFERROR(VALUE(LEFT(E573,FIND("º",E573)-1)),""))))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IF(E574="","",IF(LEFT(E574,7)="SUBSOLO",-1,IF(LEFT(E574,6)="TÉRREO",0,IFERROR(VALUE(LEFT(E574,FIND("º",E574)-1)),""))))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IF(E575="","",IF(LEFT(E575,7)="SUBSOLO",-1,IF(LEFT(E575,6)="TÉRREO",0,IFERROR(VALUE(LEFT(E575,FIND("º",E575)-1)),""))))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IF(E576="","",IF(LEFT(E576,7)="SUBSOLO",-1,IF(LEFT(E576,6)="TÉRREO",0,IFERROR(VALUE(LEFT(E576,FIND("º",E576)-1)),""))))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IF(E577="","",IF(LEFT(E577,7)="SUBSOLO",-1,IF(LEFT(E577,6)="TÉRREO",0,IFERROR(VALUE(LEFT(E577,FIND("º",E577)-1)),""))))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IF(E578="","",IF(LEFT(E578,7)="SUBSOLO",-1,IF(LEFT(E578,6)="TÉRREO",0,IFERROR(VALUE(LEFT(E578,FIND("º",E578)-1)),""))))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IF(E579="","",IF(LEFT(E579,7)="SUBSOLO",-1,IF(LEFT(E579,6)="TÉRREO",0,IFERROR(VALUE(LEFT(E579,FIND("º",E579)-1)),""))))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IF(E580="","",IF(LEFT(E580,7)="SUBSOLO",-1,IF(LEFT(E580,6)="TÉRREO",0,IFERROR(VALUE(LEFT(E580,FIND("º",E580)-1)),""))))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IF(E581="","",IF(LEFT(E581,7)="SUBSOLO",-1,IF(LEFT(E581,6)="TÉRREO",0,IFERROR(VALUE(LEFT(E581,FIND("º",E581)-1)),""))))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IF(E582="","",IF(LEFT(E582,7)="SUBSOLO",-1,IF(LEFT(E582,6)="TÉRREO",0,IFERROR(VALUE(LEFT(E582,FIND("º",E582)-1)),""))))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IF(E583="","",IF(LEFT(E583,7)="SUBSOLO",-1,IF(LEFT(E583,6)="TÉRREO",0,IFERROR(VALUE(LEFT(E583,FIND("º",E583)-1)),""))))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IF(E584="","",IF(LEFT(E584,7)="SUBSOLO",-1,IF(LEFT(E584,6)="TÉRREO",0,IFERROR(VALUE(LEFT(E584,FIND("º",E584)-1)),""))))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IF(E585="","",IF(LEFT(E585,7)="SUBSOLO",-1,IF(LEFT(E585,6)="TÉRREO",0,IFERROR(VALUE(LEFT(E585,FIND("º",E585)-1)),""))))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IF(E586="","",IF(LEFT(E586,7)="SUBSOLO",-1,IF(LEFT(E586,6)="TÉRREO",0,IFERROR(VALUE(LEFT(E586,FIND("º",E586)-1)),""))))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IF(E587="","",IF(LEFT(E587,7)="SUBSOLO",-1,IF(LEFT(E587,6)="TÉRREO",0,IFERROR(VALUE(LEFT(E587,FIND("º",E587)-1)),""))))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IF(E588="","",IF(LEFT(E588,7)="SUBSOLO",-1,IF(LEFT(E588,6)="TÉRREO",0,IFERROR(VALUE(LEFT(E588,FIND("º",E588)-1)),""))))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IF(E589="","",IF(LEFT(E589,7)="SUBSOLO",-1,IF(LEFT(E589,6)="TÉRREO",0,IFERROR(VALUE(LEFT(E589,FIND("º",E589)-1)),""))))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IF(E590="","",IF(LEFT(E590,7)="SUBSOLO",-1,IF(LEFT(E590,6)="TÉRREO",0,IFERROR(VALUE(LEFT(E590,FIND("º",E590)-1)),""))))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IF(E591="","",IF(LEFT(E591,7)="SUBSOLO",-1,IF(LEFT(E591,6)="TÉRREO",0,IFERROR(VALUE(LEFT(E591,FIND("º",E591)-1)),""))))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IF(E592="","",IF(LEFT(E592,7)="SUBSOLO",-1,IF(LEFT(E592,6)="TÉRREO",0,IFERROR(VALUE(LEFT(E592,FIND("º",E592)-1)),""))))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IF(E593="","",IF(LEFT(E593,7)="SUBSOLO",-1,IF(LEFT(E593,6)="TÉRREO",0,IFERROR(VALUE(LEFT(E593,FIND("º",E593)-1)),""))))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IF(E594="","",IF(LEFT(E594,7)="SUBSOLO",-1,IF(LEFT(E594,6)="TÉRREO",0,IFERROR(VALUE(LEFT(E594,FIND("º",E594)-1)),""))))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IF(E595="","",IF(LEFT(E595,7)="SUBSOLO",-1,IF(LEFT(E595,6)="TÉRREO",0,IFERROR(VALUE(LEFT(E595,FIND("º",E595)-1)),""))))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IF(E596="","",IF(LEFT(E596,7)="SUBSOLO",-1,IF(LEFT(E596,6)="TÉRREO",0,IFERROR(VALUE(LEFT(E596,FIND("º",E596)-1)),""))))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IF(E597="","",IF(LEFT(E597,7)="SUBSOLO",-1,IF(LEFT(E597,6)="TÉRREO",0,IFERROR(VALUE(LEFT(E597,FIND("º",E597)-1)),""))))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IF(E598="","",IF(LEFT(E598,7)="SUBSOLO",-1,IF(LEFT(E598,6)="TÉRREO",0,IFERROR(VALUE(LEFT(E598,FIND("º",E598)-1)),""))))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IF(E599="","",IF(LEFT(E599,7)="SUBSOLO",-1,IF(LEFT(E599,6)="TÉRREO",0,IFERROR(VALUE(LEFT(E599,FIND("º",E599)-1)),""))))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IF(E600="","",IF(LEFT(E600,7)="SUBSOLO",-1,IF(LEFT(E600,6)="TÉRREO",0,IFERROR(VALUE(LEFT(E600,FIND("º",E600)-1)),""))))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IF(E601="","",IF(LEFT(E601,7)="SUBSOLO",-1,IF(LEFT(E601,6)="TÉRREO",0,IFERROR(VALUE(LEFT(E601,FIND("º",E601)-1)),""))))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IF(E602="","",IF(LEFT(E602,7)="SUBSOLO",-1,IF(LEFT(E602,6)="TÉRREO",0,IFERROR(VALUE(LEFT(E602,FIND("º",E602)-1)),""))))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IF(E603="","",IF(LEFT(E603,7)="SUBSOLO",-1,IF(LEFT(E603,6)="TÉRREO",0,IFERROR(VALUE(LEFT(E603,FIND("º",E603)-1)),""))))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IF(E604="","",IF(LEFT(E604,7)="SUBSOLO",-1,IF(LEFT(E604,6)="TÉRREO",0,IFERROR(VALUE(LEFT(E604,FIND("º",E604)-1)),""))))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IF(E605="","",IF(LEFT(E605,7)="SUBSOLO",-1,IF(LEFT(E605,6)="TÉRREO",0,IFERROR(VALUE(LEFT(E605,FIND("º",E605)-1)),""))))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IF(E606="","",IF(LEFT(E606,7)="SUBSOLO",-1,IF(LEFT(E606,6)="TÉRREO",0,IFERROR(VALUE(LEFT(E606,FIND("º",E606)-1)),""))))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IF(E607="","",IF(LEFT(E607,7)="SUBSOLO",-1,IF(LEFT(E607,6)="TÉRREO",0,IFERROR(VALUE(LEFT(E607,FIND("º",E607)-1)),""))))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IF(E608="","",IF(LEFT(E608,7)="SUBSOLO",-1,IF(LEFT(E608,6)="TÉRREO",0,IFERROR(VALUE(LEFT(E608,FIND("º",E608)-1)),""))))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IF(E609="","",IF(LEFT(E609,7)="SUBSOLO",-1,IF(LEFT(E609,6)="TÉRREO",0,IFERROR(VALUE(LEFT(E609,FIND("º",E609)-1)),""))))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IF(E610="","",IF(LEFT(E610,7)="SUBSOLO",-1,IF(LEFT(E610,6)="TÉRREO",0,IFERROR(VALUE(LEFT(E610,FIND("º",E610)-1)),""))))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IF(E611="","",IF(LEFT(E611,7)="SUBSOLO",-1,IF(LEFT(E611,6)="TÉRREO",0,IFERROR(VALUE(LEFT(E611,FIND("º",E611)-1)),""))))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IF(E612="","",IF(LEFT(E612,7)="SUBSOLO",-1,IF(LEFT(E612,6)="TÉRREO",0,IFERROR(VALUE(LEFT(E612,FIND("º",E612)-1)),""))))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IF(E613="","",IF(LEFT(E613,7)="SUBSOLO",-1,IF(LEFT(E613,6)="TÉRREO",0,IFERROR(VALUE(LEFT(E613,FIND("º",E613)-1)),""))))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IF(E614="","",IF(LEFT(E614,7)="SUBSOLO",-1,IF(LEFT(E614,6)="TÉRREO",0,IFERROR(VALUE(LEFT(E614,FIND("º",E614)-1)),""))))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IF(E615="","",IF(LEFT(E615,7)="SUBSOLO",-1,IF(LEFT(E615,6)="TÉRREO",0,IFERROR(VALUE(LEFT(E615,FIND("º",E615)-1)),""))))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IF(E616="","",IF(LEFT(E616,7)="SUBSOLO",-1,IF(LEFT(E616,6)="TÉRREO",0,IFERROR(VALUE(LEFT(E616,FIND("º",E616)-1)),""))))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IF(E617="","",IF(LEFT(E617,7)="SUBSOLO",-1,IF(LEFT(E617,6)="TÉRREO",0,IFERROR(VALUE(LEFT(E617,FIND("º",E617)-1)),""))))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IF(E618="","",IF(LEFT(E618,7)="SUBSOLO",-1,IF(LEFT(E618,6)="TÉRREO",0,IFERROR(VALUE(LEFT(E618,FIND("º",E618)-1)),""))))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IF(E619="","",IF(LEFT(E619,7)="SUBSOLO",-1,IF(LEFT(E619,6)="TÉRREO",0,IFERROR(VALUE(LEFT(E619,FIND("º",E619)-1)),""))))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IF(E620="","",IF(LEFT(E620,7)="SUBSOLO",-1,IF(LEFT(E620,6)="TÉRREO",0,IFERROR(VALUE(LEFT(E620,FIND("º",E620)-1)),""))))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IF(E621="","",IF(LEFT(E621,7)="SUBSOLO",-1,IF(LEFT(E621,6)="TÉRREO",0,IFERROR(VALUE(LEFT(E621,FIND("º",E621)-1)),""))))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IF(E622="","",IF(LEFT(E622,7)="SUBSOLO",-1,IF(LEFT(E622,6)="TÉRREO",0,IFERROR(VALUE(LEFT(E622,FIND("º",E622)-1)),""))))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IF(E623="","",IF(LEFT(E623,7)="SUBSOLO",-1,IF(LEFT(E623,6)="TÉRREO",0,IFERROR(VALUE(LEFT(E623,FIND("º",E623)-1)),""))))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IF(E624="","",IF(LEFT(E624,7)="SUBSOLO",-1,IF(LEFT(E624,6)="TÉRREO",0,IFERROR(VALUE(LEFT(E624,FIND("º",E624)-1)),""))))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IF(E625="","",IF(LEFT(E625,7)="SUBSOLO",-1,IF(LEFT(E625,6)="TÉRREO",0,IFERROR(VALUE(LEFT(E625,FIND("º",E625)-1)),""))))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IF(E626="","",IF(LEFT(E626,7)="SUBSOLO",-1,IF(LEFT(E626,6)="TÉRREO",0,IFERROR(VALUE(LEFT(E626,FIND("º",E626)-1)),""))))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IF(E627="","",IF(LEFT(E627,7)="SUBSOLO",-1,IF(LEFT(E627,6)="TÉRREO",0,IFERROR(VALUE(LEFT(E627,FIND("º",E627)-1)),""))))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IF(E628="","",IF(LEFT(E628,7)="SUBSOLO",-1,IF(LEFT(E628,6)="TÉRREO",0,IFERROR(VALUE(LEFT(E628,FIND("º",E628)-1)),""))))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IF(E629="","",IF(LEFT(E629,7)="SUBSOLO",-1,IF(LEFT(E629,6)="TÉRREO",0,IFERROR(VALUE(LEFT(E629,FIND("º",E629)-1)),""))))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IF(E630="","",IF(LEFT(E630,7)="SUBSOLO",-1,IF(LEFT(E630,6)="TÉRREO",0,IFERROR(VALUE(LEFT(E630,FIND("º",E630)-1)),""))))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IF(E631="","",IF(LEFT(E631,7)="SUBSOLO",-1,IF(LEFT(E631,6)="TÉRREO",0,IFERROR(VALUE(LEFT(E631,FIND("º",E631)-1)),""))))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IF(E632="","",IF(LEFT(E632,7)="SUBSOLO",-1,IF(LEFT(E632,6)="TÉRREO",0,IFERROR(VALUE(LEFT(E632,FIND("º",E632)-1)),""))))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IF(E633="","",IF(LEFT(E633,7)="SUBSOLO",-1,IF(LEFT(E633,6)="TÉRREO",0,IFERROR(VALUE(LEFT(E633,FIND("º",E633)-1)),""))))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IF(E634="","",IF(LEFT(E634,7)="SUBSOLO",-1,IF(LEFT(E634,6)="TÉRREO",0,IFERROR(VALUE(LEFT(E634,FIND("º",E634)-1)),""))))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IF(E635="","",IF(LEFT(E635,7)="SUBSOLO",-1,IF(LEFT(E635,6)="TÉRREO",0,IFERROR(VALUE(LEFT(E635,FIND("º",E635)-1)),""))))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IF(E636="","",IF(LEFT(E636,7)="SUBSOLO",-1,IF(LEFT(E636,6)="TÉRREO",0,IFERROR(VALUE(LEFT(E636,FIND("º",E636)-1)),""))))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IF(E637="","",IF(LEFT(E637,7)="SUBSOLO",-1,IF(LEFT(E637,6)="TÉRREO",0,IFERROR(VALUE(LEFT(E637,FIND("º",E637)-1)),""))))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IF(E638="","",IF(LEFT(E638,7)="SUBSOLO",-1,IF(LEFT(E638,6)="TÉRREO",0,IFERROR(VALUE(LEFT(E638,FIND("º",E638)-1)),""))))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IF(E639="","",IF(LEFT(E639,7)="SUBSOLO",-1,IF(LEFT(E639,6)="TÉRREO",0,IFERROR(VALUE(LEFT(E639,FIND("º",E639)-1)),""))))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IF(E640="","",IF(LEFT(E640,7)="SUBSOLO",-1,IF(LEFT(E640,6)="TÉRREO",0,IFERROR(VALUE(LEFT(E640,FIND("º",E640)-1)),""))))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IF(E641="","",IF(LEFT(E641,7)="SUBSOLO",-1,IF(LEFT(E641,6)="TÉRREO",0,IFERROR(VALUE(LEFT(E641,FIND("º",E641)-1)),""))))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IF(E642="","",IF(LEFT(E642,7)="SUBSOLO",-1,IF(LEFT(E642,6)="TÉRREO",0,IFERROR(VALUE(LEFT(E642,FIND("º",E642)-1)),""))))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IF(E643="","",IF(LEFT(E643,7)="SUBSOLO",-1,IF(LEFT(E643,6)="TÉRREO",0,IFERROR(VALUE(LEFT(E643,FIND("º",E643)-1)),""))))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IF(E644="","",IF(LEFT(E644,7)="SUBSOLO",-1,IF(LEFT(E644,6)="TÉRREO",0,IFERROR(VALUE(LEFT(E644,FIND("º",E644)-1)),""))))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IF(E645="","",IF(LEFT(E645,7)="SUBSOLO",-1,IF(LEFT(E645,6)="TÉRREO",0,IFERROR(VALUE(LEFT(E645,FIND("º",E645)-1)),""))))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IF(E646="","",IF(LEFT(E646,7)="SUBSOLO",-1,IF(LEFT(E646,6)="TÉRREO",0,IFERROR(VALUE(LEFT(E646,FIND("º",E646)-1)),""))))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IF(E647="","",IF(LEFT(E647,7)="SUBSOLO",-1,IF(LEFT(E647,6)="TÉRREO",0,IFERROR(VALUE(LEFT(E647,FIND("º",E647)-1)),""))))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IF(E648="","",IF(LEFT(E648,7)="SUBSOLO",-1,IF(LEFT(E648,6)="TÉRREO",0,IFERROR(VALUE(LEFT(E648,FIND("º",E648)-1)),""))))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IF(E649="","",IF(LEFT(E649,7)="SUBSOLO",-1,IF(LEFT(E649,6)="TÉRREO",0,IFERROR(VALUE(LEFT(E649,FIND("º",E649)-1)),""))))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IF(E650="","",IF(LEFT(E650,7)="SUBSOLO",-1,IF(LEFT(E650,6)="TÉRREO",0,IFERROR(VALUE(LEFT(E650,FIND("º",E650)-1)),""))))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IF(E651="","",IF(LEFT(E651,7)="SUBSOLO",-1,IF(LEFT(E651,6)="TÉRREO",0,IFERROR(VALUE(LEFT(E651,FIND("º",E651)-1)),""))))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IF(E652="","",IF(LEFT(E652,7)="SUBSOLO",-1,IF(LEFT(E652,6)="TÉRREO",0,IFERROR(VALUE(LEFT(E652,FIND("º",E652)-1)),""))))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IF(E653="","",IF(LEFT(E653,7)="SUBSOLO",-1,IF(LEFT(E653,6)="TÉRREO",0,IFERROR(VALUE(LEFT(E653,FIND("º",E653)-1)),""))))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IF(E654="","",IF(LEFT(E654,7)="SUBSOLO",-1,IF(LEFT(E654,6)="TÉRREO",0,IFERROR(VALUE(LEFT(E654,FIND("º",E654)-1)),""))))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IF(E655="","",IF(LEFT(E655,7)="SUBSOLO",-1,IF(LEFT(E655,6)="TÉRREO",0,IFERROR(VALUE(LEFT(E655,FIND("º",E655)-1)),""))))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IF(E656="","",IF(LEFT(E656,7)="SUBSOLO",-1,IF(LEFT(E656,6)="TÉRREO",0,IFERROR(VALUE(LEFT(E656,FIND("º",E656)-1)),""))))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IF(E657="","",IF(LEFT(E657,7)="SUBSOLO",-1,IF(LEFT(E657,6)="TÉRREO",0,IFERROR(VALUE(LEFT(E657,FIND("º",E657)-1)),""))))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IF(E658="","",IF(LEFT(E658,7)="SUBSOLO",-1,IF(LEFT(E658,6)="TÉRREO",0,IFERROR(VALUE(LEFT(E658,FIND("º",E658)-1)),""))))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IF(E659="","",IF(LEFT(E659,7)="SUBSOLO",-1,IF(LEFT(E659,6)="TÉRREO",0,IFERROR(VALUE(LEFT(E659,FIND("º",E659)-1)),""))))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IF(E660="","",IF(LEFT(E660,7)="SUBSOLO",-1,IF(LEFT(E660,6)="TÉRREO",0,IFERROR(VALUE(LEFT(E660,FIND("º",E660)-1)),""))))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IF(E661="","",IF(LEFT(E661,7)="SUBSOLO",-1,IF(LEFT(E661,6)="TÉRREO",0,IFERROR(VALUE(LEFT(E661,FIND("º",E661)-1)),""))))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IF(E662="","",IF(LEFT(E662,7)="SUBSOLO",-1,IF(LEFT(E662,6)="TÉRREO",0,IFERROR(VALUE(LEFT(E662,FIND("º",E662)-1)),""))))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IF(E663="","",IF(LEFT(E663,7)="SUBSOLO",-1,IF(LEFT(E663,6)="TÉRREO",0,IFERROR(VALUE(LEFT(E663,FIND("º",E663)-1)),""))))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IF(E664="","",IF(LEFT(E664,7)="SUBSOLO",-1,IF(LEFT(E664,6)="TÉRREO",0,IFERROR(VALUE(LEFT(E664,FIND("º",E664)-1)),""))))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IF(E665="","",IF(LEFT(E665,7)="SUBSOLO",-1,IF(LEFT(E665,6)="TÉRREO",0,IFERROR(VALUE(LEFT(E665,FIND("º",E665)-1)),""))))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IF(E666="","",IF(LEFT(E666,7)="SUBSOLO",-1,IF(LEFT(E666,6)="TÉRREO",0,IFERROR(VALUE(LEFT(E666,FIND("º",E666)-1)),""))))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IF(E667="","",IF(LEFT(E667,7)="SUBSOLO",-1,IF(LEFT(E667,6)="TÉRREO",0,IFERROR(VALUE(LEFT(E667,FIND("º",E667)-1)),""))))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IF(E668="","",IF(LEFT(E668,7)="SUBSOLO",-1,IF(LEFT(E668,6)="TÉRREO",0,IFERROR(VALUE(LEFT(E668,FIND("º",E668)-1)),""))))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IF(E669="","",IF(LEFT(E669,7)="SUBSOLO",-1,IF(LEFT(E669,6)="TÉRREO",0,IFERROR(VALUE(LEFT(E669,FIND("º",E669)-1)),""))))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IF(E670="","",IF(LEFT(E670,7)="SUBSOLO",-1,IF(LEFT(E670,6)="TÉRREO",0,IFERROR(VALUE(LEFT(E670,FIND("º",E670)-1)),""))))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IF(E671="","",IF(LEFT(E671,7)="SUBSOLO",-1,IF(LEFT(E671,6)="TÉRREO",0,IFERROR(VALUE(LEFT(E671,FIND("º",E671)-1)),""))))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IF(E672="","",IF(LEFT(E672,7)="SUBSOLO",-1,IF(LEFT(E672,6)="TÉRREO",0,IFERROR(VALUE(LEFT(E672,FIND("º",E672)-1)),""))))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IF(E673="","",IF(LEFT(E673,7)="SUBSOLO",-1,IF(LEFT(E673,6)="TÉRREO",0,IFERROR(VALUE(LEFT(E673,FIND("º",E673)-1)),""))))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IF(E674="","",IF(LEFT(E674,7)="SUBSOLO",-1,IF(LEFT(E674,6)="TÉRREO",0,IFERROR(VALUE(LEFT(E674,FIND("º",E674)-1)),""))))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IF(E675="","",IF(LEFT(E675,7)="SUBSOLO",-1,IF(LEFT(E675,6)="TÉRREO",0,IFERROR(VALUE(LEFT(E675,FIND("º",E675)-1)),""))))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IF(E676="","",IF(LEFT(E676,7)="SUBSOLO",-1,IF(LEFT(E676,6)="TÉRREO",0,IFERROR(VALUE(LEFT(E676,FIND("º",E676)-1)),""))))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IF(E677="","",IF(LEFT(E677,7)="SUBSOLO",-1,IF(LEFT(E677,6)="TÉRREO",0,IFERROR(VALUE(LEFT(E677,FIND("º",E677)-1)),""))))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IF(E678="","",IF(LEFT(E678,7)="SUBSOLO",-1,IF(LEFT(E678,6)="TÉRREO",0,IFERROR(VALUE(LEFT(E678,FIND("º",E678)-1)),""))))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IF(E679="","",IF(LEFT(E679,7)="SUBSOLO",-1,IF(LEFT(E679,6)="TÉRREO",0,IFERROR(VALUE(LEFT(E679,FIND("º",E679)-1)),""))))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IF(E680="","",IF(LEFT(E680,7)="SUBSOLO",-1,IF(LEFT(E680,6)="TÉRREO",0,IFERROR(VALUE(LEFT(E680,FIND("º",E680)-1)),""))))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IF(E681="","",IF(LEFT(E681,7)="SUBSOLO",-1,IF(LEFT(E681,6)="TÉRREO",0,IFERROR(VALUE(LEFT(E681,FIND("º",E681)-1)),""))))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IF(E682="","",IF(LEFT(E682,7)="SUBSOLO",-1,IF(LEFT(E682,6)="TÉRREO",0,IFERROR(VALUE(LEFT(E682,FIND("º",E682)-1)),""))))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IF(E683="","",IF(LEFT(E683,7)="SUBSOLO",-1,IF(LEFT(E683,6)="TÉRREO",0,IFERROR(VALUE(LEFT(E683,FIND("º",E683)-1)),""))))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IF(E684="","",IF(LEFT(E684,7)="SUBSOLO",-1,IF(LEFT(E684,6)="TÉRREO",0,IFERROR(VALUE(LEFT(E684,FIND("º",E684)-1)),""))))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IF(E685="","",IF(LEFT(E685,7)="SUBSOLO",-1,IF(LEFT(E685,6)="TÉRREO",0,IFERROR(VALUE(LEFT(E685,FIND("º",E685)-1)),""))))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IF(E686="","",IF(LEFT(E686,7)="SUBSOLO",-1,IF(LEFT(E686,6)="TÉRREO",0,IFERROR(VALUE(LEFT(E686,FIND("º",E686)-1)),""))))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IF(E687="","",IF(LEFT(E687,7)="SUBSOLO",-1,IF(LEFT(E687,6)="TÉRREO",0,IFERROR(VALUE(LEFT(E687,FIND("º",E687)-1)),""))))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IF(E688="","",IF(LEFT(E688,7)="SUBSOLO",-1,IF(LEFT(E688,6)="TÉRREO",0,IFERROR(VALUE(LEFT(E688,FIND("º",E688)-1)),""))))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IF(E689="","",IF(LEFT(E689,7)="SUBSOLO",-1,IF(LEFT(E689,6)="TÉRREO",0,IFERROR(VALUE(LEFT(E689,FIND("º",E689)-1)),""))))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IF(E690="","",IF(LEFT(E690,7)="SUBSOLO",-1,IF(LEFT(E690,6)="TÉRREO",0,IFERROR(VALUE(LEFT(E690,FIND("º",E690)-1)),""))))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IF(E691="","",IF(LEFT(E691,7)="SUBSOLO",-1,IF(LEFT(E691,6)="TÉRREO",0,IFERROR(VALUE(LEFT(E691,FIND("º",E691)-1)),""))))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IF(E692="","",IF(LEFT(E692,7)="SUBSOLO",-1,IF(LEFT(E692,6)="TÉRREO",0,IFERROR(VALUE(LEFT(E692,FIND("º",E692)-1)),""))))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IF(E693="","",IF(LEFT(E693,7)="SUBSOLO",-1,IF(LEFT(E693,6)="TÉRREO",0,IFERROR(VALUE(LEFT(E693,FIND("º",E693)-1)),""))))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IF(E694="","",IF(LEFT(E694,7)="SUBSOLO",-1,IF(LEFT(E694,6)="TÉRREO",0,IFERROR(VALUE(LEFT(E694,FIND("º",E694)-1)),""))))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IF(E695="","",IF(LEFT(E695,7)="SUBSOLO",-1,IF(LEFT(E695,6)="TÉRREO",0,IFERROR(VALUE(LEFT(E695,FIND("º",E695)-1)),""))))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IF(E696="","",IF(LEFT(E696,7)="SUBSOLO",-1,IF(LEFT(E696,6)="TÉRREO",0,IFERROR(VALUE(LEFT(E696,FIND("º",E696)-1)),""))))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IF(E697="","",IF(LEFT(E697,7)="SUBSOLO",-1,IF(LEFT(E697,6)="TÉRREO",0,IFERROR(VALUE(LEFT(E697,FIND("º",E697)-1)),""))))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IF(E698="","",IF(LEFT(E698,7)="SUBSOLO",-1,IF(LEFT(E698,6)="TÉRREO",0,IFERROR(VALUE(LEFT(E698,FIND("º",E698)-1)),""))))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IF(E699="","",IF(LEFT(E699,7)="SUBSOLO",-1,IF(LEFT(E699,6)="TÉRREO",0,IFERROR(VALUE(LEFT(E699,FIND("º",E699)-1)),""))))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IF(E700="","",IF(LEFT(E700,7)="SUBSOLO",-1,IF(LEFT(E700,6)="TÉRREO",0,IFERROR(VALUE(LEFT(E700,FIND("º",E700)-1)),""))))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IF(E701="","",IF(LEFT(E701,7)="SUBSOLO",-1,IF(LEFT(E701,6)="TÉRREO",0,IFERROR(VALUE(LEFT(E701,FIND("º",E701)-1)),""))))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IF(E702="","",IF(LEFT(E702,7)="SUBSOLO",-1,IF(LEFT(E702,6)="TÉRREO",0,IFERROR(VALUE(LEFT(E702,FIND("º",E702)-1)),""))))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IF(E703="","",IF(LEFT(E703,7)="SUBSOLO",-1,IF(LEFT(E703,6)="TÉRREO",0,IFERROR(VALUE(LEFT(E703,FIND("º",E703)-1)),""))))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IF(E704="","",IF(LEFT(E704,7)="SUBSOLO",-1,IF(LEFT(E704,6)="TÉRREO",0,IFERROR(VALUE(LEFT(E704,FIND("º",E704)-1)),""))))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IF(E705="","",IF(LEFT(E705,7)="SUBSOLO",-1,IF(LEFT(E705,6)="TÉRREO",0,IFERROR(VALUE(LEFT(E705,FIND("º",E705)-1)),""))))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IF(E706="","",IF(LEFT(E706,7)="SUBSOLO",-1,IF(LEFT(E706,6)="TÉRREO",0,IFERROR(VALUE(LEFT(E706,FIND("º",E706)-1)),""))))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IF(E707="","",IF(LEFT(E707,7)="SUBSOLO",-1,IF(LEFT(E707,6)="TÉRREO",0,IFERROR(VALUE(LEFT(E707,FIND("º",E707)-1)),""))))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IF(E708="","",IF(LEFT(E708,7)="SUBSOLO",-1,IF(LEFT(E708,6)="TÉRREO",0,IFERROR(VALUE(LEFT(E708,FIND("º",E708)-1)),""))))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IF(E709="","",IF(LEFT(E709,7)="SUBSOLO",-1,IF(LEFT(E709,6)="TÉRREO",0,IFERROR(VALUE(LEFT(E709,FIND("º",E709)-1)),""))))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IF(E710="","",IF(LEFT(E710,7)="SUBSOLO",-1,IF(LEFT(E710,6)="TÉRREO",0,IFERROR(VALUE(LEFT(E710,FIND("º",E710)-1)),""))))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IF(E711="","",IF(LEFT(E711,7)="SUBSOLO",-1,IF(LEFT(E711,6)="TÉRREO",0,IFERROR(VALUE(LEFT(E711,FIND("º",E711)-1)),""))))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IF(E712="","",IF(LEFT(E712,7)="SUBSOLO",-1,IF(LEFT(E712,6)="TÉRREO",0,IFERROR(VALUE(LEFT(E712,FIND("º",E712)-1)),""))))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IF(E713="","",IF(LEFT(E713,7)="SUBSOLO",-1,IF(LEFT(E713,6)="TÉRREO",0,IFERROR(VALUE(LEFT(E713,FIND("º",E713)-1)),""))))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IF(E714="","",IF(LEFT(E714,7)="SUBSOLO",-1,IF(LEFT(E714,6)="TÉRREO",0,IFERROR(VALUE(LEFT(E714,FIND("º",E714)-1)),""))))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IF(E715="","",IF(LEFT(E715,7)="SUBSOLO",-1,IF(LEFT(E715,6)="TÉRREO",0,IFERROR(VALUE(LEFT(E715,FIND("º",E715)-1)),""))))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IF(E716="","",IF(LEFT(E716,7)="SUBSOLO",-1,IF(LEFT(E716,6)="TÉRREO",0,IFERROR(VALUE(LEFT(E716,FIND("º",E716)-1)),""))))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IF(E717="","",IF(LEFT(E717,7)="SUBSOLO",-1,IF(LEFT(E717,6)="TÉRREO",0,IFERROR(VALUE(LEFT(E717,FIND("º",E717)-1)),""))))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IF(E718="","",IF(LEFT(E718,7)="SUBSOLO",-1,IF(LEFT(E718,6)="TÉRREO",0,IFERROR(VALUE(LEFT(E718,FIND("º",E718)-1)),""))))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IF(E719="","",IF(LEFT(E719,7)="SUBSOLO",-1,IF(LEFT(E719,6)="TÉRREO",0,IFERROR(VALUE(LEFT(E719,FIND("º",E719)-1)),""))))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IF(E720="","",IF(LEFT(E720,7)="SUBSOLO",-1,IF(LEFT(E720,6)="TÉRREO",0,IFERROR(VALUE(LEFT(E720,FIND("º",E720)-1)),""))))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IF(E721="","",IF(LEFT(E721,7)="SUBSOLO",-1,IF(LEFT(E721,6)="TÉRREO",0,IFERROR(VALUE(LEFT(E721,FIND("º",E721)-1)),""))))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IF(E722="","",IF(LEFT(E722,7)="SUBSOLO",-1,IF(LEFT(E722,6)="TÉRREO",0,IFERROR(VALUE(LEFT(E722,FIND("º",E722)-1)),""))))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IF(E723="","",IF(LEFT(E723,7)="SUBSOLO",-1,IF(LEFT(E723,6)="TÉRREO",0,IFERROR(VALUE(LEFT(E723,FIND("º",E723)-1)),""))))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IF(E724="","",IF(LEFT(E724,7)="SUBSOLO",-1,IF(LEFT(E724,6)="TÉRREO",0,IFERROR(VALUE(LEFT(E724,FIND("º",E724)-1)),""))))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IF(E725="","",IF(LEFT(E725,7)="SUBSOLO",-1,IF(LEFT(E725,6)="TÉRREO",0,IFERROR(VALUE(LEFT(E725,FIND("º",E725)-1)),""))))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IF(E726="","",IF(LEFT(E726,7)="SUBSOLO",-1,IF(LEFT(E726,6)="TÉRREO",0,IFERROR(VALUE(LEFT(E726,FIND("º",E726)-1)),""))))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IF(E727="","",IF(LEFT(E727,7)="SUBSOLO",-1,IF(LEFT(E727,6)="TÉRREO",0,IFERROR(VALUE(LEFT(E727,FIND("º",E727)-1)),""))))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IF(E728="","",IF(LEFT(E728,7)="SUBSOLO",-1,IF(LEFT(E728,6)="TÉRREO",0,IFERROR(VALUE(LEFT(E728,FIND("º",E728)-1)),""))))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IF(E729="","",IF(LEFT(E729,7)="SUBSOLO",-1,IF(LEFT(E729,6)="TÉRREO",0,IFERROR(VALUE(LEFT(E729,FIND("º",E729)-1)),""))))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IF(E730="","",IF(LEFT(E730,7)="SUBSOLO",-1,IF(LEFT(E730,6)="TÉRREO",0,IFERROR(VALUE(LEFT(E730,FIND("º",E730)-1)),""))))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IF(E731="","",IF(LEFT(E731,7)="SUBSOLO",-1,IF(LEFT(E731,6)="TÉRREO",0,IFERROR(VALUE(LEFT(E731,FIND("º",E731)-1)),""))))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IF(E732="","",IF(LEFT(E732,7)="SUBSOLO",-1,IF(LEFT(E732,6)="TÉRREO",0,IFERROR(VALUE(LEFT(E732,FIND("º",E732)-1)),""))))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IF(E733="","",IF(LEFT(E733,7)="SUBSOLO",-1,IF(LEFT(E733,6)="TÉRREO",0,IFERROR(VALUE(LEFT(E733,FIND("º",E733)-1)),""))))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IF(E734="","",IF(LEFT(E734,7)="SUBSOLO",-1,IF(LEFT(E734,6)="TÉRREO",0,IFERROR(VALUE(LEFT(E734,FIND("º",E734)-1)),""))))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IF(E735="","",IF(LEFT(E735,7)="SUBSOLO",-1,IF(LEFT(E735,6)="TÉRREO",0,IFERROR(VALUE(LEFT(E735,FIND("º",E735)-1)),""))))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IF(E736="","",IF(LEFT(E736,7)="SUBSOLO",-1,IF(LEFT(E736,6)="TÉRREO",0,IFERROR(VALUE(LEFT(E736,FIND("º",E736)-1)),""))))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IF(E737="","",IF(LEFT(E737,7)="SUBSOLO",-1,IF(LEFT(E737,6)="TÉRREO",0,IFERROR(VALUE(LEFT(E737,FIND("º",E737)-1)),""))))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IF(E738="","",IF(LEFT(E738,7)="SUBSOLO",-1,IF(LEFT(E738,6)="TÉRREO",0,IFERROR(VALUE(LEFT(E738,FIND("º",E738)-1)),""))))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IF(E739="","",IF(LEFT(E739,7)="SUBSOLO",-1,IF(LEFT(E739,6)="TÉRREO",0,IFERROR(VALUE(LEFT(E739,FIND("º",E739)-1)),""))))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IF(E740="","",IF(LEFT(E740,7)="SUBSOLO",-1,IF(LEFT(E740,6)="TÉRREO",0,IFERROR(VALUE(LEFT(E740,FIND("º",E740)-1)),""))))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IF(E741="","",IF(LEFT(E741,7)="SUBSOLO",-1,IF(LEFT(E741,6)="TÉRREO",0,IFERROR(VALUE(LEFT(E741,FIND("º",E741)-1)),""))))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IF(E742="","",IF(LEFT(E742,7)="SUBSOLO",-1,IF(LEFT(E742,6)="TÉRREO",0,IFERROR(VALUE(LEFT(E742,FIND("º",E742)-1)),""))))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IF(E743="","",IF(LEFT(E743,7)="SUBSOLO",-1,IF(LEFT(E743,6)="TÉRREO",0,IFERROR(VALUE(LEFT(E743,FIND("º",E743)-1)),""))))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IF(E744="","",IF(LEFT(E744,7)="SUBSOLO",-1,IF(LEFT(E744,6)="TÉRREO",0,IFERROR(VALUE(LEFT(E744,FIND("º",E744)-1)),""))))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IF(E745="","",IF(LEFT(E745,7)="SUBSOLO",-1,IF(LEFT(E745,6)="TÉRREO",0,IFERROR(VALUE(LEFT(E745,FIND("º",E745)-1)),""))))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IF(E746="","",IF(LEFT(E746,7)="SUBSOLO",-1,IF(LEFT(E746,6)="TÉRREO",0,IFERROR(VALUE(LEFT(E746,FIND("º",E746)-1)),""))))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IF(E747="","",IF(LEFT(E747,7)="SUBSOLO",-1,IF(LEFT(E747,6)="TÉRREO",0,IFERROR(VALUE(LEFT(E747,FIND("º",E747)-1)),""))))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IF(E748="","",IF(LEFT(E748,7)="SUBSOLO",-1,IF(LEFT(E748,6)="TÉRREO",0,IFERROR(VALUE(LEFT(E748,FIND("º",E748)-1)),""))))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IF(E749="","",IF(LEFT(E749,7)="SUBSOLO",-1,IF(LEFT(E749,6)="TÉRREO",0,IFERROR(VALUE(LEFT(E749,FIND("º",E749)-1)),""))))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IF(E750="","",IF(LEFT(E750,7)="SUBSOLO",-1,IF(LEFT(E750,6)="TÉRREO",0,IFERROR(VALUE(LEFT(E750,FIND("º",E750)-1)),""))))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IF(E751="","",IF(LEFT(E751,7)="SUBSOLO",-1,IF(LEFT(E751,6)="TÉRREO",0,IFERROR(VALUE(LEFT(E751,FIND("º",E751)-1)),""))))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IF(E752="","",IF(LEFT(E752,7)="SUBSOLO",-1,IF(LEFT(E752,6)="TÉRREO",0,IFERROR(VALUE(LEFT(E752,FIND("º",E752)-1)),""))))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IF(E753="","",IF(LEFT(E753,7)="SUBSOLO",-1,IF(LEFT(E753,6)="TÉRREO",0,IFERROR(VALUE(LEFT(E753,FIND("º",E753)-1)),""))))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IF(E754="","",IF(LEFT(E754,7)="SUBSOLO",-1,IF(LEFT(E754,6)="TÉRREO",0,IFERROR(VALUE(LEFT(E754,FIND("º",E754)-1)),""))))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IF(E755="","",IF(LEFT(E755,7)="SUBSOLO",-1,IF(LEFT(E755,6)="TÉRREO",0,IFERROR(VALUE(LEFT(E755,FIND("º",E755)-1)),""))))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IF(E756="","",IF(LEFT(E756,7)="SUBSOLO",-1,IF(LEFT(E756,6)="TÉRREO",0,IFERROR(VALUE(LEFT(E756,FIND("º",E756)-1)),""))))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IF(E757="","",IF(LEFT(E757,7)="SUBSOLO",-1,IF(LEFT(E757,6)="TÉRREO",0,IFERROR(VALUE(LEFT(E757,FIND("º",E757)-1)),""))))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IF(E758="","",IF(LEFT(E758,7)="SUBSOLO",-1,IF(LEFT(E758,6)="TÉRREO",0,IFERROR(VALUE(LEFT(E758,FIND("º",E758)-1)),""))))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IF(E759="","",IF(LEFT(E759,7)="SUBSOLO",-1,IF(LEFT(E759,6)="TÉRREO",0,IFERROR(VALUE(LEFT(E759,FIND("º",E759)-1)),""))))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IF(E760="","",IF(LEFT(E760,7)="SUBSOLO",-1,IF(LEFT(E760,6)="TÉRREO",0,IFERROR(VALUE(LEFT(E760,FIND("º",E760)-1)),""))))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IF(E761="","",IF(LEFT(E761,7)="SUBSOLO",-1,IF(LEFT(E761,6)="TÉRREO",0,IFERROR(VALUE(LEFT(E761,FIND("º",E761)-1)),""))))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IF(E762="","",IF(LEFT(E762,7)="SUBSOLO",-1,IF(LEFT(E762,6)="TÉRREO",0,IFERROR(VALUE(LEFT(E762,FIND("º",E762)-1)),""))))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IF(E763="","",IF(LEFT(E763,7)="SUBSOLO",-1,IF(LEFT(E763,6)="TÉRREO",0,IFERROR(VALUE(LEFT(E763,FIND("º",E763)-1)),""))))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IF(E764="","",IF(LEFT(E764,7)="SUBSOLO",-1,IF(LEFT(E764,6)="TÉRREO",0,IFERROR(VALUE(LEFT(E764,FIND("º",E764)-1)),""))))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IF(E765="","",IF(LEFT(E765,7)="SUBSOLO",-1,IF(LEFT(E765,6)="TÉRREO",0,IFERROR(VALUE(LEFT(E765,FIND("º",E765)-1)),""))))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IF(E766="","",IF(LEFT(E766,7)="SUBSOLO",-1,IF(LEFT(E766,6)="TÉRREO",0,IFERROR(VALUE(LEFT(E766,FIND("º",E766)-1)),""))))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IF(E767="","",IF(LEFT(E767,7)="SUBSOLO",-1,IF(LEFT(E767,6)="TÉRREO",0,IFERROR(VALUE(LEFT(E767,FIND("º",E767)-1)),""))))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IF(E768="","",IF(LEFT(E768,7)="SUBSOLO",-1,IF(LEFT(E768,6)="TÉRREO",0,IFERROR(VALUE(LEFT(E768,FIND("º",E768)-1)),""))))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IF(E769="","",IF(LEFT(E769,7)="SUBSOLO",-1,IF(LEFT(E769,6)="TÉRREO",0,IFERROR(VALUE(LEFT(E769,FIND("º",E769)-1)),""))))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IF(E770="","",IF(LEFT(E770,7)="SUBSOLO",-1,IF(LEFT(E770,6)="TÉRREO",0,IFERROR(VALUE(LEFT(E770,FIND("º",E770)-1)),""))))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IF(E771="","",IF(LEFT(E771,7)="SUBSOLO",-1,IF(LEFT(E771,6)="TÉRREO",0,IFERROR(VALUE(LEFT(E771,FIND("º",E771)-1)),""))))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IF(E772="","",IF(LEFT(E772,7)="SUBSOLO",-1,IF(LEFT(E772,6)="TÉRREO",0,IFERROR(VALUE(LEFT(E772,FIND("º",E772)-1)),""))))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IF(E773="","",IF(LEFT(E773,7)="SUBSOLO",-1,IF(LEFT(E773,6)="TÉRREO",0,IFERROR(VALUE(LEFT(E773,FIND("º",E773)-1)),""))))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IF(E774="","",IF(LEFT(E774,7)="SUBSOLO",-1,IF(LEFT(E774,6)="TÉRREO",0,IFERROR(VALUE(LEFT(E774,FIND("º",E774)-1)),""))))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IF(E775="","",IF(LEFT(E775,7)="SUBSOLO",-1,IF(LEFT(E775,6)="TÉRREO",0,IFERROR(VALUE(LEFT(E775,FIND("º",E775)-1)),""))))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IF(E776="","",IF(LEFT(E776,7)="SUBSOLO",-1,IF(LEFT(E776,6)="TÉRREO",0,IFERROR(VALUE(LEFT(E776,FIND("º",E776)-1)),""))))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IF(E777="","",IF(LEFT(E777,7)="SUBSOLO",-1,IF(LEFT(E777,6)="TÉRREO",0,IFERROR(VALUE(LEFT(E777,FIND("º",E777)-1)),""))))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IF(E778="","",IF(LEFT(E778,7)="SUBSOLO",-1,IF(LEFT(E778,6)="TÉRREO",0,IFERROR(VALUE(LEFT(E778,FIND("º",E778)-1)),""))))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IF(E779="","",IF(LEFT(E779,7)="SUBSOLO",-1,IF(LEFT(E779,6)="TÉRREO",0,IFERROR(VALUE(LEFT(E779,FIND("º",E779)-1)),""))))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IF(E780="","",IF(LEFT(E780,7)="SUBSOLO",-1,IF(LEFT(E780,6)="TÉRREO",0,IFERROR(VALUE(LEFT(E780,FIND("º",E780)-1)),""))))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IF(E781="","",IF(LEFT(E781,7)="SUBSOLO",-1,IF(LEFT(E781,6)="TÉRREO",0,IFERROR(VALUE(LEFT(E781,FIND("º",E781)-1)),""))))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IF(E782="","",IF(LEFT(E782,7)="SUBSOLO",-1,IF(LEFT(E782,6)="TÉRREO",0,IFERROR(VALUE(LEFT(E782,FIND("º",E782)-1)),""))))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IF(E783="","",IF(LEFT(E783,7)="SUBSOLO",-1,IF(LEFT(E783,6)="TÉRREO",0,IFERROR(VALUE(LEFT(E783,FIND("º",E783)-1)),""))))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IF(E784="","",IF(LEFT(E784,7)="SUBSOLO",-1,IF(LEFT(E784,6)="TÉRREO",0,IFERROR(VALUE(LEFT(E784,FIND("º",E784)-1)),""))))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IF(E785="","",IF(LEFT(E785,7)="SUBSOLO",-1,IF(LEFT(E785,6)="TÉRREO",0,IFERROR(VALUE(LEFT(E785,FIND("º",E785)-1)),""))))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IF(E786="","",IF(LEFT(E786,7)="SUBSOLO",-1,IF(LEFT(E786,6)="TÉRREO",0,IFERROR(VALUE(LEFT(E786,FIND("º",E786)-1)),""))))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IF(E787="","",IF(LEFT(E787,7)="SUBSOLO",-1,IF(LEFT(E787,6)="TÉRREO",0,IFERROR(VALUE(LEFT(E787,FIND("º",E787)-1)),""))))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IF(E788="","",IF(LEFT(E788,7)="SUBSOLO",-1,IF(LEFT(E788,6)="TÉRREO",0,IFERROR(VALUE(LEFT(E788,FIND("º",E788)-1)),""))))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IF(E789="","",IF(LEFT(E789,7)="SUBSOLO",-1,IF(LEFT(E789,6)="TÉRREO",0,IFERROR(VALUE(LEFT(E789,FIND("º",E789)-1)),""))))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IF(E790="","",IF(LEFT(E790,7)="SUBSOLO",-1,IF(LEFT(E790,6)="TÉRREO",0,IFERROR(VALUE(LEFT(E790,FIND("º",E790)-1)),""))))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IF(E791="","",IF(LEFT(E791,7)="SUBSOLO",-1,IF(LEFT(E791,6)="TÉRREO",0,IFERROR(VALUE(LEFT(E791,FIND("º",E791)-1)),""))))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IF(E792="","",IF(LEFT(E792,7)="SUBSOLO",-1,IF(LEFT(E792,6)="TÉRREO",0,IFERROR(VALUE(LEFT(E792,FIND("º",E792)-1)),""))))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IF(E793="","",IF(LEFT(E793,7)="SUBSOLO",-1,IF(LEFT(E793,6)="TÉRREO",0,IFERROR(VALUE(LEFT(E793,FIND("º",E793)-1)),""))))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IF(E794="","",IF(LEFT(E794,7)="SUBSOLO",-1,IF(LEFT(E794,6)="TÉRREO",0,IFERROR(VALUE(LEFT(E794,FIND("º",E794)-1)),""))))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IF(E795="","",IF(LEFT(E795,7)="SUBSOLO",-1,IF(LEFT(E795,6)="TÉRREO",0,IFERROR(VALUE(LEFT(E795,FIND("º",E795)-1)),""))))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IF(E796="","",IF(LEFT(E796,7)="SUBSOLO",-1,IF(LEFT(E796,6)="TÉRREO",0,IFERROR(VALUE(LEFT(E796,FIND("º",E796)-1)),""))))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IF(E797="","",IF(LEFT(E797,7)="SUBSOLO",-1,IF(LEFT(E797,6)="TÉRREO",0,IFERROR(VALUE(LEFT(E797,FIND("º",E797)-1)),""))))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IF(E798="","",IF(LEFT(E798,7)="SUBSOLO",-1,IF(LEFT(E798,6)="TÉRREO",0,IFERROR(VALUE(LEFT(E798,FIND("º",E798)-1)),""))))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IF(E799="","",IF(LEFT(E799,7)="SUBSOLO",-1,IF(LEFT(E799,6)="TÉRREO",0,IFERROR(VALUE(LEFT(E799,FIND("º",E799)-1)),""))))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IF(E800="","",IF(LEFT(E800,7)="SUBSOLO",-1,IF(LEFT(E800,6)="TÉRREO",0,IFERROR(VALUE(LEFT(E800,FIND("º",E800)-1)),""))))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IF(E801="","",IF(LEFT(E801,7)="SUBSOLO",-1,IF(LEFT(E801,6)="TÉRREO",0,IFERROR(VALUE(LEFT(E801,FIND("º",E801)-1)),""))))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IF(E802="","",IF(LEFT(E802,7)="SUBSOLO",-1,IF(LEFT(E802,6)="TÉRREO",0,IFERROR(VALUE(LEFT(E802,FIND("º",E802)-1)),""))))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IF(E803="","",IF(LEFT(E803,7)="SUBSOLO",-1,IF(LEFT(E803,6)="TÉRREO",0,IFERROR(VALUE(LEFT(E803,FIND("º",E803)-1)),""))))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IF(E804="","",IF(LEFT(E804,7)="SUBSOLO",-1,IF(LEFT(E804,6)="TÉRREO",0,IFERROR(VALUE(LEFT(E804,FIND("º",E804)-1)),""))))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IF(E805="","",IF(LEFT(E805,7)="SUBSOLO",-1,IF(LEFT(E805,6)="TÉRREO",0,IFERROR(VALUE(LEFT(E805,FIND("º",E805)-1)),""))))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IF(E806="","",IF(LEFT(E806,7)="SUBSOLO",-1,IF(LEFT(E806,6)="TÉRREO",0,IFERROR(VALUE(LEFT(E806,FIND("º",E806)-1)),""))))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IF(E807="","",IF(LEFT(E807,7)="SUBSOLO",-1,IF(LEFT(E807,6)="TÉRREO",0,IFERROR(VALUE(LEFT(E807,FIND("º",E807)-1)),""))))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IF(E808="","",IF(LEFT(E808,7)="SUBSOLO",-1,IF(LEFT(E808,6)="TÉRREO",0,IFERROR(VALUE(LEFT(E808,FIND("º",E808)-1)),""))))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IF(E809="","",IF(LEFT(E809,7)="SUBSOLO",-1,IF(LEFT(E809,6)="TÉRREO",0,IFERROR(VALUE(LEFT(E809,FIND("º",E809)-1)),""))))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IF(E810="","",IF(LEFT(E810,7)="SUBSOLO",-1,IF(LEFT(E810,6)="TÉRREO",0,IFERROR(VALUE(LEFT(E810,FIND("º",E810)-1)),""))))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IF(E811="","",IF(LEFT(E811,7)="SUBSOLO",-1,IF(LEFT(E811,6)="TÉRREO",0,IFERROR(VALUE(LEFT(E811,FIND("º",E811)-1)),""))))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IF(E812="","",IF(LEFT(E812,7)="SUBSOLO",-1,IF(LEFT(E812,6)="TÉRREO",0,IFERROR(VALUE(LEFT(E812,FIND("º",E812)-1)),""))))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IF(E813="","",IF(LEFT(E813,7)="SUBSOLO",-1,IF(LEFT(E813,6)="TÉRREO",0,IFERROR(VALUE(LEFT(E813,FIND("º",E813)-1)),""))))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IF(E814="","",IF(LEFT(E814,7)="SUBSOLO",-1,IF(LEFT(E814,6)="TÉRREO",0,IFERROR(VALUE(LEFT(E814,FIND("º",E814)-1)),""))))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IF(E815="","",IF(LEFT(E815,7)="SUBSOLO",-1,IF(LEFT(E815,6)="TÉRREO",0,IFERROR(VALUE(LEFT(E815,FIND("º",E815)-1)),""))))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IF(E816="","",IF(LEFT(E816,7)="SUBSOLO",-1,IF(LEFT(E816,6)="TÉRREO",0,IFERROR(VALUE(LEFT(E816,FIND("º",E816)-1)),""))))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IF(E817="","",IF(LEFT(E817,7)="SUBSOLO",-1,IF(LEFT(E817,6)="TÉRREO",0,IFERROR(VALUE(LEFT(E817,FIND("º",E817)-1)),""))))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IF(E818="","",IF(LEFT(E818,7)="SUBSOLO",-1,IF(LEFT(E818,6)="TÉRREO",0,IFERROR(VALUE(LEFT(E818,FIND("º",E818)-1)),""))))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IF(E819="","",IF(LEFT(E819,7)="SUBSOLO",-1,IF(LEFT(E819,6)="TÉRREO",0,IFERROR(VALUE(LEFT(E819,FIND("º",E819)-1)),""))))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IF(E820="","",IF(LEFT(E820,7)="SUBSOLO",-1,IF(LEFT(E820,6)="TÉRREO",0,IFERROR(VALUE(LEFT(E820,FIND("º",E820)-1)),""))))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IF(E821="","",IF(LEFT(E821,7)="SUBSOLO",-1,IF(LEFT(E821,6)="TÉRREO",0,IFERROR(VALUE(LEFT(E821,FIND("º",E821)-1)),""))))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IF(E822="","",IF(LEFT(E822,7)="SUBSOLO",-1,IF(LEFT(E822,6)="TÉRREO",0,IFERROR(VALUE(LEFT(E822,FIND("º",E822)-1)),""))))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IF(E823="","",IF(LEFT(E823,7)="SUBSOLO",-1,IF(LEFT(E823,6)="TÉRREO",0,IFERROR(VALUE(LEFT(E823,FIND("º",E823)-1)),""))))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IF(E824="","",IF(LEFT(E824,7)="SUBSOLO",-1,IF(LEFT(E824,6)="TÉRREO",0,IFERROR(VALUE(LEFT(E824,FIND("º",E824)-1)),""))))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IF(E825="","",IF(LEFT(E825,7)="SUBSOLO",-1,IF(LEFT(E825,6)="TÉRREO",0,IFERROR(VALUE(LEFT(E825,FIND("º",E825)-1)),""))))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IF(E826="","",IF(LEFT(E826,7)="SUBSOLO",-1,IF(LEFT(E826,6)="TÉRREO",0,IFERROR(VALUE(LEFT(E826,FIND("º",E826)-1)),""))))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IF(E827="","",IF(LEFT(E827,7)="SUBSOLO",-1,IF(LEFT(E827,6)="TÉRREO",0,IFERROR(VALUE(LEFT(E827,FIND("º",E827)-1)),""))))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IF(E828="","",IF(LEFT(E828,7)="SUBSOLO",-1,IF(LEFT(E828,6)="TÉRREO",0,IFERROR(VALUE(LEFT(E828,FIND("º",E828)-1)),""))))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IF(E829="","",IF(LEFT(E829,7)="SUBSOLO",-1,IF(LEFT(E829,6)="TÉRREO",0,IFERROR(VALUE(LEFT(E829,FIND("º",E829)-1)),""))))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IF(E830="","",IF(LEFT(E830,7)="SUBSOLO",-1,IF(LEFT(E830,6)="TÉRREO",0,IFERROR(VALUE(LEFT(E830,FIND("º",E830)-1)),""))))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IF(E831="","",IF(LEFT(E831,7)="SUBSOLO",-1,IF(LEFT(E831,6)="TÉRREO",0,IFERROR(VALUE(LEFT(E831,FIND("º",E831)-1)),""))))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IF(E832="","",IF(LEFT(E832,7)="SUBSOLO",-1,IF(LEFT(E832,6)="TÉRREO",0,IFERROR(VALUE(LEFT(E832,FIND("º",E832)-1)),""))))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IF(E833="","",IF(LEFT(E833,7)="SUBSOLO",-1,IF(LEFT(E833,6)="TÉRREO",0,IFERROR(VALUE(LEFT(E833,FIND("º",E833)-1)),""))))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IF(E834="","",IF(LEFT(E834,7)="SUBSOLO",-1,IF(LEFT(E834,6)="TÉRREO",0,IFERROR(VALUE(LEFT(E834,FIND("º",E834)-1)),""))))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IF(E835="","",IF(LEFT(E835,7)="SUBSOLO",-1,IF(LEFT(E835,6)="TÉRREO",0,IFERROR(VALUE(LEFT(E835,FIND("º",E835)-1)),""))))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IF(E836="","",IF(LEFT(E836,7)="SUBSOLO",-1,IF(LEFT(E836,6)="TÉRREO",0,IFERROR(VALUE(LEFT(E836,FIND("º",E836)-1)),""))))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IF(E837="","",IF(LEFT(E837,7)="SUBSOLO",-1,IF(LEFT(E837,6)="TÉRREO",0,IFERROR(VALUE(LEFT(E837,FIND("º",E837)-1)),""))))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IF(E838="","",IF(LEFT(E838,7)="SUBSOLO",-1,IF(LEFT(E838,6)="TÉRREO",0,IFERROR(VALUE(LEFT(E838,FIND("º",E838)-1)),""))))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IF(E839="","",IF(LEFT(E839,7)="SUBSOLO",-1,IF(LEFT(E839,6)="TÉRREO",0,IFERROR(VALUE(LEFT(E839,FIND("º",E839)-1)),""))))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IF(E840="","",IF(LEFT(E840,7)="SUBSOLO",-1,IF(LEFT(E840,6)="TÉRREO",0,IFERROR(VALUE(LEFT(E840,FIND("º",E840)-1)),""))))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IF(E841="","",IF(LEFT(E841,7)="SUBSOLO",-1,IF(LEFT(E841,6)="TÉRREO",0,IFERROR(VALUE(LEFT(E841,FIND("º",E841)-1)),""))))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IF(E842="","",IF(LEFT(E842,7)="SUBSOLO",-1,IF(LEFT(E842,6)="TÉRREO",0,IFERROR(VALUE(LEFT(E842,FIND("º",E842)-1)),""))))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IF(E843="","",IF(LEFT(E843,7)="SUBSOLO",-1,IF(LEFT(E843,6)="TÉRREO",0,IFERROR(VALUE(LEFT(E843,FIND("º",E843)-1)),""))))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IF(E844="","",IF(LEFT(E844,7)="SUBSOLO",-1,IF(LEFT(E844,6)="TÉRREO",0,IFERROR(VALUE(LEFT(E844,FIND("º",E844)-1)),""))))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IF(E845="","",IF(LEFT(E845,7)="SUBSOLO",-1,IF(LEFT(E845,6)="TÉRREO",0,IFERROR(VALUE(LEFT(E845,FIND("º",E845)-1)),""))))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IF(E846="","",IF(LEFT(E846,7)="SUBSOLO",-1,IF(LEFT(E846,6)="TÉRREO",0,IFERROR(VALUE(LEFT(E846,FIND("º",E846)-1)),""))))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IF(E847="","",IF(LEFT(E847,7)="SUBSOLO",-1,IF(LEFT(E847,6)="TÉRREO",0,IFERROR(VALUE(LEFT(E847,FIND("º",E847)-1)),""))))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IF(E848="","",IF(LEFT(E848,7)="SUBSOLO",-1,IF(LEFT(E848,6)="TÉRREO",0,IFERROR(VALUE(LEFT(E848,FIND("º",E848)-1)),""))))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IF(E849="","",IF(LEFT(E849,7)="SUBSOLO",-1,IF(LEFT(E849,6)="TÉRREO",0,IFERROR(VALUE(LEFT(E849,FIND("º",E849)-1)),""))))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IF(E850="","",IF(LEFT(E850,7)="SUBSOLO",-1,IF(LEFT(E850,6)="TÉRREO",0,IFERROR(VALUE(LEFT(E850,FIND("º",E850)-1)),""))))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IF(E851="","",IF(LEFT(E851,7)="SUBSOLO",-1,IF(LEFT(E851,6)="TÉRREO",0,IFERROR(VALUE(LEFT(E851,FIND("º",E851)-1)),""))))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IF(E852="","",IF(LEFT(E852,7)="SUBSOLO",-1,IF(LEFT(E852,6)="TÉRREO",0,IFERROR(VALUE(LEFT(E852,FIND("º",E852)-1)),""))))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IF(E853="","",IF(LEFT(E853,7)="SUBSOLO",-1,IF(LEFT(E853,6)="TÉRREO",0,IFERROR(VALUE(LEFT(E853,FIND("º",E853)-1)),""))))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IF(E854="","",IF(LEFT(E854,7)="SUBSOLO",-1,IF(LEFT(E854,6)="TÉRREO",0,IFERROR(VALUE(LEFT(E854,FIND("º",E854)-1)),""))))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IF(E855="","",IF(LEFT(E855,7)="SUBSOLO",-1,IF(LEFT(E855,6)="TÉRREO",0,IFERROR(VALUE(LEFT(E855,FIND("º",E855)-1)),""))))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IF(E856="","",IF(LEFT(E856,7)="SUBSOLO",-1,IF(LEFT(E856,6)="TÉRREO",0,IFERROR(VALUE(LEFT(E856,FIND("º",E856)-1)),""))))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IF(E857="","",IF(LEFT(E857,7)="SUBSOLO",-1,IF(LEFT(E857,6)="TÉRREO",0,IFERROR(VALUE(LEFT(E857,FIND("º",E857)-1)),""))))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IF(E858="","",IF(LEFT(E858,7)="SUBSOLO",-1,IF(LEFT(E858,6)="TÉRREO",0,IFERROR(VALUE(LEFT(E858,FIND("º",E858)-1)),""))))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IF(E859="","",IF(LEFT(E859,7)="SUBSOLO",-1,IF(LEFT(E859,6)="TÉRREO",0,IFERROR(VALUE(LEFT(E859,FIND("º",E859)-1)),""))))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IF(E860="","",IF(LEFT(E860,7)="SUBSOLO",-1,IF(LEFT(E860,6)="TÉRREO",0,IFERROR(VALUE(LEFT(E860,FIND("º",E860)-1)),""))))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IF(E861="","",IF(LEFT(E861,7)="SUBSOLO",-1,IF(LEFT(E861,6)="TÉRREO",0,IFERROR(VALUE(LEFT(E861,FIND("º",E861)-1)),""))))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IF(E862="","",IF(LEFT(E862,7)="SUBSOLO",-1,IF(LEFT(E862,6)="TÉRREO",0,IFERROR(VALUE(LEFT(E862,FIND("º",E862)-1)),""))))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IF(E863="","",IF(LEFT(E863,7)="SUBSOLO",-1,IF(LEFT(E863,6)="TÉRREO",0,IFERROR(VALUE(LEFT(E863,FIND("º",E863)-1)),""))))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IF(E864="","",IF(LEFT(E864,7)="SUBSOLO",-1,IF(LEFT(E864,6)="TÉRREO",0,IFERROR(VALUE(LEFT(E864,FIND("º",E864)-1)),""))))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IF(E865="","",IF(LEFT(E865,7)="SUBSOLO",-1,IF(LEFT(E865,6)="TÉRREO",0,IFERROR(VALUE(LEFT(E865,FIND("º",E865)-1)),""))))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IF(E866="","",IF(LEFT(E866,7)="SUBSOLO",-1,IF(LEFT(E866,6)="TÉRREO",0,IFERROR(VALUE(LEFT(E866,FIND("º",E866)-1)),""))))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IF(E867="","",IF(LEFT(E867,7)="SUBSOLO",-1,IF(LEFT(E867,6)="TÉRREO",0,IFERROR(VALUE(LEFT(E867,FIND("º",E867)-1)),""))))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IF(E868="","",IF(LEFT(E868,7)="SUBSOLO",-1,IF(LEFT(E868,6)="TÉRREO",0,IFERROR(VALUE(LEFT(E868,FIND("º",E868)-1)),""))))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IF(E869="","",IF(LEFT(E869,7)="SUBSOLO",-1,IF(LEFT(E869,6)="TÉRREO",0,IFERROR(VALUE(LEFT(E869,FIND("º",E869)-1)),""))))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IF(E870="","",IF(LEFT(E870,7)="SUBSOLO",-1,IF(LEFT(E870,6)="TÉRREO",0,IFERROR(VALUE(LEFT(E870,FIND("º",E870)-1)),""))))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IF(E871="","",IF(LEFT(E871,7)="SUBSOLO",-1,IF(LEFT(E871,6)="TÉRREO",0,IFERROR(VALUE(LEFT(E871,FIND("º",E871)-1)),""))))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IF(E872="","",IF(LEFT(E872,7)="SUBSOLO",-1,IF(LEFT(E872,6)="TÉRREO",0,IFERROR(VALUE(LEFT(E872,FIND("º",E872)-1)),""))))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IF(E873="","",IF(LEFT(E873,7)="SUBSOLO",-1,IF(LEFT(E873,6)="TÉRREO",0,IFERROR(VALUE(LEFT(E873,FIND("º",E873)-1)),""))))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IF(E874="","",IF(LEFT(E874,7)="SUBSOLO",-1,IF(LEFT(E874,6)="TÉRREO",0,IFERROR(VALUE(LEFT(E874,FIND("º",E874)-1)),""))))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IF(E875="","",IF(LEFT(E875,7)="SUBSOLO",-1,IF(LEFT(E875,6)="TÉRREO",0,IFERROR(VALUE(LEFT(E875,FIND("º",E875)-1)),""))))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IF(E876="","",IF(LEFT(E876,7)="SUBSOLO",-1,IF(LEFT(E876,6)="TÉRREO",0,IFERROR(VALUE(LEFT(E876,FIND("º",E876)-1)),""))))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IF(E877="","",IF(LEFT(E877,7)="SUBSOLO",-1,IF(LEFT(E877,6)="TÉRREO",0,IFERROR(VALUE(LEFT(E877,FIND("º",E877)-1)),""))))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IF(E878="","",IF(LEFT(E878,7)="SUBSOLO",-1,IF(LEFT(E878,6)="TÉRREO",0,IFERROR(VALUE(LEFT(E878,FIND("º",E878)-1)),""))))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IF(E879="","",IF(LEFT(E879,7)="SUBSOLO",-1,IF(LEFT(E879,6)="TÉRREO",0,IFERROR(VALUE(LEFT(E879,FIND("º",E879)-1)),""))))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IF(E880="","",IF(LEFT(E880,7)="SUBSOLO",-1,IF(LEFT(E880,6)="TÉRREO",0,IFERROR(VALUE(LEFT(E880,FIND("º",E880)-1)),""))))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IF(E881="","",IF(LEFT(E881,7)="SUBSOLO",-1,IF(LEFT(E881,6)="TÉRREO",0,IFERROR(VALUE(LEFT(E881,FIND("º",E881)-1)),""))))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IF(E882="","",IF(LEFT(E882,7)="SUBSOLO",-1,IF(LEFT(E882,6)="TÉRREO",0,IFERROR(VALUE(LEFT(E882,FIND("º",E882)-1)),""))))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IF(E883="","",IF(LEFT(E883,7)="SUBSOLO",-1,IF(LEFT(E883,6)="TÉRREO",0,IFERROR(VALUE(LEFT(E883,FIND("º",E883)-1)),""))))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IF(E884="","",IF(LEFT(E884,7)="SUBSOLO",-1,IF(LEFT(E884,6)="TÉRREO",0,IFERROR(VALUE(LEFT(E884,FIND("º",E884)-1)),""))))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IF(E885="","",IF(LEFT(E885,7)="SUBSOLO",-1,IF(LEFT(E885,6)="TÉRREO",0,IFERROR(VALUE(LEFT(E885,FIND("º",E885)-1)),""))))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IF(E886="","",IF(LEFT(E886,7)="SUBSOLO",-1,IF(LEFT(E886,6)="TÉRREO",0,IFERROR(VALUE(LEFT(E886,FIND("º",E886)-1)),""))))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IF(E887="","",IF(LEFT(E887,7)="SUBSOLO",-1,IF(LEFT(E887,6)="TÉRREO",0,IFERROR(VALUE(LEFT(E887,FIND("º",E887)-1)),""))))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IF(E888="","",IF(LEFT(E888,7)="SUBSOLO",-1,IF(LEFT(E888,6)="TÉRREO",0,IFERROR(VALUE(LEFT(E888,FIND("º",E888)-1)),""))))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IF(E889="","",IF(LEFT(E889,7)="SUBSOLO",-1,IF(LEFT(E889,6)="TÉRREO",0,IFERROR(VALUE(LEFT(E889,FIND("º",E889)-1)),""))))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IF(E890="","",IF(LEFT(E890,7)="SUBSOLO",-1,IF(LEFT(E890,6)="TÉRREO",0,IFERROR(VALUE(LEFT(E890,FIND("º",E890)-1)),""))))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IF(E891="","",IF(LEFT(E891,7)="SUBSOLO",-1,IF(LEFT(E891,6)="TÉRREO",0,IFERROR(VALUE(LEFT(E891,FIND("º",E891)-1)),""))))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IF(E892="","",IF(LEFT(E892,7)="SUBSOLO",-1,IF(LEFT(E892,6)="TÉRREO",0,IFERROR(VALUE(LEFT(E892,FIND("º",E892)-1)),""))))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IF(E893="","",IF(LEFT(E893,7)="SUBSOLO",-1,IF(LEFT(E893,6)="TÉRREO",0,IFERROR(VALUE(LEFT(E893,FIND("º",E893)-1)),""))))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IF(E894="","",IF(LEFT(E894,7)="SUBSOLO",-1,IF(LEFT(E894,6)="TÉRREO",0,IFERROR(VALUE(LEFT(E894,FIND("º",E894)-1)),""))))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IF(E895="","",IF(LEFT(E895,7)="SUBSOLO",-1,IF(LEFT(E895,6)="TÉRREO",0,IFERROR(VALUE(LEFT(E895,FIND("º",E895)-1)),""))))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IF(E896="","",IF(LEFT(E896,7)="SUBSOLO",-1,IF(LEFT(E896,6)="TÉRREO",0,IFERROR(VALUE(LEFT(E896,FIND("º",E896)-1)),""))))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IF(E897="","",IF(LEFT(E897,7)="SUBSOLO",-1,IF(LEFT(E897,6)="TÉRREO",0,IFERROR(VALUE(LEFT(E897,FIND("º",E897)-1)),""))))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IF(E898="","",IF(LEFT(E898,7)="SUBSOLO",-1,IF(LEFT(E898,6)="TÉRREO",0,IFERROR(VALUE(LEFT(E898,FIND("º",E898)-1)),""))))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IF(E899="","",IF(LEFT(E899,7)="SUBSOLO",-1,IF(LEFT(E899,6)="TÉRREO",0,IFERROR(VALUE(LEFT(E899,FIND("º",E899)-1)),""))))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IF(E900="","",IF(LEFT(E900,7)="SUBSOLO",-1,IF(LEFT(E900,6)="TÉRREO",0,IFERROR(VALUE(LEFT(E900,FIND("º",E900)-1)),""))))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IF(E901="","",IF(LEFT(E901,7)="SUBSOLO",-1,IF(LEFT(E901,6)="TÉRREO",0,IFERROR(VALUE(LEFT(E901,FIND("º",E901)-1)),""))))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IF(E902="","",IF(LEFT(E902,7)="SUBSOLO",-1,IF(LEFT(E902,6)="TÉRREO",0,IFERROR(VALUE(LEFT(E902,FIND("º",E902)-1)),""))))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IF(E903="","",IF(LEFT(E903,7)="SUBSOLO",-1,IF(LEFT(E903,6)="TÉRREO",0,IFERROR(VALUE(LEFT(E903,FIND("º",E903)-1)),""))))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IF(E904="","",IF(LEFT(E904,7)="SUBSOLO",-1,IF(LEFT(E904,6)="TÉRREO",0,IFERROR(VALUE(LEFT(E904,FIND("º",E904)-1)),""))))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IF(E905="","",IF(LEFT(E905,7)="SUBSOLO",-1,IF(LEFT(E905,6)="TÉRREO",0,IFERROR(VALUE(LEFT(E905,FIND("º",E905)-1)),""))))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IF(E906="","",IF(LEFT(E906,7)="SUBSOLO",-1,IF(LEFT(E906,6)="TÉRREO",0,IFERROR(VALUE(LEFT(E906,FIND("º",E906)-1)),""))))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IF(E907="","",IF(LEFT(E907,7)="SUBSOLO",-1,IF(LEFT(E907,6)="TÉRREO",0,IFERROR(VALUE(LEFT(E907,FIND("º",E907)-1)),""))))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IF(E908="","",IF(LEFT(E908,7)="SUBSOLO",-1,IF(LEFT(E908,6)="TÉRREO",0,IFERROR(VALUE(LEFT(E908,FIND("º",E908)-1)),""))))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IF(E909="","",IF(LEFT(E909,7)="SUBSOLO",-1,IF(LEFT(E909,6)="TÉRREO",0,IFERROR(VALUE(LEFT(E909,FIND("º",E909)-1)),""))))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IF(E910="","",IF(LEFT(E910,7)="SUBSOLO",-1,IF(LEFT(E910,6)="TÉRREO",0,IFERROR(VALUE(LEFT(E910,FIND("º",E910)-1)),""))))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IF(E911="","",IF(LEFT(E911,7)="SUBSOLO",-1,IF(LEFT(E911,6)="TÉRREO",0,IFERROR(VALUE(LEFT(E911,FIND("º",E911)-1)),""))))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IF(E912="","",IF(LEFT(E912,7)="SUBSOLO",-1,IF(LEFT(E912,6)="TÉRREO",0,IFERROR(VALUE(LEFT(E912,FIND("º",E912)-1)),""))))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IF(E913="","",IF(LEFT(E913,7)="SUBSOLO",-1,IF(LEFT(E913,6)="TÉRREO",0,IFERROR(VALUE(LEFT(E913,FIND("º",E913)-1)),""))))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IF(E914="","",IF(LEFT(E914,7)="SUBSOLO",-1,IF(LEFT(E914,6)="TÉRREO",0,IFERROR(VALUE(LEFT(E914,FIND("º",E914)-1)),""))))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IF(E915="","",IF(LEFT(E915,7)="SUBSOLO",-1,IF(LEFT(E915,6)="TÉRREO",0,IFERROR(VALUE(LEFT(E915,FIND("º",E915)-1)),""))))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IF(E916="","",IF(LEFT(E916,7)="SUBSOLO",-1,IF(LEFT(E916,6)="TÉRREO",0,IFERROR(VALUE(LEFT(E916,FIND("º",E916)-1)),""))))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IF(E917="","",IF(LEFT(E917,7)="SUBSOLO",-1,IF(LEFT(E917,6)="TÉRREO",0,IFERROR(VALUE(LEFT(E917,FIND("º",E917)-1)),""))))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IF(E918="","",IF(LEFT(E918,7)="SUBSOLO",-1,IF(LEFT(E918,6)="TÉRREO",0,IFERROR(VALUE(LEFT(E918,FIND("º",E918)-1)),""))))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IF(E919="","",IF(LEFT(E919,7)="SUBSOLO",-1,IF(LEFT(E919,6)="TÉRREO",0,IFERROR(VALUE(LEFT(E919,FIND("º",E919)-1)),""))))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IF(E920="","",IF(LEFT(E920,7)="SUBSOLO",-1,IF(LEFT(E920,6)="TÉRREO",0,IFERROR(VALUE(LEFT(E920,FIND("º",E920)-1)),""))))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IF(E921="","",IF(LEFT(E921,7)="SUBSOLO",-1,IF(LEFT(E921,6)="TÉRREO",0,IFERROR(VALUE(LEFT(E921,FIND("º",E921)-1)),""))))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IF(E922="","",IF(LEFT(E922,7)="SUBSOLO",-1,IF(LEFT(E922,6)="TÉRREO",0,IFERROR(VALUE(LEFT(E922,FIND("º",E922)-1)),""))))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IF(E923="","",IF(LEFT(E923,7)="SUBSOLO",-1,IF(LEFT(E923,6)="TÉRREO",0,IFERROR(VALUE(LEFT(E923,FIND("º",E923)-1)),""))))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IF(E924="","",IF(LEFT(E924,7)="SUBSOLO",-1,IF(LEFT(E924,6)="TÉRREO",0,IFERROR(VALUE(LEFT(E924,FIND("º",E924)-1)),""))))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IF(E925="","",IF(LEFT(E925,7)="SUBSOLO",-1,IF(LEFT(E925,6)="TÉRREO",0,IFERROR(VALUE(LEFT(E925,FIND("º",E925)-1)),""))))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IF(E926="","",IF(LEFT(E926,7)="SUBSOLO",-1,IF(LEFT(E926,6)="TÉRREO",0,IFERROR(VALUE(LEFT(E926,FIND("º",E926)-1)),""))))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IF(E927="","",IF(LEFT(E927,7)="SUBSOLO",-1,IF(LEFT(E927,6)="TÉRREO",0,IFERROR(VALUE(LEFT(E927,FIND("º",E927)-1)),""))))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IF(E928="","",IF(LEFT(E928,7)="SUBSOLO",-1,IF(LEFT(E928,6)="TÉRREO",0,IFERROR(VALUE(LEFT(E928,FIND("º",E928)-1)),""))))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IF(E929="","",IF(LEFT(E929,7)="SUBSOLO",-1,IF(LEFT(E929,6)="TÉRREO",0,IFERROR(VALUE(LEFT(E929,FIND("º",E929)-1)),""))))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IF(E930="","",IF(LEFT(E930,7)="SUBSOLO",-1,IF(LEFT(E930,6)="TÉRREO",0,IFERROR(VALUE(LEFT(E930,FIND("º",E930)-1)),""))))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IF(E931="","",IF(LEFT(E931,7)="SUBSOLO",-1,IF(LEFT(E931,6)="TÉRREO",0,IFERROR(VALUE(LEFT(E931,FIND("º",E931)-1)),""))))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IF(E932="","",IF(LEFT(E932,7)="SUBSOLO",-1,IF(LEFT(E932,6)="TÉRREO",0,IFERROR(VALUE(LEFT(E932,FIND("º",E932)-1)),""))))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IF(E933="","",IF(LEFT(E933,7)="SUBSOLO",-1,IF(LEFT(E933,6)="TÉRREO",0,IFERROR(VALUE(LEFT(E933,FIND("º",E933)-1)),""))))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IF(E934="","",IF(LEFT(E934,7)="SUBSOLO",-1,IF(LEFT(E934,6)="TÉRREO",0,IFERROR(VALUE(LEFT(E934,FIND("º",E934)-1)),""))))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IF(E935="","",IF(LEFT(E935,7)="SUBSOLO",-1,IF(LEFT(E935,6)="TÉRREO",0,IFERROR(VALUE(LEFT(E935,FIND("º",E935)-1)),""))))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IF(E936="","",IF(LEFT(E936,7)="SUBSOLO",-1,IF(LEFT(E936,6)="TÉRREO",0,IFERROR(VALUE(LEFT(E936,FIND("º",E936)-1)),""))))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IF(E937="","",IF(LEFT(E937,7)="SUBSOLO",-1,IF(LEFT(E937,6)="TÉRREO",0,IFERROR(VALUE(LEFT(E937,FIND("º",E937)-1)),""))))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IF(E938="","",IF(LEFT(E938,7)="SUBSOLO",-1,IF(LEFT(E938,6)="TÉRREO",0,IFERROR(VALUE(LEFT(E938,FIND("º",E938)-1)),""))))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IF(E939="","",IF(LEFT(E939,7)="SUBSOLO",-1,IF(LEFT(E939,6)="TÉRREO",0,IFERROR(VALUE(LEFT(E939,FIND("º",E939)-1)),""))))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IF(E940="","",IF(LEFT(E940,7)="SUBSOLO",-1,IF(LEFT(E940,6)="TÉRREO",0,IFERROR(VALUE(LEFT(E940,FIND("º",E940)-1)),""))))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IF(E941="","",IF(LEFT(E941,7)="SUBSOLO",-1,IF(LEFT(E941,6)="TÉRREO",0,IFERROR(VALUE(LEFT(E941,FIND("º",E941)-1)),""))))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IF(E942="","",IF(LEFT(E942,7)="SUBSOLO",-1,IF(LEFT(E942,6)="TÉRREO",0,IFERROR(VALUE(LEFT(E942,FIND("º",E942)-1)),""))))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IF(E943="","",IF(LEFT(E943,7)="SUBSOLO",-1,IF(LEFT(E943,6)="TÉRREO",0,IFERROR(VALUE(LEFT(E943,FIND("º",E943)-1)),""))))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IF(E944="","",IF(LEFT(E944,7)="SUBSOLO",-1,IF(LEFT(E944,6)="TÉRREO",0,IFERROR(VALUE(LEFT(E944,FIND("º",E944)-1)),""))))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IF(E945="","",IF(LEFT(E945,7)="SUBSOLO",-1,IF(LEFT(E945,6)="TÉRREO",0,IFERROR(VALUE(LEFT(E945,FIND("º",E945)-1)),""))))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IF(E946="","",IF(LEFT(E946,7)="SUBSOLO",-1,IF(LEFT(E946,6)="TÉRREO",0,IFERROR(VALUE(LEFT(E946,FIND("º",E946)-1)),""))))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IF(E947="","",IF(LEFT(E947,7)="SUBSOLO",-1,IF(LEFT(E947,6)="TÉRREO",0,IFERROR(VALUE(LEFT(E947,FIND("º",E947)-1)),""))))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IF(E948="","",IF(LEFT(E948,7)="SUBSOLO",-1,IF(LEFT(E948,6)="TÉRREO",0,IFERROR(VALUE(LEFT(E948,FIND("º",E948)-1)),""))))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IF(E949="","",IF(LEFT(E949,7)="SUBSOLO",-1,IF(LEFT(E949,6)="TÉRREO",0,IFERROR(VALUE(LEFT(E949,FIND("º",E949)-1)),""))))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IF(E950="","",IF(LEFT(E950,7)="SUBSOLO",-1,IF(LEFT(E950,6)="TÉRREO",0,IFERROR(VALUE(LEFT(E950,FIND("º",E950)-1)),""))))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IF(E951="","",IF(LEFT(E951,7)="SUBSOLO",-1,IF(LEFT(E951,6)="TÉRREO",0,IFERROR(VALUE(LEFT(E951,FIND("º",E951)-1)),""))))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IF(E952="","",IF(LEFT(E952,7)="SUBSOLO",-1,IF(LEFT(E952,6)="TÉRREO",0,IFERROR(VALUE(LEFT(E952,FIND("º",E952)-1)),""))))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IF(E953="","",IF(LEFT(E953,7)="SUBSOLO",-1,IF(LEFT(E953,6)="TÉRREO",0,IFERROR(VALUE(LEFT(E953,FIND("º",E953)-1)),""))))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IF(E954="","",IF(LEFT(E954,7)="SUBSOLO",-1,IF(LEFT(E954,6)="TÉRREO",0,IFERROR(VALUE(LEFT(E954,FIND("º",E954)-1)),""))))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IF(E955="","",IF(LEFT(E955,7)="SUBSOLO",-1,IF(LEFT(E955,6)="TÉRREO",0,IFERROR(VALUE(LEFT(E955,FIND("º",E955)-1)),""))))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IF(E956="","",IF(LEFT(E956,7)="SUBSOLO",-1,IF(LEFT(E956,6)="TÉRREO",0,IFERROR(VALUE(LEFT(E956,FIND("º",E956)-1)),""))))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IF(E957="","",IF(LEFT(E957,7)="SUBSOLO",-1,IF(LEFT(E957,6)="TÉRREO",0,IFERROR(VALUE(LEFT(E957,FIND("º",E957)-1)),""))))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IF(E958="","",IF(LEFT(E958,7)="SUBSOLO",-1,IF(LEFT(E958,6)="TÉRREO",0,IFERROR(VALUE(LEFT(E958,FIND("º",E958)-1)),""))))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IF(E959="","",IF(LEFT(E959,7)="SUBSOLO",-1,IF(LEFT(E959,6)="TÉRREO",0,IFERROR(VALUE(LEFT(E959,FIND("º",E959)-1)),""))))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IF(E960="","",IF(LEFT(E960,7)="SUBSOLO",-1,IF(LEFT(E960,6)="TÉRREO",0,IFERROR(VALUE(LEFT(E960,FIND("º",E960)-1)),""))))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IF(E961="","",IF(LEFT(E961,7)="SUBSOLO",-1,IF(LEFT(E961,6)="TÉRREO",0,IFERROR(VALUE(LEFT(E961,FIND("º",E961)-1)),""))))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IF(E962="","",IF(LEFT(E962,7)="SUBSOLO",-1,IF(LEFT(E962,6)="TÉRREO",0,IFERROR(VALUE(LEFT(E962,FIND("º",E962)-1)),""))))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IF(E963="","",IF(LEFT(E963,7)="SUBSOLO",-1,IF(LEFT(E963,6)="TÉRREO",0,IFERROR(VALUE(LEFT(E963,FIND("º",E963)-1)),""))))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IF(E964="","",IF(LEFT(E964,7)="SUBSOLO",-1,IF(LEFT(E964,6)="TÉRREO",0,IFERROR(VALUE(LEFT(E964,FIND("º",E964)-1)),""))))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IF(E965="","",IF(LEFT(E965,7)="SUBSOLO",-1,IF(LEFT(E965,6)="TÉRREO",0,IFERROR(VALUE(LEFT(E965,FIND("º",E965)-1)),""))))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IF(E966="","",IF(LEFT(E966,7)="SUBSOLO",-1,IF(LEFT(E966,6)="TÉRREO",0,IFERROR(VALUE(LEFT(E966,FIND("º",E966)-1)),""))))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IF(E967="","",IF(LEFT(E967,7)="SUBSOLO",-1,IF(LEFT(E967,6)="TÉRREO",0,IFERROR(VALUE(LEFT(E967,FIND("º",E967)-1)),""))))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IF(E968="","",IF(LEFT(E968,7)="SUBSOLO",-1,IF(LEFT(E968,6)="TÉRREO",0,IFERROR(VALUE(LEFT(E968,FIND("º",E968)-1)),""))))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IF(E969="","",IF(LEFT(E969,7)="SUBSOLO",-1,IF(LEFT(E969,6)="TÉRREO",0,IFERROR(VALUE(LEFT(E969,FIND("º",E969)-1)),""))))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IF(E970="","",IF(LEFT(E970,7)="SUBSOLO",-1,IF(LEFT(E970,6)="TÉRREO",0,IFERROR(VALUE(LEFT(E970,FIND("º",E970)-1)),""))))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IF(E971="","",IF(LEFT(E971,7)="SUBSOLO",-1,IF(LEFT(E971,6)="TÉRREO",0,IFERROR(VALUE(LEFT(E971,FIND("º",E971)-1)),""))))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IF(E972="","",IF(LEFT(E972,7)="SUBSOLO",-1,IF(LEFT(E972,6)="TÉRREO",0,IFERROR(VALUE(LEFT(E972,FIND("º",E972)-1)),""))))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IF(E973="","",IF(LEFT(E973,7)="SUBSOLO",-1,IF(LEFT(E973,6)="TÉRREO",0,IFERROR(VALUE(LEFT(E973,FIND("º",E973)-1)),""))))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IF(E974="","",IF(LEFT(E974,7)="SUBSOLO",-1,IF(LEFT(E974,6)="TÉRREO",0,IFERROR(VALUE(LEFT(E974,FIND("º",E974)-1)),""))))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IF(E975="","",IF(LEFT(E975,7)="SUBSOLO",-1,IF(LEFT(E975,6)="TÉRREO",0,IFERROR(VALUE(LEFT(E975,FIND("º",E975)-1)),""))))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IF(E976="","",IF(LEFT(E976,7)="SUBSOLO",-1,IF(LEFT(E976,6)="TÉRREO",0,IFERROR(VALUE(LEFT(E976,FIND("º",E976)-1)),""))))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IF(E977="","",IF(LEFT(E977,7)="SUBSOLO",-1,IF(LEFT(E977,6)="TÉRREO",0,IFERROR(VALUE(LEFT(E977,FIND("º",E977)-1)),""))))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IF(E978="","",IF(LEFT(E978,7)="SUBSOLO",-1,IF(LEFT(E978,6)="TÉRREO",0,IFERROR(VALUE(LEFT(E978,FIND("º",E978)-1)),""))))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IF(E979="","",IF(LEFT(E979,7)="SUBSOLO",-1,IF(LEFT(E979,6)="TÉRREO",0,IFERROR(VALUE(LEFT(E979,FIND("º",E979)-1)),""))))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IF(E980="","",IF(LEFT(E980,7)="SUBSOLO",-1,IF(LEFT(E980,6)="TÉRREO",0,IFERROR(VALUE(LEFT(E980,FIND("º",E980)-1)),""))))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IF(E981="","",IF(LEFT(E981,7)="SUBSOLO",-1,IF(LEFT(E981,6)="TÉRREO",0,IFERROR(VALUE(LEFT(E981,FIND("º",E981)-1)),""))))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IF(E982="","",IF(LEFT(E982,7)="SUBSOLO",-1,IF(LEFT(E982,6)="TÉRREO",0,IFERROR(VALUE(LEFT(E982,FIND("º",E982)-1)),""))))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IF(E983="","",IF(LEFT(E983,7)="SUBSOLO",-1,IF(LEFT(E983,6)="TÉRREO",0,IFERROR(VALUE(LEFT(E983,FIND("º",E983)-1)),""))))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IF(E984="","",IF(LEFT(E984,7)="SUBSOLO",-1,IF(LEFT(E984,6)="TÉRREO",0,IFERROR(VALUE(LEFT(E984,FIND("º",E984)-1)),""))))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IF(E985="","",IF(LEFT(E985,7)="SUBSOLO",-1,IF(LEFT(E985,6)="TÉRREO",0,IFERROR(VALUE(LEFT(E985,FIND("º",E985)-1)),""))))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IF(E986="","",IF(LEFT(E986,7)="SUBSOLO",-1,IF(LEFT(E986,6)="TÉRREO",0,IFERROR(VALUE(LEFT(E986,FIND("º",E986)-1)),""))))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IF(E987="","",IF(LEFT(E987,7)="SUBSOLO",-1,IF(LEFT(E987,6)="TÉRREO",0,IFERROR(VALUE(LEFT(E987,FIND("º",E987)-1)),""))))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IF(E988="","",IF(LEFT(E988,7)="SUBSOLO",-1,IF(LEFT(E988,6)="TÉRREO",0,IFERROR(VALUE(LEFT(E988,FIND("º",E988)-1)),""))))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IF(E989="","",IF(LEFT(E989,7)="SUBSOLO",-1,IF(LEFT(E989,6)="TÉRREO",0,IFERROR(VALUE(LEFT(E989,FIND("º",E989)-1)),""))))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IF(E990="","",IF(LEFT(E990,7)="SUBSOLO",-1,IF(LEFT(E990,6)="TÉRREO",0,IFERROR(VALUE(LEFT(E990,FIND("º",E990)-1)),""))))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IF(E991="","",IF(LEFT(E991,7)="SUBSOLO",-1,IF(LEFT(E991,6)="TÉRREO",0,IFERROR(VALUE(LEFT(E991,FIND("º",E991)-1)),""))))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IF(E992="","",IF(LEFT(E992,7)="SUBSOLO",-1,IF(LEFT(E992,6)="TÉRREO",0,IFERROR(VALUE(LEFT(E992,FIND("º",E992)-1)),""))))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IF(E993="","",IF(LEFT(E993,7)="SUBSOLO",-1,IF(LEFT(E993,6)="TÉRREO",0,IFERROR(VALUE(LEFT(E993,FIND("º",E993)-1)),""))))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IF(E994="","",IF(LEFT(E994,7)="SUBSOLO",-1,IF(LEFT(E994,6)="TÉRREO",0,IFERROR(VALUE(LEFT(E994,FIND("º",E994)-1)),""))))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IF(E995="","",IF(LEFT(E995,7)="SUBSOLO",-1,IF(LEFT(E995,6)="TÉRREO",0,IFERROR(VALUE(LEFT(E995,FIND("º",E995)-1)),""))))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IF(E996="","",IF(LEFT(E996,7)="SUBSOLO",-1,IF(LEFT(E996,6)="TÉRREO",0,IFERROR(VALUE(LEFT(E996,FIND("º",E996)-1)),""))))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IF(E997="","",IF(LEFT(E997,7)="SUBSOLO",-1,IF(LEFT(E997,6)="TÉRREO",0,IFERROR(VALUE(LEFT(E997,FIND("º",E997)-1)),""))))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IF(E998="","",IF(LEFT(E998,7)="SUBSOLO",-1,IF(LEFT(E998,6)="TÉRREO",0,IFERROR(VALUE(LEFT(E998,FIND("º",E998)-1)),""))))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IF(E999="","",IF(LEFT(E999,7)="SUBSOLO",-1,IF(LEFT(E999,6)="TÉRREO",0,IFERROR(VALUE(LEFT(E999,FIND("º",E999)-1)),""))))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IF(E1000="","",IF(LEFT(E1000,7)="SUBSOLO",-1,IF(LEFT(E1000,6)="TÉRREO",0,IFERROR(VALUE(LEFT(E1000,FIND("º",E1000)-1)),""))))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IF(E1001="","",IF(LEFT(E1001,7)="SUBSOLO",-1,IF(LEFT(E1001,6)="TÉRREO",0,IFERROR(VALUE(LEFT(E1001,FIND("º",E1001)-1)),""))))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IF(E1002="","",IF(LEFT(E1002,7)="SUBSOLO",-1,IF(LEFT(E1002,6)="TÉRREO",0,IFERROR(VALUE(LEFT(E1002,FIND("º",E1002)-1)),""))))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IF(E1003="","",IF(LEFT(E1003,7)="SUBSOLO",-1,IF(LEFT(E1003,6)="TÉRREO",0,IFERROR(VALUE(LEFT(E1003,FIND("º",E1003)-1)),""))))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IF(E1004="","",IF(LEFT(E1004,7)="SUBSOLO",-1,IF(LEFT(E1004,6)="TÉRREO",0,IFERROR(VALUE(LEFT(E1004,FIND("º",E1004)-1)),""))))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IF(E1005="","",IF(LEFT(E1005,7)="SUBSOLO",-1,IF(LEFT(E1005,6)="TÉRREO",0,IFERROR(VALUE(LEFT(E1005,FIND("º",E1005)-1)),""))))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IF(E1006="","",IF(LEFT(E1006,7)="SUBSOLO",-1,IF(LEFT(E1006,6)="TÉRREO",0,IFERROR(VALUE(LEFT(E1006,FIND("º",E1006)-1)),""))))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IF(E1007="","",IF(LEFT(E1007,7)="SUBSOLO",-1,IF(LEFT(E1007,6)="TÉRREO",0,IFERROR(VALUE(LEFT(E1007,FIND("º",E1007)-1)),""))))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IF(E1008="","",IF(LEFT(E1008,7)="SUBSOLO",-1,IF(LEFT(E1008,6)="TÉRREO",0,IFERROR(VALUE(LEFT(E1008,FIND("º",E1008)-1)),""))))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IF(E1009="","",IF(LEFT(E1009,7)="SUBSOLO",-1,IF(LEFT(E1009,6)="TÉRREO",0,IFERROR(VALUE(LEFT(E1009,FIND("º",E1009)-1)),""))))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IF(E1010="","",IF(LEFT(E1010,7)="SUBSOLO",-1,IF(LEFT(E1010,6)="TÉRREO",0,IFERROR(VALUE(LEFT(E1010,FIND("º",E1010)-1)),""))))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IF(E1011="","",IF(LEFT(E1011,7)="SUBSOLO",-1,IF(LEFT(E1011,6)="TÉRREO",0,IFERROR(VALUE(LEFT(E1011,FIND("º",E1011)-1)),""))))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IF(E1012="","",IF(LEFT(E1012,7)="SUBSOLO",-1,IF(LEFT(E1012,6)="TÉRREO",0,IFERROR(VALUE(LEFT(E1012,FIND("º",E1012)-1)),""))))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IF(E1013="","",IF(LEFT(E1013,7)="SUBSOLO",-1,IF(LEFT(E1013,6)="TÉRREO",0,IFERROR(VALUE(LEFT(E1013,FIND("º",E1013)-1)),""))))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IF(E1014="","",IF(LEFT(E1014,7)="SUBSOLO",-1,IF(LEFT(E1014,6)="TÉRREO",0,IFERROR(VALUE(LEFT(E1014,FIND("º",E1014)-1)),""))))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IF(E1015="","",IF(LEFT(E1015,7)="SUBSOLO",-1,IF(LEFT(E1015,6)="TÉRREO",0,IFERROR(VALUE(LEFT(E1015,FIND("º",E1015)-1)),""))))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IF(E1016="","",IF(LEFT(E1016,7)="SUBSOLO",-1,IF(LEFT(E1016,6)="TÉRREO",0,IFERROR(VALUE(LEFT(E1016,FIND("º",E1016)-1)),""))))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IF(E1017="","",IF(LEFT(E1017,7)="SUBSOLO",-1,IF(LEFT(E1017,6)="TÉRREO",0,IFERROR(VALUE(LEFT(E1017,FIND("º",E1017)-1)),""))))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IF(E1018="","",IF(LEFT(E1018,7)="SUBSOLO",-1,IF(LEFT(E1018,6)="TÉRREO",0,IFERROR(VALUE(LEFT(E1018,FIND("º",E1018)-1)),""))))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IF(E1019="","",IF(LEFT(E1019,7)="SUBSOLO",-1,IF(LEFT(E1019,6)="TÉRREO",0,IFERROR(VALUE(LEFT(E1019,FIND("º",E1019)-1)),""))))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IF(E1020="","",IF(LEFT(E1020,7)="SUBSOLO",-1,IF(LEFT(E1020,6)="TÉRREO",0,IFERROR(VALUE(LEFT(E1020,FIND("º",E1020)-1)),""))))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IF(E1021="","",IF(LEFT(E1021,7)="SUBSOLO",-1,IF(LEFT(E1021,6)="TÉRREO",0,IFERROR(VALUE(LEFT(E1021,FIND("º",E1021)-1)),""))))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IF(E1022="","",IF(LEFT(E1022,7)="SUBSOLO",-1,IF(LEFT(E1022,6)="TÉRREO",0,IFERROR(VALUE(LEFT(E1022,FIND("º",E1022)-1)),""))))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IF(E1023="","",IF(LEFT(E1023,7)="SUBSOLO",-1,IF(LEFT(E1023,6)="TÉRREO",0,IFERROR(VALUE(LEFT(E1023,FIND("º",E1023)-1)),""))))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IF(E1024="","",IF(LEFT(E1024,7)="SUBSOLO",-1,IF(LEFT(E1024,6)="TÉRREO",0,IFERROR(VALUE(LEFT(E1024,FIND("º",E1024)-1)),""))))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IF(E1025="","",IF(LEFT(E1025,7)="SUBSOLO",-1,IF(LEFT(E1025,6)="TÉRREO",0,IFERROR(VALUE(LEFT(E1025,FIND("º",E1025)-1)),""))))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IF(E1026="","",IF(LEFT(E1026,7)="SUBSOLO",-1,IF(LEFT(E1026,6)="TÉRREO",0,IFERROR(VALUE(LEFT(E1026,FIND("º",E1026)-1)),""))))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IF(E1027="","",IF(LEFT(E1027,7)="SUBSOLO",-1,IF(LEFT(E1027,6)="TÉRREO",0,IFERROR(VALUE(LEFT(E1027,FIND("º",E1027)-1)),""))))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IF(E1028="","",IF(LEFT(E1028,7)="SUBSOLO",-1,IF(LEFT(E1028,6)="TÉRREO",0,IFERROR(VALUE(LEFT(E1028,FIND("º",E1028)-1)),""))))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IF(E1029="","",IF(LEFT(E1029,7)="SUBSOLO",-1,IF(LEFT(E1029,6)="TÉRREO",0,IFERROR(VALUE(LEFT(E1029,FIND("º",E1029)-1)),""))))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IF(E1030="","",IF(LEFT(E1030,7)="SUBSOLO",-1,IF(LEFT(E1030,6)="TÉRREO",0,IFERROR(VALUE(LEFT(E1030,FIND("º",E1030)-1)),""))))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IF(E1031="","",IF(LEFT(E1031,7)="SUBSOLO",-1,IF(LEFT(E1031,6)="TÉRREO",0,IFERROR(VALUE(LEFT(E1031,FIND("º",E1031)-1)),""))))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IF(E1032="","",IF(LEFT(E1032,7)="SUBSOLO",-1,IF(LEFT(E1032,6)="TÉRREO",0,IFERROR(VALUE(LEFT(E1032,FIND("º",E1032)-1)),""))))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IF(E1033="","",IF(LEFT(E1033,7)="SUBSOLO",-1,IF(LEFT(E1033,6)="TÉRREO",0,IFERROR(VALUE(LEFT(E1033,FIND("º",E1033)-1)),""))))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IF(E1034="","",IF(LEFT(E1034,7)="SUBSOLO",-1,IF(LEFT(E1034,6)="TÉRREO",0,IFERROR(VALUE(LEFT(E1034,FIND("º",E1034)-1)),""))))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IF(E1035="","",IF(LEFT(E1035,7)="SUBSOLO",-1,IF(LEFT(E1035,6)="TÉRREO",0,IFERROR(VALUE(LEFT(E1035,FIND("º",E1035)-1)),""))))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IF(E1036="","",IF(LEFT(E1036,7)="SUBSOLO",-1,IF(LEFT(E1036,6)="TÉRREO",0,IFERROR(VALUE(LEFT(E1036,FIND("º",E1036)-1)),""))))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IF(E1037="","",IF(LEFT(E1037,7)="SUBSOLO",-1,IF(LEFT(E1037,6)="TÉRREO",0,IFERROR(VALUE(LEFT(E1037,FIND("º",E1037)-1)),""))))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IF(E1038="","",IF(LEFT(E1038,7)="SUBSOLO",-1,IF(LEFT(E1038,6)="TÉRREO",0,IFERROR(VALUE(LEFT(E1038,FIND("º",E1038)-1)),""))))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IF(E1039="","",IF(LEFT(E1039,7)="SUBSOLO",-1,IF(LEFT(E1039,6)="TÉRREO",0,IFERROR(VALUE(LEFT(E1039,FIND("º",E1039)-1)),""))))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IF(E1040="","",IF(LEFT(E1040,7)="SUBSOLO",-1,IF(LEFT(E1040,6)="TÉRREO",0,IFERROR(VALUE(LEFT(E1040,FIND("º",E1040)-1)),""))))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IF(E1041="","",IF(LEFT(E1041,7)="SUBSOLO",-1,IF(LEFT(E1041,6)="TÉRREO",0,IFERROR(VALUE(LEFT(E1041,FIND("º",E1041)-1)),""))))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IF(E1042="","",IF(LEFT(E1042,7)="SUBSOLO",-1,IF(LEFT(E1042,6)="TÉRREO",0,IFERROR(VALUE(LEFT(E1042,FIND("º",E1042)-1)),""))))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IF(E1043="","",IF(LEFT(E1043,7)="SUBSOLO",-1,IF(LEFT(E1043,6)="TÉRREO",0,IFERROR(VALUE(LEFT(E1043,FIND("º",E1043)-1)),""))))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IF(E1044="","",IF(LEFT(E1044,7)="SUBSOLO",-1,IF(LEFT(E1044,6)="TÉRREO",0,IFERROR(VALUE(LEFT(E1044,FIND("º",E1044)-1)),""))))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IF(E1045="","",IF(LEFT(E1045,7)="SUBSOLO",-1,IF(LEFT(E1045,6)="TÉRREO",0,IFERROR(VALUE(LEFT(E1045,FIND("º",E1045)-1)),""))))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IF(E1046="","",IF(LEFT(E1046,7)="SUBSOLO",-1,IF(LEFT(E1046,6)="TÉRREO",0,IFERROR(VALUE(LEFT(E1046,FIND("º",E1046)-1)),""))))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IF(E1047="","",IF(LEFT(E1047,7)="SUBSOLO",-1,IF(LEFT(E1047,6)="TÉRREO",0,IFERROR(VALUE(LEFT(E1047,FIND("º",E1047)-1)),""))))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IF(E1048="","",IF(LEFT(E1048,7)="SUBSOLO",-1,IF(LEFT(E1048,6)="TÉRREO",0,IFERROR(VALUE(LEFT(E1048,FIND("º",E1048)-1)),""))))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IF(E1049="","",IF(LEFT(E1049,7)="SUBSOLO",-1,IF(LEFT(E1049,6)="TÉRREO",0,IFERROR(VALUE(LEFT(E1049,FIND("º",E1049)-1)),""))))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IF(E1050="","",IF(LEFT(E1050,7)="SUBSOLO",-1,IF(LEFT(E1050,6)="TÉRREO",0,IFERROR(VALUE(LEFT(E1050,FIND("º",E1050)-1)),""))))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IF(E1051="","",IF(LEFT(E1051,7)="SUBSOLO",-1,IF(LEFT(E1051,6)="TÉRREO",0,IFERROR(VALUE(LEFT(E1051,FIND("º",E1051)-1)),""))))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IF(E1052="","",IF(LEFT(E1052,7)="SUBSOLO",-1,IF(LEFT(E1052,6)="TÉRREO",0,IFERROR(VALUE(LEFT(E1052,FIND("º",E1052)-1)),""))))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IF(E1053="","",IF(LEFT(E1053,7)="SUBSOLO",-1,IF(LEFT(E1053,6)="TÉRREO",0,IFERROR(VALUE(LEFT(E1053,FIND("º",E1053)-1)),""))))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IF(E1054="","",IF(LEFT(E1054,7)="SUBSOLO",-1,IF(LEFT(E1054,6)="TÉRREO",0,IFERROR(VALUE(LEFT(E1054,FIND("º",E1054)-1)),""))))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IF(E1055="","",IF(LEFT(E1055,7)="SUBSOLO",-1,IF(LEFT(E1055,6)="TÉRREO",0,IFERROR(VALUE(LEFT(E1055,FIND("º",E1055)-1)),""))))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IF(E1056="","",IF(LEFT(E1056,7)="SUBSOLO",-1,IF(LEFT(E1056,6)="TÉRREO",0,IFERROR(VALUE(LEFT(E1056,FIND("º",E1056)-1)),""))))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IF(E1057="","",IF(LEFT(E1057,7)="SUBSOLO",-1,IF(LEFT(E1057,6)="TÉRREO",0,IFERROR(VALUE(LEFT(E1057,FIND("º",E1057)-1)),""))))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IF(E1058="","",IF(LEFT(E1058,7)="SUBSOLO",-1,IF(LEFT(E1058,6)="TÉRREO",0,IFERROR(VALUE(LEFT(E1058,FIND("º",E1058)-1)),""))))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IF(E1059="","",IF(LEFT(E1059,7)="SUBSOLO",-1,IF(LEFT(E1059,6)="TÉRREO",0,IFERROR(VALUE(LEFT(E1059,FIND("º",E1059)-1)),""))))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IF(E1060="","",IF(LEFT(E1060,7)="SUBSOLO",-1,IF(LEFT(E1060,6)="TÉRREO",0,IFERROR(VALUE(LEFT(E1060,FIND("º",E1060)-1)),""))))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IF(E1061="","",IF(LEFT(E1061,7)="SUBSOLO",-1,IF(LEFT(E1061,6)="TÉRREO",0,IFERROR(VALUE(LEFT(E1061,FIND("º",E1061)-1)),""))))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IF(E1062="","",IF(LEFT(E1062,7)="SUBSOLO",-1,IF(LEFT(E1062,6)="TÉRREO",0,IFERROR(VALUE(LEFT(E1062,FIND("º",E1062)-1)),""))))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IF(E1063="","",IF(LEFT(E1063,7)="SUBSOLO",-1,IF(LEFT(E1063,6)="TÉRREO",0,IFERROR(VALUE(LEFT(E1063,FIND("º",E1063)-1)),""))))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IF(E1064="","",IF(LEFT(E1064,7)="SUBSOLO",-1,IF(LEFT(E1064,6)="TÉRREO",0,IFERROR(VALUE(LEFT(E1064,FIND("º",E1064)-1)),""))))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IF(E1065="","",IF(LEFT(E1065,7)="SUBSOLO",-1,IF(LEFT(E1065,6)="TÉRREO",0,IFERROR(VALUE(LEFT(E1065,FIND("º",E1065)-1)),""))))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IF(E1066="","",IF(LEFT(E1066,7)="SUBSOLO",-1,IF(LEFT(E1066,6)="TÉRREO",0,IFERROR(VALUE(LEFT(E1066,FIND("º",E1066)-1)),""))))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IF(E1067="","",IF(LEFT(E1067,7)="SUBSOLO",-1,IF(LEFT(E1067,6)="TÉRREO",0,IFERROR(VALUE(LEFT(E1067,FIND("º",E1067)-1)),""))))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IF(E1068="","",IF(LEFT(E1068,7)="SUBSOLO",-1,IF(LEFT(E1068,6)="TÉRREO",0,IFERROR(VALUE(LEFT(E1068,FIND("º",E1068)-1)),""))))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IF(E1069="","",IF(LEFT(E1069,7)="SUBSOLO",-1,IF(LEFT(E1069,6)="TÉRREO",0,IFERROR(VALUE(LEFT(E1069,FIND("º",E1069)-1)),""))))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IF(E1070="","",IF(LEFT(E1070,7)="SUBSOLO",-1,IF(LEFT(E1070,6)="TÉRREO",0,IFERROR(VALUE(LEFT(E1070,FIND("º",E1070)-1)),""))))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IF(E1071="","",IF(LEFT(E1071,7)="SUBSOLO",-1,IF(LEFT(E1071,6)="TÉRREO",0,IFERROR(VALUE(LEFT(E1071,FIND("º",E1071)-1)),""))))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IF(E1072="","",IF(LEFT(E1072,7)="SUBSOLO",-1,IF(LEFT(E1072,6)="TÉRREO",0,IFERROR(VALUE(LEFT(E1072,FIND("º",E1072)-1)),""))))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IF(E1073="","",IF(LEFT(E1073,7)="SUBSOLO",-1,IF(LEFT(E1073,6)="TÉRREO",0,IFERROR(VALUE(LEFT(E1073,FIND("º",E1073)-1)),""))))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IF(E1074="","",IF(LEFT(E1074,7)="SUBSOLO",-1,IF(LEFT(E1074,6)="TÉRREO",0,IFERROR(VALUE(LEFT(E1074,FIND("º",E1074)-1)),""))))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IF(E1075="","",IF(LEFT(E1075,7)="SUBSOLO",-1,IF(LEFT(E1075,6)="TÉRREO",0,IFERROR(VALUE(LEFT(E1075,FIND("º",E1075)-1)),""))))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IF(E1076="","",IF(LEFT(E1076,7)="SUBSOLO",-1,IF(LEFT(E1076,6)="TÉRREO",0,IFERROR(VALUE(LEFT(E1076,FIND("º",E1076)-1)),""))))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IF(E1077="","",IF(LEFT(E1077,7)="SUBSOLO",-1,IF(LEFT(E1077,6)="TÉRREO",0,IFERROR(VALUE(LEFT(E1077,FIND("º",E1077)-1)),""))))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IF(E1078="","",IF(LEFT(E1078,7)="SUBSOLO",-1,IF(LEFT(E1078,6)="TÉRREO",0,IFERROR(VALUE(LEFT(E1078,FIND("º",E1078)-1)),""))))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IF(E1079="","",IF(LEFT(E1079,7)="SUBSOLO",-1,IF(LEFT(E1079,6)="TÉRREO",0,IFERROR(VALUE(LEFT(E1079,FIND("º",E1079)-1)),""))))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IF(E1080="","",IF(LEFT(E1080,7)="SUBSOLO",-1,IF(LEFT(E1080,6)="TÉRREO",0,IFERROR(VALUE(LEFT(E1080,FIND("º",E1080)-1)),""))))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IF(E1081="","",IF(LEFT(E1081,7)="SUBSOLO",-1,IF(LEFT(E1081,6)="TÉRREO",0,IFERROR(VALUE(LEFT(E1081,FIND("º",E1081)-1)),""))))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IF(E1082="","",IF(LEFT(E1082,7)="SUBSOLO",-1,IF(LEFT(E1082,6)="TÉRREO",0,IFERROR(VALUE(LEFT(E1082,FIND("º",E1082)-1)),""))))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IF(E1083="","",IF(LEFT(E1083,7)="SUBSOLO",-1,IF(LEFT(E1083,6)="TÉRREO",0,IFERROR(VALUE(LEFT(E1083,FIND("º",E1083)-1)),""))))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IF(E1084="","",IF(LEFT(E1084,7)="SUBSOLO",-1,IF(LEFT(E1084,6)="TÉRREO",0,IFERROR(VALUE(LEFT(E1084,FIND("º",E1084)-1)),""))))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IF(E1085="","",IF(LEFT(E1085,7)="SUBSOLO",-1,IF(LEFT(E1085,6)="TÉRREO",0,IFERROR(VALUE(LEFT(E1085,FIND("º",E1085)-1)),""))))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IF(E1086="","",IF(LEFT(E1086,7)="SUBSOLO",-1,IF(LEFT(E1086,6)="TÉRREO",0,IFERROR(VALUE(LEFT(E1086,FIND("º",E1086)-1)),""))))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IF(E1087="","",IF(LEFT(E1087,7)="SUBSOLO",-1,IF(LEFT(E1087,6)="TÉRREO",0,IFERROR(VALUE(LEFT(E1087,FIND("º",E1087)-1)),""))))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IF(E1088="","",IF(LEFT(E1088,7)="SUBSOLO",-1,IF(LEFT(E1088,6)="TÉRREO",0,IFERROR(VALUE(LEFT(E1088,FIND("º",E1088)-1)),""))))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IF(E1089="","",IF(LEFT(E1089,7)="SUBSOLO",-1,IF(LEFT(E1089,6)="TÉRREO",0,IFERROR(VALUE(LEFT(E1089,FIND("º",E1089)-1)),""))))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IF(E1090="","",IF(LEFT(E1090,7)="SUBSOLO",-1,IF(LEFT(E1090,6)="TÉRREO",0,IFERROR(VALUE(LEFT(E1090,FIND("º",E1090)-1)),""))))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IF(E1091="","",IF(LEFT(E1091,7)="SUBSOLO",-1,IF(LEFT(E1091,6)="TÉRREO",0,IFERROR(VALUE(LEFT(E1091,FIND("º",E1091)-1)),""))))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IF(E1092="","",IF(LEFT(E1092,7)="SUBSOLO",-1,IF(LEFT(E1092,6)="TÉRREO",0,IFERROR(VALUE(LEFT(E1092,FIND("º",E1092)-1)),""))))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IF(E1093="","",IF(LEFT(E1093,7)="SUBSOLO",-1,IF(LEFT(E1093,6)="TÉRREO",0,IFERROR(VALUE(LEFT(E1093,FIND("º",E1093)-1)),""))))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IF(E1094="","",IF(LEFT(E1094,7)="SUBSOLO",-1,IF(LEFT(E1094,6)="TÉRREO",0,IFERROR(VALUE(LEFT(E1094,FIND("º",E1094)-1)),""))))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IF(E1095="","",IF(LEFT(E1095,7)="SUBSOLO",-1,IF(LEFT(E1095,6)="TÉRREO",0,IFERROR(VALUE(LEFT(E1095,FIND("º",E1095)-1)),""))))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IF(E1096="","",IF(LEFT(E1096,7)="SUBSOLO",-1,IF(LEFT(E1096,6)="TÉRREO",0,IFERROR(VALUE(LEFT(E1096,FIND("º",E1096)-1)),""))))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IF(E1097="","",IF(LEFT(E1097,7)="SUBSOLO",-1,IF(LEFT(E1097,6)="TÉRREO",0,IFERROR(VALUE(LEFT(E1097,FIND("º",E1097)-1)),""))))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IF(E1098="","",IF(LEFT(E1098,7)="SUBSOLO",-1,IF(LEFT(E1098,6)="TÉRREO",0,IFERROR(VALUE(LEFT(E1098,FIND("º",E1098)-1)),""))))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IF(E1099="","",IF(LEFT(E1099,7)="SUBSOLO",-1,IF(LEFT(E1099,6)="TÉRREO",0,IFERROR(VALUE(LEFT(E1099,FIND("º",E1099)-1)),""))))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IF(E1100="","",IF(LEFT(E1100,7)="SUBSOLO",-1,IF(LEFT(E1100,6)="TÉRREO",0,IFERROR(VALUE(LEFT(E1100,FIND("º",E1100)-1)),""))))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IF(E1101="","",IF(LEFT(E1101,7)="SUBSOLO",-1,IF(LEFT(E1101,6)="TÉRREO",0,IFERROR(VALUE(LEFT(E1101,FIND("º",E1101)-1)),""))))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IF(E1102="","",IF(LEFT(E1102,7)="SUBSOLO",-1,IF(LEFT(E1102,6)="TÉRREO",0,IFERROR(VALUE(LEFT(E1102,FIND("º",E1102)-1)),""))))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IF(E1103="","",IF(LEFT(E1103,7)="SUBSOLO",-1,IF(LEFT(E1103,6)="TÉRREO",0,IFERROR(VALUE(LEFT(E1103,FIND("º",E1103)-1)),""))))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IF(E1104="","",IF(LEFT(E1104,7)="SUBSOLO",-1,IF(LEFT(E1104,6)="TÉRREO",0,IFERROR(VALUE(LEFT(E1104,FIND("º",E1104)-1)),""))))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IF(E1105="","",IF(LEFT(E1105,7)="SUBSOLO",-1,IF(LEFT(E1105,6)="TÉRREO",0,IFERROR(VALUE(LEFT(E1105,FIND("º",E1105)-1)),""))))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IF(E1106="","",IF(LEFT(E1106,7)="SUBSOLO",-1,IF(LEFT(E1106,6)="TÉRREO",0,IFERROR(VALUE(LEFT(E1106,FIND("º",E1106)-1)),""))))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IF(E1107="","",IF(LEFT(E1107,7)="SUBSOLO",-1,IF(LEFT(E1107,6)="TÉRREO",0,IFERROR(VALUE(LEFT(E1107,FIND("º",E1107)-1)),""))))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IF(E1108="","",IF(LEFT(E1108,7)="SUBSOLO",-1,IF(LEFT(E1108,6)="TÉRREO",0,IFERROR(VALUE(LEFT(E1108,FIND("º",E1108)-1)),""))))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IF(E1109="","",IF(LEFT(E1109,7)="SUBSOLO",-1,IF(LEFT(E1109,6)="TÉRREO",0,IFERROR(VALUE(LEFT(E1109,FIND("º",E1109)-1)),""))))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IF(E1110="","",IF(LEFT(E1110,7)="SUBSOLO",-1,IF(LEFT(E1110,6)="TÉRREO",0,IFERROR(VALUE(LEFT(E1110,FIND("º",E1110)-1)),""))))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IF(E1111="","",IF(LEFT(E1111,7)="SUBSOLO",-1,IF(LEFT(E1111,6)="TÉRREO",0,IFERROR(VALUE(LEFT(E1111,FIND("º",E1111)-1)),""))))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IF(E1112="","",IF(LEFT(E1112,7)="SUBSOLO",-1,IF(LEFT(E1112,6)="TÉRREO",0,IFERROR(VALUE(LEFT(E1112,FIND("º",E1112)-1)),""))))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IF(E1113="","",IF(LEFT(E1113,7)="SUBSOLO",-1,IF(LEFT(E1113,6)="TÉRREO",0,IFERROR(VALUE(LEFT(E1113,FIND("º",E1113)-1)),""))))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IF(E1114="","",IF(LEFT(E1114,7)="SUBSOLO",-1,IF(LEFT(E1114,6)="TÉRREO",0,IFERROR(VALUE(LEFT(E1114,FIND("º",E1114)-1)),""))))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IF(E1115="","",IF(LEFT(E1115,7)="SUBSOLO",-1,IF(LEFT(E1115,6)="TÉRREO",0,IFERROR(VALUE(LEFT(E1115,FIND("º",E1115)-1)),""))))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IF(E1116="","",IF(LEFT(E1116,7)="SUBSOLO",-1,IF(LEFT(E1116,6)="TÉRREO",0,IFERROR(VALUE(LEFT(E1116,FIND("º",E1116)-1)),""))))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IF(E1117="","",IF(LEFT(E1117,7)="SUBSOLO",-1,IF(LEFT(E1117,6)="TÉRREO",0,IFERROR(VALUE(LEFT(E1117,FIND("º",E1117)-1)),""))))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IF(E1118="","",IF(LEFT(E1118,7)="SUBSOLO",-1,IF(LEFT(E1118,6)="TÉRREO",0,IFERROR(VALUE(LEFT(E1118,FIND("º",E1118)-1)),""))))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IF(E1119="","",IF(LEFT(E1119,7)="SUBSOLO",-1,IF(LEFT(E1119,6)="TÉRREO",0,IFERROR(VALUE(LEFT(E1119,FIND("º",E1119)-1)),""))))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IF(E1120="","",IF(LEFT(E1120,7)="SUBSOLO",-1,IF(LEFT(E1120,6)="TÉRREO",0,IFERROR(VALUE(LEFT(E1120,FIND("º",E1120)-1)),""))))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IF(E1121="","",IF(LEFT(E1121,7)="SUBSOLO",-1,IF(LEFT(E1121,6)="TÉRREO",0,IFERROR(VALUE(LEFT(E1121,FIND("º",E1121)-1)),""))))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IF(E1122="","",IF(LEFT(E1122,7)="SUBSOLO",-1,IF(LEFT(E1122,6)="TÉRREO",0,IFERROR(VALUE(LEFT(E1122,FIND("º",E1122)-1)),""))))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IF(E1123="","",IF(LEFT(E1123,7)="SUBSOLO",-1,IF(LEFT(E1123,6)="TÉRREO",0,IFERROR(VALUE(LEFT(E1123,FIND("º",E1123)-1)),""))))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IF(E1124="","",IF(LEFT(E1124,7)="SUBSOLO",-1,IF(LEFT(E1124,6)="TÉRREO",0,IFERROR(VALUE(LEFT(E1124,FIND("º",E1124)-1)),""))))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IF(E1125="","",IF(LEFT(E1125,7)="SUBSOLO",-1,IF(LEFT(E1125,6)="TÉRREO",0,IFERROR(VALUE(LEFT(E1125,FIND("º",E1125)-1)),""))))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IF(E1126="","",IF(LEFT(E1126,7)="SUBSOLO",-1,IF(LEFT(E1126,6)="TÉRREO",0,IFERROR(VALUE(LEFT(E1126,FIND("º",E1126)-1)),""))))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IF(E1127="","",IF(LEFT(E1127,7)="SUBSOLO",-1,IF(LEFT(E1127,6)="TÉRREO",0,IFERROR(VALUE(LEFT(E1127,FIND("º",E1127)-1)),""))))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IF(E1128="","",IF(LEFT(E1128,7)="SUBSOLO",-1,IF(LEFT(E1128,6)="TÉRREO",0,IFERROR(VALUE(LEFT(E1128,FIND("º",E1128)-1)),""))))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IF(E1129="","",IF(LEFT(E1129,7)="SUBSOLO",-1,IF(LEFT(E1129,6)="TÉRREO",0,IFERROR(VALUE(LEFT(E1129,FIND("º",E1129)-1)),""))))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IF(E1130="","",IF(LEFT(E1130,7)="SUBSOLO",-1,IF(LEFT(E1130,6)="TÉRREO",0,IFERROR(VALUE(LEFT(E1130,FIND("º",E1130)-1)),""))))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IF(E1131="","",IF(LEFT(E1131,7)="SUBSOLO",-1,IF(LEFT(E1131,6)="TÉRREO",0,IFERROR(VALUE(LEFT(E1131,FIND("º",E1131)-1)),""))))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IF(E1132="","",IF(LEFT(E1132,7)="SUBSOLO",-1,IF(LEFT(E1132,6)="TÉRREO",0,IFERROR(VALUE(LEFT(E1132,FIND("º",E1132)-1)),""))))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IF(E1133="","",IF(LEFT(E1133,7)="SUBSOLO",-1,IF(LEFT(E1133,6)="TÉRREO",0,IFERROR(VALUE(LEFT(E1133,FIND("º",E1133)-1)),""))))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IF(E1134="","",IF(LEFT(E1134,7)="SUBSOLO",-1,IF(LEFT(E1134,6)="TÉRREO",0,IFERROR(VALUE(LEFT(E1134,FIND("º",E1134)-1)),""))))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IF(E1135="","",IF(LEFT(E1135,7)="SUBSOLO",-1,IF(LEFT(E1135,6)="TÉRREO",0,IFERROR(VALUE(LEFT(E1135,FIND("º",E1135)-1)),""))))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IF(E1136="","",IF(LEFT(E1136,7)="SUBSOLO",-1,IF(LEFT(E1136,6)="TÉRREO",0,IFERROR(VALUE(LEFT(E1136,FIND("º",E1136)-1)),""))))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IF(E1137="","",IF(LEFT(E1137,7)="SUBSOLO",-1,IF(LEFT(E1137,6)="TÉRREO",0,IFERROR(VALUE(LEFT(E1137,FIND("º",E1137)-1)),""))))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IF(E1138="","",IF(LEFT(E1138,7)="SUBSOLO",-1,IF(LEFT(E1138,6)="TÉRREO",0,IFERROR(VALUE(LEFT(E1138,FIND("º",E1138)-1)),""))))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IF(E1139="","",IF(LEFT(E1139,7)="SUBSOLO",-1,IF(LEFT(E1139,6)="TÉRREO",0,IFERROR(VALUE(LEFT(E1139,FIND("º",E1139)-1)),""))))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IF(E1140="","",IF(LEFT(E1140,7)="SUBSOLO",-1,IF(LEFT(E1140,6)="TÉRREO",0,IFERROR(VALUE(LEFT(E1140,FIND("º",E1140)-1)),""))))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IF(E1141="","",IF(LEFT(E1141,7)="SUBSOLO",-1,IF(LEFT(E1141,6)="TÉRREO",0,IFERROR(VALUE(LEFT(E1141,FIND("º",E1141)-1)),""))))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IF(E1142="","",IF(LEFT(E1142,7)="SUBSOLO",-1,IF(LEFT(E1142,6)="TÉRREO",0,IFERROR(VALUE(LEFT(E1142,FIND("º",E1142)-1)),""))))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IF(E1143="","",IF(LEFT(E1143,7)="SUBSOLO",-1,IF(LEFT(E1143,6)="TÉRREO",0,IFERROR(VALUE(LEFT(E1143,FIND("º",E1143)-1)),""))))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IF(E1144="","",IF(LEFT(E1144,7)="SUBSOLO",-1,IF(LEFT(E1144,6)="TÉRREO",0,IFERROR(VALUE(LEFT(E1144,FIND("º",E1144)-1)),""))))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IF(E1145="","",IF(LEFT(E1145,7)="SUBSOLO",-1,IF(LEFT(E1145,6)="TÉRREO",0,IFERROR(VALUE(LEFT(E1145,FIND("º",E1145)-1)),""))))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IF(E1146="","",IF(LEFT(E1146,7)="SUBSOLO",-1,IF(LEFT(E1146,6)="TÉRREO",0,IFERROR(VALUE(LEFT(E1146,FIND("º",E1146)-1)),""))))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IF(E1147="","",IF(LEFT(E1147,7)="SUBSOLO",-1,IF(LEFT(E1147,6)="TÉRREO",0,IFERROR(VALUE(LEFT(E1147,FIND("º",E1147)-1)),""))))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IF(E1148="","",IF(LEFT(E1148,7)="SUBSOLO",-1,IF(LEFT(E1148,6)="TÉRREO",0,IFERROR(VALUE(LEFT(E1148,FIND("º",E1148)-1)),""))))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IF(E1149="","",IF(LEFT(E1149,7)="SUBSOLO",-1,IF(LEFT(E1149,6)="TÉRREO",0,IFERROR(VALUE(LEFT(E1149,FIND("º",E1149)-1)),""))))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IF(E1150="","",IF(LEFT(E1150,7)="SUBSOLO",-1,IF(LEFT(E1150,6)="TÉRREO",0,IFERROR(VALUE(LEFT(E1150,FIND("º",E1150)-1)),""))))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IF(E1151="","",IF(LEFT(E1151,7)="SUBSOLO",-1,IF(LEFT(E1151,6)="TÉRREO",0,IFERROR(VALUE(LEFT(E1151,FIND("º",E1151)-1)),""))))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IF(E1152="","",IF(LEFT(E1152,7)="SUBSOLO",-1,IF(LEFT(E1152,6)="TÉRREO",0,IFERROR(VALUE(LEFT(E1152,FIND("º",E1152)-1)),""))))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IF(E1153="","",IF(LEFT(E1153,7)="SUBSOLO",-1,IF(LEFT(E1153,6)="TÉRREO",0,IFERROR(VALUE(LEFT(E1153,FIND("º",E1153)-1)),""))))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IF(E1154="","",IF(LEFT(E1154,7)="SUBSOLO",-1,IF(LEFT(E1154,6)="TÉRREO",0,IFERROR(VALUE(LEFT(E1154,FIND("º",E1154)-1)),""))))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IF(E1155="","",IF(LEFT(E1155,7)="SUBSOLO",-1,IF(LEFT(E1155,6)="TÉRREO",0,IFERROR(VALUE(LEFT(E1155,FIND("º",E1155)-1)),""))))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IF(E1156="","",IF(LEFT(E1156,7)="SUBSOLO",-1,IF(LEFT(E1156,6)="TÉRREO",0,IFERROR(VALUE(LEFT(E1156,FIND("º",E1156)-1)),""))))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IF(E1157="","",IF(LEFT(E1157,7)="SUBSOLO",-1,IF(LEFT(E1157,6)="TÉRREO",0,IFERROR(VALUE(LEFT(E1157,FIND("º",E1157)-1)),""))))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IF(E1158="","",IF(LEFT(E1158,7)="SUBSOLO",-1,IF(LEFT(E1158,6)="TÉRREO",0,IFERROR(VALUE(LEFT(E1158,FIND("º",E1158)-1)),""))))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IF(E1159="","",IF(LEFT(E1159,7)="SUBSOLO",-1,IF(LEFT(E1159,6)="TÉRREO",0,IFERROR(VALUE(LEFT(E1159,FIND("º",E1159)-1)),""))))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IF(E1160="","",IF(LEFT(E1160,7)="SUBSOLO",-1,IF(LEFT(E1160,6)="TÉRREO",0,IFERROR(VALUE(LEFT(E1160,FIND("º",E1160)-1)),""))))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IF(E1161="","",IF(LEFT(E1161,7)="SUBSOLO",-1,IF(LEFT(E1161,6)="TÉRREO",0,IFERROR(VALUE(LEFT(E1161,FIND("º",E1161)-1)),""))))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IF(E1162="","",IF(LEFT(E1162,7)="SUBSOLO",-1,IF(LEFT(E1162,6)="TÉRREO",0,IFERROR(VALUE(LEFT(E1162,FIND("º",E1162)-1)),""))))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IF(E1163="","",IF(LEFT(E1163,7)="SUBSOLO",-1,IF(LEFT(E1163,6)="TÉRREO",0,IFERROR(VALUE(LEFT(E1163,FIND("º",E1163)-1)),""))))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IF(E1164="","",IF(LEFT(E1164,7)="SUBSOLO",-1,IF(LEFT(E1164,6)="TÉRREO",0,IFERROR(VALUE(LEFT(E1164,FIND("º",E1164)-1)),""))))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IF(E1165="","",IF(LEFT(E1165,7)="SUBSOLO",-1,IF(LEFT(E1165,6)="TÉRREO",0,IFERROR(VALUE(LEFT(E1165,FIND("º",E1165)-1)),""))))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IF(E1166="","",IF(LEFT(E1166,7)="SUBSOLO",-1,IF(LEFT(E1166,6)="TÉRREO",0,IFERROR(VALUE(LEFT(E1166,FIND("º",E1166)-1)),""))))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IF(E1167="","",IF(LEFT(E1167,7)="SUBSOLO",-1,IF(LEFT(E1167,6)="TÉRREO",0,IFERROR(VALUE(LEFT(E1167,FIND("º",E1167)-1)),""))))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IF(E1168="","",IF(LEFT(E1168,7)="SUBSOLO",-1,IF(LEFT(E1168,6)="TÉRREO",0,IFERROR(VALUE(LEFT(E1168,FIND("º",E1168)-1)),""))))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IF(E1169="","",IF(LEFT(E1169,7)="SUBSOLO",-1,IF(LEFT(E1169,6)="TÉRREO",0,IFERROR(VALUE(LEFT(E1169,FIND("º",E1169)-1)),""))))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IF(E1170="","",IF(LEFT(E1170,7)="SUBSOLO",-1,IF(LEFT(E1170,6)="TÉRREO",0,IFERROR(VALUE(LEFT(E1170,FIND("º",E1170)-1)),""))))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IF(E1171="","",IF(LEFT(E1171,7)="SUBSOLO",-1,IF(LEFT(E1171,6)="TÉRREO",0,IFERROR(VALUE(LEFT(E1171,FIND("º",E1171)-1)),""))))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IF(E1172="","",IF(LEFT(E1172,7)="SUBSOLO",-1,IF(LEFT(E1172,6)="TÉRREO",0,IFERROR(VALUE(LEFT(E1172,FIND("º",E1172)-1)),""))))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IF(E1173="","",IF(LEFT(E1173,7)="SUBSOLO",-1,IF(LEFT(E1173,6)="TÉRREO",0,IFERROR(VALUE(LEFT(E1173,FIND("º",E1173)-1)),""))))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IF(E1174="","",IF(LEFT(E1174,7)="SUBSOLO",-1,IF(LEFT(E1174,6)="TÉRREO",0,IFERROR(VALUE(LEFT(E1174,FIND("º",E1174)-1)),""))))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IF(E1175="","",IF(LEFT(E1175,7)="SUBSOLO",-1,IF(LEFT(E1175,6)="TÉRREO",0,IFERROR(VALUE(LEFT(E1175,FIND("º",E1175)-1)),""))))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IF(E1176="","",IF(LEFT(E1176,7)="SUBSOLO",-1,IF(LEFT(E1176,6)="TÉRREO",0,IFERROR(VALUE(LEFT(E1176,FIND("º",E1176)-1)),""))))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IF(E1177="","",IF(LEFT(E1177,7)="SUBSOLO",-1,IF(LEFT(E1177,6)="TÉRREO",0,IFERROR(VALUE(LEFT(E1177,FIND("º",E1177)-1)),""))))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IF(E1178="","",IF(LEFT(E1178,7)="SUBSOLO",-1,IF(LEFT(E1178,6)="TÉRREO",0,IFERROR(VALUE(LEFT(E1178,FIND("º",E1178)-1)),""))))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IF(E1179="","",IF(LEFT(E1179,7)="SUBSOLO",-1,IF(LEFT(E1179,6)="TÉRREO",0,IFERROR(VALUE(LEFT(E1179,FIND("º",E1179)-1)),""))))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IF(E1180="","",IF(LEFT(E1180,7)="SUBSOLO",-1,IF(LEFT(E1180,6)="TÉRREO",0,IFERROR(VALUE(LEFT(E1180,FIND("º",E1180)-1)),""))))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IF(E1181="","",IF(LEFT(E1181,7)="SUBSOLO",-1,IF(LEFT(E1181,6)="TÉRREO",0,IFERROR(VALUE(LEFT(E1181,FIND("º",E1181)-1)),""))))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IF(E1182="","",IF(LEFT(E1182,7)="SUBSOLO",-1,IF(LEFT(E1182,6)="TÉRREO",0,IFERROR(VALUE(LEFT(E1182,FIND("º",E1182)-1)),""))))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IF(E1183="","",IF(LEFT(E1183,7)="SUBSOLO",-1,IF(LEFT(E1183,6)="TÉRREO",0,IFERROR(VALUE(LEFT(E1183,FIND("º",E1183)-1)),""))))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IF(E1184="","",IF(LEFT(E1184,7)="SUBSOLO",-1,IF(LEFT(E1184,6)="TÉRREO",0,IFERROR(VALUE(LEFT(E1184,FIND("º",E1184)-1)),""))))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IF(E1185="","",IF(LEFT(E1185,7)="SUBSOLO",-1,IF(LEFT(E1185,6)="TÉRREO",0,IFERROR(VALUE(LEFT(E1185,FIND("º",E1185)-1)),""))))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IF(E1186="","",IF(LEFT(E1186,7)="SUBSOLO",-1,IF(LEFT(E1186,6)="TÉRREO",0,IFERROR(VALUE(LEFT(E1186,FIND("º",E1186)-1)),""))))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IF(E1187="","",IF(LEFT(E1187,7)="SUBSOLO",-1,IF(LEFT(E1187,6)="TÉRREO",0,IFERROR(VALUE(LEFT(E1187,FIND("º",E1187)-1)),""))))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IF(E1188="","",IF(LEFT(E1188,7)="SUBSOLO",-1,IF(LEFT(E1188,6)="TÉRREO",0,IFERROR(VALUE(LEFT(E1188,FIND("º",E1188)-1)),""))))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IF(E1189="","",IF(LEFT(E1189,7)="SUBSOLO",-1,IF(LEFT(E1189,6)="TÉRREO",0,IFERROR(VALUE(LEFT(E1189,FIND("º",E1189)-1)),""))))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IF(E1190="","",IF(LEFT(E1190,7)="SUBSOLO",-1,IF(LEFT(E1190,6)="TÉRREO",0,IFERROR(VALUE(LEFT(E1190,FIND("º",E1190)-1)),""))))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IF(E1191="","",IF(LEFT(E1191,7)="SUBSOLO",-1,IF(LEFT(E1191,6)="TÉRREO",0,IFERROR(VALUE(LEFT(E1191,FIND("º",E1191)-1)),""))))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IF(E1192="","",IF(LEFT(E1192,7)="SUBSOLO",-1,IF(LEFT(E1192,6)="TÉRREO",0,IFERROR(VALUE(LEFT(E1192,FIND("º",E1192)-1)),""))))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IF(E1193="","",IF(LEFT(E1193,7)="SUBSOLO",-1,IF(LEFT(E1193,6)="TÉRREO",0,IFERROR(VALUE(LEFT(E1193,FIND("º",E1193)-1)),""))))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IF(E1194="","",IF(LEFT(E1194,7)="SUBSOLO",-1,IF(LEFT(E1194,6)="TÉRREO",0,IFERROR(VALUE(LEFT(E1194,FIND("º",E1194)-1)),""))))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IF(E1195="","",IF(LEFT(E1195,7)="SUBSOLO",-1,IF(LEFT(E1195,6)="TÉRREO",0,IFERROR(VALUE(LEFT(E1195,FIND("º",E1195)-1)),""))))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IF(E1196="","",IF(LEFT(E1196,7)="SUBSOLO",-1,IF(LEFT(E1196,6)="TÉRREO",0,IFERROR(VALUE(LEFT(E1196,FIND("º",E1196)-1)),""))))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IF(E1197="","",IF(LEFT(E1197,7)="SUBSOLO",-1,IF(LEFT(E1197,6)="TÉRREO",0,IFERROR(VALUE(LEFT(E1197,FIND("º",E1197)-1)),""))))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IF(E1198="","",IF(LEFT(E1198,7)="SUBSOLO",-1,IF(LEFT(E1198,6)="TÉRREO",0,IFERROR(VALUE(LEFT(E1198,FIND("º",E1198)-1)),""))))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IF(E1199="","",IF(LEFT(E1199,7)="SUBSOLO",-1,IF(LEFT(E1199,6)="TÉRREO",0,IFERROR(VALUE(LEFT(E1199,FIND("º",E1199)-1)),""))))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IF(E1200="","",IF(LEFT(E1200,7)="SUBSOLO",-1,IF(LEFT(E1200,6)="TÉRREO",0,IFERROR(VALUE(LEFT(E1200,FIND("º",E1200)-1)),""))))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IF(E1201="","",IF(LEFT(E1201,7)="SUBSOLO",-1,IF(LEFT(E1201,6)="TÉRREO",0,IFERROR(VALUE(LEFT(E1201,FIND("º",E1201)-1)),""))))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IF(E1202="","",IF(LEFT(E1202,7)="SUBSOLO",-1,IF(LEFT(E1202,6)="TÉRREO",0,IFERROR(VALUE(LEFT(E1202,FIND("º",E1202)-1)),""))))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IF(E1203="","",IF(LEFT(E1203,7)="SUBSOLO",-1,IF(LEFT(E1203,6)="TÉRREO",0,IFERROR(VALUE(LEFT(E1203,FIND("º",E1203)-1)),""))))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IF(E1204="","",IF(LEFT(E1204,7)="SUBSOLO",-1,IF(LEFT(E1204,6)="TÉRREO",0,IFERROR(VALUE(LEFT(E1204,FIND("º",E1204)-1)),""))))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IF(E1205="","",IF(LEFT(E1205,7)="SUBSOLO",-1,IF(LEFT(E1205,6)="TÉRREO",0,IFERROR(VALUE(LEFT(E1205,FIND("º",E1205)-1)),""))))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IF(E1206="","",IF(LEFT(E1206,7)="SUBSOLO",-1,IF(LEFT(E1206,6)="TÉRREO",0,IFERROR(VALUE(LEFT(E1206,FIND("º",E1206)-1)),""))))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IF(E1207="","",IF(LEFT(E1207,7)="SUBSOLO",-1,IF(LEFT(E1207,6)="TÉRREO",0,IFERROR(VALUE(LEFT(E1207,FIND("º",E1207)-1)),""))))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IF(E1208="","",IF(LEFT(E1208,7)="SUBSOLO",-1,IF(LEFT(E1208,6)="TÉRREO",0,IFERROR(VALUE(LEFT(E1208,FIND("º",E1208)-1)),""))))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IF(E1209="","",IF(LEFT(E1209,7)="SUBSOLO",-1,IF(LEFT(E1209,6)="TÉRREO",0,IFERROR(VALUE(LEFT(E1209,FIND("º",E1209)-1)),""))))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IF(E1210="","",IF(LEFT(E1210,7)="SUBSOLO",-1,IF(LEFT(E1210,6)="TÉRREO",0,IFERROR(VALUE(LEFT(E1210,FIND("º",E1210)-1)),""))))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IF(E1211="","",IF(LEFT(E1211,7)="SUBSOLO",-1,IF(LEFT(E1211,6)="TÉRREO",0,IFERROR(VALUE(LEFT(E1211,FIND("º",E1211)-1)),""))))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IF(E1212="","",IF(LEFT(E1212,7)="SUBSOLO",-1,IF(LEFT(E1212,6)="TÉRREO",0,IFERROR(VALUE(LEFT(E1212,FIND("º",E1212)-1)),""))))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IF(E1213="","",IF(LEFT(E1213,7)="SUBSOLO",-1,IF(LEFT(E1213,6)="TÉRREO",0,IFERROR(VALUE(LEFT(E1213,FIND("º",E1213)-1)),""))))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IF(E1214="","",IF(LEFT(E1214,7)="SUBSOLO",-1,IF(LEFT(E1214,6)="TÉRREO",0,IFERROR(VALUE(LEFT(E1214,FIND("º",E1214)-1)),""))))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IF(E1215="","",IF(LEFT(E1215,7)="SUBSOLO",-1,IF(LEFT(E1215,6)="TÉRREO",0,IFERROR(VALUE(LEFT(E1215,FIND("º",E1215)-1)),""))))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IF(E1216="","",IF(LEFT(E1216,7)="SUBSOLO",-1,IF(LEFT(E1216,6)="TÉRREO",0,IFERROR(VALUE(LEFT(E1216,FIND("º",E1216)-1)),""))))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IF(E1217="","",IF(LEFT(E1217,7)="SUBSOLO",-1,IF(LEFT(E1217,6)="TÉRREO",0,IFERROR(VALUE(LEFT(E1217,FIND("º",E1217)-1)),""))))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IF(E1218="","",IF(LEFT(E1218,7)="SUBSOLO",-1,IF(LEFT(E1218,6)="TÉRREO",0,IFERROR(VALUE(LEFT(E1218,FIND("º",E1218)-1)),""))))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IF(E1219="","",IF(LEFT(E1219,7)="SUBSOLO",-1,IF(LEFT(E1219,6)="TÉRREO",0,IFERROR(VALUE(LEFT(E1219,FIND("º",E1219)-1)),""))))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IF(E1220="","",IF(LEFT(E1220,7)="SUBSOLO",-1,IF(LEFT(E1220,6)="TÉRREO",0,IFERROR(VALUE(LEFT(E1220,FIND("º",E1220)-1)),""))))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IF(E1221="","",IF(LEFT(E1221,7)="SUBSOLO",-1,IF(LEFT(E1221,6)="TÉRREO",0,IFERROR(VALUE(LEFT(E1221,FIND("º",E1221)-1)),""))))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IF(E1222="","",IF(LEFT(E1222,7)="SUBSOLO",-1,IF(LEFT(E1222,6)="TÉRREO",0,IFERROR(VALUE(LEFT(E1222,FIND("º",E1222)-1)),""))))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IF(E1223="","",IF(LEFT(E1223,7)="SUBSOLO",-1,IF(LEFT(E1223,6)="TÉRREO",0,IFERROR(VALUE(LEFT(E1223,FIND("º",E1223)-1)),""))))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IF(E1224="","",IF(LEFT(E1224,7)="SUBSOLO",-1,IF(LEFT(E1224,6)="TÉRREO",0,IFERROR(VALUE(LEFT(E1224,FIND("º",E1224)-1)),""))))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IF(E1225="","",IF(LEFT(E1225,7)="SUBSOLO",-1,IF(LEFT(E1225,6)="TÉRREO",0,IFERROR(VALUE(LEFT(E1225,FIND("º",E1225)-1)),""))))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IF(E1226="","",IF(LEFT(E1226,7)="SUBSOLO",-1,IF(LEFT(E1226,6)="TÉRREO",0,IFERROR(VALUE(LEFT(E1226,FIND("º",E1226)-1)),""))))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IF(E1227="","",IF(LEFT(E1227,7)="SUBSOLO",-1,IF(LEFT(E1227,6)="TÉRREO",0,IFERROR(VALUE(LEFT(E1227,FIND("º",E1227)-1)),""))))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IF(E1228="","",IF(LEFT(E1228,7)="SUBSOLO",-1,IF(LEFT(E1228,6)="TÉRREO",0,IFERROR(VALUE(LEFT(E1228,FIND("º",E1228)-1)),""))))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IF(E1229="","",IF(LEFT(E1229,7)="SUBSOLO",-1,IF(LEFT(E1229,6)="TÉRREO",0,IFERROR(VALUE(LEFT(E1229,FIND("º",E1229)-1)),""))))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IF(E1230="","",IF(LEFT(E1230,7)="SUBSOLO",-1,IF(LEFT(E1230,6)="TÉRREO",0,IFERROR(VALUE(LEFT(E1230,FIND("º",E1230)-1)),""))))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IF(E1231="","",IF(LEFT(E1231,7)="SUBSOLO",-1,IF(LEFT(E1231,6)="TÉRREO",0,IFERROR(VALUE(LEFT(E1231,FIND("º",E1231)-1)),""))))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IF(E1232="","",IF(LEFT(E1232,7)="SUBSOLO",-1,IF(LEFT(E1232,6)="TÉRREO",0,IFERROR(VALUE(LEFT(E1232,FIND("º",E1232)-1)),""))))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IF(E1233="","",IF(LEFT(E1233,7)="SUBSOLO",-1,IF(LEFT(E1233,6)="TÉRREO",0,IFERROR(VALUE(LEFT(E1233,FIND("º",E1233)-1)),""))))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IF(E1234="","",IF(LEFT(E1234,7)="SUBSOLO",-1,IF(LEFT(E1234,6)="TÉRREO",0,IFERROR(VALUE(LEFT(E1234,FIND("º",E1234)-1)),""))))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IF(E1235="","",IF(LEFT(E1235,7)="SUBSOLO",-1,IF(LEFT(E1235,6)="TÉRREO",0,IFERROR(VALUE(LEFT(E1235,FIND("º",E1235)-1)),""))))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IF(E1236="","",IF(LEFT(E1236,7)="SUBSOLO",-1,IF(LEFT(E1236,6)="TÉRREO",0,IFERROR(VALUE(LEFT(E1236,FIND("º",E1236)-1)),""))))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IF(E1237="","",IF(LEFT(E1237,7)="SUBSOLO",-1,IF(LEFT(E1237,6)="TÉRREO",0,IFERROR(VALUE(LEFT(E1237,FIND("º",E1237)-1)),""))))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IF(E1238="","",IF(LEFT(E1238,7)="SUBSOLO",-1,IF(LEFT(E1238,6)="TÉRREO",0,IFERROR(VALUE(LEFT(E1238,FIND("º",E1238)-1)),""))))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IF(E1239="","",IF(LEFT(E1239,7)="SUBSOLO",-1,IF(LEFT(E1239,6)="TÉRREO",0,IFERROR(VALUE(LEFT(E1239,FIND("º",E1239)-1)),""))))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IF(E1240="","",IF(LEFT(E1240,7)="SUBSOLO",-1,IF(LEFT(E1240,6)="TÉRREO",0,IFERROR(VALUE(LEFT(E1240,FIND("º",E1240)-1)),""))))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IF(E1241="","",IF(LEFT(E1241,7)="SUBSOLO",-1,IF(LEFT(E1241,6)="TÉRREO",0,IFERROR(VALUE(LEFT(E1241,FIND("º",E1241)-1)),""))))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IF(E1242="","",IF(LEFT(E1242,7)="SUBSOLO",-1,IF(LEFT(E1242,6)="TÉRREO",0,IFERROR(VALUE(LEFT(E1242,FIND("º",E1242)-1)),""))))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IF(E1243="","",IF(LEFT(E1243,7)="SUBSOLO",-1,IF(LEFT(E1243,6)="TÉRREO",0,IFERROR(VALUE(LEFT(E1243,FIND("º",E1243)-1)),""))))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IF(E1244="","",IF(LEFT(E1244,7)="SUBSOLO",-1,IF(LEFT(E1244,6)="TÉRREO",0,IFERROR(VALUE(LEFT(E1244,FIND("º",E1244)-1)),""))))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IF(E1245="","",IF(LEFT(E1245,7)="SUBSOLO",-1,IF(LEFT(E1245,6)="TÉRREO",0,IFERROR(VALUE(LEFT(E1245,FIND("º",E1245)-1)),""))))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IF(E1246="","",IF(LEFT(E1246,7)="SUBSOLO",-1,IF(LEFT(E1246,6)="TÉRREO",0,IFERROR(VALUE(LEFT(E1246,FIND("º",E1246)-1)),""))))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IF(E1247="","",IF(LEFT(E1247,7)="SUBSOLO",-1,IF(LEFT(E1247,6)="TÉRREO",0,IFERROR(VALUE(LEFT(E1247,FIND("º",E1247)-1)),""))))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IF(E1248="","",IF(LEFT(E1248,7)="SUBSOLO",-1,IF(LEFT(E1248,6)="TÉRREO",0,IFERROR(VALUE(LEFT(E1248,FIND("º",E1248)-1)),""))))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IF(E1249="","",IF(LEFT(E1249,7)="SUBSOLO",-1,IF(LEFT(E1249,6)="TÉRREO",0,IFERROR(VALUE(LEFT(E1249,FIND("º",E1249)-1)),""))))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IF(E1250="","",IF(LEFT(E1250,7)="SUBSOLO",-1,IF(LEFT(E1250,6)="TÉRREO",0,IFERROR(VALUE(LEFT(E1250,FIND("º",E1250)-1)),""))))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IF(E1251="","",IF(LEFT(E1251,7)="SUBSOLO",-1,IF(LEFT(E1251,6)="TÉRREO",0,IFERROR(VALUE(LEFT(E1251,FIND("º",E1251)-1)),""))))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IF(E1252="","",IF(LEFT(E1252,7)="SUBSOLO",-1,IF(LEFT(E1252,6)="TÉRREO",0,IFERROR(VALUE(LEFT(E1252,FIND("º",E1252)-1)),""))))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IF(E1253="","",IF(LEFT(E1253,7)="SUBSOLO",-1,IF(LEFT(E1253,6)="TÉRREO",0,IFERROR(VALUE(LEFT(E1253,FIND("º",E1253)-1)),""))))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IF(E1254="","",IF(LEFT(E1254,7)="SUBSOLO",-1,IF(LEFT(E1254,6)="TÉRREO",0,IFERROR(VALUE(LEFT(E1254,FIND("º",E1254)-1)),""))))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IF(E1255="","",IF(LEFT(E1255,7)="SUBSOLO",-1,IF(LEFT(E1255,6)="TÉRREO",0,IFERROR(VALUE(LEFT(E1255,FIND("º",E1255)-1)),""))))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IF(E1256="","",IF(LEFT(E1256,7)="SUBSOLO",-1,IF(LEFT(E1256,6)="TÉRREO",0,IFERROR(VALUE(LEFT(E1256,FIND("º",E1256)-1)),""))))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IF(E1257="","",IF(LEFT(E1257,7)="SUBSOLO",-1,IF(LEFT(E1257,6)="TÉRREO",0,IFERROR(VALUE(LEFT(E1257,FIND("º",E1257)-1)),""))))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IF(E1258="","",IF(LEFT(E1258,7)="SUBSOLO",-1,IF(LEFT(E1258,6)="TÉRREO",0,IFERROR(VALUE(LEFT(E1258,FIND("º",E1258)-1)),""))))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IF(E1259="","",IF(LEFT(E1259,7)="SUBSOLO",-1,IF(LEFT(E1259,6)="TÉRREO",0,IFERROR(VALUE(LEFT(E1259,FIND("º",E1259)-1)),""))))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IF(E1260="","",IF(LEFT(E1260,7)="SUBSOLO",-1,IF(LEFT(E1260,6)="TÉRREO",0,IFERROR(VALUE(LEFT(E1260,FIND("º",E1260)-1)),""))))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IF(E1261="","",IF(LEFT(E1261,7)="SUBSOLO",-1,IF(LEFT(E1261,6)="TÉRREO",0,IFERROR(VALUE(LEFT(E1261,FIND("º",E1261)-1)),""))))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IF(E1262="","",IF(LEFT(E1262,7)="SUBSOLO",-1,IF(LEFT(E1262,6)="TÉRREO",0,IFERROR(VALUE(LEFT(E1262,FIND("º",E1262)-1)),""))))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IF(E1263="","",IF(LEFT(E1263,7)="SUBSOLO",-1,IF(LEFT(E1263,6)="TÉRREO",0,IFERROR(VALUE(LEFT(E1263,FIND("º",E1263)-1)),""))))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IF(E1264="","",IF(LEFT(E1264,7)="SUBSOLO",-1,IF(LEFT(E1264,6)="TÉRREO",0,IFERROR(VALUE(LEFT(E1264,FIND("º",E1264)-1)),""))))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IF(E1265="","",IF(LEFT(E1265,7)="SUBSOLO",-1,IF(LEFT(E1265,6)="TÉRREO",0,IFERROR(VALUE(LEFT(E1265,FIND("º",E1265)-1)),""))))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IF(E1266="","",IF(LEFT(E1266,7)="SUBSOLO",-1,IF(LEFT(E1266,6)="TÉRREO",0,IFERROR(VALUE(LEFT(E1266,FIND("º",E1266)-1)),""))))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IF(E1267="","",IF(LEFT(E1267,7)="SUBSOLO",-1,IF(LEFT(E1267,6)="TÉRREO",0,IFERROR(VALUE(LEFT(E1267,FIND("º",E1267)-1)),""))))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IF(E1268="","",IF(LEFT(E1268,7)="SUBSOLO",-1,IF(LEFT(E1268,6)="TÉRREO",0,IFERROR(VALUE(LEFT(E1268,FIND("º",E1268)-1)),""))))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IF(E1269="","",IF(LEFT(E1269,7)="SUBSOLO",-1,IF(LEFT(E1269,6)="TÉRREO",0,IFERROR(VALUE(LEFT(E1269,FIND("º",E1269)-1)),""))))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IF(E1270="","",IF(LEFT(E1270,7)="SUBSOLO",-1,IF(LEFT(E1270,6)="TÉRREO",0,IFERROR(VALUE(LEFT(E1270,FIND("º",E1270)-1)),""))))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IF(E1271="","",IF(LEFT(E1271,7)="SUBSOLO",-1,IF(LEFT(E1271,6)="TÉRREO",0,IFERROR(VALUE(LEFT(E1271,FIND("º",E1271)-1)),""))))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IF(E1272="","",IF(LEFT(E1272,7)="SUBSOLO",-1,IF(LEFT(E1272,6)="TÉRREO",0,IFERROR(VALUE(LEFT(E1272,FIND("º",E1272)-1)),""))))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IF(E1273="","",IF(LEFT(E1273,7)="SUBSOLO",-1,IF(LEFT(E1273,6)="TÉRREO",0,IFERROR(VALUE(LEFT(E1273,FIND("º",E1273)-1)),""))))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IF(E1274="","",IF(LEFT(E1274,7)="SUBSOLO",-1,IF(LEFT(E1274,6)="TÉRREO",0,IFERROR(VALUE(LEFT(E1274,FIND("º",E1274)-1)),""))))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IF(E1275="","",IF(LEFT(E1275,7)="SUBSOLO",-1,IF(LEFT(E1275,6)="TÉRREO",0,IFERROR(VALUE(LEFT(E1275,FIND("º",E1275)-1)),""))))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IF(E1276="","",IF(LEFT(E1276,7)="SUBSOLO",-1,IF(LEFT(E1276,6)="TÉRREO",0,IFERROR(VALUE(LEFT(E1276,FIND("º",E1276)-1)),""))))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IF(E1277="","",IF(LEFT(E1277,7)="SUBSOLO",-1,IF(LEFT(E1277,6)="TÉRREO",0,IFERROR(VALUE(LEFT(E1277,FIND("º",E1277)-1)),""))))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IF(E1278="","",IF(LEFT(E1278,7)="SUBSOLO",-1,IF(LEFT(E1278,6)="TÉRREO",0,IFERROR(VALUE(LEFT(E1278,FIND("º",E1278)-1)),""))))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IF(E1279="","",IF(LEFT(E1279,7)="SUBSOLO",-1,IF(LEFT(E1279,6)="TÉRREO",0,IFERROR(VALUE(LEFT(E1279,FIND("º",E1279)-1)),""))))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IF(E1280="","",IF(LEFT(E1280,7)="SUBSOLO",-1,IF(LEFT(E1280,6)="TÉRREO",0,IFERROR(VALUE(LEFT(E1280,FIND("º",E1280)-1)),""))))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IF(E1281="","",IF(LEFT(E1281,7)="SUBSOLO",-1,IF(LEFT(E1281,6)="TÉRREO",0,IFERROR(VALUE(LEFT(E1281,FIND("º",E1281)-1)),""))))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IF(E1282="","",IF(LEFT(E1282,7)="SUBSOLO",-1,IF(LEFT(E1282,6)="TÉRREO",0,IFERROR(VALUE(LEFT(E1282,FIND("º",E1282)-1)),""))))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IF(E1283="","",IF(LEFT(E1283,7)="SUBSOLO",-1,IF(LEFT(E1283,6)="TÉRREO",0,IFERROR(VALUE(LEFT(E1283,FIND("º",E1283)-1)),""))))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IF(E1284="","",IF(LEFT(E1284,7)="SUBSOLO",-1,IF(LEFT(E1284,6)="TÉRREO",0,IFERROR(VALUE(LEFT(E1284,FIND("º",E1284)-1)),""))))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IF(E1285="","",IF(LEFT(E1285,7)="SUBSOLO",-1,IF(LEFT(E1285,6)="TÉRREO",0,IFERROR(VALUE(LEFT(E1285,FIND("º",E1285)-1)),""))))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IF(E1286="","",IF(LEFT(E1286,7)="SUBSOLO",-1,IF(LEFT(E1286,6)="TÉRREO",0,IFERROR(VALUE(LEFT(E1286,FIND("º",E1286)-1)),""))))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IF(E1287="","",IF(LEFT(E1287,7)="SUBSOLO",-1,IF(LEFT(E1287,6)="TÉRREO",0,IFERROR(VALUE(LEFT(E1287,FIND("º",E1287)-1)),""))))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IF(E1288="","",IF(LEFT(E1288,7)="SUBSOLO",-1,IF(LEFT(E1288,6)="TÉRREO",0,IFERROR(VALUE(LEFT(E1288,FIND("º",E1288)-1)),""))))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IF(E1289="","",IF(LEFT(E1289,7)="SUBSOLO",-1,IF(LEFT(E1289,6)="TÉRREO",0,IFERROR(VALUE(LEFT(E1289,FIND("º",E1289)-1)),""))))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IF(E1290="","",IF(LEFT(E1290,7)="SUBSOLO",-1,IF(LEFT(E1290,6)="TÉRREO",0,IFERROR(VALUE(LEFT(E1290,FIND("º",E1290)-1)),""))))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IF(E1291="","",IF(LEFT(E1291,7)="SUBSOLO",-1,IF(LEFT(E1291,6)="TÉRREO",0,IFERROR(VALUE(LEFT(E1291,FIND("º",E1291)-1)),""))))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IF(E1292="","",IF(LEFT(E1292,7)="SUBSOLO",-1,IF(LEFT(E1292,6)="TÉRREO",0,IFERROR(VALUE(LEFT(E1292,FIND("º",E1292)-1)),""))))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IF(E1293="","",IF(LEFT(E1293,7)="SUBSOLO",-1,IF(LEFT(E1293,6)="TÉRREO",0,IFERROR(VALUE(LEFT(E1293,FIND("º",E1293)-1)),""))))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IF(E1294="","",IF(LEFT(E1294,7)="SUBSOLO",-1,IF(LEFT(E1294,6)="TÉRREO",0,IFERROR(VALUE(LEFT(E1294,FIND("º",E1294)-1)),""))))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IF(E1295="","",IF(LEFT(E1295,7)="SUBSOLO",-1,IF(LEFT(E1295,6)="TÉRREO",0,IFERROR(VALUE(LEFT(E1295,FIND("º",E1295)-1)),""))))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IF(E1296="","",IF(LEFT(E1296,7)="SUBSOLO",-1,IF(LEFT(E1296,6)="TÉRREO",0,IFERROR(VALUE(LEFT(E1296,FIND("º",E1296)-1)),""))))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IF(E1297="","",IF(LEFT(E1297,7)="SUBSOLO",-1,IF(LEFT(E1297,6)="TÉRREO",0,IFERROR(VALUE(LEFT(E1297,FIND("º",E1297)-1)),""))))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IF(E1298="","",IF(LEFT(E1298,7)="SUBSOLO",-1,IF(LEFT(E1298,6)="TÉRREO",0,IFERROR(VALUE(LEFT(E1298,FIND("º",E1298)-1)),""))))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IF(E1299="","",IF(LEFT(E1299,7)="SUBSOLO",-1,IF(LEFT(E1299,6)="TÉRREO",0,IFERROR(VALUE(LEFT(E1299,FIND("º",E1299)-1)),""))))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IF(E1300="","",IF(LEFT(E1300,7)="SUBSOLO",-1,IF(LEFT(E1300,6)="TÉRREO",0,IFERROR(VALUE(LEFT(E1300,FIND("º",E1300)-1)),""))))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IF(E1301="","",IF(LEFT(E1301,7)="SUBSOLO",-1,IF(LEFT(E1301,6)="TÉRREO",0,IFERROR(VALUE(LEFT(E1301,FIND("º",E1301)-1)),""))))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IF(E1302="","",IF(LEFT(E1302,7)="SUBSOLO",-1,IF(LEFT(E1302,6)="TÉRREO",0,IFERROR(VALUE(LEFT(E1302,FIND("º",E1302)-1)),""))))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IF(E1303="","",IF(LEFT(E1303,7)="SUBSOLO",-1,IF(LEFT(E1303,6)="TÉRREO",0,IFERROR(VALUE(LEFT(E1303,FIND("º",E1303)-1)),""))))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IF(E1304="","",IF(LEFT(E1304,7)="SUBSOLO",-1,IF(LEFT(E1304,6)="TÉRREO",0,IFERROR(VALUE(LEFT(E1304,FIND("º",E1304)-1)),""))))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IF(E1305="","",IF(LEFT(E1305,7)="SUBSOLO",-1,IF(LEFT(E1305,6)="TÉRREO",0,IFERROR(VALUE(LEFT(E1305,FIND("º",E1305)-1)),""))))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IF(E1306="","",IF(LEFT(E1306,7)="SUBSOLO",-1,IF(LEFT(E1306,6)="TÉRREO",0,IFERROR(VALUE(LEFT(E1306,FIND("º",E1306)-1)),""))))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IF(E1307="","",IF(LEFT(E1307,7)="SUBSOLO",-1,IF(LEFT(E1307,6)="TÉRREO",0,IFERROR(VALUE(LEFT(E1307,FIND("º",E1307)-1)),""))))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IF(E1308="","",IF(LEFT(E1308,7)="SUBSOLO",-1,IF(LEFT(E1308,6)="TÉRREO",0,IFERROR(VALUE(LEFT(E1308,FIND("º",E1308)-1)),""))))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IF(E1309="","",IF(LEFT(E1309,7)="SUBSOLO",-1,IF(LEFT(E1309,6)="TÉRREO",0,IFERROR(VALUE(LEFT(E1309,FIND("º",E1309)-1)),""))))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IF(E1310="","",IF(LEFT(E1310,7)="SUBSOLO",-1,IF(LEFT(E1310,6)="TÉRREO",0,IFERROR(VALUE(LEFT(E1310,FIND("º",E1310)-1)),""))))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IF(E1311="","",IF(LEFT(E1311,7)="SUBSOLO",-1,IF(LEFT(E1311,6)="TÉRREO",0,IFERROR(VALUE(LEFT(E1311,FIND("º",E1311)-1)),""))))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IF(E1312="","",IF(LEFT(E1312,7)="SUBSOLO",-1,IF(LEFT(E1312,6)="TÉRREO",0,IFERROR(VALUE(LEFT(E1312,FIND("º",E1312)-1)),""))))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IF(E1313="","",IF(LEFT(E1313,7)="SUBSOLO",-1,IF(LEFT(E1313,6)="TÉRREO",0,IFERROR(VALUE(LEFT(E1313,FIND("º",E1313)-1)),""))))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IF(E1314="","",IF(LEFT(E1314,7)="SUBSOLO",-1,IF(LEFT(E1314,6)="TÉRREO",0,IFERROR(VALUE(LEFT(E1314,FIND("º",E1314)-1)),""))))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IF(E1315="","",IF(LEFT(E1315,7)="SUBSOLO",-1,IF(LEFT(E1315,6)="TÉRREO",0,IFERROR(VALUE(LEFT(E1315,FIND("º",E1315)-1)),""))))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IF(E1316="","",IF(LEFT(E1316,7)="SUBSOLO",-1,IF(LEFT(E1316,6)="TÉRREO",0,IFERROR(VALUE(LEFT(E1316,FIND("º",E1316)-1)),""))))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IF(E1317="","",IF(LEFT(E1317,7)="SUBSOLO",-1,IF(LEFT(E1317,6)="TÉRREO",0,IFERROR(VALUE(LEFT(E1317,FIND("º",E1317)-1)),""))))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IF(E1318="","",IF(LEFT(E1318,7)="SUBSOLO",-1,IF(LEFT(E1318,6)="TÉRREO",0,IFERROR(VALUE(LEFT(E1318,FIND("º",E1318)-1)),""))))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IF(E1319="","",IF(LEFT(E1319,7)="SUBSOLO",-1,IF(LEFT(E1319,6)="TÉRREO",0,IFERROR(VALUE(LEFT(E1319,FIND("º",E1319)-1)),""))))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IF(E1320="","",IF(LEFT(E1320,7)="SUBSOLO",-1,IF(LEFT(E1320,6)="TÉRREO",0,IFERROR(VALUE(LEFT(E1320,FIND("º",E1320)-1)),""))))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IF(E1321="","",IF(LEFT(E1321,7)="SUBSOLO",-1,IF(LEFT(E1321,6)="TÉRREO",0,IFERROR(VALUE(LEFT(E1321,FIND("º",E1321)-1)),""))))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IF(E1322="","",IF(LEFT(E1322,7)="SUBSOLO",-1,IF(LEFT(E1322,6)="TÉRREO",0,IFERROR(VALUE(LEFT(E1322,FIND("º",E1322)-1)),""))))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IF(E1323="","",IF(LEFT(E1323,7)="SUBSOLO",-1,IF(LEFT(E1323,6)="TÉRREO",0,IFERROR(VALUE(LEFT(E1323,FIND("º",E1323)-1)),""))))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IF(E1324="","",IF(LEFT(E1324,7)="SUBSOLO",-1,IF(LEFT(E1324,6)="TÉRREO",0,IFERROR(VALUE(LEFT(E1324,FIND("º",E1324)-1)),""))))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IF(E1325="","",IF(LEFT(E1325,7)="SUBSOLO",-1,IF(LEFT(E1325,6)="TÉRREO",0,IFERROR(VALUE(LEFT(E1325,FIND("º",E1325)-1)),""))))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IF(E1326="","",IF(LEFT(E1326,7)="SUBSOLO",-1,IF(LEFT(E1326,6)="TÉRREO",0,IFERROR(VALUE(LEFT(E1326,FIND("º",E1326)-1)),""))))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IF(E1327="","",IF(LEFT(E1327,7)="SUBSOLO",-1,IF(LEFT(E1327,6)="TÉRREO",0,IFERROR(VALUE(LEFT(E1327,FIND("º",E1327)-1)),""))))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IF(E1328="","",IF(LEFT(E1328,7)="SUBSOLO",-1,IF(LEFT(E1328,6)="TÉRREO",0,IFERROR(VALUE(LEFT(E1328,FIND("º",E1328)-1)),""))))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IF(E1329="","",IF(LEFT(E1329,7)="SUBSOLO",-1,IF(LEFT(E1329,6)="TÉRREO",0,IFERROR(VALUE(LEFT(E1329,FIND("º",E1329)-1)),""))))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IF(E1330="","",IF(LEFT(E1330,7)="SUBSOLO",-1,IF(LEFT(E1330,6)="TÉRREO",0,IFERROR(VALUE(LEFT(E1330,FIND("º",E1330)-1)),""))))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IF(E1331="","",IF(LEFT(E1331,7)="SUBSOLO",-1,IF(LEFT(E1331,6)="TÉRREO",0,IFERROR(VALUE(LEFT(E1331,FIND("º",E1331)-1)),""))))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IF(E1332="","",IF(LEFT(E1332,7)="SUBSOLO",-1,IF(LEFT(E1332,6)="TÉRREO",0,IFERROR(VALUE(LEFT(E1332,FIND("º",E1332)-1)),""))))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IF(E1333="","",IF(LEFT(E1333,7)="SUBSOLO",-1,IF(LEFT(E1333,6)="TÉRREO",0,IFERROR(VALUE(LEFT(E1333,FIND("º",E1333)-1)),""))))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IF(E1334="","",IF(LEFT(E1334,7)="SUBSOLO",-1,IF(LEFT(E1334,6)="TÉRREO",0,IFERROR(VALUE(LEFT(E1334,FIND("º",E1334)-1)),""))))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IF(E1335="","",IF(LEFT(E1335,7)="SUBSOLO",-1,IF(LEFT(E1335,6)="TÉRREO",0,IFERROR(VALUE(LEFT(E1335,FIND("º",E1335)-1)),""))))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IF(E1336="","",IF(LEFT(E1336,7)="SUBSOLO",-1,IF(LEFT(E1336,6)="TÉRREO",0,IFERROR(VALUE(LEFT(E1336,FIND("º",E1336)-1)),""))))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IF(E1337="","",IF(LEFT(E1337,7)="SUBSOLO",-1,IF(LEFT(E1337,6)="TÉRREO",0,IFERROR(VALUE(LEFT(E1337,FIND("º",E1337)-1)),""))))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IF(E1338="","",IF(LEFT(E1338,7)="SUBSOLO",-1,IF(LEFT(E1338,6)="TÉRREO",0,IFERROR(VALUE(LEFT(E1338,FIND("º",E1338)-1)),""))))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IF(E1339="","",IF(LEFT(E1339,7)="SUBSOLO",-1,IF(LEFT(E1339,6)="TÉRREO",0,IFERROR(VALUE(LEFT(E1339,FIND("º",E1339)-1)),""))))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IF(E1340="","",IF(LEFT(E1340,7)="SUBSOLO",-1,IF(LEFT(E1340,6)="TÉRREO",0,IFERROR(VALUE(LEFT(E1340,FIND("º",E1340)-1)),""))))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IF(E1341="","",IF(LEFT(E1341,7)="SUBSOLO",-1,IF(LEFT(E1341,6)="TÉRREO",0,IFERROR(VALUE(LEFT(E1341,FIND("º",E1341)-1)),""))))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IF(E1342="","",IF(LEFT(E1342,7)="SUBSOLO",-1,IF(LEFT(E1342,6)="TÉRREO",0,IFERROR(VALUE(LEFT(E1342,FIND("º",E1342)-1)),""))))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IF(E1343="","",IF(LEFT(E1343,7)="SUBSOLO",-1,IF(LEFT(E1343,6)="TÉRREO",0,IFERROR(VALUE(LEFT(E1343,FIND("º",E1343)-1)),""))))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IF(E1344="","",IF(LEFT(E1344,7)="SUBSOLO",-1,IF(LEFT(E1344,6)="TÉRREO",0,IFERROR(VALUE(LEFT(E1344,FIND("º",E1344)-1)),""))))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IF(E1345="","",IF(LEFT(E1345,7)="SUBSOLO",-1,IF(LEFT(E1345,6)="TÉRREO",0,IFERROR(VALUE(LEFT(E1345,FIND("º",E1345)-1)),""))))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IF(E1346="","",IF(LEFT(E1346,7)="SUBSOLO",-1,IF(LEFT(E1346,6)="TÉRREO",0,IFERROR(VALUE(LEFT(E1346,FIND("º",E1346)-1)),""))))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IF(E1347="","",IF(LEFT(E1347,7)="SUBSOLO",-1,IF(LEFT(E1347,6)="TÉRREO",0,IFERROR(VALUE(LEFT(E1347,FIND("º",E1347)-1)),""))))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IF(E1348="","",IF(LEFT(E1348,7)="SUBSOLO",-1,IF(LEFT(E1348,6)="TÉRREO",0,IFERROR(VALUE(LEFT(E1348,FIND("º",E1348)-1)),""))))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IF(E1349="","",IF(LEFT(E1349,7)="SUBSOLO",-1,IF(LEFT(E1349,6)="TÉRREO",0,IFERROR(VALUE(LEFT(E1349,FIND("º",E1349)-1)),""))))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IF(E1350="","",IF(LEFT(E1350,7)="SUBSOLO",-1,IF(LEFT(E1350,6)="TÉRREO",0,IFERROR(VALUE(LEFT(E1350,FIND("º",E1350)-1)),""))))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IF(E1351="","",IF(LEFT(E1351,7)="SUBSOLO",-1,IF(LEFT(E1351,6)="TÉRREO",0,IFERROR(VALUE(LEFT(E1351,FIND("º",E1351)-1)),""))))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IF(E1352="","",IF(LEFT(E1352,7)="SUBSOLO",-1,IF(LEFT(E1352,6)="TÉRREO",0,IFERROR(VALUE(LEFT(E1352,FIND("º",E1352)-1)),""))))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IF(E1353="","",IF(LEFT(E1353,7)="SUBSOLO",-1,IF(LEFT(E1353,6)="TÉRREO",0,IFERROR(VALUE(LEFT(E1353,FIND("º",E1353)-1)),""))))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IF(E1354="","",IF(LEFT(E1354,7)="SUBSOLO",-1,IF(LEFT(E1354,6)="TÉRREO",0,IFERROR(VALUE(LEFT(E1354,FIND("º",E1354)-1)),""))))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IF(E1355="","",IF(LEFT(E1355,7)="SUBSOLO",-1,IF(LEFT(E1355,6)="TÉRREO",0,IFERROR(VALUE(LEFT(E1355,FIND("º",E1355)-1)),""))))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IF(E1356="","",IF(LEFT(E1356,7)="SUBSOLO",-1,IF(LEFT(E1356,6)="TÉRREO",0,IFERROR(VALUE(LEFT(E1356,FIND("º",E1356)-1)),""))))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IF(E1357="","",IF(LEFT(E1357,7)="SUBSOLO",-1,IF(LEFT(E1357,6)="TÉRREO",0,IFERROR(VALUE(LEFT(E1357,FIND("º",E1357)-1)),""))))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IF(E1358="","",IF(LEFT(E1358,7)="SUBSOLO",-1,IF(LEFT(E1358,6)="TÉRREO",0,IFERROR(VALUE(LEFT(E1358,FIND("º",E1358)-1)),""))))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IF(E1359="","",IF(LEFT(E1359,7)="SUBSOLO",-1,IF(LEFT(E1359,6)="TÉRREO",0,IFERROR(VALUE(LEFT(E1359,FIND("º",E1359)-1)),""))))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IF(E1360="","",IF(LEFT(E1360,7)="SUBSOLO",-1,IF(LEFT(E1360,6)="TÉRREO",0,IFERROR(VALUE(LEFT(E1360,FIND("º",E1360)-1)),""))))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IF(E1361="","",IF(LEFT(E1361,7)="SUBSOLO",-1,IF(LEFT(E1361,6)="TÉRREO",0,IFERROR(VALUE(LEFT(E1361,FIND("º",E1361)-1)),""))))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IF(E1362="","",IF(LEFT(E1362,7)="SUBSOLO",-1,IF(LEFT(E1362,6)="TÉRREO",0,IFERROR(VALUE(LEFT(E1362,FIND("º",E1362)-1)),""))))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IF(E1363="","",IF(LEFT(E1363,7)="SUBSOLO",-1,IF(LEFT(E1363,6)="TÉRREO",0,IFERROR(VALUE(LEFT(E1363,FIND("º",E1363)-1)),""))))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IF(E1364="","",IF(LEFT(E1364,7)="SUBSOLO",-1,IF(LEFT(E1364,6)="TÉRREO",0,IFERROR(VALUE(LEFT(E1364,FIND("º",E1364)-1)),""))))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IF(E1365="","",IF(LEFT(E1365,7)="SUBSOLO",-1,IF(LEFT(E1365,6)="TÉRREO",0,IFERROR(VALUE(LEFT(E1365,FIND("º",E1365)-1)),""))))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IF(E1366="","",IF(LEFT(E1366,7)="SUBSOLO",-1,IF(LEFT(E1366,6)="TÉRREO",0,IFERROR(VALUE(LEFT(E1366,FIND("º",E1366)-1)),""))))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IF(E1367="","",IF(LEFT(E1367,7)="SUBSOLO",-1,IF(LEFT(E1367,6)="TÉRREO",0,IFERROR(VALUE(LEFT(E1367,FIND("º",E1367)-1)),""))))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IF(E1368="","",IF(LEFT(E1368,7)="SUBSOLO",-1,IF(LEFT(E1368,6)="TÉRREO",0,IFERROR(VALUE(LEFT(E1368,FIND("º",E1368)-1)),""))))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IF(E1369="","",IF(LEFT(E1369,7)="SUBSOLO",-1,IF(LEFT(E1369,6)="TÉRREO",0,IFERROR(VALUE(LEFT(E1369,FIND("º",E1369)-1)),""))))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IF(E1370="","",IF(LEFT(E1370,7)="SUBSOLO",-1,IF(LEFT(E1370,6)="TÉRREO",0,IFERROR(VALUE(LEFT(E1370,FIND("º",E1370)-1)),""))))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IF(E1371="","",IF(LEFT(E1371,7)="SUBSOLO",-1,IF(LEFT(E1371,6)="TÉRREO",0,IFERROR(VALUE(LEFT(E1371,FIND("º",E1371)-1)),""))))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IF(E1372="","",IF(LEFT(E1372,7)="SUBSOLO",-1,IF(LEFT(E1372,6)="TÉRREO",0,IFERROR(VALUE(LEFT(E1372,FIND("º",E1372)-1)),""))))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IF(E1373="","",IF(LEFT(E1373,7)="SUBSOLO",-1,IF(LEFT(E1373,6)="TÉRREO",0,IFERROR(VALUE(LEFT(E1373,FIND("º",E1373)-1)),""))))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IF(E1374="","",IF(LEFT(E1374,7)="SUBSOLO",-1,IF(LEFT(E1374,6)="TÉRREO",0,IFERROR(VALUE(LEFT(E1374,FIND("º",E1374)-1)),""))))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IF(E1375="","",IF(LEFT(E1375,7)="SUBSOLO",-1,IF(LEFT(E1375,6)="TÉRREO",0,IFERROR(VALUE(LEFT(E1375,FIND("º",E1375)-1)),""))))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IF(E1376="","",IF(LEFT(E1376,7)="SUBSOLO",-1,IF(LEFT(E1376,6)="TÉRREO",0,IFERROR(VALUE(LEFT(E1376,FIND("º",E1376)-1)),""))))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IF(E1377="","",IF(LEFT(E1377,7)="SUBSOLO",-1,IF(LEFT(E1377,6)="TÉRREO",0,IFERROR(VALUE(LEFT(E1377,FIND("º",E1377)-1)),""))))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IF(E1378="","",IF(LEFT(E1378,7)="SUBSOLO",-1,IF(LEFT(E1378,6)="TÉRREO",0,IFERROR(VALUE(LEFT(E1378,FIND("º",E1378)-1)),""))))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IF(E1379="","",IF(LEFT(E1379,7)="SUBSOLO",-1,IF(LEFT(E1379,6)="TÉRREO",0,IFERROR(VALUE(LEFT(E1379,FIND("º",E1379)-1)),""))))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IF(E1380="","",IF(LEFT(E1380,7)="SUBSOLO",-1,IF(LEFT(E1380,6)="TÉRREO",0,IFERROR(VALUE(LEFT(E1380,FIND("º",E1380)-1)),""))))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IF(E1381="","",IF(LEFT(E1381,7)="SUBSOLO",-1,IF(LEFT(E1381,6)="TÉRREO",0,IFERROR(VALUE(LEFT(E1381,FIND("º",E1381)-1)),""))))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IF(E1382="","",IF(LEFT(E1382,7)="SUBSOLO",-1,IF(LEFT(E1382,6)="TÉRREO",0,IFERROR(VALUE(LEFT(E1382,FIND("º",E1382)-1)),""))))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IF(E1383="","",IF(LEFT(E1383,7)="SUBSOLO",-1,IF(LEFT(E1383,6)="TÉRREO",0,IFERROR(VALUE(LEFT(E1383,FIND("º",E1383)-1)),""))))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IF(E1384="","",IF(LEFT(E1384,7)="SUBSOLO",-1,IF(LEFT(E1384,6)="TÉRREO",0,IFERROR(VALUE(LEFT(E1384,FIND("º",E1384)-1)),""))))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IF(E1385="","",IF(LEFT(E1385,7)="SUBSOLO",-1,IF(LEFT(E1385,6)="TÉRREO",0,IFERROR(VALUE(LEFT(E1385,FIND("º",E1385)-1)),""))))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IF(E1386="","",IF(LEFT(E1386,7)="SUBSOLO",-1,IF(LEFT(E1386,6)="TÉRREO",0,IFERROR(VALUE(LEFT(E1386,FIND("º",E1386)-1)),""))))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IF(E1387="","",IF(LEFT(E1387,7)="SUBSOLO",-1,IF(LEFT(E1387,6)="TÉRREO",0,IFERROR(VALUE(LEFT(E1387,FIND("º",E1387)-1)),""))))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IF(E1388="","",IF(LEFT(E1388,7)="SUBSOLO",-1,IF(LEFT(E1388,6)="TÉRREO",0,IFERROR(VALUE(LEFT(E1388,FIND("º",E1388)-1)),""))))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IF(E1389="","",IF(LEFT(E1389,7)="SUBSOLO",-1,IF(LEFT(E1389,6)="TÉRREO",0,IFERROR(VALUE(LEFT(E1389,FIND("º",E1389)-1)),""))))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IF(E1390="","",IF(LEFT(E1390,7)="SUBSOLO",-1,IF(LEFT(E1390,6)="TÉRREO",0,IFERROR(VALUE(LEFT(E1390,FIND("º",E1390)-1)),""))))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IF(E1391="","",IF(LEFT(E1391,7)="SUBSOLO",-1,IF(LEFT(E1391,6)="TÉRREO",0,IFERROR(VALUE(LEFT(E1391,FIND("º",E1391)-1)),""))))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IF(E1392="","",IF(LEFT(E1392,7)="SUBSOLO",-1,IF(LEFT(E1392,6)="TÉRREO",0,IFERROR(VALUE(LEFT(E1392,FIND("º",E1392)-1)),""))))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IF(E1393="","",IF(LEFT(E1393,7)="SUBSOLO",-1,IF(LEFT(E1393,6)="TÉRREO",0,IFERROR(VALUE(LEFT(E1393,FIND("º",E1393)-1)),""))))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IF(E1394="","",IF(LEFT(E1394,7)="SUBSOLO",-1,IF(LEFT(E1394,6)="TÉRREO",0,IFERROR(VALUE(LEFT(E1394,FIND("º",E1394)-1)),""))))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IF(E1395="","",IF(LEFT(E1395,7)="SUBSOLO",-1,IF(LEFT(E1395,6)="TÉRREO",0,IFERROR(VALUE(LEFT(E1395,FIND("º",E1395)-1)),""))))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IF(E1396="","",IF(LEFT(E1396,7)="SUBSOLO",-1,IF(LEFT(E1396,6)="TÉRREO",0,IFERROR(VALUE(LEFT(E1396,FIND("º",E1396)-1)),""))))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IF(E1397="","",IF(LEFT(E1397,7)="SUBSOLO",-1,IF(LEFT(E1397,6)="TÉRREO",0,IFERROR(VALUE(LEFT(E1397,FIND("º",E1397)-1)),""))))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IF(E1398="","",IF(LEFT(E1398,7)="SUBSOLO",-1,IF(LEFT(E1398,6)="TÉRREO",0,IFERROR(VALUE(LEFT(E1398,FIND("º",E1398)-1)),""))))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IF(E1399="","",IF(LEFT(E1399,7)="SUBSOLO",-1,IF(LEFT(E1399,6)="TÉRREO",0,IFERROR(VALUE(LEFT(E1399,FIND("º",E1399)-1)),""))))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IF(E1400="","",IF(LEFT(E1400,7)="SUBSOLO",-1,IF(LEFT(E1400,6)="TÉRREO",0,IFERROR(VALUE(LEFT(E1400,FIND("º",E1400)-1)),""))))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IF(E1401="","",IF(LEFT(E1401,7)="SUBSOLO",-1,IF(LEFT(E1401,6)="TÉRREO",0,IFERROR(VALUE(LEFT(E1401,FIND("º",E1401)-1)),""))))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IF(E1402="","",IF(LEFT(E1402,7)="SUBSOLO",-1,IF(LEFT(E1402,6)="TÉRREO",0,IFERROR(VALUE(LEFT(E1402,FIND("º",E1402)-1)),""))))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IF(E1403="","",IF(LEFT(E1403,7)="SUBSOLO",-1,IF(LEFT(E1403,6)="TÉRREO",0,IFERROR(VALUE(LEFT(E1403,FIND("º",E1403)-1)),""))))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IF(E1404="","",IF(LEFT(E1404,7)="SUBSOLO",-1,IF(LEFT(E1404,6)="TÉRREO",0,IFERROR(VALUE(LEFT(E1404,FIND("º",E1404)-1)),""))))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IF(E1405="","",IF(LEFT(E1405,7)="SUBSOLO",-1,IF(LEFT(E1405,6)="TÉRREO",0,IFERROR(VALUE(LEFT(E1405,FIND("º",E1405)-1)),""))))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IF(E1406="","",IF(LEFT(E1406,7)="SUBSOLO",-1,IF(LEFT(E1406,6)="TÉRREO",0,IFERROR(VALUE(LEFT(E1406,FIND("º",E1406)-1)),""))))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IF(E1407="","",IF(LEFT(E1407,7)="SUBSOLO",-1,IF(LEFT(E1407,6)="TÉRREO",0,IFERROR(VALUE(LEFT(E1407,FIND("º",E1407)-1)),""))))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IF(E1408="","",IF(LEFT(E1408,7)="SUBSOLO",-1,IF(LEFT(E1408,6)="TÉRREO",0,IFERROR(VALUE(LEFT(E1408,FIND("º",E1408)-1)),""))))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IF(E1409="","",IF(LEFT(E1409,7)="SUBSOLO",-1,IF(LEFT(E1409,6)="TÉRREO",0,IFERROR(VALUE(LEFT(E1409,FIND("º",E1409)-1)),""))))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IF(E1410="","",IF(LEFT(E1410,7)="SUBSOLO",-1,IF(LEFT(E1410,6)="TÉRREO",0,IFERROR(VALUE(LEFT(E1410,FIND("º",E1410)-1)),""))))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IF(E1411="","",IF(LEFT(E1411,7)="SUBSOLO",-1,IF(LEFT(E1411,6)="TÉRREO",0,IFERROR(VALUE(LEFT(E1411,FIND("º",E1411)-1)),""))))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IF(E1412="","",IF(LEFT(E1412,7)="SUBSOLO",-1,IF(LEFT(E1412,6)="TÉRREO",0,IFERROR(VALUE(LEFT(E1412,FIND("º",E1412)-1)),""))))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IF(E1413="","",IF(LEFT(E1413,7)="SUBSOLO",-1,IF(LEFT(E1413,6)="TÉRREO",0,IFERROR(VALUE(LEFT(E1413,FIND("º",E1413)-1)),""))))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IF(E1414="","",IF(LEFT(E1414,7)="SUBSOLO",-1,IF(LEFT(E1414,6)="TÉRREO",0,IFERROR(VALUE(LEFT(E1414,FIND("º",E1414)-1)),""))))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IF(E1415="","",IF(LEFT(E1415,7)="SUBSOLO",-1,IF(LEFT(E1415,6)="TÉRREO",0,IFERROR(VALUE(LEFT(E1415,FIND("º",E1415)-1)),""))))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IF(E1416="","",IF(LEFT(E1416,7)="SUBSOLO",-1,IF(LEFT(E1416,6)="TÉRREO",0,IFERROR(VALUE(LEFT(E1416,FIND("º",E1416)-1)),""))))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IF(E1417="","",IF(LEFT(E1417,7)="SUBSOLO",-1,IF(LEFT(E1417,6)="TÉRREO",0,IFERROR(VALUE(LEFT(E1417,FIND("º",E1417)-1)),""))))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IF(E1418="","",IF(LEFT(E1418,7)="SUBSOLO",-1,IF(LEFT(E1418,6)="TÉRREO",0,IFERROR(VALUE(LEFT(E1418,FIND("º",E1418)-1)),""))))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IF(E1419="","",IF(LEFT(E1419,7)="SUBSOLO",-1,IF(LEFT(E1419,6)="TÉRREO",0,IFERROR(VALUE(LEFT(E1419,FIND("º",E1419)-1)),""))))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IF(E1420="","",IF(LEFT(E1420,7)="SUBSOLO",-1,IF(LEFT(E1420,6)="TÉRREO",0,IFERROR(VALUE(LEFT(E1420,FIND("º",E1420)-1)),""))))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IF(E1421="","",IF(LEFT(E1421,7)="SUBSOLO",-1,IF(LEFT(E1421,6)="TÉRREO",0,IFERROR(VALUE(LEFT(E1421,FIND("º",E1421)-1)),""))))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IF(E1422="","",IF(LEFT(E1422,7)="SUBSOLO",-1,IF(LEFT(E1422,6)="TÉRREO",0,IFERROR(VALUE(LEFT(E1422,FIND("º",E1422)-1)),""))))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IF(E1423="","",IF(LEFT(E1423,7)="SUBSOLO",-1,IF(LEFT(E1423,6)="TÉRREO",0,IFERROR(VALUE(LEFT(E1423,FIND("º",E1423)-1)),""))))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IF(E1424="","",IF(LEFT(E1424,7)="SUBSOLO",-1,IF(LEFT(E1424,6)="TÉRREO",0,IFERROR(VALUE(LEFT(E1424,FIND("º",E1424)-1)),""))))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IF(E1425="","",IF(LEFT(E1425,7)="SUBSOLO",-1,IF(LEFT(E1425,6)="TÉRREO",0,IFERROR(VALUE(LEFT(E1425,FIND("º",E1425)-1)),""))))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IF(E1426="","",IF(LEFT(E1426,7)="SUBSOLO",-1,IF(LEFT(E1426,6)="TÉRREO",0,IFERROR(VALUE(LEFT(E1426,FIND("º",E1426)-1)),""))))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IF(E1427="","",IF(LEFT(E1427,7)="SUBSOLO",-1,IF(LEFT(E1427,6)="TÉRREO",0,IFERROR(VALUE(LEFT(E1427,FIND("º",E1427)-1)),""))))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IF(E1428="","",IF(LEFT(E1428,7)="SUBSOLO",-1,IF(LEFT(E1428,6)="TÉRREO",0,IFERROR(VALUE(LEFT(E1428,FIND("º",E1428)-1)),""))))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IF(E1429="","",IF(LEFT(E1429,7)="SUBSOLO",-1,IF(LEFT(E1429,6)="TÉRREO",0,IFERROR(VALUE(LEFT(E1429,FIND("º",E1429)-1)),""))))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IF(E1430="","",IF(LEFT(E1430,7)="SUBSOLO",-1,IF(LEFT(E1430,6)="TÉRREO",0,IFERROR(VALUE(LEFT(E1430,FIND("º",E1430)-1)),""))))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IF(E1431="","",IF(LEFT(E1431,7)="SUBSOLO",-1,IF(LEFT(E1431,6)="TÉRREO",0,IFERROR(VALUE(LEFT(E1431,FIND("º",E1431)-1)),""))))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IF(E1432="","",IF(LEFT(E1432,7)="SUBSOLO",-1,IF(LEFT(E1432,6)="TÉRREO",0,IFERROR(VALUE(LEFT(E1432,FIND("º",E1432)-1)),""))))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IF(E1433="","",IF(LEFT(E1433,7)="SUBSOLO",-1,IF(LEFT(E1433,6)="TÉRREO",0,IFERROR(VALUE(LEFT(E1433,FIND("º",E1433)-1)),""))))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IF(E1434="","",IF(LEFT(E1434,7)="SUBSOLO",-1,IF(LEFT(E1434,6)="TÉRREO",0,IFERROR(VALUE(LEFT(E1434,FIND("º",E1434)-1)),""))))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IF(E1435="","",IF(LEFT(E1435,7)="SUBSOLO",-1,IF(LEFT(E1435,6)="TÉRREO",0,IFERROR(VALUE(LEFT(E1435,FIND("º",E1435)-1)),""))))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IF(E1436="","",IF(LEFT(E1436,7)="SUBSOLO",-1,IF(LEFT(E1436,6)="TÉRREO",0,IFERROR(VALUE(LEFT(E1436,FIND("º",E1436)-1)),""))))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IF(E1437="","",IF(LEFT(E1437,7)="SUBSOLO",-1,IF(LEFT(E1437,6)="TÉRREO",0,IFERROR(VALUE(LEFT(E1437,FIND("º",E1437)-1)),""))))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IF(E1438="","",IF(LEFT(E1438,7)="SUBSOLO",-1,IF(LEFT(E1438,6)="TÉRREO",0,IFERROR(VALUE(LEFT(E1438,FIND("º",E1438)-1)),""))))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IF(E1439="","",IF(LEFT(E1439,7)="SUBSOLO",-1,IF(LEFT(E1439,6)="TÉRREO",0,IFERROR(VALUE(LEFT(E1439,FIND("º",E1439)-1)),""))))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IF(E1440="","",IF(LEFT(E1440,7)="SUBSOLO",-1,IF(LEFT(E1440,6)="TÉRREO",0,IFERROR(VALUE(LEFT(E1440,FIND("º",E1440)-1)),""))))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IF(E1441="","",IF(LEFT(E1441,7)="SUBSOLO",-1,IF(LEFT(E1441,6)="TÉRREO",0,IFERROR(VALUE(LEFT(E1441,FIND("º",E1441)-1)),""))))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IF(E1442="","",IF(LEFT(E1442,7)="SUBSOLO",-1,IF(LEFT(E1442,6)="TÉRREO",0,IFERROR(VALUE(LEFT(E1442,FIND("º",E1442)-1)),""))))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IF(E1443="","",IF(LEFT(E1443,7)="SUBSOLO",-1,IF(LEFT(E1443,6)="TÉRREO",0,IFERROR(VALUE(LEFT(E1443,FIND("º",E1443)-1)),""))))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IF(E1444="","",IF(LEFT(E1444,7)="SUBSOLO",-1,IF(LEFT(E1444,6)="TÉRREO",0,IFERROR(VALUE(LEFT(E1444,FIND("º",E1444)-1)),""))))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IF(E1445="","",IF(LEFT(E1445,7)="SUBSOLO",-1,IF(LEFT(E1445,6)="TÉRREO",0,IFERROR(VALUE(LEFT(E1445,FIND("º",E1445)-1)),""))))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IF(E1446="","",IF(LEFT(E1446,7)="SUBSOLO",-1,IF(LEFT(E1446,6)="TÉRREO",0,IFERROR(VALUE(LEFT(E1446,FIND("º",E1446)-1)),""))))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IF(E1447="","",IF(LEFT(E1447,7)="SUBSOLO",-1,IF(LEFT(E1447,6)="TÉRREO",0,IFERROR(VALUE(LEFT(E1447,FIND("º",E1447)-1)),""))))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IF(E1448="","",IF(LEFT(E1448,7)="SUBSOLO",-1,IF(LEFT(E1448,6)="TÉRREO",0,IFERROR(VALUE(LEFT(E1448,FIND("º",E1448)-1)),""))))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IF(E1449="","",IF(LEFT(E1449,7)="SUBSOLO",-1,IF(LEFT(E1449,6)="TÉRREO",0,IFERROR(VALUE(LEFT(E1449,FIND("º",E1449)-1)),""))))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IF(E1450="","",IF(LEFT(E1450,7)="SUBSOLO",-1,IF(LEFT(E1450,6)="TÉRREO",0,IFERROR(VALUE(LEFT(E1450,FIND("º",E1450)-1)),""))))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IF(E1451="","",IF(LEFT(E1451,7)="SUBSOLO",-1,IF(LEFT(E1451,6)="TÉRREO",0,IFERROR(VALUE(LEFT(E1451,FIND("º",E1451)-1)),""))))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IF(E1452="","",IF(LEFT(E1452,7)="SUBSOLO",-1,IF(LEFT(E1452,6)="TÉRREO",0,IFERROR(VALUE(LEFT(E1452,FIND("º",E1452)-1)),""))))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IF(E1453="","",IF(LEFT(E1453,7)="SUBSOLO",-1,IF(LEFT(E1453,6)="TÉRREO",0,IFERROR(VALUE(LEFT(E1453,FIND("º",E1453)-1)),""))))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IF(E1454="","",IF(LEFT(E1454,7)="SUBSOLO",-1,IF(LEFT(E1454,6)="TÉRREO",0,IFERROR(VALUE(LEFT(E1454,FIND("º",E1454)-1)),""))))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IF(E1455="","",IF(LEFT(E1455,7)="SUBSOLO",-1,IF(LEFT(E1455,6)="TÉRREO",0,IFERROR(VALUE(LEFT(E1455,FIND("º",E1455)-1)),""))))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IF(E1456="","",IF(LEFT(E1456,7)="SUBSOLO",-1,IF(LEFT(E1456,6)="TÉRREO",0,IFERROR(VALUE(LEFT(E1456,FIND("º",E1456)-1)),""))))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IF(E1457="","",IF(LEFT(E1457,7)="SUBSOLO",-1,IF(LEFT(E1457,6)="TÉRREO",0,IFERROR(VALUE(LEFT(E1457,FIND("º",E1457)-1)),""))))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IF(E1458="","",IF(LEFT(E1458,7)="SUBSOLO",-1,IF(LEFT(E1458,6)="TÉRREO",0,IFERROR(VALUE(LEFT(E1458,FIND("º",E1458)-1)),""))))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IF(E1459="","",IF(LEFT(E1459,7)="SUBSOLO",-1,IF(LEFT(E1459,6)="TÉRREO",0,IFERROR(VALUE(LEFT(E1459,FIND("º",E1459)-1)),""))))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IF(E1460="","",IF(LEFT(E1460,7)="SUBSOLO",-1,IF(LEFT(E1460,6)="TÉRREO",0,IFERROR(VALUE(LEFT(E1460,FIND("º",E1460)-1)),""))))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IF(E1461="","",IF(LEFT(E1461,7)="SUBSOLO",-1,IF(LEFT(E1461,6)="TÉRREO",0,IFERROR(VALUE(LEFT(E1461,FIND("º",E1461)-1)),""))))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IF(E1462="","",IF(LEFT(E1462,7)="SUBSOLO",-1,IF(LEFT(E1462,6)="TÉRREO",0,IFERROR(VALUE(LEFT(E1462,FIND("º",E1462)-1)),""))))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IF(E1463="","",IF(LEFT(E1463,7)="SUBSOLO",-1,IF(LEFT(E1463,6)="TÉRREO",0,IFERROR(VALUE(LEFT(E1463,FIND("º",E1463)-1)),""))))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IF(E1464="","",IF(LEFT(E1464,7)="SUBSOLO",-1,IF(LEFT(E1464,6)="TÉRREO",0,IFERROR(VALUE(LEFT(E1464,FIND("º",E1464)-1)),""))))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IF(E1465="","",IF(LEFT(E1465,7)="SUBSOLO",-1,IF(LEFT(E1465,6)="TÉRREO",0,IFERROR(VALUE(LEFT(E1465,FIND("º",E1465)-1)),""))))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IF(E1466="","",IF(LEFT(E1466,7)="SUBSOLO",-1,IF(LEFT(E1466,6)="TÉRREO",0,IFERROR(VALUE(LEFT(E1466,FIND("º",E1466)-1)),""))))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IF(E1467="","",IF(LEFT(E1467,7)="SUBSOLO",-1,IF(LEFT(E1467,6)="TÉRREO",0,IFERROR(VALUE(LEFT(E1467,FIND("º",E1467)-1)),""))))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IF(E1468="","",IF(LEFT(E1468,7)="SUBSOLO",-1,IF(LEFT(E1468,6)="TÉRREO",0,IFERROR(VALUE(LEFT(E1468,FIND("º",E1468)-1)),""))))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IF(E1469="","",IF(LEFT(E1469,7)="SUBSOLO",-1,IF(LEFT(E1469,6)="TÉRREO",0,IFERROR(VALUE(LEFT(E1469,FIND("º",E1469)-1)),""))))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IF(E1470="","",IF(LEFT(E1470,7)="SUBSOLO",-1,IF(LEFT(E1470,6)="TÉRREO",0,IFERROR(VALUE(LEFT(E1470,FIND("º",E1470)-1)),""))))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IF(E1471="","",IF(LEFT(E1471,7)="SUBSOLO",-1,IF(LEFT(E1471,6)="TÉRREO",0,IFERROR(VALUE(LEFT(E1471,FIND("º",E1471)-1)),""))))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IF(E1472="","",IF(LEFT(E1472,7)="SUBSOLO",-1,IF(LEFT(E1472,6)="TÉRREO",0,IFERROR(VALUE(LEFT(E1472,FIND("º",E1472)-1)),""))))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IF(E1473="","",IF(LEFT(E1473,7)="SUBSOLO",-1,IF(LEFT(E1473,6)="TÉRREO",0,IFERROR(VALUE(LEFT(E1473,FIND("º",E1473)-1)),""))))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IF(E1474="","",IF(LEFT(E1474,7)="SUBSOLO",-1,IF(LEFT(E1474,6)="TÉRREO",0,IFERROR(VALUE(LEFT(E1474,FIND("º",E1474)-1)),""))))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IF(E1475="","",IF(LEFT(E1475,7)="SUBSOLO",-1,IF(LEFT(E1475,6)="TÉRREO",0,IFERROR(VALUE(LEFT(E1475,FIND("º",E1475)-1)),""))))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IF(E1476="","",IF(LEFT(E1476,7)="SUBSOLO",-1,IF(LEFT(E1476,6)="TÉRREO",0,IFERROR(VALUE(LEFT(E1476,FIND("º",E1476)-1)),""))))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IF(E1477="","",IF(LEFT(E1477,7)="SUBSOLO",-1,IF(LEFT(E1477,6)="TÉRREO",0,IFERROR(VALUE(LEFT(E1477,FIND("º",E1477)-1)),""))))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IF(E1478="","",IF(LEFT(E1478,7)="SUBSOLO",-1,IF(LEFT(E1478,6)="TÉRREO",0,IFERROR(VALUE(LEFT(E1478,FIND("º",E1478)-1)),""))))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IF(E1479="","",IF(LEFT(E1479,7)="SUBSOLO",-1,IF(LEFT(E1479,6)="TÉRREO",0,IFERROR(VALUE(LEFT(E1479,FIND("º",E1479)-1)),""))))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IF(E1480="","",IF(LEFT(E1480,7)="SUBSOLO",-1,IF(LEFT(E1480,6)="TÉRREO",0,IFERROR(VALUE(LEFT(E1480,FIND("º",E1480)-1)),""))))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IF(E1481="","",IF(LEFT(E1481,7)="SUBSOLO",-1,IF(LEFT(E1481,6)="TÉRREO",0,IFERROR(VALUE(LEFT(E1481,FIND("º",E1481)-1)),""))))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IF(E1482="","",IF(LEFT(E1482,7)="SUBSOLO",-1,IF(LEFT(E1482,6)="TÉRREO",0,IFERROR(VALUE(LEFT(E1482,FIND("º",E1482)-1)),""))))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IF(E1483="","",IF(LEFT(E1483,7)="SUBSOLO",-1,IF(LEFT(E1483,6)="TÉRREO",0,IFERROR(VALUE(LEFT(E1483,FIND("º",E1483)-1)),""))))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IF(E1484="","",IF(LEFT(E1484,7)="SUBSOLO",-1,IF(LEFT(E1484,6)="TÉRREO",0,IFERROR(VALUE(LEFT(E1484,FIND("º",E1484)-1)),""))))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IF(E1485="","",IF(LEFT(E1485,7)="SUBSOLO",-1,IF(LEFT(E1485,6)="TÉRREO",0,IFERROR(VALUE(LEFT(E1485,FIND("º",E1485)-1)),""))))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IF(E1486="","",IF(LEFT(E1486,7)="SUBSOLO",-1,IF(LEFT(E1486,6)="TÉRREO",0,IFERROR(VALUE(LEFT(E1486,FIND("º",E1486)-1)),""))))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IF(E1487="","",IF(LEFT(E1487,7)="SUBSOLO",-1,IF(LEFT(E1487,6)="TÉRREO",0,IFERROR(VALUE(LEFT(E1487,FIND("º",E1487)-1)),""))))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IF(E1488="","",IF(LEFT(E1488,7)="SUBSOLO",-1,IF(LEFT(E1488,6)="TÉRREO",0,IFERROR(VALUE(LEFT(E1488,FIND("º",E1488)-1)),""))))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IF(E1489="","",IF(LEFT(E1489,7)="SUBSOLO",-1,IF(LEFT(E1489,6)="TÉRREO",0,IFERROR(VALUE(LEFT(E1489,FIND("º",E1489)-1)),""))))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IF(E1490="","",IF(LEFT(E1490,7)="SUBSOLO",-1,IF(LEFT(E1490,6)="TÉRREO",0,IFERROR(VALUE(LEFT(E1490,FIND("º",E1490)-1)),""))))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IF(E1491="","",IF(LEFT(E1491,7)="SUBSOLO",-1,IF(LEFT(E1491,6)="TÉRREO",0,IFERROR(VALUE(LEFT(E1491,FIND("º",E1491)-1)),""))))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IF(E1492="","",IF(LEFT(E1492,7)="SUBSOLO",-1,IF(LEFT(E1492,6)="TÉRREO",0,IFERROR(VALUE(LEFT(E1492,FIND("º",E1492)-1)),""))))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IF(E1493="","",IF(LEFT(E1493,7)="SUBSOLO",-1,IF(LEFT(E1493,6)="TÉRREO",0,IFERROR(VALUE(LEFT(E1493,FIND("º",E1493)-1)),""))))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IF(E1494="","",IF(LEFT(E1494,7)="SUBSOLO",-1,IF(LEFT(E1494,6)="TÉRREO",0,IFERROR(VALUE(LEFT(E1494,FIND("º",E1494)-1)),""))))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IF(E1495="","",IF(LEFT(E1495,7)="SUBSOLO",-1,IF(LEFT(E1495,6)="TÉRREO",0,IFERROR(VALUE(LEFT(E1495,FIND("º",E1495)-1)),""))))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IF(E1496="","",IF(LEFT(E1496,7)="SUBSOLO",-1,IF(LEFT(E1496,6)="TÉRREO",0,IFERROR(VALUE(LEFT(E1496,FIND("º",E1496)-1)),""))))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IF(E1497="","",IF(LEFT(E1497,7)="SUBSOLO",-1,IF(LEFT(E1497,6)="TÉRREO",0,IFERROR(VALUE(LEFT(E1497,FIND("º",E1497)-1)),""))))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IF(E1498="","",IF(LEFT(E1498,7)="SUBSOLO",-1,IF(LEFT(E1498,6)="TÉRREO",0,IFERROR(VALUE(LEFT(E1498,FIND("º",E1498)-1)),""))))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IF(E1499="","",IF(LEFT(E1499,7)="SUBSOLO",-1,IF(LEFT(E1499,6)="TÉRREO",0,IFERROR(VALUE(LEFT(E1499,FIND("º",E1499)-1)),""))))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IF(E1500="","",IF(LEFT(E1500,7)="SUBSOLO",-1,IF(LEFT(E1500,6)="TÉRREO",0,IFERROR(VALUE(LEFT(E1500,FIND("º",E1500)-1)),""))))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IF(E1501="","",IF(LEFT(E1501,7)="SUBSOLO",-1,IF(LEFT(E1501,6)="TÉRREO",0,IFERROR(VALUE(LEFT(E1501,FIND("º",E1501)-1)),""))))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IF(E1502="","",IF(LEFT(E1502,7)="SUBSOLO",-1,IF(LEFT(E1502,6)="TÉRREO",0,IFERROR(VALUE(LEFT(E1502,FIND("º",E1502)-1)),""))))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IF(E1503="","",IF(LEFT(E1503,7)="SUBSOLO",-1,IF(LEFT(E1503,6)="TÉRREO",0,IFERROR(VALUE(LEFT(E1503,FIND("º",E1503)-1)),""))))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IF(E1504="","",IF(LEFT(E1504,7)="SUBSOLO",-1,IF(LEFT(E1504,6)="TÉRREO",0,IFERROR(VALUE(LEFT(E1504,FIND("º",E1504)-1)),""))))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IF(E1505="","",IF(LEFT(E1505,7)="SUBSOLO",-1,IF(LEFT(E1505,6)="TÉRREO",0,IFERROR(VALUE(LEFT(E1505,FIND("º",E1505)-1)),""))))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IF(E1506="","",IF(LEFT(E1506,7)="SUBSOLO",-1,IF(LEFT(E1506,6)="TÉRREO",0,IFERROR(VALUE(LEFT(E1506,FIND("º",E1506)-1)),""))))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IF(E1507="","",IF(LEFT(E1507,7)="SUBSOLO",-1,IF(LEFT(E1507,6)="TÉRREO",0,IFERROR(VALUE(LEFT(E1507,FIND("º",E1507)-1)),""))))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IF(E1508="","",IF(LEFT(E1508,7)="SUBSOLO",-1,IF(LEFT(E1508,6)="TÉRREO",0,IFERROR(VALUE(LEFT(E1508,FIND("º",E1508)-1)),""))))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IF(E1509="","",IF(LEFT(E1509,7)="SUBSOLO",-1,IF(LEFT(E1509,6)="TÉRREO",0,IFERROR(VALUE(LEFT(E1509,FIND("º",E1509)-1)),""))))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IF(E1510="","",IF(LEFT(E1510,7)="SUBSOLO",-1,IF(LEFT(E1510,6)="TÉRREO",0,IFERROR(VALUE(LEFT(E1510,FIND("º",E1510)-1)),""))))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IF(E1511="","",IF(LEFT(E1511,7)="SUBSOLO",-1,IF(LEFT(E1511,6)="TÉRREO",0,IFERROR(VALUE(LEFT(E1511,FIND("º",E1511)-1)),""))))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IF(E1512="","",IF(LEFT(E1512,7)="SUBSOLO",-1,IF(LEFT(E1512,6)="TÉRREO",0,IFERROR(VALUE(LEFT(E1512,FIND("º",E1512)-1)),""))))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IF(E1513="","",IF(LEFT(E1513,7)="SUBSOLO",-1,IF(LEFT(E1513,6)="TÉRREO",0,IFERROR(VALUE(LEFT(E1513,FIND("º",E1513)-1)),""))))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IF(E1514="","",IF(LEFT(E1514,7)="SUBSOLO",-1,IF(LEFT(E1514,6)="TÉRREO",0,IFERROR(VALUE(LEFT(E1514,FIND("º",E1514)-1)),""))))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IF(E1515="","",IF(LEFT(E1515,7)="SUBSOLO",-1,IF(LEFT(E1515,6)="TÉRREO",0,IFERROR(VALUE(LEFT(E1515,FIND("º",E1515)-1)),""))))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IF(E1516="","",IF(LEFT(E1516,7)="SUBSOLO",-1,IF(LEFT(E1516,6)="TÉRREO",0,IFERROR(VALUE(LEFT(E1516,FIND("º",E1516)-1)),""))))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IF(E1517="","",IF(LEFT(E1517,7)="SUBSOLO",-1,IF(LEFT(E1517,6)="TÉRREO",0,IFERROR(VALUE(LEFT(E1517,FIND("º",E1517)-1)),""))))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IF(E1518="","",IF(LEFT(E1518,7)="SUBSOLO",-1,IF(LEFT(E1518,6)="TÉRREO",0,IFERROR(VALUE(LEFT(E1518,FIND("º",E1518)-1)),""))))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IF(E1519="","",IF(LEFT(E1519,7)="SUBSOLO",-1,IF(LEFT(E1519,6)="TÉRREO",0,IFERROR(VALUE(LEFT(E1519,FIND("º",E1519)-1)),""))))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IF(E1520="","",IF(LEFT(E1520,7)="SUBSOLO",-1,IF(LEFT(E1520,6)="TÉRREO",0,IFERROR(VALUE(LEFT(E1520,FIND("º",E1520)-1)),""))))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IF(E1521="","",IF(LEFT(E1521,7)="SUBSOLO",-1,IF(LEFT(E1521,6)="TÉRREO",0,IFERROR(VALUE(LEFT(E1521,FIND("º",E1521)-1)),""))))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IF(E1522="","",IF(LEFT(E1522,7)="SUBSOLO",-1,IF(LEFT(E1522,6)="TÉRREO",0,IFERROR(VALUE(LEFT(E1522,FIND("º",E1522)-1)),""))))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IF(E1523="","",IF(LEFT(E1523,7)="SUBSOLO",-1,IF(LEFT(E1523,6)="TÉRREO",0,IFERROR(VALUE(LEFT(E1523,FIND("º",E1523)-1)),""))))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IF(E1524="","",IF(LEFT(E1524,7)="SUBSOLO",-1,IF(LEFT(E1524,6)="TÉRREO",0,IFERROR(VALUE(LEFT(E1524,FIND("º",E1524)-1)),""))))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IF(E1525="","",IF(LEFT(E1525,7)="SUBSOLO",-1,IF(LEFT(E1525,6)="TÉRREO",0,IFERROR(VALUE(LEFT(E1525,FIND("º",E1525)-1)),""))))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IF(E1526="","",IF(LEFT(E1526,7)="SUBSOLO",-1,IF(LEFT(E1526,6)="TÉRREO",0,IFERROR(VALUE(LEFT(E1526,FIND("º",E1526)-1)),""))))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IF(E1527="","",IF(LEFT(E1527,7)="SUBSOLO",-1,IF(LEFT(E1527,6)="TÉRREO",0,IFERROR(VALUE(LEFT(E1527,FIND("º",E1527)-1)),""))))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IF(E1528="","",IF(LEFT(E1528,7)="SUBSOLO",-1,IF(LEFT(E1528,6)="TÉRREO",0,IFERROR(VALUE(LEFT(E1528,FIND("º",E1528)-1)),""))))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IF(E1529="","",IF(LEFT(E1529,7)="SUBSOLO",-1,IF(LEFT(E1529,6)="TÉRREO",0,IFERROR(VALUE(LEFT(E1529,FIND("º",E1529)-1)),""))))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IF(E1530="","",IF(LEFT(E1530,7)="SUBSOLO",-1,IF(LEFT(E1530,6)="TÉRREO",0,IFERROR(VALUE(LEFT(E1530,FIND("º",E1530)-1)),""))))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IF(E1531="","",IF(LEFT(E1531,7)="SUBSOLO",-1,IF(LEFT(E1531,6)="TÉRREO",0,IFERROR(VALUE(LEFT(E1531,FIND("º",E1531)-1)),""))))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IF(E1532="","",IF(LEFT(E1532,7)="SUBSOLO",-1,IF(LEFT(E1532,6)="TÉRREO",0,IFERROR(VALUE(LEFT(E1532,FIND("º",E1532)-1)),""))))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IF(E1533="","",IF(LEFT(E1533,7)="SUBSOLO",-1,IF(LEFT(E1533,6)="TÉRREO",0,IFERROR(VALUE(LEFT(E1533,FIND("º",E1533)-1)),""))))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IF(E1534="","",IF(LEFT(E1534,7)="SUBSOLO",-1,IF(LEFT(E1534,6)="TÉRREO",0,IFERROR(VALUE(LEFT(E1534,FIND("º",E1534)-1)),""))))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IF(E1535="","",IF(LEFT(E1535,7)="SUBSOLO",-1,IF(LEFT(E1535,6)="TÉRREO",0,IFERROR(VALUE(LEFT(E1535,FIND("º",E1535)-1)),""))))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IF(E1536="","",IF(LEFT(E1536,7)="SUBSOLO",-1,IF(LEFT(E1536,6)="TÉRREO",0,IFERROR(VALUE(LEFT(E1536,FIND("º",E1536)-1)),""))))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IF(E1537="","",IF(LEFT(E1537,7)="SUBSOLO",-1,IF(LEFT(E1537,6)="TÉRREO",0,IFERROR(VALUE(LEFT(E1537,FIND("º",E1537)-1)),""))))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IF(E1538="","",IF(LEFT(E1538,7)="SUBSOLO",-1,IF(LEFT(E1538,6)="TÉRREO",0,IFERROR(VALUE(LEFT(E1538,FIND("º",E1538)-1)),""))))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IF(E1539="","",IF(LEFT(E1539,7)="SUBSOLO",-1,IF(LEFT(E1539,6)="TÉRREO",0,IFERROR(VALUE(LEFT(E1539,FIND("º",E1539)-1)),""))))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IF(E1540="","",IF(LEFT(E1540,7)="SUBSOLO",-1,IF(LEFT(E1540,6)="TÉRREO",0,IFERROR(VALUE(LEFT(E1540,FIND("º",E1540)-1)),""))))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IF(E1541="","",IF(LEFT(E1541,7)="SUBSOLO",-1,IF(LEFT(E1541,6)="TÉRREO",0,IFERROR(VALUE(LEFT(E1541,FIND("º",E1541)-1)),""))))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IF(E1542="","",IF(LEFT(E1542,7)="SUBSOLO",-1,IF(LEFT(E1542,6)="TÉRREO",0,IFERROR(VALUE(LEFT(E1542,FIND("º",E1542)-1)),""))))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IF(E1543="","",IF(LEFT(E1543,7)="SUBSOLO",-1,IF(LEFT(E1543,6)="TÉRREO",0,IFERROR(VALUE(LEFT(E1543,FIND("º",E1543)-1)),""))))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IF(E1544="","",IF(LEFT(E1544,7)="SUBSOLO",-1,IF(LEFT(E1544,6)="TÉRREO",0,IFERROR(VALUE(LEFT(E1544,FIND("º",E1544)-1)),""))))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IF(E1545="","",IF(LEFT(E1545,7)="SUBSOLO",-1,IF(LEFT(E1545,6)="TÉRREO",0,IFERROR(VALUE(LEFT(E1545,FIND("º",E1545)-1)),""))))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IF(E1546="","",IF(LEFT(E1546,7)="SUBSOLO",-1,IF(LEFT(E1546,6)="TÉRREO",0,IFERROR(VALUE(LEFT(E1546,FIND("º",E1546)-1)),""))))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IF(E1547="","",IF(LEFT(E1547,7)="SUBSOLO",-1,IF(LEFT(E1547,6)="TÉRREO",0,IFERROR(VALUE(LEFT(E1547,FIND("º",E1547)-1)),""))))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IF(E1548="","",IF(LEFT(E1548,7)="SUBSOLO",-1,IF(LEFT(E1548,6)="TÉRREO",0,IFERROR(VALUE(LEFT(E1548,FIND("º",E1548)-1)),""))))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IF(E1549="","",IF(LEFT(E1549,7)="SUBSOLO",-1,IF(LEFT(E1549,6)="TÉRREO",0,IFERROR(VALUE(LEFT(E1549,FIND("º",E1549)-1)),""))))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IF(E1550="","",IF(LEFT(E1550,7)="SUBSOLO",-1,IF(LEFT(E1550,6)="TÉRREO",0,IFERROR(VALUE(LEFT(E1550,FIND("º",E1550)-1)),""))))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IF(E1551="","",IF(LEFT(E1551,7)="SUBSOLO",-1,IF(LEFT(E1551,6)="TÉRREO",0,IFERROR(VALUE(LEFT(E1551,FIND("º",E1551)-1)),""))))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IF(E1552="","",IF(LEFT(E1552,7)="SUBSOLO",-1,IF(LEFT(E1552,6)="TÉRREO",0,IFERROR(VALUE(LEFT(E1552,FIND("º",E1552)-1)),""))))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IF(E1553="","",IF(LEFT(E1553,7)="SUBSOLO",-1,IF(LEFT(E1553,6)="TÉRREO",0,IFERROR(VALUE(LEFT(E1553,FIND("º",E1553)-1)),""))))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IF(E1554="","",IF(LEFT(E1554,7)="SUBSOLO",-1,IF(LEFT(E1554,6)="TÉRREO",0,IFERROR(VALUE(LEFT(E1554,FIND("º",E1554)-1)),""))))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IF(E1555="","",IF(LEFT(E1555,7)="SUBSOLO",-1,IF(LEFT(E1555,6)="TÉRREO",0,IFERROR(VALUE(LEFT(E1555,FIND("º",E1555)-1)),""))))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IF(E1556="","",IF(LEFT(E1556,7)="SUBSOLO",-1,IF(LEFT(E1556,6)="TÉRREO",0,IFERROR(VALUE(LEFT(E1556,FIND("º",E1556)-1)),""))))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IF(E1557="","",IF(LEFT(E1557,7)="SUBSOLO",-1,IF(LEFT(E1557,6)="TÉRREO",0,IFERROR(VALUE(LEFT(E1557,FIND("º",E1557)-1)),""))))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IF(E1558="","",IF(LEFT(E1558,7)="SUBSOLO",-1,IF(LEFT(E1558,6)="TÉRREO",0,IFERROR(VALUE(LEFT(E1558,FIND("º",E1558)-1)),""))))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IF(E1559="","",IF(LEFT(E1559,7)="SUBSOLO",-1,IF(LEFT(E1559,6)="TÉRREO",0,IFERROR(VALUE(LEFT(E1559,FIND("º",E1559)-1)),""))))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IF(E1560="","",IF(LEFT(E1560,7)="SUBSOLO",-1,IF(LEFT(E1560,6)="TÉRREO",0,IFERROR(VALUE(LEFT(E1560,FIND("º",E1560)-1)),""))))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IF(E1561="","",IF(LEFT(E1561,7)="SUBSOLO",-1,IF(LEFT(E1561,6)="TÉRREO",0,IFERROR(VALUE(LEFT(E1561,FIND("º",E1561)-1)),""))))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IF(E1562="","",IF(LEFT(E1562,7)="SUBSOLO",-1,IF(LEFT(E1562,6)="TÉRREO",0,IFERROR(VALUE(LEFT(E1562,FIND("º",E1562)-1)),""))))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IF(E1563="","",IF(LEFT(E1563,7)="SUBSOLO",-1,IF(LEFT(E1563,6)="TÉRREO",0,IFERROR(VALUE(LEFT(E1563,FIND("º",E1563)-1)),""))))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IF(E1564="","",IF(LEFT(E1564,7)="SUBSOLO",-1,IF(LEFT(E1564,6)="TÉRREO",0,IFERROR(VALUE(LEFT(E1564,FIND("º",E1564)-1)),""))))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IF(E1565="","",IF(LEFT(E1565,7)="SUBSOLO",-1,IF(LEFT(E1565,6)="TÉRREO",0,IFERROR(VALUE(LEFT(E1565,FIND("º",E1565)-1)),""))))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IF(E1566="","",IF(LEFT(E1566,7)="SUBSOLO",-1,IF(LEFT(E1566,6)="TÉRREO",0,IFERROR(VALUE(LEFT(E1566,FIND("º",E1566)-1)),""))))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IF(E1567="","",IF(LEFT(E1567,7)="SUBSOLO",-1,IF(LEFT(E1567,6)="TÉRREO",0,IFERROR(VALUE(LEFT(E1567,FIND("º",E1567)-1)),""))))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IF(E1568="","",IF(LEFT(E1568,7)="SUBSOLO",-1,IF(LEFT(E1568,6)="TÉRREO",0,IFERROR(VALUE(LEFT(E1568,FIND("º",E1568)-1)),""))))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IF(E1569="","",IF(LEFT(E1569,7)="SUBSOLO",-1,IF(LEFT(E1569,6)="TÉRREO",0,IFERROR(VALUE(LEFT(E1569,FIND("º",E1569)-1)),""))))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IF(E1570="","",IF(LEFT(E1570,7)="SUBSOLO",-1,IF(LEFT(E1570,6)="TÉRREO",0,IFERROR(VALUE(LEFT(E1570,FIND("º",E1570)-1)),""))))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IF(E1571="","",IF(LEFT(E1571,7)="SUBSOLO",-1,IF(LEFT(E1571,6)="TÉRREO",0,IFERROR(VALUE(LEFT(E1571,FIND("º",E1571)-1)),""))))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IF(E1572="","",IF(LEFT(E1572,7)="SUBSOLO",-1,IF(LEFT(E1572,6)="TÉRREO",0,IFERROR(VALUE(LEFT(E1572,FIND("º",E1572)-1)),""))))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IF(E1573="","",IF(LEFT(E1573,7)="SUBSOLO",-1,IF(LEFT(E1573,6)="TÉRREO",0,IFERROR(VALUE(LEFT(E1573,FIND("º",E1573)-1)),""))))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IF(E1574="","",IF(LEFT(E1574,7)="SUBSOLO",-1,IF(LEFT(E1574,6)="TÉRREO",0,IFERROR(VALUE(LEFT(E1574,FIND("º",E1574)-1)),""))))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IF(E1575="","",IF(LEFT(E1575,7)="SUBSOLO",-1,IF(LEFT(E1575,6)="TÉRREO",0,IFERROR(VALUE(LEFT(E1575,FIND("º",E1575)-1)),""))))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IF(E1576="","",IF(LEFT(E1576,7)="SUBSOLO",-1,IF(LEFT(E1576,6)="TÉRREO",0,IFERROR(VALUE(LEFT(E1576,FIND("º",E1576)-1)),""))))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IF(E1577="","",IF(LEFT(E1577,7)="SUBSOLO",-1,IF(LEFT(E1577,6)="TÉRREO",0,IFERROR(VALUE(LEFT(E1577,FIND("º",E1577)-1)),""))))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IF(E1578="","",IF(LEFT(E1578,7)="SUBSOLO",-1,IF(LEFT(E1578,6)="TÉRREO",0,IFERROR(VALUE(LEFT(E1578,FIND("º",E1578)-1)),""))))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IF(E1579="","",IF(LEFT(E1579,7)="SUBSOLO",-1,IF(LEFT(E1579,6)="TÉRREO",0,IFERROR(VALUE(LEFT(E1579,FIND("º",E1579)-1)),""))))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IF(E1580="","",IF(LEFT(E1580,7)="SUBSOLO",-1,IF(LEFT(E1580,6)="TÉRREO",0,IFERROR(VALUE(LEFT(E1580,FIND("º",E1580)-1)),""))))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IF(E1581="","",IF(LEFT(E1581,7)="SUBSOLO",-1,IF(LEFT(E1581,6)="TÉRREO",0,IFERROR(VALUE(LEFT(E1581,FIND("º",E1581)-1)),""))))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IF(E1582="","",IF(LEFT(E1582,7)="SUBSOLO",-1,IF(LEFT(E1582,6)="TÉRREO",0,IFERROR(VALUE(LEFT(E1582,FIND("º",E1582)-1)),""))))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IF(E1583="","",IF(LEFT(E1583,7)="SUBSOLO",-1,IF(LEFT(E1583,6)="TÉRREO",0,IFERROR(VALUE(LEFT(E1583,FIND("º",E1583)-1)),""))))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IF(E1584="","",IF(LEFT(E1584,7)="SUBSOLO",-1,IF(LEFT(E1584,6)="TÉRREO",0,IFERROR(VALUE(LEFT(E1584,FIND("º",E1584)-1)),""))))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IF(E1585="","",IF(LEFT(E1585,7)="SUBSOLO",-1,IF(LEFT(E1585,6)="TÉRREO",0,IFERROR(VALUE(LEFT(E1585,FIND("º",E1585)-1)),""))))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IF(E1586="","",IF(LEFT(E1586,7)="SUBSOLO",-1,IF(LEFT(E1586,6)="TÉRREO",0,IFERROR(VALUE(LEFT(E1586,FIND("º",E1586)-1)),""))))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IF(E1587="","",IF(LEFT(E1587,7)="SUBSOLO",-1,IF(LEFT(E1587,6)="TÉRREO",0,IFERROR(VALUE(LEFT(E1587,FIND("º",E1587)-1)),""))))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IF(E1588="","",IF(LEFT(E1588,7)="SUBSOLO",-1,IF(LEFT(E1588,6)="TÉRREO",0,IFERROR(VALUE(LEFT(E1588,FIND("º",E1588)-1)),""))))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IF(E1589="","",IF(LEFT(E1589,7)="SUBSOLO",-1,IF(LEFT(E1589,6)="TÉRREO",0,IFERROR(VALUE(LEFT(E1589,FIND("º",E1589)-1)),""))))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IF(E1590="","",IF(LEFT(E1590,7)="SUBSOLO",-1,IF(LEFT(E1590,6)="TÉRREO",0,IFERROR(VALUE(LEFT(E1590,FIND("º",E1590)-1)),""))))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IF(E1591="","",IF(LEFT(E1591,7)="SUBSOLO",-1,IF(LEFT(E1591,6)="TÉRREO",0,IFERROR(VALUE(LEFT(E1591,FIND("º",E1591)-1)),""))))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IF(E1592="","",IF(LEFT(E1592,7)="SUBSOLO",-1,IF(LEFT(E1592,6)="TÉRREO",0,IFERROR(VALUE(LEFT(E1592,FIND("º",E1592)-1)),""))))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IF(E1593="","",IF(LEFT(E1593,7)="SUBSOLO",-1,IF(LEFT(E1593,6)="TÉRREO",0,IFERROR(VALUE(LEFT(E1593,FIND("º",E1593)-1)),""))))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IF(E1594="","",IF(LEFT(E1594,7)="SUBSOLO",-1,IF(LEFT(E1594,6)="TÉRREO",0,IFERROR(VALUE(LEFT(E1594,FIND("º",E1594)-1)),""))))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IF(E1595="","",IF(LEFT(E1595,7)="SUBSOLO",-1,IF(LEFT(E1595,6)="TÉRREO",0,IFERROR(VALUE(LEFT(E1595,FIND("º",E1595)-1)),""))))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IF(E1596="","",IF(LEFT(E1596,7)="SUBSOLO",-1,IF(LEFT(E1596,6)="TÉRREO",0,IFERROR(VALUE(LEFT(E1596,FIND("º",E1596)-1)),""))))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IF(E1597="","",IF(LEFT(E1597,7)="SUBSOLO",-1,IF(LEFT(E1597,6)="TÉRREO",0,IFERROR(VALUE(LEFT(E1597,FIND("º",E1597)-1)),""))))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IF(E1598="","",IF(LEFT(E1598,7)="SUBSOLO",-1,IF(LEFT(E1598,6)="TÉRREO",0,IFERROR(VALUE(LEFT(E1598,FIND("º",E1598)-1)),""))))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IF(E1599="","",IF(LEFT(E1599,7)="SUBSOLO",-1,IF(LEFT(E1599,6)="TÉRREO",0,IFERROR(VALUE(LEFT(E1599,FIND("º",E1599)-1)),""))))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IF(E1600="","",IF(LEFT(E1600,7)="SUBSOLO",-1,IF(LEFT(E1600,6)="TÉRREO",0,IFERROR(VALUE(LEFT(E1600,FIND("º",E1600)-1)),""))))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IF(E1601="","",IF(LEFT(E1601,7)="SUBSOLO",-1,IF(LEFT(E1601,6)="TÉRREO",0,IFERROR(VALUE(LEFT(E1601,FIND("º",E1601)-1)),""))))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IF(E1602="","",IF(LEFT(E1602,7)="SUBSOLO",-1,IF(LEFT(E1602,6)="TÉRREO",0,IFERROR(VALUE(LEFT(E1602,FIND("º",E1602)-1)),""))))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IF(E1603="","",IF(LEFT(E1603,7)="SUBSOLO",-1,IF(LEFT(E1603,6)="TÉRREO",0,IFERROR(VALUE(LEFT(E1603,FIND("º",E1603)-1)),""))))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IF(E1604="","",IF(LEFT(E1604,7)="SUBSOLO",-1,IF(LEFT(E1604,6)="TÉRREO",0,IFERROR(VALUE(LEFT(E1604,FIND("º",E1604)-1)),""))))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IF(E1605="","",IF(LEFT(E1605,7)="SUBSOLO",-1,IF(LEFT(E1605,6)="TÉRREO",0,IFERROR(VALUE(LEFT(E1605,FIND("º",E1605)-1)),""))))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IF(E1606="","",IF(LEFT(E1606,7)="SUBSOLO",-1,IF(LEFT(E1606,6)="TÉRREO",0,IFERROR(VALUE(LEFT(E1606,FIND("º",E1606)-1)),""))))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IF(E1607="","",IF(LEFT(E1607,7)="SUBSOLO",-1,IF(LEFT(E1607,6)="TÉRREO",0,IFERROR(VALUE(LEFT(E1607,FIND("º",E1607)-1)),""))))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IF(E1608="","",IF(LEFT(E1608,7)="SUBSOLO",-1,IF(LEFT(E1608,6)="TÉRREO",0,IFERROR(VALUE(LEFT(E1608,FIND("º",E1608)-1)),""))))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IF(E1609="","",IF(LEFT(E1609,7)="SUBSOLO",-1,IF(LEFT(E1609,6)="TÉRREO",0,IFERROR(VALUE(LEFT(E1609,FIND("º",E1609)-1)),""))))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IF(E1610="","",IF(LEFT(E1610,7)="SUBSOLO",-1,IF(LEFT(E1610,6)="TÉRREO",0,IFERROR(VALUE(LEFT(E1610,FIND("º",E1610)-1)),""))))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IF(E1611="","",IF(LEFT(E1611,7)="SUBSOLO",-1,IF(LEFT(E1611,6)="TÉRREO",0,IFERROR(VALUE(LEFT(E1611,FIND("º",E1611)-1)),""))))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IF(E1612="","",IF(LEFT(E1612,7)="SUBSOLO",-1,IF(LEFT(E1612,6)="TÉRREO",0,IFERROR(VALUE(LEFT(E1612,FIND("º",E1612)-1)),""))))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IF(E1613="","",IF(LEFT(E1613,7)="SUBSOLO",-1,IF(LEFT(E1613,6)="TÉRREO",0,IFERROR(VALUE(LEFT(E1613,FIND("º",E1613)-1)),""))))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IF(E1614="","",IF(LEFT(E1614,7)="SUBSOLO",-1,IF(LEFT(E1614,6)="TÉRREO",0,IFERROR(VALUE(LEFT(E1614,FIND("º",E1614)-1)),""))))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IF(E1615="","",IF(LEFT(E1615,7)="SUBSOLO",-1,IF(LEFT(E1615,6)="TÉRREO",0,IFERROR(VALUE(LEFT(E1615,FIND("º",E1615)-1)),""))))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IF(E1616="","",IF(LEFT(E1616,7)="SUBSOLO",-1,IF(LEFT(E1616,6)="TÉRREO",0,IFERROR(VALUE(LEFT(E1616,FIND("º",E1616)-1)),""))))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IF(E1617="","",IF(LEFT(E1617,7)="SUBSOLO",-1,IF(LEFT(E1617,6)="TÉRREO",0,IFERROR(VALUE(LEFT(E1617,FIND("º",E1617)-1)),""))))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IF(E1618="","",IF(LEFT(E1618,7)="SUBSOLO",-1,IF(LEFT(E1618,6)="TÉRREO",0,IFERROR(VALUE(LEFT(E1618,FIND("º",E1618)-1)),""))))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IF(E1619="","",IF(LEFT(E1619,7)="SUBSOLO",-1,IF(LEFT(E1619,6)="TÉRREO",0,IFERROR(VALUE(LEFT(E1619,FIND("º",E1619)-1)),""))))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IF(E1620="","",IF(LEFT(E1620,7)="SUBSOLO",-1,IF(LEFT(E1620,6)="TÉRREO",0,IFERROR(VALUE(LEFT(E1620,FIND("º",E1620)-1)),""))))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IF(E1621="","",IF(LEFT(E1621,7)="SUBSOLO",-1,IF(LEFT(E1621,6)="TÉRREO",0,IFERROR(VALUE(LEFT(E1621,FIND("º",E1621)-1)),""))))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IF(E1622="","",IF(LEFT(E1622,7)="SUBSOLO",-1,IF(LEFT(E1622,6)="TÉRREO",0,IFERROR(VALUE(LEFT(E1622,FIND("º",E1622)-1)),""))))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IF(E1623="","",IF(LEFT(E1623,7)="SUBSOLO",-1,IF(LEFT(E1623,6)="TÉRREO",0,IFERROR(VALUE(LEFT(E1623,FIND("º",E1623)-1)),""))))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IF(E1624="","",IF(LEFT(E1624,7)="SUBSOLO",-1,IF(LEFT(E1624,6)="TÉRREO",0,IFERROR(VALUE(LEFT(E1624,FIND("º",E1624)-1)),""))))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IF(E1625="","",IF(LEFT(E1625,7)="SUBSOLO",-1,IF(LEFT(E1625,6)="TÉRREO",0,IFERROR(VALUE(LEFT(E1625,FIND("º",E1625)-1)),""))))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IF(E1626="","",IF(LEFT(E1626,7)="SUBSOLO",-1,IF(LEFT(E1626,6)="TÉRREO",0,IFERROR(VALUE(LEFT(E1626,FIND("º",E1626)-1)),""))))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IF(E1627="","",IF(LEFT(E1627,7)="SUBSOLO",-1,IF(LEFT(E1627,6)="TÉRREO",0,IFERROR(VALUE(LEFT(E1627,FIND("º",E1627)-1)),""))))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IF(E1628="","",IF(LEFT(E1628,7)="SUBSOLO",-1,IF(LEFT(E1628,6)="TÉRREO",0,IFERROR(VALUE(LEFT(E1628,FIND("º",E1628)-1)),""))))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IF(E1629="","",IF(LEFT(E1629,7)="SUBSOLO",-1,IF(LEFT(E1629,6)="TÉRREO",0,IFERROR(VALUE(LEFT(E1629,FIND("º",E1629)-1)),""))))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IF(E1630="","",IF(LEFT(E1630,7)="SUBSOLO",-1,IF(LEFT(E1630,6)="TÉRREO",0,IFERROR(VALUE(LEFT(E1630,FIND("º",E1630)-1)),""))))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IF(E1631="","",IF(LEFT(E1631,7)="SUBSOLO",-1,IF(LEFT(E1631,6)="TÉRREO",0,IFERROR(VALUE(LEFT(E1631,FIND("º",E1631)-1)),""))))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IF(E1632="","",IF(LEFT(E1632,7)="SUBSOLO",-1,IF(LEFT(E1632,6)="TÉRREO",0,IFERROR(VALUE(LEFT(E1632,FIND("º",E1632)-1)),""))))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IF(E1633="","",IF(LEFT(E1633,7)="SUBSOLO",-1,IF(LEFT(E1633,6)="TÉRREO",0,IFERROR(VALUE(LEFT(E1633,FIND("º",E1633)-1)),""))))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IF(E1634="","",IF(LEFT(E1634,7)="SUBSOLO",-1,IF(LEFT(E1634,6)="TÉRREO",0,IFERROR(VALUE(LEFT(E1634,FIND("º",E1634)-1)),""))))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IF(E1635="","",IF(LEFT(E1635,7)="SUBSOLO",-1,IF(LEFT(E1635,6)="TÉRREO",0,IFERROR(VALUE(LEFT(E1635,FIND("º",E1635)-1)),""))))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IF(E1636="","",IF(LEFT(E1636,7)="SUBSOLO",-1,IF(LEFT(E1636,6)="TÉRREO",0,IFERROR(VALUE(LEFT(E1636,FIND("º",E1636)-1)),""))))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IF(E1637="","",IF(LEFT(E1637,7)="SUBSOLO",-1,IF(LEFT(E1637,6)="TÉRREO",0,IFERROR(VALUE(LEFT(E1637,FIND("º",E1637)-1)),""))))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IF(E1638="","",IF(LEFT(E1638,7)="SUBSOLO",-1,IF(LEFT(E1638,6)="TÉRREO",0,IFERROR(VALUE(LEFT(E1638,FIND("º",E1638)-1)),""))))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IF(E1639="","",IF(LEFT(E1639,7)="SUBSOLO",-1,IF(LEFT(E1639,6)="TÉRREO",0,IFERROR(VALUE(LEFT(E1639,FIND("º",E1639)-1)),""))))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IF(E1640="","",IF(LEFT(E1640,7)="SUBSOLO",-1,IF(LEFT(E1640,6)="TÉRREO",0,IFERROR(VALUE(LEFT(E1640,FIND("º",E1640)-1)),""))))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IF(E1641="","",IF(LEFT(E1641,7)="SUBSOLO",-1,IF(LEFT(E1641,6)="TÉRREO",0,IFERROR(VALUE(LEFT(E1641,FIND("º",E1641)-1)),""))))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IF(E1642="","",IF(LEFT(E1642,7)="SUBSOLO",-1,IF(LEFT(E1642,6)="TÉRREO",0,IFERROR(VALUE(LEFT(E1642,FIND("º",E1642)-1)),""))))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IF(E1643="","",IF(LEFT(E1643,7)="SUBSOLO",-1,IF(LEFT(E1643,6)="TÉRREO",0,IFERROR(VALUE(LEFT(E1643,FIND("º",E1643)-1)),""))))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IF(E1644="","",IF(LEFT(E1644,7)="SUBSOLO",-1,IF(LEFT(E1644,6)="TÉRREO",0,IFERROR(VALUE(LEFT(E1644,FIND("º",E1644)-1)),""))))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IF(E1645="","",IF(LEFT(E1645,7)="SUBSOLO",-1,IF(LEFT(E1645,6)="TÉRREO",0,IFERROR(VALUE(LEFT(E1645,FIND("º",E1645)-1)),""))))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IF(E1646="","",IF(LEFT(E1646,7)="SUBSOLO",-1,IF(LEFT(E1646,6)="TÉRREO",0,IFERROR(VALUE(LEFT(E1646,FIND("º",E1646)-1)),""))))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IF(E1647="","",IF(LEFT(E1647,7)="SUBSOLO",-1,IF(LEFT(E1647,6)="TÉRREO",0,IFERROR(VALUE(LEFT(E1647,FIND("º",E1647)-1)),""))))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IF(E1648="","",IF(LEFT(E1648,7)="SUBSOLO",-1,IF(LEFT(E1648,6)="TÉRREO",0,IFERROR(VALUE(LEFT(E1648,FIND("º",E1648)-1)),""))))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IF(E1649="","",IF(LEFT(E1649,7)="SUBSOLO",-1,IF(LEFT(E1649,6)="TÉRREO",0,IFERROR(VALUE(LEFT(E1649,FIND("º",E1649)-1)),""))))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IF(E1650="","",IF(LEFT(E1650,7)="SUBSOLO",-1,IF(LEFT(E1650,6)="TÉRREO",0,IFERROR(VALUE(LEFT(E1650,FIND("º",E1650)-1)),""))))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IF(E1651="","",IF(LEFT(E1651,7)="SUBSOLO",-1,IF(LEFT(E1651,6)="TÉRREO",0,IFERROR(VALUE(LEFT(E1651,FIND("º",E1651)-1)),""))))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IF(E1652="","",IF(LEFT(E1652,7)="SUBSOLO",-1,IF(LEFT(E1652,6)="TÉRREO",0,IFERROR(VALUE(LEFT(E1652,FIND("º",E1652)-1)),""))))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IF(E1653="","",IF(LEFT(E1653,7)="SUBSOLO",-1,IF(LEFT(E1653,6)="TÉRREO",0,IFERROR(VALUE(LEFT(E1653,FIND("º",E1653)-1)),""))))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IF(E1654="","",IF(LEFT(E1654,7)="SUBSOLO",-1,IF(LEFT(E1654,6)="TÉRREO",0,IFERROR(VALUE(LEFT(E1654,FIND("º",E1654)-1)),""))))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IF(E1655="","",IF(LEFT(E1655,7)="SUBSOLO",-1,IF(LEFT(E1655,6)="TÉRREO",0,IFERROR(VALUE(LEFT(E1655,FIND("º",E1655)-1)),""))))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IF(E1656="","",IF(LEFT(E1656,7)="SUBSOLO",-1,IF(LEFT(E1656,6)="TÉRREO",0,IFERROR(VALUE(LEFT(E1656,FIND("º",E1656)-1)),""))))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IF(E1657="","",IF(LEFT(E1657,7)="SUBSOLO",-1,IF(LEFT(E1657,6)="TÉRREO",0,IFERROR(VALUE(LEFT(E1657,FIND("º",E1657)-1)),""))))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IF(E1658="","",IF(LEFT(E1658,7)="SUBSOLO",-1,IF(LEFT(E1658,6)="TÉRREO",0,IFERROR(VALUE(LEFT(E1658,FIND("º",E1658)-1)),""))))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IF(E1659="","",IF(LEFT(E1659,7)="SUBSOLO",-1,IF(LEFT(E1659,6)="TÉRREO",0,IFERROR(VALUE(LEFT(E1659,FIND("º",E1659)-1)),""))))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IF(E1660="","",IF(LEFT(E1660,7)="SUBSOLO",-1,IF(LEFT(E1660,6)="TÉRREO",0,IFERROR(VALUE(LEFT(E1660,FIND("º",E1660)-1)),""))))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IF(E1661="","",IF(LEFT(E1661,7)="SUBSOLO",-1,IF(LEFT(E1661,6)="TÉRREO",0,IFERROR(VALUE(LEFT(E1661,FIND("º",E1661)-1)),""))))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IF(E1662="","",IF(LEFT(E1662,7)="SUBSOLO",-1,IF(LEFT(E1662,6)="TÉRREO",0,IFERROR(VALUE(LEFT(E1662,FIND("º",E1662)-1)),""))))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IF(E1663="","",IF(LEFT(E1663,7)="SUBSOLO",-1,IF(LEFT(E1663,6)="TÉRREO",0,IFERROR(VALUE(LEFT(E1663,FIND("º",E1663)-1)),""))))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IF(E1664="","",IF(LEFT(E1664,7)="SUBSOLO",-1,IF(LEFT(E1664,6)="TÉRREO",0,IFERROR(VALUE(LEFT(E1664,FIND("º",E1664)-1)),""))))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IF(E1665="","",IF(LEFT(E1665,7)="SUBSOLO",-1,IF(LEFT(E1665,6)="TÉRREO",0,IFERROR(VALUE(LEFT(E1665,FIND("º",E1665)-1)),""))))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IF(E1666="","",IF(LEFT(E1666,7)="SUBSOLO",-1,IF(LEFT(E1666,6)="TÉRREO",0,IFERROR(VALUE(LEFT(E1666,FIND("º",E1666)-1)),""))))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IF(E1667="","",IF(LEFT(E1667,7)="SUBSOLO",-1,IF(LEFT(E1667,6)="TÉRREO",0,IFERROR(VALUE(LEFT(E1667,FIND("º",E1667)-1)),""))))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IF(E1668="","",IF(LEFT(E1668,7)="SUBSOLO",-1,IF(LEFT(E1668,6)="TÉRREO",0,IFERROR(VALUE(LEFT(E1668,FIND("º",E1668)-1)),""))))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IF(E1669="","",IF(LEFT(E1669,7)="SUBSOLO",-1,IF(LEFT(E1669,6)="TÉRREO",0,IFERROR(VALUE(LEFT(E1669,FIND("º",E1669)-1)),""))))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IF(E1670="","",IF(LEFT(E1670,7)="SUBSOLO",-1,IF(LEFT(E1670,6)="TÉRREO",0,IFERROR(VALUE(LEFT(E1670,FIND("º",E1670)-1)),""))))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IF(E1671="","",IF(LEFT(E1671,7)="SUBSOLO",-1,IF(LEFT(E1671,6)="TÉRREO",0,IFERROR(VALUE(LEFT(E1671,FIND("º",E1671)-1)),""))))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IF(E1672="","",IF(LEFT(E1672,7)="SUBSOLO",-1,IF(LEFT(E1672,6)="TÉRREO",0,IFERROR(VALUE(LEFT(E1672,FIND("º",E1672)-1)),""))))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IF(E1673="","",IF(LEFT(E1673,7)="SUBSOLO",-1,IF(LEFT(E1673,6)="TÉRREO",0,IFERROR(VALUE(LEFT(E1673,FIND("º",E1673)-1)),""))))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IF(E1674="","",IF(LEFT(E1674,7)="SUBSOLO",-1,IF(LEFT(E1674,6)="TÉRREO",0,IFERROR(VALUE(LEFT(E1674,FIND("º",E1674)-1)),""))))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IF(E1675="","",IF(LEFT(E1675,7)="SUBSOLO",-1,IF(LEFT(E1675,6)="TÉRREO",0,IFERROR(VALUE(LEFT(E1675,FIND("º",E1675)-1)),""))))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IF(E1676="","",IF(LEFT(E1676,7)="SUBSOLO",-1,IF(LEFT(E1676,6)="TÉRREO",0,IFERROR(VALUE(LEFT(E1676,FIND("º",E1676)-1)),""))))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IF(E1677="","",IF(LEFT(E1677,7)="SUBSOLO",-1,IF(LEFT(E1677,6)="TÉRREO",0,IFERROR(VALUE(LEFT(E1677,FIND("º",E1677)-1)),""))))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IF(E1678="","",IF(LEFT(E1678,7)="SUBSOLO",-1,IF(LEFT(E1678,6)="TÉRREO",0,IFERROR(VALUE(LEFT(E1678,FIND("º",E1678)-1)),""))))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IF(E1679="","",IF(LEFT(E1679,7)="SUBSOLO",-1,IF(LEFT(E1679,6)="TÉRREO",0,IFERROR(VALUE(LEFT(E1679,FIND("º",E1679)-1)),""))))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IF(E1680="","",IF(LEFT(E1680,7)="SUBSOLO",-1,IF(LEFT(E1680,6)="TÉRREO",0,IFERROR(VALUE(LEFT(E1680,FIND("º",E1680)-1)),""))))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IF(E1681="","",IF(LEFT(E1681,7)="SUBSOLO",-1,IF(LEFT(E1681,6)="TÉRREO",0,IFERROR(VALUE(LEFT(E1681,FIND("º",E1681)-1)),""))))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IF(E1682="","",IF(LEFT(E1682,7)="SUBSOLO",-1,IF(LEFT(E1682,6)="TÉRREO",0,IFERROR(VALUE(LEFT(E1682,FIND("º",E1682)-1)),""))))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IF(E1683="","",IF(LEFT(E1683,7)="SUBSOLO",-1,IF(LEFT(E1683,6)="TÉRREO",0,IFERROR(VALUE(LEFT(E1683,FIND("º",E1683)-1)),""))))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IF(E1684="","",IF(LEFT(E1684,7)="SUBSOLO",-1,IF(LEFT(E1684,6)="TÉRREO",0,IFERROR(VALUE(LEFT(E1684,FIND("º",E1684)-1)),""))))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IF(E1685="","",IF(LEFT(E1685,7)="SUBSOLO",-1,IF(LEFT(E1685,6)="TÉRREO",0,IFERROR(VALUE(LEFT(E1685,FIND("º",E1685)-1)),""))))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IF(E1686="","",IF(LEFT(E1686,7)="SUBSOLO",-1,IF(LEFT(E1686,6)="TÉRREO",0,IFERROR(VALUE(LEFT(E1686,FIND("º",E1686)-1)),""))))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IF(E1687="","",IF(LEFT(E1687,7)="SUBSOLO",-1,IF(LEFT(E1687,6)="TÉRREO",0,IFERROR(VALUE(LEFT(E1687,FIND("º",E1687)-1)),""))))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IF(E1688="","",IF(LEFT(E1688,7)="SUBSOLO",-1,IF(LEFT(E1688,6)="TÉRREO",0,IFERROR(VALUE(LEFT(E1688,FIND("º",E1688)-1)),""))))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IF(E1689="","",IF(LEFT(E1689,7)="SUBSOLO",-1,IF(LEFT(E1689,6)="TÉRREO",0,IFERROR(VALUE(LEFT(E1689,FIND("º",E1689)-1)),""))))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IF(E1690="","",IF(LEFT(E1690,7)="SUBSOLO",-1,IF(LEFT(E1690,6)="TÉRREO",0,IFERROR(VALUE(LEFT(E1690,FIND("º",E1690)-1)),""))))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IF(E1691="","",IF(LEFT(E1691,7)="SUBSOLO",-1,IF(LEFT(E1691,6)="TÉRREO",0,IFERROR(VALUE(LEFT(E1691,FIND("º",E1691)-1)),""))))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IF(E1692="","",IF(LEFT(E1692,7)="SUBSOLO",-1,IF(LEFT(E1692,6)="TÉRREO",0,IFERROR(VALUE(LEFT(E1692,FIND("º",E1692)-1)),""))))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IF(E1693="","",IF(LEFT(E1693,7)="SUBSOLO",-1,IF(LEFT(E1693,6)="TÉRREO",0,IFERROR(VALUE(LEFT(E1693,FIND("º",E1693)-1)),""))))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IF(E1694="","",IF(LEFT(E1694,7)="SUBSOLO",-1,IF(LEFT(E1694,6)="TÉRREO",0,IFERROR(VALUE(LEFT(E1694,FIND("º",E1694)-1)),""))))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IF(E1695="","",IF(LEFT(E1695,7)="SUBSOLO",-1,IF(LEFT(E1695,6)="TÉRREO",0,IFERROR(VALUE(LEFT(E1695,FIND("º",E1695)-1)),""))))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IF(E1696="","",IF(LEFT(E1696,7)="SUBSOLO",-1,IF(LEFT(E1696,6)="TÉRREO",0,IFERROR(VALUE(LEFT(E1696,FIND("º",E1696)-1)),""))))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IF(E1697="","",IF(LEFT(E1697,7)="SUBSOLO",-1,IF(LEFT(E1697,6)="TÉRREO",0,IFERROR(VALUE(LEFT(E1697,FIND("º",E1697)-1)),""))))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IF(E1698="","",IF(LEFT(E1698,7)="SUBSOLO",-1,IF(LEFT(E1698,6)="TÉRREO",0,IFERROR(VALUE(LEFT(E1698,FIND("º",E1698)-1)),""))))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IF(E1699="","",IF(LEFT(E1699,7)="SUBSOLO",-1,IF(LEFT(E1699,6)="TÉRREO",0,IFERROR(VALUE(LEFT(E1699,FIND("º",E1699)-1)),""))))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IF(E1700="","",IF(LEFT(E1700,7)="SUBSOLO",-1,IF(LEFT(E1700,6)="TÉRREO",0,IFERROR(VALUE(LEFT(E1700,FIND("º",E1700)-1)),""))))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IF(E1701="","",IF(LEFT(E1701,7)="SUBSOLO",-1,IF(LEFT(E1701,6)="TÉRREO",0,IFERROR(VALUE(LEFT(E1701,FIND("º",E1701)-1)),""))))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IF(E1702="","",IF(LEFT(E1702,7)="SUBSOLO",-1,IF(LEFT(E1702,6)="TÉRREO",0,IFERROR(VALUE(LEFT(E1702,FIND("º",E1702)-1)),""))))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IF(E1703="","",IF(LEFT(E1703,7)="SUBSOLO",-1,IF(LEFT(E1703,6)="TÉRREO",0,IFERROR(VALUE(LEFT(E1703,FIND("º",E1703)-1)),""))))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IF(E1704="","",IF(LEFT(E1704,7)="SUBSOLO",-1,IF(LEFT(E1704,6)="TÉRREO",0,IFERROR(VALUE(LEFT(E1704,FIND("º",E1704)-1)),""))))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IF(E1705="","",IF(LEFT(E1705,7)="SUBSOLO",-1,IF(LEFT(E1705,6)="TÉRREO",0,IFERROR(VALUE(LEFT(E1705,FIND("º",E1705)-1)),""))))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IF(E1706="","",IF(LEFT(E1706,7)="SUBSOLO",-1,IF(LEFT(E1706,6)="TÉRREO",0,IFERROR(VALUE(LEFT(E1706,FIND("º",E1706)-1)),""))))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IF(E1707="","",IF(LEFT(E1707,7)="SUBSOLO",-1,IF(LEFT(E1707,6)="TÉRREO",0,IFERROR(VALUE(LEFT(E1707,FIND("º",E1707)-1)),""))))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IF(E1708="","",IF(LEFT(E1708,7)="SUBSOLO",-1,IF(LEFT(E1708,6)="TÉRREO",0,IFERROR(VALUE(LEFT(E1708,FIND("º",E1708)-1)),""))))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IF(E1709="","",IF(LEFT(E1709,7)="SUBSOLO",-1,IF(LEFT(E1709,6)="TÉRREO",0,IFERROR(VALUE(LEFT(E1709,FIND("º",E1709)-1)),""))))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IF(E1710="","",IF(LEFT(E1710,7)="SUBSOLO",-1,IF(LEFT(E1710,6)="TÉRREO",0,IFERROR(VALUE(LEFT(E1710,FIND("º",E1710)-1)),""))))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IF(E1711="","",IF(LEFT(E1711,7)="SUBSOLO",-1,IF(LEFT(E1711,6)="TÉRREO",0,IFERROR(VALUE(LEFT(E1711,FIND("º",E1711)-1)),""))))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IF(E1712="","",IF(LEFT(E1712,7)="SUBSOLO",-1,IF(LEFT(E1712,6)="TÉRREO",0,IFERROR(VALUE(LEFT(E1712,FIND("º",E1712)-1)),""))))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IF(E1713="","",IF(LEFT(E1713,7)="SUBSOLO",-1,IF(LEFT(E1713,6)="TÉRREO",0,IFERROR(VALUE(LEFT(E1713,FIND("º",E1713)-1)),""))))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IF(E1714="","",IF(LEFT(E1714,7)="SUBSOLO",-1,IF(LEFT(E1714,6)="TÉRREO",0,IFERROR(VALUE(LEFT(E1714,FIND("º",E1714)-1)),""))))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IF(E1715="","",IF(LEFT(E1715,7)="SUBSOLO",-1,IF(LEFT(E1715,6)="TÉRREO",0,IFERROR(VALUE(LEFT(E1715,FIND("º",E1715)-1)),""))))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IF(E1716="","",IF(LEFT(E1716,7)="SUBSOLO",-1,IF(LEFT(E1716,6)="TÉRREO",0,IFERROR(VALUE(LEFT(E1716,FIND("º",E1716)-1)),""))))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IF(E1717="","",IF(LEFT(E1717,7)="SUBSOLO",-1,IF(LEFT(E1717,6)="TÉRREO",0,IFERROR(VALUE(LEFT(E1717,FIND("º",E1717)-1)),""))))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IF(E1718="","",IF(LEFT(E1718,7)="SUBSOLO",-1,IF(LEFT(E1718,6)="TÉRREO",0,IFERROR(VALUE(LEFT(E1718,FIND("º",E1718)-1)),""))))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IF(E1719="","",IF(LEFT(E1719,7)="SUBSOLO",-1,IF(LEFT(E1719,6)="TÉRREO",0,IFERROR(VALUE(LEFT(E1719,FIND("º",E1719)-1)),""))))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IF(E1720="","",IF(LEFT(E1720,7)="SUBSOLO",-1,IF(LEFT(E1720,6)="TÉRREO",0,IFERROR(VALUE(LEFT(E1720,FIND("º",E1720)-1)),""))))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IF(E1721="","",IF(LEFT(E1721,7)="SUBSOLO",-1,IF(LEFT(E1721,6)="TÉRREO",0,IFERROR(VALUE(LEFT(E1721,FIND("º",E1721)-1)),""))))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IF(E1722="","",IF(LEFT(E1722,7)="SUBSOLO",-1,IF(LEFT(E1722,6)="TÉRREO",0,IFERROR(VALUE(LEFT(E1722,FIND("º",E1722)-1)),""))))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IF(E1723="","",IF(LEFT(E1723,7)="SUBSOLO",-1,IF(LEFT(E1723,6)="TÉRREO",0,IFERROR(VALUE(LEFT(E1723,FIND("º",E1723)-1)),""))))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IF(E1724="","",IF(LEFT(E1724,7)="SUBSOLO",-1,IF(LEFT(E1724,6)="TÉRREO",0,IFERROR(VALUE(LEFT(E1724,FIND("º",E1724)-1)),""))))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IF(E1725="","",IF(LEFT(E1725,7)="SUBSOLO",-1,IF(LEFT(E1725,6)="TÉRREO",0,IFERROR(VALUE(LEFT(E1725,FIND("º",E1725)-1)),""))))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IF(E1726="","",IF(LEFT(E1726,7)="SUBSOLO",-1,IF(LEFT(E1726,6)="TÉRREO",0,IFERROR(VALUE(LEFT(E1726,FIND("º",E1726)-1)),""))))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IF(E1727="","",IF(LEFT(E1727,7)="SUBSOLO",-1,IF(LEFT(E1727,6)="TÉRREO",0,IFERROR(VALUE(LEFT(E1727,FIND("º",E1727)-1)),""))))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IF(E1728="","",IF(LEFT(E1728,7)="SUBSOLO",-1,IF(LEFT(E1728,6)="TÉRREO",0,IFERROR(VALUE(LEFT(E1728,FIND("º",E1728)-1)),""))))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IF(E1729="","",IF(LEFT(E1729,7)="SUBSOLO",-1,IF(LEFT(E1729,6)="TÉRREO",0,IFERROR(VALUE(LEFT(E1729,FIND("º",E1729)-1)),""))))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IF(E1730="","",IF(LEFT(E1730,7)="SUBSOLO",-1,IF(LEFT(E1730,6)="TÉRREO",0,IFERROR(VALUE(LEFT(E1730,FIND("º",E1730)-1)),""))))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IF(E1731="","",IF(LEFT(E1731,7)="SUBSOLO",-1,IF(LEFT(E1731,6)="TÉRREO",0,IFERROR(VALUE(LEFT(E1731,FIND("º",E1731)-1)),""))))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IF(E1732="","",IF(LEFT(E1732,7)="SUBSOLO",-1,IF(LEFT(E1732,6)="TÉRREO",0,IFERROR(VALUE(LEFT(E1732,FIND("º",E1732)-1)),""))))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IF(E1733="","",IF(LEFT(E1733,7)="SUBSOLO",-1,IF(LEFT(E1733,6)="TÉRREO",0,IFERROR(VALUE(LEFT(E1733,FIND("º",E1733)-1)),""))))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IF(E1734="","",IF(LEFT(E1734,7)="SUBSOLO",-1,IF(LEFT(E1734,6)="TÉRREO",0,IFERROR(VALUE(LEFT(E1734,FIND("º",E1734)-1)),""))))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IF(E1735="","",IF(LEFT(E1735,7)="SUBSOLO",-1,IF(LEFT(E1735,6)="TÉRREO",0,IFERROR(VALUE(LEFT(E1735,FIND("º",E1735)-1)),""))))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IF(E1736="","",IF(LEFT(E1736,7)="SUBSOLO",-1,IF(LEFT(E1736,6)="TÉRREO",0,IFERROR(VALUE(LEFT(E1736,FIND("º",E1736)-1)),""))))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IF(E1737="","",IF(LEFT(E1737,7)="SUBSOLO",-1,IF(LEFT(E1737,6)="TÉRREO",0,IFERROR(VALUE(LEFT(E1737,FIND("º",E1737)-1)),""))))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IF(E1738="","",IF(LEFT(E1738,7)="SUBSOLO",-1,IF(LEFT(E1738,6)="TÉRREO",0,IFERROR(VALUE(LEFT(E1738,FIND("º",E1738)-1)),""))))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IF(E1739="","",IF(LEFT(E1739,7)="SUBSOLO",-1,IF(LEFT(E1739,6)="TÉRREO",0,IFERROR(VALUE(LEFT(E1739,FIND("º",E1739)-1)),""))))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IF(E1740="","",IF(LEFT(E1740,7)="SUBSOLO",-1,IF(LEFT(E1740,6)="TÉRREO",0,IFERROR(VALUE(LEFT(E1740,FIND("º",E1740)-1)),""))))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IF(E1741="","",IF(LEFT(E1741,7)="SUBSOLO",-1,IF(LEFT(E1741,6)="TÉRREO",0,IFERROR(VALUE(LEFT(E1741,FIND("º",E1741)-1)),""))))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IF(E1742="","",IF(LEFT(E1742,7)="SUBSOLO",-1,IF(LEFT(E1742,6)="TÉRREO",0,IFERROR(VALUE(LEFT(E1742,FIND("º",E1742)-1)),""))))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IF(E1743="","",IF(LEFT(E1743,7)="SUBSOLO",-1,IF(LEFT(E1743,6)="TÉRREO",0,IFERROR(VALUE(LEFT(E1743,FIND("º",E1743)-1)),""))))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IF(E1744="","",IF(LEFT(E1744,7)="SUBSOLO",-1,IF(LEFT(E1744,6)="TÉRREO",0,IFERROR(VALUE(LEFT(E1744,FIND("º",E1744)-1)),""))))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IF(E1745="","",IF(LEFT(E1745,7)="SUBSOLO",-1,IF(LEFT(E1745,6)="TÉRREO",0,IFERROR(VALUE(LEFT(E1745,FIND("º",E1745)-1)),""))))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IF(E1746="","",IF(LEFT(E1746,7)="SUBSOLO",-1,IF(LEFT(E1746,6)="TÉRREO",0,IFERROR(VALUE(LEFT(E1746,FIND("º",E1746)-1)),""))))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IF(E1747="","",IF(LEFT(E1747,7)="SUBSOLO",-1,IF(LEFT(E1747,6)="TÉRREO",0,IFERROR(VALUE(LEFT(E1747,FIND("º",E1747)-1)),""))))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IF(E1748="","",IF(LEFT(E1748,7)="SUBSOLO",-1,IF(LEFT(E1748,6)="TÉRREO",0,IFERROR(VALUE(LEFT(E1748,FIND("º",E1748)-1)),""))))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IF(E1749="","",IF(LEFT(E1749,7)="SUBSOLO",-1,IF(LEFT(E1749,6)="TÉRREO",0,IFERROR(VALUE(LEFT(E1749,FIND("º",E1749)-1)),""))))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IF(E1750="","",IF(LEFT(E1750,7)="SUBSOLO",-1,IF(LEFT(E1750,6)="TÉRREO",0,IFERROR(VALUE(LEFT(E1750,FIND("º",E1750)-1)),""))))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IF(E1751="","",IF(LEFT(E1751,7)="SUBSOLO",-1,IF(LEFT(E1751,6)="TÉRREO",0,IFERROR(VALUE(LEFT(E1751,FIND("º",E1751)-1)),""))))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IF(E1752="","",IF(LEFT(E1752,7)="SUBSOLO",-1,IF(LEFT(E1752,6)="TÉRREO",0,IFERROR(VALUE(LEFT(E1752,FIND("º",E1752)-1)),""))))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IF(E1753="","",IF(LEFT(E1753,7)="SUBSOLO",-1,IF(LEFT(E1753,6)="TÉRREO",0,IFERROR(VALUE(LEFT(E1753,FIND("º",E1753)-1)),""))))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IF(E1754="","",IF(LEFT(E1754,7)="SUBSOLO",-1,IF(LEFT(E1754,6)="TÉRREO",0,IFERROR(VALUE(LEFT(E1754,FIND("º",E1754)-1)),""))))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IF(E1755="","",IF(LEFT(E1755,7)="SUBSOLO",-1,IF(LEFT(E1755,6)="TÉRREO",0,IFERROR(VALUE(LEFT(E1755,FIND("º",E1755)-1)),""))))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IF(E1756="","",IF(LEFT(E1756,7)="SUBSOLO",-1,IF(LEFT(E1756,6)="TÉRREO",0,IFERROR(VALUE(LEFT(E1756,FIND("º",E1756)-1)),""))))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IF(E1757="","",IF(LEFT(E1757,7)="SUBSOLO",-1,IF(LEFT(E1757,6)="TÉRREO",0,IFERROR(VALUE(LEFT(E1757,FIND("º",E1757)-1)),""))))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IF(E1758="","",IF(LEFT(E1758,7)="SUBSOLO",-1,IF(LEFT(E1758,6)="TÉRREO",0,IFERROR(VALUE(LEFT(E1758,FIND("º",E1758)-1)),""))))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IF(E1759="","",IF(LEFT(E1759,7)="SUBSOLO",-1,IF(LEFT(E1759,6)="TÉRREO",0,IFERROR(VALUE(LEFT(E1759,FIND("º",E1759)-1)),""))))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IF(E1760="","",IF(LEFT(E1760,7)="SUBSOLO",-1,IF(LEFT(E1760,6)="TÉRREO",0,IFERROR(VALUE(LEFT(E1760,FIND("º",E1760)-1)),""))))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IF(E1761="","",IF(LEFT(E1761,7)="SUBSOLO",-1,IF(LEFT(E1761,6)="TÉRREO",0,IFERROR(VALUE(LEFT(E1761,FIND("º",E1761)-1)),""))))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IF(E1762="","",IF(LEFT(E1762,7)="SUBSOLO",-1,IF(LEFT(E1762,6)="TÉRREO",0,IFERROR(VALUE(LEFT(E1762,FIND("º",E1762)-1)),""))))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IF(E1763="","",IF(LEFT(E1763,7)="SUBSOLO",-1,IF(LEFT(E1763,6)="TÉRREO",0,IFERROR(VALUE(LEFT(E1763,FIND("º",E1763)-1)),""))))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IF(E1764="","",IF(LEFT(E1764,7)="SUBSOLO",-1,IF(LEFT(E1764,6)="TÉRREO",0,IFERROR(VALUE(LEFT(E1764,FIND("º",E1764)-1)),""))))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IF(E1765="","",IF(LEFT(E1765,7)="SUBSOLO",-1,IF(LEFT(E1765,6)="TÉRREO",0,IFERROR(VALUE(LEFT(E1765,FIND("º",E1765)-1)),""))))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IF(E1766="","",IF(LEFT(E1766,7)="SUBSOLO",-1,IF(LEFT(E1766,6)="TÉRREO",0,IFERROR(VALUE(LEFT(E1766,FIND("º",E1766)-1)),""))))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IF(E1767="","",IF(LEFT(E1767,7)="SUBSOLO",-1,IF(LEFT(E1767,6)="TÉRREO",0,IFERROR(VALUE(LEFT(E1767,FIND("º",E1767)-1)),""))))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IF(E1768="","",IF(LEFT(E1768,7)="SUBSOLO",-1,IF(LEFT(E1768,6)="TÉRREO",0,IFERROR(VALUE(LEFT(E1768,FIND("º",E1768)-1)),""))))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IF(E1769="","",IF(LEFT(E1769,7)="SUBSOLO",-1,IF(LEFT(E1769,6)="TÉRREO",0,IFERROR(VALUE(LEFT(E1769,FIND("º",E1769)-1)),""))))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IF(E1770="","",IF(LEFT(E1770,7)="SUBSOLO",-1,IF(LEFT(E1770,6)="TÉRREO",0,IFERROR(VALUE(LEFT(E1770,FIND("º",E1770)-1)),""))))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IF(E1771="","",IF(LEFT(E1771,7)="SUBSOLO",-1,IF(LEFT(E1771,6)="TÉRREO",0,IFERROR(VALUE(LEFT(E1771,FIND("º",E1771)-1)),""))))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IF(E1772="","",IF(LEFT(E1772,7)="SUBSOLO",-1,IF(LEFT(E1772,6)="TÉRREO",0,IFERROR(VALUE(LEFT(E1772,FIND("º",E1772)-1)),""))))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IF(E1773="","",IF(LEFT(E1773,7)="SUBSOLO",-1,IF(LEFT(E1773,6)="TÉRREO",0,IFERROR(VALUE(LEFT(E1773,FIND("º",E1773)-1)),""))))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IF(E1774="","",IF(LEFT(E1774,7)="SUBSOLO",-1,IF(LEFT(E1774,6)="TÉRREO",0,IFERROR(VALUE(LEFT(E1774,FIND("º",E1774)-1)),""))))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IF(E1775="","",IF(LEFT(E1775,7)="SUBSOLO",-1,IF(LEFT(E1775,6)="TÉRREO",0,IFERROR(VALUE(LEFT(E1775,FIND("º",E1775)-1)),""))))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IF(E1776="","",IF(LEFT(E1776,7)="SUBSOLO",-1,IF(LEFT(E1776,6)="TÉRREO",0,IFERROR(VALUE(LEFT(E1776,FIND("º",E1776)-1)),""))))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IF(E1777="","",IF(LEFT(E1777,7)="SUBSOLO",-1,IF(LEFT(E1777,6)="TÉRREO",0,IFERROR(VALUE(LEFT(E1777,FIND("º",E1777)-1)),""))))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IF(E1778="","",IF(LEFT(E1778,7)="SUBSOLO",-1,IF(LEFT(E1778,6)="TÉRREO",0,IFERROR(VALUE(LEFT(E1778,FIND("º",E1778)-1)),""))))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IF(E1779="","",IF(LEFT(E1779,7)="SUBSOLO",-1,IF(LEFT(E1779,6)="TÉRREO",0,IFERROR(VALUE(LEFT(E1779,FIND("º",E1779)-1)),""))))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IF(E1780="","",IF(LEFT(E1780,7)="SUBSOLO",-1,IF(LEFT(E1780,6)="TÉRREO",0,IFERROR(VALUE(LEFT(E1780,FIND("º",E1780)-1)),""))))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IF(E1781="","",IF(LEFT(E1781,7)="SUBSOLO",-1,IF(LEFT(E1781,6)="TÉRREO",0,IFERROR(VALUE(LEFT(E1781,FIND("º",E1781)-1)),""))))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IF(E1782="","",IF(LEFT(E1782,7)="SUBSOLO",-1,IF(LEFT(E1782,6)="TÉRREO",0,IFERROR(VALUE(LEFT(E1782,FIND("º",E1782)-1)),""))))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IF(E1783="","",IF(LEFT(E1783,7)="SUBSOLO",-1,IF(LEFT(E1783,6)="TÉRREO",0,IFERROR(VALUE(LEFT(E1783,FIND("º",E1783)-1)),""))))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IF(E1784="","",IF(LEFT(E1784,7)="SUBSOLO",-1,IF(LEFT(E1784,6)="TÉRREO",0,IFERROR(VALUE(LEFT(E1784,FIND("º",E1784)-1)),""))))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IF(E1785="","",IF(LEFT(E1785,7)="SUBSOLO",-1,IF(LEFT(E1785,6)="TÉRREO",0,IFERROR(VALUE(LEFT(E1785,FIND("º",E1785)-1)),""))))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IF(E1786="","",IF(LEFT(E1786,7)="SUBSOLO",-1,IF(LEFT(E1786,6)="TÉRREO",0,IFERROR(VALUE(LEFT(E1786,FIND("º",E1786)-1)),""))))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IF(E1787="","",IF(LEFT(E1787,7)="SUBSOLO",-1,IF(LEFT(E1787,6)="TÉRREO",0,IFERROR(VALUE(LEFT(E1787,FIND("º",E1787)-1)),""))))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IF(E1788="","",IF(LEFT(E1788,7)="SUBSOLO",-1,IF(LEFT(E1788,6)="TÉRREO",0,IFERROR(VALUE(LEFT(E1788,FIND("º",E1788)-1)),""))))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IF(E1789="","",IF(LEFT(E1789,7)="SUBSOLO",-1,IF(LEFT(E1789,6)="TÉRREO",0,IFERROR(VALUE(LEFT(E1789,FIND("º",E1789)-1)),""))))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IF(E1790="","",IF(LEFT(E1790,7)="SUBSOLO",-1,IF(LEFT(E1790,6)="TÉRREO",0,IFERROR(VALUE(LEFT(E1790,FIND("º",E1790)-1)),""))))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IF(E1791="","",IF(LEFT(E1791,7)="SUBSOLO",-1,IF(LEFT(E1791,6)="TÉRREO",0,IFERROR(VALUE(LEFT(E1791,FIND("º",E1791)-1)),""))))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IF(E1792="","",IF(LEFT(E1792,7)="SUBSOLO",-1,IF(LEFT(E1792,6)="TÉRREO",0,IFERROR(VALUE(LEFT(E1792,FIND("º",E1792)-1)),""))))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IF(E1793="","",IF(LEFT(E1793,7)="SUBSOLO",-1,IF(LEFT(E1793,6)="TÉRREO",0,IFERROR(VALUE(LEFT(E1793,FIND("º",E1793)-1)),""))))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IF(E1794="","",IF(LEFT(E1794,7)="SUBSOLO",-1,IF(LEFT(E1794,6)="TÉRREO",0,IFERROR(VALUE(LEFT(E1794,FIND("º",E1794)-1)),""))))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IF(E1795="","",IF(LEFT(E1795,7)="SUBSOLO",-1,IF(LEFT(E1795,6)="TÉRREO",0,IFERROR(VALUE(LEFT(E1795,FIND("º",E1795)-1)),""))))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IF(E1796="","",IF(LEFT(E1796,7)="SUBSOLO",-1,IF(LEFT(E1796,6)="TÉRREO",0,IFERROR(VALUE(LEFT(E1796,FIND("º",E1796)-1)),""))))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IF(E1797="","",IF(LEFT(E1797,7)="SUBSOLO",-1,IF(LEFT(E1797,6)="TÉRREO",0,IFERROR(VALUE(LEFT(E1797,FIND("º",E1797)-1)),""))))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IF(E1798="","",IF(LEFT(E1798,7)="SUBSOLO",-1,IF(LEFT(E1798,6)="TÉRREO",0,IFERROR(VALUE(LEFT(E1798,FIND("º",E1798)-1)),""))))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IF(E1799="","",IF(LEFT(E1799,7)="SUBSOLO",-1,IF(LEFT(E1799,6)="TÉRREO",0,IFERROR(VALUE(LEFT(E1799,FIND("º",E1799)-1)),""))))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IF(E1800="","",IF(LEFT(E1800,7)="SUBSOLO",-1,IF(LEFT(E1800,6)="TÉRREO",0,IFERROR(VALUE(LEFT(E1800,FIND("º",E1800)-1)),""))))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IF(E1801="","",IF(LEFT(E1801,7)="SUBSOLO",-1,IF(LEFT(E1801,6)="TÉRREO",0,IFERROR(VALUE(LEFT(E1801,FIND("º",E1801)-1)),""))))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IF(E1802="","",IF(LEFT(E1802,7)="SUBSOLO",-1,IF(LEFT(E1802,6)="TÉRREO",0,IFERROR(VALUE(LEFT(E1802,FIND("º",E1802)-1)),""))))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IF(E1803="","",IF(LEFT(E1803,7)="SUBSOLO",-1,IF(LEFT(E1803,6)="TÉRREO",0,IFERROR(VALUE(LEFT(E1803,FIND("º",E1803)-1)),""))))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IF(E1804="","",IF(LEFT(E1804,7)="SUBSOLO",-1,IF(LEFT(E1804,6)="TÉRREO",0,IFERROR(VALUE(LEFT(E1804,FIND("º",E1804)-1)),""))))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IF(E1805="","",IF(LEFT(E1805,7)="SUBSOLO",-1,IF(LEFT(E1805,6)="TÉRREO",0,IFERROR(VALUE(LEFT(E1805,FIND("º",E1805)-1)),""))))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IF(E1806="","",IF(LEFT(E1806,7)="SUBSOLO",-1,IF(LEFT(E1806,6)="TÉRREO",0,IFERROR(VALUE(LEFT(E1806,FIND("º",E1806)-1)),""))))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IF(E1807="","",IF(LEFT(E1807,7)="SUBSOLO",-1,IF(LEFT(E1807,6)="TÉRREO",0,IFERROR(VALUE(LEFT(E1807,FIND("º",E1807)-1)),""))))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IF(E1808="","",IF(LEFT(E1808,7)="SUBSOLO",-1,IF(LEFT(E1808,6)="TÉRREO",0,IFERROR(VALUE(LEFT(E1808,FIND("º",E1808)-1)),""))))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IF(E1809="","",IF(LEFT(E1809,7)="SUBSOLO",-1,IF(LEFT(E1809,6)="TÉRREO",0,IFERROR(VALUE(LEFT(E1809,FIND("º",E1809)-1)),""))))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IF(E1810="","",IF(LEFT(E1810,7)="SUBSOLO",-1,IF(LEFT(E1810,6)="TÉRREO",0,IFERROR(VALUE(LEFT(E1810,FIND("º",E1810)-1)),""))))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IF(E1811="","",IF(LEFT(E1811,7)="SUBSOLO",-1,IF(LEFT(E1811,6)="TÉRREO",0,IFERROR(VALUE(LEFT(E1811,FIND("º",E1811)-1)),""))))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IF(E1812="","",IF(LEFT(E1812,7)="SUBSOLO",-1,IF(LEFT(E1812,6)="TÉRREO",0,IFERROR(VALUE(LEFT(E1812,FIND("º",E1812)-1)),""))))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IF(E1813="","",IF(LEFT(E1813,7)="SUBSOLO",-1,IF(LEFT(E1813,6)="TÉRREO",0,IFERROR(VALUE(LEFT(E1813,FIND("º",E1813)-1)),""))))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IF(E1814="","",IF(LEFT(E1814,7)="SUBSOLO",-1,IF(LEFT(E1814,6)="TÉRREO",0,IFERROR(VALUE(LEFT(E1814,FIND("º",E1814)-1)),""))))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IF(E1815="","",IF(LEFT(E1815,7)="SUBSOLO",-1,IF(LEFT(E1815,6)="TÉRREO",0,IFERROR(VALUE(LEFT(E1815,FIND("º",E1815)-1)),""))))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IF(E1816="","",IF(LEFT(E1816,7)="SUBSOLO",-1,IF(LEFT(E1816,6)="TÉRREO",0,IFERROR(VALUE(LEFT(E1816,FIND("º",E1816)-1)),""))))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IF(E1817="","",IF(LEFT(E1817,7)="SUBSOLO",-1,IF(LEFT(E1817,6)="TÉRREO",0,IFERROR(VALUE(LEFT(E1817,FIND("º",E1817)-1)),""))))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IF(E1818="","",IF(LEFT(E1818,7)="SUBSOLO",-1,IF(LEFT(E1818,6)="TÉRREO",0,IFERROR(VALUE(LEFT(E1818,FIND("º",E1818)-1)),""))))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IF(E1819="","",IF(LEFT(E1819,7)="SUBSOLO",-1,IF(LEFT(E1819,6)="TÉRREO",0,IFERROR(VALUE(LEFT(E1819,FIND("º",E1819)-1)),""))))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IF(E1820="","",IF(LEFT(E1820,7)="SUBSOLO",-1,IF(LEFT(E1820,6)="TÉRREO",0,IFERROR(VALUE(LEFT(E1820,FIND("º",E1820)-1)),""))))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IF(E1821="","",IF(LEFT(E1821,7)="SUBSOLO",-1,IF(LEFT(E1821,6)="TÉRREO",0,IFERROR(VALUE(LEFT(E1821,FIND("º",E1821)-1)),""))))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IF(E1822="","",IF(LEFT(E1822,7)="SUBSOLO",-1,IF(LEFT(E1822,6)="TÉRREO",0,IFERROR(VALUE(LEFT(E1822,FIND("º",E1822)-1)),""))))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IF(E1823="","",IF(LEFT(E1823,7)="SUBSOLO",-1,IF(LEFT(E1823,6)="TÉRREO",0,IFERROR(VALUE(LEFT(E1823,FIND("º",E1823)-1)),""))))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IF(E1824="","",IF(LEFT(E1824,7)="SUBSOLO",-1,IF(LEFT(E1824,6)="TÉRREO",0,IFERROR(VALUE(LEFT(E1824,FIND("º",E1824)-1)),""))))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IF(E1825="","",IF(LEFT(E1825,7)="SUBSOLO",-1,IF(LEFT(E1825,6)="TÉRREO",0,IFERROR(VALUE(LEFT(E1825,FIND("º",E1825)-1)),""))))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IF(E1826="","",IF(LEFT(E1826,7)="SUBSOLO",-1,IF(LEFT(E1826,6)="TÉRREO",0,IFERROR(VALUE(LEFT(E1826,FIND("º",E1826)-1)),""))))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IF(E1827="","",IF(LEFT(E1827,7)="SUBSOLO",-1,IF(LEFT(E1827,6)="TÉRREO",0,IFERROR(VALUE(LEFT(E1827,FIND("º",E1827)-1)),""))))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IF(E1828="","",IF(LEFT(E1828,7)="SUBSOLO",-1,IF(LEFT(E1828,6)="TÉRREO",0,IFERROR(VALUE(LEFT(E1828,FIND("º",E1828)-1)),""))))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IF(E1829="","",IF(LEFT(E1829,7)="SUBSOLO",-1,IF(LEFT(E1829,6)="TÉRREO",0,IFERROR(VALUE(LEFT(E1829,FIND("º",E1829)-1)),""))))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IF(E1830="","",IF(LEFT(E1830,7)="SUBSOLO",-1,IF(LEFT(E1830,6)="TÉRREO",0,IFERROR(VALUE(LEFT(E1830,FIND("º",E1830)-1)),""))))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IF(E1831="","",IF(LEFT(E1831,7)="SUBSOLO",-1,IF(LEFT(E1831,6)="TÉRREO",0,IFERROR(VALUE(LEFT(E1831,FIND("º",E1831)-1)),""))))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IF(E1832="","",IF(LEFT(E1832,7)="SUBSOLO",-1,IF(LEFT(E1832,6)="TÉRREO",0,IFERROR(VALUE(LEFT(E1832,FIND("º",E1832)-1)),""))))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IF(E1833="","",IF(LEFT(E1833,7)="SUBSOLO",-1,IF(LEFT(E1833,6)="TÉRREO",0,IFERROR(VALUE(LEFT(E1833,FIND("º",E1833)-1)),""))))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IF(E1834="","",IF(LEFT(E1834,7)="SUBSOLO",-1,IF(LEFT(E1834,6)="TÉRREO",0,IFERROR(VALUE(LEFT(E1834,FIND("º",E1834)-1)),""))))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IF(E1835="","",IF(LEFT(E1835,7)="SUBSOLO",-1,IF(LEFT(E1835,6)="TÉRREO",0,IFERROR(VALUE(LEFT(E1835,FIND("º",E1835)-1)),""))))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IF(E1836="","",IF(LEFT(E1836,7)="SUBSOLO",-1,IF(LEFT(E1836,6)="TÉRREO",0,IFERROR(VALUE(LEFT(E1836,FIND("º",E1836)-1)),""))))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IF(E1837="","",IF(LEFT(E1837,7)="SUBSOLO",-1,IF(LEFT(E1837,6)="TÉRREO",0,IFERROR(VALUE(LEFT(E1837,FIND("º",E1837)-1)),""))))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IF(E1838="","",IF(LEFT(E1838,7)="SUBSOLO",-1,IF(LEFT(E1838,6)="TÉRREO",0,IFERROR(VALUE(LEFT(E1838,FIND("º",E1838)-1)),""))))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IF(E1839="","",IF(LEFT(E1839,7)="SUBSOLO",-1,IF(LEFT(E1839,6)="TÉRREO",0,IFERROR(VALUE(LEFT(E1839,FIND("º",E1839)-1)),""))))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IF(E1840="","",IF(LEFT(E1840,7)="SUBSOLO",-1,IF(LEFT(E1840,6)="TÉRREO",0,IFERROR(VALUE(LEFT(E1840,FIND("º",E1840)-1)),""))))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IF(E1841="","",IF(LEFT(E1841,7)="SUBSOLO",-1,IF(LEFT(E1841,6)="TÉRREO",0,IFERROR(VALUE(LEFT(E1841,FIND("º",E1841)-1)),""))))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IF(E1842="","",IF(LEFT(E1842,7)="SUBSOLO",-1,IF(LEFT(E1842,6)="TÉRREO",0,IFERROR(VALUE(LEFT(E1842,FIND("º",E1842)-1)),""))))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IF(E1843="","",IF(LEFT(E1843,7)="SUBSOLO",-1,IF(LEFT(E1843,6)="TÉRREO",0,IFERROR(VALUE(LEFT(E1843,FIND("º",E1843)-1)),""))))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IF(E1844="","",IF(LEFT(E1844,7)="SUBSOLO",-1,IF(LEFT(E1844,6)="TÉRREO",0,IFERROR(VALUE(LEFT(E1844,FIND("º",E1844)-1)),""))))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IF(E1845="","",IF(LEFT(E1845,7)="SUBSOLO",-1,IF(LEFT(E1845,6)="TÉRREO",0,IFERROR(VALUE(LEFT(E1845,FIND("º",E1845)-1)),""))))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IF(E1846="","",IF(LEFT(E1846,7)="SUBSOLO",-1,IF(LEFT(E1846,6)="TÉRREO",0,IFERROR(VALUE(LEFT(E1846,FIND("º",E1846)-1)),""))))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IF(E1847="","",IF(LEFT(E1847,7)="SUBSOLO",-1,IF(LEFT(E1847,6)="TÉRREO",0,IFERROR(VALUE(LEFT(E1847,FIND("º",E1847)-1)),""))))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IF(E1848="","",IF(LEFT(E1848,7)="SUBSOLO",-1,IF(LEFT(E1848,6)="TÉRREO",0,IFERROR(VALUE(LEFT(E1848,FIND("º",E1848)-1)),""))))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IF(E1849="","",IF(LEFT(E1849,7)="SUBSOLO",-1,IF(LEFT(E1849,6)="TÉRREO",0,IFERROR(VALUE(LEFT(E1849,FIND("º",E1849)-1)),""))))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IF(E1850="","",IF(LEFT(E1850,7)="SUBSOLO",-1,IF(LEFT(E1850,6)="TÉRREO",0,IFERROR(VALUE(LEFT(E1850,FIND("º",E1850)-1)),""))))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IF(E1851="","",IF(LEFT(E1851,7)="SUBSOLO",-1,IF(LEFT(E1851,6)="TÉRREO",0,IFERROR(VALUE(LEFT(E1851,FIND("º",E1851)-1)),""))))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IF(E1852="","",IF(LEFT(E1852,7)="SUBSOLO",-1,IF(LEFT(E1852,6)="TÉRREO",0,IFERROR(VALUE(LEFT(E1852,FIND("º",E1852)-1)),""))))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IF(E1853="","",IF(LEFT(E1853,7)="SUBSOLO",-1,IF(LEFT(E1853,6)="TÉRREO",0,IFERROR(VALUE(LEFT(E1853,FIND("º",E1853)-1)),""))))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IF(E1854="","",IF(LEFT(E1854,7)="SUBSOLO",-1,IF(LEFT(E1854,6)="TÉRREO",0,IFERROR(VALUE(LEFT(E1854,FIND("º",E1854)-1)),""))))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IF(E1855="","",IF(LEFT(E1855,7)="SUBSOLO",-1,IF(LEFT(E1855,6)="TÉRREO",0,IFERROR(VALUE(LEFT(E1855,FIND("º",E1855)-1)),""))))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IF(E1856="","",IF(LEFT(E1856,7)="SUBSOLO",-1,IF(LEFT(E1856,6)="TÉRREO",0,IFERROR(VALUE(LEFT(E1856,FIND("º",E1856)-1)),""))))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IF(E1857="","",IF(LEFT(E1857,7)="SUBSOLO",-1,IF(LEFT(E1857,6)="TÉRREO",0,IFERROR(VALUE(LEFT(E1857,FIND("º",E1857)-1)),""))))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IF(E1858="","",IF(LEFT(E1858,7)="SUBSOLO",-1,IF(LEFT(E1858,6)="TÉRREO",0,IFERROR(VALUE(LEFT(E1858,FIND("º",E1858)-1)),""))))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IF(E1859="","",IF(LEFT(E1859,7)="SUBSOLO",-1,IF(LEFT(E1859,6)="TÉRREO",0,IFERROR(VALUE(LEFT(E1859,FIND("º",E1859)-1)),""))))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IF(E1860="","",IF(LEFT(E1860,7)="SUBSOLO",-1,IF(LEFT(E1860,6)="TÉRREO",0,IFERROR(VALUE(LEFT(E1860,FIND("º",E1860)-1)),""))))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IF(E1861="","",IF(LEFT(E1861,7)="SUBSOLO",-1,IF(LEFT(E1861,6)="TÉRREO",0,IFERROR(VALUE(LEFT(E1861,FIND("º",E1861)-1)),""))))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IF(E1862="","",IF(LEFT(E1862,7)="SUBSOLO",-1,IF(LEFT(E1862,6)="TÉRREO",0,IFERROR(VALUE(LEFT(E1862,FIND("º",E1862)-1)),""))))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IF(E1863="","",IF(LEFT(E1863,7)="SUBSOLO",-1,IF(LEFT(E1863,6)="TÉRREO",0,IFERROR(VALUE(LEFT(E1863,FIND("º",E1863)-1)),""))))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IF(E1864="","",IF(LEFT(E1864,7)="SUBSOLO",-1,IF(LEFT(E1864,6)="TÉRREO",0,IFERROR(VALUE(LEFT(E1864,FIND("º",E1864)-1)),""))))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IF(E1865="","",IF(LEFT(E1865,7)="SUBSOLO",-1,IF(LEFT(E1865,6)="TÉRREO",0,IFERROR(VALUE(LEFT(E1865,FIND("º",E1865)-1)),""))))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IF(E1866="","",IF(LEFT(E1866,7)="SUBSOLO",-1,IF(LEFT(E1866,6)="TÉRREO",0,IFERROR(VALUE(LEFT(E1866,FIND("º",E1866)-1)),""))))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IF(E1867="","",IF(LEFT(E1867,7)="SUBSOLO",-1,IF(LEFT(E1867,6)="TÉRREO",0,IFERROR(VALUE(LEFT(E1867,FIND("º",E1867)-1)),""))))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IF(E1868="","",IF(LEFT(E1868,7)="SUBSOLO",-1,IF(LEFT(E1868,6)="TÉRREO",0,IFERROR(VALUE(LEFT(E1868,FIND("º",E1868)-1)),""))))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IF(E1869="","",IF(LEFT(E1869,7)="SUBSOLO",-1,IF(LEFT(E1869,6)="TÉRREO",0,IFERROR(VALUE(LEFT(E1869,FIND("º",E1869)-1)),""))))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IF(E1870="","",IF(LEFT(E1870,7)="SUBSOLO",-1,IF(LEFT(E1870,6)="TÉRREO",0,IFERROR(VALUE(LEFT(E1870,FIND("º",E1870)-1)),""))))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IF(E1871="","",IF(LEFT(E1871,7)="SUBSOLO",-1,IF(LEFT(E1871,6)="TÉRREO",0,IFERROR(VALUE(LEFT(E1871,FIND("º",E1871)-1)),""))))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IF(E1872="","",IF(LEFT(E1872,7)="SUBSOLO",-1,IF(LEFT(E1872,6)="TÉRREO",0,IFERROR(VALUE(LEFT(E1872,FIND("º",E1872)-1)),""))))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IF(E1873="","",IF(LEFT(E1873,7)="SUBSOLO",-1,IF(LEFT(E1873,6)="TÉRREO",0,IFERROR(VALUE(LEFT(E1873,FIND("º",E1873)-1)),""))))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IF(E1874="","",IF(LEFT(E1874,7)="SUBSOLO",-1,IF(LEFT(E1874,6)="TÉRREO",0,IFERROR(VALUE(LEFT(E1874,FIND("º",E1874)-1)),""))))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IF(E1875="","",IF(LEFT(E1875,7)="SUBSOLO",-1,IF(LEFT(E1875,6)="TÉRREO",0,IFERROR(VALUE(LEFT(E1875,FIND("º",E1875)-1)),""))))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IF(E1876="","",IF(LEFT(E1876,7)="SUBSOLO",-1,IF(LEFT(E1876,6)="TÉRREO",0,IFERROR(VALUE(LEFT(E1876,FIND("º",E1876)-1)),""))))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IF(E1877="","",IF(LEFT(E1877,7)="SUBSOLO",-1,IF(LEFT(E1877,6)="TÉRREO",0,IFERROR(VALUE(LEFT(E1877,FIND("º",E1877)-1)),""))))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IF(E1878="","",IF(LEFT(E1878,7)="SUBSOLO",-1,IF(LEFT(E1878,6)="TÉRREO",0,IFERROR(VALUE(LEFT(E1878,FIND("º",E1878)-1)),""))))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IF(E1879="","",IF(LEFT(E1879,7)="SUBSOLO",-1,IF(LEFT(E1879,6)="TÉRREO",0,IFERROR(VALUE(LEFT(E1879,FIND("º",E1879)-1)),""))))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IF(E1880="","",IF(LEFT(E1880,7)="SUBSOLO",-1,IF(LEFT(E1880,6)="TÉRREO",0,IFERROR(VALUE(LEFT(E1880,FIND("º",E1880)-1)),""))))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IF(E1881="","",IF(LEFT(E1881,7)="SUBSOLO",-1,IF(LEFT(E1881,6)="TÉRREO",0,IFERROR(VALUE(LEFT(E1881,FIND("º",E1881)-1)),""))))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IF(E1882="","",IF(LEFT(E1882,7)="SUBSOLO",-1,IF(LEFT(E1882,6)="TÉRREO",0,IFERROR(VALUE(LEFT(E1882,FIND("º",E1882)-1)),""))))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IF(E1883="","",IF(LEFT(E1883,7)="SUBSOLO",-1,IF(LEFT(E1883,6)="TÉRREO",0,IFERROR(VALUE(LEFT(E1883,FIND("º",E1883)-1)),""))))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IF(E1884="","",IF(LEFT(E1884,7)="SUBSOLO",-1,IF(LEFT(E1884,6)="TÉRREO",0,IFERROR(VALUE(LEFT(E1884,FIND("º",E1884)-1)),""))))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IF(E1885="","",IF(LEFT(E1885,7)="SUBSOLO",-1,IF(LEFT(E1885,6)="TÉRREO",0,IFERROR(VALUE(LEFT(E1885,FIND("º",E1885)-1)),""))))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IF(E1886="","",IF(LEFT(E1886,7)="SUBSOLO",-1,IF(LEFT(E1886,6)="TÉRREO",0,IFERROR(VALUE(LEFT(E1886,FIND("º",E1886)-1)),""))))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IF(E1887="","",IF(LEFT(E1887,7)="SUBSOLO",-1,IF(LEFT(E1887,6)="TÉRREO",0,IFERROR(VALUE(LEFT(E1887,FIND("º",E1887)-1)),""))))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IF(E1888="","",IF(LEFT(E1888,7)="SUBSOLO",-1,IF(LEFT(E1888,6)="TÉRREO",0,IFERROR(VALUE(LEFT(E1888,FIND("º",E1888)-1)),""))))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IF(E1889="","",IF(LEFT(E1889,7)="SUBSOLO",-1,IF(LEFT(E1889,6)="TÉRREO",0,IFERROR(VALUE(LEFT(E1889,FIND("º",E1889)-1)),""))))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IF(E1890="","",IF(LEFT(E1890,7)="SUBSOLO",-1,IF(LEFT(E1890,6)="TÉRREO",0,IFERROR(VALUE(LEFT(E1890,FIND("º",E1890)-1)),""))))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IF(E1891="","",IF(LEFT(E1891,7)="SUBSOLO",-1,IF(LEFT(E1891,6)="TÉRREO",0,IFERROR(VALUE(LEFT(E1891,FIND("º",E1891)-1)),""))))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IF(E1892="","",IF(LEFT(E1892,7)="SUBSOLO",-1,IF(LEFT(E1892,6)="TÉRREO",0,IFERROR(VALUE(LEFT(E1892,FIND("º",E1892)-1)),""))))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IF(E1893="","",IF(LEFT(E1893,7)="SUBSOLO",-1,IF(LEFT(E1893,6)="TÉRREO",0,IFERROR(VALUE(LEFT(E1893,FIND("º",E1893)-1)),""))))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IF(E1894="","",IF(LEFT(E1894,7)="SUBSOLO",-1,IF(LEFT(E1894,6)="TÉRREO",0,IFERROR(VALUE(LEFT(E1894,FIND("º",E1894)-1)),""))))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IF(E1895="","",IF(LEFT(E1895,7)="SUBSOLO",-1,IF(LEFT(E1895,6)="TÉRREO",0,IFERROR(VALUE(LEFT(E1895,FIND("º",E1895)-1)),""))))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IF(E1896="","",IF(LEFT(E1896,7)="SUBSOLO",-1,IF(LEFT(E1896,6)="TÉRREO",0,IFERROR(VALUE(LEFT(E1896,FIND("º",E1896)-1)),""))))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IF(E1897="","",IF(LEFT(E1897,7)="SUBSOLO",-1,IF(LEFT(E1897,6)="TÉRREO",0,IFERROR(VALUE(LEFT(E1897,FIND("º",E1897)-1)),""))))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IF(E1898="","",IF(LEFT(E1898,7)="SUBSOLO",-1,IF(LEFT(E1898,6)="TÉRREO",0,IFERROR(VALUE(LEFT(E1898,FIND("º",E1898)-1)),""))))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IF(E1899="","",IF(LEFT(E1899,7)="SUBSOLO",-1,IF(LEFT(E1899,6)="TÉRREO",0,IFERROR(VALUE(LEFT(E1899,FIND("º",E1899)-1)),""))))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IF(E1900="","",IF(LEFT(E1900,7)="SUBSOLO",-1,IF(LEFT(E1900,6)="TÉRREO",0,IFERROR(VALUE(LEFT(E1900,FIND("º",E1900)-1)),""))))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IF(E1901="","",IF(LEFT(E1901,7)="SUBSOLO",-1,IF(LEFT(E1901,6)="TÉRREO",0,IFERROR(VALUE(LEFT(E1901,FIND("º",E1901)-1)),""))))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IF(E1902="","",IF(LEFT(E1902,7)="SUBSOLO",-1,IF(LEFT(E1902,6)="TÉRREO",0,IFERROR(VALUE(LEFT(E1902,FIND("º",E1902)-1)),""))))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IF(E1903="","",IF(LEFT(E1903,7)="SUBSOLO",-1,IF(LEFT(E1903,6)="TÉRREO",0,IFERROR(VALUE(LEFT(E1903,FIND("º",E1903)-1)),""))))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IF(E1904="","",IF(LEFT(E1904,7)="SUBSOLO",-1,IF(LEFT(E1904,6)="TÉRREO",0,IFERROR(VALUE(LEFT(E1904,FIND("º",E1904)-1)),""))))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IF(E1905="","",IF(LEFT(E1905,7)="SUBSOLO",-1,IF(LEFT(E1905,6)="TÉRREO",0,IFERROR(VALUE(LEFT(E1905,FIND("º",E1905)-1)),""))))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IF(E1906="","",IF(LEFT(E1906,7)="SUBSOLO",-1,IF(LEFT(E1906,6)="TÉRREO",0,IFERROR(VALUE(LEFT(E1906,FIND("º",E1906)-1)),""))))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IF(E1907="","",IF(LEFT(E1907,7)="SUBSOLO",-1,IF(LEFT(E1907,6)="TÉRREO",0,IFERROR(VALUE(LEFT(E1907,FIND("º",E1907)-1)),""))))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IF(E1908="","",IF(LEFT(E1908,7)="SUBSOLO",-1,IF(LEFT(E1908,6)="TÉRREO",0,IFERROR(VALUE(LEFT(E1908,FIND("º",E1908)-1)),""))))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IF(E1909="","",IF(LEFT(E1909,7)="SUBSOLO",-1,IF(LEFT(E1909,6)="TÉRREO",0,IFERROR(VALUE(LEFT(E1909,FIND("º",E1909)-1)),""))))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IF(E1910="","",IF(LEFT(E1910,7)="SUBSOLO",-1,IF(LEFT(E1910,6)="TÉRREO",0,IFERROR(VALUE(LEFT(E1910,FIND("º",E1910)-1)),""))))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IF(E1911="","",IF(LEFT(E1911,7)="SUBSOLO",-1,IF(LEFT(E1911,6)="TÉRREO",0,IFERROR(VALUE(LEFT(E1911,FIND("º",E1911)-1)),""))))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IF(E1912="","",IF(LEFT(E1912,7)="SUBSOLO",-1,IF(LEFT(E1912,6)="TÉRREO",0,IFERROR(VALUE(LEFT(E1912,FIND("º",E1912)-1)),""))))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IF(E1913="","",IF(LEFT(E1913,7)="SUBSOLO",-1,IF(LEFT(E1913,6)="TÉRREO",0,IFERROR(VALUE(LEFT(E1913,FIND("º",E1913)-1)),""))))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IF(E1914="","",IF(LEFT(E1914,7)="SUBSOLO",-1,IF(LEFT(E1914,6)="TÉRREO",0,IFERROR(VALUE(LEFT(E1914,FIND("º",E1914)-1)),""))))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IF(E1915="","",IF(LEFT(E1915,7)="SUBSOLO",-1,IF(LEFT(E1915,6)="TÉRREO",0,IFERROR(VALUE(LEFT(E1915,FIND("º",E1915)-1)),""))))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IF(E1916="","",IF(LEFT(E1916,7)="SUBSOLO",-1,IF(LEFT(E1916,6)="TÉRREO",0,IFERROR(VALUE(LEFT(E1916,FIND("º",E1916)-1)),""))))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IF(E1917="","",IF(LEFT(E1917,7)="SUBSOLO",-1,IF(LEFT(E1917,6)="TÉRREO",0,IFERROR(VALUE(LEFT(E1917,FIND("º",E1917)-1)),""))))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IF(E1918="","",IF(LEFT(E1918,7)="SUBSOLO",-1,IF(LEFT(E1918,6)="TÉRREO",0,IFERROR(VALUE(LEFT(E1918,FIND("º",E1918)-1)),""))))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IF(E1919="","",IF(LEFT(E1919,7)="SUBSOLO",-1,IF(LEFT(E1919,6)="TÉRREO",0,IFERROR(VALUE(LEFT(E1919,FIND("º",E1919)-1)),""))))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IF(E1920="","",IF(LEFT(E1920,7)="SUBSOLO",-1,IF(LEFT(E1920,6)="TÉRREO",0,IFERROR(VALUE(LEFT(E1920,FIND("º",E1920)-1)),""))))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IF(E1921="","",IF(LEFT(E1921,7)="SUBSOLO",-1,IF(LEFT(E1921,6)="TÉRREO",0,IFERROR(VALUE(LEFT(E1921,FIND("º",E1921)-1)),""))))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IF(E1922="","",IF(LEFT(E1922,7)="SUBSOLO",-1,IF(LEFT(E1922,6)="TÉRREO",0,IFERROR(VALUE(LEFT(E1922,FIND("º",E1922)-1)),""))))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IF(E1923="","",IF(LEFT(E1923,7)="SUBSOLO",-1,IF(LEFT(E1923,6)="TÉRREO",0,IFERROR(VALUE(LEFT(E1923,FIND("º",E1923)-1)),""))))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IF(E1924="","",IF(LEFT(E1924,7)="SUBSOLO",-1,IF(LEFT(E1924,6)="TÉRREO",0,IFERROR(VALUE(LEFT(E1924,FIND("º",E1924)-1)),""))))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IF(E1925="","",IF(LEFT(E1925,7)="SUBSOLO",-1,IF(LEFT(E1925,6)="TÉRREO",0,IFERROR(VALUE(LEFT(E1925,FIND("º",E1925)-1)),""))))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IF(E1926="","",IF(LEFT(E1926,7)="SUBSOLO",-1,IF(LEFT(E1926,6)="TÉRREO",0,IFERROR(VALUE(LEFT(E1926,FIND("º",E1926)-1)),""))))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IF(E1927="","",IF(LEFT(E1927,7)="SUBSOLO",-1,IF(LEFT(E1927,6)="TÉRREO",0,IFERROR(VALUE(LEFT(E1927,FIND("º",E1927)-1)),""))))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IF(E1928="","",IF(LEFT(E1928,7)="SUBSOLO",-1,IF(LEFT(E1928,6)="TÉRREO",0,IFERROR(VALUE(LEFT(E1928,FIND("º",E1928)-1)),""))))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IF(E1929="","",IF(LEFT(E1929,7)="SUBSOLO",-1,IF(LEFT(E1929,6)="TÉRREO",0,IFERROR(VALUE(LEFT(E1929,FIND("º",E1929)-1)),""))))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IF(E1930="","",IF(LEFT(E1930,7)="SUBSOLO",-1,IF(LEFT(E1930,6)="TÉRREO",0,IFERROR(VALUE(LEFT(E1930,FIND("º",E1930)-1)),""))))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IF(E1931="","",IF(LEFT(E1931,7)="SUBSOLO",-1,IF(LEFT(E1931,6)="TÉRREO",0,IFERROR(VALUE(LEFT(E1931,FIND("º",E1931)-1)),""))))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IF(E1932="","",IF(LEFT(E1932,7)="SUBSOLO",-1,IF(LEFT(E1932,6)="TÉRREO",0,IFERROR(VALUE(LEFT(E1932,FIND("º",E1932)-1)),""))))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IF(E1933="","",IF(LEFT(E1933,7)="SUBSOLO",-1,IF(LEFT(E1933,6)="TÉRREO",0,IFERROR(VALUE(LEFT(E1933,FIND("º",E1933)-1)),""))))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IF(E1934="","",IF(LEFT(E1934,7)="SUBSOLO",-1,IF(LEFT(E1934,6)="TÉRREO",0,IFERROR(VALUE(LEFT(E1934,FIND("º",E1934)-1)),""))))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IF(E1935="","",IF(LEFT(E1935,7)="SUBSOLO",-1,IF(LEFT(E1935,6)="TÉRREO",0,IFERROR(VALUE(LEFT(E1935,FIND("º",E1935)-1)),""))))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IF(E1936="","",IF(LEFT(E1936,7)="SUBSOLO",-1,IF(LEFT(E1936,6)="TÉRREO",0,IFERROR(VALUE(LEFT(E1936,FIND("º",E1936)-1)),""))))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IF(E1937="","",IF(LEFT(E1937,7)="SUBSOLO",-1,IF(LEFT(E1937,6)="TÉRREO",0,IFERROR(VALUE(LEFT(E1937,FIND("º",E1937)-1)),""))))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IF(E1938="","",IF(LEFT(E1938,7)="SUBSOLO",-1,IF(LEFT(E1938,6)="TÉRREO",0,IFERROR(VALUE(LEFT(E1938,FIND("º",E1938)-1)),""))))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IF(E1939="","",IF(LEFT(E1939,7)="SUBSOLO",-1,IF(LEFT(E1939,6)="TÉRREO",0,IFERROR(VALUE(LEFT(E1939,FIND("º",E1939)-1)),""))))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IF(E1940="","",IF(LEFT(E1940,7)="SUBSOLO",-1,IF(LEFT(E1940,6)="TÉRREO",0,IFERROR(VALUE(LEFT(E1940,FIND("º",E1940)-1)),""))))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IF(E1941="","",IF(LEFT(E1941,7)="SUBSOLO",-1,IF(LEFT(E1941,6)="TÉRREO",0,IFERROR(VALUE(LEFT(E1941,FIND("º",E1941)-1)),""))))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IF(E1942="","",IF(LEFT(E1942,7)="SUBSOLO",-1,IF(LEFT(E1942,6)="TÉRREO",0,IFERROR(VALUE(LEFT(E1942,FIND("º",E1942)-1)),""))))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IF(E1943="","",IF(LEFT(E1943,7)="SUBSOLO",-1,IF(LEFT(E1943,6)="TÉRREO",0,IFERROR(VALUE(LEFT(E1943,FIND("º",E1943)-1)),""))))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IF(E1944="","",IF(LEFT(E1944,7)="SUBSOLO",-1,IF(LEFT(E1944,6)="TÉRREO",0,IFERROR(VALUE(LEFT(E1944,FIND("º",E1944)-1)),""))))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IF(E1945="","",IF(LEFT(E1945,7)="SUBSOLO",-1,IF(LEFT(E1945,6)="TÉRREO",0,IFERROR(VALUE(LEFT(E1945,FIND("º",E1945)-1)),""))))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IF(E1946="","",IF(LEFT(E1946,7)="SUBSOLO",-1,IF(LEFT(E1946,6)="TÉRREO",0,IFERROR(VALUE(LEFT(E1946,FIND("º",E1946)-1)),""))))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IF(E1947="","",IF(LEFT(E1947,7)="SUBSOLO",-1,IF(LEFT(E1947,6)="TÉRREO",0,IFERROR(VALUE(LEFT(E1947,FIND("º",E1947)-1)),""))))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IF(E1948="","",IF(LEFT(E1948,7)="SUBSOLO",-1,IF(LEFT(E1948,6)="TÉRREO",0,IFERROR(VALUE(LEFT(E1948,FIND("º",E1948)-1)),""))))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IF(E1949="","",IF(LEFT(E1949,7)="SUBSOLO",-1,IF(LEFT(E1949,6)="TÉRREO",0,IFERROR(VALUE(LEFT(E1949,FIND("º",E1949)-1)),""))))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IF(E1950="","",IF(LEFT(E1950,7)="SUBSOLO",-1,IF(LEFT(E1950,6)="TÉRREO",0,IFERROR(VALUE(LEFT(E1950,FIND("º",E1950)-1)),""))))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IF(E1951="","",IF(LEFT(E1951,7)="SUBSOLO",-1,IF(LEFT(E1951,6)="TÉRREO",0,IFERROR(VALUE(LEFT(E1951,FIND("º",E1951)-1)),""))))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IF(E1952="","",IF(LEFT(E1952,7)="SUBSOLO",-1,IF(LEFT(E1952,6)="TÉRREO",0,IFERROR(VALUE(LEFT(E1952,FIND("º",E1952)-1)),""))))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IF(E1953="","",IF(LEFT(E1953,7)="SUBSOLO",-1,IF(LEFT(E1953,6)="TÉRREO",0,IFERROR(VALUE(LEFT(E1953,FIND("º",E1953)-1)),""))))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IF(E1954="","",IF(LEFT(E1954,7)="SUBSOLO",-1,IF(LEFT(E1954,6)="TÉRREO",0,IFERROR(VALUE(LEFT(E1954,FIND("º",E1954)-1)),""))))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IF(E1955="","",IF(LEFT(E1955,7)="SUBSOLO",-1,IF(LEFT(E1955,6)="TÉRREO",0,IFERROR(VALUE(LEFT(E1955,FIND("º",E1955)-1)),""))))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IF(E1956="","",IF(LEFT(E1956,7)="SUBSOLO",-1,IF(LEFT(E1956,6)="TÉRREO",0,IFERROR(VALUE(LEFT(E1956,FIND("º",E1956)-1)),""))))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IF(E1957="","",IF(LEFT(E1957,7)="SUBSOLO",-1,IF(LEFT(E1957,6)="TÉRREO",0,IFERROR(VALUE(LEFT(E1957,FIND("º",E1957)-1)),""))))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IF(E1958="","",IF(LEFT(E1958,7)="SUBSOLO",-1,IF(LEFT(E1958,6)="TÉRREO",0,IFERROR(VALUE(LEFT(E1958,FIND("º",E1958)-1)),""))))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IF(E1959="","",IF(LEFT(E1959,7)="SUBSOLO",-1,IF(LEFT(E1959,6)="TÉRREO",0,IFERROR(VALUE(LEFT(E1959,FIND("º",E1959)-1)),""))))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IF(E1960="","",IF(LEFT(E1960,7)="SUBSOLO",-1,IF(LEFT(E1960,6)="TÉRREO",0,IFERROR(VALUE(LEFT(E1960,FIND("º",E1960)-1)),""))))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IF(E1961="","",IF(LEFT(E1961,7)="SUBSOLO",-1,IF(LEFT(E1961,6)="TÉRREO",0,IFERROR(VALUE(LEFT(E1961,FIND("º",E1961)-1)),""))))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IF(E1962="","",IF(LEFT(E1962,7)="SUBSOLO",-1,IF(LEFT(E1962,6)="TÉRREO",0,IFERROR(VALUE(LEFT(E1962,FIND("º",E1962)-1)),""))))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IF(E1963="","",IF(LEFT(E1963,7)="SUBSOLO",-1,IF(LEFT(E1963,6)="TÉRREO",0,IFERROR(VALUE(LEFT(E1963,FIND("º",E1963)-1)),""))))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IF(E1964="","",IF(LEFT(E1964,7)="SUBSOLO",-1,IF(LEFT(E1964,6)="TÉRREO",0,IFERROR(VALUE(LEFT(E1964,FIND("º",E1964)-1)),""))))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IF(E1965="","",IF(LEFT(E1965,7)="SUBSOLO",-1,IF(LEFT(E1965,6)="TÉRREO",0,IFERROR(VALUE(LEFT(E1965,FIND("º",E1965)-1)),""))))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IF(E1966="","",IF(LEFT(E1966,7)="SUBSOLO",-1,IF(LEFT(E1966,6)="TÉRREO",0,IFERROR(VALUE(LEFT(E1966,FIND("º",E1966)-1)),""))))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IF(E1967="","",IF(LEFT(E1967,7)="SUBSOLO",-1,IF(LEFT(E1967,6)="TÉRREO",0,IFERROR(VALUE(LEFT(E1967,FIND("º",E1967)-1)),""))))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IF(E1968="","",IF(LEFT(E1968,7)="SUBSOLO",-1,IF(LEFT(E1968,6)="TÉRREO",0,IFERROR(VALUE(LEFT(E1968,FIND("º",E1968)-1)),""))))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IF(E1969="","",IF(LEFT(E1969,7)="SUBSOLO",-1,IF(LEFT(E1969,6)="TÉRREO",0,IFERROR(VALUE(LEFT(E1969,FIND("º",E1969)-1)),""))))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IF(E1970="","",IF(LEFT(E1970,7)="SUBSOLO",-1,IF(LEFT(E1970,6)="TÉRREO",0,IFERROR(VALUE(LEFT(E1970,FIND("º",E1970)-1)),""))))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IF(E1971="","",IF(LEFT(E1971,7)="SUBSOLO",-1,IF(LEFT(E1971,6)="TÉRREO",0,IFERROR(VALUE(LEFT(E1971,FIND("º",E1971)-1)),""))))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IF(E1972="","",IF(LEFT(E1972,7)="SUBSOLO",-1,IF(LEFT(E1972,6)="TÉRREO",0,IFERROR(VALUE(LEFT(E1972,FIND("º",E1972)-1)),""))))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IF(E1973="","",IF(LEFT(E1973,7)="SUBSOLO",-1,IF(LEFT(E1973,6)="TÉRREO",0,IFERROR(VALUE(LEFT(E1973,FIND("º",E1973)-1)),""))))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IF(E1974="","",IF(LEFT(E1974,7)="SUBSOLO",-1,IF(LEFT(E1974,6)="TÉRREO",0,IFERROR(VALUE(LEFT(E1974,FIND("º",E1974)-1)),""))))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IF(E1975="","",IF(LEFT(E1975,7)="SUBSOLO",-1,IF(LEFT(E1975,6)="TÉRREO",0,IFERROR(VALUE(LEFT(E1975,FIND("º",E1975)-1)),""))))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IF(E1976="","",IF(LEFT(E1976,7)="SUBSOLO",-1,IF(LEFT(E1976,6)="TÉRREO",0,IFERROR(VALUE(LEFT(E1976,FIND("º",E1976)-1)),""))))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IF(E1977="","",IF(LEFT(E1977,7)="SUBSOLO",-1,IF(LEFT(E1977,6)="TÉRREO",0,IFERROR(VALUE(LEFT(E1977,FIND("º",E1977)-1)),""))))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IF(E1978="","",IF(LEFT(E1978,7)="SUBSOLO",-1,IF(LEFT(E1978,6)="TÉRREO",0,IFERROR(VALUE(LEFT(E1978,FIND("º",E1978)-1)),""))))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IF(E1979="","",IF(LEFT(E1979,7)="SUBSOLO",-1,IF(LEFT(E1979,6)="TÉRREO",0,IFERROR(VALUE(LEFT(E1979,FIND("º",E1979)-1)),""))))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IF(E1980="","",IF(LEFT(E1980,7)="SUBSOLO",-1,IF(LEFT(E1980,6)="TÉRREO",0,IFERROR(VALUE(LEFT(E1980,FIND("º",E1980)-1)),""))))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IF(E1981="","",IF(LEFT(E1981,7)="SUBSOLO",-1,IF(LEFT(E1981,6)="TÉRREO",0,IFERROR(VALUE(LEFT(E1981,FIND("º",E1981)-1)),""))))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IF(E1982="","",IF(LEFT(E1982,7)="SUBSOLO",-1,IF(LEFT(E1982,6)="TÉRREO",0,IFERROR(VALUE(LEFT(E1982,FIND("º",E1982)-1)),""))))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IF(E1983="","",IF(LEFT(E1983,7)="SUBSOLO",-1,IF(LEFT(E1983,6)="TÉRREO",0,IFERROR(VALUE(LEFT(E1983,FIND("º",E1983)-1)),""))))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IF(E1984="","",IF(LEFT(E1984,7)="SUBSOLO",-1,IF(LEFT(E1984,6)="TÉRREO",0,IFERROR(VALUE(LEFT(E1984,FIND("º",E1984)-1)),""))))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IF(E1985="","",IF(LEFT(E1985,7)="SUBSOLO",-1,IF(LEFT(E1985,6)="TÉRREO",0,IFERROR(VALUE(LEFT(E1985,FIND("º",E1985)-1)),""))))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IF(E1986="","",IF(LEFT(E1986,7)="SUBSOLO",-1,IF(LEFT(E1986,6)="TÉRREO",0,IFERROR(VALUE(LEFT(E1986,FIND("º",E1986)-1)),""))))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IF(E1987="","",IF(LEFT(E1987,7)="SUBSOLO",-1,IF(LEFT(E1987,6)="TÉRREO",0,IFERROR(VALUE(LEFT(E1987,FIND("º",E1987)-1)),""))))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IF(E1988="","",IF(LEFT(E1988,7)="SUBSOLO",-1,IF(LEFT(E1988,6)="TÉRREO",0,IFERROR(VALUE(LEFT(E1988,FIND("º",E1988)-1)),""))))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IF(E1989="","",IF(LEFT(E1989,7)="SUBSOLO",-1,IF(LEFT(E1989,6)="TÉRREO",0,IFERROR(VALUE(LEFT(E1989,FIND("º",E1989)-1)),""))))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IF(E1990="","",IF(LEFT(E1990,7)="SUBSOLO",-1,IF(LEFT(E1990,6)="TÉRREO",0,IFERROR(VALUE(LEFT(E1990,FIND("º",E1990)-1)),""))))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IF(E1991="","",IF(LEFT(E1991,7)="SUBSOLO",-1,IF(LEFT(E1991,6)="TÉRREO",0,IFERROR(VALUE(LEFT(E1991,FIND("º",E1991)-1)),""))))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IF(E1992="","",IF(LEFT(E1992,7)="SUBSOLO",-1,IF(LEFT(E1992,6)="TÉRREO",0,IFERROR(VALUE(LEFT(E1992,FIND("º",E1992)-1)),""))))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IF(E1993="","",IF(LEFT(E1993,7)="SUBSOLO",-1,IF(LEFT(E1993,6)="TÉRREO",0,IFERROR(VALUE(LEFT(E1993,FIND("º",E1993)-1)),""))))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IF(E1994="","",IF(LEFT(E1994,7)="SUBSOLO",-1,IF(LEFT(E1994,6)="TÉRREO",0,IFERROR(VALUE(LEFT(E1994,FIND("º",E1994)-1)),""))))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IF(E1995="","",IF(LEFT(E1995,7)="SUBSOLO",-1,IF(LEFT(E1995,6)="TÉRREO",0,IFERROR(VALUE(LEFT(E1995,FIND("º",E1995)-1)),""))))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IF(E1996="","",IF(LEFT(E1996,7)="SUBSOLO",-1,IF(LEFT(E1996,6)="TÉRREO",0,IFERROR(VALUE(LEFT(E1996,FIND("º",E1996)-1)),""))))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IF(E1997="","",IF(LEFT(E1997,7)="SUBSOLO",-1,IF(LEFT(E1997,6)="TÉRREO",0,IFERROR(VALUE(LEFT(E1997,FIND("º",E1997)-1)),""))))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IF(E1998="","",IF(LEFT(E1998,7)="SUBSOLO",-1,IF(LEFT(E1998,6)="TÉRREO",0,IFERROR(VALUE(LEFT(E1998,FIND("º",E1998)-1)),""))))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IF(E1999="","",IF(LEFT(E1999,7)="SUBSOLO",-1,IF(LEFT(E1999,6)="TÉRREO",0,IFERROR(VALUE(LEFT(E1999,FIND("º",E1999)-1)),""))))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IF(E2000="","",IF(LEFT(E2000,7)="SUBSOLO",-1,IF(LEFT(E2000,6)="TÉRREO",0,IFERROR(VALUE(LEFT(E2000,FIND("º",E2000)-1)),""))))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IF(E2001="","",IF(LEFT(E2001,7)="SUBSOLO",-1,IF(LEFT(E2001,6)="TÉRREO",0,IFERROR(VALUE(LEFT(E2001,FIND("º",E2001)-1)),""))))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IF(E2002="","",IF(LEFT(E2002,7)="SUBSOLO",-1,IF(LEFT(E2002,6)="TÉRREO",0,IFERROR(VALUE(LEFT(E2002,FIND("º",E2002)-1)),""))))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IF(E2003="","",IF(LEFT(E2003,7)="SUBSOLO",-1,IF(LEFT(E2003,6)="TÉRREO",0,IFERROR(VALUE(LEFT(E2003,FIND("º",E2003)-1)),""))))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IF(E2004="","",IF(LEFT(E2004,7)="SUBSOLO",-1,IF(LEFT(E2004,6)="TÉRREO",0,IFERROR(VALUE(LEFT(E2004,FIND("º",E2004)-1)),""))))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IF(E2005="","",IF(LEFT(E2005,7)="SUBSOLO",-1,IF(LEFT(E2005,6)="TÉRREO",0,IFERROR(VALUE(LEFT(E2005,FIND("º",E2005)-1)),""))))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IF(E2006="","",IF(LEFT(E2006,7)="SUBSOLO",-1,IF(LEFT(E2006,6)="TÉRREO",0,IFERROR(VALUE(LEFT(E2006,FIND("º",E2006)-1)),""))))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IF(E2007="","",IF(LEFT(E2007,7)="SUBSOLO",-1,IF(LEFT(E2007,6)="TÉRREO",0,IFERROR(VALUE(LEFT(E2007,FIND("º",E2007)-1)),""))))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IF(E2008="","",IF(LEFT(E2008,7)="SUBSOLO",-1,IF(LEFT(E2008,6)="TÉRREO",0,IFERROR(VALUE(LEFT(E2008,FIND("º",E2008)-1)),""))))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IF(E2009="","",IF(LEFT(E2009,7)="SUBSOLO",-1,IF(LEFT(E2009,6)="TÉRREO",0,IFERROR(VALUE(LEFT(E2009,FIND("º",E2009)-1)),""))))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IF(E2010="","",IF(LEFT(E2010,7)="SUBSOLO",-1,IF(LEFT(E2010,6)="TÉRREO",0,IFERROR(VALUE(LEFT(E2010,FIND("º",E2010)-1)),""))))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IF(E2011="","",IF(LEFT(E2011,7)="SUBSOLO",-1,IF(LEFT(E2011,6)="TÉRREO",0,IFERROR(VALUE(LEFT(E2011,FIND("º",E2011)-1)),""))))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IF(E2012="","",IF(LEFT(E2012,7)="SUBSOLO",-1,IF(LEFT(E2012,6)="TÉRREO",0,IFERROR(VALUE(LEFT(E2012,FIND("º",E2012)-1)),""))))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IF(E2013="","",IF(LEFT(E2013,7)="SUBSOLO",-1,IF(LEFT(E2013,6)="TÉRREO",0,IFERROR(VALUE(LEFT(E2013,FIND("º",E2013)-1)),""))))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IF(E2014="","",IF(LEFT(E2014,7)="SUBSOLO",-1,IF(LEFT(E2014,6)="TÉRREO",0,IFERROR(VALUE(LEFT(E2014,FIND("º",E2014)-1)),""))))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IF(E2015="","",IF(LEFT(E2015,7)="SUBSOLO",-1,IF(LEFT(E2015,6)="TÉRREO",0,IFERROR(VALUE(LEFT(E2015,FIND("º",E2015)-1)),""))))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IF(E2016="","",IF(LEFT(E2016,7)="SUBSOLO",-1,IF(LEFT(E2016,6)="TÉRREO",0,IFERROR(VALUE(LEFT(E2016,FIND("º",E2016)-1)),""))))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IF(E2017="","",IF(LEFT(E2017,7)="SUBSOLO",-1,IF(LEFT(E2017,6)="TÉRREO",0,IFERROR(VALUE(LEFT(E2017,FIND("º",E2017)-1)),""))))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IF(E2018="","",IF(LEFT(E2018,7)="SUBSOLO",-1,IF(LEFT(E2018,6)="TÉRREO",0,IFERROR(VALUE(LEFT(E2018,FIND("º",E2018)-1)),""))))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IF(E2019="","",IF(LEFT(E2019,7)="SUBSOLO",-1,IF(LEFT(E2019,6)="TÉRREO",0,IFERROR(VALUE(LEFT(E2019,FIND("º",E2019)-1)),""))))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IF(E2020="","",IF(LEFT(E2020,7)="SUBSOLO",-1,IF(LEFT(E2020,6)="TÉRREO",0,IFERROR(VALUE(LEFT(E2020,FIND("º",E2020)-1)),""))))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IF(E2021="","",IF(LEFT(E2021,7)="SUBSOLO",-1,IF(LEFT(E2021,6)="TÉRREO",0,IFERROR(VALUE(LEFT(E2021,FIND("º",E2021)-1)),""))))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IF(E2022="","",IF(LEFT(E2022,7)="SUBSOLO",-1,IF(LEFT(E2022,6)="TÉRREO",0,IFERROR(VALUE(LEFT(E2022,FIND("º",E2022)-1)),""))))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IF(E2023="","",IF(LEFT(E2023,7)="SUBSOLO",-1,IF(LEFT(E2023,6)="TÉRREO",0,IFERROR(VALUE(LEFT(E2023,FIND("º",E2023)-1)),""))))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IF(E2024="","",IF(LEFT(E2024,7)="SUBSOLO",-1,IF(LEFT(E2024,6)="TÉRREO",0,IFERROR(VALUE(LEFT(E2024,FIND("º",E2024)-1)),""))))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IF(E2025="","",IF(LEFT(E2025,7)="SUBSOLO",-1,IF(LEFT(E2025,6)="TÉRREO",0,IFERROR(VALUE(LEFT(E2025,FIND("º",E2025)-1)),""))))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IF(E2026="","",IF(LEFT(E2026,7)="SUBSOLO",-1,IF(LEFT(E2026,6)="TÉRREO",0,IFERROR(VALUE(LEFT(E2026,FIND("º",E2026)-1)),""))))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IF(E2027="","",IF(LEFT(E2027,7)="SUBSOLO",-1,IF(LEFT(E2027,6)="TÉRREO",0,IFERROR(VALUE(LEFT(E2027,FIND("º",E2027)-1)),""))))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IF(E2028="","",IF(LEFT(E2028,7)="SUBSOLO",-1,IF(LEFT(E2028,6)="TÉRREO",0,IFERROR(VALUE(LEFT(E2028,FIND("º",E2028)-1)),""))))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IF(E2029="","",IF(LEFT(E2029,7)="SUBSOLO",-1,IF(LEFT(E2029,6)="TÉRREO",0,IFERROR(VALUE(LEFT(E2029,FIND("º",E2029)-1)),""))))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IF(E2030="","",IF(LEFT(E2030,7)="SUBSOLO",-1,IF(LEFT(E2030,6)="TÉRREO",0,IFERROR(VALUE(LEFT(E2030,FIND("º",E2030)-1)),""))))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IF(E2031="","",IF(LEFT(E2031,7)="SUBSOLO",-1,IF(LEFT(E2031,6)="TÉRREO",0,IFERROR(VALUE(LEFT(E2031,FIND("º",E2031)-1)),""))))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IF(E2032="","",IF(LEFT(E2032,7)="SUBSOLO",-1,IF(LEFT(E2032,6)="TÉRREO",0,IFERROR(VALUE(LEFT(E2032,FIND("º",E2032)-1)),""))))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IF(E2033="","",IF(LEFT(E2033,7)="SUBSOLO",-1,IF(LEFT(E2033,6)="TÉRREO",0,IFERROR(VALUE(LEFT(E2033,FIND("º",E2033)-1)),""))))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IF(E2034="","",IF(LEFT(E2034,7)="SUBSOLO",-1,IF(LEFT(E2034,6)="TÉRREO",0,IFERROR(VALUE(LEFT(E2034,FIND("º",E2034)-1)),""))))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IF(E2035="","",IF(LEFT(E2035,7)="SUBSOLO",-1,IF(LEFT(E2035,6)="TÉRREO",0,IFERROR(VALUE(LEFT(E2035,FIND("º",E2035)-1)),""))))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IF(E2036="","",IF(LEFT(E2036,7)="SUBSOLO",-1,IF(LEFT(E2036,6)="TÉRREO",0,IFERROR(VALUE(LEFT(E2036,FIND("º",E2036)-1)),""))))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IF(E2037="","",IF(LEFT(E2037,7)="SUBSOLO",-1,IF(LEFT(E2037,6)="TÉRREO",0,IFERROR(VALUE(LEFT(E2037,FIND("º",E2037)-1)),""))))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IF(E2038="","",IF(LEFT(E2038,7)="SUBSOLO",-1,IF(LEFT(E2038,6)="TÉRREO",0,IFERROR(VALUE(LEFT(E2038,FIND("º",E2038)-1)),""))))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IF(E2039="","",IF(LEFT(E2039,7)="SUBSOLO",-1,IF(LEFT(E2039,6)="TÉRREO",0,IFERROR(VALUE(LEFT(E2039,FIND("º",E2039)-1)),""))))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IF(E2040="","",IF(LEFT(E2040,7)="SUBSOLO",-1,IF(LEFT(E2040,6)="TÉRREO",0,IFERROR(VALUE(LEFT(E2040,FIND("º",E2040)-1)),""))))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IF(E2041="","",IF(LEFT(E2041,7)="SUBSOLO",-1,IF(LEFT(E2041,6)="TÉRREO",0,IFERROR(VALUE(LEFT(E2041,FIND("º",E2041)-1)),""))))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IF(E2042="","",IF(LEFT(E2042,7)="SUBSOLO",-1,IF(LEFT(E2042,6)="TÉRREO",0,IFERROR(VALUE(LEFT(E2042,FIND("º",E2042)-1)),""))))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IF(E2043="","",IF(LEFT(E2043,7)="SUBSOLO",-1,IF(LEFT(E2043,6)="TÉRREO",0,IFERROR(VALUE(LEFT(E2043,FIND("º",E2043)-1)),""))))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IF(E2044="","",IF(LEFT(E2044,7)="SUBSOLO",-1,IF(LEFT(E2044,6)="TÉRREO",0,IFERROR(VALUE(LEFT(E2044,FIND("º",E2044)-1)),""))))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IF(E2045="","",IF(LEFT(E2045,7)="SUBSOLO",-1,IF(LEFT(E2045,6)="TÉRREO",0,IFERROR(VALUE(LEFT(E2045,FIND("º",E2045)-1)),""))))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IF(E2046="","",IF(LEFT(E2046,7)="SUBSOLO",-1,IF(LEFT(E2046,6)="TÉRREO",0,IFERROR(VALUE(LEFT(E2046,FIND("º",E2046)-1)),""))))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IF(E2047="","",IF(LEFT(E2047,7)="SUBSOLO",-1,IF(LEFT(E2047,6)="TÉRREO",0,IFERROR(VALUE(LEFT(E2047,FIND("º",E2047)-1)),""))))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IF(E2048="","",IF(LEFT(E2048,7)="SUBSOLO",-1,IF(LEFT(E2048,6)="TÉRREO",0,IFERROR(VALUE(LEFT(E2048,FIND("º",E2048)-1)),""))))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IF(E2049="","",IF(LEFT(E2049,7)="SUBSOLO",-1,IF(LEFT(E2049,6)="TÉRREO",0,IFERROR(VALUE(LEFT(E2049,FIND("º",E2049)-1)),""))))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IF(E2050="","",IF(LEFT(E2050,7)="SUBSOLO",-1,IF(LEFT(E2050,6)="TÉRREO",0,IFERROR(VALUE(LEFT(E2050,FIND("º",E2050)-1)),""))))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IF(E2051="","",IF(LEFT(E2051,7)="SUBSOLO",-1,IF(LEFT(E2051,6)="TÉRREO",0,IFERROR(VALUE(LEFT(E2051,FIND("º",E2051)-1)),""))))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IF(E2052="","",IF(LEFT(E2052,7)="SUBSOLO",-1,IF(LEFT(E2052,6)="TÉRREO",0,IFERROR(VALUE(LEFT(E2052,FIND("º",E2052)-1)),""))))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IF(E2053="","",IF(LEFT(E2053,7)="SUBSOLO",-1,IF(LEFT(E2053,6)="TÉRREO",0,IFERROR(VALUE(LEFT(E2053,FIND("º",E2053)-1)),""))))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IF(E2054="","",IF(LEFT(E2054,7)="SUBSOLO",-1,IF(LEFT(E2054,6)="TÉRREO",0,IFERROR(VALUE(LEFT(E2054,FIND("º",E2054)-1)),""))))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IF(E2055="","",IF(LEFT(E2055,7)="SUBSOLO",-1,IF(LEFT(E2055,6)="TÉRREO",0,IFERROR(VALUE(LEFT(E2055,FIND("º",E2055)-1)),""))))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IF(E2056="","",IF(LEFT(E2056,7)="SUBSOLO",-1,IF(LEFT(E2056,6)="TÉRREO",0,IFERROR(VALUE(LEFT(E2056,FIND("º",E2056)-1)),""))))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IF(E2057="","",IF(LEFT(E2057,7)="SUBSOLO",-1,IF(LEFT(E2057,6)="TÉRREO",0,IFERROR(VALUE(LEFT(E2057,FIND("º",E2057)-1)),""))))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IF(E2058="","",IF(LEFT(E2058,7)="SUBSOLO",-1,IF(LEFT(E2058,6)="TÉRREO",0,IFERROR(VALUE(LEFT(E2058,FIND("º",E2058)-1)),""))))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IF(E2059="","",IF(LEFT(E2059,7)="SUBSOLO",-1,IF(LEFT(E2059,6)="TÉRREO",0,IFERROR(VALUE(LEFT(E2059,FIND("º",E2059)-1)),""))))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IF(E2060="","",IF(LEFT(E2060,7)="SUBSOLO",-1,IF(LEFT(E2060,6)="TÉRREO",0,IFERROR(VALUE(LEFT(E2060,FIND("º",E2060)-1)),""))))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IF(E2061="","",IF(LEFT(E2061,7)="SUBSOLO",-1,IF(LEFT(E2061,6)="TÉRREO",0,IFERROR(VALUE(LEFT(E2061,FIND("º",E2061)-1)),""))))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IF(E2062="","",IF(LEFT(E2062,7)="SUBSOLO",-1,IF(LEFT(E2062,6)="TÉRREO",0,IFERROR(VALUE(LEFT(E2062,FIND("º",E2062)-1)),""))))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IF(E2063="","",IF(LEFT(E2063,7)="SUBSOLO",-1,IF(LEFT(E2063,6)="TÉRREO",0,IFERROR(VALUE(LEFT(E2063,FIND("º",E2063)-1)),""))))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IF(E2064="","",IF(LEFT(E2064,7)="SUBSOLO",-1,IF(LEFT(E2064,6)="TÉRREO",0,IFERROR(VALUE(LEFT(E2064,FIND("º",E2064)-1)),""))))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IF(E2065="","",IF(LEFT(E2065,7)="SUBSOLO",-1,IF(LEFT(E2065,6)="TÉRREO",0,IFERROR(VALUE(LEFT(E2065,FIND("º",E2065)-1)),""))))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IF(E2066="","",IF(LEFT(E2066,7)="SUBSOLO",-1,IF(LEFT(E2066,6)="TÉRREO",0,IFERROR(VALUE(LEFT(E2066,FIND("º",E2066)-1)),""))))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IF(E2067="","",IF(LEFT(E2067,7)="SUBSOLO",-1,IF(LEFT(E2067,6)="TÉRREO",0,IFERROR(VALUE(LEFT(E2067,FIND("º",E2067)-1)),""))))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IF(E2068="","",IF(LEFT(E2068,7)="SUBSOLO",-1,IF(LEFT(E2068,6)="TÉRREO",0,IFERROR(VALUE(LEFT(E2068,FIND("º",E2068)-1)),""))))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IF(E2069="","",IF(LEFT(E2069,7)="SUBSOLO",-1,IF(LEFT(E2069,6)="TÉRREO",0,IFERROR(VALUE(LEFT(E2069,FIND("º",E2069)-1)),""))))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IF(E2070="","",IF(LEFT(E2070,7)="SUBSOLO",-1,IF(LEFT(E2070,6)="TÉRREO",0,IFERROR(VALUE(LEFT(E2070,FIND("º",E2070)-1)),""))))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IF(E2071="","",IF(LEFT(E2071,7)="SUBSOLO",-1,IF(LEFT(E2071,6)="TÉRREO",0,IFERROR(VALUE(LEFT(E2071,FIND("º",E2071)-1)),""))))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IF(E2072="","",IF(LEFT(E2072,7)="SUBSOLO",-1,IF(LEFT(E2072,6)="TÉRREO",0,IFERROR(VALUE(LEFT(E2072,FIND("º",E2072)-1)),""))))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IF(E2073="","",IF(LEFT(E2073,7)="SUBSOLO",-1,IF(LEFT(E2073,6)="TÉRREO",0,IFERROR(VALUE(LEFT(E2073,FIND("º",E2073)-1)),""))))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IF(E2074="","",IF(LEFT(E2074,7)="SUBSOLO",-1,IF(LEFT(E2074,6)="TÉRREO",0,IFERROR(VALUE(LEFT(E2074,FIND("º",E2074)-1)),""))))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IF(E2075="","",IF(LEFT(E2075,7)="SUBSOLO",-1,IF(LEFT(E2075,6)="TÉRREO",0,IFERROR(VALUE(LEFT(E2075,FIND("º",E2075)-1)),""))))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IF(E2076="","",IF(LEFT(E2076,7)="SUBSOLO",-1,IF(LEFT(E2076,6)="TÉRREO",0,IFERROR(VALUE(LEFT(E2076,FIND("º",E2076)-1)),""))))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IF(E2077="","",IF(LEFT(E2077,7)="SUBSOLO",-1,IF(LEFT(E2077,6)="TÉRREO",0,IFERROR(VALUE(LEFT(E2077,FIND("º",E2077)-1)),""))))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IF(E2078="","",IF(LEFT(E2078,7)="SUBSOLO",-1,IF(LEFT(E2078,6)="TÉRREO",0,IFERROR(VALUE(LEFT(E2078,FIND("º",E2078)-1)),""))))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IF(E2079="","",IF(LEFT(E2079,7)="SUBSOLO",-1,IF(LEFT(E2079,6)="TÉRREO",0,IFERROR(VALUE(LEFT(E2079,FIND("º",E2079)-1)),""))))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IF(E2080="","",IF(LEFT(E2080,7)="SUBSOLO",-1,IF(LEFT(E2080,6)="TÉRREO",0,IFERROR(VALUE(LEFT(E2080,FIND("º",E2080)-1)),""))))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IF(E2081="","",IF(LEFT(E2081,7)="SUBSOLO",-1,IF(LEFT(E2081,6)="TÉRREO",0,IFERROR(VALUE(LEFT(E2081,FIND("º",E2081)-1)),""))))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IF(E2082="","",IF(LEFT(E2082,7)="SUBSOLO",-1,IF(LEFT(E2082,6)="TÉRREO",0,IFERROR(VALUE(LEFT(E2082,FIND("º",E2082)-1)),""))))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IF(E2083="","",IF(LEFT(E2083,7)="SUBSOLO",-1,IF(LEFT(E2083,6)="TÉRREO",0,IFERROR(VALUE(LEFT(E2083,FIND("º",E2083)-1)),""))))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IF(E2084="","",IF(LEFT(E2084,7)="SUBSOLO",-1,IF(LEFT(E2084,6)="TÉRREO",0,IFERROR(VALUE(LEFT(E2084,FIND("º",E2084)-1)),""))))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IF(E2085="","",IF(LEFT(E2085,7)="SUBSOLO",-1,IF(LEFT(E2085,6)="TÉRREO",0,IFERROR(VALUE(LEFT(E2085,FIND("º",E2085)-1)),""))))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IF(E2086="","",IF(LEFT(E2086,7)="SUBSOLO",-1,IF(LEFT(E2086,6)="TÉRREO",0,IFERROR(VALUE(LEFT(E2086,FIND("º",E2086)-1)),""))))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IF(E2087="","",IF(LEFT(E2087,7)="SUBSOLO",-1,IF(LEFT(E2087,6)="TÉRREO",0,IFERROR(VALUE(LEFT(E2087,FIND("º",E2087)-1)),""))))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IF(E2088="","",IF(LEFT(E2088,7)="SUBSOLO",-1,IF(LEFT(E2088,6)="TÉRREO",0,IFERROR(VALUE(LEFT(E2088,FIND("º",E2088)-1)),""))))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IF(E2089="","",IF(LEFT(E2089,7)="SUBSOLO",-1,IF(LEFT(E2089,6)="TÉRREO",0,IFERROR(VALUE(LEFT(E2089,FIND("º",E2089)-1)),""))))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IF(E2090="","",IF(LEFT(E2090,7)="SUBSOLO",-1,IF(LEFT(E2090,6)="TÉRREO",0,IFERROR(VALUE(LEFT(E2090,FIND("º",E2090)-1)),""))))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IF(E2091="","",IF(LEFT(E2091,7)="SUBSOLO",-1,IF(LEFT(E2091,6)="TÉRREO",0,IFERROR(VALUE(LEFT(E2091,FIND("º",E2091)-1)),""))))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IF(E2092="","",IF(LEFT(E2092,7)="SUBSOLO",-1,IF(LEFT(E2092,6)="TÉRREO",0,IFERROR(VALUE(LEFT(E2092,FIND("º",E2092)-1)),""))))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IF(E2093="","",IF(LEFT(E2093,7)="SUBSOLO",-1,IF(LEFT(E2093,6)="TÉRREO",0,IFERROR(VALUE(LEFT(E2093,FIND("º",E2093)-1)),""))))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IF(E2094="","",IF(LEFT(E2094,7)="SUBSOLO",-1,IF(LEFT(E2094,6)="TÉRREO",0,IFERROR(VALUE(LEFT(E2094,FIND("º",E2094)-1)),""))))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IF(E2095="","",IF(LEFT(E2095,7)="SUBSOLO",-1,IF(LEFT(E2095,6)="TÉRREO",0,IFERROR(VALUE(LEFT(E2095,FIND("º",E2095)-1)),""))))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IF(E2096="","",IF(LEFT(E2096,7)="SUBSOLO",-1,IF(LEFT(E2096,6)="TÉRREO",0,IFERROR(VALUE(LEFT(E2096,FIND("º",E2096)-1)),""))))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IF(E2097="","",IF(LEFT(E2097,7)="SUBSOLO",-1,IF(LEFT(E2097,6)="TÉRREO",0,IFERROR(VALUE(LEFT(E2097,FIND("º",E2097)-1)),""))))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IF(E2098="","",IF(LEFT(E2098,7)="SUBSOLO",-1,IF(LEFT(E2098,6)="TÉRREO",0,IFERROR(VALUE(LEFT(E2098,FIND("º",E2098)-1)),""))))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IF(E2099="","",IF(LEFT(E2099,7)="SUBSOLO",-1,IF(LEFT(E2099,6)="TÉRREO",0,IFERROR(VALUE(LEFT(E2099,FIND("º",E2099)-1)),""))))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IF(E2100="","",IF(LEFT(E2100,7)="SUBSOLO",-1,IF(LEFT(E2100,6)="TÉRREO",0,IFERROR(VALUE(LEFT(E2100,FIND("º",E2100)-1)),""))))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IF(E2101="","",IF(LEFT(E2101,7)="SUBSOLO",-1,IF(LEFT(E2101,6)="TÉRREO",0,IFERROR(VALUE(LEFT(E2101,FIND("º",E2101)-1)),""))))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IF(E2102="","",IF(LEFT(E2102,7)="SUBSOLO",-1,IF(LEFT(E2102,6)="TÉRREO",0,IFERROR(VALUE(LEFT(E2102,FIND("º",E2102)-1)),""))))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IF(E2103="","",IF(LEFT(E2103,7)="SUBSOLO",-1,IF(LEFT(E2103,6)="TÉRREO",0,IFERROR(VALUE(LEFT(E2103,FIND("º",E2103)-1)),""))))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IF(E2104="","",IF(LEFT(E2104,7)="SUBSOLO",-1,IF(LEFT(E2104,6)="TÉRREO",0,IFERROR(VALUE(LEFT(E2104,FIND("º",E2104)-1)),""))))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IF(E2105="","",IF(LEFT(E2105,7)="SUBSOLO",-1,IF(LEFT(E2105,6)="TÉRREO",0,IFERROR(VALUE(LEFT(E2105,FIND("º",E2105)-1)),""))))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IF(E2106="","",IF(LEFT(E2106,7)="SUBSOLO",-1,IF(LEFT(E2106,6)="TÉRREO",0,IFERROR(VALUE(LEFT(E2106,FIND("º",E2106)-1)),""))))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IF(E2107="","",IF(LEFT(E2107,7)="SUBSOLO",-1,IF(LEFT(E2107,6)="TÉRREO",0,IFERROR(VALUE(LEFT(E2107,FIND("º",E2107)-1)),""))))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IF(E2108="","",IF(LEFT(E2108,7)="SUBSOLO",-1,IF(LEFT(E2108,6)="TÉRREO",0,IFERROR(VALUE(LEFT(E2108,FIND("º",E2108)-1)),""))))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IF(E2109="","",IF(LEFT(E2109,7)="SUBSOLO",-1,IF(LEFT(E2109,6)="TÉRREO",0,IFERROR(VALUE(LEFT(E2109,FIND("º",E2109)-1)),""))))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IF(E2110="","",IF(LEFT(E2110,7)="SUBSOLO",-1,IF(LEFT(E2110,6)="TÉRREO",0,IFERROR(VALUE(LEFT(E2110,FIND("º",E2110)-1)),""))))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IF(E2111="","",IF(LEFT(E2111,7)="SUBSOLO",-1,IF(LEFT(E2111,6)="TÉRREO",0,IFERROR(VALUE(LEFT(E2111,FIND("º",E2111)-1)),""))))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IF(E2112="","",IF(LEFT(E2112,7)="SUBSOLO",-1,IF(LEFT(E2112,6)="TÉRREO",0,IFERROR(VALUE(LEFT(E2112,FIND("º",E2112)-1)),""))))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IF(E2113="","",IF(LEFT(E2113,7)="SUBSOLO",-1,IF(LEFT(E2113,6)="TÉRREO",0,IFERROR(VALUE(LEFT(E2113,FIND("º",E2113)-1)),""))))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IF(E2114="","",IF(LEFT(E2114,7)="SUBSOLO",-1,IF(LEFT(E2114,6)="TÉRREO",0,IFERROR(VALUE(LEFT(E2114,FIND("º",E2114)-1)),""))))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IF(E2115="","",IF(LEFT(E2115,7)="SUBSOLO",-1,IF(LEFT(E2115,6)="TÉRREO",0,IFERROR(VALUE(LEFT(E2115,FIND("º",E2115)-1)),""))))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IF(E2116="","",IF(LEFT(E2116,7)="SUBSOLO",-1,IF(LEFT(E2116,6)="TÉRREO",0,IFERROR(VALUE(LEFT(E2116,FIND("º",E2116)-1)),""))))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IF(E2117="","",IF(LEFT(E2117,7)="SUBSOLO",-1,IF(LEFT(E2117,6)="TÉRREO",0,IFERROR(VALUE(LEFT(E2117,FIND("º",E2117)-1)),""))))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IF(E2118="","",IF(LEFT(E2118,7)="SUBSOLO",-1,IF(LEFT(E2118,6)="TÉRREO",0,IFERROR(VALUE(LEFT(E2118,FIND("º",E2118)-1)),""))))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IF(E2119="","",IF(LEFT(E2119,7)="SUBSOLO",-1,IF(LEFT(E2119,6)="TÉRREO",0,IFERROR(VALUE(LEFT(E2119,FIND("º",E2119)-1)),""))))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IF(E2120="","",IF(LEFT(E2120,7)="SUBSOLO",-1,IF(LEFT(E2120,6)="TÉRREO",0,IFERROR(VALUE(LEFT(E2120,FIND("º",E2120)-1)),""))))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IF(E2121="","",IF(LEFT(E2121,7)="SUBSOLO",-1,IF(LEFT(E2121,6)="TÉRREO",0,IFERROR(VALUE(LEFT(E2121,FIND("º",E2121)-1)),""))))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IF(E2122="","",IF(LEFT(E2122,7)="SUBSOLO",-1,IF(LEFT(E2122,6)="TÉRREO",0,IFERROR(VALUE(LEFT(E2122,FIND("º",E2122)-1)),""))))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IF(E2123="","",IF(LEFT(E2123,7)="SUBSOLO",-1,IF(LEFT(E2123,6)="TÉRREO",0,IFERROR(VALUE(LEFT(E2123,FIND("º",E2123)-1)),""))))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IF(E2124="","",IF(LEFT(E2124,7)="SUBSOLO",-1,IF(LEFT(E2124,6)="TÉRREO",0,IFERROR(VALUE(LEFT(E2124,FIND("º",E2124)-1)),""))))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IF(E2125="","",IF(LEFT(E2125,7)="SUBSOLO",-1,IF(LEFT(E2125,6)="TÉRREO",0,IFERROR(VALUE(LEFT(E2125,FIND("º",E2125)-1)),""))))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IF(E2126="","",IF(LEFT(E2126,7)="SUBSOLO",-1,IF(LEFT(E2126,6)="TÉRREO",0,IFERROR(VALUE(LEFT(E2126,FIND("º",E2126)-1)),""))))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IF(E2127="","",IF(LEFT(E2127,7)="SUBSOLO",-1,IF(LEFT(E2127,6)="TÉRREO",0,IFERROR(VALUE(LEFT(E2127,FIND("º",E2127)-1)),""))))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IF(E2128="","",IF(LEFT(E2128,7)="SUBSOLO",-1,IF(LEFT(E2128,6)="TÉRREO",0,IFERROR(VALUE(LEFT(E2128,FIND("º",E2128)-1)),""))))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IF(E2129="","",IF(LEFT(E2129,7)="SUBSOLO",-1,IF(LEFT(E2129,6)="TÉRREO",0,IFERROR(VALUE(LEFT(E2129,FIND("º",E2129)-1)),""))))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IF(E2130="","",IF(LEFT(E2130,7)="SUBSOLO",-1,IF(LEFT(E2130,6)="TÉRREO",0,IFERROR(VALUE(LEFT(E2130,FIND("º",E2130)-1)),""))))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IF(E2131="","",IF(LEFT(E2131,7)="SUBSOLO",-1,IF(LEFT(E2131,6)="TÉRREO",0,IFERROR(VALUE(LEFT(E2131,FIND("º",E2131)-1)),""))))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IF(E2132="","",IF(LEFT(E2132,7)="SUBSOLO",-1,IF(LEFT(E2132,6)="TÉRREO",0,IFERROR(VALUE(LEFT(E2132,FIND("º",E2132)-1)),""))))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IF(E2133="","",IF(LEFT(E2133,7)="SUBSOLO",-1,IF(LEFT(E2133,6)="TÉRREO",0,IFERROR(VALUE(LEFT(E2133,FIND("º",E2133)-1)),""))))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IF(E2134="","",IF(LEFT(E2134,7)="SUBSOLO",-1,IF(LEFT(E2134,6)="TÉRREO",0,IFERROR(VALUE(LEFT(E2134,FIND("º",E2134)-1)),""))))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IF(E2135="","",IF(LEFT(E2135,7)="SUBSOLO",-1,IF(LEFT(E2135,6)="TÉRREO",0,IFERROR(VALUE(LEFT(E2135,FIND("º",E2135)-1)),""))))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IF(E2136="","",IF(LEFT(E2136,7)="SUBSOLO",-1,IF(LEFT(E2136,6)="TÉRREO",0,IFERROR(VALUE(LEFT(E2136,FIND("º",E2136)-1)),""))))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IF(E2137="","",IF(LEFT(E2137,7)="SUBSOLO",-1,IF(LEFT(E2137,6)="TÉRREO",0,IFERROR(VALUE(LEFT(E2137,FIND("º",E2137)-1)),""))))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IF(E2138="","",IF(LEFT(E2138,7)="SUBSOLO",-1,IF(LEFT(E2138,6)="TÉRREO",0,IFERROR(VALUE(LEFT(E2138,FIND("º",E2138)-1)),""))))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IF(E2139="","",IF(LEFT(E2139,7)="SUBSOLO",-1,IF(LEFT(E2139,6)="TÉRREO",0,IFERROR(VALUE(LEFT(E2139,FIND("º",E2139)-1)),""))))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IF(E2140="","",IF(LEFT(E2140,7)="SUBSOLO",-1,IF(LEFT(E2140,6)="TÉRREO",0,IFERROR(VALUE(LEFT(E2140,FIND("º",E2140)-1)),""))))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IF(E2141="","",IF(LEFT(E2141,7)="SUBSOLO",-1,IF(LEFT(E2141,6)="TÉRREO",0,IFERROR(VALUE(LEFT(E2141,FIND("º",E2141)-1)),""))))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IF(E2142="","",IF(LEFT(E2142,7)="SUBSOLO",-1,IF(LEFT(E2142,6)="TÉRREO",0,IFERROR(VALUE(LEFT(E2142,FIND("º",E2142)-1)),""))))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IF(E2143="","",IF(LEFT(E2143,7)="SUBSOLO",-1,IF(LEFT(E2143,6)="TÉRREO",0,IFERROR(VALUE(LEFT(E2143,FIND("º",E2143)-1)),""))))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IF(E2144="","",IF(LEFT(E2144,7)="SUBSOLO",-1,IF(LEFT(E2144,6)="TÉRREO",0,IFERROR(VALUE(LEFT(E2144,FIND("º",E2144)-1)),""))))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IF(E2145="","",IF(LEFT(E2145,7)="SUBSOLO",-1,IF(LEFT(E2145,6)="TÉRREO",0,IFERROR(VALUE(LEFT(E2145,FIND("º",E2145)-1)),""))))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IF(E2146="","",IF(LEFT(E2146,7)="SUBSOLO",-1,IF(LEFT(E2146,6)="TÉRREO",0,IFERROR(VALUE(LEFT(E2146,FIND("º",E2146)-1)),""))))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IF(E2147="","",IF(LEFT(E2147,7)="SUBSOLO",-1,IF(LEFT(E2147,6)="TÉRREO",0,IFERROR(VALUE(LEFT(E2147,FIND("º",E2147)-1)),""))))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IF(E2148="","",IF(LEFT(E2148,7)="SUBSOLO",-1,IF(LEFT(E2148,6)="TÉRREO",0,IFERROR(VALUE(LEFT(E2148,FIND("º",E2148)-1)),""))))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IF(E2149="","",IF(LEFT(E2149,7)="SUBSOLO",-1,IF(LEFT(E2149,6)="TÉRREO",0,IFERROR(VALUE(LEFT(E2149,FIND("º",E2149)-1)),""))))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IF(E2150="","",IF(LEFT(E2150,7)="SUBSOLO",-1,IF(LEFT(E2150,6)="TÉRREO",0,IFERROR(VALUE(LEFT(E2150,FIND("º",E2150)-1)),""))))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IF(E2151="","",IF(LEFT(E2151,7)="SUBSOLO",-1,IF(LEFT(E2151,6)="TÉRREO",0,IFERROR(VALUE(LEFT(E2151,FIND("º",E2151)-1)),""))))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IF(E2152="","",IF(LEFT(E2152,7)="SUBSOLO",-1,IF(LEFT(E2152,6)="TÉRREO",0,IFERROR(VALUE(LEFT(E2152,FIND("º",E2152)-1)),""))))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IF(E2153="","",IF(LEFT(E2153,7)="SUBSOLO",-1,IF(LEFT(E2153,6)="TÉRREO",0,IFERROR(VALUE(LEFT(E2153,FIND("º",E2153)-1)),""))))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IF(E2154="","",IF(LEFT(E2154,7)="SUBSOLO",-1,IF(LEFT(E2154,6)="TÉRREO",0,IFERROR(VALUE(LEFT(E2154,FIND("º",E2154)-1)),""))))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IF(E2155="","",IF(LEFT(E2155,7)="SUBSOLO",-1,IF(LEFT(E2155,6)="TÉRREO",0,IFERROR(VALUE(LEFT(E2155,FIND("º",E2155)-1)),""))))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IF(E2156="","",IF(LEFT(E2156,7)="SUBSOLO",-1,IF(LEFT(E2156,6)="TÉRREO",0,IFERROR(VALUE(LEFT(E2156,FIND("º",E2156)-1)),""))))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IF(E2157="","",IF(LEFT(E2157,7)="SUBSOLO",-1,IF(LEFT(E2157,6)="TÉRREO",0,IFERROR(VALUE(LEFT(E2157,FIND("º",E2157)-1)),""))))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IF(E2158="","",IF(LEFT(E2158,7)="SUBSOLO",-1,IF(LEFT(E2158,6)="TÉRREO",0,IFERROR(VALUE(LEFT(E2158,FIND("º",E2158)-1)),""))))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IF(E2159="","",IF(LEFT(E2159,7)="SUBSOLO",-1,IF(LEFT(E2159,6)="TÉRREO",0,IFERROR(VALUE(LEFT(E2159,FIND("º",E2159)-1)),""))))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IF(E2160="","",IF(LEFT(E2160,7)="SUBSOLO",-1,IF(LEFT(E2160,6)="TÉRREO",0,IFERROR(VALUE(LEFT(E2160,FIND("º",E2160)-1)),""))))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IF(E2161="","",IF(LEFT(E2161,7)="SUBSOLO",-1,IF(LEFT(E2161,6)="TÉRREO",0,IFERROR(VALUE(LEFT(E2161,FIND("º",E2161)-1)),""))))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IF(E2162="","",IF(LEFT(E2162,7)="SUBSOLO",-1,IF(LEFT(E2162,6)="TÉRREO",0,IFERROR(VALUE(LEFT(E2162,FIND("º",E2162)-1)),""))))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IF(E2163="","",IF(LEFT(E2163,7)="SUBSOLO",-1,IF(LEFT(E2163,6)="TÉRREO",0,IFERROR(VALUE(LEFT(E2163,FIND("º",E2163)-1)),""))))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IF(E2164="","",IF(LEFT(E2164,7)="SUBSOLO",-1,IF(LEFT(E2164,6)="TÉRREO",0,IFERROR(VALUE(LEFT(E2164,FIND("º",E2164)-1)),""))))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IF(E2165="","",IF(LEFT(E2165,7)="SUBSOLO",-1,IF(LEFT(E2165,6)="TÉRREO",0,IFERROR(VALUE(LEFT(E2165,FIND("º",E2165)-1)),""))))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IF(E2166="","",IF(LEFT(E2166,7)="SUBSOLO",-1,IF(LEFT(E2166,6)="TÉRREO",0,IFERROR(VALUE(LEFT(E2166,FIND("º",E2166)-1)),""))))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IF(E2167="","",IF(LEFT(E2167,7)="SUBSOLO",-1,IF(LEFT(E2167,6)="TÉRREO",0,IFERROR(VALUE(LEFT(E2167,FIND("º",E2167)-1)),""))))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IF(E2168="","",IF(LEFT(E2168,7)="SUBSOLO",-1,IF(LEFT(E2168,6)="TÉRREO",0,IFERROR(VALUE(LEFT(E2168,FIND("º",E2168)-1)),""))))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IF(E2169="","",IF(LEFT(E2169,7)="SUBSOLO",-1,IF(LEFT(E2169,6)="TÉRREO",0,IFERROR(VALUE(LEFT(E2169,FIND("º",E2169)-1)),""))))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IF(E2170="","",IF(LEFT(E2170,7)="SUBSOLO",-1,IF(LEFT(E2170,6)="TÉRREO",0,IFERROR(VALUE(LEFT(E2170,FIND("º",E2170)-1)),""))))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IF(E2171="","",IF(LEFT(E2171,7)="SUBSOLO",-1,IF(LEFT(E2171,6)="TÉRREO",0,IFERROR(VALUE(LEFT(E2171,FIND("º",E2171)-1)),""))))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IF(E2172="","",IF(LEFT(E2172,7)="SUBSOLO",-1,IF(LEFT(E2172,6)="TÉRREO",0,IFERROR(VALUE(LEFT(E2172,FIND("º",E2172)-1)),""))))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IF(E2173="","",IF(LEFT(E2173,7)="SUBSOLO",-1,IF(LEFT(E2173,6)="TÉRREO",0,IFERROR(VALUE(LEFT(E2173,FIND("º",E2173)-1)),""))))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IF(E2174="","",IF(LEFT(E2174,7)="SUBSOLO",-1,IF(LEFT(E2174,6)="TÉRREO",0,IFERROR(VALUE(LEFT(E2174,FIND("º",E2174)-1)),""))))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IF(E2175="","",IF(LEFT(E2175,7)="SUBSOLO",-1,IF(LEFT(E2175,6)="TÉRREO",0,IFERROR(VALUE(LEFT(E2175,FIND("º",E2175)-1)),""))))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IF(E2176="","",IF(LEFT(E2176,7)="SUBSOLO",-1,IF(LEFT(E2176,6)="TÉRREO",0,IFERROR(VALUE(LEFT(E2176,FIND("º",E2176)-1)),""))))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IF(E2177="","",IF(LEFT(E2177,7)="SUBSOLO",-1,IF(LEFT(E2177,6)="TÉRREO",0,IFERROR(VALUE(LEFT(E2177,FIND("º",E2177)-1)),""))))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IF(E2178="","",IF(LEFT(E2178,7)="SUBSOLO",-1,IF(LEFT(E2178,6)="TÉRREO",0,IFERROR(VALUE(LEFT(E2178,FIND("º",E2178)-1)),""))))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IF(E2179="","",IF(LEFT(E2179,7)="SUBSOLO",-1,IF(LEFT(E2179,6)="TÉRREO",0,IFERROR(VALUE(LEFT(E2179,FIND("º",E2179)-1)),""))))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IF(E2180="","",IF(LEFT(E2180,7)="SUBSOLO",-1,IF(LEFT(E2180,6)="TÉRREO",0,IFERROR(VALUE(LEFT(E2180,FIND("º",E2180)-1)),""))))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IF(E2181="","",IF(LEFT(E2181,7)="SUBSOLO",-1,IF(LEFT(E2181,6)="TÉRREO",0,IFERROR(VALUE(LEFT(E2181,FIND("º",E2181)-1)),""))))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IF(E2182="","",IF(LEFT(E2182,7)="SUBSOLO",-1,IF(LEFT(E2182,6)="TÉRREO",0,IFERROR(VALUE(LEFT(E2182,FIND("º",E2182)-1)),""))))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IF(E2183="","",IF(LEFT(E2183,7)="SUBSOLO",-1,IF(LEFT(E2183,6)="TÉRREO",0,IFERROR(VALUE(LEFT(E2183,FIND("º",E2183)-1)),""))))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IF(E2184="","",IF(LEFT(E2184,7)="SUBSOLO",-1,IF(LEFT(E2184,6)="TÉRREO",0,IFERROR(VALUE(LEFT(E2184,FIND("º",E2184)-1)),""))))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IF(E2185="","",IF(LEFT(E2185,7)="SUBSOLO",-1,IF(LEFT(E2185,6)="TÉRREO",0,IFERROR(VALUE(LEFT(E2185,FIND("º",E2185)-1)),""))))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IF(E2186="","",IF(LEFT(E2186,7)="SUBSOLO",-1,IF(LEFT(E2186,6)="TÉRREO",0,IFERROR(VALUE(LEFT(E2186,FIND("º",E2186)-1)),""))))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IF(E2187="","",IF(LEFT(E2187,7)="SUBSOLO",-1,IF(LEFT(E2187,6)="TÉRREO",0,IFERROR(VALUE(LEFT(E2187,FIND("º",E2187)-1)),""))))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IF(E2188="","",IF(LEFT(E2188,7)="SUBSOLO",-1,IF(LEFT(E2188,6)="TÉRREO",0,IFERROR(VALUE(LEFT(E2188,FIND("º",E2188)-1)),""))))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IF(E2189="","",IF(LEFT(E2189,7)="SUBSOLO",-1,IF(LEFT(E2189,6)="TÉRREO",0,IFERROR(VALUE(LEFT(E2189,FIND("º",E2189)-1)),""))))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IF(E2190="","",IF(LEFT(E2190,7)="SUBSOLO",-1,IF(LEFT(E2190,6)="TÉRREO",0,IFERROR(VALUE(LEFT(E2190,FIND("º",E2190)-1)),""))))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IF(E2191="","",IF(LEFT(E2191,7)="SUBSOLO",-1,IF(LEFT(E2191,6)="TÉRREO",0,IFERROR(VALUE(LEFT(E2191,FIND("º",E2191)-1)),""))))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IF(E2192="","",IF(LEFT(E2192,7)="SUBSOLO",-1,IF(LEFT(E2192,6)="TÉRREO",0,IFERROR(VALUE(LEFT(E2192,FIND("º",E2192)-1)),""))))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IF(E2193="","",IF(LEFT(E2193,7)="SUBSOLO",-1,IF(LEFT(E2193,6)="TÉRREO",0,IFERROR(VALUE(LEFT(E2193,FIND("º",E2193)-1)),""))))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IF(E2194="","",IF(LEFT(E2194,7)="SUBSOLO",-1,IF(LEFT(E2194,6)="TÉRREO",0,IFERROR(VALUE(LEFT(E2194,FIND("º",E2194)-1)),""))))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IF(E2195="","",IF(LEFT(E2195,7)="SUBSOLO",-1,IF(LEFT(E2195,6)="TÉRREO",0,IFERROR(VALUE(LEFT(E2195,FIND("º",E2195)-1)),""))))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IF(E2196="","",IF(LEFT(E2196,7)="SUBSOLO",-1,IF(LEFT(E2196,6)="TÉRREO",0,IFERROR(VALUE(LEFT(E2196,FIND("º",E2196)-1)),""))))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IF(E2197="","",IF(LEFT(E2197,7)="SUBSOLO",-1,IF(LEFT(E2197,6)="TÉRREO",0,IFERROR(VALUE(LEFT(E2197,FIND("º",E2197)-1)),""))))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IF(E2198="","",IF(LEFT(E2198,7)="SUBSOLO",-1,IF(LEFT(E2198,6)="TÉRREO",0,IFERROR(VALUE(LEFT(E2198,FIND("º",E2198)-1)),""))))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IF(E2199="","",IF(LEFT(E2199,7)="SUBSOLO",-1,IF(LEFT(E2199,6)="TÉRREO",0,IFERROR(VALUE(LEFT(E2199,FIND("º",E2199)-1)),""))))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IF(E2200="","",IF(LEFT(E2200,7)="SUBSOLO",-1,IF(LEFT(E2200,6)="TÉRREO",0,IFERROR(VALUE(LEFT(E2200,FIND("º",E2200)-1)),""))))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IF(E2201="","",IF(LEFT(E2201,7)="SUBSOLO",-1,IF(LEFT(E2201,6)="TÉRREO",0,IFERROR(VALUE(LEFT(E2201,FIND("º",E2201)-1)),""))))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IF(E2202="","",IF(LEFT(E2202,7)="SUBSOLO",-1,IF(LEFT(E2202,6)="TÉRREO",0,IFERROR(VALUE(LEFT(E2202,FIND("º",E2202)-1)),""))))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IF(E2203="","",IF(LEFT(E2203,7)="SUBSOLO",-1,IF(LEFT(E2203,6)="TÉRREO",0,IFERROR(VALUE(LEFT(E2203,FIND("º",E2203)-1)),""))))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IF(E2204="","",IF(LEFT(E2204,7)="SUBSOLO",-1,IF(LEFT(E2204,6)="TÉRREO",0,IFERROR(VALUE(LEFT(E2204,FIND("º",E2204)-1)),""))))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IF(E2205="","",IF(LEFT(E2205,7)="SUBSOLO",-1,IF(LEFT(E2205,6)="TÉRREO",0,IFERROR(VALUE(LEFT(E2205,FIND("º",E2205)-1)),""))))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IF(E2206="","",IF(LEFT(E2206,7)="SUBSOLO",-1,IF(LEFT(E2206,6)="TÉRREO",0,IFERROR(VALUE(LEFT(E2206,FIND("º",E2206)-1)),""))))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IF(E2207="","",IF(LEFT(E2207,7)="SUBSOLO",-1,IF(LEFT(E2207,6)="TÉRREO",0,IFERROR(VALUE(LEFT(E2207,FIND("º",E2207)-1)),""))))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IF(E2208="","",IF(LEFT(E2208,7)="SUBSOLO",-1,IF(LEFT(E2208,6)="TÉRREO",0,IFERROR(VALUE(LEFT(E2208,FIND("º",E2208)-1)),""))))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IF(E2209="","",IF(LEFT(E2209,7)="SUBSOLO",-1,IF(LEFT(E2209,6)="TÉRREO",0,IFERROR(VALUE(LEFT(E2209,FIND("º",E2209)-1)),""))))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IF(E2210="","",IF(LEFT(E2210,7)="SUBSOLO",-1,IF(LEFT(E2210,6)="TÉRREO",0,IFERROR(VALUE(LEFT(E2210,FIND("º",E2210)-1)),""))))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IF(E2211="","",IF(LEFT(E2211,7)="SUBSOLO",-1,IF(LEFT(E2211,6)="TÉRREO",0,IFERROR(VALUE(LEFT(E2211,FIND("º",E2211)-1)),""))))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IF(E2212="","",IF(LEFT(E2212,7)="SUBSOLO",-1,IF(LEFT(E2212,6)="TÉRREO",0,IFERROR(VALUE(LEFT(E2212,FIND("º",E2212)-1)),""))))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IF(E2213="","",IF(LEFT(E2213,7)="SUBSOLO",-1,IF(LEFT(E2213,6)="TÉRREO",0,IFERROR(VALUE(LEFT(E2213,FIND("º",E2213)-1)),""))))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IF(E2214="","",IF(LEFT(E2214,7)="SUBSOLO",-1,IF(LEFT(E2214,6)="TÉRREO",0,IFERROR(VALUE(LEFT(E2214,FIND("º",E2214)-1)),""))))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IF(E2215="","",IF(LEFT(E2215,7)="SUBSOLO",-1,IF(LEFT(E2215,6)="TÉRREO",0,IFERROR(VALUE(LEFT(E2215,FIND("º",E2215)-1)),""))))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IF(E2216="","",IF(LEFT(E2216,7)="SUBSOLO",-1,IF(LEFT(E2216,6)="TÉRREO",0,IFERROR(VALUE(LEFT(E2216,FIND("º",E2216)-1)),""))))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IF(E2217="","",IF(LEFT(E2217,7)="SUBSOLO",-1,IF(LEFT(E2217,6)="TÉRREO",0,IFERROR(VALUE(LEFT(E2217,FIND("º",E2217)-1)),""))))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IF(E2218="","",IF(LEFT(E2218,7)="SUBSOLO",-1,IF(LEFT(E2218,6)="TÉRREO",0,IFERROR(VALUE(LEFT(E2218,FIND("º",E2218)-1)),""))))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IF(E2219="","",IF(LEFT(E2219,7)="SUBSOLO",-1,IF(LEFT(E2219,6)="TÉRREO",0,IFERROR(VALUE(LEFT(E2219,FIND("º",E2219)-1)),""))))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IF(E2220="","",IF(LEFT(E2220,7)="SUBSOLO",-1,IF(LEFT(E2220,6)="TÉRREO",0,IFERROR(VALUE(LEFT(E2220,FIND("º",E2220)-1)),""))))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IF(E2221="","",IF(LEFT(E2221,7)="SUBSOLO",-1,IF(LEFT(E2221,6)="TÉRREO",0,IFERROR(VALUE(LEFT(E2221,FIND("º",E2221)-1)),""))))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IF(E2222="","",IF(LEFT(E2222,7)="SUBSOLO",-1,IF(LEFT(E2222,6)="TÉRREO",0,IFERROR(VALUE(LEFT(E2222,FIND("º",E2222)-1)),""))))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IF(E2223="","",IF(LEFT(E2223,7)="SUBSOLO",-1,IF(LEFT(E2223,6)="TÉRREO",0,IFERROR(VALUE(LEFT(E2223,FIND("º",E2223)-1)),""))))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IF(E2224="","",IF(LEFT(E2224,7)="SUBSOLO",-1,IF(LEFT(E2224,6)="TÉRREO",0,IFERROR(VALUE(LEFT(E2224,FIND("º",E2224)-1)),""))))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IF(E2225="","",IF(LEFT(E2225,7)="SUBSOLO",-1,IF(LEFT(E2225,6)="TÉRREO",0,IFERROR(VALUE(LEFT(E2225,FIND("º",E2225)-1)),""))))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IF(E2226="","",IF(LEFT(E2226,7)="SUBSOLO",-1,IF(LEFT(E2226,6)="TÉRREO",0,IFERROR(VALUE(LEFT(E2226,FIND("º",E2226)-1)),""))))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IF(E2227="","",IF(LEFT(E2227,7)="SUBSOLO",-1,IF(LEFT(E2227,6)="TÉRREO",0,IFERROR(VALUE(LEFT(E2227,FIND("º",E2227)-1)),""))))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IF(E2228="","",IF(LEFT(E2228,7)="SUBSOLO",-1,IF(LEFT(E2228,6)="TÉRREO",0,IFERROR(VALUE(LEFT(E2228,FIND("º",E2228)-1)),""))))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IF(E2229="","",IF(LEFT(E2229,7)="SUBSOLO",-1,IF(LEFT(E2229,6)="TÉRREO",0,IFERROR(VALUE(LEFT(E2229,FIND("º",E2229)-1)),""))))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IF(E2230="","",IF(LEFT(E2230,7)="SUBSOLO",-1,IF(LEFT(E2230,6)="TÉRREO",0,IFERROR(VALUE(LEFT(E2230,FIND("º",E2230)-1)),""))))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IF(E2231="","",IF(LEFT(E2231,7)="SUBSOLO",-1,IF(LEFT(E2231,6)="TÉRREO",0,IFERROR(VALUE(LEFT(E2231,FIND("º",E2231)-1)),""))))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IF(E2232="","",IF(LEFT(E2232,7)="SUBSOLO",-1,IF(LEFT(E2232,6)="TÉRREO",0,IFERROR(VALUE(LEFT(E2232,FIND("º",E2232)-1)),""))))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IF(E2233="","",IF(LEFT(E2233,7)="SUBSOLO",-1,IF(LEFT(E2233,6)="TÉRREO",0,IFERROR(VALUE(LEFT(E2233,FIND("º",E2233)-1)),""))))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IF(E2234="","",IF(LEFT(E2234,7)="SUBSOLO",-1,IF(LEFT(E2234,6)="TÉRREO",0,IFERROR(VALUE(LEFT(E2234,FIND("º",E2234)-1)),""))))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IF(E2235="","",IF(LEFT(E2235,7)="SUBSOLO",-1,IF(LEFT(E2235,6)="TÉRREO",0,IFERROR(VALUE(LEFT(E2235,FIND("º",E2235)-1)),""))))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IF(E2236="","",IF(LEFT(E2236,7)="SUBSOLO",-1,IF(LEFT(E2236,6)="TÉRREO",0,IFERROR(VALUE(LEFT(E2236,FIND("º",E2236)-1)),""))))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IF(E2237="","",IF(LEFT(E2237,7)="SUBSOLO",-1,IF(LEFT(E2237,6)="TÉRREO",0,IFERROR(VALUE(LEFT(E2237,FIND("º",E2237)-1)),""))))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IF(E2238="","",IF(LEFT(E2238,7)="SUBSOLO",-1,IF(LEFT(E2238,6)="TÉRREO",0,IFERROR(VALUE(LEFT(E2238,FIND("º",E2238)-1)),""))))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IF(E2239="","",IF(LEFT(E2239,7)="SUBSOLO",-1,IF(LEFT(E2239,6)="TÉRREO",0,IFERROR(VALUE(LEFT(E2239,FIND("º",E2239)-1)),""))))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IF(E2240="","",IF(LEFT(E2240,7)="SUBSOLO",-1,IF(LEFT(E2240,6)="TÉRREO",0,IFERROR(VALUE(LEFT(E2240,FIND("º",E2240)-1)),""))))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IF(E2241="","",IF(LEFT(E2241,7)="SUBSOLO",-1,IF(LEFT(E2241,6)="TÉRREO",0,IFERROR(VALUE(LEFT(E2241,FIND("º",E2241)-1)),""))))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IF(E2242="","",IF(LEFT(E2242,7)="SUBSOLO",-1,IF(LEFT(E2242,6)="TÉRREO",0,IFERROR(VALUE(LEFT(E2242,FIND("º",E2242)-1)),""))))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IF(E2243="","",IF(LEFT(E2243,7)="SUBSOLO",-1,IF(LEFT(E2243,6)="TÉRREO",0,IFERROR(VALUE(LEFT(E2243,FIND("º",E2243)-1)),""))))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IF(E2244="","",IF(LEFT(E2244,7)="SUBSOLO",-1,IF(LEFT(E2244,6)="TÉRREO",0,IFERROR(VALUE(LEFT(E2244,FIND("º",E2244)-1)),""))))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IF(E2245="","",IF(LEFT(E2245,7)="SUBSOLO",-1,IF(LEFT(E2245,6)="TÉRREO",0,IFERROR(VALUE(LEFT(E2245,FIND("º",E2245)-1)),""))))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IF(E2246="","",IF(LEFT(E2246,7)="SUBSOLO",-1,IF(LEFT(E2246,6)="TÉRREO",0,IFERROR(VALUE(LEFT(E2246,FIND("º",E2246)-1)),""))))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IF(E2247="","",IF(LEFT(E2247,7)="SUBSOLO",-1,IF(LEFT(E2247,6)="TÉRREO",0,IFERROR(VALUE(LEFT(E2247,FIND("º",E2247)-1)),""))))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IF(E2248="","",IF(LEFT(E2248,7)="SUBSOLO",-1,IF(LEFT(E2248,6)="TÉRREO",0,IFERROR(VALUE(LEFT(E2248,FIND("º",E2248)-1)),""))))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IF(E2249="","",IF(LEFT(E2249,7)="SUBSOLO",-1,IF(LEFT(E2249,6)="TÉRREO",0,IFERROR(VALUE(LEFT(E2249,FIND("º",E2249)-1)),""))))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IF(E2250="","",IF(LEFT(E2250,7)="SUBSOLO",-1,IF(LEFT(E2250,6)="TÉRREO",0,IFERROR(VALUE(LEFT(E2250,FIND("º",E2250)-1)),""))))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IF(E2251="","",IF(LEFT(E2251,7)="SUBSOLO",-1,IF(LEFT(E2251,6)="TÉRREO",0,IFERROR(VALUE(LEFT(E2251,FIND("º",E2251)-1)),""))))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IF(E2252="","",IF(LEFT(E2252,7)="SUBSOLO",-1,IF(LEFT(E2252,6)="TÉRREO",0,IFERROR(VALUE(LEFT(E2252,FIND("º",E2252)-1)),""))))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IF(E2253="","",IF(LEFT(E2253,7)="SUBSOLO",-1,IF(LEFT(E2253,6)="TÉRREO",0,IFERROR(VALUE(LEFT(E2253,FIND("º",E2253)-1)),""))))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IF(E2254="","",IF(LEFT(E2254,7)="SUBSOLO",-1,IF(LEFT(E2254,6)="TÉRREO",0,IFERROR(VALUE(LEFT(E2254,FIND("º",E2254)-1)),""))))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IF(E2255="","",IF(LEFT(E2255,7)="SUBSOLO",-1,IF(LEFT(E2255,6)="TÉRREO",0,IFERROR(VALUE(LEFT(E2255,FIND("º",E2255)-1)),""))))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IF(E2256="","",IF(LEFT(E2256,7)="SUBSOLO",-1,IF(LEFT(E2256,6)="TÉRREO",0,IFERROR(VALUE(LEFT(E2256,FIND("º",E2256)-1)),""))))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IF(E2257="","",IF(LEFT(E2257,7)="SUBSOLO",-1,IF(LEFT(E2257,6)="TÉRREO",0,IFERROR(VALUE(LEFT(E2257,FIND("º",E2257)-1)),""))))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IF(E2258="","",IF(LEFT(E2258,7)="SUBSOLO",-1,IF(LEFT(E2258,6)="TÉRREO",0,IFERROR(VALUE(LEFT(E2258,FIND("º",E2258)-1)),""))))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IF(E2259="","",IF(LEFT(E2259,7)="SUBSOLO",-1,IF(LEFT(E2259,6)="TÉRREO",0,IFERROR(VALUE(LEFT(E2259,FIND("º",E2259)-1)),""))))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IF(E2260="","",IF(LEFT(E2260,7)="SUBSOLO",-1,IF(LEFT(E2260,6)="TÉRREO",0,IFERROR(VALUE(LEFT(E2260,FIND("º",E2260)-1)),""))))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IF(E2261="","",IF(LEFT(E2261,7)="SUBSOLO",-1,IF(LEFT(E2261,6)="TÉRREO",0,IFERROR(VALUE(LEFT(E2261,FIND("º",E2261)-1)),""))))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IF(E2262="","",IF(LEFT(E2262,7)="SUBSOLO",-1,IF(LEFT(E2262,6)="TÉRREO",0,IFERROR(VALUE(LEFT(E2262,FIND("º",E2262)-1)),""))))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IF(E2263="","",IF(LEFT(E2263,7)="SUBSOLO",-1,IF(LEFT(E2263,6)="TÉRREO",0,IFERROR(VALUE(LEFT(E2263,FIND("º",E2263)-1)),""))))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IF(E2264="","",IF(LEFT(E2264,7)="SUBSOLO",-1,IF(LEFT(E2264,6)="TÉRREO",0,IFERROR(VALUE(LEFT(E2264,FIND("º",E2264)-1)),""))))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IF(E2265="","",IF(LEFT(E2265,7)="SUBSOLO",-1,IF(LEFT(E2265,6)="TÉRREO",0,IFERROR(VALUE(LEFT(E2265,FIND("º",E2265)-1)),""))))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IF(E2266="","",IF(LEFT(E2266,7)="SUBSOLO",-1,IF(LEFT(E2266,6)="TÉRREO",0,IFERROR(VALUE(LEFT(E2266,FIND("º",E2266)-1)),""))))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IF(E2267="","",IF(LEFT(E2267,7)="SUBSOLO",-1,IF(LEFT(E2267,6)="TÉRREO",0,IFERROR(VALUE(LEFT(E2267,FIND("º",E2267)-1)),""))))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IF(E2268="","",IF(LEFT(E2268,7)="SUBSOLO",-1,IF(LEFT(E2268,6)="TÉRREO",0,IFERROR(VALUE(LEFT(E2268,FIND("º",E2268)-1)),""))))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IF(E2269="","",IF(LEFT(E2269,7)="SUBSOLO",-1,IF(LEFT(E2269,6)="TÉRREO",0,IFERROR(VALUE(LEFT(E2269,FIND("º",E2269)-1)),""))))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IF(E2270="","",IF(LEFT(E2270,7)="SUBSOLO",-1,IF(LEFT(E2270,6)="TÉRREO",0,IFERROR(VALUE(LEFT(E2270,FIND("º",E2270)-1)),""))))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IF(E2271="","",IF(LEFT(E2271,7)="SUBSOLO",-1,IF(LEFT(E2271,6)="TÉRREO",0,IFERROR(VALUE(LEFT(E2271,FIND("º",E2271)-1)),""))))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IF(E2272="","",IF(LEFT(E2272,7)="SUBSOLO",-1,IF(LEFT(E2272,6)="TÉRREO",0,IFERROR(VALUE(LEFT(E2272,FIND("º",E2272)-1)),""))))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IF(E2273="","",IF(LEFT(E2273,7)="SUBSOLO",-1,IF(LEFT(E2273,6)="TÉRREO",0,IFERROR(VALUE(LEFT(E2273,FIND("º",E2273)-1)),""))))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IF(E2274="","",IF(LEFT(E2274,7)="SUBSOLO",-1,IF(LEFT(E2274,6)="TÉRREO",0,IFERROR(VALUE(LEFT(E2274,FIND("º",E2274)-1)),""))))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IF(E2275="","",IF(LEFT(E2275,7)="SUBSOLO",-1,IF(LEFT(E2275,6)="TÉRREO",0,IFERROR(VALUE(LEFT(E2275,FIND("º",E2275)-1)),""))))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IF(E2276="","",IF(LEFT(E2276,7)="SUBSOLO",-1,IF(LEFT(E2276,6)="TÉRREO",0,IFERROR(VALUE(LEFT(E2276,FIND("º",E2276)-1)),""))))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IF(E2277="","",IF(LEFT(E2277,7)="SUBSOLO",-1,IF(LEFT(E2277,6)="TÉRREO",0,IFERROR(VALUE(LEFT(E2277,FIND("º",E2277)-1)),""))))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IF(E2278="","",IF(LEFT(E2278,7)="SUBSOLO",-1,IF(LEFT(E2278,6)="TÉRREO",0,IFERROR(VALUE(LEFT(E2278,FIND("º",E2278)-1)),""))))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IF(E2279="","",IF(LEFT(E2279,7)="SUBSOLO",-1,IF(LEFT(E2279,6)="TÉRREO",0,IFERROR(VALUE(LEFT(E2279,FIND("º",E2279)-1)),""))))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IF(E2280="","",IF(LEFT(E2280,7)="SUBSOLO",-1,IF(LEFT(E2280,6)="TÉRREO",0,IFERROR(VALUE(LEFT(E2280,FIND("º",E2280)-1)),""))))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IF(E2281="","",IF(LEFT(E2281,7)="SUBSOLO",-1,IF(LEFT(E2281,6)="TÉRREO",0,IFERROR(VALUE(LEFT(E2281,FIND("º",E2281)-1)),""))))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IF(E2282="","",IF(LEFT(E2282,7)="SUBSOLO",-1,IF(LEFT(E2282,6)="TÉRREO",0,IFERROR(VALUE(LEFT(E2282,FIND("º",E2282)-1)),""))))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IF(E2283="","",IF(LEFT(E2283,7)="SUBSOLO",-1,IF(LEFT(E2283,6)="TÉRREO",0,IFERROR(VALUE(LEFT(E2283,FIND("º",E2283)-1)),""))))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IF(E2284="","",IF(LEFT(E2284,7)="SUBSOLO",-1,IF(LEFT(E2284,6)="TÉRREO",0,IFERROR(VALUE(LEFT(E2284,FIND("º",E2284)-1)),""))))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IF(E2285="","",IF(LEFT(E2285,7)="SUBSOLO",-1,IF(LEFT(E2285,6)="TÉRREO",0,IFERROR(VALUE(LEFT(E2285,FIND("º",E2285)-1)),""))))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IF(E2286="","",IF(LEFT(E2286,7)="SUBSOLO",-1,IF(LEFT(E2286,6)="TÉRREO",0,IFERROR(VALUE(LEFT(E2286,FIND("º",E2286)-1)),""))))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IF(E2287="","",IF(LEFT(E2287,7)="SUBSOLO",-1,IF(LEFT(E2287,6)="TÉRREO",0,IFERROR(VALUE(LEFT(E2287,FIND("º",E2287)-1)),""))))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IF(E2288="","",IF(LEFT(E2288,7)="SUBSOLO",-1,IF(LEFT(E2288,6)="TÉRREO",0,IFERROR(VALUE(LEFT(E2288,FIND("º",E2288)-1)),""))))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IF(E2289="","",IF(LEFT(E2289,7)="SUBSOLO",-1,IF(LEFT(E2289,6)="TÉRREO",0,IFERROR(VALUE(LEFT(E2289,FIND("º",E2289)-1)),""))))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IF(E2290="","",IF(LEFT(E2290,7)="SUBSOLO",-1,IF(LEFT(E2290,6)="TÉRREO",0,IFERROR(VALUE(LEFT(E2290,FIND("º",E2290)-1)),""))))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IF(E2291="","",IF(LEFT(E2291,7)="SUBSOLO",-1,IF(LEFT(E2291,6)="TÉRREO",0,IFERROR(VALUE(LEFT(E2291,FIND("º",E2291)-1)),""))))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IF(E2292="","",IF(LEFT(E2292,7)="SUBSOLO",-1,IF(LEFT(E2292,6)="TÉRREO",0,IFERROR(VALUE(LEFT(E2292,FIND("º",E2292)-1)),""))))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IF(E2293="","",IF(LEFT(E2293,7)="SUBSOLO",-1,IF(LEFT(E2293,6)="TÉRREO",0,IFERROR(VALUE(LEFT(E2293,FIND("º",E2293)-1)),""))))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IF(E2294="","",IF(LEFT(E2294,7)="SUBSOLO",-1,IF(LEFT(E2294,6)="TÉRREO",0,IFERROR(VALUE(LEFT(E2294,FIND("º",E2294)-1)),""))))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IF(E2295="","",IF(LEFT(E2295,7)="SUBSOLO",-1,IF(LEFT(E2295,6)="TÉRREO",0,IFERROR(VALUE(LEFT(E2295,FIND("º",E2295)-1)),""))))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IF(E2296="","",IF(LEFT(E2296,7)="SUBSOLO",-1,IF(LEFT(E2296,6)="TÉRREO",0,IFERROR(VALUE(LEFT(E2296,FIND("º",E2296)-1)),""))))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IF(E2297="","",IF(LEFT(E2297,7)="SUBSOLO",-1,IF(LEFT(E2297,6)="TÉRREO",0,IFERROR(VALUE(LEFT(E2297,FIND("º",E2297)-1)),""))))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IF(E2298="","",IF(LEFT(E2298,7)="SUBSOLO",-1,IF(LEFT(E2298,6)="TÉRREO",0,IFERROR(VALUE(LEFT(E2298,FIND("º",E2298)-1)),""))))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IF(E2299="","",IF(LEFT(E2299,7)="SUBSOLO",-1,IF(LEFT(E2299,6)="TÉRREO",0,IFERROR(VALUE(LEFT(E2299,FIND("º",E2299)-1)),""))))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IF(E2300="","",IF(LEFT(E2300,7)="SUBSOLO",-1,IF(LEFT(E2300,6)="TÉRREO",0,IFERROR(VALUE(LEFT(E2300,FIND("º",E2300)-1)),""))))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IF(E2301="","",IF(LEFT(E2301,7)="SUBSOLO",-1,IF(LEFT(E2301,6)="TÉRREO",0,IFERROR(VALUE(LEFT(E2301,FIND("º",E2301)-1)),""))))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IF(E2302="","",IF(LEFT(E2302,7)="SUBSOLO",-1,IF(LEFT(E2302,6)="TÉRREO",0,IFERROR(VALUE(LEFT(E2302,FIND("º",E2302)-1)),""))))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IF(E2303="","",IF(LEFT(E2303,7)="SUBSOLO",-1,IF(LEFT(E2303,6)="TÉRREO",0,IFERROR(VALUE(LEFT(E2303,FIND("º",E2303)-1)),""))))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IF(E2304="","",IF(LEFT(E2304,7)="SUBSOLO",-1,IF(LEFT(E2304,6)="TÉRREO",0,IFERROR(VALUE(LEFT(E2304,FIND("º",E2304)-1)),""))))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IF(E2305="","",IF(LEFT(E2305,7)="SUBSOLO",-1,IF(LEFT(E2305,6)="TÉRREO",0,IFERROR(VALUE(LEFT(E2305,FIND("º",E2305)-1)),""))))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IF(E2306="","",IF(LEFT(E2306,7)="SUBSOLO",-1,IF(LEFT(E2306,6)="TÉRREO",0,IFERROR(VALUE(LEFT(E2306,FIND("º",E2306)-1)),""))))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IF(E2307="","",IF(LEFT(E2307,7)="SUBSOLO",-1,IF(LEFT(E2307,6)="TÉRREO",0,IFERROR(VALUE(LEFT(E2307,FIND("º",E2307)-1)),""))))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IF(E2308="","",IF(LEFT(E2308,7)="SUBSOLO",-1,IF(LEFT(E2308,6)="TÉRREO",0,IFERROR(VALUE(LEFT(E2308,FIND("º",E2308)-1)),""))))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IF(E2309="","",IF(LEFT(E2309,7)="SUBSOLO",-1,IF(LEFT(E2309,6)="TÉRREO",0,IFERROR(VALUE(LEFT(E2309,FIND("º",E2309)-1)),""))))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IF(E2310="","",IF(LEFT(E2310,7)="SUBSOLO",-1,IF(LEFT(E2310,6)="TÉRREO",0,IFERROR(VALUE(LEFT(E2310,FIND("º",E2310)-1)),""))))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IF(E2311="","",IF(LEFT(E2311,7)="SUBSOLO",-1,IF(LEFT(E2311,6)="TÉRREO",0,IFERROR(VALUE(LEFT(E2311,FIND("º",E2311)-1)),""))))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IF(E2312="","",IF(LEFT(E2312,7)="SUBSOLO",-1,IF(LEFT(E2312,6)="TÉRREO",0,IFERROR(VALUE(LEFT(E2312,FIND("º",E2312)-1)),""))))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IF(E2313="","",IF(LEFT(E2313,7)="SUBSOLO",-1,IF(LEFT(E2313,6)="TÉRREO",0,IFERROR(VALUE(LEFT(E2313,FIND("º",E2313)-1)),""))))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IF(E2314="","",IF(LEFT(E2314,7)="SUBSOLO",-1,IF(LEFT(E2314,6)="TÉRREO",0,IFERROR(VALUE(LEFT(E2314,FIND("º",E2314)-1)),""))))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IF(E2315="","",IF(LEFT(E2315,7)="SUBSOLO",-1,IF(LEFT(E2315,6)="TÉRREO",0,IFERROR(VALUE(LEFT(E2315,FIND("º",E2315)-1)),""))))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IF(E2316="","",IF(LEFT(E2316,7)="SUBSOLO",-1,IF(LEFT(E2316,6)="TÉRREO",0,IFERROR(VALUE(LEFT(E2316,FIND("º",E2316)-1)),""))))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IF(E2317="","",IF(LEFT(E2317,7)="SUBSOLO",-1,IF(LEFT(E2317,6)="TÉRREO",0,IFERROR(VALUE(LEFT(E2317,FIND("º",E2317)-1)),""))))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IF(E2318="","",IF(LEFT(E2318,7)="SUBSOLO",-1,IF(LEFT(E2318,6)="TÉRREO",0,IFERROR(VALUE(LEFT(E2318,FIND("º",E2318)-1)),""))))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IF(E2319="","",IF(LEFT(E2319,7)="SUBSOLO",-1,IF(LEFT(E2319,6)="TÉRREO",0,IFERROR(VALUE(LEFT(E2319,FIND("º",E2319)-1)),""))))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IF(E2320="","",IF(LEFT(E2320,7)="SUBSOLO",-1,IF(LEFT(E2320,6)="TÉRREO",0,IFERROR(VALUE(LEFT(E2320,FIND("º",E2320)-1)),""))))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IF(E2321="","",IF(LEFT(E2321,7)="SUBSOLO",-1,IF(LEFT(E2321,6)="TÉRREO",0,IFERROR(VALUE(LEFT(E2321,FIND("º",E2321)-1)),""))))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IF(E2322="","",IF(LEFT(E2322,7)="SUBSOLO",-1,IF(LEFT(E2322,6)="TÉRREO",0,IFERROR(VALUE(LEFT(E2322,FIND("º",E2322)-1)),""))))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IF(E2323="","",IF(LEFT(E2323,7)="SUBSOLO",-1,IF(LEFT(E2323,6)="TÉRREO",0,IFERROR(VALUE(LEFT(E2323,FIND("º",E2323)-1)),""))))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IF(E2324="","",IF(LEFT(E2324,7)="SUBSOLO",-1,IF(LEFT(E2324,6)="TÉRREO",0,IFERROR(VALUE(LEFT(E2324,FIND("º",E2324)-1)),""))))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IF(E2325="","",IF(LEFT(E2325,7)="SUBSOLO",-1,IF(LEFT(E2325,6)="TÉRREO",0,IFERROR(VALUE(LEFT(E2325,FIND("º",E2325)-1)),""))))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IF(E2326="","",IF(LEFT(E2326,7)="SUBSOLO",-1,IF(LEFT(E2326,6)="TÉRREO",0,IFERROR(VALUE(LEFT(E2326,FIND("º",E2326)-1)),""))))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IF(E2327="","",IF(LEFT(E2327,7)="SUBSOLO",-1,IF(LEFT(E2327,6)="TÉRREO",0,IFERROR(VALUE(LEFT(E2327,FIND("º",E2327)-1)),""))))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IF(E2328="","",IF(LEFT(E2328,7)="SUBSOLO",-1,IF(LEFT(E2328,6)="TÉRREO",0,IFERROR(VALUE(LEFT(E2328,FIND("º",E2328)-1)),""))))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IF(E2329="","",IF(LEFT(E2329,7)="SUBSOLO",-1,IF(LEFT(E2329,6)="TÉRREO",0,IFERROR(VALUE(LEFT(E2329,FIND("º",E2329)-1)),""))))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IF(E2330="","",IF(LEFT(E2330,7)="SUBSOLO",-1,IF(LEFT(E2330,6)="TÉRREO",0,IFERROR(VALUE(LEFT(E2330,FIND("º",E2330)-1)),""))))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IF(E2331="","",IF(LEFT(E2331,7)="SUBSOLO",-1,IF(LEFT(E2331,6)="TÉRREO",0,IFERROR(VALUE(LEFT(E2331,FIND("º",E2331)-1)),""))))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IF(E2332="","",IF(LEFT(E2332,7)="SUBSOLO",-1,IF(LEFT(E2332,6)="TÉRREO",0,IFERROR(VALUE(LEFT(E2332,FIND("º",E2332)-1)),""))))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IF(E2333="","",IF(LEFT(E2333,7)="SUBSOLO",-1,IF(LEFT(E2333,6)="TÉRREO",0,IFERROR(VALUE(LEFT(E2333,FIND("º",E2333)-1)),""))))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IF(E2334="","",IF(LEFT(E2334,7)="SUBSOLO",-1,IF(LEFT(E2334,6)="TÉRREO",0,IFERROR(VALUE(LEFT(E2334,FIND("º",E2334)-1)),""))))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IF(E2335="","",IF(LEFT(E2335,7)="SUBSOLO",-1,IF(LEFT(E2335,6)="TÉRREO",0,IFERROR(VALUE(LEFT(E2335,FIND("º",E2335)-1)),""))))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IF(E2336="","",IF(LEFT(E2336,7)="SUBSOLO",-1,IF(LEFT(E2336,6)="TÉRREO",0,IFERROR(VALUE(LEFT(E2336,FIND("º",E2336)-1)),""))))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IF(E2337="","",IF(LEFT(E2337,7)="SUBSOLO",-1,IF(LEFT(E2337,6)="TÉRREO",0,IFERROR(VALUE(LEFT(E2337,FIND("º",E2337)-1)),""))))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IF(E2338="","",IF(LEFT(E2338,7)="SUBSOLO",-1,IF(LEFT(E2338,6)="TÉRREO",0,IFERROR(VALUE(LEFT(E2338,FIND("º",E2338)-1)),""))))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IF(E2339="","",IF(LEFT(E2339,7)="SUBSOLO",-1,IF(LEFT(E2339,6)="TÉRREO",0,IFERROR(VALUE(LEFT(E2339,FIND("º",E2339)-1)),""))))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IF(E2340="","",IF(LEFT(E2340,7)="SUBSOLO",-1,IF(LEFT(E2340,6)="TÉRREO",0,IFERROR(VALUE(LEFT(E2340,FIND("º",E2340)-1)),""))))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IF(E2341="","",IF(LEFT(E2341,7)="SUBSOLO",-1,IF(LEFT(E2341,6)="TÉRREO",0,IFERROR(VALUE(LEFT(E2341,FIND("º",E2341)-1)),""))))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IF(E2342="","",IF(LEFT(E2342,7)="SUBSOLO",-1,IF(LEFT(E2342,6)="TÉRREO",0,IFERROR(VALUE(LEFT(E2342,FIND("º",E2342)-1)),""))))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IF(E2343="","",IF(LEFT(E2343,7)="SUBSOLO",-1,IF(LEFT(E2343,6)="TÉRREO",0,IFERROR(VALUE(LEFT(E2343,FIND("º",E2343)-1)),""))))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IF(E2344="","",IF(LEFT(E2344,7)="SUBSOLO",-1,IF(LEFT(E2344,6)="TÉRREO",0,IFERROR(VALUE(LEFT(E2344,FIND("º",E2344)-1)),""))))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IF(E2345="","",IF(LEFT(E2345,7)="SUBSOLO",-1,IF(LEFT(E2345,6)="TÉRREO",0,IFERROR(VALUE(LEFT(E2345,FIND("º",E2345)-1)),""))))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IF(E2346="","",IF(LEFT(E2346,7)="SUBSOLO",-1,IF(LEFT(E2346,6)="TÉRREO",0,IFERROR(VALUE(LEFT(E2346,FIND("º",E2346)-1)),""))))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IF(E2347="","",IF(LEFT(E2347,7)="SUBSOLO",-1,IF(LEFT(E2347,6)="TÉRREO",0,IFERROR(VALUE(LEFT(E2347,FIND("º",E2347)-1)),""))))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IF(E2348="","",IF(LEFT(E2348,7)="SUBSOLO",-1,IF(LEFT(E2348,6)="TÉRREO",0,IFERROR(VALUE(LEFT(E2348,FIND("º",E2348)-1)),""))))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IF(E2349="","",IF(LEFT(E2349,7)="SUBSOLO",-1,IF(LEFT(E2349,6)="TÉRREO",0,IFERROR(VALUE(LEFT(E2349,FIND("º",E2349)-1)),""))))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IF(E2350="","",IF(LEFT(E2350,7)="SUBSOLO",-1,IF(LEFT(E2350,6)="TÉRREO",0,IFERROR(VALUE(LEFT(E2350,FIND("º",E2350)-1)),""))))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IF(E2351="","",IF(LEFT(E2351,7)="SUBSOLO",-1,IF(LEFT(E2351,6)="TÉRREO",0,IFERROR(VALUE(LEFT(E2351,FIND("º",E2351)-1)),""))))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IF(E2352="","",IF(LEFT(E2352,7)="SUBSOLO",-1,IF(LEFT(E2352,6)="TÉRREO",0,IFERROR(VALUE(LEFT(E2352,FIND("º",E2352)-1)),""))))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IF(E2353="","",IF(LEFT(E2353,7)="SUBSOLO",-1,IF(LEFT(E2353,6)="TÉRREO",0,IFERROR(VALUE(LEFT(E2353,FIND("º",E2353)-1)),""))))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IF(E2354="","",IF(LEFT(E2354,7)="SUBSOLO",-1,IF(LEFT(E2354,6)="TÉRREO",0,IFERROR(VALUE(LEFT(E2354,FIND("º",E2354)-1)),""))))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IF(E2355="","",IF(LEFT(E2355,7)="SUBSOLO",-1,IF(LEFT(E2355,6)="TÉRREO",0,IFERROR(VALUE(LEFT(E2355,FIND("º",E2355)-1)),""))))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IF(E2356="","",IF(LEFT(E2356,7)="SUBSOLO",-1,IF(LEFT(E2356,6)="TÉRREO",0,IFERROR(VALUE(LEFT(E2356,FIND("º",E2356)-1)),""))))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IF(E2357="","",IF(LEFT(E2357,7)="SUBSOLO",-1,IF(LEFT(E2357,6)="TÉRREO",0,IFERROR(VALUE(LEFT(E2357,FIND("º",E2357)-1)),""))))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IF(E2358="","",IF(LEFT(E2358,7)="SUBSOLO",-1,IF(LEFT(E2358,6)="TÉRREO",0,IFERROR(VALUE(LEFT(E2358,FIND("º",E2358)-1)),""))))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IF(E2359="","",IF(LEFT(E2359,7)="SUBSOLO",-1,IF(LEFT(E2359,6)="TÉRREO",0,IFERROR(VALUE(LEFT(E2359,FIND("º",E2359)-1)),""))))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IF(E2360="","",IF(LEFT(E2360,7)="SUBSOLO",-1,IF(LEFT(E2360,6)="TÉRREO",0,IFERROR(VALUE(LEFT(E2360,FIND("º",E2360)-1)),""))))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IF(E2361="","",IF(LEFT(E2361,7)="SUBSOLO",-1,IF(LEFT(E2361,6)="TÉRREO",0,IFERROR(VALUE(LEFT(E2361,FIND("º",E2361)-1)),""))))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IF(E2362="","",IF(LEFT(E2362,7)="SUBSOLO",-1,IF(LEFT(E2362,6)="TÉRREO",0,IFERROR(VALUE(LEFT(E2362,FIND("º",E2362)-1)),""))))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IF(E2363="","",IF(LEFT(E2363,7)="SUBSOLO",-1,IF(LEFT(E2363,6)="TÉRREO",0,IFERROR(VALUE(LEFT(E2363,FIND("º",E2363)-1)),""))))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IF(E2364="","",IF(LEFT(E2364,7)="SUBSOLO",-1,IF(LEFT(E2364,6)="TÉRREO",0,IFERROR(VALUE(LEFT(E2364,FIND("º",E2364)-1)),""))))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IF(E2365="","",IF(LEFT(E2365,7)="SUBSOLO",-1,IF(LEFT(E2365,6)="TÉRREO",0,IFERROR(VALUE(LEFT(E2365,FIND("º",E2365)-1)),""))))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IF(E2366="","",IF(LEFT(E2366,7)="SUBSOLO",-1,IF(LEFT(E2366,6)="TÉRREO",0,IFERROR(VALUE(LEFT(E2366,FIND("º",E2366)-1)),""))))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IF(E2367="","",IF(LEFT(E2367,7)="SUBSOLO",-1,IF(LEFT(E2367,6)="TÉRREO",0,IFERROR(VALUE(LEFT(E2367,FIND("º",E2367)-1)),""))))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IF(E2368="","",IF(LEFT(E2368,7)="SUBSOLO",-1,IF(LEFT(E2368,6)="TÉRREO",0,IFERROR(VALUE(LEFT(E2368,FIND("º",E2368)-1)),""))))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IF(E2369="","",IF(LEFT(E2369,7)="SUBSOLO",-1,IF(LEFT(E2369,6)="TÉRREO",0,IFERROR(VALUE(LEFT(E2369,FIND("º",E2369)-1)),""))))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IF(E2370="","",IF(LEFT(E2370,7)="SUBSOLO",-1,IF(LEFT(E2370,6)="TÉRREO",0,IFERROR(VALUE(LEFT(E2370,FIND("º",E2370)-1)),""))))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IF(E2371="","",IF(LEFT(E2371,7)="SUBSOLO",-1,IF(LEFT(E2371,6)="TÉRREO",0,IFERROR(VALUE(LEFT(E2371,FIND("º",E2371)-1)),""))))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IF(E2372="","",IF(LEFT(E2372,7)="SUBSOLO",-1,IF(LEFT(E2372,6)="TÉRREO",0,IFERROR(VALUE(LEFT(E2372,FIND("º",E2372)-1)),""))))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IF(E2373="","",IF(LEFT(E2373,7)="SUBSOLO",-1,IF(LEFT(E2373,6)="TÉRREO",0,IFERROR(VALUE(LEFT(E2373,FIND("º",E2373)-1)),""))))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IF(E2374="","",IF(LEFT(E2374,7)="SUBSOLO",-1,IF(LEFT(E2374,6)="TÉRREO",0,IFERROR(VALUE(LEFT(E2374,FIND("º",E2374)-1)),""))))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IF(E2375="","",IF(LEFT(E2375,7)="SUBSOLO",-1,IF(LEFT(E2375,6)="TÉRREO",0,IFERROR(VALUE(LEFT(E2375,FIND("º",E2375)-1)),""))))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IF(E2376="","",IF(LEFT(E2376,7)="SUBSOLO",-1,IF(LEFT(E2376,6)="TÉRREO",0,IFERROR(VALUE(LEFT(E2376,FIND("º",E2376)-1)),""))))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IF(E2377="","",IF(LEFT(E2377,7)="SUBSOLO",-1,IF(LEFT(E2377,6)="TÉRREO",0,IFERROR(VALUE(LEFT(E2377,FIND("º",E2377)-1)),""))))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IF(E2378="","",IF(LEFT(E2378,7)="SUBSOLO",-1,IF(LEFT(E2378,6)="TÉRREO",0,IFERROR(VALUE(LEFT(E2378,FIND("º",E2378)-1)),""))))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IF(E2379="","",IF(LEFT(E2379,7)="SUBSOLO",-1,IF(LEFT(E2379,6)="TÉRREO",0,IFERROR(VALUE(LEFT(E2379,FIND("º",E2379)-1)),""))))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IF(E2380="","",IF(LEFT(E2380,7)="SUBSOLO",-1,IF(LEFT(E2380,6)="TÉRREO",0,IFERROR(VALUE(LEFT(E2380,FIND("º",E2380)-1)),""))))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IF(E2381="","",IF(LEFT(E2381,7)="SUBSOLO",-1,IF(LEFT(E2381,6)="TÉRREO",0,IFERROR(VALUE(LEFT(E2381,FIND("º",E2381)-1)),""))))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IF(E2382="","",IF(LEFT(E2382,7)="SUBSOLO",-1,IF(LEFT(E2382,6)="TÉRREO",0,IFERROR(VALUE(LEFT(E2382,FIND("º",E2382)-1)),""))))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IF(E2383="","",IF(LEFT(E2383,7)="SUBSOLO",-1,IF(LEFT(E2383,6)="TÉRREO",0,IFERROR(VALUE(LEFT(E2383,FIND("º",E2383)-1)),""))))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IF(E2384="","",IF(LEFT(E2384,7)="SUBSOLO",-1,IF(LEFT(E2384,6)="TÉRREO",0,IFERROR(VALUE(LEFT(E2384,FIND("º",E2384)-1)),""))))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IF(E2385="","",IF(LEFT(E2385,7)="SUBSOLO",-1,IF(LEFT(E2385,6)="TÉRREO",0,IFERROR(VALUE(LEFT(E2385,FIND("º",E2385)-1)),""))))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IF(E2386="","",IF(LEFT(E2386,7)="SUBSOLO",-1,IF(LEFT(E2386,6)="TÉRREO",0,IFERROR(VALUE(LEFT(E2386,FIND("º",E2386)-1)),""))))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IF(E2387="","",IF(LEFT(E2387,7)="SUBSOLO",-1,IF(LEFT(E2387,6)="TÉRREO",0,IFERROR(VALUE(LEFT(E2387,FIND("º",E2387)-1)),""))))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IF(E2388="","",IF(LEFT(E2388,7)="SUBSOLO",-1,IF(LEFT(E2388,6)="TÉRREO",0,IFERROR(VALUE(LEFT(E2388,FIND("º",E2388)-1)),""))))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IF(E2389="","",IF(LEFT(E2389,7)="SUBSOLO",-1,IF(LEFT(E2389,6)="TÉRREO",0,IFERROR(VALUE(LEFT(E2389,FIND("º",E2389)-1)),""))))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IF(E2390="","",IF(LEFT(E2390,7)="SUBSOLO",-1,IF(LEFT(E2390,6)="TÉRREO",0,IFERROR(VALUE(LEFT(E2390,FIND("º",E2390)-1)),""))))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IF(E2391="","",IF(LEFT(E2391,7)="SUBSOLO",-1,IF(LEFT(E2391,6)="TÉRREO",0,IFERROR(VALUE(LEFT(E2391,FIND("º",E2391)-1)),""))))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IF(E2392="","",IF(LEFT(E2392,7)="SUBSOLO",-1,IF(LEFT(E2392,6)="TÉRREO",0,IFERROR(VALUE(LEFT(E2392,FIND("º",E2392)-1)),""))))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IF(E2393="","",IF(LEFT(E2393,7)="SUBSOLO",-1,IF(LEFT(E2393,6)="TÉRREO",0,IFERROR(VALUE(LEFT(E2393,FIND("º",E2393)-1)),""))))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IF(E2394="","",IF(LEFT(E2394,7)="SUBSOLO",-1,IF(LEFT(E2394,6)="TÉRREO",0,IFERROR(VALUE(LEFT(E2394,FIND("º",E2394)-1)),""))))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IF(E2395="","",IF(LEFT(E2395,7)="SUBSOLO",-1,IF(LEFT(E2395,6)="TÉRREO",0,IFERROR(VALUE(LEFT(E2395,FIND("º",E2395)-1)),""))))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IF(E2396="","",IF(LEFT(E2396,7)="SUBSOLO",-1,IF(LEFT(E2396,6)="TÉRREO",0,IFERROR(VALUE(LEFT(E2396,FIND("º",E2396)-1)),""))))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IF(E2397="","",IF(LEFT(E2397,7)="SUBSOLO",-1,IF(LEFT(E2397,6)="TÉRREO",0,IFERROR(VALUE(LEFT(E2397,FIND("º",E2397)-1)),""))))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IF(E2398="","",IF(LEFT(E2398,7)="SUBSOLO",-1,IF(LEFT(E2398,6)="TÉRREO",0,IFERROR(VALUE(LEFT(E2398,FIND("º",E2398)-1)),""))))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IF(E2399="","",IF(LEFT(E2399,7)="SUBSOLO",-1,IF(LEFT(E2399,6)="TÉRREO",0,IFERROR(VALUE(LEFT(E2399,FIND("º",E2399)-1)),""))))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IF(E2400="","",IF(LEFT(E2400,7)="SUBSOLO",-1,IF(LEFT(E2400,6)="TÉRREO",0,IFERROR(VALUE(LEFT(E2400,FIND("º",E2400)-1)),""))))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IF(E2401="","",IF(LEFT(E2401,7)="SUBSOLO",-1,IF(LEFT(E2401,6)="TÉRREO",0,IFERROR(VALUE(LEFT(E2401,FIND("º",E2401)-1)),""))))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IF(E2402="","",IF(LEFT(E2402,7)="SUBSOLO",-1,IF(LEFT(E2402,6)="TÉRREO",0,IFERROR(VALUE(LEFT(E2402,FIND("º",E2402)-1)),""))))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IF(E2403="","",IF(LEFT(E2403,7)="SUBSOLO",-1,IF(LEFT(E2403,6)="TÉRREO",0,IFERROR(VALUE(LEFT(E2403,FIND("º",E2403)-1)),""))))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IF(E2404="","",IF(LEFT(E2404,7)="SUBSOLO",-1,IF(LEFT(E2404,6)="TÉRREO",0,IFERROR(VALUE(LEFT(E2404,FIND("º",E2404)-1)),""))))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IF(E2405="","",IF(LEFT(E2405,7)="SUBSOLO",-1,IF(LEFT(E2405,6)="TÉRREO",0,IFERROR(VALUE(LEFT(E2405,FIND("º",E2405)-1)),""))))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IF(E2406="","",IF(LEFT(E2406,7)="SUBSOLO",-1,IF(LEFT(E2406,6)="TÉRREO",0,IFERROR(VALUE(LEFT(E2406,FIND("º",E2406)-1)),""))))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IF(E2407="","",IF(LEFT(E2407,7)="SUBSOLO",-1,IF(LEFT(E2407,6)="TÉRREO",0,IFERROR(VALUE(LEFT(E2407,FIND("º",E2407)-1)),""))))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IF(E2408="","",IF(LEFT(E2408,7)="SUBSOLO",-1,IF(LEFT(E2408,6)="TÉRREO",0,IFERROR(VALUE(LEFT(E2408,FIND("º",E2408)-1)),""))))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IF(E2409="","",IF(LEFT(E2409,7)="SUBSOLO",-1,IF(LEFT(E2409,6)="TÉRREO",0,IFERROR(VALUE(LEFT(E2409,FIND("º",E2409)-1)),""))))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IF(E2410="","",IF(LEFT(E2410,7)="SUBSOLO",-1,IF(LEFT(E2410,6)="TÉRREO",0,IFERROR(VALUE(LEFT(E2410,FIND("º",E2410)-1)),""))))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IF(E2411="","",IF(LEFT(E2411,7)="SUBSOLO",-1,IF(LEFT(E2411,6)="TÉRREO",0,IFERROR(VALUE(LEFT(E2411,FIND("º",E2411)-1)),""))))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IF(E2412="","",IF(LEFT(E2412,7)="SUBSOLO",-1,IF(LEFT(E2412,6)="TÉRREO",0,IFERROR(VALUE(LEFT(E2412,FIND("º",E2412)-1)),""))))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IF(E2413="","",IF(LEFT(E2413,7)="SUBSOLO",-1,IF(LEFT(E2413,6)="TÉRREO",0,IFERROR(VALUE(LEFT(E2413,FIND("º",E2413)-1)),""))))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IF(E2414="","",IF(LEFT(E2414,7)="SUBSOLO",-1,IF(LEFT(E2414,6)="TÉRREO",0,IFERROR(VALUE(LEFT(E2414,FIND("º",E2414)-1)),""))))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IF(E2415="","",IF(LEFT(E2415,7)="SUBSOLO",-1,IF(LEFT(E2415,6)="TÉRREO",0,IFERROR(VALUE(LEFT(E2415,FIND("º",E2415)-1)),""))))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IF(E2416="","",IF(LEFT(E2416,7)="SUBSOLO",-1,IF(LEFT(E2416,6)="TÉRREO",0,IFERROR(VALUE(LEFT(E2416,FIND("º",E2416)-1)),""))))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IF(E2417="","",IF(LEFT(E2417,7)="SUBSOLO",-1,IF(LEFT(E2417,6)="TÉRREO",0,IFERROR(VALUE(LEFT(E2417,FIND("º",E2417)-1)),""))))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IF(E2418="","",IF(LEFT(E2418,7)="SUBSOLO",-1,IF(LEFT(E2418,6)="TÉRREO",0,IFERROR(VALUE(LEFT(E2418,FIND("º",E2418)-1)),""))))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IF(E2419="","",IF(LEFT(E2419,7)="SUBSOLO",-1,IF(LEFT(E2419,6)="TÉRREO",0,IFERROR(VALUE(LEFT(E2419,FIND("º",E2419)-1)),""))))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IF(E2420="","",IF(LEFT(E2420,7)="SUBSOLO",-1,IF(LEFT(E2420,6)="TÉRREO",0,IFERROR(VALUE(LEFT(E2420,FIND("º",E2420)-1)),""))))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IF(E2421="","",IF(LEFT(E2421,7)="SUBSOLO",-1,IF(LEFT(E2421,6)="TÉRREO",0,IFERROR(VALUE(LEFT(E2421,FIND("º",E2421)-1)),""))))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IF(E2422="","",IF(LEFT(E2422,7)="SUBSOLO",-1,IF(LEFT(E2422,6)="TÉRREO",0,IFERROR(VALUE(LEFT(E2422,FIND("º",E2422)-1)),""))))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IF(E2423="","",IF(LEFT(E2423,7)="SUBSOLO",-1,IF(LEFT(E2423,6)="TÉRREO",0,IFERROR(VALUE(LEFT(E2423,FIND("º",E2423)-1)),""))))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IF(E2424="","",IF(LEFT(E2424,7)="SUBSOLO",-1,IF(LEFT(E2424,6)="TÉRREO",0,IFERROR(VALUE(LEFT(E2424,FIND("º",E2424)-1)),""))))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IF(E2425="","",IF(LEFT(E2425,7)="SUBSOLO",-1,IF(LEFT(E2425,6)="TÉRREO",0,IFERROR(VALUE(LEFT(E2425,FIND("º",E2425)-1)),""))))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IF(E2426="","",IF(LEFT(E2426,7)="SUBSOLO",-1,IF(LEFT(E2426,6)="TÉRREO",0,IFERROR(VALUE(LEFT(E2426,FIND("º",E2426)-1)),""))))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IF(E2427="","",IF(LEFT(E2427,7)="SUBSOLO",-1,IF(LEFT(E2427,6)="TÉRREO",0,IFERROR(VALUE(LEFT(E2427,FIND("º",E2427)-1)),""))))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IF(E2428="","",IF(LEFT(E2428,7)="SUBSOLO",-1,IF(LEFT(E2428,6)="TÉRREO",0,IFERROR(VALUE(LEFT(E2428,FIND("º",E2428)-1)),""))))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IF(E2429="","",IF(LEFT(E2429,7)="SUBSOLO",-1,IF(LEFT(E2429,6)="TÉRREO",0,IFERROR(VALUE(LEFT(E2429,FIND("º",E2429)-1)),""))))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IF(E2430="","",IF(LEFT(E2430,7)="SUBSOLO",-1,IF(LEFT(E2430,6)="TÉRREO",0,IFERROR(VALUE(LEFT(E2430,FIND("º",E2430)-1)),""))))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IF(E2431="","",IF(LEFT(E2431,7)="SUBSOLO",-1,IF(LEFT(E2431,6)="TÉRREO",0,IFERROR(VALUE(LEFT(E2431,FIND("º",E2431)-1)),""))))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IF(E2432="","",IF(LEFT(E2432,7)="SUBSOLO",-1,IF(LEFT(E2432,6)="TÉRREO",0,IFERROR(VALUE(LEFT(E2432,FIND("º",E2432)-1)),""))))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IF(E2433="","",IF(LEFT(E2433,7)="SUBSOLO",-1,IF(LEFT(E2433,6)="TÉRREO",0,IFERROR(VALUE(LEFT(E2433,FIND("º",E2433)-1)),""))))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IF(E2434="","",IF(LEFT(E2434,7)="SUBSOLO",-1,IF(LEFT(E2434,6)="TÉRREO",0,IFERROR(VALUE(LEFT(E2434,FIND("º",E2434)-1)),""))))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IF(E2435="","",IF(LEFT(E2435,7)="SUBSOLO",-1,IF(LEFT(E2435,6)="TÉRREO",0,IFERROR(VALUE(LEFT(E2435,FIND("º",E2435)-1)),""))))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IF(E2436="","",IF(LEFT(E2436,7)="SUBSOLO",-1,IF(LEFT(E2436,6)="TÉRREO",0,IFERROR(VALUE(LEFT(E2436,FIND("º",E2436)-1)),""))))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IF(E2437="","",IF(LEFT(E2437,7)="SUBSOLO",-1,IF(LEFT(E2437,6)="TÉRREO",0,IFERROR(VALUE(LEFT(E2437,FIND("º",E2437)-1)),""))))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IF(E2438="","",IF(LEFT(E2438,7)="SUBSOLO",-1,IF(LEFT(E2438,6)="TÉRREO",0,IFERROR(VALUE(LEFT(E2438,FIND("º",E2438)-1)),""))))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IF(E2439="","",IF(LEFT(E2439,7)="SUBSOLO",-1,IF(LEFT(E2439,6)="TÉRREO",0,IFERROR(VALUE(LEFT(E2439,FIND("º",E2439)-1)),""))))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IF(E2440="","",IF(LEFT(E2440,7)="SUBSOLO",-1,IF(LEFT(E2440,6)="TÉRREO",0,IFERROR(VALUE(LEFT(E2440,FIND("º",E2440)-1)),""))))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IF(E2441="","",IF(LEFT(E2441,7)="SUBSOLO",-1,IF(LEFT(E2441,6)="TÉRREO",0,IFERROR(VALUE(LEFT(E2441,FIND("º",E2441)-1)),""))))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IF(E2442="","",IF(LEFT(E2442,7)="SUBSOLO",-1,IF(LEFT(E2442,6)="TÉRREO",0,IFERROR(VALUE(LEFT(E2442,FIND("º",E2442)-1)),""))))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IF(E2443="","",IF(LEFT(E2443,7)="SUBSOLO",-1,IF(LEFT(E2443,6)="TÉRREO",0,IFERROR(VALUE(LEFT(E2443,FIND("º",E2443)-1)),""))))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IF(E2444="","",IF(LEFT(E2444,7)="SUBSOLO",-1,IF(LEFT(E2444,6)="TÉRREO",0,IFERROR(VALUE(LEFT(E2444,FIND("º",E2444)-1)),""))))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IF(E2445="","",IF(LEFT(E2445,7)="SUBSOLO",-1,IF(LEFT(E2445,6)="TÉRREO",0,IFERROR(VALUE(LEFT(E2445,FIND("º",E2445)-1)),""))))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IF(E2446="","",IF(LEFT(E2446,7)="SUBSOLO",-1,IF(LEFT(E2446,6)="TÉRREO",0,IFERROR(VALUE(LEFT(E2446,FIND("º",E2446)-1)),""))))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IF(E2447="","",IF(LEFT(E2447,7)="SUBSOLO",-1,IF(LEFT(E2447,6)="TÉRREO",0,IFERROR(VALUE(LEFT(E2447,FIND("º",E2447)-1)),""))))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IF(E2448="","",IF(LEFT(E2448,7)="SUBSOLO",-1,IF(LEFT(E2448,6)="TÉRREO",0,IFERROR(VALUE(LEFT(E2448,FIND("º",E2448)-1)),""))))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IF(E2449="","",IF(LEFT(E2449,7)="SUBSOLO",-1,IF(LEFT(E2449,6)="TÉRREO",0,IFERROR(VALUE(LEFT(E2449,FIND("º",E2449)-1)),""))))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IF(E2450="","",IF(LEFT(E2450,7)="SUBSOLO",-1,IF(LEFT(E2450,6)="TÉRREO",0,IFERROR(VALUE(LEFT(E2450,FIND("º",E2450)-1)),""))))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IF(E2451="","",IF(LEFT(E2451,7)="SUBSOLO",-1,IF(LEFT(E2451,6)="TÉRREO",0,IFERROR(VALUE(LEFT(E2451,FIND("º",E2451)-1)),""))))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IF(E2452="","",IF(LEFT(E2452,7)="SUBSOLO",-1,IF(LEFT(E2452,6)="TÉRREO",0,IFERROR(VALUE(LEFT(E2452,FIND("º",E2452)-1)),""))))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IF(E2453="","",IF(LEFT(E2453,7)="SUBSOLO",-1,IF(LEFT(E2453,6)="TÉRREO",0,IFERROR(VALUE(LEFT(E2453,FIND("º",E2453)-1)),""))))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IF(E2454="","",IF(LEFT(E2454,7)="SUBSOLO",-1,IF(LEFT(E2454,6)="TÉRREO",0,IFERROR(VALUE(LEFT(E2454,FIND("º",E2454)-1)),""))))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IF(E2455="","",IF(LEFT(E2455,7)="SUBSOLO",-1,IF(LEFT(E2455,6)="TÉRREO",0,IFERROR(VALUE(LEFT(E2455,FIND("º",E2455)-1)),""))))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IF(E2456="","",IF(LEFT(E2456,7)="SUBSOLO",-1,IF(LEFT(E2456,6)="TÉRREO",0,IFERROR(VALUE(LEFT(E2456,FIND("º",E2456)-1)),""))))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IF(E2457="","",IF(LEFT(E2457,7)="SUBSOLO",-1,IF(LEFT(E2457,6)="TÉRREO",0,IFERROR(VALUE(LEFT(E2457,FIND("º",E2457)-1)),""))))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IF(E2458="","",IF(LEFT(E2458,7)="SUBSOLO",-1,IF(LEFT(E2458,6)="TÉRREO",0,IFERROR(VALUE(LEFT(E2458,FIND("º",E2458)-1)),""))))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IF(E2459="","",IF(LEFT(E2459,7)="SUBSOLO",-1,IF(LEFT(E2459,6)="TÉRREO",0,IFERROR(VALUE(LEFT(E2459,FIND("º",E2459)-1)),""))))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IF(E2460="","",IF(LEFT(E2460,7)="SUBSOLO",-1,IF(LEFT(E2460,6)="TÉRREO",0,IFERROR(VALUE(LEFT(E2460,FIND("º",E2460)-1)),""))))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IF(E2461="","",IF(LEFT(E2461,7)="SUBSOLO",-1,IF(LEFT(E2461,6)="TÉRREO",0,IFERROR(VALUE(LEFT(E2461,FIND("º",E2461)-1)),""))))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IF(E2462="","",IF(LEFT(E2462,7)="SUBSOLO",-1,IF(LEFT(E2462,6)="TÉRREO",0,IFERROR(VALUE(LEFT(E2462,FIND("º",E2462)-1)),""))))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IF(E2463="","",IF(LEFT(E2463,7)="SUBSOLO",-1,IF(LEFT(E2463,6)="TÉRREO",0,IFERROR(VALUE(LEFT(E2463,FIND("º",E2463)-1)),""))))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IF(E2464="","",IF(LEFT(E2464,7)="SUBSOLO",-1,IF(LEFT(E2464,6)="TÉRREO",0,IFERROR(VALUE(LEFT(E2464,FIND("º",E2464)-1)),""))))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IF(E2465="","",IF(LEFT(E2465,7)="SUBSOLO",-1,IF(LEFT(E2465,6)="TÉRREO",0,IFERROR(VALUE(LEFT(E2465,FIND("º",E2465)-1)),""))))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IF(E2466="","",IF(LEFT(E2466,7)="SUBSOLO",-1,IF(LEFT(E2466,6)="TÉRREO",0,IFERROR(VALUE(LEFT(E2466,FIND("º",E2466)-1)),""))))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IF(E2467="","",IF(LEFT(E2467,7)="SUBSOLO",-1,IF(LEFT(E2467,6)="TÉRREO",0,IFERROR(VALUE(LEFT(E2467,FIND("º",E2467)-1)),""))))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IF(E2468="","",IF(LEFT(E2468,7)="SUBSOLO",-1,IF(LEFT(E2468,6)="TÉRREO",0,IFERROR(VALUE(LEFT(E2468,FIND("º",E2468)-1)),""))))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IF(E2469="","",IF(LEFT(E2469,7)="SUBSOLO",-1,IF(LEFT(E2469,6)="TÉRREO",0,IFERROR(VALUE(LEFT(E2469,FIND("º",E2469)-1)),""))))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IF(E2470="","",IF(LEFT(E2470,7)="SUBSOLO",-1,IF(LEFT(E2470,6)="TÉRREO",0,IFERROR(VALUE(LEFT(E2470,FIND("º",E2470)-1)),""))))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IF(E2471="","",IF(LEFT(E2471,7)="SUBSOLO",-1,IF(LEFT(E2471,6)="TÉRREO",0,IFERROR(VALUE(LEFT(E2471,FIND("º",E2471)-1)),""))))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IF(E2472="","",IF(LEFT(E2472,7)="SUBSOLO",-1,IF(LEFT(E2472,6)="TÉRREO",0,IFERROR(VALUE(LEFT(E2472,FIND("º",E2472)-1)),""))))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IF(E2473="","",IF(LEFT(E2473,7)="SUBSOLO",-1,IF(LEFT(E2473,6)="TÉRREO",0,IFERROR(VALUE(LEFT(E2473,FIND("º",E2473)-1)),""))))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IF(E2474="","",IF(LEFT(E2474,7)="SUBSOLO",-1,IF(LEFT(E2474,6)="TÉRREO",0,IFERROR(VALUE(LEFT(E2474,FIND("º",E2474)-1)),""))))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IF(E2475="","",IF(LEFT(E2475,7)="SUBSOLO",-1,IF(LEFT(E2475,6)="TÉRREO",0,IFERROR(VALUE(LEFT(E2475,FIND("º",E2475)-1)),""))))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IF(E2476="","",IF(LEFT(E2476,7)="SUBSOLO",-1,IF(LEFT(E2476,6)="TÉRREO",0,IFERROR(VALUE(LEFT(E2476,FIND("º",E2476)-1)),""))))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IF(E2477="","",IF(LEFT(E2477,7)="SUBSOLO",-1,IF(LEFT(E2477,6)="TÉRREO",0,IFERROR(VALUE(LEFT(E2477,FIND("º",E2477)-1)),""))))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IF(E2478="","",IF(LEFT(E2478,7)="SUBSOLO",-1,IF(LEFT(E2478,6)="TÉRREO",0,IFERROR(VALUE(LEFT(E2478,FIND("º",E2478)-1)),""))))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IF(E2479="","",IF(LEFT(E2479,7)="SUBSOLO",-1,IF(LEFT(E2479,6)="TÉRREO",0,IFERROR(VALUE(LEFT(E2479,FIND("º",E2479)-1)),""))))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IF(E2480="","",IF(LEFT(E2480,7)="SUBSOLO",-1,IF(LEFT(E2480,6)="TÉRREO",0,IFERROR(VALUE(LEFT(E2480,FIND("º",E2480)-1)),""))))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IF(E2481="","",IF(LEFT(E2481,7)="SUBSOLO",-1,IF(LEFT(E2481,6)="TÉRREO",0,IFERROR(VALUE(LEFT(E2481,FIND("º",E2481)-1)),""))))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IF(E2482="","",IF(LEFT(E2482,7)="SUBSOLO",-1,IF(LEFT(E2482,6)="TÉRREO",0,IFERROR(VALUE(LEFT(E2482,FIND("º",E2482)-1)),""))))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IF(E2483="","",IF(LEFT(E2483,7)="SUBSOLO",-1,IF(LEFT(E2483,6)="TÉRREO",0,IFERROR(VALUE(LEFT(E2483,FIND("º",E2483)-1)),""))))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IF(E2484="","",IF(LEFT(E2484,7)="SUBSOLO",-1,IF(LEFT(E2484,6)="TÉRREO",0,IFERROR(VALUE(LEFT(E2484,FIND("º",E2484)-1)),""))))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IF(E2485="","",IF(LEFT(E2485,7)="SUBSOLO",-1,IF(LEFT(E2485,6)="TÉRREO",0,IFERROR(VALUE(LEFT(E2485,FIND("º",E2485)-1)),""))))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IF(E2486="","",IF(LEFT(E2486,7)="SUBSOLO",-1,IF(LEFT(E2486,6)="TÉRREO",0,IFERROR(VALUE(LEFT(E2486,FIND("º",E2486)-1)),""))))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IF(E2487="","",IF(LEFT(E2487,7)="SUBSOLO",-1,IF(LEFT(E2487,6)="TÉRREO",0,IFERROR(VALUE(LEFT(E2487,FIND("º",E2487)-1)),""))))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IF(E2488="","",IF(LEFT(E2488,7)="SUBSOLO",-1,IF(LEFT(E2488,6)="TÉRREO",0,IFERROR(VALUE(LEFT(E2488,FIND("º",E2488)-1)),""))))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IF(E2489="","",IF(LEFT(E2489,7)="SUBSOLO",-1,IF(LEFT(E2489,6)="TÉRREO",0,IFERROR(VALUE(LEFT(E2489,FIND("º",E2489)-1)),""))))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IF(E2490="","",IF(LEFT(E2490,7)="SUBSOLO",-1,IF(LEFT(E2490,6)="TÉRREO",0,IFERROR(VALUE(LEFT(E2490,FIND("º",E2490)-1)),""))))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IF(E2491="","",IF(LEFT(E2491,7)="SUBSOLO",-1,IF(LEFT(E2491,6)="TÉRREO",0,IFERROR(VALUE(LEFT(E2491,FIND("º",E2491)-1)),""))))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IF(E2492="","",IF(LEFT(E2492,7)="SUBSOLO",-1,IF(LEFT(E2492,6)="TÉRREO",0,IFERROR(VALUE(LEFT(E2492,FIND("º",E2492)-1)),""))))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IF(E2493="","",IF(LEFT(E2493,7)="SUBSOLO",-1,IF(LEFT(E2493,6)="TÉRREO",0,IFERROR(VALUE(LEFT(E2493,FIND("º",E2493)-1)),""))))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IF(E2494="","",IF(LEFT(E2494,7)="SUBSOLO",-1,IF(LEFT(E2494,6)="TÉRREO",0,IFERROR(VALUE(LEFT(E2494,FIND("º",E2494)-1)),""))))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IF(E2495="","",IF(LEFT(E2495,7)="SUBSOLO",-1,IF(LEFT(E2495,6)="TÉRREO",0,IFERROR(VALUE(LEFT(E2495,FIND("º",E2495)-1)),""))))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IF(E2496="","",IF(LEFT(E2496,7)="SUBSOLO",-1,IF(LEFT(E2496,6)="TÉRREO",0,IFERROR(VALUE(LEFT(E2496,FIND("º",E2496)-1)),""))))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IF(E2497="","",IF(LEFT(E2497,7)="SUBSOLO",-1,IF(LEFT(E2497,6)="TÉRREO",0,IFERROR(VALUE(LEFT(E2497,FIND("º",E2497)-1)),""))))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IF(E2498="","",IF(LEFT(E2498,7)="SUBSOLO",-1,IF(LEFT(E2498,6)="TÉRREO",0,IFERROR(VALUE(LEFT(E2498,FIND("º",E2498)-1)),""))))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IF(E2499="","",IF(LEFT(E2499,7)="SUBSOLO",-1,IF(LEFT(E2499,6)="TÉRREO",0,IFERROR(VALUE(LEFT(E2499,FIND("º",E2499)-1)),""))))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IF(E2500="","",IF(LEFT(E2500,7)="SUBSOLO",-1,IF(LEFT(E2500,6)="TÉRREO",0,IFERROR(VALUE(LEFT(E2500,FIND("º",E2500)-1)),""))))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IF(E2501="","",IF(LEFT(E2501,7)="SUBSOLO",-1,IF(LEFT(E2501,6)="TÉRREO",0,IFERROR(VALUE(LEFT(E2501,FIND("º",E2501)-1)),""))))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IF(E2502="","",IF(LEFT(E2502,7)="SUBSOLO",-1,IF(LEFT(E2502,6)="TÉRREO",0,IFERROR(VALUE(LEFT(E2502,FIND("º",E2502)-1)),""))))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IF(E2503="","",IF(LEFT(E2503,7)="SUBSOLO",-1,IF(LEFT(E2503,6)="TÉRREO",0,IFERROR(VALUE(LEFT(E2503,FIND("º",E2503)-1)),""))))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IF(E2504="","",IF(LEFT(E2504,7)="SUBSOLO",-1,IF(LEFT(E2504,6)="TÉRREO",0,IFERROR(VALUE(LEFT(E2504,FIND("º",E2504)-1)),""))))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IF(E2505="","",IF(LEFT(E2505,7)="SUBSOLO",-1,IF(LEFT(E2505,6)="TÉRREO",0,IFERROR(VALUE(LEFT(E2505,FIND("º",E2505)-1)),""))))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IF(E2506="","",IF(LEFT(E2506,7)="SUBSOLO",-1,IF(LEFT(E2506,6)="TÉRREO",0,IFERROR(VALUE(LEFT(E2506,FIND("º",E2506)-1)),""))))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IF(E2507="","",IF(LEFT(E2507,7)="SUBSOLO",-1,IF(LEFT(E2507,6)="TÉRREO",0,IFERROR(VALUE(LEFT(E2507,FIND("º",E2507)-1)),""))))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IF(E2508="","",IF(LEFT(E2508,7)="SUBSOLO",-1,IF(LEFT(E2508,6)="TÉRREO",0,IFERROR(VALUE(LEFT(E2508,FIND("º",E2508)-1)),""))))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IF(E2509="","",IF(LEFT(E2509,7)="SUBSOLO",-1,IF(LEFT(E2509,6)="TÉRREO",0,IFERROR(VALUE(LEFT(E2509,FIND("º",E2509)-1)),""))))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IF(E2510="","",IF(LEFT(E2510,7)="SUBSOLO",-1,IF(LEFT(E2510,6)="TÉRREO",0,IFERROR(VALUE(LEFT(E2510,FIND("º",E2510)-1)),""))))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IF(E2511="","",IF(LEFT(E2511,7)="SUBSOLO",-1,IF(LEFT(E2511,6)="TÉRREO",0,IFERROR(VALUE(LEFT(E2511,FIND("º",E2511)-1)),""))))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IF(E2512="","",IF(LEFT(E2512,7)="SUBSOLO",-1,IF(LEFT(E2512,6)="TÉRREO",0,IFERROR(VALUE(LEFT(E2512,FIND("º",E2512)-1)),""))))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IF(E2513="","",IF(LEFT(E2513,7)="SUBSOLO",-1,IF(LEFT(E2513,6)="TÉRREO",0,IFERROR(VALUE(LEFT(E2513,FIND("º",E2513)-1)),""))))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IF(E2514="","",IF(LEFT(E2514,7)="SUBSOLO",-1,IF(LEFT(E2514,6)="TÉRREO",0,IFERROR(VALUE(LEFT(E2514,FIND("º",E2514)-1)),""))))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IF(E2515="","",IF(LEFT(E2515,7)="SUBSOLO",-1,IF(LEFT(E2515,6)="TÉRREO",0,IFERROR(VALUE(LEFT(E2515,FIND("º",E2515)-1)),""))))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IF(E2516="","",IF(LEFT(E2516,7)="SUBSOLO",-1,IF(LEFT(E2516,6)="TÉRREO",0,IFERROR(VALUE(LEFT(E2516,FIND("º",E2516)-1)),""))))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IF(E2517="","",IF(LEFT(E2517,7)="SUBSOLO",-1,IF(LEFT(E2517,6)="TÉRREO",0,IFERROR(VALUE(LEFT(E2517,FIND("º",E2517)-1)),""))))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IF(E2518="","",IF(LEFT(E2518,7)="SUBSOLO",-1,IF(LEFT(E2518,6)="TÉRREO",0,IFERROR(VALUE(LEFT(E2518,FIND("º",E2518)-1)),""))))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IF(E2519="","",IF(LEFT(E2519,7)="SUBSOLO",-1,IF(LEFT(E2519,6)="TÉRREO",0,IFERROR(VALUE(LEFT(E2519,FIND("º",E2519)-1)),""))))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IF(E2520="","",IF(LEFT(E2520,7)="SUBSOLO",-1,IF(LEFT(E2520,6)="TÉRREO",0,IFERROR(VALUE(LEFT(E2520,FIND("º",E2520)-1)),""))))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IF(E2521="","",IF(LEFT(E2521,7)="SUBSOLO",-1,IF(LEFT(E2521,6)="TÉRREO",0,IFERROR(VALUE(LEFT(E2521,FIND("º",E2521)-1)),""))))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IF(E2522="","",IF(LEFT(E2522,7)="SUBSOLO",-1,IF(LEFT(E2522,6)="TÉRREO",0,IFERROR(VALUE(LEFT(E2522,FIND("º",E2522)-1)),""))))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IF(E2523="","",IF(LEFT(E2523,7)="SUBSOLO",-1,IF(LEFT(E2523,6)="TÉRREO",0,IFERROR(VALUE(LEFT(E2523,FIND("º",E2523)-1)),""))))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IF(E2524="","",IF(LEFT(E2524,7)="SUBSOLO",-1,IF(LEFT(E2524,6)="TÉRREO",0,IFERROR(VALUE(LEFT(E2524,FIND("º",E2524)-1)),""))))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IF(E2525="","",IF(LEFT(E2525,7)="SUBSOLO",-1,IF(LEFT(E2525,6)="TÉRREO",0,IFERROR(VALUE(LEFT(E2525,FIND("º",E2525)-1)),""))))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IF(E2526="","",IF(LEFT(E2526,7)="SUBSOLO",-1,IF(LEFT(E2526,6)="TÉRREO",0,IFERROR(VALUE(LEFT(E2526,FIND("º",E2526)-1)),""))))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IF(E2527="","",IF(LEFT(E2527,7)="SUBSOLO",-1,IF(LEFT(E2527,6)="TÉRREO",0,IFERROR(VALUE(LEFT(E2527,FIND("º",E2527)-1)),""))))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IF(E2528="","",IF(LEFT(E2528,7)="SUBSOLO",-1,IF(LEFT(E2528,6)="TÉRREO",0,IFERROR(VALUE(LEFT(E2528,FIND("º",E2528)-1)),""))))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IF(E2529="","",IF(LEFT(E2529,7)="SUBSOLO",-1,IF(LEFT(E2529,6)="TÉRREO",0,IFERROR(VALUE(LEFT(E2529,FIND("º",E2529)-1)),""))))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IF(E2530="","",IF(LEFT(E2530,7)="SUBSOLO",-1,IF(LEFT(E2530,6)="TÉRREO",0,IFERROR(VALUE(LEFT(E2530,FIND("º",E2530)-1)),""))))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IF(E2531="","",IF(LEFT(E2531,7)="SUBSOLO",-1,IF(LEFT(E2531,6)="TÉRREO",0,IFERROR(VALUE(LEFT(E2531,FIND("º",E2531)-1)),""))))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IF(E2532="","",IF(LEFT(E2532,7)="SUBSOLO",-1,IF(LEFT(E2532,6)="TÉRREO",0,IFERROR(VALUE(LEFT(E2532,FIND("º",E2532)-1)),""))))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IF(E2533="","",IF(LEFT(E2533,7)="SUBSOLO",-1,IF(LEFT(E2533,6)="TÉRREO",0,IFERROR(VALUE(LEFT(E2533,FIND("º",E2533)-1)),""))))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IF(E2534="","",IF(LEFT(E2534,7)="SUBSOLO",-1,IF(LEFT(E2534,6)="TÉRREO",0,IFERROR(VALUE(LEFT(E2534,FIND("º",E2534)-1)),""))))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IF(E2535="","",IF(LEFT(E2535,7)="SUBSOLO",-1,IF(LEFT(E2535,6)="TÉRREO",0,IFERROR(VALUE(LEFT(E2535,FIND("º",E2535)-1)),""))))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IF(E2536="","",IF(LEFT(E2536,7)="SUBSOLO",-1,IF(LEFT(E2536,6)="TÉRREO",0,IFERROR(VALUE(LEFT(E2536,FIND("º",E2536)-1)),""))))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IF(E2537="","",IF(LEFT(E2537,7)="SUBSOLO",-1,IF(LEFT(E2537,6)="TÉRREO",0,IFERROR(VALUE(LEFT(E2537,FIND("º",E2537)-1)),""))))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IF(E2538="","",IF(LEFT(E2538,7)="SUBSOLO",-1,IF(LEFT(E2538,6)="TÉRREO",0,IFERROR(VALUE(LEFT(E2538,FIND("º",E2538)-1)),""))))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IF(E2539="","",IF(LEFT(E2539,7)="SUBSOLO",-1,IF(LEFT(E2539,6)="TÉRREO",0,IFERROR(VALUE(LEFT(E2539,FIND("º",E2539)-1)),""))))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IF(E2540="","",IF(LEFT(E2540,7)="SUBSOLO",-1,IF(LEFT(E2540,6)="TÉRREO",0,IFERROR(VALUE(LEFT(E2540,FIND("º",E2540)-1)),""))))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IF(E2541="","",IF(LEFT(E2541,7)="SUBSOLO",-1,IF(LEFT(E2541,6)="TÉRREO",0,IFERROR(VALUE(LEFT(E2541,FIND("º",E2541)-1)),""))))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IF(E2542="","",IF(LEFT(E2542,7)="SUBSOLO",-1,IF(LEFT(E2542,6)="TÉRREO",0,IFERROR(VALUE(LEFT(E2542,FIND("º",E2542)-1)),""))))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IF(E2543="","",IF(LEFT(E2543,7)="SUBSOLO",-1,IF(LEFT(E2543,6)="TÉRREO",0,IFERROR(VALUE(LEFT(E2543,FIND("º",E2543)-1)),""))))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IF(E2544="","",IF(LEFT(E2544,7)="SUBSOLO",-1,IF(LEFT(E2544,6)="TÉRREO",0,IFERROR(VALUE(LEFT(E2544,FIND("º",E2544)-1)),""))))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IF(E2545="","",IF(LEFT(E2545,7)="SUBSOLO",-1,IF(LEFT(E2545,6)="TÉRREO",0,IFERROR(VALUE(LEFT(E2545,FIND("º",E2545)-1)),""))))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IF(E2546="","",IF(LEFT(E2546,7)="SUBSOLO",-1,IF(LEFT(E2546,6)="TÉRREO",0,IFERROR(VALUE(LEFT(E2546,FIND("º",E2546)-1)),""))))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IF(E2547="","",IF(LEFT(E2547,7)="SUBSOLO",-1,IF(LEFT(E2547,6)="TÉRREO",0,IFERROR(VALUE(LEFT(E2547,FIND("º",E2547)-1)),""))))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IF(E2548="","",IF(LEFT(E2548,7)="SUBSOLO",-1,IF(LEFT(E2548,6)="TÉRREO",0,IFERROR(VALUE(LEFT(E2548,FIND("º",E2548)-1)),""))))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IF(E2549="","",IF(LEFT(E2549,7)="SUBSOLO",-1,IF(LEFT(E2549,6)="TÉRREO",0,IFERROR(VALUE(LEFT(E2549,FIND("º",E2549)-1)),""))))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IF(E2550="","",IF(LEFT(E2550,7)="SUBSOLO",-1,IF(LEFT(E2550,6)="TÉRREO",0,IFERROR(VALUE(LEFT(E2550,FIND("º",E2550)-1)),""))))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IF(E2551="","",IF(LEFT(E2551,7)="SUBSOLO",-1,IF(LEFT(E2551,6)="TÉRREO",0,IFERROR(VALUE(LEFT(E2551,FIND("º",E2551)-1)),""))))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IF(E2552="","",IF(LEFT(E2552,7)="SUBSOLO",-1,IF(LEFT(E2552,6)="TÉRREO",0,IFERROR(VALUE(LEFT(E2552,FIND("º",E2552)-1)),""))))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IF(E2553="","",IF(LEFT(E2553,7)="SUBSOLO",-1,IF(LEFT(E2553,6)="TÉRREO",0,IFERROR(VALUE(LEFT(E2553,FIND("º",E2553)-1)),""))))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IF(E2554="","",IF(LEFT(E2554,7)="SUBSOLO",-1,IF(LEFT(E2554,6)="TÉRREO",0,IFERROR(VALUE(LEFT(E2554,FIND("º",E2554)-1)),""))))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IF(E2555="","",IF(LEFT(E2555,7)="SUBSOLO",-1,IF(LEFT(E2555,6)="TÉRREO",0,IFERROR(VALUE(LEFT(E2555,FIND("º",E2555)-1)),""))))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IF(E2556="","",IF(LEFT(E2556,7)="SUBSOLO",-1,IF(LEFT(E2556,6)="TÉRREO",0,IFERROR(VALUE(LEFT(E2556,FIND("º",E2556)-1)),""))))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IF(E2557="","",IF(LEFT(E2557,7)="SUBSOLO",-1,IF(LEFT(E2557,6)="TÉRREO",0,IFERROR(VALUE(LEFT(E2557,FIND("º",E2557)-1)),""))))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IF(E2558="","",IF(LEFT(E2558,7)="SUBSOLO",-1,IF(LEFT(E2558,6)="TÉRREO",0,IFERROR(VALUE(LEFT(E2558,FIND("º",E2558)-1)),""))))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IF(E2559="","",IF(LEFT(E2559,7)="SUBSOLO",-1,IF(LEFT(E2559,6)="TÉRREO",0,IFERROR(VALUE(LEFT(E2559,FIND("º",E2559)-1)),""))))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IF(E2560="","",IF(LEFT(E2560,7)="SUBSOLO",-1,IF(LEFT(E2560,6)="TÉRREO",0,IFERROR(VALUE(LEFT(E2560,FIND("º",E2560)-1)),""))))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IF(E2561="","",IF(LEFT(E2561,7)="SUBSOLO",-1,IF(LEFT(E2561,6)="TÉRREO",0,IFERROR(VALUE(LEFT(E2561,FIND("º",E2561)-1)),""))))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IF(E2562="","",IF(LEFT(E2562,7)="SUBSOLO",-1,IF(LEFT(E2562,6)="TÉRREO",0,IFERROR(VALUE(LEFT(E2562,FIND("º",E2562)-1)),""))))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IF(E2563="","",IF(LEFT(E2563,7)="SUBSOLO",-1,IF(LEFT(E2563,6)="TÉRREO",0,IFERROR(VALUE(LEFT(E2563,FIND("º",E2563)-1)),""))))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IF(E2564="","",IF(LEFT(E2564,7)="SUBSOLO",-1,IF(LEFT(E2564,6)="TÉRREO",0,IFERROR(VALUE(LEFT(E2564,FIND("º",E2564)-1)),""))))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IF(E2565="","",IF(LEFT(E2565,7)="SUBSOLO",-1,IF(LEFT(E2565,6)="TÉRREO",0,IFERROR(VALUE(LEFT(E2565,FIND("º",E2565)-1)),""))))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IF(E2566="","",IF(LEFT(E2566,7)="SUBSOLO",-1,IF(LEFT(E2566,6)="TÉRREO",0,IFERROR(VALUE(LEFT(E2566,FIND("º",E2566)-1)),""))))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IF(E2567="","",IF(LEFT(E2567,7)="SUBSOLO",-1,IF(LEFT(E2567,6)="TÉRREO",0,IFERROR(VALUE(LEFT(E2567,FIND("º",E2567)-1)),""))))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IF(E2568="","",IF(LEFT(E2568,7)="SUBSOLO",-1,IF(LEFT(E2568,6)="TÉRREO",0,IFERROR(VALUE(LEFT(E2568,FIND("º",E2568)-1)),""))))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IF(E2569="","",IF(LEFT(E2569,7)="SUBSOLO",-1,IF(LEFT(E2569,6)="TÉRREO",0,IFERROR(VALUE(LEFT(E2569,FIND("º",E2569)-1)),""))))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IF(E2570="","",IF(LEFT(E2570,7)="SUBSOLO",-1,IF(LEFT(E2570,6)="TÉRREO",0,IFERROR(VALUE(LEFT(E2570,FIND("º",E2570)-1)),""))))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IF(E2571="","",IF(LEFT(E2571,7)="SUBSOLO",-1,IF(LEFT(E2571,6)="TÉRREO",0,IFERROR(VALUE(LEFT(E2571,FIND("º",E2571)-1)),""))))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IF(E2572="","",IF(LEFT(E2572,7)="SUBSOLO",-1,IF(LEFT(E2572,6)="TÉRREO",0,IFERROR(VALUE(LEFT(E2572,FIND("º",E2572)-1)),""))))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IF(E2573="","",IF(LEFT(E2573,7)="SUBSOLO",-1,IF(LEFT(E2573,6)="TÉRREO",0,IFERROR(VALUE(LEFT(E2573,FIND("º",E2573)-1)),""))))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IF(E2574="","",IF(LEFT(E2574,7)="SUBSOLO",-1,IF(LEFT(E2574,6)="TÉRREO",0,IFERROR(VALUE(LEFT(E2574,FIND("º",E2574)-1)),""))))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IF(E2575="","",IF(LEFT(E2575,7)="SUBSOLO",-1,IF(LEFT(E2575,6)="TÉRREO",0,IFERROR(VALUE(LEFT(E2575,FIND("º",E2575)-1)),""))))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IF(E2576="","",IF(LEFT(E2576,7)="SUBSOLO",-1,IF(LEFT(E2576,6)="TÉRREO",0,IFERROR(VALUE(LEFT(E2576,FIND("º",E2576)-1)),""))))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IF(E2577="","",IF(LEFT(E2577,7)="SUBSOLO",-1,IF(LEFT(E2577,6)="TÉRREO",0,IFERROR(VALUE(LEFT(E2577,FIND("º",E2577)-1)),""))))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IF(E2578="","",IF(LEFT(E2578,7)="SUBSOLO",-1,IF(LEFT(E2578,6)="TÉRREO",0,IFERROR(VALUE(LEFT(E2578,FIND("º",E2578)-1)),""))))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IF(E2579="","",IF(LEFT(E2579,7)="SUBSOLO",-1,IF(LEFT(E2579,6)="TÉRREO",0,IFERROR(VALUE(LEFT(E2579,FIND("º",E2579)-1)),""))))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IF(E2580="","",IF(LEFT(E2580,7)="SUBSOLO",-1,IF(LEFT(E2580,6)="TÉRREO",0,IFERROR(VALUE(LEFT(E2580,FIND("º",E2580)-1)),""))))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IF(E2581="","",IF(LEFT(E2581,7)="SUBSOLO",-1,IF(LEFT(E2581,6)="TÉRREO",0,IFERROR(VALUE(LEFT(E2581,FIND("º",E2581)-1)),""))))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IF(E2582="","",IF(LEFT(E2582,7)="SUBSOLO",-1,IF(LEFT(E2582,6)="TÉRREO",0,IFERROR(VALUE(LEFT(E2582,FIND("º",E2582)-1)),""))))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IF(E2583="","",IF(LEFT(E2583,7)="SUBSOLO",-1,IF(LEFT(E2583,6)="TÉRREO",0,IFERROR(VALUE(LEFT(E2583,FIND("º",E2583)-1)),""))))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IF(E2584="","",IF(LEFT(E2584,7)="SUBSOLO",-1,IF(LEFT(E2584,6)="TÉRREO",0,IFERROR(VALUE(LEFT(E2584,FIND("º",E2584)-1)),""))))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IF(E2585="","",IF(LEFT(E2585,7)="SUBSOLO",-1,IF(LEFT(E2585,6)="TÉRREO",0,IFERROR(VALUE(LEFT(E2585,FIND("º",E2585)-1)),""))))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IF(E2586="","",IF(LEFT(E2586,7)="SUBSOLO",-1,IF(LEFT(E2586,6)="TÉRREO",0,IFERROR(VALUE(LEFT(E2586,FIND("º",E2586)-1)),""))))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IF(E2587="","",IF(LEFT(E2587,7)="SUBSOLO",-1,IF(LEFT(E2587,6)="TÉRREO",0,IFERROR(VALUE(LEFT(E2587,FIND("º",E2587)-1)),""))))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IF(E2588="","",IF(LEFT(E2588,7)="SUBSOLO",-1,IF(LEFT(E2588,6)="TÉRREO",0,IFERROR(VALUE(LEFT(E2588,FIND("º",E2588)-1)),""))))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IF(E2589="","",IF(LEFT(E2589,7)="SUBSOLO",-1,IF(LEFT(E2589,6)="TÉRREO",0,IFERROR(VALUE(LEFT(E2589,FIND("º",E2589)-1)),""))))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IF(E2590="","",IF(LEFT(E2590,7)="SUBSOLO",-1,IF(LEFT(E2590,6)="TÉRREO",0,IFERROR(VALUE(LEFT(E2590,FIND("º",E2590)-1)),""))))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IF(E2591="","",IF(LEFT(E2591,7)="SUBSOLO",-1,IF(LEFT(E2591,6)="TÉRREO",0,IFERROR(VALUE(LEFT(E2591,FIND("º",E2591)-1)),""))))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IF(E2592="","",IF(LEFT(E2592,7)="SUBSOLO",-1,IF(LEFT(E2592,6)="TÉRREO",0,IFERROR(VALUE(LEFT(E2592,FIND("º",E2592)-1)),""))))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IF(E2593="","",IF(LEFT(E2593,7)="SUBSOLO",-1,IF(LEFT(E2593,6)="TÉRREO",0,IFERROR(VALUE(LEFT(E2593,FIND("º",E2593)-1)),""))))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IF(E2594="","",IF(LEFT(E2594,7)="SUBSOLO",-1,IF(LEFT(E2594,6)="TÉRREO",0,IFERROR(VALUE(LEFT(E2594,FIND("º",E2594)-1)),""))))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IF(E2595="","",IF(LEFT(E2595,7)="SUBSOLO",-1,IF(LEFT(E2595,6)="TÉRREO",0,IFERROR(VALUE(LEFT(E2595,FIND("º",E2595)-1)),""))))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IF(E2596="","",IF(LEFT(E2596,7)="SUBSOLO",-1,IF(LEFT(E2596,6)="TÉRREO",0,IFERROR(VALUE(LEFT(E2596,FIND("º",E2596)-1)),""))))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IF(E2597="","",IF(LEFT(E2597,7)="SUBSOLO",-1,IF(LEFT(E2597,6)="TÉRREO",0,IFERROR(VALUE(LEFT(E2597,FIND("º",E2597)-1)),""))))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IF(E2598="","",IF(LEFT(E2598,7)="SUBSOLO",-1,IF(LEFT(E2598,6)="TÉRREO",0,IFERROR(VALUE(LEFT(E2598,FIND("º",E2598)-1)),""))))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IF(E2599="","",IF(LEFT(E2599,7)="SUBSOLO",-1,IF(LEFT(E2599,6)="TÉRREO",0,IFERROR(VALUE(LEFT(E2599,FIND("º",E2599)-1)),""))))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IF(E2600="","",IF(LEFT(E2600,7)="SUBSOLO",-1,IF(LEFT(E2600,6)="TÉRREO",0,IFERROR(VALUE(LEFT(E2600,FIND("º",E2600)-1)),""))))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IF(E2601="","",IF(LEFT(E2601,7)="SUBSOLO",-1,IF(LEFT(E2601,6)="TÉRREO",0,IFERROR(VALUE(LEFT(E2601,FIND("º",E2601)-1)),""))))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IF(E2602="","",IF(LEFT(E2602,7)="SUBSOLO",-1,IF(LEFT(E2602,6)="TÉRREO",0,IFERROR(VALUE(LEFT(E2602,FIND("º",E2602)-1)),""))))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IF(E2603="","",IF(LEFT(E2603,7)="SUBSOLO",-1,IF(LEFT(E2603,6)="TÉRREO",0,IFERROR(VALUE(LEFT(E2603,FIND("º",E2603)-1)),""))))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IF(E2604="","",IF(LEFT(E2604,7)="SUBSOLO",-1,IF(LEFT(E2604,6)="TÉRREO",0,IFERROR(VALUE(LEFT(E2604,FIND("º",E2604)-1)),""))))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IF(E2605="","",IF(LEFT(E2605,7)="SUBSOLO",-1,IF(LEFT(E2605,6)="TÉRREO",0,IFERROR(VALUE(LEFT(E2605,FIND("º",E2605)-1)),""))))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IF(E2606="","",IF(LEFT(E2606,7)="SUBSOLO",-1,IF(LEFT(E2606,6)="TÉRREO",0,IFERROR(VALUE(LEFT(E2606,FIND("º",E2606)-1)),""))))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IF(E2607="","",IF(LEFT(E2607,7)="SUBSOLO",-1,IF(LEFT(E2607,6)="TÉRREO",0,IFERROR(VALUE(LEFT(E2607,FIND("º",E2607)-1)),""))))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IF(E2608="","",IF(LEFT(E2608,7)="SUBSOLO",-1,IF(LEFT(E2608,6)="TÉRREO",0,IFERROR(VALUE(LEFT(E2608,FIND("º",E2608)-1)),""))))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IF(E2609="","",IF(LEFT(E2609,7)="SUBSOLO",-1,IF(LEFT(E2609,6)="TÉRREO",0,IFERROR(VALUE(LEFT(E2609,FIND("º",E2609)-1)),""))))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IF(E2610="","",IF(LEFT(E2610,7)="SUBSOLO",-1,IF(LEFT(E2610,6)="TÉRREO",0,IFERROR(VALUE(LEFT(E2610,FIND("º",E2610)-1)),""))))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IF(E2611="","",IF(LEFT(E2611,7)="SUBSOLO",-1,IF(LEFT(E2611,6)="TÉRREO",0,IFERROR(VALUE(LEFT(E2611,FIND("º",E2611)-1)),""))))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IF(E2612="","",IF(LEFT(E2612,7)="SUBSOLO",-1,IF(LEFT(E2612,6)="TÉRREO",0,IFERROR(VALUE(LEFT(E2612,FIND("º",E2612)-1)),""))))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IF(E2613="","",IF(LEFT(E2613,7)="SUBSOLO",-1,IF(LEFT(E2613,6)="TÉRREO",0,IFERROR(VALUE(LEFT(E2613,FIND("º",E2613)-1)),""))))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IF(E2614="","",IF(LEFT(E2614,7)="SUBSOLO",-1,IF(LEFT(E2614,6)="TÉRREO",0,IFERROR(VALUE(LEFT(E2614,FIND("º",E2614)-1)),""))))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IF(E2615="","",IF(LEFT(E2615,7)="SUBSOLO",-1,IF(LEFT(E2615,6)="TÉRREO",0,IFERROR(VALUE(LEFT(E2615,FIND("º",E2615)-1)),""))))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IF(E2616="","",IF(LEFT(E2616,7)="SUBSOLO",-1,IF(LEFT(E2616,6)="TÉRREO",0,IFERROR(VALUE(LEFT(E2616,FIND("º",E2616)-1)),""))))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IF(E2617="","",IF(LEFT(E2617,7)="SUBSOLO",-1,IF(LEFT(E2617,6)="TÉRREO",0,IFERROR(VALUE(LEFT(E2617,FIND("º",E2617)-1)),""))))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IF(E2618="","",IF(LEFT(E2618,7)="SUBSOLO",-1,IF(LEFT(E2618,6)="TÉRREO",0,IFERROR(VALUE(LEFT(E2618,FIND("º",E2618)-1)),""))))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IF(E2619="","",IF(LEFT(E2619,7)="SUBSOLO",-1,IF(LEFT(E2619,6)="TÉRREO",0,IFERROR(VALUE(LEFT(E2619,FIND("º",E2619)-1)),""))))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IF(E2620="","",IF(LEFT(E2620,7)="SUBSOLO",-1,IF(LEFT(E2620,6)="TÉRREO",0,IFERROR(VALUE(LEFT(E2620,FIND("º",E2620)-1)),""))))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IF(E2621="","",IF(LEFT(E2621,7)="SUBSOLO",-1,IF(LEFT(E2621,6)="TÉRREO",0,IFERROR(VALUE(LEFT(E2621,FIND("º",E2621)-1)),""))))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IF(E2622="","",IF(LEFT(E2622,7)="SUBSOLO",-1,IF(LEFT(E2622,6)="TÉRREO",0,IFERROR(VALUE(LEFT(E2622,FIND("º",E2622)-1)),""))))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IF(E2623="","",IF(LEFT(E2623,7)="SUBSOLO",-1,IF(LEFT(E2623,6)="TÉRREO",0,IFERROR(VALUE(LEFT(E2623,FIND("º",E2623)-1)),""))))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IF(E2624="","",IF(LEFT(E2624,7)="SUBSOLO",-1,IF(LEFT(E2624,6)="TÉRREO",0,IFERROR(VALUE(LEFT(E2624,FIND("º",E2624)-1)),""))))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IF(E2625="","",IF(LEFT(E2625,7)="SUBSOLO",-1,IF(LEFT(E2625,6)="TÉRREO",0,IFERROR(VALUE(LEFT(E2625,FIND("º",E2625)-1)),""))))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IF(E2626="","",IF(LEFT(E2626,7)="SUBSOLO",-1,IF(LEFT(E2626,6)="TÉRREO",0,IFERROR(VALUE(LEFT(E2626,FIND("º",E2626)-1)),""))))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IF(E2627="","",IF(LEFT(E2627,7)="SUBSOLO",-1,IF(LEFT(E2627,6)="TÉRREO",0,IFERROR(VALUE(LEFT(E2627,FIND("º",E2627)-1)),""))))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IF(E2628="","",IF(LEFT(E2628,7)="SUBSOLO",-1,IF(LEFT(E2628,6)="TÉRREO",0,IFERROR(VALUE(LEFT(E2628,FIND("º",E2628)-1)),""))))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IF(E2629="","",IF(LEFT(E2629,7)="SUBSOLO",-1,IF(LEFT(E2629,6)="TÉRREO",0,IFERROR(VALUE(LEFT(E2629,FIND("º",E2629)-1)),""))))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IF(E2630="","",IF(LEFT(E2630,7)="SUBSOLO",-1,IF(LEFT(E2630,6)="TÉRREO",0,IFERROR(VALUE(LEFT(E2630,FIND("º",E2630)-1)),""))))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IF(E2631="","",IF(LEFT(E2631,7)="SUBSOLO",-1,IF(LEFT(E2631,6)="TÉRREO",0,IFERROR(VALUE(LEFT(E2631,FIND("º",E2631)-1)),""))))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IF(E2632="","",IF(LEFT(E2632,7)="SUBSOLO",-1,IF(LEFT(E2632,6)="TÉRREO",0,IFERROR(VALUE(LEFT(E2632,FIND("º",E2632)-1)),""))))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IF(E2633="","",IF(LEFT(E2633,7)="SUBSOLO",-1,IF(LEFT(E2633,6)="TÉRREO",0,IFERROR(VALUE(LEFT(E2633,FIND("º",E2633)-1)),""))))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IF(E2634="","",IF(LEFT(E2634,7)="SUBSOLO",-1,IF(LEFT(E2634,6)="TÉRREO",0,IFERROR(VALUE(LEFT(E2634,FIND("º",E2634)-1)),""))))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IF(E2635="","",IF(LEFT(E2635,7)="SUBSOLO",-1,IF(LEFT(E2635,6)="TÉRREO",0,IFERROR(VALUE(LEFT(E2635,FIND("º",E2635)-1)),""))))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IF(E2636="","",IF(LEFT(E2636,7)="SUBSOLO",-1,IF(LEFT(E2636,6)="TÉRREO",0,IFERROR(VALUE(LEFT(E2636,FIND("º",E2636)-1)),""))))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IF(E2637="","",IF(LEFT(E2637,7)="SUBSOLO",-1,IF(LEFT(E2637,6)="TÉRREO",0,IFERROR(VALUE(LEFT(E2637,FIND("º",E2637)-1)),""))))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IF(E2638="","",IF(LEFT(E2638,7)="SUBSOLO",-1,IF(LEFT(E2638,6)="TÉRREO",0,IFERROR(VALUE(LEFT(E2638,FIND("º",E2638)-1)),""))))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IF(E2639="","",IF(LEFT(E2639,7)="SUBSOLO",-1,IF(LEFT(E2639,6)="TÉRREO",0,IFERROR(VALUE(LEFT(E2639,FIND("º",E2639)-1)),""))))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IF(E2640="","",IF(LEFT(E2640,7)="SUBSOLO",-1,IF(LEFT(E2640,6)="TÉRREO",0,IFERROR(VALUE(LEFT(E2640,FIND("º",E2640)-1)),""))))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IF(E2641="","",IF(LEFT(E2641,7)="SUBSOLO",-1,IF(LEFT(E2641,6)="TÉRREO",0,IFERROR(VALUE(LEFT(E2641,FIND("º",E2641)-1)),""))))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IF(E2642="","",IF(LEFT(E2642,7)="SUBSOLO",-1,IF(LEFT(E2642,6)="TÉRREO",0,IFERROR(VALUE(LEFT(E2642,FIND("º",E2642)-1)),""))))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IF(E2643="","",IF(LEFT(E2643,7)="SUBSOLO",-1,IF(LEFT(E2643,6)="TÉRREO",0,IFERROR(VALUE(LEFT(E2643,FIND("º",E2643)-1)),""))))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IF(E2644="","",IF(LEFT(E2644,7)="SUBSOLO",-1,IF(LEFT(E2644,6)="TÉRREO",0,IFERROR(VALUE(LEFT(E2644,FIND("º",E2644)-1)),""))))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IF(E2645="","",IF(LEFT(E2645,7)="SUBSOLO",-1,IF(LEFT(E2645,6)="TÉRREO",0,IFERROR(VALUE(LEFT(E2645,FIND("º",E2645)-1)),""))))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IF(E2646="","",IF(LEFT(E2646,7)="SUBSOLO",-1,IF(LEFT(E2646,6)="TÉRREO",0,IFERROR(VALUE(LEFT(E2646,FIND("º",E2646)-1)),""))))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IF(E2647="","",IF(LEFT(E2647,7)="SUBSOLO",-1,IF(LEFT(E2647,6)="TÉRREO",0,IFERROR(VALUE(LEFT(E2647,FIND("º",E2647)-1)),""))))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IF(E2648="","",IF(LEFT(E2648,7)="SUBSOLO",-1,IF(LEFT(E2648,6)="TÉRREO",0,IFERROR(VALUE(LEFT(E2648,FIND("º",E2648)-1)),""))))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IF(E2649="","",IF(LEFT(E2649,7)="SUBSOLO",-1,IF(LEFT(E2649,6)="TÉRREO",0,IFERROR(VALUE(LEFT(E2649,FIND("º",E2649)-1)),""))))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IF(E2650="","",IF(LEFT(E2650,7)="SUBSOLO",-1,IF(LEFT(E2650,6)="TÉRREO",0,IFERROR(VALUE(LEFT(E2650,FIND("º",E2650)-1)),""))))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IF(E2651="","",IF(LEFT(E2651,7)="SUBSOLO",-1,IF(LEFT(E2651,6)="TÉRREO",0,IFERROR(VALUE(LEFT(E2651,FIND("º",E2651)-1)),""))))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IF(E2652="","",IF(LEFT(E2652,7)="SUBSOLO",-1,IF(LEFT(E2652,6)="TÉRREO",0,IFERROR(VALUE(LEFT(E2652,FIND("º",E2652)-1)),""))))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IF(E2653="","",IF(LEFT(E2653,7)="SUBSOLO",-1,IF(LEFT(E2653,6)="TÉRREO",0,IFERROR(VALUE(LEFT(E2653,FIND("º",E2653)-1)),""))))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IF(E2654="","",IF(LEFT(E2654,7)="SUBSOLO",-1,IF(LEFT(E2654,6)="TÉRREO",0,IFERROR(VALUE(LEFT(E2654,FIND("º",E2654)-1)),""))))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IF(E2655="","",IF(LEFT(E2655,7)="SUBSOLO",-1,IF(LEFT(E2655,6)="TÉRREO",0,IFERROR(VALUE(LEFT(E2655,FIND("º",E2655)-1)),""))))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IF(E2656="","",IF(LEFT(E2656,7)="SUBSOLO",-1,IF(LEFT(E2656,6)="TÉRREO",0,IFERROR(VALUE(LEFT(E2656,FIND("º",E2656)-1)),""))))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IF(E2657="","",IF(LEFT(E2657,7)="SUBSOLO",-1,IF(LEFT(E2657,6)="TÉRREO",0,IFERROR(VALUE(LEFT(E2657,FIND("º",E2657)-1)),""))))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IF(E2658="","",IF(LEFT(E2658,7)="SUBSOLO",-1,IF(LEFT(E2658,6)="TÉRREO",0,IFERROR(VALUE(LEFT(E2658,FIND("º",E2658)-1)),""))))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IF(E2659="","",IF(LEFT(E2659,7)="SUBSOLO",-1,IF(LEFT(E2659,6)="TÉRREO",0,IFERROR(VALUE(LEFT(E2659,FIND("º",E2659)-1)),""))))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IF(E2660="","",IF(LEFT(E2660,7)="SUBSOLO",-1,IF(LEFT(E2660,6)="TÉRREO",0,IFERROR(VALUE(LEFT(E2660,FIND("º",E2660)-1)),""))))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IF(E2661="","",IF(LEFT(E2661,7)="SUBSOLO",-1,IF(LEFT(E2661,6)="TÉRREO",0,IFERROR(VALUE(LEFT(E2661,FIND("º",E2661)-1)),""))))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IF(E2662="","",IF(LEFT(E2662,7)="SUBSOLO",-1,IF(LEFT(E2662,6)="TÉRREO",0,IFERROR(VALUE(LEFT(E2662,FIND("º",E2662)-1)),""))))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IF(E2663="","",IF(LEFT(E2663,7)="SUBSOLO",-1,IF(LEFT(E2663,6)="TÉRREO",0,IFERROR(VALUE(LEFT(E2663,FIND("º",E2663)-1)),""))))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IF(E2664="","",IF(LEFT(E2664,7)="SUBSOLO",-1,IF(LEFT(E2664,6)="TÉRREO",0,IFERROR(VALUE(LEFT(E2664,FIND("º",E2664)-1)),""))))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IF(E2665="","",IF(LEFT(E2665,7)="SUBSOLO",-1,IF(LEFT(E2665,6)="TÉRREO",0,IFERROR(VALUE(LEFT(E2665,FIND("º",E2665)-1)),""))))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IF(E2666="","",IF(LEFT(E2666,7)="SUBSOLO",-1,IF(LEFT(E2666,6)="TÉRREO",0,IFERROR(VALUE(LEFT(E2666,FIND("º",E2666)-1)),""))))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IF(E2667="","",IF(LEFT(E2667,7)="SUBSOLO",-1,IF(LEFT(E2667,6)="TÉRREO",0,IFERROR(VALUE(LEFT(E2667,FIND("º",E2667)-1)),""))))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IF(E2668="","",IF(LEFT(E2668,7)="SUBSOLO",-1,IF(LEFT(E2668,6)="TÉRREO",0,IFERROR(VALUE(LEFT(E2668,FIND("º",E2668)-1)),""))))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IF(E2669="","",IF(LEFT(E2669,7)="SUBSOLO",-1,IF(LEFT(E2669,6)="TÉRREO",0,IFERROR(VALUE(LEFT(E2669,FIND("º",E2669)-1)),""))))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IF(E2670="","",IF(LEFT(E2670,7)="SUBSOLO",-1,IF(LEFT(E2670,6)="TÉRREO",0,IFERROR(VALUE(LEFT(E2670,FIND("º",E2670)-1)),""))))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IF(E2671="","",IF(LEFT(E2671,7)="SUBSOLO",-1,IF(LEFT(E2671,6)="TÉRREO",0,IFERROR(VALUE(LEFT(E2671,FIND("º",E2671)-1)),""))))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IF(E2672="","",IF(LEFT(E2672,7)="SUBSOLO",-1,IF(LEFT(E2672,6)="TÉRREO",0,IFERROR(VALUE(LEFT(E2672,FIND("º",E2672)-1)),""))))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IF(E2673="","",IF(LEFT(E2673,7)="SUBSOLO",-1,IF(LEFT(E2673,6)="TÉRREO",0,IFERROR(VALUE(LEFT(E2673,FIND("º",E2673)-1)),""))))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IF(E2674="","",IF(LEFT(E2674,7)="SUBSOLO",-1,IF(LEFT(E2674,6)="TÉRREO",0,IFERROR(VALUE(LEFT(E2674,FIND("º",E2674)-1)),""))))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IF(E2675="","",IF(LEFT(E2675,7)="SUBSOLO",-1,IF(LEFT(E2675,6)="TÉRREO",0,IFERROR(VALUE(LEFT(E2675,FIND("º",E2675)-1)),""))))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IF(E2676="","",IF(LEFT(E2676,7)="SUBSOLO",-1,IF(LEFT(E2676,6)="TÉRREO",0,IFERROR(VALUE(LEFT(E2676,FIND("º",E2676)-1)),""))))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IF(E2677="","",IF(LEFT(E2677,7)="SUBSOLO",-1,IF(LEFT(E2677,6)="TÉRREO",0,IFERROR(VALUE(LEFT(E2677,FIND("º",E2677)-1)),""))))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IF(E2678="","",IF(LEFT(E2678,7)="SUBSOLO",-1,IF(LEFT(E2678,6)="TÉRREO",0,IFERROR(VALUE(LEFT(E2678,FIND("º",E2678)-1)),""))))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IF(E2679="","",IF(LEFT(E2679,7)="SUBSOLO",-1,IF(LEFT(E2679,6)="TÉRREO",0,IFERROR(VALUE(LEFT(E2679,FIND("º",E2679)-1)),""))))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IF(E2680="","",IF(LEFT(E2680,7)="SUBSOLO",-1,IF(LEFT(E2680,6)="TÉRREO",0,IFERROR(VALUE(LEFT(E2680,FIND("º",E2680)-1)),""))))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IF(E2681="","",IF(LEFT(E2681,7)="SUBSOLO",-1,IF(LEFT(E2681,6)="TÉRREO",0,IFERROR(VALUE(LEFT(E2681,FIND("º",E2681)-1)),""))))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IF(E2682="","",IF(LEFT(E2682,7)="SUBSOLO",-1,IF(LEFT(E2682,6)="TÉRREO",0,IFERROR(VALUE(LEFT(E2682,FIND("º",E2682)-1)),""))))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IF(E2683="","",IF(LEFT(E2683,7)="SUBSOLO",-1,IF(LEFT(E2683,6)="TÉRREO",0,IFERROR(VALUE(LEFT(E2683,FIND("º",E2683)-1)),""))))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IF(E2684="","",IF(LEFT(E2684,7)="SUBSOLO",-1,IF(LEFT(E2684,6)="TÉRREO",0,IFERROR(VALUE(LEFT(E2684,FIND("º",E2684)-1)),""))))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IF(E2685="","",IF(LEFT(E2685,7)="SUBSOLO",-1,IF(LEFT(E2685,6)="TÉRREO",0,IFERROR(VALUE(LEFT(E2685,FIND("º",E2685)-1)),""))))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IF(E2686="","",IF(LEFT(E2686,7)="SUBSOLO",-1,IF(LEFT(E2686,6)="TÉRREO",0,IFERROR(VALUE(LEFT(E2686,FIND("º",E2686)-1)),""))))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IF(E2687="","",IF(LEFT(E2687,7)="SUBSOLO",-1,IF(LEFT(E2687,6)="TÉRREO",0,IFERROR(VALUE(LEFT(E2687,FIND("º",E2687)-1)),""))))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IF(E2688="","",IF(LEFT(E2688,7)="SUBSOLO",-1,IF(LEFT(E2688,6)="TÉRREO",0,IFERROR(VALUE(LEFT(E2688,FIND("º",E2688)-1)),""))))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IF(E2689="","",IF(LEFT(E2689,7)="SUBSOLO",-1,IF(LEFT(E2689,6)="TÉRREO",0,IFERROR(VALUE(LEFT(E2689,FIND("º",E2689)-1)),""))))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IF(E2690="","",IF(LEFT(E2690,7)="SUBSOLO",-1,IF(LEFT(E2690,6)="TÉRREO",0,IFERROR(VALUE(LEFT(E2690,FIND("º",E2690)-1)),""))))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IF(E2691="","",IF(LEFT(E2691,7)="SUBSOLO",-1,IF(LEFT(E2691,6)="TÉRREO",0,IFERROR(VALUE(LEFT(E2691,FIND("º",E2691)-1)),""))))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IF(E2692="","",IF(LEFT(E2692,7)="SUBSOLO",-1,IF(LEFT(E2692,6)="TÉRREO",0,IFERROR(VALUE(LEFT(E2692,FIND("º",E2692)-1)),""))))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IF(E2693="","",IF(LEFT(E2693,7)="SUBSOLO",-1,IF(LEFT(E2693,6)="TÉRREO",0,IFERROR(VALUE(LEFT(E2693,FIND("º",E2693)-1)),""))))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IF(E2694="","",IF(LEFT(E2694,7)="SUBSOLO",-1,IF(LEFT(E2694,6)="TÉRREO",0,IFERROR(VALUE(LEFT(E2694,FIND("º",E2694)-1)),""))))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IF(E2695="","",IF(LEFT(E2695,7)="SUBSOLO",-1,IF(LEFT(E2695,6)="TÉRREO",0,IFERROR(VALUE(LEFT(E2695,FIND("º",E2695)-1)),""))))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IF(E2696="","",IF(LEFT(E2696,7)="SUBSOLO",-1,IF(LEFT(E2696,6)="TÉRREO",0,IFERROR(VALUE(LEFT(E2696,FIND("º",E2696)-1)),""))))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IF(E2697="","",IF(LEFT(E2697,7)="SUBSOLO",-1,IF(LEFT(E2697,6)="TÉRREO",0,IFERROR(VALUE(LEFT(E2697,FIND("º",E2697)-1)),""))))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IF(E2698="","",IF(LEFT(E2698,7)="SUBSOLO",-1,IF(LEFT(E2698,6)="TÉRREO",0,IFERROR(VALUE(LEFT(E2698,FIND("º",E2698)-1)),""))))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IF(E2699="","",IF(LEFT(E2699,7)="SUBSOLO",-1,IF(LEFT(E2699,6)="TÉRREO",0,IFERROR(VALUE(LEFT(E2699,FIND("º",E2699)-1)),""))))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IF(E2700="","",IF(LEFT(E2700,7)="SUBSOLO",-1,IF(LEFT(E2700,6)="TÉRREO",0,IFERROR(VALUE(LEFT(E2700,FIND("º",E2700)-1)),""))))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IF(E2701="","",IF(LEFT(E2701,7)="SUBSOLO",-1,IF(LEFT(E2701,6)="TÉRREO",0,IFERROR(VALUE(LEFT(E2701,FIND("º",E2701)-1)),""))))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IF(E2702="","",IF(LEFT(E2702,7)="SUBSOLO",-1,IF(LEFT(E2702,6)="TÉRREO",0,IFERROR(VALUE(LEFT(E2702,FIND("º",E2702)-1)),""))))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IF(E2703="","",IF(LEFT(E2703,7)="SUBSOLO",-1,IF(LEFT(E2703,6)="TÉRREO",0,IFERROR(VALUE(LEFT(E2703,FIND("º",E2703)-1)),""))))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IF(E2704="","",IF(LEFT(E2704,7)="SUBSOLO",-1,IF(LEFT(E2704,6)="TÉRREO",0,IFERROR(VALUE(LEFT(E2704,FIND("º",E2704)-1)),""))))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IF(E2705="","",IF(LEFT(E2705,7)="SUBSOLO",-1,IF(LEFT(E2705,6)="TÉRREO",0,IFERROR(VALUE(LEFT(E2705,FIND("º",E2705)-1)),""))))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IF(E2706="","",IF(LEFT(E2706,7)="SUBSOLO",-1,IF(LEFT(E2706,6)="TÉRREO",0,IFERROR(VALUE(LEFT(E2706,FIND("º",E2706)-1)),""))))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IF(E2707="","",IF(LEFT(E2707,7)="SUBSOLO",-1,IF(LEFT(E2707,6)="TÉRREO",0,IFERROR(VALUE(LEFT(E2707,FIND("º",E2707)-1)),""))))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IF(E2708="","",IF(LEFT(E2708,7)="SUBSOLO",-1,IF(LEFT(E2708,6)="TÉRREO",0,IFERROR(VALUE(LEFT(E2708,FIND("º",E2708)-1)),""))))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IF(E2709="","",IF(LEFT(E2709,7)="SUBSOLO",-1,IF(LEFT(E2709,6)="TÉRREO",0,IFERROR(VALUE(LEFT(E2709,FIND("º",E2709)-1)),""))))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IF(E2710="","",IF(LEFT(E2710,7)="SUBSOLO",-1,IF(LEFT(E2710,6)="TÉRREO",0,IFERROR(VALUE(LEFT(E2710,FIND("º",E2710)-1)),""))))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IF(E2711="","",IF(LEFT(E2711,7)="SUBSOLO",-1,IF(LEFT(E2711,6)="TÉRREO",0,IFERROR(VALUE(LEFT(E2711,FIND("º",E2711)-1)),""))))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IF(E2712="","",IF(LEFT(E2712,7)="SUBSOLO",-1,IF(LEFT(E2712,6)="TÉRREO",0,IFERROR(VALUE(LEFT(E2712,FIND("º",E2712)-1)),""))))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IF(E2713="","",IF(LEFT(E2713,7)="SUBSOLO",-1,IF(LEFT(E2713,6)="TÉRREO",0,IFERROR(VALUE(LEFT(E2713,FIND("º",E2713)-1)),""))))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IF(E2714="","",IF(LEFT(E2714,7)="SUBSOLO",-1,IF(LEFT(E2714,6)="TÉRREO",0,IFERROR(VALUE(LEFT(E2714,FIND("º",E2714)-1)),""))))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IF(E2715="","",IF(LEFT(E2715,7)="SUBSOLO",-1,IF(LEFT(E2715,6)="TÉRREO",0,IFERROR(VALUE(LEFT(E2715,FIND("º",E2715)-1)),""))))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IF(E2716="","",IF(LEFT(E2716,7)="SUBSOLO",-1,IF(LEFT(E2716,6)="TÉRREO",0,IFERROR(VALUE(LEFT(E2716,FIND("º",E2716)-1)),""))))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IF(E2717="","",IF(LEFT(E2717,7)="SUBSOLO",-1,IF(LEFT(E2717,6)="TÉRREO",0,IFERROR(VALUE(LEFT(E2717,FIND("º",E2717)-1)),""))))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IF(E2718="","",IF(LEFT(E2718,7)="SUBSOLO",-1,IF(LEFT(E2718,6)="TÉRREO",0,IFERROR(VALUE(LEFT(E2718,FIND("º",E2718)-1)),""))))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IF(E2719="","",IF(LEFT(E2719,7)="SUBSOLO",-1,IF(LEFT(E2719,6)="TÉRREO",0,IFERROR(VALUE(LEFT(E2719,FIND("º",E2719)-1)),""))))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IF(E2720="","",IF(LEFT(E2720,7)="SUBSOLO",-1,IF(LEFT(E2720,6)="TÉRREO",0,IFERROR(VALUE(LEFT(E2720,FIND("º",E2720)-1)),""))))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IF(E2721="","",IF(LEFT(E2721,7)="SUBSOLO",-1,IF(LEFT(E2721,6)="TÉRREO",0,IFERROR(VALUE(LEFT(E2721,FIND("º",E2721)-1)),""))))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IF(E2722="","",IF(LEFT(E2722,7)="SUBSOLO",-1,IF(LEFT(E2722,6)="TÉRREO",0,IFERROR(VALUE(LEFT(E2722,FIND("º",E2722)-1)),""))))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IF(E2723="","",IF(LEFT(E2723,7)="SUBSOLO",-1,IF(LEFT(E2723,6)="TÉRREO",0,IFERROR(VALUE(LEFT(E2723,FIND("º",E2723)-1)),""))))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IF(E2724="","",IF(LEFT(E2724,7)="SUBSOLO",-1,IF(LEFT(E2724,6)="TÉRREO",0,IFERROR(VALUE(LEFT(E2724,FIND("º",E2724)-1)),""))))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IF(E2725="","",IF(LEFT(E2725,7)="SUBSOLO",-1,IF(LEFT(E2725,6)="TÉRREO",0,IFERROR(VALUE(LEFT(E2725,FIND("º",E2725)-1)),""))))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IF(E2726="","",IF(LEFT(E2726,7)="SUBSOLO",-1,IF(LEFT(E2726,6)="TÉRREO",0,IFERROR(VALUE(LEFT(E2726,FIND("º",E2726)-1)),""))))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IF(E2727="","",IF(LEFT(E2727,7)="SUBSOLO",-1,IF(LEFT(E2727,6)="TÉRREO",0,IFERROR(VALUE(LEFT(E2727,FIND("º",E2727)-1)),""))))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IF(E2728="","",IF(LEFT(E2728,7)="SUBSOLO",-1,IF(LEFT(E2728,6)="TÉRREO",0,IFERROR(VALUE(LEFT(E2728,FIND("º",E2728)-1)),""))))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IF(E2729="","",IF(LEFT(E2729,7)="SUBSOLO",-1,IF(LEFT(E2729,6)="TÉRREO",0,IFERROR(VALUE(LEFT(E2729,FIND("º",E2729)-1)),""))))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IF(E2730="","",IF(LEFT(E2730,7)="SUBSOLO",-1,IF(LEFT(E2730,6)="TÉRREO",0,IFERROR(VALUE(LEFT(E2730,FIND("º",E2730)-1)),""))))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IF(E2731="","",IF(LEFT(E2731,7)="SUBSOLO",-1,IF(LEFT(E2731,6)="TÉRREO",0,IFERROR(VALUE(LEFT(E2731,FIND("º",E2731)-1)),""))))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IF(E2732="","",IF(LEFT(E2732,7)="SUBSOLO",-1,IF(LEFT(E2732,6)="TÉRREO",0,IFERROR(VALUE(LEFT(E2732,FIND("º",E2732)-1)),""))))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IF(E2733="","",IF(LEFT(E2733,7)="SUBSOLO",-1,IF(LEFT(E2733,6)="TÉRREO",0,IFERROR(VALUE(LEFT(E2733,FIND("º",E2733)-1)),""))))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IF(E2734="","",IF(LEFT(E2734,7)="SUBSOLO",-1,IF(LEFT(E2734,6)="TÉRREO",0,IFERROR(VALUE(LEFT(E2734,FIND("º",E2734)-1)),""))))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IF(E2735="","",IF(LEFT(E2735,7)="SUBSOLO",-1,IF(LEFT(E2735,6)="TÉRREO",0,IFERROR(VALUE(LEFT(E2735,FIND("º",E2735)-1)),""))))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IF(E2736="","",IF(LEFT(E2736,7)="SUBSOLO",-1,IF(LEFT(E2736,6)="TÉRREO",0,IFERROR(VALUE(LEFT(E2736,FIND("º",E2736)-1)),""))))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IF(E2737="","",IF(LEFT(E2737,7)="SUBSOLO",-1,IF(LEFT(E2737,6)="TÉRREO",0,IFERROR(VALUE(LEFT(E2737,FIND("º",E2737)-1)),""))))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IF(E2738="","",IF(LEFT(E2738,7)="SUBSOLO",-1,IF(LEFT(E2738,6)="TÉRREO",0,IFERROR(VALUE(LEFT(E2738,FIND("º",E2738)-1)),""))))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IF(E2739="","",IF(LEFT(E2739,7)="SUBSOLO",-1,IF(LEFT(E2739,6)="TÉRREO",0,IFERROR(VALUE(LEFT(E2739,FIND("º",E2739)-1)),""))))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IF(E2740="","",IF(LEFT(E2740,7)="SUBSOLO",-1,IF(LEFT(E2740,6)="TÉRREO",0,IFERROR(VALUE(LEFT(E2740,FIND("º",E2740)-1)),""))))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IF(E2741="","",IF(LEFT(E2741,7)="SUBSOLO",-1,IF(LEFT(E2741,6)="TÉRREO",0,IFERROR(VALUE(LEFT(E2741,FIND("º",E2741)-1)),""))))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IF(E2742="","",IF(LEFT(E2742,7)="SUBSOLO",-1,IF(LEFT(E2742,6)="TÉRREO",0,IFERROR(VALUE(LEFT(E2742,FIND("º",E2742)-1)),""))))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IF(E2743="","",IF(LEFT(E2743,7)="SUBSOLO",-1,IF(LEFT(E2743,6)="TÉRREO",0,IFERROR(VALUE(LEFT(E2743,FIND("º",E2743)-1)),""))))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IF(E2744="","",IF(LEFT(E2744,7)="SUBSOLO",-1,IF(LEFT(E2744,6)="TÉRREO",0,IFERROR(VALUE(LEFT(E2744,FIND("º",E2744)-1)),""))))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IF(E2745="","",IF(LEFT(E2745,7)="SUBSOLO",-1,IF(LEFT(E2745,6)="TÉRREO",0,IFERROR(VALUE(LEFT(E2745,FIND("º",E2745)-1)),""))))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IF(E2746="","",IF(LEFT(E2746,7)="SUBSOLO",-1,IF(LEFT(E2746,6)="TÉRREO",0,IFERROR(VALUE(LEFT(E2746,FIND("º",E2746)-1)),""))))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IF(E2747="","",IF(LEFT(E2747,7)="SUBSOLO",-1,IF(LEFT(E2747,6)="TÉRREO",0,IFERROR(VALUE(LEFT(E2747,FIND("º",E2747)-1)),""))))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IF(E2748="","",IF(LEFT(E2748,7)="SUBSOLO",-1,IF(LEFT(E2748,6)="TÉRREO",0,IFERROR(VALUE(LEFT(E2748,FIND("º",E2748)-1)),""))))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IF(E2749="","",IF(LEFT(E2749,7)="SUBSOLO",-1,IF(LEFT(E2749,6)="TÉRREO",0,IFERROR(VALUE(LEFT(E2749,FIND("º",E2749)-1)),""))))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IF(E2750="","",IF(LEFT(E2750,7)="SUBSOLO",-1,IF(LEFT(E2750,6)="TÉRREO",0,IFERROR(VALUE(LEFT(E2750,FIND("º",E2750)-1)),""))))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IF(E2751="","",IF(LEFT(E2751,7)="SUBSOLO",-1,IF(LEFT(E2751,6)="TÉRREO",0,IFERROR(VALUE(LEFT(E2751,FIND("º",E2751)-1)),""))))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IF(E2752="","",IF(LEFT(E2752,7)="SUBSOLO",-1,IF(LEFT(E2752,6)="TÉRREO",0,IFERROR(VALUE(LEFT(E2752,FIND("º",E2752)-1)),""))))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IF(E2753="","",IF(LEFT(E2753,7)="SUBSOLO",-1,IF(LEFT(E2753,6)="TÉRREO",0,IFERROR(VALUE(LEFT(E2753,FIND("º",E2753)-1)),""))))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IF(E2754="","",IF(LEFT(E2754,7)="SUBSOLO",-1,IF(LEFT(E2754,6)="TÉRREO",0,IFERROR(VALUE(LEFT(E2754,FIND("º",E2754)-1)),""))))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IF(E2755="","",IF(LEFT(E2755,7)="SUBSOLO",-1,IF(LEFT(E2755,6)="TÉRREO",0,IFERROR(VALUE(LEFT(E2755,FIND("º",E2755)-1)),""))))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IF(E2756="","",IF(LEFT(E2756,7)="SUBSOLO",-1,IF(LEFT(E2756,6)="TÉRREO",0,IFERROR(VALUE(LEFT(E2756,FIND("º",E2756)-1)),""))))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IF(E2757="","",IF(LEFT(E2757,7)="SUBSOLO",-1,IF(LEFT(E2757,6)="TÉRREO",0,IFERROR(VALUE(LEFT(E2757,FIND("º",E2757)-1)),""))))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IF(E2758="","",IF(LEFT(E2758,7)="SUBSOLO",-1,IF(LEFT(E2758,6)="TÉRREO",0,IFERROR(VALUE(LEFT(E2758,FIND("º",E2758)-1)),""))))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IF(E2759="","",IF(LEFT(E2759,7)="SUBSOLO",-1,IF(LEFT(E2759,6)="TÉRREO",0,IFERROR(VALUE(LEFT(E2759,FIND("º",E2759)-1)),""))))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IF(E2760="","",IF(LEFT(E2760,7)="SUBSOLO",-1,IF(LEFT(E2760,6)="TÉRREO",0,IFERROR(VALUE(LEFT(E2760,FIND("º",E2760)-1)),""))))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IF(E2761="","",IF(LEFT(E2761,7)="SUBSOLO",-1,IF(LEFT(E2761,6)="TÉRREO",0,IFERROR(VALUE(LEFT(E2761,FIND("º",E2761)-1)),""))))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IF(E2762="","",IF(LEFT(E2762,7)="SUBSOLO",-1,IF(LEFT(E2762,6)="TÉRREO",0,IFERROR(VALUE(LEFT(E2762,FIND("º",E2762)-1)),""))))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IF(E2763="","",IF(LEFT(E2763,7)="SUBSOLO",-1,IF(LEFT(E2763,6)="TÉRREO",0,IFERROR(VALUE(LEFT(E2763,FIND("º",E2763)-1)),""))))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IF(E2764="","",IF(LEFT(E2764,7)="SUBSOLO",-1,IF(LEFT(E2764,6)="TÉRREO",0,IFERROR(VALUE(LEFT(E2764,FIND("º",E2764)-1)),""))))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IF(E2765="","",IF(LEFT(E2765,7)="SUBSOLO",-1,IF(LEFT(E2765,6)="TÉRREO",0,IFERROR(VALUE(LEFT(E2765,FIND("º",E2765)-1)),""))))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IF(E2766="","",IF(LEFT(E2766,7)="SUBSOLO",-1,IF(LEFT(E2766,6)="TÉRREO",0,IFERROR(VALUE(LEFT(E2766,FIND("º",E2766)-1)),""))))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IF(E2767="","",IF(LEFT(E2767,7)="SUBSOLO",-1,IF(LEFT(E2767,6)="TÉRREO",0,IFERROR(VALUE(LEFT(E2767,FIND("º",E2767)-1)),""))))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IF(E2768="","",IF(LEFT(E2768,7)="SUBSOLO",-1,IF(LEFT(E2768,6)="TÉRREO",0,IFERROR(VALUE(LEFT(E2768,FIND("º",E2768)-1)),""))))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IF(E2769="","",IF(LEFT(E2769,7)="SUBSOLO",-1,IF(LEFT(E2769,6)="TÉRREO",0,IFERROR(VALUE(LEFT(E2769,FIND("º",E2769)-1)),""))))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IF(E2770="","",IF(LEFT(E2770,7)="SUBSOLO",-1,IF(LEFT(E2770,6)="TÉRREO",0,IFERROR(VALUE(LEFT(E2770,FIND("º",E2770)-1)),""))))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IF(E2771="","",IF(LEFT(E2771,7)="SUBSOLO",-1,IF(LEFT(E2771,6)="TÉRREO",0,IFERROR(VALUE(LEFT(E2771,FIND("º",E2771)-1)),""))))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IF(E2772="","",IF(LEFT(E2772,7)="SUBSOLO",-1,IF(LEFT(E2772,6)="TÉRREO",0,IFERROR(VALUE(LEFT(E2772,FIND("º",E2772)-1)),""))))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IF(E2773="","",IF(LEFT(E2773,7)="SUBSOLO",-1,IF(LEFT(E2773,6)="TÉRREO",0,IFERROR(VALUE(LEFT(E2773,FIND("º",E2773)-1)),""))))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IF(E2774="","",IF(LEFT(E2774,7)="SUBSOLO",-1,IF(LEFT(E2774,6)="TÉRREO",0,IFERROR(VALUE(LEFT(E2774,FIND("º",E2774)-1)),""))))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IF(E2775="","",IF(LEFT(E2775,7)="SUBSOLO",-1,IF(LEFT(E2775,6)="TÉRREO",0,IFERROR(VALUE(LEFT(E2775,FIND("º",E2775)-1)),""))))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IF(E2776="","",IF(LEFT(E2776,7)="SUBSOLO",-1,IF(LEFT(E2776,6)="TÉRREO",0,IFERROR(VALUE(LEFT(E2776,FIND("º",E2776)-1)),""))))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IF(E2777="","",IF(LEFT(E2777,7)="SUBSOLO",-1,IF(LEFT(E2777,6)="TÉRREO",0,IFERROR(VALUE(LEFT(E2777,FIND("º",E2777)-1)),""))))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IF(E2778="","",IF(LEFT(E2778,7)="SUBSOLO",-1,IF(LEFT(E2778,6)="TÉRREO",0,IFERROR(VALUE(LEFT(E2778,FIND("º",E2778)-1)),""))))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IF(E2779="","",IF(LEFT(E2779,7)="SUBSOLO",-1,IF(LEFT(E2779,6)="TÉRREO",0,IFERROR(VALUE(LEFT(E2779,FIND("º",E2779)-1)),""))))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IF(E2780="","",IF(LEFT(E2780,7)="SUBSOLO",-1,IF(LEFT(E2780,6)="TÉRREO",0,IFERROR(VALUE(LEFT(E2780,FIND("º",E2780)-1)),""))))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IF(E2781="","",IF(LEFT(E2781,7)="SUBSOLO",-1,IF(LEFT(E2781,6)="TÉRREO",0,IFERROR(VALUE(LEFT(E2781,FIND("º",E2781)-1)),""))))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IF(E2782="","",IF(LEFT(E2782,7)="SUBSOLO",-1,IF(LEFT(E2782,6)="TÉRREO",0,IFERROR(VALUE(LEFT(E2782,FIND("º",E2782)-1)),""))))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IF(E2783="","",IF(LEFT(E2783,7)="SUBSOLO",-1,IF(LEFT(E2783,6)="TÉRREO",0,IFERROR(VALUE(LEFT(E2783,FIND("º",E2783)-1)),""))))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IF(E2784="","",IF(LEFT(E2784,7)="SUBSOLO",-1,IF(LEFT(E2784,6)="TÉRREO",0,IFERROR(VALUE(LEFT(E2784,FIND("º",E2784)-1)),""))))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IF(E2785="","",IF(LEFT(E2785,7)="SUBSOLO",-1,IF(LEFT(E2785,6)="TÉRREO",0,IFERROR(VALUE(LEFT(E2785,FIND("º",E2785)-1)),""))))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IF(E2786="","",IF(LEFT(E2786,7)="SUBSOLO",-1,IF(LEFT(E2786,6)="TÉRREO",0,IFERROR(VALUE(LEFT(E2786,FIND("º",E2786)-1)),""))))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IF(E2787="","",IF(LEFT(E2787,7)="SUBSOLO",-1,IF(LEFT(E2787,6)="TÉRREO",0,IFERROR(VALUE(LEFT(E2787,FIND("º",E2787)-1)),""))))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IF(E2788="","",IF(LEFT(E2788,7)="SUBSOLO",-1,IF(LEFT(E2788,6)="TÉRREO",0,IFERROR(VALUE(LEFT(E2788,FIND("º",E2788)-1)),""))))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IF(E2789="","",IF(LEFT(E2789,7)="SUBSOLO",-1,IF(LEFT(E2789,6)="TÉRREO",0,IFERROR(VALUE(LEFT(E2789,FIND("º",E2789)-1)),""))))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IF(E2790="","",IF(LEFT(E2790,7)="SUBSOLO",-1,IF(LEFT(E2790,6)="TÉRREO",0,IFERROR(VALUE(LEFT(E2790,FIND("º",E2790)-1)),""))))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IF(E2791="","",IF(LEFT(E2791,7)="SUBSOLO",-1,IF(LEFT(E2791,6)="TÉRREO",0,IFERROR(VALUE(LEFT(E2791,FIND("º",E2791)-1)),""))))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IF(E2792="","",IF(LEFT(E2792,7)="SUBSOLO",-1,IF(LEFT(E2792,6)="TÉRREO",0,IFERROR(VALUE(LEFT(E2792,FIND("º",E2792)-1)),""))))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IF(E2793="","",IF(LEFT(E2793,7)="SUBSOLO",-1,IF(LEFT(E2793,6)="TÉRREO",0,IFERROR(VALUE(LEFT(E2793,FIND("º",E2793)-1)),""))))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IF(E2794="","",IF(LEFT(E2794,7)="SUBSOLO",-1,IF(LEFT(E2794,6)="TÉRREO",0,IFERROR(VALUE(LEFT(E2794,FIND("º",E2794)-1)),""))))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IF(E2795="","",IF(LEFT(E2795,7)="SUBSOLO",-1,IF(LEFT(E2795,6)="TÉRREO",0,IFERROR(VALUE(LEFT(E2795,FIND("º",E2795)-1)),""))))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IF(E2796="","",IF(LEFT(E2796,7)="SUBSOLO",-1,IF(LEFT(E2796,6)="TÉRREO",0,IFERROR(VALUE(LEFT(E2796,FIND("º",E2796)-1)),""))))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IF(E2797="","",IF(LEFT(E2797,7)="SUBSOLO",-1,IF(LEFT(E2797,6)="TÉRREO",0,IFERROR(VALUE(LEFT(E2797,FIND("º",E2797)-1)),""))))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IF(E2798="","",IF(LEFT(E2798,7)="SUBSOLO",-1,IF(LEFT(E2798,6)="TÉRREO",0,IFERROR(VALUE(LEFT(E2798,FIND("º",E2798)-1)),""))))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IF(E2799="","",IF(LEFT(E2799,7)="SUBSOLO",-1,IF(LEFT(E2799,6)="TÉRREO",0,IFERROR(VALUE(LEFT(E2799,FIND("º",E2799)-1)),""))))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IF(E2800="","",IF(LEFT(E2800,7)="SUBSOLO",-1,IF(LEFT(E2800,6)="TÉRREO",0,IFERROR(VALUE(LEFT(E2800,FIND("º",E2800)-1)),""))))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IF(E2801="","",IF(LEFT(E2801,7)="SUBSOLO",-1,IF(LEFT(E2801,6)="TÉRREO",0,IFERROR(VALUE(LEFT(E2801,FIND("º",E2801)-1)),""))))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IF(E2802="","",IF(LEFT(E2802,7)="SUBSOLO",-1,IF(LEFT(E2802,6)="TÉRREO",0,IFERROR(VALUE(LEFT(E2802,FIND("º",E2802)-1)),""))))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IF(E2803="","",IF(LEFT(E2803,7)="SUBSOLO",-1,IF(LEFT(E2803,6)="TÉRREO",0,IFERROR(VALUE(LEFT(E2803,FIND("º",E2803)-1)),""))))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IF(E2804="","",IF(LEFT(E2804,7)="SUBSOLO",-1,IF(LEFT(E2804,6)="TÉRREO",0,IFERROR(VALUE(LEFT(E2804,FIND("º",E2804)-1)),""))))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IF(E2805="","",IF(LEFT(E2805,7)="SUBSOLO",-1,IF(LEFT(E2805,6)="TÉRREO",0,IFERROR(VALUE(LEFT(E2805,FIND("º",E2805)-1)),""))))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IF(E2806="","",IF(LEFT(E2806,7)="SUBSOLO",-1,IF(LEFT(E2806,6)="TÉRREO",0,IFERROR(VALUE(LEFT(E2806,FIND("º",E2806)-1)),""))))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IF(E2807="","",IF(LEFT(E2807,7)="SUBSOLO",-1,IF(LEFT(E2807,6)="TÉRREO",0,IFERROR(VALUE(LEFT(E2807,FIND("º",E2807)-1)),""))))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IF(E2808="","",IF(LEFT(E2808,7)="SUBSOLO",-1,IF(LEFT(E2808,6)="TÉRREO",0,IFERROR(VALUE(LEFT(E2808,FIND("º",E2808)-1)),""))))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IF(E2809="","",IF(LEFT(E2809,7)="SUBSOLO",-1,IF(LEFT(E2809,6)="TÉRREO",0,IFERROR(VALUE(LEFT(E2809,FIND("º",E2809)-1)),""))))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IF(E2810="","",IF(LEFT(E2810,7)="SUBSOLO",-1,IF(LEFT(E2810,6)="TÉRREO",0,IFERROR(VALUE(LEFT(E2810,FIND("º",E2810)-1)),""))))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IF(E2811="","",IF(LEFT(E2811,7)="SUBSOLO",-1,IF(LEFT(E2811,6)="TÉRREO",0,IFERROR(VALUE(LEFT(E2811,FIND("º",E2811)-1)),""))))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IF(E2812="","",IF(LEFT(E2812,7)="SUBSOLO",-1,IF(LEFT(E2812,6)="TÉRREO",0,IFERROR(VALUE(LEFT(E2812,FIND("º",E2812)-1)),""))))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IF(E2813="","",IF(LEFT(E2813,7)="SUBSOLO",-1,IF(LEFT(E2813,6)="TÉRREO",0,IFERROR(VALUE(LEFT(E2813,FIND("º",E2813)-1)),""))))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IF(E2814="","",IF(LEFT(E2814,7)="SUBSOLO",-1,IF(LEFT(E2814,6)="TÉRREO",0,IFERROR(VALUE(LEFT(E2814,FIND("º",E2814)-1)),""))))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IF(E2815="","",IF(LEFT(E2815,7)="SUBSOLO",-1,IF(LEFT(E2815,6)="TÉRREO",0,IFERROR(VALUE(LEFT(E2815,FIND("º",E2815)-1)),""))))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IF(E2816="","",IF(LEFT(E2816,7)="SUBSOLO",-1,IF(LEFT(E2816,6)="TÉRREO",0,IFERROR(VALUE(LEFT(E2816,FIND("º",E2816)-1)),""))))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IF(E2817="","",IF(LEFT(E2817,7)="SUBSOLO",-1,IF(LEFT(E2817,6)="TÉRREO",0,IFERROR(VALUE(LEFT(E2817,FIND("º",E2817)-1)),""))))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IF(E2818="","",IF(LEFT(E2818,7)="SUBSOLO",-1,IF(LEFT(E2818,6)="TÉRREO",0,IFERROR(VALUE(LEFT(E2818,FIND("º",E2818)-1)),""))))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IF(E2819="","",IF(LEFT(E2819,7)="SUBSOLO",-1,IF(LEFT(E2819,6)="TÉRREO",0,IFERROR(VALUE(LEFT(E2819,FIND("º",E2819)-1)),""))))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IF(E2820="","",IF(LEFT(E2820,7)="SUBSOLO",-1,IF(LEFT(E2820,6)="TÉRREO",0,IFERROR(VALUE(LEFT(E2820,FIND("º",E2820)-1)),""))))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IF(E2821="","",IF(LEFT(E2821,7)="SUBSOLO",-1,IF(LEFT(E2821,6)="TÉRREO",0,IFERROR(VALUE(LEFT(E2821,FIND("º",E2821)-1)),""))))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IF(E2822="","",IF(LEFT(E2822,7)="SUBSOLO",-1,IF(LEFT(E2822,6)="TÉRREO",0,IFERROR(VALUE(LEFT(E2822,FIND("º",E2822)-1)),""))))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IF(E2823="","",IF(LEFT(E2823,7)="SUBSOLO",-1,IF(LEFT(E2823,6)="TÉRREO",0,IFERROR(VALUE(LEFT(E2823,FIND("º",E2823)-1)),""))))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IF(E2824="","",IF(LEFT(E2824,7)="SUBSOLO",-1,IF(LEFT(E2824,6)="TÉRREO",0,IFERROR(VALUE(LEFT(E2824,FIND("º",E2824)-1)),""))))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IF(E2825="","",IF(LEFT(E2825,7)="SUBSOLO",-1,IF(LEFT(E2825,6)="TÉRREO",0,IFERROR(VALUE(LEFT(E2825,FIND("º",E2825)-1)),""))))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IF(E2826="","",IF(LEFT(E2826,7)="SUBSOLO",-1,IF(LEFT(E2826,6)="TÉRREO",0,IFERROR(VALUE(LEFT(E2826,FIND("º",E2826)-1)),""))))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IF(E2827="","",IF(LEFT(E2827,7)="SUBSOLO",-1,IF(LEFT(E2827,6)="TÉRREO",0,IFERROR(VALUE(LEFT(E2827,FIND("º",E2827)-1)),""))))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IF(E2828="","",IF(LEFT(E2828,7)="SUBSOLO",-1,IF(LEFT(E2828,6)="TÉRREO",0,IFERROR(VALUE(LEFT(E2828,FIND("º",E2828)-1)),""))))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IF(E2829="","",IF(LEFT(E2829,7)="SUBSOLO",-1,IF(LEFT(E2829,6)="TÉRREO",0,IFERROR(VALUE(LEFT(E2829,FIND("º",E2829)-1)),""))))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IF(E2830="","",IF(LEFT(E2830,7)="SUBSOLO",-1,IF(LEFT(E2830,6)="TÉRREO",0,IFERROR(VALUE(LEFT(E2830,FIND("º",E2830)-1)),""))))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IF(E2831="","",IF(LEFT(E2831,7)="SUBSOLO",-1,IF(LEFT(E2831,6)="TÉRREO",0,IFERROR(VALUE(LEFT(E2831,FIND("º",E2831)-1)),""))))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IF(E2832="","",IF(LEFT(E2832,7)="SUBSOLO",-1,IF(LEFT(E2832,6)="TÉRREO",0,IFERROR(VALUE(LEFT(E2832,FIND("º",E2832)-1)),""))))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IF(E2833="","",IF(LEFT(E2833,7)="SUBSOLO",-1,IF(LEFT(E2833,6)="TÉRREO",0,IFERROR(VALUE(LEFT(E2833,FIND("º",E2833)-1)),""))))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IF(E2834="","",IF(LEFT(E2834,7)="SUBSOLO",-1,IF(LEFT(E2834,6)="TÉRREO",0,IFERROR(VALUE(LEFT(E2834,FIND("º",E2834)-1)),""))))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IF(E2835="","",IF(LEFT(E2835,7)="SUBSOLO",-1,IF(LEFT(E2835,6)="TÉRREO",0,IFERROR(VALUE(LEFT(E2835,FIND("º",E2835)-1)),""))))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IF(E2836="","",IF(LEFT(E2836,7)="SUBSOLO",-1,IF(LEFT(E2836,6)="TÉRREO",0,IFERROR(VALUE(LEFT(E2836,FIND("º",E2836)-1)),""))))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IF(E2837="","",IF(LEFT(E2837,7)="SUBSOLO",-1,IF(LEFT(E2837,6)="TÉRREO",0,IFERROR(VALUE(LEFT(E2837,FIND("º",E2837)-1)),""))))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IF(E2838="","",IF(LEFT(E2838,7)="SUBSOLO",-1,IF(LEFT(E2838,6)="TÉRREO",0,IFERROR(VALUE(LEFT(E2838,FIND("º",E2838)-1)),""))))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IF(E2839="","",IF(LEFT(E2839,7)="SUBSOLO",-1,IF(LEFT(E2839,6)="TÉRREO",0,IFERROR(VALUE(LEFT(E2839,FIND("º",E2839)-1)),""))))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IF(E2840="","",IF(LEFT(E2840,7)="SUBSOLO",-1,IF(LEFT(E2840,6)="TÉRREO",0,IFERROR(VALUE(LEFT(E2840,FIND("º",E2840)-1)),""))))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IF(E2841="","",IF(LEFT(E2841,7)="SUBSOLO",-1,IF(LEFT(E2841,6)="TÉRREO",0,IFERROR(VALUE(LEFT(E2841,FIND("º",E2841)-1)),""))))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IF(E2842="","",IF(LEFT(E2842,7)="SUBSOLO",-1,IF(LEFT(E2842,6)="TÉRREO",0,IFERROR(VALUE(LEFT(E2842,FIND("º",E2842)-1)),""))))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IF(E2843="","",IF(LEFT(E2843,7)="SUBSOLO",-1,IF(LEFT(E2843,6)="TÉRREO",0,IFERROR(VALUE(LEFT(E2843,FIND("º",E2843)-1)),""))))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IF(E2844="","",IF(LEFT(E2844,7)="SUBSOLO",-1,IF(LEFT(E2844,6)="TÉRREO",0,IFERROR(VALUE(LEFT(E2844,FIND("º",E2844)-1)),""))))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IF(E2845="","",IF(LEFT(E2845,7)="SUBSOLO",-1,IF(LEFT(E2845,6)="TÉRREO",0,IFERROR(VALUE(LEFT(E2845,FIND("º",E2845)-1)),""))))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IF(E2846="","",IF(LEFT(E2846,7)="SUBSOLO",-1,IF(LEFT(E2846,6)="TÉRREO",0,IFERROR(VALUE(LEFT(E2846,FIND("º",E2846)-1)),""))))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IF(E2847="","",IF(LEFT(E2847,7)="SUBSOLO",-1,IF(LEFT(E2847,6)="TÉRREO",0,IFERROR(VALUE(LEFT(E2847,FIND("º",E2847)-1)),""))))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IF(E2848="","",IF(LEFT(E2848,7)="SUBSOLO",-1,IF(LEFT(E2848,6)="TÉRREO",0,IFERROR(VALUE(LEFT(E2848,FIND("º",E2848)-1)),""))))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IF(E2849="","",IF(LEFT(E2849,7)="SUBSOLO",-1,IF(LEFT(E2849,6)="TÉRREO",0,IFERROR(VALUE(LEFT(E2849,FIND("º",E2849)-1)),""))))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IF(E2850="","",IF(LEFT(E2850,7)="SUBSOLO",-1,IF(LEFT(E2850,6)="TÉRREO",0,IFERROR(VALUE(LEFT(E2850,FIND("º",E2850)-1)),""))))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IF(E2851="","",IF(LEFT(E2851,7)="SUBSOLO",-1,IF(LEFT(E2851,6)="TÉRREO",0,IFERROR(VALUE(LEFT(E2851,FIND("º",E2851)-1)),""))))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IF(E2852="","",IF(LEFT(E2852,7)="SUBSOLO",-1,IF(LEFT(E2852,6)="TÉRREO",0,IFERROR(VALUE(LEFT(E2852,FIND("º",E2852)-1)),""))))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IF(E2853="","",IF(LEFT(E2853,7)="SUBSOLO",-1,IF(LEFT(E2853,6)="TÉRREO",0,IFERROR(VALUE(LEFT(E2853,FIND("º",E2853)-1)),""))))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IF(E2854="","",IF(LEFT(E2854,7)="SUBSOLO",-1,IF(LEFT(E2854,6)="TÉRREO",0,IFERROR(VALUE(LEFT(E2854,FIND("º",E2854)-1)),""))))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IF(E2855="","",IF(LEFT(E2855,7)="SUBSOLO",-1,IF(LEFT(E2855,6)="TÉRREO",0,IFERROR(VALUE(LEFT(E2855,FIND("º",E2855)-1)),""))))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IF(E2856="","",IF(LEFT(E2856,7)="SUBSOLO",-1,IF(LEFT(E2856,6)="TÉRREO",0,IFERROR(VALUE(LEFT(E2856,FIND("º",E2856)-1)),""))))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IF(E2857="","",IF(LEFT(E2857,7)="SUBSOLO",-1,IF(LEFT(E2857,6)="TÉRREO",0,IFERROR(VALUE(LEFT(E2857,FIND("º",E2857)-1)),""))))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IF(E2858="","",IF(LEFT(E2858,7)="SUBSOLO",-1,IF(LEFT(E2858,6)="TÉRREO",0,IFERROR(VALUE(LEFT(E2858,FIND("º",E2858)-1)),""))))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IF(E2859="","",IF(LEFT(E2859,7)="SUBSOLO",-1,IF(LEFT(E2859,6)="TÉRREO",0,IFERROR(VALUE(LEFT(E2859,FIND("º",E2859)-1)),""))))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IF(E2860="","",IF(LEFT(E2860,7)="SUBSOLO",-1,IF(LEFT(E2860,6)="TÉRREO",0,IFERROR(VALUE(LEFT(E2860,FIND("º",E2860)-1)),""))))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IF(E2861="","",IF(LEFT(E2861,7)="SUBSOLO",-1,IF(LEFT(E2861,6)="TÉRREO",0,IFERROR(VALUE(LEFT(E2861,FIND("º",E2861)-1)),""))))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IF(E2862="","",IF(LEFT(E2862,7)="SUBSOLO",-1,IF(LEFT(E2862,6)="TÉRREO",0,IFERROR(VALUE(LEFT(E2862,FIND("º",E2862)-1)),""))))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IF(E2863="","",IF(LEFT(E2863,7)="SUBSOLO",-1,IF(LEFT(E2863,6)="TÉRREO",0,IFERROR(VALUE(LEFT(E2863,FIND("º",E2863)-1)),""))))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IF(E2864="","",IF(LEFT(E2864,7)="SUBSOLO",-1,IF(LEFT(E2864,6)="TÉRREO",0,IFERROR(VALUE(LEFT(E2864,FIND("º",E2864)-1)),""))))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IF(E2865="","",IF(LEFT(E2865,7)="SUBSOLO",-1,IF(LEFT(E2865,6)="TÉRREO",0,IFERROR(VALUE(LEFT(E2865,FIND("º",E2865)-1)),""))))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IF(E2866="","",IF(LEFT(E2866,7)="SUBSOLO",-1,IF(LEFT(E2866,6)="TÉRREO",0,IFERROR(VALUE(LEFT(E2866,FIND("º",E2866)-1)),""))))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IF(E2867="","",IF(LEFT(E2867,7)="SUBSOLO",-1,IF(LEFT(E2867,6)="TÉRREO",0,IFERROR(VALUE(LEFT(E2867,FIND("º",E2867)-1)),""))))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IF(E2868="","",IF(LEFT(E2868,7)="SUBSOLO",-1,IF(LEFT(E2868,6)="TÉRREO",0,IFERROR(VALUE(LEFT(E2868,FIND("º",E2868)-1)),""))))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IF(E2869="","",IF(LEFT(E2869,7)="SUBSOLO",-1,IF(LEFT(E2869,6)="TÉRREO",0,IFERROR(VALUE(LEFT(E2869,FIND("º",E2869)-1)),""))))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IF(E2870="","",IF(LEFT(E2870,7)="SUBSOLO",-1,IF(LEFT(E2870,6)="TÉRREO",0,IFERROR(VALUE(LEFT(E2870,FIND("º",E2870)-1)),""))))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IF(E2871="","",IF(LEFT(E2871,7)="SUBSOLO",-1,IF(LEFT(E2871,6)="TÉRREO",0,IFERROR(VALUE(LEFT(E2871,FIND("º",E2871)-1)),""))))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IF(E2872="","",IF(LEFT(E2872,7)="SUBSOLO",-1,IF(LEFT(E2872,6)="TÉRREO",0,IFERROR(VALUE(LEFT(E2872,FIND("º",E2872)-1)),""))))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IF(E2873="","",IF(LEFT(E2873,7)="SUBSOLO",-1,IF(LEFT(E2873,6)="TÉRREO",0,IFERROR(VALUE(LEFT(E2873,FIND("º",E2873)-1)),""))))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IF(E2874="","",IF(LEFT(E2874,7)="SUBSOLO",-1,IF(LEFT(E2874,6)="TÉRREO",0,IFERROR(VALUE(LEFT(E2874,FIND("º",E2874)-1)),""))))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IF(E2875="","",IF(LEFT(E2875,7)="SUBSOLO",-1,IF(LEFT(E2875,6)="TÉRREO",0,IFERROR(VALUE(LEFT(E2875,FIND("º",E2875)-1)),""))))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IF(E2876="","",IF(LEFT(E2876,7)="SUBSOLO",-1,IF(LEFT(E2876,6)="TÉRREO",0,IFERROR(VALUE(LEFT(E2876,FIND("º",E2876)-1)),""))))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IF(E2877="","",IF(LEFT(E2877,7)="SUBSOLO",-1,IF(LEFT(E2877,6)="TÉRREO",0,IFERROR(VALUE(LEFT(E2877,FIND("º",E2877)-1)),""))))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IF(E2878="","",IF(LEFT(E2878,7)="SUBSOLO",-1,IF(LEFT(E2878,6)="TÉRREO",0,IFERROR(VALUE(LEFT(E2878,FIND("º",E2878)-1)),""))))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IF(E2879="","",IF(LEFT(E2879,7)="SUBSOLO",-1,IF(LEFT(E2879,6)="TÉRREO",0,IFERROR(VALUE(LEFT(E2879,FIND("º",E2879)-1)),""))))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IF(E2880="","",IF(LEFT(E2880,7)="SUBSOLO",-1,IF(LEFT(E2880,6)="TÉRREO",0,IFERROR(VALUE(LEFT(E2880,FIND("º",E2880)-1)),""))))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IF(E2881="","",IF(LEFT(E2881,7)="SUBSOLO",-1,IF(LEFT(E2881,6)="TÉRREO",0,IFERROR(VALUE(LEFT(E2881,FIND("º",E2881)-1)),""))))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IF(E2882="","",IF(LEFT(E2882,7)="SUBSOLO",-1,IF(LEFT(E2882,6)="TÉRREO",0,IFERROR(VALUE(LEFT(E2882,FIND("º",E2882)-1)),""))))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IF(E2883="","",IF(LEFT(E2883,7)="SUBSOLO",-1,IF(LEFT(E2883,6)="TÉRREO",0,IFERROR(VALUE(LEFT(E2883,FIND("º",E2883)-1)),""))))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IF(E2884="","",IF(LEFT(E2884,7)="SUBSOLO",-1,IF(LEFT(E2884,6)="TÉRREO",0,IFERROR(VALUE(LEFT(E2884,FIND("º",E2884)-1)),""))))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IF(E2885="","",IF(LEFT(E2885,7)="SUBSOLO",-1,IF(LEFT(E2885,6)="TÉRREO",0,IFERROR(VALUE(LEFT(E2885,FIND("º",E2885)-1)),""))))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IF(E2886="","",IF(LEFT(E2886,7)="SUBSOLO",-1,IF(LEFT(E2886,6)="TÉRREO",0,IFERROR(VALUE(LEFT(E2886,FIND("º",E2886)-1)),""))))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IF(E2887="","",IF(LEFT(E2887,7)="SUBSOLO",-1,IF(LEFT(E2887,6)="TÉRREO",0,IFERROR(VALUE(LEFT(E2887,FIND("º",E2887)-1)),""))))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IF(E2888="","",IF(LEFT(E2888,7)="SUBSOLO",-1,IF(LEFT(E2888,6)="TÉRREO",0,IFERROR(VALUE(LEFT(E2888,FIND("º",E2888)-1)),""))))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IF(E2889="","",IF(LEFT(E2889,7)="SUBSOLO",-1,IF(LEFT(E2889,6)="TÉRREO",0,IFERROR(VALUE(LEFT(E2889,FIND("º",E2889)-1)),""))))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IF(E2890="","",IF(LEFT(E2890,7)="SUBSOLO",-1,IF(LEFT(E2890,6)="TÉRREO",0,IFERROR(VALUE(LEFT(E2890,FIND("º",E2890)-1)),""))))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IF(E2891="","",IF(LEFT(E2891,7)="SUBSOLO",-1,IF(LEFT(E2891,6)="TÉRREO",0,IFERROR(VALUE(LEFT(E2891,FIND("º",E2891)-1)),""))))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IF(E2892="","",IF(LEFT(E2892,7)="SUBSOLO",-1,IF(LEFT(E2892,6)="TÉRREO",0,IFERROR(VALUE(LEFT(E2892,FIND("º",E2892)-1)),""))))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IF(E2893="","",IF(LEFT(E2893,7)="SUBSOLO",-1,IF(LEFT(E2893,6)="TÉRREO",0,IFERROR(VALUE(LEFT(E2893,FIND("º",E2893)-1)),""))))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IF(E2894="","",IF(LEFT(E2894,7)="SUBSOLO",-1,IF(LEFT(E2894,6)="TÉRREO",0,IFERROR(VALUE(LEFT(E2894,FIND("º",E2894)-1)),""))))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IF(E2895="","",IF(LEFT(E2895,7)="SUBSOLO",-1,IF(LEFT(E2895,6)="TÉRREO",0,IFERROR(VALUE(LEFT(E2895,FIND("º",E2895)-1)),""))))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IF(E2896="","",IF(LEFT(E2896,7)="SUBSOLO",-1,IF(LEFT(E2896,6)="TÉRREO",0,IFERROR(VALUE(LEFT(E2896,FIND("º",E2896)-1)),""))))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IF(E2897="","",IF(LEFT(E2897,7)="SUBSOLO",-1,IF(LEFT(E2897,6)="TÉRREO",0,IFERROR(VALUE(LEFT(E2897,FIND("º",E2897)-1)),""))))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IF(E2898="","",IF(LEFT(E2898,7)="SUBSOLO",-1,IF(LEFT(E2898,6)="TÉRREO",0,IFERROR(VALUE(LEFT(E2898,FIND("º",E2898)-1)),""))))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IF(E2899="","",IF(LEFT(E2899,7)="SUBSOLO",-1,IF(LEFT(E2899,6)="TÉRREO",0,IFERROR(VALUE(LEFT(E2899,FIND("º",E2899)-1)),""))))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IF(E2900="","",IF(LEFT(E2900,7)="SUBSOLO",-1,IF(LEFT(E2900,6)="TÉRREO",0,IFERROR(VALUE(LEFT(E2900,FIND("º",E2900)-1)),""))))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IF(E2901="","",IF(LEFT(E2901,7)="SUBSOLO",-1,IF(LEFT(E2901,6)="TÉRREO",0,IFERROR(VALUE(LEFT(E2901,FIND("º",E2901)-1)),""))))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IF(E2902="","",IF(LEFT(E2902,7)="SUBSOLO",-1,IF(LEFT(E2902,6)="TÉRREO",0,IFERROR(VALUE(LEFT(E2902,FIND("º",E2902)-1)),""))))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IF(E2903="","",IF(LEFT(E2903,7)="SUBSOLO",-1,IF(LEFT(E2903,6)="TÉRREO",0,IFERROR(VALUE(LEFT(E2903,FIND("º",E2903)-1)),""))))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IF(E2904="","",IF(LEFT(E2904,7)="SUBSOLO",-1,IF(LEFT(E2904,6)="TÉRREO",0,IFERROR(VALUE(LEFT(E2904,FIND("º",E2904)-1)),""))))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IF(E2905="","",IF(LEFT(E2905,7)="SUBSOLO",-1,IF(LEFT(E2905,6)="TÉRREO",0,IFERROR(VALUE(LEFT(E2905,FIND("º",E2905)-1)),""))))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IF(E2906="","",IF(LEFT(E2906,7)="SUBSOLO",-1,IF(LEFT(E2906,6)="TÉRREO",0,IFERROR(VALUE(LEFT(E2906,FIND("º",E2906)-1)),""))))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IF(E2907="","",IF(LEFT(E2907,7)="SUBSOLO",-1,IF(LEFT(E2907,6)="TÉRREO",0,IFERROR(VALUE(LEFT(E2907,FIND("º",E2907)-1)),""))))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IF(E2908="","",IF(LEFT(E2908,7)="SUBSOLO",-1,IF(LEFT(E2908,6)="TÉRREO",0,IFERROR(VALUE(LEFT(E2908,FIND("º",E2908)-1)),""))))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IF(E2909="","",IF(LEFT(E2909,7)="SUBSOLO",-1,IF(LEFT(E2909,6)="TÉRREO",0,IFERROR(VALUE(LEFT(E2909,FIND("º",E2909)-1)),""))))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IF(E2910="","",IF(LEFT(E2910,7)="SUBSOLO",-1,IF(LEFT(E2910,6)="TÉRREO",0,IFERROR(VALUE(LEFT(E2910,FIND("º",E2910)-1)),""))))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IF(E2911="","",IF(LEFT(E2911,7)="SUBSOLO",-1,IF(LEFT(E2911,6)="TÉRREO",0,IFERROR(VALUE(LEFT(E2911,FIND("º",E2911)-1)),""))))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IF(E2912="","",IF(LEFT(E2912,7)="SUBSOLO",-1,IF(LEFT(E2912,6)="TÉRREO",0,IFERROR(VALUE(LEFT(E2912,FIND("º",E2912)-1)),""))))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IF(E2913="","",IF(LEFT(E2913,7)="SUBSOLO",-1,IF(LEFT(E2913,6)="TÉRREO",0,IFERROR(VALUE(LEFT(E2913,FIND("º",E2913)-1)),""))))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IF(E2914="","",IF(LEFT(E2914,7)="SUBSOLO",-1,IF(LEFT(E2914,6)="TÉRREO",0,IFERROR(VALUE(LEFT(E2914,FIND("º",E2914)-1)),""))))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IF(E2915="","",IF(LEFT(E2915,7)="SUBSOLO",-1,IF(LEFT(E2915,6)="TÉRREO",0,IFERROR(VALUE(LEFT(E2915,FIND("º",E2915)-1)),""))))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IF(E2916="","",IF(LEFT(E2916,7)="SUBSOLO",-1,IF(LEFT(E2916,6)="TÉRREO",0,IFERROR(VALUE(LEFT(E2916,FIND("º",E2916)-1)),""))))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IF(E2917="","",IF(LEFT(E2917,7)="SUBSOLO",-1,IF(LEFT(E2917,6)="TÉRREO",0,IFERROR(VALUE(LEFT(E2917,FIND("º",E2917)-1)),""))))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IF(E2918="","",IF(LEFT(E2918,7)="SUBSOLO",-1,IF(LEFT(E2918,6)="TÉRREO",0,IFERROR(VALUE(LEFT(E2918,FIND("º",E2918)-1)),""))))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IF(E2919="","",IF(LEFT(E2919,7)="SUBSOLO",-1,IF(LEFT(E2919,6)="TÉRREO",0,IFERROR(VALUE(LEFT(E2919,FIND("º",E2919)-1)),""))))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IF(E2920="","",IF(LEFT(E2920,7)="SUBSOLO",-1,IF(LEFT(E2920,6)="TÉRREO",0,IFERROR(VALUE(LEFT(E2920,FIND("º",E2920)-1)),""))))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IF(E2921="","",IF(LEFT(E2921,7)="SUBSOLO",-1,IF(LEFT(E2921,6)="TÉRREO",0,IFERROR(VALUE(LEFT(E2921,FIND("º",E2921)-1)),""))))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IF(E2922="","",IF(LEFT(E2922,7)="SUBSOLO",-1,IF(LEFT(E2922,6)="TÉRREO",0,IFERROR(VALUE(LEFT(E2922,FIND("º",E2922)-1)),""))))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IF(E2923="","",IF(LEFT(E2923,7)="SUBSOLO",-1,IF(LEFT(E2923,6)="TÉRREO",0,IFERROR(VALUE(LEFT(E2923,FIND("º",E2923)-1)),""))))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IF(E2924="","",IF(LEFT(E2924,7)="SUBSOLO",-1,IF(LEFT(E2924,6)="TÉRREO",0,IFERROR(VALUE(LEFT(E2924,FIND("º",E2924)-1)),""))))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IF(E2925="","",IF(LEFT(E2925,7)="SUBSOLO",-1,IF(LEFT(E2925,6)="TÉRREO",0,IFERROR(VALUE(LEFT(E2925,FIND("º",E2925)-1)),""))))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IF(E2926="","",IF(LEFT(E2926,7)="SUBSOLO",-1,IF(LEFT(E2926,6)="TÉRREO",0,IFERROR(VALUE(LEFT(E2926,FIND("º",E2926)-1)),""))))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IF(E2927="","",IF(LEFT(E2927,7)="SUBSOLO",-1,IF(LEFT(E2927,6)="TÉRREO",0,IFERROR(VALUE(LEFT(E2927,FIND("º",E2927)-1)),""))))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IF(E2928="","",IF(LEFT(E2928,7)="SUBSOLO",-1,IF(LEFT(E2928,6)="TÉRREO",0,IFERROR(VALUE(LEFT(E2928,FIND("º",E2928)-1)),""))))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IF(E2929="","",IF(LEFT(E2929,7)="SUBSOLO",-1,IF(LEFT(E2929,6)="TÉRREO",0,IFERROR(VALUE(LEFT(E2929,FIND("º",E2929)-1)),""))))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IF(E2930="","",IF(LEFT(E2930,7)="SUBSOLO",-1,IF(LEFT(E2930,6)="TÉRREO",0,IFERROR(VALUE(LEFT(E2930,FIND("º",E2930)-1)),""))))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IF(E2931="","",IF(LEFT(E2931,7)="SUBSOLO",-1,IF(LEFT(E2931,6)="TÉRREO",0,IFERROR(VALUE(LEFT(E2931,FIND("º",E2931)-1)),""))))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IF(E2932="","",IF(LEFT(E2932,7)="SUBSOLO",-1,IF(LEFT(E2932,6)="TÉRREO",0,IFERROR(VALUE(LEFT(E2932,FIND("º",E2932)-1)),""))))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IF(E2933="","",IF(LEFT(E2933,7)="SUBSOLO",-1,IF(LEFT(E2933,6)="TÉRREO",0,IFERROR(VALUE(LEFT(E2933,FIND("º",E2933)-1)),""))))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IF(E2934="","",IF(LEFT(E2934,7)="SUBSOLO",-1,IF(LEFT(E2934,6)="TÉRREO",0,IFERROR(VALUE(LEFT(E2934,FIND("º",E2934)-1)),""))))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IF(E2935="","",IF(LEFT(E2935,7)="SUBSOLO",-1,IF(LEFT(E2935,6)="TÉRREO",0,IFERROR(VALUE(LEFT(E2935,FIND("º",E2935)-1)),""))))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IF(E2936="","",IF(LEFT(E2936,7)="SUBSOLO",-1,IF(LEFT(E2936,6)="TÉRREO",0,IFERROR(VALUE(LEFT(E2936,FIND("º",E2936)-1)),""))))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IF(E2937="","",IF(LEFT(E2937,7)="SUBSOLO",-1,IF(LEFT(E2937,6)="TÉRREO",0,IFERROR(VALUE(LEFT(E2937,FIND("º",E2937)-1)),""))))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IF(E2938="","",IF(LEFT(E2938,7)="SUBSOLO",-1,IF(LEFT(E2938,6)="TÉRREO",0,IFERROR(VALUE(LEFT(E2938,FIND("º",E2938)-1)),""))))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IF(E2939="","",IF(LEFT(E2939,7)="SUBSOLO",-1,IF(LEFT(E2939,6)="TÉRREO",0,IFERROR(VALUE(LEFT(E2939,FIND("º",E2939)-1)),""))))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IF(E2940="","",IF(LEFT(E2940,7)="SUBSOLO",-1,IF(LEFT(E2940,6)="TÉRREO",0,IFERROR(VALUE(LEFT(E2940,FIND("º",E2940)-1)),""))))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IF(E2941="","",IF(LEFT(E2941,7)="SUBSOLO",-1,IF(LEFT(E2941,6)="TÉRREO",0,IFERROR(VALUE(LEFT(E2941,FIND("º",E2941)-1)),""))))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IF(E2942="","",IF(LEFT(E2942,7)="SUBSOLO",-1,IF(LEFT(E2942,6)="TÉRREO",0,IFERROR(VALUE(LEFT(E2942,FIND("º",E2942)-1)),""))))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IF(E2943="","",IF(LEFT(E2943,7)="SUBSOLO",-1,IF(LEFT(E2943,6)="TÉRREO",0,IFERROR(VALUE(LEFT(E2943,FIND("º",E2943)-1)),""))))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IF(E2944="","",IF(LEFT(E2944,7)="SUBSOLO",-1,IF(LEFT(E2944,6)="TÉRREO",0,IFERROR(VALUE(LEFT(E2944,FIND("º",E2944)-1)),""))))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IF(E2945="","",IF(LEFT(E2945,7)="SUBSOLO",-1,IF(LEFT(E2945,6)="TÉRREO",0,IFERROR(VALUE(LEFT(E2945,FIND("º",E2945)-1)),""))))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IF(E2946="","",IF(LEFT(E2946,7)="SUBSOLO",-1,IF(LEFT(E2946,6)="TÉRREO",0,IFERROR(VALUE(LEFT(E2946,FIND("º",E2946)-1)),""))))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IF(E2947="","",IF(LEFT(E2947,7)="SUBSOLO",-1,IF(LEFT(E2947,6)="TÉRREO",0,IFERROR(VALUE(LEFT(E2947,FIND("º",E2947)-1)),""))))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IF(E2948="","",IF(LEFT(E2948,7)="SUBSOLO",-1,IF(LEFT(E2948,6)="TÉRREO",0,IFERROR(VALUE(LEFT(E2948,FIND("º",E2948)-1)),""))))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IF(E2949="","",IF(LEFT(E2949,7)="SUBSOLO",-1,IF(LEFT(E2949,6)="TÉRREO",0,IFERROR(VALUE(LEFT(E2949,FIND("º",E2949)-1)),""))))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IF(E2950="","",IF(LEFT(E2950,7)="SUBSOLO",-1,IF(LEFT(E2950,6)="TÉRREO",0,IFERROR(VALUE(LEFT(E2950,FIND("º",E2950)-1)),""))))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IF(E2951="","",IF(LEFT(E2951,7)="SUBSOLO",-1,IF(LEFT(E2951,6)="TÉRREO",0,IFERROR(VALUE(LEFT(E2951,FIND("º",E2951)-1)),""))))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IF(E2952="","",IF(LEFT(E2952,7)="SUBSOLO",-1,IF(LEFT(E2952,6)="TÉRREO",0,IFERROR(VALUE(LEFT(E2952,FIND("º",E2952)-1)),""))))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IF(E2953="","",IF(LEFT(E2953,7)="SUBSOLO",-1,IF(LEFT(E2953,6)="TÉRREO",0,IFERROR(VALUE(LEFT(E2953,FIND("º",E2953)-1)),""))))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IF(E2954="","",IF(LEFT(E2954,7)="SUBSOLO",-1,IF(LEFT(E2954,6)="TÉRREO",0,IFERROR(VALUE(LEFT(E2954,FIND("º",E2954)-1)),""))))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IF(E2955="","",IF(LEFT(E2955,7)="SUBSOLO",-1,IF(LEFT(E2955,6)="TÉRREO",0,IFERROR(VALUE(LEFT(E2955,FIND("º",E2955)-1)),""))))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IF(E2956="","",IF(LEFT(E2956,7)="SUBSOLO",-1,IF(LEFT(E2956,6)="TÉRREO",0,IFERROR(VALUE(LEFT(E2956,FIND("º",E2956)-1)),""))))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IF(E2957="","",IF(LEFT(E2957,7)="SUBSOLO",-1,IF(LEFT(E2957,6)="TÉRREO",0,IFERROR(VALUE(LEFT(E2957,FIND("º",E2957)-1)),""))))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IF(E2958="","",IF(LEFT(E2958,7)="SUBSOLO",-1,IF(LEFT(E2958,6)="TÉRREO",0,IFERROR(VALUE(LEFT(E2958,FIND("º",E2958)-1)),""))))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IF(E2959="","",IF(LEFT(E2959,7)="SUBSOLO",-1,IF(LEFT(E2959,6)="TÉRREO",0,IFERROR(VALUE(LEFT(E2959,FIND("º",E2959)-1)),""))))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IF(E2960="","",IF(LEFT(E2960,7)="SUBSOLO",-1,IF(LEFT(E2960,6)="TÉRREO",0,IFERROR(VALUE(LEFT(E2960,FIND("º",E2960)-1)),""))))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IF(E2961="","",IF(LEFT(E2961,7)="SUBSOLO",-1,IF(LEFT(E2961,6)="TÉRREO",0,IFERROR(VALUE(LEFT(E2961,FIND("º",E2961)-1)),""))))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IF(E2962="","",IF(LEFT(E2962,7)="SUBSOLO",-1,IF(LEFT(E2962,6)="TÉRREO",0,IFERROR(VALUE(LEFT(E2962,FIND("º",E2962)-1)),""))))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IF(E2963="","",IF(LEFT(E2963,7)="SUBSOLO",-1,IF(LEFT(E2963,6)="TÉRREO",0,IFERROR(VALUE(LEFT(E2963,FIND("º",E2963)-1)),""))))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IF(E2964="","",IF(LEFT(E2964,7)="SUBSOLO",-1,IF(LEFT(E2964,6)="TÉRREO",0,IFERROR(VALUE(LEFT(E2964,FIND("º",E2964)-1)),""))))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IF(E2965="","",IF(LEFT(E2965,7)="SUBSOLO",-1,IF(LEFT(E2965,6)="TÉRREO",0,IFERROR(VALUE(LEFT(E2965,FIND("º",E2965)-1)),""))))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IF(E2966="","",IF(LEFT(E2966,7)="SUBSOLO",-1,IF(LEFT(E2966,6)="TÉRREO",0,IFERROR(VALUE(LEFT(E2966,FIND("º",E2966)-1)),""))))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IF(E2967="","",IF(LEFT(E2967,7)="SUBSOLO",-1,IF(LEFT(E2967,6)="TÉRREO",0,IFERROR(VALUE(LEFT(E2967,FIND("º",E2967)-1)),""))))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IF(E2968="","",IF(LEFT(E2968,7)="SUBSOLO",-1,IF(LEFT(E2968,6)="TÉRREO",0,IFERROR(VALUE(LEFT(E2968,FIND("º",E2968)-1)),""))))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IF(E2969="","",IF(LEFT(E2969,7)="SUBSOLO",-1,IF(LEFT(E2969,6)="TÉRREO",0,IFERROR(VALUE(LEFT(E2969,FIND("º",E2969)-1)),""))))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IF(E2970="","",IF(LEFT(E2970,7)="SUBSOLO",-1,IF(LEFT(E2970,6)="TÉRREO",0,IFERROR(VALUE(LEFT(E2970,FIND("º",E2970)-1)),""))))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IF(E2971="","",IF(LEFT(E2971,7)="SUBSOLO",-1,IF(LEFT(E2971,6)="TÉRREO",0,IFERROR(VALUE(LEFT(E2971,FIND("º",E2971)-1)),""))))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IF(E2972="","",IF(LEFT(E2972,7)="SUBSOLO",-1,IF(LEFT(E2972,6)="TÉRREO",0,IFERROR(VALUE(LEFT(E2972,FIND("º",E2972)-1)),""))))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IF(E2973="","",IF(LEFT(E2973,7)="SUBSOLO",-1,IF(LEFT(E2973,6)="TÉRREO",0,IFERROR(VALUE(LEFT(E2973,FIND("º",E2973)-1)),""))))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IF(E2974="","",IF(LEFT(E2974,7)="SUBSOLO",-1,IF(LEFT(E2974,6)="TÉRREO",0,IFERROR(VALUE(LEFT(E2974,FIND("º",E2974)-1)),""))))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IF(E2975="","",IF(LEFT(E2975,7)="SUBSOLO",-1,IF(LEFT(E2975,6)="TÉRREO",0,IFERROR(VALUE(LEFT(E2975,FIND("º",E2975)-1)),""))))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IF(E2976="","",IF(LEFT(E2976,7)="SUBSOLO",-1,IF(LEFT(E2976,6)="TÉRREO",0,IFERROR(VALUE(LEFT(E2976,FIND("º",E2976)-1)),""))))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IF(E2977="","",IF(LEFT(E2977,7)="SUBSOLO",-1,IF(LEFT(E2977,6)="TÉRREO",0,IFERROR(VALUE(LEFT(E2977,FIND("º",E2977)-1)),""))))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IF(E2978="","",IF(LEFT(E2978,7)="SUBSOLO",-1,IF(LEFT(E2978,6)="TÉRREO",0,IFERROR(VALUE(LEFT(E2978,FIND("º",E2978)-1)),""))))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IF(E2979="","",IF(LEFT(E2979,7)="SUBSOLO",-1,IF(LEFT(E2979,6)="TÉRREO",0,IFERROR(VALUE(LEFT(E2979,FIND("º",E2979)-1)),""))))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IF(E2980="","",IF(LEFT(E2980,7)="SUBSOLO",-1,IF(LEFT(E2980,6)="TÉRREO",0,IFERROR(VALUE(LEFT(E2980,FIND("º",E2980)-1)),""))))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IF(E2981="","",IF(LEFT(E2981,7)="SUBSOLO",-1,IF(LEFT(E2981,6)="TÉRREO",0,IFERROR(VALUE(LEFT(E2981,FIND("º",E2981)-1)),""))))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IF(E2982="","",IF(LEFT(E2982,7)="SUBSOLO",-1,IF(LEFT(E2982,6)="TÉRREO",0,IFERROR(VALUE(LEFT(E2982,FIND("º",E2982)-1)),""))))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IF(E2983="","",IF(LEFT(E2983,7)="SUBSOLO",-1,IF(LEFT(E2983,6)="TÉRREO",0,IFERROR(VALUE(LEFT(E2983,FIND("º",E2983)-1)),""))))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IF(E2984="","",IF(LEFT(E2984,7)="SUBSOLO",-1,IF(LEFT(E2984,6)="TÉRREO",0,IFERROR(VALUE(LEFT(E2984,FIND("º",E2984)-1)),""))))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IF(E2985="","",IF(LEFT(E2985,7)="SUBSOLO",-1,IF(LEFT(E2985,6)="TÉRREO",0,IFERROR(VALUE(LEFT(E2985,FIND("º",E2985)-1)),""))))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IF(E2986="","",IF(LEFT(E2986,7)="SUBSOLO",-1,IF(LEFT(E2986,6)="TÉRREO",0,IFERROR(VALUE(LEFT(E2986,FIND("º",E2986)-1)),""))))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IF(E2987="","",IF(LEFT(E2987,7)="SUBSOLO",-1,IF(LEFT(E2987,6)="TÉRREO",0,IFERROR(VALUE(LEFT(E2987,FIND("º",E2987)-1)),""))))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IF(E2988="","",IF(LEFT(E2988,7)="SUBSOLO",-1,IF(LEFT(E2988,6)="TÉRREO",0,IFERROR(VALUE(LEFT(E2988,FIND("º",E2988)-1)),""))))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IF(E2989="","",IF(LEFT(E2989,7)="SUBSOLO",-1,IF(LEFT(E2989,6)="TÉRREO",0,IFERROR(VALUE(LEFT(E2989,FIND("º",E2989)-1)),""))))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IF(E2990="","",IF(LEFT(E2990,7)="SUBSOLO",-1,IF(LEFT(E2990,6)="TÉRREO",0,IFERROR(VALUE(LEFT(E2990,FIND("º",E2990)-1)),""))))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IF(E2991="","",IF(LEFT(E2991,7)="SUBSOLO",-1,IF(LEFT(E2991,6)="TÉRREO",0,IFERROR(VALUE(LEFT(E2991,FIND("º",E2991)-1)),""))))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IF(E2992="","",IF(LEFT(E2992,7)="SUBSOLO",-1,IF(LEFT(E2992,6)="TÉRREO",0,IFERROR(VALUE(LEFT(E2992,FIND("º",E2992)-1)),""))))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IF(E2993="","",IF(LEFT(E2993,7)="SUBSOLO",-1,IF(LEFT(E2993,6)="TÉRREO",0,IFERROR(VALUE(LEFT(E2993,FIND("º",E2993)-1)),""))))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IF(E2994="","",IF(LEFT(E2994,7)="SUBSOLO",-1,IF(LEFT(E2994,6)="TÉRREO",0,IFERROR(VALUE(LEFT(E2994,FIND("º",E2994)-1)),""))))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IF(E2995="","",IF(LEFT(E2995,7)="SUBSOLO",-1,IF(LEFT(E2995,6)="TÉRREO",0,IFERROR(VALUE(LEFT(E2995,FIND("º",E2995)-1)),""))))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IF(E2996="","",IF(LEFT(E2996,7)="SUBSOLO",-1,IF(LEFT(E2996,6)="TÉRREO",0,IFERROR(VALUE(LEFT(E2996,FIND("º",E2996)-1)),""))))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IF(E2997="","",IF(LEFT(E2997,7)="SUBSOLO",-1,IF(LEFT(E2997,6)="TÉRREO",0,IFERROR(VALUE(LEFT(E2997,FIND("º",E2997)-1)),""))))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IF(E2998="","",IF(LEFT(E2998,7)="SUBSOLO",-1,IF(LEFT(E2998,6)="TÉRREO",0,IFERROR(VALUE(LEFT(E2998,FIND("º",E2998)-1)),""))))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IF(E2999="","",IF(LEFT(E2999,7)="SUBSOLO",-1,IF(LEFT(E2999,6)="TÉRREO",0,IFERROR(VALUE(LEFT(E2999,FIND("º",E2999)-1)),""))))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IF(E3000="","",IF(LEFT(E3000,7)="SUBSOLO",-1,IF(LEFT(E3000,6)="TÉRREO",0,IFERROR(VALUE(LEFT(E3000,FIND("º",E3000)-1)),""))))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IF(E3001="","",IF(LEFT(E3001,7)="SUBSOLO",-1,IF(LEFT(E3001,6)="TÉRREO",0,IFERROR(VALUE(LEFT(E3001,FIND("º",E3001)-1)),""))))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IF(E3002="","",IF(LEFT(E3002,7)="SUBSOLO",-1,IF(LEFT(E3002,6)="TÉRREO",0,IFERROR(VALUE(LEFT(E3002,FIND("º",E3002)-1)),""))))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IF(E3003="","",IF(LEFT(E3003,7)="SUBSOLO",-1,IF(LEFT(E3003,6)="TÉRREO",0,IFERROR(VALUE(LEFT(E3003,FIND("º",E3003)-1)),""))))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IF(E3004="","",IF(LEFT(E3004,7)="SUBSOLO",-1,IF(LEFT(E3004,6)="TÉRREO",0,IFERROR(VALUE(LEFT(E3004,FIND("º",E3004)-1)),""))))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'VALOR POR PL'!C11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'VALOR POR PL'!C12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'VALOR POR PL'!C13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'VALOR POR PL'!C14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'VALOR POR PL'!C15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'VALOR POR PL'!C16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'VALOR POR PL'!C17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'VALOR POR PL'!C18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'VALOR POR PL'!C19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'VALOR POR PL'!C20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'VALOR POR PL'!C21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'VALOR POR PL'!C22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'VALOR POR PL'!C23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'VALOR POR PL'!C24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'VALOR POR PL'!C25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'VALOR POR PL'!C26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'VALOR POR PL'!C27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'VALOR POR PL'!C28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'VALOR POR PL'!C29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'VALOR POR PL'!C30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'VALOR POR PL'!C31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'VALOR POR PL'!C32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'VALOR POR PL'!C33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'VALOR POR PL'!C34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'VALOR POR PL'!C35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'VALOR POR PL'!C36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'VALOR POR PL'!C37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'VALOR POR PL'!C38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'VALOR POR PL'!C39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'VALOR POR PL'!C40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'VALOR POR PL'!C41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'VALOR POR PL'!C42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'VALOR POR PL'!C43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'VALOR POR PL'!C44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'VALOR POR PL'!C45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'VALOR POR PL'!C46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'VALOR POR PL'!C47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'VALOR POR PL'!C48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2">
        <f>A5</f>
        <v/>
      </c>
      <c r="B47" s="52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2">
        <f>A6</f>
        <v/>
      </c>
      <c r="B48" s="52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2">
        <f>A7</f>
        <v/>
      </c>
      <c r="B49" s="52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2">
        <f>A8</f>
        <v/>
      </c>
      <c r="B50" s="52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2">
        <f>A9</f>
        <v/>
      </c>
      <c r="B51" s="52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2">
        <f>A10</f>
        <v/>
      </c>
      <c r="B52" s="52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2">
        <f>A11</f>
        <v/>
      </c>
      <c r="B53" s="52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2">
        <f>A12</f>
        <v/>
      </c>
      <c r="B54" s="52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2">
        <f>A13</f>
        <v/>
      </c>
      <c r="B55" s="52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2">
        <f>A14</f>
        <v/>
      </c>
      <c r="B56" s="52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2">
        <f>A15</f>
        <v/>
      </c>
      <c r="B57" s="52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2">
        <f>A16</f>
        <v/>
      </c>
      <c r="B58" s="52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2">
        <f>A17</f>
        <v/>
      </c>
      <c r="B59" s="52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2">
        <f>A18</f>
        <v/>
      </c>
      <c r="B60" s="52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2">
        <f>A19</f>
        <v/>
      </c>
      <c r="B61" s="52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2">
        <f>A20</f>
        <v/>
      </c>
      <c r="B62" s="52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2">
        <f>A21</f>
        <v/>
      </c>
      <c r="B63" s="52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2">
        <f>A22</f>
        <v/>
      </c>
      <c r="B64" s="52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2">
        <f>A23</f>
        <v/>
      </c>
      <c r="B65" s="52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2">
        <f>A24</f>
        <v/>
      </c>
      <c r="B66" s="52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2">
        <f>A25</f>
        <v/>
      </c>
      <c r="B67" s="52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2">
        <f>A26</f>
        <v/>
      </c>
      <c r="B68" s="52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2">
        <f>A27</f>
        <v/>
      </c>
      <c r="B69" s="52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2">
        <f>A28</f>
        <v/>
      </c>
      <c r="B70" s="52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2">
        <f>A29</f>
        <v/>
      </c>
      <c r="B71" s="52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2">
        <f>A30</f>
        <v/>
      </c>
      <c r="B72" s="52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2">
        <f>A31</f>
        <v/>
      </c>
      <c r="B73" s="52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2">
        <f>A32</f>
        <v/>
      </c>
      <c r="B74" s="52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2">
        <f>A33</f>
        <v/>
      </c>
      <c r="B75" s="52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2">
        <f>A34</f>
        <v/>
      </c>
      <c r="B76" s="52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2">
        <f>A35</f>
        <v/>
      </c>
      <c r="B77" s="52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2">
        <f>A36</f>
        <v/>
      </c>
      <c r="B78" s="52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2">
        <f>A37</f>
        <v/>
      </c>
      <c r="B79" s="52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2">
        <f>A38</f>
        <v/>
      </c>
      <c r="B80" s="52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2">
        <f>A39</f>
        <v/>
      </c>
      <c r="B81" s="52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2">
        <f>A40</f>
        <v/>
      </c>
      <c r="B82" s="52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2">
        <f>A41</f>
        <v/>
      </c>
      <c r="B83" s="52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2">
        <f>A42</f>
        <v/>
      </c>
      <c r="B84" s="52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n"/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CONTRETO ARMADO</t>
        </is>
      </c>
      <c r="C21" s="60" t="n"/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n"/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n"/>
    </row>
    <row r="56">
      <c r="A56" s="60" t="n"/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PL'!F11</f>
        <v/>
      </c>
      <c r="K5" s="108">
        <f>'VALOR POR PL'!G11</f>
        <v/>
      </c>
      <c r="M5" s="127">
        <f>'CP RESUMO'!D5</f>
        <v/>
      </c>
      <c r="N5" s="128" t="n">
        <v>0</v>
      </c>
      <c r="O5" s="127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RESUMO'!E5</f>
        <v/>
      </c>
      <c r="N6" s="128">
        <f>MAX(0,M6-M5)</f>
        <v/>
      </c>
      <c r="O6" s="127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PL'!L11</f>
        <v/>
      </c>
      <c r="M7" s="127">
        <f>'CP RESUMO'!F5</f>
        <v/>
      </c>
      <c r="N7" s="128">
        <f>MAX(0,M7-M6)</f>
        <v/>
      </c>
      <c r="O7" s="127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RESUMO'!G5</f>
        <v/>
      </c>
      <c r="N8" s="128">
        <f>MAX(0,M8-M7)</f>
        <v/>
      </c>
      <c r="O8" s="127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RESUMO'!H5</f>
        <v/>
      </c>
      <c r="N9" s="128">
        <f>MAX(0,M9-M8)</f>
        <v/>
      </c>
      <c r="O9" s="127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RESUMO'!I5</f>
        <v/>
      </c>
      <c r="N10" s="128">
        <f>MAX(0,M10-M9)</f>
        <v/>
      </c>
      <c r="O10" s="127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RESUMO'!J5</f>
        <v/>
      </c>
      <c r="N11" s="128">
        <f>MAX(0,M11-M10)</f>
        <v/>
      </c>
      <c r="O11" s="127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RESUMO'!K5</f>
        <v/>
      </c>
      <c r="N12" s="128">
        <f>MAX(0,M12-M11)</f>
        <v/>
      </c>
      <c r="O12" s="127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PL'!I11</f>
        <v/>
      </c>
      <c r="M13" s="127">
        <f>'CP RESUMO'!L5</f>
        <v/>
      </c>
      <c r="N13" s="128">
        <f>MAX(0,M13-M12)</f>
        <v/>
      </c>
      <c r="O13" s="127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7">
        <f>'CP RESUMO'!M5</f>
        <v/>
      </c>
      <c r="N14" s="128">
        <f>MAX(0,M14-M13)</f>
        <v/>
      </c>
      <c r="O14" s="127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RESUMO'!N5</f>
        <v/>
      </c>
      <c r="N15" s="128">
        <f>MAX(0,M15-M14)</f>
        <v/>
      </c>
      <c r="O15" s="127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RESUMO'!O5</f>
        <v/>
      </c>
      <c r="N16" s="128">
        <f>MAX(0,M16-M15)</f>
        <v/>
      </c>
      <c r="O16" s="127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RESUMO'!P5</f>
        <v/>
      </c>
      <c r="N17" s="128">
        <f>MAX(0,M17-M16)</f>
        <v/>
      </c>
      <c r="O17" s="127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RESUMO'!Q5</f>
        <v/>
      </c>
      <c r="N18" s="128">
        <f>MAX(0,M18-M17)</f>
        <v/>
      </c>
      <c r="O18" s="127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RESUMO'!R5</f>
        <v/>
      </c>
      <c r="N19" s="128">
        <f>MAX(0,M19-M18)</f>
        <v/>
      </c>
      <c r="O19" s="127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RESUMO'!S5</f>
        <v/>
      </c>
      <c r="N20" s="128">
        <f>MAX(0,M20-M19)</f>
        <v/>
      </c>
      <c r="O20" s="127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RESUMO'!T5</f>
        <v/>
      </c>
      <c r="N21" s="128">
        <f>MAX(0,M21-M20)</f>
        <v/>
      </c>
      <c r="O21" s="127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RESUMO'!U5</f>
        <v/>
      </c>
      <c r="N22" s="128">
        <f>MAX(0,M22-M21)</f>
        <v/>
      </c>
      <c r="O22" s="127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RESUMO'!V5</f>
        <v/>
      </c>
      <c r="N23" s="128">
        <f>MAX(0,M23-M22)</f>
        <v/>
      </c>
      <c r="O23" s="127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RESUMO'!W5</f>
        <v/>
      </c>
      <c r="N24" s="128">
        <f>MAX(0,M24-M23)</f>
        <v/>
      </c>
      <c r="O24" s="127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RESUMO'!X5</f>
        <v/>
      </c>
      <c r="N25" s="128">
        <f>MAX(0,M25-M24)</f>
        <v/>
      </c>
      <c r="O25" s="127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RESUMO'!Y5</f>
        <v/>
      </c>
      <c r="N26" s="128">
        <f>MAX(0,M26-M25)</f>
        <v/>
      </c>
      <c r="O26" s="127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RESUMO'!Z5</f>
        <v/>
      </c>
      <c r="N27" s="128">
        <f>MAX(0,M27-M26)</f>
        <v/>
      </c>
      <c r="O27" s="127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RESUMO'!AA5</f>
        <v/>
      </c>
      <c r="N28" s="128">
        <f>MAX(0,M28-M27)</f>
        <v/>
      </c>
      <c r="O28" s="127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RESUMO'!AB5</f>
        <v/>
      </c>
      <c r="N29" s="128">
        <f>MAX(0,M29-M28)</f>
        <v/>
      </c>
      <c r="O29" s="127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RESUMO'!AC5</f>
        <v/>
      </c>
      <c r="N30" s="128">
        <f>MAX(0,M30-M29)</f>
        <v/>
      </c>
      <c r="O30" s="127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RESUMO'!AD5</f>
        <v/>
      </c>
      <c r="N31" s="128">
        <f>MAX(0,M31-M30)</f>
        <v/>
      </c>
      <c r="O31" s="127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RESUMO'!AE5</f>
        <v/>
      </c>
      <c r="N32" s="128">
        <f>MAX(0,M32-M31)</f>
        <v/>
      </c>
      <c r="O32" s="127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RESUMO'!AF5</f>
        <v/>
      </c>
      <c r="N33" s="128">
        <f>MAX(0,M33-M32)</f>
        <v/>
      </c>
      <c r="O33" s="127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RESUMO'!AG5</f>
        <v/>
      </c>
      <c r="N34" s="128">
        <f>MAX(0,M34-M33)</f>
        <v/>
      </c>
      <c r="O34" s="127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RESUMO'!AH5</f>
        <v/>
      </c>
      <c r="N35" s="128">
        <f>MAX(0,M35-M34)</f>
        <v/>
      </c>
      <c r="O35" s="127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RESUMO'!AI5</f>
        <v/>
      </c>
      <c r="N36" s="128">
        <f>MAX(0,M36-M35)</f>
        <v/>
      </c>
      <c r="O36" s="127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RESUMO'!AJ5</f>
        <v/>
      </c>
      <c r="N37" s="128">
        <f>MAX(0,M37-M36)</f>
        <v/>
      </c>
      <c r="O37" s="127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RESUMO'!AK5</f>
        <v/>
      </c>
      <c r="N38" s="128">
        <f>MAX(0,M38-M37)</f>
        <v/>
      </c>
      <c r="O38" s="127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RESUMO'!AL5</f>
        <v/>
      </c>
      <c r="N39" s="128">
        <f>MAX(0,M39-M38)</f>
        <v/>
      </c>
      <c r="O39" s="127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RESUMO'!AM5</f>
        <v/>
      </c>
      <c r="N40" s="128">
        <f>MAX(0,M40-M39)</f>
        <v/>
      </c>
      <c r="O40" s="127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RESUMO'!AN5</f>
        <v/>
      </c>
      <c r="N41" s="128">
        <f>MAX(0,M41-M40)</f>
        <v/>
      </c>
      <c r="O41" s="127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RESUMO'!AO5</f>
        <v/>
      </c>
      <c r="N42" s="128">
        <f>MAX(0,M42-M41)</f>
        <v/>
      </c>
      <c r="O42" s="127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RESUMO'!AP5</f>
        <v/>
      </c>
      <c r="N43" s="128">
        <f>MAX(0,M43-M42)</f>
        <v/>
      </c>
      <c r="O43" s="127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RESUMO'!AQ5</f>
        <v/>
      </c>
      <c r="N44" s="128">
        <f>MAX(0,M44-M43)</f>
        <v/>
      </c>
      <c r="O44" s="127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RESUMO'!AR5</f>
        <v/>
      </c>
      <c r="N45" s="128">
        <f>MAX(0,M45-M44)</f>
        <v/>
      </c>
      <c r="O45" s="127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RESUMO'!AS5</f>
        <v/>
      </c>
      <c r="N46" s="128">
        <f>MAX(0,M46-M45)</f>
        <v/>
      </c>
      <c r="O46" s="127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RESUMO'!AT5</f>
        <v/>
      </c>
      <c r="N47" s="128">
        <f>MAX(0,M47-M46)</f>
        <v/>
      </c>
      <c r="O47" s="127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RESUMO'!AU5</f>
        <v/>
      </c>
      <c r="N48" s="128">
        <f>MAX(0,M48-M47)</f>
        <v/>
      </c>
      <c r="O48" s="127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RESUMO'!AV5</f>
        <v/>
      </c>
      <c r="N49" s="128">
        <f>MAX(0,M49-M48)</f>
        <v/>
      </c>
      <c r="O49" s="127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RESUMO'!AW5</f>
        <v/>
      </c>
      <c r="N50" s="128">
        <f>MAX(0,M50-M49)</f>
        <v/>
      </c>
      <c r="O50" s="127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RESUMO'!AX5</f>
        <v/>
      </c>
      <c r="N51" s="128">
        <f>MAX(0,M51-M50)</f>
        <v/>
      </c>
      <c r="O51" s="127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RESUMO'!AY5</f>
        <v/>
      </c>
      <c r="N52" s="128">
        <f>MAX(0,M52-M51)</f>
        <v/>
      </c>
      <c r="O52" s="127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RESUMO'!AZ5</f>
        <v/>
      </c>
      <c r="N53" s="128">
        <f>MAX(0,M53-M52)</f>
        <v/>
      </c>
      <c r="O53" s="127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RESUMO'!BA5</f>
        <v/>
      </c>
      <c r="N54" s="128">
        <f>MAX(0,M54-M53)</f>
        <v/>
      </c>
      <c r="O54" s="127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RESUMO'!BB5</f>
        <v/>
      </c>
      <c r="N55" s="128">
        <f>MAX(0,M55-M54)</f>
        <v/>
      </c>
      <c r="O55" s="127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RESUMO'!BC5</f>
        <v/>
      </c>
      <c r="N56" s="128">
        <f>MAX(0,M56-M55)</f>
        <v/>
      </c>
      <c r="O56" s="127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RESUMO'!BD5</f>
        <v/>
      </c>
      <c r="N57" s="128">
        <f>MAX(0,M57-M56)</f>
        <v/>
      </c>
      <c r="O57" s="127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RESUMO'!BE5</f>
        <v/>
      </c>
      <c r="N58" s="128">
        <f>MAX(0,M58-M57)</f>
        <v/>
      </c>
      <c r="O58" s="127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RESUMO'!BF5</f>
        <v/>
      </c>
      <c r="N59" s="128">
        <f>MAX(0,M59-M58)</f>
        <v/>
      </c>
      <c r="O59" s="127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RESUMO'!BG5</f>
        <v/>
      </c>
      <c r="N60" s="128">
        <f>MAX(0,M60-M59)</f>
        <v/>
      </c>
      <c r="O60" s="127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RESUMO'!BH5</f>
        <v/>
      </c>
      <c r="N61" s="128">
        <f>MAX(0,M61-M60)</f>
        <v/>
      </c>
      <c r="O61" s="127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RESUMO'!BI5</f>
        <v/>
      </c>
      <c r="N62" s="128">
        <f>MAX(0,M62-M61)</f>
        <v/>
      </c>
      <c r="O62" s="127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RESUMO'!BJ5</f>
        <v/>
      </c>
      <c r="N63" s="128">
        <f>MAX(0,M63-M62)</f>
        <v/>
      </c>
      <c r="O63" s="127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RESUMO'!BK5</f>
        <v/>
      </c>
      <c r="N64" s="128">
        <f>MAX(0,M64-M63)</f>
        <v/>
      </c>
      <c r="O64" s="127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RESUMO'!BL5</f>
        <v/>
      </c>
      <c r="N65" s="128">
        <f>MAX(0,M65-M64)</f>
        <v/>
      </c>
      <c r="O65" s="127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RESUMO'!BM5</f>
        <v/>
      </c>
      <c r="N66" s="128">
        <f>MAX(0,M66-M65)</f>
        <v/>
      </c>
      <c r="O66" s="127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RESUMO'!BN5</f>
        <v/>
      </c>
      <c r="N67" s="128">
        <f>MAX(0,M67-M66)</f>
        <v/>
      </c>
      <c r="O67" s="127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RESUMO'!BO5</f>
        <v/>
      </c>
      <c r="N68" s="128">
        <f>MAX(0,M68-M67)</f>
        <v/>
      </c>
      <c r="O68" s="127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RESUMO'!BP5</f>
        <v/>
      </c>
      <c r="N69" s="128">
        <f>MAX(0,M69-M68)</f>
        <v/>
      </c>
      <c r="O69" s="127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RESUMO'!BQ5</f>
        <v/>
      </c>
      <c r="N70" s="128">
        <f>MAX(0,M70-M69)</f>
        <v/>
      </c>
      <c r="O70" s="127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RESUMO'!BR5</f>
        <v/>
      </c>
      <c r="N71" s="128">
        <f>MAX(0,M71-M70)</f>
        <v/>
      </c>
      <c r="O71" s="127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RESUMO'!BS5</f>
        <v/>
      </c>
      <c r="N72" s="128">
        <f>MAX(0,M72-M71)</f>
        <v/>
      </c>
      <c r="O72" s="127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RESUMO'!BT5</f>
        <v/>
      </c>
      <c r="N73" s="128">
        <f>MAX(0,M73-M72)</f>
        <v/>
      </c>
      <c r="O73" s="127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RESUMO'!BU5</f>
        <v/>
      </c>
      <c r="N74" s="128">
        <f>MAX(0,M74-M73)</f>
        <v/>
      </c>
      <c r="O74" s="127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RESUMO'!BV5</f>
        <v/>
      </c>
      <c r="N75" s="128">
        <f>MAX(0,M75-M74)</f>
        <v/>
      </c>
      <c r="O75" s="127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RESUMO'!BW5</f>
        <v/>
      </c>
      <c r="N76" s="128">
        <f>MAX(0,M76-M75)</f>
        <v/>
      </c>
      <c r="O76" s="127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HISTORICOS'!D42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PL'!F48</f>
        <v/>
      </c>
      <c r="K5" s="108">
        <f>'VALOR POR PL'!G48</f>
        <v/>
      </c>
      <c r="M5" s="127">
        <f>'CP RESUMO'!D42</f>
        <v/>
      </c>
      <c r="N5" s="128" t="n">
        <v>0</v>
      </c>
      <c r="O5" s="127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HISTORICOS'!E42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RESUMO'!E42</f>
        <v/>
      </c>
      <c r="N6" s="128">
        <f>MAX(0,M6-M5)</f>
        <v/>
      </c>
      <c r="O6" s="127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HISTORICOS'!F42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PL'!L48</f>
        <v/>
      </c>
      <c r="M7" s="127">
        <f>'CP RESUMO'!F42</f>
        <v/>
      </c>
      <c r="N7" s="128">
        <f>MAX(0,M7-M6)</f>
        <v/>
      </c>
      <c r="O7" s="127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HISTORICOS'!G42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RESUMO'!G42</f>
        <v/>
      </c>
      <c r="N8" s="128">
        <f>MAX(0,M8-M7)</f>
        <v/>
      </c>
      <c r="O8" s="127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HISTORICOS'!H42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RESUMO'!H42</f>
        <v/>
      </c>
      <c r="N9" s="128">
        <f>MAX(0,M9-M8)</f>
        <v/>
      </c>
      <c r="O9" s="127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HISTORICOS'!I42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RESUMO'!I42</f>
        <v/>
      </c>
      <c r="N10" s="128">
        <f>MAX(0,M10-M9)</f>
        <v/>
      </c>
      <c r="O10" s="127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HISTORICOS'!J42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RESUMO'!J42</f>
        <v/>
      </c>
      <c r="N11" s="128">
        <f>MAX(0,M11-M10)</f>
        <v/>
      </c>
      <c r="O11" s="127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HISTORICOS'!K42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RESUMO'!K42</f>
        <v/>
      </c>
      <c r="N12" s="128">
        <f>MAX(0,M12-M11)</f>
        <v/>
      </c>
      <c r="O12" s="127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HISTORICOS'!L42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PL'!I48</f>
        <v/>
      </c>
      <c r="M13" s="127">
        <f>'CP RESUMO'!L42</f>
        <v/>
      </c>
      <c r="N13" s="128">
        <f>MAX(0,M13-M12)</f>
        <v/>
      </c>
      <c r="O13" s="127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HISTORICOS'!M42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7">
        <f>'CP RESUMO'!M42</f>
        <v/>
      </c>
      <c r="N14" s="128">
        <f>MAX(0,M14-M13)</f>
        <v/>
      </c>
      <c r="O14" s="127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HISTORICOS'!N42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RESUMO'!N42</f>
        <v/>
      </c>
      <c r="N15" s="128">
        <f>MAX(0,M15-M14)</f>
        <v/>
      </c>
      <c r="O15" s="127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HISTORICOS'!O42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RESUMO'!O42</f>
        <v/>
      </c>
      <c r="N16" s="128">
        <f>MAX(0,M16-M15)</f>
        <v/>
      </c>
      <c r="O16" s="127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HISTORICOS'!P42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RESUMO'!P42</f>
        <v/>
      </c>
      <c r="N17" s="128">
        <f>MAX(0,M17-M16)</f>
        <v/>
      </c>
      <c r="O17" s="127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HISTORICOS'!Q42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RESUMO'!Q42</f>
        <v/>
      </c>
      <c r="N18" s="128">
        <f>MAX(0,M18-M17)</f>
        <v/>
      </c>
      <c r="O18" s="127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HISTORICOS'!R42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RESUMO'!R42</f>
        <v/>
      </c>
      <c r="N19" s="128">
        <f>MAX(0,M19-M18)</f>
        <v/>
      </c>
      <c r="O19" s="127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HISTORICOS'!S42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RESUMO'!S42</f>
        <v/>
      </c>
      <c r="N20" s="128">
        <f>MAX(0,M20-M19)</f>
        <v/>
      </c>
      <c r="O20" s="127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HISTORICOS'!T42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RESUMO'!T42</f>
        <v/>
      </c>
      <c r="N21" s="128">
        <f>MAX(0,M21-M20)</f>
        <v/>
      </c>
      <c r="O21" s="127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HISTORICOS'!U42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RESUMO'!U42</f>
        <v/>
      </c>
      <c r="N22" s="128">
        <f>MAX(0,M22-M21)</f>
        <v/>
      </c>
      <c r="O22" s="127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HISTORICOS'!V42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RESUMO'!V42</f>
        <v/>
      </c>
      <c r="N23" s="128">
        <f>MAX(0,M23-M22)</f>
        <v/>
      </c>
      <c r="O23" s="127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HISTORICOS'!W42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RESUMO'!W42</f>
        <v/>
      </c>
      <c r="N24" s="128">
        <f>MAX(0,M24-M23)</f>
        <v/>
      </c>
      <c r="O24" s="127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HISTORICOS'!X42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RESUMO'!X42</f>
        <v/>
      </c>
      <c r="N25" s="128">
        <f>MAX(0,M25-M24)</f>
        <v/>
      </c>
      <c r="O25" s="127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HISTORICOS'!Y42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RESUMO'!Y42</f>
        <v/>
      </c>
      <c r="N26" s="128">
        <f>MAX(0,M26-M25)</f>
        <v/>
      </c>
      <c r="O26" s="127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HISTORICOS'!Z42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RESUMO'!Z42</f>
        <v/>
      </c>
      <c r="N27" s="128">
        <f>MAX(0,M27-M26)</f>
        <v/>
      </c>
      <c r="O27" s="127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HISTORICOS'!AA42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RESUMO'!AA42</f>
        <v/>
      </c>
      <c r="N28" s="128">
        <f>MAX(0,M28-M27)</f>
        <v/>
      </c>
      <c r="O28" s="127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HISTORICOS'!AB42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RESUMO'!AB42</f>
        <v/>
      </c>
      <c r="N29" s="128">
        <f>MAX(0,M29-M28)</f>
        <v/>
      </c>
      <c r="O29" s="127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HISTORICOS'!AC42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RESUMO'!AC42</f>
        <v/>
      </c>
      <c r="N30" s="128">
        <f>MAX(0,M30-M29)</f>
        <v/>
      </c>
      <c r="O30" s="127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HISTORICOS'!AD42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RESUMO'!AD42</f>
        <v/>
      </c>
      <c r="N31" s="128">
        <f>MAX(0,M31-M30)</f>
        <v/>
      </c>
      <c r="O31" s="127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HISTORICOS'!AE42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RESUMO'!AE42</f>
        <v/>
      </c>
      <c r="N32" s="128">
        <f>MAX(0,M32-M31)</f>
        <v/>
      </c>
      <c r="O32" s="127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HISTORICOS'!AF42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RESUMO'!AF42</f>
        <v/>
      </c>
      <c r="N33" s="128">
        <f>MAX(0,M33-M32)</f>
        <v/>
      </c>
      <c r="O33" s="127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HISTORICOS'!AG42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RESUMO'!AG42</f>
        <v/>
      </c>
      <c r="N34" s="128">
        <f>MAX(0,M34-M33)</f>
        <v/>
      </c>
      <c r="O34" s="127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HISTORICOS'!AH42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RESUMO'!AH42</f>
        <v/>
      </c>
      <c r="N35" s="128">
        <f>MAX(0,M35-M34)</f>
        <v/>
      </c>
      <c r="O35" s="127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HISTORICOS'!AI42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RESUMO'!AI42</f>
        <v/>
      </c>
      <c r="N36" s="128">
        <f>MAX(0,M36-M35)</f>
        <v/>
      </c>
      <c r="O36" s="127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HISTORICOS'!AJ42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RESUMO'!AJ42</f>
        <v/>
      </c>
      <c r="N37" s="128">
        <f>MAX(0,M37-M36)</f>
        <v/>
      </c>
      <c r="O37" s="127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HISTORICOS'!AK42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RESUMO'!AK42</f>
        <v/>
      </c>
      <c r="N38" s="128">
        <f>MAX(0,M38-M37)</f>
        <v/>
      </c>
      <c r="O38" s="127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HISTORICOS'!AL42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RESUMO'!AL42</f>
        <v/>
      </c>
      <c r="N39" s="128">
        <f>MAX(0,M39-M38)</f>
        <v/>
      </c>
      <c r="O39" s="127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HISTORICOS'!AM42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RESUMO'!AM42</f>
        <v/>
      </c>
      <c r="N40" s="128">
        <f>MAX(0,M40-M39)</f>
        <v/>
      </c>
      <c r="O40" s="127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HISTORICOS'!AN42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RESUMO'!AN42</f>
        <v/>
      </c>
      <c r="N41" s="128">
        <f>MAX(0,M41-M40)</f>
        <v/>
      </c>
      <c r="O41" s="127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HISTORICOS'!AO42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RESUMO'!AO42</f>
        <v/>
      </c>
      <c r="N42" s="128">
        <f>MAX(0,M42-M41)</f>
        <v/>
      </c>
      <c r="O42" s="127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HISTORICOS'!AP42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RESUMO'!AP42</f>
        <v/>
      </c>
      <c r="N43" s="128">
        <f>MAX(0,M43-M42)</f>
        <v/>
      </c>
      <c r="O43" s="127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HISTORICOS'!AQ42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RESUMO'!AQ42</f>
        <v/>
      </c>
      <c r="N44" s="128">
        <f>MAX(0,M44-M43)</f>
        <v/>
      </c>
      <c r="O44" s="127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HISTORICOS'!AR42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RESUMO'!AR42</f>
        <v/>
      </c>
      <c r="N45" s="128">
        <f>MAX(0,M45-M44)</f>
        <v/>
      </c>
      <c r="O45" s="127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HISTORICOS'!AS42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RESUMO'!AS42</f>
        <v/>
      </c>
      <c r="N46" s="128">
        <f>MAX(0,M46-M45)</f>
        <v/>
      </c>
      <c r="O46" s="127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HISTORICOS'!AT42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RESUMO'!AT42</f>
        <v/>
      </c>
      <c r="N47" s="128">
        <f>MAX(0,M47-M46)</f>
        <v/>
      </c>
      <c r="O47" s="127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HISTORICOS'!AU42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RESUMO'!AU42</f>
        <v/>
      </c>
      <c r="N48" s="128">
        <f>MAX(0,M48-M47)</f>
        <v/>
      </c>
      <c r="O48" s="127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HISTORICOS'!AV42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RESUMO'!AV42</f>
        <v/>
      </c>
      <c r="N49" s="128">
        <f>MAX(0,M49-M48)</f>
        <v/>
      </c>
      <c r="O49" s="127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HISTORICOS'!AW42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RESUMO'!AW42</f>
        <v/>
      </c>
      <c r="N50" s="128">
        <f>MAX(0,M50-M49)</f>
        <v/>
      </c>
      <c r="O50" s="127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HISTORICOS'!AX42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RESUMO'!AX42</f>
        <v/>
      </c>
      <c r="N51" s="128">
        <f>MAX(0,M51-M50)</f>
        <v/>
      </c>
      <c r="O51" s="127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HISTORICOS'!AY42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RESUMO'!AY42</f>
        <v/>
      </c>
      <c r="N52" s="128">
        <f>MAX(0,M52-M51)</f>
        <v/>
      </c>
      <c r="O52" s="127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HISTORICOS'!AZ42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RESUMO'!AZ42</f>
        <v/>
      </c>
      <c r="N53" s="128">
        <f>MAX(0,M53-M52)</f>
        <v/>
      </c>
      <c r="O53" s="127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HISTORICOS'!BA42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RESUMO'!BA42</f>
        <v/>
      </c>
      <c r="N54" s="128">
        <f>MAX(0,M54-M53)</f>
        <v/>
      </c>
      <c r="O54" s="127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HISTORICOS'!BB42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RESUMO'!BB42</f>
        <v/>
      </c>
      <c r="N55" s="128">
        <f>MAX(0,M55-M54)</f>
        <v/>
      </c>
      <c r="O55" s="127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HISTORICOS'!BC42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RESUMO'!BC42</f>
        <v/>
      </c>
      <c r="N56" s="128">
        <f>MAX(0,M56-M55)</f>
        <v/>
      </c>
      <c r="O56" s="127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HISTORICOS'!BD42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RESUMO'!BD42</f>
        <v/>
      </c>
      <c r="N57" s="128">
        <f>MAX(0,M57-M56)</f>
        <v/>
      </c>
      <c r="O57" s="127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HISTORICOS'!BE42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RESUMO'!BE42</f>
        <v/>
      </c>
      <c r="N58" s="128">
        <f>MAX(0,M58-M57)</f>
        <v/>
      </c>
      <c r="O58" s="127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HISTORICOS'!BF42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RESUMO'!BF42</f>
        <v/>
      </c>
      <c r="N59" s="128">
        <f>MAX(0,M59-M58)</f>
        <v/>
      </c>
      <c r="O59" s="127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HISTORICOS'!BG42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RESUMO'!BG42</f>
        <v/>
      </c>
      <c r="N60" s="128">
        <f>MAX(0,M60-M59)</f>
        <v/>
      </c>
      <c r="O60" s="127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HISTORICOS'!BH42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RESUMO'!BH42</f>
        <v/>
      </c>
      <c r="N61" s="128">
        <f>MAX(0,M61-M60)</f>
        <v/>
      </c>
      <c r="O61" s="127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HISTORICOS'!BI42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RESUMO'!BI42</f>
        <v/>
      </c>
      <c r="N62" s="128">
        <f>MAX(0,M62-M61)</f>
        <v/>
      </c>
      <c r="O62" s="127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HISTORICOS'!BJ42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RESUMO'!BJ42</f>
        <v/>
      </c>
      <c r="N63" s="128">
        <f>MAX(0,M63-M62)</f>
        <v/>
      </c>
      <c r="O63" s="127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HISTORICOS'!BK42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RESUMO'!BK42</f>
        <v/>
      </c>
      <c r="N64" s="128">
        <f>MAX(0,M64-M63)</f>
        <v/>
      </c>
      <c r="O64" s="127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HISTORICOS'!BL42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RESUMO'!BL42</f>
        <v/>
      </c>
      <c r="N65" s="128">
        <f>MAX(0,M65-M64)</f>
        <v/>
      </c>
      <c r="O65" s="127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HISTORICOS'!BM42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RESUMO'!BM42</f>
        <v/>
      </c>
      <c r="N66" s="128">
        <f>MAX(0,M66-M65)</f>
        <v/>
      </c>
      <c r="O66" s="127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HISTORICOS'!BN42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RESUMO'!BN42</f>
        <v/>
      </c>
      <c r="N67" s="128">
        <f>MAX(0,M67-M66)</f>
        <v/>
      </c>
      <c r="O67" s="127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HISTORICOS'!BO42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RESUMO'!BO42</f>
        <v/>
      </c>
      <c r="N68" s="128">
        <f>MAX(0,M68-M67)</f>
        <v/>
      </c>
      <c r="O68" s="127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HISTORICOS'!BP42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RESUMO'!BP42</f>
        <v/>
      </c>
      <c r="N69" s="128">
        <f>MAX(0,M69-M68)</f>
        <v/>
      </c>
      <c r="O69" s="127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HISTORICOS'!BQ42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RESUMO'!BQ42</f>
        <v/>
      </c>
      <c r="N70" s="128">
        <f>MAX(0,M70-M69)</f>
        <v/>
      </c>
      <c r="O70" s="127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HISTORICOS'!BR42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RESUMO'!BR42</f>
        <v/>
      </c>
      <c r="N71" s="128">
        <f>MAX(0,M71-M70)</f>
        <v/>
      </c>
      <c r="O71" s="127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HISTORICOS'!BS42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RESUMO'!BS42</f>
        <v/>
      </c>
      <c r="N72" s="128">
        <f>MAX(0,M72-M71)</f>
        <v/>
      </c>
      <c r="O72" s="127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HISTORICOS'!BT42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RESUMO'!BT42</f>
        <v/>
      </c>
      <c r="N73" s="128">
        <f>MAX(0,M73-M72)</f>
        <v/>
      </c>
      <c r="O73" s="127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HISTORICOS'!BU42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RESUMO'!BU42</f>
        <v/>
      </c>
      <c r="N74" s="128">
        <f>MAX(0,M74-M73)</f>
        <v/>
      </c>
      <c r="O74" s="127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HISTORICOS'!BV42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RESUMO'!BV42</f>
        <v/>
      </c>
      <c r="N75" s="128">
        <f>MAX(0,M75-M74)</f>
        <v/>
      </c>
      <c r="O75" s="127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HISTORICOS'!BW42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RESUMO'!BW42</f>
        <v/>
      </c>
      <c r="N76" s="128">
        <f>MAX(0,M76-M75)</f>
        <v/>
      </c>
      <c r="O76" s="127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PL'!F12</f>
        <v/>
      </c>
      <c r="K5" s="108">
        <f>'VALOR POR PL'!G12</f>
        <v/>
      </c>
      <c r="M5" s="127">
        <f>'CP RESUMO'!D6</f>
        <v/>
      </c>
      <c r="N5" s="128" t="n">
        <v>0</v>
      </c>
      <c r="O5" s="127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RESUMO'!E6</f>
        <v/>
      </c>
      <c r="N6" s="128">
        <f>MAX(0,M6-M5)</f>
        <v/>
      </c>
      <c r="O6" s="127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PL'!L12</f>
        <v/>
      </c>
      <c r="M7" s="127">
        <f>'CP RESUMO'!F6</f>
        <v/>
      </c>
      <c r="N7" s="128">
        <f>MAX(0,M7-M6)</f>
        <v/>
      </c>
      <c r="O7" s="127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RESUMO'!G6</f>
        <v/>
      </c>
      <c r="N8" s="128">
        <f>MAX(0,M8-M7)</f>
        <v/>
      </c>
      <c r="O8" s="127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RESUMO'!H6</f>
        <v/>
      </c>
      <c r="N9" s="128">
        <f>MAX(0,M9-M8)</f>
        <v/>
      </c>
      <c r="O9" s="127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RESUMO'!I6</f>
        <v/>
      </c>
      <c r="N10" s="128">
        <f>MAX(0,M10-M9)</f>
        <v/>
      </c>
      <c r="O10" s="127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RESUMO'!J6</f>
        <v/>
      </c>
      <c r="N11" s="128">
        <f>MAX(0,M11-M10)</f>
        <v/>
      </c>
      <c r="O11" s="127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RESUMO'!K6</f>
        <v/>
      </c>
      <c r="N12" s="128">
        <f>MAX(0,M12-M11)</f>
        <v/>
      </c>
      <c r="O12" s="127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PL'!I12</f>
        <v/>
      </c>
      <c r="M13" s="127">
        <f>'CP RESUMO'!L6</f>
        <v/>
      </c>
      <c r="N13" s="128">
        <f>MAX(0,M13-M12)</f>
        <v/>
      </c>
      <c r="O13" s="127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7">
        <f>'CP RESUMO'!M6</f>
        <v/>
      </c>
      <c r="N14" s="128">
        <f>MAX(0,M14-M13)</f>
        <v/>
      </c>
      <c r="O14" s="127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RESUMO'!N6</f>
        <v/>
      </c>
      <c r="N15" s="128">
        <f>MAX(0,M15-M14)</f>
        <v/>
      </c>
      <c r="O15" s="127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RESUMO'!O6</f>
        <v/>
      </c>
      <c r="N16" s="128">
        <f>MAX(0,M16-M15)</f>
        <v/>
      </c>
      <c r="O16" s="127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RESUMO'!P6</f>
        <v/>
      </c>
      <c r="N17" s="128">
        <f>MAX(0,M17-M16)</f>
        <v/>
      </c>
      <c r="O17" s="127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RESUMO'!Q6</f>
        <v/>
      </c>
      <c r="N18" s="128">
        <f>MAX(0,M18-M17)</f>
        <v/>
      </c>
      <c r="O18" s="127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RESUMO'!R6</f>
        <v/>
      </c>
      <c r="N19" s="128">
        <f>MAX(0,M19-M18)</f>
        <v/>
      </c>
      <c r="O19" s="127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RESUMO'!S6</f>
        <v/>
      </c>
      <c r="N20" s="128">
        <f>MAX(0,M20-M19)</f>
        <v/>
      </c>
      <c r="O20" s="127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RESUMO'!T6</f>
        <v/>
      </c>
      <c r="N21" s="128">
        <f>MAX(0,M21-M20)</f>
        <v/>
      </c>
      <c r="O21" s="127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RESUMO'!U6</f>
        <v/>
      </c>
      <c r="N22" s="128">
        <f>MAX(0,M22-M21)</f>
        <v/>
      </c>
      <c r="O22" s="127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RESUMO'!V6</f>
        <v/>
      </c>
      <c r="N23" s="128">
        <f>MAX(0,M23-M22)</f>
        <v/>
      </c>
      <c r="O23" s="127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RESUMO'!W6</f>
        <v/>
      </c>
      <c r="N24" s="128">
        <f>MAX(0,M24-M23)</f>
        <v/>
      </c>
      <c r="O24" s="127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RESUMO'!X6</f>
        <v/>
      </c>
      <c r="N25" s="128">
        <f>MAX(0,M25-M24)</f>
        <v/>
      </c>
      <c r="O25" s="127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RESUMO'!Y6</f>
        <v/>
      </c>
      <c r="N26" s="128">
        <f>MAX(0,M26-M25)</f>
        <v/>
      </c>
      <c r="O26" s="127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RESUMO'!Z6</f>
        <v/>
      </c>
      <c r="N27" s="128">
        <f>MAX(0,M27-M26)</f>
        <v/>
      </c>
      <c r="O27" s="127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RESUMO'!AA6</f>
        <v/>
      </c>
      <c r="N28" s="128">
        <f>MAX(0,M28-M27)</f>
        <v/>
      </c>
      <c r="O28" s="127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RESUMO'!AB6</f>
        <v/>
      </c>
      <c r="N29" s="128">
        <f>MAX(0,M29-M28)</f>
        <v/>
      </c>
      <c r="O29" s="127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RESUMO'!AC6</f>
        <v/>
      </c>
      <c r="N30" s="128">
        <f>MAX(0,M30-M29)</f>
        <v/>
      </c>
      <c r="O30" s="127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RESUMO'!AD6</f>
        <v/>
      </c>
      <c r="N31" s="128">
        <f>MAX(0,M31-M30)</f>
        <v/>
      </c>
      <c r="O31" s="127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RESUMO'!AE6</f>
        <v/>
      </c>
      <c r="N32" s="128">
        <f>MAX(0,M32-M31)</f>
        <v/>
      </c>
      <c r="O32" s="127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RESUMO'!AF6</f>
        <v/>
      </c>
      <c r="N33" s="128">
        <f>MAX(0,M33-M32)</f>
        <v/>
      </c>
      <c r="O33" s="127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RESUMO'!AG6</f>
        <v/>
      </c>
      <c r="N34" s="128">
        <f>MAX(0,M34-M33)</f>
        <v/>
      </c>
      <c r="O34" s="127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RESUMO'!AH6</f>
        <v/>
      </c>
      <c r="N35" s="128">
        <f>MAX(0,M35-M34)</f>
        <v/>
      </c>
      <c r="O35" s="127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RESUMO'!AI6</f>
        <v/>
      </c>
      <c r="N36" s="128">
        <f>MAX(0,M36-M35)</f>
        <v/>
      </c>
      <c r="O36" s="127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RESUMO'!AJ6</f>
        <v/>
      </c>
      <c r="N37" s="128">
        <f>MAX(0,M37-M36)</f>
        <v/>
      </c>
      <c r="O37" s="127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RESUMO'!AK6</f>
        <v/>
      </c>
      <c r="N38" s="128">
        <f>MAX(0,M38-M37)</f>
        <v/>
      </c>
      <c r="O38" s="127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RESUMO'!AL6</f>
        <v/>
      </c>
      <c r="N39" s="128">
        <f>MAX(0,M39-M38)</f>
        <v/>
      </c>
      <c r="O39" s="127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RESUMO'!AM6</f>
        <v/>
      </c>
      <c r="N40" s="128">
        <f>MAX(0,M40-M39)</f>
        <v/>
      </c>
      <c r="O40" s="127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RESUMO'!AN6</f>
        <v/>
      </c>
      <c r="N41" s="128">
        <f>MAX(0,M41-M40)</f>
        <v/>
      </c>
      <c r="O41" s="127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RESUMO'!AO6</f>
        <v/>
      </c>
      <c r="N42" s="128">
        <f>MAX(0,M42-M41)</f>
        <v/>
      </c>
      <c r="O42" s="127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RESUMO'!AP6</f>
        <v/>
      </c>
      <c r="N43" s="128">
        <f>MAX(0,M43-M42)</f>
        <v/>
      </c>
      <c r="O43" s="127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RESUMO'!AQ6</f>
        <v/>
      </c>
      <c r="N44" s="128">
        <f>MAX(0,M44-M43)</f>
        <v/>
      </c>
      <c r="O44" s="127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RESUMO'!AR6</f>
        <v/>
      </c>
      <c r="N45" s="128">
        <f>MAX(0,M45-M44)</f>
        <v/>
      </c>
      <c r="O45" s="127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RESUMO'!AS6</f>
        <v/>
      </c>
      <c r="N46" s="128">
        <f>MAX(0,M46-M45)</f>
        <v/>
      </c>
      <c r="O46" s="127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RESUMO'!AT6</f>
        <v/>
      </c>
      <c r="N47" s="128">
        <f>MAX(0,M47-M46)</f>
        <v/>
      </c>
      <c r="O47" s="127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RESUMO'!AU6</f>
        <v/>
      </c>
      <c r="N48" s="128">
        <f>MAX(0,M48-M47)</f>
        <v/>
      </c>
      <c r="O48" s="127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RESUMO'!AV6</f>
        <v/>
      </c>
      <c r="N49" s="128">
        <f>MAX(0,M49-M48)</f>
        <v/>
      </c>
      <c r="O49" s="127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RESUMO'!AW6</f>
        <v/>
      </c>
      <c r="N50" s="128">
        <f>MAX(0,M50-M49)</f>
        <v/>
      </c>
      <c r="O50" s="127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RESUMO'!AX6</f>
        <v/>
      </c>
      <c r="N51" s="128">
        <f>MAX(0,M51-M50)</f>
        <v/>
      </c>
      <c r="O51" s="127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RESUMO'!AY6</f>
        <v/>
      </c>
      <c r="N52" s="128">
        <f>MAX(0,M52-M51)</f>
        <v/>
      </c>
      <c r="O52" s="127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RESUMO'!AZ6</f>
        <v/>
      </c>
      <c r="N53" s="128">
        <f>MAX(0,M53-M52)</f>
        <v/>
      </c>
      <c r="O53" s="127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RESUMO'!BA6</f>
        <v/>
      </c>
      <c r="N54" s="128">
        <f>MAX(0,M54-M53)</f>
        <v/>
      </c>
      <c r="O54" s="127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RESUMO'!BB6</f>
        <v/>
      </c>
      <c r="N55" s="128">
        <f>MAX(0,M55-M54)</f>
        <v/>
      </c>
      <c r="O55" s="127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RESUMO'!BC6</f>
        <v/>
      </c>
      <c r="N56" s="128">
        <f>MAX(0,M56-M55)</f>
        <v/>
      </c>
      <c r="O56" s="127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RESUMO'!BD6</f>
        <v/>
      </c>
      <c r="N57" s="128">
        <f>MAX(0,M57-M56)</f>
        <v/>
      </c>
      <c r="O57" s="127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RESUMO'!BE6</f>
        <v/>
      </c>
      <c r="N58" s="128">
        <f>MAX(0,M58-M57)</f>
        <v/>
      </c>
      <c r="O58" s="127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RESUMO'!BF6</f>
        <v/>
      </c>
      <c r="N59" s="128">
        <f>MAX(0,M59-M58)</f>
        <v/>
      </c>
      <c r="O59" s="127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RESUMO'!BG6</f>
        <v/>
      </c>
      <c r="N60" s="128">
        <f>MAX(0,M60-M59)</f>
        <v/>
      </c>
      <c r="O60" s="127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RESUMO'!BH6</f>
        <v/>
      </c>
      <c r="N61" s="128">
        <f>MAX(0,M61-M60)</f>
        <v/>
      </c>
      <c r="O61" s="127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RESUMO'!BI6</f>
        <v/>
      </c>
      <c r="N62" s="128">
        <f>MAX(0,M62-M61)</f>
        <v/>
      </c>
      <c r="O62" s="127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RESUMO'!BJ6</f>
        <v/>
      </c>
      <c r="N63" s="128">
        <f>MAX(0,M63-M62)</f>
        <v/>
      </c>
      <c r="O63" s="127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RESUMO'!BK6</f>
        <v/>
      </c>
      <c r="N64" s="128">
        <f>MAX(0,M64-M63)</f>
        <v/>
      </c>
      <c r="O64" s="127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RESUMO'!BL6</f>
        <v/>
      </c>
      <c r="N65" s="128">
        <f>MAX(0,M65-M64)</f>
        <v/>
      </c>
      <c r="O65" s="127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RESUMO'!BM6</f>
        <v/>
      </c>
      <c r="N66" s="128">
        <f>MAX(0,M66-M65)</f>
        <v/>
      </c>
      <c r="O66" s="127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RESUMO'!BN6</f>
        <v/>
      </c>
      <c r="N67" s="128">
        <f>MAX(0,M67-M66)</f>
        <v/>
      </c>
      <c r="O67" s="127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RESUMO'!BO6</f>
        <v/>
      </c>
      <c r="N68" s="128">
        <f>MAX(0,M68-M67)</f>
        <v/>
      </c>
      <c r="O68" s="127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RESUMO'!BP6</f>
        <v/>
      </c>
      <c r="N69" s="128">
        <f>MAX(0,M69-M68)</f>
        <v/>
      </c>
      <c r="O69" s="127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RESUMO'!BQ6</f>
        <v/>
      </c>
      <c r="N70" s="128">
        <f>MAX(0,M70-M69)</f>
        <v/>
      </c>
      <c r="O70" s="127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RESUMO'!BR6</f>
        <v/>
      </c>
      <c r="N71" s="128">
        <f>MAX(0,M71-M70)</f>
        <v/>
      </c>
      <c r="O71" s="127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RESUMO'!BS6</f>
        <v/>
      </c>
      <c r="N72" s="128">
        <f>MAX(0,M72-M71)</f>
        <v/>
      </c>
      <c r="O72" s="127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RESUMO'!BT6</f>
        <v/>
      </c>
      <c r="N73" s="128">
        <f>MAX(0,M73-M72)</f>
        <v/>
      </c>
      <c r="O73" s="127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RESUMO'!BU6</f>
        <v/>
      </c>
      <c r="N74" s="128">
        <f>MAX(0,M74-M73)</f>
        <v/>
      </c>
      <c r="O74" s="127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RESUMO'!BV6</f>
        <v/>
      </c>
      <c r="N75" s="128">
        <f>MAX(0,M75-M74)</f>
        <v/>
      </c>
      <c r="O75" s="127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RESUMO'!BW6</f>
        <v/>
      </c>
      <c r="N76" s="128">
        <f>MAX(0,M76-M75)</f>
        <v/>
      </c>
      <c r="O76" s="127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PL'!F13</f>
        <v/>
      </c>
      <c r="K5" s="108">
        <f>'VALOR POR PL'!G13</f>
        <v/>
      </c>
      <c r="M5" s="127">
        <f>'CP RESUMO'!D7</f>
        <v/>
      </c>
      <c r="N5" s="128" t="n">
        <v>0</v>
      </c>
      <c r="O5" s="127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RESUMO'!E7</f>
        <v/>
      </c>
      <c r="N6" s="128">
        <f>MAX(0,M6-M5)</f>
        <v/>
      </c>
      <c r="O6" s="127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PL'!L13</f>
        <v/>
      </c>
      <c r="M7" s="127">
        <f>'CP RESUMO'!F7</f>
        <v/>
      </c>
      <c r="N7" s="128">
        <f>MAX(0,M7-M6)</f>
        <v/>
      </c>
      <c r="O7" s="127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RESUMO'!G7</f>
        <v/>
      </c>
      <c r="N8" s="128">
        <f>MAX(0,M8-M7)</f>
        <v/>
      </c>
      <c r="O8" s="127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RESUMO'!H7</f>
        <v/>
      </c>
      <c r="N9" s="128">
        <f>MAX(0,M9-M8)</f>
        <v/>
      </c>
      <c r="O9" s="127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RESUMO'!I7</f>
        <v/>
      </c>
      <c r="N10" s="128">
        <f>MAX(0,M10-M9)</f>
        <v/>
      </c>
      <c r="O10" s="127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RESUMO'!J7</f>
        <v/>
      </c>
      <c r="N11" s="128">
        <f>MAX(0,M11-M10)</f>
        <v/>
      </c>
      <c r="O11" s="127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RESUMO'!K7</f>
        <v/>
      </c>
      <c r="N12" s="128">
        <f>MAX(0,M12-M11)</f>
        <v/>
      </c>
      <c r="O12" s="127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PL'!I13</f>
        <v/>
      </c>
      <c r="M13" s="127">
        <f>'CP RESUMO'!L7</f>
        <v/>
      </c>
      <c r="N13" s="128">
        <f>MAX(0,M13-M12)</f>
        <v/>
      </c>
      <c r="O13" s="127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7">
        <f>'CP RESUMO'!M7</f>
        <v/>
      </c>
      <c r="N14" s="128">
        <f>MAX(0,M14-M13)</f>
        <v/>
      </c>
      <c r="O14" s="127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RESUMO'!N7</f>
        <v/>
      </c>
      <c r="N15" s="128">
        <f>MAX(0,M15-M14)</f>
        <v/>
      </c>
      <c r="O15" s="127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RESUMO'!O7</f>
        <v/>
      </c>
      <c r="N16" s="128">
        <f>MAX(0,M16-M15)</f>
        <v/>
      </c>
      <c r="O16" s="127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RESUMO'!P7</f>
        <v/>
      </c>
      <c r="N17" s="128">
        <f>MAX(0,M17-M16)</f>
        <v/>
      </c>
      <c r="O17" s="127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RESUMO'!Q7</f>
        <v/>
      </c>
      <c r="N18" s="128">
        <f>MAX(0,M18-M17)</f>
        <v/>
      </c>
      <c r="O18" s="127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RESUMO'!R7</f>
        <v/>
      </c>
      <c r="N19" s="128">
        <f>MAX(0,M19-M18)</f>
        <v/>
      </c>
      <c r="O19" s="127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RESUMO'!S7</f>
        <v/>
      </c>
      <c r="N20" s="128">
        <f>MAX(0,M20-M19)</f>
        <v/>
      </c>
      <c r="O20" s="127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RESUMO'!T7</f>
        <v/>
      </c>
      <c r="N21" s="128">
        <f>MAX(0,M21-M20)</f>
        <v/>
      </c>
      <c r="O21" s="127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RESUMO'!U7</f>
        <v/>
      </c>
      <c r="N22" s="128">
        <f>MAX(0,M22-M21)</f>
        <v/>
      </c>
      <c r="O22" s="127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RESUMO'!V7</f>
        <v/>
      </c>
      <c r="N23" s="128">
        <f>MAX(0,M23-M22)</f>
        <v/>
      </c>
      <c r="O23" s="127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RESUMO'!W7</f>
        <v/>
      </c>
      <c r="N24" s="128">
        <f>MAX(0,M24-M23)</f>
        <v/>
      </c>
      <c r="O24" s="127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RESUMO'!X7</f>
        <v/>
      </c>
      <c r="N25" s="128">
        <f>MAX(0,M25-M24)</f>
        <v/>
      </c>
      <c r="O25" s="127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RESUMO'!Y7</f>
        <v/>
      </c>
      <c r="N26" s="128">
        <f>MAX(0,M26-M25)</f>
        <v/>
      </c>
      <c r="O26" s="127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RESUMO'!Z7</f>
        <v/>
      </c>
      <c r="N27" s="128">
        <f>MAX(0,M27-M26)</f>
        <v/>
      </c>
      <c r="O27" s="127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RESUMO'!AA7</f>
        <v/>
      </c>
      <c r="N28" s="128">
        <f>MAX(0,M28-M27)</f>
        <v/>
      </c>
      <c r="O28" s="127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RESUMO'!AB7</f>
        <v/>
      </c>
      <c r="N29" s="128">
        <f>MAX(0,M29-M28)</f>
        <v/>
      </c>
      <c r="O29" s="127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RESUMO'!AC7</f>
        <v/>
      </c>
      <c r="N30" s="128">
        <f>MAX(0,M30-M29)</f>
        <v/>
      </c>
      <c r="O30" s="127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RESUMO'!AD7</f>
        <v/>
      </c>
      <c r="N31" s="128">
        <f>MAX(0,M31-M30)</f>
        <v/>
      </c>
      <c r="O31" s="127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RESUMO'!AE7</f>
        <v/>
      </c>
      <c r="N32" s="128">
        <f>MAX(0,M32-M31)</f>
        <v/>
      </c>
      <c r="O32" s="127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RESUMO'!AF7</f>
        <v/>
      </c>
      <c r="N33" s="128">
        <f>MAX(0,M33-M32)</f>
        <v/>
      </c>
      <c r="O33" s="127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RESUMO'!AG7</f>
        <v/>
      </c>
      <c r="N34" s="128">
        <f>MAX(0,M34-M33)</f>
        <v/>
      </c>
      <c r="O34" s="127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RESUMO'!AH7</f>
        <v/>
      </c>
      <c r="N35" s="128">
        <f>MAX(0,M35-M34)</f>
        <v/>
      </c>
      <c r="O35" s="127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RESUMO'!AI7</f>
        <v/>
      </c>
      <c r="N36" s="128">
        <f>MAX(0,M36-M35)</f>
        <v/>
      </c>
      <c r="O36" s="127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RESUMO'!AJ7</f>
        <v/>
      </c>
      <c r="N37" s="128">
        <f>MAX(0,M37-M36)</f>
        <v/>
      </c>
      <c r="O37" s="127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RESUMO'!AK7</f>
        <v/>
      </c>
      <c r="N38" s="128">
        <f>MAX(0,M38-M37)</f>
        <v/>
      </c>
      <c r="O38" s="127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RESUMO'!AL7</f>
        <v/>
      </c>
      <c r="N39" s="128">
        <f>MAX(0,M39-M38)</f>
        <v/>
      </c>
      <c r="O39" s="127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RESUMO'!AM7</f>
        <v/>
      </c>
      <c r="N40" s="128">
        <f>MAX(0,M40-M39)</f>
        <v/>
      </c>
      <c r="O40" s="127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RESUMO'!AN7</f>
        <v/>
      </c>
      <c r="N41" s="128">
        <f>MAX(0,M41-M40)</f>
        <v/>
      </c>
      <c r="O41" s="127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RESUMO'!AO7</f>
        <v/>
      </c>
      <c r="N42" s="128">
        <f>MAX(0,M42-M41)</f>
        <v/>
      </c>
      <c r="O42" s="127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RESUMO'!AP7</f>
        <v/>
      </c>
      <c r="N43" s="128">
        <f>MAX(0,M43-M42)</f>
        <v/>
      </c>
      <c r="O43" s="127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RESUMO'!AQ7</f>
        <v/>
      </c>
      <c r="N44" s="128">
        <f>MAX(0,M44-M43)</f>
        <v/>
      </c>
      <c r="O44" s="127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RESUMO'!AR7</f>
        <v/>
      </c>
      <c r="N45" s="128">
        <f>MAX(0,M45-M44)</f>
        <v/>
      </c>
      <c r="O45" s="127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RESUMO'!AS7</f>
        <v/>
      </c>
      <c r="N46" s="128">
        <f>MAX(0,M46-M45)</f>
        <v/>
      </c>
      <c r="O46" s="127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RESUMO'!AT7</f>
        <v/>
      </c>
      <c r="N47" s="128">
        <f>MAX(0,M47-M46)</f>
        <v/>
      </c>
      <c r="O47" s="127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RESUMO'!AU7</f>
        <v/>
      </c>
      <c r="N48" s="128">
        <f>MAX(0,M48-M47)</f>
        <v/>
      </c>
      <c r="O48" s="127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RESUMO'!AV7</f>
        <v/>
      </c>
      <c r="N49" s="128">
        <f>MAX(0,M49-M48)</f>
        <v/>
      </c>
      <c r="O49" s="127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RESUMO'!AW7</f>
        <v/>
      </c>
      <c r="N50" s="128">
        <f>MAX(0,M50-M49)</f>
        <v/>
      </c>
      <c r="O50" s="127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RESUMO'!AX7</f>
        <v/>
      </c>
      <c r="N51" s="128">
        <f>MAX(0,M51-M50)</f>
        <v/>
      </c>
      <c r="O51" s="127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RESUMO'!AY7</f>
        <v/>
      </c>
      <c r="N52" s="128">
        <f>MAX(0,M52-M51)</f>
        <v/>
      </c>
      <c r="O52" s="127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RESUMO'!AZ7</f>
        <v/>
      </c>
      <c r="N53" s="128">
        <f>MAX(0,M53-M52)</f>
        <v/>
      </c>
      <c r="O53" s="127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RESUMO'!BA7</f>
        <v/>
      </c>
      <c r="N54" s="128">
        <f>MAX(0,M54-M53)</f>
        <v/>
      </c>
      <c r="O54" s="127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RESUMO'!BB7</f>
        <v/>
      </c>
      <c r="N55" s="128">
        <f>MAX(0,M55-M54)</f>
        <v/>
      </c>
      <c r="O55" s="127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RESUMO'!BC7</f>
        <v/>
      </c>
      <c r="N56" s="128">
        <f>MAX(0,M56-M55)</f>
        <v/>
      </c>
      <c r="O56" s="127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RESUMO'!BD7</f>
        <v/>
      </c>
      <c r="N57" s="128">
        <f>MAX(0,M57-M56)</f>
        <v/>
      </c>
      <c r="O57" s="127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RESUMO'!BE7</f>
        <v/>
      </c>
      <c r="N58" s="128">
        <f>MAX(0,M58-M57)</f>
        <v/>
      </c>
      <c r="O58" s="127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RESUMO'!BF7</f>
        <v/>
      </c>
      <c r="N59" s="128">
        <f>MAX(0,M59-M58)</f>
        <v/>
      </c>
      <c r="O59" s="127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RESUMO'!BG7</f>
        <v/>
      </c>
      <c r="N60" s="128">
        <f>MAX(0,M60-M59)</f>
        <v/>
      </c>
      <c r="O60" s="127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RESUMO'!BH7</f>
        <v/>
      </c>
      <c r="N61" s="128">
        <f>MAX(0,M61-M60)</f>
        <v/>
      </c>
      <c r="O61" s="127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RESUMO'!BI7</f>
        <v/>
      </c>
      <c r="N62" s="128">
        <f>MAX(0,M62-M61)</f>
        <v/>
      </c>
      <c r="O62" s="127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RESUMO'!BJ7</f>
        <v/>
      </c>
      <c r="N63" s="128">
        <f>MAX(0,M63-M62)</f>
        <v/>
      </c>
      <c r="O63" s="127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RESUMO'!BK7</f>
        <v/>
      </c>
      <c r="N64" s="128">
        <f>MAX(0,M64-M63)</f>
        <v/>
      </c>
      <c r="O64" s="127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RESUMO'!BL7</f>
        <v/>
      </c>
      <c r="N65" s="128">
        <f>MAX(0,M65-M64)</f>
        <v/>
      </c>
      <c r="O65" s="127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RESUMO'!BM7</f>
        <v/>
      </c>
      <c r="N66" s="128">
        <f>MAX(0,M66-M65)</f>
        <v/>
      </c>
      <c r="O66" s="127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RESUMO'!BN7</f>
        <v/>
      </c>
      <c r="N67" s="128">
        <f>MAX(0,M67-M66)</f>
        <v/>
      </c>
      <c r="O67" s="127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RESUMO'!BO7</f>
        <v/>
      </c>
      <c r="N68" s="128">
        <f>MAX(0,M68-M67)</f>
        <v/>
      </c>
      <c r="O68" s="127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RESUMO'!BP7</f>
        <v/>
      </c>
      <c r="N69" s="128">
        <f>MAX(0,M69-M68)</f>
        <v/>
      </c>
      <c r="O69" s="127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RESUMO'!BQ7</f>
        <v/>
      </c>
      <c r="N70" s="128">
        <f>MAX(0,M70-M69)</f>
        <v/>
      </c>
      <c r="O70" s="127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RESUMO'!BR7</f>
        <v/>
      </c>
      <c r="N71" s="128">
        <f>MAX(0,M71-M70)</f>
        <v/>
      </c>
      <c r="O71" s="127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RESUMO'!BS7</f>
        <v/>
      </c>
      <c r="N72" s="128">
        <f>MAX(0,M72-M71)</f>
        <v/>
      </c>
      <c r="O72" s="127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RESUMO'!BT7</f>
        <v/>
      </c>
      <c r="N73" s="128">
        <f>MAX(0,M73-M72)</f>
        <v/>
      </c>
      <c r="O73" s="127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RESUMO'!BU7</f>
        <v/>
      </c>
      <c r="N74" s="128">
        <f>MAX(0,M74-M73)</f>
        <v/>
      </c>
      <c r="O74" s="127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RESUMO'!BV7</f>
        <v/>
      </c>
      <c r="N75" s="128">
        <f>MAX(0,M75-M74)</f>
        <v/>
      </c>
      <c r="O75" s="127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RESUMO'!BW7</f>
        <v/>
      </c>
      <c r="N76" s="128">
        <f>MAX(0,M76-M75)</f>
        <v/>
      </c>
      <c r="O76" s="127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PL'!F14</f>
        <v/>
      </c>
      <c r="K5" s="108">
        <f>'VALOR POR PL'!G14</f>
        <v/>
      </c>
      <c r="M5" s="127">
        <f>'CP RESUMO'!D8</f>
        <v/>
      </c>
      <c r="N5" s="128" t="n">
        <v>0</v>
      </c>
      <c r="O5" s="127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RESUMO'!E8</f>
        <v/>
      </c>
      <c r="N6" s="128">
        <f>MAX(0,M6-M5)</f>
        <v/>
      </c>
      <c r="O6" s="127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PL'!L14</f>
        <v/>
      </c>
      <c r="M7" s="127">
        <f>'CP RESUMO'!F8</f>
        <v/>
      </c>
      <c r="N7" s="128">
        <f>MAX(0,M7-M6)</f>
        <v/>
      </c>
      <c r="O7" s="127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RESUMO'!G8</f>
        <v/>
      </c>
      <c r="N8" s="128">
        <f>MAX(0,M8-M7)</f>
        <v/>
      </c>
      <c r="O8" s="127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RESUMO'!H8</f>
        <v/>
      </c>
      <c r="N9" s="128">
        <f>MAX(0,M9-M8)</f>
        <v/>
      </c>
      <c r="O9" s="127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RESUMO'!I8</f>
        <v/>
      </c>
      <c r="N10" s="128">
        <f>MAX(0,M10-M9)</f>
        <v/>
      </c>
      <c r="O10" s="127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RESUMO'!J8</f>
        <v/>
      </c>
      <c r="N11" s="128">
        <f>MAX(0,M11-M10)</f>
        <v/>
      </c>
      <c r="O11" s="127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RESUMO'!K8</f>
        <v/>
      </c>
      <c r="N12" s="128">
        <f>MAX(0,M12-M11)</f>
        <v/>
      </c>
      <c r="O12" s="127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PL'!I14</f>
        <v/>
      </c>
      <c r="M13" s="127">
        <f>'CP RESUMO'!L8</f>
        <v/>
      </c>
      <c r="N13" s="128">
        <f>MAX(0,M13-M12)</f>
        <v/>
      </c>
      <c r="O13" s="127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7">
        <f>'CP RESUMO'!M8</f>
        <v/>
      </c>
      <c r="N14" s="128">
        <f>MAX(0,M14-M13)</f>
        <v/>
      </c>
      <c r="O14" s="127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RESUMO'!N8</f>
        <v/>
      </c>
      <c r="N15" s="128">
        <f>MAX(0,M15-M14)</f>
        <v/>
      </c>
      <c r="O15" s="127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RESUMO'!O8</f>
        <v/>
      </c>
      <c r="N16" s="128">
        <f>MAX(0,M16-M15)</f>
        <v/>
      </c>
      <c r="O16" s="127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RESUMO'!P8</f>
        <v/>
      </c>
      <c r="N17" s="128">
        <f>MAX(0,M17-M16)</f>
        <v/>
      </c>
      <c r="O17" s="127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RESUMO'!Q8</f>
        <v/>
      </c>
      <c r="N18" s="128">
        <f>MAX(0,M18-M17)</f>
        <v/>
      </c>
      <c r="O18" s="127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RESUMO'!R8</f>
        <v/>
      </c>
      <c r="N19" s="128">
        <f>MAX(0,M19-M18)</f>
        <v/>
      </c>
      <c r="O19" s="127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RESUMO'!S8</f>
        <v/>
      </c>
      <c r="N20" s="128">
        <f>MAX(0,M20-M19)</f>
        <v/>
      </c>
      <c r="O20" s="127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RESUMO'!T8</f>
        <v/>
      </c>
      <c r="N21" s="128">
        <f>MAX(0,M21-M20)</f>
        <v/>
      </c>
      <c r="O21" s="127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RESUMO'!U8</f>
        <v/>
      </c>
      <c r="N22" s="128">
        <f>MAX(0,M22-M21)</f>
        <v/>
      </c>
      <c r="O22" s="127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RESUMO'!V8</f>
        <v/>
      </c>
      <c r="N23" s="128">
        <f>MAX(0,M23-M22)</f>
        <v/>
      </c>
      <c r="O23" s="127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RESUMO'!W8</f>
        <v/>
      </c>
      <c r="N24" s="128">
        <f>MAX(0,M24-M23)</f>
        <v/>
      </c>
      <c r="O24" s="127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RESUMO'!X8</f>
        <v/>
      </c>
      <c r="N25" s="128">
        <f>MAX(0,M25-M24)</f>
        <v/>
      </c>
      <c r="O25" s="127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RESUMO'!Y8</f>
        <v/>
      </c>
      <c r="N26" s="128">
        <f>MAX(0,M26-M25)</f>
        <v/>
      </c>
      <c r="O26" s="127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RESUMO'!Z8</f>
        <v/>
      </c>
      <c r="N27" s="128">
        <f>MAX(0,M27-M26)</f>
        <v/>
      </c>
      <c r="O27" s="127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RESUMO'!AA8</f>
        <v/>
      </c>
      <c r="N28" s="128">
        <f>MAX(0,M28-M27)</f>
        <v/>
      </c>
      <c r="O28" s="127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RESUMO'!AB8</f>
        <v/>
      </c>
      <c r="N29" s="128">
        <f>MAX(0,M29-M28)</f>
        <v/>
      </c>
      <c r="O29" s="127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RESUMO'!AC8</f>
        <v/>
      </c>
      <c r="N30" s="128">
        <f>MAX(0,M30-M29)</f>
        <v/>
      </c>
      <c r="O30" s="127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RESUMO'!AD8</f>
        <v/>
      </c>
      <c r="N31" s="128">
        <f>MAX(0,M31-M30)</f>
        <v/>
      </c>
      <c r="O31" s="127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RESUMO'!AE8</f>
        <v/>
      </c>
      <c r="N32" s="128">
        <f>MAX(0,M32-M31)</f>
        <v/>
      </c>
      <c r="O32" s="127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RESUMO'!AF8</f>
        <v/>
      </c>
      <c r="N33" s="128">
        <f>MAX(0,M33-M32)</f>
        <v/>
      </c>
      <c r="O33" s="127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RESUMO'!AG8</f>
        <v/>
      </c>
      <c r="N34" s="128">
        <f>MAX(0,M34-M33)</f>
        <v/>
      </c>
      <c r="O34" s="127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RESUMO'!AH8</f>
        <v/>
      </c>
      <c r="N35" s="128">
        <f>MAX(0,M35-M34)</f>
        <v/>
      </c>
      <c r="O35" s="127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RESUMO'!AI8</f>
        <v/>
      </c>
      <c r="N36" s="128">
        <f>MAX(0,M36-M35)</f>
        <v/>
      </c>
      <c r="O36" s="127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RESUMO'!AJ8</f>
        <v/>
      </c>
      <c r="N37" s="128">
        <f>MAX(0,M37-M36)</f>
        <v/>
      </c>
      <c r="O37" s="127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RESUMO'!AK8</f>
        <v/>
      </c>
      <c r="N38" s="128">
        <f>MAX(0,M38-M37)</f>
        <v/>
      </c>
      <c r="O38" s="127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RESUMO'!AL8</f>
        <v/>
      </c>
      <c r="N39" s="128">
        <f>MAX(0,M39-M38)</f>
        <v/>
      </c>
      <c r="O39" s="127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RESUMO'!AM8</f>
        <v/>
      </c>
      <c r="N40" s="128">
        <f>MAX(0,M40-M39)</f>
        <v/>
      </c>
      <c r="O40" s="127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RESUMO'!AN8</f>
        <v/>
      </c>
      <c r="N41" s="128">
        <f>MAX(0,M41-M40)</f>
        <v/>
      </c>
      <c r="O41" s="127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RESUMO'!AO8</f>
        <v/>
      </c>
      <c r="N42" s="128">
        <f>MAX(0,M42-M41)</f>
        <v/>
      </c>
      <c r="O42" s="127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RESUMO'!AP8</f>
        <v/>
      </c>
      <c r="N43" s="128">
        <f>MAX(0,M43-M42)</f>
        <v/>
      </c>
      <c r="O43" s="127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RESUMO'!AQ8</f>
        <v/>
      </c>
      <c r="N44" s="128">
        <f>MAX(0,M44-M43)</f>
        <v/>
      </c>
      <c r="O44" s="127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RESUMO'!AR8</f>
        <v/>
      </c>
      <c r="N45" s="128">
        <f>MAX(0,M45-M44)</f>
        <v/>
      </c>
      <c r="O45" s="127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RESUMO'!AS8</f>
        <v/>
      </c>
      <c r="N46" s="128">
        <f>MAX(0,M46-M45)</f>
        <v/>
      </c>
      <c r="O46" s="127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RESUMO'!AT8</f>
        <v/>
      </c>
      <c r="N47" s="128">
        <f>MAX(0,M47-M46)</f>
        <v/>
      </c>
      <c r="O47" s="127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RESUMO'!AU8</f>
        <v/>
      </c>
      <c r="N48" s="128">
        <f>MAX(0,M48-M47)</f>
        <v/>
      </c>
      <c r="O48" s="127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RESUMO'!AV8</f>
        <v/>
      </c>
      <c r="N49" s="128">
        <f>MAX(0,M49-M48)</f>
        <v/>
      </c>
      <c r="O49" s="127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RESUMO'!AW8</f>
        <v/>
      </c>
      <c r="N50" s="128">
        <f>MAX(0,M50-M49)</f>
        <v/>
      </c>
      <c r="O50" s="127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RESUMO'!AX8</f>
        <v/>
      </c>
      <c r="N51" s="128">
        <f>MAX(0,M51-M50)</f>
        <v/>
      </c>
      <c r="O51" s="127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RESUMO'!AY8</f>
        <v/>
      </c>
      <c r="N52" s="128">
        <f>MAX(0,M52-M51)</f>
        <v/>
      </c>
      <c r="O52" s="127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RESUMO'!AZ8</f>
        <v/>
      </c>
      <c r="N53" s="128">
        <f>MAX(0,M53-M52)</f>
        <v/>
      </c>
      <c r="O53" s="127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RESUMO'!BA8</f>
        <v/>
      </c>
      <c r="N54" s="128">
        <f>MAX(0,M54-M53)</f>
        <v/>
      </c>
      <c r="O54" s="127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RESUMO'!BB8</f>
        <v/>
      </c>
      <c r="N55" s="128">
        <f>MAX(0,M55-M54)</f>
        <v/>
      </c>
      <c r="O55" s="127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RESUMO'!BC8</f>
        <v/>
      </c>
      <c r="N56" s="128">
        <f>MAX(0,M56-M55)</f>
        <v/>
      </c>
      <c r="O56" s="127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RESUMO'!BD8</f>
        <v/>
      </c>
      <c r="N57" s="128">
        <f>MAX(0,M57-M56)</f>
        <v/>
      </c>
      <c r="O57" s="127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RESUMO'!BE8</f>
        <v/>
      </c>
      <c r="N58" s="128">
        <f>MAX(0,M58-M57)</f>
        <v/>
      </c>
      <c r="O58" s="127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RESUMO'!BF8</f>
        <v/>
      </c>
      <c r="N59" s="128">
        <f>MAX(0,M59-M58)</f>
        <v/>
      </c>
      <c r="O59" s="127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RESUMO'!BG8</f>
        <v/>
      </c>
      <c r="N60" s="128">
        <f>MAX(0,M60-M59)</f>
        <v/>
      </c>
      <c r="O60" s="127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RESUMO'!BH8</f>
        <v/>
      </c>
      <c r="N61" s="128">
        <f>MAX(0,M61-M60)</f>
        <v/>
      </c>
      <c r="O61" s="127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RESUMO'!BI8</f>
        <v/>
      </c>
      <c r="N62" s="128">
        <f>MAX(0,M62-M61)</f>
        <v/>
      </c>
      <c r="O62" s="127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RESUMO'!BJ8</f>
        <v/>
      </c>
      <c r="N63" s="128">
        <f>MAX(0,M63-M62)</f>
        <v/>
      </c>
      <c r="O63" s="127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RESUMO'!BK8</f>
        <v/>
      </c>
      <c r="N64" s="128">
        <f>MAX(0,M64-M63)</f>
        <v/>
      </c>
      <c r="O64" s="127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RESUMO'!BL8</f>
        <v/>
      </c>
      <c r="N65" s="128">
        <f>MAX(0,M65-M64)</f>
        <v/>
      </c>
      <c r="O65" s="127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RESUMO'!BM8</f>
        <v/>
      </c>
      <c r="N66" s="128">
        <f>MAX(0,M66-M65)</f>
        <v/>
      </c>
      <c r="O66" s="127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RESUMO'!BN8</f>
        <v/>
      </c>
      <c r="N67" s="128">
        <f>MAX(0,M67-M66)</f>
        <v/>
      </c>
      <c r="O67" s="127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RESUMO'!BO8</f>
        <v/>
      </c>
      <c r="N68" s="128">
        <f>MAX(0,M68-M67)</f>
        <v/>
      </c>
      <c r="O68" s="127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RESUMO'!BP8</f>
        <v/>
      </c>
      <c r="N69" s="128">
        <f>MAX(0,M69-M68)</f>
        <v/>
      </c>
      <c r="O69" s="127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RESUMO'!BQ8</f>
        <v/>
      </c>
      <c r="N70" s="128">
        <f>MAX(0,M70-M69)</f>
        <v/>
      </c>
      <c r="O70" s="127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RESUMO'!BR8</f>
        <v/>
      </c>
      <c r="N71" s="128">
        <f>MAX(0,M71-M70)</f>
        <v/>
      </c>
      <c r="O71" s="127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RESUMO'!BS8</f>
        <v/>
      </c>
      <c r="N72" s="128">
        <f>MAX(0,M72-M71)</f>
        <v/>
      </c>
      <c r="O72" s="127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RESUMO'!BT8</f>
        <v/>
      </c>
      <c r="N73" s="128">
        <f>MAX(0,M73-M72)</f>
        <v/>
      </c>
      <c r="O73" s="127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RESUMO'!BU8</f>
        <v/>
      </c>
      <c r="N74" s="128">
        <f>MAX(0,M74-M73)</f>
        <v/>
      </c>
      <c r="O74" s="127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RESUMO'!BV8</f>
        <v/>
      </c>
      <c r="N75" s="128">
        <f>MAX(0,M75-M74)</f>
        <v/>
      </c>
      <c r="O75" s="127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RESUMO'!BW8</f>
        <v/>
      </c>
      <c r="N76" s="128">
        <f>MAX(0,M76-M75)</f>
        <v/>
      </c>
      <c r="O76" s="127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PL'!F15</f>
        <v/>
      </c>
      <c r="K5" s="108">
        <f>'VALOR POR PL'!G15</f>
        <v/>
      </c>
      <c r="M5" s="127">
        <f>'CP RESUMO'!D9</f>
        <v/>
      </c>
      <c r="N5" s="128" t="n">
        <v>0</v>
      </c>
      <c r="O5" s="127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RESUMO'!E9</f>
        <v/>
      </c>
      <c r="N6" s="128">
        <f>MAX(0,M6-M5)</f>
        <v/>
      </c>
      <c r="O6" s="127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PL'!L15</f>
        <v/>
      </c>
      <c r="M7" s="127">
        <f>'CP RESUMO'!F9</f>
        <v/>
      </c>
      <c r="N7" s="128">
        <f>MAX(0,M7-M6)</f>
        <v/>
      </c>
      <c r="O7" s="127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RESUMO'!G9</f>
        <v/>
      </c>
      <c r="N8" s="128">
        <f>MAX(0,M8-M7)</f>
        <v/>
      </c>
      <c r="O8" s="127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RESUMO'!H9</f>
        <v/>
      </c>
      <c r="N9" s="128">
        <f>MAX(0,M9-M8)</f>
        <v/>
      </c>
      <c r="O9" s="127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RESUMO'!I9</f>
        <v/>
      </c>
      <c r="N10" s="128">
        <f>MAX(0,M10-M9)</f>
        <v/>
      </c>
      <c r="O10" s="127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RESUMO'!J9</f>
        <v/>
      </c>
      <c r="N11" s="128">
        <f>MAX(0,M11-M10)</f>
        <v/>
      </c>
      <c r="O11" s="127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RESUMO'!K9</f>
        <v/>
      </c>
      <c r="N12" s="128">
        <f>MAX(0,M12-M11)</f>
        <v/>
      </c>
      <c r="O12" s="127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PL'!I15</f>
        <v/>
      </c>
      <c r="M13" s="127">
        <f>'CP RESUMO'!L9</f>
        <v/>
      </c>
      <c r="N13" s="128">
        <f>MAX(0,M13-M12)</f>
        <v/>
      </c>
      <c r="O13" s="127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7">
        <f>'CP RESUMO'!M9</f>
        <v/>
      </c>
      <c r="N14" s="128">
        <f>MAX(0,M14-M13)</f>
        <v/>
      </c>
      <c r="O14" s="127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RESUMO'!N9</f>
        <v/>
      </c>
      <c r="N15" s="128">
        <f>MAX(0,M15-M14)</f>
        <v/>
      </c>
      <c r="O15" s="127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RESUMO'!O9</f>
        <v/>
      </c>
      <c r="N16" s="128">
        <f>MAX(0,M16-M15)</f>
        <v/>
      </c>
      <c r="O16" s="127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RESUMO'!P9</f>
        <v/>
      </c>
      <c r="N17" s="128">
        <f>MAX(0,M17-M16)</f>
        <v/>
      </c>
      <c r="O17" s="127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RESUMO'!Q9</f>
        <v/>
      </c>
      <c r="N18" s="128">
        <f>MAX(0,M18-M17)</f>
        <v/>
      </c>
      <c r="O18" s="127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RESUMO'!R9</f>
        <v/>
      </c>
      <c r="N19" s="128">
        <f>MAX(0,M19-M18)</f>
        <v/>
      </c>
      <c r="O19" s="127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RESUMO'!S9</f>
        <v/>
      </c>
      <c r="N20" s="128">
        <f>MAX(0,M20-M19)</f>
        <v/>
      </c>
      <c r="O20" s="127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RESUMO'!T9</f>
        <v/>
      </c>
      <c r="N21" s="128">
        <f>MAX(0,M21-M20)</f>
        <v/>
      </c>
      <c r="O21" s="127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RESUMO'!U9</f>
        <v/>
      </c>
      <c r="N22" s="128">
        <f>MAX(0,M22-M21)</f>
        <v/>
      </c>
      <c r="O22" s="127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RESUMO'!V9</f>
        <v/>
      </c>
      <c r="N23" s="128">
        <f>MAX(0,M23-M22)</f>
        <v/>
      </c>
      <c r="O23" s="127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RESUMO'!W9</f>
        <v/>
      </c>
      <c r="N24" s="128">
        <f>MAX(0,M24-M23)</f>
        <v/>
      </c>
      <c r="O24" s="127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RESUMO'!X9</f>
        <v/>
      </c>
      <c r="N25" s="128">
        <f>MAX(0,M25-M24)</f>
        <v/>
      </c>
      <c r="O25" s="127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RESUMO'!Y9</f>
        <v/>
      </c>
      <c r="N26" s="128">
        <f>MAX(0,M26-M25)</f>
        <v/>
      </c>
      <c r="O26" s="127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RESUMO'!Z9</f>
        <v/>
      </c>
      <c r="N27" s="128">
        <f>MAX(0,M27-M26)</f>
        <v/>
      </c>
      <c r="O27" s="127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RESUMO'!AA9</f>
        <v/>
      </c>
      <c r="N28" s="128">
        <f>MAX(0,M28-M27)</f>
        <v/>
      </c>
      <c r="O28" s="127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RESUMO'!AB9</f>
        <v/>
      </c>
      <c r="N29" s="128">
        <f>MAX(0,M29-M28)</f>
        <v/>
      </c>
      <c r="O29" s="127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RESUMO'!AC9</f>
        <v/>
      </c>
      <c r="N30" s="128">
        <f>MAX(0,M30-M29)</f>
        <v/>
      </c>
      <c r="O30" s="127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RESUMO'!AD9</f>
        <v/>
      </c>
      <c r="N31" s="128">
        <f>MAX(0,M31-M30)</f>
        <v/>
      </c>
      <c r="O31" s="127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RESUMO'!AE9</f>
        <v/>
      </c>
      <c r="N32" s="128">
        <f>MAX(0,M32-M31)</f>
        <v/>
      </c>
      <c r="O32" s="127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RESUMO'!AF9</f>
        <v/>
      </c>
      <c r="N33" s="128">
        <f>MAX(0,M33-M32)</f>
        <v/>
      </c>
      <c r="O33" s="127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RESUMO'!AG9</f>
        <v/>
      </c>
      <c r="N34" s="128">
        <f>MAX(0,M34-M33)</f>
        <v/>
      </c>
      <c r="O34" s="127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RESUMO'!AH9</f>
        <v/>
      </c>
      <c r="N35" s="128">
        <f>MAX(0,M35-M34)</f>
        <v/>
      </c>
      <c r="O35" s="127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RESUMO'!AI9</f>
        <v/>
      </c>
      <c r="N36" s="128">
        <f>MAX(0,M36-M35)</f>
        <v/>
      </c>
      <c r="O36" s="127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RESUMO'!AJ9</f>
        <v/>
      </c>
      <c r="N37" s="128">
        <f>MAX(0,M37-M36)</f>
        <v/>
      </c>
      <c r="O37" s="127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RESUMO'!AK9</f>
        <v/>
      </c>
      <c r="N38" s="128">
        <f>MAX(0,M38-M37)</f>
        <v/>
      </c>
      <c r="O38" s="127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RESUMO'!AL9</f>
        <v/>
      </c>
      <c r="N39" s="128">
        <f>MAX(0,M39-M38)</f>
        <v/>
      </c>
      <c r="O39" s="127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RESUMO'!AM9</f>
        <v/>
      </c>
      <c r="N40" s="128">
        <f>MAX(0,M40-M39)</f>
        <v/>
      </c>
      <c r="O40" s="127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RESUMO'!AN9</f>
        <v/>
      </c>
      <c r="N41" s="128">
        <f>MAX(0,M41-M40)</f>
        <v/>
      </c>
      <c r="O41" s="127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RESUMO'!AO9</f>
        <v/>
      </c>
      <c r="N42" s="128">
        <f>MAX(0,M42-M41)</f>
        <v/>
      </c>
      <c r="O42" s="127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RESUMO'!AP9</f>
        <v/>
      </c>
      <c r="N43" s="128">
        <f>MAX(0,M43-M42)</f>
        <v/>
      </c>
      <c r="O43" s="127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RESUMO'!AQ9</f>
        <v/>
      </c>
      <c r="N44" s="128">
        <f>MAX(0,M44-M43)</f>
        <v/>
      </c>
      <c r="O44" s="127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RESUMO'!AR9</f>
        <v/>
      </c>
      <c r="N45" s="128">
        <f>MAX(0,M45-M44)</f>
        <v/>
      </c>
      <c r="O45" s="127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RESUMO'!AS9</f>
        <v/>
      </c>
      <c r="N46" s="128">
        <f>MAX(0,M46-M45)</f>
        <v/>
      </c>
      <c r="O46" s="127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RESUMO'!AT9</f>
        <v/>
      </c>
      <c r="N47" s="128">
        <f>MAX(0,M47-M46)</f>
        <v/>
      </c>
      <c r="O47" s="127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RESUMO'!AU9</f>
        <v/>
      </c>
      <c r="N48" s="128">
        <f>MAX(0,M48-M47)</f>
        <v/>
      </c>
      <c r="O48" s="127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RESUMO'!AV9</f>
        <v/>
      </c>
      <c r="N49" s="128">
        <f>MAX(0,M49-M48)</f>
        <v/>
      </c>
      <c r="O49" s="127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RESUMO'!AW9</f>
        <v/>
      </c>
      <c r="N50" s="128">
        <f>MAX(0,M50-M49)</f>
        <v/>
      </c>
      <c r="O50" s="127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RESUMO'!AX9</f>
        <v/>
      </c>
      <c r="N51" s="128">
        <f>MAX(0,M51-M50)</f>
        <v/>
      </c>
      <c r="O51" s="127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RESUMO'!AY9</f>
        <v/>
      </c>
      <c r="N52" s="128">
        <f>MAX(0,M52-M51)</f>
        <v/>
      </c>
      <c r="O52" s="127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RESUMO'!AZ9</f>
        <v/>
      </c>
      <c r="N53" s="128">
        <f>MAX(0,M53-M52)</f>
        <v/>
      </c>
      <c r="O53" s="127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RESUMO'!BA9</f>
        <v/>
      </c>
      <c r="N54" s="128">
        <f>MAX(0,M54-M53)</f>
        <v/>
      </c>
      <c r="O54" s="127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RESUMO'!BB9</f>
        <v/>
      </c>
      <c r="N55" s="128">
        <f>MAX(0,M55-M54)</f>
        <v/>
      </c>
      <c r="O55" s="127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RESUMO'!BC9</f>
        <v/>
      </c>
      <c r="N56" s="128">
        <f>MAX(0,M56-M55)</f>
        <v/>
      </c>
      <c r="O56" s="127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RESUMO'!BD9</f>
        <v/>
      </c>
      <c r="N57" s="128">
        <f>MAX(0,M57-M56)</f>
        <v/>
      </c>
      <c r="O57" s="127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RESUMO'!BE9</f>
        <v/>
      </c>
      <c r="N58" s="128">
        <f>MAX(0,M58-M57)</f>
        <v/>
      </c>
      <c r="O58" s="127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RESUMO'!BF9</f>
        <v/>
      </c>
      <c r="N59" s="128">
        <f>MAX(0,M59-M58)</f>
        <v/>
      </c>
      <c r="O59" s="127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RESUMO'!BG9</f>
        <v/>
      </c>
      <c r="N60" s="128">
        <f>MAX(0,M60-M59)</f>
        <v/>
      </c>
      <c r="O60" s="127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RESUMO'!BH9</f>
        <v/>
      </c>
      <c r="N61" s="128">
        <f>MAX(0,M61-M60)</f>
        <v/>
      </c>
      <c r="O61" s="127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RESUMO'!BI9</f>
        <v/>
      </c>
      <c r="N62" s="128">
        <f>MAX(0,M62-M61)</f>
        <v/>
      </c>
      <c r="O62" s="127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RESUMO'!BJ9</f>
        <v/>
      </c>
      <c r="N63" s="128">
        <f>MAX(0,M63-M62)</f>
        <v/>
      </c>
      <c r="O63" s="127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RESUMO'!BK9</f>
        <v/>
      </c>
      <c r="N64" s="128">
        <f>MAX(0,M64-M63)</f>
        <v/>
      </c>
      <c r="O64" s="127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RESUMO'!BL9</f>
        <v/>
      </c>
      <c r="N65" s="128">
        <f>MAX(0,M65-M64)</f>
        <v/>
      </c>
      <c r="O65" s="127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RESUMO'!BM9</f>
        <v/>
      </c>
      <c r="N66" s="128">
        <f>MAX(0,M66-M65)</f>
        <v/>
      </c>
      <c r="O66" s="127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RESUMO'!BN9</f>
        <v/>
      </c>
      <c r="N67" s="128">
        <f>MAX(0,M67-M66)</f>
        <v/>
      </c>
      <c r="O67" s="127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RESUMO'!BO9</f>
        <v/>
      </c>
      <c r="N68" s="128">
        <f>MAX(0,M68-M67)</f>
        <v/>
      </c>
      <c r="O68" s="127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RESUMO'!BP9</f>
        <v/>
      </c>
      <c r="N69" s="128">
        <f>MAX(0,M69-M68)</f>
        <v/>
      </c>
      <c r="O69" s="127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RESUMO'!BQ9</f>
        <v/>
      </c>
      <c r="N70" s="128">
        <f>MAX(0,M70-M69)</f>
        <v/>
      </c>
      <c r="O70" s="127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RESUMO'!BR9</f>
        <v/>
      </c>
      <c r="N71" s="128">
        <f>MAX(0,M71-M70)</f>
        <v/>
      </c>
      <c r="O71" s="127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RESUMO'!BS9</f>
        <v/>
      </c>
      <c r="N72" s="128">
        <f>MAX(0,M72-M71)</f>
        <v/>
      </c>
      <c r="O72" s="127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RESUMO'!BT9</f>
        <v/>
      </c>
      <c r="N73" s="128">
        <f>MAX(0,M73-M72)</f>
        <v/>
      </c>
      <c r="O73" s="127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RESUMO'!BU9</f>
        <v/>
      </c>
      <c r="N74" s="128">
        <f>MAX(0,M74-M73)</f>
        <v/>
      </c>
      <c r="O74" s="127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RESUMO'!BV9</f>
        <v/>
      </c>
      <c r="N75" s="128">
        <f>MAX(0,M75-M74)</f>
        <v/>
      </c>
      <c r="O75" s="127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RESUMO'!BW9</f>
        <v/>
      </c>
      <c r="N76" s="128">
        <f>MAX(0,M76-M75)</f>
        <v/>
      </c>
      <c r="O76" s="127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PL'!F16</f>
        <v/>
      </c>
      <c r="K5" s="108">
        <f>'VALOR POR PL'!G16</f>
        <v/>
      </c>
      <c r="M5" s="127">
        <f>'CP RESUMO'!D10</f>
        <v/>
      </c>
      <c r="N5" s="128" t="n">
        <v>0</v>
      </c>
      <c r="O5" s="127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RESUMO'!E10</f>
        <v/>
      </c>
      <c r="N6" s="128">
        <f>MAX(0,M6-M5)</f>
        <v/>
      </c>
      <c r="O6" s="127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PL'!L16</f>
        <v/>
      </c>
      <c r="M7" s="127">
        <f>'CP RESUMO'!F10</f>
        <v/>
      </c>
      <c r="N7" s="128">
        <f>MAX(0,M7-M6)</f>
        <v/>
      </c>
      <c r="O7" s="127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RESUMO'!G10</f>
        <v/>
      </c>
      <c r="N8" s="128">
        <f>MAX(0,M8-M7)</f>
        <v/>
      </c>
      <c r="O8" s="127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RESUMO'!H10</f>
        <v/>
      </c>
      <c r="N9" s="128">
        <f>MAX(0,M9-M8)</f>
        <v/>
      </c>
      <c r="O9" s="127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RESUMO'!I10</f>
        <v/>
      </c>
      <c r="N10" s="128">
        <f>MAX(0,M10-M9)</f>
        <v/>
      </c>
      <c r="O10" s="127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RESUMO'!J10</f>
        <v/>
      </c>
      <c r="N11" s="128">
        <f>MAX(0,M11-M10)</f>
        <v/>
      </c>
      <c r="O11" s="127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RESUMO'!K10</f>
        <v/>
      </c>
      <c r="N12" s="128">
        <f>MAX(0,M12-M11)</f>
        <v/>
      </c>
      <c r="O12" s="127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PL'!I16</f>
        <v/>
      </c>
      <c r="M13" s="127">
        <f>'CP RESUMO'!L10</f>
        <v/>
      </c>
      <c r="N13" s="128">
        <f>MAX(0,M13-M12)</f>
        <v/>
      </c>
      <c r="O13" s="127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7">
        <f>'CP RESUMO'!M10</f>
        <v/>
      </c>
      <c r="N14" s="128">
        <f>MAX(0,M14-M13)</f>
        <v/>
      </c>
      <c r="O14" s="127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RESUMO'!N10</f>
        <v/>
      </c>
      <c r="N15" s="128">
        <f>MAX(0,M15-M14)</f>
        <v/>
      </c>
      <c r="O15" s="127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RESUMO'!O10</f>
        <v/>
      </c>
      <c r="N16" s="128">
        <f>MAX(0,M16-M15)</f>
        <v/>
      </c>
      <c r="O16" s="127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RESUMO'!P10</f>
        <v/>
      </c>
      <c r="N17" s="128">
        <f>MAX(0,M17-M16)</f>
        <v/>
      </c>
      <c r="O17" s="127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RESUMO'!Q10</f>
        <v/>
      </c>
      <c r="N18" s="128">
        <f>MAX(0,M18-M17)</f>
        <v/>
      </c>
      <c r="O18" s="127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RESUMO'!R10</f>
        <v/>
      </c>
      <c r="N19" s="128">
        <f>MAX(0,M19-M18)</f>
        <v/>
      </c>
      <c r="O19" s="127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RESUMO'!S10</f>
        <v/>
      </c>
      <c r="N20" s="128">
        <f>MAX(0,M20-M19)</f>
        <v/>
      </c>
      <c r="O20" s="127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RESUMO'!T10</f>
        <v/>
      </c>
      <c r="N21" s="128">
        <f>MAX(0,M21-M20)</f>
        <v/>
      </c>
      <c r="O21" s="127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RESUMO'!U10</f>
        <v/>
      </c>
      <c r="N22" s="128">
        <f>MAX(0,M22-M21)</f>
        <v/>
      </c>
      <c r="O22" s="127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RESUMO'!V10</f>
        <v/>
      </c>
      <c r="N23" s="128">
        <f>MAX(0,M23-M22)</f>
        <v/>
      </c>
      <c r="O23" s="127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RESUMO'!W10</f>
        <v/>
      </c>
      <c r="N24" s="128">
        <f>MAX(0,M24-M23)</f>
        <v/>
      </c>
      <c r="O24" s="127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RESUMO'!X10</f>
        <v/>
      </c>
      <c r="N25" s="128">
        <f>MAX(0,M25-M24)</f>
        <v/>
      </c>
      <c r="O25" s="127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RESUMO'!Y10</f>
        <v/>
      </c>
      <c r="N26" s="128">
        <f>MAX(0,M26-M25)</f>
        <v/>
      </c>
      <c r="O26" s="127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RESUMO'!Z10</f>
        <v/>
      </c>
      <c r="N27" s="128">
        <f>MAX(0,M27-M26)</f>
        <v/>
      </c>
      <c r="O27" s="127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RESUMO'!AA10</f>
        <v/>
      </c>
      <c r="N28" s="128">
        <f>MAX(0,M28-M27)</f>
        <v/>
      </c>
      <c r="O28" s="127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RESUMO'!AB10</f>
        <v/>
      </c>
      <c r="N29" s="128">
        <f>MAX(0,M29-M28)</f>
        <v/>
      </c>
      <c r="O29" s="127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RESUMO'!AC10</f>
        <v/>
      </c>
      <c r="N30" s="128">
        <f>MAX(0,M30-M29)</f>
        <v/>
      </c>
      <c r="O30" s="127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RESUMO'!AD10</f>
        <v/>
      </c>
      <c r="N31" s="128">
        <f>MAX(0,M31-M30)</f>
        <v/>
      </c>
      <c r="O31" s="127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RESUMO'!AE10</f>
        <v/>
      </c>
      <c r="N32" s="128">
        <f>MAX(0,M32-M31)</f>
        <v/>
      </c>
      <c r="O32" s="127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RESUMO'!AF10</f>
        <v/>
      </c>
      <c r="N33" s="128">
        <f>MAX(0,M33-M32)</f>
        <v/>
      </c>
      <c r="O33" s="127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RESUMO'!AG10</f>
        <v/>
      </c>
      <c r="N34" s="128">
        <f>MAX(0,M34-M33)</f>
        <v/>
      </c>
      <c r="O34" s="127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RESUMO'!AH10</f>
        <v/>
      </c>
      <c r="N35" s="128">
        <f>MAX(0,M35-M34)</f>
        <v/>
      </c>
      <c r="O35" s="127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RESUMO'!AI10</f>
        <v/>
      </c>
      <c r="N36" s="128">
        <f>MAX(0,M36-M35)</f>
        <v/>
      </c>
      <c r="O36" s="127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RESUMO'!AJ10</f>
        <v/>
      </c>
      <c r="N37" s="128">
        <f>MAX(0,M37-M36)</f>
        <v/>
      </c>
      <c r="O37" s="127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RESUMO'!AK10</f>
        <v/>
      </c>
      <c r="N38" s="128">
        <f>MAX(0,M38-M37)</f>
        <v/>
      </c>
      <c r="O38" s="127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RESUMO'!AL10</f>
        <v/>
      </c>
      <c r="N39" s="128">
        <f>MAX(0,M39-M38)</f>
        <v/>
      </c>
      <c r="O39" s="127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RESUMO'!AM10</f>
        <v/>
      </c>
      <c r="N40" s="128">
        <f>MAX(0,M40-M39)</f>
        <v/>
      </c>
      <c r="O40" s="127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RESUMO'!AN10</f>
        <v/>
      </c>
      <c r="N41" s="128">
        <f>MAX(0,M41-M40)</f>
        <v/>
      </c>
      <c r="O41" s="127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RESUMO'!AO10</f>
        <v/>
      </c>
      <c r="N42" s="128">
        <f>MAX(0,M42-M41)</f>
        <v/>
      </c>
      <c r="O42" s="127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RESUMO'!AP10</f>
        <v/>
      </c>
      <c r="N43" s="128">
        <f>MAX(0,M43-M42)</f>
        <v/>
      </c>
      <c r="O43" s="127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RESUMO'!AQ10</f>
        <v/>
      </c>
      <c r="N44" s="128">
        <f>MAX(0,M44-M43)</f>
        <v/>
      </c>
      <c r="O44" s="127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RESUMO'!AR10</f>
        <v/>
      </c>
      <c r="N45" s="128">
        <f>MAX(0,M45-M44)</f>
        <v/>
      </c>
      <c r="O45" s="127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RESUMO'!AS10</f>
        <v/>
      </c>
      <c r="N46" s="128">
        <f>MAX(0,M46-M45)</f>
        <v/>
      </c>
      <c r="O46" s="127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RESUMO'!AT10</f>
        <v/>
      </c>
      <c r="N47" s="128">
        <f>MAX(0,M47-M46)</f>
        <v/>
      </c>
      <c r="O47" s="127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RESUMO'!AU10</f>
        <v/>
      </c>
      <c r="N48" s="128">
        <f>MAX(0,M48-M47)</f>
        <v/>
      </c>
      <c r="O48" s="127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RESUMO'!AV10</f>
        <v/>
      </c>
      <c r="N49" s="128">
        <f>MAX(0,M49-M48)</f>
        <v/>
      </c>
      <c r="O49" s="127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RESUMO'!AW10</f>
        <v/>
      </c>
      <c r="N50" s="128">
        <f>MAX(0,M50-M49)</f>
        <v/>
      </c>
      <c r="O50" s="127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RESUMO'!AX10</f>
        <v/>
      </c>
      <c r="N51" s="128">
        <f>MAX(0,M51-M50)</f>
        <v/>
      </c>
      <c r="O51" s="127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RESUMO'!AY10</f>
        <v/>
      </c>
      <c r="N52" s="128">
        <f>MAX(0,M52-M51)</f>
        <v/>
      </c>
      <c r="O52" s="127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RESUMO'!AZ10</f>
        <v/>
      </c>
      <c r="N53" s="128">
        <f>MAX(0,M53-M52)</f>
        <v/>
      </c>
      <c r="O53" s="127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RESUMO'!BA10</f>
        <v/>
      </c>
      <c r="N54" s="128">
        <f>MAX(0,M54-M53)</f>
        <v/>
      </c>
      <c r="O54" s="127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RESUMO'!BB10</f>
        <v/>
      </c>
      <c r="N55" s="128">
        <f>MAX(0,M55-M54)</f>
        <v/>
      </c>
      <c r="O55" s="127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RESUMO'!BC10</f>
        <v/>
      </c>
      <c r="N56" s="128">
        <f>MAX(0,M56-M55)</f>
        <v/>
      </c>
      <c r="O56" s="127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RESUMO'!BD10</f>
        <v/>
      </c>
      <c r="N57" s="128">
        <f>MAX(0,M57-M56)</f>
        <v/>
      </c>
      <c r="O57" s="127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RESUMO'!BE10</f>
        <v/>
      </c>
      <c r="N58" s="128">
        <f>MAX(0,M58-M57)</f>
        <v/>
      </c>
      <c r="O58" s="127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RESUMO'!BF10</f>
        <v/>
      </c>
      <c r="N59" s="128">
        <f>MAX(0,M59-M58)</f>
        <v/>
      </c>
      <c r="O59" s="127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RESUMO'!BG10</f>
        <v/>
      </c>
      <c r="N60" s="128">
        <f>MAX(0,M60-M59)</f>
        <v/>
      </c>
      <c r="O60" s="127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RESUMO'!BH10</f>
        <v/>
      </c>
      <c r="N61" s="128">
        <f>MAX(0,M61-M60)</f>
        <v/>
      </c>
      <c r="O61" s="127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RESUMO'!BI10</f>
        <v/>
      </c>
      <c r="N62" s="128">
        <f>MAX(0,M62-M61)</f>
        <v/>
      </c>
      <c r="O62" s="127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RESUMO'!BJ10</f>
        <v/>
      </c>
      <c r="N63" s="128">
        <f>MAX(0,M63-M62)</f>
        <v/>
      </c>
      <c r="O63" s="127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RESUMO'!BK10</f>
        <v/>
      </c>
      <c r="N64" s="128">
        <f>MAX(0,M64-M63)</f>
        <v/>
      </c>
      <c r="O64" s="127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RESUMO'!BL10</f>
        <v/>
      </c>
      <c r="N65" s="128">
        <f>MAX(0,M65-M64)</f>
        <v/>
      </c>
      <c r="O65" s="127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RESUMO'!BM10</f>
        <v/>
      </c>
      <c r="N66" s="128">
        <f>MAX(0,M66-M65)</f>
        <v/>
      </c>
      <c r="O66" s="127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RESUMO'!BN10</f>
        <v/>
      </c>
      <c r="N67" s="128">
        <f>MAX(0,M67-M66)</f>
        <v/>
      </c>
      <c r="O67" s="127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RESUMO'!BO10</f>
        <v/>
      </c>
      <c r="N68" s="128">
        <f>MAX(0,M68-M67)</f>
        <v/>
      </c>
      <c r="O68" s="127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RESUMO'!BP10</f>
        <v/>
      </c>
      <c r="N69" s="128">
        <f>MAX(0,M69-M68)</f>
        <v/>
      </c>
      <c r="O69" s="127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RESUMO'!BQ10</f>
        <v/>
      </c>
      <c r="N70" s="128">
        <f>MAX(0,M70-M69)</f>
        <v/>
      </c>
      <c r="O70" s="127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RESUMO'!BR10</f>
        <v/>
      </c>
      <c r="N71" s="128">
        <f>MAX(0,M71-M70)</f>
        <v/>
      </c>
      <c r="O71" s="127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RESUMO'!BS10</f>
        <v/>
      </c>
      <c r="N72" s="128">
        <f>MAX(0,M72-M71)</f>
        <v/>
      </c>
      <c r="O72" s="127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RESUMO'!BT10</f>
        <v/>
      </c>
      <c r="N73" s="128">
        <f>MAX(0,M73-M72)</f>
        <v/>
      </c>
      <c r="O73" s="127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RESUMO'!BU10</f>
        <v/>
      </c>
      <c r="N74" s="128">
        <f>MAX(0,M74-M73)</f>
        <v/>
      </c>
      <c r="O74" s="127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RESUMO'!BV10</f>
        <v/>
      </c>
      <c r="N75" s="128">
        <f>MAX(0,M75-M74)</f>
        <v/>
      </c>
      <c r="O75" s="127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RESUMO'!BW10</f>
        <v/>
      </c>
      <c r="N76" s="128">
        <f>MAX(0,M76-M75)</f>
        <v/>
      </c>
      <c r="O76" s="127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PL'!F17</f>
        <v/>
      </c>
      <c r="K5" s="108">
        <f>'VALOR POR PL'!G17</f>
        <v/>
      </c>
      <c r="M5" s="127">
        <f>'CP RESUMO'!D11</f>
        <v/>
      </c>
      <c r="N5" s="128" t="n">
        <v>0</v>
      </c>
      <c r="O5" s="127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RESUMO'!E11</f>
        <v/>
      </c>
      <c r="N6" s="128">
        <f>MAX(0,M6-M5)</f>
        <v/>
      </c>
      <c r="O6" s="127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PL'!L17</f>
        <v/>
      </c>
      <c r="M7" s="127">
        <f>'CP RESUMO'!F11</f>
        <v/>
      </c>
      <c r="N7" s="128">
        <f>MAX(0,M7-M6)</f>
        <v/>
      </c>
      <c r="O7" s="127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RESUMO'!G11</f>
        <v/>
      </c>
      <c r="N8" s="128">
        <f>MAX(0,M8-M7)</f>
        <v/>
      </c>
      <c r="O8" s="127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RESUMO'!H11</f>
        <v/>
      </c>
      <c r="N9" s="128">
        <f>MAX(0,M9-M8)</f>
        <v/>
      </c>
      <c r="O9" s="127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RESUMO'!I11</f>
        <v/>
      </c>
      <c r="N10" s="128">
        <f>MAX(0,M10-M9)</f>
        <v/>
      </c>
      <c r="O10" s="127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RESUMO'!J11</f>
        <v/>
      </c>
      <c r="N11" s="128">
        <f>MAX(0,M11-M10)</f>
        <v/>
      </c>
      <c r="O11" s="127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RESUMO'!K11</f>
        <v/>
      </c>
      <c r="N12" s="128">
        <f>MAX(0,M12-M11)</f>
        <v/>
      </c>
      <c r="O12" s="127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PL'!I17</f>
        <v/>
      </c>
      <c r="M13" s="127">
        <f>'CP RESUMO'!L11</f>
        <v/>
      </c>
      <c r="N13" s="128">
        <f>MAX(0,M13-M12)</f>
        <v/>
      </c>
      <c r="O13" s="127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7">
        <f>'CP RESUMO'!M11</f>
        <v/>
      </c>
      <c r="N14" s="128">
        <f>MAX(0,M14-M13)</f>
        <v/>
      </c>
      <c r="O14" s="127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RESUMO'!N11</f>
        <v/>
      </c>
      <c r="N15" s="128">
        <f>MAX(0,M15-M14)</f>
        <v/>
      </c>
      <c r="O15" s="127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RESUMO'!O11</f>
        <v/>
      </c>
      <c r="N16" s="128">
        <f>MAX(0,M16-M15)</f>
        <v/>
      </c>
      <c r="O16" s="127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RESUMO'!P11</f>
        <v/>
      </c>
      <c r="N17" s="128">
        <f>MAX(0,M17-M16)</f>
        <v/>
      </c>
      <c r="O17" s="127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RESUMO'!Q11</f>
        <v/>
      </c>
      <c r="N18" s="128">
        <f>MAX(0,M18-M17)</f>
        <v/>
      </c>
      <c r="O18" s="127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RESUMO'!R11</f>
        <v/>
      </c>
      <c r="N19" s="128">
        <f>MAX(0,M19-M18)</f>
        <v/>
      </c>
      <c r="O19" s="127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RESUMO'!S11</f>
        <v/>
      </c>
      <c r="N20" s="128">
        <f>MAX(0,M20-M19)</f>
        <v/>
      </c>
      <c r="O20" s="127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RESUMO'!T11</f>
        <v/>
      </c>
      <c r="N21" s="128">
        <f>MAX(0,M21-M20)</f>
        <v/>
      </c>
      <c r="O21" s="127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RESUMO'!U11</f>
        <v/>
      </c>
      <c r="N22" s="128">
        <f>MAX(0,M22-M21)</f>
        <v/>
      </c>
      <c r="O22" s="127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RESUMO'!V11</f>
        <v/>
      </c>
      <c r="N23" s="128">
        <f>MAX(0,M23-M22)</f>
        <v/>
      </c>
      <c r="O23" s="127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RESUMO'!W11</f>
        <v/>
      </c>
      <c r="N24" s="128">
        <f>MAX(0,M24-M23)</f>
        <v/>
      </c>
      <c r="O24" s="127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RESUMO'!X11</f>
        <v/>
      </c>
      <c r="N25" s="128">
        <f>MAX(0,M25-M24)</f>
        <v/>
      </c>
      <c r="O25" s="127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RESUMO'!Y11</f>
        <v/>
      </c>
      <c r="N26" s="128">
        <f>MAX(0,M26-M25)</f>
        <v/>
      </c>
      <c r="O26" s="127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RESUMO'!Z11</f>
        <v/>
      </c>
      <c r="N27" s="128">
        <f>MAX(0,M27-M26)</f>
        <v/>
      </c>
      <c r="O27" s="127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RESUMO'!AA11</f>
        <v/>
      </c>
      <c r="N28" s="128">
        <f>MAX(0,M28-M27)</f>
        <v/>
      </c>
      <c r="O28" s="127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RESUMO'!AB11</f>
        <v/>
      </c>
      <c r="N29" s="128">
        <f>MAX(0,M29-M28)</f>
        <v/>
      </c>
      <c r="O29" s="127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RESUMO'!AC11</f>
        <v/>
      </c>
      <c r="N30" s="128">
        <f>MAX(0,M30-M29)</f>
        <v/>
      </c>
      <c r="O30" s="127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RESUMO'!AD11</f>
        <v/>
      </c>
      <c r="N31" s="128">
        <f>MAX(0,M31-M30)</f>
        <v/>
      </c>
      <c r="O31" s="127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RESUMO'!AE11</f>
        <v/>
      </c>
      <c r="N32" s="128">
        <f>MAX(0,M32-M31)</f>
        <v/>
      </c>
      <c r="O32" s="127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RESUMO'!AF11</f>
        <v/>
      </c>
      <c r="N33" s="128">
        <f>MAX(0,M33-M32)</f>
        <v/>
      </c>
      <c r="O33" s="127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RESUMO'!AG11</f>
        <v/>
      </c>
      <c r="N34" s="128">
        <f>MAX(0,M34-M33)</f>
        <v/>
      </c>
      <c r="O34" s="127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RESUMO'!AH11</f>
        <v/>
      </c>
      <c r="N35" s="128">
        <f>MAX(0,M35-M34)</f>
        <v/>
      </c>
      <c r="O35" s="127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RESUMO'!AI11</f>
        <v/>
      </c>
      <c r="N36" s="128">
        <f>MAX(0,M36-M35)</f>
        <v/>
      </c>
      <c r="O36" s="127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RESUMO'!AJ11</f>
        <v/>
      </c>
      <c r="N37" s="128">
        <f>MAX(0,M37-M36)</f>
        <v/>
      </c>
      <c r="O37" s="127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RESUMO'!AK11</f>
        <v/>
      </c>
      <c r="N38" s="128">
        <f>MAX(0,M38-M37)</f>
        <v/>
      </c>
      <c r="O38" s="127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RESUMO'!AL11</f>
        <v/>
      </c>
      <c r="N39" s="128">
        <f>MAX(0,M39-M38)</f>
        <v/>
      </c>
      <c r="O39" s="127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RESUMO'!AM11</f>
        <v/>
      </c>
      <c r="N40" s="128">
        <f>MAX(0,M40-M39)</f>
        <v/>
      </c>
      <c r="O40" s="127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RESUMO'!AN11</f>
        <v/>
      </c>
      <c r="N41" s="128">
        <f>MAX(0,M41-M40)</f>
        <v/>
      </c>
      <c r="O41" s="127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RESUMO'!AO11</f>
        <v/>
      </c>
      <c r="N42" s="128">
        <f>MAX(0,M42-M41)</f>
        <v/>
      </c>
      <c r="O42" s="127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RESUMO'!AP11</f>
        <v/>
      </c>
      <c r="N43" s="128">
        <f>MAX(0,M43-M42)</f>
        <v/>
      </c>
      <c r="O43" s="127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RESUMO'!AQ11</f>
        <v/>
      </c>
      <c r="N44" s="128">
        <f>MAX(0,M44-M43)</f>
        <v/>
      </c>
      <c r="O44" s="127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RESUMO'!AR11</f>
        <v/>
      </c>
      <c r="N45" s="128">
        <f>MAX(0,M45-M44)</f>
        <v/>
      </c>
      <c r="O45" s="127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RESUMO'!AS11</f>
        <v/>
      </c>
      <c r="N46" s="128">
        <f>MAX(0,M46-M45)</f>
        <v/>
      </c>
      <c r="O46" s="127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RESUMO'!AT11</f>
        <v/>
      </c>
      <c r="N47" s="128">
        <f>MAX(0,M47-M46)</f>
        <v/>
      </c>
      <c r="O47" s="127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RESUMO'!AU11</f>
        <v/>
      </c>
      <c r="N48" s="128">
        <f>MAX(0,M48-M47)</f>
        <v/>
      </c>
      <c r="O48" s="127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RESUMO'!AV11</f>
        <v/>
      </c>
      <c r="N49" s="128">
        <f>MAX(0,M49-M48)</f>
        <v/>
      </c>
      <c r="O49" s="127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RESUMO'!AW11</f>
        <v/>
      </c>
      <c r="N50" s="128">
        <f>MAX(0,M50-M49)</f>
        <v/>
      </c>
      <c r="O50" s="127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RESUMO'!AX11</f>
        <v/>
      </c>
      <c r="N51" s="128">
        <f>MAX(0,M51-M50)</f>
        <v/>
      </c>
      <c r="O51" s="127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RESUMO'!AY11</f>
        <v/>
      </c>
      <c r="N52" s="128">
        <f>MAX(0,M52-M51)</f>
        <v/>
      </c>
      <c r="O52" s="127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RESUMO'!AZ11</f>
        <v/>
      </c>
      <c r="N53" s="128">
        <f>MAX(0,M53-M52)</f>
        <v/>
      </c>
      <c r="O53" s="127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RESUMO'!BA11</f>
        <v/>
      </c>
      <c r="N54" s="128">
        <f>MAX(0,M54-M53)</f>
        <v/>
      </c>
      <c r="O54" s="127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RESUMO'!BB11</f>
        <v/>
      </c>
      <c r="N55" s="128">
        <f>MAX(0,M55-M54)</f>
        <v/>
      </c>
      <c r="O55" s="127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RESUMO'!BC11</f>
        <v/>
      </c>
      <c r="N56" s="128">
        <f>MAX(0,M56-M55)</f>
        <v/>
      </c>
      <c r="O56" s="127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RESUMO'!BD11</f>
        <v/>
      </c>
      <c r="N57" s="128">
        <f>MAX(0,M57-M56)</f>
        <v/>
      </c>
      <c r="O57" s="127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RESUMO'!BE11</f>
        <v/>
      </c>
      <c r="N58" s="128">
        <f>MAX(0,M58-M57)</f>
        <v/>
      </c>
      <c r="O58" s="127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RESUMO'!BF11</f>
        <v/>
      </c>
      <c r="N59" s="128">
        <f>MAX(0,M59-M58)</f>
        <v/>
      </c>
      <c r="O59" s="127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RESUMO'!BG11</f>
        <v/>
      </c>
      <c r="N60" s="128">
        <f>MAX(0,M60-M59)</f>
        <v/>
      </c>
      <c r="O60" s="127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RESUMO'!BH11</f>
        <v/>
      </c>
      <c r="N61" s="128">
        <f>MAX(0,M61-M60)</f>
        <v/>
      </c>
      <c r="O61" s="127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RESUMO'!BI11</f>
        <v/>
      </c>
      <c r="N62" s="128">
        <f>MAX(0,M62-M61)</f>
        <v/>
      </c>
      <c r="O62" s="127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RESUMO'!BJ11</f>
        <v/>
      </c>
      <c r="N63" s="128">
        <f>MAX(0,M63-M62)</f>
        <v/>
      </c>
      <c r="O63" s="127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RESUMO'!BK11</f>
        <v/>
      </c>
      <c r="N64" s="128">
        <f>MAX(0,M64-M63)</f>
        <v/>
      </c>
      <c r="O64" s="127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RESUMO'!BL11</f>
        <v/>
      </c>
      <c r="N65" s="128">
        <f>MAX(0,M65-M64)</f>
        <v/>
      </c>
      <c r="O65" s="127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RESUMO'!BM11</f>
        <v/>
      </c>
      <c r="N66" s="128">
        <f>MAX(0,M66-M65)</f>
        <v/>
      </c>
      <c r="O66" s="127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RESUMO'!BN11</f>
        <v/>
      </c>
      <c r="N67" s="128">
        <f>MAX(0,M67-M66)</f>
        <v/>
      </c>
      <c r="O67" s="127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RESUMO'!BO11</f>
        <v/>
      </c>
      <c r="N68" s="128">
        <f>MAX(0,M68-M67)</f>
        <v/>
      </c>
      <c r="O68" s="127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RESUMO'!BP11</f>
        <v/>
      </c>
      <c r="N69" s="128">
        <f>MAX(0,M69-M68)</f>
        <v/>
      </c>
      <c r="O69" s="127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RESUMO'!BQ11</f>
        <v/>
      </c>
      <c r="N70" s="128">
        <f>MAX(0,M70-M69)</f>
        <v/>
      </c>
      <c r="O70" s="127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RESUMO'!BR11</f>
        <v/>
      </c>
      <c r="N71" s="128">
        <f>MAX(0,M71-M70)</f>
        <v/>
      </c>
      <c r="O71" s="127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RESUMO'!BS11</f>
        <v/>
      </c>
      <c r="N72" s="128">
        <f>MAX(0,M72-M71)</f>
        <v/>
      </c>
      <c r="O72" s="127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RESUMO'!BT11</f>
        <v/>
      </c>
      <c r="N73" s="128">
        <f>MAX(0,M73-M72)</f>
        <v/>
      </c>
      <c r="O73" s="127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RESUMO'!BU11</f>
        <v/>
      </c>
      <c r="N74" s="128">
        <f>MAX(0,M74-M73)</f>
        <v/>
      </c>
      <c r="O74" s="127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RESUMO'!BV11</f>
        <v/>
      </c>
      <c r="N75" s="128">
        <f>MAX(0,M75-M74)</f>
        <v/>
      </c>
      <c r="O75" s="127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RESUMO'!BW11</f>
        <v/>
      </c>
      <c r="N76" s="128">
        <f>MAX(0,M76-M75)</f>
        <v/>
      </c>
      <c r="O76" s="127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PL'!F18</f>
        <v/>
      </c>
      <c r="K5" s="108">
        <f>'VALOR POR PL'!G18</f>
        <v/>
      </c>
      <c r="M5" s="127">
        <f>'CP RESUMO'!D12</f>
        <v/>
      </c>
      <c r="N5" s="128" t="n">
        <v>0</v>
      </c>
      <c r="O5" s="127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RESUMO'!E12</f>
        <v/>
      </c>
      <c r="N6" s="128">
        <f>MAX(0,M6-M5)</f>
        <v/>
      </c>
      <c r="O6" s="127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PL'!L18</f>
        <v/>
      </c>
      <c r="M7" s="127">
        <f>'CP RESUMO'!F12</f>
        <v/>
      </c>
      <c r="N7" s="128">
        <f>MAX(0,M7-M6)</f>
        <v/>
      </c>
      <c r="O7" s="127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RESUMO'!G12</f>
        <v/>
      </c>
      <c r="N8" s="128">
        <f>MAX(0,M8-M7)</f>
        <v/>
      </c>
      <c r="O8" s="127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RESUMO'!H12</f>
        <v/>
      </c>
      <c r="N9" s="128">
        <f>MAX(0,M9-M8)</f>
        <v/>
      </c>
      <c r="O9" s="127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RESUMO'!I12</f>
        <v/>
      </c>
      <c r="N10" s="128">
        <f>MAX(0,M10-M9)</f>
        <v/>
      </c>
      <c r="O10" s="127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RESUMO'!J12</f>
        <v/>
      </c>
      <c r="N11" s="128">
        <f>MAX(0,M11-M10)</f>
        <v/>
      </c>
      <c r="O11" s="127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RESUMO'!K12</f>
        <v/>
      </c>
      <c r="N12" s="128">
        <f>MAX(0,M12-M11)</f>
        <v/>
      </c>
      <c r="O12" s="127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PL'!I18</f>
        <v/>
      </c>
      <c r="M13" s="127">
        <f>'CP RESUMO'!L12</f>
        <v/>
      </c>
      <c r="N13" s="128">
        <f>MAX(0,M13-M12)</f>
        <v/>
      </c>
      <c r="O13" s="127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7">
        <f>'CP RESUMO'!M12</f>
        <v/>
      </c>
      <c r="N14" s="128">
        <f>MAX(0,M14-M13)</f>
        <v/>
      </c>
      <c r="O14" s="127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RESUMO'!N12</f>
        <v/>
      </c>
      <c r="N15" s="128">
        <f>MAX(0,M15-M14)</f>
        <v/>
      </c>
      <c r="O15" s="127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RESUMO'!O12</f>
        <v/>
      </c>
      <c r="N16" s="128">
        <f>MAX(0,M16-M15)</f>
        <v/>
      </c>
      <c r="O16" s="127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RESUMO'!P12</f>
        <v/>
      </c>
      <c r="N17" s="128">
        <f>MAX(0,M17-M16)</f>
        <v/>
      </c>
      <c r="O17" s="127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RESUMO'!Q12</f>
        <v/>
      </c>
      <c r="N18" s="128">
        <f>MAX(0,M18-M17)</f>
        <v/>
      </c>
      <c r="O18" s="127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RESUMO'!R12</f>
        <v/>
      </c>
      <c r="N19" s="128">
        <f>MAX(0,M19-M18)</f>
        <v/>
      </c>
      <c r="O19" s="127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RESUMO'!S12</f>
        <v/>
      </c>
      <c r="N20" s="128">
        <f>MAX(0,M20-M19)</f>
        <v/>
      </c>
      <c r="O20" s="127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RESUMO'!T12</f>
        <v/>
      </c>
      <c r="N21" s="128">
        <f>MAX(0,M21-M20)</f>
        <v/>
      </c>
      <c r="O21" s="127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RESUMO'!U12</f>
        <v/>
      </c>
      <c r="N22" s="128">
        <f>MAX(0,M22-M21)</f>
        <v/>
      </c>
      <c r="O22" s="127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RESUMO'!V12</f>
        <v/>
      </c>
      <c r="N23" s="128">
        <f>MAX(0,M23-M22)</f>
        <v/>
      </c>
      <c r="O23" s="127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RESUMO'!W12</f>
        <v/>
      </c>
      <c r="N24" s="128">
        <f>MAX(0,M24-M23)</f>
        <v/>
      </c>
      <c r="O24" s="127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RESUMO'!X12</f>
        <v/>
      </c>
      <c r="N25" s="128">
        <f>MAX(0,M25-M24)</f>
        <v/>
      </c>
      <c r="O25" s="127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RESUMO'!Y12</f>
        <v/>
      </c>
      <c r="N26" s="128">
        <f>MAX(0,M26-M25)</f>
        <v/>
      </c>
      <c r="O26" s="127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RESUMO'!Z12</f>
        <v/>
      </c>
      <c r="N27" s="128">
        <f>MAX(0,M27-M26)</f>
        <v/>
      </c>
      <c r="O27" s="127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RESUMO'!AA12</f>
        <v/>
      </c>
      <c r="N28" s="128">
        <f>MAX(0,M28-M27)</f>
        <v/>
      </c>
      <c r="O28" s="127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RESUMO'!AB12</f>
        <v/>
      </c>
      <c r="N29" s="128">
        <f>MAX(0,M29-M28)</f>
        <v/>
      </c>
      <c r="O29" s="127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RESUMO'!AC12</f>
        <v/>
      </c>
      <c r="N30" s="128">
        <f>MAX(0,M30-M29)</f>
        <v/>
      </c>
      <c r="O30" s="127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RESUMO'!AD12</f>
        <v/>
      </c>
      <c r="N31" s="128">
        <f>MAX(0,M31-M30)</f>
        <v/>
      </c>
      <c r="O31" s="127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RESUMO'!AE12</f>
        <v/>
      </c>
      <c r="N32" s="128">
        <f>MAX(0,M32-M31)</f>
        <v/>
      </c>
      <c r="O32" s="127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RESUMO'!AF12</f>
        <v/>
      </c>
      <c r="N33" s="128">
        <f>MAX(0,M33-M32)</f>
        <v/>
      </c>
      <c r="O33" s="127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RESUMO'!AG12</f>
        <v/>
      </c>
      <c r="N34" s="128">
        <f>MAX(0,M34-M33)</f>
        <v/>
      </c>
      <c r="O34" s="127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RESUMO'!AH12</f>
        <v/>
      </c>
      <c r="N35" s="128">
        <f>MAX(0,M35-M34)</f>
        <v/>
      </c>
      <c r="O35" s="127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RESUMO'!AI12</f>
        <v/>
      </c>
      <c r="N36" s="128">
        <f>MAX(0,M36-M35)</f>
        <v/>
      </c>
      <c r="O36" s="127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RESUMO'!AJ12</f>
        <v/>
      </c>
      <c r="N37" s="128">
        <f>MAX(0,M37-M36)</f>
        <v/>
      </c>
      <c r="O37" s="127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RESUMO'!AK12</f>
        <v/>
      </c>
      <c r="N38" s="128">
        <f>MAX(0,M38-M37)</f>
        <v/>
      </c>
      <c r="O38" s="127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RESUMO'!AL12</f>
        <v/>
      </c>
      <c r="N39" s="128">
        <f>MAX(0,M39-M38)</f>
        <v/>
      </c>
      <c r="O39" s="127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RESUMO'!AM12</f>
        <v/>
      </c>
      <c r="N40" s="128">
        <f>MAX(0,M40-M39)</f>
        <v/>
      </c>
      <c r="O40" s="127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RESUMO'!AN12</f>
        <v/>
      </c>
      <c r="N41" s="128">
        <f>MAX(0,M41-M40)</f>
        <v/>
      </c>
      <c r="O41" s="127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RESUMO'!AO12</f>
        <v/>
      </c>
      <c r="N42" s="128">
        <f>MAX(0,M42-M41)</f>
        <v/>
      </c>
      <c r="O42" s="127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RESUMO'!AP12</f>
        <v/>
      </c>
      <c r="N43" s="128">
        <f>MAX(0,M43-M42)</f>
        <v/>
      </c>
      <c r="O43" s="127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RESUMO'!AQ12</f>
        <v/>
      </c>
      <c r="N44" s="128">
        <f>MAX(0,M44-M43)</f>
        <v/>
      </c>
      <c r="O44" s="127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RESUMO'!AR12</f>
        <v/>
      </c>
      <c r="N45" s="128">
        <f>MAX(0,M45-M44)</f>
        <v/>
      </c>
      <c r="O45" s="127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RESUMO'!AS12</f>
        <v/>
      </c>
      <c r="N46" s="128">
        <f>MAX(0,M46-M45)</f>
        <v/>
      </c>
      <c r="O46" s="127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RESUMO'!AT12</f>
        <v/>
      </c>
      <c r="N47" s="128">
        <f>MAX(0,M47-M46)</f>
        <v/>
      </c>
      <c r="O47" s="127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RESUMO'!AU12</f>
        <v/>
      </c>
      <c r="N48" s="128">
        <f>MAX(0,M48-M47)</f>
        <v/>
      </c>
      <c r="O48" s="127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RESUMO'!AV12</f>
        <v/>
      </c>
      <c r="N49" s="128">
        <f>MAX(0,M49-M48)</f>
        <v/>
      </c>
      <c r="O49" s="127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RESUMO'!AW12</f>
        <v/>
      </c>
      <c r="N50" s="128">
        <f>MAX(0,M50-M49)</f>
        <v/>
      </c>
      <c r="O50" s="127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RESUMO'!AX12</f>
        <v/>
      </c>
      <c r="N51" s="128">
        <f>MAX(0,M51-M50)</f>
        <v/>
      </c>
      <c r="O51" s="127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RESUMO'!AY12</f>
        <v/>
      </c>
      <c r="N52" s="128">
        <f>MAX(0,M52-M51)</f>
        <v/>
      </c>
      <c r="O52" s="127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RESUMO'!AZ12</f>
        <v/>
      </c>
      <c r="N53" s="128">
        <f>MAX(0,M53-M52)</f>
        <v/>
      </c>
      <c r="O53" s="127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RESUMO'!BA12</f>
        <v/>
      </c>
      <c r="N54" s="128">
        <f>MAX(0,M54-M53)</f>
        <v/>
      </c>
      <c r="O54" s="127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RESUMO'!BB12</f>
        <v/>
      </c>
      <c r="N55" s="128">
        <f>MAX(0,M55-M54)</f>
        <v/>
      </c>
      <c r="O55" s="127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RESUMO'!BC12</f>
        <v/>
      </c>
      <c r="N56" s="128">
        <f>MAX(0,M56-M55)</f>
        <v/>
      </c>
      <c r="O56" s="127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RESUMO'!BD12</f>
        <v/>
      </c>
      <c r="N57" s="128">
        <f>MAX(0,M57-M56)</f>
        <v/>
      </c>
      <c r="O57" s="127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RESUMO'!BE12</f>
        <v/>
      </c>
      <c r="N58" s="128">
        <f>MAX(0,M58-M57)</f>
        <v/>
      </c>
      <c r="O58" s="127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RESUMO'!BF12</f>
        <v/>
      </c>
      <c r="N59" s="128">
        <f>MAX(0,M59-M58)</f>
        <v/>
      </c>
      <c r="O59" s="127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RESUMO'!BG12</f>
        <v/>
      </c>
      <c r="N60" s="128">
        <f>MAX(0,M60-M59)</f>
        <v/>
      </c>
      <c r="O60" s="127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RESUMO'!BH12</f>
        <v/>
      </c>
      <c r="N61" s="128">
        <f>MAX(0,M61-M60)</f>
        <v/>
      </c>
      <c r="O61" s="127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RESUMO'!BI12</f>
        <v/>
      </c>
      <c r="N62" s="128">
        <f>MAX(0,M62-M61)</f>
        <v/>
      </c>
      <c r="O62" s="127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RESUMO'!BJ12</f>
        <v/>
      </c>
      <c r="N63" s="128">
        <f>MAX(0,M63-M62)</f>
        <v/>
      </c>
      <c r="O63" s="127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RESUMO'!BK12</f>
        <v/>
      </c>
      <c r="N64" s="128">
        <f>MAX(0,M64-M63)</f>
        <v/>
      </c>
      <c r="O64" s="127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RESUMO'!BL12</f>
        <v/>
      </c>
      <c r="N65" s="128">
        <f>MAX(0,M65-M64)</f>
        <v/>
      </c>
      <c r="O65" s="127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RESUMO'!BM12</f>
        <v/>
      </c>
      <c r="N66" s="128">
        <f>MAX(0,M66-M65)</f>
        <v/>
      </c>
      <c r="O66" s="127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RESUMO'!BN12</f>
        <v/>
      </c>
      <c r="N67" s="128">
        <f>MAX(0,M67-M66)</f>
        <v/>
      </c>
      <c r="O67" s="127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RESUMO'!BO12</f>
        <v/>
      </c>
      <c r="N68" s="128">
        <f>MAX(0,M68-M67)</f>
        <v/>
      </c>
      <c r="O68" s="127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RESUMO'!BP12</f>
        <v/>
      </c>
      <c r="N69" s="128">
        <f>MAX(0,M69-M68)</f>
        <v/>
      </c>
      <c r="O69" s="127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RESUMO'!BQ12</f>
        <v/>
      </c>
      <c r="N70" s="128">
        <f>MAX(0,M70-M69)</f>
        <v/>
      </c>
      <c r="O70" s="127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RESUMO'!BR12</f>
        <v/>
      </c>
      <c r="N71" s="128">
        <f>MAX(0,M71-M70)</f>
        <v/>
      </c>
      <c r="O71" s="127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RESUMO'!BS12</f>
        <v/>
      </c>
      <c r="N72" s="128">
        <f>MAX(0,M72-M71)</f>
        <v/>
      </c>
      <c r="O72" s="127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RESUMO'!BT12</f>
        <v/>
      </c>
      <c r="N73" s="128">
        <f>MAX(0,M73-M72)</f>
        <v/>
      </c>
      <c r="O73" s="127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RESUMO'!BU12</f>
        <v/>
      </c>
      <c r="N74" s="128">
        <f>MAX(0,M74-M73)</f>
        <v/>
      </c>
      <c r="O74" s="127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RESUMO'!BV12</f>
        <v/>
      </c>
      <c r="N75" s="128">
        <f>MAX(0,M75-M74)</f>
        <v/>
      </c>
      <c r="O75" s="127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RESUMO'!BW12</f>
        <v/>
      </c>
      <c r="N76" s="128">
        <f>MAX(0,M76-M75)</f>
        <v/>
      </c>
      <c r="O76" s="127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PL'!F19</f>
        <v/>
      </c>
      <c r="K5" s="108">
        <f>'VALOR POR PL'!G19</f>
        <v/>
      </c>
      <c r="M5" s="127">
        <f>'CP RESUMO'!D13</f>
        <v/>
      </c>
      <c r="N5" s="128" t="n">
        <v>0</v>
      </c>
      <c r="O5" s="127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RESUMO'!E13</f>
        <v/>
      </c>
      <c r="N6" s="128">
        <f>MAX(0,M6-M5)</f>
        <v/>
      </c>
      <c r="O6" s="127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PL'!L19</f>
        <v/>
      </c>
      <c r="M7" s="127">
        <f>'CP RESUMO'!F13</f>
        <v/>
      </c>
      <c r="N7" s="128">
        <f>MAX(0,M7-M6)</f>
        <v/>
      </c>
      <c r="O7" s="127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RESUMO'!G13</f>
        <v/>
      </c>
      <c r="N8" s="128">
        <f>MAX(0,M8-M7)</f>
        <v/>
      </c>
      <c r="O8" s="127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RESUMO'!H13</f>
        <v/>
      </c>
      <c r="N9" s="128">
        <f>MAX(0,M9-M8)</f>
        <v/>
      </c>
      <c r="O9" s="127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RESUMO'!I13</f>
        <v/>
      </c>
      <c r="N10" s="128">
        <f>MAX(0,M10-M9)</f>
        <v/>
      </c>
      <c r="O10" s="127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RESUMO'!J13</f>
        <v/>
      </c>
      <c r="N11" s="128">
        <f>MAX(0,M11-M10)</f>
        <v/>
      </c>
      <c r="O11" s="127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RESUMO'!K13</f>
        <v/>
      </c>
      <c r="N12" s="128">
        <f>MAX(0,M12-M11)</f>
        <v/>
      </c>
      <c r="O12" s="127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PL'!I19</f>
        <v/>
      </c>
      <c r="M13" s="127">
        <f>'CP RESUMO'!L13</f>
        <v/>
      </c>
      <c r="N13" s="128">
        <f>MAX(0,M13-M12)</f>
        <v/>
      </c>
      <c r="O13" s="127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7">
        <f>'CP RESUMO'!M13</f>
        <v/>
      </c>
      <c r="N14" s="128">
        <f>MAX(0,M14-M13)</f>
        <v/>
      </c>
      <c r="O14" s="127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RESUMO'!N13</f>
        <v/>
      </c>
      <c r="N15" s="128">
        <f>MAX(0,M15-M14)</f>
        <v/>
      </c>
      <c r="O15" s="127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RESUMO'!O13</f>
        <v/>
      </c>
      <c r="N16" s="128">
        <f>MAX(0,M16-M15)</f>
        <v/>
      </c>
      <c r="O16" s="127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RESUMO'!P13</f>
        <v/>
      </c>
      <c r="N17" s="128">
        <f>MAX(0,M17-M16)</f>
        <v/>
      </c>
      <c r="O17" s="127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RESUMO'!Q13</f>
        <v/>
      </c>
      <c r="N18" s="128">
        <f>MAX(0,M18-M17)</f>
        <v/>
      </c>
      <c r="O18" s="127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RESUMO'!R13</f>
        <v/>
      </c>
      <c r="N19" s="128">
        <f>MAX(0,M19-M18)</f>
        <v/>
      </c>
      <c r="O19" s="127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RESUMO'!S13</f>
        <v/>
      </c>
      <c r="N20" s="128">
        <f>MAX(0,M20-M19)</f>
        <v/>
      </c>
      <c r="O20" s="127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RESUMO'!T13</f>
        <v/>
      </c>
      <c r="N21" s="128">
        <f>MAX(0,M21-M20)</f>
        <v/>
      </c>
      <c r="O21" s="127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RESUMO'!U13</f>
        <v/>
      </c>
      <c r="N22" s="128">
        <f>MAX(0,M22-M21)</f>
        <v/>
      </c>
      <c r="O22" s="127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RESUMO'!V13</f>
        <v/>
      </c>
      <c r="N23" s="128">
        <f>MAX(0,M23-M22)</f>
        <v/>
      </c>
      <c r="O23" s="127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RESUMO'!W13</f>
        <v/>
      </c>
      <c r="N24" s="128">
        <f>MAX(0,M24-M23)</f>
        <v/>
      </c>
      <c r="O24" s="127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RESUMO'!X13</f>
        <v/>
      </c>
      <c r="N25" s="128">
        <f>MAX(0,M25-M24)</f>
        <v/>
      </c>
      <c r="O25" s="127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RESUMO'!Y13</f>
        <v/>
      </c>
      <c r="N26" s="128">
        <f>MAX(0,M26-M25)</f>
        <v/>
      </c>
      <c r="O26" s="127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RESUMO'!Z13</f>
        <v/>
      </c>
      <c r="N27" s="128">
        <f>MAX(0,M27-M26)</f>
        <v/>
      </c>
      <c r="O27" s="127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RESUMO'!AA13</f>
        <v/>
      </c>
      <c r="N28" s="128">
        <f>MAX(0,M28-M27)</f>
        <v/>
      </c>
      <c r="O28" s="127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RESUMO'!AB13</f>
        <v/>
      </c>
      <c r="N29" s="128">
        <f>MAX(0,M29-M28)</f>
        <v/>
      </c>
      <c r="O29" s="127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RESUMO'!AC13</f>
        <v/>
      </c>
      <c r="N30" s="128">
        <f>MAX(0,M30-M29)</f>
        <v/>
      </c>
      <c r="O30" s="127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RESUMO'!AD13</f>
        <v/>
      </c>
      <c r="N31" s="128">
        <f>MAX(0,M31-M30)</f>
        <v/>
      </c>
      <c r="O31" s="127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RESUMO'!AE13</f>
        <v/>
      </c>
      <c r="N32" s="128">
        <f>MAX(0,M32-M31)</f>
        <v/>
      </c>
      <c r="O32" s="127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RESUMO'!AF13</f>
        <v/>
      </c>
      <c r="N33" s="128">
        <f>MAX(0,M33-M32)</f>
        <v/>
      </c>
      <c r="O33" s="127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RESUMO'!AG13</f>
        <v/>
      </c>
      <c r="N34" s="128">
        <f>MAX(0,M34-M33)</f>
        <v/>
      </c>
      <c r="O34" s="127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RESUMO'!AH13</f>
        <v/>
      </c>
      <c r="N35" s="128">
        <f>MAX(0,M35-M34)</f>
        <v/>
      </c>
      <c r="O35" s="127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RESUMO'!AI13</f>
        <v/>
      </c>
      <c r="N36" s="128">
        <f>MAX(0,M36-M35)</f>
        <v/>
      </c>
      <c r="O36" s="127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RESUMO'!AJ13</f>
        <v/>
      </c>
      <c r="N37" s="128">
        <f>MAX(0,M37-M36)</f>
        <v/>
      </c>
      <c r="O37" s="127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RESUMO'!AK13</f>
        <v/>
      </c>
      <c r="N38" s="128">
        <f>MAX(0,M38-M37)</f>
        <v/>
      </c>
      <c r="O38" s="127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RESUMO'!AL13</f>
        <v/>
      </c>
      <c r="N39" s="128">
        <f>MAX(0,M39-M38)</f>
        <v/>
      </c>
      <c r="O39" s="127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RESUMO'!AM13</f>
        <v/>
      </c>
      <c r="N40" s="128">
        <f>MAX(0,M40-M39)</f>
        <v/>
      </c>
      <c r="O40" s="127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RESUMO'!AN13</f>
        <v/>
      </c>
      <c r="N41" s="128">
        <f>MAX(0,M41-M40)</f>
        <v/>
      </c>
      <c r="O41" s="127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RESUMO'!AO13</f>
        <v/>
      </c>
      <c r="N42" s="128">
        <f>MAX(0,M42-M41)</f>
        <v/>
      </c>
      <c r="O42" s="127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RESUMO'!AP13</f>
        <v/>
      </c>
      <c r="N43" s="128">
        <f>MAX(0,M43-M42)</f>
        <v/>
      </c>
      <c r="O43" s="127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RESUMO'!AQ13</f>
        <v/>
      </c>
      <c r="N44" s="128">
        <f>MAX(0,M44-M43)</f>
        <v/>
      </c>
      <c r="O44" s="127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RESUMO'!AR13</f>
        <v/>
      </c>
      <c r="N45" s="128">
        <f>MAX(0,M45-M44)</f>
        <v/>
      </c>
      <c r="O45" s="127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RESUMO'!AS13</f>
        <v/>
      </c>
      <c r="N46" s="128">
        <f>MAX(0,M46-M45)</f>
        <v/>
      </c>
      <c r="O46" s="127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RESUMO'!AT13</f>
        <v/>
      </c>
      <c r="N47" s="128">
        <f>MAX(0,M47-M46)</f>
        <v/>
      </c>
      <c r="O47" s="127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RESUMO'!AU13</f>
        <v/>
      </c>
      <c r="N48" s="128">
        <f>MAX(0,M48-M47)</f>
        <v/>
      </c>
      <c r="O48" s="127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RESUMO'!AV13</f>
        <v/>
      </c>
      <c r="N49" s="128">
        <f>MAX(0,M49-M48)</f>
        <v/>
      </c>
      <c r="O49" s="127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RESUMO'!AW13</f>
        <v/>
      </c>
      <c r="N50" s="128">
        <f>MAX(0,M50-M49)</f>
        <v/>
      </c>
      <c r="O50" s="127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RESUMO'!AX13</f>
        <v/>
      </c>
      <c r="N51" s="128">
        <f>MAX(0,M51-M50)</f>
        <v/>
      </c>
      <c r="O51" s="127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RESUMO'!AY13</f>
        <v/>
      </c>
      <c r="N52" s="128">
        <f>MAX(0,M52-M51)</f>
        <v/>
      </c>
      <c r="O52" s="127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RESUMO'!AZ13</f>
        <v/>
      </c>
      <c r="N53" s="128">
        <f>MAX(0,M53-M52)</f>
        <v/>
      </c>
      <c r="O53" s="127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RESUMO'!BA13</f>
        <v/>
      </c>
      <c r="N54" s="128">
        <f>MAX(0,M54-M53)</f>
        <v/>
      </c>
      <c r="O54" s="127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RESUMO'!BB13</f>
        <v/>
      </c>
      <c r="N55" s="128">
        <f>MAX(0,M55-M54)</f>
        <v/>
      </c>
      <c r="O55" s="127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RESUMO'!BC13</f>
        <v/>
      </c>
      <c r="N56" s="128">
        <f>MAX(0,M56-M55)</f>
        <v/>
      </c>
      <c r="O56" s="127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RESUMO'!BD13</f>
        <v/>
      </c>
      <c r="N57" s="128">
        <f>MAX(0,M57-M56)</f>
        <v/>
      </c>
      <c r="O57" s="127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RESUMO'!BE13</f>
        <v/>
      </c>
      <c r="N58" s="128">
        <f>MAX(0,M58-M57)</f>
        <v/>
      </c>
      <c r="O58" s="127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RESUMO'!BF13</f>
        <v/>
      </c>
      <c r="N59" s="128">
        <f>MAX(0,M59-M58)</f>
        <v/>
      </c>
      <c r="O59" s="127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RESUMO'!BG13</f>
        <v/>
      </c>
      <c r="N60" s="128">
        <f>MAX(0,M60-M59)</f>
        <v/>
      </c>
      <c r="O60" s="127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RESUMO'!BH13</f>
        <v/>
      </c>
      <c r="N61" s="128">
        <f>MAX(0,M61-M60)</f>
        <v/>
      </c>
      <c r="O61" s="127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RESUMO'!BI13</f>
        <v/>
      </c>
      <c r="N62" s="128">
        <f>MAX(0,M62-M61)</f>
        <v/>
      </c>
      <c r="O62" s="127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RESUMO'!BJ13</f>
        <v/>
      </c>
      <c r="N63" s="128">
        <f>MAX(0,M63-M62)</f>
        <v/>
      </c>
      <c r="O63" s="127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RESUMO'!BK13</f>
        <v/>
      </c>
      <c r="N64" s="128">
        <f>MAX(0,M64-M63)</f>
        <v/>
      </c>
      <c r="O64" s="127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RESUMO'!BL13</f>
        <v/>
      </c>
      <c r="N65" s="128">
        <f>MAX(0,M65-M64)</f>
        <v/>
      </c>
      <c r="O65" s="127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RESUMO'!BM13</f>
        <v/>
      </c>
      <c r="N66" s="128">
        <f>MAX(0,M66-M65)</f>
        <v/>
      </c>
      <c r="O66" s="127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RESUMO'!BN13</f>
        <v/>
      </c>
      <c r="N67" s="128">
        <f>MAX(0,M67-M66)</f>
        <v/>
      </c>
      <c r="O67" s="127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RESUMO'!BO13</f>
        <v/>
      </c>
      <c r="N68" s="128">
        <f>MAX(0,M68-M67)</f>
        <v/>
      </c>
      <c r="O68" s="127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RESUMO'!BP13</f>
        <v/>
      </c>
      <c r="N69" s="128">
        <f>MAX(0,M69-M68)</f>
        <v/>
      </c>
      <c r="O69" s="127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RESUMO'!BQ13</f>
        <v/>
      </c>
      <c r="N70" s="128">
        <f>MAX(0,M70-M69)</f>
        <v/>
      </c>
      <c r="O70" s="127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RESUMO'!BR13</f>
        <v/>
      </c>
      <c r="N71" s="128">
        <f>MAX(0,M71-M70)</f>
        <v/>
      </c>
      <c r="O71" s="127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RESUMO'!BS13</f>
        <v/>
      </c>
      <c r="N72" s="128">
        <f>MAX(0,M72-M71)</f>
        <v/>
      </c>
      <c r="O72" s="127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RESUMO'!BT13</f>
        <v/>
      </c>
      <c r="N73" s="128">
        <f>MAX(0,M73-M72)</f>
        <v/>
      </c>
      <c r="O73" s="127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RESUMO'!BU13</f>
        <v/>
      </c>
      <c r="N74" s="128">
        <f>MAX(0,M74-M73)</f>
        <v/>
      </c>
      <c r="O74" s="127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RESUMO'!BV13</f>
        <v/>
      </c>
      <c r="N75" s="128">
        <f>MAX(0,M75-M74)</f>
        <v/>
      </c>
      <c r="O75" s="127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RESUMO'!BW13</f>
        <v/>
      </c>
      <c r="N76" s="128">
        <f>MAX(0,M76-M75)</f>
        <v/>
      </c>
      <c r="O76" s="127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PL'!F20</f>
        <v/>
      </c>
      <c r="K5" s="108">
        <f>'VALOR POR PL'!G20</f>
        <v/>
      </c>
      <c r="M5" s="127">
        <f>'CP RESUMO'!D14</f>
        <v/>
      </c>
      <c r="N5" s="128" t="n">
        <v>0</v>
      </c>
      <c r="O5" s="127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RESUMO'!E14</f>
        <v/>
      </c>
      <c r="N6" s="128">
        <f>MAX(0,M6-M5)</f>
        <v/>
      </c>
      <c r="O6" s="127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PL'!L20</f>
        <v/>
      </c>
      <c r="M7" s="127">
        <f>'CP RESUMO'!F14</f>
        <v/>
      </c>
      <c r="N7" s="128">
        <f>MAX(0,M7-M6)</f>
        <v/>
      </c>
      <c r="O7" s="127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RESUMO'!G14</f>
        <v/>
      </c>
      <c r="N8" s="128">
        <f>MAX(0,M8-M7)</f>
        <v/>
      </c>
      <c r="O8" s="127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RESUMO'!H14</f>
        <v/>
      </c>
      <c r="N9" s="128">
        <f>MAX(0,M9-M8)</f>
        <v/>
      </c>
      <c r="O9" s="127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RESUMO'!I14</f>
        <v/>
      </c>
      <c r="N10" s="128">
        <f>MAX(0,M10-M9)</f>
        <v/>
      </c>
      <c r="O10" s="127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RESUMO'!J14</f>
        <v/>
      </c>
      <c r="N11" s="128">
        <f>MAX(0,M11-M10)</f>
        <v/>
      </c>
      <c r="O11" s="127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RESUMO'!K14</f>
        <v/>
      </c>
      <c r="N12" s="128">
        <f>MAX(0,M12-M11)</f>
        <v/>
      </c>
      <c r="O12" s="127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PL'!I20</f>
        <v/>
      </c>
      <c r="M13" s="127">
        <f>'CP RESUMO'!L14</f>
        <v/>
      </c>
      <c r="N13" s="128">
        <f>MAX(0,M13-M12)</f>
        <v/>
      </c>
      <c r="O13" s="127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7">
        <f>'CP RESUMO'!M14</f>
        <v/>
      </c>
      <c r="N14" s="128">
        <f>MAX(0,M14-M13)</f>
        <v/>
      </c>
      <c r="O14" s="127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RESUMO'!N14</f>
        <v/>
      </c>
      <c r="N15" s="128">
        <f>MAX(0,M15-M14)</f>
        <v/>
      </c>
      <c r="O15" s="127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RESUMO'!O14</f>
        <v/>
      </c>
      <c r="N16" s="128">
        <f>MAX(0,M16-M15)</f>
        <v/>
      </c>
      <c r="O16" s="127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RESUMO'!P14</f>
        <v/>
      </c>
      <c r="N17" s="128">
        <f>MAX(0,M17-M16)</f>
        <v/>
      </c>
      <c r="O17" s="127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RESUMO'!Q14</f>
        <v/>
      </c>
      <c r="N18" s="128">
        <f>MAX(0,M18-M17)</f>
        <v/>
      </c>
      <c r="O18" s="127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RESUMO'!R14</f>
        <v/>
      </c>
      <c r="N19" s="128">
        <f>MAX(0,M19-M18)</f>
        <v/>
      </c>
      <c r="O19" s="127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RESUMO'!S14</f>
        <v/>
      </c>
      <c r="N20" s="128">
        <f>MAX(0,M20-M19)</f>
        <v/>
      </c>
      <c r="O20" s="127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RESUMO'!T14</f>
        <v/>
      </c>
      <c r="N21" s="128">
        <f>MAX(0,M21-M20)</f>
        <v/>
      </c>
      <c r="O21" s="127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RESUMO'!U14</f>
        <v/>
      </c>
      <c r="N22" s="128">
        <f>MAX(0,M22-M21)</f>
        <v/>
      </c>
      <c r="O22" s="127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RESUMO'!V14</f>
        <v/>
      </c>
      <c r="N23" s="128">
        <f>MAX(0,M23-M22)</f>
        <v/>
      </c>
      <c r="O23" s="127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RESUMO'!W14</f>
        <v/>
      </c>
      <c r="N24" s="128">
        <f>MAX(0,M24-M23)</f>
        <v/>
      </c>
      <c r="O24" s="127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RESUMO'!X14</f>
        <v/>
      </c>
      <c r="N25" s="128">
        <f>MAX(0,M25-M24)</f>
        <v/>
      </c>
      <c r="O25" s="127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RESUMO'!Y14</f>
        <v/>
      </c>
      <c r="N26" s="128">
        <f>MAX(0,M26-M25)</f>
        <v/>
      </c>
      <c r="O26" s="127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RESUMO'!Z14</f>
        <v/>
      </c>
      <c r="N27" s="128">
        <f>MAX(0,M27-M26)</f>
        <v/>
      </c>
      <c r="O27" s="127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RESUMO'!AA14</f>
        <v/>
      </c>
      <c r="N28" s="128">
        <f>MAX(0,M28-M27)</f>
        <v/>
      </c>
      <c r="O28" s="127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RESUMO'!AB14</f>
        <v/>
      </c>
      <c r="N29" s="128">
        <f>MAX(0,M29-M28)</f>
        <v/>
      </c>
      <c r="O29" s="127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RESUMO'!AC14</f>
        <v/>
      </c>
      <c r="N30" s="128">
        <f>MAX(0,M30-M29)</f>
        <v/>
      </c>
      <c r="O30" s="127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RESUMO'!AD14</f>
        <v/>
      </c>
      <c r="N31" s="128">
        <f>MAX(0,M31-M30)</f>
        <v/>
      </c>
      <c r="O31" s="127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RESUMO'!AE14</f>
        <v/>
      </c>
      <c r="N32" s="128">
        <f>MAX(0,M32-M31)</f>
        <v/>
      </c>
      <c r="O32" s="127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RESUMO'!AF14</f>
        <v/>
      </c>
      <c r="N33" s="128">
        <f>MAX(0,M33-M32)</f>
        <v/>
      </c>
      <c r="O33" s="127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RESUMO'!AG14</f>
        <v/>
      </c>
      <c r="N34" s="128">
        <f>MAX(0,M34-M33)</f>
        <v/>
      </c>
      <c r="O34" s="127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RESUMO'!AH14</f>
        <v/>
      </c>
      <c r="N35" s="128">
        <f>MAX(0,M35-M34)</f>
        <v/>
      </c>
      <c r="O35" s="127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RESUMO'!AI14</f>
        <v/>
      </c>
      <c r="N36" s="128">
        <f>MAX(0,M36-M35)</f>
        <v/>
      </c>
      <c r="O36" s="127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RESUMO'!AJ14</f>
        <v/>
      </c>
      <c r="N37" s="128">
        <f>MAX(0,M37-M36)</f>
        <v/>
      </c>
      <c r="O37" s="127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RESUMO'!AK14</f>
        <v/>
      </c>
      <c r="N38" s="128">
        <f>MAX(0,M38-M37)</f>
        <v/>
      </c>
      <c r="O38" s="127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RESUMO'!AL14</f>
        <v/>
      </c>
      <c r="N39" s="128">
        <f>MAX(0,M39-M38)</f>
        <v/>
      </c>
      <c r="O39" s="127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RESUMO'!AM14</f>
        <v/>
      </c>
      <c r="N40" s="128">
        <f>MAX(0,M40-M39)</f>
        <v/>
      </c>
      <c r="O40" s="127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RESUMO'!AN14</f>
        <v/>
      </c>
      <c r="N41" s="128">
        <f>MAX(0,M41-M40)</f>
        <v/>
      </c>
      <c r="O41" s="127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RESUMO'!AO14</f>
        <v/>
      </c>
      <c r="N42" s="128">
        <f>MAX(0,M42-M41)</f>
        <v/>
      </c>
      <c r="O42" s="127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RESUMO'!AP14</f>
        <v/>
      </c>
      <c r="N43" s="128">
        <f>MAX(0,M43-M42)</f>
        <v/>
      </c>
      <c r="O43" s="127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RESUMO'!AQ14</f>
        <v/>
      </c>
      <c r="N44" s="128">
        <f>MAX(0,M44-M43)</f>
        <v/>
      </c>
      <c r="O44" s="127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RESUMO'!AR14</f>
        <v/>
      </c>
      <c r="N45" s="128">
        <f>MAX(0,M45-M44)</f>
        <v/>
      </c>
      <c r="O45" s="127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RESUMO'!AS14</f>
        <v/>
      </c>
      <c r="N46" s="128">
        <f>MAX(0,M46-M45)</f>
        <v/>
      </c>
      <c r="O46" s="127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RESUMO'!AT14</f>
        <v/>
      </c>
      <c r="N47" s="128">
        <f>MAX(0,M47-M46)</f>
        <v/>
      </c>
      <c r="O47" s="127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RESUMO'!AU14</f>
        <v/>
      </c>
      <c r="N48" s="128">
        <f>MAX(0,M48-M47)</f>
        <v/>
      </c>
      <c r="O48" s="127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RESUMO'!AV14</f>
        <v/>
      </c>
      <c r="N49" s="128">
        <f>MAX(0,M49-M48)</f>
        <v/>
      </c>
      <c r="O49" s="127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RESUMO'!AW14</f>
        <v/>
      </c>
      <c r="N50" s="128">
        <f>MAX(0,M50-M49)</f>
        <v/>
      </c>
      <c r="O50" s="127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RESUMO'!AX14</f>
        <v/>
      </c>
      <c r="N51" s="128">
        <f>MAX(0,M51-M50)</f>
        <v/>
      </c>
      <c r="O51" s="127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RESUMO'!AY14</f>
        <v/>
      </c>
      <c r="N52" s="128">
        <f>MAX(0,M52-M51)</f>
        <v/>
      </c>
      <c r="O52" s="127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RESUMO'!AZ14</f>
        <v/>
      </c>
      <c r="N53" s="128">
        <f>MAX(0,M53-M52)</f>
        <v/>
      </c>
      <c r="O53" s="127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RESUMO'!BA14</f>
        <v/>
      </c>
      <c r="N54" s="128">
        <f>MAX(0,M54-M53)</f>
        <v/>
      </c>
      <c r="O54" s="127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RESUMO'!BB14</f>
        <v/>
      </c>
      <c r="N55" s="128">
        <f>MAX(0,M55-M54)</f>
        <v/>
      </c>
      <c r="O55" s="127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RESUMO'!BC14</f>
        <v/>
      </c>
      <c r="N56" s="128">
        <f>MAX(0,M56-M55)</f>
        <v/>
      </c>
      <c r="O56" s="127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RESUMO'!BD14</f>
        <v/>
      </c>
      <c r="N57" s="128">
        <f>MAX(0,M57-M56)</f>
        <v/>
      </c>
      <c r="O57" s="127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RESUMO'!BE14</f>
        <v/>
      </c>
      <c r="N58" s="128">
        <f>MAX(0,M58-M57)</f>
        <v/>
      </c>
      <c r="O58" s="127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RESUMO'!BF14</f>
        <v/>
      </c>
      <c r="N59" s="128">
        <f>MAX(0,M59-M58)</f>
        <v/>
      </c>
      <c r="O59" s="127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RESUMO'!BG14</f>
        <v/>
      </c>
      <c r="N60" s="128">
        <f>MAX(0,M60-M59)</f>
        <v/>
      </c>
      <c r="O60" s="127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RESUMO'!BH14</f>
        <v/>
      </c>
      <c r="N61" s="128">
        <f>MAX(0,M61-M60)</f>
        <v/>
      </c>
      <c r="O61" s="127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RESUMO'!BI14</f>
        <v/>
      </c>
      <c r="N62" s="128">
        <f>MAX(0,M62-M61)</f>
        <v/>
      </c>
      <c r="O62" s="127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RESUMO'!BJ14</f>
        <v/>
      </c>
      <c r="N63" s="128">
        <f>MAX(0,M63-M62)</f>
        <v/>
      </c>
      <c r="O63" s="127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RESUMO'!BK14</f>
        <v/>
      </c>
      <c r="N64" s="128">
        <f>MAX(0,M64-M63)</f>
        <v/>
      </c>
      <c r="O64" s="127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RESUMO'!BL14</f>
        <v/>
      </c>
      <c r="N65" s="128">
        <f>MAX(0,M65-M64)</f>
        <v/>
      </c>
      <c r="O65" s="127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RESUMO'!BM14</f>
        <v/>
      </c>
      <c r="N66" s="128">
        <f>MAX(0,M66-M65)</f>
        <v/>
      </c>
      <c r="O66" s="127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RESUMO'!BN14</f>
        <v/>
      </c>
      <c r="N67" s="128">
        <f>MAX(0,M67-M66)</f>
        <v/>
      </c>
      <c r="O67" s="127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RESUMO'!BO14</f>
        <v/>
      </c>
      <c r="N68" s="128">
        <f>MAX(0,M68-M67)</f>
        <v/>
      </c>
      <c r="O68" s="127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RESUMO'!BP14</f>
        <v/>
      </c>
      <c r="N69" s="128">
        <f>MAX(0,M69-M68)</f>
        <v/>
      </c>
      <c r="O69" s="127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RESUMO'!BQ14</f>
        <v/>
      </c>
      <c r="N70" s="128">
        <f>MAX(0,M70-M69)</f>
        <v/>
      </c>
      <c r="O70" s="127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RESUMO'!BR14</f>
        <v/>
      </c>
      <c r="N71" s="128">
        <f>MAX(0,M71-M70)</f>
        <v/>
      </c>
      <c r="O71" s="127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RESUMO'!BS14</f>
        <v/>
      </c>
      <c r="N72" s="128">
        <f>MAX(0,M72-M71)</f>
        <v/>
      </c>
      <c r="O72" s="127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RESUMO'!BT14</f>
        <v/>
      </c>
      <c r="N73" s="128">
        <f>MAX(0,M73-M72)</f>
        <v/>
      </c>
      <c r="O73" s="127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RESUMO'!BU14</f>
        <v/>
      </c>
      <c r="N74" s="128">
        <f>MAX(0,M74-M73)</f>
        <v/>
      </c>
      <c r="O74" s="127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RESUMO'!BV14</f>
        <v/>
      </c>
      <c r="N75" s="128">
        <f>MAX(0,M75-M74)</f>
        <v/>
      </c>
      <c r="O75" s="127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RESUMO'!BW14</f>
        <v/>
      </c>
      <c r="N76" s="128">
        <f>MAX(0,M76-M75)</f>
        <v/>
      </c>
      <c r="O76" s="127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PL'!F21</f>
        <v/>
      </c>
      <c r="K5" s="108">
        <f>'VALOR POR PL'!G21</f>
        <v/>
      </c>
      <c r="M5" s="127">
        <f>'CP RESUMO'!D15</f>
        <v/>
      </c>
      <c r="N5" s="128" t="n">
        <v>0</v>
      </c>
      <c r="O5" s="127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RESUMO'!E15</f>
        <v/>
      </c>
      <c r="N6" s="128">
        <f>MAX(0,M6-M5)</f>
        <v/>
      </c>
      <c r="O6" s="127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PL'!L21</f>
        <v/>
      </c>
      <c r="M7" s="127">
        <f>'CP RESUMO'!F15</f>
        <v/>
      </c>
      <c r="N7" s="128">
        <f>MAX(0,M7-M6)</f>
        <v/>
      </c>
      <c r="O7" s="127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RESUMO'!G15</f>
        <v/>
      </c>
      <c r="N8" s="128">
        <f>MAX(0,M8-M7)</f>
        <v/>
      </c>
      <c r="O8" s="127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RESUMO'!H15</f>
        <v/>
      </c>
      <c r="N9" s="128">
        <f>MAX(0,M9-M8)</f>
        <v/>
      </c>
      <c r="O9" s="127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RESUMO'!I15</f>
        <v/>
      </c>
      <c r="N10" s="128">
        <f>MAX(0,M10-M9)</f>
        <v/>
      </c>
      <c r="O10" s="127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RESUMO'!J15</f>
        <v/>
      </c>
      <c r="N11" s="128">
        <f>MAX(0,M11-M10)</f>
        <v/>
      </c>
      <c r="O11" s="127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RESUMO'!K15</f>
        <v/>
      </c>
      <c r="N12" s="128">
        <f>MAX(0,M12-M11)</f>
        <v/>
      </c>
      <c r="O12" s="127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PL'!I21</f>
        <v/>
      </c>
      <c r="M13" s="127">
        <f>'CP RESUMO'!L15</f>
        <v/>
      </c>
      <c r="N13" s="128">
        <f>MAX(0,M13-M12)</f>
        <v/>
      </c>
      <c r="O13" s="127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7">
        <f>'CP RESUMO'!M15</f>
        <v/>
      </c>
      <c r="N14" s="128">
        <f>MAX(0,M14-M13)</f>
        <v/>
      </c>
      <c r="O14" s="127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RESUMO'!N15</f>
        <v/>
      </c>
      <c r="N15" s="128">
        <f>MAX(0,M15-M14)</f>
        <v/>
      </c>
      <c r="O15" s="127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RESUMO'!O15</f>
        <v/>
      </c>
      <c r="N16" s="128">
        <f>MAX(0,M16-M15)</f>
        <v/>
      </c>
      <c r="O16" s="127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RESUMO'!P15</f>
        <v/>
      </c>
      <c r="N17" s="128">
        <f>MAX(0,M17-M16)</f>
        <v/>
      </c>
      <c r="O17" s="127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RESUMO'!Q15</f>
        <v/>
      </c>
      <c r="N18" s="128">
        <f>MAX(0,M18-M17)</f>
        <v/>
      </c>
      <c r="O18" s="127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RESUMO'!R15</f>
        <v/>
      </c>
      <c r="N19" s="128">
        <f>MAX(0,M19-M18)</f>
        <v/>
      </c>
      <c r="O19" s="127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RESUMO'!S15</f>
        <v/>
      </c>
      <c r="N20" s="128">
        <f>MAX(0,M20-M19)</f>
        <v/>
      </c>
      <c r="O20" s="127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RESUMO'!T15</f>
        <v/>
      </c>
      <c r="N21" s="128">
        <f>MAX(0,M21-M20)</f>
        <v/>
      </c>
      <c r="O21" s="127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RESUMO'!U15</f>
        <v/>
      </c>
      <c r="N22" s="128">
        <f>MAX(0,M22-M21)</f>
        <v/>
      </c>
      <c r="O22" s="127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RESUMO'!V15</f>
        <v/>
      </c>
      <c r="N23" s="128">
        <f>MAX(0,M23-M22)</f>
        <v/>
      </c>
      <c r="O23" s="127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RESUMO'!W15</f>
        <v/>
      </c>
      <c r="N24" s="128">
        <f>MAX(0,M24-M23)</f>
        <v/>
      </c>
      <c r="O24" s="127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RESUMO'!X15</f>
        <v/>
      </c>
      <c r="N25" s="128">
        <f>MAX(0,M25-M24)</f>
        <v/>
      </c>
      <c r="O25" s="127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RESUMO'!Y15</f>
        <v/>
      </c>
      <c r="N26" s="128">
        <f>MAX(0,M26-M25)</f>
        <v/>
      </c>
      <c r="O26" s="127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RESUMO'!Z15</f>
        <v/>
      </c>
      <c r="N27" s="128">
        <f>MAX(0,M27-M26)</f>
        <v/>
      </c>
      <c r="O27" s="127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RESUMO'!AA15</f>
        <v/>
      </c>
      <c r="N28" s="128">
        <f>MAX(0,M28-M27)</f>
        <v/>
      </c>
      <c r="O28" s="127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RESUMO'!AB15</f>
        <v/>
      </c>
      <c r="N29" s="128">
        <f>MAX(0,M29-M28)</f>
        <v/>
      </c>
      <c r="O29" s="127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RESUMO'!AC15</f>
        <v/>
      </c>
      <c r="N30" s="128">
        <f>MAX(0,M30-M29)</f>
        <v/>
      </c>
      <c r="O30" s="127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RESUMO'!AD15</f>
        <v/>
      </c>
      <c r="N31" s="128">
        <f>MAX(0,M31-M30)</f>
        <v/>
      </c>
      <c r="O31" s="127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RESUMO'!AE15</f>
        <v/>
      </c>
      <c r="N32" s="128">
        <f>MAX(0,M32-M31)</f>
        <v/>
      </c>
      <c r="O32" s="127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RESUMO'!AF15</f>
        <v/>
      </c>
      <c r="N33" s="128">
        <f>MAX(0,M33-M32)</f>
        <v/>
      </c>
      <c r="O33" s="127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RESUMO'!AG15</f>
        <v/>
      </c>
      <c r="N34" s="128">
        <f>MAX(0,M34-M33)</f>
        <v/>
      </c>
      <c r="O34" s="127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RESUMO'!AH15</f>
        <v/>
      </c>
      <c r="N35" s="128">
        <f>MAX(0,M35-M34)</f>
        <v/>
      </c>
      <c r="O35" s="127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RESUMO'!AI15</f>
        <v/>
      </c>
      <c r="N36" s="128">
        <f>MAX(0,M36-M35)</f>
        <v/>
      </c>
      <c r="O36" s="127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RESUMO'!AJ15</f>
        <v/>
      </c>
      <c r="N37" s="128">
        <f>MAX(0,M37-M36)</f>
        <v/>
      </c>
      <c r="O37" s="127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RESUMO'!AK15</f>
        <v/>
      </c>
      <c r="N38" s="128">
        <f>MAX(0,M38-M37)</f>
        <v/>
      </c>
      <c r="O38" s="127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RESUMO'!AL15</f>
        <v/>
      </c>
      <c r="N39" s="128">
        <f>MAX(0,M39-M38)</f>
        <v/>
      </c>
      <c r="O39" s="127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RESUMO'!AM15</f>
        <v/>
      </c>
      <c r="N40" s="128">
        <f>MAX(0,M40-M39)</f>
        <v/>
      </c>
      <c r="O40" s="127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RESUMO'!AN15</f>
        <v/>
      </c>
      <c r="N41" s="128">
        <f>MAX(0,M41-M40)</f>
        <v/>
      </c>
      <c r="O41" s="127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RESUMO'!AO15</f>
        <v/>
      </c>
      <c r="N42" s="128">
        <f>MAX(0,M42-M41)</f>
        <v/>
      </c>
      <c r="O42" s="127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RESUMO'!AP15</f>
        <v/>
      </c>
      <c r="N43" s="128">
        <f>MAX(0,M43-M42)</f>
        <v/>
      </c>
      <c r="O43" s="127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RESUMO'!AQ15</f>
        <v/>
      </c>
      <c r="N44" s="128">
        <f>MAX(0,M44-M43)</f>
        <v/>
      </c>
      <c r="O44" s="127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RESUMO'!AR15</f>
        <v/>
      </c>
      <c r="N45" s="128">
        <f>MAX(0,M45-M44)</f>
        <v/>
      </c>
      <c r="O45" s="127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RESUMO'!AS15</f>
        <v/>
      </c>
      <c r="N46" s="128">
        <f>MAX(0,M46-M45)</f>
        <v/>
      </c>
      <c r="O46" s="127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RESUMO'!AT15</f>
        <v/>
      </c>
      <c r="N47" s="128">
        <f>MAX(0,M47-M46)</f>
        <v/>
      </c>
      <c r="O47" s="127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RESUMO'!AU15</f>
        <v/>
      </c>
      <c r="N48" s="128">
        <f>MAX(0,M48-M47)</f>
        <v/>
      </c>
      <c r="O48" s="127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RESUMO'!AV15</f>
        <v/>
      </c>
      <c r="N49" s="128">
        <f>MAX(0,M49-M48)</f>
        <v/>
      </c>
      <c r="O49" s="127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RESUMO'!AW15</f>
        <v/>
      </c>
      <c r="N50" s="128">
        <f>MAX(0,M50-M49)</f>
        <v/>
      </c>
      <c r="O50" s="127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RESUMO'!AX15</f>
        <v/>
      </c>
      <c r="N51" s="128">
        <f>MAX(0,M51-M50)</f>
        <v/>
      </c>
      <c r="O51" s="127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RESUMO'!AY15</f>
        <v/>
      </c>
      <c r="N52" s="128">
        <f>MAX(0,M52-M51)</f>
        <v/>
      </c>
      <c r="O52" s="127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RESUMO'!AZ15</f>
        <v/>
      </c>
      <c r="N53" s="128">
        <f>MAX(0,M53-M52)</f>
        <v/>
      </c>
      <c r="O53" s="127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RESUMO'!BA15</f>
        <v/>
      </c>
      <c r="N54" s="128">
        <f>MAX(0,M54-M53)</f>
        <v/>
      </c>
      <c r="O54" s="127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RESUMO'!BB15</f>
        <v/>
      </c>
      <c r="N55" s="128">
        <f>MAX(0,M55-M54)</f>
        <v/>
      </c>
      <c r="O55" s="127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RESUMO'!BC15</f>
        <v/>
      </c>
      <c r="N56" s="128">
        <f>MAX(0,M56-M55)</f>
        <v/>
      </c>
      <c r="O56" s="127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RESUMO'!BD15</f>
        <v/>
      </c>
      <c r="N57" s="128">
        <f>MAX(0,M57-M56)</f>
        <v/>
      </c>
      <c r="O57" s="127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RESUMO'!BE15</f>
        <v/>
      </c>
      <c r="N58" s="128">
        <f>MAX(0,M58-M57)</f>
        <v/>
      </c>
      <c r="O58" s="127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RESUMO'!BF15</f>
        <v/>
      </c>
      <c r="N59" s="128">
        <f>MAX(0,M59-M58)</f>
        <v/>
      </c>
      <c r="O59" s="127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RESUMO'!BG15</f>
        <v/>
      </c>
      <c r="N60" s="128">
        <f>MAX(0,M60-M59)</f>
        <v/>
      </c>
      <c r="O60" s="127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RESUMO'!BH15</f>
        <v/>
      </c>
      <c r="N61" s="128">
        <f>MAX(0,M61-M60)</f>
        <v/>
      </c>
      <c r="O61" s="127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RESUMO'!BI15</f>
        <v/>
      </c>
      <c r="N62" s="128">
        <f>MAX(0,M62-M61)</f>
        <v/>
      </c>
      <c r="O62" s="127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RESUMO'!BJ15</f>
        <v/>
      </c>
      <c r="N63" s="128">
        <f>MAX(0,M63-M62)</f>
        <v/>
      </c>
      <c r="O63" s="127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RESUMO'!BK15</f>
        <v/>
      </c>
      <c r="N64" s="128">
        <f>MAX(0,M64-M63)</f>
        <v/>
      </c>
      <c r="O64" s="127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RESUMO'!BL15</f>
        <v/>
      </c>
      <c r="N65" s="128">
        <f>MAX(0,M65-M64)</f>
        <v/>
      </c>
      <c r="O65" s="127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RESUMO'!BM15</f>
        <v/>
      </c>
      <c r="N66" s="128">
        <f>MAX(0,M66-M65)</f>
        <v/>
      </c>
      <c r="O66" s="127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RESUMO'!BN15</f>
        <v/>
      </c>
      <c r="N67" s="128">
        <f>MAX(0,M67-M66)</f>
        <v/>
      </c>
      <c r="O67" s="127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RESUMO'!BO15</f>
        <v/>
      </c>
      <c r="N68" s="128">
        <f>MAX(0,M68-M67)</f>
        <v/>
      </c>
      <c r="O68" s="127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RESUMO'!BP15</f>
        <v/>
      </c>
      <c r="N69" s="128">
        <f>MAX(0,M69-M68)</f>
        <v/>
      </c>
      <c r="O69" s="127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RESUMO'!BQ15</f>
        <v/>
      </c>
      <c r="N70" s="128">
        <f>MAX(0,M70-M69)</f>
        <v/>
      </c>
      <c r="O70" s="127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RESUMO'!BR15</f>
        <v/>
      </c>
      <c r="N71" s="128">
        <f>MAX(0,M71-M70)</f>
        <v/>
      </c>
      <c r="O71" s="127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RESUMO'!BS15</f>
        <v/>
      </c>
      <c r="N72" s="128">
        <f>MAX(0,M72-M71)</f>
        <v/>
      </c>
      <c r="O72" s="127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RESUMO'!BT15</f>
        <v/>
      </c>
      <c r="N73" s="128">
        <f>MAX(0,M73-M72)</f>
        <v/>
      </c>
      <c r="O73" s="127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RESUMO'!BU15</f>
        <v/>
      </c>
      <c r="N74" s="128">
        <f>MAX(0,M74-M73)</f>
        <v/>
      </c>
      <c r="O74" s="127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RESUMO'!BV15</f>
        <v/>
      </c>
      <c r="N75" s="128">
        <f>MAX(0,M75-M74)</f>
        <v/>
      </c>
      <c r="O75" s="127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RESUMO'!BW15</f>
        <v/>
      </c>
      <c r="N76" s="128">
        <f>MAX(0,M76-M75)</f>
        <v/>
      </c>
      <c r="O76" s="127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PL'!F22</f>
        <v/>
      </c>
      <c r="K5" s="108">
        <f>'VALOR POR PL'!G22</f>
        <v/>
      </c>
      <c r="M5" s="127">
        <f>'CP RESUMO'!D16</f>
        <v/>
      </c>
      <c r="N5" s="128" t="n">
        <v>0</v>
      </c>
      <c r="O5" s="127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RESUMO'!E16</f>
        <v/>
      </c>
      <c r="N6" s="128">
        <f>MAX(0,M6-M5)</f>
        <v/>
      </c>
      <c r="O6" s="127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PL'!L22</f>
        <v/>
      </c>
      <c r="M7" s="127">
        <f>'CP RESUMO'!F16</f>
        <v/>
      </c>
      <c r="N7" s="128">
        <f>MAX(0,M7-M6)</f>
        <v/>
      </c>
      <c r="O7" s="127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RESUMO'!G16</f>
        <v/>
      </c>
      <c r="N8" s="128">
        <f>MAX(0,M8-M7)</f>
        <v/>
      </c>
      <c r="O8" s="127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RESUMO'!H16</f>
        <v/>
      </c>
      <c r="N9" s="128">
        <f>MAX(0,M9-M8)</f>
        <v/>
      </c>
      <c r="O9" s="127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RESUMO'!I16</f>
        <v/>
      </c>
      <c r="N10" s="128">
        <f>MAX(0,M10-M9)</f>
        <v/>
      </c>
      <c r="O10" s="127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RESUMO'!J16</f>
        <v/>
      </c>
      <c r="N11" s="128">
        <f>MAX(0,M11-M10)</f>
        <v/>
      </c>
      <c r="O11" s="127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RESUMO'!K16</f>
        <v/>
      </c>
      <c r="N12" s="128">
        <f>MAX(0,M12-M11)</f>
        <v/>
      </c>
      <c r="O12" s="127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PL'!I22</f>
        <v/>
      </c>
      <c r="M13" s="127">
        <f>'CP RESUMO'!L16</f>
        <v/>
      </c>
      <c r="N13" s="128">
        <f>MAX(0,M13-M12)</f>
        <v/>
      </c>
      <c r="O13" s="127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7">
        <f>'CP RESUMO'!M16</f>
        <v/>
      </c>
      <c r="N14" s="128">
        <f>MAX(0,M14-M13)</f>
        <v/>
      </c>
      <c r="O14" s="127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RESUMO'!N16</f>
        <v/>
      </c>
      <c r="N15" s="128">
        <f>MAX(0,M15-M14)</f>
        <v/>
      </c>
      <c r="O15" s="127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RESUMO'!O16</f>
        <v/>
      </c>
      <c r="N16" s="128">
        <f>MAX(0,M16-M15)</f>
        <v/>
      </c>
      <c r="O16" s="127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RESUMO'!P16</f>
        <v/>
      </c>
      <c r="N17" s="128">
        <f>MAX(0,M17-M16)</f>
        <v/>
      </c>
      <c r="O17" s="127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RESUMO'!Q16</f>
        <v/>
      </c>
      <c r="N18" s="128">
        <f>MAX(0,M18-M17)</f>
        <v/>
      </c>
      <c r="O18" s="127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RESUMO'!R16</f>
        <v/>
      </c>
      <c r="N19" s="128">
        <f>MAX(0,M19-M18)</f>
        <v/>
      </c>
      <c r="O19" s="127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RESUMO'!S16</f>
        <v/>
      </c>
      <c r="N20" s="128">
        <f>MAX(0,M20-M19)</f>
        <v/>
      </c>
      <c r="O20" s="127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RESUMO'!T16</f>
        <v/>
      </c>
      <c r="N21" s="128">
        <f>MAX(0,M21-M20)</f>
        <v/>
      </c>
      <c r="O21" s="127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RESUMO'!U16</f>
        <v/>
      </c>
      <c r="N22" s="128">
        <f>MAX(0,M22-M21)</f>
        <v/>
      </c>
      <c r="O22" s="127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RESUMO'!V16</f>
        <v/>
      </c>
      <c r="N23" s="128">
        <f>MAX(0,M23-M22)</f>
        <v/>
      </c>
      <c r="O23" s="127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RESUMO'!W16</f>
        <v/>
      </c>
      <c r="N24" s="128">
        <f>MAX(0,M24-M23)</f>
        <v/>
      </c>
      <c r="O24" s="127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RESUMO'!X16</f>
        <v/>
      </c>
      <c r="N25" s="128">
        <f>MAX(0,M25-M24)</f>
        <v/>
      </c>
      <c r="O25" s="127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RESUMO'!Y16</f>
        <v/>
      </c>
      <c r="N26" s="128">
        <f>MAX(0,M26-M25)</f>
        <v/>
      </c>
      <c r="O26" s="127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RESUMO'!Z16</f>
        <v/>
      </c>
      <c r="N27" s="128">
        <f>MAX(0,M27-M26)</f>
        <v/>
      </c>
      <c r="O27" s="127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RESUMO'!AA16</f>
        <v/>
      </c>
      <c r="N28" s="128">
        <f>MAX(0,M28-M27)</f>
        <v/>
      </c>
      <c r="O28" s="127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RESUMO'!AB16</f>
        <v/>
      </c>
      <c r="N29" s="128">
        <f>MAX(0,M29-M28)</f>
        <v/>
      </c>
      <c r="O29" s="127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RESUMO'!AC16</f>
        <v/>
      </c>
      <c r="N30" s="128">
        <f>MAX(0,M30-M29)</f>
        <v/>
      </c>
      <c r="O30" s="127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RESUMO'!AD16</f>
        <v/>
      </c>
      <c r="N31" s="128">
        <f>MAX(0,M31-M30)</f>
        <v/>
      </c>
      <c r="O31" s="127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RESUMO'!AE16</f>
        <v/>
      </c>
      <c r="N32" s="128">
        <f>MAX(0,M32-M31)</f>
        <v/>
      </c>
      <c r="O32" s="127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RESUMO'!AF16</f>
        <v/>
      </c>
      <c r="N33" s="128">
        <f>MAX(0,M33-M32)</f>
        <v/>
      </c>
      <c r="O33" s="127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RESUMO'!AG16</f>
        <v/>
      </c>
      <c r="N34" s="128">
        <f>MAX(0,M34-M33)</f>
        <v/>
      </c>
      <c r="O34" s="127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RESUMO'!AH16</f>
        <v/>
      </c>
      <c r="N35" s="128">
        <f>MAX(0,M35-M34)</f>
        <v/>
      </c>
      <c r="O35" s="127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RESUMO'!AI16</f>
        <v/>
      </c>
      <c r="N36" s="128">
        <f>MAX(0,M36-M35)</f>
        <v/>
      </c>
      <c r="O36" s="127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RESUMO'!AJ16</f>
        <v/>
      </c>
      <c r="N37" s="128">
        <f>MAX(0,M37-M36)</f>
        <v/>
      </c>
      <c r="O37" s="127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RESUMO'!AK16</f>
        <v/>
      </c>
      <c r="N38" s="128">
        <f>MAX(0,M38-M37)</f>
        <v/>
      </c>
      <c r="O38" s="127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RESUMO'!AL16</f>
        <v/>
      </c>
      <c r="N39" s="128">
        <f>MAX(0,M39-M38)</f>
        <v/>
      </c>
      <c r="O39" s="127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RESUMO'!AM16</f>
        <v/>
      </c>
      <c r="N40" s="128">
        <f>MAX(0,M40-M39)</f>
        <v/>
      </c>
      <c r="O40" s="127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RESUMO'!AN16</f>
        <v/>
      </c>
      <c r="N41" s="128">
        <f>MAX(0,M41-M40)</f>
        <v/>
      </c>
      <c r="O41" s="127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RESUMO'!AO16</f>
        <v/>
      </c>
      <c r="N42" s="128">
        <f>MAX(0,M42-M41)</f>
        <v/>
      </c>
      <c r="O42" s="127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RESUMO'!AP16</f>
        <v/>
      </c>
      <c r="N43" s="128">
        <f>MAX(0,M43-M42)</f>
        <v/>
      </c>
      <c r="O43" s="127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RESUMO'!AQ16</f>
        <v/>
      </c>
      <c r="N44" s="128">
        <f>MAX(0,M44-M43)</f>
        <v/>
      </c>
      <c r="O44" s="127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RESUMO'!AR16</f>
        <v/>
      </c>
      <c r="N45" s="128">
        <f>MAX(0,M45-M44)</f>
        <v/>
      </c>
      <c r="O45" s="127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RESUMO'!AS16</f>
        <v/>
      </c>
      <c r="N46" s="128">
        <f>MAX(0,M46-M45)</f>
        <v/>
      </c>
      <c r="O46" s="127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RESUMO'!AT16</f>
        <v/>
      </c>
      <c r="N47" s="128">
        <f>MAX(0,M47-M46)</f>
        <v/>
      </c>
      <c r="O47" s="127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RESUMO'!AU16</f>
        <v/>
      </c>
      <c r="N48" s="128">
        <f>MAX(0,M48-M47)</f>
        <v/>
      </c>
      <c r="O48" s="127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RESUMO'!AV16</f>
        <v/>
      </c>
      <c r="N49" s="128">
        <f>MAX(0,M49-M48)</f>
        <v/>
      </c>
      <c r="O49" s="127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RESUMO'!AW16</f>
        <v/>
      </c>
      <c r="N50" s="128">
        <f>MAX(0,M50-M49)</f>
        <v/>
      </c>
      <c r="O50" s="127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RESUMO'!AX16</f>
        <v/>
      </c>
      <c r="N51" s="128">
        <f>MAX(0,M51-M50)</f>
        <v/>
      </c>
      <c r="O51" s="127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RESUMO'!AY16</f>
        <v/>
      </c>
      <c r="N52" s="128">
        <f>MAX(0,M52-M51)</f>
        <v/>
      </c>
      <c r="O52" s="127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RESUMO'!AZ16</f>
        <v/>
      </c>
      <c r="N53" s="128">
        <f>MAX(0,M53-M52)</f>
        <v/>
      </c>
      <c r="O53" s="127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RESUMO'!BA16</f>
        <v/>
      </c>
      <c r="N54" s="128">
        <f>MAX(0,M54-M53)</f>
        <v/>
      </c>
      <c r="O54" s="127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RESUMO'!BB16</f>
        <v/>
      </c>
      <c r="N55" s="128">
        <f>MAX(0,M55-M54)</f>
        <v/>
      </c>
      <c r="O55" s="127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RESUMO'!BC16</f>
        <v/>
      </c>
      <c r="N56" s="128">
        <f>MAX(0,M56-M55)</f>
        <v/>
      </c>
      <c r="O56" s="127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RESUMO'!BD16</f>
        <v/>
      </c>
      <c r="N57" s="128">
        <f>MAX(0,M57-M56)</f>
        <v/>
      </c>
      <c r="O57" s="127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RESUMO'!BE16</f>
        <v/>
      </c>
      <c r="N58" s="128">
        <f>MAX(0,M58-M57)</f>
        <v/>
      </c>
      <c r="O58" s="127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RESUMO'!BF16</f>
        <v/>
      </c>
      <c r="N59" s="128">
        <f>MAX(0,M59-M58)</f>
        <v/>
      </c>
      <c r="O59" s="127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RESUMO'!BG16</f>
        <v/>
      </c>
      <c r="N60" s="128">
        <f>MAX(0,M60-M59)</f>
        <v/>
      </c>
      <c r="O60" s="127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RESUMO'!BH16</f>
        <v/>
      </c>
      <c r="N61" s="128">
        <f>MAX(0,M61-M60)</f>
        <v/>
      </c>
      <c r="O61" s="127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RESUMO'!BI16</f>
        <v/>
      </c>
      <c r="N62" s="128">
        <f>MAX(0,M62-M61)</f>
        <v/>
      </c>
      <c r="O62" s="127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RESUMO'!BJ16</f>
        <v/>
      </c>
      <c r="N63" s="128">
        <f>MAX(0,M63-M62)</f>
        <v/>
      </c>
      <c r="O63" s="127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RESUMO'!BK16</f>
        <v/>
      </c>
      <c r="N64" s="128">
        <f>MAX(0,M64-M63)</f>
        <v/>
      </c>
      <c r="O64" s="127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RESUMO'!BL16</f>
        <v/>
      </c>
      <c r="N65" s="128">
        <f>MAX(0,M65-M64)</f>
        <v/>
      </c>
      <c r="O65" s="127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RESUMO'!BM16</f>
        <v/>
      </c>
      <c r="N66" s="128">
        <f>MAX(0,M66-M65)</f>
        <v/>
      </c>
      <c r="O66" s="127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RESUMO'!BN16</f>
        <v/>
      </c>
      <c r="N67" s="128">
        <f>MAX(0,M67-M66)</f>
        <v/>
      </c>
      <c r="O67" s="127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RESUMO'!BO16</f>
        <v/>
      </c>
      <c r="N68" s="128">
        <f>MAX(0,M68-M67)</f>
        <v/>
      </c>
      <c r="O68" s="127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RESUMO'!BP16</f>
        <v/>
      </c>
      <c r="N69" s="128">
        <f>MAX(0,M69-M68)</f>
        <v/>
      </c>
      <c r="O69" s="127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RESUMO'!BQ16</f>
        <v/>
      </c>
      <c r="N70" s="128">
        <f>MAX(0,M70-M69)</f>
        <v/>
      </c>
      <c r="O70" s="127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RESUMO'!BR16</f>
        <v/>
      </c>
      <c r="N71" s="128">
        <f>MAX(0,M71-M70)</f>
        <v/>
      </c>
      <c r="O71" s="127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RESUMO'!BS16</f>
        <v/>
      </c>
      <c r="N72" s="128">
        <f>MAX(0,M72-M71)</f>
        <v/>
      </c>
      <c r="O72" s="127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RESUMO'!BT16</f>
        <v/>
      </c>
      <c r="N73" s="128">
        <f>MAX(0,M73-M72)</f>
        <v/>
      </c>
      <c r="O73" s="127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RESUMO'!BU16</f>
        <v/>
      </c>
      <c r="N74" s="128">
        <f>MAX(0,M74-M73)</f>
        <v/>
      </c>
      <c r="O74" s="127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RESUMO'!BV16</f>
        <v/>
      </c>
      <c r="N75" s="128">
        <f>MAX(0,M75-M74)</f>
        <v/>
      </c>
      <c r="O75" s="127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RESUMO'!BW16</f>
        <v/>
      </c>
      <c r="N76" s="128">
        <f>MAX(0,M76-M75)</f>
        <v/>
      </c>
      <c r="O76" s="127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PL'!F23</f>
        <v/>
      </c>
      <c r="K5" s="108">
        <f>'VALOR POR PL'!G23</f>
        <v/>
      </c>
      <c r="M5" s="127">
        <f>'CP RESUMO'!D17</f>
        <v/>
      </c>
      <c r="N5" s="128" t="n">
        <v>0</v>
      </c>
      <c r="O5" s="127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RESUMO'!E17</f>
        <v/>
      </c>
      <c r="N6" s="128">
        <f>MAX(0,M6-M5)</f>
        <v/>
      </c>
      <c r="O6" s="127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PL'!L23</f>
        <v/>
      </c>
      <c r="M7" s="127">
        <f>'CP RESUMO'!F17</f>
        <v/>
      </c>
      <c r="N7" s="128">
        <f>MAX(0,M7-M6)</f>
        <v/>
      </c>
      <c r="O7" s="127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RESUMO'!G17</f>
        <v/>
      </c>
      <c r="N8" s="128">
        <f>MAX(0,M8-M7)</f>
        <v/>
      </c>
      <c r="O8" s="127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RESUMO'!H17</f>
        <v/>
      </c>
      <c r="N9" s="128">
        <f>MAX(0,M9-M8)</f>
        <v/>
      </c>
      <c r="O9" s="127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RESUMO'!I17</f>
        <v/>
      </c>
      <c r="N10" s="128">
        <f>MAX(0,M10-M9)</f>
        <v/>
      </c>
      <c r="O10" s="127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RESUMO'!J17</f>
        <v/>
      </c>
      <c r="N11" s="128">
        <f>MAX(0,M11-M10)</f>
        <v/>
      </c>
      <c r="O11" s="127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RESUMO'!K17</f>
        <v/>
      </c>
      <c r="N12" s="128">
        <f>MAX(0,M12-M11)</f>
        <v/>
      </c>
      <c r="O12" s="127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PL'!I23</f>
        <v/>
      </c>
      <c r="M13" s="127">
        <f>'CP RESUMO'!L17</f>
        <v/>
      </c>
      <c r="N13" s="128">
        <f>MAX(0,M13-M12)</f>
        <v/>
      </c>
      <c r="O13" s="127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7">
        <f>'CP RESUMO'!M17</f>
        <v/>
      </c>
      <c r="N14" s="128">
        <f>MAX(0,M14-M13)</f>
        <v/>
      </c>
      <c r="O14" s="127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RESUMO'!N17</f>
        <v/>
      </c>
      <c r="N15" s="128">
        <f>MAX(0,M15-M14)</f>
        <v/>
      </c>
      <c r="O15" s="127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RESUMO'!O17</f>
        <v/>
      </c>
      <c r="N16" s="128">
        <f>MAX(0,M16-M15)</f>
        <v/>
      </c>
      <c r="O16" s="127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RESUMO'!P17</f>
        <v/>
      </c>
      <c r="N17" s="128">
        <f>MAX(0,M17-M16)</f>
        <v/>
      </c>
      <c r="O17" s="127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RESUMO'!Q17</f>
        <v/>
      </c>
      <c r="N18" s="128">
        <f>MAX(0,M18-M17)</f>
        <v/>
      </c>
      <c r="O18" s="127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RESUMO'!R17</f>
        <v/>
      </c>
      <c r="N19" s="128">
        <f>MAX(0,M19-M18)</f>
        <v/>
      </c>
      <c r="O19" s="127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RESUMO'!S17</f>
        <v/>
      </c>
      <c r="N20" s="128">
        <f>MAX(0,M20-M19)</f>
        <v/>
      </c>
      <c r="O20" s="127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RESUMO'!T17</f>
        <v/>
      </c>
      <c r="N21" s="128">
        <f>MAX(0,M21-M20)</f>
        <v/>
      </c>
      <c r="O21" s="127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RESUMO'!U17</f>
        <v/>
      </c>
      <c r="N22" s="128">
        <f>MAX(0,M22-M21)</f>
        <v/>
      </c>
      <c r="O22" s="127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RESUMO'!V17</f>
        <v/>
      </c>
      <c r="N23" s="128">
        <f>MAX(0,M23-M22)</f>
        <v/>
      </c>
      <c r="O23" s="127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RESUMO'!W17</f>
        <v/>
      </c>
      <c r="N24" s="128">
        <f>MAX(0,M24-M23)</f>
        <v/>
      </c>
      <c r="O24" s="127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RESUMO'!X17</f>
        <v/>
      </c>
      <c r="N25" s="128">
        <f>MAX(0,M25-M24)</f>
        <v/>
      </c>
      <c r="O25" s="127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RESUMO'!Y17</f>
        <v/>
      </c>
      <c r="N26" s="128">
        <f>MAX(0,M26-M25)</f>
        <v/>
      </c>
      <c r="O26" s="127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RESUMO'!Z17</f>
        <v/>
      </c>
      <c r="N27" s="128">
        <f>MAX(0,M27-M26)</f>
        <v/>
      </c>
      <c r="O27" s="127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RESUMO'!AA17</f>
        <v/>
      </c>
      <c r="N28" s="128">
        <f>MAX(0,M28-M27)</f>
        <v/>
      </c>
      <c r="O28" s="127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RESUMO'!AB17</f>
        <v/>
      </c>
      <c r="N29" s="128">
        <f>MAX(0,M29-M28)</f>
        <v/>
      </c>
      <c r="O29" s="127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RESUMO'!AC17</f>
        <v/>
      </c>
      <c r="N30" s="128">
        <f>MAX(0,M30-M29)</f>
        <v/>
      </c>
      <c r="O30" s="127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RESUMO'!AD17</f>
        <v/>
      </c>
      <c r="N31" s="128">
        <f>MAX(0,M31-M30)</f>
        <v/>
      </c>
      <c r="O31" s="127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RESUMO'!AE17</f>
        <v/>
      </c>
      <c r="N32" s="128">
        <f>MAX(0,M32-M31)</f>
        <v/>
      </c>
      <c r="O32" s="127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RESUMO'!AF17</f>
        <v/>
      </c>
      <c r="N33" s="128">
        <f>MAX(0,M33-M32)</f>
        <v/>
      </c>
      <c r="O33" s="127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RESUMO'!AG17</f>
        <v/>
      </c>
      <c r="N34" s="128">
        <f>MAX(0,M34-M33)</f>
        <v/>
      </c>
      <c r="O34" s="127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RESUMO'!AH17</f>
        <v/>
      </c>
      <c r="N35" s="128">
        <f>MAX(0,M35-M34)</f>
        <v/>
      </c>
      <c r="O35" s="127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RESUMO'!AI17</f>
        <v/>
      </c>
      <c r="N36" s="128">
        <f>MAX(0,M36-M35)</f>
        <v/>
      </c>
      <c r="O36" s="127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RESUMO'!AJ17</f>
        <v/>
      </c>
      <c r="N37" s="128">
        <f>MAX(0,M37-M36)</f>
        <v/>
      </c>
      <c r="O37" s="127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RESUMO'!AK17</f>
        <v/>
      </c>
      <c r="N38" s="128">
        <f>MAX(0,M38-M37)</f>
        <v/>
      </c>
      <c r="O38" s="127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RESUMO'!AL17</f>
        <v/>
      </c>
      <c r="N39" s="128">
        <f>MAX(0,M39-M38)</f>
        <v/>
      </c>
      <c r="O39" s="127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RESUMO'!AM17</f>
        <v/>
      </c>
      <c r="N40" s="128">
        <f>MAX(0,M40-M39)</f>
        <v/>
      </c>
      <c r="O40" s="127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RESUMO'!AN17</f>
        <v/>
      </c>
      <c r="N41" s="128">
        <f>MAX(0,M41-M40)</f>
        <v/>
      </c>
      <c r="O41" s="127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RESUMO'!AO17</f>
        <v/>
      </c>
      <c r="N42" s="128">
        <f>MAX(0,M42-M41)</f>
        <v/>
      </c>
      <c r="O42" s="127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RESUMO'!AP17</f>
        <v/>
      </c>
      <c r="N43" s="128">
        <f>MAX(0,M43-M42)</f>
        <v/>
      </c>
      <c r="O43" s="127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RESUMO'!AQ17</f>
        <v/>
      </c>
      <c r="N44" s="128">
        <f>MAX(0,M44-M43)</f>
        <v/>
      </c>
      <c r="O44" s="127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RESUMO'!AR17</f>
        <v/>
      </c>
      <c r="N45" s="128">
        <f>MAX(0,M45-M44)</f>
        <v/>
      </c>
      <c r="O45" s="127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RESUMO'!AS17</f>
        <v/>
      </c>
      <c r="N46" s="128">
        <f>MAX(0,M46-M45)</f>
        <v/>
      </c>
      <c r="O46" s="127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RESUMO'!AT17</f>
        <v/>
      </c>
      <c r="N47" s="128">
        <f>MAX(0,M47-M46)</f>
        <v/>
      </c>
      <c r="O47" s="127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RESUMO'!AU17</f>
        <v/>
      </c>
      <c r="N48" s="128">
        <f>MAX(0,M48-M47)</f>
        <v/>
      </c>
      <c r="O48" s="127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RESUMO'!AV17</f>
        <v/>
      </c>
      <c r="N49" s="128">
        <f>MAX(0,M49-M48)</f>
        <v/>
      </c>
      <c r="O49" s="127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RESUMO'!AW17</f>
        <v/>
      </c>
      <c r="N50" s="128">
        <f>MAX(0,M50-M49)</f>
        <v/>
      </c>
      <c r="O50" s="127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RESUMO'!AX17</f>
        <v/>
      </c>
      <c r="N51" s="128">
        <f>MAX(0,M51-M50)</f>
        <v/>
      </c>
      <c r="O51" s="127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RESUMO'!AY17</f>
        <v/>
      </c>
      <c r="N52" s="128">
        <f>MAX(0,M52-M51)</f>
        <v/>
      </c>
      <c r="O52" s="127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RESUMO'!AZ17</f>
        <v/>
      </c>
      <c r="N53" s="128">
        <f>MAX(0,M53-M52)</f>
        <v/>
      </c>
      <c r="O53" s="127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RESUMO'!BA17</f>
        <v/>
      </c>
      <c r="N54" s="128">
        <f>MAX(0,M54-M53)</f>
        <v/>
      </c>
      <c r="O54" s="127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RESUMO'!BB17</f>
        <v/>
      </c>
      <c r="N55" s="128">
        <f>MAX(0,M55-M54)</f>
        <v/>
      </c>
      <c r="O55" s="127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RESUMO'!BC17</f>
        <v/>
      </c>
      <c r="N56" s="128">
        <f>MAX(0,M56-M55)</f>
        <v/>
      </c>
      <c r="O56" s="127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RESUMO'!BD17</f>
        <v/>
      </c>
      <c r="N57" s="128">
        <f>MAX(0,M57-M56)</f>
        <v/>
      </c>
      <c r="O57" s="127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RESUMO'!BE17</f>
        <v/>
      </c>
      <c r="N58" s="128">
        <f>MAX(0,M58-M57)</f>
        <v/>
      </c>
      <c r="O58" s="127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RESUMO'!BF17</f>
        <v/>
      </c>
      <c r="N59" s="128">
        <f>MAX(0,M59-M58)</f>
        <v/>
      </c>
      <c r="O59" s="127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RESUMO'!BG17</f>
        <v/>
      </c>
      <c r="N60" s="128">
        <f>MAX(0,M60-M59)</f>
        <v/>
      </c>
      <c r="O60" s="127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RESUMO'!BH17</f>
        <v/>
      </c>
      <c r="N61" s="128">
        <f>MAX(0,M61-M60)</f>
        <v/>
      </c>
      <c r="O61" s="127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RESUMO'!BI17</f>
        <v/>
      </c>
      <c r="N62" s="128">
        <f>MAX(0,M62-M61)</f>
        <v/>
      </c>
      <c r="O62" s="127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RESUMO'!BJ17</f>
        <v/>
      </c>
      <c r="N63" s="128">
        <f>MAX(0,M63-M62)</f>
        <v/>
      </c>
      <c r="O63" s="127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RESUMO'!BK17</f>
        <v/>
      </c>
      <c r="N64" s="128">
        <f>MAX(0,M64-M63)</f>
        <v/>
      </c>
      <c r="O64" s="127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RESUMO'!BL17</f>
        <v/>
      </c>
      <c r="N65" s="128">
        <f>MAX(0,M65-M64)</f>
        <v/>
      </c>
      <c r="O65" s="127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RESUMO'!BM17</f>
        <v/>
      </c>
      <c r="N66" s="128">
        <f>MAX(0,M66-M65)</f>
        <v/>
      </c>
      <c r="O66" s="127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RESUMO'!BN17</f>
        <v/>
      </c>
      <c r="N67" s="128">
        <f>MAX(0,M67-M66)</f>
        <v/>
      </c>
      <c r="O67" s="127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RESUMO'!BO17</f>
        <v/>
      </c>
      <c r="N68" s="128">
        <f>MAX(0,M68-M67)</f>
        <v/>
      </c>
      <c r="O68" s="127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RESUMO'!BP17</f>
        <v/>
      </c>
      <c r="N69" s="128">
        <f>MAX(0,M69-M68)</f>
        <v/>
      </c>
      <c r="O69" s="127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RESUMO'!BQ17</f>
        <v/>
      </c>
      <c r="N70" s="128">
        <f>MAX(0,M70-M69)</f>
        <v/>
      </c>
      <c r="O70" s="127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RESUMO'!BR17</f>
        <v/>
      </c>
      <c r="N71" s="128">
        <f>MAX(0,M71-M70)</f>
        <v/>
      </c>
      <c r="O71" s="127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RESUMO'!BS17</f>
        <v/>
      </c>
      <c r="N72" s="128">
        <f>MAX(0,M72-M71)</f>
        <v/>
      </c>
      <c r="O72" s="127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RESUMO'!BT17</f>
        <v/>
      </c>
      <c r="N73" s="128">
        <f>MAX(0,M73-M72)</f>
        <v/>
      </c>
      <c r="O73" s="127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RESUMO'!BU17</f>
        <v/>
      </c>
      <c r="N74" s="128">
        <f>MAX(0,M74-M73)</f>
        <v/>
      </c>
      <c r="O74" s="127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RESUMO'!BV17</f>
        <v/>
      </c>
      <c r="N75" s="128">
        <f>MAX(0,M75-M74)</f>
        <v/>
      </c>
      <c r="O75" s="127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RESUMO'!BW17</f>
        <v/>
      </c>
      <c r="N76" s="128">
        <f>MAX(0,M76-M75)</f>
        <v/>
      </c>
      <c r="O76" s="127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PL'!F24</f>
        <v/>
      </c>
      <c r="K5" s="108">
        <f>'VALOR POR PL'!G24</f>
        <v/>
      </c>
      <c r="M5" s="127">
        <f>'CP RESUMO'!D18</f>
        <v/>
      </c>
      <c r="N5" s="128" t="n">
        <v>0</v>
      </c>
      <c r="O5" s="127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RESUMO'!E18</f>
        <v/>
      </c>
      <c r="N6" s="128">
        <f>MAX(0,M6-M5)</f>
        <v/>
      </c>
      <c r="O6" s="127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PL'!L24</f>
        <v/>
      </c>
      <c r="M7" s="127">
        <f>'CP RESUMO'!F18</f>
        <v/>
      </c>
      <c r="N7" s="128">
        <f>MAX(0,M7-M6)</f>
        <v/>
      </c>
      <c r="O7" s="127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RESUMO'!G18</f>
        <v/>
      </c>
      <c r="N8" s="128">
        <f>MAX(0,M8-M7)</f>
        <v/>
      </c>
      <c r="O8" s="127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RESUMO'!H18</f>
        <v/>
      </c>
      <c r="N9" s="128">
        <f>MAX(0,M9-M8)</f>
        <v/>
      </c>
      <c r="O9" s="127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RESUMO'!I18</f>
        <v/>
      </c>
      <c r="N10" s="128">
        <f>MAX(0,M10-M9)</f>
        <v/>
      </c>
      <c r="O10" s="127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RESUMO'!J18</f>
        <v/>
      </c>
      <c r="N11" s="128">
        <f>MAX(0,M11-M10)</f>
        <v/>
      </c>
      <c r="O11" s="127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RESUMO'!K18</f>
        <v/>
      </c>
      <c r="N12" s="128">
        <f>MAX(0,M12-M11)</f>
        <v/>
      </c>
      <c r="O12" s="127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PL'!I24</f>
        <v/>
      </c>
      <c r="M13" s="127">
        <f>'CP RESUMO'!L18</f>
        <v/>
      </c>
      <c r="N13" s="128">
        <f>MAX(0,M13-M12)</f>
        <v/>
      </c>
      <c r="O13" s="127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7">
        <f>'CP RESUMO'!M18</f>
        <v/>
      </c>
      <c r="N14" s="128">
        <f>MAX(0,M14-M13)</f>
        <v/>
      </c>
      <c r="O14" s="127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RESUMO'!N18</f>
        <v/>
      </c>
      <c r="N15" s="128">
        <f>MAX(0,M15-M14)</f>
        <v/>
      </c>
      <c r="O15" s="127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RESUMO'!O18</f>
        <v/>
      </c>
      <c r="N16" s="128">
        <f>MAX(0,M16-M15)</f>
        <v/>
      </c>
      <c r="O16" s="127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RESUMO'!P18</f>
        <v/>
      </c>
      <c r="N17" s="128">
        <f>MAX(0,M17-M16)</f>
        <v/>
      </c>
      <c r="O17" s="127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RESUMO'!Q18</f>
        <v/>
      </c>
      <c r="N18" s="128">
        <f>MAX(0,M18-M17)</f>
        <v/>
      </c>
      <c r="O18" s="127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RESUMO'!R18</f>
        <v/>
      </c>
      <c r="N19" s="128">
        <f>MAX(0,M19-M18)</f>
        <v/>
      </c>
      <c r="O19" s="127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RESUMO'!S18</f>
        <v/>
      </c>
      <c r="N20" s="128">
        <f>MAX(0,M20-M19)</f>
        <v/>
      </c>
      <c r="O20" s="127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RESUMO'!T18</f>
        <v/>
      </c>
      <c r="N21" s="128">
        <f>MAX(0,M21-M20)</f>
        <v/>
      </c>
      <c r="O21" s="127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RESUMO'!U18</f>
        <v/>
      </c>
      <c r="N22" s="128">
        <f>MAX(0,M22-M21)</f>
        <v/>
      </c>
      <c r="O22" s="127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RESUMO'!V18</f>
        <v/>
      </c>
      <c r="N23" s="128">
        <f>MAX(0,M23-M22)</f>
        <v/>
      </c>
      <c r="O23" s="127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RESUMO'!W18</f>
        <v/>
      </c>
      <c r="N24" s="128">
        <f>MAX(0,M24-M23)</f>
        <v/>
      </c>
      <c r="O24" s="127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RESUMO'!X18</f>
        <v/>
      </c>
      <c r="N25" s="128">
        <f>MAX(0,M25-M24)</f>
        <v/>
      </c>
      <c r="O25" s="127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RESUMO'!Y18</f>
        <v/>
      </c>
      <c r="N26" s="128">
        <f>MAX(0,M26-M25)</f>
        <v/>
      </c>
      <c r="O26" s="127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RESUMO'!Z18</f>
        <v/>
      </c>
      <c r="N27" s="128">
        <f>MAX(0,M27-M26)</f>
        <v/>
      </c>
      <c r="O27" s="127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RESUMO'!AA18</f>
        <v/>
      </c>
      <c r="N28" s="128">
        <f>MAX(0,M28-M27)</f>
        <v/>
      </c>
      <c r="O28" s="127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RESUMO'!AB18</f>
        <v/>
      </c>
      <c r="N29" s="128">
        <f>MAX(0,M29-M28)</f>
        <v/>
      </c>
      <c r="O29" s="127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RESUMO'!AC18</f>
        <v/>
      </c>
      <c r="N30" s="128">
        <f>MAX(0,M30-M29)</f>
        <v/>
      </c>
      <c r="O30" s="127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RESUMO'!AD18</f>
        <v/>
      </c>
      <c r="N31" s="128">
        <f>MAX(0,M31-M30)</f>
        <v/>
      </c>
      <c r="O31" s="127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RESUMO'!AE18</f>
        <v/>
      </c>
      <c r="N32" s="128">
        <f>MAX(0,M32-M31)</f>
        <v/>
      </c>
      <c r="O32" s="127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RESUMO'!AF18</f>
        <v/>
      </c>
      <c r="N33" s="128">
        <f>MAX(0,M33-M32)</f>
        <v/>
      </c>
      <c r="O33" s="127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RESUMO'!AG18</f>
        <v/>
      </c>
      <c r="N34" s="128">
        <f>MAX(0,M34-M33)</f>
        <v/>
      </c>
      <c r="O34" s="127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RESUMO'!AH18</f>
        <v/>
      </c>
      <c r="N35" s="128">
        <f>MAX(0,M35-M34)</f>
        <v/>
      </c>
      <c r="O35" s="127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RESUMO'!AI18</f>
        <v/>
      </c>
      <c r="N36" s="128">
        <f>MAX(0,M36-M35)</f>
        <v/>
      </c>
      <c r="O36" s="127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RESUMO'!AJ18</f>
        <v/>
      </c>
      <c r="N37" s="128">
        <f>MAX(0,M37-M36)</f>
        <v/>
      </c>
      <c r="O37" s="127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RESUMO'!AK18</f>
        <v/>
      </c>
      <c r="N38" s="128">
        <f>MAX(0,M38-M37)</f>
        <v/>
      </c>
      <c r="O38" s="127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RESUMO'!AL18</f>
        <v/>
      </c>
      <c r="N39" s="128">
        <f>MAX(0,M39-M38)</f>
        <v/>
      </c>
      <c r="O39" s="127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RESUMO'!AM18</f>
        <v/>
      </c>
      <c r="N40" s="128">
        <f>MAX(0,M40-M39)</f>
        <v/>
      </c>
      <c r="O40" s="127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RESUMO'!AN18</f>
        <v/>
      </c>
      <c r="N41" s="128">
        <f>MAX(0,M41-M40)</f>
        <v/>
      </c>
      <c r="O41" s="127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RESUMO'!AO18</f>
        <v/>
      </c>
      <c r="N42" s="128">
        <f>MAX(0,M42-M41)</f>
        <v/>
      </c>
      <c r="O42" s="127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RESUMO'!AP18</f>
        <v/>
      </c>
      <c r="N43" s="128">
        <f>MAX(0,M43-M42)</f>
        <v/>
      </c>
      <c r="O43" s="127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RESUMO'!AQ18</f>
        <v/>
      </c>
      <c r="N44" s="128">
        <f>MAX(0,M44-M43)</f>
        <v/>
      </c>
      <c r="O44" s="127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RESUMO'!AR18</f>
        <v/>
      </c>
      <c r="N45" s="128">
        <f>MAX(0,M45-M44)</f>
        <v/>
      </c>
      <c r="O45" s="127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RESUMO'!AS18</f>
        <v/>
      </c>
      <c r="N46" s="128">
        <f>MAX(0,M46-M45)</f>
        <v/>
      </c>
      <c r="O46" s="127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RESUMO'!AT18</f>
        <v/>
      </c>
      <c r="N47" s="128">
        <f>MAX(0,M47-M46)</f>
        <v/>
      </c>
      <c r="O47" s="127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RESUMO'!AU18</f>
        <v/>
      </c>
      <c r="N48" s="128">
        <f>MAX(0,M48-M47)</f>
        <v/>
      </c>
      <c r="O48" s="127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RESUMO'!AV18</f>
        <v/>
      </c>
      <c r="N49" s="128">
        <f>MAX(0,M49-M48)</f>
        <v/>
      </c>
      <c r="O49" s="127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RESUMO'!AW18</f>
        <v/>
      </c>
      <c r="N50" s="128">
        <f>MAX(0,M50-M49)</f>
        <v/>
      </c>
      <c r="O50" s="127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RESUMO'!AX18</f>
        <v/>
      </c>
      <c r="N51" s="128">
        <f>MAX(0,M51-M50)</f>
        <v/>
      </c>
      <c r="O51" s="127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RESUMO'!AY18</f>
        <v/>
      </c>
      <c r="N52" s="128">
        <f>MAX(0,M52-M51)</f>
        <v/>
      </c>
      <c r="O52" s="127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RESUMO'!AZ18</f>
        <v/>
      </c>
      <c r="N53" s="128">
        <f>MAX(0,M53-M52)</f>
        <v/>
      </c>
      <c r="O53" s="127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RESUMO'!BA18</f>
        <v/>
      </c>
      <c r="N54" s="128">
        <f>MAX(0,M54-M53)</f>
        <v/>
      </c>
      <c r="O54" s="127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RESUMO'!BB18</f>
        <v/>
      </c>
      <c r="N55" s="128">
        <f>MAX(0,M55-M54)</f>
        <v/>
      </c>
      <c r="O55" s="127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RESUMO'!BC18</f>
        <v/>
      </c>
      <c r="N56" s="128">
        <f>MAX(0,M56-M55)</f>
        <v/>
      </c>
      <c r="O56" s="127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RESUMO'!BD18</f>
        <v/>
      </c>
      <c r="N57" s="128">
        <f>MAX(0,M57-M56)</f>
        <v/>
      </c>
      <c r="O57" s="127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RESUMO'!BE18</f>
        <v/>
      </c>
      <c r="N58" s="128">
        <f>MAX(0,M58-M57)</f>
        <v/>
      </c>
      <c r="O58" s="127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RESUMO'!BF18</f>
        <v/>
      </c>
      <c r="N59" s="128">
        <f>MAX(0,M59-M58)</f>
        <v/>
      </c>
      <c r="O59" s="127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RESUMO'!BG18</f>
        <v/>
      </c>
      <c r="N60" s="128">
        <f>MAX(0,M60-M59)</f>
        <v/>
      </c>
      <c r="O60" s="127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RESUMO'!BH18</f>
        <v/>
      </c>
      <c r="N61" s="128">
        <f>MAX(0,M61-M60)</f>
        <v/>
      </c>
      <c r="O61" s="127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RESUMO'!BI18</f>
        <v/>
      </c>
      <c r="N62" s="128">
        <f>MAX(0,M62-M61)</f>
        <v/>
      </c>
      <c r="O62" s="127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RESUMO'!BJ18</f>
        <v/>
      </c>
      <c r="N63" s="128">
        <f>MAX(0,M63-M62)</f>
        <v/>
      </c>
      <c r="O63" s="127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RESUMO'!BK18</f>
        <v/>
      </c>
      <c r="N64" s="128">
        <f>MAX(0,M64-M63)</f>
        <v/>
      </c>
      <c r="O64" s="127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RESUMO'!BL18</f>
        <v/>
      </c>
      <c r="N65" s="128">
        <f>MAX(0,M65-M64)</f>
        <v/>
      </c>
      <c r="O65" s="127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RESUMO'!BM18</f>
        <v/>
      </c>
      <c r="N66" s="128">
        <f>MAX(0,M66-M65)</f>
        <v/>
      </c>
      <c r="O66" s="127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RESUMO'!BN18</f>
        <v/>
      </c>
      <c r="N67" s="128">
        <f>MAX(0,M67-M66)</f>
        <v/>
      </c>
      <c r="O67" s="127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RESUMO'!BO18</f>
        <v/>
      </c>
      <c r="N68" s="128">
        <f>MAX(0,M68-M67)</f>
        <v/>
      </c>
      <c r="O68" s="127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RESUMO'!BP18</f>
        <v/>
      </c>
      <c r="N69" s="128">
        <f>MAX(0,M69-M68)</f>
        <v/>
      </c>
      <c r="O69" s="127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RESUMO'!BQ18</f>
        <v/>
      </c>
      <c r="N70" s="128">
        <f>MAX(0,M70-M69)</f>
        <v/>
      </c>
      <c r="O70" s="127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RESUMO'!BR18</f>
        <v/>
      </c>
      <c r="N71" s="128">
        <f>MAX(0,M71-M70)</f>
        <v/>
      </c>
      <c r="O71" s="127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RESUMO'!BS18</f>
        <v/>
      </c>
      <c r="N72" s="128">
        <f>MAX(0,M72-M71)</f>
        <v/>
      </c>
      <c r="O72" s="127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RESUMO'!BT18</f>
        <v/>
      </c>
      <c r="N73" s="128">
        <f>MAX(0,M73-M72)</f>
        <v/>
      </c>
      <c r="O73" s="127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RESUMO'!BU18</f>
        <v/>
      </c>
      <c r="N74" s="128">
        <f>MAX(0,M74-M73)</f>
        <v/>
      </c>
      <c r="O74" s="127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RESUMO'!BV18</f>
        <v/>
      </c>
      <c r="N75" s="128">
        <f>MAX(0,M75-M74)</f>
        <v/>
      </c>
      <c r="O75" s="127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RESUMO'!BW18</f>
        <v/>
      </c>
      <c r="N76" s="128">
        <f>MAX(0,M76-M75)</f>
        <v/>
      </c>
      <c r="O76" s="127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HISTORICOS'!D19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PL'!F25</f>
        <v/>
      </c>
      <c r="K5" s="108">
        <f>'VALOR POR PL'!G25</f>
        <v/>
      </c>
      <c r="M5" s="127">
        <f>'CP RESUMO'!D19</f>
        <v/>
      </c>
      <c r="N5" s="128" t="n">
        <v>0</v>
      </c>
      <c r="O5" s="127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HISTORICOS'!E19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RESUMO'!E19</f>
        <v/>
      </c>
      <c r="N6" s="128">
        <f>MAX(0,M6-M5)</f>
        <v/>
      </c>
      <c r="O6" s="127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HISTORICOS'!F19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PL'!L25</f>
        <v/>
      </c>
      <c r="M7" s="127">
        <f>'CP RESUMO'!F19</f>
        <v/>
      </c>
      <c r="N7" s="128">
        <f>MAX(0,M7-M6)</f>
        <v/>
      </c>
      <c r="O7" s="127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HISTORICOS'!G19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RESUMO'!G19</f>
        <v/>
      </c>
      <c r="N8" s="128">
        <f>MAX(0,M8-M7)</f>
        <v/>
      </c>
      <c r="O8" s="127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HISTORICOS'!H19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RESUMO'!H19</f>
        <v/>
      </c>
      <c r="N9" s="128">
        <f>MAX(0,M9-M8)</f>
        <v/>
      </c>
      <c r="O9" s="127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HISTORICOS'!I19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RESUMO'!I19</f>
        <v/>
      </c>
      <c r="N10" s="128">
        <f>MAX(0,M10-M9)</f>
        <v/>
      </c>
      <c r="O10" s="127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HISTORICOS'!J19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RESUMO'!J19</f>
        <v/>
      </c>
      <c r="N11" s="128">
        <f>MAX(0,M11-M10)</f>
        <v/>
      </c>
      <c r="O11" s="127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HISTORICOS'!K19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RESUMO'!K19</f>
        <v/>
      </c>
      <c r="N12" s="128">
        <f>MAX(0,M12-M11)</f>
        <v/>
      </c>
      <c r="O12" s="127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HISTORICOS'!L19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PL'!I25</f>
        <v/>
      </c>
      <c r="M13" s="127">
        <f>'CP RESUMO'!L19</f>
        <v/>
      </c>
      <c r="N13" s="128">
        <f>MAX(0,M13-M12)</f>
        <v/>
      </c>
      <c r="O13" s="127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HISTORICOS'!M19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7">
        <f>'CP RESUMO'!M19</f>
        <v/>
      </c>
      <c r="N14" s="128">
        <f>MAX(0,M14-M13)</f>
        <v/>
      </c>
      <c r="O14" s="127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HISTORICOS'!N19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RESUMO'!N19</f>
        <v/>
      </c>
      <c r="N15" s="128">
        <f>MAX(0,M15-M14)</f>
        <v/>
      </c>
      <c r="O15" s="127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HISTORICOS'!O19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RESUMO'!O19</f>
        <v/>
      </c>
      <c r="N16" s="128">
        <f>MAX(0,M16-M15)</f>
        <v/>
      </c>
      <c r="O16" s="127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HISTORICOS'!P19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RESUMO'!P19</f>
        <v/>
      </c>
      <c r="N17" s="128">
        <f>MAX(0,M17-M16)</f>
        <v/>
      </c>
      <c r="O17" s="127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HISTORICOS'!Q19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RESUMO'!Q19</f>
        <v/>
      </c>
      <c r="N18" s="128">
        <f>MAX(0,M18-M17)</f>
        <v/>
      </c>
      <c r="O18" s="127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HISTORICOS'!R19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RESUMO'!R19</f>
        <v/>
      </c>
      <c r="N19" s="128">
        <f>MAX(0,M19-M18)</f>
        <v/>
      </c>
      <c r="O19" s="127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HISTORICOS'!S19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RESUMO'!S19</f>
        <v/>
      </c>
      <c r="N20" s="128">
        <f>MAX(0,M20-M19)</f>
        <v/>
      </c>
      <c r="O20" s="127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HISTORICOS'!T19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RESUMO'!T19</f>
        <v/>
      </c>
      <c r="N21" s="128">
        <f>MAX(0,M21-M20)</f>
        <v/>
      </c>
      <c r="O21" s="127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HISTORICOS'!U19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RESUMO'!U19</f>
        <v/>
      </c>
      <c r="N22" s="128">
        <f>MAX(0,M22-M21)</f>
        <v/>
      </c>
      <c r="O22" s="127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HISTORICOS'!V19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RESUMO'!V19</f>
        <v/>
      </c>
      <c r="N23" s="128">
        <f>MAX(0,M23-M22)</f>
        <v/>
      </c>
      <c r="O23" s="127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HISTORICOS'!W19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RESUMO'!W19</f>
        <v/>
      </c>
      <c r="N24" s="128">
        <f>MAX(0,M24-M23)</f>
        <v/>
      </c>
      <c r="O24" s="127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HISTORICOS'!X19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RESUMO'!X19</f>
        <v/>
      </c>
      <c r="N25" s="128">
        <f>MAX(0,M25-M24)</f>
        <v/>
      </c>
      <c r="O25" s="127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HISTORICOS'!Y19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RESUMO'!Y19</f>
        <v/>
      </c>
      <c r="N26" s="128">
        <f>MAX(0,M26-M25)</f>
        <v/>
      </c>
      <c r="O26" s="127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HISTORICOS'!Z19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RESUMO'!Z19</f>
        <v/>
      </c>
      <c r="N27" s="128">
        <f>MAX(0,M27-M26)</f>
        <v/>
      </c>
      <c r="O27" s="127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HISTORICOS'!AA19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RESUMO'!AA19</f>
        <v/>
      </c>
      <c r="N28" s="128">
        <f>MAX(0,M28-M27)</f>
        <v/>
      </c>
      <c r="O28" s="127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HISTORICOS'!AB19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RESUMO'!AB19</f>
        <v/>
      </c>
      <c r="N29" s="128">
        <f>MAX(0,M29-M28)</f>
        <v/>
      </c>
      <c r="O29" s="127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HISTORICOS'!AC19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RESUMO'!AC19</f>
        <v/>
      </c>
      <c r="N30" s="128">
        <f>MAX(0,M30-M29)</f>
        <v/>
      </c>
      <c r="O30" s="127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HISTORICOS'!AD19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RESUMO'!AD19</f>
        <v/>
      </c>
      <c r="N31" s="128">
        <f>MAX(0,M31-M30)</f>
        <v/>
      </c>
      <c r="O31" s="127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HISTORICOS'!AE19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RESUMO'!AE19</f>
        <v/>
      </c>
      <c r="N32" s="128">
        <f>MAX(0,M32-M31)</f>
        <v/>
      </c>
      <c r="O32" s="127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HISTORICOS'!AF19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RESUMO'!AF19</f>
        <v/>
      </c>
      <c r="N33" s="128">
        <f>MAX(0,M33-M32)</f>
        <v/>
      </c>
      <c r="O33" s="127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HISTORICOS'!AG19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RESUMO'!AG19</f>
        <v/>
      </c>
      <c r="N34" s="128">
        <f>MAX(0,M34-M33)</f>
        <v/>
      </c>
      <c r="O34" s="127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HISTORICOS'!AH19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RESUMO'!AH19</f>
        <v/>
      </c>
      <c r="N35" s="128">
        <f>MAX(0,M35-M34)</f>
        <v/>
      </c>
      <c r="O35" s="127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HISTORICOS'!AI19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RESUMO'!AI19</f>
        <v/>
      </c>
      <c r="N36" s="128">
        <f>MAX(0,M36-M35)</f>
        <v/>
      </c>
      <c r="O36" s="127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HISTORICOS'!AJ19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RESUMO'!AJ19</f>
        <v/>
      </c>
      <c r="N37" s="128">
        <f>MAX(0,M37-M36)</f>
        <v/>
      </c>
      <c r="O37" s="127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HISTORICOS'!AK19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RESUMO'!AK19</f>
        <v/>
      </c>
      <c r="N38" s="128">
        <f>MAX(0,M38-M37)</f>
        <v/>
      </c>
      <c r="O38" s="127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HISTORICOS'!AL19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RESUMO'!AL19</f>
        <v/>
      </c>
      <c r="N39" s="128">
        <f>MAX(0,M39-M38)</f>
        <v/>
      </c>
      <c r="O39" s="127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HISTORICOS'!AM19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RESUMO'!AM19</f>
        <v/>
      </c>
      <c r="N40" s="128">
        <f>MAX(0,M40-M39)</f>
        <v/>
      </c>
      <c r="O40" s="127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HISTORICOS'!AN19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RESUMO'!AN19</f>
        <v/>
      </c>
      <c r="N41" s="128">
        <f>MAX(0,M41-M40)</f>
        <v/>
      </c>
      <c r="O41" s="127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HISTORICOS'!AO19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RESUMO'!AO19</f>
        <v/>
      </c>
      <c r="N42" s="128">
        <f>MAX(0,M42-M41)</f>
        <v/>
      </c>
      <c r="O42" s="127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HISTORICOS'!AP19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RESUMO'!AP19</f>
        <v/>
      </c>
      <c r="N43" s="128">
        <f>MAX(0,M43-M42)</f>
        <v/>
      </c>
      <c r="O43" s="127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HISTORICOS'!AQ19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RESUMO'!AQ19</f>
        <v/>
      </c>
      <c r="N44" s="128">
        <f>MAX(0,M44-M43)</f>
        <v/>
      </c>
      <c r="O44" s="127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HISTORICOS'!AR19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RESUMO'!AR19</f>
        <v/>
      </c>
      <c r="N45" s="128">
        <f>MAX(0,M45-M44)</f>
        <v/>
      </c>
      <c r="O45" s="127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HISTORICOS'!AS19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RESUMO'!AS19</f>
        <v/>
      </c>
      <c r="N46" s="128">
        <f>MAX(0,M46-M45)</f>
        <v/>
      </c>
      <c r="O46" s="127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HISTORICOS'!AT19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RESUMO'!AT19</f>
        <v/>
      </c>
      <c r="N47" s="128">
        <f>MAX(0,M47-M46)</f>
        <v/>
      </c>
      <c r="O47" s="127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HISTORICOS'!AU19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RESUMO'!AU19</f>
        <v/>
      </c>
      <c r="N48" s="128">
        <f>MAX(0,M48-M47)</f>
        <v/>
      </c>
      <c r="O48" s="127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HISTORICOS'!AV19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RESUMO'!AV19</f>
        <v/>
      </c>
      <c r="N49" s="128">
        <f>MAX(0,M49-M48)</f>
        <v/>
      </c>
      <c r="O49" s="127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HISTORICOS'!AW19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RESUMO'!AW19</f>
        <v/>
      </c>
      <c r="N50" s="128">
        <f>MAX(0,M50-M49)</f>
        <v/>
      </c>
      <c r="O50" s="127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HISTORICOS'!AX19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RESUMO'!AX19</f>
        <v/>
      </c>
      <c r="N51" s="128">
        <f>MAX(0,M51-M50)</f>
        <v/>
      </c>
      <c r="O51" s="127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HISTORICOS'!AY19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RESUMO'!AY19</f>
        <v/>
      </c>
      <c r="N52" s="128">
        <f>MAX(0,M52-M51)</f>
        <v/>
      </c>
      <c r="O52" s="127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HISTORICOS'!AZ19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RESUMO'!AZ19</f>
        <v/>
      </c>
      <c r="N53" s="128">
        <f>MAX(0,M53-M52)</f>
        <v/>
      </c>
      <c r="O53" s="127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HISTORICOS'!BA19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RESUMO'!BA19</f>
        <v/>
      </c>
      <c r="N54" s="128">
        <f>MAX(0,M54-M53)</f>
        <v/>
      </c>
      <c r="O54" s="127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HISTORICOS'!BB19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RESUMO'!BB19</f>
        <v/>
      </c>
      <c r="N55" s="128">
        <f>MAX(0,M55-M54)</f>
        <v/>
      </c>
      <c r="O55" s="127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HISTORICOS'!BC19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RESUMO'!BC19</f>
        <v/>
      </c>
      <c r="N56" s="128">
        <f>MAX(0,M56-M55)</f>
        <v/>
      </c>
      <c r="O56" s="127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HISTORICOS'!BD19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RESUMO'!BD19</f>
        <v/>
      </c>
      <c r="N57" s="128">
        <f>MAX(0,M57-M56)</f>
        <v/>
      </c>
      <c r="O57" s="127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HISTORICOS'!BE19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RESUMO'!BE19</f>
        <v/>
      </c>
      <c r="N58" s="128">
        <f>MAX(0,M58-M57)</f>
        <v/>
      </c>
      <c r="O58" s="127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HISTORICOS'!BF19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RESUMO'!BF19</f>
        <v/>
      </c>
      <c r="N59" s="128">
        <f>MAX(0,M59-M58)</f>
        <v/>
      </c>
      <c r="O59" s="127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HISTORICOS'!BG19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RESUMO'!BG19</f>
        <v/>
      </c>
      <c r="N60" s="128">
        <f>MAX(0,M60-M59)</f>
        <v/>
      </c>
      <c r="O60" s="127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HISTORICOS'!BH19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RESUMO'!BH19</f>
        <v/>
      </c>
      <c r="N61" s="128">
        <f>MAX(0,M61-M60)</f>
        <v/>
      </c>
      <c r="O61" s="127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HISTORICOS'!BI19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RESUMO'!BI19</f>
        <v/>
      </c>
      <c r="N62" s="128">
        <f>MAX(0,M62-M61)</f>
        <v/>
      </c>
      <c r="O62" s="127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HISTORICOS'!BJ19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RESUMO'!BJ19</f>
        <v/>
      </c>
      <c r="N63" s="128">
        <f>MAX(0,M63-M62)</f>
        <v/>
      </c>
      <c r="O63" s="127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HISTORICOS'!BK19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RESUMO'!BK19</f>
        <v/>
      </c>
      <c r="N64" s="128">
        <f>MAX(0,M64-M63)</f>
        <v/>
      </c>
      <c r="O64" s="127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HISTORICOS'!BL19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RESUMO'!BL19</f>
        <v/>
      </c>
      <c r="N65" s="128">
        <f>MAX(0,M65-M64)</f>
        <v/>
      </c>
      <c r="O65" s="127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HISTORICOS'!BM19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RESUMO'!BM19</f>
        <v/>
      </c>
      <c r="N66" s="128">
        <f>MAX(0,M66-M65)</f>
        <v/>
      </c>
      <c r="O66" s="127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HISTORICOS'!BN19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RESUMO'!BN19</f>
        <v/>
      </c>
      <c r="N67" s="128">
        <f>MAX(0,M67-M66)</f>
        <v/>
      </c>
      <c r="O67" s="127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HISTORICOS'!BO19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RESUMO'!BO19</f>
        <v/>
      </c>
      <c r="N68" s="128">
        <f>MAX(0,M68-M67)</f>
        <v/>
      </c>
      <c r="O68" s="127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HISTORICOS'!BP19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RESUMO'!BP19</f>
        <v/>
      </c>
      <c r="N69" s="128">
        <f>MAX(0,M69-M68)</f>
        <v/>
      </c>
      <c r="O69" s="127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HISTORICOS'!BQ19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RESUMO'!BQ19</f>
        <v/>
      </c>
      <c r="N70" s="128">
        <f>MAX(0,M70-M69)</f>
        <v/>
      </c>
      <c r="O70" s="127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HISTORICOS'!BR19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RESUMO'!BR19</f>
        <v/>
      </c>
      <c r="N71" s="128">
        <f>MAX(0,M71-M70)</f>
        <v/>
      </c>
      <c r="O71" s="127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HISTORICOS'!BS19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RESUMO'!BS19</f>
        <v/>
      </c>
      <c r="N72" s="128">
        <f>MAX(0,M72-M71)</f>
        <v/>
      </c>
      <c r="O72" s="127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HISTORICOS'!BT19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RESUMO'!BT19</f>
        <v/>
      </c>
      <c r="N73" s="128">
        <f>MAX(0,M73-M72)</f>
        <v/>
      </c>
      <c r="O73" s="127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HISTORICOS'!BU19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RESUMO'!BU19</f>
        <v/>
      </c>
      <c r="N74" s="128">
        <f>MAX(0,M74-M73)</f>
        <v/>
      </c>
      <c r="O74" s="127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HISTORICOS'!BV19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RESUMO'!BV19</f>
        <v/>
      </c>
      <c r="N75" s="128">
        <f>MAX(0,M75-M74)</f>
        <v/>
      </c>
      <c r="O75" s="127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HISTORICOS'!BW19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RESUMO'!BW19</f>
        <v/>
      </c>
      <c r="N76" s="128">
        <f>MAX(0,M76-M75)</f>
        <v/>
      </c>
      <c r="O76" s="127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PL'!F26</f>
        <v/>
      </c>
      <c r="K5" s="108">
        <f>'VALOR POR PL'!G26</f>
        <v/>
      </c>
      <c r="M5" s="127">
        <f>'CP RESUMO'!D20</f>
        <v/>
      </c>
      <c r="N5" s="128" t="n">
        <v>0</v>
      </c>
      <c r="O5" s="127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RESUMO'!E20</f>
        <v/>
      </c>
      <c r="N6" s="128">
        <f>MAX(0,M6-M5)</f>
        <v/>
      </c>
      <c r="O6" s="127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PL'!L26</f>
        <v/>
      </c>
      <c r="M7" s="127">
        <f>'CP RESUMO'!F20</f>
        <v/>
      </c>
      <c r="N7" s="128">
        <f>MAX(0,M7-M6)</f>
        <v/>
      </c>
      <c r="O7" s="127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RESUMO'!G20</f>
        <v/>
      </c>
      <c r="N8" s="128">
        <f>MAX(0,M8-M7)</f>
        <v/>
      </c>
      <c r="O8" s="127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RESUMO'!H20</f>
        <v/>
      </c>
      <c r="N9" s="128">
        <f>MAX(0,M9-M8)</f>
        <v/>
      </c>
      <c r="O9" s="127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RESUMO'!I20</f>
        <v/>
      </c>
      <c r="N10" s="128">
        <f>MAX(0,M10-M9)</f>
        <v/>
      </c>
      <c r="O10" s="127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RESUMO'!J20</f>
        <v/>
      </c>
      <c r="N11" s="128">
        <f>MAX(0,M11-M10)</f>
        <v/>
      </c>
      <c r="O11" s="127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RESUMO'!K20</f>
        <v/>
      </c>
      <c r="N12" s="128">
        <f>MAX(0,M12-M11)</f>
        <v/>
      </c>
      <c r="O12" s="127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PL'!I26</f>
        <v/>
      </c>
      <c r="M13" s="127">
        <f>'CP RESUMO'!L20</f>
        <v/>
      </c>
      <c r="N13" s="128">
        <f>MAX(0,M13-M12)</f>
        <v/>
      </c>
      <c r="O13" s="127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7">
        <f>'CP RESUMO'!M20</f>
        <v/>
      </c>
      <c r="N14" s="128">
        <f>MAX(0,M14-M13)</f>
        <v/>
      </c>
      <c r="O14" s="127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RESUMO'!N20</f>
        <v/>
      </c>
      <c r="N15" s="128">
        <f>MAX(0,M15-M14)</f>
        <v/>
      </c>
      <c r="O15" s="127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RESUMO'!O20</f>
        <v/>
      </c>
      <c r="N16" s="128">
        <f>MAX(0,M16-M15)</f>
        <v/>
      </c>
      <c r="O16" s="127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RESUMO'!P20</f>
        <v/>
      </c>
      <c r="N17" s="128">
        <f>MAX(0,M17-M16)</f>
        <v/>
      </c>
      <c r="O17" s="127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RESUMO'!Q20</f>
        <v/>
      </c>
      <c r="N18" s="128">
        <f>MAX(0,M18-M17)</f>
        <v/>
      </c>
      <c r="O18" s="127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RESUMO'!R20</f>
        <v/>
      </c>
      <c r="N19" s="128">
        <f>MAX(0,M19-M18)</f>
        <v/>
      </c>
      <c r="O19" s="127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RESUMO'!S20</f>
        <v/>
      </c>
      <c r="N20" s="128">
        <f>MAX(0,M20-M19)</f>
        <v/>
      </c>
      <c r="O20" s="127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RESUMO'!T20</f>
        <v/>
      </c>
      <c r="N21" s="128">
        <f>MAX(0,M21-M20)</f>
        <v/>
      </c>
      <c r="O21" s="127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RESUMO'!U20</f>
        <v/>
      </c>
      <c r="N22" s="128">
        <f>MAX(0,M22-M21)</f>
        <v/>
      </c>
      <c r="O22" s="127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RESUMO'!V20</f>
        <v/>
      </c>
      <c r="N23" s="128">
        <f>MAX(0,M23-M22)</f>
        <v/>
      </c>
      <c r="O23" s="127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RESUMO'!W20</f>
        <v/>
      </c>
      <c r="N24" s="128">
        <f>MAX(0,M24-M23)</f>
        <v/>
      </c>
      <c r="O24" s="127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RESUMO'!X20</f>
        <v/>
      </c>
      <c r="N25" s="128">
        <f>MAX(0,M25-M24)</f>
        <v/>
      </c>
      <c r="O25" s="127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RESUMO'!Y20</f>
        <v/>
      </c>
      <c r="N26" s="128">
        <f>MAX(0,M26-M25)</f>
        <v/>
      </c>
      <c r="O26" s="127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RESUMO'!Z20</f>
        <v/>
      </c>
      <c r="N27" s="128">
        <f>MAX(0,M27-M26)</f>
        <v/>
      </c>
      <c r="O27" s="127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RESUMO'!AA20</f>
        <v/>
      </c>
      <c r="N28" s="128">
        <f>MAX(0,M28-M27)</f>
        <v/>
      </c>
      <c r="O28" s="127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RESUMO'!AB20</f>
        <v/>
      </c>
      <c r="N29" s="128">
        <f>MAX(0,M29-M28)</f>
        <v/>
      </c>
      <c r="O29" s="127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RESUMO'!AC20</f>
        <v/>
      </c>
      <c r="N30" s="128">
        <f>MAX(0,M30-M29)</f>
        <v/>
      </c>
      <c r="O30" s="127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RESUMO'!AD20</f>
        <v/>
      </c>
      <c r="N31" s="128">
        <f>MAX(0,M31-M30)</f>
        <v/>
      </c>
      <c r="O31" s="127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RESUMO'!AE20</f>
        <v/>
      </c>
      <c r="N32" s="128">
        <f>MAX(0,M32-M31)</f>
        <v/>
      </c>
      <c r="O32" s="127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RESUMO'!AF20</f>
        <v/>
      </c>
      <c r="N33" s="128">
        <f>MAX(0,M33-M32)</f>
        <v/>
      </c>
      <c r="O33" s="127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RESUMO'!AG20</f>
        <v/>
      </c>
      <c r="N34" s="128">
        <f>MAX(0,M34-M33)</f>
        <v/>
      </c>
      <c r="O34" s="127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RESUMO'!AH20</f>
        <v/>
      </c>
      <c r="N35" s="128">
        <f>MAX(0,M35-M34)</f>
        <v/>
      </c>
      <c r="O35" s="127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RESUMO'!AI20</f>
        <v/>
      </c>
      <c r="N36" s="128">
        <f>MAX(0,M36-M35)</f>
        <v/>
      </c>
      <c r="O36" s="127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RESUMO'!AJ20</f>
        <v/>
      </c>
      <c r="N37" s="128">
        <f>MAX(0,M37-M36)</f>
        <v/>
      </c>
      <c r="O37" s="127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RESUMO'!AK20</f>
        <v/>
      </c>
      <c r="N38" s="128">
        <f>MAX(0,M38-M37)</f>
        <v/>
      </c>
      <c r="O38" s="127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RESUMO'!AL20</f>
        <v/>
      </c>
      <c r="N39" s="128">
        <f>MAX(0,M39-M38)</f>
        <v/>
      </c>
      <c r="O39" s="127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RESUMO'!AM20</f>
        <v/>
      </c>
      <c r="N40" s="128">
        <f>MAX(0,M40-M39)</f>
        <v/>
      </c>
      <c r="O40" s="127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RESUMO'!AN20</f>
        <v/>
      </c>
      <c r="N41" s="128">
        <f>MAX(0,M41-M40)</f>
        <v/>
      </c>
      <c r="O41" s="127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RESUMO'!AO20</f>
        <v/>
      </c>
      <c r="N42" s="128">
        <f>MAX(0,M42-M41)</f>
        <v/>
      </c>
      <c r="O42" s="127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RESUMO'!AP20</f>
        <v/>
      </c>
      <c r="N43" s="128">
        <f>MAX(0,M43-M42)</f>
        <v/>
      </c>
      <c r="O43" s="127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RESUMO'!AQ20</f>
        <v/>
      </c>
      <c r="N44" s="128">
        <f>MAX(0,M44-M43)</f>
        <v/>
      </c>
      <c r="O44" s="127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RESUMO'!AR20</f>
        <v/>
      </c>
      <c r="N45" s="128">
        <f>MAX(0,M45-M44)</f>
        <v/>
      </c>
      <c r="O45" s="127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RESUMO'!AS20</f>
        <v/>
      </c>
      <c r="N46" s="128">
        <f>MAX(0,M46-M45)</f>
        <v/>
      </c>
      <c r="O46" s="127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RESUMO'!AT20</f>
        <v/>
      </c>
      <c r="N47" s="128">
        <f>MAX(0,M47-M46)</f>
        <v/>
      </c>
      <c r="O47" s="127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RESUMO'!AU20</f>
        <v/>
      </c>
      <c r="N48" s="128">
        <f>MAX(0,M48-M47)</f>
        <v/>
      </c>
      <c r="O48" s="127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RESUMO'!AV20</f>
        <v/>
      </c>
      <c r="N49" s="128">
        <f>MAX(0,M49-M48)</f>
        <v/>
      </c>
      <c r="O49" s="127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RESUMO'!AW20</f>
        <v/>
      </c>
      <c r="N50" s="128">
        <f>MAX(0,M50-M49)</f>
        <v/>
      </c>
      <c r="O50" s="127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RESUMO'!AX20</f>
        <v/>
      </c>
      <c r="N51" s="128">
        <f>MAX(0,M51-M50)</f>
        <v/>
      </c>
      <c r="O51" s="127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RESUMO'!AY20</f>
        <v/>
      </c>
      <c r="N52" s="128">
        <f>MAX(0,M52-M51)</f>
        <v/>
      </c>
      <c r="O52" s="127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RESUMO'!AZ20</f>
        <v/>
      </c>
      <c r="N53" s="128">
        <f>MAX(0,M53-M52)</f>
        <v/>
      </c>
      <c r="O53" s="127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RESUMO'!BA20</f>
        <v/>
      </c>
      <c r="N54" s="128">
        <f>MAX(0,M54-M53)</f>
        <v/>
      </c>
      <c r="O54" s="127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RESUMO'!BB20</f>
        <v/>
      </c>
      <c r="N55" s="128">
        <f>MAX(0,M55-M54)</f>
        <v/>
      </c>
      <c r="O55" s="127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RESUMO'!BC20</f>
        <v/>
      </c>
      <c r="N56" s="128">
        <f>MAX(0,M56-M55)</f>
        <v/>
      </c>
      <c r="O56" s="127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RESUMO'!BD20</f>
        <v/>
      </c>
      <c r="N57" s="128">
        <f>MAX(0,M57-M56)</f>
        <v/>
      </c>
      <c r="O57" s="127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RESUMO'!BE20</f>
        <v/>
      </c>
      <c r="N58" s="128">
        <f>MAX(0,M58-M57)</f>
        <v/>
      </c>
      <c r="O58" s="127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RESUMO'!BF20</f>
        <v/>
      </c>
      <c r="N59" s="128">
        <f>MAX(0,M59-M58)</f>
        <v/>
      </c>
      <c r="O59" s="127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RESUMO'!BG20</f>
        <v/>
      </c>
      <c r="N60" s="128">
        <f>MAX(0,M60-M59)</f>
        <v/>
      </c>
      <c r="O60" s="127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RESUMO'!BH20</f>
        <v/>
      </c>
      <c r="N61" s="128">
        <f>MAX(0,M61-M60)</f>
        <v/>
      </c>
      <c r="O61" s="127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RESUMO'!BI20</f>
        <v/>
      </c>
      <c r="N62" s="128">
        <f>MAX(0,M62-M61)</f>
        <v/>
      </c>
      <c r="O62" s="127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RESUMO'!BJ20</f>
        <v/>
      </c>
      <c r="N63" s="128">
        <f>MAX(0,M63-M62)</f>
        <v/>
      </c>
      <c r="O63" s="127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RESUMO'!BK20</f>
        <v/>
      </c>
      <c r="N64" s="128">
        <f>MAX(0,M64-M63)</f>
        <v/>
      </c>
      <c r="O64" s="127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RESUMO'!BL20</f>
        <v/>
      </c>
      <c r="N65" s="128">
        <f>MAX(0,M65-M64)</f>
        <v/>
      </c>
      <c r="O65" s="127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RESUMO'!BM20</f>
        <v/>
      </c>
      <c r="N66" s="128">
        <f>MAX(0,M66-M65)</f>
        <v/>
      </c>
      <c r="O66" s="127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RESUMO'!BN20</f>
        <v/>
      </c>
      <c r="N67" s="128">
        <f>MAX(0,M67-M66)</f>
        <v/>
      </c>
      <c r="O67" s="127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RESUMO'!BO20</f>
        <v/>
      </c>
      <c r="N68" s="128">
        <f>MAX(0,M68-M67)</f>
        <v/>
      </c>
      <c r="O68" s="127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RESUMO'!BP20</f>
        <v/>
      </c>
      <c r="N69" s="128">
        <f>MAX(0,M69-M68)</f>
        <v/>
      </c>
      <c r="O69" s="127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RESUMO'!BQ20</f>
        <v/>
      </c>
      <c r="N70" s="128">
        <f>MAX(0,M70-M69)</f>
        <v/>
      </c>
      <c r="O70" s="127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RESUMO'!BR20</f>
        <v/>
      </c>
      <c r="N71" s="128">
        <f>MAX(0,M71-M70)</f>
        <v/>
      </c>
      <c r="O71" s="127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RESUMO'!BS20</f>
        <v/>
      </c>
      <c r="N72" s="128">
        <f>MAX(0,M72-M71)</f>
        <v/>
      </c>
      <c r="O72" s="127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RESUMO'!BT20</f>
        <v/>
      </c>
      <c r="N73" s="128">
        <f>MAX(0,M73-M72)</f>
        <v/>
      </c>
      <c r="O73" s="127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RESUMO'!BU20</f>
        <v/>
      </c>
      <c r="N74" s="128">
        <f>MAX(0,M74-M73)</f>
        <v/>
      </c>
      <c r="O74" s="127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RESUMO'!BV20</f>
        <v/>
      </c>
      <c r="N75" s="128">
        <f>MAX(0,M75-M74)</f>
        <v/>
      </c>
      <c r="O75" s="127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RESUMO'!BW20</f>
        <v/>
      </c>
      <c r="N76" s="128">
        <f>MAX(0,M76-M75)</f>
        <v/>
      </c>
      <c r="O76" s="127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PL'!F27</f>
        <v/>
      </c>
      <c r="K5" s="108">
        <f>'VALOR POR PL'!G27</f>
        <v/>
      </c>
      <c r="M5" s="127">
        <f>'CP RESUMO'!D21</f>
        <v/>
      </c>
      <c r="N5" s="128" t="n">
        <v>0</v>
      </c>
      <c r="O5" s="127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RESUMO'!E21</f>
        <v/>
      </c>
      <c r="N6" s="128">
        <f>MAX(0,M6-M5)</f>
        <v/>
      </c>
      <c r="O6" s="127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PL'!L27</f>
        <v/>
      </c>
      <c r="M7" s="127">
        <f>'CP RESUMO'!F21</f>
        <v/>
      </c>
      <c r="N7" s="128">
        <f>MAX(0,M7-M6)</f>
        <v/>
      </c>
      <c r="O7" s="127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RESUMO'!G21</f>
        <v/>
      </c>
      <c r="N8" s="128">
        <f>MAX(0,M8-M7)</f>
        <v/>
      </c>
      <c r="O8" s="127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RESUMO'!H21</f>
        <v/>
      </c>
      <c r="N9" s="128">
        <f>MAX(0,M9-M8)</f>
        <v/>
      </c>
      <c r="O9" s="127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RESUMO'!I21</f>
        <v/>
      </c>
      <c r="N10" s="128">
        <f>MAX(0,M10-M9)</f>
        <v/>
      </c>
      <c r="O10" s="127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RESUMO'!J21</f>
        <v/>
      </c>
      <c r="N11" s="128">
        <f>MAX(0,M11-M10)</f>
        <v/>
      </c>
      <c r="O11" s="127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RESUMO'!K21</f>
        <v/>
      </c>
      <c r="N12" s="128">
        <f>MAX(0,M12-M11)</f>
        <v/>
      </c>
      <c r="O12" s="127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PL'!I27</f>
        <v/>
      </c>
      <c r="M13" s="127">
        <f>'CP RESUMO'!L21</f>
        <v/>
      </c>
      <c r="N13" s="128">
        <f>MAX(0,M13-M12)</f>
        <v/>
      </c>
      <c r="O13" s="127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7">
        <f>'CP RESUMO'!M21</f>
        <v/>
      </c>
      <c r="N14" s="128">
        <f>MAX(0,M14-M13)</f>
        <v/>
      </c>
      <c r="O14" s="127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RESUMO'!N21</f>
        <v/>
      </c>
      <c r="N15" s="128">
        <f>MAX(0,M15-M14)</f>
        <v/>
      </c>
      <c r="O15" s="127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RESUMO'!O21</f>
        <v/>
      </c>
      <c r="N16" s="128">
        <f>MAX(0,M16-M15)</f>
        <v/>
      </c>
      <c r="O16" s="127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RESUMO'!P21</f>
        <v/>
      </c>
      <c r="N17" s="128">
        <f>MAX(0,M17-M16)</f>
        <v/>
      </c>
      <c r="O17" s="127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RESUMO'!Q21</f>
        <v/>
      </c>
      <c r="N18" s="128">
        <f>MAX(0,M18-M17)</f>
        <v/>
      </c>
      <c r="O18" s="127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RESUMO'!R21</f>
        <v/>
      </c>
      <c r="N19" s="128">
        <f>MAX(0,M19-M18)</f>
        <v/>
      </c>
      <c r="O19" s="127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RESUMO'!S21</f>
        <v/>
      </c>
      <c r="N20" s="128">
        <f>MAX(0,M20-M19)</f>
        <v/>
      </c>
      <c r="O20" s="127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RESUMO'!T21</f>
        <v/>
      </c>
      <c r="N21" s="128">
        <f>MAX(0,M21-M20)</f>
        <v/>
      </c>
      <c r="O21" s="127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RESUMO'!U21</f>
        <v/>
      </c>
      <c r="N22" s="128">
        <f>MAX(0,M22-M21)</f>
        <v/>
      </c>
      <c r="O22" s="127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RESUMO'!V21</f>
        <v/>
      </c>
      <c r="N23" s="128">
        <f>MAX(0,M23-M22)</f>
        <v/>
      </c>
      <c r="O23" s="127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RESUMO'!W21</f>
        <v/>
      </c>
      <c r="N24" s="128">
        <f>MAX(0,M24-M23)</f>
        <v/>
      </c>
      <c r="O24" s="127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RESUMO'!X21</f>
        <v/>
      </c>
      <c r="N25" s="128">
        <f>MAX(0,M25-M24)</f>
        <v/>
      </c>
      <c r="O25" s="127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RESUMO'!Y21</f>
        <v/>
      </c>
      <c r="N26" s="128">
        <f>MAX(0,M26-M25)</f>
        <v/>
      </c>
      <c r="O26" s="127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RESUMO'!Z21</f>
        <v/>
      </c>
      <c r="N27" s="128">
        <f>MAX(0,M27-M26)</f>
        <v/>
      </c>
      <c r="O27" s="127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RESUMO'!AA21</f>
        <v/>
      </c>
      <c r="N28" s="128">
        <f>MAX(0,M28-M27)</f>
        <v/>
      </c>
      <c r="O28" s="127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RESUMO'!AB21</f>
        <v/>
      </c>
      <c r="N29" s="128">
        <f>MAX(0,M29-M28)</f>
        <v/>
      </c>
      <c r="O29" s="127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RESUMO'!AC21</f>
        <v/>
      </c>
      <c r="N30" s="128">
        <f>MAX(0,M30-M29)</f>
        <v/>
      </c>
      <c r="O30" s="127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RESUMO'!AD21</f>
        <v/>
      </c>
      <c r="N31" s="128">
        <f>MAX(0,M31-M30)</f>
        <v/>
      </c>
      <c r="O31" s="127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RESUMO'!AE21</f>
        <v/>
      </c>
      <c r="N32" s="128">
        <f>MAX(0,M32-M31)</f>
        <v/>
      </c>
      <c r="O32" s="127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RESUMO'!AF21</f>
        <v/>
      </c>
      <c r="N33" s="128">
        <f>MAX(0,M33-M32)</f>
        <v/>
      </c>
      <c r="O33" s="127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RESUMO'!AG21</f>
        <v/>
      </c>
      <c r="N34" s="128">
        <f>MAX(0,M34-M33)</f>
        <v/>
      </c>
      <c r="O34" s="127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RESUMO'!AH21</f>
        <v/>
      </c>
      <c r="N35" s="128">
        <f>MAX(0,M35-M34)</f>
        <v/>
      </c>
      <c r="O35" s="127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RESUMO'!AI21</f>
        <v/>
      </c>
      <c r="N36" s="128">
        <f>MAX(0,M36-M35)</f>
        <v/>
      </c>
      <c r="O36" s="127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RESUMO'!AJ21</f>
        <v/>
      </c>
      <c r="N37" s="128">
        <f>MAX(0,M37-M36)</f>
        <v/>
      </c>
      <c r="O37" s="127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RESUMO'!AK21</f>
        <v/>
      </c>
      <c r="N38" s="128">
        <f>MAX(0,M38-M37)</f>
        <v/>
      </c>
      <c r="O38" s="127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RESUMO'!AL21</f>
        <v/>
      </c>
      <c r="N39" s="128">
        <f>MAX(0,M39-M38)</f>
        <v/>
      </c>
      <c r="O39" s="127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RESUMO'!AM21</f>
        <v/>
      </c>
      <c r="N40" s="128">
        <f>MAX(0,M40-M39)</f>
        <v/>
      </c>
      <c r="O40" s="127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RESUMO'!AN21</f>
        <v/>
      </c>
      <c r="N41" s="128">
        <f>MAX(0,M41-M40)</f>
        <v/>
      </c>
      <c r="O41" s="127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RESUMO'!AO21</f>
        <v/>
      </c>
      <c r="N42" s="128">
        <f>MAX(0,M42-M41)</f>
        <v/>
      </c>
      <c r="O42" s="127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RESUMO'!AP21</f>
        <v/>
      </c>
      <c r="N43" s="128">
        <f>MAX(0,M43-M42)</f>
        <v/>
      </c>
      <c r="O43" s="127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RESUMO'!AQ21</f>
        <v/>
      </c>
      <c r="N44" s="128">
        <f>MAX(0,M44-M43)</f>
        <v/>
      </c>
      <c r="O44" s="127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RESUMO'!AR21</f>
        <v/>
      </c>
      <c r="N45" s="128">
        <f>MAX(0,M45-M44)</f>
        <v/>
      </c>
      <c r="O45" s="127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RESUMO'!AS21</f>
        <v/>
      </c>
      <c r="N46" s="128">
        <f>MAX(0,M46-M45)</f>
        <v/>
      </c>
      <c r="O46" s="127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RESUMO'!AT21</f>
        <v/>
      </c>
      <c r="N47" s="128">
        <f>MAX(0,M47-M46)</f>
        <v/>
      </c>
      <c r="O47" s="127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RESUMO'!AU21</f>
        <v/>
      </c>
      <c r="N48" s="128">
        <f>MAX(0,M48-M47)</f>
        <v/>
      </c>
      <c r="O48" s="127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RESUMO'!AV21</f>
        <v/>
      </c>
      <c r="N49" s="128">
        <f>MAX(0,M49-M48)</f>
        <v/>
      </c>
      <c r="O49" s="127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RESUMO'!AW21</f>
        <v/>
      </c>
      <c r="N50" s="128">
        <f>MAX(0,M50-M49)</f>
        <v/>
      </c>
      <c r="O50" s="127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RESUMO'!AX21</f>
        <v/>
      </c>
      <c r="N51" s="128">
        <f>MAX(0,M51-M50)</f>
        <v/>
      </c>
      <c r="O51" s="127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RESUMO'!AY21</f>
        <v/>
      </c>
      <c r="N52" s="128">
        <f>MAX(0,M52-M51)</f>
        <v/>
      </c>
      <c r="O52" s="127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RESUMO'!AZ21</f>
        <v/>
      </c>
      <c r="N53" s="128">
        <f>MAX(0,M53-M52)</f>
        <v/>
      </c>
      <c r="O53" s="127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RESUMO'!BA21</f>
        <v/>
      </c>
      <c r="N54" s="128">
        <f>MAX(0,M54-M53)</f>
        <v/>
      </c>
      <c r="O54" s="127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RESUMO'!BB21</f>
        <v/>
      </c>
      <c r="N55" s="128">
        <f>MAX(0,M55-M54)</f>
        <v/>
      </c>
      <c r="O55" s="127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RESUMO'!BC21</f>
        <v/>
      </c>
      <c r="N56" s="128">
        <f>MAX(0,M56-M55)</f>
        <v/>
      </c>
      <c r="O56" s="127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RESUMO'!BD21</f>
        <v/>
      </c>
      <c r="N57" s="128">
        <f>MAX(0,M57-M56)</f>
        <v/>
      </c>
      <c r="O57" s="127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RESUMO'!BE21</f>
        <v/>
      </c>
      <c r="N58" s="128">
        <f>MAX(0,M58-M57)</f>
        <v/>
      </c>
      <c r="O58" s="127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RESUMO'!BF21</f>
        <v/>
      </c>
      <c r="N59" s="128">
        <f>MAX(0,M59-M58)</f>
        <v/>
      </c>
      <c r="O59" s="127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RESUMO'!BG21</f>
        <v/>
      </c>
      <c r="N60" s="128">
        <f>MAX(0,M60-M59)</f>
        <v/>
      </c>
      <c r="O60" s="127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RESUMO'!BH21</f>
        <v/>
      </c>
      <c r="N61" s="128">
        <f>MAX(0,M61-M60)</f>
        <v/>
      </c>
      <c r="O61" s="127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RESUMO'!BI21</f>
        <v/>
      </c>
      <c r="N62" s="128">
        <f>MAX(0,M62-M61)</f>
        <v/>
      </c>
      <c r="O62" s="127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RESUMO'!BJ21</f>
        <v/>
      </c>
      <c r="N63" s="128">
        <f>MAX(0,M63-M62)</f>
        <v/>
      </c>
      <c r="O63" s="127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RESUMO'!BK21</f>
        <v/>
      </c>
      <c r="N64" s="128">
        <f>MAX(0,M64-M63)</f>
        <v/>
      </c>
      <c r="O64" s="127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RESUMO'!BL21</f>
        <v/>
      </c>
      <c r="N65" s="128">
        <f>MAX(0,M65-M64)</f>
        <v/>
      </c>
      <c r="O65" s="127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RESUMO'!BM21</f>
        <v/>
      </c>
      <c r="N66" s="128">
        <f>MAX(0,M66-M65)</f>
        <v/>
      </c>
      <c r="O66" s="127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RESUMO'!BN21</f>
        <v/>
      </c>
      <c r="N67" s="128">
        <f>MAX(0,M67-M66)</f>
        <v/>
      </c>
      <c r="O67" s="127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RESUMO'!BO21</f>
        <v/>
      </c>
      <c r="N68" s="128">
        <f>MAX(0,M68-M67)</f>
        <v/>
      </c>
      <c r="O68" s="127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RESUMO'!BP21</f>
        <v/>
      </c>
      <c r="N69" s="128">
        <f>MAX(0,M69-M68)</f>
        <v/>
      </c>
      <c r="O69" s="127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RESUMO'!BQ21</f>
        <v/>
      </c>
      <c r="N70" s="128">
        <f>MAX(0,M70-M69)</f>
        <v/>
      </c>
      <c r="O70" s="127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RESUMO'!BR21</f>
        <v/>
      </c>
      <c r="N71" s="128">
        <f>MAX(0,M71-M70)</f>
        <v/>
      </c>
      <c r="O71" s="127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RESUMO'!BS21</f>
        <v/>
      </c>
      <c r="N72" s="128">
        <f>MAX(0,M72-M71)</f>
        <v/>
      </c>
      <c r="O72" s="127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RESUMO'!BT21</f>
        <v/>
      </c>
      <c r="N73" s="128">
        <f>MAX(0,M73-M72)</f>
        <v/>
      </c>
      <c r="O73" s="127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RESUMO'!BU21</f>
        <v/>
      </c>
      <c r="N74" s="128">
        <f>MAX(0,M74-M73)</f>
        <v/>
      </c>
      <c r="O74" s="127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RESUMO'!BV21</f>
        <v/>
      </c>
      <c r="N75" s="128">
        <f>MAX(0,M75-M74)</f>
        <v/>
      </c>
      <c r="O75" s="127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RESUMO'!BW21</f>
        <v/>
      </c>
      <c r="N76" s="128">
        <f>MAX(0,M76-M75)</f>
        <v/>
      </c>
      <c r="O76" s="127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PL'!F28</f>
        <v/>
      </c>
      <c r="K5" s="108">
        <f>'VALOR POR PL'!G28</f>
        <v/>
      </c>
      <c r="M5" s="127">
        <f>'CP RESUMO'!D22</f>
        <v/>
      </c>
      <c r="N5" s="128" t="n">
        <v>0</v>
      </c>
      <c r="O5" s="127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RESUMO'!E22</f>
        <v/>
      </c>
      <c r="N6" s="128">
        <f>MAX(0,M6-M5)</f>
        <v/>
      </c>
      <c r="O6" s="127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PL'!L28</f>
        <v/>
      </c>
      <c r="M7" s="127">
        <f>'CP RESUMO'!F22</f>
        <v/>
      </c>
      <c r="N7" s="128">
        <f>MAX(0,M7-M6)</f>
        <v/>
      </c>
      <c r="O7" s="127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RESUMO'!G22</f>
        <v/>
      </c>
      <c r="N8" s="128">
        <f>MAX(0,M8-M7)</f>
        <v/>
      </c>
      <c r="O8" s="127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RESUMO'!H22</f>
        <v/>
      </c>
      <c r="N9" s="128">
        <f>MAX(0,M9-M8)</f>
        <v/>
      </c>
      <c r="O9" s="127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RESUMO'!I22</f>
        <v/>
      </c>
      <c r="N10" s="128">
        <f>MAX(0,M10-M9)</f>
        <v/>
      </c>
      <c r="O10" s="127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RESUMO'!J22</f>
        <v/>
      </c>
      <c r="N11" s="128">
        <f>MAX(0,M11-M10)</f>
        <v/>
      </c>
      <c r="O11" s="127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RESUMO'!K22</f>
        <v/>
      </c>
      <c r="N12" s="128">
        <f>MAX(0,M12-M11)</f>
        <v/>
      </c>
      <c r="O12" s="127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PL'!I28</f>
        <v/>
      </c>
      <c r="M13" s="127">
        <f>'CP RESUMO'!L22</f>
        <v/>
      </c>
      <c r="N13" s="128">
        <f>MAX(0,M13-M12)</f>
        <v/>
      </c>
      <c r="O13" s="127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7">
        <f>'CP RESUMO'!M22</f>
        <v/>
      </c>
      <c r="N14" s="128">
        <f>MAX(0,M14-M13)</f>
        <v/>
      </c>
      <c r="O14" s="127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RESUMO'!N22</f>
        <v/>
      </c>
      <c r="N15" s="128">
        <f>MAX(0,M15-M14)</f>
        <v/>
      </c>
      <c r="O15" s="127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RESUMO'!O22</f>
        <v/>
      </c>
      <c r="N16" s="128">
        <f>MAX(0,M16-M15)</f>
        <v/>
      </c>
      <c r="O16" s="127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RESUMO'!P22</f>
        <v/>
      </c>
      <c r="N17" s="128">
        <f>MAX(0,M17-M16)</f>
        <v/>
      </c>
      <c r="O17" s="127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RESUMO'!Q22</f>
        <v/>
      </c>
      <c r="N18" s="128">
        <f>MAX(0,M18-M17)</f>
        <v/>
      </c>
      <c r="O18" s="127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RESUMO'!R22</f>
        <v/>
      </c>
      <c r="N19" s="128">
        <f>MAX(0,M19-M18)</f>
        <v/>
      </c>
      <c r="O19" s="127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RESUMO'!S22</f>
        <v/>
      </c>
      <c r="N20" s="128">
        <f>MAX(0,M20-M19)</f>
        <v/>
      </c>
      <c r="O20" s="127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RESUMO'!T22</f>
        <v/>
      </c>
      <c r="N21" s="128">
        <f>MAX(0,M21-M20)</f>
        <v/>
      </c>
      <c r="O21" s="127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RESUMO'!U22</f>
        <v/>
      </c>
      <c r="N22" s="128">
        <f>MAX(0,M22-M21)</f>
        <v/>
      </c>
      <c r="O22" s="127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RESUMO'!V22</f>
        <v/>
      </c>
      <c r="N23" s="128">
        <f>MAX(0,M23-M22)</f>
        <v/>
      </c>
      <c r="O23" s="127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RESUMO'!W22</f>
        <v/>
      </c>
      <c r="N24" s="128">
        <f>MAX(0,M24-M23)</f>
        <v/>
      </c>
      <c r="O24" s="127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RESUMO'!X22</f>
        <v/>
      </c>
      <c r="N25" s="128">
        <f>MAX(0,M25-M24)</f>
        <v/>
      </c>
      <c r="O25" s="127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RESUMO'!Y22</f>
        <v/>
      </c>
      <c r="N26" s="128">
        <f>MAX(0,M26-M25)</f>
        <v/>
      </c>
      <c r="O26" s="127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RESUMO'!Z22</f>
        <v/>
      </c>
      <c r="N27" s="128">
        <f>MAX(0,M27-M26)</f>
        <v/>
      </c>
      <c r="O27" s="127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RESUMO'!AA22</f>
        <v/>
      </c>
      <c r="N28" s="128">
        <f>MAX(0,M28-M27)</f>
        <v/>
      </c>
      <c r="O28" s="127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RESUMO'!AB22</f>
        <v/>
      </c>
      <c r="N29" s="128">
        <f>MAX(0,M29-M28)</f>
        <v/>
      </c>
      <c r="O29" s="127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RESUMO'!AC22</f>
        <v/>
      </c>
      <c r="N30" s="128">
        <f>MAX(0,M30-M29)</f>
        <v/>
      </c>
      <c r="O30" s="127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RESUMO'!AD22</f>
        <v/>
      </c>
      <c r="N31" s="128">
        <f>MAX(0,M31-M30)</f>
        <v/>
      </c>
      <c r="O31" s="127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RESUMO'!AE22</f>
        <v/>
      </c>
      <c r="N32" s="128">
        <f>MAX(0,M32-M31)</f>
        <v/>
      </c>
      <c r="O32" s="127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RESUMO'!AF22</f>
        <v/>
      </c>
      <c r="N33" s="128">
        <f>MAX(0,M33-M32)</f>
        <v/>
      </c>
      <c r="O33" s="127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RESUMO'!AG22</f>
        <v/>
      </c>
      <c r="N34" s="128">
        <f>MAX(0,M34-M33)</f>
        <v/>
      </c>
      <c r="O34" s="127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RESUMO'!AH22</f>
        <v/>
      </c>
      <c r="N35" s="128">
        <f>MAX(0,M35-M34)</f>
        <v/>
      </c>
      <c r="O35" s="127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RESUMO'!AI22</f>
        <v/>
      </c>
      <c r="N36" s="128">
        <f>MAX(0,M36-M35)</f>
        <v/>
      </c>
      <c r="O36" s="127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RESUMO'!AJ22</f>
        <v/>
      </c>
      <c r="N37" s="128">
        <f>MAX(0,M37-M36)</f>
        <v/>
      </c>
      <c r="O37" s="127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RESUMO'!AK22</f>
        <v/>
      </c>
      <c r="N38" s="128">
        <f>MAX(0,M38-M37)</f>
        <v/>
      </c>
      <c r="O38" s="127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RESUMO'!AL22</f>
        <v/>
      </c>
      <c r="N39" s="128">
        <f>MAX(0,M39-M38)</f>
        <v/>
      </c>
      <c r="O39" s="127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RESUMO'!AM22</f>
        <v/>
      </c>
      <c r="N40" s="128">
        <f>MAX(0,M40-M39)</f>
        <v/>
      </c>
      <c r="O40" s="127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RESUMO'!AN22</f>
        <v/>
      </c>
      <c r="N41" s="128">
        <f>MAX(0,M41-M40)</f>
        <v/>
      </c>
      <c r="O41" s="127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RESUMO'!AO22</f>
        <v/>
      </c>
      <c r="N42" s="128">
        <f>MAX(0,M42-M41)</f>
        <v/>
      </c>
      <c r="O42" s="127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RESUMO'!AP22</f>
        <v/>
      </c>
      <c r="N43" s="128">
        <f>MAX(0,M43-M42)</f>
        <v/>
      </c>
      <c r="O43" s="127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RESUMO'!AQ22</f>
        <v/>
      </c>
      <c r="N44" s="128">
        <f>MAX(0,M44-M43)</f>
        <v/>
      </c>
      <c r="O44" s="127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RESUMO'!AR22</f>
        <v/>
      </c>
      <c r="N45" s="128">
        <f>MAX(0,M45-M44)</f>
        <v/>
      </c>
      <c r="O45" s="127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RESUMO'!AS22</f>
        <v/>
      </c>
      <c r="N46" s="128">
        <f>MAX(0,M46-M45)</f>
        <v/>
      </c>
      <c r="O46" s="127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RESUMO'!AT22</f>
        <v/>
      </c>
      <c r="N47" s="128">
        <f>MAX(0,M47-M46)</f>
        <v/>
      </c>
      <c r="O47" s="127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RESUMO'!AU22</f>
        <v/>
      </c>
      <c r="N48" s="128">
        <f>MAX(0,M48-M47)</f>
        <v/>
      </c>
      <c r="O48" s="127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RESUMO'!AV22</f>
        <v/>
      </c>
      <c r="N49" s="128">
        <f>MAX(0,M49-M48)</f>
        <v/>
      </c>
      <c r="O49" s="127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RESUMO'!AW22</f>
        <v/>
      </c>
      <c r="N50" s="128">
        <f>MAX(0,M50-M49)</f>
        <v/>
      </c>
      <c r="O50" s="127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RESUMO'!AX22</f>
        <v/>
      </c>
      <c r="N51" s="128">
        <f>MAX(0,M51-M50)</f>
        <v/>
      </c>
      <c r="O51" s="127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RESUMO'!AY22</f>
        <v/>
      </c>
      <c r="N52" s="128">
        <f>MAX(0,M52-M51)</f>
        <v/>
      </c>
      <c r="O52" s="127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RESUMO'!AZ22</f>
        <v/>
      </c>
      <c r="N53" s="128">
        <f>MAX(0,M53-M52)</f>
        <v/>
      </c>
      <c r="O53" s="127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RESUMO'!BA22</f>
        <v/>
      </c>
      <c r="N54" s="128">
        <f>MAX(0,M54-M53)</f>
        <v/>
      </c>
      <c r="O54" s="127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RESUMO'!BB22</f>
        <v/>
      </c>
      <c r="N55" s="128">
        <f>MAX(0,M55-M54)</f>
        <v/>
      </c>
      <c r="O55" s="127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RESUMO'!BC22</f>
        <v/>
      </c>
      <c r="N56" s="128">
        <f>MAX(0,M56-M55)</f>
        <v/>
      </c>
      <c r="O56" s="127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RESUMO'!BD22</f>
        <v/>
      </c>
      <c r="N57" s="128">
        <f>MAX(0,M57-M56)</f>
        <v/>
      </c>
      <c r="O57" s="127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RESUMO'!BE22</f>
        <v/>
      </c>
      <c r="N58" s="128">
        <f>MAX(0,M58-M57)</f>
        <v/>
      </c>
      <c r="O58" s="127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RESUMO'!BF22</f>
        <v/>
      </c>
      <c r="N59" s="128">
        <f>MAX(0,M59-M58)</f>
        <v/>
      </c>
      <c r="O59" s="127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RESUMO'!BG22</f>
        <v/>
      </c>
      <c r="N60" s="128">
        <f>MAX(0,M60-M59)</f>
        <v/>
      </c>
      <c r="O60" s="127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RESUMO'!BH22</f>
        <v/>
      </c>
      <c r="N61" s="128">
        <f>MAX(0,M61-M60)</f>
        <v/>
      </c>
      <c r="O61" s="127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RESUMO'!BI22</f>
        <v/>
      </c>
      <c r="N62" s="128">
        <f>MAX(0,M62-M61)</f>
        <v/>
      </c>
      <c r="O62" s="127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RESUMO'!BJ22</f>
        <v/>
      </c>
      <c r="N63" s="128">
        <f>MAX(0,M63-M62)</f>
        <v/>
      </c>
      <c r="O63" s="127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RESUMO'!BK22</f>
        <v/>
      </c>
      <c r="N64" s="128">
        <f>MAX(0,M64-M63)</f>
        <v/>
      </c>
      <c r="O64" s="127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RESUMO'!BL22</f>
        <v/>
      </c>
      <c r="N65" s="128">
        <f>MAX(0,M65-M64)</f>
        <v/>
      </c>
      <c r="O65" s="127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RESUMO'!BM22</f>
        <v/>
      </c>
      <c r="N66" s="128">
        <f>MAX(0,M66-M65)</f>
        <v/>
      </c>
      <c r="O66" s="127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RESUMO'!BN22</f>
        <v/>
      </c>
      <c r="N67" s="128">
        <f>MAX(0,M67-M66)</f>
        <v/>
      </c>
      <c r="O67" s="127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RESUMO'!BO22</f>
        <v/>
      </c>
      <c r="N68" s="128">
        <f>MAX(0,M68-M67)</f>
        <v/>
      </c>
      <c r="O68" s="127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RESUMO'!BP22</f>
        <v/>
      </c>
      <c r="N69" s="128">
        <f>MAX(0,M69-M68)</f>
        <v/>
      </c>
      <c r="O69" s="127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RESUMO'!BQ22</f>
        <v/>
      </c>
      <c r="N70" s="128">
        <f>MAX(0,M70-M69)</f>
        <v/>
      </c>
      <c r="O70" s="127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RESUMO'!BR22</f>
        <v/>
      </c>
      <c r="N71" s="128">
        <f>MAX(0,M71-M70)</f>
        <v/>
      </c>
      <c r="O71" s="127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RESUMO'!BS22</f>
        <v/>
      </c>
      <c r="N72" s="128">
        <f>MAX(0,M72-M71)</f>
        <v/>
      </c>
      <c r="O72" s="127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RESUMO'!BT22</f>
        <v/>
      </c>
      <c r="N73" s="128">
        <f>MAX(0,M73-M72)</f>
        <v/>
      </c>
      <c r="O73" s="127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RESUMO'!BU22</f>
        <v/>
      </c>
      <c r="N74" s="128">
        <f>MAX(0,M74-M73)</f>
        <v/>
      </c>
      <c r="O74" s="127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RESUMO'!BV22</f>
        <v/>
      </c>
      <c r="N75" s="128">
        <f>MAX(0,M75-M74)</f>
        <v/>
      </c>
      <c r="O75" s="127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RESUMO'!BW22</f>
        <v/>
      </c>
      <c r="N76" s="128">
        <f>MAX(0,M76-M75)</f>
        <v/>
      </c>
      <c r="O76" s="127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PL'!F29</f>
        <v/>
      </c>
      <c r="K5" s="108">
        <f>'VALOR POR PL'!G29</f>
        <v/>
      </c>
      <c r="M5" s="127">
        <f>'CP RESUMO'!D23</f>
        <v/>
      </c>
      <c r="N5" s="128" t="n">
        <v>0</v>
      </c>
      <c r="O5" s="127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RESUMO'!E23</f>
        <v/>
      </c>
      <c r="N6" s="128">
        <f>MAX(0,M6-M5)</f>
        <v/>
      </c>
      <c r="O6" s="127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PL'!L29</f>
        <v/>
      </c>
      <c r="M7" s="127">
        <f>'CP RESUMO'!F23</f>
        <v/>
      </c>
      <c r="N7" s="128">
        <f>MAX(0,M7-M6)</f>
        <v/>
      </c>
      <c r="O7" s="127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RESUMO'!G23</f>
        <v/>
      </c>
      <c r="N8" s="128">
        <f>MAX(0,M8-M7)</f>
        <v/>
      </c>
      <c r="O8" s="127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RESUMO'!H23</f>
        <v/>
      </c>
      <c r="N9" s="128">
        <f>MAX(0,M9-M8)</f>
        <v/>
      </c>
      <c r="O9" s="127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RESUMO'!I23</f>
        <v/>
      </c>
      <c r="N10" s="128">
        <f>MAX(0,M10-M9)</f>
        <v/>
      </c>
      <c r="O10" s="127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RESUMO'!J23</f>
        <v/>
      </c>
      <c r="N11" s="128">
        <f>MAX(0,M11-M10)</f>
        <v/>
      </c>
      <c r="O11" s="127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RESUMO'!K23</f>
        <v/>
      </c>
      <c r="N12" s="128">
        <f>MAX(0,M12-M11)</f>
        <v/>
      </c>
      <c r="O12" s="127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PL'!I29</f>
        <v/>
      </c>
      <c r="M13" s="127">
        <f>'CP RESUMO'!L23</f>
        <v/>
      </c>
      <c r="N13" s="128">
        <f>MAX(0,M13-M12)</f>
        <v/>
      </c>
      <c r="O13" s="127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7">
        <f>'CP RESUMO'!M23</f>
        <v/>
      </c>
      <c r="N14" s="128">
        <f>MAX(0,M14-M13)</f>
        <v/>
      </c>
      <c r="O14" s="127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RESUMO'!N23</f>
        <v/>
      </c>
      <c r="N15" s="128">
        <f>MAX(0,M15-M14)</f>
        <v/>
      </c>
      <c r="O15" s="127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RESUMO'!O23</f>
        <v/>
      </c>
      <c r="N16" s="128">
        <f>MAX(0,M16-M15)</f>
        <v/>
      </c>
      <c r="O16" s="127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RESUMO'!P23</f>
        <v/>
      </c>
      <c r="N17" s="128">
        <f>MAX(0,M17-M16)</f>
        <v/>
      </c>
      <c r="O17" s="127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RESUMO'!Q23</f>
        <v/>
      </c>
      <c r="N18" s="128">
        <f>MAX(0,M18-M17)</f>
        <v/>
      </c>
      <c r="O18" s="127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RESUMO'!R23</f>
        <v/>
      </c>
      <c r="N19" s="128">
        <f>MAX(0,M19-M18)</f>
        <v/>
      </c>
      <c r="O19" s="127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RESUMO'!S23</f>
        <v/>
      </c>
      <c r="N20" s="128">
        <f>MAX(0,M20-M19)</f>
        <v/>
      </c>
      <c r="O20" s="127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RESUMO'!T23</f>
        <v/>
      </c>
      <c r="N21" s="128">
        <f>MAX(0,M21-M20)</f>
        <v/>
      </c>
      <c r="O21" s="127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RESUMO'!U23</f>
        <v/>
      </c>
      <c r="N22" s="128">
        <f>MAX(0,M22-M21)</f>
        <v/>
      </c>
      <c r="O22" s="127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RESUMO'!V23</f>
        <v/>
      </c>
      <c r="N23" s="128">
        <f>MAX(0,M23-M22)</f>
        <v/>
      </c>
      <c r="O23" s="127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RESUMO'!W23</f>
        <v/>
      </c>
      <c r="N24" s="128">
        <f>MAX(0,M24-M23)</f>
        <v/>
      </c>
      <c r="O24" s="127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RESUMO'!X23</f>
        <v/>
      </c>
      <c r="N25" s="128">
        <f>MAX(0,M25-M24)</f>
        <v/>
      </c>
      <c r="O25" s="127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RESUMO'!Y23</f>
        <v/>
      </c>
      <c r="N26" s="128">
        <f>MAX(0,M26-M25)</f>
        <v/>
      </c>
      <c r="O26" s="127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RESUMO'!Z23</f>
        <v/>
      </c>
      <c r="N27" s="128">
        <f>MAX(0,M27-M26)</f>
        <v/>
      </c>
      <c r="O27" s="127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RESUMO'!AA23</f>
        <v/>
      </c>
      <c r="N28" s="128">
        <f>MAX(0,M28-M27)</f>
        <v/>
      </c>
      <c r="O28" s="127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RESUMO'!AB23</f>
        <v/>
      </c>
      <c r="N29" s="128">
        <f>MAX(0,M29-M28)</f>
        <v/>
      </c>
      <c r="O29" s="127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RESUMO'!AC23</f>
        <v/>
      </c>
      <c r="N30" s="128">
        <f>MAX(0,M30-M29)</f>
        <v/>
      </c>
      <c r="O30" s="127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RESUMO'!AD23</f>
        <v/>
      </c>
      <c r="N31" s="128">
        <f>MAX(0,M31-M30)</f>
        <v/>
      </c>
      <c r="O31" s="127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RESUMO'!AE23</f>
        <v/>
      </c>
      <c r="N32" s="128">
        <f>MAX(0,M32-M31)</f>
        <v/>
      </c>
      <c r="O32" s="127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RESUMO'!AF23</f>
        <v/>
      </c>
      <c r="N33" s="128">
        <f>MAX(0,M33-M32)</f>
        <v/>
      </c>
      <c r="O33" s="127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RESUMO'!AG23</f>
        <v/>
      </c>
      <c r="N34" s="128">
        <f>MAX(0,M34-M33)</f>
        <v/>
      </c>
      <c r="O34" s="127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RESUMO'!AH23</f>
        <v/>
      </c>
      <c r="N35" s="128">
        <f>MAX(0,M35-M34)</f>
        <v/>
      </c>
      <c r="O35" s="127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RESUMO'!AI23</f>
        <v/>
      </c>
      <c r="N36" s="128">
        <f>MAX(0,M36-M35)</f>
        <v/>
      </c>
      <c r="O36" s="127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RESUMO'!AJ23</f>
        <v/>
      </c>
      <c r="N37" s="128">
        <f>MAX(0,M37-M36)</f>
        <v/>
      </c>
      <c r="O37" s="127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RESUMO'!AK23</f>
        <v/>
      </c>
      <c r="N38" s="128">
        <f>MAX(0,M38-M37)</f>
        <v/>
      </c>
      <c r="O38" s="127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RESUMO'!AL23</f>
        <v/>
      </c>
      <c r="N39" s="128">
        <f>MAX(0,M39-M38)</f>
        <v/>
      </c>
      <c r="O39" s="127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RESUMO'!AM23</f>
        <v/>
      </c>
      <c r="N40" s="128">
        <f>MAX(0,M40-M39)</f>
        <v/>
      </c>
      <c r="O40" s="127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RESUMO'!AN23</f>
        <v/>
      </c>
      <c r="N41" s="128">
        <f>MAX(0,M41-M40)</f>
        <v/>
      </c>
      <c r="O41" s="127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RESUMO'!AO23</f>
        <v/>
      </c>
      <c r="N42" s="128">
        <f>MAX(0,M42-M41)</f>
        <v/>
      </c>
      <c r="O42" s="127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RESUMO'!AP23</f>
        <v/>
      </c>
      <c r="N43" s="128">
        <f>MAX(0,M43-M42)</f>
        <v/>
      </c>
      <c r="O43" s="127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RESUMO'!AQ23</f>
        <v/>
      </c>
      <c r="N44" s="128">
        <f>MAX(0,M44-M43)</f>
        <v/>
      </c>
      <c r="O44" s="127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RESUMO'!AR23</f>
        <v/>
      </c>
      <c r="N45" s="128">
        <f>MAX(0,M45-M44)</f>
        <v/>
      </c>
      <c r="O45" s="127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RESUMO'!AS23</f>
        <v/>
      </c>
      <c r="N46" s="128">
        <f>MAX(0,M46-M45)</f>
        <v/>
      </c>
      <c r="O46" s="127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RESUMO'!AT23</f>
        <v/>
      </c>
      <c r="N47" s="128">
        <f>MAX(0,M47-M46)</f>
        <v/>
      </c>
      <c r="O47" s="127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RESUMO'!AU23</f>
        <v/>
      </c>
      <c r="N48" s="128">
        <f>MAX(0,M48-M47)</f>
        <v/>
      </c>
      <c r="O48" s="127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RESUMO'!AV23</f>
        <v/>
      </c>
      <c r="N49" s="128">
        <f>MAX(0,M49-M48)</f>
        <v/>
      </c>
      <c r="O49" s="127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RESUMO'!AW23</f>
        <v/>
      </c>
      <c r="N50" s="128">
        <f>MAX(0,M50-M49)</f>
        <v/>
      </c>
      <c r="O50" s="127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RESUMO'!AX23</f>
        <v/>
      </c>
      <c r="N51" s="128">
        <f>MAX(0,M51-M50)</f>
        <v/>
      </c>
      <c r="O51" s="127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RESUMO'!AY23</f>
        <v/>
      </c>
      <c r="N52" s="128">
        <f>MAX(0,M52-M51)</f>
        <v/>
      </c>
      <c r="O52" s="127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RESUMO'!AZ23</f>
        <v/>
      </c>
      <c r="N53" s="128">
        <f>MAX(0,M53-M52)</f>
        <v/>
      </c>
      <c r="O53" s="127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RESUMO'!BA23</f>
        <v/>
      </c>
      <c r="N54" s="128">
        <f>MAX(0,M54-M53)</f>
        <v/>
      </c>
      <c r="O54" s="127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RESUMO'!BB23</f>
        <v/>
      </c>
      <c r="N55" s="128">
        <f>MAX(0,M55-M54)</f>
        <v/>
      </c>
      <c r="O55" s="127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RESUMO'!BC23</f>
        <v/>
      </c>
      <c r="N56" s="128">
        <f>MAX(0,M56-M55)</f>
        <v/>
      </c>
      <c r="O56" s="127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RESUMO'!BD23</f>
        <v/>
      </c>
      <c r="N57" s="128">
        <f>MAX(0,M57-M56)</f>
        <v/>
      </c>
      <c r="O57" s="127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RESUMO'!BE23</f>
        <v/>
      </c>
      <c r="N58" s="128">
        <f>MAX(0,M58-M57)</f>
        <v/>
      </c>
      <c r="O58" s="127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RESUMO'!BF23</f>
        <v/>
      </c>
      <c r="N59" s="128">
        <f>MAX(0,M59-M58)</f>
        <v/>
      </c>
      <c r="O59" s="127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RESUMO'!BG23</f>
        <v/>
      </c>
      <c r="N60" s="128">
        <f>MAX(0,M60-M59)</f>
        <v/>
      </c>
      <c r="O60" s="127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RESUMO'!BH23</f>
        <v/>
      </c>
      <c r="N61" s="128">
        <f>MAX(0,M61-M60)</f>
        <v/>
      </c>
      <c r="O61" s="127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RESUMO'!BI23</f>
        <v/>
      </c>
      <c r="N62" s="128">
        <f>MAX(0,M62-M61)</f>
        <v/>
      </c>
      <c r="O62" s="127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RESUMO'!BJ23</f>
        <v/>
      </c>
      <c r="N63" s="128">
        <f>MAX(0,M63-M62)</f>
        <v/>
      </c>
      <c r="O63" s="127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RESUMO'!BK23</f>
        <v/>
      </c>
      <c r="N64" s="128">
        <f>MAX(0,M64-M63)</f>
        <v/>
      </c>
      <c r="O64" s="127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RESUMO'!BL23</f>
        <v/>
      </c>
      <c r="N65" s="128">
        <f>MAX(0,M65-M64)</f>
        <v/>
      </c>
      <c r="O65" s="127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RESUMO'!BM23</f>
        <v/>
      </c>
      <c r="N66" s="128">
        <f>MAX(0,M66-M65)</f>
        <v/>
      </c>
      <c r="O66" s="127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RESUMO'!BN23</f>
        <v/>
      </c>
      <c r="N67" s="128">
        <f>MAX(0,M67-M66)</f>
        <v/>
      </c>
      <c r="O67" s="127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RESUMO'!BO23</f>
        <v/>
      </c>
      <c r="N68" s="128">
        <f>MAX(0,M68-M67)</f>
        <v/>
      </c>
      <c r="O68" s="127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RESUMO'!BP23</f>
        <v/>
      </c>
      <c r="N69" s="128">
        <f>MAX(0,M69-M68)</f>
        <v/>
      </c>
      <c r="O69" s="127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RESUMO'!BQ23</f>
        <v/>
      </c>
      <c r="N70" s="128">
        <f>MAX(0,M70-M69)</f>
        <v/>
      </c>
      <c r="O70" s="127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RESUMO'!BR23</f>
        <v/>
      </c>
      <c r="N71" s="128">
        <f>MAX(0,M71-M70)</f>
        <v/>
      </c>
      <c r="O71" s="127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RESUMO'!BS23</f>
        <v/>
      </c>
      <c r="N72" s="128">
        <f>MAX(0,M72-M71)</f>
        <v/>
      </c>
      <c r="O72" s="127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RESUMO'!BT23</f>
        <v/>
      </c>
      <c r="N73" s="128">
        <f>MAX(0,M73-M72)</f>
        <v/>
      </c>
      <c r="O73" s="127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RESUMO'!BU23</f>
        <v/>
      </c>
      <c r="N74" s="128">
        <f>MAX(0,M74-M73)</f>
        <v/>
      </c>
      <c r="O74" s="127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RESUMO'!BV23</f>
        <v/>
      </c>
      <c r="N75" s="128">
        <f>MAX(0,M75-M74)</f>
        <v/>
      </c>
      <c r="O75" s="127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RESUMO'!BW23</f>
        <v/>
      </c>
      <c r="N76" s="128">
        <f>MAX(0,M76-M75)</f>
        <v/>
      </c>
      <c r="O76" s="127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PL'!F30</f>
        <v/>
      </c>
      <c r="K5" s="108">
        <f>'VALOR POR PL'!G30</f>
        <v/>
      </c>
      <c r="M5" s="127">
        <f>'CP RESUMO'!D24</f>
        <v/>
      </c>
      <c r="N5" s="128" t="n">
        <v>0</v>
      </c>
      <c r="O5" s="127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RESUMO'!E24</f>
        <v/>
      </c>
      <c r="N6" s="128">
        <f>MAX(0,M6-M5)</f>
        <v/>
      </c>
      <c r="O6" s="127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PL'!L30</f>
        <v/>
      </c>
      <c r="M7" s="127">
        <f>'CP RESUMO'!F24</f>
        <v/>
      </c>
      <c r="N7" s="128">
        <f>MAX(0,M7-M6)</f>
        <v/>
      </c>
      <c r="O7" s="127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RESUMO'!G24</f>
        <v/>
      </c>
      <c r="N8" s="128">
        <f>MAX(0,M8-M7)</f>
        <v/>
      </c>
      <c r="O8" s="127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RESUMO'!H24</f>
        <v/>
      </c>
      <c r="N9" s="128">
        <f>MAX(0,M9-M8)</f>
        <v/>
      </c>
      <c r="O9" s="127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RESUMO'!I24</f>
        <v/>
      </c>
      <c r="N10" s="128">
        <f>MAX(0,M10-M9)</f>
        <v/>
      </c>
      <c r="O10" s="127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RESUMO'!J24</f>
        <v/>
      </c>
      <c r="N11" s="128">
        <f>MAX(0,M11-M10)</f>
        <v/>
      </c>
      <c r="O11" s="127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RESUMO'!K24</f>
        <v/>
      </c>
      <c r="N12" s="128">
        <f>MAX(0,M12-M11)</f>
        <v/>
      </c>
      <c r="O12" s="127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PL'!I30</f>
        <v/>
      </c>
      <c r="M13" s="127">
        <f>'CP RESUMO'!L24</f>
        <v/>
      </c>
      <c r="N13" s="128">
        <f>MAX(0,M13-M12)</f>
        <v/>
      </c>
      <c r="O13" s="127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7">
        <f>'CP RESUMO'!M24</f>
        <v/>
      </c>
      <c r="N14" s="128">
        <f>MAX(0,M14-M13)</f>
        <v/>
      </c>
      <c r="O14" s="127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RESUMO'!N24</f>
        <v/>
      </c>
      <c r="N15" s="128">
        <f>MAX(0,M15-M14)</f>
        <v/>
      </c>
      <c r="O15" s="127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RESUMO'!O24</f>
        <v/>
      </c>
      <c r="N16" s="128">
        <f>MAX(0,M16-M15)</f>
        <v/>
      </c>
      <c r="O16" s="127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RESUMO'!P24</f>
        <v/>
      </c>
      <c r="N17" s="128">
        <f>MAX(0,M17-M16)</f>
        <v/>
      </c>
      <c r="O17" s="127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RESUMO'!Q24</f>
        <v/>
      </c>
      <c r="N18" s="128">
        <f>MAX(0,M18-M17)</f>
        <v/>
      </c>
      <c r="O18" s="127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RESUMO'!R24</f>
        <v/>
      </c>
      <c r="N19" s="128">
        <f>MAX(0,M19-M18)</f>
        <v/>
      </c>
      <c r="O19" s="127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RESUMO'!S24</f>
        <v/>
      </c>
      <c r="N20" s="128">
        <f>MAX(0,M20-M19)</f>
        <v/>
      </c>
      <c r="O20" s="127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RESUMO'!T24</f>
        <v/>
      </c>
      <c r="N21" s="128">
        <f>MAX(0,M21-M20)</f>
        <v/>
      </c>
      <c r="O21" s="127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RESUMO'!U24</f>
        <v/>
      </c>
      <c r="N22" s="128">
        <f>MAX(0,M22-M21)</f>
        <v/>
      </c>
      <c r="O22" s="127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RESUMO'!V24</f>
        <v/>
      </c>
      <c r="N23" s="128">
        <f>MAX(0,M23-M22)</f>
        <v/>
      </c>
      <c r="O23" s="127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RESUMO'!W24</f>
        <v/>
      </c>
      <c r="N24" s="128">
        <f>MAX(0,M24-M23)</f>
        <v/>
      </c>
      <c r="O24" s="127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RESUMO'!X24</f>
        <v/>
      </c>
      <c r="N25" s="128">
        <f>MAX(0,M25-M24)</f>
        <v/>
      </c>
      <c r="O25" s="127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RESUMO'!Y24</f>
        <v/>
      </c>
      <c r="N26" s="128">
        <f>MAX(0,M26-M25)</f>
        <v/>
      </c>
      <c r="O26" s="127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RESUMO'!Z24</f>
        <v/>
      </c>
      <c r="N27" s="128">
        <f>MAX(0,M27-M26)</f>
        <v/>
      </c>
      <c r="O27" s="127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RESUMO'!AA24</f>
        <v/>
      </c>
      <c r="N28" s="128">
        <f>MAX(0,M28-M27)</f>
        <v/>
      </c>
      <c r="O28" s="127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RESUMO'!AB24</f>
        <v/>
      </c>
      <c r="N29" s="128">
        <f>MAX(0,M29-M28)</f>
        <v/>
      </c>
      <c r="O29" s="127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RESUMO'!AC24</f>
        <v/>
      </c>
      <c r="N30" s="128">
        <f>MAX(0,M30-M29)</f>
        <v/>
      </c>
      <c r="O30" s="127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RESUMO'!AD24</f>
        <v/>
      </c>
      <c r="N31" s="128">
        <f>MAX(0,M31-M30)</f>
        <v/>
      </c>
      <c r="O31" s="127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RESUMO'!AE24</f>
        <v/>
      </c>
      <c r="N32" s="128">
        <f>MAX(0,M32-M31)</f>
        <v/>
      </c>
      <c r="O32" s="127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RESUMO'!AF24</f>
        <v/>
      </c>
      <c r="N33" s="128">
        <f>MAX(0,M33-M32)</f>
        <v/>
      </c>
      <c r="O33" s="127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RESUMO'!AG24</f>
        <v/>
      </c>
      <c r="N34" s="128">
        <f>MAX(0,M34-M33)</f>
        <v/>
      </c>
      <c r="O34" s="127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RESUMO'!AH24</f>
        <v/>
      </c>
      <c r="N35" s="128">
        <f>MAX(0,M35-M34)</f>
        <v/>
      </c>
      <c r="O35" s="127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RESUMO'!AI24</f>
        <v/>
      </c>
      <c r="N36" s="128">
        <f>MAX(0,M36-M35)</f>
        <v/>
      </c>
      <c r="O36" s="127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RESUMO'!AJ24</f>
        <v/>
      </c>
      <c r="N37" s="128">
        <f>MAX(0,M37-M36)</f>
        <v/>
      </c>
      <c r="O37" s="127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RESUMO'!AK24</f>
        <v/>
      </c>
      <c r="N38" s="128">
        <f>MAX(0,M38-M37)</f>
        <v/>
      </c>
      <c r="O38" s="127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RESUMO'!AL24</f>
        <v/>
      </c>
      <c r="N39" s="128">
        <f>MAX(0,M39-M38)</f>
        <v/>
      </c>
      <c r="O39" s="127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RESUMO'!AM24</f>
        <v/>
      </c>
      <c r="N40" s="128">
        <f>MAX(0,M40-M39)</f>
        <v/>
      </c>
      <c r="O40" s="127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RESUMO'!AN24</f>
        <v/>
      </c>
      <c r="N41" s="128">
        <f>MAX(0,M41-M40)</f>
        <v/>
      </c>
      <c r="O41" s="127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RESUMO'!AO24</f>
        <v/>
      </c>
      <c r="N42" s="128">
        <f>MAX(0,M42-M41)</f>
        <v/>
      </c>
      <c r="O42" s="127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RESUMO'!AP24</f>
        <v/>
      </c>
      <c r="N43" s="128">
        <f>MAX(0,M43-M42)</f>
        <v/>
      </c>
      <c r="O43" s="127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RESUMO'!AQ24</f>
        <v/>
      </c>
      <c r="N44" s="128">
        <f>MAX(0,M44-M43)</f>
        <v/>
      </c>
      <c r="O44" s="127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RESUMO'!AR24</f>
        <v/>
      </c>
      <c r="N45" s="128">
        <f>MAX(0,M45-M44)</f>
        <v/>
      </c>
      <c r="O45" s="127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RESUMO'!AS24</f>
        <v/>
      </c>
      <c r="N46" s="128">
        <f>MAX(0,M46-M45)</f>
        <v/>
      </c>
      <c r="O46" s="127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RESUMO'!AT24</f>
        <v/>
      </c>
      <c r="N47" s="128">
        <f>MAX(0,M47-M46)</f>
        <v/>
      </c>
      <c r="O47" s="127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RESUMO'!AU24</f>
        <v/>
      </c>
      <c r="N48" s="128">
        <f>MAX(0,M48-M47)</f>
        <v/>
      </c>
      <c r="O48" s="127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RESUMO'!AV24</f>
        <v/>
      </c>
      <c r="N49" s="128">
        <f>MAX(0,M49-M48)</f>
        <v/>
      </c>
      <c r="O49" s="127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RESUMO'!AW24</f>
        <v/>
      </c>
      <c r="N50" s="128">
        <f>MAX(0,M50-M49)</f>
        <v/>
      </c>
      <c r="O50" s="127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RESUMO'!AX24</f>
        <v/>
      </c>
      <c r="N51" s="128">
        <f>MAX(0,M51-M50)</f>
        <v/>
      </c>
      <c r="O51" s="127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RESUMO'!AY24</f>
        <v/>
      </c>
      <c r="N52" s="128">
        <f>MAX(0,M52-M51)</f>
        <v/>
      </c>
      <c r="O52" s="127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RESUMO'!AZ24</f>
        <v/>
      </c>
      <c r="N53" s="128">
        <f>MAX(0,M53-M52)</f>
        <v/>
      </c>
      <c r="O53" s="127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RESUMO'!BA24</f>
        <v/>
      </c>
      <c r="N54" s="128">
        <f>MAX(0,M54-M53)</f>
        <v/>
      </c>
      <c r="O54" s="127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RESUMO'!BB24</f>
        <v/>
      </c>
      <c r="N55" s="128">
        <f>MAX(0,M55-M54)</f>
        <v/>
      </c>
      <c r="O55" s="127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RESUMO'!BC24</f>
        <v/>
      </c>
      <c r="N56" s="128">
        <f>MAX(0,M56-M55)</f>
        <v/>
      </c>
      <c r="O56" s="127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RESUMO'!BD24</f>
        <v/>
      </c>
      <c r="N57" s="128">
        <f>MAX(0,M57-M56)</f>
        <v/>
      </c>
      <c r="O57" s="127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RESUMO'!BE24</f>
        <v/>
      </c>
      <c r="N58" s="128">
        <f>MAX(0,M58-M57)</f>
        <v/>
      </c>
      <c r="O58" s="127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RESUMO'!BF24</f>
        <v/>
      </c>
      <c r="N59" s="128">
        <f>MAX(0,M59-M58)</f>
        <v/>
      </c>
      <c r="O59" s="127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RESUMO'!BG24</f>
        <v/>
      </c>
      <c r="N60" s="128">
        <f>MAX(0,M60-M59)</f>
        <v/>
      </c>
      <c r="O60" s="127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RESUMO'!BH24</f>
        <v/>
      </c>
      <c r="N61" s="128">
        <f>MAX(0,M61-M60)</f>
        <v/>
      </c>
      <c r="O61" s="127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RESUMO'!BI24</f>
        <v/>
      </c>
      <c r="N62" s="128">
        <f>MAX(0,M62-M61)</f>
        <v/>
      </c>
      <c r="O62" s="127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RESUMO'!BJ24</f>
        <v/>
      </c>
      <c r="N63" s="128">
        <f>MAX(0,M63-M62)</f>
        <v/>
      </c>
      <c r="O63" s="127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RESUMO'!BK24</f>
        <v/>
      </c>
      <c r="N64" s="128">
        <f>MAX(0,M64-M63)</f>
        <v/>
      </c>
      <c r="O64" s="127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RESUMO'!BL24</f>
        <v/>
      </c>
      <c r="N65" s="128">
        <f>MAX(0,M65-M64)</f>
        <v/>
      </c>
      <c r="O65" s="127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RESUMO'!BM24</f>
        <v/>
      </c>
      <c r="N66" s="128">
        <f>MAX(0,M66-M65)</f>
        <v/>
      </c>
      <c r="O66" s="127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RESUMO'!BN24</f>
        <v/>
      </c>
      <c r="N67" s="128">
        <f>MAX(0,M67-M66)</f>
        <v/>
      </c>
      <c r="O67" s="127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RESUMO'!BO24</f>
        <v/>
      </c>
      <c r="N68" s="128">
        <f>MAX(0,M68-M67)</f>
        <v/>
      </c>
      <c r="O68" s="127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RESUMO'!BP24</f>
        <v/>
      </c>
      <c r="N69" s="128">
        <f>MAX(0,M69-M68)</f>
        <v/>
      </c>
      <c r="O69" s="127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RESUMO'!BQ24</f>
        <v/>
      </c>
      <c r="N70" s="128">
        <f>MAX(0,M70-M69)</f>
        <v/>
      </c>
      <c r="O70" s="127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RESUMO'!BR24</f>
        <v/>
      </c>
      <c r="N71" s="128">
        <f>MAX(0,M71-M70)</f>
        <v/>
      </c>
      <c r="O71" s="127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RESUMO'!BS24</f>
        <v/>
      </c>
      <c r="N72" s="128">
        <f>MAX(0,M72-M71)</f>
        <v/>
      </c>
      <c r="O72" s="127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RESUMO'!BT24</f>
        <v/>
      </c>
      <c r="N73" s="128">
        <f>MAX(0,M73-M72)</f>
        <v/>
      </c>
      <c r="O73" s="127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RESUMO'!BU24</f>
        <v/>
      </c>
      <c r="N74" s="128">
        <f>MAX(0,M74-M73)</f>
        <v/>
      </c>
      <c r="O74" s="127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RESUMO'!BV24</f>
        <v/>
      </c>
      <c r="N75" s="128">
        <f>MAX(0,M75-M74)</f>
        <v/>
      </c>
      <c r="O75" s="127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RESUMO'!BW24</f>
        <v/>
      </c>
      <c r="N76" s="128">
        <f>MAX(0,M76-M75)</f>
        <v/>
      </c>
      <c r="O76" s="127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PL'!F31</f>
        <v/>
      </c>
      <c r="K5" s="108">
        <f>'VALOR POR PL'!G31</f>
        <v/>
      </c>
      <c r="M5" s="127">
        <f>'CP RESUMO'!D25</f>
        <v/>
      </c>
      <c r="N5" s="128" t="n">
        <v>0</v>
      </c>
      <c r="O5" s="127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RESUMO'!E25</f>
        <v/>
      </c>
      <c r="N6" s="128">
        <f>MAX(0,M6-M5)</f>
        <v/>
      </c>
      <c r="O6" s="127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PL'!L31</f>
        <v/>
      </c>
      <c r="M7" s="127">
        <f>'CP RESUMO'!F25</f>
        <v/>
      </c>
      <c r="N7" s="128">
        <f>MAX(0,M7-M6)</f>
        <v/>
      </c>
      <c r="O7" s="127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RESUMO'!G25</f>
        <v/>
      </c>
      <c r="N8" s="128">
        <f>MAX(0,M8-M7)</f>
        <v/>
      </c>
      <c r="O8" s="127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RESUMO'!H25</f>
        <v/>
      </c>
      <c r="N9" s="128">
        <f>MAX(0,M9-M8)</f>
        <v/>
      </c>
      <c r="O9" s="127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RESUMO'!I25</f>
        <v/>
      </c>
      <c r="N10" s="128">
        <f>MAX(0,M10-M9)</f>
        <v/>
      </c>
      <c r="O10" s="127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RESUMO'!J25</f>
        <v/>
      </c>
      <c r="N11" s="128">
        <f>MAX(0,M11-M10)</f>
        <v/>
      </c>
      <c r="O11" s="127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RESUMO'!K25</f>
        <v/>
      </c>
      <c r="N12" s="128">
        <f>MAX(0,M12-M11)</f>
        <v/>
      </c>
      <c r="O12" s="127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PL'!I31</f>
        <v/>
      </c>
      <c r="M13" s="127">
        <f>'CP RESUMO'!L25</f>
        <v/>
      </c>
      <c r="N13" s="128">
        <f>MAX(0,M13-M12)</f>
        <v/>
      </c>
      <c r="O13" s="127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7">
        <f>'CP RESUMO'!M25</f>
        <v/>
      </c>
      <c r="N14" s="128">
        <f>MAX(0,M14-M13)</f>
        <v/>
      </c>
      <c r="O14" s="127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RESUMO'!N25</f>
        <v/>
      </c>
      <c r="N15" s="128">
        <f>MAX(0,M15-M14)</f>
        <v/>
      </c>
      <c r="O15" s="127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RESUMO'!O25</f>
        <v/>
      </c>
      <c r="N16" s="128">
        <f>MAX(0,M16-M15)</f>
        <v/>
      </c>
      <c r="O16" s="127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RESUMO'!P25</f>
        <v/>
      </c>
      <c r="N17" s="128">
        <f>MAX(0,M17-M16)</f>
        <v/>
      </c>
      <c r="O17" s="127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RESUMO'!Q25</f>
        <v/>
      </c>
      <c r="N18" s="128">
        <f>MAX(0,M18-M17)</f>
        <v/>
      </c>
      <c r="O18" s="127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RESUMO'!R25</f>
        <v/>
      </c>
      <c r="N19" s="128">
        <f>MAX(0,M19-M18)</f>
        <v/>
      </c>
      <c r="O19" s="127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RESUMO'!S25</f>
        <v/>
      </c>
      <c r="N20" s="128">
        <f>MAX(0,M20-M19)</f>
        <v/>
      </c>
      <c r="O20" s="127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RESUMO'!T25</f>
        <v/>
      </c>
      <c r="N21" s="128">
        <f>MAX(0,M21-M20)</f>
        <v/>
      </c>
      <c r="O21" s="127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RESUMO'!U25</f>
        <v/>
      </c>
      <c r="N22" s="128">
        <f>MAX(0,M22-M21)</f>
        <v/>
      </c>
      <c r="O22" s="127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RESUMO'!V25</f>
        <v/>
      </c>
      <c r="N23" s="128">
        <f>MAX(0,M23-M22)</f>
        <v/>
      </c>
      <c r="O23" s="127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RESUMO'!W25</f>
        <v/>
      </c>
      <c r="N24" s="128">
        <f>MAX(0,M24-M23)</f>
        <v/>
      </c>
      <c r="O24" s="127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RESUMO'!X25</f>
        <v/>
      </c>
      <c r="N25" s="128">
        <f>MAX(0,M25-M24)</f>
        <v/>
      </c>
      <c r="O25" s="127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RESUMO'!Y25</f>
        <v/>
      </c>
      <c r="N26" s="128">
        <f>MAX(0,M26-M25)</f>
        <v/>
      </c>
      <c r="O26" s="127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RESUMO'!Z25</f>
        <v/>
      </c>
      <c r="N27" s="128">
        <f>MAX(0,M27-M26)</f>
        <v/>
      </c>
      <c r="O27" s="127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RESUMO'!AA25</f>
        <v/>
      </c>
      <c r="N28" s="128">
        <f>MAX(0,M28-M27)</f>
        <v/>
      </c>
      <c r="O28" s="127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RESUMO'!AB25</f>
        <v/>
      </c>
      <c r="N29" s="128">
        <f>MAX(0,M29-M28)</f>
        <v/>
      </c>
      <c r="O29" s="127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RESUMO'!AC25</f>
        <v/>
      </c>
      <c r="N30" s="128">
        <f>MAX(0,M30-M29)</f>
        <v/>
      </c>
      <c r="O30" s="127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RESUMO'!AD25</f>
        <v/>
      </c>
      <c r="N31" s="128">
        <f>MAX(0,M31-M30)</f>
        <v/>
      </c>
      <c r="O31" s="127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RESUMO'!AE25</f>
        <v/>
      </c>
      <c r="N32" s="128">
        <f>MAX(0,M32-M31)</f>
        <v/>
      </c>
      <c r="O32" s="127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RESUMO'!AF25</f>
        <v/>
      </c>
      <c r="N33" s="128">
        <f>MAX(0,M33-M32)</f>
        <v/>
      </c>
      <c r="O33" s="127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RESUMO'!AG25</f>
        <v/>
      </c>
      <c r="N34" s="128">
        <f>MAX(0,M34-M33)</f>
        <v/>
      </c>
      <c r="O34" s="127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RESUMO'!AH25</f>
        <v/>
      </c>
      <c r="N35" s="128">
        <f>MAX(0,M35-M34)</f>
        <v/>
      </c>
      <c r="O35" s="127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RESUMO'!AI25</f>
        <v/>
      </c>
      <c r="N36" s="128">
        <f>MAX(0,M36-M35)</f>
        <v/>
      </c>
      <c r="O36" s="127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RESUMO'!AJ25</f>
        <v/>
      </c>
      <c r="N37" s="128">
        <f>MAX(0,M37-M36)</f>
        <v/>
      </c>
      <c r="O37" s="127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RESUMO'!AK25</f>
        <v/>
      </c>
      <c r="N38" s="128">
        <f>MAX(0,M38-M37)</f>
        <v/>
      </c>
      <c r="O38" s="127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RESUMO'!AL25</f>
        <v/>
      </c>
      <c r="N39" s="128">
        <f>MAX(0,M39-M38)</f>
        <v/>
      </c>
      <c r="O39" s="127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RESUMO'!AM25</f>
        <v/>
      </c>
      <c r="N40" s="128">
        <f>MAX(0,M40-M39)</f>
        <v/>
      </c>
      <c r="O40" s="127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RESUMO'!AN25</f>
        <v/>
      </c>
      <c r="N41" s="128">
        <f>MAX(0,M41-M40)</f>
        <v/>
      </c>
      <c r="O41" s="127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RESUMO'!AO25</f>
        <v/>
      </c>
      <c r="N42" s="128">
        <f>MAX(0,M42-M41)</f>
        <v/>
      </c>
      <c r="O42" s="127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RESUMO'!AP25</f>
        <v/>
      </c>
      <c r="N43" s="128">
        <f>MAX(0,M43-M42)</f>
        <v/>
      </c>
      <c r="O43" s="127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RESUMO'!AQ25</f>
        <v/>
      </c>
      <c r="N44" s="128">
        <f>MAX(0,M44-M43)</f>
        <v/>
      </c>
      <c r="O44" s="127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RESUMO'!AR25</f>
        <v/>
      </c>
      <c r="N45" s="128">
        <f>MAX(0,M45-M44)</f>
        <v/>
      </c>
      <c r="O45" s="127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RESUMO'!AS25</f>
        <v/>
      </c>
      <c r="N46" s="128">
        <f>MAX(0,M46-M45)</f>
        <v/>
      </c>
      <c r="O46" s="127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RESUMO'!AT25</f>
        <v/>
      </c>
      <c r="N47" s="128">
        <f>MAX(0,M47-M46)</f>
        <v/>
      </c>
      <c r="O47" s="127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RESUMO'!AU25</f>
        <v/>
      </c>
      <c r="N48" s="128">
        <f>MAX(0,M48-M47)</f>
        <v/>
      </c>
      <c r="O48" s="127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RESUMO'!AV25</f>
        <v/>
      </c>
      <c r="N49" s="128">
        <f>MAX(0,M49-M48)</f>
        <v/>
      </c>
      <c r="O49" s="127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RESUMO'!AW25</f>
        <v/>
      </c>
      <c r="N50" s="128">
        <f>MAX(0,M50-M49)</f>
        <v/>
      </c>
      <c r="O50" s="127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RESUMO'!AX25</f>
        <v/>
      </c>
      <c r="N51" s="128">
        <f>MAX(0,M51-M50)</f>
        <v/>
      </c>
      <c r="O51" s="127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RESUMO'!AY25</f>
        <v/>
      </c>
      <c r="N52" s="128">
        <f>MAX(0,M52-M51)</f>
        <v/>
      </c>
      <c r="O52" s="127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RESUMO'!AZ25</f>
        <v/>
      </c>
      <c r="N53" s="128">
        <f>MAX(0,M53-M52)</f>
        <v/>
      </c>
      <c r="O53" s="127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RESUMO'!BA25</f>
        <v/>
      </c>
      <c r="N54" s="128">
        <f>MAX(0,M54-M53)</f>
        <v/>
      </c>
      <c r="O54" s="127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RESUMO'!BB25</f>
        <v/>
      </c>
      <c r="N55" s="128">
        <f>MAX(0,M55-M54)</f>
        <v/>
      </c>
      <c r="O55" s="127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RESUMO'!BC25</f>
        <v/>
      </c>
      <c r="N56" s="128">
        <f>MAX(0,M56-M55)</f>
        <v/>
      </c>
      <c r="O56" s="127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RESUMO'!BD25</f>
        <v/>
      </c>
      <c r="N57" s="128">
        <f>MAX(0,M57-M56)</f>
        <v/>
      </c>
      <c r="O57" s="127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RESUMO'!BE25</f>
        <v/>
      </c>
      <c r="N58" s="128">
        <f>MAX(0,M58-M57)</f>
        <v/>
      </c>
      <c r="O58" s="127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RESUMO'!BF25</f>
        <v/>
      </c>
      <c r="N59" s="128">
        <f>MAX(0,M59-M58)</f>
        <v/>
      </c>
      <c r="O59" s="127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RESUMO'!BG25</f>
        <v/>
      </c>
      <c r="N60" s="128">
        <f>MAX(0,M60-M59)</f>
        <v/>
      </c>
      <c r="O60" s="127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RESUMO'!BH25</f>
        <v/>
      </c>
      <c r="N61" s="128">
        <f>MAX(0,M61-M60)</f>
        <v/>
      </c>
      <c r="O61" s="127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RESUMO'!BI25</f>
        <v/>
      </c>
      <c r="N62" s="128">
        <f>MAX(0,M62-M61)</f>
        <v/>
      </c>
      <c r="O62" s="127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RESUMO'!BJ25</f>
        <v/>
      </c>
      <c r="N63" s="128">
        <f>MAX(0,M63-M62)</f>
        <v/>
      </c>
      <c r="O63" s="127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RESUMO'!BK25</f>
        <v/>
      </c>
      <c r="N64" s="128">
        <f>MAX(0,M64-M63)</f>
        <v/>
      </c>
      <c r="O64" s="127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RESUMO'!BL25</f>
        <v/>
      </c>
      <c r="N65" s="128">
        <f>MAX(0,M65-M64)</f>
        <v/>
      </c>
      <c r="O65" s="127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RESUMO'!BM25</f>
        <v/>
      </c>
      <c r="N66" s="128">
        <f>MAX(0,M66-M65)</f>
        <v/>
      </c>
      <c r="O66" s="127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RESUMO'!BN25</f>
        <v/>
      </c>
      <c r="N67" s="128">
        <f>MAX(0,M67-M66)</f>
        <v/>
      </c>
      <c r="O67" s="127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RESUMO'!BO25</f>
        <v/>
      </c>
      <c r="N68" s="128">
        <f>MAX(0,M68-M67)</f>
        <v/>
      </c>
      <c r="O68" s="127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RESUMO'!BP25</f>
        <v/>
      </c>
      <c r="N69" s="128">
        <f>MAX(0,M69-M68)</f>
        <v/>
      </c>
      <c r="O69" s="127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RESUMO'!BQ25</f>
        <v/>
      </c>
      <c r="N70" s="128">
        <f>MAX(0,M70-M69)</f>
        <v/>
      </c>
      <c r="O70" s="127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RESUMO'!BR25</f>
        <v/>
      </c>
      <c r="N71" s="128">
        <f>MAX(0,M71-M70)</f>
        <v/>
      </c>
      <c r="O71" s="127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RESUMO'!BS25</f>
        <v/>
      </c>
      <c r="N72" s="128">
        <f>MAX(0,M72-M71)</f>
        <v/>
      </c>
      <c r="O72" s="127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RESUMO'!BT25</f>
        <v/>
      </c>
      <c r="N73" s="128">
        <f>MAX(0,M73-M72)</f>
        <v/>
      </c>
      <c r="O73" s="127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RESUMO'!BU25</f>
        <v/>
      </c>
      <c r="N74" s="128">
        <f>MAX(0,M74-M73)</f>
        <v/>
      </c>
      <c r="O74" s="127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RESUMO'!BV25</f>
        <v/>
      </c>
      <c r="N75" s="128">
        <f>MAX(0,M75-M74)</f>
        <v/>
      </c>
      <c r="O75" s="127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RESUMO'!BW25</f>
        <v/>
      </c>
      <c r="N76" s="128">
        <f>MAX(0,M76-M75)</f>
        <v/>
      </c>
      <c r="O76" s="127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PL'!F32</f>
        <v/>
      </c>
      <c r="K5" s="108">
        <f>'VALOR POR PL'!G32</f>
        <v/>
      </c>
      <c r="M5" s="127">
        <f>'CP RESUMO'!D26</f>
        <v/>
      </c>
      <c r="N5" s="128" t="n">
        <v>0</v>
      </c>
      <c r="O5" s="127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RESUMO'!E26</f>
        <v/>
      </c>
      <c r="N6" s="128">
        <f>MAX(0,M6-M5)</f>
        <v/>
      </c>
      <c r="O6" s="127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PL'!L32</f>
        <v/>
      </c>
      <c r="M7" s="127">
        <f>'CP RESUMO'!F26</f>
        <v/>
      </c>
      <c r="N7" s="128">
        <f>MAX(0,M7-M6)</f>
        <v/>
      </c>
      <c r="O7" s="127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RESUMO'!G26</f>
        <v/>
      </c>
      <c r="N8" s="128">
        <f>MAX(0,M8-M7)</f>
        <v/>
      </c>
      <c r="O8" s="127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RESUMO'!H26</f>
        <v/>
      </c>
      <c r="N9" s="128">
        <f>MAX(0,M9-M8)</f>
        <v/>
      </c>
      <c r="O9" s="127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RESUMO'!I26</f>
        <v/>
      </c>
      <c r="N10" s="128">
        <f>MAX(0,M10-M9)</f>
        <v/>
      </c>
      <c r="O10" s="127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RESUMO'!J26</f>
        <v/>
      </c>
      <c r="N11" s="128">
        <f>MAX(0,M11-M10)</f>
        <v/>
      </c>
      <c r="O11" s="127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RESUMO'!K26</f>
        <v/>
      </c>
      <c r="N12" s="128">
        <f>MAX(0,M12-M11)</f>
        <v/>
      </c>
      <c r="O12" s="127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PL'!I32</f>
        <v/>
      </c>
      <c r="M13" s="127">
        <f>'CP RESUMO'!L26</f>
        <v/>
      </c>
      <c r="N13" s="128">
        <f>MAX(0,M13-M12)</f>
        <v/>
      </c>
      <c r="O13" s="127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7">
        <f>'CP RESUMO'!M26</f>
        <v/>
      </c>
      <c r="N14" s="128">
        <f>MAX(0,M14-M13)</f>
        <v/>
      </c>
      <c r="O14" s="127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RESUMO'!N26</f>
        <v/>
      </c>
      <c r="N15" s="128">
        <f>MAX(0,M15-M14)</f>
        <v/>
      </c>
      <c r="O15" s="127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RESUMO'!O26</f>
        <v/>
      </c>
      <c r="N16" s="128">
        <f>MAX(0,M16-M15)</f>
        <v/>
      </c>
      <c r="O16" s="127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RESUMO'!P26</f>
        <v/>
      </c>
      <c r="N17" s="128">
        <f>MAX(0,M17-M16)</f>
        <v/>
      </c>
      <c r="O17" s="127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RESUMO'!Q26</f>
        <v/>
      </c>
      <c r="N18" s="128">
        <f>MAX(0,M18-M17)</f>
        <v/>
      </c>
      <c r="O18" s="127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RESUMO'!R26</f>
        <v/>
      </c>
      <c r="N19" s="128">
        <f>MAX(0,M19-M18)</f>
        <v/>
      </c>
      <c r="O19" s="127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RESUMO'!S26</f>
        <v/>
      </c>
      <c r="N20" s="128">
        <f>MAX(0,M20-M19)</f>
        <v/>
      </c>
      <c r="O20" s="127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RESUMO'!T26</f>
        <v/>
      </c>
      <c r="N21" s="128">
        <f>MAX(0,M21-M20)</f>
        <v/>
      </c>
      <c r="O21" s="127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RESUMO'!U26</f>
        <v/>
      </c>
      <c r="N22" s="128">
        <f>MAX(0,M22-M21)</f>
        <v/>
      </c>
      <c r="O22" s="127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RESUMO'!V26</f>
        <v/>
      </c>
      <c r="N23" s="128">
        <f>MAX(0,M23-M22)</f>
        <v/>
      </c>
      <c r="O23" s="127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RESUMO'!W26</f>
        <v/>
      </c>
      <c r="N24" s="128">
        <f>MAX(0,M24-M23)</f>
        <v/>
      </c>
      <c r="O24" s="127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RESUMO'!X26</f>
        <v/>
      </c>
      <c r="N25" s="128">
        <f>MAX(0,M25-M24)</f>
        <v/>
      </c>
      <c r="O25" s="127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RESUMO'!Y26</f>
        <v/>
      </c>
      <c r="N26" s="128">
        <f>MAX(0,M26-M25)</f>
        <v/>
      </c>
      <c r="O26" s="127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RESUMO'!Z26</f>
        <v/>
      </c>
      <c r="N27" s="128">
        <f>MAX(0,M27-M26)</f>
        <v/>
      </c>
      <c r="O27" s="127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RESUMO'!AA26</f>
        <v/>
      </c>
      <c r="N28" s="128">
        <f>MAX(0,M28-M27)</f>
        <v/>
      </c>
      <c r="O28" s="127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RESUMO'!AB26</f>
        <v/>
      </c>
      <c r="N29" s="128">
        <f>MAX(0,M29-M28)</f>
        <v/>
      </c>
      <c r="O29" s="127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RESUMO'!AC26</f>
        <v/>
      </c>
      <c r="N30" s="128">
        <f>MAX(0,M30-M29)</f>
        <v/>
      </c>
      <c r="O30" s="127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RESUMO'!AD26</f>
        <v/>
      </c>
      <c r="N31" s="128">
        <f>MAX(0,M31-M30)</f>
        <v/>
      </c>
      <c r="O31" s="127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RESUMO'!AE26</f>
        <v/>
      </c>
      <c r="N32" s="128">
        <f>MAX(0,M32-M31)</f>
        <v/>
      </c>
      <c r="O32" s="127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RESUMO'!AF26</f>
        <v/>
      </c>
      <c r="N33" s="128">
        <f>MAX(0,M33-M32)</f>
        <v/>
      </c>
      <c r="O33" s="127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RESUMO'!AG26</f>
        <v/>
      </c>
      <c r="N34" s="128">
        <f>MAX(0,M34-M33)</f>
        <v/>
      </c>
      <c r="O34" s="127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RESUMO'!AH26</f>
        <v/>
      </c>
      <c r="N35" s="128">
        <f>MAX(0,M35-M34)</f>
        <v/>
      </c>
      <c r="O35" s="127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RESUMO'!AI26</f>
        <v/>
      </c>
      <c r="N36" s="128">
        <f>MAX(0,M36-M35)</f>
        <v/>
      </c>
      <c r="O36" s="127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RESUMO'!AJ26</f>
        <v/>
      </c>
      <c r="N37" s="128">
        <f>MAX(0,M37-M36)</f>
        <v/>
      </c>
      <c r="O37" s="127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RESUMO'!AK26</f>
        <v/>
      </c>
      <c r="N38" s="128">
        <f>MAX(0,M38-M37)</f>
        <v/>
      </c>
      <c r="O38" s="127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RESUMO'!AL26</f>
        <v/>
      </c>
      <c r="N39" s="128">
        <f>MAX(0,M39-M38)</f>
        <v/>
      </c>
      <c r="O39" s="127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RESUMO'!AM26</f>
        <v/>
      </c>
      <c r="N40" s="128">
        <f>MAX(0,M40-M39)</f>
        <v/>
      </c>
      <c r="O40" s="127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RESUMO'!AN26</f>
        <v/>
      </c>
      <c r="N41" s="128">
        <f>MAX(0,M41-M40)</f>
        <v/>
      </c>
      <c r="O41" s="127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RESUMO'!AO26</f>
        <v/>
      </c>
      <c r="N42" s="128">
        <f>MAX(0,M42-M41)</f>
        <v/>
      </c>
      <c r="O42" s="127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RESUMO'!AP26</f>
        <v/>
      </c>
      <c r="N43" s="128">
        <f>MAX(0,M43-M42)</f>
        <v/>
      </c>
      <c r="O43" s="127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RESUMO'!AQ26</f>
        <v/>
      </c>
      <c r="N44" s="128">
        <f>MAX(0,M44-M43)</f>
        <v/>
      </c>
      <c r="O44" s="127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RESUMO'!AR26</f>
        <v/>
      </c>
      <c r="N45" s="128">
        <f>MAX(0,M45-M44)</f>
        <v/>
      </c>
      <c r="O45" s="127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RESUMO'!AS26</f>
        <v/>
      </c>
      <c r="N46" s="128">
        <f>MAX(0,M46-M45)</f>
        <v/>
      </c>
      <c r="O46" s="127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RESUMO'!AT26</f>
        <v/>
      </c>
      <c r="N47" s="128">
        <f>MAX(0,M47-M46)</f>
        <v/>
      </c>
      <c r="O47" s="127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RESUMO'!AU26</f>
        <v/>
      </c>
      <c r="N48" s="128">
        <f>MAX(0,M48-M47)</f>
        <v/>
      </c>
      <c r="O48" s="127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RESUMO'!AV26</f>
        <v/>
      </c>
      <c r="N49" s="128">
        <f>MAX(0,M49-M48)</f>
        <v/>
      </c>
      <c r="O49" s="127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RESUMO'!AW26</f>
        <v/>
      </c>
      <c r="N50" s="128">
        <f>MAX(0,M50-M49)</f>
        <v/>
      </c>
      <c r="O50" s="127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RESUMO'!AX26</f>
        <v/>
      </c>
      <c r="N51" s="128">
        <f>MAX(0,M51-M50)</f>
        <v/>
      </c>
      <c r="O51" s="127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RESUMO'!AY26</f>
        <v/>
      </c>
      <c r="N52" s="128">
        <f>MAX(0,M52-M51)</f>
        <v/>
      </c>
      <c r="O52" s="127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RESUMO'!AZ26</f>
        <v/>
      </c>
      <c r="N53" s="128">
        <f>MAX(0,M53-M52)</f>
        <v/>
      </c>
      <c r="O53" s="127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RESUMO'!BA26</f>
        <v/>
      </c>
      <c r="N54" s="128">
        <f>MAX(0,M54-M53)</f>
        <v/>
      </c>
      <c r="O54" s="127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RESUMO'!BB26</f>
        <v/>
      </c>
      <c r="N55" s="128">
        <f>MAX(0,M55-M54)</f>
        <v/>
      </c>
      <c r="O55" s="127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RESUMO'!BC26</f>
        <v/>
      </c>
      <c r="N56" s="128">
        <f>MAX(0,M56-M55)</f>
        <v/>
      </c>
      <c r="O56" s="127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RESUMO'!BD26</f>
        <v/>
      </c>
      <c r="N57" s="128">
        <f>MAX(0,M57-M56)</f>
        <v/>
      </c>
      <c r="O57" s="127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RESUMO'!BE26</f>
        <v/>
      </c>
      <c r="N58" s="128">
        <f>MAX(0,M58-M57)</f>
        <v/>
      </c>
      <c r="O58" s="127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RESUMO'!BF26</f>
        <v/>
      </c>
      <c r="N59" s="128">
        <f>MAX(0,M59-M58)</f>
        <v/>
      </c>
      <c r="O59" s="127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RESUMO'!BG26</f>
        <v/>
      </c>
      <c r="N60" s="128">
        <f>MAX(0,M60-M59)</f>
        <v/>
      </c>
      <c r="O60" s="127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RESUMO'!BH26</f>
        <v/>
      </c>
      <c r="N61" s="128">
        <f>MAX(0,M61-M60)</f>
        <v/>
      </c>
      <c r="O61" s="127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RESUMO'!BI26</f>
        <v/>
      </c>
      <c r="N62" s="128">
        <f>MAX(0,M62-M61)</f>
        <v/>
      </c>
      <c r="O62" s="127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RESUMO'!BJ26</f>
        <v/>
      </c>
      <c r="N63" s="128">
        <f>MAX(0,M63-M62)</f>
        <v/>
      </c>
      <c r="O63" s="127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RESUMO'!BK26</f>
        <v/>
      </c>
      <c r="N64" s="128">
        <f>MAX(0,M64-M63)</f>
        <v/>
      </c>
      <c r="O64" s="127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RESUMO'!BL26</f>
        <v/>
      </c>
      <c r="N65" s="128">
        <f>MAX(0,M65-M64)</f>
        <v/>
      </c>
      <c r="O65" s="127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RESUMO'!BM26</f>
        <v/>
      </c>
      <c r="N66" s="128">
        <f>MAX(0,M66-M65)</f>
        <v/>
      </c>
      <c r="O66" s="127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RESUMO'!BN26</f>
        <v/>
      </c>
      <c r="N67" s="128">
        <f>MAX(0,M67-M66)</f>
        <v/>
      </c>
      <c r="O67" s="127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RESUMO'!BO26</f>
        <v/>
      </c>
      <c r="N68" s="128">
        <f>MAX(0,M68-M67)</f>
        <v/>
      </c>
      <c r="O68" s="127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RESUMO'!BP26</f>
        <v/>
      </c>
      <c r="N69" s="128">
        <f>MAX(0,M69-M68)</f>
        <v/>
      </c>
      <c r="O69" s="127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RESUMO'!BQ26</f>
        <v/>
      </c>
      <c r="N70" s="128">
        <f>MAX(0,M70-M69)</f>
        <v/>
      </c>
      <c r="O70" s="127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RESUMO'!BR26</f>
        <v/>
      </c>
      <c r="N71" s="128">
        <f>MAX(0,M71-M70)</f>
        <v/>
      </c>
      <c r="O71" s="127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RESUMO'!BS26</f>
        <v/>
      </c>
      <c r="N72" s="128">
        <f>MAX(0,M72-M71)</f>
        <v/>
      </c>
      <c r="O72" s="127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RESUMO'!BT26</f>
        <v/>
      </c>
      <c r="N73" s="128">
        <f>MAX(0,M73-M72)</f>
        <v/>
      </c>
      <c r="O73" s="127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RESUMO'!BU26</f>
        <v/>
      </c>
      <c r="N74" s="128">
        <f>MAX(0,M74-M73)</f>
        <v/>
      </c>
      <c r="O74" s="127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RESUMO'!BV26</f>
        <v/>
      </c>
      <c r="N75" s="128">
        <f>MAX(0,M75-M74)</f>
        <v/>
      </c>
      <c r="O75" s="127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RESUMO'!BW26</f>
        <v/>
      </c>
      <c r="N76" s="128">
        <f>MAX(0,M76-M75)</f>
        <v/>
      </c>
      <c r="O76" s="127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PL'!F33</f>
        <v/>
      </c>
      <c r="K5" s="108">
        <f>'VALOR POR PL'!G33</f>
        <v/>
      </c>
      <c r="M5" s="127">
        <f>'CP RESUMO'!D27</f>
        <v/>
      </c>
      <c r="N5" s="128" t="n">
        <v>0</v>
      </c>
      <c r="O5" s="127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RESUMO'!E27</f>
        <v/>
      </c>
      <c r="N6" s="128">
        <f>MAX(0,M6-M5)</f>
        <v/>
      </c>
      <c r="O6" s="127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PL'!L33</f>
        <v/>
      </c>
      <c r="M7" s="127">
        <f>'CP RESUMO'!F27</f>
        <v/>
      </c>
      <c r="N7" s="128">
        <f>MAX(0,M7-M6)</f>
        <v/>
      </c>
      <c r="O7" s="127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RESUMO'!G27</f>
        <v/>
      </c>
      <c r="N8" s="128">
        <f>MAX(0,M8-M7)</f>
        <v/>
      </c>
      <c r="O8" s="127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RESUMO'!H27</f>
        <v/>
      </c>
      <c r="N9" s="128">
        <f>MAX(0,M9-M8)</f>
        <v/>
      </c>
      <c r="O9" s="127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RESUMO'!I27</f>
        <v/>
      </c>
      <c r="N10" s="128">
        <f>MAX(0,M10-M9)</f>
        <v/>
      </c>
      <c r="O10" s="127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RESUMO'!J27</f>
        <v/>
      </c>
      <c r="N11" s="128">
        <f>MAX(0,M11-M10)</f>
        <v/>
      </c>
      <c r="O11" s="127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RESUMO'!K27</f>
        <v/>
      </c>
      <c r="N12" s="128">
        <f>MAX(0,M12-M11)</f>
        <v/>
      </c>
      <c r="O12" s="127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PL'!I33</f>
        <v/>
      </c>
      <c r="M13" s="127">
        <f>'CP RESUMO'!L27</f>
        <v/>
      </c>
      <c r="N13" s="128">
        <f>MAX(0,M13-M12)</f>
        <v/>
      </c>
      <c r="O13" s="127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7">
        <f>'CP RESUMO'!M27</f>
        <v/>
      </c>
      <c r="N14" s="128">
        <f>MAX(0,M14-M13)</f>
        <v/>
      </c>
      <c r="O14" s="127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RESUMO'!N27</f>
        <v/>
      </c>
      <c r="N15" s="128">
        <f>MAX(0,M15-M14)</f>
        <v/>
      </c>
      <c r="O15" s="127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RESUMO'!O27</f>
        <v/>
      </c>
      <c r="N16" s="128">
        <f>MAX(0,M16-M15)</f>
        <v/>
      </c>
      <c r="O16" s="127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RESUMO'!P27</f>
        <v/>
      </c>
      <c r="N17" s="128">
        <f>MAX(0,M17-M16)</f>
        <v/>
      </c>
      <c r="O17" s="127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RESUMO'!Q27</f>
        <v/>
      </c>
      <c r="N18" s="128">
        <f>MAX(0,M18-M17)</f>
        <v/>
      </c>
      <c r="O18" s="127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RESUMO'!R27</f>
        <v/>
      </c>
      <c r="N19" s="128">
        <f>MAX(0,M19-M18)</f>
        <v/>
      </c>
      <c r="O19" s="127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RESUMO'!S27</f>
        <v/>
      </c>
      <c r="N20" s="128">
        <f>MAX(0,M20-M19)</f>
        <v/>
      </c>
      <c r="O20" s="127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RESUMO'!T27</f>
        <v/>
      </c>
      <c r="N21" s="128">
        <f>MAX(0,M21-M20)</f>
        <v/>
      </c>
      <c r="O21" s="127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RESUMO'!U27</f>
        <v/>
      </c>
      <c r="N22" s="128">
        <f>MAX(0,M22-M21)</f>
        <v/>
      </c>
      <c r="O22" s="127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RESUMO'!V27</f>
        <v/>
      </c>
      <c r="N23" s="128">
        <f>MAX(0,M23-M22)</f>
        <v/>
      </c>
      <c r="O23" s="127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RESUMO'!W27</f>
        <v/>
      </c>
      <c r="N24" s="128">
        <f>MAX(0,M24-M23)</f>
        <v/>
      </c>
      <c r="O24" s="127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RESUMO'!X27</f>
        <v/>
      </c>
      <c r="N25" s="128">
        <f>MAX(0,M25-M24)</f>
        <v/>
      </c>
      <c r="O25" s="127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RESUMO'!Y27</f>
        <v/>
      </c>
      <c r="N26" s="128">
        <f>MAX(0,M26-M25)</f>
        <v/>
      </c>
      <c r="O26" s="127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RESUMO'!Z27</f>
        <v/>
      </c>
      <c r="N27" s="128">
        <f>MAX(0,M27-M26)</f>
        <v/>
      </c>
      <c r="O27" s="127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RESUMO'!AA27</f>
        <v/>
      </c>
      <c r="N28" s="128">
        <f>MAX(0,M28-M27)</f>
        <v/>
      </c>
      <c r="O28" s="127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RESUMO'!AB27</f>
        <v/>
      </c>
      <c r="N29" s="128">
        <f>MAX(0,M29-M28)</f>
        <v/>
      </c>
      <c r="O29" s="127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RESUMO'!AC27</f>
        <v/>
      </c>
      <c r="N30" s="128">
        <f>MAX(0,M30-M29)</f>
        <v/>
      </c>
      <c r="O30" s="127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RESUMO'!AD27</f>
        <v/>
      </c>
      <c r="N31" s="128">
        <f>MAX(0,M31-M30)</f>
        <v/>
      </c>
      <c r="O31" s="127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RESUMO'!AE27</f>
        <v/>
      </c>
      <c r="N32" s="128">
        <f>MAX(0,M32-M31)</f>
        <v/>
      </c>
      <c r="O32" s="127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RESUMO'!AF27</f>
        <v/>
      </c>
      <c r="N33" s="128">
        <f>MAX(0,M33-M32)</f>
        <v/>
      </c>
      <c r="O33" s="127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RESUMO'!AG27</f>
        <v/>
      </c>
      <c r="N34" s="128">
        <f>MAX(0,M34-M33)</f>
        <v/>
      </c>
      <c r="O34" s="127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RESUMO'!AH27</f>
        <v/>
      </c>
      <c r="N35" s="128">
        <f>MAX(0,M35-M34)</f>
        <v/>
      </c>
      <c r="O35" s="127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RESUMO'!AI27</f>
        <v/>
      </c>
      <c r="N36" s="128">
        <f>MAX(0,M36-M35)</f>
        <v/>
      </c>
      <c r="O36" s="127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RESUMO'!AJ27</f>
        <v/>
      </c>
      <c r="N37" s="128">
        <f>MAX(0,M37-M36)</f>
        <v/>
      </c>
      <c r="O37" s="127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RESUMO'!AK27</f>
        <v/>
      </c>
      <c r="N38" s="128">
        <f>MAX(0,M38-M37)</f>
        <v/>
      </c>
      <c r="O38" s="127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RESUMO'!AL27</f>
        <v/>
      </c>
      <c r="N39" s="128">
        <f>MAX(0,M39-M38)</f>
        <v/>
      </c>
      <c r="O39" s="127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RESUMO'!AM27</f>
        <v/>
      </c>
      <c r="N40" s="128">
        <f>MAX(0,M40-M39)</f>
        <v/>
      </c>
      <c r="O40" s="127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RESUMO'!AN27</f>
        <v/>
      </c>
      <c r="N41" s="128">
        <f>MAX(0,M41-M40)</f>
        <v/>
      </c>
      <c r="O41" s="127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RESUMO'!AO27</f>
        <v/>
      </c>
      <c r="N42" s="128">
        <f>MAX(0,M42-M41)</f>
        <v/>
      </c>
      <c r="O42" s="127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RESUMO'!AP27</f>
        <v/>
      </c>
      <c r="N43" s="128">
        <f>MAX(0,M43-M42)</f>
        <v/>
      </c>
      <c r="O43" s="127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RESUMO'!AQ27</f>
        <v/>
      </c>
      <c r="N44" s="128">
        <f>MAX(0,M44-M43)</f>
        <v/>
      </c>
      <c r="O44" s="127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RESUMO'!AR27</f>
        <v/>
      </c>
      <c r="N45" s="128">
        <f>MAX(0,M45-M44)</f>
        <v/>
      </c>
      <c r="O45" s="127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RESUMO'!AS27</f>
        <v/>
      </c>
      <c r="N46" s="128">
        <f>MAX(0,M46-M45)</f>
        <v/>
      </c>
      <c r="O46" s="127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RESUMO'!AT27</f>
        <v/>
      </c>
      <c r="N47" s="128">
        <f>MAX(0,M47-M46)</f>
        <v/>
      </c>
      <c r="O47" s="127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RESUMO'!AU27</f>
        <v/>
      </c>
      <c r="N48" s="128">
        <f>MAX(0,M48-M47)</f>
        <v/>
      </c>
      <c r="O48" s="127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RESUMO'!AV27</f>
        <v/>
      </c>
      <c r="N49" s="128">
        <f>MAX(0,M49-M48)</f>
        <v/>
      </c>
      <c r="O49" s="127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RESUMO'!AW27</f>
        <v/>
      </c>
      <c r="N50" s="128">
        <f>MAX(0,M50-M49)</f>
        <v/>
      </c>
      <c r="O50" s="127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RESUMO'!AX27</f>
        <v/>
      </c>
      <c r="N51" s="128">
        <f>MAX(0,M51-M50)</f>
        <v/>
      </c>
      <c r="O51" s="127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RESUMO'!AY27</f>
        <v/>
      </c>
      <c r="N52" s="128">
        <f>MAX(0,M52-M51)</f>
        <v/>
      </c>
      <c r="O52" s="127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RESUMO'!AZ27</f>
        <v/>
      </c>
      <c r="N53" s="128">
        <f>MAX(0,M53-M52)</f>
        <v/>
      </c>
      <c r="O53" s="127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RESUMO'!BA27</f>
        <v/>
      </c>
      <c r="N54" s="128">
        <f>MAX(0,M54-M53)</f>
        <v/>
      </c>
      <c r="O54" s="127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RESUMO'!BB27</f>
        <v/>
      </c>
      <c r="N55" s="128">
        <f>MAX(0,M55-M54)</f>
        <v/>
      </c>
      <c r="O55" s="127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RESUMO'!BC27</f>
        <v/>
      </c>
      <c r="N56" s="128">
        <f>MAX(0,M56-M55)</f>
        <v/>
      </c>
      <c r="O56" s="127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RESUMO'!BD27</f>
        <v/>
      </c>
      <c r="N57" s="128">
        <f>MAX(0,M57-M56)</f>
        <v/>
      </c>
      <c r="O57" s="127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RESUMO'!BE27</f>
        <v/>
      </c>
      <c r="N58" s="128">
        <f>MAX(0,M58-M57)</f>
        <v/>
      </c>
      <c r="O58" s="127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RESUMO'!BF27</f>
        <v/>
      </c>
      <c r="N59" s="128">
        <f>MAX(0,M59-M58)</f>
        <v/>
      </c>
      <c r="O59" s="127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RESUMO'!BG27</f>
        <v/>
      </c>
      <c r="N60" s="128">
        <f>MAX(0,M60-M59)</f>
        <v/>
      </c>
      <c r="O60" s="127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RESUMO'!BH27</f>
        <v/>
      </c>
      <c r="N61" s="128">
        <f>MAX(0,M61-M60)</f>
        <v/>
      </c>
      <c r="O61" s="127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RESUMO'!BI27</f>
        <v/>
      </c>
      <c r="N62" s="128">
        <f>MAX(0,M62-M61)</f>
        <v/>
      </c>
      <c r="O62" s="127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RESUMO'!BJ27</f>
        <v/>
      </c>
      <c r="N63" s="128">
        <f>MAX(0,M63-M62)</f>
        <v/>
      </c>
      <c r="O63" s="127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RESUMO'!BK27</f>
        <v/>
      </c>
      <c r="N64" s="128">
        <f>MAX(0,M64-M63)</f>
        <v/>
      </c>
      <c r="O64" s="127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RESUMO'!BL27</f>
        <v/>
      </c>
      <c r="N65" s="128">
        <f>MAX(0,M65-M64)</f>
        <v/>
      </c>
      <c r="O65" s="127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RESUMO'!BM27</f>
        <v/>
      </c>
      <c r="N66" s="128">
        <f>MAX(0,M66-M65)</f>
        <v/>
      </c>
      <c r="O66" s="127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RESUMO'!BN27</f>
        <v/>
      </c>
      <c r="N67" s="128">
        <f>MAX(0,M67-M66)</f>
        <v/>
      </c>
      <c r="O67" s="127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RESUMO'!BO27</f>
        <v/>
      </c>
      <c r="N68" s="128">
        <f>MAX(0,M68-M67)</f>
        <v/>
      </c>
      <c r="O68" s="127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RESUMO'!BP27</f>
        <v/>
      </c>
      <c r="N69" s="128">
        <f>MAX(0,M69-M68)</f>
        <v/>
      </c>
      <c r="O69" s="127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RESUMO'!BQ27</f>
        <v/>
      </c>
      <c r="N70" s="128">
        <f>MAX(0,M70-M69)</f>
        <v/>
      </c>
      <c r="O70" s="127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RESUMO'!BR27</f>
        <v/>
      </c>
      <c r="N71" s="128">
        <f>MAX(0,M71-M70)</f>
        <v/>
      </c>
      <c r="O71" s="127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RESUMO'!BS27</f>
        <v/>
      </c>
      <c r="N72" s="128">
        <f>MAX(0,M72-M71)</f>
        <v/>
      </c>
      <c r="O72" s="127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RESUMO'!BT27</f>
        <v/>
      </c>
      <c r="N73" s="128">
        <f>MAX(0,M73-M72)</f>
        <v/>
      </c>
      <c r="O73" s="127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RESUMO'!BU27</f>
        <v/>
      </c>
      <c r="N74" s="128">
        <f>MAX(0,M74-M73)</f>
        <v/>
      </c>
      <c r="O74" s="127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RESUMO'!BV27</f>
        <v/>
      </c>
      <c r="N75" s="128">
        <f>MAX(0,M75-M74)</f>
        <v/>
      </c>
      <c r="O75" s="127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RESUMO'!BW27</f>
        <v/>
      </c>
      <c r="N76" s="128">
        <f>MAX(0,M76-M75)</f>
        <v/>
      </c>
      <c r="O76" s="127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PL'!F34</f>
        <v/>
      </c>
      <c r="K5" s="108">
        <f>'VALOR POR PL'!G34</f>
        <v/>
      </c>
      <c r="M5" s="127">
        <f>'CP RESUMO'!D28</f>
        <v/>
      </c>
      <c r="N5" s="128" t="n">
        <v>0</v>
      </c>
      <c r="O5" s="127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RESUMO'!E28</f>
        <v/>
      </c>
      <c r="N6" s="128">
        <f>MAX(0,M6-M5)</f>
        <v/>
      </c>
      <c r="O6" s="127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PL'!L34</f>
        <v/>
      </c>
      <c r="M7" s="127">
        <f>'CP RESUMO'!F28</f>
        <v/>
      </c>
      <c r="N7" s="128">
        <f>MAX(0,M7-M6)</f>
        <v/>
      </c>
      <c r="O7" s="127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RESUMO'!G28</f>
        <v/>
      </c>
      <c r="N8" s="128">
        <f>MAX(0,M8-M7)</f>
        <v/>
      </c>
      <c r="O8" s="127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RESUMO'!H28</f>
        <v/>
      </c>
      <c r="N9" s="128">
        <f>MAX(0,M9-M8)</f>
        <v/>
      </c>
      <c r="O9" s="127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RESUMO'!I28</f>
        <v/>
      </c>
      <c r="N10" s="128">
        <f>MAX(0,M10-M9)</f>
        <v/>
      </c>
      <c r="O10" s="127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RESUMO'!J28</f>
        <v/>
      </c>
      <c r="N11" s="128">
        <f>MAX(0,M11-M10)</f>
        <v/>
      </c>
      <c r="O11" s="127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RESUMO'!K28</f>
        <v/>
      </c>
      <c r="N12" s="128">
        <f>MAX(0,M12-M11)</f>
        <v/>
      </c>
      <c r="O12" s="127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PL'!I34</f>
        <v/>
      </c>
      <c r="M13" s="127">
        <f>'CP RESUMO'!L28</f>
        <v/>
      </c>
      <c r="N13" s="128">
        <f>MAX(0,M13-M12)</f>
        <v/>
      </c>
      <c r="O13" s="127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7">
        <f>'CP RESUMO'!M28</f>
        <v/>
      </c>
      <c r="N14" s="128">
        <f>MAX(0,M14-M13)</f>
        <v/>
      </c>
      <c r="O14" s="127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RESUMO'!N28</f>
        <v/>
      </c>
      <c r="N15" s="128">
        <f>MAX(0,M15-M14)</f>
        <v/>
      </c>
      <c r="O15" s="127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RESUMO'!O28</f>
        <v/>
      </c>
      <c r="N16" s="128">
        <f>MAX(0,M16-M15)</f>
        <v/>
      </c>
      <c r="O16" s="127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RESUMO'!P28</f>
        <v/>
      </c>
      <c r="N17" s="128">
        <f>MAX(0,M17-M16)</f>
        <v/>
      </c>
      <c r="O17" s="127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RESUMO'!Q28</f>
        <v/>
      </c>
      <c r="N18" s="128">
        <f>MAX(0,M18-M17)</f>
        <v/>
      </c>
      <c r="O18" s="127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RESUMO'!R28</f>
        <v/>
      </c>
      <c r="N19" s="128">
        <f>MAX(0,M19-M18)</f>
        <v/>
      </c>
      <c r="O19" s="127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RESUMO'!S28</f>
        <v/>
      </c>
      <c r="N20" s="128">
        <f>MAX(0,M20-M19)</f>
        <v/>
      </c>
      <c r="O20" s="127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RESUMO'!T28</f>
        <v/>
      </c>
      <c r="N21" s="128">
        <f>MAX(0,M21-M20)</f>
        <v/>
      </c>
      <c r="O21" s="127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RESUMO'!U28</f>
        <v/>
      </c>
      <c r="N22" s="128">
        <f>MAX(0,M22-M21)</f>
        <v/>
      </c>
      <c r="O22" s="127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RESUMO'!V28</f>
        <v/>
      </c>
      <c r="N23" s="128">
        <f>MAX(0,M23-M22)</f>
        <v/>
      </c>
      <c r="O23" s="127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pedido 1 ano antes, 12 pagamentos.</t>
        </is>
      </c>
      <c r="M24" s="127">
        <f>'CP RESUMO'!W28</f>
        <v/>
      </c>
      <c r="N24" s="128">
        <f>MAX(0,M24-M23)</f>
        <v/>
      </c>
      <c r="O24" s="127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RESUMO'!X28</f>
        <v/>
      </c>
      <c r="N25" s="128">
        <f>MAX(0,M25-M24)</f>
        <v/>
      </c>
      <c r="O25" s="127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RESUMO'!Y28</f>
        <v/>
      </c>
      <c r="N26" s="128">
        <f>MAX(0,M26-M25)</f>
        <v/>
      </c>
      <c r="O26" s="127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RESUMO'!Z28</f>
        <v/>
      </c>
      <c r="N27" s="128">
        <f>MAX(0,M27-M26)</f>
        <v/>
      </c>
      <c r="O27" s="127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RESUMO'!AA28</f>
        <v/>
      </c>
      <c r="N28" s="128">
        <f>MAX(0,M28-M27)</f>
        <v/>
      </c>
      <c r="O28" s="127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RESUMO'!AB28</f>
        <v/>
      </c>
      <c r="N29" s="128">
        <f>MAX(0,M29-M28)</f>
        <v/>
      </c>
      <c r="O29" s="127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RESUMO'!AC28</f>
        <v/>
      </c>
      <c r="N30" s="128">
        <f>MAX(0,M30-M29)</f>
        <v/>
      </c>
      <c r="O30" s="127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RESUMO'!AD28</f>
        <v/>
      </c>
      <c r="N31" s="128">
        <f>MAX(0,M31-M30)</f>
        <v/>
      </c>
      <c r="O31" s="127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RESUMO'!AE28</f>
        <v/>
      </c>
      <c r="N32" s="128">
        <f>MAX(0,M32-M31)</f>
        <v/>
      </c>
      <c r="O32" s="127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RESUMO'!AF28</f>
        <v/>
      </c>
      <c r="N33" s="128">
        <f>MAX(0,M33-M32)</f>
        <v/>
      </c>
      <c r="O33" s="127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RESUMO'!AG28</f>
        <v/>
      </c>
      <c r="N34" s="128">
        <f>MAX(0,M34-M33)</f>
        <v/>
      </c>
      <c r="O34" s="127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RESUMO'!AH28</f>
        <v/>
      </c>
      <c r="N35" s="128">
        <f>MAX(0,M35-M34)</f>
        <v/>
      </c>
      <c r="O35" s="127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RESUMO'!AI28</f>
        <v/>
      </c>
      <c r="N36" s="128">
        <f>MAX(0,M36-M35)</f>
        <v/>
      </c>
      <c r="O36" s="127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RESUMO'!AJ28</f>
        <v/>
      </c>
      <c r="N37" s="128">
        <f>MAX(0,M37-M36)</f>
        <v/>
      </c>
      <c r="O37" s="127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RESUMO'!AK28</f>
        <v/>
      </c>
      <c r="N38" s="128">
        <f>MAX(0,M38-M37)</f>
        <v/>
      </c>
      <c r="O38" s="127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RESUMO'!AL28</f>
        <v/>
      </c>
      <c r="N39" s="128">
        <f>MAX(0,M39-M38)</f>
        <v/>
      </c>
      <c r="O39" s="127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RESUMO'!AM28</f>
        <v/>
      </c>
      <c r="N40" s="128">
        <f>MAX(0,M40-M39)</f>
        <v/>
      </c>
      <c r="O40" s="127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RESUMO'!AN28</f>
        <v/>
      </c>
      <c r="N41" s="128">
        <f>MAX(0,M41-M40)</f>
        <v/>
      </c>
      <c r="O41" s="127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RESUMO'!AO28</f>
        <v/>
      </c>
      <c r="N42" s="128">
        <f>MAX(0,M42-M41)</f>
        <v/>
      </c>
      <c r="O42" s="127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RESUMO'!AP28</f>
        <v/>
      </c>
      <c r="N43" s="128">
        <f>MAX(0,M43-M42)</f>
        <v/>
      </c>
      <c r="O43" s="127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RESUMO'!AQ28</f>
        <v/>
      </c>
      <c r="N44" s="128">
        <f>MAX(0,M44-M43)</f>
        <v/>
      </c>
      <c r="O44" s="127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RESUMO'!AR28</f>
        <v/>
      </c>
      <c r="N45" s="128">
        <f>MAX(0,M45-M44)</f>
        <v/>
      </c>
      <c r="O45" s="127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RESUMO'!AS28</f>
        <v/>
      </c>
      <c r="N46" s="128">
        <f>MAX(0,M46-M45)</f>
        <v/>
      </c>
      <c r="O46" s="127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RESUMO'!AT28</f>
        <v/>
      </c>
      <c r="N47" s="128">
        <f>MAX(0,M47-M46)</f>
        <v/>
      </c>
      <c r="O47" s="127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RESUMO'!AU28</f>
        <v/>
      </c>
      <c r="N48" s="128">
        <f>MAX(0,M48-M47)</f>
        <v/>
      </c>
      <c r="O48" s="127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RESUMO'!AV28</f>
        <v/>
      </c>
      <c r="N49" s="128">
        <f>MAX(0,M49-M48)</f>
        <v/>
      </c>
      <c r="O49" s="127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RESUMO'!AW28</f>
        <v/>
      </c>
      <c r="N50" s="128">
        <f>MAX(0,M50-M49)</f>
        <v/>
      </c>
      <c r="O50" s="127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RESUMO'!AX28</f>
        <v/>
      </c>
      <c r="N51" s="128">
        <f>MAX(0,M51-M50)</f>
        <v/>
      </c>
      <c r="O51" s="127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RESUMO'!AY28</f>
        <v/>
      </c>
      <c r="N52" s="128">
        <f>MAX(0,M52-M51)</f>
        <v/>
      </c>
      <c r="O52" s="127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RESUMO'!AZ28</f>
        <v/>
      </c>
      <c r="N53" s="128">
        <f>MAX(0,M53-M52)</f>
        <v/>
      </c>
      <c r="O53" s="127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RESUMO'!BA28</f>
        <v/>
      </c>
      <c r="N54" s="128">
        <f>MAX(0,M54-M53)</f>
        <v/>
      </c>
      <c r="O54" s="127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RESUMO'!BB28</f>
        <v/>
      </c>
      <c r="N55" s="128">
        <f>MAX(0,M55-M54)</f>
        <v/>
      </c>
      <c r="O55" s="127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RESUMO'!BC28</f>
        <v/>
      </c>
      <c r="N56" s="128">
        <f>MAX(0,M56-M55)</f>
        <v/>
      </c>
      <c r="O56" s="127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RESUMO'!BD28</f>
        <v/>
      </c>
      <c r="N57" s="128">
        <f>MAX(0,M57-M56)</f>
        <v/>
      </c>
      <c r="O57" s="127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RESUMO'!BE28</f>
        <v/>
      </c>
      <c r="N58" s="128">
        <f>MAX(0,M58-M57)</f>
        <v/>
      </c>
      <c r="O58" s="127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RESUMO'!BF28</f>
        <v/>
      </c>
      <c r="N59" s="128">
        <f>MAX(0,M59-M58)</f>
        <v/>
      </c>
      <c r="O59" s="127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RESUMO'!BG28</f>
        <v/>
      </c>
      <c r="N60" s="128">
        <f>MAX(0,M60-M59)</f>
        <v/>
      </c>
      <c r="O60" s="127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RESUMO'!BH28</f>
        <v/>
      </c>
      <c r="N61" s="128">
        <f>MAX(0,M61-M60)</f>
        <v/>
      </c>
      <c r="O61" s="127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RESUMO'!BI28</f>
        <v/>
      </c>
      <c r="N62" s="128">
        <f>MAX(0,M62-M61)</f>
        <v/>
      </c>
      <c r="O62" s="127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RESUMO'!BJ28</f>
        <v/>
      </c>
      <c r="N63" s="128">
        <f>MAX(0,M63-M62)</f>
        <v/>
      </c>
      <c r="O63" s="127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RESUMO'!BK28</f>
        <v/>
      </c>
      <c r="N64" s="128">
        <f>MAX(0,M64-M63)</f>
        <v/>
      </c>
      <c r="O64" s="127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RESUMO'!BL28</f>
        <v/>
      </c>
      <c r="N65" s="128">
        <f>MAX(0,M65-M64)</f>
        <v/>
      </c>
      <c r="O65" s="127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RESUMO'!BM28</f>
        <v/>
      </c>
      <c r="N66" s="128">
        <f>MAX(0,M66-M65)</f>
        <v/>
      </c>
      <c r="O66" s="127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RESUMO'!BN28</f>
        <v/>
      </c>
      <c r="N67" s="128">
        <f>MAX(0,M67-M66)</f>
        <v/>
      </c>
      <c r="O67" s="127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RESUMO'!BO28</f>
        <v/>
      </c>
      <c r="N68" s="128">
        <f>MAX(0,M68-M67)</f>
        <v/>
      </c>
      <c r="O68" s="127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RESUMO'!BP28</f>
        <v/>
      </c>
      <c r="N69" s="128">
        <f>MAX(0,M69-M68)</f>
        <v/>
      </c>
      <c r="O69" s="127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RESUMO'!BQ28</f>
        <v/>
      </c>
      <c r="N70" s="128">
        <f>MAX(0,M70-M69)</f>
        <v/>
      </c>
      <c r="O70" s="127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RESUMO'!BR28</f>
        <v/>
      </c>
      <c r="N71" s="128">
        <f>MAX(0,M71-M70)</f>
        <v/>
      </c>
      <c r="O71" s="127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RESUMO'!BS28</f>
        <v/>
      </c>
      <c r="N72" s="128">
        <f>MAX(0,M72-M71)</f>
        <v/>
      </c>
      <c r="O72" s="127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RESUMO'!BT28</f>
        <v/>
      </c>
      <c r="N73" s="128">
        <f>MAX(0,M73-M72)</f>
        <v/>
      </c>
      <c r="O73" s="127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RESUMO'!BU28</f>
        <v/>
      </c>
      <c r="N74" s="128">
        <f>MAX(0,M74-M73)</f>
        <v/>
      </c>
      <c r="O74" s="127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RESUMO'!BV28</f>
        <v/>
      </c>
      <c r="N75" s="128">
        <f>MAX(0,M75-M74)</f>
        <v/>
      </c>
      <c r="O75" s="127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RESUMO'!BW28</f>
        <v/>
      </c>
      <c r="N76" s="128">
        <f>MAX(0,M76-M75)</f>
        <v/>
      </c>
      <c r="O76" s="127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HISTORICOS'!D29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PL'!F35</f>
        <v/>
      </c>
      <c r="K5" s="108">
        <f>'VALOR POR PL'!G35</f>
        <v/>
      </c>
      <c r="M5" s="127">
        <f>'CP RESUMO'!D29</f>
        <v/>
      </c>
      <c r="N5" s="128" t="n">
        <v>0</v>
      </c>
      <c r="O5" s="127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HISTORICOS'!E29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RESUMO'!E29</f>
        <v/>
      </c>
      <c r="N6" s="128">
        <f>MAX(0,M6-M5)</f>
        <v/>
      </c>
      <c r="O6" s="127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HISTORICOS'!F29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PL'!L35</f>
        <v/>
      </c>
      <c r="M7" s="127">
        <f>'CP RESUMO'!F29</f>
        <v/>
      </c>
      <c r="N7" s="128">
        <f>MAX(0,M7-M6)</f>
        <v/>
      </c>
      <c r="O7" s="127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HISTORICOS'!G29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RESUMO'!G29</f>
        <v/>
      </c>
      <c r="N8" s="128">
        <f>MAX(0,M8-M7)</f>
        <v/>
      </c>
      <c r="O8" s="127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HISTORICOS'!H29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RESUMO'!H29</f>
        <v/>
      </c>
      <c r="N9" s="128">
        <f>MAX(0,M9-M8)</f>
        <v/>
      </c>
      <c r="O9" s="127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HISTORICOS'!I29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RESUMO'!I29</f>
        <v/>
      </c>
      <c r="N10" s="128">
        <f>MAX(0,M10-M9)</f>
        <v/>
      </c>
      <c r="O10" s="127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HISTORICOS'!J29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RESUMO'!J29</f>
        <v/>
      </c>
      <c r="N11" s="128">
        <f>MAX(0,M11-M10)</f>
        <v/>
      </c>
      <c r="O11" s="127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HISTORICOS'!K29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RESUMO'!K29</f>
        <v/>
      </c>
      <c r="N12" s="128">
        <f>MAX(0,M12-M11)</f>
        <v/>
      </c>
      <c r="O12" s="127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HISTORICOS'!L29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PL'!I35</f>
        <v/>
      </c>
      <c r="M13" s="127">
        <f>'CP RESUMO'!L29</f>
        <v/>
      </c>
      <c r="N13" s="128">
        <f>MAX(0,M13-M12)</f>
        <v/>
      </c>
      <c r="O13" s="127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HISTORICOS'!M29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7">
        <f>'CP RESUMO'!M29</f>
        <v/>
      </c>
      <c r="N14" s="128">
        <f>MAX(0,M14-M13)</f>
        <v/>
      </c>
      <c r="O14" s="127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HISTORICOS'!N29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RESUMO'!N29</f>
        <v/>
      </c>
      <c r="N15" s="128">
        <f>MAX(0,M15-M14)</f>
        <v/>
      </c>
      <c r="O15" s="127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HISTORICOS'!O29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RESUMO'!O29</f>
        <v/>
      </c>
      <c r="N16" s="128">
        <f>MAX(0,M16-M15)</f>
        <v/>
      </c>
      <c r="O16" s="127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HISTORICOS'!P29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RESUMO'!P29</f>
        <v/>
      </c>
      <c r="N17" s="128">
        <f>MAX(0,M17-M16)</f>
        <v/>
      </c>
      <c r="O17" s="127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HISTORICOS'!Q29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RESUMO'!Q29</f>
        <v/>
      </c>
      <c r="N18" s="128">
        <f>MAX(0,M18-M17)</f>
        <v/>
      </c>
      <c r="O18" s="127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HISTORICOS'!R29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RESUMO'!R29</f>
        <v/>
      </c>
      <c r="N19" s="128">
        <f>MAX(0,M19-M18)</f>
        <v/>
      </c>
      <c r="O19" s="127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HISTORICOS'!S29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RESUMO'!S29</f>
        <v/>
      </c>
      <c r="N20" s="128">
        <f>MAX(0,M20-M19)</f>
        <v/>
      </c>
      <c r="O20" s="127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HISTORICOS'!T29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RESUMO'!T29</f>
        <v/>
      </c>
      <c r="N21" s="128">
        <f>MAX(0,M21-M20)</f>
        <v/>
      </c>
      <c r="O21" s="127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HISTORICOS'!U29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RESUMO'!U29</f>
        <v/>
      </c>
      <c r="N22" s="128">
        <f>MAX(0,M22-M21)</f>
        <v/>
      </c>
      <c r="O22" s="127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HISTORICOS'!V29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RESUMO'!V29</f>
        <v/>
      </c>
      <c r="N23" s="128">
        <f>MAX(0,M23-M22)</f>
        <v/>
      </c>
      <c r="O23" s="127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HISTORICOS'!W29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60% em 10 pagamentos + 40% por medição direta.</t>
        </is>
      </c>
      <c r="M24" s="127">
        <f>'CP RESUMO'!W29</f>
        <v/>
      </c>
      <c r="N24" s="128">
        <f>MAX(0,M24-M23)</f>
        <v/>
      </c>
      <c r="O24" s="127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HISTORICOS'!X29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RESUMO'!X29</f>
        <v/>
      </c>
      <c r="N25" s="128">
        <f>MAX(0,M25-M24)</f>
        <v/>
      </c>
      <c r="O25" s="127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HISTORICOS'!Y29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RESUMO'!Y29</f>
        <v/>
      </c>
      <c r="N26" s="128">
        <f>MAX(0,M26-M25)</f>
        <v/>
      </c>
      <c r="O26" s="127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HISTORICOS'!Z29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RESUMO'!Z29</f>
        <v/>
      </c>
      <c r="N27" s="128">
        <f>MAX(0,M27-M26)</f>
        <v/>
      </c>
      <c r="O27" s="127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HISTORICOS'!AA29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RESUMO'!AA29</f>
        <v/>
      </c>
      <c r="N28" s="128">
        <f>MAX(0,M28-M27)</f>
        <v/>
      </c>
      <c r="O28" s="127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HISTORICOS'!AB29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RESUMO'!AB29</f>
        <v/>
      </c>
      <c r="N29" s="128">
        <f>MAX(0,M29-M28)</f>
        <v/>
      </c>
      <c r="O29" s="127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HISTORICOS'!AC29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RESUMO'!AC29</f>
        <v/>
      </c>
      <c r="N30" s="128">
        <f>MAX(0,M30-M29)</f>
        <v/>
      </c>
      <c r="O30" s="127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HISTORICOS'!AD29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RESUMO'!AD29</f>
        <v/>
      </c>
      <c r="N31" s="128">
        <f>MAX(0,M31-M30)</f>
        <v/>
      </c>
      <c r="O31" s="127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HISTORICOS'!AE29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RESUMO'!AE29</f>
        <v/>
      </c>
      <c r="N32" s="128">
        <f>MAX(0,M32-M31)</f>
        <v/>
      </c>
      <c r="O32" s="127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HISTORICOS'!AF29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RESUMO'!AF29</f>
        <v/>
      </c>
      <c r="N33" s="128">
        <f>MAX(0,M33-M32)</f>
        <v/>
      </c>
      <c r="O33" s="127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HISTORICOS'!AG29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RESUMO'!AG29</f>
        <v/>
      </c>
      <c r="N34" s="128">
        <f>MAX(0,M34-M33)</f>
        <v/>
      </c>
      <c r="O34" s="127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HISTORICOS'!AH29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RESUMO'!AH29</f>
        <v/>
      </c>
      <c r="N35" s="128">
        <f>MAX(0,M35-M34)</f>
        <v/>
      </c>
      <c r="O35" s="127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HISTORICOS'!AI29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RESUMO'!AI29</f>
        <v/>
      </c>
      <c r="N36" s="128">
        <f>MAX(0,M36-M35)</f>
        <v/>
      </c>
      <c r="O36" s="127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HISTORICOS'!AJ29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RESUMO'!AJ29</f>
        <v/>
      </c>
      <c r="N37" s="128">
        <f>MAX(0,M37-M36)</f>
        <v/>
      </c>
      <c r="O37" s="127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HISTORICOS'!AK29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RESUMO'!AK29</f>
        <v/>
      </c>
      <c r="N38" s="128">
        <f>MAX(0,M38-M37)</f>
        <v/>
      </c>
      <c r="O38" s="127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HISTORICOS'!AL29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RESUMO'!AL29</f>
        <v/>
      </c>
      <c r="N39" s="128">
        <f>MAX(0,M39-M38)</f>
        <v/>
      </c>
      <c r="O39" s="127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HISTORICOS'!AM29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RESUMO'!AM29</f>
        <v/>
      </c>
      <c r="N40" s="128">
        <f>MAX(0,M40-M39)</f>
        <v/>
      </c>
      <c r="O40" s="127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HISTORICOS'!AN29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RESUMO'!AN29</f>
        <v/>
      </c>
      <c r="N41" s="128">
        <f>MAX(0,M41-M40)</f>
        <v/>
      </c>
      <c r="O41" s="127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HISTORICOS'!AO29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RESUMO'!AO29</f>
        <v/>
      </c>
      <c r="N42" s="128">
        <f>MAX(0,M42-M41)</f>
        <v/>
      </c>
      <c r="O42" s="127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HISTORICOS'!AP29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RESUMO'!AP29</f>
        <v/>
      </c>
      <c r="N43" s="128">
        <f>MAX(0,M43-M42)</f>
        <v/>
      </c>
      <c r="O43" s="127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HISTORICOS'!AQ29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RESUMO'!AQ29</f>
        <v/>
      </c>
      <c r="N44" s="128">
        <f>MAX(0,M44-M43)</f>
        <v/>
      </c>
      <c r="O44" s="127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HISTORICOS'!AR29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RESUMO'!AR29</f>
        <v/>
      </c>
      <c r="N45" s="128">
        <f>MAX(0,M45-M44)</f>
        <v/>
      </c>
      <c r="O45" s="127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HISTORICOS'!AS29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RESUMO'!AS29</f>
        <v/>
      </c>
      <c r="N46" s="128">
        <f>MAX(0,M46-M45)</f>
        <v/>
      </c>
      <c r="O46" s="127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HISTORICOS'!AT29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RESUMO'!AT29</f>
        <v/>
      </c>
      <c r="N47" s="128">
        <f>MAX(0,M47-M46)</f>
        <v/>
      </c>
      <c r="O47" s="127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HISTORICOS'!AU29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RESUMO'!AU29</f>
        <v/>
      </c>
      <c r="N48" s="128">
        <f>MAX(0,M48-M47)</f>
        <v/>
      </c>
      <c r="O48" s="127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HISTORICOS'!AV29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RESUMO'!AV29</f>
        <v/>
      </c>
      <c r="N49" s="128">
        <f>MAX(0,M49-M48)</f>
        <v/>
      </c>
      <c r="O49" s="127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HISTORICOS'!AW29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RESUMO'!AW29</f>
        <v/>
      </c>
      <c r="N50" s="128">
        <f>MAX(0,M50-M49)</f>
        <v/>
      </c>
      <c r="O50" s="127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HISTORICOS'!AX29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RESUMO'!AX29</f>
        <v/>
      </c>
      <c r="N51" s="128">
        <f>MAX(0,M51-M50)</f>
        <v/>
      </c>
      <c r="O51" s="127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HISTORICOS'!AY29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RESUMO'!AY29</f>
        <v/>
      </c>
      <c r="N52" s="128">
        <f>MAX(0,M52-M51)</f>
        <v/>
      </c>
      <c r="O52" s="127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HISTORICOS'!AZ29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RESUMO'!AZ29</f>
        <v/>
      </c>
      <c r="N53" s="128">
        <f>MAX(0,M53-M52)</f>
        <v/>
      </c>
      <c r="O53" s="127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HISTORICOS'!BA29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RESUMO'!BA29</f>
        <v/>
      </c>
      <c r="N54" s="128">
        <f>MAX(0,M54-M53)</f>
        <v/>
      </c>
      <c r="O54" s="127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HISTORICOS'!BB29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RESUMO'!BB29</f>
        <v/>
      </c>
      <c r="N55" s="128">
        <f>MAX(0,M55-M54)</f>
        <v/>
      </c>
      <c r="O55" s="127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HISTORICOS'!BC29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RESUMO'!BC29</f>
        <v/>
      </c>
      <c r="N56" s="128">
        <f>MAX(0,M56-M55)</f>
        <v/>
      </c>
      <c r="O56" s="127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HISTORICOS'!BD29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RESUMO'!BD29</f>
        <v/>
      </c>
      <c r="N57" s="128">
        <f>MAX(0,M57-M56)</f>
        <v/>
      </c>
      <c r="O57" s="127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HISTORICOS'!BE29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RESUMO'!BE29</f>
        <v/>
      </c>
      <c r="N58" s="128">
        <f>MAX(0,M58-M57)</f>
        <v/>
      </c>
      <c r="O58" s="127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HISTORICOS'!BF29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RESUMO'!BF29</f>
        <v/>
      </c>
      <c r="N59" s="128">
        <f>MAX(0,M59-M58)</f>
        <v/>
      </c>
      <c r="O59" s="127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HISTORICOS'!BG29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RESUMO'!BG29</f>
        <v/>
      </c>
      <c r="N60" s="128">
        <f>MAX(0,M60-M59)</f>
        <v/>
      </c>
      <c r="O60" s="127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HISTORICOS'!BH29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RESUMO'!BH29</f>
        <v/>
      </c>
      <c r="N61" s="128">
        <f>MAX(0,M61-M60)</f>
        <v/>
      </c>
      <c r="O61" s="127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HISTORICOS'!BI29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RESUMO'!BI29</f>
        <v/>
      </c>
      <c r="N62" s="128">
        <f>MAX(0,M62-M61)</f>
        <v/>
      </c>
      <c r="O62" s="127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HISTORICOS'!BJ29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RESUMO'!BJ29</f>
        <v/>
      </c>
      <c r="N63" s="128">
        <f>MAX(0,M63-M62)</f>
        <v/>
      </c>
      <c r="O63" s="127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HISTORICOS'!BK29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RESUMO'!BK29</f>
        <v/>
      </c>
      <c r="N64" s="128">
        <f>MAX(0,M64-M63)</f>
        <v/>
      </c>
      <c r="O64" s="127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HISTORICOS'!BL29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RESUMO'!BL29</f>
        <v/>
      </c>
      <c r="N65" s="128">
        <f>MAX(0,M65-M64)</f>
        <v/>
      </c>
      <c r="O65" s="127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HISTORICOS'!BM29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RESUMO'!BM29</f>
        <v/>
      </c>
      <c r="N66" s="128">
        <f>MAX(0,M66-M65)</f>
        <v/>
      </c>
      <c r="O66" s="127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HISTORICOS'!BN29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RESUMO'!BN29</f>
        <v/>
      </c>
      <c r="N67" s="128">
        <f>MAX(0,M67-M66)</f>
        <v/>
      </c>
      <c r="O67" s="127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HISTORICOS'!BO29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RESUMO'!BO29</f>
        <v/>
      </c>
      <c r="N68" s="128">
        <f>MAX(0,M68-M67)</f>
        <v/>
      </c>
      <c r="O68" s="127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HISTORICOS'!BP29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RESUMO'!BP29</f>
        <v/>
      </c>
      <c r="N69" s="128">
        <f>MAX(0,M69-M68)</f>
        <v/>
      </c>
      <c r="O69" s="127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HISTORICOS'!BQ29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RESUMO'!BQ29</f>
        <v/>
      </c>
      <c r="N70" s="128">
        <f>MAX(0,M70-M69)</f>
        <v/>
      </c>
      <c r="O70" s="127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HISTORICOS'!BR29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RESUMO'!BR29</f>
        <v/>
      </c>
      <c r="N71" s="128">
        <f>MAX(0,M71-M70)</f>
        <v/>
      </c>
      <c r="O71" s="127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HISTORICOS'!BS29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RESUMO'!BS29</f>
        <v/>
      </c>
      <c r="N72" s="128">
        <f>MAX(0,M72-M71)</f>
        <v/>
      </c>
      <c r="O72" s="127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HISTORICOS'!BT29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RESUMO'!BT29</f>
        <v/>
      </c>
      <c r="N73" s="128">
        <f>MAX(0,M73-M72)</f>
        <v/>
      </c>
      <c r="O73" s="127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HISTORICOS'!BU29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RESUMO'!BU29</f>
        <v/>
      </c>
      <c r="N74" s="128">
        <f>MAX(0,M74-M73)</f>
        <v/>
      </c>
      <c r="O74" s="127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HISTORICOS'!BV29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RESUMO'!BV29</f>
        <v/>
      </c>
      <c r="N75" s="128">
        <f>MAX(0,M75-M74)</f>
        <v/>
      </c>
      <c r="O75" s="127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HISTORICOS'!BW29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RESUMO'!BW29</f>
        <v/>
      </c>
      <c r="N76" s="128">
        <f>MAX(0,M76-M75)</f>
        <v/>
      </c>
      <c r="O76" s="127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PL'!F36</f>
        <v/>
      </c>
      <c r="K5" s="108">
        <f>'VALOR POR PL'!G36</f>
        <v/>
      </c>
      <c r="M5" s="127">
        <f>'CP RESUMO'!D30</f>
        <v/>
      </c>
      <c r="N5" s="128" t="n">
        <v>0</v>
      </c>
      <c r="O5" s="127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RESUMO'!E30</f>
        <v/>
      </c>
      <c r="N6" s="128">
        <f>MAX(0,M6-M5)</f>
        <v/>
      </c>
      <c r="O6" s="127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PL'!L36</f>
        <v/>
      </c>
      <c r="M7" s="127">
        <f>'CP RESUMO'!F30</f>
        <v/>
      </c>
      <c r="N7" s="128">
        <f>MAX(0,M7-M6)</f>
        <v/>
      </c>
      <c r="O7" s="127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RESUMO'!G30</f>
        <v/>
      </c>
      <c r="N8" s="128">
        <f>MAX(0,M8-M7)</f>
        <v/>
      </c>
      <c r="O8" s="127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RESUMO'!H30</f>
        <v/>
      </c>
      <c r="N9" s="128">
        <f>MAX(0,M9-M8)</f>
        <v/>
      </c>
      <c r="O9" s="127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RESUMO'!I30</f>
        <v/>
      </c>
      <c r="N10" s="128">
        <f>MAX(0,M10-M9)</f>
        <v/>
      </c>
      <c r="O10" s="127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RESUMO'!J30</f>
        <v/>
      </c>
      <c r="N11" s="128">
        <f>MAX(0,M11-M10)</f>
        <v/>
      </c>
      <c r="O11" s="127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RESUMO'!K30</f>
        <v/>
      </c>
      <c r="N12" s="128">
        <f>MAX(0,M12-M11)</f>
        <v/>
      </c>
      <c r="O12" s="127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PL'!I36</f>
        <v/>
      </c>
      <c r="M13" s="127">
        <f>'CP RESUMO'!L30</f>
        <v/>
      </c>
      <c r="N13" s="128">
        <f>MAX(0,M13-M12)</f>
        <v/>
      </c>
      <c r="O13" s="127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7">
        <f>'CP RESUMO'!M30</f>
        <v/>
      </c>
      <c r="N14" s="128">
        <f>MAX(0,M14-M13)</f>
        <v/>
      </c>
      <c r="O14" s="127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RESUMO'!N30</f>
        <v/>
      </c>
      <c r="N15" s="128">
        <f>MAX(0,M15-M14)</f>
        <v/>
      </c>
      <c r="O15" s="127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RESUMO'!O30</f>
        <v/>
      </c>
      <c r="N16" s="128">
        <f>MAX(0,M16-M15)</f>
        <v/>
      </c>
      <c r="O16" s="127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RESUMO'!P30</f>
        <v/>
      </c>
      <c r="N17" s="128">
        <f>MAX(0,M17-M16)</f>
        <v/>
      </c>
      <c r="O17" s="127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RESUMO'!Q30</f>
        <v/>
      </c>
      <c r="N18" s="128">
        <f>MAX(0,M18-M17)</f>
        <v/>
      </c>
      <c r="O18" s="127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RESUMO'!R30</f>
        <v/>
      </c>
      <c r="N19" s="128">
        <f>MAX(0,M19-M18)</f>
        <v/>
      </c>
      <c r="O19" s="127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RESUMO'!S30</f>
        <v/>
      </c>
      <c r="N20" s="128">
        <f>MAX(0,M20-M19)</f>
        <v/>
      </c>
      <c r="O20" s="127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RESUMO'!T30</f>
        <v/>
      </c>
      <c r="N21" s="128">
        <f>MAX(0,M21-M20)</f>
        <v/>
      </c>
      <c r="O21" s="127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RESUMO'!U30</f>
        <v/>
      </c>
      <c r="N22" s="128">
        <f>MAX(0,M22-M21)</f>
        <v/>
      </c>
      <c r="O22" s="127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RESUMO'!V30</f>
        <v/>
      </c>
      <c r="N23" s="128">
        <f>MAX(0,M23-M22)</f>
        <v/>
      </c>
      <c r="O23" s="127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RESUMO'!W30</f>
        <v/>
      </c>
      <c r="N24" s="128">
        <f>MAX(0,M24-M23)</f>
        <v/>
      </c>
      <c r="O24" s="127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RESUMO'!X30</f>
        <v/>
      </c>
      <c r="N25" s="128">
        <f>MAX(0,M25-M24)</f>
        <v/>
      </c>
      <c r="O25" s="127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RESUMO'!Y30</f>
        <v/>
      </c>
      <c r="N26" s="128">
        <f>MAX(0,M26-M25)</f>
        <v/>
      </c>
      <c r="O26" s="127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RESUMO'!Z30</f>
        <v/>
      </c>
      <c r="N27" s="128">
        <f>MAX(0,M27-M26)</f>
        <v/>
      </c>
      <c r="O27" s="127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RESUMO'!AA30</f>
        <v/>
      </c>
      <c r="N28" s="128">
        <f>MAX(0,M28-M27)</f>
        <v/>
      </c>
      <c r="O28" s="127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RESUMO'!AB30</f>
        <v/>
      </c>
      <c r="N29" s="128">
        <f>MAX(0,M29-M28)</f>
        <v/>
      </c>
      <c r="O29" s="127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RESUMO'!AC30</f>
        <v/>
      </c>
      <c r="N30" s="128">
        <f>MAX(0,M30-M29)</f>
        <v/>
      </c>
      <c r="O30" s="127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RESUMO'!AD30</f>
        <v/>
      </c>
      <c r="N31" s="128">
        <f>MAX(0,M31-M30)</f>
        <v/>
      </c>
      <c r="O31" s="127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RESUMO'!AE30</f>
        <v/>
      </c>
      <c r="N32" s="128">
        <f>MAX(0,M32-M31)</f>
        <v/>
      </c>
      <c r="O32" s="127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RESUMO'!AF30</f>
        <v/>
      </c>
      <c r="N33" s="128">
        <f>MAX(0,M33-M32)</f>
        <v/>
      </c>
      <c r="O33" s="127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RESUMO'!AG30</f>
        <v/>
      </c>
      <c r="N34" s="128">
        <f>MAX(0,M34-M33)</f>
        <v/>
      </c>
      <c r="O34" s="127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RESUMO'!AH30</f>
        <v/>
      </c>
      <c r="N35" s="128">
        <f>MAX(0,M35-M34)</f>
        <v/>
      </c>
      <c r="O35" s="127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RESUMO'!AI30</f>
        <v/>
      </c>
      <c r="N36" s="128">
        <f>MAX(0,M36-M35)</f>
        <v/>
      </c>
      <c r="O36" s="127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RESUMO'!AJ30</f>
        <v/>
      </c>
      <c r="N37" s="128">
        <f>MAX(0,M37-M36)</f>
        <v/>
      </c>
      <c r="O37" s="127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RESUMO'!AK30</f>
        <v/>
      </c>
      <c r="N38" s="128">
        <f>MAX(0,M38-M37)</f>
        <v/>
      </c>
      <c r="O38" s="127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RESUMO'!AL30</f>
        <v/>
      </c>
      <c r="N39" s="128">
        <f>MAX(0,M39-M38)</f>
        <v/>
      </c>
      <c r="O39" s="127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RESUMO'!AM30</f>
        <v/>
      </c>
      <c r="N40" s="128">
        <f>MAX(0,M40-M39)</f>
        <v/>
      </c>
      <c r="O40" s="127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RESUMO'!AN30</f>
        <v/>
      </c>
      <c r="N41" s="128">
        <f>MAX(0,M41-M40)</f>
        <v/>
      </c>
      <c r="O41" s="127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RESUMO'!AO30</f>
        <v/>
      </c>
      <c r="N42" s="128">
        <f>MAX(0,M42-M41)</f>
        <v/>
      </c>
      <c r="O42" s="127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RESUMO'!AP30</f>
        <v/>
      </c>
      <c r="N43" s="128">
        <f>MAX(0,M43-M42)</f>
        <v/>
      </c>
      <c r="O43" s="127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RESUMO'!AQ30</f>
        <v/>
      </c>
      <c r="N44" s="128">
        <f>MAX(0,M44-M43)</f>
        <v/>
      </c>
      <c r="O44" s="127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RESUMO'!AR30</f>
        <v/>
      </c>
      <c r="N45" s="128">
        <f>MAX(0,M45-M44)</f>
        <v/>
      </c>
      <c r="O45" s="127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RESUMO'!AS30</f>
        <v/>
      </c>
      <c r="N46" s="128">
        <f>MAX(0,M46-M45)</f>
        <v/>
      </c>
      <c r="O46" s="127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RESUMO'!AT30</f>
        <v/>
      </c>
      <c r="N47" s="128">
        <f>MAX(0,M47-M46)</f>
        <v/>
      </c>
      <c r="O47" s="127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RESUMO'!AU30</f>
        <v/>
      </c>
      <c r="N48" s="128">
        <f>MAX(0,M48-M47)</f>
        <v/>
      </c>
      <c r="O48" s="127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RESUMO'!AV30</f>
        <v/>
      </c>
      <c r="N49" s="128">
        <f>MAX(0,M49-M48)</f>
        <v/>
      </c>
      <c r="O49" s="127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RESUMO'!AW30</f>
        <v/>
      </c>
      <c r="N50" s="128">
        <f>MAX(0,M50-M49)</f>
        <v/>
      </c>
      <c r="O50" s="127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RESUMO'!AX30</f>
        <v/>
      </c>
      <c r="N51" s="128">
        <f>MAX(0,M51-M50)</f>
        <v/>
      </c>
      <c r="O51" s="127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RESUMO'!AY30</f>
        <v/>
      </c>
      <c r="N52" s="128">
        <f>MAX(0,M52-M51)</f>
        <v/>
      </c>
      <c r="O52" s="127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RESUMO'!AZ30</f>
        <v/>
      </c>
      <c r="N53" s="128">
        <f>MAX(0,M53-M52)</f>
        <v/>
      </c>
      <c r="O53" s="127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RESUMO'!BA30</f>
        <v/>
      </c>
      <c r="N54" s="128">
        <f>MAX(0,M54-M53)</f>
        <v/>
      </c>
      <c r="O54" s="127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RESUMO'!BB30</f>
        <v/>
      </c>
      <c r="N55" s="128">
        <f>MAX(0,M55-M54)</f>
        <v/>
      </c>
      <c r="O55" s="127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RESUMO'!BC30</f>
        <v/>
      </c>
      <c r="N56" s="128">
        <f>MAX(0,M56-M55)</f>
        <v/>
      </c>
      <c r="O56" s="127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RESUMO'!BD30</f>
        <v/>
      </c>
      <c r="N57" s="128">
        <f>MAX(0,M57-M56)</f>
        <v/>
      </c>
      <c r="O57" s="127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RESUMO'!BE30</f>
        <v/>
      </c>
      <c r="N58" s="128">
        <f>MAX(0,M58-M57)</f>
        <v/>
      </c>
      <c r="O58" s="127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RESUMO'!BF30</f>
        <v/>
      </c>
      <c r="N59" s="128">
        <f>MAX(0,M59-M58)</f>
        <v/>
      </c>
      <c r="O59" s="127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RESUMO'!BG30</f>
        <v/>
      </c>
      <c r="N60" s="128">
        <f>MAX(0,M60-M59)</f>
        <v/>
      </c>
      <c r="O60" s="127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RESUMO'!BH30</f>
        <v/>
      </c>
      <c r="N61" s="128">
        <f>MAX(0,M61-M60)</f>
        <v/>
      </c>
      <c r="O61" s="127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RESUMO'!BI30</f>
        <v/>
      </c>
      <c r="N62" s="128">
        <f>MAX(0,M62-M61)</f>
        <v/>
      </c>
      <c r="O62" s="127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RESUMO'!BJ30</f>
        <v/>
      </c>
      <c r="N63" s="128">
        <f>MAX(0,M63-M62)</f>
        <v/>
      </c>
      <c r="O63" s="127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RESUMO'!BK30</f>
        <v/>
      </c>
      <c r="N64" s="128">
        <f>MAX(0,M64-M63)</f>
        <v/>
      </c>
      <c r="O64" s="127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RESUMO'!BL30</f>
        <v/>
      </c>
      <c r="N65" s="128">
        <f>MAX(0,M65-M64)</f>
        <v/>
      </c>
      <c r="O65" s="127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RESUMO'!BM30</f>
        <v/>
      </c>
      <c r="N66" s="128">
        <f>MAX(0,M66-M65)</f>
        <v/>
      </c>
      <c r="O66" s="127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RESUMO'!BN30</f>
        <v/>
      </c>
      <c r="N67" s="128">
        <f>MAX(0,M67-M66)</f>
        <v/>
      </c>
      <c r="O67" s="127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RESUMO'!BO30</f>
        <v/>
      </c>
      <c r="N68" s="128">
        <f>MAX(0,M68-M67)</f>
        <v/>
      </c>
      <c r="O68" s="127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RESUMO'!BP30</f>
        <v/>
      </c>
      <c r="N69" s="128">
        <f>MAX(0,M69-M68)</f>
        <v/>
      </c>
      <c r="O69" s="127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RESUMO'!BQ30</f>
        <v/>
      </c>
      <c r="N70" s="128">
        <f>MAX(0,M70-M69)</f>
        <v/>
      </c>
      <c r="O70" s="127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RESUMO'!BR30</f>
        <v/>
      </c>
      <c r="N71" s="128">
        <f>MAX(0,M71-M70)</f>
        <v/>
      </c>
      <c r="O71" s="127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RESUMO'!BS30</f>
        <v/>
      </c>
      <c r="N72" s="128">
        <f>MAX(0,M72-M71)</f>
        <v/>
      </c>
      <c r="O72" s="127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RESUMO'!BT30</f>
        <v/>
      </c>
      <c r="N73" s="128">
        <f>MAX(0,M73-M72)</f>
        <v/>
      </c>
      <c r="O73" s="127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RESUMO'!BU30</f>
        <v/>
      </c>
      <c r="N74" s="128">
        <f>MAX(0,M74-M73)</f>
        <v/>
      </c>
      <c r="O74" s="127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RESUMO'!BV30</f>
        <v/>
      </c>
      <c r="N75" s="128">
        <f>MAX(0,M75-M74)</f>
        <v/>
      </c>
      <c r="O75" s="127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RESUMO'!BW30</f>
        <v/>
      </c>
      <c r="N76" s="128">
        <f>MAX(0,M76-M75)</f>
        <v/>
      </c>
      <c r="O76" s="127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PL'!F37</f>
        <v/>
      </c>
      <c r="K5" s="108">
        <f>'VALOR POR PL'!G37</f>
        <v/>
      </c>
      <c r="M5" s="127">
        <f>'CP RESUMO'!D31</f>
        <v/>
      </c>
      <c r="N5" s="128" t="n">
        <v>0</v>
      </c>
      <c r="O5" s="127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RESUMO'!E31</f>
        <v/>
      </c>
      <c r="N6" s="128">
        <f>MAX(0,M6-M5)</f>
        <v/>
      </c>
      <c r="O6" s="127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PL'!L37</f>
        <v/>
      </c>
      <c r="M7" s="127">
        <f>'CP RESUMO'!F31</f>
        <v/>
      </c>
      <c r="N7" s="128">
        <f>MAX(0,M7-M6)</f>
        <v/>
      </c>
      <c r="O7" s="127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RESUMO'!G31</f>
        <v/>
      </c>
      <c r="N8" s="128">
        <f>MAX(0,M8-M7)</f>
        <v/>
      </c>
      <c r="O8" s="127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RESUMO'!H31</f>
        <v/>
      </c>
      <c r="N9" s="128">
        <f>MAX(0,M9-M8)</f>
        <v/>
      </c>
      <c r="O9" s="127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RESUMO'!I31</f>
        <v/>
      </c>
      <c r="N10" s="128">
        <f>MAX(0,M10-M9)</f>
        <v/>
      </c>
      <c r="O10" s="127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RESUMO'!J31</f>
        <v/>
      </c>
      <c r="N11" s="128">
        <f>MAX(0,M11-M10)</f>
        <v/>
      </c>
      <c r="O11" s="127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RESUMO'!K31</f>
        <v/>
      </c>
      <c r="N12" s="128">
        <f>MAX(0,M12-M11)</f>
        <v/>
      </c>
      <c r="O12" s="127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PL'!I37</f>
        <v/>
      </c>
      <c r="M13" s="127">
        <f>'CP RESUMO'!L31</f>
        <v/>
      </c>
      <c r="N13" s="128">
        <f>MAX(0,M13-M12)</f>
        <v/>
      </c>
      <c r="O13" s="127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7">
        <f>'CP RESUMO'!M31</f>
        <v/>
      </c>
      <c r="N14" s="128">
        <f>MAX(0,M14-M13)</f>
        <v/>
      </c>
      <c r="O14" s="127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RESUMO'!N31</f>
        <v/>
      </c>
      <c r="N15" s="128">
        <f>MAX(0,M15-M14)</f>
        <v/>
      </c>
      <c r="O15" s="127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RESUMO'!O31</f>
        <v/>
      </c>
      <c r="N16" s="128">
        <f>MAX(0,M16-M15)</f>
        <v/>
      </c>
      <c r="O16" s="127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RESUMO'!P31</f>
        <v/>
      </c>
      <c r="N17" s="128">
        <f>MAX(0,M17-M16)</f>
        <v/>
      </c>
      <c r="O17" s="127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RESUMO'!Q31</f>
        <v/>
      </c>
      <c r="N18" s="128">
        <f>MAX(0,M18-M17)</f>
        <v/>
      </c>
      <c r="O18" s="127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RESUMO'!R31</f>
        <v/>
      </c>
      <c r="N19" s="128">
        <f>MAX(0,M19-M18)</f>
        <v/>
      </c>
      <c r="O19" s="127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RESUMO'!S31</f>
        <v/>
      </c>
      <c r="N20" s="128">
        <f>MAX(0,M20-M19)</f>
        <v/>
      </c>
      <c r="O20" s="127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RESUMO'!T31</f>
        <v/>
      </c>
      <c r="N21" s="128">
        <f>MAX(0,M21-M20)</f>
        <v/>
      </c>
      <c r="O21" s="127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RESUMO'!U31</f>
        <v/>
      </c>
      <c r="N22" s="128">
        <f>MAX(0,M22-M21)</f>
        <v/>
      </c>
      <c r="O22" s="127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RESUMO'!V31</f>
        <v/>
      </c>
      <c r="N23" s="128">
        <f>MAX(0,M23-M22)</f>
        <v/>
      </c>
      <c r="O23" s="127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RESUMO'!W31</f>
        <v/>
      </c>
      <c r="N24" s="128">
        <f>MAX(0,M24-M23)</f>
        <v/>
      </c>
      <c r="O24" s="127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RESUMO'!X31</f>
        <v/>
      </c>
      <c r="N25" s="128">
        <f>MAX(0,M25-M24)</f>
        <v/>
      </c>
      <c r="O25" s="127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RESUMO'!Y31</f>
        <v/>
      </c>
      <c r="N26" s="128">
        <f>MAX(0,M26-M25)</f>
        <v/>
      </c>
      <c r="O26" s="127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RESUMO'!Z31</f>
        <v/>
      </c>
      <c r="N27" s="128">
        <f>MAX(0,M27-M26)</f>
        <v/>
      </c>
      <c r="O27" s="127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RESUMO'!AA31</f>
        <v/>
      </c>
      <c r="N28" s="128">
        <f>MAX(0,M28-M27)</f>
        <v/>
      </c>
      <c r="O28" s="127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RESUMO'!AB31</f>
        <v/>
      </c>
      <c r="N29" s="128">
        <f>MAX(0,M29-M28)</f>
        <v/>
      </c>
      <c r="O29" s="127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RESUMO'!AC31</f>
        <v/>
      </c>
      <c r="N30" s="128">
        <f>MAX(0,M30-M29)</f>
        <v/>
      </c>
      <c r="O30" s="127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RESUMO'!AD31</f>
        <v/>
      </c>
      <c r="N31" s="128">
        <f>MAX(0,M31-M30)</f>
        <v/>
      </c>
      <c r="O31" s="127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RESUMO'!AE31</f>
        <v/>
      </c>
      <c r="N32" s="128">
        <f>MAX(0,M32-M31)</f>
        <v/>
      </c>
      <c r="O32" s="127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RESUMO'!AF31</f>
        <v/>
      </c>
      <c r="N33" s="128">
        <f>MAX(0,M33-M32)</f>
        <v/>
      </c>
      <c r="O33" s="127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RESUMO'!AG31</f>
        <v/>
      </c>
      <c r="N34" s="128">
        <f>MAX(0,M34-M33)</f>
        <v/>
      </c>
      <c r="O34" s="127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RESUMO'!AH31</f>
        <v/>
      </c>
      <c r="N35" s="128">
        <f>MAX(0,M35-M34)</f>
        <v/>
      </c>
      <c r="O35" s="127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RESUMO'!AI31</f>
        <v/>
      </c>
      <c r="N36" s="128">
        <f>MAX(0,M36-M35)</f>
        <v/>
      </c>
      <c r="O36" s="127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RESUMO'!AJ31</f>
        <v/>
      </c>
      <c r="N37" s="128">
        <f>MAX(0,M37-M36)</f>
        <v/>
      </c>
      <c r="O37" s="127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RESUMO'!AK31</f>
        <v/>
      </c>
      <c r="N38" s="128">
        <f>MAX(0,M38-M37)</f>
        <v/>
      </c>
      <c r="O38" s="127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RESUMO'!AL31</f>
        <v/>
      </c>
      <c r="N39" s="128">
        <f>MAX(0,M39-M38)</f>
        <v/>
      </c>
      <c r="O39" s="127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RESUMO'!AM31</f>
        <v/>
      </c>
      <c r="N40" s="128">
        <f>MAX(0,M40-M39)</f>
        <v/>
      </c>
      <c r="O40" s="127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RESUMO'!AN31</f>
        <v/>
      </c>
      <c r="N41" s="128">
        <f>MAX(0,M41-M40)</f>
        <v/>
      </c>
      <c r="O41" s="127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RESUMO'!AO31</f>
        <v/>
      </c>
      <c r="N42" s="128">
        <f>MAX(0,M42-M41)</f>
        <v/>
      </c>
      <c r="O42" s="127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RESUMO'!AP31</f>
        <v/>
      </c>
      <c r="N43" s="128">
        <f>MAX(0,M43-M42)</f>
        <v/>
      </c>
      <c r="O43" s="127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RESUMO'!AQ31</f>
        <v/>
      </c>
      <c r="N44" s="128">
        <f>MAX(0,M44-M43)</f>
        <v/>
      </c>
      <c r="O44" s="127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RESUMO'!AR31</f>
        <v/>
      </c>
      <c r="N45" s="128">
        <f>MAX(0,M45-M44)</f>
        <v/>
      </c>
      <c r="O45" s="127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RESUMO'!AS31</f>
        <v/>
      </c>
      <c r="N46" s="128">
        <f>MAX(0,M46-M45)</f>
        <v/>
      </c>
      <c r="O46" s="127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RESUMO'!AT31</f>
        <v/>
      </c>
      <c r="N47" s="128">
        <f>MAX(0,M47-M46)</f>
        <v/>
      </c>
      <c r="O47" s="127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RESUMO'!AU31</f>
        <v/>
      </c>
      <c r="N48" s="128">
        <f>MAX(0,M48-M47)</f>
        <v/>
      </c>
      <c r="O48" s="127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RESUMO'!AV31</f>
        <v/>
      </c>
      <c r="N49" s="128">
        <f>MAX(0,M49-M48)</f>
        <v/>
      </c>
      <c r="O49" s="127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RESUMO'!AW31</f>
        <v/>
      </c>
      <c r="N50" s="128">
        <f>MAX(0,M50-M49)</f>
        <v/>
      </c>
      <c r="O50" s="127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RESUMO'!AX31</f>
        <v/>
      </c>
      <c r="N51" s="128">
        <f>MAX(0,M51-M50)</f>
        <v/>
      </c>
      <c r="O51" s="127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RESUMO'!AY31</f>
        <v/>
      </c>
      <c r="N52" s="128">
        <f>MAX(0,M52-M51)</f>
        <v/>
      </c>
      <c r="O52" s="127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RESUMO'!AZ31</f>
        <v/>
      </c>
      <c r="N53" s="128">
        <f>MAX(0,M53-M52)</f>
        <v/>
      </c>
      <c r="O53" s="127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RESUMO'!BA31</f>
        <v/>
      </c>
      <c r="N54" s="128">
        <f>MAX(0,M54-M53)</f>
        <v/>
      </c>
      <c r="O54" s="127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RESUMO'!BB31</f>
        <v/>
      </c>
      <c r="N55" s="128">
        <f>MAX(0,M55-M54)</f>
        <v/>
      </c>
      <c r="O55" s="127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RESUMO'!BC31</f>
        <v/>
      </c>
      <c r="N56" s="128">
        <f>MAX(0,M56-M55)</f>
        <v/>
      </c>
      <c r="O56" s="127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RESUMO'!BD31</f>
        <v/>
      </c>
      <c r="N57" s="128">
        <f>MAX(0,M57-M56)</f>
        <v/>
      </c>
      <c r="O57" s="127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RESUMO'!BE31</f>
        <v/>
      </c>
      <c r="N58" s="128">
        <f>MAX(0,M58-M57)</f>
        <v/>
      </c>
      <c r="O58" s="127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RESUMO'!BF31</f>
        <v/>
      </c>
      <c r="N59" s="128">
        <f>MAX(0,M59-M58)</f>
        <v/>
      </c>
      <c r="O59" s="127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RESUMO'!BG31</f>
        <v/>
      </c>
      <c r="N60" s="128">
        <f>MAX(0,M60-M59)</f>
        <v/>
      </c>
      <c r="O60" s="127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RESUMO'!BH31</f>
        <v/>
      </c>
      <c r="N61" s="128">
        <f>MAX(0,M61-M60)</f>
        <v/>
      </c>
      <c r="O61" s="127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RESUMO'!BI31</f>
        <v/>
      </c>
      <c r="N62" s="128">
        <f>MAX(0,M62-M61)</f>
        <v/>
      </c>
      <c r="O62" s="127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RESUMO'!BJ31</f>
        <v/>
      </c>
      <c r="N63" s="128">
        <f>MAX(0,M63-M62)</f>
        <v/>
      </c>
      <c r="O63" s="127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RESUMO'!BK31</f>
        <v/>
      </c>
      <c r="N64" s="128">
        <f>MAX(0,M64-M63)</f>
        <v/>
      </c>
      <c r="O64" s="127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RESUMO'!BL31</f>
        <v/>
      </c>
      <c r="N65" s="128">
        <f>MAX(0,M65-M64)</f>
        <v/>
      </c>
      <c r="O65" s="127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RESUMO'!BM31</f>
        <v/>
      </c>
      <c r="N66" s="128">
        <f>MAX(0,M66-M65)</f>
        <v/>
      </c>
      <c r="O66" s="127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RESUMO'!BN31</f>
        <v/>
      </c>
      <c r="N67" s="128">
        <f>MAX(0,M67-M66)</f>
        <v/>
      </c>
      <c r="O67" s="127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RESUMO'!BO31</f>
        <v/>
      </c>
      <c r="N68" s="128">
        <f>MAX(0,M68-M67)</f>
        <v/>
      </c>
      <c r="O68" s="127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RESUMO'!BP31</f>
        <v/>
      </c>
      <c r="N69" s="128">
        <f>MAX(0,M69-M68)</f>
        <v/>
      </c>
      <c r="O69" s="127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RESUMO'!BQ31</f>
        <v/>
      </c>
      <c r="N70" s="128">
        <f>MAX(0,M70-M69)</f>
        <v/>
      </c>
      <c r="O70" s="127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RESUMO'!BR31</f>
        <v/>
      </c>
      <c r="N71" s="128">
        <f>MAX(0,M71-M70)</f>
        <v/>
      </c>
      <c r="O71" s="127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RESUMO'!BS31</f>
        <v/>
      </c>
      <c r="N72" s="128">
        <f>MAX(0,M72-M71)</f>
        <v/>
      </c>
      <c r="O72" s="127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RESUMO'!BT31</f>
        <v/>
      </c>
      <c r="N73" s="128">
        <f>MAX(0,M73-M72)</f>
        <v/>
      </c>
      <c r="O73" s="127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RESUMO'!BU31</f>
        <v/>
      </c>
      <c r="N74" s="128">
        <f>MAX(0,M74-M73)</f>
        <v/>
      </c>
      <c r="O74" s="127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RESUMO'!BV31</f>
        <v/>
      </c>
      <c r="N75" s="128">
        <f>MAX(0,M75-M74)</f>
        <v/>
      </c>
      <c r="O75" s="127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RESUMO'!BW31</f>
        <v/>
      </c>
      <c r="N76" s="128">
        <f>MAX(0,M76-M75)</f>
        <v/>
      </c>
      <c r="O76" s="127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PL'!F38</f>
        <v/>
      </c>
      <c r="K5" s="108">
        <f>'VALOR POR PL'!G38</f>
        <v/>
      </c>
      <c r="M5" s="127">
        <f>'CP RESUMO'!D32</f>
        <v/>
      </c>
      <c r="N5" s="128" t="n">
        <v>0</v>
      </c>
      <c r="O5" s="127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RESUMO'!E32</f>
        <v/>
      </c>
      <c r="N6" s="128">
        <f>MAX(0,M6-M5)</f>
        <v/>
      </c>
      <c r="O6" s="127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PL'!L38</f>
        <v/>
      </c>
      <c r="M7" s="127">
        <f>'CP RESUMO'!F32</f>
        <v/>
      </c>
      <c r="N7" s="128">
        <f>MAX(0,M7-M6)</f>
        <v/>
      </c>
      <c r="O7" s="127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RESUMO'!G32</f>
        <v/>
      </c>
      <c r="N8" s="128">
        <f>MAX(0,M8-M7)</f>
        <v/>
      </c>
      <c r="O8" s="127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RESUMO'!H32</f>
        <v/>
      </c>
      <c r="N9" s="128">
        <f>MAX(0,M9-M8)</f>
        <v/>
      </c>
      <c r="O9" s="127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RESUMO'!I32</f>
        <v/>
      </c>
      <c r="N10" s="128">
        <f>MAX(0,M10-M9)</f>
        <v/>
      </c>
      <c r="O10" s="127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RESUMO'!J32</f>
        <v/>
      </c>
      <c r="N11" s="128">
        <f>MAX(0,M11-M10)</f>
        <v/>
      </c>
      <c r="O11" s="127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RESUMO'!K32</f>
        <v/>
      </c>
      <c r="N12" s="128">
        <f>MAX(0,M12-M11)</f>
        <v/>
      </c>
      <c r="O12" s="127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PL'!I38</f>
        <v/>
      </c>
      <c r="M13" s="127">
        <f>'CP RESUMO'!L32</f>
        <v/>
      </c>
      <c r="N13" s="128">
        <f>MAX(0,M13-M12)</f>
        <v/>
      </c>
      <c r="O13" s="127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7">
        <f>'CP RESUMO'!M32</f>
        <v/>
      </c>
      <c r="N14" s="128">
        <f>MAX(0,M14-M13)</f>
        <v/>
      </c>
      <c r="O14" s="127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RESUMO'!N32</f>
        <v/>
      </c>
      <c r="N15" s="128">
        <f>MAX(0,M15-M14)</f>
        <v/>
      </c>
      <c r="O15" s="127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RESUMO'!O32</f>
        <v/>
      </c>
      <c r="N16" s="128">
        <f>MAX(0,M16-M15)</f>
        <v/>
      </c>
      <c r="O16" s="127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RESUMO'!P32</f>
        <v/>
      </c>
      <c r="N17" s="128">
        <f>MAX(0,M17-M16)</f>
        <v/>
      </c>
      <c r="O17" s="127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RESUMO'!Q32</f>
        <v/>
      </c>
      <c r="N18" s="128">
        <f>MAX(0,M18-M17)</f>
        <v/>
      </c>
      <c r="O18" s="127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RESUMO'!R32</f>
        <v/>
      </c>
      <c r="N19" s="128">
        <f>MAX(0,M19-M18)</f>
        <v/>
      </c>
      <c r="O19" s="127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RESUMO'!S32</f>
        <v/>
      </c>
      <c r="N20" s="128">
        <f>MAX(0,M20-M19)</f>
        <v/>
      </c>
      <c r="O20" s="127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RESUMO'!T32</f>
        <v/>
      </c>
      <c r="N21" s="128">
        <f>MAX(0,M21-M20)</f>
        <v/>
      </c>
      <c r="O21" s="127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RESUMO'!U32</f>
        <v/>
      </c>
      <c r="N22" s="128">
        <f>MAX(0,M22-M21)</f>
        <v/>
      </c>
      <c r="O22" s="127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RESUMO'!V32</f>
        <v/>
      </c>
      <c r="N23" s="128">
        <f>MAX(0,M23-M22)</f>
        <v/>
      </c>
      <c r="O23" s="127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RESUMO'!W32</f>
        <v/>
      </c>
      <c r="N24" s="128">
        <f>MAX(0,M24-M23)</f>
        <v/>
      </c>
      <c r="O24" s="127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RESUMO'!X32</f>
        <v/>
      </c>
      <c r="N25" s="128">
        <f>MAX(0,M25-M24)</f>
        <v/>
      </c>
      <c r="O25" s="127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RESUMO'!Y32</f>
        <v/>
      </c>
      <c r="N26" s="128">
        <f>MAX(0,M26-M25)</f>
        <v/>
      </c>
      <c r="O26" s="127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RESUMO'!Z32</f>
        <v/>
      </c>
      <c r="N27" s="128">
        <f>MAX(0,M27-M26)</f>
        <v/>
      </c>
      <c r="O27" s="127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RESUMO'!AA32</f>
        <v/>
      </c>
      <c r="N28" s="128">
        <f>MAX(0,M28-M27)</f>
        <v/>
      </c>
      <c r="O28" s="127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RESUMO'!AB32</f>
        <v/>
      </c>
      <c r="N29" s="128">
        <f>MAX(0,M29-M28)</f>
        <v/>
      </c>
      <c r="O29" s="127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RESUMO'!AC32</f>
        <v/>
      </c>
      <c r="N30" s="128">
        <f>MAX(0,M30-M29)</f>
        <v/>
      </c>
      <c r="O30" s="127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RESUMO'!AD32</f>
        <v/>
      </c>
      <c r="N31" s="128">
        <f>MAX(0,M31-M30)</f>
        <v/>
      </c>
      <c r="O31" s="127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RESUMO'!AE32</f>
        <v/>
      </c>
      <c r="N32" s="128">
        <f>MAX(0,M32-M31)</f>
        <v/>
      </c>
      <c r="O32" s="127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RESUMO'!AF32</f>
        <v/>
      </c>
      <c r="N33" s="128">
        <f>MAX(0,M33-M32)</f>
        <v/>
      </c>
      <c r="O33" s="127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RESUMO'!AG32</f>
        <v/>
      </c>
      <c r="N34" s="128">
        <f>MAX(0,M34-M33)</f>
        <v/>
      </c>
      <c r="O34" s="127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RESUMO'!AH32</f>
        <v/>
      </c>
      <c r="N35" s="128">
        <f>MAX(0,M35-M34)</f>
        <v/>
      </c>
      <c r="O35" s="127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RESUMO'!AI32</f>
        <v/>
      </c>
      <c r="N36" s="128">
        <f>MAX(0,M36-M35)</f>
        <v/>
      </c>
      <c r="O36" s="127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RESUMO'!AJ32</f>
        <v/>
      </c>
      <c r="N37" s="128">
        <f>MAX(0,M37-M36)</f>
        <v/>
      </c>
      <c r="O37" s="127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RESUMO'!AK32</f>
        <v/>
      </c>
      <c r="N38" s="128">
        <f>MAX(0,M38-M37)</f>
        <v/>
      </c>
      <c r="O38" s="127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RESUMO'!AL32</f>
        <v/>
      </c>
      <c r="N39" s="128">
        <f>MAX(0,M39-M38)</f>
        <v/>
      </c>
      <c r="O39" s="127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RESUMO'!AM32</f>
        <v/>
      </c>
      <c r="N40" s="128">
        <f>MAX(0,M40-M39)</f>
        <v/>
      </c>
      <c r="O40" s="127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RESUMO'!AN32</f>
        <v/>
      </c>
      <c r="N41" s="128">
        <f>MAX(0,M41-M40)</f>
        <v/>
      </c>
      <c r="O41" s="127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RESUMO'!AO32</f>
        <v/>
      </c>
      <c r="N42" s="128">
        <f>MAX(0,M42-M41)</f>
        <v/>
      </c>
      <c r="O42" s="127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RESUMO'!AP32</f>
        <v/>
      </c>
      <c r="N43" s="128">
        <f>MAX(0,M43-M42)</f>
        <v/>
      </c>
      <c r="O43" s="127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RESUMO'!AQ32</f>
        <v/>
      </c>
      <c r="N44" s="128">
        <f>MAX(0,M44-M43)</f>
        <v/>
      </c>
      <c r="O44" s="127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RESUMO'!AR32</f>
        <v/>
      </c>
      <c r="N45" s="128">
        <f>MAX(0,M45-M44)</f>
        <v/>
      </c>
      <c r="O45" s="127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RESUMO'!AS32</f>
        <v/>
      </c>
      <c r="N46" s="128">
        <f>MAX(0,M46-M45)</f>
        <v/>
      </c>
      <c r="O46" s="127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RESUMO'!AT32</f>
        <v/>
      </c>
      <c r="N47" s="128">
        <f>MAX(0,M47-M46)</f>
        <v/>
      </c>
      <c r="O47" s="127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RESUMO'!AU32</f>
        <v/>
      </c>
      <c r="N48" s="128">
        <f>MAX(0,M48-M47)</f>
        <v/>
      </c>
      <c r="O48" s="127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RESUMO'!AV32</f>
        <v/>
      </c>
      <c r="N49" s="128">
        <f>MAX(0,M49-M48)</f>
        <v/>
      </c>
      <c r="O49" s="127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RESUMO'!AW32</f>
        <v/>
      </c>
      <c r="N50" s="128">
        <f>MAX(0,M50-M49)</f>
        <v/>
      </c>
      <c r="O50" s="127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RESUMO'!AX32</f>
        <v/>
      </c>
      <c r="N51" s="128">
        <f>MAX(0,M51-M50)</f>
        <v/>
      </c>
      <c r="O51" s="127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RESUMO'!AY32</f>
        <v/>
      </c>
      <c r="N52" s="128">
        <f>MAX(0,M52-M51)</f>
        <v/>
      </c>
      <c r="O52" s="127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RESUMO'!AZ32</f>
        <v/>
      </c>
      <c r="N53" s="128">
        <f>MAX(0,M53-M52)</f>
        <v/>
      </c>
      <c r="O53" s="127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RESUMO'!BA32</f>
        <v/>
      </c>
      <c r="N54" s="128">
        <f>MAX(0,M54-M53)</f>
        <v/>
      </c>
      <c r="O54" s="127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RESUMO'!BB32</f>
        <v/>
      </c>
      <c r="N55" s="128">
        <f>MAX(0,M55-M54)</f>
        <v/>
      </c>
      <c r="O55" s="127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RESUMO'!BC32</f>
        <v/>
      </c>
      <c r="N56" s="128">
        <f>MAX(0,M56-M55)</f>
        <v/>
      </c>
      <c r="O56" s="127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RESUMO'!BD32</f>
        <v/>
      </c>
      <c r="N57" s="128">
        <f>MAX(0,M57-M56)</f>
        <v/>
      </c>
      <c r="O57" s="127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RESUMO'!BE32</f>
        <v/>
      </c>
      <c r="N58" s="128">
        <f>MAX(0,M58-M57)</f>
        <v/>
      </c>
      <c r="O58" s="127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RESUMO'!BF32</f>
        <v/>
      </c>
      <c r="N59" s="128">
        <f>MAX(0,M59-M58)</f>
        <v/>
      </c>
      <c r="O59" s="127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RESUMO'!BG32</f>
        <v/>
      </c>
      <c r="N60" s="128">
        <f>MAX(0,M60-M59)</f>
        <v/>
      </c>
      <c r="O60" s="127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RESUMO'!BH32</f>
        <v/>
      </c>
      <c r="N61" s="128">
        <f>MAX(0,M61-M60)</f>
        <v/>
      </c>
      <c r="O61" s="127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RESUMO'!BI32</f>
        <v/>
      </c>
      <c r="N62" s="128">
        <f>MAX(0,M62-M61)</f>
        <v/>
      </c>
      <c r="O62" s="127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RESUMO'!BJ32</f>
        <v/>
      </c>
      <c r="N63" s="128">
        <f>MAX(0,M63-M62)</f>
        <v/>
      </c>
      <c r="O63" s="127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RESUMO'!BK32</f>
        <v/>
      </c>
      <c r="N64" s="128">
        <f>MAX(0,M64-M63)</f>
        <v/>
      </c>
      <c r="O64" s="127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RESUMO'!BL32</f>
        <v/>
      </c>
      <c r="N65" s="128">
        <f>MAX(0,M65-M64)</f>
        <v/>
      </c>
      <c r="O65" s="127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RESUMO'!BM32</f>
        <v/>
      </c>
      <c r="N66" s="128">
        <f>MAX(0,M66-M65)</f>
        <v/>
      </c>
      <c r="O66" s="127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RESUMO'!BN32</f>
        <v/>
      </c>
      <c r="N67" s="128">
        <f>MAX(0,M67-M66)</f>
        <v/>
      </c>
      <c r="O67" s="127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RESUMO'!BO32</f>
        <v/>
      </c>
      <c r="N68" s="128">
        <f>MAX(0,M68-M67)</f>
        <v/>
      </c>
      <c r="O68" s="127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RESUMO'!BP32</f>
        <v/>
      </c>
      <c r="N69" s="128">
        <f>MAX(0,M69-M68)</f>
        <v/>
      </c>
      <c r="O69" s="127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RESUMO'!BQ32</f>
        <v/>
      </c>
      <c r="N70" s="128">
        <f>MAX(0,M70-M69)</f>
        <v/>
      </c>
      <c r="O70" s="127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RESUMO'!BR32</f>
        <v/>
      </c>
      <c r="N71" s="128">
        <f>MAX(0,M71-M70)</f>
        <v/>
      </c>
      <c r="O71" s="127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RESUMO'!BS32</f>
        <v/>
      </c>
      <c r="N72" s="128">
        <f>MAX(0,M72-M71)</f>
        <v/>
      </c>
      <c r="O72" s="127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RESUMO'!BT32</f>
        <v/>
      </c>
      <c r="N73" s="128">
        <f>MAX(0,M73-M72)</f>
        <v/>
      </c>
      <c r="O73" s="127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RESUMO'!BU32</f>
        <v/>
      </c>
      <c r="N74" s="128">
        <f>MAX(0,M74-M73)</f>
        <v/>
      </c>
      <c r="O74" s="127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RESUMO'!BV32</f>
        <v/>
      </c>
      <c r="N75" s="128">
        <f>MAX(0,M75-M74)</f>
        <v/>
      </c>
      <c r="O75" s="127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RESUMO'!BW32</f>
        <v/>
      </c>
      <c r="N76" s="128">
        <f>MAX(0,M76-M75)</f>
        <v/>
      </c>
      <c r="O76" s="127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PL'!F39</f>
        <v/>
      </c>
      <c r="K5" s="108">
        <f>'VALOR POR PL'!G39</f>
        <v/>
      </c>
      <c r="M5" s="127">
        <f>'CP RESUMO'!D33</f>
        <v/>
      </c>
      <c r="N5" s="128" t="n">
        <v>0</v>
      </c>
      <c r="O5" s="127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RESUMO'!E33</f>
        <v/>
      </c>
      <c r="N6" s="128">
        <f>MAX(0,M6-M5)</f>
        <v/>
      </c>
      <c r="O6" s="127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PL'!L39</f>
        <v/>
      </c>
      <c r="M7" s="127">
        <f>'CP RESUMO'!F33</f>
        <v/>
      </c>
      <c r="N7" s="128">
        <f>MAX(0,M7-M6)</f>
        <v/>
      </c>
      <c r="O7" s="127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RESUMO'!G33</f>
        <v/>
      </c>
      <c r="N8" s="128">
        <f>MAX(0,M8-M7)</f>
        <v/>
      </c>
      <c r="O8" s="127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RESUMO'!H33</f>
        <v/>
      </c>
      <c r="N9" s="128">
        <f>MAX(0,M9-M8)</f>
        <v/>
      </c>
      <c r="O9" s="127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RESUMO'!I33</f>
        <v/>
      </c>
      <c r="N10" s="128">
        <f>MAX(0,M10-M9)</f>
        <v/>
      </c>
      <c r="O10" s="127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RESUMO'!J33</f>
        <v/>
      </c>
      <c r="N11" s="128">
        <f>MAX(0,M11-M10)</f>
        <v/>
      </c>
      <c r="O11" s="127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RESUMO'!K33</f>
        <v/>
      </c>
      <c r="N12" s="128">
        <f>MAX(0,M12-M11)</f>
        <v/>
      </c>
      <c r="O12" s="127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PL'!I39</f>
        <v/>
      </c>
      <c r="M13" s="127">
        <f>'CP RESUMO'!L33</f>
        <v/>
      </c>
      <c r="N13" s="128">
        <f>MAX(0,M13-M12)</f>
        <v/>
      </c>
      <c r="O13" s="127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7">
        <f>'CP RESUMO'!M33</f>
        <v/>
      </c>
      <c r="N14" s="128">
        <f>MAX(0,M14-M13)</f>
        <v/>
      </c>
      <c r="O14" s="127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RESUMO'!N33</f>
        <v/>
      </c>
      <c r="N15" s="128">
        <f>MAX(0,M15-M14)</f>
        <v/>
      </c>
      <c r="O15" s="127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RESUMO'!O33</f>
        <v/>
      </c>
      <c r="N16" s="128">
        <f>MAX(0,M16-M15)</f>
        <v/>
      </c>
      <c r="O16" s="127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RESUMO'!P33</f>
        <v/>
      </c>
      <c r="N17" s="128">
        <f>MAX(0,M17-M16)</f>
        <v/>
      </c>
      <c r="O17" s="127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RESUMO'!Q33</f>
        <v/>
      </c>
      <c r="N18" s="128">
        <f>MAX(0,M18-M17)</f>
        <v/>
      </c>
      <c r="O18" s="127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RESUMO'!R33</f>
        <v/>
      </c>
      <c r="N19" s="128">
        <f>MAX(0,M19-M18)</f>
        <v/>
      </c>
      <c r="O19" s="127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RESUMO'!S33</f>
        <v/>
      </c>
      <c r="N20" s="128">
        <f>MAX(0,M20-M19)</f>
        <v/>
      </c>
      <c r="O20" s="127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RESUMO'!T33</f>
        <v/>
      </c>
      <c r="N21" s="128">
        <f>MAX(0,M21-M20)</f>
        <v/>
      </c>
      <c r="O21" s="127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RESUMO'!U33</f>
        <v/>
      </c>
      <c r="N22" s="128">
        <f>MAX(0,M22-M21)</f>
        <v/>
      </c>
      <c r="O22" s="127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RESUMO'!V33</f>
        <v/>
      </c>
      <c r="N23" s="128">
        <f>MAX(0,M23-M22)</f>
        <v/>
      </c>
      <c r="O23" s="127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RESUMO'!W33</f>
        <v/>
      </c>
      <c r="N24" s="128">
        <f>MAX(0,M24-M23)</f>
        <v/>
      </c>
      <c r="O24" s="127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RESUMO'!X33</f>
        <v/>
      </c>
      <c r="N25" s="128">
        <f>MAX(0,M25-M24)</f>
        <v/>
      </c>
      <c r="O25" s="127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RESUMO'!Y33</f>
        <v/>
      </c>
      <c r="N26" s="128">
        <f>MAX(0,M26-M25)</f>
        <v/>
      </c>
      <c r="O26" s="127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RESUMO'!Z33</f>
        <v/>
      </c>
      <c r="N27" s="128">
        <f>MAX(0,M27-M26)</f>
        <v/>
      </c>
      <c r="O27" s="127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RESUMO'!AA33</f>
        <v/>
      </c>
      <c r="N28" s="128">
        <f>MAX(0,M28-M27)</f>
        <v/>
      </c>
      <c r="O28" s="127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RESUMO'!AB33</f>
        <v/>
      </c>
      <c r="N29" s="128">
        <f>MAX(0,M29-M28)</f>
        <v/>
      </c>
      <c r="O29" s="127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RESUMO'!AC33</f>
        <v/>
      </c>
      <c r="N30" s="128">
        <f>MAX(0,M30-M29)</f>
        <v/>
      </c>
      <c r="O30" s="127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RESUMO'!AD33</f>
        <v/>
      </c>
      <c r="N31" s="128">
        <f>MAX(0,M31-M30)</f>
        <v/>
      </c>
      <c r="O31" s="127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RESUMO'!AE33</f>
        <v/>
      </c>
      <c r="N32" s="128">
        <f>MAX(0,M32-M31)</f>
        <v/>
      </c>
      <c r="O32" s="127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RESUMO'!AF33</f>
        <v/>
      </c>
      <c r="N33" s="128">
        <f>MAX(0,M33-M32)</f>
        <v/>
      </c>
      <c r="O33" s="127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RESUMO'!AG33</f>
        <v/>
      </c>
      <c r="N34" s="128">
        <f>MAX(0,M34-M33)</f>
        <v/>
      </c>
      <c r="O34" s="127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RESUMO'!AH33</f>
        <v/>
      </c>
      <c r="N35" s="128">
        <f>MAX(0,M35-M34)</f>
        <v/>
      </c>
      <c r="O35" s="127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RESUMO'!AI33</f>
        <v/>
      </c>
      <c r="N36" s="128">
        <f>MAX(0,M36-M35)</f>
        <v/>
      </c>
      <c r="O36" s="127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RESUMO'!AJ33</f>
        <v/>
      </c>
      <c r="N37" s="128">
        <f>MAX(0,M37-M36)</f>
        <v/>
      </c>
      <c r="O37" s="127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RESUMO'!AK33</f>
        <v/>
      </c>
      <c r="N38" s="128">
        <f>MAX(0,M38-M37)</f>
        <v/>
      </c>
      <c r="O38" s="127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RESUMO'!AL33</f>
        <v/>
      </c>
      <c r="N39" s="128">
        <f>MAX(0,M39-M38)</f>
        <v/>
      </c>
      <c r="O39" s="127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RESUMO'!AM33</f>
        <v/>
      </c>
      <c r="N40" s="128">
        <f>MAX(0,M40-M39)</f>
        <v/>
      </c>
      <c r="O40" s="127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RESUMO'!AN33</f>
        <v/>
      </c>
      <c r="N41" s="128">
        <f>MAX(0,M41-M40)</f>
        <v/>
      </c>
      <c r="O41" s="127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RESUMO'!AO33</f>
        <v/>
      </c>
      <c r="N42" s="128">
        <f>MAX(0,M42-M41)</f>
        <v/>
      </c>
      <c r="O42" s="127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RESUMO'!AP33</f>
        <v/>
      </c>
      <c r="N43" s="128">
        <f>MAX(0,M43-M42)</f>
        <v/>
      </c>
      <c r="O43" s="127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RESUMO'!AQ33</f>
        <v/>
      </c>
      <c r="N44" s="128">
        <f>MAX(0,M44-M43)</f>
        <v/>
      </c>
      <c r="O44" s="127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RESUMO'!AR33</f>
        <v/>
      </c>
      <c r="N45" s="128">
        <f>MAX(0,M45-M44)</f>
        <v/>
      </c>
      <c r="O45" s="127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RESUMO'!AS33</f>
        <v/>
      </c>
      <c r="N46" s="128">
        <f>MAX(0,M46-M45)</f>
        <v/>
      </c>
      <c r="O46" s="127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RESUMO'!AT33</f>
        <v/>
      </c>
      <c r="N47" s="128">
        <f>MAX(0,M47-M46)</f>
        <v/>
      </c>
      <c r="O47" s="127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RESUMO'!AU33</f>
        <v/>
      </c>
      <c r="N48" s="128">
        <f>MAX(0,M48-M47)</f>
        <v/>
      </c>
      <c r="O48" s="127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RESUMO'!AV33</f>
        <v/>
      </c>
      <c r="N49" s="128">
        <f>MAX(0,M49-M48)</f>
        <v/>
      </c>
      <c r="O49" s="127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RESUMO'!AW33</f>
        <v/>
      </c>
      <c r="N50" s="128">
        <f>MAX(0,M50-M49)</f>
        <v/>
      </c>
      <c r="O50" s="127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RESUMO'!AX33</f>
        <v/>
      </c>
      <c r="N51" s="128">
        <f>MAX(0,M51-M50)</f>
        <v/>
      </c>
      <c r="O51" s="127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RESUMO'!AY33</f>
        <v/>
      </c>
      <c r="N52" s="128">
        <f>MAX(0,M52-M51)</f>
        <v/>
      </c>
      <c r="O52" s="127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RESUMO'!AZ33</f>
        <v/>
      </c>
      <c r="N53" s="128">
        <f>MAX(0,M53-M52)</f>
        <v/>
      </c>
      <c r="O53" s="127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RESUMO'!BA33</f>
        <v/>
      </c>
      <c r="N54" s="128">
        <f>MAX(0,M54-M53)</f>
        <v/>
      </c>
      <c r="O54" s="127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RESUMO'!BB33</f>
        <v/>
      </c>
      <c r="N55" s="128">
        <f>MAX(0,M55-M54)</f>
        <v/>
      </c>
      <c r="O55" s="127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RESUMO'!BC33</f>
        <v/>
      </c>
      <c r="N56" s="128">
        <f>MAX(0,M56-M55)</f>
        <v/>
      </c>
      <c r="O56" s="127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RESUMO'!BD33</f>
        <v/>
      </c>
      <c r="N57" s="128">
        <f>MAX(0,M57-M56)</f>
        <v/>
      </c>
      <c r="O57" s="127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RESUMO'!BE33</f>
        <v/>
      </c>
      <c r="N58" s="128">
        <f>MAX(0,M58-M57)</f>
        <v/>
      </c>
      <c r="O58" s="127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RESUMO'!BF33</f>
        <v/>
      </c>
      <c r="N59" s="128">
        <f>MAX(0,M59-M58)</f>
        <v/>
      </c>
      <c r="O59" s="127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RESUMO'!BG33</f>
        <v/>
      </c>
      <c r="N60" s="128">
        <f>MAX(0,M60-M59)</f>
        <v/>
      </c>
      <c r="O60" s="127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RESUMO'!BH33</f>
        <v/>
      </c>
      <c r="N61" s="128">
        <f>MAX(0,M61-M60)</f>
        <v/>
      </c>
      <c r="O61" s="127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RESUMO'!BI33</f>
        <v/>
      </c>
      <c r="N62" s="128">
        <f>MAX(0,M62-M61)</f>
        <v/>
      </c>
      <c r="O62" s="127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RESUMO'!BJ33</f>
        <v/>
      </c>
      <c r="N63" s="128">
        <f>MAX(0,M63-M62)</f>
        <v/>
      </c>
      <c r="O63" s="127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RESUMO'!BK33</f>
        <v/>
      </c>
      <c r="N64" s="128">
        <f>MAX(0,M64-M63)</f>
        <v/>
      </c>
      <c r="O64" s="127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RESUMO'!BL33</f>
        <v/>
      </c>
      <c r="N65" s="128">
        <f>MAX(0,M65-M64)</f>
        <v/>
      </c>
      <c r="O65" s="127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RESUMO'!BM33</f>
        <v/>
      </c>
      <c r="N66" s="128">
        <f>MAX(0,M66-M65)</f>
        <v/>
      </c>
      <c r="O66" s="127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RESUMO'!BN33</f>
        <v/>
      </c>
      <c r="N67" s="128">
        <f>MAX(0,M67-M66)</f>
        <v/>
      </c>
      <c r="O67" s="127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RESUMO'!BO33</f>
        <v/>
      </c>
      <c r="N68" s="128">
        <f>MAX(0,M68-M67)</f>
        <v/>
      </c>
      <c r="O68" s="127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RESUMO'!BP33</f>
        <v/>
      </c>
      <c r="N69" s="128">
        <f>MAX(0,M69-M68)</f>
        <v/>
      </c>
      <c r="O69" s="127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RESUMO'!BQ33</f>
        <v/>
      </c>
      <c r="N70" s="128">
        <f>MAX(0,M70-M69)</f>
        <v/>
      </c>
      <c r="O70" s="127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RESUMO'!BR33</f>
        <v/>
      </c>
      <c r="N71" s="128">
        <f>MAX(0,M71-M70)</f>
        <v/>
      </c>
      <c r="O71" s="127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RESUMO'!BS33</f>
        <v/>
      </c>
      <c r="N72" s="128">
        <f>MAX(0,M72-M71)</f>
        <v/>
      </c>
      <c r="O72" s="127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RESUMO'!BT33</f>
        <v/>
      </c>
      <c r="N73" s="128">
        <f>MAX(0,M73-M72)</f>
        <v/>
      </c>
      <c r="O73" s="127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RESUMO'!BU33</f>
        <v/>
      </c>
      <c r="N74" s="128">
        <f>MAX(0,M74-M73)</f>
        <v/>
      </c>
      <c r="O74" s="127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RESUMO'!BV33</f>
        <v/>
      </c>
      <c r="N75" s="128">
        <f>MAX(0,M75-M74)</f>
        <v/>
      </c>
      <c r="O75" s="127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RESUMO'!BW33</f>
        <v/>
      </c>
      <c r="N76" s="128">
        <f>MAX(0,M76-M75)</f>
        <v/>
      </c>
      <c r="O76" s="127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PL'!F40</f>
        <v/>
      </c>
      <c r="K5" s="108">
        <f>'VALOR POR PL'!G40</f>
        <v/>
      </c>
      <c r="M5" s="127">
        <f>'CP RESUMO'!D34</f>
        <v/>
      </c>
      <c r="N5" s="128" t="n">
        <v>0</v>
      </c>
      <c r="O5" s="127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RESUMO'!E34</f>
        <v/>
      </c>
      <c r="N6" s="128">
        <f>MAX(0,M6-M5)</f>
        <v/>
      </c>
      <c r="O6" s="127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PL'!L40</f>
        <v/>
      </c>
      <c r="M7" s="127">
        <f>'CP RESUMO'!F34</f>
        <v/>
      </c>
      <c r="N7" s="128">
        <f>MAX(0,M7-M6)</f>
        <v/>
      </c>
      <c r="O7" s="127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RESUMO'!G34</f>
        <v/>
      </c>
      <c r="N8" s="128">
        <f>MAX(0,M8-M7)</f>
        <v/>
      </c>
      <c r="O8" s="127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RESUMO'!H34</f>
        <v/>
      </c>
      <c r="N9" s="128">
        <f>MAX(0,M9-M8)</f>
        <v/>
      </c>
      <c r="O9" s="127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RESUMO'!I34</f>
        <v/>
      </c>
      <c r="N10" s="128">
        <f>MAX(0,M10-M9)</f>
        <v/>
      </c>
      <c r="O10" s="127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RESUMO'!J34</f>
        <v/>
      </c>
      <c r="N11" s="128">
        <f>MAX(0,M11-M10)</f>
        <v/>
      </c>
      <c r="O11" s="127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RESUMO'!K34</f>
        <v/>
      </c>
      <c r="N12" s="128">
        <f>MAX(0,M12-M11)</f>
        <v/>
      </c>
      <c r="O12" s="127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PL'!I40</f>
        <v/>
      </c>
      <c r="M13" s="127">
        <f>'CP RESUMO'!L34</f>
        <v/>
      </c>
      <c r="N13" s="128">
        <f>MAX(0,M13-M12)</f>
        <v/>
      </c>
      <c r="O13" s="127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7">
        <f>'CP RESUMO'!M34</f>
        <v/>
      </c>
      <c r="N14" s="128">
        <f>MAX(0,M14-M13)</f>
        <v/>
      </c>
      <c r="O14" s="127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RESUMO'!N34</f>
        <v/>
      </c>
      <c r="N15" s="128">
        <f>MAX(0,M15-M14)</f>
        <v/>
      </c>
      <c r="O15" s="127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RESUMO'!O34</f>
        <v/>
      </c>
      <c r="N16" s="128">
        <f>MAX(0,M16-M15)</f>
        <v/>
      </c>
      <c r="O16" s="127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RESUMO'!P34</f>
        <v/>
      </c>
      <c r="N17" s="128">
        <f>MAX(0,M17-M16)</f>
        <v/>
      </c>
      <c r="O17" s="127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RESUMO'!Q34</f>
        <v/>
      </c>
      <c r="N18" s="128">
        <f>MAX(0,M18-M17)</f>
        <v/>
      </c>
      <c r="O18" s="127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RESUMO'!R34</f>
        <v/>
      </c>
      <c r="N19" s="128">
        <f>MAX(0,M19-M18)</f>
        <v/>
      </c>
      <c r="O19" s="127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RESUMO'!S34</f>
        <v/>
      </c>
      <c r="N20" s="128">
        <f>MAX(0,M20-M19)</f>
        <v/>
      </c>
      <c r="O20" s="127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RESUMO'!T34</f>
        <v/>
      </c>
      <c r="N21" s="128">
        <f>MAX(0,M21-M20)</f>
        <v/>
      </c>
      <c r="O21" s="127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RESUMO'!U34</f>
        <v/>
      </c>
      <c r="N22" s="128">
        <f>MAX(0,M22-M21)</f>
        <v/>
      </c>
      <c r="O22" s="127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RESUMO'!V34</f>
        <v/>
      </c>
      <c r="N23" s="128">
        <f>MAX(0,M23-M22)</f>
        <v/>
      </c>
      <c r="O23" s="127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RESUMO'!W34</f>
        <v/>
      </c>
      <c r="N24" s="128">
        <f>MAX(0,M24-M23)</f>
        <v/>
      </c>
      <c r="O24" s="127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RESUMO'!X34</f>
        <v/>
      </c>
      <c r="N25" s="128">
        <f>MAX(0,M25-M24)</f>
        <v/>
      </c>
      <c r="O25" s="127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RESUMO'!Y34</f>
        <v/>
      </c>
      <c r="N26" s="128">
        <f>MAX(0,M26-M25)</f>
        <v/>
      </c>
      <c r="O26" s="127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RESUMO'!Z34</f>
        <v/>
      </c>
      <c r="N27" s="128">
        <f>MAX(0,M27-M26)</f>
        <v/>
      </c>
      <c r="O27" s="127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RESUMO'!AA34</f>
        <v/>
      </c>
      <c r="N28" s="128">
        <f>MAX(0,M28-M27)</f>
        <v/>
      </c>
      <c r="O28" s="127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RESUMO'!AB34</f>
        <v/>
      </c>
      <c r="N29" s="128">
        <f>MAX(0,M29-M28)</f>
        <v/>
      </c>
      <c r="O29" s="127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RESUMO'!AC34</f>
        <v/>
      </c>
      <c r="N30" s="128">
        <f>MAX(0,M30-M29)</f>
        <v/>
      </c>
      <c r="O30" s="127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RESUMO'!AD34</f>
        <v/>
      </c>
      <c r="N31" s="128">
        <f>MAX(0,M31-M30)</f>
        <v/>
      </c>
      <c r="O31" s="127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RESUMO'!AE34</f>
        <v/>
      </c>
      <c r="N32" s="128">
        <f>MAX(0,M32-M31)</f>
        <v/>
      </c>
      <c r="O32" s="127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RESUMO'!AF34</f>
        <v/>
      </c>
      <c r="N33" s="128">
        <f>MAX(0,M33-M32)</f>
        <v/>
      </c>
      <c r="O33" s="127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RESUMO'!AG34</f>
        <v/>
      </c>
      <c r="N34" s="128">
        <f>MAX(0,M34-M33)</f>
        <v/>
      </c>
      <c r="O34" s="127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RESUMO'!AH34</f>
        <v/>
      </c>
      <c r="N35" s="128">
        <f>MAX(0,M35-M34)</f>
        <v/>
      </c>
      <c r="O35" s="127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RESUMO'!AI34</f>
        <v/>
      </c>
      <c r="N36" s="128">
        <f>MAX(0,M36-M35)</f>
        <v/>
      </c>
      <c r="O36" s="127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RESUMO'!AJ34</f>
        <v/>
      </c>
      <c r="N37" s="128">
        <f>MAX(0,M37-M36)</f>
        <v/>
      </c>
      <c r="O37" s="127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RESUMO'!AK34</f>
        <v/>
      </c>
      <c r="N38" s="128">
        <f>MAX(0,M38-M37)</f>
        <v/>
      </c>
      <c r="O38" s="127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RESUMO'!AL34</f>
        <v/>
      </c>
      <c r="N39" s="128">
        <f>MAX(0,M39-M38)</f>
        <v/>
      </c>
      <c r="O39" s="127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RESUMO'!AM34</f>
        <v/>
      </c>
      <c r="N40" s="128">
        <f>MAX(0,M40-M39)</f>
        <v/>
      </c>
      <c r="O40" s="127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RESUMO'!AN34</f>
        <v/>
      </c>
      <c r="N41" s="128">
        <f>MAX(0,M41-M40)</f>
        <v/>
      </c>
      <c r="O41" s="127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RESUMO'!AO34</f>
        <v/>
      </c>
      <c r="N42" s="128">
        <f>MAX(0,M42-M41)</f>
        <v/>
      </c>
      <c r="O42" s="127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RESUMO'!AP34</f>
        <v/>
      </c>
      <c r="N43" s="128">
        <f>MAX(0,M43-M42)</f>
        <v/>
      </c>
      <c r="O43" s="127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RESUMO'!AQ34</f>
        <v/>
      </c>
      <c r="N44" s="128">
        <f>MAX(0,M44-M43)</f>
        <v/>
      </c>
      <c r="O44" s="127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RESUMO'!AR34</f>
        <v/>
      </c>
      <c r="N45" s="128">
        <f>MAX(0,M45-M44)</f>
        <v/>
      </c>
      <c r="O45" s="127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RESUMO'!AS34</f>
        <v/>
      </c>
      <c r="N46" s="128">
        <f>MAX(0,M46-M45)</f>
        <v/>
      </c>
      <c r="O46" s="127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RESUMO'!AT34</f>
        <v/>
      </c>
      <c r="N47" s="128">
        <f>MAX(0,M47-M46)</f>
        <v/>
      </c>
      <c r="O47" s="127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RESUMO'!AU34</f>
        <v/>
      </c>
      <c r="N48" s="128">
        <f>MAX(0,M48-M47)</f>
        <v/>
      </c>
      <c r="O48" s="127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RESUMO'!AV34</f>
        <v/>
      </c>
      <c r="N49" s="128">
        <f>MAX(0,M49-M48)</f>
        <v/>
      </c>
      <c r="O49" s="127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RESUMO'!AW34</f>
        <v/>
      </c>
      <c r="N50" s="128">
        <f>MAX(0,M50-M49)</f>
        <v/>
      </c>
      <c r="O50" s="127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RESUMO'!AX34</f>
        <v/>
      </c>
      <c r="N51" s="128">
        <f>MAX(0,M51-M50)</f>
        <v/>
      </c>
      <c r="O51" s="127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RESUMO'!AY34</f>
        <v/>
      </c>
      <c r="N52" s="128">
        <f>MAX(0,M52-M51)</f>
        <v/>
      </c>
      <c r="O52" s="127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RESUMO'!AZ34</f>
        <v/>
      </c>
      <c r="N53" s="128">
        <f>MAX(0,M53-M52)</f>
        <v/>
      </c>
      <c r="O53" s="127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RESUMO'!BA34</f>
        <v/>
      </c>
      <c r="N54" s="128">
        <f>MAX(0,M54-M53)</f>
        <v/>
      </c>
      <c r="O54" s="127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RESUMO'!BB34</f>
        <v/>
      </c>
      <c r="N55" s="128">
        <f>MAX(0,M55-M54)</f>
        <v/>
      </c>
      <c r="O55" s="127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RESUMO'!BC34</f>
        <v/>
      </c>
      <c r="N56" s="128">
        <f>MAX(0,M56-M55)</f>
        <v/>
      </c>
      <c r="O56" s="127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RESUMO'!BD34</f>
        <v/>
      </c>
      <c r="N57" s="128">
        <f>MAX(0,M57-M56)</f>
        <v/>
      </c>
      <c r="O57" s="127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RESUMO'!BE34</f>
        <v/>
      </c>
      <c r="N58" s="128">
        <f>MAX(0,M58-M57)</f>
        <v/>
      </c>
      <c r="O58" s="127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RESUMO'!BF34</f>
        <v/>
      </c>
      <c r="N59" s="128">
        <f>MAX(0,M59-M58)</f>
        <v/>
      </c>
      <c r="O59" s="127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RESUMO'!BG34</f>
        <v/>
      </c>
      <c r="N60" s="128">
        <f>MAX(0,M60-M59)</f>
        <v/>
      </c>
      <c r="O60" s="127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RESUMO'!BH34</f>
        <v/>
      </c>
      <c r="N61" s="128">
        <f>MAX(0,M61-M60)</f>
        <v/>
      </c>
      <c r="O61" s="127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RESUMO'!BI34</f>
        <v/>
      </c>
      <c r="N62" s="128">
        <f>MAX(0,M62-M61)</f>
        <v/>
      </c>
      <c r="O62" s="127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RESUMO'!BJ34</f>
        <v/>
      </c>
      <c r="N63" s="128">
        <f>MAX(0,M63-M62)</f>
        <v/>
      </c>
      <c r="O63" s="127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RESUMO'!BK34</f>
        <v/>
      </c>
      <c r="N64" s="128">
        <f>MAX(0,M64-M63)</f>
        <v/>
      </c>
      <c r="O64" s="127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RESUMO'!BL34</f>
        <v/>
      </c>
      <c r="N65" s="128">
        <f>MAX(0,M65-M64)</f>
        <v/>
      </c>
      <c r="O65" s="127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RESUMO'!BM34</f>
        <v/>
      </c>
      <c r="N66" s="128">
        <f>MAX(0,M66-M65)</f>
        <v/>
      </c>
      <c r="O66" s="127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RESUMO'!BN34</f>
        <v/>
      </c>
      <c r="N67" s="128">
        <f>MAX(0,M67-M66)</f>
        <v/>
      </c>
      <c r="O67" s="127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RESUMO'!BO34</f>
        <v/>
      </c>
      <c r="N68" s="128">
        <f>MAX(0,M68-M67)</f>
        <v/>
      </c>
      <c r="O68" s="127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RESUMO'!BP34</f>
        <v/>
      </c>
      <c r="N69" s="128">
        <f>MAX(0,M69-M68)</f>
        <v/>
      </c>
      <c r="O69" s="127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RESUMO'!BQ34</f>
        <v/>
      </c>
      <c r="N70" s="128">
        <f>MAX(0,M70-M69)</f>
        <v/>
      </c>
      <c r="O70" s="127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RESUMO'!BR34</f>
        <v/>
      </c>
      <c r="N71" s="128">
        <f>MAX(0,M71-M70)</f>
        <v/>
      </c>
      <c r="O71" s="127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RESUMO'!BS34</f>
        <v/>
      </c>
      <c r="N72" s="128">
        <f>MAX(0,M72-M71)</f>
        <v/>
      </c>
      <c r="O72" s="127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RESUMO'!BT34</f>
        <v/>
      </c>
      <c r="N73" s="128">
        <f>MAX(0,M73-M72)</f>
        <v/>
      </c>
      <c r="O73" s="127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RESUMO'!BU34</f>
        <v/>
      </c>
      <c r="N74" s="128">
        <f>MAX(0,M74-M73)</f>
        <v/>
      </c>
      <c r="O74" s="127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RESUMO'!BV34</f>
        <v/>
      </c>
      <c r="N75" s="128">
        <f>MAX(0,M75-M74)</f>
        <v/>
      </c>
      <c r="O75" s="127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RESUMO'!BW34</f>
        <v/>
      </c>
      <c r="N76" s="128">
        <f>MAX(0,M76-M75)</f>
        <v/>
      </c>
      <c r="O76" s="127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PL'!F41</f>
        <v/>
      </c>
      <c r="K5" s="108">
        <f>'VALOR POR PL'!G41</f>
        <v/>
      </c>
      <c r="M5" s="127">
        <f>'CP RESUMO'!D35</f>
        <v/>
      </c>
      <c r="N5" s="128" t="n">
        <v>0</v>
      </c>
      <c r="O5" s="127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RESUMO'!E35</f>
        <v/>
      </c>
      <c r="N6" s="128">
        <f>MAX(0,M6-M5)</f>
        <v/>
      </c>
      <c r="O6" s="127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PL'!L41</f>
        <v/>
      </c>
      <c r="M7" s="127">
        <f>'CP RESUMO'!F35</f>
        <v/>
      </c>
      <c r="N7" s="128">
        <f>MAX(0,M7-M6)</f>
        <v/>
      </c>
      <c r="O7" s="127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RESUMO'!G35</f>
        <v/>
      </c>
      <c r="N8" s="128">
        <f>MAX(0,M8-M7)</f>
        <v/>
      </c>
      <c r="O8" s="127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RESUMO'!H35</f>
        <v/>
      </c>
      <c r="N9" s="128">
        <f>MAX(0,M9-M8)</f>
        <v/>
      </c>
      <c r="O9" s="127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RESUMO'!I35</f>
        <v/>
      </c>
      <c r="N10" s="128">
        <f>MAX(0,M10-M9)</f>
        <v/>
      </c>
      <c r="O10" s="127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RESUMO'!J35</f>
        <v/>
      </c>
      <c r="N11" s="128">
        <f>MAX(0,M11-M10)</f>
        <v/>
      </c>
      <c r="O11" s="127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RESUMO'!K35</f>
        <v/>
      </c>
      <c r="N12" s="128">
        <f>MAX(0,M12-M11)</f>
        <v/>
      </c>
      <c r="O12" s="127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PL'!I41</f>
        <v/>
      </c>
      <c r="M13" s="127">
        <f>'CP RESUMO'!L35</f>
        <v/>
      </c>
      <c r="N13" s="128">
        <f>MAX(0,M13-M12)</f>
        <v/>
      </c>
      <c r="O13" s="127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7">
        <f>'CP RESUMO'!M35</f>
        <v/>
      </c>
      <c r="N14" s="128">
        <f>MAX(0,M14-M13)</f>
        <v/>
      </c>
      <c r="O14" s="127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RESUMO'!N35</f>
        <v/>
      </c>
      <c r="N15" s="128">
        <f>MAX(0,M15-M14)</f>
        <v/>
      </c>
      <c r="O15" s="127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RESUMO'!O35</f>
        <v/>
      </c>
      <c r="N16" s="128">
        <f>MAX(0,M16-M15)</f>
        <v/>
      </c>
      <c r="O16" s="127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RESUMO'!P35</f>
        <v/>
      </c>
      <c r="N17" s="128">
        <f>MAX(0,M17-M16)</f>
        <v/>
      </c>
      <c r="O17" s="127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RESUMO'!Q35</f>
        <v/>
      </c>
      <c r="N18" s="128">
        <f>MAX(0,M18-M17)</f>
        <v/>
      </c>
      <c r="O18" s="127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RESUMO'!R35</f>
        <v/>
      </c>
      <c r="N19" s="128">
        <f>MAX(0,M19-M18)</f>
        <v/>
      </c>
      <c r="O19" s="127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RESUMO'!S35</f>
        <v/>
      </c>
      <c r="N20" s="128">
        <f>MAX(0,M20-M19)</f>
        <v/>
      </c>
      <c r="O20" s="127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RESUMO'!T35</f>
        <v/>
      </c>
      <c r="N21" s="128">
        <f>MAX(0,M21-M20)</f>
        <v/>
      </c>
      <c r="O21" s="127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RESUMO'!U35</f>
        <v/>
      </c>
      <c r="N22" s="128">
        <f>MAX(0,M22-M21)</f>
        <v/>
      </c>
      <c r="O22" s="127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RESUMO'!V35</f>
        <v/>
      </c>
      <c r="N23" s="128">
        <f>MAX(0,M23-M22)</f>
        <v/>
      </c>
      <c r="O23" s="127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RESUMO'!W35</f>
        <v/>
      </c>
      <c r="N24" s="128">
        <f>MAX(0,M24-M23)</f>
        <v/>
      </c>
      <c r="O24" s="127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RESUMO'!X35</f>
        <v/>
      </c>
      <c r="N25" s="128">
        <f>MAX(0,M25-M24)</f>
        <v/>
      </c>
      <c r="O25" s="127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RESUMO'!Y35</f>
        <v/>
      </c>
      <c r="N26" s="128">
        <f>MAX(0,M26-M25)</f>
        <v/>
      </c>
      <c r="O26" s="127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RESUMO'!Z35</f>
        <v/>
      </c>
      <c r="N27" s="128">
        <f>MAX(0,M27-M26)</f>
        <v/>
      </c>
      <c r="O27" s="127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RESUMO'!AA35</f>
        <v/>
      </c>
      <c r="N28" s="128">
        <f>MAX(0,M28-M27)</f>
        <v/>
      </c>
      <c r="O28" s="127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RESUMO'!AB35</f>
        <v/>
      </c>
      <c r="N29" s="128">
        <f>MAX(0,M29-M28)</f>
        <v/>
      </c>
      <c r="O29" s="127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RESUMO'!AC35</f>
        <v/>
      </c>
      <c r="N30" s="128">
        <f>MAX(0,M30-M29)</f>
        <v/>
      </c>
      <c r="O30" s="127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RESUMO'!AD35</f>
        <v/>
      </c>
      <c r="N31" s="128">
        <f>MAX(0,M31-M30)</f>
        <v/>
      </c>
      <c r="O31" s="127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RESUMO'!AE35</f>
        <v/>
      </c>
      <c r="N32" s="128">
        <f>MAX(0,M32-M31)</f>
        <v/>
      </c>
      <c r="O32" s="127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RESUMO'!AF35</f>
        <v/>
      </c>
      <c r="N33" s="128">
        <f>MAX(0,M33-M32)</f>
        <v/>
      </c>
      <c r="O33" s="127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RESUMO'!AG35</f>
        <v/>
      </c>
      <c r="N34" s="128">
        <f>MAX(0,M34-M33)</f>
        <v/>
      </c>
      <c r="O34" s="127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RESUMO'!AH35</f>
        <v/>
      </c>
      <c r="N35" s="128">
        <f>MAX(0,M35-M34)</f>
        <v/>
      </c>
      <c r="O35" s="127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RESUMO'!AI35</f>
        <v/>
      </c>
      <c r="N36" s="128">
        <f>MAX(0,M36-M35)</f>
        <v/>
      </c>
      <c r="O36" s="127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RESUMO'!AJ35</f>
        <v/>
      </c>
      <c r="N37" s="128">
        <f>MAX(0,M37-M36)</f>
        <v/>
      </c>
      <c r="O37" s="127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RESUMO'!AK35</f>
        <v/>
      </c>
      <c r="N38" s="128">
        <f>MAX(0,M38-M37)</f>
        <v/>
      </c>
      <c r="O38" s="127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RESUMO'!AL35</f>
        <v/>
      </c>
      <c r="N39" s="128">
        <f>MAX(0,M39-M38)</f>
        <v/>
      </c>
      <c r="O39" s="127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RESUMO'!AM35</f>
        <v/>
      </c>
      <c r="N40" s="128">
        <f>MAX(0,M40-M39)</f>
        <v/>
      </c>
      <c r="O40" s="127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RESUMO'!AN35</f>
        <v/>
      </c>
      <c r="N41" s="128">
        <f>MAX(0,M41-M40)</f>
        <v/>
      </c>
      <c r="O41" s="127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RESUMO'!AO35</f>
        <v/>
      </c>
      <c r="N42" s="128">
        <f>MAX(0,M42-M41)</f>
        <v/>
      </c>
      <c r="O42" s="127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RESUMO'!AP35</f>
        <v/>
      </c>
      <c r="N43" s="128">
        <f>MAX(0,M43-M42)</f>
        <v/>
      </c>
      <c r="O43" s="127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RESUMO'!AQ35</f>
        <v/>
      </c>
      <c r="N44" s="128">
        <f>MAX(0,M44-M43)</f>
        <v/>
      </c>
      <c r="O44" s="127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RESUMO'!AR35</f>
        <v/>
      </c>
      <c r="N45" s="128">
        <f>MAX(0,M45-M44)</f>
        <v/>
      </c>
      <c r="O45" s="127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RESUMO'!AS35</f>
        <v/>
      </c>
      <c r="N46" s="128">
        <f>MAX(0,M46-M45)</f>
        <v/>
      </c>
      <c r="O46" s="127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RESUMO'!AT35</f>
        <v/>
      </c>
      <c r="N47" s="128">
        <f>MAX(0,M47-M46)</f>
        <v/>
      </c>
      <c r="O47" s="127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RESUMO'!AU35</f>
        <v/>
      </c>
      <c r="N48" s="128">
        <f>MAX(0,M48-M47)</f>
        <v/>
      </c>
      <c r="O48" s="127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RESUMO'!AV35</f>
        <v/>
      </c>
      <c r="N49" s="128">
        <f>MAX(0,M49-M48)</f>
        <v/>
      </c>
      <c r="O49" s="127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RESUMO'!AW35</f>
        <v/>
      </c>
      <c r="N50" s="128">
        <f>MAX(0,M50-M49)</f>
        <v/>
      </c>
      <c r="O50" s="127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RESUMO'!AX35</f>
        <v/>
      </c>
      <c r="N51" s="128">
        <f>MAX(0,M51-M50)</f>
        <v/>
      </c>
      <c r="O51" s="127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RESUMO'!AY35</f>
        <v/>
      </c>
      <c r="N52" s="128">
        <f>MAX(0,M52-M51)</f>
        <v/>
      </c>
      <c r="O52" s="127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RESUMO'!AZ35</f>
        <v/>
      </c>
      <c r="N53" s="128">
        <f>MAX(0,M53-M52)</f>
        <v/>
      </c>
      <c r="O53" s="127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RESUMO'!BA35</f>
        <v/>
      </c>
      <c r="N54" s="128">
        <f>MAX(0,M54-M53)</f>
        <v/>
      </c>
      <c r="O54" s="127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RESUMO'!BB35</f>
        <v/>
      </c>
      <c r="N55" s="128">
        <f>MAX(0,M55-M54)</f>
        <v/>
      </c>
      <c r="O55" s="127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RESUMO'!BC35</f>
        <v/>
      </c>
      <c r="N56" s="128">
        <f>MAX(0,M56-M55)</f>
        <v/>
      </c>
      <c r="O56" s="127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RESUMO'!BD35</f>
        <v/>
      </c>
      <c r="N57" s="128">
        <f>MAX(0,M57-M56)</f>
        <v/>
      </c>
      <c r="O57" s="127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RESUMO'!BE35</f>
        <v/>
      </c>
      <c r="N58" s="128">
        <f>MAX(0,M58-M57)</f>
        <v/>
      </c>
      <c r="O58" s="127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RESUMO'!BF35</f>
        <v/>
      </c>
      <c r="N59" s="128">
        <f>MAX(0,M59-M58)</f>
        <v/>
      </c>
      <c r="O59" s="127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RESUMO'!BG35</f>
        <v/>
      </c>
      <c r="N60" s="128">
        <f>MAX(0,M60-M59)</f>
        <v/>
      </c>
      <c r="O60" s="127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RESUMO'!BH35</f>
        <v/>
      </c>
      <c r="N61" s="128">
        <f>MAX(0,M61-M60)</f>
        <v/>
      </c>
      <c r="O61" s="127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RESUMO'!BI35</f>
        <v/>
      </c>
      <c r="N62" s="128">
        <f>MAX(0,M62-M61)</f>
        <v/>
      </c>
      <c r="O62" s="127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RESUMO'!BJ35</f>
        <v/>
      </c>
      <c r="N63" s="128">
        <f>MAX(0,M63-M62)</f>
        <v/>
      </c>
      <c r="O63" s="127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RESUMO'!BK35</f>
        <v/>
      </c>
      <c r="N64" s="128">
        <f>MAX(0,M64-M63)</f>
        <v/>
      </c>
      <c r="O64" s="127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RESUMO'!BL35</f>
        <v/>
      </c>
      <c r="N65" s="128">
        <f>MAX(0,M65-M64)</f>
        <v/>
      </c>
      <c r="O65" s="127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RESUMO'!BM35</f>
        <v/>
      </c>
      <c r="N66" s="128">
        <f>MAX(0,M66-M65)</f>
        <v/>
      </c>
      <c r="O66" s="127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RESUMO'!BN35</f>
        <v/>
      </c>
      <c r="N67" s="128">
        <f>MAX(0,M67-M66)</f>
        <v/>
      </c>
      <c r="O67" s="127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RESUMO'!BO35</f>
        <v/>
      </c>
      <c r="N68" s="128">
        <f>MAX(0,M68-M67)</f>
        <v/>
      </c>
      <c r="O68" s="127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RESUMO'!BP35</f>
        <v/>
      </c>
      <c r="N69" s="128">
        <f>MAX(0,M69-M68)</f>
        <v/>
      </c>
      <c r="O69" s="127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RESUMO'!BQ35</f>
        <v/>
      </c>
      <c r="N70" s="128">
        <f>MAX(0,M70-M69)</f>
        <v/>
      </c>
      <c r="O70" s="127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RESUMO'!BR35</f>
        <v/>
      </c>
      <c r="N71" s="128">
        <f>MAX(0,M71-M70)</f>
        <v/>
      </c>
      <c r="O71" s="127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RESUMO'!BS35</f>
        <v/>
      </c>
      <c r="N72" s="128">
        <f>MAX(0,M72-M71)</f>
        <v/>
      </c>
      <c r="O72" s="127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RESUMO'!BT35</f>
        <v/>
      </c>
      <c r="N73" s="128">
        <f>MAX(0,M73-M72)</f>
        <v/>
      </c>
      <c r="O73" s="127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RESUMO'!BU35</f>
        <v/>
      </c>
      <c r="N74" s="128">
        <f>MAX(0,M74-M73)</f>
        <v/>
      </c>
      <c r="O74" s="127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RESUMO'!BV35</f>
        <v/>
      </c>
      <c r="N75" s="128">
        <f>MAX(0,M75-M74)</f>
        <v/>
      </c>
      <c r="O75" s="127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RESUMO'!BW35</f>
        <v/>
      </c>
      <c r="N76" s="128">
        <f>MAX(0,M76-M75)</f>
        <v/>
      </c>
      <c r="O76" s="127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PL'!F42</f>
        <v/>
      </c>
      <c r="K5" s="108">
        <f>'VALOR POR PL'!G42</f>
        <v/>
      </c>
      <c r="M5" s="127">
        <f>'CP RESUMO'!D36</f>
        <v/>
      </c>
      <c r="N5" s="128" t="n">
        <v>0</v>
      </c>
      <c r="O5" s="127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RESUMO'!E36</f>
        <v/>
      </c>
      <c r="N6" s="128">
        <f>MAX(0,M6-M5)</f>
        <v/>
      </c>
      <c r="O6" s="127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PL'!L42</f>
        <v/>
      </c>
      <c r="M7" s="127">
        <f>'CP RESUMO'!F36</f>
        <v/>
      </c>
      <c r="N7" s="128">
        <f>MAX(0,M7-M6)</f>
        <v/>
      </c>
      <c r="O7" s="127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RESUMO'!G36</f>
        <v/>
      </c>
      <c r="N8" s="128">
        <f>MAX(0,M8-M7)</f>
        <v/>
      </c>
      <c r="O8" s="127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RESUMO'!H36</f>
        <v/>
      </c>
      <c r="N9" s="128">
        <f>MAX(0,M9-M8)</f>
        <v/>
      </c>
      <c r="O9" s="127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RESUMO'!I36</f>
        <v/>
      </c>
      <c r="N10" s="128">
        <f>MAX(0,M10-M9)</f>
        <v/>
      </c>
      <c r="O10" s="127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RESUMO'!J36</f>
        <v/>
      </c>
      <c r="N11" s="128">
        <f>MAX(0,M11-M10)</f>
        <v/>
      </c>
      <c r="O11" s="127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RESUMO'!K36</f>
        <v/>
      </c>
      <c r="N12" s="128">
        <f>MAX(0,M12-M11)</f>
        <v/>
      </c>
      <c r="O12" s="127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PL'!I42</f>
        <v/>
      </c>
      <c r="M13" s="127">
        <f>'CP RESUMO'!L36</f>
        <v/>
      </c>
      <c r="N13" s="128">
        <f>MAX(0,M13-M12)</f>
        <v/>
      </c>
      <c r="O13" s="127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7">
        <f>'CP RESUMO'!M36</f>
        <v/>
      </c>
      <c r="N14" s="128">
        <f>MAX(0,M14-M13)</f>
        <v/>
      </c>
      <c r="O14" s="127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RESUMO'!N36</f>
        <v/>
      </c>
      <c r="N15" s="128">
        <f>MAX(0,M15-M14)</f>
        <v/>
      </c>
      <c r="O15" s="127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RESUMO'!O36</f>
        <v/>
      </c>
      <c r="N16" s="128">
        <f>MAX(0,M16-M15)</f>
        <v/>
      </c>
      <c r="O16" s="127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RESUMO'!P36</f>
        <v/>
      </c>
      <c r="N17" s="128">
        <f>MAX(0,M17-M16)</f>
        <v/>
      </c>
      <c r="O17" s="127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RESUMO'!Q36</f>
        <v/>
      </c>
      <c r="N18" s="128">
        <f>MAX(0,M18-M17)</f>
        <v/>
      </c>
      <c r="O18" s="127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RESUMO'!R36</f>
        <v/>
      </c>
      <c r="N19" s="128">
        <f>MAX(0,M19-M18)</f>
        <v/>
      </c>
      <c r="O19" s="127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RESUMO'!S36</f>
        <v/>
      </c>
      <c r="N20" s="128">
        <f>MAX(0,M20-M19)</f>
        <v/>
      </c>
      <c r="O20" s="127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RESUMO'!T36</f>
        <v/>
      </c>
      <c r="N21" s="128">
        <f>MAX(0,M21-M20)</f>
        <v/>
      </c>
      <c r="O21" s="127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RESUMO'!U36</f>
        <v/>
      </c>
      <c r="N22" s="128">
        <f>MAX(0,M22-M21)</f>
        <v/>
      </c>
      <c r="O22" s="127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RESUMO'!V36</f>
        <v/>
      </c>
      <c r="N23" s="128">
        <f>MAX(0,M23-M22)</f>
        <v/>
      </c>
      <c r="O23" s="127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RESUMO'!W36</f>
        <v/>
      </c>
      <c r="N24" s="128">
        <f>MAX(0,M24-M23)</f>
        <v/>
      </c>
      <c r="O24" s="127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RESUMO'!X36</f>
        <v/>
      </c>
      <c r="N25" s="128">
        <f>MAX(0,M25-M24)</f>
        <v/>
      </c>
      <c r="O25" s="127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RESUMO'!Y36</f>
        <v/>
      </c>
      <c r="N26" s="128">
        <f>MAX(0,M26-M25)</f>
        <v/>
      </c>
      <c r="O26" s="127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RESUMO'!Z36</f>
        <v/>
      </c>
      <c r="N27" s="128">
        <f>MAX(0,M27-M26)</f>
        <v/>
      </c>
      <c r="O27" s="127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RESUMO'!AA36</f>
        <v/>
      </c>
      <c r="N28" s="128">
        <f>MAX(0,M28-M27)</f>
        <v/>
      </c>
      <c r="O28" s="127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RESUMO'!AB36</f>
        <v/>
      </c>
      <c r="N29" s="128">
        <f>MAX(0,M29-M28)</f>
        <v/>
      </c>
      <c r="O29" s="127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RESUMO'!AC36</f>
        <v/>
      </c>
      <c r="N30" s="128">
        <f>MAX(0,M30-M29)</f>
        <v/>
      </c>
      <c r="O30" s="127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RESUMO'!AD36</f>
        <v/>
      </c>
      <c r="N31" s="128">
        <f>MAX(0,M31-M30)</f>
        <v/>
      </c>
      <c r="O31" s="127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RESUMO'!AE36</f>
        <v/>
      </c>
      <c r="N32" s="128">
        <f>MAX(0,M32-M31)</f>
        <v/>
      </c>
      <c r="O32" s="127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RESUMO'!AF36</f>
        <v/>
      </c>
      <c r="N33" s="128">
        <f>MAX(0,M33-M32)</f>
        <v/>
      </c>
      <c r="O33" s="127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RESUMO'!AG36</f>
        <v/>
      </c>
      <c r="N34" s="128">
        <f>MAX(0,M34-M33)</f>
        <v/>
      </c>
      <c r="O34" s="127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RESUMO'!AH36</f>
        <v/>
      </c>
      <c r="N35" s="128">
        <f>MAX(0,M35-M34)</f>
        <v/>
      </c>
      <c r="O35" s="127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RESUMO'!AI36</f>
        <v/>
      </c>
      <c r="N36" s="128">
        <f>MAX(0,M36-M35)</f>
        <v/>
      </c>
      <c r="O36" s="127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RESUMO'!AJ36</f>
        <v/>
      </c>
      <c r="N37" s="128">
        <f>MAX(0,M37-M36)</f>
        <v/>
      </c>
      <c r="O37" s="127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RESUMO'!AK36</f>
        <v/>
      </c>
      <c r="N38" s="128">
        <f>MAX(0,M38-M37)</f>
        <v/>
      </c>
      <c r="O38" s="127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RESUMO'!AL36</f>
        <v/>
      </c>
      <c r="N39" s="128">
        <f>MAX(0,M39-M38)</f>
        <v/>
      </c>
      <c r="O39" s="127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RESUMO'!AM36</f>
        <v/>
      </c>
      <c r="N40" s="128">
        <f>MAX(0,M40-M39)</f>
        <v/>
      </c>
      <c r="O40" s="127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RESUMO'!AN36</f>
        <v/>
      </c>
      <c r="N41" s="128">
        <f>MAX(0,M41-M40)</f>
        <v/>
      </c>
      <c r="O41" s="127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RESUMO'!AO36</f>
        <v/>
      </c>
      <c r="N42" s="128">
        <f>MAX(0,M42-M41)</f>
        <v/>
      </c>
      <c r="O42" s="127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RESUMO'!AP36</f>
        <v/>
      </c>
      <c r="N43" s="128">
        <f>MAX(0,M43-M42)</f>
        <v/>
      </c>
      <c r="O43" s="127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RESUMO'!AQ36</f>
        <v/>
      </c>
      <c r="N44" s="128">
        <f>MAX(0,M44-M43)</f>
        <v/>
      </c>
      <c r="O44" s="127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RESUMO'!AR36</f>
        <v/>
      </c>
      <c r="N45" s="128">
        <f>MAX(0,M45-M44)</f>
        <v/>
      </c>
      <c r="O45" s="127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RESUMO'!AS36</f>
        <v/>
      </c>
      <c r="N46" s="128">
        <f>MAX(0,M46-M45)</f>
        <v/>
      </c>
      <c r="O46" s="127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RESUMO'!AT36</f>
        <v/>
      </c>
      <c r="N47" s="128">
        <f>MAX(0,M47-M46)</f>
        <v/>
      </c>
      <c r="O47" s="127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RESUMO'!AU36</f>
        <v/>
      </c>
      <c r="N48" s="128">
        <f>MAX(0,M48-M47)</f>
        <v/>
      </c>
      <c r="O48" s="127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RESUMO'!AV36</f>
        <v/>
      </c>
      <c r="N49" s="128">
        <f>MAX(0,M49-M48)</f>
        <v/>
      </c>
      <c r="O49" s="127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RESUMO'!AW36</f>
        <v/>
      </c>
      <c r="N50" s="128">
        <f>MAX(0,M50-M49)</f>
        <v/>
      </c>
      <c r="O50" s="127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RESUMO'!AX36</f>
        <v/>
      </c>
      <c r="N51" s="128">
        <f>MAX(0,M51-M50)</f>
        <v/>
      </c>
      <c r="O51" s="127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RESUMO'!AY36</f>
        <v/>
      </c>
      <c r="N52" s="128">
        <f>MAX(0,M52-M51)</f>
        <v/>
      </c>
      <c r="O52" s="127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RESUMO'!AZ36</f>
        <v/>
      </c>
      <c r="N53" s="128">
        <f>MAX(0,M53-M52)</f>
        <v/>
      </c>
      <c r="O53" s="127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RESUMO'!BA36</f>
        <v/>
      </c>
      <c r="N54" s="128">
        <f>MAX(0,M54-M53)</f>
        <v/>
      </c>
      <c r="O54" s="127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RESUMO'!BB36</f>
        <v/>
      </c>
      <c r="N55" s="128">
        <f>MAX(0,M55-M54)</f>
        <v/>
      </c>
      <c r="O55" s="127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RESUMO'!BC36</f>
        <v/>
      </c>
      <c r="N56" s="128">
        <f>MAX(0,M56-M55)</f>
        <v/>
      </c>
      <c r="O56" s="127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RESUMO'!BD36</f>
        <v/>
      </c>
      <c r="N57" s="128">
        <f>MAX(0,M57-M56)</f>
        <v/>
      </c>
      <c r="O57" s="127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RESUMO'!BE36</f>
        <v/>
      </c>
      <c r="N58" s="128">
        <f>MAX(0,M58-M57)</f>
        <v/>
      </c>
      <c r="O58" s="127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RESUMO'!BF36</f>
        <v/>
      </c>
      <c r="N59" s="128">
        <f>MAX(0,M59-M58)</f>
        <v/>
      </c>
      <c r="O59" s="127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RESUMO'!BG36</f>
        <v/>
      </c>
      <c r="N60" s="128">
        <f>MAX(0,M60-M59)</f>
        <v/>
      </c>
      <c r="O60" s="127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RESUMO'!BH36</f>
        <v/>
      </c>
      <c r="N61" s="128">
        <f>MAX(0,M61-M60)</f>
        <v/>
      </c>
      <c r="O61" s="127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RESUMO'!BI36</f>
        <v/>
      </c>
      <c r="N62" s="128">
        <f>MAX(0,M62-M61)</f>
        <v/>
      </c>
      <c r="O62" s="127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RESUMO'!BJ36</f>
        <v/>
      </c>
      <c r="N63" s="128">
        <f>MAX(0,M63-M62)</f>
        <v/>
      </c>
      <c r="O63" s="127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RESUMO'!BK36</f>
        <v/>
      </c>
      <c r="N64" s="128">
        <f>MAX(0,M64-M63)</f>
        <v/>
      </c>
      <c r="O64" s="127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RESUMO'!BL36</f>
        <v/>
      </c>
      <c r="N65" s="128">
        <f>MAX(0,M65-M64)</f>
        <v/>
      </c>
      <c r="O65" s="127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RESUMO'!BM36</f>
        <v/>
      </c>
      <c r="N66" s="128">
        <f>MAX(0,M66-M65)</f>
        <v/>
      </c>
      <c r="O66" s="127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RESUMO'!BN36</f>
        <v/>
      </c>
      <c r="N67" s="128">
        <f>MAX(0,M67-M66)</f>
        <v/>
      </c>
      <c r="O67" s="127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RESUMO'!BO36</f>
        <v/>
      </c>
      <c r="N68" s="128">
        <f>MAX(0,M68-M67)</f>
        <v/>
      </c>
      <c r="O68" s="127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RESUMO'!BP36</f>
        <v/>
      </c>
      <c r="N69" s="128">
        <f>MAX(0,M69-M68)</f>
        <v/>
      </c>
      <c r="O69" s="127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RESUMO'!BQ36</f>
        <v/>
      </c>
      <c r="N70" s="128">
        <f>MAX(0,M70-M69)</f>
        <v/>
      </c>
      <c r="O70" s="127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RESUMO'!BR36</f>
        <v/>
      </c>
      <c r="N71" s="128">
        <f>MAX(0,M71-M70)</f>
        <v/>
      </c>
      <c r="O71" s="127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RESUMO'!BS36</f>
        <v/>
      </c>
      <c r="N72" s="128">
        <f>MAX(0,M72-M71)</f>
        <v/>
      </c>
      <c r="O72" s="127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RESUMO'!BT36</f>
        <v/>
      </c>
      <c r="N73" s="128">
        <f>MAX(0,M73-M72)</f>
        <v/>
      </c>
      <c r="O73" s="127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RESUMO'!BU36</f>
        <v/>
      </c>
      <c r="N74" s="128">
        <f>MAX(0,M74-M73)</f>
        <v/>
      </c>
      <c r="O74" s="127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RESUMO'!BV36</f>
        <v/>
      </c>
      <c r="N75" s="128">
        <f>MAX(0,M75-M74)</f>
        <v/>
      </c>
      <c r="O75" s="127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RESUMO'!BW36</f>
        <v/>
      </c>
      <c r="N76" s="128">
        <f>MAX(0,M76-M75)</f>
        <v/>
      </c>
      <c r="O76" s="127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PL'!F43</f>
        <v/>
      </c>
      <c r="K5" s="108">
        <f>'VALOR POR PL'!G43</f>
        <v/>
      </c>
      <c r="M5" s="127">
        <f>'CP RESUMO'!D37</f>
        <v/>
      </c>
      <c r="N5" s="128" t="n">
        <v>0</v>
      </c>
      <c r="O5" s="127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RESUMO'!E37</f>
        <v/>
      </c>
      <c r="N6" s="128">
        <f>MAX(0,M6-M5)</f>
        <v/>
      </c>
      <c r="O6" s="127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PL'!L43</f>
        <v/>
      </c>
      <c r="M7" s="127">
        <f>'CP RESUMO'!F37</f>
        <v/>
      </c>
      <c r="N7" s="128">
        <f>MAX(0,M7-M6)</f>
        <v/>
      </c>
      <c r="O7" s="127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RESUMO'!G37</f>
        <v/>
      </c>
      <c r="N8" s="128">
        <f>MAX(0,M8-M7)</f>
        <v/>
      </c>
      <c r="O8" s="127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RESUMO'!H37</f>
        <v/>
      </c>
      <c r="N9" s="128">
        <f>MAX(0,M9-M8)</f>
        <v/>
      </c>
      <c r="O9" s="127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RESUMO'!I37</f>
        <v/>
      </c>
      <c r="N10" s="128">
        <f>MAX(0,M10-M9)</f>
        <v/>
      </c>
      <c r="O10" s="127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RESUMO'!J37</f>
        <v/>
      </c>
      <c r="N11" s="128">
        <f>MAX(0,M11-M10)</f>
        <v/>
      </c>
      <c r="O11" s="127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RESUMO'!K37</f>
        <v/>
      </c>
      <c r="N12" s="128">
        <f>MAX(0,M12-M11)</f>
        <v/>
      </c>
      <c r="O12" s="127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PL'!I43</f>
        <v/>
      </c>
      <c r="M13" s="127">
        <f>'CP RESUMO'!L37</f>
        <v/>
      </c>
      <c r="N13" s="128">
        <f>MAX(0,M13-M12)</f>
        <v/>
      </c>
      <c r="O13" s="127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7">
        <f>'CP RESUMO'!M37</f>
        <v/>
      </c>
      <c r="N14" s="128">
        <f>MAX(0,M14-M13)</f>
        <v/>
      </c>
      <c r="O14" s="127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RESUMO'!N37</f>
        <v/>
      </c>
      <c r="N15" s="128">
        <f>MAX(0,M15-M14)</f>
        <v/>
      </c>
      <c r="O15" s="127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RESUMO'!O37</f>
        <v/>
      </c>
      <c r="N16" s="128">
        <f>MAX(0,M16-M15)</f>
        <v/>
      </c>
      <c r="O16" s="127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RESUMO'!P37</f>
        <v/>
      </c>
      <c r="N17" s="128">
        <f>MAX(0,M17-M16)</f>
        <v/>
      </c>
      <c r="O17" s="127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RESUMO'!Q37</f>
        <v/>
      </c>
      <c r="N18" s="128">
        <f>MAX(0,M18-M17)</f>
        <v/>
      </c>
      <c r="O18" s="127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RESUMO'!R37</f>
        <v/>
      </c>
      <c r="N19" s="128">
        <f>MAX(0,M19-M18)</f>
        <v/>
      </c>
      <c r="O19" s="127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RESUMO'!S37</f>
        <v/>
      </c>
      <c r="N20" s="128">
        <f>MAX(0,M20-M19)</f>
        <v/>
      </c>
      <c r="O20" s="127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RESUMO'!T37</f>
        <v/>
      </c>
      <c r="N21" s="128">
        <f>MAX(0,M21-M20)</f>
        <v/>
      </c>
      <c r="O21" s="127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RESUMO'!U37</f>
        <v/>
      </c>
      <c r="N22" s="128">
        <f>MAX(0,M22-M21)</f>
        <v/>
      </c>
      <c r="O22" s="127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RESUMO'!V37</f>
        <v/>
      </c>
      <c r="N23" s="128">
        <f>MAX(0,M23-M22)</f>
        <v/>
      </c>
      <c r="O23" s="127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RESUMO'!W37</f>
        <v/>
      </c>
      <c r="N24" s="128">
        <f>MAX(0,M24-M23)</f>
        <v/>
      </c>
      <c r="O24" s="127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RESUMO'!X37</f>
        <v/>
      </c>
      <c r="N25" s="128">
        <f>MAX(0,M25-M24)</f>
        <v/>
      </c>
      <c r="O25" s="127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RESUMO'!Y37</f>
        <v/>
      </c>
      <c r="N26" s="128">
        <f>MAX(0,M26-M25)</f>
        <v/>
      </c>
      <c r="O26" s="127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RESUMO'!Z37</f>
        <v/>
      </c>
      <c r="N27" s="128">
        <f>MAX(0,M27-M26)</f>
        <v/>
      </c>
      <c r="O27" s="127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RESUMO'!AA37</f>
        <v/>
      </c>
      <c r="N28" s="128">
        <f>MAX(0,M28-M27)</f>
        <v/>
      </c>
      <c r="O28" s="127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RESUMO'!AB37</f>
        <v/>
      </c>
      <c r="N29" s="128">
        <f>MAX(0,M29-M28)</f>
        <v/>
      </c>
      <c r="O29" s="127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RESUMO'!AC37</f>
        <v/>
      </c>
      <c r="N30" s="128">
        <f>MAX(0,M30-M29)</f>
        <v/>
      </c>
      <c r="O30" s="127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RESUMO'!AD37</f>
        <v/>
      </c>
      <c r="N31" s="128">
        <f>MAX(0,M31-M30)</f>
        <v/>
      </c>
      <c r="O31" s="127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RESUMO'!AE37</f>
        <v/>
      </c>
      <c r="N32" s="128">
        <f>MAX(0,M32-M31)</f>
        <v/>
      </c>
      <c r="O32" s="127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RESUMO'!AF37</f>
        <v/>
      </c>
      <c r="N33" s="128">
        <f>MAX(0,M33-M32)</f>
        <v/>
      </c>
      <c r="O33" s="127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RESUMO'!AG37</f>
        <v/>
      </c>
      <c r="N34" s="128">
        <f>MAX(0,M34-M33)</f>
        <v/>
      </c>
      <c r="O34" s="127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RESUMO'!AH37</f>
        <v/>
      </c>
      <c r="N35" s="128">
        <f>MAX(0,M35-M34)</f>
        <v/>
      </c>
      <c r="O35" s="127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RESUMO'!AI37</f>
        <v/>
      </c>
      <c r="N36" s="128">
        <f>MAX(0,M36-M35)</f>
        <v/>
      </c>
      <c r="O36" s="127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RESUMO'!AJ37</f>
        <v/>
      </c>
      <c r="N37" s="128">
        <f>MAX(0,M37-M36)</f>
        <v/>
      </c>
      <c r="O37" s="127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RESUMO'!AK37</f>
        <v/>
      </c>
      <c r="N38" s="128">
        <f>MAX(0,M38-M37)</f>
        <v/>
      </c>
      <c r="O38" s="127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RESUMO'!AL37</f>
        <v/>
      </c>
      <c r="N39" s="128">
        <f>MAX(0,M39-M38)</f>
        <v/>
      </c>
      <c r="O39" s="127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RESUMO'!AM37</f>
        <v/>
      </c>
      <c r="N40" s="128">
        <f>MAX(0,M40-M39)</f>
        <v/>
      </c>
      <c r="O40" s="127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RESUMO'!AN37</f>
        <v/>
      </c>
      <c r="N41" s="128">
        <f>MAX(0,M41-M40)</f>
        <v/>
      </c>
      <c r="O41" s="127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RESUMO'!AO37</f>
        <v/>
      </c>
      <c r="N42" s="128">
        <f>MAX(0,M42-M41)</f>
        <v/>
      </c>
      <c r="O42" s="127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RESUMO'!AP37</f>
        <v/>
      </c>
      <c r="N43" s="128">
        <f>MAX(0,M43-M42)</f>
        <v/>
      </c>
      <c r="O43" s="127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RESUMO'!AQ37</f>
        <v/>
      </c>
      <c r="N44" s="128">
        <f>MAX(0,M44-M43)</f>
        <v/>
      </c>
      <c r="O44" s="127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RESUMO'!AR37</f>
        <v/>
      </c>
      <c r="N45" s="128">
        <f>MAX(0,M45-M44)</f>
        <v/>
      </c>
      <c r="O45" s="127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RESUMO'!AS37</f>
        <v/>
      </c>
      <c r="N46" s="128">
        <f>MAX(0,M46-M45)</f>
        <v/>
      </c>
      <c r="O46" s="127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RESUMO'!AT37</f>
        <v/>
      </c>
      <c r="N47" s="128">
        <f>MAX(0,M47-M46)</f>
        <v/>
      </c>
      <c r="O47" s="127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RESUMO'!AU37</f>
        <v/>
      </c>
      <c r="N48" s="128">
        <f>MAX(0,M48-M47)</f>
        <v/>
      </c>
      <c r="O48" s="127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RESUMO'!AV37</f>
        <v/>
      </c>
      <c r="N49" s="128">
        <f>MAX(0,M49-M48)</f>
        <v/>
      </c>
      <c r="O49" s="127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RESUMO'!AW37</f>
        <v/>
      </c>
      <c r="N50" s="128">
        <f>MAX(0,M50-M49)</f>
        <v/>
      </c>
      <c r="O50" s="127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RESUMO'!AX37</f>
        <v/>
      </c>
      <c r="N51" s="128">
        <f>MAX(0,M51-M50)</f>
        <v/>
      </c>
      <c r="O51" s="127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RESUMO'!AY37</f>
        <v/>
      </c>
      <c r="N52" s="128">
        <f>MAX(0,M52-M51)</f>
        <v/>
      </c>
      <c r="O52" s="127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RESUMO'!AZ37</f>
        <v/>
      </c>
      <c r="N53" s="128">
        <f>MAX(0,M53-M52)</f>
        <v/>
      </c>
      <c r="O53" s="127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RESUMO'!BA37</f>
        <v/>
      </c>
      <c r="N54" s="128">
        <f>MAX(0,M54-M53)</f>
        <v/>
      </c>
      <c r="O54" s="127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RESUMO'!BB37</f>
        <v/>
      </c>
      <c r="N55" s="128">
        <f>MAX(0,M55-M54)</f>
        <v/>
      </c>
      <c r="O55" s="127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RESUMO'!BC37</f>
        <v/>
      </c>
      <c r="N56" s="128">
        <f>MAX(0,M56-M55)</f>
        <v/>
      </c>
      <c r="O56" s="127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RESUMO'!BD37</f>
        <v/>
      </c>
      <c r="N57" s="128">
        <f>MAX(0,M57-M56)</f>
        <v/>
      </c>
      <c r="O57" s="127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RESUMO'!BE37</f>
        <v/>
      </c>
      <c r="N58" s="128">
        <f>MAX(0,M58-M57)</f>
        <v/>
      </c>
      <c r="O58" s="127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RESUMO'!BF37</f>
        <v/>
      </c>
      <c r="N59" s="128">
        <f>MAX(0,M59-M58)</f>
        <v/>
      </c>
      <c r="O59" s="127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RESUMO'!BG37</f>
        <v/>
      </c>
      <c r="N60" s="128">
        <f>MAX(0,M60-M59)</f>
        <v/>
      </c>
      <c r="O60" s="127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RESUMO'!BH37</f>
        <v/>
      </c>
      <c r="N61" s="128">
        <f>MAX(0,M61-M60)</f>
        <v/>
      </c>
      <c r="O61" s="127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RESUMO'!BI37</f>
        <v/>
      </c>
      <c r="N62" s="128">
        <f>MAX(0,M62-M61)</f>
        <v/>
      </c>
      <c r="O62" s="127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RESUMO'!BJ37</f>
        <v/>
      </c>
      <c r="N63" s="128">
        <f>MAX(0,M63-M62)</f>
        <v/>
      </c>
      <c r="O63" s="127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RESUMO'!BK37</f>
        <v/>
      </c>
      <c r="N64" s="128">
        <f>MAX(0,M64-M63)</f>
        <v/>
      </c>
      <c r="O64" s="127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RESUMO'!BL37</f>
        <v/>
      </c>
      <c r="N65" s="128">
        <f>MAX(0,M65-M64)</f>
        <v/>
      </c>
      <c r="O65" s="127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RESUMO'!BM37</f>
        <v/>
      </c>
      <c r="N66" s="128">
        <f>MAX(0,M66-M65)</f>
        <v/>
      </c>
      <c r="O66" s="127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RESUMO'!BN37</f>
        <v/>
      </c>
      <c r="N67" s="128">
        <f>MAX(0,M67-M66)</f>
        <v/>
      </c>
      <c r="O67" s="127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RESUMO'!BO37</f>
        <v/>
      </c>
      <c r="N68" s="128">
        <f>MAX(0,M68-M67)</f>
        <v/>
      </c>
      <c r="O68" s="127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RESUMO'!BP37</f>
        <v/>
      </c>
      <c r="N69" s="128">
        <f>MAX(0,M69-M68)</f>
        <v/>
      </c>
      <c r="O69" s="127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RESUMO'!BQ37</f>
        <v/>
      </c>
      <c r="N70" s="128">
        <f>MAX(0,M70-M69)</f>
        <v/>
      </c>
      <c r="O70" s="127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RESUMO'!BR37</f>
        <v/>
      </c>
      <c r="N71" s="128">
        <f>MAX(0,M71-M70)</f>
        <v/>
      </c>
      <c r="O71" s="127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RESUMO'!BS37</f>
        <v/>
      </c>
      <c r="N72" s="128">
        <f>MAX(0,M72-M71)</f>
        <v/>
      </c>
      <c r="O72" s="127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RESUMO'!BT37</f>
        <v/>
      </c>
      <c r="N73" s="128">
        <f>MAX(0,M73-M72)</f>
        <v/>
      </c>
      <c r="O73" s="127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RESUMO'!BU37</f>
        <v/>
      </c>
      <c r="N74" s="128">
        <f>MAX(0,M74-M73)</f>
        <v/>
      </c>
      <c r="O74" s="127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RESUMO'!BV37</f>
        <v/>
      </c>
      <c r="N75" s="128">
        <f>MAX(0,M75-M74)</f>
        <v/>
      </c>
      <c r="O75" s="127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RESUMO'!BW37</f>
        <v/>
      </c>
      <c r="N76" s="128">
        <f>MAX(0,M76-M75)</f>
        <v/>
      </c>
      <c r="O76" s="127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HISTORICOS'!D38</f>
        <v/>
      </c>
      <c r="D5" s="50">
        <f>IF(B5&lt;='VALOR POR PL'!$P$5,0,IF($K$16="MDO PREVISION + MATERIAL PREMISSA",R5+U5,IF($K$17&gt;0,$K$18*P5/$K$17,0)))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PL'!F44</f>
        <v/>
      </c>
      <c r="K5" s="108">
        <f>'VALOR POR PL'!G44</f>
        <v/>
      </c>
      <c r="M5" s="127">
        <f>'CP RESUMO'!D38</f>
        <v/>
      </c>
      <c r="N5" s="128" t="n">
        <v>0</v>
      </c>
      <c r="O5" s="127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8">
        <f>(IF(AND(1+$K$33&gt;=1,1+$K$33&lt;=72),INDEX($N$5:$N$76,1+$K$33),0)+IF(AND(1+$K$34&gt;=1,1+$K$34&lt;=72),INDEX($N$5:$N$76,1+$K$34),0)+IF(AND(1+$K$35&gt;=1,1+$K$35&lt;=72),INDEX($N$5:$N$76,1+$K$35),0))/3</f>
        <v/>
      </c>
      <c r="T5" s="12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29">
        <f>DATE(YEAR(B5),MONTH(B5)+1,1)</f>
        <v/>
      </c>
      <c r="C6" s="108">
        <f>'DADOS HISTORICOS'!E38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RESUMO'!E38</f>
        <v/>
      </c>
      <c r="N6" s="128">
        <f>MAX(0,M6-M5)</f>
        <v/>
      </c>
      <c r="O6" s="127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8">
        <f>(IF(AND(2+$K$33&gt;=1,2+$K$33&lt;=72),INDEX($N$5:$N$76,2+$K$33),0)+IF(AND(2+$K$34&gt;=1,2+$K$34&lt;=72),INDEX($N$5:$N$76,2+$K$34),0)+IF(AND(2+$K$35&gt;=1,2+$K$35&lt;=72),INDEX($N$5:$N$76,2+$K$35),0))/3</f>
        <v/>
      </c>
      <c r="T6" s="12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29">
        <f>DATE(YEAR(B6),MONTH(B6)+1,1)</f>
        <v/>
      </c>
      <c r="C7" s="108">
        <f>'DADOS HISTORICOS'!F38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PL'!L44</f>
        <v/>
      </c>
      <c r="M7" s="127">
        <f>'CP RESUMO'!F38</f>
        <v/>
      </c>
      <c r="N7" s="128">
        <f>MAX(0,M7-M6)</f>
        <v/>
      </c>
      <c r="O7" s="127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8">
        <f>(IF(AND(3+$K$33&gt;=1,3+$K$33&lt;=72),INDEX($N$5:$N$76,3+$K$33),0)+IF(AND(3+$K$34&gt;=1,3+$K$34&lt;=72),INDEX($N$5:$N$76,3+$K$34),0)+IF(AND(3+$K$35&gt;=1,3+$K$35&lt;=72),INDEX($N$5:$N$76,3+$K$35),0))/3</f>
        <v/>
      </c>
      <c r="T7" s="12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29">
        <f>DATE(YEAR(B7),MONTH(B7)+1,1)</f>
        <v/>
      </c>
      <c r="C8" s="108">
        <f>'DADOS HISTORICOS'!G38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RESUMO'!G38</f>
        <v/>
      </c>
      <c r="N8" s="128">
        <f>MAX(0,M8-M7)</f>
        <v/>
      </c>
      <c r="O8" s="127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8">
        <f>(IF(AND(4+$K$33&gt;=1,4+$K$33&lt;=72),INDEX($N$5:$N$76,4+$K$33),0)+IF(AND(4+$K$34&gt;=1,4+$K$34&lt;=72),INDEX($N$5:$N$76,4+$K$34),0)+IF(AND(4+$K$35&gt;=1,4+$K$35&lt;=72),INDEX($N$5:$N$76,4+$K$35),0))/3</f>
        <v/>
      </c>
      <c r="T8" s="12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29">
        <f>DATE(YEAR(B8),MONTH(B8)+1,1)</f>
        <v/>
      </c>
      <c r="C9" s="108">
        <f>'DADOS HISTORICOS'!H38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RESUMO'!H38</f>
        <v/>
      </c>
      <c r="N9" s="128">
        <f>MAX(0,M9-M8)</f>
        <v/>
      </c>
      <c r="O9" s="127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8">
        <f>(IF(AND(5+$K$33&gt;=1,5+$K$33&lt;=72),INDEX($N$5:$N$76,5+$K$33),0)+IF(AND(5+$K$34&gt;=1,5+$K$34&lt;=72),INDEX($N$5:$N$76,5+$K$34),0)+IF(AND(5+$K$35&gt;=1,5+$K$35&lt;=72),INDEX($N$5:$N$76,5+$K$35),0))/3</f>
        <v/>
      </c>
      <c r="T9" s="12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29">
        <f>DATE(YEAR(B9),MONTH(B9)+1,1)</f>
        <v/>
      </c>
      <c r="C10" s="108">
        <f>'DADOS HISTORICOS'!I38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RESUMO'!I38</f>
        <v/>
      </c>
      <c r="N10" s="128">
        <f>MAX(0,M10-M9)</f>
        <v/>
      </c>
      <c r="O10" s="127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8">
        <f>(IF(AND(6+$K$33&gt;=1,6+$K$33&lt;=72),INDEX($N$5:$N$76,6+$K$33),0)+IF(AND(6+$K$34&gt;=1,6+$K$34&lt;=72),INDEX($N$5:$N$76,6+$K$34),0)+IF(AND(6+$K$35&gt;=1,6+$K$35&lt;=72),INDEX($N$5:$N$76,6+$K$35),0))/3</f>
        <v/>
      </c>
      <c r="T10" s="12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29">
        <f>DATE(YEAR(B10),MONTH(B10)+1,1)</f>
        <v/>
      </c>
      <c r="C11" s="108">
        <f>'DADOS HISTORICOS'!J38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RESUMO'!J38</f>
        <v/>
      </c>
      <c r="N11" s="128">
        <f>MAX(0,M11-M10)</f>
        <v/>
      </c>
      <c r="O11" s="127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8">
        <f>(IF(AND(7+$K$33&gt;=1,7+$K$33&lt;=72),INDEX($N$5:$N$76,7+$K$33),0)+IF(AND(7+$K$34&gt;=1,7+$K$34&lt;=72),INDEX($N$5:$N$76,7+$K$34),0)+IF(AND(7+$K$35&gt;=1,7+$K$35&lt;=72),INDEX($N$5:$N$76,7+$K$35),0))/3</f>
        <v/>
      </c>
      <c r="T11" s="12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29">
        <f>DATE(YEAR(B11),MONTH(B11)+1,1)</f>
        <v/>
      </c>
      <c r="C12" s="108">
        <f>'DADOS HISTORICOS'!K38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RESUMO'!K38</f>
        <v/>
      </c>
      <c r="N12" s="128">
        <f>MAX(0,M12-M11)</f>
        <v/>
      </c>
      <c r="O12" s="127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8">
        <f>(IF(AND(8+$K$33&gt;=1,8+$K$33&lt;=72),INDEX($N$5:$N$76,8+$K$33),0)+IF(AND(8+$K$34&gt;=1,8+$K$34&lt;=72),INDEX($N$5:$N$76,8+$K$34),0)+IF(AND(8+$K$35&gt;=1,8+$K$35&lt;=72),INDEX($N$5:$N$76,8+$K$35),0))/3</f>
        <v/>
      </c>
      <c r="T12" s="12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29">
        <f>DATE(YEAR(B12),MONTH(B12)+1,1)</f>
        <v/>
      </c>
      <c r="C13" s="108">
        <f>'DADOS HISTORICOS'!L38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PL'!I44</f>
        <v/>
      </c>
      <c r="M13" s="127">
        <f>'CP RESUMO'!L38</f>
        <v/>
      </c>
      <c r="N13" s="128">
        <f>MAX(0,M13-M12)</f>
        <v/>
      </c>
      <c r="O13" s="127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8">
        <f>(IF(AND(9+$K$33&gt;=1,9+$K$33&lt;=72),INDEX($N$5:$N$76,9+$K$33),0)+IF(AND(9+$K$34&gt;=1,9+$K$34&lt;=72),INDEX($N$5:$N$76,9+$K$34),0)+IF(AND(9+$K$35&gt;=1,9+$K$35&lt;=72),INDEX($N$5:$N$76,9+$K$35),0))/3</f>
        <v/>
      </c>
      <c r="T13" s="12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29">
        <f>DATE(YEAR(B13),MONTH(B13)+1,1)</f>
        <v/>
      </c>
      <c r="C14" s="108">
        <f>'DADOS HISTORICOS'!M38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7">
        <f>'CP RESUMO'!M38</f>
        <v/>
      </c>
      <c r="N14" s="128">
        <f>MAX(0,M14-M13)</f>
        <v/>
      </c>
      <c r="O14" s="127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8">
        <f>(IF(AND(10+$K$33&gt;=1,10+$K$33&lt;=72),INDEX($N$5:$N$76,10+$K$33),0)+IF(AND(10+$K$34&gt;=1,10+$K$34&lt;=72),INDEX($N$5:$N$76,10+$K$34),0)+IF(AND(10+$K$35&gt;=1,10+$K$35&lt;=72),INDEX($N$5:$N$76,10+$K$35),0))/3</f>
        <v/>
      </c>
      <c r="T14" s="12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29">
        <f>DATE(YEAR(B14),MONTH(B14)+1,1)</f>
        <v/>
      </c>
      <c r="C15" s="108">
        <f>'DADOS HISTORICOS'!N38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MDO PREVISION + MATERIAL PREMISSA</t>
        </is>
      </c>
      <c r="M15" s="127">
        <f>'CP RESUMO'!N38</f>
        <v/>
      </c>
      <c r="N15" s="128">
        <f>MAX(0,M15-M14)</f>
        <v/>
      </c>
      <c r="O15" s="127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8">
        <f>(IF(AND(11+$K$33&gt;=1,11+$K$33&lt;=72),INDEX($N$5:$N$76,11+$K$33),0)+IF(AND(11+$K$34&gt;=1,11+$K$34&lt;=72),INDEX($N$5:$N$76,11+$K$34),0)+IF(AND(11+$K$35&gt;=1,11+$K$35&lt;=72),INDEX($N$5:$N$76,11+$K$35),0))/3</f>
        <v/>
      </c>
      <c r="T15" s="12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29">
        <f>DATE(YEAR(B15),MONTH(B15)+1,1)</f>
        <v/>
      </c>
      <c r="C16" s="108">
        <f>'DADOS HISTORICOS'!O38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7">
        <f>'CP RESUMO'!O38</f>
        <v/>
      </c>
      <c r="N16" s="128">
        <f>MAX(0,M16-M15)</f>
        <v/>
      </c>
      <c r="O16" s="127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8">
        <f>(IF(AND(12+$K$33&gt;=1,12+$K$33&lt;=72),INDEX($N$5:$N$76,12+$K$33),0)+IF(AND(12+$K$34&gt;=1,12+$K$34&lt;=72),INDEX($N$5:$N$76,12+$K$34),0)+IF(AND(12+$K$35&gt;=1,12+$K$35&lt;=72),INDEX($N$5:$N$76,12+$K$35),0))/3</f>
        <v/>
      </c>
      <c r="T16" s="12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29">
        <f>DATE(YEAR(B16),MONTH(B16)+1,1)</f>
        <v/>
      </c>
      <c r="C17" s="108">
        <f>'DADOS HISTORICOS'!P38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RESUMO'!P38</f>
        <v/>
      </c>
      <c r="N17" s="128">
        <f>MAX(0,M17-M16)</f>
        <v/>
      </c>
      <c r="O17" s="127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8">
        <f>(IF(AND(13+$K$33&gt;=1,13+$K$33&lt;=72),INDEX($N$5:$N$76,13+$K$33),0)+IF(AND(13+$K$34&gt;=1,13+$K$34&lt;=72),INDEX($N$5:$N$76,13+$K$34),0)+IF(AND(13+$K$35&gt;=1,13+$K$35&lt;=72),INDEX($N$5:$N$76,13+$K$35),0))/3</f>
        <v/>
      </c>
      <c r="T17" s="12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29">
        <f>DATE(YEAR(B17),MONTH(B17)+1,1)</f>
        <v/>
      </c>
      <c r="C18" s="108">
        <f>'DADOS HISTORICOS'!Q38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RESUMO'!Q38</f>
        <v/>
      </c>
      <c r="N18" s="128">
        <f>MAX(0,M18-M17)</f>
        <v/>
      </c>
      <c r="O18" s="127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8">
        <f>(IF(AND(14+$K$33&gt;=1,14+$K$33&lt;=72),INDEX($N$5:$N$76,14+$K$33),0)+IF(AND(14+$K$34&gt;=1,14+$K$34&lt;=72),INDEX($N$5:$N$76,14+$K$34),0)+IF(AND(14+$K$35&gt;=1,14+$K$35&lt;=72),INDEX($N$5:$N$76,14+$K$35),0))/3</f>
        <v/>
      </c>
      <c r="T18" s="12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29">
        <f>DATE(YEAR(B18),MONTH(B18)+1,1)</f>
        <v/>
      </c>
      <c r="C19" s="108">
        <f>'DADOS HISTORICOS'!R38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RESUMO'!R38</f>
        <v/>
      </c>
      <c r="N19" s="128">
        <f>MAX(0,M19-M18)</f>
        <v/>
      </c>
      <c r="O19" s="127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8">
        <f>(IF(AND(15+$K$33&gt;=1,15+$K$33&lt;=72),INDEX($N$5:$N$76,15+$K$33),0)+IF(AND(15+$K$34&gt;=1,15+$K$34&lt;=72),INDEX($N$5:$N$76,15+$K$34),0)+IF(AND(15+$K$35&gt;=1,15+$K$35&lt;=72),INDEX($N$5:$N$76,15+$K$35),0))/3</f>
        <v/>
      </c>
      <c r="T19" s="12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29">
        <f>DATE(YEAR(B19),MONTH(B19)+1,1)</f>
        <v/>
      </c>
      <c r="C20" s="108">
        <f>'DADOS HISTORICOS'!S38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RESUMO'!S38</f>
        <v/>
      </c>
      <c r="N20" s="128">
        <f>MAX(0,M20-M19)</f>
        <v/>
      </c>
      <c r="O20" s="127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8">
        <f>(IF(AND(16+$K$33&gt;=1,16+$K$33&lt;=72),INDEX($N$5:$N$76,16+$K$33),0)+IF(AND(16+$K$34&gt;=1,16+$K$34&lt;=72),INDEX($N$5:$N$76,16+$K$34),0)+IF(AND(16+$K$35&gt;=1,16+$K$35&lt;=72),INDEX($N$5:$N$76,16+$K$35),0))/3</f>
        <v/>
      </c>
      <c r="T20" s="12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29">
        <f>DATE(YEAR(B20),MONTH(B20)+1,1)</f>
        <v/>
      </c>
      <c r="C21" s="108">
        <f>'DADOS HISTORICOS'!T38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RESUMO'!T38</f>
        <v/>
      </c>
      <c r="N21" s="128">
        <f>MAX(0,M21-M20)</f>
        <v/>
      </c>
      <c r="O21" s="127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8">
        <f>(IF(AND(17+$K$33&gt;=1,17+$K$33&lt;=72),INDEX($N$5:$N$76,17+$K$33),0)+IF(AND(17+$K$34&gt;=1,17+$K$34&lt;=72),INDEX($N$5:$N$76,17+$K$34),0)+IF(AND(17+$K$35&gt;=1,17+$K$35&lt;=72),INDEX($N$5:$N$76,17+$K$35),0))/3</f>
        <v/>
      </c>
      <c r="T21" s="12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29">
        <f>DATE(YEAR(B21),MONTH(B21)+1,1)</f>
        <v/>
      </c>
      <c r="C22" s="108">
        <f>'DADOS HISTORICOS'!U38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RESUMO'!U38</f>
        <v/>
      </c>
      <c r="N22" s="128">
        <f>MAX(0,M22-M21)</f>
        <v/>
      </c>
      <c r="O22" s="127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8">
        <f>(IF(AND(18+$K$33&gt;=1,18+$K$33&lt;=72),INDEX($N$5:$N$76,18+$K$33),0)+IF(AND(18+$K$34&gt;=1,18+$K$34&lt;=72),INDEX($N$5:$N$76,18+$K$34),0)+IF(AND(18+$K$35&gt;=1,18+$K$35&lt;=72),INDEX($N$5:$N$76,18+$K$35),0))/3</f>
        <v/>
      </c>
      <c r="T22" s="12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29">
        <f>DATE(YEAR(B22),MONTH(B22)+1,1)</f>
        <v/>
      </c>
      <c r="C23" s="108">
        <f>'DADOS HISTORICOS'!V38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RESUMO'!V38</f>
        <v/>
      </c>
      <c r="N23" s="128">
        <f>MAX(0,M23-M22)</f>
        <v/>
      </c>
      <c r="O23" s="127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8">
        <f>(IF(AND(19+$K$33&gt;=1,19+$K$33&lt;=72),INDEX($N$5:$N$76,19+$K$33),0)+IF(AND(19+$K$34&gt;=1,19+$K$34&lt;=72),INDEX($N$5:$N$76,19+$K$34),0)+IF(AND(19+$K$35&gt;=1,19+$K$35&lt;=72),INDEX($N$5:$N$76,19+$K$35),0))/3</f>
        <v/>
      </c>
      <c r="T23" s="12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29">
        <f>DATE(YEAR(B23),MONTH(B23)+1,1)</f>
        <v/>
      </c>
      <c r="C24" s="108">
        <f>'DADOS HISTORICOS'!W38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Saldo dividido: MDO segue a curva do Prevision; material segue a premissa (pedido antecipado, pagamento 28/56/84 dias).</t>
        </is>
      </c>
      <c r="M24" s="127">
        <f>'CP RESUMO'!W38</f>
        <v/>
      </c>
      <c r="N24" s="128">
        <f>MAX(0,M24-M23)</f>
        <v/>
      </c>
      <c r="O24" s="127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8">
        <f>(IF(AND(20+$K$33&gt;=1,20+$K$33&lt;=72),INDEX($N$5:$N$76,20+$K$33),0)+IF(AND(20+$K$34&gt;=1,20+$K$34&lt;=72),INDEX($N$5:$N$76,20+$K$34),0)+IF(AND(20+$K$35&gt;=1,20+$K$35&lt;=72),INDEX($N$5:$N$76,20+$K$35),0))/3</f>
        <v/>
      </c>
      <c r="T24" s="12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29">
        <f>DATE(YEAR(B24),MONTH(B24)+1,1)</f>
        <v/>
      </c>
      <c r="C25" s="108">
        <f>'DADOS HISTORICOS'!X38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I25" s="65" t="inlineStr">
        <is>
          <t>DIVISÃO MDO × MATERIAL</t>
        </is>
      </c>
      <c r="J25" s="66" t="n"/>
      <c r="K25" s="67" t="n"/>
      <c r="M25" s="127">
        <f>'CP RESUMO'!X38</f>
        <v/>
      </c>
      <c r="N25" s="128">
        <f>MAX(0,M25-M24)</f>
        <v/>
      </c>
      <c r="O25" s="127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8">
        <f>(IF(AND(21+$K$33&gt;=1,21+$K$33&lt;=72),INDEX($N$5:$N$76,21+$K$33),0)+IF(AND(21+$K$34&gt;=1,21+$K$34&lt;=72),INDEX($N$5:$N$76,21+$K$34),0)+IF(AND(21+$K$35&gt;=1,21+$K$35&lt;=72),INDEX($N$5:$N$76,21+$K$35),0))/3</f>
        <v/>
      </c>
      <c r="T25" s="12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29">
        <f>DATE(YEAR(B25),MONTH(B25)+1,1)</f>
        <v/>
      </c>
      <c r="C26" s="108">
        <f>'DADOS HISTORICOS'!Y38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I26" s="47" t="inlineStr">
        <is>
          <t>% MÃO DE OBRA (segue a curva do Prevision)</t>
        </is>
      </c>
      <c r="K26" s="56" t="n">
        <v>0.4</v>
      </c>
      <c r="M26" s="127">
        <f>'CP RESUMO'!Y38</f>
        <v/>
      </c>
      <c r="N26" s="128">
        <f>MAX(0,M26-M25)</f>
        <v/>
      </c>
      <c r="O26" s="127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8">
        <f>(IF(AND(22+$K$33&gt;=1,22+$K$33&lt;=72),INDEX($N$5:$N$76,22+$K$33),0)+IF(AND(22+$K$34&gt;=1,22+$K$34&lt;=72),INDEX($N$5:$N$76,22+$K$34),0)+IF(AND(22+$K$35&gt;=1,22+$K$35&lt;=72),INDEX($N$5:$N$76,22+$K$35),0))/3</f>
        <v/>
      </c>
      <c r="T26" s="12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29">
        <f>DATE(YEAR(B26),MONTH(B26)+1,1)</f>
        <v/>
      </c>
      <c r="C27" s="108">
        <f>'DADOS HISTORICOS'!Z38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I27" s="47" t="inlineStr">
        <is>
          <t>% MATERIAL (segue a premissa)</t>
        </is>
      </c>
      <c r="K27" s="137">
        <f>1-K26</f>
        <v/>
      </c>
      <c r="M27" s="127">
        <f>'CP RESUMO'!Z38</f>
        <v/>
      </c>
      <c r="N27" s="128">
        <f>MAX(0,M27-M26)</f>
        <v/>
      </c>
      <c r="O27" s="127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8">
        <f>(IF(AND(23+$K$33&gt;=1,23+$K$33&lt;=72),INDEX($N$5:$N$76,23+$K$33),0)+IF(AND(23+$K$34&gt;=1,23+$K$34&lt;=72),INDEX($N$5:$N$76,23+$K$34),0)+IF(AND(23+$K$35&gt;=1,23+$K$35&lt;=72),INDEX($N$5:$N$76,23+$K$35),0))/3</f>
        <v/>
      </c>
      <c r="T27" s="12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29">
        <f>DATE(YEAR(B27),MONTH(B27)+1,1)</f>
        <v/>
      </c>
      <c r="C28" s="108">
        <f>'DADOS HISTORICOS'!AA38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I28" s="47" t="inlineStr">
        <is>
          <t>ANTECEDÊNCIA DO PEDIDO (dias antes da instalação)</t>
        </is>
      </c>
      <c r="K28" s="138" t="n">
        <v>180</v>
      </c>
      <c r="M28" s="127">
        <f>'CP RESUMO'!AA38</f>
        <v/>
      </c>
      <c r="N28" s="128">
        <f>MAX(0,M28-M27)</f>
        <v/>
      </c>
      <c r="O28" s="127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8">
        <f>(IF(AND(24+$K$33&gt;=1,24+$K$33&lt;=72),INDEX($N$5:$N$76,24+$K$33),0)+IF(AND(24+$K$34&gt;=1,24+$K$34&lt;=72),INDEX($N$5:$N$76,24+$K$34),0)+IF(AND(24+$K$35&gt;=1,24+$K$35&lt;=72),INDEX($N$5:$N$76,24+$K$35),0))/3</f>
        <v/>
      </c>
      <c r="T28" s="12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29">
        <f>DATE(YEAR(B28),MONTH(B28)+1,1)</f>
        <v/>
      </c>
      <c r="C29" s="108">
        <f>'DADOS HISTORICOS'!AB38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I29" s="47" t="inlineStr">
        <is>
          <t>1ª PARCELA (dias após o pedido)</t>
        </is>
      </c>
      <c r="K29" s="138" t="n">
        <v>28</v>
      </c>
      <c r="M29" s="127">
        <f>'CP RESUMO'!AB38</f>
        <v/>
      </c>
      <c r="N29" s="128">
        <f>MAX(0,M29-M28)</f>
        <v/>
      </c>
      <c r="O29" s="127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8">
        <f>(IF(AND(25+$K$33&gt;=1,25+$K$33&lt;=72),INDEX($N$5:$N$76,25+$K$33),0)+IF(AND(25+$K$34&gt;=1,25+$K$34&lt;=72),INDEX($N$5:$N$76,25+$K$34),0)+IF(AND(25+$K$35&gt;=1,25+$K$35&lt;=72),INDEX($N$5:$N$76,25+$K$35),0))/3</f>
        <v/>
      </c>
      <c r="T29" s="12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29">
        <f>DATE(YEAR(B29),MONTH(B29)+1,1)</f>
        <v/>
      </c>
      <c r="C30" s="108">
        <f>'DADOS HISTORICOS'!AC38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I30" s="47" t="inlineStr">
        <is>
          <t>2ª PARCELA (dias após o pedido)</t>
        </is>
      </c>
      <c r="K30" s="138" t="n">
        <v>56</v>
      </c>
      <c r="M30" s="127">
        <f>'CP RESUMO'!AC38</f>
        <v/>
      </c>
      <c r="N30" s="128">
        <f>MAX(0,M30-M29)</f>
        <v/>
      </c>
      <c r="O30" s="127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8">
        <f>(IF(AND(26+$K$33&gt;=1,26+$K$33&lt;=72),INDEX($N$5:$N$76,26+$K$33),0)+IF(AND(26+$K$34&gt;=1,26+$K$34&lt;=72),INDEX($N$5:$N$76,26+$K$34),0)+IF(AND(26+$K$35&gt;=1,26+$K$35&lt;=72),INDEX($N$5:$N$76,26+$K$35),0))/3</f>
        <v/>
      </c>
      <c r="T30" s="12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29">
        <f>DATE(YEAR(B30),MONTH(B30)+1,1)</f>
        <v/>
      </c>
      <c r="C31" s="108">
        <f>'DADOS HISTORICOS'!AD38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I31" s="47" t="inlineStr">
        <is>
          <t>3ª PARCELA (dias após o pedido)</t>
        </is>
      </c>
      <c r="K31" s="138" t="n">
        <v>84</v>
      </c>
      <c r="M31" s="127">
        <f>'CP RESUMO'!AD38</f>
        <v/>
      </c>
      <c r="N31" s="128">
        <f>MAX(0,M31-M30)</f>
        <v/>
      </c>
      <c r="O31" s="127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8">
        <f>(IF(AND(27+$K$33&gt;=1,27+$K$33&lt;=72),INDEX($N$5:$N$76,27+$K$33),0)+IF(AND(27+$K$34&gt;=1,27+$K$34&lt;=72),INDEX($N$5:$N$76,27+$K$34),0)+IF(AND(27+$K$35&gt;=1,27+$K$35&lt;=72),INDEX($N$5:$N$76,27+$K$35),0))/3</f>
        <v/>
      </c>
      <c r="T31" s="12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29">
        <f>DATE(YEAR(B31),MONTH(B31)+1,1)</f>
        <v/>
      </c>
      <c r="C32" s="108">
        <f>'DADOS HISTORICOS'!AE38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I32" s="47" t="inlineStr">
        <is>
          <t>Σ PESOS DO MATERIAL (meses futuros)</t>
        </is>
      </c>
      <c r="K32" s="128">
        <f>SUM(T5:T76)</f>
        <v/>
      </c>
      <c r="M32" s="127">
        <f>'CP RESUMO'!AE38</f>
        <v/>
      </c>
      <c r="N32" s="128">
        <f>MAX(0,M32-M31)</f>
        <v/>
      </c>
      <c r="O32" s="127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8">
        <f>(IF(AND(28+$K$33&gt;=1,28+$K$33&lt;=72),INDEX($N$5:$N$76,28+$K$33),0)+IF(AND(28+$K$34&gt;=1,28+$K$34&lt;=72),INDEX($N$5:$N$76,28+$K$34),0)+IF(AND(28+$K$35&gt;=1,28+$K$35&lt;=72),INDEX($N$5:$N$76,28+$K$35),0))/3</f>
        <v/>
      </c>
      <c r="T32" s="12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29">
        <f>DATE(YEAR(B32),MONTH(B32)+1,1)</f>
        <v/>
      </c>
      <c r="C33" s="108">
        <f>'DADOS HISTORICOS'!AF38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I33" s="47" t="inlineStr">
        <is>
          <t>Parcela 1 paga X meses antes da instalação</t>
        </is>
      </c>
      <c r="K33" s="68">
        <f>ROUND((K28-K29)/30,0)</f>
        <v/>
      </c>
      <c r="M33" s="127">
        <f>'CP RESUMO'!AF38</f>
        <v/>
      </c>
      <c r="N33" s="128">
        <f>MAX(0,M33-M32)</f>
        <v/>
      </c>
      <c r="O33" s="127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8">
        <f>(IF(AND(29+$K$33&gt;=1,29+$K$33&lt;=72),INDEX($N$5:$N$76,29+$K$33),0)+IF(AND(29+$K$34&gt;=1,29+$K$34&lt;=72),INDEX($N$5:$N$76,29+$K$34),0)+IF(AND(29+$K$35&gt;=1,29+$K$35&lt;=72),INDEX($N$5:$N$76,29+$K$35),0))/3</f>
        <v/>
      </c>
      <c r="T33" s="12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29">
        <f>DATE(YEAR(B33),MONTH(B33)+1,1)</f>
        <v/>
      </c>
      <c r="C34" s="108">
        <f>'DADOS HISTORICOS'!AG38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I34" s="47" t="inlineStr">
        <is>
          <t>Parcela 2 paga X meses antes da instalação</t>
        </is>
      </c>
      <c r="K34" s="68">
        <f>ROUND((K28-K30)/30,0)</f>
        <v/>
      </c>
      <c r="M34" s="127">
        <f>'CP RESUMO'!AG38</f>
        <v/>
      </c>
      <c r="N34" s="128">
        <f>MAX(0,M34-M33)</f>
        <v/>
      </c>
      <c r="O34" s="127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8">
        <f>(IF(AND(30+$K$33&gt;=1,30+$K$33&lt;=72),INDEX($N$5:$N$76,30+$K$33),0)+IF(AND(30+$K$34&gt;=1,30+$K$34&lt;=72),INDEX($N$5:$N$76,30+$K$34),0)+IF(AND(30+$K$35&gt;=1,30+$K$35&lt;=72),INDEX($N$5:$N$76,30+$K$35),0))/3</f>
        <v/>
      </c>
      <c r="T34" s="12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29">
        <f>DATE(YEAR(B34),MONTH(B34)+1,1)</f>
        <v/>
      </c>
      <c r="C35" s="108">
        <f>'DADOS HISTORICOS'!AH38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I35" s="47" t="inlineStr">
        <is>
          <t>Parcela 3 paga X meses antes da instalação</t>
        </is>
      </c>
      <c r="K35" s="68">
        <f>ROUND((K28-K31)/30,0)</f>
        <v/>
      </c>
      <c r="M35" s="127">
        <f>'CP RESUMO'!AH38</f>
        <v/>
      </c>
      <c r="N35" s="128">
        <f>MAX(0,M35-M34)</f>
        <v/>
      </c>
      <c r="O35" s="127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8">
        <f>(IF(AND(31+$K$33&gt;=1,31+$K$33&lt;=72),INDEX($N$5:$N$76,31+$K$33),0)+IF(AND(31+$K$34&gt;=1,31+$K$34&lt;=72),INDEX($N$5:$N$76,31+$K$34),0)+IF(AND(31+$K$35&gt;=1,31+$K$35&lt;=72),INDEX($N$5:$N$76,31+$K$35),0))/3</f>
        <v/>
      </c>
      <c r="T35" s="12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29">
        <f>DATE(YEAR(B35),MONTH(B35)+1,1)</f>
        <v/>
      </c>
      <c r="C36" s="108">
        <f>'DADOS HISTORICOS'!AI38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I36" s="47" t="inlineStr">
        <is>
          <t>MDO no fluxo (R$)</t>
        </is>
      </c>
      <c r="K36" s="50">
        <f>SUM(R5:R76)</f>
        <v/>
      </c>
      <c r="M36" s="127">
        <f>'CP RESUMO'!AI38</f>
        <v/>
      </c>
      <c r="N36" s="128">
        <f>MAX(0,M36-M35)</f>
        <v/>
      </c>
      <c r="O36" s="127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8">
        <f>(IF(AND(32+$K$33&gt;=1,32+$K$33&lt;=72),INDEX($N$5:$N$76,32+$K$33),0)+IF(AND(32+$K$34&gt;=1,32+$K$34&lt;=72),INDEX($N$5:$N$76,32+$K$34),0)+IF(AND(32+$K$35&gt;=1,32+$K$35&lt;=72),INDEX($N$5:$N$76,32+$K$35),0))/3</f>
        <v/>
      </c>
      <c r="T36" s="12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29">
        <f>DATE(YEAR(B36),MONTH(B36)+1,1)</f>
        <v/>
      </c>
      <c r="C37" s="108">
        <f>'DADOS HISTORICOS'!AJ38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I37" s="47" t="inlineStr">
        <is>
          <t>MATERIAL no fluxo (R$)</t>
        </is>
      </c>
      <c r="K37" s="50">
        <f>SUM(U5:U76)</f>
        <v/>
      </c>
      <c r="M37" s="127">
        <f>'CP RESUMO'!AJ38</f>
        <v/>
      </c>
      <c r="N37" s="128">
        <f>MAX(0,M37-M36)</f>
        <v/>
      </c>
      <c r="O37" s="127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8">
        <f>(IF(AND(33+$K$33&gt;=1,33+$K$33&lt;=72),INDEX($N$5:$N$76,33+$K$33),0)+IF(AND(33+$K$34&gt;=1,33+$K$34&lt;=72),INDEX($N$5:$N$76,33+$K$34),0)+IF(AND(33+$K$35&gt;=1,33+$K$35&lt;=72),INDEX($N$5:$N$76,33+$K$35),0))/3</f>
        <v/>
      </c>
      <c r="T37" s="12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29">
        <f>DATE(YEAR(B37),MONTH(B37)+1,1)</f>
        <v/>
      </c>
      <c r="C38" s="108">
        <f>'DADOS HISTORICOS'!AK38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RESUMO'!AK38</f>
        <v/>
      </c>
      <c r="N38" s="128">
        <f>MAX(0,M38-M37)</f>
        <v/>
      </c>
      <c r="O38" s="127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8">
        <f>(IF(AND(34+$K$33&gt;=1,34+$K$33&lt;=72),INDEX($N$5:$N$76,34+$K$33),0)+IF(AND(34+$K$34&gt;=1,34+$K$34&lt;=72),INDEX($N$5:$N$76,34+$K$34),0)+IF(AND(34+$K$35&gt;=1,34+$K$35&lt;=72),INDEX($N$5:$N$76,34+$K$35),0))/3</f>
        <v/>
      </c>
      <c r="T38" s="12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29">
        <f>DATE(YEAR(B38),MONTH(B38)+1,1)</f>
        <v/>
      </c>
      <c r="C39" s="108">
        <f>'DADOS HISTORICOS'!AL38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RESUMO'!AL38</f>
        <v/>
      </c>
      <c r="N39" s="128">
        <f>MAX(0,M39-M38)</f>
        <v/>
      </c>
      <c r="O39" s="127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8">
        <f>(IF(AND(35+$K$33&gt;=1,35+$K$33&lt;=72),INDEX($N$5:$N$76,35+$K$33),0)+IF(AND(35+$K$34&gt;=1,35+$K$34&lt;=72),INDEX($N$5:$N$76,35+$K$34),0)+IF(AND(35+$K$35&gt;=1,35+$K$35&lt;=72),INDEX($N$5:$N$76,35+$K$35),0))/3</f>
        <v/>
      </c>
      <c r="T39" s="12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29">
        <f>DATE(YEAR(B39),MONTH(B39)+1,1)</f>
        <v/>
      </c>
      <c r="C40" s="108">
        <f>'DADOS HISTORICOS'!AM38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RESUMO'!AM38</f>
        <v/>
      </c>
      <c r="N40" s="128">
        <f>MAX(0,M40-M39)</f>
        <v/>
      </c>
      <c r="O40" s="127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8">
        <f>(IF(AND(36+$K$33&gt;=1,36+$K$33&lt;=72),INDEX($N$5:$N$76,36+$K$33),0)+IF(AND(36+$K$34&gt;=1,36+$K$34&lt;=72),INDEX($N$5:$N$76,36+$K$34),0)+IF(AND(36+$K$35&gt;=1,36+$K$35&lt;=72),INDEX($N$5:$N$76,36+$K$35),0))/3</f>
        <v/>
      </c>
      <c r="T40" s="12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29">
        <f>DATE(YEAR(B40),MONTH(B40)+1,1)</f>
        <v/>
      </c>
      <c r="C41" s="108">
        <f>'DADOS HISTORICOS'!AN38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RESUMO'!AN38</f>
        <v/>
      </c>
      <c r="N41" s="128">
        <f>MAX(0,M41-M40)</f>
        <v/>
      </c>
      <c r="O41" s="127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8">
        <f>(IF(AND(37+$K$33&gt;=1,37+$K$33&lt;=72),INDEX($N$5:$N$76,37+$K$33),0)+IF(AND(37+$K$34&gt;=1,37+$K$34&lt;=72),INDEX($N$5:$N$76,37+$K$34),0)+IF(AND(37+$K$35&gt;=1,37+$K$35&lt;=72),INDEX($N$5:$N$76,37+$K$35),0))/3</f>
        <v/>
      </c>
      <c r="T41" s="12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29">
        <f>DATE(YEAR(B41),MONTH(B41)+1,1)</f>
        <v/>
      </c>
      <c r="C42" s="108">
        <f>'DADOS HISTORICOS'!AO38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RESUMO'!AO38</f>
        <v/>
      </c>
      <c r="N42" s="128">
        <f>MAX(0,M42-M41)</f>
        <v/>
      </c>
      <c r="O42" s="127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8">
        <f>(IF(AND(38+$K$33&gt;=1,38+$K$33&lt;=72),INDEX($N$5:$N$76,38+$K$33),0)+IF(AND(38+$K$34&gt;=1,38+$K$34&lt;=72),INDEX($N$5:$N$76,38+$K$34),0)+IF(AND(38+$K$35&gt;=1,38+$K$35&lt;=72),INDEX($N$5:$N$76,38+$K$35),0))/3</f>
        <v/>
      </c>
      <c r="T42" s="12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29">
        <f>DATE(YEAR(B42),MONTH(B42)+1,1)</f>
        <v/>
      </c>
      <c r="C43" s="108">
        <f>'DADOS HISTORICOS'!AP38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RESUMO'!AP38</f>
        <v/>
      </c>
      <c r="N43" s="128">
        <f>MAX(0,M43-M42)</f>
        <v/>
      </c>
      <c r="O43" s="127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8">
        <f>(IF(AND(39+$K$33&gt;=1,39+$K$33&lt;=72),INDEX($N$5:$N$76,39+$K$33),0)+IF(AND(39+$K$34&gt;=1,39+$K$34&lt;=72),INDEX($N$5:$N$76,39+$K$34),0)+IF(AND(39+$K$35&gt;=1,39+$K$35&lt;=72),INDEX($N$5:$N$76,39+$K$35),0))/3</f>
        <v/>
      </c>
      <c r="T43" s="12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29">
        <f>DATE(YEAR(B43),MONTH(B43)+1,1)</f>
        <v/>
      </c>
      <c r="C44" s="108">
        <f>'DADOS HISTORICOS'!AQ38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RESUMO'!AQ38</f>
        <v/>
      </c>
      <c r="N44" s="128">
        <f>MAX(0,M44-M43)</f>
        <v/>
      </c>
      <c r="O44" s="127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8">
        <f>(IF(AND(40+$K$33&gt;=1,40+$K$33&lt;=72),INDEX($N$5:$N$76,40+$K$33),0)+IF(AND(40+$K$34&gt;=1,40+$K$34&lt;=72),INDEX($N$5:$N$76,40+$K$34),0)+IF(AND(40+$K$35&gt;=1,40+$K$35&lt;=72),INDEX($N$5:$N$76,40+$K$35),0))/3</f>
        <v/>
      </c>
      <c r="T44" s="12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29">
        <f>DATE(YEAR(B44),MONTH(B44)+1,1)</f>
        <v/>
      </c>
      <c r="C45" s="108">
        <f>'DADOS HISTORICOS'!AR38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RESUMO'!AR38</f>
        <v/>
      </c>
      <c r="N45" s="128">
        <f>MAX(0,M45-M44)</f>
        <v/>
      </c>
      <c r="O45" s="127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8">
        <f>(IF(AND(41+$K$33&gt;=1,41+$K$33&lt;=72),INDEX($N$5:$N$76,41+$K$33),0)+IF(AND(41+$K$34&gt;=1,41+$K$34&lt;=72),INDEX($N$5:$N$76,41+$K$34),0)+IF(AND(41+$K$35&gt;=1,41+$K$35&lt;=72),INDEX($N$5:$N$76,41+$K$35),0))/3</f>
        <v/>
      </c>
      <c r="T45" s="12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29">
        <f>DATE(YEAR(B45),MONTH(B45)+1,1)</f>
        <v/>
      </c>
      <c r="C46" s="108">
        <f>'DADOS HISTORICOS'!AS38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RESUMO'!AS38</f>
        <v/>
      </c>
      <c r="N46" s="128">
        <f>MAX(0,M46-M45)</f>
        <v/>
      </c>
      <c r="O46" s="127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8">
        <f>(IF(AND(42+$K$33&gt;=1,42+$K$33&lt;=72),INDEX($N$5:$N$76,42+$K$33),0)+IF(AND(42+$K$34&gt;=1,42+$K$34&lt;=72),INDEX($N$5:$N$76,42+$K$34),0)+IF(AND(42+$K$35&gt;=1,42+$K$35&lt;=72),INDEX($N$5:$N$76,42+$K$35),0))/3</f>
        <v/>
      </c>
      <c r="T46" s="12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29">
        <f>DATE(YEAR(B46),MONTH(B46)+1,1)</f>
        <v/>
      </c>
      <c r="C47" s="108">
        <f>'DADOS HISTORICOS'!AT38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RESUMO'!AT38</f>
        <v/>
      </c>
      <c r="N47" s="128">
        <f>MAX(0,M47-M46)</f>
        <v/>
      </c>
      <c r="O47" s="127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8">
        <f>(IF(AND(43+$K$33&gt;=1,43+$K$33&lt;=72),INDEX($N$5:$N$76,43+$K$33),0)+IF(AND(43+$K$34&gt;=1,43+$K$34&lt;=72),INDEX($N$5:$N$76,43+$K$34),0)+IF(AND(43+$K$35&gt;=1,43+$K$35&lt;=72),INDEX($N$5:$N$76,43+$K$35),0))/3</f>
        <v/>
      </c>
      <c r="T47" s="12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29">
        <f>DATE(YEAR(B47),MONTH(B47)+1,1)</f>
        <v/>
      </c>
      <c r="C48" s="108">
        <f>'DADOS HISTORICOS'!AU38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RESUMO'!AU38</f>
        <v/>
      </c>
      <c r="N48" s="128">
        <f>MAX(0,M48-M47)</f>
        <v/>
      </c>
      <c r="O48" s="127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8">
        <f>(IF(AND(44+$K$33&gt;=1,44+$K$33&lt;=72),INDEX($N$5:$N$76,44+$K$33),0)+IF(AND(44+$K$34&gt;=1,44+$K$34&lt;=72),INDEX($N$5:$N$76,44+$K$34),0)+IF(AND(44+$K$35&gt;=1,44+$K$35&lt;=72),INDEX($N$5:$N$76,44+$K$35),0))/3</f>
        <v/>
      </c>
      <c r="T48" s="12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29">
        <f>DATE(YEAR(B48),MONTH(B48)+1,1)</f>
        <v/>
      </c>
      <c r="C49" s="108">
        <f>'DADOS HISTORICOS'!AV38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RESUMO'!AV38</f>
        <v/>
      </c>
      <c r="N49" s="128">
        <f>MAX(0,M49-M48)</f>
        <v/>
      </c>
      <c r="O49" s="127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8">
        <f>(IF(AND(45+$K$33&gt;=1,45+$K$33&lt;=72),INDEX($N$5:$N$76,45+$K$33),0)+IF(AND(45+$K$34&gt;=1,45+$K$34&lt;=72),INDEX($N$5:$N$76,45+$K$34),0)+IF(AND(45+$K$35&gt;=1,45+$K$35&lt;=72),INDEX($N$5:$N$76,45+$K$35),0))/3</f>
        <v/>
      </c>
      <c r="T49" s="12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29">
        <f>DATE(YEAR(B49),MONTH(B49)+1,1)</f>
        <v/>
      </c>
      <c r="C50" s="108">
        <f>'DADOS HISTORICOS'!AW38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RESUMO'!AW38</f>
        <v/>
      </c>
      <c r="N50" s="128">
        <f>MAX(0,M50-M49)</f>
        <v/>
      </c>
      <c r="O50" s="127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8">
        <f>(IF(AND(46+$K$33&gt;=1,46+$K$33&lt;=72),INDEX($N$5:$N$76,46+$K$33),0)+IF(AND(46+$K$34&gt;=1,46+$K$34&lt;=72),INDEX($N$5:$N$76,46+$K$34),0)+IF(AND(46+$K$35&gt;=1,46+$K$35&lt;=72),INDEX($N$5:$N$76,46+$K$35),0))/3</f>
        <v/>
      </c>
      <c r="T50" s="12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29">
        <f>DATE(YEAR(B50),MONTH(B50)+1,1)</f>
        <v/>
      </c>
      <c r="C51" s="108">
        <f>'DADOS HISTORICOS'!AX38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RESUMO'!AX38</f>
        <v/>
      </c>
      <c r="N51" s="128">
        <f>MAX(0,M51-M50)</f>
        <v/>
      </c>
      <c r="O51" s="127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8">
        <f>(IF(AND(47+$K$33&gt;=1,47+$K$33&lt;=72),INDEX($N$5:$N$76,47+$K$33),0)+IF(AND(47+$K$34&gt;=1,47+$K$34&lt;=72),INDEX($N$5:$N$76,47+$K$34),0)+IF(AND(47+$K$35&gt;=1,47+$K$35&lt;=72),INDEX($N$5:$N$76,47+$K$35),0))/3</f>
        <v/>
      </c>
      <c r="T51" s="12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29">
        <f>DATE(YEAR(B51),MONTH(B51)+1,1)</f>
        <v/>
      </c>
      <c r="C52" s="108">
        <f>'DADOS HISTORICOS'!AY38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RESUMO'!AY38</f>
        <v/>
      </c>
      <c r="N52" s="128">
        <f>MAX(0,M52-M51)</f>
        <v/>
      </c>
      <c r="O52" s="127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8">
        <f>(IF(AND(48+$K$33&gt;=1,48+$K$33&lt;=72),INDEX($N$5:$N$76,48+$K$33),0)+IF(AND(48+$K$34&gt;=1,48+$K$34&lt;=72),INDEX($N$5:$N$76,48+$K$34),0)+IF(AND(48+$K$35&gt;=1,48+$K$35&lt;=72),INDEX($N$5:$N$76,48+$K$35),0))/3</f>
        <v/>
      </c>
      <c r="T52" s="12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29">
        <f>DATE(YEAR(B52),MONTH(B52)+1,1)</f>
        <v/>
      </c>
      <c r="C53" s="108">
        <f>'DADOS HISTORICOS'!AZ38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RESUMO'!AZ38</f>
        <v/>
      </c>
      <c r="N53" s="128">
        <f>MAX(0,M53-M52)</f>
        <v/>
      </c>
      <c r="O53" s="127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8">
        <f>(IF(AND(49+$K$33&gt;=1,49+$K$33&lt;=72),INDEX($N$5:$N$76,49+$K$33),0)+IF(AND(49+$K$34&gt;=1,49+$K$34&lt;=72),INDEX($N$5:$N$76,49+$K$34),0)+IF(AND(49+$K$35&gt;=1,49+$K$35&lt;=72),INDEX($N$5:$N$76,49+$K$35),0))/3</f>
        <v/>
      </c>
      <c r="T53" s="12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29">
        <f>DATE(YEAR(B53),MONTH(B53)+1,1)</f>
        <v/>
      </c>
      <c r="C54" s="108">
        <f>'DADOS HISTORICOS'!BA38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RESUMO'!BA38</f>
        <v/>
      </c>
      <c r="N54" s="128">
        <f>MAX(0,M54-M53)</f>
        <v/>
      </c>
      <c r="O54" s="127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8">
        <f>(IF(AND(50+$K$33&gt;=1,50+$K$33&lt;=72),INDEX($N$5:$N$76,50+$K$33),0)+IF(AND(50+$K$34&gt;=1,50+$K$34&lt;=72),INDEX($N$5:$N$76,50+$K$34),0)+IF(AND(50+$K$35&gt;=1,50+$K$35&lt;=72),INDEX($N$5:$N$76,50+$K$35),0))/3</f>
        <v/>
      </c>
      <c r="T54" s="12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29">
        <f>DATE(YEAR(B54),MONTH(B54)+1,1)</f>
        <v/>
      </c>
      <c r="C55" s="108">
        <f>'DADOS HISTORICOS'!BB38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RESUMO'!BB38</f>
        <v/>
      </c>
      <c r="N55" s="128">
        <f>MAX(0,M55-M54)</f>
        <v/>
      </c>
      <c r="O55" s="127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8">
        <f>(IF(AND(51+$K$33&gt;=1,51+$K$33&lt;=72),INDEX($N$5:$N$76,51+$K$33),0)+IF(AND(51+$K$34&gt;=1,51+$K$34&lt;=72),INDEX($N$5:$N$76,51+$K$34),0)+IF(AND(51+$K$35&gt;=1,51+$K$35&lt;=72),INDEX($N$5:$N$76,51+$K$35),0))/3</f>
        <v/>
      </c>
      <c r="T55" s="12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29">
        <f>DATE(YEAR(B55),MONTH(B55)+1,1)</f>
        <v/>
      </c>
      <c r="C56" s="108">
        <f>'DADOS HISTORICOS'!BC38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RESUMO'!BC38</f>
        <v/>
      </c>
      <c r="N56" s="128">
        <f>MAX(0,M56-M55)</f>
        <v/>
      </c>
      <c r="O56" s="127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8">
        <f>(IF(AND(52+$K$33&gt;=1,52+$K$33&lt;=72),INDEX($N$5:$N$76,52+$K$33),0)+IF(AND(52+$K$34&gt;=1,52+$K$34&lt;=72),INDEX($N$5:$N$76,52+$K$34),0)+IF(AND(52+$K$35&gt;=1,52+$K$35&lt;=72),INDEX($N$5:$N$76,52+$K$35),0))/3</f>
        <v/>
      </c>
      <c r="T56" s="12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29">
        <f>DATE(YEAR(B56),MONTH(B56)+1,1)</f>
        <v/>
      </c>
      <c r="C57" s="108">
        <f>'DADOS HISTORICOS'!BD38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RESUMO'!BD38</f>
        <v/>
      </c>
      <c r="N57" s="128">
        <f>MAX(0,M57-M56)</f>
        <v/>
      </c>
      <c r="O57" s="127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8">
        <f>(IF(AND(53+$K$33&gt;=1,53+$K$33&lt;=72),INDEX($N$5:$N$76,53+$K$33),0)+IF(AND(53+$K$34&gt;=1,53+$K$34&lt;=72),INDEX($N$5:$N$76,53+$K$34),0)+IF(AND(53+$K$35&gt;=1,53+$K$35&lt;=72),INDEX($N$5:$N$76,53+$K$35),0))/3</f>
        <v/>
      </c>
      <c r="T57" s="12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29">
        <f>DATE(YEAR(B57),MONTH(B57)+1,1)</f>
        <v/>
      </c>
      <c r="C58" s="108">
        <f>'DADOS HISTORICOS'!BE38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RESUMO'!BE38</f>
        <v/>
      </c>
      <c r="N58" s="128">
        <f>MAX(0,M58-M57)</f>
        <v/>
      </c>
      <c r="O58" s="127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8">
        <f>(IF(AND(54+$K$33&gt;=1,54+$K$33&lt;=72),INDEX($N$5:$N$76,54+$K$33),0)+IF(AND(54+$K$34&gt;=1,54+$K$34&lt;=72),INDEX($N$5:$N$76,54+$K$34),0)+IF(AND(54+$K$35&gt;=1,54+$K$35&lt;=72),INDEX($N$5:$N$76,54+$K$35),0))/3</f>
        <v/>
      </c>
      <c r="T58" s="12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29">
        <f>DATE(YEAR(B58),MONTH(B58)+1,1)</f>
        <v/>
      </c>
      <c r="C59" s="108">
        <f>'DADOS HISTORICOS'!BF38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RESUMO'!BF38</f>
        <v/>
      </c>
      <c r="N59" s="128">
        <f>MAX(0,M59-M58)</f>
        <v/>
      </c>
      <c r="O59" s="127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8">
        <f>(IF(AND(55+$K$33&gt;=1,55+$K$33&lt;=72),INDEX($N$5:$N$76,55+$K$33),0)+IF(AND(55+$K$34&gt;=1,55+$K$34&lt;=72),INDEX($N$5:$N$76,55+$K$34),0)+IF(AND(55+$K$35&gt;=1,55+$K$35&lt;=72),INDEX($N$5:$N$76,55+$K$35),0))/3</f>
        <v/>
      </c>
      <c r="T59" s="12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29">
        <f>DATE(YEAR(B59),MONTH(B59)+1,1)</f>
        <v/>
      </c>
      <c r="C60" s="108">
        <f>'DADOS HISTORICOS'!BG38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RESUMO'!BG38</f>
        <v/>
      </c>
      <c r="N60" s="128">
        <f>MAX(0,M60-M59)</f>
        <v/>
      </c>
      <c r="O60" s="127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8">
        <f>(IF(AND(56+$K$33&gt;=1,56+$K$33&lt;=72),INDEX($N$5:$N$76,56+$K$33),0)+IF(AND(56+$K$34&gt;=1,56+$K$34&lt;=72),INDEX($N$5:$N$76,56+$K$34),0)+IF(AND(56+$K$35&gt;=1,56+$K$35&lt;=72),INDEX($N$5:$N$76,56+$K$35),0))/3</f>
        <v/>
      </c>
      <c r="T60" s="12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29">
        <f>DATE(YEAR(B60),MONTH(B60)+1,1)</f>
        <v/>
      </c>
      <c r="C61" s="108">
        <f>'DADOS HISTORICOS'!BH38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RESUMO'!BH38</f>
        <v/>
      </c>
      <c r="N61" s="128">
        <f>MAX(0,M61-M60)</f>
        <v/>
      </c>
      <c r="O61" s="127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8">
        <f>(IF(AND(57+$K$33&gt;=1,57+$K$33&lt;=72),INDEX($N$5:$N$76,57+$K$33),0)+IF(AND(57+$K$34&gt;=1,57+$K$34&lt;=72),INDEX($N$5:$N$76,57+$K$34),0)+IF(AND(57+$K$35&gt;=1,57+$K$35&lt;=72),INDEX($N$5:$N$76,57+$K$35),0))/3</f>
        <v/>
      </c>
      <c r="T61" s="12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29">
        <f>DATE(YEAR(B61),MONTH(B61)+1,1)</f>
        <v/>
      </c>
      <c r="C62" s="108">
        <f>'DADOS HISTORICOS'!BI38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RESUMO'!BI38</f>
        <v/>
      </c>
      <c r="N62" s="128">
        <f>MAX(0,M62-M61)</f>
        <v/>
      </c>
      <c r="O62" s="127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8">
        <f>(IF(AND(58+$K$33&gt;=1,58+$K$33&lt;=72),INDEX($N$5:$N$76,58+$K$33),0)+IF(AND(58+$K$34&gt;=1,58+$K$34&lt;=72),INDEX($N$5:$N$76,58+$K$34),0)+IF(AND(58+$K$35&gt;=1,58+$K$35&lt;=72),INDEX($N$5:$N$76,58+$K$35),0))/3</f>
        <v/>
      </c>
      <c r="T62" s="12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29">
        <f>DATE(YEAR(B62),MONTH(B62)+1,1)</f>
        <v/>
      </c>
      <c r="C63" s="108">
        <f>'DADOS HISTORICOS'!BJ38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RESUMO'!BJ38</f>
        <v/>
      </c>
      <c r="N63" s="128">
        <f>MAX(0,M63-M62)</f>
        <v/>
      </c>
      <c r="O63" s="127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8">
        <f>(IF(AND(59+$K$33&gt;=1,59+$K$33&lt;=72),INDEX($N$5:$N$76,59+$K$33),0)+IF(AND(59+$K$34&gt;=1,59+$K$34&lt;=72),INDEX($N$5:$N$76,59+$K$34),0)+IF(AND(59+$K$35&gt;=1,59+$K$35&lt;=72),INDEX($N$5:$N$76,59+$K$35),0))/3</f>
        <v/>
      </c>
      <c r="T63" s="12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29">
        <f>DATE(YEAR(B63),MONTH(B63)+1,1)</f>
        <v/>
      </c>
      <c r="C64" s="108">
        <f>'DADOS HISTORICOS'!BK38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RESUMO'!BK38</f>
        <v/>
      </c>
      <c r="N64" s="128">
        <f>MAX(0,M64-M63)</f>
        <v/>
      </c>
      <c r="O64" s="127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8">
        <f>(IF(AND(60+$K$33&gt;=1,60+$K$33&lt;=72),INDEX($N$5:$N$76,60+$K$33),0)+IF(AND(60+$K$34&gt;=1,60+$K$34&lt;=72),INDEX($N$5:$N$76,60+$K$34),0)+IF(AND(60+$K$35&gt;=1,60+$K$35&lt;=72),INDEX($N$5:$N$76,60+$K$35),0))/3</f>
        <v/>
      </c>
      <c r="T64" s="12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29">
        <f>DATE(YEAR(B64),MONTH(B64)+1,1)</f>
        <v/>
      </c>
      <c r="C65" s="108">
        <f>'DADOS HISTORICOS'!BL38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RESUMO'!BL38</f>
        <v/>
      </c>
      <c r="N65" s="128">
        <f>MAX(0,M65-M64)</f>
        <v/>
      </c>
      <c r="O65" s="127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8">
        <f>(IF(AND(61+$K$33&gt;=1,61+$K$33&lt;=72),INDEX($N$5:$N$76,61+$K$33),0)+IF(AND(61+$K$34&gt;=1,61+$K$34&lt;=72),INDEX($N$5:$N$76,61+$K$34),0)+IF(AND(61+$K$35&gt;=1,61+$K$35&lt;=72),INDEX($N$5:$N$76,61+$K$35),0))/3</f>
        <v/>
      </c>
      <c r="T65" s="12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29">
        <f>DATE(YEAR(B65),MONTH(B65)+1,1)</f>
        <v/>
      </c>
      <c r="C66" s="108">
        <f>'DADOS HISTORICOS'!BM38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RESUMO'!BM38</f>
        <v/>
      </c>
      <c r="N66" s="128">
        <f>MAX(0,M66-M65)</f>
        <v/>
      </c>
      <c r="O66" s="127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8">
        <f>(IF(AND(62+$K$33&gt;=1,62+$K$33&lt;=72),INDEX($N$5:$N$76,62+$K$33),0)+IF(AND(62+$K$34&gt;=1,62+$K$34&lt;=72),INDEX($N$5:$N$76,62+$K$34),0)+IF(AND(62+$K$35&gt;=1,62+$K$35&lt;=72),INDEX($N$5:$N$76,62+$K$35),0))/3</f>
        <v/>
      </c>
      <c r="T66" s="12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29">
        <f>DATE(YEAR(B66),MONTH(B66)+1,1)</f>
        <v/>
      </c>
      <c r="C67" s="108">
        <f>'DADOS HISTORICOS'!BN38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RESUMO'!BN38</f>
        <v/>
      </c>
      <c r="N67" s="128">
        <f>MAX(0,M67-M66)</f>
        <v/>
      </c>
      <c r="O67" s="127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8">
        <f>(IF(AND(63+$K$33&gt;=1,63+$K$33&lt;=72),INDEX($N$5:$N$76,63+$K$33),0)+IF(AND(63+$K$34&gt;=1,63+$K$34&lt;=72),INDEX($N$5:$N$76,63+$K$34),0)+IF(AND(63+$K$35&gt;=1,63+$K$35&lt;=72),INDEX($N$5:$N$76,63+$K$35),0))/3</f>
        <v/>
      </c>
      <c r="T67" s="12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29">
        <f>DATE(YEAR(B67),MONTH(B67)+1,1)</f>
        <v/>
      </c>
      <c r="C68" s="108">
        <f>'DADOS HISTORICOS'!BO38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RESUMO'!BO38</f>
        <v/>
      </c>
      <c r="N68" s="128">
        <f>MAX(0,M68-M67)</f>
        <v/>
      </c>
      <c r="O68" s="127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8">
        <f>(IF(AND(64+$K$33&gt;=1,64+$K$33&lt;=72),INDEX($N$5:$N$76,64+$K$33),0)+IF(AND(64+$K$34&gt;=1,64+$K$34&lt;=72),INDEX($N$5:$N$76,64+$K$34),0)+IF(AND(64+$K$35&gt;=1,64+$K$35&lt;=72),INDEX($N$5:$N$76,64+$K$35),0))/3</f>
        <v/>
      </c>
      <c r="T68" s="12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29">
        <f>DATE(YEAR(B68),MONTH(B68)+1,1)</f>
        <v/>
      </c>
      <c r="C69" s="108">
        <f>'DADOS HISTORICOS'!BP38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RESUMO'!BP38</f>
        <v/>
      </c>
      <c r="N69" s="128">
        <f>MAX(0,M69-M68)</f>
        <v/>
      </c>
      <c r="O69" s="127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8">
        <f>(IF(AND(65+$K$33&gt;=1,65+$K$33&lt;=72),INDEX($N$5:$N$76,65+$K$33),0)+IF(AND(65+$K$34&gt;=1,65+$K$34&lt;=72),INDEX($N$5:$N$76,65+$K$34),0)+IF(AND(65+$K$35&gt;=1,65+$K$35&lt;=72),INDEX($N$5:$N$76,65+$K$35),0))/3</f>
        <v/>
      </c>
      <c r="T69" s="12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29">
        <f>DATE(YEAR(B69),MONTH(B69)+1,1)</f>
        <v/>
      </c>
      <c r="C70" s="108">
        <f>'DADOS HISTORICOS'!BQ38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RESUMO'!BQ38</f>
        <v/>
      </c>
      <c r="N70" s="128">
        <f>MAX(0,M70-M69)</f>
        <v/>
      </c>
      <c r="O70" s="127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8">
        <f>(IF(AND(66+$K$33&gt;=1,66+$K$33&lt;=72),INDEX($N$5:$N$76,66+$K$33),0)+IF(AND(66+$K$34&gt;=1,66+$K$34&lt;=72),INDEX($N$5:$N$76,66+$K$34),0)+IF(AND(66+$K$35&gt;=1,66+$K$35&lt;=72),INDEX($N$5:$N$76,66+$K$35),0))/3</f>
        <v/>
      </c>
      <c r="T70" s="12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29">
        <f>DATE(YEAR(B70),MONTH(B70)+1,1)</f>
        <v/>
      </c>
      <c r="C71" s="108">
        <f>'DADOS HISTORICOS'!BR38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RESUMO'!BR38</f>
        <v/>
      </c>
      <c r="N71" s="128">
        <f>MAX(0,M71-M70)</f>
        <v/>
      </c>
      <c r="O71" s="127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8">
        <f>(IF(AND(67+$K$33&gt;=1,67+$K$33&lt;=72),INDEX($N$5:$N$76,67+$K$33),0)+IF(AND(67+$K$34&gt;=1,67+$K$34&lt;=72),INDEX($N$5:$N$76,67+$K$34),0)+IF(AND(67+$K$35&gt;=1,67+$K$35&lt;=72),INDEX($N$5:$N$76,67+$K$35),0))/3</f>
        <v/>
      </c>
      <c r="T71" s="12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29">
        <f>DATE(YEAR(B71),MONTH(B71)+1,1)</f>
        <v/>
      </c>
      <c r="C72" s="108">
        <f>'DADOS HISTORICOS'!BS38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RESUMO'!BS38</f>
        <v/>
      </c>
      <c r="N72" s="128">
        <f>MAX(0,M72-M71)</f>
        <v/>
      </c>
      <c r="O72" s="127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8">
        <f>(IF(AND(68+$K$33&gt;=1,68+$K$33&lt;=72),INDEX($N$5:$N$76,68+$K$33),0)+IF(AND(68+$K$34&gt;=1,68+$K$34&lt;=72),INDEX($N$5:$N$76,68+$K$34),0)+IF(AND(68+$K$35&gt;=1,68+$K$35&lt;=72),INDEX($N$5:$N$76,68+$K$35),0))/3</f>
        <v/>
      </c>
      <c r="T72" s="12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29">
        <f>DATE(YEAR(B72),MONTH(B72)+1,1)</f>
        <v/>
      </c>
      <c r="C73" s="108">
        <f>'DADOS HISTORICOS'!BT38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RESUMO'!BT38</f>
        <v/>
      </c>
      <c r="N73" s="128">
        <f>MAX(0,M73-M72)</f>
        <v/>
      </c>
      <c r="O73" s="127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8">
        <f>(IF(AND(69+$K$33&gt;=1,69+$K$33&lt;=72),INDEX($N$5:$N$76,69+$K$33),0)+IF(AND(69+$K$34&gt;=1,69+$K$34&lt;=72),INDEX($N$5:$N$76,69+$K$34),0)+IF(AND(69+$K$35&gt;=1,69+$K$35&lt;=72),INDEX($N$5:$N$76,69+$K$35),0))/3</f>
        <v/>
      </c>
      <c r="T73" s="12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29">
        <f>DATE(YEAR(B73),MONTH(B73)+1,1)</f>
        <v/>
      </c>
      <c r="C74" s="108">
        <f>'DADOS HISTORICOS'!BU38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RESUMO'!BU38</f>
        <v/>
      </c>
      <c r="N74" s="128">
        <f>MAX(0,M74-M73)</f>
        <v/>
      </c>
      <c r="O74" s="127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8">
        <f>(IF(AND(70+$K$33&gt;=1,70+$K$33&lt;=72),INDEX($N$5:$N$76,70+$K$33),0)+IF(AND(70+$K$34&gt;=1,70+$K$34&lt;=72),INDEX($N$5:$N$76,70+$K$34),0)+IF(AND(70+$K$35&gt;=1,70+$K$35&lt;=72),INDEX($N$5:$N$76,70+$K$35),0))/3</f>
        <v/>
      </c>
      <c r="T74" s="12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29">
        <f>DATE(YEAR(B74),MONTH(B74)+1,1)</f>
        <v/>
      </c>
      <c r="C75" s="108">
        <f>'DADOS HISTORICOS'!BV38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RESUMO'!BV38</f>
        <v/>
      </c>
      <c r="N75" s="128">
        <f>MAX(0,M75-M74)</f>
        <v/>
      </c>
      <c r="O75" s="127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8">
        <f>(IF(AND(71+$K$33&gt;=1,71+$K$33&lt;=72),INDEX($N$5:$N$76,71+$K$33),0)+IF(AND(71+$K$34&gt;=1,71+$K$34&lt;=72),INDEX($N$5:$N$76,71+$K$34),0)+IF(AND(71+$K$35&gt;=1,71+$K$35&lt;=72),INDEX($N$5:$N$76,71+$K$35),0))/3</f>
        <v/>
      </c>
      <c r="T75" s="12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29">
        <f>DATE(YEAR(B75),MONTH(B75)+1,1)</f>
        <v/>
      </c>
      <c r="C76" s="108">
        <f>'DADOS HISTORICOS'!BW38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RESUMO'!BW38</f>
        <v/>
      </c>
      <c r="N76" s="128">
        <f>MAX(0,M76-M75)</f>
        <v/>
      </c>
      <c r="O76" s="127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8">
        <f>(IF(AND(72+$K$33&gt;=1,72+$K$33&lt;=72),INDEX($N$5:$N$76,72+$K$33),0)+IF(AND(72+$K$34&gt;=1,72+$K$34&lt;=72),INDEX($N$5:$N$76,72+$K$34),0)+IF(AND(72+$K$35&gt;=1,72+$K$35&lt;=72),INDEX($N$5:$N$76,72+$K$35),0))/3</f>
        <v/>
      </c>
      <c r="T76" s="12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HISTORICOS'!D39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PL'!F45</f>
        <v/>
      </c>
      <c r="K5" s="108">
        <f>'VALOR POR PL'!G45</f>
        <v/>
      </c>
      <c r="M5" s="127">
        <f>'CP RESUMO'!D39</f>
        <v/>
      </c>
      <c r="N5" s="128" t="n">
        <v>0</v>
      </c>
      <c r="O5" s="127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HISTORICOS'!E39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RESUMO'!E39</f>
        <v/>
      </c>
      <c r="N6" s="128">
        <f>MAX(0,M6-M5)</f>
        <v/>
      </c>
      <c r="O6" s="127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HISTORICOS'!F39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PL'!L45</f>
        <v/>
      </c>
      <c r="M7" s="127">
        <f>'CP RESUMO'!F39</f>
        <v/>
      </c>
      <c r="N7" s="128">
        <f>MAX(0,M7-M6)</f>
        <v/>
      </c>
      <c r="O7" s="127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HISTORICOS'!G39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RESUMO'!G39</f>
        <v/>
      </c>
      <c r="N8" s="128">
        <f>MAX(0,M8-M7)</f>
        <v/>
      </c>
      <c r="O8" s="127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HISTORICOS'!H39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RESUMO'!H39</f>
        <v/>
      </c>
      <c r="N9" s="128">
        <f>MAX(0,M9-M8)</f>
        <v/>
      </c>
      <c r="O9" s="127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HISTORICOS'!I39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RESUMO'!I39</f>
        <v/>
      </c>
      <c r="N10" s="128">
        <f>MAX(0,M10-M9)</f>
        <v/>
      </c>
      <c r="O10" s="127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HISTORICOS'!J39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RESUMO'!J39</f>
        <v/>
      </c>
      <c r="N11" s="128">
        <f>MAX(0,M11-M10)</f>
        <v/>
      </c>
      <c r="O11" s="127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HISTORICOS'!K39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RESUMO'!K39</f>
        <v/>
      </c>
      <c r="N12" s="128">
        <f>MAX(0,M12-M11)</f>
        <v/>
      </c>
      <c r="O12" s="127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HISTORICOS'!L39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PL'!I45</f>
        <v/>
      </c>
      <c r="M13" s="127">
        <f>'CP RESUMO'!L39</f>
        <v/>
      </c>
      <c r="N13" s="128">
        <f>MAX(0,M13-M12)</f>
        <v/>
      </c>
      <c r="O13" s="127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HISTORICOS'!M39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7">
        <f>'CP RESUMO'!M39</f>
        <v/>
      </c>
      <c r="N14" s="128">
        <f>MAX(0,M14-M13)</f>
        <v/>
      </c>
      <c r="O14" s="127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HISTORICOS'!N39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RESUMO'!N39</f>
        <v/>
      </c>
      <c r="N15" s="128">
        <f>MAX(0,M15-M14)</f>
        <v/>
      </c>
      <c r="O15" s="127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HISTORICOS'!O39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RESUMO'!O39</f>
        <v/>
      </c>
      <c r="N16" s="128">
        <f>MAX(0,M16-M15)</f>
        <v/>
      </c>
      <c r="O16" s="127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HISTORICOS'!P39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RESUMO'!P39</f>
        <v/>
      </c>
      <c r="N17" s="128">
        <f>MAX(0,M17-M16)</f>
        <v/>
      </c>
      <c r="O17" s="127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HISTORICOS'!Q39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RESUMO'!Q39</f>
        <v/>
      </c>
      <c r="N18" s="128">
        <f>MAX(0,M18-M17)</f>
        <v/>
      </c>
      <c r="O18" s="127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HISTORICOS'!R39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RESUMO'!R39</f>
        <v/>
      </c>
      <c r="N19" s="128">
        <f>MAX(0,M19-M18)</f>
        <v/>
      </c>
      <c r="O19" s="127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HISTORICOS'!S39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RESUMO'!S39</f>
        <v/>
      </c>
      <c r="N20" s="128">
        <f>MAX(0,M20-M19)</f>
        <v/>
      </c>
      <c r="O20" s="127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HISTORICOS'!T39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RESUMO'!T39</f>
        <v/>
      </c>
      <c r="N21" s="128">
        <f>MAX(0,M21-M20)</f>
        <v/>
      </c>
      <c r="O21" s="127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HISTORICOS'!U39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RESUMO'!U39</f>
        <v/>
      </c>
      <c r="N22" s="128">
        <f>MAX(0,M22-M21)</f>
        <v/>
      </c>
      <c r="O22" s="127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HISTORICOS'!V39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RESUMO'!V39</f>
        <v/>
      </c>
      <c r="N23" s="128">
        <f>MAX(0,M23-M22)</f>
        <v/>
      </c>
      <c r="O23" s="127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HISTORICOS'!W39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RESUMO'!W39</f>
        <v/>
      </c>
      <c r="N24" s="128">
        <f>MAX(0,M24-M23)</f>
        <v/>
      </c>
      <c r="O24" s="127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HISTORICOS'!X39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RESUMO'!X39</f>
        <v/>
      </c>
      <c r="N25" s="128">
        <f>MAX(0,M25-M24)</f>
        <v/>
      </c>
      <c r="O25" s="127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HISTORICOS'!Y39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RESUMO'!Y39</f>
        <v/>
      </c>
      <c r="N26" s="128">
        <f>MAX(0,M26-M25)</f>
        <v/>
      </c>
      <c r="O26" s="127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HISTORICOS'!Z39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RESUMO'!Z39</f>
        <v/>
      </c>
      <c r="N27" s="128">
        <f>MAX(0,M27-M26)</f>
        <v/>
      </c>
      <c r="O27" s="127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HISTORICOS'!AA39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RESUMO'!AA39</f>
        <v/>
      </c>
      <c r="N28" s="128">
        <f>MAX(0,M28-M27)</f>
        <v/>
      </c>
      <c r="O28" s="127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HISTORICOS'!AB39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RESUMO'!AB39</f>
        <v/>
      </c>
      <c r="N29" s="128">
        <f>MAX(0,M29-M28)</f>
        <v/>
      </c>
      <c r="O29" s="127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HISTORICOS'!AC39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RESUMO'!AC39</f>
        <v/>
      </c>
      <c r="N30" s="128">
        <f>MAX(0,M30-M29)</f>
        <v/>
      </c>
      <c r="O30" s="127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HISTORICOS'!AD39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RESUMO'!AD39</f>
        <v/>
      </c>
      <c r="N31" s="128">
        <f>MAX(0,M31-M30)</f>
        <v/>
      </c>
      <c r="O31" s="127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HISTORICOS'!AE39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RESUMO'!AE39</f>
        <v/>
      </c>
      <c r="N32" s="128">
        <f>MAX(0,M32-M31)</f>
        <v/>
      </c>
      <c r="O32" s="127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HISTORICOS'!AF39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RESUMO'!AF39</f>
        <v/>
      </c>
      <c r="N33" s="128">
        <f>MAX(0,M33-M32)</f>
        <v/>
      </c>
      <c r="O33" s="127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HISTORICOS'!AG39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RESUMO'!AG39</f>
        <v/>
      </c>
      <c r="N34" s="128">
        <f>MAX(0,M34-M33)</f>
        <v/>
      </c>
      <c r="O34" s="127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HISTORICOS'!AH39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RESUMO'!AH39</f>
        <v/>
      </c>
      <c r="N35" s="128">
        <f>MAX(0,M35-M34)</f>
        <v/>
      </c>
      <c r="O35" s="127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HISTORICOS'!AI39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RESUMO'!AI39</f>
        <v/>
      </c>
      <c r="N36" s="128">
        <f>MAX(0,M36-M35)</f>
        <v/>
      </c>
      <c r="O36" s="127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HISTORICOS'!AJ39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RESUMO'!AJ39</f>
        <v/>
      </c>
      <c r="N37" s="128">
        <f>MAX(0,M37-M36)</f>
        <v/>
      </c>
      <c r="O37" s="127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HISTORICOS'!AK39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RESUMO'!AK39</f>
        <v/>
      </c>
      <c r="N38" s="128">
        <f>MAX(0,M38-M37)</f>
        <v/>
      </c>
      <c r="O38" s="127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HISTORICOS'!AL39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RESUMO'!AL39</f>
        <v/>
      </c>
      <c r="N39" s="128">
        <f>MAX(0,M39-M38)</f>
        <v/>
      </c>
      <c r="O39" s="127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HISTORICOS'!AM39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RESUMO'!AM39</f>
        <v/>
      </c>
      <c r="N40" s="128">
        <f>MAX(0,M40-M39)</f>
        <v/>
      </c>
      <c r="O40" s="127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HISTORICOS'!AN39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RESUMO'!AN39</f>
        <v/>
      </c>
      <c r="N41" s="128">
        <f>MAX(0,M41-M40)</f>
        <v/>
      </c>
      <c r="O41" s="127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HISTORICOS'!AO39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RESUMO'!AO39</f>
        <v/>
      </c>
      <c r="N42" s="128">
        <f>MAX(0,M42-M41)</f>
        <v/>
      </c>
      <c r="O42" s="127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HISTORICOS'!AP39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RESUMO'!AP39</f>
        <v/>
      </c>
      <c r="N43" s="128">
        <f>MAX(0,M43-M42)</f>
        <v/>
      </c>
      <c r="O43" s="127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HISTORICOS'!AQ39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RESUMO'!AQ39</f>
        <v/>
      </c>
      <c r="N44" s="128">
        <f>MAX(0,M44-M43)</f>
        <v/>
      </c>
      <c r="O44" s="127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HISTORICOS'!AR39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RESUMO'!AR39</f>
        <v/>
      </c>
      <c r="N45" s="128">
        <f>MAX(0,M45-M44)</f>
        <v/>
      </c>
      <c r="O45" s="127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HISTORICOS'!AS39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RESUMO'!AS39</f>
        <v/>
      </c>
      <c r="N46" s="128">
        <f>MAX(0,M46-M45)</f>
        <v/>
      </c>
      <c r="O46" s="127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HISTORICOS'!AT39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RESUMO'!AT39</f>
        <v/>
      </c>
      <c r="N47" s="128">
        <f>MAX(0,M47-M46)</f>
        <v/>
      </c>
      <c r="O47" s="127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HISTORICOS'!AU39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RESUMO'!AU39</f>
        <v/>
      </c>
      <c r="N48" s="128">
        <f>MAX(0,M48-M47)</f>
        <v/>
      </c>
      <c r="O48" s="127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HISTORICOS'!AV39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RESUMO'!AV39</f>
        <v/>
      </c>
      <c r="N49" s="128">
        <f>MAX(0,M49-M48)</f>
        <v/>
      </c>
      <c r="O49" s="127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HISTORICOS'!AW39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RESUMO'!AW39</f>
        <v/>
      </c>
      <c r="N50" s="128">
        <f>MAX(0,M50-M49)</f>
        <v/>
      </c>
      <c r="O50" s="127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HISTORICOS'!AX39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RESUMO'!AX39</f>
        <v/>
      </c>
      <c r="N51" s="128">
        <f>MAX(0,M51-M50)</f>
        <v/>
      </c>
      <c r="O51" s="127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HISTORICOS'!AY39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RESUMO'!AY39</f>
        <v/>
      </c>
      <c r="N52" s="128">
        <f>MAX(0,M52-M51)</f>
        <v/>
      </c>
      <c r="O52" s="127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HISTORICOS'!AZ39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RESUMO'!AZ39</f>
        <v/>
      </c>
      <c r="N53" s="128">
        <f>MAX(0,M53-M52)</f>
        <v/>
      </c>
      <c r="O53" s="127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HISTORICOS'!BA39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RESUMO'!BA39</f>
        <v/>
      </c>
      <c r="N54" s="128">
        <f>MAX(0,M54-M53)</f>
        <v/>
      </c>
      <c r="O54" s="127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HISTORICOS'!BB39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RESUMO'!BB39</f>
        <v/>
      </c>
      <c r="N55" s="128">
        <f>MAX(0,M55-M54)</f>
        <v/>
      </c>
      <c r="O55" s="127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HISTORICOS'!BC39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RESUMO'!BC39</f>
        <v/>
      </c>
      <c r="N56" s="128">
        <f>MAX(0,M56-M55)</f>
        <v/>
      </c>
      <c r="O56" s="127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HISTORICOS'!BD39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RESUMO'!BD39</f>
        <v/>
      </c>
      <c r="N57" s="128">
        <f>MAX(0,M57-M56)</f>
        <v/>
      </c>
      <c r="O57" s="127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HISTORICOS'!BE39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RESUMO'!BE39</f>
        <v/>
      </c>
      <c r="N58" s="128">
        <f>MAX(0,M58-M57)</f>
        <v/>
      </c>
      <c r="O58" s="127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HISTORICOS'!BF39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RESUMO'!BF39</f>
        <v/>
      </c>
      <c r="N59" s="128">
        <f>MAX(0,M59-M58)</f>
        <v/>
      </c>
      <c r="O59" s="127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HISTORICOS'!BG39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RESUMO'!BG39</f>
        <v/>
      </c>
      <c r="N60" s="128">
        <f>MAX(0,M60-M59)</f>
        <v/>
      </c>
      <c r="O60" s="127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HISTORICOS'!BH39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RESUMO'!BH39</f>
        <v/>
      </c>
      <c r="N61" s="128">
        <f>MAX(0,M61-M60)</f>
        <v/>
      </c>
      <c r="O61" s="127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HISTORICOS'!BI39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RESUMO'!BI39</f>
        <v/>
      </c>
      <c r="N62" s="128">
        <f>MAX(0,M62-M61)</f>
        <v/>
      </c>
      <c r="O62" s="127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HISTORICOS'!BJ39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RESUMO'!BJ39</f>
        <v/>
      </c>
      <c r="N63" s="128">
        <f>MAX(0,M63-M62)</f>
        <v/>
      </c>
      <c r="O63" s="127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HISTORICOS'!BK39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RESUMO'!BK39</f>
        <v/>
      </c>
      <c r="N64" s="128">
        <f>MAX(0,M64-M63)</f>
        <v/>
      </c>
      <c r="O64" s="127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HISTORICOS'!BL39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RESUMO'!BL39</f>
        <v/>
      </c>
      <c r="N65" s="128">
        <f>MAX(0,M65-M64)</f>
        <v/>
      </c>
      <c r="O65" s="127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HISTORICOS'!BM39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RESUMO'!BM39</f>
        <v/>
      </c>
      <c r="N66" s="128">
        <f>MAX(0,M66-M65)</f>
        <v/>
      </c>
      <c r="O66" s="127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HISTORICOS'!BN39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RESUMO'!BN39</f>
        <v/>
      </c>
      <c r="N67" s="128">
        <f>MAX(0,M67-M66)</f>
        <v/>
      </c>
      <c r="O67" s="127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HISTORICOS'!BO39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RESUMO'!BO39</f>
        <v/>
      </c>
      <c r="N68" s="128">
        <f>MAX(0,M68-M67)</f>
        <v/>
      </c>
      <c r="O68" s="127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HISTORICOS'!BP39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RESUMO'!BP39</f>
        <v/>
      </c>
      <c r="N69" s="128">
        <f>MAX(0,M69-M68)</f>
        <v/>
      </c>
      <c r="O69" s="127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HISTORICOS'!BQ39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RESUMO'!BQ39</f>
        <v/>
      </c>
      <c r="N70" s="128">
        <f>MAX(0,M70-M69)</f>
        <v/>
      </c>
      <c r="O70" s="127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HISTORICOS'!BR39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RESUMO'!BR39</f>
        <v/>
      </c>
      <c r="N71" s="128">
        <f>MAX(0,M71-M70)</f>
        <v/>
      </c>
      <c r="O71" s="127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HISTORICOS'!BS39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RESUMO'!BS39</f>
        <v/>
      </c>
      <c r="N72" s="128">
        <f>MAX(0,M72-M71)</f>
        <v/>
      </c>
      <c r="O72" s="127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HISTORICOS'!BT39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RESUMO'!BT39</f>
        <v/>
      </c>
      <c r="N73" s="128">
        <f>MAX(0,M73-M72)</f>
        <v/>
      </c>
      <c r="O73" s="127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HISTORICOS'!BU39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RESUMO'!BU39</f>
        <v/>
      </c>
      <c r="N74" s="128">
        <f>MAX(0,M74-M73)</f>
        <v/>
      </c>
      <c r="O74" s="127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HISTORICOS'!BV39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RESUMO'!BV39</f>
        <v/>
      </c>
      <c r="N75" s="128">
        <f>MAX(0,M75-M74)</f>
        <v/>
      </c>
      <c r="O75" s="127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HISTORICOS'!BW39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RESUMO'!BW39</f>
        <v/>
      </c>
      <c r="N76" s="128">
        <f>MAX(0,M76-M75)</f>
        <v/>
      </c>
      <c r="O76" s="127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HISTORICOS'!D40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PL'!F46</f>
        <v/>
      </c>
      <c r="K5" s="108">
        <f>'VALOR POR PL'!G46</f>
        <v/>
      </c>
      <c r="M5" s="127">
        <f>'CP RESUMO'!D40</f>
        <v/>
      </c>
      <c r="N5" s="128" t="n">
        <v>0</v>
      </c>
      <c r="O5" s="127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HISTORICOS'!E40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RESUMO'!E40</f>
        <v/>
      </c>
      <c r="N6" s="128">
        <f>MAX(0,M6-M5)</f>
        <v/>
      </c>
      <c r="O6" s="127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HISTORICOS'!F40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PL'!L46</f>
        <v/>
      </c>
      <c r="M7" s="127">
        <f>'CP RESUMO'!F40</f>
        <v/>
      </c>
      <c r="N7" s="128">
        <f>MAX(0,M7-M6)</f>
        <v/>
      </c>
      <c r="O7" s="127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HISTORICOS'!G40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RESUMO'!G40</f>
        <v/>
      </c>
      <c r="N8" s="128">
        <f>MAX(0,M8-M7)</f>
        <v/>
      </c>
      <c r="O8" s="127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HISTORICOS'!H40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RESUMO'!H40</f>
        <v/>
      </c>
      <c r="N9" s="128">
        <f>MAX(0,M9-M8)</f>
        <v/>
      </c>
      <c r="O9" s="127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HISTORICOS'!I40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RESUMO'!I40</f>
        <v/>
      </c>
      <c r="N10" s="128">
        <f>MAX(0,M10-M9)</f>
        <v/>
      </c>
      <c r="O10" s="127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HISTORICOS'!J40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RESUMO'!J40</f>
        <v/>
      </c>
      <c r="N11" s="128">
        <f>MAX(0,M11-M10)</f>
        <v/>
      </c>
      <c r="O11" s="127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HISTORICOS'!K40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RESUMO'!K40</f>
        <v/>
      </c>
      <c r="N12" s="128">
        <f>MAX(0,M12-M11)</f>
        <v/>
      </c>
      <c r="O12" s="127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HISTORICOS'!L40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PL'!I46</f>
        <v/>
      </c>
      <c r="M13" s="127">
        <f>'CP RESUMO'!L40</f>
        <v/>
      </c>
      <c r="N13" s="128">
        <f>MAX(0,M13-M12)</f>
        <v/>
      </c>
      <c r="O13" s="127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HISTORICOS'!M40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7">
        <f>'CP RESUMO'!M40</f>
        <v/>
      </c>
      <c r="N14" s="128">
        <f>MAX(0,M14-M13)</f>
        <v/>
      </c>
      <c r="O14" s="127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HISTORICOS'!N40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RESUMO'!N40</f>
        <v/>
      </c>
      <c r="N15" s="128">
        <f>MAX(0,M15-M14)</f>
        <v/>
      </c>
      <c r="O15" s="127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HISTORICOS'!O40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RESUMO'!O40</f>
        <v/>
      </c>
      <c r="N16" s="128">
        <f>MAX(0,M16-M15)</f>
        <v/>
      </c>
      <c r="O16" s="127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HISTORICOS'!P40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RESUMO'!P40</f>
        <v/>
      </c>
      <c r="N17" s="128">
        <f>MAX(0,M17-M16)</f>
        <v/>
      </c>
      <c r="O17" s="127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HISTORICOS'!Q40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RESUMO'!Q40</f>
        <v/>
      </c>
      <c r="N18" s="128">
        <f>MAX(0,M18-M17)</f>
        <v/>
      </c>
      <c r="O18" s="127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HISTORICOS'!R40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RESUMO'!R40</f>
        <v/>
      </c>
      <c r="N19" s="128">
        <f>MAX(0,M19-M18)</f>
        <v/>
      </c>
      <c r="O19" s="127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HISTORICOS'!S40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RESUMO'!S40</f>
        <v/>
      </c>
      <c r="N20" s="128">
        <f>MAX(0,M20-M19)</f>
        <v/>
      </c>
      <c r="O20" s="127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HISTORICOS'!T40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RESUMO'!T40</f>
        <v/>
      </c>
      <c r="N21" s="128">
        <f>MAX(0,M21-M20)</f>
        <v/>
      </c>
      <c r="O21" s="127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HISTORICOS'!U40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RESUMO'!U40</f>
        <v/>
      </c>
      <c r="N22" s="128">
        <f>MAX(0,M22-M21)</f>
        <v/>
      </c>
      <c r="O22" s="127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HISTORICOS'!V40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RESUMO'!V40</f>
        <v/>
      </c>
      <c r="N23" s="128">
        <f>MAX(0,M23-M22)</f>
        <v/>
      </c>
      <c r="O23" s="127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HISTORICOS'!W40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RESUMO'!W40</f>
        <v/>
      </c>
      <c r="N24" s="128">
        <f>MAX(0,M24-M23)</f>
        <v/>
      </c>
      <c r="O24" s="127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HISTORICOS'!X40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RESUMO'!X40</f>
        <v/>
      </c>
      <c r="N25" s="128">
        <f>MAX(0,M25-M24)</f>
        <v/>
      </c>
      <c r="O25" s="127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HISTORICOS'!Y40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RESUMO'!Y40</f>
        <v/>
      </c>
      <c r="N26" s="128">
        <f>MAX(0,M26-M25)</f>
        <v/>
      </c>
      <c r="O26" s="127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HISTORICOS'!Z40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RESUMO'!Z40</f>
        <v/>
      </c>
      <c r="N27" s="128">
        <f>MAX(0,M27-M26)</f>
        <v/>
      </c>
      <c r="O27" s="127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HISTORICOS'!AA40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RESUMO'!AA40</f>
        <v/>
      </c>
      <c r="N28" s="128">
        <f>MAX(0,M28-M27)</f>
        <v/>
      </c>
      <c r="O28" s="127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HISTORICOS'!AB40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RESUMO'!AB40</f>
        <v/>
      </c>
      <c r="N29" s="128">
        <f>MAX(0,M29-M28)</f>
        <v/>
      </c>
      <c r="O29" s="127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HISTORICOS'!AC40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RESUMO'!AC40</f>
        <v/>
      </c>
      <c r="N30" s="128">
        <f>MAX(0,M30-M29)</f>
        <v/>
      </c>
      <c r="O30" s="127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HISTORICOS'!AD40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RESUMO'!AD40</f>
        <v/>
      </c>
      <c r="N31" s="128">
        <f>MAX(0,M31-M30)</f>
        <v/>
      </c>
      <c r="O31" s="127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HISTORICOS'!AE40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RESUMO'!AE40</f>
        <v/>
      </c>
      <c r="N32" s="128">
        <f>MAX(0,M32-M31)</f>
        <v/>
      </c>
      <c r="O32" s="127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HISTORICOS'!AF40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RESUMO'!AF40</f>
        <v/>
      </c>
      <c r="N33" s="128">
        <f>MAX(0,M33-M32)</f>
        <v/>
      </c>
      <c r="O33" s="127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HISTORICOS'!AG40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RESUMO'!AG40</f>
        <v/>
      </c>
      <c r="N34" s="128">
        <f>MAX(0,M34-M33)</f>
        <v/>
      </c>
      <c r="O34" s="127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HISTORICOS'!AH40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RESUMO'!AH40</f>
        <v/>
      </c>
      <c r="N35" s="128">
        <f>MAX(0,M35-M34)</f>
        <v/>
      </c>
      <c r="O35" s="127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HISTORICOS'!AI40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RESUMO'!AI40</f>
        <v/>
      </c>
      <c r="N36" s="128">
        <f>MAX(0,M36-M35)</f>
        <v/>
      </c>
      <c r="O36" s="127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HISTORICOS'!AJ40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RESUMO'!AJ40</f>
        <v/>
      </c>
      <c r="N37" s="128">
        <f>MAX(0,M37-M36)</f>
        <v/>
      </c>
      <c r="O37" s="127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HISTORICOS'!AK40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RESUMO'!AK40</f>
        <v/>
      </c>
      <c r="N38" s="128">
        <f>MAX(0,M38-M37)</f>
        <v/>
      </c>
      <c r="O38" s="127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HISTORICOS'!AL40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RESUMO'!AL40</f>
        <v/>
      </c>
      <c r="N39" s="128">
        <f>MAX(0,M39-M38)</f>
        <v/>
      </c>
      <c r="O39" s="127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HISTORICOS'!AM40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RESUMO'!AM40</f>
        <v/>
      </c>
      <c r="N40" s="128">
        <f>MAX(0,M40-M39)</f>
        <v/>
      </c>
      <c r="O40" s="127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HISTORICOS'!AN40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RESUMO'!AN40</f>
        <v/>
      </c>
      <c r="N41" s="128">
        <f>MAX(0,M41-M40)</f>
        <v/>
      </c>
      <c r="O41" s="127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HISTORICOS'!AO40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RESUMO'!AO40</f>
        <v/>
      </c>
      <c r="N42" s="128">
        <f>MAX(0,M42-M41)</f>
        <v/>
      </c>
      <c r="O42" s="127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HISTORICOS'!AP40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RESUMO'!AP40</f>
        <v/>
      </c>
      <c r="N43" s="128">
        <f>MAX(0,M43-M42)</f>
        <v/>
      </c>
      <c r="O43" s="127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HISTORICOS'!AQ40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RESUMO'!AQ40</f>
        <v/>
      </c>
      <c r="N44" s="128">
        <f>MAX(0,M44-M43)</f>
        <v/>
      </c>
      <c r="O44" s="127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HISTORICOS'!AR40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RESUMO'!AR40</f>
        <v/>
      </c>
      <c r="N45" s="128">
        <f>MAX(0,M45-M44)</f>
        <v/>
      </c>
      <c r="O45" s="127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HISTORICOS'!AS40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RESUMO'!AS40</f>
        <v/>
      </c>
      <c r="N46" s="128">
        <f>MAX(0,M46-M45)</f>
        <v/>
      </c>
      <c r="O46" s="127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HISTORICOS'!AT40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RESUMO'!AT40</f>
        <v/>
      </c>
      <c r="N47" s="128">
        <f>MAX(0,M47-M46)</f>
        <v/>
      </c>
      <c r="O47" s="127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HISTORICOS'!AU40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RESUMO'!AU40</f>
        <v/>
      </c>
      <c r="N48" s="128">
        <f>MAX(0,M48-M47)</f>
        <v/>
      </c>
      <c r="O48" s="127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HISTORICOS'!AV40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RESUMO'!AV40</f>
        <v/>
      </c>
      <c r="N49" s="128">
        <f>MAX(0,M49-M48)</f>
        <v/>
      </c>
      <c r="O49" s="127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HISTORICOS'!AW40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RESUMO'!AW40</f>
        <v/>
      </c>
      <c r="N50" s="128">
        <f>MAX(0,M50-M49)</f>
        <v/>
      </c>
      <c r="O50" s="127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HISTORICOS'!AX40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RESUMO'!AX40</f>
        <v/>
      </c>
      <c r="N51" s="128">
        <f>MAX(0,M51-M50)</f>
        <v/>
      </c>
      <c r="O51" s="127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HISTORICOS'!AY40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RESUMO'!AY40</f>
        <v/>
      </c>
      <c r="N52" s="128">
        <f>MAX(0,M52-M51)</f>
        <v/>
      </c>
      <c r="O52" s="127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HISTORICOS'!AZ40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RESUMO'!AZ40</f>
        <v/>
      </c>
      <c r="N53" s="128">
        <f>MAX(0,M53-M52)</f>
        <v/>
      </c>
      <c r="O53" s="127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HISTORICOS'!BA40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RESUMO'!BA40</f>
        <v/>
      </c>
      <c r="N54" s="128">
        <f>MAX(0,M54-M53)</f>
        <v/>
      </c>
      <c r="O54" s="127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HISTORICOS'!BB40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RESUMO'!BB40</f>
        <v/>
      </c>
      <c r="N55" s="128">
        <f>MAX(0,M55-M54)</f>
        <v/>
      </c>
      <c r="O55" s="127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HISTORICOS'!BC40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RESUMO'!BC40</f>
        <v/>
      </c>
      <c r="N56" s="128">
        <f>MAX(0,M56-M55)</f>
        <v/>
      </c>
      <c r="O56" s="127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HISTORICOS'!BD40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RESUMO'!BD40</f>
        <v/>
      </c>
      <c r="N57" s="128">
        <f>MAX(0,M57-M56)</f>
        <v/>
      </c>
      <c r="O57" s="127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HISTORICOS'!BE40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RESUMO'!BE40</f>
        <v/>
      </c>
      <c r="N58" s="128">
        <f>MAX(0,M58-M57)</f>
        <v/>
      </c>
      <c r="O58" s="127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HISTORICOS'!BF40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RESUMO'!BF40</f>
        <v/>
      </c>
      <c r="N59" s="128">
        <f>MAX(0,M59-M58)</f>
        <v/>
      </c>
      <c r="O59" s="127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HISTORICOS'!BG40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RESUMO'!BG40</f>
        <v/>
      </c>
      <c r="N60" s="128">
        <f>MAX(0,M60-M59)</f>
        <v/>
      </c>
      <c r="O60" s="127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HISTORICOS'!BH40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RESUMO'!BH40</f>
        <v/>
      </c>
      <c r="N61" s="128">
        <f>MAX(0,M61-M60)</f>
        <v/>
      </c>
      <c r="O61" s="127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HISTORICOS'!BI40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RESUMO'!BI40</f>
        <v/>
      </c>
      <c r="N62" s="128">
        <f>MAX(0,M62-M61)</f>
        <v/>
      </c>
      <c r="O62" s="127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HISTORICOS'!BJ40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RESUMO'!BJ40</f>
        <v/>
      </c>
      <c r="N63" s="128">
        <f>MAX(0,M63-M62)</f>
        <v/>
      </c>
      <c r="O63" s="127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HISTORICOS'!BK40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RESUMO'!BK40</f>
        <v/>
      </c>
      <c r="N64" s="128">
        <f>MAX(0,M64-M63)</f>
        <v/>
      </c>
      <c r="O64" s="127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HISTORICOS'!BL40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RESUMO'!BL40</f>
        <v/>
      </c>
      <c r="N65" s="128">
        <f>MAX(0,M65-M64)</f>
        <v/>
      </c>
      <c r="O65" s="127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HISTORICOS'!BM40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RESUMO'!BM40</f>
        <v/>
      </c>
      <c r="N66" s="128">
        <f>MAX(0,M66-M65)</f>
        <v/>
      </c>
      <c r="O66" s="127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HISTORICOS'!BN40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RESUMO'!BN40</f>
        <v/>
      </c>
      <c r="N67" s="128">
        <f>MAX(0,M67-M66)</f>
        <v/>
      </c>
      <c r="O67" s="127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HISTORICOS'!BO40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RESUMO'!BO40</f>
        <v/>
      </c>
      <c r="N68" s="128">
        <f>MAX(0,M68-M67)</f>
        <v/>
      </c>
      <c r="O68" s="127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HISTORICOS'!BP40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RESUMO'!BP40</f>
        <v/>
      </c>
      <c r="N69" s="128">
        <f>MAX(0,M69-M68)</f>
        <v/>
      </c>
      <c r="O69" s="127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HISTORICOS'!BQ40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RESUMO'!BQ40</f>
        <v/>
      </c>
      <c r="N70" s="128">
        <f>MAX(0,M70-M69)</f>
        <v/>
      </c>
      <c r="O70" s="127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HISTORICOS'!BR40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RESUMO'!BR40</f>
        <v/>
      </c>
      <c r="N71" s="128">
        <f>MAX(0,M71-M70)</f>
        <v/>
      </c>
      <c r="O71" s="127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HISTORICOS'!BS40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RESUMO'!BS40</f>
        <v/>
      </c>
      <c r="N72" s="128">
        <f>MAX(0,M72-M71)</f>
        <v/>
      </c>
      <c r="O72" s="127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HISTORICOS'!BT40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RESUMO'!BT40</f>
        <v/>
      </c>
      <c r="N73" s="128">
        <f>MAX(0,M73-M72)</f>
        <v/>
      </c>
      <c r="O73" s="127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HISTORICOS'!BU40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RESUMO'!BU40</f>
        <v/>
      </c>
      <c r="N74" s="128">
        <f>MAX(0,M74-M73)</f>
        <v/>
      </c>
      <c r="O74" s="127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HISTORICOS'!BV40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RESUMO'!BV40</f>
        <v/>
      </c>
      <c r="N75" s="128">
        <f>MAX(0,M75-M74)</f>
        <v/>
      </c>
      <c r="O75" s="127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HISTORICOS'!BW40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RESUMO'!BW40</f>
        <v/>
      </c>
      <c r="N76" s="128">
        <f>MAX(0,M76-M75)</f>
        <v/>
      </c>
      <c r="O76" s="127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108">
        <f>'DADOS HISTORICOS'!D41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108">
        <f>'VALOR POR PL'!F47</f>
        <v/>
      </c>
      <c r="K5" s="108">
        <f>'VALOR POR PL'!G47</f>
        <v/>
      </c>
      <c r="M5" s="127">
        <f>'CP RESUMO'!D41</f>
        <v/>
      </c>
      <c r="N5" s="128" t="n">
        <v>0</v>
      </c>
      <c r="O5" s="127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108">
        <f>'DADOS HISTORICOS'!E41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RESUMO'!E41</f>
        <v/>
      </c>
      <c r="N6" s="128">
        <f>MAX(0,M6-M5)</f>
        <v/>
      </c>
      <c r="O6" s="127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108">
        <f>'DADOS HISTORICOS'!F41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108">
        <f>'VALOR POR PL'!L47</f>
        <v/>
      </c>
      <c r="M7" s="127">
        <f>'CP RESUMO'!F41</f>
        <v/>
      </c>
      <c r="N7" s="128">
        <f>MAX(0,M7-M6)</f>
        <v/>
      </c>
      <c r="O7" s="127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108">
        <f>'DADOS HISTORICOS'!G41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RESUMO'!G41</f>
        <v/>
      </c>
      <c r="N8" s="128">
        <f>MAX(0,M8-M7)</f>
        <v/>
      </c>
      <c r="O8" s="127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108">
        <f>'DADOS HISTORICOS'!H41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RESUMO'!H41</f>
        <v/>
      </c>
      <c r="N9" s="128">
        <f>MAX(0,M9-M8)</f>
        <v/>
      </c>
      <c r="O9" s="127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108">
        <f>'DADOS HISTORICOS'!I41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RESUMO'!I41</f>
        <v/>
      </c>
      <c r="N10" s="128">
        <f>MAX(0,M10-M9)</f>
        <v/>
      </c>
      <c r="O10" s="127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108">
        <f>'DADOS HISTORICOS'!J41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108">
        <f>SUMPRODUCT((B5:B76&gt;'VALOR POR PL'!$P$5)*H5:H76)</f>
        <v/>
      </c>
      <c r="M11" s="127">
        <f>'CP RESUMO'!J41</f>
        <v/>
      </c>
      <c r="N11" s="128">
        <f>MAX(0,M11-M10)</f>
        <v/>
      </c>
      <c r="O11" s="127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108">
        <f>'DADOS HISTORICOS'!K41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RESUMO'!K41</f>
        <v/>
      </c>
      <c r="N12" s="128">
        <f>MAX(0,M12-M11)</f>
        <v/>
      </c>
      <c r="O12" s="127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108">
        <f>'DADOS HISTORICOS'!L41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108">
        <f>'VALOR POR PL'!I47</f>
        <v/>
      </c>
      <c r="M13" s="127">
        <f>'CP RESUMO'!L41</f>
        <v/>
      </c>
      <c r="N13" s="128">
        <f>MAX(0,M13-M12)</f>
        <v/>
      </c>
      <c r="O13" s="127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108">
        <f>'DADOS HISTORICOS'!M41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7">
        <f>'CP RESUMO'!M41</f>
        <v/>
      </c>
      <c r="N14" s="128">
        <f>MAX(0,M14-M13)</f>
        <v/>
      </c>
      <c r="O14" s="127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108">
        <f>'DADOS HISTORICOS'!N41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RESUMO'!N41</f>
        <v/>
      </c>
      <c r="N15" s="128">
        <f>MAX(0,M15-M14)</f>
        <v/>
      </c>
      <c r="O15" s="127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108">
        <f>'DADOS HISTORICOS'!O41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10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7">
        <f>'CP RESUMO'!O41</f>
        <v/>
      </c>
      <c r="N16" s="128">
        <f>MAX(0,M16-M15)</f>
        <v/>
      </c>
      <c r="O16" s="127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108">
        <f>'DADOS HISTORICOS'!P41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RESUMO'!P41</f>
        <v/>
      </c>
      <c r="N17" s="128">
        <f>MAX(0,M17-M16)</f>
        <v/>
      </c>
      <c r="O17" s="127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108">
        <f>'DADOS HISTORICOS'!Q41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RESUMO'!Q41</f>
        <v/>
      </c>
      <c r="N18" s="128">
        <f>MAX(0,M18-M17)</f>
        <v/>
      </c>
      <c r="O18" s="127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108">
        <f>'DADOS HISTORICOS'!R41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RESUMO'!R41</f>
        <v/>
      </c>
      <c r="N19" s="128">
        <f>MAX(0,M19-M18)</f>
        <v/>
      </c>
      <c r="O19" s="127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108">
        <f>'DADOS HISTORICOS'!S41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7">
        <f>'CP RESUMO'!S41</f>
        <v/>
      </c>
      <c r="N20" s="128">
        <f>MAX(0,M20-M19)</f>
        <v/>
      </c>
      <c r="O20" s="127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108">
        <f>'DADOS HISTORICOS'!T41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RESUMO'!T41</f>
        <v/>
      </c>
      <c r="N21" s="128">
        <f>MAX(0,M21-M20)</f>
        <v/>
      </c>
      <c r="O21" s="127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108">
        <f>'DADOS HISTORICOS'!U41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RESUMO'!U41</f>
        <v/>
      </c>
      <c r="N22" s="128">
        <f>MAX(0,M22-M21)</f>
        <v/>
      </c>
      <c r="O22" s="127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108">
        <f>'DADOS HISTORICOS'!V41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RESUMO'!V41</f>
        <v/>
      </c>
      <c r="N23" s="128">
        <f>MAX(0,M23-M22)</f>
        <v/>
      </c>
      <c r="O23" s="127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108">
        <f>'DADOS HISTORICOS'!W41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RESUMO'!W41</f>
        <v/>
      </c>
      <c r="N24" s="128">
        <f>MAX(0,M24-M23)</f>
        <v/>
      </c>
      <c r="O24" s="127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108">
        <f>'DADOS HISTORICOS'!X41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RESUMO'!X41</f>
        <v/>
      </c>
      <c r="N25" s="128">
        <f>MAX(0,M25-M24)</f>
        <v/>
      </c>
      <c r="O25" s="127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108">
        <f>'DADOS HISTORICOS'!Y41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RESUMO'!Y41</f>
        <v/>
      </c>
      <c r="N26" s="128">
        <f>MAX(0,M26-M25)</f>
        <v/>
      </c>
      <c r="O26" s="127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108">
        <f>'DADOS HISTORICOS'!Z41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RESUMO'!Z41</f>
        <v/>
      </c>
      <c r="N27" s="128">
        <f>MAX(0,M27-M26)</f>
        <v/>
      </c>
      <c r="O27" s="127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108">
        <f>'DADOS HISTORICOS'!AA41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RESUMO'!AA41</f>
        <v/>
      </c>
      <c r="N28" s="128">
        <f>MAX(0,M28-M27)</f>
        <v/>
      </c>
      <c r="O28" s="127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108">
        <f>'DADOS HISTORICOS'!AB41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RESUMO'!AB41</f>
        <v/>
      </c>
      <c r="N29" s="128">
        <f>MAX(0,M29-M28)</f>
        <v/>
      </c>
      <c r="O29" s="127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108">
        <f>'DADOS HISTORICOS'!AC41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RESUMO'!AC41</f>
        <v/>
      </c>
      <c r="N30" s="128">
        <f>MAX(0,M30-M29)</f>
        <v/>
      </c>
      <c r="O30" s="127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108">
        <f>'DADOS HISTORICOS'!AD41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RESUMO'!AD41</f>
        <v/>
      </c>
      <c r="N31" s="128">
        <f>MAX(0,M31-M30)</f>
        <v/>
      </c>
      <c r="O31" s="127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108">
        <f>'DADOS HISTORICOS'!AE41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RESUMO'!AE41</f>
        <v/>
      </c>
      <c r="N32" s="128">
        <f>MAX(0,M32-M31)</f>
        <v/>
      </c>
      <c r="O32" s="127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108">
        <f>'DADOS HISTORICOS'!AF41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RESUMO'!AF41</f>
        <v/>
      </c>
      <c r="N33" s="128">
        <f>MAX(0,M33-M32)</f>
        <v/>
      </c>
      <c r="O33" s="127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108">
        <f>'DADOS HISTORICOS'!AG41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RESUMO'!AG41</f>
        <v/>
      </c>
      <c r="N34" s="128">
        <f>MAX(0,M34-M33)</f>
        <v/>
      </c>
      <c r="O34" s="127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108">
        <f>'DADOS HISTORICOS'!AH41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RESUMO'!AH41</f>
        <v/>
      </c>
      <c r="N35" s="128">
        <f>MAX(0,M35-M34)</f>
        <v/>
      </c>
      <c r="O35" s="127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108">
        <f>'DADOS HISTORICOS'!AI41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RESUMO'!AI41</f>
        <v/>
      </c>
      <c r="N36" s="128">
        <f>MAX(0,M36-M35)</f>
        <v/>
      </c>
      <c r="O36" s="127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108">
        <f>'DADOS HISTORICOS'!AJ41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RESUMO'!AJ41</f>
        <v/>
      </c>
      <c r="N37" s="128">
        <f>MAX(0,M37-M36)</f>
        <v/>
      </c>
      <c r="O37" s="127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108">
        <f>'DADOS HISTORICOS'!AK41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RESUMO'!AK41</f>
        <v/>
      </c>
      <c r="N38" s="128">
        <f>MAX(0,M38-M37)</f>
        <v/>
      </c>
      <c r="O38" s="127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108">
        <f>'DADOS HISTORICOS'!AL41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RESUMO'!AL41</f>
        <v/>
      </c>
      <c r="N39" s="128">
        <f>MAX(0,M39-M38)</f>
        <v/>
      </c>
      <c r="O39" s="127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108">
        <f>'DADOS HISTORICOS'!AM41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RESUMO'!AM41</f>
        <v/>
      </c>
      <c r="N40" s="128">
        <f>MAX(0,M40-M39)</f>
        <v/>
      </c>
      <c r="O40" s="127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108">
        <f>'DADOS HISTORICOS'!AN41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RESUMO'!AN41</f>
        <v/>
      </c>
      <c r="N41" s="128">
        <f>MAX(0,M41-M40)</f>
        <v/>
      </c>
      <c r="O41" s="127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108">
        <f>'DADOS HISTORICOS'!AO41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RESUMO'!AO41</f>
        <v/>
      </c>
      <c r="N42" s="128">
        <f>MAX(0,M42-M41)</f>
        <v/>
      </c>
      <c r="O42" s="127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108">
        <f>'DADOS HISTORICOS'!AP41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RESUMO'!AP41</f>
        <v/>
      </c>
      <c r="N43" s="128">
        <f>MAX(0,M43-M42)</f>
        <v/>
      </c>
      <c r="O43" s="127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108">
        <f>'DADOS HISTORICOS'!AQ41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RESUMO'!AQ41</f>
        <v/>
      </c>
      <c r="N44" s="128">
        <f>MAX(0,M44-M43)</f>
        <v/>
      </c>
      <c r="O44" s="127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108">
        <f>'DADOS HISTORICOS'!AR41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RESUMO'!AR41</f>
        <v/>
      </c>
      <c r="N45" s="128">
        <f>MAX(0,M45-M44)</f>
        <v/>
      </c>
      <c r="O45" s="127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108">
        <f>'DADOS HISTORICOS'!AS41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RESUMO'!AS41</f>
        <v/>
      </c>
      <c r="N46" s="128">
        <f>MAX(0,M46-M45)</f>
        <v/>
      </c>
      <c r="O46" s="127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108">
        <f>'DADOS HISTORICOS'!AT41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RESUMO'!AT41</f>
        <v/>
      </c>
      <c r="N47" s="128">
        <f>MAX(0,M47-M46)</f>
        <v/>
      </c>
      <c r="O47" s="127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108">
        <f>'DADOS HISTORICOS'!AU41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RESUMO'!AU41</f>
        <v/>
      </c>
      <c r="N48" s="128">
        <f>MAX(0,M48-M47)</f>
        <v/>
      </c>
      <c r="O48" s="127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108">
        <f>'DADOS HISTORICOS'!AV41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RESUMO'!AV41</f>
        <v/>
      </c>
      <c r="N49" s="128">
        <f>MAX(0,M49-M48)</f>
        <v/>
      </c>
      <c r="O49" s="127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108">
        <f>'DADOS HISTORICOS'!AW41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RESUMO'!AW41</f>
        <v/>
      </c>
      <c r="N50" s="128">
        <f>MAX(0,M50-M49)</f>
        <v/>
      </c>
      <c r="O50" s="127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108">
        <f>'DADOS HISTORICOS'!AX41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RESUMO'!AX41</f>
        <v/>
      </c>
      <c r="N51" s="128">
        <f>MAX(0,M51-M50)</f>
        <v/>
      </c>
      <c r="O51" s="127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108">
        <f>'DADOS HISTORICOS'!AY41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RESUMO'!AY41</f>
        <v/>
      </c>
      <c r="N52" s="128">
        <f>MAX(0,M52-M51)</f>
        <v/>
      </c>
      <c r="O52" s="127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108">
        <f>'DADOS HISTORICOS'!AZ41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RESUMO'!AZ41</f>
        <v/>
      </c>
      <c r="N53" s="128">
        <f>MAX(0,M53-M52)</f>
        <v/>
      </c>
      <c r="O53" s="127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108">
        <f>'DADOS HISTORICOS'!BA41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RESUMO'!BA41</f>
        <v/>
      </c>
      <c r="N54" s="128">
        <f>MAX(0,M54-M53)</f>
        <v/>
      </c>
      <c r="O54" s="127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108">
        <f>'DADOS HISTORICOS'!BB41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RESUMO'!BB41</f>
        <v/>
      </c>
      <c r="N55" s="128">
        <f>MAX(0,M55-M54)</f>
        <v/>
      </c>
      <c r="O55" s="127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108">
        <f>'DADOS HISTORICOS'!BC41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RESUMO'!BC41</f>
        <v/>
      </c>
      <c r="N56" s="128">
        <f>MAX(0,M56-M55)</f>
        <v/>
      </c>
      <c r="O56" s="127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108">
        <f>'DADOS HISTORICOS'!BD41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RESUMO'!BD41</f>
        <v/>
      </c>
      <c r="N57" s="128">
        <f>MAX(0,M57-M56)</f>
        <v/>
      </c>
      <c r="O57" s="127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108">
        <f>'DADOS HISTORICOS'!BE41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RESUMO'!BE41</f>
        <v/>
      </c>
      <c r="N58" s="128">
        <f>MAX(0,M58-M57)</f>
        <v/>
      </c>
      <c r="O58" s="127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108">
        <f>'DADOS HISTORICOS'!BF41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RESUMO'!BF41</f>
        <v/>
      </c>
      <c r="N59" s="128">
        <f>MAX(0,M59-M58)</f>
        <v/>
      </c>
      <c r="O59" s="127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108">
        <f>'DADOS HISTORICOS'!BG41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RESUMO'!BG41</f>
        <v/>
      </c>
      <c r="N60" s="128">
        <f>MAX(0,M60-M59)</f>
        <v/>
      </c>
      <c r="O60" s="127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108">
        <f>'DADOS HISTORICOS'!BH41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RESUMO'!BH41</f>
        <v/>
      </c>
      <c r="N61" s="128">
        <f>MAX(0,M61-M60)</f>
        <v/>
      </c>
      <c r="O61" s="127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108">
        <f>'DADOS HISTORICOS'!BI41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RESUMO'!BI41</f>
        <v/>
      </c>
      <c r="N62" s="128">
        <f>MAX(0,M62-M61)</f>
        <v/>
      </c>
      <c r="O62" s="127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108">
        <f>'DADOS HISTORICOS'!BJ41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RESUMO'!BJ41</f>
        <v/>
      </c>
      <c r="N63" s="128">
        <f>MAX(0,M63-M62)</f>
        <v/>
      </c>
      <c r="O63" s="127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108">
        <f>'DADOS HISTORICOS'!BK41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RESUMO'!BK41</f>
        <v/>
      </c>
      <c r="N64" s="128">
        <f>MAX(0,M64-M63)</f>
        <v/>
      </c>
      <c r="O64" s="127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108">
        <f>'DADOS HISTORICOS'!BL41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RESUMO'!BL41</f>
        <v/>
      </c>
      <c r="N65" s="128">
        <f>MAX(0,M65-M64)</f>
        <v/>
      </c>
      <c r="O65" s="127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108">
        <f>'DADOS HISTORICOS'!BM41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RESUMO'!BM41</f>
        <v/>
      </c>
      <c r="N66" s="128">
        <f>MAX(0,M66-M65)</f>
        <v/>
      </c>
      <c r="O66" s="127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108">
        <f>'DADOS HISTORICOS'!BN41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RESUMO'!BN41</f>
        <v/>
      </c>
      <c r="N67" s="128">
        <f>MAX(0,M67-M66)</f>
        <v/>
      </c>
      <c r="O67" s="127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108">
        <f>'DADOS HISTORICOS'!BO41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RESUMO'!BO41</f>
        <v/>
      </c>
      <c r="N68" s="128">
        <f>MAX(0,M68-M67)</f>
        <v/>
      </c>
      <c r="O68" s="127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108">
        <f>'DADOS HISTORICOS'!BP41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RESUMO'!BP41</f>
        <v/>
      </c>
      <c r="N69" s="128">
        <f>MAX(0,M69-M68)</f>
        <v/>
      </c>
      <c r="O69" s="127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108">
        <f>'DADOS HISTORICOS'!BQ41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RESUMO'!BQ41</f>
        <v/>
      </c>
      <c r="N70" s="128">
        <f>MAX(0,M70-M69)</f>
        <v/>
      </c>
      <c r="O70" s="127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108">
        <f>'DADOS HISTORICOS'!BR41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RESUMO'!BR41</f>
        <v/>
      </c>
      <c r="N71" s="128">
        <f>MAX(0,M71-M70)</f>
        <v/>
      </c>
      <c r="O71" s="127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108">
        <f>'DADOS HISTORICOS'!BS41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RESUMO'!BS41</f>
        <v/>
      </c>
      <c r="N72" s="128">
        <f>MAX(0,M72-M71)</f>
        <v/>
      </c>
      <c r="O72" s="127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108">
        <f>'DADOS HISTORICOS'!BT41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RESUMO'!BT41</f>
        <v/>
      </c>
      <c r="N73" s="128">
        <f>MAX(0,M73-M72)</f>
        <v/>
      </c>
      <c r="O73" s="127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108">
        <f>'DADOS HISTORICOS'!BU41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RESUMO'!BU41</f>
        <v/>
      </c>
      <c r="N74" s="128">
        <f>MAX(0,M74-M73)</f>
        <v/>
      </c>
      <c r="O74" s="127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108">
        <f>'DADOS HISTORICOS'!BV41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RESUMO'!BV41</f>
        <v/>
      </c>
      <c r="N75" s="128">
        <f>MAX(0,M75-M74)</f>
        <v/>
      </c>
      <c r="O75" s="127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108">
        <f>'DADOS HISTORICOS'!BW41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RESUMO'!BW41</f>
        <v/>
      </c>
      <c r="N76" s="128">
        <f>MAX(0,M76-M75)</f>
        <v/>
      </c>
      <c r="O76" s="127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5">
        <f>SUM(F5:F76)</f>
        <v/>
      </c>
      <c r="H78" s="64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2026-09-25T20:14:52Z</dcterms:created>
  <dcterms:modified xsi:type="dcterms:W3CDTF">2026-09-25T20:14:53Z</dcterms:modified>
</cp:coreProperties>
</file>